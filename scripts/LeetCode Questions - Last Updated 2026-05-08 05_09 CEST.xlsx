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eetCode Questions" sheetId="1" state="visible" r:id="rId1"/>
    <sheet name="test" sheetId="2" state="hidden" r:id="rId2"/>
  </sheets>
  <definedNames>
    <definedName name="_xlnm._FilterDatabase" localSheetId="0" hidden="1">'LeetCode Questions'!$A$2:$N$4</definedName>
    <definedName name="_xlnm._FilterDatabase" localSheetId="1" hidden="1">'test'!$A$3:$O$3815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Arial"/>
      <color rgb="FF000000"/>
      <sz val="10"/>
      <scheme val="minor"/>
    </font>
    <font>
      <name val="Arial"/>
      <color theme="1"/>
    </font>
    <font>
      <name val="Arial"/>
      <color rgb="FF000000"/>
      <sz val="10"/>
    </font>
    <font>
      <color rgb="FF0000FF"/>
      <u val="single"/>
    </font>
    <font>
      <name val="Arial"/>
      <b val="1"/>
      <color rgb="FFFFFFFF"/>
      <sz val="11"/>
    </font>
    <font>
      <name val="Arial"/>
      <b val="1"/>
      <color rgb="FFFFFFFF"/>
      <scheme val="minor"/>
    </font>
    <font>
      <name val="Arial"/>
      <b val="1"/>
      <color rgb="FF276221"/>
      <scheme val="minor"/>
    </font>
    <font>
      <name val="Arial"/>
      <color rgb="FF9C6500"/>
      <scheme val="minor"/>
    </font>
    <font>
      <b val="1"/>
      <color rgb="00276221"/>
    </font>
    <font/>
  </fonts>
  <fills count="7">
    <fill>
      <patternFill/>
    </fill>
    <fill>
      <patternFill patternType="lightGray"/>
    </fill>
    <fill>
      <patternFill patternType="solid">
        <fgColor rgb="FF284F77"/>
        <bgColor rgb="FF284F77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00C6EFCE"/>
        <bgColor rgb="00C6EFCE"/>
      </patternFill>
    </fill>
  </fills>
  <borders count="2">
    <border/>
    <border>
      <top style="thin">
        <color rgb="FFFFFFFF"/>
      </top>
      <bottom style="thin">
        <color rgb="FF284F77"/>
      </bottom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/>
    </xf>
    <xf numFmtId="164" fontId="4" fillId="2" borderId="1" applyAlignment="1" pivotButton="0" quotePrefix="0" xfId="0">
      <alignment horizontal="right"/>
    </xf>
    <xf numFmtId="0" fontId="5" fillId="3" borderId="0" applyAlignment="1" pivotButton="0" quotePrefix="0" xfId="0">
      <alignment horizontal="center" vertical="center"/>
    </xf>
    <xf numFmtId="10" fontId="1" fillId="0" borderId="0" pivotButton="0" quotePrefix="0" xfId="0"/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0" fillId="0" borderId="0" pivotButton="0" quotePrefix="0" xfId="0"/>
    <xf numFmtId="0" fontId="8" fillId="6" borderId="0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P392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" customHeight="1"/>
  <cols>
    <col width="6.38" customWidth="1" style="12" min="1" max="1"/>
    <col width="27.63" customWidth="1" style="12" min="2" max="2"/>
    <col width="11.38" customWidth="1" style="12" min="3" max="4"/>
    <col width="12.63" customWidth="1" style="12" min="5" max="5"/>
    <col width="22.63" customWidth="1" style="12" min="6" max="6"/>
    <col width="12.63" customWidth="1" style="12" min="7" max="7"/>
    <col width="17.63" customWidth="1" style="12" min="8" max="9"/>
    <col width="12.63" customWidth="1" style="12" min="10" max="12"/>
    <col width="10.75" customWidth="1" style="12" min="13" max="14"/>
    <col width="25.13" customWidth="1" style="12" min="15" max="15"/>
    <col width="12" customWidth="1" style="12" min="16" max="16"/>
  </cols>
  <sheetData>
    <row r="1" ht="15.75" customHeight="1" s="12">
      <c r="A1" s="1" t="inlineStr">
        <is>
          <t>🧩 Total Problems: 3920</t>
        </is>
      </c>
      <c r="B1" s="2" t="n"/>
      <c r="C1" s="2" t="n"/>
      <c r="D1" s="3">
        <f>HYPERLINK("https://github.com/noworneverev/leetcode-api", "⭐ Star me on GitHub")</f>
        <v/>
      </c>
      <c r="E1" s="4" t="n"/>
      <c r="F1" s="2" t="n"/>
      <c r="G1" s="2" t="n"/>
      <c r="H1" s="2" t="n"/>
      <c r="I1" s="2" t="n"/>
      <c r="J1" s="2" t="n"/>
      <c r="K1" s="2" t="n"/>
      <c r="L1" s="2" t="n"/>
      <c r="M1" s="2" t="n"/>
      <c r="N1" s="5" t="inlineStr">
        <is>
          <t>Choose the Programming Language for the Prompt</t>
        </is>
      </c>
      <c r="O1" s="1" t="inlineStr">
        <is>
          <t>Python</t>
        </is>
      </c>
      <c r="P1" s="2" t="n"/>
    </row>
    <row r="2" ht="15.75" customHeight="1" s="12">
      <c r="A2" s="1" t="inlineStr">
        <is>
          <t>🕰️ Last Updated: 2026-05-08 05:09 CEST</t>
        </is>
      </c>
      <c r="B2" s="2" t="n"/>
      <c r="C2" s="2" t="n"/>
      <c r="D2" s="3">
        <f>HYPERLINK("https://www.linkedin.com/in/yan-ying-liao/", "🦙 Follow/Connect with me on LinkedIn")</f>
        <v/>
      </c>
      <c r="E2" s="4" t="n"/>
      <c r="F2" s="2" t="n"/>
      <c r="G2" s="2" t="n"/>
      <c r="H2" s="2" t="n"/>
      <c r="I2" s="2" t="n"/>
      <c r="J2" s="2" t="n"/>
      <c r="K2" s="2" t="n"/>
      <c r="L2" s="2" t="n"/>
      <c r="M2" s="2" t="n"/>
      <c r="N2" s="5" t="inlineStr">
        <is>
          <t>Choose the Language for the Answer</t>
        </is>
      </c>
      <c r="O2" s="1" t="inlineStr">
        <is>
          <t>English</t>
        </is>
      </c>
      <c r="P2" s="2" t="n"/>
    </row>
    <row r="3" ht="15.75" customHeight="1" s="12">
      <c r="A3" s="6" t="inlineStr">
        <is>
          <t>ID</t>
        </is>
      </c>
      <c r="B3" s="6" t="inlineStr">
        <is>
          <t>Problem Name</t>
        </is>
      </c>
      <c r="C3" s="6" t="inlineStr">
        <is>
          <t>Likes</t>
        </is>
      </c>
      <c r="D3" s="6" t="inlineStr">
        <is>
          <t>Dislikes</t>
        </is>
      </c>
      <c r="E3" s="7" t="inlineStr">
        <is>
          <t>Like
Ratio</t>
        </is>
      </c>
      <c r="F3" s="6" t="inlineStr">
        <is>
          <t>Topics</t>
        </is>
      </c>
      <c r="G3" s="6" t="inlineStr">
        <is>
          <t>Difficulty</t>
        </is>
      </c>
      <c r="H3" s="6" t="inlineStr">
        <is>
          <t>Accepted</t>
        </is>
      </c>
      <c r="I3" s="6" t="inlineStr">
        <is>
          <t>Submissions</t>
        </is>
      </c>
      <c r="J3" s="6" t="inlineStr">
        <is>
          <t>Accept
Rate</t>
        </is>
      </c>
      <c r="K3" s="6" t="inlineStr">
        <is>
          <t>Free?</t>
        </is>
      </c>
      <c r="L3" s="6" t="inlineStr">
        <is>
          <t>Solution?</t>
        </is>
      </c>
      <c r="M3" s="6" t="inlineStr">
        <is>
          <t>Video
Solution?</t>
        </is>
      </c>
      <c r="N3" s="6" t="inlineStr">
        <is>
          <t>Category</t>
        </is>
      </c>
      <c r="O3" s="6" t="inlineStr">
        <is>
          <t>LLM Prompt</t>
        </is>
      </c>
      <c r="P3" s="8" t="inlineStr">
        <is>
          <t>Status</t>
        </is>
      </c>
    </row>
    <row r="4" ht="15.75" customHeight="1" s="12">
      <c r="A4" s="1" t="n">
        <v>1</v>
      </c>
      <c r="B4" s="3">
        <f>HYPERLINK("https://leetcode.com/problems/two-sum/", "Two Sum")</f>
        <v/>
      </c>
      <c r="C4" s="1" t="n">
        <v>68823</v>
      </c>
      <c r="D4" s="1" t="n">
        <v>2573</v>
      </c>
      <c r="E4" s="4">
        <f>IF(INDEX(C:C, ROW())+INDEX(D:D, ROW())=0, 0, INDEX(C:C, ROW())/(INDEX(C:C, ROW())+INDEX(D:D, ROW())))</f>
        <v/>
      </c>
      <c r="F4" s="1" t="inlineStr">
        <is>
          <t>Array, Hash Table</t>
        </is>
      </c>
      <c r="G4" s="1" t="inlineStr">
        <is>
          <t>Easy</t>
        </is>
      </c>
      <c r="H4" s="1" t="n">
        <v>21647723</v>
      </c>
      <c r="I4" s="1" t="n">
        <v>37688812</v>
      </c>
      <c r="J4" s="9" t="n">
        <v>0.574</v>
      </c>
      <c r="K4" s="1" t="inlineStr">
        <is>
          <t>Yes</t>
        </is>
      </c>
      <c r="L4" s="1" t="inlineStr">
        <is>
          <t>Yes</t>
        </is>
      </c>
      <c r="M4" s="1" t="inlineStr">
        <is>
          <t>Yes</t>
        </is>
      </c>
      <c r="N4" s="1" t="inlineStr">
        <is>
          <t>Algorithms</t>
        </is>
      </c>
      <c r="O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" s="10" t="inlineStr">
        <is>
          <t>Done</t>
        </is>
      </c>
    </row>
    <row r="5" ht="15.75" customHeight="1" s="12">
      <c r="A5" s="1" t="n">
        <v>3</v>
      </c>
      <c r="B5" s="3">
        <f>HYPERLINK("https://leetcode.com/problems/longest-substring-without-repeating-characters/", "Longest Substring Without Repeating Characters")</f>
        <v/>
      </c>
      <c r="C5" s="1" t="n">
        <v>45063</v>
      </c>
      <c r="D5" s="1" t="n">
        <v>2219</v>
      </c>
      <c r="E5" s="4">
        <f>IF(INDEX(C:C, ROW())+INDEX(D:D, ROW())=0, 0, INDEX(C:C, ROW())/(INDEX(C:C, ROW())+INDEX(D:D, ROW())))</f>
        <v/>
      </c>
      <c r="F5" s="1" t="inlineStr">
        <is>
          <t>Hash Table, String, Sliding Window</t>
        </is>
      </c>
      <c r="G5" s="1" t="inlineStr">
        <is>
          <t>Medium</t>
        </is>
      </c>
      <c r="H5" s="1" t="n">
        <v>9438914</v>
      </c>
      <c r="I5" s="1" t="n">
        <v>24211993</v>
      </c>
      <c r="J5" s="9" t="n">
        <v>0.39</v>
      </c>
      <c r="K5" s="1" t="inlineStr">
        <is>
          <t>Yes</t>
        </is>
      </c>
      <c r="L5" s="1" t="inlineStr">
        <is>
          <t>Yes</t>
        </is>
      </c>
      <c r="M5" s="1" t="inlineStr">
        <is>
          <t>Yes</t>
        </is>
      </c>
      <c r="N5" s="1" t="inlineStr">
        <is>
          <t>Algorithms</t>
        </is>
      </c>
      <c r="O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" s="10" t="inlineStr">
        <is>
          <t>Done</t>
        </is>
      </c>
    </row>
    <row r="6" ht="15.75" customHeight="1" s="12">
      <c r="A6" s="1" t="n">
        <v>53</v>
      </c>
      <c r="B6" s="3">
        <f>HYPERLINK("https://leetcode.com/problems/maximum-subarray/", "Maximum Subarray")</f>
        <v/>
      </c>
      <c r="C6" s="1" t="n">
        <v>37890</v>
      </c>
      <c r="D6" s="1" t="n">
        <v>1614</v>
      </c>
      <c r="E6" s="4">
        <f>IF(INDEX(C:C, ROW())+INDEX(D:D, ROW())=0, 0, INDEX(C:C, ROW())/(INDEX(C:C, ROW())+INDEX(D:D, ROW())))</f>
        <v/>
      </c>
      <c r="F6" s="1" t="inlineStr">
        <is>
          <t>Array, Divide and Conquer, Dynamic Programming</t>
        </is>
      </c>
      <c r="G6" s="1" t="inlineStr">
        <is>
          <t>Medium</t>
        </is>
      </c>
      <c r="H6" s="1" t="n">
        <v>6094025</v>
      </c>
      <c r="I6" s="1" t="n">
        <v>11439219</v>
      </c>
      <c r="J6" s="9" t="n">
        <v>0.533</v>
      </c>
      <c r="K6" s="1" t="inlineStr">
        <is>
          <t>Yes</t>
        </is>
      </c>
      <c r="L6" s="1" t="inlineStr">
        <is>
          <t>Yes</t>
        </is>
      </c>
      <c r="M6" s="1" t="inlineStr">
        <is>
          <t>Yes</t>
        </is>
      </c>
      <c r="N6" s="1" t="inlineStr">
        <is>
          <t>Algorithms</t>
        </is>
      </c>
      <c r="O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" s="11" t="inlineStr">
        <is>
          <t>To Do</t>
        </is>
      </c>
    </row>
    <row r="7" ht="15.75" customHeight="1" s="12">
      <c r="A7" s="1" t="n">
        <v>2</v>
      </c>
      <c r="B7" s="3">
        <f>HYPERLINK("https://leetcode.com/problems/add-two-numbers/", "Add Two Numbers")</f>
        <v/>
      </c>
      <c r="C7" s="1" t="n">
        <v>36817</v>
      </c>
      <c r="D7" s="1" t="n">
        <v>7263</v>
      </c>
      <c r="E7" s="4">
        <f>IF(INDEX(C:C, ROW())+INDEX(D:D, ROW())=0, 0, INDEX(C:C, ROW())/(INDEX(C:C, ROW())+INDEX(D:D, ROW())))</f>
        <v/>
      </c>
      <c r="F7" s="1" t="inlineStr">
        <is>
          <t>Linked List, Math, Recursion</t>
        </is>
      </c>
      <c r="G7" s="1" t="inlineStr">
        <is>
          <t>Medium</t>
        </is>
      </c>
      <c r="H7" s="1" t="n">
        <v>7009569</v>
      </c>
      <c r="I7" s="1" t="n">
        <v>14480886</v>
      </c>
      <c r="J7" s="9" t="n">
        <v>0.484</v>
      </c>
      <c r="K7" s="1" t="inlineStr">
        <is>
          <t>Yes</t>
        </is>
      </c>
      <c r="L7" s="1" t="inlineStr">
        <is>
          <t>Yes</t>
        </is>
      </c>
      <c r="M7" s="1" t="inlineStr">
        <is>
          <t>Yes</t>
        </is>
      </c>
      <c r="N7" s="1" t="inlineStr">
        <is>
          <t>Algorithms</t>
        </is>
      </c>
      <c r="O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" s="10" t="inlineStr">
        <is>
          <t>Done</t>
        </is>
      </c>
    </row>
    <row r="8" ht="15.75" customHeight="1" s="12">
      <c r="A8" s="1" t="n">
        <v>42</v>
      </c>
      <c r="B8" s="3">
        <f>HYPERLINK("https://leetcode.com/problems/trapping-rain-water/", "Trapping Rain Water")</f>
        <v/>
      </c>
      <c r="C8" s="1" t="n">
        <v>36479</v>
      </c>
      <c r="D8" s="1" t="n">
        <v>702</v>
      </c>
      <c r="E8" s="4">
        <f>IF(INDEX(C:C, ROW())+INDEX(D:D, ROW())=0, 0, INDEX(C:C, ROW())/(INDEX(C:C, ROW())+INDEX(D:D, ROW())))</f>
        <v/>
      </c>
      <c r="F8" s="1" t="inlineStr">
        <is>
          <t>Array, Two Pointers, Dynamic Programming, Stack, Monotonic Stack</t>
        </is>
      </c>
      <c r="G8" s="1" t="inlineStr">
        <is>
          <t>Hard</t>
        </is>
      </c>
      <c r="H8" s="1" t="n">
        <v>3547323</v>
      </c>
      <c r="I8" s="1" t="n">
        <v>5272068</v>
      </c>
      <c r="J8" s="9" t="n">
        <v>0.673</v>
      </c>
      <c r="K8" s="1" t="inlineStr">
        <is>
          <t>Yes</t>
        </is>
      </c>
      <c r="L8" s="1" t="inlineStr">
        <is>
          <t>Yes</t>
        </is>
      </c>
      <c r="M8" s="1" t="inlineStr">
        <is>
          <t>No</t>
        </is>
      </c>
      <c r="N8" s="1" t="inlineStr">
        <is>
          <t>Algorithms</t>
        </is>
      </c>
      <c r="O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" s="11" t="inlineStr">
        <is>
          <t>To Do</t>
        </is>
      </c>
    </row>
    <row r="9" ht="15.75" customHeight="1" s="12">
      <c r="A9" s="1" t="n">
        <v>121</v>
      </c>
      <c r="B9" s="3">
        <f>HYPERLINK("https://leetcode.com/problems/best-time-to-buy-and-sell-stock/", "Best Time to Buy and Sell Stock")</f>
        <v/>
      </c>
      <c r="C9" s="1" t="n">
        <v>35785</v>
      </c>
      <c r="D9" s="1" t="n">
        <v>1423</v>
      </c>
      <c r="E9" s="4">
        <f>IF(INDEX(C:C, ROW())+INDEX(D:D, ROW())=0, 0, INDEX(C:C, ROW())/(INDEX(C:C, ROW())+INDEX(D:D, ROW())))</f>
        <v/>
      </c>
      <c r="F9" s="1" t="inlineStr">
        <is>
          <t>Array, Dynamic Programming</t>
        </is>
      </c>
      <c r="G9" s="1" t="inlineStr">
        <is>
          <t>Easy</t>
        </is>
      </c>
      <c r="H9" s="1" t="n">
        <v>7957166</v>
      </c>
      <c r="I9" s="1" t="n">
        <v>14026304</v>
      </c>
      <c r="J9" s="9" t="n">
        <v>0.5669999999999999</v>
      </c>
      <c r="K9" s="1" t="inlineStr">
        <is>
          <t>Yes</t>
        </is>
      </c>
      <c r="L9" s="1" t="inlineStr">
        <is>
          <t>Yes</t>
        </is>
      </c>
      <c r="M9" s="1" t="inlineStr">
        <is>
          <t>Yes</t>
        </is>
      </c>
      <c r="N9" s="1" t="inlineStr">
        <is>
          <t>Algorithms</t>
        </is>
      </c>
      <c r="O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" s="13" t="inlineStr">
        <is>
          <t>Done</t>
        </is>
      </c>
    </row>
    <row r="10" ht="15.75" customHeight="1" s="12">
      <c r="A10" s="1" t="n">
        <v>15</v>
      </c>
      <c r="B10" s="3">
        <f>HYPERLINK("https://leetcode.com/problems/3sum/", "3Sum")</f>
        <v/>
      </c>
      <c r="C10" s="1" t="n">
        <v>35663</v>
      </c>
      <c r="D10" s="1" t="n">
        <v>3289</v>
      </c>
      <c r="E10" s="4">
        <f>IF(INDEX(C:C, ROW())+INDEX(D:D, ROW())=0, 0, INDEX(C:C, ROW())/(INDEX(C:C, ROW())+INDEX(D:D, ROW())))</f>
        <v/>
      </c>
      <c r="F10" s="1" t="inlineStr">
        <is>
          <t>Array, Two Pointers, Sorting</t>
        </is>
      </c>
      <c r="G10" s="1" t="inlineStr">
        <is>
          <t>Medium</t>
        </is>
      </c>
      <c r="H10" s="1" t="n">
        <v>5937709</v>
      </c>
      <c r="I10" s="1" t="n">
        <v>15218533</v>
      </c>
      <c r="J10" s="9" t="n">
        <v>0.39</v>
      </c>
      <c r="K10" s="1" t="inlineStr">
        <is>
          <t>Yes</t>
        </is>
      </c>
      <c r="L10" s="1" t="inlineStr">
        <is>
          <t>Yes</t>
        </is>
      </c>
      <c r="M10" s="1" t="inlineStr">
        <is>
          <t>Yes</t>
        </is>
      </c>
      <c r="N10" s="1" t="inlineStr">
        <is>
          <t>Algorithms</t>
        </is>
      </c>
      <c r="O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" s="10" t="inlineStr">
        <is>
          <t>Done</t>
        </is>
      </c>
    </row>
    <row r="11" ht="15.75" customHeight="1" s="12">
      <c r="A11" s="1" t="n">
        <v>11</v>
      </c>
      <c r="B11" s="3">
        <f>HYPERLINK("https://leetcode.com/problems/container-with-most-water/", "Container With Most Water")</f>
        <v/>
      </c>
      <c r="C11" s="1" t="n">
        <v>34347</v>
      </c>
      <c r="D11" s="1" t="n">
        <v>2212</v>
      </c>
      <c r="E11" s="4">
        <f>IF(INDEX(C:C, ROW())+INDEX(D:D, ROW())=0, 0, INDEX(C:C, ROW())/(INDEX(C:C, ROW())+INDEX(D:D, ROW())))</f>
        <v/>
      </c>
      <c r="F11" s="1" t="inlineStr">
        <is>
          <t>Array, Two Pointers, Greedy</t>
        </is>
      </c>
      <c r="G11" s="1" t="inlineStr">
        <is>
          <t>Medium</t>
        </is>
      </c>
      <c r="H11" s="1" t="n">
        <v>5342343</v>
      </c>
      <c r="I11" s="1" t="n">
        <v>8909099</v>
      </c>
      <c r="J11" s="9" t="n">
        <v>0.6</v>
      </c>
      <c r="K11" s="1" t="inlineStr">
        <is>
          <t>Yes</t>
        </is>
      </c>
      <c r="L11" s="1" t="inlineStr">
        <is>
          <t>Yes</t>
        </is>
      </c>
      <c r="M11" s="1" t="inlineStr">
        <is>
          <t>Yes</t>
        </is>
      </c>
      <c r="N11" s="1" t="inlineStr">
        <is>
          <t>Algorithms</t>
        </is>
      </c>
      <c r="O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" s="10" t="inlineStr">
        <is>
          <t>Done</t>
        </is>
      </c>
    </row>
    <row r="12" ht="15.75" customHeight="1" s="12">
      <c r="A12" s="1" t="n">
        <v>5</v>
      </c>
      <c r="B12" s="3">
        <f>HYPERLINK("https://leetcode.com/problems/longest-palindromic-substring/", "Longest Palindromic Substring")</f>
        <v/>
      </c>
      <c r="C12" s="1" t="n">
        <v>32681</v>
      </c>
      <c r="D12" s="1" t="n">
        <v>2014</v>
      </c>
      <c r="E12" s="4">
        <f>IF(INDEX(C:C, ROW())+INDEX(D:D, ROW())=0, 0, INDEX(C:C, ROW())/(INDEX(C:C, ROW())+INDEX(D:D, ROW())))</f>
        <v/>
      </c>
      <c r="F12" s="1" t="inlineStr">
        <is>
          <t>Two Pointers, String, Dynamic Programming</t>
        </is>
      </c>
      <c r="G12" s="1" t="inlineStr">
        <is>
          <t>Medium</t>
        </is>
      </c>
      <c r="H12" s="1" t="n">
        <v>4726707</v>
      </c>
      <c r="I12" s="1" t="n">
        <v>12513386</v>
      </c>
      <c r="J12" s="9" t="n">
        <v>0.378</v>
      </c>
      <c r="K12" s="1" t="inlineStr">
        <is>
          <t>Yes</t>
        </is>
      </c>
      <c r="L12" s="1" t="inlineStr">
        <is>
          <t>Yes</t>
        </is>
      </c>
      <c r="M12" s="1" t="inlineStr">
        <is>
          <t>Yes</t>
        </is>
      </c>
      <c r="N12" s="1" t="inlineStr">
        <is>
          <t>Algorithms</t>
        </is>
      </c>
      <c r="O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" s="10" t="inlineStr">
        <is>
          <t>Done</t>
        </is>
      </c>
    </row>
    <row r="13" ht="15.75" customHeight="1" s="12">
      <c r="A13" s="1" t="n">
        <v>4</v>
      </c>
      <c r="B13" s="3">
        <f>HYPERLINK("https://leetcode.com/problems/median-of-two-sorted-arrays/", "Median of Two Sorted Arrays")</f>
        <v/>
      </c>
      <c r="C13" s="1" t="n">
        <v>32198</v>
      </c>
      <c r="D13" s="1" t="n">
        <v>3583</v>
      </c>
      <c r="E13" s="4">
        <f>IF(INDEX(C:C, ROW())+INDEX(D:D, ROW())=0, 0, INDEX(C:C, ROW())/(INDEX(C:C, ROW())+INDEX(D:D, ROW())))</f>
        <v/>
      </c>
      <c r="F13" s="1" t="inlineStr">
        <is>
          <t>Array, Binary Search, Divide and Conquer</t>
        </is>
      </c>
      <c r="G13" s="1" t="inlineStr">
        <is>
          <t>Hard</t>
        </is>
      </c>
      <c r="H13" s="1" t="n">
        <v>4239107</v>
      </c>
      <c r="I13" s="1" t="n">
        <v>9121861</v>
      </c>
      <c r="J13" s="9" t="n">
        <v>0.465</v>
      </c>
      <c r="K13" s="1" t="inlineStr">
        <is>
          <t>Yes</t>
        </is>
      </c>
      <c r="L13" s="1" t="inlineStr">
        <is>
          <t>Yes</t>
        </is>
      </c>
      <c r="M13" s="1" t="inlineStr">
        <is>
          <t>Yes</t>
        </is>
      </c>
      <c r="N13" s="1" t="inlineStr">
        <is>
          <t>Algorithms</t>
        </is>
      </c>
      <c r="O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" s="10" t="inlineStr">
        <is>
          <t>Done</t>
        </is>
      </c>
    </row>
    <row r="14" ht="15.75" customHeight="1" s="12">
      <c r="A14" s="1" t="n">
        <v>33</v>
      </c>
      <c r="B14" s="3">
        <f>HYPERLINK("https://leetcode.com/problems/search-in-rotated-sorted-array/", "Search in Rotated Sorted Array")</f>
        <v/>
      </c>
      <c r="C14" s="1" t="n">
        <v>30107</v>
      </c>
      <c r="D14" s="1" t="n">
        <v>1833</v>
      </c>
      <c r="E14" s="4">
        <f>IF(INDEX(C:C, ROW())+INDEX(D:D, ROW())=0, 0, INDEX(C:C, ROW())/(INDEX(C:C, ROW())+INDEX(D:D, ROW())))</f>
        <v/>
      </c>
      <c r="F14" s="1" t="inlineStr">
        <is>
          <t>Array, Binary Search</t>
        </is>
      </c>
      <c r="G14" s="1" t="inlineStr">
        <is>
          <t>Medium</t>
        </is>
      </c>
      <c r="H14" s="1" t="n">
        <v>4439712</v>
      </c>
      <c r="I14" s="1" t="n">
        <v>9978941</v>
      </c>
      <c r="J14" s="9" t="n">
        <v>0.445</v>
      </c>
      <c r="K14" s="1" t="inlineStr">
        <is>
          <t>Yes</t>
        </is>
      </c>
      <c r="L14" s="1" t="inlineStr">
        <is>
          <t>Yes</t>
        </is>
      </c>
      <c r="M14" s="1" t="inlineStr">
        <is>
          <t>No</t>
        </is>
      </c>
      <c r="N14" s="1" t="inlineStr">
        <is>
          <t>Algorithms</t>
        </is>
      </c>
      <c r="O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" s="11" t="inlineStr">
        <is>
          <t>To Do</t>
        </is>
      </c>
    </row>
    <row r="15" ht="15.75" customHeight="1" s="12">
      <c r="A15" s="1" t="n">
        <v>20</v>
      </c>
      <c r="B15" s="3">
        <f>HYPERLINK("https://leetcode.com/problems/valid-parentheses/", "Valid Parentheses")</f>
        <v/>
      </c>
      <c r="C15" s="1" t="n">
        <v>28006</v>
      </c>
      <c r="D15" s="1" t="n">
        <v>2012</v>
      </c>
      <c r="E15" s="4">
        <f>IF(INDEX(C:C, ROW())+INDEX(D:D, ROW())=0, 0, INDEX(C:C, ROW())/(INDEX(C:C, ROW())+INDEX(D:D, ROW())))</f>
        <v/>
      </c>
      <c r="F15" s="1" t="inlineStr">
        <is>
          <t>String, Stack</t>
        </is>
      </c>
      <c r="G15" s="1" t="inlineStr">
        <is>
          <t>Easy</t>
        </is>
      </c>
      <c r="H15" s="1" t="n">
        <v>7543901</v>
      </c>
      <c r="I15" s="1" t="n">
        <v>17097591</v>
      </c>
      <c r="J15" s="9" t="n">
        <v>0.441</v>
      </c>
      <c r="K15" s="1" t="inlineStr">
        <is>
          <t>Yes</t>
        </is>
      </c>
      <c r="L15" s="1" t="inlineStr">
        <is>
          <t>Yes</t>
        </is>
      </c>
      <c r="M15" s="1" t="inlineStr">
        <is>
          <t>Yes</t>
        </is>
      </c>
      <c r="N15" s="1" t="inlineStr">
        <is>
          <t>Algorithms</t>
        </is>
      </c>
      <c r="O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" s="13" t="inlineStr">
        <is>
          <t>Done</t>
        </is>
      </c>
    </row>
    <row r="16" ht="15.75" customHeight="1" s="12">
      <c r="A16" s="1" t="n">
        <v>238</v>
      </c>
      <c r="B16" s="3">
        <f>HYPERLINK("https://leetcode.com/problems/product-of-array-except-self/", "Product of Array Except Self")</f>
        <v/>
      </c>
      <c r="C16" s="1" t="n">
        <v>26019</v>
      </c>
      <c r="D16" s="1" t="n">
        <v>1706</v>
      </c>
      <c r="E16" s="4">
        <f>IF(INDEX(C:C, ROW())+INDEX(D:D, ROW())=0, 0, INDEX(C:C, ROW())/(INDEX(C:C, ROW())+INDEX(D:D, ROW())))</f>
        <v/>
      </c>
      <c r="F16" s="1" t="inlineStr">
        <is>
          <t>Array, Prefix Sum</t>
        </is>
      </c>
      <c r="G16" s="1" t="inlineStr">
        <is>
          <t>Medium</t>
        </is>
      </c>
      <c r="H16" s="1" t="n">
        <v>4531975</v>
      </c>
      <c r="I16" s="1" t="n">
        <v>6581715</v>
      </c>
      <c r="J16" s="9" t="n">
        <v>0.6889999999999999</v>
      </c>
      <c r="K16" s="1" t="inlineStr">
        <is>
          <t>Yes</t>
        </is>
      </c>
      <c r="L16" s="1" t="inlineStr">
        <is>
          <t>Yes</t>
        </is>
      </c>
      <c r="M16" s="1" t="inlineStr">
        <is>
          <t>Yes</t>
        </is>
      </c>
      <c r="N16" s="1" t="inlineStr">
        <is>
          <t>Algorithms</t>
        </is>
      </c>
      <c r="O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" s="11" t="inlineStr">
        <is>
          <t>To Do</t>
        </is>
      </c>
    </row>
    <row r="17" ht="15.75" customHeight="1" s="12">
      <c r="A17" s="1" t="n">
        <v>287</v>
      </c>
      <c r="B17" s="3">
        <f>HYPERLINK("https://leetcode.com/problems/find-the-duplicate-number/", "Find the Duplicate Number")</f>
        <v/>
      </c>
      <c r="C17" s="1" t="n">
        <v>25538</v>
      </c>
      <c r="D17" s="1" t="n">
        <v>5836</v>
      </c>
      <c r="E17" s="4">
        <f>IF(INDEX(C:C, ROW())+INDEX(D:D, ROW())=0, 0, INDEX(C:C, ROW())/(INDEX(C:C, ROW())+INDEX(D:D, ROW())))</f>
        <v/>
      </c>
      <c r="F17" s="1" t="inlineStr">
        <is>
          <t>Array, Two Pointers, Binary Search, Bit Manipulation</t>
        </is>
      </c>
      <c r="G17" s="1" t="inlineStr">
        <is>
          <t>Medium</t>
        </is>
      </c>
      <c r="H17" s="1" t="n">
        <v>2561144</v>
      </c>
      <c r="I17" s="1" t="n">
        <v>3984479</v>
      </c>
      <c r="J17" s="9" t="n">
        <v>0.643</v>
      </c>
      <c r="K17" s="1" t="inlineStr">
        <is>
          <t>Yes</t>
        </is>
      </c>
      <c r="L17" s="1" t="inlineStr">
        <is>
          <t>Yes</t>
        </is>
      </c>
      <c r="M17" s="1" t="inlineStr">
        <is>
          <t>No</t>
        </is>
      </c>
      <c r="N17" s="1" t="inlineStr">
        <is>
          <t>Algorithms</t>
        </is>
      </c>
      <c r="O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" s="11" t="inlineStr">
        <is>
          <t>To Do</t>
        </is>
      </c>
    </row>
    <row r="18" ht="15.75" customHeight="1" s="12">
      <c r="A18" s="1" t="n">
        <v>560</v>
      </c>
      <c r="B18" s="3">
        <f>HYPERLINK("https://leetcode.com/problems/subarray-sum-equals-k/", "Subarray Sum Equals K")</f>
        <v/>
      </c>
      <c r="C18" s="1" t="n">
        <v>25182</v>
      </c>
      <c r="D18" s="1" t="n">
        <v>855</v>
      </c>
      <c r="E18" s="4">
        <f>IF(INDEX(C:C, ROW())+INDEX(D:D, ROW())=0, 0, INDEX(C:C, ROW())/(INDEX(C:C, ROW())+INDEX(D:D, ROW())))</f>
        <v/>
      </c>
      <c r="F18" s="1" t="inlineStr">
        <is>
          <t>Array, Hash Table, Prefix Sum</t>
        </is>
      </c>
      <c r="G18" s="1" t="inlineStr">
        <is>
          <t>Medium</t>
        </is>
      </c>
      <c r="H18" s="1" t="n">
        <v>2435842</v>
      </c>
      <c r="I18" s="1" t="n">
        <v>5154176</v>
      </c>
      <c r="J18" s="9" t="n">
        <v>0.473</v>
      </c>
      <c r="K18" s="1" t="inlineStr">
        <is>
          <t>Yes</t>
        </is>
      </c>
      <c r="L18" s="1" t="inlineStr">
        <is>
          <t>Yes</t>
        </is>
      </c>
      <c r="M18" s="1" t="inlineStr">
        <is>
          <t>Yes</t>
        </is>
      </c>
      <c r="N18" s="1" t="inlineStr">
        <is>
          <t>Algorithms</t>
        </is>
      </c>
      <c r="O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" s="11" t="inlineStr">
        <is>
          <t>To Do</t>
        </is>
      </c>
    </row>
    <row r="19" ht="15.75" customHeight="1" s="12">
      <c r="A19" s="1" t="n">
        <v>200</v>
      </c>
      <c r="B19" s="3">
        <f>HYPERLINK("https://leetcode.com/problems/number-of-islands/", "Number of Islands")</f>
        <v/>
      </c>
      <c r="C19" s="1" t="n">
        <v>25040</v>
      </c>
      <c r="D19" s="1" t="n">
        <v>619</v>
      </c>
      <c r="E19" s="4">
        <f>IF(INDEX(C:C, ROW())+INDEX(D:D, ROW())=0, 0, INDEX(C:C, ROW())/(INDEX(C:C, ROW())+INDEX(D:D, ROW())))</f>
        <v/>
      </c>
      <c r="F19" s="1" t="inlineStr">
        <is>
          <t>Array, Depth-First Search, Breadth-First Search, Union-Find, Matrix</t>
        </is>
      </c>
      <c r="G19" s="1" t="inlineStr">
        <is>
          <t>Medium</t>
        </is>
      </c>
      <c r="H19" s="1" t="n">
        <v>4164162</v>
      </c>
      <c r="I19" s="1" t="n">
        <v>6474916</v>
      </c>
      <c r="J19" s="9" t="n">
        <v>0.643</v>
      </c>
      <c r="K19" s="1" t="inlineStr">
        <is>
          <t>Yes</t>
        </is>
      </c>
      <c r="L19" s="1" t="inlineStr">
        <is>
          <t>Yes</t>
        </is>
      </c>
      <c r="M19" s="1" t="inlineStr">
        <is>
          <t>Yes</t>
        </is>
      </c>
      <c r="N19" s="1" t="inlineStr">
        <is>
          <t>Algorithms</t>
        </is>
      </c>
      <c r="O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" s="11" t="inlineStr">
        <is>
          <t>To Do</t>
        </is>
      </c>
    </row>
    <row r="20" ht="15.75" customHeight="1" s="12">
      <c r="A20" s="1" t="n">
        <v>21</v>
      </c>
      <c r="B20" s="3">
        <f>HYPERLINK("https://leetcode.com/problems/merge-two-sorted-lists/", "Merge Two Sorted Lists")</f>
        <v/>
      </c>
      <c r="C20" s="1" t="n">
        <v>25027</v>
      </c>
      <c r="D20" s="1" t="n">
        <v>2449</v>
      </c>
      <c r="E20" s="4">
        <f>IF(INDEX(C:C, ROW())+INDEX(D:D, ROW())=0, 0, INDEX(C:C, ROW())/(INDEX(C:C, ROW())+INDEX(D:D, ROW())))</f>
        <v/>
      </c>
      <c r="F20" s="1" t="inlineStr">
        <is>
          <t>Linked List, Recursion</t>
        </is>
      </c>
      <c r="G20" s="1" t="inlineStr">
        <is>
          <t>Easy</t>
        </is>
      </c>
      <c r="H20" s="1" t="n">
        <v>6255024</v>
      </c>
      <c r="I20" s="1" t="n">
        <v>9165619</v>
      </c>
      <c r="J20" s="9" t="n">
        <v>0.6820000000000001</v>
      </c>
      <c r="K20" s="1" t="inlineStr">
        <is>
          <t>Yes</t>
        </is>
      </c>
      <c r="L20" s="1" t="inlineStr">
        <is>
          <t>Yes</t>
        </is>
      </c>
      <c r="M20" s="1" t="inlineStr">
        <is>
          <t>Yes</t>
        </is>
      </c>
      <c r="N20" s="1" t="inlineStr">
        <is>
          <t>Algorithms</t>
        </is>
      </c>
      <c r="O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" s="10" t="inlineStr">
        <is>
          <t>Done</t>
        </is>
      </c>
    </row>
    <row r="21" ht="15.75" customHeight="1" s="12">
      <c r="A21" s="1" t="n">
        <v>56</v>
      </c>
      <c r="B21" s="3">
        <f>HYPERLINK("https://leetcode.com/problems/merge-intervals/", "Merge Intervals")</f>
        <v/>
      </c>
      <c r="C21" s="1" t="n">
        <v>24690</v>
      </c>
      <c r="D21" s="1" t="n">
        <v>908</v>
      </c>
      <c r="E21" s="4">
        <f>IF(INDEX(C:C, ROW())+INDEX(D:D, ROW())=0, 0, INDEX(C:C, ROW())/(INDEX(C:C, ROW())+INDEX(D:D, ROW())))</f>
        <v/>
      </c>
      <c r="F21" s="1" t="inlineStr">
        <is>
          <t>Array, Sorting</t>
        </is>
      </c>
      <c r="G21" s="1" t="inlineStr">
        <is>
          <t>Medium</t>
        </is>
      </c>
      <c r="H21" s="1" t="n">
        <v>3993311</v>
      </c>
      <c r="I21" s="1" t="n">
        <v>7719305</v>
      </c>
      <c r="J21" s="9" t="n">
        <v>0.517</v>
      </c>
      <c r="K21" s="1" t="inlineStr">
        <is>
          <t>Yes</t>
        </is>
      </c>
      <c r="L21" s="1" t="inlineStr">
        <is>
          <t>Yes</t>
        </is>
      </c>
      <c r="M21" s="1" t="inlineStr">
        <is>
          <t>Yes</t>
        </is>
      </c>
      <c r="N21" s="1" t="inlineStr">
        <is>
          <t>Algorithms</t>
        </is>
      </c>
      <c r="O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" s="11" t="inlineStr">
        <is>
          <t>To Do</t>
        </is>
      </c>
    </row>
    <row r="22" ht="15.75" customHeight="1" s="12">
      <c r="A22" s="1" t="n">
        <v>206</v>
      </c>
      <c r="B22" s="3">
        <f>HYPERLINK("https://leetcode.com/problems/reverse-linked-list/", "Reverse Linked List")</f>
        <v/>
      </c>
      <c r="C22" s="1" t="n">
        <v>24573</v>
      </c>
      <c r="D22" s="1" t="n">
        <v>585</v>
      </c>
      <c r="E22" s="4">
        <f>IF(INDEX(C:C, ROW())+INDEX(D:D, ROW())=0, 0, INDEX(C:C, ROW())/(INDEX(C:C, ROW())+INDEX(D:D, ROW())))</f>
        <v/>
      </c>
      <c r="F22" s="1" t="inlineStr">
        <is>
          <t>Linked List, Recursion</t>
        </is>
      </c>
      <c r="G22" s="1" t="inlineStr">
        <is>
          <t>Easy</t>
        </is>
      </c>
      <c r="H22" s="1" t="n">
        <v>6289967</v>
      </c>
      <c r="I22" s="1" t="n">
        <v>7812477</v>
      </c>
      <c r="J22" s="9" t="n">
        <v>0.805</v>
      </c>
      <c r="K22" s="1" t="inlineStr">
        <is>
          <t>Yes</t>
        </is>
      </c>
      <c r="L22" s="1" t="inlineStr">
        <is>
          <t>Yes</t>
        </is>
      </c>
      <c r="M22" s="1" t="inlineStr">
        <is>
          <t>Yes</t>
        </is>
      </c>
      <c r="N22" s="1" t="inlineStr">
        <is>
          <t>Algorithms</t>
        </is>
      </c>
      <c r="O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" s="13" t="inlineStr">
        <is>
          <t>Done</t>
        </is>
      </c>
    </row>
    <row r="23" ht="15.75" customHeight="1" s="12">
      <c r="A23" s="1" t="n">
        <v>70</v>
      </c>
      <c r="B23" s="3">
        <f>HYPERLINK("https://leetcode.com/problems/climbing-stairs/", "Climbing Stairs")</f>
        <v/>
      </c>
      <c r="C23" s="1" t="n">
        <v>24558</v>
      </c>
      <c r="D23" s="1" t="n">
        <v>1049</v>
      </c>
      <c r="E23" s="4">
        <f>IF(INDEX(C:C, ROW())+INDEX(D:D, ROW())=0, 0, INDEX(C:C, ROW())/(INDEX(C:C, ROW())+INDEX(D:D, ROW())))</f>
        <v/>
      </c>
      <c r="F23" s="1" t="inlineStr">
        <is>
          <t>Math, Dynamic Programming, Memoization</t>
        </is>
      </c>
      <c r="G23" s="1" t="inlineStr">
        <is>
          <t>Easy</t>
        </is>
      </c>
      <c r="H23" s="1" t="n">
        <v>5119692</v>
      </c>
      <c r="I23" s="1" t="n">
        <v>9469330</v>
      </c>
      <c r="J23" s="9" t="n">
        <v>0.541</v>
      </c>
      <c r="K23" s="1" t="inlineStr">
        <is>
          <t>Yes</t>
        </is>
      </c>
      <c r="L23" s="1" t="inlineStr">
        <is>
          <t>Yes</t>
        </is>
      </c>
      <c r="M23" s="1" t="inlineStr">
        <is>
          <t>No</t>
        </is>
      </c>
      <c r="N23" s="1" t="inlineStr">
        <is>
          <t>Algorithms</t>
        </is>
      </c>
      <c r="O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" s="13" t="inlineStr">
        <is>
          <t>Done</t>
        </is>
      </c>
    </row>
    <row r="24" ht="15.75" customHeight="1" s="12">
      <c r="A24" s="1" t="n">
        <v>198</v>
      </c>
      <c r="B24" s="3">
        <f>HYPERLINK("https://leetcode.com/problems/house-robber/", "House Robber")</f>
        <v/>
      </c>
      <c r="C24" s="1" t="n">
        <v>23529</v>
      </c>
      <c r="D24" s="1" t="n">
        <v>517</v>
      </c>
      <c r="E24" s="4">
        <f>IF(INDEX(C:C, ROW())+INDEX(D:D, ROW())=0, 0, INDEX(C:C, ROW())/(INDEX(C:C, ROW())+INDEX(D:D, ROW())))</f>
        <v/>
      </c>
      <c r="F24" s="1" t="inlineStr">
        <is>
          <t>Array, Dynamic Programming</t>
        </is>
      </c>
      <c r="G24" s="1" t="inlineStr">
        <is>
          <t>Medium</t>
        </is>
      </c>
      <c r="H24" s="1" t="n">
        <v>3554149</v>
      </c>
      <c r="I24" s="1" t="n">
        <v>6682546</v>
      </c>
      <c r="J24" s="9" t="n">
        <v>0.532</v>
      </c>
      <c r="K24" s="1" t="inlineStr">
        <is>
          <t>Yes</t>
        </is>
      </c>
      <c r="L24" s="1" t="inlineStr">
        <is>
          <t>Yes</t>
        </is>
      </c>
      <c r="M24" s="1" t="inlineStr">
        <is>
          <t>No</t>
        </is>
      </c>
      <c r="N24" s="1" t="inlineStr">
        <is>
          <t>Algorithms</t>
        </is>
      </c>
      <c r="O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" s="11" t="inlineStr">
        <is>
          <t>To Do</t>
        </is>
      </c>
    </row>
    <row r="25" ht="15.75" customHeight="1" s="12">
      <c r="A25" s="1" t="n">
        <v>34</v>
      </c>
      <c r="B25" s="3">
        <f>HYPERLINK("https://leetcode.com/problems/find-first-and-last-position-of-element-in-sorted-array/", "Find First and Last Position of Element in Sorted Array")</f>
        <v/>
      </c>
      <c r="C25" s="1" t="n">
        <v>23359</v>
      </c>
      <c r="D25" s="1" t="n">
        <v>654</v>
      </c>
      <c r="E25" s="4">
        <f>IF(INDEX(C:C, ROW())+INDEX(D:D, ROW())=0, 0, INDEX(C:C, ROW())/(INDEX(C:C, ROW())+INDEX(D:D, ROW())))</f>
        <v/>
      </c>
      <c r="F25" s="1" t="inlineStr">
        <is>
          <t>Array, Binary Search</t>
        </is>
      </c>
      <c r="G25" s="1" t="inlineStr">
        <is>
          <t>Medium</t>
        </is>
      </c>
      <c r="H25" s="1" t="n">
        <v>3313273</v>
      </c>
      <c r="I25" s="1" t="n">
        <v>6788318</v>
      </c>
      <c r="J25" s="9" t="n">
        <v>0.488</v>
      </c>
      <c r="K25" s="1" t="inlineStr">
        <is>
          <t>Yes</t>
        </is>
      </c>
      <c r="L25" s="1" t="inlineStr">
        <is>
          <t>Yes</t>
        </is>
      </c>
      <c r="M25" s="1" t="inlineStr">
        <is>
          <t>No</t>
        </is>
      </c>
      <c r="N25" s="1" t="inlineStr">
        <is>
          <t>Algorithms</t>
        </is>
      </c>
      <c r="O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" s="11" t="inlineStr">
        <is>
          <t>To Do</t>
        </is>
      </c>
    </row>
    <row r="26" ht="15.75" customHeight="1" s="12">
      <c r="A26" s="1" t="n">
        <v>22</v>
      </c>
      <c r="B26" s="3">
        <f>HYPERLINK("https://leetcode.com/problems/generate-parentheses/", "Generate Parentheses")</f>
        <v/>
      </c>
      <c r="C26" s="1" t="n">
        <v>23313</v>
      </c>
      <c r="D26" s="1" t="n">
        <v>1087</v>
      </c>
      <c r="E26" s="4">
        <f>IF(INDEX(C:C, ROW())+INDEX(D:D, ROW())=0, 0, INDEX(C:C, ROW())/(INDEX(C:C, ROW())+INDEX(D:D, ROW())))</f>
        <v/>
      </c>
      <c r="F26" s="1" t="inlineStr">
        <is>
          <t>String, Dynamic Programming, Backtracking</t>
        </is>
      </c>
      <c r="G26" s="1" t="inlineStr">
        <is>
          <t>Medium</t>
        </is>
      </c>
      <c r="H26" s="1" t="n">
        <v>2892104</v>
      </c>
      <c r="I26" s="1" t="n">
        <v>3678561</v>
      </c>
      <c r="J26" s="9" t="n">
        <v>0.786</v>
      </c>
      <c r="K26" s="1" t="inlineStr">
        <is>
          <t>Yes</t>
        </is>
      </c>
      <c r="L26" s="1" t="inlineStr">
        <is>
          <t>Yes</t>
        </is>
      </c>
      <c r="M26" s="1" t="inlineStr">
        <is>
          <t>Yes</t>
        </is>
      </c>
      <c r="N26" s="1" t="inlineStr">
        <is>
          <t>Algorithms</t>
        </is>
      </c>
      <c r="O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" s="11" t="inlineStr">
        <is>
          <t>To Do</t>
        </is>
      </c>
    </row>
    <row r="27" ht="15.75" customHeight="1" s="12">
      <c r="A27" s="1" t="n">
        <v>146</v>
      </c>
      <c r="B27" s="3">
        <f>HYPERLINK("https://leetcode.com/problems/lru-cache/", "LRU Cache")</f>
        <v/>
      </c>
      <c r="C27" s="1" t="n">
        <v>23166</v>
      </c>
      <c r="D27" s="1" t="n">
        <v>1238</v>
      </c>
      <c r="E27" s="4">
        <f>IF(INDEX(C:C, ROW())+INDEX(D:D, ROW())=0, 0, INDEX(C:C, ROW())/(INDEX(C:C, ROW())+INDEX(D:D, ROW())))</f>
        <v/>
      </c>
      <c r="F27" s="1" t="inlineStr">
        <is>
          <t>Hash Table, Linked List, Design, Doubly-Linked List</t>
        </is>
      </c>
      <c r="G27" s="1" t="inlineStr">
        <is>
          <t>Medium</t>
        </is>
      </c>
      <c r="H27" s="1" t="n">
        <v>2590982</v>
      </c>
      <c r="I27" s="1" t="n">
        <v>5479328</v>
      </c>
      <c r="J27" s="9" t="n">
        <v>0.473</v>
      </c>
      <c r="K27" s="1" t="inlineStr">
        <is>
          <t>Yes</t>
        </is>
      </c>
      <c r="L27" s="1" t="inlineStr">
        <is>
          <t>Yes</t>
        </is>
      </c>
      <c r="M27" s="1" t="inlineStr">
        <is>
          <t>No</t>
        </is>
      </c>
      <c r="N27" s="1" t="inlineStr">
        <is>
          <t>Algorithms</t>
        </is>
      </c>
      <c r="O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" s="11" t="inlineStr">
        <is>
          <t>To Do</t>
        </is>
      </c>
    </row>
    <row r="28" ht="15.75" customHeight="1" s="12">
      <c r="A28" s="1" t="n">
        <v>128</v>
      </c>
      <c r="B28" s="3">
        <f>HYPERLINK("https://leetcode.com/problems/longest-consecutive-sequence/", "Longest Consecutive Sequence")</f>
        <v/>
      </c>
      <c r="C28" s="1" t="n">
        <v>22966</v>
      </c>
      <c r="D28" s="1" t="n">
        <v>1242</v>
      </c>
      <c r="E28" s="4">
        <f>IF(INDEX(C:C, ROW())+INDEX(D:D, ROW())=0, 0, INDEX(C:C, ROW())/(INDEX(C:C, ROW())+INDEX(D:D, ROW())))</f>
        <v/>
      </c>
      <c r="F28" s="1" t="inlineStr">
        <is>
          <t>Array, Hash Table, Union-Find</t>
        </is>
      </c>
      <c r="G28" s="1" t="inlineStr">
        <is>
          <t>Medium</t>
        </is>
      </c>
      <c r="H28" s="1" t="n">
        <v>3304695</v>
      </c>
      <c r="I28" s="1" t="n">
        <v>7018487</v>
      </c>
      <c r="J28" s="9" t="n">
        <v>0.471</v>
      </c>
      <c r="K28" s="1" t="inlineStr">
        <is>
          <t>Yes</t>
        </is>
      </c>
      <c r="L28" s="1" t="inlineStr">
        <is>
          <t>Yes</t>
        </is>
      </c>
      <c r="M28" s="1" t="inlineStr">
        <is>
          <t>No</t>
        </is>
      </c>
      <c r="N28" s="1" t="inlineStr">
        <is>
          <t>Algorithms</t>
        </is>
      </c>
      <c r="O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" s="11" t="inlineStr">
        <is>
          <t>To Do</t>
        </is>
      </c>
    </row>
    <row r="29" ht="15.75" customHeight="1" s="12">
      <c r="A29" s="1" t="n">
        <v>169</v>
      </c>
      <c r="B29" s="3">
        <f>HYPERLINK("https://leetcode.com/problems/majority-element/", "Majority Element")</f>
        <v/>
      </c>
      <c r="C29" s="1" t="n">
        <v>22827</v>
      </c>
      <c r="D29" s="1" t="n">
        <v>828</v>
      </c>
      <c r="E29" s="4">
        <f>IF(INDEX(C:C, ROW())+INDEX(D:D, ROW())=0, 0, INDEX(C:C, ROW())/(INDEX(C:C, ROW())+INDEX(D:D, ROW())))</f>
        <v/>
      </c>
      <c r="F29" s="1" t="inlineStr">
        <is>
          <t>Array, Hash Table, Divide and Conquer, Sorting, Counting</t>
        </is>
      </c>
      <c r="G29" s="1" t="inlineStr">
        <is>
          <t>Easy</t>
        </is>
      </c>
      <c r="H29" s="1" t="n">
        <v>5472234</v>
      </c>
      <c r="I29" s="1" t="n">
        <v>8257111</v>
      </c>
      <c r="J29" s="9" t="n">
        <v>0.663</v>
      </c>
      <c r="K29" s="1" t="inlineStr">
        <is>
          <t>Yes</t>
        </is>
      </c>
      <c r="L29" s="1" t="inlineStr">
        <is>
          <t>Yes</t>
        </is>
      </c>
      <c r="M29" s="1" t="inlineStr">
        <is>
          <t>No</t>
        </is>
      </c>
      <c r="N29" s="1" t="inlineStr">
        <is>
          <t>Algorithms</t>
        </is>
      </c>
      <c r="O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" s="13" t="inlineStr">
        <is>
          <t>Done</t>
        </is>
      </c>
    </row>
    <row r="30" ht="15.75" customHeight="1" s="12">
      <c r="A30" s="1" t="n">
        <v>300</v>
      </c>
      <c r="B30" s="3">
        <f>HYPERLINK("https://leetcode.com/problems/longest-increasing-subsequence/", "Longest Increasing Subsequence")</f>
        <v/>
      </c>
      <c r="C30" s="1" t="n">
        <v>22774</v>
      </c>
      <c r="D30" s="1" t="n">
        <v>516</v>
      </c>
      <c r="E30" s="4">
        <f>IF(INDEX(C:C, ROW())+INDEX(D:D, ROW())=0, 0, INDEX(C:C, ROW())/(INDEX(C:C, ROW())+INDEX(D:D, ROW())))</f>
        <v/>
      </c>
      <c r="F30" s="1" t="inlineStr">
        <is>
          <t>Array, Binary Search, Dynamic Programming</t>
        </is>
      </c>
      <c r="G30" s="1" t="inlineStr">
        <is>
          <t>Medium</t>
        </is>
      </c>
      <c r="H30" s="1" t="n">
        <v>2623469</v>
      </c>
      <c r="I30" s="1" t="n">
        <v>4419497</v>
      </c>
      <c r="J30" s="9" t="n">
        <v>0.594</v>
      </c>
      <c r="K30" s="1" t="inlineStr">
        <is>
          <t>Yes</t>
        </is>
      </c>
      <c r="L30" s="1" t="inlineStr">
        <is>
          <t>Yes</t>
        </is>
      </c>
      <c r="M30" s="1" t="inlineStr">
        <is>
          <t>No</t>
        </is>
      </c>
      <c r="N30" s="1" t="inlineStr">
        <is>
          <t>Algorithms</t>
        </is>
      </c>
      <c r="O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" s="11" t="inlineStr">
        <is>
          <t>To Do</t>
        </is>
      </c>
    </row>
    <row r="31" ht="15.75" customHeight="1" s="12">
      <c r="A31" s="1" t="n">
        <v>49</v>
      </c>
      <c r="B31" s="3">
        <f>HYPERLINK("https://leetcode.com/problems/group-anagrams/", "Group Anagrams")</f>
        <v/>
      </c>
      <c r="C31" s="1" t="n">
        <v>22116</v>
      </c>
      <c r="D31" s="1" t="n">
        <v>758</v>
      </c>
      <c r="E31" s="4">
        <f>IF(INDEX(C:C, ROW())+INDEX(D:D, ROW())=0, 0, INDEX(C:C, ROW())/(INDEX(C:C, ROW())+INDEX(D:D, ROW())))</f>
        <v/>
      </c>
      <c r="F31" s="1" t="inlineStr">
        <is>
          <t>Array, Hash Table, String, Sorting</t>
        </is>
      </c>
      <c r="G31" s="1" t="inlineStr">
        <is>
          <t>Medium</t>
        </is>
      </c>
      <c r="H31" s="1" t="n">
        <v>4737666</v>
      </c>
      <c r="I31" s="1" t="n">
        <v>6530213</v>
      </c>
      <c r="J31" s="9" t="n">
        <v>0.725</v>
      </c>
      <c r="K31" s="1" t="inlineStr">
        <is>
          <t>Yes</t>
        </is>
      </c>
      <c r="L31" s="1" t="inlineStr">
        <is>
          <t>Yes</t>
        </is>
      </c>
      <c r="M31" s="1" t="inlineStr">
        <is>
          <t>Yes</t>
        </is>
      </c>
      <c r="N31" s="1" t="inlineStr">
        <is>
          <t>Algorithms</t>
        </is>
      </c>
      <c r="O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" s="11" t="inlineStr">
        <is>
          <t>To Do</t>
        </is>
      </c>
    </row>
    <row r="32" ht="15.75" customHeight="1" s="12">
      <c r="A32" s="1" t="n">
        <v>55</v>
      </c>
      <c r="B32" s="3">
        <f>HYPERLINK("https://leetcode.com/problems/jump-game/", "Jump Game")</f>
        <v/>
      </c>
      <c r="C32" s="1" t="n">
        <v>21790</v>
      </c>
      <c r="D32" s="1" t="n">
        <v>1493</v>
      </c>
      <c r="E32" s="4">
        <f>IF(INDEX(C:C, ROW())+INDEX(D:D, ROW())=0, 0, INDEX(C:C, ROW())/(INDEX(C:C, ROW())+INDEX(D:D, ROW())))</f>
        <v/>
      </c>
      <c r="F32" s="1" t="inlineStr">
        <is>
          <t>Array, Dynamic Programming, Greedy</t>
        </is>
      </c>
      <c r="G32" s="1" t="inlineStr">
        <is>
          <t>Medium</t>
        </is>
      </c>
      <c r="H32" s="1" t="n">
        <v>3192330</v>
      </c>
      <c r="I32" s="1" t="n">
        <v>7817765</v>
      </c>
      <c r="J32" s="9" t="n">
        <v>0.408</v>
      </c>
      <c r="K32" s="1" t="inlineStr">
        <is>
          <t>Yes</t>
        </is>
      </c>
      <c r="L32" s="1" t="inlineStr">
        <is>
          <t>Yes</t>
        </is>
      </c>
      <c r="M32" s="1" t="inlineStr">
        <is>
          <t>No</t>
        </is>
      </c>
      <c r="N32" s="1" t="inlineStr">
        <is>
          <t>Algorithms</t>
        </is>
      </c>
      <c r="O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" s="11" t="inlineStr">
        <is>
          <t>To Do</t>
        </is>
      </c>
    </row>
    <row r="33" ht="15.75" customHeight="1" s="12">
      <c r="A33" s="1" t="n">
        <v>75</v>
      </c>
      <c r="B33" s="3">
        <f>HYPERLINK("https://leetcode.com/problems/sort-colors/", "Sort Colors")</f>
        <v/>
      </c>
      <c r="C33" s="1" t="n">
        <v>21697</v>
      </c>
      <c r="D33" s="1" t="n">
        <v>773</v>
      </c>
      <c r="E33" s="4">
        <f>IF(INDEX(C:C, ROW())+INDEX(D:D, ROW())=0, 0, INDEX(C:C, ROW())/(INDEX(C:C, ROW())+INDEX(D:D, ROW())))</f>
        <v/>
      </c>
      <c r="F33" s="1" t="inlineStr">
        <is>
          <t>Array, Two Pointers, Sorting</t>
        </is>
      </c>
      <c r="G33" s="1" t="inlineStr">
        <is>
          <t>Medium</t>
        </is>
      </c>
      <c r="H33" s="1" t="n">
        <v>3733293</v>
      </c>
      <c r="I33" s="1" t="n">
        <v>5367413</v>
      </c>
      <c r="J33" s="9" t="n">
        <v>0.696</v>
      </c>
      <c r="K33" s="1" t="inlineStr">
        <is>
          <t>Yes</t>
        </is>
      </c>
      <c r="L33" s="1" t="inlineStr">
        <is>
          <t>Yes</t>
        </is>
      </c>
      <c r="M33" s="1" t="inlineStr">
        <is>
          <t>No</t>
        </is>
      </c>
      <c r="N33" s="1" t="inlineStr">
        <is>
          <t>Algorithms</t>
        </is>
      </c>
      <c r="O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" s="11" t="inlineStr">
        <is>
          <t>To Do</t>
        </is>
      </c>
    </row>
    <row r="34" ht="15.75" customHeight="1" s="12">
      <c r="A34" s="1" t="n">
        <v>14</v>
      </c>
      <c r="B34" s="3">
        <f>HYPERLINK("https://leetcode.com/problems/longest-common-prefix/", "Longest Common Prefix")</f>
        <v/>
      </c>
      <c r="C34" s="1" t="n">
        <v>21433</v>
      </c>
      <c r="D34" s="1" t="n">
        <v>4939</v>
      </c>
      <c r="E34" s="4">
        <f>IF(INDEX(C:C, ROW())+INDEX(D:D, ROW())=0, 0, INDEX(C:C, ROW())/(INDEX(C:C, ROW())+INDEX(D:D, ROW())))</f>
        <v/>
      </c>
      <c r="F34" s="1" t="inlineStr">
        <is>
          <t>Array, String, Trie</t>
        </is>
      </c>
      <c r="G34" s="1" t="inlineStr">
        <is>
          <t>Easy</t>
        </is>
      </c>
      <c r="H34" s="1" t="n">
        <v>5754352</v>
      </c>
      <c r="I34" s="1" t="n">
        <v>12112671</v>
      </c>
      <c r="J34" s="9" t="n">
        <v>0.475</v>
      </c>
      <c r="K34" s="1" t="inlineStr">
        <is>
          <t>Yes</t>
        </is>
      </c>
      <c r="L34" s="1" t="inlineStr">
        <is>
          <t>Yes</t>
        </is>
      </c>
      <c r="M34" s="1" t="inlineStr">
        <is>
          <t>Yes</t>
        </is>
      </c>
      <c r="N34" s="1" t="inlineStr">
        <is>
          <t>Algorithms</t>
        </is>
      </c>
      <c r="O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" s="10" t="inlineStr">
        <is>
          <t>Done</t>
        </is>
      </c>
    </row>
    <row r="35" ht="15.75" customHeight="1" s="12">
      <c r="A35" s="1" t="n">
        <v>31</v>
      </c>
      <c r="B35" s="3">
        <f>HYPERLINK("https://leetcode.com/problems/next-permutation/", "Next Permutation")</f>
        <v/>
      </c>
      <c r="C35" s="1" t="n">
        <v>21422</v>
      </c>
      <c r="D35" s="1" t="n">
        <v>5119</v>
      </c>
      <c r="E35" s="4">
        <f>IF(INDEX(C:C, ROW())+INDEX(D:D, ROW())=0, 0, INDEX(C:C, ROW())/(INDEX(C:C, ROW())+INDEX(D:D, ROW())))</f>
        <v/>
      </c>
      <c r="F35" s="1" t="inlineStr">
        <is>
          <t>Array, Two Pointers</t>
        </is>
      </c>
      <c r="G35" s="1" t="inlineStr">
        <is>
          <t>Medium</t>
        </is>
      </c>
      <c r="H35" s="1" t="n">
        <v>2264269</v>
      </c>
      <c r="I35" s="1" t="n">
        <v>5011035</v>
      </c>
      <c r="J35" s="9" t="n">
        <v>0.452</v>
      </c>
      <c r="K35" s="1" t="inlineStr">
        <is>
          <t>Yes</t>
        </is>
      </c>
      <c r="L35" s="1" t="inlineStr">
        <is>
          <t>Yes</t>
        </is>
      </c>
      <c r="M35" s="1" t="inlineStr">
        <is>
          <t>Yes</t>
        </is>
      </c>
      <c r="N35" s="1" t="inlineStr">
        <is>
          <t>Algorithms</t>
        </is>
      </c>
      <c r="O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" s="11" t="inlineStr">
        <is>
          <t>To Do</t>
        </is>
      </c>
    </row>
    <row r="36" ht="15.75" customHeight="1" s="12">
      <c r="A36" s="1" t="n">
        <v>23</v>
      </c>
      <c r="B36" s="3">
        <f>HYPERLINK("https://leetcode.com/problems/merge-k-sorted-lists/", "Merge k Sorted Lists")</f>
        <v/>
      </c>
      <c r="C36" s="1" t="n">
        <v>21326</v>
      </c>
      <c r="D36" s="1" t="n">
        <v>794</v>
      </c>
      <c r="E36" s="4">
        <f>IF(INDEX(C:C, ROW())+INDEX(D:D, ROW())=0, 0, INDEX(C:C, ROW())/(INDEX(C:C, ROW())+INDEX(D:D, ROW())))</f>
        <v/>
      </c>
      <c r="F36" s="1" t="inlineStr">
        <is>
          <t>Linked List, Divide and Conquer, Heap (Priority Queue), Merge Sort</t>
        </is>
      </c>
      <c r="G36" s="1" t="inlineStr">
        <is>
          <t>Hard</t>
        </is>
      </c>
      <c r="H36" s="1" t="n">
        <v>2989358</v>
      </c>
      <c r="I36" s="1" t="n">
        <v>5026216</v>
      </c>
      <c r="J36" s="9" t="n">
        <v>0.595</v>
      </c>
      <c r="K36" s="1" t="inlineStr">
        <is>
          <t>Yes</t>
        </is>
      </c>
      <c r="L36" s="1" t="inlineStr">
        <is>
          <t>Yes</t>
        </is>
      </c>
      <c r="M36" s="1" t="inlineStr">
        <is>
          <t>Yes</t>
        </is>
      </c>
      <c r="N36" s="1" t="inlineStr">
        <is>
          <t>Algorithms</t>
        </is>
      </c>
      <c r="O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" s="10" t="inlineStr">
        <is>
          <t>Done</t>
        </is>
      </c>
    </row>
    <row r="37" ht="15.75" customHeight="1" s="12">
      <c r="A37" s="1" t="n">
        <v>19</v>
      </c>
      <c r="B37" s="3">
        <f>HYPERLINK("https://leetcode.com/problems/remove-nth-node-from-end-of-list/", "Remove Nth Node From End of List")</f>
        <v/>
      </c>
      <c r="C37" s="1" t="n">
        <v>21285</v>
      </c>
      <c r="D37" s="1" t="n">
        <v>909</v>
      </c>
      <c r="E37" s="4">
        <f>IF(INDEX(C:C, ROW())+INDEX(D:D, ROW())=0, 0, INDEX(C:C, ROW())/(INDEX(C:C, ROW())+INDEX(D:D, ROW())))</f>
        <v/>
      </c>
      <c r="F37" s="1" t="inlineStr">
        <is>
          <t>Linked List, Two Pointers</t>
        </is>
      </c>
      <c r="G37" s="1" t="inlineStr">
        <is>
          <t>Medium</t>
        </is>
      </c>
      <c r="H37" s="1" t="n">
        <v>4200507</v>
      </c>
      <c r="I37" s="1" t="n">
        <v>8156202</v>
      </c>
      <c r="J37" s="9" t="n">
        <v>0.515</v>
      </c>
      <c r="K37" s="1" t="inlineStr">
        <is>
          <t>Yes</t>
        </is>
      </c>
      <c r="L37" s="1" t="inlineStr">
        <is>
          <t>Yes</t>
        </is>
      </c>
      <c r="M37" s="1" t="inlineStr">
        <is>
          <t>Yes</t>
        </is>
      </c>
      <c r="N37" s="1" t="inlineStr">
        <is>
          <t>Algorithms</t>
        </is>
      </c>
      <c r="O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" s="10" t="inlineStr">
        <is>
          <t>Done</t>
        </is>
      </c>
    </row>
    <row r="38" ht="15.75" customHeight="1" s="12">
      <c r="A38" s="1" t="n">
        <v>189</v>
      </c>
      <c r="B38" s="3">
        <f>HYPERLINK("https://leetcode.com/problems/rotate-array/", "Rotate Array")</f>
        <v/>
      </c>
      <c r="C38" s="1" t="n">
        <v>21146</v>
      </c>
      <c r="D38" s="1" t="n">
        <v>2194</v>
      </c>
      <c r="E38" s="4">
        <f>IF(INDEX(C:C, ROW())+INDEX(D:D, ROW())=0, 0, INDEX(C:C, ROW())/(INDEX(C:C, ROW())+INDEX(D:D, ROW())))</f>
        <v/>
      </c>
      <c r="F38" s="1" t="inlineStr">
        <is>
          <t>Array, Math, Two Pointers</t>
        </is>
      </c>
      <c r="G38" s="1" t="inlineStr">
        <is>
          <t>Medium</t>
        </is>
      </c>
      <c r="H38" s="1" t="n">
        <v>3932160</v>
      </c>
      <c r="I38" s="1" t="n">
        <v>8770137</v>
      </c>
      <c r="J38" s="9" t="n">
        <v>0.448</v>
      </c>
      <c r="K38" s="1" t="inlineStr">
        <is>
          <t>Yes</t>
        </is>
      </c>
      <c r="L38" s="1" t="inlineStr">
        <is>
          <t>Yes</t>
        </is>
      </c>
      <c r="M38" s="1" t="inlineStr">
        <is>
          <t>No</t>
        </is>
      </c>
      <c r="N38" s="1" t="inlineStr">
        <is>
          <t>Algorithms</t>
        </is>
      </c>
      <c r="O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" s="11" t="inlineStr">
        <is>
          <t>To Do</t>
        </is>
      </c>
    </row>
    <row r="39" ht="15.75" customHeight="1" s="12">
      <c r="A39" s="1" t="n">
        <v>39</v>
      </c>
      <c r="B39" s="3">
        <f>HYPERLINK("https://leetcode.com/problems/combination-sum/", "Combination Sum")</f>
        <v/>
      </c>
      <c r="C39" s="1" t="n">
        <v>21029</v>
      </c>
      <c r="D39" s="1" t="n">
        <v>542</v>
      </c>
      <c r="E39" s="4">
        <f>IF(INDEX(C:C, ROW())+INDEX(D:D, ROW())=0, 0, INDEX(C:C, ROW())/(INDEX(C:C, ROW())+INDEX(D:D, ROW())))</f>
        <v/>
      </c>
      <c r="F39" s="1" t="inlineStr">
        <is>
          <t>Array, Backtracking</t>
        </is>
      </c>
      <c r="G39" s="1" t="inlineStr">
        <is>
          <t>Medium</t>
        </is>
      </c>
      <c r="H39" s="1" t="n">
        <v>3140860</v>
      </c>
      <c r="I39" s="1" t="n">
        <v>4106833</v>
      </c>
      <c r="J39" s="9" t="n">
        <v>0.765</v>
      </c>
      <c r="K39" s="1" t="inlineStr">
        <is>
          <t>Yes</t>
        </is>
      </c>
      <c r="L39" s="1" t="inlineStr">
        <is>
          <t>Yes</t>
        </is>
      </c>
      <c r="M39" s="1" t="inlineStr">
        <is>
          <t>Yes</t>
        </is>
      </c>
      <c r="N39" s="1" t="inlineStr">
        <is>
          <t>Algorithms</t>
        </is>
      </c>
      <c r="O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9" s="11" t="inlineStr">
        <is>
          <t>To Do</t>
        </is>
      </c>
    </row>
    <row r="40" ht="15.75" customHeight="1" s="12">
      <c r="A40" s="1" t="n">
        <v>17</v>
      </c>
      <c r="B40" s="3">
        <f>HYPERLINK("https://leetcode.com/problems/letter-combinations-of-a-phone-number/", "Letter Combinations of a Phone Number")</f>
        <v/>
      </c>
      <c r="C40" s="1" t="n">
        <v>21019</v>
      </c>
      <c r="D40" s="1" t="n">
        <v>1137</v>
      </c>
      <c r="E40" s="4">
        <f>IF(INDEX(C:C, ROW())+INDEX(D:D, ROW())=0, 0, INDEX(C:C, ROW())/(INDEX(C:C, ROW())+INDEX(D:D, ROW())))</f>
        <v/>
      </c>
      <c r="F40" s="1" t="inlineStr">
        <is>
          <t>Hash Table, String, Backtracking</t>
        </is>
      </c>
      <c r="G40" s="1" t="inlineStr">
        <is>
          <t>Medium</t>
        </is>
      </c>
      <c r="H40" s="1" t="n">
        <v>3020184</v>
      </c>
      <c r="I40" s="1" t="n">
        <v>4576733</v>
      </c>
      <c r="J40" s="9" t="n">
        <v>0.66</v>
      </c>
      <c r="K40" s="1" t="inlineStr">
        <is>
          <t>Yes</t>
        </is>
      </c>
      <c r="L40" s="1" t="inlineStr">
        <is>
          <t>Yes</t>
        </is>
      </c>
      <c r="M40" s="1" t="inlineStr">
        <is>
          <t>No</t>
        </is>
      </c>
      <c r="N40" s="1" t="inlineStr">
        <is>
          <t>Algorithms</t>
        </is>
      </c>
      <c r="O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0" s="10" t="inlineStr">
        <is>
          <t>Done</t>
        </is>
      </c>
    </row>
    <row r="41" ht="15.75" customHeight="1" s="12">
      <c r="A41" s="1" t="n">
        <v>322</v>
      </c>
      <c r="B41" s="3">
        <f>HYPERLINK("https://leetcode.com/problems/coin-change/", "Coin Change")</f>
        <v/>
      </c>
      <c r="C41" s="1" t="n">
        <v>20988</v>
      </c>
      <c r="D41" s="1" t="n">
        <v>548</v>
      </c>
      <c r="E41" s="4">
        <f>IF(INDEX(C:C, ROW())+INDEX(D:D, ROW())=0, 0, INDEX(C:C, ROW())/(INDEX(C:C, ROW())+INDEX(D:D, ROW())))</f>
        <v/>
      </c>
      <c r="F41" s="1" t="inlineStr">
        <is>
          <t>Array, Dynamic Programming, Breadth-First Search</t>
        </is>
      </c>
      <c r="G41" s="1" t="inlineStr">
        <is>
          <t>Medium</t>
        </is>
      </c>
      <c r="H41" s="1" t="n">
        <v>2848597</v>
      </c>
      <c r="I41" s="1" t="n">
        <v>5892064</v>
      </c>
      <c r="J41" s="9" t="n">
        <v>0.483</v>
      </c>
      <c r="K41" s="1" t="inlineStr">
        <is>
          <t>Yes</t>
        </is>
      </c>
      <c r="L41" s="1" t="inlineStr">
        <is>
          <t>Yes</t>
        </is>
      </c>
      <c r="M41" s="1" t="inlineStr">
        <is>
          <t>Yes</t>
        </is>
      </c>
      <c r="N41" s="1" t="inlineStr">
        <is>
          <t>Algorithms</t>
        </is>
      </c>
      <c r="O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1" s="11" t="inlineStr">
        <is>
          <t>To Do</t>
        </is>
      </c>
    </row>
    <row r="42" ht="15.75" customHeight="1" s="12">
      <c r="A42" s="1" t="n">
        <v>46</v>
      </c>
      <c r="B42" s="3">
        <f>HYPERLINK("https://leetcode.com/problems/permutations/", "Permutations")</f>
        <v/>
      </c>
      <c r="C42" s="1" t="n">
        <v>20900</v>
      </c>
      <c r="D42" s="1" t="n">
        <v>385</v>
      </c>
      <c r="E42" s="4">
        <f>IF(INDEX(C:C, ROW())+INDEX(D:D, ROW())=0, 0, INDEX(C:C, ROW())/(INDEX(C:C, ROW())+INDEX(D:D, ROW())))</f>
        <v/>
      </c>
      <c r="F42" s="1" t="inlineStr">
        <is>
          <t>Array, Backtracking</t>
        </is>
      </c>
      <c r="G42" s="1" t="inlineStr">
        <is>
          <t>Medium</t>
        </is>
      </c>
      <c r="H42" s="1" t="n">
        <v>3088888</v>
      </c>
      <c r="I42" s="1" t="n">
        <v>3772018</v>
      </c>
      <c r="J42" s="9" t="n">
        <v>0.819</v>
      </c>
      <c r="K42" s="1" t="inlineStr">
        <is>
          <t>Yes</t>
        </is>
      </c>
      <c r="L42" s="1" t="inlineStr">
        <is>
          <t>Yes</t>
        </is>
      </c>
      <c r="M42" s="1" t="inlineStr">
        <is>
          <t>No</t>
        </is>
      </c>
      <c r="N42" s="1" t="inlineStr">
        <is>
          <t>Algorithms</t>
        </is>
      </c>
      <c r="O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2" s="11" t="inlineStr">
        <is>
          <t>To Do</t>
        </is>
      </c>
    </row>
    <row r="43" ht="15.75" customHeight="1" s="12">
      <c r="A43" s="1" t="n">
        <v>152</v>
      </c>
      <c r="B43" s="3">
        <f>HYPERLINK("https://leetcode.com/problems/maximum-product-subarray/", "Maximum Product Subarray")</f>
        <v/>
      </c>
      <c r="C43" s="1" t="n">
        <v>20502</v>
      </c>
      <c r="D43" s="1" t="n">
        <v>831</v>
      </c>
      <c r="E43" s="4">
        <f>IF(INDEX(C:C, ROW())+INDEX(D:D, ROW())=0, 0, INDEX(C:C, ROW())/(INDEX(C:C, ROW())+INDEX(D:D, ROW())))</f>
        <v/>
      </c>
      <c r="F43" s="1" t="inlineStr">
        <is>
          <t>Array, Dynamic Programming</t>
        </is>
      </c>
      <c r="G43" s="1" t="inlineStr">
        <is>
          <t>Medium</t>
        </is>
      </c>
      <c r="H43" s="1" t="n">
        <v>2026475</v>
      </c>
      <c r="I43" s="1" t="n">
        <v>5575095</v>
      </c>
      <c r="J43" s="9" t="n">
        <v>0.363</v>
      </c>
      <c r="K43" s="1" t="inlineStr">
        <is>
          <t>Yes</t>
        </is>
      </c>
      <c r="L43" s="1" t="inlineStr">
        <is>
          <t>Yes</t>
        </is>
      </c>
      <c r="M43" s="1" t="inlineStr">
        <is>
          <t>No</t>
        </is>
      </c>
      <c r="N43" s="1" t="inlineStr">
        <is>
          <t>Algorithms</t>
        </is>
      </c>
      <c r="O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3" s="11" t="inlineStr">
        <is>
          <t>To Do</t>
        </is>
      </c>
    </row>
    <row r="44" ht="15.75" customHeight="1" s="12">
      <c r="A44" s="1" t="n">
        <v>239</v>
      </c>
      <c r="B44" s="3">
        <f>HYPERLINK("https://leetcode.com/problems/sliding-window-maximum/", "Sliding Window Maximum")</f>
        <v/>
      </c>
      <c r="C44" s="1" t="n">
        <v>20491</v>
      </c>
      <c r="D44" s="1" t="n">
        <v>852</v>
      </c>
      <c r="E44" s="4">
        <f>IF(INDEX(C:C, ROW())+INDEX(D:D, ROW())=0, 0, INDEX(C:C, ROW())/(INDEX(C:C, ROW())+INDEX(D:D, ROW())))</f>
        <v/>
      </c>
      <c r="F44" s="1" t="inlineStr">
        <is>
          <t>Array, Queue, Sliding Window, Heap (Priority Queue), Monotonic Queue</t>
        </is>
      </c>
      <c r="G44" s="1" t="inlineStr">
        <is>
          <t>Hard</t>
        </is>
      </c>
      <c r="H44" s="1" t="n">
        <v>1674013</v>
      </c>
      <c r="I44" s="1" t="n">
        <v>3435882</v>
      </c>
      <c r="J44" s="9" t="n">
        <v>0.487</v>
      </c>
      <c r="K44" s="1" t="inlineStr">
        <is>
          <t>Yes</t>
        </is>
      </c>
      <c r="L44" s="1" t="inlineStr">
        <is>
          <t>Yes</t>
        </is>
      </c>
      <c r="M44" s="1" t="inlineStr">
        <is>
          <t>No</t>
        </is>
      </c>
      <c r="N44" s="1" t="inlineStr">
        <is>
          <t>Algorithms</t>
        </is>
      </c>
      <c r="O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4" s="11" t="inlineStr">
        <is>
          <t>To Do</t>
        </is>
      </c>
    </row>
    <row r="45" ht="15.75" customHeight="1" s="12">
      <c r="A45" s="1" t="n">
        <v>76</v>
      </c>
      <c r="B45" s="3">
        <f>HYPERLINK("https://leetcode.com/problems/minimum-window-substring/", "Minimum Window Substring")</f>
        <v/>
      </c>
      <c r="C45" s="1" t="n">
        <v>20258</v>
      </c>
      <c r="D45" s="1" t="n">
        <v>855</v>
      </c>
      <c r="E45" s="4">
        <f>IF(INDEX(C:C, ROW())+INDEX(D:D, ROW())=0, 0, INDEX(C:C, ROW())/(INDEX(C:C, ROW())+INDEX(D:D, ROW())))</f>
        <v/>
      </c>
      <c r="F45" s="1" t="inlineStr">
        <is>
          <t>Hash Table, String, Sliding Window</t>
        </is>
      </c>
      <c r="G45" s="1" t="inlineStr">
        <is>
          <t>Hard</t>
        </is>
      </c>
      <c r="H45" s="1" t="n">
        <v>2162229</v>
      </c>
      <c r="I45" s="1" t="n">
        <v>4556714</v>
      </c>
      <c r="J45" s="9" t="n">
        <v>0.475</v>
      </c>
      <c r="K45" s="1" t="inlineStr">
        <is>
          <t>Yes</t>
        </is>
      </c>
      <c r="L45" s="1" t="inlineStr">
        <is>
          <t>Yes</t>
        </is>
      </c>
      <c r="M45" s="1" t="inlineStr">
        <is>
          <t>No</t>
        </is>
      </c>
      <c r="N45" s="1" t="inlineStr">
        <is>
          <t>Algorithms</t>
        </is>
      </c>
      <c r="O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5" s="11" t="inlineStr">
        <is>
          <t>To Do</t>
        </is>
      </c>
    </row>
    <row r="46" ht="15.75" customHeight="1" s="12">
      <c r="A46" s="1" t="n">
        <v>48</v>
      </c>
      <c r="B46" s="3">
        <f>HYPERLINK("https://leetcode.com/problems/rotate-image/", "Rotate Image")</f>
        <v/>
      </c>
      <c r="C46" s="1" t="n">
        <v>20063</v>
      </c>
      <c r="D46" s="1" t="n">
        <v>970</v>
      </c>
      <c r="E46" s="4">
        <f>IF(INDEX(C:C, ROW())+INDEX(D:D, ROW())=0, 0, INDEX(C:C, ROW())/(INDEX(C:C, ROW())+INDEX(D:D, ROW())))</f>
        <v/>
      </c>
      <c r="F46" s="1" t="inlineStr">
        <is>
          <t>Array, Math, Matrix</t>
        </is>
      </c>
      <c r="G46" s="1" t="inlineStr">
        <is>
          <t>Medium</t>
        </is>
      </c>
      <c r="H46" s="1" t="n">
        <v>2909368</v>
      </c>
      <c r="I46" s="1" t="n">
        <v>3635068</v>
      </c>
      <c r="J46" s="9" t="n">
        <v>0.8</v>
      </c>
      <c r="K46" s="1" t="inlineStr">
        <is>
          <t>Yes</t>
        </is>
      </c>
      <c r="L46" s="1" t="inlineStr">
        <is>
          <t>Yes</t>
        </is>
      </c>
      <c r="M46" s="1" t="inlineStr">
        <is>
          <t>No</t>
        </is>
      </c>
      <c r="N46" s="1" t="inlineStr">
        <is>
          <t>Algorithms</t>
        </is>
      </c>
      <c r="O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6" s="11" t="inlineStr">
        <is>
          <t>To Do</t>
        </is>
      </c>
    </row>
    <row r="47" ht="15.75" customHeight="1" s="12">
      <c r="A47" s="1" t="n">
        <v>84</v>
      </c>
      <c r="B47" s="3">
        <f>HYPERLINK("https://leetcode.com/problems/largest-rectangle-in-histogram/", "Largest Rectangle in Histogram")</f>
        <v/>
      </c>
      <c r="C47" s="1" t="n">
        <v>19694</v>
      </c>
      <c r="D47" s="1" t="n">
        <v>391</v>
      </c>
      <c r="E47" s="4">
        <f>IF(INDEX(C:C, ROW())+INDEX(D:D, ROW())=0, 0, INDEX(C:C, ROW())/(INDEX(C:C, ROW())+INDEX(D:D, ROW())))</f>
        <v/>
      </c>
      <c r="F47" s="1" t="inlineStr">
        <is>
          <t>Array, Stack, Monotonic Stack</t>
        </is>
      </c>
      <c r="G47" s="1" t="inlineStr">
        <is>
          <t>Hard</t>
        </is>
      </c>
      <c r="H47" s="1" t="n">
        <v>1561358</v>
      </c>
      <c r="I47" s="1" t="n">
        <v>3133912</v>
      </c>
      <c r="J47" s="9" t="n">
        <v>0.498</v>
      </c>
      <c r="K47" s="1" t="inlineStr">
        <is>
          <t>Yes</t>
        </is>
      </c>
      <c r="L47" s="1" t="inlineStr">
        <is>
          <t>Yes</t>
        </is>
      </c>
      <c r="M47" s="1" t="inlineStr">
        <is>
          <t>Yes</t>
        </is>
      </c>
      <c r="N47" s="1" t="inlineStr">
        <is>
          <t>Algorithms</t>
        </is>
      </c>
      <c r="O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7" s="11" t="inlineStr">
        <is>
          <t>To Do</t>
        </is>
      </c>
    </row>
    <row r="48" ht="15.75" customHeight="1" s="12">
      <c r="A48" s="1" t="n">
        <v>347</v>
      </c>
      <c r="B48" s="3">
        <f>HYPERLINK("https://leetcode.com/problems/top-k-frequent-elements/", "Top K Frequent Elements")</f>
        <v/>
      </c>
      <c r="C48" s="1" t="n">
        <v>19539</v>
      </c>
      <c r="D48" s="1" t="n">
        <v>857</v>
      </c>
      <c r="E48" s="4">
        <f>IF(INDEX(C:C, ROW())+INDEX(D:D, ROW())=0, 0, INDEX(C:C, ROW())/(INDEX(C:C, ROW())+INDEX(D:D, ROW())))</f>
        <v/>
      </c>
      <c r="F48" s="1" t="inlineStr">
        <is>
          <t>Array, Hash Table, Divide and Conquer, Sorting, Heap (Priority Queue), Bucket Sort, Counting, Quickselect</t>
        </is>
      </c>
      <c r="G48" s="1" t="inlineStr">
        <is>
          <t>Medium</t>
        </is>
      </c>
      <c r="H48" s="1" t="n">
        <v>3571274</v>
      </c>
      <c r="I48" s="1" t="n">
        <v>5381974</v>
      </c>
      <c r="J48" s="9" t="n">
        <v>0.664</v>
      </c>
      <c r="K48" s="1" t="inlineStr">
        <is>
          <t>Yes</t>
        </is>
      </c>
      <c r="L48" s="1" t="inlineStr">
        <is>
          <t>Yes</t>
        </is>
      </c>
      <c r="M48" s="1" t="inlineStr">
        <is>
          <t>Yes</t>
        </is>
      </c>
      <c r="N48" s="1" t="inlineStr">
        <is>
          <t>Algorithms</t>
        </is>
      </c>
      <c r="O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8" s="11" t="inlineStr">
        <is>
          <t>To Do</t>
        </is>
      </c>
    </row>
    <row r="49" ht="15.75" customHeight="1" s="12">
      <c r="A49" s="1" t="n">
        <v>283</v>
      </c>
      <c r="B49" s="3">
        <f>HYPERLINK("https://leetcode.com/problems/move-zeroes/", "Move Zeroes")</f>
        <v/>
      </c>
      <c r="C49" s="1" t="n">
        <v>19507</v>
      </c>
      <c r="D49" s="1" t="n">
        <v>607</v>
      </c>
      <c r="E49" s="4">
        <f>IF(INDEX(C:C, ROW())+INDEX(D:D, ROW())=0, 0, INDEX(C:C, ROW())/(INDEX(C:C, ROW())+INDEX(D:D, ROW())))</f>
        <v/>
      </c>
      <c r="F49" s="1" t="inlineStr">
        <is>
          <t>Array, Two Pointers</t>
        </is>
      </c>
      <c r="G49" s="1" t="inlineStr">
        <is>
          <t>Easy</t>
        </is>
      </c>
      <c r="H49" s="1" t="n">
        <v>5121584</v>
      </c>
      <c r="I49" s="1" t="n">
        <v>8027178</v>
      </c>
      <c r="J49" s="9" t="n">
        <v>0.638</v>
      </c>
      <c r="K49" s="1" t="inlineStr">
        <is>
          <t>Yes</t>
        </is>
      </c>
      <c r="L49" s="1" t="inlineStr">
        <is>
          <t>Yes</t>
        </is>
      </c>
      <c r="M49" s="1" t="inlineStr">
        <is>
          <t>Yes</t>
        </is>
      </c>
      <c r="N49" s="1" t="inlineStr">
        <is>
          <t>Algorithms</t>
        </is>
      </c>
      <c r="O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9" s="13" t="inlineStr">
        <is>
          <t>Done</t>
        </is>
      </c>
    </row>
    <row r="50" ht="15.75" customHeight="1" s="12">
      <c r="A50" s="1" t="n">
        <v>78</v>
      </c>
      <c r="B50" s="3">
        <f>HYPERLINK("https://leetcode.com/problems/subsets/", "Subsets")</f>
        <v/>
      </c>
      <c r="C50" s="1" t="n">
        <v>19260</v>
      </c>
      <c r="D50" s="1" t="n">
        <v>341</v>
      </c>
      <c r="E50" s="4">
        <f>IF(INDEX(C:C, ROW())+INDEX(D:D, ROW())=0, 0, INDEX(C:C, ROW())/(INDEX(C:C, ROW())+INDEX(D:D, ROW())))</f>
        <v/>
      </c>
      <c r="F50" s="1" t="inlineStr">
        <is>
          <t>Array, Backtracking, Bit Manipulation</t>
        </is>
      </c>
      <c r="G50" s="1" t="inlineStr">
        <is>
          <t>Medium</t>
        </is>
      </c>
      <c r="H50" s="1" t="n">
        <v>3041676</v>
      </c>
      <c r="I50" s="1" t="n">
        <v>3695801</v>
      </c>
      <c r="J50" s="9" t="n">
        <v>0.823</v>
      </c>
      <c r="K50" s="1" t="inlineStr">
        <is>
          <t>Yes</t>
        </is>
      </c>
      <c r="L50" s="1" t="inlineStr">
        <is>
          <t>Yes</t>
        </is>
      </c>
      <c r="M50" s="1" t="inlineStr">
        <is>
          <t>Yes</t>
        </is>
      </c>
      <c r="N50" s="1" t="inlineStr">
        <is>
          <t>Algorithms</t>
        </is>
      </c>
      <c r="O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0" s="11" t="inlineStr">
        <is>
          <t>To Do</t>
        </is>
      </c>
    </row>
    <row r="51" ht="15.75" customHeight="1" s="12">
      <c r="A51" s="1" t="n">
        <v>26</v>
      </c>
      <c r="B51" s="3">
        <f>HYPERLINK("https://leetcode.com/problems/remove-duplicates-from-sorted-array/", "Remove Duplicates from Sorted Array")</f>
        <v/>
      </c>
      <c r="C51" s="1" t="n">
        <v>19223</v>
      </c>
      <c r="D51" s="1" t="n">
        <v>20545</v>
      </c>
      <c r="E51" s="4">
        <f>IF(INDEX(C:C, ROW())+INDEX(D:D, ROW())=0, 0, INDEX(C:C, ROW())/(INDEX(C:C, ROW())+INDEX(D:D, ROW())))</f>
        <v/>
      </c>
      <c r="F51" s="1" t="inlineStr">
        <is>
          <t>Array, Two Pointers</t>
        </is>
      </c>
      <c r="G51" s="1" t="inlineStr">
        <is>
          <t>Easy</t>
        </is>
      </c>
      <c r="H51" s="1" t="n">
        <v>7834365</v>
      </c>
      <c r="I51" s="1" t="n">
        <v>12488000</v>
      </c>
      <c r="J51" s="9" t="n">
        <v>0.627</v>
      </c>
      <c r="K51" s="1" t="inlineStr">
        <is>
          <t>Yes</t>
        </is>
      </c>
      <c r="L51" s="1" t="inlineStr">
        <is>
          <t>Yes</t>
        </is>
      </c>
      <c r="M51" s="1" t="inlineStr">
        <is>
          <t>Yes</t>
        </is>
      </c>
      <c r="N51" s="1" t="inlineStr">
        <is>
          <t>Algorithms</t>
        </is>
      </c>
      <c r="O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1" s="10" t="inlineStr">
        <is>
          <t>Done</t>
        </is>
      </c>
    </row>
    <row r="52" ht="15.75" customHeight="1" s="12">
      <c r="A52" s="1" t="n">
        <v>88</v>
      </c>
      <c r="B52" s="3">
        <f>HYPERLINK("https://leetcode.com/problems/merge-sorted-array/", "Merge Sorted Array")</f>
        <v/>
      </c>
      <c r="C52" s="1" t="n">
        <v>19048</v>
      </c>
      <c r="D52" s="1" t="n">
        <v>2660</v>
      </c>
      <c r="E52" s="4">
        <f>IF(INDEX(C:C, ROW())+INDEX(D:D, ROW())=0, 0, INDEX(C:C, ROW())/(INDEX(C:C, ROW())+INDEX(D:D, ROW())))</f>
        <v/>
      </c>
      <c r="F52" s="1" t="inlineStr">
        <is>
          <t>Array, Two Pointers, Sorting</t>
        </is>
      </c>
      <c r="G52" s="1" t="inlineStr">
        <is>
          <t>Easy</t>
        </is>
      </c>
      <c r="H52" s="1" t="n">
        <v>5675694</v>
      </c>
      <c r="I52" s="1" t="n">
        <v>10360393</v>
      </c>
      <c r="J52" s="9" t="n">
        <v>0.548</v>
      </c>
      <c r="K52" s="1" t="inlineStr">
        <is>
          <t>Yes</t>
        </is>
      </c>
      <c r="L52" s="1" t="inlineStr">
        <is>
          <t>Yes</t>
        </is>
      </c>
      <c r="M52" s="1" t="inlineStr">
        <is>
          <t>Yes</t>
        </is>
      </c>
      <c r="N52" s="1" t="inlineStr">
        <is>
          <t>Algorithms</t>
        </is>
      </c>
      <c r="O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2" s="13" t="inlineStr">
        <is>
          <t>Done</t>
        </is>
      </c>
    </row>
    <row r="53" ht="15.75" customHeight="1" s="12">
      <c r="A53" s="1" t="n">
        <v>136</v>
      </c>
      <c r="B53" s="3">
        <f>HYPERLINK("https://leetcode.com/problems/single-number/", "Single Number")</f>
        <v/>
      </c>
      <c r="C53" s="1" t="n">
        <v>18884</v>
      </c>
      <c r="D53" s="1" t="n">
        <v>907</v>
      </c>
      <c r="E53" s="4">
        <f>IF(INDEX(C:C, ROW())+INDEX(D:D, ROW())=0, 0, INDEX(C:C, ROW())/(INDEX(C:C, ROW())+INDEX(D:D, ROW())))</f>
        <v/>
      </c>
      <c r="F53" s="1" t="inlineStr">
        <is>
          <t>Array, Bit Manipulation</t>
        </is>
      </c>
      <c r="G53" s="1" t="inlineStr">
        <is>
          <t>Easy</t>
        </is>
      </c>
      <c r="H53" s="1" t="n">
        <v>4558654</v>
      </c>
      <c r="I53" s="1" t="n">
        <v>5871723</v>
      </c>
      <c r="J53" s="9" t="n">
        <v>0.776</v>
      </c>
      <c r="K53" s="1" t="inlineStr">
        <is>
          <t>Yes</t>
        </is>
      </c>
      <c r="L53" s="1" t="inlineStr">
        <is>
          <t>Yes</t>
        </is>
      </c>
      <c r="M53" s="1" t="inlineStr">
        <is>
          <t>No</t>
        </is>
      </c>
      <c r="N53" s="1" t="inlineStr">
        <is>
          <t>Algorithms</t>
        </is>
      </c>
      <c r="O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3" s="13" t="inlineStr">
        <is>
          <t>Done</t>
        </is>
      </c>
    </row>
    <row r="54" ht="15.75" customHeight="1" s="12">
      <c r="A54" s="1" t="n">
        <v>35</v>
      </c>
      <c r="B54" s="3">
        <f>HYPERLINK("https://leetcode.com/problems/search-insert-position/", "Search Insert Position")</f>
        <v/>
      </c>
      <c r="C54" s="1" t="n">
        <v>18875</v>
      </c>
      <c r="D54" s="1" t="n">
        <v>903</v>
      </c>
      <c r="E54" s="4">
        <f>IF(INDEX(C:C, ROW())+INDEX(D:D, ROW())=0, 0, INDEX(C:C, ROW())/(INDEX(C:C, ROW())+INDEX(D:D, ROW())))</f>
        <v/>
      </c>
      <c r="F54" s="1" t="inlineStr">
        <is>
          <t>Array, Binary Search</t>
        </is>
      </c>
      <c r="G54" s="1" t="inlineStr">
        <is>
          <t>Easy</t>
        </is>
      </c>
      <c r="H54" s="1" t="n">
        <v>4738495</v>
      </c>
      <c r="I54" s="1" t="n">
        <v>9257035</v>
      </c>
      <c r="J54" s="9" t="n">
        <v>0.512</v>
      </c>
      <c r="K54" s="1" t="inlineStr">
        <is>
          <t>Yes</t>
        </is>
      </c>
      <c r="L54" s="1" t="inlineStr">
        <is>
          <t>Yes</t>
        </is>
      </c>
      <c r="M54" s="1" t="inlineStr">
        <is>
          <t>Yes</t>
        </is>
      </c>
      <c r="N54" s="1" t="inlineStr">
        <is>
          <t>Algorithms</t>
        </is>
      </c>
      <c r="O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4" s="13" t="inlineStr">
        <is>
          <t>Done</t>
        </is>
      </c>
    </row>
    <row r="55" ht="15.75" customHeight="1" s="12">
      <c r="A55" s="1" t="n">
        <v>215</v>
      </c>
      <c r="B55" s="3">
        <f>HYPERLINK("https://leetcode.com/problems/kth-largest-element-in-an-array/", "Kth Largest Element in an Array")</f>
        <v/>
      </c>
      <c r="C55" s="1" t="n">
        <v>18822</v>
      </c>
      <c r="D55" s="1" t="n">
        <v>975</v>
      </c>
      <c r="E55" s="4">
        <f>IF(INDEX(C:C, ROW())+INDEX(D:D, ROW())=0, 0, INDEX(C:C, ROW())/(INDEX(C:C, ROW())+INDEX(D:D, ROW())))</f>
        <v/>
      </c>
      <c r="F55" s="1" t="inlineStr">
        <is>
          <t>Array, Divide and Conquer, Sorting, Heap (Priority Queue), Quickselect</t>
        </is>
      </c>
      <c r="G55" s="1" t="inlineStr">
        <is>
          <t>Medium</t>
        </is>
      </c>
      <c r="H55" s="1" t="n">
        <v>3615300</v>
      </c>
      <c r="I55" s="1" t="n">
        <v>5247452</v>
      </c>
      <c r="J55" s="9" t="n">
        <v>0.6889999999999999</v>
      </c>
      <c r="K55" s="1" t="inlineStr">
        <is>
          <t>Yes</t>
        </is>
      </c>
      <c r="L55" s="1" t="inlineStr">
        <is>
          <t>Yes</t>
        </is>
      </c>
      <c r="M55" s="1" t="inlineStr">
        <is>
          <t>Yes</t>
        </is>
      </c>
      <c r="N55" s="1" t="inlineStr">
        <is>
          <t>Algorithms</t>
        </is>
      </c>
      <c r="O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5" s="11" t="inlineStr">
        <is>
          <t>To Do</t>
        </is>
      </c>
    </row>
    <row r="56" ht="15.75" customHeight="1" s="12">
      <c r="A56" s="1" t="n">
        <v>236</v>
      </c>
      <c r="B56" s="3">
        <f>HYPERLINK("https://leetcode.com/problems/lowest-common-ancestor-of-a-binary-tree/", "Lowest Common Ancestor of a Binary Tree")</f>
        <v/>
      </c>
      <c r="C56" s="1" t="n">
        <v>18739</v>
      </c>
      <c r="D56" s="1" t="n">
        <v>493</v>
      </c>
      <c r="E56" s="4">
        <f>IF(INDEX(C:C, ROW())+INDEX(D:D, ROW())=0, 0, INDEX(C:C, ROW())/(INDEX(C:C, ROW())+INDEX(D:D, ROW())))</f>
        <v/>
      </c>
      <c r="F56" s="1" t="inlineStr">
        <is>
          <t>Tree, Depth-First Search, Binary Tree</t>
        </is>
      </c>
      <c r="G56" s="1" t="inlineStr">
        <is>
          <t>Medium</t>
        </is>
      </c>
      <c r="H56" s="1" t="n">
        <v>2597088</v>
      </c>
      <c r="I56" s="1" t="n">
        <v>3751167</v>
      </c>
      <c r="J56" s="9" t="n">
        <v>0.6919999999999999</v>
      </c>
      <c r="K56" s="1" t="inlineStr">
        <is>
          <t>Yes</t>
        </is>
      </c>
      <c r="L56" s="1" t="inlineStr">
        <is>
          <t>Yes</t>
        </is>
      </c>
      <c r="M56" s="1" t="inlineStr">
        <is>
          <t>No</t>
        </is>
      </c>
      <c r="N56" s="1" t="inlineStr">
        <is>
          <t>Algorithms</t>
        </is>
      </c>
      <c r="O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6" s="11" t="inlineStr">
        <is>
          <t>To Do</t>
        </is>
      </c>
    </row>
    <row r="57" ht="15.75" customHeight="1" s="12">
      <c r="A57" s="1" t="n">
        <v>139</v>
      </c>
      <c r="B57" s="3">
        <f>HYPERLINK("https://leetcode.com/problems/word-break/", "Word Break")</f>
        <v/>
      </c>
      <c r="C57" s="1" t="n">
        <v>18708</v>
      </c>
      <c r="D57" s="1" t="n">
        <v>905</v>
      </c>
      <c r="E57" s="4">
        <f>IF(INDEX(C:C, ROW())+INDEX(D:D, ROW())=0, 0, INDEX(C:C, ROW())/(INDEX(C:C, ROW())+INDEX(D:D, ROW())))</f>
        <v/>
      </c>
      <c r="F57" s="1" t="inlineStr">
        <is>
          <t>Array, Hash Table, String, Dynamic Programming, Trie, Memoization</t>
        </is>
      </c>
      <c r="G57" s="1" t="inlineStr">
        <is>
          <t>Medium</t>
        </is>
      </c>
      <c r="H57" s="1" t="n">
        <v>2381564</v>
      </c>
      <c r="I57" s="1" t="n">
        <v>4819821</v>
      </c>
      <c r="J57" s="9" t="n">
        <v>0.494</v>
      </c>
      <c r="K57" s="1" t="inlineStr">
        <is>
          <t>Yes</t>
        </is>
      </c>
      <c r="L57" s="1" t="inlineStr">
        <is>
          <t>Yes</t>
        </is>
      </c>
      <c r="M57" s="1" t="inlineStr">
        <is>
          <t>Yes</t>
        </is>
      </c>
      <c r="N57" s="1" t="inlineStr">
        <is>
          <t>Algorithms</t>
        </is>
      </c>
      <c r="O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7" s="11" t="inlineStr">
        <is>
          <t>To Do</t>
        </is>
      </c>
    </row>
    <row r="58" ht="15.75" customHeight="1" s="12">
      <c r="A58" s="1" t="n">
        <v>124</v>
      </c>
      <c r="B58" s="3">
        <f>HYPERLINK("https://leetcode.com/problems/binary-tree-maximum-path-sum/", "Binary Tree Maximum Path Sum")</f>
        <v/>
      </c>
      <c r="C58" s="1" t="n">
        <v>18508</v>
      </c>
      <c r="D58" s="1" t="n">
        <v>792</v>
      </c>
      <c r="E58" s="4">
        <f>IF(INDEX(C:C, ROW())+INDEX(D:D, ROW())=0, 0, INDEX(C:C, ROW())/(INDEX(C:C, ROW())+INDEX(D:D, ROW())))</f>
        <v/>
      </c>
      <c r="F58" s="1" t="inlineStr">
        <is>
          <t>Dynamic Programming, Tree, Depth-First Search, Binary Tree</t>
        </is>
      </c>
      <c r="G58" s="1" t="inlineStr">
        <is>
          <t>Hard</t>
        </is>
      </c>
      <c r="H58" s="1" t="n">
        <v>1902180</v>
      </c>
      <c r="I58" s="1" t="n">
        <v>4498908</v>
      </c>
      <c r="J58" s="9" t="n">
        <v>0.423</v>
      </c>
      <c r="K58" s="1" t="inlineStr">
        <is>
          <t>Yes</t>
        </is>
      </c>
      <c r="L58" s="1" t="inlineStr">
        <is>
          <t>Yes</t>
        </is>
      </c>
      <c r="M58" s="1" t="inlineStr">
        <is>
          <t>No</t>
        </is>
      </c>
      <c r="N58" s="1" t="inlineStr">
        <is>
          <t>Algorithms</t>
        </is>
      </c>
      <c r="O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8" s="11" t="inlineStr">
        <is>
          <t>To Do</t>
        </is>
      </c>
    </row>
    <row r="59" ht="15.75" customHeight="1" s="12">
      <c r="A59" s="1" t="n">
        <v>41</v>
      </c>
      <c r="B59" s="3">
        <f>HYPERLINK("https://leetcode.com/problems/first-missing-positive/", "First Missing Positive")</f>
        <v/>
      </c>
      <c r="C59" s="1" t="n">
        <v>18436</v>
      </c>
      <c r="D59" s="1" t="n">
        <v>1984</v>
      </c>
      <c r="E59" s="4">
        <f>IF(INDEX(C:C, ROW())+INDEX(D:D, ROW())=0, 0, INDEX(C:C, ROW())/(INDEX(C:C, ROW())+INDEX(D:D, ROW())))</f>
        <v/>
      </c>
      <c r="F59" s="1" t="inlineStr">
        <is>
          <t>Array, Hash Table</t>
        </is>
      </c>
      <c r="G59" s="1" t="inlineStr">
        <is>
          <t>Hard</t>
        </is>
      </c>
      <c r="H59" s="1" t="n">
        <v>1756039</v>
      </c>
      <c r="I59" s="1" t="n">
        <v>4097403</v>
      </c>
      <c r="J59" s="9" t="n">
        <v>0.429</v>
      </c>
      <c r="K59" s="1" t="inlineStr">
        <is>
          <t>Yes</t>
        </is>
      </c>
      <c r="L59" s="1" t="inlineStr">
        <is>
          <t>Yes</t>
        </is>
      </c>
      <c r="M59" s="1" t="inlineStr">
        <is>
          <t>No</t>
        </is>
      </c>
      <c r="N59" s="1" t="inlineStr">
        <is>
          <t>Algorithms</t>
        </is>
      </c>
      <c r="O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9" s="11" t="inlineStr">
        <is>
          <t>To Do</t>
        </is>
      </c>
    </row>
    <row r="60" ht="15.75" customHeight="1" s="12">
      <c r="A60" s="1" t="n">
        <v>98</v>
      </c>
      <c r="B60" s="3">
        <f>HYPERLINK("https://leetcode.com/problems/validate-binary-search-tree/", "Validate Binary Search Tree")</f>
        <v/>
      </c>
      <c r="C60" s="1" t="n">
        <v>18420</v>
      </c>
      <c r="D60" s="1" t="n">
        <v>1461</v>
      </c>
      <c r="E60" s="4">
        <f>IF(INDEX(C:C, ROW())+INDEX(D:D, ROW())=0, 0, INDEX(C:C, ROW())/(INDEX(C:C, ROW())+INDEX(D:D, ROW())))</f>
        <v/>
      </c>
      <c r="F60" s="1" t="inlineStr">
        <is>
          <t>Tree, Depth-First Search, Binary Search Tree, Binary Tree</t>
        </is>
      </c>
      <c r="G60" s="1" t="inlineStr">
        <is>
          <t>Medium</t>
        </is>
      </c>
      <c r="H60" s="1" t="n">
        <v>3344981</v>
      </c>
      <c r="I60" s="1" t="n">
        <v>9365861</v>
      </c>
      <c r="J60" s="9" t="n">
        <v>0.357</v>
      </c>
      <c r="K60" s="1" t="inlineStr">
        <is>
          <t>Yes</t>
        </is>
      </c>
      <c r="L60" s="1" t="inlineStr">
        <is>
          <t>Yes</t>
        </is>
      </c>
      <c r="M60" s="1" t="inlineStr">
        <is>
          <t>Yes</t>
        </is>
      </c>
      <c r="N60" s="1" t="inlineStr">
        <is>
          <t>Algorithms</t>
        </is>
      </c>
      <c r="O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0" s="11" t="inlineStr">
        <is>
          <t>To Do</t>
        </is>
      </c>
    </row>
    <row r="61" ht="15.75" customHeight="1" s="12">
      <c r="A61" s="1" t="n">
        <v>62</v>
      </c>
      <c r="B61" s="3">
        <f>HYPERLINK("https://leetcode.com/problems/unique-paths/", "Unique Paths")</f>
        <v/>
      </c>
      <c r="C61" s="1" t="n">
        <v>18411</v>
      </c>
      <c r="D61" s="1" t="n">
        <v>496</v>
      </c>
      <c r="E61" s="4">
        <f>IF(INDEX(C:C, ROW())+INDEX(D:D, ROW())=0, 0, INDEX(C:C, ROW())/(INDEX(C:C, ROW())+INDEX(D:D, ROW())))</f>
        <v/>
      </c>
      <c r="F61" s="1" t="inlineStr">
        <is>
          <t>Math, Dynamic Programming, Combinatorics</t>
        </is>
      </c>
      <c r="G61" s="1" t="inlineStr">
        <is>
          <t>Medium</t>
        </is>
      </c>
      <c r="H61" s="1" t="n">
        <v>2827404</v>
      </c>
      <c r="I61" s="1" t="n">
        <v>4232224</v>
      </c>
      <c r="J61" s="9" t="n">
        <v>0.668</v>
      </c>
      <c r="K61" s="1" t="inlineStr">
        <is>
          <t>Yes</t>
        </is>
      </c>
      <c r="L61" s="1" t="inlineStr">
        <is>
          <t>Yes</t>
        </is>
      </c>
      <c r="M61" s="1" t="inlineStr">
        <is>
          <t>No</t>
        </is>
      </c>
      <c r="N61" s="1" t="inlineStr">
        <is>
          <t>Algorithms</t>
        </is>
      </c>
      <c r="O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1" s="11" t="inlineStr">
        <is>
          <t>To Do</t>
        </is>
      </c>
    </row>
    <row r="62" ht="15.75" customHeight="1" s="12">
      <c r="A62" s="1" t="n">
        <v>234</v>
      </c>
      <c r="B62" s="3">
        <f>HYPERLINK("https://leetcode.com/problems/palindrome-linked-list/", "Palindrome Linked List")</f>
        <v/>
      </c>
      <c r="C62" s="1" t="n">
        <v>18379</v>
      </c>
      <c r="D62" s="1" t="n">
        <v>983</v>
      </c>
      <c r="E62" s="4">
        <f>IF(INDEX(C:C, ROW())+INDEX(D:D, ROW())=0, 0, INDEX(C:C, ROW())/(INDEX(C:C, ROW())+INDEX(D:D, ROW())))</f>
        <v/>
      </c>
      <c r="F62" s="1" t="inlineStr">
        <is>
          <t>Linked List, Two Pointers, Stack, Recursion</t>
        </is>
      </c>
      <c r="G62" s="1" t="inlineStr">
        <is>
          <t>Easy</t>
        </is>
      </c>
      <c r="H62" s="1" t="n">
        <v>2903918</v>
      </c>
      <c r="I62" s="1" t="n">
        <v>5016164</v>
      </c>
      <c r="J62" s="9" t="n">
        <v>0.579</v>
      </c>
      <c r="K62" s="1" t="inlineStr">
        <is>
          <t>Yes</t>
        </is>
      </c>
      <c r="L62" s="1" t="inlineStr">
        <is>
          <t>Yes</t>
        </is>
      </c>
      <c r="M62" s="1" t="inlineStr">
        <is>
          <t>Yes</t>
        </is>
      </c>
      <c r="N62" s="1" t="inlineStr">
        <is>
          <t>Algorithms</t>
        </is>
      </c>
      <c r="O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2" s="13" t="inlineStr">
        <is>
          <t>Done</t>
        </is>
      </c>
    </row>
    <row r="63" ht="15.75" customHeight="1" s="12">
      <c r="A63" s="1" t="n">
        <v>207</v>
      </c>
      <c r="B63" s="3">
        <f>HYPERLINK("https://leetcode.com/problems/course-schedule/", "Course Schedule")</f>
        <v/>
      </c>
      <c r="C63" s="1" t="n">
        <v>18028</v>
      </c>
      <c r="D63" s="1" t="n">
        <v>872</v>
      </c>
      <c r="E63" s="4">
        <f>IF(INDEX(C:C, ROW())+INDEX(D:D, ROW())=0, 0, INDEX(C:C, ROW())/(INDEX(C:C, ROW())+INDEX(D:D, ROW())))</f>
        <v/>
      </c>
      <c r="F63" s="1" t="inlineStr">
        <is>
          <t>Depth-First Search, Breadth-First Search, Graph Theory, Topological Sort</t>
        </is>
      </c>
      <c r="G63" s="1" t="inlineStr">
        <is>
          <t>Medium</t>
        </is>
      </c>
      <c r="H63" s="1" t="n">
        <v>2593881</v>
      </c>
      <c r="I63" s="1" t="n">
        <v>5052045</v>
      </c>
      <c r="J63" s="9" t="n">
        <v>0.513</v>
      </c>
      <c r="K63" s="1" t="inlineStr">
        <is>
          <t>Yes</t>
        </is>
      </c>
      <c r="L63" s="1" t="inlineStr">
        <is>
          <t>Yes</t>
        </is>
      </c>
      <c r="M63" s="1" t="inlineStr">
        <is>
          <t>No</t>
        </is>
      </c>
      <c r="N63" s="1" t="inlineStr">
        <is>
          <t>Algorithms</t>
        </is>
      </c>
      <c r="O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3" s="11" t="inlineStr">
        <is>
          <t>To Do</t>
        </is>
      </c>
    </row>
    <row r="64" ht="15.75" customHeight="1" s="12">
      <c r="A64" s="1" t="n">
        <v>74</v>
      </c>
      <c r="B64" s="3">
        <f>HYPERLINK("https://leetcode.com/problems/search-a-2d-matrix/", "Search a 2D Matrix")</f>
        <v/>
      </c>
      <c r="C64" s="1" t="n">
        <v>17962</v>
      </c>
      <c r="D64" s="1" t="n">
        <v>486</v>
      </c>
      <c r="E64" s="4">
        <f>IF(INDEX(C:C, ROW())+INDEX(D:D, ROW())=0, 0, INDEX(C:C, ROW())/(INDEX(C:C, ROW())+INDEX(D:D, ROW())))</f>
        <v/>
      </c>
      <c r="F64" s="1" t="inlineStr">
        <is>
          <t>Array, Binary Search, Matrix</t>
        </is>
      </c>
      <c r="G64" s="1" t="inlineStr">
        <is>
          <t>Medium</t>
        </is>
      </c>
      <c r="H64" s="1" t="n">
        <v>2884895</v>
      </c>
      <c r="I64" s="1" t="n">
        <v>5354237</v>
      </c>
      <c r="J64" s="9" t="n">
        <v>0.539</v>
      </c>
      <c r="K64" s="1" t="inlineStr">
        <is>
          <t>Yes</t>
        </is>
      </c>
      <c r="L64" s="1" t="inlineStr">
        <is>
          <t>Yes</t>
        </is>
      </c>
      <c r="M64" s="1" t="inlineStr">
        <is>
          <t>No</t>
        </is>
      </c>
      <c r="N64" s="1" t="inlineStr">
        <is>
          <t>Algorithms</t>
        </is>
      </c>
      <c r="O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4" s="11" t="inlineStr">
        <is>
          <t>To Do</t>
        </is>
      </c>
    </row>
    <row r="65" ht="15.75" customHeight="1" s="12">
      <c r="A65" s="1" t="n">
        <v>13</v>
      </c>
      <c r="B65" s="3">
        <f>HYPERLINK("https://leetcode.com/problems/roman-to-integer/", "Roman to Integer")</f>
        <v/>
      </c>
      <c r="C65" s="1" t="n">
        <v>17770</v>
      </c>
      <c r="D65" s="1" t="n">
        <v>1245</v>
      </c>
      <c r="E65" s="4">
        <f>IF(INDEX(C:C, ROW())+INDEX(D:D, ROW())=0, 0, INDEX(C:C, ROW())/(INDEX(C:C, ROW())+INDEX(D:D, ROW())))</f>
        <v/>
      </c>
      <c r="F65" s="1" t="inlineStr">
        <is>
          <t>Hash Table, Math, String</t>
        </is>
      </c>
      <c r="G65" s="1" t="inlineStr">
        <is>
          <t>Easy</t>
        </is>
      </c>
      <c r="H65" s="1" t="n">
        <v>5865884</v>
      </c>
      <c r="I65" s="1" t="n">
        <v>8809277</v>
      </c>
      <c r="J65" s="9" t="n">
        <v>0.666</v>
      </c>
      <c r="K65" s="1" t="inlineStr">
        <is>
          <t>Yes</t>
        </is>
      </c>
      <c r="L65" s="1" t="inlineStr">
        <is>
          <t>Yes</t>
        </is>
      </c>
      <c r="M65" s="1" t="inlineStr">
        <is>
          <t>Yes</t>
        </is>
      </c>
      <c r="N65" s="1" t="inlineStr">
        <is>
          <t>Algorithms</t>
        </is>
      </c>
      <c r="O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5" s="10" t="inlineStr">
        <is>
          <t>Done</t>
        </is>
      </c>
    </row>
    <row r="66" ht="15.75" customHeight="1" s="12">
      <c r="A66" s="1" t="n">
        <v>79</v>
      </c>
      <c r="B66" s="3">
        <f>HYPERLINK("https://leetcode.com/problems/word-search/", "Word Search")</f>
        <v/>
      </c>
      <c r="C66" s="1" t="n">
        <v>17715</v>
      </c>
      <c r="D66" s="1" t="n">
        <v>757</v>
      </c>
      <c r="E66" s="4">
        <f>IF(INDEX(C:C, ROW())+INDEX(D:D, ROW())=0, 0, INDEX(C:C, ROW())/(INDEX(C:C, ROW())+INDEX(D:D, ROW())))</f>
        <v/>
      </c>
      <c r="F66" s="1" t="inlineStr">
        <is>
          <t>Array, String, Backtracking, Depth-First Search, Matrix</t>
        </is>
      </c>
      <c r="G66" s="1" t="inlineStr">
        <is>
          <t>Medium</t>
        </is>
      </c>
      <c r="H66" s="1" t="n">
        <v>2501717</v>
      </c>
      <c r="I66" s="1" t="n">
        <v>5288934</v>
      </c>
      <c r="J66" s="9" t="n">
        <v>0.473</v>
      </c>
      <c r="K66" s="1" t="inlineStr">
        <is>
          <t>Yes</t>
        </is>
      </c>
      <c r="L66" s="1" t="inlineStr">
        <is>
          <t>Yes</t>
        </is>
      </c>
      <c r="M66" s="1" t="inlineStr">
        <is>
          <t>No</t>
        </is>
      </c>
      <c r="N66" s="1" t="inlineStr">
        <is>
          <t>Algorithms</t>
        </is>
      </c>
      <c r="O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6" s="11" t="inlineStr">
        <is>
          <t>To Do</t>
        </is>
      </c>
    </row>
    <row r="67" ht="15.75" customHeight="1" s="12">
      <c r="A67" s="1" t="n">
        <v>141</v>
      </c>
      <c r="B67" s="3">
        <f>HYPERLINK("https://leetcode.com/problems/linked-list-cycle/", "Linked List Cycle")</f>
        <v/>
      </c>
      <c r="C67" s="1" t="n">
        <v>17581</v>
      </c>
      <c r="D67" s="1" t="n">
        <v>1592</v>
      </c>
      <c r="E67" s="4">
        <f>IF(INDEX(C:C, ROW())+INDEX(D:D, ROW())=0, 0, INDEX(C:C, ROW())/(INDEX(C:C, ROW())+INDEX(D:D, ROW())))</f>
        <v/>
      </c>
      <c r="F67" s="1" t="inlineStr">
        <is>
          <t>Hash Table, Linked List, Two Pointers</t>
        </is>
      </c>
      <c r="G67" s="1" t="inlineStr">
        <is>
          <t>Easy</t>
        </is>
      </c>
      <c r="H67" s="1" t="n">
        <v>4890264</v>
      </c>
      <c r="I67" s="1" t="n">
        <v>9011642</v>
      </c>
      <c r="J67" s="9" t="n">
        <v>0.543</v>
      </c>
      <c r="K67" s="1" t="inlineStr">
        <is>
          <t>Yes</t>
        </is>
      </c>
      <c r="L67" s="1" t="inlineStr">
        <is>
          <t>Yes</t>
        </is>
      </c>
      <c r="M67" s="1" t="inlineStr">
        <is>
          <t>Yes</t>
        </is>
      </c>
      <c r="N67" s="1" t="inlineStr">
        <is>
          <t>Algorithms</t>
        </is>
      </c>
      <c r="O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7" s="13" t="inlineStr">
        <is>
          <t>Done</t>
        </is>
      </c>
    </row>
    <row r="68" ht="15.75" customHeight="1" s="12">
      <c r="A68" s="1" t="n">
        <v>54</v>
      </c>
      <c r="B68" s="3">
        <f>HYPERLINK("https://leetcode.com/problems/spiral-matrix/", "Spiral Matrix")</f>
        <v/>
      </c>
      <c r="C68" s="1" t="n">
        <v>17510</v>
      </c>
      <c r="D68" s="1" t="n">
        <v>1573</v>
      </c>
      <c r="E68" s="4">
        <f>IF(INDEX(C:C, ROW())+INDEX(D:D, ROW())=0, 0, INDEX(C:C, ROW())/(INDEX(C:C, ROW())+INDEX(D:D, ROW())))</f>
        <v/>
      </c>
      <c r="F68" s="1" t="inlineStr">
        <is>
          <t>Array, Matrix, Simulation</t>
        </is>
      </c>
      <c r="G68" s="1" t="inlineStr">
        <is>
          <t>Medium</t>
        </is>
      </c>
      <c r="H68" s="1" t="n">
        <v>2389289</v>
      </c>
      <c r="I68" s="1" t="n">
        <v>4214497</v>
      </c>
      <c r="J68" s="9" t="n">
        <v>0.5669999999999999</v>
      </c>
      <c r="K68" s="1" t="inlineStr">
        <is>
          <t>Yes</t>
        </is>
      </c>
      <c r="L68" s="1" t="inlineStr">
        <is>
          <t>Yes</t>
        </is>
      </c>
      <c r="M68" s="1" t="inlineStr">
        <is>
          <t>No</t>
        </is>
      </c>
      <c r="N68" s="1" t="inlineStr">
        <is>
          <t>Algorithms</t>
        </is>
      </c>
      <c r="O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8" s="11" t="inlineStr">
        <is>
          <t>To Do</t>
        </is>
      </c>
    </row>
    <row r="69" ht="15.75" customHeight="1" s="12">
      <c r="A69" s="1" t="n">
        <v>73</v>
      </c>
      <c r="B69" s="3">
        <f>HYPERLINK("https://leetcode.com/problems/set-matrix-zeroes/", "Set Matrix Zeroes")</f>
        <v/>
      </c>
      <c r="C69" s="1" t="n">
        <v>17158</v>
      </c>
      <c r="D69" s="1" t="n">
        <v>867</v>
      </c>
      <c r="E69" s="4">
        <f>IF(INDEX(C:C, ROW())+INDEX(D:D, ROW())=0, 0, INDEX(C:C, ROW())/(INDEX(C:C, ROW())+INDEX(D:D, ROW())))</f>
        <v/>
      </c>
      <c r="F69" s="1" t="inlineStr">
        <is>
          <t>Array, Hash Table, Matrix</t>
        </is>
      </c>
      <c r="G69" s="1" t="inlineStr">
        <is>
          <t>Medium</t>
        </is>
      </c>
      <c r="H69" s="1" t="n">
        <v>2577610</v>
      </c>
      <c r="I69" s="1" t="n">
        <v>4102472</v>
      </c>
      <c r="J69" s="9" t="n">
        <v>0.628</v>
      </c>
      <c r="K69" s="1" t="inlineStr">
        <is>
          <t>Yes</t>
        </is>
      </c>
      <c r="L69" s="1" t="inlineStr">
        <is>
          <t>Yes</t>
        </is>
      </c>
      <c r="M69" s="1" t="inlineStr">
        <is>
          <t>No</t>
        </is>
      </c>
      <c r="N69" s="1" t="inlineStr">
        <is>
          <t>Algorithms</t>
        </is>
      </c>
      <c r="O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9" s="11" t="inlineStr">
        <is>
          <t>To Do</t>
        </is>
      </c>
    </row>
    <row r="70" ht="15.75" customHeight="1" s="12">
      <c r="A70" s="1" t="n">
        <v>102</v>
      </c>
      <c r="B70" s="3">
        <f>HYPERLINK("https://leetcode.com/problems/binary-tree-level-order-traversal/", "Binary Tree Level Order Traversal")</f>
        <v/>
      </c>
      <c r="C70" s="1" t="n">
        <v>17108</v>
      </c>
      <c r="D70" s="1" t="n">
        <v>383</v>
      </c>
      <c r="E70" s="4">
        <f>IF(INDEX(C:C, ROW())+INDEX(D:D, ROW())=0, 0, INDEX(C:C, ROW())/(INDEX(C:C, ROW())+INDEX(D:D, ROW())))</f>
        <v/>
      </c>
      <c r="F70" s="1" t="inlineStr">
        <is>
          <t>Tree, Breadth-First Search, Binary Tree</t>
        </is>
      </c>
      <c r="G70" s="1" t="inlineStr">
        <is>
          <t>Medium</t>
        </is>
      </c>
      <c r="H70" s="1" t="n">
        <v>3412148</v>
      </c>
      <c r="I70" s="1" t="n">
        <v>4699335</v>
      </c>
      <c r="J70" s="9" t="n">
        <v>0.726</v>
      </c>
      <c r="K70" s="1" t="inlineStr">
        <is>
          <t>Yes</t>
        </is>
      </c>
      <c r="L70" s="1" t="inlineStr">
        <is>
          <t>Yes</t>
        </is>
      </c>
      <c r="M70" s="1" t="inlineStr">
        <is>
          <t>No</t>
        </is>
      </c>
      <c r="N70" s="1" t="inlineStr">
        <is>
          <t>Algorithms</t>
        </is>
      </c>
      <c r="O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0" s="11" t="inlineStr">
        <is>
          <t>To Do</t>
        </is>
      </c>
    </row>
    <row r="71" ht="15.75" customHeight="1" s="12">
      <c r="A71" s="1" t="n">
        <v>101</v>
      </c>
      <c r="B71" s="3">
        <f>HYPERLINK("https://leetcode.com/problems/symmetric-tree/", "Symmetric Tree")</f>
        <v/>
      </c>
      <c r="C71" s="1" t="n">
        <v>16885</v>
      </c>
      <c r="D71" s="1" t="n">
        <v>461</v>
      </c>
      <c r="E71" s="4">
        <f>IF(INDEX(C:C, ROW())+INDEX(D:D, ROW())=0, 0, INDEX(C:C, ROW())/(INDEX(C:C, ROW())+INDEX(D:D, ROW())))</f>
        <v/>
      </c>
      <c r="F71" s="1" t="inlineStr">
        <is>
          <t>Tree, Depth-First Search, Breadth-First Search, Binary Tree</t>
        </is>
      </c>
      <c r="G71" s="1" t="inlineStr">
        <is>
          <t>Easy</t>
        </is>
      </c>
      <c r="H71" s="1" t="n">
        <v>2877422</v>
      </c>
      <c r="I71" s="1" t="n">
        <v>4705740</v>
      </c>
      <c r="J71" s="9" t="n">
        <v>0.611</v>
      </c>
      <c r="K71" s="1" t="inlineStr">
        <is>
          <t>Yes</t>
        </is>
      </c>
      <c r="L71" s="1" t="inlineStr">
        <is>
          <t>Yes</t>
        </is>
      </c>
      <c r="M71" s="1" t="inlineStr">
        <is>
          <t>Yes</t>
        </is>
      </c>
      <c r="N71" s="1" t="inlineStr">
        <is>
          <t>Algorithms</t>
        </is>
      </c>
      <c r="O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1" s="13" t="inlineStr">
        <is>
          <t>Done</t>
        </is>
      </c>
    </row>
    <row r="72" ht="15.75" customHeight="1" s="12">
      <c r="A72" s="1" t="n">
        <v>105</v>
      </c>
      <c r="B72" s="3">
        <f>HYPERLINK("https://leetcode.com/problems/construct-binary-tree-from-preorder-and-inorder-traversal/", "Construct Binary Tree from Preorder and Inorder Traversal")</f>
        <v/>
      </c>
      <c r="C72" s="1" t="n">
        <v>16693</v>
      </c>
      <c r="D72" s="1" t="n">
        <v>637</v>
      </c>
      <c r="E72" s="4">
        <f>IF(INDEX(C:C, ROW())+INDEX(D:D, ROW())=0, 0, INDEX(C:C, ROW())/(INDEX(C:C, ROW())+INDEX(D:D, ROW())))</f>
        <v/>
      </c>
      <c r="F72" s="1" t="inlineStr">
        <is>
          <t>Array, Hash Table, Divide and Conquer, Tree, Binary Tree</t>
        </is>
      </c>
      <c r="G72" s="1" t="inlineStr">
        <is>
          <t>Medium</t>
        </is>
      </c>
      <c r="H72" s="1" t="n">
        <v>1871181</v>
      </c>
      <c r="I72" s="1" t="n">
        <v>2720773</v>
      </c>
      <c r="J72" s="9" t="n">
        <v>0.6879999999999999</v>
      </c>
      <c r="K72" s="1" t="inlineStr">
        <is>
          <t>Yes</t>
        </is>
      </c>
      <c r="L72" s="1" t="inlineStr">
        <is>
          <t>Yes</t>
        </is>
      </c>
      <c r="M72" s="1" t="inlineStr">
        <is>
          <t>No</t>
        </is>
      </c>
      <c r="N72" s="1" t="inlineStr">
        <is>
          <t>Algorithms</t>
        </is>
      </c>
      <c r="O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2" s="11" t="inlineStr">
        <is>
          <t>To Do</t>
        </is>
      </c>
    </row>
    <row r="73" ht="15.75" customHeight="1" s="12">
      <c r="A73" s="1" t="n">
        <v>160</v>
      </c>
      <c r="B73" s="3">
        <f>HYPERLINK("https://leetcode.com/problems/intersection-of-two-linked-lists/", "Intersection of Two Linked Lists")</f>
        <v/>
      </c>
      <c r="C73" s="1" t="n">
        <v>16656</v>
      </c>
      <c r="D73" s="1" t="n">
        <v>1500</v>
      </c>
      <c r="E73" s="4">
        <f>IF(INDEX(C:C, ROW())+INDEX(D:D, ROW())=0, 0, INDEX(C:C, ROW())/(INDEX(C:C, ROW())+INDEX(D:D, ROW())))</f>
        <v/>
      </c>
      <c r="F73" s="1" t="inlineStr">
        <is>
          <t>Hash Table, Linked List, Two Pointers</t>
        </is>
      </c>
      <c r="G73" s="1" t="inlineStr">
        <is>
          <t>Easy</t>
        </is>
      </c>
      <c r="H73" s="1" t="n">
        <v>2383285</v>
      </c>
      <c r="I73" s="1" t="n">
        <v>3744010</v>
      </c>
      <c r="J73" s="9" t="n">
        <v>0.637</v>
      </c>
      <c r="K73" s="1" t="inlineStr">
        <is>
          <t>Yes</t>
        </is>
      </c>
      <c r="L73" s="1" t="inlineStr">
        <is>
          <t>Yes</t>
        </is>
      </c>
      <c r="M73" s="1" t="inlineStr">
        <is>
          <t>Yes</t>
        </is>
      </c>
      <c r="N73" s="1" t="inlineStr">
        <is>
          <t>Algorithms</t>
        </is>
      </c>
      <c r="O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3" s="13" t="inlineStr">
        <is>
          <t>Done</t>
        </is>
      </c>
    </row>
    <row r="74" ht="15.75" customHeight="1" s="12">
      <c r="A74" s="1" t="n">
        <v>45</v>
      </c>
      <c r="B74" s="3">
        <f>HYPERLINK("https://leetcode.com/problems/jump-game-ii/", "Jump Game II")</f>
        <v/>
      </c>
      <c r="C74" s="1" t="n">
        <v>16532</v>
      </c>
      <c r="D74" s="1" t="n">
        <v>707</v>
      </c>
      <c r="E74" s="4">
        <f>IF(INDEX(C:C, ROW())+INDEX(D:D, ROW())=0, 0, INDEX(C:C, ROW())/(INDEX(C:C, ROW())+INDEX(D:D, ROW())))</f>
        <v/>
      </c>
      <c r="F74" s="1" t="inlineStr">
        <is>
          <t>Array, Dynamic Programming, Greedy</t>
        </is>
      </c>
      <c r="G74" s="1" t="inlineStr">
        <is>
          <t>Medium</t>
        </is>
      </c>
      <c r="H74" s="1" t="n">
        <v>2140422</v>
      </c>
      <c r="I74" s="1" t="n">
        <v>4999657</v>
      </c>
      <c r="J74" s="9" t="n">
        <v>0.428</v>
      </c>
      <c r="K74" s="1" t="inlineStr">
        <is>
          <t>Yes</t>
        </is>
      </c>
      <c r="L74" s="1" t="inlineStr">
        <is>
          <t>Yes</t>
        </is>
      </c>
      <c r="M74" s="1" t="inlineStr">
        <is>
          <t>No</t>
        </is>
      </c>
      <c r="N74" s="1" t="inlineStr">
        <is>
          <t>Algorithms</t>
        </is>
      </c>
      <c r="O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4" s="11" t="inlineStr">
        <is>
          <t>To Do</t>
        </is>
      </c>
    </row>
    <row r="75" ht="15.75" customHeight="1" s="12">
      <c r="A75" s="1" t="n">
        <v>72</v>
      </c>
      <c r="B75" s="3">
        <f>HYPERLINK("https://leetcode.com/problems/edit-distance/", "Edit Distance")</f>
        <v/>
      </c>
      <c r="C75" s="1" t="n">
        <v>16471</v>
      </c>
      <c r="D75" s="1" t="n">
        <v>326</v>
      </c>
      <c r="E75" s="4">
        <f>IF(INDEX(C:C, ROW())+INDEX(D:D, ROW())=0, 0, INDEX(C:C, ROW())/(INDEX(C:C, ROW())+INDEX(D:D, ROW())))</f>
        <v/>
      </c>
      <c r="F75" s="1" t="inlineStr">
        <is>
          <t>String, Dynamic Programming</t>
        </is>
      </c>
      <c r="G75" s="1" t="inlineStr">
        <is>
          <t>Medium</t>
        </is>
      </c>
      <c r="H75" s="1" t="n">
        <v>1455292</v>
      </c>
      <c r="I75" s="1" t="n">
        <v>2404292</v>
      </c>
      <c r="J75" s="9" t="n">
        <v>0.605</v>
      </c>
      <c r="K75" s="1" t="inlineStr">
        <is>
          <t>Yes</t>
        </is>
      </c>
      <c r="L75" s="1" t="inlineStr">
        <is>
          <t>Yes</t>
        </is>
      </c>
      <c r="M75" s="1" t="inlineStr">
        <is>
          <t>No</t>
        </is>
      </c>
      <c r="N75" s="1" t="inlineStr">
        <is>
          <t>Algorithms</t>
        </is>
      </c>
      <c r="O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5" s="11" t="inlineStr">
        <is>
          <t>To Do</t>
        </is>
      </c>
    </row>
    <row r="76" ht="15.75" customHeight="1" s="12">
      <c r="A76" s="1" t="n">
        <v>155</v>
      </c>
      <c r="B76" s="3">
        <f>HYPERLINK("https://leetcode.com/problems/min-stack/", "Min Stack")</f>
        <v/>
      </c>
      <c r="C76" s="1" t="n">
        <v>16028</v>
      </c>
      <c r="D76" s="1" t="n">
        <v>998</v>
      </c>
      <c r="E76" s="4">
        <f>IF(INDEX(C:C, ROW())+INDEX(D:D, ROW())=0, 0, INDEX(C:C, ROW())/(INDEX(C:C, ROW())+INDEX(D:D, ROW())))</f>
        <v/>
      </c>
      <c r="F76" s="1" t="inlineStr">
        <is>
          <t>Stack, Design</t>
        </is>
      </c>
      <c r="G76" s="1" t="inlineStr">
        <is>
          <t>Medium</t>
        </is>
      </c>
      <c r="H76" s="1" t="n">
        <v>2716499</v>
      </c>
      <c r="I76" s="1" t="n">
        <v>4675400</v>
      </c>
      <c r="J76" s="9" t="n">
        <v>0.581</v>
      </c>
      <c r="K76" s="1" t="inlineStr">
        <is>
          <t>Yes</t>
        </is>
      </c>
      <c r="L76" s="1" t="inlineStr">
        <is>
          <t>Yes</t>
        </is>
      </c>
      <c r="M76" s="1" t="inlineStr">
        <is>
          <t>No</t>
        </is>
      </c>
      <c r="N76" s="1" t="inlineStr">
        <is>
          <t>Algorithms</t>
        </is>
      </c>
      <c r="O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6" s="11" t="inlineStr">
        <is>
          <t>To Do</t>
        </is>
      </c>
    </row>
    <row r="77" ht="15.75" customHeight="1" s="12">
      <c r="A77" s="1" t="n">
        <v>9</v>
      </c>
      <c r="B77" s="3">
        <f>HYPERLINK("https://leetcode.com/problems/palindrome-number/", "Palindrome Number")</f>
        <v/>
      </c>
      <c r="C77" s="1" t="n">
        <v>15997</v>
      </c>
      <c r="D77" s="1" t="n">
        <v>2937</v>
      </c>
      <c r="E77" s="4">
        <f>IF(INDEX(C:C, ROW())+INDEX(D:D, ROW())=0, 0, INDEX(C:C, ROW())/(INDEX(C:C, ROW())+INDEX(D:D, ROW())))</f>
        <v/>
      </c>
      <c r="F77" s="1" t="inlineStr">
        <is>
          <t>Math</t>
        </is>
      </c>
      <c r="G77" s="1" t="inlineStr">
        <is>
          <t>Easy</t>
        </is>
      </c>
      <c r="H77" s="1" t="n">
        <v>8101864</v>
      </c>
      <c r="I77" s="1" t="n">
        <v>13385971</v>
      </c>
      <c r="J77" s="9" t="n">
        <v>0.605</v>
      </c>
      <c r="K77" s="1" t="inlineStr">
        <is>
          <t>Yes</t>
        </is>
      </c>
      <c r="L77" s="1" t="inlineStr">
        <is>
          <t>Yes</t>
        </is>
      </c>
      <c r="M77" s="1" t="inlineStr">
        <is>
          <t>Yes</t>
        </is>
      </c>
      <c r="N77" s="1" t="inlineStr">
        <is>
          <t>Algorithms</t>
        </is>
      </c>
      <c r="O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7" s="10" t="inlineStr">
        <is>
          <t>Done</t>
        </is>
      </c>
    </row>
    <row r="78" ht="15.75" customHeight="1" s="12">
      <c r="A78" s="1" t="n">
        <v>543</v>
      </c>
      <c r="B78" s="3">
        <f>HYPERLINK("https://leetcode.com/problems/diameter-of-binary-tree/", "Diameter of Binary Tree")</f>
        <v/>
      </c>
      <c r="C78" s="1" t="n">
        <v>15729</v>
      </c>
      <c r="D78" s="1" t="n">
        <v>1251</v>
      </c>
      <c r="E78" s="4">
        <f>IF(INDEX(C:C, ROW())+INDEX(D:D, ROW())=0, 0, INDEX(C:C, ROW())/(INDEX(C:C, ROW())+INDEX(D:D, ROW())))</f>
        <v/>
      </c>
      <c r="F78" s="1" t="inlineStr">
        <is>
          <t>Tree, Depth-First Search, Binary Tree</t>
        </is>
      </c>
      <c r="G78" s="1" t="inlineStr">
        <is>
          <t>Easy</t>
        </is>
      </c>
      <c r="H78" s="1" t="n">
        <v>2501489</v>
      </c>
      <c r="I78" s="1" t="n">
        <v>3820833</v>
      </c>
      <c r="J78" s="9" t="n">
        <v>0.655</v>
      </c>
      <c r="K78" s="1" t="inlineStr">
        <is>
          <t>Yes</t>
        </is>
      </c>
      <c r="L78" s="1" t="inlineStr">
        <is>
          <t>Yes</t>
        </is>
      </c>
      <c r="M78" s="1" t="inlineStr">
        <is>
          <t>No</t>
        </is>
      </c>
      <c r="N78" s="1" t="inlineStr">
        <is>
          <t>Algorithms</t>
        </is>
      </c>
      <c r="O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8" s="13" t="inlineStr">
        <is>
          <t>Done</t>
        </is>
      </c>
    </row>
    <row r="79" ht="15.75" customHeight="1" s="12">
      <c r="A79" s="1" t="n">
        <v>25</v>
      </c>
      <c r="B79" s="3">
        <f>HYPERLINK("https://leetcode.com/problems/reverse-nodes-in-k-group/", "Reverse Nodes in k-Group")</f>
        <v/>
      </c>
      <c r="C79" s="1" t="n">
        <v>15705</v>
      </c>
      <c r="D79" s="1" t="n">
        <v>807</v>
      </c>
      <c r="E79" s="4">
        <f>IF(INDEX(C:C, ROW())+INDEX(D:D, ROW())=0, 0, INDEX(C:C, ROW())/(INDEX(C:C, ROW())+INDEX(D:D, ROW())))</f>
        <v/>
      </c>
      <c r="F79" s="1" t="inlineStr">
        <is>
          <t>Linked List, Recursion</t>
        </is>
      </c>
      <c r="G79" s="1" t="inlineStr">
        <is>
          <t>Hard</t>
        </is>
      </c>
      <c r="H79" s="1" t="n">
        <v>1540445</v>
      </c>
      <c r="I79" s="1" t="n">
        <v>2334188</v>
      </c>
      <c r="J79" s="9" t="n">
        <v>0.66</v>
      </c>
      <c r="K79" s="1" t="inlineStr">
        <is>
          <t>Yes</t>
        </is>
      </c>
      <c r="L79" s="1" t="inlineStr">
        <is>
          <t>Yes</t>
        </is>
      </c>
      <c r="M79" s="1" t="inlineStr">
        <is>
          <t>No</t>
        </is>
      </c>
      <c r="N79" s="1" t="inlineStr">
        <is>
          <t>Algorithms</t>
        </is>
      </c>
      <c r="O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9" s="10" t="inlineStr">
        <is>
          <t>Done</t>
        </is>
      </c>
    </row>
    <row r="80" ht="15.75" customHeight="1" s="12">
      <c r="A80" s="1" t="n">
        <v>138</v>
      </c>
      <c r="B80" s="3">
        <f>HYPERLINK("https://leetcode.com/problems/copy-list-with-random-pointer/", "Copy List with Random Pointer")</f>
        <v/>
      </c>
      <c r="C80" s="1" t="n">
        <v>15587</v>
      </c>
      <c r="D80" s="1" t="n">
        <v>1684</v>
      </c>
      <c r="E80" s="4">
        <f>IF(INDEX(C:C, ROW())+INDEX(D:D, ROW())=0, 0, INDEX(C:C, ROW())/(INDEX(C:C, ROW())+INDEX(D:D, ROW())))</f>
        <v/>
      </c>
      <c r="F80" s="1" t="inlineStr">
        <is>
          <t>Hash Table, Linked List</t>
        </is>
      </c>
      <c r="G80" s="1" t="inlineStr">
        <is>
          <t>Medium</t>
        </is>
      </c>
      <c r="H80" s="1" t="n">
        <v>1903498</v>
      </c>
      <c r="I80" s="1" t="n">
        <v>3029989</v>
      </c>
      <c r="J80" s="9" t="n">
        <v>0.628</v>
      </c>
      <c r="K80" s="1" t="inlineStr">
        <is>
          <t>Yes</t>
        </is>
      </c>
      <c r="L80" s="1" t="inlineStr">
        <is>
          <t>Yes</t>
        </is>
      </c>
      <c r="M80" s="1" t="inlineStr">
        <is>
          <t>No</t>
        </is>
      </c>
      <c r="N80" s="1" t="inlineStr">
        <is>
          <t>Algorithms</t>
        </is>
      </c>
      <c r="O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0" s="11" t="inlineStr">
        <is>
          <t>To Do</t>
        </is>
      </c>
    </row>
    <row r="81" ht="15.75" customHeight="1" s="12">
      <c r="A81" s="1" t="n">
        <v>7</v>
      </c>
      <c r="B81" s="3">
        <f>HYPERLINK("https://leetcode.com/problems/reverse-integer/", "Reverse Integer")</f>
        <v/>
      </c>
      <c r="C81" s="1" t="n">
        <v>15575</v>
      </c>
      <c r="D81" s="1" t="n">
        <v>14008</v>
      </c>
      <c r="E81" s="4">
        <f>IF(INDEX(C:C, ROW())+INDEX(D:D, ROW())=0, 0, INDEX(C:C, ROW())/(INDEX(C:C, ROW())+INDEX(D:D, ROW())))</f>
        <v/>
      </c>
      <c r="F81" s="1" t="inlineStr">
        <is>
          <t>Math</t>
        </is>
      </c>
      <c r="G81" s="1" t="inlineStr">
        <is>
          <t>Medium</t>
        </is>
      </c>
      <c r="H81" s="1" t="n">
        <v>4983630</v>
      </c>
      <c r="I81" s="1" t="n">
        <v>15647573</v>
      </c>
      <c r="J81" s="9" t="n">
        <v>0.318</v>
      </c>
      <c r="K81" s="1" t="inlineStr">
        <is>
          <t>Yes</t>
        </is>
      </c>
      <c r="L81" s="1" t="inlineStr">
        <is>
          <t>Yes</t>
        </is>
      </c>
      <c r="M81" s="1" t="inlineStr">
        <is>
          <t>Yes</t>
        </is>
      </c>
      <c r="N81" s="1" t="inlineStr">
        <is>
          <t>Algorithms</t>
        </is>
      </c>
      <c r="O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1" s="10" t="inlineStr">
        <is>
          <t>Done</t>
        </is>
      </c>
    </row>
    <row r="82" ht="15.75" customHeight="1" s="12">
      <c r="A82" s="1" t="n">
        <v>122</v>
      </c>
      <c r="B82" s="3">
        <f>HYPERLINK("https://leetcode.com/problems/best-time-to-buy-and-sell-stock-ii/", "Best Time to Buy and Sell Stock II")</f>
        <v/>
      </c>
      <c r="C82" s="1" t="n">
        <v>15410</v>
      </c>
      <c r="D82" s="1" t="n">
        <v>2816</v>
      </c>
      <c r="E82" s="4">
        <f>IF(INDEX(C:C, ROW())+INDEX(D:D, ROW())=0, 0, INDEX(C:C, ROW())/(INDEX(C:C, ROW())+INDEX(D:D, ROW())))</f>
        <v/>
      </c>
      <c r="F82" s="1" t="inlineStr">
        <is>
          <t>Array, Dynamic Programming, Greedy</t>
        </is>
      </c>
      <c r="G82" s="1" t="inlineStr">
        <is>
          <t>Medium</t>
        </is>
      </c>
      <c r="H82" s="1" t="n">
        <v>3023842</v>
      </c>
      <c r="I82" s="1" t="n">
        <v>4256717</v>
      </c>
      <c r="J82" s="9" t="n">
        <v>0.71</v>
      </c>
      <c r="K82" s="1" t="inlineStr">
        <is>
          <t>Yes</t>
        </is>
      </c>
      <c r="L82" s="1" t="inlineStr">
        <is>
          <t>Yes</t>
        </is>
      </c>
      <c r="M82" s="1" t="inlineStr">
        <is>
          <t>Yes</t>
        </is>
      </c>
      <c r="N82" s="1" t="inlineStr">
        <is>
          <t>Algorithms</t>
        </is>
      </c>
      <c r="O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2" s="11" t="inlineStr">
        <is>
          <t>To Do</t>
        </is>
      </c>
    </row>
    <row r="83" ht="15.75" customHeight="1" s="12">
      <c r="A83" s="1" t="n">
        <v>153</v>
      </c>
      <c r="B83" s="3">
        <f>HYPERLINK("https://leetcode.com/problems/find-minimum-in-rotated-sorted-array/", "Find Minimum in Rotated Sorted Array")</f>
        <v/>
      </c>
      <c r="C83" s="1" t="n">
        <v>15315</v>
      </c>
      <c r="D83" s="1" t="n">
        <v>673</v>
      </c>
      <c r="E83" s="4">
        <f>IF(INDEX(C:C, ROW())+INDEX(D:D, ROW())=0, 0, INDEX(C:C, ROW())/(INDEX(C:C, ROW())+INDEX(D:D, ROW())))</f>
        <v/>
      </c>
      <c r="F83" s="1" t="inlineStr">
        <is>
          <t>Array, Binary Search</t>
        </is>
      </c>
      <c r="G83" s="1" t="inlineStr">
        <is>
          <t>Medium</t>
        </is>
      </c>
      <c r="H83" s="1" t="n">
        <v>3011500</v>
      </c>
      <c r="I83" s="1" t="n">
        <v>5563677</v>
      </c>
      <c r="J83" s="9" t="n">
        <v>0.541</v>
      </c>
      <c r="K83" s="1" t="inlineStr">
        <is>
          <t>Yes</t>
        </is>
      </c>
      <c r="L83" s="1" t="inlineStr">
        <is>
          <t>Yes</t>
        </is>
      </c>
      <c r="M83" s="1" t="inlineStr">
        <is>
          <t>No</t>
        </is>
      </c>
      <c r="N83" s="1" t="inlineStr">
        <is>
          <t>Algorithms</t>
        </is>
      </c>
      <c r="O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3" s="11" t="inlineStr">
        <is>
          <t>To Do</t>
        </is>
      </c>
    </row>
    <row r="84" ht="15.75" customHeight="1" s="12">
      <c r="A84" s="1" t="n">
        <v>226</v>
      </c>
      <c r="B84" s="3">
        <f>HYPERLINK("https://leetcode.com/problems/invert-binary-tree/", "Invert Binary Tree")</f>
        <v/>
      </c>
      <c r="C84" s="1" t="n">
        <v>15241</v>
      </c>
      <c r="D84" s="1" t="n">
        <v>255</v>
      </c>
      <c r="E84" s="4">
        <f>IF(INDEX(C:C, ROW())+INDEX(D:D, ROW())=0, 0, INDEX(C:C, ROW())/(INDEX(C:C, ROW())+INDEX(D:D, ROW())))</f>
        <v/>
      </c>
      <c r="F84" s="1" t="inlineStr">
        <is>
          <t>Tree, Depth-First Search, Breadth-First Search, Binary Tree</t>
        </is>
      </c>
      <c r="G84" s="1" t="inlineStr">
        <is>
          <t>Easy</t>
        </is>
      </c>
      <c r="H84" s="1" t="n">
        <v>3037061</v>
      </c>
      <c r="I84" s="1" t="n">
        <v>3794657</v>
      </c>
      <c r="J84" s="9" t="n">
        <v>0.8</v>
      </c>
      <c r="K84" s="1" t="inlineStr">
        <is>
          <t>Yes</t>
        </is>
      </c>
      <c r="L84" s="1" t="inlineStr">
        <is>
          <t>Yes</t>
        </is>
      </c>
      <c r="M84" s="1" t="inlineStr">
        <is>
          <t>Yes</t>
        </is>
      </c>
      <c r="N84" s="1" t="inlineStr">
        <is>
          <t>Algorithms</t>
        </is>
      </c>
      <c r="O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4" s="13" t="inlineStr">
        <is>
          <t>Done</t>
        </is>
      </c>
    </row>
    <row r="85" ht="15.75" customHeight="1" s="12">
      <c r="A85" s="1" t="n">
        <v>994</v>
      </c>
      <c r="B85" s="3">
        <f>HYPERLINK("https://leetcode.com/problems/rotting-oranges/", "Rotting Oranges")</f>
        <v/>
      </c>
      <c r="C85" s="1" t="n">
        <v>15205</v>
      </c>
      <c r="D85" s="1" t="n">
        <v>478</v>
      </c>
      <c r="E85" s="4">
        <f>IF(INDEX(C:C, ROW())+INDEX(D:D, ROW())=0, 0, INDEX(C:C, ROW())/(INDEX(C:C, ROW())+INDEX(D:D, ROW())))</f>
        <v/>
      </c>
      <c r="F85" s="1" t="inlineStr">
        <is>
          <t>Array, Breadth-First Search, Matrix</t>
        </is>
      </c>
      <c r="G85" s="1" t="inlineStr">
        <is>
          <t>Medium</t>
        </is>
      </c>
      <c r="H85" s="1" t="n">
        <v>1649217</v>
      </c>
      <c r="I85" s="1" t="n">
        <v>2814970</v>
      </c>
      <c r="J85" s="9" t="n">
        <v>0.586</v>
      </c>
      <c r="K85" s="1" t="inlineStr">
        <is>
          <t>Yes</t>
        </is>
      </c>
      <c r="L85" s="1" t="inlineStr">
        <is>
          <t>Yes</t>
        </is>
      </c>
      <c r="M85" s="1" t="inlineStr">
        <is>
          <t>No</t>
        </is>
      </c>
      <c r="N85" s="1" t="inlineStr">
        <is>
          <t>Algorithms</t>
        </is>
      </c>
      <c r="O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5" s="11" t="inlineStr">
        <is>
          <t>To Do</t>
        </is>
      </c>
    </row>
    <row r="86" ht="15.75" customHeight="1" s="12">
      <c r="A86" s="1" t="n">
        <v>142</v>
      </c>
      <c r="B86" s="3">
        <f>HYPERLINK("https://leetcode.com/problems/linked-list-cycle-ii/", "Linked List Cycle II")</f>
        <v/>
      </c>
      <c r="C86" s="1" t="n">
        <v>15179</v>
      </c>
      <c r="D86" s="1" t="n">
        <v>1093</v>
      </c>
      <c r="E86" s="4">
        <f>IF(INDEX(C:C, ROW())+INDEX(D:D, ROW())=0, 0, INDEX(C:C, ROW())/(INDEX(C:C, ROW())+INDEX(D:D, ROW())))</f>
        <v/>
      </c>
      <c r="F86" s="1" t="inlineStr">
        <is>
          <t>Hash Table, Linked List, Two Pointers</t>
        </is>
      </c>
      <c r="G86" s="1" t="inlineStr">
        <is>
          <t>Medium</t>
        </is>
      </c>
      <c r="H86" s="1" t="n">
        <v>2016202</v>
      </c>
      <c r="I86" s="1" t="n">
        <v>3487056</v>
      </c>
      <c r="J86" s="9" t="n">
        <v>0.578</v>
      </c>
      <c r="K86" s="1" t="inlineStr">
        <is>
          <t>Yes</t>
        </is>
      </c>
      <c r="L86" s="1" t="inlineStr">
        <is>
          <t>Yes</t>
        </is>
      </c>
      <c r="M86" s="1" t="inlineStr">
        <is>
          <t>No</t>
        </is>
      </c>
      <c r="N86" s="1" t="inlineStr">
        <is>
          <t>Algorithms</t>
        </is>
      </c>
      <c r="O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6" s="11" t="inlineStr">
        <is>
          <t>To Do</t>
        </is>
      </c>
    </row>
    <row r="87" ht="15.75" customHeight="1" s="12">
      <c r="A87" s="1" t="n">
        <v>1143</v>
      </c>
      <c r="B87" s="3">
        <f>HYPERLINK("https://leetcode.com/problems/longest-common-subsequence/", "Longest Common Subsequence")</f>
        <v/>
      </c>
      <c r="C87" s="1" t="n">
        <v>15103</v>
      </c>
      <c r="D87" s="1" t="n">
        <v>251</v>
      </c>
      <c r="E87" s="4">
        <f>IF(INDEX(C:C, ROW())+INDEX(D:D, ROW())=0, 0, INDEX(C:C, ROW())/(INDEX(C:C, ROW())+INDEX(D:D, ROW())))</f>
        <v/>
      </c>
      <c r="F87" s="1" t="inlineStr">
        <is>
          <t>String, Dynamic Programming</t>
        </is>
      </c>
      <c r="G87" s="1" t="inlineStr">
        <is>
          <t>Medium</t>
        </is>
      </c>
      <c r="H87" s="1" t="n">
        <v>1835638</v>
      </c>
      <c r="I87" s="1" t="n">
        <v>3104208</v>
      </c>
      <c r="J87" s="9" t="n">
        <v>0.591</v>
      </c>
      <c r="K87" s="1" t="inlineStr">
        <is>
          <t>Yes</t>
        </is>
      </c>
      <c r="L87" s="1" t="inlineStr">
        <is>
          <t>Yes</t>
        </is>
      </c>
      <c r="M87" s="1" t="inlineStr">
        <is>
          <t>No</t>
        </is>
      </c>
      <c r="N87" s="1" t="inlineStr">
        <is>
          <t>Algorithms</t>
        </is>
      </c>
      <c r="O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7" s="11" t="inlineStr">
        <is>
          <t>To Do</t>
        </is>
      </c>
    </row>
    <row r="88" ht="15.75" customHeight="1" s="12">
      <c r="A88" s="1" t="n">
        <v>118</v>
      </c>
      <c r="B88" s="3">
        <f>HYPERLINK("https://leetcode.com/problems/pascals-triangle/", "Pascal's Triangle")</f>
        <v/>
      </c>
      <c r="C88" s="1" t="n">
        <v>14985</v>
      </c>
      <c r="D88" s="1" t="n">
        <v>569</v>
      </c>
      <c r="E88" s="4">
        <f>IF(INDEX(C:C, ROW())+INDEX(D:D, ROW())=0, 0, INDEX(C:C, ROW())/(INDEX(C:C, ROW())+INDEX(D:D, ROW())))</f>
        <v/>
      </c>
      <c r="F88" s="1" t="inlineStr">
        <is>
          <t>Array, Dynamic Programming</t>
        </is>
      </c>
      <c r="G88" s="1" t="inlineStr">
        <is>
          <t>Easy</t>
        </is>
      </c>
      <c r="H88" s="1" t="n">
        <v>2667701</v>
      </c>
      <c r="I88" s="1" t="n">
        <v>3381378</v>
      </c>
      <c r="J88" s="9" t="n">
        <v>0.789</v>
      </c>
      <c r="K88" s="1" t="inlineStr">
        <is>
          <t>Yes</t>
        </is>
      </c>
      <c r="L88" s="1" t="inlineStr">
        <is>
          <t>Yes</t>
        </is>
      </c>
      <c r="M88" s="1" t="inlineStr">
        <is>
          <t>Yes</t>
        </is>
      </c>
      <c r="N88" s="1" t="inlineStr">
        <is>
          <t>Algorithms</t>
        </is>
      </c>
      <c r="O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8" s="13" t="inlineStr">
        <is>
          <t>Done</t>
        </is>
      </c>
    </row>
    <row r="89" ht="15.75" customHeight="1" s="12">
      <c r="A89" s="1" t="n">
        <v>94</v>
      </c>
      <c r="B89" s="3">
        <f>HYPERLINK("https://leetcode.com/problems/binary-tree-inorder-traversal/", "Binary Tree Inorder Traversal")</f>
        <v/>
      </c>
      <c r="C89" s="1" t="n">
        <v>14947</v>
      </c>
      <c r="D89" s="1" t="n">
        <v>904</v>
      </c>
      <c r="E89" s="4">
        <f>IF(INDEX(C:C, ROW())+INDEX(D:D, ROW())=0, 0, INDEX(C:C, ROW())/(INDEX(C:C, ROW())+INDEX(D:D, ROW())))</f>
        <v/>
      </c>
      <c r="F89" s="1" t="inlineStr">
        <is>
          <t>Stack, Tree, Depth-First Search, Binary Tree</t>
        </is>
      </c>
      <c r="G89" s="1" t="inlineStr">
        <is>
          <t>Easy</t>
        </is>
      </c>
      <c r="H89" s="1" t="n">
        <v>3709459</v>
      </c>
      <c r="I89" s="1" t="n">
        <v>4635393</v>
      </c>
      <c r="J89" s="9" t="n">
        <v>0.8</v>
      </c>
      <c r="K89" s="1" t="inlineStr">
        <is>
          <t>Yes</t>
        </is>
      </c>
      <c r="L89" s="1" t="inlineStr">
        <is>
          <t>Yes</t>
        </is>
      </c>
      <c r="M89" s="1" t="inlineStr">
        <is>
          <t>No</t>
        </is>
      </c>
      <c r="N89" s="1" t="inlineStr">
        <is>
          <t>Algorithms</t>
        </is>
      </c>
      <c r="O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9" s="13" t="inlineStr">
        <is>
          <t>Done</t>
        </is>
      </c>
    </row>
    <row r="90" ht="15.75" customHeight="1" s="12">
      <c r="A90" s="1" t="n">
        <v>739</v>
      </c>
      <c r="B90" s="3">
        <f>HYPERLINK("https://leetcode.com/problems/daily-temperatures/", "Daily Temperatures")</f>
        <v/>
      </c>
      <c r="C90" s="1" t="n">
        <v>14736</v>
      </c>
      <c r="D90" s="1" t="n">
        <v>376</v>
      </c>
      <c r="E90" s="4">
        <f>IF(INDEX(C:C, ROW())+INDEX(D:D, ROW())=0, 0, INDEX(C:C, ROW())/(INDEX(C:C, ROW())+INDEX(D:D, ROW())))</f>
        <v/>
      </c>
      <c r="F90" s="1" t="inlineStr">
        <is>
          <t>Array, Stack, Monotonic Stack</t>
        </is>
      </c>
      <c r="G90" s="1" t="inlineStr">
        <is>
          <t>Medium</t>
        </is>
      </c>
      <c r="H90" s="1" t="n">
        <v>1718216</v>
      </c>
      <c r="I90" s="1" t="n">
        <v>2502996</v>
      </c>
      <c r="J90" s="9" t="n">
        <v>0.6860000000000001</v>
      </c>
      <c r="K90" s="1" t="inlineStr">
        <is>
          <t>Yes</t>
        </is>
      </c>
      <c r="L90" s="1" t="inlineStr">
        <is>
          <t>Yes</t>
        </is>
      </c>
      <c r="M90" s="1" t="inlineStr">
        <is>
          <t>No</t>
        </is>
      </c>
      <c r="N90" s="1" t="inlineStr">
        <is>
          <t>Algorithms</t>
        </is>
      </c>
      <c r="O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0" s="11" t="inlineStr">
        <is>
          <t>To Do</t>
        </is>
      </c>
    </row>
    <row r="91" ht="15.75" customHeight="1" s="12">
      <c r="A91" s="1" t="n">
        <v>162</v>
      </c>
      <c r="B91" s="3">
        <f>HYPERLINK("https://leetcode.com/problems/find-peak-element/", "Find Peak Element")</f>
        <v/>
      </c>
      <c r="C91" s="1" t="n">
        <v>14652</v>
      </c>
      <c r="D91" s="1" t="n">
        <v>4958</v>
      </c>
      <c r="E91" s="4">
        <f>IF(INDEX(C:C, ROW())+INDEX(D:D, ROW())=0, 0, INDEX(C:C, ROW())/(INDEX(C:C, ROW())+INDEX(D:D, ROW())))</f>
        <v/>
      </c>
      <c r="F91" s="1" t="inlineStr">
        <is>
          <t>Array, Binary Search</t>
        </is>
      </c>
      <c r="G91" s="1" t="inlineStr">
        <is>
          <t>Medium</t>
        </is>
      </c>
      <c r="H91" s="1" t="n">
        <v>2414750</v>
      </c>
      <c r="I91" s="1" t="n">
        <v>5143798</v>
      </c>
      <c r="J91" s="9" t="n">
        <v>0.469</v>
      </c>
      <c r="K91" s="1" t="inlineStr">
        <is>
          <t>Yes</t>
        </is>
      </c>
      <c r="L91" s="1" t="inlineStr">
        <is>
          <t>Yes</t>
        </is>
      </c>
      <c r="M91" s="1" t="inlineStr">
        <is>
          <t>Yes</t>
        </is>
      </c>
      <c r="N91" s="1" t="inlineStr">
        <is>
          <t>Algorithms</t>
        </is>
      </c>
      <c r="O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1" s="11" t="inlineStr">
        <is>
          <t>To Do</t>
        </is>
      </c>
    </row>
    <row r="92" ht="15.75" customHeight="1" s="12">
      <c r="A92" s="1" t="n">
        <v>209</v>
      </c>
      <c r="B92" s="3">
        <f>HYPERLINK("https://leetcode.com/problems/minimum-size-subarray-sum/", "Minimum Size Subarray Sum")</f>
        <v/>
      </c>
      <c r="C92" s="1" t="n">
        <v>14460</v>
      </c>
      <c r="D92" s="1" t="n">
        <v>542</v>
      </c>
      <c r="E92" s="4">
        <f>IF(INDEX(C:C, ROW())+INDEX(D:D, ROW())=0, 0, INDEX(C:C, ROW())/(INDEX(C:C, ROW())+INDEX(D:D, ROW())))</f>
        <v/>
      </c>
      <c r="F92" s="1" t="inlineStr">
        <is>
          <t>Array, Binary Search, Sliding Window, Prefix Sum</t>
        </is>
      </c>
      <c r="G92" s="1" t="inlineStr">
        <is>
          <t>Medium</t>
        </is>
      </c>
      <c r="H92" s="1" t="n">
        <v>1881341</v>
      </c>
      <c r="I92" s="1" t="n">
        <v>3646622</v>
      </c>
      <c r="J92" s="9" t="n">
        <v>0.516</v>
      </c>
      <c r="K92" s="1" t="inlineStr">
        <is>
          <t>Yes</t>
        </is>
      </c>
      <c r="L92" s="1" t="inlineStr">
        <is>
          <t>Yes</t>
        </is>
      </c>
      <c r="M92" s="1" t="inlineStr">
        <is>
          <t>No</t>
        </is>
      </c>
      <c r="N92" s="1" t="inlineStr">
        <is>
          <t>Algorithms</t>
        </is>
      </c>
      <c r="O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2" s="11" t="inlineStr">
        <is>
          <t>To Do</t>
        </is>
      </c>
    </row>
    <row r="93" ht="15.75" customHeight="1" s="12">
      <c r="A93" s="1" t="n">
        <v>242</v>
      </c>
      <c r="B93" s="3">
        <f>HYPERLINK("https://leetcode.com/problems/valid-anagram/", "Valid Anagram")</f>
        <v/>
      </c>
      <c r="C93" s="1" t="n">
        <v>14405</v>
      </c>
      <c r="D93" s="1" t="n">
        <v>480</v>
      </c>
      <c r="E93" s="4">
        <f>IF(INDEX(C:C, ROW())+INDEX(D:D, ROW())=0, 0, INDEX(C:C, ROW())/(INDEX(C:C, ROW())+INDEX(D:D, ROW())))</f>
        <v/>
      </c>
      <c r="F93" s="1" t="inlineStr">
        <is>
          <t>Hash Table, String, Sorting</t>
        </is>
      </c>
      <c r="G93" s="1" t="inlineStr">
        <is>
          <t>Easy</t>
        </is>
      </c>
      <c r="H93" s="1" t="n">
        <v>6132223</v>
      </c>
      <c r="I93" s="1" t="n">
        <v>9010529</v>
      </c>
      <c r="J93" s="9" t="n">
        <v>0.681</v>
      </c>
      <c r="K93" s="1" t="inlineStr">
        <is>
          <t>Yes</t>
        </is>
      </c>
      <c r="L93" s="1" t="inlineStr">
        <is>
          <t>Yes</t>
        </is>
      </c>
      <c r="M93" s="1" t="inlineStr">
        <is>
          <t>Yes</t>
        </is>
      </c>
      <c r="N93" s="1" t="inlineStr">
        <is>
          <t>Algorithms</t>
        </is>
      </c>
      <c r="O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3" s="13" t="inlineStr">
        <is>
          <t>Done</t>
        </is>
      </c>
    </row>
    <row r="94" ht="15.75" customHeight="1" s="12">
      <c r="A94" s="1" t="n">
        <v>51</v>
      </c>
      <c r="B94" s="3">
        <f>HYPERLINK("https://leetcode.com/problems/n-queens/", "N-Queens")</f>
        <v/>
      </c>
      <c r="C94" s="1" t="n">
        <v>14385</v>
      </c>
      <c r="D94" s="1" t="n">
        <v>351</v>
      </c>
      <c r="E94" s="4">
        <f>IF(INDEX(C:C, ROW())+INDEX(D:D, ROW())=0, 0, INDEX(C:C, ROW())/(INDEX(C:C, ROW())+INDEX(D:D, ROW())))</f>
        <v/>
      </c>
      <c r="F94" s="1" t="inlineStr">
        <is>
          <t>Array, Backtracking</t>
        </is>
      </c>
      <c r="G94" s="1" t="inlineStr">
        <is>
          <t>Hard</t>
        </is>
      </c>
      <c r="H94" s="1" t="n">
        <v>1277159</v>
      </c>
      <c r="I94" s="1" t="n">
        <v>1692254</v>
      </c>
      <c r="J94" s="9" t="n">
        <v>0.755</v>
      </c>
      <c r="K94" s="1" t="inlineStr">
        <is>
          <t>Yes</t>
        </is>
      </c>
      <c r="L94" s="1" t="inlineStr">
        <is>
          <t>Yes</t>
        </is>
      </c>
      <c r="M94" s="1" t="inlineStr">
        <is>
          <t>No</t>
        </is>
      </c>
      <c r="N94" s="1" t="inlineStr">
        <is>
          <t>Algorithms</t>
        </is>
      </c>
      <c r="O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4" s="11" t="inlineStr">
        <is>
          <t>To Do</t>
        </is>
      </c>
    </row>
    <row r="95" ht="15.75" customHeight="1" s="12">
      <c r="A95" s="1" t="n">
        <v>104</v>
      </c>
      <c r="B95" s="3">
        <f>HYPERLINK("https://leetcode.com/problems/maximum-depth-of-binary-tree/", "Maximum Depth of Binary Tree")</f>
        <v/>
      </c>
      <c r="C95" s="1" t="n">
        <v>14359</v>
      </c>
      <c r="D95" s="1" t="n">
        <v>293</v>
      </c>
      <c r="E95" s="4">
        <f>IF(INDEX(C:C, ROW())+INDEX(D:D, ROW())=0, 0, INDEX(C:C, ROW())/(INDEX(C:C, ROW())+INDEX(D:D, ROW())))</f>
        <v/>
      </c>
      <c r="F95" s="1" t="inlineStr">
        <is>
          <t>Tree, Depth-First Search, Breadth-First Search, Binary Tree</t>
        </is>
      </c>
      <c r="G95" s="1" t="inlineStr">
        <is>
          <t>Easy</t>
        </is>
      </c>
      <c r="H95" s="1" t="n">
        <v>4777524</v>
      </c>
      <c r="I95" s="1" t="n">
        <v>6113599</v>
      </c>
      <c r="J95" s="9" t="n">
        <v>0.781</v>
      </c>
      <c r="K95" s="1" t="inlineStr">
        <is>
          <t>Yes</t>
        </is>
      </c>
      <c r="L95" s="1" t="inlineStr">
        <is>
          <t>Yes</t>
        </is>
      </c>
      <c r="M95" s="1" t="inlineStr">
        <is>
          <t>Yes</t>
        </is>
      </c>
      <c r="N95" s="1" t="inlineStr">
        <is>
          <t>Algorithms</t>
        </is>
      </c>
      <c r="O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5" s="13" t="inlineStr">
        <is>
          <t>Done</t>
        </is>
      </c>
    </row>
    <row r="96" ht="15.75" customHeight="1" s="12">
      <c r="A96" s="1" t="n">
        <v>268</v>
      </c>
      <c r="B96" s="3">
        <f>HYPERLINK("https://leetcode.com/problems/missing-number/", "Missing Number")</f>
        <v/>
      </c>
      <c r="C96" s="1" t="n">
        <v>14337</v>
      </c>
      <c r="D96" s="1" t="n">
        <v>3477</v>
      </c>
      <c r="E96" s="4">
        <f>IF(INDEX(C:C, ROW())+INDEX(D:D, ROW())=0, 0, INDEX(C:C, ROW())/(INDEX(C:C, ROW())+INDEX(D:D, ROW())))</f>
        <v/>
      </c>
      <c r="F96" s="1" t="inlineStr">
        <is>
          <t>Array, Hash Table, Math, Binary Search, Bit Manipulation, Sorting</t>
        </is>
      </c>
      <c r="G96" s="1" t="inlineStr">
        <is>
          <t>Easy</t>
        </is>
      </c>
      <c r="H96" s="1" t="n">
        <v>3879513</v>
      </c>
      <c r="I96" s="1" t="n">
        <v>5391807</v>
      </c>
      <c r="J96" s="9" t="n">
        <v>0.72</v>
      </c>
      <c r="K96" s="1" t="inlineStr">
        <is>
          <t>Yes</t>
        </is>
      </c>
      <c r="L96" s="1" t="inlineStr">
        <is>
          <t>Yes</t>
        </is>
      </c>
      <c r="M96" s="1" t="inlineStr">
        <is>
          <t>Yes</t>
        </is>
      </c>
      <c r="N96" s="1" t="inlineStr">
        <is>
          <t>Algorithms</t>
        </is>
      </c>
      <c r="O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6" s="13" t="inlineStr">
        <is>
          <t>Done</t>
        </is>
      </c>
    </row>
    <row r="97" ht="15.75" customHeight="1" s="12">
      <c r="A97" s="1" t="n">
        <v>131</v>
      </c>
      <c r="B97" s="3">
        <f>HYPERLINK("https://leetcode.com/problems/palindrome-partitioning/", "Palindrome Partitioning")</f>
        <v/>
      </c>
      <c r="C97" s="1" t="n">
        <v>14309</v>
      </c>
      <c r="D97" s="1" t="n">
        <v>573</v>
      </c>
      <c r="E97" s="4">
        <f>IF(INDEX(C:C, ROW())+INDEX(D:D, ROW())=0, 0, INDEX(C:C, ROW())/(INDEX(C:C, ROW())+INDEX(D:D, ROW())))</f>
        <v/>
      </c>
      <c r="F97" s="1" t="inlineStr">
        <is>
          <t>String, Dynamic Programming, Backtracking</t>
        </is>
      </c>
      <c r="G97" s="1" t="inlineStr">
        <is>
          <t>Medium</t>
        </is>
      </c>
      <c r="H97" s="1" t="n">
        <v>1343968</v>
      </c>
      <c r="I97" s="1" t="n">
        <v>1816053</v>
      </c>
      <c r="J97" s="9" t="n">
        <v>0.74</v>
      </c>
      <c r="K97" s="1" t="inlineStr">
        <is>
          <t>Yes</t>
        </is>
      </c>
      <c r="L97" s="1" t="inlineStr">
        <is>
          <t>Yes</t>
        </is>
      </c>
      <c r="M97" s="1" t="inlineStr">
        <is>
          <t>No</t>
        </is>
      </c>
      <c r="N97" s="1" t="inlineStr">
        <is>
          <t>Algorithms</t>
        </is>
      </c>
      <c r="O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7" s="11" t="inlineStr">
        <is>
          <t>To Do</t>
        </is>
      </c>
    </row>
    <row r="98" ht="15.75" customHeight="1" s="12">
      <c r="A98" s="1" t="n">
        <v>394</v>
      </c>
      <c r="B98" s="3">
        <f>HYPERLINK("https://leetcode.com/problems/decode-string/", "Decode String")</f>
        <v/>
      </c>
      <c r="C98" s="1" t="n">
        <v>14030</v>
      </c>
      <c r="D98" s="1" t="n">
        <v>705</v>
      </c>
      <c r="E98" s="4">
        <f>IF(INDEX(C:C, ROW())+INDEX(D:D, ROW())=0, 0, INDEX(C:C, ROW())/(INDEX(C:C, ROW())+INDEX(D:D, ROW())))</f>
        <v/>
      </c>
      <c r="F98" s="1" t="inlineStr">
        <is>
          <t>String, Stack, Recursion</t>
        </is>
      </c>
      <c r="G98" s="1" t="inlineStr">
        <is>
          <t>Medium</t>
        </is>
      </c>
      <c r="H98" s="1" t="n">
        <v>1200500</v>
      </c>
      <c r="I98" s="1" t="n">
        <v>1918637</v>
      </c>
      <c r="J98" s="9" t="n">
        <v>0.626</v>
      </c>
      <c r="K98" s="1" t="inlineStr">
        <is>
          <t>Yes</t>
        </is>
      </c>
      <c r="L98" s="1" t="inlineStr">
        <is>
          <t>Yes</t>
        </is>
      </c>
      <c r="M98" s="1" t="inlineStr">
        <is>
          <t>No</t>
        </is>
      </c>
      <c r="N98" s="1" t="inlineStr">
        <is>
          <t>Algorithms</t>
        </is>
      </c>
      <c r="O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8" s="11" t="inlineStr">
        <is>
          <t>To Do</t>
        </is>
      </c>
    </row>
    <row r="99" ht="15.75" customHeight="1" s="12">
      <c r="A99" s="1" t="n">
        <v>217</v>
      </c>
      <c r="B99" s="3">
        <f>HYPERLINK("https://leetcode.com/problems/contains-duplicate/", "Contains Duplicate")</f>
        <v/>
      </c>
      <c r="C99" s="1" t="n">
        <v>13991</v>
      </c>
      <c r="D99" s="1" t="n">
        <v>1372</v>
      </c>
      <c r="E99" s="4">
        <f>IF(INDEX(C:C, ROW())+INDEX(D:D, ROW())=0, 0, INDEX(C:C, ROW())/(INDEX(C:C, ROW())+INDEX(D:D, ROW())))</f>
        <v/>
      </c>
      <c r="F99" s="1" t="inlineStr">
        <is>
          <t>Array, Hash Table, Sorting</t>
        </is>
      </c>
      <c r="G99" s="1" t="inlineStr">
        <is>
          <t>Easy</t>
        </is>
      </c>
      <c r="H99" s="1" t="n">
        <v>6387848</v>
      </c>
      <c r="I99" s="1" t="n">
        <v>9932236</v>
      </c>
      <c r="J99" s="9" t="n">
        <v>0.643</v>
      </c>
      <c r="K99" s="1" t="inlineStr">
        <is>
          <t>Yes</t>
        </is>
      </c>
      <c r="L99" s="1" t="inlineStr">
        <is>
          <t>Yes</t>
        </is>
      </c>
      <c r="M99" s="1" t="inlineStr">
        <is>
          <t>No</t>
        </is>
      </c>
      <c r="N99" s="1" t="inlineStr">
        <is>
          <t>Algorithms</t>
        </is>
      </c>
      <c r="O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9" s="13" t="inlineStr">
        <is>
          <t>Done</t>
        </is>
      </c>
    </row>
    <row r="100" ht="15.75" customHeight="1" s="12">
      <c r="A100" s="1" t="n">
        <v>416</v>
      </c>
      <c r="B100" s="3">
        <f>HYPERLINK("https://leetcode.com/problems/partition-equal-subset-sum/", "Partition Equal Subset Sum")</f>
        <v/>
      </c>
      <c r="C100" s="1" t="n">
        <v>13897</v>
      </c>
      <c r="D100" s="1" t="n">
        <v>300</v>
      </c>
      <c r="E100" s="4">
        <f>IF(INDEX(C:C, ROW())+INDEX(D:D, ROW())=0, 0, INDEX(C:C, ROW())/(INDEX(C:C, ROW())+INDEX(D:D, ROW())))</f>
        <v/>
      </c>
      <c r="F100" s="1" t="inlineStr">
        <is>
          <t>Array, Dynamic Programming</t>
        </is>
      </c>
      <c r="G100" s="1" t="inlineStr">
        <is>
          <t>Medium</t>
        </is>
      </c>
      <c r="H100" s="1" t="n">
        <v>1505494</v>
      </c>
      <c r="I100" s="1" t="n">
        <v>3044653</v>
      </c>
      <c r="J100" s="9" t="n">
        <v>0.494</v>
      </c>
      <c r="K100" s="1" t="inlineStr">
        <is>
          <t>Yes</t>
        </is>
      </c>
      <c r="L100" s="1" t="inlineStr">
        <is>
          <t>Yes</t>
        </is>
      </c>
      <c r="M100" s="1" t="inlineStr">
        <is>
          <t>Yes</t>
        </is>
      </c>
      <c r="N100" s="1" t="inlineStr">
        <is>
          <t>Algorithms</t>
        </is>
      </c>
      <c r="O1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0" s="11" t="inlineStr">
        <is>
          <t>To Do</t>
        </is>
      </c>
    </row>
    <row r="101" ht="15.75" customHeight="1" s="12">
      <c r="A101" s="1" t="n">
        <v>875</v>
      </c>
      <c r="B101" s="3">
        <f>HYPERLINK("https://leetcode.com/problems/koko-eating-bananas/", "Koko Eating Bananas")</f>
        <v/>
      </c>
      <c r="C101" s="1" t="n">
        <v>13765</v>
      </c>
      <c r="D101" s="1" t="n">
        <v>922</v>
      </c>
      <c r="E101" s="4">
        <f>IF(INDEX(C:C, ROW())+INDEX(D:D, ROW())=0, 0, INDEX(C:C, ROW())/(INDEX(C:C, ROW())+INDEX(D:D, ROW())))</f>
        <v/>
      </c>
      <c r="F101" s="1" t="inlineStr">
        <is>
          <t>Array, Binary Search</t>
        </is>
      </c>
      <c r="G101" s="1" t="inlineStr">
        <is>
          <t>Medium</t>
        </is>
      </c>
      <c r="H101" s="1" t="n">
        <v>1580629</v>
      </c>
      <c r="I101" s="1" t="n">
        <v>3162531</v>
      </c>
      <c r="J101" s="9" t="n">
        <v>0.5</v>
      </c>
      <c r="K101" s="1" t="inlineStr">
        <is>
          <t>Yes</t>
        </is>
      </c>
      <c r="L101" s="1" t="inlineStr">
        <is>
          <t>Yes</t>
        </is>
      </c>
      <c r="M101" s="1" t="inlineStr">
        <is>
          <t>No</t>
        </is>
      </c>
      <c r="N101" s="1" t="inlineStr">
        <is>
          <t>Algorithms</t>
        </is>
      </c>
      <c r="O1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1" s="11" t="inlineStr">
        <is>
          <t>To Do</t>
        </is>
      </c>
    </row>
    <row r="102" ht="15.75" customHeight="1" s="12">
      <c r="A102" s="1" t="n">
        <v>114</v>
      </c>
      <c r="B102" s="3">
        <f>HYPERLINK("https://leetcode.com/problems/flatten-binary-tree-to-linked-list/", "Flatten Binary Tree to Linked List")</f>
        <v/>
      </c>
      <c r="C102" s="1" t="n">
        <v>13736</v>
      </c>
      <c r="D102" s="1" t="n">
        <v>604</v>
      </c>
      <c r="E102" s="4">
        <f>IF(INDEX(C:C, ROW())+INDEX(D:D, ROW())=0, 0, INDEX(C:C, ROW())/(INDEX(C:C, ROW())+INDEX(D:D, ROW())))</f>
        <v/>
      </c>
      <c r="F102" s="1" t="inlineStr">
        <is>
          <t>Linked List, Stack, Tree, Depth-First Search, Binary Tree</t>
        </is>
      </c>
      <c r="G102" s="1" t="inlineStr">
        <is>
          <t>Medium</t>
        </is>
      </c>
      <c r="H102" s="1" t="n">
        <v>1402752</v>
      </c>
      <c r="I102" s="1" t="n">
        <v>1984776</v>
      </c>
      <c r="J102" s="9" t="n">
        <v>0.707</v>
      </c>
      <c r="K102" s="1" t="inlineStr">
        <is>
          <t>Yes</t>
        </is>
      </c>
      <c r="L102" s="1" t="inlineStr">
        <is>
          <t>Yes</t>
        </is>
      </c>
      <c r="M102" s="1" t="inlineStr">
        <is>
          <t>No</t>
        </is>
      </c>
      <c r="N102" s="1" t="inlineStr">
        <is>
          <t>Algorithms</t>
        </is>
      </c>
      <c r="O1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2" s="11" t="inlineStr">
        <is>
          <t>To Do</t>
        </is>
      </c>
    </row>
    <row r="103" ht="15.75" customHeight="1" s="12">
      <c r="A103" s="1" t="n">
        <v>64</v>
      </c>
      <c r="B103" s="3">
        <f>HYPERLINK("https://leetcode.com/problems/minimum-path-sum/", "Minimum Path Sum")</f>
        <v/>
      </c>
      <c r="C103" s="1" t="n">
        <v>13724</v>
      </c>
      <c r="D103" s="1" t="n">
        <v>203</v>
      </c>
      <c r="E103" s="4">
        <f>IF(INDEX(C:C, ROW())+INDEX(D:D, ROW())=0, 0, INDEX(C:C, ROW())/(INDEX(C:C, ROW())+INDEX(D:D, ROW())))</f>
        <v/>
      </c>
      <c r="F103" s="1" t="inlineStr">
        <is>
          <t>Array, Dynamic Programming, Matrix</t>
        </is>
      </c>
      <c r="G103" s="1" t="inlineStr">
        <is>
          <t>Medium</t>
        </is>
      </c>
      <c r="H103" s="1" t="n">
        <v>1851545</v>
      </c>
      <c r="I103" s="1" t="n">
        <v>2715850</v>
      </c>
      <c r="J103" s="9" t="n">
        <v>0.6820000000000001</v>
      </c>
      <c r="K103" s="1" t="inlineStr">
        <is>
          <t>Yes</t>
        </is>
      </c>
      <c r="L103" s="1" t="inlineStr">
        <is>
          <t>Yes</t>
        </is>
      </c>
      <c r="M103" s="1" t="inlineStr">
        <is>
          <t>No</t>
        </is>
      </c>
      <c r="N103" s="1" t="inlineStr">
        <is>
          <t>Algorithms</t>
        </is>
      </c>
      <c r="O1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3" s="11" t="inlineStr">
        <is>
          <t>To Do</t>
        </is>
      </c>
    </row>
    <row r="104" ht="15.75" customHeight="1" s="12">
      <c r="A104" s="1" t="n">
        <v>167</v>
      </c>
      <c r="B104" s="3">
        <f>HYPERLINK("https://leetcode.com/problems/two-sum-ii-input-array-is-sorted/", "Two Sum II - Input Array Is Sorted")</f>
        <v/>
      </c>
      <c r="C104" s="1" t="n">
        <v>13561</v>
      </c>
      <c r="D104" s="1" t="n">
        <v>1540</v>
      </c>
      <c r="E104" s="4">
        <f>IF(INDEX(C:C, ROW())+INDEX(D:D, ROW())=0, 0, INDEX(C:C, ROW())/(INDEX(C:C, ROW())+INDEX(D:D, ROW())))</f>
        <v/>
      </c>
      <c r="F104" s="1" t="inlineStr">
        <is>
          <t>Array, Two Pointers, Binary Search</t>
        </is>
      </c>
      <c r="G104" s="1" t="inlineStr">
        <is>
          <t>Medium</t>
        </is>
      </c>
      <c r="H104" s="1" t="n">
        <v>3390008</v>
      </c>
      <c r="I104" s="1" t="n">
        <v>5214855</v>
      </c>
      <c r="J104" s="9" t="n">
        <v>0.65</v>
      </c>
      <c r="K104" s="1" t="inlineStr">
        <is>
          <t>Yes</t>
        </is>
      </c>
      <c r="L104" s="1" t="inlineStr">
        <is>
          <t>Yes</t>
        </is>
      </c>
      <c r="M104" s="1" t="inlineStr">
        <is>
          <t>No</t>
        </is>
      </c>
      <c r="N104" s="1" t="inlineStr">
        <is>
          <t>Algorithms</t>
        </is>
      </c>
      <c r="O1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4" s="11" t="inlineStr">
        <is>
          <t>To Do</t>
        </is>
      </c>
    </row>
    <row r="105" ht="15.75" customHeight="1" s="12">
      <c r="A105" s="1" t="n">
        <v>134</v>
      </c>
      <c r="B105" s="3">
        <f>HYPERLINK("https://leetcode.com/problems/gas-station/", "Gas Station")</f>
        <v/>
      </c>
      <c r="C105" s="1" t="n">
        <v>13547</v>
      </c>
      <c r="D105" s="1" t="n">
        <v>1394</v>
      </c>
      <c r="E105" s="4">
        <f>IF(INDEX(C:C, ROW())+INDEX(D:D, ROW())=0, 0, INDEX(C:C, ROW())/(INDEX(C:C, ROW())+INDEX(D:D, ROW())))</f>
        <v/>
      </c>
      <c r="F105" s="1" t="inlineStr">
        <is>
          <t>Array, Greedy</t>
        </is>
      </c>
      <c r="G105" s="1" t="inlineStr">
        <is>
          <t>Medium</t>
        </is>
      </c>
      <c r="H105" s="1" t="n">
        <v>1353390</v>
      </c>
      <c r="I105" s="1" t="n">
        <v>2823259</v>
      </c>
      <c r="J105" s="9" t="n">
        <v>0.479</v>
      </c>
      <c r="K105" s="1" t="inlineStr">
        <is>
          <t>Yes</t>
        </is>
      </c>
      <c r="L105" s="1" t="inlineStr">
        <is>
          <t>Yes</t>
        </is>
      </c>
      <c r="M105" s="1" t="inlineStr">
        <is>
          <t>No</t>
        </is>
      </c>
      <c r="N105" s="1" t="inlineStr">
        <is>
          <t>Algorithms</t>
        </is>
      </c>
      <c r="O1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5" s="11" t="inlineStr">
        <is>
          <t>To Do</t>
        </is>
      </c>
    </row>
    <row r="106" ht="15.75" customHeight="1" s="12">
      <c r="A106" s="1" t="n">
        <v>127</v>
      </c>
      <c r="B106" s="3">
        <f>HYPERLINK("https://leetcode.com/problems/word-ladder/", "Word Ladder")</f>
        <v/>
      </c>
      <c r="C106" s="1" t="n">
        <v>13532</v>
      </c>
      <c r="D106" s="1" t="n">
        <v>1968</v>
      </c>
      <c r="E106" s="4">
        <f>IF(INDEX(C:C, ROW())+INDEX(D:D, ROW())=0, 0, INDEX(C:C, ROW())/(INDEX(C:C, ROW())+INDEX(D:D, ROW())))</f>
        <v/>
      </c>
      <c r="F106" s="1" t="inlineStr">
        <is>
          <t>Hash Table, String, Breadth-First Search</t>
        </is>
      </c>
      <c r="G106" s="1" t="inlineStr">
        <is>
          <t>Hard</t>
        </is>
      </c>
      <c r="H106" s="1" t="n">
        <v>1621584</v>
      </c>
      <c r="I106" s="1" t="n">
        <v>3567120</v>
      </c>
      <c r="J106" s="9" t="n">
        <v>0.455</v>
      </c>
      <c r="K106" s="1" t="inlineStr">
        <is>
          <t>Yes</t>
        </is>
      </c>
      <c r="L106" s="1" t="inlineStr">
        <is>
          <t>Yes</t>
        </is>
      </c>
      <c r="M106" s="1" t="inlineStr">
        <is>
          <t>Yes</t>
        </is>
      </c>
      <c r="N106" s="1" t="inlineStr">
        <is>
          <t>Algorithms</t>
        </is>
      </c>
      <c r="O1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6" s="11" t="inlineStr">
        <is>
          <t>To Do</t>
        </is>
      </c>
    </row>
    <row r="107" ht="15.75" customHeight="1" s="12">
      <c r="A107" s="1" t="n">
        <v>704</v>
      </c>
      <c r="B107" s="3">
        <f>HYPERLINK("https://leetcode.com/problems/binary-search/", "Binary Search")</f>
        <v/>
      </c>
      <c r="C107" s="1" t="n">
        <v>13527</v>
      </c>
      <c r="D107" s="1" t="n">
        <v>303</v>
      </c>
      <c r="E107" s="4">
        <f>IF(INDEX(C:C, ROW())+INDEX(D:D, ROW())=0, 0, INDEX(C:C, ROW())/(INDEX(C:C, ROW())+INDEX(D:D, ROW())))</f>
        <v/>
      </c>
      <c r="F107" s="1" t="inlineStr">
        <is>
          <t>Array, Binary Search</t>
        </is>
      </c>
      <c r="G107" s="1" t="inlineStr">
        <is>
          <t>Easy</t>
        </is>
      </c>
      <c r="H107" s="1" t="n">
        <v>3908782</v>
      </c>
      <c r="I107" s="1" t="n">
        <v>6428484</v>
      </c>
      <c r="J107" s="9" t="n">
        <v>0.608</v>
      </c>
      <c r="K107" s="1" t="inlineStr">
        <is>
          <t>Yes</t>
        </is>
      </c>
      <c r="L107" s="1" t="inlineStr">
        <is>
          <t>Yes</t>
        </is>
      </c>
      <c r="M107" s="1" t="inlineStr">
        <is>
          <t>No</t>
        </is>
      </c>
      <c r="N107" s="1" t="inlineStr">
        <is>
          <t>Algorithms</t>
        </is>
      </c>
      <c r="O1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7" s="13" t="inlineStr">
        <is>
          <t>Done</t>
        </is>
      </c>
    </row>
    <row r="108" ht="15.75" customHeight="1" s="12">
      <c r="A108" s="1" t="n">
        <v>199</v>
      </c>
      <c r="B108" s="3">
        <f>HYPERLINK("https://leetcode.com/problems/binary-tree-right-side-view/", "Binary Tree Right Side View")</f>
        <v/>
      </c>
      <c r="C108" s="1" t="n">
        <v>13487</v>
      </c>
      <c r="D108" s="1" t="n">
        <v>1092</v>
      </c>
      <c r="E108" s="4">
        <f>IF(INDEX(C:C, ROW())+INDEX(D:D, ROW())=0, 0, INDEX(C:C, ROW())/(INDEX(C:C, ROW())+INDEX(D:D, ROW())))</f>
        <v/>
      </c>
      <c r="F108" s="1" t="inlineStr">
        <is>
          <t>Tree, Depth-First Search, Breadth-First Search, Binary Tree</t>
        </is>
      </c>
      <c r="G108" s="1" t="inlineStr">
        <is>
          <t>Medium</t>
        </is>
      </c>
      <c r="H108" s="1" t="n">
        <v>2235365</v>
      </c>
      <c r="I108" s="1" t="n">
        <v>3188251</v>
      </c>
      <c r="J108" s="9" t="n">
        <v>0.701</v>
      </c>
      <c r="K108" s="1" t="inlineStr">
        <is>
          <t>Yes</t>
        </is>
      </c>
      <c r="L108" s="1" t="inlineStr">
        <is>
          <t>Yes</t>
        </is>
      </c>
      <c r="M108" s="1" t="inlineStr">
        <is>
          <t>Yes</t>
        </is>
      </c>
      <c r="N108" s="1" t="inlineStr">
        <is>
          <t>Algorithms</t>
        </is>
      </c>
      <c r="O1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8" s="11" t="inlineStr">
        <is>
          <t>To Do</t>
        </is>
      </c>
    </row>
    <row r="109" ht="15.75" customHeight="1" s="12">
      <c r="A109" s="1" t="n">
        <v>10</v>
      </c>
      <c r="B109" s="3">
        <f>HYPERLINK("https://leetcode.com/problems/regular-expression-matching/", "Regular Expression Matching")</f>
        <v/>
      </c>
      <c r="C109" s="1" t="n">
        <v>13347</v>
      </c>
      <c r="D109" s="1" t="n">
        <v>2405</v>
      </c>
      <c r="E109" s="4">
        <f>IF(INDEX(C:C, ROW())+INDEX(D:D, ROW())=0, 0, INDEX(C:C, ROW())/(INDEX(C:C, ROW())+INDEX(D:D, ROW())))</f>
        <v/>
      </c>
      <c r="F109" s="1" t="inlineStr">
        <is>
          <t>String, Dynamic Programming, Recursion</t>
        </is>
      </c>
      <c r="G109" s="1" t="inlineStr">
        <is>
          <t>Hard</t>
        </is>
      </c>
      <c r="H109" s="1" t="n">
        <v>1390806</v>
      </c>
      <c r="I109" s="1" t="n">
        <v>4501507</v>
      </c>
      <c r="J109" s="9" t="n">
        <v>0.309</v>
      </c>
      <c r="K109" s="1" t="inlineStr">
        <is>
          <t>Yes</t>
        </is>
      </c>
      <c r="L109" s="1" t="inlineStr">
        <is>
          <t>Yes</t>
        </is>
      </c>
      <c r="M109" s="1" t="inlineStr">
        <is>
          <t>No</t>
        </is>
      </c>
      <c r="N109" s="1" t="inlineStr">
        <is>
          <t>Algorithms</t>
        </is>
      </c>
      <c r="O1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9" s="10" t="inlineStr">
        <is>
          <t>Done</t>
        </is>
      </c>
    </row>
    <row r="110" ht="15.75" customHeight="1" s="12">
      <c r="A110" s="1" t="n">
        <v>32</v>
      </c>
      <c r="B110" s="3">
        <f>HYPERLINK("https://leetcode.com/problems/longest-valid-parentheses/", "Longest Valid Parentheses")</f>
        <v/>
      </c>
      <c r="C110" s="1" t="n">
        <v>13336</v>
      </c>
      <c r="D110" s="1" t="n">
        <v>467</v>
      </c>
      <c r="E110" s="4">
        <f>IF(INDEX(C:C, ROW())+INDEX(D:D, ROW())=0, 0, INDEX(C:C, ROW())/(INDEX(C:C, ROW())+INDEX(D:D, ROW())))</f>
        <v/>
      </c>
      <c r="F110" s="1" t="inlineStr">
        <is>
          <t>String, Dynamic Programming, Stack</t>
        </is>
      </c>
      <c r="G110" s="1" t="inlineStr">
        <is>
          <t>Hard</t>
        </is>
      </c>
      <c r="H110" s="1" t="n">
        <v>1106866</v>
      </c>
      <c r="I110" s="1" t="n">
        <v>2857860</v>
      </c>
      <c r="J110" s="9" t="n">
        <v>0.387</v>
      </c>
      <c r="K110" s="1" t="inlineStr">
        <is>
          <t>Yes</t>
        </is>
      </c>
      <c r="L110" s="1" t="inlineStr">
        <is>
          <t>Yes</t>
        </is>
      </c>
      <c r="M110" s="1" t="inlineStr">
        <is>
          <t>No</t>
        </is>
      </c>
      <c r="N110" s="1" t="inlineStr">
        <is>
          <t>Algorithms</t>
        </is>
      </c>
      <c r="O1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0" s="11" t="inlineStr">
        <is>
          <t>To Do</t>
        </is>
      </c>
    </row>
    <row r="111" ht="15.75" customHeight="1" s="12">
      <c r="A111" s="1" t="n">
        <v>876</v>
      </c>
      <c r="B111" s="3">
        <f>HYPERLINK("https://leetcode.com/problems/middle-of-the-linked-list/", "Middle of the Linked List")</f>
        <v/>
      </c>
      <c r="C111" s="1" t="n">
        <v>13280</v>
      </c>
      <c r="D111" s="1" t="n">
        <v>450</v>
      </c>
      <c r="E111" s="4">
        <f>IF(INDEX(C:C, ROW())+INDEX(D:D, ROW())=0, 0, INDEX(C:C, ROW())/(INDEX(C:C, ROW())+INDEX(D:D, ROW())))</f>
        <v/>
      </c>
      <c r="F111" s="1" t="inlineStr">
        <is>
          <t>Linked List, Two Pointers</t>
        </is>
      </c>
      <c r="G111" s="1" t="inlineStr">
        <is>
          <t>Easy</t>
        </is>
      </c>
      <c r="H111" s="1" t="n">
        <v>3022254</v>
      </c>
      <c r="I111" s="1" t="n">
        <v>3694974</v>
      </c>
      <c r="J111" s="9" t="n">
        <v>0.8179999999999999</v>
      </c>
      <c r="K111" s="1" t="inlineStr">
        <is>
          <t>Yes</t>
        </is>
      </c>
      <c r="L111" s="1" t="inlineStr">
        <is>
          <t>Yes</t>
        </is>
      </c>
      <c r="M111" s="1" t="inlineStr">
        <is>
          <t>Yes</t>
        </is>
      </c>
      <c r="N111" s="1" t="inlineStr">
        <is>
          <t>Algorithms</t>
        </is>
      </c>
      <c r="O1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1" s="13" t="inlineStr">
        <is>
          <t>Done</t>
        </is>
      </c>
    </row>
    <row r="112" ht="15.75" customHeight="1" s="12">
      <c r="A112" s="1" t="n">
        <v>438</v>
      </c>
      <c r="B112" s="3">
        <f>HYPERLINK("https://leetcode.com/problems/find-all-anagrams-in-a-string/", "Find All Anagrams in a String")</f>
        <v/>
      </c>
      <c r="C112" s="1" t="n">
        <v>13248</v>
      </c>
      <c r="D112" s="1" t="n">
        <v>378</v>
      </c>
      <c r="E112" s="4">
        <f>IF(INDEX(C:C, ROW())+INDEX(D:D, ROW())=0, 0, INDEX(C:C, ROW())/(INDEX(C:C, ROW())+INDEX(D:D, ROW())))</f>
        <v/>
      </c>
      <c r="F112" s="1" t="inlineStr">
        <is>
          <t>Hash Table, String, Sliding Window</t>
        </is>
      </c>
      <c r="G112" s="1" t="inlineStr">
        <is>
          <t>Medium</t>
        </is>
      </c>
      <c r="H112" s="1" t="n">
        <v>1204374</v>
      </c>
      <c r="I112" s="1" t="n">
        <v>2243335</v>
      </c>
      <c r="J112" s="9" t="n">
        <v>0.537</v>
      </c>
      <c r="K112" s="1" t="inlineStr">
        <is>
          <t>Yes</t>
        </is>
      </c>
      <c r="L112" s="1" t="inlineStr">
        <is>
          <t>Yes</t>
        </is>
      </c>
      <c r="M112" s="1" t="inlineStr">
        <is>
          <t>No</t>
        </is>
      </c>
      <c r="N112" s="1" t="inlineStr">
        <is>
          <t>Algorithms</t>
        </is>
      </c>
      <c r="O1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2" s="11" t="inlineStr">
        <is>
          <t>To Do</t>
        </is>
      </c>
    </row>
    <row r="113" ht="15.75" customHeight="1" s="12">
      <c r="A113" s="1" t="n">
        <v>295</v>
      </c>
      <c r="B113" s="3">
        <f>HYPERLINK("https://leetcode.com/problems/find-median-from-data-stream/", "Find Median from Data Stream")</f>
        <v/>
      </c>
      <c r="C113" s="1" t="n">
        <v>13233</v>
      </c>
      <c r="D113" s="1" t="n">
        <v>283</v>
      </c>
      <c r="E113" s="4">
        <f>IF(INDEX(C:C, ROW())+INDEX(D:D, ROW())=0, 0, INDEX(C:C, ROW())/(INDEX(C:C, ROW())+INDEX(D:D, ROW())))</f>
        <v/>
      </c>
      <c r="F113" s="1" t="inlineStr">
        <is>
          <t>Two Pointers, Design, Sorting, Heap (Priority Queue), Data Stream</t>
        </is>
      </c>
      <c r="G113" s="1" t="inlineStr">
        <is>
          <t>Hard</t>
        </is>
      </c>
      <c r="H113" s="1" t="n">
        <v>1217205</v>
      </c>
      <c r="I113" s="1" t="n">
        <v>2236447</v>
      </c>
      <c r="J113" s="9" t="n">
        <v>0.544</v>
      </c>
      <c r="K113" s="1" t="inlineStr">
        <is>
          <t>Yes</t>
        </is>
      </c>
      <c r="L113" s="1" t="inlineStr">
        <is>
          <t>Yes</t>
        </is>
      </c>
      <c r="M113" s="1" t="inlineStr">
        <is>
          <t>No</t>
        </is>
      </c>
      <c r="N113" s="1" t="inlineStr">
        <is>
          <t>Algorithms</t>
        </is>
      </c>
      <c r="O1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3" s="11" t="inlineStr">
        <is>
          <t>To Do</t>
        </is>
      </c>
    </row>
    <row r="114" ht="15.75" customHeight="1" s="12">
      <c r="A114" s="1" t="n">
        <v>24</v>
      </c>
      <c r="B114" s="3">
        <f>HYPERLINK("https://leetcode.com/problems/swap-nodes-in-pairs/", "Swap Nodes in Pairs")</f>
        <v/>
      </c>
      <c r="C114" s="1" t="n">
        <v>13186</v>
      </c>
      <c r="D114" s="1" t="n">
        <v>517</v>
      </c>
      <c r="E114" s="4">
        <f>IF(INDEX(C:C, ROW())+INDEX(D:D, ROW())=0, 0, INDEX(C:C, ROW())/(INDEX(C:C, ROW())+INDEX(D:D, ROW())))</f>
        <v/>
      </c>
      <c r="F114" s="1" t="inlineStr">
        <is>
          <t>Linked List, Recursion</t>
        </is>
      </c>
      <c r="G114" s="1" t="inlineStr">
        <is>
          <t>Medium</t>
        </is>
      </c>
      <c r="H114" s="1" t="n">
        <v>1924218</v>
      </c>
      <c r="I114" s="1" t="n">
        <v>2770808</v>
      </c>
      <c r="J114" s="9" t="n">
        <v>0.694</v>
      </c>
      <c r="K114" s="1" t="inlineStr">
        <is>
          <t>Yes</t>
        </is>
      </c>
      <c r="L114" s="1" t="inlineStr">
        <is>
          <t>Yes</t>
        </is>
      </c>
      <c r="M114" s="1" t="inlineStr">
        <is>
          <t>No</t>
        </is>
      </c>
      <c r="N114" s="1" t="inlineStr">
        <is>
          <t>Algorithms</t>
        </is>
      </c>
      <c r="O1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4" s="10" t="inlineStr">
        <is>
          <t>Done</t>
        </is>
      </c>
    </row>
    <row r="115" ht="15.75" customHeight="1" s="12">
      <c r="A115" s="1" t="n">
        <v>240</v>
      </c>
      <c r="B115" s="3">
        <f>HYPERLINK("https://leetcode.com/problems/search-a-2d-matrix-ii/", "Search a 2D Matrix II")</f>
        <v/>
      </c>
      <c r="C115" s="1" t="n">
        <v>13156</v>
      </c>
      <c r="D115" s="1" t="n">
        <v>233</v>
      </c>
      <c r="E115" s="4">
        <f>IF(INDEX(C:C, ROW())+INDEX(D:D, ROW())=0, 0, INDEX(C:C, ROW())/(INDEX(C:C, ROW())+INDEX(D:D, ROW())))</f>
        <v/>
      </c>
      <c r="F115" s="1" t="inlineStr">
        <is>
          <t>Array, Binary Search, Divide and Conquer, Matrix</t>
        </is>
      </c>
      <c r="G115" s="1" t="inlineStr">
        <is>
          <t>Medium</t>
        </is>
      </c>
      <c r="H115" s="1" t="n">
        <v>1375750</v>
      </c>
      <c r="I115" s="1" t="n">
        <v>2404575</v>
      </c>
      <c r="J115" s="9" t="n">
        <v>0.572</v>
      </c>
      <c r="K115" s="1" t="inlineStr">
        <is>
          <t>Yes</t>
        </is>
      </c>
      <c r="L115" s="1" t="inlineStr">
        <is>
          <t>Yes</t>
        </is>
      </c>
      <c r="M115" s="1" t="inlineStr">
        <is>
          <t>Yes</t>
        </is>
      </c>
      <c r="N115" s="1" t="inlineStr">
        <is>
          <t>Algorithms</t>
        </is>
      </c>
      <c r="O1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5" s="11" t="inlineStr">
        <is>
          <t>To Do</t>
        </is>
      </c>
    </row>
    <row r="116" ht="15.75" customHeight="1" s="12">
      <c r="A116" s="1" t="n">
        <v>424</v>
      </c>
      <c r="B116" s="3">
        <f>HYPERLINK("https://leetcode.com/problems/longest-repeating-character-replacement/", "Longest Repeating Character Replacement")</f>
        <v/>
      </c>
      <c r="C116" s="1" t="n">
        <v>13107</v>
      </c>
      <c r="D116" s="1" t="n">
        <v>769</v>
      </c>
      <c r="E116" s="4">
        <f>IF(INDEX(C:C, ROW())+INDEX(D:D, ROW())=0, 0, INDEX(C:C, ROW())/(INDEX(C:C, ROW())+INDEX(D:D, ROW())))</f>
        <v/>
      </c>
      <c r="F116" s="1" t="inlineStr">
        <is>
          <t>Hash Table, String, Sliding Window</t>
        </is>
      </c>
      <c r="G116" s="1" t="inlineStr">
        <is>
          <t>Medium</t>
        </is>
      </c>
      <c r="H116" s="1" t="n">
        <v>1556957</v>
      </c>
      <c r="I116" s="1" t="n">
        <v>2614437</v>
      </c>
      <c r="J116" s="9" t="n">
        <v>0.596</v>
      </c>
      <c r="K116" s="1" t="inlineStr">
        <is>
          <t>Yes</t>
        </is>
      </c>
      <c r="L116" s="1" t="inlineStr">
        <is>
          <t>Yes</t>
        </is>
      </c>
      <c r="M116" s="1" t="inlineStr">
        <is>
          <t>No</t>
        </is>
      </c>
      <c r="N116" s="1" t="inlineStr">
        <is>
          <t>Algorithms</t>
        </is>
      </c>
      <c r="O1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6" s="11" t="inlineStr">
        <is>
          <t>To Do</t>
        </is>
      </c>
    </row>
    <row r="117" ht="15.75" customHeight="1" s="12">
      <c r="A117" s="1" t="n">
        <v>148</v>
      </c>
      <c r="B117" s="3">
        <f>HYPERLINK("https://leetcode.com/problems/sort-list/", "Sort List")</f>
        <v/>
      </c>
      <c r="C117" s="1" t="n">
        <v>13069</v>
      </c>
      <c r="D117" s="1" t="n">
        <v>419</v>
      </c>
      <c r="E117" s="4">
        <f>IF(INDEX(C:C, ROW())+INDEX(D:D, ROW())=0, 0, INDEX(C:C, ROW())/(INDEX(C:C, ROW())+INDEX(D:D, ROW())))</f>
        <v/>
      </c>
      <c r="F117" s="1" t="inlineStr">
        <is>
          <t>Linked List, Two Pointers, Divide and Conquer, Sorting, Merge Sort</t>
        </is>
      </c>
      <c r="G117" s="1" t="inlineStr">
        <is>
          <t>Medium</t>
        </is>
      </c>
      <c r="H117" s="1" t="n">
        <v>1278933</v>
      </c>
      <c r="I117" s="1" t="n">
        <v>1987095</v>
      </c>
      <c r="J117" s="9" t="n">
        <v>0.644</v>
      </c>
      <c r="K117" s="1" t="inlineStr">
        <is>
          <t>Yes</t>
        </is>
      </c>
      <c r="L117" s="1" t="inlineStr">
        <is>
          <t>Yes</t>
        </is>
      </c>
      <c r="M117" s="1" t="inlineStr">
        <is>
          <t>No</t>
        </is>
      </c>
      <c r="N117" s="1" t="inlineStr">
        <is>
          <t>Algorithms</t>
        </is>
      </c>
      <c r="O1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7" s="11" t="inlineStr">
        <is>
          <t>To Do</t>
        </is>
      </c>
    </row>
    <row r="118" ht="15.75" customHeight="1" s="12">
      <c r="A118" s="1" t="n">
        <v>567</v>
      </c>
      <c r="B118" s="3">
        <f>HYPERLINK("https://leetcode.com/problems/permutation-in-string/", "Permutation in String")</f>
        <v/>
      </c>
      <c r="C118" s="1" t="n">
        <v>13054</v>
      </c>
      <c r="D118" s="1" t="n">
        <v>522</v>
      </c>
      <c r="E118" s="4">
        <f>IF(INDEX(C:C, ROW())+INDEX(D:D, ROW())=0, 0, INDEX(C:C, ROW())/(INDEX(C:C, ROW())+INDEX(D:D, ROW())))</f>
        <v/>
      </c>
      <c r="F118" s="1" t="inlineStr">
        <is>
          <t>Hash Table, Two Pointers, String, Sliding Window</t>
        </is>
      </c>
      <c r="G118" s="1" t="inlineStr">
        <is>
          <t>Medium</t>
        </is>
      </c>
      <c r="H118" s="1" t="n">
        <v>1492675</v>
      </c>
      <c r="I118" s="1" t="n">
        <v>3058938</v>
      </c>
      <c r="J118" s="9" t="n">
        <v>0.488</v>
      </c>
      <c r="K118" s="1" t="inlineStr">
        <is>
          <t>Yes</t>
        </is>
      </c>
      <c r="L118" s="1" t="inlineStr">
        <is>
          <t>Yes</t>
        </is>
      </c>
      <c r="M118" s="1" t="inlineStr">
        <is>
          <t>No</t>
        </is>
      </c>
      <c r="N118" s="1" t="inlineStr">
        <is>
          <t>Algorithms</t>
        </is>
      </c>
      <c r="O1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8" s="11" t="inlineStr">
        <is>
          <t>To Do</t>
        </is>
      </c>
    </row>
    <row r="119" ht="15.75" customHeight="1" s="12">
      <c r="A119" s="1" t="n">
        <v>540</v>
      </c>
      <c r="B119" s="3">
        <f>HYPERLINK("https://leetcode.com/problems/single-element-in-a-sorted-array/", "Single Element in a Sorted Array")</f>
        <v/>
      </c>
      <c r="C119" s="1" t="n">
        <v>13050</v>
      </c>
      <c r="D119" s="1" t="n">
        <v>249</v>
      </c>
      <c r="E119" s="4">
        <f>IF(INDEX(C:C, ROW())+INDEX(D:D, ROW())=0, 0, INDEX(C:C, ROW())/(INDEX(C:C, ROW())+INDEX(D:D, ROW())))</f>
        <v/>
      </c>
      <c r="F119" s="1" t="inlineStr">
        <is>
          <t>Array, Binary Search</t>
        </is>
      </c>
      <c r="G119" s="1" t="inlineStr">
        <is>
          <t>Medium</t>
        </is>
      </c>
      <c r="H119" s="1" t="n">
        <v>1212931</v>
      </c>
      <c r="I119" s="1" t="n">
        <v>2046173</v>
      </c>
      <c r="J119" s="9" t="n">
        <v>0.593</v>
      </c>
      <c r="K119" s="1" t="inlineStr">
        <is>
          <t>Yes</t>
        </is>
      </c>
      <c r="L119" s="1" t="inlineStr">
        <is>
          <t>Yes</t>
        </is>
      </c>
      <c r="M119" s="1" t="inlineStr">
        <is>
          <t>No</t>
        </is>
      </c>
      <c r="N119" s="1" t="inlineStr">
        <is>
          <t>Algorithms</t>
        </is>
      </c>
      <c r="O1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9" s="11" t="inlineStr">
        <is>
          <t>To Do</t>
        </is>
      </c>
    </row>
    <row r="120" ht="15.75" customHeight="1" s="12">
      <c r="A120" s="1" t="n">
        <v>92</v>
      </c>
      <c r="B120" s="3">
        <f>HYPERLINK("https://leetcode.com/problems/reverse-linked-list-ii/", "Reverse Linked List II")</f>
        <v/>
      </c>
      <c r="C120" s="1" t="n">
        <v>12979</v>
      </c>
      <c r="D120" s="1" t="n">
        <v>788</v>
      </c>
      <c r="E120" s="4">
        <f>IF(INDEX(C:C, ROW())+INDEX(D:D, ROW())=0, 0, INDEX(C:C, ROW())/(INDEX(C:C, ROW())+INDEX(D:D, ROW())))</f>
        <v/>
      </c>
      <c r="F120" s="1" t="inlineStr">
        <is>
          <t>Linked List</t>
        </is>
      </c>
      <c r="G120" s="1" t="inlineStr">
        <is>
          <t>Medium</t>
        </is>
      </c>
      <c r="H120" s="1" t="n">
        <v>1316709</v>
      </c>
      <c r="I120" s="1" t="n">
        <v>2558602</v>
      </c>
      <c r="J120" s="9" t="n">
        <v>0.515</v>
      </c>
      <c r="K120" s="1" t="inlineStr">
        <is>
          <t>Yes</t>
        </is>
      </c>
      <c r="L120" s="1" t="inlineStr">
        <is>
          <t>Yes</t>
        </is>
      </c>
      <c r="M120" s="1" t="inlineStr">
        <is>
          <t>Yes</t>
        </is>
      </c>
      <c r="N120" s="1" t="inlineStr">
        <is>
          <t>Algorithms</t>
        </is>
      </c>
      <c r="O1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0" s="11" t="inlineStr">
        <is>
          <t>To Do</t>
        </is>
      </c>
    </row>
    <row r="121" ht="15.75" customHeight="1" s="12">
      <c r="A121" s="1" t="n">
        <v>100</v>
      </c>
      <c r="B121" s="3">
        <f>HYPERLINK("https://leetcode.com/problems/same-tree/", "Same Tree")</f>
        <v/>
      </c>
      <c r="C121" s="1" t="n">
        <v>12922</v>
      </c>
      <c r="D121" s="1" t="n">
        <v>301</v>
      </c>
      <c r="E121" s="4">
        <f>IF(INDEX(C:C, ROW())+INDEX(D:D, ROW())=0, 0, INDEX(C:C, ROW())/(INDEX(C:C, ROW())+INDEX(D:D, ROW())))</f>
        <v/>
      </c>
      <c r="F121" s="1" t="inlineStr">
        <is>
          <t>Tree, Depth-First Search, Breadth-First Search, Binary Tree</t>
        </is>
      </c>
      <c r="G121" s="1" t="inlineStr">
        <is>
          <t>Easy</t>
        </is>
      </c>
      <c r="H121" s="1" t="n">
        <v>3417281</v>
      </c>
      <c r="I121" s="1" t="n">
        <v>5095366</v>
      </c>
      <c r="J121" s="9" t="n">
        <v>0.671</v>
      </c>
      <c r="K121" s="1" t="inlineStr">
        <is>
          <t>Yes</t>
        </is>
      </c>
      <c r="L121" s="1" t="inlineStr">
        <is>
          <t>Yes</t>
        </is>
      </c>
      <c r="M121" s="1" t="inlineStr">
        <is>
          <t>Yes</t>
        </is>
      </c>
      <c r="N121" s="1" t="inlineStr">
        <is>
          <t>Algorithms</t>
        </is>
      </c>
      <c r="O1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1" s="13" t="inlineStr">
        <is>
          <t>Done</t>
        </is>
      </c>
    </row>
    <row r="122" ht="15.75" customHeight="1" s="12">
      <c r="A122" s="1" t="n">
        <v>91</v>
      </c>
      <c r="B122" s="3">
        <f>HYPERLINK("https://leetcode.com/problems/decode-ways/", "Decode Ways")</f>
        <v/>
      </c>
      <c r="C122" s="1" t="n">
        <v>12916</v>
      </c>
      <c r="D122" s="1" t="n">
        <v>4616</v>
      </c>
      <c r="E122" s="4">
        <f>IF(INDEX(C:C, ROW())+INDEX(D:D, ROW())=0, 0, INDEX(C:C, ROW())/(INDEX(C:C, ROW())+INDEX(D:D, ROW())))</f>
        <v/>
      </c>
      <c r="F122" s="1" t="inlineStr">
        <is>
          <t>String, Dynamic Programming</t>
        </is>
      </c>
      <c r="G122" s="1" t="inlineStr">
        <is>
          <t>Medium</t>
        </is>
      </c>
      <c r="H122" s="1" t="n">
        <v>1658844</v>
      </c>
      <c r="I122" s="1" t="n">
        <v>4372531</v>
      </c>
      <c r="J122" s="9" t="n">
        <v>0.379</v>
      </c>
      <c r="K122" s="1" t="inlineStr">
        <is>
          <t>Yes</t>
        </is>
      </c>
      <c r="L122" s="1" t="inlineStr">
        <is>
          <t>Yes</t>
        </is>
      </c>
      <c r="M122" s="1" t="inlineStr">
        <is>
          <t>Yes</t>
        </is>
      </c>
      <c r="N122" s="1" t="inlineStr">
        <is>
          <t>Algorithms</t>
        </is>
      </c>
      <c r="O1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2" s="11" t="inlineStr">
        <is>
          <t>To Do</t>
        </is>
      </c>
    </row>
    <row r="123" ht="15.75" customHeight="1" s="12">
      <c r="A123" s="1" t="n">
        <v>18</v>
      </c>
      <c r="B123" s="3">
        <f>HYPERLINK("https://leetcode.com/problems/4sum/", "4Sum")</f>
        <v/>
      </c>
      <c r="C123" s="1" t="n">
        <v>12898</v>
      </c>
      <c r="D123" s="1" t="n">
        <v>1540</v>
      </c>
      <c r="E123" s="4">
        <f>IF(INDEX(C:C, ROW())+INDEX(D:D, ROW())=0, 0, INDEX(C:C, ROW())/(INDEX(C:C, ROW())+INDEX(D:D, ROW())))</f>
        <v/>
      </c>
      <c r="F123" s="1" t="inlineStr">
        <is>
          <t>Array, Two Pointers, Sorting</t>
        </is>
      </c>
      <c r="G123" s="1" t="inlineStr">
        <is>
          <t>Medium</t>
        </is>
      </c>
      <c r="H123" s="1" t="n">
        <v>1689041</v>
      </c>
      <c r="I123" s="1" t="n">
        <v>4163742</v>
      </c>
      <c r="J123" s="9" t="n">
        <v>0.406</v>
      </c>
      <c r="K123" s="1" t="inlineStr">
        <is>
          <t>Yes</t>
        </is>
      </c>
      <c r="L123" s="1" t="inlineStr">
        <is>
          <t>Yes</t>
        </is>
      </c>
      <c r="M123" s="1" t="inlineStr">
        <is>
          <t>No</t>
        </is>
      </c>
      <c r="N123" s="1" t="inlineStr">
        <is>
          <t>Algorithms</t>
        </is>
      </c>
      <c r="O1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3" s="11" t="inlineStr">
        <is>
          <t>To Do</t>
        </is>
      </c>
    </row>
    <row r="124" ht="15.75" customHeight="1" s="12">
      <c r="A124" s="1" t="n">
        <v>230</v>
      </c>
      <c r="B124" s="3">
        <f>HYPERLINK("https://leetcode.com/problems/kth-smallest-element-in-a-bst/", "Kth Smallest Element in a BST")</f>
        <v/>
      </c>
      <c r="C124" s="1" t="n">
        <v>12757</v>
      </c>
      <c r="D124" s="1" t="n">
        <v>266</v>
      </c>
      <c r="E124" s="4">
        <f>IF(INDEX(C:C, ROW())+INDEX(D:D, ROW())=0, 0, INDEX(C:C, ROW())/(INDEX(C:C, ROW())+INDEX(D:D, ROW())))</f>
        <v/>
      </c>
      <c r="F124" s="1" t="inlineStr">
        <is>
          <t>Tree, Depth-First Search, Binary Search Tree, Binary Tree</t>
        </is>
      </c>
      <c r="G124" s="1" t="inlineStr">
        <is>
          <t>Medium</t>
        </is>
      </c>
      <c r="H124" s="1" t="n">
        <v>2257809</v>
      </c>
      <c r="I124" s="1" t="n">
        <v>2940431</v>
      </c>
      <c r="J124" s="9" t="n">
        <v>0.768</v>
      </c>
      <c r="K124" s="1" t="inlineStr">
        <is>
          <t>Yes</t>
        </is>
      </c>
      <c r="L124" s="1" t="inlineStr">
        <is>
          <t>Yes</t>
        </is>
      </c>
      <c r="M124" s="1" t="inlineStr">
        <is>
          <t>No</t>
        </is>
      </c>
      <c r="N124" s="1" t="inlineStr">
        <is>
          <t>Algorithms</t>
        </is>
      </c>
      <c r="O1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4" s="11" t="inlineStr">
        <is>
          <t>To Do</t>
        </is>
      </c>
    </row>
    <row r="125" ht="15.75" customHeight="1" s="12">
      <c r="A125" s="1" t="n">
        <v>143</v>
      </c>
      <c r="B125" s="3">
        <f>HYPERLINK("https://leetcode.com/problems/reorder-list/", "Reorder List")</f>
        <v/>
      </c>
      <c r="C125" s="1" t="n">
        <v>12589</v>
      </c>
      <c r="D125" s="1" t="n">
        <v>521</v>
      </c>
      <c r="E125" s="4">
        <f>IF(INDEX(C:C, ROW())+INDEX(D:D, ROW())=0, 0, INDEX(C:C, ROW())/(INDEX(C:C, ROW())+INDEX(D:D, ROW())))</f>
        <v/>
      </c>
      <c r="F125" s="1" t="inlineStr">
        <is>
          <t>Linked List, Two Pointers, Stack, Recursion</t>
        </is>
      </c>
      <c r="G125" s="1" t="inlineStr">
        <is>
          <t>Medium</t>
        </is>
      </c>
      <c r="H125" s="1" t="n">
        <v>1515328</v>
      </c>
      <c r="I125" s="1" t="n">
        <v>2324448</v>
      </c>
      <c r="J125" s="9" t="n">
        <v>0.652</v>
      </c>
      <c r="K125" s="1" t="inlineStr">
        <is>
          <t>Yes</t>
        </is>
      </c>
      <c r="L125" s="1" t="inlineStr">
        <is>
          <t>Yes</t>
        </is>
      </c>
      <c r="M125" s="1" t="inlineStr">
        <is>
          <t>No</t>
        </is>
      </c>
      <c r="N125" s="1" t="inlineStr">
        <is>
          <t>Algorithms</t>
        </is>
      </c>
      <c r="O1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5" s="11" t="inlineStr">
        <is>
          <t>To Do</t>
        </is>
      </c>
    </row>
    <row r="126" ht="15.75" customHeight="1" s="12">
      <c r="A126" s="1" t="n">
        <v>36</v>
      </c>
      <c r="B126" s="3">
        <f>HYPERLINK("https://leetcode.com/problems/valid-sudoku/", "Valid Sudoku")</f>
        <v/>
      </c>
      <c r="C126" s="1" t="n">
        <v>12510</v>
      </c>
      <c r="D126" s="1" t="n">
        <v>1265</v>
      </c>
      <c r="E126" s="4">
        <f>IF(INDEX(C:C, ROW())+INDEX(D:D, ROW())=0, 0, INDEX(C:C, ROW())/(INDEX(C:C, ROW())+INDEX(D:D, ROW())))</f>
        <v/>
      </c>
      <c r="F126" s="1" t="inlineStr">
        <is>
          <t>Array, Hash Table, Matrix</t>
        </is>
      </c>
      <c r="G126" s="1" t="inlineStr">
        <is>
          <t>Medium</t>
        </is>
      </c>
      <c r="H126" s="1" t="n">
        <v>2491276</v>
      </c>
      <c r="I126" s="1" t="n">
        <v>3864091</v>
      </c>
      <c r="J126" s="9" t="n">
        <v>0.645</v>
      </c>
      <c r="K126" s="1" t="inlineStr">
        <is>
          <t>Yes</t>
        </is>
      </c>
      <c r="L126" s="1" t="inlineStr">
        <is>
          <t>Yes</t>
        </is>
      </c>
      <c r="M126" s="1" t="inlineStr">
        <is>
          <t>No</t>
        </is>
      </c>
      <c r="N126" s="1" t="inlineStr">
        <is>
          <t>Algorithms</t>
        </is>
      </c>
      <c r="O1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6" s="11" t="inlineStr">
        <is>
          <t>To Do</t>
        </is>
      </c>
    </row>
    <row r="127" ht="15.75" customHeight="1" s="12">
      <c r="A127" s="1" t="n">
        <v>208</v>
      </c>
      <c r="B127" s="3">
        <f>HYPERLINK("https://leetcode.com/problems/implement-trie-prefix-tree/", "Implement Trie (Prefix Tree)")</f>
        <v/>
      </c>
      <c r="C127" s="1" t="n">
        <v>12454</v>
      </c>
      <c r="D127" s="1" t="n">
        <v>164</v>
      </c>
      <c r="E127" s="4">
        <f>IF(INDEX(C:C, ROW())+INDEX(D:D, ROW())=0, 0, INDEX(C:C, ROW())/(INDEX(C:C, ROW())+INDEX(D:D, ROW())))</f>
        <v/>
      </c>
      <c r="F127" s="1" t="inlineStr">
        <is>
          <t>Hash Table, String, Design, Trie</t>
        </is>
      </c>
      <c r="G127" s="1" t="inlineStr">
        <is>
          <t>Medium</t>
        </is>
      </c>
      <c r="H127" s="1" t="n">
        <v>1541396</v>
      </c>
      <c r="I127" s="1" t="n">
        <v>2219234</v>
      </c>
      <c r="J127" s="9" t="n">
        <v>0.695</v>
      </c>
      <c r="K127" s="1" t="inlineStr">
        <is>
          <t>Yes</t>
        </is>
      </c>
      <c r="L127" s="1" t="inlineStr">
        <is>
          <t>Yes</t>
        </is>
      </c>
      <c r="M127" s="1" t="inlineStr">
        <is>
          <t>No</t>
        </is>
      </c>
      <c r="N127" s="1" t="inlineStr">
        <is>
          <t>Algorithms</t>
        </is>
      </c>
      <c r="O1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7" s="11" t="inlineStr">
        <is>
          <t>To Do</t>
        </is>
      </c>
    </row>
    <row r="128" ht="15.75" customHeight="1" s="12">
      <c r="A128" s="1" t="n">
        <v>494</v>
      </c>
      <c r="B128" s="3">
        <f>HYPERLINK("https://leetcode.com/problems/target-sum/", "Target Sum")</f>
        <v/>
      </c>
      <c r="C128" s="1" t="n">
        <v>12428</v>
      </c>
      <c r="D128" s="1" t="n">
        <v>417</v>
      </c>
      <c r="E128" s="4">
        <f>IF(INDEX(C:C, ROW())+INDEX(D:D, ROW())=0, 0, INDEX(C:C, ROW())/(INDEX(C:C, ROW())+INDEX(D:D, ROW())))</f>
        <v/>
      </c>
      <c r="F128" s="1" t="inlineStr">
        <is>
          <t>Array, Dynamic Programming, Backtracking</t>
        </is>
      </c>
      <c r="G128" s="1" t="inlineStr">
        <is>
          <t>Medium</t>
        </is>
      </c>
      <c r="H128" s="1" t="n">
        <v>1087841</v>
      </c>
      <c r="I128" s="1" t="n">
        <v>2085260</v>
      </c>
      <c r="J128" s="9" t="n">
        <v>0.522</v>
      </c>
      <c r="K128" s="1" t="inlineStr">
        <is>
          <t>Yes</t>
        </is>
      </c>
      <c r="L128" s="1" t="inlineStr">
        <is>
          <t>Yes</t>
        </is>
      </c>
      <c r="M128" s="1" t="inlineStr">
        <is>
          <t>No</t>
        </is>
      </c>
      <c r="N128" s="1" t="inlineStr">
        <is>
          <t>Algorithms</t>
        </is>
      </c>
      <c r="O1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8" s="11" t="inlineStr">
        <is>
          <t>To Do</t>
        </is>
      </c>
    </row>
    <row r="129" ht="15.75" customHeight="1" s="12">
      <c r="A129" s="1" t="n">
        <v>746</v>
      </c>
      <c r="B129" s="3">
        <f>HYPERLINK("https://leetcode.com/problems/min-cost-climbing-stairs/", "Min Cost Climbing Stairs")</f>
        <v/>
      </c>
      <c r="C129" s="1" t="n">
        <v>12402</v>
      </c>
      <c r="D129" s="1" t="n">
        <v>1897</v>
      </c>
      <c r="E129" s="4">
        <f>IF(INDEX(C:C, ROW())+INDEX(D:D, ROW())=0, 0, INDEX(C:C, ROW())/(INDEX(C:C, ROW())+INDEX(D:D, ROW())))</f>
        <v/>
      </c>
      <c r="F129" s="1" t="inlineStr">
        <is>
          <t>Array, Dynamic Programming</t>
        </is>
      </c>
      <c r="G129" s="1" t="inlineStr">
        <is>
          <t>Easy</t>
        </is>
      </c>
      <c r="H129" s="1" t="n">
        <v>1753962</v>
      </c>
      <c r="I129" s="1" t="n">
        <v>2570281</v>
      </c>
      <c r="J129" s="9" t="n">
        <v>0.6820000000000001</v>
      </c>
      <c r="K129" s="1" t="inlineStr">
        <is>
          <t>Yes</t>
        </is>
      </c>
      <c r="L129" s="1" t="inlineStr">
        <is>
          <t>Yes</t>
        </is>
      </c>
      <c r="M129" s="1" t="inlineStr">
        <is>
          <t>No</t>
        </is>
      </c>
      <c r="N129" s="1" t="inlineStr">
        <is>
          <t>Algorithms</t>
        </is>
      </c>
      <c r="O1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9" s="13" t="inlineStr">
        <is>
          <t>Done</t>
        </is>
      </c>
    </row>
    <row r="130" ht="15.75" customHeight="1" s="12">
      <c r="A130" s="1" t="n">
        <v>235</v>
      </c>
      <c r="B130" s="3">
        <f>HYPERLINK("https://leetcode.com/problems/lowest-common-ancestor-of-a-binary-search-tree/", "Lowest Common Ancestor of a Binary Search Tree")</f>
        <v/>
      </c>
      <c r="C130" s="1" t="n">
        <v>12312</v>
      </c>
      <c r="D130" s="1" t="n">
        <v>363</v>
      </c>
      <c r="E130" s="4">
        <f>IF(INDEX(C:C, ROW())+INDEX(D:D, ROW())=0, 0, INDEX(C:C, ROW())/(INDEX(C:C, ROW())+INDEX(D:D, ROW())))</f>
        <v/>
      </c>
      <c r="F130" s="1" t="inlineStr">
        <is>
          <t>Tree, Depth-First Search, Binary Search Tree, Binary Tree</t>
        </is>
      </c>
      <c r="G130" s="1" t="inlineStr">
        <is>
          <t>Medium</t>
        </is>
      </c>
      <c r="H130" s="1" t="n">
        <v>2272307</v>
      </c>
      <c r="I130" s="1" t="n">
        <v>3221879</v>
      </c>
      <c r="J130" s="9" t="n">
        <v>0.705</v>
      </c>
      <c r="K130" s="1" t="inlineStr">
        <is>
          <t>Yes</t>
        </is>
      </c>
      <c r="L130" s="1" t="inlineStr">
        <is>
          <t>Yes</t>
        </is>
      </c>
      <c r="M130" s="1" t="inlineStr">
        <is>
          <t>No</t>
        </is>
      </c>
      <c r="N130" s="1" t="inlineStr">
        <is>
          <t>Algorithms</t>
        </is>
      </c>
      <c r="O1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0" s="11" t="inlineStr">
        <is>
          <t>To Do</t>
        </is>
      </c>
    </row>
    <row r="131" ht="15.75" customHeight="1" s="12">
      <c r="A131" s="1" t="n">
        <v>40</v>
      </c>
      <c r="B131" s="3">
        <f>HYPERLINK("https://leetcode.com/problems/combination-sum-ii/", "Combination Sum II")</f>
        <v/>
      </c>
      <c r="C131" s="1" t="n">
        <v>12298</v>
      </c>
      <c r="D131" s="1" t="n">
        <v>390</v>
      </c>
      <c r="E131" s="4">
        <f>IF(INDEX(C:C, ROW())+INDEX(D:D, ROW())=0, 0, INDEX(C:C, ROW())/(INDEX(C:C, ROW())+INDEX(D:D, ROW())))</f>
        <v/>
      </c>
      <c r="F131" s="1" t="inlineStr">
        <is>
          <t>Array, Backtracking</t>
        </is>
      </c>
      <c r="G131" s="1" t="inlineStr">
        <is>
          <t>Medium</t>
        </is>
      </c>
      <c r="H131" s="1" t="n">
        <v>1707164</v>
      </c>
      <c r="I131" s="1" t="n">
        <v>2873621</v>
      </c>
      <c r="J131" s="9" t="n">
        <v>0.594</v>
      </c>
      <c r="K131" s="1" t="inlineStr">
        <is>
          <t>Yes</t>
        </is>
      </c>
      <c r="L131" s="1" t="inlineStr">
        <is>
          <t>Yes</t>
        </is>
      </c>
      <c r="M131" s="1" t="inlineStr">
        <is>
          <t>No</t>
        </is>
      </c>
      <c r="N131" s="1" t="inlineStr">
        <is>
          <t>Algorithms</t>
        </is>
      </c>
      <c r="O1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1" s="11" t="inlineStr">
        <is>
          <t>To Do</t>
        </is>
      </c>
    </row>
    <row r="132" ht="15.75" customHeight="1" s="12">
      <c r="A132" s="1" t="n">
        <v>110</v>
      </c>
      <c r="B132" s="3">
        <f>HYPERLINK("https://leetcode.com/problems/balanced-binary-tree/", "Balanced Binary Tree")</f>
        <v/>
      </c>
      <c r="C132" s="1" t="n">
        <v>12230</v>
      </c>
      <c r="D132" s="1" t="n">
        <v>842</v>
      </c>
      <c r="E132" s="4">
        <f>IF(INDEX(C:C, ROW())+INDEX(D:D, ROW())=0, 0, INDEX(C:C, ROW())/(INDEX(C:C, ROW())+INDEX(D:D, ROW())))</f>
        <v/>
      </c>
      <c r="F132" s="1" t="inlineStr">
        <is>
          <t>Tree, Depth-First Search, Binary Tree</t>
        </is>
      </c>
      <c r="G132" s="1" t="inlineStr">
        <is>
          <t>Easy</t>
        </is>
      </c>
      <c r="H132" s="1" t="n">
        <v>2474802</v>
      </c>
      <c r="I132" s="1" t="n">
        <v>4245328</v>
      </c>
      <c r="J132" s="9" t="n">
        <v>0.583</v>
      </c>
      <c r="K132" s="1" t="inlineStr">
        <is>
          <t>Yes</t>
        </is>
      </c>
      <c r="L132" s="1" t="inlineStr">
        <is>
          <t>Yes</t>
        </is>
      </c>
      <c r="M132" s="1" t="inlineStr">
        <is>
          <t>No</t>
        </is>
      </c>
      <c r="N132" s="1" t="inlineStr">
        <is>
          <t>Algorithms</t>
        </is>
      </c>
      <c r="O1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2" s="13" t="inlineStr">
        <is>
          <t>Done</t>
        </is>
      </c>
    </row>
    <row r="133" ht="15.75" customHeight="1" s="12">
      <c r="A133" s="1" t="n">
        <v>863</v>
      </c>
      <c r="B133" s="3">
        <f>HYPERLINK("https://leetcode.com/problems/all-nodes-distance-k-in-binary-tree/", "All Nodes Distance K in Binary Tree")</f>
        <v/>
      </c>
      <c r="C133" s="1" t="n">
        <v>12146</v>
      </c>
      <c r="D133" s="1" t="n">
        <v>278</v>
      </c>
      <c r="E133" s="4">
        <f>IF(INDEX(C:C, ROW())+INDEX(D:D, ROW())=0, 0, INDEX(C:C, ROW())/(INDEX(C:C, ROW())+INDEX(D:D, ROW())))</f>
        <v/>
      </c>
      <c r="F133" s="1" t="inlineStr">
        <is>
          <t>Hash Table, Tree, Depth-First Search, Breadth-First Search, Binary Tree</t>
        </is>
      </c>
      <c r="G133" s="1" t="inlineStr">
        <is>
          <t>Medium</t>
        </is>
      </c>
      <c r="H133" s="1" t="n">
        <v>693998</v>
      </c>
      <c r="I133" s="1" t="n">
        <v>1026313</v>
      </c>
      <c r="J133" s="9" t="n">
        <v>0.676</v>
      </c>
      <c r="K133" s="1" t="inlineStr">
        <is>
          <t>Yes</t>
        </is>
      </c>
      <c r="L133" s="1" t="inlineStr">
        <is>
          <t>Yes</t>
        </is>
      </c>
      <c r="M133" s="1" t="inlineStr">
        <is>
          <t>No</t>
        </is>
      </c>
      <c r="N133" s="1" t="inlineStr">
        <is>
          <t>Algorithms</t>
        </is>
      </c>
      <c r="O1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3" s="11" t="inlineStr">
        <is>
          <t>To Do</t>
        </is>
      </c>
    </row>
    <row r="134" ht="15.75" customHeight="1" s="12">
      <c r="A134" s="1" t="n">
        <v>85</v>
      </c>
      <c r="B134" s="3">
        <f>HYPERLINK("https://leetcode.com/problems/maximal-rectangle/", "Maximal Rectangle")</f>
        <v/>
      </c>
      <c r="C134" s="1" t="n">
        <v>12107</v>
      </c>
      <c r="D134" s="1" t="n">
        <v>228</v>
      </c>
      <c r="E134" s="4">
        <f>IF(INDEX(C:C, ROW())+INDEX(D:D, ROW())=0, 0, INDEX(C:C, ROW())/(INDEX(C:C, ROW())+INDEX(D:D, ROW())))</f>
        <v/>
      </c>
      <c r="F134" s="1" t="inlineStr">
        <is>
          <t>Array, Dynamic Programming, Stack, Matrix, Monotonic Stack</t>
        </is>
      </c>
      <c r="G134" s="1" t="inlineStr">
        <is>
          <t>Hard</t>
        </is>
      </c>
      <c r="H134" s="1" t="n">
        <v>805864</v>
      </c>
      <c r="I134" s="1" t="n">
        <v>1373665</v>
      </c>
      <c r="J134" s="9" t="n">
        <v>0.587</v>
      </c>
      <c r="K134" s="1" t="inlineStr">
        <is>
          <t>Yes</t>
        </is>
      </c>
      <c r="L134" s="1" t="inlineStr">
        <is>
          <t>Yes</t>
        </is>
      </c>
      <c r="M134" s="1" t="inlineStr">
        <is>
          <t>No</t>
        </is>
      </c>
      <c r="N134" s="1" t="inlineStr">
        <is>
          <t>Algorithms</t>
        </is>
      </c>
      <c r="O1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4" s="11" t="inlineStr">
        <is>
          <t>To Do</t>
        </is>
      </c>
    </row>
    <row r="135" ht="15.75" customHeight="1" s="12">
      <c r="A135" s="1" t="n">
        <v>103</v>
      </c>
      <c r="B135" s="3">
        <f>HYPERLINK("https://leetcode.com/problems/binary-tree-zigzag-level-order-traversal/", "Binary Tree Zigzag Level Order Traversal")</f>
        <v/>
      </c>
      <c r="C135" s="1" t="n">
        <v>12098</v>
      </c>
      <c r="D135" s="1" t="n">
        <v>360</v>
      </c>
      <c r="E135" s="4">
        <f>IF(INDEX(C:C, ROW())+INDEX(D:D, ROW())=0, 0, INDEX(C:C, ROW())/(INDEX(C:C, ROW())+INDEX(D:D, ROW())))</f>
        <v/>
      </c>
      <c r="F135" s="1" t="inlineStr">
        <is>
          <t>Tree, Breadth-First Search, Binary Tree</t>
        </is>
      </c>
      <c r="G135" s="1" t="inlineStr">
        <is>
          <t>Medium</t>
        </is>
      </c>
      <c r="H135" s="1" t="n">
        <v>1782781</v>
      </c>
      <c r="I135" s="1" t="n">
        <v>2801606</v>
      </c>
      <c r="J135" s="9" t="n">
        <v>0.636</v>
      </c>
      <c r="K135" s="1" t="inlineStr">
        <is>
          <t>Yes</t>
        </is>
      </c>
      <c r="L135" s="1" t="inlineStr">
        <is>
          <t>Yes</t>
        </is>
      </c>
      <c r="M135" s="1" t="inlineStr">
        <is>
          <t>No</t>
        </is>
      </c>
      <c r="N135" s="1" t="inlineStr">
        <is>
          <t>Algorithms</t>
        </is>
      </c>
      <c r="O1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5" s="11" t="inlineStr">
        <is>
          <t>To Do</t>
        </is>
      </c>
    </row>
    <row r="136" ht="15.75" customHeight="1" s="12">
      <c r="A136" s="1" t="n">
        <v>202</v>
      </c>
      <c r="B136" s="3">
        <f>HYPERLINK("https://leetcode.com/problems/happy-number/", "Happy Number")</f>
        <v/>
      </c>
      <c r="C136" s="1" t="n">
        <v>11975</v>
      </c>
      <c r="D136" s="1" t="n">
        <v>1646</v>
      </c>
      <c r="E136" s="4">
        <f>IF(INDEX(C:C, ROW())+INDEX(D:D, ROW())=0, 0, INDEX(C:C, ROW())/(INDEX(C:C, ROW())+INDEX(D:D, ROW())))</f>
        <v/>
      </c>
      <c r="F136" s="1" t="inlineStr">
        <is>
          <t>Hash Table, Math, Two Pointers</t>
        </is>
      </c>
      <c r="G136" s="1" t="inlineStr">
        <is>
          <t>Easy</t>
        </is>
      </c>
      <c r="H136" s="1" t="n">
        <v>2271980</v>
      </c>
      <c r="I136" s="1" t="n">
        <v>3811757</v>
      </c>
      <c r="J136" s="9" t="n">
        <v>0.596</v>
      </c>
      <c r="K136" s="1" t="inlineStr">
        <is>
          <t>Yes</t>
        </is>
      </c>
      <c r="L136" s="1" t="inlineStr">
        <is>
          <t>Yes</t>
        </is>
      </c>
      <c r="M136" s="1" t="inlineStr">
        <is>
          <t>No</t>
        </is>
      </c>
      <c r="N136" s="1" t="inlineStr">
        <is>
          <t>Algorithms</t>
        </is>
      </c>
      <c r="O1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6" s="13" t="inlineStr">
        <is>
          <t>Done</t>
        </is>
      </c>
    </row>
    <row r="137" ht="15.75" customHeight="1" s="12">
      <c r="A137" s="1" t="n">
        <v>338</v>
      </c>
      <c r="B137" s="3">
        <f>HYPERLINK("https://leetcode.com/problems/counting-bits/", "Counting Bits")</f>
        <v/>
      </c>
      <c r="C137" s="1" t="n">
        <v>11973</v>
      </c>
      <c r="D137" s="1" t="n">
        <v>615</v>
      </c>
      <c r="E137" s="4">
        <f>IF(INDEX(C:C, ROW())+INDEX(D:D, ROW())=0, 0, INDEX(C:C, ROW())/(INDEX(C:C, ROW())+INDEX(D:D, ROW())))</f>
        <v/>
      </c>
      <c r="F137" s="1" t="inlineStr">
        <is>
          <t>Dynamic Programming, Bit Manipulation</t>
        </is>
      </c>
      <c r="G137" s="1" t="inlineStr">
        <is>
          <t>Easy</t>
        </is>
      </c>
      <c r="H137" s="1" t="n">
        <v>1618767</v>
      </c>
      <c r="I137" s="1" t="n">
        <v>2009138</v>
      </c>
      <c r="J137" s="9" t="n">
        <v>0.806</v>
      </c>
      <c r="K137" s="1" t="inlineStr">
        <is>
          <t>Yes</t>
        </is>
      </c>
      <c r="L137" s="1" t="inlineStr">
        <is>
          <t>Yes</t>
        </is>
      </c>
      <c r="M137" s="1" t="inlineStr">
        <is>
          <t>No</t>
        </is>
      </c>
      <c r="N137" s="1" t="inlineStr">
        <is>
          <t>Algorithms</t>
        </is>
      </c>
      <c r="O1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7" s="13" t="inlineStr">
        <is>
          <t>Done</t>
        </is>
      </c>
    </row>
    <row r="138" ht="15.75" customHeight="1" s="12">
      <c r="A138" s="1" t="n">
        <v>210</v>
      </c>
      <c r="B138" s="3">
        <f>HYPERLINK("https://leetcode.com/problems/course-schedule-ii/", "Course Schedule II")</f>
        <v/>
      </c>
      <c r="C138" s="1" t="n">
        <v>11970</v>
      </c>
      <c r="D138" s="1" t="n">
        <v>379</v>
      </c>
      <c r="E138" s="4">
        <f>IF(INDEX(C:C, ROW())+INDEX(D:D, ROW())=0, 0, INDEX(C:C, ROW())/(INDEX(C:C, ROW())+INDEX(D:D, ROW())))</f>
        <v/>
      </c>
      <c r="F138" s="1" t="inlineStr">
        <is>
          <t>Depth-First Search, Breadth-First Search, Graph Theory, Topological Sort</t>
        </is>
      </c>
      <c r="G138" s="1" t="inlineStr">
        <is>
          <t>Medium</t>
        </is>
      </c>
      <c r="H138" s="1" t="n">
        <v>1708486</v>
      </c>
      <c r="I138" s="1" t="n">
        <v>3081832</v>
      </c>
      <c r="J138" s="9" t="n">
        <v>0.554</v>
      </c>
      <c r="K138" s="1" t="inlineStr">
        <is>
          <t>Yes</t>
        </is>
      </c>
      <c r="L138" s="1" t="inlineStr">
        <is>
          <t>Yes</t>
        </is>
      </c>
      <c r="M138" s="1" t="inlineStr">
        <is>
          <t>Yes</t>
        </is>
      </c>
      <c r="N138" s="1" t="inlineStr">
        <is>
          <t>Algorithms</t>
        </is>
      </c>
      <c r="O1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8" s="11" t="inlineStr">
        <is>
          <t>To Do</t>
        </is>
      </c>
    </row>
    <row r="139" ht="15.75" customHeight="1" s="12">
      <c r="A139" s="1" t="n">
        <v>108</v>
      </c>
      <c r="B139" s="3">
        <f>HYPERLINK("https://leetcode.com/problems/convert-sorted-array-to-binary-search-tree/", "Convert Sorted Array to Binary Search Tree")</f>
        <v/>
      </c>
      <c r="C139" s="1" t="n">
        <v>11948</v>
      </c>
      <c r="D139" s="1" t="n">
        <v>646</v>
      </c>
      <c r="E139" s="4">
        <f>IF(INDEX(C:C, ROW())+INDEX(D:D, ROW())=0, 0, INDEX(C:C, ROW())/(INDEX(C:C, ROW())+INDEX(D:D, ROW())))</f>
        <v/>
      </c>
      <c r="F139" s="1" t="inlineStr">
        <is>
          <t>Array, Divide and Conquer, Tree, Binary Search Tree, Binary Tree</t>
        </is>
      </c>
      <c r="G139" s="1" t="inlineStr">
        <is>
          <t>Easy</t>
        </is>
      </c>
      <c r="H139" s="1" t="n">
        <v>1732720</v>
      </c>
      <c r="I139" s="1" t="n">
        <v>2294488</v>
      </c>
      <c r="J139" s="9" t="n">
        <v>0.755</v>
      </c>
      <c r="K139" s="1" t="inlineStr">
        <is>
          <t>Yes</t>
        </is>
      </c>
      <c r="L139" s="1" t="inlineStr">
        <is>
          <t>Yes</t>
        </is>
      </c>
      <c r="M139" s="1" t="inlineStr">
        <is>
          <t>Yes</t>
        </is>
      </c>
      <c r="N139" s="1" t="inlineStr">
        <is>
          <t>Algorithms</t>
        </is>
      </c>
      <c r="O1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9" s="13" t="inlineStr">
        <is>
          <t>Done</t>
        </is>
      </c>
    </row>
    <row r="140" ht="15.75" customHeight="1" s="12">
      <c r="A140" s="1" t="n">
        <v>437</v>
      </c>
      <c r="B140" s="3">
        <f>HYPERLINK("https://leetcode.com/problems/path-sum-iii/", "Path Sum III")</f>
        <v/>
      </c>
      <c r="C140" s="1" t="n">
        <v>11944</v>
      </c>
      <c r="D140" s="1" t="n">
        <v>574</v>
      </c>
      <c r="E140" s="4">
        <f>IF(INDEX(C:C, ROW())+INDEX(D:D, ROW())=0, 0, INDEX(C:C, ROW())/(INDEX(C:C, ROW())+INDEX(D:D, ROW())))</f>
        <v/>
      </c>
      <c r="F140" s="1" t="inlineStr">
        <is>
          <t>Tree, Depth-First Search, Binary Tree</t>
        </is>
      </c>
      <c r="G140" s="1" t="inlineStr">
        <is>
          <t>Medium</t>
        </is>
      </c>
      <c r="H140" s="1" t="n">
        <v>792570</v>
      </c>
      <c r="I140" s="1" t="n">
        <v>1708080</v>
      </c>
      <c r="J140" s="9" t="n">
        <v>0.464</v>
      </c>
      <c r="K140" s="1" t="inlineStr">
        <is>
          <t>Yes</t>
        </is>
      </c>
      <c r="L140" s="1" t="inlineStr">
        <is>
          <t>Yes</t>
        </is>
      </c>
      <c r="M140" s="1" t="inlineStr">
        <is>
          <t>No</t>
        </is>
      </c>
      <c r="N140" s="1" t="inlineStr">
        <is>
          <t>Algorithms</t>
        </is>
      </c>
      <c r="O1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0" s="11" t="inlineStr">
        <is>
          <t>To Do</t>
        </is>
      </c>
    </row>
    <row r="141" ht="15.75" customHeight="1" s="12">
      <c r="A141" s="1" t="n">
        <v>66</v>
      </c>
      <c r="B141" s="3">
        <f>HYPERLINK("https://leetcode.com/problems/plus-one/", "Plus One")</f>
        <v/>
      </c>
      <c r="C141" s="1" t="n">
        <v>11890</v>
      </c>
      <c r="D141" s="1" t="n">
        <v>5611</v>
      </c>
      <c r="E141" s="4">
        <f>IF(INDEX(C:C, ROW())+INDEX(D:D, ROW())=0, 0, INDEX(C:C, ROW())/(INDEX(C:C, ROW())+INDEX(D:D, ROW())))</f>
        <v/>
      </c>
      <c r="F141" s="1" t="inlineStr">
        <is>
          <t>Array, Math</t>
        </is>
      </c>
      <c r="G141" s="1" t="inlineStr">
        <is>
          <t>Easy</t>
        </is>
      </c>
      <c r="H141" s="1" t="n">
        <v>3731047</v>
      </c>
      <c r="I141" s="1" t="n">
        <v>7475851</v>
      </c>
      <c r="J141" s="9" t="n">
        <v>0.499</v>
      </c>
      <c r="K141" s="1" t="inlineStr">
        <is>
          <t>Yes</t>
        </is>
      </c>
      <c r="L141" s="1" t="inlineStr">
        <is>
          <t>Yes</t>
        </is>
      </c>
      <c r="M141" s="1" t="inlineStr">
        <is>
          <t>No</t>
        </is>
      </c>
      <c r="N141" s="1" t="inlineStr">
        <is>
          <t>Algorithms</t>
        </is>
      </c>
      <c r="O1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1" s="13" t="inlineStr">
        <is>
          <t>Done</t>
        </is>
      </c>
    </row>
    <row r="142" ht="15.75" customHeight="1" s="12">
      <c r="A142" s="1" t="n">
        <v>57</v>
      </c>
      <c r="B142" s="3">
        <f>HYPERLINK("https://leetcode.com/problems/insert-interval/", "Insert Interval")</f>
        <v/>
      </c>
      <c r="C142" s="1" t="n">
        <v>11882</v>
      </c>
      <c r="D142" s="1" t="n">
        <v>922</v>
      </c>
      <c r="E142" s="4">
        <f>IF(INDEX(C:C, ROW())+INDEX(D:D, ROW())=0, 0, INDEX(C:C, ROW())/(INDEX(C:C, ROW())+INDEX(D:D, ROW())))</f>
        <v/>
      </c>
      <c r="F142" s="1" t="inlineStr">
        <is>
          <t>Array</t>
        </is>
      </c>
      <c r="G142" s="1" t="inlineStr">
        <is>
          <t>Medium</t>
        </is>
      </c>
      <c r="H142" s="1" t="n">
        <v>1776402</v>
      </c>
      <c r="I142" s="1" t="n">
        <v>3934318</v>
      </c>
      <c r="J142" s="9" t="n">
        <v>0.452</v>
      </c>
      <c r="K142" s="1" t="inlineStr">
        <is>
          <t>Yes</t>
        </is>
      </c>
      <c r="L142" s="1" t="inlineStr">
        <is>
          <t>Yes</t>
        </is>
      </c>
      <c r="M142" s="1" t="inlineStr">
        <is>
          <t>No</t>
        </is>
      </c>
      <c r="N142" s="1" t="inlineStr">
        <is>
          <t>Algorithms</t>
        </is>
      </c>
      <c r="O1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2" s="11" t="inlineStr">
        <is>
          <t>To Do</t>
        </is>
      </c>
    </row>
    <row r="143" ht="15.75" customHeight="1" s="12">
      <c r="A143" s="1" t="n">
        <v>279</v>
      </c>
      <c r="B143" s="3">
        <f>HYPERLINK("https://leetcode.com/problems/perfect-squares/", "Perfect Squares")</f>
        <v/>
      </c>
      <c r="C143" s="1" t="n">
        <v>11862</v>
      </c>
      <c r="D143" s="1" t="n">
        <v>493</v>
      </c>
      <c r="E143" s="4">
        <f>IF(INDEX(C:C, ROW())+INDEX(D:D, ROW())=0, 0, INDEX(C:C, ROW())/(INDEX(C:C, ROW())+INDEX(D:D, ROW())))</f>
        <v/>
      </c>
      <c r="F143" s="1" t="inlineStr">
        <is>
          <t>Math, Dynamic Programming, Breadth-First Search</t>
        </is>
      </c>
      <c r="G143" s="1" t="inlineStr">
        <is>
          <t>Medium</t>
        </is>
      </c>
      <c r="H143" s="1" t="n">
        <v>1059070</v>
      </c>
      <c r="I143" s="1" t="n">
        <v>1874605</v>
      </c>
      <c r="J143" s="9" t="n">
        <v>0.5649999999999999</v>
      </c>
      <c r="K143" s="1" t="inlineStr">
        <is>
          <t>Yes</t>
        </is>
      </c>
      <c r="L143" s="1" t="inlineStr">
        <is>
          <t>Yes</t>
        </is>
      </c>
      <c r="M143" s="1" t="inlineStr">
        <is>
          <t>No</t>
        </is>
      </c>
      <c r="N143" s="1" t="inlineStr">
        <is>
          <t>Algorithms</t>
        </is>
      </c>
      <c r="O1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3" s="11" t="inlineStr">
        <is>
          <t>To Do</t>
        </is>
      </c>
    </row>
    <row r="144" ht="15.75" customHeight="1" s="12">
      <c r="A144" s="1" t="n">
        <v>621</v>
      </c>
      <c r="B144" s="3">
        <f>HYPERLINK("https://leetcode.com/problems/task-scheduler/", "Task Scheduler")</f>
        <v/>
      </c>
      <c r="C144" s="1" t="n">
        <v>11861</v>
      </c>
      <c r="D144" s="1" t="n">
        <v>2228</v>
      </c>
      <c r="E144" s="4">
        <f>IF(INDEX(C:C, ROW())+INDEX(D:D, ROW())=0, 0, INDEX(C:C, ROW())/(INDEX(C:C, ROW())+INDEX(D:D, ROW())))</f>
        <v/>
      </c>
      <c r="F144" s="1" t="inlineStr">
        <is>
          <t>Array, Hash Table, Greedy, Sorting, Heap (Priority Queue), Counting</t>
        </is>
      </c>
      <c r="G144" s="1" t="inlineStr">
        <is>
          <t>Medium</t>
        </is>
      </c>
      <c r="H144" s="1" t="n">
        <v>966101</v>
      </c>
      <c r="I144" s="1" t="n">
        <v>1532848</v>
      </c>
      <c r="J144" s="9" t="n">
        <v>0.63</v>
      </c>
      <c r="K144" s="1" t="inlineStr">
        <is>
          <t>Yes</t>
        </is>
      </c>
      <c r="L144" s="1" t="inlineStr">
        <is>
          <t>Yes</t>
        </is>
      </c>
      <c r="M144" s="1" t="inlineStr">
        <is>
          <t>No</t>
        </is>
      </c>
      <c r="N144" s="1" t="inlineStr">
        <is>
          <t>Algorithms</t>
        </is>
      </c>
      <c r="O1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4" s="11" t="inlineStr">
        <is>
          <t>To Do</t>
        </is>
      </c>
    </row>
    <row r="145" ht="15.75" customHeight="1" s="12">
      <c r="A145" s="1" t="n">
        <v>50</v>
      </c>
      <c r="B145" s="3">
        <f>HYPERLINK("https://leetcode.com/problems/powx-n/", "Pow(x, n)")</f>
        <v/>
      </c>
      <c r="C145" s="1" t="n">
        <v>11727</v>
      </c>
      <c r="D145" s="1" t="n">
        <v>10557</v>
      </c>
      <c r="E145" s="4">
        <f>IF(INDEX(C:C, ROW())+INDEX(D:D, ROW())=0, 0, INDEX(C:C, ROW())/(INDEX(C:C, ROW())+INDEX(D:D, ROW())))</f>
        <v/>
      </c>
      <c r="F145" s="1" t="inlineStr">
        <is>
          <t>Math, Recursion</t>
        </is>
      </c>
      <c r="G145" s="1" t="inlineStr">
        <is>
          <t>Medium</t>
        </is>
      </c>
      <c r="H145" s="1" t="n">
        <v>2710444</v>
      </c>
      <c r="I145" s="1" t="n">
        <v>7019177</v>
      </c>
      <c r="J145" s="9" t="n">
        <v>0.386</v>
      </c>
      <c r="K145" s="1" t="inlineStr">
        <is>
          <t>Yes</t>
        </is>
      </c>
      <c r="L145" s="1" t="inlineStr">
        <is>
          <t>Yes</t>
        </is>
      </c>
      <c r="M145" s="1" t="inlineStr">
        <is>
          <t>No</t>
        </is>
      </c>
      <c r="N145" s="1" t="inlineStr">
        <is>
          <t>Algorithms</t>
        </is>
      </c>
      <c r="O1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5" s="11" t="inlineStr">
        <is>
          <t>To Do</t>
        </is>
      </c>
    </row>
    <row r="146" ht="15.75" customHeight="1" s="12">
      <c r="A146" s="1" t="n">
        <v>125</v>
      </c>
      <c r="B146" s="3">
        <f>HYPERLINK("https://leetcode.com/problems/valid-palindrome/", "Valid Palindrome")</f>
        <v/>
      </c>
      <c r="C146" s="1" t="n">
        <v>11708</v>
      </c>
      <c r="D146" s="1" t="n">
        <v>8650</v>
      </c>
      <c r="E146" s="4">
        <f>IF(INDEX(C:C, ROW())+INDEX(D:D, ROW())=0, 0, INDEX(C:C, ROW())/(INDEX(C:C, ROW())+INDEX(D:D, ROW())))</f>
        <v/>
      </c>
      <c r="F146" s="1" t="inlineStr">
        <is>
          <t>Two Pointers, String</t>
        </is>
      </c>
      <c r="G146" s="1" t="inlineStr">
        <is>
          <t>Easy</t>
        </is>
      </c>
      <c r="H146" s="1" t="n">
        <v>5425281</v>
      </c>
      <c r="I146" s="1" t="n">
        <v>10190104</v>
      </c>
      <c r="J146" s="9" t="n">
        <v>0.532</v>
      </c>
      <c r="K146" s="1" t="inlineStr">
        <is>
          <t>Yes</t>
        </is>
      </c>
      <c r="L146" s="1" t="inlineStr">
        <is>
          <t>Yes</t>
        </is>
      </c>
      <c r="M146" s="1" t="inlineStr">
        <is>
          <t>No</t>
        </is>
      </c>
      <c r="N146" s="1" t="inlineStr">
        <is>
          <t>Algorithms</t>
        </is>
      </c>
      <c r="O1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6" s="13" t="inlineStr">
        <is>
          <t>Done</t>
        </is>
      </c>
    </row>
    <row r="147" ht="15.75" customHeight="1" s="12">
      <c r="A147" s="1" t="n">
        <v>16</v>
      </c>
      <c r="B147" s="3">
        <f>HYPERLINK("https://leetcode.com/problems/3sum-closest/", "3Sum Closest")</f>
        <v/>
      </c>
      <c r="C147" s="1" t="n">
        <v>11669</v>
      </c>
      <c r="D147" s="1" t="n">
        <v>623</v>
      </c>
      <c r="E147" s="4">
        <f>IF(INDEX(C:C, ROW())+INDEX(D:D, ROW())=0, 0, INDEX(C:C, ROW())/(INDEX(C:C, ROW())+INDEX(D:D, ROW())))</f>
        <v/>
      </c>
      <c r="F147" s="1" t="inlineStr">
        <is>
          <t>Array, Two Pointers, Sorting</t>
        </is>
      </c>
      <c r="G147" s="1" t="inlineStr">
        <is>
          <t>Medium</t>
        </is>
      </c>
      <c r="H147" s="1" t="n">
        <v>1836933</v>
      </c>
      <c r="I147" s="1" t="n">
        <v>3787228</v>
      </c>
      <c r="J147" s="9" t="n">
        <v>0.485</v>
      </c>
      <c r="K147" s="1" t="inlineStr">
        <is>
          <t>Yes</t>
        </is>
      </c>
      <c r="L147" s="1" t="inlineStr">
        <is>
          <t>Yes</t>
        </is>
      </c>
      <c r="M147" s="1" t="inlineStr">
        <is>
          <t>Yes</t>
        </is>
      </c>
      <c r="N147" s="1" t="inlineStr">
        <is>
          <t>Algorithms</t>
        </is>
      </c>
      <c r="O1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7" s="10" t="inlineStr">
        <is>
          <t>Done</t>
        </is>
      </c>
    </row>
    <row r="148" ht="15.75" customHeight="1" s="12">
      <c r="A148" s="1" t="n">
        <v>647</v>
      </c>
      <c r="B148" s="3">
        <f>HYPERLINK("https://leetcode.com/problems/palindromic-substrings/", "Palindromic Substrings")</f>
        <v/>
      </c>
      <c r="C148" s="1" t="n">
        <v>11552</v>
      </c>
      <c r="D148" s="1" t="n">
        <v>258</v>
      </c>
      <c r="E148" s="4">
        <f>IF(INDEX(C:C, ROW())+INDEX(D:D, ROW())=0, 0, INDEX(C:C, ROW())/(INDEX(C:C, ROW())+INDEX(D:D, ROW())))</f>
        <v/>
      </c>
      <c r="F148" s="1" t="inlineStr">
        <is>
          <t>Two Pointers, String, Dynamic Programming</t>
        </is>
      </c>
      <c r="G148" s="1" t="inlineStr">
        <is>
          <t>Medium</t>
        </is>
      </c>
      <c r="H148" s="1" t="n">
        <v>1181840</v>
      </c>
      <c r="I148" s="1" t="n">
        <v>1624211</v>
      </c>
      <c r="J148" s="9" t="n">
        <v>0.728</v>
      </c>
      <c r="K148" s="1" t="inlineStr">
        <is>
          <t>Yes</t>
        </is>
      </c>
      <c r="L148" s="1" t="inlineStr">
        <is>
          <t>Yes</t>
        </is>
      </c>
      <c r="M148" s="1" t="inlineStr">
        <is>
          <t>No</t>
        </is>
      </c>
      <c r="N148" s="1" t="inlineStr">
        <is>
          <t>Algorithms</t>
        </is>
      </c>
      <c r="O1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8" s="11" t="inlineStr">
        <is>
          <t>To Do</t>
        </is>
      </c>
    </row>
    <row r="149" ht="15.75" customHeight="1" s="12">
      <c r="A149" s="1" t="n">
        <v>328</v>
      </c>
      <c r="B149" s="3">
        <f>HYPERLINK("https://leetcode.com/problems/odd-even-linked-list/", "Odd Even Linked List")</f>
        <v/>
      </c>
      <c r="C149" s="1" t="n">
        <v>11535</v>
      </c>
      <c r="D149" s="1" t="n">
        <v>598</v>
      </c>
      <c r="E149" s="4">
        <f>IF(INDEX(C:C, ROW())+INDEX(D:D, ROW())=0, 0, INDEX(C:C, ROW())/(INDEX(C:C, ROW())+INDEX(D:D, ROW())))</f>
        <v/>
      </c>
      <c r="F149" s="1" t="inlineStr">
        <is>
          <t>Linked List</t>
        </is>
      </c>
      <c r="G149" s="1" t="inlineStr">
        <is>
          <t>Medium</t>
        </is>
      </c>
      <c r="H149" s="1" t="n">
        <v>1503172</v>
      </c>
      <c r="I149" s="1" t="n">
        <v>2404478</v>
      </c>
      <c r="J149" s="9" t="n">
        <v>0.625</v>
      </c>
      <c r="K149" s="1" t="inlineStr">
        <is>
          <t>Yes</t>
        </is>
      </c>
      <c r="L149" s="1" t="inlineStr">
        <is>
          <t>Yes</t>
        </is>
      </c>
      <c r="M149" s="1" t="inlineStr">
        <is>
          <t>No</t>
        </is>
      </c>
      <c r="N149" s="1" t="inlineStr">
        <is>
          <t>Algorithms</t>
        </is>
      </c>
      <c r="O1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9" s="11" t="inlineStr">
        <is>
          <t>To Do</t>
        </is>
      </c>
    </row>
    <row r="150" ht="15.75" customHeight="1" s="12">
      <c r="A150" s="1" t="n">
        <v>61</v>
      </c>
      <c r="B150" s="3">
        <f>HYPERLINK("https://leetcode.com/problems/rotate-list/", "Rotate List")</f>
        <v/>
      </c>
      <c r="C150" s="1" t="n">
        <v>11455</v>
      </c>
      <c r="D150" s="1" t="n">
        <v>1558</v>
      </c>
      <c r="E150" s="4">
        <f>IF(INDEX(C:C, ROW())+INDEX(D:D, ROW())=0, 0, INDEX(C:C, ROW())/(INDEX(C:C, ROW())+INDEX(D:D, ROW())))</f>
        <v/>
      </c>
      <c r="F150" s="1" t="inlineStr">
        <is>
          <t>Linked List, Two Pointers</t>
        </is>
      </c>
      <c r="G150" s="1" t="inlineStr">
        <is>
          <t>Medium</t>
        </is>
      </c>
      <c r="H150" s="1" t="n">
        <v>1706512</v>
      </c>
      <c r="I150" s="1" t="n">
        <v>4013412</v>
      </c>
      <c r="J150" s="9" t="n">
        <v>0.425</v>
      </c>
      <c r="K150" s="1" t="inlineStr">
        <is>
          <t>Yes</t>
        </is>
      </c>
      <c r="L150" s="1" t="inlineStr">
        <is>
          <t>Yes</t>
        </is>
      </c>
      <c r="M150" s="1" t="inlineStr">
        <is>
          <t>No</t>
        </is>
      </c>
      <c r="N150" s="1" t="inlineStr">
        <is>
          <t>Algorithms</t>
        </is>
      </c>
      <c r="O1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0" s="11" t="inlineStr">
        <is>
          <t>To Do</t>
        </is>
      </c>
    </row>
    <row r="151" ht="15.75" customHeight="1" s="12">
      <c r="A151" s="1" t="n">
        <v>410</v>
      </c>
      <c r="B151" s="3">
        <f>HYPERLINK("https://leetcode.com/problems/split-array-largest-sum/", "Split Array Largest Sum")</f>
        <v/>
      </c>
      <c r="C151" s="1" t="n">
        <v>11397</v>
      </c>
      <c r="D151" s="1" t="n">
        <v>269</v>
      </c>
      <c r="E151" s="4">
        <f>IF(INDEX(C:C, ROW())+INDEX(D:D, ROW())=0, 0, INDEX(C:C, ROW())/(INDEX(C:C, ROW())+INDEX(D:D, ROW())))</f>
        <v/>
      </c>
      <c r="F151" s="1" t="inlineStr">
        <is>
          <t>Array, Binary Search, Dynamic Programming, Greedy, Prefix Sum</t>
        </is>
      </c>
      <c r="G151" s="1" t="inlineStr">
        <is>
          <t>Hard</t>
        </is>
      </c>
      <c r="H151" s="1" t="n">
        <v>635502</v>
      </c>
      <c r="I151" s="1" t="n">
        <v>1052873</v>
      </c>
      <c r="J151" s="9" t="n">
        <v>0.604</v>
      </c>
      <c r="K151" s="1" t="inlineStr">
        <is>
          <t>Yes</t>
        </is>
      </c>
      <c r="L151" s="1" t="inlineStr">
        <is>
          <t>Yes</t>
        </is>
      </c>
      <c r="M151" s="1" t="inlineStr">
        <is>
          <t>No</t>
        </is>
      </c>
      <c r="N151" s="1" t="inlineStr">
        <is>
          <t>Algorithms</t>
        </is>
      </c>
      <c r="O1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1" s="11" t="inlineStr">
        <is>
          <t>To Do</t>
        </is>
      </c>
    </row>
    <row r="152" ht="15.75" customHeight="1" s="12">
      <c r="A152" s="1" t="n">
        <v>763</v>
      </c>
      <c r="B152" s="3">
        <f>HYPERLINK("https://leetcode.com/problems/partition-labels/", "Partition Labels")</f>
        <v/>
      </c>
      <c r="C152" s="1" t="n">
        <v>11262</v>
      </c>
      <c r="D152" s="1" t="n">
        <v>444</v>
      </c>
      <c r="E152" s="4">
        <f>IF(INDEX(C:C, ROW())+INDEX(D:D, ROW())=0, 0, INDEX(C:C, ROW())/(INDEX(C:C, ROW())+INDEX(D:D, ROW())))</f>
        <v/>
      </c>
      <c r="F152" s="1" t="inlineStr">
        <is>
          <t>Hash Table, Two Pointers, String, Greedy</t>
        </is>
      </c>
      <c r="G152" s="1" t="inlineStr">
        <is>
          <t>Medium</t>
        </is>
      </c>
      <c r="H152" s="1" t="n">
        <v>797763</v>
      </c>
      <c r="I152" s="1" t="n">
        <v>974443</v>
      </c>
      <c r="J152" s="9" t="n">
        <v>0.819</v>
      </c>
      <c r="K152" s="1" t="inlineStr">
        <is>
          <t>Yes</t>
        </is>
      </c>
      <c r="L152" s="1" t="inlineStr">
        <is>
          <t>Yes</t>
        </is>
      </c>
      <c r="M152" s="1" t="inlineStr">
        <is>
          <t>No</t>
        </is>
      </c>
      <c r="N152" s="1" t="inlineStr">
        <is>
          <t>Algorithms</t>
        </is>
      </c>
      <c r="O1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2" s="11" t="inlineStr">
        <is>
          <t>To Do</t>
        </is>
      </c>
    </row>
    <row r="153" ht="15.75" customHeight="1" s="12">
      <c r="A153" s="1" t="n">
        <v>787</v>
      </c>
      <c r="B153" s="3">
        <f>HYPERLINK("https://leetcode.com/problems/cheapest-flights-within-k-stops/", "Cheapest Flights Within K Stops")</f>
        <v/>
      </c>
      <c r="C153" s="1" t="n">
        <v>11257</v>
      </c>
      <c r="D153" s="1" t="n">
        <v>469</v>
      </c>
      <c r="E153" s="4">
        <f>IF(INDEX(C:C, ROW())+INDEX(D:D, ROW())=0, 0, INDEX(C:C, ROW())/(INDEX(C:C, ROW())+INDEX(D:D, ROW())))</f>
        <v/>
      </c>
      <c r="F153" s="1" t="inlineStr">
        <is>
          <t>Dynamic Programming, Depth-First Search, Breadth-First Search, Graph Theory, Heap (Priority Queue), Shortest Path</t>
        </is>
      </c>
      <c r="G153" s="1" t="inlineStr">
        <is>
          <t>Medium</t>
        </is>
      </c>
      <c r="H153" s="1" t="n">
        <v>917561</v>
      </c>
      <c r="I153" s="1" t="n">
        <v>2198325</v>
      </c>
      <c r="J153" s="9" t="n">
        <v>0.417</v>
      </c>
      <c r="K153" s="1" t="inlineStr">
        <is>
          <t>Yes</t>
        </is>
      </c>
      <c r="L153" s="1" t="inlineStr">
        <is>
          <t>Yes</t>
        </is>
      </c>
      <c r="M153" s="1" t="inlineStr">
        <is>
          <t>No</t>
        </is>
      </c>
      <c r="N153" s="1" t="inlineStr">
        <is>
          <t>Algorithms</t>
        </is>
      </c>
      <c r="O1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3" s="11" t="inlineStr">
        <is>
          <t>To Do</t>
        </is>
      </c>
    </row>
    <row r="154" ht="15.75" customHeight="1" s="12">
      <c r="A154" s="1" t="n">
        <v>547</v>
      </c>
      <c r="B154" s="3">
        <f>HYPERLINK("https://leetcode.com/problems/number-of-provinces/", "Number of Provinces")</f>
        <v/>
      </c>
      <c r="C154" s="1" t="n">
        <v>11185</v>
      </c>
      <c r="D154" s="1" t="n">
        <v>430</v>
      </c>
      <c r="E154" s="4">
        <f>IF(INDEX(C:C, ROW())+INDEX(D:D, ROW())=0, 0, INDEX(C:C, ROW())/(INDEX(C:C, ROW())+INDEX(D:D, ROW())))</f>
        <v/>
      </c>
      <c r="F154" s="1" t="inlineStr">
        <is>
          <t>Depth-First Search, Breadth-First Search, Union-Find, Graph Theory</t>
        </is>
      </c>
      <c r="G154" s="1" t="inlineStr">
        <is>
          <t>Medium</t>
        </is>
      </c>
      <c r="H154" s="1" t="n">
        <v>1534178</v>
      </c>
      <c r="I154" s="1" t="n">
        <v>2181118</v>
      </c>
      <c r="J154" s="9" t="n">
        <v>0.703</v>
      </c>
      <c r="K154" s="1" t="inlineStr">
        <is>
          <t>Yes</t>
        </is>
      </c>
      <c r="L154" s="1" t="inlineStr">
        <is>
          <t>Yes</t>
        </is>
      </c>
      <c r="M154" s="1" t="inlineStr">
        <is>
          <t>No</t>
        </is>
      </c>
      <c r="N154" s="1" t="inlineStr">
        <is>
          <t>Algorithms</t>
        </is>
      </c>
      <c r="O1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4" s="11" t="inlineStr">
        <is>
          <t>To Do</t>
        </is>
      </c>
    </row>
    <row r="155" ht="15.75" customHeight="1" s="12">
      <c r="A155" s="1" t="n">
        <v>297</v>
      </c>
      <c r="B155" s="3">
        <f>HYPERLINK("https://leetcode.com/problems/serialize-and-deserialize-binary-tree/", "Serialize and Deserialize Binary Tree")</f>
        <v/>
      </c>
      <c r="C155" s="1" t="n">
        <v>11181</v>
      </c>
      <c r="D155" s="1" t="n">
        <v>433</v>
      </c>
      <c r="E155" s="4">
        <f>IF(INDEX(C:C, ROW())+INDEX(D:D, ROW())=0, 0, INDEX(C:C, ROW())/(INDEX(C:C, ROW())+INDEX(D:D, ROW())))</f>
        <v/>
      </c>
      <c r="F155" s="1" t="inlineStr">
        <is>
          <t>String, Tree, Depth-First Search, Breadth-First Search, Design, Binary Tree</t>
        </is>
      </c>
      <c r="G155" s="1" t="inlineStr">
        <is>
          <t>Hard</t>
        </is>
      </c>
      <c r="H155" s="1" t="n">
        <v>1201164</v>
      </c>
      <c r="I155" s="1" t="n">
        <v>1979050</v>
      </c>
      <c r="J155" s="9" t="n">
        <v>0.607</v>
      </c>
      <c r="K155" s="1" t="inlineStr">
        <is>
          <t>Yes</t>
        </is>
      </c>
      <c r="L155" s="1" t="inlineStr">
        <is>
          <t>Yes</t>
        </is>
      </c>
      <c r="M155" s="1" t="inlineStr">
        <is>
          <t>No</t>
        </is>
      </c>
      <c r="N155" s="1" t="inlineStr">
        <is>
          <t>Algorithms</t>
        </is>
      </c>
      <c r="O1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5" s="11" t="inlineStr">
        <is>
          <t>To Do</t>
        </is>
      </c>
    </row>
    <row r="156" ht="15.75" customHeight="1" s="12">
      <c r="A156" s="1" t="n">
        <v>442</v>
      </c>
      <c r="B156" s="3">
        <f>HYPERLINK("https://leetcode.com/problems/find-all-duplicates-in-an-array/", "Find All Duplicates in an Array")</f>
        <v/>
      </c>
      <c r="C156" s="1" t="n">
        <v>11172</v>
      </c>
      <c r="D156" s="1" t="n">
        <v>448</v>
      </c>
      <c r="E156" s="4">
        <f>IF(INDEX(C:C, ROW())+INDEX(D:D, ROW())=0, 0, INDEX(C:C, ROW())/(INDEX(C:C, ROW())+INDEX(D:D, ROW())))</f>
        <v/>
      </c>
      <c r="F156" s="1" t="inlineStr">
        <is>
          <t>Array, Hash Table, Sorting</t>
        </is>
      </c>
      <c r="G156" s="1" t="inlineStr">
        <is>
          <t>Medium</t>
        </is>
      </c>
      <c r="H156" s="1" t="n">
        <v>1039551</v>
      </c>
      <c r="I156" s="1" t="n">
        <v>1351304</v>
      </c>
      <c r="J156" s="9" t="n">
        <v>0.769</v>
      </c>
      <c r="K156" s="1" t="inlineStr">
        <is>
          <t>Yes</t>
        </is>
      </c>
      <c r="L156" s="1" t="inlineStr">
        <is>
          <t>Yes</t>
        </is>
      </c>
      <c r="M156" s="1" t="inlineStr">
        <is>
          <t>No</t>
        </is>
      </c>
      <c r="N156" s="1" t="inlineStr">
        <is>
          <t>Algorithms</t>
        </is>
      </c>
      <c r="O1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6" s="11" t="inlineStr">
        <is>
          <t>To Do</t>
        </is>
      </c>
    </row>
    <row r="157" ht="15.75" customHeight="1" s="12">
      <c r="A157" s="1" t="n">
        <v>37</v>
      </c>
      <c r="B157" s="3">
        <f>HYPERLINK("https://leetcode.com/problems/sudoku-solver/", "Sudoku Solver")</f>
        <v/>
      </c>
      <c r="C157" s="1" t="n">
        <v>11131</v>
      </c>
      <c r="D157" s="1" t="n">
        <v>346</v>
      </c>
      <c r="E157" s="4">
        <f>IF(INDEX(C:C, ROW())+INDEX(D:D, ROW())=0, 0, INDEX(C:C, ROW())/(INDEX(C:C, ROW())+INDEX(D:D, ROW())))</f>
        <v/>
      </c>
      <c r="F157" s="1" t="inlineStr">
        <is>
          <t>Array, Hash Table, Backtracking, Matrix</t>
        </is>
      </c>
      <c r="G157" s="1" t="inlineStr">
        <is>
          <t>Hard</t>
        </is>
      </c>
      <c r="H157" s="1" t="n">
        <v>1036541</v>
      </c>
      <c r="I157" s="1" t="n">
        <v>1583471</v>
      </c>
      <c r="J157" s="9" t="n">
        <v>0.655</v>
      </c>
      <c r="K157" s="1" t="inlineStr">
        <is>
          <t>Yes</t>
        </is>
      </c>
      <c r="L157" s="1" t="inlineStr">
        <is>
          <t>Yes</t>
        </is>
      </c>
      <c r="M157" s="1" t="inlineStr">
        <is>
          <t>No</t>
        </is>
      </c>
      <c r="N157" s="1" t="inlineStr">
        <is>
          <t>Algorithms</t>
        </is>
      </c>
      <c r="O1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7" s="11" t="inlineStr">
        <is>
          <t>To Do</t>
        </is>
      </c>
    </row>
    <row r="158" ht="15.75" customHeight="1" s="12">
      <c r="A158" s="1" t="n">
        <v>213</v>
      </c>
      <c r="B158" s="3">
        <f>HYPERLINK("https://leetcode.com/problems/house-robber-ii/", "House Robber II")</f>
        <v/>
      </c>
      <c r="C158" s="1" t="n">
        <v>11109</v>
      </c>
      <c r="D158" s="1" t="n">
        <v>193</v>
      </c>
      <c r="E158" s="4">
        <f>IF(INDEX(C:C, ROW())+INDEX(D:D, ROW())=0, 0, INDEX(C:C, ROW())/(INDEX(C:C, ROW())+INDEX(D:D, ROW())))</f>
        <v/>
      </c>
      <c r="F158" s="1" t="inlineStr">
        <is>
          <t>Array, Dynamic Programming</t>
        </is>
      </c>
      <c r="G158" s="1" t="inlineStr">
        <is>
          <t>Medium</t>
        </is>
      </c>
      <c r="H158" s="1" t="n">
        <v>1255054</v>
      </c>
      <c r="I158" s="1" t="n">
        <v>2796803</v>
      </c>
      <c r="J158" s="9" t="n">
        <v>0.449</v>
      </c>
      <c r="K158" s="1" t="inlineStr">
        <is>
          <t>Yes</t>
        </is>
      </c>
      <c r="L158" s="1" t="inlineStr">
        <is>
          <t>Yes</t>
        </is>
      </c>
      <c r="M158" s="1" t="inlineStr">
        <is>
          <t>No</t>
        </is>
      </c>
      <c r="N158" s="1" t="inlineStr">
        <is>
          <t>Algorithms</t>
        </is>
      </c>
      <c r="O1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8" s="11" t="inlineStr">
        <is>
          <t>To Do</t>
        </is>
      </c>
    </row>
    <row r="159" ht="15.75" customHeight="1" s="12">
      <c r="A159" s="1" t="n">
        <v>1011</v>
      </c>
      <c r="B159" s="3">
        <f>HYPERLINK("https://leetcode.com/problems/capacity-to-ship-packages-within-d-days/", "Capacity To Ship Packages Within D Days")</f>
        <v/>
      </c>
      <c r="C159" s="1" t="n">
        <v>11042</v>
      </c>
      <c r="D159" s="1" t="n">
        <v>291</v>
      </c>
      <c r="E159" s="4">
        <f>IF(INDEX(C:C, ROW())+INDEX(D:D, ROW())=0, 0, INDEX(C:C, ROW())/(INDEX(C:C, ROW())+INDEX(D:D, ROW())))</f>
        <v/>
      </c>
      <c r="F159" s="1" t="inlineStr">
        <is>
          <t>Array, Binary Search</t>
        </is>
      </c>
      <c r="G159" s="1" t="inlineStr">
        <is>
          <t>Medium</t>
        </is>
      </c>
      <c r="H159" s="1" t="n">
        <v>772755</v>
      </c>
      <c r="I159" s="1" t="n">
        <v>1046080</v>
      </c>
      <c r="J159" s="9" t="n">
        <v>0.739</v>
      </c>
      <c r="K159" s="1" t="inlineStr">
        <is>
          <t>Yes</t>
        </is>
      </c>
      <c r="L159" s="1" t="inlineStr">
        <is>
          <t>Yes</t>
        </is>
      </c>
      <c r="M159" s="1" t="inlineStr">
        <is>
          <t>No</t>
        </is>
      </c>
      <c r="N159" s="1" t="inlineStr">
        <is>
          <t>Algorithms</t>
        </is>
      </c>
      <c r="O1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9" s="11" t="inlineStr">
        <is>
          <t>To Do</t>
        </is>
      </c>
    </row>
    <row r="160" ht="15.75" customHeight="1" s="12">
      <c r="A160" s="1" t="n">
        <v>96</v>
      </c>
      <c r="B160" s="3">
        <f>HYPERLINK("https://leetcode.com/problems/unique-binary-search-trees/", "Unique Binary Search Trees")</f>
        <v/>
      </c>
      <c r="C160" s="1" t="n">
        <v>11034</v>
      </c>
      <c r="D160" s="1" t="n">
        <v>448</v>
      </c>
      <c r="E160" s="4">
        <f>IF(INDEX(C:C, ROW())+INDEX(D:D, ROW())=0, 0, INDEX(C:C, ROW())/(INDEX(C:C, ROW())+INDEX(D:D, ROW())))</f>
        <v/>
      </c>
      <c r="F160" s="1" t="inlineStr">
        <is>
          <t>Math, Dynamic Programming, Tree, Binary Search Tree, Binary Tree</t>
        </is>
      </c>
      <c r="G160" s="1" t="inlineStr">
        <is>
          <t>Medium</t>
        </is>
      </c>
      <c r="H160" s="1" t="n">
        <v>868140</v>
      </c>
      <c r="I160" s="1" t="n">
        <v>1363470</v>
      </c>
      <c r="J160" s="9" t="n">
        <v>0.637</v>
      </c>
      <c r="K160" s="1" t="inlineStr">
        <is>
          <t>Yes</t>
        </is>
      </c>
      <c r="L160" s="1" t="inlineStr">
        <is>
          <t>Yes</t>
        </is>
      </c>
      <c r="M160" s="1" t="inlineStr">
        <is>
          <t>No</t>
        </is>
      </c>
      <c r="N160" s="1" t="inlineStr">
        <is>
          <t>Algorithms</t>
        </is>
      </c>
      <c r="O1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0" s="11" t="inlineStr">
        <is>
          <t>To Do</t>
        </is>
      </c>
    </row>
    <row r="161" ht="15.75" customHeight="1" s="12">
      <c r="A161" s="1" t="n">
        <v>221</v>
      </c>
      <c r="B161" s="3">
        <f>HYPERLINK("https://leetcode.com/problems/maximal-square/", "Maximal Square")</f>
        <v/>
      </c>
      <c r="C161" s="1" t="n">
        <v>11029</v>
      </c>
      <c r="D161" s="1" t="n">
        <v>262</v>
      </c>
      <c r="E161" s="4">
        <f>IF(INDEX(C:C, ROW())+INDEX(D:D, ROW())=0, 0, INDEX(C:C, ROW())/(INDEX(C:C, ROW())+INDEX(D:D, ROW())))</f>
        <v/>
      </c>
      <c r="F161" s="1" t="inlineStr">
        <is>
          <t>Array, Dynamic Programming, Matrix</t>
        </is>
      </c>
      <c r="G161" s="1" t="inlineStr">
        <is>
          <t>Medium</t>
        </is>
      </c>
      <c r="H161" s="1" t="n">
        <v>930457</v>
      </c>
      <c r="I161" s="1" t="n">
        <v>1850266</v>
      </c>
      <c r="J161" s="9" t="n">
        <v>0.503</v>
      </c>
      <c r="K161" s="1" t="inlineStr">
        <is>
          <t>Yes</t>
        </is>
      </c>
      <c r="L161" s="1" t="inlineStr">
        <is>
          <t>Yes</t>
        </is>
      </c>
      <c r="M161" s="1" t="inlineStr">
        <is>
          <t>No</t>
        </is>
      </c>
      <c r="N161" s="1" t="inlineStr">
        <is>
          <t>Algorithms</t>
        </is>
      </c>
      <c r="O1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1" s="11" t="inlineStr">
        <is>
          <t>To Do</t>
        </is>
      </c>
    </row>
    <row r="162" ht="15.75" customHeight="1" s="12">
      <c r="A162" s="1" t="n">
        <v>229</v>
      </c>
      <c r="B162" s="3">
        <f>HYPERLINK("https://leetcode.com/problems/majority-element-ii/", "Majority Element II")</f>
        <v/>
      </c>
      <c r="C162" s="1" t="n">
        <v>11020</v>
      </c>
      <c r="D162" s="1" t="n">
        <v>503</v>
      </c>
      <c r="E162" s="4">
        <f>IF(INDEX(C:C, ROW())+INDEX(D:D, ROW())=0, 0, INDEX(C:C, ROW())/(INDEX(C:C, ROW())+INDEX(D:D, ROW())))</f>
        <v/>
      </c>
      <c r="F162" s="1" t="inlineStr">
        <is>
          <t>Array, Hash Table, Sorting, Counting</t>
        </is>
      </c>
      <c r="G162" s="1" t="inlineStr">
        <is>
          <t>Medium</t>
        </is>
      </c>
      <c r="H162" s="1" t="n">
        <v>1261195</v>
      </c>
      <c r="I162" s="1" t="n">
        <v>2248031</v>
      </c>
      <c r="J162" s="9" t="n">
        <v>0.5610000000000001</v>
      </c>
      <c r="K162" s="1" t="inlineStr">
        <is>
          <t>Yes</t>
        </is>
      </c>
      <c r="L162" s="1" t="inlineStr">
        <is>
          <t>Yes</t>
        </is>
      </c>
      <c r="M162" s="1" t="inlineStr">
        <is>
          <t>No</t>
        </is>
      </c>
      <c r="N162" s="1" t="inlineStr">
        <is>
          <t>Algorithms</t>
        </is>
      </c>
      <c r="O1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2" s="11" t="inlineStr">
        <is>
          <t>To Do</t>
        </is>
      </c>
    </row>
    <row r="163" ht="15.75" customHeight="1" s="12">
      <c r="A163" s="1" t="n">
        <v>90</v>
      </c>
      <c r="B163" s="3">
        <f>HYPERLINK("https://leetcode.com/problems/subsets-ii/", "Subsets II")</f>
        <v/>
      </c>
      <c r="C163" s="1" t="n">
        <v>10969</v>
      </c>
      <c r="D163" s="1" t="n">
        <v>418</v>
      </c>
      <c r="E163" s="4">
        <f>IF(INDEX(C:C, ROW())+INDEX(D:D, ROW())=0, 0, INDEX(C:C, ROW())/(INDEX(C:C, ROW())+INDEX(D:D, ROW())))</f>
        <v/>
      </c>
      <c r="F163" s="1" t="inlineStr">
        <is>
          <t>Array, Backtracking, Bit Manipulation</t>
        </is>
      </c>
      <c r="G163" s="1" t="inlineStr">
        <is>
          <t>Medium</t>
        </is>
      </c>
      <c r="H163" s="1" t="n">
        <v>1496458</v>
      </c>
      <c r="I163" s="1" t="n">
        <v>2443397</v>
      </c>
      <c r="J163" s="9" t="n">
        <v>0.612</v>
      </c>
      <c r="K163" s="1" t="inlineStr">
        <is>
          <t>Yes</t>
        </is>
      </c>
      <c r="L163" s="1" t="inlineStr">
        <is>
          <t>Yes</t>
        </is>
      </c>
      <c r="M163" s="1" t="inlineStr">
        <is>
          <t>No</t>
        </is>
      </c>
      <c r="N163" s="1" t="inlineStr">
        <is>
          <t>Algorithms</t>
        </is>
      </c>
      <c r="O1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3" s="11" t="inlineStr">
        <is>
          <t>To Do</t>
        </is>
      </c>
    </row>
    <row r="164" ht="15.75" customHeight="1" s="12">
      <c r="A164" s="1" t="n">
        <v>120</v>
      </c>
      <c r="B164" s="3">
        <f>HYPERLINK("https://leetcode.com/problems/triangle/", "Triangle")</f>
        <v/>
      </c>
      <c r="C164" s="1" t="n">
        <v>10865</v>
      </c>
      <c r="D164" s="1" t="n">
        <v>612</v>
      </c>
      <c r="E164" s="4">
        <f>IF(INDEX(C:C, ROW())+INDEX(D:D, ROW())=0, 0, INDEX(C:C, ROW())/(INDEX(C:C, ROW())+INDEX(D:D, ROW())))</f>
        <v/>
      </c>
      <c r="F164" s="1" t="inlineStr">
        <is>
          <t>Array, Dynamic Programming</t>
        </is>
      </c>
      <c r="G164" s="1" t="inlineStr">
        <is>
          <t>Medium</t>
        </is>
      </c>
      <c r="H164" s="1" t="n">
        <v>1296084</v>
      </c>
      <c r="I164" s="1" t="n">
        <v>2163693</v>
      </c>
      <c r="J164" s="9" t="n">
        <v>0.599</v>
      </c>
      <c r="K164" s="1" t="inlineStr">
        <is>
          <t>Yes</t>
        </is>
      </c>
      <c r="L164" s="1" t="inlineStr">
        <is>
          <t>Yes</t>
        </is>
      </c>
      <c r="M164" s="1" t="inlineStr">
        <is>
          <t>No</t>
        </is>
      </c>
      <c r="N164" s="1" t="inlineStr">
        <is>
          <t>Algorithms</t>
        </is>
      </c>
      <c r="O1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4" s="11" t="inlineStr">
        <is>
          <t>To Do</t>
        </is>
      </c>
    </row>
    <row r="165" ht="15.75" customHeight="1" s="12">
      <c r="A165" s="1" t="n">
        <v>392</v>
      </c>
      <c r="B165" s="3">
        <f>HYPERLINK("https://leetcode.com/problems/is-subsequence/", "Is Subsequence")</f>
        <v/>
      </c>
      <c r="C165" s="1" t="n">
        <v>10845</v>
      </c>
      <c r="D165" s="1" t="n">
        <v>621</v>
      </c>
      <c r="E165" s="4">
        <f>IF(INDEX(C:C, ROW())+INDEX(D:D, ROW())=0, 0, INDEX(C:C, ROW())/(INDEX(C:C, ROW())+INDEX(D:D, ROW())))</f>
        <v/>
      </c>
      <c r="F165" s="1" t="inlineStr">
        <is>
          <t>Two Pointers, String, Dynamic Programming</t>
        </is>
      </c>
      <c r="G165" s="1" t="inlineStr">
        <is>
          <t>Easy</t>
        </is>
      </c>
      <c r="H165" s="1" t="n">
        <v>2483100</v>
      </c>
      <c r="I165" s="1" t="n">
        <v>5067377</v>
      </c>
      <c r="J165" s="9" t="n">
        <v>0.49</v>
      </c>
      <c r="K165" s="1" t="inlineStr">
        <is>
          <t>Yes</t>
        </is>
      </c>
      <c r="L165" s="1" t="inlineStr">
        <is>
          <t>Yes</t>
        </is>
      </c>
      <c r="M165" s="1" t="inlineStr">
        <is>
          <t>No</t>
        </is>
      </c>
      <c r="N165" s="1" t="inlineStr">
        <is>
          <t>Algorithms</t>
        </is>
      </c>
      <c r="O1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5" s="13" t="inlineStr">
        <is>
          <t>Done</t>
        </is>
      </c>
    </row>
    <row r="166" ht="15.75" customHeight="1" s="12">
      <c r="A166" s="1" t="n">
        <v>67</v>
      </c>
      <c r="B166" s="3">
        <f>HYPERLINK("https://leetcode.com/problems/add-binary/", "Add Binary")</f>
        <v/>
      </c>
      <c r="C166" s="1" t="n">
        <v>10790</v>
      </c>
      <c r="D166" s="1" t="n">
        <v>1118</v>
      </c>
      <c r="E166" s="4">
        <f>IF(INDEX(C:C, ROW())+INDEX(D:D, ROW())=0, 0, INDEX(C:C, ROW())/(INDEX(C:C, ROW())+INDEX(D:D, ROW())))</f>
        <v/>
      </c>
      <c r="F166" s="1" t="inlineStr">
        <is>
          <t>Math, String, Bit Manipulation, Simulation</t>
        </is>
      </c>
      <c r="G166" s="1" t="inlineStr">
        <is>
          <t>Easy</t>
        </is>
      </c>
      <c r="H166" s="1" t="n">
        <v>2343118</v>
      </c>
      <c r="I166" s="1" t="n">
        <v>4039497</v>
      </c>
      <c r="J166" s="9" t="n">
        <v>0.58</v>
      </c>
      <c r="K166" s="1" t="inlineStr">
        <is>
          <t>Yes</t>
        </is>
      </c>
      <c r="L166" s="1" t="inlineStr">
        <is>
          <t>Yes</t>
        </is>
      </c>
      <c r="M166" s="1" t="inlineStr">
        <is>
          <t>No</t>
        </is>
      </c>
      <c r="N166" s="1" t="inlineStr">
        <is>
          <t>Algorithms</t>
        </is>
      </c>
      <c r="O1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6" s="13" t="inlineStr">
        <is>
          <t>Done</t>
        </is>
      </c>
    </row>
    <row r="167" ht="15.75" customHeight="1" s="12">
      <c r="A167" s="1" t="n">
        <v>542</v>
      </c>
      <c r="B167" s="3">
        <f>HYPERLINK("https://leetcode.com/problems/01-matrix/", "01 Matrix")</f>
        <v/>
      </c>
      <c r="C167" s="1" t="n">
        <v>10769</v>
      </c>
      <c r="D167" s="1" t="n">
        <v>451</v>
      </c>
      <c r="E167" s="4">
        <f>IF(INDEX(C:C, ROW())+INDEX(D:D, ROW())=0, 0, INDEX(C:C, ROW())/(INDEX(C:C, ROW())+INDEX(D:D, ROW())))</f>
        <v/>
      </c>
      <c r="F167" s="1" t="inlineStr">
        <is>
          <t>Array, Dynamic Programming, Breadth-First Search, Matrix</t>
        </is>
      </c>
      <c r="G167" s="1" t="inlineStr">
        <is>
          <t>Medium</t>
        </is>
      </c>
      <c r="H167" s="1" t="n">
        <v>903463</v>
      </c>
      <c r="I167" s="1" t="n">
        <v>1678954</v>
      </c>
      <c r="J167" s="9" t="n">
        <v>0.538</v>
      </c>
      <c r="K167" s="1" t="inlineStr">
        <is>
          <t>Yes</t>
        </is>
      </c>
      <c r="L167" s="1" t="inlineStr">
        <is>
          <t>Yes</t>
        </is>
      </c>
      <c r="M167" s="1" t="inlineStr">
        <is>
          <t>No</t>
        </is>
      </c>
      <c r="N167" s="1" t="inlineStr">
        <is>
          <t>Algorithms</t>
        </is>
      </c>
      <c r="O1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7" s="11" t="inlineStr">
        <is>
          <t>To Do</t>
        </is>
      </c>
    </row>
    <row r="168" ht="15.75" customHeight="1" s="12">
      <c r="A168" s="1" t="n">
        <v>112</v>
      </c>
      <c r="B168" s="3">
        <f>HYPERLINK("https://leetcode.com/problems/path-sum/", "Path Sum")</f>
        <v/>
      </c>
      <c r="C168" s="1" t="n">
        <v>10761</v>
      </c>
      <c r="D168" s="1" t="n">
        <v>1218</v>
      </c>
      <c r="E168" s="4">
        <f>IF(INDEX(C:C, ROW())+INDEX(D:D, ROW())=0, 0, INDEX(C:C, ROW())/(INDEX(C:C, ROW())+INDEX(D:D, ROW())))</f>
        <v/>
      </c>
      <c r="F168" s="1" t="inlineStr">
        <is>
          <t>Tree, Depth-First Search, Breadth-First Search, Binary Tree</t>
        </is>
      </c>
      <c r="G168" s="1" t="inlineStr">
        <is>
          <t>Easy</t>
        </is>
      </c>
      <c r="H168" s="1" t="n">
        <v>2146147</v>
      </c>
      <c r="I168" s="1" t="n">
        <v>3911041</v>
      </c>
      <c r="J168" s="9" t="n">
        <v>0.549</v>
      </c>
      <c r="K168" s="1" t="inlineStr">
        <is>
          <t>Yes</t>
        </is>
      </c>
      <c r="L168" s="1" t="inlineStr">
        <is>
          <t>Yes</t>
        </is>
      </c>
      <c r="M168" s="1" t="inlineStr">
        <is>
          <t>No</t>
        </is>
      </c>
      <c r="N168" s="1" t="inlineStr">
        <is>
          <t>Algorithms</t>
        </is>
      </c>
      <c r="O1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8" s="13" t="inlineStr">
        <is>
          <t>Done</t>
        </is>
      </c>
    </row>
    <row r="169" ht="15.75" customHeight="1" s="12">
      <c r="A169" s="1" t="n">
        <v>695</v>
      </c>
      <c r="B169" s="3">
        <f>HYPERLINK("https://leetcode.com/problems/max-area-of-island/", "Max Area of Island")</f>
        <v/>
      </c>
      <c r="C169" s="1" t="n">
        <v>10634</v>
      </c>
      <c r="D169" s="1" t="n">
        <v>222</v>
      </c>
      <c r="E169" s="4">
        <f>IF(INDEX(C:C, ROW())+INDEX(D:D, ROW())=0, 0, INDEX(C:C, ROW())/(INDEX(C:C, ROW())+INDEX(D:D, ROW())))</f>
        <v/>
      </c>
      <c r="F169" s="1" t="inlineStr">
        <is>
          <t>Array, Depth-First Search, Breadth-First Search, Union-Find, Matrix</t>
        </is>
      </c>
      <c r="G169" s="1" t="inlineStr">
        <is>
          <t>Medium</t>
        </is>
      </c>
      <c r="H169" s="1" t="n">
        <v>1243227</v>
      </c>
      <c r="I169" s="1" t="n">
        <v>1681133</v>
      </c>
      <c r="J169" s="9" t="n">
        <v>0.74</v>
      </c>
      <c r="K169" s="1" t="inlineStr">
        <is>
          <t>Yes</t>
        </is>
      </c>
      <c r="L169" s="1" t="inlineStr">
        <is>
          <t>Yes</t>
        </is>
      </c>
      <c r="M169" s="1" t="inlineStr">
        <is>
          <t>No</t>
        </is>
      </c>
      <c r="N169" s="1" t="inlineStr">
        <is>
          <t>Algorithms</t>
        </is>
      </c>
      <c r="O1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9" s="11" t="inlineStr">
        <is>
          <t>To Do</t>
        </is>
      </c>
    </row>
    <row r="170" ht="15.75" customHeight="1" s="12">
      <c r="A170" s="1" t="n">
        <v>402</v>
      </c>
      <c r="B170" s="3">
        <f>HYPERLINK("https://leetcode.com/problems/remove-k-digits/", "Remove K Digits")</f>
        <v/>
      </c>
      <c r="C170" s="1" t="n">
        <v>10631</v>
      </c>
      <c r="D170" s="1" t="n">
        <v>550</v>
      </c>
      <c r="E170" s="4">
        <f>IF(INDEX(C:C, ROW())+INDEX(D:D, ROW())=0, 0, INDEX(C:C, ROW())/(INDEX(C:C, ROW())+INDEX(D:D, ROW())))</f>
        <v/>
      </c>
      <c r="F170" s="1" t="inlineStr">
        <is>
          <t>String, Stack, Greedy, Monotonic Stack</t>
        </is>
      </c>
      <c r="G170" s="1" t="inlineStr">
        <is>
          <t>Medium</t>
        </is>
      </c>
      <c r="H170" s="1" t="n">
        <v>735766</v>
      </c>
      <c r="I170" s="1" t="n">
        <v>2000194</v>
      </c>
      <c r="J170" s="9" t="n">
        <v>0.368</v>
      </c>
      <c r="K170" s="1" t="inlineStr">
        <is>
          <t>Yes</t>
        </is>
      </c>
      <c r="L170" s="1" t="inlineStr">
        <is>
          <t>Yes</t>
        </is>
      </c>
      <c r="M170" s="1" t="inlineStr">
        <is>
          <t>No</t>
        </is>
      </c>
      <c r="N170" s="1" t="inlineStr">
        <is>
          <t>Algorithms</t>
        </is>
      </c>
      <c r="O1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0" s="11" t="inlineStr">
        <is>
          <t>To Do</t>
        </is>
      </c>
    </row>
    <row r="171" ht="15.75" customHeight="1" s="12">
      <c r="A171" s="1" t="n">
        <v>133</v>
      </c>
      <c r="B171" s="3">
        <f>HYPERLINK("https://leetcode.com/problems/clone-graph/", "Clone Graph")</f>
        <v/>
      </c>
      <c r="C171" s="1" t="n">
        <v>10621</v>
      </c>
      <c r="D171" s="1" t="n">
        <v>4204</v>
      </c>
      <c r="E171" s="4">
        <f>IF(INDEX(C:C, ROW())+INDEX(D:D, ROW())=0, 0, INDEX(C:C, ROW())/(INDEX(C:C, ROW())+INDEX(D:D, ROW())))</f>
        <v/>
      </c>
      <c r="F171" s="1" t="inlineStr">
        <is>
          <t>Hash Table, Depth-First Search, Breadth-First Search, Graph Theory</t>
        </is>
      </c>
      <c r="G171" s="1" t="inlineStr">
        <is>
          <t>Medium</t>
        </is>
      </c>
      <c r="H171" s="1" t="n">
        <v>1902853</v>
      </c>
      <c r="I171" s="1" t="n">
        <v>2917435</v>
      </c>
      <c r="J171" s="9" t="n">
        <v>0.652</v>
      </c>
      <c r="K171" s="1" t="inlineStr">
        <is>
          <t>Yes</t>
        </is>
      </c>
      <c r="L171" s="1" t="inlineStr">
        <is>
          <t>Yes</t>
        </is>
      </c>
      <c r="M171" s="1" t="inlineStr">
        <is>
          <t>No</t>
        </is>
      </c>
      <c r="N171" s="1" t="inlineStr">
        <is>
          <t>Algorithms</t>
        </is>
      </c>
      <c r="O1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1" s="11" t="inlineStr">
        <is>
          <t>To Do</t>
        </is>
      </c>
    </row>
    <row r="172" ht="15.75" customHeight="1" s="12">
      <c r="A172" s="1" t="n">
        <v>123</v>
      </c>
      <c r="B172" s="3">
        <f>HYPERLINK("https://leetcode.com/problems/best-time-to-buy-and-sell-stock-iii/", "Best Time to Buy and Sell Stock III")</f>
        <v/>
      </c>
      <c r="C172" s="1" t="n">
        <v>10605</v>
      </c>
      <c r="D172" s="1" t="n">
        <v>231</v>
      </c>
      <c r="E172" s="4">
        <f>IF(INDEX(C:C, ROW())+INDEX(D:D, ROW())=0, 0, INDEX(C:C, ROW())/(INDEX(C:C, ROW())+INDEX(D:D, ROW())))</f>
        <v/>
      </c>
      <c r="F172" s="1" t="inlineStr">
        <is>
          <t>Array, Dynamic Programming</t>
        </is>
      </c>
      <c r="G172" s="1" t="inlineStr">
        <is>
          <t>Hard</t>
        </is>
      </c>
      <c r="H172" s="1" t="n">
        <v>960216</v>
      </c>
      <c r="I172" s="1" t="n">
        <v>1790395</v>
      </c>
      <c r="J172" s="9" t="n">
        <v>0.536</v>
      </c>
      <c r="K172" s="1" t="inlineStr">
        <is>
          <t>Yes</t>
        </is>
      </c>
      <c r="L172" s="1" t="inlineStr">
        <is>
          <t>Yes</t>
        </is>
      </c>
      <c r="M172" s="1" t="inlineStr">
        <is>
          <t>No</t>
        </is>
      </c>
      <c r="N172" s="1" t="inlineStr">
        <is>
          <t>Algorithms</t>
        </is>
      </c>
      <c r="O1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2" s="11" t="inlineStr">
        <is>
          <t>To Do</t>
        </is>
      </c>
    </row>
    <row r="173" ht="15.75" customHeight="1" s="12">
      <c r="A173" s="1" t="n">
        <v>205</v>
      </c>
      <c r="B173" s="3">
        <f>HYPERLINK("https://leetcode.com/problems/isomorphic-strings/", "Isomorphic Strings")</f>
        <v/>
      </c>
      <c r="C173" s="1" t="n">
        <v>10605</v>
      </c>
      <c r="D173" s="1" t="n">
        <v>2287</v>
      </c>
      <c r="E173" s="4">
        <f>IF(INDEX(C:C, ROW())+INDEX(D:D, ROW())=0, 0, INDEX(C:C, ROW())/(INDEX(C:C, ROW())+INDEX(D:D, ROW())))</f>
        <v/>
      </c>
      <c r="F173" s="1" t="inlineStr">
        <is>
          <t>Hash Table, String</t>
        </is>
      </c>
      <c r="G173" s="1" t="inlineStr">
        <is>
          <t>Easy</t>
        </is>
      </c>
      <c r="H173" s="1" t="n">
        <v>2166428</v>
      </c>
      <c r="I173" s="1" t="n">
        <v>4481386</v>
      </c>
      <c r="J173" s="9" t="n">
        <v>0.483</v>
      </c>
      <c r="K173" s="1" t="inlineStr">
        <is>
          <t>Yes</t>
        </is>
      </c>
      <c r="L173" s="1" t="inlineStr">
        <is>
          <t>Yes</t>
        </is>
      </c>
      <c r="M173" s="1" t="inlineStr">
        <is>
          <t>No</t>
        </is>
      </c>
      <c r="N173" s="1" t="inlineStr">
        <is>
          <t>Algorithms</t>
        </is>
      </c>
      <c r="O1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3" s="13" t="inlineStr">
        <is>
          <t>Done</t>
        </is>
      </c>
    </row>
    <row r="174" ht="15.75" customHeight="1" s="12">
      <c r="A174" s="1" t="n">
        <v>378</v>
      </c>
      <c r="B174" s="3">
        <f>HYPERLINK("https://leetcode.com/problems/kth-smallest-element-in-a-sorted-matrix/", "Kth Smallest Element in a Sorted Matrix")</f>
        <v/>
      </c>
      <c r="C174" s="1" t="n">
        <v>10597</v>
      </c>
      <c r="D174" s="1" t="n">
        <v>396</v>
      </c>
      <c r="E174" s="4">
        <f>IF(INDEX(C:C, ROW())+INDEX(D:D, ROW())=0, 0, INDEX(C:C, ROW())/(INDEX(C:C, ROW())+INDEX(D:D, ROW())))</f>
        <v/>
      </c>
      <c r="F174" s="1" t="inlineStr">
        <is>
          <t>Array, Binary Search, Sorting, Heap (Priority Queue), Matrix</t>
        </is>
      </c>
      <c r="G174" s="1" t="inlineStr">
        <is>
          <t>Medium</t>
        </is>
      </c>
      <c r="H174" s="1" t="n">
        <v>808462</v>
      </c>
      <c r="I174" s="1" t="n">
        <v>1251590</v>
      </c>
      <c r="J174" s="9" t="n">
        <v>0.646</v>
      </c>
      <c r="K174" s="1" t="inlineStr">
        <is>
          <t>Yes</t>
        </is>
      </c>
      <c r="L174" s="1" t="inlineStr">
        <is>
          <t>Yes</t>
        </is>
      </c>
      <c r="M174" s="1" t="inlineStr">
        <is>
          <t>No</t>
        </is>
      </c>
      <c r="N174" s="1" t="inlineStr">
        <is>
          <t>Algorithms</t>
        </is>
      </c>
      <c r="O1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4" s="11" t="inlineStr">
        <is>
          <t>To Do</t>
        </is>
      </c>
    </row>
    <row r="175" ht="15.75" customHeight="1" s="12">
      <c r="A175" s="1" t="n">
        <v>151</v>
      </c>
      <c r="B175" s="3">
        <f>HYPERLINK("https://leetcode.com/problems/reverse-words-in-a-string/", "Reverse Words in a String")</f>
        <v/>
      </c>
      <c r="C175" s="1" t="n">
        <v>10575</v>
      </c>
      <c r="D175" s="1" t="n">
        <v>5591</v>
      </c>
      <c r="E175" s="4">
        <f>IF(INDEX(C:C, ROW())+INDEX(D:D, ROW())=0, 0, INDEX(C:C, ROW())/(INDEX(C:C, ROW())+INDEX(D:D, ROW())))</f>
        <v/>
      </c>
      <c r="F175" s="1" t="inlineStr">
        <is>
          <t>Two Pointers, String</t>
        </is>
      </c>
      <c r="G175" s="1" t="inlineStr">
        <is>
          <t>Medium</t>
        </is>
      </c>
      <c r="H175" s="1" t="n">
        <v>2995664</v>
      </c>
      <c r="I175" s="1" t="n">
        <v>5323466</v>
      </c>
      <c r="J175" s="9" t="n">
        <v>0.5629999999999999</v>
      </c>
      <c r="K175" s="1" t="inlineStr">
        <is>
          <t>Yes</t>
        </is>
      </c>
      <c r="L175" s="1" t="inlineStr">
        <is>
          <t>Yes</t>
        </is>
      </c>
      <c r="M175" s="1" t="inlineStr">
        <is>
          <t>No</t>
        </is>
      </c>
      <c r="N175" s="1" t="inlineStr">
        <is>
          <t>Algorithms</t>
        </is>
      </c>
      <c r="O1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5" s="11" t="inlineStr">
        <is>
          <t>To Do</t>
        </is>
      </c>
    </row>
    <row r="176" ht="15.75" customHeight="1" s="12">
      <c r="A176" s="1" t="n">
        <v>1004</v>
      </c>
      <c r="B176" s="3">
        <f>HYPERLINK("https://leetcode.com/problems/max-consecutive-ones-iii/", "Max Consecutive Ones III")</f>
        <v/>
      </c>
      <c r="C176" s="1" t="n">
        <v>10512</v>
      </c>
      <c r="D176" s="1" t="n">
        <v>192</v>
      </c>
      <c r="E176" s="4">
        <f>IF(INDEX(C:C, ROW())+INDEX(D:D, ROW())=0, 0, INDEX(C:C, ROW())/(INDEX(C:C, ROW())+INDEX(D:D, ROW())))</f>
        <v/>
      </c>
      <c r="F176" s="1" t="inlineStr">
        <is>
          <t>Array, Binary Search, Sliding Window, Prefix Sum</t>
        </is>
      </c>
      <c r="G176" s="1" t="inlineStr">
        <is>
          <t>Medium</t>
        </is>
      </c>
      <c r="H176" s="1" t="n">
        <v>1397529</v>
      </c>
      <c r="I176" s="1" t="n">
        <v>2066384</v>
      </c>
      <c r="J176" s="9" t="n">
        <v>0.676</v>
      </c>
      <c r="K176" s="1" t="inlineStr">
        <is>
          <t>Yes</t>
        </is>
      </c>
      <c r="L176" s="1" t="inlineStr">
        <is>
          <t>Yes</t>
        </is>
      </c>
      <c r="M176" s="1" t="inlineStr">
        <is>
          <t>No</t>
        </is>
      </c>
      <c r="N176" s="1" t="inlineStr">
        <is>
          <t>Algorithms</t>
        </is>
      </c>
      <c r="O1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6" s="11" t="inlineStr">
        <is>
          <t>To Do</t>
        </is>
      </c>
    </row>
    <row r="177" ht="15.75" customHeight="1" s="12">
      <c r="A177" s="1" t="n">
        <v>450</v>
      </c>
      <c r="B177" s="3">
        <f>HYPERLINK("https://leetcode.com/problems/delete-node-in-a-bst/", "Delete Node in a BST")</f>
        <v/>
      </c>
      <c r="C177" s="1" t="n">
        <v>10477</v>
      </c>
      <c r="D177" s="1" t="n">
        <v>390</v>
      </c>
      <c r="E177" s="4">
        <f>IF(INDEX(C:C, ROW())+INDEX(D:D, ROW())=0, 0, INDEX(C:C, ROW())/(INDEX(C:C, ROW())+INDEX(D:D, ROW())))</f>
        <v/>
      </c>
      <c r="F177" s="1" t="inlineStr">
        <is>
          <t>Tree, Binary Search Tree, Binary Tree</t>
        </is>
      </c>
      <c r="G177" s="1" t="inlineStr">
        <is>
          <t>Medium</t>
        </is>
      </c>
      <c r="H177" s="1" t="n">
        <v>869571</v>
      </c>
      <c r="I177" s="1" t="n">
        <v>1591585</v>
      </c>
      <c r="J177" s="9" t="n">
        <v>0.546</v>
      </c>
      <c r="K177" s="1" t="inlineStr">
        <is>
          <t>Yes</t>
        </is>
      </c>
      <c r="L177" s="1" t="inlineStr">
        <is>
          <t>Yes</t>
        </is>
      </c>
      <c r="M177" s="1" t="inlineStr">
        <is>
          <t>No</t>
        </is>
      </c>
      <c r="N177" s="1" t="inlineStr">
        <is>
          <t>Algorithms</t>
        </is>
      </c>
      <c r="O1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7" s="11" t="inlineStr">
        <is>
          <t>To Do</t>
        </is>
      </c>
    </row>
    <row r="178" ht="15.75" customHeight="1" s="12">
      <c r="A178" s="1" t="n">
        <v>116</v>
      </c>
      <c r="B178" s="3">
        <f>HYPERLINK("https://leetcode.com/problems/populating-next-right-pointers-in-each-node/", "Populating Next Right Pointers in Each Node")</f>
        <v/>
      </c>
      <c r="C178" s="1" t="n">
        <v>10433</v>
      </c>
      <c r="D178" s="1" t="n">
        <v>329</v>
      </c>
      <c r="E178" s="4">
        <f>IF(INDEX(C:C, ROW())+INDEX(D:D, ROW())=0, 0, INDEX(C:C, ROW())/(INDEX(C:C, ROW())+INDEX(D:D, ROW())))</f>
        <v/>
      </c>
      <c r="F178" s="1" t="inlineStr">
        <is>
          <t>Linked List, Tree, Depth-First Search, Breadth-First Search, Binary Tree</t>
        </is>
      </c>
      <c r="G178" s="1" t="inlineStr">
        <is>
          <t>Medium</t>
        </is>
      </c>
      <c r="H178" s="1" t="n">
        <v>1338891</v>
      </c>
      <c r="I178" s="1" t="n">
        <v>1993998</v>
      </c>
      <c r="J178" s="9" t="n">
        <v>0.671</v>
      </c>
      <c r="K178" s="1" t="inlineStr">
        <is>
          <t>Yes</t>
        </is>
      </c>
      <c r="L178" s="1" t="inlineStr">
        <is>
          <t>Yes</t>
        </is>
      </c>
      <c r="M178" s="1" t="inlineStr">
        <is>
          <t>No</t>
        </is>
      </c>
      <c r="N178" s="1" t="inlineStr">
        <is>
          <t>Algorithms</t>
        </is>
      </c>
      <c r="O1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8" s="11" t="inlineStr">
        <is>
          <t>To Do</t>
        </is>
      </c>
    </row>
    <row r="179" ht="15.75" customHeight="1" s="12">
      <c r="A179" s="1" t="n">
        <v>448</v>
      </c>
      <c r="B179" s="3">
        <f>HYPERLINK("https://leetcode.com/problems/find-all-numbers-disappeared-in-an-array/", "Find All Numbers Disappeared in an Array")</f>
        <v/>
      </c>
      <c r="C179" s="1" t="n">
        <v>10431</v>
      </c>
      <c r="D179" s="1" t="n">
        <v>557</v>
      </c>
      <c r="E179" s="4">
        <f>IF(INDEX(C:C, ROW())+INDEX(D:D, ROW())=0, 0, INDEX(C:C, ROW())/(INDEX(C:C, ROW())+INDEX(D:D, ROW())))</f>
        <v/>
      </c>
      <c r="F179" s="1" t="inlineStr">
        <is>
          <t>Array, Hash Table</t>
        </is>
      </c>
      <c r="G179" s="1" t="inlineStr">
        <is>
          <t>Easy</t>
        </is>
      </c>
      <c r="H179" s="1" t="n">
        <v>1387253</v>
      </c>
      <c r="I179" s="1" t="n">
        <v>2164454</v>
      </c>
      <c r="J179" s="9" t="n">
        <v>0.641</v>
      </c>
      <c r="K179" s="1" t="inlineStr">
        <is>
          <t>Yes</t>
        </is>
      </c>
      <c r="L179" s="1" t="inlineStr">
        <is>
          <t>Yes</t>
        </is>
      </c>
      <c r="M179" s="1" t="inlineStr">
        <is>
          <t>No</t>
        </is>
      </c>
      <c r="N179" s="1" t="inlineStr">
        <is>
          <t>Algorithms</t>
        </is>
      </c>
      <c r="O1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9" s="13" t="inlineStr">
        <is>
          <t>Done</t>
        </is>
      </c>
    </row>
    <row r="180" ht="15.75" customHeight="1" s="12">
      <c r="A180" s="1" t="n">
        <v>516</v>
      </c>
      <c r="B180" s="3">
        <f>HYPERLINK("https://leetcode.com/problems/longest-palindromic-subsequence/", "Longest Palindromic Subsequence")</f>
        <v/>
      </c>
      <c r="C180" s="1" t="n">
        <v>10390</v>
      </c>
      <c r="D180" s="1" t="n">
        <v>345</v>
      </c>
      <c r="E180" s="4">
        <f>IF(INDEX(C:C, ROW())+INDEX(D:D, ROW())=0, 0, INDEX(C:C, ROW())/(INDEX(C:C, ROW())+INDEX(D:D, ROW())))</f>
        <v/>
      </c>
      <c r="F180" s="1" t="inlineStr">
        <is>
          <t>String, Dynamic Programming</t>
        </is>
      </c>
      <c r="G180" s="1" t="inlineStr">
        <is>
          <t>Medium</t>
        </is>
      </c>
      <c r="H180" s="1" t="n">
        <v>763691</v>
      </c>
      <c r="I180" s="1" t="n">
        <v>1168626</v>
      </c>
      <c r="J180" s="9" t="n">
        <v>0.653</v>
      </c>
      <c r="K180" s="1" t="inlineStr">
        <is>
          <t>Yes</t>
        </is>
      </c>
      <c r="L180" s="1" t="inlineStr">
        <is>
          <t>Yes</t>
        </is>
      </c>
      <c r="M180" s="1" t="inlineStr">
        <is>
          <t>No</t>
        </is>
      </c>
      <c r="N180" s="1" t="inlineStr">
        <is>
          <t>Algorithms</t>
        </is>
      </c>
      <c r="O1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0" s="11" t="inlineStr">
        <is>
          <t>To Do</t>
        </is>
      </c>
    </row>
    <row r="181" ht="15.75" customHeight="1" s="12">
      <c r="A181" s="1" t="n">
        <v>977</v>
      </c>
      <c r="B181" s="3">
        <f>HYPERLINK("https://leetcode.com/problems/squares-of-a-sorted-array/", "Squares of a Sorted Array")</f>
        <v/>
      </c>
      <c r="C181" s="1" t="n">
        <v>10280</v>
      </c>
      <c r="D181" s="1" t="n">
        <v>279</v>
      </c>
      <c r="E181" s="4">
        <f>IF(INDEX(C:C, ROW())+INDEX(D:D, ROW())=0, 0, INDEX(C:C, ROW())/(INDEX(C:C, ROW())+INDEX(D:D, ROW())))</f>
        <v/>
      </c>
      <c r="F181" s="1" t="inlineStr">
        <is>
          <t>Array, Two Pointers, Sorting</t>
        </is>
      </c>
      <c r="G181" s="1" t="inlineStr">
        <is>
          <t>Easy</t>
        </is>
      </c>
      <c r="H181" s="1" t="n">
        <v>2631587</v>
      </c>
      <c r="I181" s="1" t="n">
        <v>3569203</v>
      </c>
      <c r="J181" s="9" t="n">
        <v>0.737</v>
      </c>
      <c r="K181" s="1" t="inlineStr">
        <is>
          <t>Yes</t>
        </is>
      </c>
      <c r="L181" s="1" t="inlineStr">
        <is>
          <t>Yes</t>
        </is>
      </c>
      <c r="M181" s="1" t="inlineStr">
        <is>
          <t>Yes</t>
        </is>
      </c>
      <c r="N181" s="1" t="inlineStr">
        <is>
          <t>Algorithms</t>
        </is>
      </c>
      <c r="O1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1" s="13" t="inlineStr">
        <is>
          <t>Done</t>
        </is>
      </c>
    </row>
    <row r="182" ht="15.75" customHeight="1" s="12">
      <c r="A182" s="1" t="n">
        <v>518</v>
      </c>
      <c r="B182" s="3">
        <f>HYPERLINK("https://leetcode.com/problems/coin-change-ii/", "Coin Change II")</f>
        <v/>
      </c>
      <c r="C182" s="1" t="n">
        <v>10256</v>
      </c>
      <c r="D182" s="1" t="n">
        <v>249</v>
      </c>
      <c r="E182" s="4">
        <f>IF(INDEX(C:C, ROW())+INDEX(D:D, ROW())=0, 0, INDEX(C:C, ROW())/(INDEX(C:C, ROW())+INDEX(D:D, ROW())))</f>
        <v/>
      </c>
      <c r="F182" s="1" t="inlineStr">
        <is>
          <t>Array, Dynamic Programming</t>
        </is>
      </c>
      <c r="G182" s="1" t="inlineStr">
        <is>
          <t>Medium</t>
        </is>
      </c>
      <c r="H182" s="1" t="n">
        <v>1005764</v>
      </c>
      <c r="I182" s="1" t="n">
        <v>1673354</v>
      </c>
      <c r="J182" s="9" t="n">
        <v>0.601</v>
      </c>
      <c r="K182" s="1" t="inlineStr">
        <is>
          <t>Yes</t>
        </is>
      </c>
      <c r="L182" s="1" t="inlineStr">
        <is>
          <t>Yes</t>
        </is>
      </c>
      <c r="M182" s="1" t="inlineStr">
        <is>
          <t>No</t>
        </is>
      </c>
      <c r="N182" s="1" t="inlineStr">
        <is>
          <t>Algorithms</t>
        </is>
      </c>
      <c r="O1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2" s="11" t="inlineStr">
        <is>
          <t>To Do</t>
        </is>
      </c>
    </row>
    <row r="183" ht="15.75" customHeight="1" s="12">
      <c r="A183" s="1" t="n">
        <v>399</v>
      </c>
      <c r="B183" s="3">
        <f>HYPERLINK("https://leetcode.com/problems/evaluate-division/", "Evaluate Division")</f>
        <v/>
      </c>
      <c r="C183" s="1" t="n">
        <v>10222</v>
      </c>
      <c r="D183" s="1" t="n">
        <v>1102</v>
      </c>
      <c r="E183" s="4">
        <f>IF(INDEX(C:C, ROW())+INDEX(D:D, ROW())=0, 0, INDEX(C:C, ROW())/(INDEX(C:C, ROW())+INDEX(D:D, ROW())))</f>
        <v/>
      </c>
      <c r="F183" s="1" t="inlineStr">
        <is>
          <t>Array, String, Depth-First Search, Breadth-First Search, Union-Find, Graph Theory, Shortest Path</t>
        </is>
      </c>
      <c r="G183" s="1" t="inlineStr">
        <is>
          <t>Medium</t>
        </is>
      </c>
      <c r="H183" s="1" t="n">
        <v>711557</v>
      </c>
      <c r="I183" s="1" t="n">
        <v>1108870</v>
      </c>
      <c r="J183" s="9" t="n">
        <v>0.642</v>
      </c>
      <c r="K183" s="1" t="inlineStr">
        <is>
          <t>Yes</t>
        </is>
      </c>
      <c r="L183" s="1" t="inlineStr">
        <is>
          <t>Yes</t>
        </is>
      </c>
      <c r="M183" s="1" t="inlineStr">
        <is>
          <t>No</t>
        </is>
      </c>
      <c r="N183" s="1" t="inlineStr">
        <is>
          <t>Algorithms</t>
        </is>
      </c>
      <c r="O1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3" s="11" t="inlineStr">
        <is>
          <t>To Do</t>
        </is>
      </c>
    </row>
    <row r="184" ht="15.75" customHeight="1" s="12">
      <c r="A184" s="1" t="n">
        <v>212</v>
      </c>
      <c r="B184" s="3">
        <f>HYPERLINK("https://leetcode.com/problems/word-search-ii/", "Word Search II")</f>
        <v/>
      </c>
      <c r="C184" s="1" t="n">
        <v>10184</v>
      </c>
      <c r="D184" s="1" t="n">
        <v>510</v>
      </c>
      <c r="E184" s="4">
        <f>IF(INDEX(C:C, ROW())+INDEX(D:D, ROW())=0, 0, INDEX(C:C, ROW())/(INDEX(C:C, ROW())+INDEX(D:D, ROW())))</f>
        <v/>
      </c>
      <c r="F184" s="1" t="inlineStr">
        <is>
          <t>Array, String, Backtracking, Trie, Matrix</t>
        </is>
      </c>
      <c r="G184" s="1" t="inlineStr">
        <is>
          <t>Hard</t>
        </is>
      </c>
      <c r="H184" s="1" t="n">
        <v>908252</v>
      </c>
      <c r="I184" s="1" t="n">
        <v>2364756</v>
      </c>
      <c r="J184" s="9" t="n">
        <v>0.384</v>
      </c>
      <c r="K184" s="1" t="inlineStr">
        <is>
          <t>Yes</t>
        </is>
      </c>
      <c r="L184" s="1" t="inlineStr">
        <is>
          <t>Yes</t>
        </is>
      </c>
      <c r="M184" s="1" t="inlineStr">
        <is>
          <t>Yes</t>
        </is>
      </c>
      <c r="N184" s="1" t="inlineStr">
        <is>
          <t>Algorithms</t>
        </is>
      </c>
      <c r="O1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4" s="11" t="inlineStr">
        <is>
          <t>To Do</t>
        </is>
      </c>
    </row>
    <row r="185" ht="15.75" customHeight="1" s="12">
      <c r="A185" s="1" t="n">
        <v>309</v>
      </c>
      <c r="B185" s="3">
        <f>HYPERLINK("https://leetcode.com/problems/best-time-to-buy-and-sell-stock-with-cooldown/", "Best Time to Buy and Sell Stock with Cooldown")</f>
        <v/>
      </c>
      <c r="C185" s="1" t="n">
        <v>10070</v>
      </c>
      <c r="D185" s="1" t="n">
        <v>350</v>
      </c>
      <c r="E185" s="4">
        <f>IF(INDEX(C:C, ROW())+INDEX(D:D, ROW())=0, 0, INDEX(C:C, ROW())/(INDEX(C:C, ROW())+INDEX(D:D, ROW())))</f>
        <v/>
      </c>
      <c r="F185" s="1" t="inlineStr">
        <is>
          <t>Array, Dynamic Programming</t>
        </is>
      </c>
      <c r="G185" s="1" t="inlineStr">
        <is>
          <t>Medium</t>
        </is>
      </c>
      <c r="H185" s="1" t="n">
        <v>767988</v>
      </c>
      <c r="I185" s="1" t="n">
        <v>1238542</v>
      </c>
      <c r="J185" s="9" t="n">
        <v>0.62</v>
      </c>
      <c r="K185" s="1" t="inlineStr">
        <is>
          <t>Yes</t>
        </is>
      </c>
      <c r="L185" s="1" t="inlineStr">
        <is>
          <t>Yes</t>
        </is>
      </c>
      <c r="M185" s="1" t="inlineStr">
        <is>
          <t>No</t>
        </is>
      </c>
      <c r="N185" s="1" t="inlineStr">
        <is>
          <t>Algorithms</t>
        </is>
      </c>
      <c r="O1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5" s="11" t="inlineStr">
        <is>
          <t>To Do</t>
        </is>
      </c>
    </row>
    <row r="186" ht="15.75" customHeight="1" s="12">
      <c r="A186" s="1" t="n">
        <v>380</v>
      </c>
      <c r="B186" s="3">
        <f>HYPERLINK("https://leetcode.com/problems/insert-delete-getrandom-o1/", "Insert Delete GetRandom O(1)")</f>
        <v/>
      </c>
      <c r="C186" s="1" t="n">
        <v>9982</v>
      </c>
      <c r="D186" s="1" t="n">
        <v>697</v>
      </c>
      <c r="E186" s="4">
        <f>IF(INDEX(C:C, ROW())+INDEX(D:D, ROW())=0, 0, INDEX(C:C, ROW())/(INDEX(C:C, ROW())+INDEX(D:D, ROW())))</f>
        <v/>
      </c>
      <c r="F186" s="1" t="inlineStr">
        <is>
          <t>Array, Hash Table, Math, Design, Randomized</t>
        </is>
      </c>
      <c r="G186" s="1" t="inlineStr">
        <is>
          <t>Medium</t>
        </is>
      </c>
      <c r="H186" s="1" t="n">
        <v>1366979</v>
      </c>
      <c r="I186" s="1" t="n">
        <v>2469623</v>
      </c>
      <c r="J186" s="9" t="n">
        <v>0.554</v>
      </c>
      <c r="K186" s="1" t="inlineStr">
        <is>
          <t>Yes</t>
        </is>
      </c>
      <c r="L186" s="1" t="inlineStr">
        <is>
          <t>Yes</t>
        </is>
      </c>
      <c r="M186" s="1" t="inlineStr">
        <is>
          <t>No</t>
        </is>
      </c>
      <c r="N186" s="1" t="inlineStr">
        <is>
          <t>Algorithms</t>
        </is>
      </c>
      <c r="O1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6" s="11" t="inlineStr">
        <is>
          <t>To Do</t>
        </is>
      </c>
    </row>
    <row r="187" ht="15.75" customHeight="1" s="12">
      <c r="A187" s="1" t="n">
        <v>496</v>
      </c>
      <c r="B187" s="3">
        <f>HYPERLINK("https://leetcode.com/problems/next-greater-element-i/", "Next Greater Element I")</f>
        <v/>
      </c>
      <c r="C187" s="1" t="n">
        <v>9931</v>
      </c>
      <c r="D187" s="1" t="n">
        <v>1116</v>
      </c>
      <c r="E187" s="4">
        <f>IF(INDEX(C:C, ROW())+INDEX(D:D, ROW())=0, 0, INDEX(C:C, ROW())/(INDEX(C:C, ROW())+INDEX(D:D, ROW())))</f>
        <v/>
      </c>
      <c r="F187" s="1" t="inlineStr">
        <is>
          <t>Array, Hash Table, Stack, Monotonic Stack</t>
        </is>
      </c>
      <c r="G187" s="1" t="inlineStr">
        <is>
          <t>Easy</t>
        </is>
      </c>
      <c r="H187" s="1" t="n">
        <v>1424863</v>
      </c>
      <c r="I187" s="1" t="n">
        <v>1872659</v>
      </c>
      <c r="J187" s="9" t="n">
        <v>0.761</v>
      </c>
      <c r="K187" s="1" t="inlineStr">
        <is>
          <t>Yes</t>
        </is>
      </c>
      <c r="L187" s="1" t="inlineStr">
        <is>
          <t>Yes</t>
        </is>
      </c>
      <c r="M187" s="1" t="inlineStr">
        <is>
          <t>No</t>
        </is>
      </c>
      <c r="N187" s="1" t="inlineStr">
        <is>
          <t>Algorithms</t>
        </is>
      </c>
      <c r="O1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7" s="13" t="inlineStr">
        <is>
          <t>Done</t>
        </is>
      </c>
    </row>
    <row r="188" ht="15.75" customHeight="1" s="12">
      <c r="A188" s="1" t="n">
        <v>130</v>
      </c>
      <c r="B188" s="3">
        <f>HYPERLINK("https://leetcode.com/problems/surrounded-regions/", "Surrounded Regions")</f>
        <v/>
      </c>
      <c r="C188" s="1" t="n">
        <v>9908</v>
      </c>
      <c r="D188" s="1" t="n">
        <v>2239</v>
      </c>
      <c r="E188" s="4">
        <f>IF(INDEX(C:C, ROW())+INDEX(D:D, ROW())=0, 0, INDEX(C:C, ROW())/(INDEX(C:C, ROW())+INDEX(D:D, ROW())))</f>
        <v/>
      </c>
      <c r="F188" s="1" t="inlineStr">
        <is>
          <t>Array, Depth-First Search, Breadth-First Search, Union-Find, Matrix</t>
        </is>
      </c>
      <c r="G188" s="1" t="inlineStr">
        <is>
          <t>Medium</t>
        </is>
      </c>
      <c r="H188" s="1" t="n">
        <v>1192771</v>
      </c>
      <c r="I188" s="1" t="n">
        <v>2637513</v>
      </c>
      <c r="J188" s="9" t="n">
        <v>0.452</v>
      </c>
      <c r="K188" s="1" t="inlineStr">
        <is>
          <t>Yes</t>
        </is>
      </c>
      <c r="L188" s="1" t="inlineStr">
        <is>
          <t>Yes</t>
        </is>
      </c>
      <c r="M188" s="1" t="inlineStr">
        <is>
          <t>No</t>
        </is>
      </c>
      <c r="N188" s="1" t="inlineStr">
        <is>
          <t>Algorithms</t>
        </is>
      </c>
      <c r="O1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8" s="11" t="inlineStr">
        <is>
          <t>To Do</t>
        </is>
      </c>
    </row>
    <row r="189" ht="15.75" customHeight="1" s="12">
      <c r="A189" s="1" t="n">
        <v>83</v>
      </c>
      <c r="B189" s="3">
        <f>HYPERLINK("https://leetcode.com/problems/remove-duplicates-from-sorted-list/", "Remove Duplicates from Sorted List")</f>
        <v/>
      </c>
      <c r="C189" s="1" t="n">
        <v>9905</v>
      </c>
      <c r="D189" s="1" t="n">
        <v>378</v>
      </c>
      <c r="E189" s="4">
        <f>IF(INDEX(C:C, ROW())+INDEX(D:D, ROW())=0, 0, INDEX(C:C, ROW())/(INDEX(C:C, ROW())+INDEX(D:D, ROW())))</f>
        <v/>
      </c>
      <c r="F189" s="1" t="inlineStr">
        <is>
          <t>Linked List</t>
        </is>
      </c>
      <c r="G189" s="1" t="inlineStr">
        <is>
          <t>Easy</t>
        </is>
      </c>
      <c r="H189" s="1" t="n">
        <v>2377493</v>
      </c>
      <c r="I189" s="1" t="n">
        <v>4194643</v>
      </c>
      <c r="J189" s="9" t="n">
        <v>0.5669999999999999</v>
      </c>
      <c r="K189" s="1" t="inlineStr">
        <is>
          <t>Yes</t>
        </is>
      </c>
      <c r="L189" s="1" t="inlineStr">
        <is>
          <t>Yes</t>
        </is>
      </c>
      <c r="M189" s="1" t="inlineStr">
        <is>
          <t>Yes</t>
        </is>
      </c>
      <c r="N189" s="1" t="inlineStr">
        <is>
          <t>Algorithms</t>
        </is>
      </c>
      <c r="O1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9" s="13" t="inlineStr">
        <is>
          <t>Done</t>
        </is>
      </c>
    </row>
    <row r="190" ht="15.75" customHeight="1" s="12">
      <c r="A190" s="1" t="n">
        <v>387</v>
      </c>
      <c r="B190" s="3">
        <f>HYPERLINK("https://leetcode.com/problems/first-unique-character-in-a-string/", "First Unique Character in a String")</f>
        <v/>
      </c>
      <c r="C190" s="1" t="n">
        <v>9838</v>
      </c>
      <c r="D190" s="1" t="n">
        <v>336</v>
      </c>
      <c r="E190" s="4">
        <f>IF(INDEX(C:C, ROW())+INDEX(D:D, ROW())=0, 0, INDEX(C:C, ROW())/(INDEX(C:C, ROW())+INDEX(D:D, ROW())))</f>
        <v/>
      </c>
      <c r="F190" s="1" t="inlineStr">
        <is>
          <t>Hash Table, String, Queue, Counting</t>
        </is>
      </c>
      <c r="G190" s="1" t="inlineStr">
        <is>
          <t>Easy</t>
        </is>
      </c>
      <c r="H190" s="1" t="n">
        <v>2387072</v>
      </c>
      <c r="I190" s="1" t="n">
        <v>3648797</v>
      </c>
      <c r="J190" s="9" t="n">
        <v>0.654</v>
      </c>
      <c r="K190" s="1" t="inlineStr">
        <is>
          <t>Yes</t>
        </is>
      </c>
      <c r="L190" s="1" t="inlineStr">
        <is>
          <t>Yes</t>
        </is>
      </c>
      <c r="M190" s="1" t="inlineStr">
        <is>
          <t>Yes</t>
        </is>
      </c>
      <c r="N190" s="1" t="inlineStr">
        <is>
          <t>Algorithms</t>
        </is>
      </c>
      <c r="O1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0" s="13" t="inlineStr">
        <is>
          <t>Done</t>
        </is>
      </c>
    </row>
    <row r="191" ht="15.75" customHeight="1" s="12">
      <c r="A191" s="1" t="n">
        <v>312</v>
      </c>
      <c r="B191" s="3">
        <f>HYPERLINK("https://leetcode.com/problems/burst-balloons/", "Burst Balloons")</f>
        <v/>
      </c>
      <c r="C191" s="1" t="n">
        <v>9797</v>
      </c>
      <c r="D191" s="1" t="n">
        <v>292</v>
      </c>
      <c r="E191" s="4">
        <f>IF(INDEX(C:C, ROW())+INDEX(D:D, ROW())=0, 0, INDEX(C:C, ROW())/(INDEX(C:C, ROW())+INDEX(D:D, ROW())))</f>
        <v/>
      </c>
      <c r="F191" s="1" t="inlineStr">
        <is>
          <t>Array, Dynamic Programming</t>
        </is>
      </c>
      <c r="G191" s="1" t="inlineStr">
        <is>
          <t>Hard</t>
        </is>
      </c>
      <c r="H191" s="1" t="n">
        <v>444755</v>
      </c>
      <c r="I191" s="1" t="n">
        <v>701585</v>
      </c>
      <c r="J191" s="9" t="n">
        <v>0.634</v>
      </c>
      <c r="K191" s="1" t="inlineStr">
        <is>
          <t>Yes</t>
        </is>
      </c>
      <c r="L191" s="1" t="inlineStr">
        <is>
          <t>Yes</t>
        </is>
      </c>
      <c r="M191" s="1" t="inlineStr">
        <is>
          <t>No</t>
        </is>
      </c>
      <c r="N191" s="1" t="inlineStr">
        <is>
          <t>Algorithms</t>
        </is>
      </c>
      <c r="O1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1" s="11" t="inlineStr">
        <is>
          <t>To Do</t>
        </is>
      </c>
    </row>
    <row r="192" ht="15.75" customHeight="1" s="12">
      <c r="A192" s="1" t="n">
        <v>662</v>
      </c>
      <c r="B192" s="3">
        <f>HYPERLINK("https://leetcode.com/problems/maximum-width-of-binary-tree/", "Maximum Width of Binary Tree")</f>
        <v/>
      </c>
      <c r="C192" s="1" t="n">
        <v>9776</v>
      </c>
      <c r="D192" s="1" t="n">
        <v>1329</v>
      </c>
      <c r="E192" s="4">
        <f>IF(INDEX(C:C, ROW())+INDEX(D:D, ROW())=0, 0, INDEX(C:C, ROW())/(INDEX(C:C, ROW())+INDEX(D:D, ROW())))</f>
        <v/>
      </c>
      <c r="F192" s="1" t="inlineStr">
        <is>
          <t>Tree, Depth-First Search, Breadth-First Search, Binary Tree</t>
        </is>
      </c>
      <c r="G192" s="1" t="inlineStr">
        <is>
          <t>Medium</t>
        </is>
      </c>
      <c r="H192" s="1" t="n">
        <v>595674</v>
      </c>
      <c r="I192" s="1" t="n">
        <v>1307508</v>
      </c>
      <c r="J192" s="9" t="n">
        <v>0.456</v>
      </c>
      <c r="K192" s="1" t="inlineStr">
        <is>
          <t>Yes</t>
        </is>
      </c>
      <c r="L192" s="1" t="inlineStr">
        <is>
          <t>Yes</t>
        </is>
      </c>
      <c r="M192" s="1" t="inlineStr">
        <is>
          <t>No</t>
        </is>
      </c>
      <c r="N192" s="1" t="inlineStr">
        <is>
          <t>Algorithms</t>
        </is>
      </c>
      <c r="O1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2" s="11" t="inlineStr">
        <is>
          <t>To Do</t>
        </is>
      </c>
    </row>
    <row r="193" ht="15.75" customHeight="1" s="12">
      <c r="A193" s="1" t="n">
        <v>69</v>
      </c>
      <c r="B193" s="3">
        <f>HYPERLINK("https://leetcode.com/problems/sqrtx/", "Sqrt(x)")</f>
        <v/>
      </c>
      <c r="C193" s="1" t="n">
        <v>9730</v>
      </c>
      <c r="D193" s="1" t="n">
        <v>4642</v>
      </c>
      <c r="E193" s="4">
        <f>IF(INDEX(C:C, ROW())+INDEX(D:D, ROW())=0, 0, INDEX(C:C, ROW())/(INDEX(C:C, ROW())+INDEX(D:D, ROW())))</f>
        <v/>
      </c>
      <c r="F193" s="1" t="inlineStr">
        <is>
          <t>Math, Binary Search</t>
        </is>
      </c>
      <c r="G193" s="1" t="inlineStr">
        <is>
          <t>Easy</t>
        </is>
      </c>
      <c r="H193" s="1" t="n">
        <v>3186875</v>
      </c>
      <c r="I193" s="1" t="n">
        <v>7631379</v>
      </c>
      <c r="J193" s="9" t="n">
        <v>0.418</v>
      </c>
      <c r="K193" s="1" t="inlineStr">
        <is>
          <t>Yes</t>
        </is>
      </c>
      <c r="L193" s="1" t="inlineStr">
        <is>
          <t>Yes</t>
        </is>
      </c>
      <c r="M193" s="1" t="inlineStr">
        <is>
          <t>Yes</t>
        </is>
      </c>
      <c r="N193" s="1" t="inlineStr">
        <is>
          <t>Algorithms</t>
        </is>
      </c>
      <c r="O1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3" s="13" t="inlineStr">
        <is>
          <t>Done</t>
        </is>
      </c>
    </row>
    <row r="194" ht="15.75" customHeight="1" s="12">
      <c r="A194" s="1" t="n">
        <v>63</v>
      </c>
      <c r="B194" s="3">
        <f>HYPERLINK("https://leetcode.com/problems/unique-paths-ii/", "Unique Paths II")</f>
        <v/>
      </c>
      <c r="C194" s="1" t="n">
        <v>9721</v>
      </c>
      <c r="D194" s="1" t="n">
        <v>562</v>
      </c>
      <c r="E194" s="4">
        <f>IF(INDEX(C:C, ROW())+INDEX(D:D, ROW())=0, 0, INDEX(C:C, ROW())/(INDEX(C:C, ROW())+INDEX(D:D, ROW())))</f>
        <v/>
      </c>
      <c r="F194" s="1" t="inlineStr">
        <is>
          <t>Array, Dynamic Programming, Matrix</t>
        </is>
      </c>
      <c r="G194" s="1" t="inlineStr">
        <is>
          <t>Medium</t>
        </is>
      </c>
      <c r="H194" s="1" t="n">
        <v>1484858</v>
      </c>
      <c r="I194" s="1" t="n">
        <v>3341098</v>
      </c>
      <c r="J194" s="9" t="n">
        <v>0.444</v>
      </c>
      <c r="K194" s="1" t="inlineStr">
        <is>
          <t>Yes</t>
        </is>
      </c>
      <c r="L194" s="1" t="inlineStr">
        <is>
          <t>Yes</t>
        </is>
      </c>
      <c r="M194" s="1" t="inlineStr">
        <is>
          <t>No</t>
        </is>
      </c>
      <c r="N194" s="1" t="inlineStr">
        <is>
          <t>Algorithms</t>
        </is>
      </c>
      <c r="O1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4" s="11" t="inlineStr">
        <is>
          <t>To Do</t>
        </is>
      </c>
    </row>
    <row r="195" ht="15.75" customHeight="1" s="12">
      <c r="A195" s="1" t="n">
        <v>82</v>
      </c>
      <c r="B195" s="3">
        <f>HYPERLINK("https://leetcode.com/problems/remove-duplicates-from-sorted-list-ii/", "Remove Duplicates from Sorted List II")</f>
        <v/>
      </c>
      <c r="C195" s="1" t="n">
        <v>9705</v>
      </c>
      <c r="D195" s="1" t="n">
        <v>283</v>
      </c>
      <c r="E195" s="4">
        <f>IF(INDEX(C:C, ROW())+INDEX(D:D, ROW())=0, 0, INDEX(C:C, ROW())/(INDEX(C:C, ROW())+INDEX(D:D, ROW())))</f>
        <v/>
      </c>
      <c r="F195" s="1" t="inlineStr">
        <is>
          <t>Linked List, Two Pointers</t>
        </is>
      </c>
      <c r="G195" s="1" t="inlineStr">
        <is>
          <t>Medium</t>
        </is>
      </c>
      <c r="H195" s="1" t="n">
        <v>1101600</v>
      </c>
      <c r="I195" s="1" t="n">
        <v>2129436</v>
      </c>
      <c r="J195" s="9" t="n">
        <v>0.517</v>
      </c>
      <c r="K195" s="1" t="inlineStr">
        <is>
          <t>Yes</t>
        </is>
      </c>
      <c r="L195" s="1" t="inlineStr">
        <is>
          <t>Yes</t>
        </is>
      </c>
      <c r="M195" s="1" t="inlineStr">
        <is>
          <t>No</t>
        </is>
      </c>
      <c r="N195" s="1" t="inlineStr">
        <is>
          <t>Algorithms</t>
        </is>
      </c>
      <c r="O1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5" s="11" t="inlineStr">
        <is>
          <t>To Do</t>
        </is>
      </c>
    </row>
    <row r="196" ht="15.75" customHeight="1" s="12">
      <c r="A196" s="1" t="n">
        <v>81</v>
      </c>
      <c r="B196" s="3">
        <f>HYPERLINK("https://leetcode.com/problems/search-in-rotated-sorted-array-ii/", "Search in Rotated Sorted Array II")</f>
        <v/>
      </c>
      <c r="C196" s="1" t="n">
        <v>9662</v>
      </c>
      <c r="D196" s="1" t="n">
        <v>1125</v>
      </c>
      <c r="E196" s="4">
        <f>IF(INDEX(C:C, ROW())+INDEX(D:D, ROW())=0, 0, INDEX(C:C, ROW())/(INDEX(C:C, ROW())+INDEX(D:D, ROW())))</f>
        <v/>
      </c>
      <c r="F196" s="1" t="inlineStr">
        <is>
          <t>Array, Binary Search</t>
        </is>
      </c>
      <c r="G196" s="1" t="inlineStr">
        <is>
          <t>Medium</t>
        </is>
      </c>
      <c r="H196" s="1" t="n">
        <v>1238877</v>
      </c>
      <c r="I196" s="1" t="n">
        <v>3096593</v>
      </c>
      <c r="J196" s="9" t="n">
        <v>0.4</v>
      </c>
      <c r="K196" s="1" t="inlineStr">
        <is>
          <t>Yes</t>
        </is>
      </c>
      <c r="L196" s="1" t="inlineStr">
        <is>
          <t>Yes</t>
        </is>
      </c>
      <c r="M196" s="1" t="inlineStr">
        <is>
          <t>No</t>
        </is>
      </c>
      <c r="N196" s="1" t="inlineStr">
        <is>
          <t>Algorithms</t>
        </is>
      </c>
      <c r="O1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6" s="11" t="inlineStr">
        <is>
          <t>To Do</t>
        </is>
      </c>
    </row>
    <row r="197" ht="15.75" customHeight="1" s="12">
      <c r="A197" s="1" t="n">
        <v>344</v>
      </c>
      <c r="B197" s="3">
        <f>HYPERLINK("https://leetcode.com/problems/reverse-string/", "Reverse String")</f>
        <v/>
      </c>
      <c r="C197" s="1" t="n">
        <v>9609</v>
      </c>
      <c r="D197" s="1" t="n">
        <v>1216</v>
      </c>
      <c r="E197" s="4">
        <f>IF(INDEX(C:C, ROW())+INDEX(D:D, ROW())=0, 0, INDEX(C:C, ROW())/(INDEX(C:C, ROW())+INDEX(D:D, ROW())))</f>
        <v/>
      </c>
      <c r="F197" s="1" t="inlineStr">
        <is>
          <t>Two Pointers, String</t>
        </is>
      </c>
      <c r="G197" s="1" t="inlineStr">
        <is>
          <t>Easy</t>
        </is>
      </c>
      <c r="H197" s="1" t="n">
        <v>3824805</v>
      </c>
      <c r="I197" s="1" t="n">
        <v>4736189</v>
      </c>
      <c r="J197" s="9" t="n">
        <v>0.8080000000000001</v>
      </c>
      <c r="K197" s="1" t="inlineStr">
        <is>
          <t>Yes</t>
        </is>
      </c>
      <c r="L197" s="1" t="inlineStr">
        <is>
          <t>Yes</t>
        </is>
      </c>
      <c r="M197" s="1" t="inlineStr">
        <is>
          <t>Yes</t>
        </is>
      </c>
      <c r="N197" s="1" t="inlineStr">
        <is>
          <t>Algorithms</t>
        </is>
      </c>
      <c r="O1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7" s="13" t="inlineStr">
        <is>
          <t>Done</t>
        </is>
      </c>
    </row>
    <row r="198" ht="15.75" customHeight="1" s="12">
      <c r="A198" s="1" t="n">
        <v>329</v>
      </c>
      <c r="B198" s="3">
        <f>HYPERLINK("https://leetcode.com/problems/longest-increasing-path-in-a-matrix/", "Longest Increasing Path in a Matrix")</f>
        <v/>
      </c>
      <c r="C198" s="1" t="n">
        <v>9544</v>
      </c>
      <c r="D198" s="1" t="n">
        <v>147</v>
      </c>
      <c r="E198" s="4">
        <f>IF(INDEX(C:C, ROW())+INDEX(D:D, ROW())=0, 0, INDEX(C:C, ROW())/(INDEX(C:C, ROW())+INDEX(D:D, ROW())))</f>
        <v/>
      </c>
      <c r="F198" s="1" t="inlineStr">
        <is>
          <t>Array, Dynamic Programming, Depth-First Search, Breadth-First Search, Graph Theory, Topological Sort, Memoization, Matrix</t>
        </is>
      </c>
      <c r="G198" s="1" t="inlineStr">
        <is>
          <t>Hard</t>
        </is>
      </c>
      <c r="H198" s="1" t="n">
        <v>717689</v>
      </c>
      <c r="I198" s="1" t="n">
        <v>1268367</v>
      </c>
      <c r="J198" s="9" t="n">
        <v>0.5659999999999999</v>
      </c>
      <c r="K198" s="1" t="inlineStr">
        <is>
          <t>Yes</t>
        </is>
      </c>
      <c r="L198" s="1" t="inlineStr">
        <is>
          <t>Yes</t>
        </is>
      </c>
      <c r="M198" s="1" t="inlineStr">
        <is>
          <t>No</t>
        </is>
      </c>
      <c r="N198" s="1" t="inlineStr">
        <is>
          <t>Algorithms</t>
        </is>
      </c>
      <c r="O1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8" s="11" t="inlineStr">
        <is>
          <t>To Do</t>
        </is>
      </c>
    </row>
    <row r="199" ht="15.75" customHeight="1" s="12">
      <c r="A199" s="1" t="n">
        <v>222</v>
      </c>
      <c r="B199" s="3">
        <f>HYPERLINK("https://leetcode.com/problems/count-complete-tree-nodes/", "Count Complete Tree Nodes")</f>
        <v/>
      </c>
      <c r="C199" s="1" t="n">
        <v>9517</v>
      </c>
      <c r="D199" s="1" t="n">
        <v>622</v>
      </c>
      <c r="E199" s="4">
        <f>IF(INDEX(C:C, ROW())+INDEX(D:D, ROW())=0, 0, INDEX(C:C, ROW())/(INDEX(C:C, ROW())+INDEX(D:D, ROW())))</f>
        <v/>
      </c>
      <c r="F199" s="1" t="inlineStr">
        <is>
          <t>Binary Search, Bit Manipulation, Tree, Binary Tree</t>
        </is>
      </c>
      <c r="G199" s="1" t="inlineStr">
        <is>
          <t>Easy</t>
        </is>
      </c>
      <c r="H199" s="1" t="n">
        <v>1173307</v>
      </c>
      <c r="I199" s="1" t="n">
        <v>1617693</v>
      </c>
      <c r="J199" s="9" t="n">
        <v>0.725</v>
      </c>
      <c r="K199" s="1" t="inlineStr">
        <is>
          <t>Yes</t>
        </is>
      </c>
      <c r="L199" s="1" t="inlineStr">
        <is>
          <t>Yes</t>
        </is>
      </c>
      <c r="M199" s="1" t="inlineStr">
        <is>
          <t>No</t>
        </is>
      </c>
      <c r="N199" s="1" t="inlineStr">
        <is>
          <t>Algorithms</t>
        </is>
      </c>
      <c r="O1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9" s="13" t="inlineStr">
        <is>
          <t>Done</t>
        </is>
      </c>
    </row>
    <row r="200" ht="15.75" customHeight="1" s="12">
      <c r="A200" s="1" t="n">
        <v>733</v>
      </c>
      <c r="B200" s="3">
        <f>HYPERLINK("https://leetcode.com/problems/flood-fill/", "Flood Fill")</f>
        <v/>
      </c>
      <c r="C200" s="1" t="n">
        <v>9508</v>
      </c>
      <c r="D200" s="1" t="n">
        <v>958</v>
      </c>
      <c r="E200" s="4">
        <f>IF(INDEX(C:C, ROW())+INDEX(D:D, ROW())=0, 0, INDEX(C:C, ROW())/(INDEX(C:C, ROW())+INDEX(D:D, ROW())))</f>
        <v/>
      </c>
      <c r="F200" s="1" t="inlineStr">
        <is>
          <t>Array, Depth-First Search, Breadth-First Search, Matrix</t>
        </is>
      </c>
      <c r="G200" s="1" t="inlineStr">
        <is>
          <t>Easy</t>
        </is>
      </c>
      <c r="H200" s="1" t="n">
        <v>1405096</v>
      </c>
      <c r="I200" s="1" t="n">
        <v>2060387</v>
      </c>
      <c r="J200" s="9" t="n">
        <v>0.6820000000000001</v>
      </c>
      <c r="K200" s="1" t="inlineStr">
        <is>
          <t>Yes</t>
        </is>
      </c>
      <c r="L200" s="1" t="inlineStr">
        <is>
          <t>Yes</t>
        </is>
      </c>
      <c r="M200" s="1" t="inlineStr">
        <is>
          <t>No</t>
        </is>
      </c>
      <c r="N200" s="1" t="inlineStr">
        <is>
          <t>Algorithms</t>
        </is>
      </c>
      <c r="O2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0" s="13" t="inlineStr">
        <is>
          <t>Done</t>
        </is>
      </c>
    </row>
    <row r="201" ht="15.75" customHeight="1" s="12">
      <c r="A201" s="1" t="n">
        <v>179</v>
      </c>
      <c r="B201" s="3">
        <f>HYPERLINK("https://leetcode.com/problems/largest-number/", "Largest Number")</f>
        <v/>
      </c>
      <c r="C201" s="1" t="n">
        <v>9480</v>
      </c>
      <c r="D201" s="1" t="n">
        <v>806</v>
      </c>
      <c r="E201" s="4">
        <f>IF(INDEX(C:C, ROW())+INDEX(D:D, ROW())=0, 0, INDEX(C:C, ROW())/(INDEX(C:C, ROW())+INDEX(D:D, ROW())))</f>
        <v/>
      </c>
      <c r="F201" s="1" t="inlineStr">
        <is>
          <t>Array, String, Greedy, Sorting</t>
        </is>
      </c>
      <c r="G201" s="1" t="inlineStr">
        <is>
          <t>Medium</t>
        </is>
      </c>
      <c r="H201" s="1" t="n">
        <v>828262</v>
      </c>
      <c r="I201" s="1" t="n">
        <v>1926461</v>
      </c>
      <c r="J201" s="9" t="n">
        <v>0.43</v>
      </c>
      <c r="K201" s="1" t="inlineStr">
        <is>
          <t>Yes</t>
        </is>
      </c>
      <c r="L201" s="1" t="inlineStr">
        <is>
          <t>Yes</t>
        </is>
      </c>
      <c r="M201" s="1" t="inlineStr">
        <is>
          <t>No</t>
        </is>
      </c>
      <c r="N201" s="1" t="inlineStr">
        <is>
          <t>Algorithms</t>
        </is>
      </c>
      <c r="O2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1" s="11" t="inlineStr">
        <is>
          <t>To Do</t>
        </is>
      </c>
    </row>
    <row r="202" ht="15.75" customHeight="1" s="12">
      <c r="A202" s="1" t="n">
        <v>735</v>
      </c>
      <c r="B202" s="3">
        <f>HYPERLINK("https://leetcode.com/problems/asteroid-collision/", "Asteroid Collision")</f>
        <v/>
      </c>
      <c r="C202" s="1" t="n">
        <v>9415</v>
      </c>
      <c r="D202" s="1" t="n">
        <v>1305</v>
      </c>
      <c r="E202" s="4">
        <f>IF(INDEX(C:C, ROW())+INDEX(D:D, ROW())=0, 0, INDEX(C:C, ROW())/(INDEX(C:C, ROW())+INDEX(D:D, ROW())))</f>
        <v/>
      </c>
      <c r="F202" s="1" t="inlineStr">
        <is>
          <t>Array, Stack, Simulation</t>
        </is>
      </c>
      <c r="G202" s="1" t="inlineStr">
        <is>
          <t>Medium</t>
        </is>
      </c>
      <c r="H202" s="1" t="n">
        <v>1022910</v>
      </c>
      <c r="I202" s="1" t="n">
        <v>2140863</v>
      </c>
      <c r="J202" s="9" t="n">
        <v>0.478</v>
      </c>
      <c r="K202" s="1" t="inlineStr">
        <is>
          <t>Yes</t>
        </is>
      </c>
      <c r="L202" s="1" t="inlineStr">
        <is>
          <t>Yes</t>
        </is>
      </c>
      <c r="M202" s="1" t="inlineStr">
        <is>
          <t>No</t>
        </is>
      </c>
      <c r="N202" s="1" t="inlineStr">
        <is>
          <t>Algorithms</t>
        </is>
      </c>
      <c r="O2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2" s="11" t="inlineStr">
        <is>
          <t>To Do</t>
        </is>
      </c>
    </row>
    <row r="203" ht="15.75" customHeight="1" s="12">
      <c r="A203" s="1" t="n">
        <v>6</v>
      </c>
      <c r="B203" s="3">
        <f>HYPERLINK("https://leetcode.com/problems/zigzag-conversion/", "Zigzag Conversion")</f>
        <v/>
      </c>
      <c r="C203" s="1" t="n">
        <v>9394</v>
      </c>
      <c r="D203" s="1" t="n">
        <v>15944</v>
      </c>
      <c r="E203" s="4">
        <f>IF(INDEX(C:C, ROW())+INDEX(D:D, ROW())=0, 0, INDEX(C:C, ROW())/(INDEX(C:C, ROW())+INDEX(D:D, ROW())))</f>
        <v/>
      </c>
      <c r="F203" s="1" t="inlineStr">
        <is>
          <t>String</t>
        </is>
      </c>
      <c r="G203" s="1" t="inlineStr">
        <is>
          <t>Medium</t>
        </is>
      </c>
      <c r="H203" s="1" t="n">
        <v>2203084</v>
      </c>
      <c r="I203" s="1" t="n">
        <v>4074035</v>
      </c>
      <c r="J203" s="9" t="n">
        <v>0.541</v>
      </c>
      <c r="K203" s="1" t="inlineStr">
        <is>
          <t>Yes</t>
        </is>
      </c>
      <c r="L203" s="1" t="inlineStr">
        <is>
          <t>Yes</t>
        </is>
      </c>
      <c r="M203" s="1" t="inlineStr">
        <is>
          <t>Yes</t>
        </is>
      </c>
      <c r="N203" s="1" t="inlineStr">
        <is>
          <t>Algorithms</t>
        </is>
      </c>
      <c r="O2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3" s="10" t="inlineStr">
        <is>
          <t>Done</t>
        </is>
      </c>
    </row>
    <row r="204" ht="15.75" customHeight="1" s="12">
      <c r="A204" s="1" t="n">
        <v>509</v>
      </c>
      <c r="B204" s="3">
        <f>HYPERLINK("https://leetcode.com/problems/fibonacci-number/", "Fibonacci Number")</f>
        <v/>
      </c>
      <c r="C204" s="1" t="n">
        <v>9383</v>
      </c>
      <c r="D204" s="1" t="n">
        <v>413</v>
      </c>
      <c r="E204" s="4">
        <f>IF(INDEX(C:C, ROW())+INDEX(D:D, ROW())=0, 0, INDEX(C:C, ROW())/(INDEX(C:C, ROW())+INDEX(D:D, ROW())))</f>
        <v/>
      </c>
      <c r="F204" s="1" t="inlineStr">
        <is>
          <t>Math, Dynamic Programming, Recursion, Memoization</t>
        </is>
      </c>
      <c r="G204" s="1" t="inlineStr">
        <is>
          <t>Easy</t>
        </is>
      </c>
      <c r="H204" s="1" t="n">
        <v>3050521</v>
      </c>
      <c r="I204" s="1" t="n">
        <v>4117093</v>
      </c>
      <c r="J204" s="9" t="n">
        <v>0.741</v>
      </c>
      <c r="K204" s="1" t="inlineStr">
        <is>
          <t>Yes</t>
        </is>
      </c>
      <c r="L204" s="1" t="inlineStr">
        <is>
          <t>Yes</t>
        </is>
      </c>
      <c r="M204" s="1" t="inlineStr">
        <is>
          <t>No</t>
        </is>
      </c>
      <c r="N204" s="1" t="inlineStr">
        <is>
          <t>Algorithms</t>
        </is>
      </c>
      <c r="O2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4" s="13" t="inlineStr">
        <is>
          <t>Done</t>
        </is>
      </c>
    </row>
    <row r="205" ht="15.75" customHeight="1" s="12">
      <c r="A205" s="1" t="n">
        <v>135</v>
      </c>
      <c r="B205" s="3">
        <f>HYPERLINK("https://leetcode.com/problems/candy/", "Candy")</f>
        <v/>
      </c>
      <c r="C205" s="1" t="n">
        <v>9354</v>
      </c>
      <c r="D205" s="1" t="n">
        <v>852</v>
      </c>
      <c r="E205" s="4">
        <f>IF(INDEX(C:C, ROW())+INDEX(D:D, ROW())=0, 0, INDEX(C:C, ROW())/(INDEX(C:C, ROW())+INDEX(D:D, ROW())))</f>
        <v/>
      </c>
      <c r="F205" s="1" t="inlineStr">
        <is>
          <t>Array, Greedy</t>
        </is>
      </c>
      <c r="G205" s="1" t="inlineStr">
        <is>
          <t>Hard</t>
        </is>
      </c>
      <c r="H205" s="1" t="n">
        <v>1045229</v>
      </c>
      <c r="I205" s="1" t="n">
        <v>2159445</v>
      </c>
      <c r="J205" s="9" t="n">
        <v>0.484</v>
      </c>
      <c r="K205" s="1" t="inlineStr">
        <is>
          <t>Yes</t>
        </is>
      </c>
      <c r="L205" s="1" t="inlineStr">
        <is>
          <t>Yes</t>
        </is>
      </c>
      <c r="M205" s="1" t="inlineStr">
        <is>
          <t>No</t>
        </is>
      </c>
      <c r="N205" s="1" t="inlineStr">
        <is>
          <t>Algorithms</t>
        </is>
      </c>
      <c r="O2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5" s="11" t="inlineStr">
        <is>
          <t>To Do</t>
        </is>
      </c>
    </row>
    <row r="206" ht="15.75" customHeight="1" s="12">
      <c r="A206" s="1" t="n">
        <v>724</v>
      </c>
      <c r="B206" s="3">
        <f>HYPERLINK("https://leetcode.com/problems/find-pivot-index/", "Find Pivot Index")</f>
        <v/>
      </c>
      <c r="C206" s="1" t="n">
        <v>9354</v>
      </c>
      <c r="D206" s="1" t="n">
        <v>936</v>
      </c>
      <c r="E206" s="4">
        <f>IF(INDEX(C:C, ROW())+INDEX(D:D, ROW())=0, 0, INDEX(C:C, ROW())/(INDEX(C:C, ROW())+INDEX(D:D, ROW())))</f>
        <v/>
      </c>
      <c r="F206" s="1" t="inlineStr">
        <is>
          <t>Array, Prefix Sum</t>
        </is>
      </c>
      <c r="G206" s="1" t="inlineStr">
        <is>
          <t>Easy</t>
        </is>
      </c>
      <c r="H206" s="1" t="n">
        <v>1672787</v>
      </c>
      <c r="I206" s="1" t="n">
        <v>2672395</v>
      </c>
      <c r="J206" s="9" t="n">
        <v>0.626</v>
      </c>
      <c r="K206" s="1" t="inlineStr">
        <is>
          <t>Yes</t>
        </is>
      </c>
      <c r="L206" s="1" t="inlineStr">
        <is>
          <t>Yes</t>
        </is>
      </c>
      <c r="M206" s="1" t="inlineStr">
        <is>
          <t>No</t>
        </is>
      </c>
      <c r="N206" s="1" t="inlineStr">
        <is>
          <t>Algorithms</t>
        </is>
      </c>
      <c r="O2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6" s="13" t="inlineStr">
        <is>
          <t>Done</t>
        </is>
      </c>
    </row>
    <row r="207" ht="15.75" customHeight="1" s="12">
      <c r="A207" s="1" t="n">
        <v>316</v>
      </c>
      <c r="B207" s="3">
        <f>HYPERLINK("https://leetcode.com/problems/remove-duplicate-letters/", "Remove Duplicate Letters")</f>
        <v/>
      </c>
      <c r="C207" s="1" t="n">
        <v>9329</v>
      </c>
      <c r="D207" s="1" t="n">
        <v>704</v>
      </c>
      <c r="E207" s="4">
        <f>IF(INDEX(C:C, ROW())+INDEX(D:D, ROW())=0, 0, INDEX(C:C, ROW())/(INDEX(C:C, ROW())+INDEX(D:D, ROW())))</f>
        <v/>
      </c>
      <c r="F207" s="1" t="inlineStr">
        <is>
          <t>String, Stack, Greedy, Monotonic Stack</t>
        </is>
      </c>
      <c r="G207" s="1" t="inlineStr">
        <is>
          <t>Medium</t>
        </is>
      </c>
      <c r="H207" s="1" t="n">
        <v>448671</v>
      </c>
      <c r="I207" s="1" t="n">
        <v>843725</v>
      </c>
      <c r="J207" s="9" t="n">
        <v>0.532</v>
      </c>
      <c r="K207" s="1" t="inlineStr">
        <is>
          <t>Yes</t>
        </is>
      </c>
      <c r="L207" s="1" t="inlineStr">
        <is>
          <t>Yes</t>
        </is>
      </c>
      <c r="M207" s="1" t="inlineStr">
        <is>
          <t>No</t>
        </is>
      </c>
      <c r="N207" s="1" t="inlineStr">
        <is>
          <t>Algorithms</t>
        </is>
      </c>
      <c r="O2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7" s="11" t="inlineStr">
        <is>
          <t>To Do</t>
        </is>
      </c>
    </row>
    <row r="208" ht="15.75" customHeight="1" s="12">
      <c r="A208" s="1" t="n">
        <v>451</v>
      </c>
      <c r="B208" s="3">
        <f>HYPERLINK("https://leetcode.com/problems/sort-characters-by-frequency/", "Sort Characters By Frequency")</f>
        <v/>
      </c>
      <c r="C208" s="1" t="n">
        <v>9268</v>
      </c>
      <c r="D208" s="1" t="n">
        <v>337</v>
      </c>
      <c r="E208" s="4">
        <f>IF(INDEX(C:C, ROW())+INDEX(D:D, ROW())=0, 0, INDEX(C:C, ROW())/(INDEX(C:C, ROW())+INDEX(D:D, ROW())))</f>
        <v/>
      </c>
      <c r="F208" s="1" t="inlineStr">
        <is>
          <t>Hash Table, String, Sorting, Heap (Priority Queue), Bucket Sort, Counting</t>
        </is>
      </c>
      <c r="G208" s="1" t="inlineStr">
        <is>
          <t>Medium</t>
        </is>
      </c>
      <c r="H208" s="1" t="n">
        <v>1114358</v>
      </c>
      <c r="I208" s="1" t="n">
        <v>1479938</v>
      </c>
      <c r="J208" s="9" t="n">
        <v>0.753</v>
      </c>
      <c r="K208" s="1" t="inlineStr">
        <is>
          <t>Yes</t>
        </is>
      </c>
      <c r="L208" s="1" t="inlineStr">
        <is>
          <t>Yes</t>
        </is>
      </c>
      <c r="M208" s="1" t="inlineStr">
        <is>
          <t>No</t>
        </is>
      </c>
      <c r="N208" s="1" t="inlineStr">
        <is>
          <t>Algorithms</t>
        </is>
      </c>
      <c r="O2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8" s="11" t="inlineStr">
        <is>
          <t>To Do</t>
        </is>
      </c>
    </row>
    <row r="209" ht="15.75" customHeight="1" s="12">
      <c r="A209" s="1" t="n">
        <v>907</v>
      </c>
      <c r="B209" s="3">
        <f>HYPERLINK("https://leetcode.com/problems/sum-of-subarray-minimums/", "Sum of Subarray Minimums")</f>
        <v/>
      </c>
      <c r="C209" s="1" t="n">
        <v>9265</v>
      </c>
      <c r="D209" s="1" t="n">
        <v>741</v>
      </c>
      <c r="E209" s="4">
        <f>IF(INDEX(C:C, ROW())+INDEX(D:D, ROW())=0, 0, INDEX(C:C, ROW())/(INDEX(C:C, ROW())+INDEX(D:D, ROW())))</f>
        <v/>
      </c>
      <c r="F209" s="1" t="inlineStr">
        <is>
          <t>Array, Dynamic Programming, Stack, Monotonic Stack</t>
        </is>
      </c>
      <c r="G209" s="1" t="inlineStr">
        <is>
          <t>Medium</t>
        </is>
      </c>
      <c r="H209" s="1" t="n">
        <v>448399</v>
      </c>
      <c r="I209" s="1" t="n">
        <v>1163569</v>
      </c>
      <c r="J209" s="9" t="n">
        <v>0.385</v>
      </c>
      <c r="K209" s="1" t="inlineStr">
        <is>
          <t>Yes</t>
        </is>
      </c>
      <c r="L209" s="1" t="inlineStr">
        <is>
          <t>Yes</t>
        </is>
      </c>
      <c r="M209" s="1" t="inlineStr">
        <is>
          <t>No</t>
        </is>
      </c>
      <c r="N209" s="1" t="inlineStr">
        <is>
          <t>Algorithms</t>
        </is>
      </c>
      <c r="O2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9" s="11" t="inlineStr">
        <is>
          <t>To Do</t>
        </is>
      </c>
    </row>
    <row r="210" ht="15.75" customHeight="1" s="12">
      <c r="A210" s="1" t="n">
        <v>315</v>
      </c>
      <c r="B210" s="3">
        <f>HYPERLINK("https://leetcode.com/problems/count-of-smaller-numbers-after-self/", "Count of Smaller Numbers After Self")</f>
        <v/>
      </c>
      <c r="C210" s="1" t="n">
        <v>9264</v>
      </c>
      <c r="D210" s="1" t="n">
        <v>254</v>
      </c>
      <c r="E210" s="4">
        <f>IF(INDEX(C:C, ROW())+INDEX(D:D, ROW())=0, 0, INDEX(C:C, ROW())/(INDEX(C:C, ROW())+INDEX(D:D, ROW())))</f>
        <v/>
      </c>
      <c r="F210" s="1" t="inlineStr">
        <is>
          <t>Array, Binary Search, Divide and Conquer, Binary Indexed Tree, Segment Tree, Merge Sort, Ordered Set</t>
        </is>
      </c>
      <c r="G210" s="1" t="inlineStr">
        <is>
          <t>Hard</t>
        </is>
      </c>
      <c r="H210" s="1" t="n">
        <v>391467</v>
      </c>
      <c r="I210" s="1" t="n">
        <v>898496</v>
      </c>
      <c r="J210" s="9" t="n">
        <v>0.436</v>
      </c>
      <c r="K210" s="1" t="inlineStr">
        <is>
          <t>Yes</t>
        </is>
      </c>
      <c r="L210" s="1" t="inlineStr">
        <is>
          <t>Yes</t>
        </is>
      </c>
      <c r="M210" s="1" t="inlineStr">
        <is>
          <t>No</t>
        </is>
      </c>
      <c r="N210" s="1" t="inlineStr">
        <is>
          <t>Algorithms</t>
        </is>
      </c>
      <c r="O2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0" s="11" t="inlineStr">
        <is>
          <t>To Do</t>
        </is>
      </c>
    </row>
    <row r="211" ht="15.75" customHeight="1" s="12">
      <c r="A211" s="1" t="n">
        <v>785</v>
      </c>
      <c r="B211" s="3">
        <f>HYPERLINK("https://leetcode.com/problems/is-graph-bipartite/", "Is Graph Bipartite?")</f>
        <v/>
      </c>
      <c r="C211" s="1" t="n">
        <v>9263</v>
      </c>
      <c r="D211" s="1" t="n">
        <v>421</v>
      </c>
      <c r="E211" s="4">
        <f>IF(INDEX(C:C, ROW())+INDEX(D:D, ROW())=0, 0, INDEX(C:C, ROW())/(INDEX(C:C, ROW())+INDEX(D:D, ROW())))</f>
        <v/>
      </c>
      <c r="F211" s="1" t="inlineStr">
        <is>
          <t>Depth-First Search, Breadth-First Search, Union-Find, Graph Theory</t>
        </is>
      </c>
      <c r="G211" s="1" t="inlineStr">
        <is>
          <t>Medium</t>
        </is>
      </c>
      <c r="H211" s="1" t="n">
        <v>875988</v>
      </c>
      <c r="I211" s="1" t="n">
        <v>1478770</v>
      </c>
      <c r="J211" s="9" t="n">
        <v>0.592</v>
      </c>
      <c r="K211" s="1" t="inlineStr">
        <is>
          <t>Yes</t>
        </is>
      </c>
      <c r="L211" s="1" t="inlineStr">
        <is>
          <t>Yes</t>
        </is>
      </c>
      <c r="M211" s="1" t="inlineStr">
        <is>
          <t>Yes</t>
        </is>
      </c>
      <c r="N211" s="1" t="inlineStr">
        <is>
          <t>Algorithms</t>
        </is>
      </c>
      <c r="O2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1" s="11" t="inlineStr">
        <is>
          <t>To Do</t>
        </is>
      </c>
    </row>
    <row r="212" ht="15.75" customHeight="1" s="12">
      <c r="A212" s="1" t="n">
        <v>767</v>
      </c>
      <c r="B212" s="3">
        <f>HYPERLINK("https://leetcode.com/problems/reorganize-string/", "Reorganize String")</f>
        <v/>
      </c>
      <c r="C212" s="1" t="n">
        <v>9252</v>
      </c>
      <c r="D212" s="1" t="n">
        <v>285</v>
      </c>
      <c r="E212" s="4">
        <f>IF(INDEX(C:C, ROW())+INDEX(D:D, ROW())=0, 0, INDEX(C:C, ROW())/(INDEX(C:C, ROW())+INDEX(D:D, ROW())))</f>
        <v/>
      </c>
      <c r="F212" s="1" t="inlineStr">
        <is>
          <t>Hash Table, String, Greedy, Sorting, Heap (Priority Queue), Counting</t>
        </is>
      </c>
      <c r="G212" s="1" t="inlineStr">
        <is>
          <t>Medium</t>
        </is>
      </c>
      <c r="H212" s="1" t="n">
        <v>599749</v>
      </c>
      <c r="I212" s="1" t="n">
        <v>1051232</v>
      </c>
      <c r="J212" s="9" t="n">
        <v>0.571</v>
      </c>
      <c r="K212" s="1" t="inlineStr">
        <is>
          <t>Yes</t>
        </is>
      </c>
      <c r="L212" s="1" t="inlineStr">
        <is>
          <t>Yes</t>
        </is>
      </c>
      <c r="M212" s="1" t="inlineStr">
        <is>
          <t>No</t>
        </is>
      </c>
      <c r="N212" s="1" t="inlineStr">
        <is>
          <t>Algorithms</t>
        </is>
      </c>
      <c r="O2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2" s="11" t="inlineStr">
        <is>
          <t>To Do</t>
        </is>
      </c>
    </row>
    <row r="213" ht="15.75" customHeight="1" s="12">
      <c r="A213" s="1" t="n">
        <v>173</v>
      </c>
      <c r="B213" s="3">
        <f>HYPERLINK("https://leetcode.com/problems/binary-search-tree-iterator/", "Binary Search Tree Iterator")</f>
        <v/>
      </c>
      <c r="C213" s="1" t="n">
        <v>9247</v>
      </c>
      <c r="D213" s="1" t="n">
        <v>595</v>
      </c>
      <c r="E213" s="4">
        <f>IF(INDEX(C:C, ROW())+INDEX(D:D, ROW())=0, 0, INDEX(C:C, ROW())/(INDEX(C:C, ROW())+INDEX(D:D, ROW())))</f>
        <v/>
      </c>
      <c r="F213" s="1" t="inlineStr">
        <is>
          <t>Stack, Tree, Design, Binary Search Tree, Binary Tree, Iterator</t>
        </is>
      </c>
      <c r="G213" s="1" t="inlineStr">
        <is>
          <t>Medium</t>
        </is>
      </c>
      <c r="H213" s="1" t="n">
        <v>1096238</v>
      </c>
      <c r="I213" s="1" t="n">
        <v>1434574</v>
      </c>
      <c r="J213" s="9" t="n">
        <v>0.764</v>
      </c>
      <c r="K213" s="1" t="inlineStr">
        <is>
          <t>Yes</t>
        </is>
      </c>
      <c r="L213" s="1" t="inlineStr">
        <is>
          <t>Yes</t>
        </is>
      </c>
      <c r="M213" s="1" t="inlineStr">
        <is>
          <t>No</t>
        </is>
      </c>
      <c r="N213" s="1" t="inlineStr">
        <is>
          <t>Algorithms</t>
        </is>
      </c>
      <c r="O2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3" s="11" t="inlineStr">
        <is>
          <t>To Do</t>
        </is>
      </c>
    </row>
    <row r="214" ht="15.75" customHeight="1" s="12">
      <c r="A214" s="1" t="n">
        <v>503</v>
      </c>
      <c r="B214" s="3">
        <f>HYPERLINK("https://leetcode.com/problems/next-greater-element-ii/", "Next Greater Element II")</f>
        <v/>
      </c>
      <c r="C214" s="1" t="n">
        <v>9211</v>
      </c>
      <c r="D214" s="1" t="n">
        <v>242</v>
      </c>
      <c r="E214" s="4">
        <f>IF(INDEX(C:C, ROW())+INDEX(D:D, ROW())=0, 0, INDEX(C:C, ROW())/(INDEX(C:C, ROW())+INDEX(D:D, ROW())))</f>
        <v/>
      </c>
      <c r="F214" s="1" t="inlineStr">
        <is>
          <t>Array, Stack, Monotonic Stack</t>
        </is>
      </c>
      <c r="G214" s="1" t="inlineStr">
        <is>
          <t>Medium</t>
        </is>
      </c>
      <c r="H214" s="1" t="n">
        <v>803540</v>
      </c>
      <c r="I214" s="1" t="n">
        <v>1176382</v>
      </c>
      <c r="J214" s="9" t="n">
        <v>0.6830000000000001</v>
      </c>
      <c r="K214" s="1" t="inlineStr">
        <is>
          <t>Yes</t>
        </is>
      </c>
      <c r="L214" s="1" t="inlineStr">
        <is>
          <t>Yes</t>
        </is>
      </c>
      <c r="M214" s="1" t="inlineStr">
        <is>
          <t>No</t>
        </is>
      </c>
      <c r="N214" s="1" t="inlineStr">
        <is>
          <t>Algorithms</t>
        </is>
      </c>
      <c r="O2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4" s="11" t="inlineStr">
        <is>
          <t>To Do</t>
        </is>
      </c>
    </row>
    <row r="215" ht="15.75" customHeight="1" s="12">
      <c r="A215" s="1" t="n">
        <v>47</v>
      </c>
      <c r="B215" s="3">
        <f>HYPERLINK("https://leetcode.com/problems/permutations-ii/", "Permutations II")</f>
        <v/>
      </c>
      <c r="C215" s="1" t="n">
        <v>9168</v>
      </c>
      <c r="D215" s="1" t="n">
        <v>163</v>
      </c>
      <c r="E215" s="4">
        <f>IF(INDEX(C:C, ROW())+INDEX(D:D, ROW())=0, 0, INDEX(C:C, ROW())/(INDEX(C:C, ROW())+INDEX(D:D, ROW())))</f>
        <v/>
      </c>
      <c r="F215" s="1" t="inlineStr">
        <is>
          <t>Array, Backtracking, Sorting</t>
        </is>
      </c>
      <c r="G215" s="1" t="inlineStr">
        <is>
          <t>Medium</t>
        </is>
      </c>
      <c r="H215" s="1" t="n">
        <v>1291191</v>
      </c>
      <c r="I215" s="1" t="n">
        <v>2036916</v>
      </c>
      <c r="J215" s="9" t="n">
        <v>0.634</v>
      </c>
      <c r="K215" s="1" t="inlineStr">
        <is>
          <t>Yes</t>
        </is>
      </c>
      <c r="L215" s="1" t="inlineStr">
        <is>
          <t>Yes</t>
        </is>
      </c>
      <c r="M215" s="1" t="inlineStr">
        <is>
          <t>No</t>
        </is>
      </c>
      <c r="N215" s="1" t="inlineStr">
        <is>
          <t>Algorithms</t>
        </is>
      </c>
      <c r="O2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5" s="11" t="inlineStr">
        <is>
          <t>To Do</t>
        </is>
      </c>
    </row>
    <row r="216" ht="15.75" customHeight="1" s="12">
      <c r="A216" s="1" t="n">
        <v>435</v>
      </c>
      <c r="B216" s="3">
        <f>HYPERLINK("https://leetcode.com/problems/non-overlapping-intervals/", "Non-overlapping Intervals")</f>
        <v/>
      </c>
      <c r="C216" s="1" t="n">
        <v>9162</v>
      </c>
      <c r="D216" s="1" t="n">
        <v>261</v>
      </c>
      <c r="E216" s="4">
        <f>IF(INDEX(C:C, ROW())+INDEX(D:D, ROW())=0, 0, INDEX(C:C, ROW())/(INDEX(C:C, ROW())+INDEX(D:D, ROW())))</f>
        <v/>
      </c>
      <c r="F216" s="1" t="inlineStr">
        <is>
          <t>Array, Dynamic Programming, Greedy, Sorting</t>
        </is>
      </c>
      <c r="G216" s="1" t="inlineStr">
        <is>
          <t>Medium</t>
        </is>
      </c>
      <c r="H216" s="1" t="n">
        <v>1014717</v>
      </c>
      <c r="I216" s="1" t="n">
        <v>1778122</v>
      </c>
      <c r="J216" s="9" t="n">
        <v>0.571</v>
      </c>
      <c r="K216" s="1" t="inlineStr">
        <is>
          <t>Yes</t>
        </is>
      </c>
      <c r="L216" s="1" t="inlineStr">
        <is>
          <t>Yes</t>
        </is>
      </c>
      <c r="M216" s="1" t="inlineStr">
        <is>
          <t>No</t>
        </is>
      </c>
      <c r="N216" s="1" t="inlineStr">
        <is>
          <t>Algorithms</t>
        </is>
      </c>
      <c r="O2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6" s="11" t="inlineStr">
        <is>
          <t>To Do</t>
        </is>
      </c>
    </row>
    <row r="217" ht="15.75" customHeight="1" s="12">
      <c r="A217" s="1" t="n">
        <v>44</v>
      </c>
      <c r="B217" s="3">
        <f>HYPERLINK("https://leetcode.com/problems/wildcard-matching/", "Wildcard Matching")</f>
        <v/>
      </c>
      <c r="C217" s="1" t="n">
        <v>9139</v>
      </c>
      <c r="D217" s="1" t="n">
        <v>419</v>
      </c>
      <c r="E217" s="4">
        <f>IF(INDEX(C:C, ROW())+INDEX(D:D, ROW())=0, 0, INDEX(C:C, ROW())/(INDEX(C:C, ROW())+INDEX(D:D, ROW())))</f>
        <v/>
      </c>
      <c r="F217" s="1" t="inlineStr">
        <is>
          <t>String, Dynamic Programming, Greedy, Recursion</t>
        </is>
      </c>
      <c r="G217" s="1" t="inlineStr">
        <is>
          <t>Hard</t>
        </is>
      </c>
      <c r="H217" s="1" t="n">
        <v>874857</v>
      </c>
      <c r="I217" s="1" t="n">
        <v>2742154</v>
      </c>
      <c r="J217" s="9" t="n">
        <v>0.319</v>
      </c>
      <c r="K217" s="1" t="inlineStr">
        <is>
          <t>Yes</t>
        </is>
      </c>
      <c r="L217" s="1" t="inlineStr">
        <is>
          <t>Yes</t>
        </is>
      </c>
      <c r="M217" s="1" t="inlineStr">
        <is>
          <t>No</t>
        </is>
      </c>
      <c r="N217" s="1" t="inlineStr">
        <is>
          <t>Algorithms</t>
        </is>
      </c>
      <c r="O2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7" s="11" t="inlineStr">
        <is>
          <t>To Do</t>
        </is>
      </c>
    </row>
    <row r="218" ht="15.75" customHeight="1" s="12">
      <c r="A218" s="1" t="n">
        <v>337</v>
      </c>
      <c r="B218" s="3">
        <f>HYPERLINK("https://leetcode.com/problems/house-robber-iii/", "House Robber III")</f>
        <v/>
      </c>
      <c r="C218" s="1" t="n">
        <v>9136</v>
      </c>
      <c r="D218" s="1" t="n">
        <v>157</v>
      </c>
      <c r="E218" s="4">
        <f>IF(INDEX(C:C, ROW())+INDEX(D:D, ROW())=0, 0, INDEX(C:C, ROW())/(INDEX(C:C, ROW())+INDEX(D:D, ROW())))</f>
        <v/>
      </c>
      <c r="F218" s="1" t="inlineStr">
        <is>
          <t>Dynamic Programming, Tree, Depth-First Search, Binary Tree</t>
        </is>
      </c>
      <c r="G218" s="1" t="inlineStr">
        <is>
          <t>Medium</t>
        </is>
      </c>
      <c r="H218" s="1" t="n">
        <v>508587</v>
      </c>
      <c r="I218" s="1" t="n">
        <v>910266</v>
      </c>
      <c r="J218" s="9" t="n">
        <v>0.5590000000000001</v>
      </c>
      <c r="K218" s="1" t="inlineStr">
        <is>
          <t>Yes</t>
        </is>
      </c>
      <c r="L218" s="1" t="inlineStr">
        <is>
          <t>Yes</t>
        </is>
      </c>
      <c r="M218" s="1" t="inlineStr">
        <is>
          <t>No</t>
        </is>
      </c>
      <c r="N218" s="1" t="inlineStr">
        <is>
          <t>Algorithms</t>
        </is>
      </c>
      <c r="O2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8" s="11" t="inlineStr">
        <is>
          <t>To Do</t>
        </is>
      </c>
    </row>
    <row r="219" ht="15.75" customHeight="1" s="12">
      <c r="A219" s="1" t="n">
        <v>973</v>
      </c>
      <c r="B219" s="3">
        <f>HYPERLINK("https://leetcode.com/problems/k-closest-points-to-origin/", "K Closest Points to Origin")</f>
        <v/>
      </c>
      <c r="C219" s="1" t="n">
        <v>9105</v>
      </c>
      <c r="D219" s="1" t="n">
        <v>339</v>
      </c>
      <c r="E219" s="4">
        <f>IF(INDEX(C:C, ROW())+INDEX(D:D, ROW())=0, 0, INDEX(C:C, ROW())/(INDEX(C:C, ROW())+INDEX(D:D, ROW())))</f>
        <v/>
      </c>
      <c r="F219" s="1" t="inlineStr">
        <is>
          <t>Array, Math, Divide and Conquer, Geometry, Sorting, Heap (Priority Queue), Quickselect</t>
        </is>
      </c>
      <c r="G219" s="1" t="inlineStr">
        <is>
          <t>Medium</t>
        </is>
      </c>
      <c r="H219" s="1" t="n">
        <v>1730040</v>
      </c>
      <c r="I219" s="1" t="n">
        <v>2508788</v>
      </c>
      <c r="J219" s="9" t="n">
        <v>0.6899999999999999</v>
      </c>
      <c r="K219" s="1" t="inlineStr">
        <is>
          <t>Yes</t>
        </is>
      </c>
      <c r="L219" s="1" t="inlineStr">
        <is>
          <t>Yes</t>
        </is>
      </c>
      <c r="M219" s="1" t="inlineStr">
        <is>
          <t>Yes</t>
        </is>
      </c>
      <c r="N219" s="1" t="inlineStr">
        <is>
          <t>Algorithms</t>
        </is>
      </c>
      <c r="O2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9" s="11" t="inlineStr">
        <is>
          <t>To Do</t>
        </is>
      </c>
    </row>
    <row r="220" ht="15.75" customHeight="1" s="12">
      <c r="A220" s="1" t="n">
        <v>658</v>
      </c>
      <c r="B220" s="3">
        <f>HYPERLINK("https://leetcode.com/problems/find-k-closest-elements/", "Find K Closest Elements")</f>
        <v/>
      </c>
      <c r="C220" s="1" t="n">
        <v>9103</v>
      </c>
      <c r="D220" s="1" t="n">
        <v>933</v>
      </c>
      <c r="E220" s="4">
        <f>IF(INDEX(C:C, ROW())+INDEX(D:D, ROW())=0, 0, INDEX(C:C, ROW())/(INDEX(C:C, ROW())+INDEX(D:D, ROW())))</f>
        <v/>
      </c>
      <c r="F220" s="1" t="inlineStr">
        <is>
          <t>Array, Two Pointers, Binary Search, Sliding Window, Sorting, Heap (Priority Queue)</t>
        </is>
      </c>
      <c r="G220" s="1" t="inlineStr">
        <is>
          <t>Medium</t>
        </is>
      </c>
      <c r="H220" s="1" t="n">
        <v>819521</v>
      </c>
      <c r="I220" s="1" t="n">
        <v>1650691</v>
      </c>
      <c r="J220" s="9" t="n">
        <v>0.496</v>
      </c>
      <c r="K220" s="1" t="inlineStr">
        <is>
          <t>Yes</t>
        </is>
      </c>
      <c r="L220" s="1" t="inlineStr">
        <is>
          <t>Yes</t>
        </is>
      </c>
      <c r="M220" s="1" t="inlineStr">
        <is>
          <t>No</t>
        </is>
      </c>
      <c r="N220" s="1" t="inlineStr">
        <is>
          <t>Algorithms</t>
        </is>
      </c>
      <c r="O2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0" s="11" t="inlineStr">
        <is>
          <t>To Do</t>
        </is>
      </c>
    </row>
    <row r="221" ht="15.75" customHeight="1" s="12">
      <c r="A221" s="1" t="n">
        <v>203</v>
      </c>
      <c r="B221" s="3">
        <f>HYPERLINK("https://leetcode.com/problems/remove-linked-list-elements/", "Remove Linked List Elements")</f>
        <v/>
      </c>
      <c r="C221" s="1" t="n">
        <v>9081</v>
      </c>
      <c r="D221" s="1" t="n">
        <v>293</v>
      </c>
      <c r="E221" s="4">
        <f>IF(INDEX(C:C, ROW())+INDEX(D:D, ROW())=0, 0, INDEX(C:C, ROW())/(INDEX(C:C, ROW())+INDEX(D:D, ROW())))</f>
        <v/>
      </c>
      <c r="F221" s="1" t="inlineStr">
        <is>
          <t>Linked List, Recursion</t>
        </is>
      </c>
      <c r="G221" s="1" t="inlineStr">
        <is>
          <t>Easy</t>
        </is>
      </c>
      <c r="H221" s="1" t="n">
        <v>1603642</v>
      </c>
      <c r="I221" s="1" t="n">
        <v>2948512</v>
      </c>
      <c r="J221" s="9" t="n">
        <v>0.544</v>
      </c>
      <c r="K221" s="1" t="inlineStr">
        <is>
          <t>Yes</t>
        </is>
      </c>
      <c r="L221" s="1" t="inlineStr">
        <is>
          <t>Yes</t>
        </is>
      </c>
      <c r="M221" s="1" t="inlineStr">
        <is>
          <t>No</t>
        </is>
      </c>
      <c r="N221" s="1" t="inlineStr">
        <is>
          <t>Algorithms</t>
        </is>
      </c>
      <c r="O2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1" s="13" t="inlineStr">
        <is>
          <t>Done</t>
        </is>
      </c>
    </row>
    <row r="222" ht="15.75" customHeight="1" s="12">
      <c r="A222" s="1" t="n">
        <v>617</v>
      </c>
      <c r="B222" s="3">
        <f>HYPERLINK("https://leetcode.com/problems/merge-two-binary-trees/", "Merge Two Binary Trees")</f>
        <v/>
      </c>
      <c r="C222" s="1" t="n">
        <v>9081</v>
      </c>
      <c r="D222" s="1" t="n">
        <v>324</v>
      </c>
      <c r="E222" s="4">
        <f>IF(INDEX(C:C, ROW())+INDEX(D:D, ROW())=0, 0, INDEX(C:C, ROW())/(INDEX(C:C, ROW())+INDEX(D:D, ROW())))</f>
        <v/>
      </c>
      <c r="F222" s="1" t="inlineStr">
        <is>
          <t>Tree, Depth-First Search, Breadth-First Search, Binary Tree</t>
        </is>
      </c>
      <c r="G222" s="1" t="inlineStr">
        <is>
          <t>Easy</t>
        </is>
      </c>
      <c r="H222" s="1" t="n">
        <v>899772</v>
      </c>
      <c r="I222" s="1" t="n">
        <v>1138183</v>
      </c>
      <c r="J222" s="9" t="n">
        <v>0.791</v>
      </c>
      <c r="K222" s="1" t="inlineStr">
        <is>
          <t>Yes</t>
        </is>
      </c>
      <c r="L222" s="1" t="inlineStr">
        <is>
          <t>Yes</t>
        </is>
      </c>
      <c r="M222" s="1" t="inlineStr">
        <is>
          <t>No</t>
        </is>
      </c>
      <c r="N222" s="1" t="inlineStr">
        <is>
          <t>Algorithms</t>
        </is>
      </c>
      <c r="O2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2" s="13" t="inlineStr">
        <is>
          <t>Done</t>
        </is>
      </c>
    </row>
    <row r="223" ht="15.75" customHeight="1" s="12">
      <c r="A223" s="1" t="n">
        <v>278</v>
      </c>
      <c r="B223" s="3">
        <f>HYPERLINK("https://leetcode.com/problems/first-bad-version/", "First Bad Version")</f>
        <v/>
      </c>
      <c r="C223" s="1" t="n">
        <v>9058</v>
      </c>
      <c r="D223" s="1" t="n">
        <v>3444</v>
      </c>
      <c r="E223" s="4">
        <f>IF(INDEX(C:C, ROW())+INDEX(D:D, ROW())=0, 0, INDEX(C:C, ROW())/(INDEX(C:C, ROW())+INDEX(D:D, ROW())))</f>
        <v/>
      </c>
      <c r="F223" s="1" t="inlineStr">
        <is>
          <t>Binary Search, Interactive</t>
        </is>
      </c>
      <c r="G223" s="1" t="inlineStr">
        <is>
          <t>Easy</t>
        </is>
      </c>
      <c r="H223" s="1" t="n">
        <v>2162161</v>
      </c>
      <c r="I223" s="1" t="n">
        <v>4591087</v>
      </c>
      <c r="J223" s="9" t="n">
        <v>0.471</v>
      </c>
      <c r="K223" s="1" t="inlineStr">
        <is>
          <t>Yes</t>
        </is>
      </c>
      <c r="L223" s="1" t="inlineStr">
        <is>
          <t>Yes</t>
        </is>
      </c>
      <c r="M223" s="1" t="inlineStr">
        <is>
          <t>Yes</t>
        </is>
      </c>
      <c r="N223" s="1" t="inlineStr">
        <is>
          <t>Algorithms</t>
        </is>
      </c>
      <c r="O2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3" s="13" t="inlineStr">
        <is>
          <t>Done</t>
        </is>
      </c>
    </row>
    <row r="224" ht="15.75" customHeight="1" s="12">
      <c r="A224" s="1" t="n">
        <v>680</v>
      </c>
      <c r="B224" s="3">
        <f>HYPERLINK("https://leetcode.com/problems/valid-palindrome-ii/", "Valid Palindrome II")</f>
        <v/>
      </c>
      <c r="C224" s="1" t="n">
        <v>9029</v>
      </c>
      <c r="D224" s="1" t="n">
        <v>519</v>
      </c>
      <c r="E224" s="4">
        <f>IF(INDEX(C:C, ROW())+INDEX(D:D, ROW())=0, 0, INDEX(C:C, ROW())/(INDEX(C:C, ROW())+INDEX(D:D, ROW())))</f>
        <v/>
      </c>
      <c r="F224" s="1" t="inlineStr">
        <is>
          <t>Two Pointers, String, Greedy</t>
        </is>
      </c>
      <c r="G224" s="1" t="inlineStr">
        <is>
          <t>Easy</t>
        </is>
      </c>
      <c r="H224" s="1" t="n">
        <v>1145299</v>
      </c>
      <c r="I224" s="1" t="n">
        <v>2589946</v>
      </c>
      <c r="J224" s="9" t="n">
        <v>0.442</v>
      </c>
      <c r="K224" s="1" t="inlineStr">
        <is>
          <t>Yes</t>
        </is>
      </c>
      <c r="L224" s="1" t="inlineStr">
        <is>
          <t>Yes</t>
        </is>
      </c>
      <c r="M224" s="1" t="inlineStr">
        <is>
          <t>No</t>
        </is>
      </c>
      <c r="N224" s="1" t="inlineStr">
        <is>
          <t>Algorithms</t>
        </is>
      </c>
      <c r="O2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4" s="13" t="inlineStr">
        <is>
          <t>Done</t>
        </is>
      </c>
    </row>
    <row r="225" ht="15.75" customHeight="1" s="12">
      <c r="A225" s="1" t="n">
        <v>310</v>
      </c>
      <c r="B225" s="3">
        <f>HYPERLINK("https://leetcode.com/problems/minimum-height-trees/", "Minimum Height Trees")</f>
        <v/>
      </c>
      <c r="C225" s="1" t="n">
        <v>8950</v>
      </c>
      <c r="D225" s="1" t="n">
        <v>417</v>
      </c>
      <c r="E225" s="4">
        <f>IF(INDEX(C:C, ROW())+INDEX(D:D, ROW())=0, 0, INDEX(C:C, ROW())/(INDEX(C:C, ROW())+INDEX(D:D, ROW())))</f>
        <v/>
      </c>
      <c r="F225" s="1" t="inlineStr">
        <is>
          <t>Depth-First Search, Breadth-First Search, Graph Theory, Topological Sort</t>
        </is>
      </c>
      <c r="G225" s="1" t="inlineStr">
        <is>
          <t>Medium</t>
        </is>
      </c>
      <c r="H225" s="1" t="n">
        <v>486014</v>
      </c>
      <c r="I225" s="1" t="n">
        <v>1142725</v>
      </c>
      <c r="J225" s="9" t="n">
        <v>0.425</v>
      </c>
      <c r="K225" s="1" t="inlineStr">
        <is>
          <t>Yes</t>
        </is>
      </c>
      <c r="L225" s="1" t="inlineStr">
        <is>
          <t>Yes</t>
        </is>
      </c>
      <c r="M225" s="1" t="inlineStr">
        <is>
          <t>No</t>
        </is>
      </c>
      <c r="N225" s="1" t="inlineStr">
        <is>
          <t>Algorithms</t>
        </is>
      </c>
      <c r="O2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5" s="11" t="inlineStr">
        <is>
          <t>To Do</t>
        </is>
      </c>
    </row>
    <row r="226" ht="15.75" customHeight="1" s="12">
      <c r="A226" s="1" t="n">
        <v>77</v>
      </c>
      <c r="B226" s="3">
        <f>HYPERLINK("https://leetcode.com/problems/combinations/", "Combinations")</f>
        <v/>
      </c>
      <c r="C226" s="1" t="n">
        <v>8937</v>
      </c>
      <c r="D226" s="1" t="n">
        <v>256</v>
      </c>
      <c r="E226" s="4">
        <f>IF(INDEX(C:C, ROW())+INDEX(D:D, ROW())=0, 0, INDEX(C:C, ROW())/(INDEX(C:C, ROW())+INDEX(D:D, ROW())))</f>
        <v/>
      </c>
      <c r="F226" s="1" t="inlineStr">
        <is>
          <t>Backtracking</t>
        </is>
      </c>
      <c r="G226" s="1" t="inlineStr">
        <is>
          <t>Medium</t>
        </is>
      </c>
      <c r="H226" s="1" t="n">
        <v>1336768</v>
      </c>
      <c r="I226" s="1" t="n">
        <v>1793341</v>
      </c>
      <c r="J226" s="9" t="n">
        <v>0.745</v>
      </c>
      <c r="K226" s="1" t="inlineStr">
        <is>
          <t>Yes</t>
        </is>
      </c>
      <c r="L226" s="1" t="inlineStr">
        <is>
          <t>Yes</t>
        </is>
      </c>
      <c r="M226" s="1" t="inlineStr">
        <is>
          <t>No</t>
        </is>
      </c>
      <c r="N226" s="1" t="inlineStr">
        <is>
          <t>Algorithms</t>
        </is>
      </c>
      <c r="O2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6" s="11" t="inlineStr">
        <is>
          <t>To Do</t>
        </is>
      </c>
    </row>
    <row r="227" ht="15.75" customHeight="1" s="12">
      <c r="A227" s="1" t="n">
        <v>572</v>
      </c>
      <c r="B227" s="3">
        <f>HYPERLINK("https://leetcode.com/problems/subtree-of-another-tree/", "Subtree of Another Tree")</f>
        <v/>
      </c>
      <c r="C227" s="1" t="n">
        <v>8933</v>
      </c>
      <c r="D227" s="1" t="n">
        <v>604</v>
      </c>
      <c r="E227" s="4">
        <f>IF(INDEX(C:C, ROW())+INDEX(D:D, ROW())=0, 0, INDEX(C:C, ROW())/(INDEX(C:C, ROW())+INDEX(D:D, ROW())))</f>
        <v/>
      </c>
      <c r="F227" s="1" t="inlineStr">
        <is>
          <t>Tree, Depth-First Search, String Matching, Binary Tree, Hash Function</t>
        </is>
      </c>
      <c r="G227" s="1" t="inlineStr">
        <is>
          <t>Easy</t>
        </is>
      </c>
      <c r="H227" s="1" t="n">
        <v>1262590</v>
      </c>
      <c r="I227" s="1" t="n">
        <v>2449233</v>
      </c>
      <c r="J227" s="9" t="n">
        <v>0.516</v>
      </c>
      <c r="K227" s="1" t="inlineStr">
        <is>
          <t>Yes</t>
        </is>
      </c>
      <c r="L227" s="1" t="inlineStr">
        <is>
          <t>Yes</t>
        </is>
      </c>
      <c r="M227" s="1" t="inlineStr">
        <is>
          <t>No</t>
        </is>
      </c>
      <c r="N227" s="1" t="inlineStr">
        <is>
          <t>Algorithms</t>
        </is>
      </c>
      <c r="O2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7" s="13" t="inlineStr">
        <is>
          <t>Done</t>
        </is>
      </c>
    </row>
    <row r="228" ht="15.75" customHeight="1" s="12">
      <c r="A228" s="1" t="n">
        <v>144</v>
      </c>
      <c r="B228" s="3">
        <f>HYPERLINK("https://leetcode.com/problems/binary-tree-preorder-traversal/", "Binary Tree Preorder Traversal")</f>
        <v/>
      </c>
      <c r="C228" s="1" t="n">
        <v>8895</v>
      </c>
      <c r="D228" s="1" t="n">
        <v>237</v>
      </c>
      <c r="E228" s="4">
        <f>IF(INDEX(C:C, ROW())+INDEX(D:D, ROW())=0, 0, INDEX(C:C, ROW())/(INDEX(C:C, ROW())+INDEX(D:D, ROW())))</f>
        <v/>
      </c>
      <c r="F228" s="1" t="inlineStr">
        <is>
          <t>Stack, Tree, Depth-First Search, Binary Tree</t>
        </is>
      </c>
      <c r="G228" s="1" t="inlineStr">
        <is>
          <t>Easy</t>
        </is>
      </c>
      <c r="H228" s="1" t="n">
        <v>2445257</v>
      </c>
      <c r="I228" s="1" t="n">
        <v>3231494</v>
      </c>
      <c r="J228" s="9" t="n">
        <v>0.757</v>
      </c>
      <c r="K228" s="1" t="inlineStr">
        <is>
          <t>Yes</t>
        </is>
      </c>
      <c r="L228" s="1" t="inlineStr">
        <is>
          <t>Yes</t>
        </is>
      </c>
      <c r="M228" s="1" t="inlineStr">
        <is>
          <t>No</t>
        </is>
      </c>
      <c r="N228" s="1" t="inlineStr">
        <is>
          <t>Algorithms</t>
        </is>
      </c>
      <c r="O2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8" s="13" t="inlineStr">
        <is>
          <t>Done</t>
        </is>
      </c>
    </row>
    <row r="229" ht="15.75" customHeight="1" s="12">
      <c r="A229" s="1" t="n">
        <v>334</v>
      </c>
      <c r="B229" s="3">
        <f>HYPERLINK("https://leetcode.com/problems/increasing-triplet-subsequence/", "Increasing Triplet Subsequence")</f>
        <v/>
      </c>
      <c r="C229" s="1" t="n">
        <v>8882</v>
      </c>
      <c r="D229" s="1" t="n">
        <v>694</v>
      </c>
      <c r="E229" s="4">
        <f>IF(INDEX(C:C, ROW())+INDEX(D:D, ROW())=0, 0, INDEX(C:C, ROW())/(INDEX(C:C, ROW())+INDEX(D:D, ROW())))</f>
        <v/>
      </c>
      <c r="F229" s="1" t="inlineStr">
        <is>
          <t>Array, Greedy</t>
        </is>
      </c>
      <c r="G229" s="1" t="inlineStr">
        <is>
          <t>Medium</t>
        </is>
      </c>
      <c r="H229" s="1" t="n">
        <v>928602</v>
      </c>
      <c r="I229" s="1" t="n">
        <v>2360035</v>
      </c>
      <c r="J229" s="9" t="n">
        <v>0.393</v>
      </c>
      <c r="K229" s="1" t="inlineStr">
        <is>
          <t>Yes</t>
        </is>
      </c>
      <c r="L229" s="1" t="inlineStr">
        <is>
          <t>Yes</t>
        </is>
      </c>
      <c r="M229" s="1" t="inlineStr">
        <is>
          <t>No</t>
        </is>
      </c>
      <c r="N229" s="1" t="inlineStr">
        <is>
          <t>Algorithms</t>
        </is>
      </c>
      <c r="O2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9" s="11" t="inlineStr">
        <is>
          <t>To Do</t>
        </is>
      </c>
    </row>
    <row r="230" ht="15.75" customHeight="1" s="12">
      <c r="A230" s="1" t="n">
        <v>525</v>
      </c>
      <c r="B230" s="3">
        <f>HYPERLINK("https://leetcode.com/problems/contiguous-array/", "Contiguous Array")</f>
        <v/>
      </c>
      <c r="C230" s="1" t="n">
        <v>8867</v>
      </c>
      <c r="D230" s="1" t="n">
        <v>450</v>
      </c>
      <c r="E230" s="4">
        <f>IF(INDEX(C:C, ROW())+INDEX(D:D, ROW())=0, 0, INDEX(C:C, ROW())/(INDEX(C:C, ROW())+INDEX(D:D, ROW())))</f>
        <v/>
      </c>
      <c r="F230" s="1" t="inlineStr">
        <is>
          <t>Array, Hash Table, Prefix Sum</t>
        </is>
      </c>
      <c r="G230" s="1" t="inlineStr">
        <is>
          <t>Medium</t>
        </is>
      </c>
      <c r="H230" s="1" t="n">
        <v>676086</v>
      </c>
      <c r="I230" s="1" t="n">
        <v>1318629</v>
      </c>
      <c r="J230" s="9" t="n">
        <v>0.513</v>
      </c>
      <c r="K230" s="1" t="inlineStr">
        <is>
          <t>Yes</t>
        </is>
      </c>
      <c r="L230" s="1" t="inlineStr">
        <is>
          <t>Yes</t>
        </is>
      </c>
      <c r="M230" s="1" t="inlineStr">
        <is>
          <t>No</t>
        </is>
      </c>
      <c r="N230" s="1" t="inlineStr">
        <is>
          <t>Algorithms</t>
        </is>
      </c>
      <c r="O2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0" s="11" t="inlineStr">
        <is>
          <t>To Do</t>
        </is>
      </c>
    </row>
    <row r="231" ht="15.75" customHeight="1" s="12">
      <c r="A231" s="1" t="n">
        <v>97</v>
      </c>
      <c r="B231" s="3">
        <f>HYPERLINK("https://leetcode.com/problems/interleaving-string/", "Interleaving String")</f>
        <v/>
      </c>
      <c r="C231" s="1" t="n">
        <v>8862</v>
      </c>
      <c r="D231" s="1" t="n">
        <v>556</v>
      </c>
      <c r="E231" s="4">
        <f>IF(INDEX(C:C, ROW())+INDEX(D:D, ROW())=0, 0, INDEX(C:C, ROW())/(INDEX(C:C, ROW())+INDEX(D:D, ROW())))</f>
        <v/>
      </c>
      <c r="F231" s="1" t="inlineStr">
        <is>
          <t>String, Dynamic Programming</t>
        </is>
      </c>
      <c r="G231" s="1" t="inlineStr">
        <is>
          <t>Medium</t>
        </is>
      </c>
      <c r="H231" s="1" t="n">
        <v>786517</v>
      </c>
      <c r="I231" s="1" t="n">
        <v>1789292</v>
      </c>
      <c r="J231" s="9" t="n">
        <v>0.44</v>
      </c>
      <c r="K231" s="1" t="inlineStr">
        <is>
          <t>Yes</t>
        </is>
      </c>
      <c r="L231" s="1" t="inlineStr">
        <is>
          <t>Yes</t>
        </is>
      </c>
      <c r="M231" s="1" t="inlineStr">
        <is>
          <t>No</t>
        </is>
      </c>
      <c r="N231" s="1" t="inlineStr">
        <is>
          <t>Algorithms</t>
        </is>
      </c>
      <c r="O2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1" s="11" t="inlineStr">
        <is>
          <t>To Do</t>
        </is>
      </c>
    </row>
    <row r="232" ht="15.75" customHeight="1" s="12">
      <c r="A232" s="1" t="n">
        <v>204</v>
      </c>
      <c r="B232" s="3">
        <f>HYPERLINK("https://leetcode.com/problems/count-primes/", "Count Primes")</f>
        <v/>
      </c>
      <c r="C232" s="1" t="n">
        <v>8853</v>
      </c>
      <c r="D232" s="1" t="n">
        <v>1580</v>
      </c>
      <c r="E232" s="4">
        <f>IF(INDEX(C:C, ROW())+INDEX(D:D, ROW())=0, 0, INDEX(C:C, ROW())/(INDEX(C:C, ROW())+INDEX(D:D, ROW())))</f>
        <v/>
      </c>
      <c r="F232" s="1" t="inlineStr">
        <is>
          <t>Array, Math, Enumeration, Number Theory</t>
        </is>
      </c>
      <c r="G232" s="1" t="inlineStr">
        <is>
          <t>Medium</t>
        </is>
      </c>
      <c r="H232" s="1" t="n">
        <v>1269213</v>
      </c>
      <c r="I232" s="1" t="n">
        <v>3524342</v>
      </c>
      <c r="J232" s="9" t="n">
        <v>0.36</v>
      </c>
      <c r="K232" s="1" t="inlineStr">
        <is>
          <t>Yes</t>
        </is>
      </c>
      <c r="L232" s="1" t="inlineStr">
        <is>
          <t>Yes</t>
        </is>
      </c>
      <c r="M232" s="1" t="inlineStr">
        <is>
          <t>No</t>
        </is>
      </c>
      <c r="N232" s="1" t="inlineStr">
        <is>
          <t>Algorithms</t>
        </is>
      </c>
      <c r="O2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2" s="11" t="inlineStr">
        <is>
          <t>To Do</t>
        </is>
      </c>
    </row>
    <row r="233" ht="15.75" customHeight="1" s="12">
      <c r="A233" s="1" t="n">
        <v>983</v>
      </c>
      <c r="B233" s="3">
        <f>HYPERLINK("https://leetcode.com/problems/minimum-cost-for-tickets/", "Minimum Cost For Tickets")</f>
        <v/>
      </c>
      <c r="C233" s="1" t="n">
        <v>8819</v>
      </c>
      <c r="D233" s="1" t="n">
        <v>191</v>
      </c>
      <c r="E233" s="4">
        <f>IF(INDEX(C:C, ROW())+INDEX(D:D, ROW())=0, 0, INDEX(C:C, ROW())/(INDEX(C:C, ROW())+INDEX(D:D, ROW())))</f>
        <v/>
      </c>
      <c r="F233" s="1" t="inlineStr">
        <is>
          <t>Array, Dynamic Programming</t>
        </is>
      </c>
      <c r="G233" s="1" t="inlineStr">
        <is>
          <t>Medium</t>
        </is>
      </c>
      <c r="H233" s="1" t="n">
        <v>473159</v>
      </c>
      <c r="I233" s="1" t="n">
        <v>701841</v>
      </c>
      <c r="J233" s="9" t="n">
        <v>0.674</v>
      </c>
      <c r="K233" s="1" t="inlineStr">
        <is>
          <t>Yes</t>
        </is>
      </c>
      <c r="L233" s="1" t="inlineStr">
        <is>
          <t>Yes</t>
        </is>
      </c>
      <c r="M233" s="1" t="inlineStr">
        <is>
          <t>No</t>
        </is>
      </c>
      <c r="N233" s="1" t="inlineStr">
        <is>
          <t>Algorithms</t>
        </is>
      </c>
      <c r="O2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3" s="11" t="inlineStr">
        <is>
          <t>To Do</t>
        </is>
      </c>
    </row>
    <row r="234" ht="15.75" customHeight="1" s="12">
      <c r="A234" s="1" t="n">
        <v>1480</v>
      </c>
      <c r="B234" s="3">
        <f>HYPERLINK("https://leetcode.com/problems/running-sum-of-1d-array/", "Running Sum of 1d Array")</f>
        <v/>
      </c>
      <c r="C234" s="1" t="n">
        <v>8813</v>
      </c>
      <c r="D234" s="1" t="n">
        <v>371</v>
      </c>
      <c r="E234" s="4">
        <f>IF(INDEX(C:C, ROW())+INDEX(D:D, ROW())=0, 0, INDEX(C:C, ROW())/(INDEX(C:C, ROW())+INDEX(D:D, ROW())))</f>
        <v/>
      </c>
      <c r="F234" s="1" t="inlineStr">
        <is>
          <t>Array, Prefix Sum</t>
        </is>
      </c>
      <c r="G234" s="1" t="inlineStr">
        <is>
          <t>Easy</t>
        </is>
      </c>
      <c r="H234" s="1" t="n">
        <v>2390737</v>
      </c>
      <c r="I234" s="1" t="n">
        <v>2750082</v>
      </c>
      <c r="J234" s="9" t="n">
        <v>0.869</v>
      </c>
      <c r="K234" s="1" t="inlineStr">
        <is>
          <t>Yes</t>
        </is>
      </c>
      <c r="L234" s="1" t="inlineStr">
        <is>
          <t>Yes</t>
        </is>
      </c>
      <c r="M234" s="1" t="inlineStr">
        <is>
          <t>Yes</t>
        </is>
      </c>
      <c r="N234" s="1" t="inlineStr">
        <is>
          <t>Algorithms</t>
        </is>
      </c>
      <c r="O2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4" s="13" t="inlineStr">
        <is>
          <t>Done</t>
        </is>
      </c>
    </row>
    <row r="235" ht="15.75" customHeight="1" s="12">
      <c r="A235" s="1" t="n">
        <v>150</v>
      </c>
      <c r="B235" s="3">
        <f>HYPERLINK("https://leetcode.com/problems/evaluate-reverse-polish-notation/", "Evaluate Reverse Polish Notation")</f>
        <v/>
      </c>
      <c r="C235" s="1" t="n">
        <v>8753</v>
      </c>
      <c r="D235" s="1" t="n">
        <v>1195</v>
      </c>
      <c r="E235" s="4">
        <f>IF(INDEX(C:C, ROW())+INDEX(D:D, ROW())=0, 0, INDEX(C:C, ROW())/(INDEX(C:C, ROW())+INDEX(D:D, ROW())))</f>
        <v/>
      </c>
      <c r="F235" s="1" t="inlineStr">
        <is>
          <t>Array, Math, Stack</t>
        </is>
      </c>
      <c r="G235" s="1" t="inlineStr">
        <is>
          <t>Medium</t>
        </is>
      </c>
      <c r="H235" s="1" t="n">
        <v>1754515</v>
      </c>
      <c r="I235" s="1" t="n">
        <v>3042252</v>
      </c>
      <c r="J235" s="9" t="n">
        <v>0.577</v>
      </c>
      <c r="K235" s="1" t="inlineStr">
        <is>
          <t>Yes</t>
        </is>
      </c>
      <c r="L235" s="1" t="inlineStr">
        <is>
          <t>Yes</t>
        </is>
      </c>
      <c r="M235" s="1" t="inlineStr">
        <is>
          <t>No</t>
        </is>
      </c>
      <c r="N235" s="1" t="inlineStr">
        <is>
          <t>Algorithms</t>
        </is>
      </c>
      <c r="O2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5" s="11" t="inlineStr">
        <is>
          <t>To Do</t>
        </is>
      </c>
    </row>
    <row r="236" ht="15.75" customHeight="1" s="12">
      <c r="A236" s="1" t="n">
        <v>417</v>
      </c>
      <c r="B236" s="3">
        <f>HYPERLINK("https://leetcode.com/problems/pacific-atlantic-water-flow/", "Pacific Atlantic Water Flow")</f>
        <v/>
      </c>
      <c r="C236" s="1" t="n">
        <v>8737</v>
      </c>
      <c r="D236" s="1" t="n">
        <v>1838</v>
      </c>
      <c r="E236" s="4">
        <f>IF(INDEX(C:C, ROW())+INDEX(D:D, ROW())=0, 0, INDEX(C:C, ROW())/(INDEX(C:C, ROW())+INDEX(D:D, ROW())))</f>
        <v/>
      </c>
      <c r="F236" s="1" t="inlineStr">
        <is>
          <t>Array, Depth-First Search, Breadth-First Search, Matrix</t>
        </is>
      </c>
      <c r="G236" s="1" t="inlineStr">
        <is>
          <t>Medium</t>
        </is>
      </c>
      <c r="H236" s="1" t="n">
        <v>808819</v>
      </c>
      <c r="I236" s="1" t="n">
        <v>1328200</v>
      </c>
      <c r="J236" s="9" t="n">
        <v>0.609</v>
      </c>
      <c r="K236" s="1" t="inlineStr">
        <is>
          <t>Yes</t>
        </is>
      </c>
      <c r="L236" s="1" t="inlineStr">
        <is>
          <t>Yes</t>
        </is>
      </c>
      <c r="M236" s="1" t="inlineStr">
        <is>
          <t>No</t>
        </is>
      </c>
      <c r="N236" s="1" t="inlineStr">
        <is>
          <t>Algorithms</t>
        </is>
      </c>
      <c r="O2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6" s="11" t="inlineStr">
        <is>
          <t>To Do</t>
        </is>
      </c>
    </row>
    <row r="237" ht="15.75" customHeight="1" s="12">
      <c r="A237" s="1" t="n">
        <v>106</v>
      </c>
      <c r="B237" s="3">
        <f>HYPERLINK("https://leetcode.com/problems/construct-binary-tree-from-inorder-and-postorder-traversal/", "Construct Binary Tree from Inorder and Postorder Traversal")</f>
        <v/>
      </c>
      <c r="C237" s="1" t="n">
        <v>8713</v>
      </c>
      <c r="D237" s="1" t="n">
        <v>159</v>
      </c>
      <c r="E237" s="4">
        <f>IF(INDEX(C:C, ROW())+INDEX(D:D, ROW())=0, 0, INDEX(C:C, ROW())/(INDEX(C:C, ROW())+INDEX(D:D, ROW())))</f>
        <v/>
      </c>
      <c r="F237" s="1" t="inlineStr">
        <is>
          <t>Array, Hash Table, Divide and Conquer, Tree, Binary Tree</t>
        </is>
      </c>
      <c r="G237" s="1" t="inlineStr">
        <is>
          <t>Medium</t>
        </is>
      </c>
      <c r="H237" s="1" t="n">
        <v>955834</v>
      </c>
      <c r="I237" s="1" t="n">
        <v>1394032</v>
      </c>
      <c r="J237" s="9" t="n">
        <v>0.6860000000000001</v>
      </c>
      <c r="K237" s="1" t="inlineStr">
        <is>
          <t>Yes</t>
        </is>
      </c>
      <c r="L237" s="1" t="inlineStr">
        <is>
          <t>Yes</t>
        </is>
      </c>
      <c r="M237" s="1" t="inlineStr">
        <is>
          <t>No</t>
        </is>
      </c>
      <c r="N237" s="1" t="inlineStr">
        <is>
          <t>Algorithms</t>
        </is>
      </c>
      <c r="O2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7" s="11" t="inlineStr">
        <is>
          <t>To Do</t>
        </is>
      </c>
    </row>
    <row r="238" ht="15.75" customHeight="1" s="12">
      <c r="A238" s="1" t="n">
        <v>137</v>
      </c>
      <c r="B238" s="3">
        <f>HYPERLINK("https://leetcode.com/problems/single-number-ii/", "Single Number II")</f>
        <v/>
      </c>
      <c r="C238" s="1" t="n">
        <v>8700</v>
      </c>
      <c r="D238" s="1" t="n">
        <v>752</v>
      </c>
      <c r="E238" s="4">
        <f>IF(INDEX(C:C, ROW())+INDEX(D:D, ROW())=0, 0, INDEX(C:C, ROW())/(INDEX(C:C, ROW())+INDEX(D:D, ROW())))</f>
        <v/>
      </c>
      <c r="F238" s="1" t="inlineStr">
        <is>
          <t>Array, Bit Manipulation</t>
        </is>
      </c>
      <c r="G238" s="1" t="inlineStr">
        <is>
          <t>Medium</t>
        </is>
      </c>
      <c r="H238" s="1" t="n">
        <v>889672</v>
      </c>
      <c r="I238" s="1" t="n">
        <v>1327099</v>
      </c>
      <c r="J238" s="9" t="n">
        <v>0.67</v>
      </c>
      <c r="K238" s="1" t="inlineStr">
        <is>
          <t>Yes</t>
        </is>
      </c>
      <c r="L238" s="1" t="inlineStr">
        <is>
          <t>Yes</t>
        </is>
      </c>
      <c r="M238" s="1" t="inlineStr">
        <is>
          <t>No</t>
        </is>
      </c>
      <c r="N238" s="1" t="inlineStr">
        <is>
          <t>Algorithms</t>
        </is>
      </c>
      <c r="O2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8" s="11" t="inlineStr">
        <is>
          <t>To Do</t>
        </is>
      </c>
    </row>
    <row r="239" ht="15.75" customHeight="1" s="12">
      <c r="A239" s="1" t="n">
        <v>129</v>
      </c>
      <c r="B239" s="3">
        <f>HYPERLINK("https://leetcode.com/problems/sum-root-to-leaf-numbers/", "Sum Root to Leaf Numbers")</f>
        <v/>
      </c>
      <c r="C239" s="1" t="n">
        <v>8693</v>
      </c>
      <c r="D239" s="1" t="n">
        <v>160</v>
      </c>
      <c r="E239" s="4">
        <f>IF(INDEX(C:C, ROW())+INDEX(D:D, ROW())=0, 0, INDEX(C:C, ROW())/(INDEX(C:C, ROW())+INDEX(D:D, ROW())))</f>
        <v/>
      </c>
      <c r="F239" s="1" t="inlineStr">
        <is>
          <t>Tree, Depth-First Search, Binary Tree</t>
        </is>
      </c>
      <c r="G239" s="1" t="inlineStr">
        <is>
          <t>Medium</t>
        </is>
      </c>
      <c r="H239" s="1" t="n">
        <v>1282532</v>
      </c>
      <c r="I239" s="1" t="n">
        <v>1834325</v>
      </c>
      <c r="J239" s="9" t="n">
        <v>0.699</v>
      </c>
      <c r="K239" s="1" t="inlineStr">
        <is>
          <t>Yes</t>
        </is>
      </c>
      <c r="L239" s="1" t="inlineStr">
        <is>
          <t>Yes</t>
        </is>
      </c>
      <c r="M239" s="1" t="inlineStr">
        <is>
          <t>No</t>
        </is>
      </c>
      <c r="N239" s="1" t="inlineStr">
        <is>
          <t>Algorithms</t>
        </is>
      </c>
      <c r="O2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9" s="11" t="inlineStr">
        <is>
          <t>To Do</t>
        </is>
      </c>
    </row>
    <row r="240" ht="15.75" customHeight="1" s="12">
      <c r="A240" s="1" t="n">
        <v>987</v>
      </c>
      <c r="B240" s="3">
        <f>HYPERLINK("https://leetcode.com/problems/vertical-order-traversal-of-a-binary-tree/", "Vertical Order Traversal of a Binary Tree")</f>
        <v/>
      </c>
      <c r="C240" s="1" t="n">
        <v>8684</v>
      </c>
      <c r="D240" s="1" t="n">
        <v>4392</v>
      </c>
      <c r="E240" s="4">
        <f>IF(INDEX(C:C, ROW())+INDEX(D:D, ROW())=0, 0, INDEX(C:C, ROW())/(INDEX(C:C, ROW())+INDEX(D:D, ROW())))</f>
        <v/>
      </c>
      <c r="F240" s="1" t="inlineStr">
        <is>
          <t>Hash Table, Tree, Depth-First Search, Breadth-First Search, Sorting, Binary Tree</t>
        </is>
      </c>
      <c r="G240" s="1" t="inlineStr">
        <is>
          <t>Hard</t>
        </is>
      </c>
      <c r="H240" s="1" t="n">
        <v>717211</v>
      </c>
      <c r="I240" s="1" t="n">
        <v>1336399</v>
      </c>
      <c r="J240" s="9" t="n">
        <v>0.537</v>
      </c>
      <c r="K240" s="1" t="inlineStr">
        <is>
          <t>Yes</t>
        </is>
      </c>
      <c r="L240" s="1" t="inlineStr">
        <is>
          <t>Yes</t>
        </is>
      </c>
      <c r="M240" s="1" t="inlineStr">
        <is>
          <t>Yes</t>
        </is>
      </c>
      <c r="N240" s="1" t="inlineStr">
        <is>
          <t>Algorithms</t>
        </is>
      </c>
      <c r="O2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0" s="11" t="inlineStr">
        <is>
          <t>To Do</t>
        </is>
      </c>
    </row>
    <row r="241" ht="15.75" customHeight="1" s="12">
      <c r="A241" s="1" t="n">
        <v>232</v>
      </c>
      <c r="B241" s="3">
        <f>HYPERLINK("https://leetcode.com/problems/implement-queue-using-stacks/", "Implement Queue using Stacks")</f>
        <v/>
      </c>
      <c r="C241" s="1" t="n">
        <v>8660</v>
      </c>
      <c r="D241" s="1" t="n">
        <v>493</v>
      </c>
      <c r="E241" s="4">
        <f>IF(INDEX(C:C, ROW())+INDEX(D:D, ROW())=0, 0, INDEX(C:C, ROW())/(INDEX(C:C, ROW())+INDEX(D:D, ROW())))</f>
        <v/>
      </c>
      <c r="F241" s="1" t="inlineStr">
        <is>
          <t>Stack, Design, Queue</t>
        </is>
      </c>
      <c r="G241" s="1" t="inlineStr">
        <is>
          <t>Easy</t>
        </is>
      </c>
      <c r="H241" s="1" t="n">
        <v>1492162</v>
      </c>
      <c r="I241" s="1" t="n">
        <v>2139303</v>
      </c>
      <c r="J241" s="9" t="n">
        <v>0.697</v>
      </c>
      <c r="K241" s="1" t="inlineStr">
        <is>
          <t>Yes</t>
        </is>
      </c>
      <c r="L241" s="1" t="inlineStr">
        <is>
          <t>Yes</t>
        </is>
      </c>
      <c r="M241" s="1" t="inlineStr">
        <is>
          <t>No</t>
        </is>
      </c>
      <c r="N241" s="1" t="inlineStr">
        <is>
          <t>Algorithms</t>
        </is>
      </c>
      <c r="O2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1" s="13" t="inlineStr">
        <is>
          <t>Done</t>
        </is>
      </c>
    </row>
    <row r="242" ht="15.75" customHeight="1" s="12">
      <c r="A242" s="1" t="n">
        <v>113</v>
      </c>
      <c r="B242" s="3">
        <f>HYPERLINK("https://leetcode.com/problems/path-sum-ii/", "Path Sum II")</f>
        <v/>
      </c>
      <c r="C242" s="1" t="n">
        <v>8654</v>
      </c>
      <c r="D242" s="1" t="n">
        <v>171</v>
      </c>
      <c r="E242" s="4">
        <f>IF(INDEX(C:C, ROW())+INDEX(D:D, ROW())=0, 0, INDEX(C:C, ROW())/(INDEX(C:C, ROW())+INDEX(D:D, ROW())))</f>
        <v/>
      </c>
      <c r="F242" s="1" t="inlineStr">
        <is>
          <t>Backtracking, Tree, Depth-First Search, Binary Tree</t>
        </is>
      </c>
      <c r="G242" s="1" t="inlineStr">
        <is>
          <t>Medium</t>
        </is>
      </c>
      <c r="H242" s="1" t="n">
        <v>1176799</v>
      </c>
      <c r="I242" s="1" t="n">
        <v>1893096</v>
      </c>
      <c r="J242" s="9" t="n">
        <v>0.622</v>
      </c>
      <c r="K242" s="1" t="inlineStr">
        <is>
          <t>Yes</t>
        </is>
      </c>
      <c r="L242" s="1" t="inlineStr">
        <is>
          <t>Yes</t>
        </is>
      </c>
      <c r="M242" s="1" t="inlineStr">
        <is>
          <t>No</t>
        </is>
      </c>
      <c r="N242" s="1" t="inlineStr">
        <is>
          <t>Algorithms</t>
        </is>
      </c>
      <c r="O2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2" s="11" t="inlineStr">
        <is>
          <t>To Do</t>
        </is>
      </c>
    </row>
    <row r="243" ht="15.75" customHeight="1" s="12">
      <c r="A243" s="1" t="n">
        <v>99</v>
      </c>
      <c r="B243" s="3">
        <f>HYPERLINK("https://leetcode.com/problems/recover-binary-search-tree/", "Recover Binary Search Tree")</f>
        <v/>
      </c>
      <c r="C243" s="1" t="n">
        <v>8626</v>
      </c>
      <c r="D243" s="1" t="n">
        <v>292</v>
      </c>
      <c r="E243" s="4">
        <f>IF(INDEX(C:C, ROW())+INDEX(D:D, ROW())=0, 0, INDEX(C:C, ROW())/(INDEX(C:C, ROW())+INDEX(D:D, ROW())))</f>
        <v/>
      </c>
      <c r="F243" s="1" t="inlineStr">
        <is>
          <t>Tree, Depth-First Search, Binary Search Tree, Binary Tree</t>
        </is>
      </c>
      <c r="G243" s="1" t="inlineStr">
        <is>
          <t>Medium</t>
        </is>
      </c>
      <c r="H243" s="1" t="n">
        <v>668502</v>
      </c>
      <c r="I243" s="1" t="n">
        <v>1122628</v>
      </c>
      <c r="J243" s="9" t="n">
        <v>0.595</v>
      </c>
      <c r="K243" s="1" t="inlineStr">
        <is>
          <t>Yes</t>
        </is>
      </c>
      <c r="L243" s="1" t="inlineStr">
        <is>
          <t>Yes</t>
        </is>
      </c>
      <c r="M243" s="1" t="inlineStr">
        <is>
          <t>No</t>
        </is>
      </c>
      <c r="N243" s="1" t="inlineStr">
        <is>
          <t>Algorithms</t>
        </is>
      </c>
      <c r="O2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3" s="11" t="inlineStr">
        <is>
          <t>To Do</t>
        </is>
      </c>
    </row>
    <row r="244" ht="15.75" customHeight="1" s="12">
      <c r="A244" s="1" t="n">
        <v>12</v>
      </c>
      <c r="B244" s="3">
        <f>HYPERLINK("https://leetcode.com/problems/integer-to-roman/", "Integer to Roman")</f>
        <v/>
      </c>
      <c r="C244" s="1" t="n">
        <v>8560</v>
      </c>
      <c r="D244" s="1" t="n">
        <v>5722</v>
      </c>
      <c r="E244" s="4">
        <f>IF(INDEX(C:C, ROW())+INDEX(D:D, ROW())=0, 0, INDEX(C:C, ROW())/(INDEX(C:C, ROW())+INDEX(D:D, ROW())))</f>
        <v/>
      </c>
      <c r="F244" s="1" t="inlineStr">
        <is>
          <t>Hash Table, Math, String</t>
        </is>
      </c>
      <c r="G244" s="1" t="inlineStr">
        <is>
          <t>Medium</t>
        </is>
      </c>
      <c r="H244" s="1" t="n">
        <v>2138472</v>
      </c>
      <c r="I244" s="1" t="n">
        <v>3015918</v>
      </c>
      <c r="J244" s="9" t="n">
        <v>0.709</v>
      </c>
      <c r="K244" s="1" t="inlineStr">
        <is>
          <t>Yes</t>
        </is>
      </c>
      <c r="L244" s="1" t="inlineStr">
        <is>
          <t>Yes</t>
        </is>
      </c>
      <c r="M244" s="1" t="inlineStr">
        <is>
          <t>Yes</t>
        </is>
      </c>
      <c r="N244" s="1" t="inlineStr">
        <is>
          <t>Algorithms</t>
        </is>
      </c>
      <c r="O2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4" s="10" t="inlineStr">
        <is>
          <t>Done</t>
        </is>
      </c>
    </row>
    <row r="245" ht="15.75" customHeight="1" s="12">
      <c r="A245" s="1" t="n">
        <v>852</v>
      </c>
      <c r="B245" s="3">
        <f>HYPERLINK("https://leetcode.com/problems/peak-index-in-a-mountain-array/", "Peak Index in a Mountain Array")</f>
        <v/>
      </c>
      <c r="C245" s="1" t="n">
        <v>8535</v>
      </c>
      <c r="D245" s="1" t="n">
        <v>1954</v>
      </c>
      <c r="E245" s="4">
        <f>IF(INDEX(C:C, ROW())+INDEX(D:D, ROW())=0, 0, INDEX(C:C, ROW())/(INDEX(C:C, ROW())+INDEX(D:D, ROW())))</f>
        <v/>
      </c>
      <c r="F245" s="1" t="inlineStr">
        <is>
          <t>Array, Binary Search</t>
        </is>
      </c>
      <c r="G245" s="1" t="inlineStr">
        <is>
          <t>Medium</t>
        </is>
      </c>
      <c r="H245" s="1" t="n">
        <v>1200002</v>
      </c>
      <c r="I245" s="1" t="n">
        <v>1794977</v>
      </c>
      <c r="J245" s="9" t="n">
        <v>0.669</v>
      </c>
      <c r="K245" s="1" t="inlineStr">
        <is>
          <t>Yes</t>
        </is>
      </c>
      <c r="L245" s="1" t="inlineStr">
        <is>
          <t>Yes</t>
        </is>
      </c>
      <c r="M245" s="1" t="inlineStr">
        <is>
          <t>No</t>
        </is>
      </c>
      <c r="N245" s="1" t="inlineStr">
        <is>
          <t>Algorithms</t>
        </is>
      </c>
      <c r="O2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5" s="11" t="inlineStr">
        <is>
          <t>To Do</t>
        </is>
      </c>
    </row>
    <row r="246" ht="15.75" customHeight="1" s="12">
      <c r="A246" s="1" t="n">
        <v>743</v>
      </c>
      <c r="B246" s="3">
        <f>HYPERLINK("https://leetcode.com/problems/network-delay-time/", "Network Delay Time")</f>
        <v/>
      </c>
      <c r="C246" s="1" t="n">
        <v>8421</v>
      </c>
      <c r="D246" s="1" t="n">
        <v>392</v>
      </c>
      <c r="E246" s="4">
        <f>IF(INDEX(C:C, ROW())+INDEX(D:D, ROW())=0, 0, INDEX(C:C, ROW())/(INDEX(C:C, ROW())+INDEX(D:D, ROW())))</f>
        <v/>
      </c>
      <c r="F246" s="1" t="inlineStr">
        <is>
          <t>Depth-First Search, Breadth-First Search, Graph Theory, Heap (Priority Queue), Shortest Path</t>
        </is>
      </c>
      <c r="G246" s="1" t="inlineStr">
        <is>
          <t>Medium</t>
        </is>
      </c>
      <c r="H246" s="1" t="n">
        <v>881064</v>
      </c>
      <c r="I246" s="1" t="n">
        <v>1460723</v>
      </c>
      <c r="J246" s="9" t="n">
        <v>0.603</v>
      </c>
      <c r="K246" s="1" t="inlineStr">
        <is>
          <t>Yes</t>
        </is>
      </c>
      <c r="L246" s="1" t="inlineStr">
        <is>
          <t>Yes</t>
        </is>
      </c>
      <c r="M246" s="1" t="inlineStr">
        <is>
          <t>No</t>
        </is>
      </c>
      <c r="N246" s="1" t="inlineStr">
        <is>
          <t>Algorithms</t>
        </is>
      </c>
      <c r="O2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6" s="11" t="inlineStr">
        <is>
          <t>To Do</t>
        </is>
      </c>
    </row>
    <row r="247" ht="15.75" customHeight="1" s="12">
      <c r="A247" s="1" t="n">
        <v>80</v>
      </c>
      <c r="B247" s="3">
        <f>HYPERLINK("https://leetcode.com/problems/remove-duplicates-from-sorted-array-ii/", "Remove Duplicates from Sorted Array II")</f>
        <v/>
      </c>
      <c r="C247" s="1" t="n">
        <v>8295</v>
      </c>
      <c r="D247" s="1" t="n">
        <v>1521</v>
      </c>
      <c r="E247" s="4">
        <f>IF(INDEX(C:C, ROW())+INDEX(D:D, ROW())=0, 0, INDEX(C:C, ROW())/(INDEX(C:C, ROW())+INDEX(D:D, ROW())))</f>
        <v/>
      </c>
      <c r="F247" s="1" t="inlineStr">
        <is>
          <t>Array, Two Pointers</t>
        </is>
      </c>
      <c r="G247" s="1" t="inlineStr">
        <is>
          <t>Medium</t>
        </is>
      </c>
      <c r="H247" s="1" t="n">
        <v>1936488</v>
      </c>
      <c r="I247" s="1" t="n">
        <v>2995633</v>
      </c>
      <c r="J247" s="9" t="n">
        <v>0.646</v>
      </c>
      <c r="K247" s="1" t="inlineStr">
        <is>
          <t>Yes</t>
        </is>
      </c>
      <c r="L247" s="1" t="inlineStr">
        <is>
          <t>Yes</t>
        </is>
      </c>
      <c r="M247" s="1" t="inlineStr">
        <is>
          <t>No</t>
        </is>
      </c>
      <c r="N247" s="1" t="inlineStr">
        <is>
          <t>Algorithms</t>
        </is>
      </c>
      <c r="O2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7" s="11" t="inlineStr">
        <is>
          <t>To Do</t>
        </is>
      </c>
    </row>
    <row r="248" ht="15.75" customHeight="1" s="12">
      <c r="A248" s="1" t="n">
        <v>350</v>
      </c>
      <c r="B248" s="3">
        <f>HYPERLINK("https://leetcode.com/problems/intersection-of-two-arrays-ii/", "Intersection of Two Arrays II")</f>
        <v/>
      </c>
      <c r="C248" s="1" t="n">
        <v>8217</v>
      </c>
      <c r="D248" s="1" t="n">
        <v>1010</v>
      </c>
      <c r="E248" s="4">
        <f>IF(INDEX(C:C, ROW())+INDEX(D:D, ROW())=0, 0, INDEX(C:C, ROW())/(INDEX(C:C, ROW())+INDEX(D:D, ROW())))</f>
        <v/>
      </c>
      <c r="F248" s="1" t="inlineStr">
        <is>
          <t>Array, Hash Table, Two Pointers, Binary Search, Sorting</t>
        </is>
      </c>
      <c r="G248" s="1" t="inlineStr">
        <is>
          <t>Easy</t>
        </is>
      </c>
      <c r="H248" s="1" t="n">
        <v>1742562</v>
      </c>
      <c r="I248" s="1" t="n">
        <v>2910417</v>
      </c>
      <c r="J248" s="9" t="n">
        <v>0.599</v>
      </c>
      <c r="K248" s="1" t="inlineStr">
        <is>
          <t>Yes</t>
        </is>
      </c>
      <c r="L248" s="1" t="inlineStr">
        <is>
          <t>Yes</t>
        </is>
      </c>
      <c r="M248" s="1" t="inlineStr">
        <is>
          <t>No</t>
        </is>
      </c>
      <c r="N248" s="1" t="inlineStr">
        <is>
          <t>Algorithms</t>
        </is>
      </c>
      <c r="O2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8" s="13" t="inlineStr">
        <is>
          <t>Done</t>
        </is>
      </c>
    </row>
    <row r="249" ht="15.75" customHeight="1" s="12">
      <c r="A249" s="1" t="n">
        <v>452</v>
      </c>
      <c r="B249" s="3">
        <f>HYPERLINK("https://leetcode.com/problems/minimum-number-of-arrows-to-burst-balloons/", "Minimum Number of Arrows to Burst Balloons")</f>
        <v/>
      </c>
      <c r="C249" s="1" t="n">
        <v>8119</v>
      </c>
      <c r="D249" s="1" t="n">
        <v>275</v>
      </c>
      <c r="E249" s="4">
        <f>IF(INDEX(C:C, ROW())+INDEX(D:D, ROW())=0, 0, INDEX(C:C, ROW())/(INDEX(C:C, ROW())+INDEX(D:D, ROW())))</f>
        <v/>
      </c>
      <c r="F249" s="1" t="inlineStr">
        <is>
          <t>Array, Greedy, Sorting</t>
        </is>
      </c>
      <c r="G249" s="1" t="inlineStr">
        <is>
          <t>Medium</t>
        </is>
      </c>
      <c r="H249" s="1" t="n">
        <v>786063</v>
      </c>
      <c r="I249" s="1" t="n">
        <v>1279993</v>
      </c>
      <c r="J249" s="9" t="n">
        <v>0.614</v>
      </c>
      <c r="K249" s="1" t="inlineStr">
        <is>
          <t>Yes</t>
        </is>
      </c>
      <c r="L249" s="1" t="inlineStr">
        <is>
          <t>Yes</t>
        </is>
      </c>
      <c r="M249" s="1" t="inlineStr">
        <is>
          <t>No</t>
        </is>
      </c>
      <c r="N249" s="1" t="inlineStr">
        <is>
          <t>Algorithms</t>
        </is>
      </c>
      <c r="O2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9" s="11" t="inlineStr">
        <is>
          <t>To Do</t>
        </is>
      </c>
    </row>
    <row r="250" ht="15.75" customHeight="1" s="12">
      <c r="A250" s="1" t="n">
        <v>211</v>
      </c>
      <c r="B250" s="3">
        <f>HYPERLINK("https://leetcode.com/problems/design-add-and-search-words-data-structure/", "Design Add and Search Words Data Structure")</f>
        <v/>
      </c>
      <c r="C250" s="1" t="n">
        <v>8101</v>
      </c>
      <c r="D250" s="1" t="n">
        <v>493</v>
      </c>
      <c r="E250" s="4">
        <f>IF(INDEX(C:C, ROW())+INDEX(D:D, ROW())=0, 0, INDEX(C:C, ROW())/(INDEX(C:C, ROW())+INDEX(D:D, ROW())))</f>
        <v/>
      </c>
      <c r="F250" s="1" t="inlineStr">
        <is>
          <t>String, Depth-First Search, Design, Trie</t>
        </is>
      </c>
      <c r="G250" s="1" t="inlineStr">
        <is>
          <t>Medium</t>
        </is>
      </c>
      <c r="H250" s="1" t="n">
        <v>887117</v>
      </c>
      <c r="I250" s="1" t="n">
        <v>1831334</v>
      </c>
      <c r="J250" s="9" t="n">
        <v>0.484</v>
      </c>
      <c r="K250" s="1" t="inlineStr">
        <is>
          <t>Yes</t>
        </is>
      </c>
      <c r="L250" s="1" t="inlineStr">
        <is>
          <t>Yes</t>
        </is>
      </c>
      <c r="M250" s="1" t="inlineStr">
        <is>
          <t>No</t>
        </is>
      </c>
      <c r="N250" s="1" t="inlineStr">
        <is>
          <t>Algorithms</t>
        </is>
      </c>
      <c r="O2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0" s="11" t="inlineStr">
        <is>
          <t>To Do</t>
        </is>
      </c>
    </row>
    <row r="251" ht="15.75" customHeight="1" s="12">
      <c r="A251" s="1" t="n">
        <v>231</v>
      </c>
      <c r="B251" s="3">
        <f>HYPERLINK("https://leetcode.com/problems/power-of-two/", "Power of Two")</f>
        <v/>
      </c>
      <c r="C251" s="1" t="n">
        <v>8082</v>
      </c>
      <c r="D251" s="1" t="n">
        <v>505</v>
      </c>
      <c r="E251" s="4">
        <f>IF(INDEX(C:C, ROW())+INDEX(D:D, ROW())=0, 0, INDEX(C:C, ROW())/(INDEX(C:C, ROW())+INDEX(D:D, ROW())))</f>
        <v/>
      </c>
      <c r="F251" s="1" t="inlineStr">
        <is>
          <t>Math, Bit Manipulation, Recursion</t>
        </is>
      </c>
      <c r="G251" s="1" t="inlineStr">
        <is>
          <t>Easy</t>
        </is>
      </c>
      <c r="H251" s="1" t="n">
        <v>2227671</v>
      </c>
      <c r="I251" s="1" t="n">
        <v>4448083</v>
      </c>
      <c r="J251" s="9" t="n">
        <v>0.501</v>
      </c>
      <c r="K251" s="1" t="inlineStr">
        <is>
          <t>Yes</t>
        </is>
      </c>
      <c r="L251" s="1" t="inlineStr">
        <is>
          <t>Yes</t>
        </is>
      </c>
      <c r="M251" s="1" t="inlineStr">
        <is>
          <t>No</t>
        </is>
      </c>
      <c r="N251" s="1" t="inlineStr">
        <is>
          <t>Algorithms</t>
        </is>
      </c>
      <c r="O2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1" s="13" t="inlineStr">
        <is>
          <t>Done</t>
        </is>
      </c>
    </row>
    <row r="252" ht="15.75" customHeight="1" s="12">
      <c r="A252" s="1" t="n">
        <v>86</v>
      </c>
      <c r="B252" s="3">
        <f>HYPERLINK("https://leetcode.com/problems/partition-list/", "Partition List")</f>
        <v/>
      </c>
      <c r="C252" s="1" t="n">
        <v>8071</v>
      </c>
      <c r="D252" s="1" t="n">
        <v>984</v>
      </c>
      <c r="E252" s="4">
        <f>IF(INDEX(C:C, ROW())+INDEX(D:D, ROW())=0, 0, INDEX(C:C, ROW())/(INDEX(C:C, ROW())+INDEX(D:D, ROW())))</f>
        <v/>
      </c>
      <c r="F252" s="1" t="inlineStr">
        <is>
          <t>Linked List, Two Pointers</t>
        </is>
      </c>
      <c r="G252" s="1" t="inlineStr">
        <is>
          <t>Medium</t>
        </is>
      </c>
      <c r="H252" s="1" t="n">
        <v>910752</v>
      </c>
      <c r="I252" s="1" t="n">
        <v>1490417</v>
      </c>
      <c r="J252" s="9" t="n">
        <v>0.611</v>
      </c>
      <c r="K252" s="1" t="inlineStr">
        <is>
          <t>Yes</t>
        </is>
      </c>
      <c r="L252" s="1" t="inlineStr">
        <is>
          <t>Yes</t>
        </is>
      </c>
      <c r="M252" s="1" t="inlineStr">
        <is>
          <t>No</t>
        </is>
      </c>
      <c r="N252" s="1" t="inlineStr">
        <is>
          <t>Algorithms</t>
        </is>
      </c>
      <c r="O2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2" s="11" t="inlineStr">
        <is>
          <t>To Do</t>
        </is>
      </c>
    </row>
    <row r="253" ht="15.75" customHeight="1" s="12">
      <c r="A253" s="1" t="n">
        <v>692</v>
      </c>
      <c r="B253" s="3">
        <f>HYPERLINK("https://leetcode.com/problems/top-k-frequent-words/", "Top K Frequent Words")</f>
        <v/>
      </c>
      <c r="C253" s="1" t="n">
        <v>8053</v>
      </c>
      <c r="D253" s="1" t="n">
        <v>375</v>
      </c>
      <c r="E253" s="4">
        <f>IF(INDEX(C:C, ROW())+INDEX(D:D, ROW())=0, 0, INDEX(C:C, ROW())/(INDEX(C:C, ROW())+INDEX(D:D, ROW())))</f>
        <v/>
      </c>
      <c r="F253" s="1" t="inlineStr">
        <is>
          <t>Array, Hash Table, String, Trie, Sorting, Heap (Priority Queue), Bucket Sort, Counting</t>
        </is>
      </c>
      <c r="G253" s="1" t="inlineStr">
        <is>
          <t>Medium</t>
        </is>
      </c>
      <c r="H253" s="1" t="n">
        <v>790969</v>
      </c>
      <c r="I253" s="1" t="n">
        <v>1314986</v>
      </c>
      <c r="J253" s="9" t="n">
        <v>0.602</v>
      </c>
      <c r="K253" s="1" t="inlineStr">
        <is>
          <t>Yes</t>
        </is>
      </c>
      <c r="L253" s="1" t="inlineStr">
        <is>
          <t>Yes</t>
        </is>
      </c>
      <c r="M253" s="1" t="inlineStr">
        <is>
          <t>No</t>
        </is>
      </c>
      <c r="N253" s="1" t="inlineStr">
        <is>
          <t>Algorithms</t>
        </is>
      </c>
      <c r="O2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3" s="11" t="inlineStr">
        <is>
          <t>To Do</t>
        </is>
      </c>
    </row>
    <row r="254" ht="15.75" customHeight="1" s="12">
      <c r="A254" s="1" t="n">
        <v>581</v>
      </c>
      <c r="B254" s="3">
        <f>HYPERLINK("https://leetcode.com/problems/shortest-unsorted-continuous-subarray/", "Shortest Unsorted Continuous Subarray")</f>
        <v/>
      </c>
      <c r="C254" s="1" t="n">
        <v>8051</v>
      </c>
      <c r="D254" s="1" t="n">
        <v>276</v>
      </c>
      <c r="E254" s="4">
        <f>IF(INDEX(C:C, ROW())+INDEX(D:D, ROW())=0, 0, INDEX(C:C, ROW())/(INDEX(C:C, ROW())+INDEX(D:D, ROW())))</f>
        <v/>
      </c>
      <c r="F254" s="1" t="inlineStr">
        <is>
          <t>Array, Two Pointers, Stack, Greedy, Sorting, Monotonic Stack</t>
        </is>
      </c>
      <c r="G254" s="1" t="inlineStr">
        <is>
          <t>Medium</t>
        </is>
      </c>
      <c r="H254" s="1" t="n">
        <v>394885</v>
      </c>
      <c r="I254" s="1" t="n">
        <v>1034667</v>
      </c>
      <c r="J254" s="9" t="n">
        <v>0.382</v>
      </c>
      <c r="K254" s="1" t="inlineStr">
        <is>
          <t>Yes</t>
        </is>
      </c>
      <c r="L254" s="1" t="inlineStr">
        <is>
          <t>Yes</t>
        </is>
      </c>
      <c r="M254" s="1" t="inlineStr">
        <is>
          <t>No</t>
        </is>
      </c>
      <c r="N254" s="1" t="inlineStr">
        <is>
          <t>Algorithms</t>
        </is>
      </c>
      <c r="O2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4" s="11" t="inlineStr">
        <is>
          <t>To Do</t>
        </is>
      </c>
    </row>
    <row r="255" ht="15.75" customHeight="1" s="12">
      <c r="A255" s="1" t="n">
        <v>1539</v>
      </c>
      <c r="B255" s="3">
        <f>HYPERLINK("https://leetcode.com/problems/kth-missing-positive-number/", "Kth Missing Positive Number")</f>
        <v/>
      </c>
      <c r="C255" s="1" t="n">
        <v>8022</v>
      </c>
      <c r="D255" s="1" t="n">
        <v>579</v>
      </c>
      <c r="E255" s="4">
        <f>IF(INDEX(C:C, ROW())+INDEX(D:D, ROW())=0, 0, INDEX(C:C, ROW())/(INDEX(C:C, ROW())+INDEX(D:D, ROW())))</f>
        <v/>
      </c>
      <c r="F255" s="1" t="inlineStr">
        <is>
          <t>Array, Binary Search</t>
        </is>
      </c>
      <c r="G255" s="1" t="inlineStr">
        <is>
          <t>Easy</t>
        </is>
      </c>
      <c r="H255" s="1" t="n">
        <v>839714</v>
      </c>
      <c r="I255" s="1" t="n">
        <v>1323552</v>
      </c>
      <c r="J255" s="9" t="n">
        <v>0.634</v>
      </c>
      <c r="K255" s="1" t="inlineStr">
        <is>
          <t>Yes</t>
        </is>
      </c>
      <c r="L255" s="1" t="inlineStr">
        <is>
          <t>Yes</t>
        </is>
      </c>
      <c r="M255" s="1" t="inlineStr">
        <is>
          <t>No</t>
        </is>
      </c>
      <c r="N255" s="1" t="inlineStr">
        <is>
          <t>Algorithms</t>
        </is>
      </c>
      <c r="O2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5" s="13" t="inlineStr">
        <is>
          <t>Done</t>
        </is>
      </c>
    </row>
    <row r="256" ht="15.75" customHeight="1" s="12">
      <c r="A256" s="1" t="n">
        <v>188</v>
      </c>
      <c r="B256" s="3">
        <f>HYPERLINK("https://leetcode.com/problems/best-time-to-buy-and-sell-stock-iv/", "Best Time to Buy and Sell Stock IV")</f>
        <v/>
      </c>
      <c r="C256" s="1" t="n">
        <v>8017</v>
      </c>
      <c r="D256" s="1" t="n">
        <v>226</v>
      </c>
      <c r="E256" s="4">
        <f>IF(INDEX(C:C, ROW())+INDEX(D:D, ROW())=0, 0, INDEX(C:C, ROW())/(INDEX(C:C, ROW())+INDEX(D:D, ROW())))</f>
        <v/>
      </c>
      <c r="F256" s="1" t="inlineStr">
        <is>
          <t>Array, Dynamic Programming</t>
        </is>
      </c>
      <c r="G256" s="1" t="inlineStr">
        <is>
          <t>Hard</t>
        </is>
      </c>
      <c r="H256" s="1" t="n">
        <v>717085</v>
      </c>
      <c r="I256" s="1" t="n">
        <v>1432933</v>
      </c>
      <c r="J256" s="9" t="n">
        <v>0.5</v>
      </c>
      <c r="K256" s="1" t="inlineStr">
        <is>
          <t>Yes</t>
        </is>
      </c>
      <c r="L256" s="1" t="inlineStr">
        <is>
          <t>Yes</t>
        </is>
      </c>
      <c r="M256" s="1" t="inlineStr">
        <is>
          <t>No</t>
        </is>
      </c>
      <c r="N256" s="1" t="inlineStr">
        <is>
          <t>Algorithms</t>
        </is>
      </c>
      <c r="O2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6" s="11" t="inlineStr">
        <is>
          <t>To Do</t>
        </is>
      </c>
    </row>
    <row r="257" ht="15.75" customHeight="1" s="12">
      <c r="A257" s="1" t="n">
        <v>290</v>
      </c>
      <c r="B257" s="3">
        <f>HYPERLINK("https://leetcode.com/problems/word-pattern/", "Word Pattern")</f>
        <v/>
      </c>
      <c r="C257" s="1" t="n">
        <v>7999</v>
      </c>
      <c r="D257" s="1" t="n">
        <v>1147</v>
      </c>
      <c r="E257" s="4">
        <f>IF(INDEX(C:C, ROW())+INDEX(D:D, ROW())=0, 0, INDEX(C:C, ROW())/(INDEX(C:C, ROW())+INDEX(D:D, ROW())))</f>
        <v/>
      </c>
      <c r="F257" s="1" t="inlineStr">
        <is>
          <t>Hash Table, String</t>
        </is>
      </c>
      <c r="G257" s="1" t="inlineStr">
        <is>
          <t>Easy</t>
        </is>
      </c>
      <c r="H257" s="1" t="n">
        <v>1113234</v>
      </c>
      <c r="I257" s="1" t="n">
        <v>2526316</v>
      </c>
      <c r="J257" s="9" t="n">
        <v>0.441</v>
      </c>
      <c r="K257" s="1" t="inlineStr">
        <is>
          <t>Yes</t>
        </is>
      </c>
      <c r="L257" s="1" t="inlineStr">
        <is>
          <t>Yes</t>
        </is>
      </c>
      <c r="M257" s="1" t="inlineStr">
        <is>
          <t>No</t>
        </is>
      </c>
      <c r="N257" s="1" t="inlineStr">
        <is>
          <t>Algorithms</t>
        </is>
      </c>
      <c r="O2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7" s="13" t="inlineStr">
        <is>
          <t>Done</t>
        </is>
      </c>
    </row>
    <row r="258" ht="15.75" customHeight="1" s="12">
      <c r="A258" s="1" t="n">
        <v>740</v>
      </c>
      <c r="B258" s="3">
        <f>HYPERLINK("https://leetcode.com/problems/delete-and-earn/", "Delete and Earn")</f>
        <v/>
      </c>
      <c r="C258" s="1" t="n">
        <v>7984</v>
      </c>
      <c r="D258" s="1" t="n">
        <v>405</v>
      </c>
      <c r="E258" s="4">
        <f>IF(INDEX(C:C, ROW())+INDEX(D:D, ROW())=0, 0, INDEX(C:C, ROW())/(INDEX(C:C, ROW())+INDEX(D:D, ROW())))</f>
        <v/>
      </c>
      <c r="F258" s="1" t="inlineStr">
        <is>
          <t>Array, Hash Table, Dynamic Programming</t>
        </is>
      </c>
      <c r="G258" s="1" t="inlineStr">
        <is>
          <t>Medium</t>
        </is>
      </c>
      <c r="H258" s="1" t="n">
        <v>449561</v>
      </c>
      <c r="I258" s="1" t="n">
        <v>785900</v>
      </c>
      <c r="J258" s="9" t="n">
        <v>0.572</v>
      </c>
      <c r="K258" s="1" t="inlineStr">
        <is>
          <t>Yes</t>
        </is>
      </c>
      <c r="L258" s="1" t="inlineStr">
        <is>
          <t>Yes</t>
        </is>
      </c>
      <c r="M258" s="1" t="inlineStr">
        <is>
          <t>No</t>
        </is>
      </c>
      <c r="N258" s="1" t="inlineStr">
        <is>
          <t>Algorithms</t>
        </is>
      </c>
      <c r="O2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8" s="11" t="inlineStr">
        <is>
          <t>To Do</t>
        </is>
      </c>
    </row>
    <row r="259" ht="15.75" customHeight="1" s="12">
      <c r="A259" s="1" t="n">
        <v>844</v>
      </c>
      <c r="B259" s="3">
        <f>HYPERLINK("https://leetcode.com/problems/backspace-string-compare/", "Backspace String Compare")</f>
        <v/>
      </c>
      <c r="C259" s="1" t="n">
        <v>7964</v>
      </c>
      <c r="D259" s="1" t="n">
        <v>385</v>
      </c>
      <c r="E259" s="4">
        <f>IF(INDEX(C:C, ROW())+INDEX(D:D, ROW())=0, 0, INDEX(C:C, ROW())/(INDEX(C:C, ROW())+INDEX(D:D, ROW())))</f>
        <v/>
      </c>
      <c r="F259" s="1" t="inlineStr">
        <is>
          <t>Two Pointers, String, Stack, Simulation</t>
        </is>
      </c>
      <c r="G259" s="1" t="inlineStr">
        <is>
          <t>Easy</t>
        </is>
      </c>
      <c r="H259" s="1" t="n">
        <v>1052937</v>
      </c>
      <c r="I259" s="1" t="n">
        <v>2110759</v>
      </c>
      <c r="J259" s="9" t="n">
        <v>0.499</v>
      </c>
      <c r="K259" s="1" t="inlineStr">
        <is>
          <t>Yes</t>
        </is>
      </c>
      <c r="L259" s="1" t="inlineStr">
        <is>
          <t>Yes</t>
        </is>
      </c>
      <c r="M259" s="1" t="inlineStr">
        <is>
          <t>No</t>
        </is>
      </c>
      <c r="N259" s="1" t="inlineStr">
        <is>
          <t>Algorithms</t>
        </is>
      </c>
      <c r="O2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9" s="13" t="inlineStr">
        <is>
          <t>Done</t>
        </is>
      </c>
    </row>
    <row r="260" ht="15.75" customHeight="1" s="12">
      <c r="A260" s="1" t="n">
        <v>95</v>
      </c>
      <c r="B260" s="3">
        <f>HYPERLINK("https://leetcode.com/problems/unique-binary-search-trees-ii/", "Unique Binary Search Trees II")</f>
        <v/>
      </c>
      <c r="C260" s="1" t="n">
        <v>7963</v>
      </c>
      <c r="D260" s="1" t="n">
        <v>584</v>
      </c>
      <c r="E260" s="4">
        <f>IF(INDEX(C:C, ROW())+INDEX(D:D, ROW())=0, 0, INDEX(C:C, ROW())/(INDEX(C:C, ROW())+INDEX(D:D, ROW())))</f>
        <v/>
      </c>
      <c r="F260" s="1" t="inlineStr">
        <is>
          <t>Dynamic Programming, Backtracking, Tree, Binary Search Tree, Binary Tree</t>
        </is>
      </c>
      <c r="G260" s="1" t="inlineStr">
        <is>
          <t>Medium</t>
        </is>
      </c>
      <c r="H260" s="1" t="n">
        <v>582778</v>
      </c>
      <c r="I260" s="1" t="n">
        <v>933636</v>
      </c>
      <c r="J260" s="9" t="n">
        <v>0.624</v>
      </c>
      <c r="K260" s="1" t="inlineStr">
        <is>
          <t>Yes</t>
        </is>
      </c>
      <c r="L260" s="1" t="inlineStr">
        <is>
          <t>Yes</t>
        </is>
      </c>
      <c r="M260" s="1" t="inlineStr">
        <is>
          <t>No</t>
        </is>
      </c>
      <c r="N260" s="1" t="inlineStr">
        <is>
          <t>Algorithms</t>
        </is>
      </c>
      <c r="O2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0" s="11" t="inlineStr">
        <is>
          <t>To Do</t>
        </is>
      </c>
    </row>
    <row r="261" ht="15.75" customHeight="1" s="12">
      <c r="A261" s="1" t="n">
        <v>974</v>
      </c>
      <c r="B261" s="3">
        <f>HYPERLINK("https://leetcode.com/problems/subarray-sums-divisible-by-k/", "Subarray Sums Divisible by K")</f>
        <v/>
      </c>
      <c r="C261" s="1" t="n">
        <v>7918</v>
      </c>
      <c r="D261" s="1" t="n">
        <v>346</v>
      </c>
      <c r="E261" s="4">
        <f>IF(INDEX(C:C, ROW())+INDEX(D:D, ROW())=0, 0, INDEX(C:C, ROW())/(INDEX(C:C, ROW())+INDEX(D:D, ROW())))</f>
        <v/>
      </c>
      <c r="F261" s="1" t="inlineStr">
        <is>
          <t>Array, Hash Table, Prefix Sum</t>
        </is>
      </c>
      <c r="G261" s="1" t="inlineStr">
        <is>
          <t>Medium</t>
        </is>
      </c>
      <c r="H261" s="1" t="n">
        <v>490834</v>
      </c>
      <c r="I261" s="1" t="n">
        <v>872414</v>
      </c>
      <c r="J261" s="9" t="n">
        <v>0.5629999999999999</v>
      </c>
      <c r="K261" s="1" t="inlineStr">
        <is>
          <t>Yes</t>
        </is>
      </c>
      <c r="L261" s="1" t="inlineStr">
        <is>
          <t>Yes</t>
        </is>
      </c>
      <c r="M261" s="1" t="inlineStr">
        <is>
          <t>No</t>
        </is>
      </c>
      <c r="N261" s="1" t="inlineStr">
        <is>
          <t>Algorithms</t>
        </is>
      </c>
      <c r="O2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1" s="11" t="inlineStr">
        <is>
          <t>To Do</t>
        </is>
      </c>
    </row>
    <row r="262" ht="15.75" customHeight="1" s="12">
      <c r="A262" s="1" t="n">
        <v>109</v>
      </c>
      <c r="B262" s="3">
        <f>HYPERLINK("https://leetcode.com/problems/convert-sorted-list-to-binary-search-tree/", "Convert Sorted List to Binary Search Tree")</f>
        <v/>
      </c>
      <c r="C262" s="1" t="n">
        <v>7896</v>
      </c>
      <c r="D262" s="1" t="n">
        <v>175</v>
      </c>
      <c r="E262" s="4">
        <f>IF(INDEX(C:C, ROW())+INDEX(D:D, ROW())=0, 0, INDEX(C:C, ROW())/(INDEX(C:C, ROW())+INDEX(D:D, ROW())))</f>
        <v/>
      </c>
      <c r="F262" s="1" t="inlineStr">
        <is>
          <t>Linked List, Divide and Conquer, Tree, Binary Search Tree, Binary Tree</t>
        </is>
      </c>
      <c r="G262" s="1" t="inlineStr">
        <is>
          <t>Medium</t>
        </is>
      </c>
      <c r="H262" s="1" t="n">
        <v>692368</v>
      </c>
      <c r="I262" s="1" t="n">
        <v>1040102</v>
      </c>
      <c r="J262" s="9" t="n">
        <v>0.666</v>
      </c>
      <c r="K262" s="1" t="inlineStr">
        <is>
          <t>Yes</t>
        </is>
      </c>
      <c r="L262" s="1" t="inlineStr">
        <is>
          <t>Yes</t>
        </is>
      </c>
      <c r="M262" s="1" t="inlineStr">
        <is>
          <t>Yes</t>
        </is>
      </c>
      <c r="N262" s="1" t="inlineStr">
        <is>
          <t>Algorithms</t>
        </is>
      </c>
      <c r="O2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2" s="11" t="inlineStr">
        <is>
          <t>To Do</t>
        </is>
      </c>
    </row>
    <row r="263" ht="15.75" customHeight="1" s="12">
      <c r="A263" s="1" t="n">
        <v>111</v>
      </c>
      <c r="B263" s="3">
        <f>HYPERLINK("https://leetcode.com/problems/minimum-depth-of-binary-tree/", "Minimum Depth of Binary Tree")</f>
        <v/>
      </c>
      <c r="C263" s="1" t="n">
        <v>7862</v>
      </c>
      <c r="D263" s="1" t="n">
        <v>1366</v>
      </c>
      <c r="E263" s="4">
        <f>IF(INDEX(C:C, ROW())+INDEX(D:D, ROW())=0, 0, INDEX(C:C, ROW())/(INDEX(C:C, ROW())+INDEX(D:D, ROW())))</f>
        <v/>
      </c>
      <c r="F263" s="1" t="inlineStr">
        <is>
          <t>Tree, Depth-First Search, Breadth-First Search, Binary Tree</t>
        </is>
      </c>
      <c r="G263" s="1" t="inlineStr">
        <is>
          <t>Easy</t>
        </is>
      </c>
      <c r="H263" s="1" t="n">
        <v>1678840</v>
      </c>
      <c r="I263" s="1" t="n">
        <v>3175582</v>
      </c>
      <c r="J263" s="9" t="n">
        <v>0.529</v>
      </c>
      <c r="K263" s="1" t="inlineStr">
        <is>
          <t>Yes</t>
        </is>
      </c>
      <c r="L263" s="1" t="inlineStr">
        <is>
          <t>Yes</t>
        </is>
      </c>
      <c r="M263" s="1" t="inlineStr">
        <is>
          <t>No</t>
        </is>
      </c>
      <c r="N263" s="1" t="inlineStr">
        <is>
          <t>Algorithms</t>
        </is>
      </c>
      <c r="O2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3" s="13" t="inlineStr">
        <is>
          <t>Done</t>
        </is>
      </c>
    </row>
    <row r="264" ht="15.75" customHeight="1" s="12">
      <c r="A264" s="1" t="n">
        <v>1048</v>
      </c>
      <c r="B264" s="3">
        <f>HYPERLINK("https://leetcode.com/problems/longest-string-chain/", "Longest String Chain")</f>
        <v/>
      </c>
      <c r="C264" s="1" t="n">
        <v>7820</v>
      </c>
      <c r="D264" s="1" t="n">
        <v>272</v>
      </c>
      <c r="E264" s="4">
        <f>IF(INDEX(C:C, ROW())+INDEX(D:D, ROW())=0, 0, INDEX(C:C, ROW())/(INDEX(C:C, ROW())+INDEX(D:D, ROW())))</f>
        <v/>
      </c>
      <c r="F264" s="1" t="inlineStr">
        <is>
          <t>Array, Hash Table, Two Pointers, String, Dynamic Programming, Sorting</t>
        </is>
      </c>
      <c r="G264" s="1" t="inlineStr">
        <is>
          <t>Medium</t>
        </is>
      </c>
      <c r="H264" s="1" t="n">
        <v>526608</v>
      </c>
      <c r="I264" s="1" t="n">
        <v>835931</v>
      </c>
      <c r="J264" s="9" t="n">
        <v>0.63</v>
      </c>
      <c r="K264" s="1" t="inlineStr">
        <is>
          <t>Yes</t>
        </is>
      </c>
      <c r="L264" s="1" t="inlineStr">
        <is>
          <t>Yes</t>
        </is>
      </c>
      <c r="M264" s="1" t="inlineStr">
        <is>
          <t>No</t>
        </is>
      </c>
      <c r="N264" s="1" t="inlineStr">
        <is>
          <t>Algorithms</t>
        </is>
      </c>
      <c r="O2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4" s="11" t="inlineStr">
        <is>
          <t>To Do</t>
        </is>
      </c>
    </row>
    <row r="265" ht="15.75" customHeight="1" s="12">
      <c r="A265" s="1" t="n">
        <v>145</v>
      </c>
      <c r="B265" s="3">
        <f>HYPERLINK("https://leetcode.com/problems/binary-tree-postorder-traversal/", "Binary Tree Postorder Traversal")</f>
        <v/>
      </c>
      <c r="C265" s="1" t="n">
        <v>7815</v>
      </c>
      <c r="D265" s="1" t="n">
        <v>228</v>
      </c>
      <c r="E265" s="4">
        <f>IF(INDEX(C:C, ROW())+INDEX(D:D, ROW())=0, 0, INDEX(C:C, ROW())/(INDEX(C:C, ROW())+INDEX(D:D, ROW())))</f>
        <v/>
      </c>
      <c r="F265" s="1" t="inlineStr">
        <is>
          <t>Stack, Tree, Depth-First Search, Binary Tree</t>
        </is>
      </c>
      <c r="G265" s="1" t="inlineStr">
        <is>
          <t>Easy</t>
        </is>
      </c>
      <c r="H265" s="1" t="n">
        <v>1970654</v>
      </c>
      <c r="I265" s="1" t="n">
        <v>2524287</v>
      </c>
      <c r="J265" s="9" t="n">
        <v>0.781</v>
      </c>
      <c r="K265" s="1" t="inlineStr">
        <is>
          <t>Yes</t>
        </is>
      </c>
      <c r="L265" s="1" t="inlineStr">
        <is>
          <t>Yes</t>
        </is>
      </c>
      <c r="M265" s="1" t="inlineStr">
        <is>
          <t>No</t>
        </is>
      </c>
      <c r="N265" s="1" t="inlineStr">
        <is>
          <t>Algorithms</t>
        </is>
      </c>
      <c r="O2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5" s="13" t="inlineStr">
        <is>
          <t>Done</t>
        </is>
      </c>
    </row>
    <row r="266" ht="15.75" customHeight="1" s="12">
      <c r="A266" s="1" t="n">
        <v>377</v>
      </c>
      <c r="B266" s="3">
        <f>HYPERLINK("https://leetcode.com/problems/combination-sum-iv/", "Combination Sum IV")</f>
        <v/>
      </c>
      <c r="C266" s="1" t="n">
        <v>7784</v>
      </c>
      <c r="D266" s="1" t="n">
        <v>702</v>
      </c>
      <c r="E266" s="4">
        <f>IF(INDEX(C:C, ROW())+INDEX(D:D, ROW())=0, 0, INDEX(C:C, ROW())/(INDEX(C:C, ROW())+INDEX(D:D, ROW())))</f>
        <v/>
      </c>
      <c r="F266" s="1" t="inlineStr">
        <is>
          <t>Array, Dynamic Programming</t>
        </is>
      </c>
      <c r="G266" s="1" t="inlineStr">
        <is>
          <t>Medium</t>
        </is>
      </c>
      <c r="H266" s="1" t="n">
        <v>605543</v>
      </c>
      <c r="I266" s="1" t="n">
        <v>1098951</v>
      </c>
      <c r="J266" s="9" t="n">
        <v>0.551</v>
      </c>
      <c r="K266" s="1" t="inlineStr">
        <is>
          <t>Yes</t>
        </is>
      </c>
      <c r="L266" s="1" t="inlineStr">
        <is>
          <t>Yes</t>
        </is>
      </c>
      <c r="M266" s="1" t="inlineStr">
        <is>
          <t>No</t>
        </is>
      </c>
      <c r="N266" s="1" t="inlineStr">
        <is>
          <t>Algorithms</t>
        </is>
      </c>
      <c r="O2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6" s="11" t="inlineStr">
        <is>
          <t>To Do</t>
        </is>
      </c>
    </row>
    <row r="267" ht="15.75" customHeight="1" s="12">
      <c r="A267" s="1" t="n">
        <v>43</v>
      </c>
      <c r="B267" s="3">
        <f>HYPERLINK("https://leetcode.com/problems/multiply-strings/", "Multiply Strings")</f>
        <v/>
      </c>
      <c r="C267" s="1" t="n">
        <v>7762</v>
      </c>
      <c r="D267" s="1" t="n">
        <v>3690</v>
      </c>
      <c r="E267" s="4">
        <f>IF(INDEX(C:C, ROW())+INDEX(D:D, ROW())=0, 0, INDEX(C:C, ROW())/(INDEX(C:C, ROW())+INDEX(D:D, ROW())))</f>
        <v/>
      </c>
      <c r="F267" s="1" t="inlineStr">
        <is>
          <t>Math, String, Simulation</t>
        </is>
      </c>
      <c r="G267" s="1" t="inlineStr">
        <is>
          <t>Medium</t>
        </is>
      </c>
      <c r="H267" s="1" t="n">
        <v>1163913</v>
      </c>
      <c r="I267" s="1" t="n">
        <v>2638967</v>
      </c>
      <c r="J267" s="9" t="n">
        <v>0.441</v>
      </c>
      <c r="K267" s="1" t="inlineStr">
        <is>
          <t>Yes</t>
        </is>
      </c>
      <c r="L267" s="1" t="inlineStr">
        <is>
          <t>Yes</t>
        </is>
      </c>
      <c r="M267" s="1" t="inlineStr">
        <is>
          <t>No</t>
        </is>
      </c>
      <c r="N267" s="1" t="inlineStr">
        <is>
          <t>Algorithms</t>
        </is>
      </c>
      <c r="O2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7" s="11" t="inlineStr">
        <is>
          <t>To Do</t>
        </is>
      </c>
    </row>
    <row r="268" ht="15.75" customHeight="1" s="12">
      <c r="A268" s="1" t="n">
        <v>721</v>
      </c>
      <c r="B268" s="3">
        <f>HYPERLINK("https://leetcode.com/problems/accounts-merge/", "Accounts Merge")</f>
        <v/>
      </c>
      <c r="C268" s="1" t="n">
        <v>7717</v>
      </c>
      <c r="D268" s="1" t="n">
        <v>1317</v>
      </c>
      <c r="E268" s="4">
        <f>IF(INDEX(C:C, ROW())+INDEX(D:D, ROW())=0, 0, INDEX(C:C, ROW())/(INDEX(C:C, ROW())+INDEX(D:D, ROW())))</f>
        <v/>
      </c>
      <c r="F268" s="1" t="inlineStr">
        <is>
          <t>Array, Hash Table, String, Depth-First Search, Breadth-First Search, Union-Find, Sorting</t>
        </is>
      </c>
      <c r="G268" s="1" t="inlineStr">
        <is>
          <t>Medium</t>
        </is>
      </c>
      <c r="H268" s="1" t="n">
        <v>627093</v>
      </c>
      <c r="I268" s="1" t="n">
        <v>1023579</v>
      </c>
      <c r="J268" s="9" t="n">
        <v>0.613</v>
      </c>
      <c r="K268" s="1" t="inlineStr">
        <is>
          <t>Yes</t>
        </is>
      </c>
      <c r="L268" s="1" t="inlineStr">
        <is>
          <t>Yes</t>
        </is>
      </c>
      <c r="M268" s="1" t="inlineStr">
        <is>
          <t>No</t>
        </is>
      </c>
      <c r="N268" s="1" t="inlineStr">
        <is>
          <t>Algorithms</t>
        </is>
      </c>
      <c r="O2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8" s="11" t="inlineStr">
        <is>
          <t>To Do</t>
        </is>
      </c>
    </row>
    <row r="269" ht="15.75" customHeight="1" s="12">
      <c r="A269" s="1" t="n">
        <v>456</v>
      </c>
      <c r="B269" s="3">
        <f>HYPERLINK("https://leetcode.com/problems/132-pattern/", "132 Pattern")</f>
        <v/>
      </c>
      <c r="C269" s="1" t="n">
        <v>7645</v>
      </c>
      <c r="D269" s="1" t="n">
        <v>473</v>
      </c>
      <c r="E269" s="4">
        <f>IF(INDEX(C:C, ROW())+INDEX(D:D, ROW())=0, 0, INDEX(C:C, ROW())/(INDEX(C:C, ROW())+INDEX(D:D, ROW())))</f>
        <v/>
      </c>
      <c r="F269" s="1" t="inlineStr">
        <is>
          <t>Array, Binary Search, Stack, Monotonic Stack, Ordered Set</t>
        </is>
      </c>
      <c r="G269" s="1" t="inlineStr">
        <is>
          <t>Medium</t>
        </is>
      </c>
      <c r="H269" s="1" t="n">
        <v>326499</v>
      </c>
      <c r="I269" s="1" t="n">
        <v>940099</v>
      </c>
      <c r="J269" s="9" t="n">
        <v>0.347</v>
      </c>
      <c r="K269" s="1" t="inlineStr">
        <is>
          <t>Yes</t>
        </is>
      </c>
      <c r="L269" s="1" t="inlineStr">
        <is>
          <t>Yes</t>
        </is>
      </c>
      <c r="M269" s="1" t="inlineStr">
        <is>
          <t>Yes</t>
        </is>
      </c>
      <c r="N269" s="1" t="inlineStr">
        <is>
          <t>Algorithms</t>
        </is>
      </c>
      <c r="O2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9" s="11" t="inlineStr">
        <is>
          <t>To Do</t>
        </is>
      </c>
    </row>
    <row r="270" ht="15.75" customHeight="1" s="12">
      <c r="A270" s="1" t="n">
        <v>714</v>
      </c>
      <c r="B270" s="3">
        <f>HYPERLINK("https://leetcode.com/problems/best-time-to-buy-and-sell-stock-with-transaction-fee/", "Best Time to Buy and Sell Stock with Transaction Fee")</f>
        <v/>
      </c>
      <c r="C270" s="1" t="n">
        <v>7645</v>
      </c>
      <c r="D270" s="1" t="n">
        <v>236</v>
      </c>
      <c r="E270" s="4">
        <f>IF(INDEX(C:C, ROW())+INDEX(D:D, ROW())=0, 0, INDEX(C:C, ROW())/(INDEX(C:C, ROW())+INDEX(D:D, ROW())))</f>
        <v/>
      </c>
      <c r="F270" s="1" t="inlineStr">
        <is>
          <t>Array, Dynamic Programming, Greedy</t>
        </is>
      </c>
      <c r="G270" s="1" t="inlineStr">
        <is>
          <t>Medium</t>
        </is>
      </c>
      <c r="H270" s="1" t="n">
        <v>577174</v>
      </c>
      <c r="I270" s="1" t="n">
        <v>802459</v>
      </c>
      <c r="J270" s="9" t="n">
        <v>0.719</v>
      </c>
      <c r="K270" s="1" t="inlineStr">
        <is>
          <t>Yes</t>
        </is>
      </c>
      <c r="L270" s="1" t="inlineStr">
        <is>
          <t>Yes</t>
        </is>
      </c>
      <c r="M270" s="1" t="inlineStr">
        <is>
          <t>No</t>
        </is>
      </c>
      <c r="N270" s="1" t="inlineStr">
        <is>
          <t>Algorithms</t>
        </is>
      </c>
      <c r="O2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0" s="11" t="inlineStr">
        <is>
          <t>To Do</t>
        </is>
      </c>
    </row>
    <row r="271" ht="15.75" customHeight="1" s="12">
      <c r="A271" s="1" t="n">
        <v>797</v>
      </c>
      <c r="B271" s="3">
        <f>HYPERLINK("https://leetcode.com/problems/all-paths-from-source-to-target/", "All Paths From Source to Target")</f>
        <v/>
      </c>
      <c r="C271" s="1" t="n">
        <v>7644</v>
      </c>
      <c r="D271" s="1" t="n">
        <v>153</v>
      </c>
      <c r="E271" s="4">
        <f>IF(INDEX(C:C, ROW())+INDEX(D:D, ROW())=0, 0, INDEX(C:C, ROW())/(INDEX(C:C, ROW())+INDEX(D:D, ROW())))</f>
        <v/>
      </c>
      <c r="F271" s="1" t="inlineStr">
        <is>
          <t>Backtracking, Depth-First Search, Breadth-First Search, Graph Theory</t>
        </is>
      </c>
      <c r="G271" s="1" t="inlineStr">
        <is>
          <t>Medium</t>
        </is>
      </c>
      <c r="H271" s="1" t="n">
        <v>691674</v>
      </c>
      <c r="I271" s="1" t="n">
        <v>827329</v>
      </c>
      <c r="J271" s="9" t="n">
        <v>0.836</v>
      </c>
      <c r="K271" s="1" t="inlineStr">
        <is>
          <t>Yes</t>
        </is>
      </c>
      <c r="L271" s="1" t="inlineStr">
        <is>
          <t>Yes</t>
        </is>
      </c>
      <c r="M271" s="1" t="inlineStr">
        <is>
          <t>No</t>
        </is>
      </c>
      <c r="N271" s="1" t="inlineStr">
        <is>
          <t>Algorithms</t>
        </is>
      </c>
      <c r="O2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1" s="11" t="inlineStr">
        <is>
          <t>To Do</t>
        </is>
      </c>
    </row>
    <row r="272" ht="15.75" customHeight="1" s="12">
      <c r="A272" s="1" t="n">
        <v>28</v>
      </c>
      <c r="B272" s="3">
        <f>HYPERLINK("https://leetcode.com/problems/find-the-index-of-the-first-occurrence-in-a-string/", "Find the Index of the First Occurrence in a String")</f>
        <v/>
      </c>
      <c r="C272" s="1" t="n">
        <v>7643</v>
      </c>
      <c r="D272" s="1" t="n">
        <v>585</v>
      </c>
      <c r="E272" s="4">
        <f>IF(INDEX(C:C, ROW())+INDEX(D:D, ROW())=0, 0, INDEX(C:C, ROW())/(INDEX(C:C, ROW())+INDEX(D:D, ROW())))</f>
        <v/>
      </c>
      <c r="F272" s="1" t="inlineStr">
        <is>
          <t>Two Pointers, String, String Matching</t>
        </is>
      </c>
      <c r="G272" s="1" t="inlineStr">
        <is>
          <t>Easy</t>
        </is>
      </c>
      <c r="H272" s="1" t="n">
        <v>4063747</v>
      </c>
      <c r="I272" s="1" t="n">
        <v>8719627</v>
      </c>
      <c r="J272" s="9" t="n">
        <v>0.466</v>
      </c>
      <c r="K272" s="1" t="inlineStr">
        <is>
          <t>Yes</t>
        </is>
      </c>
      <c r="L272" s="1" t="inlineStr">
        <is>
          <t>Yes</t>
        </is>
      </c>
      <c r="M272" s="1" t="inlineStr">
        <is>
          <t>Yes</t>
        </is>
      </c>
      <c r="N272" s="1" t="inlineStr">
        <is>
          <t>Algorithms</t>
        </is>
      </c>
      <c r="O2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2" s="10" t="inlineStr">
        <is>
          <t>Done</t>
        </is>
      </c>
    </row>
    <row r="273" ht="15.75" customHeight="1" s="12">
      <c r="A273" s="1" t="n">
        <v>140</v>
      </c>
      <c r="B273" s="3">
        <f>HYPERLINK("https://leetcode.com/problems/word-break-ii/", "Word Break II")</f>
        <v/>
      </c>
      <c r="C273" s="1" t="n">
        <v>7575</v>
      </c>
      <c r="D273" s="1" t="n">
        <v>550</v>
      </c>
      <c r="E273" s="4">
        <f>IF(INDEX(C:C, ROW())+INDEX(D:D, ROW())=0, 0, INDEX(C:C, ROW())/(INDEX(C:C, ROW())+INDEX(D:D, ROW())))</f>
        <v/>
      </c>
      <c r="F273" s="1" t="inlineStr">
        <is>
          <t>Array, Hash Table, String, Dynamic Programming, Backtracking, Trie, Memoization</t>
        </is>
      </c>
      <c r="G273" s="1" t="inlineStr">
        <is>
          <t>Hard</t>
        </is>
      </c>
      <c r="H273" s="1" t="n">
        <v>819605</v>
      </c>
      <c r="I273" s="1" t="n">
        <v>1477025</v>
      </c>
      <c r="J273" s="9" t="n">
        <v>0.555</v>
      </c>
      <c r="K273" s="1" t="inlineStr">
        <is>
          <t>Yes</t>
        </is>
      </c>
      <c r="L273" s="1" t="inlineStr">
        <is>
          <t>Yes</t>
        </is>
      </c>
      <c r="M273" s="1" t="inlineStr">
        <is>
          <t>No</t>
        </is>
      </c>
      <c r="N273" s="1" t="inlineStr">
        <is>
          <t>Algorithms</t>
        </is>
      </c>
      <c r="O2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3" s="11" t="inlineStr">
        <is>
          <t>To Do</t>
        </is>
      </c>
    </row>
    <row r="274" ht="15.75" customHeight="1" s="12">
      <c r="A274" s="1" t="n">
        <v>698</v>
      </c>
      <c r="B274" s="3">
        <f>HYPERLINK("https://leetcode.com/problems/partition-to-k-equal-sum-subsets/", "Partition to K Equal Sum Subsets")</f>
        <v/>
      </c>
      <c r="C274" s="1" t="n">
        <v>7566</v>
      </c>
      <c r="D274" s="1" t="n">
        <v>556</v>
      </c>
      <c r="E274" s="4">
        <f>IF(INDEX(C:C, ROW())+INDEX(D:D, ROW())=0, 0, INDEX(C:C, ROW())/(INDEX(C:C, ROW())+INDEX(D:D, ROW())))</f>
        <v/>
      </c>
      <c r="F274" s="1" t="inlineStr">
        <is>
          <t>Array, Dynamic Programming, Backtracking, Bit Manipulation, Memoization, Bitmask</t>
        </is>
      </c>
      <c r="G274" s="1" t="inlineStr">
        <is>
          <t>Medium</t>
        </is>
      </c>
      <c r="H274" s="1" t="n">
        <v>345076</v>
      </c>
      <c r="I274" s="1" t="n">
        <v>894100</v>
      </c>
      <c r="J274" s="9" t="n">
        <v>0.386</v>
      </c>
      <c r="K274" s="1" t="inlineStr">
        <is>
          <t>Yes</t>
        </is>
      </c>
      <c r="L274" s="1" t="inlineStr">
        <is>
          <t>Yes</t>
        </is>
      </c>
      <c r="M274" s="1" t="inlineStr">
        <is>
          <t>No</t>
        </is>
      </c>
      <c r="N274" s="1" t="inlineStr">
        <is>
          <t>Algorithms</t>
        </is>
      </c>
      <c r="O2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4" s="11" t="inlineStr">
        <is>
          <t>To Do</t>
        </is>
      </c>
    </row>
    <row r="275" ht="15.75" customHeight="1" s="12">
      <c r="A275" s="1" t="n">
        <v>713</v>
      </c>
      <c r="B275" s="3">
        <f>HYPERLINK("https://leetcode.com/problems/subarray-product-less-than-k/", "Subarray Product Less Than K")</f>
        <v/>
      </c>
      <c r="C275" s="1" t="n">
        <v>7566</v>
      </c>
      <c r="D275" s="1" t="n">
        <v>236</v>
      </c>
      <c r="E275" s="4">
        <f>IF(INDEX(C:C, ROW())+INDEX(D:D, ROW())=0, 0, INDEX(C:C, ROW())/(INDEX(C:C, ROW())+INDEX(D:D, ROW())))</f>
        <v/>
      </c>
      <c r="F275" s="1" t="inlineStr">
        <is>
          <t>Array, Binary Search, Sliding Window, Prefix Sum</t>
        </is>
      </c>
      <c r="G275" s="1" t="inlineStr">
        <is>
          <t>Medium</t>
        </is>
      </c>
      <c r="H275" s="1" t="n">
        <v>614073</v>
      </c>
      <c r="I275" s="1" t="n">
        <v>1131607</v>
      </c>
      <c r="J275" s="9" t="n">
        <v>0.543</v>
      </c>
      <c r="K275" s="1" t="inlineStr">
        <is>
          <t>Yes</t>
        </is>
      </c>
      <c r="L275" s="1" t="inlineStr">
        <is>
          <t>Yes</t>
        </is>
      </c>
      <c r="M275" s="1" t="inlineStr">
        <is>
          <t>No</t>
        </is>
      </c>
      <c r="N275" s="1" t="inlineStr">
        <is>
          <t>Algorithms</t>
        </is>
      </c>
      <c r="O2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5" s="11" t="inlineStr">
        <is>
          <t>To Do</t>
        </is>
      </c>
    </row>
    <row r="276" ht="15.75" customHeight="1" s="12">
      <c r="A276" s="1" t="n">
        <v>219</v>
      </c>
      <c r="B276" s="3">
        <f>HYPERLINK("https://leetcode.com/problems/contains-duplicate-ii/", "Contains Duplicate II")</f>
        <v/>
      </c>
      <c r="C276" s="1" t="n">
        <v>7537</v>
      </c>
      <c r="D276" s="1" t="n">
        <v>3329</v>
      </c>
      <c r="E276" s="4">
        <f>IF(INDEX(C:C, ROW())+INDEX(D:D, ROW())=0, 0, INDEX(C:C, ROW())/(INDEX(C:C, ROW())+INDEX(D:D, ROW())))</f>
        <v/>
      </c>
      <c r="F276" s="1" t="inlineStr">
        <is>
          <t>Array, Hash Table, Sliding Window</t>
        </is>
      </c>
      <c r="G276" s="1" t="inlineStr">
        <is>
          <t>Easy</t>
        </is>
      </c>
      <c r="H276" s="1" t="n">
        <v>1775884</v>
      </c>
      <c r="I276" s="1" t="n">
        <v>3467339</v>
      </c>
      <c r="J276" s="9" t="n">
        <v>0.512</v>
      </c>
      <c r="K276" s="1" t="inlineStr">
        <is>
          <t>Yes</t>
        </is>
      </c>
      <c r="L276" s="1" t="inlineStr">
        <is>
          <t>Yes</t>
        </is>
      </c>
      <c r="M276" s="1" t="inlineStr">
        <is>
          <t>No</t>
        </is>
      </c>
      <c r="N276" s="1" t="inlineStr">
        <is>
          <t>Algorithms</t>
        </is>
      </c>
      <c r="O2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6" s="13" t="inlineStr">
        <is>
          <t>Done</t>
        </is>
      </c>
    </row>
    <row r="277" ht="15.75" customHeight="1" s="12">
      <c r="A277" s="1" t="n">
        <v>1091</v>
      </c>
      <c r="B277" s="3">
        <f>HYPERLINK("https://leetcode.com/problems/shortest-path-in-binary-matrix/", "Shortest Path in Binary Matrix")</f>
        <v/>
      </c>
      <c r="C277" s="1" t="n">
        <v>7445</v>
      </c>
      <c r="D277" s="1" t="n">
        <v>276</v>
      </c>
      <c r="E277" s="4">
        <f>IF(INDEX(C:C, ROW())+INDEX(D:D, ROW())=0, 0, INDEX(C:C, ROW())/(INDEX(C:C, ROW())+INDEX(D:D, ROW())))</f>
        <v/>
      </c>
      <c r="F277" s="1" t="inlineStr">
        <is>
          <t>Array, Breadth-First Search, Matrix</t>
        </is>
      </c>
      <c r="G277" s="1" t="inlineStr">
        <is>
          <t>Medium</t>
        </is>
      </c>
      <c r="H277" s="1" t="n">
        <v>846240</v>
      </c>
      <c r="I277" s="1" t="n">
        <v>1644803</v>
      </c>
      <c r="J277" s="9" t="n">
        <v>0.514</v>
      </c>
      <c r="K277" s="1" t="inlineStr">
        <is>
          <t>Yes</t>
        </is>
      </c>
      <c r="L277" s="1" t="inlineStr">
        <is>
          <t>Yes</t>
        </is>
      </c>
      <c r="M277" s="1" t="inlineStr">
        <is>
          <t>No</t>
        </is>
      </c>
      <c r="N277" s="1" t="inlineStr">
        <is>
          <t>Algorithms</t>
        </is>
      </c>
      <c r="O2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7" s="11" t="inlineStr">
        <is>
          <t>To Do</t>
        </is>
      </c>
    </row>
    <row r="278" ht="15.75" customHeight="1" s="12">
      <c r="A278" s="1" t="n">
        <v>115</v>
      </c>
      <c r="B278" s="3">
        <f>HYPERLINK("https://leetcode.com/problems/distinct-subsequences/", "Distinct Subsequences")</f>
        <v/>
      </c>
      <c r="C278" s="1" t="n">
        <v>7425</v>
      </c>
      <c r="D278" s="1" t="n">
        <v>321</v>
      </c>
      <c r="E278" s="4">
        <f>IF(INDEX(C:C, ROW())+INDEX(D:D, ROW())=0, 0, INDEX(C:C, ROW())/(INDEX(C:C, ROW())+INDEX(D:D, ROW())))</f>
        <v/>
      </c>
      <c r="F278" s="1" t="inlineStr">
        <is>
          <t>String, Dynamic Programming</t>
        </is>
      </c>
      <c r="G278" s="1" t="inlineStr">
        <is>
          <t>Hard</t>
        </is>
      </c>
      <c r="H278" s="1" t="n">
        <v>691468</v>
      </c>
      <c r="I278" s="1" t="n">
        <v>1334198</v>
      </c>
      <c r="J278" s="9" t="n">
        <v>0.518</v>
      </c>
      <c r="K278" s="1" t="inlineStr">
        <is>
          <t>Yes</t>
        </is>
      </c>
      <c r="L278" s="1" t="inlineStr">
        <is>
          <t>Yes</t>
        </is>
      </c>
      <c r="M278" s="1" t="inlineStr">
        <is>
          <t>No</t>
        </is>
      </c>
      <c r="N278" s="1" t="inlineStr">
        <is>
          <t>Algorithms</t>
        </is>
      </c>
      <c r="O2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8" s="11" t="inlineStr">
        <is>
          <t>To Do</t>
        </is>
      </c>
    </row>
    <row r="279" ht="15.75" customHeight="1" s="12">
      <c r="A279" s="1" t="n">
        <v>605</v>
      </c>
      <c r="B279" s="3">
        <f>HYPERLINK("https://leetcode.com/problems/can-place-flowers/", "Can Place Flowers")</f>
        <v/>
      </c>
      <c r="C279" s="1" t="n">
        <v>7414</v>
      </c>
      <c r="D279" s="1" t="n">
        <v>1326</v>
      </c>
      <c r="E279" s="4">
        <f>IF(INDEX(C:C, ROW())+INDEX(D:D, ROW())=0, 0, INDEX(C:C, ROW())/(INDEX(C:C, ROW())+INDEX(D:D, ROW())))</f>
        <v/>
      </c>
      <c r="F279" s="1" t="inlineStr">
        <is>
          <t>Array, Greedy</t>
        </is>
      </c>
      <c r="G279" s="1" t="inlineStr">
        <is>
          <t>Easy</t>
        </is>
      </c>
      <c r="H279" s="1" t="n">
        <v>1397100</v>
      </c>
      <c r="I279" s="1" t="n">
        <v>4796272</v>
      </c>
      <c r="J279" s="9" t="n">
        <v>0.291</v>
      </c>
      <c r="K279" s="1" t="inlineStr">
        <is>
          <t>Yes</t>
        </is>
      </c>
      <c r="L279" s="1" t="inlineStr">
        <is>
          <t>Yes</t>
        </is>
      </c>
      <c r="M279" s="1" t="inlineStr">
        <is>
          <t>No</t>
        </is>
      </c>
      <c r="N279" s="1" t="inlineStr">
        <is>
          <t>Algorithms</t>
        </is>
      </c>
      <c r="O2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9" s="13" t="inlineStr">
        <is>
          <t>Done</t>
        </is>
      </c>
    </row>
    <row r="280" ht="15.75" customHeight="1" s="12">
      <c r="A280" s="1" t="n">
        <v>1249</v>
      </c>
      <c r="B280" s="3">
        <f>HYPERLINK("https://leetcode.com/problems/minimum-remove-to-make-valid-parentheses/", "Minimum Remove to Make Valid Parentheses")</f>
        <v/>
      </c>
      <c r="C280" s="1" t="n">
        <v>7408</v>
      </c>
      <c r="D280" s="1" t="n">
        <v>167</v>
      </c>
      <c r="E280" s="4">
        <f>IF(INDEX(C:C, ROW())+INDEX(D:D, ROW())=0, 0, INDEX(C:C, ROW())/(INDEX(C:C, ROW())+INDEX(D:D, ROW())))</f>
        <v/>
      </c>
      <c r="F280" s="1" t="inlineStr">
        <is>
          <t>String, Stack</t>
        </is>
      </c>
      <c r="G280" s="1" t="inlineStr">
        <is>
          <t>Medium</t>
        </is>
      </c>
      <c r="H280" s="1" t="n">
        <v>1057340</v>
      </c>
      <c r="I280" s="1" t="n">
        <v>1480112</v>
      </c>
      <c r="J280" s="9" t="n">
        <v>0.714</v>
      </c>
      <c r="K280" s="1" t="inlineStr">
        <is>
          <t>Yes</t>
        </is>
      </c>
      <c r="L280" s="1" t="inlineStr">
        <is>
          <t>Yes</t>
        </is>
      </c>
      <c r="M280" s="1" t="inlineStr">
        <is>
          <t>No</t>
        </is>
      </c>
      <c r="N280" s="1" t="inlineStr">
        <is>
          <t>Algorithms</t>
        </is>
      </c>
      <c r="O2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0" s="11" t="inlineStr">
        <is>
          <t>To Do</t>
        </is>
      </c>
    </row>
    <row r="281" ht="15.75" customHeight="1" s="12">
      <c r="A281" s="1" t="n">
        <v>918</v>
      </c>
      <c r="B281" s="3">
        <f>HYPERLINK("https://leetcode.com/problems/maximum-sum-circular-subarray/", "Maximum Sum Circular Subarray")</f>
        <v/>
      </c>
      <c r="C281" s="1" t="n">
        <v>7350</v>
      </c>
      <c r="D281" s="1" t="n">
        <v>348</v>
      </c>
      <c r="E281" s="4">
        <f>IF(INDEX(C:C, ROW())+INDEX(D:D, ROW())=0, 0, INDEX(C:C, ROW())/(INDEX(C:C, ROW())+INDEX(D:D, ROW())))</f>
        <v/>
      </c>
      <c r="F281" s="1" t="inlineStr">
        <is>
          <t>Array, Divide and Conquer, Dynamic Programming, Queue, Monotonic Queue</t>
        </is>
      </c>
      <c r="G281" s="1" t="inlineStr">
        <is>
          <t>Medium</t>
        </is>
      </c>
      <c r="H281" s="1" t="n">
        <v>420302</v>
      </c>
      <c r="I281" s="1" t="n">
        <v>840063</v>
      </c>
      <c r="J281" s="9" t="n">
        <v>0.5</v>
      </c>
      <c r="K281" s="1" t="inlineStr">
        <is>
          <t>Yes</t>
        </is>
      </c>
      <c r="L281" s="1" t="inlineStr">
        <is>
          <t>Yes</t>
        </is>
      </c>
      <c r="M281" s="1" t="inlineStr">
        <is>
          <t>No</t>
        </is>
      </c>
      <c r="N281" s="1" t="inlineStr">
        <is>
          <t>Algorithms</t>
        </is>
      </c>
      <c r="O2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1" s="11" t="inlineStr">
        <is>
          <t>To Do</t>
        </is>
      </c>
    </row>
    <row r="282" ht="15.75" customHeight="1" s="12">
      <c r="A282" s="1" t="n">
        <v>1235</v>
      </c>
      <c r="B282" s="3">
        <f>HYPERLINK("https://leetcode.com/problems/maximum-profit-in-job-scheduling/", "Maximum Profit in Job Scheduling")</f>
        <v/>
      </c>
      <c r="C282" s="1" t="n">
        <v>7335</v>
      </c>
      <c r="D282" s="1" t="n">
        <v>123</v>
      </c>
      <c r="E282" s="4">
        <f>IF(INDEX(C:C, ROW())+INDEX(D:D, ROW())=0, 0, INDEX(C:C, ROW())/(INDEX(C:C, ROW())+INDEX(D:D, ROW())))</f>
        <v/>
      </c>
      <c r="F282" s="1" t="inlineStr">
        <is>
          <t>Array, Binary Search, Dynamic Programming, Sorting</t>
        </is>
      </c>
      <c r="G282" s="1" t="inlineStr">
        <is>
          <t>Hard</t>
        </is>
      </c>
      <c r="H282" s="1" t="n">
        <v>420497</v>
      </c>
      <c r="I282" s="1" t="n">
        <v>768366</v>
      </c>
      <c r="J282" s="9" t="n">
        <v>0.547</v>
      </c>
      <c r="K282" s="1" t="inlineStr">
        <is>
          <t>Yes</t>
        </is>
      </c>
      <c r="L282" s="1" t="inlineStr">
        <is>
          <t>Yes</t>
        </is>
      </c>
      <c r="M282" s="1" t="inlineStr">
        <is>
          <t>No</t>
        </is>
      </c>
      <c r="N282" s="1" t="inlineStr">
        <is>
          <t>Algorithms</t>
        </is>
      </c>
      <c r="O2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2" s="11" t="inlineStr">
        <is>
          <t>To Do</t>
        </is>
      </c>
    </row>
    <row r="283" ht="15.75" customHeight="1" s="12">
      <c r="A283" s="1" t="n">
        <v>463</v>
      </c>
      <c r="B283" s="3">
        <f>HYPERLINK("https://leetcode.com/problems/island-perimeter/", "Island Perimeter")</f>
        <v/>
      </c>
      <c r="C283" s="1" t="n">
        <v>7323</v>
      </c>
      <c r="D283" s="1" t="n">
        <v>431</v>
      </c>
      <c r="E283" s="4">
        <f>IF(INDEX(C:C, ROW())+INDEX(D:D, ROW())=0, 0, INDEX(C:C, ROW())/(INDEX(C:C, ROW())+INDEX(D:D, ROW())))</f>
        <v/>
      </c>
      <c r="F283" s="1" t="inlineStr">
        <is>
          <t>Array, Depth-First Search, Breadth-First Search, Matrix</t>
        </is>
      </c>
      <c r="G283" s="1" t="inlineStr">
        <is>
          <t>Easy</t>
        </is>
      </c>
      <c r="H283" s="1" t="n">
        <v>828912</v>
      </c>
      <c r="I283" s="1" t="n">
        <v>1113928</v>
      </c>
      <c r="J283" s="9" t="n">
        <v>0.744</v>
      </c>
      <c r="K283" s="1" t="inlineStr">
        <is>
          <t>Yes</t>
        </is>
      </c>
      <c r="L283" s="1" t="inlineStr">
        <is>
          <t>Yes</t>
        </is>
      </c>
      <c r="M283" s="1" t="inlineStr">
        <is>
          <t>No</t>
        </is>
      </c>
      <c r="N283" s="1" t="inlineStr">
        <is>
          <t>Algorithms</t>
        </is>
      </c>
      <c r="O2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3" s="13" t="inlineStr">
        <is>
          <t>Done</t>
        </is>
      </c>
    </row>
    <row r="284" ht="15.75" customHeight="1" s="12">
      <c r="A284" s="1" t="n">
        <v>673</v>
      </c>
      <c r="B284" s="3">
        <f>HYPERLINK("https://leetcode.com/problems/number-of-longest-increasing-subsequence/", "Number of Longest Increasing Subsequence")</f>
        <v/>
      </c>
      <c r="C284" s="1" t="n">
        <v>7323</v>
      </c>
      <c r="D284" s="1" t="n">
        <v>288</v>
      </c>
      <c r="E284" s="4">
        <f>IF(INDEX(C:C, ROW())+INDEX(D:D, ROW())=0, 0, INDEX(C:C, ROW())/(INDEX(C:C, ROW())+INDEX(D:D, ROW())))</f>
        <v/>
      </c>
      <c r="F284" s="1" t="inlineStr">
        <is>
          <t>Array, Dynamic Programming, Binary Indexed Tree, Segment Tree</t>
        </is>
      </c>
      <c r="G284" s="1" t="inlineStr">
        <is>
          <t>Medium</t>
        </is>
      </c>
      <c r="H284" s="1" t="n">
        <v>339128</v>
      </c>
      <c r="I284" s="1" t="n">
        <v>653939</v>
      </c>
      <c r="J284" s="9" t="n">
        <v>0.519</v>
      </c>
      <c r="K284" s="1" t="inlineStr">
        <is>
          <t>Yes</t>
        </is>
      </c>
      <c r="L284" s="1" t="inlineStr">
        <is>
          <t>Yes</t>
        </is>
      </c>
      <c r="M284" s="1" t="inlineStr">
        <is>
          <t>No</t>
        </is>
      </c>
      <c r="N284" s="1" t="inlineStr">
        <is>
          <t>Algorithms</t>
        </is>
      </c>
      <c r="O2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4" s="11" t="inlineStr">
        <is>
          <t>To Do</t>
        </is>
      </c>
    </row>
    <row r="285" ht="15.75" customHeight="1" s="12">
      <c r="A285" s="1" t="n">
        <v>653</v>
      </c>
      <c r="B285" s="3">
        <f>HYPERLINK("https://leetcode.com/problems/two-sum-iv-input-is-a-bst/", "Two Sum IV - Input is a BST")</f>
        <v/>
      </c>
      <c r="C285" s="1" t="n">
        <v>7296</v>
      </c>
      <c r="D285" s="1" t="n">
        <v>292</v>
      </c>
      <c r="E285" s="4">
        <f>IF(INDEX(C:C, ROW())+INDEX(D:D, ROW())=0, 0, INDEX(C:C, ROW())/(INDEX(C:C, ROW())+INDEX(D:D, ROW())))</f>
        <v/>
      </c>
      <c r="F285" s="1" t="inlineStr">
        <is>
          <t>Hash Table, Two Pointers, Tree, Depth-First Search, Breadth-First Search, Binary Search Tree, Binary Tree</t>
        </is>
      </c>
      <c r="G285" s="1" t="inlineStr">
        <is>
          <t>Easy</t>
        </is>
      </c>
      <c r="H285" s="1" t="n">
        <v>766750</v>
      </c>
      <c r="I285" s="1" t="n">
        <v>1212156</v>
      </c>
      <c r="J285" s="9" t="n">
        <v>0.633</v>
      </c>
      <c r="K285" s="1" t="inlineStr">
        <is>
          <t>Yes</t>
        </is>
      </c>
      <c r="L285" s="1" t="inlineStr">
        <is>
          <t>Yes</t>
        </is>
      </c>
      <c r="M285" s="1" t="inlineStr">
        <is>
          <t>No</t>
        </is>
      </c>
      <c r="N285" s="1" t="inlineStr">
        <is>
          <t>Algorithms</t>
        </is>
      </c>
      <c r="O2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5" s="13" t="inlineStr">
        <is>
          <t>Done</t>
        </is>
      </c>
    </row>
    <row r="286" ht="15.75" customHeight="1" s="12">
      <c r="A286" s="1" t="n">
        <v>60</v>
      </c>
      <c r="B286" s="3">
        <f>HYPERLINK("https://leetcode.com/problems/permutation-sequence/", "Permutation Sequence")</f>
        <v/>
      </c>
      <c r="C286" s="1" t="n">
        <v>7282</v>
      </c>
      <c r="D286" s="1" t="n">
        <v>511</v>
      </c>
      <c r="E286" s="4">
        <f>IF(INDEX(C:C, ROW())+INDEX(D:D, ROW())=0, 0, INDEX(C:C, ROW())/(INDEX(C:C, ROW())+INDEX(D:D, ROW())))</f>
        <v/>
      </c>
      <c r="F286" s="1" t="inlineStr">
        <is>
          <t>Math, Recursion</t>
        </is>
      </c>
      <c r="G286" s="1" t="inlineStr">
        <is>
          <t>Hard</t>
        </is>
      </c>
      <c r="H286" s="1" t="n">
        <v>578798</v>
      </c>
      <c r="I286" s="1" t="n">
        <v>1092312</v>
      </c>
      <c r="J286" s="9" t="n">
        <v>0.53</v>
      </c>
      <c r="K286" s="1" t="inlineStr">
        <is>
          <t>Yes</t>
        </is>
      </c>
      <c r="L286" s="1" t="inlineStr">
        <is>
          <t>Yes</t>
        </is>
      </c>
      <c r="M286" s="1" t="inlineStr">
        <is>
          <t>No</t>
        </is>
      </c>
      <c r="N286" s="1" t="inlineStr">
        <is>
          <t>Algorithms</t>
        </is>
      </c>
      <c r="O2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6" s="11" t="inlineStr">
        <is>
          <t>To Do</t>
        </is>
      </c>
    </row>
    <row r="287" ht="15.75" customHeight="1" s="12">
      <c r="A287" s="1" t="n">
        <v>257</v>
      </c>
      <c r="B287" s="3">
        <f>HYPERLINK("https://leetcode.com/problems/binary-tree-paths/", "Binary Tree Paths")</f>
        <v/>
      </c>
      <c r="C287" s="1" t="n">
        <v>7279</v>
      </c>
      <c r="D287" s="1" t="n">
        <v>352</v>
      </c>
      <c r="E287" s="4">
        <f>IF(INDEX(C:C, ROW())+INDEX(D:D, ROW())=0, 0, INDEX(C:C, ROW())/(INDEX(C:C, ROW())+INDEX(D:D, ROW())))</f>
        <v/>
      </c>
      <c r="F287" s="1" t="inlineStr">
        <is>
          <t>String, Backtracking, Tree, Depth-First Search, Binary Tree</t>
        </is>
      </c>
      <c r="G287" s="1" t="inlineStr">
        <is>
          <t>Easy</t>
        </is>
      </c>
      <c r="H287" s="1" t="n">
        <v>1018437</v>
      </c>
      <c r="I287" s="1" t="n">
        <v>1484617</v>
      </c>
      <c r="J287" s="9" t="n">
        <v>0.6860000000000001</v>
      </c>
      <c r="K287" s="1" t="inlineStr">
        <is>
          <t>Yes</t>
        </is>
      </c>
      <c r="L287" s="1" t="inlineStr">
        <is>
          <t>Yes</t>
        </is>
      </c>
      <c r="M287" s="1" t="inlineStr">
        <is>
          <t>No</t>
        </is>
      </c>
      <c r="N287" s="1" t="inlineStr">
        <is>
          <t>Algorithms</t>
        </is>
      </c>
      <c r="O2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7" s="13" t="inlineStr">
        <is>
          <t>Done</t>
        </is>
      </c>
    </row>
    <row r="288" ht="15.75" customHeight="1" s="12">
      <c r="A288" s="1" t="n">
        <v>901</v>
      </c>
      <c r="B288" s="3">
        <f>HYPERLINK("https://leetcode.com/problems/online-stock-span/", "Online Stock Span")</f>
        <v/>
      </c>
      <c r="C288" s="1" t="n">
        <v>7273</v>
      </c>
      <c r="D288" s="1" t="n">
        <v>505</v>
      </c>
      <c r="E288" s="4">
        <f>IF(INDEX(C:C, ROW())+INDEX(D:D, ROW())=0, 0, INDEX(C:C, ROW())/(INDEX(C:C, ROW())+INDEX(D:D, ROW())))</f>
        <v/>
      </c>
      <c r="F288" s="1" t="inlineStr">
        <is>
          <t>Stack, Design, Monotonic Stack, Data Stream</t>
        </is>
      </c>
      <c r="G288" s="1" t="inlineStr">
        <is>
          <t>Medium</t>
        </is>
      </c>
      <c r="H288" s="1" t="n">
        <v>604080</v>
      </c>
      <c r="I288" s="1" t="n">
        <v>875370</v>
      </c>
      <c r="J288" s="9" t="n">
        <v>0.6899999999999999</v>
      </c>
      <c r="K288" s="1" t="inlineStr">
        <is>
          <t>Yes</t>
        </is>
      </c>
      <c r="L288" s="1" t="inlineStr">
        <is>
          <t>Yes</t>
        </is>
      </c>
      <c r="M288" s="1" t="inlineStr">
        <is>
          <t>No</t>
        </is>
      </c>
      <c r="N288" s="1" t="inlineStr">
        <is>
          <t>Algorithms</t>
        </is>
      </c>
      <c r="O2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8" s="11" t="inlineStr">
        <is>
          <t>To Do</t>
        </is>
      </c>
    </row>
    <row r="289" ht="15.75" customHeight="1" s="12">
      <c r="A289" s="1" t="n">
        <v>938</v>
      </c>
      <c r="B289" s="3">
        <f>HYPERLINK("https://leetcode.com/problems/range-sum-of-bst/", "Range Sum of BST")</f>
        <v/>
      </c>
      <c r="C289" s="1" t="n">
        <v>7264</v>
      </c>
      <c r="D289" s="1" t="n">
        <v>389</v>
      </c>
      <c r="E289" s="4">
        <f>IF(INDEX(C:C, ROW())+INDEX(D:D, ROW())=0, 0, INDEX(C:C, ROW())/(INDEX(C:C, ROW())+INDEX(D:D, ROW())))</f>
        <v/>
      </c>
      <c r="F289" s="1" t="inlineStr">
        <is>
          <t>Tree, Depth-First Search, Binary Search Tree, Binary Tree</t>
        </is>
      </c>
      <c r="G289" s="1" t="inlineStr">
        <is>
          <t>Easy</t>
        </is>
      </c>
      <c r="H289" s="1" t="n">
        <v>1349212</v>
      </c>
      <c r="I289" s="1" t="n">
        <v>1540494</v>
      </c>
      <c r="J289" s="9" t="n">
        <v>0.876</v>
      </c>
      <c r="K289" s="1" t="inlineStr">
        <is>
          <t>Yes</t>
        </is>
      </c>
      <c r="L289" s="1" t="inlineStr">
        <is>
          <t>Yes</t>
        </is>
      </c>
      <c r="M289" s="1" t="inlineStr">
        <is>
          <t>Yes</t>
        </is>
      </c>
      <c r="N289" s="1" t="inlineStr">
        <is>
          <t>Algorithms</t>
        </is>
      </c>
      <c r="O2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9" s="13" t="inlineStr">
        <is>
          <t>Done</t>
        </is>
      </c>
    </row>
    <row r="290" ht="15.75" customHeight="1" s="12">
      <c r="A290" s="1" t="n">
        <v>406</v>
      </c>
      <c r="B290" s="3">
        <f>HYPERLINK("https://leetcode.com/problems/queue-reconstruction-by-height/", "Queue Reconstruction by Height")</f>
        <v/>
      </c>
      <c r="C290" s="1" t="n">
        <v>7252</v>
      </c>
      <c r="D290" s="1" t="n">
        <v>755</v>
      </c>
      <c r="E290" s="4">
        <f>IF(INDEX(C:C, ROW())+INDEX(D:D, ROW())=0, 0, INDEX(C:C, ROW())/(INDEX(C:C, ROW())+INDEX(D:D, ROW())))</f>
        <v/>
      </c>
      <c r="F290" s="1" t="inlineStr">
        <is>
          <t>Array, Binary Indexed Tree, Segment Tree, Sorting</t>
        </is>
      </c>
      <c r="G290" s="1" t="inlineStr">
        <is>
          <t>Medium</t>
        </is>
      </c>
      <c r="H290" s="1" t="n">
        <v>345506</v>
      </c>
      <c r="I290" s="1" t="n">
        <v>462500</v>
      </c>
      <c r="J290" s="9" t="n">
        <v>0.747</v>
      </c>
      <c r="K290" s="1" t="inlineStr">
        <is>
          <t>Yes</t>
        </is>
      </c>
      <c r="L290" s="1" t="inlineStr">
        <is>
          <t>Yes</t>
        </is>
      </c>
      <c r="M290" s="1" t="inlineStr">
        <is>
          <t>No</t>
        </is>
      </c>
      <c r="N290" s="1" t="inlineStr">
        <is>
          <t>Algorithms</t>
        </is>
      </c>
      <c r="O2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0" s="11" t="inlineStr">
        <is>
          <t>To Do</t>
        </is>
      </c>
    </row>
    <row r="291" ht="15.75" customHeight="1" s="12">
      <c r="A291" s="1" t="n">
        <v>912</v>
      </c>
      <c r="B291" s="3">
        <f>HYPERLINK("https://leetcode.com/problems/sort-an-array/", "Sort an Array")</f>
        <v/>
      </c>
      <c r="C291" s="1" t="n">
        <v>7251</v>
      </c>
      <c r="D291" s="1" t="n">
        <v>845</v>
      </c>
      <c r="E291" s="4">
        <f>IF(INDEX(C:C, ROW())+INDEX(D:D, ROW())=0, 0, INDEX(C:C, ROW())/(INDEX(C:C, ROW())+INDEX(D:D, ROW())))</f>
        <v/>
      </c>
      <c r="F291" s="1" t="inlineStr">
        <is>
          <t>Array, Divide and Conquer, Sorting, Heap (Priority Queue), Merge Sort, Bucket Sort, Radix Sort, Counting Sort</t>
        </is>
      </c>
      <c r="G291" s="1" t="inlineStr">
        <is>
          <t>Medium</t>
        </is>
      </c>
      <c r="H291" s="1" t="n">
        <v>1128014</v>
      </c>
      <c r="I291" s="1" t="n">
        <v>2017383</v>
      </c>
      <c r="J291" s="9" t="n">
        <v>0.5590000000000001</v>
      </c>
      <c r="K291" s="1" t="inlineStr">
        <is>
          <t>Yes</t>
        </is>
      </c>
      <c r="L291" s="1" t="inlineStr">
        <is>
          <t>Yes</t>
        </is>
      </c>
      <c r="M291" s="1" t="inlineStr">
        <is>
          <t>No</t>
        </is>
      </c>
      <c r="N291" s="1" t="inlineStr">
        <is>
          <t>Algorithms</t>
        </is>
      </c>
      <c r="O2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1" s="11" t="inlineStr">
        <is>
          <t>To Do</t>
        </is>
      </c>
    </row>
    <row r="292" ht="15.75" customHeight="1" s="12">
      <c r="A292" s="1" t="n">
        <v>253</v>
      </c>
      <c r="B292" s="3">
        <f>HYPERLINK("https://leetcode.com/problems/meeting-rooms-ii/", "Meeting Rooms II")</f>
        <v/>
      </c>
      <c r="C292" s="1" t="n">
        <v>7246</v>
      </c>
      <c r="D292" s="1" t="n">
        <v>177</v>
      </c>
      <c r="E292" s="4">
        <f>IF(INDEX(C:C, ROW())+INDEX(D:D, ROW())=0, 0, INDEX(C:C, ROW())/(INDEX(C:C, ROW())+INDEX(D:D, ROW())))</f>
        <v/>
      </c>
      <c r="F292" s="1" t="inlineStr">
        <is>
          <t>Array, Two Pointers, Greedy, Sorting, Heap (Priority Queue), Prefix Sum</t>
        </is>
      </c>
      <c r="G292" s="1" t="inlineStr">
        <is>
          <t>Medium</t>
        </is>
      </c>
      <c r="H292" s="1" t="n">
        <v>1173370</v>
      </c>
      <c r="I292" s="1" t="n">
        <v>2228008</v>
      </c>
      <c r="J292" s="9" t="n">
        <v>0.527</v>
      </c>
      <c r="K292" s="1" t="inlineStr">
        <is>
          <t>No</t>
        </is>
      </c>
      <c r="L292" s="1" t="inlineStr">
        <is>
          <t>Yes</t>
        </is>
      </c>
      <c r="M292" s="1" t="inlineStr">
        <is>
          <t>Yes</t>
        </is>
      </c>
      <c r="N292" s="1" t="inlineStr">
        <is>
          <t>Algorithms</t>
        </is>
      </c>
      <c r="O2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2" s="11" t="inlineStr">
        <is>
          <t>To Do</t>
        </is>
      </c>
    </row>
    <row r="293" ht="15.75" customHeight="1" s="12">
      <c r="A293" s="1" t="n">
        <v>684</v>
      </c>
      <c r="B293" s="3">
        <f>HYPERLINK("https://leetcode.com/problems/redundant-connection/", "Redundant Connection")</f>
        <v/>
      </c>
      <c r="C293" s="1" t="n">
        <v>7191</v>
      </c>
      <c r="D293" s="1" t="n">
        <v>451</v>
      </c>
      <c r="E293" s="4">
        <f>IF(INDEX(C:C, ROW())+INDEX(D:D, ROW())=0, 0, INDEX(C:C, ROW())/(INDEX(C:C, ROW())+INDEX(D:D, ROW())))</f>
        <v/>
      </c>
      <c r="F293" s="1" t="inlineStr">
        <is>
          <t>Depth-First Search, Breadth-First Search, Union-Find, Graph Theory</t>
        </is>
      </c>
      <c r="G293" s="1" t="inlineStr">
        <is>
          <t>Medium</t>
        </is>
      </c>
      <c r="H293" s="1" t="n">
        <v>649507</v>
      </c>
      <c r="I293" s="1" t="n">
        <v>961116</v>
      </c>
      <c r="J293" s="9" t="n">
        <v>0.676</v>
      </c>
      <c r="K293" s="1" t="inlineStr">
        <is>
          <t>Yes</t>
        </is>
      </c>
      <c r="L293" s="1" t="inlineStr">
        <is>
          <t>Yes</t>
        </is>
      </c>
      <c r="M293" s="1" t="inlineStr">
        <is>
          <t>No</t>
        </is>
      </c>
      <c r="N293" s="1" t="inlineStr">
        <is>
          <t>Algorithms</t>
        </is>
      </c>
      <c r="O2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3" s="11" t="inlineStr">
        <is>
          <t>To Do</t>
        </is>
      </c>
    </row>
    <row r="294" ht="15.75" customHeight="1" s="12">
      <c r="A294" s="1" t="n">
        <v>191</v>
      </c>
      <c r="B294" s="3">
        <f>HYPERLINK("https://leetcode.com/problems/number-of-1-bits/", "Number of 1 Bits")</f>
        <v/>
      </c>
      <c r="C294" s="1" t="n">
        <v>7184</v>
      </c>
      <c r="D294" s="1" t="n">
        <v>1372</v>
      </c>
      <c r="E294" s="4">
        <f>IF(INDEX(C:C, ROW())+INDEX(D:D, ROW())=0, 0, INDEX(C:C, ROW())/(INDEX(C:C, ROW())+INDEX(D:D, ROW())))</f>
        <v/>
      </c>
      <c r="F294" s="1" t="inlineStr">
        <is>
          <t>Divide and Conquer, Bit Manipulation</t>
        </is>
      </c>
      <c r="G294" s="1" t="inlineStr">
        <is>
          <t>Easy</t>
        </is>
      </c>
      <c r="H294" s="1" t="n">
        <v>2125138</v>
      </c>
      <c r="I294" s="1" t="n">
        <v>2768254</v>
      </c>
      <c r="J294" s="9" t="n">
        <v>0.768</v>
      </c>
      <c r="K294" s="1" t="inlineStr">
        <is>
          <t>Yes</t>
        </is>
      </c>
      <c r="L294" s="1" t="inlineStr">
        <is>
          <t>Yes</t>
        </is>
      </c>
      <c r="M294" s="1" t="inlineStr">
        <is>
          <t>No</t>
        </is>
      </c>
      <c r="N294" s="1" t="inlineStr">
        <is>
          <t>Algorithms</t>
        </is>
      </c>
      <c r="O2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4" s="13" t="inlineStr">
        <is>
          <t>Done</t>
        </is>
      </c>
    </row>
    <row r="295" ht="15.75" customHeight="1" s="12">
      <c r="A295" s="1" t="n">
        <v>1423</v>
      </c>
      <c r="B295" s="3">
        <f>HYPERLINK("https://leetcode.com/problems/maximum-points-you-can-obtain-from-cards/", "Maximum Points You Can Obtain from Cards")</f>
        <v/>
      </c>
      <c r="C295" s="1" t="n">
        <v>7118</v>
      </c>
      <c r="D295" s="1" t="n">
        <v>324</v>
      </c>
      <c r="E295" s="4">
        <f>IF(INDEX(C:C, ROW())+INDEX(D:D, ROW())=0, 0, INDEX(C:C, ROW())/(INDEX(C:C, ROW())+INDEX(D:D, ROW())))</f>
        <v/>
      </c>
      <c r="F295" s="1" t="inlineStr">
        <is>
          <t>Array, Sliding Window, Prefix Sum</t>
        </is>
      </c>
      <c r="G295" s="1" t="inlineStr">
        <is>
          <t>Medium</t>
        </is>
      </c>
      <c r="H295" s="1" t="n">
        <v>521560</v>
      </c>
      <c r="I295" s="1" t="n">
        <v>905527</v>
      </c>
      <c r="J295" s="9" t="n">
        <v>0.576</v>
      </c>
      <c r="K295" s="1" t="inlineStr">
        <is>
          <t>Yes</t>
        </is>
      </c>
      <c r="L295" s="1" t="inlineStr">
        <is>
          <t>Yes</t>
        </is>
      </c>
      <c r="M295" s="1" t="inlineStr">
        <is>
          <t>No</t>
        </is>
      </c>
      <c r="N295" s="1" t="inlineStr">
        <is>
          <t>Algorithms</t>
        </is>
      </c>
      <c r="O2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5" s="11" t="inlineStr">
        <is>
          <t>To Do</t>
        </is>
      </c>
    </row>
    <row r="296" ht="15.75" customHeight="1" s="12">
      <c r="A296" s="1" t="n">
        <v>1047</v>
      </c>
      <c r="B296" s="3">
        <f>HYPERLINK("https://leetcode.com/problems/remove-all-adjacent-duplicates-in-string/", "Remove All Adjacent Duplicates In String")</f>
        <v/>
      </c>
      <c r="C296" s="1" t="n">
        <v>7115</v>
      </c>
      <c r="D296" s="1" t="n">
        <v>276</v>
      </c>
      <c r="E296" s="4">
        <f>IF(INDEX(C:C, ROW())+INDEX(D:D, ROW())=0, 0, INDEX(C:C, ROW())/(INDEX(C:C, ROW())+INDEX(D:D, ROW())))</f>
        <v/>
      </c>
      <c r="F296" s="1" t="inlineStr">
        <is>
          <t>String, Stack</t>
        </is>
      </c>
      <c r="G296" s="1" t="inlineStr">
        <is>
          <t>Easy</t>
        </is>
      </c>
      <c r="H296" s="1" t="n">
        <v>875175</v>
      </c>
      <c r="I296" s="1" t="n">
        <v>1195915</v>
      </c>
      <c r="J296" s="9" t="n">
        <v>0.732</v>
      </c>
      <c r="K296" s="1" t="inlineStr">
        <is>
          <t>Yes</t>
        </is>
      </c>
      <c r="L296" s="1" t="inlineStr">
        <is>
          <t>Yes</t>
        </is>
      </c>
      <c r="M296" s="1" t="inlineStr">
        <is>
          <t>No</t>
        </is>
      </c>
      <c r="N296" s="1" t="inlineStr">
        <is>
          <t>Algorithms</t>
        </is>
      </c>
      <c r="O2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6" s="13" t="inlineStr">
        <is>
          <t>Done</t>
        </is>
      </c>
    </row>
    <row r="297" ht="15.75" customHeight="1" s="12">
      <c r="A297" s="1" t="n">
        <v>718</v>
      </c>
      <c r="B297" s="3">
        <f>HYPERLINK("https://leetcode.com/problems/maximum-length-of-repeated-subarray/", "Maximum Length of Repeated Subarray")</f>
        <v/>
      </c>
      <c r="C297" s="1" t="n">
        <v>7092</v>
      </c>
      <c r="D297" s="1" t="n">
        <v>180</v>
      </c>
      <c r="E297" s="4">
        <f>IF(INDEX(C:C, ROW())+INDEX(D:D, ROW())=0, 0, INDEX(C:C, ROW())/(INDEX(C:C, ROW())+INDEX(D:D, ROW())))</f>
        <v/>
      </c>
      <c r="F297" s="1" t="inlineStr">
        <is>
          <t>Array, Binary Search, Dynamic Programming, Sliding Window, Rolling Hash, Hash Function</t>
        </is>
      </c>
      <c r="G297" s="1" t="inlineStr">
        <is>
          <t>Medium</t>
        </is>
      </c>
      <c r="H297" s="1" t="n">
        <v>366268</v>
      </c>
      <c r="I297" s="1" t="n">
        <v>713189</v>
      </c>
      <c r="J297" s="9" t="n">
        <v>0.514</v>
      </c>
      <c r="K297" s="1" t="inlineStr">
        <is>
          <t>Yes</t>
        </is>
      </c>
      <c r="L297" s="1" t="inlineStr">
        <is>
          <t>Yes</t>
        </is>
      </c>
      <c r="M297" s="1" t="inlineStr">
        <is>
          <t>No</t>
        </is>
      </c>
      <c r="N297" s="1" t="inlineStr">
        <is>
          <t>Algorithms</t>
        </is>
      </c>
      <c r="O2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7" s="11" t="inlineStr">
        <is>
          <t>To Do</t>
        </is>
      </c>
    </row>
    <row r="298" ht="15.75" customHeight="1" s="12">
      <c r="A298" s="1" t="n">
        <v>802</v>
      </c>
      <c r="B298" s="3">
        <f>HYPERLINK("https://leetcode.com/problems/find-eventual-safe-states/", "Find Eventual Safe States")</f>
        <v/>
      </c>
      <c r="C298" s="1" t="n">
        <v>7043</v>
      </c>
      <c r="D298" s="1" t="n">
        <v>529</v>
      </c>
      <c r="E298" s="4">
        <f>IF(INDEX(C:C, ROW())+INDEX(D:D, ROW())=0, 0, INDEX(C:C, ROW())/(INDEX(C:C, ROW())+INDEX(D:D, ROW())))</f>
        <v/>
      </c>
      <c r="F298" s="1" t="inlineStr">
        <is>
          <t>Depth-First Search, Breadth-First Search, Graph Theory, Topological Sort</t>
        </is>
      </c>
      <c r="G298" s="1" t="inlineStr">
        <is>
          <t>Medium</t>
        </is>
      </c>
      <c r="H298" s="1" t="n">
        <v>571564</v>
      </c>
      <c r="I298" s="1" t="n">
        <v>808889</v>
      </c>
      <c r="J298" s="9" t="n">
        <v>0.707</v>
      </c>
      <c r="K298" s="1" t="inlineStr">
        <is>
          <t>Yes</t>
        </is>
      </c>
      <c r="L298" s="1" t="inlineStr">
        <is>
          <t>Yes</t>
        </is>
      </c>
      <c r="M298" s="1" t="inlineStr">
        <is>
          <t>No</t>
        </is>
      </c>
      <c r="N298" s="1" t="inlineStr">
        <is>
          <t>Algorithms</t>
        </is>
      </c>
      <c r="O2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8" s="11" t="inlineStr">
        <is>
          <t>To Do</t>
        </is>
      </c>
    </row>
    <row r="299" ht="15.75" customHeight="1" s="12">
      <c r="A299" s="1" t="n">
        <v>493</v>
      </c>
      <c r="B299" s="3">
        <f>HYPERLINK("https://leetcode.com/problems/reverse-pairs/", "Reverse Pairs")</f>
        <v/>
      </c>
      <c r="C299" s="1" t="n">
        <v>7031</v>
      </c>
      <c r="D299" s="1" t="n">
        <v>300</v>
      </c>
      <c r="E299" s="4">
        <f>IF(INDEX(C:C, ROW())+INDEX(D:D, ROW())=0, 0, INDEX(C:C, ROW())/(INDEX(C:C, ROW())+INDEX(D:D, ROW())))</f>
        <v/>
      </c>
      <c r="F299" s="1" t="inlineStr">
        <is>
          <t>Array, Binary Search, Divide and Conquer, Binary Indexed Tree, Segment Tree, Merge Sort, Ordered Set</t>
        </is>
      </c>
      <c r="G299" s="1" t="inlineStr">
        <is>
          <t>Hard</t>
        </is>
      </c>
      <c r="H299" s="1" t="n">
        <v>362454</v>
      </c>
      <c r="I299" s="1" t="n">
        <v>1061043</v>
      </c>
      <c r="J299" s="9" t="n">
        <v>0.342</v>
      </c>
      <c r="K299" s="1" t="inlineStr">
        <is>
          <t>Yes</t>
        </is>
      </c>
      <c r="L299" s="1" t="inlineStr">
        <is>
          <t>Yes</t>
        </is>
      </c>
      <c r="M299" s="1" t="inlineStr">
        <is>
          <t>No</t>
        </is>
      </c>
      <c r="N299" s="1" t="inlineStr">
        <is>
          <t>Algorithms</t>
        </is>
      </c>
      <c r="O2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9" s="11" t="inlineStr">
        <is>
          <t>To Do</t>
        </is>
      </c>
    </row>
    <row r="300" ht="15.75" customHeight="1" s="12">
      <c r="A300" s="1" t="n">
        <v>678</v>
      </c>
      <c r="B300" s="3">
        <f>HYPERLINK("https://leetcode.com/problems/valid-parenthesis-string/", "Valid Parenthesis String")</f>
        <v/>
      </c>
      <c r="C300" s="1" t="n">
        <v>7027</v>
      </c>
      <c r="D300" s="1" t="n">
        <v>223</v>
      </c>
      <c r="E300" s="4">
        <f>IF(INDEX(C:C, ROW())+INDEX(D:D, ROW())=0, 0, INDEX(C:C, ROW())/(INDEX(C:C, ROW())+INDEX(D:D, ROW())))</f>
        <v/>
      </c>
      <c r="F300" s="1" t="inlineStr">
        <is>
          <t>String, Dynamic Programming, Stack, Greedy</t>
        </is>
      </c>
      <c r="G300" s="1" t="inlineStr">
        <is>
          <t>Medium</t>
        </is>
      </c>
      <c r="H300" s="1" t="n">
        <v>594434</v>
      </c>
      <c r="I300" s="1" t="n">
        <v>1482460</v>
      </c>
      <c r="J300" s="9" t="n">
        <v>0.401</v>
      </c>
      <c r="K300" s="1" t="inlineStr">
        <is>
          <t>Yes</t>
        </is>
      </c>
      <c r="L300" s="1" t="inlineStr">
        <is>
          <t>Yes</t>
        </is>
      </c>
      <c r="M300" s="1" t="inlineStr">
        <is>
          <t>No</t>
        </is>
      </c>
      <c r="N300" s="1" t="inlineStr">
        <is>
          <t>Algorithms</t>
        </is>
      </c>
      <c r="O3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0" s="11" t="inlineStr">
        <is>
          <t>To Do</t>
        </is>
      </c>
    </row>
    <row r="301" ht="15.75" customHeight="1" s="12">
      <c r="A301" s="1" t="n">
        <v>931</v>
      </c>
      <c r="B301" s="3">
        <f>HYPERLINK("https://leetcode.com/problems/minimum-falling-path-sum/", "Minimum Falling Path Sum")</f>
        <v/>
      </c>
      <c r="C301" s="1" t="n">
        <v>7008</v>
      </c>
      <c r="D301" s="1" t="n">
        <v>175</v>
      </c>
      <c r="E301" s="4">
        <f>IF(INDEX(C:C, ROW())+INDEX(D:D, ROW())=0, 0, INDEX(C:C, ROW())/(INDEX(C:C, ROW())+INDEX(D:D, ROW())))</f>
        <v/>
      </c>
      <c r="F301" s="1" t="inlineStr">
        <is>
          <t>Array, Dynamic Programming, Matrix</t>
        </is>
      </c>
      <c r="G301" s="1" t="inlineStr">
        <is>
          <t>Medium</t>
        </is>
      </c>
      <c r="H301" s="1" t="n">
        <v>659682</v>
      </c>
      <c r="I301" s="1" t="n">
        <v>1084686</v>
      </c>
      <c r="J301" s="9" t="n">
        <v>0.608</v>
      </c>
      <c r="K301" s="1" t="inlineStr">
        <is>
          <t>Yes</t>
        </is>
      </c>
      <c r="L301" s="1" t="inlineStr">
        <is>
          <t>Yes</t>
        </is>
      </c>
      <c r="M301" s="1" t="inlineStr">
        <is>
          <t>No</t>
        </is>
      </c>
      <c r="N301" s="1" t="inlineStr">
        <is>
          <t>Algorithms</t>
        </is>
      </c>
      <c r="O3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1" s="11" t="inlineStr">
        <is>
          <t>To Do</t>
        </is>
      </c>
    </row>
    <row r="302" ht="15.75" customHeight="1" s="12">
      <c r="A302" s="1" t="n">
        <v>224</v>
      </c>
      <c r="B302" s="3">
        <f>HYPERLINK("https://leetcode.com/problems/basic-calculator/", "Basic Calculator")</f>
        <v/>
      </c>
      <c r="C302" s="1" t="n">
        <v>6986</v>
      </c>
      <c r="D302" s="1" t="n">
        <v>559</v>
      </c>
      <c r="E302" s="4">
        <f>IF(INDEX(C:C, ROW())+INDEX(D:D, ROW())=0, 0, INDEX(C:C, ROW())/(INDEX(C:C, ROW())+INDEX(D:D, ROW())))</f>
        <v/>
      </c>
      <c r="F302" s="1" t="inlineStr">
        <is>
          <t>Math, String, Stack, Recursion</t>
        </is>
      </c>
      <c r="G302" s="1" t="inlineStr">
        <is>
          <t>Hard</t>
        </is>
      </c>
      <c r="H302" s="1" t="n">
        <v>706807</v>
      </c>
      <c r="I302" s="1" t="n">
        <v>1508527</v>
      </c>
      <c r="J302" s="9" t="n">
        <v>0.469</v>
      </c>
      <c r="K302" s="1" t="inlineStr">
        <is>
          <t>Yes</t>
        </is>
      </c>
      <c r="L302" s="1" t="inlineStr">
        <is>
          <t>Yes</t>
        </is>
      </c>
      <c r="M302" s="1" t="inlineStr">
        <is>
          <t>No</t>
        </is>
      </c>
      <c r="N302" s="1" t="inlineStr">
        <is>
          <t>Algorithms</t>
        </is>
      </c>
      <c r="O3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2" s="11" t="inlineStr">
        <is>
          <t>To Do</t>
        </is>
      </c>
    </row>
    <row r="303" ht="15.75" customHeight="1" s="12">
      <c r="A303" s="1" t="n">
        <v>992</v>
      </c>
      <c r="B303" s="3">
        <f>HYPERLINK("https://leetcode.com/problems/subarrays-with-k-different-integers/", "Subarrays with K Different Integers")</f>
        <v/>
      </c>
      <c r="C303" s="1" t="n">
        <v>6982</v>
      </c>
      <c r="D303" s="1" t="n">
        <v>122</v>
      </c>
      <c r="E303" s="4">
        <f>IF(INDEX(C:C, ROW())+INDEX(D:D, ROW())=0, 0, INDEX(C:C, ROW())/(INDEX(C:C, ROW())+INDEX(D:D, ROW())))</f>
        <v/>
      </c>
      <c r="F303" s="1" t="inlineStr">
        <is>
          <t>Array, Hash Table, Sliding Window, Counting</t>
        </is>
      </c>
      <c r="G303" s="1" t="inlineStr">
        <is>
          <t>Hard</t>
        </is>
      </c>
      <c r="H303" s="1" t="n">
        <v>399460</v>
      </c>
      <c r="I303" s="1" t="n">
        <v>587092</v>
      </c>
      <c r="J303" s="9" t="n">
        <v>0.68</v>
      </c>
      <c r="K303" s="1" t="inlineStr">
        <is>
          <t>Yes</t>
        </is>
      </c>
      <c r="L303" s="1" t="inlineStr">
        <is>
          <t>Yes</t>
        </is>
      </c>
      <c r="M303" s="1" t="inlineStr">
        <is>
          <t>No</t>
        </is>
      </c>
      <c r="N303" s="1" t="inlineStr">
        <is>
          <t>Algorithms</t>
        </is>
      </c>
      <c r="O3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3" s="11" t="inlineStr">
        <is>
          <t>To Do</t>
        </is>
      </c>
    </row>
    <row r="304" ht="15.75" customHeight="1" s="12">
      <c r="A304" s="1" t="n">
        <v>523</v>
      </c>
      <c r="B304" s="3">
        <f>HYPERLINK("https://leetcode.com/problems/continuous-subarray-sum/", "Continuous Subarray Sum")</f>
        <v/>
      </c>
      <c r="C304" s="1" t="n">
        <v>6980</v>
      </c>
      <c r="D304" s="1" t="n">
        <v>719</v>
      </c>
      <c r="E304" s="4">
        <f>IF(INDEX(C:C, ROW())+INDEX(D:D, ROW())=0, 0, INDEX(C:C, ROW())/(INDEX(C:C, ROW())+INDEX(D:D, ROW())))</f>
        <v/>
      </c>
      <c r="F304" s="1" t="inlineStr">
        <is>
          <t>Array, Hash Table, Math, Prefix Sum</t>
        </is>
      </c>
      <c r="G304" s="1" t="inlineStr">
        <is>
          <t>Medium</t>
        </is>
      </c>
      <c r="H304" s="1" t="n">
        <v>775769</v>
      </c>
      <c r="I304" s="1" t="n">
        <v>2474402</v>
      </c>
      <c r="J304" s="9" t="n">
        <v>0.314</v>
      </c>
      <c r="K304" s="1" t="inlineStr">
        <is>
          <t>Yes</t>
        </is>
      </c>
      <c r="L304" s="1" t="inlineStr">
        <is>
          <t>Yes</t>
        </is>
      </c>
      <c r="M304" s="1" t="inlineStr">
        <is>
          <t>No</t>
        </is>
      </c>
      <c r="N304" s="1" t="inlineStr">
        <is>
          <t>Algorithms</t>
        </is>
      </c>
      <c r="O3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4" s="11" t="inlineStr">
        <is>
          <t>To Do</t>
        </is>
      </c>
    </row>
    <row r="305" ht="15.75" customHeight="1" s="12">
      <c r="A305" s="1" t="n">
        <v>997</v>
      </c>
      <c r="B305" s="3">
        <f>HYPERLINK("https://leetcode.com/problems/find-the-town-judge/", "Find the Town Judge")</f>
        <v/>
      </c>
      <c r="C305" s="1" t="n">
        <v>6978</v>
      </c>
      <c r="D305" s="1" t="n">
        <v>634</v>
      </c>
      <c r="E305" s="4">
        <f>IF(INDEX(C:C, ROW())+INDEX(D:D, ROW())=0, 0, INDEX(C:C, ROW())/(INDEX(C:C, ROW())+INDEX(D:D, ROW())))</f>
        <v/>
      </c>
      <c r="F305" s="1" t="inlineStr">
        <is>
          <t>Array, Hash Table, Graph Theory</t>
        </is>
      </c>
      <c r="G305" s="1" t="inlineStr">
        <is>
          <t>Easy</t>
        </is>
      </c>
      <c r="H305" s="1" t="n">
        <v>754038</v>
      </c>
      <c r="I305" s="1" t="n">
        <v>1486115</v>
      </c>
      <c r="J305" s="9" t="n">
        <v>0.507</v>
      </c>
      <c r="K305" s="1" t="inlineStr">
        <is>
          <t>Yes</t>
        </is>
      </c>
      <c r="L305" s="1" t="inlineStr">
        <is>
          <t>Yes</t>
        </is>
      </c>
      <c r="M305" s="1" t="inlineStr">
        <is>
          <t>No</t>
        </is>
      </c>
      <c r="N305" s="1" t="inlineStr">
        <is>
          <t>Algorithms</t>
        </is>
      </c>
      <c r="O3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5" s="13" t="inlineStr">
        <is>
          <t>Done</t>
        </is>
      </c>
    </row>
    <row r="306" ht="15.75" customHeight="1" s="12">
      <c r="A306" s="1" t="n">
        <v>373</v>
      </c>
      <c r="B306" s="3">
        <f>HYPERLINK("https://leetcode.com/problems/find-k-pairs-with-smallest-sums/", "Find K Pairs with Smallest Sums")</f>
        <v/>
      </c>
      <c r="C306" s="1" t="n">
        <v>6975</v>
      </c>
      <c r="D306" s="1" t="n">
        <v>498</v>
      </c>
      <c r="E306" s="4">
        <f>IF(INDEX(C:C, ROW())+INDEX(D:D, ROW())=0, 0, INDEX(C:C, ROW())/(INDEX(C:C, ROW())+INDEX(D:D, ROW())))</f>
        <v/>
      </c>
      <c r="F306" s="1" t="inlineStr">
        <is>
          <t>Array, Heap (Priority Queue)</t>
        </is>
      </c>
      <c r="G306" s="1" t="inlineStr">
        <is>
          <t>Medium</t>
        </is>
      </c>
      <c r="H306" s="1" t="n">
        <v>459818</v>
      </c>
      <c r="I306" s="1" t="n">
        <v>1098786</v>
      </c>
      <c r="J306" s="9" t="n">
        <v>0.418</v>
      </c>
      <c r="K306" s="1" t="inlineStr">
        <is>
          <t>Yes</t>
        </is>
      </c>
      <c r="L306" s="1" t="inlineStr">
        <is>
          <t>Yes</t>
        </is>
      </c>
      <c r="M306" s="1" t="inlineStr">
        <is>
          <t>No</t>
        </is>
      </c>
      <c r="N306" s="1" t="inlineStr">
        <is>
          <t>Algorithms</t>
        </is>
      </c>
      <c r="O3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6" s="11" t="inlineStr">
        <is>
          <t>To Do</t>
        </is>
      </c>
    </row>
    <row r="307" ht="15.75" customHeight="1" s="12">
      <c r="A307" s="1" t="n">
        <v>225</v>
      </c>
      <c r="B307" s="3">
        <f>HYPERLINK("https://leetcode.com/problems/implement-stack-using-queues/", "Implement Stack using Queues")</f>
        <v/>
      </c>
      <c r="C307" s="1" t="n">
        <v>6968</v>
      </c>
      <c r="D307" s="1" t="n">
        <v>1288</v>
      </c>
      <c r="E307" s="4">
        <f>IF(INDEX(C:C, ROW())+INDEX(D:D, ROW())=0, 0, INDEX(C:C, ROW())/(INDEX(C:C, ROW())+INDEX(D:D, ROW())))</f>
        <v/>
      </c>
      <c r="F307" s="1" t="inlineStr">
        <is>
          <t>Stack, Design, Queue</t>
        </is>
      </c>
      <c r="G307" s="1" t="inlineStr">
        <is>
          <t>Easy</t>
        </is>
      </c>
      <c r="H307" s="1" t="n">
        <v>1155749</v>
      </c>
      <c r="I307" s="1" t="n">
        <v>1654517</v>
      </c>
      <c r="J307" s="9" t="n">
        <v>0.699</v>
      </c>
      <c r="K307" s="1" t="inlineStr">
        <is>
          <t>Yes</t>
        </is>
      </c>
      <c r="L307" s="1" t="inlineStr">
        <is>
          <t>Yes</t>
        </is>
      </c>
      <c r="M307" s="1" t="inlineStr">
        <is>
          <t>No</t>
        </is>
      </c>
      <c r="N307" s="1" t="inlineStr">
        <is>
          <t>Algorithms</t>
        </is>
      </c>
      <c r="O3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7" s="13" t="inlineStr">
        <is>
          <t>Done</t>
        </is>
      </c>
    </row>
    <row r="308" ht="15.75" customHeight="1" s="12">
      <c r="A308" s="1" t="n">
        <v>881</v>
      </c>
      <c r="B308" s="3">
        <f>HYPERLINK("https://leetcode.com/problems/boats-to-save-people/", "Boats to Save People")</f>
        <v/>
      </c>
      <c r="C308" s="1" t="n">
        <v>6953</v>
      </c>
      <c r="D308" s="1" t="n">
        <v>179</v>
      </c>
      <c r="E308" s="4">
        <f>IF(INDEX(C:C, ROW())+INDEX(D:D, ROW())=0, 0, INDEX(C:C, ROW())/(INDEX(C:C, ROW())+INDEX(D:D, ROW())))</f>
        <v/>
      </c>
      <c r="F308" s="1" t="inlineStr">
        <is>
          <t>Array, Two Pointers, Greedy, Sorting</t>
        </is>
      </c>
      <c r="G308" s="1" t="inlineStr">
        <is>
          <t>Medium</t>
        </is>
      </c>
      <c r="H308" s="1" t="n">
        <v>569308</v>
      </c>
      <c r="I308" s="1" t="n">
        <v>922270</v>
      </c>
      <c r="J308" s="9" t="n">
        <v>0.617</v>
      </c>
      <c r="K308" s="1" t="inlineStr">
        <is>
          <t>Yes</t>
        </is>
      </c>
      <c r="L308" s="1" t="inlineStr">
        <is>
          <t>Yes</t>
        </is>
      </c>
      <c r="M308" s="1" t="inlineStr">
        <is>
          <t>No</t>
        </is>
      </c>
      <c r="N308" s="1" t="inlineStr">
        <is>
          <t>Algorithms</t>
        </is>
      </c>
      <c r="O3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8" s="11" t="inlineStr">
        <is>
          <t>To Do</t>
        </is>
      </c>
    </row>
    <row r="309" ht="15.75" customHeight="1" s="12">
      <c r="A309" s="1" t="n">
        <v>349</v>
      </c>
      <c r="B309" s="3">
        <f>HYPERLINK("https://leetcode.com/problems/intersection-of-two-arrays/", "Intersection of Two Arrays")</f>
        <v/>
      </c>
      <c r="C309" s="1" t="n">
        <v>6948</v>
      </c>
      <c r="D309" s="1" t="n">
        <v>2347</v>
      </c>
      <c r="E309" s="4">
        <f>IF(INDEX(C:C, ROW())+INDEX(D:D, ROW())=0, 0, INDEX(C:C, ROW())/(INDEX(C:C, ROW())+INDEX(D:D, ROW())))</f>
        <v/>
      </c>
      <c r="F309" s="1" t="inlineStr">
        <is>
          <t>Array, Hash Table, Two Pointers, Binary Search, Sorting</t>
        </is>
      </c>
      <c r="G309" s="1" t="inlineStr">
        <is>
          <t>Easy</t>
        </is>
      </c>
      <c r="H309" s="1" t="n">
        <v>1866112</v>
      </c>
      <c r="I309" s="1" t="n">
        <v>2400517</v>
      </c>
      <c r="J309" s="9" t="n">
        <v>0.777</v>
      </c>
      <c r="K309" s="1" t="inlineStr">
        <is>
          <t>Yes</t>
        </is>
      </c>
      <c r="L309" s="1" t="inlineStr">
        <is>
          <t>Yes</t>
        </is>
      </c>
      <c r="M309" s="1" t="inlineStr">
        <is>
          <t>No</t>
        </is>
      </c>
      <c r="N309" s="1" t="inlineStr">
        <is>
          <t>Algorithms</t>
        </is>
      </c>
      <c r="O3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9" s="13" t="inlineStr">
        <is>
          <t>Done</t>
        </is>
      </c>
    </row>
    <row r="310" ht="15.75" customHeight="1" s="12">
      <c r="A310" s="1" t="n">
        <v>59</v>
      </c>
      <c r="B310" s="3">
        <f>HYPERLINK("https://leetcode.com/problems/spiral-matrix-ii/", "Spiral Matrix II")</f>
        <v/>
      </c>
      <c r="C310" s="1" t="n">
        <v>6923</v>
      </c>
      <c r="D310" s="1" t="n">
        <v>289</v>
      </c>
      <c r="E310" s="4">
        <f>IF(INDEX(C:C, ROW())+INDEX(D:D, ROW())=0, 0, INDEX(C:C, ROW())/(INDEX(C:C, ROW())+INDEX(D:D, ROW())))</f>
        <v/>
      </c>
      <c r="F310" s="1" t="inlineStr">
        <is>
          <t>Array, Matrix, Simulation</t>
        </is>
      </c>
      <c r="G310" s="1" t="inlineStr">
        <is>
          <t>Medium</t>
        </is>
      </c>
      <c r="H310" s="1" t="n">
        <v>806163</v>
      </c>
      <c r="I310" s="1" t="n">
        <v>1074990</v>
      </c>
      <c r="J310" s="9" t="n">
        <v>0.75</v>
      </c>
      <c r="K310" s="1" t="inlineStr">
        <is>
          <t>Yes</t>
        </is>
      </c>
      <c r="L310" s="1" t="inlineStr">
        <is>
          <t>Yes</t>
        </is>
      </c>
      <c r="M310" s="1" t="inlineStr">
        <is>
          <t>No</t>
        </is>
      </c>
      <c r="N310" s="1" t="inlineStr">
        <is>
          <t>Algorithms</t>
        </is>
      </c>
      <c r="O3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0" s="11" t="inlineStr">
        <is>
          <t>To Do</t>
        </is>
      </c>
    </row>
    <row r="311" ht="15.75" customHeight="1" s="12">
      <c r="A311" s="1" t="n">
        <v>485</v>
      </c>
      <c r="B311" s="3">
        <f>HYPERLINK("https://leetcode.com/problems/max-consecutive-ones/", "Max Consecutive Ones")</f>
        <v/>
      </c>
      <c r="C311" s="1" t="n">
        <v>6916</v>
      </c>
      <c r="D311" s="1" t="n">
        <v>500</v>
      </c>
      <c r="E311" s="4">
        <f>IF(INDEX(C:C, ROW())+INDEX(D:D, ROW())=0, 0, INDEX(C:C, ROW())/(INDEX(C:C, ROW())+INDEX(D:D, ROW())))</f>
        <v/>
      </c>
      <c r="F311" s="1" t="inlineStr">
        <is>
          <t>Array</t>
        </is>
      </c>
      <c r="G311" s="1" t="inlineStr">
        <is>
          <t>Easy</t>
        </is>
      </c>
      <c r="H311" s="1" t="n">
        <v>2274926</v>
      </c>
      <c r="I311" s="1" t="n">
        <v>3496276</v>
      </c>
      <c r="J311" s="9" t="n">
        <v>0.651</v>
      </c>
      <c r="K311" s="1" t="inlineStr">
        <is>
          <t>Yes</t>
        </is>
      </c>
      <c r="L311" s="1" t="inlineStr">
        <is>
          <t>Yes</t>
        </is>
      </c>
      <c r="M311" s="1" t="inlineStr">
        <is>
          <t>No</t>
        </is>
      </c>
      <c r="N311" s="1" t="inlineStr">
        <is>
          <t>Algorithms</t>
        </is>
      </c>
      <c r="O3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1" s="13" t="inlineStr">
        <is>
          <t>Done</t>
        </is>
      </c>
    </row>
    <row r="312" ht="15.75" customHeight="1" s="12">
      <c r="A312" s="1" t="n">
        <v>264</v>
      </c>
      <c r="B312" s="3">
        <f>HYPERLINK("https://leetcode.com/problems/ugly-number-ii/", "Ugly Number II")</f>
        <v/>
      </c>
      <c r="C312" s="1" t="n">
        <v>6886</v>
      </c>
      <c r="D312" s="1" t="n">
        <v>450</v>
      </c>
      <c r="E312" s="4">
        <f>IF(INDEX(C:C, ROW())+INDEX(D:D, ROW())=0, 0, INDEX(C:C, ROW())/(INDEX(C:C, ROW())+INDEX(D:D, ROW())))</f>
        <v/>
      </c>
      <c r="F312" s="1" t="inlineStr">
        <is>
          <t>Hash Table, Math, Dynamic Programming, Heap (Priority Queue)</t>
        </is>
      </c>
      <c r="G312" s="1" t="inlineStr">
        <is>
          <t>Medium</t>
        </is>
      </c>
      <c r="H312" s="1" t="n">
        <v>537992</v>
      </c>
      <c r="I312" s="1" t="n">
        <v>1084664</v>
      </c>
      <c r="J312" s="9" t="n">
        <v>0.496</v>
      </c>
      <c r="K312" s="1" t="inlineStr">
        <is>
          <t>Yes</t>
        </is>
      </c>
      <c r="L312" s="1" t="inlineStr">
        <is>
          <t>Yes</t>
        </is>
      </c>
      <c r="M312" s="1" t="inlineStr">
        <is>
          <t>No</t>
        </is>
      </c>
      <c r="N312" s="1" t="inlineStr">
        <is>
          <t>Algorithms</t>
        </is>
      </c>
      <c r="O3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2" s="11" t="inlineStr">
        <is>
          <t>To Do</t>
        </is>
      </c>
    </row>
    <row r="313" ht="15.75" customHeight="1" s="12">
      <c r="A313" s="1" t="n">
        <v>368</v>
      </c>
      <c r="B313" s="3">
        <f>HYPERLINK("https://leetcode.com/problems/largest-divisible-subset/", "Largest Divisible Subset")</f>
        <v/>
      </c>
      <c r="C313" s="1" t="n">
        <v>6883</v>
      </c>
      <c r="D313" s="1" t="n">
        <v>329</v>
      </c>
      <c r="E313" s="4">
        <f>IF(INDEX(C:C, ROW())+INDEX(D:D, ROW())=0, 0, INDEX(C:C, ROW())/(INDEX(C:C, ROW())+INDEX(D:D, ROW())))</f>
        <v/>
      </c>
      <c r="F313" s="1" t="inlineStr">
        <is>
          <t>Array, Math, Dynamic Programming, Sorting</t>
        </is>
      </c>
      <c r="G313" s="1" t="inlineStr">
        <is>
          <t>Medium</t>
        </is>
      </c>
      <c r="H313" s="1" t="n">
        <v>503537</v>
      </c>
      <c r="I313" s="1" t="n">
        <v>1014843</v>
      </c>
      <c r="J313" s="9" t="n">
        <v>0.496</v>
      </c>
      <c r="K313" s="1" t="inlineStr">
        <is>
          <t>Yes</t>
        </is>
      </c>
      <c r="L313" s="1" t="inlineStr">
        <is>
          <t>Yes</t>
        </is>
      </c>
      <c r="M313" s="1" t="inlineStr">
        <is>
          <t>No</t>
        </is>
      </c>
      <c r="N313" s="1" t="inlineStr">
        <is>
          <t>Algorithms</t>
        </is>
      </c>
      <c r="O3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3" s="11" t="inlineStr">
        <is>
          <t>To Do</t>
        </is>
      </c>
    </row>
    <row r="314" ht="15.75" customHeight="1" s="12">
      <c r="A314" s="1" t="n">
        <v>459</v>
      </c>
      <c r="B314" s="3">
        <f>HYPERLINK("https://leetcode.com/problems/repeated-substring-pattern/", "Repeated Substring Pattern")</f>
        <v/>
      </c>
      <c r="C314" s="1" t="n">
        <v>6880</v>
      </c>
      <c r="D314" s="1" t="n">
        <v>570</v>
      </c>
      <c r="E314" s="4">
        <f>IF(INDEX(C:C, ROW())+INDEX(D:D, ROW())=0, 0, INDEX(C:C, ROW())/(INDEX(C:C, ROW())+INDEX(D:D, ROW())))</f>
        <v/>
      </c>
      <c r="F314" s="1" t="inlineStr">
        <is>
          <t>String, String Matching</t>
        </is>
      </c>
      <c r="G314" s="1" t="inlineStr">
        <is>
          <t>Easy</t>
        </is>
      </c>
      <c r="H314" s="1" t="n">
        <v>614712</v>
      </c>
      <c r="I314" s="1" t="n">
        <v>1275627</v>
      </c>
      <c r="J314" s="9" t="n">
        <v>0.482</v>
      </c>
      <c r="K314" s="1" t="inlineStr">
        <is>
          <t>Yes</t>
        </is>
      </c>
      <c r="L314" s="1" t="inlineStr">
        <is>
          <t>Yes</t>
        </is>
      </c>
      <c r="M314" s="1" t="inlineStr">
        <is>
          <t>No</t>
        </is>
      </c>
      <c r="N314" s="1" t="inlineStr">
        <is>
          <t>Algorithms</t>
        </is>
      </c>
      <c r="O3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4" s="13" t="inlineStr">
        <is>
          <t>Done</t>
        </is>
      </c>
    </row>
    <row r="315" ht="15.75" customHeight="1" s="12">
      <c r="A315" s="1" t="n">
        <v>1631</v>
      </c>
      <c r="B315" s="3">
        <f>HYPERLINK("https://leetcode.com/problems/path-with-minimum-effort/", "Path With Minimum Effort")</f>
        <v/>
      </c>
      <c r="C315" s="1" t="n">
        <v>6851</v>
      </c>
      <c r="D315" s="1" t="n">
        <v>239</v>
      </c>
      <c r="E315" s="4">
        <f>IF(INDEX(C:C, ROW())+INDEX(D:D, ROW())=0, 0, INDEX(C:C, ROW())/(INDEX(C:C, ROW())+INDEX(D:D, ROW())))</f>
        <v/>
      </c>
      <c r="F315" s="1" t="inlineStr">
        <is>
          <t>Array, Binary Search, Depth-First Search, Breadth-First Search, Union-Find, Heap (Priority Queue), Matrix</t>
        </is>
      </c>
      <c r="G315" s="1" t="inlineStr">
        <is>
          <t>Medium</t>
        </is>
      </c>
      <c r="H315" s="1" t="n">
        <v>460869</v>
      </c>
      <c r="I315" s="1" t="n">
        <v>729925</v>
      </c>
      <c r="J315" s="9" t="n">
        <v>0.631</v>
      </c>
      <c r="K315" s="1" t="inlineStr">
        <is>
          <t>Yes</t>
        </is>
      </c>
      <c r="L315" s="1" t="inlineStr">
        <is>
          <t>Yes</t>
        </is>
      </c>
      <c r="M315" s="1" t="inlineStr">
        <is>
          <t>No</t>
        </is>
      </c>
      <c r="N315" s="1" t="inlineStr">
        <is>
          <t>Algorithms</t>
        </is>
      </c>
      <c r="O3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5" s="11" t="inlineStr">
        <is>
          <t>To Do</t>
        </is>
      </c>
    </row>
    <row r="316" ht="15.75" customHeight="1" s="12">
      <c r="A316" s="1" t="n">
        <v>260</v>
      </c>
      <c r="B316" s="3">
        <f>HYPERLINK("https://leetcode.com/problems/single-number-iii/", "Single Number III")</f>
        <v/>
      </c>
      <c r="C316" s="1" t="n">
        <v>6830</v>
      </c>
      <c r="D316" s="1" t="n">
        <v>277</v>
      </c>
      <c r="E316" s="4">
        <f>IF(INDEX(C:C, ROW())+INDEX(D:D, ROW())=0, 0, INDEX(C:C, ROW())/(INDEX(C:C, ROW())+INDEX(D:D, ROW())))</f>
        <v/>
      </c>
      <c r="F316" s="1" t="inlineStr">
        <is>
          <t>Array, Bit Manipulation</t>
        </is>
      </c>
      <c r="G316" s="1" t="inlineStr">
        <is>
          <t>Medium</t>
        </is>
      </c>
      <c r="H316" s="1" t="n">
        <v>601338</v>
      </c>
      <c r="I316" s="1" t="n">
        <v>855218</v>
      </c>
      <c r="J316" s="9" t="n">
        <v>0.703</v>
      </c>
      <c r="K316" s="1" t="inlineStr">
        <is>
          <t>Yes</t>
        </is>
      </c>
      <c r="L316" s="1" t="inlineStr">
        <is>
          <t>Yes</t>
        </is>
      </c>
      <c r="M316" s="1" t="inlineStr">
        <is>
          <t>No</t>
        </is>
      </c>
      <c r="N316" s="1" t="inlineStr">
        <is>
          <t>Algorithms</t>
        </is>
      </c>
      <c r="O3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6" s="11" t="inlineStr">
        <is>
          <t>To Do</t>
        </is>
      </c>
    </row>
    <row r="317" ht="15.75" customHeight="1" s="12">
      <c r="A317" s="1" t="n">
        <v>289</v>
      </c>
      <c r="B317" s="3">
        <f>HYPERLINK("https://leetcode.com/problems/game-of-life/", "Game of Life")</f>
        <v/>
      </c>
      <c r="C317" s="1" t="n">
        <v>6828</v>
      </c>
      <c r="D317" s="1" t="n">
        <v>619</v>
      </c>
      <c r="E317" s="4">
        <f>IF(INDEX(C:C, ROW())+INDEX(D:D, ROW())=0, 0, INDEX(C:C, ROW())/(INDEX(C:C, ROW())+INDEX(D:D, ROW())))</f>
        <v/>
      </c>
      <c r="F317" s="1" t="inlineStr">
        <is>
          <t>Array, Matrix, Simulation</t>
        </is>
      </c>
      <c r="G317" s="1" t="inlineStr">
        <is>
          <t>Medium</t>
        </is>
      </c>
      <c r="H317" s="1" t="n">
        <v>638764</v>
      </c>
      <c r="I317" s="1" t="n">
        <v>880204</v>
      </c>
      <c r="J317" s="9" t="n">
        <v>0.726</v>
      </c>
      <c r="K317" s="1" t="inlineStr">
        <is>
          <t>Yes</t>
        </is>
      </c>
      <c r="L317" s="1" t="inlineStr">
        <is>
          <t>Yes</t>
        </is>
      </c>
      <c r="M317" s="1" t="inlineStr">
        <is>
          <t>Yes</t>
        </is>
      </c>
      <c r="N317" s="1" t="inlineStr">
        <is>
          <t>Algorithms</t>
        </is>
      </c>
      <c r="O3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7" s="11" t="inlineStr">
        <is>
          <t>To Do</t>
        </is>
      </c>
    </row>
    <row r="318" ht="15.75" customHeight="1" s="12">
      <c r="A318" s="1" t="n">
        <v>1008</v>
      </c>
      <c r="B318" s="3">
        <f>HYPERLINK("https://leetcode.com/problems/construct-binary-search-tree-from-preorder-traversal/", "Construct Binary Search Tree from Preorder Traversal")</f>
        <v/>
      </c>
      <c r="C318" s="1" t="n">
        <v>6796</v>
      </c>
      <c r="D318" s="1" t="n">
        <v>93</v>
      </c>
      <c r="E318" s="4">
        <f>IF(INDEX(C:C, ROW())+INDEX(D:D, ROW())=0, 0, INDEX(C:C, ROW())/(INDEX(C:C, ROW())+INDEX(D:D, ROW())))</f>
        <v/>
      </c>
      <c r="F318" s="1" t="inlineStr">
        <is>
          <t>Array, Stack, Tree, Binary Search Tree, Monotonic Stack, Binary Tree</t>
        </is>
      </c>
      <c r="G318" s="1" t="inlineStr">
        <is>
          <t>Medium</t>
        </is>
      </c>
      <c r="H318" s="1" t="n">
        <v>547290</v>
      </c>
      <c r="I318" s="1" t="n">
        <v>649745</v>
      </c>
      <c r="J318" s="9" t="n">
        <v>0.842</v>
      </c>
      <c r="K318" s="1" t="inlineStr">
        <is>
          <t>Yes</t>
        </is>
      </c>
      <c r="L318" s="1" t="inlineStr">
        <is>
          <t>Yes</t>
        </is>
      </c>
      <c r="M318" s="1" t="inlineStr">
        <is>
          <t>No</t>
        </is>
      </c>
      <c r="N318" s="1" t="inlineStr">
        <is>
          <t>Algorithms</t>
        </is>
      </c>
      <c r="O3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8" s="11" t="inlineStr">
        <is>
          <t>To Do</t>
        </is>
      </c>
    </row>
    <row r="319" ht="15.75" customHeight="1" s="12">
      <c r="A319" s="1" t="n">
        <v>395</v>
      </c>
      <c r="B319" s="3">
        <f>HYPERLINK("https://leetcode.com/problems/longest-substring-with-at-least-k-repeating-characters/", "Longest Substring with At Least K Repeating Characters")</f>
        <v/>
      </c>
      <c r="C319" s="1" t="n">
        <v>6757</v>
      </c>
      <c r="D319" s="1" t="n">
        <v>572</v>
      </c>
      <c r="E319" s="4">
        <f>IF(INDEX(C:C, ROW())+INDEX(D:D, ROW())=0, 0, INDEX(C:C, ROW())/(INDEX(C:C, ROW())+INDEX(D:D, ROW())))</f>
        <v/>
      </c>
      <c r="F319" s="1" t="inlineStr">
        <is>
          <t>Hash Table, String, Divide and Conquer, Sliding Window</t>
        </is>
      </c>
      <c r="G319" s="1" t="inlineStr">
        <is>
          <t>Medium</t>
        </is>
      </c>
      <c r="H319" s="1" t="n">
        <v>299971</v>
      </c>
      <c r="I319" s="1" t="n">
        <v>648270</v>
      </c>
      <c r="J319" s="9" t="n">
        <v>0.463</v>
      </c>
      <c r="K319" s="1" t="inlineStr">
        <is>
          <t>Yes</t>
        </is>
      </c>
      <c r="L319" s="1" t="inlineStr">
        <is>
          <t>Yes</t>
        </is>
      </c>
      <c r="M319" s="1" t="inlineStr">
        <is>
          <t>No</t>
        </is>
      </c>
      <c r="N319" s="1" t="inlineStr">
        <is>
          <t>Algorithms</t>
        </is>
      </c>
      <c r="O3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9" s="11" t="inlineStr">
        <is>
          <t>To Do</t>
        </is>
      </c>
    </row>
    <row r="320" ht="15.75" customHeight="1" s="12">
      <c r="A320" s="1" t="n">
        <v>1192</v>
      </c>
      <c r="B320" s="3">
        <f>HYPERLINK("https://leetcode.com/problems/critical-connections-in-a-network/", "Critical Connections in a Network")</f>
        <v/>
      </c>
      <c r="C320" s="1" t="n">
        <v>6719</v>
      </c>
      <c r="D320" s="1" t="n">
        <v>196</v>
      </c>
      <c r="E320" s="4">
        <f>IF(INDEX(C:C, ROW())+INDEX(D:D, ROW())=0, 0, INDEX(C:C, ROW())/(INDEX(C:C, ROW())+INDEX(D:D, ROW())))</f>
        <v/>
      </c>
      <c r="F320" s="1" t="inlineStr">
        <is>
          <t>Depth-First Search, Graph Theory, Biconnected Component</t>
        </is>
      </c>
      <c r="G320" s="1" t="inlineStr">
        <is>
          <t>Hard</t>
        </is>
      </c>
      <c r="H320" s="1" t="n">
        <v>322942</v>
      </c>
      <c r="I320" s="1" t="n">
        <v>541927</v>
      </c>
      <c r="J320" s="9" t="n">
        <v>0.596</v>
      </c>
      <c r="K320" s="1" t="inlineStr">
        <is>
          <t>Yes</t>
        </is>
      </c>
      <c r="L320" s="1" t="inlineStr">
        <is>
          <t>Yes</t>
        </is>
      </c>
      <c r="M320" s="1" t="inlineStr">
        <is>
          <t>No</t>
        </is>
      </c>
      <c r="N320" s="1" t="inlineStr">
        <is>
          <t>Algorithms</t>
        </is>
      </c>
      <c r="O3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0" s="11" t="inlineStr">
        <is>
          <t>To Do</t>
        </is>
      </c>
    </row>
    <row r="321" ht="15.75" customHeight="1" s="12">
      <c r="A321" s="1" t="n">
        <v>841</v>
      </c>
      <c r="B321" s="3">
        <f>HYPERLINK("https://leetcode.com/problems/keys-and-rooms/", "Keys and Rooms")</f>
        <v/>
      </c>
      <c r="C321" s="1" t="n">
        <v>6693</v>
      </c>
      <c r="D321" s="1" t="n">
        <v>303</v>
      </c>
      <c r="E321" s="4">
        <f>IF(INDEX(C:C, ROW())+INDEX(D:D, ROW())=0, 0, INDEX(C:C, ROW())/(INDEX(C:C, ROW())+INDEX(D:D, ROW())))</f>
        <v/>
      </c>
      <c r="F321" s="1" t="inlineStr">
        <is>
          <t>Depth-First Search, Breadth-First Search, Graph Theory</t>
        </is>
      </c>
      <c r="G321" s="1" t="inlineStr">
        <is>
          <t>Medium</t>
        </is>
      </c>
      <c r="H321" s="1" t="n">
        <v>690732</v>
      </c>
      <c r="I321" s="1" t="n">
        <v>912084</v>
      </c>
      <c r="J321" s="9" t="n">
        <v>0.757</v>
      </c>
      <c r="K321" s="1" t="inlineStr">
        <is>
          <t>Yes</t>
        </is>
      </c>
      <c r="L321" s="1" t="inlineStr">
        <is>
          <t>Yes</t>
        </is>
      </c>
      <c r="M321" s="1" t="inlineStr">
        <is>
          <t>No</t>
        </is>
      </c>
      <c r="N321" s="1" t="inlineStr">
        <is>
          <t>Algorithms</t>
        </is>
      </c>
      <c r="O3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1" s="11" t="inlineStr">
        <is>
          <t>To Do</t>
        </is>
      </c>
    </row>
    <row r="322" ht="15.75" customHeight="1" s="12">
      <c r="A322" s="1" t="n">
        <v>1046</v>
      </c>
      <c r="B322" s="3">
        <f>HYPERLINK("https://leetcode.com/problems/last-stone-weight/", "Last Stone Weight")</f>
        <v/>
      </c>
      <c r="C322" s="1" t="n">
        <v>6676</v>
      </c>
      <c r="D322" s="1" t="n">
        <v>156</v>
      </c>
      <c r="E322" s="4">
        <f>IF(INDEX(C:C, ROW())+INDEX(D:D, ROW())=0, 0, INDEX(C:C, ROW())/(INDEX(C:C, ROW())+INDEX(D:D, ROW())))</f>
        <v/>
      </c>
      <c r="F322" s="1" t="inlineStr">
        <is>
          <t>Array, Heap (Priority Queue)</t>
        </is>
      </c>
      <c r="G322" s="1" t="inlineStr">
        <is>
          <t>Easy</t>
        </is>
      </c>
      <c r="H322" s="1" t="n">
        <v>933794</v>
      </c>
      <c r="I322" s="1" t="n">
        <v>1404965</v>
      </c>
      <c r="J322" s="9" t="n">
        <v>0.665</v>
      </c>
      <c r="K322" s="1" t="inlineStr">
        <is>
          <t>Yes</t>
        </is>
      </c>
      <c r="L322" s="1" t="inlineStr">
        <is>
          <t>Yes</t>
        </is>
      </c>
      <c r="M322" s="1" t="inlineStr">
        <is>
          <t>No</t>
        </is>
      </c>
      <c r="N322" s="1" t="inlineStr">
        <is>
          <t>Algorithms</t>
        </is>
      </c>
      <c r="O3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2" s="13" t="inlineStr">
        <is>
          <t>Done</t>
        </is>
      </c>
    </row>
    <row r="323" ht="15.75" customHeight="1" s="12">
      <c r="A323" s="1" t="n">
        <v>216</v>
      </c>
      <c r="B323" s="3">
        <f>HYPERLINK("https://leetcode.com/problems/combination-sum-iii/", "Combination Sum III")</f>
        <v/>
      </c>
      <c r="C323" s="1" t="n">
        <v>6660</v>
      </c>
      <c r="D323" s="1" t="n">
        <v>125</v>
      </c>
      <c r="E323" s="4">
        <f>IF(INDEX(C:C, ROW())+INDEX(D:D, ROW())=0, 0, INDEX(C:C, ROW())/(INDEX(C:C, ROW())+INDEX(D:D, ROW())))</f>
        <v/>
      </c>
      <c r="F323" s="1" t="inlineStr">
        <is>
          <t>Array, Backtracking</t>
        </is>
      </c>
      <c r="G323" s="1" t="inlineStr">
        <is>
          <t>Medium</t>
        </is>
      </c>
      <c r="H323" s="1" t="n">
        <v>804309</v>
      </c>
      <c r="I323" s="1" t="n">
        <v>1098906</v>
      </c>
      <c r="J323" s="9" t="n">
        <v>0.732</v>
      </c>
      <c r="K323" s="1" t="inlineStr">
        <is>
          <t>Yes</t>
        </is>
      </c>
      <c r="L323" s="1" t="inlineStr">
        <is>
          <t>Yes</t>
        </is>
      </c>
      <c r="M323" s="1" t="inlineStr">
        <is>
          <t>No</t>
        </is>
      </c>
      <c r="N323" s="1" t="inlineStr">
        <is>
          <t>Algorithms</t>
        </is>
      </c>
      <c r="O3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3" s="11" t="inlineStr">
        <is>
          <t>To Do</t>
        </is>
      </c>
    </row>
    <row r="324" ht="15.75" customHeight="1" s="12">
      <c r="A324" s="1" t="n">
        <v>227</v>
      </c>
      <c r="B324" s="3">
        <f>HYPERLINK("https://leetcode.com/problems/basic-calculator-ii/", "Basic Calculator II")</f>
        <v/>
      </c>
      <c r="C324" s="1" t="n">
        <v>6620</v>
      </c>
      <c r="D324" s="1" t="n">
        <v>955</v>
      </c>
      <c r="E324" s="4">
        <f>IF(INDEX(C:C, ROW())+INDEX(D:D, ROW())=0, 0, INDEX(C:C, ROW())/(INDEX(C:C, ROW())+INDEX(D:D, ROW())))</f>
        <v/>
      </c>
      <c r="F324" s="1" t="inlineStr">
        <is>
          <t>Math, String, Stack</t>
        </is>
      </c>
      <c r="G324" s="1" t="inlineStr">
        <is>
          <t>Medium</t>
        </is>
      </c>
      <c r="H324" s="1" t="n">
        <v>950944</v>
      </c>
      <c r="I324" s="1" t="n">
        <v>2029138</v>
      </c>
      <c r="J324" s="9" t="n">
        <v>0.469</v>
      </c>
      <c r="K324" s="1" t="inlineStr">
        <is>
          <t>Yes</t>
        </is>
      </c>
      <c r="L324" s="1" t="inlineStr">
        <is>
          <t>Yes</t>
        </is>
      </c>
      <c r="M324" s="1" t="inlineStr">
        <is>
          <t>No</t>
        </is>
      </c>
      <c r="N324" s="1" t="inlineStr">
        <is>
          <t>Algorithms</t>
        </is>
      </c>
      <c r="O3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4" s="11" t="inlineStr">
        <is>
          <t>To Do</t>
        </is>
      </c>
    </row>
    <row r="325" ht="15.75" customHeight="1" s="12">
      <c r="A325" s="1" t="n">
        <v>700</v>
      </c>
      <c r="B325" s="3">
        <f>HYPERLINK("https://leetcode.com/problems/search-in-a-binary-search-tree/", "Search in a Binary Search Tree")</f>
        <v/>
      </c>
      <c r="C325" s="1" t="n">
        <v>6597</v>
      </c>
      <c r="D325" s="1" t="n">
        <v>220</v>
      </c>
      <c r="E325" s="4">
        <f>IF(INDEX(C:C, ROW())+INDEX(D:D, ROW())=0, 0, INDEX(C:C, ROW())/(INDEX(C:C, ROW())+INDEX(D:D, ROW())))</f>
        <v/>
      </c>
      <c r="F325" s="1" t="inlineStr">
        <is>
          <t>Tree, Binary Search Tree, Binary Tree</t>
        </is>
      </c>
      <c r="G325" s="1" t="inlineStr">
        <is>
          <t>Easy</t>
        </is>
      </c>
      <c r="H325" s="1" t="n">
        <v>1388516</v>
      </c>
      <c r="I325" s="1" t="n">
        <v>1679666</v>
      </c>
      <c r="J325" s="9" t="n">
        <v>0.827</v>
      </c>
      <c r="K325" s="1" t="inlineStr">
        <is>
          <t>Yes</t>
        </is>
      </c>
      <c r="L325" s="1" t="inlineStr">
        <is>
          <t>Yes</t>
        </is>
      </c>
      <c r="M325" s="1" t="inlineStr">
        <is>
          <t>No</t>
        </is>
      </c>
      <c r="N325" s="1" t="inlineStr">
        <is>
          <t>Algorithms</t>
        </is>
      </c>
      <c r="O3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5" s="13" t="inlineStr">
        <is>
          <t>Done</t>
        </is>
      </c>
    </row>
    <row r="326" ht="15.75" customHeight="1" s="12">
      <c r="A326" s="1" t="n">
        <v>126</v>
      </c>
      <c r="B326" s="3">
        <f>HYPERLINK("https://leetcode.com/problems/word-ladder-ii/", "Word Ladder II")</f>
        <v/>
      </c>
      <c r="C326" s="1" t="n">
        <v>6578</v>
      </c>
      <c r="D326" s="1" t="n">
        <v>835</v>
      </c>
      <c r="E326" s="4">
        <f>IF(INDEX(C:C, ROW())+INDEX(D:D, ROW())=0, 0, INDEX(C:C, ROW())/(INDEX(C:C, ROW())+INDEX(D:D, ROW())))</f>
        <v/>
      </c>
      <c r="F326" s="1" t="inlineStr">
        <is>
          <t>Hash Table, String, Backtracking, Breadth-First Search</t>
        </is>
      </c>
      <c r="G326" s="1" t="inlineStr">
        <is>
          <t>Hard</t>
        </is>
      </c>
      <c r="H326" s="1" t="n">
        <v>463077</v>
      </c>
      <c r="I326" s="1" t="n">
        <v>1673508</v>
      </c>
      <c r="J326" s="9" t="n">
        <v>0.277</v>
      </c>
      <c r="K326" s="1" t="inlineStr">
        <is>
          <t>Yes</t>
        </is>
      </c>
      <c r="L326" s="1" t="inlineStr">
        <is>
          <t>Yes</t>
        </is>
      </c>
      <c r="M326" s="1" t="inlineStr">
        <is>
          <t>No</t>
        </is>
      </c>
      <c r="N326" s="1" t="inlineStr">
        <is>
          <t>Algorithms</t>
        </is>
      </c>
      <c r="O3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6" s="11" t="inlineStr">
        <is>
          <t>To Do</t>
        </is>
      </c>
    </row>
    <row r="327" ht="15.75" customHeight="1" s="12">
      <c r="A327" s="1" t="n">
        <v>71</v>
      </c>
      <c r="B327" s="3">
        <f>HYPERLINK("https://leetcode.com/problems/simplify-path/", "Simplify Path")</f>
        <v/>
      </c>
      <c r="C327" s="1" t="n">
        <v>6576</v>
      </c>
      <c r="D327" s="1" t="n">
        <v>1417</v>
      </c>
      <c r="E327" s="4">
        <f>IF(INDEX(C:C, ROW())+INDEX(D:D, ROW())=0, 0, INDEX(C:C, ROW())/(INDEX(C:C, ROW())+INDEX(D:D, ROW())))</f>
        <v/>
      </c>
      <c r="F327" s="1" t="inlineStr">
        <is>
          <t>String, Stack</t>
        </is>
      </c>
      <c r="G327" s="1" t="inlineStr">
        <is>
          <t>Medium</t>
        </is>
      </c>
      <c r="H327" s="1" t="n">
        <v>1327534</v>
      </c>
      <c r="I327" s="1" t="n">
        <v>2627565</v>
      </c>
      <c r="J327" s="9" t="n">
        <v>0.505</v>
      </c>
      <c r="K327" s="1" t="inlineStr">
        <is>
          <t>Yes</t>
        </is>
      </c>
      <c r="L327" s="1" t="inlineStr">
        <is>
          <t>Yes</t>
        </is>
      </c>
      <c r="M327" s="1" t="inlineStr">
        <is>
          <t>Yes</t>
        </is>
      </c>
      <c r="N327" s="1" t="inlineStr">
        <is>
          <t>Algorithms</t>
        </is>
      </c>
      <c r="O3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7" s="11" t="inlineStr">
        <is>
          <t>To Do</t>
        </is>
      </c>
    </row>
    <row r="328" ht="15.75" customHeight="1" s="12">
      <c r="A328" s="1" t="n">
        <v>354</v>
      </c>
      <c r="B328" s="3">
        <f>HYPERLINK("https://leetcode.com/problems/russian-doll-envelopes/", "Russian Doll Envelopes")</f>
        <v/>
      </c>
      <c r="C328" s="1" t="n">
        <v>6484</v>
      </c>
      <c r="D328" s="1" t="n">
        <v>172</v>
      </c>
      <c r="E328" s="4">
        <f>IF(INDEX(C:C, ROW())+INDEX(D:D, ROW())=0, 0, INDEX(C:C, ROW())/(INDEX(C:C, ROW())+INDEX(D:D, ROW())))</f>
        <v/>
      </c>
      <c r="F328" s="1" t="inlineStr">
        <is>
          <t>Array, Binary Search, Dynamic Programming, Sorting</t>
        </is>
      </c>
      <c r="G328" s="1" t="inlineStr">
        <is>
          <t>Hard</t>
        </is>
      </c>
      <c r="H328" s="1" t="n">
        <v>294746</v>
      </c>
      <c r="I328" s="1" t="n">
        <v>778108</v>
      </c>
      <c r="J328" s="9" t="n">
        <v>0.379</v>
      </c>
      <c r="K328" s="1" t="inlineStr">
        <is>
          <t>Yes</t>
        </is>
      </c>
      <c r="L328" s="1" t="inlineStr">
        <is>
          <t>Yes</t>
        </is>
      </c>
      <c r="M328" s="1" t="inlineStr">
        <is>
          <t>No</t>
        </is>
      </c>
      <c r="N328" s="1" t="inlineStr">
        <is>
          <t>Algorithms</t>
        </is>
      </c>
      <c r="O3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8" s="11" t="inlineStr">
        <is>
          <t>To Do</t>
        </is>
      </c>
    </row>
    <row r="329" ht="15.75" customHeight="1" s="12">
      <c r="A329" s="1" t="n">
        <v>701</v>
      </c>
      <c r="B329" s="3">
        <f>HYPERLINK("https://leetcode.com/problems/insert-into-a-binary-search-tree/", "Insert into a Binary Search Tree")</f>
        <v/>
      </c>
      <c r="C329" s="1" t="n">
        <v>6477</v>
      </c>
      <c r="D329" s="1" t="n">
        <v>189</v>
      </c>
      <c r="E329" s="4">
        <f>IF(INDEX(C:C, ROW())+INDEX(D:D, ROW())=0, 0, INDEX(C:C, ROW())/(INDEX(C:C, ROW())+INDEX(D:D, ROW())))</f>
        <v/>
      </c>
      <c r="F329" s="1" t="inlineStr">
        <is>
          <t>Tree, Binary Search Tree, Binary Tree</t>
        </is>
      </c>
      <c r="G329" s="1" t="inlineStr">
        <is>
          <t>Medium</t>
        </is>
      </c>
      <c r="H329" s="1" t="n">
        <v>871182</v>
      </c>
      <c r="I329" s="1" t="n">
        <v>1185411</v>
      </c>
      <c r="J329" s="9" t="n">
        <v>0.735</v>
      </c>
      <c r="K329" s="1" t="inlineStr">
        <is>
          <t>Yes</t>
        </is>
      </c>
      <c r="L329" s="1" t="inlineStr">
        <is>
          <t>Yes</t>
        </is>
      </c>
      <c r="M329" s="1" t="inlineStr">
        <is>
          <t>No</t>
        </is>
      </c>
      <c r="N329" s="1" t="inlineStr">
        <is>
          <t>Algorithms</t>
        </is>
      </c>
      <c r="O3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9" s="11" t="inlineStr">
        <is>
          <t>To Do</t>
        </is>
      </c>
    </row>
    <row r="330" ht="15.75" customHeight="1" s="12">
      <c r="A330" s="1" t="n">
        <v>947</v>
      </c>
      <c r="B330" s="3">
        <f>HYPERLINK("https://leetcode.com/problems/most-stones-removed-with-same-row-or-column/", "Most Stones Removed with Same Row or Column")</f>
        <v/>
      </c>
      <c r="C330" s="1" t="n">
        <v>6463</v>
      </c>
      <c r="D330" s="1" t="n">
        <v>709</v>
      </c>
      <c r="E330" s="4">
        <f>IF(INDEX(C:C, ROW())+INDEX(D:D, ROW())=0, 0, INDEX(C:C, ROW())/(INDEX(C:C, ROW())+INDEX(D:D, ROW())))</f>
        <v/>
      </c>
      <c r="F330" s="1" t="inlineStr">
        <is>
          <t>Hash Table, Depth-First Search, Union-Find, Graph Theory</t>
        </is>
      </c>
      <c r="G330" s="1" t="inlineStr">
        <is>
          <t>Medium</t>
        </is>
      </c>
      <c r="H330" s="1" t="n">
        <v>403744</v>
      </c>
      <c r="I330" s="1" t="n">
        <v>641814</v>
      </c>
      <c r="J330" s="9" t="n">
        <v>0.629</v>
      </c>
      <c r="K330" s="1" t="inlineStr">
        <is>
          <t>Yes</t>
        </is>
      </c>
      <c r="L330" s="1" t="inlineStr">
        <is>
          <t>Yes</t>
        </is>
      </c>
      <c r="M330" s="1" t="inlineStr">
        <is>
          <t>No</t>
        </is>
      </c>
      <c r="N330" s="1" t="inlineStr">
        <is>
          <t>Algorithms</t>
        </is>
      </c>
      <c r="O3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0" s="11" t="inlineStr">
        <is>
          <t>To Do</t>
        </is>
      </c>
    </row>
    <row r="331" ht="15.75" customHeight="1" s="12">
      <c r="A331" s="1" t="n">
        <v>58</v>
      </c>
      <c r="B331" s="3">
        <f>HYPERLINK("https://leetcode.com/problems/length-of-last-word/", "Length of Last Word")</f>
        <v/>
      </c>
      <c r="C331" s="1" t="n">
        <v>6462</v>
      </c>
      <c r="D331" s="1" t="n">
        <v>365</v>
      </c>
      <c r="E331" s="4">
        <f>IF(INDEX(C:C, ROW())+INDEX(D:D, ROW())=0, 0, INDEX(C:C, ROW())/(INDEX(C:C, ROW())+INDEX(D:D, ROW())))</f>
        <v/>
      </c>
      <c r="F331" s="1" t="inlineStr">
        <is>
          <t>String</t>
        </is>
      </c>
      <c r="G331" s="1" t="inlineStr">
        <is>
          <t>Easy</t>
        </is>
      </c>
      <c r="H331" s="1" t="n">
        <v>3414365</v>
      </c>
      <c r="I331" s="1" t="n">
        <v>5810888</v>
      </c>
      <c r="J331" s="9" t="n">
        <v>0.588</v>
      </c>
      <c r="K331" s="1" t="inlineStr">
        <is>
          <t>Yes</t>
        </is>
      </c>
      <c r="L331" s="1" t="inlineStr">
        <is>
          <t>Yes</t>
        </is>
      </c>
      <c r="M331" s="1" t="inlineStr">
        <is>
          <t>No</t>
        </is>
      </c>
      <c r="N331" s="1" t="inlineStr">
        <is>
          <t>Algorithms</t>
        </is>
      </c>
      <c r="O3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1" s="13" t="inlineStr">
        <is>
          <t>Done</t>
        </is>
      </c>
    </row>
    <row r="332" ht="15.75" customHeight="1" s="12">
      <c r="A332" s="1" t="n">
        <v>703</v>
      </c>
      <c r="B332" s="3">
        <f>HYPERLINK("https://leetcode.com/problems/kth-largest-element-in-a-stream/", "Kth Largest Element in a Stream")</f>
        <v/>
      </c>
      <c r="C332" s="1" t="n">
        <v>6459</v>
      </c>
      <c r="D332" s="1" t="n">
        <v>4079</v>
      </c>
      <c r="E332" s="4">
        <f>IF(INDEX(C:C, ROW())+INDEX(D:D, ROW())=0, 0, INDEX(C:C, ROW())/(INDEX(C:C, ROW())+INDEX(D:D, ROW())))</f>
        <v/>
      </c>
      <c r="F332" s="1" t="inlineStr">
        <is>
          <t>Tree, Design, Binary Search Tree, Heap (Priority Queue), Binary Tree, Data Stream</t>
        </is>
      </c>
      <c r="G332" s="1" t="inlineStr">
        <is>
          <t>Easy</t>
        </is>
      </c>
      <c r="H332" s="1" t="n">
        <v>987075</v>
      </c>
      <c r="I332" s="1" t="n">
        <v>1618954</v>
      </c>
      <c r="J332" s="9" t="n">
        <v>0.61</v>
      </c>
      <c r="K332" s="1" t="inlineStr">
        <is>
          <t>Yes</t>
        </is>
      </c>
      <c r="L332" s="1" t="inlineStr">
        <is>
          <t>Yes</t>
        </is>
      </c>
      <c r="M332" s="1" t="inlineStr">
        <is>
          <t>No</t>
        </is>
      </c>
      <c r="N332" s="1" t="inlineStr">
        <is>
          <t>Algorithms</t>
        </is>
      </c>
      <c r="O3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2" s="13" t="inlineStr">
        <is>
          <t>Done</t>
        </is>
      </c>
    </row>
    <row r="333" ht="15.75" customHeight="1" s="12">
      <c r="A333" s="1" t="n">
        <v>1470</v>
      </c>
      <c r="B333" s="3">
        <f>HYPERLINK("https://leetcode.com/problems/shuffle-the-array/", "Shuffle the Array")</f>
        <v/>
      </c>
      <c r="C333" s="1" t="n">
        <v>6429</v>
      </c>
      <c r="D333" s="1" t="n">
        <v>358</v>
      </c>
      <c r="E333" s="4">
        <f>IF(INDEX(C:C, ROW())+INDEX(D:D, ROW())=0, 0, INDEX(C:C, ROW())/(INDEX(C:C, ROW())+INDEX(D:D, ROW())))</f>
        <v/>
      </c>
      <c r="F333" s="1" t="inlineStr">
        <is>
          <t>Array</t>
        </is>
      </c>
      <c r="G333" s="1" t="inlineStr">
        <is>
          <t>Easy</t>
        </is>
      </c>
      <c r="H333" s="1" t="n">
        <v>1087392</v>
      </c>
      <c r="I333" s="1" t="n">
        <v>1223782</v>
      </c>
      <c r="J333" s="9" t="n">
        <v>0.889</v>
      </c>
      <c r="K333" s="1" t="inlineStr">
        <is>
          <t>Yes</t>
        </is>
      </c>
      <c r="L333" s="1" t="inlineStr">
        <is>
          <t>Yes</t>
        </is>
      </c>
      <c r="M333" s="1" t="inlineStr">
        <is>
          <t>No</t>
        </is>
      </c>
      <c r="N333" s="1" t="inlineStr">
        <is>
          <t>Algorithms</t>
        </is>
      </c>
      <c r="O3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3" s="13" t="inlineStr">
        <is>
          <t>Done</t>
        </is>
      </c>
    </row>
    <row r="334" ht="15.75" customHeight="1" s="12">
      <c r="A334" s="1" t="n">
        <v>409</v>
      </c>
      <c r="B334" s="3">
        <f>HYPERLINK("https://leetcode.com/problems/longest-palindrome/", "Longest Palindrome")</f>
        <v/>
      </c>
      <c r="C334" s="1" t="n">
        <v>6396</v>
      </c>
      <c r="D334" s="1" t="n">
        <v>452</v>
      </c>
      <c r="E334" s="4">
        <f>IF(INDEX(C:C, ROW())+INDEX(D:D, ROW())=0, 0, INDEX(C:C, ROW())/(INDEX(C:C, ROW())+INDEX(D:D, ROW())))</f>
        <v/>
      </c>
      <c r="F334" s="1" t="inlineStr">
        <is>
          <t>Hash Table, String, Greedy</t>
        </is>
      </c>
      <c r="G334" s="1" t="inlineStr">
        <is>
          <t>Easy</t>
        </is>
      </c>
      <c r="H334" s="1" t="n">
        <v>1056874</v>
      </c>
      <c r="I334" s="1" t="n">
        <v>1888466</v>
      </c>
      <c r="J334" s="9" t="n">
        <v>0.5600000000000001</v>
      </c>
      <c r="K334" s="1" t="inlineStr">
        <is>
          <t>Yes</t>
        </is>
      </c>
      <c r="L334" s="1" t="inlineStr">
        <is>
          <t>Yes</t>
        </is>
      </c>
      <c r="M334" s="1" t="inlineStr">
        <is>
          <t>No</t>
        </is>
      </c>
      <c r="N334" s="1" t="inlineStr">
        <is>
          <t>Algorithms</t>
        </is>
      </c>
      <c r="O3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4" s="13" t="inlineStr">
        <is>
          <t>Done</t>
        </is>
      </c>
    </row>
    <row r="335" ht="15.75" customHeight="1" s="12">
      <c r="A335" s="1" t="n">
        <v>460</v>
      </c>
      <c r="B335" s="3">
        <f>HYPERLINK("https://leetcode.com/problems/lfu-cache/", "LFU Cache")</f>
        <v/>
      </c>
      <c r="C335" s="1" t="n">
        <v>6367</v>
      </c>
      <c r="D335" s="1" t="n">
        <v>355</v>
      </c>
      <c r="E335" s="4">
        <f>IF(INDEX(C:C, ROW())+INDEX(D:D, ROW())=0, 0, INDEX(C:C, ROW())/(INDEX(C:C, ROW())+INDEX(D:D, ROW())))</f>
        <v/>
      </c>
      <c r="F335" s="1" t="inlineStr">
        <is>
          <t>Hash Table, Linked List, Design, Doubly-Linked List</t>
        </is>
      </c>
      <c r="G335" s="1" t="inlineStr">
        <is>
          <t>Hard</t>
        </is>
      </c>
      <c r="H335" s="1" t="n">
        <v>383097</v>
      </c>
      <c r="I335" s="1" t="n">
        <v>779687</v>
      </c>
      <c r="J335" s="9" t="n">
        <v>0.491</v>
      </c>
      <c r="K335" s="1" t="inlineStr">
        <is>
          <t>Yes</t>
        </is>
      </c>
      <c r="L335" s="1" t="inlineStr">
        <is>
          <t>Yes</t>
        </is>
      </c>
      <c r="M335" s="1" t="inlineStr">
        <is>
          <t>No</t>
        </is>
      </c>
      <c r="N335" s="1" t="inlineStr">
        <is>
          <t>Algorithms</t>
        </is>
      </c>
      <c r="O3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5" s="11" t="inlineStr">
        <is>
          <t>To Do</t>
        </is>
      </c>
    </row>
    <row r="336" ht="15.75" customHeight="1" s="12">
      <c r="A336" s="1" t="n">
        <v>1448</v>
      </c>
      <c r="B336" s="3">
        <f>HYPERLINK("https://leetcode.com/problems/count-good-nodes-in-binary-tree/", "Count Good Nodes in Binary Tree")</f>
        <v/>
      </c>
      <c r="C336" s="1" t="n">
        <v>6367</v>
      </c>
      <c r="D336" s="1" t="n">
        <v>214</v>
      </c>
      <c r="E336" s="4">
        <f>IF(INDEX(C:C, ROW())+INDEX(D:D, ROW())=0, 0, INDEX(C:C, ROW())/(INDEX(C:C, ROW())+INDEX(D:D, ROW())))</f>
        <v/>
      </c>
      <c r="F336" s="1" t="inlineStr">
        <is>
          <t>Tree, Depth-First Search, Breadth-First Search, Binary Tree</t>
        </is>
      </c>
      <c r="G336" s="1" t="inlineStr">
        <is>
          <t>Medium</t>
        </is>
      </c>
      <c r="H336" s="1" t="n">
        <v>880753</v>
      </c>
      <c r="I336" s="1" t="n">
        <v>1192852</v>
      </c>
      <c r="J336" s="9" t="n">
        <v>0.738</v>
      </c>
      <c r="K336" s="1" t="inlineStr">
        <is>
          <t>Yes</t>
        </is>
      </c>
      <c r="L336" s="1" t="inlineStr">
        <is>
          <t>Yes</t>
        </is>
      </c>
      <c r="M336" s="1" t="inlineStr">
        <is>
          <t>Yes</t>
        </is>
      </c>
      <c r="N336" s="1" t="inlineStr">
        <is>
          <t>Algorithms</t>
        </is>
      </c>
      <c r="O3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6" s="11" t="inlineStr">
        <is>
          <t>To Do</t>
        </is>
      </c>
    </row>
    <row r="337" ht="15.75" customHeight="1" s="12">
      <c r="A337" s="1" t="n">
        <v>237</v>
      </c>
      <c r="B337" s="3">
        <f>HYPERLINK("https://leetcode.com/problems/delete-node-in-a-linked-list/", "Delete Node in a Linked List")</f>
        <v/>
      </c>
      <c r="C337" s="1" t="n">
        <v>6342</v>
      </c>
      <c r="D337" s="1" t="n">
        <v>1796</v>
      </c>
      <c r="E337" s="4">
        <f>IF(INDEX(C:C, ROW())+INDEX(D:D, ROW())=0, 0, INDEX(C:C, ROW())/(INDEX(C:C, ROW())+INDEX(D:D, ROW())))</f>
        <v/>
      </c>
      <c r="F337" s="1" t="inlineStr">
        <is>
          <t>Linked List</t>
        </is>
      </c>
      <c r="G337" s="1" t="inlineStr">
        <is>
          <t>Medium</t>
        </is>
      </c>
      <c r="H337" s="1" t="n">
        <v>2026325</v>
      </c>
      <c r="I337" s="1" t="n">
        <v>2417341</v>
      </c>
      <c r="J337" s="9" t="n">
        <v>0.838</v>
      </c>
      <c r="K337" s="1" t="inlineStr">
        <is>
          <t>Yes</t>
        </is>
      </c>
      <c r="L337" s="1" t="inlineStr">
        <is>
          <t>Yes</t>
        </is>
      </c>
      <c r="M337" s="1" t="inlineStr">
        <is>
          <t>No</t>
        </is>
      </c>
      <c r="N337" s="1" t="inlineStr">
        <is>
          <t>Algorithms</t>
        </is>
      </c>
      <c r="O3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7" s="11" t="inlineStr">
        <is>
          <t>To Do</t>
        </is>
      </c>
    </row>
    <row r="338" ht="15.75" customHeight="1" s="12">
      <c r="A338" s="1" t="n">
        <v>241</v>
      </c>
      <c r="B338" s="3">
        <f>HYPERLINK("https://leetcode.com/problems/different-ways-to-add-parentheses/", "Different Ways to Add Parentheses")</f>
        <v/>
      </c>
      <c r="C338" s="1" t="n">
        <v>6340</v>
      </c>
      <c r="D338" s="1" t="n">
        <v>398</v>
      </c>
      <c r="E338" s="4">
        <f>IF(INDEX(C:C, ROW())+INDEX(D:D, ROW())=0, 0, INDEX(C:C, ROW())/(INDEX(C:C, ROW())+INDEX(D:D, ROW())))</f>
        <v/>
      </c>
      <c r="F338" s="1" t="inlineStr">
        <is>
          <t>Math, String, Dynamic Programming, Recursion, Memoization</t>
        </is>
      </c>
      <c r="G338" s="1" t="inlineStr">
        <is>
          <t>Medium</t>
        </is>
      </c>
      <c r="H338" s="1" t="n">
        <v>379857</v>
      </c>
      <c r="I338" s="1" t="n">
        <v>518554</v>
      </c>
      <c r="J338" s="9" t="n">
        <v>0.733</v>
      </c>
      <c r="K338" s="1" t="inlineStr">
        <is>
          <t>Yes</t>
        </is>
      </c>
      <c r="L338" s="1" t="inlineStr">
        <is>
          <t>Yes</t>
        </is>
      </c>
      <c r="M338" s="1" t="inlineStr">
        <is>
          <t>No</t>
        </is>
      </c>
      <c r="N338" s="1" t="inlineStr">
        <is>
          <t>Algorithms</t>
        </is>
      </c>
      <c r="O3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8" s="11" t="inlineStr">
        <is>
          <t>To Do</t>
        </is>
      </c>
    </row>
    <row r="339" ht="15.75" customHeight="1" s="12">
      <c r="A339" s="1" t="n">
        <v>332</v>
      </c>
      <c r="B339" s="3">
        <f>HYPERLINK("https://leetcode.com/problems/reconstruct-itinerary/", "Reconstruct Itinerary")</f>
        <v/>
      </c>
      <c r="C339" s="1" t="n">
        <v>6336</v>
      </c>
      <c r="D339" s="1" t="n">
        <v>1929</v>
      </c>
      <c r="E339" s="4">
        <f>IF(INDEX(C:C, ROW())+INDEX(D:D, ROW())=0, 0, INDEX(C:C, ROW())/(INDEX(C:C, ROW())+INDEX(D:D, ROW())))</f>
        <v/>
      </c>
      <c r="F339" s="1" t="inlineStr">
        <is>
          <t>Array, String, Depth-First Search, Graph Theory, Sorting, Heap (Priority Queue), Eulerian Circuit</t>
        </is>
      </c>
      <c r="G339" s="1" t="inlineStr">
        <is>
          <t>Hard</t>
        </is>
      </c>
      <c r="H339" s="1" t="n">
        <v>553338</v>
      </c>
      <c r="I339" s="1" t="n">
        <v>1242940</v>
      </c>
      <c r="J339" s="9" t="n">
        <v>0.445</v>
      </c>
      <c r="K339" s="1" t="inlineStr">
        <is>
          <t>Yes</t>
        </is>
      </c>
      <c r="L339" s="1" t="inlineStr">
        <is>
          <t>No</t>
        </is>
      </c>
      <c r="M339" s="1" t="inlineStr">
        <is>
          <t>No</t>
        </is>
      </c>
      <c r="N339" s="1" t="inlineStr">
        <is>
          <t>Algorithms</t>
        </is>
      </c>
      <c r="O3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9" s="11" t="inlineStr">
        <is>
          <t>To Do</t>
        </is>
      </c>
    </row>
    <row r="340" ht="15.75" customHeight="1" s="12">
      <c r="A340" s="1" t="n">
        <v>174</v>
      </c>
      <c r="B340" s="3">
        <f>HYPERLINK("https://leetcode.com/problems/dungeon-game/", "Dungeon Game")</f>
        <v/>
      </c>
      <c r="C340" s="1" t="n">
        <v>6283</v>
      </c>
      <c r="D340" s="1" t="n">
        <v>118</v>
      </c>
      <c r="E340" s="4">
        <f>IF(INDEX(C:C, ROW())+INDEX(D:D, ROW())=0, 0, INDEX(C:C, ROW())/(INDEX(C:C, ROW())+INDEX(D:D, ROW())))</f>
        <v/>
      </c>
      <c r="F340" s="1" t="inlineStr">
        <is>
          <t>Array, Dynamic Programming, Matrix</t>
        </is>
      </c>
      <c r="G340" s="1" t="inlineStr">
        <is>
          <t>Hard</t>
        </is>
      </c>
      <c r="H340" s="1" t="n">
        <v>302078</v>
      </c>
      <c r="I340" s="1" t="n">
        <v>731534</v>
      </c>
      <c r="J340" s="9" t="n">
        <v>0.413</v>
      </c>
      <c r="K340" s="1" t="inlineStr">
        <is>
          <t>Yes</t>
        </is>
      </c>
      <c r="L340" s="1" t="inlineStr">
        <is>
          <t>Yes</t>
        </is>
      </c>
      <c r="M340" s="1" t="inlineStr">
        <is>
          <t>No</t>
        </is>
      </c>
      <c r="N340" s="1" t="inlineStr">
        <is>
          <t>Algorithms</t>
        </is>
      </c>
      <c r="O3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0" s="11" t="inlineStr">
        <is>
          <t>To Do</t>
        </is>
      </c>
    </row>
    <row r="341" ht="15.75" customHeight="1" s="12">
      <c r="A341" s="1" t="n">
        <v>8</v>
      </c>
      <c r="B341" s="3">
        <f>HYPERLINK("https://leetcode.com/problems/string-to-integer-atoi/", "String to Integer (atoi)")</f>
        <v/>
      </c>
      <c r="C341" s="1" t="n">
        <v>6253</v>
      </c>
      <c r="D341" s="1" t="n">
        <v>15638</v>
      </c>
      <c r="E341" s="4">
        <f>IF(INDEX(C:C, ROW())+INDEX(D:D, ROW())=0, 0, INDEX(C:C, ROW())/(INDEX(C:C, ROW())+INDEX(D:D, ROW())))</f>
        <v/>
      </c>
      <c r="F341" s="1" t="inlineStr">
        <is>
          <t>String</t>
        </is>
      </c>
      <c r="G341" s="1" t="inlineStr">
        <is>
          <t>Medium</t>
        </is>
      </c>
      <c r="H341" s="1" t="n">
        <v>2437892</v>
      </c>
      <c r="I341" s="1" t="n">
        <v>11636462</v>
      </c>
      <c r="J341" s="9" t="n">
        <v>0.21</v>
      </c>
      <c r="K341" s="1" t="inlineStr">
        <is>
          <t>Yes</t>
        </is>
      </c>
      <c r="L341" s="1" t="inlineStr">
        <is>
          <t>Yes</t>
        </is>
      </c>
      <c r="M341" s="1" t="inlineStr">
        <is>
          <t>No</t>
        </is>
      </c>
      <c r="N341" s="1" t="inlineStr">
        <is>
          <t>Algorithms</t>
        </is>
      </c>
      <c r="O3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1" s="10" t="inlineStr">
        <is>
          <t>Done</t>
        </is>
      </c>
    </row>
    <row r="342" ht="15.75" customHeight="1" s="12">
      <c r="A342" s="1" t="n">
        <v>443</v>
      </c>
      <c r="B342" s="3">
        <f>HYPERLINK("https://leetcode.com/problems/string-compression/", "String Compression")</f>
        <v/>
      </c>
      <c r="C342" s="1" t="n">
        <v>6242</v>
      </c>
      <c r="D342" s="1" t="n">
        <v>8918</v>
      </c>
      <c r="E342" s="4">
        <f>IF(INDEX(C:C, ROW())+INDEX(D:D, ROW())=0, 0, INDEX(C:C, ROW())/(INDEX(C:C, ROW())+INDEX(D:D, ROW())))</f>
        <v/>
      </c>
      <c r="F342" s="1" t="inlineStr">
        <is>
          <t>Two Pointers, String</t>
        </is>
      </c>
      <c r="G342" s="1" t="inlineStr">
        <is>
          <t>Medium</t>
        </is>
      </c>
      <c r="H342" s="1" t="n">
        <v>1073932</v>
      </c>
      <c r="I342" s="1" t="n">
        <v>1792432</v>
      </c>
      <c r="J342" s="9" t="n">
        <v>0.599</v>
      </c>
      <c r="K342" s="1" t="inlineStr">
        <is>
          <t>Yes</t>
        </is>
      </c>
      <c r="L342" s="1" t="inlineStr">
        <is>
          <t>Yes</t>
        </is>
      </c>
      <c r="M342" s="1" t="inlineStr">
        <is>
          <t>No</t>
        </is>
      </c>
      <c r="N342" s="1" t="inlineStr">
        <is>
          <t>Algorithms</t>
        </is>
      </c>
      <c r="O3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2" s="11" t="inlineStr">
        <is>
          <t>To Do</t>
        </is>
      </c>
    </row>
    <row r="343" ht="15.75" customHeight="1" s="12">
      <c r="A343" s="1" t="n">
        <v>904</v>
      </c>
      <c r="B343" s="3">
        <f>HYPERLINK("https://leetcode.com/problems/fruit-into-baskets/", "Fruit Into Baskets")</f>
        <v/>
      </c>
      <c r="C343" s="1" t="n">
        <v>6238</v>
      </c>
      <c r="D343" s="1" t="n">
        <v>595</v>
      </c>
      <c r="E343" s="4">
        <f>IF(INDEX(C:C, ROW())+INDEX(D:D, ROW())=0, 0, INDEX(C:C, ROW())/(INDEX(C:C, ROW())+INDEX(D:D, ROW())))</f>
        <v/>
      </c>
      <c r="F343" s="1" t="inlineStr">
        <is>
          <t>Array, Hash Table, Sliding Window</t>
        </is>
      </c>
      <c r="G343" s="1" t="inlineStr">
        <is>
          <t>Medium</t>
        </is>
      </c>
      <c r="H343" s="1" t="n">
        <v>830817</v>
      </c>
      <c r="I343" s="1" t="n">
        <v>1628438</v>
      </c>
      <c r="J343" s="9" t="n">
        <v>0.51</v>
      </c>
      <c r="K343" s="1" t="inlineStr">
        <is>
          <t>Yes</t>
        </is>
      </c>
      <c r="L343" s="1" t="inlineStr">
        <is>
          <t>Yes</t>
        </is>
      </c>
      <c r="M343" s="1" t="inlineStr">
        <is>
          <t>No</t>
        </is>
      </c>
      <c r="N343" s="1" t="inlineStr">
        <is>
          <t>Algorithms</t>
        </is>
      </c>
      <c r="O3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3" s="11" t="inlineStr">
        <is>
          <t>To Do</t>
        </is>
      </c>
    </row>
    <row r="344" ht="15.75" customHeight="1" s="12">
      <c r="A344" s="1" t="n">
        <v>1642</v>
      </c>
      <c r="B344" s="3">
        <f>HYPERLINK("https://leetcode.com/problems/furthest-building-you-can-reach/", "Furthest Building You Can Reach")</f>
        <v/>
      </c>
      <c r="C344" s="1" t="n">
        <v>6236</v>
      </c>
      <c r="D344" s="1" t="n">
        <v>150</v>
      </c>
      <c r="E344" s="4">
        <f>IF(INDEX(C:C, ROW())+INDEX(D:D, ROW())=0, 0, INDEX(C:C, ROW())/(INDEX(C:C, ROW())+INDEX(D:D, ROW())))</f>
        <v/>
      </c>
      <c r="F344" s="1" t="inlineStr">
        <is>
          <t>Array, Greedy, Heap (Priority Queue)</t>
        </is>
      </c>
      <c r="G344" s="1" t="inlineStr">
        <is>
          <t>Medium</t>
        </is>
      </c>
      <c r="H344" s="1" t="n">
        <v>271847</v>
      </c>
      <c r="I344" s="1" t="n">
        <v>534592</v>
      </c>
      <c r="J344" s="9" t="n">
        <v>0.509</v>
      </c>
      <c r="K344" s="1" t="inlineStr">
        <is>
          <t>Yes</t>
        </is>
      </c>
      <c r="L344" s="1" t="inlineStr">
        <is>
          <t>Yes</t>
        </is>
      </c>
      <c r="M344" s="1" t="inlineStr">
        <is>
          <t>No</t>
        </is>
      </c>
      <c r="N344" s="1" t="inlineStr">
        <is>
          <t>Algorithms</t>
        </is>
      </c>
      <c r="O3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4" s="11" t="inlineStr">
        <is>
          <t>To Do</t>
        </is>
      </c>
    </row>
    <row r="345" ht="15.75" customHeight="1" s="12">
      <c r="A345" s="1" t="n">
        <v>557</v>
      </c>
      <c r="B345" s="3">
        <f>HYPERLINK("https://leetcode.com/problems/reverse-words-in-a-string-iii/", "Reverse Words in a String III")</f>
        <v/>
      </c>
      <c r="C345" s="1" t="n">
        <v>6230</v>
      </c>
      <c r="D345" s="1" t="n">
        <v>256</v>
      </c>
      <c r="E345" s="4">
        <f>IF(INDEX(C:C, ROW())+INDEX(D:D, ROW())=0, 0, INDEX(C:C, ROW())/(INDEX(C:C, ROW())+INDEX(D:D, ROW())))</f>
        <v/>
      </c>
      <c r="F345" s="1" t="inlineStr">
        <is>
          <t>Two Pointers, String</t>
        </is>
      </c>
      <c r="G345" s="1" t="inlineStr">
        <is>
          <t>Easy</t>
        </is>
      </c>
      <c r="H345" s="1" t="n">
        <v>1136467</v>
      </c>
      <c r="I345" s="1" t="n">
        <v>1353233</v>
      </c>
      <c r="J345" s="9" t="n">
        <v>0.84</v>
      </c>
      <c r="K345" s="1" t="inlineStr">
        <is>
          <t>Yes</t>
        </is>
      </c>
      <c r="L345" s="1" t="inlineStr">
        <is>
          <t>Yes</t>
        </is>
      </c>
      <c r="M345" s="1" t="inlineStr">
        <is>
          <t>No</t>
        </is>
      </c>
      <c r="N345" s="1" t="inlineStr">
        <is>
          <t>Algorithms</t>
        </is>
      </c>
      <c r="O3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5" s="13" t="inlineStr">
        <is>
          <t>Done</t>
        </is>
      </c>
    </row>
    <row r="346" ht="15.75" customHeight="1" s="12">
      <c r="A346" s="1" t="n">
        <v>218</v>
      </c>
      <c r="B346" s="3">
        <f>HYPERLINK("https://leetcode.com/problems/the-skyline-problem/", "The Skyline Problem")</f>
        <v/>
      </c>
      <c r="C346" s="1" t="n">
        <v>6219</v>
      </c>
      <c r="D346" s="1" t="n">
        <v>286</v>
      </c>
      <c r="E346" s="4">
        <f>IF(INDEX(C:C, ROW())+INDEX(D:D, ROW())=0, 0, INDEX(C:C, ROW())/(INDEX(C:C, ROW())+INDEX(D:D, ROW())))</f>
        <v/>
      </c>
      <c r="F346" s="1" t="inlineStr">
        <is>
          <t>Array, Divide and Conquer, Binary Indexed Tree, Segment Tree, Sweep Line, Sorting, Heap (Priority Queue), Ordered Set</t>
        </is>
      </c>
      <c r="G346" s="1" t="inlineStr">
        <is>
          <t>Hard</t>
        </is>
      </c>
      <c r="H346" s="1" t="n">
        <v>353026</v>
      </c>
      <c r="I346" s="1" t="n">
        <v>779122</v>
      </c>
      <c r="J346" s="9" t="n">
        <v>0.453</v>
      </c>
      <c r="K346" s="1" t="inlineStr">
        <is>
          <t>Yes</t>
        </is>
      </c>
      <c r="L346" s="1" t="inlineStr">
        <is>
          <t>Yes</t>
        </is>
      </c>
      <c r="M346" s="1" t="inlineStr">
        <is>
          <t>No</t>
        </is>
      </c>
      <c r="N346" s="1" t="inlineStr">
        <is>
          <t>Algorithms</t>
        </is>
      </c>
      <c r="O3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6" s="11" t="inlineStr">
        <is>
          <t>To Do</t>
        </is>
      </c>
    </row>
    <row r="347" ht="15.75" customHeight="1" s="12">
      <c r="A347" s="1" t="n">
        <v>117</v>
      </c>
      <c r="B347" s="3">
        <f>HYPERLINK("https://leetcode.com/problems/populating-next-right-pointers-in-each-node-ii/", "Populating Next Right Pointers in Each Node II")</f>
        <v/>
      </c>
      <c r="C347" s="1" t="n">
        <v>6211</v>
      </c>
      <c r="D347" s="1" t="n">
        <v>343</v>
      </c>
      <c r="E347" s="4">
        <f>IF(INDEX(C:C, ROW())+INDEX(D:D, ROW())=0, 0, INDEX(C:C, ROW())/(INDEX(C:C, ROW())+INDEX(D:D, ROW())))</f>
        <v/>
      </c>
      <c r="F347" s="1" t="inlineStr">
        <is>
          <t>Linked List, Tree, Depth-First Search, Breadth-First Search, Binary Tree</t>
        </is>
      </c>
      <c r="G347" s="1" t="inlineStr">
        <is>
          <t>Medium</t>
        </is>
      </c>
      <c r="H347" s="1" t="n">
        <v>845770</v>
      </c>
      <c r="I347" s="1" t="n">
        <v>1470898</v>
      </c>
      <c r="J347" s="9" t="n">
        <v>0.575</v>
      </c>
      <c r="K347" s="1" t="inlineStr">
        <is>
          <t>Yes</t>
        </is>
      </c>
      <c r="L347" s="1" t="inlineStr">
        <is>
          <t>Yes</t>
        </is>
      </c>
      <c r="M347" s="1" t="inlineStr">
        <is>
          <t>No</t>
        </is>
      </c>
      <c r="N347" s="1" t="inlineStr">
        <is>
          <t>Algorithms</t>
        </is>
      </c>
      <c r="O3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7" s="11" t="inlineStr">
        <is>
          <t>To Do</t>
        </is>
      </c>
    </row>
    <row r="348" ht="15.75" customHeight="1" s="12">
      <c r="A348" s="1" t="n">
        <v>445</v>
      </c>
      <c r="B348" s="3">
        <f>HYPERLINK("https://leetcode.com/problems/add-two-numbers-ii/", "Add Two Numbers II")</f>
        <v/>
      </c>
      <c r="C348" s="1" t="n">
        <v>6178</v>
      </c>
      <c r="D348" s="1" t="n">
        <v>303</v>
      </c>
      <c r="E348" s="4">
        <f>IF(INDEX(C:C, ROW())+INDEX(D:D, ROW())=0, 0, INDEX(C:C, ROW())/(INDEX(C:C, ROW())+INDEX(D:D, ROW())))</f>
        <v/>
      </c>
      <c r="F348" s="1" t="inlineStr">
        <is>
          <t>Linked List, Math, Stack</t>
        </is>
      </c>
      <c r="G348" s="1" t="inlineStr">
        <is>
          <t>Medium</t>
        </is>
      </c>
      <c r="H348" s="1" t="n">
        <v>581733</v>
      </c>
      <c r="I348" s="1" t="n">
        <v>929189</v>
      </c>
      <c r="J348" s="9" t="n">
        <v>0.626</v>
      </c>
      <c r="K348" s="1" t="inlineStr">
        <is>
          <t>Yes</t>
        </is>
      </c>
      <c r="L348" s="1" t="inlineStr">
        <is>
          <t>Yes</t>
        </is>
      </c>
      <c r="M348" s="1" t="inlineStr">
        <is>
          <t>No</t>
        </is>
      </c>
      <c r="N348" s="1" t="inlineStr">
        <is>
          <t>Algorithms</t>
        </is>
      </c>
      <c r="O3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8" s="11" t="inlineStr">
        <is>
          <t>To Do</t>
        </is>
      </c>
    </row>
    <row r="349" ht="15.75" customHeight="1" s="12">
      <c r="A349" s="1" t="n">
        <v>486</v>
      </c>
      <c r="B349" s="3">
        <f>HYPERLINK("https://leetcode.com/problems/predict-the-winner/", "Predict the Winner")</f>
        <v/>
      </c>
      <c r="C349" s="1" t="n">
        <v>6178</v>
      </c>
      <c r="D349" s="1" t="n">
        <v>297</v>
      </c>
      <c r="E349" s="4">
        <f>IF(INDEX(C:C, ROW())+INDEX(D:D, ROW())=0, 0, INDEX(C:C, ROW())/(INDEX(C:C, ROW())+INDEX(D:D, ROW())))</f>
        <v/>
      </c>
      <c r="F349" s="1" t="inlineStr">
        <is>
          <t>Array, Math, Dynamic Programming, Recursion, Game Theory</t>
        </is>
      </c>
      <c r="G349" s="1" t="inlineStr">
        <is>
          <t>Medium</t>
        </is>
      </c>
      <c r="H349" s="1" t="n">
        <v>291781</v>
      </c>
      <c r="I349" s="1" t="n">
        <v>519072</v>
      </c>
      <c r="J349" s="9" t="n">
        <v>0.5620000000000001</v>
      </c>
      <c r="K349" s="1" t="inlineStr">
        <is>
          <t>Yes</t>
        </is>
      </c>
      <c r="L349" s="1" t="inlineStr">
        <is>
          <t>Yes</t>
        </is>
      </c>
      <c r="M349" s="1" t="inlineStr">
        <is>
          <t>Yes</t>
        </is>
      </c>
      <c r="N349" s="1" t="inlineStr">
        <is>
          <t>Algorithms</t>
        </is>
      </c>
      <c r="O3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9" s="11" t="inlineStr">
        <is>
          <t>To Do</t>
        </is>
      </c>
    </row>
    <row r="350" ht="15.75" customHeight="1" s="12">
      <c r="A350" s="1" t="n">
        <v>583</v>
      </c>
      <c r="B350" s="3">
        <f>HYPERLINK("https://leetcode.com/problems/delete-operation-for-two-strings/", "Delete Operation for Two Strings")</f>
        <v/>
      </c>
      <c r="C350" s="1" t="n">
        <v>6166</v>
      </c>
      <c r="D350" s="1" t="n">
        <v>93</v>
      </c>
      <c r="E350" s="4">
        <f>IF(INDEX(C:C, ROW())+INDEX(D:D, ROW())=0, 0, INDEX(C:C, ROW())/(INDEX(C:C, ROW())+INDEX(D:D, ROW())))</f>
        <v/>
      </c>
      <c r="F350" s="1" t="inlineStr">
        <is>
          <t>String, Dynamic Programming</t>
        </is>
      </c>
      <c r="G350" s="1" t="inlineStr">
        <is>
          <t>Medium</t>
        </is>
      </c>
      <c r="H350" s="1" t="n">
        <v>391585</v>
      </c>
      <c r="I350" s="1" t="n">
        <v>597598</v>
      </c>
      <c r="J350" s="9" t="n">
        <v>0.655</v>
      </c>
      <c r="K350" s="1" t="inlineStr">
        <is>
          <t>Yes</t>
        </is>
      </c>
      <c r="L350" s="1" t="inlineStr">
        <is>
          <t>Yes</t>
        </is>
      </c>
      <c r="M350" s="1" t="inlineStr">
        <is>
          <t>No</t>
        </is>
      </c>
      <c r="N350" s="1" t="inlineStr">
        <is>
          <t>Algorithms</t>
        </is>
      </c>
      <c r="O3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0" s="11" t="inlineStr">
        <is>
          <t>To Do</t>
        </is>
      </c>
    </row>
    <row r="351" ht="15.75" customHeight="1" s="12">
      <c r="A351" s="1" t="n">
        <v>652</v>
      </c>
      <c r="B351" s="3">
        <f>HYPERLINK("https://leetcode.com/problems/find-duplicate-subtrees/", "Find Duplicate Subtrees")</f>
        <v/>
      </c>
      <c r="C351" s="1" t="n">
        <v>6136</v>
      </c>
      <c r="D351" s="1" t="n">
        <v>504</v>
      </c>
      <c r="E351" s="4">
        <f>IF(INDEX(C:C, ROW())+INDEX(D:D, ROW())=0, 0, INDEX(C:C, ROW())/(INDEX(C:C, ROW())+INDEX(D:D, ROW())))</f>
        <v/>
      </c>
      <c r="F351" s="1" t="inlineStr">
        <is>
          <t>Hash Table, Tree, Depth-First Search, Binary Tree</t>
        </is>
      </c>
      <c r="G351" s="1" t="inlineStr">
        <is>
          <t>Medium</t>
        </is>
      </c>
      <c r="H351" s="1" t="n">
        <v>316110</v>
      </c>
      <c r="I351" s="1" t="n">
        <v>520837</v>
      </c>
      <c r="J351" s="9" t="n">
        <v>0.607</v>
      </c>
      <c r="K351" s="1" t="inlineStr">
        <is>
          <t>Yes</t>
        </is>
      </c>
      <c r="L351" s="1" t="inlineStr">
        <is>
          <t>Yes</t>
        </is>
      </c>
      <c r="M351" s="1" t="inlineStr">
        <is>
          <t>No</t>
        </is>
      </c>
      <c r="N351" s="1" t="inlineStr">
        <is>
          <t>Algorithms</t>
        </is>
      </c>
      <c r="O3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1" s="11" t="inlineStr">
        <is>
          <t>To Do</t>
        </is>
      </c>
    </row>
    <row r="352" ht="15.75" customHeight="1" s="12">
      <c r="A352" s="1" t="n">
        <v>29</v>
      </c>
      <c r="B352" s="3">
        <f>HYPERLINK("https://leetcode.com/problems/divide-two-integers/", "Divide Two Integers")</f>
        <v/>
      </c>
      <c r="C352" s="1" t="n">
        <v>6135</v>
      </c>
      <c r="D352" s="1" t="n">
        <v>15281</v>
      </c>
      <c r="E352" s="4">
        <f>IF(INDEX(C:C, ROW())+INDEX(D:D, ROW())=0, 0, INDEX(C:C, ROW())/(INDEX(C:C, ROW())+INDEX(D:D, ROW())))</f>
        <v/>
      </c>
      <c r="F352" s="1" t="inlineStr">
        <is>
          <t>Math, Bit Manipulation</t>
        </is>
      </c>
      <c r="G352" s="1" t="inlineStr">
        <is>
          <t>Medium</t>
        </is>
      </c>
      <c r="H352" s="1" t="n">
        <v>1167584</v>
      </c>
      <c r="I352" s="1" t="n">
        <v>5916804</v>
      </c>
      <c r="J352" s="9" t="n">
        <v>0.197</v>
      </c>
      <c r="K352" s="1" t="inlineStr">
        <is>
          <t>Yes</t>
        </is>
      </c>
      <c r="L352" s="1" t="inlineStr">
        <is>
          <t>Yes</t>
        </is>
      </c>
      <c r="M352" s="1" t="inlineStr">
        <is>
          <t>No</t>
        </is>
      </c>
      <c r="N352" s="1" t="inlineStr">
        <is>
          <t>Algorithms</t>
        </is>
      </c>
      <c r="O3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2" s="10" t="inlineStr">
        <is>
          <t>Done</t>
        </is>
      </c>
    </row>
    <row r="353" ht="15.75" customHeight="1" s="12">
      <c r="A353" s="1" t="n">
        <v>946</v>
      </c>
      <c r="B353" s="3">
        <f>HYPERLINK("https://leetcode.com/problems/validate-stack-sequences/", "Validate Stack Sequences")</f>
        <v/>
      </c>
      <c r="C353" s="1" t="n">
        <v>6119</v>
      </c>
      <c r="D353" s="1" t="n">
        <v>132</v>
      </c>
      <c r="E353" s="4">
        <f>IF(INDEX(C:C, ROW())+INDEX(D:D, ROW())=0, 0, INDEX(C:C, ROW())/(INDEX(C:C, ROW())+INDEX(D:D, ROW())))</f>
        <v/>
      </c>
      <c r="F353" s="1" t="inlineStr">
        <is>
          <t>Array, Stack, Simulation</t>
        </is>
      </c>
      <c r="G353" s="1" t="inlineStr">
        <is>
          <t>Medium</t>
        </is>
      </c>
      <c r="H353" s="1" t="n">
        <v>374509</v>
      </c>
      <c r="I353" s="1" t="n">
        <v>532031</v>
      </c>
      <c r="J353" s="9" t="n">
        <v>0.704</v>
      </c>
      <c r="K353" s="1" t="inlineStr">
        <is>
          <t>Yes</t>
        </is>
      </c>
      <c r="L353" s="1" t="inlineStr">
        <is>
          <t>Yes</t>
        </is>
      </c>
      <c r="M353" s="1" t="inlineStr">
        <is>
          <t>No</t>
        </is>
      </c>
      <c r="N353" s="1" t="inlineStr">
        <is>
          <t>Algorithms</t>
        </is>
      </c>
      <c r="O3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3" s="11" t="inlineStr">
        <is>
          <t>To Do</t>
        </is>
      </c>
    </row>
    <row r="354" ht="15.75" customHeight="1" s="12">
      <c r="A354" s="1" t="n">
        <v>669</v>
      </c>
      <c r="B354" s="3">
        <f>HYPERLINK("https://leetcode.com/problems/trim-a-binary-search-tree/", "Trim a Binary Search Tree")</f>
        <v/>
      </c>
      <c r="C354" s="1" t="n">
        <v>6104</v>
      </c>
      <c r="D354" s="1" t="n">
        <v>266</v>
      </c>
      <c r="E354" s="4">
        <f>IF(INDEX(C:C, ROW())+INDEX(D:D, ROW())=0, 0, INDEX(C:C, ROW())/(INDEX(C:C, ROW())+INDEX(D:D, ROW())))</f>
        <v/>
      </c>
      <c r="F354" s="1" t="inlineStr">
        <is>
          <t>Tree, Depth-First Search, Binary Search Tree, Binary Tree</t>
        </is>
      </c>
      <c r="G354" s="1" t="inlineStr">
        <is>
          <t>Medium</t>
        </is>
      </c>
      <c r="H354" s="1" t="n">
        <v>348495</v>
      </c>
      <c r="I354" s="1" t="n">
        <v>522363</v>
      </c>
      <c r="J354" s="9" t="n">
        <v>0.667</v>
      </c>
      <c r="K354" s="1" t="inlineStr">
        <is>
          <t>Yes</t>
        </is>
      </c>
      <c r="L354" s="1" t="inlineStr">
        <is>
          <t>Yes</t>
        </is>
      </c>
      <c r="M354" s="1" t="inlineStr">
        <is>
          <t>Yes</t>
        </is>
      </c>
      <c r="N354" s="1" t="inlineStr">
        <is>
          <t>Algorithms</t>
        </is>
      </c>
      <c r="O3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4" s="11" t="inlineStr">
        <is>
          <t>To Do</t>
        </is>
      </c>
    </row>
    <row r="355" ht="15.75" customHeight="1" s="12">
      <c r="A355" s="1" t="n">
        <v>1209</v>
      </c>
      <c r="B355" s="3">
        <f>HYPERLINK("https://leetcode.com/problems/remove-all-adjacent-duplicates-in-string-ii/", "Remove All Adjacent Duplicates in String II")</f>
        <v/>
      </c>
      <c r="C355" s="1" t="n">
        <v>6104</v>
      </c>
      <c r="D355" s="1" t="n">
        <v>123</v>
      </c>
      <c r="E355" s="4">
        <f>IF(INDEX(C:C, ROW())+INDEX(D:D, ROW())=0, 0, INDEX(C:C, ROW())/(INDEX(C:C, ROW())+INDEX(D:D, ROW())))</f>
        <v/>
      </c>
      <c r="F355" s="1" t="inlineStr">
        <is>
          <t>String, Stack</t>
        </is>
      </c>
      <c r="G355" s="1" t="inlineStr">
        <is>
          <t>Medium</t>
        </is>
      </c>
      <c r="H355" s="1" t="n">
        <v>424359</v>
      </c>
      <c r="I355" s="1" t="n">
        <v>692847</v>
      </c>
      <c r="J355" s="9" t="n">
        <v>0.612</v>
      </c>
      <c r="K355" s="1" t="inlineStr">
        <is>
          <t>Yes</t>
        </is>
      </c>
      <c r="L355" s="1" t="inlineStr">
        <is>
          <t>Yes</t>
        </is>
      </c>
      <c r="M355" s="1" t="inlineStr">
        <is>
          <t>No</t>
        </is>
      </c>
      <c r="N355" s="1" t="inlineStr">
        <is>
          <t>Algorithms</t>
        </is>
      </c>
      <c r="O3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5" s="11" t="inlineStr">
        <is>
          <t>To Do</t>
        </is>
      </c>
    </row>
    <row r="356" ht="15.75" customHeight="1" s="12">
      <c r="A356" s="1" t="n">
        <v>474</v>
      </c>
      <c r="B356" s="3">
        <f>HYPERLINK("https://leetcode.com/problems/ones-and-zeroes/", "Ones and Zeroes")</f>
        <v/>
      </c>
      <c r="C356" s="1" t="n">
        <v>6093</v>
      </c>
      <c r="D356" s="1" t="n">
        <v>509</v>
      </c>
      <c r="E356" s="4">
        <f>IF(INDEX(C:C, ROW())+INDEX(D:D, ROW())=0, 0, INDEX(C:C, ROW())/(INDEX(C:C, ROW())+INDEX(D:D, ROW())))</f>
        <v/>
      </c>
      <c r="F356" s="1" t="inlineStr">
        <is>
          <t>Array, String, Dynamic Programming</t>
        </is>
      </c>
      <c r="G356" s="1" t="inlineStr">
        <is>
          <t>Medium</t>
        </is>
      </c>
      <c r="H356" s="1" t="n">
        <v>351095</v>
      </c>
      <c r="I356" s="1" t="n">
        <v>658553</v>
      </c>
      <c r="J356" s="9" t="n">
        <v>0.533</v>
      </c>
      <c r="K356" s="1" t="inlineStr">
        <is>
          <t>Yes</t>
        </is>
      </c>
      <c r="L356" s="1" t="inlineStr">
        <is>
          <t>Yes</t>
        </is>
      </c>
      <c r="M356" s="1" t="inlineStr">
        <is>
          <t>No</t>
        </is>
      </c>
      <c r="N356" s="1" t="inlineStr">
        <is>
          <t>Algorithms</t>
        </is>
      </c>
      <c r="O3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6" s="11" t="inlineStr">
        <is>
          <t>To Do</t>
        </is>
      </c>
    </row>
    <row r="357" ht="15.75" customHeight="1" s="12">
      <c r="A357" s="1" t="n">
        <v>979</v>
      </c>
      <c r="B357" s="3">
        <f>HYPERLINK("https://leetcode.com/problems/distribute-coins-in-binary-tree/", "Distribute Coins in Binary Tree")</f>
        <v/>
      </c>
      <c r="C357" s="1" t="n">
        <v>6088</v>
      </c>
      <c r="D357" s="1" t="n">
        <v>249</v>
      </c>
      <c r="E357" s="4">
        <f>IF(INDEX(C:C, ROW())+INDEX(D:D, ROW())=0, 0, INDEX(C:C, ROW())/(INDEX(C:C, ROW())+INDEX(D:D, ROW())))</f>
        <v/>
      </c>
      <c r="F357" s="1" t="inlineStr">
        <is>
          <t>Tree, Depth-First Search, Binary Tree</t>
        </is>
      </c>
      <c r="G357" s="1" t="inlineStr">
        <is>
          <t>Medium</t>
        </is>
      </c>
      <c r="H357" s="1" t="n">
        <v>226827</v>
      </c>
      <c r="I357" s="1" t="n">
        <v>293463</v>
      </c>
      <c r="J357" s="9" t="n">
        <v>0.773</v>
      </c>
      <c r="K357" s="1" t="inlineStr">
        <is>
          <t>Yes</t>
        </is>
      </c>
      <c r="L357" s="1" t="inlineStr">
        <is>
          <t>Yes</t>
        </is>
      </c>
      <c r="M357" s="1" t="inlineStr">
        <is>
          <t>No</t>
        </is>
      </c>
      <c r="N357" s="1" t="inlineStr">
        <is>
          <t>Algorithms</t>
        </is>
      </c>
      <c r="O3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7" s="11" t="inlineStr">
        <is>
          <t>To Do</t>
        </is>
      </c>
    </row>
    <row r="358" ht="15.75" customHeight="1" s="12">
      <c r="A358" s="1" t="n">
        <v>168</v>
      </c>
      <c r="B358" s="3">
        <f>HYPERLINK("https://leetcode.com/problems/excel-sheet-column-title/", "Excel Sheet Column Title")</f>
        <v/>
      </c>
      <c r="C358" s="1" t="n">
        <v>6085</v>
      </c>
      <c r="D358" s="1" t="n">
        <v>923</v>
      </c>
      <c r="E358" s="4">
        <f>IF(INDEX(C:C, ROW())+INDEX(D:D, ROW())=0, 0, INDEX(C:C, ROW())/(INDEX(C:C, ROW())+INDEX(D:D, ROW())))</f>
        <v/>
      </c>
      <c r="F358" s="1" t="inlineStr">
        <is>
          <t>Math, String</t>
        </is>
      </c>
      <c r="G358" s="1" t="inlineStr">
        <is>
          <t>Easy</t>
        </is>
      </c>
      <c r="H358" s="1" t="n">
        <v>747725</v>
      </c>
      <c r="I358" s="1" t="n">
        <v>1610182</v>
      </c>
      <c r="J358" s="9" t="n">
        <v>0.464</v>
      </c>
      <c r="K358" s="1" t="inlineStr">
        <is>
          <t>Yes</t>
        </is>
      </c>
      <c r="L358" s="1" t="inlineStr">
        <is>
          <t>Yes</t>
        </is>
      </c>
      <c r="M358" s="1" t="inlineStr">
        <is>
          <t>No</t>
        </is>
      </c>
      <c r="N358" s="1" t="inlineStr">
        <is>
          <t>Algorithms</t>
        </is>
      </c>
      <c r="O3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8" s="13" t="inlineStr">
        <is>
          <t>Done</t>
        </is>
      </c>
    </row>
    <row r="359" ht="15.75" customHeight="1" s="12">
      <c r="A359" s="1" t="n">
        <v>301</v>
      </c>
      <c r="B359" s="3">
        <f>HYPERLINK("https://leetcode.com/problems/remove-invalid-parentheses/", "Remove Invalid Parentheses")</f>
        <v/>
      </c>
      <c r="C359" s="1" t="n">
        <v>6071</v>
      </c>
      <c r="D359" s="1" t="n">
        <v>303</v>
      </c>
      <c r="E359" s="4">
        <f>IF(INDEX(C:C, ROW())+INDEX(D:D, ROW())=0, 0, INDEX(C:C, ROW())/(INDEX(C:C, ROW())+INDEX(D:D, ROW())))</f>
        <v/>
      </c>
      <c r="F359" s="1" t="inlineStr">
        <is>
          <t>String, Backtracking, Breadth-First Search</t>
        </is>
      </c>
      <c r="G359" s="1" t="inlineStr">
        <is>
          <t>Hard</t>
        </is>
      </c>
      <c r="H359" s="1" t="n">
        <v>506703</v>
      </c>
      <c r="I359" s="1" t="n">
        <v>1015154</v>
      </c>
      <c r="J359" s="9" t="n">
        <v>0.499</v>
      </c>
      <c r="K359" s="1" t="inlineStr">
        <is>
          <t>Yes</t>
        </is>
      </c>
      <c r="L359" s="1" t="inlineStr">
        <is>
          <t>Yes</t>
        </is>
      </c>
      <c r="M359" s="1" t="inlineStr">
        <is>
          <t>No</t>
        </is>
      </c>
      <c r="N359" s="1" t="inlineStr">
        <is>
          <t>Algorithms</t>
        </is>
      </c>
      <c r="O3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9" s="11" t="inlineStr">
        <is>
          <t>To Do</t>
        </is>
      </c>
    </row>
    <row r="360" ht="15.75" customHeight="1" s="12">
      <c r="A360" s="1" t="n">
        <v>1365</v>
      </c>
      <c r="B360" s="3">
        <f>HYPERLINK("https://leetcode.com/problems/how-many-numbers-are-smaller-than-the-current-number/", "How Many Numbers Are Smaller Than the Current Number")</f>
        <v/>
      </c>
      <c r="C360" s="1" t="n">
        <v>6047</v>
      </c>
      <c r="D360" s="1" t="n">
        <v>163</v>
      </c>
      <c r="E360" s="4">
        <f>IF(INDEX(C:C, ROW())+INDEX(D:D, ROW())=0, 0, INDEX(C:C, ROW())/(INDEX(C:C, ROW())+INDEX(D:D, ROW())))</f>
        <v/>
      </c>
      <c r="F360" s="1" t="inlineStr">
        <is>
          <t>Array, Hash Table, Sorting, Counting Sort</t>
        </is>
      </c>
      <c r="G360" s="1" t="inlineStr">
        <is>
          <t>Easy</t>
        </is>
      </c>
      <c r="H360" s="1" t="n">
        <v>891501</v>
      </c>
      <c r="I360" s="1" t="n">
        <v>1019562</v>
      </c>
      <c r="J360" s="9" t="n">
        <v>0.874</v>
      </c>
      <c r="K360" s="1" t="inlineStr">
        <is>
          <t>Yes</t>
        </is>
      </c>
      <c r="L360" s="1" t="inlineStr">
        <is>
          <t>No</t>
        </is>
      </c>
      <c r="M360" s="1" t="inlineStr">
        <is>
          <t>No</t>
        </is>
      </c>
      <c r="N360" s="1" t="inlineStr">
        <is>
          <t>Algorithms</t>
        </is>
      </c>
      <c r="O3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0" s="13" t="inlineStr">
        <is>
          <t>Done</t>
        </is>
      </c>
    </row>
    <row r="361" ht="15.75" customHeight="1" s="12">
      <c r="A361" s="1" t="n">
        <v>1071</v>
      </c>
      <c r="B361" s="3">
        <f>HYPERLINK("https://leetcode.com/problems/greatest-common-divisor-of-strings/", "Greatest Common Divisor of Strings")</f>
        <v/>
      </c>
      <c r="C361" s="1" t="n">
        <v>6039</v>
      </c>
      <c r="D361" s="1" t="n">
        <v>1662</v>
      </c>
      <c r="E361" s="4">
        <f>IF(INDEX(C:C, ROW())+INDEX(D:D, ROW())=0, 0, INDEX(C:C, ROW())/(INDEX(C:C, ROW())+INDEX(D:D, ROW())))</f>
        <v/>
      </c>
      <c r="F361" s="1" t="inlineStr">
        <is>
          <t>Math, String</t>
        </is>
      </c>
      <c r="G361" s="1" t="inlineStr">
        <is>
          <t>Easy</t>
        </is>
      </c>
      <c r="H361" s="1" t="n">
        <v>954149</v>
      </c>
      <c r="I361" s="1" t="n">
        <v>1776113</v>
      </c>
      <c r="J361" s="9" t="n">
        <v>0.537</v>
      </c>
      <c r="K361" s="1" t="inlineStr">
        <is>
          <t>Yes</t>
        </is>
      </c>
      <c r="L361" s="1" t="inlineStr">
        <is>
          <t>Yes</t>
        </is>
      </c>
      <c r="M361" s="1" t="inlineStr">
        <is>
          <t>No</t>
        </is>
      </c>
      <c r="N361" s="1" t="inlineStr">
        <is>
          <t>Algorithms</t>
        </is>
      </c>
      <c r="O3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1" s="13" t="inlineStr">
        <is>
          <t>Done</t>
        </is>
      </c>
    </row>
    <row r="362" ht="15.75" customHeight="1" s="12">
      <c r="A362" s="1" t="n">
        <v>403</v>
      </c>
      <c r="B362" s="3">
        <f>HYPERLINK("https://leetcode.com/problems/frog-jump/", "Frog Jump")</f>
        <v/>
      </c>
      <c r="C362" s="1" t="n">
        <v>6000</v>
      </c>
      <c r="D362" s="1" t="n">
        <v>278</v>
      </c>
      <c r="E362" s="4">
        <f>IF(INDEX(C:C, ROW())+INDEX(D:D, ROW())=0, 0, INDEX(C:C, ROW())/(INDEX(C:C, ROW())+INDEX(D:D, ROW())))</f>
        <v/>
      </c>
      <c r="F362" s="1" t="inlineStr">
        <is>
          <t>Array, Dynamic Programming</t>
        </is>
      </c>
      <c r="G362" s="1" t="inlineStr">
        <is>
          <t>Hard</t>
        </is>
      </c>
      <c r="H362" s="1" t="n">
        <v>339627</v>
      </c>
      <c r="I362" s="1" t="n">
        <v>718401</v>
      </c>
      <c r="J362" s="9" t="n">
        <v>0.473</v>
      </c>
      <c r="K362" s="1" t="inlineStr">
        <is>
          <t>Yes</t>
        </is>
      </c>
      <c r="L362" s="1" t="inlineStr">
        <is>
          <t>Yes</t>
        </is>
      </c>
      <c r="M362" s="1" t="inlineStr">
        <is>
          <t>No</t>
        </is>
      </c>
      <c r="N362" s="1" t="inlineStr">
        <is>
          <t>Algorithms</t>
        </is>
      </c>
      <c r="O3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2" s="11" t="inlineStr">
        <is>
          <t>To Do</t>
        </is>
      </c>
    </row>
    <row r="363" ht="15.75" customHeight="1" s="12">
      <c r="A363" s="1" t="n">
        <v>834</v>
      </c>
      <c r="B363" s="3">
        <f>HYPERLINK("https://leetcode.com/problems/sum-of-distances-in-tree/", "Sum of Distances in Tree")</f>
        <v/>
      </c>
      <c r="C363" s="1" t="n">
        <v>5984</v>
      </c>
      <c r="D363" s="1" t="n">
        <v>140</v>
      </c>
      <c r="E363" s="4">
        <f>IF(INDEX(C:C, ROW())+INDEX(D:D, ROW())=0, 0, INDEX(C:C, ROW())/(INDEX(C:C, ROW())+INDEX(D:D, ROW())))</f>
        <v/>
      </c>
      <c r="F363" s="1" t="inlineStr">
        <is>
          <t>Dynamic Programming, Tree, Depth-First Search, Graph Theory</t>
        </is>
      </c>
      <c r="G363" s="1" t="inlineStr">
        <is>
          <t>Hard</t>
        </is>
      </c>
      <c r="H363" s="1" t="n">
        <v>183999</v>
      </c>
      <c r="I363" s="1" t="n">
        <v>280570</v>
      </c>
      <c r="J363" s="9" t="n">
        <v>0.656</v>
      </c>
      <c r="K363" s="1" t="inlineStr">
        <is>
          <t>Yes</t>
        </is>
      </c>
      <c r="L363" s="1" t="inlineStr">
        <is>
          <t>Yes</t>
        </is>
      </c>
      <c r="M363" s="1" t="inlineStr">
        <is>
          <t>No</t>
        </is>
      </c>
      <c r="N363" s="1" t="inlineStr">
        <is>
          <t>Algorithms</t>
        </is>
      </c>
      <c r="O3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3" s="11" t="inlineStr">
        <is>
          <t>To Do</t>
        </is>
      </c>
    </row>
    <row r="364" ht="15.75" customHeight="1" s="12">
      <c r="A364" s="1" t="n">
        <v>1092</v>
      </c>
      <c r="B364" s="3">
        <f>HYPERLINK("https://leetcode.com/problems/shortest-common-supersequence/", "Shortest Common Supersequence ")</f>
        <v/>
      </c>
      <c r="C364" s="1" t="n">
        <v>5968</v>
      </c>
      <c r="D364" s="1" t="n">
        <v>101</v>
      </c>
      <c r="E364" s="4">
        <f>IF(INDEX(C:C, ROW())+INDEX(D:D, ROW())=0, 0, INDEX(C:C, ROW())/(INDEX(C:C, ROW())+INDEX(D:D, ROW())))</f>
        <v/>
      </c>
      <c r="F364" s="1" t="inlineStr">
        <is>
          <t>String, Dynamic Programming</t>
        </is>
      </c>
      <c r="G364" s="1" t="inlineStr">
        <is>
          <t>Hard</t>
        </is>
      </c>
      <c r="H364" s="1" t="n">
        <v>312924</v>
      </c>
      <c r="I364" s="1" t="n">
        <v>505630</v>
      </c>
      <c r="J364" s="9" t="n">
        <v>0.619</v>
      </c>
      <c r="K364" s="1" t="inlineStr">
        <is>
          <t>Yes</t>
        </is>
      </c>
      <c r="L364" s="1" t="inlineStr">
        <is>
          <t>Yes</t>
        </is>
      </c>
      <c r="M364" s="1" t="inlineStr">
        <is>
          <t>No</t>
        </is>
      </c>
      <c r="N364" s="1" t="inlineStr">
        <is>
          <t>Algorithms</t>
        </is>
      </c>
      <c r="O3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4" s="11" t="inlineStr">
        <is>
          <t>To Do</t>
        </is>
      </c>
    </row>
    <row r="365" ht="15.75" customHeight="1" s="12">
      <c r="A365" s="1" t="n">
        <v>1277</v>
      </c>
      <c r="B365" s="3">
        <f>HYPERLINK("https://leetcode.com/problems/count-square-submatrices-with-all-ones/", "Count Square Submatrices with All Ones")</f>
        <v/>
      </c>
      <c r="C365" s="1" t="n">
        <v>5958</v>
      </c>
      <c r="D365" s="1" t="n">
        <v>117</v>
      </c>
      <c r="E365" s="4">
        <f>IF(INDEX(C:C, ROW())+INDEX(D:D, ROW())=0, 0, INDEX(C:C, ROW())/(INDEX(C:C, ROW())+INDEX(D:D, ROW())))</f>
        <v/>
      </c>
      <c r="F365" s="1" t="inlineStr">
        <is>
          <t>Array, Dynamic Programming, Matrix</t>
        </is>
      </c>
      <c r="G365" s="1" t="inlineStr">
        <is>
          <t>Medium</t>
        </is>
      </c>
      <c r="H365" s="1" t="n">
        <v>481564</v>
      </c>
      <c r="I365" s="1" t="n">
        <v>596841</v>
      </c>
      <c r="J365" s="9" t="n">
        <v>0.8070000000000001</v>
      </c>
      <c r="K365" s="1" t="inlineStr">
        <is>
          <t>Yes</t>
        </is>
      </c>
      <c r="L365" s="1" t="inlineStr">
        <is>
          <t>Yes</t>
        </is>
      </c>
      <c r="M365" s="1" t="inlineStr">
        <is>
          <t>No</t>
        </is>
      </c>
      <c r="N365" s="1" t="inlineStr">
        <is>
          <t>Algorithms</t>
        </is>
      </c>
      <c r="O3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5" s="11" t="inlineStr">
        <is>
          <t>To Do</t>
        </is>
      </c>
    </row>
    <row r="366" ht="15.75" customHeight="1" s="12">
      <c r="A366" s="1" t="n">
        <v>421</v>
      </c>
      <c r="B366" s="3">
        <f>HYPERLINK("https://leetcode.com/problems/maximum-xor-of-two-numbers-in-an-array/", "Maximum XOR of Two Numbers in an Array")</f>
        <v/>
      </c>
      <c r="C366" s="1" t="n">
        <v>5947</v>
      </c>
      <c r="D366" s="1" t="n">
        <v>424</v>
      </c>
      <c r="E366" s="4">
        <f>IF(INDEX(C:C, ROW())+INDEX(D:D, ROW())=0, 0, INDEX(C:C, ROW())/(INDEX(C:C, ROW())+INDEX(D:D, ROW())))</f>
        <v/>
      </c>
      <c r="F366" s="1" t="inlineStr">
        <is>
          <t>Array, Hash Table, Bit Manipulation, Trie</t>
        </is>
      </c>
      <c r="G366" s="1" t="inlineStr">
        <is>
          <t>Medium</t>
        </is>
      </c>
      <c r="H366" s="1" t="n">
        <v>222234</v>
      </c>
      <c r="I366" s="1" t="n">
        <v>416023</v>
      </c>
      <c r="J366" s="9" t="n">
        <v>0.534</v>
      </c>
      <c r="K366" s="1" t="inlineStr">
        <is>
          <t>Yes</t>
        </is>
      </c>
      <c r="L366" s="1" t="inlineStr">
        <is>
          <t>Yes</t>
        </is>
      </c>
      <c r="M366" s="1" t="inlineStr">
        <is>
          <t>No</t>
        </is>
      </c>
      <c r="N366" s="1" t="inlineStr">
        <is>
          <t>Algorithms</t>
        </is>
      </c>
      <c r="O3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6" s="11" t="inlineStr">
        <is>
          <t>To Do</t>
        </is>
      </c>
    </row>
    <row r="367" ht="15.75" customHeight="1" s="12">
      <c r="A367" s="1" t="n">
        <v>132</v>
      </c>
      <c r="B367" s="3">
        <f>HYPERLINK("https://leetcode.com/problems/palindrome-partitioning-ii/", "Palindrome Partitioning II")</f>
        <v/>
      </c>
      <c r="C367" s="1" t="n">
        <v>5946</v>
      </c>
      <c r="D367" s="1" t="n">
        <v>157</v>
      </c>
      <c r="E367" s="4">
        <f>IF(INDEX(C:C, ROW())+INDEX(D:D, ROW())=0, 0, INDEX(C:C, ROW())/(INDEX(C:C, ROW())+INDEX(D:D, ROW())))</f>
        <v/>
      </c>
      <c r="F367" s="1" t="inlineStr">
        <is>
          <t>String, Dynamic Programming</t>
        </is>
      </c>
      <c r="G367" s="1" t="inlineStr">
        <is>
          <t>Hard</t>
        </is>
      </c>
      <c r="H367" s="1" t="n">
        <v>410239</v>
      </c>
      <c r="I367" s="1" t="n">
        <v>1108609</v>
      </c>
      <c r="J367" s="9" t="n">
        <v>0.37</v>
      </c>
      <c r="K367" s="1" t="inlineStr">
        <is>
          <t>Yes</t>
        </is>
      </c>
      <c r="L367" s="1" t="inlineStr">
        <is>
          <t>Yes</t>
        </is>
      </c>
      <c r="M367" s="1" t="inlineStr">
        <is>
          <t>No</t>
        </is>
      </c>
      <c r="N367" s="1" t="inlineStr">
        <is>
          <t>Algorithms</t>
        </is>
      </c>
      <c r="O3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7" s="11" t="inlineStr">
        <is>
          <t>To Do</t>
        </is>
      </c>
    </row>
    <row r="368" ht="15.75" customHeight="1" s="12">
      <c r="A368" s="1" t="n">
        <v>986</v>
      </c>
      <c r="B368" s="3">
        <f>HYPERLINK("https://leetcode.com/problems/interval-list-intersections/", "Interval List Intersections")</f>
        <v/>
      </c>
      <c r="C368" s="1" t="n">
        <v>5933</v>
      </c>
      <c r="D368" s="1" t="n">
        <v>131</v>
      </c>
      <c r="E368" s="4">
        <f>IF(INDEX(C:C, ROW())+INDEX(D:D, ROW())=0, 0, INDEX(C:C, ROW())/(INDEX(C:C, ROW())+INDEX(D:D, ROW())))</f>
        <v/>
      </c>
      <c r="F368" s="1" t="inlineStr">
        <is>
          <t>Array, Two Pointers, Sweep Line</t>
        </is>
      </c>
      <c r="G368" s="1" t="inlineStr">
        <is>
          <t>Medium</t>
        </is>
      </c>
      <c r="H368" s="1" t="n">
        <v>571645</v>
      </c>
      <c r="I368" s="1" t="n">
        <v>783186</v>
      </c>
      <c r="J368" s="9" t="n">
        <v>0.73</v>
      </c>
      <c r="K368" s="1" t="inlineStr">
        <is>
          <t>Yes</t>
        </is>
      </c>
      <c r="L368" s="1" t="inlineStr">
        <is>
          <t>Yes</t>
        </is>
      </c>
      <c r="M368" s="1" t="inlineStr">
        <is>
          <t>No</t>
        </is>
      </c>
      <c r="N368" s="1" t="inlineStr">
        <is>
          <t>Algorithms</t>
        </is>
      </c>
      <c r="O3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8" s="11" t="inlineStr">
        <is>
          <t>To Do</t>
        </is>
      </c>
    </row>
    <row r="369" ht="15.75" customHeight="1" s="12">
      <c r="A369" s="1" t="n">
        <v>190</v>
      </c>
      <c r="B369" s="3">
        <f>HYPERLINK("https://leetcode.com/problems/reverse-bits/", "Reverse Bits")</f>
        <v/>
      </c>
      <c r="C369" s="1" t="n">
        <v>5914</v>
      </c>
      <c r="D369" s="1" t="n">
        <v>1685</v>
      </c>
      <c r="E369" s="4">
        <f>IF(INDEX(C:C, ROW())+INDEX(D:D, ROW())=0, 0, INDEX(C:C, ROW())/(INDEX(C:C, ROW())+INDEX(D:D, ROW())))</f>
        <v/>
      </c>
      <c r="F369" s="1" t="inlineStr">
        <is>
          <t>Divide and Conquer, Bit Manipulation</t>
        </is>
      </c>
      <c r="G369" s="1" t="inlineStr">
        <is>
          <t>Easy</t>
        </is>
      </c>
      <c r="H369" s="1" t="n">
        <v>1345160</v>
      </c>
      <c r="I369" s="1" t="n">
        <v>1968515</v>
      </c>
      <c r="J369" s="9" t="n">
        <v>0.6830000000000001</v>
      </c>
      <c r="K369" s="1" t="inlineStr">
        <is>
          <t>Yes</t>
        </is>
      </c>
      <c r="L369" s="1" t="inlineStr">
        <is>
          <t>Yes</t>
        </is>
      </c>
      <c r="M369" s="1" t="inlineStr">
        <is>
          <t>No</t>
        </is>
      </c>
      <c r="N369" s="1" t="inlineStr">
        <is>
          <t>Algorithms</t>
        </is>
      </c>
      <c r="O3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9" s="13" t="inlineStr">
        <is>
          <t>Done</t>
        </is>
      </c>
    </row>
    <row r="370" ht="15.75" customHeight="1" s="12">
      <c r="A370" s="1" t="n">
        <v>1512</v>
      </c>
      <c r="B370" s="3">
        <f>HYPERLINK("https://leetcode.com/problems/number-of-good-pairs/", "Number of Good Pairs")</f>
        <v/>
      </c>
      <c r="C370" s="1" t="n">
        <v>5883</v>
      </c>
      <c r="D370" s="1" t="n">
        <v>286</v>
      </c>
      <c r="E370" s="4">
        <f>IF(INDEX(C:C, ROW())+INDEX(D:D, ROW())=0, 0, INDEX(C:C, ROW())/(INDEX(C:C, ROW())+INDEX(D:D, ROW())))</f>
        <v/>
      </c>
      <c r="F370" s="1" t="inlineStr">
        <is>
          <t>Array, Hash Table, Math, Counting</t>
        </is>
      </c>
      <c r="G370" s="1" t="inlineStr">
        <is>
          <t>Easy</t>
        </is>
      </c>
      <c r="H370" s="1" t="n">
        <v>1054686</v>
      </c>
      <c r="I370" s="1" t="n">
        <v>1174192</v>
      </c>
      <c r="J370" s="9" t="n">
        <v>0.898</v>
      </c>
      <c r="K370" s="1" t="inlineStr">
        <is>
          <t>Yes</t>
        </is>
      </c>
      <c r="L370" s="1" t="inlineStr">
        <is>
          <t>Yes</t>
        </is>
      </c>
      <c r="M370" s="1" t="inlineStr">
        <is>
          <t>No</t>
        </is>
      </c>
      <c r="N370" s="1" t="inlineStr">
        <is>
          <t>Algorithms</t>
        </is>
      </c>
      <c r="O3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0" s="13" t="inlineStr">
        <is>
          <t>Done</t>
        </is>
      </c>
    </row>
    <row r="371" ht="15.75" customHeight="1" s="12">
      <c r="A371" s="1" t="n">
        <v>665</v>
      </c>
      <c r="B371" s="3">
        <f>HYPERLINK("https://leetcode.com/problems/non-decreasing-array/", "Non-decreasing Array")</f>
        <v/>
      </c>
      <c r="C371" s="1" t="n">
        <v>5858</v>
      </c>
      <c r="D371" s="1" t="n">
        <v>789</v>
      </c>
      <c r="E371" s="4">
        <f>IF(INDEX(C:C, ROW())+INDEX(D:D, ROW())=0, 0, INDEX(C:C, ROW())/(INDEX(C:C, ROW())+INDEX(D:D, ROW())))</f>
        <v/>
      </c>
      <c r="F371" s="1" t="inlineStr">
        <is>
          <t>Array</t>
        </is>
      </c>
      <c r="G371" s="1" t="inlineStr">
        <is>
          <t>Medium</t>
        </is>
      </c>
      <c r="H371" s="1" t="n">
        <v>294465</v>
      </c>
      <c r="I371" s="1" t="n">
        <v>1157538</v>
      </c>
      <c r="J371" s="9" t="n">
        <v>0.254</v>
      </c>
      <c r="K371" s="1" t="inlineStr">
        <is>
          <t>Yes</t>
        </is>
      </c>
      <c r="L371" s="1" t="inlineStr">
        <is>
          <t>Yes</t>
        </is>
      </c>
      <c r="M371" s="1" t="inlineStr">
        <is>
          <t>No</t>
        </is>
      </c>
      <c r="N371" s="1" t="inlineStr">
        <is>
          <t>Algorithms</t>
        </is>
      </c>
      <c r="O3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1" s="11" t="inlineStr">
        <is>
          <t>To Do</t>
        </is>
      </c>
    </row>
    <row r="372" ht="15.75" customHeight="1" s="12">
      <c r="A372" s="1" t="n">
        <v>792</v>
      </c>
      <c r="B372" s="3">
        <f>HYPERLINK("https://leetcode.com/problems/number-of-matching-subsequences/", "Number of Matching Subsequences")</f>
        <v/>
      </c>
      <c r="C372" s="1" t="n">
        <v>5819</v>
      </c>
      <c r="D372" s="1" t="n">
        <v>249</v>
      </c>
      <c r="E372" s="4">
        <f>IF(INDEX(C:C, ROW())+INDEX(D:D, ROW())=0, 0, INDEX(C:C, ROW())/(INDEX(C:C, ROW())+INDEX(D:D, ROW())))</f>
        <v/>
      </c>
      <c r="F372" s="1" t="inlineStr">
        <is>
          <t>Array, Hash Table, String, Binary Search, Dynamic Programming, Trie, Sorting</t>
        </is>
      </c>
      <c r="G372" s="1" t="inlineStr">
        <is>
          <t>Medium</t>
        </is>
      </c>
      <c r="H372" s="1" t="n">
        <v>276397</v>
      </c>
      <c r="I372" s="1" t="n">
        <v>546131</v>
      </c>
      <c r="J372" s="9" t="n">
        <v>0.506</v>
      </c>
      <c r="K372" s="1" t="inlineStr">
        <is>
          <t>Yes</t>
        </is>
      </c>
      <c r="L372" s="1" t="inlineStr">
        <is>
          <t>Yes</t>
        </is>
      </c>
      <c r="M372" s="1" t="inlineStr">
        <is>
          <t>No</t>
        </is>
      </c>
      <c r="N372" s="1" t="inlineStr">
        <is>
          <t>Algorithms</t>
        </is>
      </c>
      <c r="O3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2" s="11" t="inlineStr">
        <is>
          <t>To Do</t>
        </is>
      </c>
    </row>
    <row r="373" ht="15.75" customHeight="1" s="12">
      <c r="A373" s="1" t="n">
        <v>404</v>
      </c>
      <c r="B373" s="3">
        <f>HYPERLINK("https://leetcode.com/problems/sum-of-left-leaves/", "Sum of Left Leaves")</f>
        <v/>
      </c>
      <c r="C373" s="1" t="n">
        <v>5803</v>
      </c>
      <c r="D373" s="1" t="n">
        <v>328</v>
      </c>
      <c r="E373" s="4">
        <f>IF(INDEX(C:C, ROW())+INDEX(D:D, ROW())=0, 0, INDEX(C:C, ROW())/(INDEX(C:C, ROW())+INDEX(D:D, ROW())))</f>
        <v/>
      </c>
      <c r="F373" s="1" t="inlineStr">
        <is>
          <t>Tree, Depth-First Search, Breadth-First Search, Binary Tree</t>
        </is>
      </c>
      <c r="G373" s="1" t="inlineStr">
        <is>
          <t>Easy</t>
        </is>
      </c>
      <c r="H373" s="1" t="n">
        <v>798802</v>
      </c>
      <c r="I373" s="1" t="n">
        <v>1274317</v>
      </c>
      <c r="J373" s="9" t="n">
        <v>0.627</v>
      </c>
      <c r="K373" s="1" t="inlineStr">
        <is>
          <t>Yes</t>
        </is>
      </c>
      <c r="L373" s="1" t="inlineStr">
        <is>
          <t>Yes</t>
        </is>
      </c>
      <c r="M373" s="1" t="inlineStr">
        <is>
          <t>No</t>
        </is>
      </c>
      <c r="N373" s="1" t="inlineStr">
        <is>
          <t>Algorithms</t>
        </is>
      </c>
      <c r="O3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3" s="13" t="inlineStr">
        <is>
          <t>Done</t>
        </is>
      </c>
    </row>
    <row r="374" ht="15.75" customHeight="1" s="12">
      <c r="A374" s="1" t="n">
        <v>934</v>
      </c>
      <c r="B374" s="3">
        <f>HYPERLINK("https://leetcode.com/problems/shortest-bridge/", "Shortest Bridge")</f>
        <v/>
      </c>
      <c r="C374" s="1" t="n">
        <v>5796</v>
      </c>
      <c r="D374" s="1" t="n">
        <v>221</v>
      </c>
      <c r="E374" s="4">
        <f>IF(INDEX(C:C, ROW())+INDEX(D:D, ROW())=0, 0, INDEX(C:C, ROW())/(INDEX(C:C, ROW())+INDEX(D:D, ROW())))</f>
        <v/>
      </c>
      <c r="F374" s="1" t="inlineStr">
        <is>
          <t>Array, Depth-First Search, Breadth-First Search, Matrix</t>
        </is>
      </c>
      <c r="G374" s="1" t="inlineStr">
        <is>
          <t>Medium</t>
        </is>
      </c>
      <c r="H374" s="1" t="n">
        <v>277422</v>
      </c>
      <c r="I374" s="1" t="n">
        <v>466778</v>
      </c>
      <c r="J374" s="9" t="n">
        <v>0.594</v>
      </c>
      <c r="K374" s="1" t="inlineStr">
        <is>
          <t>Yes</t>
        </is>
      </c>
      <c r="L374" s="1" t="inlineStr">
        <is>
          <t>Yes</t>
        </is>
      </c>
      <c r="M374" s="1" t="inlineStr">
        <is>
          <t>No</t>
        </is>
      </c>
      <c r="N374" s="1" t="inlineStr">
        <is>
          <t>Algorithms</t>
        </is>
      </c>
      <c r="O3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4" s="11" t="inlineStr">
        <is>
          <t>To Do</t>
        </is>
      </c>
    </row>
    <row r="375" ht="15.75" customHeight="1" s="12">
      <c r="A375" s="1" t="n">
        <v>1658</v>
      </c>
      <c r="B375" s="3">
        <f>HYPERLINK("https://leetcode.com/problems/minimum-operations-to-reduce-x-to-zero/", "Minimum Operations to Reduce X to Zero")</f>
        <v/>
      </c>
      <c r="C375" s="1" t="n">
        <v>5787</v>
      </c>
      <c r="D375" s="1" t="n">
        <v>128</v>
      </c>
      <c r="E375" s="4">
        <f>IF(INDEX(C:C, ROW())+INDEX(D:D, ROW())=0, 0, INDEX(C:C, ROW())/(INDEX(C:C, ROW())+INDEX(D:D, ROW())))</f>
        <v/>
      </c>
      <c r="F375" s="1" t="inlineStr">
        <is>
          <t>Array, Hash Table, Binary Search, Sliding Window, Prefix Sum</t>
        </is>
      </c>
      <c r="G375" s="1" t="inlineStr">
        <is>
          <t>Medium</t>
        </is>
      </c>
      <c r="H375" s="1" t="n">
        <v>234152</v>
      </c>
      <c r="I375" s="1" t="n">
        <v>577588</v>
      </c>
      <c r="J375" s="9" t="n">
        <v>0.405</v>
      </c>
      <c r="K375" s="1" t="inlineStr">
        <is>
          <t>Yes</t>
        </is>
      </c>
      <c r="L375" s="1" t="inlineStr">
        <is>
          <t>Yes</t>
        </is>
      </c>
      <c r="M375" s="1" t="inlineStr">
        <is>
          <t>No</t>
        </is>
      </c>
      <c r="N375" s="1" t="inlineStr">
        <is>
          <t>Algorithms</t>
        </is>
      </c>
      <c r="O3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5" s="11" t="inlineStr">
        <is>
          <t>To Do</t>
        </is>
      </c>
    </row>
    <row r="376" ht="15.75" customHeight="1" s="12">
      <c r="A376" s="1" t="n">
        <v>1838</v>
      </c>
      <c r="B376" s="3">
        <f>HYPERLINK("https://leetcode.com/problems/frequency-of-the-most-frequent-element/", "Frequency of the Most Frequent Element")</f>
        <v/>
      </c>
      <c r="C376" s="1" t="n">
        <v>5768</v>
      </c>
      <c r="D376" s="1" t="n">
        <v>314</v>
      </c>
      <c r="E376" s="4">
        <f>IF(INDEX(C:C, ROW())+INDEX(D:D, ROW())=0, 0, INDEX(C:C, ROW())/(INDEX(C:C, ROW())+INDEX(D:D, ROW())))</f>
        <v/>
      </c>
      <c r="F376" s="1" t="inlineStr">
        <is>
          <t>Array, Binary Search, Greedy, Sliding Window, Sorting, Prefix Sum</t>
        </is>
      </c>
      <c r="G376" s="1" t="inlineStr">
        <is>
          <t>Medium</t>
        </is>
      </c>
      <c r="H376" s="1" t="n">
        <v>272323</v>
      </c>
      <c r="I376" s="1" t="n">
        <v>607946</v>
      </c>
      <c r="J376" s="9" t="n">
        <v>0.448</v>
      </c>
      <c r="K376" s="1" t="inlineStr">
        <is>
          <t>Yes</t>
        </is>
      </c>
      <c r="L376" s="1" t="inlineStr">
        <is>
          <t>Yes</t>
        </is>
      </c>
      <c r="M376" s="1" t="inlineStr">
        <is>
          <t>No</t>
        </is>
      </c>
      <c r="N376" s="1" t="inlineStr">
        <is>
          <t>Algorithms</t>
        </is>
      </c>
      <c r="O3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6" s="11" t="inlineStr">
        <is>
          <t>To Do</t>
        </is>
      </c>
    </row>
    <row r="377" ht="15.75" customHeight="1" s="12">
      <c r="A377" s="1" t="n">
        <v>1482</v>
      </c>
      <c r="B377" s="3">
        <f>HYPERLINK("https://leetcode.com/problems/minimum-number-of-days-to-make-m-bouquets/", "Minimum Number of Days to Make m Bouquets")</f>
        <v/>
      </c>
      <c r="C377" s="1" t="n">
        <v>5758</v>
      </c>
      <c r="D377" s="1" t="n">
        <v>326</v>
      </c>
      <c r="E377" s="4">
        <f>IF(INDEX(C:C, ROW())+INDEX(D:D, ROW())=0, 0, INDEX(C:C, ROW())/(INDEX(C:C, ROW())+INDEX(D:D, ROW())))</f>
        <v/>
      </c>
      <c r="F377" s="1" t="inlineStr">
        <is>
          <t>Array, Binary Search</t>
        </is>
      </c>
      <c r="G377" s="1" t="inlineStr">
        <is>
          <t>Medium</t>
        </is>
      </c>
      <c r="H377" s="1" t="n">
        <v>515850</v>
      </c>
      <c r="I377" s="1" t="n">
        <v>913017</v>
      </c>
      <c r="J377" s="9" t="n">
        <v>0.5649999999999999</v>
      </c>
      <c r="K377" s="1" t="inlineStr">
        <is>
          <t>Yes</t>
        </is>
      </c>
      <c r="L377" s="1" t="inlineStr">
        <is>
          <t>Yes</t>
        </is>
      </c>
      <c r="M377" s="1" t="inlineStr">
        <is>
          <t>No</t>
        </is>
      </c>
      <c r="N377" s="1" t="inlineStr">
        <is>
          <t>Algorithms</t>
        </is>
      </c>
      <c r="O3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7" s="11" t="inlineStr">
        <is>
          <t>To Do</t>
        </is>
      </c>
    </row>
    <row r="378" ht="15.75" customHeight="1" s="12">
      <c r="A378" s="1" t="n">
        <v>1721</v>
      </c>
      <c r="B378" s="3">
        <f>HYPERLINK("https://leetcode.com/problems/swapping-nodes-in-a-linked-list/", "Swapping Nodes in a Linked List")</f>
        <v/>
      </c>
      <c r="C378" s="1" t="n">
        <v>5741</v>
      </c>
      <c r="D378" s="1" t="n">
        <v>213</v>
      </c>
      <c r="E378" s="4">
        <f>IF(INDEX(C:C, ROW())+INDEX(D:D, ROW())=0, 0, INDEX(C:C, ROW())/(INDEX(C:C, ROW())+INDEX(D:D, ROW())))</f>
        <v/>
      </c>
      <c r="F378" s="1" t="inlineStr">
        <is>
          <t>Linked List, Two Pointers</t>
        </is>
      </c>
      <c r="G378" s="1" t="inlineStr">
        <is>
          <t>Medium</t>
        </is>
      </c>
      <c r="H378" s="1" t="n">
        <v>464167</v>
      </c>
      <c r="I378" s="1" t="n">
        <v>668577</v>
      </c>
      <c r="J378" s="9" t="n">
        <v>0.694</v>
      </c>
      <c r="K378" s="1" t="inlineStr">
        <is>
          <t>Yes</t>
        </is>
      </c>
      <c r="L378" s="1" t="inlineStr">
        <is>
          <t>Yes</t>
        </is>
      </c>
      <c r="M378" s="1" t="inlineStr">
        <is>
          <t>No</t>
        </is>
      </c>
      <c r="N378" s="1" t="inlineStr">
        <is>
          <t>Algorithms</t>
        </is>
      </c>
      <c r="O3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8" s="11" t="inlineStr">
        <is>
          <t>To Do</t>
        </is>
      </c>
    </row>
    <row r="379" ht="15.75" customHeight="1" s="12">
      <c r="A379" s="1" t="n">
        <v>383</v>
      </c>
      <c r="B379" s="3">
        <f>HYPERLINK("https://leetcode.com/problems/ransom-note/", "Ransom Note")</f>
        <v/>
      </c>
      <c r="C379" s="1" t="n">
        <v>5714</v>
      </c>
      <c r="D379" s="1" t="n">
        <v>548</v>
      </c>
      <c r="E379" s="4">
        <f>IF(INDEX(C:C, ROW())+INDEX(D:D, ROW())=0, 0, INDEX(C:C, ROW())/(INDEX(C:C, ROW())+INDEX(D:D, ROW())))</f>
        <v/>
      </c>
      <c r="F379" s="1" t="inlineStr">
        <is>
          <t>Hash Table, String, Counting</t>
        </is>
      </c>
      <c r="G379" s="1" t="inlineStr">
        <is>
          <t>Easy</t>
        </is>
      </c>
      <c r="H379" s="1" t="n">
        <v>1958902</v>
      </c>
      <c r="I379" s="1" t="n">
        <v>2971512</v>
      </c>
      <c r="J379" s="9" t="n">
        <v>0.659</v>
      </c>
      <c r="K379" s="1" t="inlineStr">
        <is>
          <t>Yes</t>
        </is>
      </c>
      <c r="L379" s="1" t="inlineStr">
        <is>
          <t>Yes</t>
        </is>
      </c>
      <c r="M379" s="1" t="inlineStr">
        <is>
          <t>Yes</t>
        </is>
      </c>
      <c r="N379" s="1" t="inlineStr">
        <is>
          <t>Algorithms</t>
        </is>
      </c>
      <c r="O3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9" s="13" t="inlineStr">
        <is>
          <t>Done</t>
        </is>
      </c>
    </row>
    <row r="380" ht="15.75" customHeight="1" s="12">
      <c r="A380" s="1" t="n">
        <v>905</v>
      </c>
      <c r="B380" s="3">
        <f>HYPERLINK("https://leetcode.com/problems/sort-array-by-parity/", "Sort Array By Parity")</f>
        <v/>
      </c>
      <c r="C380" s="1" t="n">
        <v>5710</v>
      </c>
      <c r="D380" s="1" t="n">
        <v>157</v>
      </c>
      <c r="E380" s="4">
        <f>IF(INDEX(C:C, ROW())+INDEX(D:D, ROW())=0, 0, INDEX(C:C, ROW())/(INDEX(C:C, ROW())+INDEX(D:D, ROW())))</f>
        <v/>
      </c>
      <c r="F380" s="1" t="inlineStr">
        <is>
          <t>Array, Two Pointers, Sorting</t>
        </is>
      </c>
      <c r="G380" s="1" t="inlineStr">
        <is>
          <t>Easy</t>
        </is>
      </c>
      <c r="H380" s="1" t="n">
        <v>1022259</v>
      </c>
      <c r="I380" s="1" t="n">
        <v>1335970</v>
      </c>
      <c r="J380" s="9" t="n">
        <v>0.765</v>
      </c>
      <c r="K380" s="1" t="inlineStr">
        <is>
          <t>Yes</t>
        </is>
      </c>
      <c r="L380" s="1" t="inlineStr">
        <is>
          <t>Yes</t>
        </is>
      </c>
      <c r="M380" s="1" t="inlineStr">
        <is>
          <t>No</t>
        </is>
      </c>
      <c r="N380" s="1" t="inlineStr">
        <is>
          <t>Algorithms</t>
        </is>
      </c>
      <c r="O3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0" s="13" t="inlineStr">
        <is>
          <t>Done</t>
        </is>
      </c>
    </row>
    <row r="381" ht="15.75" customHeight="1" s="12">
      <c r="A381" s="1" t="n">
        <v>93</v>
      </c>
      <c r="B381" s="3">
        <f>HYPERLINK("https://leetcode.com/problems/restore-ip-addresses/", "Restore IP Addresses")</f>
        <v/>
      </c>
      <c r="C381" s="1" t="n">
        <v>5669</v>
      </c>
      <c r="D381" s="1" t="n">
        <v>821</v>
      </c>
      <c r="E381" s="4">
        <f>IF(INDEX(C:C, ROW())+INDEX(D:D, ROW())=0, 0, INDEX(C:C, ROW())/(INDEX(C:C, ROW())+INDEX(D:D, ROW())))</f>
        <v/>
      </c>
      <c r="F381" s="1" t="inlineStr">
        <is>
          <t>String, Backtracking</t>
        </is>
      </c>
      <c r="G381" s="1" t="inlineStr">
        <is>
          <t>Medium</t>
        </is>
      </c>
      <c r="H381" s="1" t="n">
        <v>628004</v>
      </c>
      <c r="I381" s="1" t="n">
        <v>1122812</v>
      </c>
      <c r="J381" s="9" t="n">
        <v>0.5590000000000001</v>
      </c>
      <c r="K381" s="1" t="inlineStr">
        <is>
          <t>Yes</t>
        </is>
      </c>
      <c r="L381" s="1" t="inlineStr">
        <is>
          <t>Yes</t>
        </is>
      </c>
      <c r="M381" s="1" t="inlineStr">
        <is>
          <t>No</t>
        </is>
      </c>
      <c r="N381" s="1" t="inlineStr">
        <is>
          <t>Algorithms</t>
        </is>
      </c>
      <c r="O3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1" s="11" t="inlineStr">
        <is>
          <t>To Do</t>
        </is>
      </c>
    </row>
    <row r="382" ht="15.75" customHeight="1" s="12">
      <c r="A382" s="1" t="n">
        <v>968</v>
      </c>
      <c r="B382" s="3">
        <f>HYPERLINK("https://leetcode.com/problems/binary-tree-cameras/", "Binary Tree Cameras")</f>
        <v/>
      </c>
      <c r="C382" s="1" t="n">
        <v>5669</v>
      </c>
      <c r="D382" s="1" t="n">
        <v>89</v>
      </c>
      <c r="E382" s="4">
        <f>IF(INDEX(C:C, ROW())+INDEX(D:D, ROW())=0, 0, INDEX(C:C, ROW())/(INDEX(C:C, ROW())+INDEX(D:D, ROW())))</f>
        <v/>
      </c>
      <c r="F382" s="1" t="inlineStr">
        <is>
          <t>Dynamic Programming, Tree, Depth-First Search, Binary Tree</t>
        </is>
      </c>
      <c r="G382" s="1" t="inlineStr">
        <is>
          <t>Hard</t>
        </is>
      </c>
      <c r="H382" s="1" t="n">
        <v>188280</v>
      </c>
      <c r="I382" s="1" t="n">
        <v>393176</v>
      </c>
      <c r="J382" s="9" t="n">
        <v>0.479</v>
      </c>
      <c r="K382" s="1" t="inlineStr">
        <is>
          <t>Yes</t>
        </is>
      </c>
      <c r="L382" s="1" t="inlineStr">
        <is>
          <t>Yes</t>
        </is>
      </c>
      <c r="M382" s="1" t="inlineStr">
        <is>
          <t>No</t>
        </is>
      </c>
      <c r="N382" s="1" t="inlineStr">
        <is>
          <t>Algorithms</t>
        </is>
      </c>
      <c r="O3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2" s="11" t="inlineStr">
        <is>
          <t>To Do</t>
        </is>
      </c>
    </row>
    <row r="383" ht="15.75" customHeight="1" s="12">
      <c r="A383" s="1" t="n">
        <v>1584</v>
      </c>
      <c r="B383" s="3">
        <f>HYPERLINK("https://leetcode.com/problems/min-cost-to-connect-all-points/", "Min Cost to Connect All Points")</f>
        <v/>
      </c>
      <c r="C383" s="1" t="n">
        <v>5652</v>
      </c>
      <c r="D383" s="1" t="n">
        <v>149</v>
      </c>
      <c r="E383" s="4">
        <f>IF(INDEX(C:C, ROW())+INDEX(D:D, ROW())=0, 0, INDEX(C:C, ROW())/(INDEX(C:C, ROW())+INDEX(D:D, ROW())))</f>
        <v/>
      </c>
      <c r="F383" s="1" t="inlineStr">
        <is>
          <t>Array, Union-Find, Graph Theory, Minimum Spanning Tree</t>
        </is>
      </c>
      <c r="G383" s="1" t="inlineStr">
        <is>
          <t>Medium</t>
        </is>
      </c>
      <c r="H383" s="1" t="n">
        <v>472117</v>
      </c>
      <c r="I383" s="1" t="n">
        <v>666333</v>
      </c>
      <c r="J383" s="9" t="n">
        <v>0.709</v>
      </c>
      <c r="K383" s="1" t="inlineStr">
        <is>
          <t>Yes</t>
        </is>
      </c>
      <c r="L383" s="1" t="inlineStr">
        <is>
          <t>Yes</t>
        </is>
      </c>
      <c r="M383" s="1" t="inlineStr">
        <is>
          <t>No</t>
        </is>
      </c>
      <c r="N383" s="1" t="inlineStr">
        <is>
          <t>Algorithms</t>
        </is>
      </c>
      <c r="O3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3" s="11" t="inlineStr">
        <is>
          <t>To Do</t>
        </is>
      </c>
    </row>
    <row r="384" ht="15.75" customHeight="1" s="12">
      <c r="A384" s="1" t="n">
        <v>413</v>
      </c>
      <c r="B384" s="3">
        <f>HYPERLINK("https://leetcode.com/problems/arithmetic-slices/", "Arithmetic Slices")</f>
        <v/>
      </c>
      <c r="C384" s="1" t="n">
        <v>5644</v>
      </c>
      <c r="D384" s="1" t="n">
        <v>306</v>
      </c>
      <c r="E384" s="4">
        <f>IF(INDEX(C:C, ROW())+INDEX(D:D, ROW())=0, 0, INDEX(C:C, ROW())/(INDEX(C:C, ROW())+INDEX(D:D, ROW())))</f>
        <v/>
      </c>
      <c r="F384" s="1" t="inlineStr">
        <is>
          <t>Array, Dynamic Programming, Sliding Window</t>
        </is>
      </c>
      <c r="G384" s="1" t="inlineStr">
        <is>
          <t>Medium</t>
        </is>
      </c>
      <c r="H384" s="1" t="n">
        <v>369015</v>
      </c>
      <c r="I384" s="1" t="n">
        <v>569225</v>
      </c>
      <c r="J384" s="9" t="n">
        <v>0.648</v>
      </c>
      <c r="K384" s="1" t="inlineStr">
        <is>
          <t>Yes</t>
        </is>
      </c>
      <c r="L384" s="1" t="inlineStr">
        <is>
          <t>Yes</t>
        </is>
      </c>
      <c r="M384" s="1" t="inlineStr">
        <is>
          <t>No</t>
        </is>
      </c>
      <c r="N384" s="1" t="inlineStr">
        <is>
          <t>Algorithms</t>
        </is>
      </c>
      <c r="O3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4" s="11" t="inlineStr">
        <is>
          <t>To Do</t>
        </is>
      </c>
    </row>
    <row r="385" ht="15.75" customHeight="1" s="12">
      <c r="A385" s="1" t="n">
        <v>1319</v>
      </c>
      <c r="B385" s="3">
        <f>HYPERLINK("https://leetcode.com/problems/number-of-operations-to-make-network-connected/", "Number of Operations to Make Network Connected")</f>
        <v/>
      </c>
      <c r="C385" s="1" t="n">
        <v>5616</v>
      </c>
      <c r="D385" s="1" t="n">
        <v>85</v>
      </c>
      <c r="E385" s="4">
        <f>IF(INDEX(C:C, ROW())+INDEX(D:D, ROW())=0, 0, INDEX(C:C, ROW())/(INDEX(C:C, ROW())+INDEX(D:D, ROW())))</f>
        <v/>
      </c>
      <c r="F385" s="1" t="inlineStr">
        <is>
          <t>Depth-First Search, Breadth-First Search, Union-Find, Graph Theory</t>
        </is>
      </c>
      <c r="G385" s="1" t="inlineStr">
        <is>
          <t>Medium</t>
        </is>
      </c>
      <c r="H385" s="1" t="n">
        <v>362590</v>
      </c>
      <c r="I385" s="1" t="n">
        <v>545459</v>
      </c>
      <c r="J385" s="9" t="n">
        <v>0.665</v>
      </c>
      <c r="K385" s="1" t="inlineStr">
        <is>
          <t>Yes</t>
        </is>
      </c>
      <c r="L385" s="1" t="inlineStr">
        <is>
          <t>Yes</t>
        </is>
      </c>
      <c r="M385" s="1" t="inlineStr">
        <is>
          <t>No</t>
        </is>
      </c>
      <c r="N385" s="1" t="inlineStr">
        <is>
          <t>Algorithms</t>
        </is>
      </c>
      <c r="O3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5" s="11" t="inlineStr">
        <is>
          <t>To Do</t>
        </is>
      </c>
    </row>
    <row r="386" ht="15.75" customHeight="1" s="12">
      <c r="A386" s="1" t="n">
        <v>856</v>
      </c>
      <c r="B386" s="3">
        <f>HYPERLINK("https://leetcode.com/problems/score-of-parentheses/", "Score of Parentheses")</f>
        <v/>
      </c>
      <c r="C386" s="1" t="n">
        <v>5611</v>
      </c>
      <c r="D386" s="1" t="n">
        <v>237</v>
      </c>
      <c r="E386" s="4">
        <f>IF(INDEX(C:C, ROW())+INDEX(D:D, ROW())=0, 0, INDEX(C:C, ROW())/(INDEX(C:C, ROW())+INDEX(D:D, ROW())))</f>
        <v/>
      </c>
      <c r="F386" s="1" t="inlineStr">
        <is>
          <t>String, Stack</t>
        </is>
      </c>
      <c r="G386" s="1" t="inlineStr">
        <is>
          <t>Medium</t>
        </is>
      </c>
      <c r="H386" s="1" t="n">
        <v>223319</v>
      </c>
      <c r="I386" s="1" t="n">
        <v>351112</v>
      </c>
      <c r="J386" s="9" t="n">
        <v>0.636</v>
      </c>
      <c r="K386" s="1" t="inlineStr">
        <is>
          <t>Yes</t>
        </is>
      </c>
      <c r="L386" s="1" t="inlineStr">
        <is>
          <t>Yes</t>
        </is>
      </c>
      <c r="M386" s="1" t="inlineStr">
        <is>
          <t>No</t>
        </is>
      </c>
      <c r="N386" s="1" t="inlineStr">
        <is>
          <t>Algorithms</t>
        </is>
      </c>
      <c r="O3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6" s="11" t="inlineStr">
        <is>
          <t>To Do</t>
        </is>
      </c>
    </row>
    <row r="387" ht="15.75" customHeight="1" s="12">
      <c r="A387" s="1" t="n">
        <v>1312</v>
      </c>
      <c r="B387" s="3">
        <f>HYPERLINK("https://leetcode.com/problems/minimum-insertion-steps-to-make-a-string-palindrome/", "Minimum Insertion Steps to Make a String Palindrome")</f>
        <v/>
      </c>
      <c r="C387" s="1" t="n">
        <v>5608</v>
      </c>
      <c r="D387" s="1" t="n">
        <v>77</v>
      </c>
      <c r="E387" s="4">
        <f>IF(INDEX(C:C, ROW())+INDEX(D:D, ROW())=0, 0, INDEX(C:C, ROW())/(INDEX(C:C, ROW())+INDEX(D:D, ROW())))</f>
        <v/>
      </c>
      <c r="F387" s="1" t="inlineStr">
        <is>
          <t>String, Dynamic Programming</t>
        </is>
      </c>
      <c r="G387" s="1" t="inlineStr">
        <is>
          <t>Hard</t>
        </is>
      </c>
      <c r="H387" s="1" t="n">
        <v>312302</v>
      </c>
      <c r="I387" s="1" t="n">
        <v>422872</v>
      </c>
      <c r="J387" s="9" t="n">
        <v>0.739</v>
      </c>
      <c r="K387" s="1" t="inlineStr">
        <is>
          <t>Yes</t>
        </is>
      </c>
      <c r="L387" s="1" t="inlineStr">
        <is>
          <t>Yes</t>
        </is>
      </c>
      <c r="M387" s="1" t="inlineStr">
        <is>
          <t>No</t>
        </is>
      </c>
      <c r="N387" s="1" t="inlineStr">
        <is>
          <t>Algorithms</t>
        </is>
      </c>
      <c r="O3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7" s="11" t="inlineStr">
        <is>
          <t>To Do</t>
        </is>
      </c>
    </row>
    <row r="388" ht="15.75" customHeight="1" s="12">
      <c r="A388" s="1" t="n">
        <v>637</v>
      </c>
      <c r="B388" s="3">
        <f>HYPERLINK("https://leetcode.com/problems/average-of-levels-in-binary-tree/", "Average of Levels in Binary Tree")</f>
        <v/>
      </c>
      <c r="C388" s="1" t="n">
        <v>5594</v>
      </c>
      <c r="D388" s="1" t="n">
        <v>352</v>
      </c>
      <c r="E388" s="4">
        <f>IF(INDEX(C:C, ROW())+INDEX(D:D, ROW())=0, 0, INDEX(C:C, ROW())/(INDEX(C:C, ROW())+INDEX(D:D, ROW())))</f>
        <v/>
      </c>
      <c r="F388" s="1" t="inlineStr">
        <is>
          <t>Tree, Depth-First Search, Breadth-First Search, Binary Tree</t>
        </is>
      </c>
      <c r="G388" s="1" t="inlineStr">
        <is>
          <t>Easy</t>
        </is>
      </c>
      <c r="H388" s="1" t="n">
        <v>747249</v>
      </c>
      <c r="I388" s="1" t="n">
        <v>997724</v>
      </c>
      <c r="J388" s="9" t="n">
        <v>0.749</v>
      </c>
      <c r="K388" s="1" t="inlineStr">
        <is>
          <t>Yes</t>
        </is>
      </c>
      <c r="L388" s="1" t="inlineStr">
        <is>
          <t>Yes</t>
        </is>
      </c>
      <c r="M388" s="1" t="inlineStr">
        <is>
          <t>No</t>
        </is>
      </c>
      <c r="N388" s="1" t="inlineStr">
        <is>
          <t>Algorithms</t>
        </is>
      </c>
      <c r="O3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8" s="13" t="inlineStr">
        <is>
          <t>Done</t>
        </is>
      </c>
    </row>
    <row r="389" ht="15.75" customHeight="1" s="12">
      <c r="A389" s="1" t="n">
        <v>1207</v>
      </c>
      <c r="B389" s="3">
        <f>HYPERLINK("https://leetcode.com/problems/unique-number-of-occurrences/", "Unique Number of Occurrences")</f>
        <v/>
      </c>
      <c r="C389" s="1" t="n">
        <v>5583</v>
      </c>
      <c r="D389" s="1" t="n">
        <v>156</v>
      </c>
      <c r="E389" s="4">
        <f>IF(INDEX(C:C, ROW())+INDEX(D:D, ROW())=0, 0, INDEX(C:C, ROW())/(INDEX(C:C, ROW())+INDEX(D:D, ROW())))</f>
        <v/>
      </c>
      <c r="F389" s="1" t="inlineStr">
        <is>
          <t>Array, Hash Table</t>
        </is>
      </c>
      <c r="G389" s="1" t="inlineStr">
        <is>
          <t>Easy</t>
        </is>
      </c>
      <c r="H389" s="1" t="n">
        <v>982409</v>
      </c>
      <c r="I389" s="1" t="n">
        <v>1248323</v>
      </c>
      <c r="J389" s="9" t="n">
        <v>0.787</v>
      </c>
      <c r="K389" s="1" t="inlineStr">
        <is>
          <t>Yes</t>
        </is>
      </c>
      <c r="L389" s="1" t="inlineStr">
        <is>
          <t>Yes</t>
        </is>
      </c>
      <c r="M389" s="1" t="inlineStr">
        <is>
          <t>Yes</t>
        </is>
      </c>
      <c r="N389" s="1" t="inlineStr">
        <is>
          <t>Algorithms</t>
        </is>
      </c>
      <c r="O3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9" s="13" t="inlineStr">
        <is>
          <t>Done</t>
        </is>
      </c>
    </row>
    <row r="390" ht="15.75" customHeight="1" s="12">
      <c r="A390" s="1" t="n">
        <v>258</v>
      </c>
      <c r="B390" s="3">
        <f>HYPERLINK("https://leetcode.com/problems/add-digits/", "Add Digits")</f>
        <v/>
      </c>
      <c r="C390" s="1" t="n">
        <v>5528</v>
      </c>
      <c r="D390" s="1" t="n">
        <v>1985</v>
      </c>
      <c r="E390" s="4">
        <f>IF(INDEX(C:C, ROW())+INDEX(D:D, ROW())=0, 0, INDEX(C:C, ROW())/(INDEX(C:C, ROW())+INDEX(D:D, ROW())))</f>
        <v/>
      </c>
      <c r="F390" s="1" t="inlineStr">
        <is>
          <t>Math, Simulation, Number Theory</t>
        </is>
      </c>
      <c r="G390" s="1" t="inlineStr">
        <is>
          <t>Easy</t>
        </is>
      </c>
      <c r="H390" s="1" t="n">
        <v>1228599</v>
      </c>
      <c r="I390" s="1" t="n">
        <v>1783334</v>
      </c>
      <c r="J390" s="9" t="n">
        <v>0.6889999999999999</v>
      </c>
      <c r="K390" s="1" t="inlineStr">
        <is>
          <t>Yes</t>
        </is>
      </c>
      <c r="L390" s="1" t="inlineStr">
        <is>
          <t>Yes</t>
        </is>
      </c>
      <c r="M390" s="1" t="inlineStr">
        <is>
          <t>No</t>
        </is>
      </c>
      <c r="N390" s="1" t="inlineStr">
        <is>
          <t>Algorithms</t>
        </is>
      </c>
      <c r="O3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90" s="13" t="inlineStr">
        <is>
          <t>Done</t>
        </is>
      </c>
    </row>
    <row r="391" ht="15.75" customHeight="1" s="12">
      <c r="A391" s="1" t="n">
        <v>389</v>
      </c>
      <c r="B391" s="3">
        <f>HYPERLINK("https://leetcode.com/problems/find-the-difference/", "Find the Difference")</f>
        <v/>
      </c>
      <c r="C391" s="1" t="n">
        <v>5502</v>
      </c>
      <c r="D391" s="1" t="n">
        <v>519</v>
      </c>
      <c r="E391" s="4">
        <f>IF(INDEX(C:C, ROW())+INDEX(D:D, ROW())=0, 0, INDEX(C:C, ROW())/(INDEX(C:C, ROW())+INDEX(D:D, ROW())))</f>
        <v/>
      </c>
      <c r="F391" s="1" t="inlineStr">
        <is>
          <t>Hash Table, String, Bit Manipulation, Sorting</t>
        </is>
      </c>
      <c r="G391" s="1" t="inlineStr">
        <is>
          <t>Easy</t>
        </is>
      </c>
      <c r="H391" s="1" t="n">
        <v>1096911</v>
      </c>
      <c r="I391" s="1" t="n">
        <v>1818467</v>
      </c>
      <c r="J391" s="9" t="n">
        <v>0.603</v>
      </c>
      <c r="K391" s="1" t="inlineStr">
        <is>
          <t>Yes</t>
        </is>
      </c>
      <c r="L391" s="1" t="inlineStr">
        <is>
          <t>Yes</t>
        </is>
      </c>
      <c r="M391" s="1" t="inlineStr">
        <is>
          <t>No</t>
        </is>
      </c>
      <c r="N391" s="1" t="inlineStr">
        <is>
          <t>Algorithms</t>
        </is>
      </c>
      <c r="O3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91" s="13" t="inlineStr">
        <is>
          <t>Done</t>
        </is>
      </c>
    </row>
    <row r="392" ht="15.75" customHeight="1" s="12">
      <c r="A392" s="1" t="n">
        <v>1351</v>
      </c>
      <c r="B392" s="3">
        <f>HYPERLINK("https://leetcode.com/problems/count-negative-numbers-in-a-sorted-matrix/", "Count Negative Numbers in a Sorted Matrix")</f>
        <v/>
      </c>
      <c r="C392" s="1" t="n">
        <v>5500</v>
      </c>
      <c r="D392" s="1" t="n">
        <v>147</v>
      </c>
      <c r="E392" s="4">
        <f>IF(INDEX(C:C, ROW())+INDEX(D:D, ROW())=0, 0, INDEX(C:C, ROW())/(INDEX(C:C, ROW())+INDEX(D:D, ROW())))</f>
        <v/>
      </c>
      <c r="F392" s="1" t="inlineStr">
        <is>
          <t>Array, Binary Search, Matrix</t>
        </is>
      </c>
      <c r="G392" s="1" t="inlineStr">
        <is>
          <t>Easy</t>
        </is>
      </c>
      <c r="H392" s="1" t="n">
        <v>665808</v>
      </c>
      <c r="I392" s="1" t="n">
        <v>836494</v>
      </c>
      <c r="J392" s="9" t="n">
        <v>0.796</v>
      </c>
      <c r="K392" s="1" t="inlineStr">
        <is>
          <t>Yes</t>
        </is>
      </c>
      <c r="L392" s="1" t="inlineStr">
        <is>
          <t>Yes</t>
        </is>
      </c>
      <c r="M392" s="1" t="inlineStr">
        <is>
          <t>No</t>
        </is>
      </c>
      <c r="N392" s="1" t="inlineStr">
        <is>
          <t>Algorithms</t>
        </is>
      </c>
      <c r="O3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92" s="13" t="inlineStr">
        <is>
          <t>Done</t>
        </is>
      </c>
    </row>
    <row r="393" ht="15.75" customHeight="1" s="12">
      <c r="A393" s="1" t="n">
        <v>980</v>
      </c>
      <c r="B393" s="3">
        <f>HYPERLINK("https://leetcode.com/problems/unique-paths-iii/", "Unique Paths III")</f>
        <v/>
      </c>
      <c r="C393" s="1" t="n">
        <v>5497</v>
      </c>
      <c r="D393" s="1" t="n">
        <v>200</v>
      </c>
      <c r="E393" s="4">
        <f>IF(INDEX(C:C, ROW())+INDEX(D:D, ROW())=0, 0, INDEX(C:C, ROW())/(INDEX(C:C, ROW())+INDEX(D:D, ROW())))</f>
        <v/>
      </c>
      <c r="F393" s="1" t="inlineStr">
        <is>
          <t>Array, Backtracking, Bit Manipulation, Matrix</t>
        </is>
      </c>
      <c r="G393" s="1" t="inlineStr">
        <is>
          <t>Hard</t>
        </is>
      </c>
      <c r="H393" s="1" t="n">
        <v>260044</v>
      </c>
      <c r="I393" s="1" t="n">
        <v>313966</v>
      </c>
      <c r="J393" s="9" t="n">
        <v>0.828</v>
      </c>
      <c r="K393" s="1" t="inlineStr">
        <is>
          <t>Yes</t>
        </is>
      </c>
      <c r="L393" s="1" t="inlineStr">
        <is>
          <t>Yes</t>
        </is>
      </c>
      <c r="M393" s="1" t="inlineStr">
        <is>
          <t>No</t>
        </is>
      </c>
      <c r="N393" s="1" t="inlineStr">
        <is>
          <t>Algorithms</t>
        </is>
      </c>
      <c r="O3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93" s="11" t="inlineStr">
        <is>
          <t>To Do</t>
        </is>
      </c>
    </row>
    <row r="394" ht="15.75" customHeight="1" s="12">
      <c r="A394" s="1" t="n">
        <v>645</v>
      </c>
      <c r="B394" s="3">
        <f>HYPERLINK("https://leetcode.com/problems/set-mismatch/", "Set Mismatch")</f>
        <v/>
      </c>
      <c r="C394" s="1" t="n">
        <v>5496</v>
      </c>
      <c r="D394" s="1" t="n">
        <v>1408</v>
      </c>
      <c r="E394" s="4">
        <f>IF(INDEX(C:C, ROW())+INDEX(D:D, ROW())=0, 0, INDEX(C:C, ROW())/(INDEX(C:C, ROW())+INDEX(D:D, ROW())))</f>
        <v/>
      </c>
      <c r="F394" s="1" t="inlineStr">
        <is>
          <t>Array, Hash Table, Bit Manipulation, Sorting</t>
        </is>
      </c>
      <c r="G394" s="1" t="inlineStr">
        <is>
          <t>Easy</t>
        </is>
      </c>
      <c r="H394" s="1" t="n">
        <v>742700</v>
      </c>
      <c r="I394" s="1" t="n">
        <v>1698014</v>
      </c>
      <c r="J394" s="9" t="n">
        <v>0.437</v>
      </c>
      <c r="K394" s="1" t="inlineStr">
        <is>
          <t>Yes</t>
        </is>
      </c>
      <c r="L394" s="1" t="inlineStr">
        <is>
          <t>Yes</t>
        </is>
      </c>
      <c r="M394" s="1" t="inlineStr">
        <is>
          <t>No</t>
        </is>
      </c>
      <c r="N394" s="1" t="inlineStr">
        <is>
          <t>Algorithms</t>
        </is>
      </c>
      <c r="O3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94" s="13" t="inlineStr">
        <is>
          <t>Done</t>
        </is>
      </c>
    </row>
    <row r="395" ht="15.75" customHeight="1" s="12">
      <c r="A395" s="1" t="n">
        <v>430</v>
      </c>
      <c r="B395" s="3">
        <f>HYPERLINK("https://leetcode.com/problems/flatten-a-multilevel-doubly-linked-list/", "Flatten a Multilevel Doubly Linked List")</f>
        <v/>
      </c>
      <c r="C395" s="1" t="n">
        <v>5475</v>
      </c>
      <c r="D395" s="1" t="n">
        <v>351</v>
      </c>
      <c r="E395" s="4">
        <f>IF(INDEX(C:C, ROW())+INDEX(D:D, ROW())=0, 0, INDEX(C:C, ROW())/(INDEX(C:C, ROW())+INDEX(D:D, ROW())))</f>
        <v/>
      </c>
      <c r="F395" s="1" t="inlineStr">
        <is>
          <t>Linked List, Depth-First Search, Doubly-Linked List</t>
        </is>
      </c>
      <c r="G395" s="1" t="inlineStr">
        <is>
          <t>Medium</t>
        </is>
      </c>
      <c r="H395" s="1" t="n">
        <v>440063</v>
      </c>
      <c r="I395" s="1" t="n">
        <v>700419</v>
      </c>
      <c r="J395" s="9" t="n">
        <v>0.628</v>
      </c>
      <c r="K395" s="1" t="inlineStr">
        <is>
          <t>Yes</t>
        </is>
      </c>
      <c r="L395" s="1" t="inlineStr">
        <is>
          <t>Yes</t>
        </is>
      </c>
      <c r="M395" s="1" t="inlineStr">
        <is>
          <t>No</t>
        </is>
      </c>
      <c r="N395" s="1" t="inlineStr">
        <is>
          <t>Algorithms</t>
        </is>
      </c>
      <c r="O3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95" s="11" t="inlineStr">
        <is>
          <t>To Do</t>
        </is>
      </c>
    </row>
    <row r="396" ht="15.75" customHeight="1" s="12">
      <c r="A396" s="1" t="n">
        <v>771</v>
      </c>
      <c r="B396" s="3">
        <f>HYPERLINK("https://leetcode.com/problems/jewels-and-stones/", "Jewels and Stones")</f>
        <v/>
      </c>
      <c r="C396" s="1" t="n">
        <v>5475</v>
      </c>
      <c r="D396" s="1" t="n">
        <v>633</v>
      </c>
      <c r="E396" s="4">
        <f>IF(INDEX(C:C, ROW())+INDEX(D:D, ROW())=0, 0, INDEX(C:C, ROW())/(INDEX(C:C, ROW())+INDEX(D:D, ROW())))</f>
        <v/>
      </c>
      <c r="F396" s="1" t="inlineStr">
        <is>
          <t>Hash Table, String</t>
        </is>
      </c>
      <c r="G396" s="1" t="inlineStr">
        <is>
          <t>Easy</t>
        </is>
      </c>
      <c r="H396" s="1" t="n">
        <v>1375871</v>
      </c>
      <c r="I396" s="1" t="n">
        <v>1536607</v>
      </c>
      <c r="J396" s="9" t="n">
        <v>0.895</v>
      </c>
      <c r="K396" s="1" t="inlineStr">
        <is>
          <t>Yes</t>
        </is>
      </c>
      <c r="L396" s="1" t="inlineStr">
        <is>
          <t>Yes</t>
        </is>
      </c>
      <c r="M396" s="1" t="inlineStr">
        <is>
          <t>No</t>
        </is>
      </c>
      <c r="N396" s="1" t="inlineStr">
        <is>
          <t>Algorithms</t>
        </is>
      </c>
      <c r="O3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96" s="13" t="inlineStr">
        <is>
          <t>Done</t>
        </is>
      </c>
    </row>
    <row r="397" ht="15.75" customHeight="1" s="12">
      <c r="A397" s="1" t="n">
        <v>415</v>
      </c>
      <c r="B397" s="3">
        <f>HYPERLINK("https://leetcode.com/problems/add-strings/", "Add Strings")</f>
        <v/>
      </c>
      <c r="C397" s="1" t="n">
        <v>5473</v>
      </c>
      <c r="D397" s="1" t="n">
        <v>833</v>
      </c>
      <c r="E397" s="4">
        <f>IF(INDEX(C:C, ROW())+INDEX(D:D, ROW())=0, 0, INDEX(C:C, ROW())/(INDEX(C:C, ROW())+INDEX(D:D, ROW())))</f>
        <v/>
      </c>
      <c r="F397" s="1" t="inlineStr">
        <is>
          <t>Math, String, Simulation</t>
        </is>
      </c>
      <c r="G397" s="1" t="inlineStr">
        <is>
          <t>Easy</t>
        </is>
      </c>
      <c r="H397" s="1" t="n">
        <v>942862</v>
      </c>
      <c r="I397" s="1" t="n">
        <v>1807846</v>
      </c>
      <c r="J397" s="9" t="n">
        <v>0.522</v>
      </c>
      <c r="K397" s="1" t="inlineStr">
        <is>
          <t>Yes</t>
        </is>
      </c>
      <c r="L397" s="1" t="inlineStr">
        <is>
          <t>Yes</t>
        </is>
      </c>
      <c r="M397" s="1" t="inlineStr">
        <is>
          <t>No</t>
        </is>
      </c>
      <c r="N397" s="1" t="inlineStr">
        <is>
          <t>Algorithms</t>
        </is>
      </c>
      <c r="O3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97" s="13" t="inlineStr">
        <is>
          <t>Done</t>
        </is>
      </c>
    </row>
    <row r="398" ht="15.75" customHeight="1" s="12">
      <c r="A398" s="1" t="n">
        <v>1248</v>
      </c>
      <c r="B398" s="3">
        <f>HYPERLINK("https://leetcode.com/problems/count-number-of-nice-subarrays/", "Count Number of Nice Subarrays")</f>
        <v/>
      </c>
      <c r="C398" s="1" t="n">
        <v>5453</v>
      </c>
      <c r="D398" s="1" t="n">
        <v>150</v>
      </c>
      <c r="E398" s="4">
        <f>IF(INDEX(C:C, ROW())+INDEX(D:D, ROW())=0, 0, INDEX(C:C, ROW())/(INDEX(C:C, ROW())+INDEX(D:D, ROW())))</f>
        <v/>
      </c>
      <c r="F398" s="1" t="inlineStr">
        <is>
          <t>Array, Hash Table, Math, Sliding Window, Prefix Sum</t>
        </is>
      </c>
      <c r="G398" s="1" t="inlineStr">
        <is>
          <t>Medium</t>
        </is>
      </c>
      <c r="H398" s="1" t="n">
        <v>492582</v>
      </c>
      <c r="I398" s="1" t="n">
        <v>656363</v>
      </c>
      <c r="J398" s="9" t="n">
        <v>0.75</v>
      </c>
      <c r="K398" s="1" t="inlineStr">
        <is>
          <t>Yes</t>
        </is>
      </c>
      <c r="L398" s="1" t="inlineStr">
        <is>
          <t>Yes</t>
        </is>
      </c>
      <c r="M398" s="1" t="inlineStr">
        <is>
          <t>No</t>
        </is>
      </c>
      <c r="N398" s="1" t="inlineStr">
        <is>
          <t>Algorithms</t>
        </is>
      </c>
      <c r="O3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98" s="11" t="inlineStr">
        <is>
          <t>To Do</t>
        </is>
      </c>
    </row>
    <row r="399" ht="15.75" customHeight="1" s="12">
      <c r="A399" s="1" t="n">
        <v>654</v>
      </c>
      <c r="B399" s="3">
        <f>HYPERLINK("https://leetcode.com/problems/maximum-binary-tree/", "Maximum Binary Tree")</f>
        <v/>
      </c>
      <c r="C399" s="1" t="n">
        <v>5438</v>
      </c>
      <c r="D399" s="1" t="n">
        <v>352</v>
      </c>
      <c r="E399" s="4">
        <f>IF(INDEX(C:C, ROW())+INDEX(D:D, ROW())=0, 0, INDEX(C:C, ROW())/(INDEX(C:C, ROW())+INDEX(D:D, ROW())))</f>
        <v/>
      </c>
      <c r="F399" s="1" t="inlineStr">
        <is>
          <t>Array, Divide and Conquer, Stack, Tree, Monotonic Stack, Binary Tree</t>
        </is>
      </c>
      <c r="G399" s="1" t="inlineStr">
        <is>
          <t>Medium</t>
        </is>
      </c>
      <c r="H399" s="1" t="n">
        <v>364445</v>
      </c>
      <c r="I399" s="1" t="n">
        <v>422038</v>
      </c>
      <c r="J399" s="9" t="n">
        <v>0.864</v>
      </c>
      <c r="K399" s="1" t="inlineStr">
        <is>
          <t>Yes</t>
        </is>
      </c>
      <c r="L399" s="1" t="inlineStr">
        <is>
          <t>Yes</t>
        </is>
      </c>
      <c r="M399" s="1" t="inlineStr">
        <is>
          <t>No</t>
        </is>
      </c>
      <c r="N399" s="1" t="inlineStr">
        <is>
          <t>Algorithms</t>
        </is>
      </c>
      <c r="O3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99" s="11" t="inlineStr">
        <is>
          <t>To Do</t>
        </is>
      </c>
    </row>
    <row r="400" ht="15.75" customHeight="1" s="12">
      <c r="A400" s="1" t="n">
        <v>706</v>
      </c>
      <c r="B400" s="3">
        <f>HYPERLINK("https://leetcode.com/problems/design-hashmap/", "Design HashMap")</f>
        <v/>
      </c>
      <c r="C400" s="1" t="n">
        <v>5435</v>
      </c>
      <c r="D400" s="1" t="n">
        <v>502</v>
      </c>
      <c r="E400" s="4">
        <f>IF(INDEX(C:C, ROW())+INDEX(D:D, ROW())=0, 0, INDEX(C:C, ROW())/(INDEX(C:C, ROW())+INDEX(D:D, ROW())))</f>
        <v/>
      </c>
      <c r="F400" s="1" t="inlineStr">
        <is>
          <t>Array, Hash Table, Linked List, Design, Hash Function</t>
        </is>
      </c>
      <c r="G400" s="1" t="inlineStr">
        <is>
          <t>Easy</t>
        </is>
      </c>
      <c r="H400" s="1" t="n">
        <v>769189</v>
      </c>
      <c r="I400" s="1" t="n">
        <v>1155813</v>
      </c>
      <c r="J400" s="9" t="n">
        <v>0.665</v>
      </c>
      <c r="K400" s="1" t="inlineStr">
        <is>
          <t>Yes</t>
        </is>
      </c>
      <c r="L400" s="1" t="inlineStr">
        <is>
          <t>Yes</t>
        </is>
      </c>
      <c r="M400" s="1" t="inlineStr">
        <is>
          <t>No</t>
        </is>
      </c>
      <c r="N400" s="1" t="inlineStr">
        <is>
          <t>Algorithms</t>
        </is>
      </c>
      <c r="O4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00" s="13" t="inlineStr">
        <is>
          <t>Done</t>
        </is>
      </c>
    </row>
    <row r="401" ht="15.75" customHeight="1" s="12">
      <c r="A401" s="1" t="n">
        <v>538</v>
      </c>
      <c r="B401" s="3">
        <f>HYPERLINK("https://leetcode.com/problems/convert-bst-to-greater-tree/", "Convert BST to Greater Tree")</f>
        <v/>
      </c>
      <c r="C401" s="1" t="n">
        <v>5420</v>
      </c>
      <c r="D401" s="1" t="n">
        <v>183</v>
      </c>
      <c r="E401" s="4">
        <f>IF(INDEX(C:C, ROW())+INDEX(D:D, ROW())=0, 0, INDEX(C:C, ROW())/(INDEX(C:C, ROW())+INDEX(D:D, ROW())))</f>
        <v/>
      </c>
      <c r="F401" s="1" t="inlineStr">
        <is>
          <t>Tree, Depth-First Search, Binary Search Tree, Binary Tree</t>
        </is>
      </c>
      <c r="G401" s="1" t="inlineStr">
        <is>
          <t>Medium</t>
        </is>
      </c>
      <c r="H401" s="1" t="n">
        <v>357421</v>
      </c>
      <c r="I401" s="1" t="n">
        <v>499064</v>
      </c>
      <c r="J401" s="9" t="n">
        <v>0.716</v>
      </c>
      <c r="K401" s="1" t="inlineStr">
        <is>
          <t>Yes</t>
        </is>
      </c>
      <c r="L401" s="1" t="inlineStr">
        <is>
          <t>Yes</t>
        </is>
      </c>
      <c r="M401" s="1" t="inlineStr">
        <is>
          <t>No</t>
        </is>
      </c>
      <c r="N401" s="1" t="inlineStr">
        <is>
          <t>Algorithms</t>
        </is>
      </c>
      <c r="O4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01" s="11" t="inlineStr">
        <is>
          <t>To Do</t>
        </is>
      </c>
    </row>
    <row r="402" ht="15.75" customHeight="1" s="12">
      <c r="A402" s="1" t="n">
        <v>304</v>
      </c>
      <c r="B402" s="3">
        <f>HYPERLINK("https://leetcode.com/problems/range-sum-query-2d-immutable/", "Range Sum Query 2D - Immutable")</f>
        <v/>
      </c>
      <c r="C402" s="1" t="n">
        <v>5409</v>
      </c>
      <c r="D402" s="1" t="n">
        <v>371</v>
      </c>
      <c r="E402" s="4">
        <f>IF(INDEX(C:C, ROW())+INDEX(D:D, ROW())=0, 0, INDEX(C:C, ROW())/(INDEX(C:C, ROW())+INDEX(D:D, ROW())))</f>
        <v/>
      </c>
      <c r="F402" s="1" t="inlineStr">
        <is>
          <t>Array, Design, Matrix, Prefix Sum</t>
        </is>
      </c>
      <c r="G402" s="1" t="inlineStr">
        <is>
          <t>Medium</t>
        </is>
      </c>
      <c r="H402" s="1" t="n">
        <v>481967</v>
      </c>
      <c r="I402" s="1" t="n">
        <v>827715</v>
      </c>
      <c r="J402" s="9" t="n">
        <v>0.582</v>
      </c>
      <c r="K402" s="1" t="inlineStr">
        <is>
          <t>Yes</t>
        </is>
      </c>
      <c r="L402" s="1" t="inlineStr">
        <is>
          <t>Yes</t>
        </is>
      </c>
      <c r="M402" s="1" t="inlineStr">
        <is>
          <t>Yes</t>
        </is>
      </c>
      <c r="N402" s="1" t="inlineStr">
        <is>
          <t>Algorithms</t>
        </is>
      </c>
      <c r="O4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02" s="11" t="inlineStr">
        <is>
          <t>To Do</t>
        </is>
      </c>
    </row>
    <row r="403" ht="15.75" customHeight="1" s="12">
      <c r="A403" s="1" t="n">
        <v>345</v>
      </c>
      <c r="B403" s="3">
        <f>HYPERLINK("https://leetcode.com/problems/reverse-vowels-of-a-string/", "Reverse Vowels of a String")</f>
        <v/>
      </c>
      <c r="C403" s="1" t="n">
        <v>5393</v>
      </c>
      <c r="D403" s="1" t="n">
        <v>2861</v>
      </c>
      <c r="E403" s="4">
        <f>IF(INDEX(C:C, ROW())+INDEX(D:D, ROW())=0, 0, INDEX(C:C, ROW())/(INDEX(C:C, ROW())+INDEX(D:D, ROW())))</f>
        <v/>
      </c>
      <c r="F403" s="1" t="inlineStr">
        <is>
          <t>Two Pointers, String</t>
        </is>
      </c>
      <c r="G403" s="1" t="inlineStr">
        <is>
          <t>Easy</t>
        </is>
      </c>
      <c r="H403" s="1" t="n">
        <v>1596823</v>
      </c>
      <c r="I403" s="1" t="n">
        <v>2609376</v>
      </c>
      <c r="J403" s="9" t="n">
        <v>0.612</v>
      </c>
      <c r="K403" s="1" t="inlineStr">
        <is>
          <t>Yes</t>
        </is>
      </c>
      <c r="L403" s="1" t="inlineStr">
        <is>
          <t>Yes</t>
        </is>
      </c>
      <c r="M403" s="1" t="inlineStr">
        <is>
          <t>Yes</t>
        </is>
      </c>
      <c r="N403" s="1" t="inlineStr">
        <is>
          <t>Algorithms</t>
        </is>
      </c>
      <c r="O4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03" s="13" t="inlineStr">
        <is>
          <t>Done</t>
        </is>
      </c>
    </row>
    <row r="404" ht="15.75" customHeight="1" s="12">
      <c r="A404" s="1" t="n">
        <v>343</v>
      </c>
      <c r="B404" s="3">
        <f>HYPERLINK("https://leetcode.com/problems/integer-break/", "Integer Break")</f>
        <v/>
      </c>
      <c r="C404" s="1" t="n">
        <v>5392</v>
      </c>
      <c r="D404" s="1" t="n">
        <v>467</v>
      </c>
      <c r="E404" s="4">
        <f>IF(INDEX(C:C, ROW())+INDEX(D:D, ROW())=0, 0, INDEX(C:C, ROW())/(INDEX(C:C, ROW())+INDEX(D:D, ROW())))</f>
        <v/>
      </c>
      <c r="F404" s="1" t="inlineStr">
        <is>
          <t>Math, Dynamic Programming</t>
        </is>
      </c>
      <c r="G404" s="1" t="inlineStr">
        <is>
          <t>Medium</t>
        </is>
      </c>
      <c r="H404" s="1" t="n">
        <v>443730</v>
      </c>
      <c r="I404" s="1" t="n">
        <v>712643</v>
      </c>
      <c r="J404" s="9" t="n">
        <v>0.623</v>
      </c>
      <c r="K404" s="1" t="inlineStr">
        <is>
          <t>Yes</t>
        </is>
      </c>
      <c r="L404" s="1" t="inlineStr">
        <is>
          <t>Yes</t>
        </is>
      </c>
      <c r="M404" s="1" t="inlineStr">
        <is>
          <t>No</t>
        </is>
      </c>
      <c r="N404" s="1" t="inlineStr">
        <is>
          <t>Algorithms</t>
        </is>
      </c>
      <c r="O4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04" s="11" t="inlineStr">
        <is>
          <t>To Do</t>
        </is>
      </c>
    </row>
    <row r="405" ht="15.75" customHeight="1" s="12">
      <c r="A405" s="1" t="n">
        <v>1155</v>
      </c>
      <c r="B405" s="3">
        <f>HYPERLINK("https://leetcode.com/problems/number-of-dice-rolls-with-target-sum/", "Number of Dice Rolls With Target Sum")</f>
        <v/>
      </c>
      <c r="C405" s="1" t="n">
        <v>5336</v>
      </c>
      <c r="D405" s="1" t="n">
        <v>186</v>
      </c>
      <c r="E405" s="4">
        <f>IF(INDEX(C:C, ROW())+INDEX(D:D, ROW())=0, 0, INDEX(C:C, ROW())/(INDEX(C:C, ROW())+INDEX(D:D, ROW())))</f>
        <v/>
      </c>
      <c r="F405" s="1" t="inlineStr">
        <is>
          <t>Dynamic Programming</t>
        </is>
      </c>
      <c r="G405" s="1" t="inlineStr">
        <is>
          <t>Medium</t>
        </is>
      </c>
      <c r="H405" s="1" t="n">
        <v>353369</v>
      </c>
      <c r="I405" s="1" t="n">
        <v>566981</v>
      </c>
      <c r="J405" s="9" t="n">
        <v>0.623</v>
      </c>
      <c r="K405" s="1" t="inlineStr">
        <is>
          <t>Yes</t>
        </is>
      </c>
      <c r="L405" s="1" t="inlineStr">
        <is>
          <t>Yes</t>
        </is>
      </c>
      <c r="M405" s="1" t="inlineStr">
        <is>
          <t>No</t>
        </is>
      </c>
      <c r="N405" s="1" t="inlineStr">
        <is>
          <t>Algorithms</t>
        </is>
      </c>
      <c r="O4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05" s="11" t="inlineStr">
        <is>
          <t>To Do</t>
        </is>
      </c>
    </row>
    <row r="406" ht="15.75" customHeight="1" s="12">
      <c r="A406" s="1" t="n">
        <v>119</v>
      </c>
      <c r="B406" s="3">
        <f>HYPERLINK("https://leetcode.com/problems/pascals-triangle-ii/", "Pascal's Triangle II")</f>
        <v/>
      </c>
      <c r="C406" s="1" t="n">
        <v>5331</v>
      </c>
      <c r="D406" s="1" t="n">
        <v>372</v>
      </c>
      <c r="E406" s="4">
        <f>IF(INDEX(C:C, ROW())+INDEX(D:D, ROW())=0, 0, INDEX(C:C, ROW())/(INDEX(C:C, ROW())+INDEX(D:D, ROW())))</f>
        <v/>
      </c>
      <c r="F406" s="1" t="inlineStr">
        <is>
          <t>Array, Dynamic Programming</t>
        </is>
      </c>
      <c r="G406" s="1" t="inlineStr">
        <is>
          <t>Easy</t>
        </is>
      </c>
      <c r="H406" s="1" t="n">
        <v>1225688</v>
      </c>
      <c r="I406" s="1" t="n">
        <v>1817548</v>
      </c>
      <c r="J406" s="9" t="n">
        <v>0.674</v>
      </c>
      <c r="K406" s="1" t="inlineStr">
        <is>
          <t>Yes</t>
        </is>
      </c>
      <c r="L406" s="1" t="inlineStr">
        <is>
          <t>Yes</t>
        </is>
      </c>
      <c r="M406" s="1" t="inlineStr">
        <is>
          <t>No</t>
        </is>
      </c>
      <c r="N406" s="1" t="inlineStr">
        <is>
          <t>Algorithms</t>
        </is>
      </c>
      <c r="O4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06" s="13" t="inlineStr">
        <is>
          <t>Done</t>
        </is>
      </c>
    </row>
    <row r="407" ht="15.75" customHeight="1" s="12">
      <c r="A407" s="1" t="n">
        <v>376</v>
      </c>
      <c r="B407" s="3">
        <f>HYPERLINK("https://leetcode.com/problems/wiggle-subsequence/", "Wiggle Subsequence")</f>
        <v/>
      </c>
      <c r="C407" s="1" t="n">
        <v>5319</v>
      </c>
      <c r="D407" s="1" t="n">
        <v>169</v>
      </c>
      <c r="E407" s="4">
        <f>IF(INDEX(C:C, ROW())+INDEX(D:D, ROW())=0, 0, INDEX(C:C, ROW())/(INDEX(C:C, ROW())+INDEX(D:D, ROW())))</f>
        <v/>
      </c>
      <c r="F407" s="1" t="inlineStr">
        <is>
          <t>Array, Dynamic Programming, Greedy</t>
        </is>
      </c>
      <c r="G407" s="1" t="inlineStr">
        <is>
          <t>Medium</t>
        </is>
      </c>
      <c r="H407" s="1" t="n">
        <v>294077</v>
      </c>
      <c r="I407" s="1" t="n">
        <v>595206</v>
      </c>
      <c r="J407" s="9" t="n">
        <v>0.494</v>
      </c>
      <c r="K407" s="1" t="inlineStr">
        <is>
          <t>Yes</t>
        </is>
      </c>
      <c r="L407" s="1" t="inlineStr">
        <is>
          <t>Yes</t>
        </is>
      </c>
      <c r="M407" s="1" t="inlineStr">
        <is>
          <t>No</t>
        </is>
      </c>
      <c r="N407" s="1" t="inlineStr">
        <is>
          <t>Algorithms</t>
        </is>
      </c>
      <c r="O4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07" s="11" t="inlineStr">
        <is>
          <t>To Do</t>
        </is>
      </c>
    </row>
    <row r="408" ht="15.75" customHeight="1" s="12">
      <c r="A408" s="1" t="n">
        <v>981</v>
      </c>
      <c r="B408" s="3">
        <f>HYPERLINK("https://leetcode.com/problems/time-based-key-value-store/", "Time Based Key-Value Store")</f>
        <v/>
      </c>
      <c r="C408" s="1" t="n">
        <v>5294</v>
      </c>
      <c r="D408" s="1" t="n">
        <v>732</v>
      </c>
      <c r="E408" s="4">
        <f>IF(INDEX(C:C, ROW())+INDEX(D:D, ROW())=0, 0, INDEX(C:C, ROW())/(INDEX(C:C, ROW())+INDEX(D:D, ROW())))</f>
        <v/>
      </c>
      <c r="F408" s="1" t="inlineStr">
        <is>
          <t>Hash Table, String, Binary Search, Design</t>
        </is>
      </c>
      <c r="G408" s="1" t="inlineStr">
        <is>
          <t>Medium</t>
        </is>
      </c>
      <c r="H408" s="1" t="n">
        <v>737726</v>
      </c>
      <c r="I408" s="1" t="n">
        <v>1478617</v>
      </c>
      <c r="J408" s="9" t="n">
        <v>0.499</v>
      </c>
      <c r="K408" s="1" t="inlineStr">
        <is>
          <t>Yes</t>
        </is>
      </c>
      <c r="L408" s="1" t="inlineStr">
        <is>
          <t>Yes</t>
        </is>
      </c>
      <c r="M408" s="1" t="inlineStr">
        <is>
          <t>No</t>
        </is>
      </c>
      <c r="N408" s="1" t="inlineStr">
        <is>
          <t>Algorithms</t>
        </is>
      </c>
      <c r="O4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08" s="11" t="inlineStr">
        <is>
          <t>To Do</t>
        </is>
      </c>
    </row>
    <row r="409" ht="15.75" customHeight="1" s="12">
      <c r="A409" s="1" t="n">
        <v>894</v>
      </c>
      <c r="B409" s="3">
        <f>HYPERLINK("https://leetcode.com/problems/all-possible-full-binary-trees/", "All Possible Full Binary Trees")</f>
        <v/>
      </c>
      <c r="C409" s="1" t="n">
        <v>5261</v>
      </c>
      <c r="D409" s="1" t="n">
        <v>369</v>
      </c>
      <c r="E409" s="4">
        <f>IF(INDEX(C:C, ROW())+INDEX(D:D, ROW())=0, 0, INDEX(C:C, ROW())/(INDEX(C:C, ROW())+INDEX(D:D, ROW())))</f>
        <v/>
      </c>
      <c r="F409" s="1" t="inlineStr">
        <is>
          <t>Dynamic Programming, Tree, Recursion, Memoization, Binary Tree</t>
        </is>
      </c>
      <c r="G409" s="1" t="inlineStr">
        <is>
          <t>Medium</t>
        </is>
      </c>
      <c r="H409" s="1" t="n">
        <v>214893</v>
      </c>
      <c r="I409" s="1" t="n">
        <v>259648</v>
      </c>
      <c r="J409" s="9" t="n">
        <v>0.828</v>
      </c>
      <c r="K409" s="1" t="inlineStr">
        <is>
          <t>Yes</t>
        </is>
      </c>
      <c r="L409" s="1" t="inlineStr">
        <is>
          <t>Yes</t>
        </is>
      </c>
      <c r="M409" s="1" t="inlineStr">
        <is>
          <t>No</t>
        </is>
      </c>
      <c r="N409" s="1" t="inlineStr">
        <is>
          <t>Algorithms</t>
        </is>
      </c>
      <c r="O4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09" s="11" t="inlineStr">
        <is>
          <t>To Do</t>
        </is>
      </c>
    </row>
    <row r="410" ht="15.75" customHeight="1" s="12">
      <c r="A410" s="1" t="n">
        <v>862</v>
      </c>
      <c r="B410" s="3">
        <f>HYPERLINK("https://leetcode.com/problems/shortest-subarray-with-sum-at-least-k/", "Shortest Subarray with Sum at Least K")</f>
        <v/>
      </c>
      <c r="C410" s="1" t="n">
        <v>5202</v>
      </c>
      <c r="D410" s="1" t="n">
        <v>145</v>
      </c>
      <c r="E410" s="4">
        <f>IF(INDEX(C:C, ROW())+INDEX(D:D, ROW())=0, 0, INDEX(C:C, ROW())/(INDEX(C:C, ROW())+INDEX(D:D, ROW())))</f>
        <v/>
      </c>
      <c r="F410" s="1" t="inlineStr">
        <is>
          <t>Array, Binary Search, Queue, Sliding Window, Heap (Priority Queue), Prefix Sum, Monotonic Queue</t>
        </is>
      </c>
      <c r="G410" s="1" t="inlineStr">
        <is>
          <t>Hard</t>
        </is>
      </c>
      <c r="H410" s="1" t="n">
        <v>211969</v>
      </c>
      <c r="I410" s="1" t="n">
        <v>647154</v>
      </c>
      <c r="J410" s="9" t="n">
        <v>0.328</v>
      </c>
      <c r="K410" s="1" t="inlineStr">
        <is>
          <t>Yes</t>
        </is>
      </c>
      <c r="L410" s="1" t="inlineStr">
        <is>
          <t>Yes</t>
        </is>
      </c>
      <c r="M410" s="1" t="inlineStr">
        <is>
          <t>No</t>
        </is>
      </c>
      <c r="N410" s="1" t="inlineStr">
        <is>
          <t>Algorithms</t>
        </is>
      </c>
      <c r="O4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10" s="11" t="inlineStr">
        <is>
          <t>To Do</t>
        </is>
      </c>
    </row>
    <row r="411" ht="15.75" customHeight="1" s="12">
      <c r="A411" s="1" t="n">
        <v>107</v>
      </c>
      <c r="B411" s="3">
        <f>HYPERLINK("https://leetcode.com/problems/binary-tree-level-order-traversal-ii/", "Binary Tree Level Order Traversal II")</f>
        <v/>
      </c>
      <c r="C411" s="1" t="n">
        <v>5187</v>
      </c>
      <c r="D411" s="1" t="n">
        <v>335</v>
      </c>
      <c r="E411" s="4">
        <f>IF(INDEX(C:C, ROW())+INDEX(D:D, ROW())=0, 0, INDEX(C:C, ROW())/(INDEX(C:C, ROW())+INDEX(D:D, ROW())))</f>
        <v/>
      </c>
      <c r="F411" s="1" t="inlineStr">
        <is>
          <t>Tree, Breadth-First Search, Binary Tree</t>
        </is>
      </c>
      <c r="G411" s="1" t="inlineStr">
        <is>
          <t>Medium</t>
        </is>
      </c>
      <c r="H411" s="1" t="n">
        <v>835212</v>
      </c>
      <c r="I411" s="1" t="n">
        <v>1225601</v>
      </c>
      <c r="J411" s="9" t="n">
        <v>0.681</v>
      </c>
      <c r="K411" s="1" t="inlineStr">
        <is>
          <t>Yes</t>
        </is>
      </c>
      <c r="L411" s="1" t="inlineStr">
        <is>
          <t>Yes</t>
        </is>
      </c>
      <c r="M411" s="1" t="inlineStr">
        <is>
          <t>No</t>
        </is>
      </c>
      <c r="N411" s="1" t="inlineStr">
        <is>
          <t>Algorithms</t>
        </is>
      </c>
      <c r="O4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11" s="11" t="inlineStr">
        <is>
          <t>To Do</t>
        </is>
      </c>
    </row>
    <row r="412" ht="15.75" customHeight="1" s="12">
      <c r="A412" s="1" t="n">
        <v>744</v>
      </c>
      <c r="B412" s="3">
        <f>HYPERLINK("https://leetcode.com/problems/find-smallest-letter-greater-than-target/", "Find Smallest Letter Greater Than Target")</f>
        <v/>
      </c>
      <c r="C412" s="1" t="n">
        <v>5169</v>
      </c>
      <c r="D412" s="1" t="n">
        <v>2232</v>
      </c>
      <c r="E412" s="4">
        <f>IF(INDEX(C:C, ROW())+INDEX(D:D, ROW())=0, 0, INDEX(C:C, ROW())/(INDEX(C:C, ROW())+INDEX(D:D, ROW())))</f>
        <v/>
      </c>
      <c r="F412" s="1" t="inlineStr">
        <is>
          <t>Array, Binary Search</t>
        </is>
      </c>
      <c r="G412" s="1" t="inlineStr">
        <is>
          <t>Easy</t>
        </is>
      </c>
      <c r="H412" s="1" t="n">
        <v>843069</v>
      </c>
      <c r="I412" s="1" t="n">
        <v>1425632</v>
      </c>
      <c r="J412" s="9" t="n">
        <v>0.591</v>
      </c>
      <c r="K412" s="1" t="inlineStr">
        <is>
          <t>Yes</t>
        </is>
      </c>
      <c r="L412" s="1" t="inlineStr">
        <is>
          <t>Yes</t>
        </is>
      </c>
      <c r="M412" s="1" t="inlineStr">
        <is>
          <t>No</t>
        </is>
      </c>
      <c r="N412" s="1" t="inlineStr">
        <is>
          <t>Algorithms</t>
        </is>
      </c>
      <c r="O4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12" s="13" t="inlineStr">
        <is>
          <t>Done</t>
        </is>
      </c>
    </row>
    <row r="413" ht="15.75" customHeight="1" s="12">
      <c r="A413" s="1" t="n">
        <v>27</v>
      </c>
      <c r="B413" s="3">
        <f>HYPERLINK("https://leetcode.com/problems/remove-element/", "Remove Element")</f>
        <v/>
      </c>
      <c r="C413" s="1" t="n">
        <v>5164</v>
      </c>
      <c r="D413" s="1" t="n">
        <v>5370</v>
      </c>
      <c r="E413" s="4">
        <f>IF(INDEX(C:C, ROW())+INDEX(D:D, ROW())=0, 0, INDEX(C:C, ROW())/(INDEX(C:C, ROW())+INDEX(D:D, ROW())))</f>
        <v/>
      </c>
      <c r="F413" s="1" t="inlineStr">
        <is>
          <t>Array, Two Pointers</t>
        </is>
      </c>
      <c r="G413" s="1" t="inlineStr">
        <is>
          <t>Easy</t>
        </is>
      </c>
      <c r="H413" s="1" t="n">
        <v>5226230</v>
      </c>
      <c r="I413" s="1" t="n">
        <v>8464832</v>
      </c>
      <c r="J413" s="9" t="n">
        <v>0.617</v>
      </c>
      <c r="K413" s="1" t="inlineStr">
        <is>
          <t>Yes</t>
        </is>
      </c>
      <c r="L413" s="1" t="inlineStr">
        <is>
          <t>Yes</t>
        </is>
      </c>
      <c r="M413" s="1" t="inlineStr">
        <is>
          <t>Yes</t>
        </is>
      </c>
      <c r="N413" s="1" t="inlineStr">
        <is>
          <t>Algorithms</t>
        </is>
      </c>
      <c r="O4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13" s="10" t="inlineStr">
        <is>
          <t>Done</t>
        </is>
      </c>
    </row>
    <row r="414" ht="15.75" customHeight="1" s="12">
      <c r="A414" s="1" t="n">
        <v>307</v>
      </c>
      <c r="B414" s="3">
        <f>HYPERLINK("https://leetcode.com/problems/range-sum-query-mutable/", "Range Sum Query - Mutable")</f>
        <v/>
      </c>
      <c r="C414" s="1" t="n">
        <v>5160</v>
      </c>
      <c r="D414" s="1" t="n">
        <v>272</v>
      </c>
      <c r="E414" s="4">
        <f>IF(INDEX(C:C, ROW())+INDEX(D:D, ROW())=0, 0, INDEX(C:C, ROW())/(INDEX(C:C, ROW())+INDEX(D:D, ROW())))</f>
        <v/>
      </c>
      <c r="F414" s="1" t="inlineStr">
        <is>
          <t>Array, Divide and Conquer, Design, Binary Indexed Tree, Segment Tree</t>
        </is>
      </c>
      <c r="G414" s="1" t="inlineStr">
        <is>
          <t>Medium</t>
        </is>
      </c>
      <c r="H414" s="1" t="n">
        <v>348761</v>
      </c>
      <c r="I414" s="1" t="n">
        <v>811084</v>
      </c>
      <c r="J414" s="9" t="n">
        <v>0.43</v>
      </c>
      <c r="K414" s="1" t="inlineStr">
        <is>
          <t>Yes</t>
        </is>
      </c>
      <c r="L414" s="1" t="inlineStr">
        <is>
          <t>Yes</t>
        </is>
      </c>
      <c r="M414" s="1" t="inlineStr">
        <is>
          <t>No</t>
        </is>
      </c>
      <c r="N414" s="1" t="inlineStr">
        <is>
          <t>Algorithms</t>
        </is>
      </c>
      <c r="O4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14" s="11" t="inlineStr">
        <is>
          <t>To Do</t>
        </is>
      </c>
    </row>
    <row r="415" ht="15.75" customHeight="1" s="12">
      <c r="A415" s="1" t="n">
        <v>752</v>
      </c>
      <c r="B415" s="3">
        <f>HYPERLINK("https://leetcode.com/problems/open-the-lock/", "Open the Lock")</f>
        <v/>
      </c>
      <c r="C415" s="1" t="n">
        <v>5143</v>
      </c>
      <c r="D415" s="1" t="n">
        <v>237</v>
      </c>
      <c r="E415" s="4">
        <f>IF(INDEX(C:C, ROW())+INDEX(D:D, ROW())=0, 0, INDEX(C:C, ROW())/(INDEX(C:C, ROW())+INDEX(D:D, ROW())))</f>
        <v/>
      </c>
      <c r="F415" s="1" t="inlineStr">
        <is>
          <t>Array, Hash Table, String, Breadth-First Search</t>
        </is>
      </c>
      <c r="G415" s="1" t="inlineStr">
        <is>
          <t>Medium</t>
        </is>
      </c>
      <c r="H415" s="1" t="n">
        <v>406373</v>
      </c>
      <c r="I415" s="1" t="n">
        <v>663211</v>
      </c>
      <c r="J415" s="9" t="n">
        <v>0.613</v>
      </c>
      <c r="K415" s="1" t="inlineStr">
        <is>
          <t>Yes</t>
        </is>
      </c>
      <c r="L415" s="1" t="inlineStr">
        <is>
          <t>Yes</t>
        </is>
      </c>
      <c r="M415" s="1" t="inlineStr">
        <is>
          <t>No</t>
        </is>
      </c>
      <c r="N415" s="1" t="inlineStr">
        <is>
          <t>Algorithms</t>
        </is>
      </c>
      <c r="O4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15" s="11" t="inlineStr">
        <is>
          <t>To Do</t>
        </is>
      </c>
    </row>
    <row r="416" ht="15.75" customHeight="1" s="12">
      <c r="A416" s="1" t="n">
        <v>1268</v>
      </c>
      <c r="B416" s="3">
        <f>HYPERLINK("https://leetcode.com/problems/search-suggestions-system/", "Search Suggestions System")</f>
        <v/>
      </c>
      <c r="C416" s="1" t="n">
        <v>5137</v>
      </c>
      <c r="D416" s="1" t="n">
        <v>267</v>
      </c>
      <c r="E416" s="4">
        <f>IF(INDEX(C:C, ROW())+INDEX(D:D, ROW())=0, 0, INDEX(C:C, ROW())/(INDEX(C:C, ROW())+INDEX(D:D, ROW())))</f>
        <v/>
      </c>
      <c r="F416" s="1" t="inlineStr">
        <is>
          <t>Array, String, Binary Search, Trie, Sorting, Heap (Priority Queue)</t>
        </is>
      </c>
      <c r="G416" s="1" t="inlineStr">
        <is>
          <t>Medium</t>
        </is>
      </c>
      <c r="H416" s="1" t="n">
        <v>442643</v>
      </c>
      <c r="I416" s="1" t="n">
        <v>679325</v>
      </c>
      <c r="J416" s="9" t="n">
        <v>0.652</v>
      </c>
      <c r="K416" s="1" t="inlineStr">
        <is>
          <t>Yes</t>
        </is>
      </c>
      <c r="L416" s="1" t="inlineStr">
        <is>
          <t>Yes</t>
        </is>
      </c>
      <c r="M416" s="1" t="inlineStr">
        <is>
          <t>No</t>
        </is>
      </c>
      <c r="N416" s="1" t="inlineStr">
        <is>
          <t>Algorithms</t>
        </is>
      </c>
      <c r="O4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16" s="11" t="inlineStr">
        <is>
          <t>To Do</t>
        </is>
      </c>
    </row>
    <row r="417" ht="15.75" customHeight="1" s="12">
      <c r="A417" s="1" t="n">
        <v>38</v>
      </c>
      <c r="B417" s="3">
        <f>HYPERLINK("https://leetcode.com/problems/count-and-say/", "Count and Say")</f>
        <v/>
      </c>
      <c r="C417" s="1" t="n">
        <v>5128</v>
      </c>
      <c r="D417" s="1" t="n">
        <v>9088</v>
      </c>
      <c r="E417" s="4">
        <f>IF(INDEX(C:C, ROW())+INDEX(D:D, ROW())=0, 0, INDEX(C:C, ROW())/(INDEX(C:C, ROW())+INDEX(D:D, ROW())))</f>
        <v/>
      </c>
      <c r="F417" s="1" t="inlineStr">
        <is>
          <t>String</t>
        </is>
      </c>
      <c r="G417" s="1" t="inlineStr">
        <is>
          <t>Medium</t>
        </is>
      </c>
      <c r="H417" s="1" t="n">
        <v>1416627</v>
      </c>
      <c r="I417" s="1" t="n">
        <v>2255404</v>
      </c>
      <c r="J417" s="9" t="n">
        <v>0.628</v>
      </c>
      <c r="K417" s="1" t="inlineStr">
        <is>
          <t>Yes</t>
        </is>
      </c>
      <c r="L417" s="1" t="inlineStr">
        <is>
          <t>Yes</t>
        </is>
      </c>
      <c r="M417" s="1" t="inlineStr">
        <is>
          <t>No</t>
        </is>
      </c>
      <c r="N417" s="1" t="inlineStr">
        <is>
          <t>Algorithms</t>
        </is>
      </c>
      <c r="O4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17" s="11" t="inlineStr">
        <is>
          <t>To Do</t>
        </is>
      </c>
    </row>
    <row r="418" ht="15.75" customHeight="1" s="12">
      <c r="A418" s="1" t="n">
        <v>171</v>
      </c>
      <c r="B418" s="3">
        <f>HYPERLINK("https://leetcode.com/problems/excel-sheet-column-number/", "Excel Sheet Column Number")</f>
        <v/>
      </c>
      <c r="C418" s="1" t="n">
        <v>5114</v>
      </c>
      <c r="D418" s="1" t="n">
        <v>403</v>
      </c>
      <c r="E418" s="4">
        <f>IF(INDEX(C:C, ROW())+INDEX(D:D, ROW())=0, 0, INDEX(C:C, ROW())/(INDEX(C:C, ROW())+INDEX(D:D, ROW())))</f>
        <v/>
      </c>
      <c r="F418" s="1" t="inlineStr">
        <is>
          <t>Math, String</t>
        </is>
      </c>
      <c r="G418" s="1" t="inlineStr">
        <is>
          <t>Easy</t>
        </is>
      </c>
      <c r="H418" s="1" t="n">
        <v>909005</v>
      </c>
      <c r="I418" s="1" t="n">
        <v>1342664</v>
      </c>
      <c r="J418" s="9" t="n">
        <v>0.677</v>
      </c>
      <c r="K418" s="1" t="inlineStr">
        <is>
          <t>Yes</t>
        </is>
      </c>
      <c r="L418" s="1" t="inlineStr">
        <is>
          <t>Yes</t>
        </is>
      </c>
      <c r="M418" s="1" t="inlineStr">
        <is>
          <t>No</t>
        </is>
      </c>
      <c r="N418" s="1" t="inlineStr">
        <is>
          <t>Algorithms</t>
        </is>
      </c>
      <c r="O4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18" s="13" t="inlineStr">
        <is>
          <t>Done</t>
        </is>
      </c>
    </row>
    <row r="419" ht="15.75" customHeight="1" s="12">
      <c r="A419" s="1" t="n">
        <v>1026</v>
      </c>
      <c r="B419" s="3">
        <f>HYPERLINK("https://leetcode.com/problems/maximum-difference-between-node-and-ancestor/", "Maximum Difference Between Node and Ancestor")</f>
        <v/>
      </c>
      <c r="C419" s="1" t="n">
        <v>5106</v>
      </c>
      <c r="D419" s="1" t="n">
        <v>171</v>
      </c>
      <c r="E419" s="4">
        <f>IF(INDEX(C:C, ROW())+INDEX(D:D, ROW())=0, 0, INDEX(C:C, ROW())/(INDEX(C:C, ROW())+INDEX(D:D, ROW())))</f>
        <v/>
      </c>
      <c r="F419" s="1" t="inlineStr">
        <is>
          <t>Tree, Depth-First Search, Binary Tree</t>
        </is>
      </c>
      <c r="G419" s="1" t="inlineStr">
        <is>
          <t>Medium</t>
        </is>
      </c>
      <c r="H419" s="1" t="n">
        <v>385024</v>
      </c>
      <c r="I419" s="1" t="n">
        <v>492663</v>
      </c>
      <c r="J419" s="9" t="n">
        <v>0.782</v>
      </c>
      <c r="K419" s="1" t="inlineStr">
        <is>
          <t>Yes</t>
        </is>
      </c>
      <c r="L419" s="1" t="inlineStr">
        <is>
          <t>Yes</t>
        </is>
      </c>
      <c r="M419" s="1" t="inlineStr">
        <is>
          <t>No</t>
        </is>
      </c>
      <c r="N419" s="1" t="inlineStr">
        <is>
          <t>Algorithms</t>
        </is>
      </c>
      <c r="O4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19" s="11" t="inlineStr">
        <is>
          <t>To Do</t>
        </is>
      </c>
    </row>
    <row r="420" ht="15.75" customHeight="1" s="12">
      <c r="A420" s="1" t="n">
        <v>154</v>
      </c>
      <c r="B420" s="3">
        <f>HYPERLINK("https://leetcode.com/problems/find-minimum-in-rotated-sorted-array-ii/", "Find Minimum in Rotated Sorted Array II")</f>
        <v/>
      </c>
      <c r="C420" s="1" t="n">
        <v>5102</v>
      </c>
      <c r="D420" s="1" t="n">
        <v>520</v>
      </c>
      <c r="E420" s="4">
        <f>IF(INDEX(C:C, ROW())+INDEX(D:D, ROW())=0, 0, INDEX(C:C, ROW())/(INDEX(C:C, ROW())+INDEX(D:D, ROW())))</f>
        <v/>
      </c>
      <c r="F420" s="1" t="inlineStr">
        <is>
          <t>Array, Binary Search</t>
        </is>
      </c>
      <c r="G420" s="1" t="inlineStr">
        <is>
          <t>Hard</t>
        </is>
      </c>
      <c r="H420" s="1" t="n">
        <v>618932</v>
      </c>
      <c r="I420" s="1" t="n">
        <v>1377740</v>
      </c>
      <c r="J420" s="9" t="n">
        <v>0.449</v>
      </c>
      <c r="K420" s="1" t="inlineStr">
        <is>
          <t>Yes</t>
        </is>
      </c>
      <c r="L420" s="1" t="inlineStr">
        <is>
          <t>Yes</t>
        </is>
      </c>
      <c r="M420" s="1" t="inlineStr">
        <is>
          <t>No</t>
        </is>
      </c>
      <c r="N420" s="1" t="inlineStr">
        <is>
          <t>Algorithms</t>
        </is>
      </c>
      <c r="O4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20" s="11" t="inlineStr">
        <is>
          <t>To Do</t>
        </is>
      </c>
    </row>
    <row r="421" ht="15.75" customHeight="1" s="12">
      <c r="A421" s="1" t="n">
        <v>953</v>
      </c>
      <c r="B421" s="3">
        <f>HYPERLINK("https://leetcode.com/problems/verifying-an-alien-dictionary/", "Verifying an Alien Dictionary")</f>
        <v/>
      </c>
      <c r="C421" s="1" t="n">
        <v>5099</v>
      </c>
      <c r="D421" s="1" t="n">
        <v>1683</v>
      </c>
      <c r="E421" s="4">
        <f>IF(INDEX(C:C, ROW())+INDEX(D:D, ROW())=0, 0, INDEX(C:C, ROW())/(INDEX(C:C, ROW())+INDEX(D:D, ROW())))</f>
        <v/>
      </c>
      <c r="F421" s="1" t="inlineStr">
        <is>
          <t>Array, Hash Table, String</t>
        </is>
      </c>
      <c r="G421" s="1" t="inlineStr">
        <is>
          <t>Easy</t>
        </is>
      </c>
      <c r="H421" s="1" t="n">
        <v>584000</v>
      </c>
      <c r="I421" s="1" t="n">
        <v>1043863</v>
      </c>
      <c r="J421" s="9" t="n">
        <v>0.5590000000000001</v>
      </c>
      <c r="K421" s="1" t="inlineStr">
        <is>
          <t>Yes</t>
        </is>
      </c>
      <c r="L421" s="1" t="inlineStr">
        <is>
          <t>Yes</t>
        </is>
      </c>
      <c r="M421" s="1" t="inlineStr">
        <is>
          <t>No</t>
        </is>
      </c>
      <c r="N421" s="1" t="inlineStr">
        <is>
          <t>Algorithms</t>
        </is>
      </c>
      <c r="O4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21" s="13" t="inlineStr">
        <is>
          <t>Done</t>
        </is>
      </c>
    </row>
    <row r="422" ht="15.75" customHeight="1" s="12">
      <c r="A422" s="1" t="n">
        <v>454</v>
      </c>
      <c r="B422" s="3">
        <f>HYPERLINK("https://leetcode.com/problems/4sum-ii/", "4Sum II")</f>
        <v/>
      </c>
      <c r="C422" s="1" t="n">
        <v>5086</v>
      </c>
      <c r="D422" s="1" t="n">
        <v>151</v>
      </c>
      <c r="E422" s="4">
        <f>IF(INDEX(C:C, ROW())+INDEX(D:D, ROW())=0, 0, INDEX(C:C, ROW())/(INDEX(C:C, ROW())+INDEX(D:D, ROW())))</f>
        <v/>
      </c>
      <c r="F422" s="1" t="inlineStr">
        <is>
          <t>Array, Hash Table</t>
        </is>
      </c>
      <c r="G422" s="1" t="inlineStr">
        <is>
          <t>Medium</t>
        </is>
      </c>
      <c r="H422" s="1" t="n">
        <v>387474</v>
      </c>
      <c r="I422" s="1" t="n">
        <v>668631</v>
      </c>
      <c r="J422" s="9" t="n">
        <v>0.58</v>
      </c>
      <c r="K422" s="1" t="inlineStr">
        <is>
          <t>Yes</t>
        </is>
      </c>
      <c r="L422" s="1" t="inlineStr">
        <is>
          <t>Yes</t>
        </is>
      </c>
      <c r="M422" s="1" t="inlineStr">
        <is>
          <t>No</t>
        </is>
      </c>
      <c r="N422" s="1" t="inlineStr">
        <is>
          <t>Algorithms</t>
        </is>
      </c>
      <c r="O4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22" s="11" t="inlineStr">
        <is>
          <t>To Do</t>
        </is>
      </c>
    </row>
    <row r="423" ht="15.75" customHeight="1" s="12">
      <c r="A423" s="1" t="n">
        <v>341</v>
      </c>
      <c r="B423" s="3">
        <f>HYPERLINK("https://leetcode.com/problems/flatten-nested-list-iterator/", "Flatten Nested List Iterator")</f>
        <v/>
      </c>
      <c r="C423" s="1" t="n">
        <v>5078</v>
      </c>
      <c r="D423" s="1" t="n">
        <v>1798</v>
      </c>
      <c r="E423" s="4">
        <f>IF(INDEX(C:C, ROW())+INDEX(D:D, ROW())=0, 0, INDEX(C:C, ROW())/(INDEX(C:C, ROW())+INDEX(D:D, ROW())))</f>
        <v/>
      </c>
      <c r="F423" s="1" t="inlineStr">
        <is>
          <t>Stack, Tree, Depth-First Search, Design, Queue, Iterator</t>
        </is>
      </c>
      <c r="G423" s="1" t="inlineStr">
        <is>
          <t>Medium</t>
        </is>
      </c>
      <c r="H423" s="1" t="n">
        <v>537608</v>
      </c>
      <c r="I423" s="1" t="n">
        <v>818516</v>
      </c>
      <c r="J423" s="9" t="n">
        <v>0.657</v>
      </c>
      <c r="K423" s="1" t="inlineStr">
        <is>
          <t>Yes</t>
        </is>
      </c>
      <c r="L423" s="1" t="inlineStr">
        <is>
          <t>Yes</t>
        </is>
      </c>
      <c r="M423" s="1" t="inlineStr">
        <is>
          <t>No</t>
        </is>
      </c>
      <c r="N423" s="1" t="inlineStr">
        <is>
          <t>Algorithms</t>
        </is>
      </c>
      <c r="O4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23" s="11" t="inlineStr">
        <is>
          <t>To Do</t>
        </is>
      </c>
    </row>
    <row r="424" ht="15.75" customHeight="1" s="12">
      <c r="A424" s="1" t="n">
        <v>1043</v>
      </c>
      <c r="B424" s="3">
        <f>HYPERLINK("https://leetcode.com/problems/partition-array-for-maximum-sum/", "Partition Array for Maximum Sum")</f>
        <v/>
      </c>
      <c r="C424" s="1" t="n">
        <v>5074</v>
      </c>
      <c r="D424" s="1" t="n">
        <v>439</v>
      </c>
      <c r="E424" s="4">
        <f>IF(INDEX(C:C, ROW())+INDEX(D:D, ROW())=0, 0, INDEX(C:C, ROW())/(INDEX(C:C, ROW())+INDEX(D:D, ROW())))</f>
        <v/>
      </c>
      <c r="F424" s="1" t="inlineStr">
        <is>
          <t>Array, Dynamic Programming</t>
        </is>
      </c>
      <c r="G424" s="1" t="inlineStr">
        <is>
          <t>Medium</t>
        </is>
      </c>
      <c r="H424" s="1" t="n">
        <v>267442</v>
      </c>
      <c r="I424" s="1" t="n">
        <v>345787</v>
      </c>
      <c r="J424" s="9" t="n">
        <v>0.773</v>
      </c>
      <c r="K424" s="1" t="inlineStr">
        <is>
          <t>Yes</t>
        </is>
      </c>
      <c r="L424" s="1" t="inlineStr">
        <is>
          <t>Yes</t>
        </is>
      </c>
      <c r="M424" s="1" t="inlineStr">
        <is>
          <t>No</t>
        </is>
      </c>
      <c r="N424" s="1" t="inlineStr">
        <is>
          <t>Algorithms</t>
        </is>
      </c>
      <c r="O4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24" s="11" t="inlineStr">
        <is>
          <t>To Do</t>
        </is>
      </c>
    </row>
    <row r="425" ht="15.75" customHeight="1" s="12">
      <c r="A425" s="1" t="n">
        <v>827</v>
      </c>
      <c r="B425" s="3">
        <f>HYPERLINK("https://leetcode.com/problems/making-a-large-island/", "Making A Large Island")</f>
        <v/>
      </c>
      <c r="C425" s="1" t="n">
        <v>5066</v>
      </c>
      <c r="D425" s="1" t="n">
        <v>100</v>
      </c>
      <c r="E425" s="4">
        <f>IF(INDEX(C:C, ROW())+INDEX(D:D, ROW())=0, 0, INDEX(C:C, ROW())/(INDEX(C:C, ROW())+INDEX(D:D, ROW())))</f>
        <v/>
      </c>
      <c r="F425" s="1" t="inlineStr">
        <is>
          <t>Array, Depth-First Search, Breadth-First Search, Union-Find, Matrix</t>
        </is>
      </c>
      <c r="G425" s="1" t="inlineStr">
        <is>
          <t>Hard</t>
        </is>
      </c>
      <c r="H425" s="1" t="n">
        <v>423742</v>
      </c>
      <c r="I425" s="1" t="n">
        <v>749348</v>
      </c>
      <c r="J425" s="9" t="n">
        <v>0.5649999999999999</v>
      </c>
      <c r="K425" s="1" t="inlineStr">
        <is>
          <t>Yes</t>
        </is>
      </c>
      <c r="L425" s="1" t="inlineStr">
        <is>
          <t>Yes</t>
        </is>
      </c>
      <c r="M425" s="1" t="inlineStr">
        <is>
          <t>No</t>
        </is>
      </c>
      <c r="N425" s="1" t="inlineStr">
        <is>
          <t>Algorithms</t>
        </is>
      </c>
      <c r="O4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25" s="11" t="inlineStr">
        <is>
          <t>To Do</t>
        </is>
      </c>
    </row>
    <row r="426" ht="15.75" customHeight="1" s="12">
      <c r="A426" s="1" t="n">
        <v>1647</v>
      </c>
      <c r="B426" s="3">
        <f>HYPERLINK("https://leetcode.com/problems/minimum-deletions-to-make-character-frequencies-unique/", "Minimum Deletions to Make Character Frequencies Unique")</f>
        <v/>
      </c>
      <c r="C426" s="1" t="n">
        <v>5063</v>
      </c>
      <c r="D426" s="1" t="n">
        <v>76</v>
      </c>
      <c r="E426" s="4">
        <f>IF(INDEX(C:C, ROW())+INDEX(D:D, ROW())=0, 0, INDEX(C:C, ROW())/(INDEX(C:C, ROW())+INDEX(D:D, ROW())))</f>
        <v/>
      </c>
      <c r="F426" s="1" t="inlineStr">
        <is>
          <t>Hash Table, String, Greedy, Sorting</t>
        </is>
      </c>
      <c r="G426" s="1" t="inlineStr">
        <is>
          <t>Medium</t>
        </is>
      </c>
      <c r="H426" s="1" t="n">
        <v>301438</v>
      </c>
      <c r="I426" s="1" t="n">
        <v>490261</v>
      </c>
      <c r="J426" s="9" t="n">
        <v>0.615</v>
      </c>
      <c r="K426" s="1" t="inlineStr">
        <is>
          <t>Yes</t>
        </is>
      </c>
      <c r="L426" s="1" t="inlineStr">
        <is>
          <t>Yes</t>
        </is>
      </c>
      <c r="M426" s="1" t="inlineStr">
        <is>
          <t>No</t>
        </is>
      </c>
      <c r="N426" s="1" t="inlineStr">
        <is>
          <t>Algorithms</t>
        </is>
      </c>
      <c r="O4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26" s="11" t="inlineStr">
        <is>
          <t>To Do</t>
        </is>
      </c>
    </row>
    <row r="427" ht="15.75" customHeight="1" s="12">
      <c r="A427" s="1" t="n">
        <v>455</v>
      </c>
      <c r="B427" s="3">
        <f>HYPERLINK("https://leetcode.com/problems/assign-cookies/", "Assign Cookies")</f>
        <v/>
      </c>
      <c r="C427" s="1" t="n">
        <v>5032</v>
      </c>
      <c r="D427" s="1" t="n">
        <v>460</v>
      </c>
      <c r="E427" s="4">
        <f>IF(INDEX(C:C, ROW())+INDEX(D:D, ROW())=0, 0, INDEX(C:C, ROW())/(INDEX(C:C, ROW())+INDEX(D:D, ROW())))</f>
        <v/>
      </c>
      <c r="F427" s="1" t="inlineStr">
        <is>
          <t>Array, Two Pointers, Greedy, Sorting</t>
        </is>
      </c>
      <c r="G427" s="1" t="inlineStr">
        <is>
          <t>Easy</t>
        </is>
      </c>
      <c r="H427" s="1" t="n">
        <v>947583</v>
      </c>
      <c r="I427" s="1" t="n">
        <v>1725450</v>
      </c>
      <c r="J427" s="9" t="n">
        <v>0.549</v>
      </c>
      <c r="K427" s="1" t="inlineStr">
        <is>
          <t>Yes</t>
        </is>
      </c>
      <c r="L427" s="1" t="inlineStr">
        <is>
          <t>Yes</t>
        </is>
      </c>
      <c r="M427" s="1" t="inlineStr">
        <is>
          <t>No</t>
        </is>
      </c>
      <c r="N427" s="1" t="inlineStr">
        <is>
          <t>Algorithms</t>
        </is>
      </c>
      <c r="O4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27" s="13" t="inlineStr">
        <is>
          <t>Done</t>
        </is>
      </c>
    </row>
    <row r="428" ht="15.75" customHeight="1" s="12">
      <c r="A428" s="1" t="n">
        <v>407</v>
      </c>
      <c r="B428" s="3">
        <f>HYPERLINK("https://leetcode.com/problems/trapping-rain-water-ii/", "Trapping Rain Water II")</f>
        <v/>
      </c>
      <c r="C428" s="1" t="n">
        <v>5012</v>
      </c>
      <c r="D428" s="1" t="n">
        <v>174</v>
      </c>
      <c r="E428" s="4">
        <f>IF(INDEX(C:C, ROW())+INDEX(D:D, ROW())=0, 0, INDEX(C:C, ROW())/(INDEX(C:C, ROW())+INDEX(D:D, ROW())))</f>
        <v/>
      </c>
      <c r="F428" s="1" t="inlineStr">
        <is>
          <t>Array, Breadth-First Search, Heap (Priority Queue), Matrix</t>
        </is>
      </c>
      <c r="G428" s="1" t="inlineStr">
        <is>
          <t>Hard</t>
        </is>
      </c>
      <c r="H428" s="1" t="n">
        <v>267211</v>
      </c>
      <c r="I428" s="1" t="n">
        <v>417081</v>
      </c>
      <c r="J428" s="9" t="n">
        <v>0.641</v>
      </c>
      <c r="K428" s="1" t="inlineStr">
        <is>
          <t>Yes</t>
        </is>
      </c>
      <c r="L428" s="1" t="inlineStr">
        <is>
          <t>Yes</t>
        </is>
      </c>
      <c r="M428" s="1" t="inlineStr">
        <is>
          <t>No</t>
        </is>
      </c>
      <c r="N428" s="1" t="inlineStr">
        <is>
          <t>Algorithms</t>
        </is>
      </c>
      <c r="O4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28" s="11" t="inlineStr">
        <is>
          <t>To Do</t>
        </is>
      </c>
    </row>
    <row r="429" ht="15.75" customHeight="1" s="12">
      <c r="A429" s="1" t="n">
        <v>796</v>
      </c>
      <c r="B429" s="3">
        <f>HYPERLINK("https://leetcode.com/problems/rotate-string/", "Rotate String")</f>
        <v/>
      </c>
      <c r="C429" s="1" t="n">
        <v>4991</v>
      </c>
      <c r="D429" s="1" t="n">
        <v>450</v>
      </c>
      <c r="E429" s="4">
        <f>IF(INDEX(C:C, ROW())+INDEX(D:D, ROW())=0, 0, INDEX(C:C, ROW())/(INDEX(C:C, ROW())+INDEX(D:D, ROW())))</f>
        <v/>
      </c>
      <c r="F429" s="1" t="inlineStr">
        <is>
          <t>String, String Matching</t>
        </is>
      </c>
      <c r="G429" s="1" t="inlineStr">
        <is>
          <t>Easy</t>
        </is>
      </c>
      <c r="H429" s="1" t="n">
        <v>915111</v>
      </c>
      <c r="I429" s="1" t="n">
        <v>1374636</v>
      </c>
      <c r="J429" s="9" t="n">
        <v>0.666</v>
      </c>
      <c r="K429" s="1" t="inlineStr">
        <is>
          <t>Yes</t>
        </is>
      </c>
      <c r="L429" s="1" t="inlineStr">
        <is>
          <t>Yes</t>
        </is>
      </c>
      <c r="M429" s="1" t="inlineStr">
        <is>
          <t>No</t>
        </is>
      </c>
      <c r="N429" s="1" t="inlineStr">
        <is>
          <t>Algorithms</t>
        </is>
      </c>
      <c r="O4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29" s="13" t="inlineStr">
        <is>
          <t>Done</t>
        </is>
      </c>
    </row>
    <row r="430" ht="15.75" customHeight="1" s="12">
      <c r="A430" s="1" t="n">
        <v>1752</v>
      </c>
      <c r="B430" s="3">
        <f>HYPERLINK("https://leetcode.com/problems/check-if-array-is-sorted-and-rotated/", "Check if Array Is Sorted and Rotated")</f>
        <v/>
      </c>
      <c r="C430" s="1" t="n">
        <v>4981</v>
      </c>
      <c r="D430" s="1" t="n">
        <v>294</v>
      </c>
      <c r="E430" s="4">
        <f>IF(INDEX(C:C, ROW())+INDEX(D:D, ROW())=0, 0, INDEX(C:C, ROW())/(INDEX(C:C, ROW())+INDEX(D:D, ROW())))</f>
        <v/>
      </c>
      <c r="F430" s="1" t="inlineStr">
        <is>
          <t>Array</t>
        </is>
      </c>
      <c r="G430" s="1" t="inlineStr">
        <is>
          <t>Easy</t>
        </is>
      </c>
      <c r="H430" s="1" t="n">
        <v>864853</v>
      </c>
      <c r="I430" s="1" t="n">
        <v>1544563</v>
      </c>
      <c r="J430" s="9" t="n">
        <v>0.5600000000000001</v>
      </c>
      <c r="K430" s="1" t="inlineStr">
        <is>
          <t>Yes</t>
        </is>
      </c>
      <c r="L430" s="1" t="inlineStr">
        <is>
          <t>Yes</t>
        </is>
      </c>
      <c r="M430" s="1" t="inlineStr">
        <is>
          <t>No</t>
        </is>
      </c>
      <c r="N430" s="1" t="inlineStr">
        <is>
          <t>Algorithms</t>
        </is>
      </c>
      <c r="O4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30" s="13" t="inlineStr">
        <is>
          <t>Done</t>
        </is>
      </c>
    </row>
    <row r="431" ht="15.75" customHeight="1" s="12">
      <c r="A431" s="1" t="n">
        <v>1431</v>
      </c>
      <c r="B431" s="3">
        <f>HYPERLINK("https://leetcode.com/problems/kids-with-the-greatest-number-of-candies/", "Kids With the Greatest Number of Candies")</f>
        <v/>
      </c>
      <c r="C431" s="1" t="n">
        <v>4976</v>
      </c>
      <c r="D431" s="1" t="n">
        <v>636</v>
      </c>
      <c r="E431" s="4">
        <f>IF(INDEX(C:C, ROW())+INDEX(D:D, ROW())=0, 0, INDEX(C:C, ROW())/(INDEX(C:C, ROW())+INDEX(D:D, ROW())))</f>
        <v/>
      </c>
      <c r="F431" s="1" t="inlineStr">
        <is>
          <t>Array</t>
        </is>
      </c>
      <c r="G431" s="1" t="inlineStr">
        <is>
          <t>Easy</t>
        </is>
      </c>
      <c r="H431" s="1" t="n">
        <v>1506998</v>
      </c>
      <c r="I431" s="1" t="n">
        <v>1712019</v>
      </c>
      <c r="J431" s="9" t="n">
        <v>0.88</v>
      </c>
      <c r="K431" s="1" t="inlineStr">
        <is>
          <t>Yes</t>
        </is>
      </c>
      <c r="L431" s="1" t="inlineStr">
        <is>
          <t>Yes</t>
        </is>
      </c>
      <c r="M431" s="1" t="inlineStr">
        <is>
          <t>No</t>
        </is>
      </c>
      <c r="N431" s="1" t="inlineStr">
        <is>
          <t>Algorithms</t>
        </is>
      </c>
      <c r="O4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31" s="13" t="inlineStr">
        <is>
          <t>Done</t>
        </is>
      </c>
    </row>
    <row r="432" ht="15.75" customHeight="1" s="12">
      <c r="A432" s="1" t="n">
        <v>2095</v>
      </c>
      <c r="B432" s="3">
        <f>HYPERLINK("https://leetcode.com/problems/delete-the-middle-node-of-a-linked-list/", "Delete the Middle Node of a Linked List")</f>
        <v/>
      </c>
      <c r="C432" s="1" t="n">
        <v>4974</v>
      </c>
      <c r="D432" s="1" t="n">
        <v>106</v>
      </c>
      <c r="E432" s="4">
        <f>IF(INDEX(C:C, ROW())+INDEX(D:D, ROW())=0, 0, INDEX(C:C, ROW())/(INDEX(C:C, ROW())+INDEX(D:D, ROW())))</f>
        <v/>
      </c>
      <c r="F432" s="1" t="inlineStr">
        <is>
          <t>Linked List, Two Pointers</t>
        </is>
      </c>
      <c r="G432" s="1" t="inlineStr">
        <is>
          <t>Medium</t>
        </is>
      </c>
      <c r="H432" s="1" t="n">
        <v>949310</v>
      </c>
      <c r="I432" s="1" t="n">
        <v>1593066</v>
      </c>
      <c r="J432" s="9" t="n">
        <v>0.596</v>
      </c>
      <c r="K432" s="1" t="inlineStr">
        <is>
          <t>Yes</t>
        </is>
      </c>
      <c r="L432" s="1" t="inlineStr">
        <is>
          <t>Yes</t>
        </is>
      </c>
      <c r="M432" s="1" t="inlineStr">
        <is>
          <t>No</t>
        </is>
      </c>
      <c r="N432" s="1" t="inlineStr">
        <is>
          <t>Algorithms</t>
        </is>
      </c>
      <c r="O4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32" s="11" t="inlineStr">
        <is>
          <t>To Do</t>
        </is>
      </c>
    </row>
    <row r="433" ht="15.75" customHeight="1" s="12">
      <c r="A433" s="1" t="n">
        <v>895</v>
      </c>
      <c r="B433" s="3">
        <f>HYPERLINK("https://leetcode.com/problems/maximum-frequency-stack/", "Maximum Frequency Stack")</f>
        <v/>
      </c>
      <c r="C433" s="1" t="n">
        <v>4964</v>
      </c>
      <c r="D433" s="1" t="n">
        <v>78</v>
      </c>
      <c r="E433" s="4">
        <f>IF(INDEX(C:C, ROW())+INDEX(D:D, ROW())=0, 0, INDEX(C:C, ROW())/(INDEX(C:C, ROW())+INDEX(D:D, ROW())))</f>
        <v/>
      </c>
      <c r="F433" s="1" t="inlineStr">
        <is>
          <t>Hash Table, Stack, Design, Ordered Set</t>
        </is>
      </c>
      <c r="G433" s="1" t="inlineStr">
        <is>
          <t>Hard</t>
        </is>
      </c>
      <c r="H433" s="1" t="n">
        <v>228393</v>
      </c>
      <c r="I433" s="1" t="n">
        <v>341993</v>
      </c>
      <c r="J433" s="9" t="n">
        <v>0.668</v>
      </c>
      <c r="K433" s="1" t="inlineStr">
        <is>
          <t>Yes</t>
        </is>
      </c>
      <c r="L433" s="1" t="inlineStr">
        <is>
          <t>Yes</t>
        </is>
      </c>
      <c r="M433" s="1" t="inlineStr">
        <is>
          <t>No</t>
        </is>
      </c>
      <c r="N433" s="1" t="inlineStr">
        <is>
          <t>Algorithms</t>
        </is>
      </c>
      <c r="O4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33" s="11" t="inlineStr">
        <is>
          <t>To Do</t>
        </is>
      </c>
    </row>
    <row r="434" ht="15.75" customHeight="1" s="12">
      <c r="A434" s="1" t="n">
        <v>921</v>
      </c>
      <c r="B434" s="3">
        <f>HYPERLINK("https://leetcode.com/problems/minimum-add-to-make-parentheses-valid/", "Minimum Add to Make Parentheses Valid")</f>
        <v/>
      </c>
      <c r="C434" s="1" t="n">
        <v>4959</v>
      </c>
      <c r="D434" s="1" t="n">
        <v>249</v>
      </c>
      <c r="E434" s="4">
        <f>IF(INDEX(C:C, ROW())+INDEX(D:D, ROW())=0, 0, INDEX(C:C, ROW())/(INDEX(C:C, ROW())+INDEX(D:D, ROW())))</f>
        <v/>
      </c>
      <c r="F434" s="1" t="inlineStr">
        <is>
          <t>String, Stack, Greedy</t>
        </is>
      </c>
      <c r="G434" s="1" t="inlineStr">
        <is>
          <t>Medium</t>
        </is>
      </c>
      <c r="H434" s="1" t="n">
        <v>704851</v>
      </c>
      <c r="I434" s="1" t="n">
        <v>947244</v>
      </c>
      <c r="J434" s="9" t="n">
        <v>0.744</v>
      </c>
      <c r="K434" s="1" t="inlineStr">
        <is>
          <t>Yes</t>
        </is>
      </c>
      <c r="L434" s="1" t="inlineStr">
        <is>
          <t>Yes</t>
        </is>
      </c>
      <c r="M434" s="1" t="inlineStr">
        <is>
          <t>No</t>
        </is>
      </c>
      <c r="N434" s="1" t="inlineStr">
        <is>
          <t>Algorithms</t>
        </is>
      </c>
      <c r="O4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34" s="11" t="inlineStr">
        <is>
          <t>To Do</t>
        </is>
      </c>
    </row>
    <row r="435" ht="15.75" customHeight="1" s="12">
      <c r="A435" s="1" t="n">
        <v>1768</v>
      </c>
      <c r="B435" s="3">
        <f>HYPERLINK("https://leetcode.com/problems/merge-strings-alternately/", "Merge Strings Alternately")</f>
        <v/>
      </c>
      <c r="C435" s="1" t="n">
        <v>4955</v>
      </c>
      <c r="D435" s="1" t="n">
        <v>145</v>
      </c>
      <c r="E435" s="4">
        <f>IF(INDEX(C:C, ROW())+INDEX(D:D, ROW())=0, 0, INDEX(C:C, ROW())/(INDEX(C:C, ROW())+INDEX(D:D, ROW())))</f>
        <v/>
      </c>
      <c r="F435" s="1" t="inlineStr">
        <is>
          <t>Two Pointers, String</t>
        </is>
      </c>
      <c r="G435" s="1" t="inlineStr">
        <is>
          <t>Easy</t>
        </is>
      </c>
      <c r="H435" s="1" t="n">
        <v>2060448</v>
      </c>
      <c r="I435" s="1" t="n">
        <v>2510001</v>
      </c>
      <c r="J435" s="9" t="n">
        <v>0.821</v>
      </c>
      <c r="K435" s="1" t="inlineStr">
        <is>
          <t>Yes</t>
        </is>
      </c>
      <c r="L435" s="1" t="inlineStr">
        <is>
          <t>Yes</t>
        </is>
      </c>
      <c r="M435" s="1" t="inlineStr">
        <is>
          <t>Yes</t>
        </is>
      </c>
      <c r="N435" s="1" t="inlineStr">
        <is>
          <t>Algorithms</t>
        </is>
      </c>
      <c r="O4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35" s="13" t="inlineStr">
        <is>
          <t>Done</t>
        </is>
      </c>
    </row>
    <row r="436" ht="15.75" customHeight="1" s="12">
      <c r="A436" s="1" t="n">
        <v>886</v>
      </c>
      <c r="B436" s="3">
        <f>HYPERLINK("https://leetcode.com/problems/possible-bipartition/", "Possible Bipartition")</f>
        <v/>
      </c>
      <c r="C436" s="1" t="n">
        <v>4925</v>
      </c>
      <c r="D436" s="1" t="n">
        <v>120</v>
      </c>
      <c r="E436" s="4">
        <f>IF(INDEX(C:C, ROW())+INDEX(D:D, ROW())=0, 0, INDEX(C:C, ROW())/(INDEX(C:C, ROW())+INDEX(D:D, ROW())))</f>
        <v/>
      </c>
      <c r="F436" s="1" t="inlineStr">
        <is>
          <t>Depth-First Search, Breadth-First Search, Union-Find, Graph Theory</t>
        </is>
      </c>
      <c r="G436" s="1" t="inlineStr">
        <is>
          <t>Medium</t>
        </is>
      </c>
      <c r="H436" s="1" t="n">
        <v>266830</v>
      </c>
      <c r="I436" s="1" t="n">
        <v>507438</v>
      </c>
      <c r="J436" s="9" t="n">
        <v>0.526</v>
      </c>
      <c r="K436" s="1" t="inlineStr">
        <is>
          <t>Yes</t>
        </is>
      </c>
      <c r="L436" s="1" t="inlineStr">
        <is>
          <t>Yes</t>
        </is>
      </c>
      <c r="M436" s="1" t="inlineStr">
        <is>
          <t>No</t>
        </is>
      </c>
      <c r="N436" s="1" t="inlineStr">
        <is>
          <t>Algorithms</t>
        </is>
      </c>
      <c r="O4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36" s="11" t="inlineStr">
        <is>
          <t>To Do</t>
        </is>
      </c>
    </row>
    <row r="437" ht="15.75" customHeight="1" s="12">
      <c r="A437" s="1" t="n">
        <v>646</v>
      </c>
      <c r="B437" s="3">
        <f>HYPERLINK("https://leetcode.com/problems/maximum-length-of-pair-chain/", "Maximum Length of Pair Chain")</f>
        <v/>
      </c>
      <c r="C437" s="1" t="n">
        <v>4923</v>
      </c>
      <c r="D437" s="1" t="n">
        <v>136</v>
      </c>
      <c r="E437" s="4">
        <f>IF(INDEX(C:C, ROW())+INDEX(D:D, ROW())=0, 0, INDEX(C:C, ROW())/(INDEX(C:C, ROW())+INDEX(D:D, ROW())))</f>
        <v/>
      </c>
      <c r="F437" s="1" t="inlineStr">
        <is>
          <t>Array, Dynamic Programming, Greedy, Sorting</t>
        </is>
      </c>
      <c r="G437" s="1" t="inlineStr">
        <is>
          <t>Medium</t>
        </is>
      </c>
      <c r="H437" s="1" t="n">
        <v>314628</v>
      </c>
      <c r="I437" s="1" t="n">
        <v>509722</v>
      </c>
      <c r="J437" s="9" t="n">
        <v>0.617</v>
      </c>
      <c r="K437" s="1" t="inlineStr">
        <is>
          <t>Yes</t>
        </is>
      </c>
      <c r="L437" s="1" t="inlineStr">
        <is>
          <t>Yes</t>
        </is>
      </c>
      <c r="M437" s="1" t="inlineStr">
        <is>
          <t>No</t>
        </is>
      </c>
      <c r="N437" s="1" t="inlineStr">
        <is>
          <t>Algorithms</t>
        </is>
      </c>
      <c r="O4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37" s="11" t="inlineStr">
        <is>
          <t>To Do</t>
        </is>
      </c>
    </row>
    <row r="438" ht="15.75" customHeight="1" s="12">
      <c r="A438" s="1" t="n">
        <v>1027</v>
      </c>
      <c r="B438" s="3">
        <f>HYPERLINK("https://leetcode.com/problems/longest-arithmetic-subsequence/", "Longest Arithmetic Subsequence")</f>
        <v/>
      </c>
      <c r="C438" s="1" t="n">
        <v>4920</v>
      </c>
      <c r="D438" s="1" t="n">
        <v>220</v>
      </c>
      <c r="E438" s="4">
        <f>IF(INDEX(C:C, ROW())+INDEX(D:D, ROW())=0, 0, INDEX(C:C, ROW())/(INDEX(C:C, ROW())+INDEX(D:D, ROW())))</f>
        <v/>
      </c>
      <c r="F438" s="1" t="inlineStr">
        <is>
          <t>Array, Hash Table, Binary Search, Dynamic Programming</t>
        </is>
      </c>
      <c r="G438" s="1" t="inlineStr">
        <is>
          <t>Medium</t>
        </is>
      </c>
      <c r="H438" s="1" t="n">
        <v>213018</v>
      </c>
      <c r="I438" s="1" t="n">
        <v>426386</v>
      </c>
      <c r="J438" s="9" t="n">
        <v>0.5</v>
      </c>
      <c r="K438" s="1" t="inlineStr">
        <is>
          <t>Yes</t>
        </is>
      </c>
      <c r="L438" s="1" t="inlineStr">
        <is>
          <t>Yes</t>
        </is>
      </c>
      <c r="M438" s="1" t="inlineStr">
        <is>
          <t>No</t>
        </is>
      </c>
      <c r="N438" s="1" t="inlineStr">
        <is>
          <t>Algorithms</t>
        </is>
      </c>
      <c r="O4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38" s="11" t="inlineStr">
        <is>
          <t>To Do</t>
        </is>
      </c>
    </row>
    <row r="439" ht="15.75" customHeight="1" s="12">
      <c r="A439" s="1" t="n">
        <v>1672</v>
      </c>
      <c r="B439" s="3">
        <f>HYPERLINK("https://leetcode.com/problems/richest-customer-wealth/", "Richest Customer Wealth")</f>
        <v/>
      </c>
      <c r="C439" s="1" t="n">
        <v>4898</v>
      </c>
      <c r="D439" s="1" t="n">
        <v>390</v>
      </c>
      <c r="E439" s="4">
        <f>IF(INDEX(C:C, ROW())+INDEX(D:D, ROW())=0, 0, INDEX(C:C, ROW())/(INDEX(C:C, ROW())+INDEX(D:D, ROW())))</f>
        <v/>
      </c>
      <c r="F439" s="1" t="inlineStr">
        <is>
          <t>Array, Matrix</t>
        </is>
      </c>
      <c r="G439" s="1" t="inlineStr">
        <is>
          <t>Easy</t>
        </is>
      </c>
      <c r="H439" s="1" t="n">
        <v>1233470</v>
      </c>
      <c r="I439" s="1" t="n">
        <v>1390789</v>
      </c>
      <c r="J439" s="9" t="n">
        <v>0.887</v>
      </c>
      <c r="K439" s="1" t="inlineStr">
        <is>
          <t>Yes</t>
        </is>
      </c>
      <c r="L439" s="1" t="inlineStr">
        <is>
          <t>Yes</t>
        </is>
      </c>
      <c r="M439" s="1" t="inlineStr">
        <is>
          <t>Yes</t>
        </is>
      </c>
      <c r="N439" s="1" t="inlineStr">
        <is>
          <t>Algorithms</t>
        </is>
      </c>
      <c r="O4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39" s="13" t="inlineStr">
        <is>
          <t>Done</t>
        </is>
      </c>
    </row>
    <row r="440" ht="15.75" customHeight="1" s="12">
      <c r="A440" s="1" t="n">
        <v>930</v>
      </c>
      <c r="B440" s="3">
        <f>HYPERLINK("https://leetcode.com/problems/binary-subarrays-with-sum/", "Binary Subarrays With Sum")</f>
        <v/>
      </c>
      <c r="C440" s="1" t="n">
        <v>4897</v>
      </c>
      <c r="D440" s="1" t="n">
        <v>169</v>
      </c>
      <c r="E440" s="4">
        <f>IF(INDEX(C:C, ROW())+INDEX(D:D, ROW())=0, 0, INDEX(C:C, ROW())/(INDEX(C:C, ROW())+INDEX(D:D, ROW())))</f>
        <v/>
      </c>
      <c r="F440" s="1" t="inlineStr">
        <is>
          <t>Array, Hash Table, Sliding Window, Prefix Sum</t>
        </is>
      </c>
      <c r="G440" s="1" t="inlineStr">
        <is>
          <t>Medium</t>
        </is>
      </c>
      <c r="H440" s="1" t="n">
        <v>520362</v>
      </c>
      <c r="I440" s="1" t="n">
        <v>756835</v>
      </c>
      <c r="J440" s="9" t="n">
        <v>0.6879999999999999</v>
      </c>
      <c r="K440" s="1" t="inlineStr">
        <is>
          <t>Yes</t>
        </is>
      </c>
      <c r="L440" s="1" t="inlineStr">
        <is>
          <t>Yes</t>
        </is>
      </c>
      <c r="M440" s="1" t="inlineStr">
        <is>
          <t>No</t>
        </is>
      </c>
      <c r="N440" s="1" t="inlineStr">
        <is>
          <t>Algorithms</t>
        </is>
      </c>
      <c r="O4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40" s="11" t="inlineStr">
        <is>
          <t>To Do</t>
        </is>
      </c>
    </row>
    <row r="441" ht="15.75" customHeight="1" s="12">
      <c r="A441" s="1" t="n">
        <v>871</v>
      </c>
      <c r="B441" s="3">
        <f>HYPERLINK("https://leetcode.com/problems/minimum-number-of-refueling-stops/", "Minimum Number of Refueling Stops")</f>
        <v/>
      </c>
      <c r="C441" s="1" t="n">
        <v>4884</v>
      </c>
      <c r="D441" s="1" t="n">
        <v>94</v>
      </c>
      <c r="E441" s="4">
        <f>IF(INDEX(C:C, ROW())+INDEX(D:D, ROW())=0, 0, INDEX(C:C, ROW())/(INDEX(C:C, ROW())+INDEX(D:D, ROW())))</f>
        <v/>
      </c>
      <c r="F441" s="1" t="inlineStr">
        <is>
          <t>Array, Dynamic Programming, Greedy, Heap (Priority Queue)</t>
        </is>
      </c>
      <c r="G441" s="1" t="inlineStr">
        <is>
          <t>Hard</t>
        </is>
      </c>
      <c r="H441" s="1" t="n">
        <v>166545</v>
      </c>
      <c r="I441" s="1" t="n">
        <v>402718</v>
      </c>
      <c r="J441" s="9" t="n">
        <v>0.414</v>
      </c>
      <c r="K441" s="1" t="inlineStr">
        <is>
          <t>Yes</t>
        </is>
      </c>
      <c r="L441" s="1" t="inlineStr">
        <is>
          <t>Yes</t>
        </is>
      </c>
      <c r="M441" s="1" t="inlineStr">
        <is>
          <t>No</t>
        </is>
      </c>
      <c r="N441" s="1" t="inlineStr">
        <is>
          <t>Algorithms</t>
        </is>
      </c>
      <c r="O4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41" s="11" t="inlineStr">
        <is>
          <t>To Do</t>
        </is>
      </c>
    </row>
    <row r="442" ht="15.75" customHeight="1" s="12">
      <c r="A442" s="1" t="n">
        <v>1029</v>
      </c>
      <c r="B442" s="3">
        <f>HYPERLINK("https://leetcode.com/problems/two-city-scheduling/", "Two City Scheduling")</f>
        <v/>
      </c>
      <c r="C442" s="1" t="n">
        <v>4883</v>
      </c>
      <c r="D442" s="1" t="n">
        <v>367</v>
      </c>
      <c r="E442" s="4">
        <f>IF(INDEX(C:C, ROW())+INDEX(D:D, ROW())=0, 0, INDEX(C:C, ROW())/(INDEX(C:C, ROW())+INDEX(D:D, ROW())))</f>
        <v/>
      </c>
      <c r="F442" s="1" t="inlineStr">
        <is>
          <t>Array, Greedy, Sorting</t>
        </is>
      </c>
      <c r="G442" s="1" t="inlineStr">
        <is>
          <t>Medium</t>
        </is>
      </c>
      <c r="H442" s="1" t="n">
        <v>287592</v>
      </c>
      <c r="I442" s="1" t="n">
        <v>419779</v>
      </c>
      <c r="J442" s="9" t="n">
        <v>0.6850000000000001</v>
      </c>
      <c r="K442" s="1" t="inlineStr">
        <is>
          <t>Yes</t>
        </is>
      </c>
      <c r="L442" s="1" t="inlineStr">
        <is>
          <t>Yes</t>
        </is>
      </c>
      <c r="M442" s="1" t="inlineStr">
        <is>
          <t>No</t>
        </is>
      </c>
      <c r="N442" s="1" t="inlineStr">
        <is>
          <t>Algorithms</t>
        </is>
      </c>
      <c r="O4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42" s="11" t="inlineStr">
        <is>
          <t>To Do</t>
        </is>
      </c>
    </row>
    <row r="443" ht="15.75" customHeight="1" s="12">
      <c r="A443" s="1" t="n">
        <v>1293</v>
      </c>
      <c r="B443" s="3">
        <f>HYPERLINK("https://leetcode.com/problems/shortest-path-in-a-grid-with-obstacles-elimination/", "Shortest Path in a Grid with Obstacles Elimination")</f>
        <v/>
      </c>
      <c r="C443" s="1" t="n">
        <v>4855</v>
      </c>
      <c r="D443" s="1" t="n">
        <v>91</v>
      </c>
      <c r="E443" s="4">
        <f>IF(INDEX(C:C, ROW())+INDEX(D:D, ROW())=0, 0, INDEX(C:C, ROW())/(INDEX(C:C, ROW())+INDEX(D:D, ROW())))</f>
        <v/>
      </c>
      <c r="F443" s="1" t="inlineStr">
        <is>
          <t>Array, Breadth-First Search, Matrix</t>
        </is>
      </c>
      <c r="G443" s="1" t="inlineStr">
        <is>
          <t>Hard</t>
        </is>
      </c>
      <c r="H443" s="1" t="n">
        <v>275516</v>
      </c>
      <c r="I443" s="1" t="n">
        <v>595639</v>
      </c>
      <c r="J443" s="9" t="n">
        <v>0.463</v>
      </c>
      <c r="K443" s="1" t="inlineStr">
        <is>
          <t>Yes</t>
        </is>
      </c>
      <c r="L443" s="1" t="inlineStr">
        <is>
          <t>Yes</t>
        </is>
      </c>
      <c r="M443" s="1" t="inlineStr">
        <is>
          <t>No</t>
        </is>
      </c>
      <c r="N443" s="1" t="inlineStr">
        <is>
          <t>Algorithms</t>
        </is>
      </c>
      <c r="O4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43" s="11" t="inlineStr">
        <is>
          <t>To Do</t>
        </is>
      </c>
    </row>
    <row r="444" ht="15.75" customHeight="1" s="12">
      <c r="A444" s="1" t="n">
        <v>1094</v>
      </c>
      <c r="B444" s="3">
        <f>HYPERLINK("https://leetcode.com/problems/car-pooling/", "Car Pooling")</f>
        <v/>
      </c>
      <c r="C444" s="1" t="n">
        <v>4854</v>
      </c>
      <c r="D444" s="1" t="n">
        <v>126</v>
      </c>
      <c r="E444" s="4">
        <f>IF(INDEX(C:C, ROW())+INDEX(D:D, ROW())=0, 0, INDEX(C:C, ROW())/(INDEX(C:C, ROW())+INDEX(D:D, ROW())))</f>
        <v/>
      </c>
      <c r="F444" s="1" t="inlineStr">
        <is>
          <t>Array, Sorting, Heap (Priority Queue), Simulation, Prefix Sum</t>
        </is>
      </c>
      <c r="G444" s="1" t="inlineStr">
        <is>
          <t>Medium</t>
        </is>
      </c>
      <c r="H444" s="1" t="n">
        <v>326650</v>
      </c>
      <c r="I444" s="1" t="n">
        <v>579956</v>
      </c>
      <c r="J444" s="9" t="n">
        <v>0.5629999999999999</v>
      </c>
      <c r="K444" s="1" t="inlineStr">
        <is>
          <t>Yes</t>
        </is>
      </c>
      <c r="L444" s="1" t="inlineStr">
        <is>
          <t>Yes</t>
        </is>
      </c>
      <c r="M444" s="1" t="inlineStr">
        <is>
          <t>No</t>
        </is>
      </c>
      <c r="N444" s="1" t="inlineStr">
        <is>
          <t>Algorithms</t>
        </is>
      </c>
      <c r="O4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44" s="11" t="inlineStr">
        <is>
          <t>To Do</t>
        </is>
      </c>
    </row>
    <row r="445" ht="15.75" customHeight="1" s="12">
      <c r="A445" s="1" t="n">
        <v>1547</v>
      </c>
      <c r="B445" s="3">
        <f>HYPERLINK("https://leetcode.com/problems/minimum-cost-to-cut-a-stick/", "Minimum Cost to Cut a Stick")</f>
        <v/>
      </c>
      <c r="C445" s="1" t="n">
        <v>4850</v>
      </c>
      <c r="D445" s="1" t="n">
        <v>160</v>
      </c>
      <c r="E445" s="4">
        <f>IF(INDEX(C:C, ROW())+INDEX(D:D, ROW())=0, 0, INDEX(C:C, ROW())/(INDEX(C:C, ROW())+INDEX(D:D, ROW())))</f>
        <v/>
      </c>
      <c r="F445" s="1" t="inlineStr">
        <is>
          <t>Array, Dynamic Programming, Sorting</t>
        </is>
      </c>
      <c r="G445" s="1" t="inlineStr">
        <is>
          <t>Hard</t>
        </is>
      </c>
      <c r="H445" s="1" t="n">
        <v>228632</v>
      </c>
      <c r="I445" s="1" t="n">
        <v>363023</v>
      </c>
      <c r="J445" s="9" t="n">
        <v>0.63</v>
      </c>
      <c r="K445" s="1" t="inlineStr">
        <is>
          <t>Yes</t>
        </is>
      </c>
      <c r="L445" s="1" t="inlineStr">
        <is>
          <t>Yes</t>
        </is>
      </c>
      <c r="M445" s="1" t="inlineStr">
        <is>
          <t>No</t>
        </is>
      </c>
      <c r="N445" s="1" t="inlineStr">
        <is>
          <t>Algorithms</t>
        </is>
      </c>
      <c r="O4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45" s="11" t="inlineStr">
        <is>
          <t>To Do</t>
        </is>
      </c>
    </row>
    <row r="446" ht="15.75" customHeight="1" s="12">
      <c r="A446" s="1" t="n">
        <v>784</v>
      </c>
      <c r="B446" s="3">
        <f>HYPERLINK("https://leetcode.com/problems/letter-case-permutation/", "Letter Case Permutation")</f>
        <v/>
      </c>
      <c r="C446" s="1" t="n">
        <v>4845</v>
      </c>
      <c r="D446" s="1" t="n">
        <v>161</v>
      </c>
      <c r="E446" s="4">
        <f>IF(INDEX(C:C, ROW())+INDEX(D:D, ROW())=0, 0, INDEX(C:C, ROW())/(INDEX(C:C, ROW())+INDEX(D:D, ROW())))</f>
        <v/>
      </c>
      <c r="F446" s="1" t="inlineStr">
        <is>
          <t>String, Backtracking, Bit Manipulation</t>
        </is>
      </c>
      <c r="G446" s="1" t="inlineStr">
        <is>
          <t>Medium</t>
        </is>
      </c>
      <c r="H446" s="1" t="n">
        <v>373613</v>
      </c>
      <c r="I446" s="1" t="n">
        <v>492694</v>
      </c>
      <c r="J446" s="9" t="n">
        <v>0.758</v>
      </c>
      <c r="K446" s="1" t="inlineStr">
        <is>
          <t>Yes</t>
        </is>
      </c>
      <c r="L446" s="1" t="inlineStr">
        <is>
          <t>Yes</t>
        </is>
      </c>
      <c r="M446" s="1" t="inlineStr">
        <is>
          <t>No</t>
        </is>
      </c>
      <c r="N446" s="1" t="inlineStr">
        <is>
          <t>Algorithms</t>
        </is>
      </c>
      <c r="O4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46" s="11" t="inlineStr">
        <is>
          <t>To Do</t>
        </is>
      </c>
    </row>
    <row r="447" ht="15.75" customHeight="1" s="12">
      <c r="A447" s="1" t="n">
        <v>1302</v>
      </c>
      <c r="B447" s="3">
        <f>HYPERLINK("https://leetcode.com/problems/deepest-leaves-sum/", "Deepest Leaves Sum")</f>
        <v/>
      </c>
      <c r="C447" s="1" t="n">
        <v>4845</v>
      </c>
      <c r="D447" s="1" t="n">
        <v>127</v>
      </c>
      <c r="E447" s="4">
        <f>IF(INDEX(C:C, ROW())+INDEX(D:D, ROW())=0, 0, INDEX(C:C, ROW())/(INDEX(C:C, ROW())+INDEX(D:D, ROW())))</f>
        <v/>
      </c>
      <c r="F447" s="1" t="inlineStr">
        <is>
          <t>Tree, Depth-First Search, Breadth-First Search, Binary Tree</t>
        </is>
      </c>
      <c r="G447" s="1" t="inlineStr">
        <is>
          <t>Medium</t>
        </is>
      </c>
      <c r="H447" s="1" t="n">
        <v>407046</v>
      </c>
      <c r="I447" s="1" t="n">
        <v>470411</v>
      </c>
      <c r="J447" s="9" t="n">
        <v>0.865</v>
      </c>
      <c r="K447" s="1" t="inlineStr">
        <is>
          <t>Yes</t>
        </is>
      </c>
      <c r="L447" s="1" t="inlineStr">
        <is>
          <t>Yes</t>
        </is>
      </c>
      <c r="M447" s="1" t="inlineStr">
        <is>
          <t>No</t>
        </is>
      </c>
      <c r="N447" s="1" t="inlineStr">
        <is>
          <t>Algorithms</t>
        </is>
      </c>
      <c r="O4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47" s="11" t="inlineStr">
        <is>
          <t>To Do</t>
        </is>
      </c>
    </row>
    <row r="448" ht="15.75" customHeight="1" s="12">
      <c r="A448" s="1" t="n">
        <v>1137</v>
      </c>
      <c r="B448" s="3">
        <f>HYPERLINK("https://leetcode.com/problems/n-th-tribonacci-number/", "N-th Tribonacci Number")</f>
        <v/>
      </c>
      <c r="C448" s="1" t="n">
        <v>4840</v>
      </c>
      <c r="D448" s="1" t="n">
        <v>213</v>
      </c>
      <c r="E448" s="4">
        <f>IF(INDEX(C:C, ROW())+INDEX(D:D, ROW())=0, 0, INDEX(C:C, ROW())/(INDEX(C:C, ROW())+INDEX(D:D, ROW())))</f>
        <v/>
      </c>
      <c r="F448" s="1" t="inlineStr">
        <is>
          <t>Math, Dynamic Programming, Memoization</t>
        </is>
      </c>
      <c r="G448" s="1" t="inlineStr">
        <is>
          <t>Easy</t>
        </is>
      </c>
      <c r="H448" s="1" t="n">
        <v>1085839</v>
      </c>
      <c r="I448" s="1" t="n">
        <v>1717857</v>
      </c>
      <c r="J448" s="9" t="n">
        <v>0.632</v>
      </c>
      <c r="K448" s="1" t="inlineStr">
        <is>
          <t>Yes</t>
        </is>
      </c>
      <c r="L448" s="1" t="inlineStr">
        <is>
          <t>Yes</t>
        </is>
      </c>
      <c r="M448" s="1" t="inlineStr">
        <is>
          <t>No</t>
        </is>
      </c>
      <c r="N448" s="1" t="inlineStr">
        <is>
          <t>Algorithms</t>
        </is>
      </c>
      <c r="O4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48" s="13" t="inlineStr">
        <is>
          <t>Done</t>
        </is>
      </c>
    </row>
    <row r="449" ht="15.75" customHeight="1" s="12">
      <c r="A449" s="1" t="n">
        <v>1493</v>
      </c>
      <c r="B449" s="3">
        <f>HYPERLINK("https://leetcode.com/problems/longest-subarray-of-1s-after-deleting-one-element/", "Longest Subarray of 1's After Deleting One Element")</f>
        <v/>
      </c>
      <c r="C449" s="1" t="n">
        <v>4833</v>
      </c>
      <c r="D449" s="1" t="n">
        <v>111</v>
      </c>
      <c r="E449" s="4">
        <f>IF(INDEX(C:C, ROW())+INDEX(D:D, ROW())=0, 0, INDEX(C:C, ROW())/(INDEX(C:C, ROW())+INDEX(D:D, ROW())))</f>
        <v/>
      </c>
      <c r="F449" s="1" t="inlineStr">
        <is>
          <t>Array, Dynamic Programming, Sliding Window</t>
        </is>
      </c>
      <c r="G449" s="1" t="inlineStr">
        <is>
          <t>Medium</t>
        </is>
      </c>
      <c r="H449" s="1" t="n">
        <v>645406</v>
      </c>
      <c r="I449" s="1" t="n">
        <v>906868</v>
      </c>
      <c r="J449" s="9" t="n">
        <v>0.712</v>
      </c>
      <c r="K449" s="1" t="inlineStr">
        <is>
          <t>Yes</t>
        </is>
      </c>
      <c r="L449" s="1" t="inlineStr">
        <is>
          <t>Yes</t>
        </is>
      </c>
      <c r="M449" s="1" t="inlineStr">
        <is>
          <t>No</t>
        </is>
      </c>
      <c r="N449" s="1" t="inlineStr">
        <is>
          <t>Algorithms</t>
        </is>
      </c>
      <c r="O4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49" s="11" t="inlineStr">
        <is>
          <t>To Do</t>
        </is>
      </c>
    </row>
    <row r="450" ht="15.75" customHeight="1" s="12">
      <c r="A450" s="1" t="n">
        <v>729</v>
      </c>
      <c r="B450" s="3">
        <f>HYPERLINK("https://leetcode.com/problems/my-calendar-i/", "My Calendar I")</f>
        <v/>
      </c>
      <c r="C450" s="1" t="n">
        <v>4826</v>
      </c>
      <c r="D450" s="1" t="n">
        <v>142</v>
      </c>
      <c r="E450" s="4">
        <f>IF(INDEX(C:C, ROW())+INDEX(D:D, ROW())=0, 0, INDEX(C:C, ROW())/(INDEX(C:C, ROW())+INDEX(D:D, ROW())))</f>
        <v/>
      </c>
      <c r="F450" s="1" t="inlineStr">
        <is>
          <t>Array, Binary Search, Design, Segment Tree, Ordered Set</t>
        </is>
      </c>
      <c r="G450" s="1" t="inlineStr">
        <is>
          <t>Medium</t>
        </is>
      </c>
      <c r="H450" s="1" t="n">
        <v>461167</v>
      </c>
      <c r="I450" s="1" t="n">
        <v>791099</v>
      </c>
      <c r="J450" s="9" t="n">
        <v>0.583</v>
      </c>
      <c r="K450" s="1" t="inlineStr">
        <is>
          <t>Yes</t>
        </is>
      </c>
      <c r="L450" s="1" t="inlineStr">
        <is>
          <t>Yes</t>
        </is>
      </c>
      <c r="M450" s="1" t="inlineStr">
        <is>
          <t>No</t>
        </is>
      </c>
      <c r="N450" s="1" t="inlineStr">
        <is>
          <t>Algorithms</t>
        </is>
      </c>
      <c r="O4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50" s="11" t="inlineStr">
        <is>
          <t>To Do</t>
        </is>
      </c>
    </row>
    <row r="451" ht="15.75" customHeight="1" s="12">
      <c r="A451" s="1" t="n">
        <v>1110</v>
      </c>
      <c r="B451" s="3">
        <f>HYPERLINK("https://leetcode.com/problems/delete-nodes-and-return-forest/", "Delete Nodes And Return Forest")</f>
        <v/>
      </c>
      <c r="C451" s="1" t="n">
        <v>4810</v>
      </c>
      <c r="D451" s="1" t="n">
        <v>145</v>
      </c>
      <c r="E451" s="4">
        <f>IF(INDEX(C:C, ROW())+INDEX(D:D, ROW())=0, 0, INDEX(C:C, ROW())/(INDEX(C:C, ROW())+INDEX(D:D, ROW())))</f>
        <v/>
      </c>
      <c r="F451" s="1" t="inlineStr">
        <is>
          <t>Array, Hash Table, Tree, Depth-First Search, Binary Tree</t>
        </is>
      </c>
      <c r="G451" s="1" t="inlineStr">
        <is>
          <t>Medium</t>
        </is>
      </c>
      <c r="H451" s="1" t="n">
        <v>394399</v>
      </c>
      <c r="I451" s="1" t="n">
        <v>544222</v>
      </c>
      <c r="J451" s="9" t="n">
        <v>0.725</v>
      </c>
      <c r="K451" s="1" t="inlineStr">
        <is>
          <t>Yes</t>
        </is>
      </c>
      <c r="L451" s="1" t="inlineStr">
        <is>
          <t>Yes</t>
        </is>
      </c>
      <c r="M451" s="1" t="inlineStr">
        <is>
          <t>No</t>
        </is>
      </c>
      <c r="N451" s="1" t="inlineStr">
        <is>
          <t>Algorithms</t>
        </is>
      </c>
      <c r="O4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51" s="11" t="inlineStr">
        <is>
          <t>To Do</t>
        </is>
      </c>
    </row>
    <row r="452" ht="15.75" customHeight="1" s="12">
      <c r="A452" s="1" t="n">
        <v>1254</v>
      </c>
      <c r="B452" s="3">
        <f>HYPERLINK("https://leetcode.com/problems/number-of-closed-islands/", "Number of Closed Islands")</f>
        <v/>
      </c>
      <c r="C452" s="1" t="n">
        <v>4771</v>
      </c>
      <c r="D452" s="1" t="n">
        <v>192</v>
      </c>
      <c r="E452" s="4">
        <f>IF(INDEX(C:C, ROW())+INDEX(D:D, ROW())=0, 0, INDEX(C:C, ROW())/(INDEX(C:C, ROW())+INDEX(D:D, ROW())))</f>
        <v/>
      </c>
      <c r="F452" s="1" t="inlineStr">
        <is>
          <t>Array, Depth-First Search, Breadth-First Search, Union-Find, Matrix</t>
        </is>
      </c>
      <c r="G452" s="1" t="inlineStr">
        <is>
          <t>Medium</t>
        </is>
      </c>
      <c r="H452" s="1" t="n">
        <v>281354</v>
      </c>
      <c r="I452" s="1" t="n">
        <v>419355</v>
      </c>
      <c r="J452" s="9" t="n">
        <v>0.671</v>
      </c>
      <c r="K452" s="1" t="inlineStr">
        <is>
          <t>Yes</t>
        </is>
      </c>
      <c r="L452" s="1" t="inlineStr">
        <is>
          <t>Yes</t>
        </is>
      </c>
      <c r="M452" s="1" t="inlineStr">
        <is>
          <t>No</t>
        </is>
      </c>
      <c r="N452" s="1" t="inlineStr">
        <is>
          <t>Algorithms</t>
        </is>
      </c>
      <c r="O4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52" s="11" t="inlineStr">
        <is>
          <t>To Do</t>
        </is>
      </c>
    </row>
    <row r="453" ht="15.75" customHeight="1" s="12">
      <c r="A453" s="1" t="n">
        <v>530</v>
      </c>
      <c r="B453" s="3">
        <f>HYPERLINK("https://leetcode.com/problems/minimum-absolute-difference-in-bst/", "Minimum Absolute Difference in BST")</f>
        <v/>
      </c>
      <c r="C453" s="1" t="n">
        <v>4763</v>
      </c>
      <c r="D453" s="1" t="n">
        <v>277</v>
      </c>
      <c r="E453" s="4">
        <f>IF(INDEX(C:C, ROW())+INDEX(D:D, ROW())=0, 0, INDEX(C:C, ROW())/(INDEX(C:C, ROW())+INDEX(D:D, ROW())))</f>
        <v/>
      </c>
      <c r="F453" s="1" t="inlineStr">
        <is>
          <t>Tree, Depth-First Search, Breadth-First Search, Binary Search Tree, Binary Tree</t>
        </is>
      </c>
      <c r="G453" s="1" t="inlineStr">
        <is>
          <t>Easy</t>
        </is>
      </c>
      <c r="H453" s="1" t="n">
        <v>616648</v>
      </c>
      <c r="I453" s="1" t="n">
        <v>1038646</v>
      </c>
      <c r="J453" s="9" t="n">
        <v>0.594</v>
      </c>
      <c r="K453" s="1" t="inlineStr">
        <is>
          <t>Yes</t>
        </is>
      </c>
      <c r="L453" s="1" t="inlineStr">
        <is>
          <t>Yes</t>
        </is>
      </c>
      <c r="M453" s="1" t="inlineStr">
        <is>
          <t>No</t>
        </is>
      </c>
      <c r="N453" s="1" t="inlineStr">
        <is>
          <t>Algorithms</t>
        </is>
      </c>
      <c r="O4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53" s="13" t="inlineStr">
        <is>
          <t>Done</t>
        </is>
      </c>
    </row>
    <row r="454" ht="15.75" customHeight="1" s="12">
      <c r="A454" s="1" t="n">
        <v>725</v>
      </c>
      <c r="B454" s="3">
        <f>HYPERLINK("https://leetcode.com/problems/split-linked-list-in-parts/", "Split Linked List in Parts")</f>
        <v/>
      </c>
      <c r="C454" s="1" t="n">
        <v>4740</v>
      </c>
      <c r="D454" s="1" t="n">
        <v>374</v>
      </c>
      <c r="E454" s="4">
        <f>IF(INDEX(C:C, ROW())+INDEX(D:D, ROW())=0, 0, INDEX(C:C, ROW())/(INDEX(C:C, ROW())+INDEX(D:D, ROW())))</f>
        <v/>
      </c>
      <c r="F454" s="1" t="inlineStr">
        <is>
          <t>Linked List</t>
        </is>
      </c>
      <c r="G454" s="1" t="inlineStr">
        <is>
          <t>Medium</t>
        </is>
      </c>
      <c r="H454" s="1" t="n">
        <v>356931</v>
      </c>
      <c r="I454" s="1" t="n">
        <v>505915</v>
      </c>
      <c r="J454" s="9" t="n">
        <v>0.706</v>
      </c>
      <c r="K454" s="1" t="inlineStr">
        <is>
          <t>Yes</t>
        </is>
      </c>
      <c r="L454" s="1" t="inlineStr">
        <is>
          <t>Yes</t>
        </is>
      </c>
      <c r="M454" s="1" t="inlineStr">
        <is>
          <t>No</t>
        </is>
      </c>
      <c r="N454" s="1" t="inlineStr">
        <is>
          <t>Algorithms</t>
        </is>
      </c>
      <c r="O4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54" s="11" t="inlineStr">
        <is>
          <t>To Do</t>
        </is>
      </c>
    </row>
    <row r="455" ht="15.75" customHeight="1" s="12">
      <c r="A455" s="1" t="n">
        <v>355</v>
      </c>
      <c r="B455" s="3">
        <f>HYPERLINK("https://leetcode.com/problems/design-twitter/", "Design Twitter")</f>
        <v/>
      </c>
      <c r="C455" s="1" t="n">
        <v>4716</v>
      </c>
      <c r="D455" s="1" t="n">
        <v>663</v>
      </c>
      <c r="E455" s="4">
        <f>IF(INDEX(C:C, ROW())+INDEX(D:D, ROW())=0, 0, INDEX(C:C, ROW())/(INDEX(C:C, ROW())+INDEX(D:D, ROW())))</f>
        <v/>
      </c>
      <c r="F455" s="1" t="inlineStr">
        <is>
          <t>Hash Table, Linked List, Design, Heap (Priority Queue)</t>
        </is>
      </c>
      <c r="G455" s="1" t="inlineStr">
        <is>
          <t>Medium</t>
        </is>
      </c>
      <c r="H455" s="1" t="n">
        <v>343594</v>
      </c>
      <c r="I455" s="1" t="n">
        <v>770350</v>
      </c>
      <c r="J455" s="9" t="n">
        <v>0.446</v>
      </c>
      <c r="K455" s="1" t="inlineStr">
        <is>
          <t>Yes</t>
        </is>
      </c>
      <c r="L455" s="1" t="inlineStr">
        <is>
          <t>No</t>
        </is>
      </c>
      <c r="M455" s="1" t="inlineStr">
        <is>
          <t>No</t>
        </is>
      </c>
      <c r="N455" s="1" t="inlineStr">
        <is>
          <t>Algorithms</t>
        </is>
      </c>
      <c r="O4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55" s="11" t="inlineStr">
        <is>
          <t>To Do</t>
        </is>
      </c>
    </row>
    <row r="456" ht="15.75" customHeight="1" s="12">
      <c r="A456" s="1" t="n">
        <v>815</v>
      </c>
      <c r="B456" s="3">
        <f>HYPERLINK("https://leetcode.com/problems/bus-routes/", "Bus Routes")</f>
        <v/>
      </c>
      <c r="C456" s="1" t="n">
        <v>4714</v>
      </c>
      <c r="D456" s="1" t="n">
        <v>136</v>
      </c>
      <c r="E456" s="4">
        <f>IF(INDEX(C:C, ROW())+INDEX(D:D, ROW())=0, 0, INDEX(C:C, ROW())/(INDEX(C:C, ROW())+INDEX(D:D, ROW())))</f>
        <v/>
      </c>
      <c r="F456" s="1" t="inlineStr">
        <is>
          <t>Array, Hash Table, Breadth-First Search</t>
        </is>
      </c>
      <c r="G456" s="1" t="inlineStr">
        <is>
          <t>Hard</t>
        </is>
      </c>
      <c r="H456" s="1" t="n">
        <v>290384</v>
      </c>
      <c r="I456" s="1" t="n">
        <v>614073</v>
      </c>
      <c r="J456" s="9" t="n">
        <v>0.473</v>
      </c>
      <c r="K456" s="1" t="inlineStr">
        <is>
          <t>Yes</t>
        </is>
      </c>
      <c r="L456" s="1" t="inlineStr">
        <is>
          <t>Yes</t>
        </is>
      </c>
      <c r="M456" s="1" t="inlineStr">
        <is>
          <t>No</t>
        </is>
      </c>
      <c r="N456" s="1" t="inlineStr">
        <is>
          <t>Algorithms</t>
        </is>
      </c>
      <c r="O4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56" s="11" t="inlineStr">
        <is>
          <t>To Do</t>
        </is>
      </c>
    </row>
    <row r="457" ht="15.75" customHeight="1" s="12">
      <c r="A457" s="1" t="n">
        <v>371</v>
      </c>
      <c r="B457" s="3">
        <f>HYPERLINK("https://leetcode.com/problems/sum-of-two-integers/", "Sum of Two Integers")</f>
        <v/>
      </c>
      <c r="C457" s="1" t="n">
        <v>4705</v>
      </c>
      <c r="D457" s="1" t="n">
        <v>5885</v>
      </c>
      <c r="E457" s="4">
        <f>IF(INDEX(C:C, ROW())+INDEX(D:D, ROW())=0, 0, INDEX(C:C, ROW())/(INDEX(C:C, ROW())+INDEX(D:D, ROW())))</f>
        <v/>
      </c>
      <c r="F457" s="1" t="inlineStr">
        <is>
          <t>Math, Bit Manipulation</t>
        </is>
      </c>
      <c r="G457" s="1" t="inlineStr">
        <is>
          <t>Medium</t>
        </is>
      </c>
      <c r="H457" s="1" t="n">
        <v>702995</v>
      </c>
      <c r="I457" s="1" t="n">
        <v>1268275</v>
      </c>
      <c r="J457" s="9" t="n">
        <v>0.554</v>
      </c>
      <c r="K457" s="1" t="inlineStr">
        <is>
          <t>Yes</t>
        </is>
      </c>
      <c r="L457" s="1" t="inlineStr">
        <is>
          <t>Yes</t>
        </is>
      </c>
      <c r="M457" s="1" t="inlineStr">
        <is>
          <t>No</t>
        </is>
      </c>
      <c r="N457" s="1" t="inlineStr">
        <is>
          <t>Algorithms</t>
        </is>
      </c>
      <c r="O4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57" s="11" t="inlineStr">
        <is>
          <t>To Do</t>
        </is>
      </c>
    </row>
    <row r="458" ht="15.75" customHeight="1" s="12">
      <c r="A458" s="1" t="n">
        <v>1290</v>
      </c>
      <c r="B458" s="3">
        <f>HYPERLINK("https://leetcode.com/problems/convert-binary-number-in-a-linked-list-to-integer/", "Convert Binary Number in a Linked List to Integer")</f>
        <v/>
      </c>
      <c r="C458" s="1" t="n">
        <v>4695</v>
      </c>
      <c r="D458" s="1" t="n">
        <v>178</v>
      </c>
      <c r="E458" s="4">
        <f>IF(INDEX(C:C, ROW())+INDEX(D:D, ROW())=0, 0, INDEX(C:C, ROW())/(INDEX(C:C, ROW())+INDEX(D:D, ROW())))</f>
        <v/>
      </c>
      <c r="F458" s="1" t="inlineStr">
        <is>
          <t>Linked List, Math</t>
        </is>
      </c>
      <c r="G458" s="1" t="inlineStr">
        <is>
          <t>Easy</t>
        </is>
      </c>
      <c r="H458" s="1" t="n">
        <v>729702</v>
      </c>
      <c r="I458" s="1" t="n">
        <v>886111</v>
      </c>
      <c r="J458" s="9" t="n">
        <v>0.823</v>
      </c>
      <c r="K458" s="1" t="inlineStr">
        <is>
          <t>Yes</t>
        </is>
      </c>
      <c r="L458" s="1" t="inlineStr">
        <is>
          <t>Yes</t>
        </is>
      </c>
      <c r="M458" s="1" t="inlineStr">
        <is>
          <t>No</t>
        </is>
      </c>
      <c r="N458" s="1" t="inlineStr">
        <is>
          <t>Algorithms</t>
        </is>
      </c>
      <c r="O4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58" s="13" t="inlineStr">
        <is>
          <t>Done</t>
        </is>
      </c>
    </row>
    <row r="459" ht="15.75" customHeight="1" s="12">
      <c r="A459" s="1" t="n">
        <v>367</v>
      </c>
      <c r="B459" s="3">
        <f>HYPERLINK("https://leetcode.com/problems/valid-perfect-square/", "Valid Perfect Square")</f>
        <v/>
      </c>
      <c r="C459" s="1" t="n">
        <v>4686</v>
      </c>
      <c r="D459" s="1" t="n">
        <v>338</v>
      </c>
      <c r="E459" s="4">
        <f>IF(INDEX(C:C, ROW())+INDEX(D:D, ROW())=0, 0, INDEX(C:C, ROW())/(INDEX(C:C, ROW())+INDEX(D:D, ROW())))</f>
        <v/>
      </c>
      <c r="F459" s="1" t="inlineStr">
        <is>
          <t>Math, Binary Search</t>
        </is>
      </c>
      <c r="G459" s="1" t="inlineStr">
        <is>
          <t>Easy</t>
        </is>
      </c>
      <c r="H459" s="1" t="n">
        <v>926945</v>
      </c>
      <c r="I459" s="1" t="n">
        <v>2064877</v>
      </c>
      <c r="J459" s="9" t="n">
        <v>0.449</v>
      </c>
      <c r="K459" s="1" t="inlineStr">
        <is>
          <t>Yes</t>
        </is>
      </c>
      <c r="L459" s="1" t="inlineStr">
        <is>
          <t>Yes</t>
        </is>
      </c>
      <c r="M459" s="1" t="inlineStr">
        <is>
          <t>No</t>
        </is>
      </c>
      <c r="N459" s="1" t="inlineStr">
        <is>
          <t>Algorithms</t>
        </is>
      </c>
      <c r="O4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59" s="13" t="inlineStr">
        <is>
          <t>Done</t>
        </is>
      </c>
    </row>
    <row r="460" ht="15.75" customHeight="1" s="12">
      <c r="A460" s="1" t="n">
        <v>269</v>
      </c>
      <c r="B460" s="3">
        <f>HYPERLINK("https://leetcode.com/problems/alien-dictionary/", "Alien Dictionary")</f>
        <v/>
      </c>
      <c r="C460" s="1" t="n">
        <v>4680</v>
      </c>
      <c r="D460" s="1" t="n">
        <v>1039</v>
      </c>
      <c r="E460" s="4">
        <f>IF(INDEX(C:C, ROW())+INDEX(D:D, ROW())=0, 0, INDEX(C:C, ROW())/(INDEX(C:C, ROW())+INDEX(D:D, ROW())))</f>
        <v/>
      </c>
      <c r="F460" s="1" t="inlineStr">
        <is>
          <t>Array, String, Depth-First Search, Breadth-First Search, Graph Theory, Topological Sort</t>
        </is>
      </c>
      <c r="G460" s="1" t="inlineStr">
        <is>
          <t>Hard</t>
        </is>
      </c>
      <c r="H460" s="1" t="n">
        <v>488519</v>
      </c>
      <c r="I460" s="1" t="n">
        <v>1313429</v>
      </c>
      <c r="J460" s="9" t="n">
        <v>0.372</v>
      </c>
      <c r="K460" s="1" t="inlineStr">
        <is>
          <t>No</t>
        </is>
      </c>
      <c r="L460" s="1" t="inlineStr">
        <is>
          <t>Yes</t>
        </is>
      </c>
      <c r="M460" s="1" t="inlineStr">
        <is>
          <t>No</t>
        </is>
      </c>
      <c r="N460" s="1" t="inlineStr">
        <is>
          <t>Algorithms</t>
        </is>
      </c>
      <c r="O4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60" s="11" t="inlineStr">
        <is>
          <t>To Do</t>
        </is>
      </c>
    </row>
    <row r="461" ht="15.75" customHeight="1" s="12">
      <c r="A461" s="1" t="n">
        <v>741</v>
      </c>
      <c r="B461" s="3">
        <f>HYPERLINK("https://leetcode.com/problems/cherry-pickup/", "Cherry Pickup")</f>
        <v/>
      </c>
      <c r="C461" s="1" t="n">
        <v>4680</v>
      </c>
      <c r="D461" s="1" t="n">
        <v>171</v>
      </c>
      <c r="E461" s="4">
        <f>IF(INDEX(C:C, ROW())+INDEX(D:D, ROW())=0, 0, INDEX(C:C, ROW())/(INDEX(C:C, ROW())+INDEX(D:D, ROW())))</f>
        <v/>
      </c>
      <c r="F461" s="1" t="inlineStr">
        <is>
          <t>Array, Dynamic Programming, Matrix</t>
        </is>
      </c>
      <c r="G461" s="1" t="inlineStr">
        <is>
          <t>Hard</t>
        </is>
      </c>
      <c r="H461" s="1" t="n">
        <v>112682</v>
      </c>
      <c r="I461" s="1" t="n">
        <v>285651</v>
      </c>
      <c r="J461" s="9" t="n">
        <v>0.394</v>
      </c>
      <c r="K461" s="1" t="inlineStr">
        <is>
          <t>Yes</t>
        </is>
      </c>
      <c r="L461" s="1" t="inlineStr">
        <is>
          <t>Yes</t>
        </is>
      </c>
      <c r="M461" s="1" t="inlineStr">
        <is>
          <t>No</t>
        </is>
      </c>
      <c r="N461" s="1" t="inlineStr">
        <is>
          <t>Algorithms</t>
        </is>
      </c>
      <c r="O4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61" s="11" t="inlineStr">
        <is>
          <t>To Do</t>
        </is>
      </c>
    </row>
    <row r="462" ht="15.75" customHeight="1" s="12">
      <c r="A462" s="1" t="n">
        <v>814</v>
      </c>
      <c r="B462" s="3">
        <f>HYPERLINK("https://leetcode.com/problems/binary-tree-pruning/", "Binary Tree Pruning")</f>
        <v/>
      </c>
      <c r="C462" s="1" t="n">
        <v>4674</v>
      </c>
      <c r="D462" s="1" t="n">
        <v>122</v>
      </c>
      <c r="E462" s="4">
        <f>IF(INDEX(C:C, ROW())+INDEX(D:D, ROW())=0, 0, INDEX(C:C, ROW())/(INDEX(C:C, ROW())+INDEX(D:D, ROW())))</f>
        <v/>
      </c>
      <c r="F462" s="1" t="inlineStr">
        <is>
          <t>Tree, Depth-First Search, Binary Tree</t>
        </is>
      </c>
      <c r="G462" s="1" t="inlineStr">
        <is>
          <t>Medium</t>
        </is>
      </c>
      <c r="H462" s="1" t="n">
        <v>287914</v>
      </c>
      <c r="I462" s="1" t="n">
        <v>397135</v>
      </c>
      <c r="J462" s="9" t="n">
        <v>0.725</v>
      </c>
      <c r="K462" s="1" t="inlineStr">
        <is>
          <t>Yes</t>
        </is>
      </c>
      <c r="L462" s="1" t="inlineStr">
        <is>
          <t>Yes</t>
        </is>
      </c>
      <c r="M462" s="1" t="inlineStr">
        <is>
          <t>No</t>
        </is>
      </c>
      <c r="N462" s="1" t="inlineStr">
        <is>
          <t>Algorithms</t>
        </is>
      </c>
      <c r="O4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62" s="11" t="inlineStr">
        <is>
          <t>To Do</t>
        </is>
      </c>
    </row>
    <row r="463" ht="15.75" customHeight="1" s="12">
      <c r="A463" s="1" t="n">
        <v>1498</v>
      </c>
      <c r="B463" s="3">
        <f>HYPERLINK("https://leetcode.com/problems/number-of-subsequences-that-satisfy-the-given-sum-condition/", "Number of Subsequences That Satisfy the Given Sum Condition")</f>
        <v/>
      </c>
      <c r="C463" s="1" t="n">
        <v>4671</v>
      </c>
      <c r="D463" s="1" t="n">
        <v>437</v>
      </c>
      <c r="E463" s="4">
        <f>IF(INDEX(C:C, ROW())+INDEX(D:D, ROW())=0, 0, INDEX(C:C, ROW())/(INDEX(C:C, ROW())+INDEX(D:D, ROW())))</f>
        <v/>
      </c>
      <c r="F463" s="1" t="inlineStr">
        <is>
          <t>Array, Two Pointers, Binary Search, Sorting</t>
        </is>
      </c>
      <c r="G463" s="1" t="inlineStr">
        <is>
          <t>Medium</t>
        </is>
      </c>
      <c r="H463" s="1" t="n">
        <v>251291</v>
      </c>
      <c r="I463" s="1" t="n">
        <v>510957</v>
      </c>
      <c r="J463" s="9" t="n">
        <v>0.492</v>
      </c>
      <c r="K463" s="1" t="inlineStr">
        <is>
          <t>Yes</t>
        </is>
      </c>
      <c r="L463" s="1" t="inlineStr">
        <is>
          <t>Yes</t>
        </is>
      </c>
      <c r="M463" s="1" t="inlineStr">
        <is>
          <t>No</t>
        </is>
      </c>
      <c r="N463" s="1" t="inlineStr">
        <is>
          <t>Algorithms</t>
        </is>
      </c>
      <c r="O4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63" s="11" t="inlineStr">
        <is>
          <t>To Do</t>
        </is>
      </c>
    </row>
    <row r="464" ht="15.75" customHeight="1" s="12">
      <c r="A464" s="1" t="n">
        <v>1466</v>
      </c>
      <c r="B464" s="3">
        <f>HYPERLINK("https://leetcode.com/problems/reorder-routes-to-make-all-paths-lead-to-the-city-zero/", "Reorder Routes to Make All Paths Lead to the City Zero")</f>
        <v/>
      </c>
      <c r="C464" s="1" t="n">
        <v>4667</v>
      </c>
      <c r="D464" s="1" t="n">
        <v>150</v>
      </c>
      <c r="E464" s="4">
        <f>IF(INDEX(C:C, ROW())+INDEX(D:D, ROW())=0, 0, INDEX(C:C, ROW())/(INDEX(C:C, ROW())+INDEX(D:D, ROW())))</f>
        <v/>
      </c>
      <c r="F464" s="1" t="inlineStr">
        <is>
          <t>Depth-First Search, Breadth-First Search, Graph Theory</t>
        </is>
      </c>
      <c r="G464" s="1" t="inlineStr">
        <is>
          <t>Medium</t>
        </is>
      </c>
      <c r="H464" s="1" t="n">
        <v>320074</v>
      </c>
      <c r="I464" s="1" t="n">
        <v>486574</v>
      </c>
      <c r="J464" s="9" t="n">
        <v>0.658</v>
      </c>
      <c r="K464" s="1" t="inlineStr">
        <is>
          <t>Yes</t>
        </is>
      </c>
      <c r="L464" s="1" t="inlineStr">
        <is>
          <t>Yes</t>
        </is>
      </c>
      <c r="M464" s="1" t="inlineStr">
        <is>
          <t>No</t>
        </is>
      </c>
      <c r="N464" s="1" t="inlineStr">
        <is>
          <t>Algorithms</t>
        </is>
      </c>
      <c r="O4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64" s="11" t="inlineStr">
        <is>
          <t>To Do</t>
        </is>
      </c>
    </row>
    <row r="465" ht="15.75" customHeight="1" s="12">
      <c r="A465" s="1" t="n">
        <v>696</v>
      </c>
      <c r="B465" s="3">
        <f>HYPERLINK("https://leetcode.com/problems/count-binary-substrings/", "Count Binary Substrings")</f>
        <v/>
      </c>
      <c r="C465" s="1" t="n">
        <v>4648</v>
      </c>
      <c r="D465" s="1" t="n">
        <v>978</v>
      </c>
      <c r="E465" s="4">
        <f>IF(INDEX(C:C, ROW())+INDEX(D:D, ROW())=0, 0, INDEX(C:C, ROW())/(INDEX(C:C, ROW())+INDEX(D:D, ROW())))</f>
        <v/>
      </c>
      <c r="F465" s="1" t="inlineStr">
        <is>
          <t>Two Pointers, String</t>
        </is>
      </c>
      <c r="G465" s="1" t="inlineStr">
        <is>
          <t>Easy</t>
        </is>
      </c>
      <c r="H465" s="1" t="n">
        <v>374034</v>
      </c>
      <c r="I465" s="1" t="n">
        <v>531234</v>
      </c>
      <c r="J465" s="9" t="n">
        <v>0.704</v>
      </c>
      <c r="K465" s="1" t="inlineStr">
        <is>
          <t>Yes</t>
        </is>
      </c>
      <c r="L465" s="1" t="inlineStr">
        <is>
          <t>Yes</t>
        </is>
      </c>
      <c r="M465" s="1" t="inlineStr">
        <is>
          <t>No</t>
        </is>
      </c>
      <c r="N465" s="1" t="inlineStr">
        <is>
          <t>Algorithms</t>
        </is>
      </c>
      <c r="O4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65" s="13" t="inlineStr">
        <is>
          <t>Done</t>
        </is>
      </c>
    </row>
    <row r="466" ht="15.75" customHeight="1" s="12">
      <c r="A466" s="1" t="n">
        <v>847</v>
      </c>
      <c r="B466" s="3">
        <f>HYPERLINK("https://leetcode.com/problems/shortest-path-visiting-all-nodes/", "Shortest Path Visiting All Nodes")</f>
        <v/>
      </c>
      <c r="C466" s="1" t="n">
        <v>4641</v>
      </c>
      <c r="D466" s="1" t="n">
        <v>182</v>
      </c>
      <c r="E466" s="4">
        <f>IF(INDEX(C:C, ROW())+INDEX(D:D, ROW())=0, 0, INDEX(C:C, ROW())/(INDEX(C:C, ROW())+INDEX(D:D, ROW())))</f>
        <v/>
      </c>
      <c r="F466" s="1" t="inlineStr">
        <is>
          <t>Dynamic Programming, Bit Manipulation, Breadth-First Search, Graph Theory, Bitmask</t>
        </is>
      </c>
      <c r="G466" s="1" t="inlineStr">
        <is>
          <t>Hard</t>
        </is>
      </c>
      <c r="H466" s="1" t="n">
        <v>151788</v>
      </c>
      <c r="I466" s="1" t="n">
        <v>230132</v>
      </c>
      <c r="J466" s="9" t="n">
        <v>0.66</v>
      </c>
      <c r="K466" s="1" t="inlineStr">
        <is>
          <t>Yes</t>
        </is>
      </c>
      <c r="L466" s="1" t="inlineStr">
        <is>
          <t>Yes</t>
        </is>
      </c>
      <c r="M466" s="1" t="inlineStr">
        <is>
          <t>No</t>
        </is>
      </c>
      <c r="N466" s="1" t="inlineStr">
        <is>
          <t>Algorithms</t>
        </is>
      </c>
      <c r="O4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66" s="11" t="inlineStr">
        <is>
          <t>To Do</t>
        </is>
      </c>
    </row>
    <row r="467" ht="15.75" customHeight="1" s="12">
      <c r="A467" s="1" t="n">
        <v>1020</v>
      </c>
      <c r="B467" s="3">
        <f>HYPERLINK("https://leetcode.com/problems/number-of-enclaves/", "Number of Enclaves")</f>
        <v/>
      </c>
      <c r="C467" s="1" t="n">
        <v>4638</v>
      </c>
      <c r="D467" s="1" t="n">
        <v>91</v>
      </c>
      <c r="E467" s="4">
        <f>IF(INDEX(C:C, ROW())+INDEX(D:D, ROW())=0, 0, INDEX(C:C, ROW())/(INDEX(C:C, ROW())+INDEX(D:D, ROW())))</f>
        <v/>
      </c>
      <c r="F467" s="1" t="inlineStr">
        <is>
          <t>Array, Depth-First Search, Breadth-First Search, Union-Find, Matrix</t>
        </is>
      </c>
      <c r="G467" s="1" t="inlineStr">
        <is>
          <t>Medium</t>
        </is>
      </c>
      <c r="H467" s="1" t="n">
        <v>416810</v>
      </c>
      <c r="I467" s="1" t="n">
        <v>581368</v>
      </c>
      <c r="J467" s="9" t="n">
        <v>0.717</v>
      </c>
      <c r="K467" s="1" t="inlineStr">
        <is>
          <t>Yes</t>
        </is>
      </c>
      <c r="L467" s="1" t="inlineStr">
        <is>
          <t>Yes</t>
        </is>
      </c>
      <c r="M467" s="1" t="inlineStr">
        <is>
          <t>No</t>
        </is>
      </c>
      <c r="N467" s="1" t="inlineStr">
        <is>
          <t>Algorithms</t>
        </is>
      </c>
      <c r="O4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67" s="11" t="inlineStr">
        <is>
          <t>To Do</t>
        </is>
      </c>
    </row>
    <row r="468" ht="15.75" customHeight="1" s="12">
      <c r="A468" s="1" t="n">
        <v>336</v>
      </c>
      <c r="B468" s="3">
        <f>HYPERLINK("https://leetcode.com/problems/palindrome-pairs/", "Palindrome Pairs")</f>
        <v/>
      </c>
      <c r="C468" s="1" t="n">
        <v>4633</v>
      </c>
      <c r="D468" s="1" t="n">
        <v>480</v>
      </c>
      <c r="E468" s="4">
        <f>IF(INDEX(C:C, ROW())+INDEX(D:D, ROW())=0, 0, INDEX(C:C, ROW())/(INDEX(C:C, ROW())+INDEX(D:D, ROW())))</f>
        <v/>
      </c>
      <c r="F468" s="1" t="inlineStr">
        <is>
          <t>Array, Hash Table, String, Trie, Hash Function</t>
        </is>
      </c>
      <c r="G468" s="1" t="inlineStr">
        <is>
          <t>Hard</t>
        </is>
      </c>
      <c r="H468" s="1" t="n">
        <v>241624</v>
      </c>
      <c r="I468" s="1" t="n">
        <v>649926</v>
      </c>
      <c r="J468" s="9" t="n">
        <v>0.372</v>
      </c>
      <c r="K468" s="1" t="inlineStr">
        <is>
          <t>Yes</t>
        </is>
      </c>
      <c r="L468" s="1" t="inlineStr">
        <is>
          <t>Yes</t>
        </is>
      </c>
      <c r="M468" s="1" t="inlineStr">
        <is>
          <t>No</t>
        </is>
      </c>
      <c r="N468" s="1" t="inlineStr">
        <is>
          <t>Algorithms</t>
        </is>
      </c>
      <c r="O4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68" s="11" t="inlineStr">
        <is>
          <t>To Do</t>
        </is>
      </c>
    </row>
    <row r="469" ht="15.75" customHeight="1" s="12">
      <c r="A469" s="1" t="n">
        <v>778</v>
      </c>
      <c r="B469" s="3">
        <f>HYPERLINK("https://leetcode.com/problems/swim-in-rising-water/", "Swim in Rising Water")</f>
        <v/>
      </c>
      <c r="C469" s="1" t="n">
        <v>4602</v>
      </c>
      <c r="D469" s="1" t="n">
        <v>317</v>
      </c>
      <c r="E469" s="4">
        <f>IF(INDEX(C:C, ROW())+INDEX(D:D, ROW())=0, 0, INDEX(C:C, ROW())/(INDEX(C:C, ROW())+INDEX(D:D, ROW())))</f>
        <v/>
      </c>
      <c r="F469" s="1" t="inlineStr">
        <is>
          <t>Array, Binary Search, Depth-First Search, Breadth-First Search, Union-Find, Heap (Priority Queue), Matrix</t>
        </is>
      </c>
      <c r="G469" s="1" t="inlineStr">
        <is>
          <t>Hard</t>
        </is>
      </c>
      <c r="H469" s="1" t="n">
        <v>378501</v>
      </c>
      <c r="I469" s="1" t="n">
        <v>558430</v>
      </c>
      <c r="J469" s="9" t="n">
        <v>0.678</v>
      </c>
      <c r="K469" s="1" t="inlineStr">
        <is>
          <t>Yes</t>
        </is>
      </c>
      <c r="L469" s="1" t="inlineStr">
        <is>
          <t>Yes</t>
        </is>
      </c>
      <c r="M469" s="1" t="inlineStr">
        <is>
          <t>No</t>
        </is>
      </c>
      <c r="N469" s="1" t="inlineStr">
        <is>
          <t>Algorithms</t>
        </is>
      </c>
      <c r="O4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69" s="11" t="inlineStr">
        <is>
          <t>To Do</t>
        </is>
      </c>
    </row>
    <row r="470" ht="15.75" customHeight="1" s="12">
      <c r="A470" s="1" t="n">
        <v>926</v>
      </c>
      <c r="B470" s="3">
        <f>HYPERLINK("https://leetcode.com/problems/flip-string-to-monotone-increasing/", "Flip String to Monotone Increasing")</f>
        <v/>
      </c>
      <c r="C470" s="1" t="n">
        <v>4593</v>
      </c>
      <c r="D470" s="1" t="n">
        <v>185</v>
      </c>
      <c r="E470" s="4">
        <f>IF(INDEX(C:C, ROW())+INDEX(D:D, ROW())=0, 0, INDEX(C:C, ROW())/(INDEX(C:C, ROW())+INDEX(D:D, ROW())))</f>
        <v/>
      </c>
      <c r="F470" s="1" t="inlineStr">
        <is>
          <t>String, Dynamic Programming</t>
        </is>
      </c>
      <c r="G470" s="1" t="inlineStr">
        <is>
          <t>Medium</t>
        </is>
      </c>
      <c r="H470" s="1" t="n">
        <v>217543</v>
      </c>
      <c r="I470" s="1" t="n">
        <v>351537</v>
      </c>
      <c r="J470" s="9" t="n">
        <v>0.619</v>
      </c>
      <c r="K470" s="1" t="inlineStr">
        <is>
          <t>Yes</t>
        </is>
      </c>
      <c r="L470" s="1" t="inlineStr">
        <is>
          <t>Yes</t>
        </is>
      </c>
      <c r="M470" s="1" t="inlineStr">
        <is>
          <t>No</t>
        </is>
      </c>
      <c r="N470" s="1" t="inlineStr">
        <is>
          <t>Algorithms</t>
        </is>
      </c>
      <c r="O4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70" s="11" t="inlineStr">
        <is>
          <t>To Do</t>
        </is>
      </c>
    </row>
    <row r="471" ht="15.75" customHeight="1" s="12">
      <c r="A471" s="1" t="n">
        <v>659</v>
      </c>
      <c r="B471" s="3">
        <f>HYPERLINK("https://leetcode.com/problems/split-array-into-consecutive-subsequences/", "Split Array into Consecutive Subsequences")</f>
        <v/>
      </c>
      <c r="C471" s="1" t="n">
        <v>4583</v>
      </c>
      <c r="D471" s="1" t="n">
        <v>817</v>
      </c>
      <c r="E471" s="4">
        <f>IF(INDEX(C:C, ROW())+INDEX(D:D, ROW())=0, 0, INDEX(C:C, ROW())/(INDEX(C:C, ROW())+INDEX(D:D, ROW())))</f>
        <v/>
      </c>
      <c r="F471" s="1" t="inlineStr">
        <is>
          <t>Array, Hash Table, Greedy, Heap (Priority Queue)</t>
        </is>
      </c>
      <c r="G471" s="1" t="inlineStr">
        <is>
          <t>Medium</t>
        </is>
      </c>
      <c r="H471" s="1" t="n">
        <v>148931</v>
      </c>
      <c r="I471" s="1" t="n">
        <v>285677</v>
      </c>
      <c r="J471" s="9" t="n">
        <v>0.521</v>
      </c>
      <c r="K471" s="1" t="inlineStr">
        <is>
          <t>Yes</t>
        </is>
      </c>
      <c r="L471" s="1" t="inlineStr">
        <is>
          <t>Yes</t>
        </is>
      </c>
      <c r="M471" s="1" t="inlineStr">
        <is>
          <t>No</t>
        </is>
      </c>
      <c r="N471" s="1" t="inlineStr">
        <is>
          <t>Algorithms</t>
        </is>
      </c>
      <c r="O4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71" s="11" t="inlineStr">
        <is>
          <t>To Do</t>
        </is>
      </c>
    </row>
    <row r="472" ht="15.75" customHeight="1" s="12">
      <c r="A472" s="1" t="n">
        <v>68</v>
      </c>
      <c r="B472" s="3">
        <f>HYPERLINK("https://leetcode.com/problems/text-justification/", "Text Justification")</f>
        <v/>
      </c>
      <c r="C472" s="1" t="n">
        <v>4577</v>
      </c>
      <c r="D472" s="1" t="n">
        <v>5407</v>
      </c>
      <c r="E472" s="4">
        <f>IF(INDEX(C:C, ROW())+INDEX(D:D, ROW())=0, 0, INDEX(C:C, ROW())/(INDEX(C:C, ROW())+INDEX(D:D, ROW())))</f>
        <v/>
      </c>
      <c r="F472" s="1" t="inlineStr">
        <is>
          <t>Array, String, Simulation</t>
        </is>
      </c>
      <c r="G472" s="1" t="inlineStr">
        <is>
          <t>Hard</t>
        </is>
      </c>
      <c r="H472" s="1" t="n">
        <v>653219</v>
      </c>
      <c r="I472" s="1" t="n">
        <v>1279634</v>
      </c>
      <c r="J472" s="9" t="n">
        <v>0.51</v>
      </c>
      <c r="K472" s="1" t="inlineStr">
        <is>
          <t>Yes</t>
        </is>
      </c>
      <c r="L472" s="1" t="inlineStr">
        <is>
          <t>Yes</t>
        </is>
      </c>
      <c r="M472" s="1" t="inlineStr">
        <is>
          <t>No</t>
        </is>
      </c>
      <c r="N472" s="1" t="inlineStr">
        <is>
          <t>Algorithms</t>
        </is>
      </c>
      <c r="O4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72" s="11" t="inlineStr">
        <is>
          <t>To Do</t>
        </is>
      </c>
    </row>
    <row r="473" ht="15.75" customHeight="1" s="12">
      <c r="A473" s="1" t="n">
        <v>214</v>
      </c>
      <c r="B473" s="3">
        <f>HYPERLINK("https://leetcode.com/problems/shortest-palindrome/", "Shortest Palindrome")</f>
        <v/>
      </c>
      <c r="C473" s="1" t="n">
        <v>4572</v>
      </c>
      <c r="D473" s="1" t="n">
        <v>295</v>
      </c>
      <c r="E473" s="4">
        <f>IF(INDEX(C:C, ROW())+INDEX(D:D, ROW())=0, 0, INDEX(C:C, ROW())/(INDEX(C:C, ROW())+INDEX(D:D, ROW())))</f>
        <v/>
      </c>
      <c r="F473" s="1" t="inlineStr">
        <is>
          <t>String, Rolling Hash, String Matching, Hash Function</t>
        </is>
      </c>
      <c r="G473" s="1" t="inlineStr">
        <is>
          <t>Hard</t>
        </is>
      </c>
      <c r="H473" s="1" t="n">
        <v>358706</v>
      </c>
      <c r="I473" s="1" t="n">
        <v>845176</v>
      </c>
      <c r="J473" s="9" t="n">
        <v>0.424</v>
      </c>
      <c r="K473" s="1" t="inlineStr">
        <is>
          <t>Yes</t>
        </is>
      </c>
      <c r="L473" s="1" t="inlineStr">
        <is>
          <t>Yes</t>
        </is>
      </c>
      <c r="M473" s="1" t="inlineStr">
        <is>
          <t>No</t>
        </is>
      </c>
      <c r="N473" s="1" t="inlineStr">
        <is>
          <t>Algorithms</t>
        </is>
      </c>
      <c r="O4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73" s="11" t="inlineStr">
        <is>
          <t>To Do</t>
        </is>
      </c>
    </row>
    <row r="474" ht="15.75" customHeight="1" s="12">
      <c r="A474" s="1" t="n">
        <v>1239</v>
      </c>
      <c r="B474" s="3">
        <f>HYPERLINK("https://leetcode.com/problems/maximum-length-of-a-concatenated-string-with-unique-characters/", "Maximum Length of a Concatenated String with Unique Characters")</f>
        <v/>
      </c>
      <c r="C474" s="1" t="n">
        <v>4572</v>
      </c>
      <c r="D474" s="1" t="n">
        <v>340</v>
      </c>
      <c r="E474" s="4">
        <f>IF(INDEX(C:C, ROW())+INDEX(D:D, ROW())=0, 0, INDEX(C:C, ROW())/(INDEX(C:C, ROW())+INDEX(D:D, ROW())))</f>
        <v/>
      </c>
      <c r="F474" s="1" t="inlineStr">
        <is>
          <t>Array, String, Backtracking, Bit Manipulation</t>
        </is>
      </c>
      <c r="G474" s="1" t="inlineStr">
        <is>
          <t>Medium</t>
        </is>
      </c>
      <c r="H474" s="1" t="n">
        <v>325263</v>
      </c>
      <c r="I474" s="1" t="n">
        <v>594164</v>
      </c>
      <c r="J474" s="9" t="n">
        <v>0.547</v>
      </c>
      <c r="K474" s="1" t="inlineStr">
        <is>
          <t>Yes</t>
        </is>
      </c>
      <c r="L474" s="1" t="inlineStr">
        <is>
          <t>Yes</t>
        </is>
      </c>
      <c r="M474" s="1" t="inlineStr">
        <is>
          <t>Yes</t>
        </is>
      </c>
      <c r="N474" s="1" t="inlineStr">
        <is>
          <t>Algorithms</t>
        </is>
      </c>
      <c r="O4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74" s="11" t="inlineStr">
        <is>
          <t>To Do</t>
        </is>
      </c>
    </row>
    <row r="475" ht="15.75" customHeight="1" s="12">
      <c r="A475" s="1" t="n">
        <v>1038</v>
      </c>
      <c r="B475" s="3">
        <f>HYPERLINK("https://leetcode.com/problems/binary-search-tree-to-greater-sum-tree/", "Binary Search Tree to Greater Sum Tree")</f>
        <v/>
      </c>
      <c r="C475" s="1" t="n">
        <v>4571</v>
      </c>
      <c r="D475" s="1" t="n">
        <v>169</v>
      </c>
      <c r="E475" s="4">
        <f>IF(INDEX(C:C, ROW())+INDEX(D:D, ROW())=0, 0, INDEX(C:C, ROW())/(INDEX(C:C, ROW())+INDEX(D:D, ROW())))</f>
        <v/>
      </c>
      <c r="F475" s="1" t="inlineStr">
        <is>
          <t>Tree, Depth-First Search, Binary Search Tree, Binary Tree</t>
        </is>
      </c>
      <c r="G475" s="1" t="inlineStr">
        <is>
          <t>Medium</t>
        </is>
      </c>
      <c r="H475" s="1" t="n">
        <v>344191</v>
      </c>
      <c r="I475" s="1" t="n">
        <v>389510</v>
      </c>
      <c r="J475" s="9" t="n">
        <v>0.884</v>
      </c>
      <c r="K475" s="1" t="inlineStr">
        <is>
          <t>Yes</t>
        </is>
      </c>
      <c r="L475" s="1" t="inlineStr">
        <is>
          <t>Yes</t>
        </is>
      </c>
      <c r="M475" s="1" t="inlineStr">
        <is>
          <t>No</t>
        </is>
      </c>
      <c r="N475" s="1" t="inlineStr">
        <is>
          <t>Algorithms</t>
        </is>
      </c>
      <c r="O4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75" s="11" t="inlineStr">
        <is>
          <t>To Do</t>
        </is>
      </c>
    </row>
    <row r="476" ht="15.75" customHeight="1" s="12">
      <c r="A476" s="1" t="n">
        <v>958</v>
      </c>
      <c r="B476" s="3">
        <f>HYPERLINK("https://leetcode.com/problems/check-completeness-of-a-binary-tree/", "Check Completeness of a Binary Tree")</f>
        <v/>
      </c>
      <c r="C476" s="1" t="n">
        <v>4553</v>
      </c>
      <c r="D476" s="1" t="n">
        <v>62</v>
      </c>
      <c r="E476" s="4">
        <f>IF(INDEX(C:C, ROW())+INDEX(D:D, ROW())=0, 0, INDEX(C:C, ROW())/(INDEX(C:C, ROW())+INDEX(D:D, ROW())))</f>
        <v/>
      </c>
      <c r="F476" s="1" t="inlineStr">
        <is>
          <t>Tree, Breadth-First Search, Binary Tree</t>
        </is>
      </c>
      <c r="G476" s="1" t="inlineStr">
        <is>
          <t>Medium</t>
        </is>
      </c>
      <c r="H476" s="1" t="n">
        <v>321647</v>
      </c>
      <c r="I476" s="1" t="n">
        <v>543722</v>
      </c>
      <c r="J476" s="9" t="n">
        <v>0.592</v>
      </c>
      <c r="K476" s="1" t="inlineStr">
        <is>
          <t>Yes</t>
        </is>
      </c>
      <c r="L476" s="1" t="inlineStr">
        <is>
          <t>Yes</t>
        </is>
      </c>
      <c r="M476" s="1" t="inlineStr">
        <is>
          <t>No</t>
        </is>
      </c>
      <c r="N476" s="1" t="inlineStr">
        <is>
          <t>Algorithms</t>
        </is>
      </c>
      <c r="O4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76" s="11" t="inlineStr">
        <is>
          <t>To Do</t>
        </is>
      </c>
    </row>
    <row r="477" ht="15.75" customHeight="1" s="12">
      <c r="A477" s="1" t="n">
        <v>228</v>
      </c>
      <c r="B477" s="3">
        <f>HYPERLINK("https://leetcode.com/problems/summary-ranges/", "Summary Ranges")</f>
        <v/>
      </c>
      <c r="C477" s="1" t="n">
        <v>4550</v>
      </c>
      <c r="D477" s="1" t="n">
        <v>2388</v>
      </c>
      <c r="E477" s="4">
        <f>IF(INDEX(C:C, ROW())+INDEX(D:D, ROW())=0, 0, INDEX(C:C, ROW())/(INDEX(C:C, ROW())+INDEX(D:D, ROW())))</f>
        <v/>
      </c>
      <c r="F477" s="1" t="inlineStr">
        <is>
          <t>Array</t>
        </is>
      </c>
      <c r="G477" s="1" t="inlineStr">
        <is>
          <t>Easy</t>
        </is>
      </c>
      <c r="H477" s="1" t="n">
        <v>945405</v>
      </c>
      <c r="I477" s="1" t="n">
        <v>1744767</v>
      </c>
      <c r="J477" s="9" t="n">
        <v>0.542</v>
      </c>
      <c r="K477" s="1" t="inlineStr">
        <is>
          <t>Yes</t>
        </is>
      </c>
      <c r="L477" s="1" t="inlineStr">
        <is>
          <t>Yes</t>
        </is>
      </c>
      <c r="M477" s="1" t="inlineStr">
        <is>
          <t>No</t>
        </is>
      </c>
      <c r="N477" s="1" t="inlineStr">
        <is>
          <t>Algorithms</t>
        </is>
      </c>
      <c r="O4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77" s="13" t="inlineStr">
        <is>
          <t>Done</t>
        </is>
      </c>
    </row>
    <row r="478" ht="15.75" customHeight="1" s="12">
      <c r="A478" s="1" t="n">
        <v>712</v>
      </c>
      <c r="B478" s="3">
        <f>HYPERLINK("https://leetcode.com/problems/minimum-ascii-delete-sum-for-two-strings/", "Minimum ASCII Delete Sum for Two Strings")</f>
        <v/>
      </c>
      <c r="C478" s="1" t="n">
        <v>4548</v>
      </c>
      <c r="D478" s="1" t="n">
        <v>128</v>
      </c>
      <c r="E478" s="4">
        <f>IF(INDEX(C:C, ROW())+INDEX(D:D, ROW())=0, 0, INDEX(C:C, ROW())/(INDEX(C:C, ROW())+INDEX(D:D, ROW())))</f>
        <v/>
      </c>
      <c r="F478" s="1" t="inlineStr">
        <is>
          <t>String, Dynamic Programming</t>
        </is>
      </c>
      <c r="G478" s="1" t="inlineStr">
        <is>
          <t>Medium</t>
        </is>
      </c>
      <c r="H478" s="1" t="n">
        <v>276316</v>
      </c>
      <c r="I478" s="1" t="n">
        <v>389264</v>
      </c>
      <c r="J478" s="9" t="n">
        <v>0.71</v>
      </c>
      <c r="K478" s="1" t="inlineStr">
        <is>
          <t>Yes</t>
        </is>
      </c>
      <c r="L478" s="1" t="inlineStr">
        <is>
          <t>Yes</t>
        </is>
      </c>
      <c r="M478" s="1" t="inlineStr">
        <is>
          <t>No</t>
        </is>
      </c>
      <c r="N478" s="1" t="inlineStr">
        <is>
          <t>Algorithms</t>
        </is>
      </c>
      <c r="O4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78" s="11" t="inlineStr">
        <is>
          <t>To Do</t>
        </is>
      </c>
    </row>
    <row r="479" ht="15.75" customHeight="1" s="12">
      <c r="A479" s="1" t="n">
        <v>628</v>
      </c>
      <c r="B479" s="3">
        <f>HYPERLINK("https://leetcode.com/problems/maximum-product-of-three-numbers/", "Maximum Product of Three Numbers")</f>
        <v/>
      </c>
      <c r="C479" s="1" t="n">
        <v>4546</v>
      </c>
      <c r="D479" s="1" t="n">
        <v>716</v>
      </c>
      <c r="E479" s="4">
        <f>IF(INDEX(C:C, ROW())+INDEX(D:D, ROW())=0, 0, INDEX(C:C, ROW())/(INDEX(C:C, ROW())+INDEX(D:D, ROW())))</f>
        <v/>
      </c>
      <c r="F479" s="1" t="inlineStr">
        <is>
          <t>Array, Math, Sorting</t>
        </is>
      </c>
      <c r="G479" s="1" t="inlineStr">
        <is>
          <t>Easy</t>
        </is>
      </c>
      <c r="H479" s="1" t="n">
        <v>495469</v>
      </c>
      <c r="I479" s="1" t="n">
        <v>1078867</v>
      </c>
      <c r="J479" s="9" t="n">
        <v>0.459</v>
      </c>
      <c r="K479" s="1" t="inlineStr">
        <is>
          <t>Yes</t>
        </is>
      </c>
      <c r="L479" s="1" t="inlineStr">
        <is>
          <t>Yes</t>
        </is>
      </c>
      <c r="M479" s="1" t="inlineStr">
        <is>
          <t>No</t>
        </is>
      </c>
      <c r="N479" s="1" t="inlineStr">
        <is>
          <t>Algorithms</t>
        </is>
      </c>
      <c r="O4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79" s="13" t="inlineStr">
        <is>
          <t>Done</t>
        </is>
      </c>
    </row>
    <row r="480" ht="15.75" customHeight="1" s="12">
      <c r="A480" s="1" t="n">
        <v>149</v>
      </c>
      <c r="B480" s="3">
        <f>HYPERLINK("https://leetcode.com/problems/max-points-on-a-line/", "Max Points on a Line")</f>
        <v/>
      </c>
      <c r="C480" s="1" t="n">
        <v>4535</v>
      </c>
      <c r="D480" s="1" t="n">
        <v>592</v>
      </c>
      <c r="E480" s="4">
        <f>IF(INDEX(C:C, ROW())+INDEX(D:D, ROW())=0, 0, INDEX(C:C, ROW())/(INDEX(C:C, ROW())+INDEX(D:D, ROW())))</f>
        <v/>
      </c>
      <c r="F480" s="1" t="inlineStr">
        <is>
          <t>Array, Hash Table, Math, Geometry</t>
        </is>
      </c>
      <c r="G480" s="1" t="inlineStr">
        <is>
          <t>Hard</t>
        </is>
      </c>
      <c r="H480" s="1" t="n">
        <v>527433</v>
      </c>
      <c r="I480" s="1" t="n">
        <v>1719277</v>
      </c>
      <c r="J480" s="9" t="n">
        <v>0.307</v>
      </c>
      <c r="K480" s="1" t="inlineStr">
        <is>
          <t>Yes</t>
        </is>
      </c>
      <c r="L480" s="1" t="inlineStr">
        <is>
          <t>Yes</t>
        </is>
      </c>
      <c r="M480" s="1" t="inlineStr">
        <is>
          <t>No</t>
        </is>
      </c>
      <c r="N480" s="1" t="inlineStr">
        <is>
          <t>Algorithms</t>
        </is>
      </c>
      <c r="O4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80" s="11" t="inlineStr">
        <is>
          <t>To Do</t>
        </is>
      </c>
    </row>
    <row r="481" ht="15.75" customHeight="1" s="12">
      <c r="A481" s="1" t="n">
        <v>1438</v>
      </c>
      <c r="B481" s="3">
        <f>HYPERLINK("https://leetcode.com/problems/longest-continuous-subarray-with-absolute-diff-less-than-or-equal-to-limit/", "Longest Continuous Subarray With Absolute Diff Less Than or Equal to Limit")</f>
        <v/>
      </c>
      <c r="C481" s="1" t="n">
        <v>4530</v>
      </c>
      <c r="D481" s="1" t="n">
        <v>229</v>
      </c>
      <c r="E481" s="4">
        <f>IF(INDEX(C:C, ROW())+INDEX(D:D, ROW())=0, 0, INDEX(C:C, ROW())/(INDEX(C:C, ROW())+INDEX(D:D, ROW())))</f>
        <v/>
      </c>
      <c r="F481" s="1" t="inlineStr">
        <is>
          <t>Array, Queue, Sliding Window, Heap (Priority Queue), Ordered Set, Monotonic Queue</t>
        </is>
      </c>
      <c r="G481" s="1" t="inlineStr">
        <is>
          <t>Medium</t>
        </is>
      </c>
      <c r="H481" s="1" t="n">
        <v>316032</v>
      </c>
      <c r="I481" s="1" t="n">
        <v>548116</v>
      </c>
      <c r="J481" s="9" t="n">
        <v>0.577</v>
      </c>
      <c r="K481" s="1" t="inlineStr">
        <is>
          <t>Yes</t>
        </is>
      </c>
      <c r="L481" s="1" t="inlineStr">
        <is>
          <t>Yes</t>
        </is>
      </c>
      <c r="M481" s="1" t="inlineStr">
        <is>
          <t>No</t>
        </is>
      </c>
      <c r="N481" s="1" t="inlineStr">
        <is>
          <t>Algorithms</t>
        </is>
      </c>
      <c r="O4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81" s="11" t="inlineStr">
        <is>
          <t>To Do</t>
        </is>
      </c>
    </row>
    <row r="482" ht="15.75" customHeight="1" s="12">
      <c r="A482" s="1" t="n">
        <v>1002</v>
      </c>
      <c r="B482" s="3">
        <f>HYPERLINK("https://leetcode.com/problems/find-common-characters/", "Find Common Characters")</f>
        <v/>
      </c>
      <c r="C482" s="1" t="n">
        <v>4528</v>
      </c>
      <c r="D482" s="1" t="n">
        <v>439</v>
      </c>
      <c r="E482" s="4">
        <f>IF(INDEX(C:C, ROW())+INDEX(D:D, ROW())=0, 0, INDEX(C:C, ROW())/(INDEX(C:C, ROW())+INDEX(D:D, ROW())))</f>
        <v/>
      </c>
      <c r="F482" s="1" t="inlineStr">
        <is>
          <t>Array, Hash Table, String</t>
        </is>
      </c>
      <c r="G482" s="1" t="inlineStr">
        <is>
          <t>Easy</t>
        </is>
      </c>
      <c r="H482" s="1" t="n">
        <v>432492</v>
      </c>
      <c r="I482" s="1" t="n">
        <v>579101</v>
      </c>
      <c r="J482" s="9" t="n">
        <v>0.747</v>
      </c>
      <c r="K482" s="1" t="inlineStr">
        <is>
          <t>Yes</t>
        </is>
      </c>
      <c r="L482" s="1" t="inlineStr">
        <is>
          <t>Yes</t>
        </is>
      </c>
      <c r="M482" s="1" t="inlineStr">
        <is>
          <t>No</t>
        </is>
      </c>
      <c r="N482" s="1" t="inlineStr">
        <is>
          <t>Algorithms</t>
        </is>
      </c>
      <c r="O4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82" s="13" t="inlineStr">
        <is>
          <t>Done</t>
        </is>
      </c>
    </row>
    <row r="483" ht="15.75" customHeight="1" s="12">
      <c r="A483" s="1" t="n">
        <v>1463</v>
      </c>
      <c r="B483" s="3">
        <f>HYPERLINK("https://leetcode.com/problems/cherry-pickup-ii/", "Cherry Pickup II")</f>
        <v/>
      </c>
      <c r="C483" s="1" t="n">
        <v>4498</v>
      </c>
      <c r="D483" s="1" t="n">
        <v>56</v>
      </c>
      <c r="E483" s="4">
        <f>IF(INDEX(C:C, ROW())+INDEX(D:D, ROW())=0, 0, INDEX(C:C, ROW())/(INDEX(C:C, ROW())+INDEX(D:D, ROW())))</f>
        <v/>
      </c>
      <c r="F483" s="1" t="inlineStr">
        <is>
          <t>Array, Dynamic Programming, Matrix</t>
        </is>
      </c>
      <c r="G483" s="1" t="inlineStr">
        <is>
          <t>Hard</t>
        </is>
      </c>
      <c r="H483" s="1" t="n">
        <v>236217</v>
      </c>
      <c r="I483" s="1" t="n">
        <v>326394</v>
      </c>
      <c r="J483" s="9" t="n">
        <v>0.724</v>
      </c>
      <c r="K483" s="1" t="inlineStr">
        <is>
          <t>Yes</t>
        </is>
      </c>
      <c r="L483" s="1" t="inlineStr">
        <is>
          <t>Yes</t>
        </is>
      </c>
      <c r="M483" s="1" t="inlineStr">
        <is>
          <t>No</t>
        </is>
      </c>
      <c r="N483" s="1" t="inlineStr">
        <is>
          <t>Algorithms</t>
        </is>
      </c>
      <c r="O4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83" s="11" t="inlineStr">
        <is>
          <t>To Do</t>
        </is>
      </c>
    </row>
    <row r="484" ht="15.75" customHeight="1" s="12">
      <c r="A484" s="1" t="n">
        <v>897</v>
      </c>
      <c r="B484" s="3">
        <f>HYPERLINK("https://leetcode.com/problems/increasing-order-search-tree/", "Increasing Order Search Tree")</f>
        <v/>
      </c>
      <c r="C484" s="1" t="n">
        <v>4493</v>
      </c>
      <c r="D484" s="1" t="n">
        <v>685</v>
      </c>
      <c r="E484" s="4">
        <f>IF(INDEX(C:C, ROW())+INDEX(D:D, ROW())=0, 0, INDEX(C:C, ROW())/(INDEX(C:C, ROW())+INDEX(D:D, ROW())))</f>
        <v/>
      </c>
      <c r="F484" s="1" t="inlineStr">
        <is>
          <t>Stack, Tree, Depth-First Search, Binary Search Tree, Binary Tree</t>
        </is>
      </c>
      <c r="G484" s="1" t="inlineStr">
        <is>
          <t>Easy</t>
        </is>
      </c>
      <c r="H484" s="1" t="n">
        <v>339532</v>
      </c>
      <c r="I484" s="1" t="n">
        <v>429932</v>
      </c>
      <c r="J484" s="9" t="n">
        <v>0.79</v>
      </c>
      <c r="K484" s="1" t="inlineStr">
        <is>
          <t>Yes</t>
        </is>
      </c>
      <c r="L484" s="1" t="inlineStr">
        <is>
          <t>Yes</t>
        </is>
      </c>
      <c r="M484" s="1" t="inlineStr">
        <is>
          <t>No</t>
        </is>
      </c>
      <c r="N484" s="1" t="inlineStr">
        <is>
          <t>Algorithms</t>
        </is>
      </c>
      <c r="O4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84" s="13" t="inlineStr">
        <is>
          <t>Done</t>
        </is>
      </c>
    </row>
    <row r="485" ht="15.75" customHeight="1" s="12">
      <c r="A485" s="1" t="n">
        <v>342</v>
      </c>
      <c r="B485" s="3">
        <f>HYPERLINK("https://leetcode.com/problems/power-of-four/", "Power of Four")</f>
        <v/>
      </c>
      <c r="C485" s="1" t="n">
        <v>4491</v>
      </c>
      <c r="D485" s="1" t="n">
        <v>424</v>
      </c>
      <c r="E485" s="4">
        <f>IF(INDEX(C:C, ROW())+INDEX(D:D, ROW())=0, 0, INDEX(C:C, ROW())/(INDEX(C:C, ROW())+INDEX(D:D, ROW())))</f>
        <v/>
      </c>
      <c r="F485" s="1" t="inlineStr">
        <is>
          <t>Math, Bit Manipulation, Recursion</t>
        </is>
      </c>
      <c r="G485" s="1" t="inlineStr">
        <is>
          <t>Easy</t>
        </is>
      </c>
      <c r="H485" s="1" t="n">
        <v>1101650</v>
      </c>
      <c r="I485" s="1" t="n">
        <v>2118357</v>
      </c>
      <c r="J485" s="9" t="n">
        <v>0.52</v>
      </c>
      <c r="K485" s="1" t="inlineStr">
        <is>
          <t>Yes</t>
        </is>
      </c>
      <c r="L485" s="1" t="inlineStr">
        <is>
          <t>Yes</t>
        </is>
      </c>
      <c r="M485" s="1" t="inlineStr">
        <is>
          <t>No</t>
        </is>
      </c>
      <c r="N485" s="1" t="inlineStr">
        <is>
          <t>Algorithms</t>
        </is>
      </c>
      <c r="O4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85" s="13" t="inlineStr">
        <is>
          <t>Done</t>
        </is>
      </c>
    </row>
    <row r="486" ht="15.75" customHeight="1" s="12">
      <c r="A486" s="1" t="n">
        <v>687</v>
      </c>
      <c r="B486" s="3">
        <f>HYPERLINK("https://leetcode.com/problems/longest-univalue-path/", "Longest Univalue Path")</f>
        <v/>
      </c>
      <c r="C486" s="1" t="n">
        <v>4465</v>
      </c>
      <c r="D486" s="1" t="n">
        <v>683</v>
      </c>
      <c r="E486" s="4">
        <f>IF(INDEX(C:C, ROW())+INDEX(D:D, ROW())=0, 0, INDEX(C:C, ROW())/(INDEX(C:C, ROW())+INDEX(D:D, ROW())))</f>
        <v/>
      </c>
      <c r="F486" s="1" t="inlineStr">
        <is>
          <t>Tree, Depth-First Search, Binary Tree</t>
        </is>
      </c>
      <c r="G486" s="1" t="inlineStr">
        <is>
          <t>Medium</t>
        </is>
      </c>
      <c r="H486" s="1" t="n">
        <v>225385</v>
      </c>
      <c r="I486" s="1" t="n">
        <v>513907</v>
      </c>
      <c r="J486" s="9" t="n">
        <v>0.439</v>
      </c>
      <c r="K486" s="1" t="inlineStr">
        <is>
          <t>Yes</t>
        </is>
      </c>
      <c r="L486" s="1" t="inlineStr">
        <is>
          <t>Yes</t>
        </is>
      </c>
      <c r="M486" s="1" t="inlineStr">
        <is>
          <t>No</t>
        </is>
      </c>
      <c r="N486" s="1" t="inlineStr">
        <is>
          <t>Algorithms</t>
        </is>
      </c>
      <c r="O4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86" s="11" t="inlineStr">
        <is>
          <t>To Do</t>
        </is>
      </c>
    </row>
    <row r="487" ht="15.75" customHeight="1" s="12">
      <c r="A487" s="1" t="n">
        <v>1358</v>
      </c>
      <c r="B487" s="3">
        <f>HYPERLINK("https://leetcode.com/problems/number-of-substrings-containing-all-three-characters/", "Number of Substrings Containing All Three Characters")</f>
        <v/>
      </c>
      <c r="C487" s="1" t="n">
        <v>4464</v>
      </c>
      <c r="D487" s="1" t="n">
        <v>83</v>
      </c>
      <c r="E487" s="4">
        <f>IF(INDEX(C:C, ROW())+INDEX(D:D, ROW())=0, 0, INDEX(C:C, ROW())/(INDEX(C:C, ROW())+INDEX(D:D, ROW())))</f>
        <v/>
      </c>
      <c r="F487" s="1" t="inlineStr">
        <is>
          <t>Hash Table, String, Sliding Window</t>
        </is>
      </c>
      <c r="G487" s="1" t="inlineStr">
        <is>
          <t>Medium</t>
        </is>
      </c>
      <c r="H487" s="1" t="n">
        <v>457108</v>
      </c>
      <c r="I487" s="1" t="n">
        <v>620100</v>
      </c>
      <c r="J487" s="9" t="n">
        <v>0.737</v>
      </c>
      <c r="K487" s="1" t="inlineStr">
        <is>
          <t>Yes</t>
        </is>
      </c>
      <c r="L487" s="1" t="inlineStr">
        <is>
          <t>Yes</t>
        </is>
      </c>
      <c r="M487" s="1" t="inlineStr">
        <is>
          <t>No</t>
        </is>
      </c>
      <c r="N487" s="1" t="inlineStr">
        <is>
          <t>Algorithms</t>
        </is>
      </c>
      <c r="O4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87" s="11" t="inlineStr">
        <is>
          <t>To Do</t>
        </is>
      </c>
    </row>
    <row r="488" ht="15.75" customHeight="1" s="12">
      <c r="A488" s="1" t="n">
        <v>611</v>
      </c>
      <c r="B488" s="3">
        <f>HYPERLINK("https://leetcode.com/problems/valid-triangle-number/", "Valid Triangle Number")</f>
        <v/>
      </c>
      <c r="C488" s="1" t="n">
        <v>4449</v>
      </c>
      <c r="D488" s="1" t="n">
        <v>262</v>
      </c>
      <c r="E488" s="4">
        <f>IF(INDEX(C:C, ROW())+INDEX(D:D, ROW())=0, 0, INDEX(C:C, ROW())/(INDEX(C:C, ROW())+INDEX(D:D, ROW())))</f>
        <v/>
      </c>
      <c r="F488" s="1" t="inlineStr">
        <is>
          <t>Array, Two Pointers, Binary Search, Greedy, Sorting</t>
        </is>
      </c>
      <c r="G488" s="1" t="inlineStr">
        <is>
          <t>Medium</t>
        </is>
      </c>
      <c r="H488" s="1" t="n">
        <v>367231</v>
      </c>
      <c r="I488" s="1" t="n">
        <v>645794</v>
      </c>
      <c r="J488" s="9" t="n">
        <v>0.569</v>
      </c>
      <c r="K488" s="1" t="inlineStr">
        <is>
          <t>Yes</t>
        </is>
      </c>
      <c r="L488" s="1" t="inlineStr">
        <is>
          <t>Yes</t>
        </is>
      </c>
      <c r="M488" s="1" t="inlineStr">
        <is>
          <t>No</t>
        </is>
      </c>
      <c r="N488" s="1" t="inlineStr">
        <is>
          <t>Algorithms</t>
        </is>
      </c>
      <c r="O4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88" s="11" t="inlineStr">
        <is>
          <t>To Do</t>
        </is>
      </c>
    </row>
    <row r="489" ht="15.75" customHeight="1" s="12">
      <c r="A489" s="1" t="n">
        <v>1130</v>
      </c>
      <c r="B489" s="3">
        <f>HYPERLINK("https://leetcode.com/problems/minimum-cost-tree-from-leaf-values/", "Minimum Cost Tree From Leaf Values")</f>
        <v/>
      </c>
      <c r="C489" s="1" t="n">
        <v>4442</v>
      </c>
      <c r="D489" s="1" t="n">
        <v>283</v>
      </c>
      <c r="E489" s="4">
        <f>IF(INDEX(C:C, ROW())+INDEX(D:D, ROW())=0, 0, INDEX(C:C, ROW())/(INDEX(C:C, ROW())+INDEX(D:D, ROW())))</f>
        <v/>
      </c>
      <c r="F489" s="1" t="inlineStr">
        <is>
          <t>Array, Dynamic Programming, Stack, Greedy, Monotonic Stack</t>
        </is>
      </c>
      <c r="G489" s="1" t="inlineStr">
        <is>
          <t>Medium</t>
        </is>
      </c>
      <c r="H489" s="1" t="n">
        <v>121656</v>
      </c>
      <c r="I489" s="1" t="n">
        <v>179287</v>
      </c>
      <c r="J489" s="9" t="n">
        <v>0.679</v>
      </c>
      <c r="K489" s="1" t="inlineStr">
        <is>
          <t>Yes</t>
        </is>
      </c>
      <c r="L489" s="1" t="inlineStr">
        <is>
          <t>No</t>
        </is>
      </c>
      <c r="M489" s="1" t="inlineStr">
        <is>
          <t>No</t>
        </is>
      </c>
      <c r="N489" s="1" t="inlineStr">
        <is>
          <t>Algorithms</t>
        </is>
      </c>
      <c r="O4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89" s="11" t="inlineStr">
        <is>
          <t>To Do</t>
        </is>
      </c>
    </row>
    <row r="490" ht="15.75" customHeight="1" s="12">
      <c r="A490" s="1" t="n">
        <v>643</v>
      </c>
      <c r="B490" s="3">
        <f>HYPERLINK("https://leetcode.com/problems/maximum-average-subarray-i/", "Maximum Average Subarray I")</f>
        <v/>
      </c>
      <c r="C490" s="1" t="n">
        <v>4433</v>
      </c>
      <c r="D490" s="1" t="n">
        <v>387</v>
      </c>
      <c r="E490" s="4">
        <f>IF(INDEX(C:C, ROW())+INDEX(D:D, ROW())=0, 0, INDEX(C:C, ROW())/(INDEX(C:C, ROW())+INDEX(D:D, ROW())))</f>
        <v/>
      </c>
      <c r="F490" s="1" t="inlineStr">
        <is>
          <t>Array, Sliding Window</t>
        </is>
      </c>
      <c r="G490" s="1" t="inlineStr">
        <is>
          <t>Easy</t>
        </is>
      </c>
      <c r="H490" s="1" t="n">
        <v>1198834</v>
      </c>
      <c r="I490" s="1" t="n">
        <v>2514795</v>
      </c>
      <c r="J490" s="9" t="n">
        <v>0.477</v>
      </c>
      <c r="K490" s="1" t="inlineStr">
        <is>
          <t>Yes</t>
        </is>
      </c>
      <c r="L490" s="1" t="inlineStr">
        <is>
          <t>Yes</t>
        </is>
      </c>
      <c r="M490" s="1" t="inlineStr">
        <is>
          <t>No</t>
        </is>
      </c>
      <c r="N490" s="1" t="inlineStr">
        <is>
          <t>Algorithms</t>
        </is>
      </c>
      <c r="O4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90" s="13" t="inlineStr">
        <is>
          <t>Done</t>
        </is>
      </c>
    </row>
    <row r="491" ht="15.75" customHeight="1" s="12">
      <c r="A491" s="1" t="n">
        <v>650</v>
      </c>
      <c r="B491" s="3">
        <f>HYPERLINK("https://leetcode.com/problems/2-keys-keyboard/", "2 Keys Keyboard")</f>
        <v/>
      </c>
      <c r="C491" s="1" t="n">
        <v>4427</v>
      </c>
      <c r="D491" s="1" t="n">
        <v>247</v>
      </c>
      <c r="E491" s="4">
        <f>IF(INDEX(C:C, ROW())+INDEX(D:D, ROW())=0, 0, INDEX(C:C, ROW())/(INDEX(C:C, ROW())+INDEX(D:D, ROW())))</f>
        <v/>
      </c>
      <c r="F491" s="1" t="inlineStr">
        <is>
          <t>Math, Dynamic Programming</t>
        </is>
      </c>
      <c r="G491" s="1" t="inlineStr">
        <is>
          <t>Medium</t>
        </is>
      </c>
      <c r="H491" s="1" t="n">
        <v>297697</v>
      </c>
      <c r="I491" s="1" t="n">
        <v>501882</v>
      </c>
      <c r="J491" s="9" t="n">
        <v>0.593</v>
      </c>
      <c r="K491" s="1" t="inlineStr">
        <is>
          <t>Yes</t>
        </is>
      </c>
      <c r="L491" s="1" t="inlineStr">
        <is>
          <t>Yes</t>
        </is>
      </c>
      <c r="M491" s="1" t="inlineStr">
        <is>
          <t>No</t>
        </is>
      </c>
      <c r="N491" s="1" t="inlineStr">
        <is>
          <t>Algorithms</t>
        </is>
      </c>
      <c r="O4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91" s="11" t="inlineStr">
        <is>
          <t>To Do</t>
        </is>
      </c>
    </row>
    <row r="492" ht="15.75" customHeight="1" s="12">
      <c r="A492" s="1" t="n">
        <v>632</v>
      </c>
      <c r="B492" s="3">
        <f>HYPERLINK("https://leetcode.com/problems/smallest-range-covering-elements-from-k-lists/", "Smallest Range Covering Elements from K Lists")</f>
        <v/>
      </c>
      <c r="C492" s="1" t="n">
        <v>4406</v>
      </c>
      <c r="D492" s="1" t="n">
        <v>102</v>
      </c>
      <c r="E492" s="4">
        <f>IF(INDEX(C:C, ROW())+INDEX(D:D, ROW())=0, 0, INDEX(C:C, ROW())/(INDEX(C:C, ROW())+INDEX(D:D, ROW())))</f>
        <v/>
      </c>
      <c r="F492" s="1" t="inlineStr">
        <is>
          <t>Array, Hash Table, Greedy, Sliding Window, Sorting, Heap (Priority Queue)</t>
        </is>
      </c>
      <c r="G492" s="1" t="inlineStr">
        <is>
          <t>Hard</t>
        </is>
      </c>
      <c r="H492" s="1" t="n">
        <v>244336</v>
      </c>
      <c r="I492" s="1" t="n">
        <v>348422</v>
      </c>
      <c r="J492" s="9" t="n">
        <v>0.701</v>
      </c>
      <c r="K492" s="1" t="inlineStr">
        <is>
          <t>Yes</t>
        </is>
      </c>
      <c r="L492" s="1" t="inlineStr">
        <is>
          <t>Yes</t>
        </is>
      </c>
      <c r="M492" s="1" t="inlineStr">
        <is>
          <t>No</t>
        </is>
      </c>
      <c r="N492" s="1" t="inlineStr">
        <is>
          <t>Algorithms</t>
        </is>
      </c>
      <c r="O4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92" s="11" t="inlineStr">
        <is>
          <t>To Do</t>
        </is>
      </c>
    </row>
    <row r="493" ht="15.75" customHeight="1" s="12">
      <c r="A493" s="1" t="n">
        <v>175</v>
      </c>
      <c r="B493" s="3">
        <f>HYPERLINK("https://leetcode.com/problems/combine-two-tables/", "Combine Two Tables")</f>
        <v/>
      </c>
      <c r="C493" s="1" t="n">
        <v>4403</v>
      </c>
      <c r="D493" s="1" t="n">
        <v>258</v>
      </c>
      <c r="E493" s="4">
        <f>IF(INDEX(C:C, ROW())+INDEX(D:D, ROW())=0, 0, INDEX(C:C, ROW())/(INDEX(C:C, ROW())+INDEX(D:D, ROW())))</f>
        <v/>
      </c>
      <c r="F493" s="1" t="inlineStr">
        <is>
          <t>Database</t>
        </is>
      </c>
      <c r="G493" s="1" t="inlineStr">
        <is>
          <t>Easy</t>
        </is>
      </c>
      <c r="H493" s="1" t="n">
        <v>1818117</v>
      </c>
      <c r="I493" s="1" t="n">
        <v>2287019</v>
      </c>
      <c r="J493" s="9" t="n">
        <v>0.795</v>
      </c>
      <c r="K493" s="1" t="inlineStr">
        <is>
          <t>Yes</t>
        </is>
      </c>
      <c r="L493" s="1" t="inlineStr">
        <is>
          <t>Yes</t>
        </is>
      </c>
      <c r="M493" s="1" t="inlineStr">
        <is>
          <t>No</t>
        </is>
      </c>
      <c r="N493" s="1" t="inlineStr">
        <is>
          <t>Database</t>
        </is>
      </c>
      <c r="O4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93" s="13" t="inlineStr">
        <is>
          <t>Done</t>
        </is>
      </c>
    </row>
    <row r="494" ht="15.75" customHeight="1" s="12">
      <c r="A494" s="1" t="n">
        <v>872</v>
      </c>
      <c r="B494" s="3">
        <f>HYPERLINK("https://leetcode.com/problems/leaf-similar-trees/", "Leaf-Similar Trees")</f>
        <v/>
      </c>
      <c r="C494" s="1" t="n">
        <v>4391</v>
      </c>
      <c r="D494" s="1" t="n">
        <v>126</v>
      </c>
      <c r="E494" s="4">
        <f>IF(INDEX(C:C, ROW())+INDEX(D:D, ROW())=0, 0, INDEX(C:C, ROW())/(INDEX(C:C, ROW())+INDEX(D:D, ROW())))</f>
        <v/>
      </c>
      <c r="F494" s="1" t="inlineStr">
        <is>
          <t>Tree, Depth-First Search, Binary Tree</t>
        </is>
      </c>
      <c r="G494" s="1" t="inlineStr">
        <is>
          <t>Easy</t>
        </is>
      </c>
      <c r="H494" s="1" t="n">
        <v>682971</v>
      </c>
      <c r="I494" s="1" t="n">
        <v>972651</v>
      </c>
      <c r="J494" s="9" t="n">
        <v>0.702</v>
      </c>
      <c r="K494" s="1" t="inlineStr">
        <is>
          <t>Yes</t>
        </is>
      </c>
      <c r="L494" s="1" t="inlineStr">
        <is>
          <t>Yes</t>
        </is>
      </c>
      <c r="M494" s="1" t="inlineStr">
        <is>
          <t>No</t>
        </is>
      </c>
      <c r="N494" s="1" t="inlineStr">
        <is>
          <t>Algorithms</t>
        </is>
      </c>
      <c r="O4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94" s="13" t="inlineStr">
        <is>
          <t>Done</t>
        </is>
      </c>
    </row>
    <row r="495" ht="15.75" customHeight="1" s="12">
      <c r="A495" s="1" t="n">
        <v>441</v>
      </c>
      <c r="B495" s="3">
        <f>HYPERLINK("https://leetcode.com/problems/arranging-coins/", "Arranging Coins")</f>
        <v/>
      </c>
      <c r="C495" s="1" t="n">
        <v>4360</v>
      </c>
      <c r="D495" s="1" t="n">
        <v>1381</v>
      </c>
      <c r="E495" s="4">
        <f>IF(INDEX(C:C, ROW())+INDEX(D:D, ROW())=0, 0, INDEX(C:C, ROW())/(INDEX(C:C, ROW())+INDEX(D:D, ROW())))</f>
        <v/>
      </c>
      <c r="F495" s="1" t="inlineStr">
        <is>
          <t>Math, Binary Search</t>
        </is>
      </c>
      <c r="G495" s="1" t="inlineStr">
        <is>
          <t>Easy</t>
        </is>
      </c>
      <c r="H495" s="1" t="n">
        <v>624940</v>
      </c>
      <c r="I495" s="1" t="n">
        <v>1296299</v>
      </c>
      <c r="J495" s="9" t="n">
        <v>0.482</v>
      </c>
      <c r="K495" s="1" t="inlineStr">
        <is>
          <t>Yes</t>
        </is>
      </c>
      <c r="L495" s="1" t="inlineStr">
        <is>
          <t>Yes</t>
        </is>
      </c>
      <c r="M495" s="1" t="inlineStr">
        <is>
          <t>No</t>
        </is>
      </c>
      <c r="N495" s="1" t="inlineStr">
        <is>
          <t>Algorithms</t>
        </is>
      </c>
      <c r="O4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95" s="13" t="inlineStr">
        <is>
          <t>Done</t>
        </is>
      </c>
    </row>
    <row r="496" ht="15.75" customHeight="1" s="12">
      <c r="A496" s="1" t="n">
        <v>1337</v>
      </c>
      <c r="B496" s="3">
        <f>HYPERLINK("https://leetcode.com/problems/the-k-weakest-rows-in-a-matrix/", "The K Weakest Rows in a Matrix")</f>
        <v/>
      </c>
      <c r="C496" s="1" t="n">
        <v>4353</v>
      </c>
      <c r="D496" s="1" t="n">
        <v>242</v>
      </c>
      <c r="E496" s="4">
        <f>IF(INDEX(C:C, ROW())+INDEX(D:D, ROW())=0, 0, INDEX(C:C, ROW())/(INDEX(C:C, ROW())+INDEX(D:D, ROW())))</f>
        <v/>
      </c>
      <c r="F496" s="1" t="inlineStr">
        <is>
          <t>Array, Binary Search, Sorting, Heap (Priority Queue), Matrix</t>
        </is>
      </c>
      <c r="G496" s="1" t="inlineStr">
        <is>
          <t>Easy</t>
        </is>
      </c>
      <c r="H496" s="1" t="n">
        <v>423928</v>
      </c>
      <c r="I496" s="1" t="n">
        <v>570175</v>
      </c>
      <c r="J496" s="9" t="n">
        <v>0.744</v>
      </c>
      <c r="K496" s="1" t="inlineStr">
        <is>
          <t>Yes</t>
        </is>
      </c>
      <c r="L496" s="1" t="inlineStr">
        <is>
          <t>Yes</t>
        </is>
      </c>
      <c r="M496" s="1" t="inlineStr">
        <is>
          <t>No</t>
        </is>
      </c>
      <c r="N496" s="1" t="inlineStr">
        <is>
          <t>Algorithms</t>
        </is>
      </c>
      <c r="O4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96" s="13" t="inlineStr">
        <is>
          <t>Done</t>
        </is>
      </c>
    </row>
    <row r="497" ht="15.75" customHeight="1" s="12">
      <c r="A497" s="1" t="n">
        <v>1306</v>
      </c>
      <c r="B497" s="3">
        <f>HYPERLINK("https://leetcode.com/problems/jump-game-iii/", "Jump Game III")</f>
        <v/>
      </c>
      <c r="C497" s="1" t="n">
        <v>4345</v>
      </c>
      <c r="D497" s="1" t="n">
        <v>118</v>
      </c>
      <c r="E497" s="4">
        <f>IF(INDEX(C:C, ROW())+INDEX(D:D, ROW())=0, 0, INDEX(C:C, ROW())/(INDEX(C:C, ROW())+INDEX(D:D, ROW())))</f>
        <v/>
      </c>
      <c r="F497" s="1" t="inlineStr">
        <is>
          <t>Array, Depth-First Search, Breadth-First Search</t>
        </is>
      </c>
      <c r="G497" s="1" t="inlineStr">
        <is>
          <t>Medium</t>
        </is>
      </c>
      <c r="H497" s="1" t="n">
        <v>301317</v>
      </c>
      <c r="I497" s="1" t="n">
        <v>450696</v>
      </c>
      <c r="J497" s="9" t="n">
        <v>0.669</v>
      </c>
      <c r="K497" s="1" t="inlineStr">
        <is>
          <t>Yes</t>
        </is>
      </c>
      <c r="L497" s="1" t="inlineStr">
        <is>
          <t>Yes</t>
        </is>
      </c>
      <c r="M497" s="1" t="inlineStr">
        <is>
          <t>Yes</t>
        </is>
      </c>
      <c r="N497" s="1" t="inlineStr">
        <is>
          <t>Algorithms</t>
        </is>
      </c>
      <c r="O4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97" s="11" t="inlineStr">
        <is>
          <t>To Do</t>
        </is>
      </c>
    </row>
    <row r="498" ht="15.75" customHeight="1" s="12">
      <c r="A498" s="1" t="n">
        <v>1578</v>
      </c>
      <c r="B498" s="3">
        <f>HYPERLINK("https://leetcode.com/problems/minimum-time-to-make-rope-colorful/", "Minimum Time to Make Rope Colorful")</f>
        <v/>
      </c>
      <c r="C498" s="1" t="n">
        <v>4342</v>
      </c>
      <c r="D498" s="1" t="n">
        <v>156</v>
      </c>
      <c r="E498" s="4">
        <f>IF(INDEX(C:C, ROW())+INDEX(D:D, ROW())=0, 0, INDEX(C:C, ROW())/(INDEX(C:C, ROW())+INDEX(D:D, ROW())))</f>
        <v/>
      </c>
      <c r="F498" s="1" t="inlineStr">
        <is>
          <t>Array, String, Dynamic Programming, Greedy</t>
        </is>
      </c>
      <c r="G498" s="1" t="inlineStr">
        <is>
          <t>Medium</t>
        </is>
      </c>
      <c r="H498" s="1" t="n">
        <v>409560</v>
      </c>
      <c r="I498" s="1" t="n">
        <v>627979</v>
      </c>
      <c r="J498" s="9" t="n">
        <v>0.652</v>
      </c>
      <c r="K498" s="1" t="inlineStr">
        <is>
          <t>Yes</t>
        </is>
      </c>
      <c r="L498" s="1" t="inlineStr">
        <is>
          <t>Yes</t>
        </is>
      </c>
      <c r="M498" s="1" t="inlineStr">
        <is>
          <t>No</t>
        </is>
      </c>
      <c r="N498" s="1" t="inlineStr">
        <is>
          <t>Algorithms</t>
        </is>
      </c>
      <c r="O4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98" s="11" t="inlineStr">
        <is>
          <t>To Do</t>
        </is>
      </c>
    </row>
    <row r="499" ht="15.75" customHeight="1" s="12">
      <c r="A499" s="1" t="n">
        <v>853</v>
      </c>
      <c r="B499" s="3">
        <f>HYPERLINK("https://leetcode.com/problems/car-fleet/", "Car Fleet")</f>
        <v/>
      </c>
      <c r="C499" s="1" t="n">
        <v>4339</v>
      </c>
      <c r="D499" s="1" t="n">
        <v>1222</v>
      </c>
      <c r="E499" s="4">
        <f>IF(INDEX(C:C, ROW())+INDEX(D:D, ROW())=0, 0, INDEX(C:C, ROW())/(INDEX(C:C, ROW())+INDEX(D:D, ROW())))</f>
        <v/>
      </c>
      <c r="F499" s="1" t="inlineStr">
        <is>
          <t>Array, Stack, Sorting, Monotonic Stack</t>
        </is>
      </c>
      <c r="G499" s="1" t="inlineStr">
        <is>
          <t>Medium</t>
        </is>
      </c>
      <c r="H499" s="1" t="n">
        <v>488622</v>
      </c>
      <c r="I499" s="1" t="n">
        <v>887409</v>
      </c>
      <c r="J499" s="9" t="n">
        <v>0.551</v>
      </c>
      <c r="K499" s="1" t="inlineStr">
        <is>
          <t>Yes</t>
        </is>
      </c>
      <c r="L499" s="1" t="inlineStr">
        <is>
          <t>Yes</t>
        </is>
      </c>
      <c r="M499" s="1" t="inlineStr">
        <is>
          <t>No</t>
        </is>
      </c>
      <c r="N499" s="1" t="inlineStr">
        <is>
          <t>Algorithms</t>
        </is>
      </c>
      <c r="O4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499" s="11" t="inlineStr">
        <is>
          <t>To Do</t>
        </is>
      </c>
    </row>
    <row r="500" ht="15.75" customHeight="1" s="12">
      <c r="A500" s="1" t="n">
        <v>1010</v>
      </c>
      <c r="B500" s="3">
        <f>HYPERLINK("https://leetcode.com/problems/pairs-of-songs-with-total-durations-divisible-by-60/", "Pairs of Songs With Total Durations Divisible by 60")</f>
        <v/>
      </c>
      <c r="C500" s="1" t="n">
        <v>4335</v>
      </c>
      <c r="D500" s="1" t="n">
        <v>183</v>
      </c>
      <c r="E500" s="4">
        <f>IF(INDEX(C:C, ROW())+INDEX(D:D, ROW())=0, 0, INDEX(C:C, ROW())/(INDEX(C:C, ROW())+INDEX(D:D, ROW())))</f>
        <v/>
      </c>
      <c r="F500" s="1" t="inlineStr">
        <is>
          <t>Array, Hash Table, Counting</t>
        </is>
      </c>
      <c r="G500" s="1" t="inlineStr">
        <is>
          <t>Medium</t>
        </is>
      </c>
      <c r="H500" s="1" t="n">
        <v>327162</v>
      </c>
      <c r="I500" s="1" t="n">
        <v>611980</v>
      </c>
      <c r="J500" s="9" t="n">
        <v>0.535</v>
      </c>
      <c r="K500" s="1" t="inlineStr">
        <is>
          <t>Yes</t>
        </is>
      </c>
      <c r="L500" s="1" t="inlineStr">
        <is>
          <t>Yes</t>
        </is>
      </c>
      <c r="M500" s="1" t="inlineStr">
        <is>
          <t>Yes</t>
        </is>
      </c>
      <c r="N500" s="1" t="inlineStr">
        <is>
          <t>Algorithms</t>
        </is>
      </c>
      <c r="O5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00" s="11" t="inlineStr">
        <is>
          <t>To Do</t>
        </is>
      </c>
    </row>
    <row r="501" ht="15.75" customHeight="1" s="12">
      <c r="A501" s="1" t="n">
        <v>498</v>
      </c>
      <c r="B501" s="3">
        <f>HYPERLINK("https://leetcode.com/problems/diagonal-traverse/", "Diagonal Traverse")</f>
        <v/>
      </c>
      <c r="C501" s="1" t="n">
        <v>4333</v>
      </c>
      <c r="D501" s="1" t="n">
        <v>786</v>
      </c>
      <c r="E501" s="4">
        <f>IF(INDEX(C:C, ROW())+INDEX(D:D, ROW())=0, 0, INDEX(C:C, ROW())/(INDEX(C:C, ROW())+INDEX(D:D, ROW())))</f>
        <v/>
      </c>
      <c r="F501" s="1" t="inlineStr">
        <is>
          <t>Array, Matrix, Simulation</t>
        </is>
      </c>
      <c r="G501" s="1" t="inlineStr">
        <is>
          <t>Medium</t>
        </is>
      </c>
      <c r="H501" s="1" t="n">
        <v>560751</v>
      </c>
      <c r="I501" s="1" t="n">
        <v>835206</v>
      </c>
      <c r="J501" s="9" t="n">
        <v>0.671</v>
      </c>
      <c r="K501" s="1" t="inlineStr">
        <is>
          <t>Yes</t>
        </is>
      </c>
      <c r="L501" s="1" t="inlineStr">
        <is>
          <t>Yes</t>
        </is>
      </c>
      <c r="M501" s="1" t="inlineStr">
        <is>
          <t>No</t>
        </is>
      </c>
      <c r="N501" s="1" t="inlineStr">
        <is>
          <t>Algorithms</t>
        </is>
      </c>
      <c r="O5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01" s="11" t="inlineStr">
        <is>
          <t>To Do</t>
        </is>
      </c>
    </row>
    <row r="502" ht="15.75" customHeight="1" s="12">
      <c r="A502" s="1" t="n">
        <v>1971</v>
      </c>
      <c r="B502" s="3">
        <f>HYPERLINK("https://leetcode.com/problems/find-if-path-exists-in-graph/", "Find if Path Exists in Graph")</f>
        <v/>
      </c>
      <c r="C502" s="1" t="n">
        <v>4333</v>
      </c>
      <c r="D502" s="1" t="n">
        <v>253</v>
      </c>
      <c r="E502" s="4">
        <f>IF(INDEX(C:C, ROW())+INDEX(D:D, ROW())=0, 0, INDEX(C:C, ROW())/(INDEX(C:C, ROW())+INDEX(D:D, ROW())))</f>
        <v/>
      </c>
      <c r="F502" s="1" t="inlineStr">
        <is>
          <t>Depth-First Search, Breadth-First Search, Union-Find, Graph Theory</t>
        </is>
      </c>
      <c r="G502" s="1" t="inlineStr">
        <is>
          <t>Easy</t>
        </is>
      </c>
      <c r="H502" s="1" t="n">
        <v>693740</v>
      </c>
      <c r="I502" s="1" t="n">
        <v>1258736</v>
      </c>
      <c r="J502" s="9" t="n">
        <v>0.551</v>
      </c>
      <c r="K502" s="1" t="inlineStr">
        <is>
          <t>Yes</t>
        </is>
      </c>
      <c r="L502" s="1" t="inlineStr">
        <is>
          <t>Yes</t>
        </is>
      </c>
      <c r="M502" s="1" t="inlineStr">
        <is>
          <t>No</t>
        </is>
      </c>
      <c r="N502" s="1" t="inlineStr">
        <is>
          <t>Algorithms</t>
        </is>
      </c>
      <c r="O5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02" s="13" t="inlineStr">
        <is>
          <t>Done</t>
        </is>
      </c>
    </row>
    <row r="503" ht="15.75" customHeight="1" s="12">
      <c r="A503" s="1" t="n">
        <v>993</v>
      </c>
      <c r="B503" s="3">
        <f>HYPERLINK("https://leetcode.com/problems/cousins-in-binary-tree/", "Cousins in Binary Tree")</f>
        <v/>
      </c>
      <c r="C503" s="1" t="n">
        <v>4332</v>
      </c>
      <c r="D503" s="1" t="n">
        <v>233</v>
      </c>
      <c r="E503" s="4">
        <f>IF(INDEX(C:C, ROW())+INDEX(D:D, ROW())=0, 0, INDEX(C:C, ROW())/(INDEX(C:C, ROW())+INDEX(D:D, ROW())))</f>
        <v/>
      </c>
      <c r="F503" s="1" t="inlineStr">
        <is>
          <t>Tree, Depth-First Search, Breadth-First Search, Binary Tree</t>
        </is>
      </c>
      <c r="G503" s="1" t="inlineStr">
        <is>
          <t>Easy</t>
        </is>
      </c>
      <c r="H503" s="1" t="n">
        <v>351363</v>
      </c>
      <c r="I503" s="1" t="n">
        <v>592641</v>
      </c>
      <c r="J503" s="9" t="n">
        <v>0.593</v>
      </c>
      <c r="K503" s="1" t="inlineStr">
        <is>
          <t>Yes</t>
        </is>
      </c>
      <c r="L503" s="1" t="inlineStr">
        <is>
          <t>Yes</t>
        </is>
      </c>
      <c r="M503" s="1" t="inlineStr">
        <is>
          <t>No</t>
        </is>
      </c>
      <c r="N503" s="1" t="inlineStr">
        <is>
          <t>Algorithms</t>
        </is>
      </c>
      <c r="O5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03" s="13" t="inlineStr">
        <is>
          <t>Done</t>
        </is>
      </c>
    </row>
    <row r="504" ht="15.75" customHeight="1" s="12">
      <c r="A504" s="1" t="n">
        <v>52</v>
      </c>
      <c r="B504" s="3">
        <f>HYPERLINK("https://leetcode.com/problems/n-queens-ii/", "N-Queens II")</f>
        <v/>
      </c>
      <c r="C504" s="1" t="n">
        <v>4298</v>
      </c>
      <c r="D504" s="1" t="n">
        <v>283</v>
      </c>
      <c r="E504" s="4">
        <f>IF(INDEX(C:C, ROW())+INDEX(D:D, ROW())=0, 0, INDEX(C:C, ROW())/(INDEX(C:C, ROW())+INDEX(D:D, ROW())))</f>
        <v/>
      </c>
      <c r="F504" s="1" t="inlineStr">
        <is>
          <t>Backtracking</t>
        </is>
      </c>
      <c r="G504" s="1" t="inlineStr">
        <is>
          <t>Hard</t>
        </is>
      </c>
      <c r="H504" s="1" t="n">
        <v>603382</v>
      </c>
      <c r="I504" s="1" t="n">
        <v>767540</v>
      </c>
      <c r="J504" s="9" t="n">
        <v>0.786</v>
      </c>
      <c r="K504" s="1" t="inlineStr">
        <is>
          <t>Yes</t>
        </is>
      </c>
      <c r="L504" s="1" t="inlineStr">
        <is>
          <t>Yes</t>
        </is>
      </c>
      <c r="M504" s="1" t="inlineStr">
        <is>
          <t>No</t>
        </is>
      </c>
      <c r="N504" s="1" t="inlineStr">
        <is>
          <t>Algorithms</t>
        </is>
      </c>
      <c r="O5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04" s="11" t="inlineStr">
        <is>
          <t>To Do</t>
        </is>
      </c>
    </row>
    <row r="505" ht="15.75" customHeight="1" s="12">
      <c r="A505" s="1" t="n">
        <v>670</v>
      </c>
      <c r="B505" s="3">
        <f>HYPERLINK("https://leetcode.com/problems/maximum-swap/", "Maximum Swap")</f>
        <v/>
      </c>
      <c r="C505" s="1" t="n">
        <v>4294</v>
      </c>
      <c r="D505" s="1" t="n">
        <v>276</v>
      </c>
      <c r="E505" s="4">
        <f>IF(INDEX(C:C, ROW())+INDEX(D:D, ROW())=0, 0, INDEX(C:C, ROW())/(INDEX(C:C, ROW())+INDEX(D:D, ROW())))</f>
        <v/>
      </c>
      <c r="F505" s="1" t="inlineStr">
        <is>
          <t>Math, Greedy</t>
        </is>
      </c>
      <c r="G505" s="1" t="inlineStr">
        <is>
          <t>Medium</t>
        </is>
      </c>
      <c r="H505" s="1" t="n">
        <v>513988</v>
      </c>
      <c r="I505" s="1" t="n">
        <v>988325</v>
      </c>
      <c r="J505" s="9" t="n">
        <v>0.52</v>
      </c>
      <c r="K505" s="1" t="inlineStr">
        <is>
          <t>Yes</t>
        </is>
      </c>
      <c r="L505" s="1" t="inlineStr">
        <is>
          <t>Yes</t>
        </is>
      </c>
      <c r="M505" s="1" t="inlineStr">
        <is>
          <t>No</t>
        </is>
      </c>
      <c r="N505" s="1" t="inlineStr">
        <is>
          <t>Algorithms</t>
        </is>
      </c>
      <c r="O5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05" s="11" t="inlineStr">
        <is>
          <t>To Do</t>
        </is>
      </c>
    </row>
    <row r="506" ht="15.75" customHeight="1" s="12">
      <c r="A506" s="1" t="n">
        <v>201</v>
      </c>
      <c r="B506" s="3">
        <f>HYPERLINK("https://leetcode.com/problems/bitwise-and-of-numbers-range/", "Bitwise AND of Numbers Range")</f>
        <v/>
      </c>
      <c r="C506" s="1" t="n">
        <v>4293</v>
      </c>
      <c r="D506" s="1" t="n">
        <v>319</v>
      </c>
      <c r="E506" s="4">
        <f>IF(INDEX(C:C, ROW())+INDEX(D:D, ROW())=0, 0, INDEX(C:C, ROW())/(INDEX(C:C, ROW())+INDEX(D:D, ROW())))</f>
        <v/>
      </c>
      <c r="F506" s="1" t="inlineStr">
        <is>
          <t>Bit Manipulation</t>
        </is>
      </c>
      <c r="G506" s="1" t="inlineStr">
        <is>
          <t>Medium</t>
        </is>
      </c>
      <c r="H506" s="1" t="n">
        <v>514815</v>
      </c>
      <c r="I506" s="1" t="n">
        <v>1052221</v>
      </c>
      <c r="J506" s="9" t="n">
        <v>0.489</v>
      </c>
      <c r="K506" s="1" t="inlineStr">
        <is>
          <t>Yes</t>
        </is>
      </c>
      <c r="L506" s="1" t="inlineStr">
        <is>
          <t>Yes</t>
        </is>
      </c>
      <c r="M506" s="1" t="inlineStr">
        <is>
          <t>No</t>
        </is>
      </c>
      <c r="N506" s="1" t="inlineStr">
        <is>
          <t>Algorithms</t>
        </is>
      </c>
      <c r="O5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06" s="11" t="inlineStr">
        <is>
          <t>To Do</t>
        </is>
      </c>
    </row>
    <row r="507" ht="15.75" customHeight="1" s="12">
      <c r="A507" s="1" t="n">
        <v>1342</v>
      </c>
      <c r="B507" s="3">
        <f>HYPERLINK("https://leetcode.com/problems/number-of-steps-to-reduce-a-number-to-zero/", "Number of Steps to Reduce a Number to Zero")</f>
        <v/>
      </c>
      <c r="C507" s="1" t="n">
        <v>4288</v>
      </c>
      <c r="D507" s="1" t="n">
        <v>181</v>
      </c>
      <c r="E507" s="4">
        <f>IF(INDEX(C:C, ROW())+INDEX(D:D, ROW())=0, 0, INDEX(C:C, ROW())/(INDEX(C:C, ROW())+INDEX(D:D, ROW())))</f>
        <v/>
      </c>
      <c r="F507" s="1" t="inlineStr">
        <is>
          <t>Math, Bit Manipulation</t>
        </is>
      </c>
      <c r="G507" s="1" t="inlineStr">
        <is>
          <t>Easy</t>
        </is>
      </c>
      <c r="H507" s="1" t="n">
        <v>921718</v>
      </c>
      <c r="I507" s="1" t="n">
        <v>1074609</v>
      </c>
      <c r="J507" s="9" t="n">
        <v>0.858</v>
      </c>
      <c r="K507" s="1" t="inlineStr">
        <is>
          <t>Yes</t>
        </is>
      </c>
      <c r="L507" s="1" t="inlineStr">
        <is>
          <t>Yes</t>
        </is>
      </c>
      <c r="M507" s="1" t="inlineStr">
        <is>
          <t>Yes</t>
        </is>
      </c>
      <c r="N507" s="1" t="inlineStr">
        <is>
          <t>Algorithms</t>
        </is>
      </c>
      <c r="O5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07" s="13" t="inlineStr">
        <is>
          <t>Done</t>
        </is>
      </c>
    </row>
    <row r="508" ht="15.75" customHeight="1" s="12">
      <c r="A508" s="1" t="n">
        <v>1162</v>
      </c>
      <c r="B508" s="3">
        <f>HYPERLINK("https://leetcode.com/problems/as-far-from-land-as-possible/", "As Far from Land as Possible")</f>
        <v/>
      </c>
      <c r="C508" s="1" t="n">
        <v>4282</v>
      </c>
      <c r="D508" s="1" t="n">
        <v>113</v>
      </c>
      <c r="E508" s="4">
        <f>IF(INDEX(C:C, ROW())+INDEX(D:D, ROW())=0, 0, INDEX(C:C, ROW())/(INDEX(C:C, ROW())+INDEX(D:D, ROW())))</f>
        <v/>
      </c>
      <c r="F508" s="1" t="inlineStr">
        <is>
          <t>Array, Dynamic Programming, Breadth-First Search, Matrix</t>
        </is>
      </c>
      <c r="G508" s="1" t="inlineStr">
        <is>
          <t>Medium</t>
        </is>
      </c>
      <c r="H508" s="1" t="n">
        <v>185618</v>
      </c>
      <c r="I508" s="1" t="n">
        <v>355118</v>
      </c>
      <c r="J508" s="9" t="n">
        <v>0.523</v>
      </c>
      <c r="K508" s="1" t="inlineStr">
        <is>
          <t>Yes</t>
        </is>
      </c>
      <c r="L508" s="1" t="inlineStr">
        <is>
          <t>Yes</t>
        </is>
      </c>
      <c r="M508" s="1" t="inlineStr">
        <is>
          <t>No</t>
        </is>
      </c>
      <c r="N508" s="1" t="inlineStr">
        <is>
          <t>Algorithms</t>
        </is>
      </c>
      <c r="O5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08" s="11" t="inlineStr">
        <is>
          <t>To Do</t>
        </is>
      </c>
    </row>
    <row r="509" ht="15.75" customHeight="1" s="12">
      <c r="A509" s="1" t="n">
        <v>176</v>
      </c>
      <c r="B509" s="3">
        <f>HYPERLINK("https://leetcode.com/problems/second-highest-salary/", "Second Highest Salary")</f>
        <v/>
      </c>
      <c r="C509" s="1" t="n">
        <v>4278</v>
      </c>
      <c r="D509" s="1" t="n">
        <v>1014</v>
      </c>
      <c r="E509" s="4">
        <f>IF(INDEX(C:C, ROW())+INDEX(D:D, ROW())=0, 0, INDEX(C:C, ROW())/(INDEX(C:C, ROW())+INDEX(D:D, ROW())))</f>
        <v/>
      </c>
      <c r="F509" s="1" t="inlineStr">
        <is>
          <t>Database</t>
        </is>
      </c>
      <c r="G509" s="1" t="inlineStr">
        <is>
          <t>Medium</t>
        </is>
      </c>
      <c r="H509" s="1" t="n">
        <v>1542311</v>
      </c>
      <c r="I509" s="1" t="n">
        <v>3286166</v>
      </c>
      <c r="J509" s="9" t="n">
        <v>0.469</v>
      </c>
      <c r="K509" s="1" t="inlineStr">
        <is>
          <t>Yes</t>
        </is>
      </c>
      <c r="L509" s="1" t="inlineStr">
        <is>
          <t>Yes</t>
        </is>
      </c>
      <c r="M509" s="1" t="inlineStr">
        <is>
          <t>No</t>
        </is>
      </c>
      <c r="N509" s="1" t="inlineStr">
        <is>
          <t>Database</t>
        </is>
      </c>
      <c r="O5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09" s="11" t="inlineStr">
        <is>
          <t>To Do</t>
        </is>
      </c>
    </row>
    <row r="510" ht="15.75" customHeight="1" s="12">
      <c r="A510" s="1" t="n">
        <v>197</v>
      </c>
      <c r="B510" s="3">
        <f>HYPERLINK("https://leetcode.com/problems/rising-temperature/", "Rising Temperature")</f>
        <v/>
      </c>
      <c r="C510" s="1" t="n">
        <v>4271</v>
      </c>
      <c r="D510" s="1" t="n">
        <v>746</v>
      </c>
      <c r="E510" s="4">
        <f>IF(INDEX(C:C, ROW())+INDEX(D:D, ROW())=0, 0, INDEX(C:C, ROW())/(INDEX(C:C, ROW())+INDEX(D:D, ROW())))</f>
        <v/>
      </c>
      <c r="F510" s="1" t="inlineStr">
        <is>
          <t>Database</t>
        </is>
      </c>
      <c r="G510" s="1" t="inlineStr">
        <is>
          <t>Easy</t>
        </is>
      </c>
      <c r="H510" s="1" t="n">
        <v>1502407</v>
      </c>
      <c r="I510" s="1" t="n">
        <v>2930994</v>
      </c>
      <c r="J510" s="9" t="n">
        <v>0.513</v>
      </c>
      <c r="K510" s="1" t="inlineStr">
        <is>
          <t>Yes</t>
        </is>
      </c>
      <c r="L510" s="1" t="inlineStr">
        <is>
          <t>Yes</t>
        </is>
      </c>
      <c r="M510" s="1" t="inlineStr">
        <is>
          <t>No</t>
        </is>
      </c>
      <c r="N510" s="1" t="inlineStr">
        <is>
          <t>Database</t>
        </is>
      </c>
      <c r="O5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10" s="13" t="inlineStr">
        <is>
          <t>Done</t>
        </is>
      </c>
    </row>
    <row r="511" ht="15.75" customHeight="1" s="12">
      <c r="A511" s="1" t="n">
        <v>374</v>
      </c>
      <c r="B511" s="3">
        <f>HYPERLINK("https://leetcode.com/problems/guess-number-higher-or-lower/", "Guess Number Higher or Lower")</f>
        <v/>
      </c>
      <c r="C511" s="1" t="n">
        <v>4269</v>
      </c>
      <c r="D511" s="1" t="n">
        <v>695</v>
      </c>
      <c r="E511" s="4">
        <f>IF(INDEX(C:C, ROW())+INDEX(D:D, ROW())=0, 0, INDEX(C:C, ROW())/(INDEX(C:C, ROW())+INDEX(D:D, ROW())))</f>
        <v/>
      </c>
      <c r="F511" s="1" t="inlineStr">
        <is>
          <t>Binary Search, Interactive</t>
        </is>
      </c>
      <c r="G511" s="1" t="inlineStr">
        <is>
          <t>Easy</t>
        </is>
      </c>
      <c r="H511" s="1" t="n">
        <v>1017904</v>
      </c>
      <c r="I511" s="1" t="n">
        <v>1770484</v>
      </c>
      <c r="J511" s="9" t="n">
        <v>0.575</v>
      </c>
      <c r="K511" s="1" t="inlineStr">
        <is>
          <t>Yes</t>
        </is>
      </c>
      <c r="L511" s="1" t="inlineStr">
        <is>
          <t>Yes</t>
        </is>
      </c>
      <c r="M511" s="1" t="inlineStr">
        <is>
          <t>Yes</t>
        </is>
      </c>
      <c r="N511" s="1" t="inlineStr">
        <is>
          <t>Algorithms</t>
        </is>
      </c>
      <c r="O5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11" s="13" t="inlineStr">
        <is>
          <t>Done</t>
        </is>
      </c>
    </row>
    <row r="512" ht="15.75" customHeight="1" s="12">
      <c r="A512" s="1" t="n">
        <v>1376</v>
      </c>
      <c r="B512" s="3">
        <f>HYPERLINK("https://leetcode.com/problems/time-needed-to-inform-all-employees/", "Time Needed to Inform All Employees")</f>
        <v/>
      </c>
      <c r="C512" s="1" t="n">
        <v>4259</v>
      </c>
      <c r="D512" s="1" t="n">
        <v>325</v>
      </c>
      <c r="E512" s="4">
        <f>IF(INDEX(C:C, ROW())+INDEX(D:D, ROW())=0, 0, INDEX(C:C, ROW())/(INDEX(C:C, ROW())+INDEX(D:D, ROW())))</f>
        <v/>
      </c>
      <c r="F512" s="1" t="inlineStr">
        <is>
          <t>Tree, Depth-First Search, Breadth-First Search</t>
        </is>
      </c>
      <c r="G512" s="1" t="inlineStr">
        <is>
          <t>Medium</t>
        </is>
      </c>
      <c r="H512" s="1" t="n">
        <v>259975</v>
      </c>
      <c r="I512" s="1" t="n">
        <v>429758</v>
      </c>
      <c r="J512" s="9" t="n">
        <v>0.605</v>
      </c>
      <c r="K512" s="1" t="inlineStr">
        <is>
          <t>Yes</t>
        </is>
      </c>
      <c r="L512" s="1" t="inlineStr">
        <is>
          <t>Yes</t>
        </is>
      </c>
      <c r="M512" s="1" t="inlineStr">
        <is>
          <t>No</t>
        </is>
      </c>
      <c r="N512" s="1" t="inlineStr">
        <is>
          <t>Algorithms</t>
        </is>
      </c>
      <c r="O5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12" s="11" t="inlineStr">
        <is>
          <t>To Do</t>
        </is>
      </c>
    </row>
    <row r="513" ht="15.75" customHeight="1" s="12">
      <c r="A513" s="1" t="n">
        <v>1929</v>
      </c>
      <c r="B513" s="3">
        <f>HYPERLINK("https://leetcode.com/problems/concatenation-of-array/", "Concatenation of Array")</f>
        <v/>
      </c>
      <c r="C513" s="1" t="n">
        <v>4219</v>
      </c>
      <c r="D513" s="1" t="n">
        <v>463</v>
      </c>
      <c r="E513" s="4">
        <f>IF(INDEX(C:C, ROW())+INDEX(D:D, ROW())=0, 0, INDEX(C:C, ROW())/(INDEX(C:C, ROW())+INDEX(D:D, ROW())))</f>
        <v/>
      </c>
      <c r="F513" s="1" t="inlineStr">
        <is>
          <t>Array, Simulation</t>
        </is>
      </c>
      <c r="G513" s="1" t="inlineStr">
        <is>
          <t>Easy</t>
        </is>
      </c>
      <c r="H513" s="1" t="n">
        <v>1450962</v>
      </c>
      <c r="I513" s="1" t="n">
        <v>1605732</v>
      </c>
      <c r="J513" s="9" t="n">
        <v>0.904</v>
      </c>
      <c r="K513" s="1" t="inlineStr">
        <is>
          <t>Yes</t>
        </is>
      </c>
      <c r="L513" s="1" t="inlineStr">
        <is>
          <t>No</t>
        </is>
      </c>
      <c r="M513" s="1" t="inlineStr">
        <is>
          <t>No</t>
        </is>
      </c>
      <c r="N513" s="1" t="inlineStr">
        <is>
          <t>Algorithms</t>
        </is>
      </c>
      <c r="O5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13" s="13" t="inlineStr">
        <is>
          <t>Done</t>
        </is>
      </c>
    </row>
    <row r="514" ht="15.75" customHeight="1" s="12">
      <c r="A514" s="1" t="n">
        <v>867</v>
      </c>
      <c r="B514" s="3">
        <f>HYPERLINK("https://leetcode.com/problems/transpose-matrix/", "Transpose Matrix")</f>
        <v/>
      </c>
      <c r="C514" s="1" t="n">
        <v>4205</v>
      </c>
      <c r="D514" s="1" t="n">
        <v>460</v>
      </c>
      <c r="E514" s="4">
        <f>IF(INDEX(C:C, ROW())+INDEX(D:D, ROW())=0, 0, INDEX(C:C, ROW())/(INDEX(C:C, ROW())+INDEX(D:D, ROW())))</f>
        <v/>
      </c>
      <c r="F514" s="1" t="inlineStr">
        <is>
          <t>Array, Matrix, Simulation</t>
        </is>
      </c>
      <c r="G514" s="1" t="inlineStr">
        <is>
          <t>Easy</t>
        </is>
      </c>
      <c r="H514" s="1" t="n">
        <v>602745</v>
      </c>
      <c r="I514" s="1" t="n">
        <v>790061</v>
      </c>
      <c r="J514" s="9" t="n">
        <v>0.763</v>
      </c>
      <c r="K514" s="1" t="inlineStr">
        <is>
          <t>Yes</t>
        </is>
      </c>
      <c r="L514" s="1" t="inlineStr">
        <is>
          <t>Yes</t>
        </is>
      </c>
      <c r="M514" s="1" t="inlineStr">
        <is>
          <t>No</t>
        </is>
      </c>
      <c r="N514" s="1" t="inlineStr">
        <is>
          <t>Algorithms</t>
        </is>
      </c>
      <c r="O5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14" s="13" t="inlineStr">
        <is>
          <t>Done</t>
        </is>
      </c>
    </row>
    <row r="515" ht="15.75" customHeight="1" s="12">
      <c r="A515" s="1" t="n">
        <v>2149</v>
      </c>
      <c r="B515" s="3">
        <f>HYPERLINK("https://leetcode.com/problems/rearrange-array-elements-by-sign/", "Rearrange Array Elements by Sign")</f>
        <v/>
      </c>
      <c r="C515" s="1" t="n">
        <v>4202</v>
      </c>
      <c r="D515" s="1" t="n">
        <v>238</v>
      </c>
      <c r="E515" s="4">
        <f>IF(INDEX(C:C, ROW())+INDEX(D:D, ROW())=0, 0, INDEX(C:C, ROW())/(INDEX(C:C, ROW())+INDEX(D:D, ROW())))</f>
        <v/>
      </c>
      <c r="F515" s="1" t="inlineStr">
        <is>
          <t>Array, Two Pointers, Simulation</t>
        </is>
      </c>
      <c r="G515" s="1" t="inlineStr">
        <is>
          <t>Medium</t>
        </is>
      </c>
      <c r="H515" s="1" t="n">
        <v>855295</v>
      </c>
      <c r="I515" s="1" t="n">
        <v>1010687</v>
      </c>
      <c r="J515" s="9" t="n">
        <v>0.846</v>
      </c>
      <c r="K515" s="1" t="inlineStr">
        <is>
          <t>Yes</t>
        </is>
      </c>
      <c r="L515" s="1" t="inlineStr">
        <is>
          <t>Yes</t>
        </is>
      </c>
      <c r="M515" s="1" t="inlineStr">
        <is>
          <t>No</t>
        </is>
      </c>
      <c r="N515" s="1" t="inlineStr">
        <is>
          <t>Algorithms</t>
        </is>
      </c>
      <c r="O5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15" s="11" t="inlineStr">
        <is>
          <t>To Do</t>
        </is>
      </c>
    </row>
    <row r="516" ht="15.75" customHeight="1" s="12">
      <c r="A516" s="1" t="n">
        <v>502</v>
      </c>
      <c r="B516" s="3">
        <f>HYPERLINK("https://leetcode.com/problems/ipo/", "IPO")</f>
        <v/>
      </c>
      <c r="C516" s="1" t="n">
        <v>4191</v>
      </c>
      <c r="D516" s="1" t="n">
        <v>284</v>
      </c>
      <c r="E516" s="4">
        <f>IF(INDEX(C:C, ROW())+INDEX(D:D, ROW())=0, 0, INDEX(C:C, ROW())/(INDEX(C:C, ROW())+INDEX(D:D, ROW())))</f>
        <v/>
      </c>
      <c r="F516" s="1" t="inlineStr">
        <is>
          <t>Array, Greedy, Sorting, Heap (Priority Queue)</t>
        </is>
      </c>
      <c r="G516" s="1" t="inlineStr">
        <is>
          <t>Hard</t>
        </is>
      </c>
      <c r="H516" s="1" t="n">
        <v>317536</v>
      </c>
      <c r="I516" s="1" t="n">
        <v>593717</v>
      </c>
      <c r="J516" s="9" t="n">
        <v>0.535</v>
      </c>
      <c r="K516" s="1" t="inlineStr">
        <is>
          <t>Yes</t>
        </is>
      </c>
      <c r="L516" s="1" t="inlineStr">
        <is>
          <t>Yes</t>
        </is>
      </c>
      <c r="M516" s="1" t="inlineStr">
        <is>
          <t>No</t>
        </is>
      </c>
      <c r="N516" s="1" t="inlineStr">
        <is>
          <t>Algorithms</t>
        </is>
      </c>
      <c r="O5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16" s="11" t="inlineStr">
        <is>
          <t>To Do</t>
        </is>
      </c>
    </row>
    <row r="517" ht="15.75" customHeight="1" s="12">
      <c r="A517" s="1" t="n">
        <v>1382</v>
      </c>
      <c r="B517" s="3">
        <f>HYPERLINK("https://leetcode.com/problems/balance-a-binary-search-tree/", "Balance a Binary Search Tree")</f>
        <v/>
      </c>
      <c r="C517" s="1" t="n">
        <v>4179</v>
      </c>
      <c r="D517" s="1" t="n">
        <v>105</v>
      </c>
      <c r="E517" s="4">
        <f>IF(INDEX(C:C, ROW())+INDEX(D:D, ROW())=0, 0, INDEX(C:C, ROW())/(INDEX(C:C, ROW())+INDEX(D:D, ROW())))</f>
        <v/>
      </c>
      <c r="F517" s="1" t="inlineStr">
        <is>
          <t>Divide and Conquer, Greedy, Tree, Depth-First Search, Binary Search Tree, Binary Tree</t>
        </is>
      </c>
      <c r="G517" s="1" t="inlineStr">
        <is>
          <t>Medium</t>
        </is>
      </c>
      <c r="H517" s="1" t="n">
        <v>405140</v>
      </c>
      <c r="I517" s="1" t="n">
        <v>469551</v>
      </c>
      <c r="J517" s="9" t="n">
        <v>0.863</v>
      </c>
      <c r="K517" s="1" t="inlineStr">
        <is>
          <t>Yes</t>
        </is>
      </c>
      <c r="L517" s="1" t="inlineStr">
        <is>
          <t>Yes</t>
        </is>
      </c>
      <c r="M517" s="1" t="inlineStr">
        <is>
          <t>No</t>
        </is>
      </c>
      <c r="N517" s="1" t="inlineStr">
        <is>
          <t>Algorithms</t>
        </is>
      </c>
      <c r="O5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17" s="11" t="inlineStr">
        <is>
          <t>To Do</t>
        </is>
      </c>
    </row>
    <row r="518" ht="15.75" customHeight="1" s="12">
      <c r="A518" s="1" t="n">
        <v>532</v>
      </c>
      <c r="B518" s="3">
        <f>HYPERLINK("https://leetcode.com/problems/k-diff-pairs-in-an-array/", "K-diff Pairs in an Array")</f>
        <v/>
      </c>
      <c r="C518" s="1" t="n">
        <v>4174</v>
      </c>
      <c r="D518" s="1" t="n">
        <v>2292</v>
      </c>
      <c r="E518" s="4">
        <f>IF(INDEX(C:C, ROW())+INDEX(D:D, ROW())=0, 0, INDEX(C:C, ROW())/(INDEX(C:C, ROW())+INDEX(D:D, ROW())))</f>
        <v/>
      </c>
      <c r="F518" s="1" t="inlineStr">
        <is>
          <t>Array, Hash Table, Two Pointers, Binary Search, Sorting</t>
        </is>
      </c>
      <c r="G518" s="1" t="inlineStr">
        <is>
          <t>Medium</t>
        </is>
      </c>
      <c r="H518" s="1" t="n">
        <v>429288</v>
      </c>
      <c r="I518" s="1" t="n">
        <v>936012</v>
      </c>
      <c r="J518" s="9" t="n">
        <v>0.459</v>
      </c>
      <c r="K518" s="1" t="inlineStr">
        <is>
          <t>Yes</t>
        </is>
      </c>
      <c r="L518" s="1" t="inlineStr">
        <is>
          <t>Yes</t>
        </is>
      </c>
      <c r="M518" s="1" t="inlineStr">
        <is>
          <t>No</t>
        </is>
      </c>
      <c r="N518" s="1" t="inlineStr">
        <is>
          <t>Algorithms</t>
        </is>
      </c>
      <c r="O5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18" s="11" t="inlineStr">
        <is>
          <t>To Do</t>
        </is>
      </c>
    </row>
    <row r="519" ht="15.75" customHeight="1" s="12">
      <c r="A519" s="1" t="n">
        <v>799</v>
      </c>
      <c r="B519" s="3">
        <f>HYPERLINK("https://leetcode.com/problems/champagne-tower/", "Champagne Tower")</f>
        <v/>
      </c>
      <c r="C519" s="1" t="n">
        <v>4165</v>
      </c>
      <c r="D519" s="1" t="n">
        <v>235</v>
      </c>
      <c r="E519" s="4">
        <f>IF(INDEX(C:C, ROW())+INDEX(D:D, ROW())=0, 0, INDEX(C:C, ROW())/(INDEX(C:C, ROW())+INDEX(D:D, ROW())))</f>
        <v/>
      </c>
      <c r="F519" s="1" t="inlineStr">
        <is>
          <t>Dynamic Programming</t>
        </is>
      </c>
      <c r="G519" s="1" t="inlineStr">
        <is>
          <t>Medium</t>
        </is>
      </c>
      <c r="H519" s="1" t="n">
        <v>251227</v>
      </c>
      <c r="I519" s="1" t="n">
        <v>391870</v>
      </c>
      <c r="J519" s="9" t="n">
        <v>0.641</v>
      </c>
      <c r="K519" s="1" t="inlineStr">
        <is>
          <t>Yes</t>
        </is>
      </c>
      <c r="L519" s="1" t="inlineStr">
        <is>
          <t>Yes</t>
        </is>
      </c>
      <c r="M519" s="1" t="inlineStr">
        <is>
          <t>No</t>
        </is>
      </c>
      <c r="N519" s="1" t="inlineStr">
        <is>
          <t>Algorithms</t>
        </is>
      </c>
      <c r="O5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19" s="11" t="inlineStr">
        <is>
          <t>To Do</t>
        </is>
      </c>
    </row>
    <row r="520" ht="15.75" customHeight="1" s="12">
      <c r="A520" s="1" t="n">
        <v>790</v>
      </c>
      <c r="B520" s="3">
        <f>HYPERLINK("https://leetcode.com/problems/domino-and-tromino-tiling/", "Domino and Tromino Tiling")</f>
        <v/>
      </c>
      <c r="C520" s="1" t="n">
        <v>4159</v>
      </c>
      <c r="D520" s="1" t="n">
        <v>1322</v>
      </c>
      <c r="E520" s="4">
        <f>IF(INDEX(C:C, ROW())+INDEX(D:D, ROW())=0, 0, INDEX(C:C, ROW())/(INDEX(C:C, ROW())+INDEX(D:D, ROW())))</f>
        <v/>
      </c>
      <c r="F520" s="1" t="inlineStr">
        <is>
          <t>Dynamic Programming</t>
        </is>
      </c>
      <c r="G520" s="1" t="inlineStr">
        <is>
          <t>Medium</t>
        </is>
      </c>
      <c r="H520" s="1" t="n">
        <v>282052</v>
      </c>
      <c r="I520" s="1" t="n">
        <v>549102</v>
      </c>
      <c r="J520" s="9" t="n">
        <v>0.514</v>
      </c>
      <c r="K520" s="1" t="inlineStr">
        <is>
          <t>Yes</t>
        </is>
      </c>
      <c r="L520" s="1" t="inlineStr">
        <is>
          <t>Yes</t>
        </is>
      </c>
      <c r="M520" s="1" t="inlineStr">
        <is>
          <t>Yes</t>
        </is>
      </c>
      <c r="N520" s="1" t="inlineStr">
        <is>
          <t>Algorithms</t>
        </is>
      </c>
      <c r="O5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20" s="11" t="inlineStr">
        <is>
          <t>To Do</t>
        </is>
      </c>
    </row>
    <row r="521" ht="15.75" customHeight="1" s="12">
      <c r="A521" s="1" t="n">
        <v>779</v>
      </c>
      <c r="B521" s="3">
        <f>HYPERLINK("https://leetcode.com/problems/k-th-symbol-in-grammar/", "K-th Symbol in Grammar")</f>
        <v/>
      </c>
      <c r="C521" s="1" t="n">
        <v>4157</v>
      </c>
      <c r="D521" s="1" t="n">
        <v>427</v>
      </c>
      <c r="E521" s="4">
        <f>IF(INDEX(C:C, ROW())+INDEX(D:D, ROW())=0, 0, INDEX(C:C, ROW())/(INDEX(C:C, ROW())+INDEX(D:D, ROW())))</f>
        <v/>
      </c>
      <c r="F521" s="1" t="inlineStr">
        <is>
          <t>Math, Bit Manipulation, Recursion</t>
        </is>
      </c>
      <c r="G521" s="1" t="inlineStr">
        <is>
          <t>Medium</t>
        </is>
      </c>
      <c r="H521" s="1" t="n">
        <v>259271</v>
      </c>
      <c r="I521" s="1" t="n">
        <v>537275</v>
      </c>
      <c r="J521" s="9" t="n">
        <v>0.483</v>
      </c>
      <c r="K521" s="1" t="inlineStr">
        <is>
          <t>Yes</t>
        </is>
      </c>
      <c r="L521" s="1" t="inlineStr">
        <is>
          <t>Yes</t>
        </is>
      </c>
      <c r="M521" s="1" t="inlineStr">
        <is>
          <t>No</t>
        </is>
      </c>
      <c r="N521" s="1" t="inlineStr">
        <is>
          <t>Algorithms</t>
        </is>
      </c>
      <c r="O5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21" s="11" t="inlineStr">
        <is>
          <t>To Do</t>
        </is>
      </c>
    </row>
    <row r="522" ht="15.75" customHeight="1" s="12">
      <c r="A522" s="1" t="n">
        <v>1472</v>
      </c>
      <c r="B522" s="3">
        <f>HYPERLINK("https://leetcode.com/problems/design-browser-history/", "Design Browser History")</f>
        <v/>
      </c>
      <c r="C522" s="1" t="n">
        <v>4151</v>
      </c>
      <c r="D522" s="1" t="n">
        <v>271</v>
      </c>
      <c r="E522" s="4">
        <f>IF(INDEX(C:C, ROW())+INDEX(D:D, ROW())=0, 0, INDEX(C:C, ROW())/(INDEX(C:C, ROW())+INDEX(D:D, ROW())))</f>
        <v/>
      </c>
      <c r="F522" s="1" t="inlineStr">
        <is>
          <t>Array, Linked List, Stack, Design, Doubly-Linked List, Data Stream</t>
        </is>
      </c>
      <c r="G522" s="1" t="inlineStr">
        <is>
          <t>Medium</t>
        </is>
      </c>
      <c r="H522" s="1" t="n">
        <v>344146</v>
      </c>
      <c r="I522" s="1" t="n">
        <v>439338</v>
      </c>
      <c r="J522" s="9" t="n">
        <v>0.783</v>
      </c>
      <c r="K522" s="1" t="inlineStr">
        <is>
          <t>Yes</t>
        </is>
      </c>
      <c r="L522" s="1" t="inlineStr">
        <is>
          <t>Yes</t>
        </is>
      </c>
      <c r="M522" s="1" t="inlineStr">
        <is>
          <t>No</t>
        </is>
      </c>
      <c r="N522" s="1" t="inlineStr">
        <is>
          <t>Algorithms</t>
        </is>
      </c>
      <c r="O5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22" s="11" t="inlineStr">
        <is>
          <t>To Do</t>
        </is>
      </c>
    </row>
    <row r="523" ht="15.75" customHeight="1" s="12">
      <c r="A523" s="1" t="n">
        <v>515</v>
      </c>
      <c r="B523" s="3">
        <f>HYPERLINK("https://leetcode.com/problems/find-largest-value-in-each-tree-row/", "Find Largest Value in Each Tree Row")</f>
        <v/>
      </c>
      <c r="C523" s="1" t="n">
        <v>4145</v>
      </c>
      <c r="D523" s="1" t="n">
        <v>130</v>
      </c>
      <c r="E523" s="4">
        <f>IF(INDEX(C:C, ROW())+INDEX(D:D, ROW())=0, 0, INDEX(C:C, ROW())/(INDEX(C:C, ROW())+INDEX(D:D, ROW())))</f>
        <v/>
      </c>
      <c r="F523" s="1" t="inlineStr">
        <is>
          <t>Tree, Depth-First Search, Breadth-First Search, Binary Tree</t>
        </is>
      </c>
      <c r="G523" s="1" t="inlineStr">
        <is>
          <t>Medium</t>
        </is>
      </c>
      <c r="H523" s="1" t="n">
        <v>521796</v>
      </c>
      <c r="I523" s="1" t="n">
        <v>786879</v>
      </c>
      <c r="J523" s="9" t="n">
        <v>0.663</v>
      </c>
      <c r="K523" s="1" t="inlineStr">
        <is>
          <t>Yes</t>
        </is>
      </c>
      <c r="L523" s="1" t="inlineStr">
        <is>
          <t>Yes</t>
        </is>
      </c>
      <c r="M523" s="1" t="inlineStr">
        <is>
          <t>No</t>
        </is>
      </c>
      <c r="N523" s="1" t="inlineStr">
        <is>
          <t>Algorithms</t>
        </is>
      </c>
      <c r="O5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23" s="11" t="inlineStr">
        <is>
          <t>To Do</t>
        </is>
      </c>
    </row>
    <row r="524" ht="15.75" customHeight="1" s="12">
      <c r="A524" s="1" t="n">
        <v>1161</v>
      </c>
      <c r="B524" s="3">
        <f>HYPERLINK("https://leetcode.com/problems/maximum-level-sum-of-a-binary-tree/", "Maximum Level Sum of a Binary Tree")</f>
        <v/>
      </c>
      <c r="C524" s="1" t="n">
        <v>4139</v>
      </c>
      <c r="D524" s="1" t="n">
        <v>117</v>
      </c>
      <c r="E524" s="4">
        <f>IF(INDEX(C:C, ROW())+INDEX(D:D, ROW())=0, 0, INDEX(C:C, ROW())/(INDEX(C:C, ROW())+INDEX(D:D, ROW())))</f>
        <v/>
      </c>
      <c r="F524" s="1" t="inlineStr">
        <is>
          <t>Tree, Depth-First Search, Breadth-First Search, Binary Tree</t>
        </is>
      </c>
      <c r="G524" s="1" t="inlineStr">
        <is>
          <t>Medium</t>
        </is>
      </c>
      <c r="H524" s="1" t="n">
        <v>572601</v>
      </c>
      <c r="I524" s="1" t="n">
        <v>818110</v>
      </c>
      <c r="J524" s="9" t="n">
        <v>0.7</v>
      </c>
      <c r="K524" s="1" t="inlineStr">
        <is>
          <t>Yes</t>
        </is>
      </c>
      <c r="L524" s="1" t="inlineStr">
        <is>
          <t>Yes</t>
        </is>
      </c>
      <c r="M524" s="1" t="inlineStr">
        <is>
          <t>No</t>
        </is>
      </c>
      <c r="N524" s="1" t="inlineStr">
        <is>
          <t>Algorithms</t>
        </is>
      </c>
      <c r="O5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24" s="11" t="inlineStr">
        <is>
          <t>To Do</t>
        </is>
      </c>
    </row>
    <row r="525" ht="15.75" customHeight="1" s="12">
      <c r="A525" s="1" t="n">
        <v>1657</v>
      </c>
      <c r="B525" s="3">
        <f>HYPERLINK("https://leetcode.com/problems/determine-if-two-strings-are-close/", "Determine if Two Strings Are Close")</f>
        <v/>
      </c>
      <c r="C525" s="1" t="n">
        <v>4137</v>
      </c>
      <c r="D525" s="1" t="n">
        <v>360</v>
      </c>
      <c r="E525" s="4">
        <f>IF(INDEX(C:C, ROW())+INDEX(D:D, ROW())=0, 0, INDEX(C:C, ROW())/(INDEX(C:C, ROW())+INDEX(D:D, ROW())))</f>
        <v/>
      </c>
      <c r="F525" s="1" t="inlineStr">
        <is>
          <t>Hash Table, String, Sorting, Counting</t>
        </is>
      </c>
      <c r="G525" s="1" t="inlineStr">
        <is>
          <t>Medium</t>
        </is>
      </c>
      <c r="H525" s="1" t="n">
        <v>569725</v>
      </c>
      <c r="I525" s="1" t="n">
        <v>1049709</v>
      </c>
      <c r="J525" s="9" t="n">
        <v>0.543</v>
      </c>
      <c r="K525" s="1" t="inlineStr">
        <is>
          <t>Yes</t>
        </is>
      </c>
      <c r="L525" s="1" t="inlineStr">
        <is>
          <t>Yes</t>
        </is>
      </c>
      <c r="M525" s="1" t="inlineStr">
        <is>
          <t>No</t>
        </is>
      </c>
      <c r="N525" s="1" t="inlineStr">
        <is>
          <t>Algorithms</t>
        </is>
      </c>
      <c r="O5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25" s="11" t="inlineStr">
        <is>
          <t>To Do</t>
        </is>
      </c>
    </row>
    <row r="526" ht="15.75" customHeight="1" s="12">
      <c r="A526" s="1" t="n">
        <v>501</v>
      </c>
      <c r="B526" s="3">
        <f>HYPERLINK("https://leetcode.com/problems/find-mode-in-binary-search-tree/", "Find Mode in Binary Search Tree")</f>
        <v/>
      </c>
      <c r="C526" s="1" t="n">
        <v>4127</v>
      </c>
      <c r="D526" s="1" t="n">
        <v>816</v>
      </c>
      <c r="E526" s="4">
        <f>IF(INDEX(C:C, ROW())+INDEX(D:D, ROW())=0, 0, INDEX(C:C, ROW())/(INDEX(C:C, ROW())+INDEX(D:D, ROW())))</f>
        <v/>
      </c>
      <c r="F526" s="1" t="inlineStr">
        <is>
          <t>Tree, Depth-First Search, Binary Search Tree, Binary Tree</t>
        </is>
      </c>
      <c r="G526" s="1" t="inlineStr">
        <is>
          <t>Easy</t>
        </is>
      </c>
      <c r="H526" s="1" t="n">
        <v>396386</v>
      </c>
      <c r="I526" s="1" t="n">
        <v>673329</v>
      </c>
      <c r="J526" s="9" t="n">
        <v>0.589</v>
      </c>
      <c r="K526" s="1" t="inlineStr">
        <is>
          <t>Yes</t>
        </is>
      </c>
      <c r="L526" s="1" t="inlineStr">
        <is>
          <t>Yes</t>
        </is>
      </c>
      <c r="M526" s="1" t="inlineStr">
        <is>
          <t>No</t>
        </is>
      </c>
      <c r="N526" s="1" t="inlineStr">
        <is>
          <t>Algorithms</t>
        </is>
      </c>
      <c r="O5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26" s="13" t="inlineStr">
        <is>
          <t>Done</t>
        </is>
      </c>
    </row>
    <row r="527" ht="15.75" customHeight="1" s="12">
      <c r="A527" s="1" t="n">
        <v>1823</v>
      </c>
      <c r="B527" s="3">
        <f>HYPERLINK("https://leetcode.com/problems/find-the-winner-of-the-circular-game/", "Find the Winner of the Circular Game")</f>
        <v/>
      </c>
      <c r="C527" s="1" t="n">
        <v>4114</v>
      </c>
      <c r="D527" s="1" t="n">
        <v>130</v>
      </c>
      <c r="E527" s="4">
        <f>IF(INDEX(C:C, ROW())+INDEX(D:D, ROW())=0, 0, INDEX(C:C, ROW())/(INDEX(C:C, ROW())+INDEX(D:D, ROW())))</f>
        <v/>
      </c>
      <c r="F527" s="1" t="inlineStr">
        <is>
          <t>Array, Math, Recursion, Queue, Simulation</t>
        </is>
      </c>
      <c r="G527" s="1" t="inlineStr">
        <is>
          <t>Medium</t>
        </is>
      </c>
      <c r="H527" s="1" t="n">
        <v>378637</v>
      </c>
      <c r="I527" s="1" t="n">
        <v>460415</v>
      </c>
      <c r="J527" s="9" t="n">
        <v>0.822</v>
      </c>
      <c r="K527" s="1" t="inlineStr">
        <is>
          <t>Yes</t>
        </is>
      </c>
      <c r="L527" s="1" t="inlineStr">
        <is>
          <t>Yes</t>
        </is>
      </c>
      <c r="M527" s="1" t="inlineStr">
        <is>
          <t>No</t>
        </is>
      </c>
      <c r="N527" s="1" t="inlineStr">
        <is>
          <t>Algorithms</t>
        </is>
      </c>
      <c r="O5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27" s="11" t="inlineStr">
        <is>
          <t>To Do</t>
        </is>
      </c>
    </row>
    <row r="528" ht="15.75" customHeight="1" s="12">
      <c r="A528" s="1" t="n">
        <v>472</v>
      </c>
      <c r="B528" s="3">
        <f>HYPERLINK("https://leetcode.com/problems/concatenated-words/", "Concatenated Words")</f>
        <v/>
      </c>
      <c r="C528" s="1" t="n">
        <v>4071</v>
      </c>
      <c r="D528" s="1" t="n">
        <v>294</v>
      </c>
      <c r="E528" s="4">
        <f>IF(INDEX(C:C, ROW())+INDEX(D:D, ROW())=0, 0, INDEX(C:C, ROW())/(INDEX(C:C, ROW())+INDEX(D:D, ROW())))</f>
        <v/>
      </c>
      <c r="F528" s="1" t="inlineStr">
        <is>
          <t>Array, String, Dynamic Programming, Depth-First Search, Trie, Sorting</t>
        </is>
      </c>
      <c r="G528" s="1" t="inlineStr">
        <is>
          <t>Hard</t>
        </is>
      </c>
      <c r="H528" s="1" t="n">
        <v>268310</v>
      </c>
      <c r="I528" s="1" t="n">
        <v>538999</v>
      </c>
      <c r="J528" s="9" t="n">
        <v>0.498</v>
      </c>
      <c r="K528" s="1" t="inlineStr">
        <is>
          <t>Yes</t>
        </is>
      </c>
      <c r="L528" s="1" t="inlineStr">
        <is>
          <t>Yes</t>
        </is>
      </c>
      <c r="M528" s="1" t="inlineStr">
        <is>
          <t>No</t>
        </is>
      </c>
      <c r="N528" s="1" t="inlineStr">
        <is>
          <t>Algorithms</t>
        </is>
      </c>
      <c r="O5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28" s="11" t="inlineStr">
        <is>
          <t>To Do</t>
        </is>
      </c>
    </row>
    <row r="529" ht="15.75" customHeight="1" s="12">
      <c r="A529" s="1" t="n">
        <v>705</v>
      </c>
      <c r="B529" s="3">
        <f>HYPERLINK("https://leetcode.com/problems/design-hashset/", "Design HashSet")</f>
        <v/>
      </c>
      <c r="C529" s="1" t="n">
        <v>4047</v>
      </c>
      <c r="D529" s="1" t="n">
        <v>329</v>
      </c>
      <c r="E529" s="4">
        <f>IF(INDEX(C:C, ROW())+INDEX(D:D, ROW())=0, 0, INDEX(C:C, ROW())/(INDEX(C:C, ROW())+INDEX(D:D, ROW())))</f>
        <v/>
      </c>
      <c r="F529" s="1" t="inlineStr">
        <is>
          <t>Array, Hash Table, Linked List, Design, Hash Function</t>
        </is>
      </c>
      <c r="G529" s="1" t="inlineStr">
        <is>
          <t>Easy</t>
        </is>
      </c>
      <c r="H529" s="1" t="n">
        <v>575700</v>
      </c>
      <c r="I529" s="1" t="n">
        <v>846642</v>
      </c>
      <c r="J529" s="9" t="n">
        <v>0.68</v>
      </c>
      <c r="K529" s="1" t="inlineStr">
        <is>
          <t>Yes</t>
        </is>
      </c>
      <c r="L529" s="1" t="inlineStr">
        <is>
          <t>Yes</t>
        </is>
      </c>
      <c r="M529" s="1" t="inlineStr">
        <is>
          <t>No</t>
        </is>
      </c>
      <c r="N529" s="1" t="inlineStr">
        <is>
          <t>Algorithms</t>
        </is>
      </c>
      <c r="O5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29" s="13" t="inlineStr">
        <is>
          <t>Done</t>
        </is>
      </c>
    </row>
    <row r="530" ht="15.75" customHeight="1" s="12">
      <c r="A530" s="1" t="n">
        <v>990</v>
      </c>
      <c r="B530" s="3">
        <f>HYPERLINK("https://leetcode.com/problems/satisfiability-of-equality-equations/", "Satisfiability of Equality Equations")</f>
        <v/>
      </c>
      <c r="C530" s="1" t="n">
        <v>4047</v>
      </c>
      <c r="D530" s="1" t="n">
        <v>68</v>
      </c>
      <c r="E530" s="4">
        <f>IF(INDEX(C:C, ROW())+INDEX(D:D, ROW())=0, 0, INDEX(C:C, ROW())/(INDEX(C:C, ROW())+INDEX(D:D, ROW())))</f>
        <v/>
      </c>
      <c r="F530" s="1" t="inlineStr">
        <is>
          <t>Array, String, Union-Find, Graph Theory</t>
        </is>
      </c>
      <c r="G530" s="1" t="inlineStr">
        <is>
          <t>Medium</t>
        </is>
      </c>
      <c r="H530" s="1" t="n">
        <v>168773</v>
      </c>
      <c r="I530" s="1" t="n">
        <v>325714</v>
      </c>
      <c r="J530" s="9" t="n">
        <v>0.518</v>
      </c>
      <c r="K530" s="1" t="inlineStr">
        <is>
          <t>Yes</t>
        </is>
      </c>
      <c r="L530" s="1" t="inlineStr">
        <is>
          <t>Yes</t>
        </is>
      </c>
      <c r="M530" s="1" t="inlineStr">
        <is>
          <t>No</t>
        </is>
      </c>
      <c r="N530" s="1" t="inlineStr">
        <is>
          <t>Algorithms</t>
        </is>
      </c>
      <c r="O5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30" s="11" t="inlineStr">
        <is>
          <t>To Do</t>
        </is>
      </c>
    </row>
    <row r="531" ht="15.75" customHeight="1" s="12">
      <c r="A531" s="1" t="n">
        <v>1920</v>
      </c>
      <c r="B531" s="3">
        <f>HYPERLINK("https://leetcode.com/problems/build-array-from-permutation/", "Build Array from Permutation")</f>
        <v/>
      </c>
      <c r="C531" s="1" t="n">
        <v>4046</v>
      </c>
      <c r="D531" s="1" t="n">
        <v>494</v>
      </c>
      <c r="E531" s="4">
        <f>IF(INDEX(C:C, ROW())+INDEX(D:D, ROW())=0, 0, INDEX(C:C, ROW())/(INDEX(C:C, ROW())+INDEX(D:D, ROW())))</f>
        <v/>
      </c>
      <c r="F531" s="1" t="inlineStr">
        <is>
          <t>Array, Simulation</t>
        </is>
      </c>
      <c r="G531" s="1" t="inlineStr">
        <is>
          <t>Easy</t>
        </is>
      </c>
      <c r="H531" s="1" t="n">
        <v>865376</v>
      </c>
      <c r="I531" s="1" t="n">
        <v>950046</v>
      </c>
      <c r="J531" s="9" t="n">
        <v>0.911</v>
      </c>
      <c r="K531" s="1" t="inlineStr">
        <is>
          <t>Yes</t>
        </is>
      </c>
      <c r="L531" s="1" t="inlineStr">
        <is>
          <t>Yes</t>
        </is>
      </c>
      <c r="M531" s="1" t="inlineStr">
        <is>
          <t>No</t>
        </is>
      </c>
      <c r="N531" s="1" t="inlineStr">
        <is>
          <t>Algorithms</t>
        </is>
      </c>
      <c r="O5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31" s="13" t="inlineStr">
        <is>
          <t>Done</t>
        </is>
      </c>
    </row>
    <row r="532" ht="15.75" customHeight="1" s="12">
      <c r="A532" s="1" t="n">
        <v>473</v>
      </c>
      <c r="B532" s="3">
        <f>HYPERLINK("https://leetcode.com/problems/matchsticks-to-square/", "Matchsticks to Square")</f>
        <v/>
      </c>
      <c r="C532" s="1" t="n">
        <v>4045</v>
      </c>
      <c r="D532" s="1" t="n">
        <v>308</v>
      </c>
      <c r="E532" s="4">
        <f>IF(INDEX(C:C, ROW())+INDEX(D:D, ROW())=0, 0, INDEX(C:C, ROW())/(INDEX(C:C, ROW())+INDEX(D:D, ROW())))</f>
        <v/>
      </c>
      <c r="F532" s="1" t="inlineStr">
        <is>
          <t>Array, Dynamic Programming, Backtracking, Bit Manipulation, Bitmask</t>
        </is>
      </c>
      <c r="G532" s="1" t="inlineStr">
        <is>
          <t>Medium</t>
        </is>
      </c>
      <c r="H532" s="1" t="n">
        <v>215477</v>
      </c>
      <c r="I532" s="1" t="n">
        <v>515278</v>
      </c>
      <c r="J532" s="9" t="n">
        <v>0.418</v>
      </c>
      <c r="K532" s="1" t="inlineStr">
        <is>
          <t>Yes</t>
        </is>
      </c>
      <c r="L532" s="1" t="inlineStr">
        <is>
          <t>Yes</t>
        </is>
      </c>
      <c r="M532" s="1" t="inlineStr">
        <is>
          <t>No</t>
        </is>
      </c>
      <c r="N532" s="1" t="inlineStr">
        <is>
          <t>Algorithms</t>
        </is>
      </c>
      <c r="O5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32" s="11" t="inlineStr">
        <is>
          <t>To Do</t>
        </is>
      </c>
    </row>
    <row r="533" ht="15.75" customHeight="1" s="12">
      <c r="A533" s="1" t="n">
        <v>1710</v>
      </c>
      <c r="B533" s="3">
        <f>HYPERLINK("https://leetcode.com/problems/maximum-units-on-a-truck/", "Maximum Units on a Truck")</f>
        <v/>
      </c>
      <c r="C533" s="1" t="n">
        <v>4045</v>
      </c>
      <c r="D533" s="1" t="n">
        <v>240</v>
      </c>
      <c r="E533" s="4">
        <f>IF(INDEX(C:C, ROW())+INDEX(D:D, ROW())=0, 0, INDEX(C:C, ROW())/(INDEX(C:C, ROW())+INDEX(D:D, ROW())))</f>
        <v/>
      </c>
      <c r="F533" s="1" t="inlineStr">
        <is>
          <t>Array, Greedy, Sorting</t>
        </is>
      </c>
      <c r="G533" s="1" t="inlineStr">
        <is>
          <t>Easy</t>
        </is>
      </c>
      <c r="H533" s="1" t="n">
        <v>391530</v>
      </c>
      <c r="I533" s="1" t="n">
        <v>523152</v>
      </c>
      <c r="J533" s="9" t="n">
        <v>0.748</v>
      </c>
      <c r="K533" s="1" t="inlineStr">
        <is>
          <t>Yes</t>
        </is>
      </c>
      <c r="L533" s="1" t="inlineStr">
        <is>
          <t>Yes</t>
        </is>
      </c>
      <c r="M533" s="1" t="inlineStr">
        <is>
          <t>No</t>
        </is>
      </c>
      <c r="N533" s="1" t="inlineStr">
        <is>
          <t>Algorithms</t>
        </is>
      </c>
      <c r="O5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33" s="13" t="inlineStr">
        <is>
          <t>Done</t>
        </is>
      </c>
    </row>
    <row r="534" ht="15.75" customHeight="1" s="12">
      <c r="A534" s="1" t="n">
        <v>461</v>
      </c>
      <c r="B534" s="3">
        <f>HYPERLINK("https://leetcode.com/problems/hamming-distance/", "Hamming Distance")</f>
        <v/>
      </c>
      <c r="C534" s="1" t="n">
        <v>4039</v>
      </c>
      <c r="D534" s="1" t="n">
        <v>231</v>
      </c>
      <c r="E534" s="4">
        <f>IF(INDEX(C:C, ROW())+INDEX(D:D, ROW())=0, 0, INDEX(C:C, ROW())/(INDEX(C:C, ROW())+INDEX(D:D, ROW())))</f>
        <v/>
      </c>
      <c r="F534" s="1" t="inlineStr">
        <is>
          <t>Bit Manipulation</t>
        </is>
      </c>
      <c r="G534" s="1" t="inlineStr">
        <is>
          <t>Easy</t>
        </is>
      </c>
      <c r="H534" s="1" t="n">
        <v>691963</v>
      </c>
      <c r="I534" s="1" t="n">
        <v>901422</v>
      </c>
      <c r="J534" s="9" t="n">
        <v>0.768</v>
      </c>
      <c r="K534" s="1" t="inlineStr">
        <is>
          <t>Yes</t>
        </is>
      </c>
      <c r="L534" s="1" t="inlineStr">
        <is>
          <t>Yes</t>
        </is>
      </c>
      <c r="M534" s="1" t="inlineStr">
        <is>
          <t>No</t>
        </is>
      </c>
      <c r="N534" s="1" t="inlineStr">
        <is>
          <t>Algorithms</t>
        </is>
      </c>
      <c r="O5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34" s="13" t="inlineStr">
        <is>
          <t>Done</t>
        </is>
      </c>
    </row>
    <row r="535" ht="15.75" customHeight="1" s="12">
      <c r="A535" s="1" t="n">
        <v>688</v>
      </c>
      <c r="B535" s="3">
        <f>HYPERLINK("https://leetcode.com/problems/knight-probability-in-chessboard/", "Knight Probability in Chessboard")</f>
        <v/>
      </c>
      <c r="C535" s="1" t="n">
        <v>4038</v>
      </c>
      <c r="D535" s="1" t="n">
        <v>497</v>
      </c>
      <c r="E535" s="4">
        <f>IF(INDEX(C:C, ROW())+INDEX(D:D, ROW())=0, 0, INDEX(C:C, ROW())/(INDEX(C:C, ROW())+INDEX(D:D, ROW())))</f>
        <v/>
      </c>
      <c r="F535" s="1" t="inlineStr">
        <is>
          <t>Dynamic Programming</t>
        </is>
      </c>
      <c r="G535" s="1" t="inlineStr">
        <is>
          <t>Medium</t>
        </is>
      </c>
      <c r="H535" s="1" t="n">
        <v>185274</v>
      </c>
      <c r="I535" s="1" t="n">
        <v>325013</v>
      </c>
      <c r="J535" s="9" t="n">
        <v>0.57</v>
      </c>
      <c r="K535" s="1" t="inlineStr">
        <is>
          <t>Yes</t>
        </is>
      </c>
      <c r="L535" s="1" t="inlineStr">
        <is>
          <t>Yes</t>
        </is>
      </c>
      <c r="M535" s="1" t="inlineStr">
        <is>
          <t>No</t>
        </is>
      </c>
      <c r="N535" s="1" t="inlineStr">
        <is>
          <t>Algorithms</t>
        </is>
      </c>
      <c r="O5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35" s="11" t="inlineStr">
        <is>
          <t>To Do</t>
        </is>
      </c>
    </row>
    <row r="536" ht="15.75" customHeight="1" s="12">
      <c r="A536" s="1" t="n">
        <v>890</v>
      </c>
      <c r="B536" s="3">
        <f>HYPERLINK("https://leetcode.com/problems/find-and-replace-pattern/", "Find and Replace Pattern")</f>
        <v/>
      </c>
      <c r="C536" s="1" t="n">
        <v>4035</v>
      </c>
      <c r="D536" s="1" t="n">
        <v>175</v>
      </c>
      <c r="E536" s="4">
        <f>IF(INDEX(C:C, ROW())+INDEX(D:D, ROW())=0, 0, INDEX(C:C, ROW())/(INDEX(C:C, ROW())+INDEX(D:D, ROW())))</f>
        <v/>
      </c>
      <c r="F536" s="1" t="inlineStr">
        <is>
          <t>Array, Hash Table, String</t>
        </is>
      </c>
      <c r="G536" s="1" t="inlineStr">
        <is>
          <t>Medium</t>
        </is>
      </c>
      <c r="H536" s="1" t="n">
        <v>215427</v>
      </c>
      <c r="I536" s="1" t="n">
        <v>279699</v>
      </c>
      <c r="J536" s="9" t="n">
        <v>0.77</v>
      </c>
      <c r="K536" s="1" t="inlineStr">
        <is>
          <t>Yes</t>
        </is>
      </c>
      <c r="L536" s="1" t="inlineStr">
        <is>
          <t>Yes</t>
        </is>
      </c>
      <c r="M536" s="1" t="inlineStr">
        <is>
          <t>No</t>
        </is>
      </c>
      <c r="N536" s="1" t="inlineStr">
        <is>
          <t>Algorithms</t>
        </is>
      </c>
      <c r="O5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36" s="11" t="inlineStr">
        <is>
          <t>To Do</t>
        </is>
      </c>
    </row>
    <row r="537" ht="15.75" customHeight="1" s="12">
      <c r="A537" s="1" t="n">
        <v>513</v>
      </c>
      <c r="B537" s="3">
        <f>HYPERLINK("https://leetcode.com/problems/find-bottom-left-tree-value/", "Find Bottom Left Tree Value")</f>
        <v/>
      </c>
      <c r="C537" s="1" t="n">
        <v>4021</v>
      </c>
      <c r="D537" s="1" t="n">
        <v>302</v>
      </c>
      <c r="E537" s="4">
        <f>IF(INDEX(C:C, ROW())+INDEX(D:D, ROW())=0, 0, INDEX(C:C, ROW())/(INDEX(C:C, ROW())+INDEX(D:D, ROW())))</f>
        <v/>
      </c>
      <c r="F537" s="1" t="inlineStr">
        <is>
          <t>Tree, Depth-First Search, Breadth-First Search, Binary Tree</t>
        </is>
      </c>
      <c r="G537" s="1" t="inlineStr">
        <is>
          <t>Medium</t>
        </is>
      </c>
      <c r="H537" s="1" t="n">
        <v>444905</v>
      </c>
      <c r="I537" s="1" t="n">
        <v>615357</v>
      </c>
      <c r="J537" s="9" t="n">
        <v>0.723</v>
      </c>
      <c r="K537" s="1" t="inlineStr">
        <is>
          <t>Yes</t>
        </is>
      </c>
      <c r="L537" s="1" t="inlineStr">
        <is>
          <t>Yes</t>
        </is>
      </c>
      <c r="M537" s="1" t="inlineStr">
        <is>
          <t>No</t>
        </is>
      </c>
      <c r="N537" s="1" t="inlineStr">
        <is>
          <t>Algorithms</t>
        </is>
      </c>
      <c r="O5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37" s="11" t="inlineStr">
        <is>
          <t>To Do</t>
        </is>
      </c>
    </row>
    <row r="538" ht="15.75" customHeight="1" s="12">
      <c r="A538" s="1" t="n">
        <v>630</v>
      </c>
      <c r="B538" s="3">
        <f>HYPERLINK("https://leetcode.com/problems/course-schedule-iii/", "Course Schedule III")</f>
        <v/>
      </c>
      <c r="C538" s="1" t="n">
        <v>4016</v>
      </c>
      <c r="D538" s="1" t="n">
        <v>103</v>
      </c>
      <c r="E538" s="4">
        <f>IF(INDEX(C:C, ROW())+INDEX(D:D, ROW())=0, 0, INDEX(C:C, ROW())/(INDEX(C:C, ROW())+INDEX(D:D, ROW())))</f>
        <v/>
      </c>
      <c r="F538" s="1" t="inlineStr">
        <is>
          <t>Array, Greedy, Sorting, Heap (Priority Queue)</t>
        </is>
      </c>
      <c r="G538" s="1" t="inlineStr">
        <is>
          <t>Hard</t>
        </is>
      </c>
      <c r="H538" s="1" t="n">
        <v>141315</v>
      </c>
      <c r="I538" s="1" t="n">
        <v>339332</v>
      </c>
      <c r="J538" s="9" t="n">
        <v>0.416</v>
      </c>
      <c r="K538" s="1" t="inlineStr">
        <is>
          <t>Yes</t>
        </is>
      </c>
      <c r="L538" s="1" t="inlineStr">
        <is>
          <t>Yes</t>
        </is>
      </c>
      <c r="M538" s="1" t="inlineStr">
        <is>
          <t>No</t>
        </is>
      </c>
      <c r="N538" s="1" t="inlineStr">
        <is>
          <t>Algorithms</t>
        </is>
      </c>
      <c r="O5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38" s="11" t="inlineStr">
        <is>
          <t>To Do</t>
        </is>
      </c>
    </row>
    <row r="539" ht="15.75" customHeight="1" s="12">
      <c r="A539" s="1" t="n">
        <v>1353</v>
      </c>
      <c r="B539" s="3">
        <f>HYPERLINK("https://leetcode.com/problems/maximum-number-of-events-that-can-be-attended/", "Maximum Number of Events That Can Be Attended")</f>
        <v/>
      </c>
      <c r="C539" s="1" t="n">
        <v>4011</v>
      </c>
      <c r="D539" s="1" t="n">
        <v>636</v>
      </c>
      <c r="E539" s="4">
        <f>IF(INDEX(C:C, ROW())+INDEX(D:D, ROW())=0, 0, INDEX(C:C, ROW())/(INDEX(C:C, ROW())+INDEX(D:D, ROW())))</f>
        <v/>
      </c>
      <c r="F539" s="1" t="inlineStr">
        <is>
          <t>Array, Greedy, Sorting, Heap (Priority Queue)</t>
        </is>
      </c>
      <c r="G539" s="1" t="inlineStr">
        <is>
          <t>Medium</t>
        </is>
      </c>
      <c r="H539" s="1" t="n">
        <v>227750</v>
      </c>
      <c r="I539" s="1" t="n">
        <v>584530</v>
      </c>
      <c r="J539" s="9" t="n">
        <v>0.39</v>
      </c>
      <c r="K539" s="1" t="inlineStr">
        <is>
          <t>Yes</t>
        </is>
      </c>
      <c r="L539" s="1" t="inlineStr">
        <is>
          <t>Yes</t>
        </is>
      </c>
      <c r="M539" s="1" t="inlineStr">
        <is>
          <t>No</t>
        </is>
      </c>
      <c r="N539" s="1" t="inlineStr">
        <is>
          <t>Algorithms</t>
        </is>
      </c>
      <c r="O5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39" s="11" t="inlineStr">
        <is>
          <t>To Do</t>
        </is>
      </c>
    </row>
    <row r="540" ht="15.75" customHeight="1" s="12">
      <c r="A540" s="1" t="n">
        <v>576</v>
      </c>
      <c r="B540" s="3">
        <f>HYPERLINK("https://leetcode.com/problems/out-of-boundary-paths/", "Out of Boundary Paths")</f>
        <v/>
      </c>
      <c r="C540" s="1" t="n">
        <v>3994</v>
      </c>
      <c r="D540" s="1" t="n">
        <v>296</v>
      </c>
      <c r="E540" s="4">
        <f>IF(INDEX(C:C, ROW())+INDEX(D:D, ROW())=0, 0, INDEX(C:C, ROW())/(INDEX(C:C, ROW())+INDEX(D:D, ROW())))</f>
        <v/>
      </c>
      <c r="F540" s="1" t="inlineStr">
        <is>
          <t>Dynamic Programming</t>
        </is>
      </c>
      <c r="G540" s="1" t="inlineStr">
        <is>
          <t>Medium</t>
        </is>
      </c>
      <c r="H540" s="1" t="n">
        <v>230522</v>
      </c>
      <c r="I540" s="1" t="n">
        <v>475968</v>
      </c>
      <c r="J540" s="9" t="n">
        <v>0.484</v>
      </c>
      <c r="K540" s="1" t="inlineStr">
        <is>
          <t>Yes</t>
        </is>
      </c>
      <c r="L540" s="1" t="inlineStr">
        <is>
          <t>Yes</t>
        </is>
      </c>
      <c r="M540" s="1" t="inlineStr">
        <is>
          <t>No</t>
        </is>
      </c>
      <c r="N540" s="1" t="inlineStr">
        <is>
          <t>Algorithms</t>
        </is>
      </c>
      <c r="O5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40" s="11" t="inlineStr">
        <is>
          <t>To Do</t>
        </is>
      </c>
    </row>
    <row r="541" ht="15.75" customHeight="1" s="12">
      <c r="A541" s="1" t="n">
        <v>959</v>
      </c>
      <c r="B541" s="3">
        <f>HYPERLINK("https://leetcode.com/problems/regions-cut-by-slashes/", "Regions Cut By Slashes")</f>
        <v/>
      </c>
      <c r="C541" s="1" t="n">
        <v>3992</v>
      </c>
      <c r="D541" s="1" t="n">
        <v>875</v>
      </c>
      <c r="E541" s="4">
        <f>IF(INDEX(C:C, ROW())+INDEX(D:D, ROW())=0, 0, INDEX(C:C, ROW())/(INDEX(C:C, ROW())+INDEX(D:D, ROW())))</f>
        <v/>
      </c>
      <c r="F541" s="1" t="inlineStr">
        <is>
          <t>Array, Hash Table, Depth-First Search, Breadth-First Search, Union-Find, Matrix</t>
        </is>
      </c>
      <c r="G541" s="1" t="inlineStr">
        <is>
          <t>Medium</t>
        </is>
      </c>
      <c r="H541" s="1" t="n">
        <v>151134</v>
      </c>
      <c r="I541" s="1" t="n">
        <v>194968</v>
      </c>
      <c r="J541" s="9" t="n">
        <v>0.775</v>
      </c>
      <c r="K541" s="1" t="inlineStr">
        <is>
          <t>Yes</t>
        </is>
      </c>
      <c r="L541" s="1" t="inlineStr">
        <is>
          <t>Yes</t>
        </is>
      </c>
      <c r="M541" s="1" t="inlineStr">
        <is>
          <t>No</t>
        </is>
      </c>
      <c r="N541" s="1" t="inlineStr">
        <is>
          <t>Algorithms</t>
        </is>
      </c>
      <c r="O5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41" s="11" t="inlineStr">
        <is>
          <t>To Do</t>
        </is>
      </c>
    </row>
    <row r="542" ht="15.75" customHeight="1" s="12">
      <c r="A542" s="1" t="n">
        <v>1035</v>
      </c>
      <c r="B542" s="3">
        <f>HYPERLINK("https://leetcode.com/problems/uncrossed-lines/", "Uncrossed Lines")</f>
        <v/>
      </c>
      <c r="C542" s="1" t="n">
        <v>3977</v>
      </c>
      <c r="D542" s="1" t="n">
        <v>63</v>
      </c>
      <c r="E542" s="4">
        <f>IF(INDEX(C:C, ROW())+INDEX(D:D, ROW())=0, 0, INDEX(C:C, ROW())/(INDEX(C:C, ROW())+INDEX(D:D, ROW())))</f>
        <v/>
      </c>
      <c r="F542" s="1" t="inlineStr">
        <is>
          <t>Array, Dynamic Programming</t>
        </is>
      </c>
      <c r="G542" s="1" t="inlineStr">
        <is>
          <t>Medium</t>
        </is>
      </c>
      <c r="H542" s="1" t="n">
        <v>196005</v>
      </c>
      <c r="I542" s="1" t="n">
        <v>300524</v>
      </c>
      <c r="J542" s="9" t="n">
        <v>0.652</v>
      </c>
      <c r="K542" s="1" t="inlineStr">
        <is>
          <t>Yes</t>
        </is>
      </c>
      <c r="L542" s="1" t="inlineStr">
        <is>
          <t>Yes</t>
        </is>
      </c>
      <c r="M542" s="1" t="inlineStr">
        <is>
          <t>No</t>
        </is>
      </c>
      <c r="N542" s="1" t="inlineStr">
        <is>
          <t>Algorithms</t>
        </is>
      </c>
      <c r="O5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42" s="11" t="inlineStr">
        <is>
          <t>To Do</t>
        </is>
      </c>
    </row>
    <row r="543" ht="15.75" customHeight="1" s="12">
      <c r="A543" s="1" t="n">
        <v>838</v>
      </c>
      <c r="B543" s="3">
        <f>HYPERLINK("https://leetcode.com/problems/push-dominoes/", "Push Dominoes")</f>
        <v/>
      </c>
      <c r="C543" s="1" t="n">
        <v>3961</v>
      </c>
      <c r="D543" s="1" t="n">
        <v>277</v>
      </c>
      <c r="E543" s="4">
        <f>IF(INDEX(C:C, ROW())+INDEX(D:D, ROW())=0, 0, INDEX(C:C, ROW())/(INDEX(C:C, ROW())+INDEX(D:D, ROW())))</f>
        <v/>
      </c>
      <c r="F543" s="1" t="inlineStr">
        <is>
          <t>Two Pointers, String, Dynamic Programming</t>
        </is>
      </c>
      <c r="G543" s="1" t="inlineStr">
        <is>
          <t>Medium</t>
        </is>
      </c>
      <c r="H543" s="1" t="n">
        <v>229682</v>
      </c>
      <c r="I543" s="1" t="n">
        <v>364499</v>
      </c>
      <c r="J543" s="9" t="n">
        <v>0.63</v>
      </c>
      <c r="K543" s="1" t="inlineStr">
        <is>
          <t>Yes</t>
        </is>
      </c>
      <c r="L543" s="1" t="inlineStr">
        <is>
          <t>Yes</t>
        </is>
      </c>
      <c r="M543" s="1" t="inlineStr">
        <is>
          <t>No</t>
        </is>
      </c>
      <c r="N543" s="1" t="inlineStr">
        <is>
          <t>Algorithms</t>
        </is>
      </c>
      <c r="O5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43" s="11" t="inlineStr">
        <is>
          <t>To Do</t>
        </is>
      </c>
    </row>
    <row r="544" ht="15.75" customHeight="1" s="12">
      <c r="A544" s="1" t="n">
        <v>1456</v>
      </c>
      <c r="B544" s="3">
        <f>HYPERLINK("https://leetcode.com/problems/maximum-number-of-vowels-in-a-substring-of-given-length/", "Maximum Number of Vowels in a Substring of Given Length")</f>
        <v/>
      </c>
      <c r="C544" s="1" t="n">
        <v>3959</v>
      </c>
      <c r="D544" s="1" t="n">
        <v>152</v>
      </c>
      <c r="E544" s="4">
        <f>IF(INDEX(C:C, ROW())+INDEX(D:D, ROW())=0, 0, INDEX(C:C, ROW())/(INDEX(C:C, ROW())+INDEX(D:D, ROW())))</f>
        <v/>
      </c>
      <c r="F544" s="1" t="inlineStr">
        <is>
          <t>String, Sliding Window</t>
        </is>
      </c>
      <c r="G544" s="1" t="inlineStr">
        <is>
          <t>Medium</t>
        </is>
      </c>
      <c r="H544" s="1" t="n">
        <v>690971</v>
      </c>
      <c r="I544" s="1" t="n">
        <v>1116840</v>
      </c>
      <c r="J544" s="9" t="n">
        <v>0.619</v>
      </c>
      <c r="K544" s="1" t="inlineStr">
        <is>
          <t>Yes</t>
        </is>
      </c>
      <c r="L544" s="1" t="inlineStr">
        <is>
          <t>Yes</t>
        </is>
      </c>
      <c r="M544" s="1" t="inlineStr">
        <is>
          <t>No</t>
        </is>
      </c>
      <c r="N544" s="1" t="inlineStr">
        <is>
          <t>Algorithms</t>
        </is>
      </c>
      <c r="O5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44" s="11" t="inlineStr">
        <is>
          <t>To Do</t>
        </is>
      </c>
    </row>
    <row r="545" ht="15.75" customHeight="1" s="12">
      <c r="A545" s="1" t="n">
        <v>556</v>
      </c>
      <c r="B545" s="3">
        <f>HYPERLINK("https://leetcode.com/problems/next-greater-element-iii/", "Next Greater Element III")</f>
        <v/>
      </c>
      <c r="C545" s="1" t="n">
        <v>3946</v>
      </c>
      <c r="D545" s="1" t="n">
        <v>497</v>
      </c>
      <c r="E545" s="4">
        <f>IF(INDEX(C:C, ROW())+INDEX(D:D, ROW())=0, 0, INDEX(C:C, ROW())/(INDEX(C:C, ROW())+INDEX(D:D, ROW())))</f>
        <v/>
      </c>
      <c r="F545" s="1" t="inlineStr">
        <is>
          <t>Math, Two Pointers, String</t>
        </is>
      </c>
      <c r="G545" s="1" t="inlineStr">
        <is>
          <t>Medium</t>
        </is>
      </c>
      <c r="H545" s="1" t="n">
        <v>210240</v>
      </c>
      <c r="I545" s="1" t="n">
        <v>595223</v>
      </c>
      <c r="J545" s="9" t="n">
        <v>0.353</v>
      </c>
      <c r="K545" s="1" t="inlineStr">
        <is>
          <t>Yes</t>
        </is>
      </c>
      <c r="L545" s="1" t="inlineStr">
        <is>
          <t>Yes</t>
        </is>
      </c>
      <c r="M545" s="1" t="inlineStr">
        <is>
          <t>No</t>
        </is>
      </c>
      <c r="N545" s="1" t="inlineStr">
        <is>
          <t>Algorithms</t>
        </is>
      </c>
      <c r="O5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45" s="11" t="inlineStr">
        <is>
          <t>To Do</t>
        </is>
      </c>
    </row>
    <row r="546" ht="15.75" customHeight="1" s="12">
      <c r="A546" s="1" t="n">
        <v>719</v>
      </c>
      <c r="B546" s="3">
        <f>HYPERLINK("https://leetcode.com/problems/find-k-th-smallest-pair-distance/", "Find K-th Smallest Pair Distance")</f>
        <v/>
      </c>
      <c r="C546" s="1" t="n">
        <v>3945</v>
      </c>
      <c r="D546" s="1" t="n">
        <v>125</v>
      </c>
      <c r="E546" s="4">
        <f>IF(INDEX(C:C, ROW())+INDEX(D:D, ROW())=0, 0, INDEX(C:C, ROW())/(INDEX(C:C, ROW())+INDEX(D:D, ROW())))</f>
        <v/>
      </c>
      <c r="F546" s="1" t="inlineStr">
        <is>
          <t>Array, Two Pointers, Binary Search, Sorting</t>
        </is>
      </c>
      <c r="G546" s="1" t="inlineStr">
        <is>
          <t>Hard</t>
        </is>
      </c>
      <c r="H546" s="1" t="n">
        <v>213269</v>
      </c>
      <c r="I546" s="1" t="n">
        <v>458446</v>
      </c>
      <c r="J546" s="9" t="n">
        <v>0.465</v>
      </c>
      <c r="K546" s="1" t="inlineStr">
        <is>
          <t>Yes</t>
        </is>
      </c>
      <c r="L546" s="1" t="inlineStr">
        <is>
          <t>Yes</t>
        </is>
      </c>
      <c r="M546" s="1" t="inlineStr">
        <is>
          <t>No</t>
        </is>
      </c>
      <c r="N546" s="1" t="inlineStr">
        <is>
          <t>Algorithms</t>
        </is>
      </c>
      <c r="O5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46" s="11" t="inlineStr">
        <is>
          <t>To Do</t>
        </is>
      </c>
    </row>
    <row r="547" ht="15.75" customHeight="1" s="12">
      <c r="A547" s="1" t="n">
        <v>2130</v>
      </c>
      <c r="B547" s="3">
        <f>HYPERLINK("https://leetcode.com/problems/maximum-twin-sum-of-a-linked-list/", "Maximum Twin Sum of a Linked List")</f>
        <v/>
      </c>
      <c r="C547" s="1" t="n">
        <v>3942</v>
      </c>
      <c r="D547" s="1" t="n">
        <v>125</v>
      </c>
      <c r="E547" s="4">
        <f>IF(INDEX(C:C, ROW())+INDEX(D:D, ROW())=0, 0, INDEX(C:C, ROW())/(INDEX(C:C, ROW())+INDEX(D:D, ROW())))</f>
        <v/>
      </c>
      <c r="F547" s="1" t="inlineStr">
        <is>
          <t>Linked List, Two Pointers, Stack</t>
        </is>
      </c>
      <c r="G547" s="1" t="inlineStr">
        <is>
          <t>Medium</t>
        </is>
      </c>
      <c r="H547" s="1" t="n">
        <v>503472</v>
      </c>
      <c r="I547" s="1" t="n">
        <v>616358</v>
      </c>
      <c r="J547" s="9" t="n">
        <v>0.8169999999999999</v>
      </c>
      <c r="K547" s="1" t="inlineStr">
        <is>
          <t>Yes</t>
        </is>
      </c>
      <c r="L547" s="1" t="inlineStr">
        <is>
          <t>Yes</t>
        </is>
      </c>
      <c r="M547" s="1" t="inlineStr">
        <is>
          <t>No</t>
        </is>
      </c>
      <c r="N547" s="1" t="inlineStr">
        <is>
          <t>Algorithms</t>
        </is>
      </c>
      <c r="O5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47" s="11" t="inlineStr">
        <is>
          <t>To Do</t>
        </is>
      </c>
    </row>
    <row r="548" ht="15.75" customHeight="1" s="12">
      <c r="A548" s="1" t="n">
        <v>1641</v>
      </c>
      <c r="B548" s="3">
        <f>HYPERLINK("https://leetcode.com/problems/count-sorted-vowel-strings/", "Count Sorted Vowel Strings")</f>
        <v/>
      </c>
      <c r="C548" s="1" t="n">
        <v>3934</v>
      </c>
      <c r="D548" s="1" t="n">
        <v>93</v>
      </c>
      <c r="E548" s="4">
        <f>IF(INDEX(C:C, ROW())+INDEX(D:D, ROW())=0, 0, INDEX(C:C, ROW())/(INDEX(C:C, ROW())+INDEX(D:D, ROW())))</f>
        <v/>
      </c>
      <c r="F548" s="1" t="inlineStr">
        <is>
          <t>Math, Dynamic Programming, Combinatorics</t>
        </is>
      </c>
      <c r="G548" s="1" t="inlineStr">
        <is>
          <t>Medium</t>
        </is>
      </c>
      <c r="H548" s="1" t="n">
        <v>206571</v>
      </c>
      <c r="I548" s="1" t="n">
        <v>260758</v>
      </c>
      <c r="J548" s="9" t="n">
        <v>0.792</v>
      </c>
      <c r="K548" s="1" t="inlineStr">
        <is>
          <t>Yes</t>
        </is>
      </c>
      <c r="L548" s="1" t="inlineStr">
        <is>
          <t>Yes</t>
        </is>
      </c>
      <c r="M548" s="1" t="inlineStr">
        <is>
          <t>No</t>
        </is>
      </c>
      <c r="N548" s="1" t="inlineStr">
        <is>
          <t>Algorithms</t>
        </is>
      </c>
      <c r="O5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48" s="11" t="inlineStr">
        <is>
          <t>To Do</t>
        </is>
      </c>
    </row>
    <row r="549" ht="15.75" customHeight="1" s="12">
      <c r="A549" s="1" t="n">
        <v>1146</v>
      </c>
      <c r="B549" s="3">
        <f>HYPERLINK("https://leetcode.com/problems/snapshot-array/", "Snapshot Array")</f>
        <v/>
      </c>
      <c r="C549" s="1" t="n">
        <v>3927</v>
      </c>
      <c r="D549" s="1" t="n">
        <v>541</v>
      </c>
      <c r="E549" s="4">
        <f>IF(INDEX(C:C, ROW())+INDEX(D:D, ROW())=0, 0, INDEX(C:C, ROW())/(INDEX(C:C, ROW())+INDEX(D:D, ROW())))</f>
        <v/>
      </c>
      <c r="F549" s="1" t="inlineStr">
        <is>
          <t>Array, Hash Table, Binary Search, Design</t>
        </is>
      </c>
      <c r="G549" s="1" t="inlineStr">
        <is>
          <t>Medium</t>
        </is>
      </c>
      <c r="H549" s="1" t="n">
        <v>281027</v>
      </c>
      <c r="I549" s="1" t="n">
        <v>764694</v>
      </c>
      <c r="J549" s="9" t="n">
        <v>0.368</v>
      </c>
      <c r="K549" s="1" t="inlineStr">
        <is>
          <t>Yes</t>
        </is>
      </c>
      <c r="L549" s="1" t="inlineStr">
        <is>
          <t>Yes</t>
        </is>
      </c>
      <c r="M549" s="1" t="inlineStr">
        <is>
          <t>No</t>
        </is>
      </c>
      <c r="N549" s="1" t="inlineStr">
        <is>
          <t>Algorithms</t>
        </is>
      </c>
      <c r="O5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49" s="11" t="inlineStr">
        <is>
          <t>To Do</t>
        </is>
      </c>
    </row>
    <row r="550" ht="15.75" customHeight="1" s="12">
      <c r="A550" s="1" t="n">
        <v>1202</v>
      </c>
      <c r="B550" s="3">
        <f>HYPERLINK("https://leetcode.com/problems/smallest-string-with-swaps/", "Smallest String With Swaps")</f>
        <v/>
      </c>
      <c r="C550" s="1" t="n">
        <v>3921</v>
      </c>
      <c r="D550" s="1" t="n">
        <v>166</v>
      </c>
      <c r="E550" s="4">
        <f>IF(INDEX(C:C, ROW())+INDEX(D:D, ROW())=0, 0, INDEX(C:C, ROW())/(INDEX(C:C, ROW())+INDEX(D:D, ROW())))</f>
        <v/>
      </c>
      <c r="F550" s="1" t="inlineStr">
        <is>
          <t>Array, Hash Table, String, Depth-First Search, Breadth-First Search, Union-Find, Sorting</t>
        </is>
      </c>
      <c r="G550" s="1" t="inlineStr">
        <is>
          <t>Medium</t>
        </is>
      </c>
      <c r="H550" s="1" t="n">
        <v>149419</v>
      </c>
      <c r="I550" s="1" t="n">
        <v>246596</v>
      </c>
      <c r="J550" s="9" t="n">
        <v>0.606</v>
      </c>
      <c r="K550" s="1" t="inlineStr">
        <is>
          <t>Yes</t>
        </is>
      </c>
      <c r="L550" s="1" t="inlineStr">
        <is>
          <t>Yes</t>
        </is>
      </c>
      <c r="M550" s="1" t="inlineStr">
        <is>
          <t>No</t>
        </is>
      </c>
      <c r="N550" s="1" t="inlineStr">
        <is>
          <t>Algorithms</t>
        </is>
      </c>
      <c r="O5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50" s="11" t="inlineStr">
        <is>
          <t>To Do</t>
        </is>
      </c>
    </row>
    <row r="551" ht="15.75" customHeight="1" s="12">
      <c r="A551" s="1" t="n">
        <v>1074</v>
      </c>
      <c r="B551" s="3">
        <f>HYPERLINK("https://leetcode.com/problems/number-of-submatrices-that-sum-to-target/", "Number of Submatrices That Sum to Target")</f>
        <v/>
      </c>
      <c r="C551" s="1" t="n">
        <v>3908</v>
      </c>
      <c r="D551" s="1" t="n">
        <v>108</v>
      </c>
      <c r="E551" s="4">
        <f>IF(INDEX(C:C, ROW())+INDEX(D:D, ROW())=0, 0, INDEX(C:C, ROW())/(INDEX(C:C, ROW())+INDEX(D:D, ROW())))</f>
        <v/>
      </c>
      <c r="F551" s="1" t="inlineStr">
        <is>
          <t>Array, Hash Table, Matrix, Prefix Sum</t>
        </is>
      </c>
      <c r="G551" s="1" t="inlineStr">
        <is>
          <t>Hard</t>
        </is>
      </c>
      <c r="H551" s="1" t="n">
        <v>172414</v>
      </c>
      <c r="I551" s="1" t="n">
        <v>231095</v>
      </c>
      <c r="J551" s="9" t="n">
        <v>0.746</v>
      </c>
      <c r="K551" s="1" t="inlineStr">
        <is>
          <t>Yes</t>
        </is>
      </c>
      <c r="L551" s="1" t="inlineStr">
        <is>
          <t>Yes</t>
        </is>
      </c>
      <c r="M551" s="1" t="inlineStr">
        <is>
          <t>No</t>
        </is>
      </c>
      <c r="N551" s="1" t="inlineStr">
        <is>
          <t>Algorithms</t>
        </is>
      </c>
      <c r="O5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51" s="11" t="inlineStr">
        <is>
          <t>To Do</t>
        </is>
      </c>
    </row>
    <row r="552" ht="15.75" customHeight="1" s="12">
      <c r="A552" s="1" t="n">
        <v>1976</v>
      </c>
      <c r="B552" s="3">
        <f>HYPERLINK("https://leetcode.com/problems/number-of-ways-to-arrive-at-destination/", "Number of Ways to Arrive at Destination")</f>
        <v/>
      </c>
      <c r="C552" s="1" t="n">
        <v>3906</v>
      </c>
      <c r="D552" s="1" t="n">
        <v>226</v>
      </c>
      <c r="E552" s="4">
        <f>IF(INDEX(C:C, ROW())+INDEX(D:D, ROW())=0, 0, INDEX(C:C, ROW())/(INDEX(C:C, ROW())+INDEX(D:D, ROW())))</f>
        <v/>
      </c>
      <c r="F552" s="1" t="inlineStr">
        <is>
          <t>Dynamic Programming, Graph Theory, Topological Sort, Shortest Path</t>
        </is>
      </c>
      <c r="G552" s="1" t="inlineStr">
        <is>
          <t>Medium</t>
        </is>
      </c>
      <c r="H552" s="1" t="n">
        <v>258066</v>
      </c>
      <c r="I552" s="1" t="n">
        <v>688930</v>
      </c>
      <c r="J552" s="9" t="n">
        <v>0.375</v>
      </c>
      <c r="K552" s="1" t="inlineStr">
        <is>
          <t>Yes</t>
        </is>
      </c>
      <c r="L552" s="1" t="inlineStr">
        <is>
          <t>Yes</t>
        </is>
      </c>
      <c r="M552" s="1" t="inlineStr">
        <is>
          <t>No</t>
        </is>
      </c>
      <c r="N552" s="1" t="inlineStr">
        <is>
          <t>Algorithms</t>
        </is>
      </c>
      <c r="O5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52" s="11" t="inlineStr">
        <is>
          <t>To Do</t>
        </is>
      </c>
    </row>
    <row r="553" ht="15.75" customHeight="1" s="12">
      <c r="A553" s="1" t="n">
        <v>1588</v>
      </c>
      <c r="B553" s="3">
        <f>HYPERLINK("https://leetcode.com/problems/sum-of-all-odd-length-subarrays/", "Sum of All Odd Length Subarrays")</f>
        <v/>
      </c>
      <c r="C553" s="1" t="n">
        <v>3905</v>
      </c>
      <c r="D553" s="1" t="n">
        <v>331</v>
      </c>
      <c r="E553" s="4">
        <f>IF(INDEX(C:C, ROW())+INDEX(D:D, ROW())=0, 0, INDEX(C:C, ROW())/(INDEX(C:C, ROW())+INDEX(D:D, ROW())))</f>
        <v/>
      </c>
      <c r="F553" s="1" t="inlineStr">
        <is>
          <t>Array, Math, Prefix Sum</t>
        </is>
      </c>
      <c r="G553" s="1" t="inlineStr">
        <is>
          <t>Easy</t>
        </is>
      </c>
      <c r="H553" s="1" t="n">
        <v>257760</v>
      </c>
      <c r="I553" s="1" t="n">
        <v>307006</v>
      </c>
      <c r="J553" s="9" t="n">
        <v>0.84</v>
      </c>
      <c r="K553" s="1" t="inlineStr">
        <is>
          <t>Yes</t>
        </is>
      </c>
      <c r="L553" s="1" t="inlineStr">
        <is>
          <t>Yes</t>
        </is>
      </c>
      <c r="M553" s="1" t="inlineStr">
        <is>
          <t>No</t>
        </is>
      </c>
      <c r="N553" s="1" t="inlineStr">
        <is>
          <t>Algorithms</t>
        </is>
      </c>
      <c r="O5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53" s="13" t="inlineStr">
        <is>
          <t>Done</t>
        </is>
      </c>
    </row>
    <row r="554" ht="15.75" customHeight="1" s="12">
      <c r="A554" s="1" t="n">
        <v>1514</v>
      </c>
      <c r="B554" s="3">
        <f>HYPERLINK("https://leetcode.com/problems/path-with-maximum-probability/", "Path with Maximum Probability")</f>
        <v/>
      </c>
      <c r="C554" s="1" t="n">
        <v>3894</v>
      </c>
      <c r="D554" s="1" t="n">
        <v>110</v>
      </c>
      <c r="E554" s="4">
        <f>IF(INDEX(C:C, ROW())+INDEX(D:D, ROW())=0, 0, INDEX(C:C, ROW())/(INDEX(C:C, ROW())+INDEX(D:D, ROW())))</f>
        <v/>
      </c>
      <c r="F554" s="1" t="inlineStr">
        <is>
          <t>Array, Graph Theory, Heap (Priority Queue), Shortest Path</t>
        </is>
      </c>
      <c r="G554" s="1" t="inlineStr">
        <is>
          <t>Medium</t>
        </is>
      </c>
      <c r="H554" s="1" t="n">
        <v>374454</v>
      </c>
      <c r="I554" s="1" t="n">
        <v>571506</v>
      </c>
      <c r="J554" s="9" t="n">
        <v>0.655</v>
      </c>
      <c r="K554" s="1" t="inlineStr">
        <is>
          <t>Yes</t>
        </is>
      </c>
      <c r="L554" s="1" t="inlineStr">
        <is>
          <t>Yes</t>
        </is>
      </c>
      <c r="M554" s="1" t="inlineStr">
        <is>
          <t>No</t>
        </is>
      </c>
      <c r="N554" s="1" t="inlineStr">
        <is>
          <t>Algorithms</t>
        </is>
      </c>
      <c r="O5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54" s="11" t="inlineStr">
        <is>
          <t>To Do</t>
        </is>
      </c>
    </row>
    <row r="555" ht="15.75" customHeight="1" s="12">
      <c r="A555" s="1" t="n">
        <v>1345</v>
      </c>
      <c r="B555" s="3">
        <f>HYPERLINK("https://leetcode.com/problems/jump-game-iv/", "Jump Game IV")</f>
        <v/>
      </c>
      <c r="C555" s="1" t="n">
        <v>3878</v>
      </c>
      <c r="D555" s="1" t="n">
        <v>133</v>
      </c>
      <c r="E555" s="4">
        <f>IF(INDEX(C:C, ROW())+INDEX(D:D, ROW())=0, 0, INDEX(C:C, ROW())/(INDEX(C:C, ROW())+INDEX(D:D, ROW())))</f>
        <v/>
      </c>
      <c r="F555" s="1" t="inlineStr">
        <is>
          <t>Array, Hash Table, Breadth-First Search</t>
        </is>
      </c>
      <c r="G555" s="1" t="inlineStr">
        <is>
          <t>Hard</t>
        </is>
      </c>
      <c r="H555" s="1" t="n">
        <v>164320</v>
      </c>
      <c r="I555" s="1" t="n">
        <v>354857</v>
      </c>
      <c r="J555" s="9" t="n">
        <v>0.463</v>
      </c>
      <c r="K555" s="1" t="inlineStr">
        <is>
          <t>Yes</t>
        </is>
      </c>
      <c r="L555" s="1" t="inlineStr">
        <is>
          <t>Yes</t>
        </is>
      </c>
      <c r="M555" s="1" t="inlineStr">
        <is>
          <t>No</t>
        </is>
      </c>
      <c r="N555" s="1" t="inlineStr">
        <is>
          <t>Algorithms</t>
        </is>
      </c>
      <c r="O5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55" s="11" t="inlineStr">
        <is>
          <t>To Do</t>
        </is>
      </c>
    </row>
    <row r="556" ht="15.75" customHeight="1" s="12">
      <c r="A556" s="1" t="n">
        <v>263</v>
      </c>
      <c r="B556" s="3">
        <f>HYPERLINK("https://leetcode.com/problems/ugly-number/", "Ugly Number")</f>
        <v/>
      </c>
      <c r="C556" s="1" t="n">
        <v>3877</v>
      </c>
      <c r="D556" s="1" t="n">
        <v>1800</v>
      </c>
      <c r="E556" s="4">
        <f>IF(INDEX(C:C, ROW())+INDEX(D:D, ROW())=0, 0, INDEX(C:C, ROW())/(INDEX(C:C, ROW())+INDEX(D:D, ROW())))</f>
        <v/>
      </c>
      <c r="F556" s="1" t="inlineStr">
        <is>
          <t>Math</t>
        </is>
      </c>
      <c r="G556" s="1" t="inlineStr">
        <is>
          <t>Easy</t>
        </is>
      </c>
      <c r="H556" s="1" t="n">
        <v>783474</v>
      </c>
      <c r="I556" s="1" t="n">
        <v>1801110</v>
      </c>
      <c r="J556" s="9" t="n">
        <v>0.435</v>
      </c>
      <c r="K556" s="1" t="inlineStr">
        <is>
          <t>Yes</t>
        </is>
      </c>
      <c r="L556" s="1" t="inlineStr">
        <is>
          <t>Yes</t>
        </is>
      </c>
      <c r="M556" s="1" t="inlineStr">
        <is>
          <t>No</t>
        </is>
      </c>
      <c r="N556" s="1" t="inlineStr">
        <is>
          <t>Algorithms</t>
        </is>
      </c>
      <c r="O5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56" s="13" t="inlineStr">
        <is>
          <t>Done</t>
        </is>
      </c>
    </row>
    <row r="557" ht="15.75" customHeight="1" s="12">
      <c r="A557" s="1" t="n">
        <v>1557</v>
      </c>
      <c r="B557" s="3">
        <f>HYPERLINK("https://leetcode.com/problems/minimum-number-of-vertices-to-reach-all-nodes/", "Minimum Number of Vertices to Reach All Nodes")</f>
        <v/>
      </c>
      <c r="C557" s="1" t="n">
        <v>3876</v>
      </c>
      <c r="D557" s="1" t="n">
        <v>135</v>
      </c>
      <c r="E557" s="4">
        <f>IF(INDEX(C:C, ROW())+INDEX(D:D, ROW())=0, 0, INDEX(C:C, ROW())/(INDEX(C:C, ROW())+INDEX(D:D, ROW())))</f>
        <v/>
      </c>
      <c r="F557" s="1" t="inlineStr">
        <is>
          <t>Graph Theory</t>
        </is>
      </c>
      <c r="G557" s="1" t="inlineStr">
        <is>
          <t>Medium</t>
        </is>
      </c>
      <c r="H557" s="1" t="n">
        <v>235046</v>
      </c>
      <c r="I557" s="1" t="n">
        <v>288123</v>
      </c>
      <c r="J557" s="9" t="n">
        <v>0.8159999999999999</v>
      </c>
      <c r="K557" s="1" t="inlineStr">
        <is>
          <t>Yes</t>
        </is>
      </c>
      <c r="L557" s="1" t="inlineStr">
        <is>
          <t>Yes</t>
        </is>
      </c>
      <c r="M557" s="1" t="inlineStr">
        <is>
          <t>No</t>
        </is>
      </c>
      <c r="N557" s="1" t="inlineStr">
        <is>
          <t>Algorithms</t>
        </is>
      </c>
      <c r="O5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57" s="11" t="inlineStr">
        <is>
          <t>To Do</t>
        </is>
      </c>
    </row>
    <row r="558" ht="15.75" customHeight="1" s="12">
      <c r="A558" s="1" t="n">
        <v>303</v>
      </c>
      <c r="B558" s="3">
        <f>HYPERLINK("https://leetcode.com/problems/range-sum-query-immutable/", "Range Sum Query - Immutable")</f>
        <v/>
      </c>
      <c r="C558" s="1" t="n">
        <v>3873</v>
      </c>
      <c r="D558" s="1" t="n">
        <v>2022</v>
      </c>
      <c r="E558" s="4">
        <f>IF(INDEX(C:C, ROW())+INDEX(D:D, ROW())=0, 0, INDEX(C:C, ROW())/(INDEX(C:C, ROW())+INDEX(D:D, ROW())))</f>
        <v/>
      </c>
      <c r="F558" s="1" t="inlineStr">
        <is>
          <t>Array, Design, Prefix Sum</t>
        </is>
      </c>
      <c r="G558" s="1" t="inlineStr">
        <is>
          <t>Easy</t>
        </is>
      </c>
      <c r="H558" s="1" t="n">
        <v>925695</v>
      </c>
      <c r="I558" s="1" t="n">
        <v>1284717</v>
      </c>
      <c r="J558" s="9" t="n">
        <v>0.721</v>
      </c>
      <c r="K558" s="1" t="inlineStr">
        <is>
          <t>Yes</t>
        </is>
      </c>
      <c r="L558" s="1" t="inlineStr">
        <is>
          <t>Yes</t>
        </is>
      </c>
      <c r="M558" s="1" t="inlineStr">
        <is>
          <t>Yes</t>
        </is>
      </c>
      <c r="N558" s="1" t="inlineStr">
        <is>
          <t>Algorithms</t>
        </is>
      </c>
      <c r="O5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58" s="13" t="inlineStr">
        <is>
          <t>Done</t>
        </is>
      </c>
    </row>
    <row r="559" ht="15.75" customHeight="1" s="12">
      <c r="A559" s="1" t="n">
        <v>1041</v>
      </c>
      <c r="B559" s="3">
        <f>HYPERLINK("https://leetcode.com/problems/robot-bounded-in-circle/", "Robot Bounded In Circle")</f>
        <v/>
      </c>
      <c r="C559" s="1" t="n">
        <v>3865</v>
      </c>
      <c r="D559" s="1" t="n">
        <v>718</v>
      </c>
      <c r="E559" s="4">
        <f>IF(INDEX(C:C, ROW())+INDEX(D:D, ROW())=0, 0, INDEX(C:C, ROW())/(INDEX(C:C, ROW())+INDEX(D:D, ROW())))</f>
        <v/>
      </c>
      <c r="F559" s="1" t="inlineStr">
        <is>
          <t>Math, String, Simulation</t>
        </is>
      </c>
      <c r="G559" s="1" t="inlineStr">
        <is>
          <t>Medium</t>
        </is>
      </c>
      <c r="H559" s="1" t="n">
        <v>274057</v>
      </c>
      <c r="I559" s="1" t="n">
        <v>484822</v>
      </c>
      <c r="J559" s="9" t="n">
        <v>0.5649999999999999</v>
      </c>
      <c r="K559" s="1" t="inlineStr">
        <is>
          <t>Yes</t>
        </is>
      </c>
      <c r="L559" s="1" t="inlineStr">
        <is>
          <t>Yes</t>
        </is>
      </c>
      <c r="M559" s="1" t="inlineStr">
        <is>
          <t>No</t>
        </is>
      </c>
      <c r="N559" s="1" t="inlineStr">
        <is>
          <t>Algorithms</t>
        </is>
      </c>
      <c r="O5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59" s="11" t="inlineStr">
        <is>
          <t>To Do</t>
        </is>
      </c>
    </row>
    <row r="560" ht="15.75" customHeight="1" s="12">
      <c r="A560" s="1" t="n">
        <v>1443</v>
      </c>
      <c r="B560" s="3">
        <f>HYPERLINK("https://leetcode.com/problems/minimum-time-to-collect-all-apples-in-a-tree/", "Minimum Time to Collect All Apples in a Tree")</f>
        <v/>
      </c>
      <c r="C560" s="1" t="n">
        <v>3863</v>
      </c>
      <c r="D560" s="1" t="n">
        <v>333</v>
      </c>
      <c r="E560" s="4">
        <f>IF(INDEX(C:C, ROW())+INDEX(D:D, ROW())=0, 0, INDEX(C:C, ROW())/(INDEX(C:C, ROW())+INDEX(D:D, ROW())))</f>
        <v/>
      </c>
      <c r="F560" s="1" t="inlineStr">
        <is>
          <t>Hash Table, Tree, Depth-First Search, Breadth-First Search</t>
        </is>
      </c>
      <c r="G560" s="1" t="inlineStr">
        <is>
          <t>Medium</t>
        </is>
      </c>
      <c r="H560" s="1" t="n">
        <v>156009</v>
      </c>
      <c r="I560" s="1" t="n">
        <v>245145</v>
      </c>
      <c r="J560" s="9" t="n">
        <v>0.636</v>
      </c>
      <c r="K560" s="1" t="inlineStr">
        <is>
          <t>Yes</t>
        </is>
      </c>
      <c r="L560" s="1" t="inlineStr">
        <is>
          <t>Yes</t>
        </is>
      </c>
      <c r="M560" s="1" t="inlineStr">
        <is>
          <t>No</t>
        </is>
      </c>
      <c r="N560" s="1" t="inlineStr">
        <is>
          <t>Algorithms</t>
        </is>
      </c>
      <c r="O5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60" s="11" t="inlineStr">
        <is>
          <t>To Do</t>
        </is>
      </c>
    </row>
    <row r="561" ht="15.75" customHeight="1" s="12">
      <c r="A561" s="1" t="n">
        <v>273</v>
      </c>
      <c r="B561" s="3">
        <f>HYPERLINK("https://leetcode.com/problems/integer-to-english-words/", "Integer to English Words")</f>
        <v/>
      </c>
      <c r="C561" s="1" t="n">
        <v>3857</v>
      </c>
      <c r="D561" s="1" t="n">
        <v>6843</v>
      </c>
      <c r="E561" s="4">
        <f>IF(INDEX(C:C, ROW())+INDEX(D:D, ROW())=0, 0, INDEX(C:C, ROW())/(INDEX(C:C, ROW())+INDEX(D:D, ROW())))</f>
        <v/>
      </c>
      <c r="F561" s="1" t="inlineStr">
        <is>
          <t>Math, String, Recursion</t>
        </is>
      </c>
      <c r="G561" s="1" t="inlineStr">
        <is>
          <t>Hard</t>
        </is>
      </c>
      <c r="H561" s="1" t="n">
        <v>584017</v>
      </c>
      <c r="I561" s="1" t="n">
        <v>1668550</v>
      </c>
      <c r="J561" s="9" t="n">
        <v>0.35</v>
      </c>
      <c r="K561" s="1" t="inlineStr">
        <is>
          <t>Yes</t>
        </is>
      </c>
      <c r="L561" s="1" t="inlineStr">
        <is>
          <t>Yes</t>
        </is>
      </c>
      <c r="M561" s="1" t="inlineStr">
        <is>
          <t>No</t>
        </is>
      </c>
      <c r="N561" s="1" t="inlineStr">
        <is>
          <t>Algorithms</t>
        </is>
      </c>
      <c r="O5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61" s="11" t="inlineStr">
        <is>
          <t>To Do</t>
        </is>
      </c>
    </row>
    <row r="562" ht="15.75" customHeight="1" s="12">
      <c r="A562" s="1" t="n">
        <v>622</v>
      </c>
      <c r="B562" s="3">
        <f>HYPERLINK("https://leetcode.com/problems/design-circular-queue/", "Design Circular Queue")</f>
        <v/>
      </c>
      <c r="C562" s="1" t="n">
        <v>3851</v>
      </c>
      <c r="D562" s="1" t="n">
        <v>355</v>
      </c>
      <c r="E562" s="4">
        <f>IF(INDEX(C:C, ROW())+INDEX(D:D, ROW())=0, 0, INDEX(C:C, ROW())/(INDEX(C:C, ROW())+INDEX(D:D, ROW())))</f>
        <v/>
      </c>
      <c r="F562" s="1" t="inlineStr">
        <is>
          <t>Array, Linked List, Design, Queue</t>
        </is>
      </c>
      <c r="G562" s="1" t="inlineStr">
        <is>
          <t>Medium</t>
        </is>
      </c>
      <c r="H562" s="1" t="n">
        <v>479434</v>
      </c>
      <c r="I562" s="1" t="n">
        <v>877968</v>
      </c>
      <c r="J562" s="9" t="n">
        <v>0.546</v>
      </c>
      <c r="K562" s="1" t="inlineStr">
        <is>
          <t>Yes</t>
        </is>
      </c>
      <c r="L562" s="1" t="inlineStr">
        <is>
          <t>Yes</t>
        </is>
      </c>
      <c r="M562" s="1" t="inlineStr">
        <is>
          <t>No</t>
        </is>
      </c>
      <c r="N562" s="1" t="inlineStr">
        <is>
          <t>Algorithms</t>
        </is>
      </c>
      <c r="O5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62" s="11" t="inlineStr">
        <is>
          <t>To Do</t>
        </is>
      </c>
    </row>
    <row r="563" ht="15.75" customHeight="1" s="12">
      <c r="A563" s="1" t="n">
        <v>791</v>
      </c>
      <c r="B563" s="3">
        <f>HYPERLINK("https://leetcode.com/problems/custom-sort-string/", "Custom Sort String")</f>
        <v/>
      </c>
      <c r="C563" s="1" t="n">
        <v>3836</v>
      </c>
      <c r="D563" s="1" t="n">
        <v>432</v>
      </c>
      <c r="E563" s="4">
        <f>IF(INDEX(C:C, ROW())+INDEX(D:D, ROW())=0, 0, INDEX(C:C, ROW())/(INDEX(C:C, ROW())+INDEX(D:D, ROW())))</f>
        <v/>
      </c>
      <c r="F563" s="1" t="inlineStr">
        <is>
          <t>Hash Table, String, Sorting</t>
        </is>
      </c>
      <c r="G563" s="1" t="inlineStr">
        <is>
          <t>Medium</t>
        </is>
      </c>
      <c r="H563" s="1" t="n">
        <v>579769</v>
      </c>
      <c r="I563" s="1" t="n">
        <v>801933</v>
      </c>
      <c r="J563" s="9" t="n">
        <v>0.723</v>
      </c>
      <c r="K563" s="1" t="inlineStr">
        <is>
          <t>Yes</t>
        </is>
      </c>
      <c r="L563" s="1" t="inlineStr">
        <is>
          <t>Yes</t>
        </is>
      </c>
      <c r="M563" s="1" t="inlineStr">
        <is>
          <t>No</t>
        </is>
      </c>
      <c r="N563" s="1" t="inlineStr">
        <is>
          <t>Algorithms</t>
        </is>
      </c>
      <c r="O5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63" s="11" t="inlineStr">
        <is>
          <t>To Do</t>
        </is>
      </c>
    </row>
    <row r="564" ht="15.75" customHeight="1" s="12">
      <c r="A564" s="1" t="n">
        <v>887</v>
      </c>
      <c r="B564" s="3">
        <f>HYPERLINK("https://leetcode.com/problems/super-egg-drop/", "Super Egg Drop")</f>
        <v/>
      </c>
      <c r="C564" s="1" t="n">
        <v>3834</v>
      </c>
      <c r="D564" s="1" t="n">
        <v>208</v>
      </c>
      <c r="E564" s="4">
        <f>IF(INDEX(C:C, ROW())+INDEX(D:D, ROW())=0, 0, INDEX(C:C, ROW())/(INDEX(C:C, ROW())+INDEX(D:D, ROW())))</f>
        <v/>
      </c>
      <c r="F564" s="1" t="inlineStr">
        <is>
          <t>Math, Binary Search, Dynamic Programming</t>
        </is>
      </c>
      <c r="G564" s="1" t="inlineStr">
        <is>
          <t>Hard</t>
        </is>
      </c>
      <c r="H564" s="1" t="n">
        <v>100364</v>
      </c>
      <c r="I564" s="1" t="n">
        <v>332954</v>
      </c>
      <c r="J564" s="9" t="n">
        <v>0.301</v>
      </c>
      <c r="K564" s="1" t="inlineStr">
        <is>
          <t>Yes</t>
        </is>
      </c>
      <c r="L564" s="1" t="inlineStr">
        <is>
          <t>Yes</t>
        </is>
      </c>
      <c r="M564" s="1" t="inlineStr">
        <is>
          <t>No</t>
        </is>
      </c>
      <c r="N564" s="1" t="inlineStr">
        <is>
          <t>Algorithms</t>
        </is>
      </c>
      <c r="O5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64" s="11" t="inlineStr">
        <is>
          <t>To Do</t>
        </is>
      </c>
    </row>
    <row r="565" ht="15.75" customHeight="1" s="12">
      <c r="A565" s="1" t="n">
        <v>491</v>
      </c>
      <c r="B565" s="3">
        <f>HYPERLINK("https://leetcode.com/problems/non-decreasing-subsequences/", "Non-decreasing Subsequences")</f>
        <v/>
      </c>
      <c r="C565" s="1" t="n">
        <v>3828</v>
      </c>
      <c r="D565" s="1" t="n">
        <v>239</v>
      </c>
      <c r="E565" s="4">
        <f>IF(INDEX(C:C, ROW())+INDEX(D:D, ROW())=0, 0, INDEX(C:C, ROW())/(INDEX(C:C, ROW())+INDEX(D:D, ROW())))</f>
        <v/>
      </c>
      <c r="F565" s="1" t="inlineStr">
        <is>
          <t>Array, Hash Table, Backtracking, Bit Manipulation</t>
        </is>
      </c>
      <c r="G565" s="1" t="inlineStr">
        <is>
          <t>Medium</t>
        </is>
      </c>
      <c r="H565" s="1" t="n">
        <v>211184</v>
      </c>
      <c r="I565" s="1" t="n">
        <v>337044</v>
      </c>
      <c r="J565" s="9" t="n">
        <v>0.627</v>
      </c>
      <c r="K565" s="1" t="inlineStr">
        <is>
          <t>Yes</t>
        </is>
      </c>
      <c r="L565" s="1" t="inlineStr">
        <is>
          <t>Yes</t>
        </is>
      </c>
      <c r="M565" s="1" t="inlineStr">
        <is>
          <t>No</t>
        </is>
      </c>
      <c r="N565" s="1" t="inlineStr">
        <is>
          <t>Algorithms</t>
        </is>
      </c>
      <c r="O5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65" s="11" t="inlineStr">
        <is>
          <t>To Do</t>
        </is>
      </c>
    </row>
    <row r="566" ht="15.75" customHeight="1" s="12">
      <c r="A566" s="1" t="n">
        <v>1572</v>
      </c>
      <c r="B566" s="3">
        <f>HYPERLINK("https://leetcode.com/problems/matrix-diagonal-sum/", "Matrix Diagonal Sum")</f>
        <v/>
      </c>
      <c r="C566" s="1" t="n">
        <v>3818</v>
      </c>
      <c r="D566" s="1" t="n">
        <v>72</v>
      </c>
      <c r="E566" s="4">
        <f>IF(INDEX(C:C, ROW())+INDEX(D:D, ROW())=0, 0, INDEX(C:C, ROW())/(INDEX(C:C, ROW())+INDEX(D:D, ROW())))</f>
        <v/>
      </c>
      <c r="F566" s="1" t="inlineStr">
        <is>
          <t>Array, Matrix</t>
        </is>
      </c>
      <c r="G566" s="1" t="inlineStr">
        <is>
          <t>Easy</t>
        </is>
      </c>
      <c r="H566" s="1" t="n">
        <v>524164</v>
      </c>
      <c r="I566" s="1" t="n">
        <v>622239</v>
      </c>
      <c r="J566" s="9" t="n">
        <v>0.842</v>
      </c>
      <c r="K566" s="1" t="inlineStr">
        <is>
          <t>Yes</t>
        </is>
      </c>
      <c r="L566" s="1" t="inlineStr">
        <is>
          <t>Yes</t>
        </is>
      </c>
      <c r="M566" s="1" t="inlineStr">
        <is>
          <t>No</t>
        </is>
      </c>
      <c r="N566" s="1" t="inlineStr">
        <is>
          <t>Algorithms</t>
        </is>
      </c>
      <c r="O5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66" s="13" t="inlineStr">
        <is>
          <t>Done</t>
        </is>
      </c>
    </row>
    <row r="567" ht="15.75" customHeight="1" s="12">
      <c r="A567" s="1" t="n">
        <v>2035</v>
      </c>
      <c r="B567" s="3">
        <f>HYPERLINK("https://leetcode.com/problems/partition-array-into-two-arrays-to-minimize-sum-difference/", "Partition Array Into Two Arrays to Minimize Sum Difference")</f>
        <v/>
      </c>
      <c r="C567" s="1" t="n">
        <v>3798</v>
      </c>
      <c r="D567" s="1" t="n">
        <v>259</v>
      </c>
      <c r="E567" s="4">
        <f>IF(INDEX(C:C, ROW())+INDEX(D:D, ROW())=0, 0, INDEX(C:C, ROW())/(INDEX(C:C, ROW())+INDEX(D:D, ROW())))</f>
        <v/>
      </c>
      <c r="F567" s="1" t="inlineStr">
        <is>
          <t>Array, Two Pointers, Binary Search, Dynamic Programming, Bit Manipulation, Sorting, Ordered Set, Bitmask</t>
        </is>
      </c>
      <c r="G567" s="1" t="inlineStr">
        <is>
          <t>Hard</t>
        </is>
      </c>
      <c r="H567" s="1" t="n">
        <v>59585</v>
      </c>
      <c r="I567" s="1" t="n">
        <v>255016</v>
      </c>
      <c r="J567" s="9" t="n">
        <v>0.234</v>
      </c>
      <c r="K567" s="1" t="inlineStr">
        <is>
          <t>Yes</t>
        </is>
      </c>
      <c r="L567" s="1" t="inlineStr">
        <is>
          <t>No</t>
        </is>
      </c>
      <c r="M567" s="1" t="inlineStr">
        <is>
          <t>No</t>
        </is>
      </c>
      <c r="N567" s="1" t="inlineStr">
        <is>
          <t>Algorithms</t>
        </is>
      </c>
      <c r="O5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67" s="11" t="inlineStr">
        <is>
          <t>To Do</t>
        </is>
      </c>
    </row>
    <row r="568" ht="15.75" customHeight="1" s="12">
      <c r="A568" s="1" t="n">
        <v>1022</v>
      </c>
      <c r="B568" s="3">
        <f>HYPERLINK("https://leetcode.com/problems/sum-of-root-to-leaf-binary-numbers/", "Sum of Root To Leaf Binary Numbers")</f>
        <v/>
      </c>
      <c r="C568" s="1" t="n">
        <v>3796</v>
      </c>
      <c r="D568" s="1" t="n">
        <v>212</v>
      </c>
      <c r="E568" s="4">
        <f>IF(INDEX(C:C, ROW())+INDEX(D:D, ROW())=0, 0, INDEX(C:C, ROW())/(INDEX(C:C, ROW())+INDEX(D:D, ROW())))</f>
        <v/>
      </c>
      <c r="F568" s="1" t="inlineStr">
        <is>
          <t>Tree, Depth-First Search, Binary Tree</t>
        </is>
      </c>
      <c r="G568" s="1" t="inlineStr">
        <is>
          <t>Easy</t>
        </is>
      </c>
      <c r="H568" s="1" t="n">
        <v>361344</v>
      </c>
      <c r="I568" s="1" t="n">
        <v>471783</v>
      </c>
      <c r="J568" s="9" t="n">
        <v>0.766</v>
      </c>
      <c r="K568" s="1" t="inlineStr">
        <is>
          <t>Yes</t>
        </is>
      </c>
      <c r="L568" s="1" t="inlineStr">
        <is>
          <t>Yes</t>
        </is>
      </c>
      <c r="M568" s="1" t="inlineStr">
        <is>
          <t>No</t>
        </is>
      </c>
      <c r="N568" s="1" t="inlineStr">
        <is>
          <t>Algorithms</t>
        </is>
      </c>
      <c r="O5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68" s="13" t="inlineStr">
        <is>
          <t>Done</t>
        </is>
      </c>
    </row>
    <row r="569" ht="15.75" customHeight="1" s="12">
      <c r="A569" s="1" t="n">
        <v>1021</v>
      </c>
      <c r="B569" s="3">
        <f>HYPERLINK("https://leetcode.com/problems/remove-outermost-parentheses/", "Remove Outermost Parentheses")</f>
        <v/>
      </c>
      <c r="C569" s="1" t="n">
        <v>3785</v>
      </c>
      <c r="D569" s="1" t="n">
        <v>1725</v>
      </c>
      <c r="E569" s="4">
        <f>IF(INDEX(C:C, ROW())+INDEX(D:D, ROW())=0, 0, INDEX(C:C, ROW())/(INDEX(C:C, ROW())+INDEX(D:D, ROW())))</f>
        <v/>
      </c>
      <c r="F569" s="1" t="inlineStr">
        <is>
          <t>String, Stack</t>
        </is>
      </c>
      <c r="G569" s="1" t="inlineStr">
        <is>
          <t>Easy</t>
        </is>
      </c>
      <c r="H569" s="1" t="n">
        <v>668782</v>
      </c>
      <c r="I569" s="1" t="n">
        <v>768447</v>
      </c>
      <c r="J569" s="9" t="n">
        <v>0.87</v>
      </c>
      <c r="K569" s="1" t="inlineStr">
        <is>
          <t>Yes</t>
        </is>
      </c>
      <c r="L569" s="1" t="inlineStr">
        <is>
          <t>No</t>
        </is>
      </c>
      <c r="M569" s="1" t="inlineStr">
        <is>
          <t>No</t>
        </is>
      </c>
      <c r="N569" s="1" t="inlineStr">
        <is>
          <t>Algorithms</t>
        </is>
      </c>
      <c r="O5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69" s="13" t="inlineStr">
        <is>
          <t>Done</t>
        </is>
      </c>
    </row>
    <row r="570" ht="15.75" customHeight="1" s="12">
      <c r="A570" s="1" t="n">
        <v>282</v>
      </c>
      <c r="B570" s="3">
        <f>HYPERLINK("https://leetcode.com/problems/expression-add-operators/", "Expression Add Operators")</f>
        <v/>
      </c>
      <c r="C570" s="1" t="n">
        <v>3783</v>
      </c>
      <c r="D570" s="1" t="n">
        <v>729</v>
      </c>
      <c r="E570" s="4">
        <f>IF(INDEX(C:C, ROW())+INDEX(D:D, ROW())=0, 0, INDEX(C:C, ROW())/(INDEX(C:C, ROW())+INDEX(D:D, ROW())))</f>
        <v/>
      </c>
      <c r="F570" s="1" t="inlineStr">
        <is>
          <t>Math, String, Backtracking</t>
        </is>
      </c>
      <c r="G570" s="1" t="inlineStr">
        <is>
          <t>Hard</t>
        </is>
      </c>
      <c r="H570" s="1" t="n">
        <v>316768</v>
      </c>
      <c r="I570" s="1" t="n">
        <v>734881</v>
      </c>
      <c r="J570" s="9" t="n">
        <v>0.431</v>
      </c>
      <c r="K570" s="1" t="inlineStr">
        <is>
          <t>Yes</t>
        </is>
      </c>
      <c r="L570" s="1" t="inlineStr">
        <is>
          <t>Yes</t>
        </is>
      </c>
      <c r="M570" s="1" t="inlineStr">
        <is>
          <t>No</t>
        </is>
      </c>
      <c r="N570" s="1" t="inlineStr">
        <is>
          <t>Algorithms</t>
        </is>
      </c>
      <c r="O5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70" s="11" t="inlineStr">
        <is>
          <t>To Do</t>
        </is>
      </c>
    </row>
    <row r="571" ht="15.75" customHeight="1" s="12">
      <c r="A571" s="1" t="n">
        <v>2444</v>
      </c>
      <c r="B571" s="3">
        <f>HYPERLINK("https://leetcode.com/problems/count-subarrays-with-fixed-bounds/", "Count Subarrays With Fixed Bounds")</f>
        <v/>
      </c>
      <c r="C571" s="1" t="n">
        <v>3776</v>
      </c>
      <c r="D571" s="1" t="n">
        <v>97</v>
      </c>
      <c r="E571" s="4">
        <f>IF(INDEX(C:C, ROW())+INDEX(D:D, ROW())=0, 0, INDEX(C:C, ROW())/(INDEX(C:C, ROW())+INDEX(D:D, ROW())))</f>
        <v/>
      </c>
      <c r="F571" s="1" t="inlineStr">
        <is>
          <t>Array, Queue, Sliding Window, Monotonic Queue</t>
        </is>
      </c>
      <c r="G571" s="1" t="inlineStr">
        <is>
          <t>Hard</t>
        </is>
      </c>
      <c r="H571" s="1" t="n">
        <v>234578</v>
      </c>
      <c r="I571" s="1" t="n">
        <v>338891</v>
      </c>
      <c r="J571" s="9" t="n">
        <v>0.6919999999999999</v>
      </c>
      <c r="K571" s="1" t="inlineStr">
        <is>
          <t>Yes</t>
        </is>
      </c>
      <c r="L571" s="1" t="inlineStr">
        <is>
          <t>Yes</t>
        </is>
      </c>
      <c r="M571" s="1" t="inlineStr">
        <is>
          <t>No</t>
        </is>
      </c>
      <c r="N571" s="1" t="inlineStr">
        <is>
          <t>Algorithms</t>
        </is>
      </c>
      <c r="O5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71" s="11" t="inlineStr">
        <is>
          <t>To Do</t>
        </is>
      </c>
    </row>
    <row r="572" ht="15.75" customHeight="1" s="12">
      <c r="A572" s="1" t="n">
        <v>429</v>
      </c>
      <c r="B572" s="3">
        <f>HYPERLINK("https://leetcode.com/problems/n-ary-tree-level-order-traversal/", "N-ary Tree Level Order Traversal")</f>
        <v/>
      </c>
      <c r="C572" s="1" t="n">
        <v>3758</v>
      </c>
      <c r="D572" s="1" t="n">
        <v>146</v>
      </c>
      <c r="E572" s="4">
        <f>IF(INDEX(C:C, ROW())+INDEX(D:D, ROW())=0, 0, INDEX(C:C, ROW())/(INDEX(C:C, ROW())+INDEX(D:D, ROW())))</f>
        <v/>
      </c>
      <c r="F572" s="1" t="inlineStr">
        <is>
          <t>Tree, Breadth-First Search</t>
        </is>
      </c>
      <c r="G572" s="1" t="inlineStr">
        <is>
          <t>Medium</t>
        </is>
      </c>
      <c r="H572" s="1" t="n">
        <v>367643</v>
      </c>
      <c r="I572" s="1" t="n">
        <v>514007</v>
      </c>
      <c r="J572" s="9" t="n">
        <v>0.715</v>
      </c>
      <c r="K572" s="1" t="inlineStr">
        <is>
          <t>Yes</t>
        </is>
      </c>
      <c r="L572" s="1" t="inlineStr">
        <is>
          <t>Yes</t>
        </is>
      </c>
      <c r="M572" s="1" t="inlineStr">
        <is>
          <t>No</t>
        </is>
      </c>
      <c r="N572" s="1" t="inlineStr">
        <is>
          <t>Algorithms</t>
        </is>
      </c>
      <c r="O5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72" s="11" t="inlineStr">
        <is>
          <t>To Do</t>
        </is>
      </c>
    </row>
    <row r="573" ht="15.75" customHeight="1" s="12">
      <c r="A573" s="1" t="n">
        <v>1372</v>
      </c>
      <c r="B573" s="3">
        <f>HYPERLINK("https://leetcode.com/problems/longest-zigzag-path-in-a-binary-tree/", "Longest ZigZag Path in a Binary Tree")</f>
        <v/>
      </c>
      <c r="C573" s="1" t="n">
        <v>3758</v>
      </c>
      <c r="D573" s="1" t="n">
        <v>86</v>
      </c>
      <c r="E573" s="4">
        <f>IF(INDEX(C:C, ROW())+INDEX(D:D, ROW())=0, 0, INDEX(C:C, ROW())/(INDEX(C:C, ROW())+INDEX(D:D, ROW())))</f>
        <v/>
      </c>
      <c r="F573" s="1" t="inlineStr">
        <is>
          <t>Dynamic Programming, Tree, Depth-First Search, Binary Tree</t>
        </is>
      </c>
      <c r="G573" s="1" t="inlineStr">
        <is>
          <t>Medium</t>
        </is>
      </c>
      <c r="H573" s="1" t="n">
        <v>286335</v>
      </c>
      <c r="I573" s="1" t="n">
        <v>426718</v>
      </c>
      <c r="J573" s="9" t="n">
        <v>0.671</v>
      </c>
      <c r="K573" s="1" t="inlineStr">
        <is>
          <t>Yes</t>
        </is>
      </c>
      <c r="L573" s="1" t="inlineStr">
        <is>
          <t>Yes</t>
        </is>
      </c>
      <c r="M573" s="1" t="inlineStr">
        <is>
          <t>No</t>
        </is>
      </c>
      <c r="N573" s="1" t="inlineStr">
        <is>
          <t>Algorithms</t>
        </is>
      </c>
      <c r="O5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73" s="11" t="inlineStr">
        <is>
          <t>To Do</t>
        </is>
      </c>
    </row>
    <row r="574" ht="15.75" customHeight="1" s="12">
      <c r="A574" s="1" t="n">
        <v>766</v>
      </c>
      <c r="B574" s="3">
        <f>HYPERLINK("https://leetcode.com/problems/toeplitz-matrix/", "Toeplitz Matrix")</f>
        <v/>
      </c>
      <c r="C574" s="1" t="n">
        <v>3736</v>
      </c>
      <c r="D574" s="1" t="n">
        <v>181</v>
      </c>
      <c r="E574" s="4">
        <f>IF(INDEX(C:C, ROW())+INDEX(D:D, ROW())=0, 0, INDEX(C:C, ROW())/(INDEX(C:C, ROW())+INDEX(D:D, ROW())))</f>
        <v/>
      </c>
      <c r="F574" s="1" t="inlineStr">
        <is>
          <t>Array, Matrix</t>
        </is>
      </c>
      <c r="G574" s="1" t="inlineStr">
        <is>
          <t>Easy</t>
        </is>
      </c>
      <c r="H574" s="1" t="n">
        <v>455502</v>
      </c>
      <c r="I574" s="1" t="n">
        <v>653632</v>
      </c>
      <c r="J574" s="9" t="n">
        <v>0.697</v>
      </c>
      <c r="K574" s="1" t="inlineStr">
        <is>
          <t>Yes</t>
        </is>
      </c>
      <c r="L574" s="1" t="inlineStr">
        <is>
          <t>Yes</t>
        </is>
      </c>
      <c r="M574" s="1" t="inlineStr">
        <is>
          <t>No</t>
        </is>
      </c>
      <c r="N574" s="1" t="inlineStr">
        <is>
          <t>Algorithms</t>
        </is>
      </c>
      <c r="O5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74" s="13" t="inlineStr">
        <is>
          <t>Done</t>
        </is>
      </c>
    </row>
    <row r="575" ht="15.75" customHeight="1" s="12">
      <c r="A575" s="1" t="n">
        <v>832</v>
      </c>
      <c r="B575" s="3">
        <f>HYPERLINK("https://leetcode.com/problems/flipping-an-image/", "Flipping an Image")</f>
        <v/>
      </c>
      <c r="C575" s="1" t="n">
        <v>3736</v>
      </c>
      <c r="D575" s="1" t="n">
        <v>262</v>
      </c>
      <c r="E575" s="4">
        <f>IF(INDEX(C:C, ROW())+INDEX(D:D, ROW())=0, 0, INDEX(C:C, ROW())/(INDEX(C:C, ROW())+INDEX(D:D, ROW())))</f>
        <v/>
      </c>
      <c r="F575" s="1" t="inlineStr">
        <is>
          <t>Array, Two Pointers, Bit Manipulation, Matrix, Simulation</t>
        </is>
      </c>
      <c r="G575" s="1" t="inlineStr">
        <is>
          <t>Easy</t>
        </is>
      </c>
      <c r="H575" s="1" t="n">
        <v>561531</v>
      </c>
      <c r="I575" s="1" t="n">
        <v>670750</v>
      </c>
      <c r="J575" s="9" t="n">
        <v>0.837</v>
      </c>
      <c r="K575" s="1" t="inlineStr">
        <is>
          <t>Yes</t>
        </is>
      </c>
      <c r="L575" s="1" t="inlineStr">
        <is>
          <t>Yes</t>
        </is>
      </c>
      <c r="M575" s="1" t="inlineStr">
        <is>
          <t>No</t>
        </is>
      </c>
      <c r="N575" s="1" t="inlineStr">
        <is>
          <t>Algorithms</t>
        </is>
      </c>
      <c r="O5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75" s="13" t="inlineStr">
        <is>
          <t>Done</t>
        </is>
      </c>
    </row>
    <row r="576" ht="15.75" customHeight="1" s="12">
      <c r="A576" s="1" t="n">
        <v>846</v>
      </c>
      <c r="B576" s="3">
        <f>HYPERLINK("https://leetcode.com/problems/hand-of-straights/", "Hand of Straights")</f>
        <v/>
      </c>
      <c r="C576" s="1" t="n">
        <v>3734</v>
      </c>
      <c r="D576" s="1" t="n">
        <v>295</v>
      </c>
      <c r="E576" s="4">
        <f>IF(INDEX(C:C, ROW())+INDEX(D:D, ROW())=0, 0, INDEX(C:C, ROW())/(INDEX(C:C, ROW())+INDEX(D:D, ROW())))</f>
        <v/>
      </c>
      <c r="F576" s="1" t="inlineStr">
        <is>
          <t>Array, Hash Table, Greedy, Sorting</t>
        </is>
      </c>
      <c r="G576" s="1" t="inlineStr">
        <is>
          <t>Medium</t>
        </is>
      </c>
      <c r="H576" s="1" t="n">
        <v>451584</v>
      </c>
      <c r="I576" s="1" t="n">
        <v>779441</v>
      </c>
      <c r="J576" s="9" t="n">
        <v>0.579</v>
      </c>
      <c r="K576" s="1" t="inlineStr">
        <is>
          <t>Yes</t>
        </is>
      </c>
      <c r="L576" s="1" t="inlineStr">
        <is>
          <t>Yes</t>
        </is>
      </c>
      <c r="M576" s="1" t="inlineStr">
        <is>
          <t>No</t>
        </is>
      </c>
      <c r="N576" s="1" t="inlineStr">
        <is>
          <t>Algorithms</t>
        </is>
      </c>
      <c r="O5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76" s="11" t="inlineStr">
        <is>
          <t>To Do</t>
        </is>
      </c>
    </row>
    <row r="577" ht="15.75" customHeight="1" s="12">
      <c r="A577" s="1" t="n">
        <v>1636</v>
      </c>
      <c r="B577" s="3">
        <f>HYPERLINK("https://leetcode.com/problems/sort-array-by-increasing-frequency/", "Sort Array by Increasing Frequency")</f>
        <v/>
      </c>
      <c r="C577" s="1" t="n">
        <v>3731</v>
      </c>
      <c r="D577" s="1" t="n">
        <v>181</v>
      </c>
      <c r="E577" s="4">
        <f>IF(INDEX(C:C, ROW())+INDEX(D:D, ROW())=0, 0, INDEX(C:C, ROW())/(INDEX(C:C, ROW())+INDEX(D:D, ROW())))</f>
        <v/>
      </c>
      <c r="F577" s="1" t="inlineStr">
        <is>
          <t>Array, Hash Table, Sorting</t>
        </is>
      </c>
      <c r="G577" s="1" t="inlineStr">
        <is>
          <t>Easy</t>
        </is>
      </c>
      <c r="H577" s="1" t="n">
        <v>349581</v>
      </c>
      <c r="I577" s="1" t="n">
        <v>432690</v>
      </c>
      <c r="J577" s="9" t="n">
        <v>0.8080000000000001</v>
      </c>
      <c r="K577" s="1" t="inlineStr">
        <is>
          <t>Yes</t>
        </is>
      </c>
      <c r="L577" s="1" t="inlineStr">
        <is>
          <t>Yes</t>
        </is>
      </c>
      <c r="M577" s="1" t="inlineStr">
        <is>
          <t>No</t>
        </is>
      </c>
      <c r="N577" s="1" t="inlineStr">
        <is>
          <t>Algorithms</t>
        </is>
      </c>
      <c r="O5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77" s="13" t="inlineStr">
        <is>
          <t>Done</t>
        </is>
      </c>
    </row>
    <row r="578" ht="15.75" customHeight="1" s="12">
      <c r="A578" s="1" t="n">
        <v>326</v>
      </c>
      <c r="B578" s="3">
        <f>HYPERLINK("https://leetcode.com/problems/power-of-three/", "Power of Three")</f>
        <v/>
      </c>
      <c r="C578" s="1" t="n">
        <v>3727</v>
      </c>
      <c r="D578" s="1" t="n">
        <v>317</v>
      </c>
      <c r="E578" s="4">
        <f>IF(INDEX(C:C, ROW())+INDEX(D:D, ROW())=0, 0, INDEX(C:C, ROW())/(INDEX(C:C, ROW())+INDEX(D:D, ROW())))</f>
        <v/>
      </c>
      <c r="F578" s="1" t="inlineStr">
        <is>
          <t>Math, Recursion</t>
        </is>
      </c>
      <c r="G578" s="1" t="inlineStr">
        <is>
          <t>Easy</t>
        </is>
      </c>
      <c r="H578" s="1" t="n">
        <v>1388190</v>
      </c>
      <c r="I578" s="1" t="n">
        <v>2720284</v>
      </c>
      <c r="J578" s="9" t="n">
        <v>0.51</v>
      </c>
      <c r="K578" s="1" t="inlineStr">
        <is>
          <t>Yes</t>
        </is>
      </c>
      <c r="L578" s="1" t="inlineStr">
        <is>
          <t>Yes</t>
        </is>
      </c>
      <c r="M578" s="1" t="inlineStr">
        <is>
          <t>No</t>
        </is>
      </c>
      <c r="N578" s="1" t="inlineStr">
        <is>
          <t>Algorithms</t>
        </is>
      </c>
      <c r="O5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78" s="13" t="inlineStr">
        <is>
          <t>Done</t>
        </is>
      </c>
    </row>
    <row r="579" ht="15.75" customHeight="1" s="12">
      <c r="A579" s="1" t="n">
        <v>566</v>
      </c>
      <c r="B579" s="3">
        <f>HYPERLINK("https://leetcode.com/problems/reshape-the-matrix/", "Reshape the Matrix")</f>
        <v/>
      </c>
      <c r="C579" s="1" t="n">
        <v>3712</v>
      </c>
      <c r="D579" s="1" t="n">
        <v>439</v>
      </c>
      <c r="E579" s="4">
        <f>IF(INDEX(C:C, ROW())+INDEX(D:D, ROW())=0, 0, INDEX(C:C, ROW())/(INDEX(C:C, ROW())+INDEX(D:D, ROW())))</f>
        <v/>
      </c>
      <c r="F579" s="1" t="inlineStr">
        <is>
          <t>Array, Matrix, Simulation</t>
        </is>
      </c>
      <c r="G579" s="1" t="inlineStr">
        <is>
          <t>Easy</t>
        </is>
      </c>
      <c r="H579" s="1" t="n">
        <v>471605</v>
      </c>
      <c r="I579" s="1" t="n">
        <v>726321</v>
      </c>
      <c r="J579" s="9" t="n">
        <v>0.649</v>
      </c>
      <c r="K579" s="1" t="inlineStr">
        <is>
          <t>Yes</t>
        </is>
      </c>
      <c r="L579" s="1" t="inlineStr">
        <is>
          <t>Yes</t>
        </is>
      </c>
      <c r="M579" s="1" t="inlineStr">
        <is>
          <t>No</t>
        </is>
      </c>
      <c r="N579" s="1" t="inlineStr">
        <is>
          <t>Algorithms</t>
        </is>
      </c>
      <c r="O5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79" s="13" t="inlineStr">
        <is>
          <t>Done</t>
        </is>
      </c>
    </row>
    <row r="580" ht="15.75" customHeight="1" s="12">
      <c r="A580" s="1" t="n">
        <v>950</v>
      </c>
      <c r="B580" s="3">
        <f>HYPERLINK("https://leetcode.com/problems/reveal-cards-in-increasing-order/", "Reveal Cards In Increasing Order")</f>
        <v/>
      </c>
      <c r="C580" s="1" t="n">
        <v>3710</v>
      </c>
      <c r="D580" s="1" t="n">
        <v>715</v>
      </c>
      <c r="E580" s="4">
        <f>IF(INDEX(C:C, ROW())+INDEX(D:D, ROW())=0, 0, INDEX(C:C, ROW())/(INDEX(C:C, ROW())+INDEX(D:D, ROW())))</f>
        <v/>
      </c>
      <c r="F580" s="1" t="inlineStr">
        <is>
          <t>Array, Queue, Sorting, Simulation</t>
        </is>
      </c>
      <c r="G580" s="1" t="inlineStr">
        <is>
          <t>Medium</t>
        </is>
      </c>
      <c r="H580" s="1" t="n">
        <v>238328</v>
      </c>
      <c r="I580" s="1" t="n">
        <v>285033</v>
      </c>
      <c r="J580" s="9" t="n">
        <v>0.836</v>
      </c>
      <c r="K580" s="1" t="inlineStr">
        <is>
          <t>Yes</t>
        </is>
      </c>
      <c r="L580" s="1" t="inlineStr">
        <is>
          <t>Yes</t>
        </is>
      </c>
      <c r="M580" s="1" t="inlineStr">
        <is>
          <t>No</t>
        </is>
      </c>
      <c r="N580" s="1" t="inlineStr">
        <is>
          <t>Algorithms</t>
        </is>
      </c>
      <c r="O5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80" s="11" t="inlineStr">
        <is>
          <t>To Do</t>
        </is>
      </c>
    </row>
    <row r="581" ht="15.75" customHeight="1" s="12">
      <c r="A581" s="1" t="n">
        <v>1129</v>
      </c>
      <c r="B581" s="3">
        <f>HYPERLINK("https://leetcode.com/problems/shortest-path-with-alternating-colors/", "Shortest Path with Alternating Colors")</f>
        <v/>
      </c>
      <c r="C581" s="1" t="n">
        <v>3709</v>
      </c>
      <c r="D581" s="1" t="n">
        <v>206</v>
      </c>
      <c r="E581" s="4">
        <f>IF(INDEX(C:C, ROW())+INDEX(D:D, ROW())=0, 0, INDEX(C:C, ROW())/(INDEX(C:C, ROW())+INDEX(D:D, ROW())))</f>
        <v/>
      </c>
      <c r="F581" s="1" t="inlineStr">
        <is>
          <t>Breadth-First Search, Graph Theory</t>
        </is>
      </c>
      <c r="G581" s="1" t="inlineStr">
        <is>
          <t>Medium</t>
        </is>
      </c>
      <c r="H581" s="1" t="n">
        <v>154609</v>
      </c>
      <c r="I581" s="1" t="n">
        <v>322085</v>
      </c>
      <c r="J581" s="9" t="n">
        <v>0.48</v>
      </c>
      <c r="K581" s="1" t="inlineStr">
        <is>
          <t>Yes</t>
        </is>
      </c>
      <c r="L581" s="1" t="inlineStr">
        <is>
          <t>Yes</t>
        </is>
      </c>
      <c r="M581" s="1" t="inlineStr">
        <is>
          <t>No</t>
        </is>
      </c>
      <c r="N581" s="1" t="inlineStr">
        <is>
          <t>Algorithms</t>
        </is>
      </c>
      <c r="O5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81" s="11" t="inlineStr">
        <is>
          <t>To Do</t>
        </is>
      </c>
    </row>
    <row r="582" ht="15.75" customHeight="1" s="12">
      <c r="A582" s="1" t="n">
        <v>989</v>
      </c>
      <c r="B582" s="3">
        <f>HYPERLINK("https://leetcode.com/problems/add-to-array-form-of-integer/", "Add to Array-Form of Integer")</f>
        <v/>
      </c>
      <c r="C582" s="1" t="n">
        <v>3699</v>
      </c>
      <c r="D582" s="1" t="n">
        <v>317</v>
      </c>
      <c r="E582" s="4">
        <f>IF(INDEX(C:C, ROW())+INDEX(D:D, ROW())=0, 0, INDEX(C:C, ROW())/(INDEX(C:C, ROW())+INDEX(D:D, ROW())))</f>
        <v/>
      </c>
      <c r="F582" s="1" t="inlineStr">
        <is>
          <t>Array, Math</t>
        </is>
      </c>
      <c r="G582" s="1" t="inlineStr">
        <is>
          <t>Easy</t>
        </is>
      </c>
      <c r="H582" s="1" t="n">
        <v>341429</v>
      </c>
      <c r="I582" s="1" t="n">
        <v>750447</v>
      </c>
      <c r="J582" s="9" t="n">
        <v>0.455</v>
      </c>
      <c r="K582" s="1" t="inlineStr">
        <is>
          <t>Yes</t>
        </is>
      </c>
      <c r="L582" s="1" t="inlineStr">
        <is>
          <t>Yes</t>
        </is>
      </c>
      <c r="M582" s="1" t="inlineStr">
        <is>
          <t>No</t>
        </is>
      </c>
      <c r="N582" s="1" t="inlineStr">
        <is>
          <t>Algorithms</t>
        </is>
      </c>
      <c r="O5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82" s="13" t="inlineStr">
        <is>
          <t>Done</t>
        </is>
      </c>
    </row>
    <row r="583" ht="15.75" customHeight="1" s="12">
      <c r="A583" s="1" t="n">
        <v>783</v>
      </c>
      <c r="B583" s="3">
        <f>HYPERLINK("https://leetcode.com/problems/minimum-distance-between-bst-nodes/", "Minimum Distance Between BST Nodes")</f>
        <v/>
      </c>
      <c r="C583" s="1" t="n">
        <v>3696</v>
      </c>
      <c r="D583" s="1" t="n">
        <v>437</v>
      </c>
      <c r="E583" s="4">
        <f>IF(INDEX(C:C, ROW())+INDEX(D:D, ROW())=0, 0, INDEX(C:C, ROW())/(INDEX(C:C, ROW())+INDEX(D:D, ROW())))</f>
        <v/>
      </c>
      <c r="F583" s="1" t="inlineStr">
        <is>
          <t>Tree, Depth-First Search, Breadth-First Search, Binary Search Tree, Binary Tree</t>
        </is>
      </c>
      <c r="G583" s="1" t="inlineStr">
        <is>
          <t>Easy</t>
        </is>
      </c>
      <c r="H583" s="1" t="n">
        <v>329062</v>
      </c>
      <c r="I583" s="1" t="n">
        <v>536737</v>
      </c>
      <c r="J583" s="9" t="n">
        <v>0.613</v>
      </c>
      <c r="K583" s="1" t="inlineStr">
        <is>
          <t>Yes</t>
        </is>
      </c>
      <c r="L583" s="1" t="inlineStr">
        <is>
          <t>Yes</t>
        </is>
      </c>
      <c r="M583" s="1" t="inlineStr">
        <is>
          <t>No</t>
        </is>
      </c>
      <c r="N583" s="1" t="inlineStr">
        <is>
          <t>Algorithms</t>
        </is>
      </c>
      <c r="O5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83" s="13" t="inlineStr">
        <is>
          <t>Done</t>
        </is>
      </c>
    </row>
    <row r="584" ht="15.75" customHeight="1" s="12">
      <c r="A584" s="1" t="n">
        <v>623</v>
      </c>
      <c r="B584" s="3">
        <f>HYPERLINK("https://leetcode.com/problems/add-one-row-to-tree/", "Add One Row to Tree")</f>
        <v/>
      </c>
      <c r="C584" s="1" t="n">
        <v>3686</v>
      </c>
      <c r="D584" s="1" t="n">
        <v>271</v>
      </c>
      <c r="E584" s="4">
        <f>IF(INDEX(C:C, ROW())+INDEX(D:D, ROW())=0, 0, INDEX(C:C, ROW())/(INDEX(C:C, ROW())+INDEX(D:D, ROW())))</f>
        <v/>
      </c>
      <c r="F584" s="1" t="inlineStr">
        <is>
          <t>Tree, Depth-First Search, Breadth-First Search, Binary Tree</t>
        </is>
      </c>
      <c r="G584" s="1" t="inlineStr">
        <is>
          <t>Medium</t>
        </is>
      </c>
      <c r="H584" s="1" t="n">
        <v>304632</v>
      </c>
      <c r="I584" s="1" t="n">
        <v>475085</v>
      </c>
      <c r="J584" s="9" t="n">
        <v>0.641</v>
      </c>
      <c r="K584" s="1" t="inlineStr">
        <is>
          <t>Yes</t>
        </is>
      </c>
      <c r="L584" s="1" t="inlineStr">
        <is>
          <t>Yes</t>
        </is>
      </c>
      <c r="M584" s="1" t="inlineStr">
        <is>
          <t>No</t>
        </is>
      </c>
      <c r="N584" s="1" t="inlineStr">
        <is>
          <t>Algorithms</t>
        </is>
      </c>
      <c r="O5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84" s="11" t="inlineStr">
        <is>
          <t>To Do</t>
        </is>
      </c>
    </row>
    <row r="585" ht="15.75" customHeight="1" s="12">
      <c r="A585" s="1" t="n">
        <v>769</v>
      </c>
      <c r="B585" s="3">
        <f>HYPERLINK("https://leetcode.com/problems/max-chunks-to-make-sorted/", "Max Chunks To Make Sorted")</f>
        <v/>
      </c>
      <c r="C585" s="1" t="n">
        <v>3661</v>
      </c>
      <c r="D585" s="1" t="n">
        <v>369</v>
      </c>
      <c r="E585" s="4">
        <f>IF(INDEX(C:C, ROW())+INDEX(D:D, ROW())=0, 0, INDEX(C:C, ROW())/(INDEX(C:C, ROW())+INDEX(D:D, ROW())))</f>
        <v/>
      </c>
      <c r="F585" s="1" t="inlineStr">
        <is>
          <t>Array, Stack, Greedy, Sorting, Monotonic Stack</t>
        </is>
      </c>
      <c r="G585" s="1" t="inlineStr">
        <is>
          <t>Medium</t>
        </is>
      </c>
      <c r="H585" s="1" t="n">
        <v>238564</v>
      </c>
      <c r="I585" s="1" t="n">
        <v>371896</v>
      </c>
      <c r="J585" s="9" t="n">
        <v>0.641</v>
      </c>
      <c r="K585" s="1" t="inlineStr">
        <is>
          <t>Yes</t>
        </is>
      </c>
      <c r="L585" s="1" t="inlineStr">
        <is>
          <t>Yes</t>
        </is>
      </c>
      <c r="M585" s="1" t="inlineStr">
        <is>
          <t>No</t>
        </is>
      </c>
      <c r="N585" s="1" t="inlineStr">
        <is>
          <t>Algorithms</t>
        </is>
      </c>
      <c r="O5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85" s="11" t="inlineStr">
        <is>
          <t>To Do</t>
        </is>
      </c>
    </row>
    <row r="586" ht="15.75" customHeight="1" s="12">
      <c r="A586" s="1" t="n">
        <v>909</v>
      </c>
      <c r="B586" s="3">
        <f>HYPERLINK("https://leetcode.com/problems/snakes-and-ladders/", "Snakes and Ladders")</f>
        <v/>
      </c>
      <c r="C586" s="1" t="n">
        <v>3661</v>
      </c>
      <c r="D586" s="1" t="n">
        <v>1355</v>
      </c>
      <c r="E586" s="4">
        <f>IF(INDEX(C:C, ROW())+INDEX(D:D, ROW())=0, 0, INDEX(C:C, ROW())/(INDEX(C:C, ROW())+INDEX(D:D, ROW())))</f>
        <v/>
      </c>
      <c r="F586" s="1" t="inlineStr">
        <is>
          <t>Array, Breadth-First Search, Matrix</t>
        </is>
      </c>
      <c r="G586" s="1" t="inlineStr">
        <is>
          <t>Medium</t>
        </is>
      </c>
      <c r="H586" s="1" t="n">
        <v>365093</v>
      </c>
      <c r="I586" s="1" t="n">
        <v>759483</v>
      </c>
      <c r="J586" s="9" t="n">
        <v>0.481</v>
      </c>
      <c r="K586" s="1" t="inlineStr">
        <is>
          <t>Yes</t>
        </is>
      </c>
      <c r="L586" s="1" t="inlineStr">
        <is>
          <t>Yes</t>
        </is>
      </c>
      <c r="M586" s="1" t="inlineStr">
        <is>
          <t>No</t>
        </is>
      </c>
      <c r="N586" s="1" t="inlineStr">
        <is>
          <t>Algorithms</t>
        </is>
      </c>
      <c r="O5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86" s="11" t="inlineStr">
        <is>
          <t>To Do</t>
        </is>
      </c>
    </row>
    <row r="587" ht="15.75" customHeight="1" s="12">
      <c r="A587" s="1" t="n">
        <v>87</v>
      </c>
      <c r="B587" s="3">
        <f>HYPERLINK("https://leetcode.com/problems/scramble-string/", "Scramble String")</f>
        <v/>
      </c>
      <c r="C587" s="1" t="n">
        <v>3641</v>
      </c>
      <c r="D587" s="1" t="n">
        <v>1314</v>
      </c>
      <c r="E587" s="4">
        <f>IF(INDEX(C:C, ROW())+INDEX(D:D, ROW())=0, 0, INDEX(C:C, ROW())/(INDEX(C:C, ROW())+INDEX(D:D, ROW())))</f>
        <v/>
      </c>
      <c r="F587" s="1" t="inlineStr">
        <is>
          <t>String, Dynamic Programming</t>
        </is>
      </c>
      <c r="G587" s="1" t="inlineStr">
        <is>
          <t>Hard</t>
        </is>
      </c>
      <c r="H587" s="1" t="n">
        <v>317081</v>
      </c>
      <c r="I587" s="1" t="n">
        <v>712321</v>
      </c>
      <c r="J587" s="9" t="n">
        <v>0.445</v>
      </c>
      <c r="K587" s="1" t="inlineStr">
        <is>
          <t>Yes</t>
        </is>
      </c>
      <c r="L587" s="1" t="inlineStr">
        <is>
          <t>Yes</t>
        </is>
      </c>
      <c r="M587" s="1" t="inlineStr">
        <is>
          <t>No</t>
        </is>
      </c>
      <c r="N587" s="1" t="inlineStr">
        <is>
          <t>Algorithms</t>
        </is>
      </c>
      <c r="O5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87" s="11" t="inlineStr">
        <is>
          <t>To Do</t>
        </is>
      </c>
    </row>
    <row r="588" ht="15.75" customHeight="1" s="12">
      <c r="A588" s="1" t="n">
        <v>187</v>
      </c>
      <c r="B588" s="3">
        <f>HYPERLINK("https://leetcode.com/problems/repeated-dna-sequences/", "Repeated DNA Sequences")</f>
        <v/>
      </c>
      <c r="C588" s="1" t="n">
        <v>3636</v>
      </c>
      <c r="D588" s="1" t="n">
        <v>571</v>
      </c>
      <c r="E588" s="4">
        <f>IF(INDEX(C:C, ROW())+INDEX(D:D, ROW())=0, 0, INDEX(C:C, ROW())/(INDEX(C:C, ROW())+INDEX(D:D, ROW())))</f>
        <v/>
      </c>
      <c r="F588" s="1" t="inlineStr">
        <is>
          <t>Hash Table, String, Bit Manipulation, Sliding Window, Rolling Hash, Hash Function</t>
        </is>
      </c>
      <c r="G588" s="1" t="inlineStr">
        <is>
          <t>Medium</t>
        </is>
      </c>
      <c r="H588" s="1" t="n">
        <v>532397</v>
      </c>
      <c r="I588" s="1" t="n">
        <v>999595</v>
      </c>
      <c r="J588" s="9" t="n">
        <v>0.533</v>
      </c>
      <c r="K588" s="1" t="inlineStr">
        <is>
          <t>Yes</t>
        </is>
      </c>
      <c r="L588" s="1" t="inlineStr">
        <is>
          <t>Yes</t>
        </is>
      </c>
      <c r="M588" s="1" t="inlineStr">
        <is>
          <t>No</t>
        </is>
      </c>
      <c r="N588" s="1" t="inlineStr">
        <is>
          <t>Algorithms</t>
        </is>
      </c>
      <c r="O5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88" s="11" t="inlineStr">
        <is>
          <t>To Do</t>
        </is>
      </c>
    </row>
    <row r="589" ht="15.75" customHeight="1" s="12">
      <c r="A589" s="1" t="n">
        <v>318</v>
      </c>
      <c r="B589" s="3">
        <f>HYPERLINK("https://leetcode.com/problems/maximum-product-of-word-lengths/", "Maximum Product of Word Lengths")</f>
        <v/>
      </c>
      <c r="C589" s="1" t="n">
        <v>3629</v>
      </c>
      <c r="D589" s="1" t="n">
        <v>146</v>
      </c>
      <c r="E589" s="4">
        <f>IF(INDEX(C:C, ROW())+INDEX(D:D, ROW())=0, 0, INDEX(C:C, ROW())/(INDEX(C:C, ROW())+INDEX(D:D, ROW())))</f>
        <v/>
      </c>
      <c r="F589" s="1" t="inlineStr">
        <is>
          <t>Array, String, Bit Manipulation</t>
        </is>
      </c>
      <c r="G589" s="1" t="inlineStr">
        <is>
          <t>Medium</t>
        </is>
      </c>
      <c r="H589" s="1" t="n">
        <v>253372</v>
      </c>
      <c r="I589" s="1" t="n">
        <v>413958</v>
      </c>
      <c r="J589" s="9" t="n">
        <v>0.612</v>
      </c>
      <c r="K589" s="1" t="inlineStr">
        <is>
          <t>Yes</t>
        </is>
      </c>
      <c r="L589" s="1" t="inlineStr">
        <is>
          <t>Yes</t>
        </is>
      </c>
      <c r="M589" s="1" t="inlineStr">
        <is>
          <t>No</t>
        </is>
      </c>
      <c r="N589" s="1" t="inlineStr">
        <is>
          <t>Algorithms</t>
        </is>
      </c>
      <c r="O5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89" s="11" t="inlineStr">
        <is>
          <t>To Do</t>
        </is>
      </c>
    </row>
    <row r="590" ht="15.75" customHeight="1" s="12">
      <c r="A590" s="1" t="n">
        <v>1326</v>
      </c>
      <c r="B590" s="3">
        <f>HYPERLINK("https://leetcode.com/problems/minimum-number-of-taps-to-open-to-water-a-garden/", "Minimum Number of Taps to Open to Water a Garden")</f>
        <v/>
      </c>
      <c r="C590" s="1" t="n">
        <v>3627</v>
      </c>
      <c r="D590" s="1" t="n">
        <v>198</v>
      </c>
      <c r="E590" s="4">
        <f>IF(INDEX(C:C, ROW())+INDEX(D:D, ROW())=0, 0, INDEX(C:C, ROW())/(INDEX(C:C, ROW())+INDEX(D:D, ROW())))</f>
        <v/>
      </c>
      <c r="F590" s="1" t="inlineStr">
        <is>
          <t>Array, Dynamic Programming, Greedy</t>
        </is>
      </c>
      <c r="G590" s="1" t="inlineStr">
        <is>
          <t>Hard</t>
        </is>
      </c>
      <c r="H590" s="1" t="n">
        <v>160669</v>
      </c>
      <c r="I590" s="1" t="n">
        <v>315017</v>
      </c>
      <c r="J590" s="9" t="n">
        <v>0.51</v>
      </c>
      <c r="K590" s="1" t="inlineStr">
        <is>
          <t>Yes</t>
        </is>
      </c>
      <c r="L590" s="1" t="inlineStr">
        <is>
          <t>Yes</t>
        </is>
      </c>
      <c r="M590" s="1" t="inlineStr">
        <is>
          <t>No</t>
        </is>
      </c>
      <c r="N590" s="1" t="inlineStr">
        <is>
          <t>Algorithms</t>
        </is>
      </c>
      <c r="O5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90" s="11" t="inlineStr">
        <is>
          <t>To Do</t>
        </is>
      </c>
    </row>
    <row r="591" ht="15.75" customHeight="1" s="12">
      <c r="A591" s="1" t="n">
        <v>1334</v>
      </c>
      <c r="B591" s="3">
        <f>HYPERLINK("https://leetcode.com/problems/find-the-city-with-the-smallest-number-of-neighbors-at-a-threshold-distance/", "Find the City With the Smallest Number of Neighbors at a Threshold Distance")</f>
        <v/>
      </c>
      <c r="C591" s="1" t="n">
        <v>3626</v>
      </c>
      <c r="D591" s="1" t="n">
        <v>157</v>
      </c>
      <c r="E591" s="4">
        <f>IF(INDEX(C:C, ROW())+INDEX(D:D, ROW())=0, 0, INDEX(C:C, ROW())/(INDEX(C:C, ROW())+INDEX(D:D, ROW())))</f>
        <v/>
      </c>
      <c r="F591" s="1" t="inlineStr">
        <is>
          <t>Dynamic Programming, Graph Theory, Shortest Path</t>
        </is>
      </c>
      <c r="G591" s="1" t="inlineStr">
        <is>
          <t>Medium</t>
        </is>
      </c>
      <c r="H591" s="1" t="n">
        <v>327307</v>
      </c>
      <c r="I591" s="1" t="n">
        <v>450446</v>
      </c>
      <c r="J591" s="9" t="n">
        <v>0.727</v>
      </c>
      <c r="K591" s="1" t="inlineStr">
        <is>
          <t>Yes</t>
        </is>
      </c>
      <c r="L591" s="1" t="inlineStr">
        <is>
          <t>Yes</t>
        </is>
      </c>
      <c r="M591" s="1" t="inlineStr">
        <is>
          <t>No</t>
        </is>
      </c>
      <c r="N591" s="1" t="inlineStr">
        <is>
          <t>Algorithms</t>
        </is>
      </c>
      <c r="O5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91" s="11" t="inlineStr">
        <is>
          <t>To Do</t>
        </is>
      </c>
    </row>
    <row r="592" ht="15.75" customHeight="1" s="12">
      <c r="A592" s="1" t="n">
        <v>1095</v>
      </c>
      <c r="B592" s="3">
        <f>HYPERLINK("https://leetcode.com/problems/find-in-mountain-array/", "Find in Mountain Array")</f>
        <v/>
      </c>
      <c r="C592" s="1" t="n">
        <v>3619</v>
      </c>
      <c r="D592" s="1" t="n">
        <v>156</v>
      </c>
      <c r="E592" s="4">
        <f>IF(INDEX(C:C, ROW())+INDEX(D:D, ROW())=0, 0, INDEX(C:C, ROW())/(INDEX(C:C, ROW())+INDEX(D:D, ROW())))</f>
        <v/>
      </c>
      <c r="F592" s="1" t="inlineStr">
        <is>
          <t>Array, Binary Search, Interactive</t>
        </is>
      </c>
      <c r="G592" s="1" t="inlineStr">
        <is>
          <t>Hard</t>
        </is>
      </c>
      <c r="H592" s="1" t="n">
        <v>206060</v>
      </c>
      <c r="I592" s="1" t="n">
        <v>495386</v>
      </c>
      <c r="J592" s="9" t="n">
        <v>0.416</v>
      </c>
      <c r="K592" s="1" t="inlineStr">
        <is>
          <t>Yes</t>
        </is>
      </c>
      <c r="L592" s="1" t="inlineStr">
        <is>
          <t>Yes</t>
        </is>
      </c>
      <c r="M592" s="1" t="inlineStr">
        <is>
          <t>No</t>
        </is>
      </c>
      <c r="N592" s="1" t="inlineStr">
        <is>
          <t>Algorithms</t>
        </is>
      </c>
      <c r="O5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92" s="11" t="inlineStr">
        <is>
          <t>To Do</t>
        </is>
      </c>
    </row>
    <row r="593" ht="15.75" customHeight="1" s="12">
      <c r="A593" s="1" t="n">
        <v>449</v>
      </c>
      <c r="B593" s="3">
        <f>HYPERLINK("https://leetcode.com/problems/serialize-and-deserialize-bst/", "Serialize and Deserialize BST")</f>
        <v/>
      </c>
      <c r="C593" s="1" t="n">
        <v>3606</v>
      </c>
      <c r="D593" s="1" t="n">
        <v>180</v>
      </c>
      <c r="E593" s="4">
        <f>IF(INDEX(C:C, ROW())+INDEX(D:D, ROW())=0, 0, INDEX(C:C, ROW())/(INDEX(C:C, ROW())+INDEX(D:D, ROW())))</f>
        <v/>
      </c>
      <c r="F593" s="1" t="inlineStr">
        <is>
          <t>String, Tree, Depth-First Search, Breadth-First Search, Design, Binary Search Tree, Binary Tree</t>
        </is>
      </c>
      <c r="G593" s="1" t="inlineStr">
        <is>
          <t>Medium</t>
        </is>
      </c>
      <c r="H593" s="1" t="n">
        <v>277001</v>
      </c>
      <c r="I593" s="1" t="n">
        <v>464812</v>
      </c>
      <c r="J593" s="9" t="n">
        <v>0.596</v>
      </c>
      <c r="K593" s="1" t="inlineStr">
        <is>
          <t>Yes</t>
        </is>
      </c>
      <c r="L593" s="1" t="inlineStr">
        <is>
          <t>Yes</t>
        </is>
      </c>
      <c r="M593" s="1" t="inlineStr">
        <is>
          <t>No</t>
        </is>
      </c>
      <c r="N593" s="1" t="inlineStr">
        <is>
          <t>Algorithms</t>
        </is>
      </c>
      <c r="O5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93" s="11" t="inlineStr">
        <is>
          <t>To Do</t>
        </is>
      </c>
    </row>
    <row r="594" ht="15.75" customHeight="1" s="12">
      <c r="A594" s="1" t="n">
        <v>1283</v>
      </c>
      <c r="B594" s="3">
        <f>HYPERLINK("https://leetcode.com/problems/find-the-smallest-divisor-given-a-threshold/", "Find the Smallest Divisor Given a Threshold")</f>
        <v/>
      </c>
      <c r="C594" s="1" t="n">
        <v>3603</v>
      </c>
      <c r="D594" s="1" t="n">
        <v>230</v>
      </c>
      <c r="E594" s="4">
        <f>IF(INDEX(C:C, ROW())+INDEX(D:D, ROW())=0, 0, INDEX(C:C, ROW())/(INDEX(C:C, ROW())+INDEX(D:D, ROW())))</f>
        <v/>
      </c>
      <c r="F594" s="1" t="inlineStr">
        <is>
          <t>Array, Binary Search</t>
        </is>
      </c>
      <c r="G594" s="1" t="inlineStr">
        <is>
          <t>Medium</t>
        </is>
      </c>
      <c r="H594" s="1" t="n">
        <v>453473</v>
      </c>
      <c r="I594" s="1" t="n">
        <v>688642</v>
      </c>
      <c r="J594" s="9" t="n">
        <v>0.659</v>
      </c>
      <c r="K594" s="1" t="inlineStr">
        <is>
          <t>Yes</t>
        </is>
      </c>
      <c r="L594" s="1" t="inlineStr">
        <is>
          <t>Yes</t>
        </is>
      </c>
      <c r="M594" s="1" t="inlineStr">
        <is>
          <t>No</t>
        </is>
      </c>
      <c r="N594" s="1" t="inlineStr">
        <is>
          <t>Algorithms</t>
        </is>
      </c>
      <c r="O5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94" s="11" t="inlineStr">
        <is>
          <t>To Do</t>
        </is>
      </c>
    </row>
    <row r="595" ht="15.75" customHeight="1" s="12">
      <c r="A595" s="1" t="n">
        <v>1335</v>
      </c>
      <c r="B595" s="3">
        <f>HYPERLINK("https://leetcode.com/problems/minimum-difficulty-of-a-job-schedule/", "Minimum Difficulty of a Job Schedule")</f>
        <v/>
      </c>
      <c r="C595" s="1" t="n">
        <v>3602</v>
      </c>
      <c r="D595" s="1" t="n">
        <v>336</v>
      </c>
      <c r="E595" s="4">
        <f>IF(INDEX(C:C, ROW())+INDEX(D:D, ROW())=0, 0, INDEX(C:C, ROW())/(INDEX(C:C, ROW())+INDEX(D:D, ROW())))</f>
        <v/>
      </c>
      <c r="F595" s="1" t="inlineStr">
        <is>
          <t>Array, Dynamic Programming</t>
        </is>
      </c>
      <c r="G595" s="1" t="inlineStr">
        <is>
          <t>Hard</t>
        </is>
      </c>
      <c r="H595" s="1" t="n">
        <v>228307</v>
      </c>
      <c r="I595" s="1" t="n">
        <v>382063</v>
      </c>
      <c r="J595" s="9" t="n">
        <v>0.598</v>
      </c>
      <c r="K595" s="1" t="inlineStr">
        <is>
          <t>Yes</t>
        </is>
      </c>
      <c r="L595" s="1" t="inlineStr">
        <is>
          <t>Yes</t>
        </is>
      </c>
      <c r="M595" s="1" t="inlineStr">
        <is>
          <t>No</t>
        </is>
      </c>
      <c r="N595" s="1" t="inlineStr">
        <is>
          <t>Algorithms</t>
        </is>
      </c>
      <c r="O5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95" s="11" t="inlineStr">
        <is>
          <t>To Do</t>
        </is>
      </c>
    </row>
    <row r="596" ht="15.75" customHeight="1" s="12">
      <c r="A596" s="1" t="n">
        <v>520</v>
      </c>
      <c r="B596" s="3">
        <f>HYPERLINK("https://leetcode.com/problems/detect-capital/", "Detect Capital")</f>
        <v/>
      </c>
      <c r="C596" s="1" t="n">
        <v>3598</v>
      </c>
      <c r="D596" s="1" t="n">
        <v>473</v>
      </c>
      <c r="E596" s="4">
        <f>IF(INDEX(C:C, ROW())+INDEX(D:D, ROW())=0, 0, INDEX(C:C, ROW())/(INDEX(C:C, ROW())+INDEX(D:D, ROW())))</f>
        <v/>
      </c>
      <c r="F596" s="1" t="inlineStr">
        <is>
          <t>String</t>
        </is>
      </c>
      <c r="G596" s="1" t="inlineStr">
        <is>
          <t>Easy</t>
        </is>
      </c>
      <c r="H596" s="1" t="n">
        <v>558583</v>
      </c>
      <c r="I596" s="1" t="n">
        <v>986515</v>
      </c>
      <c r="J596" s="9" t="n">
        <v>0.5659999999999999</v>
      </c>
      <c r="K596" s="1" t="inlineStr">
        <is>
          <t>Yes</t>
        </is>
      </c>
      <c r="L596" s="1" t="inlineStr">
        <is>
          <t>Yes</t>
        </is>
      </c>
      <c r="M596" s="1" t="inlineStr">
        <is>
          <t>No</t>
        </is>
      </c>
      <c r="N596" s="1" t="inlineStr">
        <is>
          <t>Algorithms</t>
        </is>
      </c>
      <c r="O5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96" s="13" t="inlineStr">
        <is>
          <t>Done</t>
        </is>
      </c>
    </row>
    <row r="597" ht="15.75" customHeight="1" s="12">
      <c r="A597" s="1" t="n">
        <v>1396</v>
      </c>
      <c r="B597" s="3">
        <f>HYPERLINK("https://leetcode.com/problems/design-underground-system/", "Design Underground System")</f>
        <v/>
      </c>
      <c r="C597" s="1" t="n">
        <v>3597</v>
      </c>
      <c r="D597" s="1" t="n">
        <v>179</v>
      </c>
      <c r="E597" s="4">
        <f>IF(INDEX(C:C, ROW())+INDEX(D:D, ROW())=0, 0, INDEX(C:C, ROW())/(INDEX(C:C, ROW())+INDEX(D:D, ROW())))</f>
        <v/>
      </c>
      <c r="F597" s="1" t="inlineStr">
        <is>
          <t>Hash Table, String, Design</t>
        </is>
      </c>
      <c r="G597" s="1" t="inlineStr">
        <is>
          <t>Medium</t>
        </is>
      </c>
      <c r="H597" s="1" t="n">
        <v>272470</v>
      </c>
      <c r="I597" s="1" t="n">
        <v>365818</v>
      </c>
      <c r="J597" s="9" t="n">
        <v>0.745</v>
      </c>
      <c r="K597" s="1" t="inlineStr">
        <is>
          <t>Yes</t>
        </is>
      </c>
      <c r="L597" s="1" t="inlineStr">
        <is>
          <t>Yes</t>
        </is>
      </c>
      <c r="M597" s="1" t="inlineStr">
        <is>
          <t>No</t>
        </is>
      </c>
      <c r="N597" s="1" t="inlineStr">
        <is>
          <t>Algorithms</t>
        </is>
      </c>
      <c r="O5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97" s="11" t="inlineStr">
        <is>
          <t>To Do</t>
        </is>
      </c>
    </row>
    <row r="598" ht="15.75" customHeight="1" s="12">
      <c r="A598" s="1" t="n">
        <v>480</v>
      </c>
      <c r="B598" s="3">
        <f>HYPERLINK("https://leetcode.com/problems/sliding-window-median/", "Sliding Window Median")</f>
        <v/>
      </c>
      <c r="C598" s="1" t="n">
        <v>3591</v>
      </c>
      <c r="D598" s="1" t="n">
        <v>241</v>
      </c>
      <c r="E598" s="4">
        <f>IF(INDEX(C:C, ROW())+INDEX(D:D, ROW())=0, 0, INDEX(C:C, ROW())/(INDEX(C:C, ROW())+INDEX(D:D, ROW())))</f>
        <v/>
      </c>
      <c r="F598" s="1" t="inlineStr">
        <is>
          <t>Array, Hash Table, Sliding Window, Heap (Priority Queue)</t>
        </is>
      </c>
      <c r="G598" s="1" t="inlineStr">
        <is>
          <t>Hard</t>
        </is>
      </c>
      <c r="H598" s="1" t="n">
        <v>220769</v>
      </c>
      <c r="I598" s="1" t="n">
        <v>566722</v>
      </c>
      <c r="J598" s="9" t="n">
        <v>0.39</v>
      </c>
      <c r="K598" s="1" t="inlineStr">
        <is>
          <t>Yes</t>
        </is>
      </c>
      <c r="L598" s="1" t="inlineStr">
        <is>
          <t>Yes</t>
        </is>
      </c>
      <c r="M598" s="1" t="inlineStr">
        <is>
          <t>No</t>
        </is>
      </c>
      <c r="N598" s="1" t="inlineStr">
        <is>
          <t>Algorithms</t>
        </is>
      </c>
      <c r="O5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98" s="11" t="inlineStr">
        <is>
          <t>To Do</t>
        </is>
      </c>
    </row>
    <row r="599" ht="15.75" customHeight="1" s="12">
      <c r="A599" s="1" t="n">
        <v>1329</v>
      </c>
      <c r="B599" s="3">
        <f>HYPERLINK("https://leetcode.com/problems/sort-the-matrix-diagonally/", "Sort the Matrix Diagonally")</f>
        <v/>
      </c>
      <c r="C599" s="1" t="n">
        <v>3589</v>
      </c>
      <c r="D599" s="1" t="n">
        <v>239</v>
      </c>
      <c r="E599" s="4">
        <f>IF(INDEX(C:C, ROW())+INDEX(D:D, ROW())=0, 0, INDEX(C:C, ROW())/(INDEX(C:C, ROW())+INDEX(D:D, ROW())))</f>
        <v/>
      </c>
      <c r="F599" s="1" t="inlineStr">
        <is>
          <t>Array, Sorting, Matrix</t>
        </is>
      </c>
      <c r="G599" s="1" t="inlineStr">
        <is>
          <t>Medium</t>
        </is>
      </c>
      <c r="H599" s="1" t="n">
        <v>197943</v>
      </c>
      <c r="I599" s="1" t="n">
        <v>237972</v>
      </c>
      <c r="J599" s="9" t="n">
        <v>0.832</v>
      </c>
      <c r="K599" s="1" t="inlineStr">
        <is>
          <t>Yes</t>
        </is>
      </c>
      <c r="L599" s="1" t="inlineStr">
        <is>
          <t>Yes</t>
        </is>
      </c>
      <c r="M599" s="1" t="inlineStr">
        <is>
          <t>Yes</t>
        </is>
      </c>
      <c r="N599" s="1" t="inlineStr">
        <is>
          <t>Algorithms</t>
        </is>
      </c>
      <c r="O5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599" s="11" t="inlineStr">
        <is>
          <t>To Do</t>
        </is>
      </c>
    </row>
    <row r="600" ht="15.75" customHeight="1" s="12">
      <c r="A600" s="1" t="n">
        <v>1339</v>
      </c>
      <c r="B600" s="3">
        <f>HYPERLINK("https://leetcode.com/problems/maximum-product-of-splitted-binary-tree/", "Maximum Product of Splitted Binary Tree")</f>
        <v/>
      </c>
      <c r="C600" s="1" t="n">
        <v>3583</v>
      </c>
      <c r="D600" s="1" t="n">
        <v>122</v>
      </c>
      <c r="E600" s="4">
        <f>IF(INDEX(C:C, ROW())+INDEX(D:D, ROW())=0, 0, INDEX(C:C, ROW())/(INDEX(C:C, ROW())+INDEX(D:D, ROW())))</f>
        <v/>
      </c>
      <c r="F600" s="1" t="inlineStr">
        <is>
          <t>Tree, Depth-First Search, Binary Tree</t>
        </is>
      </c>
      <c r="G600" s="1" t="inlineStr">
        <is>
          <t>Medium</t>
        </is>
      </c>
      <c r="H600" s="1" t="n">
        <v>258820</v>
      </c>
      <c r="I600" s="1" t="n">
        <v>464754</v>
      </c>
      <c r="J600" s="9" t="n">
        <v>0.5570000000000001</v>
      </c>
      <c r="K600" s="1" t="inlineStr">
        <is>
          <t>Yes</t>
        </is>
      </c>
      <c r="L600" s="1" t="inlineStr">
        <is>
          <t>Yes</t>
        </is>
      </c>
      <c r="M600" s="1" t="inlineStr">
        <is>
          <t>No</t>
        </is>
      </c>
      <c r="N600" s="1" t="inlineStr">
        <is>
          <t>Algorithms</t>
        </is>
      </c>
      <c r="O6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00" s="11" t="inlineStr">
        <is>
          <t>To Do</t>
        </is>
      </c>
    </row>
    <row r="601" ht="15.75" customHeight="1" s="12">
      <c r="A601" s="1" t="n">
        <v>363</v>
      </c>
      <c r="B601" s="3">
        <f>HYPERLINK("https://leetcode.com/problems/max-sum-of-rectangle-no-larger-than-k/", "Max Sum of Rectangle No Larger Than K")</f>
        <v/>
      </c>
      <c r="C601" s="1" t="n">
        <v>3580</v>
      </c>
      <c r="D601" s="1" t="n">
        <v>178</v>
      </c>
      <c r="E601" s="4">
        <f>IF(INDEX(C:C, ROW())+INDEX(D:D, ROW())=0, 0, INDEX(C:C, ROW())/(INDEX(C:C, ROW())+INDEX(D:D, ROW())))</f>
        <v/>
      </c>
      <c r="F601" s="1" t="inlineStr">
        <is>
          <t>Array, Binary Search, Matrix, Prefix Sum, Ordered Set</t>
        </is>
      </c>
      <c r="G601" s="1" t="inlineStr">
        <is>
          <t>Hard</t>
        </is>
      </c>
      <c r="H601" s="1" t="n">
        <v>144200</v>
      </c>
      <c r="I601" s="1" t="n">
        <v>316675</v>
      </c>
      <c r="J601" s="9" t="n">
        <v>0.455</v>
      </c>
      <c r="K601" s="1" t="inlineStr">
        <is>
          <t>Yes</t>
        </is>
      </c>
      <c r="L601" s="1" t="inlineStr">
        <is>
          <t>Yes</t>
        </is>
      </c>
      <c r="M601" s="1" t="inlineStr">
        <is>
          <t>No</t>
        </is>
      </c>
      <c r="N601" s="1" t="inlineStr">
        <is>
          <t>Algorithms</t>
        </is>
      </c>
      <c r="O6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01" s="11" t="inlineStr">
        <is>
          <t>To Do</t>
        </is>
      </c>
    </row>
    <row r="602" ht="15.75" customHeight="1" s="12">
      <c r="A602" s="1" t="n">
        <v>1696</v>
      </c>
      <c r="B602" s="3">
        <f>HYPERLINK("https://leetcode.com/problems/jump-game-vi/", "Jump Game VI")</f>
        <v/>
      </c>
      <c r="C602" s="1" t="n">
        <v>3570</v>
      </c>
      <c r="D602" s="1" t="n">
        <v>126</v>
      </c>
      <c r="E602" s="4">
        <f>IF(INDEX(C:C, ROW())+INDEX(D:D, ROW())=0, 0, INDEX(C:C, ROW())/(INDEX(C:C, ROW())+INDEX(D:D, ROW())))</f>
        <v/>
      </c>
      <c r="F602" s="1" t="inlineStr">
        <is>
          <t>Array, Dynamic Programming, Queue, Heap (Priority Queue), Monotonic Queue</t>
        </is>
      </c>
      <c r="G602" s="1" t="inlineStr">
        <is>
          <t>Medium</t>
        </is>
      </c>
      <c r="H602" s="1" t="n">
        <v>129344</v>
      </c>
      <c r="I602" s="1" t="n">
        <v>278669</v>
      </c>
      <c r="J602" s="9" t="n">
        <v>0.464</v>
      </c>
      <c r="K602" s="1" t="inlineStr">
        <is>
          <t>Yes</t>
        </is>
      </c>
      <c r="L602" s="1" t="inlineStr">
        <is>
          <t>Yes</t>
        </is>
      </c>
      <c r="M602" s="1" t="inlineStr">
        <is>
          <t>No</t>
        </is>
      </c>
      <c r="N602" s="1" t="inlineStr">
        <is>
          <t>Algorithms</t>
        </is>
      </c>
      <c r="O6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02" s="11" t="inlineStr">
        <is>
          <t>To Do</t>
        </is>
      </c>
    </row>
    <row r="603" ht="15.75" customHeight="1" s="12">
      <c r="A603" s="1" t="n">
        <v>164</v>
      </c>
      <c r="B603" s="3">
        <f>HYPERLINK("https://leetcode.com/problems/maximum-gap/", "Maximum Gap")</f>
        <v/>
      </c>
      <c r="C603" s="1" t="n">
        <v>3567</v>
      </c>
      <c r="D603" s="1" t="n">
        <v>442</v>
      </c>
      <c r="E603" s="4">
        <f>IF(INDEX(C:C, ROW())+INDEX(D:D, ROW())=0, 0, INDEX(C:C, ROW())/(INDEX(C:C, ROW())+INDEX(D:D, ROW())))</f>
        <v/>
      </c>
      <c r="F603" s="1" t="inlineStr">
        <is>
          <t>Array, Sorting, Bucket Sort, Radix Sort</t>
        </is>
      </c>
      <c r="G603" s="1" t="inlineStr">
        <is>
          <t>Medium</t>
        </is>
      </c>
      <c r="H603" s="1" t="n">
        <v>343075</v>
      </c>
      <c r="I603" s="1" t="n">
        <v>659770</v>
      </c>
      <c r="J603" s="9" t="n">
        <v>0.52</v>
      </c>
      <c r="K603" s="1" t="inlineStr">
        <is>
          <t>Yes</t>
        </is>
      </c>
      <c r="L603" s="1" t="inlineStr">
        <is>
          <t>Yes</t>
        </is>
      </c>
      <c r="M603" s="1" t="inlineStr">
        <is>
          <t>No</t>
        </is>
      </c>
      <c r="N603" s="1" t="inlineStr">
        <is>
          <t>Algorithms</t>
        </is>
      </c>
      <c r="O6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03" s="11" t="inlineStr">
        <is>
          <t>To Do</t>
        </is>
      </c>
    </row>
    <row r="604" ht="15.75" customHeight="1" s="12">
      <c r="A604" s="1" t="n">
        <v>414</v>
      </c>
      <c r="B604" s="3">
        <f>HYPERLINK("https://leetcode.com/problems/third-maximum-number/", "Third Maximum Number")</f>
        <v/>
      </c>
      <c r="C604" s="1" t="n">
        <v>3563</v>
      </c>
      <c r="D604" s="1" t="n">
        <v>3551</v>
      </c>
      <c r="E604" s="4">
        <f>IF(INDEX(C:C, ROW())+INDEX(D:D, ROW())=0, 0, INDEX(C:C, ROW())/(INDEX(C:C, ROW())+INDEX(D:D, ROW())))</f>
        <v/>
      </c>
      <c r="F604" s="1" t="inlineStr">
        <is>
          <t>Array, Sorting</t>
        </is>
      </c>
      <c r="G604" s="1" t="inlineStr">
        <is>
          <t>Easy</t>
        </is>
      </c>
      <c r="H604" s="1" t="n">
        <v>842104</v>
      </c>
      <c r="I604" s="1" t="n">
        <v>2141044</v>
      </c>
      <c r="J604" s="9" t="n">
        <v>0.393</v>
      </c>
      <c r="K604" s="1" t="inlineStr">
        <is>
          <t>Yes</t>
        </is>
      </c>
      <c r="L604" s="1" t="inlineStr">
        <is>
          <t>Yes</t>
        </is>
      </c>
      <c r="M604" s="1" t="inlineStr">
        <is>
          <t>No</t>
        </is>
      </c>
      <c r="N604" s="1" t="inlineStr">
        <is>
          <t>Algorithms</t>
        </is>
      </c>
      <c r="O6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04" s="13" t="inlineStr">
        <is>
          <t>Done</t>
        </is>
      </c>
    </row>
    <row r="605" ht="15.75" customHeight="1" s="12">
      <c r="A605" s="1" t="n">
        <v>1679</v>
      </c>
      <c r="B605" s="3">
        <f>HYPERLINK("https://leetcode.com/problems/max-number-of-k-sum-pairs/", "Max Number of K-Sum Pairs")</f>
        <v/>
      </c>
      <c r="C605" s="1" t="n">
        <v>3561</v>
      </c>
      <c r="D605" s="1" t="n">
        <v>123</v>
      </c>
      <c r="E605" s="4">
        <f>IF(INDEX(C:C, ROW())+INDEX(D:D, ROW())=0, 0, INDEX(C:C, ROW())/(INDEX(C:C, ROW())+INDEX(D:D, ROW())))</f>
        <v/>
      </c>
      <c r="F605" s="1" t="inlineStr">
        <is>
          <t>Array, Hash Table, Two Pointers, Sorting</t>
        </is>
      </c>
      <c r="G605" s="1" t="inlineStr">
        <is>
          <t>Medium</t>
        </is>
      </c>
      <c r="H605" s="1" t="n">
        <v>603753</v>
      </c>
      <c r="I605" s="1" t="n">
        <v>1058661</v>
      </c>
      <c r="J605" s="9" t="n">
        <v>0.57</v>
      </c>
      <c r="K605" s="1" t="inlineStr">
        <is>
          <t>Yes</t>
        </is>
      </c>
      <c r="L605" s="1" t="inlineStr">
        <is>
          <t>Yes</t>
        </is>
      </c>
      <c r="M605" s="1" t="inlineStr">
        <is>
          <t>No</t>
        </is>
      </c>
      <c r="N605" s="1" t="inlineStr">
        <is>
          <t>Algorithms</t>
        </is>
      </c>
      <c r="O6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05" s="11" t="inlineStr">
        <is>
          <t>To Do</t>
        </is>
      </c>
    </row>
    <row r="606" ht="15.75" customHeight="1" s="12">
      <c r="A606" s="1" t="n">
        <v>172</v>
      </c>
      <c r="B606" s="3">
        <f>HYPERLINK("https://leetcode.com/problems/factorial-trailing-zeroes/", "Factorial Trailing Zeroes")</f>
        <v/>
      </c>
      <c r="C606" s="1" t="n">
        <v>3551</v>
      </c>
      <c r="D606" s="1" t="n">
        <v>1991</v>
      </c>
      <c r="E606" s="4">
        <f>IF(INDEX(C:C, ROW())+INDEX(D:D, ROW())=0, 0, INDEX(C:C, ROW())/(INDEX(C:C, ROW())+INDEX(D:D, ROW())))</f>
        <v/>
      </c>
      <c r="F606" s="1" t="inlineStr">
        <is>
          <t>Math</t>
        </is>
      </c>
      <c r="G606" s="1" t="inlineStr">
        <is>
          <t>Medium</t>
        </is>
      </c>
      <c r="H606" s="1" t="n">
        <v>669156</v>
      </c>
      <c r="I606" s="1" t="n">
        <v>1434084</v>
      </c>
      <c r="J606" s="9" t="n">
        <v>0.467</v>
      </c>
      <c r="K606" s="1" t="inlineStr">
        <is>
          <t>Yes</t>
        </is>
      </c>
      <c r="L606" s="1" t="inlineStr">
        <is>
          <t>Yes</t>
        </is>
      </c>
      <c r="M606" s="1" t="inlineStr">
        <is>
          <t>No</t>
        </is>
      </c>
      <c r="N606" s="1" t="inlineStr">
        <is>
          <t>Algorithms</t>
        </is>
      </c>
      <c r="O6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06" s="11" t="inlineStr">
        <is>
          <t>To Do</t>
        </is>
      </c>
    </row>
    <row r="607" ht="15.75" customHeight="1" s="12">
      <c r="A607" s="1" t="n">
        <v>877</v>
      </c>
      <c r="B607" s="3">
        <f>HYPERLINK("https://leetcode.com/problems/stone-game/", "Stone Game")</f>
        <v/>
      </c>
      <c r="C607" s="1" t="n">
        <v>3546</v>
      </c>
      <c r="D607" s="1" t="n">
        <v>2962</v>
      </c>
      <c r="E607" s="4">
        <f>IF(INDEX(C:C, ROW())+INDEX(D:D, ROW())=0, 0, INDEX(C:C, ROW())/(INDEX(C:C, ROW())+INDEX(D:D, ROW())))</f>
        <v/>
      </c>
      <c r="F607" s="1" t="inlineStr">
        <is>
          <t>Array, Math, Dynamic Programming, Game Theory</t>
        </is>
      </c>
      <c r="G607" s="1" t="inlineStr">
        <is>
          <t>Medium</t>
        </is>
      </c>
      <c r="H607" s="1" t="n">
        <v>338419</v>
      </c>
      <c r="I607" s="1" t="n">
        <v>461995</v>
      </c>
      <c r="J607" s="9" t="n">
        <v>0.733</v>
      </c>
      <c r="K607" s="1" t="inlineStr">
        <is>
          <t>Yes</t>
        </is>
      </c>
      <c r="L607" s="1" t="inlineStr">
        <is>
          <t>Yes</t>
        </is>
      </c>
      <c r="M607" s="1" t="inlineStr">
        <is>
          <t>No</t>
        </is>
      </c>
      <c r="N607" s="1" t="inlineStr">
        <is>
          <t>Algorithms</t>
        </is>
      </c>
      <c r="O6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07" s="11" t="inlineStr">
        <is>
          <t>To Do</t>
        </is>
      </c>
    </row>
    <row r="608" ht="15.75" customHeight="1" s="12">
      <c r="A608" s="1" t="n">
        <v>1019</v>
      </c>
      <c r="B608" s="3">
        <f>HYPERLINK("https://leetcode.com/problems/next-greater-node-in-linked-list/", "Next Greater Node In Linked List")</f>
        <v/>
      </c>
      <c r="C608" s="1" t="n">
        <v>3544</v>
      </c>
      <c r="D608" s="1" t="n">
        <v>130</v>
      </c>
      <c r="E608" s="4">
        <f>IF(INDEX(C:C, ROW())+INDEX(D:D, ROW())=0, 0, INDEX(C:C, ROW())/(INDEX(C:C, ROW())+INDEX(D:D, ROW())))</f>
        <v/>
      </c>
      <c r="F608" s="1" t="inlineStr">
        <is>
          <t>Array, Linked List, Stack, Monotonic Stack</t>
        </is>
      </c>
      <c r="G608" s="1" t="inlineStr">
        <is>
          <t>Medium</t>
        </is>
      </c>
      <c r="H608" s="1" t="n">
        <v>225987</v>
      </c>
      <c r="I608" s="1" t="n">
        <v>351596</v>
      </c>
      <c r="J608" s="9" t="n">
        <v>0.643</v>
      </c>
      <c r="K608" s="1" t="inlineStr">
        <is>
          <t>Yes</t>
        </is>
      </c>
      <c r="L608" s="1" t="inlineStr">
        <is>
          <t>Yes</t>
        </is>
      </c>
      <c r="M608" s="1" t="inlineStr">
        <is>
          <t>No</t>
        </is>
      </c>
      <c r="N608" s="1" t="inlineStr">
        <is>
          <t>Algorithms</t>
        </is>
      </c>
      <c r="O6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08" s="11" t="inlineStr">
        <is>
          <t>To Do</t>
        </is>
      </c>
    </row>
    <row r="609" ht="15.75" customHeight="1" s="12">
      <c r="A609" s="1" t="n">
        <v>916</v>
      </c>
      <c r="B609" s="3">
        <f>HYPERLINK("https://leetcode.com/problems/word-subsets/", "Word Subsets")</f>
        <v/>
      </c>
      <c r="C609" s="1" t="n">
        <v>3542</v>
      </c>
      <c r="D609" s="1" t="n">
        <v>317</v>
      </c>
      <c r="E609" s="4">
        <f>IF(INDEX(C:C, ROW())+INDEX(D:D, ROW())=0, 0, INDEX(C:C, ROW())/(INDEX(C:C, ROW())+INDEX(D:D, ROW())))</f>
        <v/>
      </c>
      <c r="F609" s="1" t="inlineStr">
        <is>
          <t>Array, Hash Table, String</t>
        </is>
      </c>
      <c r="G609" s="1" t="inlineStr">
        <is>
          <t>Medium</t>
        </is>
      </c>
      <c r="H609" s="1" t="n">
        <v>265986</v>
      </c>
      <c r="I609" s="1" t="n">
        <v>475640</v>
      </c>
      <c r="J609" s="9" t="n">
        <v>0.5590000000000001</v>
      </c>
      <c r="K609" s="1" t="inlineStr">
        <is>
          <t>Yes</t>
        </is>
      </c>
      <c r="L609" s="1" t="inlineStr">
        <is>
          <t>Yes</t>
        </is>
      </c>
      <c r="M609" s="1" t="inlineStr">
        <is>
          <t>No</t>
        </is>
      </c>
      <c r="N609" s="1" t="inlineStr">
        <is>
          <t>Algorithms</t>
        </is>
      </c>
      <c r="O6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09" s="11" t="inlineStr">
        <is>
          <t>To Do</t>
        </is>
      </c>
    </row>
    <row r="610" ht="15.75" customHeight="1" s="12">
      <c r="A610" s="1" t="n">
        <v>462</v>
      </c>
      <c r="B610" s="3">
        <f>HYPERLINK("https://leetcode.com/problems/minimum-moves-to-equal-array-elements-ii/", "Minimum Moves to Equal Array Elements II")</f>
        <v/>
      </c>
      <c r="C610" s="1" t="n">
        <v>3537</v>
      </c>
      <c r="D610" s="1" t="n">
        <v>132</v>
      </c>
      <c r="E610" s="4">
        <f>IF(INDEX(C:C, ROW())+INDEX(D:D, ROW())=0, 0, INDEX(C:C, ROW())/(INDEX(C:C, ROW())+INDEX(D:D, ROW())))</f>
        <v/>
      </c>
      <c r="F610" s="1" t="inlineStr">
        <is>
          <t>Array, Math, Sorting</t>
        </is>
      </c>
      <c r="G610" s="1" t="inlineStr">
        <is>
          <t>Medium</t>
        </is>
      </c>
      <c r="H610" s="1" t="n">
        <v>228010</v>
      </c>
      <c r="I610" s="1" t="n">
        <v>368469</v>
      </c>
      <c r="J610" s="9" t="n">
        <v>0.619</v>
      </c>
      <c r="K610" s="1" t="inlineStr">
        <is>
          <t>Yes</t>
        </is>
      </c>
      <c r="L610" s="1" t="inlineStr">
        <is>
          <t>Yes</t>
        </is>
      </c>
      <c r="M610" s="1" t="inlineStr">
        <is>
          <t>No</t>
        </is>
      </c>
      <c r="N610" s="1" t="inlineStr">
        <is>
          <t>Algorithms</t>
        </is>
      </c>
      <c r="O6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10" s="11" t="inlineStr">
        <is>
          <t>To Do</t>
        </is>
      </c>
    </row>
    <row r="611" ht="15.75" customHeight="1" s="12">
      <c r="A611" s="1" t="n">
        <v>1402</v>
      </c>
      <c r="B611" s="3">
        <f>HYPERLINK("https://leetcode.com/problems/reducing-dishes/", "Reducing Dishes")</f>
        <v/>
      </c>
      <c r="C611" s="1" t="n">
        <v>3531</v>
      </c>
      <c r="D611" s="1" t="n">
        <v>317</v>
      </c>
      <c r="E611" s="4">
        <f>IF(INDEX(C:C, ROW())+INDEX(D:D, ROW())=0, 0, INDEX(C:C, ROW())/(INDEX(C:C, ROW())+INDEX(D:D, ROW())))</f>
        <v/>
      </c>
      <c r="F611" s="1" t="inlineStr">
        <is>
          <t>Array, Dynamic Programming, Greedy, Sorting</t>
        </is>
      </c>
      <c r="G611" s="1" t="inlineStr">
        <is>
          <t>Hard</t>
        </is>
      </c>
      <c r="H611" s="1" t="n">
        <v>186406</v>
      </c>
      <c r="I611" s="1" t="n">
        <v>243052</v>
      </c>
      <c r="J611" s="9" t="n">
        <v>0.767</v>
      </c>
      <c r="K611" s="1" t="inlineStr">
        <is>
          <t>Yes</t>
        </is>
      </c>
      <c r="L611" s="1" t="inlineStr">
        <is>
          <t>Yes</t>
        </is>
      </c>
      <c r="M611" s="1" t="inlineStr">
        <is>
          <t>No</t>
        </is>
      </c>
      <c r="N611" s="1" t="inlineStr">
        <is>
          <t>Algorithms</t>
        </is>
      </c>
      <c r="O6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11" s="11" t="inlineStr">
        <is>
          <t>To Do</t>
        </is>
      </c>
    </row>
    <row r="612" ht="15.75" customHeight="1" s="12">
      <c r="A612" s="1" t="n">
        <v>446</v>
      </c>
      <c r="B612" s="3">
        <f>HYPERLINK("https://leetcode.com/problems/arithmetic-slices-ii-subsequence/", "Arithmetic Slices II - Subsequence")</f>
        <v/>
      </c>
      <c r="C612" s="1" t="n">
        <v>3520</v>
      </c>
      <c r="D612" s="1" t="n">
        <v>165</v>
      </c>
      <c r="E612" s="4">
        <f>IF(INDEX(C:C, ROW())+INDEX(D:D, ROW())=0, 0, INDEX(C:C, ROW())/(INDEX(C:C, ROW())+INDEX(D:D, ROW())))</f>
        <v/>
      </c>
      <c r="F612" s="1" t="inlineStr">
        <is>
          <t>Array, Dynamic Programming</t>
        </is>
      </c>
      <c r="G612" s="1" t="inlineStr">
        <is>
          <t>Hard</t>
        </is>
      </c>
      <c r="H612" s="1" t="n">
        <v>169549</v>
      </c>
      <c r="I612" s="1" t="n">
        <v>307978</v>
      </c>
      <c r="J612" s="9" t="n">
        <v>0.551</v>
      </c>
      <c r="K612" s="1" t="inlineStr">
        <is>
          <t>Yes</t>
        </is>
      </c>
      <c r="L612" s="1" t="inlineStr">
        <is>
          <t>Yes</t>
        </is>
      </c>
      <c r="M612" s="1" t="inlineStr">
        <is>
          <t>No</t>
        </is>
      </c>
      <c r="N612" s="1" t="inlineStr">
        <is>
          <t>Algorithms</t>
        </is>
      </c>
      <c r="O6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12" s="11" t="inlineStr">
        <is>
          <t>To Do</t>
        </is>
      </c>
    </row>
    <row r="613" ht="15.75" customHeight="1" s="12">
      <c r="A613" s="1" t="n">
        <v>1581</v>
      </c>
      <c r="B613" s="3">
        <f>HYPERLINK("https://leetcode.com/problems/customer-who-visited-but-did-not-make-any-transactions/", "Customer Who Visited but Did Not Make Any Transactions")</f>
        <v/>
      </c>
      <c r="C613" s="1" t="n">
        <v>3517</v>
      </c>
      <c r="D613" s="1" t="n">
        <v>459</v>
      </c>
      <c r="E613" s="4">
        <f>IF(INDEX(C:C, ROW())+INDEX(D:D, ROW())=0, 0, INDEX(C:C, ROW())/(INDEX(C:C, ROW())+INDEX(D:D, ROW())))</f>
        <v/>
      </c>
      <c r="F613" s="1" t="inlineStr">
        <is>
          <t>Database</t>
        </is>
      </c>
      <c r="G613" s="1" t="inlineStr">
        <is>
          <t>Easy</t>
        </is>
      </c>
      <c r="H613" s="1" t="n">
        <v>1158538</v>
      </c>
      <c r="I613" s="1" t="n">
        <v>1712056</v>
      </c>
      <c r="J613" s="9" t="n">
        <v>0.677</v>
      </c>
      <c r="K613" s="1" t="inlineStr">
        <is>
          <t>Yes</t>
        </is>
      </c>
      <c r="L613" s="1" t="inlineStr">
        <is>
          <t>Yes</t>
        </is>
      </c>
      <c r="M613" s="1" t="inlineStr">
        <is>
          <t>No</t>
        </is>
      </c>
      <c r="N613" s="1" t="inlineStr">
        <is>
          <t>Database</t>
        </is>
      </c>
      <c r="O6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13" s="13" t="inlineStr">
        <is>
          <t>Done</t>
        </is>
      </c>
    </row>
    <row r="614" ht="15.75" customHeight="1" s="12">
      <c r="A614" s="1" t="n">
        <v>1171</v>
      </c>
      <c r="B614" s="3">
        <f>HYPERLINK("https://leetcode.com/problems/remove-zero-sum-consecutive-nodes-from-linked-list/", "Remove Zero Sum Consecutive Nodes from Linked List")</f>
        <v/>
      </c>
      <c r="C614" s="1" t="n">
        <v>3516</v>
      </c>
      <c r="D614" s="1" t="n">
        <v>226</v>
      </c>
      <c r="E614" s="4">
        <f>IF(INDEX(C:C, ROW())+INDEX(D:D, ROW())=0, 0, INDEX(C:C, ROW())/(INDEX(C:C, ROW())+INDEX(D:D, ROW())))</f>
        <v/>
      </c>
      <c r="F614" s="1" t="inlineStr">
        <is>
          <t>Hash Table, Linked List</t>
        </is>
      </c>
      <c r="G614" s="1" t="inlineStr">
        <is>
          <t>Medium</t>
        </is>
      </c>
      <c r="H614" s="1" t="n">
        <v>188112</v>
      </c>
      <c r="I614" s="1" t="n">
        <v>353895</v>
      </c>
      <c r="J614" s="9" t="n">
        <v>0.532</v>
      </c>
      <c r="K614" s="1" t="inlineStr">
        <is>
          <t>Yes</t>
        </is>
      </c>
      <c r="L614" s="1" t="inlineStr">
        <is>
          <t>Yes</t>
        </is>
      </c>
      <c r="M614" s="1" t="inlineStr">
        <is>
          <t>No</t>
        </is>
      </c>
      <c r="N614" s="1" t="inlineStr">
        <is>
          <t>Algorithms</t>
        </is>
      </c>
      <c r="O6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14" s="11" t="inlineStr">
        <is>
          <t>To Do</t>
        </is>
      </c>
    </row>
    <row r="615" ht="15.75" customHeight="1" s="12">
      <c r="A615" s="1" t="n">
        <v>1834</v>
      </c>
      <c r="B615" s="3">
        <f>HYPERLINK("https://leetcode.com/problems/single-threaded-cpu/", "Single-Threaded CPU")</f>
        <v/>
      </c>
      <c r="C615" s="1" t="n">
        <v>3508</v>
      </c>
      <c r="D615" s="1" t="n">
        <v>292</v>
      </c>
      <c r="E615" s="4">
        <f>IF(INDEX(C:C, ROW())+INDEX(D:D, ROW())=0, 0, INDEX(C:C, ROW())/(INDEX(C:C, ROW())+INDEX(D:D, ROW())))</f>
        <v/>
      </c>
      <c r="F615" s="1" t="inlineStr">
        <is>
          <t>Array, Sorting, Heap (Priority Queue)</t>
        </is>
      </c>
      <c r="G615" s="1" t="inlineStr">
        <is>
          <t>Medium</t>
        </is>
      </c>
      <c r="H615" s="1" t="n">
        <v>156487</v>
      </c>
      <c r="I615" s="1" t="n">
        <v>328622</v>
      </c>
      <c r="J615" s="9" t="n">
        <v>0.476</v>
      </c>
      <c r="K615" s="1" t="inlineStr">
        <is>
          <t>Yes</t>
        </is>
      </c>
      <c r="L615" s="1" t="inlineStr">
        <is>
          <t>Yes</t>
        </is>
      </c>
      <c r="M615" s="1" t="inlineStr">
        <is>
          <t>No</t>
        </is>
      </c>
      <c r="N615" s="1" t="inlineStr">
        <is>
          <t>Algorithms</t>
        </is>
      </c>
      <c r="O6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15" s="11" t="inlineStr">
        <is>
          <t>To Do</t>
        </is>
      </c>
    </row>
    <row r="616" ht="15.75" customHeight="1" s="12">
      <c r="A616" s="1" t="n">
        <v>948</v>
      </c>
      <c r="B616" s="3">
        <f>HYPERLINK("https://leetcode.com/problems/bag-of-tokens/", "Bag of Tokens")</f>
        <v/>
      </c>
      <c r="C616" s="1" t="n">
        <v>3480</v>
      </c>
      <c r="D616" s="1" t="n">
        <v>547</v>
      </c>
      <c r="E616" s="4">
        <f>IF(INDEX(C:C, ROW())+INDEX(D:D, ROW())=0, 0, INDEX(C:C, ROW())/(INDEX(C:C, ROW())+INDEX(D:D, ROW())))</f>
        <v/>
      </c>
      <c r="F616" s="1" t="inlineStr">
        <is>
          <t>Array, Two Pointers, Greedy, Sorting</t>
        </is>
      </c>
      <c r="G616" s="1" t="inlineStr">
        <is>
          <t>Medium</t>
        </is>
      </c>
      <c r="H616" s="1" t="n">
        <v>267667</v>
      </c>
      <c r="I616" s="1" t="n">
        <v>449111</v>
      </c>
      <c r="J616" s="9" t="n">
        <v>0.596</v>
      </c>
      <c r="K616" s="1" t="inlineStr">
        <is>
          <t>Yes</t>
        </is>
      </c>
      <c r="L616" s="1" t="inlineStr">
        <is>
          <t>Yes</t>
        </is>
      </c>
      <c r="M616" s="1" t="inlineStr">
        <is>
          <t>No</t>
        </is>
      </c>
      <c r="N616" s="1" t="inlineStr">
        <is>
          <t>Algorithms</t>
        </is>
      </c>
      <c r="O6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16" s="11" t="inlineStr">
        <is>
          <t>To Do</t>
        </is>
      </c>
    </row>
    <row r="617" ht="15.75" customHeight="1" s="12">
      <c r="A617" s="1" t="n">
        <v>314</v>
      </c>
      <c r="B617" s="3">
        <f>HYPERLINK("https://leetcode.com/problems/binary-tree-vertical-order-traversal/", "Binary Tree Vertical Order Traversal")</f>
        <v/>
      </c>
      <c r="C617" s="1" t="n">
        <v>3469</v>
      </c>
      <c r="D617" s="1" t="n">
        <v>354</v>
      </c>
      <c r="E617" s="4">
        <f>IF(INDEX(C:C, ROW())+INDEX(D:D, ROW())=0, 0, INDEX(C:C, ROW())/(INDEX(C:C, ROW())+INDEX(D:D, ROW())))</f>
        <v/>
      </c>
      <c r="F617" s="1" t="inlineStr">
        <is>
          <t>Hash Table, Tree, Depth-First Search, Breadth-First Search, Sorting, Binary Tree</t>
        </is>
      </c>
      <c r="G617" s="1" t="inlineStr">
        <is>
          <t>Medium</t>
        </is>
      </c>
      <c r="H617" s="1" t="n">
        <v>596880</v>
      </c>
      <c r="I617" s="1" t="n">
        <v>1032294</v>
      </c>
      <c r="J617" s="9" t="n">
        <v>0.578</v>
      </c>
      <c r="K617" s="1" t="inlineStr">
        <is>
          <t>No</t>
        </is>
      </c>
      <c r="L617" s="1" t="inlineStr">
        <is>
          <t>Yes</t>
        </is>
      </c>
      <c r="M617" s="1" t="inlineStr">
        <is>
          <t>No</t>
        </is>
      </c>
      <c r="N617" s="1" t="inlineStr">
        <is>
          <t>Algorithms</t>
        </is>
      </c>
      <c r="O6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17" s="11" t="inlineStr">
        <is>
          <t>To Do</t>
        </is>
      </c>
    </row>
    <row r="618" ht="15.75" customHeight="1" s="12">
      <c r="A618" s="1" t="n">
        <v>261</v>
      </c>
      <c r="B618" s="3">
        <f>HYPERLINK("https://leetcode.com/problems/graph-valid-tree/", "Graph Valid Tree")</f>
        <v/>
      </c>
      <c r="C618" s="1" t="n">
        <v>3466</v>
      </c>
      <c r="D618" s="1" t="n">
        <v>116</v>
      </c>
      <c r="E618" s="4">
        <f>IF(INDEX(C:C, ROW())+INDEX(D:D, ROW())=0, 0, INDEX(C:C, ROW())/(INDEX(C:C, ROW())+INDEX(D:D, ROW())))</f>
        <v/>
      </c>
      <c r="F618" s="1" t="inlineStr">
        <is>
          <t>Depth-First Search, Breadth-First Search, Union-Find, Graph Theory</t>
        </is>
      </c>
      <c r="G618" s="1" t="inlineStr">
        <is>
          <t>Medium</t>
        </is>
      </c>
      <c r="H618" s="1" t="n">
        <v>534987</v>
      </c>
      <c r="I618" s="1" t="n">
        <v>1070404</v>
      </c>
      <c r="J618" s="9" t="n">
        <v>0.5</v>
      </c>
      <c r="K618" s="1" t="inlineStr">
        <is>
          <t>No</t>
        </is>
      </c>
      <c r="L618" s="1" t="inlineStr">
        <is>
          <t>Yes</t>
        </is>
      </c>
      <c r="M618" s="1" t="inlineStr">
        <is>
          <t>No</t>
        </is>
      </c>
      <c r="N618" s="1" t="inlineStr">
        <is>
          <t>Algorithms</t>
        </is>
      </c>
      <c r="O6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18" s="11" t="inlineStr">
        <is>
          <t>To Do</t>
        </is>
      </c>
    </row>
    <row r="619" ht="15.75" customHeight="1" s="12">
      <c r="A619" s="1" t="n">
        <v>1395</v>
      </c>
      <c r="B619" s="3">
        <f>HYPERLINK("https://leetcode.com/problems/count-number-of-teams/", "Count Number of Teams")</f>
        <v/>
      </c>
      <c r="C619" s="1" t="n">
        <v>3459</v>
      </c>
      <c r="D619" s="1" t="n">
        <v>237</v>
      </c>
      <c r="E619" s="4">
        <f>IF(INDEX(C:C, ROW())+INDEX(D:D, ROW())=0, 0, INDEX(C:C, ROW())/(INDEX(C:C, ROW())+INDEX(D:D, ROW())))</f>
        <v/>
      </c>
      <c r="F619" s="1" t="inlineStr">
        <is>
          <t>Array, Dynamic Programming, Binary Indexed Tree, Segment Tree</t>
        </is>
      </c>
      <c r="G619" s="1" t="inlineStr">
        <is>
          <t>Medium</t>
        </is>
      </c>
      <c r="H619" s="1" t="n">
        <v>244583</v>
      </c>
      <c r="I619" s="1" t="n">
        <v>348603</v>
      </c>
      <c r="J619" s="9" t="n">
        <v>0.702</v>
      </c>
      <c r="K619" s="1" t="inlineStr">
        <is>
          <t>Yes</t>
        </is>
      </c>
      <c r="L619" s="1" t="inlineStr">
        <is>
          <t>Yes</t>
        </is>
      </c>
      <c r="M619" s="1" t="inlineStr">
        <is>
          <t>No</t>
        </is>
      </c>
      <c r="N619" s="1" t="inlineStr">
        <is>
          <t>Algorithms</t>
        </is>
      </c>
      <c r="O6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19" s="11" t="inlineStr">
        <is>
          <t>To Do</t>
        </is>
      </c>
    </row>
    <row r="620" ht="15.75" customHeight="1" s="12">
      <c r="A620" s="1" t="n">
        <v>633</v>
      </c>
      <c r="B620" s="3">
        <f>HYPERLINK("https://leetcode.com/problems/sum-of-square-numbers/", "Sum of Square Numbers")</f>
        <v/>
      </c>
      <c r="C620" s="1" t="n">
        <v>3458</v>
      </c>
      <c r="D620" s="1" t="n">
        <v>620</v>
      </c>
      <c r="E620" s="4">
        <f>IF(INDEX(C:C, ROW())+INDEX(D:D, ROW())=0, 0, INDEX(C:C, ROW())/(INDEX(C:C, ROW())+INDEX(D:D, ROW())))</f>
        <v/>
      </c>
      <c r="F620" s="1" t="inlineStr">
        <is>
          <t>Math, Two Pointers, Binary Search</t>
        </is>
      </c>
      <c r="G620" s="1" t="inlineStr">
        <is>
          <t>Medium</t>
        </is>
      </c>
      <c r="H620" s="1" t="n">
        <v>443197</v>
      </c>
      <c r="I620" s="1" t="n">
        <v>1203101</v>
      </c>
      <c r="J620" s="9" t="n">
        <v>0.368</v>
      </c>
      <c r="K620" s="1" t="inlineStr">
        <is>
          <t>Yes</t>
        </is>
      </c>
      <c r="L620" s="1" t="inlineStr">
        <is>
          <t>Yes</t>
        </is>
      </c>
      <c r="M620" s="1" t="inlineStr">
        <is>
          <t>No</t>
        </is>
      </c>
      <c r="N620" s="1" t="inlineStr">
        <is>
          <t>Algorithms</t>
        </is>
      </c>
      <c r="O6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20" s="11" t="inlineStr">
        <is>
          <t>To Do</t>
        </is>
      </c>
    </row>
    <row r="621" ht="15.75" customHeight="1" s="12">
      <c r="A621" s="1" t="n">
        <v>1140</v>
      </c>
      <c r="B621" s="3">
        <f>HYPERLINK("https://leetcode.com/problems/stone-game-ii/", "Stone Game II")</f>
        <v/>
      </c>
      <c r="C621" s="1" t="n">
        <v>3453</v>
      </c>
      <c r="D621" s="1" t="n">
        <v>939</v>
      </c>
      <c r="E621" s="4">
        <f>IF(INDEX(C:C, ROW())+INDEX(D:D, ROW())=0, 0, INDEX(C:C, ROW())/(INDEX(C:C, ROW())+INDEX(D:D, ROW())))</f>
        <v/>
      </c>
      <c r="F621" s="1" t="inlineStr">
        <is>
          <t>Array, Math, Dynamic Programming, Prefix Sum, Game Theory</t>
        </is>
      </c>
      <c r="G621" s="1" t="inlineStr">
        <is>
          <t>Medium</t>
        </is>
      </c>
      <c r="H621" s="1" t="n">
        <v>198410</v>
      </c>
      <c r="I621" s="1" t="n">
        <v>272474</v>
      </c>
      <c r="J621" s="9" t="n">
        <v>0.728</v>
      </c>
      <c r="K621" s="1" t="inlineStr">
        <is>
          <t>Yes</t>
        </is>
      </c>
      <c r="L621" s="1" t="inlineStr">
        <is>
          <t>No</t>
        </is>
      </c>
      <c r="M621" s="1" t="inlineStr">
        <is>
          <t>No</t>
        </is>
      </c>
      <c r="N621" s="1" t="inlineStr">
        <is>
          <t>Algorithms</t>
        </is>
      </c>
      <c r="O6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21" s="11" t="inlineStr">
        <is>
          <t>To Do</t>
        </is>
      </c>
    </row>
    <row r="622" ht="15.75" customHeight="1" s="12">
      <c r="A622" s="1" t="n">
        <v>860</v>
      </c>
      <c r="B622" s="3">
        <f>HYPERLINK("https://leetcode.com/problems/lemonade-change/", "Lemonade Change")</f>
        <v/>
      </c>
      <c r="C622" s="1" t="n">
        <v>3442</v>
      </c>
      <c r="D622" s="1" t="n">
        <v>217</v>
      </c>
      <c r="E622" s="4">
        <f>IF(INDEX(C:C, ROW())+INDEX(D:D, ROW())=0, 0, INDEX(C:C, ROW())/(INDEX(C:C, ROW())+INDEX(D:D, ROW())))</f>
        <v/>
      </c>
      <c r="F622" s="1" t="inlineStr">
        <is>
          <t>Array, Greedy</t>
        </is>
      </c>
      <c r="G622" s="1" t="inlineStr">
        <is>
          <t>Easy</t>
        </is>
      </c>
      <c r="H622" s="1" t="n">
        <v>589079</v>
      </c>
      <c r="I622" s="1" t="n">
        <v>996972</v>
      </c>
      <c r="J622" s="9" t="n">
        <v>0.591</v>
      </c>
      <c r="K622" s="1" t="inlineStr">
        <is>
          <t>Yes</t>
        </is>
      </c>
      <c r="L622" s="1" t="inlineStr">
        <is>
          <t>Yes</t>
        </is>
      </c>
      <c r="M622" s="1" t="inlineStr">
        <is>
          <t>No</t>
        </is>
      </c>
      <c r="N622" s="1" t="inlineStr">
        <is>
          <t>Algorithms</t>
        </is>
      </c>
      <c r="O6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22" s="13" t="inlineStr">
        <is>
          <t>Done</t>
        </is>
      </c>
    </row>
    <row r="623" ht="15.75" customHeight="1" s="12">
      <c r="A623" s="1" t="n">
        <v>1219</v>
      </c>
      <c r="B623" s="3">
        <f>HYPERLINK("https://leetcode.com/problems/path-with-maximum-gold/", "Path with Maximum Gold")</f>
        <v/>
      </c>
      <c r="C623" s="1" t="n">
        <v>3440</v>
      </c>
      <c r="D623" s="1" t="n">
        <v>106</v>
      </c>
      <c r="E623" s="4">
        <f>IF(INDEX(C:C, ROW())+INDEX(D:D, ROW())=0, 0, INDEX(C:C, ROW())/(INDEX(C:C, ROW())+INDEX(D:D, ROW())))</f>
        <v/>
      </c>
      <c r="F623" s="1" t="inlineStr">
        <is>
          <t>Array, Backtracking, Matrix</t>
        </is>
      </c>
      <c r="G623" s="1" t="inlineStr">
        <is>
          <t>Medium</t>
        </is>
      </c>
      <c r="H623" s="1" t="n">
        <v>255987</v>
      </c>
      <c r="I623" s="1" t="n">
        <v>374191</v>
      </c>
      <c r="J623" s="9" t="n">
        <v>0.6840000000000001</v>
      </c>
      <c r="K623" s="1" t="inlineStr">
        <is>
          <t>Yes</t>
        </is>
      </c>
      <c r="L623" s="1" t="inlineStr">
        <is>
          <t>Yes</t>
        </is>
      </c>
      <c r="M623" s="1" t="inlineStr">
        <is>
          <t>No</t>
        </is>
      </c>
      <c r="N623" s="1" t="inlineStr">
        <is>
          <t>Algorithms</t>
        </is>
      </c>
      <c r="O6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23" s="11" t="inlineStr">
        <is>
          <t>To Do</t>
        </is>
      </c>
    </row>
    <row r="624" ht="15.75" customHeight="1" s="12">
      <c r="A624" s="1" t="n">
        <v>147</v>
      </c>
      <c r="B624" s="3">
        <f>HYPERLINK("https://leetcode.com/problems/insertion-sort-list/", "Insertion Sort List")</f>
        <v/>
      </c>
      <c r="C624" s="1" t="n">
        <v>3413</v>
      </c>
      <c r="D624" s="1" t="n">
        <v>884</v>
      </c>
      <c r="E624" s="4">
        <f>IF(INDEX(C:C, ROW())+INDEX(D:D, ROW())=0, 0, INDEX(C:C, ROW())/(INDEX(C:C, ROW())+INDEX(D:D, ROW())))</f>
        <v/>
      </c>
      <c r="F624" s="1" t="inlineStr">
        <is>
          <t>Linked List, Sorting</t>
        </is>
      </c>
      <c r="G624" s="1" t="inlineStr">
        <is>
          <t>Medium</t>
        </is>
      </c>
      <c r="H624" s="1" t="n">
        <v>493700</v>
      </c>
      <c r="I624" s="1" t="n">
        <v>835750</v>
      </c>
      <c r="J624" s="9" t="n">
        <v>0.591</v>
      </c>
      <c r="K624" s="1" t="inlineStr">
        <is>
          <t>Yes</t>
        </is>
      </c>
      <c r="L624" s="1" t="inlineStr">
        <is>
          <t>Yes</t>
        </is>
      </c>
      <c r="M624" s="1" t="inlineStr">
        <is>
          <t>Yes</t>
        </is>
      </c>
      <c r="N624" s="1" t="inlineStr">
        <is>
          <t>Algorithms</t>
        </is>
      </c>
      <c r="O6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24" s="11" t="inlineStr">
        <is>
          <t>To Do</t>
        </is>
      </c>
    </row>
    <row r="625" ht="15.75" customHeight="1" s="12">
      <c r="A625" s="1" t="n">
        <v>526</v>
      </c>
      <c r="B625" s="3">
        <f>HYPERLINK("https://leetcode.com/problems/beautiful-arrangement/", "Beautiful Arrangement")</f>
        <v/>
      </c>
      <c r="C625" s="1" t="n">
        <v>3411</v>
      </c>
      <c r="D625" s="1" t="n">
        <v>391</v>
      </c>
      <c r="E625" s="4">
        <f>IF(INDEX(C:C, ROW())+INDEX(D:D, ROW())=0, 0, INDEX(C:C, ROW())/(INDEX(C:C, ROW())+INDEX(D:D, ROW())))</f>
        <v/>
      </c>
      <c r="F625" s="1" t="inlineStr">
        <is>
          <t>Array, Dynamic Programming, Backtracking, Bit Manipulation, Bitmask</t>
        </is>
      </c>
      <c r="G625" s="1" t="inlineStr">
        <is>
          <t>Medium</t>
        </is>
      </c>
      <c r="H625" s="1" t="n">
        <v>217172</v>
      </c>
      <c r="I625" s="1" t="n">
        <v>335249</v>
      </c>
      <c r="J625" s="9" t="n">
        <v>0.648</v>
      </c>
      <c r="K625" s="1" t="inlineStr">
        <is>
          <t>Yes</t>
        </is>
      </c>
      <c r="L625" s="1" t="inlineStr">
        <is>
          <t>Yes</t>
        </is>
      </c>
      <c r="M625" s="1" t="inlineStr">
        <is>
          <t>No</t>
        </is>
      </c>
      <c r="N625" s="1" t="inlineStr">
        <is>
          <t>Algorithms</t>
        </is>
      </c>
      <c r="O6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25" s="11" t="inlineStr">
        <is>
          <t>To Do</t>
        </is>
      </c>
    </row>
    <row r="626" ht="15.75" customHeight="1" s="12">
      <c r="A626" s="1" t="n">
        <v>1695</v>
      </c>
      <c r="B626" s="3">
        <f>HYPERLINK("https://leetcode.com/problems/maximum-erasure-value/", "Maximum Erasure Value")</f>
        <v/>
      </c>
      <c r="C626" s="1" t="n">
        <v>3411</v>
      </c>
      <c r="D626" s="1" t="n">
        <v>68</v>
      </c>
      <c r="E626" s="4">
        <f>IF(INDEX(C:C, ROW())+INDEX(D:D, ROW())=0, 0, INDEX(C:C, ROW())/(INDEX(C:C, ROW())+INDEX(D:D, ROW())))</f>
        <v/>
      </c>
      <c r="F626" s="1" t="inlineStr">
        <is>
          <t>Array, Hash Table, Sliding Window</t>
        </is>
      </c>
      <c r="G626" s="1" t="inlineStr">
        <is>
          <t>Medium</t>
        </is>
      </c>
      <c r="H626" s="1" t="n">
        <v>297926</v>
      </c>
      <c r="I626" s="1" t="n">
        <v>463530</v>
      </c>
      <c r="J626" s="9" t="n">
        <v>0.643</v>
      </c>
      <c r="K626" s="1" t="inlineStr">
        <is>
          <t>Yes</t>
        </is>
      </c>
      <c r="L626" s="1" t="inlineStr">
        <is>
          <t>Yes</t>
        </is>
      </c>
      <c r="M626" s="1" t="inlineStr">
        <is>
          <t>No</t>
        </is>
      </c>
      <c r="N626" s="1" t="inlineStr">
        <is>
          <t>Algorithms</t>
        </is>
      </c>
      <c r="O6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26" s="11" t="inlineStr">
        <is>
          <t>To Do</t>
        </is>
      </c>
    </row>
    <row r="627" ht="15.75" customHeight="1" s="12">
      <c r="A627" s="1" t="n">
        <v>976</v>
      </c>
      <c r="B627" s="3">
        <f>HYPERLINK("https://leetcode.com/problems/largest-perimeter-triangle/", "Largest Perimeter Triangle")</f>
        <v/>
      </c>
      <c r="C627" s="1" t="n">
        <v>3405</v>
      </c>
      <c r="D627" s="1" t="n">
        <v>444</v>
      </c>
      <c r="E627" s="4">
        <f>IF(INDEX(C:C, ROW())+INDEX(D:D, ROW())=0, 0, INDEX(C:C, ROW())/(INDEX(C:C, ROW())+INDEX(D:D, ROW())))</f>
        <v/>
      </c>
      <c r="F627" s="1" t="inlineStr">
        <is>
          <t>Array, Math, Greedy, Sorting</t>
        </is>
      </c>
      <c r="G627" s="1" t="inlineStr">
        <is>
          <t>Easy</t>
        </is>
      </c>
      <c r="H627" s="1" t="n">
        <v>429615</v>
      </c>
      <c r="I627" s="1" t="n">
        <v>691135</v>
      </c>
      <c r="J627" s="9" t="n">
        <v>0.622</v>
      </c>
      <c r="K627" s="1" t="inlineStr">
        <is>
          <t>Yes</t>
        </is>
      </c>
      <c r="L627" s="1" t="inlineStr">
        <is>
          <t>Yes</t>
        </is>
      </c>
      <c r="M627" s="1" t="inlineStr">
        <is>
          <t>No</t>
        </is>
      </c>
      <c r="N627" s="1" t="inlineStr">
        <is>
          <t>Algorithms</t>
        </is>
      </c>
      <c r="O6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27" s="13" t="inlineStr">
        <is>
          <t>Done</t>
        </is>
      </c>
    </row>
    <row r="628" ht="15.75" customHeight="1" s="12">
      <c r="A628" s="1" t="n">
        <v>889</v>
      </c>
      <c r="B628" s="3">
        <f>HYPERLINK("https://leetcode.com/problems/construct-binary-tree-from-preorder-and-postorder-traversal/", "Construct Binary Tree from Preorder and Postorder Traversal")</f>
        <v/>
      </c>
      <c r="C628" s="1" t="n">
        <v>3399</v>
      </c>
      <c r="D628" s="1" t="n">
        <v>161</v>
      </c>
      <c r="E628" s="4">
        <f>IF(INDEX(C:C, ROW())+INDEX(D:D, ROW())=0, 0, INDEX(C:C, ROW())/(INDEX(C:C, ROW())+INDEX(D:D, ROW())))</f>
        <v/>
      </c>
      <c r="F628" s="1" t="inlineStr">
        <is>
          <t>Array, Hash Table, Divide and Conquer, Tree, Binary Tree</t>
        </is>
      </c>
      <c r="G628" s="1" t="inlineStr">
        <is>
          <t>Medium</t>
        </is>
      </c>
      <c r="H628" s="1" t="n">
        <v>220506</v>
      </c>
      <c r="I628" s="1" t="n">
        <v>282522</v>
      </c>
      <c r="J628" s="9" t="n">
        <v>0.78</v>
      </c>
      <c r="K628" s="1" t="inlineStr">
        <is>
          <t>Yes</t>
        </is>
      </c>
      <c r="L628" s="1" t="inlineStr">
        <is>
          <t>Yes</t>
        </is>
      </c>
      <c r="M628" s="1" t="inlineStr">
        <is>
          <t>No</t>
        </is>
      </c>
      <c r="N628" s="1" t="inlineStr">
        <is>
          <t>Algorithms</t>
        </is>
      </c>
      <c r="O6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28" s="11" t="inlineStr">
        <is>
          <t>To Do</t>
        </is>
      </c>
    </row>
    <row r="629" ht="15.75" customHeight="1" s="12">
      <c r="A629" s="1" t="n">
        <v>2101</v>
      </c>
      <c r="B629" s="3">
        <f>HYPERLINK("https://leetcode.com/problems/detonate-the-maximum-bombs/", "Detonate the Maximum Bombs")</f>
        <v/>
      </c>
      <c r="C629" s="1" t="n">
        <v>3396</v>
      </c>
      <c r="D629" s="1" t="n">
        <v>163</v>
      </c>
      <c r="E629" s="4">
        <f>IF(INDEX(C:C, ROW())+INDEX(D:D, ROW())=0, 0, INDEX(C:C, ROW())/(INDEX(C:C, ROW())+INDEX(D:D, ROW())))</f>
        <v/>
      </c>
      <c r="F629" s="1" t="inlineStr">
        <is>
          <t>Array, Math, Depth-First Search, Breadth-First Search, Graph Theory, Geometry</t>
        </is>
      </c>
      <c r="G629" s="1" t="inlineStr">
        <is>
          <t>Medium</t>
        </is>
      </c>
      <c r="H629" s="1" t="n">
        <v>179818</v>
      </c>
      <c r="I629" s="1" t="n">
        <v>358814</v>
      </c>
      <c r="J629" s="9" t="n">
        <v>0.501</v>
      </c>
      <c r="K629" s="1" t="inlineStr">
        <is>
          <t>Yes</t>
        </is>
      </c>
      <c r="L629" s="1" t="inlineStr">
        <is>
          <t>Yes</t>
        </is>
      </c>
      <c r="M629" s="1" t="inlineStr">
        <is>
          <t>No</t>
        </is>
      </c>
      <c r="N629" s="1" t="inlineStr">
        <is>
          <t>Algorithms</t>
        </is>
      </c>
      <c r="O6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29" s="11" t="inlineStr">
        <is>
          <t>To Do</t>
        </is>
      </c>
    </row>
    <row r="630" ht="15.75" customHeight="1" s="12">
      <c r="A630" s="1" t="n">
        <v>412</v>
      </c>
      <c r="B630" s="3">
        <f>HYPERLINK("https://leetcode.com/problems/fizz-buzz/", "Fizz Buzz")</f>
        <v/>
      </c>
      <c r="C630" s="1" t="n">
        <v>3395</v>
      </c>
      <c r="D630" s="1" t="n">
        <v>466</v>
      </c>
      <c r="E630" s="4">
        <f>IF(INDEX(C:C, ROW())+INDEX(D:D, ROW())=0, 0, INDEX(C:C, ROW())/(INDEX(C:C, ROW())+INDEX(D:D, ROW())))</f>
        <v/>
      </c>
      <c r="F630" s="1" t="inlineStr">
        <is>
          <t>Math, String, Simulation</t>
        </is>
      </c>
      <c r="G630" s="1" t="inlineStr">
        <is>
          <t>Easy</t>
        </is>
      </c>
      <c r="H630" s="1" t="n">
        <v>1785293</v>
      </c>
      <c r="I630" s="1" t="n">
        <v>2365302</v>
      </c>
      <c r="J630" s="9" t="n">
        <v>0.755</v>
      </c>
      <c r="K630" s="1" t="inlineStr">
        <is>
          <t>Yes</t>
        </is>
      </c>
      <c r="L630" s="1" t="inlineStr">
        <is>
          <t>Yes</t>
        </is>
      </c>
      <c r="M630" s="1" t="inlineStr">
        <is>
          <t>Yes</t>
        </is>
      </c>
      <c r="N630" s="1" t="inlineStr">
        <is>
          <t>Algorithms</t>
        </is>
      </c>
      <c r="O6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30" s="13" t="inlineStr">
        <is>
          <t>Done</t>
        </is>
      </c>
    </row>
    <row r="631" ht="15.75" customHeight="1" s="12">
      <c r="A631" s="1" t="n">
        <v>595</v>
      </c>
      <c r="B631" s="3">
        <f>HYPERLINK("https://leetcode.com/problems/big-countries/", "Big Countries")</f>
        <v/>
      </c>
      <c r="C631" s="1" t="n">
        <v>3392</v>
      </c>
      <c r="D631" s="1" t="n">
        <v>1382</v>
      </c>
      <c r="E631" s="4">
        <f>IF(INDEX(C:C, ROW())+INDEX(D:D, ROW())=0, 0, INDEX(C:C, ROW())/(INDEX(C:C, ROW())+INDEX(D:D, ROW())))</f>
        <v/>
      </c>
      <c r="F631" s="1" t="inlineStr">
        <is>
          <t>Database</t>
        </is>
      </c>
      <c r="G631" s="1" t="inlineStr">
        <is>
          <t>Easy</t>
        </is>
      </c>
      <c r="H631" s="1" t="n">
        <v>2341139</v>
      </c>
      <c r="I631" s="1" t="n">
        <v>3419191</v>
      </c>
      <c r="J631" s="9" t="n">
        <v>0.6850000000000001</v>
      </c>
      <c r="K631" s="1" t="inlineStr">
        <is>
          <t>Yes</t>
        </is>
      </c>
      <c r="L631" s="1" t="inlineStr">
        <is>
          <t>Yes</t>
        </is>
      </c>
      <c r="M631" s="1" t="inlineStr">
        <is>
          <t>No</t>
        </is>
      </c>
      <c r="N631" s="1" t="inlineStr">
        <is>
          <t>Database</t>
        </is>
      </c>
      <c r="O6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31" s="13" t="inlineStr">
        <is>
          <t>Done</t>
        </is>
      </c>
    </row>
    <row r="632" ht="15.75" customHeight="1" s="12">
      <c r="A632" s="1" t="n">
        <v>1049</v>
      </c>
      <c r="B632" s="3">
        <f>HYPERLINK("https://leetcode.com/problems/last-stone-weight-ii/", "Last Stone Weight II")</f>
        <v/>
      </c>
      <c r="C632" s="1" t="n">
        <v>3386</v>
      </c>
      <c r="D632" s="1" t="n">
        <v>144</v>
      </c>
      <c r="E632" s="4">
        <f>IF(INDEX(C:C, ROW())+INDEX(D:D, ROW())=0, 0, INDEX(C:C, ROW())/(INDEX(C:C, ROW())+INDEX(D:D, ROW())))</f>
        <v/>
      </c>
      <c r="F632" s="1" t="inlineStr">
        <is>
          <t>Array, Dynamic Programming</t>
        </is>
      </c>
      <c r="G632" s="1" t="inlineStr">
        <is>
          <t>Medium</t>
        </is>
      </c>
      <c r="H632" s="1" t="n">
        <v>136161</v>
      </c>
      <c r="I632" s="1" t="n">
        <v>227958</v>
      </c>
      <c r="J632" s="9" t="n">
        <v>0.597</v>
      </c>
      <c r="K632" s="1" t="inlineStr">
        <is>
          <t>Yes</t>
        </is>
      </c>
      <c r="L632" s="1" t="inlineStr">
        <is>
          <t>No</t>
        </is>
      </c>
      <c r="M632" s="1" t="inlineStr">
        <is>
          <t>No</t>
        </is>
      </c>
      <c r="N632" s="1" t="inlineStr">
        <is>
          <t>Algorithms</t>
        </is>
      </c>
      <c r="O6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32" s="11" t="inlineStr">
        <is>
          <t>To Do</t>
        </is>
      </c>
    </row>
    <row r="633" ht="15.75" customHeight="1" s="12">
      <c r="A633" s="1" t="n">
        <v>1218</v>
      </c>
      <c r="B633" s="3">
        <f>HYPERLINK("https://leetcode.com/problems/longest-arithmetic-subsequence-of-given-difference/", "Longest Arithmetic Subsequence of Given Difference")</f>
        <v/>
      </c>
      <c r="C633" s="1" t="n">
        <v>3386</v>
      </c>
      <c r="D633" s="1" t="n">
        <v>92</v>
      </c>
      <c r="E633" s="4">
        <f>IF(INDEX(C:C, ROW())+INDEX(D:D, ROW())=0, 0, INDEX(C:C, ROW())/(INDEX(C:C, ROW())+INDEX(D:D, ROW())))</f>
        <v/>
      </c>
      <c r="F633" s="1" t="inlineStr">
        <is>
          <t>Array, Hash Table, Dynamic Programming</t>
        </is>
      </c>
      <c r="G633" s="1" t="inlineStr">
        <is>
          <t>Medium</t>
        </is>
      </c>
      <c r="H633" s="1" t="n">
        <v>172469</v>
      </c>
      <c r="I633" s="1" t="n">
        <v>317391</v>
      </c>
      <c r="J633" s="9" t="n">
        <v>0.543</v>
      </c>
      <c r="K633" s="1" t="inlineStr">
        <is>
          <t>Yes</t>
        </is>
      </c>
      <c r="L633" s="1" t="inlineStr">
        <is>
          <t>Yes</t>
        </is>
      </c>
      <c r="M633" s="1" t="inlineStr">
        <is>
          <t>No</t>
        </is>
      </c>
      <c r="N633" s="1" t="inlineStr">
        <is>
          <t>Algorithms</t>
        </is>
      </c>
      <c r="O6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33" s="11" t="inlineStr">
        <is>
          <t>To Do</t>
        </is>
      </c>
    </row>
    <row r="634" ht="15.75" customHeight="1" s="12">
      <c r="A634" s="1" t="n">
        <v>1757</v>
      </c>
      <c r="B634" s="3">
        <f>HYPERLINK("https://leetcode.com/problems/recyclable-and-low-fat-products/", "Recyclable and Low Fat Products")</f>
        <v/>
      </c>
      <c r="C634" s="1" t="n">
        <v>3377</v>
      </c>
      <c r="D634" s="1" t="n">
        <v>132</v>
      </c>
      <c r="E634" s="4">
        <f>IF(INDEX(C:C, ROW())+INDEX(D:D, ROW())=0, 0, INDEX(C:C, ROW())/(INDEX(C:C, ROW())+INDEX(D:D, ROW())))</f>
        <v/>
      </c>
      <c r="F634" s="1" t="inlineStr">
        <is>
          <t>Database</t>
        </is>
      </c>
      <c r="G634" s="1" t="inlineStr">
        <is>
          <t>Easy</t>
        </is>
      </c>
      <c r="H634" s="1" t="n">
        <v>2399879</v>
      </c>
      <c r="I634" s="1" t="n">
        <v>2707080</v>
      </c>
      <c r="J634" s="9" t="n">
        <v>0.887</v>
      </c>
      <c r="K634" s="1" t="inlineStr">
        <is>
          <t>Yes</t>
        </is>
      </c>
      <c r="L634" s="1" t="inlineStr">
        <is>
          <t>Yes</t>
        </is>
      </c>
      <c r="M634" s="1" t="inlineStr">
        <is>
          <t>No</t>
        </is>
      </c>
      <c r="N634" s="1" t="inlineStr">
        <is>
          <t>Database</t>
        </is>
      </c>
      <c r="O6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34" s="13" t="inlineStr">
        <is>
          <t>Done</t>
        </is>
      </c>
    </row>
    <row r="635" ht="15.75" customHeight="1" s="12">
      <c r="A635" s="1" t="n">
        <v>823</v>
      </c>
      <c r="B635" s="3">
        <f>HYPERLINK("https://leetcode.com/problems/binary-trees-with-factors/", "Binary Trees With Factors")</f>
        <v/>
      </c>
      <c r="C635" s="1" t="n">
        <v>3376</v>
      </c>
      <c r="D635" s="1" t="n">
        <v>262</v>
      </c>
      <c r="E635" s="4">
        <f>IF(INDEX(C:C, ROW())+INDEX(D:D, ROW())=0, 0, INDEX(C:C, ROW())/(INDEX(C:C, ROW())+INDEX(D:D, ROW())))</f>
        <v/>
      </c>
      <c r="F635" s="1" t="inlineStr">
        <is>
          <t>Array, Hash Table, Dynamic Programming, Sorting</t>
        </is>
      </c>
      <c r="G635" s="1" t="inlineStr">
        <is>
          <t>Medium</t>
        </is>
      </c>
      <c r="H635" s="1" t="n">
        <v>160038</v>
      </c>
      <c r="I635" s="1" t="n">
        <v>301458</v>
      </c>
      <c r="J635" s="9" t="n">
        <v>0.531</v>
      </c>
      <c r="K635" s="1" t="inlineStr">
        <is>
          <t>Yes</t>
        </is>
      </c>
      <c r="L635" s="1" t="inlineStr">
        <is>
          <t>Yes</t>
        </is>
      </c>
      <c r="M635" s="1" t="inlineStr">
        <is>
          <t>No</t>
        </is>
      </c>
      <c r="N635" s="1" t="inlineStr">
        <is>
          <t>Algorithms</t>
        </is>
      </c>
      <c r="O6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35" s="11" t="inlineStr">
        <is>
          <t>To Do</t>
        </is>
      </c>
    </row>
    <row r="636" ht="15.75" customHeight="1" s="12">
      <c r="A636" s="1" t="n">
        <v>1122</v>
      </c>
      <c r="B636" s="3">
        <f>HYPERLINK("https://leetcode.com/problems/relative-sort-array/", "Relative Sort Array")</f>
        <v/>
      </c>
      <c r="C636" s="1" t="n">
        <v>3370</v>
      </c>
      <c r="D636" s="1" t="n">
        <v>200</v>
      </c>
      <c r="E636" s="4">
        <f>IF(INDEX(C:C, ROW())+INDEX(D:D, ROW())=0, 0, INDEX(C:C, ROW())/(INDEX(C:C, ROW())+INDEX(D:D, ROW())))</f>
        <v/>
      </c>
      <c r="F636" s="1" t="inlineStr">
        <is>
          <t>Array, Hash Table, Sorting, Counting Sort</t>
        </is>
      </c>
      <c r="G636" s="1" t="inlineStr">
        <is>
          <t>Easy</t>
        </is>
      </c>
      <c r="H636" s="1" t="n">
        <v>406780</v>
      </c>
      <c r="I636" s="1" t="n">
        <v>540970</v>
      </c>
      <c r="J636" s="9" t="n">
        <v>0.752</v>
      </c>
      <c r="K636" s="1" t="inlineStr">
        <is>
          <t>Yes</t>
        </is>
      </c>
      <c r="L636" s="1" t="inlineStr">
        <is>
          <t>Yes</t>
        </is>
      </c>
      <c r="M636" s="1" t="inlineStr">
        <is>
          <t>No</t>
        </is>
      </c>
      <c r="N636" s="1" t="inlineStr">
        <is>
          <t>Algorithms</t>
        </is>
      </c>
      <c r="O6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36" s="13" t="inlineStr">
        <is>
          <t>Done</t>
        </is>
      </c>
    </row>
    <row r="637" ht="15.75" customHeight="1" s="12">
      <c r="A637" s="1" t="n">
        <v>1338</v>
      </c>
      <c r="B637" s="3">
        <f>HYPERLINK("https://leetcode.com/problems/reduce-array-size-to-the-half/", "Reduce Array Size to The Half")</f>
        <v/>
      </c>
      <c r="C637" s="1" t="n">
        <v>3370</v>
      </c>
      <c r="D637" s="1" t="n">
        <v>154</v>
      </c>
      <c r="E637" s="4">
        <f>IF(INDEX(C:C, ROW())+INDEX(D:D, ROW())=0, 0, INDEX(C:C, ROW())/(INDEX(C:C, ROW())+INDEX(D:D, ROW())))</f>
        <v/>
      </c>
      <c r="F637" s="1" t="inlineStr">
        <is>
          <t>Array, Hash Table, Greedy, Sorting, Heap (Priority Queue)</t>
        </is>
      </c>
      <c r="G637" s="1" t="inlineStr">
        <is>
          <t>Medium</t>
        </is>
      </c>
      <c r="H637" s="1" t="n">
        <v>234301</v>
      </c>
      <c r="I637" s="1" t="n">
        <v>337692</v>
      </c>
      <c r="J637" s="9" t="n">
        <v>0.694</v>
      </c>
      <c r="K637" s="1" t="inlineStr">
        <is>
          <t>Yes</t>
        </is>
      </c>
      <c r="L637" s="1" t="inlineStr">
        <is>
          <t>Yes</t>
        </is>
      </c>
      <c r="M637" s="1" t="inlineStr">
        <is>
          <t>No</t>
        </is>
      </c>
      <c r="N637" s="1" t="inlineStr">
        <is>
          <t>Algorithms</t>
        </is>
      </c>
      <c r="O6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37" s="11" t="inlineStr">
        <is>
          <t>To Do</t>
        </is>
      </c>
    </row>
    <row r="638" ht="15.75" customHeight="1" s="12">
      <c r="A638" s="1" t="n">
        <v>682</v>
      </c>
      <c r="B638" s="3">
        <f>HYPERLINK("https://leetcode.com/problems/baseball-game/", "Baseball Game")</f>
        <v/>
      </c>
      <c r="C638" s="1" t="n">
        <v>3364</v>
      </c>
      <c r="D638" s="1" t="n">
        <v>1970</v>
      </c>
      <c r="E638" s="4">
        <f>IF(INDEX(C:C, ROW())+INDEX(D:D, ROW())=0, 0, INDEX(C:C, ROW())/(INDEX(C:C, ROW())+INDEX(D:D, ROW())))</f>
        <v/>
      </c>
      <c r="F638" s="1" t="inlineStr">
        <is>
          <t>Array, Stack, Simulation</t>
        </is>
      </c>
      <c r="G638" s="1" t="inlineStr">
        <is>
          <t>Easy</t>
        </is>
      </c>
      <c r="H638" s="1" t="n">
        <v>597027</v>
      </c>
      <c r="I638" s="1" t="n">
        <v>742829</v>
      </c>
      <c r="J638" s="9" t="n">
        <v>0.804</v>
      </c>
      <c r="K638" s="1" t="inlineStr">
        <is>
          <t>Yes</t>
        </is>
      </c>
      <c r="L638" s="1" t="inlineStr">
        <is>
          <t>Yes</t>
        </is>
      </c>
      <c r="M638" s="1" t="inlineStr">
        <is>
          <t>No</t>
        </is>
      </c>
      <c r="N638" s="1" t="inlineStr">
        <is>
          <t>Algorithms</t>
        </is>
      </c>
      <c r="O6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38" s="13" t="inlineStr">
        <is>
          <t>Done</t>
        </is>
      </c>
    </row>
    <row r="639" ht="15.75" customHeight="1" s="12">
      <c r="A639" s="1" t="n">
        <v>859</v>
      </c>
      <c r="B639" s="3">
        <f>HYPERLINK("https://leetcode.com/problems/buddy-strings/", "Buddy Strings")</f>
        <v/>
      </c>
      <c r="C639" s="1" t="n">
        <v>3363</v>
      </c>
      <c r="D639" s="1" t="n">
        <v>1849</v>
      </c>
      <c r="E639" s="4">
        <f>IF(INDEX(C:C, ROW())+INDEX(D:D, ROW())=0, 0, INDEX(C:C, ROW())/(INDEX(C:C, ROW())+INDEX(D:D, ROW())))</f>
        <v/>
      </c>
      <c r="F639" s="1" t="inlineStr">
        <is>
          <t>Hash Table, String</t>
        </is>
      </c>
      <c r="G639" s="1" t="inlineStr">
        <is>
          <t>Easy</t>
        </is>
      </c>
      <c r="H639" s="1" t="n">
        <v>295573</v>
      </c>
      <c r="I639" s="1" t="n">
        <v>868846</v>
      </c>
      <c r="J639" s="9" t="n">
        <v>0.34</v>
      </c>
      <c r="K639" s="1" t="inlineStr">
        <is>
          <t>Yes</t>
        </is>
      </c>
      <c r="L639" s="1" t="inlineStr">
        <is>
          <t>Yes</t>
        </is>
      </c>
      <c r="M639" s="1" t="inlineStr">
        <is>
          <t>No</t>
        </is>
      </c>
      <c r="N639" s="1" t="inlineStr">
        <is>
          <t>Algorithms</t>
        </is>
      </c>
      <c r="O6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39" s="13" t="inlineStr">
        <is>
          <t>Done</t>
        </is>
      </c>
    </row>
    <row r="640" ht="15.75" customHeight="1" s="12">
      <c r="A640" s="1" t="n">
        <v>1457</v>
      </c>
      <c r="B640" s="3">
        <f>HYPERLINK("https://leetcode.com/problems/pseudo-palindromic-paths-in-a-binary-tree/", "Pseudo-Palindromic Paths in a Binary Tree")</f>
        <v/>
      </c>
      <c r="C640" s="1" t="n">
        <v>3345</v>
      </c>
      <c r="D640" s="1" t="n">
        <v>131</v>
      </c>
      <c r="E640" s="4">
        <f>IF(INDEX(C:C, ROW())+INDEX(D:D, ROW())=0, 0, INDEX(C:C, ROW())/(INDEX(C:C, ROW())+INDEX(D:D, ROW())))</f>
        <v/>
      </c>
      <c r="F640" s="1" t="inlineStr">
        <is>
          <t>Bit Manipulation, Tree, Depth-First Search, Breadth-First Search, Binary Tree</t>
        </is>
      </c>
      <c r="G640" s="1" t="inlineStr">
        <is>
          <t>Medium</t>
        </is>
      </c>
      <c r="H640" s="1" t="n">
        <v>236971</v>
      </c>
      <c r="I640" s="1" t="n">
        <v>346608</v>
      </c>
      <c r="J640" s="9" t="n">
        <v>0.6840000000000001</v>
      </c>
      <c r="K640" s="1" t="inlineStr">
        <is>
          <t>Yes</t>
        </is>
      </c>
      <c r="L640" s="1" t="inlineStr">
        <is>
          <t>Yes</t>
        </is>
      </c>
      <c r="M640" s="1" t="inlineStr">
        <is>
          <t>No</t>
        </is>
      </c>
      <c r="N640" s="1" t="inlineStr">
        <is>
          <t>Algorithms</t>
        </is>
      </c>
      <c r="O6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40" s="11" t="inlineStr">
        <is>
          <t>To Do</t>
        </is>
      </c>
    </row>
    <row r="641" ht="15.75" customHeight="1" s="12">
      <c r="A641" s="1" t="n">
        <v>849</v>
      </c>
      <c r="B641" s="3">
        <f>HYPERLINK("https://leetcode.com/problems/maximize-distance-to-closest-person/", "Maximize Distance to Closest Person")</f>
        <v/>
      </c>
      <c r="C641" s="1" t="n">
        <v>3343</v>
      </c>
      <c r="D641" s="1" t="n">
        <v>202</v>
      </c>
      <c r="E641" s="4">
        <f>IF(INDEX(C:C, ROW())+INDEX(D:D, ROW())=0, 0, INDEX(C:C, ROW())/(INDEX(C:C, ROW())+INDEX(D:D, ROW())))</f>
        <v/>
      </c>
      <c r="F641" s="1" t="inlineStr">
        <is>
          <t>Array</t>
        </is>
      </c>
      <c r="G641" s="1" t="inlineStr">
        <is>
          <t>Medium</t>
        </is>
      </c>
      <c r="H641" s="1" t="n">
        <v>286185</v>
      </c>
      <c r="I641" s="1" t="n">
        <v>575296</v>
      </c>
      <c r="J641" s="9" t="n">
        <v>0.497</v>
      </c>
      <c r="K641" s="1" t="inlineStr">
        <is>
          <t>Yes</t>
        </is>
      </c>
      <c r="L641" s="1" t="inlineStr">
        <is>
          <t>Yes</t>
        </is>
      </c>
      <c r="M641" s="1" t="inlineStr">
        <is>
          <t>No</t>
        </is>
      </c>
      <c r="N641" s="1" t="inlineStr">
        <is>
          <t>Algorithms</t>
        </is>
      </c>
      <c r="O6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41" s="11" t="inlineStr">
        <is>
          <t>To Do</t>
        </is>
      </c>
    </row>
    <row r="642" ht="15.75" customHeight="1" s="12">
      <c r="A642" s="1" t="n">
        <v>821</v>
      </c>
      <c r="B642" s="3">
        <f>HYPERLINK("https://leetcode.com/problems/shortest-distance-to-a-character/", "Shortest Distance to a Character")</f>
        <v/>
      </c>
      <c r="C642" s="1" t="n">
        <v>3338</v>
      </c>
      <c r="D642" s="1" t="n">
        <v>196</v>
      </c>
      <c r="E642" s="4">
        <f>IF(INDEX(C:C, ROW())+INDEX(D:D, ROW())=0, 0, INDEX(C:C, ROW())/(INDEX(C:C, ROW())+INDEX(D:D, ROW())))</f>
        <v/>
      </c>
      <c r="F642" s="1" t="inlineStr">
        <is>
          <t>Array, Two Pointers, String</t>
        </is>
      </c>
      <c r="G642" s="1" t="inlineStr">
        <is>
          <t>Easy</t>
        </is>
      </c>
      <c r="H642" s="1" t="n">
        <v>243151</v>
      </c>
      <c r="I642" s="1" t="n">
        <v>334135</v>
      </c>
      <c r="J642" s="9" t="n">
        <v>0.728</v>
      </c>
      <c r="K642" s="1" t="inlineStr">
        <is>
          <t>Yes</t>
        </is>
      </c>
      <c r="L642" s="1" t="inlineStr">
        <is>
          <t>Yes</t>
        </is>
      </c>
      <c r="M642" s="1" t="inlineStr">
        <is>
          <t>No</t>
        </is>
      </c>
      <c r="N642" s="1" t="inlineStr">
        <is>
          <t>Algorithms</t>
        </is>
      </c>
      <c r="O6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42" s="13" t="inlineStr">
        <is>
          <t>Done</t>
        </is>
      </c>
    </row>
    <row r="643" ht="15.75" customHeight="1" s="12">
      <c r="A643" s="1" t="n">
        <v>286</v>
      </c>
      <c r="B643" s="3">
        <f>HYPERLINK("https://leetcode.com/problems/walls-and-gates/", "Walls and Gates")</f>
        <v/>
      </c>
      <c r="C643" s="1" t="n">
        <v>3332</v>
      </c>
      <c r="D643" s="1" t="n">
        <v>73</v>
      </c>
      <c r="E643" s="4">
        <f>IF(INDEX(C:C, ROW())+INDEX(D:D, ROW())=0, 0, INDEX(C:C, ROW())/(INDEX(C:C, ROW())+INDEX(D:D, ROW())))</f>
        <v/>
      </c>
      <c r="F643" s="1" t="inlineStr">
        <is>
          <t>Array, Breadth-First Search, Matrix</t>
        </is>
      </c>
      <c r="G643" s="1" t="inlineStr">
        <is>
          <t>Medium</t>
        </is>
      </c>
      <c r="H643" s="1" t="n">
        <v>427785</v>
      </c>
      <c r="I643" s="1" t="n">
        <v>668838</v>
      </c>
      <c r="J643" s="9" t="n">
        <v>0.64</v>
      </c>
      <c r="K643" s="1" t="inlineStr">
        <is>
          <t>No</t>
        </is>
      </c>
      <c r="L643" s="1" t="inlineStr">
        <is>
          <t>Yes</t>
        </is>
      </c>
      <c r="M643" s="1" t="inlineStr">
        <is>
          <t>No</t>
        </is>
      </c>
      <c r="N643" s="1" t="inlineStr">
        <is>
          <t>Algorithms</t>
        </is>
      </c>
      <c r="O6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43" s="11" t="inlineStr">
        <is>
          <t>To Do</t>
        </is>
      </c>
    </row>
    <row r="644" ht="15.75" customHeight="1" s="12">
      <c r="A644" s="1" t="n">
        <v>433</v>
      </c>
      <c r="B644" s="3">
        <f>HYPERLINK("https://leetcode.com/problems/minimum-genetic-mutation/", "Minimum Genetic Mutation")</f>
        <v/>
      </c>
      <c r="C644" s="1" t="n">
        <v>3325</v>
      </c>
      <c r="D644" s="1" t="n">
        <v>348</v>
      </c>
      <c r="E644" s="4">
        <f>IF(INDEX(C:C, ROW())+INDEX(D:D, ROW())=0, 0, INDEX(C:C, ROW())/(INDEX(C:C, ROW())+INDEX(D:D, ROW())))</f>
        <v/>
      </c>
      <c r="F644" s="1" t="inlineStr">
        <is>
          <t>Hash Table, String, Breadth-First Search</t>
        </is>
      </c>
      <c r="G644" s="1" t="inlineStr">
        <is>
          <t>Medium</t>
        </is>
      </c>
      <c r="H644" s="1" t="n">
        <v>280875</v>
      </c>
      <c r="I644" s="1" t="n">
        <v>496270</v>
      </c>
      <c r="J644" s="9" t="n">
        <v>0.5659999999999999</v>
      </c>
      <c r="K644" s="1" t="inlineStr">
        <is>
          <t>Yes</t>
        </is>
      </c>
      <c r="L644" s="1" t="inlineStr">
        <is>
          <t>Yes</t>
        </is>
      </c>
      <c r="M644" s="1" t="inlineStr">
        <is>
          <t>No</t>
        </is>
      </c>
      <c r="N644" s="1" t="inlineStr">
        <is>
          <t>Algorithms</t>
        </is>
      </c>
      <c r="O6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44" s="11" t="inlineStr">
        <is>
          <t>To Do</t>
        </is>
      </c>
    </row>
    <row r="645" ht="15.75" customHeight="1" s="12">
      <c r="A645" s="1" t="n">
        <v>1323</v>
      </c>
      <c r="B645" s="3">
        <f>HYPERLINK("https://leetcode.com/problems/maximum-69-number/", "Maximum 69 Number")</f>
        <v/>
      </c>
      <c r="C645" s="1" t="n">
        <v>3320</v>
      </c>
      <c r="D645" s="1" t="n">
        <v>240</v>
      </c>
      <c r="E645" s="4">
        <f>IF(INDEX(C:C, ROW())+INDEX(D:D, ROW())=0, 0, INDEX(C:C, ROW())/(INDEX(C:C, ROW())+INDEX(D:D, ROW())))</f>
        <v/>
      </c>
      <c r="F645" s="1" t="inlineStr">
        <is>
          <t>Math, Greedy</t>
        </is>
      </c>
      <c r="G645" s="1" t="inlineStr">
        <is>
          <t>Easy</t>
        </is>
      </c>
      <c r="H645" s="1" t="n">
        <v>491559</v>
      </c>
      <c r="I645" s="1" t="n">
        <v>581446</v>
      </c>
      <c r="J645" s="9" t="n">
        <v>0.845</v>
      </c>
      <c r="K645" s="1" t="inlineStr">
        <is>
          <t>Yes</t>
        </is>
      </c>
      <c r="L645" s="1" t="inlineStr">
        <is>
          <t>Yes</t>
        </is>
      </c>
      <c r="M645" s="1" t="inlineStr">
        <is>
          <t>No</t>
        </is>
      </c>
      <c r="N645" s="1" t="inlineStr">
        <is>
          <t>Algorithms</t>
        </is>
      </c>
      <c r="O6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45" s="13" t="inlineStr">
        <is>
          <t>Done</t>
        </is>
      </c>
    </row>
    <row r="646" ht="15.75" customHeight="1" s="12">
      <c r="A646" s="1" t="n">
        <v>366</v>
      </c>
      <c r="B646" s="3">
        <f>HYPERLINK("https://leetcode.com/problems/find-leaves-of-binary-tree/", "Find Leaves of Binary Tree")</f>
        <v/>
      </c>
      <c r="C646" s="1" t="n">
        <v>3305</v>
      </c>
      <c r="D646" s="1" t="n">
        <v>64</v>
      </c>
      <c r="E646" s="4">
        <f>IF(INDEX(C:C, ROW())+INDEX(D:D, ROW())=0, 0, INDEX(C:C, ROW())/(INDEX(C:C, ROW())+INDEX(D:D, ROW())))</f>
        <v/>
      </c>
      <c r="F646" s="1" t="inlineStr">
        <is>
          <t>Tree, Depth-First Search, Binary Tree</t>
        </is>
      </c>
      <c r="G646" s="1" t="inlineStr">
        <is>
          <t>Medium</t>
        </is>
      </c>
      <c r="H646" s="1" t="n">
        <v>288888</v>
      </c>
      <c r="I646" s="1" t="n">
        <v>355247</v>
      </c>
      <c r="J646" s="9" t="n">
        <v>0.8129999999999999</v>
      </c>
      <c r="K646" s="1" t="inlineStr">
        <is>
          <t>No</t>
        </is>
      </c>
      <c r="L646" s="1" t="inlineStr">
        <is>
          <t>Yes</t>
        </is>
      </c>
      <c r="M646" s="1" t="inlineStr">
        <is>
          <t>Yes</t>
        </is>
      </c>
      <c r="N646" s="1" t="inlineStr">
        <is>
          <t>Algorithms</t>
        </is>
      </c>
      <c r="O6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46" s="11" t="inlineStr">
        <is>
          <t>To Do</t>
        </is>
      </c>
    </row>
    <row r="647" ht="15.75" customHeight="1" s="12">
      <c r="A647" s="1" t="n">
        <v>1220</v>
      </c>
      <c r="B647" s="3">
        <f>HYPERLINK("https://leetcode.com/problems/count-vowels-permutation/", "Count Vowels Permutation")</f>
        <v/>
      </c>
      <c r="C647" s="1" t="n">
        <v>3302</v>
      </c>
      <c r="D647" s="1" t="n">
        <v>220</v>
      </c>
      <c r="E647" s="4">
        <f>IF(INDEX(C:C, ROW())+INDEX(D:D, ROW())=0, 0, INDEX(C:C, ROW())/(INDEX(C:C, ROW())+INDEX(D:D, ROW())))</f>
        <v/>
      </c>
      <c r="F647" s="1" t="inlineStr">
        <is>
          <t>Dynamic Programming</t>
        </is>
      </c>
      <c r="G647" s="1" t="inlineStr">
        <is>
          <t>Hard</t>
        </is>
      </c>
      <c r="H647" s="1" t="n">
        <v>183710</v>
      </c>
      <c r="I647" s="1" t="n">
        <v>299485</v>
      </c>
      <c r="J647" s="9" t="n">
        <v>0.613</v>
      </c>
      <c r="K647" s="1" t="inlineStr">
        <is>
          <t>Yes</t>
        </is>
      </c>
      <c r="L647" s="1" t="inlineStr">
        <is>
          <t>Yes</t>
        </is>
      </c>
      <c r="M647" s="1" t="inlineStr">
        <is>
          <t>No</t>
        </is>
      </c>
      <c r="N647" s="1" t="inlineStr">
        <is>
          <t>Algorithms</t>
        </is>
      </c>
      <c r="O6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47" s="11" t="inlineStr">
        <is>
          <t>To Do</t>
        </is>
      </c>
    </row>
    <row r="648" ht="15.75" customHeight="1" s="12">
      <c r="A648" s="1" t="n">
        <v>1014</v>
      </c>
      <c r="B648" s="3">
        <f>HYPERLINK("https://leetcode.com/problems/best-sightseeing-pair/", "Best Sightseeing Pair")</f>
        <v/>
      </c>
      <c r="C648" s="1" t="n">
        <v>3290</v>
      </c>
      <c r="D648" s="1" t="n">
        <v>78</v>
      </c>
      <c r="E648" s="4">
        <f>IF(INDEX(C:C, ROW())+INDEX(D:D, ROW())=0, 0, INDEX(C:C, ROW())/(INDEX(C:C, ROW())+INDEX(D:D, ROW())))</f>
        <v/>
      </c>
      <c r="F648" s="1" t="inlineStr">
        <is>
          <t>Array, Dynamic Programming</t>
        </is>
      </c>
      <c r="G648" s="1" t="inlineStr">
        <is>
          <t>Medium</t>
        </is>
      </c>
      <c r="H648" s="1" t="n">
        <v>220399</v>
      </c>
      <c r="I648" s="1" t="n">
        <v>351560</v>
      </c>
      <c r="J648" s="9" t="n">
        <v>0.627</v>
      </c>
      <c r="K648" s="1" t="inlineStr">
        <is>
          <t>Yes</t>
        </is>
      </c>
      <c r="L648" s="1" t="inlineStr">
        <is>
          <t>Yes</t>
        </is>
      </c>
      <c r="M648" s="1" t="inlineStr">
        <is>
          <t>No</t>
        </is>
      </c>
      <c r="N648" s="1" t="inlineStr">
        <is>
          <t>Algorithms</t>
        </is>
      </c>
      <c r="O6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48" s="11" t="inlineStr">
        <is>
          <t>To Do</t>
        </is>
      </c>
    </row>
    <row r="649" ht="15.75" customHeight="1" s="12">
      <c r="A649" s="1" t="n">
        <v>896</v>
      </c>
      <c r="B649" s="3">
        <f>HYPERLINK("https://leetcode.com/problems/monotonic-array/", "Monotonic Array")</f>
        <v/>
      </c>
      <c r="C649" s="1" t="n">
        <v>3289</v>
      </c>
      <c r="D649" s="1" t="n">
        <v>107</v>
      </c>
      <c r="E649" s="4">
        <f>IF(INDEX(C:C, ROW())+INDEX(D:D, ROW())=0, 0, INDEX(C:C, ROW())/(INDEX(C:C, ROW())+INDEX(D:D, ROW())))</f>
        <v/>
      </c>
      <c r="F649" s="1" t="inlineStr">
        <is>
          <t>Array</t>
        </is>
      </c>
      <c r="G649" s="1" t="inlineStr">
        <is>
          <t>Easy</t>
        </is>
      </c>
      <c r="H649" s="1" t="n">
        <v>580955</v>
      </c>
      <c r="I649" s="1" t="n">
        <v>932309</v>
      </c>
      <c r="J649" s="9" t="n">
        <v>0.623</v>
      </c>
      <c r="K649" s="1" t="inlineStr">
        <is>
          <t>Yes</t>
        </is>
      </c>
      <c r="L649" s="1" t="inlineStr">
        <is>
          <t>Yes</t>
        </is>
      </c>
      <c r="M649" s="1" t="inlineStr">
        <is>
          <t>No</t>
        </is>
      </c>
      <c r="N649" s="1" t="inlineStr">
        <is>
          <t>Algorithms</t>
        </is>
      </c>
      <c r="O6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49" s="13" t="inlineStr">
        <is>
          <t>Done</t>
        </is>
      </c>
    </row>
    <row r="650" ht="15.75" customHeight="1" s="12">
      <c r="A650" s="1" t="n">
        <v>1007</v>
      </c>
      <c r="B650" s="3">
        <f>HYPERLINK("https://leetcode.com/problems/minimum-domino-rotations-for-equal-row/", "Minimum Domino Rotations For Equal Row")</f>
        <v/>
      </c>
      <c r="C650" s="1" t="n">
        <v>3287</v>
      </c>
      <c r="D650" s="1" t="n">
        <v>271</v>
      </c>
      <c r="E650" s="4">
        <f>IF(INDEX(C:C, ROW())+INDEX(D:D, ROW())=0, 0, INDEX(C:C, ROW())/(INDEX(C:C, ROW())+INDEX(D:D, ROW())))</f>
        <v/>
      </c>
      <c r="F650" s="1" t="inlineStr">
        <is>
          <t>Array, Greedy</t>
        </is>
      </c>
      <c r="G650" s="1" t="inlineStr">
        <is>
          <t>Medium</t>
        </is>
      </c>
      <c r="H650" s="1" t="n">
        <v>319968</v>
      </c>
      <c r="I650" s="1" t="n">
        <v>566416</v>
      </c>
      <c r="J650" s="9" t="n">
        <v>0.5649999999999999</v>
      </c>
      <c r="K650" s="1" t="inlineStr">
        <is>
          <t>Yes</t>
        </is>
      </c>
      <c r="L650" s="1" t="inlineStr">
        <is>
          <t>Yes</t>
        </is>
      </c>
      <c r="M650" s="1" t="inlineStr">
        <is>
          <t>No</t>
        </is>
      </c>
      <c r="N650" s="1" t="inlineStr">
        <is>
          <t>Algorithms</t>
        </is>
      </c>
      <c r="O6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50" s="11" t="inlineStr">
        <is>
          <t>To Do</t>
        </is>
      </c>
    </row>
    <row r="651" ht="15.75" customHeight="1" s="12">
      <c r="A651" s="1" t="n">
        <v>697</v>
      </c>
      <c r="B651" s="3">
        <f>HYPERLINK("https://leetcode.com/problems/degree-of-an-array/", "Degree of an Array")</f>
        <v/>
      </c>
      <c r="C651" s="1" t="n">
        <v>3282</v>
      </c>
      <c r="D651" s="1" t="n">
        <v>1811</v>
      </c>
      <c r="E651" s="4">
        <f>IF(INDEX(C:C, ROW())+INDEX(D:D, ROW())=0, 0, INDEX(C:C, ROW())/(INDEX(C:C, ROW())+INDEX(D:D, ROW())))</f>
        <v/>
      </c>
      <c r="F651" s="1" t="inlineStr">
        <is>
          <t>Array, Hash Table</t>
        </is>
      </c>
      <c r="G651" s="1" t="inlineStr">
        <is>
          <t>Easy</t>
        </is>
      </c>
      <c r="H651" s="1" t="n">
        <v>279872</v>
      </c>
      <c r="I651" s="1" t="n">
        <v>479717</v>
      </c>
      <c r="J651" s="9" t="n">
        <v>0.583</v>
      </c>
      <c r="K651" s="1" t="inlineStr">
        <is>
          <t>Yes</t>
        </is>
      </c>
      <c r="L651" s="1" t="inlineStr">
        <is>
          <t>Yes</t>
        </is>
      </c>
      <c r="M651" s="1" t="inlineStr">
        <is>
          <t>No</t>
        </is>
      </c>
      <c r="N651" s="1" t="inlineStr">
        <is>
          <t>Algorithms</t>
        </is>
      </c>
      <c r="O6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51" s="13" t="inlineStr">
        <is>
          <t>Done</t>
        </is>
      </c>
    </row>
    <row r="652" ht="15.75" customHeight="1" s="12">
      <c r="A652" s="1" t="n">
        <v>1732</v>
      </c>
      <c r="B652" s="3">
        <f>HYPERLINK("https://leetcode.com/problems/find-the-highest-altitude/", "Find the Highest Altitude")</f>
        <v/>
      </c>
      <c r="C652" s="1" t="n">
        <v>3273</v>
      </c>
      <c r="D652" s="1" t="n">
        <v>431</v>
      </c>
      <c r="E652" s="4">
        <f>IF(INDEX(C:C, ROW())+INDEX(D:D, ROW())=0, 0, INDEX(C:C, ROW())/(INDEX(C:C, ROW())+INDEX(D:D, ROW())))</f>
        <v/>
      </c>
      <c r="F652" s="1" t="inlineStr">
        <is>
          <t>Array, Prefix Sum</t>
        </is>
      </c>
      <c r="G652" s="1" t="inlineStr">
        <is>
          <t>Easy</t>
        </is>
      </c>
      <c r="H652" s="1" t="n">
        <v>727536</v>
      </c>
      <c r="I652" s="1" t="n">
        <v>867267</v>
      </c>
      <c r="J652" s="9" t="n">
        <v>0.839</v>
      </c>
      <c r="K652" s="1" t="inlineStr">
        <is>
          <t>Yes</t>
        </is>
      </c>
      <c r="L652" s="1" t="inlineStr">
        <is>
          <t>Yes</t>
        </is>
      </c>
      <c r="M652" s="1" t="inlineStr">
        <is>
          <t>No</t>
        </is>
      </c>
      <c r="N652" s="1" t="inlineStr">
        <is>
          <t>Algorithms</t>
        </is>
      </c>
      <c r="O6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52" s="13" t="inlineStr">
        <is>
          <t>Done</t>
        </is>
      </c>
    </row>
    <row r="653" ht="15.75" customHeight="1" s="12">
      <c r="A653" s="1" t="n">
        <v>1937</v>
      </c>
      <c r="B653" s="3">
        <f>HYPERLINK("https://leetcode.com/problems/maximum-number-of-points-with-cost/", "Maximum Number of Points with Cost")</f>
        <v/>
      </c>
      <c r="C653" s="1" t="n">
        <v>3272</v>
      </c>
      <c r="D653" s="1" t="n">
        <v>243</v>
      </c>
      <c r="E653" s="4">
        <f>IF(INDEX(C:C, ROW())+INDEX(D:D, ROW())=0, 0, INDEX(C:C, ROW())/(INDEX(C:C, ROW())+INDEX(D:D, ROW())))</f>
        <v/>
      </c>
      <c r="F653" s="1" t="inlineStr">
        <is>
          <t>Array, Dynamic Programming, Matrix</t>
        </is>
      </c>
      <c r="G653" s="1" t="inlineStr">
        <is>
          <t>Medium</t>
        </is>
      </c>
      <c r="H653" s="1" t="n">
        <v>158785</v>
      </c>
      <c r="I653" s="1" t="n">
        <v>380382</v>
      </c>
      <c r="J653" s="9" t="n">
        <v>0.417</v>
      </c>
      <c r="K653" s="1" t="inlineStr">
        <is>
          <t>Yes</t>
        </is>
      </c>
      <c r="L653" s="1" t="inlineStr">
        <is>
          <t>Yes</t>
        </is>
      </c>
      <c r="M653" s="1" t="inlineStr">
        <is>
          <t>No</t>
        </is>
      </c>
      <c r="N653" s="1" t="inlineStr">
        <is>
          <t>Algorithms</t>
        </is>
      </c>
      <c r="O6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53" s="11" t="inlineStr">
        <is>
          <t>To Do</t>
        </is>
      </c>
    </row>
    <row r="654" ht="15.75" customHeight="1" s="12">
      <c r="A654" s="1" t="n">
        <v>589</v>
      </c>
      <c r="B654" s="3">
        <f>HYPERLINK("https://leetcode.com/problems/n-ary-tree-preorder-traversal/", "N-ary Tree Preorder Traversal")</f>
        <v/>
      </c>
      <c r="C654" s="1" t="n">
        <v>3269</v>
      </c>
      <c r="D654" s="1" t="n">
        <v>204</v>
      </c>
      <c r="E654" s="4">
        <f>IF(INDEX(C:C, ROW())+INDEX(D:D, ROW())=0, 0, INDEX(C:C, ROW())/(INDEX(C:C, ROW())+INDEX(D:D, ROW())))</f>
        <v/>
      </c>
      <c r="F654" s="1" t="inlineStr">
        <is>
          <t>Stack, Tree, Depth-First Search</t>
        </is>
      </c>
      <c r="G654" s="1" t="inlineStr">
        <is>
          <t>Easy</t>
        </is>
      </c>
      <c r="H654" s="1" t="n">
        <v>499438</v>
      </c>
      <c r="I654" s="1" t="n">
        <v>650629</v>
      </c>
      <c r="J654" s="9" t="n">
        <v>0.768</v>
      </c>
      <c r="K654" s="1" t="inlineStr">
        <is>
          <t>Yes</t>
        </is>
      </c>
      <c r="L654" s="1" t="inlineStr">
        <is>
          <t>Yes</t>
        </is>
      </c>
      <c r="M654" s="1" t="inlineStr">
        <is>
          <t>No</t>
        </is>
      </c>
      <c r="N654" s="1" t="inlineStr">
        <is>
          <t>Algorithms</t>
        </is>
      </c>
      <c r="O6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54" s="13" t="inlineStr">
        <is>
          <t>Done</t>
        </is>
      </c>
    </row>
    <row r="655" ht="15.75" customHeight="1" s="12">
      <c r="A655" s="1" t="n">
        <v>2385</v>
      </c>
      <c r="B655" s="3">
        <f>HYPERLINK("https://leetcode.com/problems/amount-of-time-for-binary-tree-to-be-infected/", "Amount of Time for Binary Tree to Be Infected")</f>
        <v/>
      </c>
      <c r="C655" s="1" t="n">
        <v>3268</v>
      </c>
      <c r="D655" s="1" t="n">
        <v>70</v>
      </c>
      <c r="E655" s="4">
        <f>IF(INDEX(C:C, ROW())+INDEX(D:D, ROW())=0, 0, INDEX(C:C, ROW())/(INDEX(C:C, ROW())+INDEX(D:D, ROW())))</f>
        <v/>
      </c>
      <c r="F655" s="1" t="inlineStr">
        <is>
          <t>Hash Table, Tree, Depth-First Search, Breadth-First Search, Binary Tree</t>
        </is>
      </c>
      <c r="G655" s="1" t="inlineStr">
        <is>
          <t>Medium</t>
        </is>
      </c>
      <c r="H655" s="1" t="n">
        <v>207439</v>
      </c>
      <c r="I655" s="1" t="n">
        <v>317500</v>
      </c>
      <c r="J655" s="9" t="n">
        <v>0.653</v>
      </c>
      <c r="K655" s="1" t="inlineStr">
        <is>
          <t>Yes</t>
        </is>
      </c>
      <c r="L655" s="1" t="inlineStr">
        <is>
          <t>Yes</t>
        </is>
      </c>
      <c r="M655" s="1" t="inlineStr">
        <is>
          <t>No</t>
        </is>
      </c>
      <c r="N655" s="1" t="inlineStr">
        <is>
          <t>Algorithms</t>
        </is>
      </c>
      <c r="O6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55" s="11" t="inlineStr">
        <is>
          <t>To Do</t>
        </is>
      </c>
    </row>
    <row r="656" ht="15.75" customHeight="1" s="12">
      <c r="A656" s="1" t="n">
        <v>2096</v>
      </c>
      <c r="B656" s="3">
        <f>HYPERLINK("https://leetcode.com/problems/step-by-step-directions-from-a-binary-tree-node-to-another/", "Step-By-Step Directions From a Binary Tree Node to Another")</f>
        <v/>
      </c>
      <c r="C656" s="1" t="n">
        <v>3267</v>
      </c>
      <c r="D656" s="1" t="n">
        <v>171</v>
      </c>
      <c r="E656" s="4">
        <f>IF(INDEX(C:C, ROW())+INDEX(D:D, ROW())=0, 0, INDEX(C:C, ROW())/(INDEX(C:C, ROW())+INDEX(D:D, ROW())))</f>
        <v/>
      </c>
      <c r="F656" s="1" t="inlineStr">
        <is>
          <t>String, Tree, Depth-First Search, Binary Tree</t>
        </is>
      </c>
      <c r="G656" s="1" t="inlineStr">
        <is>
          <t>Medium</t>
        </is>
      </c>
      <c r="H656" s="1" t="n">
        <v>239383</v>
      </c>
      <c r="I656" s="1" t="n">
        <v>424189</v>
      </c>
      <c r="J656" s="9" t="n">
        <v>0.5639999999999999</v>
      </c>
      <c r="K656" s="1" t="inlineStr">
        <is>
          <t>Yes</t>
        </is>
      </c>
      <c r="L656" s="1" t="inlineStr">
        <is>
          <t>Yes</t>
        </is>
      </c>
      <c r="M656" s="1" t="inlineStr">
        <is>
          <t>No</t>
        </is>
      </c>
      <c r="N656" s="1" t="inlineStr">
        <is>
          <t>Algorithms</t>
        </is>
      </c>
      <c r="O6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56" s="11" t="inlineStr">
        <is>
          <t>To Do</t>
        </is>
      </c>
    </row>
    <row r="657" ht="15.75" customHeight="1" s="12">
      <c r="A657" s="1" t="n">
        <v>865</v>
      </c>
      <c r="B657" s="3">
        <f>HYPERLINK("https://leetcode.com/problems/smallest-subtree-with-all-the-deepest-nodes/", "Smallest Subtree with all the Deepest Nodes")</f>
        <v/>
      </c>
      <c r="C657" s="1" t="n">
        <v>3265</v>
      </c>
      <c r="D657" s="1" t="n">
        <v>404</v>
      </c>
      <c r="E657" s="4">
        <f>IF(INDEX(C:C, ROW())+INDEX(D:D, ROW())=0, 0, INDEX(C:C, ROW())/(INDEX(C:C, ROW())+INDEX(D:D, ROW())))</f>
        <v/>
      </c>
      <c r="F657" s="1" t="inlineStr">
        <is>
          <t>Hash Table, Tree, Depth-First Search, Breadth-First Search, Binary Tree</t>
        </is>
      </c>
      <c r="G657" s="1" t="inlineStr">
        <is>
          <t>Medium</t>
        </is>
      </c>
      <c r="H657" s="1" t="n">
        <v>272544</v>
      </c>
      <c r="I657" s="1" t="n">
        <v>351308</v>
      </c>
      <c r="J657" s="9" t="n">
        <v>0.776</v>
      </c>
      <c r="K657" s="1" t="inlineStr">
        <is>
          <t>Yes</t>
        </is>
      </c>
      <c r="L657" s="1" t="inlineStr">
        <is>
          <t>Yes</t>
        </is>
      </c>
      <c r="M657" s="1" t="inlineStr">
        <is>
          <t>No</t>
        </is>
      </c>
      <c r="N657" s="1" t="inlineStr">
        <is>
          <t>Algorithms</t>
        </is>
      </c>
      <c r="O6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57" s="11" t="inlineStr">
        <is>
          <t>To Do</t>
        </is>
      </c>
    </row>
    <row r="658" ht="15.75" customHeight="1" s="12">
      <c r="A658" s="1" t="n">
        <v>324</v>
      </c>
      <c r="B658" s="3">
        <f>HYPERLINK("https://leetcode.com/problems/wiggle-sort-ii/", "Wiggle Sort II")</f>
        <v/>
      </c>
      <c r="C658" s="1" t="n">
        <v>3253</v>
      </c>
      <c r="D658" s="1" t="n">
        <v>982</v>
      </c>
      <c r="E658" s="4">
        <f>IF(INDEX(C:C, ROW())+INDEX(D:D, ROW())=0, 0, INDEX(C:C, ROW())/(INDEX(C:C, ROW())+INDEX(D:D, ROW())))</f>
        <v/>
      </c>
      <c r="F658" s="1" t="inlineStr">
        <is>
          <t>Array, Divide and Conquer, Greedy, Sorting, Quickselect</t>
        </is>
      </c>
      <c r="G658" s="1" t="inlineStr">
        <is>
          <t>Medium</t>
        </is>
      </c>
      <c r="H658" s="1" t="n">
        <v>205625</v>
      </c>
      <c r="I658" s="1" t="n">
        <v>550355</v>
      </c>
      <c r="J658" s="9" t="n">
        <v>0.374</v>
      </c>
      <c r="K658" s="1" t="inlineStr">
        <is>
          <t>Yes</t>
        </is>
      </c>
      <c r="L658" s="1" t="inlineStr">
        <is>
          <t>No</t>
        </is>
      </c>
      <c r="M658" s="1" t="inlineStr">
        <is>
          <t>No</t>
        </is>
      </c>
      <c r="N658" s="1" t="inlineStr">
        <is>
          <t>Algorithms</t>
        </is>
      </c>
      <c r="O6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58" s="11" t="inlineStr">
        <is>
          <t>To Do</t>
        </is>
      </c>
    </row>
    <row r="659" ht="15.75" customHeight="1" s="12">
      <c r="A659" s="1" t="n">
        <v>476</v>
      </c>
      <c r="B659" s="3">
        <f>HYPERLINK("https://leetcode.com/problems/number-complement/", "Number Complement")</f>
        <v/>
      </c>
      <c r="C659" s="1" t="n">
        <v>3238</v>
      </c>
      <c r="D659" s="1" t="n">
        <v>146</v>
      </c>
      <c r="E659" s="4">
        <f>IF(INDEX(C:C, ROW())+INDEX(D:D, ROW())=0, 0, INDEX(C:C, ROW())/(INDEX(C:C, ROW())+INDEX(D:D, ROW())))</f>
        <v/>
      </c>
      <c r="F659" s="1" t="inlineStr">
        <is>
          <t>Bit Manipulation</t>
        </is>
      </c>
      <c r="G659" s="1" t="inlineStr">
        <is>
          <t>Easy</t>
        </is>
      </c>
      <c r="H659" s="1" t="n">
        <v>553193</v>
      </c>
      <c r="I659" s="1" t="n">
        <v>785413</v>
      </c>
      <c r="J659" s="9" t="n">
        <v>0.704</v>
      </c>
      <c r="K659" s="1" t="inlineStr">
        <is>
          <t>Yes</t>
        </is>
      </c>
      <c r="L659" s="1" t="inlineStr">
        <is>
          <t>Yes</t>
        </is>
      </c>
      <c r="M659" s="1" t="inlineStr">
        <is>
          <t>No</t>
        </is>
      </c>
      <c r="N659" s="1" t="inlineStr">
        <is>
          <t>Algorithms</t>
        </is>
      </c>
      <c r="O6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59" s="13" t="inlineStr">
        <is>
          <t>Done</t>
        </is>
      </c>
    </row>
    <row r="660" ht="15.75" customHeight="1" s="12">
      <c r="A660" s="1" t="n">
        <v>1544</v>
      </c>
      <c r="B660" s="3">
        <f>HYPERLINK("https://leetcode.com/problems/make-the-string-great/", "Make The String Great")</f>
        <v/>
      </c>
      <c r="C660" s="1" t="n">
        <v>3234</v>
      </c>
      <c r="D660" s="1" t="n">
        <v>189</v>
      </c>
      <c r="E660" s="4">
        <f>IF(INDEX(C:C, ROW())+INDEX(D:D, ROW())=0, 0, INDEX(C:C, ROW())/(INDEX(C:C, ROW())+INDEX(D:D, ROW())))</f>
        <v/>
      </c>
      <c r="F660" s="1" t="inlineStr">
        <is>
          <t>String, Stack</t>
        </is>
      </c>
      <c r="G660" s="1" t="inlineStr">
        <is>
          <t>Easy</t>
        </is>
      </c>
      <c r="H660" s="1" t="n">
        <v>410443</v>
      </c>
      <c r="I660" s="1" t="n">
        <v>598904</v>
      </c>
      <c r="J660" s="9" t="n">
        <v>0.6850000000000001</v>
      </c>
      <c r="K660" s="1" t="inlineStr">
        <is>
          <t>Yes</t>
        </is>
      </c>
      <c r="L660" s="1" t="inlineStr">
        <is>
          <t>Yes</t>
        </is>
      </c>
      <c r="M660" s="1" t="inlineStr">
        <is>
          <t>No</t>
        </is>
      </c>
      <c r="N660" s="1" t="inlineStr">
        <is>
          <t>Algorithms</t>
        </is>
      </c>
      <c r="O6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60" s="13" t="inlineStr">
        <is>
          <t>Done</t>
        </is>
      </c>
    </row>
    <row r="661" ht="15.75" customHeight="1" s="12">
      <c r="A661" s="1" t="n">
        <v>2390</v>
      </c>
      <c r="B661" s="3">
        <f>HYPERLINK("https://leetcode.com/problems/removing-stars-from-a-string/", "Removing Stars From a String")</f>
        <v/>
      </c>
      <c r="C661" s="1" t="n">
        <v>3229</v>
      </c>
      <c r="D661" s="1" t="n">
        <v>236</v>
      </c>
      <c r="E661" s="4">
        <f>IF(INDEX(C:C, ROW())+INDEX(D:D, ROW())=0, 0, INDEX(C:C, ROW())/(INDEX(C:C, ROW())+INDEX(D:D, ROW())))</f>
        <v/>
      </c>
      <c r="F661" s="1" t="inlineStr">
        <is>
          <t>String, Stack, Simulation</t>
        </is>
      </c>
      <c r="G661" s="1" t="inlineStr">
        <is>
          <t>Medium</t>
        </is>
      </c>
      <c r="H661" s="1" t="n">
        <v>628686</v>
      </c>
      <c r="I661" s="1" t="n">
        <v>793394</v>
      </c>
      <c r="J661" s="9" t="n">
        <v>0.792</v>
      </c>
      <c r="K661" s="1" t="inlineStr">
        <is>
          <t>Yes</t>
        </is>
      </c>
      <c r="L661" s="1" t="inlineStr">
        <is>
          <t>Yes</t>
        </is>
      </c>
      <c r="M661" s="1" t="inlineStr">
        <is>
          <t>No</t>
        </is>
      </c>
      <c r="N661" s="1" t="inlineStr">
        <is>
          <t>Algorithms</t>
        </is>
      </c>
      <c r="O6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61" s="11" t="inlineStr">
        <is>
          <t>To Do</t>
        </is>
      </c>
    </row>
    <row r="662" ht="15.75" customHeight="1" s="12">
      <c r="A662" s="1" t="n">
        <v>382</v>
      </c>
      <c r="B662" s="3">
        <f>HYPERLINK("https://leetcode.com/problems/linked-list-random-node/", "Linked List Random Node")</f>
        <v/>
      </c>
      <c r="C662" s="1" t="n">
        <v>3223</v>
      </c>
      <c r="D662" s="1" t="n">
        <v>723</v>
      </c>
      <c r="E662" s="4">
        <f>IF(INDEX(C:C, ROW())+INDEX(D:D, ROW())=0, 0, INDEX(C:C, ROW())/(INDEX(C:C, ROW())+INDEX(D:D, ROW())))</f>
        <v/>
      </c>
      <c r="F662" s="1" t="inlineStr">
        <is>
          <t>Linked List, Math, Reservoir Sampling, Randomized</t>
        </is>
      </c>
      <c r="G662" s="1" t="inlineStr">
        <is>
          <t>Medium</t>
        </is>
      </c>
      <c r="H662" s="1" t="n">
        <v>290185</v>
      </c>
      <c r="I662" s="1" t="n">
        <v>447849</v>
      </c>
      <c r="J662" s="9" t="n">
        <v>0.648</v>
      </c>
      <c r="K662" s="1" t="inlineStr">
        <is>
          <t>Yes</t>
        </is>
      </c>
      <c r="L662" s="1" t="inlineStr">
        <is>
          <t>Yes</t>
        </is>
      </c>
      <c r="M662" s="1" t="inlineStr">
        <is>
          <t>No</t>
        </is>
      </c>
      <c r="N662" s="1" t="inlineStr">
        <is>
          <t>Algorithms</t>
        </is>
      </c>
      <c r="O6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62" s="11" t="inlineStr">
        <is>
          <t>To Do</t>
        </is>
      </c>
    </row>
    <row r="663" ht="15.75" customHeight="1" s="12">
      <c r="A663" s="1" t="n">
        <v>1552</v>
      </c>
      <c r="B663" s="3">
        <f>HYPERLINK("https://leetcode.com/problems/magnetic-force-between-two-balls/", "Magnetic Force Between Two Balls")</f>
        <v/>
      </c>
      <c r="C663" s="1" t="n">
        <v>3221</v>
      </c>
      <c r="D663" s="1" t="n">
        <v>275</v>
      </c>
      <c r="E663" s="4">
        <f>IF(INDEX(C:C, ROW())+INDEX(D:D, ROW())=0, 0, INDEX(C:C, ROW())/(INDEX(C:C, ROW())+INDEX(D:D, ROW())))</f>
        <v/>
      </c>
      <c r="F663" s="1" t="inlineStr">
        <is>
          <t>Array, Binary Search, Sorting</t>
        </is>
      </c>
      <c r="G663" s="1" t="inlineStr">
        <is>
          <t>Medium</t>
        </is>
      </c>
      <c r="H663" s="1" t="n">
        <v>224616</v>
      </c>
      <c r="I663" s="1" t="n">
        <v>311617</v>
      </c>
      <c r="J663" s="9" t="n">
        <v>0.721</v>
      </c>
      <c r="K663" s="1" t="inlineStr">
        <is>
          <t>Yes</t>
        </is>
      </c>
      <c r="L663" s="1" t="inlineStr">
        <is>
          <t>Yes</t>
        </is>
      </c>
      <c r="M663" s="1" t="inlineStr">
        <is>
          <t>No</t>
        </is>
      </c>
      <c r="N663" s="1" t="inlineStr">
        <is>
          <t>Algorithms</t>
        </is>
      </c>
      <c r="O6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63" s="11" t="inlineStr">
        <is>
          <t>To Do</t>
        </is>
      </c>
    </row>
    <row r="664" ht="15.75" customHeight="1" s="12">
      <c r="A664" s="1" t="n">
        <v>1383</v>
      </c>
      <c r="B664" s="3">
        <f>HYPERLINK("https://leetcode.com/problems/maximum-performance-of-a-team/", "Maximum Performance of a Team")</f>
        <v/>
      </c>
      <c r="C664" s="1" t="n">
        <v>3220</v>
      </c>
      <c r="D664" s="1" t="n">
        <v>85</v>
      </c>
      <c r="E664" s="4">
        <f>IF(INDEX(C:C, ROW())+INDEX(D:D, ROW())=0, 0, INDEX(C:C, ROW())/(INDEX(C:C, ROW())+INDEX(D:D, ROW())))</f>
        <v/>
      </c>
      <c r="F664" s="1" t="inlineStr">
        <is>
          <t>Array, Greedy, Sorting, Heap (Priority Queue)</t>
        </is>
      </c>
      <c r="G664" s="1" t="inlineStr">
        <is>
          <t>Hard</t>
        </is>
      </c>
      <c r="H664" s="1" t="n">
        <v>110619</v>
      </c>
      <c r="I664" s="1" t="n">
        <v>231575</v>
      </c>
      <c r="J664" s="9" t="n">
        <v>0.478</v>
      </c>
      <c r="K664" s="1" t="inlineStr">
        <is>
          <t>Yes</t>
        </is>
      </c>
      <c r="L664" s="1" t="inlineStr">
        <is>
          <t>Yes</t>
        </is>
      </c>
      <c r="M664" s="1" t="inlineStr">
        <is>
          <t>No</t>
        </is>
      </c>
      <c r="N664" s="1" t="inlineStr">
        <is>
          <t>Algorithms</t>
        </is>
      </c>
      <c r="O6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64" s="11" t="inlineStr">
        <is>
          <t>To Do</t>
        </is>
      </c>
    </row>
    <row r="665" ht="15.75" customHeight="1" s="12">
      <c r="A665" s="1" t="n">
        <v>2300</v>
      </c>
      <c r="B665" s="3">
        <f>HYPERLINK("https://leetcode.com/problems/successful-pairs-of-spells-and-potions/", "Successful Pairs of Spells and Potions")</f>
        <v/>
      </c>
      <c r="C665" s="1" t="n">
        <v>3217</v>
      </c>
      <c r="D665" s="1" t="n">
        <v>106</v>
      </c>
      <c r="E665" s="4">
        <f>IF(INDEX(C:C, ROW())+INDEX(D:D, ROW())=0, 0, INDEX(C:C, ROW())/(INDEX(C:C, ROW())+INDEX(D:D, ROW())))</f>
        <v/>
      </c>
      <c r="F665" s="1" t="inlineStr">
        <is>
          <t>Array, Two Pointers, Binary Search, Sorting</t>
        </is>
      </c>
      <c r="G665" s="1" t="inlineStr">
        <is>
          <t>Medium</t>
        </is>
      </c>
      <c r="H665" s="1" t="n">
        <v>386472</v>
      </c>
      <c r="I665" s="1" t="n">
        <v>779406</v>
      </c>
      <c r="J665" s="9" t="n">
        <v>0.496</v>
      </c>
      <c r="K665" s="1" t="inlineStr">
        <is>
          <t>Yes</t>
        </is>
      </c>
      <c r="L665" s="1" t="inlineStr">
        <is>
          <t>Yes</t>
        </is>
      </c>
      <c r="M665" s="1" t="inlineStr">
        <is>
          <t>No</t>
        </is>
      </c>
      <c r="N665" s="1" t="inlineStr">
        <is>
          <t>Algorithms</t>
        </is>
      </c>
      <c r="O6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65" s="11" t="inlineStr">
        <is>
          <t>To Do</t>
        </is>
      </c>
    </row>
    <row r="666" ht="15.75" customHeight="1" s="12">
      <c r="A666" s="1" t="n">
        <v>935</v>
      </c>
      <c r="B666" s="3">
        <f>HYPERLINK("https://leetcode.com/problems/knight-dialer/", "Knight Dialer")</f>
        <v/>
      </c>
      <c r="C666" s="1" t="n">
        <v>3206</v>
      </c>
      <c r="D666" s="1" t="n">
        <v>452</v>
      </c>
      <c r="E666" s="4">
        <f>IF(INDEX(C:C, ROW())+INDEX(D:D, ROW())=0, 0, INDEX(C:C, ROW())/(INDEX(C:C, ROW())+INDEX(D:D, ROW())))</f>
        <v/>
      </c>
      <c r="F666" s="1" t="inlineStr">
        <is>
          <t>Dynamic Programming</t>
        </is>
      </c>
      <c r="G666" s="1" t="inlineStr">
        <is>
          <t>Medium</t>
        </is>
      </c>
      <c r="H666" s="1" t="n">
        <v>201406</v>
      </c>
      <c r="I666" s="1" t="n">
        <v>325559</v>
      </c>
      <c r="J666" s="9" t="n">
        <v>0.619</v>
      </c>
      <c r="K666" s="1" t="inlineStr">
        <is>
          <t>Yes</t>
        </is>
      </c>
      <c r="L666" s="1" t="inlineStr">
        <is>
          <t>Yes</t>
        </is>
      </c>
      <c r="M666" s="1" t="inlineStr">
        <is>
          <t>No</t>
        </is>
      </c>
      <c r="N666" s="1" t="inlineStr">
        <is>
          <t>Algorithms</t>
        </is>
      </c>
      <c r="O6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66" s="11" t="inlineStr">
        <is>
          <t>To Do</t>
        </is>
      </c>
    </row>
    <row r="667" ht="15.75" customHeight="1" s="12">
      <c r="A667" s="1" t="n">
        <v>1305</v>
      </c>
      <c r="B667" s="3">
        <f>HYPERLINK("https://leetcode.com/problems/all-elements-in-two-binary-search-trees/", "All Elements in Two Binary Search Trees")</f>
        <v/>
      </c>
      <c r="C667" s="1" t="n">
        <v>3193</v>
      </c>
      <c r="D667" s="1" t="n">
        <v>99</v>
      </c>
      <c r="E667" s="4">
        <f>IF(INDEX(C:C, ROW())+INDEX(D:D, ROW())=0, 0, INDEX(C:C, ROW())/(INDEX(C:C, ROW())+INDEX(D:D, ROW())))</f>
        <v/>
      </c>
      <c r="F667" s="1" t="inlineStr">
        <is>
          <t>Tree, Depth-First Search, Binary Search Tree, Sorting, Binary Tree</t>
        </is>
      </c>
      <c r="G667" s="1" t="inlineStr">
        <is>
          <t>Medium</t>
        </is>
      </c>
      <c r="H667" s="1" t="n">
        <v>263558</v>
      </c>
      <c r="I667" s="1" t="n">
        <v>328391</v>
      </c>
      <c r="J667" s="9" t="n">
        <v>0.803</v>
      </c>
      <c r="K667" s="1" t="inlineStr">
        <is>
          <t>Yes</t>
        </is>
      </c>
      <c r="L667" s="1" t="inlineStr">
        <is>
          <t>Yes</t>
        </is>
      </c>
      <c r="M667" s="1" t="inlineStr">
        <is>
          <t>No</t>
        </is>
      </c>
      <c r="N667" s="1" t="inlineStr">
        <is>
          <t>Algorithms</t>
        </is>
      </c>
      <c r="O6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67" s="11" t="inlineStr">
        <is>
          <t>To Do</t>
        </is>
      </c>
    </row>
    <row r="668" ht="15.75" customHeight="1" s="12">
      <c r="A668" s="1" t="n">
        <v>1706</v>
      </c>
      <c r="B668" s="3">
        <f>HYPERLINK("https://leetcode.com/problems/where-will-the-ball-fall/", "Where Will the Ball Fall")</f>
        <v/>
      </c>
      <c r="C668" s="1" t="n">
        <v>3181</v>
      </c>
      <c r="D668" s="1" t="n">
        <v>181</v>
      </c>
      <c r="E668" s="4">
        <f>IF(INDEX(C:C, ROW())+INDEX(D:D, ROW())=0, 0, INDEX(C:C, ROW())/(INDEX(C:C, ROW())+INDEX(D:D, ROW())))</f>
        <v/>
      </c>
      <c r="F668" s="1" t="inlineStr">
        <is>
          <t>Array, Matrix, Simulation</t>
        </is>
      </c>
      <c r="G668" s="1" t="inlineStr">
        <is>
          <t>Medium</t>
        </is>
      </c>
      <c r="H668" s="1" t="n">
        <v>149504</v>
      </c>
      <c r="I668" s="1" t="n">
        <v>206856</v>
      </c>
      <c r="J668" s="9" t="n">
        <v>0.723</v>
      </c>
      <c r="K668" s="1" t="inlineStr">
        <is>
          <t>Yes</t>
        </is>
      </c>
      <c r="L668" s="1" t="inlineStr">
        <is>
          <t>Yes</t>
        </is>
      </c>
      <c r="M668" s="1" t="inlineStr">
        <is>
          <t>No</t>
        </is>
      </c>
      <c r="N668" s="1" t="inlineStr">
        <is>
          <t>Algorithms</t>
        </is>
      </c>
      <c r="O6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68" s="11" t="inlineStr">
        <is>
          <t>To Do</t>
        </is>
      </c>
    </row>
    <row r="669" ht="15.75" customHeight="1" s="12">
      <c r="A669" s="1" t="n">
        <v>181</v>
      </c>
      <c r="B669" s="3">
        <f>HYPERLINK("https://leetcode.com/problems/employees-earning-more-than-their-managers/", "Employees Earning More Than Their Managers")</f>
        <v/>
      </c>
      <c r="C669" s="1" t="n">
        <v>3178</v>
      </c>
      <c r="D669" s="1" t="n">
        <v>302</v>
      </c>
      <c r="E669" s="4">
        <f>IF(INDEX(C:C, ROW())+INDEX(D:D, ROW())=0, 0, INDEX(C:C, ROW())/(INDEX(C:C, ROW())+INDEX(D:D, ROW())))</f>
        <v/>
      </c>
      <c r="F669" s="1" t="inlineStr">
        <is>
          <t>Database</t>
        </is>
      </c>
      <c r="G669" s="1" t="inlineStr">
        <is>
          <t>Easy</t>
        </is>
      </c>
      <c r="H669" s="1" t="n">
        <v>1168202</v>
      </c>
      <c r="I669" s="1" t="n">
        <v>1596262</v>
      </c>
      <c r="J669" s="9" t="n">
        <v>0.732</v>
      </c>
      <c r="K669" s="1" t="inlineStr">
        <is>
          <t>Yes</t>
        </is>
      </c>
      <c r="L669" s="1" t="inlineStr">
        <is>
          <t>Yes</t>
        </is>
      </c>
      <c r="M669" s="1" t="inlineStr">
        <is>
          <t>No</t>
        </is>
      </c>
      <c r="N669" s="1" t="inlineStr">
        <is>
          <t>Database</t>
        </is>
      </c>
      <c r="O6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69" s="13" t="inlineStr">
        <is>
          <t>Done</t>
        </is>
      </c>
    </row>
    <row r="670" ht="15.75" customHeight="1" s="12">
      <c r="A670" s="1" t="n">
        <v>2542</v>
      </c>
      <c r="B670" s="3">
        <f>HYPERLINK("https://leetcode.com/problems/maximum-subsequence-score/", "Maximum Subsequence Score")</f>
        <v/>
      </c>
      <c r="C670" s="1" t="n">
        <v>3178</v>
      </c>
      <c r="D670" s="1" t="n">
        <v>211</v>
      </c>
      <c r="E670" s="4">
        <f>IF(INDEX(C:C, ROW())+INDEX(D:D, ROW())=0, 0, INDEX(C:C, ROW())/(INDEX(C:C, ROW())+INDEX(D:D, ROW())))</f>
        <v/>
      </c>
      <c r="F670" s="1" t="inlineStr">
        <is>
          <t>Array, Greedy, Sorting, Heap (Priority Queue)</t>
        </is>
      </c>
      <c r="G670" s="1" t="inlineStr">
        <is>
          <t>Medium</t>
        </is>
      </c>
      <c r="H670" s="1" t="n">
        <v>153945</v>
      </c>
      <c r="I670" s="1" t="n">
        <v>281724</v>
      </c>
      <c r="J670" s="9" t="n">
        <v>0.546</v>
      </c>
      <c r="K670" s="1" t="inlineStr">
        <is>
          <t>Yes</t>
        </is>
      </c>
      <c r="L670" s="1" t="inlineStr">
        <is>
          <t>Yes</t>
        </is>
      </c>
      <c r="M670" s="1" t="inlineStr">
        <is>
          <t>No</t>
        </is>
      </c>
      <c r="N670" s="1" t="inlineStr">
        <is>
          <t>Algorithms</t>
        </is>
      </c>
      <c r="O6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70" s="11" t="inlineStr">
        <is>
          <t>To Do</t>
        </is>
      </c>
    </row>
    <row r="671" ht="15.75" customHeight="1" s="12">
      <c r="A671" s="1" t="n">
        <v>165</v>
      </c>
      <c r="B671" s="3">
        <f>HYPERLINK("https://leetcode.com/problems/compare-version-numbers/", "Compare Version Numbers")</f>
        <v/>
      </c>
      <c r="C671" s="1" t="n">
        <v>3173</v>
      </c>
      <c r="D671" s="1" t="n">
        <v>2799</v>
      </c>
      <c r="E671" s="4">
        <f>IF(INDEX(C:C, ROW())+INDEX(D:D, ROW())=0, 0, INDEX(C:C, ROW())/(INDEX(C:C, ROW())+INDEX(D:D, ROW())))</f>
        <v/>
      </c>
      <c r="F671" s="1" t="inlineStr">
        <is>
          <t>Two Pointers, String</t>
        </is>
      </c>
      <c r="G671" s="1" t="inlineStr">
        <is>
          <t>Medium</t>
        </is>
      </c>
      <c r="H671" s="1" t="n">
        <v>705029</v>
      </c>
      <c r="I671" s="1" t="n">
        <v>1520357</v>
      </c>
      <c r="J671" s="9" t="n">
        <v>0.464</v>
      </c>
      <c r="K671" s="1" t="inlineStr">
        <is>
          <t>Yes</t>
        </is>
      </c>
      <c r="L671" s="1" t="inlineStr">
        <is>
          <t>Yes</t>
        </is>
      </c>
      <c r="M671" s="1" t="inlineStr">
        <is>
          <t>No</t>
        </is>
      </c>
      <c r="N671" s="1" t="inlineStr">
        <is>
          <t>Algorithms</t>
        </is>
      </c>
      <c r="O6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71" s="11" t="inlineStr">
        <is>
          <t>To Do</t>
        </is>
      </c>
    </row>
    <row r="672" ht="15.75" customHeight="1" s="12">
      <c r="A672" s="1" t="n">
        <v>1282</v>
      </c>
      <c r="B672" s="3">
        <f>HYPERLINK("https://leetcode.com/problems/group-the-people-given-the-group-size-they-belong-to/", "Group the People Given the Group Size They Belong To")</f>
        <v/>
      </c>
      <c r="C672" s="1" t="n">
        <v>3167</v>
      </c>
      <c r="D672" s="1" t="n">
        <v>750</v>
      </c>
      <c r="E672" s="4">
        <f>IF(INDEX(C:C, ROW())+INDEX(D:D, ROW())=0, 0, INDEX(C:C, ROW())/(INDEX(C:C, ROW())+INDEX(D:D, ROW())))</f>
        <v/>
      </c>
      <c r="F672" s="1" t="inlineStr">
        <is>
          <t>Array, Hash Table, Greedy</t>
        </is>
      </c>
      <c r="G672" s="1" t="inlineStr">
        <is>
          <t>Medium</t>
        </is>
      </c>
      <c r="H672" s="1" t="n">
        <v>251565</v>
      </c>
      <c r="I672" s="1" t="n">
        <v>287526</v>
      </c>
      <c r="J672" s="9" t="n">
        <v>0.875</v>
      </c>
      <c r="K672" s="1" t="inlineStr">
        <is>
          <t>Yes</t>
        </is>
      </c>
      <c r="L672" s="1" t="inlineStr">
        <is>
          <t>Yes</t>
        </is>
      </c>
      <c r="M672" s="1" t="inlineStr">
        <is>
          <t>No</t>
        </is>
      </c>
      <c r="N672" s="1" t="inlineStr">
        <is>
          <t>Algorithms</t>
        </is>
      </c>
      <c r="O6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72" s="11" t="inlineStr">
        <is>
          <t>To Do</t>
        </is>
      </c>
    </row>
    <row r="673" ht="15.75" customHeight="1" s="12">
      <c r="A673" s="1" t="n">
        <v>1662</v>
      </c>
      <c r="B673" s="3">
        <f>HYPERLINK("https://leetcode.com/problems/check-if-two-string-arrays-are-equivalent/", "Check If Two String Arrays are Equivalent")</f>
        <v/>
      </c>
      <c r="C673" s="1" t="n">
        <v>3165</v>
      </c>
      <c r="D673" s="1" t="n">
        <v>205</v>
      </c>
      <c r="E673" s="4">
        <f>IF(INDEX(C:C, ROW())+INDEX(D:D, ROW())=0, 0, INDEX(C:C, ROW())/(INDEX(C:C, ROW())+INDEX(D:D, ROW())))</f>
        <v/>
      </c>
      <c r="F673" s="1" t="inlineStr">
        <is>
          <t>Array, String</t>
        </is>
      </c>
      <c r="G673" s="1" t="inlineStr">
        <is>
          <t>Easy</t>
        </is>
      </c>
      <c r="H673" s="1" t="n">
        <v>615420</v>
      </c>
      <c r="I673" s="1" t="n">
        <v>714828</v>
      </c>
      <c r="J673" s="9" t="n">
        <v>0.861</v>
      </c>
      <c r="K673" s="1" t="inlineStr">
        <is>
          <t>Yes</t>
        </is>
      </c>
      <c r="L673" s="1" t="inlineStr">
        <is>
          <t>Yes</t>
        </is>
      </c>
      <c r="M673" s="1" t="inlineStr">
        <is>
          <t>No</t>
        </is>
      </c>
      <c r="N673" s="1" t="inlineStr">
        <is>
          <t>Algorithms</t>
        </is>
      </c>
      <c r="O6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73" s="13" t="inlineStr">
        <is>
          <t>Done</t>
        </is>
      </c>
    </row>
    <row r="674" ht="15.75" customHeight="1" s="12">
      <c r="A674" s="1" t="n">
        <v>941</v>
      </c>
      <c r="B674" s="3">
        <f>HYPERLINK("https://leetcode.com/problems/valid-mountain-array/", "Valid Mountain Array")</f>
        <v/>
      </c>
      <c r="C674" s="1" t="n">
        <v>3160</v>
      </c>
      <c r="D674" s="1" t="n">
        <v>211</v>
      </c>
      <c r="E674" s="4">
        <f>IF(INDEX(C:C, ROW())+INDEX(D:D, ROW())=0, 0, INDEX(C:C, ROW())/(INDEX(C:C, ROW())+INDEX(D:D, ROW())))</f>
        <v/>
      </c>
      <c r="F674" s="1" t="inlineStr">
        <is>
          <t>Array</t>
        </is>
      </c>
      <c r="G674" s="1" t="inlineStr">
        <is>
          <t>Easy</t>
        </is>
      </c>
      <c r="H674" s="1" t="n">
        <v>564299</v>
      </c>
      <c r="I674" s="1" t="n">
        <v>1602359</v>
      </c>
      <c r="J674" s="9" t="n">
        <v>0.352</v>
      </c>
      <c r="K674" s="1" t="inlineStr">
        <is>
          <t>Yes</t>
        </is>
      </c>
      <c r="L674" s="1" t="inlineStr">
        <is>
          <t>Yes</t>
        </is>
      </c>
      <c r="M674" s="1" t="inlineStr">
        <is>
          <t>No</t>
        </is>
      </c>
      <c r="N674" s="1" t="inlineStr">
        <is>
          <t>Algorithms</t>
        </is>
      </c>
      <c r="O6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74" s="13" t="inlineStr">
        <is>
          <t>Done</t>
        </is>
      </c>
    </row>
    <row r="675" ht="15.75" customHeight="1" s="12">
      <c r="A675" s="1" t="n">
        <v>1079</v>
      </c>
      <c r="B675" s="3">
        <f>HYPERLINK("https://leetcode.com/problems/letter-tile-possibilities/", "Letter Tile Possibilities")</f>
        <v/>
      </c>
      <c r="C675" s="1" t="n">
        <v>3143</v>
      </c>
      <c r="D675" s="1" t="n">
        <v>91</v>
      </c>
      <c r="E675" s="4">
        <f>IF(INDEX(C:C, ROW())+INDEX(D:D, ROW())=0, 0, INDEX(C:C, ROW())/(INDEX(C:C, ROW())+INDEX(D:D, ROW())))</f>
        <v/>
      </c>
      <c r="F675" s="1" t="inlineStr">
        <is>
          <t>Hash Table, String, Backtracking, Counting</t>
        </is>
      </c>
      <c r="G675" s="1" t="inlineStr">
        <is>
          <t>Medium</t>
        </is>
      </c>
      <c r="H675" s="1" t="n">
        <v>257465</v>
      </c>
      <c r="I675" s="1" t="n">
        <v>308205</v>
      </c>
      <c r="J675" s="9" t="n">
        <v>0.835</v>
      </c>
      <c r="K675" s="1" t="inlineStr">
        <is>
          <t>Yes</t>
        </is>
      </c>
      <c r="L675" s="1" t="inlineStr">
        <is>
          <t>Yes</t>
        </is>
      </c>
      <c r="M675" s="1" t="inlineStr">
        <is>
          <t>No</t>
        </is>
      </c>
      <c r="N675" s="1" t="inlineStr">
        <is>
          <t>Algorithms</t>
        </is>
      </c>
      <c r="O6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75" s="11" t="inlineStr">
        <is>
          <t>To Do</t>
        </is>
      </c>
    </row>
    <row r="676" ht="15.75" customHeight="1" s="12">
      <c r="A676" s="1" t="n">
        <v>386</v>
      </c>
      <c r="B676" s="3">
        <f>HYPERLINK("https://leetcode.com/problems/lexicographical-numbers/", "Lexicographical Numbers")</f>
        <v/>
      </c>
      <c r="C676" s="1" t="n">
        <v>3140</v>
      </c>
      <c r="D676" s="1" t="n">
        <v>214</v>
      </c>
      <c r="E676" s="4">
        <f>IF(INDEX(C:C, ROW())+INDEX(D:D, ROW())=0, 0, INDEX(C:C, ROW())/(INDEX(C:C, ROW())+INDEX(D:D, ROW())))</f>
        <v/>
      </c>
      <c r="F676" s="1" t="inlineStr">
        <is>
          <t>Depth-First Search, Trie</t>
        </is>
      </c>
      <c r="G676" s="1" t="inlineStr">
        <is>
          <t>Medium</t>
        </is>
      </c>
      <c r="H676" s="1" t="n">
        <v>386241</v>
      </c>
      <c r="I676" s="1" t="n">
        <v>506680</v>
      </c>
      <c r="J676" s="9" t="n">
        <v>0.762</v>
      </c>
      <c r="K676" s="1" t="inlineStr">
        <is>
          <t>Yes</t>
        </is>
      </c>
      <c r="L676" s="1" t="inlineStr">
        <is>
          <t>Yes</t>
        </is>
      </c>
      <c r="M676" s="1" t="inlineStr">
        <is>
          <t>No</t>
        </is>
      </c>
      <c r="N676" s="1" t="inlineStr">
        <is>
          <t>Algorithms</t>
        </is>
      </c>
      <c r="O6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76" s="11" t="inlineStr">
        <is>
          <t>To Do</t>
        </is>
      </c>
    </row>
    <row r="677" ht="15.75" customHeight="1" s="12">
      <c r="A677" s="1" t="n">
        <v>1769</v>
      </c>
      <c r="B677" s="3">
        <f>HYPERLINK("https://leetcode.com/problems/minimum-number-of-operations-to-move-all-balls-to-each-box/", "Minimum Number of Operations to Move All Balls to Each Box")</f>
        <v/>
      </c>
      <c r="C677" s="1" t="n">
        <v>3136</v>
      </c>
      <c r="D677" s="1" t="n">
        <v>139</v>
      </c>
      <c r="E677" s="4">
        <f>IF(INDEX(C:C, ROW())+INDEX(D:D, ROW())=0, 0, INDEX(C:C, ROW())/(INDEX(C:C, ROW())+INDEX(D:D, ROW())))</f>
        <v/>
      </c>
      <c r="F677" s="1" t="inlineStr">
        <is>
          <t>Array, String, Prefix Sum</t>
        </is>
      </c>
      <c r="G677" s="1" t="inlineStr">
        <is>
          <t>Medium</t>
        </is>
      </c>
      <c r="H677" s="1" t="n">
        <v>339670</v>
      </c>
      <c r="I677" s="1" t="n">
        <v>376898</v>
      </c>
      <c r="J677" s="9" t="n">
        <v>0.901</v>
      </c>
      <c r="K677" s="1" t="inlineStr">
        <is>
          <t>Yes</t>
        </is>
      </c>
      <c r="L677" s="1" t="inlineStr">
        <is>
          <t>Yes</t>
        </is>
      </c>
      <c r="M677" s="1" t="inlineStr">
        <is>
          <t>No</t>
        </is>
      </c>
      <c r="N677" s="1" t="inlineStr">
        <is>
          <t>Algorithms</t>
        </is>
      </c>
      <c r="O6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77" s="11" t="inlineStr">
        <is>
          <t>To Do</t>
        </is>
      </c>
    </row>
    <row r="678" ht="15.75" customHeight="1" s="12">
      <c r="A678" s="1" t="n">
        <v>1523</v>
      </c>
      <c r="B678" s="3">
        <f>HYPERLINK("https://leetcode.com/problems/count-odd-numbers-in-an-interval-range/", "Count Odd Numbers in an Interval Range")</f>
        <v/>
      </c>
      <c r="C678" s="1" t="n">
        <v>3133</v>
      </c>
      <c r="D678" s="1" t="n">
        <v>182</v>
      </c>
      <c r="E678" s="4">
        <f>IF(INDEX(C:C, ROW())+INDEX(D:D, ROW())=0, 0, INDEX(C:C, ROW())/(INDEX(C:C, ROW())+INDEX(D:D, ROW())))</f>
        <v/>
      </c>
      <c r="F678" s="1" t="inlineStr">
        <is>
          <t>Math</t>
        </is>
      </c>
      <c r="G678" s="1" t="inlineStr">
        <is>
          <t>Easy</t>
        </is>
      </c>
      <c r="H678" s="1" t="n">
        <v>555477</v>
      </c>
      <c r="I678" s="1" t="n">
        <v>1018608</v>
      </c>
      <c r="J678" s="9" t="n">
        <v>0.545</v>
      </c>
      <c r="K678" s="1" t="inlineStr">
        <is>
          <t>Yes</t>
        </is>
      </c>
      <c r="L678" s="1" t="inlineStr">
        <is>
          <t>Yes</t>
        </is>
      </c>
      <c r="M678" s="1" t="inlineStr">
        <is>
          <t>No</t>
        </is>
      </c>
      <c r="N678" s="1" t="inlineStr">
        <is>
          <t>Algorithms</t>
        </is>
      </c>
      <c r="O6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78" s="13" t="inlineStr">
        <is>
          <t>Done</t>
        </is>
      </c>
    </row>
    <row r="679" ht="15.75" customHeight="1" s="12">
      <c r="A679" s="1" t="n">
        <v>648</v>
      </c>
      <c r="B679" s="3">
        <f>HYPERLINK("https://leetcode.com/problems/replace-words/", "Replace Words")</f>
        <v/>
      </c>
      <c r="C679" s="1" t="n">
        <v>3117</v>
      </c>
      <c r="D679" s="1" t="n">
        <v>220</v>
      </c>
      <c r="E679" s="4">
        <f>IF(INDEX(C:C, ROW())+INDEX(D:D, ROW())=0, 0, INDEX(C:C, ROW())/(INDEX(C:C, ROW())+INDEX(D:D, ROW())))</f>
        <v/>
      </c>
      <c r="F679" s="1" t="inlineStr">
        <is>
          <t>Array, Hash Table, String, Trie</t>
        </is>
      </c>
      <c r="G679" s="1" t="inlineStr">
        <is>
          <t>Medium</t>
        </is>
      </c>
      <c r="H679" s="1" t="n">
        <v>320199</v>
      </c>
      <c r="I679" s="1" t="n">
        <v>465934</v>
      </c>
      <c r="J679" s="9" t="n">
        <v>0.6870000000000001</v>
      </c>
      <c r="K679" s="1" t="inlineStr">
        <is>
          <t>Yes</t>
        </is>
      </c>
      <c r="L679" s="1" t="inlineStr">
        <is>
          <t>Yes</t>
        </is>
      </c>
      <c r="M679" s="1" t="inlineStr">
        <is>
          <t>No</t>
        </is>
      </c>
      <c r="N679" s="1" t="inlineStr">
        <is>
          <t>Algorithms</t>
        </is>
      </c>
      <c r="O6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79" s="11" t="inlineStr">
        <is>
          <t>To Do</t>
        </is>
      </c>
    </row>
    <row r="680" ht="15.75" customHeight="1" s="12">
      <c r="A680" s="1" t="n">
        <v>1996</v>
      </c>
      <c r="B680" s="3">
        <f>HYPERLINK("https://leetcode.com/problems/the-number-of-weak-characters-in-the-game/", "The Number of Weak Characters in the Game")</f>
        <v/>
      </c>
      <c r="C680" s="1" t="n">
        <v>3105</v>
      </c>
      <c r="D680" s="1" t="n">
        <v>100</v>
      </c>
      <c r="E680" s="4">
        <f>IF(INDEX(C:C, ROW())+INDEX(D:D, ROW())=0, 0, INDEX(C:C, ROW())/(INDEX(C:C, ROW())+INDEX(D:D, ROW())))</f>
        <v/>
      </c>
      <c r="F680" s="1" t="inlineStr">
        <is>
          <t>Array, Stack, Greedy, Sorting, Monotonic Stack</t>
        </is>
      </c>
      <c r="G680" s="1" t="inlineStr">
        <is>
          <t>Medium</t>
        </is>
      </c>
      <c r="H680" s="1" t="n">
        <v>118866</v>
      </c>
      <c r="I680" s="1" t="n">
        <v>266759</v>
      </c>
      <c r="J680" s="9" t="n">
        <v>0.446</v>
      </c>
      <c r="K680" s="1" t="inlineStr">
        <is>
          <t>Yes</t>
        </is>
      </c>
      <c r="L680" s="1" t="inlineStr">
        <is>
          <t>Yes</t>
        </is>
      </c>
      <c r="M680" s="1" t="inlineStr">
        <is>
          <t>No</t>
        </is>
      </c>
      <c r="N680" s="1" t="inlineStr">
        <is>
          <t>Algorithms</t>
        </is>
      </c>
      <c r="O6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80" s="11" t="inlineStr">
        <is>
          <t>To Do</t>
        </is>
      </c>
    </row>
    <row r="681" ht="15.75" customHeight="1" s="12">
      <c r="A681" s="1" t="n">
        <v>2187</v>
      </c>
      <c r="B681" s="3">
        <f>HYPERLINK("https://leetcode.com/problems/minimum-time-to-complete-trips/", "Minimum Time to Complete Trips")</f>
        <v/>
      </c>
      <c r="C681" s="1" t="n">
        <v>3101</v>
      </c>
      <c r="D681" s="1" t="n">
        <v>195</v>
      </c>
      <c r="E681" s="4">
        <f>IF(INDEX(C:C, ROW())+INDEX(D:D, ROW())=0, 0, INDEX(C:C, ROW())/(INDEX(C:C, ROW())+INDEX(D:D, ROW())))</f>
        <v/>
      </c>
      <c r="F681" s="1" t="inlineStr">
        <is>
          <t>Array, Binary Search</t>
        </is>
      </c>
      <c r="G681" s="1" t="inlineStr">
        <is>
          <t>Medium</t>
        </is>
      </c>
      <c r="H681" s="1" t="n">
        <v>155638</v>
      </c>
      <c r="I681" s="1" t="n">
        <v>391455</v>
      </c>
      <c r="J681" s="9" t="n">
        <v>0.398</v>
      </c>
      <c r="K681" s="1" t="inlineStr">
        <is>
          <t>Yes</t>
        </is>
      </c>
      <c r="L681" s="1" t="inlineStr">
        <is>
          <t>Yes</t>
        </is>
      </c>
      <c r="M681" s="1" t="inlineStr">
        <is>
          <t>No</t>
        </is>
      </c>
      <c r="N681" s="1" t="inlineStr">
        <is>
          <t>Algorithms</t>
        </is>
      </c>
      <c r="O6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81" s="11" t="inlineStr">
        <is>
          <t>To Do</t>
        </is>
      </c>
    </row>
    <row r="682" ht="15.75" customHeight="1" s="12">
      <c r="A682" s="1" t="n">
        <v>2024</v>
      </c>
      <c r="B682" s="3">
        <f>HYPERLINK("https://leetcode.com/problems/maximize-the-confusion-of-an-exam/", "Maximize the Confusion of an Exam")</f>
        <v/>
      </c>
      <c r="C682" s="1" t="n">
        <v>3100</v>
      </c>
      <c r="D682" s="1" t="n">
        <v>56</v>
      </c>
      <c r="E682" s="4">
        <f>IF(INDEX(C:C, ROW())+INDEX(D:D, ROW())=0, 0, INDEX(C:C, ROW())/(INDEX(C:C, ROW())+INDEX(D:D, ROW())))</f>
        <v/>
      </c>
      <c r="F682" s="1" t="inlineStr">
        <is>
          <t>String, Binary Search, Sliding Window, Prefix Sum</t>
        </is>
      </c>
      <c r="G682" s="1" t="inlineStr">
        <is>
          <t>Medium</t>
        </is>
      </c>
      <c r="H682" s="1" t="n">
        <v>146108</v>
      </c>
      <c r="I682" s="1" t="n">
        <v>208927</v>
      </c>
      <c r="J682" s="9" t="n">
        <v>0.699</v>
      </c>
      <c r="K682" s="1" t="inlineStr">
        <is>
          <t>Yes</t>
        </is>
      </c>
      <c r="L682" s="1" t="inlineStr">
        <is>
          <t>Yes</t>
        </is>
      </c>
      <c r="M682" s="1" t="inlineStr">
        <is>
          <t>No</t>
        </is>
      </c>
      <c r="N682" s="1" t="inlineStr">
        <is>
          <t>Algorithms</t>
        </is>
      </c>
      <c r="O6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82" s="11" t="inlineStr">
        <is>
          <t>To Do</t>
        </is>
      </c>
    </row>
    <row r="683" ht="15.75" customHeight="1" s="12">
      <c r="A683" s="1" t="n">
        <v>1359</v>
      </c>
      <c r="B683" s="3">
        <f>HYPERLINK("https://leetcode.com/problems/count-all-valid-pickup-and-delivery-options/", "Count All Valid Pickup and Delivery Options")</f>
        <v/>
      </c>
      <c r="C683" s="1" t="n">
        <v>3098</v>
      </c>
      <c r="D683" s="1" t="n">
        <v>233</v>
      </c>
      <c r="E683" s="4">
        <f>IF(INDEX(C:C, ROW())+INDEX(D:D, ROW())=0, 0, INDEX(C:C, ROW())/(INDEX(C:C, ROW())+INDEX(D:D, ROW())))</f>
        <v/>
      </c>
      <c r="F683" s="1" t="inlineStr">
        <is>
          <t>Math, Dynamic Programming, Combinatorics</t>
        </is>
      </c>
      <c r="G683" s="1" t="inlineStr">
        <is>
          <t>Hard</t>
        </is>
      </c>
      <c r="H683" s="1" t="n">
        <v>134722</v>
      </c>
      <c r="I683" s="1" t="n">
        <v>207698</v>
      </c>
      <c r="J683" s="9" t="n">
        <v>0.649</v>
      </c>
      <c r="K683" s="1" t="inlineStr">
        <is>
          <t>Yes</t>
        </is>
      </c>
      <c r="L683" s="1" t="inlineStr">
        <is>
          <t>Yes</t>
        </is>
      </c>
      <c r="M683" s="1" t="inlineStr">
        <is>
          <t>No</t>
        </is>
      </c>
      <c r="N683" s="1" t="inlineStr">
        <is>
          <t>Algorithms</t>
        </is>
      </c>
      <c r="O6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83" s="11" t="inlineStr">
        <is>
          <t>To Do</t>
        </is>
      </c>
    </row>
    <row r="684" ht="15.75" customHeight="1" s="12">
      <c r="A684" s="1" t="n">
        <v>183</v>
      </c>
      <c r="B684" s="3">
        <f>HYPERLINK("https://leetcode.com/problems/customers-who-never-order/", "Customers Who Never Order")</f>
        <v/>
      </c>
      <c r="C684" s="1" t="n">
        <v>3097</v>
      </c>
      <c r="D684" s="1" t="n">
        <v>162</v>
      </c>
      <c r="E684" s="4">
        <f>IF(INDEX(C:C, ROW())+INDEX(D:D, ROW())=0, 0, INDEX(C:C, ROW())/(INDEX(C:C, ROW())+INDEX(D:D, ROW())))</f>
        <v/>
      </c>
      <c r="F684" s="1" t="inlineStr">
        <is>
          <t>Database</t>
        </is>
      </c>
      <c r="G684" s="1" t="inlineStr">
        <is>
          <t>Easy</t>
        </is>
      </c>
      <c r="H684" s="1" t="n">
        <v>1314558</v>
      </c>
      <c r="I684" s="1" t="n">
        <v>1833017</v>
      </c>
      <c r="J684" s="9" t="n">
        <v>0.717</v>
      </c>
      <c r="K684" s="1" t="inlineStr">
        <is>
          <t>Yes</t>
        </is>
      </c>
      <c r="L684" s="1" t="inlineStr">
        <is>
          <t>Yes</t>
        </is>
      </c>
      <c r="M684" s="1" t="inlineStr">
        <is>
          <t>No</t>
        </is>
      </c>
      <c r="N684" s="1" t="inlineStr">
        <is>
          <t>Database</t>
        </is>
      </c>
      <c r="O6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84" s="13" t="inlineStr">
        <is>
          <t>Done</t>
        </is>
      </c>
    </row>
    <row r="685" ht="15.75" customHeight="1" s="12">
      <c r="A685" s="1" t="n">
        <v>1675</v>
      </c>
      <c r="B685" s="3">
        <f>HYPERLINK("https://leetcode.com/problems/minimize-deviation-in-array/", "Minimize Deviation in Array")</f>
        <v/>
      </c>
      <c r="C685" s="1" t="n">
        <v>3093</v>
      </c>
      <c r="D685" s="1" t="n">
        <v>175</v>
      </c>
      <c r="E685" s="4">
        <f>IF(INDEX(C:C, ROW())+INDEX(D:D, ROW())=0, 0, INDEX(C:C, ROW())/(INDEX(C:C, ROW())+INDEX(D:D, ROW())))</f>
        <v/>
      </c>
      <c r="F685" s="1" t="inlineStr">
        <is>
          <t>Array, Greedy, Heap (Priority Queue), Ordered Set</t>
        </is>
      </c>
      <c r="G685" s="1" t="inlineStr">
        <is>
          <t>Hard</t>
        </is>
      </c>
      <c r="H685" s="1" t="n">
        <v>101050</v>
      </c>
      <c r="I685" s="1" t="n">
        <v>187179</v>
      </c>
      <c r="J685" s="9" t="n">
        <v>0.54</v>
      </c>
      <c r="K685" s="1" t="inlineStr">
        <is>
          <t>Yes</t>
        </is>
      </c>
      <c r="L685" s="1" t="inlineStr">
        <is>
          <t>Yes</t>
        </is>
      </c>
      <c r="M685" s="1" t="inlineStr">
        <is>
          <t>No</t>
        </is>
      </c>
      <c r="N685" s="1" t="inlineStr">
        <is>
          <t>Algorithms</t>
        </is>
      </c>
      <c r="O6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85" s="11" t="inlineStr">
        <is>
          <t>To Do</t>
        </is>
      </c>
    </row>
    <row r="686" ht="15.75" customHeight="1" s="12">
      <c r="A686" s="1" t="n">
        <v>707</v>
      </c>
      <c r="B686" s="3">
        <f>HYPERLINK("https://leetcode.com/problems/design-linked-list/", "Design Linked List")</f>
        <v/>
      </c>
      <c r="C686" s="1" t="n">
        <v>3079</v>
      </c>
      <c r="D686" s="1" t="n">
        <v>1683</v>
      </c>
      <c r="E686" s="4">
        <f>IF(INDEX(C:C, ROW())+INDEX(D:D, ROW())=0, 0, INDEX(C:C, ROW())/(INDEX(C:C, ROW())+INDEX(D:D, ROW())))</f>
        <v/>
      </c>
      <c r="F686" s="1" t="inlineStr">
        <is>
          <t>Linked List, Design</t>
        </is>
      </c>
      <c r="G686" s="1" t="inlineStr">
        <is>
          <t>Medium</t>
        </is>
      </c>
      <c r="H686" s="1" t="n">
        <v>492843</v>
      </c>
      <c r="I686" s="1" t="n">
        <v>1630776</v>
      </c>
      <c r="J686" s="9" t="n">
        <v>0.302</v>
      </c>
      <c r="K686" s="1" t="inlineStr">
        <is>
          <t>Yes</t>
        </is>
      </c>
      <c r="L686" s="1" t="inlineStr">
        <is>
          <t>Yes</t>
        </is>
      </c>
      <c r="M686" s="1" t="inlineStr">
        <is>
          <t>No</t>
        </is>
      </c>
      <c r="N686" s="1" t="inlineStr">
        <is>
          <t>Algorithms</t>
        </is>
      </c>
      <c r="O6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86" s="11" t="inlineStr">
        <is>
          <t>To Do</t>
        </is>
      </c>
    </row>
    <row r="687" ht="15.75" customHeight="1" s="12">
      <c r="A687" s="1" t="n">
        <v>857</v>
      </c>
      <c r="B687" s="3">
        <f>HYPERLINK("https://leetcode.com/problems/minimum-cost-to-hire-k-workers/", "Minimum Cost to Hire K Workers")</f>
        <v/>
      </c>
      <c r="C687" s="1" t="n">
        <v>3066</v>
      </c>
      <c r="D687" s="1" t="n">
        <v>407</v>
      </c>
      <c r="E687" s="4">
        <f>IF(INDEX(C:C, ROW())+INDEX(D:D, ROW())=0, 0, INDEX(C:C, ROW())/(INDEX(C:C, ROW())+INDEX(D:D, ROW())))</f>
        <v/>
      </c>
      <c r="F687" s="1" t="inlineStr">
        <is>
          <t>Array, Greedy, Sorting, Heap (Priority Queue)</t>
        </is>
      </c>
      <c r="G687" s="1" t="inlineStr">
        <is>
          <t>Hard</t>
        </is>
      </c>
      <c r="H687" s="1" t="n">
        <v>160373</v>
      </c>
      <c r="I687" s="1" t="n">
        <v>252012</v>
      </c>
      <c r="J687" s="9" t="n">
        <v>0.636</v>
      </c>
      <c r="K687" s="1" t="inlineStr">
        <is>
          <t>Yes</t>
        </is>
      </c>
      <c r="L687" s="1" t="inlineStr">
        <is>
          <t>Yes</t>
        </is>
      </c>
      <c r="M687" s="1" t="inlineStr">
        <is>
          <t>No</t>
        </is>
      </c>
      <c r="N687" s="1" t="inlineStr">
        <is>
          <t>Algorithms</t>
        </is>
      </c>
      <c r="O6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87" s="11" t="inlineStr">
        <is>
          <t>To Do</t>
        </is>
      </c>
    </row>
    <row r="688" ht="15.75" customHeight="1" s="12">
      <c r="A688" s="1" t="n">
        <v>1626</v>
      </c>
      <c r="B688" s="3">
        <f>HYPERLINK("https://leetcode.com/problems/best-team-with-no-conflicts/", "Best Team With No Conflicts")</f>
        <v/>
      </c>
      <c r="C688" s="1" t="n">
        <v>3057</v>
      </c>
      <c r="D688" s="1" t="n">
        <v>99</v>
      </c>
      <c r="E688" s="4">
        <f>IF(INDEX(C:C, ROW())+INDEX(D:D, ROW())=0, 0, INDEX(C:C, ROW())/(INDEX(C:C, ROW())+INDEX(D:D, ROW())))</f>
        <v/>
      </c>
      <c r="F688" s="1" t="inlineStr">
        <is>
          <t>Array, Dynamic Programming, Sorting</t>
        </is>
      </c>
      <c r="G688" s="1" t="inlineStr">
        <is>
          <t>Medium</t>
        </is>
      </c>
      <c r="H688" s="1" t="n">
        <v>99870</v>
      </c>
      <c r="I688" s="1" t="n">
        <v>196956</v>
      </c>
      <c r="J688" s="9" t="n">
        <v>0.507</v>
      </c>
      <c r="K688" s="1" t="inlineStr">
        <is>
          <t>Yes</t>
        </is>
      </c>
      <c r="L688" s="1" t="inlineStr">
        <is>
          <t>Yes</t>
        </is>
      </c>
      <c r="M688" s="1" t="inlineStr">
        <is>
          <t>No</t>
        </is>
      </c>
      <c r="N688" s="1" t="inlineStr">
        <is>
          <t>Algorithms</t>
        </is>
      </c>
      <c r="O6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88" s="11" t="inlineStr">
        <is>
          <t>To Do</t>
        </is>
      </c>
    </row>
    <row r="689" ht="15.75" customHeight="1" s="12">
      <c r="A689" s="1" t="n">
        <v>845</v>
      </c>
      <c r="B689" s="3">
        <f>HYPERLINK("https://leetcode.com/problems/longest-mountain-in-array/", "Longest Mountain in Array")</f>
        <v/>
      </c>
      <c r="C689" s="1" t="n">
        <v>3050</v>
      </c>
      <c r="D689" s="1" t="n">
        <v>92</v>
      </c>
      <c r="E689" s="4">
        <f>IF(INDEX(C:C, ROW())+INDEX(D:D, ROW())=0, 0, INDEX(C:C, ROW())/(INDEX(C:C, ROW())+INDEX(D:D, ROW())))</f>
        <v/>
      </c>
      <c r="F689" s="1" t="inlineStr">
        <is>
          <t>Array, Two Pointers, Dynamic Programming, Enumeration</t>
        </is>
      </c>
      <c r="G689" s="1" t="inlineStr">
        <is>
          <t>Medium</t>
        </is>
      </c>
      <c r="H689" s="1" t="n">
        <v>201389</v>
      </c>
      <c r="I689" s="1" t="n">
        <v>478373</v>
      </c>
      <c r="J689" s="9" t="n">
        <v>0.421</v>
      </c>
      <c r="K689" s="1" t="inlineStr">
        <is>
          <t>Yes</t>
        </is>
      </c>
      <c r="L689" s="1" t="inlineStr">
        <is>
          <t>Yes</t>
        </is>
      </c>
      <c r="M689" s="1" t="inlineStr">
        <is>
          <t>No</t>
        </is>
      </c>
      <c r="N689" s="1" t="inlineStr">
        <is>
          <t>Algorithms</t>
        </is>
      </c>
      <c r="O6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89" s="11" t="inlineStr">
        <is>
          <t>To Do</t>
        </is>
      </c>
    </row>
    <row r="690" ht="15.75" customHeight="1" s="12">
      <c r="A690" s="1" t="n">
        <v>1280</v>
      </c>
      <c r="B690" s="3">
        <f>HYPERLINK("https://leetcode.com/problems/students-and-examinations/", "Students and Examinations")</f>
        <v/>
      </c>
      <c r="C690" s="1" t="n">
        <v>3044</v>
      </c>
      <c r="D690" s="1" t="n">
        <v>366</v>
      </c>
      <c r="E690" s="4">
        <f>IF(INDEX(C:C, ROW())+INDEX(D:D, ROW())=0, 0, INDEX(C:C, ROW())/(INDEX(C:C, ROW())+INDEX(D:D, ROW())))</f>
        <v/>
      </c>
      <c r="F690" s="1" t="inlineStr">
        <is>
          <t>Database</t>
        </is>
      </c>
      <c r="G690" s="1" t="inlineStr">
        <is>
          <t>Easy</t>
        </is>
      </c>
      <c r="H690" s="1" t="n">
        <v>751876</v>
      </c>
      <c r="I690" s="1" t="n">
        <v>1229293</v>
      </c>
      <c r="J690" s="9" t="n">
        <v>0.612</v>
      </c>
      <c r="K690" s="1" t="inlineStr">
        <is>
          <t>Yes</t>
        </is>
      </c>
      <c r="L690" s="1" t="inlineStr">
        <is>
          <t>Yes</t>
        </is>
      </c>
      <c r="M690" s="1" t="inlineStr">
        <is>
          <t>No</t>
        </is>
      </c>
      <c r="N690" s="1" t="inlineStr">
        <is>
          <t>Database</t>
        </is>
      </c>
      <c r="O6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90" s="13" t="inlineStr">
        <is>
          <t>Done</t>
        </is>
      </c>
    </row>
    <row r="691" ht="15.75" customHeight="1" s="12">
      <c r="A691" s="1" t="n">
        <v>1832</v>
      </c>
      <c r="B691" s="3">
        <f>HYPERLINK("https://leetcode.com/problems/check-if-the-sentence-is-pangram/", "Check if the Sentence Is Pangram")</f>
        <v/>
      </c>
      <c r="C691" s="1" t="n">
        <v>3031</v>
      </c>
      <c r="D691" s="1" t="n">
        <v>67</v>
      </c>
      <c r="E691" s="4">
        <f>IF(INDEX(C:C, ROW())+INDEX(D:D, ROW())=0, 0, INDEX(C:C, ROW())/(INDEX(C:C, ROW())+INDEX(D:D, ROW())))</f>
        <v/>
      </c>
      <c r="F691" s="1" t="inlineStr">
        <is>
          <t>Hash Table, String</t>
        </is>
      </c>
      <c r="G691" s="1" t="inlineStr">
        <is>
          <t>Easy</t>
        </is>
      </c>
      <c r="H691" s="1" t="n">
        <v>547578</v>
      </c>
      <c r="I691" s="1" t="n">
        <v>650383</v>
      </c>
      <c r="J691" s="9" t="n">
        <v>0.842</v>
      </c>
      <c r="K691" s="1" t="inlineStr">
        <is>
          <t>Yes</t>
        </is>
      </c>
      <c r="L691" s="1" t="inlineStr">
        <is>
          <t>Yes</t>
        </is>
      </c>
      <c r="M691" s="1" t="inlineStr">
        <is>
          <t>No</t>
        </is>
      </c>
      <c r="N691" s="1" t="inlineStr">
        <is>
          <t>Algorithms</t>
        </is>
      </c>
      <c r="O6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91" s="13" t="inlineStr">
        <is>
          <t>Done</t>
        </is>
      </c>
    </row>
    <row r="692" ht="15.75" customHeight="1" s="12">
      <c r="A692" s="1" t="n">
        <v>1367</v>
      </c>
      <c r="B692" s="3">
        <f>HYPERLINK("https://leetcode.com/problems/linked-list-in-binary-tree/", "Linked List in Binary Tree")</f>
        <v/>
      </c>
      <c r="C692" s="1" t="n">
        <v>3028</v>
      </c>
      <c r="D692" s="1" t="n">
        <v>90</v>
      </c>
      <c r="E692" s="4">
        <f>IF(INDEX(C:C, ROW())+INDEX(D:D, ROW())=0, 0, INDEX(C:C, ROW())/(INDEX(C:C, ROW())+INDEX(D:D, ROW())))</f>
        <v/>
      </c>
      <c r="F692" s="1" t="inlineStr">
        <is>
          <t>Linked List, Tree, Depth-First Search, Binary Tree</t>
        </is>
      </c>
      <c r="G692" s="1" t="inlineStr">
        <is>
          <t>Medium</t>
        </is>
      </c>
      <c r="H692" s="1" t="n">
        <v>209936</v>
      </c>
      <c r="I692" s="1" t="n">
        <v>403988</v>
      </c>
      <c r="J692" s="9" t="n">
        <v>0.52</v>
      </c>
      <c r="K692" s="1" t="inlineStr">
        <is>
          <t>Yes</t>
        </is>
      </c>
      <c r="L692" s="1" t="inlineStr">
        <is>
          <t>Yes</t>
        </is>
      </c>
      <c r="M692" s="1" t="inlineStr">
        <is>
          <t>No</t>
        </is>
      </c>
      <c r="N692" s="1" t="inlineStr">
        <is>
          <t>Algorithms</t>
        </is>
      </c>
      <c r="O6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92" s="11" t="inlineStr">
        <is>
          <t>To Do</t>
        </is>
      </c>
    </row>
    <row r="693" ht="15.75" customHeight="1" s="12">
      <c r="A693" s="1" t="n">
        <v>277</v>
      </c>
      <c r="B693" s="3">
        <f>HYPERLINK("https://leetcode.com/problems/find-the-celebrity/", "Find the Celebrity")</f>
        <v/>
      </c>
      <c r="C693" s="1" t="n">
        <v>3008</v>
      </c>
      <c r="D693" s="1" t="n">
        <v>321</v>
      </c>
      <c r="E693" s="4">
        <f>IF(INDEX(C:C, ROW())+INDEX(D:D, ROW())=0, 0, INDEX(C:C, ROW())/(INDEX(C:C, ROW())+INDEX(D:D, ROW())))</f>
        <v/>
      </c>
      <c r="F693" s="1" t="inlineStr">
        <is>
          <t>Two Pointers, Graph Theory, Interactive</t>
        </is>
      </c>
      <c r="G693" s="1" t="inlineStr">
        <is>
          <t>Medium</t>
        </is>
      </c>
      <c r="H693" s="1" t="n">
        <v>326056</v>
      </c>
      <c r="I693" s="1" t="n">
        <v>665591</v>
      </c>
      <c r="J693" s="9" t="n">
        <v>0.49</v>
      </c>
      <c r="K693" s="1" t="inlineStr">
        <is>
          <t>No</t>
        </is>
      </c>
      <c r="L693" s="1" t="inlineStr">
        <is>
          <t>Yes</t>
        </is>
      </c>
      <c r="M693" s="1" t="inlineStr">
        <is>
          <t>Yes</t>
        </is>
      </c>
      <c r="N693" s="1" t="inlineStr">
        <is>
          <t>Algorithms</t>
        </is>
      </c>
      <c r="O6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93" s="11" t="inlineStr">
        <is>
          <t>To Do</t>
        </is>
      </c>
    </row>
    <row r="694" ht="15.75" customHeight="1" s="12">
      <c r="A694" s="1" t="n">
        <v>2104</v>
      </c>
      <c r="B694" s="3">
        <f>HYPERLINK("https://leetcode.com/problems/sum-of-subarray-ranges/", "Sum of Subarray Ranges")</f>
        <v/>
      </c>
      <c r="C694" s="1" t="n">
        <v>3008</v>
      </c>
      <c r="D694" s="1" t="n">
        <v>144</v>
      </c>
      <c r="E694" s="4">
        <f>IF(INDEX(C:C, ROW())+INDEX(D:D, ROW())=0, 0, INDEX(C:C, ROW())/(INDEX(C:C, ROW())+INDEX(D:D, ROW())))</f>
        <v/>
      </c>
      <c r="F694" s="1" t="inlineStr">
        <is>
          <t>Array, Stack, Monotonic Stack</t>
        </is>
      </c>
      <c r="G694" s="1" t="inlineStr">
        <is>
          <t>Medium</t>
        </is>
      </c>
      <c r="H694" s="1" t="n">
        <v>225710</v>
      </c>
      <c r="I694" s="1" t="n">
        <v>369602</v>
      </c>
      <c r="J694" s="9" t="n">
        <v>0.611</v>
      </c>
      <c r="K694" s="1" t="inlineStr">
        <is>
          <t>Yes</t>
        </is>
      </c>
      <c r="L694" s="1" t="inlineStr">
        <is>
          <t>Yes</t>
        </is>
      </c>
      <c r="M694" s="1" t="inlineStr">
        <is>
          <t>No</t>
        </is>
      </c>
      <c r="N694" s="1" t="inlineStr">
        <is>
          <t>Algorithms</t>
        </is>
      </c>
      <c r="O6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94" s="11" t="inlineStr">
        <is>
          <t>To Do</t>
        </is>
      </c>
    </row>
    <row r="695" ht="15.75" customHeight="1" s="12">
      <c r="A695" s="1" t="n">
        <v>1373</v>
      </c>
      <c r="B695" s="3">
        <f>HYPERLINK("https://leetcode.com/problems/maximum-sum-bst-in-binary-tree/", "Maximum Sum BST in Binary Tree")</f>
        <v/>
      </c>
      <c r="C695" s="1" t="n">
        <v>2996</v>
      </c>
      <c r="D695" s="1" t="n">
        <v>200</v>
      </c>
      <c r="E695" s="4">
        <f>IF(INDEX(C:C, ROW())+INDEX(D:D, ROW())=0, 0, INDEX(C:C, ROW())/(INDEX(C:C, ROW())+INDEX(D:D, ROW())))</f>
        <v/>
      </c>
      <c r="F695" s="1" t="inlineStr">
        <is>
          <t>Dynamic Programming, Tree, Depth-First Search, Binary Search Tree, Binary Tree</t>
        </is>
      </c>
      <c r="G695" s="1" t="inlineStr">
        <is>
          <t>Hard</t>
        </is>
      </c>
      <c r="H695" s="1" t="n">
        <v>129273</v>
      </c>
      <c r="I695" s="1" t="n">
        <v>273822</v>
      </c>
      <c r="J695" s="9" t="n">
        <v>0.472</v>
      </c>
      <c r="K695" s="1" t="inlineStr">
        <is>
          <t>Yes</t>
        </is>
      </c>
      <c r="L695" s="1" t="inlineStr">
        <is>
          <t>No</t>
        </is>
      </c>
      <c r="M695" s="1" t="inlineStr">
        <is>
          <t>No</t>
        </is>
      </c>
      <c r="N695" s="1" t="inlineStr">
        <is>
          <t>Algorithms</t>
        </is>
      </c>
      <c r="O6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95" s="11" t="inlineStr">
        <is>
          <t>To Do</t>
        </is>
      </c>
    </row>
    <row r="696" ht="15.75" customHeight="1" s="12">
      <c r="A696" s="1" t="n">
        <v>584</v>
      </c>
      <c r="B696" s="3">
        <f>HYPERLINK("https://leetcode.com/problems/find-customer-referee/", "Find Customer Referee")</f>
        <v/>
      </c>
      <c r="C696" s="1" t="n">
        <v>2985</v>
      </c>
      <c r="D696" s="1" t="n">
        <v>413</v>
      </c>
      <c r="E696" s="4">
        <f>IF(INDEX(C:C, ROW())+INDEX(D:D, ROW())=0, 0, INDEX(C:C, ROW())/(INDEX(C:C, ROW())+INDEX(D:D, ROW())))</f>
        <v/>
      </c>
      <c r="F696" s="1" t="inlineStr">
        <is>
          <t>Database</t>
        </is>
      </c>
      <c r="G696" s="1" t="inlineStr">
        <is>
          <t>Easy</t>
        </is>
      </c>
      <c r="H696" s="1" t="n">
        <v>2116257</v>
      </c>
      <c r="I696" s="1" t="n">
        <v>2906631</v>
      </c>
      <c r="J696" s="9" t="n">
        <v>0.728</v>
      </c>
      <c r="K696" s="1" t="inlineStr">
        <is>
          <t>Yes</t>
        </is>
      </c>
      <c r="L696" s="1" t="inlineStr">
        <is>
          <t>Yes</t>
        </is>
      </c>
      <c r="M696" s="1" t="inlineStr">
        <is>
          <t>No</t>
        </is>
      </c>
      <c r="N696" s="1" t="inlineStr">
        <is>
          <t>Database</t>
        </is>
      </c>
      <c r="O6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96" s="13" t="inlineStr">
        <is>
          <t>Done</t>
        </is>
      </c>
    </row>
    <row r="697" ht="15.75" customHeight="1" s="12">
      <c r="A697" s="1" t="n">
        <v>1295</v>
      </c>
      <c r="B697" s="3">
        <f>HYPERLINK("https://leetcode.com/problems/find-numbers-with-even-number-of-digits/", "Find Numbers with Even Number of Digits")</f>
        <v/>
      </c>
      <c r="C697" s="1" t="n">
        <v>2970</v>
      </c>
      <c r="D697" s="1" t="n">
        <v>150</v>
      </c>
      <c r="E697" s="4">
        <f>IF(INDEX(C:C, ROW())+INDEX(D:D, ROW())=0, 0, INDEX(C:C, ROW())/(INDEX(C:C, ROW())+INDEX(D:D, ROW())))</f>
        <v/>
      </c>
      <c r="F697" s="1" t="inlineStr">
        <is>
          <t>Array, Math</t>
        </is>
      </c>
      <c r="G697" s="1" t="inlineStr">
        <is>
          <t>Easy</t>
        </is>
      </c>
      <c r="H697" s="1" t="n">
        <v>1079090</v>
      </c>
      <c r="I697" s="1" t="n">
        <v>1353420</v>
      </c>
      <c r="J697" s="9" t="n">
        <v>0.797</v>
      </c>
      <c r="K697" s="1" t="inlineStr">
        <is>
          <t>Yes</t>
        </is>
      </c>
      <c r="L697" s="1" t="inlineStr">
        <is>
          <t>Yes</t>
        </is>
      </c>
      <c r="M697" s="1" t="inlineStr">
        <is>
          <t>No</t>
        </is>
      </c>
      <c r="N697" s="1" t="inlineStr">
        <is>
          <t>Algorithms</t>
        </is>
      </c>
      <c r="O6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97" s="13" t="inlineStr">
        <is>
          <t>Done</t>
        </is>
      </c>
    </row>
    <row r="698" ht="15.75" customHeight="1" s="12">
      <c r="A698" s="1" t="n">
        <v>319</v>
      </c>
      <c r="B698" s="3">
        <f>HYPERLINK("https://leetcode.com/problems/bulb-switcher/", "Bulb Switcher")</f>
        <v/>
      </c>
      <c r="C698" s="1" t="n">
        <v>2968</v>
      </c>
      <c r="D698" s="1" t="n">
        <v>3243</v>
      </c>
      <c r="E698" s="4">
        <f>IF(INDEX(C:C, ROW())+INDEX(D:D, ROW())=0, 0, INDEX(C:C, ROW())/(INDEX(C:C, ROW())+INDEX(D:D, ROW())))</f>
        <v/>
      </c>
      <c r="F698" s="1" t="inlineStr">
        <is>
          <t>Math, Brainteaser</t>
        </is>
      </c>
      <c r="G698" s="1" t="inlineStr">
        <is>
          <t>Medium</t>
        </is>
      </c>
      <c r="H698" s="1" t="n">
        <v>307909</v>
      </c>
      <c r="I698" s="1" t="n">
        <v>551460</v>
      </c>
      <c r="J698" s="9" t="n">
        <v>0.5580000000000001</v>
      </c>
      <c r="K698" s="1" t="inlineStr">
        <is>
          <t>Yes</t>
        </is>
      </c>
      <c r="L698" s="1" t="inlineStr">
        <is>
          <t>Yes</t>
        </is>
      </c>
      <c r="M698" s="1" t="inlineStr">
        <is>
          <t>No</t>
        </is>
      </c>
      <c r="N698" s="1" t="inlineStr">
        <is>
          <t>Algorithms</t>
        </is>
      </c>
      <c r="O6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98" s="11" t="inlineStr">
        <is>
          <t>To Do</t>
        </is>
      </c>
    </row>
    <row r="699" ht="15.75" customHeight="1" s="12">
      <c r="A699" s="1" t="n">
        <v>2131</v>
      </c>
      <c r="B699" s="3">
        <f>HYPERLINK("https://leetcode.com/problems/longest-palindrome-by-concatenating-two-letter-words/", "Longest Palindrome by Concatenating Two Letter Words")</f>
        <v/>
      </c>
      <c r="C699" s="1" t="n">
        <v>2964</v>
      </c>
      <c r="D699" s="1" t="n">
        <v>79</v>
      </c>
      <c r="E699" s="4">
        <f>IF(INDEX(C:C, ROW())+INDEX(D:D, ROW())=0, 0, INDEX(C:C, ROW())/(INDEX(C:C, ROW())+INDEX(D:D, ROW())))</f>
        <v/>
      </c>
      <c r="F699" s="1" t="inlineStr">
        <is>
          <t>Array, Hash Table, String, Greedy, Counting</t>
        </is>
      </c>
      <c r="G699" s="1" t="inlineStr">
        <is>
          <t>Medium</t>
        </is>
      </c>
      <c r="H699" s="1" t="n">
        <v>244939</v>
      </c>
      <c r="I699" s="1" t="n">
        <v>457581</v>
      </c>
      <c r="J699" s="9" t="n">
        <v>0.535</v>
      </c>
      <c r="K699" s="1" t="inlineStr">
        <is>
          <t>Yes</t>
        </is>
      </c>
      <c r="L699" s="1" t="inlineStr">
        <is>
          <t>Yes</t>
        </is>
      </c>
      <c r="M699" s="1" t="inlineStr">
        <is>
          <t>No</t>
        </is>
      </c>
      <c r="N699" s="1" t="inlineStr">
        <is>
          <t>Algorithms</t>
        </is>
      </c>
      <c r="O6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699" s="11" t="inlineStr">
        <is>
          <t>To Do</t>
        </is>
      </c>
    </row>
    <row r="700" ht="15.75" customHeight="1" s="12">
      <c r="A700" s="1" t="n">
        <v>2140</v>
      </c>
      <c r="B700" s="3">
        <f>HYPERLINK("https://leetcode.com/problems/solving-questions-with-brainpower/", "Solving Questions With Brainpower")</f>
        <v/>
      </c>
      <c r="C700" s="1" t="n">
        <v>2955</v>
      </c>
      <c r="D700" s="1" t="n">
        <v>86</v>
      </c>
      <c r="E700" s="4">
        <f>IF(INDEX(C:C, ROW())+INDEX(D:D, ROW())=0, 0, INDEX(C:C, ROW())/(INDEX(C:C, ROW())+INDEX(D:D, ROW())))</f>
        <v/>
      </c>
      <c r="F700" s="1" t="inlineStr">
        <is>
          <t>Array, Dynamic Programming</t>
        </is>
      </c>
      <c r="G700" s="1" t="inlineStr">
        <is>
          <t>Medium</t>
        </is>
      </c>
      <c r="H700" s="1" t="n">
        <v>257505</v>
      </c>
      <c r="I700" s="1" t="n">
        <v>427404</v>
      </c>
      <c r="J700" s="9" t="n">
        <v>0.602</v>
      </c>
      <c r="K700" s="1" t="inlineStr">
        <is>
          <t>Yes</t>
        </is>
      </c>
      <c r="L700" s="1" t="inlineStr">
        <is>
          <t>Yes</t>
        </is>
      </c>
      <c r="M700" s="1" t="inlineStr">
        <is>
          <t>No</t>
        </is>
      </c>
      <c r="N700" s="1" t="inlineStr">
        <is>
          <t>Algorithms</t>
        </is>
      </c>
      <c r="O7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00" s="11" t="inlineStr">
        <is>
          <t>To Do</t>
        </is>
      </c>
    </row>
    <row r="701" ht="15.75" customHeight="1" s="12">
      <c r="A701" s="1" t="n">
        <v>801</v>
      </c>
      <c r="B701" s="3">
        <f>HYPERLINK("https://leetcode.com/problems/minimum-swaps-to-make-sequences-increasing/", "Minimum Swaps To Make Sequences Increasing")</f>
        <v/>
      </c>
      <c r="C701" s="1" t="n">
        <v>2951</v>
      </c>
      <c r="D701" s="1" t="n">
        <v>140</v>
      </c>
      <c r="E701" s="4">
        <f>IF(INDEX(C:C, ROW())+INDEX(D:D, ROW())=0, 0, INDEX(C:C, ROW())/(INDEX(C:C, ROW())+INDEX(D:D, ROW())))</f>
        <v/>
      </c>
      <c r="F701" s="1" t="inlineStr">
        <is>
          <t>Array, Dynamic Programming</t>
        </is>
      </c>
      <c r="G701" s="1" t="inlineStr">
        <is>
          <t>Hard</t>
        </is>
      </c>
      <c r="H701" s="1" t="n">
        <v>98945</v>
      </c>
      <c r="I701" s="1" t="n">
        <v>238648</v>
      </c>
      <c r="J701" s="9" t="n">
        <v>0.415</v>
      </c>
      <c r="K701" s="1" t="inlineStr">
        <is>
          <t>Yes</t>
        </is>
      </c>
      <c r="L701" s="1" t="inlineStr">
        <is>
          <t>Yes</t>
        </is>
      </c>
      <c r="M701" s="1" t="inlineStr">
        <is>
          <t>No</t>
        </is>
      </c>
      <c r="N701" s="1" t="inlineStr">
        <is>
          <t>Algorithms</t>
        </is>
      </c>
      <c r="O7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01" s="11" t="inlineStr">
        <is>
          <t>To Do</t>
        </is>
      </c>
    </row>
    <row r="702" ht="15.75" customHeight="1" s="12">
      <c r="A702" s="1" t="n">
        <v>1190</v>
      </c>
      <c r="B702" s="3">
        <f>HYPERLINK("https://leetcode.com/problems/reverse-substrings-between-each-pair-of-parentheses/", "Reverse Substrings Between Each Pair of Parentheses")</f>
        <v/>
      </c>
      <c r="C702" s="1" t="n">
        <v>2947</v>
      </c>
      <c r="D702" s="1" t="n">
        <v>131</v>
      </c>
      <c r="E702" s="4">
        <f>IF(INDEX(C:C, ROW())+INDEX(D:D, ROW())=0, 0, INDEX(C:C, ROW())/(INDEX(C:C, ROW())+INDEX(D:D, ROW())))</f>
        <v/>
      </c>
      <c r="F702" s="1" t="inlineStr">
        <is>
          <t>String, Stack</t>
        </is>
      </c>
      <c r="G702" s="1" t="inlineStr">
        <is>
          <t>Medium</t>
        </is>
      </c>
      <c r="H702" s="1" t="n">
        <v>245318</v>
      </c>
      <c r="I702" s="1" t="n">
        <v>340859</v>
      </c>
      <c r="J702" s="9" t="n">
        <v>0.72</v>
      </c>
      <c r="K702" s="1" t="inlineStr">
        <is>
          <t>Yes</t>
        </is>
      </c>
      <c r="L702" s="1" t="inlineStr">
        <is>
          <t>Yes</t>
        </is>
      </c>
      <c r="M702" s="1" t="inlineStr">
        <is>
          <t>No</t>
        </is>
      </c>
      <c r="N702" s="1" t="inlineStr">
        <is>
          <t>Algorithms</t>
        </is>
      </c>
      <c r="O7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02" s="11" t="inlineStr">
        <is>
          <t>To Do</t>
        </is>
      </c>
    </row>
    <row r="703" ht="15.75" customHeight="1" s="12">
      <c r="A703" s="1" t="n">
        <v>1528</v>
      </c>
      <c r="B703" s="3">
        <f>HYPERLINK("https://leetcode.com/problems/shuffle-string/", "Shuffle String")</f>
        <v/>
      </c>
      <c r="C703" s="1" t="n">
        <v>2943</v>
      </c>
      <c r="D703" s="1" t="n">
        <v>547</v>
      </c>
      <c r="E703" s="4">
        <f>IF(INDEX(C:C, ROW())+INDEX(D:D, ROW())=0, 0, INDEX(C:C, ROW())/(INDEX(C:C, ROW())+INDEX(D:D, ROW())))</f>
        <v/>
      </c>
      <c r="F703" s="1" t="inlineStr">
        <is>
          <t>Array, String</t>
        </is>
      </c>
      <c r="G703" s="1" t="inlineStr">
        <is>
          <t>Easy</t>
        </is>
      </c>
      <c r="H703" s="1" t="n">
        <v>497537</v>
      </c>
      <c r="I703" s="1" t="n">
        <v>582595</v>
      </c>
      <c r="J703" s="9" t="n">
        <v>0.854</v>
      </c>
      <c r="K703" s="1" t="inlineStr">
        <is>
          <t>Yes</t>
        </is>
      </c>
      <c r="L703" s="1" t="inlineStr">
        <is>
          <t>No</t>
        </is>
      </c>
      <c r="M703" s="1" t="inlineStr">
        <is>
          <t>No</t>
        </is>
      </c>
      <c r="N703" s="1" t="inlineStr">
        <is>
          <t>Algorithms</t>
        </is>
      </c>
      <c r="O7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03" s="13" t="inlineStr">
        <is>
          <t>Done</t>
        </is>
      </c>
    </row>
    <row r="704" ht="15.75" customHeight="1" s="12">
      <c r="A704" s="1" t="n">
        <v>1475</v>
      </c>
      <c r="B704" s="3">
        <f>HYPERLINK("https://leetcode.com/problems/final-prices-with-a-special-discount-in-a-shop/", "Final Prices With a Special Discount in a Shop")</f>
        <v/>
      </c>
      <c r="C704" s="1" t="n">
        <v>2942</v>
      </c>
      <c r="D704" s="1" t="n">
        <v>156</v>
      </c>
      <c r="E704" s="4">
        <f>IF(INDEX(C:C, ROW())+INDEX(D:D, ROW())=0, 0, INDEX(C:C, ROW())/(INDEX(C:C, ROW())+INDEX(D:D, ROW())))</f>
        <v/>
      </c>
      <c r="F704" s="1" t="inlineStr">
        <is>
          <t>Array, Stack, Monotonic Stack</t>
        </is>
      </c>
      <c r="G704" s="1" t="inlineStr">
        <is>
          <t>Easy</t>
        </is>
      </c>
      <c r="H704" s="1" t="n">
        <v>413245</v>
      </c>
      <c r="I704" s="1" t="n">
        <v>491259</v>
      </c>
      <c r="J704" s="9" t="n">
        <v>0.841</v>
      </c>
      <c r="K704" s="1" t="inlineStr">
        <is>
          <t>Yes</t>
        </is>
      </c>
      <c r="L704" s="1" t="inlineStr">
        <is>
          <t>Yes</t>
        </is>
      </c>
      <c r="M704" s="1" t="inlineStr">
        <is>
          <t>No</t>
        </is>
      </c>
      <c r="N704" s="1" t="inlineStr">
        <is>
          <t>Algorithms</t>
        </is>
      </c>
      <c r="O7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04" s="13" t="inlineStr">
        <is>
          <t>Done</t>
        </is>
      </c>
    </row>
    <row r="705" ht="15.75" customHeight="1" s="12">
      <c r="A705" s="1" t="n">
        <v>2616</v>
      </c>
      <c r="B705" s="3">
        <f>HYPERLINK("https://leetcode.com/problems/minimize-the-maximum-difference-of-pairs/", "Minimize the Maximum Difference of Pairs")</f>
        <v/>
      </c>
      <c r="C705" s="1" t="n">
        <v>2932</v>
      </c>
      <c r="D705" s="1" t="n">
        <v>330</v>
      </c>
      <c r="E705" s="4">
        <f>IF(INDEX(C:C, ROW())+INDEX(D:D, ROW())=0, 0, INDEX(C:C, ROW())/(INDEX(C:C, ROW())+INDEX(D:D, ROW())))</f>
        <v/>
      </c>
      <c r="F705" s="1" t="inlineStr">
        <is>
          <t>Array, Binary Search, Dynamic Programming, Greedy, Sorting</t>
        </is>
      </c>
      <c r="G705" s="1" t="inlineStr">
        <is>
          <t>Medium</t>
        </is>
      </c>
      <c r="H705" s="1" t="n">
        <v>170442</v>
      </c>
      <c r="I705" s="1" t="n">
        <v>334571</v>
      </c>
      <c r="J705" s="9" t="n">
        <v>0.509</v>
      </c>
      <c r="K705" s="1" t="inlineStr">
        <is>
          <t>Yes</t>
        </is>
      </c>
      <c r="L705" s="1" t="inlineStr">
        <is>
          <t>Yes</t>
        </is>
      </c>
      <c r="M705" s="1" t="inlineStr">
        <is>
          <t>No</t>
        </is>
      </c>
      <c r="N705" s="1" t="inlineStr">
        <is>
          <t>Algorithms</t>
        </is>
      </c>
      <c r="O7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05" s="11" t="inlineStr">
        <is>
          <t>To Do</t>
        </is>
      </c>
    </row>
    <row r="706" ht="15.75" customHeight="1" s="12">
      <c r="A706" s="1" t="n">
        <v>1221</v>
      </c>
      <c r="B706" s="3">
        <f>HYPERLINK("https://leetcode.com/problems/split-a-string-in-balanced-strings/", "Split a String in Balanced Strings")</f>
        <v/>
      </c>
      <c r="C706" s="1" t="n">
        <v>2921</v>
      </c>
      <c r="D706" s="1" t="n">
        <v>959</v>
      </c>
      <c r="E706" s="4">
        <f>IF(INDEX(C:C, ROW())+INDEX(D:D, ROW())=0, 0, INDEX(C:C, ROW())/(INDEX(C:C, ROW())+INDEX(D:D, ROW())))</f>
        <v/>
      </c>
      <c r="F706" s="1" t="inlineStr">
        <is>
          <t>String, Greedy, Counting</t>
        </is>
      </c>
      <c r="G706" s="1" t="inlineStr">
        <is>
          <t>Easy</t>
        </is>
      </c>
      <c r="H706" s="1" t="n">
        <v>389598</v>
      </c>
      <c r="I706" s="1" t="n">
        <v>445775</v>
      </c>
      <c r="J706" s="9" t="n">
        <v>0.874</v>
      </c>
      <c r="K706" s="1" t="inlineStr">
        <is>
          <t>Yes</t>
        </is>
      </c>
      <c r="L706" s="1" t="inlineStr">
        <is>
          <t>No</t>
        </is>
      </c>
      <c r="M706" s="1" t="inlineStr">
        <is>
          <t>No</t>
        </is>
      </c>
      <c r="N706" s="1" t="inlineStr">
        <is>
          <t>Algorithms</t>
        </is>
      </c>
      <c r="O7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06" s="13" t="inlineStr">
        <is>
          <t>Done</t>
        </is>
      </c>
    </row>
    <row r="707" ht="15.75" customHeight="1" s="12">
      <c r="A707" s="1" t="n">
        <v>1291</v>
      </c>
      <c r="B707" s="3">
        <f>HYPERLINK("https://leetcode.com/problems/sequential-digits/", "Sequential Digits")</f>
        <v/>
      </c>
      <c r="C707" s="1" t="n">
        <v>2917</v>
      </c>
      <c r="D707" s="1" t="n">
        <v>178</v>
      </c>
      <c r="E707" s="4">
        <f>IF(INDEX(C:C, ROW())+INDEX(D:D, ROW())=0, 0, INDEX(C:C, ROW())/(INDEX(C:C, ROW())+INDEX(D:D, ROW())))</f>
        <v/>
      </c>
      <c r="F707" s="1" t="inlineStr">
        <is>
          <t>Enumeration</t>
        </is>
      </c>
      <c r="G707" s="1" t="inlineStr">
        <is>
          <t>Medium</t>
        </is>
      </c>
      <c r="H707" s="1" t="n">
        <v>235837</v>
      </c>
      <c r="I707" s="1" t="n">
        <v>360837</v>
      </c>
      <c r="J707" s="9" t="n">
        <v>0.654</v>
      </c>
      <c r="K707" s="1" t="inlineStr">
        <is>
          <t>Yes</t>
        </is>
      </c>
      <c r="L707" s="1" t="inlineStr">
        <is>
          <t>Yes</t>
        </is>
      </c>
      <c r="M707" s="1" t="inlineStr">
        <is>
          <t>No</t>
        </is>
      </c>
      <c r="N707" s="1" t="inlineStr">
        <is>
          <t>Algorithms</t>
        </is>
      </c>
      <c r="O7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07" s="11" t="inlineStr">
        <is>
          <t>To Do</t>
        </is>
      </c>
    </row>
    <row r="708" ht="15.75" customHeight="1" s="12">
      <c r="A708" s="1" t="n">
        <v>1325</v>
      </c>
      <c r="B708" s="3">
        <f>HYPERLINK("https://leetcode.com/problems/delete-leaves-with-a-given-value/", "Delete Leaves With a Given Value")</f>
        <v/>
      </c>
      <c r="C708" s="1" t="n">
        <v>2910</v>
      </c>
      <c r="D708" s="1" t="n">
        <v>59</v>
      </c>
      <c r="E708" s="4">
        <f>IF(INDEX(C:C, ROW())+INDEX(D:D, ROW())=0, 0, INDEX(C:C, ROW())/(INDEX(C:C, ROW())+INDEX(D:D, ROW())))</f>
        <v/>
      </c>
      <c r="F708" s="1" t="inlineStr">
        <is>
          <t>Tree, Depth-First Search, Binary Tree</t>
        </is>
      </c>
      <c r="G708" s="1" t="inlineStr">
        <is>
          <t>Medium</t>
        </is>
      </c>
      <c r="H708" s="1" t="n">
        <v>257574</v>
      </c>
      <c r="I708" s="1" t="n">
        <v>333436</v>
      </c>
      <c r="J708" s="9" t="n">
        <v>0.772</v>
      </c>
      <c r="K708" s="1" t="inlineStr">
        <is>
          <t>Yes</t>
        </is>
      </c>
      <c r="L708" s="1" t="inlineStr">
        <is>
          <t>Yes</t>
        </is>
      </c>
      <c r="M708" s="1" t="inlineStr">
        <is>
          <t>No</t>
        </is>
      </c>
      <c r="N708" s="1" t="inlineStr">
        <is>
          <t>Algorithms</t>
        </is>
      </c>
      <c r="O7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08" s="11" t="inlineStr">
        <is>
          <t>To Do</t>
        </is>
      </c>
    </row>
    <row r="709" ht="15.75" customHeight="1" s="12">
      <c r="A709" s="1" t="n">
        <v>340</v>
      </c>
      <c r="B709" s="3">
        <f>HYPERLINK("https://leetcode.com/problems/longest-substring-with-at-most-k-distinct-characters/", "Longest Substring with At Most K Distinct Characters")</f>
        <v/>
      </c>
      <c r="C709" s="1" t="n">
        <v>2905</v>
      </c>
      <c r="D709" s="1" t="n">
        <v>81</v>
      </c>
      <c r="E709" s="4">
        <f>IF(INDEX(C:C, ROW())+INDEX(D:D, ROW())=0, 0, INDEX(C:C, ROW())/(INDEX(C:C, ROW())+INDEX(D:D, ROW())))</f>
        <v/>
      </c>
      <c r="F709" s="1" t="inlineStr">
        <is>
          <t>Hash Table, String, Sliding Window</t>
        </is>
      </c>
      <c r="G709" s="1" t="inlineStr">
        <is>
          <t>Medium</t>
        </is>
      </c>
      <c r="H709" s="1" t="n">
        <v>400033</v>
      </c>
      <c r="I709" s="1" t="n">
        <v>800148</v>
      </c>
      <c r="J709" s="9" t="n">
        <v>0.5</v>
      </c>
      <c r="K709" s="1" t="inlineStr">
        <is>
          <t>No</t>
        </is>
      </c>
      <c r="L709" s="1" t="inlineStr">
        <is>
          <t>Yes</t>
        </is>
      </c>
      <c r="M709" s="1" t="inlineStr">
        <is>
          <t>Yes</t>
        </is>
      </c>
      <c r="N709" s="1" t="inlineStr">
        <is>
          <t>Algorithms</t>
        </is>
      </c>
      <c r="O7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09" s="11" t="inlineStr">
        <is>
          <t>To Do</t>
        </is>
      </c>
    </row>
    <row r="710" ht="15.75" customHeight="1" s="12">
      <c r="A710" s="1" t="n">
        <v>489</v>
      </c>
      <c r="B710" s="3">
        <f>HYPERLINK("https://leetcode.com/problems/robot-room-cleaner/", "Robot Room Cleaner")</f>
        <v/>
      </c>
      <c r="C710" s="1" t="n">
        <v>2899</v>
      </c>
      <c r="D710" s="1" t="n">
        <v>193</v>
      </c>
      <c r="E710" s="4">
        <f>IF(INDEX(C:C, ROW())+INDEX(D:D, ROW())=0, 0, INDEX(C:C, ROW())/(INDEX(C:C, ROW())+INDEX(D:D, ROW())))</f>
        <v/>
      </c>
      <c r="F710" s="1" t="inlineStr">
        <is>
          <t>Backtracking, Interactive</t>
        </is>
      </c>
      <c r="G710" s="1" t="inlineStr">
        <is>
          <t>Hard</t>
        </is>
      </c>
      <c r="H710" s="1" t="n">
        <v>212183</v>
      </c>
      <c r="I710" s="1" t="n">
        <v>272067</v>
      </c>
      <c r="J710" s="9" t="n">
        <v>0.78</v>
      </c>
      <c r="K710" s="1" t="inlineStr">
        <is>
          <t>No</t>
        </is>
      </c>
      <c r="L710" s="1" t="inlineStr">
        <is>
          <t>Yes</t>
        </is>
      </c>
      <c r="M710" s="1" t="inlineStr">
        <is>
          <t>No</t>
        </is>
      </c>
      <c r="N710" s="1" t="inlineStr">
        <is>
          <t>Algorithms</t>
        </is>
      </c>
      <c r="O7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10" s="11" t="inlineStr">
        <is>
          <t>To Do</t>
        </is>
      </c>
    </row>
    <row r="711" ht="15.75" customHeight="1" s="12">
      <c r="A711" s="1" t="n">
        <v>1200</v>
      </c>
      <c r="B711" s="3">
        <f>HYPERLINK("https://leetcode.com/problems/minimum-absolute-difference/", "Minimum Absolute Difference")</f>
        <v/>
      </c>
      <c r="C711" s="1" t="n">
        <v>2893</v>
      </c>
      <c r="D711" s="1" t="n">
        <v>96</v>
      </c>
      <c r="E711" s="4">
        <f>IF(INDEX(C:C, ROW())+INDEX(D:D, ROW())=0, 0, INDEX(C:C, ROW())/(INDEX(C:C, ROW())+INDEX(D:D, ROW())))</f>
        <v/>
      </c>
      <c r="F711" s="1" t="inlineStr">
        <is>
          <t>Array, Sorting</t>
        </is>
      </c>
      <c r="G711" s="1" t="inlineStr">
        <is>
          <t>Easy</t>
        </is>
      </c>
      <c r="H711" s="1" t="n">
        <v>438704</v>
      </c>
      <c r="I711" s="1" t="n">
        <v>584077</v>
      </c>
      <c r="J711" s="9" t="n">
        <v>0.751</v>
      </c>
      <c r="K711" s="1" t="inlineStr">
        <is>
          <t>Yes</t>
        </is>
      </c>
      <c r="L711" s="1" t="inlineStr">
        <is>
          <t>Yes</t>
        </is>
      </c>
      <c r="M711" s="1" t="inlineStr">
        <is>
          <t>No</t>
        </is>
      </c>
      <c r="N711" s="1" t="inlineStr">
        <is>
          <t>Algorithms</t>
        </is>
      </c>
      <c r="O7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11" s="13" t="inlineStr">
        <is>
          <t>Done</t>
        </is>
      </c>
    </row>
    <row r="712" ht="15.75" customHeight="1" s="12">
      <c r="A712" s="1" t="n">
        <v>951</v>
      </c>
      <c r="B712" s="3">
        <f>HYPERLINK("https://leetcode.com/problems/flip-equivalent-binary-trees/", "Flip Equivalent Binary Trees")</f>
        <v/>
      </c>
      <c r="C712" s="1" t="n">
        <v>2891</v>
      </c>
      <c r="D712" s="1" t="n">
        <v>124</v>
      </c>
      <c r="E712" s="4">
        <f>IF(INDEX(C:C, ROW())+INDEX(D:D, ROW())=0, 0, INDEX(C:C, ROW())/(INDEX(C:C, ROW())+INDEX(D:D, ROW())))</f>
        <v/>
      </c>
      <c r="F712" s="1" t="inlineStr">
        <is>
          <t>Tree, Depth-First Search, Binary Tree</t>
        </is>
      </c>
      <c r="G712" s="1" t="inlineStr">
        <is>
          <t>Medium</t>
        </is>
      </c>
      <c r="H712" s="1" t="n">
        <v>269658</v>
      </c>
      <c r="I712" s="1" t="n">
        <v>387912</v>
      </c>
      <c r="J712" s="9" t="n">
        <v>0.695</v>
      </c>
      <c r="K712" s="1" t="inlineStr">
        <is>
          <t>Yes</t>
        </is>
      </c>
      <c r="L712" s="1" t="inlineStr">
        <is>
          <t>Yes</t>
        </is>
      </c>
      <c r="M712" s="1" t="inlineStr">
        <is>
          <t>No</t>
        </is>
      </c>
      <c r="N712" s="1" t="inlineStr">
        <is>
          <t>Algorithms</t>
        </is>
      </c>
      <c r="O7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12" s="11" t="inlineStr">
        <is>
          <t>To Do</t>
        </is>
      </c>
    </row>
    <row r="713" ht="15.75" customHeight="1" s="12">
      <c r="A713" s="1" t="n">
        <v>967</v>
      </c>
      <c r="B713" s="3">
        <f>HYPERLINK("https://leetcode.com/problems/numbers-with-same-consecutive-differences/", "Numbers With Same Consecutive Differences")</f>
        <v/>
      </c>
      <c r="C713" s="1" t="n">
        <v>2890</v>
      </c>
      <c r="D713" s="1" t="n">
        <v>200</v>
      </c>
      <c r="E713" s="4">
        <f>IF(INDEX(C:C, ROW())+INDEX(D:D, ROW())=0, 0, INDEX(C:C, ROW())/(INDEX(C:C, ROW())+INDEX(D:D, ROW())))</f>
        <v/>
      </c>
      <c r="F713" s="1" t="inlineStr">
        <is>
          <t>Backtracking, Breadth-First Search</t>
        </is>
      </c>
      <c r="G713" s="1" t="inlineStr">
        <is>
          <t>Medium</t>
        </is>
      </c>
      <c r="H713" s="1" t="n">
        <v>157046</v>
      </c>
      <c r="I713" s="1" t="n">
        <v>265329</v>
      </c>
      <c r="J713" s="9" t="n">
        <v>0.592</v>
      </c>
      <c r="K713" s="1" t="inlineStr">
        <is>
          <t>Yes</t>
        </is>
      </c>
      <c r="L713" s="1" t="inlineStr">
        <is>
          <t>Yes</t>
        </is>
      </c>
      <c r="M713" s="1" t="inlineStr">
        <is>
          <t>No</t>
        </is>
      </c>
      <c r="N713" s="1" t="inlineStr">
        <is>
          <t>Algorithms</t>
        </is>
      </c>
      <c r="O7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13" s="11" t="inlineStr">
        <is>
          <t>To Do</t>
        </is>
      </c>
    </row>
    <row r="714" ht="15.75" customHeight="1" s="12">
      <c r="A714" s="1" t="n">
        <v>1590</v>
      </c>
      <c r="B714" s="3">
        <f>HYPERLINK("https://leetcode.com/problems/make-sum-divisible-by-p/", "Make Sum Divisible by P")</f>
        <v/>
      </c>
      <c r="C714" s="1" t="n">
        <v>2890</v>
      </c>
      <c r="D714" s="1" t="n">
        <v>197</v>
      </c>
      <c r="E714" s="4">
        <f>IF(INDEX(C:C, ROW())+INDEX(D:D, ROW())=0, 0, INDEX(C:C, ROW())/(INDEX(C:C, ROW())+INDEX(D:D, ROW())))</f>
        <v/>
      </c>
      <c r="F714" s="1" t="inlineStr">
        <is>
          <t>Array, Hash Table, Prefix Sum</t>
        </is>
      </c>
      <c r="G714" s="1" t="inlineStr">
        <is>
          <t>Medium</t>
        </is>
      </c>
      <c r="H714" s="1" t="n">
        <v>228303</v>
      </c>
      <c r="I714" s="1" t="n">
        <v>535429</v>
      </c>
      <c r="J714" s="9" t="n">
        <v>0.426</v>
      </c>
      <c r="K714" s="1" t="inlineStr">
        <is>
          <t>Yes</t>
        </is>
      </c>
      <c r="L714" s="1" t="inlineStr">
        <is>
          <t>Yes</t>
        </is>
      </c>
      <c r="M714" s="1" t="inlineStr">
        <is>
          <t>No</t>
        </is>
      </c>
      <c r="N714" s="1" t="inlineStr">
        <is>
          <t>Algorithms</t>
        </is>
      </c>
      <c r="O7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14" s="11" t="inlineStr">
        <is>
          <t>To Do</t>
        </is>
      </c>
    </row>
    <row r="715" ht="15.75" customHeight="1" s="12">
      <c r="A715" s="1" t="n">
        <v>686</v>
      </c>
      <c r="B715" s="3">
        <f>HYPERLINK("https://leetcode.com/problems/repeated-string-match/", "Repeated String Match")</f>
        <v/>
      </c>
      <c r="C715" s="1" t="n">
        <v>2887</v>
      </c>
      <c r="D715" s="1" t="n">
        <v>1011</v>
      </c>
      <c r="E715" s="4">
        <f>IF(INDEX(C:C, ROW())+INDEX(D:D, ROW())=0, 0, INDEX(C:C, ROW())/(INDEX(C:C, ROW())+INDEX(D:D, ROW())))</f>
        <v/>
      </c>
      <c r="F715" s="1" t="inlineStr">
        <is>
          <t>String, String Matching</t>
        </is>
      </c>
      <c r="G715" s="1" t="inlineStr">
        <is>
          <t>Medium</t>
        </is>
      </c>
      <c r="H715" s="1" t="n">
        <v>260648</v>
      </c>
      <c r="I715" s="1" t="n">
        <v>671599</v>
      </c>
      <c r="J715" s="9" t="n">
        <v>0.388</v>
      </c>
      <c r="K715" s="1" t="inlineStr">
        <is>
          <t>Yes</t>
        </is>
      </c>
      <c r="L715" s="1" t="inlineStr">
        <is>
          <t>Yes</t>
        </is>
      </c>
      <c r="M715" s="1" t="inlineStr">
        <is>
          <t>No</t>
        </is>
      </c>
      <c r="N715" s="1" t="inlineStr">
        <is>
          <t>Algorithms</t>
        </is>
      </c>
      <c r="O7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15" s="11" t="inlineStr">
        <is>
          <t>To Do</t>
        </is>
      </c>
    </row>
    <row r="716" ht="15.75" customHeight="1" s="12">
      <c r="A716" s="1" t="n">
        <v>1061</v>
      </c>
      <c r="B716" s="3">
        <f>HYPERLINK("https://leetcode.com/problems/lexicographically-smallest-equivalent-string/", "Lexicographically Smallest Equivalent String")</f>
        <v/>
      </c>
      <c r="C716" s="1" t="n">
        <v>2887</v>
      </c>
      <c r="D716" s="1" t="n">
        <v>186</v>
      </c>
      <c r="E716" s="4">
        <f>IF(INDEX(C:C, ROW())+INDEX(D:D, ROW())=0, 0, INDEX(C:C, ROW())/(INDEX(C:C, ROW())+INDEX(D:D, ROW())))</f>
        <v/>
      </c>
      <c r="F716" s="1" t="inlineStr">
        <is>
          <t>String, Union-Find</t>
        </is>
      </c>
      <c r="G716" s="1" t="inlineStr">
        <is>
          <t>Medium</t>
        </is>
      </c>
      <c r="H716" s="1" t="n">
        <v>182524</v>
      </c>
      <c r="I716" s="1" t="n">
        <v>224914</v>
      </c>
      <c r="J716" s="9" t="n">
        <v>0.8120000000000001</v>
      </c>
      <c r="K716" s="1" t="inlineStr">
        <is>
          <t>Yes</t>
        </is>
      </c>
      <c r="L716" s="1" t="inlineStr">
        <is>
          <t>Yes</t>
        </is>
      </c>
      <c r="M716" s="1" t="inlineStr">
        <is>
          <t>No</t>
        </is>
      </c>
      <c r="N716" s="1" t="inlineStr">
        <is>
          <t>Algorithms</t>
        </is>
      </c>
      <c r="O7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16" s="11" t="inlineStr">
        <is>
          <t>To Do</t>
        </is>
      </c>
    </row>
    <row r="717" ht="15.75" customHeight="1" s="12">
      <c r="A717" s="1" t="n">
        <v>559</v>
      </c>
      <c r="B717" s="3">
        <f>HYPERLINK("https://leetcode.com/problems/maximum-depth-of-n-ary-tree/", "Maximum Depth of N-ary Tree")</f>
        <v/>
      </c>
      <c r="C717" s="1" t="n">
        <v>2878</v>
      </c>
      <c r="D717" s="1" t="n">
        <v>96</v>
      </c>
      <c r="E717" s="4">
        <f>IF(INDEX(C:C, ROW())+INDEX(D:D, ROW())=0, 0, INDEX(C:C, ROW())/(INDEX(C:C, ROW())+INDEX(D:D, ROW())))</f>
        <v/>
      </c>
      <c r="F717" s="1" t="inlineStr">
        <is>
          <t>Tree, Depth-First Search, Breadth-First Search</t>
        </is>
      </c>
      <c r="G717" s="1" t="inlineStr">
        <is>
          <t>Easy</t>
        </is>
      </c>
      <c r="H717" s="1" t="n">
        <v>356427</v>
      </c>
      <c r="I717" s="1" t="n">
        <v>484613</v>
      </c>
      <c r="J717" s="9" t="n">
        <v>0.735</v>
      </c>
      <c r="K717" s="1" t="inlineStr">
        <is>
          <t>Yes</t>
        </is>
      </c>
      <c r="L717" s="1" t="inlineStr">
        <is>
          <t>Yes</t>
        </is>
      </c>
      <c r="M717" s="1" t="inlineStr">
        <is>
          <t>No</t>
        </is>
      </c>
      <c r="N717" s="1" t="inlineStr">
        <is>
          <t>Algorithms</t>
        </is>
      </c>
      <c r="O7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17" s="13" t="inlineStr">
        <is>
          <t>Done</t>
        </is>
      </c>
    </row>
    <row r="718" ht="15.75" customHeight="1" s="12">
      <c r="A718" s="1" t="n">
        <v>1299</v>
      </c>
      <c r="B718" s="3">
        <f>HYPERLINK("https://leetcode.com/problems/replace-elements-with-greatest-element-on-right-side/", "Replace Elements with Greatest Element on Right Side")</f>
        <v/>
      </c>
      <c r="C718" s="1" t="n">
        <v>2875</v>
      </c>
      <c r="D718" s="1" t="n">
        <v>268</v>
      </c>
      <c r="E718" s="4">
        <f>IF(INDEX(C:C, ROW())+INDEX(D:D, ROW())=0, 0, INDEX(C:C, ROW())/(INDEX(C:C, ROW())+INDEX(D:D, ROW())))</f>
        <v/>
      </c>
      <c r="F718" s="1" t="inlineStr">
        <is>
          <t>Array</t>
        </is>
      </c>
      <c r="G718" s="1" t="inlineStr">
        <is>
          <t>Easy</t>
        </is>
      </c>
      <c r="H718" s="1" t="n">
        <v>543765</v>
      </c>
      <c r="I718" s="1" t="n">
        <v>753652</v>
      </c>
      <c r="J718" s="9" t="n">
        <v>0.722</v>
      </c>
      <c r="K718" s="1" t="inlineStr">
        <is>
          <t>Yes</t>
        </is>
      </c>
      <c r="L718" s="1" t="inlineStr">
        <is>
          <t>No</t>
        </is>
      </c>
      <c r="M718" s="1" t="inlineStr">
        <is>
          <t>No</t>
        </is>
      </c>
      <c r="N718" s="1" t="inlineStr">
        <is>
          <t>Algorithms</t>
        </is>
      </c>
      <c r="O7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18" s="13" t="inlineStr">
        <is>
          <t>Done</t>
        </is>
      </c>
    </row>
    <row r="719" ht="15.75" customHeight="1" s="12">
      <c r="A719" s="1" t="n">
        <v>1356</v>
      </c>
      <c r="B719" s="3">
        <f>HYPERLINK("https://leetcode.com/problems/sort-integers-by-the-number-of-1-bits/", "Sort Integers by The Number of 1 Bits")</f>
        <v/>
      </c>
      <c r="C719" s="1" t="n">
        <v>2869</v>
      </c>
      <c r="D719" s="1" t="n">
        <v>138</v>
      </c>
      <c r="E719" s="4">
        <f>IF(INDEX(C:C, ROW())+INDEX(D:D, ROW())=0, 0, INDEX(C:C, ROW())/(INDEX(C:C, ROW())+INDEX(D:D, ROW())))</f>
        <v/>
      </c>
      <c r="F719" s="1" t="inlineStr">
        <is>
          <t>Array, Bit Manipulation, Sorting, Counting</t>
        </is>
      </c>
      <c r="G719" s="1" t="inlineStr">
        <is>
          <t>Easy</t>
        </is>
      </c>
      <c r="H719" s="1" t="n">
        <v>395876</v>
      </c>
      <c r="I719" s="1" t="n">
        <v>480898</v>
      </c>
      <c r="J719" s="9" t="n">
        <v>0.823</v>
      </c>
      <c r="K719" s="1" t="inlineStr">
        <is>
          <t>Yes</t>
        </is>
      </c>
      <c r="L719" s="1" t="inlineStr">
        <is>
          <t>Yes</t>
        </is>
      </c>
      <c r="M719" s="1" t="inlineStr">
        <is>
          <t>No</t>
        </is>
      </c>
      <c r="N719" s="1" t="inlineStr">
        <is>
          <t>Algorithms</t>
        </is>
      </c>
      <c r="O7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19" s="13" t="inlineStr">
        <is>
          <t>Done</t>
        </is>
      </c>
    </row>
    <row r="720" ht="15.75" customHeight="1" s="12">
      <c r="A720" s="1" t="n">
        <v>1930</v>
      </c>
      <c r="B720" s="3">
        <f>HYPERLINK("https://leetcode.com/problems/unique-length-3-palindromic-subsequences/", "Unique Length-3 Palindromic Subsequences")</f>
        <v/>
      </c>
      <c r="C720" s="1" t="n">
        <v>2869</v>
      </c>
      <c r="D720" s="1" t="n">
        <v>108</v>
      </c>
      <c r="E720" s="4">
        <f>IF(INDEX(C:C, ROW())+INDEX(D:D, ROW())=0, 0, INDEX(C:C, ROW())/(INDEX(C:C, ROW())+INDEX(D:D, ROW())))</f>
        <v/>
      </c>
      <c r="F720" s="1" t="inlineStr">
        <is>
          <t>Hash Table, String, Bit Manipulation, Prefix Sum</t>
        </is>
      </c>
      <c r="G720" s="1" t="inlineStr">
        <is>
          <t>Medium</t>
        </is>
      </c>
      <c r="H720" s="1" t="n">
        <v>368546</v>
      </c>
      <c r="I720" s="1" t="n">
        <v>499641</v>
      </c>
      <c r="J720" s="9" t="n">
        <v>0.738</v>
      </c>
      <c r="K720" s="1" t="inlineStr">
        <is>
          <t>Yes</t>
        </is>
      </c>
      <c r="L720" s="1" t="inlineStr">
        <is>
          <t>Yes</t>
        </is>
      </c>
      <c r="M720" s="1" t="inlineStr">
        <is>
          <t>No</t>
        </is>
      </c>
      <c r="N720" s="1" t="inlineStr">
        <is>
          <t>Algorithms</t>
        </is>
      </c>
      <c r="O7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20" s="11" t="inlineStr">
        <is>
          <t>To Do</t>
        </is>
      </c>
    </row>
    <row r="721" ht="15.75" customHeight="1" s="12">
      <c r="A721" s="1" t="n">
        <v>962</v>
      </c>
      <c r="B721" s="3">
        <f>HYPERLINK("https://leetcode.com/problems/maximum-width-ramp/", "Maximum Width Ramp")</f>
        <v/>
      </c>
      <c r="C721" s="1" t="n">
        <v>2860</v>
      </c>
      <c r="D721" s="1" t="n">
        <v>98</v>
      </c>
      <c r="E721" s="4">
        <f>IF(INDEX(C:C, ROW())+INDEX(D:D, ROW())=0, 0, INDEX(C:C, ROW())/(INDEX(C:C, ROW())+INDEX(D:D, ROW())))</f>
        <v/>
      </c>
      <c r="F721" s="1" t="inlineStr">
        <is>
          <t>Array, Two Pointers, Stack, Monotonic Stack</t>
        </is>
      </c>
      <c r="G721" s="1" t="inlineStr">
        <is>
          <t>Medium</t>
        </is>
      </c>
      <c r="H721" s="1" t="n">
        <v>208093</v>
      </c>
      <c r="I721" s="1" t="n">
        <v>372373</v>
      </c>
      <c r="J721" s="9" t="n">
        <v>0.5590000000000001</v>
      </c>
      <c r="K721" s="1" t="inlineStr">
        <is>
          <t>Yes</t>
        </is>
      </c>
      <c r="L721" s="1" t="inlineStr">
        <is>
          <t>Yes</t>
        </is>
      </c>
      <c r="M721" s="1" t="inlineStr">
        <is>
          <t>No</t>
        </is>
      </c>
      <c r="N721" s="1" t="inlineStr">
        <is>
          <t>Algorithms</t>
        </is>
      </c>
      <c r="O7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21" s="11" t="inlineStr">
        <is>
          <t>To Do</t>
        </is>
      </c>
    </row>
    <row r="722" ht="15.75" customHeight="1" s="12">
      <c r="A722" s="1" t="n">
        <v>1089</v>
      </c>
      <c r="B722" s="3">
        <f>HYPERLINK("https://leetcode.com/problems/duplicate-zeros/", "Duplicate Zeros")</f>
        <v/>
      </c>
      <c r="C722" s="1" t="n">
        <v>2859</v>
      </c>
      <c r="D722" s="1" t="n">
        <v>798</v>
      </c>
      <c r="E722" s="4">
        <f>IF(INDEX(C:C, ROW())+INDEX(D:D, ROW())=0, 0, INDEX(C:C, ROW())/(INDEX(C:C, ROW())+INDEX(D:D, ROW())))</f>
        <v/>
      </c>
      <c r="F722" s="1" t="inlineStr">
        <is>
          <t>Array, Two Pointers</t>
        </is>
      </c>
      <c r="G722" s="1" t="inlineStr">
        <is>
          <t>Easy</t>
        </is>
      </c>
      <c r="H722" s="1" t="n">
        <v>552841</v>
      </c>
      <c r="I722" s="1" t="n">
        <v>1032094</v>
      </c>
      <c r="J722" s="9" t="n">
        <v>0.536</v>
      </c>
      <c r="K722" s="1" t="inlineStr">
        <is>
          <t>Yes</t>
        </is>
      </c>
      <c r="L722" s="1" t="inlineStr">
        <is>
          <t>Yes</t>
        </is>
      </c>
      <c r="M722" s="1" t="inlineStr">
        <is>
          <t>No</t>
        </is>
      </c>
      <c r="N722" s="1" t="inlineStr">
        <is>
          <t>Algorithms</t>
        </is>
      </c>
      <c r="O7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22" s="13" t="inlineStr">
        <is>
          <t>Done</t>
        </is>
      </c>
    </row>
    <row r="723" ht="15.75" customHeight="1" s="12">
      <c r="A723" s="1" t="n">
        <v>1980</v>
      </c>
      <c r="B723" s="3">
        <f>HYPERLINK("https://leetcode.com/problems/find-unique-binary-string/", "Find Unique Binary String")</f>
        <v/>
      </c>
      <c r="C723" s="1" t="n">
        <v>2858</v>
      </c>
      <c r="D723" s="1" t="n">
        <v>99</v>
      </c>
      <c r="E723" s="4">
        <f>IF(INDEX(C:C, ROW())+INDEX(D:D, ROW())=0, 0, INDEX(C:C, ROW())/(INDEX(C:C, ROW())+INDEX(D:D, ROW())))</f>
        <v/>
      </c>
      <c r="F723" s="1" t="inlineStr">
        <is>
          <t>Array, Hash Table, String, Backtracking</t>
        </is>
      </c>
      <c r="G723" s="1" t="inlineStr">
        <is>
          <t>Medium</t>
        </is>
      </c>
      <c r="H723" s="1" t="n">
        <v>413846</v>
      </c>
      <c r="I723" s="1" t="n">
        <v>509414</v>
      </c>
      <c r="J723" s="9" t="n">
        <v>0.8120000000000001</v>
      </c>
      <c r="K723" s="1" t="inlineStr">
        <is>
          <t>Yes</t>
        </is>
      </c>
      <c r="L723" s="1" t="inlineStr">
        <is>
          <t>Yes</t>
        </is>
      </c>
      <c r="M723" s="1" t="inlineStr">
        <is>
          <t>No</t>
        </is>
      </c>
      <c r="N723" s="1" t="inlineStr">
        <is>
          <t>Algorithms</t>
        </is>
      </c>
      <c r="O7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23" s="11" t="inlineStr">
        <is>
          <t>To Do</t>
        </is>
      </c>
    </row>
    <row r="724" ht="15.75" customHeight="1" s="12">
      <c r="A724" s="1" t="n">
        <v>594</v>
      </c>
      <c r="B724" s="3">
        <f>HYPERLINK("https://leetcode.com/problems/longest-harmonious-subsequence/", "Longest Harmonious Subsequence")</f>
        <v/>
      </c>
      <c r="C724" s="1" t="n">
        <v>2854</v>
      </c>
      <c r="D724" s="1" t="n">
        <v>353</v>
      </c>
      <c r="E724" s="4">
        <f>IF(INDEX(C:C, ROW())+INDEX(D:D, ROW())=0, 0, INDEX(C:C, ROW())/(INDEX(C:C, ROW())+INDEX(D:D, ROW())))</f>
        <v/>
      </c>
      <c r="F724" s="1" t="inlineStr">
        <is>
          <t>Array, Hash Table, Sliding Window, Sorting, Counting</t>
        </is>
      </c>
      <c r="G724" s="1" t="inlineStr">
        <is>
          <t>Easy</t>
        </is>
      </c>
      <c r="H724" s="1" t="n">
        <v>387668</v>
      </c>
      <c r="I724" s="1" t="n">
        <v>599651</v>
      </c>
      <c r="J724" s="9" t="n">
        <v>0.646</v>
      </c>
      <c r="K724" s="1" t="inlineStr">
        <is>
          <t>Yes</t>
        </is>
      </c>
      <c r="L724" s="1" t="inlineStr">
        <is>
          <t>Yes</t>
        </is>
      </c>
      <c r="M724" s="1" t="inlineStr">
        <is>
          <t>No</t>
        </is>
      </c>
      <c r="N724" s="1" t="inlineStr">
        <is>
          <t>Algorithms</t>
        </is>
      </c>
      <c r="O7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24" s="13" t="inlineStr">
        <is>
          <t>Done</t>
        </is>
      </c>
    </row>
    <row r="725" ht="15.75" customHeight="1" s="12">
      <c r="A725" s="1" t="n">
        <v>1760</v>
      </c>
      <c r="B725" s="3">
        <f>HYPERLINK("https://leetcode.com/problems/minimum-limit-of-balls-in-a-bag/", "Minimum Limit of Balls in a Bag")</f>
        <v/>
      </c>
      <c r="C725" s="1" t="n">
        <v>2854</v>
      </c>
      <c r="D725" s="1" t="n">
        <v>106</v>
      </c>
      <c r="E725" s="4">
        <f>IF(INDEX(C:C, ROW())+INDEX(D:D, ROW())=0, 0, INDEX(C:C, ROW())/(INDEX(C:C, ROW())+INDEX(D:D, ROW())))</f>
        <v/>
      </c>
      <c r="F725" s="1" t="inlineStr">
        <is>
          <t>Array, Binary Search</t>
        </is>
      </c>
      <c r="G725" s="1" t="inlineStr">
        <is>
          <t>Medium</t>
        </is>
      </c>
      <c r="H725" s="1" t="n">
        <v>154643</v>
      </c>
      <c r="I725" s="1" t="n">
        <v>233166</v>
      </c>
      <c r="J725" s="9" t="n">
        <v>0.663</v>
      </c>
      <c r="K725" s="1" t="inlineStr">
        <is>
          <t>Yes</t>
        </is>
      </c>
      <c r="L725" s="1" t="inlineStr">
        <is>
          <t>Yes</t>
        </is>
      </c>
      <c r="M725" s="1" t="inlineStr">
        <is>
          <t>No</t>
        </is>
      </c>
      <c r="N725" s="1" t="inlineStr">
        <is>
          <t>Algorithms</t>
        </is>
      </c>
      <c r="O7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25" s="11" t="inlineStr">
        <is>
          <t>To Do</t>
        </is>
      </c>
    </row>
    <row r="726" ht="15.75" customHeight="1" s="12">
      <c r="A726" s="1" t="n">
        <v>2244</v>
      </c>
      <c r="B726" s="3">
        <f>HYPERLINK("https://leetcode.com/problems/minimum-rounds-to-complete-all-tasks/", "Minimum Rounds to Complete All Tasks")</f>
        <v/>
      </c>
      <c r="C726" s="1" t="n">
        <v>2853</v>
      </c>
      <c r="D726" s="1" t="n">
        <v>85</v>
      </c>
      <c r="E726" s="4">
        <f>IF(INDEX(C:C, ROW())+INDEX(D:D, ROW())=0, 0, INDEX(C:C, ROW())/(INDEX(C:C, ROW())+INDEX(D:D, ROW())))</f>
        <v/>
      </c>
      <c r="F726" s="1" t="inlineStr">
        <is>
          <t>Array, Hash Table, Greedy, Counting</t>
        </is>
      </c>
      <c r="G726" s="1" t="inlineStr">
        <is>
          <t>Medium</t>
        </is>
      </c>
      <c r="H726" s="1" t="n">
        <v>173899</v>
      </c>
      <c r="I726" s="1" t="n">
        <v>274722</v>
      </c>
      <c r="J726" s="9" t="n">
        <v>0.633</v>
      </c>
      <c r="K726" s="1" t="inlineStr">
        <is>
          <t>Yes</t>
        </is>
      </c>
      <c r="L726" s="1" t="inlineStr">
        <is>
          <t>Yes</t>
        </is>
      </c>
      <c r="M726" s="1" t="inlineStr">
        <is>
          <t>No</t>
        </is>
      </c>
      <c r="N726" s="1" t="inlineStr">
        <is>
          <t>Algorithms</t>
        </is>
      </c>
      <c r="O7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26" s="11" t="inlineStr">
        <is>
          <t>To Do</t>
        </is>
      </c>
    </row>
    <row r="727" ht="15.75" customHeight="1" s="12">
      <c r="A727" s="1" t="n">
        <v>1009</v>
      </c>
      <c r="B727" s="3">
        <f>HYPERLINK("https://leetcode.com/problems/complement-of-base-10-integer/", "Complement of Base 10 Integer")</f>
        <v/>
      </c>
      <c r="C727" s="1" t="n">
        <v>2848</v>
      </c>
      <c r="D727" s="1" t="n">
        <v>145</v>
      </c>
      <c r="E727" s="4">
        <f>IF(INDEX(C:C, ROW())+INDEX(D:D, ROW())=0, 0, INDEX(C:C, ROW())/(INDEX(C:C, ROW())+INDEX(D:D, ROW())))</f>
        <v/>
      </c>
      <c r="F727" s="1" t="inlineStr">
        <is>
          <t>Bit Manipulation</t>
        </is>
      </c>
      <c r="G727" s="1" t="inlineStr">
        <is>
          <t>Easy</t>
        </is>
      </c>
      <c r="H727" s="1" t="n">
        <v>444442</v>
      </c>
      <c r="I727" s="1" t="n">
        <v>701484</v>
      </c>
      <c r="J727" s="9" t="n">
        <v>0.634</v>
      </c>
      <c r="K727" s="1" t="inlineStr">
        <is>
          <t>Yes</t>
        </is>
      </c>
      <c r="L727" s="1" t="inlineStr">
        <is>
          <t>Yes</t>
        </is>
      </c>
      <c r="M727" s="1" t="inlineStr">
        <is>
          <t>No</t>
        </is>
      </c>
      <c r="N727" s="1" t="inlineStr">
        <is>
          <t>Algorithms</t>
        </is>
      </c>
      <c r="O7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27" s="13" t="inlineStr">
        <is>
          <t>Done</t>
        </is>
      </c>
    </row>
    <row r="728" ht="15.75" customHeight="1" s="12">
      <c r="A728" s="1" t="n">
        <v>1614</v>
      </c>
      <c r="B728" s="3">
        <f>HYPERLINK("https://leetcode.com/problems/maximum-nesting-depth-of-the-parentheses/", "Maximum Nesting Depth of the Parentheses")</f>
        <v/>
      </c>
      <c r="C728" s="1" t="n">
        <v>2848</v>
      </c>
      <c r="D728" s="1" t="n">
        <v>525</v>
      </c>
      <c r="E728" s="4">
        <f>IF(INDEX(C:C, ROW())+INDEX(D:D, ROW())=0, 0, INDEX(C:C, ROW())/(INDEX(C:C, ROW())+INDEX(D:D, ROW())))</f>
        <v/>
      </c>
      <c r="F728" s="1" t="inlineStr">
        <is>
          <t>String, Stack</t>
        </is>
      </c>
      <c r="G728" s="1" t="inlineStr">
        <is>
          <t>Easy</t>
        </is>
      </c>
      <c r="H728" s="1" t="n">
        <v>555923</v>
      </c>
      <c r="I728" s="1" t="n">
        <v>655163</v>
      </c>
      <c r="J728" s="9" t="n">
        <v>0.849</v>
      </c>
      <c r="K728" s="1" t="inlineStr">
        <is>
          <t>Yes</t>
        </is>
      </c>
      <c r="L728" s="1" t="inlineStr">
        <is>
          <t>Yes</t>
        </is>
      </c>
      <c r="M728" s="1" t="inlineStr">
        <is>
          <t>No</t>
        </is>
      </c>
      <c r="N728" s="1" t="inlineStr">
        <is>
          <t>Algorithms</t>
        </is>
      </c>
      <c r="O7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28" s="13" t="inlineStr">
        <is>
          <t>Done</t>
        </is>
      </c>
    </row>
    <row r="729" ht="15.75" customHeight="1" s="12">
      <c r="A729" s="1" t="n">
        <v>991</v>
      </c>
      <c r="B729" s="3">
        <f>HYPERLINK("https://leetcode.com/problems/broken-calculator/", "Broken Calculator")</f>
        <v/>
      </c>
      <c r="C729" s="1" t="n">
        <v>2843</v>
      </c>
      <c r="D729" s="1" t="n">
        <v>218</v>
      </c>
      <c r="E729" s="4">
        <f>IF(INDEX(C:C, ROW())+INDEX(D:D, ROW())=0, 0, INDEX(C:C, ROW())/(INDEX(C:C, ROW())+INDEX(D:D, ROW())))</f>
        <v/>
      </c>
      <c r="F729" s="1" t="inlineStr">
        <is>
          <t>Math, Greedy</t>
        </is>
      </c>
      <c r="G729" s="1" t="inlineStr">
        <is>
          <t>Medium</t>
        </is>
      </c>
      <c r="H729" s="1" t="n">
        <v>123321</v>
      </c>
      <c r="I729" s="1" t="n">
        <v>219882</v>
      </c>
      <c r="J729" s="9" t="n">
        <v>0.5610000000000001</v>
      </c>
      <c r="K729" s="1" t="inlineStr">
        <is>
          <t>Yes</t>
        </is>
      </c>
      <c r="L729" s="1" t="inlineStr">
        <is>
          <t>Yes</t>
        </is>
      </c>
      <c r="M729" s="1" t="inlineStr">
        <is>
          <t>No</t>
        </is>
      </c>
      <c r="N729" s="1" t="inlineStr">
        <is>
          <t>Algorithms</t>
        </is>
      </c>
      <c r="O7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29" s="11" t="inlineStr">
        <is>
          <t>To Do</t>
        </is>
      </c>
    </row>
    <row r="730" ht="15.75" customHeight="1" s="12">
      <c r="A730" s="1" t="n">
        <v>1281</v>
      </c>
      <c r="B730" s="3">
        <f>HYPERLINK("https://leetcode.com/problems/subtract-the-product-and-sum-of-digits-of-an-integer/", "Subtract the Product and Sum of Digits of an Integer")</f>
        <v/>
      </c>
      <c r="C730" s="1" t="n">
        <v>2842</v>
      </c>
      <c r="D730" s="1" t="n">
        <v>255</v>
      </c>
      <c r="E730" s="4">
        <f>IF(INDEX(C:C, ROW())+INDEX(D:D, ROW())=0, 0, INDEX(C:C, ROW())/(INDEX(C:C, ROW())+INDEX(D:D, ROW())))</f>
        <v/>
      </c>
      <c r="F730" s="1" t="inlineStr">
        <is>
          <t>Math</t>
        </is>
      </c>
      <c r="G730" s="1" t="inlineStr">
        <is>
          <t>Easy</t>
        </is>
      </c>
      <c r="H730" s="1" t="n">
        <v>664908</v>
      </c>
      <c r="I730" s="1" t="n">
        <v>768170</v>
      </c>
      <c r="J730" s="9" t="n">
        <v>0.866</v>
      </c>
      <c r="K730" s="1" t="inlineStr">
        <is>
          <t>Yes</t>
        </is>
      </c>
      <c r="L730" s="1" t="inlineStr">
        <is>
          <t>No</t>
        </is>
      </c>
      <c r="M730" s="1" t="inlineStr">
        <is>
          <t>No</t>
        </is>
      </c>
      <c r="N730" s="1" t="inlineStr">
        <is>
          <t>Algorithms</t>
        </is>
      </c>
      <c r="O7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30" s="13" t="inlineStr">
        <is>
          <t>Done</t>
        </is>
      </c>
    </row>
    <row r="731" ht="15.75" customHeight="1" s="12">
      <c r="A731" s="1" t="n">
        <v>464</v>
      </c>
      <c r="B731" s="3">
        <f>HYPERLINK("https://leetcode.com/problems/can-i-win/", "Can I Win")</f>
        <v/>
      </c>
      <c r="C731" s="1" t="n">
        <v>2837</v>
      </c>
      <c r="D731" s="1" t="n">
        <v>433</v>
      </c>
      <c r="E731" s="4">
        <f>IF(INDEX(C:C, ROW())+INDEX(D:D, ROW())=0, 0, INDEX(C:C, ROW())/(INDEX(C:C, ROW())+INDEX(D:D, ROW())))</f>
        <v/>
      </c>
      <c r="F731" s="1" t="inlineStr">
        <is>
          <t>Math, Dynamic Programming, Bit Manipulation, Memoization, Game Theory, Bitmask</t>
        </is>
      </c>
      <c r="G731" s="1" t="inlineStr">
        <is>
          <t>Medium</t>
        </is>
      </c>
      <c r="H731" s="1" t="n">
        <v>123817</v>
      </c>
      <c r="I731" s="1" t="n">
        <v>394747</v>
      </c>
      <c r="J731" s="9" t="n">
        <v>0.314</v>
      </c>
      <c r="K731" s="1" t="inlineStr">
        <is>
          <t>Yes</t>
        </is>
      </c>
      <c r="L731" s="1" t="inlineStr">
        <is>
          <t>No</t>
        </is>
      </c>
      <c r="M731" s="1" t="inlineStr">
        <is>
          <t>No</t>
        </is>
      </c>
      <c r="N731" s="1" t="inlineStr">
        <is>
          <t>Algorithms</t>
        </is>
      </c>
      <c r="O7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31" s="11" t="inlineStr">
        <is>
          <t>To Do</t>
        </is>
      </c>
    </row>
    <row r="732" ht="15.75" customHeight="1" s="12">
      <c r="A732" s="1" t="n">
        <v>453</v>
      </c>
      <c r="B732" s="3">
        <f>HYPERLINK("https://leetcode.com/problems/minimum-moves-to-equal-array-elements/", "Minimum Moves to Equal Array Elements")</f>
        <v/>
      </c>
      <c r="C732" s="1" t="n">
        <v>2832</v>
      </c>
      <c r="D732" s="1" t="n">
        <v>1914</v>
      </c>
      <c r="E732" s="4">
        <f>IF(INDEX(C:C, ROW())+INDEX(D:D, ROW())=0, 0, INDEX(C:C, ROW())/(INDEX(C:C, ROW())+INDEX(D:D, ROW())))</f>
        <v/>
      </c>
      <c r="F732" s="1" t="inlineStr">
        <is>
          <t>Array, Math</t>
        </is>
      </c>
      <c r="G732" s="1" t="inlineStr">
        <is>
          <t>Medium</t>
        </is>
      </c>
      <c r="H732" s="1" t="n">
        <v>220373</v>
      </c>
      <c r="I732" s="1" t="n">
        <v>375287</v>
      </c>
      <c r="J732" s="9" t="n">
        <v>0.587</v>
      </c>
      <c r="K732" s="1" t="inlineStr">
        <is>
          <t>Yes</t>
        </is>
      </c>
      <c r="L732" s="1" t="inlineStr">
        <is>
          <t>Yes</t>
        </is>
      </c>
      <c r="M732" s="1" t="inlineStr">
        <is>
          <t>No</t>
        </is>
      </c>
      <c r="N732" s="1" t="inlineStr">
        <is>
          <t>Algorithms</t>
        </is>
      </c>
      <c r="O7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32" s="11" t="inlineStr">
        <is>
          <t>To Do</t>
        </is>
      </c>
    </row>
    <row r="733" ht="15.75" customHeight="1" s="12">
      <c r="A733" s="1" t="n">
        <v>922</v>
      </c>
      <c r="B733" s="3">
        <f>HYPERLINK("https://leetcode.com/problems/sort-array-by-parity-ii/", "Sort Array By Parity II")</f>
        <v/>
      </c>
      <c r="C733" s="1" t="n">
        <v>2832</v>
      </c>
      <c r="D733" s="1" t="n">
        <v>104</v>
      </c>
      <c r="E733" s="4">
        <f>IF(INDEX(C:C, ROW())+INDEX(D:D, ROW())=0, 0, INDEX(C:C, ROW())/(INDEX(C:C, ROW())+INDEX(D:D, ROW())))</f>
        <v/>
      </c>
      <c r="F733" s="1" t="inlineStr">
        <is>
          <t>Array, Two Pointers, Sorting</t>
        </is>
      </c>
      <c r="G733" s="1" t="inlineStr">
        <is>
          <t>Easy</t>
        </is>
      </c>
      <c r="H733" s="1" t="n">
        <v>349302</v>
      </c>
      <c r="I733" s="1" t="n">
        <v>489900</v>
      </c>
      <c r="J733" s="9" t="n">
        <v>0.713</v>
      </c>
      <c r="K733" s="1" t="inlineStr">
        <is>
          <t>Yes</t>
        </is>
      </c>
      <c r="L733" s="1" t="inlineStr">
        <is>
          <t>Yes</t>
        </is>
      </c>
      <c r="M733" s="1" t="inlineStr">
        <is>
          <t>Yes</t>
        </is>
      </c>
      <c r="N733" s="1" t="inlineStr">
        <is>
          <t>Algorithms</t>
        </is>
      </c>
      <c r="O7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33" s="13" t="inlineStr">
        <is>
          <t>Done</t>
        </is>
      </c>
    </row>
    <row r="734" ht="15.75" customHeight="1" s="12">
      <c r="A734" s="1" t="n">
        <v>1315</v>
      </c>
      <c r="B734" s="3">
        <f>HYPERLINK("https://leetcode.com/problems/sum-of-nodes-with-even-valued-grandparent/", "Sum of Nodes with Even-Valued Grandparent")</f>
        <v/>
      </c>
      <c r="C734" s="1" t="n">
        <v>2832</v>
      </c>
      <c r="D734" s="1" t="n">
        <v>79</v>
      </c>
      <c r="E734" s="4">
        <f>IF(INDEX(C:C, ROW())+INDEX(D:D, ROW())=0, 0, INDEX(C:C, ROW())/(INDEX(C:C, ROW())+INDEX(D:D, ROW())))</f>
        <v/>
      </c>
      <c r="F734" s="1" t="inlineStr">
        <is>
          <t>Tree, Depth-First Search, Breadth-First Search, Binary Tree</t>
        </is>
      </c>
      <c r="G734" s="1" t="inlineStr">
        <is>
          <t>Medium</t>
        </is>
      </c>
      <c r="H734" s="1" t="n">
        <v>185064</v>
      </c>
      <c r="I734" s="1" t="n">
        <v>215390</v>
      </c>
      <c r="J734" s="9" t="n">
        <v>0.859</v>
      </c>
      <c r="K734" s="1" t="inlineStr">
        <is>
          <t>Yes</t>
        </is>
      </c>
      <c r="L734" s="1" t="inlineStr">
        <is>
          <t>Yes</t>
        </is>
      </c>
      <c r="M734" s="1" t="inlineStr">
        <is>
          <t>No</t>
        </is>
      </c>
      <c r="N734" s="1" t="inlineStr">
        <is>
          <t>Algorithms</t>
        </is>
      </c>
      <c r="O7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34" s="11" t="inlineStr">
        <is>
          <t>To Do</t>
        </is>
      </c>
    </row>
    <row r="735" ht="15.75" customHeight="1" s="12">
      <c r="A735" s="1" t="n">
        <v>1689</v>
      </c>
      <c r="B735" s="3">
        <f>HYPERLINK("https://leetcode.com/problems/partitioning-into-minimum-number-of-deci-binary-numbers/", "Partitioning Into Minimum Number Of Deci-Binary Numbers")</f>
        <v/>
      </c>
      <c r="C735" s="1" t="n">
        <v>2831</v>
      </c>
      <c r="D735" s="1" t="n">
        <v>1546</v>
      </c>
      <c r="E735" s="4">
        <f>IF(INDEX(C:C, ROW())+INDEX(D:D, ROW())=0, 0, INDEX(C:C, ROW())/(INDEX(C:C, ROW())+INDEX(D:D, ROW())))</f>
        <v/>
      </c>
      <c r="F735" s="1" t="inlineStr">
        <is>
          <t>String, Greedy</t>
        </is>
      </c>
      <c r="G735" s="1" t="inlineStr">
        <is>
          <t>Medium</t>
        </is>
      </c>
      <c r="H735" s="1" t="n">
        <v>374326</v>
      </c>
      <c r="I735" s="1" t="n">
        <v>413832</v>
      </c>
      <c r="J735" s="9" t="n">
        <v>0.905</v>
      </c>
      <c r="K735" s="1" t="inlineStr">
        <is>
          <t>Yes</t>
        </is>
      </c>
      <c r="L735" s="1" t="inlineStr">
        <is>
          <t>Yes</t>
        </is>
      </c>
      <c r="M735" s="1" t="inlineStr">
        <is>
          <t>No</t>
        </is>
      </c>
      <c r="N735" s="1" t="inlineStr">
        <is>
          <t>Algorithms</t>
        </is>
      </c>
      <c r="O7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35" s="11" t="inlineStr">
        <is>
          <t>To Do</t>
        </is>
      </c>
    </row>
    <row r="736" ht="15.75" customHeight="1" s="12">
      <c r="A736" s="1" t="n">
        <v>1347</v>
      </c>
      <c r="B736" s="3">
        <f>HYPERLINK("https://leetcode.com/problems/minimum-number-of-steps-to-make-two-strings-anagram/", "Minimum Number of Steps to Make Two Strings Anagram")</f>
        <v/>
      </c>
      <c r="C736" s="1" t="n">
        <v>2825</v>
      </c>
      <c r="D736" s="1" t="n">
        <v>122</v>
      </c>
      <c r="E736" s="4">
        <f>IF(INDEX(C:C, ROW())+INDEX(D:D, ROW())=0, 0, INDEX(C:C, ROW())/(INDEX(C:C, ROW())+INDEX(D:D, ROW())))</f>
        <v/>
      </c>
      <c r="F736" s="1" t="inlineStr">
        <is>
          <t>Hash Table, String, Counting</t>
        </is>
      </c>
      <c r="G736" s="1" t="inlineStr">
        <is>
          <t>Medium</t>
        </is>
      </c>
      <c r="H736" s="1" t="n">
        <v>337306</v>
      </c>
      <c r="I736" s="1" t="n">
        <v>408850</v>
      </c>
      <c r="J736" s="9" t="n">
        <v>0.825</v>
      </c>
      <c r="K736" s="1" t="inlineStr">
        <is>
          <t>Yes</t>
        </is>
      </c>
      <c r="L736" s="1" t="inlineStr">
        <is>
          <t>Yes</t>
        </is>
      </c>
      <c r="M736" s="1" t="inlineStr">
        <is>
          <t>No</t>
        </is>
      </c>
      <c r="N736" s="1" t="inlineStr">
        <is>
          <t>Algorithms</t>
        </is>
      </c>
      <c r="O7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36" s="11" t="inlineStr">
        <is>
          <t>To Do</t>
        </is>
      </c>
    </row>
    <row r="737" ht="15.75" customHeight="1" s="12">
      <c r="A737" s="1" t="n">
        <v>929</v>
      </c>
      <c r="B737" s="3">
        <f>HYPERLINK("https://leetcode.com/problems/unique-email-addresses/", "Unique Email Addresses")</f>
        <v/>
      </c>
      <c r="C737" s="1" t="n">
        <v>2816</v>
      </c>
      <c r="D737" s="1" t="n">
        <v>363</v>
      </c>
      <c r="E737" s="4">
        <f>IF(INDEX(C:C, ROW())+INDEX(D:D, ROW())=0, 0, INDEX(C:C, ROW())/(INDEX(C:C, ROW())+INDEX(D:D, ROW())))</f>
        <v/>
      </c>
      <c r="F737" s="1" t="inlineStr">
        <is>
          <t>Array, Hash Table, String</t>
        </is>
      </c>
      <c r="G737" s="1" t="inlineStr">
        <is>
          <t>Easy</t>
        </is>
      </c>
      <c r="H737" s="1" t="n">
        <v>580582</v>
      </c>
      <c r="I737" s="1" t="n">
        <v>855352</v>
      </c>
      <c r="J737" s="9" t="n">
        <v>0.679</v>
      </c>
      <c r="K737" s="1" t="inlineStr">
        <is>
          <t>Yes</t>
        </is>
      </c>
      <c r="L737" s="1" t="inlineStr">
        <is>
          <t>Yes</t>
        </is>
      </c>
      <c r="M737" s="1" t="inlineStr">
        <is>
          <t>No</t>
        </is>
      </c>
      <c r="N737" s="1" t="inlineStr">
        <is>
          <t>Algorithms</t>
        </is>
      </c>
      <c r="O7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37" s="13" t="inlineStr">
        <is>
          <t>Done</t>
        </is>
      </c>
    </row>
    <row r="738" ht="15.75" customHeight="1" s="12">
      <c r="A738" s="1" t="n">
        <v>323</v>
      </c>
      <c r="B738" s="3">
        <f>HYPERLINK("https://leetcode.com/problems/number-of-connected-components-in-an-undirected-graph/", "Number of Connected Components in an Undirected Graph")</f>
        <v/>
      </c>
      <c r="C738" s="1" t="n">
        <v>2813</v>
      </c>
      <c r="D738" s="1" t="n">
        <v>111</v>
      </c>
      <c r="E738" s="4">
        <f>IF(INDEX(C:C, ROW())+INDEX(D:D, ROW())=0, 0, INDEX(C:C, ROW())/(INDEX(C:C, ROW())+INDEX(D:D, ROW())))</f>
        <v/>
      </c>
      <c r="F738" s="1" t="inlineStr">
        <is>
          <t>Depth-First Search, Breadth-First Search, Union-Find, Graph Theory</t>
        </is>
      </c>
      <c r="G738" s="1" t="inlineStr">
        <is>
          <t>Medium</t>
        </is>
      </c>
      <c r="H738" s="1" t="n">
        <v>540010</v>
      </c>
      <c r="I738" s="1" t="n">
        <v>831503</v>
      </c>
      <c r="J738" s="9" t="n">
        <v>0.649</v>
      </c>
      <c r="K738" s="1" t="inlineStr">
        <is>
          <t>No</t>
        </is>
      </c>
      <c r="L738" s="1" t="inlineStr">
        <is>
          <t>Yes</t>
        </is>
      </c>
      <c r="M738" s="1" t="inlineStr">
        <is>
          <t>Yes</t>
        </is>
      </c>
      <c r="N738" s="1" t="inlineStr">
        <is>
          <t>Algorithms</t>
        </is>
      </c>
      <c r="O7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38" s="11" t="inlineStr">
        <is>
          <t>To Do</t>
        </is>
      </c>
    </row>
    <row r="739" ht="15.75" customHeight="1" s="12">
      <c r="A739" s="1" t="n">
        <v>2405</v>
      </c>
      <c r="B739" s="3">
        <f>HYPERLINK("https://leetcode.com/problems/optimal-partition-of-string/", "Optimal Partition of String")</f>
        <v/>
      </c>
      <c r="C739" s="1" t="n">
        <v>2812</v>
      </c>
      <c r="D739" s="1" t="n">
        <v>115</v>
      </c>
      <c r="E739" s="4">
        <f>IF(INDEX(C:C, ROW())+INDEX(D:D, ROW())=0, 0, INDEX(C:C, ROW())/(INDEX(C:C, ROW())+INDEX(D:D, ROW())))</f>
        <v/>
      </c>
      <c r="F739" s="1" t="inlineStr">
        <is>
          <t>Hash Table, String, Greedy</t>
        </is>
      </c>
      <c r="G739" s="1" t="inlineStr">
        <is>
          <t>Medium</t>
        </is>
      </c>
      <c r="H739" s="1" t="n">
        <v>277220</v>
      </c>
      <c r="I739" s="1" t="n">
        <v>353563</v>
      </c>
      <c r="J739" s="9" t="n">
        <v>0.784</v>
      </c>
      <c r="K739" s="1" t="inlineStr">
        <is>
          <t>Yes</t>
        </is>
      </c>
      <c r="L739" s="1" t="inlineStr">
        <is>
          <t>Yes</t>
        </is>
      </c>
      <c r="M739" s="1" t="inlineStr">
        <is>
          <t>No</t>
        </is>
      </c>
      <c r="N739" s="1" t="inlineStr">
        <is>
          <t>Algorithms</t>
        </is>
      </c>
      <c r="O7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39" s="11" t="inlineStr">
        <is>
          <t>To Do</t>
        </is>
      </c>
    </row>
    <row r="740" ht="15.75" customHeight="1" s="12">
      <c r="A740" s="1" t="n">
        <v>657</v>
      </c>
      <c r="B740" s="3">
        <f>HYPERLINK("https://leetcode.com/problems/robot-return-to-origin/", "Robot Return to Origin")</f>
        <v/>
      </c>
      <c r="C740" s="1" t="n">
        <v>2811</v>
      </c>
      <c r="D740" s="1" t="n">
        <v>756</v>
      </c>
      <c r="E740" s="4">
        <f>IF(INDEX(C:C, ROW())+INDEX(D:D, ROW())=0, 0, INDEX(C:C, ROW())/(INDEX(C:C, ROW())+INDEX(D:D, ROW())))</f>
        <v/>
      </c>
      <c r="F740" s="1" t="inlineStr">
        <is>
          <t>String, Simulation</t>
        </is>
      </c>
      <c r="G740" s="1" t="inlineStr">
        <is>
          <t>Easy</t>
        </is>
      </c>
      <c r="H740" s="1" t="n">
        <v>672669</v>
      </c>
      <c r="I740" s="1" t="n">
        <v>861235</v>
      </c>
      <c r="J740" s="9" t="n">
        <v>0.781</v>
      </c>
      <c r="K740" s="1" t="inlineStr">
        <is>
          <t>Yes</t>
        </is>
      </c>
      <c r="L740" s="1" t="inlineStr">
        <is>
          <t>Yes</t>
        </is>
      </c>
      <c r="M740" s="1" t="inlineStr">
        <is>
          <t>No</t>
        </is>
      </c>
      <c r="N740" s="1" t="inlineStr">
        <is>
          <t>Algorithms</t>
        </is>
      </c>
      <c r="O7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40" s="13" t="inlineStr">
        <is>
          <t>Done</t>
        </is>
      </c>
    </row>
    <row r="741" ht="15.75" customHeight="1" s="12">
      <c r="A741" s="1" t="n">
        <v>1405</v>
      </c>
      <c r="B741" s="3">
        <f>HYPERLINK("https://leetcode.com/problems/longest-happy-string/", "Longest Happy String")</f>
        <v/>
      </c>
      <c r="C741" s="1" t="n">
        <v>2803</v>
      </c>
      <c r="D741" s="1" t="n">
        <v>322</v>
      </c>
      <c r="E741" s="4">
        <f>IF(INDEX(C:C, ROW())+INDEX(D:D, ROW())=0, 0, INDEX(C:C, ROW())/(INDEX(C:C, ROW())+INDEX(D:D, ROW())))</f>
        <v/>
      </c>
      <c r="F741" s="1" t="inlineStr">
        <is>
          <t>String, Greedy, Heap (Priority Queue)</t>
        </is>
      </c>
      <c r="G741" s="1" t="inlineStr">
        <is>
          <t>Medium</t>
        </is>
      </c>
      <c r="H741" s="1" t="n">
        <v>219809</v>
      </c>
      <c r="I741" s="1" t="n">
        <v>335667</v>
      </c>
      <c r="J741" s="9" t="n">
        <v>0.655</v>
      </c>
      <c r="K741" s="1" t="inlineStr">
        <is>
          <t>Yes</t>
        </is>
      </c>
      <c r="L741" s="1" t="inlineStr">
        <is>
          <t>Yes</t>
        </is>
      </c>
      <c r="M741" s="1" t="inlineStr">
        <is>
          <t>No</t>
        </is>
      </c>
      <c r="N741" s="1" t="inlineStr">
        <is>
          <t>Algorithms</t>
        </is>
      </c>
      <c r="O7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41" s="11" t="inlineStr">
        <is>
          <t>To Do</t>
        </is>
      </c>
    </row>
    <row r="742" ht="15.75" customHeight="1" s="12">
      <c r="A742" s="1" t="n">
        <v>649</v>
      </c>
      <c r="B742" s="3">
        <f>HYPERLINK("https://leetcode.com/problems/dota2-senate/", "Dota2 Senate")</f>
        <v/>
      </c>
      <c r="C742" s="1" t="n">
        <v>2793</v>
      </c>
      <c r="D742" s="1" t="n">
        <v>2089</v>
      </c>
      <c r="E742" s="4">
        <f>IF(INDEX(C:C, ROW())+INDEX(D:D, ROW())=0, 0, INDEX(C:C, ROW())/(INDEX(C:C, ROW())+INDEX(D:D, ROW())))</f>
        <v/>
      </c>
      <c r="F742" s="1" t="inlineStr">
        <is>
          <t>String, Greedy, Queue</t>
        </is>
      </c>
      <c r="G742" s="1" t="inlineStr">
        <is>
          <t>Medium</t>
        </is>
      </c>
      <c r="H742" s="1" t="n">
        <v>287290</v>
      </c>
      <c r="I742" s="1" t="n">
        <v>576695</v>
      </c>
      <c r="J742" s="9" t="n">
        <v>0.498</v>
      </c>
      <c r="K742" s="1" t="inlineStr">
        <is>
          <t>Yes</t>
        </is>
      </c>
      <c r="L742" s="1" t="inlineStr">
        <is>
          <t>Yes</t>
        </is>
      </c>
      <c r="M742" s="1" t="inlineStr">
        <is>
          <t>No</t>
        </is>
      </c>
      <c r="N742" s="1" t="inlineStr">
        <is>
          <t>Algorithms</t>
        </is>
      </c>
      <c r="O7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42" s="11" t="inlineStr">
        <is>
          <t>To Do</t>
        </is>
      </c>
    </row>
    <row r="743" ht="15.75" customHeight="1" s="12">
      <c r="A743" s="1" t="n">
        <v>2348</v>
      </c>
      <c r="B743" s="3">
        <f>HYPERLINK("https://leetcode.com/problems/number-of-zero-filled-subarrays/", "Number of Zero-Filled Subarrays")</f>
        <v/>
      </c>
      <c r="C743" s="1" t="n">
        <v>2793</v>
      </c>
      <c r="D743" s="1" t="n">
        <v>95</v>
      </c>
      <c r="E743" s="4">
        <f>IF(INDEX(C:C, ROW())+INDEX(D:D, ROW())=0, 0, INDEX(C:C, ROW())/(INDEX(C:C, ROW())+INDEX(D:D, ROW())))</f>
        <v/>
      </c>
      <c r="F743" s="1" t="inlineStr">
        <is>
          <t>Array, Math</t>
        </is>
      </c>
      <c r="G743" s="1" t="inlineStr">
        <is>
          <t>Medium</t>
        </is>
      </c>
      <c r="H743" s="1" t="n">
        <v>309977</v>
      </c>
      <c r="I743" s="1" t="n">
        <v>442155</v>
      </c>
      <c r="J743" s="9" t="n">
        <v>0.701</v>
      </c>
      <c r="K743" s="1" t="inlineStr">
        <is>
          <t>Yes</t>
        </is>
      </c>
      <c r="L743" s="1" t="inlineStr">
        <is>
          <t>Yes</t>
        </is>
      </c>
      <c r="M743" s="1" t="inlineStr">
        <is>
          <t>No</t>
        </is>
      </c>
      <c r="N743" s="1" t="inlineStr">
        <is>
          <t>Algorithms</t>
        </is>
      </c>
      <c r="O7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43" s="11" t="inlineStr">
        <is>
          <t>To Do</t>
        </is>
      </c>
    </row>
    <row r="744" ht="15.75" customHeight="1" s="12">
      <c r="A744" s="1" t="n">
        <v>945</v>
      </c>
      <c r="B744" s="3">
        <f>HYPERLINK("https://leetcode.com/problems/minimum-increment-to-make-array-unique/", "Minimum Increment to Make Array Unique")</f>
        <v/>
      </c>
      <c r="C744" s="1" t="n">
        <v>2785</v>
      </c>
      <c r="D744" s="1" t="n">
        <v>86</v>
      </c>
      <c r="E744" s="4">
        <f>IF(INDEX(C:C, ROW())+INDEX(D:D, ROW())=0, 0, INDEX(C:C, ROW())/(INDEX(C:C, ROW())+INDEX(D:D, ROW())))</f>
        <v/>
      </c>
      <c r="F744" s="1" t="inlineStr">
        <is>
          <t>Array, Greedy, Sorting, Counting</t>
        </is>
      </c>
      <c r="G744" s="1" t="inlineStr">
        <is>
          <t>Medium</t>
        </is>
      </c>
      <c r="H744" s="1" t="n">
        <v>270886</v>
      </c>
      <c r="I744" s="1" t="n">
        <v>446575</v>
      </c>
      <c r="J744" s="9" t="n">
        <v>0.607</v>
      </c>
      <c r="K744" s="1" t="inlineStr">
        <is>
          <t>Yes</t>
        </is>
      </c>
      <c r="L744" s="1" t="inlineStr">
        <is>
          <t>Yes</t>
        </is>
      </c>
      <c r="M744" s="1" t="inlineStr">
        <is>
          <t>No</t>
        </is>
      </c>
      <c r="N744" s="1" t="inlineStr">
        <is>
          <t>Algorithms</t>
        </is>
      </c>
      <c r="O7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44" s="11" t="inlineStr">
        <is>
          <t>To Do</t>
        </is>
      </c>
    </row>
    <row r="745" ht="15.75" customHeight="1" s="12">
      <c r="A745" s="1" t="n">
        <v>629</v>
      </c>
      <c r="B745" s="3">
        <f>HYPERLINK("https://leetcode.com/problems/k-inverse-pairs-array/", "K Inverse Pairs Array")</f>
        <v/>
      </c>
      <c r="C745" s="1" t="n">
        <v>2782</v>
      </c>
      <c r="D745" s="1" t="n">
        <v>331</v>
      </c>
      <c r="E745" s="4">
        <f>IF(INDEX(C:C, ROW())+INDEX(D:D, ROW())=0, 0, INDEX(C:C, ROW())/(INDEX(C:C, ROW())+INDEX(D:D, ROW())))</f>
        <v/>
      </c>
      <c r="F745" s="1" t="inlineStr">
        <is>
          <t>Dynamic Programming</t>
        </is>
      </c>
      <c r="G745" s="1" t="inlineStr">
        <is>
          <t>Hard</t>
        </is>
      </c>
      <c r="H745" s="1" t="n">
        <v>140807</v>
      </c>
      <c r="I745" s="1" t="n">
        <v>287368</v>
      </c>
      <c r="J745" s="9" t="n">
        <v>0.49</v>
      </c>
      <c r="K745" s="1" t="inlineStr">
        <is>
          <t>Yes</t>
        </is>
      </c>
      <c r="L745" s="1" t="inlineStr">
        <is>
          <t>Yes</t>
        </is>
      </c>
      <c r="M745" s="1" t="inlineStr">
        <is>
          <t>No</t>
        </is>
      </c>
      <c r="N745" s="1" t="inlineStr">
        <is>
          <t>Algorithms</t>
        </is>
      </c>
      <c r="O7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45" s="11" t="inlineStr">
        <is>
          <t>To Do</t>
        </is>
      </c>
    </row>
    <row r="746" ht="15.75" customHeight="1" s="12">
      <c r="A746" s="1" t="n">
        <v>664</v>
      </c>
      <c r="B746" s="3">
        <f>HYPERLINK("https://leetcode.com/problems/strange-printer/", "Strange Printer")</f>
        <v/>
      </c>
      <c r="C746" s="1" t="n">
        <v>2779</v>
      </c>
      <c r="D746" s="1" t="n">
        <v>292</v>
      </c>
      <c r="E746" s="4">
        <f>IF(INDEX(C:C, ROW())+INDEX(D:D, ROW())=0, 0, INDEX(C:C, ROW())/(INDEX(C:C, ROW())+INDEX(D:D, ROW())))</f>
        <v/>
      </c>
      <c r="F746" s="1" t="inlineStr">
        <is>
          <t>String, Dynamic Programming</t>
        </is>
      </c>
      <c r="G746" s="1" t="inlineStr">
        <is>
          <t>Hard</t>
        </is>
      </c>
      <c r="H746" s="1" t="n">
        <v>161950</v>
      </c>
      <c r="I746" s="1" t="n">
        <v>265858</v>
      </c>
      <c r="J746" s="9" t="n">
        <v>0.609</v>
      </c>
      <c r="K746" s="1" t="inlineStr">
        <is>
          <t>Yes</t>
        </is>
      </c>
      <c r="L746" s="1" t="inlineStr">
        <is>
          <t>Yes</t>
        </is>
      </c>
      <c r="M746" s="1" t="inlineStr">
        <is>
          <t>No</t>
        </is>
      </c>
      <c r="N746" s="1" t="inlineStr">
        <is>
          <t>Algorithms</t>
        </is>
      </c>
      <c r="O7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46" s="11" t="inlineStr">
        <is>
          <t>To Do</t>
        </is>
      </c>
    </row>
    <row r="747" ht="15.75" customHeight="1" s="12">
      <c r="A747" s="1" t="n">
        <v>1081</v>
      </c>
      <c r="B747" s="3">
        <f>HYPERLINK("https://leetcode.com/problems/smallest-subsequence-of-distinct-characters/", "Smallest Subsequence of Distinct Characters")</f>
        <v/>
      </c>
      <c r="C747" s="1" t="n">
        <v>2764</v>
      </c>
      <c r="D747" s="1" t="n">
        <v>200</v>
      </c>
      <c r="E747" s="4">
        <f>IF(INDEX(C:C, ROW())+INDEX(D:D, ROW())=0, 0, INDEX(C:C, ROW())/(INDEX(C:C, ROW())+INDEX(D:D, ROW())))</f>
        <v/>
      </c>
      <c r="F747" s="1" t="inlineStr">
        <is>
          <t>String, Stack, Greedy, Monotonic Stack</t>
        </is>
      </c>
      <c r="G747" s="1" t="inlineStr">
        <is>
          <t>Medium</t>
        </is>
      </c>
      <c r="H747" s="1" t="n">
        <v>97299</v>
      </c>
      <c r="I747" s="1" t="n">
        <v>153485</v>
      </c>
      <c r="J747" s="9" t="n">
        <v>0.634</v>
      </c>
      <c r="K747" s="1" t="inlineStr">
        <is>
          <t>Yes</t>
        </is>
      </c>
      <c r="L747" s="1" t="inlineStr">
        <is>
          <t>No</t>
        </is>
      </c>
      <c r="M747" s="1" t="inlineStr">
        <is>
          <t>No</t>
        </is>
      </c>
      <c r="N747" s="1" t="inlineStr">
        <is>
          <t>Algorithms</t>
        </is>
      </c>
      <c r="O7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47" s="11" t="inlineStr">
        <is>
          <t>To Do</t>
        </is>
      </c>
    </row>
    <row r="748" ht="15.75" customHeight="1" s="12">
      <c r="A748" s="1" t="n">
        <v>590</v>
      </c>
      <c r="B748" s="3">
        <f>HYPERLINK("https://leetcode.com/problems/n-ary-tree-postorder-traversal/", "N-ary Tree Postorder Traversal")</f>
        <v/>
      </c>
      <c r="C748" s="1" t="n">
        <v>2762</v>
      </c>
      <c r="D748" s="1" t="n">
        <v>119</v>
      </c>
      <c r="E748" s="4">
        <f>IF(INDEX(C:C, ROW())+INDEX(D:D, ROW())=0, 0, INDEX(C:C, ROW())/(INDEX(C:C, ROW())+INDEX(D:D, ROW())))</f>
        <v/>
      </c>
      <c r="F748" s="1" t="inlineStr">
        <is>
          <t>Stack, Tree, Depth-First Search</t>
        </is>
      </c>
      <c r="G748" s="1" t="inlineStr">
        <is>
          <t>Easy</t>
        </is>
      </c>
      <c r="H748" s="1" t="n">
        <v>432029</v>
      </c>
      <c r="I748" s="1" t="n">
        <v>532961</v>
      </c>
      <c r="J748" s="9" t="n">
        <v>0.8110000000000001</v>
      </c>
      <c r="K748" s="1" t="inlineStr">
        <is>
          <t>Yes</t>
        </is>
      </c>
      <c r="L748" s="1" t="inlineStr">
        <is>
          <t>Yes</t>
        </is>
      </c>
      <c r="M748" s="1" t="inlineStr">
        <is>
          <t>No</t>
        </is>
      </c>
      <c r="N748" s="1" t="inlineStr">
        <is>
          <t>Algorithms</t>
        </is>
      </c>
      <c r="O7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48" s="13" t="inlineStr">
        <is>
          <t>Done</t>
        </is>
      </c>
    </row>
    <row r="749" ht="15.75" customHeight="1" s="12">
      <c r="A749" s="1" t="n">
        <v>773</v>
      </c>
      <c r="B749" s="3">
        <f>HYPERLINK("https://leetcode.com/problems/sliding-puzzle/", "Sliding Puzzle")</f>
        <v/>
      </c>
      <c r="C749" s="1" t="n">
        <v>2754</v>
      </c>
      <c r="D749" s="1" t="n">
        <v>76</v>
      </c>
      <c r="E749" s="4">
        <f>IF(INDEX(C:C, ROW())+INDEX(D:D, ROW())=0, 0, INDEX(C:C, ROW())/(INDEX(C:C, ROW())+INDEX(D:D, ROW())))</f>
        <v/>
      </c>
      <c r="F749" s="1" t="inlineStr">
        <is>
          <t>Array, Dynamic Programming, Backtracking, Breadth-First Search, Memoization, Matrix</t>
        </is>
      </c>
      <c r="G749" s="1" t="inlineStr">
        <is>
          <t>Hard</t>
        </is>
      </c>
      <c r="H749" s="1" t="n">
        <v>201318</v>
      </c>
      <c r="I749" s="1" t="n">
        <v>270567</v>
      </c>
      <c r="J749" s="9" t="n">
        <v>0.744</v>
      </c>
      <c r="K749" s="1" t="inlineStr">
        <is>
          <t>Yes</t>
        </is>
      </c>
      <c r="L749" s="1" t="inlineStr">
        <is>
          <t>Yes</t>
        </is>
      </c>
      <c r="M749" s="1" t="inlineStr">
        <is>
          <t>No</t>
        </is>
      </c>
      <c r="N749" s="1" t="inlineStr">
        <is>
          <t>Algorithms</t>
        </is>
      </c>
      <c r="O7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49" s="11" t="inlineStr">
        <is>
          <t>To Do</t>
        </is>
      </c>
    </row>
    <row r="750" ht="15.75" customHeight="1" s="12">
      <c r="A750" s="1" t="n">
        <v>180</v>
      </c>
      <c r="B750" s="3">
        <f>HYPERLINK("https://leetcode.com/problems/consecutive-numbers/", "Consecutive Numbers")</f>
        <v/>
      </c>
      <c r="C750" s="1" t="n">
        <v>2752</v>
      </c>
      <c r="D750" s="1" t="n">
        <v>364</v>
      </c>
      <c r="E750" s="4">
        <f>IF(INDEX(C:C, ROW())+INDEX(D:D, ROW())=0, 0, INDEX(C:C, ROW())/(INDEX(C:C, ROW())+INDEX(D:D, ROW())))</f>
        <v/>
      </c>
      <c r="F750" s="1" t="inlineStr">
        <is>
          <t>Database</t>
        </is>
      </c>
      <c r="G750" s="1" t="inlineStr">
        <is>
          <t>Medium</t>
        </is>
      </c>
      <c r="H750" s="1" t="n">
        <v>773869</v>
      </c>
      <c r="I750" s="1" t="n">
        <v>1601603</v>
      </c>
      <c r="J750" s="9" t="n">
        <v>0.483</v>
      </c>
      <c r="K750" s="1" t="inlineStr">
        <is>
          <t>Yes</t>
        </is>
      </c>
      <c r="L750" s="1" t="inlineStr">
        <is>
          <t>Yes</t>
        </is>
      </c>
      <c r="M750" s="1" t="inlineStr">
        <is>
          <t>No</t>
        </is>
      </c>
      <c r="N750" s="1" t="inlineStr">
        <is>
          <t>Database</t>
        </is>
      </c>
      <c r="O7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50" s="11" t="inlineStr">
        <is>
          <t>To Do</t>
        </is>
      </c>
    </row>
    <row r="751" ht="15.75" customHeight="1" s="12">
      <c r="A751" s="1" t="n">
        <v>1266</v>
      </c>
      <c r="B751" s="3">
        <f>HYPERLINK("https://leetcode.com/problems/minimum-time-visiting-all-points/", "Minimum Time Visiting All Points")</f>
        <v/>
      </c>
      <c r="C751" s="1" t="n">
        <v>2750</v>
      </c>
      <c r="D751" s="1" t="n">
        <v>273</v>
      </c>
      <c r="E751" s="4">
        <f>IF(INDEX(C:C, ROW())+INDEX(D:D, ROW())=0, 0, INDEX(C:C, ROW())/(INDEX(C:C, ROW())+INDEX(D:D, ROW())))</f>
        <v/>
      </c>
      <c r="F751" s="1" t="inlineStr">
        <is>
          <t>Array, Math, Geometry</t>
        </is>
      </c>
      <c r="G751" s="1" t="inlineStr">
        <is>
          <t>Easy</t>
        </is>
      </c>
      <c r="H751" s="1" t="n">
        <v>408233</v>
      </c>
      <c r="I751" s="1" t="n">
        <v>481453</v>
      </c>
      <c r="J751" s="9" t="n">
        <v>0.848</v>
      </c>
      <c r="K751" s="1" t="inlineStr">
        <is>
          <t>Yes</t>
        </is>
      </c>
      <c r="L751" s="1" t="inlineStr">
        <is>
          <t>Yes</t>
        </is>
      </c>
      <c r="M751" s="1" t="inlineStr">
        <is>
          <t>No</t>
        </is>
      </c>
      <c r="N751" s="1" t="inlineStr">
        <is>
          <t>Algorithms</t>
        </is>
      </c>
      <c r="O7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51" s="13" t="inlineStr">
        <is>
          <t>Done</t>
        </is>
      </c>
    </row>
    <row r="752" ht="15.75" customHeight="1" s="12">
      <c r="A752" s="1" t="n">
        <v>1700</v>
      </c>
      <c r="B752" s="3">
        <f>HYPERLINK("https://leetcode.com/problems/number-of-students-unable-to-eat-lunch/", "Number of Students Unable to Eat Lunch")</f>
        <v/>
      </c>
      <c r="C752" s="1" t="n">
        <v>2745</v>
      </c>
      <c r="D752" s="1" t="n">
        <v>296</v>
      </c>
      <c r="E752" s="4">
        <f>IF(INDEX(C:C, ROW())+INDEX(D:D, ROW())=0, 0, INDEX(C:C, ROW())/(INDEX(C:C, ROW())+INDEX(D:D, ROW())))</f>
        <v/>
      </c>
      <c r="F752" s="1" t="inlineStr">
        <is>
          <t>Array, Stack, Queue, Simulation</t>
        </is>
      </c>
      <c r="G752" s="1" t="inlineStr">
        <is>
          <t>Easy</t>
        </is>
      </c>
      <c r="H752" s="1" t="n">
        <v>374815</v>
      </c>
      <c r="I752" s="1" t="n">
        <v>471151</v>
      </c>
      <c r="J752" s="9" t="n">
        <v>0.796</v>
      </c>
      <c r="K752" s="1" t="inlineStr">
        <is>
          <t>Yes</t>
        </is>
      </c>
      <c r="L752" s="1" t="inlineStr">
        <is>
          <t>Yes</t>
        </is>
      </c>
      <c r="M752" s="1" t="inlineStr">
        <is>
          <t>No</t>
        </is>
      </c>
      <c r="N752" s="1" t="inlineStr">
        <is>
          <t>Algorithms</t>
        </is>
      </c>
      <c r="O7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52" s="13" t="inlineStr">
        <is>
          <t>Done</t>
        </is>
      </c>
    </row>
    <row r="753" ht="15.75" customHeight="1" s="12">
      <c r="A753" s="1" t="n">
        <v>2305</v>
      </c>
      <c r="B753" s="3">
        <f>HYPERLINK("https://leetcode.com/problems/fair-distribution-of-cookies/", "Fair Distribution of Cookies")</f>
        <v/>
      </c>
      <c r="C753" s="1" t="n">
        <v>2741</v>
      </c>
      <c r="D753" s="1" t="n">
        <v>127</v>
      </c>
      <c r="E753" s="4">
        <f>IF(INDEX(C:C, ROW())+INDEX(D:D, ROW())=0, 0, INDEX(C:C, ROW())/(INDEX(C:C, ROW())+INDEX(D:D, ROW())))</f>
        <v/>
      </c>
      <c r="F753" s="1" t="inlineStr">
        <is>
          <t>Array, Dynamic Programming, Backtracking, Bit Manipulation, Bitmask</t>
        </is>
      </c>
      <c r="G753" s="1" t="inlineStr">
        <is>
          <t>Medium</t>
        </is>
      </c>
      <c r="H753" s="1" t="n">
        <v>121618</v>
      </c>
      <c r="I753" s="1" t="n">
        <v>174003</v>
      </c>
      <c r="J753" s="9" t="n">
        <v>0.699</v>
      </c>
      <c r="K753" s="1" t="inlineStr">
        <is>
          <t>Yes</t>
        </is>
      </c>
      <c r="L753" s="1" t="inlineStr">
        <is>
          <t>Yes</t>
        </is>
      </c>
      <c r="M753" s="1" t="inlineStr">
        <is>
          <t>No</t>
        </is>
      </c>
      <c r="N753" s="1" t="inlineStr">
        <is>
          <t>Algorithms</t>
        </is>
      </c>
      <c r="O7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53" s="11" t="inlineStr">
        <is>
          <t>To Do</t>
        </is>
      </c>
    </row>
    <row r="754" ht="15.75" customHeight="1" s="12">
      <c r="A754" s="1" t="n">
        <v>426</v>
      </c>
      <c r="B754" s="3">
        <f>HYPERLINK("https://leetcode.com/problems/convert-binary-search-tree-to-sorted-doubly-linked-list/", "Convert Binary Search Tree to Sorted Doubly Linked List")</f>
        <v/>
      </c>
      <c r="C754" s="1" t="n">
        <v>2731</v>
      </c>
      <c r="D754" s="1" t="n">
        <v>245</v>
      </c>
      <c r="E754" s="4">
        <f>IF(INDEX(C:C, ROW())+INDEX(D:D, ROW())=0, 0, INDEX(C:C, ROW())/(INDEX(C:C, ROW())+INDEX(D:D, ROW())))</f>
        <v/>
      </c>
      <c r="F754" s="1" t="inlineStr">
        <is>
          <t>Linked List, Stack, Tree, Depth-First Search, Binary Search Tree, Binary Tree, Doubly-Linked List</t>
        </is>
      </c>
      <c r="G754" s="1" t="inlineStr">
        <is>
          <t>Medium</t>
        </is>
      </c>
      <c r="H754" s="1" t="n">
        <v>372428</v>
      </c>
      <c r="I754" s="1" t="n">
        <v>567384</v>
      </c>
      <c r="J754" s="9" t="n">
        <v>0.656</v>
      </c>
      <c r="K754" s="1" t="inlineStr">
        <is>
          <t>No</t>
        </is>
      </c>
      <c r="L754" s="1" t="inlineStr">
        <is>
          <t>Yes</t>
        </is>
      </c>
      <c r="M754" s="1" t="inlineStr">
        <is>
          <t>No</t>
        </is>
      </c>
      <c r="N754" s="1" t="inlineStr">
        <is>
          <t>Algorithms</t>
        </is>
      </c>
      <c r="O7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54" s="11" t="inlineStr">
        <is>
          <t>To Do</t>
        </is>
      </c>
    </row>
    <row r="755" ht="15.75" customHeight="1" s="12">
      <c r="A755" s="1" t="n">
        <v>1802</v>
      </c>
      <c r="B755" s="3">
        <f>HYPERLINK("https://leetcode.com/problems/maximum-value-at-a-given-index-in-a-bounded-array/", "Maximum Value at a Given Index in a Bounded Array")</f>
        <v/>
      </c>
      <c r="C755" s="1" t="n">
        <v>2730</v>
      </c>
      <c r="D755" s="1" t="n">
        <v>479</v>
      </c>
      <c r="E755" s="4">
        <f>IF(INDEX(C:C, ROW())+INDEX(D:D, ROW())=0, 0, INDEX(C:C, ROW())/(INDEX(C:C, ROW())+INDEX(D:D, ROW())))</f>
        <v/>
      </c>
      <c r="F755" s="1" t="inlineStr">
        <is>
          <t>Math, Binary Search, Greedy</t>
        </is>
      </c>
      <c r="G755" s="1" t="inlineStr">
        <is>
          <t>Medium</t>
        </is>
      </c>
      <c r="H755" s="1" t="n">
        <v>88840</v>
      </c>
      <c r="I755" s="1" t="n">
        <v>228578</v>
      </c>
      <c r="J755" s="9" t="n">
        <v>0.389</v>
      </c>
      <c r="K755" s="1" t="inlineStr">
        <is>
          <t>Yes</t>
        </is>
      </c>
      <c r="L755" s="1" t="inlineStr">
        <is>
          <t>Yes</t>
        </is>
      </c>
      <c r="M755" s="1" t="inlineStr">
        <is>
          <t>No</t>
        </is>
      </c>
      <c r="N755" s="1" t="inlineStr">
        <is>
          <t>Algorithms</t>
        </is>
      </c>
      <c r="O7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55" s="11" t="inlineStr">
        <is>
          <t>To Do</t>
        </is>
      </c>
    </row>
    <row r="756" ht="15.75" customHeight="1" s="12">
      <c r="A756" s="1" t="n">
        <v>1901</v>
      </c>
      <c r="B756" s="3">
        <f>HYPERLINK("https://leetcode.com/problems/find-a-peak-element-ii/", "Find a Peak Element II")</f>
        <v/>
      </c>
      <c r="C756" s="1" t="n">
        <v>2729</v>
      </c>
      <c r="D756" s="1" t="n">
        <v>163</v>
      </c>
      <c r="E756" s="4">
        <f>IF(INDEX(C:C, ROW())+INDEX(D:D, ROW())=0, 0, INDEX(C:C, ROW())/(INDEX(C:C, ROW())+INDEX(D:D, ROW())))</f>
        <v/>
      </c>
      <c r="F756" s="1" t="inlineStr">
        <is>
          <t>Array, Binary Search, Matrix</t>
        </is>
      </c>
      <c r="G756" s="1" t="inlineStr">
        <is>
          <t>Medium</t>
        </is>
      </c>
      <c r="H756" s="1" t="n">
        <v>183580</v>
      </c>
      <c r="I756" s="1" t="n">
        <v>335518</v>
      </c>
      <c r="J756" s="9" t="n">
        <v>0.547</v>
      </c>
      <c r="K756" s="1" t="inlineStr">
        <is>
          <t>Yes</t>
        </is>
      </c>
      <c r="L756" s="1" t="inlineStr">
        <is>
          <t>No</t>
        </is>
      </c>
      <c r="M756" s="1" t="inlineStr">
        <is>
          <t>No</t>
        </is>
      </c>
      <c r="N756" s="1" t="inlineStr">
        <is>
          <t>Algorithms</t>
        </is>
      </c>
      <c r="O7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56" s="11" t="inlineStr">
        <is>
          <t>To Do</t>
        </is>
      </c>
    </row>
    <row r="757" ht="15.75" customHeight="1" s="12">
      <c r="A757" s="1" t="n">
        <v>1052</v>
      </c>
      <c r="B757" s="3">
        <f>HYPERLINK("https://leetcode.com/problems/grumpy-bookstore-owner/", "Grumpy Bookstore Owner")</f>
        <v/>
      </c>
      <c r="C757" s="1" t="n">
        <v>2724</v>
      </c>
      <c r="D757" s="1" t="n">
        <v>265</v>
      </c>
      <c r="E757" s="4">
        <f>IF(INDEX(C:C, ROW())+INDEX(D:D, ROW())=0, 0, INDEX(C:C, ROW())/(INDEX(C:C, ROW())+INDEX(D:D, ROW())))</f>
        <v/>
      </c>
      <c r="F757" s="1" t="inlineStr">
        <is>
          <t>Array, Sliding Window</t>
        </is>
      </c>
      <c r="G757" s="1" t="inlineStr">
        <is>
          <t>Medium</t>
        </is>
      </c>
      <c r="H757" s="1" t="n">
        <v>238864</v>
      </c>
      <c r="I757" s="1" t="n">
        <v>373110</v>
      </c>
      <c r="J757" s="9" t="n">
        <v>0.64</v>
      </c>
      <c r="K757" s="1" t="inlineStr">
        <is>
          <t>Yes</t>
        </is>
      </c>
      <c r="L757" s="1" t="inlineStr">
        <is>
          <t>Yes</t>
        </is>
      </c>
      <c r="M757" s="1" t="inlineStr">
        <is>
          <t>No</t>
        </is>
      </c>
      <c r="N757" s="1" t="inlineStr">
        <is>
          <t>Algorithms</t>
        </is>
      </c>
      <c r="O7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57" s="11" t="inlineStr">
        <is>
          <t>To Do</t>
        </is>
      </c>
    </row>
    <row r="758" ht="15.75" customHeight="1" s="12">
      <c r="A758" s="1" t="n">
        <v>1461</v>
      </c>
      <c r="B758" s="3">
        <f>HYPERLINK("https://leetcode.com/problems/check-if-a-string-contains-all-binary-codes-of-size-k/", "Check If a String Contains All Binary Codes of Size K")</f>
        <v/>
      </c>
      <c r="C758" s="1" t="n">
        <v>2721</v>
      </c>
      <c r="D758" s="1" t="n">
        <v>116</v>
      </c>
      <c r="E758" s="4">
        <f>IF(INDEX(C:C, ROW())+INDEX(D:D, ROW())=0, 0, INDEX(C:C, ROW())/(INDEX(C:C, ROW())+INDEX(D:D, ROW())))</f>
        <v/>
      </c>
      <c r="F758" s="1" t="inlineStr">
        <is>
          <t>Hash Table, String, Bit Manipulation, Rolling Hash, Hash Function</t>
        </is>
      </c>
      <c r="G758" s="1" t="inlineStr">
        <is>
          <t>Medium</t>
        </is>
      </c>
      <c r="H758" s="1" t="n">
        <v>264341</v>
      </c>
      <c r="I758" s="1" t="n">
        <v>429324</v>
      </c>
      <c r="J758" s="9" t="n">
        <v>0.616</v>
      </c>
      <c r="K758" s="1" t="inlineStr">
        <is>
          <t>Yes</t>
        </is>
      </c>
      <c r="L758" s="1" t="inlineStr">
        <is>
          <t>Yes</t>
        </is>
      </c>
      <c r="M758" s="1" t="inlineStr">
        <is>
          <t>No</t>
        </is>
      </c>
      <c r="N758" s="1" t="inlineStr">
        <is>
          <t>Algorithms</t>
        </is>
      </c>
      <c r="O7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58" s="11" t="inlineStr">
        <is>
          <t>To Do</t>
        </is>
      </c>
    </row>
    <row r="759" ht="15.75" customHeight="1" s="12">
      <c r="A759" s="1" t="n">
        <v>1863</v>
      </c>
      <c r="B759" s="3">
        <f>HYPERLINK("https://leetcode.com/problems/sum-of-all-subset-xor-totals/", "Sum of All Subset XOR Totals")</f>
        <v/>
      </c>
      <c r="C759" s="1" t="n">
        <v>2710</v>
      </c>
      <c r="D759" s="1" t="n">
        <v>356</v>
      </c>
      <c r="E759" s="4">
        <f>IF(INDEX(C:C, ROW())+INDEX(D:D, ROW())=0, 0, INDEX(C:C, ROW())/(INDEX(C:C, ROW())+INDEX(D:D, ROW())))</f>
        <v/>
      </c>
      <c r="F759" s="1" t="inlineStr">
        <is>
          <t>Array, Math, Backtracking, Bit Manipulation, Combinatorics, Enumeration</t>
        </is>
      </c>
      <c r="G759" s="1" t="inlineStr">
        <is>
          <t>Easy</t>
        </is>
      </c>
      <c r="H759" s="1" t="n">
        <v>361029</v>
      </c>
      <c r="I759" s="1" t="n">
        <v>400780</v>
      </c>
      <c r="J759" s="9" t="n">
        <v>0.901</v>
      </c>
      <c r="K759" s="1" t="inlineStr">
        <is>
          <t>Yes</t>
        </is>
      </c>
      <c r="L759" s="1" t="inlineStr">
        <is>
          <t>Yes</t>
        </is>
      </c>
      <c r="M759" s="1" t="inlineStr">
        <is>
          <t>No</t>
        </is>
      </c>
      <c r="N759" s="1" t="inlineStr">
        <is>
          <t>Algorithms</t>
        </is>
      </c>
      <c r="O7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59" s="13" t="inlineStr">
        <is>
          <t>Done</t>
        </is>
      </c>
    </row>
    <row r="760" ht="15.75" customHeight="1" s="12">
      <c r="A760" s="1" t="n">
        <v>1232</v>
      </c>
      <c r="B760" s="3">
        <f>HYPERLINK("https://leetcode.com/problems/check-if-it-is-a-straight-line/", "Check If It Is a Straight Line")</f>
        <v/>
      </c>
      <c r="C760" s="1" t="n">
        <v>2707</v>
      </c>
      <c r="D760" s="1" t="n">
        <v>295</v>
      </c>
      <c r="E760" s="4">
        <f>IF(INDEX(C:C, ROW())+INDEX(D:D, ROW())=0, 0, INDEX(C:C, ROW())/(INDEX(C:C, ROW())+INDEX(D:D, ROW())))</f>
        <v/>
      </c>
      <c r="F760" s="1" t="inlineStr">
        <is>
          <t>Array, Math, Geometry</t>
        </is>
      </c>
      <c r="G760" s="1" t="inlineStr">
        <is>
          <t>Easy</t>
        </is>
      </c>
      <c r="H760" s="1" t="n">
        <v>307693</v>
      </c>
      <c r="I760" s="1" t="n">
        <v>768001</v>
      </c>
      <c r="J760" s="9" t="n">
        <v>0.401</v>
      </c>
      <c r="K760" s="1" t="inlineStr">
        <is>
          <t>Yes</t>
        </is>
      </c>
      <c r="L760" s="1" t="inlineStr">
        <is>
          <t>Yes</t>
        </is>
      </c>
      <c r="M760" s="1" t="inlineStr">
        <is>
          <t>No</t>
        </is>
      </c>
      <c r="N760" s="1" t="inlineStr">
        <is>
          <t>Algorithms</t>
        </is>
      </c>
      <c r="O7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60" s="13" t="inlineStr">
        <is>
          <t>Done</t>
        </is>
      </c>
    </row>
    <row r="761" ht="15.75" customHeight="1" s="12">
      <c r="A761" s="1" t="n">
        <v>873</v>
      </c>
      <c r="B761" s="3">
        <f>HYPERLINK("https://leetcode.com/problems/length-of-longest-fibonacci-subsequence/", "Length of Longest Fibonacci Subsequence")</f>
        <v/>
      </c>
      <c r="C761" s="1" t="n">
        <v>2697</v>
      </c>
      <c r="D761" s="1" t="n">
        <v>109</v>
      </c>
      <c r="E761" s="4">
        <f>IF(INDEX(C:C, ROW())+INDEX(D:D, ROW())=0, 0, INDEX(C:C, ROW())/(INDEX(C:C, ROW())+INDEX(D:D, ROW())))</f>
        <v/>
      </c>
      <c r="F761" s="1" t="inlineStr">
        <is>
          <t>Array, Hash Table, Dynamic Programming</t>
        </is>
      </c>
      <c r="G761" s="1" t="inlineStr">
        <is>
          <t>Medium</t>
        </is>
      </c>
      <c r="H761" s="1" t="n">
        <v>192782</v>
      </c>
      <c r="I761" s="1" t="n">
        <v>335061</v>
      </c>
      <c r="J761" s="9" t="n">
        <v>0.575</v>
      </c>
      <c r="K761" s="1" t="inlineStr">
        <is>
          <t>Yes</t>
        </is>
      </c>
      <c r="L761" s="1" t="inlineStr">
        <is>
          <t>Yes</t>
        </is>
      </c>
      <c r="M761" s="1" t="inlineStr">
        <is>
          <t>No</t>
        </is>
      </c>
      <c r="N761" s="1" t="inlineStr">
        <is>
          <t>Algorithms</t>
        </is>
      </c>
      <c r="O7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61" s="11" t="inlineStr">
        <is>
          <t>To Do</t>
        </is>
      </c>
    </row>
    <row r="762" ht="15.75" customHeight="1" s="12">
      <c r="A762" s="1" t="n">
        <v>1579</v>
      </c>
      <c r="B762" s="3">
        <f>HYPERLINK("https://leetcode.com/problems/remove-max-number-of-edges-to-keep-graph-fully-traversable/", "Remove Max Number of Edges to Keep Graph Fully Traversable")</f>
        <v/>
      </c>
      <c r="C762" s="1" t="n">
        <v>2689</v>
      </c>
      <c r="D762" s="1" t="n">
        <v>46</v>
      </c>
      <c r="E762" s="4">
        <f>IF(INDEX(C:C, ROW())+INDEX(D:D, ROW())=0, 0, INDEX(C:C, ROW())/(INDEX(C:C, ROW())+INDEX(D:D, ROW())))</f>
        <v/>
      </c>
      <c r="F762" s="1" t="inlineStr">
        <is>
          <t>Union-Find, Graph Theory</t>
        </is>
      </c>
      <c r="G762" s="1" t="inlineStr">
        <is>
          <t>Hard</t>
        </is>
      </c>
      <c r="H762" s="1" t="n">
        <v>144890</v>
      </c>
      <c r="I762" s="1" t="n">
        <v>206476</v>
      </c>
      <c r="J762" s="9" t="n">
        <v>0.702</v>
      </c>
      <c r="K762" s="1" t="inlineStr">
        <is>
          <t>Yes</t>
        </is>
      </c>
      <c r="L762" s="1" t="inlineStr">
        <is>
          <t>Yes</t>
        </is>
      </c>
      <c r="M762" s="1" t="inlineStr">
        <is>
          <t>No</t>
        </is>
      </c>
      <c r="N762" s="1" t="inlineStr">
        <is>
          <t>Algorithms</t>
        </is>
      </c>
      <c r="O7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62" s="11" t="inlineStr">
        <is>
          <t>To Do</t>
        </is>
      </c>
    </row>
    <row r="763" ht="15.75" customHeight="1" s="12">
      <c r="A763" s="1" t="n">
        <v>1504</v>
      </c>
      <c r="B763" s="3">
        <f>HYPERLINK("https://leetcode.com/problems/count-submatrices-with-all-ones/", "Count Submatrices With All Ones")</f>
        <v/>
      </c>
      <c r="C763" s="1" t="n">
        <v>2685</v>
      </c>
      <c r="D763" s="1" t="n">
        <v>221</v>
      </c>
      <c r="E763" s="4">
        <f>IF(INDEX(C:C, ROW())+INDEX(D:D, ROW())=0, 0, INDEX(C:C, ROW())/(INDEX(C:C, ROW())+INDEX(D:D, ROW())))</f>
        <v/>
      </c>
      <c r="F763" s="1" t="inlineStr">
        <is>
          <t>Array, Dynamic Programming, Stack, Matrix, Monotonic Stack</t>
        </is>
      </c>
      <c r="G763" s="1" t="inlineStr">
        <is>
          <t>Medium</t>
        </is>
      </c>
      <c r="H763" s="1" t="n">
        <v>148730</v>
      </c>
      <c r="I763" s="1" t="n">
        <v>209430</v>
      </c>
      <c r="J763" s="9" t="n">
        <v>0.71</v>
      </c>
      <c r="K763" s="1" t="inlineStr">
        <is>
          <t>Yes</t>
        </is>
      </c>
      <c r="L763" s="1" t="inlineStr">
        <is>
          <t>Yes</t>
        </is>
      </c>
      <c r="M763" s="1" t="inlineStr">
        <is>
          <t>No</t>
        </is>
      </c>
      <c r="N763" s="1" t="inlineStr">
        <is>
          <t>Algorithms</t>
        </is>
      </c>
      <c r="O7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63" s="11" t="inlineStr">
        <is>
          <t>To Do</t>
        </is>
      </c>
    </row>
    <row r="764" ht="15.75" customHeight="1" s="12">
      <c r="A764" s="1" t="n">
        <v>923</v>
      </c>
      <c r="B764" s="3">
        <f>HYPERLINK("https://leetcode.com/problems/3sum-with-multiplicity/", "3Sum With Multiplicity")</f>
        <v/>
      </c>
      <c r="C764" s="1" t="n">
        <v>2684</v>
      </c>
      <c r="D764" s="1" t="n">
        <v>332</v>
      </c>
      <c r="E764" s="4">
        <f>IF(INDEX(C:C, ROW())+INDEX(D:D, ROW())=0, 0, INDEX(C:C, ROW())/(INDEX(C:C, ROW())+INDEX(D:D, ROW())))</f>
        <v/>
      </c>
      <c r="F764" s="1" t="inlineStr">
        <is>
          <t>Array, Hash Table, Two Pointers, Sorting, Counting</t>
        </is>
      </c>
      <c r="G764" s="1" t="inlineStr">
        <is>
          <t>Medium</t>
        </is>
      </c>
      <c r="H764" s="1" t="n">
        <v>121553</v>
      </c>
      <c r="I764" s="1" t="n">
        <v>262654</v>
      </c>
      <c r="J764" s="9" t="n">
        <v>0.463</v>
      </c>
      <c r="K764" s="1" t="inlineStr">
        <is>
          <t>Yes</t>
        </is>
      </c>
      <c r="L764" s="1" t="inlineStr">
        <is>
          <t>Yes</t>
        </is>
      </c>
      <c r="M764" s="1" t="inlineStr">
        <is>
          <t>No</t>
        </is>
      </c>
      <c r="N764" s="1" t="inlineStr">
        <is>
          <t>Algorithms</t>
        </is>
      </c>
      <c r="O7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64" s="11" t="inlineStr">
        <is>
          <t>To Do</t>
        </is>
      </c>
    </row>
    <row r="765" ht="15.75" customHeight="1" s="12">
      <c r="A765" s="1" t="n">
        <v>2115</v>
      </c>
      <c r="B765" s="3">
        <f>HYPERLINK("https://leetcode.com/problems/find-all-possible-recipes-from-given-supplies/", "Find All Possible Recipes from Given Supplies")</f>
        <v/>
      </c>
      <c r="C765" s="1" t="n">
        <v>2683</v>
      </c>
      <c r="D765" s="1" t="n">
        <v>143</v>
      </c>
      <c r="E765" s="4">
        <f>IF(INDEX(C:C, ROW())+INDEX(D:D, ROW())=0, 0, INDEX(C:C, ROW())/(INDEX(C:C, ROW())+INDEX(D:D, ROW())))</f>
        <v/>
      </c>
      <c r="F765" s="1" t="inlineStr">
        <is>
          <t>Array, Hash Table, String, Graph Theory, Topological Sort</t>
        </is>
      </c>
      <c r="G765" s="1" t="inlineStr">
        <is>
          <t>Medium</t>
        </is>
      </c>
      <c r="H765" s="1" t="n">
        <v>236342</v>
      </c>
      <c r="I765" s="1" t="n">
        <v>415512</v>
      </c>
      <c r="J765" s="9" t="n">
        <v>0.569</v>
      </c>
      <c r="K765" s="1" t="inlineStr">
        <is>
          <t>Yes</t>
        </is>
      </c>
      <c r="L765" s="1" t="inlineStr">
        <is>
          <t>Yes</t>
        </is>
      </c>
      <c r="M765" s="1" t="inlineStr">
        <is>
          <t>No</t>
        </is>
      </c>
      <c r="N765" s="1" t="inlineStr">
        <is>
          <t>Algorithms</t>
        </is>
      </c>
      <c r="O7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65" s="11" t="inlineStr">
        <is>
          <t>To Do</t>
        </is>
      </c>
    </row>
    <row r="766" ht="15.75" customHeight="1" s="12">
      <c r="A766" s="1" t="n">
        <v>1105</v>
      </c>
      <c r="B766" s="3">
        <f>HYPERLINK("https://leetcode.com/problems/filling-bookcase-shelves/", "Filling Bookcase Shelves")</f>
        <v/>
      </c>
      <c r="C766" s="1" t="n">
        <v>2682</v>
      </c>
      <c r="D766" s="1" t="n">
        <v>270</v>
      </c>
      <c r="E766" s="4">
        <f>IF(INDEX(C:C, ROW())+INDEX(D:D, ROW())=0, 0, INDEX(C:C, ROW())/(INDEX(C:C, ROW())+INDEX(D:D, ROW())))</f>
        <v/>
      </c>
      <c r="F766" s="1" t="inlineStr">
        <is>
          <t>Array, Dynamic Programming</t>
        </is>
      </c>
      <c r="G766" s="1" t="inlineStr">
        <is>
          <t>Medium</t>
        </is>
      </c>
      <c r="H766" s="1" t="n">
        <v>159168</v>
      </c>
      <c r="I766" s="1" t="n">
        <v>231978</v>
      </c>
      <c r="J766" s="9" t="n">
        <v>0.6860000000000001</v>
      </c>
      <c r="K766" s="1" t="inlineStr">
        <is>
          <t>Yes</t>
        </is>
      </c>
      <c r="L766" s="1" t="inlineStr">
        <is>
          <t>Yes</t>
        </is>
      </c>
      <c r="M766" s="1" t="inlineStr">
        <is>
          <t>No</t>
        </is>
      </c>
      <c r="N766" s="1" t="inlineStr">
        <is>
          <t>Algorithms</t>
        </is>
      </c>
      <c r="O7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66" s="11" t="inlineStr">
        <is>
          <t>To Do</t>
        </is>
      </c>
    </row>
    <row r="767" ht="15.75" customHeight="1" s="12">
      <c r="A767" s="1" t="n">
        <v>1123</v>
      </c>
      <c r="B767" s="3">
        <f>HYPERLINK("https://leetcode.com/problems/lowest-common-ancestor-of-deepest-leaves/", "Lowest Common Ancestor of Deepest Leaves")</f>
        <v/>
      </c>
      <c r="C767" s="1" t="n">
        <v>2678</v>
      </c>
      <c r="D767" s="1" t="n">
        <v>950</v>
      </c>
      <c r="E767" s="4">
        <f>IF(INDEX(C:C, ROW())+INDEX(D:D, ROW())=0, 0, INDEX(C:C, ROW())/(INDEX(C:C, ROW())+INDEX(D:D, ROW())))</f>
        <v/>
      </c>
      <c r="F767" s="1" t="inlineStr">
        <is>
          <t>Hash Table, Tree, Depth-First Search, Breadth-First Search, Binary Tree</t>
        </is>
      </c>
      <c r="G767" s="1" t="inlineStr">
        <is>
          <t>Medium</t>
        </is>
      </c>
      <c r="H767" s="1" t="n">
        <v>252126</v>
      </c>
      <c r="I767" s="1" t="n">
        <v>317325</v>
      </c>
      <c r="J767" s="9" t="n">
        <v>0.795</v>
      </c>
      <c r="K767" s="1" t="inlineStr">
        <is>
          <t>Yes</t>
        </is>
      </c>
      <c r="L767" s="1" t="inlineStr">
        <is>
          <t>Yes</t>
        </is>
      </c>
      <c r="M767" s="1" t="inlineStr">
        <is>
          <t>No</t>
        </is>
      </c>
      <c r="N767" s="1" t="inlineStr">
        <is>
          <t>Algorithms</t>
        </is>
      </c>
      <c r="O7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67" s="11" t="inlineStr">
        <is>
          <t>To Do</t>
        </is>
      </c>
    </row>
    <row r="768" ht="15.75" customHeight="1" s="12">
      <c r="A768" s="1" t="n">
        <v>554</v>
      </c>
      <c r="B768" s="3">
        <f>HYPERLINK("https://leetcode.com/problems/brick-wall/", "Brick Wall")</f>
        <v/>
      </c>
      <c r="C768" s="1" t="n">
        <v>2675</v>
      </c>
      <c r="D768" s="1" t="n">
        <v>186</v>
      </c>
      <c r="E768" s="4">
        <f>IF(INDEX(C:C, ROW())+INDEX(D:D, ROW())=0, 0, INDEX(C:C, ROW())/(INDEX(C:C, ROW())+INDEX(D:D, ROW())))</f>
        <v/>
      </c>
      <c r="F768" s="1" t="inlineStr">
        <is>
          <t>Array, Hash Table</t>
        </is>
      </c>
      <c r="G768" s="1" t="inlineStr">
        <is>
          <t>Medium</t>
        </is>
      </c>
      <c r="H768" s="1" t="n">
        <v>172029</v>
      </c>
      <c r="I768" s="1" t="n">
        <v>307029</v>
      </c>
      <c r="J768" s="9" t="n">
        <v>0.5600000000000001</v>
      </c>
      <c r="K768" s="1" t="inlineStr">
        <is>
          <t>Yes</t>
        </is>
      </c>
      <c r="L768" s="1" t="inlineStr">
        <is>
          <t>Yes</t>
        </is>
      </c>
      <c r="M768" s="1" t="inlineStr">
        <is>
          <t>Yes</t>
        </is>
      </c>
      <c r="N768" s="1" t="inlineStr">
        <is>
          <t>Algorithms</t>
        </is>
      </c>
      <c r="O7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68" s="11" t="inlineStr">
        <is>
          <t>To Do</t>
        </is>
      </c>
    </row>
    <row r="769" ht="15.75" customHeight="1" s="12">
      <c r="A769" s="1" t="n">
        <v>807</v>
      </c>
      <c r="B769" s="3">
        <f>HYPERLINK("https://leetcode.com/problems/max-increase-to-keep-city-skyline/", "Max Increase to Keep City Skyline")</f>
        <v/>
      </c>
      <c r="C769" s="1" t="n">
        <v>2672</v>
      </c>
      <c r="D769" s="1" t="n">
        <v>546</v>
      </c>
      <c r="E769" s="4">
        <f>IF(INDEX(C:C, ROW())+INDEX(D:D, ROW())=0, 0, INDEX(C:C, ROW())/(INDEX(C:C, ROW())+INDEX(D:D, ROW())))</f>
        <v/>
      </c>
      <c r="F769" s="1" t="inlineStr">
        <is>
          <t>Array, Greedy, Matrix</t>
        </is>
      </c>
      <c r="G769" s="1" t="inlineStr">
        <is>
          <t>Medium</t>
        </is>
      </c>
      <c r="H769" s="1" t="n">
        <v>189277</v>
      </c>
      <c r="I769" s="1" t="n">
        <v>219043</v>
      </c>
      <c r="J769" s="9" t="n">
        <v>0.864</v>
      </c>
      <c r="K769" s="1" t="inlineStr">
        <is>
          <t>Yes</t>
        </is>
      </c>
      <c r="L769" s="1" t="inlineStr">
        <is>
          <t>Yes</t>
        </is>
      </c>
      <c r="M769" s="1" t="inlineStr">
        <is>
          <t>No</t>
        </is>
      </c>
      <c r="N769" s="1" t="inlineStr">
        <is>
          <t>Algorithms</t>
        </is>
      </c>
      <c r="O7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69" s="11" t="inlineStr">
        <is>
          <t>To Do</t>
        </is>
      </c>
    </row>
    <row r="770" ht="15.75" customHeight="1" s="12">
      <c r="A770" s="1" t="n">
        <v>1031</v>
      </c>
      <c r="B770" s="3">
        <f>HYPERLINK("https://leetcode.com/problems/maximum-sum-of-two-non-overlapping-subarrays/", "Maximum Sum of Two Non-Overlapping Subarrays")</f>
        <v/>
      </c>
      <c r="C770" s="1" t="n">
        <v>2666</v>
      </c>
      <c r="D770" s="1" t="n">
        <v>88</v>
      </c>
      <c r="E770" s="4">
        <f>IF(INDEX(C:C, ROW())+INDEX(D:D, ROW())=0, 0, INDEX(C:C, ROW())/(INDEX(C:C, ROW())+INDEX(D:D, ROW())))</f>
        <v/>
      </c>
      <c r="F770" s="1" t="inlineStr">
        <is>
          <t>Array, Dynamic Programming, Sliding Window</t>
        </is>
      </c>
      <c r="G770" s="1" t="inlineStr">
        <is>
          <t>Medium</t>
        </is>
      </c>
      <c r="H770" s="1" t="n">
        <v>85295</v>
      </c>
      <c r="I770" s="1" t="n">
        <v>140171</v>
      </c>
      <c r="J770" s="9" t="n">
        <v>0.609</v>
      </c>
      <c r="K770" s="1" t="inlineStr">
        <is>
          <t>Yes</t>
        </is>
      </c>
      <c r="L770" s="1" t="inlineStr">
        <is>
          <t>No</t>
        </is>
      </c>
      <c r="M770" s="1" t="inlineStr">
        <is>
          <t>No</t>
        </is>
      </c>
      <c r="N770" s="1" t="inlineStr">
        <is>
          <t>Algorithms</t>
        </is>
      </c>
      <c r="O7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70" s="11" t="inlineStr">
        <is>
          <t>To Do</t>
        </is>
      </c>
    </row>
    <row r="771" ht="15.75" customHeight="1" s="12">
      <c r="A771" s="1" t="n">
        <v>30</v>
      </c>
      <c r="B771" s="3">
        <f>HYPERLINK("https://leetcode.com/problems/substring-with-concatenation-of-all-words/", "Substring with Concatenation of All Words")</f>
        <v/>
      </c>
      <c r="C771" s="1" t="n">
        <v>2663</v>
      </c>
      <c r="D771" s="1" t="n">
        <v>441</v>
      </c>
      <c r="E771" s="4">
        <f>IF(INDEX(C:C, ROW())+INDEX(D:D, ROW())=0, 0, INDEX(C:C, ROW())/(INDEX(C:C, ROW())+INDEX(D:D, ROW())))</f>
        <v/>
      </c>
      <c r="F771" s="1" t="inlineStr">
        <is>
          <t>Hash Table, String, Sliding Window</t>
        </is>
      </c>
      <c r="G771" s="1" t="inlineStr">
        <is>
          <t>Hard</t>
        </is>
      </c>
      <c r="H771" s="1" t="n">
        <v>712769</v>
      </c>
      <c r="I771" s="1" t="n">
        <v>2072922</v>
      </c>
      <c r="J771" s="9" t="n">
        <v>0.344</v>
      </c>
      <c r="K771" s="1" t="inlineStr">
        <is>
          <t>Yes</t>
        </is>
      </c>
      <c r="L771" s="1" t="inlineStr">
        <is>
          <t>Yes</t>
        </is>
      </c>
      <c r="M771" s="1" t="inlineStr">
        <is>
          <t>Yes</t>
        </is>
      </c>
      <c r="N771" s="1" t="inlineStr">
        <is>
          <t>Algorithms</t>
        </is>
      </c>
      <c r="O7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71" s="11" t="inlineStr">
        <is>
          <t>To Do</t>
        </is>
      </c>
    </row>
    <row r="772" ht="15.75" customHeight="1" s="12">
      <c r="A772" s="1" t="n">
        <v>1905</v>
      </c>
      <c r="B772" s="3">
        <f>HYPERLINK("https://leetcode.com/problems/count-sub-islands/", "Count Sub Islands")</f>
        <v/>
      </c>
      <c r="C772" s="1" t="n">
        <v>2653</v>
      </c>
      <c r="D772" s="1" t="n">
        <v>92</v>
      </c>
      <c r="E772" s="4">
        <f>IF(INDEX(C:C, ROW())+INDEX(D:D, ROW())=0, 0, INDEX(C:C, ROW())/(INDEX(C:C, ROW())+INDEX(D:D, ROW())))</f>
        <v/>
      </c>
      <c r="F772" s="1" t="inlineStr">
        <is>
          <t>Array, Depth-First Search, Breadth-First Search, Union-Find, Matrix</t>
        </is>
      </c>
      <c r="G772" s="1" t="inlineStr">
        <is>
          <t>Medium</t>
        </is>
      </c>
      <c r="H772" s="1" t="n">
        <v>222513</v>
      </c>
      <c r="I772" s="1" t="n">
        <v>304741</v>
      </c>
      <c r="J772" s="9" t="n">
        <v>0.73</v>
      </c>
      <c r="K772" s="1" t="inlineStr">
        <is>
          <t>Yes</t>
        </is>
      </c>
      <c r="L772" s="1" t="inlineStr">
        <is>
          <t>Yes</t>
        </is>
      </c>
      <c r="M772" s="1" t="inlineStr">
        <is>
          <t>No</t>
        </is>
      </c>
      <c r="N772" s="1" t="inlineStr">
        <is>
          <t>Algorithms</t>
        </is>
      </c>
      <c r="O7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72" s="11" t="inlineStr">
        <is>
          <t>To Do</t>
        </is>
      </c>
    </row>
    <row r="773" ht="15.75" customHeight="1" s="12">
      <c r="A773" s="1" t="n">
        <v>2551</v>
      </c>
      <c r="B773" s="3">
        <f>HYPERLINK("https://leetcode.com/problems/put-marbles-in-bags/", "Put Marbles in Bags")</f>
        <v/>
      </c>
      <c r="C773" s="1" t="n">
        <v>2653</v>
      </c>
      <c r="D773" s="1" t="n">
        <v>125</v>
      </c>
      <c r="E773" s="4">
        <f>IF(INDEX(C:C, ROW())+INDEX(D:D, ROW())=0, 0, INDEX(C:C, ROW())/(INDEX(C:C, ROW())+INDEX(D:D, ROW())))</f>
        <v/>
      </c>
      <c r="F773" s="1" t="inlineStr">
        <is>
          <t>Array, Greedy, Sorting, Heap (Priority Queue)</t>
        </is>
      </c>
      <c r="G773" s="1" t="inlineStr">
        <is>
          <t>Hard</t>
        </is>
      </c>
      <c r="H773" s="1" t="n">
        <v>153960</v>
      </c>
      <c r="I773" s="1" t="n">
        <v>213480</v>
      </c>
      <c r="J773" s="9" t="n">
        <v>0.721</v>
      </c>
      <c r="K773" s="1" t="inlineStr">
        <is>
          <t>Yes</t>
        </is>
      </c>
      <c r="L773" s="1" t="inlineStr">
        <is>
          <t>Yes</t>
        </is>
      </c>
      <c r="M773" s="1" t="inlineStr">
        <is>
          <t>No</t>
        </is>
      </c>
      <c r="N773" s="1" t="inlineStr">
        <is>
          <t>Algorithms</t>
        </is>
      </c>
      <c r="O7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73" s="11" t="inlineStr">
        <is>
          <t>To Do</t>
        </is>
      </c>
    </row>
    <row r="774" ht="15.75" customHeight="1" s="12">
      <c r="A774" s="1" t="n">
        <v>285</v>
      </c>
      <c r="B774" s="3">
        <f>HYPERLINK("https://leetcode.com/problems/inorder-successor-in-bst/", "Inorder Successor in BST")</f>
        <v/>
      </c>
      <c r="C774" s="1" t="n">
        <v>2650</v>
      </c>
      <c r="D774" s="1" t="n">
        <v>94</v>
      </c>
      <c r="E774" s="4">
        <f>IF(INDEX(C:C, ROW())+INDEX(D:D, ROW())=0, 0, INDEX(C:C, ROW())/(INDEX(C:C, ROW())+INDEX(D:D, ROW())))</f>
        <v/>
      </c>
      <c r="F774" s="1" t="inlineStr">
        <is>
          <t>Tree, Depth-First Search, Binary Search Tree, Binary Tree</t>
        </is>
      </c>
      <c r="G774" s="1" t="inlineStr">
        <is>
          <t>Medium</t>
        </is>
      </c>
      <c r="H774" s="1" t="n">
        <v>372080</v>
      </c>
      <c r="I774" s="1" t="n">
        <v>726841</v>
      </c>
      <c r="J774" s="9" t="n">
        <v>0.512</v>
      </c>
      <c r="K774" s="1" t="inlineStr">
        <is>
          <t>No</t>
        </is>
      </c>
      <c r="L774" s="1" t="inlineStr">
        <is>
          <t>Yes</t>
        </is>
      </c>
      <c r="M774" s="1" t="inlineStr">
        <is>
          <t>No</t>
        </is>
      </c>
      <c r="N774" s="1" t="inlineStr">
        <is>
          <t>Algorithms</t>
        </is>
      </c>
      <c r="O7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74" s="11" t="inlineStr">
        <is>
          <t>To Do</t>
        </is>
      </c>
    </row>
    <row r="775" ht="15.75" customHeight="1" s="12">
      <c r="A775" s="1" t="n">
        <v>1465</v>
      </c>
      <c r="B775" s="3">
        <f>HYPERLINK("https://leetcode.com/problems/maximum-area-of-a-piece-of-cake-after-horizontal-and-vertical-cuts/", "Maximum Area of a Piece of Cake After Horizontal and Vertical Cuts")</f>
        <v/>
      </c>
      <c r="C775" s="1" t="n">
        <v>2644</v>
      </c>
      <c r="D775" s="1" t="n">
        <v>353</v>
      </c>
      <c r="E775" s="4">
        <f>IF(INDEX(C:C, ROW())+INDEX(D:D, ROW())=0, 0, INDEX(C:C, ROW())/(INDEX(C:C, ROW())+INDEX(D:D, ROW())))</f>
        <v/>
      </c>
      <c r="F775" s="1" t="inlineStr">
        <is>
          <t>Array, Greedy, Sorting</t>
        </is>
      </c>
      <c r="G775" s="1" t="inlineStr">
        <is>
          <t>Medium</t>
        </is>
      </c>
      <c r="H775" s="1" t="n">
        <v>176629</v>
      </c>
      <c r="I775" s="1" t="n">
        <v>426331</v>
      </c>
      <c r="J775" s="9" t="n">
        <v>0.414</v>
      </c>
      <c r="K775" s="1" t="inlineStr">
        <is>
          <t>Yes</t>
        </is>
      </c>
      <c r="L775" s="1" t="inlineStr">
        <is>
          <t>Yes</t>
        </is>
      </c>
      <c r="M775" s="1" t="inlineStr">
        <is>
          <t>No</t>
        </is>
      </c>
      <c r="N775" s="1" t="inlineStr">
        <is>
          <t>Algorithms</t>
        </is>
      </c>
      <c r="O7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75" s="11" t="inlineStr">
        <is>
          <t>To Do</t>
        </is>
      </c>
    </row>
    <row r="776" ht="15.75" customHeight="1" s="12">
      <c r="A776" s="1" t="n">
        <v>1926</v>
      </c>
      <c r="B776" s="3">
        <f>HYPERLINK("https://leetcode.com/problems/nearest-exit-from-entrance-in-maze/", "Nearest Exit from Entrance in Maze")</f>
        <v/>
      </c>
      <c r="C776" s="1" t="n">
        <v>2644</v>
      </c>
      <c r="D776" s="1" t="n">
        <v>128</v>
      </c>
      <c r="E776" s="4">
        <f>IF(INDEX(C:C, ROW())+INDEX(D:D, ROW())=0, 0, INDEX(C:C, ROW())/(INDEX(C:C, ROW())+INDEX(D:D, ROW())))</f>
        <v/>
      </c>
      <c r="F776" s="1" t="inlineStr">
        <is>
          <t>Array, Breadth-First Search, Matrix</t>
        </is>
      </c>
      <c r="G776" s="1" t="inlineStr">
        <is>
          <t>Medium</t>
        </is>
      </c>
      <c r="H776" s="1" t="n">
        <v>281089</v>
      </c>
      <c r="I776" s="1" t="n">
        <v>579258</v>
      </c>
      <c r="J776" s="9" t="n">
        <v>0.485</v>
      </c>
      <c r="K776" s="1" t="inlineStr">
        <is>
          <t>Yes</t>
        </is>
      </c>
      <c r="L776" s="1" t="inlineStr">
        <is>
          <t>Yes</t>
        </is>
      </c>
      <c r="M776" s="1" t="inlineStr">
        <is>
          <t>No</t>
        </is>
      </c>
      <c r="N776" s="1" t="inlineStr">
        <is>
          <t>Algorithms</t>
        </is>
      </c>
      <c r="O7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76" s="11" t="inlineStr">
        <is>
          <t>To Do</t>
        </is>
      </c>
    </row>
    <row r="777" ht="15.75" customHeight="1" s="12">
      <c r="A777" s="1" t="n">
        <v>1000</v>
      </c>
      <c r="B777" s="3">
        <f>HYPERLINK("https://leetcode.com/problems/minimum-cost-to-merge-stones/", "Minimum Cost to Merge Stones")</f>
        <v/>
      </c>
      <c r="C777" s="1" t="n">
        <v>2639</v>
      </c>
      <c r="D777" s="1" t="n">
        <v>117</v>
      </c>
      <c r="E777" s="4">
        <f>IF(INDEX(C:C, ROW())+INDEX(D:D, ROW())=0, 0, INDEX(C:C, ROW())/(INDEX(C:C, ROW())+INDEX(D:D, ROW())))</f>
        <v/>
      </c>
      <c r="F777" s="1" t="inlineStr">
        <is>
          <t>Array, Dynamic Programming, Prefix Sum</t>
        </is>
      </c>
      <c r="G777" s="1" t="inlineStr">
        <is>
          <t>Hard</t>
        </is>
      </c>
      <c r="H777" s="1" t="n">
        <v>52496</v>
      </c>
      <c r="I777" s="1" t="n">
        <v>113912</v>
      </c>
      <c r="J777" s="9" t="n">
        <v>0.461</v>
      </c>
      <c r="K777" s="1" t="inlineStr">
        <is>
          <t>Yes</t>
        </is>
      </c>
      <c r="L777" s="1" t="inlineStr">
        <is>
          <t>No</t>
        </is>
      </c>
      <c r="M777" s="1" t="inlineStr">
        <is>
          <t>No</t>
        </is>
      </c>
      <c r="N777" s="1" t="inlineStr">
        <is>
          <t>Algorithms</t>
        </is>
      </c>
      <c r="O7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77" s="11" t="inlineStr">
        <is>
          <t>To Do</t>
        </is>
      </c>
    </row>
    <row r="778" ht="15.75" customHeight="1" s="12">
      <c r="A778" s="1" t="n">
        <v>2707</v>
      </c>
      <c r="B778" s="3">
        <f>HYPERLINK("https://leetcode.com/problems/extra-characters-in-a-string/", "Extra Characters in a String")</f>
        <v/>
      </c>
      <c r="C778" s="1" t="n">
        <v>2637</v>
      </c>
      <c r="D778" s="1" t="n">
        <v>138</v>
      </c>
      <c r="E778" s="4">
        <f>IF(INDEX(C:C, ROW())+INDEX(D:D, ROW())=0, 0, INDEX(C:C, ROW())/(INDEX(C:C, ROW())+INDEX(D:D, ROW())))</f>
        <v/>
      </c>
      <c r="F778" s="1" t="inlineStr">
        <is>
          <t>Array, Hash Table, String, Dynamic Programming, Trie</t>
        </is>
      </c>
      <c r="G778" s="1" t="inlineStr">
        <is>
          <t>Medium</t>
        </is>
      </c>
      <c r="H778" s="1" t="n">
        <v>199563</v>
      </c>
      <c r="I778" s="1" t="n">
        <v>347940</v>
      </c>
      <c r="J778" s="9" t="n">
        <v>0.574</v>
      </c>
      <c r="K778" s="1" t="inlineStr">
        <is>
          <t>Yes</t>
        </is>
      </c>
      <c r="L778" s="1" t="inlineStr">
        <is>
          <t>Yes</t>
        </is>
      </c>
      <c r="M778" s="1" t="inlineStr">
        <is>
          <t>No</t>
        </is>
      </c>
      <c r="N778" s="1" t="inlineStr">
        <is>
          <t>Algorithms</t>
        </is>
      </c>
      <c r="O7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78" s="11" t="inlineStr">
        <is>
          <t>To Do</t>
        </is>
      </c>
    </row>
    <row r="779" ht="15.75" customHeight="1" s="12">
      <c r="A779" s="1" t="n">
        <v>299</v>
      </c>
      <c r="B779" s="3">
        <f>HYPERLINK("https://leetcode.com/problems/bulls-and-cows/", "Bulls and Cows")</f>
        <v/>
      </c>
      <c r="C779" s="1" t="n">
        <v>2633</v>
      </c>
      <c r="D779" s="1" t="n">
        <v>1819</v>
      </c>
      <c r="E779" s="4">
        <f>IF(INDEX(C:C, ROW())+INDEX(D:D, ROW())=0, 0, INDEX(C:C, ROW())/(INDEX(C:C, ROW())+INDEX(D:D, ROW())))</f>
        <v/>
      </c>
      <c r="F779" s="1" t="inlineStr">
        <is>
          <t>Hash Table, String, Counting</t>
        </is>
      </c>
      <c r="G779" s="1" t="inlineStr">
        <is>
          <t>Medium</t>
        </is>
      </c>
      <c r="H779" s="1" t="n">
        <v>449208</v>
      </c>
      <c r="I779" s="1" t="n">
        <v>856400</v>
      </c>
      <c r="J779" s="9" t="n">
        <v>0.525</v>
      </c>
      <c r="K779" s="1" t="inlineStr">
        <is>
          <t>Yes</t>
        </is>
      </c>
      <c r="L779" s="1" t="inlineStr">
        <is>
          <t>Yes</t>
        </is>
      </c>
      <c r="M779" s="1" t="inlineStr">
        <is>
          <t>No</t>
        </is>
      </c>
      <c r="N779" s="1" t="inlineStr">
        <is>
          <t>Algorithms</t>
        </is>
      </c>
      <c r="O7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79" s="11" t="inlineStr">
        <is>
          <t>To Do</t>
        </is>
      </c>
    </row>
    <row r="780" ht="15.75" customHeight="1" s="12">
      <c r="A780" s="1" t="n">
        <v>1497</v>
      </c>
      <c r="B780" s="3">
        <f>HYPERLINK("https://leetcode.com/problems/check-if-array-pairs-are-divisible-by-k/", "Check If Array Pairs Are Divisible by k")</f>
        <v/>
      </c>
      <c r="C780" s="1" t="n">
        <v>2633</v>
      </c>
      <c r="D780" s="1" t="n">
        <v>157</v>
      </c>
      <c r="E780" s="4">
        <f>IF(INDEX(C:C, ROW())+INDEX(D:D, ROW())=0, 0, INDEX(C:C, ROW())/(INDEX(C:C, ROW())+INDEX(D:D, ROW())))</f>
        <v/>
      </c>
      <c r="F780" s="1" t="inlineStr">
        <is>
          <t>Array, Hash Table, Counting</t>
        </is>
      </c>
      <c r="G780" s="1" t="inlineStr">
        <is>
          <t>Medium</t>
        </is>
      </c>
      <c r="H780" s="1" t="n">
        <v>208775</v>
      </c>
      <c r="I780" s="1" t="n">
        <v>452215</v>
      </c>
      <c r="J780" s="9" t="n">
        <v>0.462</v>
      </c>
      <c r="K780" s="1" t="inlineStr">
        <is>
          <t>Yes</t>
        </is>
      </c>
      <c r="L780" s="1" t="inlineStr">
        <is>
          <t>Yes</t>
        </is>
      </c>
      <c r="M780" s="1" t="inlineStr">
        <is>
          <t>No</t>
        </is>
      </c>
      <c r="N780" s="1" t="inlineStr">
        <is>
          <t>Algorithms</t>
        </is>
      </c>
      <c r="O7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80" s="11" t="inlineStr">
        <is>
          <t>To Do</t>
        </is>
      </c>
    </row>
    <row r="781" ht="15.75" customHeight="1" s="12">
      <c r="A781" s="1" t="n">
        <v>1857</v>
      </c>
      <c r="B781" s="3">
        <f>HYPERLINK("https://leetcode.com/problems/largest-color-value-in-a-directed-graph/", "Largest Color Value in a Directed Graph")</f>
        <v/>
      </c>
      <c r="C781" s="1" t="n">
        <v>2631</v>
      </c>
      <c r="D781" s="1" t="n">
        <v>87</v>
      </c>
      <c r="E781" s="4">
        <f>IF(INDEX(C:C, ROW())+INDEX(D:D, ROW())=0, 0, INDEX(C:C, ROW())/(INDEX(C:C, ROW())+INDEX(D:D, ROW())))</f>
        <v/>
      </c>
      <c r="F781" s="1" t="inlineStr">
        <is>
          <t>Hash Table, String, Dynamic Programming, Graph Theory, Topological Sort, Memoization, Counting</t>
        </is>
      </c>
      <c r="G781" s="1" t="inlineStr">
        <is>
          <t>Hard</t>
        </is>
      </c>
      <c r="H781" s="1" t="n">
        <v>150321</v>
      </c>
      <c r="I781" s="1" t="n">
        <v>262453</v>
      </c>
      <c r="J781" s="9" t="n">
        <v>0.573</v>
      </c>
      <c r="K781" s="1" t="inlineStr">
        <is>
          <t>Yes</t>
        </is>
      </c>
      <c r="L781" s="1" t="inlineStr">
        <is>
          <t>Yes</t>
        </is>
      </c>
      <c r="M781" s="1" t="inlineStr">
        <is>
          <t>No</t>
        </is>
      </c>
      <c r="N781" s="1" t="inlineStr">
        <is>
          <t>Algorithms</t>
        </is>
      </c>
      <c r="O7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81" s="11" t="inlineStr">
        <is>
          <t>To Do</t>
        </is>
      </c>
    </row>
    <row r="782" ht="15.75" customHeight="1" s="12">
      <c r="A782" s="1" t="n">
        <v>2215</v>
      </c>
      <c r="B782" s="3">
        <f>HYPERLINK("https://leetcode.com/problems/find-the-difference-of-two-arrays/", "Find the Difference of Two Arrays")</f>
        <v/>
      </c>
      <c r="C782" s="1" t="n">
        <v>2630</v>
      </c>
      <c r="D782" s="1" t="n">
        <v>129</v>
      </c>
      <c r="E782" s="4">
        <f>IF(INDEX(C:C, ROW())+INDEX(D:D, ROW())=0, 0, INDEX(C:C, ROW())/(INDEX(C:C, ROW())+INDEX(D:D, ROW())))</f>
        <v/>
      </c>
      <c r="F782" s="1" t="inlineStr">
        <is>
          <t>Array, Hash Table</t>
        </is>
      </c>
      <c r="G782" s="1" t="inlineStr">
        <is>
          <t>Easy</t>
        </is>
      </c>
      <c r="H782" s="1" t="n">
        <v>647930</v>
      </c>
      <c r="I782" s="1" t="n">
        <v>795776</v>
      </c>
      <c r="J782" s="9" t="n">
        <v>0.8139999999999999</v>
      </c>
      <c r="K782" s="1" t="inlineStr">
        <is>
          <t>Yes</t>
        </is>
      </c>
      <c r="L782" s="1" t="inlineStr">
        <is>
          <t>Yes</t>
        </is>
      </c>
      <c r="M782" s="1" t="inlineStr">
        <is>
          <t>No</t>
        </is>
      </c>
      <c r="N782" s="1" t="inlineStr">
        <is>
          <t>Algorithms</t>
        </is>
      </c>
      <c r="O7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82" s="13" t="inlineStr">
        <is>
          <t>Done</t>
        </is>
      </c>
    </row>
    <row r="783" ht="15.75" customHeight="1" s="12">
      <c r="A783" s="1" t="n">
        <v>1910</v>
      </c>
      <c r="B783" s="3">
        <f>HYPERLINK("https://leetcode.com/problems/remove-all-occurrences-of-a-substring/", "Remove All Occurrences of a Substring")</f>
        <v/>
      </c>
      <c r="C783" s="1" t="n">
        <v>2627</v>
      </c>
      <c r="D783" s="1" t="n">
        <v>90</v>
      </c>
      <c r="E783" s="4">
        <f>IF(INDEX(C:C, ROW())+INDEX(D:D, ROW())=0, 0, INDEX(C:C, ROW())/(INDEX(C:C, ROW())+INDEX(D:D, ROW())))</f>
        <v/>
      </c>
      <c r="F783" s="1" t="inlineStr">
        <is>
          <t>String, Stack, Simulation</t>
        </is>
      </c>
      <c r="G783" s="1" t="inlineStr">
        <is>
          <t>Medium</t>
        </is>
      </c>
      <c r="H783" s="1" t="n">
        <v>401928</v>
      </c>
      <c r="I783" s="1" t="n">
        <v>512215</v>
      </c>
      <c r="J783" s="9" t="n">
        <v>0.785</v>
      </c>
      <c r="K783" s="1" t="inlineStr">
        <is>
          <t>Yes</t>
        </is>
      </c>
      <c r="L783" s="1" t="inlineStr">
        <is>
          <t>Yes</t>
        </is>
      </c>
      <c r="M783" s="1" t="inlineStr">
        <is>
          <t>No</t>
        </is>
      </c>
      <c r="N783" s="1" t="inlineStr">
        <is>
          <t>Algorithms</t>
        </is>
      </c>
      <c r="O7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83" s="11" t="inlineStr">
        <is>
          <t>To Do</t>
        </is>
      </c>
    </row>
    <row r="784" ht="15.75" customHeight="1" s="12">
      <c r="A784" s="1" t="n">
        <v>689</v>
      </c>
      <c r="B784" s="3">
        <f>HYPERLINK("https://leetcode.com/problems/maximum-sum-of-3-non-overlapping-subarrays/", "Maximum Sum of 3 Non-Overlapping Subarrays")</f>
        <v/>
      </c>
      <c r="C784" s="1" t="n">
        <v>2624</v>
      </c>
      <c r="D784" s="1" t="n">
        <v>159</v>
      </c>
      <c r="E784" s="4">
        <f>IF(INDEX(C:C, ROW())+INDEX(D:D, ROW())=0, 0, INDEX(C:C, ROW())/(INDEX(C:C, ROW())+INDEX(D:D, ROW())))</f>
        <v/>
      </c>
      <c r="F784" s="1" t="inlineStr">
        <is>
          <t>Array, Dynamic Programming, Sliding Window, Prefix Sum</t>
        </is>
      </c>
      <c r="G784" s="1" t="inlineStr">
        <is>
          <t>Hard</t>
        </is>
      </c>
      <c r="H784" s="1" t="n">
        <v>156426</v>
      </c>
      <c r="I784" s="1" t="n">
        <v>261643</v>
      </c>
      <c r="J784" s="9" t="n">
        <v>0.598</v>
      </c>
      <c r="K784" s="1" t="inlineStr">
        <is>
          <t>Yes</t>
        </is>
      </c>
      <c r="L784" s="1" t="inlineStr">
        <is>
          <t>Yes</t>
        </is>
      </c>
      <c r="M784" s="1" t="inlineStr">
        <is>
          <t>No</t>
        </is>
      </c>
      <c r="N784" s="1" t="inlineStr">
        <is>
          <t>Algorithms</t>
        </is>
      </c>
      <c r="O7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84" s="11" t="inlineStr">
        <is>
          <t>To Do</t>
        </is>
      </c>
    </row>
    <row r="785" ht="15.75" customHeight="1" s="12">
      <c r="A785" s="1" t="n">
        <v>1464</v>
      </c>
      <c r="B785" s="3">
        <f>HYPERLINK("https://leetcode.com/problems/maximum-product-of-two-elements-in-an-array/", "Maximum Product of Two Elements in an Array")</f>
        <v/>
      </c>
      <c r="C785" s="1" t="n">
        <v>2624</v>
      </c>
      <c r="D785" s="1" t="n">
        <v>240</v>
      </c>
      <c r="E785" s="4">
        <f>IF(INDEX(C:C, ROW())+INDEX(D:D, ROW())=0, 0, INDEX(C:C, ROW())/(INDEX(C:C, ROW())+INDEX(D:D, ROW())))</f>
        <v/>
      </c>
      <c r="F785" s="1" t="inlineStr">
        <is>
          <t>Array, Sorting, Heap (Priority Queue)</t>
        </is>
      </c>
      <c r="G785" s="1" t="inlineStr">
        <is>
          <t>Easy</t>
        </is>
      </c>
      <c r="H785" s="1" t="n">
        <v>495558</v>
      </c>
      <c r="I785" s="1" t="n">
        <v>592779</v>
      </c>
      <c r="J785" s="9" t="n">
        <v>0.836</v>
      </c>
      <c r="K785" s="1" t="inlineStr">
        <is>
          <t>Yes</t>
        </is>
      </c>
      <c r="L785" s="1" t="inlineStr">
        <is>
          <t>Yes</t>
        </is>
      </c>
      <c r="M785" s="1" t="inlineStr">
        <is>
          <t>No</t>
        </is>
      </c>
      <c r="N785" s="1" t="inlineStr">
        <is>
          <t>Algorithms</t>
        </is>
      </c>
      <c r="O7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85" s="13" t="inlineStr">
        <is>
          <t>Done</t>
        </is>
      </c>
    </row>
    <row r="786" ht="15.75" customHeight="1" s="12">
      <c r="A786" s="1" t="n">
        <v>804</v>
      </c>
      <c r="B786" s="3">
        <f>HYPERLINK("https://leetcode.com/problems/unique-morse-code-words/", "Unique Morse Code Words")</f>
        <v/>
      </c>
      <c r="C786" s="1" t="n">
        <v>2621</v>
      </c>
      <c r="D786" s="1" t="n">
        <v>1554</v>
      </c>
      <c r="E786" s="4">
        <f>IF(INDEX(C:C, ROW())+INDEX(D:D, ROW())=0, 0, INDEX(C:C, ROW())/(INDEX(C:C, ROW())+INDEX(D:D, ROW())))</f>
        <v/>
      </c>
      <c r="F786" s="1" t="inlineStr">
        <is>
          <t>Array, Hash Table, String</t>
        </is>
      </c>
      <c r="G786" s="1" t="inlineStr">
        <is>
          <t>Easy</t>
        </is>
      </c>
      <c r="H786" s="1" t="n">
        <v>408976</v>
      </c>
      <c r="I786" s="1" t="n">
        <v>489219</v>
      </c>
      <c r="J786" s="9" t="n">
        <v>0.836</v>
      </c>
      <c r="K786" s="1" t="inlineStr">
        <is>
          <t>Yes</t>
        </is>
      </c>
      <c r="L786" s="1" t="inlineStr">
        <is>
          <t>Yes</t>
        </is>
      </c>
      <c r="M786" s="1" t="inlineStr">
        <is>
          <t>No</t>
        </is>
      </c>
      <c r="N786" s="1" t="inlineStr">
        <is>
          <t>Algorithms</t>
        </is>
      </c>
      <c r="O7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86" s="13" t="inlineStr">
        <is>
          <t>Done</t>
        </is>
      </c>
    </row>
    <row r="787" ht="15.75" customHeight="1" s="12">
      <c r="A787" s="1" t="n">
        <v>942</v>
      </c>
      <c r="B787" s="3">
        <f>HYPERLINK("https://leetcode.com/problems/di-string-match/", "DI String Match")</f>
        <v/>
      </c>
      <c r="C787" s="1" t="n">
        <v>2620</v>
      </c>
      <c r="D787" s="1" t="n">
        <v>1081</v>
      </c>
      <c r="E787" s="4">
        <f>IF(INDEX(C:C, ROW())+INDEX(D:D, ROW())=0, 0, INDEX(C:C, ROW())/(INDEX(C:C, ROW())+INDEX(D:D, ROW())))</f>
        <v/>
      </c>
      <c r="F787" s="1" t="inlineStr">
        <is>
          <t>Array, Two Pointers, String, Greedy</t>
        </is>
      </c>
      <c r="G787" s="1" t="inlineStr">
        <is>
          <t>Easy</t>
        </is>
      </c>
      <c r="H787" s="1" t="n">
        <v>209784</v>
      </c>
      <c r="I787" s="1" t="n">
        <v>258859</v>
      </c>
      <c r="J787" s="9" t="n">
        <v>0.8100000000000001</v>
      </c>
      <c r="K787" s="1" t="inlineStr">
        <is>
          <t>Yes</t>
        </is>
      </c>
      <c r="L787" s="1" t="inlineStr">
        <is>
          <t>Yes</t>
        </is>
      </c>
      <c r="M787" s="1" t="inlineStr">
        <is>
          <t>No</t>
        </is>
      </c>
      <c r="N787" s="1" t="inlineStr">
        <is>
          <t>Algorithms</t>
        </is>
      </c>
      <c r="O7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87" s="13" t="inlineStr">
        <is>
          <t>Done</t>
        </is>
      </c>
    </row>
    <row r="788" ht="15.75" customHeight="1" s="12">
      <c r="A788" s="1" t="n">
        <v>880</v>
      </c>
      <c r="B788" s="3">
        <f>HYPERLINK("https://leetcode.com/problems/decoded-string-at-index/", "Decoded String at Index")</f>
        <v/>
      </c>
      <c r="C788" s="1" t="n">
        <v>2614</v>
      </c>
      <c r="D788" s="1" t="n">
        <v>368</v>
      </c>
      <c r="E788" s="4">
        <f>IF(INDEX(C:C, ROW())+INDEX(D:D, ROW())=0, 0, INDEX(C:C, ROW())/(INDEX(C:C, ROW())+INDEX(D:D, ROW())))</f>
        <v/>
      </c>
      <c r="F788" s="1" t="inlineStr">
        <is>
          <t>String, Stack</t>
        </is>
      </c>
      <c r="G788" s="1" t="inlineStr">
        <is>
          <t>Medium</t>
        </is>
      </c>
      <c r="H788" s="1" t="n">
        <v>108382</v>
      </c>
      <c r="I788" s="1" t="n">
        <v>290561</v>
      </c>
      <c r="J788" s="9" t="n">
        <v>0.373</v>
      </c>
      <c r="K788" s="1" t="inlineStr">
        <is>
          <t>Yes</t>
        </is>
      </c>
      <c r="L788" s="1" t="inlineStr">
        <is>
          <t>Yes</t>
        </is>
      </c>
      <c r="M788" s="1" t="inlineStr">
        <is>
          <t>No</t>
        </is>
      </c>
      <c r="N788" s="1" t="inlineStr">
        <is>
          <t>Algorithms</t>
        </is>
      </c>
      <c r="O7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88" s="11" t="inlineStr">
        <is>
          <t>To Do</t>
        </is>
      </c>
    </row>
    <row r="789" ht="15.75" customHeight="1" s="12">
      <c r="A789" s="1" t="n">
        <v>1653</v>
      </c>
      <c r="B789" s="3">
        <f>HYPERLINK("https://leetcode.com/problems/minimum-deletions-to-make-string-balanced/", "Minimum Deletions to Make String Balanced")</f>
        <v/>
      </c>
      <c r="C789" s="1" t="n">
        <v>2612</v>
      </c>
      <c r="D789" s="1" t="n">
        <v>83</v>
      </c>
      <c r="E789" s="4">
        <f>IF(INDEX(C:C, ROW())+INDEX(D:D, ROW())=0, 0, INDEX(C:C, ROW())/(INDEX(C:C, ROW())+INDEX(D:D, ROW())))</f>
        <v/>
      </c>
      <c r="F789" s="1" t="inlineStr">
        <is>
          <t>String, Dynamic Programming, Stack</t>
        </is>
      </c>
      <c r="G789" s="1" t="inlineStr">
        <is>
          <t>Medium</t>
        </is>
      </c>
      <c r="H789" s="1" t="n">
        <v>290824</v>
      </c>
      <c r="I789" s="1" t="n">
        <v>426569</v>
      </c>
      <c r="J789" s="9" t="n">
        <v>0.6820000000000001</v>
      </c>
      <c r="K789" s="1" t="inlineStr">
        <is>
          <t>Yes</t>
        </is>
      </c>
      <c r="L789" s="1" t="inlineStr">
        <is>
          <t>Yes</t>
        </is>
      </c>
      <c r="M789" s="1" t="inlineStr">
        <is>
          <t>No</t>
        </is>
      </c>
      <c r="N789" s="1" t="inlineStr">
        <is>
          <t>Algorithms</t>
        </is>
      </c>
      <c r="O7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89" s="11" t="inlineStr">
        <is>
          <t>To Do</t>
        </is>
      </c>
    </row>
    <row r="790" ht="15.75" customHeight="1" s="12">
      <c r="A790" s="1" t="n">
        <v>185</v>
      </c>
      <c r="B790" s="3">
        <f>HYPERLINK("https://leetcode.com/problems/department-top-three-salaries/", "Department Top Three Salaries")</f>
        <v/>
      </c>
      <c r="C790" s="1" t="n">
        <v>2611</v>
      </c>
      <c r="D790" s="1" t="n">
        <v>282</v>
      </c>
      <c r="E790" s="4">
        <f>IF(INDEX(C:C, ROW())+INDEX(D:D, ROW())=0, 0, INDEX(C:C, ROW())/(INDEX(C:C, ROW())+INDEX(D:D, ROW())))</f>
        <v/>
      </c>
      <c r="F790" s="1" t="inlineStr">
        <is>
          <t>Database</t>
        </is>
      </c>
      <c r="G790" s="1" t="inlineStr">
        <is>
          <t>Hard</t>
        </is>
      </c>
      <c r="H790" s="1" t="n">
        <v>663143</v>
      </c>
      <c r="I790" s="1" t="n">
        <v>1098061</v>
      </c>
      <c r="J790" s="9" t="n">
        <v>0.604</v>
      </c>
      <c r="K790" s="1" t="inlineStr">
        <is>
          <t>Yes</t>
        </is>
      </c>
      <c r="L790" s="1" t="inlineStr">
        <is>
          <t>Yes</t>
        </is>
      </c>
      <c r="M790" s="1" t="inlineStr">
        <is>
          <t>No</t>
        </is>
      </c>
      <c r="N790" s="1" t="inlineStr">
        <is>
          <t>Database</t>
        </is>
      </c>
      <c r="O7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90" s="11" t="inlineStr">
        <is>
          <t>To Do</t>
        </is>
      </c>
    </row>
    <row r="791" ht="15.75" customHeight="1" s="12">
      <c r="A791" s="1" t="n">
        <v>539</v>
      </c>
      <c r="B791" s="3">
        <f>HYPERLINK("https://leetcode.com/problems/minimum-time-difference/", "Minimum Time Difference")</f>
        <v/>
      </c>
      <c r="C791" s="1" t="n">
        <v>2608</v>
      </c>
      <c r="D791" s="1" t="n">
        <v>320</v>
      </c>
      <c r="E791" s="4">
        <f>IF(INDEX(C:C, ROW())+INDEX(D:D, ROW())=0, 0, INDEX(C:C, ROW())/(INDEX(C:C, ROW())+INDEX(D:D, ROW())))</f>
        <v/>
      </c>
      <c r="F791" s="1" t="inlineStr">
        <is>
          <t>Array, Math, String, Sorting</t>
        </is>
      </c>
      <c r="G791" s="1" t="inlineStr">
        <is>
          <t>Medium</t>
        </is>
      </c>
      <c r="H791" s="1" t="n">
        <v>349123</v>
      </c>
      <c r="I791" s="1" t="n">
        <v>557709</v>
      </c>
      <c r="J791" s="9" t="n">
        <v>0.626</v>
      </c>
      <c r="K791" s="1" t="inlineStr">
        <is>
          <t>Yes</t>
        </is>
      </c>
      <c r="L791" s="1" t="inlineStr">
        <is>
          <t>Yes</t>
        </is>
      </c>
      <c r="M791" s="1" t="inlineStr">
        <is>
          <t>No</t>
        </is>
      </c>
      <c r="N791" s="1" t="inlineStr">
        <is>
          <t>Algorithms</t>
        </is>
      </c>
      <c r="O7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91" s="11" t="inlineStr">
        <is>
          <t>To Do</t>
        </is>
      </c>
    </row>
    <row r="792" ht="15.75" customHeight="1" s="12">
      <c r="A792" s="1" t="n">
        <v>1368</v>
      </c>
      <c r="B792" s="3">
        <f>HYPERLINK("https://leetcode.com/problems/minimum-cost-to-make-at-least-one-valid-path-in-a-grid/", "Minimum Cost to Make at Least One Valid Path in a Grid")</f>
        <v/>
      </c>
      <c r="C792" s="1" t="n">
        <v>2605</v>
      </c>
      <c r="D792" s="1" t="n">
        <v>36</v>
      </c>
      <c r="E792" s="4">
        <f>IF(INDEX(C:C, ROW())+INDEX(D:D, ROW())=0, 0, INDEX(C:C, ROW())/(INDEX(C:C, ROW())+INDEX(D:D, ROW())))</f>
        <v/>
      </c>
      <c r="F792" s="1" t="inlineStr">
        <is>
          <t>Array, Breadth-First Search, Graph Theory, Heap (Priority Queue), Matrix, Shortest Path</t>
        </is>
      </c>
      <c r="G792" s="1" t="inlineStr">
        <is>
          <t>Hard</t>
        </is>
      </c>
      <c r="H792" s="1" t="n">
        <v>167386</v>
      </c>
      <c r="I792" s="1" t="n">
        <v>235894</v>
      </c>
      <c r="J792" s="9" t="n">
        <v>0.71</v>
      </c>
      <c r="K792" s="1" t="inlineStr">
        <is>
          <t>Yes</t>
        </is>
      </c>
      <c r="L792" s="1" t="inlineStr">
        <is>
          <t>Yes</t>
        </is>
      </c>
      <c r="M792" s="1" t="inlineStr">
        <is>
          <t>No</t>
        </is>
      </c>
      <c r="N792" s="1" t="inlineStr">
        <is>
          <t>Algorithms</t>
        </is>
      </c>
      <c r="O7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92" s="11" t="inlineStr">
        <is>
          <t>To Do</t>
        </is>
      </c>
    </row>
    <row r="793" ht="15.75" customHeight="1" s="12">
      <c r="A793" s="1" t="n">
        <v>925</v>
      </c>
      <c r="B793" s="3">
        <f>HYPERLINK("https://leetcode.com/problems/long-pressed-name/", "Long Pressed Name")</f>
        <v/>
      </c>
      <c r="C793" s="1" t="n">
        <v>2603</v>
      </c>
      <c r="D793" s="1" t="n">
        <v>409</v>
      </c>
      <c r="E793" s="4">
        <f>IF(INDEX(C:C, ROW())+INDEX(D:D, ROW())=0, 0, INDEX(C:C, ROW())/(INDEX(C:C, ROW())+INDEX(D:D, ROW())))</f>
        <v/>
      </c>
      <c r="F793" s="1" t="inlineStr">
        <is>
          <t>Two Pointers, String</t>
        </is>
      </c>
      <c r="G793" s="1" t="inlineStr">
        <is>
          <t>Easy</t>
        </is>
      </c>
      <c r="H793" s="1" t="n">
        <v>193608</v>
      </c>
      <c r="I793" s="1" t="n">
        <v>588688</v>
      </c>
      <c r="J793" s="9" t="n">
        <v>0.329</v>
      </c>
      <c r="K793" s="1" t="inlineStr">
        <is>
          <t>Yes</t>
        </is>
      </c>
      <c r="L793" s="1" t="inlineStr">
        <is>
          <t>Yes</t>
        </is>
      </c>
      <c r="M793" s="1" t="inlineStr">
        <is>
          <t>No</t>
        </is>
      </c>
      <c r="N793" s="1" t="inlineStr">
        <is>
          <t>Algorithms</t>
        </is>
      </c>
      <c r="O7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93" s="13" t="inlineStr">
        <is>
          <t>Done</t>
        </is>
      </c>
    </row>
    <row r="794" ht="15.75" customHeight="1" s="12">
      <c r="A794" s="1" t="n">
        <v>1770</v>
      </c>
      <c r="B794" s="3">
        <f>HYPERLINK("https://leetcode.com/problems/maximum-score-from-performing-multiplication-operations/", "Maximum Score from Performing Multiplication Operations")</f>
        <v/>
      </c>
      <c r="C794" s="1" t="n">
        <v>2603</v>
      </c>
      <c r="D794" s="1" t="n">
        <v>514</v>
      </c>
      <c r="E794" s="4">
        <f>IF(INDEX(C:C, ROW())+INDEX(D:D, ROW())=0, 0, INDEX(C:C, ROW())/(INDEX(C:C, ROW())+INDEX(D:D, ROW())))</f>
        <v/>
      </c>
      <c r="F794" s="1" t="inlineStr">
        <is>
          <t>Array, Dynamic Programming</t>
        </is>
      </c>
      <c r="G794" s="1" t="inlineStr">
        <is>
          <t>Hard</t>
        </is>
      </c>
      <c r="H794" s="1" t="n">
        <v>135557</v>
      </c>
      <c r="I794" s="1" t="n">
        <v>312783</v>
      </c>
      <c r="J794" s="9" t="n">
        <v>0.433</v>
      </c>
      <c r="K794" s="1" t="inlineStr">
        <is>
          <t>Yes</t>
        </is>
      </c>
      <c r="L794" s="1" t="inlineStr">
        <is>
          <t>Yes</t>
        </is>
      </c>
      <c r="M794" s="1" t="inlineStr">
        <is>
          <t>No</t>
        </is>
      </c>
      <c r="N794" s="1" t="inlineStr">
        <is>
          <t>Algorithms</t>
        </is>
      </c>
      <c r="O7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94" s="11" t="inlineStr">
        <is>
          <t>To Do</t>
        </is>
      </c>
    </row>
    <row r="795" ht="15.75" customHeight="1" s="12">
      <c r="A795" s="1" t="n">
        <v>1903</v>
      </c>
      <c r="B795" s="3">
        <f>HYPERLINK("https://leetcode.com/problems/largest-odd-number-in-string/", "Largest Odd Number in String")</f>
        <v/>
      </c>
      <c r="C795" s="1" t="n">
        <v>2595</v>
      </c>
      <c r="D795" s="1" t="n">
        <v>149</v>
      </c>
      <c r="E795" s="4">
        <f>IF(INDEX(C:C, ROW())+INDEX(D:D, ROW())=0, 0, INDEX(C:C, ROW())/(INDEX(C:C, ROW())+INDEX(D:D, ROW())))</f>
        <v/>
      </c>
      <c r="F795" s="1" t="inlineStr">
        <is>
          <t>Math, String, Greedy</t>
        </is>
      </c>
      <c r="G795" s="1" t="inlineStr">
        <is>
          <t>Easy</t>
        </is>
      </c>
      <c r="H795" s="1" t="n">
        <v>572155</v>
      </c>
      <c r="I795" s="1" t="n">
        <v>849512</v>
      </c>
      <c r="J795" s="9" t="n">
        <v>0.674</v>
      </c>
      <c r="K795" s="1" t="inlineStr">
        <is>
          <t>Yes</t>
        </is>
      </c>
      <c r="L795" s="1" t="inlineStr">
        <is>
          <t>Yes</t>
        </is>
      </c>
      <c r="M795" s="1" t="inlineStr">
        <is>
          <t>No</t>
        </is>
      </c>
      <c r="N795" s="1" t="inlineStr">
        <is>
          <t>Algorithms</t>
        </is>
      </c>
      <c r="O7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95" s="13" t="inlineStr">
        <is>
          <t>Done</t>
        </is>
      </c>
    </row>
    <row r="796" ht="15.75" customHeight="1" s="12">
      <c r="A796" s="1" t="n">
        <v>2439</v>
      </c>
      <c r="B796" s="3">
        <f>HYPERLINK("https://leetcode.com/problems/minimize-maximum-of-array/", "Minimize Maximum of Array")</f>
        <v/>
      </c>
      <c r="C796" s="1" t="n">
        <v>2595</v>
      </c>
      <c r="D796" s="1" t="n">
        <v>646</v>
      </c>
      <c r="E796" s="4">
        <f>IF(INDEX(C:C, ROW())+INDEX(D:D, ROW())=0, 0, INDEX(C:C, ROW())/(INDEX(C:C, ROW())+INDEX(D:D, ROW())))</f>
        <v/>
      </c>
      <c r="F796" s="1" t="inlineStr">
        <is>
          <t>Array, Binary Search, Dynamic Programming, Greedy, Prefix Sum</t>
        </is>
      </c>
      <c r="G796" s="1" t="inlineStr">
        <is>
          <t>Medium</t>
        </is>
      </c>
      <c r="H796" s="1" t="n">
        <v>100003</v>
      </c>
      <c r="I796" s="1" t="n">
        <v>215032</v>
      </c>
      <c r="J796" s="9" t="n">
        <v>0.465</v>
      </c>
      <c r="K796" s="1" t="inlineStr">
        <is>
          <t>Yes</t>
        </is>
      </c>
      <c r="L796" s="1" t="inlineStr">
        <is>
          <t>Yes</t>
        </is>
      </c>
      <c r="M796" s="1" t="inlineStr">
        <is>
          <t>No</t>
        </is>
      </c>
      <c r="N796" s="1" t="inlineStr">
        <is>
          <t>Algorithms</t>
        </is>
      </c>
      <c r="O7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96" s="11" t="inlineStr">
        <is>
          <t>To Do</t>
        </is>
      </c>
    </row>
    <row r="797" ht="15.75" customHeight="1" s="12">
      <c r="A797" s="1" t="n">
        <v>166</v>
      </c>
      <c r="B797" s="3">
        <f>HYPERLINK("https://leetcode.com/problems/fraction-to-recurring-decimal/", "Fraction to Recurring Decimal")</f>
        <v/>
      </c>
      <c r="C797" s="1" t="n">
        <v>2592</v>
      </c>
      <c r="D797" s="1" t="n">
        <v>3863</v>
      </c>
      <c r="E797" s="4">
        <f>IF(INDEX(C:C, ROW())+INDEX(D:D, ROW())=0, 0, INDEX(C:C, ROW())/(INDEX(C:C, ROW())+INDEX(D:D, ROW())))</f>
        <v/>
      </c>
      <c r="F797" s="1" t="inlineStr">
        <is>
          <t>Hash Table, Math, String</t>
        </is>
      </c>
      <c r="G797" s="1" t="inlineStr">
        <is>
          <t>Medium</t>
        </is>
      </c>
      <c r="H797" s="1" t="n">
        <v>363987</v>
      </c>
      <c r="I797" s="1" t="n">
        <v>1179288</v>
      </c>
      <c r="J797" s="9" t="n">
        <v>0.309</v>
      </c>
      <c r="K797" s="1" t="inlineStr">
        <is>
          <t>Yes</t>
        </is>
      </c>
      <c r="L797" s="1" t="inlineStr">
        <is>
          <t>Yes</t>
        </is>
      </c>
      <c r="M797" s="1" t="inlineStr">
        <is>
          <t>No</t>
        </is>
      </c>
      <c r="N797" s="1" t="inlineStr">
        <is>
          <t>Algorithms</t>
        </is>
      </c>
      <c r="O7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97" s="11" t="inlineStr">
        <is>
          <t>To Do</t>
        </is>
      </c>
    </row>
    <row r="798" ht="15.75" customHeight="1" s="12">
      <c r="A798" s="1" t="n">
        <v>1963</v>
      </c>
      <c r="B798" s="3">
        <f>HYPERLINK("https://leetcode.com/problems/minimum-number-of-swaps-to-make-the-string-balanced/", "Minimum Number of Swaps to Make the String Balanced")</f>
        <v/>
      </c>
      <c r="C798" s="1" t="n">
        <v>2570</v>
      </c>
      <c r="D798" s="1" t="n">
        <v>151</v>
      </c>
      <c r="E798" s="4">
        <f>IF(INDEX(C:C, ROW())+INDEX(D:D, ROW())=0, 0, INDEX(C:C, ROW())/(INDEX(C:C, ROW())+INDEX(D:D, ROW())))</f>
        <v/>
      </c>
      <c r="F798" s="1" t="inlineStr">
        <is>
          <t>Two Pointers, String, Stack, Greedy</t>
        </is>
      </c>
      <c r="G798" s="1" t="inlineStr">
        <is>
          <t>Medium</t>
        </is>
      </c>
      <c r="H798" s="1" t="n">
        <v>246364</v>
      </c>
      <c r="I798" s="1" t="n">
        <v>315704</v>
      </c>
      <c r="J798" s="9" t="n">
        <v>0.78</v>
      </c>
      <c r="K798" s="1" t="inlineStr">
        <is>
          <t>Yes</t>
        </is>
      </c>
      <c r="L798" s="1" t="inlineStr">
        <is>
          <t>Yes</t>
        </is>
      </c>
      <c r="M798" s="1" t="inlineStr">
        <is>
          <t>No</t>
        </is>
      </c>
      <c r="N798" s="1" t="inlineStr">
        <is>
          <t>Algorithms</t>
        </is>
      </c>
      <c r="O7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98" s="11" t="inlineStr">
        <is>
          <t>To Do</t>
        </is>
      </c>
    </row>
    <row r="799" ht="15.75" customHeight="1" s="12">
      <c r="A799" s="1" t="n">
        <v>2007</v>
      </c>
      <c r="B799" s="3">
        <f>HYPERLINK("https://leetcode.com/problems/find-original-array-from-doubled-array/", "Find Original Array From Doubled Array")</f>
        <v/>
      </c>
      <c r="C799" s="1" t="n">
        <v>2568</v>
      </c>
      <c r="D799" s="1" t="n">
        <v>120</v>
      </c>
      <c r="E799" s="4">
        <f>IF(INDEX(C:C, ROW())+INDEX(D:D, ROW())=0, 0, INDEX(C:C, ROW())/(INDEX(C:C, ROW())+INDEX(D:D, ROW())))</f>
        <v/>
      </c>
      <c r="F799" s="1" t="inlineStr">
        <is>
          <t>Array, Hash Table, Greedy, Sorting</t>
        </is>
      </c>
      <c r="G799" s="1" t="inlineStr">
        <is>
          <t>Medium</t>
        </is>
      </c>
      <c r="H799" s="1" t="n">
        <v>155801</v>
      </c>
      <c r="I799" s="1" t="n">
        <v>381896</v>
      </c>
      <c r="J799" s="9" t="n">
        <v>0.408</v>
      </c>
      <c r="K799" s="1" t="inlineStr">
        <is>
          <t>Yes</t>
        </is>
      </c>
      <c r="L799" s="1" t="inlineStr">
        <is>
          <t>Yes</t>
        </is>
      </c>
      <c r="M799" s="1" t="inlineStr">
        <is>
          <t>No</t>
        </is>
      </c>
      <c r="N799" s="1" t="inlineStr">
        <is>
          <t>Algorithms</t>
        </is>
      </c>
      <c r="O7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799" s="11" t="inlineStr">
        <is>
          <t>To Do</t>
        </is>
      </c>
    </row>
    <row r="800" ht="15.75" customHeight="1" s="12">
      <c r="A800" s="1" t="n">
        <v>1371</v>
      </c>
      <c r="B800" s="3">
        <f>HYPERLINK("https://leetcode.com/problems/find-the-longest-substring-containing-vowels-in-even-counts/", "Find the Longest Substring Containing Vowels in Even Counts")</f>
        <v/>
      </c>
      <c r="C800" s="1" t="n">
        <v>2567</v>
      </c>
      <c r="D800" s="1" t="n">
        <v>142</v>
      </c>
      <c r="E800" s="4">
        <f>IF(INDEX(C:C, ROW())+INDEX(D:D, ROW())=0, 0, INDEX(C:C, ROW())/(INDEX(C:C, ROW())+INDEX(D:D, ROW())))</f>
        <v/>
      </c>
      <c r="F800" s="1" t="inlineStr">
        <is>
          <t>Hash Table, String, Bit Manipulation, Prefix Sum</t>
        </is>
      </c>
      <c r="G800" s="1" t="inlineStr">
        <is>
          <t>Medium</t>
        </is>
      </c>
      <c r="H800" s="1" t="n">
        <v>141566</v>
      </c>
      <c r="I800" s="1" t="n">
        <v>187264</v>
      </c>
      <c r="J800" s="9" t="n">
        <v>0.756</v>
      </c>
      <c r="K800" s="1" t="inlineStr">
        <is>
          <t>Yes</t>
        </is>
      </c>
      <c r="L800" s="1" t="inlineStr">
        <is>
          <t>Yes</t>
        </is>
      </c>
      <c r="M800" s="1" t="inlineStr">
        <is>
          <t>No</t>
        </is>
      </c>
      <c r="N800" s="1" t="inlineStr">
        <is>
          <t>Algorithms</t>
        </is>
      </c>
      <c r="O8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00" s="11" t="inlineStr">
        <is>
          <t>To Do</t>
        </is>
      </c>
    </row>
    <row r="801" ht="15.75" customHeight="1" s="12">
      <c r="A801" s="1" t="n">
        <v>2360</v>
      </c>
      <c r="B801" s="3">
        <f>HYPERLINK("https://leetcode.com/problems/longest-cycle-in-a-graph/", "Longest Cycle in a Graph")</f>
        <v/>
      </c>
      <c r="C801" s="1" t="n">
        <v>2564</v>
      </c>
      <c r="D801" s="1" t="n">
        <v>51</v>
      </c>
      <c r="E801" s="4">
        <f>IF(INDEX(C:C, ROW())+INDEX(D:D, ROW())=0, 0, INDEX(C:C, ROW())/(INDEX(C:C, ROW())+INDEX(D:D, ROW())))</f>
        <v/>
      </c>
      <c r="F801" s="1" t="inlineStr">
        <is>
          <t>Depth-First Search, Breadth-First Search, Graph Theory, Topological Sort</t>
        </is>
      </c>
      <c r="G801" s="1" t="inlineStr">
        <is>
          <t>Hard</t>
        </is>
      </c>
      <c r="H801" s="1" t="n">
        <v>107219</v>
      </c>
      <c r="I801" s="1" t="n">
        <v>211760</v>
      </c>
      <c r="J801" s="9" t="n">
        <v>0.506</v>
      </c>
      <c r="K801" s="1" t="inlineStr">
        <is>
          <t>Yes</t>
        </is>
      </c>
      <c r="L801" s="1" t="inlineStr">
        <is>
          <t>Yes</t>
        </is>
      </c>
      <c r="M801" s="1" t="inlineStr">
        <is>
          <t>No</t>
        </is>
      </c>
      <c r="N801" s="1" t="inlineStr">
        <is>
          <t>Algorithms</t>
        </is>
      </c>
      <c r="O8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01" s="11" t="inlineStr">
        <is>
          <t>To Do</t>
        </is>
      </c>
    </row>
    <row r="802" ht="15.75" customHeight="1" s="12">
      <c r="A802" s="1" t="n">
        <v>1751</v>
      </c>
      <c r="B802" s="3">
        <f>HYPERLINK("https://leetcode.com/problems/maximum-number-of-events-that-can-be-attended-ii/", "Maximum Number of Events That Can Be Attended II")</f>
        <v/>
      </c>
      <c r="C802" s="1" t="n">
        <v>2558</v>
      </c>
      <c r="D802" s="1" t="n">
        <v>54</v>
      </c>
      <c r="E802" s="4">
        <f>IF(INDEX(C:C, ROW())+INDEX(D:D, ROW())=0, 0, INDEX(C:C, ROW())/(INDEX(C:C, ROW())+INDEX(D:D, ROW())))</f>
        <v/>
      </c>
      <c r="F802" s="1" t="inlineStr">
        <is>
          <t>Array, Binary Search, Dynamic Programming, Sorting</t>
        </is>
      </c>
      <c r="G802" s="1" t="inlineStr">
        <is>
          <t>Hard</t>
        </is>
      </c>
      <c r="H802" s="1" t="n">
        <v>163727</v>
      </c>
      <c r="I802" s="1" t="n">
        <v>257827</v>
      </c>
      <c r="J802" s="9" t="n">
        <v>0.635</v>
      </c>
      <c r="K802" s="1" t="inlineStr">
        <is>
          <t>Yes</t>
        </is>
      </c>
      <c r="L802" s="1" t="inlineStr">
        <is>
          <t>Yes</t>
        </is>
      </c>
      <c r="M802" s="1" t="inlineStr">
        <is>
          <t>No</t>
        </is>
      </c>
      <c r="N802" s="1" t="inlineStr">
        <is>
          <t>Algorithms</t>
        </is>
      </c>
      <c r="O8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02" s="11" t="inlineStr">
        <is>
          <t>To Do</t>
        </is>
      </c>
    </row>
    <row r="803" ht="15.75" customHeight="1" s="12">
      <c r="A803" s="1" t="n">
        <v>2246</v>
      </c>
      <c r="B803" s="3">
        <f>HYPERLINK("https://leetcode.com/problems/longest-path-with-different-adjacent-characters/", "Longest Path With Different Adjacent Characters")</f>
        <v/>
      </c>
      <c r="C803" s="1" t="n">
        <v>2552</v>
      </c>
      <c r="D803" s="1" t="n">
        <v>61</v>
      </c>
      <c r="E803" s="4">
        <f>IF(INDEX(C:C, ROW())+INDEX(D:D, ROW())=0, 0, INDEX(C:C, ROW())/(INDEX(C:C, ROW())+INDEX(D:D, ROW())))</f>
        <v/>
      </c>
      <c r="F803" s="1" t="inlineStr">
        <is>
          <t>Array, String, Tree, Depth-First Search, Graph Theory, Topological Sort</t>
        </is>
      </c>
      <c r="G803" s="1" t="inlineStr">
        <is>
          <t>Hard</t>
        </is>
      </c>
      <c r="H803" s="1" t="n">
        <v>93207</v>
      </c>
      <c r="I803" s="1" t="n">
        <v>172685</v>
      </c>
      <c r="J803" s="9" t="n">
        <v>0.54</v>
      </c>
      <c r="K803" s="1" t="inlineStr">
        <is>
          <t>Yes</t>
        </is>
      </c>
      <c r="L803" s="1" t="inlineStr">
        <is>
          <t>Yes</t>
        </is>
      </c>
      <c r="M803" s="1" t="inlineStr">
        <is>
          <t>No</t>
        </is>
      </c>
      <c r="N803" s="1" t="inlineStr">
        <is>
          <t>Algorithms</t>
        </is>
      </c>
      <c r="O8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03" s="11" t="inlineStr">
        <is>
          <t>To Do</t>
        </is>
      </c>
    </row>
    <row r="804" ht="15.75" customHeight="1" s="12">
      <c r="A804" s="1" t="n">
        <v>89</v>
      </c>
      <c r="B804" s="3">
        <f>HYPERLINK("https://leetcode.com/problems/gray-code/", "Gray Code")</f>
        <v/>
      </c>
      <c r="C804" s="1" t="n">
        <v>2550</v>
      </c>
      <c r="D804" s="1" t="n">
        <v>2838</v>
      </c>
      <c r="E804" s="4">
        <f>IF(INDEX(C:C, ROW())+INDEX(D:D, ROW())=0, 0, INDEX(C:C, ROW())/(INDEX(C:C, ROW())+INDEX(D:D, ROW())))</f>
        <v/>
      </c>
      <c r="F804" s="1" t="inlineStr">
        <is>
          <t>Math, Backtracking, Bit Manipulation</t>
        </is>
      </c>
      <c r="G804" s="1" t="inlineStr">
        <is>
          <t>Medium</t>
        </is>
      </c>
      <c r="H804" s="1" t="n">
        <v>425630</v>
      </c>
      <c r="I804" s="1" t="n">
        <v>656678</v>
      </c>
      <c r="J804" s="9" t="n">
        <v>0.648</v>
      </c>
      <c r="K804" s="1" t="inlineStr">
        <is>
          <t>Yes</t>
        </is>
      </c>
      <c r="L804" s="1" t="inlineStr">
        <is>
          <t>Yes</t>
        </is>
      </c>
      <c r="M804" s="1" t="inlineStr">
        <is>
          <t>No</t>
        </is>
      </c>
      <c r="N804" s="1" t="inlineStr">
        <is>
          <t>Algorithms</t>
        </is>
      </c>
      <c r="O8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04" s="11" t="inlineStr">
        <is>
          <t>To Do</t>
        </is>
      </c>
    </row>
    <row r="805" ht="15.75" customHeight="1" s="12">
      <c r="A805" s="1" t="n">
        <v>1509</v>
      </c>
      <c r="B805" s="3">
        <f>HYPERLINK("https://leetcode.com/problems/minimum-difference-between-largest-and-smallest-value-in-three-moves/", "Minimum Difference Between Largest and Smallest Value in Three Moves")</f>
        <v/>
      </c>
      <c r="C805" s="1" t="n">
        <v>2549</v>
      </c>
      <c r="D805" s="1" t="n">
        <v>286</v>
      </c>
      <c r="E805" s="4">
        <f>IF(INDEX(C:C, ROW())+INDEX(D:D, ROW())=0, 0, INDEX(C:C, ROW())/(INDEX(C:C, ROW())+INDEX(D:D, ROW())))</f>
        <v/>
      </c>
      <c r="F805" s="1" t="inlineStr">
        <is>
          <t>Array, Greedy, Sorting</t>
        </is>
      </c>
      <c r="G805" s="1" t="inlineStr">
        <is>
          <t>Medium</t>
        </is>
      </c>
      <c r="H805" s="1" t="n">
        <v>251422</v>
      </c>
      <c r="I805" s="1" t="n">
        <v>424755</v>
      </c>
      <c r="J805" s="9" t="n">
        <v>0.592</v>
      </c>
      <c r="K805" s="1" t="inlineStr">
        <is>
          <t>Yes</t>
        </is>
      </c>
      <c r="L805" s="1" t="inlineStr">
        <is>
          <t>Yes</t>
        </is>
      </c>
      <c r="M805" s="1" t="inlineStr">
        <is>
          <t>No</t>
        </is>
      </c>
      <c r="N805" s="1" t="inlineStr">
        <is>
          <t>Algorithms</t>
        </is>
      </c>
      <c r="O8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05" s="11" t="inlineStr">
        <is>
          <t>To Do</t>
        </is>
      </c>
    </row>
    <row r="806" ht="15.75" customHeight="1" s="12">
      <c r="A806" s="1" t="n">
        <v>826</v>
      </c>
      <c r="B806" s="3">
        <f>HYPERLINK("https://leetcode.com/problems/most-profit-assigning-work/", "Most Profit Assigning Work")</f>
        <v/>
      </c>
      <c r="C806" s="1" t="n">
        <v>2544</v>
      </c>
      <c r="D806" s="1" t="n">
        <v>174</v>
      </c>
      <c r="E806" s="4">
        <f>IF(INDEX(C:C, ROW())+INDEX(D:D, ROW())=0, 0, INDEX(C:C, ROW())/(INDEX(C:C, ROW())+INDEX(D:D, ROW())))</f>
        <v/>
      </c>
      <c r="F806" s="1" t="inlineStr">
        <is>
          <t>Array, Two Pointers, Binary Search, Greedy, Sorting</t>
        </is>
      </c>
      <c r="G806" s="1" t="inlineStr">
        <is>
          <t>Medium</t>
        </is>
      </c>
      <c r="H806" s="1" t="n">
        <v>244823</v>
      </c>
      <c r="I806" s="1" t="n">
        <v>435689</v>
      </c>
      <c r="J806" s="9" t="n">
        <v>0.5620000000000001</v>
      </c>
      <c r="K806" s="1" t="inlineStr">
        <is>
          <t>Yes</t>
        </is>
      </c>
      <c r="L806" s="1" t="inlineStr">
        <is>
          <t>Yes</t>
        </is>
      </c>
      <c r="M806" s="1" t="inlineStr">
        <is>
          <t>No</t>
        </is>
      </c>
      <c r="N806" s="1" t="inlineStr">
        <is>
          <t>Algorithms</t>
        </is>
      </c>
      <c r="O8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06" s="11" t="inlineStr">
        <is>
          <t>To Do</t>
        </is>
      </c>
    </row>
    <row r="807" ht="15.75" customHeight="1" s="12">
      <c r="A807" s="1" t="n">
        <v>869</v>
      </c>
      <c r="B807" s="3">
        <f>HYPERLINK("https://leetcode.com/problems/reordered-power-of-2/", "Reordered Power of 2")</f>
        <v/>
      </c>
      <c r="C807" s="1" t="n">
        <v>2543</v>
      </c>
      <c r="D807" s="1" t="n">
        <v>499</v>
      </c>
      <c r="E807" s="4">
        <f>IF(INDEX(C:C, ROW())+INDEX(D:D, ROW())=0, 0, INDEX(C:C, ROW())/(INDEX(C:C, ROW())+INDEX(D:D, ROW())))</f>
        <v/>
      </c>
      <c r="F807" s="1" t="inlineStr">
        <is>
          <t>Hash Table, Math, Sorting, Counting, Enumeration</t>
        </is>
      </c>
      <c r="G807" s="1" t="inlineStr">
        <is>
          <t>Medium</t>
        </is>
      </c>
      <c r="H807" s="1" t="n">
        <v>229737</v>
      </c>
      <c r="I807" s="1" t="n">
        <v>348420</v>
      </c>
      <c r="J807" s="9" t="n">
        <v>0.659</v>
      </c>
      <c r="K807" s="1" t="inlineStr">
        <is>
          <t>Yes</t>
        </is>
      </c>
      <c r="L807" s="1" t="inlineStr">
        <is>
          <t>Yes</t>
        </is>
      </c>
      <c r="M807" s="1" t="inlineStr">
        <is>
          <t>No</t>
        </is>
      </c>
      <c r="N807" s="1" t="inlineStr">
        <is>
          <t>Algorithms</t>
        </is>
      </c>
      <c r="O8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07" s="11" t="inlineStr">
        <is>
          <t>To Do</t>
        </is>
      </c>
    </row>
    <row r="808" ht="15.75" customHeight="1" s="12">
      <c r="A808" s="1" t="n">
        <v>1346</v>
      </c>
      <c r="B808" s="3">
        <f>HYPERLINK("https://leetcode.com/problems/check-if-n-and-its-double-exist/", "Check If N and Its Double Exist")</f>
        <v/>
      </c>
      <c r="C808" s="1" t="n">
        <v>2535</v>
      </c>
      <c r="D808" s="1" t="n">
        <v>259</v>
      </c>
      <c r="E808" s="4">
        <f>IF(INDEX(C:C, ROW())+INDEX(D:D, ROW())=0, 0, INDEX(C:C, ROW())/(INDEX(C:C, ROW())+INDEX(D:D, ROW())))</f>
        <v/>
      </c>
      <c r="F808" s="1" t="inlineStr">
        <is>
          <t>Array, Hash Table, Two Pointers, Binary Search, Sorting</t>
        </is>
      </c>
      <c r="G808" s="1" t="inlineStr">
        <is>
          <t>Easy</t>
        </is>
      </c>
      <c r="H808" s="1" t="n">
        <v>632589</v>
      </c>
      <c r="I808" s="1" t="n">
        <v>1513587</v>
      </c>
      <c r="J808" s="9" t="n">
        <v>0.418</v>
      </c>
      <c r="K808" s="1" t="inlineStr">
        <is>
          <t>Yes</t>
        </is>
      </c>
      <c r="L808" s="1" t="inlineStr">
        <is>
          <t>Yes</t>
        </is>
      </c>
      <c r="M808" s="1" t="inlineStr">
        <is>
          <t>No</t>
        </is>
      </c>
      <c r="N808" s="1" t="inlineStr">
        <is>
          <t>Algorithms</t>
        </is>
      </c>
      <c r="O8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08" s="13" t="inlineStr">
        <is>
          <t>Done</t>
        </is>
      </c>
    </row>
    <row r="809" ht="15.75" customHeight="1" s="12">
      <c r="A809" s="1" t="n">
        <v>2448</v>
      </c>
      <c r="B809" s="3">
        <f>HYPERLINK("https://leetcode.com/problems/minimum-cost-to-make-array-equal/", "Minimum Cost to Make Array Equal")</f>
        <v/>
      </c>
      <c r="C809" s="1" t="n">
        <v>2534</v>
      </c>
      <c r="D809" s="1" t="n">
        <v>39</v>
      </c>
      <c r="E809" s="4">
        <f>IF(INDEX(C:C, ROW())+INDEX(D:D, ROW())=0, 0, INDEX(C:C, ROW())/(INDEX(C:C, ROW())+INDEX(D:D, ROW())))</f>
        <v/>
      </c>
      <c r="F809" s="1" t="inlineStr">
        <is>
          <t>Array, Binary Search, Greedy, Sorting, Prefix Sum</t>
        </is>
      </c>
      <c r="G809" s="1" t="inlineStr">
        <is>
          <t>Hard</t>
        </is>
      </c>
      <c r="H809" s="1" t="n">
        <v>78210</v>
      </c>
      <c r="I809" s="1" t="n">
        <v>167287</v>
      </c>
      <c r="J809" s="9" t="n">
        <v>0.468</v>
      </c>
      <c r="K809" s="1" t="inlineStr">
        <is>
          <t>Yes</t>
        </is>
      </c>
      <c r="L809" s="1" t="inlineStr">
        <is>
          <t>Yes</t>
        </is>
      </c>
      <c r="M809" s="1" t="inlineStr">
        <is>
          <t>No</t>
        </is>
      </c>
      <c r="N809" s="1" t="inlineStr">
        <is>
          <t>Algorithms</t>
        </is>
      </c>
      <c r="O8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09" s="11" t="inlineStr">
        <is>
          <t>To Do</t>
        </is>
      </c>
    </row>
    <row r="810" ht="15.75" customHeight="1" s="12">
      <c r="A810" s="1" t="n">
        <v>685</v>
      </c>
      <c r="B810" s="3">
        <f>HYPERLINK("https://leetcode.com/problems/redundant-connection-ii/", "Redundant Connection II")</f>
        <v/>
      </c>
      <c r="C810" s="1" t="n">
        <v>2530</v>
      </c>
      <c r="D810" s="1" t="n">
        <v>331</v>
      </c>
      <c r="E810" s="4">
        <f>IF(INDEX(C:C, ROW())+INDEX(D:D, ROW())=0, 0, INDEX(C:C, ROW())/(INDEX(C:C, ROW())+INDEX(D:D, ROW())))</f>
        <v/>
      </c>
      <c r="F810" s="1" t="inlineStr">
        <is>
          <t>Depth-First Search, Breadth-First Search, Union-Find, Graph Theory</t>
        </is>
      </c>
      <c r="G810" s="1" t="inlineStr">
        <is>
          <t>Hard</t>
        </is>
      </c>
      <c r="H810" s="1" t="n">
        <v>92150</v>
      </c>
      <c r="I810" s="1" t="n">
        <v>254888</v>
      </c>
      <c r="J810" s="9" t="n">
        <v>0.362</v>
      </c>
      <c r="K810" s="1" t="inlineStr">
        <is>
          <t>Yes</t>
        </is>
      </c>
      <c r="L810" s="1" t="inlineStr">
        <is>
          <t>Yes</t>
        </is>
      </c>
      <c r="M810" s="1" t="inlineStr">
        <is>
          <t>No</t>
        </is>
      </c>
      <c r="N810" s="1" t="inlineStr">
        <is>
          <t>Algorithms</t>
        </is>
      </c>
      <c r="O8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10" s="11" t="inlineStr">
        <is>
          <t>To Do</t>
        </is>
      </c>
    </row>
    <row r="811" ht="15.75" customHeight="1" s="12">
      <c r="A811" s="1" t="n">
        <v>419</v>
      </c>
      <c r="B811" s="3">
        <f>HYPERLINK("https://leetcode.com/problems/battleships-in-a-board/", "Battleships in a Board")</f>
        <v/>
      </c>
      <c r="C811" s="1" t="n">
        <v>2524</v>
      </c>
      <c r="D811" s="1" t="n">
        <v>1030</v>
      </c>
      <c r="E811" s="4">
        <f>IF(INDEX(C:C, ROW())+INDEX(D:D, ROW())=0, 0, INDEX(C:C, ROW())/(INDEX(C:C, ROW())+INDEX(D:D, ROW())))</f>
        <v/>
      </c>
      <c r="F811" s="1" t="inlineStr">
        <is>
          <t>Array, Depth-First Search, Matrix</t>
        </is>
      </c>
      <c r="G811" s="1" t="inlineStr">
        <is>
          <t>Medium</t>
        </is>
      </c>
      <c r="H811" s="1" t="n">
        <v>284897</v>
      </c>
      <c r="I811" s="1" t="n">
        <v>367550</v>
      </c>
      <c r="J811" s="9" t="n">
        <v>0.775</v>
      </c>
      <c r="K811" s="1" t="inlineStr">
        <is>
          <t>Yes</t>
        </is>
      </c>
      <c r="L811" s="1" t="inlineStr">
        <is>
          <t>No</t>
        </is>
      </c>
      <c r="M811" s="1" t="inlineStr">
        <is>
          <t>No</t>
        </is>
      </c>
      <c r="N811" s="1" t="inlineStr">
        <is>
          <t>Algorithms</t>
        </is>
      </c>
      <c r="O8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11" s="11" t="inlineStr">
        <is>
          <t>To Do</t>
        </is>
      </c>
    </row>
    <row r="812" ht="15.75" customHeight="1" s="12">
      <c r="A812" s="1" t="n">
        <v>327</v>
      </c>
      <c r="B812" s="3">
        <f>HYPERLINK("https://leetcode.com/problems/count-of-range-sum/", "Count of Range Sum")</f>
        <v/>
      </c>
      <c r="C812" s="1" t="n">
        <v>2521</v>
      </c>
      <c r="D812" s="1" t="n">
        <v>266</v>
      </c>
      <c r="E812" s="4">
        <f>IF(INDEX(C:C, ROW())+INDEX(D:D, ROW())=0, 0, INDEX(C:C, ROW())/(INDEX(C:C, ROW())+INDEX(D:D, ROW())))</f>
        <v/>
      </c>
      <c r="F812" s="1" t="inlineStr">
        <is>
          <t>Array, Binary Search, Divide and Conquer, Binary Indexed Tree, Segment Tree, Merge Sort, Ordered Set</t>
        </is>
      </c>
      <c r="G812" s="1" t="inlineStr">
        <is>
          <t>Hard</t>
        </is>
      </c>
      <c r="H812" s="1" t="n">
        <v>106439</v>
      </c>
      <c r="I812" s="1" t="n">
        <v>273725</v>
      </c>
      <c r="J812" s="9" t="n">
        <v>0.389</v>
      </c>
      <c r="K812" s="1" t="inlineStr">
        <is>
          <t>Yes</t>
        </is>
      </c>
      <c r="L812" s="1" t="inlineStr">
        <is>
          <t>No</t>
        </is>
      </c>
      <c r="M812" s="1" t="inlineStr">
        <is>
          <t>No</t>
        </is>
      </c>
      <c r="N812" s="1" t="inlineStr">
        <is>
          <t>Algorithms</t>
        </is>
      </c>
      <c r="O8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12" s="11" t="inlineStr">
        <is>
          <t>To Do</t>
        </is>
      </c>
    </row>
    <row r="813" ht="15.75" customHeight="1" s="12">
      <c r="A813" s="1" t="n">
        <v>1314</v>
      </c>
      <c r="B813" s="3">
        <f>HYPERLINK("https://leetcode.com/problems/matrix-block-sum/", "Matrix Block Sum")</f>
        <v/>
      </c>
      <c r="C813" s="1" t="n">
        <v>2516</v>
      </c>
      <c r="D813" s="1" t="n">
        <v>401</v>
      </c>
      <c r="E813" s="4">
        <f>IF(INDEX(C:C, ROW())+INDEX(D:D, ROW())=0, 0, INDEX(C:C, ROW())/(INDEX(C:C, ROW())+INDEX(D:D, ROW())))</f>
        <v/>
      </c>
      <c r="F813" s="1" t="inlineStr">
        <is>
          <t>Array, Matrix, Prefix Sum</t>
        </is>
      </c>
      <c r="G813" s="1" t="inlineStr">
        <is>
          <t>Medium</t>
        </is>
      </c>
      <c r="H813" s="1" t="n">
        <v>111898</v>
      </c>
      <c r="I813" s="1" t="n">
        <v>146276</v>
      </c>
      <c r="J813" s="9" t="n">
        <v>0.765</v>
      </c>
      <c r="K813" s="1" t="inlineStr">
        <is>
          <t>Yes</t>
        </is>
      </c>
      <c r="L813" s="1" t="inlineStr">
        <is>
          <t>No</t>
        </is>
      </c>
      <c r="M813" s="1" t="inlineStr">
        <is>
          <t>No</t>
        </is>
      </c>
      <c r="N813" s="1" t="inlineStr">
        <is>
          <t>Algorithms</t>
        </is>
      </c>
      <c r="O8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13" s="11" t="inlineStr">
        <is>
          <t>To Do</t>
        </is>
      </c>
    </row>
    <row r="814" ht="15.75" customHeight="1" s="12">
      <c r="A814" s="1" t="n">
        <v>1531</v>
      </c>
      <c r="B814" s="3">
        <f>HYPERLINK("https://leetcode.com/problems/string-compression-ii/", "String Compression II")</f>
        <v/>
      </c>
      <c r="C814" s="1" t="n">
        <v>2511</v>
      </c>
      <c r="D814" s="1" t="n">
        <v>221</v>
      </c>
      <c r="E814" s="4">
        <f>IF(INDEX(C:C, ROW())+INDEX(D:D, ROW())=0, 0, INDEX(C:C, ROW())/(INDEX(C:C, ROW())+INDEX(D:D, ROW())))</f>
        <v/>
      </c>
      <c r="F814" s="1" t="inlineStr">
        <is>
          <t>String, Dynamic Programming</t>
        </is>
      </c>
      <c r="G814" s="1" t="inlineStr">
        <is>
          <t>Hard</t>
        </is>
      </c>
      <c r="H814" s="1" t="n">
        <v>106385</v>
      </c>
      <c r="I814" s="1" t="n">
        <v>203679</v>
      </c>
      <c r="J814" s="9" t="n">
        <v>0.522</v>
      </c>
      <c r="K814" s="1" t="inlineStr">
        <is>
          <t>Yes</t>
        </is>
      </c>
      <c r="L814" s="1" t="inlineStr">
        <is>
          <t>Yes</t>
        </is>
      </c>
      <c r="M814" s="1" t="inlineStr">
        <is>
          <t>No</t>
        </is>
      </c>
      <c r="N814" s="1" t="inlineStr">
        <is>
          <t>Algorithms</t>
        </is>
      </c>
      <c r="O8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14" s="11" t="inlineStr">
        <is>
          <t>To Do</t>
        </is>
      </c>
    </row>
    <row r="815" ht="15.75" customHeight="1" s="12">
      <c r="A815" s="1" t="n">
        <v>178</v>
      </c>
      <c r="B815" s="3">
        <f>HYPERLINK("https://leetcode.com/problems/rank-scores/", "Rank Scores")</f>
        <v/>
      </c>
      <c r="C815" s="1" t="n">
        <v>2507</v>
      </c>
      <c r="D815" s="1" t="n">
        <v>304</v>
      </c>
      <c r="E815" s="4">
        <f>IF(INDEX(C:C, ROW())+INDEX(D:D, ROW())=0, 0, INDEX(C:C, ROW())/(INDEX(C:C, ROW())+INDEX(D:D, ROW())))</f>
        <v/>
      </c>
      <c r="F815" s="1" t="inlineStr">
        <is>
          <t>Database</t>
        </is>
      </c>
      <c r="G815" s="1" t="inlineStr">
        <is>
          <t>Medium</t>
        </is>
      </c>
      <c r="H815" s="1" t="n">
        <v>690063</v>
      </c>
      <c r="I815" s="1" t="n">
        <v>1020007</v>
      </c>
      <c r="J815" s="9" t="n">
        <v>0.677</v>
      </c>
      <c r="K815" s="1" t="inlineStr">
        <is>
          <t>Yes</t>
        </is>
      </c>
      <c r="L815" s="1" t="inlineStr">
        <is>
          <t>Yes</t>
        </is>
      </c>
      <c r="M815" s="1" t="inlineStr">
        <is>
          <t>No</t>
        </is>
      </c>
      <c r="N815" s="1" t="inlineStr">
        <is>
          <t>Database</t>
        </is>
      </c>
      <c r="O8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15" s="11" t="inlineStr">
        <is>
          <t>To Do</t>
        </is>
      </c>
    </row>
    <row r="816" ht="15.75" customHeight="1" s="12">
      <c r="A816" s="1" t="n">
        <v>2181</v>
      </c>
      <c r="B816" s="3">
        <f>HYPERLINK("https://leetcode.com/problems/merge-nodes-in-between-zeros/", "Merge Nodes in Between Zeros")</f>
        <v/>
      </c>
      <c r="C816" s="1" t="n">
        <v>2505</v>
      </c>
      <c r="D816" s="1" t="n">
        <v>54</v>
      </c>
      <c r="E816" s="4">
        <f>IF(INDEX(C:C, ROW())+INDEX(D:D, ROW())=0, 0, INDEX(C:C, ROW())/(INDEX(C:C, ROW())+INDEX(D:D, ROW())))</f>
        <v/>
      </c>
      <c r="F816" s="1" t="inlineStr">
        <is>
          <t>Linked List, Simulation</t>
        </is>
      </c>
      <c r="G816" s="1" t="inlineStr">
        <is>
          <t>Medium</t>
        </is>
      </c>
      <c r="H816" s="1" t="n">
        <v>345627</v>
      </c>
      <c r="I816" s="1" t="n">
        <v>385501</v>
      </c>
      <c r="J816" s="9" t="n">
        <v>0.897</v>
      </c>
      <c r="K816" s="1" t="inlineStr">
        <is>
          <t>Yes</t>
        </is>
      </c>
      <c r="L816" s="1" t="inlineStr">
        <is>
          <t>Yes</t>
        </is>
      </c>
      <c r="M816" s="1" t="inlineStr">
        <is>
          <t>No</t>
        </is>
      </c>
      <c r="N816" s="1" t="inlineStr">
        <is>
          <t>Algorithms</t>
        </is>
      </c>
      <c r="O8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16" s="11" t="inlineStr">
        <is>
          <t>To Do</t>
        </is>
      </c>
    </row>
    <row r="817" ht="15.75" customHeight="1" s="12">
      <c r="A817" s="1" t="n">
        <v>2352</v>
      </c>
      <c r="B817" s="3">
        <f>HYPERLINK("https://leetcode.com/problems/equal-row-and-column-pairs/", "Equal Row and Column Pairs")</f>
        <v/>
      </c>
      <c r="C817" s="1" t="n">
        <v>2503</v>
      </c>
      <c r="D817" s="1" t="n">
        <v>192</v>
      </c>
      <c r="E817" s="4">
        <f>IF(INDEX(C:C, ROW())+INDEX(D:D, ROW())=0, 0, INDEX(C:C, ROW())/(INDEX(C:C, ROW())+INDEX(D:D, ROW())))</f>
        <v/>
      </c>
      <c r="F817" s="1" t="inlineStr">
        <is>
          <t>Array, Hash Table, Matrix, Simulation</t>
        </is>
      </c>
      <c r="G817" s="1" t="inlineStr">
        <is>
          <t>Medium</t>
        </is>
      </c>
      <c r="H817" s="1" t="n">
        <v>405449</v>
      </c>
      <c r="I817" s="1" t="n">
        <v>571837</v>
      </c>
      <c r="J817" s="9" t="n">
        <v>0.709</v>
      </c>
      <c r="K817" s="1" t="inlineStr">
        <is>
          <t>Yes</t>
        </is>
      </c>
      <c r="L817" s="1" t="inlineStr">
        <is>
          <t>Yes</t>
        </is>
      </c>
      <c r="M817" s="1" t="inlineStr">
        <is>
          <t>No</t>
        </is>
      </c>
      <c r="N817" s="1" t="inlineStr">
        <is>
          <t>Algorithms</t>
        </is>
      </c>
      <c r="O8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17" s="11" t="inlineStr">
        <is>
          <t>To Do</t>
        </is>
      </c>
    </row>
    <row r="818" ht="15.75" customHeight="1" s="12">
      <c r="A818" s="1" t="n">
        <v>1530</v>
      </c>
      <c r="B818" s="3">
        <f>HYPERLINK("https://leetcode.com/problems/number-of-good-leaf-nodes-pairs/", "Number of Good Leaf Nodes Pairs")</f>
        <v/>
      </c>
      <c r="C818" s="1" t="n">
        <v>2502</v>
      </c>
      <c r="D818" s="1" t="n">
        <v>111</v>
      </c>
      <c r="E818" s="4">
        <f>IF(INDEX(C:C, ROW())+INDEX(D:D, ROW())=0, 0, INDEX(C:C, ROW())/(INDEX(C:C, ROW())+INDEX(D:D, ROW())))</f>
        <v/>
      </c>
      <c r="F818" s="1" t="inlineStr">
        <is>
          <t>Tree, Depth-First Search, Binary Tree</t>
        </is>
      </c>
      <c r="G818" s="1" t="inlineStr">
        <is>
          <t>Medium</t>
        </is>
      </c>
      <c r="H818" s="1" t="n">
        <v>162106</v>
      </c>
      <c r="I818" s="1" t="n">
        <v>225881</v>
      </c>
      <c r="J818" s="9" t="n">
        <v>0.718</v>
      </c>
      <c r="K818" s="1" t="inlineStr">
        <is>
          <t>Yes</t>
        </is>
      </c>
      <c r="L818" s="1" t="inlineStr">
        <is>
          <t>Yes</t>
        </is>
      </c>
      <c r="M818" s="1" t="inlineStr">
        <is>
          <t>No</t>
        </is>
      </c>
      <c r="N818" s="1" t="inlineStr">
        <is>
          <t>Algorithms</t>
        </is>
      </c>
      <c r="O8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18" s="11" t="inlineStr">
        <is>
          <t>To Do</t>
        </is>
      </c>
    </row>
    <row r="819" ht="15.75" customHeight="1" s="12">
      <c r="A819" s="1" t="n">
        <v>837</v>
      </c>
      <c r="B819" s="3">
        <f>HYPERLINK("https://leetcode.com/problems/new-21-game/", "New 21 Game")</f>
        <v/>
      </c>
      <c r="C819" s="1" t="n">
        <v>2497</v>
      </c>
      <c r="D819" s="1" t="n">
        <v>2008</v>
      </c>
      <c r="E819" s="4">
        <f>IF(INDEX(C:C, ROW())+INDEX(D:D, ROW())=0, 0, INDEX(C:C, ROW())/(INDEX(C:C, ROW())+INDEX(D:D, ROW())))</f>
        <v/>
      </c>
      <c r="F819" s="1" t="inlineStr">
        <is>
          <t>Math, Dynamic Programming, Sliding Window, Probability and Statistics</t>
        </is>
      </c>
      <c r="G819" s="1" t="inlineStr">
        <is>
          <t>Medium</t>
        </is>
      </c>
      <c r="H819" s="1" t="n">
        <v>161280</v>
      </c>
      <c r="I819" s="1" t="n">
        <v>310425</v>
      </c>
      <c r="J819" s="9" t="n">
        <v>0.52</v>
      </c>
      <c r="K819" s="1" t="inlineStr">
        <is>
          <t>Yes</t>
        </is>
      </c>
      <c r="L819" s="1" t="inlineStr">
        <is>
          <t>Yes</t>
        </is>
      </c>
      <c r="M819" s="1" t="inlineStr">
        <is>
          <t>No</t>
        </is>
      </c>
      <c r="N819" s="1" t="inlineStr">
        <is>
          <t>Algorithms</t>
        </is>
      </c>
      <c r="O8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19" s="11" t="inlineStr">
        <is>
          <t>To Do</t>
        </is>
      </c>
    </row>
    <row r="820" ht="15.75" customHeight="1" s="12">
      <c r="A820" s="1" t="n">
        <v>1567</v>
      </c>
      <c r="B820" s="3">
        <f>HYPERLINK("https://leetcode.com/problems/maximum-length-of-subarray-with-positive-product/", "Maximum Length of Subarray With Positive Product")</f>
        <v/>
      </c>
      <c r="C820" s="1" t="n">
        <v>2497</v>
      </c>
      <c r="D820" s="1" t="n">
        <v>80</v>
      </c>
      <c r="E820" s="4">
        <f>IF(INDEX(C:C, ROW())+INDEX(D:D, ROW())=0, 0, INDEX(C:C, ROW())/(INDEX(C:C, ROW())+INDEX(D:D, ROW())))</f>
        <v/>
      </c>
      <c r="F820" s="1" t="inlineStr">
        <is>
          <t>Array, Dynamic Programming, Greedy</t>
        </is>
      </c>
      <c r="G820" s="1" t="inlineStr">
        <is>
          <t>Medium</t>
        </is>
      </c>
      <c r="H820" s="1" t="n">
        <v>111549</v>
      </c>
      <c r="I820" s="1" t="n">
        <v>249769</v>
      </c>
      <c r="J820" s="9" t="n">
        <v>0.447</v>
      </c>
      <c r="K820" s="1" t="inlineStr">
        <is>
          <t>Yes</t>
        </is>
      </c>
      <c r="L820" s="1" t="inlineStr">
        <is>
          <t>No</t>
        </is>
      </c>
      <c r="M820" s="1" t="inlineStr">
        <is>
          <t>No</t>
        </is>
      </c>
      <c r="N820" s="1" t="inlineStr">
        <is>
          <t>Algorithms</t>
        </is>
      </c>
      <c r="O8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20" s="11" t="inlineStr">
        <is>
          <t>To Do</t>
        </is>
      </c>
    </row>
    <row r="821" ht="15.75" customHeight="1" s="12">
      <c r="A821" s="1" t="n">
        <v>1304</v>
      </c>
      <c r="B821" s="3">
        <f>HYPERLINK("https://leetcode.com/problems/find-n-unique-integers-sum-up-to-zero/", "Find N Unique Integers Sum up to Zero")</f>
        <v/>
      </c>
      <c r="C821" s="1" t="n">
        <v>2494</v>
      </c>
      <c r="D821" s="1" t="n">
        <v>620</v>
      </c>
      <c r="E821" s="4">
        <f>IF(INDEX(C:C, ROW())+INDEX(D:D, ROW())=0, 0, INDEX(C:C, ROW())/(INDEX(C:C, ROW())+INDEX(D:D, ROW())))</f>
        <v/>
      </c>
      <c r="F821" s="1" t="inlineStr">
        <is>
          <t>Array, Math</t>
        </is>
      </c>
      <c r="G821" s="1" t="inlineStr">
        <is>
          <t>Easy</t>
        </is>
      </c>
      <c r="H821" s="1" t="n">
        <v>399886</v>
      </c>
      <c r="I821" s="1" t="n">
        <v>509798</v>
      </c>
      <c r="J821" s="9" t="n">
        <v>0.784</v>
      </c>
      <c r="K821" s="1" t="inlineStr">
        <is>
          <t>Yes</t>
        </is>
      </c>
      <c r="L821" s="1" t="inlineStr">
        <is>
          <t>Yes</t>
        </is>
      </c>
      <c r="M821" s="1" t="inlineStr">
        <is>
          <t>No</t>
        </is>
      </c>
      <c r="N821" s="1" t="inlineStr">
        <is>
          <t>Algorithms</t>
        </is>
      </c>
      <c r="O8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21" s="13" t="inlineStr">
        <is>
          <t>Done</t>
        </is>
      </c>
    </row>
    <row r="822" ht="15.75" customHeight="1" s="12">
      <c r="A822" s="1" t="n">
        <v>864</v>
      </c>
      <c r="B822" s="3">
        <f>HYPERLINK("https://leetcode.com/problems/shortest-path-to-get-all-keys/", "Shortest Path to Get All Keys")</f>
        <v/>
      </c>
      <c r="C822" s="1" t="n">
        <v>2493</v>
      </c>
      <c r="D822" s="1" t="n">
        <v>107</v>
      </c>
      <c r="E822" s="4">
        <f>IF(INDEX(C:C, ROW())+INDEX(D:D, ROW())=0, 0, INDEX(C:C, ROW())/(INDEX(C:C, ROW())+INDEX(D:D, ROW())))</f>
        <v/>
      </c>
      <c r="F822" s="1" t="inlineStr">
        <is>
          <t>Array, Bit Manipulation, Breadth-First Search, Matrix</t>
        </is>
      </c>
      <c r="G822" s="1" t="inlineStr">
        <is>
          <t>Hard</t>
        </is>
      </c>
      <c r="H822" s="1" t="n">
        <v>96152</v>
      </c>
      <c r="I822" s="1" t="n">
        <v>176217</v>
      </c>
      <c r="J822" s="9" t="n">
        <v>0.546</v>
      </c>
      <c r="K822" s="1" t="inlineStr">
        <is>
          <t>Yes</t>
        </is>
      </c>
      <c r="L822" s="1" t="inlineStr">
        <is>
          <t>Yes</t>
        </is>
      </c>
      <c r="M822" s="1" t="inlineStr">
        <is>
          <t>No</t>
        </is>
      </c>
      <c r="N822" s="1" t="inlineStr">
        <is>
          <t>Algorithms</t>
        </is>
      </c>
      <c r="O8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22" s="11" t="inlineStr">
        <is>
          <t>To Do</t>
        </is>
      </c>
    </row>
    <row r="823" ht="15.75" customHeight="1" s="12">
      <c r="A823" s="1" t="n">
        <v>2402</v>
      </c>
      <c r="B823" s="3">
        <f>HYPERLINK("https://leetcode.com/problems/meeting-rooms-iii/", "Meeting Rooms III")</f>
        <v/>
      </c>
      <c r="C823" s="1" t="n">
        <v>2493</v>
      </c>
      <c r="D823" s="1" t="n">
        <v>141</v>
      </c>
      <c r="E823" s="4">
        <f>IF(INDEX(C:C, ROW())+INDEX(D:D, ROW())=0, 0, INDEX(C:C, ROW())/(INDEX(C:C, ROW())+INDEX(D:D, ROW())))</f>
        <v/>
      </c>
      <c r="F823" s="1" t="inlineStr">
        <is>
          <t>Array, Hash Table, Sorting, Heap (Priority Queue), Simulation</t>
        </is>
      </c>
      <c r="G823" s="1" t="inlineStr">
        <is>
          <t>Hard</t>
        </is>
      </c>
      <c r="H823" s="1" t="n">
        <v>297873</v>
      </c>
      <c r="I823" s="1" t="n">
        <v>578239</v>
      </c>
      <c r="J823" s="9" t="n">
        <v>0.515</v>
      </c>
      <c r="K823" s="1" t="inlineStr">
        <is>
          <t>Yes</t>
        </is>
      </c>
      <c r="L823" s="1" t="inlineStr">
        <is>
          <t>Yes</t>
        </is>
      </c>
      <c r="M823" s="1" t="inlineStr">
        <is>
          <t>No</t>
        </is>
      </c>
      <c r="N823" s="1" t="inlineStr">
        <is>
          <t>Algorithms</t>
        </is>
      </c>
      <c r="O8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23" s="11" t="inlineStr">
        <is>
          <t>To Do</t>
        </is>
      </c>
    </row>
    <row r="824" ht="15.75" customHeight="1" s="12">
      <c r="A824" s="1" t="n">
        <v>861</v>
      </c>
      <c r="B824" s="3">
        <f>HYPERLINK("https://leetcode.com/problems/score-after-flipping-matrix/", "Score After Flipping Matrix")</f>
        <v/>
      </c>
      <c r="C824" s="1" t="n">
        <v>2492</v>
      </c>
      <c r="D824" s="1" t="n">
        <v>226</v>
      </c>
      <c r="E824" s="4">
        <f>IF(INDEX(C:C, ROW())+INDEX(D:D, ROW())=0, 0, INDEX(C:C, ROW())/(INDEX(C:C, ROW())+INDEX(D:D, ROW())))</f>
        <v/>
      </c>
      <c r="F824" s="1" t="inlineStr">
        <is>
          <t>Array, Greedy, Bit Manipulation, Matrix</t>
        </is>
      </c>
      <c r="G824" s="1" t="inlineStr">
        <is>
          <t>Medium</t>
        </is>
      </c>
      <c r="H824" s="1" t="n">
        <v>168264</v>
      </c>
      <c r="I824" s="1" t="n">
        <v>209623</v>
      </c>
      <c r="J824" s="9" t="n">
        <v>0.803</v>
      </c>
      <c r="K824" s="1" t="inlineStr">
        <is>
          <t>Yes</t>
        </is>
      </c>
      <c r="L824" s="1" t="inlineStr">
        <is>
          <t>Yes</t>
        </is>
      </c>
      <c r="M824" s="1" t="inlineStr">
        <is>
          <t>No</t>
        </is>
      </c>
      <c r="N824" s="1" t="inlineStr">
        <is>
          <t>Algorithms</t>
        </is>
      </c>
      <c r="O8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24" s="11" t="inlineStr">
        <is>
          <t>To Do</t>
        </is>
      </c>
    </row>
    <row r="825" ht="15.75" customHeight="1" s="12">
      <c r="A825" s="1" t="n">
        <v>765</v>
      </c>
      <c r="B825" s="3">
        <f>HYPERLINK("https://leetcode.com/problems/couples-holding-hands/", "Couples Holding Hands")</f>
        <v/>
      </c>
      <c r="C825" s="1" t="n">
        <v>2487</v>
      </c>
      <c r="D825" s="1" t="n">
        <v>131</v>
      </c>
      <c r="E825" s="4">
        <f>IF(INDEX(C:C, ROW())+INDEX(D:D, ROW())=0, 0, INDEX(C:C, ROW())/(INDEX(C:C, ROW())+INDEX(D:D, ROW())))</f>
        <v/>
      </c>
      <c r="F825" s="1" t="inlineStr">
        <is>
          <t>Greedy, Depth-First Search, Breadth-First Search, Union-Find, Graph Theory</t>
        </is>
      </c>
      <c r="G825" s="1" t="inlineStr">
        <is>
          <t>Hard</t>
        </is>
      </c>
      <c r="H825" s="1" t="n">
        <v>83669</v>
      </c>
      <c r="I825" s="1" t="n">
        <v>140991</v>
      </c>
      <c r="J825" s="9" t="n">
        <v>0.593</v>
      </c>
      <c r="K825" s="1" t="inlineStr">
        <is>
          <t>Yes</t>
        </is>
      </c>
      <c r="L825" s="1" t="inlineStr">
        <is>
          <t>Yes</t>
        </is>
      </c>
      <c r="M825" s="1" t="inlineStr">
        <is>
          <t>No</t>
        </is>
      </c>
      <c r="N825" s="1" t="inlineStr">
        <is>
          <t>Algorithms</t>
        </is>
      </c>
      <c r="O8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25" s="11" t="inlineStr">
        <is>
          <t>To Do</t>
        </is>
      </c>
    </row>
    <row r="826" ht="15.75" customHeight="1" s="12">
      <c r="A826" s="1" t="n">
        <v>956</v>
      </c>
      <c r="B826" s="3">
        <f>HYPERLINK("https://leetcode.com/problems/tallest-billboard/", "Tallest Billboard")</f>
        <v/>
      </c>
      <c r="C826" s="1" t="n">
        <v>2487</v>
      </c>
      <c r="D826" s="1" t="n">
        <v>63</v>
      </c>
      <c r="E826" s="4">
        <f>IF(INDEX(C:C, ROW())+INDEX(D:D, ROW())=0, 0, INDEX(C:C, ROW())/(INDEX(C:C, ROW())+INDEX(D:D, ROW())))</f>
        <v/>
      </c>
      <c r="F826" s="1" t="inlineStr">
        <is>
          <t>Array, Dynamic Programming</t>
        </is>
      </c>
      <c r="G826" s="1" t="inlineStr">
        <is>
          <t>Hard</t>
        </is>
      </c>
      <c r="H826" s="1" t="n">
        <v>71245</v>
      </c>
      <c r="I826" s="1" t="n">
        <v>137416</v>
      </c>
      <c r="J826" s="9" t="n">
        <v>0.518</v>
      </c>
      <c r="K826" s="1" t="inlineStr">
        <is>
          <t>Yes</t>
        </is>
      </c>
      <c r="L826" s="1" t="inlineStr">
        <is>
          <t>Yes</t>
        </is>
      </c>
      <c r="M826" s="1" t="inlineStr">
        <is>
          <t>No</t>
        </is>
      </c>
      <c r="N826" s="1" t="inlineStr">
        <is>
          <t>Algorithms</t>
        </is>
      </c>
      <c r="O8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26" s="11" t="inlineStr">
        <is>
          <t>To Do</t>
        </is>
      </c>
    </row>
    <row r="827" ht="15.75" customHeight="1" s="12">
      <c r="A827" s="1" t="n">
        <v>1661</v>
      </c>
      <c r="B827" s="3">
        <f>HYPERLINK("https://leetcode.com/problems/average-time-of-process-per-machine/", "Average Time of Process per Machine")</f>
        <v/>
      </c>
      <c r="C827" s="1" t="n">
        <v>2482</v>
      </c>
      <c r="D827" s="1" t="n">
        <v>248</v>
      </c>
      <c r="E827" s="4">
        <f>IF(INDEX(C:C, ROW())+INDEX(D:D, ROW())=0, 0, INDEX(C:C, ROW())/(INDEX(C:C, ROW())+INDEX(D:D, ROW())))</f>
        <v/>
      </c>
      <c r="F827" s="1" t="inlineStr">
        <is>
          <t>Database</t>
        </is>
      </c>
      <c r="G827" s="1" t="inlineStr">
        <is>
          <t>Easy</t>
        </is>
      </c>
      <c r="H827" s="1" t="n">
        <v>786980</v>
      </c>
      <c r="I827" s="1" t="n">
        <v>1178239</v>
      </c>
      <c r="J827" s="9" t="n">
        <v>0.668</v>
      </c>
      <c r="K827" s="1" t="inlineStr">
        <is>
          <t>Yes</t>
        </is>
      </c>
      <c r="L827" s="1" t="inlineStr">
        <is>
          <t>Yes</t>
        </is>
      </c>
      <c r="M827" s="1" t="inlineStr">
        <is>
          <t>No</t>
        </is>
      </c>
      <c r="N827" s="1" t="inlineStr">
        <is>
          <t>Database</t>
        </is>
      </c>
      <c r="O8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27" s="13" t="inlineStr">
        <is>
          <t>Done</t>
        </is>
      </c>
    </row>
    <row r="828" ht="15.75" customHeight="1" s="12">
      <c r="A828" s="1" t="n">
        <v>674</v>
      </c>
      <c r="B828" s="3">
        <f>HYPERLINK("https://leetcode.com/problems/longest-continuous-increasing-subsequence/", "Longest Continuous Increasing Subsequence")</f>
        <v/>
      </c>
      <c r="C828" s="1" t="n">
        <v>2478</v>
      </c>
      <c r="D828" s="1" t="n">
        <v>196</v>
      </c>
      <c r="E828" s="4">
        <f>IF(INDEX(C:C, ROW())+INDEX(D:D, ROW())=0, 0, INDEX(C:C, ROW())/(INDEX(C:C, ROW())+INDEX(D:D, ROW())))</f>
        <v/>
      </c>
      <c r="F828" s="1" t="inlineStr">
        <is>
          <t>Array</t>
        </is>
      </c>
      <c r="G828" s="1" t="inlineStr">
        <is>
          <t>Easy</t>
        </is>
      </c>
      <c r="H828" s="1" t="n">
        <v>351121</v>
      </c>
      <c r="I828" s="1" t="n">
        <v>674863</v>
      </c>
      <c r="J828" s="9" t="n">
        <v>0.52</v>
      </c>
      <c r="K828" s="1" t="inlineStr">
        <is>
          <t>Yes</t>
        </is>
      </c>
      <c r="L828" s="1" t="inlineStr">
        <is>
          <t>Yes</t>
        </is>
      </c>
      <c r="M828" s="1" t="inlineStr">
        <is>
          <t>No</t>
        </is>
      </c>
      <c r="N828" s="1" t="inlineStr">
        <is>
          <t>Algorithms</t>
        </is>
      </c>
      <c r="O8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28" s="13" t="inlineStr">
        <is>
          <t>Done</t>
        </is>
      </c>
    </row>
    <row r="829" ht="15.75" customHeight="1" s="12">
      <c r="A829" s="1" t="n">
        <v>546</v>
      </c>
      <c r="B829" s="3">
        <f>HYPERLINK("https://leetcode.com/problems/remove-boxes/", "Remove Boxes")</f>
        <v/>
      </c>
      <c r="C829" s="1" t="n">
        <v>2474</v>
      </c>
      <c r="D829" s="1" t="n">
        <v>136</v>
      </c>
      <c r="E829" s="4">
        <f>IF(INDEX(C:C, ROW())+INDEX(D:D, ROW())=0, 0, INDEX(C:C, ROW())/(INDEX(C:C, ROW())+INDEX(D:D, ROW())))</f>
        <v/>
      </c>
      <c r="F829" s="1" t="inlineStr">
        <is>
          <t>Array, Dynamic Programming, Memoization</t>
        </is>
      </c>
      <c r="G829" s="1" t="inlineStr">
        <is>
          <t>Hard</t>
        </is>
      </c>
      <c r="H829" s="1" t="n">
        <v>62756</v>
      </c>
      <c r="I829" s="1" t="n">
        <v>127080</v>
      </c>
      <c r="J829" s="9" t="n">
        <v>0.494</v>
      </c>
      <c r="K829" s="1" t="inlineStr">
        <is>
          <t>Yes</t>
        </is>
      </c>
      <c r="L829" s="1" t="inlineStr">
        <is>
          <t>Yes</t>
        </is>
      </c>
      <c r="M829" s="1" t="inlineStr">
        <is>
          <t>No</t>
        </is>
      </c>
      <c r="N829" s="1" t="inlineStr">
        <is>
          <t>Algorithms</t>
        </is>
      </c>
      <c r="O8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29" s="11" t="inlineStr">
        <is>
          <t>To Do</t>
        </is>
      </c>
    </row>
    <row r="830" ht="15.75" customHeight="1" s="12">
      <c r="A830" s="1" t="n">
        <v>839</v>
      </c>
      <c r="B830" s="3">
        <f>HYPERLINK("https://leetcode.com/problems/similar-string-groups/", "Similar String Groups")</f>
        <v/>
      </c>
      <c r="C830" s="1" t="n">
        <v>2470</v>
      </c>
      <c r="D830" s="1" t="n">
        <v>217</v>
      </c>
      <c r="E830" s="4">
        <f>IF(INDEX(C:C, ROW())+INDEX(D:D, ROW())=0, 0, INDEX(C:C, ROW())/(INDEX(C:C, ROW())+INDEX(D:D, ROW())))</f>
        <v/>
      </c>
      <c r="F830" s="1" t="inlineStr">
        <is>
          <t>Array, Hash Table, String, Depth-First Search, Breadth-First Search, Union-Find</t>
        </is>
      </c>
      <c r="G830" s="1" t="inlineStr">
        <is>
          <t>Hard</t>
        </is>
      </c>
      <c r="H830" s="1" t="n">
        <v>143344</v>
      </c>
      <c r="I830" s="1" t="n">
        <v>254780</v>
      </c>
      <c r="J830" s="9" t="n">
        <v>0.5629999999999999</v>
      </c>
      <c r="K830" s="1" t="inlineStr">
        <is>
          <t>Yes</t>
        </is>
      </c>
      <c r="L830" s="1" t="inlineStr">
        <is>
          <t>Yes</t>
        </is>
      </c>
      <c r="M830" s="1" t="inlineStr">
        <is>
          <t>No</t>
        </is>
      </c>
      <c r="N830" s="1" t="inlineStr">
        <is>
          <t>Algorithms</t>
        </is>
      </c>
      <c r="O8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30" s="11" t="inlineStr">
        <is>
          <t>To Do</t>
        </is>
      </c>
    </row>
    <row r="831" ht="15.75" customHeight="1" s="12">
      <c r="A831" s="1" t="n">
        <v>920</v>
      </c>
      <c r="B831" s="3">
        <f>HYPERLINK("https://leetcode.com/problems/number-of-music-playlists/", "Number of Music Playlists")</f>
        <v/>
      </c>
      <c r="C831" s="1" t="n">
        <v>2470</v>
      </c>
      <c r="D831" s="1" t="n">
        <v>206</v>
      </c>
      <c r="E831" s="4">
        <f>IF(INDEX(C:C, ROW())+INDEX(D:D, ROW())=0, 0, INDEX(C:C, ROW())/(INDEX(C:C, ROW())+INDEX(D:D, ROW())))</f>
        <v/>
      </c>
      <c r="F831" s="1" t="inlineStr">
        <is>
          <t>Math, Dynamic Programming, Combinatorics</t>
        </is>
      </c>
      <c r="G831" s="1" t="inlineStr">
        <is>
          <t>Hard</t>
        </is>
      </c>
      <c r="H831" s="1" t="n">
        <v>79409</v>
      </c>
      <c r="I831" s="1" t="n">
        <v>132242</v>
      </c>
      <c r="J831" s="9" t="n">
        <v>0.6</v>
      </c>
      <c r="K831" s="1" t="inlineStr">
        <is>
          <t>Yes</t>
        </is>
      </c>
      <c r="L831" s="1" t="inlineStr">
        <is>
          <t>Yes</t>
        </is>
      </c>
      <c r="M831" s="1" t="inlineStr">
        <is>
          <t>No</t>
        </is>
      </c>
      <c r="N831" s="1" t="inlineStr">
        <is>
          <t>Algorithms</t>
        </is>
      </c>
      <c r="O8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31" s="11" t="inlineStr">
        <is>
          <t>To Do</t>
        </is>
      </c>
    </row>
    <row r="832" ht="15.75" customHeight="1" s="12">
      <c r="A832" s="1" t="n">
        <v>1922</v>
      </c>
      <c r="B832" s="3">
        <f>HYPERLINK("https://leetcode.com/problems/count-good-numbers/", "Count Good Numbers")</f>
        <v/>
      </c>
      <c r="C832" s="1" t="n">
        <v>2470</v>
      </c>
      <c r="D832" s="1" t="n">
        <v>601</v>
      </c>
      <c r="E832" s="4">
        <f>IF(INDEX(C:C, ROW())+INDEX(D:D, ROW())=0, 0, INDEX(C:C, ROW())/(INDEX(C:C, ROW())+INDEX(D:D, ROW())))</f>
        <v/>
      </c>
      <c r="F832" s="1" t="inlineStr">
        <is>
          <t>Math, Recursion</t>
        </is>
      </c>
      <c r="G832" s="1" t="inlineStr">
        <is>
          <t>Medium</t>
        </is>
      </c>
      <c r="H832" s="1" t="n">
        <v>283442</v>
      </c>
      <c r="I832" s="1" t="n">
        <v>491708</v>
      </c>
      <c r="J832" s="9" t="n">
        <v>0.576</v>
      </c>
      <c r="K832" s="1" t="inlineStr">
        <is>
          <t>Yes</t>
        </is>
      </c>
      <c r="L832" s="1" t="inlineStr">
        <is>
          <t>Yes</t>
        </is>
      </c>
      <c r="M832" s="1" t="inlineStr">
        <is>
          <t>No</t>
        </is>
      </c>
      <c r="N832" s="1" t="inlineStr">
        <is>
          <t>Algorithms</t>
        </is>
      </c>
      <c r="O8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32" s="11" t="inlineStr">
        <is>
          <t>To Do</t>
        </is>
      </c>
    </row>
    <row r="833" ht="15.75" customHeight="1" s="12">
      <c r="A833" s="1" t="n">
        <v>1217</v>
      </c>
      <c r="B833" s="3">
        <f>HYPERLINK("https://leetcode.com/problems/minimum-cost-to-move-chips-to-the-same-position/", "Minimum Cost to Move Chips to The Same Position")</f>
        <v/>
      </c>
      <c r="C833" s="1" t="n">
        <v>2469</v>
      </c>
      <c r="D833" s="1" t="n">
        <v>351</v>
      </c>
      <c r="E833" s="4">
        <f>IF(INDEX(C:C, ROW())+INDEX(D:D, ROW())=0, 0, INDEX(C:C, ROW())/(INDEX(C:C, ROW())+INDEX(D:D, ROW())))</f>
        <v/>
      </c>
      <c r="F833" s="1" t="inlineStr">
        <is>
          <t>Array, Math, Greedy</t>
        </is>
      </c>
      <c r="G833" s="1" t="inlineStr">
        <is>
          <t>Easy</t>
        </is>
      </c>
      <c r="H833" s="1" t="n">
        <v>170792</v>
      </c>
      <c r="I833" s="1" t="n">
        <v>234368</v>
      </c>
      <c r="J833" s="9" t="n">
        <v>0.729</v>
      </c>
      <c r="K833" s="1" t="inlineStr">
        <is>
          <t>Yes</t>
        </is>
      </c>
      <c r="L833" s="1" t="inlineStr">
        <is>
          <t>Yes</t>
        </is>
      </c>
      <c r="M833" s="1" t="inlineStr">
        <is>
          <t>No</t>
        </is>
      </c>
      <c r="N833" s="1" t="inlineStr">
        <is>
          <t>Algorithms</t>
        </is>
      </c>
      <c r="O8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33" s="13" t="inlineStr">
        <is>
          <t>Done</t>
        </is>
      </c>
    </row>
    <row r="834" ht="15.75" customHeight="1" s="12">
      <c r="A834" s="1" t="n">
        <v>1574</v>
      </c>
      <c r="B834" s="3">
        <f>HYPERLINK("https://leetcode.com/problems/shortest-subarray-to-be-removed-to-make-array-sorted/", "Shortest Subarray to be Removed to Make Array Sorted")</f>
        <v/>
      </c>
      <c r="C834" s="1" t="n">
        <v>2469</v>
      </c>
      <c r="D834" s="1" t="n">
        <v>164</v>
      </c>
      <c r="E834" s="4">
        <f>IF(INDEX(C:C, ROW())+INDEX(D:D, ROW())=0, 0, INDEX(C:C, ROW())/(INDEX(C:C, ROW())+INDEX(D:D, ROW())))</f>
        <v/>
      </c>
      <c r="F834" s="1" t="inlineStr">
        <is>
          <t>Array, Two Pointers, Binary Search, Stack, Monotonic Stack</t>
        </is>
      </c>
      <c r="G834" s="1" t="inlineStr">
        <is>
          <t>Medium</t>
        </is>
      </c>
      <c r="H834" s="1" t="n">
        <v>128524</v>
      </c>
      <c r="I834" s="1" t="n">
        <v>250705</v>
      </c>
      <c r="J834" s="9" t="n">
        <v>0.513</v>
      </c>
      <c r="K834" s="1" t="inlineStr">
        <is>
          <t>Yes</t>
        </is>
      </c>
      <c r="L834" s="1" t="inlineStr">
        <is>
          <t>Yes</t>
        </is>
      </c>
      <c r="M834" s="1" t="inlineStr">
        <is>
          <t>No</t>
        </is>
      </c>
      <c r="N834" s="1" t="inlineStr">
        <is>
          <t>Algorithms</t>
        </is>
      </c>
      <c r="O8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34" s="11" t="inlineStr">
        <is>
          <t>To Do</t>
        </is>
      </c>
    </row>
    <row r="835" ht="15.75" customHeight="1" s="12">
      <c r="A835" s="1" t="n">
        <v>182</v>
      </c>
      <c r="B835" s="3">
        <f>HYPERLINK("https://leetcode.com/problems/duplicate-emails/", "Duplicate Emails")</f>
        <v/>
      </c>
      <c r="C835" s="1" t="n">
        <v>2467</v>
      </c>
      <c r="D835" s="1" t="n">
        <v>89</v>
      </c>
      <c r="E835" s="4">
        <f>IF(INDEX(C:C, ROW())+INDEX(D:D, ROW())=0, 0, INDEX(C:C, ROW())/(INDEX(C:C, ROW())+INDEX(D:D, ROW())))</f>
        <v/>
      </c>
      <c r="F835" s="1" t="inlineStr">
        <is>
          <t>Database</t>
        </is>
      </c>
      <c r="G835" s="1" t="inlineStr">
        <is>
          <t>Easy</t>
        </is>
      </c>
      <c r="H835" s="1" t="n">
        <v>1163901</v>
      </c>
      <c r="I835" s="1" t="n">
        <v>1579131</v>
      </c>
      <c r="J835" s="9" t="n">
        <v>0.737</v>
      </c>
      <c r="K835" s="1" t="inlineStr">
        <is>
          <t>Yes</t>
        </is>
      </c>
      <c r="L835" s="1" t="inlineStr">
        <is>
          <t>Yes</t>
        </is>
      </c>
      <c r="M835" s="1" t="inlineStr">
        <is>
          <t>No</t>
        </is>
      </c>
      <c r="N835" s="1" t="inlineStr">
        <is>
          <t>Database</t>
        </is>
      </c>
      <c r="O8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35" s="13" t="inlineStr">
        <is>
          <t>Done</t>
        </is>
      </c>
    </row>
    <row r="836" ht="15.75" customHeight="1" s="12">
      <c r="A836" s="1" t="n">
        <v>2421</v>
      </c>
      <c r="B836" s="3">
        <f>HYPERLINK("https://leetcode.com/problems/number-of-good-paths/", "Number of Good Paths")</f>
        <v/>
      </c>
      <c r="C836" s="1" t="n">
        <v>2465</v>
      </c>
      <c r="D836" s="1" t="n">
        <v>113</v>
      </c>
      <c r="E836" s="4">
        <f>IF(INDEX(C:C, ROW())+INDEX(D:D, ROW())=0, 0, INDEX(C:C, ROW())/(INDEX(C:C, ROW())+INDEX(D:D, ROW())))</f>
        <v/>
      </c>
      <c r="F836" s="1" t="inlineStr">
        <is>
          <t>Array, Hash Table, Tree, Union-Find, Graph Theory, Sorting</t>
        </is>
      </c>
      <c r="G836" s="1" t="inlineStr">
        <is>
          <t>Hard</t>
        </is>
      </c>
      <c r="H836" s="1" t="n">
        <v>65517</v>
      </c>
      <c r="I836" s="1" t="n">
        <v>116329</v>
      </c>
      <c r="J836" s="9" t="n">
        <v>0.5629999999999999</v>
      </c>
      <c r="K836" s="1" t="inlineStr">
        <is>
          <t>Yes</t>
        </is>
      </c>
      <c r="L836" s="1" t="inlineStr">
        <is>
          <t>Yes</t>
        </is>
      </c>
      <c r="M836" s="1" t="inlineStr">
        <is>
          <t>No</t>
        </is>
      </c>
      <c r="N836" s="1" t="inlineStr">
        <is>
          <t>Algorithms</t>
        </is>
      </c>
      <c r="O8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36" s="11" t="inlineStr">
        <is>
          <t>To Do</t>
        </is>
      </c>
    </row>
    <row r="837" ht="15.75" customHeight="1" s="12">
      <c r="A837" s="1" t="n">
        <v>2483</v>
      </c>
      <c r="B837" s="3">
        <f>HYPERLINK("https://leetcode.com/problems/minimum-penalty-for-a-shop/", "Minimum Penalty for a Shop")</f>
        <v/>
      </c>
      <c r="C837" s="1" t="n">
        <v>2465</v>
      </c>
      <c r="D837" s="1" t="n">
        <v>136</v>
      </c>
      <c r="E837" s="4">
        <f>IF(INDEX(C:C, ROW())+INDEX(D:D, ROW())=0, 0, INDEX(C:C, ROW())/(INDEX(C:C, ROW())+INDEX(D:D, ROW())))</f>
        <v/>
      </c>
      <c r="F837" s="1" t="inlineStr">
        <is>
          <t>String, Prefix Sum</t>
        </is>
      </c>
      <c r="G837" s="1" t="inlineStr">
        <is>
          <t>Medium</t>
        </is>
      </c>
      <c r="H837" s="1" t="n">
        <v>235182</v>
      </c>
      <c r="I837" s="1" t="n">
        <v>330135</v>
      </c>
      <c r="J837" s="9" t="n">
        <v>0.712</v>
      </c>
      <c r="K837" s="1" t="inlineStr">
        <is>
          <t>Yes</t>
        </is>
      </c>
      <c r="L837" s="1" t="inlineStr">
        <is>
          <t>Yes</t>
        </is>
      </c>
      <c r="M837" s="1" t="inlineStr">
        <is>
          <t>Yes</t>
        </is>
      </c>
      <c r="N837" s="1" t="inlineStr">
        <is>
          <t>Algorithms</t>
        </is>
      </c>
      <c r="O8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37" s="11" t="inlineStr">
        <is>
          <t>To Do</t>
        </is>
      </c>
    </row>
    <row r="838" ht="15.75" customHeight="1" s="12">
      <c r="A838" s="1" t="n">
        <v>1870</v>
      </c>
      <c r="B838" s="3">
        <f>HYPERLINK("https://leetcode.com/problems/minimum-speed-to-arrive-on-time/", "Minimum Speed to Arrive on Time")</f>
        <v/>
      </c>
      <c r="C838" s="1" t="n">
        <v>2461</v>
      </c>
      <c r="D838" s="1" t="n">
        <v>293</v>
      </c>
      <c r="E838" s="4">
        <f>IF(INDEX(C:C, ROW())+INDEX(D:D, ROW())=0, 0, INDEX(C:C, ROW())/(INDEX(C:C, ROW())+INDEX(D:D, ROW())))</f>
        <v/>
      </c>
      <c r="F838" s="1" t="inlineStr">
        <is>
          <t>Array, Binary Search</t>
        </is>
      </c>
      <c r="G838" s="1" t="inlineStr">
        <is>
          <t>Medium</t>
        </is>
      </c>
      <c r="H838" s="1" t="n">
        <v>129115</v>
      </c>
      <c r="I838" s="1" t="n">
        <v>269826</v>
      </c>
      <c r="J838" s="9" t="n">
        <v>0.479</v>
      </c>
      <c r="K838" s="1" t="inlineStr">
        <is>
          <t>Yes</t>
        </is>
      </c>
      <c r="L838" s="1" t="inlineStr">
        <is>
          <t>Yes</t>
        </is>
      </c>
      <c r="M838" s="1" t="inlineStr">
        <is>
          <t>No</t>
        </is>
      </c>
      <c r="N838" s="1" t="inlineStr">
        <is>
          <t>Algorithms</t>
        </is>
      </c>
      <c r="O8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38" s="11" t="inlineStr">
        <is>
          <t>To Do</t>
        </is>
      </c>
    </row>
    <row r="839" ht="15.75" customHeight="1" s="12">
      <c r="A839" s="1" t="n">
        <v>331</v>
      </c>
      <c r="B839" s="3">
        <f>HYPERLINK("https://leetcode.com/problems/verify-preorder-serialization-of-a-binary-tree/", "Verify Preorder Serialization of a Binary Tree")</f>
        <v/>
      </c>
      <c r="C839" s="1" t="n">
        <v>2460</v>
      </c>
      <c r="D839" s="1" t="n">
        <v>133</v>
      </c>
      <c r="E839" s="4">
        <f>IF(INDEX(C:C, ROW())+INDEX(D:D, ROW())=0, 0, INDEX(C:C, ROW())/(INDEX(C:C, ROW())+INDEX(D:D, ROW())))</f>
        <v/>
      </c>
      <c r="F839" s="1" t="inlineStr">
        <is>
          <t>String, Stack, Tree, Binary Tree</t>
        </is>
      </c>
      <c r="G839" s="1" t="inlineStr">
        <is>
          <t>Medium</t>
        </is>
      </c>
      <c r="H839" s="1" t="n">
        <v>168780</v>
      </c>
      <c r="I839" s="1" t="n">
        <v>356654</v>
      </c>
      <c r="J839" s="9" t="n">
        <v>0.473</v>
      </c>
      <c r="K839" s="1" t="inlineStr">
        <is>
          <t>Yes</t>
        </is>
      </c>
      <c r="L839" s="1" t="inlineStr">
        <is>
          <t>Yes</t>
        </is>
      </c>
      <c r="M839" s="1" t="inlineStr">
        <is>
          <t>No</t>
        </is>
      </c>
      <c r="N839" s="1" t="inlineStr">
        <is>
          <t>Algorithms</t>
        </is>
      </c>
      <c r="O8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39" s="11" t="inlineStr">
        <is>
          <t>To Do</t>
        </is>
      </c>
    </row>
    <row r="840" ht="15.75" customHeight="1" s="12">
      <c r="A840" s="1" t="n">
        <v>795</v>
      </c>
      <c r="B840" s="3">
        <f>HYPERLINK("https://leetcode.com/problems/number-of-subarrays-with-bounded-maximum/", "Number of Subarrays with Bounded Maximum")</f>
        <v/>
      </c>
      <c r="C840" s="1" t="n">
        <v>2458</v>
      </c>
      <c r="D840" s="1" t="n">
        <v>136</v>
      </c>
      <c r="E840" s="4">
        <f>IF(INDEX(C:C, ROW())+INDEX(D:D, ROW())=0, 0, INDEX(C:C, ROW())/(INDEX(C:C, ROW())+INDEX(D:D, ROW())))</f>
        <v/>
      </c>
      <c r="F840" s="1" t="inlineStr">
        <is>
          <t>Array, Two Pointers</t>
        </is>
      </c>
      <c r="G840" s="1" t="inlineStr">
        <is>
          <t>Medium</t>
        </is>
      </c>
      <c r="H840" s="1" t="n">
        <v>90729</v>
      </c>
      <c r="I840" s="1" t="n">
        <v>165208</v>
      </c>
      <c r="J840" s="9" t="n">
        <v>0.549</v>
      </c>
      <c r="K840" s="1" t="inlineStr">
        <is>
          <t>Yes</t>
        </is>
      </c>
      <c r="L840" s="1" t="inlineStr">
        <is>
          <t>Yes</t>
        </is>
      </c>
      <c r="M840" s="1" t="inlineStr">
        <is>
          <t>No</t>
        </is>
      </c>
      <c r="N840" s="1" t="inlineStr">
        <is>
          <t>Algorithms</t>
        </is>
      </c>
      <c r="O8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40" s="11" t="inlineStr">
        <is>
          <t>To Do</t>
        </is>
      </c>
    </row>
    <row r="841" ht="15.75" customHeight="1" s="12">
      <c r="A841" s="1" t="n">
        <v>917</v>
      </c>
      <c r="B841" s="3">
        <f>HYPERLINK("https://leetcode.com/problems/reverse-only-letters/", "Reverse Only Letters")</f>
        <v/>
      </c>
      <c r="C841" s="1" t="n">
        <v>2458</v>
      </c>
      <c r="D841" s="1" t="n">
        <v>87</v>
      </c>
      <c r="E841" s="4">
        <f>IF(INDEX(C:C, ROW())+INDEX(D:D, ROW())=0, 0, INDEX(C:C, ROW())/(INDEX(C:C, ROW())+INDEX(D:D, ROW())))</f>
        <v/>
      </c>
      <c r="F841" s="1" t="inlineStr">
        <is>
          <t>Two Pointers, String</t>
        </is>
      </c>
      <c r="G841" s="1" t="inlineStr">
        <is>
          <t>Easy</t>
        </is>
      </c>
      <c r="H841" s="1" t="n">
        <v>329057</v>
      </c>
      <c r="I841" s="1" t="n">
        <v>480854</v>
      </c>
      <c r="J841" s="9" t="n">
        <v>0.6840000000000001</v>
      </c>
      <c r="K841" s="1" t="inlineStr">
        <is>
          <t>Yes</t>
        </is>
      </c>
      <c r="L841" s="1" t="inlineStr">
        <is>
          <t>Yes</t>
        </is>
      </c>
      <c r="M841" s="1" t="inlineStr">
        <is>
          <t>No</t>
        </is>
      </c>
      <c r="N841" s="1" t="inlineStr">
        <is>
          <t>Algorithms</t>
        </is>
      </c>
      <c r="O8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41" s="13" t="inlineStr">
        <is>
          <t>Done</t>
        </is>
      </c>
    </row>
    <row r="842" ht="15.75" customHeight="1" s="12">
      <c r="A842" s="1" t="n">
        <v>2218</v>
      </c>
      <c r="B842" s="3">
        <f>HYPERLINK("https://leetcode.com/problems/maximum-value-of-k-coins-from-piles/", "Maximum Value of K Coins From Piles")</f>
        <v/>
      </c>
      <c r="C842" s="1" t="n">
        <v>2455</v>
      </c>
      <c r="D842" s="1" t="n">
        <v>38</v>
      </c>
      <c r="E842" s="4">
        <f>IF(INDEX(C:C, ROW())+INDEX(D:D, ROW())=0, 0, INDEX(C:C, ROW())/(INDEX(C:C, ROW())+INDEX(D:D, ROW())))</f>
        <v/>
      </c>
      <c r="F842" s="1" t="inlineStr">
        <is>
          <t>Array, Dynamic Programming, Prefix Sum</t>
        </is>
      </c>
      <c r="G842" s="1" t="inlineStr">
        <is>
          <t>Hard</t>
        </is>
      </c>
      <c r="H842" s="1" t="n">
        <v>82502</v>
      </c>
      <c r="I842" s="1" t="n">
        <v>136494</v>
      </c>
      <c r="J842" s="9" t="n">
        <v>0.604</v>
      </c>
      <c r="K842" s="1" t="inlineStr">
        <is>
          <t>Yes</t>
        </is>
      </c>
      <c r="L842" s="1" t="inlineStr">
        <is>
          <t>Yes</t>
        </is>
      </c>
      <c r="M842" s="1" t="inlineStr">
        <is>
          <t>No</t>
        </is>
      </c>
      <c r="N842" s="1" t="inlineStr">
        <is>
          <t>Algorithms</t>
        </is>
      </c>
      <c r="O8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42" s="11" t="inlineStr">
        <is>
          <t>To Do</t>
        </is>
      </c>
    </row>
    <row r="843" ht="15.75" customHeight="1" s="12">
      <c r="A843" s="1" t="n">
        <v>1025</v>
      </c>
      <c r="B843" s="3">
        <f>HYPERLINK("https://leetcode.com/problems/divisor-game/", "Divisor Game")</f>
        <v/>
      </c>
      <c r="C843" s="1" t="n">
        <v>2451</v>
      </c>
      <c r="D843" s="1" t="n">
        <v>4211</v>
      </c>
      <c r="E843" s="4">
        <f>IF(INDEX(C:C, ROW())+INDEX(D:D, ROW())=0, 0, INDEX(C:C, ROW())/(INDEX(C:C, ROW())+INDEX(D:D, ROW())))</f>
        <v/>
      </c>
      <c r="F843" s="1" t="inlineStr">
        <is>
          <t>Math, Dynamic Programming, Brainteaser, Game Theory</t>
        </is>
      </c>
      <c r="G843" s="1" t="inlineStr">
        <is>
          <t>Easy</t>
        </is>
      </c>
      <c r="H843" s="1" t="n">
        <v>383417</v>
      </c>
      <c r="I843" s="1" t="n">
        <v>533927</v>
      </c>
      <c r="J843" s="9" t="n">
        <v>0.718</v>
      </c>
      <c r="K843" s="1" t="inlineStr">
        <is>
          <t>Yes</t>
        </is>
      </c>
      <c r="L843" s="1" t="inlineStr">
        <is>
          <t>No</t>
        </is>
      </c>
      <c r="M843" s="1" t="inlineStr">
        <is>
          <t>No</t>
        </is>
      </c>
      <c r="N843" s="1" t="inlineStr">
        <is>
          <t>Algorithms</t>
        </is>
      </c>
      <c r="O8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43" s="13" t="inlineStr">
        <is>
          <t>Done</t>
        </is>
      </c>
    </row>
    <row r="844" ht="15.75" customHeight="1" s="12">
      <c r="A844" s="1" t="n">
        <v>1615</v>
      </c>
      <c r="B844" s="3">
        <f>HYPERLINK("https://leetcode.com/problems/maximal-network-rank/", "Maximal Network Rank")</f>
        <v/>
      </c>
      <c r="C844" s="1" t="n">
        <v>2451</v>
      </c>
      <c r="D844" s="1" t="n">
        <v>394</v>
      </c>
      <c r="E844" s="4">
        <f>IF(INDEX(C:C, ROW())+INDEX(D:D, ROW())=0, 0, INDEX(C:C, ROW())/(INDEX(C:C, ROW())+INDEX(D:D, ROW())))</f>
        <v/>
      </c>
      <c r="F844" s="1" t="inlineStr">
        <is>
          <t>Graph Theory</t>
        </is>
      </c>
      <c r="G844" s="1" t="inlineStr">
        <is>
          <t>Medium</t>
        </is>
      </c>
      <c r="H844" s="1" t="n">
        <v>170634</v>
      </c>
      <c r="I844" s="1" t="n">
        <v>258692</v>
      </c>
      <c r="J844" s="9" t="n">
        <v>0.66</v>
      </c>
      <c r="K844" s="1" t="inlineStr">
        <is>
          <t>Yes</t>
        </is>
      </c>
      <c r="L844" s="1" t="inlineStr">
        <is>
          <t>Yes</t>
        </is>
      </c>
      <c r="M844" s="1" t="inlineStr">
        <is>
          <t>No</t>
        </is>
      </c>
      <c r="N844" s="1" t="inlineStr">
        <is>
          <t>Algorithms</t>
        </is>
      </c>
      <c r="O8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44" s="11" t="inlineStr">
        <is>
          <t>To Do</t>
        </is>
      </c>
    </row>
    <row r="845" ht="15.75" customHeight="1" s="12">
      <c r="A845" s="1" t="n">
        <v>1328</v>
      </c>
      <c r="B845" s="3">
        <f>HYPERLINK("https://leetcode.com/problems/break-a-palindrome/", "Break a Palindrome")</f>
        <v/>
      </c>
      <c r="C845" s="1" t="n">
        <v>2450</v>
      </c>
      <c r="D845" s="1" t="n">
        <v>755</v>
      </c>
      <c r="E845" s="4">
        <f>IF(INDEX(C:C, ROW())+INDEX(D:D, ROW())=0, 0, INDEX(C:C, ROW())/(INDEX(C:C, ROW())+INDEX(D:D, ROW())))</f>
        <v/>
      </c>
      <c r="F845" s="1" t="inlineStr">
        <is>
          <t>String, Greedy</t>
        </is>
      </c>
      <c r="G845" s="1" t="inlineStr">
        <is>
          <t>Medium</t>
        </is>
      </c>
      <c r="H845" s="1" t="n">
        <v>198211</v>
      </c>
      <c r="I845" s="1" t="n">
        <v>384189</v>
      </c>
      <c r="J845" s="9" t="n">
        <v>0.516</v>
      </c>
      <c r="K845" s="1" t="inlineStr">
        <is>
          <t>Yes</t>
        </is>
      </c>
      <c r="L845" s="1" t="inlineStr">
        <is>
          <t>Yes</t>
        </is>
      </c>
      <c r="M845" s="1" t="inlineStr">
        <is>
          <t>No</t>
        </is>
      </c>
      <c r="N845" s="1" t="inlineStr">
        <is>
          <t>Algorithms</t>
        </is>
      </c>
      <c r="O8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45" s="11" t="inlineStr">
        <is>
          <t>To Do</t>
        </is>
      </c>
    </row>
    <row r="846" ht="15.75" customHeight="1" s="12">
      <c r="A846" s="1" t="n">
        <v>2141</v>
      </c>
      <c r="B846" s="3">
        <f>HYPERLINK("https://leetcode.com/problems/maximum-running-time-of-n-computers/", "Maximum Running Time of N Computers")</f>
        <v/>
      </c>
      <c r="C846" s="1" t="n">
        <v>2447</v>
      </c>
      <c r="D846" s="1" t="n">
        <v>71</v>
      </c>
      <c r="E846" s="4">
        <f>IF(INDEX(C:C, ROW())+INDEX(D:D, ROW())=0, 0, INDEX(C:C, ROW())/(INDEX(C:C, ROW())+INDEX(D:D, ROW())))</f>
        <v/>
      </c>
      <c r="F846" s="1" t="inlineStr">
        <is>
          <t>Array, Binary Search, Greedy, Sorting</t>
        </is>
      </c>
      <c r="G846" s="1" t="inlineStr">
        <is>
          <t>Hard</t>
        </is>
      </c>
      <c r="H846" s="1" t="n">
        <v>140927</v>
      </c>
      <c r="I846" s="1" t="n">
        <v>249661</v>
      </c>
      <c r="J846" s="9" t="n">
        <v>0.5639999999999999</v>
      </c>
      <c r="K846" s="1" t="inlineStr">
        <is>
          <t>Yes</t>
        </is>
      </c>
      <c r="L846" s="1" t="inlineStr">
        <is>
          <t>Yes</t>
        </is>
      </c>
      <c r="M846" s="1" t="inlineStr">
        <is>
          <t>No</t>
        </is>
      </c>
      <c r="N846" s="1" t="inlineStr">
        <is>
          <t>Algorithms</t>
        </is>
      </c>
      <c r="O8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46" s="11" t="inlineStr">
        <is>
          <t>To Do</t>
        </is>
      </c>
    </row>
    <row r="847" ht="15.75" customHeight="1" s="12">
      <c r="A847" s="1" t="n">
        <v>330</v>
      </c>
      <c r="B847" s="3">
        <f>HYPERLINK("https://leetcode.com/problems/patching-array/", "Patching Array")</f>
        <v/>
      </c>
      <c r="C847" s="1" t="n">
        <v>2441</v>
      </c>
      <c r="D847" s="1" t="n">
        <v>203</v>
      </c>
      <c r="E847" s="4">
        <f>IF(INDEX(C:C, ROW())+INDEX(D:D, ROW())=0, 0, INDEX(C:C, ROW())/(INDEX(C:C, ROW())+INDEX(D:D, ROW())))</f>
        <v/>
      </c>
      <c r="F847" s="1" t="inlineStr">
        <is>
          <t>Array, Greedy</t>
        </is>
      </c>
      <c r="G847" s="1" t="inlineStr">
        <is>
          <t>Hard</t>
        </is>
      </c>
      <c r="H847" s="1" t="n">
        <v>184462</v>
      </c>
      <c r="I847" s="1" t="n">
        <v>339877</v>
      </c>
      <c r="J847" s="9" t="n">
        <v>0.543</v>
      </c>
      <c r="K847" s="1" t="inlineStr">
        <is>
          <t>Yes</t>
        </is>
      </c>
      <c r="L847" s="1" t="inlineStr">
        <is>
          <t>Yes</t>
        </is>
      </c>
      <c r="M847" s="1" t="inlineStr">
        <is>
          <t>No</t>
        </is>
      </c>
      <c r="N847" s="1" t="inlineStr">
        <is>
          <t>Algorithms</t>
        </is>
      </c>
      <c r="O8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47" s="11" t="inlineStr">
        <is>
          <t>To Do</t>
        </is>
      </c>
    </row>
    <row r="848" ht="15.75" customHeight="1" s="12">
      <c r="A848" s="1" t="n">
        <v>381</v>
      </c>
      <c r="B848" s="3">
        <f>HYPERLINK("https://leetcode.com/problems/insert-delete-getrandom-o1-duplicates-allowed/", "Insert Delete GetRandom O(1) - Duplicates allowed")</f>
        <v/>
      </c>
      <c r="C848" s="1" t="n">
        <v>2431</v>
      </c>
      <c r="D848" s="1" t="n">
        <v>160</v>
      </c>
      <c r="E848" s="4">
        <f>IF(INDEX(C:C, ROW())+INDEX(D:D, ROW())=0, 0, INDEX(C:C, ROW())/(INDEX(C:C, ROW())+INDEX(D:D, ROW())))</f>
        <v/>
      </c>
      <c r="F848" s="1" t="inlineStr">
        <is>
          <t>Array, Hash Table, Math, Design, Randomized</t>
        </is>
      </c>
      <c r="G848" s="1" t="inlineStr">
        <is>
          <t>Hard</t>
        </is>
      </c>
      <c r="H848" s="1" t="n">
        <v>189749</v>
      </c>
      <c r="I848" s="1" t="n">
        <v>518735</v>
      </c>
      <c r="J848" s="9" t="n">
        <v>0.366</v>
      </c>
      <c r="K848" s="1" t="inlineStr">
        <is>
          <t>Yes</t>
        </is>
      </c>
      <c r="L848" s="1" t="inlineStr">
        <is>
          <t>Yes</t>
        </is>
      </c>
      <c r="M848" s="1" t="inlineStr">
        <is>
          <t>No</t>
        </is>
      </c>
      <c r="N848" s="1" t="inlineStr">
        <is>
          <t>Algorithms</t>
        </is>
      </c>
      <c r="O8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48" s="11" t="inlineStr">
        <is>
          <t>To Do</t>
        </is>
      </c>
    </row>
    <row r="849" ht="15.75" customHeight="1" s="12">
      <c r="A849" s="1" t="n">
        <v>2487</v>
      </c>
      <c r="B849" s="3">
        <f>HYPERLINK("https://leetcode.com/problems/remove-nodes-from-linked-list/", "Remove Nodes From Linked List")</f>
        <v/>
      </c>
      <c r="C849" s="1" t="n">
        <v>2428</v>
      </c>
      <c r="D849" s="1" t="n">
        <v>88</v>
      </c>
      <c r="E849" s="4">
        <f>IF(INDEX(C:C, ROW())+INDEX(D:D, ROW())=0, 0, INDEX(C:C, ROW())/(INDEX(C:C, ROW())+INDEX(D:D, ROW())))</f>
        <v/>
      </c>
      <c r="F849" s="1" t="inlineStr">
        <is>
          <t>Linked List, Stack, Recursion, Monotonic Stack</t>
        </is>
      </c>
      <c r="G849" s="1" t="inlineStr">
        <is>
          <t>Medium</t>
        </is>
      </c>
      <c r="H849" s="1" t="n">
        <v>272251</v>
      </c>
      <c r="I849" s="1" t="n">
        <v>363411</v>
      </c>
      <c r="J849" s="9" t="n">
        <v>0.749</v>
      </c>
      <c r="K849" s="1" t="inlineStr">
        <is>
          <t>Yes</t>
        </is>
      </c>
      <c r="L849" s="1" t="inlineStr">
        <is>
          <t>Yes</t>
        </is>
      </c>
      <c r="M849" s="1" t="inlineStr">
        <is>
          <t>No</t>
        </is>
      </c>
      <c r="N849" s="1" t="inlineStr">
        <is>
          <t>Algorithms</t>
        </is>
      </c>
      <c r="O8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49" s="11" t="inlineStr">
        <is>
          <t>To Do</t>
        </is>
      </c>
    </row>
    <row r="850" ht="15.75" customHeight="1" s="12">
      <c r="A850" s="1" t="n">
        <v>1262</v>
      </c>
      <c r="B850" s="3">
        <f>HYPERLINK("https://leetcode.com/problems/greatest-sum-divisible-by-three/", "Greatest Sum Divisible by Three")</f>
        <v/>
      </c>
      <c r="C850" s="1" t="n">
        <v>2425</v>
      </c>
      <c r="D850" s="1" t="n">
        <v>65</v>
      </c>
      <c r="E850" s="4">
        <f>IF(INDEX(C:C, ROW())+INDEX(D:D, ROW())=0, 0, INDEX(C:C, ROW())/(INDEX(C:C, ROW())+INDEX(D:D, ROW())))</f>
        <v/>
      </c>
      <c r="F850" s="1" t="inlineStr">
        <is>
          <t>Array, Dynamic Programming, Greedy, Sorting</t>
        </is>
      </c>
      <c r="G850" s="1" t="inlineStr">
        <is>
          <t>Medium</t>
        </is>
      </c>
      <c r="H850" s="1" t="n">
        <v>165369</v>
      </c>
      <c r="I850" s="1" t="n">
        <v>289956</v>
      </c>
      <c r="J850" s="9" t="n">
        <v>0.57</v>
      </c>
      <c r="K850" s="1" t="inlineStr">
        <is>
          <t>Yes</t>
        </is>
      </c>
      <c r="L850" s="1" t="inlineStr">
        <is>
          <t>Yes</t>
        </is>
      </c>
      <c r="M850" s="1" t="inlineStr">
        <is>
          <t>No</t>
        </is>
      </c>
      <c r="N850" s="1" t="inlineStr">
        <is>
          <t>Algorithms</t>
        </is>
      </c>
      <c r="O8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50" s="11" t="inlineStr">
        <is>
          <t>To Do</t>
        </is>
      </c>
    </row>
    <row r="851" ht="15.75" customHeight="1" s="12">
      <c r="A851" s="1" t="n">
        <v>988</v>
      </c>
      <c r="B851" s="3">
        <f>HYPERLINK("https://leetcode.com/problems/smallest-string-starting-from-leaf/", "Smallest String Starting From Leaf")</f>
        <v/>
      </c>
      <c r="C851" s="1" t="n">
        <v>2424</v>
      </c>
      <c r="D851" s="1" t="n">
        <v>336</v>
      </c>
      <c r="E851" s="4">
        <f>IF(INDEX(C:C, ROW())+INDEX(D:D, ROW())=0, 0, INDEX(C:C, ROW())/(INDEX(C:C, ROW())+INDEX(D:D, ROW())))</f>
        <v/>
      </c>
      <c r="F851" s="1" t="inlineStr">
        <is>
          <t>String, Backtracking, Tree, Depth-First Search, Binary Tree</t>
        </is>
      </c>
      <c r="G851" s="1" t="inlineStr">
        <is>
          <t>Medium</t>
        </is>
      </c>
      <c r="H851" s="1" t="n">
        <v>222732</v>
      </c>
      <c r="I851" s="1" t="n">
        <v>363839</v>
      </c>
      <c r="J851" s="9" t="n">
        <v>0.612</v>
      </c>
      <c r="K851" s="1" t="inlineStr">
        <is>
          <t>Yes</t>
        </is>
      </c>
      <c r="L851" s="1" t="inlineStr">
        <is>
          <t>Yes</t>
        </is>
      </c>
      <c r="M851" s="1" t="inlineStr">
        <is>
          <t>No</t>
        </is>
      </c>
      <c r="N851" s="1" t="inlineStr">
        <is>
          <t>Algorithms</t>
        </is>
      </c>
      <c r="O8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51" s="11" t="inlineStr">
        <is>
          <t>To Do</t>
        </is>
      </c>
    </row>
    <row r="852" ht="15.75" customHeight="1" s="12">
      <c r="A852" s="1" t="n">
        <v>561</v>
      </c>
      <c r="B852" s="3">
        <f>HYPERLINK("https://leetcode.com/problems/array-partition/", "Array Partition")</f>
        <v/>
      </c>
      <c r="C852" s="1" t="n">
        <v>2422</v>
      </c>
      <c r="D852" s="1" t="n">
        <v>304</v>
      </c>
      <c r="E852" s="4">
        <f>IF(INDEX(C:C, ROW())+INDEX(D:D, ROW())=0, 0, INDEX(C:C, ROW())/(INDEX(C:C, ROW())+INDEX(D:D, ROW())))</f>
        <v/>
      </c>
      <c r="F852" s="1" t="inlineStr">
        <is>
          <t>Array, Greedy, Sorting, Counting Sort</t>
        </is>
      </c>
      <c r="G852" s="1" t="inlineStr">
        <is>
          <t>Easy</t>
        </is>
      </c>
      <c r="H852" s="1" t="n">
        <v>675342</v>
      </c>
      <c r="I852" s="1" t="n">
        <v>826618</v>
      </c>
      <c r="J852" s="9" t="n">
        <v>0.8169999999999999</v>
      </c>
      <c r="K852" s="1" t="inlineStr">
        <is>
          <t>Yes</t>
        </is>
      </c>
      <c r="L852" s="1" t="inlineStr">
        <is>
          <t>Yes</t>
        </is>
      </c>
      <c r="M852" s="1" t="inlineStr">
        <is>
          <t>No</t>
        </is>
      </c>
      <c r="N852" s="1" t="inlineStr">
        <is>
          <t>Algorithms</t>
        </is>
      </c>
      <c r="O8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52" s="13" t="inlineStr">
        <is>
          <t>Done</t>
        </is>
      </c>
    </row>
    <row r="853" ht="15.75" customHeight="1" s="12">
      <c r="A853" s="1" t="n">
        <v>184</v>
      </c>
      <c r="B853" s="3">
        <f>HYPERLINK("https://leetcode.com/problems/department-highest-salary/", "Department Highest Salary")</f>
        <v/>
      </c>
      <c r="C853" s="1" t="n">
        <v>2411</v>
      </c>
      <c r="D853" s="1" t="n">
        <v>213</v>
      </c>
      <c r="E853" s="4">
        <f>IF(INDEX(C:C, ROW())+INDEX(D:D, ROW())=0, 0, INDEX(C:C, ROW())/(INDEX(C:C, ROW())+INDEX(D:D, ROW())))</f>
        <v/>
      </c>
      <c r="F853" s="1" t="inlineStr">
        <is>
          <t>Database</t>
        </is>
      </c>
      <c r="G853" s="1" t="inlineStr">
        <is>
          <t>Medium</t>
        </is>
      </c>
      <c r="H853" s="1" t="n">
        <v>675250</v>
      </c>
      <c r="I853" s="1" t="n">
        <v>1164779</v>
      </c>
      <c r="J853" s="9" t="n">
        <v>0.58</v>
      </c>
      <c r="K853" s="1" t="inlineStr">
        <is>
          <t>Yes</t>
        </is>
      </c>
      <c r="L853" s="1" t="inlineStr">
        <is>
          <t>Yes</t>
        </is>
      </c>
      <c r="M853" s="1" t="inlineStr">
        <is>
          <t>No</t>
        </is>
      </c>
      <c r="N853" s="1" t="inlineStr">
        <is>
          <t>Database</t>
        </is>
      </c>
      <c r="O8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53" s="11" t="inlineStr">
        <is>
          <t>To Do</t>
        </is>
      </c>
    </row>
    <row r="854" ht="15.75" customHeight="1" s="12">
      <c r="A854" s="1" t="n">
        <v>1859</v>
      </c>
      <c r="B854" s="3">
        <f>HYPERLINK("https://leetcode.com/problems/sorting-the-sentence/", "Sorting the Sentence")</f>
        <v/>
      </c>
      <c r="C854" s="1" t="n">
        <v>2399</v>
      </c>
      <c r="D854" s="1" t="n">
        <v>83</v>
      </c>
      <c r="E854" s="4">
        <f>IF(INDEX(C:C, ROW())+INDEX(D:D, ROW())=0, 0, INDEX(C:C, ROW())/(INDEX(C:C, ROW())+INDEX(D:D, ROW())))</f>
        <v/>
      </c>
      <c r="F854" s="1" t="inlineStr">
        <is>
          <t>String, Sorting</t>
        </is>
      </c>
      <c r="G854" s="1" t="inlineStr">
        <is>
          <t>Easy</t>
        </is>
      </c>
      <c r="H854" s="1" t="n">
        <v>237279</v>
      </c>
      <c r="I854" s="1" t="n">
        <v>282159</v>
      </c>
      <c r="J854" s="9" t="n">
        <v>0.841</v>
      </c>
      <c r="K854" s="1" t="inlineStr">
        <is>
          <t>Yes</t>
        </is>
      </c>
      <c r="L854" s="1" t="inlineStr">
        <is>
          <t>No</t>
        </is>
      </c>
      <c r="M854" s="1" t="inlineStr">
        <is>
          <t>No</t>
        </is>
      </c>
      <c r="N854" s="1" t="inlineStr">
        <is>
          <t>Algorithms</t>
        </is>
      </c>
      <c r="O8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54" s="13" t="inlineStr">
        <is>
          <t>Done</t>
        </is>
      </c>
    </row>
    <row r="855" ht="15.75" customHeight="1" s="12">
      <c r="A855" s="1" t="n">
        <v>1331</v>
      </c>
      <c r="B855" s="3">
        <f>HYPERLINK("https://leetcode.com/problems/rank-transform-of-an-array/", "Rank Transform of an Array")</f>
        <v/>
      </c>
      <c r="C855" s="1" t="n">
        <v>2394</v>
      </c>
      <c r="D855" s="1" t="n">
        <v>115</v>
      </c>
      <c r="E855" s="4">
        <f>IF(INDEX(C:C, ROW())+INDEX(D:D, ROW())=0, 0, INDEX(C:C, ROW())/(INDEX(C:C, ROW())+INDEX(D:D, ROW())))</f>
        <v/>
      </c>
      <c r="F855" s="1" t="inlineStr">
        <is>
          <t>Array, Hash Table, Sorting</t>
        </is>
      </c>
      <c r="G855" s="1" t="inlineStr">
        <is>
          <t>Easy</t>
        </is>
      </c>
      <c r="H855" s="1" t="n">
        <v>322657</v>
      </c>
      <c r="I855" s="1" t="n">
        <v>455422</v>
      </c>
      <c r="J855" s="9" t="n">
        <v>0.708</v>
      </c>
      <c r="K855" s="1" t="inlineStr">
        <is>
          <t>Yes</t>
        </is>
      </c>
      <c r="L855" s="1" t="inlineStr">
        <is>
          <t>Yes</t>
        </is>
      </c>
      <c r="M855" s="1" t="inlineStr">
        <is>
          <t>No</t>
        </is>
      </c>
      <c r="N855" s="1" t="inlineStr">
        <is>
          <t>Algorithms</t>
        </is>
      </c>
      <c r="O8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55" s="13" t="inlineStr">
        <is>
          <t>Done</t>
        </is>
      </c>
    </row>
    <row r="856" ht="15.75" customHeight="1" s="12">
      <c r="A856" s="1" t="n">
        <v>563</v>
      </c>
      <c r="B856" s="3">
        <f>HYPERLINK("https://leetcode.com/problems/binary-tree-tilt/", "Binary Tree Tilt")</f>
        <v/>
      </c>
      <c r="C856" s="1" t="n">
        <v>2387</v>
      </c>
      <c r="D856" s="1" t="n">
        <v>2262</v>
      </c>
      <c r="E856" s="4">
        <f>IF(INDEX(C:C, ROW())+INDEX(D:D, ROW())=0, 0, INDEX(C:C, ROW())/(INDEX(C:C, ROW())+INDEX(D:D, ROW())))</f>
        <v/>
      </c>
      <c r="F856" s="1" t="inlineStr">
        <is>
          <t>Tree, Depth-First Search, Binary Tree</t>
        </is>
      </c>
      <c r="G856" s="1" t="inlineStr">
        <is>
          <t>Easy</t>
        </is>
      </c>
      <c r="H856" s="1" t="n">
        <v>270485</v>
      </c>
      <c r="I856" s="1" t="n">
        <v>411109</v>
      </c>
      <c r="J856" s="9" t="n">
        <v>0.658</v>
      </c>
      <c r="K856" s="1" t="inlineStr">
        <is>
          <t>Yes</t>
        </is>
      </c>
      <c r="L856" s="1" t="inlineStr">
        <is>
          <t>Yes</t>
        </is>
      </c>
      <c r="M856" s="1" t="inlineStr">
        <is>
          <t>No</t>
        </is>
      </c>
      <c r="N856" s="1" t="inlineStr">
        <is>
          <t>Algorithms</t>
        </is>
      </c>
      <c r="O8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56" s="13" t="inlineStr">
        <is>
          <t>Done</t>
        </is>
      </c>
    </row>
    <row r="857" ht="15.75" customHeight="1" s="12">
      <c r="A857" s="1" t="n">
        <v>1970</v>
      </c>
      <c r="B857" s="3">
        <f>HYPERLINK("https://leetcode.com/problems/last-day-where-you-can-still-cross/", "Last Day Where You Can Still Cross")</f>
        <v/>
      </c>
      <c r="C857" s="1" t="n">
        <v>2386</v>
      </c>
      <c r="D857" s="1" t="n">
        <v>48</v>
      </c>
      <c r="E857" s="4">
        <f>IF(INDEX(C:C, ROW())+INDEX(D:D, ROW())=0, 0, INDEX(C:C, ROW())/(INDEX(C:C, ROW())+INDEX(D:D, ROW())))</f>
        <v/>
      </c>
      <c r="F857" s="1" t="inlineStr">
        <is>
          <t>Array, Binary Search, Depth-First Search, Breadth-First Search, Union-Find, Matrix</t>
        </is>
      </c>
      <c r="G857" s="1" t="inlineStr">
        <is>
          <t>Hard</t>
        </is>
      </c>
      <c r="H857" s="1" t="n">
        <v>131049</v>
      </c>
      <c r="I857" s="1" t="n">
        <v>190837</v>
      </c>
      <c r="J857" s="9" t="n">
        <v>0.6870000000000001</v>
      </c>
      <c r="K857" s="1" t="inlineStr">
        <is>
          <t>Yes</t>
        </is>
      </c>
      <c r="L857" s="1" t="inlineStr">
        <is>
          <t>Yes</t>
        </is>
      </c>
      <c r="M857" s="1" t="inlineStr">
        <is>
          <t>No</t>
        </is>
      </c>
      <c r="N857" s="1" t="inlineStr">
        <is>
          <t>Algorithms</t>
        </is>
      </c>
      <c r="O8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57" s="11" t="inlineStr">
        <is>
          <t>To Do</t>
        </is>
      </c>
    </row>
    <row r="858" ht="15.75" customHeight="1" s="12">
      <c r="A858" s="1" t="n">
        <v>256</v>
      </c>
      <c r="B858" s="3">
        <f>HYPERLINK("https://leetcode.com/problems/paint-house/", "Paint House")</f>
        <v/>
      </c>
      <c r="C858" s="1" t="n">
        <v>2385</v>
      </c>
      <c r="D858" s="1" t="n">
        <v>134</v>
      </c>
      <c r="E858" s="4">
        <f>IF(INDEX(C:C, ROW())+INDEX(D:D, ROW())=0, 0, INDEX(C:C, ROW())/(INDEX(C:C, ROW())+INDEX(D:D, ROW())))</f>
        <v/>
      </c>
      <c r="F858" s="1" t="inlineStr">
        <is>
          <t>Array, Dynamic Programming</t>
        </is>
      </c>
      <c r="G858" s="1" t="inlineStr">
        <is>
          <t>Medium</t>
        </is>
      </c>
      <c r="H858" s="1" t="n">
        <v>246273</v>
      </c>
      <c r="I858" s="1" t="n">
        <v>382355</v>
      </c>
      <c r="J858" s="9" t="n">
        <v>0.644</v>
      </c>
      <c r="K858" s="1" t="inlineStr">
        <is>
          <t>No</t>
        </is>
      </c>
      <c r="L858" s="1" t="inlineStr">
        <is>
          <t>Yes</t>
        </is>
      </c>
      <c r="M858" s="1" t="inlineStr">
        <is>
          <t>No</t>
        </is>
      </c>
      <c r="N858" s="1" t="inlineStr">
        <is>
          <t>Algorithms</t>
        </is>
      </c>
      <c r="O8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58" s="11" t="inlineStr">
        <is>
          <t>To Do</t>
        </is>
      </c>
    </row>
    <row r="859" ht="15.75" customHeight="1" s="12">
      <c r="A859" s="1" t="n">
        <v>1519</v>
      </c>
      <c r="B859" s="3">
        <f>HYPERLINK("https://leetcode.com/problems/number-of-nodes-in-the-sub-tree-with-the-same-label/", "Number of Nodes in the Sub-Tree With the Same Label")</f>
        <v/>
      </c>
      <c r="C859" s="1" t="n">
        <v>2384</v>
      </c>
      <c r="D859" s="1" t="n">
        <v>813</v>
      </c>
      <c r="E859" s="4">
        <f>IF(INDEX(C:C, ROW())+INDEX(D:D, ROW())=0, 0, INDEX(C:C, ROW())/(INDEX(C:C, ROW())+INDEX(D:D, ROW())))</f>
        <v/>
      </c>
      <c r="F859" s="1" t="inlineStr">
        <is>
          <t>Hash Table, Tree, Depth-First Search, Breadth-First Search, Counting</t>
        </is>
      </c>
      <c r="G859" s="1" t="inlineStr">
        <is>
          <t>Medium</t>
        </is>
      </c>
      <c r="H859" s="1" t="n">
        <v>94643</v>
      </c>
      <c r="I859" s="1" t="n">
        <v>170809</v>
      </c>
      <c r="J859" s="9" t="n">
        <v>0.554</v>
      </c>
      <c r="K859" s="1" t="inlineStr">
        <is>
          <t>Yes</t>
        </is>
      </c>
      <c r="L859" s="1" t="inlineStr">
        <is>
          <t>Yes</t>
        </is>
      </c>
      <c r="M859" s="1" t="inlineStr">
        <is>
          <t>No</t>
        </is>
      </c>
      <c r="N859" s="1" t="inlineStr">
        <is>
          <t>Algorithms</t>
        </is>
      </c>
      <c r="O8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59" s="11" t="inlineStr">
        <is>
          <t>To Do</t>
        </is>
      </c>
    </row>
    <row r="860" ht="15.75" customHeight="1" s="12">
      <c r="A860" s="1" t="n">
        <v>1289</v>
      </c>
      <c r="B860" s="3">
        <f>HYPERLINK("https://leetcode.com/problems/minimum-falling-path-sum-ii/", "Minimum Falling Path Sum II")</f>
        <v/>
      </c>
      <c r="C860" s="1" t="n">
        <v>2380</v>
      </c>
      <c r="D860" s="1" t="n">
        <v>124</v>
      </c>
      <c r="E860" s="4">
        <f>IF(INDEX(C:C, ROW())+INDEX(D:D, ROW())=0, 0, INDEX(C:C, ROW())/(INDEX(C:C, ROW())+INDEX(D:D, ROW())))</f>
        <v/>
      </c>
      <c r="F860" s="1" t="inlineStr">
        <is>
          <t>Array, Dynamic Programming, Matrix</t>
        </is>
      </c>
      <c r="G860" s="1" t="inlineStr">
        <is>
          <t>Hard</t>
        </is>
      </c>
      <c r="H860" s="1" t="n">
        <v>165358</v>
      </c>
      <c r="I860" s="1" t="n">
        <v>262037</v>
      </c>
      <c r="J860" s="9" t="n">
        <v>0.631</v>
      </c>
      <c r="K860" s="1" t="inlineStr">
        <is>
          <t>Yes</t>
        </is>
      </c>
      <c r="L860" s="1" t="inlineStr">
        <is>
          <t>Yes</t>
        </is>
      </c>
      <c r="M860" s="1" t="inlineStr">
        <is>
          <t>No</t>
        </is>
      </c>
      <c r="N860" s="1" t="inlineStr">
        <is>
          <t>Algorithms</t>
        </is>
      </c>
      <c r="O8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60" s="11" t="inlineStr">
        <is>
          <t>To Do</t>
        </is>
      </c>
    </row>
    <row r="861" ht="15.75" customHeight="1" s="12">
      <c r="A861" s="1" t="n">
        <v>1877</v>
      </c>
      <c r="B861" s="3">
        <f>HYPERLINK("https://leetcode.com/problems/minimize-maximum-pair-sum-in-array/", "Minimize Maximum Pair Sum in Array")</f>
        <v/>
      </c>
      <c r="C861" s="1" t="n">
        <v>2379</v>
      </c>
      <c r="D861" s="1" t="n">
        <v>547</v>
      </c>
      <c r="E861" s="4">
        <f>IF(INDEX(C:C, ROW())+INDEX(D:D, ROW())=0, 0, INDEX(C:C, ROW())/(INDEX(C:C, ROW())+INDEX(D:D, ROW())))</f>
        <v/>
      </c>
      <c r="F861" s="1" t="inlineStr">
        <is>
          <t>Array, Two Pointers, Greedy, Sorting</t>
        </is>
      </c>
      <c r="G861" s="1" t="inlineStr">
        <is>
          <t>Medium</t>
        </is>
      </c>
      <c r="H861" s="1" t="n">
        <v>333890</v>
      </c>
      <c r="I861" s="1" t="n">
        <v>400864</v>
      </c>
      <c r="J861" s="9" t="n">
        <v>0.833</v>
      </c>
      <c r="K861" s="1" t="inlineStr">
        <is>
          <t>Yes</t>
        </is>
      </c>
      <c r="L861" s="1" t="inlineStr">
        <is>
          <t>Yes</t>
        </is>
      </c>
      <c r="M861" s="1" t="inlineStr">
        <is>
          <t>No</t>
        </is>
      </c>
      <c r="N861" s="1" t="inlineStr">
        <is>
          <t>Algorithms</t>
        </is>
      </c>
      <c r="O8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61" s="11" t="inlineStr">
        <is>
          <t>To Do</t>
        </is>
      </c>
    </row>
    <row r="862" ht="15.75" customHeight="1" s="12">
      <c r="A862" s="1" t="n">
        <v>508</v>
      </c>
      <c r="B862" s="3">
        <f>HYPERLINK("https://leetcode.com/problems/most-frequent-subtree-sum/", "Most Frequent Subtree Sum")</f>
        <v/>
      </c>
      <c r="C862" s="1" t="n">
        <v>2378</v>
      </c>
      <c r="D862" s="1" t="n">
        <v>335</v>
      </c>
      <c r="E862" s="4">
        <f>IF(INDEX(C:C, ROW())+INDEX(D:D, ROW())=0, 0, INDEX(C:C, ROW())/(INDEX(C:C, ROW())+INDEX(D:D, ROW())))</f>
        <v/>
      </c>
      <c r="F862" s="1" t="inlineStr">
        <is>
          <t>Hash Table, Tree, Depth-First Search, Binary Tree</t>
        </is>
      </c>
      <c r="G862" s="1" t="inlineStr">
        <is>
          <t>Medium</t>
        </is>
      </c>
      <c r="H862" s="1" t="n">
        <v>176700</v>
      </c>
      <c r="I862" s="1" t="n">
        <v>255383</v>
      </c>
      <c r="J862" s="9" t="n">
        <v>0.6919999999999999</v>
      </c>
      <c r="K862" s="1" t="inlineStr">
        <is>
          <t>Yes</t>
        </is>
      </c>
      <c r="L862" s="1" t="inlineStr">
        <is>
          <t>Yes</t>
        </is>
      </c>
      <c r="M862" s="1" t="inlineStr">
        <is>
          <t>No</t>
        </is>
      </c>
      <c r="N862" s="1" t="inlineStr">
        <is>
          <t>Algorithms</t>
        </is>
      </c>
      <c r="O8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62" s="11" t="inlineStr">
        <is>
          <t>To Do</t>
        </is>
      </c>
    </row>
    <row r="863" ht="15.75" customHeight="1" s="12">
      <c r="A863" s="1" t="n">
        <v>552</v>
      </c>
      <c r="B863" s="3">
        <f>HYPERLINK("https://leetcode.com/problems/student-attendance-record-ii/", "Student Attendance Record II")</f>
        <v/>
      </c>
      <c r="C863" s="1" t="n">
        <v>2375</v>
      </c>
      <c r="D863" s="1" t="n">
        <v>290</v>
      </c>
      <c r="E863" s="4">
        <f>IF(INDEX(C:C, ROW())+INDEX(D:D, ROW())=0, 0, INDEX(C:C, ROW())/(INDEX(C:C, ROW())+INDEX(D:D, ROW())))</f>
        <v/>
      </c>
      <c r="F863" s="1" t="inlineStr">
        <is>
          <t>Dynamic Programming</t>
        </is>
      </c>
      <c r="G863" s="1" t="inlineStr">
        <is>
          <t>Hard</t>
        </is>
      </c>
      <c r="H863" s="1" t="n">
        <v>159386</v>
      </c>
      <c r="I863" s="1" t="n">
        <v>281827</v>
      </c>
      <c r="J863" s="9" t="n">
        <v>0.5659999999999999</v>
      </c>
      <c r="K863" s="1" t="inlineStr">
        <is>
          <t>Yes</t>
        </is>
      </c>
      <c r="L863" s="1" t="inlineStr">
        <is>
          <t>Yes</t>
        </is>
      </c>
      <c r="M863" s="1" t="inlineStr">
        <is>
          <t>No</t>
        </is>
      </c>
      <c r="N863" s="1" t="inlineStr">
        <is>
          <t>Algorithms</t>
        </is>
      </c>
      <c r="O8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63" s="11" t="inlineStr">
        <is>
          <t>To Do</t>
        </is>
      </c>
    </row>
    <row r="864" ht="15.75" customHeight="1" s="12">
      <c r="A864" s="1" t="n">
        <v>541</v>
      </c>
      <c r="B864" s="3">
        <f>HYPERLINK("https://leetcode.com/problems/reverse-string-ii/", "Reverse String II")</f>
        <v/>
      </c>
      <c r="C864" s="1" t="n">
        <v>2374</v>
      </c>
      <c r="D864" s="1" t="n">
        <v>4469</v>
      </c>
      <c r="E864" s="4">
        <f>IF(INDEX(C:C, ROW())+INDEX(D:D, ROW())=0, 0, INDEX(C:C, ROW())/(INDEX(C:C, ROW())+INDEX(D:D, ROW())))</f>
        <v/>
      </c>
      <c r="F864" s="1" t="inlineStr">
        <is>
          <t>Two Pointers, String</t>
        </is>
      </c>
      <c r="G864" s="1" t="inlineStr">
        <is>
          <t>Easy</t>
        </is>
      </c>
      <c r="H864" s="1" t="n">
        <v>388464</v>
      </c>
      <c r="I864" s="1" t="n">
        <v>723045</v>
      </c>
      <c r="J864" s="9" t="n">
        <v>0.537</v>
      </c>
      <c r="K864" s="1" t="inlineStr">
        <is>
          <t>Yes</t>
        </is>
      </c>
      <c r="L864" s="1" t="inlineStr">
        <is>
          <t>Yes</t>
        </is>
      </c>
      <c r="M864" s="1" t="inlineStr">
        <is>
          <t>No</t>
        </is>
      </c>
      <c r="N864" s="1" t="inlineStr">
        <is>
          <t>Algorithms</t>
        </is>
      </c>
      <c r="O8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64" s="13" t="inlineStr">
        <is>
          <t>Done</t>
        </is>
      </c>
    </row>
    <row r="865" ht="15.75" customHeight="1" s="12">
      <c r="A865" s="1" t="n">
        <v>1381</v>
      </c>
      <c r="B865" s="3">
        <f>HYPERLINK("https://leetcode.com/problems/design-a-stack-with-increment-operation/", "Design a Stack With Increment Operation")</f>
        <v/>
      </c>
      <c r="C865" s="1" t="n">
        <v>2374</v>
      </c>
      <c r="D865" s="1" t="n">
        <v>112</v>
      </c>
      <c r="E865" s="4">
        <f>IF(INDEX(C:C, ROW())+INDEX(D:D, ROW())=0, 0, INDEX(C:C, ROW())/(INDEX(C:C, ROW())+INDEX(D:D, ROW())))</f>
        <v/>
      </c>
      <c r="F865" s="1" t="inlineStr">
        <is>
          <t>Array, Stack, Design</t>
        </is>
      </c>
      <c r="G865" s="1" t="inlineStr">
        <is>
          <t>Medium</t>
        </is>
      </c>
      <c r="H865" s="1" t="n">
        <v>262469</v>
      </c>
      <c r="I865" s="1" t="n">
        <v>328510</v>
      </c>
      <c r="J865" s="9" t="n">
        <v>0.799</v>
      </c>
      <c r="K865" s="1" t="inlineStr">
        <is>
          <t>Yes</t>
        </is>
      </c>
      <c r="L865" s="1" t="inlineStr">
        <is>
          <t>Yes</t>
        </is>
      </c>
      <c r="M865" s="1" t="inlineStr">
        <is>
          <t>No</t>
        </is>
      </c>
      <c r="N865" s="1" t="inlineStr">
        <is>
          <t>Algorithms</t>
        </is>
      </c>
      <c r="O8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65" s="11" t="inlineStr">
        <is>
          <t>To Do</t>
        </is>
      </c>
    </row>
    <row r="866" ht="15.75" customHeight="1" s="12">
      <c r="A866" s="1" t="n">
        <v>475</v>
      </c>
      <c r="B866" s="3">
        <f>HYPERLINK("https://leetcode.com/problems/heaters/", "Heaters")</f>
        <v/>
      </c>
      <c r="C866" s="1" t="n">
        <v>2369</v>
      </c>
      <c r="D866" s="1" t="n">
        <v>1200</v>
      </c>
      <c r="E866" s="4">
        <f>IF(INDEX(C:C, ROW())+INDEX(D:D, ROW())=0, 0, INDEX(C:C, ROW())/(INDEX(C:C, ROW())+INDEX(D:D, ROW())))</f>
        <v/>
      </c>
      <c r="F866" s="1" t="inlineStr">
        <is>
          <t>Array, Two Pointers, Binary Search, Sorting</t>
        </is>
      </c>
      <c r="G866" s="1" t="inlineStr">
        <is>
          <t>Medium</t>
        </is>
      </c>
      <c r="H866" s="1" t="n">
        <v>171267</v>
      </c>
      <c r="I866" s="1" t="n">
        <v>409286</v>
      </c>
      <c r="J866" s="9" t="n">
        <v>0.418</v>
      </c>
      <c r="K866" s="1" t="inlineStr">
        <is>
          <t>Yes</t>
        </is>
      </c>
      <c r="L866" s="1" t="inlineStr">
        <is>
          <t>No</t>
        </is>
      </c>
      <c r="M866" s="1" t="inlineStr">
        <is>
          <t>No</t>
        </is>
      </c>
      <c r="N866" s="1" t="inlineStr">
        <is>
          <t>Algorithms</t>
        </is>
      </c>
      <c r="O8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66" s="11" t="inlineStr">
        <is>
          <t>To Do</t>
        </is>
      </c>
    </row>
    <row r="867" ht="15.75" customHeight="1" s="12">
      <c r="A867" s="1" t="n">
        <v>636</v>
      </c>
      <c r="B867" s="3">
        <f>HYPERLINK("https://leetcode.com/problems/exclusive-time-of-functions/", "Exclusive Time of Functions")</f>
        <v/>
      </c>
      <c r="C867" s="1" t="n">
        <v>2369</v>
      </c>
      <c r="D867" s="1" t="n">
        <v>2994</v>
      </c>
      <c r="E867" s="4">
        <f>IF(INDEX(C:C, ROW())+INDEX(D:D, ROW())=0, 0, INDEX(C:C, ROW())/(INDEX(C:C, ROW())+INDEX(D:D, ROW())))</f>
        <v/>
      </c>
      <c r="F867" s="1" t="inlineStr">
        <is>
          <t>Array, Stack</t>
        </is>
      </c>
      <c r="G867" s="1" t="inlineStr">
        <is>
          <t>Medium</t>
        </is>
      </c>
      <c r="H867" s="1" t="n">
        <v>357547</v>
      </c>
      <c r="I867" s="1" t="n">
        <v>540017</v>
      </c>
      <c r="J867" s="9" t="n">
        <v>0.662</v>
      </c>
      <c r="K867" s="1" t="inlineStr">
        <is>
          <t>Yes</t>
        </is>
      </c>
      <c r="L867" s="1" t="inlineStr">
        <is>
          <t>Yes</t>
        </is>
      </c>
      <c r="M867" s="1" t="inlineStr">
        <is>
          <t>No</t>
        </is>
      </c>
      <c r="N867" s="1" t="inlineStr">
        <is>
          <t>Algorithms</t>
        </is>
      </c>
      <c r="O8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67" s="11" t="inlineStr">
        <is>
          <t>To Do</t>
        </is>
      </c>
    </row>
    <row r="868" ht="15.75" customHeight="1" s="12">
      <c r="A868" s="1" t="n">
        <v>436</v>
      </c>
      <c r="B868" s="3">
        <f>HYPERLINK("https://leetcode.com/problems/find-right-interval/", "Find Right Interval")</f>
        <v/>
      </c>
      <c r="C868" s="1" t="n">
        <v>2366</v>
      </c>
      <c r="D868" s="1" t="n">
        <v>400</v>
      </c>
      <c r="E868" s="4">
        <f>IF(INDEX(C:C, ROW())+INDEX(D:D, ROW())=0, 0, INDEX(C:C, ROW())/(INDEX(C:C, ROW())+INDEX(D:D, ROW())))</f>
        <v/>
      </c>
      <c r="F868" s="1" t="inlineStr">
        <is>
          <t>Array, Binary Search, Sorting</t>
        </is>
      </c>
      <c r="G868" s="1" t="inlineStr">
        <is>
          <t>Medium</t>
        </is>
      </c>
      <c r="H868" s="1" t="n">
        <v>161740</v>
      </c>
      <c r="I868" s="1" t="n">
        <v>289968</v>
      </c>
      <c r="J868" s="9" t="n">
        <v>0.5580000000000001</v>
      </c>
      <c r="K868" s="1" t="inlineStr">
        <is>
          <t>Yes</t>
        </is>
      </c>
      <c r="L868" s="1" t="inlineStr">
        <is>
          <t>No</t>
        </is>
      </c>
      <c r="M868" s="1" t="inlineStr">
        <is>
          <t>No</t>
        </is>
      </c>
      <c r="N868" s="1" t="inlineStr">
        <is>
          <t>Algorithms</t>
        </is>
      </c>
      <c r="O8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68" s="11" t="inlineStr">
        <is>
          <t>To Do</t>
        </is>
      </c>
    </row>
    <row r="869" ht="15.75" customHeight="1" s="12">
      <c r="A869" s="1" t="n">
        <v>2265</v>
      </c>
      <c r="B869" s="3">
        <f>HYPERLINK("https://leetcode.com/problems/count-nodes-equal-to-average-of-subtree/", "Count Nodes Equal to Average of Subtree")</f>
        <v/>
      </c>
      <c r="C869" s="1" t="n">
        <v>2366</v>
      </c>
      <c r="D869" s="1" t="n">
        <v>59</v>
      </c>
      <c r="E869" s="4">
        <f>IF(INDEX(C:C, ROW())+INDEX(D:D, ROW())=0, 0, INDEX(C:C, ROW())/(INDEX(C:C, ROW())+INDEX(D:D, ROW())))</f>
        <v/>
      </c>
      <c r="F869" s="1" t="inlineStr">
        <is>
          <t>Tree, Depth-First Search, Binary Tree</t>
        </is>
      </c>
      <c r="G869" s="1" t="inlineStr">
        <is>
          <t>Medium</t>
        </is>
      </c>
      <c r="H869" s="1" t="n">
        <v>199457</v>
      </c>
      <c r="I869" s="1" t="n">
        <v>229846</v>
      </c>
      <c r="J869" s="9" t="n">
        <v>0.868</v>
      </c>
      <c r="K869" s="1" t="inlineStr">
        <is>
          <t>Yes</t>
        </is>
      </c>
      <c r="L869" s="1" t="inlineStr">
        <is>
          <t>Yes</t>
        </is>
      </c>
      <c r="M869" s="1" t="inlineStr">
        <is>
          <t>No</t>
        </is>
      </c>
      <c r="N869" s="1" t="inlineStr">
        <is>
          <t>Algorithms</t>
        </is>
      </c>
      <c r="O8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69" s="11" t="inlineStr">
        <is>
          <t>To Do</t>
        </is>
      </c>
    </row>
    <row r="870" ht="15.75" customHeight="1" s="12">
      <c r="A870" s="1" t="n">
        <v>1108</v>
      </c>
      <c r="B870" s="3">
        <f>HYPERLINK("https://leetcode.com/problems/defanging-an-ip-address/", "Defanging an IP Address")</f>
        <v/>
      </c>
      <c r="C870" s="1" t="n">
        <v>2364</v>
      </c>
      <c r="D870" s="1" t="n">
        <v>1788</v>
      </c>
      <c r="E870" s="4">
        <f>IF(INDEX(C:C, ROW())+INDEX(D:D, ROW())=0, 0, INDEX(C:C, ROW())/(INDEX(C:C, ROW())+INDEX(D:D, ROW())))</f>
        <v/>
      </c>
      <c r="F870" s="1" t="inlineStr">
        <is>
          <t>String</t>
        </is>
      </c>
      <c r="G870" s="1" t="inlineStr">
        <is>
          <t>Easy</t>
        </is>
      </c>
      <c r="H870" s="1" t="n">
        <v>857097</v>
      </c>
      <c r="I870" s="1" t="n">
        <v>952199</v>
      </c>
      <c r="J870" s="9" t="n">
        <v>0.9</v>
      </c>
      <c r="K870" s="1" t="inlineStr">
        <is>
          <t>Yes</t>
        </is>
      </c>
      <c r="L870" s="1" t="inlineStr">
        <is>
          <t>No</t>
        </is>
      </c>
      <c r="M870" s="1" t="inlineStr">
        <is>
          <t>No</t>
        </is>
      </c>
      <c r="N870" s="1" t="inlineStr">
        <is>
          <t>Algorithms</t>
        </is>
      </c>
      <c r="O8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70" s="13" t="inlineStr">
        <is>
          <t>Done</t>
        </is>
      </c>
    </row>
    <row r="871" ht="15.75" customHeight="1" s="12">
      <c r="A871" s="1" t="n">
        <v>1187</v>
      </c>
      <c r="B871" s="3">
        <f>HYPERLINK("https://leetcode.com/problems/make-array-strictly-increasing/", "Make Array Strictly Increasing")</f>
        <v/>
      </c>
      <c r="C871" s="1" t="n">
        <v>2357</v>
      </c>
      <c r="D871" s="1" t="n">
        <v>51</v>
      </c>
      <c r="E871" s="4">
        <f>IF(INDEX(C:C, ROW())+INDEX(D:D, ROW())=0, 0, INDEX(C:C, ROW())/(INDEX(C:C, ROW())+INDEX(D:D, ROW())))</f>
        <v/>
      </c>
      <c r="F871" s="1" t="inlineStr">
        <is>
          <t>Array, Binary Search, Dynamic Programming, Sorting</t>
        </is>
      </c>
      <c r="G871" s="1" t="inlineStr">
        <is>
          <t>Hard</t>
        </is>
      </c>
      <c r="H871" s="1" t="n">
        <v>67455</v>
      </c>
      <c r="I871" s="1" t="n">
        <v>116594</v>
      </c>
      <c r="J871" s="9" t="n">
        <v>0.579</v>
      </c>
      <c r="K871" s="1" t="inlineStr">
        <is>
          <t>Yes</t>
        </is>
      </c>
      <c r="L871" s="1" t="inlineStr">
        <is>
          <t>Yes</t>
        </is>
      </c>
      <c r="M871" s="1" t="inlineStr">
        <is>
          <t>No</t>
        </is>
      </c>
      <c r="N871" s="1" t="inlineStr">
        <is>
          <t>Algorithms</t>
        </is>
      </c>
      <c r="O8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71" s="11" t="inlineStr">
        <is>
          <t>To Do</t>
        </is>
      </c>
    </row>
    <row r="872" ht="15.75" customHeight="1" s="12">
      <c r="A872" s="1" t="n">
        <v>1380</v>
      </c>
      <c r="B872" s="3">
        <f>HYPERLINK("https://leetcode.com/problems/lucky-numbers-in-a-matrix/", "Lucky Numbers in a Matrix")</f>
        <v/>
      </c>
      <c r="C872" s="1" t="n">
        <v>2357</v>
      </c>
      <c r="D872" s="1" t="n">
        <v>123</v>
      </c>
      <c r="E872" s="4">
        <f>IF(INDEX(C:C, ROW())+INDEX(D:D, ROW())=0, 0, INDEX(C:C, ROW())/(INDEX(C:C, ROW())+INDEX(D:D, ROW())))</f>
        <v/>
      </c>
      <c r="F872" s="1" t="inlineStr">
        <is>
          <t>Array, Matrix</t>
        </is>
      </c>
      <c r="G872" s="1" t="inlineStr">
        <is>
          <t>Easy</t>
        </is>
      </c>
      <c r="H872" s="1" t="n">
        <v>296885</v>
      </c>
      <c r="I872" s="1" t="n">
        <v>371277</v>
      </c>
      <c r="J872" s="9" t="n">
        <v>0.8</v>
      </c>
      <c r="K872" s="1" t="inlineStr">
        <is>
          <t>Yes</t>
        </is>
      </c>
      <c r="L872" s="1" t="inlineStr">
        <is>
          <t>Yes</t>
        </is>
      </c>
      <c r="M872" s="1" t="inlineStr">
        <is>
          <t>No</t>
        </is>
      </c>
      <c r="N872" s="1" t="inlineStr">
        <is>
          <t>Algorithms</t>
        </is>
      </c>
      <c r="O8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72" s="13" t="inlineStr">
        <is>
          <t>Done</t>
        </is>
      </c>
    </row>
    <row r="873" ht="15.75" customHeight="1" s="12">
      <c r="A873" s="1" t="n">
        <v>1044</v>
      </c>
      <c r="B873" s="3">
        <f>HYPERLINK("https://leetcode.com/problems/longest-duplicate-substring/", "Longest Duplicate Substring")</f>
        <v/>
      </c>
      <c r="C873" s="1" t="n">
        <v>2353</v>
      </c>
      <c r="D873" s="1" t="n">
        <v>397</v>
      </c>
      <c r="E873" s="4">
        <f>IF(INDEX(C:C, ROW())+INDEX(D:D, ROW())=0, 0, INDEX(C:C, ROW())/(INDEX(C:C, ROW())+INDEX(D:D, ROW())))</f>
        <v/>
      </c>
      <c r="F873" s="1" t="inlineStr">
        <is>
          <t>String, Binary Search, Sliding Window, Rolling Hash, Suffix Array, Hash Function</t>
        </is>
      </c>
      <c r="G873" s="1" t="inlineStr">
        <is>
          <t>Hard</t>
        </is>
      </c>
      <c r="H873" s="1" t="n">
        <v>85358</v>
      </c>
      <c r="I873" s="1" t="n">
        <v>274304</v>
      </c>
      <c r="J873" s="9" t="n">
        <v>0.311</v>
      </c>
      <c r="K873" s="1" t="inlineStr">
        <is>
          <t>Yes</t>
        </is>
      </c>
      <c r="L873" s="1" t="inlineStr">
        <is>
          <t>Yes</t>
        </is>
      </c>
      <c r="M873" s="1" t="inlineStr">
        <is>
          <t>No</t>
        </is>
      </c>
      <c r="N873" s="1" t="inlineStr">
        <is>
          <t>Algorithms</t>
        </is>
      </c>
      <c r="O8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73" s="11" t="inlineStr">
        <is>
          <t>To Do</t>
        </is>
      </c>
    </row>
    <row r="874" ht="15.75" customHeight="1" s="12">
      <c r="A874" s="1" t="n">
        <v>745</v>
      </c>
      <c r="B874" s="3">
        <f>HYPERLINK("https://leetcode.com/problems/prefix-and-suffix-search/", "Prefix and Suffix Search")</f>
        <v/>
      </c>
      <c r="C874" s="1" t="n">
        <v>2352</v>
      </c>
      <c r="D874" s="1" t="n">
        <v>500</v>
      </c>
      <c r="E874" s="4">
        <f>IF(INDEX(C:C, ROW())+INDEX(D:D, ROW())=0, 0, INDEX(C:C, ROW())/(INDEX(C:C, ROW())+INDEX(D:D, ROW())))</f>
        <v/>
      </c>
      <c r="F874" s="1" t="inlineStr">
        <is>
          <t>Array, Hash Table, String, Design, Trie</t>
        </is>
      </c>
      <c r="G874" s="1" t="inlineStr">
        <is>
          <t>Hard</t>
        </is>
      </c>
      <c r="H874" s="1" t="n">
        <v>111102</v>
      </c>
      <c r="I874" s="1" t="n">
        <v>271634</v>
      </c>
      <c r="J874" s="9" t="n">
        <v>0.409</v>
      </c>
      <c r="K874" s="1" t="inlineStr">
        <is>
          <t>Yes</t>
        </is>
      </c>
      <c r="L874" s="1" t="inlineStr">
        <is>
          <t>Yes</t>
        </is>
      </c>
      <c r="M874" s="1" t="inlineStr">
        <is>
          <t>No</t>
        </is>
      </c>
      <c r="N874" s="1" t="inlineStr">
        <is>
          <t>Algorithms</t>
        </is>
      </c>
      <c r="O8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74" s="11" t="inlineStr">
        <is>
          <t>To Do</t>
        </is>
      </c>
    </row>
    <row r="875" ht="15.75" customHeight="1" s="12">
      <c r="A875" s="1" t="n">
        <v>1608</v>
      </c>
      <c r="B875" s="3">
        <f>HYPERLINK("https://leetcode.com/problems/special-array-with-x-elements-greater-than-or-equal-x/", "Special Array With X Elements Greater Than or Equal X")</f>
        <v/>
      </c>
      <c r="C875" s="1" t="n">
        <v>2350</v>
      </c>
      <c r="D875" s="1" t="n">
        <v>470</v>
      </c>
      <c r="E875" s="4">
        <f>IF(INDEX(C:C, ROW())+INDEX(D:D, ROW())=0, 0, INDEX(C:C, ROW())/(INDEX(C:C, ROW())+INDEX(D:D, ROW())))</f>
        <v/>
      </c>
      <c r="F875" s="1" t="inlineStr">
        <is>
          <t>Array, Binary Search, Sorting</t>
        </is>
      </c>
      <c r="G875" s="1" t="inlineStr">
        <is>
          <t>Easy</t>
        </is>
      </c>
      <c r="H875" s="1" t="n">
        <v>234960</v>
      </c>
      <c r="I875" s="1" t="n">
        <v>351705</v>
      </c>
      <c r="J875" s="9" t="n">
        <v>0.668</v>
      </c>
      <c r="K875" s="1" t="inlineStr">
        <is>
          <t>Yes</t>
        </is>
      </c>
      <c r="L875" s="1" t="inlineStr">
        <is>
          <t>Yes</t>
        </is>
      </c>
      <c r="M875" s="1" t="inlineStr">
        <is>
          <t>No</t>
        </is>
      </c>
      <c r="N875" s="1" t="inlineStr">
        <is>
          <t>Algorithms</t>
        </is>
      </c>
      <c r="O8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75" s="13" t="inlineStr">
        <is>
          <t>Done</t>
        </is>
      </c>
    </row>
    <row r="876" ht="15.75" customHeight="1" s="12">
      <c r="A876" s="1" t="n">
        <v>2461</v>
      </c>
      <c r="B876" s="3">
        <f>HYPERLINK("https://leetcode.com/problems/maximum-sum-of-distinct-subarrays-with-length-k/", "Maximum Sum of Distinct Subarrays With Length K")</f>
        <v/>
      </c>
      <c r="C876" s="1" t="n">
        <v>2348</v>
      </c>
      <c r="D876" s="1" t="n">
        <v>50</v>
      </c>
      <c r="E876" s="4">
        <f>IF(INDEX(C:C, ROW())+INDEX(D:D, ROW())=0, 0, INDEX(C:C, ROW())/(INDEX(C:C, ROW())+INDEX(D:D, ROW())))</f>
        <v/>
      </c>
      <c r="F876" s="1" t="inlineStr">
        <is>
          <t>Array, Hash Table, Sliding Window</t>
        </is>
      </c>
      <c r="G876" s="1" t="inlineStr">
        <is>
          <t>Medium</t>
        </is>
      </c>
      <c r="H876" s="1" t="n">
        <v>271596</v>
      </c>
      <c r="I876" s="1" t="n">
        <v>631521</v>
      </c>
      <c r="J876" s="9" t="n">
        <v>0.43</v>
      </c>
      <c r="K876" s="1" t="inlineStr">
        <is>
          <t>Yes</t>
        </is>
      </c>
      <c r="L876" s="1" t="inlineStr">
        <is>
          <t>Yes</t>
        </is>
      </c>
      <c r="M876" s="1" t="inlineStr">
        <is>
          <t>No</t>
        </is>
      </c>
      <c r="N876" s="1" t="inlineStr">
        <is>
          <t>Algorithms</t>
        </is>
      </c>
      <c r="O8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76" s="11" t="inlineStr">
        <is>
          <t>To Do</t>
        </is>
      </c>
    </row>
    <row r="877" ht="15.75" customHeight="1" s="12">
      <c r="A877" s="1" t="n">
        <v>375</v>
      </c>
      <c r="B877" s="3">
        <f>HYPERLINK("https://leetcode.com/problems/guess-number-higher-or-lower-ii/", "Guess Number Higher or Lower II")</f>
        <v/>
      </c>
      <c r="C877" s="1" t="n">
        <v>2347</v>
      </c>
      <c r="D877" s="1" t="n">
        <v>2168</v>
      </c>
      <c r="E877" s="4">
        <f>IF(INDEX(C:C, ROW())+INDEX(D:D, ROW())=0, 0, INDEX(C:C, ROW())/(INDEX(C:C, ROW())+INDEX(D:D, ROW())))</f>
        <v/>
      </c>
      <c r="F877" s="1" t="inlineStr">
        <is>
          <t>Math, Dynamic Programming, Game Theory</t>
        </is>
      </c>
      <c r="G877" s="1" t="inlineStr">
        <is>
          <t>Medium</t>
        </is>
      </c>
      <c r="H877" s="1" t="n">
        <v>160766</v>
      </c>
      <c r="I877" s="1" t="n">
        <v>304847</v>
      </c>
      <c r="J877" s="9" t="n">
        <v>0.527</v>
      </c>
      <c r="K877" s="1" t="inlineStr">
        <is>
          <t>Yes</t>
        </is>
      </c>
      <c r="L877" s="1" t="inlineStr">
        <is>
          <t>Yes</t>
        </is>
      </c>
      <c r="M877" s="1" t="inlineStr">
        <is>
          <t>No</t>
        </is>
      </c>
      <c r="N877" s="1" t="inlineStr">
        <is>
          <t>Algorithms</t>
        </is>
      </c>
      <c r="O8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77" s="11" t="inlineStr">
        <is>
          <t>To Do</t>
        </is>
      </c>
    </row>
    <row r="878" ht="15.75" customHeight="1" s="12">
      <c r="A878" s="1" t="n">
        <v>1502</v>
      </c>
      <c r="B878" s="3">
        <f>HYPERLINK("https://leetcode.com/problems/can-make-arithmetic-progression-from-sequence/", "Can Make Arithmetic Progression From Sequence")</f>
        <v/>
      </c>
      <c r="C878" s="1" t="n">
        <v>2345</v>
      </c>
      <c r="D878" s="1" t="n">
        <v>120</v>
      </c>
      <c r="E878" s="4">
        <f>IF(INDEX(C:C, ROW())+INDEX(D:D, ROW())=0, 0, INDEX(C:C, ROW())/(INDEX(C:C, ROW())+INDEX(D:D, ROW())))</f>
        <v/>
      </c>
      <c r="F878" s="1" t="inlineStr">
        <is>
          <t>Array, Sorting</t>
        </is>
      </c>
      <c r="G878" s="1" t="inlineStr">
        <is>
          <t>Easy</t>
        </is>
      </c>
      <c r="H878" s="1" t="n">
        <v>343459</v>
      </c>
      <c r="I878" s="1" t="n">
        <v>498029</v>
      </c>
      <c r="J878" s="9" t="n">
        <v>0.6899999999999999</v>
      </c>
      <c r="K878" s="1" t="inlineStr">
        <is>
          <t>Yes</t>
        </is>
      </c>
      <c r="L878" s="1" t="inlineStr">
        <is>
          <t>Yes</t>
        </is>
      </c>
      <c r="M878" s="1" t="inlineStr">
        <is>
          <t>No</t>
        </is>
      </c>
      <c r="N878" s="1" t="inlineStr">
        <is>
          <t>Algorithms</t>
        </is>
      </c>
      <c r="O8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78" s="13" t="inlineStr">
        <is>
          <t>Done</t>
        </is>
      </c>
    </row>
    <row r="879" ht="15.75" customHeight="1" s="12">
      <c r="A879" s="1" t="n">
        <v>1481</v>
      </c>
      <c r="B879" s="3">
        <f>HYPERLINK("https://leetcode.com/problems/least-number-of-unique-integers-after-k-removals/", "Least Number of Unique Integers after K Removals")</f>
        <v/>
      </c>
      <c r="C879" s="1" t="n">
        <v>2343</v>
      </c>
      <c r="D879" s="1" t="n">
        <v>234</v>
      </c>
      <c r="E879" s="4">
        <f>IF(INDEX(C:C, ROW())+INDEX(D:D, ROW())=0, 0, INDEX(C:C, ROW())/(INDEX(C:C, ROW())+INDEX(D:D, ROW())))</f>
        <v/>
      </c>
      <c r="F879" s="1" t="inlineStr">
        <is>
          <t>Array, Hash Table, Greedy, Sorting, Counting</t>
        </is>
      </c>
      <c r="G879" s="1" t="inlineStr">
        <is>
          <t>Medium</t>
        </is>
      </c>
      <c r="H879" s="1" t="n">
        <v>283121</v>
      </c>
      <c r="I879" s="1" t="n">
        <v>443721</v>
      </c>
      <c r="J879" s="9" t="n">
        <v>0.638</v>
      </c>
      <c r="K879" s="1" t="inlineStr">
        <is>
          <t>Yes</t>
        </is>
      </c>
      <c r="L879" s="1" t="inlineStr">
        <is>
          <t>Yes</t>
        </is>
      </c>
      <c r="M879" s="1" t="inlineStr">
        <is>
          <t>No</t>
        </is>
      </c>
      <c r="N879" s="1" t="inlineStr">
        <is>
          <t>Algorithms</t>
        </is>
      </c>
      <c r="O8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79" s="11" t="inlineStr">
        <is>
          <t>To Do</t>
        </is>
      </c>
    </row>
    <row r="880" ht="15.75" customHeight="1" s="12">
      <c r="A880" s="1" t="n">
        <v>694</v>
      </c>
      <c r="B880" s="3">
        <f>HYPERLINK("https://leetcode.com/problems/number-of-distinct-islands/", "Number of Distinct Islands")</f>
        <v/>
      </c>
      <c r="C880" s="1" t="n">
        <v>2338</v>
      </c>
      <c r="D880" s="1" t="n">
        <v>153</v>
      </c>
      <c r="E880" s="4">
        <f>IF(INDEX(C:C, ROW())+INDEX(D:D, ROW())=0, 0, INDEX(C:C, ROW())/(INDEX(C:C, ROW())+INDEX(D:D, ROW())))</f>
        <v/>
      </c>
      <c r="F880" s="1" t="inlineStr">
        <is>
          <t>Array, Hash Table, Depth-First Search, Breadth-First Search, Union-Find, Sorting, Matrix, Hash Function</t>
        </is>
      </c>
      <c r="G880" s="1" t="inlineStr">
        <is>
          <t>Medium</t>
        </is>
      </c>
      <c r="H880" s="1" t="n">
        <v>207941</v>
      </c>
      <c r="I880" s="1" t="n">
        <v>331063</v>
      </c>
      <c r="J880" s="9" t="n">
        <v>0.628</v>
      </c>
      <c r="K880" s="1" t="inlineStr">
        <is>
          <t>No</t>
        </is>
      </c>
      <c r="L880" s="1" t="inlineStr">
        <is>
          <t>Yes</t>
        </is>
      </c>
      <c r="M880" s="1" t="inlineStr">
        <is>
          <t>Yes</t>
        </is>
      </c>
      <c r="N880" s="1" t="inlineStr">
        <is>
          <t>Algorithms</t>
        </is>
      </c>
      <c r="O8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80" s="11" t="inlineStr">
        <is>
          <t>To Do</t>
        </is>
      </c>
    </row>
    <row r="881" ht="15.75" customHeight="1" s="12">
      <c r="A881" s="1" t="n">
        <v>1704</v>
      </c>
      <c r="B881" s="3">
        <f>HYPERLINK("https://leetcode.com/problems/determine-if-string-halves-are-alike/", "Determine if String Halves Are Alike")</f>
        <v/>
      </c>
      <c r="C881" s="1" t="n">
        <v>2338</v>
      </c>
      <c r="D881" s="1" t="n">
        <v>127</v>
      </c>
      <c r="E881" s="4">
        <f>IF(INDEX(C:C, ROW())+INDEX(D:D, ROW())=0, 0, INDEX(C:C, ROW())/(INDEX(C:C, ROW())+INDEX(D:D, ROW())))</f>
        <v/>
      </c>
      <c r="F881" s="1" t="inlineStr">
        <is>
          <t>String, Counting</t>
        </is>
      </c>
      <c r="G881" s="1" t="inlineStr">
        <is>
          <t>Easy</t>
        </is>
      </c>
      <c r="H881" s="1" t="n">
        <v>404211</v>
      </c>
      <c r="I881" s="1" t="n">
        <v>512924</v>
      </c>
      <c r="J881" s="9" t="n">
        <v>0.788</v>
      </c>
      <c r="K881" s="1" t="inlineStr">
        <is>
          <t>Yes</t>
        </is>
      </c>
      <c r="L881" s="1" t="inlineStr">
        <is>
          <t>Yes</t>
        </is>
      </c>
      <c r="M881" s="1" t="inlineStr">
        <is>
          <t>No</t>
        </is>
      </c>
      <c r="N881" s="1" t="inlineStr">
        <is>
          <t>Algorithms</t>
        </is>
      </c>
      <c r="O8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81" s="13" t="inlineStr">
        <is>
          <t>Done</t>
        </is>
      </c>
    </row>
    <row r="882" ht="15.75" customHeight="1" s="12">
      <c r="A882" s="1" t="n">
        <v>1039</v>
      </c>
      <c r="B882" s="3">
        <f>HYPERLINK("https://leetcode.com/problems/minimum-score-triangulation-of-polygon/", "Minimum Score Triangulation of Polygon")</f>
        <v/>
      </c>
      <c r="C882" s="1" t="n">
        <v>2327</v>
      </c>
      <c r="D882" s="1" t="n">
        <v>304</v>
      </c>
      <c r="E882" s="4">
        <f>IF(INDEX(C:C, ROW())+INDEX(D:D, ROW())=0, 0, INDEX(C:C, ROW())/(INDEX(C:C, ROW())+INDEX(D:D, ROW())))</f>
        <v/>
      </c>
      <c r="F882" s="1" t="inlineStr">
        <is>
          <t>Array, Dynamic Programming</t>
        </is>
      </c>
      <c r="G882" s="1" t="inlineStr">
        <is>
          <t>Medium</t>
        </is>
      </c>
      <c r="H882" s="1" t="n">
        <v>141640</v>
      </c>
      <c r="I882" s="1" t="n">
        <v>210013</v>
      </c>
      <c r="J882" s="9" t="n">
        <v>0.674</v>
      </c>
      <c r="K882" s="1" t="inlineStr">
        <is>
          <t>Yes</t>
        </is>
      </c>
      <c r="L882" s="1" t="inlineStr">
        <is>
          <t>Yes</t>
        </is>
      </c>
      <c r="M882" s="1" t="inlineStr">
        <is>
          <t>No</t>
        </is>
      </c>
      <c r="N882" s="1" t="inlineStr">
        <is>
          <t>Algorithms</t>
        </is>
      </c>
      <c r="O8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82" s="11" t="inlineStr">
        <is>
          <t>To Do</t>
        </is>
      </c>
    </row>
    <row r="883" ht="15.75" customHeight="1" s="12">
      <c r="A883" s="1" t="n">
        <v>2477</v>
      </c>
      <c r="B883" s="3">
        <f>HYPERLINK("https://leetcode.com/problems/minimum-fuel-cost-to-report-to-the-capital/", "Minimum Fuel Cost to Report to the Capital")</f>
        <v/>
      </c>
      <c r="C883" s="1" t="n">
        <v>2324</v>
      </c>
      <c r="D883" s="1" t="n">
        <v>98</v>
      </c>
      <c r="E883" s="4">
        <f>IF(INDEX(C:C, ROW())+INDEX(D:D, ROW())=0, 0, INDEX(C:C, ROW())/(INDEX(C:C, ROW())+INDEX(D:D, ROW())))</f>
        <v/>
      </c>
      <c r="F883" s="1" t="inlineStr">
        <is>
          <t>Tree, Depth-First Search, Breadth-First Search, Graph Theory</t>
        </is>
      </c>
      <c r="G883" s="1" t="inlineStr">
        <is>
          <t>Medium</t>
        </is>
      </c>
      <c r="H883" s="1" t="n">
        <v>90472</v>
      </c>
      <c r="I883" s="1" t="n">
        <v>138446</v>
      </c>
      <c r="J883" s="9" t="n">
        <v>0.653</v>
      </c>
      <c r="K883" s="1" t="inlineStr">
        <is>
          <t>Yes</t>
        </is>
      </c>
      <c r="L883" s="1" t="inlineStr">
        <is>
          <t>Yes</t>
        </is>
      </c>
      <c r="M883" s="1" t="inlineStr">
        <is>
          <t>No</t>
        </is>
      </c>
      <c r="N883" s="1" t="inlineStr">
        <is>
          <t>Algorithms</t>
        </is>
      </c>
      <c r="O8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83" s="11" t="inlineStr">
        <is>
          <t>To Do</t>
        </is>
      </c>
    </row>
    <row r="884" ht="15.75" customHeight="1" s="12">
      <c r="A884" s="1" t="n">
        <v>1436</v>
      </c>
      <c r="B884" s="3">
        <f>HYPERLINK("https://leetcode.com/problems/destination-city/", "Destination City")</f>
        <v/>
      </c>
      <c r="C884" s="1" t="n">
        <v>2322</v>
      </c>
      <c r="D884" s="1" t="n">
        <v>108</v>
      </c>
      <c r="E884" s="4">
        <f>IF(INDEX(C:C, ROW())+INDEX(D:D, ROW())=0, 0, INDEX(C:C, ROW())/(INDEX(C:C, ROW())+INDEX(D:D, ROW())))</f>
        <v/>
      </c>
      <c r="F884" s="1" t="inlineStr">
        <is>
          <t>Array, Hash Table, String</t>
        </is>
      </c>
      <c r="G884" s="1" t="inlineStr">
        <is>
          <t>Easy</t>
        </is>
      </c>
      <c r="H884" s="1" t="n">
        <v>327480</v>
      </c>
      <c r="I884" s="1" t="n">
        <v>411877</v>
      </c>
      <c r="J884" s="9" t="n">
        <v>0.795</v>
      </c>
      <c r="K884" s="1" t="inlineStr">
        <is>
          <t>Yes</t>
        </is>
      </c>
      <c r="L884" s="1" t="inlineStr">
        <is>
          <t>Yes</t>
        </is>
      </c>
      <c r="M884" s="1" t="inlineStr">
        <is>
          <t>No</t>
        </is>
      </c>
      <c r="N884" s="1" t="inlineStr">
        <is>
          <t>Algorithms</t>
        </is>
      </c>
      <c r="O8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84" s="13" t="inlineStr">
        <is>
          <t>Done</t>
        </is>
      </c>
    </row>
    <row r="885" ht="15.75" customHeight="1" s="12">
      <c r="A885" s="1" t="n">
        <v>177</v>
      </c>
      <c r="B885" s="3">
        <f>HYPERLINK("https://leetcode.com/problems/nth-highest-salary/", "Nth Highest Salary")</f>
        <v/>
      </c>
      <c r="C885" s="1" t="n">
        <v>2320</v>
      </c>
      <c r="D885" s="1" t="n">
        <v>1124</v>
      </c>
      <c r="E885" s="4">
        <f>IF(INDEX(C:C, ROW())+INDEX(D:D, ROW())=0, 0, INDEX(C:C, ROW())/(INDEX(C:C, ROW())+INDEX(D:D, ROW())))</f>
        <v/>
      </c>
      <c r="F885" s="1" t="inlineStr">
        <is>
          <t>Database</t>
        </is>
      </c>
      <c r="G885" s="1" t="inlineStr">
        <is>
          <t>Medium</t>
        </is>
      </c>
      <c r="H885" s="1" t="n">
        <v>668742</v>
      </c>
      <c r="I885" s="1" t="n">
        <v>1709625</v>
      </c>
      <c r="J885" s="9" t="n">
        <v>0.391</v>
      </c>
      <c r="K885" s="1" t="inlineStr">
        <is>
          <t>Yes</t>
        </is>
      </c>
      <c r="L885" s="1" t="inlineStr">
        <is>
          <t>Yes</t>
        </is>
      </c>
      <c r="M885" s="1" t="inlineStr">
        <is>
          <t>No</t>
        </is>
      </c>
      <c r="N885" s="1" t="inlineStr">
        <is>
          <t>Database</t>
        </is>
      </c>
      <c r="O8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85" s="11" t="inlineStr">
        <is>
          <t>To Do</t>
        </is>
      </c>
    </row>
    <row r="886" ht="15.75" customHeight="1" s="12">
      <c r="A886" s="1" t="n">
        <v>1288</v>
      </c>
      <c r="B886" s="3">
        <f>HYPERLINK("https://leetcode.com/problems/remove-covered-intervals/", "Remove Covered Intervals")</f>
        <v/>
      </c>
      <c r="C886" s="1" t="n">
        <v>2315</v>
      </c>
      <c r="D886" s="1" t="n">
        <v>61</v>
      </c>
      <c r="E886" s="4">
        <f>IF(INDEX(C:C, ROW())+INDEX(D:D, ROW())=0, 0, INDEX(C:C, ROW())/(INDEX(C:C, ROW())+INDEX(D:D, ROW())))</f>
        <v/>
      </c>
      <c r="F886" s="1" t="inlineStr">
        <is>
          <t>Array, Sorting</t>
        </is>
      </c>
      <c r="G886" s="1" t="inlineStr">
        <is>
          <t>Medium</t>
        </is>
      </c>
      <c r="H886" s="1" t="n">
        <v>143788</v>
      </c>
      <c r="I886" s="1" t="n">
        <v>256373</v>
      </c>
      <c r="J886" s="9" t="n">
        <v>0.5610000000000001</v>
      </c>
      <c r="K886" s="1" t="inlineStr">
        <is>
          <t>Yes</t>
        </is>
      </c>
      <c r="L886" s="1" t="inlineStr">
        <is>
          <t>Yes</t>
        </is>
      </c>
      <c r="M886" s="1" t="inlineStr">
        <is>
          <t>No</t>
        </is>
      </c>
      <c r="N886" s="1" t="inlineStr">
        <is>
          <t>Algorithms</t>
        </is>
      </c>
      <c r="O8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86" s="11" t="inlineStr">
        <is>
          <t>To Do</t>
        </is>
      </c>
    </row>
    <row r="887" ht="15.75" customHeight="1" s="12">
      <c r="A887" s="1" t="n">
        <v>477</v>
      </c>
      <c r="B887" s="3">
        <f>HYPERLINK("https://leetcode.com/problems/total-hamming-distance/", "Total Hamming Distance")</f>
        <v/>
      </c>
      <c r="C887" s="1" t="n">
        <v>2310</v>
      </c>
      <c r="D887" s="1" t="n">
        <v>97</v>
      </c>
      <c r="E887" s="4">
        <f>IF(INDEX(C:C, ROW())+INDEX(D:D, ROW())=0, 0, INDEX(C:C, ROW())/(INDEX(C:C, ROW())+INDEX(D:D, ROW())))</f>
        <v/>
      </c>
      <c r="F887" s="1" t="inlineStr">
        <is>
          <t>Array, Math, Bit Manipulation</t>
        </is>
      </c>
      <c r="G887" s="1" t="inlineStr">
        <is>
          <t>Medium</t>
        </is>
      </c>
      <c r="H887" s="1" t="n">
        <v>135991</v>
      </c>
      <c r="I887" s="1" t="n">
        <v>247979</v>
      </c>
      <c r="J887" s="9" t="n">
        <v>0.548</v>
      </c>
      <c r="K887" s="1" t="inlineStr">
        <is>
          <t>Yes</t>
        </is>
      </c>
      <c r="L887" s="1" t="inlineStr">
        <is>
          <t>Yes</t>
        </is>
      </c>
      <c r="M887" s="1" t="inlineStr">
        <is>
          <t>No</t>
        </is>
      </c>
      <c r="N887" s="1" t="inlineStr">
        <is>
          <t>Algorithms</t>
        </is>
      </c>
      <c r="O8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87" s="11" t="inlineStr">
        <is>
          <t>To Do</t>
        </is>
      </c>
    </row>
    <row r="888" ht="15.75" customHeight="1" s="12">
      <c r="A888" s="1" t="n">
        <v>1727</v>
      </c>
      <c r="B888" s="3">
        <f>HYPERLINK("https://leetcode.com/problems/largest-submatrix-with-rearrangements/", "Largest Submatrix With Rearrangements")</f>
        <v/>
      </c>
      <c r="C888" s="1" t="n">
        <v>2309</v>
      </c>
      <c r="D888" s="1" t="n">
        <v>133</v>
      </c>
      <c r="E888" s="4">
        <f>IF(INDEX(C:C, ROW())+INDEX(D:D, ROW())=0, 0, INDEX(C:C, ROW())/(INDEX(C:C, ROW())+INDEX(D:D, ROW())))</f>
        <v/>
      </c>
      <c r="F888" s="1" t="inlineStr">
        <is>
          <t>Array, Greedy, Sorting, Matrix</t>
        </is>
      </c>
      <c r="G888" s="1" t="inlineStr">
        <is>
          <t>Medium</t>
        </is>
      </c>
      <c r="H888" s="1" t="n">
        <v>158044</v>
      </c>
      <c r="I888" s="1" t="n">
        <v>197136</v>
      </c>
      <c r="J888" s="9" t="n">
        <v>0.802</v>
      </c>
      <c r="K888" s="1" t="inlineStr">
        <is>
          <t>Yes</t>
        </is>
      </c>
      <c r="L888" s="1" t="inlineStr">
        <is>
          <t>Yes</t>
        </is>
      </c>
      <c r="M888" s="1" t="inlineStr">
        <is>
          <t>No</t>
        </is>
      </c>
      <c r="N888" s="1" t="inlineStr">
        <is>
          <t>Algorithms</t>
        </is>
      </c>
      <c r="O8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88" s="11" t="inlineStr">
        <is>
          <t>To Do</t>
        </is>
      </c>
    </row>
    <row r="889" ht="15.75" customHeight="1" s="12">
      <c r="A889" s="1" t="n">
        <v>1406</v>
      </c>
      <c r="B889" s="3">
        <f>HYPERLINK("https://leetcode.com/problems/stone-game-iii/", "Stone Game III")</f>
        <v/>
      </c>
      <c r="C889" s="1" t="n">
        <v>2308</v>
      </c>
      <c r="D889" s="1" t="n">
        <v>81</v>
      </c>
      <c r="E889" s="4">
        <f>IF(INDEX(C:C, ROW())+INDEX(D:D, ROW())=0, 0, INDEX(C:C, ROW())/(INDEX(C:C, ROW())+INDEX(D:D, ROW())))</f>
        <v/>
      </c>
      <c r="F889" s="1" t="inlineStr">
        <is>
          <t>Array, Math, Dynamic Programming, Game Theory</t>
        </is>
      </c>
      <c r="G889" s="1" t="inlineStr">
        <is>
          <t>Hard</t>
        </is>
      </c>
      <c r="H889" s="1" t="n">
        <v>111868</v>
      </c>
      <c r="I889" s="1" t="n">
        <v>176638</v>
      </c>
      <c r="J889" s="9" t="n">
        <v>0.633</v>
      </c>
      <c r="K889" s="1" t="inlineStr">
        <is>
          <t>Yes</t>
        </is>
      </c>
      <c r="L889" s="1" t="inlineStr">
        <is>
          <t>Yes</t>
        </is>
      </c>
      <c r="M889" s="1" t="inlineStr">
        <is>
          <t>No</t>
        </is>
      </c>
      <c r="N889" s="1" t="inlineStr">
        <is>
          <t>Algorithms</t>
        </is>
      </c>
      <c r="O8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89" s="11" t="inlineStr">
        <is>
          <t>To Do</t>
        </is>
      </c>
    </row>
    <row r="890" ht="15.75" customHeight="1" s="12">
      <c r="A890" s="1" t="n">
        <v>1389</v>
      </c>
      <c r="B890" s="3">
        <f>HYPERLINK("https://leetcode.com/problems/create-target-array-in-the-given-order/", "Create Target Array in the Given Order")</f>
        <v/>
      </c>
      <c r="C890" s="1" t="n">
        <v>2305</v>
      </c>
      <c r="D890" s="1" t="n">
        <v>1921</v>
      </c>
      <c r="E890" s="4">
        <f>IF(INDEX(C:C, ROW())+INDEX(D:D, ROW())=0, 0, INDEX(C:C, ROW())/(INDEX(C:C, ROW())+INDEX(D:D, ROW())))</f>
        <v/>
      </c>
      <c r="F890" s="1" t="inlineStr">
        <is>
          <t>Array, Simulation</t>
        </is>
      </c>
      <c r="G890" s="1" t="inlineStr">
        <is>
          <t>Easy</t>
        </is>
      </c>
      <c r="H890" s="1" t="n">
        <v>316940</v>
      </c>
      <c r="I890" s="1" t="n">
        <v>366510</v>
      </c>
      <c r="J890" s="9" t="n">
        <v>0.865</v>
      </c>
      <c r="K890" s="1" t="inlineStr">
        <is>
          <t>Yes</t>
        </is>
      </c>
      <c r="L890" s="1" t="inlineStr">
        <is>
          <t>No</t>
        </is>
      </c>
      <c r="M890" s="1" t="inlineStr">
        <is>
          <t>No</t>
        </is>
      </c>
      <c r="N890" s="1" t="inlineStr">
        <is>
          <t>Algorithms</t>
        </is>
      </c>
      <c r="O8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90" s="13" t="inlineStr">
        <is>
          <t>Done</t>
        </is>
      </c>
    </row>
    <row r="891" ht="15.75" customHeight="1" s="12">
      <c r="A891" s="1" t="n">
        <v>1424</v>
      </c>
      <c r="B891" s="3">
        <f>HYPERLINK("https://leetcode.com/problems/diagonal-traverse-ii/", "Diagonal Traverse II")</f>
        <v/>
      </c>
      <c r="C891" s="1" t="n">
        <v>2304</v>
      </c>
      <c r="D891" s="1" t="n">
        <v>161</v>
      </c>
      <c r="E891" s="4">
        <f>IF(INDEX(C:C, ROW())+INDEX(D:D, ROW())=0, 0, INDEX(C:C, ROW())/(INDEX(C:C, ROW())+INDEX(D:D, ROW())))</f>
        <v/>
      </c>
      <c r="F891" s="1" t="inlineStr">
        <is>
          <t>Array, Sorting, Heap (Priority Queue)</t>
        </is>
      </c>
      <c r="G891" s="1" t="inlineStr">
        <is>
          <t>Medium</t>
        </is>
      </c>
      <c r="H891" s="1" t="n">
        <v>179036</v>
      </c>
      <c r="I891" s="1" t="n">
        <v>307017</v>
      </c>
      <c r="J891" s="9" t="n">
        <v>0.583</v>
      </c>
      <c r="K891" s="1" t="inlineStr">
        <is>
          <t>Yes</t>
        </is>
      </c>
      <c r="L891" s="1" t="inlineStr">
        <is>
          <t>Yes</t>
        </is>
      </c>
      <c r="M891" s="1" t="inlineStr">
        <is>
          <t>No</t>
        </is>
      </c>
      <c r="N891" s="1" t="inlineStr">
        <is>
          <t>Algorithms</t>
        </is>
      </c>
      <c r="O8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91" s="11" t="inlineStr">
        <is>
          <t>To Do</t>
        </is>
      </c>
    </row>
    <row r="892" ht="15.75" customHeight="1" s="12">
      <c r="A892" s="1" t="n">
        <v>1822</v>
      </c>
      <c r="B892" s="3">
        <f>HYPERLINK("https://leetcode.com/problems/sign-of-the-product-of-an-array/", "Sign of the Product of an Array")</f>
        <v/>
      </c>
      <c r="C892" s="1" t="n">
        <v>2300</v>
      </c>
      <c r="D892" s="1" t="n">
        <v>232</v>
      </c>
      <c r="E892" s="4">
        <f>IF(INDEX(C:C, ROW())+INDEX(D:D, ROW())=0, 0, INDEX(C:C, ROW())/(INDEX(C:C, ROW())+INDEX(D:D, ROW())))</f>
        <v/>
      </c>
      <c r="F892" s="1" t="inlineStr">
        <is>
          <t>Array, Math</t>
        </is>
      </c>
      <c r="G892" s="1" t="inlineStr">
        <is>
          <t>Easy</t>
        </is>
      </c>
      <c r="H892" s="1" t="n">
        <v>443427</v>
      </c>
      <c r="I892" s="1" t="n">
        <v>684166</v>
      </c>
      <c r="J892" s="9" t="n">
        <v>0.648</v>
      </c>
      <c r="K892" s="1" t="inlineStr">
        <is>
          <t>Yes</t>
        </is>
      </c>
      <c r="L892" s="1" t="inlineStr">
        <is>
          <t>Yes</t>
        </is>
      </c>
      <c r="M892" s="1" t="inlineStr">
        <is>
          <t>No</t>
        </is>
      </c>
      <c r="N892" s="1" t="inlineStr">
        <is>
          <t>Algorithms</t>
        </is>
      </c>
      <c r="O8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92" s="13" t="inlineStr">
        <is>
          <t>Done</t>
        </is>
      </c>
    </row>
    <row r="893" ht="15.75" customHeight="1" s="12">
      <c r="A893" s="1" t="n">
        <v>1148</v>
      </c>
      <c r="B893" s="3">
        <f>HYPERLINK("https://leetcode.com/problems/article-views-i/", "Article Views I")</f>
        <v/>
      </c>
      <c r="C893" s="1" t="n">
        <v>2297</v>
      </c>
      <c r="D893" s="1" t="n">
        <v>144</v>
      </c>
      <c r="E893" s="4">
        <f>IF(INDEX(C:C, ROW())+INDEX(D:D, ROW())=0, 0, INDEX(C:C, ROW())/(INDEX(C:C, ROW())+INDEX(D:D, ROW())))</f>
        <v/>
      </c>
      <c r="F893" s="1" t="inlineStr">
        <is>
          <t>Database</t>
        </is>
      </c>
      <c r="G893" s="1" t="inlineStr">
        <is>
          <t>Easy</t>
        </is>
      </c>
      <c r="H893" s="1" t="n">
        <v>1634061</v>
      </c>
      <c r="I893" s="1" t="n">
        <v>2131940</v>
      </c>
      <c r="J893" s="9" t="n">
        <v>0.766</v>
      </c>
      <c r="K893" s="1" t="inlineStr">
        <is>
          <t>Yes</t>
        </is>
      </c>
      <c r="L893" s="1" t="inlineStr">
        <is>
          <t>Yes</t>
        </is>
      </c>
      <c r="M893" s="1" t="inlineStr">
        <is>
          <t>No</t>
        </is>
      </c>
      <c r="N893" s="1" t="inlineStr">
        <is>
          <t>Database</t>
        </is>
      </c>
      <c r="O8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93" s="13" t="inlineStr">
        <is>
          <t>Done</t>
        </is>
      </c>
    </row>
    <row r="894" ht="15.75" customHeight="1" s="12">
      <c r="A894" s="1" t="n">
        <v>1671</v>
      </c>
      <c r="B894" s="3">
        <f>HYPERLINK("https://leetcode.com/problems/minimum-number-of-removals-to-make-mountain-array/", "Minimum Number of Removals to Make Mountain Array")</f>
        <v/>
      </c>
      <c r="C894" s="1" t="n">
        <v>2297</v>
      </c>
      <c r="D894" s="1" t="n">
        <v>41</v>
      </c>
      <c r="E894" s="4">
        <f>IF(INDEX(C:C, ROW())+INDEX(D:D, ROW())=0, 0, INDEX(C:C, ROW())/(INDEX(C:C, ROW())+INDEX(D:D, ROW())))</f>
        <v/>
      </c>
      <c r="F894" s="1" t="inlineStr">
        <is>
          <t>Array, Binary Search, Dynamic Programming, Greedy</t>
        </is>
      </c>
      <c r="G894" s="1" t="inlineStr">
        <is>
          <t>Hard</t>
        </is>
      </c>
      <c r="H894" s="1" t="n">
        <v>123962</v>
      </c>
      <c r="I894" s="1" t="n">
        <v>226232</v>
      </c>
      <c r="J894" s="9" t="n">
        <v>0.548</v>
      </c>
      <c r="K894" s="1" t="inlineStr">
        <is>
          <t>Yes</t>
        </is>
      </c>
      <c r="L894" s="1" t="inlineStr">
        <is>
          <t>Yes</t>
        </is>
      </c>
      <c r="M894" s="1" t="inlineStr">
        <is>
          <t>No</t>
        </is>
      </c>
      <c r="N894" s="1" t="inlineStr">
        <is>
          <t>Algorithms</t>
        </is>
      </c>
      <c r="O8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94" s="11" t="inlineStr">
        <is>
          <t>To Do</t>
        </is>
      </c>
    </row>
    <row r="895" ht="15.75" customHeight="1" s="12">
      <c r="A895" s="1" t="n">
        <v>1028</v>
      </c>
      <c r="B895" s="3">
        <f>HYPERLINK("https://leetcode.com/problems/recover-a-tree-from-preorder-traversal/", "Recover a Tree From Preorder Traversal")</f>
        <v/>
      </c>
      <c r="C895" s="1" t="n">
        <v>2295</v>
      </c>
      <c r="D895" s="1" t="n">
        <v>70</v>
      </c>
      <c r="E895" s="4">
        <f>IF(INDEX(C:C, ROW())+INDEX(D:D, ROW())=0, 0, INDEX(C:C, ROW())/(INDEX(C:C, ROW())+INDEX(D:D, ROW())))</f>
        <v/>
      </c>
      <c r="F895" s="1" t="inlineStr">
        <is>
          <t>String, Tree, Depth-First Search, Binary Tree</t>
        </is>
      </c>
      <c r="G895" s="1" t="inlineStr">
        <is>
          <t>Hard</t>
        </is>
      </c>
      <c r="H895" s="1" t="n">
        <v>166184</v>
      </c>
      <c r="I895" s="1" t="n">
        <v>199710</v>
      </c>
      <c r="J895" s="9" t="n">
        <v>0.832</v>
      </c>
      <c r="K895" s="1" t="inlineStr">
        <is>
          <t>Yes</t>
        </is>
      </c>
      <c r="L895" s="1" t="inlineStr">
        <is>
          <t>Yes</t>
        </is>
      </c>
      <c r="M895" s="1" t="inlineStr">
        <is>
          <t>No</t>
        </is>
      </c>
      <c r="N895" s="1" t="inlineStr">
        <is>
          <t>Algorithms</t>
        </is>
      </c>
      <c r="O8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95" s="11" t="inlineStr">
        <is>
          <t>To Do</t>
        </is>
      </c>
    </row>
    <row r="896" ht="15.75" customHeight="1" s="12">
      <c r="A896" s="1" t="n">
        <v>313</v>
      </c>
      <c r="B896" s="3">
        <f>HYPERLINK("https://leetcode.com/problems/super-ugly-number/", "Super Ugly Number")</f>
        <v/>
      </c>
      <c r="C896" s="1" t="n">
        <v>2294</v>
      </c>
      <c r="D896" s="1" t="n">
        <v>408</v>
      </c>
      <c r="E896" s="4">
        <f>IF(INDEX(C:C, ROW())+INDEX(D:D, ROW())=0, 0, INDEX(C:C, ROW())/(INDEX(C:C, ROW())+INDEX(D:D, ROW())))</f>
        <v/>
      </c>
      <c r="F896" s="1" t="inlineStr">
        <is>
          <t>Array, Math, Dynamic Programming</t>
        </is>
      </c>
      <c r="G896" s="1" t="inlineStr">
        <is>
          <t>Medium</t>
        </is>
      </c>
      <c r="H896" s="1" t="n">
        <v>160652</v>
      </c>
      <c r="I896" s="1" t="n">
        <v>348369</v>
      </c>
      <c r="J896" s="9" t="n">
        <v>0.461</v>
      </c>
      <c r="K896" s="1" t="inlineStr">
        <is>
          <t>Yes</t>
        </is>
      </c>
      <c r="L896" s="1" t="inlineStr">
        <is>
          <t>No</t>
        </is>
      </c>
      <c r="M896" s="1" t="inlineStr">
        <is>
          <t>No</t>
        </is>
      </c>
      <c r="N896" s="1" t="inlineStr">
        <is>
          <t>Algorithms</t>
        </is>
      </c>
      <c r="O8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96" s="11" t="inlineStr">
        <is>
          <t>To Do</t>
        </is>
      </c>
    </row>
    <row r="897" ht="15.75" customHeight="1" s="12">
      <c r="A897" s="1" t="n">
        <v>528</v>
      </c>
      <c r="B897" s="3">
        <f>HYPERLINK("https://leetcode.com/problems/random-pick-with-weight/", "Random Pick with Weight")</f>
        <v/>
      </c>
      <c r="C897" s="1" t="n">
        <v>2293</v>
      </c>
      <c r="D897" s="1" t="n">
        <v>1061</v>
      </c>
      <c r="E897" s="4">
        <f>IF(INDEX(C:C, ROW())+INDEX(D:D, ROW())=0, 0, INDEX(C:C, ROW())/(INDEX(C:C, ROW())+INDEX(D:D, ROW())))</f>
        <v/>
      </c>
      <c r="F897" s="1" t="inlineStr">
        <is>
          <t>Array, Math, Binary Search, Prefix Sum, Randomized</t>
        </is>
      </c>
      <c r="G897" s="1" t="inlineStr">
        <is>
          <t>Medium</t>
        </is>
      </c>
      <c r="H897" s="1" t="n">
        <v>698831</v>
      </c>
      <c r="I897" s="1" t="n">
        <v>1424544</v>
      </c>
      <c r="J897" s="9" t="n">
        <v>0.491</v>
      </c>
      <c r="K897" s="1" t="inlineStr">
        <is>
          <t>Yes</t>
        </is>
      </c>
      <c r="L897" s="1" t="inlineStr">
        <is>
          <t>Yes</t>
        </is>
      </c>
      <c r="M897" s="1" t="inlineStr">
        <is>
          <t>No</t>
        </is>
      </c>
      <c r="N897" s="1" t="inlineStr">
        <is>
          <t>Algorithms</t>
        </is>
      </c>
      <c r="O8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97" s="11" t="inlineStr">
        <is>
          <t>To Do</t>
        </is>
      </c>
    </row>
    <row r="898" ht="15.75" customHeight="1" s="12">
      <c r="A898" s="1" t="n">
        <v>1518</v>
      </c>
      <c r="B898" s="3">
        <f>HYPERLINK("https://leetcode.com/problems/water-bottles/", "Water Bottles")</f>
        <v/>
      </c>
      <c r="C898" s="1" t="n">
        <v>2286</v>
      </c>
      <c r="D898" s="1" t="n">
        <v>177</v>
      </c>
      <c r="E898" s="4">
        <f>IF(INDEX(C:C, ROW())+INDEX(D:D, ROW())=0, 0, INDEX(C:C, ROW())/(INDEX(C:C, ROW())+INDEX(D:D, ROW())))</f>
        <v/>
      </c>
      <c r="F898" s="1" t="inlineStr">
        <is>
          <t>Math, Simulation</t>
        </is>
      </c>
      <c r="G898" s="1" t="inlineStr">
        <is>
          <t>Easy</t>
        </is>
      </c>
      <c r="H898" s="1" t="n">
        <v>439942</v>
      </c>
      <c r="I898" s="1" t="n">
        <v>606297</v>
      </c>
      <c r="J898" s="9" t="n">
        <v>0.726</v>
      </c>
      <c r="K898" s="1" t="inlineStr">
        <is>
          <t>Yes</t>
        </is>
      </c>
      <c r="L898" s="1" t="inlineStr">
        <is>
          <t>Yes</t>
        </is>
      </c>
      <c r="M898" s="1" t="inlineStr">
        <is>
          <t>No</t>
        </is>
      </c>
      <c r="N898" s="1" t="inlineStr">
        <is>
          <t>Algorithms</t>
        </is>
      </c>
      <c r="O8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98" s="13" t="inlineStr">
        <is>
          <t>Done</t>
        </is>
      </c>
    </row>
    <row r="899" ht="15.75" customHeight="1" s="12">
      <c r="A899" s="1" t="n">
        <v>731</v>
      </c>
      <c r="B899" s="3">
        <f>HYPERLINK("https://leetcode.com/problems/my-calendar-ii/", "My Calendar II")</f>
        <v/>
      </c>
      <c r="C899" s="1" t="n">
        <v>2284</v>
      </c>
      <c r="D899" s="1" t="n">
        <v>189</v>
      </c>
      <c r="E899" s="4">
        <f>IF(INDEX(C:C, ROW())+INDEX(D:D, ROW())=0, 0, INDEX(C:C, ROW())/(INDEX(C:C, ROW())+INDEX(D:D, ROW())))</f>
        <v/>
      </c>
      <c r="F899" s="1" t="inlineStr">
        <is>
          <t>Array, Binary Search, Design, Segment Tree, Prefix Sum, Ordered Set</t>
        </is>
      </c>
      <c r="G899" s="1" t="inlineStr">
        <is>
          <t>Medium</t>
        </is>
      </c>
      <c r="H899" s="1" t="n">
        <v>216009</v>
      </c>
      <c r="I899" s="1" t="n">
        <v>342386</v>
      </c>
      <c r="J899" s="9" t="n">
        <v>0.631</v>
      </c>
      <c r="K899" s="1" t="inlineStr">
        <is>
          <t>Yes</t>
        </is>
      </c>
      <c r="L899" s="1" t="inlineStr">
        <is>
          <t>Yes</t>
        </is>
      </c>
      <c r="M899" s="1" t="inlineStr">
        <is>
          <t>No</t>
        </is>
      </c>
      <c r="N899" s="1" t="inlineStr">
        <is>
          <t>Algorithms</t>
        </is>
      </c>
      <c r="O8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899" s="11" t="inlineStr">
        <is>
          <t>To Do</t>
        </is>
      </c>
    </row>
    <row r="900" ht="15.75" customHeight="1" s="12">
      <c r="A900" s="1" t="n">
        <v>888</v>
      </c>
      <c r="B900" s="3">
        <f>HYPERLINK("https://leetcode.com/problems/fair-candy-swap/", "Fair Candy Swap")</f>
        <v/>
      </c>
      <c r="C900" s="1" t="n">
        <v>2284</v>
      </c>
      <c r="D900" s="1" t="n">
        <v>423</v>
      </c>
      <c r="E900" s="4">
        <f>IF(INDEX(C:C, ROW())+INDEX(D:D, ROW())=0, 0, INDEX(C:C, ROW())/(INDEX(C:C, ROW())+INDEX(D:D, ROW())))</f>
        <v/>
      </c>
      <c r="F900" s="1" t="inlineStr">
        <is>
          <t>Array, Hash Table, Binary Search, Sorting</t>
        </is>
      </c>
      <c r="G900" s="1" t="inlineStr">
        <is>
          <t>Easy</t>
        </is>
      </c>
      <c r="H900" s="1" t="n">
        <v>172469</v>
      </c>
      <c r="I900" s="1" t="n">
        <v>265691</v>
      </c>
      <c r="J900" s="9" t="n">
        <v>0.649</v>
      </c>
      <c r="K900" s="1" t="inlineStr">
        <is>
          <t>Yes</t>
        </is>
      </c>
      <c r="L900" s="1" t="inlineStr">
        <is>
          <t>Yes</t>
        </is>
      </c>
      <c r="M900" s="1" t="inlineStr">
        <is>
          <t>No</t>
        </is>
      </c>
      <c r="N900" s="1" t="inlineStr">
        <is>
          <t>Algorithms</t>
        </is>
      </c>
      <c r="O9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00" s="13" t="inlineStr">
        <is>
          <t>Done</t>
        </is>
      </c>
    </row>
    <row r="901" ht="15.75" customHeight="1" s="12">
      <c r="A901" s="1" t="n">
        <v>668</v>
      </c>
      <c r="B901" s="3">
        <f>HYPERLINK("https://leetcode.com/problems/kth-smallest-number-in-multiplication-table/", "Kth Smallest Number in Multiplication Table")</f>
        <v/>
      </c>
      <c r="C901" s="1" t="n">
        <v>2283</v>
      </c>
      <c r="D901" s="1" t="n">
        <v>61</v>
      </c>
      <c r="E901" s="4">
        <f>IF(INDEX(C:C, ROW())+INDEX(D:D, ROW())=0, 0, INDEX(C:C, ROW())/(INDEX(C:C, ROW())+INDEX(D:D, ROW())))</f>
        <v/>
      </c>
      <c r="F901" s="1" t="inlineStr">
        <is>
          <t>Math, Binary Search</t>
        </is>
      </c>
      <c r="G901" s="1" t="inlineStr">
        <is>
          <t>Hard</t>
        </is>
      </c>
      <c r="H901" s="1" t="n">
        <v>85483</v>
      </c>
      <c r="I901" s="1" t="n">
        <v>158039</v>
      </c>
      <c r="J901" s="9" t="n">
        <v>0.541</v>
      </c>
      <c r="K901" s="1" t="inlineStr">
        <is>
          <t>Yes</t>
        </is>
      </c>
      <c r="L901" s="1" t="inlineStr">
        <is>
          <t>Yes</t>
        </is>
      </c>
      <c r="M901" s="1" t="inlineStr">
        <is>
          <t>No</t>
        </is>
      </c>
      <c r="N901" s="1" t="inlineStr">
        <is>
          <t>Algorithms</t>
        </is>
      </c>
      <c r="O9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01" s="11" t="inlineStr">
        <is>
          <t>To Do</t>
        </is>
      </c>
    </row>
    <row r="902" ht="15.75" customHeight="1" s="12">
      <c r="A902" s="1" t="n">
        <v>565</v>
      </c>
      <c r="B902" s="3">
        <f>HYPERLINK("https://leetcode.com/problems/array-nesting/", "Array Nesting")</f>
        <v/>
      </c>
      <c r="C902" s="1" t="n">
        <v>2282</v>
      </c>
      <c r="D902" s="1" t="n">
        <v>159</v>
      </c>
      <c r="E902" s="4">
        <f>IF(INDEX(C:C, ROW())+INDEX(D:D, ROW())=0, 0, INDEX(C:C, ROW())/(INDEX(C:C, ROW())+INDEX(D:D, ROW())))</f>
        <v/>
      </c>
      <c r="F902" s="1" t="inlineStr">
        <is>
          <t>Array, Depth-First Search</t>
        </is>
      </c>
      <c r="G902" s="1" t="inlineStr">
        <is>
          <t>Medium</t>
        </is>
      </c>
      <c r="H902" s="1" t="n">
        <v>149567</v>
      </c>
      <c r="I902" s="1" t="n">
        <v>264103</v>
      </c>
      <c r="J902" s="9" t="n">
        <v>0.5659999999999999</v>
      </c>
      <c r="K902" s="1" t="inlineStr">
        <is>
          <t>Yes</t>
        </is>
      </c>
      <c r="L902" s="1" t="inlineStr">
        <is>
          <t>Yes</t>
        </is>
      </c>
      <c r="M902" s="1" t="inlineStr">
        <is>
          <t>No</t>
        </is>
      </c>
      <c r="N902" s="1" t="inlineStr">
        <is>
          <t>Algorithms</t>
        </is>
      </c>
      <c r="O9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02" s="11" t="inlineStr">
        <is>
          <t>To Do</t>
        </is>
      </c>
    </row>
    <row r="903" ht="15.75" customHeight="1" s="12">
      <c r="A903" s="1" t="n">
        <v>1491</v>
      </c>
      <c r="B903" s="3">
        <f>HYPERLINK("https://leetcode.com/problems/average-salary-excluding-the-minimum-and-maximum-salary/", "Average Salary Excluding the Minimum and Maximum Salary")</f>
        <v/>
      </c>
      <c r="C903" s="1" t="n">
        <v>2282</v>
      </c>
      <c r="D903" s="1" t="n">
        <v>187</v>
      </c>
      <c r="E903" s="4">
        <f>IF(INDEX(C:C, ROW())+INDEX(D:D, ROW())=0, 0, INDEX(C:C, ROW())/(INDEX(C:C, ROW())+INDEX(D:D, ROW())))</f>
        <v/>
      </c>
      <c r="F903" s="1" t="inlineStr">
        <is>
          <t>Array, Sorting</t>
        </is>
      </c>
      <c r="G903" s="1" t="inlineStr">
        <is>
          <t>Easy</t>
        </is>
      </c>
      <c r="H903" s="1" t="n">
        <v>394747</v>
      </c>
      <c r="I903" s="1" t="n">
        <v>621107</v>
      </c>
      <c r="J903" s="9" t="n">
        <v>0.636</v>
      </c>
      <c r="K903" s="1" t="inlineStr">
        <is>
          <t>Yes</t>
        </is>
      </c>
      <c r="L903" s="1" t="inlineStr">
        <is>
          <t>Yes</t>
        </is>
      </c>
      <c r="M903" s="1" t="inlineStr">
        <is>
          <t>No</t>
        </is>
      </c>
      <c r="N903" s="1" t="inlineStr">
        <is>
          <t>Algorithms</t>
        </is>
      </c>
      <c r="O9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03" s="13" t="inlineStr">
        <is>
          <t>Done</t>
        </is>
      </c>
    </row>
    <row r="904" ht="15.75" customHeight="1" s="12">
      <c r="A904" s="1" t="n">
        <v>1684</v>
      </c>
      <c r="B904" s="3">
        <f>HYPERLINK("https://leetcode.com/problems/count-the-number-of-consistent-strings/", "Count the Number of Consistent Strings")</f>
        <v/>
      </c>
      <c r="C904" s="1" t="n">
        <v>2279</v>
      </c>
      <c r="D904" s="1" t="n">
        <v>91</v>
      </c>
      <c r="E904" s="4">
        <f>IF(INDEX(C:C, ROW())+INDEX(D:D, ROW())=0, 0, INDEX(C:C, ROW())/(INDEX(C:C, ROW())+INDEX(D:D, ROW())))</f>
        <v/>
      </c>
      <c r="F904" s="1" t="inlineStr">
        <is>
          <t>Array, Hash Table, String, Bit Manipulation, Counting</t>
        </is>
      </c>
      <c r="G904" s="1" t="inlineStr">
        <is>
          <t>Easy</t>
        </is>
      </c>
      <c r="H904" s="1" t="n">
        <v>444244</v>
      </c>
      <c r="I904" s="1" t="n">
        <v>501946</v>
      </c>
      <c r="J904" s="9" t="n">
        <v>0.885</v>
      </c>
      <c r="K904" s="1" t="inlineStr">
        <is>
          <t>Yes</t>
        </is>
      </c>
      <c r="L904" s="1" t="inlineStr">
        <is>
          <t>Yes</t>
        </is>
      </c>
      <c r="M904" s="1" t="inlineStr">
        <is>
          <t>No</t>
        </is>
      </c>
      <c r="N904" s="1" t="inlineStr">
        <is>
          <t>Algorithms</t>
        </is>
      </c>
      <c r="O9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04" s="13" t="inlineStr">
        <is>
          <t>Done</t>
        </is>
      </c>
    </row>
    <row r="905" ht="15.75" customHeight="1" s="12">
      <c r="A905" s="1" t="n">
        <v>1125</v>
      </c>
      <c r="B905" s="3">
        <f>HYPERLINK("https://leetcode.com/problems/smallest-sufficient-team/", "Smallest Sufficient Team")</f>
        <v/>
      </c>
      <c r="C905" s="1" t="n">
        <v>2277</v>
      </c>
      <c r="D905" s="1" t="n">
        <v>57</v>
      </c>
      <c r="E905" s="4">
        <f>IF(INDEX(C:C, ROW())+INDEX(D:D, ROW())=0, 0, INDEX(C:C, ROW())/(INDEX(C:C, ROW())+INDEX(D:D, ROW())))</f>
        <v/>
      </c>
      <c r="F905" s="1" t="inlineStr">
        <is>
          <t>Array, Dynamic Programming, Bit Manipulation, Bitmask</t>
        </is>
      </c>
      <c r="G905" s="1" t="inlineStr">
        <is>
          <t>Hard</t>
        </is>
      </c>
      <c r="H905" s="1" t="n">
        <v>74254</v>
      </c>
      <c r="I905" s="1" t="n">
        <v>133674</v>
      </c>
      <c r="J905" s="9" t="n">
        <v>0.555</v>
      </c>
      <c r="K905" s="1" t="inlineStr">
        <is>
          <t>Yes</t>
        </is>
      </c>
      <c r="L905" s="1" t="inlineStr">
        <is>
          <t>Yes</t>
        </is>
      </c>
      <c r="M905" s="1" t="inlineStr">
        <is>
          <t>No</t>
        </is>
      </c>
      <c r="N905" s="1" t="inlineStr">
        <is>
          <t>Algorithms</t>
        </is>
      </c>
      <c r="O9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05" s="11" t="inlineStr">
        <is>
          <t>To Do</t>
        </is>
      </c>
    </row>
    <row r="906" ht="15.75" customHeight="1" s="12">
      <c r="A906" s="1" t="n">
        <v>2225</v>
      </c>
      <c r="B906" s="3">
        <f>HYPERLINK("https://leetcode.com/problems/find-players-with-zero-or-one-losses/", "Find Players With Zero or One Losses")</f>
        <v/>
      </c>
      <c r="C906" s="1" t="n">
        <v>2277</v>
      </c>
      <c r="D906" s="1" t="n">
        <v>160</v>
      </c>
      <c r="E906" s="4">
        <f>IF(INDEX(C:C, ROW())+INDEX(D:D, ROW())=0, 0, INDEX(C:C, ROW())/(INDEX(C:C, ROW())+INDEX(D:D, ROW())))</f>
        <v/>
      </c>
      <c r="F906" s="1" t="inlineStr">
        <is>
          <t>Array, Hash Table, Sorting, Counting</t>
        </is>
      </c>
      <c r="G906" s="1" t="inlineStr">
        <is>
          <t>Medium</t>
        </is>
      </c>
      <c r="H906" s="1" t="n">
        <v>317096</v>
      </c>
      <c r="I906" s="1" t="n">
        <v>437650</v>
      </c>
      <c r="J906" s="9" t="n">
        <v>0.725</v>
      </c>
      <c r="K906" s="1" t="inlineStr">
        <is>
          <t>Yes</t>
        </is>
      </c>
      <c r="L906" s="1" t="inlineStr">
        <is>
          <t>Yes</t>
        </is>
      </c>
      <c r="M906" s="1" t="inlineStr">
        <is>
          <t>No</t>
        </is>
      </c>
      <c r="N906" s="1" t="inlineStr">
        <is>
          <t>Algorithms</t>
        </is>
      </c>
      <c r="O9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06" s="11" t="inlineStr">
        <is>
          <t>To Do</t>
        </is>
      </c>
    </row>
    <row r="907" ht="15.75" customHeight="1" s="12">
      <c r="A907" s="1" t="n">
        <v>1669</v>
      </c>
      <c r="B907" s="3">
        <f>HYPERLINK("https://leetcode.com/problems/merge-in-between-linked-lists/", "Merge In Between Linked Lists")</f>
        <v/>
      </c>
      <c r="C907" s="1" t="n">
        <v>2275</v>
      </c>
      <c r="D907" s="1" t="n">
        <v>227</v>
      </c>
      <c r="E907" s="4">
        <f>IF(INDEX(C:C, ROW())+INDEX(D:D, ROW())=0, 0, INDEX(C:C, ROW())/(INDEX(C:C, ROW())+INDEX(D:D, ROW())))</f>
        <v/>
      </c>
      <c r="F907" s="1" t="inlineStr">
        <is>
          <t>Linked List</t>
        </is>
      </c>
      <c r="G907" s="1" t="inlineStr">
        <is>
          <t>Medium</t>
        </is>
      </c>
      <c r="H907" s="1" t="n">
        <v>279711</v>
      </c>
      <c r="I907" s="1" t="n">
        <v>337117</v>
      </c>
      <c r="J907" s="9" t="n">
        <v>0.83</v>
      </c>
      <c r="K907" s="1" t="inlineStr">
        <is>
          <t>Yes</t>
        </is>
      </c>
      <c r="L907" s="1" t="inlineStr">
        <is>
          <t>Yes</t>
        </is>
      </c>
      <c r="M907" s="1" t="inlineStr">
        <is>
          <t>No</t>
        </is>
      </c>
      <c r="N907" s="1" t="inlineStr">
        <is>
          <t>Algorithms</t>
        </is>
      </c>
      <c r="O9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07" s="11" t="inlineStr">
        <is>
          <t>To Do</t>
        </is>
      </c>
    </row>
    <row r="908" ht="15.75" customHeight="1" s="12">
      <c r="A908" s="1" t="n">
        <v>2316</v>
      </c>
      <c r="B908" s="3">
        <f>HYPERLINK("https://leetcode.com/problems/count-unreachable-pairs-of-nodes-in-an-undirected-graph/", "Count Unreachable Pairs of Nodes in an Undirected Graph")</f>
        <v/>
      </c>
      <c r="C908" s="1" t="n">
        <v>2273</v>
      </c>
      <c r="D908" s="1" t="n">
        <v>56</v>
      </c>
      <c r="E908" s="4">
        <f>IF(INDEX(C:C, ROW())+INDEX(D:D, ROW())=0, 0, INDEX(C:C, ROW())/(INDEX(C:C, ROW())+INDEX(D:D, ROW())))</f>
        <v/>
      </c>
      <c r="F908" s="1" t="inlineStr">
        <is>
          <t>Depth-First Search, Breadth-First Search, Union-Find, Graph Theory</t>
        </is>
      </c>
      <c r="G908" s="1" t="inlineStr">
        <is>
          <t>Medium</t>
        </is>
      </c>
      <c r="H908" s="1" t="n">
        <v>120701</v>
      </c>
      <c r="I908" s="1" t="n">
        <v>241747</v>
      </c>
      <c r="J908" s="9" t="n">
        <v>0.499</v>
      </c>
      <c r="K908" s="1" t="inlineStr">
        <is>
          <t>Yes</t>
        </is>
      </c>
      <c r="L908" s="1" t="inlineStr">
        <is>
          <t>Yes</t>
        </is>
      </c>
      <c r="M908" s="1" t="inlineStr">
        <is>
          <t>No</t>
        </is>
      </c>
      <c r="N908" s="1" t="inlineStr">
        <is>
          <t>Algorithms</t>
        </is>
      </c>
      <c r="O9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08" s="11" t="inlineStr">
        <is>
          <t>To Do</t>
        </is>
      </c>
    </row>
    <row r="909" ht="15.75" customHeight="1" s="12">
      <c r="A909" s="1" t="n">
        <v>159</v>
      </c>
      <c r="B909" s="3">
        <f>HYPERLINK("https://leetcode.com/problems/longest-substring-with-at-most-two-distinct-characters/", "Longest Substring with At Most Two Distinct Characters")</f>
        <v/>
      </c>
      <c r="C909" s="1" t="n">
        <v>2272</v>
      </c>
      <c r="D909" s="1" t="n">
        <v>40</v>
      </c>
      <c r="E909" s="4">
        <f>IF(INDEX(C:C, ROW())+INDEX(D:D, ROW())=0, 0, INDEX(C:C, ROW())/(INDEX(C:C, ROW())+INDEX(D:D, ROW())))</f>
        <v/>
      </c>
      <c r="F909" s="1" t="inlineStr">
        <is>
          <t>Hash Table, String, Sliding Window</t>
        </is>
      </c>
      <c r="G909" s="1" t="inlineStr">
        <is>
          <t>Medium</t>
        </is>
      </c>
      <c r="H909" s="1" t="n">
        <v>302816</v>
      </c>
      <c r="I909" s="1" t="n">
        <v>530675</v>
      </c>
      <c r="J909" s="9" t="n">
        <v>0.571</v>
      </c>
      <c r="K909" s="1" t="inlineStr">
        <is>
          <t>No</t>
        </is>
      </c>
      <c r="L909" s="1" t="inlineStr">
        <is>
          <t>Yes</t>
        </is>
      </c>
      <c r="M909" s="1" t="inlineStr">
        <is>
          <t>Yes</t>
        </is>
      </c>
      <c r="N909" s="1" t="inlineStr">
        <is>
          <t>Algorithms</t>
        </is>
      </c>
      <c r="O9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09" s="11" t="inlineStr">
        <is>
          <t>To Do</t>
        </is>
      </c>
    </row>
    <row r="910" ht="15.75" customHeight="1" s="12">
      <c r="A910" s="1" t="n">
        <v>1833</v>
      </c>
      <c r="B910" s="3">
        <f>HYPERLINK("https://leetcode.com/problems/maximum-ice-cream-bars/", "Maximum Ice Cream Bars")</f>
        <v/>
      </c>
      <c r="C910" s="1" t="n">
        <v>2266</v>
      </c>
      <c r="D910" s="1" t="n">
        <v>679</v>
      </c>
      <c r="E910" s="4">
        <f>IF(INDEX(C:C, ROW())+INDEX(D:D, ROW())=0, 0, INDEX(C:C, ROW())/(INDEX(C:C, ROW())+INDEX(D:D, ROW())))</f>
        <v/>
      </c>
      <c r="F910" s="1" t="inlineStr">
        <is>
          <t>Array, Greedy, Sorting, Counting Sort</t>
        </is>
      </c>
      <c r="G910" s="1" t="inlineStr">
        <is>
          <t>Medium</t>
        </is>
      </c>
      <c r="H910" s="1" t="n">
        <v>191975</v>
      </c>
      <c r="I910" s="1" t="n">
        <v>258389</v>
      </c>
      <c r="J910" s="9" t="n">
        <v>0.743</v>
      </c>
      <c r="K910" s="1" t="inlineStr">
        <is>
          <t>Yes</t>
        </is>
      </c>
      <c r="L910" s="1" t="inlineStr">
        <is>
          <t>Yes</t>
        </is>
      </c>
      <c r="M910" s="1" t="inlineStr">
        <is>
          <t>No</t>
        </is>
      </c>
      <c r="N910" s="1" t="inlineStr">
        <is>
          <t>Algorithms</t>
        </is>
      </c>
      <c r="O9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10" s="11" t="inlineStr">
        <is>
          <t>To Do</t>
        </is>
      </c>
    </row>
    <row r="911" ht="15.75" customHeight="1" s="12">
      <c r="A911" s="1" t="n">
        <v>1160</v>
      </c>
      <c r="B911" s="3">
        <f>HYPERLINK("https://leetcode.com/problems/find-words-that-can-be-formed-by-characters/", "Find Words That Can Be Formed by Characters")</f>
        <v/>
      </c>
      <c r="C911" s="1" t="n">
        <v>2262</v>
      </c>
      <c r="D911" s="1" t="n">
        <v>189</v>
      </c>
      <c r="E911" s="4">
        <f>IF(INDEX(C:C, ROW())+INDEX(D:D, ROW())=0, 0, INDEX(C:C, ROW())/(INDEX(C:C, ROW())+INDEX(D:D, ROW())))</f>
        <v/>
      </c>
      <c r="F911" s="1" t="inlineStr">
        <is>
          <t>Array, Hash Table, String, Counting</t>
        </is>
      </c>
      <c r="G911" s="1" t="inlineStr">
        <is>
          <t>Easy</t>
        </is>
      </c>
      <c r="H911" s="1" t="n">
        <v>332867</v>
      </c>
      <c r="I911" s="1" t="n">
        <v>465156</v>
      </c>
      <c r="J911" s="9" t="n">
        <v>0.716</v>
      </c>
      <c r="K911" s="1" t="inlineStr">
        <is>
          <t>Yes</t>
        </is>
      </c>
      <c r="L911" s="1" t="inlineStr">
        <is>
          <t>Yes</t>
        </is>
      </c>
      <c r="M911" s="1" t="inlineStr">
        <is>
          <t>No</t>
        </is>
      </c>
      <c r="N911" s="1" t="inlineStr">
        <is>
          <t>Algorithms</t>
        </is>
      </c>
      <c r="O9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11" s="13" t="inlineStr">
        <is>
          <t>Done</t>
        </is>
      </c>
    </row>
    <row r="912" ht="15.75" customHeight="1" s="12">
      <c r="A912" s="1" t="n">
        <v>828</v>
      </c>
      <c r="B912" s="3">
        <f>HYPERLINK("https://leetcode.com/problems/count-unique-characters-of-all-substrings-of-a-given-string/", "Count Unique Characters of All Substrings of a Given String")</f>
        <v/>
      </c>
      <c r="C912" s="1" t="n">
        <v>2256</v>
      </c>
      <c r="D912" s="1" t="n">
        <v>259</v>
      </c>
      <c r="E912" s="4">
        <f>IF(INDEX(C:C, ROW())+INDEX(D:D, ROW())=0, 0, INDEX(C:C, ROW())/(INDEX(C:C, ROW())+INDEX(D:D, ROW())))</f>
        <v/>
      </c>
      <c r="F912" s="1" t="inlineStr">
        <is>
          <t>Hash Table, String, Dynamic Programming</t>
        </is>
      </c>
      <c r="G912" s="1" t="inlineStr">
        <is>
          <t>Hard</t>
        </is>
      </c>
      <c r="H912" s="1" t="n">
        <v>84280</v>
      </c>
      <c r="I912" s="1" t="n">
        <v>157255</v>
      </c>
      <c r="J912" s="9" t="n">
        <v>0.536</v>
      </c>
      <c r="K912" s="1" t="inlineStr">
        <is>
          <t>Yes</t>
        </is>
      </c>
      <c r="L912" s="1" t="inlineStr">
        <is>
          <t>Yes</t>
        </is>
      </c>
      <c r="M912" s="1" t="inlineStr">
        <is>
          <t>No</t>
        </is>
      </c>
      <c r="N912" s="1" t="inlineStr">
        <is>
          <t>Algorithms</t>
        </is>
      </c>
      <c r="O9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12" s="11" t="inlineStr">
        <is>
          <t>To Do</t>
        </is>
      </c>
    </row>
    <row r="913" ht="15.75" customHeight="1" s="12">
      <c r="A913" s="1" t="n">
        <v>1425</v>
      </c>
      <c r="B913" s="3">
        <f>HYPERLINK("https://leetcode.com/problems/constrained-subsequence-sum/", "Constrained Subsequence Sum")</f>
        <v/>
      </c>
      <c r="C913" s="1" t="n">
        <v>2256</v>
      </c>
      <c r="D913" s="1" t="n">
        <v>109</v>
      </c>
      <c r="E913" s="4">
        <f>IF(INDEX(C:C, ROW())+INDEX(D:D, ROW())=0, 0, INDEX(C:C, ROW())/(INDEX(C:C, ROW())+INDEX(D:D, ROW())))</f>
        <v/>
      </c>
      <c r="F913" s="1" t="inlineStr">
        <is>
          <t>Array, Dynamic Programming, Queue, Sliding Window, Heap (Priority Queue), Monotonic Queue</t>
        </is>
      </c>
      <c r="G913" s="1" t="inlineStr">
        <is>
          <t>Hard</t>
        </is>
      </c>
      <c r="H913" s="1" t="n">
        <v>92374</v>
      </c>
      <c r="I913" s="1" t="n">
        <v>163812</v>
      </c>
      <c r="J913" s="9" t="n">
        <v>0.5639999999999999</v>
      </c>
      <c r="K913" s="1" t="inlineStr">
        <is>
          <t>Yes</t>
        </is>
      </c>
      <c r="L913" s="1" t="inlineStr">
        <is>
          <t>Yes</t>
        </is>
      </c>
      <c r="M913" s="1" t="inlineStr">
        <is>
          <t>No</t>
        </is>
      </c>
      <c r="N913" s="1" t="inlineStr">
        <is>
          <t>Algorithms</t>
        </is>
      </c>
      <c r="O9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13" s="11" t="inlineStr">
        <is>
          <t>To Do</t>
        </is>
      </c>
    </row>
    <row r="914" ht="15.75" customHeight="1" s="12">
      <c r="A914" s="1" t="n">
        <v>1361</v>
      </c>
      <c r="B914" s="3">
        <f>HYPERLINK("https://leetcode.com/problems/validate-binary-tree-nodes/", "Validate Binary Tree Nodes")</f>
        <v/>
      </c>
      <c r="C914" s="1" t="n">
        <v>2255</v>
      </c>
      <c r="D914" s="1" t="n">
        <v>525</v>
      </c>
      <c r="E914" s="4">
        <f>IF(INDEX(C:C, ROW())+INDEX(D:D, ROW())=0, 0, INDEX(C:C, ROW())/(INDEX(C:C, ROW())+INDEX(D:D, ROW())))</f>
        <v/>
      </c>
      <c r="F914" s="1" t="inlineStr">
        <is>
          <t>Tree, Depth-First Search, Breadth-First Search, Union-Find, Graph Theory, Binary Tree</t>
        </is>
      </c>
      <c r="G914" s="1" t="inlineStr">
        <is>
          <t>Medium</t>
        </is>
      </c>
      <c r="H914" s="1" t="n">
        <v>136141</v>
      </c>
      <c r="I914" s="1" t="n">
        <v>308597</v>
      </c>
      <c r="J914" s="9" t="n">
        <v>0.441</v>
      </c>
      <c r="K914" s="1" t="inlineStr">
        <is>
          <t>Yes</t>
        </is>
      </c>
      <c r="L914" s="1" t="inlineStr">
        <is>
          <t>Yes</t>
        </is>
      </c>
      <c r="M914" s="1" t="inlineStr">
        <is>
          <t>No</t>
        </is>
      </c>
      <c r="N914" s="1" t="inlineStr">
        <is>
          <t>Algorithms</t>
        </is>
      </c>
      <c r="O9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14" s="11" t="inlineStr">
        <is>
          <t>To Do</t>
        </is>
      </c>
    </row>
    <row r="915" ht="15.75" customHeight="1" s="12">
      <c r="A915" s="1" t="n">
        <v>2125</v>
      </c>
      <c r="B915" s="3">
        <f>HYPERLINK("https://leetcode.com/problems/number-of-laser-beams-in-a-bank/", "Number of Laser Beams in a Bank")</f>
        <v/>
      </c>
      <c r="C915" s="1" t="n">
        <v>2240</v>
      </c>
      <c r="D915" s="1" t="n">
        <v>223</v>
      </c>
      <c r="E915" s="4">
        <f>IF(INDEX(C:C, ROW())+INDEX(D:D, ROW())=0, 0, INDEX(C:C, ROW())/(INDEX(C:C, ROW())+INDEX(D:D, ROW())))</f>
        <v/>
      </c>
      <c r="F915" s="1" t="inlineStr">
        <is>
          <t>Array, Math, String, Matrix</t>
        </is>
      </c>
      <c r="G915" s="1" t="inlineStr">
        <is>
          <t>Medium</t>
        </is>
      </c>
      <c r="H915" s="1" t="n">
        <v>350262</v>
      </c>
      <c r="I915" s="1" t="n">
        <v>402550</v>
      </c>
      <c r="J915" s="9" t="n">
        <v>0.87</v>
      </c>
      <c r="K915" s="1" t="inlineStr">
        <is>
          <t>Yes</t>
        </is>
      </c>
      <c r="L915" s="1" t="inlineStr">
        <is>
          <t>Yes</t>
        </is>
      </c>
      <c r="M915" s="1" t="inlineStr">
        <is>
          <t>No</t>
        </is>
      </c>
      <c r="N915" s="1" t="inlineStr">
        <is>
          <t>Algorithms</t>
        </is>
      </c>
      <c r="O9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15" s="11" t="inlineStr">
        <is>
          <t>To Do</t>
        </is>
      </c>
    </row>
    <row r="916" ht="15.75" customHeight="1" s="12">
      <c r="A916" s="1" t="n">
        <v>432</v>
      </c>
      <c r="B916" s="3">
        <f>HYPERLINK("https://leetcode.com/problems/all-oone-data-structure/", "All O`one Data Structure")</f>
        <v/>
      </c>
      <c r="C916" s="1" t="n">
        <v>2238</v>
      </c>
      <c r="D916" s="1" t="n">
        <v>224</v>
      </c>
      <c r="E916" s="4">
        <f>IF(INDEX(C:C, ROW())+INDEX(D:D, ROW())=0, 0, INDEX(C:C, ROW())/(INDEX(C:C, ROW())+INDEX(D:D, ROW())))</f>
        <v/>
      </c>
      <c r="F916" s="1" t="inlineStr">
        <is>
          <t>Hash Table, Linked List, Design, Doubly-Linked List</t>
        </is>
      </c>
      <c r="G916" s="1" t="inlineStr">
        <is>
          <t>Hard</t>
        </is>
      </c>
      <c r="H916" s="1" t="n">
        <v>206039</v>
      </c>
      <c r="I916" s="1" t="n">
        <v>465618</v>
      </c>
      <c r="J916" s="9" t="n">
        <v>0.443</v>
      </c>
      <c r="K916" s="1" t="inlineStr">
        <is>
          <t>Yes</t>
        </is>
      </c>
      <c r="L916" s="1" t="inlineStr">
        <is>
          <t>Yes</t>
        </is>
      </c>
      <c r="M916" s="1" t="inlineStr">
        <is>
          <t>No</t>
        </is>
      </c>
      <c r="N916" s="1" t="inlineStr">
        <is>
          <t>Algorithms</t>
        </is>
      </c>
      <c r="O9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16" s="11" t="inlineStr">
        <is>
          <t>To Do</t>
        </is>
      </c>
    </row>
    <row r="917" ht="15.75" customHeight="1" s="12">
      <c r="A917" s="1" t="n">
        <v>1944</v>
      </c>
      <c r="B917" s="3">
        <f>HYPERLINK("https://leetcode.com/problems/number-of-visible-people-in-a-queue/", "Number of Visible People in a Queue")</f>
        <v/>
      </c>
      <c r="C917" s="1" t="n">
        <v>2237</v>
      </c>
      <c r="D917" s="1" t="n">
        <v>68</v>
      </c>
      <c r="E917" s="4">
        <f>IF(INDEX(C:C, ROW())+INDEX(D:D, ROW())=0, 0, INDEX(C:C, ROW())/(INDEX(C:C, ROW())+INDEX(D:D, ROW())))</f>
        <v/>
      </c>
      <c r="F917" s="1" t="inlineStr">
        <is>
          <t>Array, Stack, Monotonic Stack</t>
        </is>
      </c>
      <c r="G917" s="1" t="inlineStr">
        <is>
          <t>Hard</t>
        </is>
      </c>
      <c r="H917" s="1" t="n">
        <v>128751</v>
      </c>
      <c r="I917" s="1" t="n">
        <v>176359</v>
      </c>
      <c r="J917" s="9" t="n">
        <v>0.73</v>
      </c>
      <c r="K917" s="1" t="inlineStr">
        <is>
          <t>Yes</t>
        </is>
      </c>
      <c r="L917" s="1" t="inlineStr">
        <is>
          <t>No</t>
        </is>
      </c>
      <c r="M917" s="1" t="inlineStr">
        <is>
          <t>No</t>
        </is>
      </c>
      <c r="N917" s="1" t="inlineStr">
        <is>
          <t>Algorithms</t>
        </is>
      </c>
      <c r="O9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17" s="11" t="inlineStr">
        <is>
          <t>To Do</t>
        </is>
      </c>
    </row>
    <row r="918" ht="15.75" customHeight="1" s="12">
      <c r="A918" s="1" t="n">
        <v>1685</v>
      </c>
      <c r="B918" s="3">
        <f>HYPERLINK("https://leetcode.com/problems/sum-of-absolute-differences-in-a-sorted-array/", "Sum of Absolute Differences in a Sorted Array")</f>
        <v/>
      </c>
      <c r="C918" s="1" t="n">
        <v>2233</v>
      </c>
      <c r="D918" s="1" t="n">
        <v>85</v>
      </c>
      <c r="E918" s="4">
        <f>IF(INDEX(C:C, ROW())+INDEX(D:D, ROW())=0, 0, INDEX(C:C, ROW())/(INDEX(C:C, ROW())+INDEX(D:D, ROW())))</f>
        <v/>
      </c>
      <c r="F918" s="1" t="inlineStr">
        <is>
          <t>Array, Math, Prefix Sum</t>
        </is>
      </c>
      <c r="G918" s="1" t="inlineStr">
        <is>
          <t>Medium</t>
        </is>
      </c>
      <c r="H918" s="1" t="n">
        <v>136886</v>
      </c>
      <c r="I918" s="1" t="n">
        <v>200010</v>
      </c>
      <c r="J918" s="9" t="n">
        <v>0.6840000000000001</v>
      </c>
      <c r="K918" s="1" t="inlineStr">
        <is>
          <t>Yes</t>
        </is>
      </c>
      <c r="L918" s="1" t="inlineStr">
        <is>
          <t>Yes</t>
        </is>
      </c>
      <c r="M918" s="1" t="inlineStr">
        <is>
          <t>No</t>
        </is>
      </c>
      <c r="N918" s="1" t="inlineStr">
        <is>
          <t>Algorithms</t>
        </is>
      </c>
      <c r="O9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18" s="11" t="inlineStr">
        <is>
          <t>To Do</t>
        </is>
      </c>
    </row>
    <row r="919" ht="15.75" customHeight="1" s="12">
      <c r="A919" s="1" t="n">
        <v>2466</v>
      </c>
      <c r="B919" s="3">
        <f>HYPERLINK("https://leetcode.com/problems/count-ways-to-build-good-strings/", "Count Ways To Build Good Strings")</f>
        <v/>
      </c>
      <c r="C919" s="1" t="n">
        <v>2226</v>
      </c>
      <c r="D919" s="1" t="n">
        <v>210</v>
      </c>
      <c r="E919" s="4">
        <f>IF(INDEX(C:C, ROW())+INDEX(D:D, ROW())=0, 0, INDEX(C:C, ROW())/(INDEX(C:C, ROW())+INDEX(D:D, ROW())))</f>
        <v/>
      </c>
      <c r="F919" s="1" t="inlineStr">
        <is>
          <t>Dynamic Programming</t>
        </is>
      </c>
      <c r="G919" s="1" t="inlineStr">
        <is>
          <t>Medium</t>
        </is>
      </c>
      <c r="H919" s="1" t="n">
        <v>181140</v>
      </c>
      <c r="I919" s="1" t="n">
        <v>307527</v>
      </c>
      <c r="J919" s="9" t="n">
        <v>0.589</v>
      </c>
      <c r="K919" s="1" t="inlineStr">
        <is>
          <t>Yes</t>
        </is>
      </c>
      <c r="L919" s="1" t="inlineStr">
        <is>
          <t>Yes</t>
        </is>
      </c>
      <c r="M919" s="1" t="inlineStr">
        <is>
          <t>No</t>
        </is>
      </c>
      <c r="N919" s="1" t="inlineStr">
        <is>
          <t>Algorithms</t>
        </is>
      </c>
      <c r="O9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19" s="11" t="inlineStr">
        <is>
          <t>To Do</t>
        </is>
      </c>
    </row>
    <row r="920" ht="15.75" customHeight="1" s="12">
      <c r="A920" s="1" t="n">
        <v>690</v>
      </c>
      <c r="B920" s="3">
        <f>HYPERLINK("https://leetcode.com/problems/employee-importance/", "Employee Importance")</f>
        <v/>
      </c>
      <c r="C920" s="1" t="n">
        <v>2214</v>
      </c>
      <c r="D920" s="1" t="n">
        <v>1360</v>
      </c>
      <c r="E920" s="4">
        <f>IF(INDEX(C:C, ROW())+INDEX(D:D, ROW())=0, 0, INDEX(C:C, ROW())/(INDEX(C:C, ROW())+INDEX(D:D, ROW())))</f>
        <v/>
      </c>
      <c r="F920" s="1" t="inlineStr">
        <is>
          <t>Array, Hash Table, Tree, Depth-First Search, Breadth-First Search</t>
        </is>
      </c>
      <c r="G920" s="1" t="inlineStr">
        <is>
          <t>Medium</t>
        </is>
      </c>
      <c r="H920" s="1" t="n">
        <v>253610</v>
      </c>
      <c r="I920" s="1" t="n">
        <v>365452</v>
      </c>
      <c r="J920" s="9" t="n">
        <v>0.694</v>
      </c>
      <c r="K920" s="1" t="inlineStr">
        <is>
          <t>Yes</t>
        </is>
      </c>
      <c r="L920" s="1" t="inlineStr">
        <is>
          <t>Yes</t>
        </is>
      </c>
      <c r="M920" s="1" t="inlineStr">
        <is>
          <t>No</t>
        </is>
      </c>
      <c r="N920" s="1" t="inlineStr">
        <is>
          <t>Algorithms</t>
        </is>
      </c>
      <c r="O9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20" s="11" t="inlineStr">
        <is>
          <t>To Do</t>
        </is>
      </c>
    </row>
    <row r="921" ht="15.75" customHeight="1" s="12">
      <c r="A921" s="1" t="n">
        <v>813</v>
      </c>
      <c r="B921" s="3">
        <f>HYPERLINK("https://leetcode.com/problems/largest-sum-of-averages/", "Largest Sum of Averages")</f>
        <v/>
      </c>
      <c r="C921" s="1" t="n">
        <v>2211</v>
      </c>
      <c r="D921" s="1" t="n">
        <v>105</v>
      </c>
      <c r="E921" s="4">
        <f>IF(INDEX(C:C, ROW())+INDEX(D:D, ROW())=0, 0, INDEX(C:C, ROW())/(INDEX(C:C, ROW())+INDEX(D:D, ROW())))</f>
        <v/>
      </c>
      <c r="F921" s="1" t="inlineStr">
        <is>
          <t>Array, Dynamic Programming, Prefix Sum</t>
        </is>
      </c>
      <c r="G921" s="1" t="inlineStr">
        <is>
          <t>Medium</t>
        </is>
      </c>
      <c r="H921" s="1" t="n">
        <v>67541</v>
      </c>
      <c r="I921" s="1" t="n">
        <v>122835</v>
      </c>
      <c r="J921" s="9" t="n">
        <v>0.55</v>
      </c>
      <c r="K921" s="1" t="inlineStr">
        <is>
          <t>Yes</t>
        </is>
      </c>
      <c r="L921" s="1" t="inlineStr">
        <is>
          <t>Yes</t>
        </is>
      </c>
      <c r="M921" s="1" t="inlineStr">
        <is>
          <t>No</t>
        </is>
      </c>
      <c r="N921" s="1" t="inlineStr">
        <is>
          <t>Algorithms</t>
        </is>
      </c>
      <c r="O9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21" s="11" t="inlineStr">
        <is>
          <t>To Do</t>
        </is>
      </c>
    </row>
    <row r="922" ht="15.75" customHeight="1" s="12">
      <c r="A922" s="1" t="n">
        <v>1422</v>
      </c>
      <c r="B922" s="3">
        <f>HYPERLINK("https://leetcode.com/problems/maximum-score-after-splitting-a-string/", "Maximum Score After Splitting a String")</f>
        <v/>
      </c>
      <c r="C922" s="1" t="n">
        <v>2200</v>
      </c>
      <c r="D922" s="1" t="n">
        <v>91</v>
      </c>
      <c r="E922" s="4">
        <f>IF(INDEX(C:C, ROW())+INDEX(D:D, ROW())=0, 0, INDEX(C:C, ROW())/(INDEX(C:C, ROW())+INDEX(D:D, ROW())))</f>
        <v/>
      </c>
      <c r="F922" s="1" t="inlineStr">
        <is>
          <t>String, Prefix Sum</t>
        </is>
      </c>
      <c r="G922" s="1" t="inlineStr">
        <is>
          <t>Easy</t>
        </is>
      </c>
      <c r="H922" s="1" t="n">
        <v>373683</v>
      </c>
      <c r="I922" s="1" t="n">
        <v>574448</v>
      </c>
      <c r="J922" s="9" t="n">
        <v>0.651</v>
      </c>
      <c r="K922" s="1" t="inlineStr">
        <is>
          <t>Yes</t>
        </is>
      </c>
      <c r="L922" s="1" t="inlineStr">
        <is>
          <t>Yes</t>
        </is>
      </c>
      <c r="M922" s="1" t="inlineStr">
        <is>
          <t>No</t>
        </is>
      </c>
      <c r="N922" s="1" t="inlineStr">
        <is>
          <t>Algorithms</t>
        </is>
      </c>
      <c r="O9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22" s="13" t="inlineStr">
        <is>
          <t>Done</t>
        </is>
      </c>
    </row>
    <row r="923" ht="15.75" customHeight="1" s="12">
      <c r="A923" s="1" t="n">
        <v>1605</v>
      </c>
      <c r="B923" s="3">
        <f>HYPERLINK("https://leetcode.com/problems/find-valid-matrix-given-row-and-column-sums/", "Find Valid Matrix Given Row and Column Sums")</f>
        <v/>
      </c>
      <c r="C923" s="1" t="n">
        <v>2199</v>
      </c>
      <c r="D923" s="1" t="n">
        <v>98</v>
      </c>
      <c r="E923" s="4">
        <f>IF(INDEX(C:C, ROW())+INDEX(D:D, ROW())=0, 0, INDEX(C:C, ROW())/(INDEX(C:C, ROW())+INDEX(D:D, ROW())))</f>
        <v/>
      </c>
      <c r="F923" s="1" t="inlineStr">
        <is>
          <t>Array, Greedy, Matrix</t>
        </is>
      </c>
      <c r="G923" s="1" t="inlineStr">
        <is>
          <t>Medium</t>
        </is>
      </c>
      <c r="H923" s="1" t="n">
        <v>162003</v>
      </c>
      <c r="I923" s="1" t="n">
        <v>196125</v>
      </c>
      <c r="J923" s="9" t="n">
        <v>0.826</v>
      </c>
      <c r="K923" s="1" t="inlineStr">
        <is>
          <t>Yes</t>
        </is>
      </c>
      <c r="L923" s="1" t="inlineStr">
        <is>
          <t>Yes</t>
        </is>
      </c>
      <c r="M923" s="1" t="inlineStr">
        <is>
          <t>No</t>
        </is>
      </c>
      <c r="N923" s="1" t="inlineStr">
        <is>
          <t>Algorithms</t>
        </is>
      </c>
      <c r="O9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23" s="11" t="inlineStr">
        <is>
          <t>To Do</t>
        </is>
      </c>
    </row>
    <row r="924" ht="15.75" customHeight="1" s="12">
      <c r="A924" s="1" t="n">
        <v>937</v>
      </c>
      <c r="B924" s="3">
        <f>HYPERLINK("https://leetcode.com/problems/reorder-data-in-log-files/", "Reorder Data in Log Files")</f>
        <v/>
      </c>
      <c r="C924" s="1" t="n">
        <v>2198</v>
      </c>
      <c r="D924" s="1" t="n">
        <v>4424</v>
      </c>
      <c r="E924" s="4">
        <f>IF(INDEX(C:C, ROW())+INDEX(D:D, ROW())=0, 0, INDEX(C:C, ROW())/(INDEX(C:C, ROW())+INDEX(D:D, ROW())))</f>
        <v/>
      </c>
      <c r="F924" s="1" t="inlineStr">
        <is>
          <t>Array, String, Sorting</t>
        </is>
      </c>
      <c r="G924" s="1" t="inlineStr">
        <is>
          <t>Medium</t>
        </is>
      </c>
      <c r="H924" s="1" t="n">
        <v>412125</v>
      </c>
      <c r="I924" s="1" t="n">
        <v>725337</v>
      </c>
      <c r="J924" s="9" t="n">
        <v>0.5679999999999999</v>
      </c>
      <c r="K924" s="1" t="inlineStr">
        <is>
          <t>Yes</t>
        </is>
      </c>
      <c r="L924" s="1" t="inlineStr">
        <is>
          <t>Yes</t>
        </is>
      </c>
      <c r="M924" s="1" t="inlineStr">
        <is>
          <t>No</t>
        </is>
      </c>
      <c r="N924" s="1" t="inlineStr">
        <is>
          <t>Algorithms</t>
        </is>
      </c>
      <c r="O9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24" s="11" t="inlineStr">
        <is>
          <t>To Do</t>
        </is>
      </c>
    </row>
    <row r="925" ht="15.75" customHeight="1" s="12">
      <c r="A925" s="1" t="n">
        <v>642</v>
      </c>
      <c r="B925" s="3">
        <f>HYPERLINK("https://leetcode.com/problems/design-search-autocomplete-system/", "Design Search Autocomplete System")</f>
        <v/>
      </c>
      <c r="C925" s="1" t="n">
        <v>2187</v>
      </c>
      <c r="D925" s="1" t="n">
        <v>204</v>
      </c>
      <c r="E925" s="4">
        <f>IF(INDEX(C:C, ROW())+INDEX(D:D, ROW())=0, 0, INDEX(C:C, ROW())/(INDEX(C:C, ROW())+INDEX(D:D, ROW())))</f>
        <v/>
      </c>
      <c r="F925" s="1" t="inlineStr">
        <is>
          <t>String, Depth-First Search, Design, Trie, Sorting, Heap (Priority Queue), Data Stream</t>
        </is>
      </c>
      <c r="G925" s="1" t="inlineStr">
        <is>
          <t>Hard</t>
        </is>
      </c>
      <c r="H925" s="1" t="n">
        <v>168708</v>
      </c>
      <c r="I925" s="1" t="n">
        <v>337813</v>
      </c>
      <c r="J925" s="9" t="n">
        <v>0.499</v>
      </c>
      <c r="K925" s="1" t="inlineStr">
        <is>
          <t>No</t>
        </is>
      </c>
      <c r="L925" s="1" t="inlineStr">
        <is>
          <t>Yes</t>
        </is>
      </c>
      <c r="M925" s="1" t="inlineStr">
        <is>
          <t>No</t>
        </is>
      </c>
      <c r="N925" s="1" t="inlineStr">
        <is>
          <t>Algorithms</t>
        </is>
      </c>
      <c r="O9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25" s="11" t="inlineStr">
        <is>
          <t>To Do</t>
        </is>
      </c>
    </row>
    <row r="926" ht="15.75" customHeight="1" s="12">
      <c r="A926" s="1" t="n">
        <v>1673</v>
      </c>
      <c r="B926" s="3">
        <f>HYPERLINK("https://leetcode.com/problems/find-the-most-competitive-subsequence/", "Find the Most Competitive Subsequence")</f>
        <v/>
      </c>
      <c r="C926" s="1" t="n">
        <v>2185</v>
      </c>
      <c r="D926" s="1" t="n">
        <v>106</v>
      </c>
      <c r="E926" s="4">
        <f>IF(INDEX(C:C, ROW())+INDEX(D:D, ROW())=0, 0, INDEX(C:C, ROW())/(INDEX(C:C, ROW())+INDEX(D:D, ROW())))</f>
        <v/>
      </c>
      <c r="F926" s="1" t="inlineStr">
        <is>
          <t>Array, Stack, Greedy, Monotonic Stack</t>
        </is>
      </c>
      <c r="G926" s="1" t="inlineStr">
        <is>
          <t>Medium</t>
        </is>
      </c>
      <c r="H926" s="1" t="n">
        <v>84895</v>
      </c>
      <c r="I926" s="1" t="n">
        <v>160258</v>
      </c>
      <c r="J926" s="9" t="n">
        <v>0.53</v>
      </c>
      <c r="K926" s="1" t="inlineStr">
        <is>
          <t>Yes</t>
        </is>
      </c>
      <c r="L926" s="1" t="inlineStr">
        <is>
          <t>Yes</t>
        </is>
      </c>
      <c r="M926" s="1" t="inlineStr">
        <is>
          <t>No</t>
        </is>
      </c>
      <c r="N926" s="1" t="inlineStr">
        <is>
          <t>Algorithms</t>
        </is>
      </c>
      <c r="O9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26" s="11" t="inlineStr">
        <is>
          <t>To Do</t>
        </is>
      </c>
    </row>
    <row r="927" ht="15.75" customHeight="1" s="12">
      <c r="A927" s="1" t="n">
        <v>506</v>
      </c>
      <c r="B927" s="3">
        <f>HYPERLINK("https://leetcode.com/problems/relative-ranks/", "Relative Ranks")</f>
        <v/>
      </c>
      <c r="C927" s="1" t="n">
        <v>2181</v>
      </c>
      <c r="D927" s="1" t="n">
        <v>152</v>
      </c>
      <c r="E927" s="4">
        <f>IF(INDEX(C:C, ROW())+INDEX(D:D, ROW())=0, 0, INDEX(C:C, ROW())/(INDEX(C:C, ROW())+INDEX(D:D, ROW())))</f>
        <v/>
      </c>
      <c r="F927" s="1" t="inlineStr">
        <is>
          <t>Array, Sorting, Heap (Priority Queue)</t>
        </is>
      </c>
      <c r="G927" s="1" t="inlineStr">
        <is>
          <t>Easy</t>
        </is>
      </c>
      <c r="H927" s="1" t="n">
        <v>415410</v>
      </c>
      <c r="I927" s="1" t="n">
        <v>556665</v>
      </c>
      <c r="J927" s="9" t="n">
        <v>0.746</v>
      </c>
      <c r="K927" s="1" t="inlineStr">
        <is>
          <t>Yes</t>
        </is>
      </c>
      <c r="L927" s="1" t="inlineStr">
        <is>
          <t>Yes</t>
        </is>
      </c>
      <c r="M927" s="1" t="inlineStr">
        <is>
          <t>No</t>
        </is>
      </c>
      <c r="N927" s="1" t="inlineStr">
        <is>
          <t>Algorithms</t>
        </is>
      </c>
      <c r="O9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27" s="13" t="inlineStr">
        <is>
          <t>Done</t>
        </is>
      </c>
    </row>
    <row r="928" ht="15.75" customHeight="1" s="12">
      <c r="A928" s="1" t="n">
        <v>1352</v>
      </c>
      <c r="B928" s="3">
        <f>HYPERLINK("https://leetcode.com/problems/product-of-the-last-k-numbers/", "Product of the Last K Numbers")</f>
        <v/>
      </c>
      <c r="C928" s="1" t="n">
        <v>2170</v>
      </c>
      <c r="D928" s="1" t="n">
        <v>110</v>
      </c>
      <c r="E928" s="4">
        <f>IF(INDEX(C:C, ROW())+INDEX(D:D, ROW())=0, 0, INDEX(C:C, ROW())/(INDEX(C:C, ROW())+INDEX(D:D, ROW())))</f>
        <v/>
      </c>
      <c r="F928" s="1" t="inlineStr">
        <is>
          <t>Array, Math, Design, Data Stream, Prefix Sum</t>
        </is>
      </c>
      <c r="G928" s="1" t="inlineStr">
        <is>
          <t>Medium</t>
        </is>
      </c>
      <c r="H928" s="1" t="n">
        <v>262388</v>
      </c>
      <c r="I928" s="1" t="n">
        <v>417021</v>
      </c>
      <c r="J928" s="9" t="n">
        <v>0.629</v>
      </c>
      <c r="K928" s="1" t="inlineStr">
        <is>
          <t>Yes</t>
        </is>
      </c>
      <c r="L928" s="1" t="inlineStr">
        <is>
          <t>Yes</t>
        </is>
      </c>
      <c r="M928" s="1" t="inlineStr">
        <is>
          <t>No</t>
        </is>
      </c>
      <c r="N928" s="1" t="inlineStr">
        <is>
          <t>Algorithms</t>
        </is>
      </c>
      <c r="O9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28" s="11" t="inlineStr">
        <is>
          <t>To Do</t>
        </is>
      </c>
    </row>
    <row r="929" ht="15.75" customHeight="1" s="12">
      <c r="A929" s="1" t="n">
        <v>348</v>
      </c>
      <c r="B929" s="3">
        <f>HYPERLINK("https://leetcode.com/problems/design-tic-tac-toe/", "Design Tic-Tac-Toe")</f>
        <v/>
      </c>
      <c r="C929" s="1" t="n">
        <v>2167</v>
      </c>
      <c r="D929" s="1" t="n">
        <v>120</v>
      </c>
      <c r="E929" s="4">
        <f>IF(INDEX(C:C, ROW())+INDEX(D:D, ROW())=0, 0, INDEX(C:C, ROW())/(INDEX(C:C, ROW())+INDEX(D:D, ROW())))</f>
        <v/>
      </c>
      <c r="F929" s="1" t="inlineStr">
        <is>
          <t>Array, Hash Table, Design, Matrix, Simulation</t>
        </is>
      </c>
      <c r="G929" s="1" t="inlineStr">
        <is>
          <t>Medium</t>
        </is>
      </c>
      <c r="H929" s="1" t="n">
        <v>316161</v>
      </c>
      <c r="I929" s="1" t="n">
        <v>538146</v>
      </c>
      <c r="J929" s="9" t="n">
        <v>0.588</v>
      </c>
      <c r="K929" s="1" t="inlineStr">
        <is>
          <t>No</t>
        </is>
      </c>
      <c r="L929" s="1" t="inlineStr">
        <is>
          <t>Yes</t>
        </is>
      </c>
      <c r="M929" s="1" t="inlineStr">
        <is>
          <t>No</t>
        </is>
      </c>
      <c r="N929" s="1" t="inlineStr">
        <is>
          <t>Algorithms</t>
        </is>
      </c>
      <c r="O9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29" s="11" t="inlineStr">
        <is>
          <t>To Do</t>
        </is>
      </c>
    </row>
    <row r="930" ht="15.75" customHeight="1" s="12">
      <c r="A930" s="1" t="n">
        <v>1458</v>
      </c>
      <c r="B930" s="3">
        <f>HYPERLINK("https://leetcode.com/problems/max-dot-product-of-two-subsequences/", "Max Dot Product of Two Subsequences")</f>
        <v/>
      </c>
      <c r="C930" s="1" t="n">
        <v>2162</v>
      </c>
      <c r="D930" s="1" t="n">
        <v>51</v>
      </c>
      <c r="E930" s="4">
        <f>IF(INDEX(C:C, ROW())+INDEX(D:D, ROW())=0, 0, INDEX(C:C, ROW())/(INDEX(C:C, ROW())+INDEX(D:D, ROW())))</f>
        <v/>
      </c>
      <c r="F930" s="1" t="inlineStr">
        <is>
          <t>Array, Dynamic Programming</t>
        </is>
      </c>
      <c r="G930" s="1" t="inlineStr">
        <is>
          <t>Hard</t>
        </is>
      </c>
      <c r="H930" s="1" t="n">
        <v>186211</v>
      </c>
      <c r="I930" s="1" t="n">
        <v>268537</v>
      </c>
      <c r="J930" s="9" t="n">
        <v>0.6929999999999999</v>
      </c>
      <c r="K930" s="1" t="inlineStr">
        <is>
          <t>Yes</t>
        </is>
      </c>
      <c r="L930" s="1" t="inlineStr">
        <is>
          <t>Yes</t>
        </is>
      </c>
      <c r="M930" s="1" t="inlineStr">
        <is>
          <t>No</t>
        </is>
      </c>
      <c r="N930" s="1" t="inlineStr">
        <is>
          <t>Algorithms</t>
        </is>
      </c>
      <c r="O9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30" s="11" t="inlineStr">
        <is>
          <t>To Do</t>
        </is>
      </c>
    </row>
    <row r="931" ht="15.75" customHeight="1" s="12">
      <c r="A931" s="1" t="n">
        <v>1526</v>
      </c>
      <c r="B931" s="3">
        <f>HYPERLINK("https://leetcode.com/problems/minimum-number-of-increments-on-subarrays-to-form-a-target-array/", "Minimum Number of Increments on Subarrays to Form a Target Array")</f>
        <v/>
      </c>
      <c r="C931" s="1" t="n">
        <v>2153</v>
      </c>
      <c r="D931" s="1" t="n">
        <v>108</v>
      </c>
      <c r="E931" s="4">
        <f>IF(INDEX(C:C, ROW())+INDEX(D:D, ROW())=0, 0, INDEX(C:C, ROW())/(INDEX(C:C, ROW())+INDEX(D:D, ROW())))</f>
        <v/>
      </c>
      <c r="F931" s="1" t="inlineStr">
        <is>
          <t>Array, Dynamic Programming, Stack, Greedy, Monotonic Stack</t>
        </is>
      </c>
      <c r="G931" s="1" t="inlineStr">
        <is>
          <t>Hard</t>
        </is>
      </c>
      <c r="H931" s="1" t="n">
        <v>154881</v>
      </c>
      <c r="I931" s="1" t="n">
        <v>198115</v>
      </c>
      <c r="J931" s="9" t="n">
        <v>0.782</v>
      </c>
      <c r="K931" s="1" t="inlineStr">
        <is>
          <t>Yes</t>
        </is>
      </c>
      <c r="L931" s="1" t="inlineStr">
        <is>
          <t>Yes</t>
        </is>
      </c>
      <c r="M931" s="1" t="inlineStr">
        <is>
          <t>No</t>
        </is>
      </c>
      <c r="N931" s="1" t="inlineStr">
        <is>
          <t>Algorithms</t>
        </is>
      </c>
      <c r="O9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31" s="11" t="inlineStr">
        <is>
          <t>To Do</t>
        </is>
      </c>
    </row>
    <row r="932" ht="15.75" customHeight="1" s="12">
      <c r="A932" s="1" t="n">
        <v>223</v>
      </c>
      <c r="B932" s="3">
        <f>HYPERLINK("https://leetcode.com/problems/rectangle-area/", "Rectangle Area")</f>
        <v/>
      </c>
      <c r="C932" s="1" t="n">
        <v>2152</v>
      </c>
      <c r="D932" s="1" t="n">
        <v>1670</v>
      </c>
      <c r="E932" s="4">
        <f>IF(INDEX(C:C, ROW())+INDEX(D:D, ROW())=0, 0, INDEX(C:C, ROW())/(INDEX(C:C, ROW())+INDEX(D:D, ROW())))</f>
        <v/>
      </c>
      <c r="F932" s="1" t="inlineStr">
        <is>
          <t>Math, Geometry</t>
        </is>
      </c>
      <c r="G932" s="1" t="inlineStr">
        <is>
          <t>Medium</t>
        </is>
      </c>
      <c r="H932" s="1" t="n">
        <v>287391</v>
      </c>
      <c r="I932" s="1" t="n">
        <v>580519</v>
      </c>
      <c r="J932" s="9" t="n">
        <v>0.495</v>
      </c>
      <c r="K932" s="1" t="inlineStr">
        <is>
          <t>Yes</t>
        </is>
      </c>
      <c r="L932" s="1" t="inlineStr">
        <is>
          <t>Yes</t>
        </is>
      </c>
      <c r="M932" s="1" t="inlineStr">
        <is>
          <t>No</t>
        </is>
      </c>
      <c r="N932" s="1" t="inlineStr">
        <is>
          <t>Algorithms</t>
        </is>
      </c>
      <c r="O9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32" s="11" t="inlineStr">
        <is>
          <t>To Do</t>
        </is>
      </c>
    </row>
    <row r="933" ht="15.75" customHeight="1" s="12">
      <c r="A933" s="1" t="n">
        <v>2235</v>
      </c>
      <c r="B933" s="3">
        <f>HYPERLINK("https://leetcode.com/problems/add-two-integers/", "Add Two Integers")</f>
        <v/>
      </c>
      <c r="C933" s="1" t="n">
        <v>2152</v>
      </c>
      <c r="D933" s="1" t="n">
        <v>3227</v>
      </c>
      <c r="E933" s="4">
        <f>IF(INDEX(C:C, ROW())+INDEX(D:D, ROW())=0, 0, INDEX(C:C, ROW())/(INDEX(C:C, ROW())+INDEX(D:D, ROW())))</f>
        <v/>
      </c>
      <c r="F933" s="1" t="inlineStr">
        <is>
          <t>Math</t>
        </is>
      </c>
      <c r="G933" s="1" t="inlineStr">
        <is>
          <t>Easy</t>
        </is>
      </c>
      <c r="H933" s="1" t="n">
        <v>890648</v>
      </c>
      <c r="I933" s="1" t="n">
        <v>1012618</v>
      </c>
      <c r="J933" s="9" t="n">
        <v>0.88</v>
      </c>
      <c r="K933" s="1" t="inlineStr">
        <is>
          <t>Yes</t>
        </is>
      </c>
      <c r="L933" s="1" t="inlineStr">
        <is>
          <t>No</t>
        </is>
      </c>
      <c r="M933" s="1" t="inlineStr">
        <is>
          <t>No</t>
        </is>
      </c>
      <c r="N933" s="1" t="inlineStr">
        <is>
          <t>Algorithms</t>
        </is>
      </c>
      <c r="O9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33" s="13" t="inlineStr">
        <is>
          <t>Done</t>
        </is>
      </c>
    </row>
    <row r="934" ht="15.75" customHeight="1" s="12">
      <c r="A934" s="1" t="n">
        <v>1488</v>
      </c>
      <c r="B934" s="3">
        <f>HYPERLINK("https://leetcode.com/problems/avoid-flood-in-the-city/", "Avoid Flood in The City")</f>
        <v/>
      </c>
      <c r="C934" s="1" t="n">
        <v>2151</v>
      </c>
      <c r="D934" s="1" t="n">
        <v>621</v>
      </c>
      <c r="E934" s="4">
        <f>IF(INDEX(C:C, ROW())+INDEX(D:D, ROW())=0, 0, INDEX(C:C, ROW())/(INDEX(C:C, ROW())+INDEX(D:D, ROW())))</f>
        <v/>
      </c>
      <c r="F934" s="1" t="inlineStr">
        <is>
          <t>Array, Hash Table, Binary Search, Greedy, Heap (Priority Queue)</t>
        </is>
      </c>
      <c r="G934" s="1" t="inlineStr">
        <is>
          <t>Medium</t>
        </is>
      </c>
      <c r="H934" s="1" t="n">
        <v>134175</v>
      </c>
      <c r="I934" s="1" t="n">
        <v>344228</v>
      </c>
      <c r="J934" s="9" t="n">
        <v>0.39</v>
      </c>
      <c r="K934" s="1" t="inlineStr">
        <is>
          <t>Yes</t>
        </is>
      </c>
      <c r="L934" s="1" t="inlineStr">
        <is>
          <t>Yes</t>
        </is>
      </c>
      <c r="M934" s="1" t="inlineStr">
        <is>
          <t>No</t>
        </is>
      </c>
      <c r="N934" s="1" t="inlineStr">
        <is>
          <t>Algorithms</t>
        </is>
      </c>
      <c r="O9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34" s="11" t="inlineStr">
        <is>
          <t>To Do</t>
        </is>
      </c>
    </row>
    <row r="935" ht="15.75" customHeight="1" s="12">
      <c r="A935" s="1" t="n">
        <v>2389</v>
      </c>
      <c r="B935" s="3">
        <f>HYPERLINK("https://leetcode.com/problems/longest-subsequence-with-limited-sum/", "Longest Subsequence With Limited Sum")</f>
        <v/>
      </c>
      <c r="C935" s="1" t="n">
        <v>2151</v>
      </c>
      <c r="D935" s="1" t="n">
        <v>198</v>
      </c>
      <c r="E935" s="4">
        <f>IF(INDEX(C:C, ROW())+INDEX(D:D, ROW())=0, 0, INDEX(C:C, ROW())/(INDEX(C:C, ROW())+INDEX(D:D, ROW())))</f>
        <v/>
      </c>
      <c r="F935" s="1" t="inlineStr">
        <is>
          <t>Array, Binary Search, Greedy, Sorting, Prefix Sum</t>
        </is>
      </c>
      <c r="G935" s="1" t="inlineStr">
        <is>
          <t>Easy</t>
        </is>
      </c>
      <c r="H935" s="1" t="n">
        <v>166882</v>
      </c>
      <c r="I935" s="1" t="n">
        <v>226878</v>
      </c>
      <c r="J935" s="9" t="n">
        <v>0.736</v>
      </c>
      <c r="K935" s="1" t="inlineStr">
        <is>
          <t>Yes</t>
        </is>
      </c>
      <c r="L935" s="1" t="inlineStr">
        <is>
          <t>Yes</t>
        </is>
      </c>
      <c r="M935" s="1" t="inlineStr">
        <is>
          <t>No</t>
        </is>
      </c>
      <c r="N935" s="1" t="inlineStr">
        <is>
          <t>Algorithms</t>
        </is>
      </c>
      <c r="O9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35" s="13" t="inlineStr">
        <is>
          <t>Done</t>
        </is>
      </c>
    </row>
    <row r="936" ht="15.75" customHeight="1" s="12">
      <c r="A936" s="1" t="n">
        <v>781</v>
      </c>
      <c r="B936" s="3">
        <f>HYPERLINK("https://leetcode.com/problems/rabbits-in-forest/", "Rabbits in Forest")</f>
        <v/>
      </c>
      <c r="C936" s="1" t="n">
        <v>2147</v>
      </c>
      <c r="D936" s="1" t="n">
        <v>992</v>
      </c>
      <c r="E936" s="4">
        <f>IF(INDEX(C:C, ROW())+INDEX(D:D, ROW())=0, 0, INDEX(C:C, ROW())/(INDEX(C:C, ROW())+INDEX(D:D, ROW())))</f>
        <v/>
      </c>
      <c r="F936" s="1" t="inlineStr">
        <is>
          <t>Array, Hash Table, Math, Greedy</t>
        </is>
      </c>
      <c r="G936" s="1" t="inlineStr">
        <is>
          <t>Medium</t>
        </is>
      </c>
      <c r="H936" s="1" t="n">
        <v>188634</v>
      </c>
      <c r="I936" s="1" t="n">
        <v>324939</v>
      </c>
      <c r="J936" s="9" t="n">
        <v>0.581</v>
      </c>
      <c r="K936" s="1" t="inlineStr">
        <is>
          <t>Yes</t>
        </is>
      </c>
      <c r="L936" s="1" t="inlineStr">
        <is>
          <t>Yes</t>
        </is>
      </c>
      <c r="M936" s="1" t="inlineStr">
        <is>
          <t>No</t>
        </is>
      </c>
      <c r="N936" s="1" t="inlineStr">
        <is>
          <t>Algorithms</t>
        </is>
      </c>
      <c r="O9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36" s="11" t="inlineStr">
        <is>
          <t>To Do</t>
        </is>
      </c>
    </row>
    <row r="937" ht="15.75" customHeight="1" s="12">
      <c r="A937" s="1" t="n">
        <v>1318</v>
      </c>
      <c r="B937" s="3">
        <f>HYPERLINK("https://leetcode.com/problems/minimum-flips-to-make-a-or-b-equal-to-c/", "Minimum Flips to Make a OR b Equal to c")</f>
        <v/>
      </c>
      <c r="C937" s="1" t="n">
        <v>2146</v>
      </c>
      <c r="D937" s="1" t="n">
        <v>112</v>
      </c>
      <c r="E937" s="4">
        <f>IF(INDEX(C:C, ROW())+INDEX(D:D, ROW())=0, 0, INDEX(C:C, ROW())/(INDEX(C:C, ROW())+INDEX(D:D, ROW())))</f>
        <v/>
      </c>
      <c r="F937" s="1" t="inlineStr">
        <is>
          <t>Bit Manipulation</t>
        </is>
      </c>
      <c r="G937" s="1" t="inlineStr">
        <is>
          <t>Medium</t>
        </is>
      </c>
      <c r="H937" s="1" t="n">
        <v>198970</v>
      </c>
      <c r="I937" s="1" t="n">
        <v>276429</v>
      </c>
      <c r="J937" s="9" t="n">
        <v>0.72</v>
      </c>
      <c r="K937" s="1" t="inlineStr">
        <is>
          <t>Yes</t>
        </is>
      </c>
      <c r="L937" s="1" t="inlineStr">
        <is>
          <t>Yes</t>
        </is>
      </c>
      <c r="M937" s="1" t="inlineStr">
        <is>
          <t>No</t>
        </is>
      </c>
      <c r="N937" s="1" t="inlineStr">
        <is>
          <t>Algorithms</t>
        </is>
      </c>
      <c r="O9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37" s="11" t="inlineStr">
        <is>
          <t>To Do</t>
        </is>
      </c>
    </row>
    <row r="938" ht="15.75" customHeight="1" s="12">
      <c r="A938" s="1" t="n">
        <v>362</v>
      </c>
      <c r="B938" s="3">
        <f>HYPERLINK("https://leetcode.com/problems/design-hit-counter/", "Design Hit Counter")</f>
        <v/>
      </c>
      <c r="C938" s="1" t="n">
        <v>2145</v>
      </c>
      <c r="D938" s="1" t="n">
        <v>257</v>
      </c>
      <c r="E938" s="4">
        <f>IF(INDEX(C:C, ROW())+INDEX(D:D, ROW())=0, 0, INDEX(C:C, ROW())/(INDEX(C:C, ROW())+INDEX(D:D, ROW())))</f>
        <v/>
      </c>
      <c r="F938" s="1" t="inlineStr">
        <is>
          <t>Array, Binary Search, Design, Queue, Data Stream</t>
        </is>
      </c>
      <c r="G938" s="1" t="inlineStr">
        <is>
          <t>Medium</t>
        </is>
      </c>
      <c r="H938" s="1" t="n">
        <v>336657</v>
      </c>
      <c r="I938" s="1" t="n">
        <v>483087</v>
      </c>
      <c r="J938" s="9" t="n">
        <v>0.697</v>
      </c>
      <c r="K938" s="1" t="inlineStr">
        <is>
          <t>No</t>
        </is>
      </c>
      <c r="L938" s="1" t="inlineStr">
        <is>
          <t>Yes</t>
        </is>
      </c>
      <c r="M938" s="1" t="inlineStr">
        <is>
          <t>No</t>
        </is>
      </c>
      <c r="N938" s="1" t="inlineStr">
        <is>
          <t>Algorithms</t>
        </is>
      </c>
      <c r="O9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38" s="11" t="inlineStr">
        <is>
          <t>To Do</t>
        </is>
      </c>
    </row>
    <row r="939" ht="15.75" customHeight="1" s="12">
      <c r="A939" s="1" t="n">
        <v>786</v>
      </c>
      <c r="B939" s="3">
        <f>HYPERLINK("https://leetcode.com/problems/k-th-smallest-prime-fraction/", "K-th Smallest Prime Fraction")</f>
        <v/>
      </c>
      <c r="C939" s="1" t="n">
        <v>2144</v>
      </c>
      <c r="D939" s="1" t="n">
        <v>121</v>
      </c>
      <c r="E939" s="4">
        <f>IF(INDEX(C:C, ROW())+INDEX(D:D, ROW())=0, 0, INDEX(C:C, ROW())/(INDEX(C:C, ROW())+INDEX(D:D, ROW())))</f>
        <v/>
      </c>
      <c r="F939" s="1" t="inlineStr">
        <is>
          <t>Array, Two Pointers, Binary Search, Sorting, Heap (Priority Queue)</t>
        </is>
      </c>
      <c r="G939" s="1" t="inlineStr">
        <is>
          <t>Medium</t>
        </is>
      </c>
      <c r="H939" s="1" t="n">
        <v>173179</v>
      </c>
      <c r="I939" s="1" t="n">
        <v>250894</v>
      </c>
      <c r="J939" s="9" t="n">
        <v>0.6899999999999999</v>
      </c>
      <c r="K939" s="1" t="inlineStr">
        <is>
          <t>Yes</t>
        </is>
      </c>
      <c r="L939" s="1" t="inlineStr">
        <is>
          <t>Yes</t>
        </is>
      </c>
      <c r="M939" s="1" t="inlineStr">
        <is>
          <t>No</t>
        </is>
      </c>
      <c r="N939" s="1" t="inlineStr">
        <is>
          <t>Algorithms</t>
        </is>
      </c>
      <c r="O9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39" s="11" t="inlineStr">
        <is>
          <t>To Do</t>
        </is>
      </c>
    </row>
    <row r="940" ht="15.75" customHeight="1" s="12">
      <c r="A940" s="1" t="n">
        <v>1462</v>
      </c>
      <c r="B940" s="3">
        <f>HYPERLINK("https://leetcode.com/problems/course-schedule-iv/", "Course Schedule IV")</f>
        <v/>
      </c>
      <c r="C940" s="1" t="n">
        <v>2144</v>
      </c>
      <c r="D940" s="1" t="n">
        <v>94</v>
      </c>
      <c r="E940" s="4">
        <f>IF(INDEX(C:C, ROW())+INDEX(D:D, ROW())=0, 0, INDEX(C:C, ROW())/(INDEX(C:C, ROW())+INDEX(D:D, ROW())))</f>
        <v/>
      </c>
      <c r="F940" s="1" t="inlineStr">
        <is>
          <t>Depth-First Search, Breadth-First Search, Graph Theory, Topological Sort</t>
        </is>
      </c>
      <c r="G940" s="1" t="inlineStr">
        <is>
          <t>Medium</t>
        </is>
      </c>
      <c r="H940" s="1" t="n">
        <v>205701</v>
      </c>
      <c r="I940" s="1" t="n">
        <v>343677</v>
      </c>
      <c r="J940" s="9" t="n">
        <v>0.599</v>
      </c>
      <c r="K940" s="1" t="inlineStr">
        <is>
          <t>Yes</t>
        </is>
      </c>
      <c r="L940" s="1" t="inlineStr">
        <is>
          <t>Yes</t>
        </is>
      </c>
      <c r="M940" s="1" t="inlineStr">
        <is>
          <t>No</t>
        </is>
      </c>
      <c r="N940" s="1" t="inlineStr">
        <is>
          <t>Algorithms</t>
        </is>
      </c>
      <c r="O9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40" s="11" t="inlineStr">
        <is>
          <t>To Do</t>
        </is>
      </c>
    </row>
    <row r="941" ht="15.75" customHeight="1" s="12">
      <c r="A941" s="1" t="n">
        <v>985</v>
      </c>
      <c r="B941" s="3">
        <f>HYPERLINK("https://leetcode.com/problems/sum-of-even-numbers-after-queries/", "Sum of Even Numbers After Queries")</f>
        <v/>
      </c>
      <c r="C941" s="1" t="n">
        <v>2141</v>
      </c>
      <c r="D941" s="1" t="n">
        <v>323</v>
      </c>
      <c r="E941" s="4">
        <f>IF(INDEX(C:C, ROW())+INDEX(D:D, ROW())=0, 0, INDEX(C:C, ROW())/(INDEX(C:C, ROW())+INDEX(D:D, ROW())))</f>
        <v/>
      </c>
      <c r="F941" s="1" t="inlineStr">
        <is>
          <t>Array, Simulation</t>
        </is>
      </c>
      <c r="G941" s="1" t="inlineStr">
        <is>
          <t>Medium</t>
        </is>
      </c>
      <c r="H941" s="1" t="n">
        <v>156154</v>
      </c>
      <c r="I941" s="1" t="n">
        <v>226817</v>
      </c>
      <c r="J941" s="9" t="n">
        <v>0.6879999999999999</v>
      </c>
      <c r="K941" s="1" t="inlineStr">
        <is>
          <t>Yes</t>
        </is>
      </c>
      <c r="L941" s="1" t="inlineStr">
        <is>
          <t>Yes</t>
        </is>
      </c>
      <c r="M941" s="1" t="inlineStr">
        <is>
          <t>No</t>
        </is>
      </c>
      <c r="N941" s="1" t="inlineStr">
        <is>
          <t>Algorithms</t>
        </is>
      </c>
      <c r="O9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41" s="11" t="inlineStr">
        <is>
          <t>To Do</t>
        </is>
      </c>
    </row>
    <row r="942" ht="15.75" customHeight="1" s="12">
      <c r="A942" s="1" t="n">
        <v>535</v>
      </c>
      <c r="B942" s="3">
        <f>HYPERLINK("https://leetcode.com/problems/encode-and-decode-tinyurl/", "Encode and Decode TinyURL")</f>
        <v/>
      </c>
      <c r="C942" s="1" t="n">
        <v>2138</v>
      </c>
      <c r="D942" s="1" t="n">
        <v>3819</v>
      </c>
      <c r="E942" s="4">
        <f>IF(INDEX(C:C, ROW())+INDEX(D:D, ROW())=0, 0, INDEX(C:C, ROW())/(INDEX(C:C, ROW())+INDEX(D:D, ROW())))</f>
        <v/>
      </c>
      <c r="F942" s="1" t="inlineStr">
        <is>
          <t>Hash Table, String, Design, Hash Function</t>
        </is>
      </c>
      <c r="G942" s="1" t="inlineStr">
        <is>
          <t>Medium</t>
        </is>
      </c>
      <c r="H942" s="1" t="n">
        <v>311193</v>
      </c>
      <c r="I942" s="1" t="n">
        <v>359220</v>
      </c>
      <c r="J942" s="9" t="n">
        <v>0.866</v>
      </c>
      <c r="K942" s="1" t="inlineStr">
        <is>
          <t>Yes</t>
        </is>
      </c>
      <c r="L942" s="1" t="inlineStr">
        <is>
          <t>Yes</t>
        </is>
      </c>
      <c r="M942" s="1" t="inlineStr">
        <is>
          <t>No</t>
        </is>
      </c>
      <c r="N942" s="1" t="inlineStr">
        <is>
          <t>Algorithms</t>
        </is>
      </c>
      <c r="O9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42" s="11" t="inlineStr">
        <is>
          <t>To Do</t>
        </is>
      </c>
    </row>
    <row r="943" ht="15.75" customHeight="1" s="12">
      <c r="A943" s="1" t="n">
        <v>321</v>
      </c>
      <c r="B943" s="3">
        <f>HYPERLINK("https://leetcode.com/problems/create-maximum-number/", "Create Maximum Number")</f>
        <v/>
      </c>
      <c r="C943" s="1" t="n">
        <v>2136</v>
      </c>
      <c r="D943" s="1" t="n">
        <v>375</v>
      </c>
      <c r="E943" s="4">
        <f>IF(INDEX(C:C, ROW())+INDEX(D:D, ROW())=0, 0, INDEX(C:C, ROW())/(INDEX(C:C, ROW())+INDEX(D:D, ROW())))</f>
        <v/>
      </c>
      <c r="F943" s="1" t="inlineStr">
        <is>
          <t>Array, Two Pointers, Stack, Greedy, Monotonic Stack</t>
        </is>
      </c>
      <c r="G943" s="1" t="inlineStr">
        <is>
          <t>Hard</t>
        </is>
      </c>
      <c r="H943" s="1" t="n">
        <v>86573</v>
      </c>
      <c r="I943" s="1" t="n">
        <v>244945</v>
      </c>
      <c r="J943" s="9" t="n">
        <v>0.353</v>
      </c>
      <c r="K943" s="1" t="inlineStr">
        <is>
          <t>Yes</t>
        </is>
      </c>
      <c r="L943" s="1" t="inlineStr">
        <is>
          <t>No</t>
        </is>
      </c>
      <c r="M943" s="1" t="inlineStr">
        <is>
          <t>No</t>
        </is>
      </c>
      <c r="N943" s="1" t="inlineStr">
        <is>
          <t>Algorithms</t>
        </is>
      </c>
      <c r="O9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43" s="11" t="inlineStr">
        <is>
          <t>To Do</t>
        </is>
      </c>
    </row>
    <row r="944" ht="15.75" customHeight="1" s="12">
      <c r="A944" s="1" t="n">
        <v>1473</v>
      </c>
      <c r="B944" s="3">
        <f>HYPERLINK("https://leetcode.com/problems/paint-house-iii/", "Paint House III")</f>
        <v/>
      </c>
      <c r="C944" s="1" t="n">
        <v>2136</v>
      </c>
      <c r="D944" s="1" t="n">
        <v>156</v>
      </c>
      <c r="E944" s="4">
        <f>IF(INDEX(C:C, ROW())+INDEX(D:D, ROW())=0, 0, INDEX(C:C, ROW())/(INDEX(C:C, ROW())+INDEX(D:D, ROW())))</f>
        <v/>
      </c>
      <c r="F944" s="1" t="inlineStr">
        <is>
          <t>Array, Dynamic Programming</t>
        </is>
      </c>
      <c r="G944" s="1" t="inlineStr">
        <is>
          <t>Hard</t>
        </is>
      </c>
      <c r="H944" s="1" t="n">
        <v>72938</v>
      </c>
      <c r="I944" s="1" t="n">
        <v>119222</v>
      </c>
      <c r="J944" s="9" t="n">
        <v>0.612</v>
      </c>
      <c r="K944" s="1" t="inlineStr">
        <is>
          <t>Yes</t>
        </is>
      </c>
      <c r="L944" s="1" t="inlineStr">
        <is>
          <t>Yes</t>
        </is>
      </c>
      <c r="M944" s="1" t="inlineStr">
        <is>
          <t>No</t>
        </is>
      </c>
      <c r="N944" s="1" t="inlineStr">
        <is>
          <t>Algorithms</t>
        </is>
      </c>
      <c r="O9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44" s="11" t="inlineStr">
        <is>
          <t>To Do</t>
        </is>
      </c>
    </row>
    <row r="945" ht="15.75" customHeight="1" s="12">
      <c r="A945" s="1" t="n">
        <v>1354</v>
      </c>
      <c r="B945" s="3">
        <f>HYPERLINK("https://leetcode.com/problems/construct-target-array-with-multiple-sums/", "Construct Target Array With Multiple Sums")</f>
        <v/>
      </c>
      <c r="C945" s="1" t="n">
        <v>2129</v>
      </c>
      <c r="D945" s="1" t="n">
        <v>180</v>
      </c>
      <c r="E945" s="4">
        <f>IF(INDEX(C:C, ROW())+INDEX(D:D, ROW())=0, 0, INDEX(C:C, ROW())/(INDEX(C:C, ROW())+INDEX(D:D, ROW())))</f>
        <v/>
      </c>
      <c r="F945" s="1" t="inlineStr">
        <is>
          <t>Array, Heap (Priority Queue)</t>
        </is>
      </c>
      <c r="G945" s="1" t="inlineStr">
        <is>
          <t>Hard</t>
        </is>
      </c>
      <c r="H945" s="1" t="n">
        <v>85193</v>
      </c>
      <c r="I945" s="1" t="n">
        <v>230436</v>
      </c>
      <c r="J945" s="9" t="n">
        <v>0.37</v>
      </c>
      <c r="K945" s="1" t="inlineStr">
        <is>
          <t>Yes</t>
        </is>
      </c>
      <c r="L945" s="1" t="inlineStr">
        <is>
          <t>Yes</t>
        </is>
      </c>
      <c r="M945" s="1" t="inlineStr">
        <is>
          <t>No</t>
        </is>
      </c>
      <c r="N945" s="1" t="inlineStr">
        <is>
          <t>Algorithms</t>
        </is>
      </c>
      <c r="O9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45" s="11" t="inlineStr">
        <is>
          <t>To Do</t>
        </is>
      </c>
    </row>
    <row r="946" ht="15.75" customHeight="1" s="12">
      <c r="A946" s="1" t="n">
        <v>252</v>
      </c>
      <c r="B946" s="3">
        <f>HYPERLINK("https://leetcode.com/problems/meeting-rooms/", "Meeting Rooms")</f>
        <v/>
      </c>
      <c r="C946" s="1" t="n">
        <v>2127</v>
      </c>
      <c r="D946" s="1" t="n">
        <v>117</v>
      </c>
      <c r="E946" s="4">
        <f>IF(INDEX(C:C, ROW())+INDEX(D:D, ROW())=0, 0, INDEX(C:C, ROW())/(INDEX(C:C, ROW())+INDEX(D:D, ROW())))</f>
        <v/>
      </c>
      <c r="F946" s="1" t="inlineStr">
        <is>
          <t>Array, Sorting</t>
        </is>
      </c>
      <c r="G946" s="1" t="inlineStr">
        <is>
          <t>Easy</t>
        </is>
      </c>
      <c r="H946" s="1" t="n">
        <v>519604</v>
      </c>
      <c r="I946" s="1" t="n">
        <v>874345</v>
      </c>
      <c r="J946" s="9" t="n">
        <v>0.594</v>
      </c>
      <c r="K946" s="1" t="inlineStr">
        <is>
          <t>No</t>
        </is>
      </c>
      <c r="L946" s="1" t="inlineStr">
        <is>
          <t>Yes</t>
        </is>
      </c>
      <c r="M946" s="1" t="inlineStr">
        <is>
          <t>Yes</t>
        </is>
      </c>
      <c r="N946" s="1" t="inlineStr">
        <is>
          <t>Algorithms</t>
        </is>
      </c>
      <c r="O9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46" s="13" t="inlineStr">
        <is>
          <t>Done</t>
        </is>
      </c>
    </row>
    <row r="947" ht="15.75" customHeight="1" s="12">
      <c r="A947" s="1" t="n">
        <v>325</v>
      </c>
      <c r="B947" s="3">
        <f>HYPERLINK("https://leetcode.com/problems/maximum-size-subarray-sum-equals-k/", "Maximum Size Subarray Sum Equals k")</f>
        <v/>
      </c>
      <c r="C947" s="1" t="n">
        <v>2127</v>
      </c>
      <c r="D947" s="1" t="n">
        <v>66</v>
      </c>
      <c r="E947" s="4">
        <f>IF(INDEX(C:C, ROW())+INDEX(D:D, ROW())=0, 0, INDEX(C:C, ROW())/(INDEX(C:C, ROW())+INDEX(D:D, ROW())))</f>
        <v/>
      </c>
      <c r="F947" s="1" t="inlineStr">
        <is>
          <t>Array, Hash Table, Prefix Sum</t>
        </is>
      </c>
      <c r="G947" s="1" t="inlineStr">
        <is>
          <t>Medium</t>
        </is>
      </c>
      <c r="H947" s="1" t="n">
        <v>221522</v>
      </c>
      <c r="I947" s="1" t="n">
        <v>435475</v>
      </c>
      <c r="J947" s="9" t="n">
        <v>0.509</v>
      </c>
      <c r="K947" s="1" t="inlineStr">
        <is>
          <t>No</t>
        </is>
      </c>
      <c r="L947" s="1" t="inlineStr">
        <is>
          <t>Yes</t>
        </is>
      </c>
      <c r="M947" s="1" t="inlineStr">
        <is>
          <t>No</t>
        </is>
      </c>
      <c r="N947" s="1" t="inlineStr">
        <is>
          <t>Algorithms</t>
        </is>
      </c>
      <c r="O9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47" s="11" t="inlineStr">
        <is>
          <t>To Do</t>
        </is>
      </c>
    </row>
    <row r="948" ht="15.75" customHeight="1" s="12">
      <c r="A948" s="1" t="n">
        <v>1697</v>
      </c>
      <c r="B948" s="3">
        <f>HYPERLINK("https://leetcode.com/problems/checking-existence-of-edge-length-limited-paths/", "Checking Existence of Edge Length Limited Paths")</f>
        <v/>
      </c>
      <c r="C948" s="1" t="n">
        <v>2126</v>
      </c>
      <c r="D948" s="1" t="n">
        <v>48</v>
      </c>
      <c r="E948" s="4">
        <f>IF(INDEX(C:C, ROW())+INDEX(D:D, ROW())=0, 0, INDEX(C:C, ROW())/(INDEX(C:C, ROW())+INDEX(D:D, ROW())))</f>
        <v/>
      </c>
      <c r="F948" s="1" t="inlineStr">
        <is>
          <t>Array, Two Pointers, Union-Find, Graph Theory, Sorting</t>
        </is>
      </c>
      <c r="G948" s="1" t="inlineStr">
        <is>
          <t>Hard</t>
        </is>
      </c>
      <c r="H948" s="1" t="n">
        <v>61725</v>
      </c>
      <c r="I948" s="1" t="n">
        <v>97562</v>
      </c>
      <c r="J948" s="9" t="n">
        <v>0.633</v>
      </c>
      <c r="K948" s="1" t="inlineStr">
        <is>
          <t>Yes</t>
        </is>
      </c>
      <c r="L948" s="1" t="inlineStr">
        <is>
          <t>Yes</t>
        </is>
      </c>
      <c r="M948" s="1" t="inlineStr">
        <is>
          <t>No</t>
        </is>
      </c>
      <c r="N948" s="1" t="inlineStr">
        <is>
          <t>Algorithms</t>
        </is>
      </c>
      <c r="O9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48" s="11" t="inlineStr">
        <is>
          <t>To Do</t>
        </is>
      </c>
    </row>
    <row r="949" ht="15.75" customHeight="1" s="12">
      <c r="A949" s="1" t="n">
        <v>978</v>
      </c>
      <c r="B949" s="3">
        <f>HYPERLINK("https://leetcode.com/problems/longest-turbulent-subarray/", "Longest Turbulent Subarray")</f>
        <v/>
      </c>
      <c r="C949" s="1" t="n">
        <v>2124</v>
      </c>
      <c r="D949" s="1" t="n">
        <v>262</v>
      </c>
      <c r="E949" s="4">
        <f>IF(INDEX(C:C, ROW())+INDEX(D:D, ROW())=0, 0, INDEX(C:C, ROW())/(INDEX(C:C, ROW())+INDEX(D:D, ROW())))</f>
        <v/>
      </c>
      <c r="F949" s="1" t="inlineStr">
        <is>
          <t>Array, Dynamic Programming, Sliding Window</t>
        </is>
      </c>
      <c r="G949" s="1" t="inlineStr">
        <is>
          <t>Medium</t>
        </is>
      </c>
      <c r="H949" s="1" t="n">
        <v>140023</v>
      </c>
      <c r="I949" s="1" t="n">
        <v>285106</v>
      </c>
      <c r="J949" s="9" t="n">
        <v>0.491</v>
      </c>
      <c r="K949" s="1" t="inlineStr">
        <is>
          <t>Yes</t>
        </is>
      </c>
      <c r="L949" s="1" t="inlineStr">
        <is>
          <t>Yes</t>
        </is>
      </c>
      <c r="M949" s="1" t="inlineStr">
        <is>
          <t>No</t>
        </is>
      </c>
      <c r="N949" s="1" t="inlineStr">
        <is>
          <t>Algorithms</t>
        </is>
      </c>
      <c r="O9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49" s="11" t="inlineStr">
        <is>
          <t>To Do</t>
        </is>
      </c>
    </row>
    <row r="950" ht="15.75" customHeight="1" s="12">
      <c r="A950" s="1" t="n">
        <v>1525</v>
      </c>
      <c r="B950" s="3">
        <f>HYPERLINK("https://leetcode.com/problems/number-of-good-ways-to-split-a-string/", "Number of Good Ways to Split a String")</f>
        <v/>
      </c>
      <c r="C950" s="1" t="n">
        <v>2123</v>
      </c>
      <c r="D950" s="1" t="n">
        <v>54</v>
      </c>
      <c r="E950" s="4">
        <f>IF(INDEX(C:C, ROW())+INDEX(D:D, ROW())=0, 0, INDEX(C:C, ROW())/(INDEX(C:C, ROW())+INDEX(D:D, ROW())))</f>
        <v/>
      </c>
      <c r="F950" s="1" t="inlineStr">
        <is>
          <t>Hash Table, String, Dynamic Programming, Bit Manipulation</t>
        </is>
      </c>
      <c r="G950" s="1" t="inlineStr">
        <is>
          <t>Medium</t>
        </is>
      </c>
      <c r="H950" s="1" t="n">
        <v>124927</v>
      </c>
      <c r="I950" s="1" t="n">
        <v>182555</v>
      </c>
      <c r="J950" s="9" t="n">
        <v>0.6840000000000001</v>
      </c>
      <c r="K950" s="1" t="inlineStr">
        <is>
          <t>Yes</t>
        </is>
      </c>
      <c r="L950" s="1" t="inlineStr">
        <is>
          <t>No</t>
        </is>
      </c>
      <c r="M950" s="1" t="inlineStr">
        <is>
          <t>No</t>
        </is>
      </c>
      <c r="N950" s="1" t="inlineStr">
        <is>
          <t>Algorithms</t>
        </is>
      </c>
      <c r="O9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50" s="11" t="inlineStr">
        <is>
          <t>To Do</t>
        </is>
      </c>
    </row>
    <row r="951" ht="15.75" customHeight="1" s="12">
      <c r="A951" s="1" t="n">
        <v>599</v>
      </c>
      <c r="B951" s="3">
        <f>HYPERLINK("https://leetcode.com/problems/minimum-index-sum-of-two-lists/", "Minimum Index Sum of Two Lists")</f>
        <v/>
      </c>
      <c r="C951" s="1" t="n">
        <v>2120</v>
      </c>
      <c r="D951" s="1" t="n">
        <v>417</v>
      </c>
      <c r="E951" s="4">
        <f>IF(INDEX(C:C, ROW())+INDEX(D:D, ROW())=0, 0, INDEX(C:C, ROW())/(INDEX(C:C, ROW())+INDEX(D:D, ROW())))</f>
        <v/>
      </c>
      <c r="F951" s="1" t="inlineStr">
        <is>
          <t>Array, Hash Table, String</t>
        </is>
      </c>
      <c r="G951" s="1" t="inlineStr">
        <is>
          <t>Easy</t>
        </is>
      </c>
      <c r="H951" s="1" t="n">
        <v>316570</v>
      </c>
      <c r="I951" s="1" t="n">
        <v>529305</v>
      </c>
      <c r="J951" s="9" t="n">
        <v>0.598</v>
      </c>
      <c r="K951" s="1" t="inlineStr">
        <is>
          <t>Yes</t>
        </is>
      </c>
      <c r="L951" s="1" t="inlineStr">
        <is>
          <t>Yes</t>
        </is>
      </c>
      <c r="M951" s="1" t="inlineStr">
        <is>
          <t>No</t>
        </is>
      </c>
      <c r="N951" s="1" t="inlineStr">
        <is>
          <t>Algorithms</t>
        </is>
      </c>
      <c r="O9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51" s="13" t="inlineStr">
        <is>
          <t>Done</t>
        </is>
      </c>
    </row>
    <row r="952" ht="15.75" customHeight="1" s="12">
      <c r="A952" s="1" t="n">
        <v>2328</v>
      </c>
      <c r="B952" s="3">
        <f>HYPERLINK("https://leetcode.com/problems/number-of-increasing-paths-in-a-grid/", "Number of Increasing Paths in a Grid")</f>
        <v/>
      </c>
      <c r="C952" s="1" t="n">
        <v>2118</v>
      </c>
      <c r="D952" s="1" t="n">
        <v>45</v>
      </c>
      <c r="E952" s="4">
        <f>IF(INDEX(C:C, ROW())+INDEX(D:D, ROW())=0, 0, INDEX(C:C, ROW())/(INDEX(C:C, ROW())+INDEX(D:D, ROW())))</f>
        <v/>
      </c>
      <c r="F952" s="1" t="inlineStr">
        <is>
          <t>Array, Dynamic Programming, Depth-First Search, Breadth-First Search, Graph Theory, Topological Sort, Memoization, Matrix</t>
        </is>
      </c>
      <c r="G952" s="1" t="inlineStr">
        <is>
          <t>Hard</t>
        </is>
      </c>
      <c r="H952" s="1" t="n">
        <v>83175</v>
      </c>
      <c r="I952" s="1" t="n">
        <v>145006</v>
      </c>
      <c r="J952" s="9" t="n">
        <v>0.574</v>
      </c>
      <c r="K952" s="1" t="inlineStr">
        <is>
          <t>Yes</t>
        </is>
      </c>
      <c r="L952" s="1" t="inlineStr">
        <is>
          <t>Yes</t>
        </is>
      </c>
      <c r="M952" s="1" t="inlineStr">
        <is>
          <t>No</t>
        </is>
      </c>
      <c r="N952" s="1" t="inlineStr">
        <is>
          <t>Algorithms</t>
        </is>
      </c>
      <c r="O9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52" s="11" t="inlineStr">
        <is>
          <t>To Do</t>
        </is>
      </c>
    </row>
    <row r="953" ht="15.75" customHeight="1" s="12">
      <c r="A953" s="1" t="n">
        <v>975</v>
      </c>
      <c r="B953" s="3">
        <f>HYPERLINK("https://leetcode.com/problems/odd-even-jump/", "Odd Even Jump")</f>
        <v/>
      </c>
      <c r="C953" s="1" t="n">
        <v>2116</v>
      </c>
      <c r="D953" s="1" t="n">
        <v>533</v>
      </c>
      <c r="E953" s="4">
        <f>IF(INDEX(C:C, ROW())+INDEX(D:D, ROW())=0, 0, INDEX(C:C, ROW())/(INDEX(C:C, ROW())+INDEX(D:D, ROW())))</f>
        <v/>
      </c>
      <c r="F953" s="1" t="inlineStr">
        <is>
          <t>Array, Dynamic Programming, Stack, Sorting, Monotonic Stack, Ordered Set</t>
        </is>
      </c>
      <c r="G953" s="1" t="inlineStr">
        <is>
          <t>Hard</t>
        </is>
      </c>
      <c r="H953" s="1" t="n">
        <v>104420</v>
      </c>
      <c r="I953" s="1" t="n">
        <v>253543</v>
      </c>
      <c r="J953" s="9" t="n">
        <v>0.412</v>
      </c>
      <c r="K953" s="1" t="inlineStr">
        <is>
          <t>Yes</t>
        </is>
      </c>
      <c r="L953" s="1" t="inlineStr">
        <is>
          <t>Yes</t>
        </is>
      </c>
      <c r="M953" s="1" t="inlineStr">
        <is>
          <t>No</t>
        </is>
      </c>
      <c r="N953" s="1" t="inlineStr">
        <is>
          <t>Algorithms</t>
        </is>
      </c>
      <c r="O9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53" s="11" t="inlineStr">
        <is>
          <t>To Do</t>
        </is>
      </c>
    </row>
    <row r="954" ht="15.75" customHeight="1" s="12">
      <c r="A954" s="1" t="n">
        <v>196</v>
      </c>
      <c r="B954" s="3">
        <f>HYPERLINK("https://leetcode.com/problems/delete-duplicate-emails/", "Delete Duplicate Emails")</f>
        <v/>
      </c>
      <c r="C954" s="1" t="n">
        <v>2113</v>
      </c>
      <c r="D954" s="1" t="n">
        <v>429</v>
      </c>
      <c r="E954" s="4">
        <f>IF(INDEX(C:C, ROW())+INDEX(D:D, ROW())=0, 0, INDEX(C:C, ROW())/(INDEX(C:C, ROW())+INDEX(D:D, ROW())))</f>
        <v/>
      </c>
      <c r="F954" s="1" t="inlineStr">
        <is>
          <t>Database</t>
        </is>
      </c>
      <c r="G954" s="1" t="inlineStr">
        <is>
          <t>Easy</t>
        </is>
      </c>
      <c r="H954" s="1" t="n">
        <v>973740</v>
      </c>
      <c r="I954" s="1" t="n">
        <v>1476527</v>
      </c>
      <c r="J954" s="9" t="n">
        <v>0.659</v>
      </c>
      <c r="K954" s="1" t="inlineStr">
        <is>
          <t>Yes</t>
        </is>
      </c>
      <c r="L954" s="1" t="inlineStr">
        <is>
          <t>Yes</t>
        </is>
      </c>
      <c r="M954" s="1" t="inlineStr">
        <is>
          <t>No</t>
        </is>
      </c>
      <c r="N954" s="1" t="inlineStr">
        <is>
          <t>Database</t>
        </is>
      </c>
      <c r="O9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54" s="13" t="inlineStr">
        <is>
          <t>Done</t>
        </is>
      </c>
    </row>
    <row r="955" ht="15.75" customHeight="1" s="12">
      <c r="A955" s="1" t="n">
        <v>939</v>
      </c>
      <c r="B955" s="3">
        <f>HYPERLINK("https://leetcode.com/problems/minimum-area-rectangle/", "Minimum Area Rectangle")</f>
        <v/>
      </c>
      <c r="C955" s="1" t="n">
        <v>2110</v>
      </c>
      <c r="D955" s="1" t="n">
        <v>298</v>
      </c>
      <c r="E955" s="4">
        <f>IF(INDEX(C:C, ROW())+INDEX(D:D, ROW())=0, 0, INDEX(C:C, ROW())/(INDEX(C:C, ROW())+INDEX(D:D, ROW())))</f>
        <v/>
      </c>
      <c r="F955" s="1" t="inlineStr">
        <is>
          <t>Array, Hash Table, Math, Geometry, Sorting</t>
        </is>
      </c>
      <c r="G955" s="1" t="inlineStr">
        <is>
          <t>Medium</t>
        </is>
      </c>
      <c r="H955" s="1" t="n">
        <v>179604</v>
      </c>
      <c r="I955" s="1" t="n">
        <v>324121</v>
      </c>
      <c r="J955" s="9" t="n">
        <v>0.554</v>
      </c>
      <c r="K955" s="1" t="inlineStr">
        <is>
          <t>Yes</t>
        </is>
      </c>
      <c r="L955" s="1" t="inlineStr">
        <is>
          <t>Yes</t>
        </is>
      </c>
      <c r="M955" s="1" t="inlineStr">
        <is>
          <t>No</t>
        </is>
      </c>
      <c r="N955" s="1" t="inlineStr">
        <is>
          <t>Algorithms</t>
        </is>
      </c>
      <c r="O9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55" s="11" t="inlineStr">
        <is>
          <t>To Do</t>
        </is>
      </c>
    </row>
    <row r="956" ht="15.75" customHeight="1" s="12">
      <c r="A956" s="1" t="n">
        <v>1310</v>
      </c>
      <c r="B956" s="3">
        <f>HYPERLINK("https://leetcode.com/problems/xor-queries-of-a-subarray/", "XOR Queries of a Subarray")</f>
        <v/>
      </c>
      <c r="C956" s="1" t="n">
        <v>2107</v>
      </c>
      <c r="D956" s="1" t="n">
        <v>61</v>
      </c>
      <c r="E956" s="4">
        <f>IF(INDEX(C:C, ROW())+INDEX(D:D, ROW())=0, 0, INDEX(C:C, ROW())/(INDEX(C:C, ROW())+INDEX(D:D, ROW())))</f>
        <v/>
      </c>
      <c r="F956" s="1" t="inlineStr">
        <is>
          <t>Array, Bit Manipulation, Prefix Sum</t>
        </is>
      </c>
      <c r="G956" s="1" t="inlineStr">
        <is>
          <t>Medium</t>
        </is>
      </c>
      <c r="H956" s="1" t="n">
        <v>218324</v>
      </c>
      <c r="I956" s="1" t="n">
        <v>279680</v>
      </c>
      <c r="J956" s="9" t="n">
        <v>0.781</v>
      </c>
      <c r="K956" s="1" t="inlineStr">
        <is>
          <t>Yes</t>
        </is>
      </c>
      <c r="L956" s="1" t="inlineStr">
        <is>
          <t>Yes</t>
        </is>
      </c>
      <c r="M956" s="1" t="inlineStr">
        <is>
          <t>No</t>
        </is>
      </c>
      <c r="N956" s="1" t="inlineStr">
        <is>
          <t>Algorithms</t>
        </is>
      </c>
      <c r="O9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56" s="11" t="inlineStr">
        <is>
          <t>To Do</t>
        </is>
      </c>
    </row>
    <row r="957" ht="15.75" customHeight="1" s="12">
      <c r="A957" s="1" t="n">
        <v>2359</v>
      </c>
      <c r="B957" s="3">
        <f>HYPERLINK("https://leetcode.com/problems/find-closest-node-to-given-two-nodes/", "Find Closest Node to Given Two Nodes")</f>
        <v/>
      </c>
      <c r="C957" s="1" t="n">
        <v>2105</v>
      </c>
      <c r="D957" s="1" t="n">
        <v>471</v>
      </c>
      <c r="E957" s="4">
        <f>IF(INDEX(C:C, ROW())+INDEX(D:D, ROW())=0, 0, INDEX(C:C, ROW())/(INDEX(C:C, ROW())+INDEX(D:D, ROW())))</f>
        <v/>
      </c>
      <c r="F957" s="1" t="inlineStr">
        <is>
          <t>Depth-First Search, Graph Theory</t>
        </is>
      </c>
      <c r="G957" s="1" t="inlineStr">
        <is>
          <t>Medium</t>
        </is>
      </c>
      <c r="H957" s="1" t="n">
        <v>168883</v>
      </c>
      <c r="I957" s="1" t="n">
        <v>318555</v>
      </c>
      <c r="J957" s="9" t="n">
        <v>0.53</v>
      </c>
      <c r="K957" s="1" t="inlineStr">
        <is>
          <t>Yes</t>
        </is>
      </c>
      <c r="L957" s="1" t="inlineStr">
        <is>
          <t>Yes</t>
        </is>
      </c>
      <c r="M957" s="1" t="inlineStr">
        <is>
          <t>No</t>
        </is>
      </c>
      <c r="N957" s="1" t="inlineStr">
        <is>
          <t>Algorithms</t>
        </is>
      </c>
      <c r="O9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57" s="11" t="inlineStr">
        <is>
          <t>To Do</t>
        </is>
      </c>
    </row>
    <row r="958" ht="15.75" customHeight="1" s="12">
      <c r="A958" s="1" t="n">
        <v>2090</v>
      </c>
      <c r="B958" s="3">
        <f>HYPERLINK("https://leetcode.com/problems/k-radius-subarray-averages/", "K Radius Subarray Averages")</f>
        <v/>
      </c>
      <c r="C958" s="1" t="n">
        <v>2100</v>
      </c>
      <c r="D958" s="1" t="n">
        <v>104</v>
      </c>
      <c r="E958" s="4">
        <f>IF(INDEX(C:C, ROW())+INDEX(D:D, ROW())=0, 0, INDEX(C:C, ROW())/(INDEX(C:C, ROW())+INDEX(D:D, ROW())))</f>
        <v/>
      </c>
      <c r="F958" s="1" t="inlineStr">
        <is>
          <t>Array, Sliding Window</t>
        </is>
      </c>
      <c r="G958" s="1" t="inlineStr">
        <is>
          <t>Medium</t>
        </is>
      </c>
      <c r="H958" s="1" t="n">
        <v>200468</v>
      </c>
      <c r="I958" s="1" t="n">
        <v>434056</v>
      </c>
      <c r="J958" s="9" t="n">
        <v>0.462</v>
      </c>
      <c r="K958" s="1" t="inlineStr">
        <is>
          <t>Yes</t>
        </is>
      </c>
      <c r="L958" s="1" t="inlineStr">
        <is>
          <t>Yes</t>
        </is>
      </c>
      <c r="M958" s="1" t="inlineStr">
        <is>
          <t>No</t>
        </is>
      </c>
      <c r="N958" s="1" t="inlineStr">
        <is>
          <t>Algorithms</t>
        </is>
      </c>
      <c r="O9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58" s="11" t="inlineStr">
        <is>
          <t>To Do</t>
        </is>
      </c>
    </row>
    <row r="959" ht="15.75" customHeight="1" s="12">
      <c r="A959" s="1" t="n">
        <v>2401</v>
      </c>
      <c r="B959" s="3">
        <f>HYPERLINK("https://leetcode.com/problems/longest-nice-subarray/", "Longest Nice Subarray")</f>
        <v/>
      </c>
      <c r="C959" s="1" t="n">
        <v>2099</v>
      </c>
      <c r="D959" s="1" t="n">
        <v>62</v>
      </c>
      <c r="E959" s="4">
        <f>IF(INDEX(C:C, ROW())+INDEX(D:D, ROW())=0, 0, INDEX(C:C, ROW())/(INDEX(C:C, ROW())+INDEX(D:D, ROW())))</f>
        <v/>
      </c>
      <c r="F959" s="1" t="inlineStr">
        <is>
          <t>Array, Bit Manipulation, Sliding Window</t>
        </is>
      </c>
      <c r="G959" s="1" t="inlineStr">
        <is>
          <t>Medium</t>
        </is>
      </c>
      <c r="H959" s="1" t="n">
        <v>177183</v>
      </c>
      <c r="I959" s="1" t="n">
        <v>273447</v>
      </c>
      <c r="J959" s="9" t="n">
        <v>0.648</v>
      </c>
      <c r="K959" s="1" t="inlineStr">
        <is>
          <t>Yes</t>
        </is>
      </c>
      <c r="L959" s="1" t="inlineStr">
        <is>
          <t>Yes</t>
        </is>
      </c>
      <c r="M959" s="1" t="inlineStr">
        <is>
          <t>No</t>
        </is>
      </c>
      <c r="N959" s="1" t="inlineStr">
        <is>
          <t>Algorithms</t>
        </is>
      </c>
      <c r="O9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59" s="11" t="inlineStr">
        <is>
          <t>To Do</t>
        </is>
      </c>
    </row>
    <row r="960" ht="15.75" customHeight="1" s="12">
      <c r="A960" s="1" t="n">
        <v>836</v>
      </c>
      <c r="B960" s="3">
        <f>HYPERLINK("https://leetcode.com/problems/rectangle-overlap/", "Rectangle Overlap")</f>
        <v/>
      </c>
      <c r="C960" s="1" t="n">
        <v>2095</v>
      </c>
      <c r="D960" s="1" t="n">
        <v>483</v>
      </c>
      <c r="E960" s="4">
        <f>IF(INDEX(C:C, ROW())+INDEX(D:D, ROW())=0, 0, INDEX(C:C, ROW())/(INDEX(C:C, ROW())+INDEX(D:D, ROW())))</f>
        <v/>
      </c>
      <c r="F960" s="1" t="inlineStr">
        <is>
          <t>Math, Geometry</t>
        </is>
      </c>
      <c r="G960" s="1" t="inlineStr">
        <is>
          <t>Easy</t>
        </is>
      </c>
      <c r="H960" s="1" t="n">
        <v>184062</v>
      </c>
      <c r="I960" s="1" t="n">
        <v>394458</v>
      </c>
      <c r="J960" s="9" t="n">
        <v>0.467</v>
      </c>
      <c r="K960" s="1" t="inlineStr">
        <is>
          <t>Yes</t>
        </is>
      </c>
      <c r="L960" s="1" t="inlineStr">
        <is>
          <t>Yes</t>
        </is>
      </c>
      <c r="M960" s="1" t="inlineStr">
        <is>
          <t>No</t>
        </is>
      </c>
      <c r="N960" s="1" t="inlineStr">
        <is>
          <t>Algorithms</t>
        </is>
      </c>
      <c r="O9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60" s="13" t="inlineStr">
        <is>
          <t>Done</t>
        </is>
      </c>
    </row>
    <row r="961" ht="15.75" customHeight="1" s="12">
      <c r="A961" s="1" t="n">
        <v>720</v>
      </c>
      <c r="B961" s="3">
        <f>HYPERLINK("https://leetcode.com/problems/longest-word-in-dictionary/", "Longest Word in Dictionary")</f>
        <v/>
      </c>
      <c r="C961" s="1" t="n">
        <v>2092</v>
      </c>
      <c r="D961" s="1" t="n">
        <v>1512</v>
      </c>
      <c r="E961" s="4">
        <f>IF(INDEX(C:C, ROW())+INDEX(D:D, ROW())=0, 0, INDEX(C:C, ROW())/(INDEX(C:C, ROW())+INDEX(D:D, ROW())))</f>
        <v/>
      </c>
      <c r="F961" s="1" t="inlineStr">
        <is>
          <t>Array, Hash Table, String, Trie, Sorting</t>
        </is>
      </c>
      <c r="G961" s="1" t="inlineStr">
        <is>
          <t>Medium</t>
        </is>
      </c>
      <c r="H961" s="1" t="n">
        <v>192901</v>
      </c>
      <c r="I961" s="1" t="n">
        <v>352255</v>
      </c>
      <c r="J961" s="9" t="n">
        <v>0.548</v>
      </c>
      <c r="K961" s="1" t="inlineStr">
        <is>
          <t>Yes</t>
        </is>
      </c>
      <c r="L961" s="1" t="inlineStr">
        <is>
          <t>Yes</t>
        </is>
      </c>
      <c r="M961" s="1" t="inlineStr">
        <is>
          <t>No</t>
        </is>
      </c>
      <c r="N961" s="1" t="inlineStr">
        <is>
          <t>Algorithms</t>
        </is>
      </c>
      <c r="O9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61" s="11" t="inlineStr">
        <is>
          <t>To Do</t>
        </is>
      </c>
    </row>
    <row r="962" ht="15.75" customHeight="1" s="12">
      <c r="A962" s="1" t="n">
        <v>732</v>
      </c>
      <c r="B962" s="3">
        <f>HYPERLINK("https://leetcode.com/problems/my-calendar-iii/", "My Calendar III")</f>
        <v/>
      </c>
      <c r="C962" s="1" t="n">
        <v>2092</v>
      </c>
      <c r="D962" s="1" t="n">
        <v>276</v>
      </c>
      <c r="E962" s="4">
        <f>IF(INDEX(C:C, ROW())+INDEX(D:D, ROW())=0, 0, INDEX(C:C, ROW())/(INDEX(C:C, ROW())+INDEX(D:D, ROW())))</f>
        <v/>
      </c>
      <c r="F962" s="1" t="inlineStr">
        <is>
          <t>Binary Search, Design, Segment Tree, Prefix Sum, Ordered Set</t>
        </is>
      </c>
      <c r="G962" s="1" t="inlineStr">
        <is>
          <t>Hard</t>
        </is>
      </c>
      <c r="H962" s="1" t="n">
        <v>112715</v>
      </c>
      <c r="I962" s="1" t="n">
        <v>157264</v>
      </c>
      <c r="J962" s="9" t="n">
        <v>0.717</v>
      </c>
      <c r="K962" s="1" t="inlineStr">
        <is>
          <t>Yes</t>
        </is>
      </c>
      <c r="L962" s="1" t="inlineStr">
        <is>
          <t>Yes</t>
        </is>
      </c>
      <c r="M962" s="1" t="inlineStr">
        <is>
          <t>No</t>
        </is>
      </c>
      <c r="N962" s="1" t="inlineStr">
        <is>
          <t>Algorithms</t>
        </is>
      </c>
      <c r="O9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62" s="11" t="inlineStr">
        <is>
          <t>To Do</t>
        </is>
      </c>
    </row>
    <row r="963" ht="15.75" customHeight="1" s="12">
      <c r="A963" s="1" t="n">
        <v>2134</v>
      </c>
      <c r="B963" s="3">
        <f>HYPERLINK("https://leetcode.com/problems/minimum-swaps-to-group-all-1s-together-ii/", "Minimum Swaps to Group All 1's Together II")</f>
        <v/>
      </c>
      <c r="C963" s="1" t="n">
        <v>2092</v>
      </c>
      <c r="D963" s="1" t="n">
        <v>43</v>
      </c>
      <c r="E963" s="4">
        <f>IF(INDEX(C:C, ROW())+INDEX(D:D, ROW())=0, 0, INDEX(C:C, ROW())/(INDEX(C:C, ROW())+INDEX(D:D, ROW())))</f>
        <v/>
      </c>
      <c r="F963" s="1" t="inlineStr">
        <is>
          <t>Array, Sliding Window</t>
        </is>
      </c>
      <c r="G963" s="1" t="inlineStr">
        <is>
          <t>Medium</t>
        </is>
      </c>
      <c r="H963" s="1" t="n">
        <v>177766</v>
      </c>
      <c r="I963" s="1" t="n">
        <v>270881</v>
      </c>
      <c r="J963" s="9" t="n">
        <v>0.656</v>
      </c>
      <c r="K963" s="1" t="inlineStr">
        <is>
          <t>Yes</t>
        </is>
      </c>
      <c r="L963" s="1" t="inlineStr">
        <is>
          <t>Yes</t>
        </is>
      </c>
      <c r="M963" s="1" t="inlineStr">
        <is>
          <t>No</t>
        </is>
      </c>
      <c r="N963" s="1" t="inlineStr">
        <is>
          <t>Algorithms</t>
        </is>
      </c>
      <c r="O9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63" s="11" t="inlineStr">
        <is>
          <t>To Do</t>
        </is>
      </c>
    </row>
    <row r="964" ht="15.75" customHeight="1" s="12">
      <c r="A964" s="1" t="n">
        <v>529</v>
      </c>
      <c r="B964" s="3">
        <f>HYPERLINK("https://leetcode.com/problems/minesweeper/", "Minesweeper")</f>
        <v/>
      </c>
      <c r="C964" s="1" t="n">
        <v>2091</v>
      </c>
      <c r="D964" s="1" t="n">
        <v>1089</v>
      </c>
      <c r="E964" s="4">
        <f>IF(INDEX(C:C, ROW())+INDEX(D:D, ROW())=0, 0, INDEX(C:C, ROW())/(INDEX(C:C, ROW())+INDEX(D:D, ROW())))</f>
        <v/>
      </c>
      <c r="F964" s="1" t="inlineStr">
        <is>
          <t>Array, Depth-First Search, Breadth-First Search, Matrix</t>
        </is>
      </c>
      <c r="G964" s="1" t="inlineStr">
        <is>
          <t>Medium</t>
        </is>
      </c>
      <c r="H964" s="1" t="n">
        <v>205809</v>
      </c>
      <c r="I964" s="1" t="n">
        <v>299413</v>
      </c>
      <c r="J964" s="9" t="n">
        <v>0.6870000000000001</v>
      </c>
      <c r="K964" s="1" t="inlineStr">
        <is>
          <t>Yes</t>
        </is>
      </c>
      <c r="L964" s="1" t="inlineStr">
        <is>
          <t>No</t>
        </is>
      </c>
      <c r="M964" s="1" t="inlineStr">
        <is>
          <t>No</t>
        </is>
      </c>
      <c r="N964" s="1" t="inlineStr">
        <is>
          <t>Algorithms</t>
        </is>
      </c>
      <c r="O9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64" s="11" t="inlineStr">
        <is>
          <t>To Do</t>
        </is>
      </c>
    </row>
    <row r="965" ht="15.75" customHeight="1" s="12">
      <c r="A965" s="1" t="n">
        <v>2366</v>
      </c>
      <c r="B965" s="3">
        <f>HYPERLINK("https://leetcode.com/problems/minimum-replacements-to-sort-the-array/", "Minimum Replacements to Sort the Array")</f>
        <v/>
      </c>
      <c r="C965" s="1" t="n">
        <v>2089</v>
      </c>
      <c r="D965" s="1" t="n">
        <v>69</v>
      </c>
      <c r="E965" s="4">
        <f>IF(INDEX(C:C, ROW())+INDEX(D:D, ROW())=0, 0, INDEX(C:C, ROW())/(INDEX(C:C, ROW())+INDEX(D:D, ROW())))</f>
        <v/>
      </c>
      <c r="F965" s="1" t="inlineStr">
        <is>
          <t>Array, Math, Greedy</t>
        </is>
      </c>
      <c r="G965" s="1" t="inlineStr">
        <is>
          <t>Hard</t>
        </is>
      </c>
      <c r="H965" s="1" t="n">
        <v>75153</v>
      </c>
      <c r="I965" s="1" t="n">
        <v>141427</v>
      </c>
      <c r="J965" s="9" t="n">
        <v>0.531</v>
      </c>
      <c r="K965" s="1" t="inlineStr">
        <is>
          <t>Yes</t>
        </is>
      </c>
      <c r="L965" s="1" t="inlineStr">
        <is>
          <t>Yes</t>
        </is>
      </c>
      <c r="M965" s="1" t="inlineStr">
        <is>
          <t>No</t>
        </is>
      </c>
      <c r="N965" s="1" t="inlineStr">
        <is>
          <t>Algorithms</t>
        </is>
      </c>
      <c r="O9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65" s="11" t="inlineStr">
        <is>
          <t>To Do</t>
        </is>
      </c>
    </row>
    <row r="966" ht="15.75" customHeight="1" s="12">
      <c r="A966" s="1" t="n">
        <v>2462</v>
      </c>
      <c r="B966" s="3">
        <f>HYPERLINK("https://leetcode.com/problems/total-cost-to-hire-k-workers/", "Total Cost to Hire K Workers")</f>
        <v/>
      </c>
      <c r="C966" s="1" t="n">
        <v>2086</v>
      </c>
      <c r="D966" s="1" t="n">
        <v>763</v>
      </c>
      <c r="E966" s="4">
        <f>IF(INDEX(C:C, ROW())+INDEX(D:D, ROW())=0, 0, INDEX(C:C, ROW())/(INDEX(C:C, ROW())+INDEX(D:D, ROW())))</f>
        <v/>
      </c>
      <c r="F966" s="1" t="inlineStr">
        <is>
          <t>Array, Two Pointers, Heap (Priority Queue), Simulation</t>
        </is>
      </c>
      <c r="G966" s="1" t="inlineStr">
        <is>
          <t>Medium</t>
        </is>
      </c>
      <c r="H966" s="1" t="n">
        <v>166942</v>
      </c>
      <c r="I966" s="1" t="n">
        <v>382932</v>
      </c>
      <c r="J966" s="9" t="n">
        <v>0.436</v>
      </c>
      <c r="K966" s="1" t="inlineStr">
        <is>
          <t>Yes</t>
        </is>
      </c>
      <c r="L966" s="1" t="inlineStr">
        <is>
          <t>Yes</t>
        </is>
      </c>
      <c r="M966" s="1" t="inlineStr">
        <is>
          <t>No</t>
        </is>
      </c>
      <c r="N966" s="1" t="inlineStr">
        <is>
          <t>Algorithms</t>
        </is>
      </c>
      <c r="O9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66" s="11" t="inlineStr">
        <is>
          <t>To Do</t>
        </is>
      </c>
    </row>
    <row r="967" ht="15.75" customHeight="1" s="12">
      <c r="A967" s="1" t="n">
        <v>1483</v>
      </c>
      <c r="B967" s="3">
        <f>HYPERLINK("https://leetcode.com/problems/kth-ancestor-of-a-tree-node/", "Kth Ancestor of a Tree Node")</f>
        <v/>
      </c>
      <c r="C967" s="1" t="n">
        <v>2085</v>
      </c>
      <c r="D967" s="1" t="n">
        <v>125</v>
      </c>
      <c r="E967" s="4">
        <f>IF(INDEX(C:C, ROW())+INDEX(D:D, ROW())=0, 0, INDEX(C:C, ROW())/(INDEX(C:C, ROW())+INDEX(D:D, ROW())))</f>
        <v/>
      </c>
      <c r="F967" s="1" t="inlineStr">
        <is>
          <t>Binary Search, Dynamic Programming, Bit Manipulation, Tree, Depth-First Search, Breadth-First Search, Design</t>
        </is>
      </c>
      <c r="G967" s="1" t="inlineStr">
        <is>
          <t>Hard</t>
        </is>
      </c>
      <c r="H967" s="1" t="n">
        <v>52436</v>
      </c>
      <c r="I967" s="1" t="n">
        <v>139857</v>
      </c>
      <c r="J967" s="9" t="n">
        <v>0.375</v>
      </c>
      <c r="K967" s="1" t="inlineStr">
        <is>
          <t>Yes</t>
        </is>
      </c>
      <c r="L967" s="1" t="inlineStr">
        <is>
          <t>No</t>
        </is>
      </c>
      <c r="M967" s="1" t="inlineStr">
        <is>
          <t>No</t>
        </is>
      </c>
      <c r="N967" s="1" t="inlineStr">
        <is>
          <t>Algorithms</t>
        </is>
      </c>
      <c r="O9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67" s="11" t="inlineStr">
        <is>
          <t>To Do</t>
        </is>
      </c>
    </row>
    <row r="968" ht="15.75" customHeight="1" s="12">
      <c r="A968" s="1" t="n">
        <v>1524</v>
      </c>
      <c r="B968" s="3">
        <f>HYPERLINK("https://leetcode.com/problems/number-of-sub-arrays-with-odd-sum/", "Number of Sub-arrays With Odd Sum")</f>
        <v/>
      </c>
      <c r="C968" s="1" t="n">
        <v>2079</v>
      </c>
      <c r="D968" s="1" t="n">
        <v>102</v>
      </c>
      <c r="E968" s="4">
        <f>IF(INDEX(C:C, ROW())+INDEX(D:D, ROW())=0, 0, INDEX(C:C, ROW())/(INDEX(C:C, ROW())+INDEX(D:D, ROW())))</f>
        <v/>
      </c>
      <c r="F968" s="1" t="inlineStr">
        <is>
          <t>Array, Math, Dynamic Programming, Prefix Sum</t>
        </is>
      </c>
      <c r="G968" s="1" t="inlineStr">
        <is>
          <t>Medium</t>
        </is>
      </c>
      <c r="H968" s="1" t="n">
        <v>176798</v>
      </c>
      <c r="I968" s="1" t="n">
        <v>317395</v>
      </c>
      <c r="J968" s="9" t="n">
        <v>0.5570000000000001</v>
      </c>
      <c r="K968" s="1" t="inlineStr">
        <is>
          <t>Yes</t>
        </is>
      </c>
      <c r="L968" s="1" t="inlineStr">
        <is>
          <t>Yes</t>
        </is>
      </c>
      <c r="M968" s="1" t="inlineStr">
        <is>
          <t>No</t>
        </is>
      </c>
      <c r="N968" s="1" t="inlineStr">
        <is>
          <t>Algorithms</t>
        </is>
      </c>
      <c r="O9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68" s="11" t="inlineStr">
        <is>
          <t>To Do</t>
        </is>
      </c>
    </row>
    <row r="969" ht="15.75" customHeight="1" s="12">
      <c r="A969" s="1" t="n">
        <v>2369</v>
      </c>
      <c r="B969" s="3">
        <f>HYPERLINK("https://leetcode.com/problems/check-if-there-is-a-valid-partition-for-the-array/", "Check if There is a Valid Partition For The Array")</f>
        <v/>
      </c>
      <c r="C969" s="1" t="n">
        <v>2075</v>
      </c>
      <c r="D969" s="1" t="n">
        <v>208</v>
      </c>
      <c r="E969" s="4">
        <f>IF(INDEX(C:C, ROW())+INDEX(D:D, ROW())=0, 0, INDEX(C:C, ROW())/(INDEX(C:C, ROW())+INDEX(D:D, ROW())))</f>
        <v/>
      </c>
      <c r="F969" s="1" t="inlineStr">
        <is>
          <t>Array, Dynamic Programming</t>
        </is>
      </c>
      <c r="G969" s="1" t="inlineStr">
        <is>
          <t>Medium</t>
        </is>
      </c>
      <c r="H969" s="1" t="n">
        <v>102582</v>
      </c>
      <c r="I969" s="1" t="n">
        <v>195813</v>
      </c>
      <c r="J969" s="9" t="n">
        <v>0.524</v>
      </c>
      <c r="K969" s="1" t="inlineStr">
        <is>
          <t>Yes</t>
        </is>
      </c>
      <c r="L969" s="1" t="inlineStr">
        <is>
          <t>Yes</t>
        </is>
      </c>
      <c r="M969" s="1" t="inlineStr">
        <is>
          <t>No</t>
        </is>
      </c>
      <c r="N969" s="1" t="inlineStr">
        <is>
          <t>Algorithms</t>
        </is>
      </c>
      <c r="O9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69" s="11" t="inlineStr">
        <is>
          <t>To Do</t>
        </is>
      </c>
    </row>
    <row r="970" ht="15.75" customHeight="1" s="12">
      <c r="A970" s="1" t="n">
        <v>1639</v>
      </c>
      <c r="B970" s="3">
        <f>HYPERLINK("https://leetcode.com/problems/number-of-ways-to-form-a-target-string-given-a-dictionary/", "Number of Ways to Form a Target String Given a Dictionary")</f>
        <v/>
      </c>
      <c r="C970" s="1" t="n">
        <v>2072</v>
      </c>
      <c r="D970" s="1" t="n">
        <v>120</v>
      </c>
      <c r="E970" s="4">
        <f>IF(INDEX(C:C, ROW())+INDEX(D:D, ROW())=0, 0, INDEX(C:C, ROW())/(INDEX(C:C, ROW())+INDEX(D:D, ROW())))</f>
        <v/>
      </c>
      <c r="F970" s="1" t="inlineStr">
        <is>
          <t>Array, String, Dynamic Programming</t>
        </is>
      </c>
      <c r="G970" s="1" t="inlineStr">
        <is>
          <t>Hard</t>
        </is>
      </c>
      <c r="H970" s="1" t="n">
        <v>134067</v>
      </c>
      <c r="I970" s="1" t="n">
        <v>237210</v>
      </c>
      <c r="J970" s="9" t="n">
        <v>0.5649999999999999</v>
      </c>
      <c r="K970" s="1" t="inlineStr">
        <is>
          <t>Yes</t>
        </is>
      </c>
      <c r="L970" s="1" t="inlineStr">
        <is>
          <t>Yes</t>
        </is>
      </c>
      <c r="M970" s="1" t="inlineStr">
        <is>
          <t>No</t>
        </is>
      </c>
      <c r="N970" s="1" t="inlineStr">
        <is>
          <t>Algorithms</t>
        </is>
      </c>
      <c r="O9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70" s="11" t="inlineStr">
        <is>
          <t>To Do</t>
        </is>
      </c>
    </row>
    <row r="971" ht="15.75" customHeight="1" s="12">
      <c r="A971" s="1" t="n">
        <v>995</v>
      </c>
      <c r="B971" s="3">
        <f>HYPERLINK("https://leetcode.com/problems/minimum-number-of-k-consecutive-bit-flips/", "Minimum Number of K Consecutive Bit Flips")</f>
        <v/>
      </c>
      <c r="C971" s="1" t="n">
        <v>2069</v>
      </c>
      <c r="D971" s="1" t="n">
        <v>91</v>
      </c>
      <c r="E971" s="4">
        <f>IF(INDEX(C:C, ROW())+INDEX(D:D, ROW())=0, 0, INDEX(C:C, ROW())/(INDEX(C:C, ROW())+INDEX(D:D, ROW())))</f>
        <v/>
      </c>
      <c r="F971" s="1" t="inlineStr">
        <is>
          <t>Array, Bit Manipulation, Queue, Sliding Window, Prefix Sum</t>
        </is>
      </c>
      <c r="G971" s="1" t="inlineStr">
        <is>
          <t>Hard</t>
        </is>
      </c>
      <c r="H971" s="1" t="n">
        <v>143479</v>
      </c>
      <c r="I971" s="1" t="n">
        <v>230288</v>
      </c>
      <c r="J971" s="9" t="n">
        <v>0.623</v>
      </c>
      <c r="K971" s="1" t="inlineStr">
        <is>
          <t>Yes</t>
        </is>
      </c>
      <c r="L971" s="1" t="inlineStr">
        <is>
          <t>Yes</t>
        </is>
      </c>
      <c r="M971" s="1" t="inlineStr">
        <is>
          <t>No</t>
        </is>
      </c>
      <c r="N971" s="1" t="inlineStr">
        <is>
          <t>Algorithms</t>
        </is>
      </c>
      <c r="O9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71" s="11" t="inlineStr">
        <is>
          <t>To Do</t>
        </is>
      </c>
    </row>
    <row r="972" ht="15.75" customHeight="1" s="12">
      <c r="A972" s="1" t="n">
        <v>1378</v>
      </c>
      <c r="B972" s="3">
        <f>HYPERLINK("https://leetcode.com/problems/replace-employee-id-with-the-unique-identifier/", "Replace Employee ID With The Unique Identifier")</f>
        <v/>
      </c>
      <c r="C972" s="1" t="n">
        <v>2069</v>
      </c>
      <c r="D972" s="1" t="n">
        <v>163</v>
      </c>
      <c r="E972" s="4">
        <f>IF(INDEX(C:C, ROW())+INDEX(D:D, ROW())=0, 0, INDEX(C:C, ROW())/(INDEX(C:C, ROW())+INDEX(D:D, ROW())))</f>
        <v/>
      </c>
      <c r="F972" s="1" t="inlineStr">
        <is>
          <t>Database</t>
        </is>
      </c>
      <c r="G972" s="1" t="inlineStr">
        <is>
          <t>Easy</t>
        </is>
      </c>
      <c r="H972" s="1" t="n">
        <v>1332442</v>
      </c>
      <c r="I972" s="1" t="n">
        <v>1595001</v>
      </c>
      <c r="J972" s="9" t="n">
        <v>0.835</v>
      </c>
      <c r="K972" s="1" t="inlineStr">
        <is>
          <t>Yes</t>
        </is>
      </c>
      <c r="L972" s="1" t="inlineStr">
        <is>
          <t>Yes</t>
        </is>
      </c>
      <c r="M972" s="1" t="inlineStr">
        <is>
          <t>No</t>
        </is>
      </c>
      <c r="N972" s="1" t="inlineStr">
        <is>
          <t>Database</t>
        </is>
      </c>
      <c r="O9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72" s="13" t="inlineStr">
        <is>
          <t>Done</t>
        </is>
      </c>
    </row>
    <row r="973" ht="15.75" customHeight="1" s="12">
      <c r="A973" s="1" t="n">
        <v>944</v>
      </c>
      <c r="B973" s="3">
        <f>HYPERLINK("https://leetcode.com/problems/delete-columns-to-make-sorted/", "Delete Columns to Make Sorted")</f>
        <v/>
      </c>
      <c r="C973" s="1" t="n">
        <v>2068</v>
      </c>
      <c r="D973" s="1" t="n">
        <v>3019</v>
      </c>
      <c r="E973" s="4">
        <f>IF(INDEX(C:C, ROW())+INDEX(D:D, ROW())=0, 0, INDEX(C:C, ROW())/(INDEX(C:C, ROW())+INDEX(D:D, ROW())))</f>
        <v/>
      </c>
      <c r="F973" s="1" t="inlineStr">
        <is>
          <t>Array, String</t>
        </is>
      </c>
      <c r="G973" s="1" t="inlineStr">
        <is>
          <t>Easy</t>
        </is>
      </c>
      <c r="H973" s="1" t="n">
        <v>322207</v>
      </c>
      <c r="I973" s="1" t="n">
        <v>412464</v>
      </c>
      <c r="J973" s="9" t="n">
        <v>0.781</v>
      </c>
      <c r="K973" s="1" t="inlineStr">
        <is>
          <t>Yes</t>
        </is>
      </c>
      <c r="L973" s="1" t="inlineStr">
        <is>
          <t>Yes</t>
        </is>
      </c>
      <c r="M973" s="1" t="inlineStr">
        <is>
          <t>No</t>
        </is>
      </c>
      <c r="N973" s="1" t="inlineStr">
        <is>
          <t>Algorithms</t>
        </is>
      </c>
      <c r="O9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73" s="13" t="inlineStr">
        <is>
          <t>Done</t>
        </is>
      </c>
    </row>
    <row r="974" ht="15.75" customHeight="1" s="12">
      <c r="A974" s="1" t="n">
        <v>1603</v>
      </c>
      <c r="B974" s="3">
        <f>HYPERLINK("https://leetcode.com/problems/design-parking-system/", "Design Parking System")</f>
        <v/>
      </c>
      <c r="C974" s="1" t="n">
        <v>2067</v>
      </c>
      <c r="D974" s="1" t="n">
        <v>457</v>
      </c>
      <c r="E974" s="4">
        <f>IF(INDEX(C:C, ROW())+INDEX(D:D, ROW())=0, 0, INDEX(C:C, ROW())/(INDEX(C:C, ROW())+INDEX(D:D, ROW())))</f>
        <v/>
      </c>
      <c r="F974" s="1" t="inlineStr">
        <is>
          <t>Design, Simulation, Counting</t>
        </is>
      </c>
      <c r="G974" s="1" t="inlineStr">
        <is>
          <t>Easy</t>
        </is>
      </c>
      <c r="H974" s="1" t="n">
        <v>359417</v>
      </c>
      <c r="I974" s="1" t="n">
        <v>412261</v>
      </c>
      <c r="J974" s="9" t="n">
        <v>0.872</v>
      </c>
      <c r="K974" s="1" t="inlineStr">
        <is>
          <t>Yes</t>
        </is>
      </c>
      <c r="L974" s="1" t="inlineStr">
        <is>
          <t>Yes</t>
        </is>
      </c>
      <c r="M974" s="1" t="inlineStr">
        <is>
          <t>No</t>
        </is>
      </c>
      <c r="N974" s="1" t="inlineStr">
        <is>
          <t>Algorithms</t>
        </is>
      </c>
      <c r="O9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74" s="13" t="inlineStr">
        <is>
          <t>Done</t>
        </is>
      </c>
    </row>
    <row r="975" ht="15.75" customHeight="1" s="12">
      <c r="A975" s="1" t="n">
        <v>1814</v>
      </c>
      <c r="B975" s="3">
        <f>HYPERLINK("https://leetcode.com/problems/count-nice-pairs-in-an-array/", "Count Nice Pairs in an Array")</f>
        <v/>
      </c>
      <c r="C975" s="1" t="n">
        <v>2055</v>
      </c>
      <c r="D975" s="1" t="n">
        <v>93</v>
      </c>
      <c r="E975" s="4">
        <f>IF(INDEX(C:C, ROW())+INDEX(D:D, ROW())=0, 0, INDEX(C:C, ROW())/(INDEX(C:C, ROW())+INDEX(D:D, ROW())))</f>
        <v/>
      </c>
      <c r="F975" s="1" t="inlineStr">
        <is>
          <t>Array, Hash Table, Math, Counting</t>
        </is>
      </c>
      <c r="G975" s="1" t="inlineStr">
        <is>
          <t>Medium</t>
        </is>
      </c>
      <c r="H975" s="1" t="n">
        <v>135815</v>
      </c>
      <c r="I975" s="1" t="n">
        <v>280313</v>
      </c>
      <c r="J975" s="9" t="n">
        <v>0.485</v>
      </c>
      <c r="K975" s="1" t="inlineStr">
        <is>
          <t>Yes</t>
        </is>
      </c>
      <c r="L975" s="1" t="inlineStr">
        <is>
          <t>Yes</t>
        </is>
      </c>
      <c r="M975" s="1" t="inlineStr">
        <is>
          <t>No</t>
        </is>
      </c>
      <c r="N975" s="1" t="inlineStr">
        <is>
          <t>Algorithms</t>
        </is>
      </c>
      <c r="O9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75" s="11" t="inlineStr">
        <is>
          <t>To Do</t>
        </is>
      </c>
    </row>
    <row r="976" ht="15.75" customHeight="1" s="12">
      <c r="A976" s="1" t="n">
        <v>709</v>
      </c>
      <c r="B976" s="3">
        <f>HYPERLINK("https://leetcode.com/problems/to-lower-case/", "To Lower Case")</f>
        <v/>
      </c>
      <c r="C976" s="1" t="n">
        <v>2053</v>
      </c>
      <c r="D976" s="1" t="n">
        <v>2800</v>
      </c>
      <c r="E976" s="4">
        <f>IF(INDEX(C:C, ROW())+INDEX(D:D, ROW())=0, 0, INDEX(C:C, ROW())/(INDEX(C:C, ROW())+INDEX(D:D, ROW())))</f>
        <v/>
      </c>
      <c r="F976" s="1" t="inlineStr">
        <is>
          <t>String</t>
        </is>
      </c>
      <c r="G976" s="1" t="inlineStr">
        <is>
          <t>Easy</t>
        </is>
      </c>
      <c r="H976" s="1" t="n">
        <v>737145</v>
      </c>
      <c r="I976" s="1" t="n">
        <v>868953</v>
      </c>
      <c r="J976" s="9" t="n">
        <v>0.848</v>
      </c>
      <c r="K976" s="1" t="inlineStr">
        <is>
          <t>Yes</t>
        </is>
      </c>
      <c r="L976" s="1" t="inlineStr">
        <is>
          <t>Yes</t>
        </is>
      </c>
      <c r="M976" s="1" t="inlineStr">
        <is>
          <t>No</t>
        </is>
      </c>
      <c r="N976" s="1" t="inlineStr">
        <is>
          <t>Algorithms</t>
        </is>
      </c>
      <c r="O9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76" s="13" t="inlineStr">
        <is>
          <t>Done</t>
        </is>
      </c>
    </row>
    <row r="977" ht="15.75" customHeight="1" s="12">
      <c r="A977" s="1" t="n">
        <v>1743</v>
      </c>
      <c r="B977" s="3">
        <f>HYPERLINK("https://leetcode.com/problems/restore-the-array-from-adjacent-pairs/", "Restore the Array From Adjacent Pairs")</f>
        <v/>
      </c>
      <c r="C977" s="1" t="n">
        <v>2051</v>
      </c>
      <c r="D977" s="1" t="n">
        <v>71</v>
      </c>
      <c r="E977" s="4">
        <f>IF(INDEX(C:C, ROW())+INDEX(D:D, ROW())=0, 0, INDEX(C:C, ROW())/(INDEX(C:C, ROW())+INDEX(D:D, ROW())))</f>
        <v/>
      </c>
      <c r="F977" s="1" t="inlineStr">
        <is>
          <t>Array, Hash Table, Depth-First Search</t>
        </is>
      </c>
      <c r="G977" s="1" t="inlineStr">
        <is>
          <t>Medium</t>
        </is>
      </c>
      <c r="H977" s="1" t="n">
        <v>128237</v>
      </c>
      <c r="I977" s="1" t="n">
        <v>170951</v>
      </c>
      <c r="J977" s="9" t="n">
        <v>0.75</v>
      </c>
      <c r="K977" s="1" t="inlineStr">
        <is>
          <t>Yes</t>
        </is>
      </c>
      <c r="L977" s="1" t="inlineStr">
        <is>
          <t>Yes</t>
        </is>
      </c>
      <c r="M977" s="1" t="inlineStr">
        <is>
          <t>No</t>
        </is>
      </c>
      <c r="N977" s="1" t="inlineStr">
        <is>
          <t>Algorithms</t>
        </is>
      </c>
      <c r="O9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77" s="11" t="inlineStr">
        <is>
          <t>To Do</t>
        </is>
      </c>
    </row>
    <row r="978" ht="15.75" customHeight="1" s="12">
      <c r="A978" s="1" t="n">
        <v>1773</v>
      </c>
      <c r="B978" s="3">
        <f>HYPERLINK("https://leetcode.com/problems/count-items-matching-a-rule/", "Count Items Matching a Rule")</f>
        <v/>
      </c>
      <c r="C978" s="1" t="n">
        <v>2047</v>
      </c>
      <c r="D978" s="1" t="n">
        <v>289</v>
      </c>
      <c r="E978" s="4">
        <f>IF(INDEX(C:C, ROW())+INDEX(D:D, ROW())=0, 0, INDEX(C:C, ROW())/(INDEX(C:C, ROW())+INDEX(D:D, ROW())))</f>
        <v/>
      </c>
      <c r="F978" s="1" t="inlineStr">
        <is>
          <t>Array, String</t>
        </is>
      </c>
      <c r="G978" s="1" t="inlineStr">
        <is>
          <t>Easy</t>
        </is>
      </c>
      <c r="H978" s="1" t="n">
        <v>286714</v>
      </c>
      <c r="I978" s="1" t="n">
        <v>335981</v>
      </c>
      <c r="J978" s="9" t="n">
        <v>0.853</v>
      </c>
      <c r="K978" s="1" t="inlineStr">
        <is>
          <t>Yes</t>
        </is>
      </c>
      <c r="L978" s="1" t="inlineStr">
        <is>
          <t>No</t>
        </is>
      </c>
      <c r="M978" s="1" t="inlineStr">
        <is>
          <t>No</t>
        </is>
      </c>
      <c r="N978" s="1" t="inlineStr">
        <is>
          <t>Algorithms</t>
        </is>
      </c>
      <c r="O9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78" s="13" t="inlineStr">
        <is>
          <t>Done</t>
        </is>
      </c>
    </row>
    <row r="979" ht="15.75" customHeight="1" s="12">
      <c r="A979" s="1" t="n">
        <v>1186</v>
      </c>
      <c r="B979" s="3">
        <f>HYPERLINK("https://leetcode.com/problems/maximum-subarray-sum-with-one-deletion/", "Maximum Subarray Sum with One Deletion")</f>
        <v/>
      </c>
      <c r="C979" s="1" t="n">
        <v>2041</v>
      </c>
      <c r="D979" s="1" t="n">
        <v>83</v>
      </c>
      <c r="E979" s="4">
        <f>IF(INDEX(C:C, ROW())+INDEX(D:D, ROW())=0, 0, INDEX(C:C, ROW())/(INDEX(C:C, ROW())+INDEX(D:D, ROW())))</f>
        <v/>
      </c>
      <c r="F979" s="1" t="inlineStr">
        <is>
          <t>Array, Dynamic Programming</t>
        </is>
      </c>
      <c r="G979" s="1" t="inlineStr">
        <is>
          <t>Medium</t>
        </is>
      </c>
      <c r="H979" s="1" t="n">
        <v>79715</v>
      </c>
      <c r="I979" s="1" t="n">
        <v>168166</v>
      </c>
      <c r="J979" s="9" t="n">
        <v>0.474</v>
      </c>
      <c r="K979" s="1" t="inlineStr">
        <is>
          <t>Yes</t>
        </is>
      </c>
      <c r="L979" s="1" t="inlineStr">
        <is>
          <t>No</t>
        </is>
      </c>
      <c r="M979" s="1" t="inlineStr">
        <is>
          <t>No</t>
        </is>
      </c>
      <c r="N979" s="1" t="inlineStr">
        <is>
          <t>Algorithms</t>
        </is>
      </c>
      <c r="O9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79" s="11" t="inlineStr">
        <is>
          <t>To Do</t>
        </is>
      </c>
    </row>
    <row r="980" ht="15.75" customHeight="1" s="12">
      <c r="A980" s="1" t="n">
        <v>2011</v>
      </c>
      <c r="B980" s="3">
        <f>HYPERLINK("https://leetcode.com/problems/final-value-of-variable-after-performing-operations/", "Final Value of Variable After Performing Operations")</f>
        <v/>
      </c>
      <c r="C980" s="1" t="n">
        <v>2036</v>
      </c>
      <c r="D980" s="1" t="n">
        <v>217</v>
      </c>
      <c r="E980" s="4">
        <f>IF(INDEX(C:C, ROW())+INDEX(D:D, ROW())=0, 0, INDEX(C:C, ROW())/(INDEX(C:C, ROW())+INDEX(D:D, ROW())))</f>
        <v/>
      </c>
      <c r="F980" s="1" t="inlineStr">
        <is>
          <t>Array, String, Simulation</t>
        </is>
      </c>
      <c r="G980" s="1" t="inlineStr">
        <is>
          <t>Easy</t>
        </is>
      </c>
      <c r="H980" s="1" t="n">
        <v>657593</v>
      </c>
      <c r="I980" s="1" t="n">
        <v>725910</v>
      </c>
      <c r="J980" s="9" t="n">
        <v>0.906</v>
      </c>
      <c r="K980" s="1" t="inlineStr">
        <is>
          <t>Yes</t>
        </is>
      </c>
      <c r="L980" s="1" t="inlineStr">
        <is>
          <t>Yes</t>
        </is>
      </c>
      <c r="M980" s="1" t="inlineStr">
        <is>
          <t>No</t>
        </is>
      </c>
      <c r="N980" s="1" t="inlineStr">
        <is>
          <t>Algorithms</t>
        </is>
      </c>
      <c r="O9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80" s="13" t="inlineStr">
        <is>
          <t>Done</t>
        </is>
      </c>
    </row>
    <row r="981" ht="15.75" customHeight="1" s="12">
      <c r="A981" s="1" t="n">
        <v>2116</v>
      </c>
      <c r="B981" s="3">
        <f>HYPERLINK("https://leetcode.com/problems/check-if-a-parentheses-string-can-be-valid/", "Check if a Parentheses String Can Be Valid")</f>
        <v/>
      </c>
      <c r="C981" s="1" t="n">
        <v>2035</v>
      </c>
      <c r="D981" s="1" t="n">
        <v>134</v>
      </c>
      <c r="E981" s="4">
        <f>IF(INDEX(C:C, ROW())+INDEX(D:D, ROW())=0, 0, INDEX(C:C, ROW())/(INDEX(C:C, ROW())+INDEX(D:D, ROW())))</f>
        <v/>
      </c>
      <c r="F981" s="1" t="inlineStr">
        <is>
          <t>String, Stack, Greedy</t>
        </is>
      </c>
      <c r="G981" s="1" t="inlineStr">
        <is>
          <t>Medium</t>
        </is>
      </c>
      <c r="H981" s="1" t="n">
        <v>156611</v>
      </c>
      <c r="I981" s="1" t="n">
        <v>346986</v>
      </c>
      <c r="J981" s="9" t="n">
        <v>0.451</v>
      </c>
      <c r="K981" s="1" t="inlineStr">
        <is>
          <t>Yes</t>
        </is>
      </c>
      <c r="L981" s="1" t="inlineStr">
        <is>
          <t>Yes</t>
        </is>
      </c>
      <c r="M981" s="1" t="inlineStr">
        <is>
          <t>No</t>
        </is>
      </c>
      <c r="N981" s="1" t="inlineStr">
        <is>
          <t>Algorithms</t>
        </is>
      </c>
      <c r="O9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81" s="11" t="inlineStr">
        <is>
          <t>To Do</t>
        </is>
      </c>
    </row>
    <row r="982" ht="15.75" customHeight="1" s="12">
      <c r="A982" s="1" t="n">
        <v>292</v>
      </c>
      <c r="B982" s="3">
        <f>HYPERLINK("https://leetcode.com/problems/nim-game/", "Nim Game")</f>
        <v/>
      </c>
      <c r="C982" s="1" t="n">
        <v>2033</v>
      </c>
      <c r="D982" s="1" t="n">
        <v>2753</v>
      </c>
      <c r="E982" s="4">
        <f>IF(INDEX(C:C, ROW())+INDEX(D:D, ROW())=0, 0, INDEX(C:C, ROW())/(INDEX(C:C, ROW())+INDEX(D:D, ROW())))</f>
        <v/>
      </c>
      <c r="F982" s="1" t="inlineStr">
        <is>
          <t>Math, Brainteaser, Game Theory</t>
        </is>
      </c>
      <c r="G982" s="1" t="inlineStr">
        <is>
          <t>Easy</t>
        </is>
      </c>
      <c r="H982" s="1" t="n">
        <v>549748</v>
      </c>
      <c r="I982" s="1" t="n">
        <v>919891</v>
      </c>
      <c r="J982" s="9" t="n">
        <v>0.598</v>
      </c>
      <c r="K982" s="1" t="inlineStr">
        <is>
          <t>Yes</t>
        </is>
      </c>
      <c r="L982" s="1" t="inlineStr">
        <is>
          <t>Yes</t>
        </is>
      </c>
      <c r="M982" s="1" t="inlineStr">
        <is>
          <t>No</t>
        </is>
      </c>
      <c r="N982" s="1" t="inlineStr">
        <is>
          <t>Algorithms</t>
        </is>
      </c>
      <c r="O9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82" s="13" t="inlineStr">
        <is>
          <t>Done</t>
        </is>
      </c>
    </row>
    <row r="983" ht="15.75" customHeight="1" s="12">
      <c r="A983" s="1" t="n">
        <v>1442</v>
      </c>
      <c r="B983" s="3">
        <f>HYPERLINK("https://leetcode.com/problems/count-triplets-that-can-form-two-arrays-of-equal-xor/", "Count Triplets That Can Form Two Arrays of Equal XOR")</f>
        <v/>
      </c>
      <c r="C983" s="1" t="n">
        <v>2030</v>
      </c>
      <c r="D983" s="1" t="n">
        <v>138</v>
      </c>
      <c r="E983" s="4">
        <f>IF(INDEX(C:C, ROW())+INDEX(D:D, ROW())=0, 0, INDEX(C:C, ROW())/(INDEX(C:C, ROW())+INDEX(D:D, ROW())))</f>
        <v/>
      </c>
      <c r="F983" s="1" t="inlineStr">
        <is>
          <t>Array, Hash Table, Math, Bit Manipulation, Prefix Sum</t>
        </is>
      </c>
      <c r="G983" s="1" t="inlineStr">
        <is>
          <t>Medium</t>
        </is>
      </c>
      <c r="H983" s="1" t="n">
        <v>142604</v>
      </c>
      <c r="I983" s="1" t="n">
        <v>168231</v>
      </c>
      <c r="J983" s="9" t="n">
        <v>0.848</v>
      </c>
      <c r="K983" s="1" t="inlineStr">
        <is>
          <t>Yes</t>
        </is>
      </c>
      <c r="L983" s="1" t="inlineStr">
        <is>
          <t>Yes</t>
        </is>
      </c>
      <c r="M983" s="1" t="inlineStr">
        <is>
          <t>No</t>
        </is>
      </c>
      <c r="N983" s="1" t="inlineStr">
        <is>
          <t>Algorithms</t>
        </is>
      </c>
      <c r="O9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83" s="11" t="inlineStr">
        <is>
          <t>To Do</t>
        </is>
      </c>
    </row>
    <row r="984" ht="15.75" customHeight="1" s="12">
      <c r="A984" s="1" t="n">
        <v>818</v>
      </c>
      <c r="B984" s="3">
        <f>HYPERLINK("https://leetcode.com/problems/race-car/", "Race Car")</f>
        <v/>
      </c>
      <c r="C984" s="1" t="n">
        <v>2022</v>
      </c>
      <c r="D984" s="1" t="n">
        <v>191</v>
      </c>
      <c r="E984" s="4">
        <f>IF(INDEX(C:C, ROW())+INDEX(D:D, ROW())=0, 0, INDEX(C:C, ROW())/(INDEX(C:C, ROW())+INDEX(D:D, ROW())))</f>
        <v/>
      </c>
      <c r="F984" s="1" t="inlineStr">
        <is>
          <t>Dynamic Programming</t>
        </is>
      </c>
      <c r="G984" s="1" t="inlineStr">
        <is>
          <t>Hard</t>
        </is>
      </c>
      <c r="H984" s="1" t="n">
        <v>106757</v>
      </c>
      <c r="I984" s="1" t="n">
        <v>238679</v>
      </c>
      <c r="J984" s="9" t="n">
        <v>0.447</v>
      </c>
      <c r="K984" s="1" t="inlineStr">
        <is>
          <t>Yes</t>
        </is>
      </c>
      <c r="L984" s="1" t="inlineStr">
        <is>
          <t>Yes</t>
        </is>
      </c>
      <c r="M984" s="1" t="inlineStr">
        <is>
          <t>No</t>
        </is>
      </c>
      <c r="N984" s="1" t="inlineStr">
        <is>
          <t>Algorithms</t>
        </is>
      </c>
      <c r="O9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84" s="11" t="inlineStr">
        <is>
          <t>To Do</t>
        </is>
      </c>
    </row>
    <row r="985" ht="15.75" customHeight="1" s="12">
      <c r="A985" s="1" t="n">
        <v>716</v>
      </c>
      <c r="B985" s="3">
        <f>HYPERLINK("https://leetcode.com/problems/max-stack/", "Max Stack")</f>
        <v/>
      </c>
      <c r="C985" s="1" t="n">
        <v>2018</v>
      </c>
      <c r="D985" s="1" t="n">
        <v>513</v>
      </c>
      <c r="E985" s="4">
        <f>IF(INDEX(C:C, ROW())+INDEX(D:D, ROW())=0, 0, INDEX(C:C, ROW())/(INDEX(C:C, ROW())+INDEX(D:D, ROW())))</f>
        <v/>
      </c>
      <c r="F985" s="1" t="inlineStr">
        <is>
          <t>Linked List, Stack, Design, Doubly-Linked List, Ordered Set</t>
        </is>
      </c>
      <c r="G985" s="1" t="inlineStr">
        <is>
          <t>Hard</t>
        </is>
      </c>
      <c r="H985" s="1" t="n">
        <v>185170</v>
      </c>
      <c r="I985" s="1" t="n">
        <v>402934</v>
      </c>
      <c r="J985" s="9" t="n">
        <v>0.46</v>
      </c>
      <c r="K985" s="1" t="inlineStr">
        <is>
          <t>No</t>
        </is>
      </c>
      <c r="L985" s="1" t="inlineStr">
        <is>
          <t>Yes</t>
        </is>
      </c>
      <c r="M985" s="1" t="inlineStr">
        <is>
          <t>No</t>
        </is>
      </c>
      <c r="N985" s="1" t="inlineStr">
        <is>
          <t>Algorithms</t>
        </is>
      </c>
      <c r="O9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85" s="11" t="inlineStr">
        <is>
          <t>To Do</t>
        </is>
      </c>
    </row>
    <row r="986" ht="15.75" customHeight="1" s="12">
      <c r="A986" s="1" t="n">
        <v>1489</v>
      </c>
      <c r="B986" s="3">
        <f>HYPERLINK("https://leetcode.com/problems/find-critical-and-pseudo-critical-edges-in-minimum-spanning-tree/", "Find Critical and Pseudo-Critical Edges in Minimum Spanning Tree")</f>
        <v/>
      </c>
      <c r="C986" s="1" t="n">
        <v>2018</v>
      </c>
      <c r="D986" s="1" t="n">
        <v>172</v>
      </c>
      <c r="E986" s="4">
        <f>IF(INDEX(C:C, ROW())+INDEX(D:D, ROW())=0, 0, INDEX(C:C, ROW())/(INDEX(C:C, ROW())+INDEX(D:D, ROW())))</f>
        <v/>
      </c>
      <c r="F986" s="1" t="inlineStr">
        <is>
          <t>Union-Find, Graph Theory, Sorting, Minimum Spanning Tree, Strongly Connected Component</t>
        </is>
      </c>
      <c r="G986" s="1" t="inlineStr">
        <is>
          <t>Hard</t>
        </is>
      </c>
      <c r="H986" s="1" t="n">
        <v>74074</v>
      </c>
      <c r="I986" s="1" t="n">
        <v>111370</v>
      </c>
      <c r="J986" s="9" t="n">
        <v>0.665</v>
      </c>
      <c r="K986" s="1" t="inlineStr">
        <is>
          <t>Yes</t>
        </is>
      </c>
      <c r="L986" s="1" t="inlineStr">
        <is>
          <t>Yes</t>
        </is>
      </c>
      <c r="M986" s="1" t="inlineStr">
        <is>
          <t>No</t>
        </is>
      </c>
      <c r="N986" s="1" t="inlineStr">
        <is>
          <t>Algorithms</t>
        </is>
      </c>
      <c r="O9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86" s="11" t="inlineStr">
        <is>
          <t>To Do</t>
        </is>
      </c>
    </row>
    <row r="987" ht="15.75" customHeight="1" s="12">
      <c r="A987" s="1" t="n">
        <v>2563</v>
      </c>
      <c r="B987" s="3">
        <f>HYPERLINK("https://leetcode.com/problems/count-the-number-of-fair-pairs/", "Count the Number of Fair Pairs")</f>
        <v/>
      </c>
      <c r="C987" s="1" t="n">
        <v>2016</v>
      </c>
      <c r="D987" s="1" t="n">
        <v>150</v>
      </c>
      <c r="E987" s="4">
        <f>IF(INDEX(C:C, ROW())+INDEX(D:D, ROW())=0, 0, INDEX(C:C, ROW())/(INDEX(C:C, ROW())+INDEX(D:D, ROW())))</f>
        <v/>
      </c>
      <c r="F987" s="1" t="inlineStr">
        <is>
          <t>Array, Two Pointers, Binary Search, Sorting</t>
        </is>
      </c>
      <c r="G987" s="1" t="inlineStr">
        <is>
          <t>Medium</t>
        </is>
      </c>
      <c r="H987" s="1" t="n">
        <v>239376</v>
      </c>
      <c r="I987" s="1" t="n">
        <v>454514</v>
      </c>
      <c r="J987" s="9" t="n">
        <v>0.527</v>
      </c>
      <c r="K987" s="1" t="inlineStr">
        <is>
          <t>Yes</t>
        </is>
      </c>
      <c r="L987" s="1" t="inlineStr">
        <is>
          <t>Yes</t>
        </is>
      </c>
      <c r="M987" s="1" t="inlineStr">
        <is>
          <t>No</t>
        </is>
      </c>
      <c r="N987" s="1" t="inlineStr">
        <is>
          <t>Algorithms</t>
        </is>
      </c>
      <c r="O9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87" s="11" t="inlineStr">
        <is>
          <t>To Do</t>
        </is>
      </c>
    </row>
    <row r="988" ht="15.75" customHeight="1" s="12">
      <c r="A988" s="1" t="n">
        <v>1793</v>
      </c>
      <c r="B988" s="3">
        <f>HYPERLINK("https://leetcode.com/problems/maximum-score-of-a-good-subarray/", "Maximum Score of a Good Subarray")</f>
        <v/>
      </c>
      <c r="C988" s="1" t="n">
        <v>2012</v>
      </c>
      <c r="D988" s="1" t="n">
        <v>50</v>
      </c>
      <c r="E988" s="4">
        <f>IF(INDEX(C:C, ROW())+INDEX(D:D, ROW())=0, 0, INDEX(C:C, ROW())/(INDEX(C:C, ROW())+INDEX(D:D, ROW())))</f>
        <v/>
      </c>
      <c r="F988" s="1" t="inlineStr">
        <is>
          <t>Array, Two Pointers, Binary Search, Stack, Monotonic Stack</t>
        </is>
      </c>
      <c r="G988" s="1" t="inlineStr">
        <is>
          <t>Hard</t>
        </is>
      </c>
      <c r="H988" s="1" t="n">
        <v>90617</v>
      </c>
      <c r="I988" s="1" t="n">
        <v>141070</v>
      </c>
      <c r="J988" s="9" t="n">
        <v>0.642</v>
      </c>
      <c r="K988" s="1" t="inlineStr">
        <is>
          <t>Yes</t>
        </is>
      </c>
      <c r="L988" s="1" t="inlineStr">
        <is>
          <t>Yes</t>
        </is>
      </c>
      <c r="M988" s="1" t="inlineStr">
        <is>
          <t>No</t>
        </is>
      </c>
      <c r="N988" s="1" t="inlineStr">
        <is>
          <t>Algorithms</t>
        </is>
      </c>
      <c r="O9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88" s="11" t="inlineStr">
        <is>
          <t>To Do</t>
        </is>
      </c>
    </row>
    <row r="989" ht="15.75" customHeight="1" s="12">
      <c r="A989" s="1" t="n">
        <v>671</v>
      </c>
      <c r="B989" s="3">
        <f>HYPERLINK("https://leetcode.com/problems/second-minimum-node-in-a-binary-tree/", "Second Minimum Node In a Binary Tree")</f>
        <v/>
      </c>
      <c r="C989" s="1" t="n">
        <v>2010</v>
      </c>
      <c r="D989" s="1" t="n">
        <v>1904</v>
      </c>
      <c r="E989" s="4">
        <f>IF(INDEX(C:C, ROW())+INDEX(D:D, ROW())=0, 0, INDEX(C:C, ROW())/(INDEX(C:C, ROW())+INDEX(D:D, ROW())))</f>
        <v/>
      </c>
      <c r="F989" s="1" t="inlineStr">
        <is>
          <t>Tree, Depth-First Search, Binary Tree</t>
        </is>
      </c>
      <c r="G989" s="1" t="inlineStr">
        <is>
          <t>Easy</t>
        </is>
      </c>
      <c r="H989" s="1" t="n">
        <v>245166</v>
      </c>
      <c r="I989" s="1" t="n">
        <v>531823</v>
      </c>
      <c r="J989" s="9" t="n">
        <v>0.461</v>
      </c>
      <c r="K989" s="1" t="inlineStr">
        <is>
          <t>Yes</t>
        </is>
      </c>
      <c r="L989" s="1" t="inlineStr">
        <is>
          <t>Yes</t>
        </is>
      </c>
      <c r="M989" s="1" t="inlineStr">
        <is>
          <t>No</t>
        </is>
      </c>
      <c r="N989" s="1" t="inlineStr">
        <is>
          <t>Algorithms</t>
        </is>
      </c>
      <c r="O9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89" s="13" t="inlineStr">
        <is>
          <t>Done</t>
        </is>
      </c>
    </row>
    <row r="990" ht="15.75" customHeight="1" s="12">
      <c r="A990" s="1" t="n">
        <v>730</v>
      </c>
      <c r="B990" s="3">
        <f>HYPERLINK("https://leetcode.com/problems/count-different-palindromic-subsequences/", "Count Different Palindromic Subsequences")</f>
        <v/>
      </c>
      <c r="C990" s="1" t="n">
        <v>2008</v>
      </c>
      <c r="D990" s="1" t="n">
        <v>103</v>
      </c>
      <c r="E990" s="4">
        <f>IF(INDEX(C:C, ROW())+INDEX(D:D, ROW())=0, 0, INDEX(C:C, ROW())/(INDEX(C:C, ROW())+INDEX(D:D, ROW())))</f>
        <v/>
      </c>
      <c r="F990" s="1" t="inlineStr">
        <is>
          <t>String, Dynamic Programming</t>
        </is>
      </c>
      <c r="G990" s="1" t="inlineStr">
        <is>
          <t>Hard</t>
        </is>
      </c>
      <c r="H990" s="1" t="n">
        <v>45703</v>
      </c>
      <c r="I990" s="1" t="n">
        <v>95662</v>
      </c>
      <c r="J990" s="9" t="n">
        <v>0.478</v>
      </c>
      <c r="K990" s="1" t="inlineStr">
        <is>
          <t>Yes</t>
        </is>
      </c>
      <c r="L990" s="1" t="inlineStr">
        <is>
          <t>Yes</t>
        </is>
      </c>
      <c r="M990" s="1" t="inlineStr">
        <is>
          <t>No</t>
        </is>
      </c>
      <c r="N990" s="1" t="inlineStr">
        <is>
          <t>Algorithms</t>
        </is>
      </c>
      <c r="O9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90" s="11" t="inlineStr">
        <is>
          <t>To Do</t>
        </is>
      </c>
    </row>
    <row r="991" ht="15.75" customHeight="1" s="12">
      <c r="A991" s="1" t="n">
        <v>1791</v>
      </c>
      <c r="B991" s="3">
        <f>HYPERLINK("https://leetcode.com/problems/find-center-of-star-graph/", "Find Center of Star Graph")</f>
        <v/>
      </c>
      <c r="C991" s="1" t="n">
        <v>2005</v>
      </c>
      <c r="D991" s="1" t="n">
        <v>183</v>
      </c>
      <c r="E991" s="4">
        <f>IF(INDEX(C:C, ROW())+INDEX(D:D, ROW())=0, 0, INDEX(C:C, ROW())/(INDEX(C:C, ROW())+INDEX(D:D, ROW())))</f>
        <v/>
      </c>
      <c r="F991" s="1" t="inlineStr">
        <is>
          <t>Graph Theory</t>
        </is>
      </c>
      <c r="G991" s="1" t="inlineStr">
        <is>
          <t>Easy</t>
        </is>
      </c>
      <c r="H991" s="1" t="n">
        <v>445241</v>
      </c>
      <c r="I991" s="1" t="n">
        <v>514091</v>
      </c>
      <c r="J991" s="9" t="n">
        <v>0.866</v>
      </c>
      <c r="K991" s="1" t="inlineStr">
        <is>
          <t>Yes</t>
        </is>
      </c>
      <c r="L991" s="1" t="inlineStr">
        <is>
          <t>Yes</t>
        </is>
      </c>
      <c r="M991" s="1" t="inlineStr">
        <is>
          <t>No</t>
        </is>
      </c>
      <c r="N991" s="1" t="inlineStr">
        <is>
          <t>Algorithms</t>
        </is>
      </c>
      <c r="O9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91" s="13" t="inlineStr">
        <is>
          <t>Done</t>
        </is>
      </c>
    </row>
    <row r="992" ht="15.75" customHeight="1" s="12">
      <c r="A992" s="1" t="n">
        <v>1749</v>
      </c>
      <c r="B992" s="3">
        <f>HYPERLINK("https://leetcode.com/problems/maximum-absolute-sum-of-any-subarray/", "Maximum Absolute Sum of Any Subarray")</f>
        <v/>
      </c>
      <c r="C992" s="1" t="n">
        <v>2004</v>
      </c>
      <c r="D992" s="1" t="n">
        <v>51</v>
      </c>
      <c r="E992" s="4">
        <f>IF(INDEX(C:C, ROW())+INDEX(D:D, ROW())=0, 0, INDEX(C:C, ROW())/(INDEX(C:C, ROW())+INDEX(D:D, ROW())))</f>
        <v/>
      </c>
      <c r="F992" s="1" t="inlineStr">
        <is>
          <t>Array, Dynamic Programming</t>
        </is>
      </c>
      <c r="G992" s="1" t="inlineStr">
        <is>
          <t>Medium</t>
        </is>
      </c>
      <c r="H992" s="1" t="n">
        <v>192064</v>
      </c>
      <c r="I992" s="1" t="n">
        <v>270342</v>
      </c>
      <c r="J992" s="9" t="n">
        <v>0.71</v>
      </c>
      <c r="K992" s="1" t="inlineStr">
        <is>
          <t>Yes</t>
        </is>
      </c>
      <c r="L992" s="1" t="inlineStr">
        <is>
          <t>Yes</t>
        </is>
      </c>
      <c r="M992" s="1" t="inlineStr">
        <is>
          <t>No</t>
        </is>
      </c>
      <c r="N992" s="1" t="inlineStr">
        <is>
          <t>Algorithms</t>
        </is>
      </c>
      <c r="O9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92" s="11" t="inlineStr">
        <is>
          <t>To Do</t>
        </is>
      </c>
    </row>
    <row r="993" ht="15.75" customHeight="1" s="12">
      <c r="A993" s="1" t="n">
        <v>768</v>
      </c>
      <c r="B993" s="3">
        <f>HYPERLINK("https://leetcode.com/problems/max-chunks-to-make-sorted-ii/", "Max Chunks To Make Sorted II")</f>
        <v/>
      </c>
      <c r="C993" s="1" t="n">
        <v>2003</v>
      </c>
      <c r="D993" s="1" t="n">
        <v>63</v>
      </c>
      <c r="E993" s="4">
        <f>IF(INDEX(C:C, ROW())+INDEX(D:D, ROW())=0, 0, INDEX(C:C, ROW())/(INDEX(C:C, ROW())+INDEX(D:D, ROW())))</f>
        <v/>
      </c>
      <c r="F993" s="1" t="inlineStr">
        <is>
          <t>Array, Stack, Greedy, Sorting, Monotonic Stack</t>
        </is>
      </c>
      <c r="G993" s="1" t="inlineStr">
        <is>
          <t>Hard</t>
        </is>
      </c>
      <c r="H993" s="1" t="n">
        <v>87238</v>
      </c>
      <c r="I993" s="1" t="n">
        <v>159219</v>
      </c>
      <c r="J993" s="9" t="n">
        <v>0.548</v>
      </c>
      <c r="K993" s="1" t="inlineStr">
        <is>
          <t>Yes</t>
        </is>
      </c>
      <c r="L993" s="1" t="inlineStr">
        <is>
          <t>Yes</t>
        </is>
      </c>
      <c r="M993" s="1" t="inlineStr">
        <is>
          <t>No</t>
        </is>
      </c>
      <c r="N993" s="1" t="inlineStr">
        <is>
          <t>Algorithms</t>
        </is>
      </c>
      <c r="O9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93" s="11" t="inlineStr">
        <is>
          <t>To Do</t>
        </is>
      </c>
    </row>
    <row r="994" ht="15.75" customHeight="1" s="12">
      <c r="A994" s="1" t="n">
        <v>2009</v>
      </c>
      <c r="B994" s="3">
        <f>HYPERLINK("https://leetcode.com/problems/minimum-number-of-operations-to-make-array-continuous/", "Minimum Number of Operations to Make Array Continuous")</f>
        <v/>
      </c>
      <c r="C994" s="1" t="n">
        <v>1996</v>
      </c>
      <c r="D994" s="1" t="n">
        <v>54</v>
      </c>
      <c r="E994" s="4">
        <f>IF(INDEX(C:C, ROW())+INDEX(D:D, ROW())=0, 0, INDEX(C:C, ROW())/(INDEX(C:C, ROW())+INDEX(D:D, ROW())))</f>
        <v/>
      </c>
      <c r="F994" s="1" t="inlineStr">
        <is>
          <t>Array, Hash Table, Binary Search, Sliding Window</t>
        </is>
      </c>
      <c r="G994" s="1" t="inlineStr">
        <is>
          <t>Hard</t>
        </is>
      </c>
      <c r="H994" s="1" t="n">
        <v>87391</v>
      </c>
      <c r="I994" s="1" t="n">
        <v>168761</v>
      </c>
      <c r="J994" s="9" t="n">
        <v>0.518</v>
      </c>
      <c r="K994" s="1" t="inlineStr">
        <is>
          <t>Yes</t>
        </is>
      </c>
      <c r="L994" s="1" t="inlineStr">
        <is>
          <t>Yes</t>
        </is>
      </c>
      <c r="M994" s="1" t="inlineStr">
        <is>
          <t>No</t>
        </is>
      </c>
      <c r="N994" s="1" t="inlineStr">
        <is>
          <t>Algorithms</t>
        </is>
      </c>
      <c r="O9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94" s="11" t="inlineStr">
        <is>
          <t>To Do</t>
        </is>
      </c>
    </row>
    <row r="995" ht="15.75" customHeight="1" s="12">
      <c r="A995" s="1" t="n">
        <v>1296</v>
      </c>
      <c r="B995" s="3">
        <f>HYPERLINK("https://leetcode.com/problems/divide-array-in-sets-of-k-consecutive-numbers/", "Divide Array in Sets of K Consecutive Numbers")</f>
        <v/>
      </c>
      <c r="C995" s="1" t="n">
        <v>1994</v>
      </c>
      <c r="D995" s="1" t="n">
        <v>118</v>
      </c>
      <c r="E995" s="4">
        <f>IF(INDEX(C:C, ROW())+INDEX(D:D, ROW())=0, 0, INDEX(C:C, ROW())/(INDEX(C:C, ROW())+INDEX(D:D, ROW())))</f>
        <v/>
      </c>
      <c r="F995" s="1" t="inlineStr">
        <is>
          <t>Array, Hash Table, Greedy, Sorting</t>
        </is>
      </c>
      <c r="G995" s="1" t="inlineStr">
        <is>
          <t>Medium</t>
        </is>
      </c>
      <c r="H995" s="1" t="n">
        <v>128831</v>
      </c>
      <c r="I995" s="1" t="n">
        <v>217543</v>
      </c>
      <c r="J995" s="9" t="n">
        <v>0.592</v>
      </c>
      <c r="K995" s="1" t="inlineStr">
        <is>
          <t>Yes</t>
        </is>
      </c>
      <c r="L995" s="1" t="inlineStr">
        <is>
          <t>No</t>
        </is>
      </c>
      <c r="M995" s="1" t="inlineStr">
        <is>
          <t>No</t>
        </is>
      </c>
      <c r="N995" s="1" t="inlineStr">
        <is>
          <t>Algorithms</t>
        </is>
      </c>
      <c r="O9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95" s="11" t="inlineStr">
        <is>
          <t>To Do</t>
        </is>
      </c>
    </row>
    <row r="996" ht="15.75" customHeight="1" s="12">
      <c r="A996" s="1" t="n">
        <v>1251</v>
      </c>
      <c r="B996" s="3">
        <f>HYPERLINK("https://leetcode.com/problems/average-selling-price/", "Average Selling Price")</f>
        <v/>
      </c>
      <c r="C996" s="1" t="n">
        <v>1992</v>
      </c>
      <c r="D996" s="1" t="n">
        <v>271</v>
      </c>
      <c r="E996" s="4">
        <f>IF(INDEX(C:C, ROW())+INDEX(D:D, ROW())=0, 0, INDEX(C:C, ROW())/(INDEX(C:C, ROW())+INDEX(D:D, ROW())))</f>
        <v/>
      </c>
      <c r="F996" s="1" t="inlineStr">
        <is>
          <t>Database</t>
        </is>
      </c>
      <c r="G996" s="1" t="inlineStr">
        <is>
          <t>Easy</t>
        </is>
      </c>
      <c r="H996" s="1" t="n">
        <v>652004</v>
      </c>
      <c r="I996" s="1" t="n">
        <v>1748671</v>
      </c>
      <c r="J996" s="9" t="n">
        <v>0.373</v>
      </c>
      <c r="K996" s="1" t="inlineStr">
        <is>
          <t>Yes</t>
        </is>
      </c>
      <c r="L996" s="1" t="inlineStr">
        <is>
          <t>Yes</t>
        </is>
      </c>
      <c r="M996" s="1" t="inlineStr">
        <is>
          <t>No</t>
        </is>
      </c>
      <c r="N996" s="1" t="inlineStr">
        <is>
          <t>Database</t>
        </is>
      </c>
      <c r="O9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96" s="13" t="inlineStr">
        <is>
          <t>Done</t>
        </is>
      </c>
    </row>
    <row r="997" ht="15.75" customHeight="1" s="12">
      <c r="A997" s="1" t="n">
        <v>305</v>
      </c>
      <c r="B997" s="3">
        <f>HYPERLINK("https://leetcode.com/problems/number-of-islands-ii/", "Number of Islands II")</f>
        <v/>
      </c>
      <c r="C997" s="1" t="n">
        <v>1991</v>
      </c>
      <c r="D997" s="1" t="n">
        <v>77</v>
      </c>
      <c r="E997" s="4">
        <f>IF(INDEX(C:C, ROW())+INDEX(D:D, ROW())=0, 0, INDEX(C:C, ROW())/(INDEX(C:C, ROW())+INDEX(D:D, ROW())))</f>
        <v/>
      </c>
      <c r="F997" s="1" t="inlineStr">
        <is>
          <t>Array, Hash Table, Union-Find</t>
        </is>
      </c>
      <c r="G997" s="1" t="inlineStr">
        <is>
          <t>Hard</t>
        </is>
      </c>
      <c r="H997" s="1" t="n">
        <v>182220</v>
      </c>
      <c r="I997" s="1" t="n">
        <v>449101</v>
      </c>
      <c r="J997" s="9" t="n">
        <v>0.406</v>
      </c>
      <c r="K997" s="1" t="inlineStr">
        <is>
          <t>No</t>
        </is>
      </c>
      <c r="L997" s="1" t="inlineStr">
        <is>
          <t>Yes</t>
        </is>
      </c>
      <c r="M997" s="1" t="inlineStr">
        <is>
          <t>No</t>
        </is>
      </c>
      <c r="N997" s="1" t="inlineStr">
        <is>
          <t>Algorithms</t>
        </is>
      </c>
      <c r="O9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97" s="11" t="inlineStr">
        <is>
          <t>To Do</t>
        </is>
      </c>
    </row>
    <row r="998" ht="15.75" customHeight="1" s="12">
      <c r="A998" s="1" t="n">
        <v>317</v>
      </c>
      <c r="B998" s="3">
        <f>HYPERLINK("https://leetcode.com/problems/shortest-distance-from-all-buildings/", "Shortest Distance from All Buildings")</f>
        <v/>
      </c>
      <c r="C998" s="1" t="n">
        <v>1990</v>
      </c>
      <c r="D998" s="1" t="n">
        <v>343</v>
      </c>
      <c r="E998" s="4">
        <f>IF(INDEX(C:C, ROW())+INDEX(D:D, ROW())=0, 0, INDEX(C:C, ROW())/(INDEX(C:C, ROW())+INDEX(D:D, ROW())))</f>
        <v/>
      </c>
      <c r="F998" s="1" t="inlineStr">
        <is>
          <t>Array, Breadth-First Search, Matrix</t>
        </is>
      </c>
      <c r="G998" s="1" t="inlineStr">
        <is>
          <t>Hard</t>
        </is>
      </c>
      <c r="H998" s="1" t="n">
        <v>220049</v>
      </c>
      <c r="I998" s="1" t="n">
        <v>489865</v>
      </c>
      <c r="J998" s="9" t="n">
        <v>0.449</v>
      </c>
      <c r="K998" s="1" t="inlineStr">
        <is>
          <t>No</t>
        </is>
      </c>
      <c r="L998" s="1" t="inlineStr">
        <is>
          <t>Yes</t>
        </is>
      </c>
      <c r="M998" s="1" t="inlineStr">
        <is>
          <t>No</t>
        </is>
      </c>
      <c r="N998" s="1" t="inlineStr">
        <is>
          <t>Algorithms</t>
        </is>
      </c>
      <c r="O9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98" s="11" t="inlineStr">
        <is>
          <t>To Do</t>
        </is>
      </c>
    </row>
    <row r="999" ht="15.75" customHeight="1" s="12">
      <c r="A999" s="1" t="n">
        <v>965</v>
      </c>
      <c r="B999" s="3">
        <f>HYPERLINK("https://leetcode.com/problems/univalued-binary-tree/", "Univalued Binary Tree")</f>
        <v/>
      </c>
      <c r="C999" s="1" t="n">
        <v>1987</v>
      </c>
      <c r="D999" s="1" t="n">
        <v>68</v>
      </c>
      <c r="E999" s="4">
        <f>IF(INDEX(C:C, ROW())+INDEX(D:D, ROW())=0, 0, INDEX(C:C, ROW())/(INDEX(C:C, ROW())+INDEX(D:D, ROW())))</f>
        <v/>
      </c>
      <c r="F999" s="1" t="inlineStr">
        <is>
          <t>Tree, Depth-First Search, Breadth-First Search, Binary Tree</t>
        </is>
      </c>
      <c r="G999" s="1" t="inlineStr">
        <is>
          <t>Easy</t>
        </is>
      </c>
      <c r="H999" s="1" t="n">
        <v>276913</v>
      </c>
      <c r="I999" s="1" t="n">
        <v>379146</v>
      </c>
      <c r="J999" s="9" t="n">
        <v>0.73</v>
      </c>
      <c r="K999" s="1" t="inlineStr">
        <is>
          <t>Yes</t>
        </is>
      </c>
      <c r="L999" s="1" t="inlineStr">
        <is>
          <t>Yes</t>
        </is>
      </c>
      <c r="M999" s="1" t="inlineStr">
        <is>
          <t>No</t>
        </is>
      </c>
      <c r="N999" s="1" t="inlineStr">
        <is>
          <t>Algorithms</t>
        </is>
      </c>
      <c r="O9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999" s="13" t="inlineStr">
        <is>
          <t>Done</t>
        </is>
      </c>
    </row>
    <row r="1000" ht="15.75" customHeight="1" s="12">
      <c r="A1000" s="1" t="n">
        <v>726</v>
      </c>
      <c r="B1000" s="3">
        <f>HYPERLINK("https://leetcode.com/problems/number-of-atoms/", "Number of Atoms")</f>
        <v/>
      </c>
      <c r="C1000" s="1" t="n">
        <v>1980</v>
      </c>
      <c r="D1000" s="1" t="n">
        <v>412</v>
      </c>
      <c r="E1000" s="4">
        <f>IF(INDEX(C:C, ROW())+INDEX(D:D, ROW())=0, 0, INDEX(C:C, ROW())/(INDEX(C:C, ROW())+INDEX(D:D, ROW())))</f>
        <v/>
      </c>
      <c r="F1000" s="1" t="inlineStr">
        <is>
          <t>Hash Table, String, Stack, Sorting</t>
        </is>
      </c>
      <c r="G1000" s="1" t="inlineStr">
        <is>
          <t>Hard</t>
        </is>
      </c>
      <c r="H1000" s="1" t="n">
        <v>162281</v>
      </c>
      <c r="I1000" s="1" t="n">
        <v>249295</v>
      </c>
      <c r="J1000" s="9" t="n">
        <v>0.651</v>
      </c>
      <c r="K1000" s="1" t="inlineStr">
        <is>
          <t>Yes</t>
        </is>
      </c>
      <c r="L1000" s="1" t="inlineStr">
        <is>
          <t>Yes</t>
        </is>
      </c>
      <c r="M1000" s="1" t="inlineStr">
        <is>
          <t>No</t>
        </is>
      </c>
      <c r="N1000" s="1" t="inlineStr">
        <is>
          <t>Algorithms</t>
        </is>
      </c>
      <c r="O10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00" s="11" t="inlineStr">
        <is>
          <t>To Do</t>
        </is>
      </c>
    </row>
    <row r="1001" ht="15.75" customHeight="1" s="12">
      <c r="A1001" s="1" t="n">
        <v>1561</v>
      </c>
      <c r="B1001" s="3">
        <f>HYPERLINK("https://leetcode.com/problems/maximum-number-of-coins-you-can-get/", "Maximum Number of Coins You Can Get")</f>
        <v/>
      </c>
      <c r="C1001" s="1" t="n">
        <v>1978</v>
      </c>
      <c r="D1001" s="1" t="n">
        <v>224</v>
      </c>
      <c r="E1001" s="4">
        <f>IF(INDEX(C:C, ROW())+INDEX(D:D, ROW())=0, 0, INDEX(C:C, ROW())/(INDEX(C:C, ROW())+INDEX(D:D, ROW())))</f>
        <v/>
      </c>
      <c r="F1001" s="1" t="inlineStr">
        <is>
          <t>Array, Math, Greedy, Sorting, Game Theory</t>
        </is>
      </c>
      <c r="G1001" s="1" t="inlineStr">
        <is>
          <t>Medium</t>
        </is>
      </c>
      <c r="H1001" s="1" t="n">
        <v>201119</v>
      </c>
      <c r="I1001" s="1" t="n">
        <v>237258</v>
      </c>
      <c r="J1001" s="9" t="n">
        <v>0.848</v>
      </c>
      <c r="K1001" s="1" t="inlineStr">
        <is>
          <t>Yes</t>
        </is>
      </c>
      <c r="L1001" s="1" t="inlineStr">
        <is>
          <t>Yes</t>
        </is>
      </c>
      <c r="M1001" s="1" t="inlineStr">
        <is>
          <t>No</t>
        </is>
      </c>
      <c r="N1001" s="1" t="inlineStr">
        <is>
          <t>Algorithms</t>
        </is>
      </c>
      <c r="O10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01" s="11" t="inlineStr">
        <is>
          <t>To Do</t>
        </is>
      </c>
    </row>
    <row r="1002" ht="15.75" customHeight="1" s="12">
      <c r="A1002" s="1" t="n">
        <v>401</v>
      </c>
      <c r="B1002" s="3">
        <f>HYPERLINK("https://leetcode.com/problems/binary-watch/", "Binary Watch")</f>
        <v/>
      </c>
      <c r="C1002" s="1" t="n">
        <v>1972</v>
      </c>
      <c r="D1002" s="1" t="n">
        <v>3080</v>
      </c>
      <c r="E1002" s="4">
        <f>IF(INDEX(C:C, ROW())+INDEX(D:D, ROW())=0, 0, INDEX(C:C, ROW())/(INDEX(C:C, ROW())+INDEX(D:D, ROW())))</f>
        <v/>
      </c>
      <c r="F1002" s="1" t="inlineStr">
        <is>
          <t>Backtracking, Bit Manipulation</t>
        </is>
      </c>
      <c r="G1002" s="1" t="inlineStr">
        <is>
          <t>Easy</t>
        </is>
      </c>
      <c r="H1002" s="1" t="n">
        <v>282728</v>
      </c>
      <c r="I1002" s="1" t="n">
        <v>431859</v>
      </c>
      <c r="J1002" s="9" t="n">
        <v>0.655</v>
      </c>
      <c r="K1002" s="1" t="inlineStr">
        <is>
          <t>Yes</t>
        </is>
      </c>
      <c r="L1002" s="1" t="inlineStr">
        <is>
          <t>Yes</t>
        </is>
      </c>
      <c r="M1002" s="1" t="inlineStr">
        <is>
          <t>No</t>
        </is>
      </c>
      <c r="N1002" s="1" t="inlineStr">
        <is>
          <t>Algorithms</t>
        </is>
      </c>
      <c r="O10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02" s="13" t="inlineStr">
        <is>
          <t>Done</t>
        </is>
      </c>
    </row>
    <row r="1003" ht="15.75" customHeight="1" s="12">
      <c r="A1003" s="1" t="n">
        <v>1962</v>
      </c>
      <c r="B1003" s="3">
        <f>HYPERLINK("https://leetcode.com/problems/remove-stones-to-minimize-the-total/", "Remove Stones to Minimize the Total")</f>
        <v/>
      </c>
      <c r="C1003" s="1" t="n">
        <v>1972</v>
      </c>
      <c r="D1003" s="1" t="n">
        <v>183</v>
      </c>
      <c r="E1003" s="4">
        <f>IF(INDEX(C:C, ROW())+INDEX(D:D, ROW())=0, 0, INDEX(C:C, ROW())/(INDEX(C:C, ROW())+INDEX(D:D, ROW())))</f>
        <v/>
      </c>
      <c r="F1003" s="1" t="inlineStr">
        <is>
          <t>Array, Greedy, Heap (Priority Queue)</t>
        </is>
      </c>
      <c r="G1003" s="1" t="inlineStr">
        <is>
          <t>Medium</t>
        </is>
      </c>
      <c r="H1003" s="1" t="n">
        <v>151267</v>
      </c>
      <c r="I1003" s="1" t="n">
        <v>230250</v>
      </c>
      <c r="J1003" s="9" t="n">
        <v>0.657</v>
      </c>
      <c r="K1003" s="1" t="inlineStr">
        <is>
          <t>Yes</t>
        </is>
      </c>
      <c r="L1003" s="1" t="inlineStr">
        <is>
          <t>Yes</t>
        </is>
      </c>
      <c r="M1003" s="1" t="inlineStr">
        <is>
          <t>No</t>
        </is>
      </c>
      <c r="N1003" s="1" t="inlineStr">
        <is>
          <t>Algorithms</t>
        </is>
      </c>
      <c r="O10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03" s="11" t="inlineStr">
        <is>
          <t>To Do</t>
        </is>
      </c>
    </row>
    <row r="1004" ht="15.75" customHeight="1" s="12">
      <c r="A1004" s="1" t="n">
        <v>898</v>
      </c>
      <c r="B1004" s="3">
        <f>HYPERLINK("https://leetcode.com/problems/bitwise-ors-of-subarrays/", "Bitwise ORs of Subarrays")</f>
        <v/>
      </c>
      <c r="C1004" s="1" t="n">
        <v>1968</v>
      </c>
      <c r="D1004" s="1" t="n">
        <v>244</v>
      </c>
      <c r="E1004" s="4">
        <f>IF(INDEX(C:C, ROW())+INDEX(D:D, ROW())=0, 0, INDEX(C:C, ROW())/(INDEX(C:C, ROW())+INDEX(D:D, ROW())))</f>
        <v/>
      </c>
      <c r="F1004" s="1" t="inlineStr">
        <is>
          <t>Array, Dynamic Programming, Bit Manipulation</t>
        </is>
      </c>
      <c r="G1004" s="1" t="inlineStr">
        <is>
          <t>Medium</t>
        </is>
      </c>
      <c r="H1004" s="1" t="n">
        <v>134475</v>
      </c>
      <c r="I1004" s="1" t="n">
        <v>236534</v>
      </c>
      <c r="J1004" s="9" t="n">
        <v>0.569</v>
      </c>
      <c r="K1004" s="1" t="inlineStr">
        <is>
          <t>Yes</t>
        </is>
      </c>
      <c r="L1004" s="1" t="inlineStr">
        <is>
          <t>Yes</t>
        </is>
      </c>
      <c r="M1004" s="1" t="inlineStr">
        <is>
          <t>No</t>
        </is>
      </c>
      <c r="N1004" s="1" t="inlineStr">
        <is>
          <t>Algorithms</t>
        </is>
      </c>
      <c r="O10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04" s="11" t="inlineStr">
        <is>
          <t>To Do</t>
        </is>
      </c>
    </row>
    <row r="1005" ht="15.75" customHeight="1" s="12">
      <c r="A1005" s="1" t="n">
        <v>396</v>
      </c>
      <c r="B1005" s="3">
        <f>HYPERLINK("https://leetcode.com/problems/rotate-function/", "Rotate Function")</f>
        <v/>
      </c>
      <c r="C1005" s="1" t="n">
        <v>1967</v>
      </c>
      <c r="D1005" s="1" t="n">
        <v>290</v>
      </c>
      <c r="E1005" s="4">
        <f>IF(INDEX(C:C, ROW())+INDEX(D:D, ROW())=0, 0, INDEX(C:C, ROW())/(INDEX(C:C, ROW())+INDEX(D:D, ROW())))</f>
        <v/>
      </c>
      <c r="F1005" s="1" t="inlineStr">
        <is>
          <t>Array, Math, Dynamic Programming</t>
        </is>
      </c>
      <c r="G1005" s="1" t="inlineStr">
        <is>
          <t>Medium</t>
        </is>
      </c>
      <c r="H1005" s="1" t="n">
        <v>196047</v>
      </c>
      <c r="I1005" s="1" t="n">
        <v>363064</v>
      </c>
      <c r="J1005" s="9" t="n">
        <v>0.54</v>
      </c>
      <c r="K1005" s="1" t="inlineStr">
        <is>
          <t>Yes</t>
        </is>
      </c>
      <c r="L1005" s="1" t="inlineStr">
        <is>
          <t>Yes</t>
        </is>
      </c>
      <c r="M1005" s="1" t="inlineStr">
        <is>
          <t>No</t>
        </is>
      </c>
      <c r="N1005" s="1" t="inlineStr">
        <is>
          <t>Algorithms</t>
        </is>
      </c>
      <c r="O10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05" s="11" t="inlineStr">
        <is>
          <t>To Do</t>
        </is>
      </c>
    </row>
    <row r="1006" ht="15.75" customHeight="1" s="12">
      <c r="A1006" s="1" t="n">
        <v>2089</v>
      </c>
      <c r="B1006" s="3">
        <f>HYPERLINK("https://leetcode.com/problems/find-target-indices-after-sorting-array/", "Find Target Indices After Sorting Array")</f>
        <v/>
      </c>
      <c r="C1006" s="1" t="n">
        <v>1967</v>
      </c>
      <c r="D1006" s="1" t="n">
        <v>106</v>
      </c>
      <c r="E1006" s="4">
        <f>IF(INDEX(C:C, ROW())+INDEX(D:D, ROW())=0, 0, INDEX(C:C, ROW())/(INDEX(C:C, ROW())+INDEX(D:D, ROW())))</f>
        <v/>
      </c>
      <c r="F1006" s="1" t="inlineStr">
        <is>
          <t>Array, Binary Search, Sorting</t>
        </is>
      </c>
      <c r="G1006" s="1" t="inlineStr">
        <is>
          <t>Easy</t>
        </is>
      </c>
      <c r="H1006" s="1" t="n">
        <v>277168</v>
      </c>
      <c r="I1006" s="1" t="n">
        <v>355451</v>
      </c>
      <c r="J1006" s="9" t="n">
        <v>0.78</v>
      </c>
      <c r="K1006" s="1" t="inlineStr">
        <is>
          <t>Yes</t>
        </is>
      </c>
      <c r="L1006" s="1" t="inlineStr">
        <is>
          <t>No</t>
        </is>
      </c>
      <c r="M1006" s="1" t="inlineStr">
        <is>
          <t>No</t>
        </is>
      </c>
      <c r="N1006" s="1" t="inlineStr">
        <is>
          <t>Algorithms</t>
        </is>
      </c>
      <c r="O10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06" s="13" t="inlineStr">
        <is>
          <t>Done</t>
        </is>
      </c>
    </row>
    <row r="1007" ht="15.75" customHeight="1" s="12">
      <c r="A1007" s="1" t="n">
        <v>2306</v>
      </c>
      <c r="B1007" s="3">
        <f>HYPERLINK("https://leetcode.com/problems/naming-a-company/", "Naming a Company")</f>
        <v/>
      </c>
      <c r="C1007" s="1" t="n">
        <v>1967</v>
      </c>
      <c r="D1007" s="1" t="n">
        <v>74</v>
      </c>
      <c r="E1007" s="4">
        <f>IF(INDEX(C:C, ROW())+INDEX(D:D, ROW())=0, 0, INDEX(C:C, ROW())/(INDEX(C:C, ROW())+INDEX(D:D, ROW())))</f>
        <v/>
      </c>
      <c r="F1007" s="1" t="inlineStr">
        <is>
          <t>Array, Hash Table, String, Bit Manipulation, Enumeration</t>
        </is>
      </c>
      <c r="G1007" s="1" t="inlineStr">
        <is>
          <t>Hard</t>
        </is>
      </c>
      <c r="H1007" s="1" t="n">
        <v>65746</v>
      </c>
      <c r="I1007" s="1" t="n">
        <v>141357</v>
      </c>
      <c r="J1007" s="9" t="n">
        <v>0.465</v>
      </c>
      <c r="K1007" s="1" t="inlineStr">
        <is>
          <t>Yes</t>
        </is>
      </c>
      <c r="L1007" s="1" t="inlineStr">
        <is>
          <t>Yes</t>
        </is>
      </c>
      <c r="M1007" s="1" t="inlineStr">
        <is>
          <t>No</t>
        </is>
      </c>
      <c r="N1007" s="1" t="inlineStr">
        <is>
          <t>Algorithms</t>
        </is>
      </c>
      <c r="O10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07" s="11" t="inlineStr">
        <is>
          <t>To Do</t>
        </is>
      </c>
    </row>
    <row r="1008" ht="15.75" customHeight="1" s="12">
      <c r="A1008" s="1" t="n">
        <v>2353</v>
      </c>
      <c r="B1008" s="3">
        <f>HYPERLINK("https://leetcode.com/problems/design-a-food-rating-system/", "Design a Food Rating System")</f>
        <v/>
      </c>
      <c r="C1008" s="1" t="n">
        <v>1965</v>
      </c>
      <c r="D1008" s="1" t="n">
        <v>328</v>
      </c>
      <c r="E1008" s="4">
        <f>IF(INDEX(C:C, ROW())+INDEX(D:D, ROW())=0, 0, INDEX(C:C, ROW())/(INDEX(C:C, ROW())+INDEX(D:D, ROW())))</f>
        <v/>
      </c>
      <c r="F1008" s="1" t="inlineStr">
        <is>
          <t>Array, Hash Table, String, Design, Heap (Priority Queue), Ordered Set</t>
        </is>
      </c>
      <c r="G1008" s="1" t="inlineStr">
        <is>
          <t>Medium</t>
        </is>
      </c>
      <c r="H1008" s="1" t="n">
        <v>182244</v>
      </c>
      <c r="I1008" s="1" t="n">
        <v>344795</v>
      </c>
      <c r="J1008" s="9" t="n">
        <v>0.529</v>
      </c>
      <c r="K1008" s="1" t="inlineStr">
        <is>
          <t>Yes</t>
        </is>
      </c>
      <c r="L1008" s="1" t="inlineStr">
        <is>
          <t>Yes</t>
        </is>
      </c>
      <c r="M1008" s="1" t="inlineStr">
        <is>
          <t>No</t>
        </is>
      </c>
      <c r="N1008" s="1" t="inlineStr">
        <is>
          <t>Algorithms</t>
        </is>
      </c>
      <c r="O10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08" s="11" t="inlineStr">
        <is>
          <t>To Do</t>
        </is>
      </c>
    </row>
    <row r="1009" ht="15.75" customHeight="1" s="12">
      <c r="A1009" s="1" t="n">
        <v>759</v>
      </c>
      <c r="B1009" s="3">
        <f>HYPERLINK("https://leetcode.com/problems/employee-free-time/", "Employee Free Time")</f>
        <v/>
      </c>
      <c r="C1009" s="1" t="n">
        <v>1963</v>
      </c>
      <c r="D1009" s="1" t="n">
        <v>149</v>
      </c>
      <c r="E1009" s="4">
        <f>IF(INDEX(C:C, ROW())+INDEX(D:D, ROW())=0, 0, INDEX(C:C, ROW())/(INDEX(C:C, ROW())+INDEX(D:D, ROW())))</f>
        <v/>
      </c>
      <c r="F1009" s="1" t="inlineStr">
        <is>
          <t>Array, Sweep Line, Sorting, Heap (Priority Queue)</t>
        </is>
      </c>
      <c r="G1009" s="1" t="inlineStr">
        <is>
          <t>Hard</t>
        </is>
      </c>
      <c r="H1009" s="1" t="n">
        <v>180428</v>
      </c>
      <c r="I1009" s="1" t="n">
        <v>247411</v>
      </c>
      <c r="J1009" s="9" t="n">
        <v>0.729</v>
      </c>
      <c r="K1009" s="1" t="inlineStr">
        <is>
          <t>No</t>
        </is>
      </c>
      <c r="L1009" s="1" t="inlineStr">
        <is>
          <t>Yes</t>
        </is>
      </c>
      <c r="M1009" s="1" t="inlineStr">
        <is>
          <t>No</t>
        </is>
      </c>
      <c r="N1009" s="1" t="inlineStr">
        <is>
          <t>Algorithms</t>
        </is>
      </c>
      <c r="O10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09" s="11" t="inlineStr">
        <is>
          <t>To Do</t>
        </is>
      </c>
    </row>
    <row r="1010" ht="15.75" customHeight="1" s="12">
      <c r="A1010" s="1" t="n">
        <v>879</v>
      </c>
      <c r="B1010" s="3">
        <f>HYPERLINK("https://leetcode.com/problems/profitable-schemes/", "Profitable Schemes")</f>
        <v/>
      </c>
      <c r="C1010" s="1" t="n">
        <v>1958</v>
      </c>
      <c r="D1010" s="1" t="n">
        <v>126</v>
      </c>
      <c r="E1010" s="4">
        <f>IF(INDEX(C:C, ROW())+INDEX(D:D, ROW())=0, 0, INDEX(C:C, ROW())/(INDEX(C:C, ROW())+INDEX(D:D, ROW())))</f>
        <v/>
      </c>
      <c r="F1010" s="1" t="inlineStr">
        <is>
          <t>Array, Dynamic Programming</t>
        </is>
      </c>
      <c r="G1010" s="1" t="inlineStr">
        <is>
          <t>Hard</t>
        </is>
      </c>
      <c r="H1010" s="1" t="n">
        <v>79223</v>
      </c>
      <c r="I1010" s="1" t="n">
        <v>163926</v>
      </c>
      <c r="J1010" s="9" t="n">
        <v>0.483</v>
      </c>
      <c r="K1010" s="1" t="inlineStr">
        <is>
          <t>Yes</t>
        </is>
      </c>
      <c r="L1010" s="1" t="inlineStr">
        <is>
          <t>Yes</t>
        </is>
      </c>
      <c r="M1010" s="1" t="inlineStr">
        <is>
          <t>No</t>
        </is>
      </c>
      <c r="N1010" s="1" t="inlineStr">
        <is>
          <t>Algorithms</t>
        </is>
      </c>
      <c r="O10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10" s="11" t="inlineStr">
        <is>
          <t>To Do</t>
        </is>
      </c>
    </row>
    <row r="1011" ht="15.75" customHeight="1" s="12">
      <c r="A1011" s="1" t="n">
        <v>2092</v>
      </c>
      <c r="B1011" s="3">
        <f>HYPERLINK("https://leetcode.com/problems/find-all-people-with-secret/", "Find All People With Secret")</f>
        <v/>
      </c>
      <c r="C1011" s="1" t="n">
        <v>1952</v>
      </c>
      <c r="D1011" s="1" t="n">
        <v>90</v>
      </c>
      <c r="E1011" s="4">
        <f>IF(INDEX(C:C, ROW())+INDEX(D:D, ROW())=0, 0, INDEX(C:C, ROW())/(INDEX(C:C, ROW())+INDEX(D:D, ROW())))</f>
        <v/>
      </c>
      <c r="F1011" s="1" t="inlineStr">
        <is>
          <t>Depth-First Search, Breadth-First Search, Union-Find, Graph Theory, Sorting</t>
        </is>
      </c>
      <c r="G1011" s="1" t="inlineStr">
        <is>
          <t>Hard</t>
        </is>
      </c>
      <c r="H1011" s="1" t="n">
        <v>167955</v>
      </c>
      <c r="I1011" s="1" t="n">
        <v>347009</v>
      </c>
      <c r="J1011" s="9" t="n">
        <v>0.484</v>
      </c>
      <c r="K1011" s="1" t="inlineStr">
        <is>
          <t>Yes</t>
        </is>
      </c>
      <c r="L1011" s="1" t="inlineStr">
        <is>
          <t>Yes</t>
        </is>
      </c>
      <c r="M1011" s="1" t="inlineStr">
        <is>
          <t>No</t>
        </is>
      </c>
      <c r="N1011" s="1" t="inlineStr">
        <is>
          <t>Algorithms</t>
        </is>
      </c>
      <c r="O10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11" s="11" t="inlineStr">
        <is>
          <t>To Do</t>
        </is>
      </c>
    </row>
    <row r="1012" ht="15.75" customHeight="1" s="12">
      <c r="A1012" s="1" t="n">
        <v>728</v>
      </c>
      <c r="B1012" s="3">
        <f>HYPERLINK("https://leetcode.com/problems/self-dividing-numbers/", "Self Dividing Numbers")</f>
        <v/>
      </c>
      <c r="C1012" s="1" t="n">
        <v>1947</v>
      </c>
      <c r="D1012" s="1" t="n">
        <v>387</v>
      </c>
      <c r="E1012" s="4">
        <f>IF(INDEX(C:C, ROW())+INDEX(D:D, ROW())=0, 0, INDEX(C:C, ROW())/(INDEX(C:C, ROW())+INDEX(D:D, ROW())))</f>
        <v/>
      </c>
      <c r="F1012" s="1" t="inlineStr">
        <is>
          <t>Math</t>
        </is>
      </c>
      <c r="G1012" s="1" t="inlineStr">
        <is>
          <t>Easy</t>
        </is>
      </c>
      <c r="H1012" s="1" t="n">
        <v>338048</v>
      </c>
      <c r="I1012" s="1" t="n">
        <v>418516</v>
      </c>
      <c r="J1012" s="9" t="n">
        <v>0.8080000000000001</v>
      </c>
      <c r="K1012" s="1" t="inlineStr">
        <is>
          <t>Yes</t>
        </is>
      </c>
      <c r="L1012" s="1" t="inlineStr">
        <is>
          <t>Yes</t>
        </is>
      </c>
      <c r="M1012" s="1" t="inlineStr">
        <is>
          <t>No</t>
        </is>
      </c>
      <c r="N1012" s="1" t="inlineStr">
        <is>
          <t>Algorithms</t>
        </is>
      </c>
      <c r="O10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12" s="13" t="inlineStr">
        <is>
          <t>Done</t>
        </is>
      </c>
    </row>
    <row r="1013" ht="15.75" customHeight="1" s="12">
      <c r="A1013" s="1" t="n">
        <v>754</v>
      </c>
      <c r="B1013" s="3">
        <f>HYPERLINK("https://leetcode.com/problems/reach-a-number/", "Reach a Number")</f>
        <v/>
      </c>
      <c r="C1013" s="1" t="n">
        <v>1946</v>
      </c>
      <c r="D1013" s="1" t="n">
        <v>843</v>
      </c>
      <c r="E1013" s="4">
        <f>IF(INDEX(C:C, ROW())+INDEX(D:D, ROW())=0, 0, INDEX(C:C, ROW())/(INDEX(C:C, ROW())+INDEX(D:D, ROW())))</f>
        <v/>
      </c>
      <c r="F1013" s="1" t="inlineStr">
        <is>
          <t>Math, Binary Search</t>
        </is>
      </c>
      <c r="G1013" s="1" t="inlineStr">
        <is>
          <t>Medium</t>
        </is>
      </c>
      <c r="H1013" s="1" t="n">
        <v>72543</v>
      </c>
      <c r="I1013" s="1" t="n">
        <v>160992</v>
      </c>
      <c r="J1013" s="9" t="n">
        <v>0.451</v>
      </c>
      <c r="K1013" s="1" t="inlineStr">
        <is>
          <t>Yes</t>
        </is>
      </c>
      <c r="L1013" s="1" t="inlineStr">
        <is>
          <t>Yes</t>
        </is>
      </c>
      <c r="M1013" s="1" t="inlineStr">
        <is>
          <t>No</t>
        </is>
      </c>
      <c r="N1013" s="1" t="inlineStr">
        <is>
          <t>Algorithms</t>
        </is>
      </c>
      <c r="O10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13" s="11" t="inlineStr">
        <is>
          <t>To Do</t>
        </is>
      </c>
    </row>
    <row r="1014" ht="15.75" customHeight="1" s="12">
      <c r="A1014" s="1" t="n">
        <v>1792</v>
      </c>
      <c r="B1014" s="3">
        <f>HYPERLINK("https://leetcode.com/problems/maximum-average-pass-ratio/", "Maximum Average Pass Ratio")</f>
        <v/>
      </c>
      <c r="C1014" s="1" t="n">
        <v>1941</v>
      </c>
      <c r="D1014" s="1" t="n">
        <v>140</v>
      </c>
      <c r="E1014" s="4">
        <f>IF(INDEX(C:C, ROW())+INDEX(D:D, ROW())=0, 0, INDEX(C:C, ROW())/(INDEX(C:C, ROW())+INDEX(D:D, ROW())))</f>
        <v/>
      </c>
      <c r="F1014" s="1" t="inlineStr">
        <is>
          <t>Array, Greedy, Heap (Priority Queue)</t>
        </is>
      </c>
      <c r="G1014" s="1" t="inlineStr">
        <is>
          <t>Medium</t>
        </is>
      </c>
      <c r="H1014" s="1" t="n">
        <v>209880</v>
      </c>
      <c r="I1014" s="1" t="n">
        <v>283361</v>
      </c>
      <c r="J1014" s="9" t="n">
        <v>0.741</v>
      </c>
      <c r="K1014" s="1" t="inlineStr">
        <is>
          <t>Yes</t>
        </is>
      </c>
      <c r="L1014" s="1" t="inlineStr">
        <is>
          <t>Yes</t>
        </is>
      </c>
      <c r="M1014" s="1" t="inlineStr">
        <is>
          <t>No</t>
        </is>
      </c>
      <c r="N1014" s="1" t="inlineStr">
        <is>
          <t>Algorithms</t>
        </is>
      </c>
      <c r="O10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14" s="11" t="inlineStr">
        <is>
          <t>To Do</t>
        </is>
      </c>
    </row>
    <row r="1015" ht="15.75" customHeight="1" s="12">
      <c r="A1015" s="1" t="n">
        <v>1492</v>
      </c>
      <c r="B1015" s="3">
        <f>HYPERLINK("https://leetcode.com/problems/the-kth-factor-of-n/", "The kth Factor of n")</f>
        <v/>
      </c>
      <c r="C1015" s="1" t="n">
        <v>1935</v>
      </c>
      <c r="D1015" s="1" t="n">
        <v>314</v>
      </c>
      <c r="E1015" s="4">
        <f>IF(INDEX(C:C, ROW())+INDEX(D:D, ROW())=0, 0, INDEX(C:C, ROW())/(INDEX(C:C, ROW())+INDEX(D:D, ROW())))</f>
        <v/>
      </c>
      <c r="F1015" s="1" t="inlineStr">
        <is>
          <t>Math, Number Theory</t>
        </is>
      </c>
      <c r="G1015" s="1" t="inlineStr">
        <is>
          <t>Medium</t>
        </is>
      </c>
      <c r="H1015" s="1" t="n">
        <v>353887</v>
      </c>
      <c r="I1015" s="1" t="n">
        <v>503172</v>
      </c>
      <c r="J1015" s="9" t="n">
        <v>0.703</v>
      </c>
      <c r="K1015" s="1" t="inlineStr">
        <is>
          <t>Yes</t>
        </is>
      </c>
      <c r="L1015" s="1" t="inlineStr">
        <is>
          <t>No</t>
        </is>
      </c>
      <c r="M1015" s="1" t="inlineStr">
        <is>
          <t>No</t>
        </is>
      </c>
      <c r="N1015" s="1" t="inlineStr">
        <is>
          <t>Algorithms</t>
        </is>
      </c>
      <c r="O10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15" s="11" t="inlineStr">
        <is>
          <t>To Do</t>
        </is>
      </c>
    </row>
    <row r="1016" ht="15.75" customHeight="1" s="12">
      <c r="A1016" s="1" t="n">
        <v>1106</v>
      </c>
      <c r="B1016" s="3">
        <f>HYPERLINK("https://leetcode.com/problems/parsing-a-boolean-expression/", "Parsing A Boolean Expression")</f>
        <v/>
      </c>
      <c r="C1016" s="1" t="n">
        <v>1933</v>
      </c>
      <c r="D1016" s="1" t="n">
        <v>87</v>
      </c>
      <c r="E1016" s="4">
        <f>IF(INDEX(C:C, ROW())+INDEX(D:D, ROW())=0, 0, INDEX(C:C, ROW())/(INDEX(C:C, ROW())+INDEX(D:D, ROW())))</f>
        <v/>
      </c>
      <c r="F1016" s="1" t="inlineStr">
        <is>
          <t>String, Stack, Recursion</t>
        </is>
      </c>
      <c r="G1016" s="1" t="inlineStr">
        <is>
          <t>Hard</t>
        </is>
      </c>
      <c r="H1016" s="1" t="n">
        <v>149000</v>
      </c>
      <c r="I1016" s="1" t="n">
        <v>213552</v>
      </c>
      <c r="J1016" s="9" t="n">
        <v>0.698</v>
      </c>
      <c r="K1016" s="1" t="inlineStr">
        <is>
          <t>Yes</t>
        </is>
      </c>
      <c r="L1016" s="1" t="inlineStr">
        <is>
          <t>Yes</t>
        </is>
      </c>
      <c r="M1016" s="1" t="inlineStr">
        <is>
          <t>No</t>
        </is>
      </c>
      <c r="N1016" s="1" t="inlineStr">
        <is>
          <t>Algorithms</t>
        </is>
      </c>
      <c r="O10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16" s="11" t="inlineStr">
        <is>
          <t>To Do</t>
        </is>
      </c>
    </row>
    <row r="1017" ht="15.75" customHeight="1" s="12">
      <c r="A1017" s="1" t="n">
        <v>490</v>
      </c>
      <c r="B1017" s="3">
        <f>HYPERLINK("https://leetcode.com/problems/the-maze/", "The Maze")</f>
        <v/>
      </c>
      <c r="C1017" s="1" t="n">
        <v>1931</v>
      </c>
      <c r="D1017" s="1" t="n">
        <v>199</v>
      </c>
      <c r="E1017" s="4">
        <f>IF(INDEX(C:C, ROW())+INDEX(D:D, ROW())=0, 0, INDEX(C:C, ROW())/(INDEX(C:C, ROW())+INDEX(D:D, ROW())))</f>
        <v/>
      </c>
      <c r="F1017" s="1" t="inlineStr">
        <is>
          <t>Array, Depth-First Search, Breadth-First Search, Matrix</t>
        </is>
      </c>
      <c r="G1017" s="1" t="inlineStr">
        <is>
          <t>Medium</t>
        </is>
      </c>
      <c r="H1017" s="1" t="n">
        <v>209993</v>
      </c>
      <c r="I1017" s="1" t="n">
        <v>347614</v>
      </c>
      <c r="J1017" s="9" t="n">
        <v>0.604</v>
      </c>
      <c r="K1017" s="1" t="inlineStr">
        <is>
          <t>No</t>
        </is>
      </c>
      <c r="L1017" s="1" t="inlineStr">
        <is>
          <t>Yes</t>
        </is>
      </c>
      <c r="M1017" s="1" t="inlineStr">
        <is>
          <t>No</t>
        </is>
      </c>
      <c r="N1017" s="1" t="inlineStr">
        <is>
          <t>Algorithms</t>
        </is>
      </c>
      <c r="O10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17" s="11" t="inlineStr">
        <is>
          <t>To Do</t>
        </is>
      </c>
    </row>
    <row r="1018" ht="15.75" customHeight="1" s="12">
      <c r="A1018" s="1" t="n">
        <v>1208</v>
      </c>
      <c r="B1018" s="3">
        <f>HYPERLINK("https://leetcode.com/problems/get-equal-substrings-within-budget/", "Get Equal Substrings Within Budget")</f>
        <v/>
      </c>
      <c r="C1018" s="1" t="n">
        <v>1929</v>
      </c>
      <c r="D1018" s="1" t="n">
        <v>150</v>
      </c>
      <c r="E1018" s="4">
        <f>IF(INDEX(C:C, ROW())+INDEX(D:D, ROW())=0, 0, INDEX(C:C, ROW())/(INDEX(C:C, ROW())+INDEX(D:D, ROW())))</f>
        <v/>
      </c>
      <c r="F1018" s="1" t="inlineStr">
        <is>
          <t>String, Binary Search, Sliding Window, Prefix Sum</t>
        </is>
      </c>
      <c r="G1018" s="1" t="inlineStr">
        <is>
          <t>Medium</t>
        </is>
      </c>
      <c r="H1018" s="1" t="n">
        <v>202429</v>
      </c>
      <c r="I1018" s="1" t="n">
        <v>339291</v>
      </c>
      <c r="J1018" s="9" t="n">
        <v>0.597</v>
      </c>
      <c r="K1018" s="1" t="inlineStr">
        <is>
          <t>Yes</t>
        </is>
      </c>
      <c r="L1018" s="1" t="inlineStr">
        <is>
          <t>Yes</t>
        </is>
      </c>
      <c r="M1018" s="1" t="inlineStr">
        <is>
          <t>No</t>
        </is>
      </c>
      <c r="N1018" s="1" t="inlineStr">
        <is>
          <t>Algorithms</t>
        </is>
      </c>
      <c r="O10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18" s="11" t="inlineStr">
        <is>
          <t>To Do</t>
        </is>
      </c>
    </row>
    <row r="1019" ht="15.75" customHeight="1" s="12">
      <c r="A1019" s="1" t="n">
        <v>1717</v>
      </c>
      <c r="B1019" s="3">
        <f>HYPERLINK("https://leetcode.com/problems/maximum-score-from-removing-substrings/", "Maximum Score From Removing Substrings")</f>
        <v/>
      </c>
      <c r="C1019" s="1" t="n">
        <v>1928</v>
      </c>
      <c r="D1019" s="1" t="n">
        <v>137</v>
      </c>
      <c r="E1019" s="4">
        <f>IF(INDEX(C:C, ROW())+INDEX(D:D, ROW())=0, 0, INDEX(C:C, ROW())/(INDEX(C:C, ROW())+INDEX(D:D, ROW())))</f>
        <v/>
      </c>
      <c r="F1019" s="1" t="inlineStr">
        <is>
          <t>String, Stack, Greedy</t>
        </is>
      </c>
      <c r="G1019" s="1" t="inlineStr">
        <is>
          <t>Medium</t>
        </is>
      </c>
      <c r="H1019" s="1" t="n">
        <v>243521</v>
      </c>
      <c r="I1019" s="1" t="n">
        <v>366371</v>
      </c>
      <c r="J1019" s="9" t="n">
        <v>0.665</v>
      </c>
      <c r="K1019" s="1" t="inlineStr">
        <is>
          <t>Yes</t>
        </is>
      </c>
      <c r="L1019" s="1" t="inlineStr">
        <is>
          <t>Yes</t>
        </is>
      </c>
      <c r="M1019" s="1" t="inlineStr">
        <is>
          <t>No</t>
        </is>
      </c>
      <c r="N1019" s="1" t="inlineStr">
        <is>
          <t>Algorithms</t>
        </is>
      </c>
      <c r="O10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19" s="11" t="inlineStr">
        <is>
          <t>To Do</t>
        </is>
      </c>
    </row>
    <row r="1020" ht="15.75" customHeight="1" s="12">
      <c r="A1020" s="1" t="n">
        <v>2073</v>
      </c>
      <c r="B1020" s="3">
        <f>HYPERLINK("https://leetcode.com/problems/time-needed-to-buy-tickets/", "Time Needed to Buy Tickets")</f>
        <v/>
      </c>
      <c r="C1020" s="1" t="n">
        <v>1928</v>
      </c>
      <c r="D1020" s="1" t="n">
        <v>169</v>
      </c>
      <c r="E1020" s="4">
        <f>IF(INDEX(C:C, ROW())+INDEX(D:D, ROW())=0, 0, INDEX(C:C, ROW())/(INDEX(C:C, ROW())+INDEX(D:D, ROW())))</f>
        <v/>
      </c>
      <c r="F1020" s="1" t="inlineStr">
        <is>
          <t>Array, Queue, Simulation</t>
        </is>
      </c>
      <c r="G1020" s="1" t="inlineStr">
        <is>
          <t>Easy</t>
        </is>
      </c>
      <c r="H1020" s="1" t="n">
        <v>317874</v>
      </c>
      <c r="I1020" s="1" t="n">
        <v>438229</v>
      </c>
      <c r="J1020" s="9" t="n">
        <v>0.725</v>
      </c>
      <c r="K1020" s="1" t="inlineStr">
        <is>
          <t>Yes</t>
        </is>
      </c>
      <c r="L1020" s="1" t="inlineStr">
        <is>
          <t>Yes</t>
        </is>
      </c>
      <c r="M1020" s="1" t="inlineStr">
        <is>
          <t>No</t>
        </is>
      </c>
      <c r="N1020" s="1" t="inlineStr">
        <is>
          <t>Algorithms</t>
        </is>
      </c>
      <c r="O10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20" s="13" t="inlineStr">
        <is>
          <t>Done</t>
        </is>
      </c>
    </row>
    <row r="1021" ht="15.75" customHeight="1" s="12">
      <c r="A1021" s="1" t="n">
        <v>1663</v>
      </c>
      <c r="B1021" s="3">
        <f>HYPERLINK("https://leetcode.com/problems/smallest-string-with-a-given-numeric-value/", "Smallest String With A Given Numeric Value")</f>
        <v/>
      </c>
      <c r="C1021" s="1" t="n">
        <v>1925</v>
      </c>
      <c r="D1021" s="1" t="n">
        <v>64</v>
      </c>
      <c r="E1021" s="4">
        <f>IF(INDEX(C:C, ROW())+INDEX(D:D, ROW())=0, 0, INDEX(C:C, ROW())/(INDEX(C:C, ROW())+INDEX(D:D, ROW())))</f>
        <v/>
      </c>
      <c r="F1021" s="1" t="inlineStr">
        <is>
          <t>String, Greedy</t>
        </is>
      </c>
      <c r="G1021" s="1" t="inlineStr">
        <is>
          <t>Medium</t>
        </is>
      </c>
      <c r="H1021" s="1" t="n">
        <v>105477</v>
      </c>
      <c r="I1021" s="1" t="n">
        <v>156405</v>
      </c>
      <c r="J1021" s="9" t="n">
        <v>0.674</v>
      </c>
      <c r="K1021" s="1" t="inlineStr">
        <is>
          <t>Yes</t>
        </is>
      </c>
      <c r="L1021" s="1" t="inlineStr">
        <is>
          <t>Yes</t>
        </is>
      </c>
      <c r="M1021" s="1" t="inlineStr">
        <is>
          <t>No</t>
        </is>
      </c>
      <c r="N1021" s="1" t="inlineStr">
        <is>
          <t>Algorithms</t>
        </is>
      </c>
      <c r="O10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21" s="11" t="inlineStr">
        <is>
          <t>To Do</t>
        </is>
      </c>
    </row>
    <row r="1022" ht="15.75" customHeight="1" s="12">
      <c r="A1022" s="1" t="n">
        <v>2272</v>
      </c>
      <c r="B1022" s="3">
        <f>HYPERLINK("https://leetcode.com/problems/substring-with-largest-variance/", "Substring With Largest Variance")</f>
        <v/>
      </c>
      <c r="C1022" s="1" t="n">
        <v>1921</v>
      </c>
      <c r="D1022" s="1" t="n">
        <v>213</v>
      </c>
      <c r="E1022" s="4">
        <f>IF(INDEX(C:C, ROW())+INDEX(D:D, ROW())=0, 0, INDEX(C:C, ROW())/(INDEX(C:C, ROW())+INDEX(D:D, ROW())))</f>
        <v/>
      </c>
      <c r="F1022" s="1" t="inlineStr">
        <is>
          <t>Hash Table, String, Dynamic Programming, Enumeration</t>
        </is>
      </c>
      <c r="G1022" s="1" t="inlineStr">
        <is>
          <t>Hard</t>
        </is>
      </c>
      <c r="H1022" s="1" t="n">
        <v>76143</v>
      </c>
      <c r="I1022" s="1" t="n">
        <v>165584</v>
      </c>
      <c r="J1022" s="9" t="n">
        <v>0.46</v>
      </c>
      <c r="K1022" s="1" t="inlineStr">
        <is>
          <t>Yes</t>
        </is>
      </c>
      <c r="L1022" s="1" t="inlineStr">
        <is>
          <t>Yes</t>
        </is>
      </c>
      <c r="M1022" s="1" t="inlineStr">
        <is>
          <t>No</t>
        </is>
      </c>
      <c r="N1022" s="1" t="inlineStr">
        <is>
          <t>Algorithms</t>
        </is>
      </c>
      <c r="O10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22" s="11" t="inlineStr">
        <is>
          <t>To Do</t>
        </is>
      </c>
    </row>
    <row r="1023" ht="15.75" customHeight="1" s="12">
      <c r="A1023" s="1" t="n">
        <v>284</v>
      </c>
      <c r="B1023" s="3">
        <f>HYPERLINK("https://leetcode.com/problems/peeking-iterator/", "Peeking Iterator")</f>
        <v/>
      </c>
      <c r="C1023" s="1" t="n">
        <v>1917</v>
      </c>
      <c r="D1023" s="1" t="n">
        <v>1053</v>
      </c>
      <c r="E1023" s="4">
        <f>IF(INDEX(C:C, ROW())+INDEX(D:D, ROW())=0, 0, INDEX(C:C, ROW())/(INDEX(C:C, ROW())+INDEX(D:D, ROW())))</f>
        <v/>
      </c>
      <c r="F1023" s="1" t="inlineStr">
        <is>
          <t>Array, Design, Iterator</t>
        </is>
      </c>
      <c r="G1023" s="1" t="inlineStr">
        <is>
          <t>Medium</t>
        </is>
      </c>
      <c r="H1023" s="1" t="n">
        <v>257229</v>
      </c>
      <c r="I1023" s="1" t="n">
        <v>418573</v>
      </c>
      <c r="J1023" s="9" t="n">
        <v>0.615</v>
      </c>
      <c r="K1023" s="1" t="inlineStr">
        <is>
          <t>Yes</t>
        </is>
      </c>
      <c r="L1023" s="1" t="inlineStr">
        <is>
          <t>Yes</t>
        </is>
      </c>
      <c r="M1023" s="1" t="inlineStr">
        <is>
          <t>No</t>
        </is>
      </c>
      <c r="N1023" s="1" t="inlineStr">
        <is>
          <t>Algorithms</t>
        </is>
      </c>
      <c r="O10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23" s="11" t="inlineStr">
        <is>
          <t>To Do</t>
        </is>
      </c>
    </row>
    <row r="1024" ht="15.75" customHeight="1" s="12">
      <c r="A1024" s="1" t="n">
        <v>1267</v>
      </c>
      <c r="B1024" s="3">
        <f>HYPERLINK("https://leetcode.com/problems/count-servers-that-communicate/", "Count Servers that Communicate")</f>
        <v/>
      </c>
      <c r="C1024" s="1" t="n">
        <v>1916</v>
      </c>
      <c r="D1024" s="1" t="n">
        <v>109</v>
      </c>
      <c r="E1024" s="4">
        <f>IF(INDEX(C:C, ROW())+INDEX(D:D, ROW())=0, 0, INDEX(C:C, ROW())/(INDEX(C:C, ROW())+INDEX(D:D, ROW())))</f>
        <v/>
      </c>
      <c r="F1024" s="1" t="inlineStr">
        <is>
          <t>Array, Depth-First Search, Breadth-First Search, Union-Find, Matrix, Counting</t>
        </is>
      </c>
      <c r="G1024" s="1" t="inlineStr">
        <is>
          <t>Medium</t>
        </is>
      </c>
      <c r="H1024" s="1" t="n">
        <v>200693</v>
      </c>
      <c r="I1024" s="1" t="n">
        <v>272968</v>
      </c>
      <c r="J1024" s="9" t="n">
        <v>0.735</v>
      </c>
      <c r="K1024" s="1" t="inlineStr">
        <is>
          <t>Yes</t>
        </is>
      </c>
      <c r="L1024" s="1" t="inlineStr">
        <is>
          <t>Yes</t>
        </is>
      </c>
      <c r="M1024" s="1" t="inlineStr">
        <is>
          <t>No</t>
        </is>
      </c>
      <c r="N1024" s="1" t="inlineStr">
        <is>
          <t>Algorithms</t>
        </is>
      </c>
      <c r="O10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24" s="11" t="inlineStr">
        <is>
          <t>To Do</t>
        </is>
      </c>
    </row>
    <row r="1025" ht="15.75" customHeight="1" s="12">
      <c r="A1025" s="1" t="n">
        <v>626</v>
      </c>
      <c r="B1025" s="3">
        <f>HYPERLINK("https://leetcode.com/problems/exchange-seats/", "Exchange Seats")</f>
        <v/>
      </c>
      <c r="C1025" s="1" t="n">
        <v>1915</v>
      </c>
      <c r="D1025" s="1" t="n">
        <v>614</v>
      </c>
      <c r="E1025" s="4">
        <f>IF(INDEX(C:C, ROW())+INDEX(D:D, ROW())=0, 0, INDEX(C:C, ROW())/(INDEX(C:C, ROW())+INDEX(D:D, ROW())))</f>
        <v/>
      </c>
      <c r="F1025" s="1" t="inlineStr">
        <is>
          <t>Database</t>
        </is>
      </c>
      <c r="G1025" s="1" t="inlineStr">
        <is>
          <t>Medium</t>
        </is>
      </c>
      <c r="H1025" s="1" t="n">
        <v>457539</v>
      </c>
      <c r="I1025" s="1" t="n">
        <v>617398</v>
      </c>
      <c r="J1025" s="9" t="n">
        <v>0.741</v>
      </c>
      <c r="K1025" s="1" t="inlineStr">
        <is>
          <t>Yes</t>
        </is>
      </c>
      <c r="L1025" s="1" t="inlineStr">
        <is>
          <t>Yes</t>
        </is>
      </c>
      <c r="M1025" s="1" t="inlineStr">
        <is>
          <t>No</t>
        </is>
      </c>
      <c r="N1025" s="1" t="inlineStr">
        <is>
          <t>Database</t>
        </is>
      </c>
      <c r="O10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25" s="11" t="inlineStr">
        <is>
          <t>To Do</t>
        </is>
      </c>
    </row>
    <row r="1026" ht="15.75" customHeight="1" s="12">
      <c r="A1026" s="1" t="n">
        <v>1203</v>
      </c>
      <c r="B1026" s="3">
        <f>HYPERLINK("https://leetcode.com/problems/sort-items-by-groups-respecting-dependencies/", "Sort Items by Groups Respecting Dependencies")</f>
        <v/>
      </c>
      <c r="C1026" s="1" t="n">
        <v>1914</v>
      </c>
      <c r="D1026" s="1" t="n">
        <v>322</v>
      </c>
      <c r="E1026" s="4">
        <f>IF(INDEX(C:C, ROW())+INDEX(D:D, ROW())=0, 0, INDEX(C:C, ROW())/(INDEX(C:C, ROW())+INDEX(D:D, ROW())))</f>
        <v/>
      </c>
      <c r="F1026" s="1" t="inlineStr">
        <is>
          <t>Depth-First Search, Breadth-First Search, Graph Theory, Topological Sort</t>
        </is>
      </c>
      <c r="G1026" s="1" t="inlineStr">
        <is>
          <t>Hard</t>
        </is>
      </c>
      <c r="H1026" s="1" t="n">
        <v>67456</v>
      </c>
      <c r="I1026" s="1" t="n">
        <v>102356</v>
      </c>
      <c r="J1026" s="9" t="n">
        <v>0.659</v>
      </c>
      <c r="K1026" s="1" t="inlineStr">
        <is>
          <t>Yes</t>
        </is>
      </c>
      <c r="L1026" s="1" t="inlineStr">
        <is>
          <t>Yes</t>
        </is>
      </c>
      <c r="M1026" s="1" t="inlineStr">
        <is>
          <t>No</t>
        </is>
      </c>
      <c r="N1026" s="1" t="inlineStr">
        <is>
          <t>Algorithms</t>
        </is>
      </c>
      <c r="O10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26" s="11" t="inlineStr">
        <is>
          <t>To Do</t>
        </is>
      </c>
    </row>
    <row r="1027" ht="15.75" customHeight="1" s="12">
      <c r="A1027" s="1" t="n">
        <v>2492</v>
      </c>
      <c r="B1027" s="3">
        <f>HYPERLINK("https://leetcode.com/problems/minimum-score-of-a-path-between-two-cities/", "Minimum Score of a Path Between Two Cities")</f>
        <v/>
      </c>
      <c r="C1027" s="1" t="n">
        <v>1912</v>
      </c>
      <c r="D1027" s="1" t="n">
        <v>324</v>
      </c>
      <c r="E1027" s="4">
        <f>IF(INDEX(C:C, ROW())+INDEX(D:D, ROW())=0, 0, INDEX(C:C, ROW())/(INDEX(C:C, ROW())+INDEX(D:D, ROW())))</f>
        <v/>
      </c>
      <c r="F1027" s="1" t="inlineStr">
        <is>
          <t>Depth-First Search, Breadth-First Search, Union-Find, Graph Theory</t>
        </is>
      </c>
      <c r="G1027" s="1" t="inlineStr">
        <is>
          <t>Medium</t>
        </is>
      </c>
      <c r="H1027" s="1" t="n">
        <v>110835</v>
      </c>
      <c r="I1027" s="1" t="n">
        <v>188545</v>
      </c>
      <c r="J1027" s="9" t="n">
        <v>0.588</v>
      </c>
      <c r="K1027" s="1" t="inlineStr">
        <is>
          <t>Yes</t>
        </is>
      </c>
      <c r="L1027" s="1" t="inlineStr">
        <is>
          <t>Yes</t>
        </is>
      </c>
      <c r="M1027" s="1" t="inlineStr">
        <is>
          <t>No</t>
        </is>
      </c>
      <c r="N1027" s="1" t="inlineStr">
        <is>
          <t>Algorithms</t>
        </is>
      </c>
      <c r="O10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27" s="11" t="inlineStr">
        <is>
          <t>To Do</t>
        </is>
      </c>
    </row>
    <row r="1028" ht="15.75" customHeight="1" s="12">
      <c r="A1028" s="1" t="n">
        <v>1444</v>
      </c>
      <c r="B1028" s="3">
        <f>HYPERLINK("https://leetcode.com/problems/number-of-ways-of-cutting-a-pizza/", "Number of Ways of Cutting a Pizza")</f>
        <v/>
      </c>
      <c r="C1028" s="1" t="n">
        <v>1910</v>
      </c>
      <c r="D1028" s="1" t="n">
        <v>97</v>
      </c>
      <c r="E1028" s="4">
        <f>IF(INDEX(C:C, ROW())+INDEX(D:D, ROW())=0, 0, INDEX(C:C, ROW())/(INDEX(C:C, ROW())+INDEX(D:D, ROW())))</f>
        <v/>
      </c>
      <c r="F1028" s="1" t="inlineStr">
        <is>
          <t>Array, Dynamic Programming, Memoization, Matrix, Prefix Sum</t>
        </is>
      </c>
      <c r="G1028" s="1" t="inlineStr">
        <is>
          <t>Hard</t>
        </is>
      </c>
      <c r="H1028" s="1" t="n">
        <v>76806</v>
      </c>
      <c r="I1028" s="1" t="n">
        <v>124685</v>
      </c>
      <c r="J1028" s="9" t="n">
        <v>0.616</v>
      </c>
      <c r="K1028" s="1" t="inlineStr">
        <is>
          <t>Yes</t>
        </is>
      </c>
      <c r="L1028" s="1" t="inlineStr">
        <is>
          <t>Yes</t>
        </is>
      </c>
      <c r="M1028" s="1" t="inlineStr">
        <is>
          <t>No</t>
        </is>
      </c>
      <c r="N1028" s="1" t="inlineStr">
        <is>
          <t>Algorithms</t>
        </is>
      </c>
      <c r="O10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28" s="11" t="inlineStr">
        <is>
          <t>To Do</t>
        </is>
      </c>
    </row>
    <row r="1029" ht="15.75" customHeight="1" s="12">
      <c r="A1029" s="1" t="n">
        <v>274</v>
      </c>
      <c r="B1029" s="3">
        <f>HYPERLINK("https://leetcode.com/problems/h-index/", "H-Index")</f>
        <v/>
      </c>
      <c r="C1029" s="1" t="n">
        <v>1909</v>
      </c>
      <c r="D1029" s="1" t="n">
        <v>912</v>
      </c>
      <c r="E1029" s="4">
        <f>IF(INDEX(C:C, ROW())+INDEX(D:D, ROW())=0, 0, INDEX(C:C, ROW())/(INDEX(C:C, ROW())+INDEX(D:D, ROW())))</f>
        <v/>
      </c>
      <c r="F1029" s="1" t="inlineStr">
        <is>
          <t>Array, Sorting, Counting Sort</t>
        </is>
      </c>
      <c r="G1029" s="1" t="inlineStr">
        <is>
          <t>Medium</t>
        </is>
      </c>
      <c r="H1029" s="1" t="n">
        <v>870678</v>
      </c>
      <c r="I1029" s="1" t="n">
        <v>2103700</v>
      </c>
      <c r="J1029" s="9" t="n">
        <v>0.414</v>
      </c>
      <c r="K1029" s="1" t="inlineStr">
        <is>
          <t>Yes</t>
        </is>
      </c>
      <c r="L1029" s="1" t="inlineStr">
        <is>
          <t>Yes</t>
        </is>
      </c>
      <c r="M1029" s="1" t="inlineStr">
        <is>
          <t>No</t>
        </is>
      </c>
      <c r="N1029" s="1" t="inlineStr">
        <is>
          <t>Algorithms</t>
        </is>
      </c>
      <c r="O10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29" s="11" t="inlineStr">
        <is>
          <t>To Do</t>
        </is>
      </c>
    </row>
    <row r="1030" ht="15.75" customHeight="1" s="12">
      <c r="A1030" s="1" t="n">
        <v>914</v>
      </c>
      <c r="B1030" s="3">
        <f>HYPERLINK("https://leetcode.com/problems/x-of-a-kind-in-a-deck-of-cards/", "X of a Kind in a Deck of Cards")</f>
        <v/>
      </c>
      <c r="C1030" s="1" t="n">
        <v>1909</v>
      </c>
      <c r="D1030" s="1" t="n">
        <v>580</v>
      </c>
      <c r="E1030" s="4">
        <f>IF(INDEX(C:C, ROW())+INDEX(D:D, ROW())=0, 0, INDEX(C:C, ROW())/(INDEX(C:C, ROW())+INDEX(D:D, ROW())))</f>
        <v/>
      </c>
      <c r="F1030" s="1" t="inlineStr">
        <is>
          <t>Array, Hash Table, Math, Counting, Number Theory</t>
        </is>
      </c>
      <c r="G1030" s="1" t="inlineStr">
        <is>
          <t>Easy</t>
        </is>
      </c>
      <c r="H1030" s="1" t="n">
        <v>158615</v>
      </c>
      <c r="I1030" s="1" t="n">
        <v>524310</v>
      </c>
      <c r="J1030" s="9" t="n">
        <v>0.303</v>
      </c>
      <c r="K1030" s="1" t="inlineStr">
        <is>
          <t>Yes</t>
        </is>
      </c>
      <c r="L1030" s="1" t="inlineStr">
        <is>
          <t>Yes</t>
        </is>
      </c>
      <c r="M1030" s="1" t="inlineStr">
        <is>
          <t>No</t>
        </is>
      </c>
      <c r="N1030" s="1" t="inlineStr">
        <is>
          <t>Algorithms</t>
        </is>
      </c>
      <c r="O10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30" s="13" t="inlineStr">
        <is>
          <t>Done</t>
        </is>
      </c>
    </row>
    <row r="1031" ht="15.75" customHeight="1" s="12">
      <c r="A1031" s="1" t="n">
        <v>2114</v>
      </c>
      <c r="B1031" s="3">
        <f>HYPERLINK("https://leetcode.com/problems/maximum-number-of-words-found-in-sentences/", "Maximum Number of Words Found in Sentences")</f>
        <v/>
      </c>
      <c r="C1031" s="1" t="n">
        <v>1907</v>
      </c>
      <c r="D1031" s="1" t="n">
        <v>67</v>
      </c>
      <c r="E1031" s="4">
        <f>IF(INDEX(C:C, ROW())+INDEX(D:D, ROW())=0, 0, INDEX(C:C, ROW())/(INDEX(C:C, ROW())+INDEX(D:D, ROW())))</f>
        <v/>
      </c>
      <c r="F1031" s="1" t="inlineStr">
        <is>
          <t>Array, String</t>
        </is>
      </c>
      <c r="G1031" s="1" t="inlineStr">
        <is>
          <t>Easy</t>
        </is>
      </c>
      <c r="H1031" s="1" t="n">
        <v>412796</v>
      </c>
      <c r="I1031" s="1" t="n">
        <v>476237</v>
      </c>
      <c r="J1031" s="9" t="n">
        <v>0.867</v>
      </c>
      <c r="K1031" s="1" t="inlineStr">
        <is>
          <t>Yes</t>
        </is>
      </c>
      <c r="L1031" s="1" t="inlineStr">
        <is>
          <t>No</t>
        </is>
      </c>
      <c r="M1031" s="1" t="inlineStr">
        <is>
          <t>No</t>
        </is>
      </c>
      <c r="N1031" s="1" t="inlineStr">
        <is>
          <t>Algorithms</t>
        </is>
      </c>
      <c r="O10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31" s="13" t="inlineStr">
        <is>
          <t>Done</t>
        </is>
      </c>
    </row>
    <row r="1032" ht="15.75" customHeight="1" s="12">
      <c r="A1032" s="1" t="n">
        <v>884</v>
      </c>
      <c r="B1032" s="3">
        <f>HYPERLINK("https://leetcode.com/problems/uncommon-words-from-two-sentences/", "Uncommon Words from Two Sentences")</f>
        <v/>
      </c>
      <c r="C1032" s="1" t="n">
        <v>1904</v>
      </c>
      <c r="D1032" s="1" t="n">
        <v>209</v>
      </c>
      <c r="E1032" s="4">
        <f>IF(INDEX(C:C, ROW())+INDEX(D:D, ROW())=0, 0, INDEX(C:C, ROW())/(INDEX(C:C, ROW())+INDEX(D:D, ROW())))</f>
        <v/>
      </c>
      <c r="F1032" s="1" t="inlineStr">
        <is>
          <t>Hash Table, String, Counting</t>
        </is>
      </c>
      <c r="G1032" s="1" t="inlineStr">
        <is>
          <t>Easy</t>
        </is>
      </c>
      <c r="H1032" s="1" t="n">
        <v>340296</v>
      </c>
      <c r="I1032" s="1" t="n">
        <v>449807</v>
      </c>
      <c r="J1032" s="9" t="n">
        <v>0.757</v>
      </c>
      <c r="K1032" s="1" t="inlineStr">
        <is>
          <t>Yes</t>
        </is>
      </c>
      <c r="L1032" s="1" t="inlineStr">
        <is>
          <t>Yes</t>
        </is>
      </c>
      <c r="M1032" s="1" t="inlineStr">
        <is>
          <t>No</t>
        </is>
      </c>
      <c r="N1032" s="1" t="inlineStr">
        <is>
          <t>Algorithms</t>
        </is>
      </c>
      <c r="O10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32" s="13" t="inlineStr">
        <is>
          <t>Done</t>
        </is>
      </c>
    </row>
    <row r="1033" ht="15.75" customHeight="1" s="12">
      <c r="A1033" s="1" t="n">
        <v>270</v>
      </c>
      <c r="B1033" s="3">
        <f>HYPERLINK("https://leetcode.com/problems/closest-binary-search-tree-value/", "Closest Binary Search Tree Value")</f>
        <v/>
      </c>
      <c r="C1033" s="1" t="n">
        <v>1903</v>
      </c>
      <c r="D1033" s="1" t="n">
        <v>166</v>
      </c>
      <c r="E1033" s="4">
        <f>IF(INDEX(C:C, ROW())+INDEX(D:D, ROW())=0, 0, INDEX(C:C, ROW())/(INDEX(C:C, ROW())+INDEX(D:D, ROW())))</f>
        <v/>
      </c>
      <c r="F1033" s="1" t="inlineStr">
        <is>
          <t>Binary Search, Tree, Depth-First Search, Binary Search Tree, Binary Tree</t>
        </is>
      </c>
      <c r="G1033" s="1" t="inlineStr">
        <is>
          <t>Easy</t>
        </is>
      </c>
      <c r="H1033" s="1" t="n">
        <v>453571</v>
      </c>
      <c r="I1033" s="1" t="n">
        <v>921751</v>
      </c>
      <c r="J1033" s="9" t="n">
        <v>0.492</v>
      </c>
      <c r="K1033" s="1" t="inlineStr">
        <is>
          <t>No</t>
        </is>
      </c>
      <c r="L1033" s="1" t="inlineStr">
        <is>
          <t>Yes</t>
        </is>
      </c>
      <c r="M1033" s="1" t="inlineStr">
        <is>
          <t>No</t>
        </is>
      </c>
      <c r="N1033" s="1" t="inlineStr">
        <is>
          <t>Algorithms</t>
        </is>
      </c>
      <c r="O10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33" s="13" t="inlineStr">
        <is>
          <t>Done</t>
        </is>
      </c>
    </row>
    <row r="1034" ht="15.75" customHeight="1" s="12">
      <c r="A1034" s="1" t="n">
        <v>1964</v>
      </c>
      <c r="B1034" s="3">
        <f>HYPERLINK("https://leetcode.com/problems/find-the-longest-valid-obstacle-course-at-each-position/", "Find the Longest Valid Obstacle Course at Each Position")</f>
        <v/>
      </c>
      <c r="C1034" s="1" t="n">
        <v>1900</v>
      </c>
      <c r="D1034" s="1" t="n">
        <v>75</v>
      </c>
      <c r="E1034" s="4">
        <f>IF(INDEX(C:C, ROW())+INDEX(D:D, ROW())=0, 0, INDEX(C:C, ROW())/(INDEX(C:C, ROW())+INDEX(D:D, ROW())))</f>
        <v/>
      </c>
      <c r="F1034" s="1" t="inlineStr">
        <is>
          <t>Array, Binary Search, Binary Indexed Tree</t>
        </is>
      </c>
      <c r="G1034" s="1" t="inlineStr">
        <is>
          <t>Hard</t>
        </is>
      </c>
      <c r="H1034" s="1" t="n">
        <v>69278</v>
      </c>
      <c r="I1034" s="1" t="n">
        <v>110834</v>
      </c>
      <c r="J1034" s="9" t="n">
        <v>0.625</v>
      </c>
      <c r="K1034" s="1" t="inlineStr">
        <is>
          <t>Yes</t>
        </is>
      </c>
      <c r="L1034" s="1" t="inlineStr">
        <is>
          <t>Yes</t>
        </is>
      </c>
      <c r="M1034" s="1" t="inlineStr">
        <is>
          <t>No</t>
        </is>
      </c>
      <c r="N1034" s="1" t="inlineStr">
        <is>
          <t>Algorithms</t>
        </is>
      </c>
      <c r="O10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34" s="11" t="inlineStr">
        <is>
          <t>To Do</t>
        </is>
      </c>
    </row>
    <row r="1035" ht="15.75" customHeight="1" s="12">
      <c r="A1035" s="1" t="n">
        <v>1630</v>
      </c>
      <c r="B1035" s="3">
        <f>HYPERLINK("https://leetcode.com/problems/arithmetic-subarrays/", "Arithmetic Subarrays")</f>
        <v/>
      </c>
      <c r="C1035" s="1" t="n">
        <v>1898</v>
      </c>
      <c r="D1035" s="1" t="n">
        <v>210</v>
      </c>
      <c r="E1035" s="4">
        <f>IF(INDEX(C:C, ROW())+INDEX(D:D, ROW())=0, 0, INDEX(C:C, ROW())/(INDEX(C:C, ROW())+INDEX(D:D, ROW())))</f>
        <v/>
      </c>
      <c r="F1035" s="1" t="inlineStr">
        <is>
          <t>Array, Hash Table, Sorting</t>
        </is>
      </c>
      <c r="G1035" s="1" t="inlineStr">
        <is>
          <t>Medium</t>
        </is>
      </c>
      <c r="H1035" s="1" t="n">
        <v>157672</v>
      </c>
      <c r="I1035" s="1" t="n">
        <v>188313</v>
      </c>
      <c r="J1035" s="9" t="n">
        <v>0.837</v>
      </c>
      <c r="K1035" s="1" t="inlineStr">
        <is>
          <t>Yes</t>
        </is>
      </c>
      <c r="L1035" s="1" t="inlineStr">
        <is>
          <t>Yes</t>
        </is>
      </c>
      <c r="M1035" s="1" t="inlineStr">
        <is>
          <t>No</t>
        </is>
      </c>
      <c r="N1035" s="1" t="inlineStr">
        <is>
          <t>Algorithms</t>
        </is>
      </c>
      <c r="O10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35" s="11" t="inlineStr">
        <is>
          <t>To Do</t>
        </is>
      </c>
    </row>
    <row r="1036" ht="15.75" customHeight="1" s="12">
      <c r="A1036" s="1" t="n">
        <v>1189</v>
      </c>
      <c r="B1036" s="3">
        <f>HYPERLINK("https://leetcode.com/problems/maximum-number-of-balloons/", "Maximum Number of Balloons")</f>
        <v/>
      </c>
      <c r="C1036" s="1" t="n">
        <v>1893</v>
      </c>
      <c r="D1036" s="1" t="n">
        <v>122</v>
      </c>
      <c r="E1036" s="4">
        <f>IF(INDEX(C:C, ROW())+INDEX(D:D, ROW())=0, 0, INDEX(C:C, ROW())/(INDEX(C:C, ROW())+INDEX(D:D, ROW())))</f>
        <v/>
      </c>
      <c r="F1036" s="1" t="inlineStr">
        <is>
          <t>Hash Table, String, Counting</t>
        </is>
      </c>
      <c r="G1036" s="1" t="inlineStr">
        <is>
          <t>Easy</t>
        </is>
      </c>
      <c r="H1036" s="1" t="n">
        <v>331114</v>
      </c>
      <c r="I1036" s="1" t="n">
        <v>550060</v>
      </c>
      <c r="J1036" s="9" t="n">
        <v>0.602</v>
      </c>
      <c r="K1036" s="1" t="inlineStr">
        <is>
          <t>Yes</t>
        </is>
      </c>
      <c r="L1036" s="1" t="inlineStr">
        <is>
          <t>Yes</t>
        </is>
      </c>
      <c r="M1036" s="1" t="inlineStr">
        <is>
          <t>No</t>
        </is>
      </c>
      <c r="N1036" s="1" t="inlineStr">
        <is>
          <t>Algorithms</t>
        </is>
      </c>
      <c r="O10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36" s="13" t="inlineStr">
        <is>
          <t>Done</t>
        </is>
      </c>
    </row>
    <row r="1037" ht="15.75" customHeight="1" s="12">
      <c r="A1037" s="1" t="n">
        <v>1609</v>
      </c>
      <c r="B1037" s="3">
        <f>HYPERLINK("https://leetcode.com/problems/even-odd-tree/", "Even Odd Tree")</f>
        <v/>
      </c>
      <c r="C1037" s="1" t="n">
        <v>1893</v>
      </c>
      <c r="D1037" s="1" t="n">
        <v>102</v>
      </c>
      <c r="E1037" s="4">
        <f>IF(INDEX(C:C, ROW())+INDEX(D:D, ROW())=0, 0, INDEX(C:C, ROW())/(INDEX(C:C, ROW())+INDEX(D:D, ROW())))</f>
        <v/>
      </c>
      <c r="F1037" s="1" t="inlineStr">
        <is>
          <t>Tree, Breadth-First Search, Binary Tree</t>
        </is>
      </c>
      <c r="G1037" s="1" t="inlineStr">
        <is>
          <t>Medium</t>
        </is>
      </c>
      <c r="H1037" s="1" t="n">
        <v>195634</v>
      </c>
      <c r="I1037" s="1" t="n">
        <v>291403</v>
      </c>
      <c r="J1037" s="9" t="n">
        <v>0.671</v>
      </c>
      <c r="K1037" s="1" t="inlineStr">
        <is>
          <t>Yes</t>
        </is>
      </c>
      <c r="L1037" s="1" t="inlineStr">
        <is>
          <t>Yes</t>
        </is>
      </c>
      <c r="M1037" s="1" t="inlineStr">
        <is>
          <t>No</t>
        </is>
      </c>
      <c r="N1037" s="1" t="inlineStr">
        <is>
          <t>Algorithms</t>
        </is>
      </c>
      <c r="O10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37" s="11" t="inlineStr">
        <is>
          <t>To Do</t>
        </is>
      </c>
    </row>
    <row r="1038" ht="15.75" customHeight="1" s="12">
      <c r="A1038" s="1" t="n">
        <v>679</v>
      </c>
      <c r="B1038" s="3">
        <f>HYPERLINK("https://leetcode.com/problems/24-game/", "24 Game")</f>
        <v/>
      </c>
      <c r="C1038" s="1" t="n">
        <v>1891</v>
      </c>
      <c r="D1038" s="1" t="n">
        <v>288</v>
      </c>
      <c r="E1038" s="4">
        <f>IF(INDEX(C:C, ROW())+INDEX(D:D, ROW())=0, 0, INDEX(C:C, ROW())/(INDEX(C:C, ROW())+INDEX(D:D, ROW())))</f>
        <v/>
      </c>
      <c r="F1038" s="1" t="inlineStr">
        <is>
          <t>Array, Math, Backtracking</t>
        </is>
      </c>
      <c r="G1038" s="1" t="inlineStr">
        <is>
          <t>Hard</t>
        </is>
      </c>
      <c r="H1038" s="1" t="n">
        <v>171063</v>
      </c>
      <c r="I1038" s="1" t="n">
        <v>287538</v>
      </c>
      <c r="J1038" s="9" t="n">
        <v>0.595</v>
      </c>
      <c r="K1038" s="1" t="inlineStr">
        <is>
          <t>Yes</t>
        </is>
      </c>
      <c r="L1038" s="1" t="inlineStr">
        <is>
          <t>Yes</t>
        </is>
      </c>
      <c r="M1038" s="1" t="inlineStr">
        <is>
          <t>No</t>
        </is>
      </c>
      <c r="N1038" s="1" t="inlineStr">
        <is>
          <t>Algorithms</t>
        </is>
      </c>
      <c r="O10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38" s="11" t="inlineStr">
        <is>
          <t>To Do</t>
        </is>
      </c>
    </row>
    <row r="1039" ht="15.75" customHeight="1" s="12">
      <c r="A1039" s="1" t="n">
        <v>1688</v>
      </c>
      <c r="B1039" s="3">
        <f>HYPERLINK("https://leetcode.com/problems/count-of-matches-in-tournament/", "Count of Matches in Tournament")</f>
        <v/>
      </c>
      <c r="C1039" s="1" t="n">
        <v>1888</v>
      </c>
      <c r="D1039" s="1" t="n">
        <v>248</v>
      </c>
      <c r="E1039" s="4">
        <f>IF(INDEX(C:C, ROW())+INDEX(D:D, ROW())=0, 0, INDEX(C:C, ROW())/(INDEX(C:C, ROW())+INDEX(D:D, ROW())))</f>
        <v/>
      </c>
      <c r="F1039" s="1" t="inlineStr">
        <is>
          <t>Math, Simulation</t>
        </is>
      </c>
      <c r="G1039" s="1" t="inlineStr">
        <is>
          <t>Easy</t>
        </is>
      </c>
      <c r="H1039" s="1" t="n">
        <v>327054</v>
      </c>
      <c r="I1039" s="1" t="n">
        <v>378393</v>
      </c>
      <c r="J1039" s="9" t="n">
        <v>0.864</v>
      </c>
      <c r="K1039" s="1" t="inlineStr">
        <is>
          <t>Yes</t>
        </is>
      </c>
      <c r="L1039" s="1" t="inlineStr">
        <is>
          <t>Yes</t>
        </is>
      </c>
      <c r="M1039" s="1" t="inlineStr">
        <is>
          <t>No</t>
        </is>
      </c>
      <c r="N1039" s="1" t="inlineStr">
        <is>
          <t>Algorithms</t>
        </is>
      </c>
      <c r="O10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39" s="13" t="inlineStr">
        <is>
          <t>Done</t>
        </is>
      </c>
    </row>
    <row r="1040" ht="15.75" customHeight="1" s="12">
      <c r="A1040" s="1" t="n">
        <v>1032</v>
      </c>
      <c r="B1040" s="3">
        <f>HYPERLINK("https://leetcode.com/problems/stream-of-characters/", "Stream of Characters")</f>
        <v/>
      </c>
      <c r="C1040" s="1" t="n">
        <v>1881</v>
      </c>
      <c r="D1040" s="1" t="n">
        <v>186</v>
      </c>
      <c r="E1040" s="4">
        <f>IF(INDEX(C:C, ROW())+INDEX(D:D, ROW())=0, 0, INDEX(C:C, ROW())/(INDEX(C:C, ROW())+INDEX(D:D, ROW())))</f>
        <v/>
      </c>
      <c r="F1040" s="1" t="inlineStr">
        <is>
          <t>Array, String, Design, Trie, Data Stream</t>
        </is>
      </c>
      <c r="G1040" s="1" t="inlineStr">
        <is>
          <t>Hard</t>
        </is>
      </c>
      <c r="H1040" s="1" t="n">
        <v>109189</v>
      </c>
      <c r="I1040" s="1" t="n">
        <v>209027</v>
      </c>
      <c r="J1040" s="9" t="n">
        <v>0.522</v>
      </c>
      <c r="K1040" s="1" t="inlineStr">
        <is>
          <t>Yes</t>
        </is>
      </c>
      <c r="L1040" s="1" t="inlineStr">
        <is>
          <t>Yes</t>
        </is>
      </c>
      <c r="M1040" s="1" t="inlineStr">
        <is>
          <t>No</t>
        </is>
      </c>
      <c r="N1040" s="1" t="inlineStr">
        <is>
          <t>Algorithms</t>
        </is>
      </c>
      <c r="O10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40" s="11" t="inlineStr">
        <is>
          <t>To Do</t>
        </is>
      </c>
    </row>
    <row r="1041" ht="15.75" customHeight="1" s="12">
      <c r="A1041" s="1" t="n">
        <v>775</v>
      </c>
      <c r="B1041" s="3">
        <f>HYPERLINK("https://leetcode.com/problems/global-and-local-inversions/", "Global and Local Inversions")</f>
        <v/>
      </c>
      <c r="C1041" s="1" t="n">
        <v>1880</v>
      </c>
      <c r="D1041" s="1" t="n">
        <v>382</v>
      </c>
      <c r="E1041" s="4">
        <f>IF(INDEX(C:C, ROW())+INDEX(D:D, ROW())=0, 0, INDEX(C:C, ROW())/(INDEX(C:C, ROW())+INDEX(D:D, ROW())))</f>
        <v/>
      </c>
      <c r="F1041" s="1" t="inlineStr">
        <is>
          <t>Array, Math</t>
        </is>
      </c>
      <c r="G1041" s="1" t="inlineStr">
        <is>
          <t>Medium</t>
        </is>
      </c>
      <c r="H1041" s="1" t="n">
        <v>86250</v>
      </c>
      <c r="I1041" s="1" t="n">
        <v>201440</v>
      </c>
      <c r="J1041" s="9" t="n">
        <v>0.428</v>
      </c>
      <c r="K1041" s="1" t="inlineStr">
        <is>
          <t>Yes</t>
        </is>
      </c>
      <c r="L1041" s="1" t="inlineStr">
        <is>
          <t>Yes</t>
        </is>
      </c>
      <c r="M1041" s="1" t="inlineStr">
        <is>
          <t>No</t>
        </is>
      </c>
      <c r="N1041" s="1" t="inlineStr">
        <is>
          <t>Algorithms</t>
        </is>
      </c>
      <c r="O10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41" s="11" t="inlineStr">
        <is>
          <t>To Do</t>
        </is>
      </c>
    </row>
    <row r="1042" ht="15.75" customHeight="1" s="12">
      <c r="A1042" s="1" t="n">
        <v>458</v>
      </c>
      <c r="B1042" s="3">
        <f>HYPERLINK("https://leetcode.com/problems/poor-pigs/", "Poor Pigs")</f>
        <v/>
      </c>
      <c r="C1042" s="1" t="n">
        <v>1877</v>
      </c>
      <c r="D1042" s="1" t="n">
        <v>3370</v>
      </c>
      <c r="E1042" s="4">
        <f>IF(INDEX(C:C, ROW())+INDEX(D:D, ROW())=0, 0, INDEX(C:C, ROW())/(INDEX(C:C, ROW())+INDEX(D:D, ROW())))</f>
        <v/>
      </c>
      <c r="F1042" s="1" t="inlineStr">
        <is>
          <t>Math, Dynamic Programming, Combinatorics</t>
        </is>
      </c>
      <c r="G1042" s="1" t="inlineStr">
        <is>
          <t>Hard</t>
        </is>
      </c>
      <c r="H1042" s="1" t="n">
        <v>133743</v>
      </c>
      <c r="I1042" s="1" t="n">
        <v>226237</v>
      </c>
      <c r="J1042" s="9" t="n">
        <v>0.591</v>
      </c>
      <c r="K1042" s="1" t="inlineStr">
        <is>
          <t>Yes</t>
        </is>
      </c>
      <c r="L1042" s="1" t="inlineStr">
        <is>
          <t>Yes</t>
        </is>
      </c>
      <c r="M1042" s="1" t="inlineStr">
        <is>
          <t>No</t>
        </is>
      </c>
      <c r="N1042" s="1" t="inlineStr">
        <is>
          <t>Algorithms</t>
        </is>
      </c>
      <c r="O10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42" s="11" t="inlineStr">
        <is>
          <t>To Do</t>
        </is>
      </c>
    </row>
    <row r="1043" ht="15.75" customHeight="1" s="12">
      <c r="A1043" s="1" t="n">
        <v>1109</v>
      </c>
      <c r="B1043" s="3">
        <f>HYPERLINK("https://leetcode.com/problems/corporate-flight-bookings/", "Corporate Flight Bookings")</f>
        <v/>
      </c>
      <c r="C1043" s="1" t="n">
        <v>1877</v>
      </c>
      <c r="D1043" s="1" t="n">
        <v>168</v>
      </c>
      <c r="E1043" s="4">
        <f>IF(INDEX(C:C, ROW())+INDEX(D:D, ROW())=0, 0, INDEX(C:C, ROW())/(INDEX(C:C, ROW())+INDEX(D:D, ROW())))</f>
        <v/>
      </c>
      <c r="F1043" s="1" t="inlineStr">
        <is>
          <t>Array, Prefix Sum</t>
        </is>
      </c>
      <c r="G1043" s="1" t="inlineStr">
        <is>
          <t>Medium</t>
        </is>
      </c>
      <c r="H1043" s="1" t="n">
        <v>105866</v>
      </c>
      <c r="I1043" s="1" t="n">
        <v>157690</v>
      </c>
      <c r="J1043" s="9" t="n">
        <v>0.671</v>
      </c>
      <c r="K1043" s="1" t="inlineStr">
        <is>
          <t>Yes</t>
        </is>
      </c>
      <c r="L1043" s="1" t="inlineStr">
        <is>
          <t>No</t>
        </is>
      </c>
      <c r="M1043" s="1" t="inlineStr">
        <is>
          <t>No</t>
        </is>
      </c>
      <c r="N1043" s="1" t="inlineStr">
        <is>
          <t>Algorithms</t>
        </is>
      </c>
      <c r="O10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43" s="11" t="inlineStr">
        <is>
          <t>To Do</t>
        </is>
      </c>
    </row>
    <row r="1044" ht="15.75" customHeight="1" s="12">
      <c r="A1044" s="1" t="n">
        <v>339</v>
      </c>
      <c r="B1044" s="3">
        <f>HYPERLINK("https://leetcode.com/problems/nested-list-weight-sum/", "Nested List Weight Sum")</f>
        <v/>
      </c>
      <c r="C1044" s="1" t="n">
        <v>1872</v>
      </c>
      <c r="D1044" s="1" t="n">
        <v>487</v>
      </c>
      <c r="E1044" s="4">
        <f>IF(INDEX(C:C, ROW())+INDEX(D:D, ROW())=0, 0, INDEX(C:C, ROW())/(INDEX(C:C, ROW())+INDEX(D:D, ROW())))</f>
        <v/>
      </c>
      <c r="F1044" s="1" t="inlineStr">
        <is>
          <t>Depth-First Search, Breadth-First Search</t>
        </is>
      </c>
      <c r="G1044" s="1" t="inlineStr">
        <is>
          <t>Medium</t>
        </is>
      </c>
      <c r="H1044" s="1" t="n">
        <v>416624</v>
      </c>
      <c r="I1044" s="1" t="n">
        <v>484636</v>
      </c>
      <c r="J1044" s="9" t="n">
        <v>0.86</v>
      </c>
      <c r="K1044" s="1" t="inlineStr">
        <is>
          <t>No</t>
        </is>
      </c>
      <c r="L1044" s="1" t="inlineStr">
        <is>
          <t>Yes</t>
        </is>
      </c>
      <c r="M1044" s="1" t="inlineStr">
        <is>
          <t>Yes</t>
        </is>
      </c>
      <c r="N1044" s="1" t="inlineStr">
        <is>
          <t>Algorithms</t>
        </is>
      </c>
      <c r="O10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44" s="11" t="inlineStr">
        <is>
          <t>To Do</t>
        </is>
      </c>
    </row>
    <row r="1045" ht="15.75" customHeight="1" s="12">
      <c r="A1045" s="1" t="n">
        <v>627</v>
      </c>
      <c r="B1045" s="3">
        <f>HYPERLINK("https://leetcode.com/problems/swap-sex-of-employees/", "Swap Sex of Employees")</f>
        <v/>
      </c>
      <c r="C1045" s="1" t="n">
        <v>1872</v>
      </c>
      <c r="D1045" s="1" t="n">
        <v>573</v>
      </c>
      <c r="E1045" s="4">
        <f>IF(INDEX(C:C, ROW())+INDEX(D:D, ROW())=0, 0, INDEX(C:C, ROW())/(INDEX(C:C, ROW())+INDEX(D:D, ROW())))</f>
        <v/>
      </c>
      <c r="F1045" s="1" t="inlineStr">
        <is>
          <t>Database</t>
        </is>
      </c>
      <c r="G1045" s="1" t="inlineStr">
        <is>
          <t>Easy</t>
        </is>
      </c>
      <c r="H1045" s="1" t="n">
        <v>555872</v>
      </c>
      <c r="I1045" s="1" t="n">
        <v>656869</v>
      </c>
      <c r="J1045" s="9" t="n">
        <v>0.846</v>
      </c>
      <c r="K1045" s="1" t="inlineStr">
        <is>
          <t>Yes</t>
        </is>
      </c>
      <c r="L1045" s="1" t="inlineStr">
        <is>
          <t>Yes</t>
        </is>
      </c>
      <c r="M1045" s="1" t="inlineStr">
        <is>
          <t>No</t>
        </is>
      </c>
      <c r="N1045" s="1" t="inlineStr">
        <is>
          <t>Database</t>
        </is>
      </c>
      <c r="O10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45" s="13" t="inlineStr">
        <is>
          <t>Done</t>
        </is>
      </c>
    </row>
    <row r="1046" ht="15.75" customHeight="1" s="12">
      <c r="A1046" s="1" t="n">
        <v>2418</v>
      </c>
      <c r="B1046" s="3">
        <f>HYPERLINK("https://leetcode.com/problems/sort-the-people/", "Sort the People")</f>
        <v/>
      </c>
      <c r="C1046" s="1" t="n">
        <v>1872</v>
      </c>
      <c r="D1046" s="1" t="n">
        <v>41</v>
      </c>
      <c r="E1046" s="4">
        <f>IF(INDEX(C:C, ROW())+INDEX(D:D, ROW())=0, 0, INDEX(C:C, ROW())/(INDEX(C:C, ROW())+INDEX(D:D, ROW())))</f>
        <v/>
      </c>
      <c r="F1046" s="1" t="inlineStr">
        <is>
          <t>Array, Hash Table, String, Sorting</t>
        </is>
      </c>
      <c r="G1046" s="1" t="inlineStr">
        <is>
          <t>Easy</t>
        </is>
      </c>
      <c r="H1046" s="1" t="n">
        <v>383938</v>
      </c>
      <c r="I1046" s="1" t="n">
        <v>452706</v>
      </c>
      <c r="J1046" s="9" t="n">
        <v>0.848</v>
      </c>
      <c r="K1046" s="1" t="inlineStr">
        <is>
          <t>Yes</t>
        </is>
      </c>
      <c r="L1046" s="1" t="inlineStr">
        <is>
          <t>Yes</t>
        </is>
      </c>
      <c r="M1046" s="1" t="inlineStr">
        <is>
          <t>No</t>
        </is>
      </c>
      <c r="N1046" s="1" t="inlineStr">
        <is>
          <t>Algorithms</t>
        </is>
      </c>
      <c r="O10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46" s="13" t="inlineStr">
        <is>
          <t>Done</t>
        </is>
      </c>
    </row>
    <row r="1047" ht="15.75" customHeight="1" s="12">
      <c r="A1047" s="1" t="n">
        <v>524</v>
      </c>
      <c r="B1047" s="3">
        <f>HYPERLINK("https://leetcode.com/problems/longest-word-in-dictionary-through-deleting/", "Longest Word in Dictionary through Deleting")</f>
        <v/>
      </c>
      <c r="C1047" s="1" t="n">
        <v>1869</v>
      </c>
      <c r="D1047" s="1" t="n">
        <v>367</v>
      </c>
      <c r="E1047" s="4">
        <f>IF(INDEX(C:C, ROW())+INDEX(D:D, ROW())=0, 0, INDEX(C:C, ROW())/(INDEX(C:C, ROW())+INDEX(D:D, ROW())))</f>
        <v/>
      </c>
      <c r="F1047" s="1" t="inlineStr">
        <is>
          <t>Array, Two Pointers, String, Sorting</t>
        </is>
      </c>
      <c r="G1047" s="1" t="inlineStr">
        <is>
          <t>Medium</t>
        </is>
      </c>
      <c r="H1047" s="1" t="n">
        <v>184297</v>
      </c>
      <c r="I1047" s="1" t="n">
        <v>349837</v>
      </c>
      <c r="J1047" s="9" t="n">
        <v>0.527</v>
      </c>
      <c r="K1047" s="1" t="inlineStr">
        <is>
          <t>Yes</t>
        </is>
      </c>
      <c r="L1047" s="1" t="inlineStr">
        <is>
          <t>Yes</t>
        </is>
      </c>
      <c r="M1047" s="1" t="inlineStr">
        <is>
          <t>No</t>
        </is>
      </c>
      <c r="N1047" s="1" t="inlineStr">
        <is>
          <t>Algorithms</t>
        </is>
      </c>
      <c r="O10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47" s="11" t="inlineStr">
        <is>
          <t>To Do</t>
        </is>
      </c>
    </row>
    <row r="1048" ht="15.75" customHeight="1" s="12">
      <c r="A1048" s="1" t="n">
        <v>1545</v>
      </c>
      <c r="B1048" s="3">
        <f>HYPERLINK("https://leetcode.com/problems/find-kth-bit-in-nth-binary-string/", "Find Kth Bit in Nth Binary String")</f>
        <v/>
      </c>
      <c r="C1048" s="1" t="n">
        <v>1866</v>
      </c>
      <c r="D1048" s="1" t="n">
        <v>123</v>
      </c>
      <c r="E1048" s="4">
        <f>IF(INDEX(C:C, ROW())+INDEX(D:D, ROW())=0, 0, INDEX(C:C, ROW())/(INDEX(C:C, ROW())+INDEX(D:D, ROW())))</f>
        <v/>
      </c>
      <c r="F1048" s="1" t="inlineStr">
        <is>
          <t>String, Recursion, Simulation</t>
        </is>
      </c>
      <c r="G1048" s="1" t="inlineStr">
        <is>
          <t>Medium</t>
        </is>
      </c>
      <c r="H1048" s="1" t="n">
        <v>280627</v>
      </c>
      <c r="I1048" s="1" t="n">
        <v>380833</v>
      </c>
      <c r="J1048" s="9" t="n">
        <v>0.737</v>
      </c>
      <c r="K1048" s="1" t="inlineStr">
        <is>
          <t>Yes</t>
        </is>
      </c>
      <c r="L1048" s="1" t="inlineStr">
        <is>
          <t>Yes</t>
        </is>
      </c>
      <c r="M1048" s="1" t="inlineStr">
        <is>
          <t>No</t>
        </is>
      </c>
      <c r="N1048" s="1" t="inlineStr">
        <is>
          <t>Algorithms</t>
        </is>
      </c>
      <c r="O10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48" s="11" t="inlineStr">
        <is>
          <t>To Do</t>
        </is>
      </c>
    </row>
    <row r="1049" ht="15.75" customHeight="1" s="12">
      <c r="A1049" s="1" t="n">
        <v>1024</v>
      </c>
      <c r="B1049" s="3">
        <f>HYPERLINK("https://leetcode.com/problems/video-stitching/", "Video Stitching")</f>
        <v/>
      </c>
      <c r="C1049" s="1" t="n">
        <v>1865</v>
      </c>
      <c r="D1049" s="1" t="n">
        <v>64</v>
      </c>
      <c r="E1049" s="4">
        <f>IF(INDEX(C:C, ROW())+INDEX(D:D, ROW())=0, 0, INDEX(C:C, ROW())/(INDEX(C:C, ROW())+INDEX(D:D, ROW())))</f>
        <v/>
      </c>
      <c r="F1049" s="1" t="inlineStr">
        <is>
          <t>Array, Dynamic Programming, Greedy</t>
        </is>
      </c>
      <c r="G1049" s="1" t="inlineStr">
        <is>
          <t>Medium</t>
        </is>
      </c>
      <c r="H1049" s="1" t="n">
        <v>89004</v>
      </c>
      <c r="I1049" s="1" t="n">
        <v>168935</v>
      </c>
      <c r="J1049" s="9" t="n">
        <v>0.527</v>
      </c>
      <c r="K1049" s="1" t="inlineStr">
        <is>
          <t>Yes</t>
        </is>
      </c>
      <c r="L1049" s="1" t="inlineStr">
        <is>
          <t>No</t>
        </is>
      </c>
      <c r="M1049" s="1" t="inlineStr">
        <is>
          <t>No</t>
        </is>
      </c>
      <c r="N1049" s="1" t="inlineStr">
        <is>
          <t>Algorithms</t>
        </is>
      </c>
      <c r="O10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49" s="11" t="inlineStr">
        <is>
          <t>To Do</t>
        </is>
      </c>
    </row>
    <row r="1050" ht="15.75" customHeight="1" s="12">
      <c r="A1050" s="1" t="n">
        <v>819</v>
      </c>
      <c r="B1050" s="3">
        <f>HYPERLINK("https://leetcode.com/problems/most-common-word/", "Most Common Word")</f>
        <v/>
      </c>
      <c r="C1050" s="1" t="n">
        <v>1863</v>
      </c>
      <c r="D1050" s="1" t="n">
        <v>3119</v>
      </c>
      <c r="E1050" s="4">
        <f>IF(INDEX(C:C, ROW())+INDEX(D:D, ROW())=0, 0, INDEX(C:C, ROW())/(INDEX(C:C, ROW())+INDEX(D:D, ROW())))</f>
        <v/>
      </c>
      <c r="F1050" s="1" t="inlineStr">
        <is>
          <t>Array, Hash Table, String, Counting</t>
        </is>
      </c>
      <c r="G1050" s="1" t="inlineStr">
        <is>
          <t>Easy</t>
        </is>
      </c>
      <c r="H1050" s="1" t="n">
        <v>453774</v>
      </c>
      <c r="I1050" s="1" t="n">
        <v>1005780</v>
      </c>
      <c r="J1050" s="9" t="n">
        <v>0.451</v>
      </c>
      <c r="K1050" s="1" t="inlineStr">
        <is>
          <t>Yes</t>
        </is>
      </c>
      <c r="L1050" s="1" t="inlineStr">
        <is>
          <t>Yes</t>
        </is>
      </c>
      <c r="M1050" s="1" t="inlineStr">
        <is>
          <t>No</t>
        </is>
      </c>
      <c r="N1050" s="1" t="inlineStr">
        <is>
          <t>Algorithms</t>
        </is>
      </c>
      <c r="O10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50" s="13" t="inlineStr">
        <is>
          <t>Done</t>
        </is>
      </c>
    </row>
    <row r="1051" ht="15.75" customHeight="1" s="12">
      <c r="A1051" s="1" t="n">
        <v>1343</v>
      </c>
      <c r="B1051" s="3">
        <f>HYPERLINK("https://leetcode.com/problems/number-of-sub-arrays-of-size-k-and-average-greater-than-or-equal-to-threshold/", "Number of Sub-arrays of Size K and Average Greater than or Equal to Threshold")</f>
        <v/>
      </c>
      <c r="C1051" s="1" t="n">
        <v>1860</v>
      </c>
      <c r="D1051" s="1" t="n">
        <v>112</v>
      </c>
      <c r="E1051" s="4">
        <f>IF(INDEX(C:C, ROW())+INDEX(D:D, ROW())=0, 0, INDEX(C:C, ROW())/(INDEX(C:C, ROW())+INDEX(D:D, ROW())))</f>
        <v/>
      </c>
      <c r="F1051" s="1" t="inlineStr">
        <is>
          <t>Array, Sliding Window</t>
        </is>
      </c>
      <c r="G1051" s="1" t="inlineStr">
        <is>
          <t>Medium</t>
        </is>
      </c>
      <c r="H1051" s="1" t="n">
        <v>196331</v>
      </c>
      <c r="I1051" s="1" t="n">
        <v>269779</v>
      </c>
      <c r="J1051" s="9" t="n">
        <v>0.728</v>
      </c>
      <c r="K1051" s="1" t="inlineStr">
        <is>
          <t>Yes</t>
        </is>
      </c>
      <c r="L1051" s="1" t="inlineStr">
        <is>
          <t>No</t>
        </is>
      </c>
      <c r="M1051" s="1" t="inlineStr">
        <is>
          <t>No</t>
        </is>
      </c>
      <c r="N1051" s="1" t="inlineStr">
        <is>
          <t>Algorithms</t>
        </is>
      </c>
      <c r="O10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51" s="11" t="inlineStr">
        <is>
          <t>To Do</t>
        </is>
      </c>
    </row>
    <row r="1052" ht="15.75" customHeight="1" s="12">
      <c r="A1052" s="1" t="n">
        <v>1569</v>
      </c>
      <c r="B1052" s="3">
        <f>HYPERLINK("https://leetcode.com/problems/number-of-ways-to-reorder-array-to-get-same-bst/", "Number of Ways to Reorder Array to Get Same BST")</f>
        <v/>
      </c>
      <c r="C1052" s="1" t="n">
        <v>1859</v>
      </c>
      <c r="D1052" s="1" t="n">
        <v>210</v>
      </c>
      <c r="E1052" s="4">
        <f>IF(INDEX(C:C, ROW())+INDEX(D:D, ROW())=0, 0, INDEX(C:C, ROW())/(INDEX(C:C, ROW())+INDEX(D:D, ROW())))</f>
        <v/>
      </c>
      <c r="F1052" s="1" t="inlineStr">
        <is>
          <t>Array, Math, Divide and Conquer, Dynamic Programming, Tree, Union-Find, Binary Search Tree, Memoization, Combinatorics, Binary Tree</t>
        </is>
      </c>
      <c r="G1052" s="1" t="inlineStr">
        <is>
          <t>Hard</t>
        </is>
      </c>
      <c r="H1052" s="1" t="n">
        <v>63297</v>
      </c>
      <c r="I1052" s="1" t="n">
        <v>117069</v>
      </c>
      <c r="J1052" s="9" t="n">
        <v>0.541</v>
      </c>
      <c r="K1052" s="1" t="inlineStr">
        <is>
          <t>Yes</t>
        </is>
      </c>
      <c r="L1052" s="1" t="inlineStr">
        <is>
          <t>Yes</t>
        </is>
      </c>
      <c r="M1052" s="1" t="inlineStr">
        <is>
          <t>No</t>
        </is>
      </c>
      <c r="N1052" s="1" t="inlineStr">
        <is>
          <t>Algorithms</t>
        </is>
      </c>
      <c r="O10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52" s="11" t="inlineStr">
        <is>
          <t>To Do</t>
        </is>
      </c>
    </row>
    <row r="1053" ht="15.75" customHeight="1" s="12">
      <c r="A1053" s="1" t="n">
        <v>1255</v>
      </c>
      <c r="B1053" s="3">
        <f>HYPERLINK("https://leetcode.com/problems/maximum-score-words-formed-by-letters/", "Maximum Score Words Formed by Letters")</f>
        <v/>
      </c>
      <c r="C1053" s="1" t="n">
        <v>1857</v>
      </c>
      <c r="D1053" s="1" t="n">
        <v>119</v>
      </c>
      <c r="E1053" s="4">
        <f>IF(INDEX(C:C, ROW())+INDEX(D:D, ROW())=0, 0, INDEX(C:C, ROW())/(INDEX(C:C, ROW())+INDEX(D:D, ROW())))</f>
        <v/>
      </c>
      <c r="F1053" s="1" t="inlineStr">
        <is>
          <t>Array, Hash Table, String, Dynamic Programming, Backtracking, Bit Manipulation, Counting, Bitmask</t>
        </is>
      </c>
      <c r="G1053" s="1" t="inlineStr">
        <is>
          <t>Hard</t>
        </is>
      </c>
      <c r="H1053" s="1" t="n">
        <v>136393</v>
      </c>
      <c r="I1053" s="1" t="n">
        <v>167339</v>
      </c>
      <c r="J1053" s="9" t="n">
        <v>0.8149999999999999</v>
      </c>
      <c r="K1053" s="1" t="inlineStr">
        <is>
          <t>Yes</t>
        </is>
      </c>
      <c r="L1053" s="1" t="inlineStr">
        <is>
          <t>Yes</t>
        </is>
      </c>
      <c r="M1053" s="1" t="inlineStr">
        <is>
          <t>No</t>
        </is>
      </c>
      <c r="N1053" s="1" t="inlineStr">
        <is>
          <t>Algorithms</t>
        </is>
      </c>
      <c r="O10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53" s="11" t="inlineStr">
        <is>
          <t>To Do</t>
        </is>
      </c>
    </row>
    <row r="1054" ht="15.75" customHeight="1" s="12">
      <c r="A1054" s="1" t="n">
        <v>1446</v>
      </c>
      <c r="B1054" s="3">
        <f>HYPERLINK("https://leetcode.com/problems/consecutive-characters/", "Consecutive Characters")</f>
        <v/>
      </c>
      <c r="C1054" s="1" t="n">
        <v>1856</v>
      </c>
      <c r="D1054" s="1" t="n">
        <v>35</v>
      </c>
      <c r="E1054" s="4">
        <f>IF(INDEX(C:C, ROW())+INDEX(D:D, ROW())=0, 0, INDEX(C:C, ROW())/(INDEX(C:C, ROW())+INDEX(D:D, ROW())))</f>
        <v/>
      </c>
      <c r="F1054" s="1" t="inlineStr">
        <is>
          <t>String</t>
        </is>
      </c>
      <c r="G1054" s="1" t="inlineStr">
        <is>
          <t>Easy</t>
        </is>
      </c>
      <c r="H1054" s="1" t="n">
        <v>231186</v>
      </c>
      <c r="I1054" s="1" t="n">
        <v>383018</v>
      </c>
      <c r="J1054" s="9" t="n">
        <v>0.604</v>
      </c>
      <c r="K1054" s="1" t="inlineStr">
        <is>
          <t>Yes</t>
        </is>
      </c>
      <c r="L1054" s="1" t="inlineStr">
        <is>
          <t>Yes</t>
        </is>
      </c>
      <c r="M1054" s="1" t="inlineStr">
        <is>
          <t>No</t>
        </is>
      </c>
      <c r="N1054" s="1" t="inlineStr">
        <is>
          <t>Algorithms</t>
        </is>
      </c>
      <c r="O10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54" s="13" t="inlineStr">
        <is>
          <t>Done</t>
        </is>
      </c>
    </row>
    <row r="1055" ht="15.75" customHeight="1" s="12">
      <c r="A1055" s="1" t="n">
        <v>1886</v>
      </c>
      <c r="B1055" s="3">
        <f>HYPERLINK("https://leetcode.com/problems/determine-whether-matrix-can-be-obtained-by-rotation/", "Determine Whether Matrix Can Be Obtained By Rotation")</f>
        <v/>
      </c>
      <c r="C1055" s="1" t="n">
        <v>1856</v>
      </c>
      <c r="D1055" s="1" t="n">
        <v>174</v>
      </c>
      <c r="E1055" s="4">
        <f>IF(INDEX(C:C, ROW())+INDEX(D:D, ROW())=0, 0, INDEX(C:C, ROW())/(INDEX(C:C, ROW())+INDEX(D:D, ROW())))</f>
        <v/>
      </c>
      <c r="F1055" s="1" t="inlineStr">
        <is>
          <t>Array, Matrix</t>
        </is>
      </c>
      <c r="G1055" s="1" t="inlineStr">
        <is>
          <t>Easy</t>
        </is>
      </c>
      <c r="H1055" s="1" t="n">
        <v>189548</v>
      </c>
      <c r="I1055" s="1" t="n">
        <v>277603</v>
      </c>
      <c r="J1055" s="9" t="n">
        <v>0.6830000000000001</v>
      </c>
      <c r="K1055" s="1" t="inlineStr">
        <is>
          <t>Yes</t>
        </is>
      </c>
      <c r="L1055" s="1" t="inlineStr">
        <is>
          <t>Yes</t>
        </is>
      </c>
      <c r="M1055" s="1" t="inlineStr">
        <is>
          <t>No</t>
        </is>
      </c>
      <c r="N1055" s="1" t="inlineStr">
        <is>
          <t>Algorithms</t>
        </is>
      </c>
      <c r="O10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55" s="13" t="inlineStr">
        <is>
          <t>Done</t>
        </is>
      </c>
    </row>
    <row r="1056" ht="15.75" customHeight="1" s="12">
      <c r="A1056" s="1" t="n">
        <v>2054</v>
      </c>
      <c r="B1056" s="3">
        <f>HYPERLINK("https://leetcode.com/problems/two-best-non-overlapping-events/", "Two Best Non-Overlapping Events")</f>
        <v/>
      </c>
      <c r="C1056" s="1" t="n">
        <v>1856</v>
      </c>
      <c r="D1056" s="1" t="n">
        <v>72</v>
      </c>
      <c r="E1056" s="4">
        <f>IF(INDEX(C:C, ROW())+INDEX(D:D, ROW())=0, 0, INDEX(C:C, ROW())/(INDEX(C:C, ROW())+INDEX(D:D, ROW())))</f>
        <v/>
      </c>
      <c r="F1056" s="1" t="inlineStr">
        <is>
          <t>Array, Binary Search, Dynamic Programming, Sorting, Heap (Priority Queue)</t>
        </is>
      </c>
      <c r="G1056" s="1" t="inlineStr">
        <is>
          <t>Medium</t>
        </is>
      </c>
      <c r="H1056" s="1" t="n">
        <v>178745</v>
      </c>
      <c r="I1056" s="1" t="n">
        <v>279224</v>
      </c>
      <c r="J1056" s="9" t="n">
        <v>0.64</v>
      </c>
      <c r="K1056" s="1" t="inlineStr">
        <is>
          <t>Yes</t>
        </is>
      </c>
      <c r="L1056" s="1" t="inlineStr">
        <is>
          <t>Yes</t>
        </is>
      </c>
      <c r="M1056" s="1" t="inlineStr">
        <is>
          <t>No</t>
        </is>
      </c>
      <c r="N1056" s="1" t="inlineStr">
        <is>
          <t>Algorithms</t>
        </is>
      </c>
      <c r="O10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56" s="11" t="inlineStr">
        <is>
          <t>To Do</t>
        </is>
      </c>
    </row>
    <row r="1057" ht="15.75" customHeight="1" s="12">
      <c r="A1057" s="1" t="n">
        <v>233</v>
      </c>
      <c r="B1057" s="3">
        <f>HYPERLINK("https://leetcode.com/problems/number-of-digit-one/", "Number of Digit One")</f>
        <v/>
      </c>
      <c r="C1057" s="1" t="n">
        <v>1855</v>
      </c>
      <c r="D1057" s="1" t="n">
        <v>1559</v>
      </c>
      <c r="E1057" s="4">
        <f>IF(INDEX(C:C, ROW())+INDEX(D:D, ROW())=0, 0, INDEX(C:C, ROW())/(INDEX(C:C, ROW())+INDEX(D:D, ROW())))</f>
        <v/>
      </c>
      <c r="F1057" s="1" t="inlineStr">
        <is>
          <t>Math, Dynamic Programming, Recursion</t>
        </is>
      </c>
      <c r="G1057" s="1" t="inlineStr">
        <is>
          <t>Hard</t>
        </is>
      </c>
      <c r="H1057" s="1" t="n">
        <v>145677</v>
      </c>
      <c r="I1057" s="1" t="n">
        <v>377155</v>
      </c>
      <c r="J1057" s="9" t="n">
        <v>0.386</v>
      </c>
      <c r="K1057" s="1" t="inlineStr">
        <is>
          <t>Yes</t>
        </is>
      </c>
      <c r="L1057" s="1" t="inlineStr">
        <is>
          <t>Yes</t>
        </is>
      </c>
      <c r="M1057" s="1" t="inlineStr">
        <is>
          <t>No</t>
        </is>
      </c>
      <c r="N1057" s="1" t="inlineStr">
        <is>
          <t>Algorithms</t>
        </is>
      </c>
      <c r="O10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57" s="11" t="inlineStr">
        <is>
          <t>To Do</t>
        </is>
      </c>
    </row>
    <row r="1058" ht="15.75" customHeight="1" s="12">
      <c r="A1058" s="1" t="n">
        <v>961</v>
      </c>
      <c r="B1058" s="3">
        <f>HYPERLINK("https://leetcode.com/problems/n-repeated-element-in-size-2n-array/", "N-Repeated Element in Size 2N Array")</f>
        <v/>
      </c>
      <c r="C1058" s="1" t="n">
        <v>1853</v>
      </c>
      <c r="D1058" s="1" t="n">
        <v>348</v>
      </c>
      <c r="E1058" s="4">
        <f>IF(INDEX(C:C, ROW())+INDEX(D:D, ROW())=0, 0, INDEX(C:C, ROW())/(INDEX(C:C, ROW())+INDEX(D:D, ROW())))</f>
        <v/>
      </c>
      <c r="F1058" s="1" t="inlineStr">
        <is>
          <t>Array, Hash Table</t>
        </is>
      </c>
      <c r="G1058" s="1" t="inlineStr">
        <is>
          <t>Easy</t>
        </is>
      </c>
      <c r="H1058" s="1" t="n">
        <v>471934</v>
      </c>
      <c r="I1058" s="1" t="n">
        <v>590710</v>
      </c>
      <c r="J1058" s="9" t="n">
        <v>0.799</v>
      </c>
      <c r="K1058" s="1" t="inlineStr">
        <is>
          <t>Yes</t>
        </is>
      </c>
      <c r="L1058" s="1" t="inlineStr">
        <is>
          <t>Yes</t>
        </is>
      </c>
      <c r="M1058" s="1" t="inlineStr">
        <is>
          <t>No</t>
        </is>
      </c>
      <c r="N1058" s="1" t="inlineStr">
        <is>
          <t>Algorithms</t>
        </is>
      </c>
      <c r="O10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58" s="13" t="inlineStr">
        <is>
          <t>Done</t>
        </is>
      </c>
    </row>
    <row r="1059" ht="15.75" customHeight="1" s="12">
      <c r="A1059" s="1" t="n">
        <v>2336</v>
      </c>
      <c r="B1059" s="3">
        <f>HYPERLINK("https://leetcode.com/problems/smallest-number-in-infinite-set/", "Smallest Number in Infinite Set")</f>
        <v/>
      </c>
      <c r="C1059" s="1" t="n">
        <v>1852</v>
      </c>
      <c r="D1059" s="1" t="n">
        <v>233</v>
      </c>
      <c r="E1059" s="4">
        <f>IF(INDEX(C:C, ROW())+INDEX(D:D, ROW())=0, 0, INDEX(C:C, ROW())/(INDEX(C:C, ROW())+INDEX(D:D, ROW())))</f>
        <v/>
      </c>
      <c r="F1059" s="1" t="inlineStr">
        <is>
          <t>Hash Table, Design, Heap (Priority Queue), Ordered Set</t>
        </is>
      </c>
      <c r="G1059" s="1" t="inlineStr">
        <is>
          <t>Medium</t>
        </is>
      </c>
      <c r="H1059" s="1" t="n">
        <v>233391</v>
      </c>
      <c r="I1059" s="1" t="n">
        <v>330689</v>
      </c>
      <c r="J1059" s="9" t="n">
        <v>0.706</v>
      </c>
      <c r="K1059" s="1" t="inlineStr">
        <is>
          <t>Yes</t>
        </is>
      </c>
      <c r="L1059" s="1" t="inlineStr">
        <is>
          <t>Yes</t>
        </is>
      </c>
      <c r="M1059" s="1" t="inlineStr">
        <is>
          <t>No</t>
        </is>
      </c>
      <c r="N1059" s="1" t="inlineStr">
        <is>
          <t>Algorithms</t>
        </is>
      </c>
      <c r="O10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59" s="11" t="inlineStr">
        <is>
          <t>To Do</t>
        </is>
      </c>
    </row>
    <row r="1060" ht="15.75" customHeight="1" s="12">
      <c r="A1060" s="1" t="n">
        <v>1716</v>
      </c>
      <c r="B1060" s="3">
        <f>HYPERLINK("https://leetcode.com/problems/calculate-money-in-leetcode-bank/", "Calculate Money in Leetcode Bank")</f>
        <v/>
      </c>
      <c r="C1060" s="1" t="n">
        <v>1848</v>
      </c>
      <c r="D1060" s="1" t="n">
        <v>64</v>
      </c>
      <c r="E1060" s="4">
        <f>IF(INDEX(C:C, ROW())+INDEX(D:D, ROW())=0, 0, INDEX(C:C, ROW())/(INDEX(C:C, ROW())+INDEX(D:D, ROW())))</f>
        <v/>
      </c>
      <c r="F1060" s="1" t="inlineStr">
        <is>
          <t>Math</t>
        </is>
      </c>
      <c r="G1060" s="1" t="inlineStr">
        <is>
          <t>Easy</t>
        </is>
      </c>
      <c r="H1060" s="1" t="n">
        <v>302681</v>
      </c>
      <c r="I1060" s="1" t="n">
        <v>367541</v>
      </c>
      <c r="J1060" s="9" t="n">
        <v>0.824</v>
      </c>
      <c r="K1060" s="1" t="inlineStr">
        <is>
          <t>Yes</t>
        </is>
      </c>
      <c r="L1060" s="1" t="inlineStr">
        <is>
          <t>Yes</t>
        </is>
      </c>
      <c r="M1060" s="1" t="inlineStr">
        <is>
          <t>No</t>
        </is>
      </c>
      <c r="N1060" s="1" t="inlineStr">
        <is>
          <t>Algorithms</t>
        </is>
      </c>
      <c r="O10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60" s="13" t="inlineStr">
        <is>
          <t>Done</t>
        </is>
      </c>
    </row>
    <row r="1061" ht="15.75" customHeight="1" s="12">
      <c r="A1061" s="1" t="n">
        <v>1861</v>
      </c>
      <c r="B1061" s="3">
        <f>HYPERLINK("https://leetcode.com/problems/rotating-the-box/", "Rotating the Box")</f>
        <v/>
      </c>
      <c r="C1061" s="1" t="n">
        <v>1841</v>
      </c>
      <c r="D1061" s="1" t="n">
        <v>88</v>
      </c>
      <c r="E1061" s="4">
        <f>IF(INDEX(C:C, ROW())+INDEX(D:D, ROW())=0, 0, INDEX(C:C, ROW())/(INDEX(C:C, ROW())+INDEX(D:D, ROW())))</f>
        <v/>
      </c>
      <c r="F1061" s="1" t="inlineStr">
        <is>
          <t>Array, Two Pointers, Matrix</t>
        </is>
      </c>
      <c r="G1061" s="1" t="inlineStr">
        <is>
          <t>Medium</t>
        </is>
      </c>
      <c r="H1061" s="1" t="n">
        <v>261668</v>
      </c>
      <c r="I1061" s="1" t="n">
        <v>317493</v>
      </c>
      <c r="J1061" s="9" t="n">
        <v>0.824</v>
      </c>
      <c r="K1061" s="1" t="inlineStr">
        <is>
          <t>Yes</t>
        </is>
      </c>
      <c r="L1061" s="1" t="inlineStr">
        <is>
          <t>Yes</t>
        </is>
      </c>
      <c r="M1061" s="1" t="inlineStr">
        <is>
          <t>No</t>
        </is>
      </c>
      <c r="N1061" s="1" t="inlineStr">
        <is>
          <t>Algorithms</t>
        </is>
      </c>
      <c r="O10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61" s="11" t="inlineStr">
        <is>
          <t>To Do</t>
        </is>
      </c>
    </row>
    <row r="1062" ht="15.75" customHeight="1" s="12">
      <c r="A1062" s="1" t="n">
        <v>2226</v>
      </c>
      <c r="B1062" s="3">
        <f>HYPERLINK("https://leetcode.com/problems/maximum-candies-allocated-to-k-children/", "Maximum Candies Allocated to K Children")</f>
        <v/>
      </c>
      <c r="C1062" s="1" t="n">
        <v>1841</v>
      </c>
      <c r="D1062" s="1" t="n">
        <v>86</v>
      </c>
      <c r="E1062" s="4">
        <f>IF(INDEX(C:C, ROW())+INDEX(D:D, ROW())=0, 0, INDEX(C:C, ROW())/(INDEX(C:C, ROW())+INDEX(D:D, ROW())))</f>
        <v/>
      </c>
      <c r="F1062" s="1" t="inlineStr">
        <is>
          <t>Array, Binary Search</t>
        </is>
      </c>
      <c r="G1062" s="1" t="inlineStr">
        <is>
          <t>Medium</t>
        </is>
      </c>
      <c r="H1062" s="1" t="n">
        <v>206982</v>
      </c>
      <c r="I1062" s="1" t="n">
        <v>414913</v>
      </c>
      <c r="J1062" s="9" t="n">
        <v>0.499</v>
      </c>
      <c r="K1062" s="1" t="inlineStr">
        <is>
          <t>Yes</t>
        </is>
      </c>
      <c r="L1062" s="1" t="inlineStr">
        <is>
          <t>Yes</t>
        </is>
      </c>
      <c r="M1062" s="1" t="inlineStr">
        <is>
          <t>No</t>
        </is>
      </c>
      <c r="N1062" s="1" t="inlineStr">
        <is>
          <t>Algorithms</t>
        </is>
      </c>
      <c r="O10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62" s="11" t="inlineStr">
        <is>
          <t>To Do</t>
        </is>
      </c>
    </row>
    <row r="1063" ht="15.75" customHeight="1" s="12">
      <c r="A1063" s="1" t="n">
        <v>2812</v>
      </c>
      <c r="B1063" s="3">
        <f>HYPERLINK("https://leetcode.com/problems/find-the-safest-path-in-a-grid/", "Find the Safest Path in a Grid")</f>
        <v/>
      </c>
      <c r="C1063" s="1" t="n">
        <v>1841</v>
      </c>
      <c r="D1063" s="1" t="n">
        <v>327</v>
      </c>
      <c r="E1063" s="4">
        <f>IF(INDEX(C:C, ROW())+INDEX(D:D, ROW())=0, 0, INDEX(C:C, ROW())/(INDEX(C:C, ROW())+INDEX(D:D, ROW())))</f>
        <v/>
      </c>
      <c r="F1063" s="1" t="inlineStr">
        <is>
          <t>Array, Binary Search, Breadth-First Search, Union-Find, Heap (Priority Queue), Matrix</t>
        </is>
      </c>
      <c r="G1063" s="1" t="inlineStr">
        <is>
          <t>Medium</t>
        </is>
      </c>
      <c r="H1063" s="1" t="n">
        <v>114011</v>
      </c>
      <c r="I1063" s="1" t="n">
        <v>233914</v>
      </c>
      <c r="J1063" s="9" t="n">
        <v>0.487</v>
      </c>
      <c r="K1063" s="1" t="inlineStr">
        <is>
          <t>Yes</t>
        </is>
      </c>
      <c r="L1063" s="1" t="inlineStr">
        <is>
          <t>Yes</t>
        </is>
      </c>
      <c r="M1063" s="1" t="inlineStr">
        <is>
          <t>No</t>
        </is>
      </c>
      <c r="N1063" s="1" t="inlineStr">
        <is>
          <t>Algorithms</t>
        </is>
      </c>
      <c r="O10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63" s="11" t="inlineStr">
        <is>
          <t>To Do</t>
        </is>
      </c>
    </row>
    <row r="1064" ht="15.75" customHeight="1" s="12">
      <c r="A1064" s="1" t="n">
        <v>2064</v>
      </c>
      <c r="B1064" s="3">
        <f>HYPERLINK("https://leetcode.com/problems/minimized-maximum-of-products-distributed-to-any-store/", "Minimized Maximum of Products Distributed to Any Store")</f>
        <v/>
      </c>
      <c r="C1064" s="1" t="n">
        <v>1840</v>
      </c>
      <c r="D1064" s="1" t="n">
        <v>107</v>
      </c>
      <c r="E1064" s="4">
        <f>IF(INDEX(C:C, ROW())+INDEX(D:D, ROW())=0, 0, INDEX(C:C, ROW())/(INDEX(C:C, ROW())+INDEX(D:D, ROW())))</f>
        <v/>
      </c>
      <c r="F1064" s="1" t="inlineStr">
        <is>
          <t>Array, Binary Search, Greedy</t>
        </is>
      </c>
      <c r="G1064" s="1" t="inlineStr">
        <is>
          <t>Medium</t>
        </is>
      </c>
      <c r="H1064" s="1" t="n">
        <v>152025</v>
      </c>
      <c r="I1064" s="1" t="n">
        <v>241025</v>
      </c>
      <c r="J1064" s="9" t="n">
        <v>0.631</v>
      </c>
      <c r="K1064" s="1" t="inlineStr">
        <is>
          <t>Yes</t>
        </is>
      </c>
      <c r="L1064" s="1" t="inlineStr">
        <is>
          <t>Yes</t>
        </is>
      </c>
      <c r="M1064" s="1" t="inlineStr">
        <is>
          <t>No</t>
        </is>
      </c>
      <c r="N1064" s="1" t="inlineStr">
        <is>
          <t>Algorithms</t>
        </is>
      </c>
      <c r="O10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64" s="11" t="inlineStr">
        <is>
          <t>To Do</t>
        </is>
      </c>
    </row>
    <row r="1065" ht="15.75" customHeight="1" s="12">
      <c r="A1065" s="1" t="n">
        <v>1758</v>
      </c>
      <c r="B1065" s="3">
        <f>HYPERLINK("https://leetcode.com/problems/minimum-changes-to-make-alternating-binary-string/", "Minimum Changes To Make Alternating Binary String")</f>
        <v/>
      </c>
      <c r="C1065" s="1" t="n">
        <v>1839</v>
      </c>
      <c r="D1065" s="1" t="n">
        <v>55</v>
      </c>
      <c r="E1065" s="4">
        <f>IF(INDEX(C:C, ROW())+INDEX(D:D, ROW())=0, 0, INDEX(C:C, ROW())/(INDEX(C:C, ROW())+INDEX(D:D, ROW())))</f>
        <v/>
      </c>
      <c r="F1065" s="1" t="inlineStr">
        <is>
          <t>String</t>
        </is>
      </c>
      <c r="G1065" s="1" t="inlineStr">
        <is>
          <t>Easy</t>
        </is>
      </c>
      <c r="H1065" s="1" t="n">
        <v>298235</v>
      </c>
      <c r="I1065" s="1" t="n">
        <v>439633</v>
      </c>
      <c r="J1065" s="9" t="n">
        <v>0.678</v>
      </c>
      <c r="K1065" s="1" t="inlineStr">
        <is>
          <t>Yes</t>
        </is>
      </c>
      <c r="L1065" s="1" t="inlineStr">
        <is>
          <t>Yes</t>
        </is>
      </c>
      <c r="M1065" s="1" t="inlineStr">
        <is>
          <t>No</t>
        </is>
      </c>
      <c r="N1065" s="1" t="inlineStr">
        <is>
          <t>Algorithms</t>
        </is>
      </c>
      <c r="O10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65" s="13" t="inlineStr">
        <is>
          <t>Done</t>
        </is>
      </c>
    </row>
    <row r="1066" ht="15.75" customHeight="1" s="12">
      <c r="A1066" s="1" t="n">
        <v>899</v>
      </c>
      <c r="B1066" s="3">
        <f>HYPERLINK("https://leetcode.com/problems/orderly-queue/", "Orderly Queue")</f>
        <v/>
      </c>
      <c r="C1066" s="1" t="n">
        <v>1835</v>
      </c>
      <c r="D1066" s="1" t="n">
        <v>621</v>
      </c>
      <c r="E1066" s="4">
        <f>IF(INDEX(C:C, ROW())+INDEX(D:D, ROW())=0, 0, INDEX(C:C, ROW())/(INDEX(C:C, ROW())+INDEX(D:D, ROW())))</f>
        <v/>
      </c>
      <c r="F1066" s="1" t="inlineStr">
        <is>
          <t>Math, String, Sorting</t>
        </is>
      </c>
      <c r="G1066" s="1" t="inlineStr">
        <is>
          <t>Hard</t>
        </is>
      </c>
      <c r="H1066" s="1" t="n">
        <v>85026</v>
      </c>
      <c r="I1066" s="1" t="n">
        <v>126976</v>
      </c>
      <c r="J1066" s="9" t="n">
        <v>0.67</v>
      </c>
      <c r="K1066" s="1" t="inlineStr">
        <is>
          <t>Yes</t>
        </is>
      </c>
      <c r="L1066" s="1" t="inlineStr">
        <is>
          <t>Yes</t>
        </is>
      </c>
      <c r="M1066" s="1" t="inlineStr">
        <is>
          <t>No</t>
        </is>
      </c>
      <c r="N1066" s="1" t="inlineStr">
        <is>
          <t>Algorithms</t>
        </is>
      </c>
      <c r="O10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66" s="11" t="inlineStr">
        <is>
          <t>To Do</t>
        </is>
      </c>
    </row>
    <row r="1067" ht="15.75" customHeight="1" s="12">
      <c r="A1067" s="1" t="n">
        <v>1915</v>
      </c>
      <c r="B1067" s="3">
        <f>HYPERLINK("https://leetcode.com/problems/number-of-wonderful-substrings/", "Number of Wonderful Substrings")</f>
        <v/>
      </c>
      <c r="C1067" s="1" t="n">
        <v>1835</v>
      </c>
      <c r="D1067" s="1" t="n">
        <v>284</v>
      </c>
      <c r="E1067" s="4">
        <f>IF(INDEX(C:C, ROW())+INDEX(D:D, ROW())=0, 0, INDEX(C:C, ROW())/(INDEX(C:C, ROW())+INDEX(D:D, ROW())))</f>
        <v/>
      </c>
      <c r="F1067" s="1" t="inlineStr">
        <is>
          <t>Hash Table, String, Bit Manipulation, Prefix Sum</t>
        </is>
      </c>
      <c r="G1067" s="1" t="inlineStr">
        <is>
          <t>Medium</t>
        </is>
      </c>
      <c r="H1067" s="1" t="n">
        <v>90371</v>
      </c>
      <c r="I1067" s="1" t="n">
        <v>135719</v>
      </c>
      <c r="J1067" s="9" t="n">
        <v>0.666</v>
      </c>
      <c r="K1067" s="1" t="inlineStr">
        <is>
          <t>Yes</t>
        </is>
      </c>
      <c r="L1067" s="1" t="inlineStr">
        <is>
          <t>Yes</t>
        </is>
      </c>
      <c r="M1067" s="1" t="inlineStr">
        <is>
          <t>No</t>
        </is>
      </c>
      <c r="N1067" s="1" t="inlineStr">
        <is>
          <t>Algorithms</t>
        </is>
      </c>
      <c r="O10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67" s="11" t="inlineStr">
        <is>
          <t>To Do</t>
        </is>
      </c>
    </row>
    <row r="1068" ht="15.75" customHeight="1" s="12">
      <c r="A1068" s="1" t="n">
        <v>940</v>
      </c>
      <c r="B1068" s="3">
        <f>HYPERLINK("https://leetcode.com/problems/distinct-subsequences-ii/", "Distinct Subsequences II")</f>
        <v/>
      </c>
      <c r="C1068" s="1" t="n">
        <v>1832</v>
      </c>
      <c r="D1068" s="1" t="n">
        <v>40</v>
      </c>
      <c r="E1068" s="4">
        <f>IF(INDEX(C:C, ROW())+INDEX(D:D, ROW())=0, 0, INDEX(C:C, ROW())/(INDEX(C:C, ROW())+INDEX(D:D, ROW())))</f>
        <v/>
      </c>
      <c r="F1068" s="1" t="inlineStr">
        <is>
          <t>String, Dynamic Programming</t>
        </is>
      </c>
      <c r="G1068" s="1" t="inlineStr">
        <is>
          <t>Hard</t>
        </is>
      </c>
      <c r="H1068" s="1" t="n">
        <v>51980</v>
      </c>
      <c r="I1068" s="1" t="n">
        <v>117815</v>
      </c>
      <c r="J1068" s="9" t="n">
        <v>0.441</v>
      </c>
      <c r="K1068" s="1" t="inlineStr">
        <is>
          <t>Yes</t>
        </is>
      </c>
      <c r="L1068" s="1" t="inlineStr">
        <is>
          <t>Yes</t>
        </is>
      </c>
      <c r="M1068" s="1" t="inlineStr">
        <is>
          <t>Yes</t>
        </is>
      </c>
      <c r="N1068" s="1" t="inlineStr">
        <is>
          <t>Algorithms</t>
        </is>
      </c>
      <c r="O10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68" s="11" t="inlineStr">
        <is>
          <t>To Do</t>
        </is>
      </c>
    </row>
    <row r="1069" ht="15.75" customHeight="1" s="12">
      <c r="A1069" s="1" t="n">
        <v>500</v>
      </c>
      <c r="B1069" s="3">
        <f>HYPERLINK("https://leetcode.com/problems/keyboard-row/", "Keyboard Row")</f>
        <v/>
      </c>
      <c r="C1069" s="1" t="n">
        <v>1830</v>
      </c>
      <c r="D1069" s="1" t="n">
        <v>1158</v>
      </c>
      <c r="E1069" s="4">
        <f>IF(INDEX(C:C, ROW())+INDEX(D:D, ROW())=0, 0, INDEX(C:C, ROW())/(INDEX(C:C, ROW())+INDEX(D:D, ROW())))</f>
        <v/>
      </c>
      <c r="F1069" s="1" t="inlineStr">
        <is>
          <t>Array, Hash Table, String</t>
        </is>
      </c>
      <c r="G1069" s="1" t="inlineStr">
        <is>
          <t>Easy</t>
        </is>
      </c>
      <c r="H1069" s="1" t="n">
        <v>330471</v>
      </c>
      <c r="I1069" s="1" t="n">
        <v>447522</v>
      </c>
      <c r="J1069" s="9" t="n">
        <v>0.738</v>
      </c>
      <c r="K1069" s="1" t="inlineStr">
        <is>
          <t>Yes</t>
        </is>
      </c>
      <c r="L1069" s="1" t="inlineStr">
        <is>
          <t>No</t>
        </is>
      </c>
      <c r="M1069" s="1" t="inlineStr">
        <is>
          <t>No</t>
        </is>
      </c>
      <c r="N1069" s="1" t="inlineStr">
        <is>
          <t>Algorithms</t>
        </is>
      </c>
      <c r="O10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69" s="13" t="inlineStr">
        <is>
          <t>Done</t>
        </is>
      </c>
    </row>
    <row r="1070" ht="15.75" customHeight="1" s="12">
      <c r="A1070" s="1" t="n">
        <v>352</v>
      </c>
      <c r="B1070" s="3">
        <f>HYPERLINK("https://leetcode.com/problems/data-stream-as-disjoint-intervals/", "Data Stream as Disjoint Intervals")</f>
        <v/>
      </c>
      <c r="C1070" s="1" t="n">
        <v>1824</v>
      </c>
      <c r="D1070" s="1" t="n">
        <v>375</v>
      </c>
      <c r="E1070" s="4">
        <f>IF(INDEX(C:C, ROW())+INDEX(D:D, ROW())=0, 0, INDEX(C:C, ROW())/(INDEX(C:C, ROW())+INDEX(D:D, ROW())))</f>
        <v/>
      </c>
      <c r="F1070" s="1" t="inlineStr">
        <is>
          <t>Hash Table, Binary Search, Union-Find, Design, Data Stream, Ordered Set</t>
        </is>
      </c>
      <c r="G1070" s="1" t="inlineStr">
        <is>
          <t>Hard</t>
        </is>
      </c>
      <c r="H1070" s="1" t="n">
        <v>135099</v>
      </c>
      <c r="I1070" s="1" t="n">
        <v>224763</v>
      </c>
      <c r="J1070" s="9" t="n">
        <v>0.601</v>
      </c>
      <c r="K1070" s="1" t="inlineStr">
        <is>
          <t>Yes</t>
        </is>
      </c>
      <c r="L1070" s="1" t="inlineStr">
        <is>
          <t>Yes</t>
        </is>
      </c>
      <c r="M1070" s="1" t="inlineStr">
        <is>
          <t>No</t>
        </is>
      </c>
      <c r="N1070" s="1" t="inlineStr">
        <is>
          <t>Algorithms</t>
        </is>
      </c>
      <c r="O10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70" s="11" t="inlineStr">
        <is>
          <t>To Do</t>
        </is>
      </c>
    </row>
    <row r="1071" ht="15.75" customHeight="1" s="12">
      <c r="A1071" s="1" t="n">
        <v>2251</v>
      </c>
      <c r="B1071" s="3">
        <f>HYPERLINK("https://leetcode.com/problems/number-of-flowers-in-full-bloom/", "Number of Flowers in Full Bloom")</f>
        <v/>
      </c>
      <c r="C1071" s="1" t="n">
        <v>1821</v>
      </c>
      <c r="D1071" s="1" t="n">
        <v>46</v>
      </c>
      <c r="E1071" s="4">
        <f>IF(INDEX(C:C, ROW())+INDEX(D:D, ROW())=0, 0, INDEX(C:C, ROW())/(INDEX(C:C, ROW())+INDEX(D:D, ROW())))</f>
        <v/>
      </c>
      <c r="F1071" s="1" t="inlineStr">
        <is>
          <t>Array, Hash Table, Binary Search, Sorting, Prefix Sum, Ordered Set</t>
        </is>
      </c>
      <c r="G1071" s="1" t="inlineStr">
        <is>
          <t>Hard</t>
        </is>
      </c>
      <c r="H1071" s="1" t="n">
        <v>109265</v>
      </c>
      <c r="I1071" s="1" t="n">
        <v>188947</v>
      </c>
      <c r="J1071" s="9" t="n">
        <v>0.578</v>
      </c>
      <c r="K1071" s="1" t="inlineStr">
        <is>
          <t>Yes</t>
        </is>
      </c>
      <c r="L1071" s="1" t="inlineStr">
        <is>
          <t>Yes</t>
        </is>
      </c>
      <c r="M1071" s="1" t="inlineStr">
        <is>
          <t>No</t>
        </is>
      </c>
      <c r="N1071" s="1" t="inlineStr">
        <is>
          <t>Algorithms</t>
        </is>
      </c>
      <c r="O10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71" s="11" t="inlineStr">
        <is>
          <t>To Do</t>
        </is>
      </c>
    </row>
    <row r="1072" ht="15.75" customHeight="1" s="12">
      <c r="A1072" s="1" t="n">
        <v>1871</v>
      </c>
      <c r="B1072" s="3">
        <f>HYPERLINK("https://leetcode.com/problems/jump-game-vii/", "Jump Game VII")</f>
        <v/>
      </c>
      <c r="C1072" s="1" t="n">
        <v>1819</v>
      </c>
      <c r="D1072" s="1" t="n">
        <v>121</v>
      </c>
      <c r="E1072" s="4">
        <f>IF(INDEX(C:C, ROW())+INDEX(D:D, ROW())=0, 0, INDEX(C:C, ROW())/(INDEX(C:C, ROW())+INDEX(D:D, ROW())))</f>
        <v/>
      </c>
      <c r="F1072" s="1" t="inlineStr">
        <is>
          <t>String, Dynamic Programming, Sliding Window, Prefix Sum</t>
        </is>
      </c>
      <c r="G1072" s="1" t="inlineStr">
        <is>
          <t>Medium</t>
        </is>
      </c>
      <c r="H1072" s="1" t="n">
        <v>67740</v>
      </c>
      <c r="I1072" s="1" t="n">
        <v>255315</v>
      </c>
      <c r="J1072" s="9" t="n">
        <v>0.265</v>
      </c>
      <c r="K1072" s="1" t="inlineStr">
        <is>
          <t>Yes</t>
        </is>
      </c>
      <c r="L1072" s="1" t="inlineStr">
        <is>
          <t>No</t>
        </is>
      </c>
      <c r="M1072" s="1" t="inlineStr">
        <is>
          <t>No</t>
        </is>
      </c>
      <c r="N1072" s="1" t="inlineStr">
        <is>
          <t>Algorithms</t>
        </is>
      </c>
      <c r="O10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72" s="11" t="inlineStr">
        <is>
          <t>To Do</t>
        </is>
      </c>
    </row>
    <row r="1073" ht="15.75" customHeight="1" s="12">
      <c r="A1073" s="1" t="n">
        <v>1888</v>
      </c>
      <c r="B1073" s="3">
        <f>HYPERLINK("https://leetcode.com/problems/minimum-number-of-flips-to-make-the-binary-string-alternating/", "Minimum Number of Flips to Make the Binary String Alternating")</f>
        <v/>
      </c>
      <c r="C1073" s="1" t="n">
        <v>1815</v>
      </c>
      <c r="D1073" s="1" t="n">
        <v>122</v>
      </c>
      <c r="E1073" s="4">
        <f>IF(INDEX(C:C, ROW())+INDEX(D:D, ROW())=0, 0, INDEX(C:C, ROW())/(INDEX(C:C, ROW())+INDEX(D:D, ROW())))</f>
        <v/>
      </c>
      <c r="F1073" s="1" t="inlineStr">
        <is>
          <t>String, Dynamic Programming, Sliding Window</t>
        </is>
      </c>
      <c r="G1073" s="1" t="inlineStr">
        <is>
          <t>Medium</t>
        </is>
      </c>
      <c r="H1073" s="1" t="n">
        <v>126521</v>
      </c>
      <c r="I1073" s="1" t="n">
        <v>236431</v>
      </c>
      <c r="J1073" s="9" t="n">
        <v>0.535</v>
      </c>
      <c r="K1073" s="1" t="inlineStr">
        <is>
          <t>Yes</t>
        </is>
      </c>
      <c r="L1073" s="1" t="inlineStr">
        <is>
          <t>Yes</t>
        </is>
      </c>
      <c r="M1073" s="1" t="inlineStr">
        <is>
          <t>No</t>
        </is>
      </c>
      <c r="N1073" s="1" t="inlineStr">
        <is>
          <t>Algorithms</t>
        </is>
      </c>
      <c r="O10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73" s="11" t="inlineStr">
        <is>
          <t>To Do</t>
        </is>
      </c>
    </row>
    <row r="1074" ht="15.75" customHeight="1" s="12">
      <c r="A1074" s="1" t="n">
        <v>1379</v>
      </c>
      <c r="B1074" s="3">
        <f>HYPERLINK("https://leetcode.com/problems/find-a-corresponding-node-of-a-binary-tree-in-a-clone-of-that-tree/", "Find a Corresponding Node of a Binary Tree in a Clone of That Tree")</f>
        <v/>
      </c>
      <c r="C1074" s="1" t="n">
        <v>1812</v>
      </c>
      <c r="D1074" s="1" t="n">
        <v>2018</v>
      </c>
      <c r="E1074" s="4">
        <f>IF(INDEX(C:C, ROW())+INDEX(D:D, ROW())=0, 0, INDEX(C:C, ROW())/(INDEX(C:C, ROW())+INDEX(D:D, ROW())))</f>
        <v/>
      </c>
      <c r="F1074" s="1" t="inlineStr">
        <is>
          <t>Tree, Depth-First Search, Breadth-First Search, Binary Tree</t>
        </is>
      </c>
      <c r="G1074" s="1" t="inlineStr">
        <is>
          <t>Easy</t>
        </is>
      </c>
      <c r="H1074" s="1" t="n">
        <v>265938</v>
      </c>
      <c r="I1074" s="1" t="n">
        <v>309834</v>
      </c>
      <c r="J1074" s="9" t="n">
        <v>0.858</v>
      </c>
      <c r="K1074" s="1" t="inlineStr">
        <is>
          <t>Yes</t>
        </is>
      </c>
      <c r="L1074" s="1" t="inlineStr">
        <is>
          <t>Yes</t>
        </is>
      </c>
      <c r="M1074" s="1" t="inlineStr">
        <is>
          <t>No</t>
        </is>
      </c>
      <c r="N1074" s="1" t="inlineStr">
        <is>
          <t>Algorithms</t>
        </is>
      </c>
      <c r="O10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74" s="13" t="inlineStr">
        <is>
          <t>Done</t>
        </is>
      </c>
    </row>
    <row r="1075" ht="15.75" customHeight="1" s="12">
      <c r="A1075" s="1" t="n">
        <v>2017</v>
      </c>
      <c r="B1075" s="3">
        <f>HYPERLINK("https://leetcode.com/problems/grid-game/", "Grid Game")</f>
        <v/>
      </c>
      <c r="C1075" s="1" t="n">
        <v>1812</v>
      </c>
      <c r="D1075" s="1" t="n">
        <v>95</v>
      </c>
      <c r="E1075" s="4">
        <f>IF(INDEX(C:C, ROW())+INDEX(D:D, ROW())=0, 0, INDEX(C:C, ROW())/(INDEX(C:C, ROW())+INDEX(D:D, ROW())))</f>
        <v/>
      </c>
      <c r="F1075" s="1" t="inlineStr">
        <is>
          <t>Array, Matrix, Prefix Sum</t>
        </is>
      </c>
      <c r="G1075" s="1" t="inlineStr">
        <is>
          <t>Medium</t>
        </is>
      </c>
      <c r="H1075" s="1" t="n">
        <v>139356</v>
      </c>
      <c r="I1075" s="1" t="n">
        <v>228937</v>
      </c>
      <c r="J1075" s="9" t="n">
        <v>0.609</v>
      </c>
      <c r="K1075" s="1" t="inlineStr">
        <is>
          <t>Yes</t>
        </is>
      </c>
      <c r="L1075" s="1" t="inlineStr">
        <is>
          <t>Yes</t>
        </is>
      </c>
      <c r="M1075" s="1" t="inlineStr">
        <is>
          <t>No</t>
        </is>
      </c>
      <c r="N1075" s="1" t="inlineStr">
        <is>
          <t>Algorithms</t>
        </is>
      </c>
      <c r="O10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75" s="11" t="inlineStr">
        <is>
          <t>To Do</t>
        </is>
      </c>
    </row>
    <row r="1076" ht="15.75" customHeight="1" s="12">
      <c r="A1076" s="1" t="n">
        <v>359</v>
      </c>
      <c r="B1076" s="3">
        <f>HYPERLINK("https://leetcode.com/problems/logger-rate-limiter/", "Logger Rate Limiter")</f>
        <v/>
      </c>
      <c r="C1076" s="1" t="n">
        <v>1811</v>
      </c>
      <c r="D1076" s="1" t="n">
        <v>198</v>
      </c>
      <c r="E1076" s="4">
        <f>IF(INDEX(C:C, ROW())+INDEX(D:D, ROW())=0, 0, INDEX(C:C, ROW())/(INDEX(C:C, ROW())+INDEX(D:D, ROW())))</f>
        <v/>
      </c>
      <c r="F1076" s="1" t="inlineStr">
        <is>
          <t>Hash Table, Design, Data Stream</t>
        </is>
      </c>
      <c r="G1076" s="1" t="inlineStr">
        <is>
          <t>Easy</t>
        </is>
      </c>
      <c r="H1076" s="1" t="n">
        <v>393573</v>
      </c>
      <c r="I1076" s="1" t="n">
        <v>512318</v>
      </c>
      <c r="J1076" s="9" t="n">
        <v>0.768</v>
      </c>
      <c r="K1076" s="1" t="inlineStr">
        <is>
          <t>No</t>
        </is>
      </c>
      <c r="L1076" s="1" t="inlineStr">
        <is>
          <t>Yes</t>
        </is>
      </c>
      <c r="M1076" s="1" t="inlineStr">
        <is>
          <t>Yes</t>
        </is>
      </c>
      <c r="N1076" s="1" t="inlineStr">
        <is>
          <t>Algorithms</t>
        </is>
      </c>
      <c r="O10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76" s="13" t="inlineStr">
        <is>
          <t>Done</t>
        </is>
      </c>
    </row>
    <row r="1077" ht="15.75" customHeight="1" s="12">
      <c r="A1077" s="1" t="n">
        <v>1013</v>
      </c>
      <c r="B1077" s="3">
        <f>HYPERLINK("https://leetcode.com/problems/partition-array-into-three-parts-with-equal-sum/", "Partition Array Into Three Parts With Equal Sum")</f>
        <v/>
      </c>
      <c r="C1077" s="1" t="n">
        <v>1805</v>
      </c>
      <c r="D1077" s="1" t="n">
        <v>169</v>
      </c>
      <c r="E1077" s="4">
        <f>IF(INDEX(C:C, ROW())+INDEX(D:D, ROW())=0, 0, INDEX(C:C, ROW())/(INDEX(C:C, ROW())+INDEX(D:D, ROW())))</f>
        <v/>
      </c>
      <c r="F1077" s="1" t="inlineStr">
        <is>
          <t>Array, Greedy</t>
        </is>
      </c>
      <c r="G1077" s="1" t="inlineStr">
        <is>
          <t>Easy</t>
        </is>
      </c>
      <c r="H1077" s="1" t="n">
        <v>125574</v>
      </c>
      <c r="I1077" s="1" t="n">
        <v>294024</v>
      </c>
      <c r="J1077" s="9" t="n">
        <v>0.427</v>
      </c>
      <c r="K1077" s="1" t="inlineStr">
        <is>
          <t>Yes</t>
        </is>
      </c>
      <c r="L1077" s="1" t="inlineStr">
        <is>
          <t>No</t>
        </is>
      </c>
      <c r="M1077" s="1" t="inlineStr">
        <is>
          <t>No</t>
        </is>
      </c>
      <c r="N1077" s="1" t="inlineStr">
        <is>
          <t>Algorithms</t>
        </is>
      </c>
      <c r="O10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77" s="13" t="inlineStr">
        <is>
          <t>Done</t>
        </is>
      </c>
    </row>
    <row r="1078" ht="15.75" customHeight="1" s="12">
      <c r="A1078" s="1" t="n">
        <v>1051</v>
      </c>
      <c r="B1078" s="3">
        <f>HYPERLINK("https://leetcode.com/problems/height-checker/", "Height Checker")</f>
        <v/>
      </c>
      <c r="C1078" s="1" t="n">
        <v>1805</v>
      </c>
      <c r="D1078" s="1" t="n">
        <v>123</v>
      </c>
      <c r="E1078" s="4">
        <f>IF(INDEX(C:C, ROW())+INDEX(D:D, ROW())=0, 0, INDEX(C:C, ROW())/(INDEX(C:C, ROW())+INDEX(D:D, ROW())))</f>
        <v/>
      </c>
      <c r="F1078" s="1" t="inlineStr">
        <is>
          <t>Array, Sorting, Counting Sort</t>
        </is>
      </c>
      <c r="G1078" s="1" t="inlineStr">
        <is>
          <t>Easy</t>
        </is>
      </c>
      <c r="H1078" s="1" t="n">
        <v>641697</v>
      </c>
      <c r="I1078" s="1" t="n">
        <v>785671</v>
      </c>
      <c r="J1078" s="9" t="n">
        <v>0.8169999999999999</v>
      </c>
      <c r="K1078" s="1" t="inlineStr">
        <is>
          <t>Yes</t>
        </is>
      </c>
      <c r="L1078" s="1" t="inlineStr">
        <is>
          <t>Yes</t>
        </is>
      </c>
      <c r="M1078" s="1" t="inlineStr">
        <is>
          <t>No</t>
        </is>
      </c>
      <c r="N1078" s="1" t="inlineStr">
        <is>
          <t>Algorithms</t>
        </is>
      </c>
      <c r="O10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78" s="13" t="inlineStr">
        <is>
          <t>Done</t>
        </is>
      </c>
    </row>
    <row r="1079" ht="15.75" customHeight="1" s="12">
      <c r="A1079" s="1" t="n">
        <v>2006</v>
      </c>
      <c r="B1079" s="3">
        <f>HYPERLINK("https://leetcode.com/problems/count-number-of-pairs-with-absolute-difference-k/", "Count Number of Pairs With Absolute Difference K")</f>
        <v/>
      </c>
      <c r="C1079" s="1" t="n">
        <v>1805</v>
      </c>
      <c r="D1079" s="1" t="n">
        <v>49</v>
      </c>
      <c r="E1079" s="4">
        <f>IF(INDEX(C:C, ROW())+INDEX(D:D, ROW())=0, 0, INDEX(C:C, ROW())/(INDEX(C:C, ROW())+INDEX(D:D, ROW())))</f>
        <v/>
      </c>
      <c r="F1079" s="1" t="inlineStr">
        <is>
          <t>Array, Hash Table, Counting</t>
        </is>
      </c>
      <c r="G1079" s="1" t="inlineStr">
        <is>
          <t>Easy</t>
        </is>
      </c>
      <c r="H1079" s="1" t="n">
        <v>237389</v>
      </c>
      <c r="I1079" s="1" t="n">
        <v>278050</v>
      </c>
      <c r="J1079" s="9" t="n">
        <v>0.854</v>
      </c>
      <c r="K1079" s="1" t="inlineStr">
        <is>
          <t>Yes</t>
        </is>
      </c>
      <c r="L1079" s="1" t="inlineStr">
        <is>
          <t>No</t>
        </is>
      </c>
      <c r="M1079" s="1" t="inlineStr">
        <is>
          <t>No</t>
        </is>
      </c>
      <c r="N1079" s="1" t="inlineStr">
        <is>
          <t>Algorithms</t>
        </is>
      </c>
      <c r="O10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79" s="13" t="inlineStr">
        <is>
          <t>Done</t>
        </is>
      </c>
    </row>
    <row r="1080" ht="15.75" customHeight="1" s="12">
      <c r="A1080" s="1" t="n">
        <v>2364</v>
      </c>
      <c r="B1080" s="3">
        <f>HYPERLINK("https://leetcode.com/problems/count-number-of-bad-pairs/", "Count Number of Bad Pairs")</f>
        <v/>
      </c>
      <c r="C1080" s="1" t="n">
        <v>1798</v>
      </c>
      <c r="D1080" s="1" t="n">
        <v>62</v>
      </c>
      <c r="E1080" s="4">
        <f>IF(INDEX(C:C, ROW())+INDEX(D:D, ROW())=0, 0, INDEX(C:C, ROW())/(INDEX(C:C, ROW())+INDEX(D:D, ROW())))</f>
        <v/>
      </c>
      <c r="F1080" s="1" t="inlineStr">
        <is>
          <t>Array, Hash Table, Math, Counting</t>
        </is>
      </c>
      <c r="G1080" s="1" t="inlineStr">
        <is>
          <t>Medium</t>
        </is>
      </c>
      <c r="H1080" s="1" t="n">
        <v>186916</v>
      </c>
      <c r="I1080" s="1" t="n">
        <v>344867</v>
      </c>
      <c r="J1080" s="9" t="n">
        <v>0.542</v>
      </c>
      <c r="K1080" s="1" t="inlineStr">
        <is>
          <t>Yes</t>
        </is>
      </c>
      <c r="L1080" s="1" t="inlineStr">
        <is>
          <t>Yes</t>
        </is>
      </c>
      <c r="M1080" s="1" t="inlineStr">
        <is>
          <t>No</t>
        </is>
      </c>
      <c r="N1080" s="1" t="inlineStr">
        <is>
          <t>Algorithms</t>
        </is>
      </c>
      <c r="O10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80" s="11" t="inlineStr">
        <is>
          <t>To Do</t>
        </is>
      </c>
    </row>
    <row r="1081" ht="15.75" customHeight="1" s="12">
      <c r="A1081" s="1" t="n">
        <v>1582</v>
      </c>
      <c r="B1081" s="3">
        <f>HYPERLINK("https://leetcode.com/problems/special-positions-in-a-binary-matrix/", "Special Positions in a Binary Matrix")</f>
        <v/>
      </c>
      <c r="C1081" s="1" t="n">
        <v>1797</v>
      </c>
      <c r="D1081" s="1" t="n">
        <v>81</v>
      </c>
      <c r="E1081" s="4">
        <f>IF(INDEX(C:C, ROW())+INDEX(D:D, ROW())=0, 0, INDEX(C:C, ROW())/(INDEX(C:C, ROW())+INDEX(D:D, ROW())))</f>
        <v/>
      </c>
      <c r="F1081" s="1" t="inlineStr">
        <is>
          <t>Array, Matrix</t>
        </is>
      </c>
      <c r="G1081" s="1" t="inlineStr">
        <is>
          <t>Easy</t>
        </is>
      </c>
      <c r="H1081" s="1" t="n">
        <v>285426</v>
      </c>
      <c r="I1081" s="1" t="n">
        <v>392828</v>
      </c>
      <c r="J1081" s="9" t="n">
        <v>0.727</v>
      </c>
      <c r="K1081" s="1" t="inlineStr">
        <is>
          <t>Yes</t>
        </is>
      </c>
      <c r="L1081" s="1" t="inlineStr">
        <is>
          <t>Yes</t>
        </is>
      </c>
      <c r="M1081" s="1" t="inlineStr">
        <is>
          <t>No</t>
        </is>
      </c>
      <c r="N1081" s="1" t="inlineStr">
        <is>
          <t>Algorithms</t>
        </is>
      </c>
      <c r="O10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81" s="13" t="inlineStr">
        <is>
          <t>Done</t>
        </is>
      </c>
    </row>
    <row r="1082" ht="15.75" customHeight="1" s="12">
      <c r="A1082" s="1" t="n">
        <v>1260</v>
      </c>
      <c r="B1082" s="3">
        <f>HYPERLINK("https://leetcode.com/problems/shift-2d-grid/", "Shift 2D Grid")</f>
        <v/>
      </c>
      <c r="C1082" s="1" t="n">
        <v>1795</v>
      </c>
      <c r="D1082" s="1" t="n">
        <v>354</v>
      </c>
      <c r="E1082" s="4">
        <f>IF(INDEX(C:C, ROW())+INDEX(D:D, ROW())=0, 0, INDEX(C:C, ROW())/(INDEX(C:C, ROW())+INDEX(D:D, ROW())))</f>
        <v/>
      </c>
      <c r="F1082" s="1" t="inlineStr">
        <is>
          <t>Array, Matrix, Simulation</t>
        </is>
      </c>
      <c r="G1082" s="1" t="inlineStr">
        <is>
          <t>Easy</t>
        </is>
      </c>
      <c r="H1082" s="1" t="n">
        <v>126084</v>
      </c>
      <c r="I1082" s="1" t="n">
        <v>185372</v>
      </c>
      <c r="J1082" s="9" t="n">
        <v>0.68</v>
      </c>
      <c r="K1082" s="1" t="inlineStr">
        <is>
          <t>Yes</t>
        </is>
      </c>
      <c r="L1082" s="1" t="inlineStr">
        <is>
          <t>Yes</t>
        </is>
      </c>
      <c r="M1082" s="1" t="inlineStr">
        <is>
          <t>No</t>
        </is>
      </c>
      <c r="N1082" s="1" t="inlineStr">
        <is>
          <t>Algorithms</t>
        </is>
      </c>
      <c r="O10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82" s="13" t="inlineStr">
        <is>
          <t>Done</t>
        </is>
      </c>
    </row>
    <row r="1083" ht="15.75" customHeight="1" s="12">
      <c r="A1083" s="1" t="n">
        <v>1400</v>
      </c>
      <c r="B1083" s="3">
        <f>HYPERLINK("https://leetcode.com/problems/construct-k-palindrome-strings/", "Construct K Palindrome Strings")</f>
        <v/>
      </c>
      <c r="C1083" s="1" t="n">
        <v>1795</v>
      </c>
      <c r="D1083" s="1" t="n">
        <v>160</v>
      </c>
      <c r="E1083" s="4">
        <f>IF(INDEX(C:C, ROW())+INDEX(D:D, ROW())=0, 0, INDEX(C:C, ROW())/(INDEX(C:C, ROW())+INDEX(D:D, ROW())))</f>
        <v/>
      </c>
      <c r="F1083" s="1" t="inlineStr">
        <is>
          <t>Hash Table, String, Greedy, Counting</t>
        </is>
      </c>
      <c r="G1083" s="1" t="inlineStr">
        <is>
          <t>Medium</t>
        </is>
      </c>
      <c r="H1083" s="1" t="n">
        <v>210951</v>
      </c>
      <c r="I1083" s="1" t="n">
        <v>307763</v>
      </c>
      <c r="J1083" s="9" t="n">
        <v>0.6850000000000001</v>
      </c>
      <c r="K1083" s="1" t="inlineStr">
        <is>
          <t>Yes</t>
        </is>
      </c>
      <c r="L1083" s="1" t="inlineStr">
        <is>
          <t>Yes</t>
        </is>
      </c>
      <c r="M1083" s="1" t="inlineStr">
        <is>
          <t>No</t>
        </is>
      </c>
      <c r="N1083" s="1" t="inlineStr">
        <is>
          <t>Algorithms</t>
        </is>
      </c>
      <c r="O10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83" s="11" t="inlineStr">
        <is>
          <t>To Do</t>
        </is>
      </c>
    </row>
    <row r="1084" ht="15.75" customHeight="1" s="12">
      <c r="A1084" s="1" t="n">
        <v>1415</v>
      </c>
      <c r="B1084" s="3">
        <f>HYPERLINK("https://leetcode.com/problems/the-k-th-lexicographical-string-of-all-happy-strings-of-length-n/", "The k-th Lexicographical String of All Happy Strings of Length n")</f>
        <v/>
      </c>
      <c r="C1084" s="1" t="n">
        <v>1791</v>
      </c>
      <c r="D1084" s="1" t="n">
        <v>56</v>
      </c>
      <c r="E1084" s="4">
        <f>IF(INDEX(C:C, ROW())+INDEX(D:D, ROW())=0, 0, INDEX(C:C, ROW())/(INDEX(C:C, ROW())+INDEX(D:D, ROW())))</f>
        <v/>
      </c>
      <c r="F1084" s="1" t="inlineStr">
        <is>
          <t>String, Backtracking</t>
        </is>
      </c>
      <c r="G1084" s="1" t="inlineStr">
        <is>
          <t>Medium</t>
        </is>
      </c>
      <c r="H1084" s="1" t="n">
        <v>275742</v>
      </c>
      <c r="I1084" s="1" t="n">
        <v>316512</v>
      </c>
      <c r="J1084" s="9" t="n">
        <v>0.871</v>
      </c>
      <c r="K1084" s="1" t="inlineStr">
        <is>
          <t>Yes</t>
        </is>
      </c>
      <c r="L1084" s="1" t="inlineStr">
        <is>
          <t>Yes</t>
        </is>
      </c>
      <c r="M1084" s="1" t="inlineStr">
        <is>
          <t>No</t>
        </is>
      </c>
      <c r="N1084" s="1" t="inlineStr">
        <is>
          <t>Algorithms</t>
        </is>
      </c>
      <c r="O10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84" s="11" t="inlineStr">
        <is>
          <t>To Do</t>
        </is>
      </c>
    </row>
    <row r="1085" ht="15.75" customHeight="1" s="12">
      <c r="A1085" s="1" t="n">
        <v>249</v>
      </c>
      <c r="B1085" s="3">
        <f>HYPERLINK("https://leetcode.com/problems/group-shifted-strings/", "Group Shifted Strings")</f>
        <v/>
      </c>
      <c r="C1085" s="1" t="n">
        <v>1785</v>
      </c>
      <c r="D1085" s="1" t="n">
        <v>446</v>
      </c>
      <c r="E1085" s="4">
        <f>IF(INDEX(C:C, ROW())+INDEX(D:D, ROW())=0, 0, INDEX(C:C, ROW())/(INDEX(C:C, ROW())+INDEX(D:D, ROW())))</f>
        <v/>
      </c>
      <c r="F1085" s="1" t="inlineStr">
        <is>
          <t>Array, Hash Table, String</t>
        </is>
      </c>
      <c r="G1085" s="1" t="inlineStr">
        <is>
          <t>Medium</t>
        </is>
      </c>
      <c r="H1085" s="1" t="n">
        <v>317028</v>
      </c>
      <c r="I1085" s="1" t="n">
        <v>467529</v>
      </c>
      <c r="J1085" s="9" t="n">
        <v>0.678</v>
      </c>
      <c r="K1085" s="1" t="inlineStr">
        <is>
          <t>No</t>
        </is>
      </c>
      <c r="L1085" s="1" t="inlineStr">
        <is>
          <t>Yes</t>
        </is>
      </c>
      <c r="M1085" s="1" t="inlineStr">
        <is>
          <t>Yes</t>
        </is>
      </c>
      <c r="N1085" s="1" t="inlineStr">
        <is>
          <t>Algorithms</t>
        </is>
      </c>
      <c r="O10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85" s="11" t="inlineStr">
        <is>
          <t>To Do</t>
        </is>
      </c>
    </row>
    <row r="1086" ht="15.75" customHeight="1" s="12">
      <c r="A1086" s="1" t="n">
        <v>820</v>
      </c>
      <c r="B1086" s="3">
        <f>HYPERLINK("https://leetcode.com/problems/short-encoding-of-words/", "Short Encoding of Words")</f>
        <v/>
      </c>
      <c r="C1086" s="1" t="n">
        <v>1785</v>
      </c>
      <c r="D1086" s="1" t="n">
        <v>672</v>
      </c>
      <c r="E1086" s="4">
        <f>IF(INDEX(C:C, ROW())+INDEX(D:D, ROW())=0, 0, INDEX(C:C, ROW())/(INDEX(C:C, ROW())+INDEX(D:D, ROW())))</f>
        <v/>
      </c>
      <c r="F1086" s="1" t="inlineStr">
        <is>
          <t>Array, Hash Table, String, Trie</t>
        </is>
      </c>
      <c r="G1086" s="1" t="inlineStr">
        <is>
          <t>Medium</t>
        </is>
      </c>
      <c r="H1086" s="1" t="n">
        <v>106265</v>
      </c>
      <c r="I1086" s="1" t="n">
        <v>174634</v>
      </c>
      <c r="J1086" s="9" t="n">
        <v>0.609</v>
      </c>
      <c r="K1086" s="1" t="inlineStr">
        <is>
          <t>Yes</t>
        </is>
      </c>
      <c r="L1086" s="1" t="inlineStr">
        <is>
          <t>Yes</t>
        </is>
      </c>
      <c r="M1086" s="1" t="inlineStr">
        <is>
          <t>No</t>
        </is>
      </c>
      <c r="N1086" s="1" t="inlineStr">
        <is>
          <t>Algorithms</t>
        </is>
      </c>
      <c r="O10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86" s="11" t="inlineStr">
        <is>
          <t>To Do</t>
        </is>
      </c>
    </row>
    <row r="1087" ht="15.75" customHeight="1" s="12">
      <c r="A1087" s="1" t="n">
        <v>1287</v>
      </c>
      <c r="B1087" s="3">
        <f>HYPERLINK("https://leetcode.com/problems/element-appearing-more-than-25-in-sorted-array/", "Element Appearing More Than 25% In Sorted Array")</f>
        <v/>
      </c>
      <c r="C1087" s="1" t="n">
        <v>1783</v>
      </c>
      <c r="D1087" s="1" t="n">
        <v>85</v>
      </c>
      <c r="E1087" s="4">
        <f>IF(INDEX(C:C, ROW())+INDEX(D:D, ROW())=0, 0, INDEX(C:C, ROW())/(INDEX(C:C, ROW())+INDEX(D:D, ROW())))</f>
        <v/>
      </c>
      <c r="F1087" s="1" t="inlineStr">
        <is>
          <t>Array</t>
        </is>
      </c>
      <c r="G1087" s="1" t="inlineStr">
        <is>
          <t>Easy</t>
        </is>
      </c>
      <c r="H1087" s="1" t="n">
        <v>258463</v>
      </c>
      <c r="I1087" s="1" t="n">
        <v>422351</v>
      </c>
      <c r="J1087" s="9" t="n">
        <v>0.612</v>
      </c>
      <c r="K1087" s="1" t="inlineStr">
        <is>
          <t>Yes</t>
        </is>
      </c>
      <c r="L1087" s="1" t="inlineStr">
        <is>
          <t>Yes</t>
        </is>
      </c>
      <c r="M1087" s="1" t="inlineStr">
        <is>
          <t>No</t>
        </is>
      </c>
      <c r="N1087" s="1" t="inlineStr">
        <is>
          <t>Algorithms</t>
        </is>
      </c>
      <c r="O10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87" s="13" t="inlineStr">
        <is>
          <t>Done</t>
        </is>
      </c>
    </row>
    <row r="1088" ht="15.75" customHeight="1" s="12">
      <c r="A1088" s="1" t="n">
        <v>570</v>
      </c>
      <c r="B1088" s="3">
        <f>HYPERLINK("https://leetcode.com/problems/managers-with-at-least-5-direct-reports/", "Managers with at Least 5 Direct Reports")</f>
        <v/>
      </c>
      <c r="C1088" s="1" t="n">
        <v>1780</v>
      </c>
      <c r="D1088" s="1" t="n">
        <v>193</v>
      </c>
      <c r="E1088" s="4">
        <f>IF(INDEX(C:C, ROW())+INDEX(D:D, ROW())=0, 0, INDEX(C:C, ROW())/(INDEX(C:C, ROW())+INDEX(D:D, ROW())))</f>
        <v/>
      </c>
      <c r="F1088" s="1" t="inlineStr">
        <is>
          <t>Database</t>
        </is>
      </c>
      <c r="G1088" s="1" t="inlineStr">
        <is>
          <t>Medium</t>
        </is>
      </c>
      <c r="H1088" s="1" t="n">
        <v>969608</v>
      </c>
      <c r="I1088" s="1" t="n">
        <v>1977615</v>
      </c>
      <c r="J1088" s="9" t="n">
        <v>0.49</v>
      </c>
      <c r="K1088" s="1" t="inlineStr">
        <is>
          <t>Yes</t>
        </is>
      </c>
      <c r="L1088" s="1" t="inlineStr">
        <is>
          <t>Yes</t>
        </is>
      </c>
      <c r="M1088" s="1" t="inlineStr">
        <is>
          <t>No</t>
        </is>
      </c>
      <c r="N1088" s="1" t="inlineStr">
        <is>
          <t>Database</t>
        </is>
      </c>
      <c r="O10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88" s="11" t="inlineStr">
        <is>
          <t>To Do</t>
        </is>
      </c>
    </row>
    <row r="1089" ht="15.75" customHeight="1" s="12">
      <c r="A1089" s="1" t="n">
        <v>2381</v>
      </c>
      <c r="B1089" s="3">
        <f>HYPERLINK("https://leetcode.com/problems/shifting-letters-ii/", "Shifting Letters II")</f>
        <v/>
      </c>
      <c r="C1089" s="1" t="n">
        <v>1777</v>
      </c>
      <c r="D1089" s="1" t="n">
        <v>72</v>
      </c>
      <c r="E1089" s="4">
        <f>IF(INDEX(C:C, ROW())+INDEX(D:D, ROW())=0, 0, INDEX(C:C, ROW())/(INDEX(C:C, ROW())+INDEX(D:D, ROW())))</f>
        <v/>
      </c>
      <c r="F1089" s="1" t="inlineStr">
        <is>
          <t>Array, String, Prefix Sum</t>
        </is>
      </c>
      <c r="G1089" s="1" t="inlineStr">
        <is>
          <t>Medium</t>
        </is>
      </c>
      <c r="H1089" s="1" t="n">
        <v>161708</v>
      </c>
      <c r="I1089" s="1" t="n">
        <v>301504</v>
      </c>
      <c r="J1089" s="9" t="n">
        <v>0.536</v>
      </c>
      <c r="K1089" s="1" t="inlineStr">
        <is>
          <t>Yes</t>
        </is>
      </c>
      <c r="L1089" s="1" t="inlineStr">
        <is>
          <t>Yes</t>
        </is>
      </c>
      <c r="M1089" s="1" t="inlineStr">
        <is>
          <t>No</t>
        </is>
      </c>
      <c r="N1089" s="1" t="inlineStr">
        <is>
          <t>Algorithms</t>
        </is>
      </c>
      <c r="O10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89" s="11" t="inlineStr">
        <is>
          <t>To Do</t>
        </is>
      </c>
    </row>
    <row r="1090" ht="15.75" customHeight="1" s="12">
      <c r="A1090" s="1" t="n">
        <v>2161</v>
      </c>
      <c r="B1090" s="3">
        <f>HYPERLINK("https://leetcode.com/problems/partition-array-according-to-given-pivot/", "Partition Array According to Given Pivot")</f>
        <v/>
      </c>
      <c r="C1090" s="1" t="n">
        <v>1775</v>
      </c>
      <c r="D1090" s="1" t="n">
        <v>125</v>
      </c>
      <c r="E1090" s="4">
        <f>IF(INDEX(C:C, ROW())+INDEX(D:D, ROW())=0, 0, INDEX(C:C, ROW())/(INDEX(C:C, ROW())+INDEX(D:D, ROW())))</f>
        <v/>
      </c>
      <c r="F1090" s="1" t="inlineStr">
        <is>
          <t>Array, Two Pointers, Simulation</t>
        </is>
      </c>
      <c r="G1090" s="1" t="inlineStr">
        <is>
          <t>Medium</t>
        </is>
      </c>
      <c r="H1090" s="1" t="n">
        <v>313716</v>
      </c>
      <c r="I1090" s="1" t="n">
        <v>349424</v>
      </c>
      <c r="J1090" s="9" t="n">
        <v>0.898</v>
      </c>
      <c r="K1090" s="1" t="inlineStr">
        <is>
          <t>Yes</t>
        </is>
      </c>
      <c r="L1090" s="1" t="inlineStr">
        <is>
          <t>Yes</t>
        </is>
      </c>
      <c r="M1090" s="1" t="inlineStr">
        <is>
          <t>No</t>
        </is>
      </c>
      <c r="N1090" s="1" t="inlineStr">
        <is>
          <t>Algorithms</t>
        </is>
      </c>
      <c r="O10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90" s="11" t="inlineStr">
        <is>
          <t>To Do</t>
        </is>
      </c>
    </row>
    <row r="1091" ht="15.75" customHeight="1" s="12">
      <c r="A1091" s="1" t="n">
        <v>2279</v>
      </c>
      <c r="B1091" s="3">
        <f>HYPERLINK("https://leetcode.com/problems/maximum-bags-with-full-capacity-of-rocks/", "Maximum Bags With Full Capacity of Rocks")</f>
        <v/>
      </c>
      <c r="C1091" s="1" t="n">
        <v>1774</v>
      </c>
      <c r="D1091" s="1" t="n">
        <v>72</v>
      </c>
      <c r="E1091" s="4">
        <f>IF(INDEX(C:C, ROW())+INDEX(D:D, ROW())=0, 0, INDEX(C:C, ROW())/(INDEX(C:C, ROW())+INDEX(D:D, ROW())))</f>
        <v/>
      </c>
      <c r="F1091" s="1" t="inlineStr">
        <is>
          <t>Array, Greedy, Sorting</t>
        </is>
      </c>
      <c r="G1091" s="1" t="inlineStr">
        <is>
          <t>Medium</t>
        </is>
      </c>
      <c r="H1091" s="1" t="n">
        <v>113596</v>
      </c>
      <c r="I1091" s="1" t="n">
        <v>166872</v>
      </c>
      <c r="J1091" s="9" t="n">
        <v>0.681</v>
      </c>
      <c r="K1091" s="1" t="inlineStr">
        <is>
          <t>Yes</t>
        </is>
      </c>
      <c r="L1091" s="1" t="inlineStr">
        <is>
          <t>Yes</t>
        </is>
      </c>
      <c r="M1091" s="1" t="inlineStr">
        <is>
          <t>No</t>
        </is>
      </c>
      <c r="N1091" s="1" t="inlineStr">
        <is>
          <t>Algorithms</t>
        </is>
      </c>
      <c r="O10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91" s="11" t="inlineStr">
        <is>
          <t>To Do</t>
        </is>
      </c>
    </row>
    <row r="1092" ht="15.75" customHeight="1" s="12">
      <c r="A1092" s="1" t="n">
        <v>1680</v>
      </c>
      <c r="B1092" s="3">
        <f>HYPERLINK("https://leetcode.com/problems/concatenation-of-consecutive-binary-numbers/", "Concatenation of Consecutive Binary Numbers")</f>
        <v/>
      </c>
      <c r="C1092" s="1" t="n">
        <v>1773</v>
      </c>
      <c r="D1092" s="1" t="n">
        <v>450</v>
      </c>
      <c r="E1092" s="4">
        <f>IF(INDEX(C:C, ROW())+INDEX(D:D, ROW())=0, 0, INDEX(C:C, ROW())/(INDEX(C:C, ROW())+INDEX(D:D, ROW())))</f>
        <v/>
      </c>
      <c r="F1092" s="1" t="inlineStr">
        <is>
          <t>Math, Bit Manipulation, Simulation</t>
        </is>
      </c>
      <c r="G1092" s="1" t="inlineStr">
        <is>
          <t>Medium</t>
        </is>
      </c>
      <c r="H1092" s="1" t="n">
        <v>192094</v>
      </c>
      <c r="I1092" s="1" t="n">
        <v>288405</v>
      </c>
      <c r="J1092" s="9" t="n">
        <v>0.666</v>
      </c>
      <c r="K1092" s="1" t="inlineStr">
        <is>
          <t>Yes</t>
        </is>
      </c>
      <c r="L1092" s="1" t="inlineStr">
        <is>
          <t>Yes</t>
        </is>
      </c>
      <c r="M1092" s="1" t="inlineStr">
        <is>
          <t>No</t>
        </is>
      </c>
      <c r="N1092" s="1" t="inlineStr">
        <is>
          <t>Algorithms</t>
        </is>
      </c>
      <c r="O10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92" s="11" t="inlineStr">
        <is>
          <t>To Do</t>
        </is>
      </c>
    </row>
    <row r="1093" ht="15.75" customHeight="1" s="12">
      <c r="A1093" s="1" t="n">
        <v>915</v>
      </c>
      <c r="B1093" s="3">
        <f>HYPERLINK("https://leetcode.com/problems/partition-array-into-disjoint-intervals/", "Partition Array into Disjoint Intervals")</f>
        <v/>
      </c>
      <c r="C1093" s="1" t="n">
        <v>1772</v>
      </c>
      <c r="D1093" s="1" t="n">
        <v>83</v>
      </c>
      <c r="E1093" s="4">
        <f>IF(INDEX(C:C, ROW())+INDEX(D:D, ROW())=0, 0, INDEX(C:C, ROW())/(INDEX(C:C, ROW())+INDEX(D:D, ROW())))</f>
        <v/>
      </c>
      <c r="F1093" s="1" t="inlineStr">
        <is>
          <t>Array</t>
        </is>
      </c>
      <c r="G1093" s="1" t="inlineStr">
        <is>
          <t>Medium</t>
        </is>
      </c>
      <c r="H1093" s="1" t="n">
        <v>98485</v>
      </c>
      <c r="I1093" s="1" t="n">
        <v>199128</v>
      </c>
      <c r="J1093" s="9" t="n">
        <v>0.495</v>
      </c>
      <c r="K1093" s="1" t="inlineStr">
        <is>
          <t>Yes</t>
        </is>
      </c>
      <c r="L1093" s="1" t="inlineStr">
        <is>
          <t>Yes</t>
        </is>
      </c>
      <c r="M1093" s="1" t="inlineStr">
        <is>
          <t>No</t>
        </is>
      </c>
      <c r="N1093" s="1" t="inlineStr">
        <is>
          <t>Algorithms</t>
        </is>
      </c>
      <c r="O10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93" s="11" t="inlineStr">
        <is>
          <t>To Do</t>
        </is>
      </c>
    </row>
    <row r="1094" ht="15.75" customHeight="1" s="12">
      <c r="A1094" s="1" t="n">
        <v>1477</v>
      </c>
      <c r="B1094" s="3">
        <f>HYPERLINK("https://leetcode.com/problems/find-two-non-overlapping-sub-arrays-each-with-target-sum/", "Find Two Non-overlapping Sub-arrays Each With Target Sum")</f>
        <v/>
      </c>
      <c r="C1094" s="1" t="n">
        <v>1770</v>
      </c>
      <c r="D1094" s="1" t="n">
        <v>94</v>
      </c>
      <c r="E1094" s="4">
        <f>IF(INDEX(C:C, ROW())+INDEX(D:D, ROW())=0, 0, INDEX(C:C, ROW())/(INDEX(C:C, ROW())+INDEX(D:D, ROW())))</f>
        <v/>
      </c>
      <c r="F1094" s="1" t="inlineStr">
        <is>
          <t>Array, Hash Table, Binary Search, Dynamic Programming, Sliding Window</t>
        </is>
      </c>
      <c r="G1094" s="1" t="inlineStr">
        <is>
          <t>Medium</t>
        </is>
      </c>
      <c r="H1094" s="1" t="n">
        <v>55538</v>
      </c>
      <c r="I1094" s="1" t="n">
        <v>150736</v>
      </c>
      <c r="J1094" s="9" t="n">
        <v>0.368</v>
      </c>
      <c r="K1094" s="1" t="inlineStr">
        <is>
          <t>Yes</t>
        </is>
      </c>
      <c r="L1094" s="1" t="inlineStr">
        <is>
          <t>No</t>
        </is>
      </c>
      <c r="M1094" s="1" t="inlineStr">
        <is>
          <t>No</t>
        </is>
      </c>
      <c r="N1094" s="1" t="inlineStr">
        <is>
          <t>Algorithms</t>
        </is>
      </c>
      <c r="O10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94" s="11" t="inlineStr">
        <is>
          <t>To Do</t>
        </is>
      </c>
    </row>
    <row r="1095" ht="15.75" customHeight="1" s="12">
      <c r="A1095" s="1" t="n">
        <v>2415</v>
      </c>
      <c r="B1095" s="3">
        <f>HYPERLINK("https://leetcode.com/problems/reverse-odd-levels-of-binary-tree/", "Reverse Odd Levels of Binary Tree")</f>
        <v/>
      </c>
      <c r="C1095" s="1" t="n">
        <v>1769</v>
      </c>
      <c r="D1095" s="1" t="n">
        <v>74</v>
      </c>
      <c r="E1095" s="4">
        <f>IF(INDEX(C:C, ROW())+INDEX(D:D, ROW())=0, 0, INDEX(C:C, ROW())/(INDEX(C:C, ROW())+INDEX(D:D, ROW())))</f>
        <v/>
      </c>
      <c r="F1095" s="1" t="inlineStr">
        <is>
          <t>Tree, Depth-First Search, Breadth-First Search, Binary Tree</t>
        </is>
      </c>
      <c r="G1095" s="1" t="inlineStr">
        <is>
          <t>Medium</t>
        </is>
      </c>
      <c r="H1095" s="1" t="n">
        <v>188964</v>
      </c>
      <c r="I1095" s="1" t="n">
        <v>218057</v>
      </c>
      <c r="J1095" s="9" t="n">
        <v>0.867</v>
      </c>
      <c r="K1095" s="1" t="inlineStr">
        <is>
          <t>Yes</t>
        </is>
      </c>
      <c r="L1095" s="1" t="inlineStr">
        <is>
          <t>Yes</t>
        </is>
      </c>
      <c r="M1095" s="1" t="inlineStr">
        <is>
          <t>No</t>
        </is>
      </c>
      <c r="N1095" s="1" t="inlineStr">
        <is>
          <t>Algorithms</t>
        </is>
      </c>
      <c r="O10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95" s="11" t="inlineStr">
        <is>
          <t>To Do</t>
        </is>
      </c>
    </row>
    <row r="1096" ht="15.75" customHeight="1" s="12">
      <c r="A1096" s="1" t="n">
        <v>427</v>
      </c>
      <c r="B1096" s="3">
        <f>HYPERLINK("https://leetcode.com/problems/construct-quad-tree/", "Construct Quad Tree")</f>
        <v/>
      </c>
      <c r="C1096" s="1" t="n">
        <v>1766</v>
      </c>
      <c r="D1096" s="1" t="n">
        <v>1964</v>
      </c>
      <c r="E1096" s="4">
        <f>IF(INDEX(C:C, ROW())+INDEX(D:D, ROW())=0, 0, INDEX(C:C, ROW())/(INDEX(C:C, ROW())+INDEX(D:D, ROW())))</f>
        <v/>
      </c>
      <c r="F1096" s="1" t="inlineStr">
        <is>
          <t>Array, Divide and Conquer, Tree, Matrix</t>
        </is>
      </c>
      <c r="G1096" s="1" t="inlineStr">
        <is>
          <t>Medium</t>
        </is>
      </c>
      <c r="H1096" s="1" t="n">
        <v>205411</v>
      </c>
      <c r="I1096" s="1" t="n">
        <v>262366</v>
      </c>
      <c r="J1096" s="9" t="n">
        <v>0.783</v>
      </c>
      <c r="K1096" s="1" t="inlineStr">
        <is>
          <t>Yes</t>
        </is>
      </c>
      <c r="L1096" s="1" t="inlineStr">
        <is>
          <t>Yes</t>
        </is>
      </c>
      <c r="M1096" s="1" t="inlineStr">
        <is>
          <t>No</t>
        </is>
      </c>
      <c r="N1096" s="1" t="inlineStr">
        <is>
          <t>Algorithms</t>
        </is>
      </c>
      <c r="O10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96" s="11" t="inlineStr">
        <is>
          <t>To Do</t>
        </is>
      </c>
    </row>
    <row r="1097" ht="15.75" customHeight="1" s="12">
      <c r="A1097" s="1" t="n">
        <v>2099</v>
      </c>
      <c r="B1097" s="3">
        <f>HYPERLINK("https://leetcode.com/problems/find-subsequence-of-length-k-with-the-largest-sum/", "Find Subsequence of Length K With the Largest Sum")</f>
        <v/>
      </c>
      <c r="C1097" s="1" t="n">
        <v>1762</v>
      </c>
      <c r="D1097" s="1" t="n">
        <v>184</v>
      </c>
      <c r="E1097" s="4">
        <f>IF(INDEX(C:C, ROW())+INDEX(D:D, ROW())=0, 0, INDEX(C:C, ROW())/(INDEX(C:C, ROW())+INDEX(D:D, ROW())))</f>
        <v/>
      </c>
      <c r="F1097" s="1" t="inlineStr">
        <is>
          <t>Array, Hash Table, Sorting, Heap (Priority Queue)</t>
        </is>
      </c>
      <c r="G1097" s="1" t="inlineStr">
        <is>
          <t>Easy</t>
        </is>
      </c>
      <c r="H1097" s="1" t="n">
        <v>181765</v>
      </c>
      <c r="I1097" s="1" t="n">
        <v>316674</v>
      </c>
      <c r="J1097" s="9" t="n">
        <v>0.574</v>
      </c>
      <c r="K1097" s="1" t="inlineStr">
        <is>
          <t>Yes</t>
        </is>
      </c>
      <c r="L1097" s="1" t="inlineStr">
        <is>
          <t>Yes</t>
        </is>
      </c>
      <c r="M1097" s="1" t="inlineStr">
        <is>
          <t>No</t>
        </is>
      </c>
      <c r="N1097" s="1" t="inlineStr">
        <is>
          <t>Algorithms</t>
        </is>
      </c>
      <c r="O10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97" s="13" t="inlineStr">
        <is>
          <t>Done</t>
        </is>
      </c>
    </row>
    <row r="1098" ht="15.75" customHeight="1" s="12">
      <c r="A1098" s="1" t="n">
        <v>2192</v>
      </c>
      <c r="B1098" s="3">
        <f>HYPERLINK("https://leetcode.com/problems/all-ancestors-of-a-node-in-a-directed-acyclic-graph/", "All Ancestors of a Node in a Directed Acyclic Graph")</f>
        <v/>
      </c>
      <c r="C1098" s="1" t="n">
        <v>1758</v>
      </c>
      <c r="D1098" s="1" t="n">
        <v>44</v>
      </c>
      <c r="E1098" s="4">
        <f>IF(INDEX(C:C, ROW())+INDEX(D:D, ROW())=0, 0, INDEX(C:C, ROW())/(INDEX(C:C, ROW())+INDEX(D:D, ROW())))</f>
        <v/>
      </c>
      <c r="F1098" s="1" t="inlineStr">
        <is>
          <t>Depth-First Search, Breadth-First Search, Graph Theory, Topological Sort</t>
        </is>
      </c>
      <c r="G1098" s="1" t="inlineStr">
        <is>
          <t>Medium</t>
        </is>
      </c>
      <c r="H1098" s="1" t="n">
        <v>161902</v>
      </c>
      <c r="I1098" s="1" t="n">
        <v>260574</v>
      </c>
      <c r="J1098" s="9" t="n">
        <v>0.621</v>
      </c>
      <c r="K1098" s="1" t="inlineStr">
        <is>
          <t>Yes</t>
        </is>
      </c>
      <c r="L1098" s="1" t="inlineStr">
        <is>
          <t>Yes</t>
        </is>
      </c>
      <c r="M1098" s="1" t="inlineStr">
        <is>
          <t>No</t>
        </is>
      </c>
      <c r="N1098" s="1" t="inlineStr">
        <is>
          <t>Algorithms</t>
        </is>
      </c>
      <c r="O10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98" s="11" t="inlineStr">
        <is>
          <t>To Do</t>
        </is>
      </c>
    </row>
    <row r="1099" ht="15.75" customHeight="1" s="12">
      <c r="A1099" s="1" t="n">
        <v>346</v>
      </c>
      <c r="B1099" s="3">
        <f>HYPERLINK("https://leetcode.com/problems/moving-average-from-data-stream/", "Moving Average from Data Stream")</f>
        <v/>
      </c>
      <c r="C1099" s="1" t="n">
        <v>1754</v>
      </c>
      <c r="D1099" s="1" t="n">
        <v>194</v>
      </c>
      <c r="E1099" s="4">
        <f>IF(INDEX(C:C, ROW())+INDEX(D:D, ROW())=0, 0, INDEX(C:C, ROW())/(INDEX(C:C, ROW())+INDEX(D:D, ROW())))</f>
        <v/>
      </c>
      <c r="F1099" s="1" t="inlineStr">
        <is>
          <t>Array, Design, Queue, Data Stream</t>
        </is>
      </c>
      <c r="G1099" s="1" t="inlineStr">
        <is>
          <t>Easy</t>
        </is>
      </c>
      <c r="H1099" s="1" t="n">
        <v>533032</v>
      </c>
      <c r="I1099" s="1" t="n">
        <v>664495</v>
      </c>
      <c r="J1099" s="9" t="n">
        <v>0.802</v>
      </c>
      <c r="K1099" s="1" t="inlineStr">
        <is>
          <t>No</t>
        </is>
      </c>
      <c r="L1099" s="1" t="inlineStr">
        <is>
          <t>Yes</t>
        </is>
      </c>
      <c r="M1099" s="1" t="inlineStr">
        <is>
          <t>Yes</t>
        </is>
      </c>
      <c r="N1099" s="1" t="inlineStr">
        <is>
          <t>Algorithms</t>
        </is>
      </c>
      <c r="O10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099" s="13" t="inlineStr">
        <is>
          <t>Done</t>
        </is>
      </c>
    </row>
    <row r="1100" ht="15.75" customHeight="1" s="12">
      <c r="A1100" s="1" t="n">
        <v>1332</v>
      </c>
      <c r="B1100" s="3">
        <f>HYPERLINK("https://leetcode.com/problems/remove-palindromic-subsequences/", "Remove Palindromic Subsequences")</f>
        <v/>
      </c>
      <c r="C1100" s="1" t="n">
        <v>1752</v>
      </c>
      <c r="D1100" s="1" t="n">
        <v>1804</v>
      </c>
      <c r="E1100" s="4">
        <f>IF(INDEX(C:C, ROW())+INDEX(D:D, ROW())=0, 0, INDEX(C:C, ROW())/(INDEX(C:C, ROW())+INDEX(D:D, ROW())))</f>
        <v/>
      </c>
      <c r="F1100" s="1" t="inlineStr">
        <is>
          <t>Two Pointers, String</t>
        </is>
      </c>
      <c r="G1100" s="1" t="inlineStr">
        <is>
          <t>Easy</t>
        </is>
      </c>
      <c r="H1100" s="1" t="n">
        <v>154092</v>
      </c>
      <c r="I1100" s="1" t="n">
        <v>199996</v>
      </c>
      <c r="J1100" s="9" t="n">
        <v>0.77</v>
      </c>
      <c r="K1100" s="1" t="inlineStr">
        <is>
          <t>Yes</t>
        </is>
      </c>
      <c r="L1100" s="1" t="inlineStr">
        <is>
          <t>Yes</t>
        </is>
      </c>
      <c r="M1100" s="1" t="inlineStr">
        <is>
          <t>No</t>
        </is>
      </c>
      <c r="N1100" s="1" t="inlineStr">
        <is>
          <t>Algorithms</t>
        </is>
      </c>
      <c r="O11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00" s="13" t="inlineStr">
        <is>
          <t>Done</t>
        </is>
      </c>
    </row>
    <row r="1101" ht="15.75" customHeight="1" s="12">
      <c r="A1101" s="1" t="n">
        <v>575</v>
      </c>
      <c r="B1101" s="3">
        <f>HYPERLINK("https://leetcode.com/problems/distribute-candies/", "Distribute Candies")</f>
        <v/>
      </c>
      <c r="C1101" s="1" t="n">
        <v>1749</v>
      </c>
      <c r="D1101" s="1" t="n">
        <v>1486</v>
      </c>
      <c r="E1101" s="4">
        <f>IF(INDEX(C:C, ROW())+INDEX(D:D, ROW())=0, 0, INDEX(C:C, ROW())/(INDEX(C:C, ROW())+INDEX(D:D, ROW())))</f>
        <v/>
      </c>
      <c r="F1101" s="1" t="inlineStr">
        <is>
          <t>Array, Hash Table</t>
        </is>
      </c>
      <c r="G1101" s="1" t="inlineStr">
        <is>
          <t>Easy</t>
        </is>
      </c>
      <c r="H1101" s="1" t="n">
        <v>403916</v>
      </c>
      <c r="I1101" s="1" t="n">
        <v>568274</v>
      </c>
      <c r="J1101" s="9" t="n">
        <v>0.711</v>
      </c>
      <c r="K1101" s="1" t="inlineStr">
        <is>
          <t>Yes</t>
        </is>
      </c>
      <c r="L1101" s="1" t="inlineStr">
        <is>
          <t>Yes</t>
        </is>
      </c>
      <c r="M1101" s="1" t="inlineStr">
        <is>
          <t>No</t>
        </is>
      </c>
      <c r="N1101" s="1" t="inlineStr">
        <is>
          <t>Algorithms</t>
        </is>
      </c>
      <c r="O11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01" s="13" t="inlineStr">
        <is>
          <t>Done</t>
        </is>
      </c>
    </row>
    <row r="1102" ht="15.75" customHeight="1" s="12">
      <c r="A1102" s="1" t="n">
        <v>390</v>
      </c>
      <c r="B1102" s="3">
        <f>HYPERLINK("https://leetcode.com/problems/elimination-game/", "Elimination Game")</f>
        <v/>
      </c>
      <c r="C1102" s="1" t="n">
        <v>1748</v>
      </c>
      <c r="D1102" s="1" t="n">
        <v>763</v>
      </c>
      <c r="E1102" s="4">
        <f>IF(INDEX(C:C, ROW())+INDEX(D:D, ROW())=0, 0, INDEX(C:C, ROW())/(INDEX(C:C, ROW())+INDEX(D:D, ROW())))</f>
        <v/>
      </c>
      <c r="F1102" s="1" t="inlineStr">
        <is>
          <t>Math, Recursion</t>
        </is>
      </c>
      <c r="G1102" s="1" t="inlineStr">
        <is>
          <t>Medium</t>
        </is>
      </c>
      <c r="H1102" s="1" t="n">
        <v>108586</v>
      </c>
      <c r="I1102" s="1" t="n">
        <v>234424</v>
      </c>
      <c r="J1102" s="9" t="n">
        <v>0.463</v>
      </c>
      <c r="K1102" s="1" t="inlineStr">
        <is>
          <t>Yes</t>
        </is>
      </c>
      <c r="L1102" s="1" t="inlineStr">
        <is>
          <t>No</t>
        </is>
      </c>
      <c r="M1102" s="1" t="inlineStr">
        <is>
          <t>No</t>
        </is>
      </c>
      <c r="N1102" s="1" t="inlineStr">
        <is>
          <t>Algorithms</t>
        </is>
      </c>
      <c r="O11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02" s="11" t="inlineStr">
        <is>
          <t>To Do</t>
        </is>
      </c>
    </row>
    <row r="1103" ht="15.75" customHeight="1" s="12">
      <c r="A1103" s="1" t="n">
        <v>1404</v>
      </c>
      <c r="B1103" s="3">
        <f>HYPERLINK("https://leetcode.com/problems/number-of-steps-to-reduce-a-number-in-binary-representation-to-one/", "Number of Steps to Reduce a Number in Binary Representation to One")</f>
        <v/>
      </c>
      <c r="C1103" s="1" t="n">
        <v>1745</v>
      </c>
      <c r="D1103" s="1" t="n">
        <v>101</v>
      </c>
      <c r="E1103" s="4">
        <f>IF(INDEX(C:C, ROW())+INDEX(D:D, ROW())=0, 0, INDEX(C:C, ROW())/(INDEX(C:C, ROW())+INDEX(D:D, ROW())))</f>
        <v/>
      </c>
      <c r="F1103" s="1" t="inlineStr">
        <is>
          <t>String, Bit Manipulation, Simulation</t>
        </is>
      </c>
      <c r="G1103" s="1" t="inlineStr">
        <is>
          <t>Medium</t>
        </is>
      </c>
      <c r="H1103" s="1" t="n">
        <v>268010</v>
      </c>
      <c r="I1103" s="1" t="n">
        <v>420532</v>
      </c>
      <c r="J1103" s="9" t="n">
        <v>0.637</v>
      </c>
      <c r="K1103" s="1" t="inlineStr">
        <is>
          <t>Yes</t>
        </is>
      </c>
      <c r="L1103" s="1" t="inlineStr">
        <is>
          <t>Yes</t>
        </is>
      </c>
      <c r="M1103" s="1" t="inlineStr">
        <is>
          <t>No</t>
        </is>
      </c>
      <c r="N1103" s="1" t="inlineStr">
        <is>
          <t>Algorithms</t>
        </is>
      </c>
      <c r="O11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03" s="11" t="inlineStr">
        <is>
          <t>To Do</t>
        </is>
      </c>
    </row>
    <row r="1104" ht="15.75" customHeight="1" s="12">
      <c r="A1104" s="1" t="n">
        <v>2050</v>
      </c>
      <c r="B1104" s="3">
        <f>HYPERLINK("https://leetcode.com/problems/parallel-courses-iii/", "Parallel Courses III")</f>
        <v/>
      </c>
      <c r="C1104" s="1" t="n">
        <v>1743</v>
      </c>
      <c r="D1104" s="1" t="n">
        <v>47</v>
      </c>
      <c r="E1104" s="4">
        <f>IF(INDEX(C:C, ROW())+INDEX(D:D, ROW())=0, 0, INDEX(C:C, ROW())/(INDEX(C:C, ROW())+INDEX(D:D, ROW())))</f>
        <v/>
      </c>
      <c r="F1104" s="1" t="inlineStr">
        <is>
          <t>Array, Dynamic Programming, Graph Theory, Topological Sort</t>
        </is>
      </c>
      <c r="G1104" s="1" t="inlineStr">
        <is>
          <t>Hard</t>
        </is>
      </c>
      <c r="H1104" s="1" t="n">
        <v>115366</v>
      </c>
      <c r="I1104" s="1" t="n">
        <v>172617</v>
      </c>
      <c r="J1104" s="9" t="n">
        <v>0.668</v>
      </c>
      <c r="K1104" s="1" t="inlineStr">
        <is>
          <t>Yes</t>
        </is>
      </c>
      <c r="L1104" s="1" t="inlineStr">
        <is>
          <t>Yes</t>
        </is>
      </c>
      <c r="M1104" s="1" t="inlineStr">
        <is>
          <t>No</t>
        </is>
      </c>
      <c r="N1104" s="1" t="inlineStr">
        <is>
          <t>Algorithms</t>
        </is>
      </c>
      <c r="O11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04" s="11" t="inlineStr">
        <is>
          <t>To Do</t>
        </is>
      </c>
    </row>
    <row r="1105" ht="15.75" customHeight="1" s="12">
      <c r="A1105" s="1" t="n">
        <v>1060</v>
      </c>
      <c r="B1105" s="3">
        <f>HYPERLINK("https://leetcode.com/problems/missing-element-in-sorted-array/", "Missing Element in Sorted Array")</f>
        <v/>
      </c>
      <c r="C1105" s="1" t="n">
        <v>1739</v>
      </c>
      <c r="D1105" s="1" t="n">
        <v>69</v>
      </c>
      <c r="E1105" s="4">
        <f>IF(INDEX(C:C, ROW())+INDEX(D:D, ROW())=0, 0, INDEX(C:C, ROW())/(INDEX(C:C, ROW())+INDEX(D:D, ROW())))</f>
        <v/>
      </c>
      <c r="F1105" s="1" t="inlineStr">
        <is>
          <t>Array, Binary Search</t>
        </is>
      </c>
      <c r="G1105" s="1" t="inlineStr">
        <is>
          <t>Medium</t>
        </is>
      </c>
      <c r="H1105" s="1" t="n">
        <v>170727</v>
      </c>
      <c r="I1105" s="1" t="n">
        <v>286029</v>
      </c>
      <c r="J1105" s="9" t="n">
        <v>0.597</v>
      </c>
      <c r="K1105" s="1" t="inlineStr">
        <is>
          <t>No</t>
        </is>
      </c>
      <c r="L1105" s="1" t="inlineStr">
        <is>
          <t>Yes</t>
        </is>
      </c>
      <c r="M1105" s="1" t="inlineStr">
        <is>
          <t>No</t>
        </is>
      </c>
      <c r="N1105" s="1" t="inlineStr">
        <is>
          <t>Algorithms</t>
        </is>
      </c>
      <c r="O11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05" s="11" t="inlineStr">
        <is>
          <t>To Do</t>
        </is>
      </c>
    </row>
    <row r="1106" ht="15.75" customHeight="1" s="12">
      <c r="A1106" s="1" t="n">
        <v>677</v>
      </c>
      <c r="B1106" s="3">
        <f>HYPERLINK("https://leetcode.com/problems/map-sum-pairs/", "Map Sum Pairs")</f>
        <v/>
      </c>
      <c r="C1106" s="1" t="n">
        <v>1734</v>
      </c>
      <c r="D1106" s="1" t="n">
        <v>166</v>
      </c>
      <c r="E1106" s="4">
        <f>IF(INDEX(C:C, ROW())+INDEX(D:D, ROW())=0, 0, INDEX(C:C, ROW())/(INDEX(C:C, ROW())+INDEX(D:D, ROW())))</f>
        <v/>
      </c>
      <c r="F1106" s="1" t="inlineStr">
        <is>
          <t>Hash Table, String, Design, Trie</t>
        </is>
      </c>
      <c r="G1106" s="1" t="inlineStr">
        <is>
          <t>Medium</t>
        </is>
      </c>
      <c r="H1106" s="1" t="n">
        <v>141683</v>
      </c>
      <c r="I1106" s="1" t="n">
        <v>247849</v>
      </c>
      <c r="J1106" s="9" t="n">
        <v>0.572</v>
      </c>
      <c r="K1106" s="1" t="inlineStr">
        <is>
          <t>Yes</t>
        </is>
      </c>
      <c r="L1106" s="1" t="inlineStr">
        <is>
          <t>Yes</t>
        </is>
      </c>
      <c r="M1106" s="1" t="inlineStr">
        <is>
          <t>No</t>
        </is>
      </c>
      <c r="N1106" s="1" t="inlineStr">
        <is>
          <t>Algorithms</t>
        </is>
      </c>
      <c r="O11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06" s="11" t="inlineStr">
        <is>
          <t>To Do</t>
        </is>
      </c>
    </row>
    <row r="1107" ht="15.75" customHeight="1" s="12">
      <c r="A1107" s="1" t="n">
        <v>952</v>
      </c>
      <c r="B1107" s="3">
        <f>HYPERLINK("https://leetcode.com/problems/largest-component-size-by-common-factor/", "Largest Component Size by Common Factor")</f>
        <v/>
      </c>
      <c r="C1107" s="1" t="n">
        <v>1730</v>
      </c>
      <c r="D1107" s="1" t="n">
        <v>95</v>
      </c>
      <c r="E1107" s="4">
        <f>IF(INDEX(C:C, ROW())+INDEX(D:D, ROW())=0, 0, INDEX(C:C, ROW())/(INDEX(C:C, ROW())+INDEX(D:D, ROW())))</f>
        <v/>
      </c>
      <c r="F1107" s="1" t="inlineStr">
        <is>
          <t>Array, Hash Table, Math, Union-Find, Number Theory</t>
        </is>
      </c>
      <c r="G1107" s="1" t="inlineStr">
        <is>
          <t>Hard</t>
        </is>
      </c>
      <c r="H1107" s="1" t="n">
        <v>67762</v>
      </c>
      <c r="I1107" s="1" t="n">
        <v>157770</v>
      </c>
      <c r="J1107" s="9" t="n">
        <v>0.429</v>
      </c>
      <c r="K1107" s="1" t="inlineStr">
        <is>
          <t>Yes</t>
        </is>
      </c>
      <c r="L1107" s="1" t="inlineStr">
        <is>
          <t>Yes</t>
        </is>
      </c>
      <c r="M1107" s="1" t="inlineStr">
        <is>
          <t>No</t>
        </is>
      </c>
      <c r="N1107" s="1" t="inlineStr">
        <is>
          <t>Algorithms</t>
        </is>
      </c>
      <c r="O11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07" s="11" t="inlineStr">
        <is>
          <t>To Do</t>
        </is>
      </c>
    </row>
    <row r="1108" ht="15.75" customHeight="1" s="12">
      <c r="A1108" s="1" t="n">
        <v>357</v>
      </c>
      <c r="B1108" s="3">
        <f>HYPERLINK("https://leetcode.com/problems/count-numbers-with-unique-digits/", "Count Numbers with Unique Digits")</f>
        <v/>
      </c>
      <c r="C1108" s="1" t="n">
        <v>1728</v>
      </c>
      <c r="D1108" s="1" t="n">
        <v>1526</v>
      </c>
      <c r="E1108" s="4">
        <f>IF(INDEX(C:C, ROW())+INDEX(D:D, ROW())=0, 0, INDEX(C:C, ROW())/(INDEX(C:C, ROW())+INDEX(D:D, ROW())))</f>
        <v/>
      </c>
      <c r="F1108" s="1" t="inlineStr">
        <is>
          <t>Math, Dynamic Programming, Backtracking</t>
        </is>
      </c>
      <c r="G1108" s="1" t="inlineStr">
        <is>
          <t>Medium</t>
        </is>
      </c>
      <c r="H1108" s="1" t="n">
        <v>187890</v>
      </c>
      <c r="I1108" s="1" t="n">
        <v>337794</v>
      </c>
      <c r="J1108" s="9" t="n">
        <v>0.556</v>
      </c>
      <c r="K1108" s="1" t="inlineStr">
        <is>
          <t>Yes</t>
        </is>
      </c>
      <c r="L1108" s="1" t="inlineStr">
        <is>
          <t>No</t>
        </is>
      </c>
      <c r="M1108" s="1" t="inlineStr">
        <is>
          <t>No</t>
        </is>
      </c>
      <c r="N1108" s="1" t="inlineStr">
        <is>
          <t>Algorithms</t>
        </is>
      </c>
      <c r="O11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08" s="11" t="inlineStr">
        <is>
          <t>To Do</t>
        </is>
      </c>
    </row>
    <row r="1109" ht="15.75" customHeight="1" s="12">
      <c r="A1109" s="1" t="n">
        <v>693</v>
      </c>
      <c r="B1109" s="3">
        <f>HYPERLINK("https://leetcode.com/problems/binary-number-with-alternating-bits/", "Binary Number with Alternating Bits")</f>
        <v/>
      </c>
      <c r="C1109" s="1" t="n">
        <v>1727</v>
      </c>
      <c r="D1109" s="1" t="n">
        <v>125</v>
      </c>
      <c r="E1109" s="4">
        <f>IF(INDEX(C:C, ROW())+INDEX(D:D, ROW())=0, 0, INDEX(C:C, ROW())/(INDEX(C:C, ROW())+INDEX(D:D, ROW())))</f>
        <v/>
      </c>
      <c r="F1109" s="1" t="inlineStr">
        <is>
          <t>Bit Manipulation</t>
        </is>
      </c>
      <c r="G1109" s="1" t="inlineStr">
        <is>
          <t>Easy</t>
        </is>
      </c>
      <c r="H1109" s="1" t="n">
        <v>301854</v>
      </c>
      <c r="I1109" s="1" t="n">
        <v>432057</v>
      </c>
      <c r="J1109" s="9" t="n">
        <v>0.699</v>
      </c>
      <c r="K1109" s="1" t="inlineStr">
        <is>
          <t>Yes</t>
        </is>
      </c>
      <c r="L1109" s="1" t="inlineStr">
        <is>
          <t>Yes</t>
        </is>
      </c>
      <c r="M1109" s="1" t="inlineStr">
        <is>
          <t>No</t>
        </is>
      </c>
      <c r="N1109" s="1" t="inlineStr">
        <is>
          <t>Algorithms</t>
        </is>
      </c>
      <c r="O11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09" s="13" t="inlineStr">
        <is>
          <t>Done</t>
        </is>
      </c>
    </row>
    <row r="1110" ht="15.75" customHeight="1" s="12">
      <c r="A1110" s="1" t="n">
        <v>1484</v>
      </c>
      <c r="B1110" s="3">
        <f>HYPERLINK("https://leetcode.com/problems/group-sold-products-by-the-date/", "Group Sold Products By The Date")</f>
        <v/>
      </c>
      <c r="C1110" s="1" t="n">
        <v>1725</v>
      </c>
      <c r="D1110" s="1" t="n">
        <v>127</v>
      </c>
      <c r="E1110" s="4">
        <f>IF(INDEX(C:C, ROW())+INDEX(D:D, ROW())=0, 0, INDEX(C:C, ROW())/(INDEX(C:C, ROW())+INDEX(D:D, ROW())))</f>
        <v/>
      </c>
      <c r="F1110" s="1" t="inlineStr">
        <is>
          <t>Database</t>
        </is>
      </c>
      <c r="G1110" s="1" t="inlineStr">
        <is>
          <t>Easy</t>
        </is>
      </c>
      <c r="H1110" s="1" t="n">
        <v>413346</v>
      </c>
      <c r="I1110" s="1" t="n">
        <v>530514</v>
      </c>
      <c r="J1110" s="9" t="n">
        <v>0.779</v>
      </c>
      <c r="K1110" s="1" t="inlineStr">
        <is>
          <t>Yes</t>
        </is>
      </c>
      <c r="L1110" s="1" t="inlineStr">
        <is>
          <t>Yes</t>
        </is>
      </c>
      <c r="M1110" s="1" t="inlineStr">
        <is>
          <t>No</t>
        </is>
      </c>
      <c r="N1110" s="1" t="inlineStr">
        <is>
          <t>Database</t>
        </is>
      </c>
      <c r="O11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10" s="13" t="inlineStr">
        <is>
          <t>Done</t>
        </is>
      </c>
    </row>
    <row r="1111" ht="15.75" customHeight="1" s="12">
      <c r="A1111" s="1" t="n">
        <v>1005</v>
      </c>
      <c r="B1111" s="3">
        <f>HYPERLINK("https://leetcode.com/problems/maximize-sum-of-array-after-k-negations/", "Maximize Sum Of Array After K Negations")</f>
        <v/>
      </c>
      <c r="C1111" s="1" t="n">
        <v>1724</v>
      </c>
      <c r="D1111" s="1" t="n">
        <v>126</v>
      </c>
      <c r="E1111" s="4">
        <f>IF(INDEX(C:C, ROW())+INDEX(D:D, ROW())=0, 0, INDEX(C:C, ROW())/(INDEX(C:C, ROW())+INDEX(D:D, ROW())))</f>
        <v/>
      </c>
      <c r="F1111" s="1" t="inlineStr">
        <is>
          <t>Array, Greedy, Sorting</t>
        </is>
      </c>
      <c r="G1111" s="1" t="inlineStr">
        <is>
          <t>Easy</t>
        </is>
      </c>
      <c r="H1111" s="1" t="n">
        <v>140326</v>
      </c>
      <c r="I1111" s="1" t="n">
        <v>260930</v>
      </c>
      <c r="J1111" s="9" t="n">
        <v>0.538</v>
      </c>
      <c r="K1111" s="1" t="inlineStr">
        <is>
          <t>Yes</t>
        </is>
      </c>
      <c r="L1111" s="1" t="inlineStr">
        <is>
          <t>No</t>
        </is>
      </c>
      <c r="M1111" s="1" t="inlineStr">
        <is>
          <t>No</t>
        </is>
      </c>
      <c r="N1111" s="1" t="inlineStr">
        <is>
          <t>Algorithms</t>
        </is>
      </c>
      <c r="O11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11" s="13" t="inlineStr">
        <is>
          <t>Done</t>
        </is>
      </c>
    </row>
    <row r="1112" ht="15.75" customHeight="1" s="12">
      <c r="A1112" s="1" t="n">
        <v>1799</v>
      </c>
      <c r="B1112" s="3">
        <f>HYPERLINK("https://leetcode.com/problems/maximize-score-after-n-operations/", "Maximize Score After N Operations")</f>
        <v/>
      </c>
      <c r="C1112" s="1" t="n">
        <v>1719</v>
      </c>
      <c r="D1112" s="1" t="n">
        <v>114</v>
      </c>
      <c r="E1112" s="4">
        <f>IF(INDEX(C:C, ROW())+INDEX(D:D, ROW())=0, 0, INDEX(C:C, ROW())/(INDEX(C:C, ROW())+INDEX(D:D, ROW())))</f>
        <v/>
      </c>
      <c r="F1112" s="1" t="inlineStr">
        <is>
          <t>Array, Math, Dynamic Programming, Backtracking, Bit Manipulation, Number Theory, Bitmask</t>
        </is>
      </c>
      <c r="G1112" s="1" t="inlineStr">
        <is>
          <t>Hard</t>
        </is>
      </c>
      <c r="H1112" s="1" t="n">
        <v>70256</v>
      </c>
      <c r="I1112" s="1" t="n">
        <v>121260</v>
      </c>
      <c r="J1112" s="9" t="n">
        <v>0.579</v>
      </c>
      <c r="K1112" s="1" t="inlineStr">
        <is>
          <t>Yes</t>
        </is>
      </c>
      <c r="L1112" s="1" t="inlineStr">
        <is>
          <t>Yes</t>
        </is>
      </c>
      <c r="M1112" s="1" t="inlineStr">
        <is>
          <t>No</t>
        </is>
      </c>
      <c r="N1112" s="1" t="inlineStr">
        <is>
          <t>Algorithms</t>
        </is>
      </c>
      <c r="O11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12" s="11" t="inlineStr">
        <is>
          <t>To Do</t>
        </is>
      </c>
    </row>
    <row r="1113" ht="15.75" customHeight="1" s="12">
      <c r="A1113" s="1" t="n">
        <v>2962</v>
      </c>
      <c r="B1113" s="3">
        <f>HYPERLINK("https://leetcode.com/problems/count-subarrays-where-max-element-appears-at-least-k-times/", "Count Subarrays Where Max Element Appears at Least K Times")</f>
        <v/>
      </c>
      <c r="C1113" s="1" t="n">
        <v>1719</v>
      </c>
      <c r="D1113" s="1" t="n">
        <v>82</v>
      </c>
      <c r="E1113" s="4">
        <f>IF(INDEX(C:C, ROW())+INDEX(D:D, ROW())=0, 0, INDEX(C:C, ROW())/(INDEX(C:C, ROW())+INDEX(D:D, ROW())))</f>
        <v/>
      </c>
      <c r="F1113" s="1" t="inlineStr">
        <is>
          <t>Array, Sliding Window</t>
        </is>
      </c>
      <c r="G1113" s="1" t="inlineStr">
        <is>
          <t>Medium</t>
        </is>
      </c>
      <c r="H1113" s="1" t="n">
        <v>260019</v>
      </c>
      <c r="I1113" s="1" t="n">
        <v>416675</v>
      </c>
      <c r="J1113" s="9" t="n">
        <v>0.624</v>
      </c>
      <c r="K1113" s="1" t="inlineStr">
        <is>
          <t>Yes</t>
        </is>
      </c>
      <c r="L1113" s="1" t="inlineStr">
        <is>
          <t>Yes</t>
        </is>
      </c>
      <c r="M1113" s="1" t="inlineStr">
        <is>
          <t>No</t>
        </is>
      </c>
      <c r="N1113" s="1" t="inlineStr">
        <is>
          <t>Algorithms</t>
        </is>
      </c>
      <c r="O11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13" s="11" t="inlineStr">
        <is>
          <t>To Do</t>
        </is>
      </c>
    </row>
    <row r="1114" ht="15.75" customHeight="1" s="12">
      <c r="A1114" s="1" t="n">
        <v>910</v>
      </c>
      <c r="B1114" s="3">
        <f>HYPERLINK("https://leetcode.com/problems/smallest-range-ii/", "Smallest Range II")</f>
        <v/>
      </c>
      <c r="C1114" s="1" t="n">
        <v>1716</v>
      </c>
      <c r="D1114" s="1" t="n">
        <v>468</v>
      </c>
      <c r="E1114" s="4">
        <f>IF(INDEX(C:C, ROW())+INDEX(D:D, ROW())=0, 0, INDEX(C:C, ROW())/(INDEX(C:C, ROW())+INDEX(D:D, ROW())))</f>
        <v/>
      </c>
      <c r="F1114" s="1" t="inlineStr">
        <is>
          <t>Array, Math, Greedy, Sorting</t>
        </is>
      </c>
      <c r="G1114" s="1" t="inlineStr">
        <is>
          <t>Medium</t>
        </is>
      </c>
      <c r="H1114" s="1" t="n">
        <v>66384</v>
      </c>
      <c r="I1114" s="1" t="n">
        <v>175187</v>
      </c>
      <c r="J1114" s="9" t="n">
        <v>0.379</v>
      </c>
      <c r="K1114" s="1" t="inlineStr">
        <is>
          <t>Yes</t>
        </is>
      </c>
      <c r="L1114" s="1" t="inlineStr">
        <is>
          <t>Yes</t>
        </is>
      </c>
      <c r="M1114" s="1" t="inlineStr">
        <is>
          <t>No</t>
        </is>
      </c>
      <c r="N1114" s="1" t="inlineStr">
        <is>
          <t>Algorithms</t>
        </is>
      </c>
      <c r="O11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14" s="11" t="inlineStr">
        <is>
          <t>To Do</t>
        </is>
      </c>
    </row>
    <row r="1115" ht="15.75" customHeight="1" s="12">
      <c r="A1115" s="1" t="n">
        <v>2560</v>
      </c>
      <c r="B1115" s="3">
        <f>HYPERLINK("https://leetcode.com/problems/house-robber-iv/", "House Robber IV")</f>
        <v/>
      </c>
      <c r="C1115" s="1" t="n">
        <v>1716</v>
      </c>
      <c r="D1115" s="1" t="n">
        <v>102</v>
      </c>
      <c r="E1115" s="4">
        <f>IF(INDEX(C:C, ROW())+INDEX(D:D, ROW())=0, 0, INDEX(C:C, ROW())/(INDEX(C:C, ROW())+INDEX(D:D, ROW())))</f>
        <v/>
      </c>
      <c r="F1115" s="1" t="inlineStr">
        <is>
          <t>Array, Binary Search, Dynamic Programming, Greedy</t>
        </is>
      </c>
      <c r="G1115" s="1" t="inlineStr">
        <is>
          <t>Medium</t>
        </is>
      </c>
      <c r="H1115" s="1" t="n">
        <v>140570</v>
      </c>
      <c r="I1115" s="1" t="n">
        <v>217238</v>
      </c>
      <c r="J1115" s="9" t="n">
        <v>0.647</v>
      </c>
      <c r="K1115" s="1" t="inlineStr">
        <is>
          <t>Yes</t>
        </is>
      </c>
      <c r="L1115" s="1" t="inlineStr">
        <is>
          <t>Yes</t>
        </is>
      </c>
      <c r="M1115" s="1" t="inlineStr">
        <is>
          <t>No</t>
        </is>
      </c>
      <c r="N1115" s="1" t="inlineStr">
        <is>
          <t>Algorithms</t>
        </is>
      </c>
      <c r="O11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15" s="11" t="inlineStr">
        <is>
          <t>To Do</t>
        </is>
      </c>
    </row>
    <row r="1116" ht="15.75" customHeight="1" s="12">
      <c r="A1116" s="1" t="n">
        <v>1790</v>
      </c>
      <c r="B1116" s="3">
        <f>HYPERLINK("https://leetcode.com/problems/check-if-one-string-swap-can-make-strings-equal/", "Check if One String Swap Can Make Strings Equal")</f>
        <v/>
      </c>
      <c r="C1116" s="1" t="n">
        <v>1714</v>
      </c>
      <c r="D1116" s="1" t="n">
        <v>87</v>
      </c>
      <c r="E1116" s="4">
        <f>IF(INDEX(C:C, ROW())+INDEX(D:D, ROW())=0, 0, INDEX(C:C, ROW())/(INDEX(C:C, ROW())+INDEX(D:D, ROW())))</f>
        <v/>
      </c>
      <c r="F1116" s="1" t="inlineStr">
        <is>
          <t>Hash Table, String, Counting</t>
        </is>
      </c>
      <c r="G1116" s="1" t="inlineStr">
        <is>
          <t>Easy</t>
        </is>
      </c>
      <c r="H1116" s="1" t="n">
        <v>311650</v>
      </c>
      <c r="I1116" s="1" t="n">
        <v>629471</v>
      </c>
      <c r="J1116" s="9" t="n">
        <v>0.495</v>
      </c>
      <c r="K1116" s="1" t="inlineStr">
        <is>
          <t>Yes</t>
        </is>
      </c>
      <c r="L1116" s="1" t="inlineStr">
        <is>
          <t>Yes</t>
        </is>
      </c>
      <c r="M1116" s="1" t="inlineStr">
        <is>
          <t>No</t>
        </is>
      </c>
      <c r="N1116" s="1" t="inlineStr">
        <is>
          <t>Algorithms</t>
        </is>
      </c>
      <c r="O11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16" s="13" t="inlineStr">
        <is>
          <t>Done</t>
        </is>
      </c>
    </row>
    <row r="1117" ht="15.75" customHeight="1" s="12">
      <c r="A1117" s="1" t="n">
        <v>365</v>
      </c>
      <c r="B1117" s="3">
        <f>HYPERLINK("https://leetcode.com/problems/water-and-jug-problem/", "Water and Jug Problem")</f>
        <v/>
      </c>
      <c r="C1117" s="1" t="n">
        <v>1708</v>
      </c>
      <c r="D1117" s="1" t="n">
        <v>1519</v>
      </c>
      <c r="E1117" s="4">
        <f>IF(INDEX(C:C, ROW())+INDEX(D:D, ROW())=0, 0, INDEX(C:C, ROW())/(INDEX(C:C, ROW())+INDEX(D:D, ROW())))</f>
        <v/>
      </c>
      <c r="F1117" s="1" t="inlineStr">
        <is>
          <t>Math, Depth-First Search, Breadth-First Search</t>
        </is>
      </c>
      <c r="G1117" s="1" t="inlineStr">
        <is>
          <t>Medium</t>
        </is>
      </c>
      <c r="H1117" s="1" t="n">
        <v>149356</v>
      </c>
      <c r="I1117" s="1" t="n">
        <v>327725</v>
      </c>
      <c r="J1117" s="9" t="n">
        <v>0.456</v>
      </c>
      <c r="K1117" s="1" t="inlineStr">
        <is>
          <t>Yes</t>
        </is>
      </c>
      <c r="L1117" s="1" t="inlineStr">
        <is>
          <t>No</t>
        </is>
      </c>
      <c r="M1117" s="1" t="inlineStr">
        <is>
          <t>No</t>
        </is>
      </c>
      <c r="N1117" s="1" t="inlineStr">
        <is>
          <t>Algorithms</t>
        </is>
      </c>
      <c r="O11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17" s="11" t="inlineStr">
        <is>
          <t>To Do</t>
        </is>
      </c>
    </row>
    <row r="1118" ht="15.75" customHeight="1" s="12">
      <c r="A1118" s="1" t="n">
        <v>1876</v>
      </c>
      <c r="B1118" s="3">
        <f>HYPERLINK("https://leetcode.com/problems/substrings-of-size-three-with-distinct-characters/", "Substrings of Size Three with Distinct Characters")</f>
        <v/>
      </c>
      <c r="C1118" s="1" t="n">
        <v>1708</v>
      </c>
      <c r="D1118" s="1" t="n">
        <v>58</v>
      </c>
      <c r="E1118" s="4">
        <f>IF(INDEX(C:C, ROW())+INDEX(D:D, ROW())=0, 0, INDEX(C:C, ROW())/(INDEX(C:C, ROW())+INDEX(D:D, ROW())))</f>
        <v/>
      </c>
      <c r="F1118" s="1" t="inlineStr">
        <is>
          <t>Hash Table, String, Sliding Window, Counting</t>
        </is>
      </c>
      <c r="G1118" s="1" t="inlineStr">
        <is>
          <t>Easy</t>
        </is>
      </c>
      <c r="H1118" s="1" t="n">
        <v>217260</v>
      </c>
      <c r="I1118" s="1" t="n">
        <v>283345</v>
      </c>
      <c r="J1118" s="9" t="n">
        <v>0.767</v>
      </c>
      <c r="K1118" s="1" t="inlineStr">
        <is>
          <t>Yes</t>
        </is>
      </c>
      <c r="L1118" s="1" t="inlineStr">
        <is>
          <t>No</t>
        </is>
      </c>
      <c r="M1118" s="1" t="inlineStr">
        <is>
          <t>No</t>
        </is>
      </c>
      <c r="N1118" s="1" t="inlineStr">
        <is>
          <t>Algorithms</t>
        </is>
      </c>
      <c r="O11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18" s="13" t="inlineStr">
        <is>
          <t>Done</t>
        </is>
      </c>
    </row>
    <row r="1119" ht="15.75" customHeight="1" s="12">
      <c r="A1119" s="1" t="n">
        <v>1748</v>
      </c>
      <c r="B1119" s="3">
        <f>HYPERLINK("https://leetcode.com/problems/sum-of-unique-elements/", "Sum of Unique Elements")</f>
        <v/>
      </c>
      <c r="C1119" s="1" t="n">
        <v>1702</v>
      </c>
      <c r="D1119" s="1" t="n">
        <v>35</v>
      </c>
      <c r="E1119" s="4">
        <f>IF(INDEX(C:C, ROW())+INDEX(D:D, ROW())=0, 0, INDEX(C:C, ROW())/(INDEX(C:C, ROW())+INDEX(D:D, ROW())))</f>
        <v/>
      </c>
      <c r="F1119" s="1" t="inlineStr">
        <is>
          <t>Array, Hash Table, Counting</t>
        </is>
      </c>
      <c r="G1119" s="1" t="inlineStr">
        <is>
          <t>Easy</t>
        </is>
      </c>
      <c r="H1119" s="1" t="n">
        <v>262831</v>
      </c>
      <c r="I1119" s="1" t="n">
        <v>328793</v>
      </c>
      <c r="J1119" s="9" t="n">
        <v>0.799</v>
      </c>
      <c r="K1119" s="1" t="inlineStr">
        <is>
          <t>Yes</t>
        </is>
      </c>
      <c r="L1119" s="1" t="inlineStr">
        <is>
          <t>No</t>
        </is>
      </c>
      <c r="M1119" s="1" t="inlineStr">
        <is>
          <t>No</t>
        </is>
      </c>
      <c r="N1119" s="1" t="inlineStr">
        <is>
          <t>Algorithms</t>
        </is>
      </c>
      <c r="O11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19" s="13" t="inlineStr">
        <is>
          <t>Done</t>
        </is>
      </c>
    </row>
    <row r="1120" ht="15.75" customHeight="1" s="12">
      <c r="A1120" s="1" t="n">
        <v>870</v>
      </c>
      <c r="B1120" s="3">
        <f>HYPERLINK("https://leetcode.com/problems/advantage-shuffle/", "Advantage Shuffle")</f>
        <v/>
      </c>
      <c r="C1120" s="1" t="n">
        <v>1698</v>
      </c>
      <c r="D1120" s="1" t="n">
        <v>101</v>
      </c>
      <c r="E1120" s="4">
        <f>IF(INDEX(C:C, ROW())+INDEX(D:D, ROW())=0, 0, INDEX(C:C, ROW())/(INDEX(C:C, ROW())+INDEX(D:D, ROW())))</f>
        <v/>
      </c>
      <c r="F1120" s="1" t="inlineStr">
        <is>
          <t>Array, Two Pointers, Greedy, Sorting</t>
        </is>
      </c>
      <c r="G1120" s="1" t="inlineStr">
        <is>
          <t>Medium</t>
        </is>
      </c>
      <c r="H1120" s="1" t="n">
        <v>82396</v>
      </c>
      <c r="I1120" s="1" t="n">
        <v>151226</v>
      </c>
      <c r="J1120" s="9" t="n">
        <v>0.545</v>
      </c>
      <c r="K1120" s="1" t="inlineStr">
        <is>
          <t>Yes</t>
        </is>
      </c>
      <c r="L1120" s="1" t="inlineStr">
        <is>
          <t>Yes</t>
        </is>
      </c>
      <c r="M1120" s="1" t="inlineStr">
        <is>
          <t>No</t>
        </is>
      </c>
      <c r="N1120" s="1" t="inlineStr">
        <is>
          <t>Algorithms</t>
        </is>
      </c>
      <c r="O11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20" s="11" t="inlineStr">
        <is>
          <t>To Do</t>
        </is>
      </c>
    </row>
    <row r="1121" ht="15.75" customHeight="1" s="12">
      <c r="A1121" s="1" t="n">
        <v>2610</v>
      </c>
      <c r="B1121" s="3">
        <f>HYPERLINK("https://leetcode.com/problems/convert-an-array-into-a-2d-array-with-conditions/", "Convert an Array Into a 2D Array With Conditions")</f>
        <v/>
      </c>
      <c r="C1121" s="1" t="n">
        <v>1697</v>
      </c>
      <c r="D1121" s="1" t="n">
        <v>81</v>
      </c>
      <c r="E1121" s="4">
        <f>IF(INDEX(C:C, ROW())+INDEX(D:D, ROW())=0, 0, INDEX(C:C, ROW())/(INDEX(C:C, ROW())+INDEX(D:D, ROW())))</f>
        <v/>
      </c>
      <c r="F1121" s="1" t="inlineStr">
        <is>
          <t>Array, Hash Table</t>
        </is>
      </c>
      <c r="G1121" s="1" t="inlineStr">
        <is>
          <t>Medium</t>
        </is>
      </c>
      <c r="H1121" s="1" t="n">
        <v>226525</v>
      </c>
      <c r="I1121" s="1" t="n">
        <v>262484</v>
      </c>
      <c r="J1121" s="9" t="n">
        <v>0.863</v>
      </c>
      <c r="K1121" s="1" t="inlineStr">
        <is>
          <t>Yes</t>
        </is>
      </c>
      <c r="L1121" s="1" t="inlineStr">
        <is>
          <t>Yes</t>
        </is>
      </c>
      <c r="M1121" s="1" t="inlineStr">
        <is>
          <t>No</t>
        </is>
      </c>
      <c r="N1121" s="1" t="inlineStr">
        <is>
          <t>Algorithms</t>
        </is>
      </c>
      <c r="O11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21" s="11" t="inlineStr">
        <is>
          <t>To Do</t>
        </is>
      </c>
    </row>
    <row r="1122" ht="15.75" customHeight="1" s="12">
      <c r="A1122" s="1" t="n">
        <v>641</v>
      </c>
      <c r="B1122" s="3">
        <f>HYPERLINK("https://leetcode.com/problems/design-circular-deque/", "Design Circular Deque")</f>
        <v/>
      </c>
      <c r="C1122" s="1" t="n">
        <v>1694</v>
      </c>
      <c r="D1122" s="1" t="n">
        <v>108</v>
      </c>
      <c r="E1122" s="4">
        <f>IF(INDEX(C:C, ROW())+INDEX(D:D, ROW())=0, 0, INDEX(C:C, ROW())/(INDEX(C:C, ROW())+INDEX(D:D, ROW())))</f>
        <v/>
      </c>
      <c r="F1122" s="1" t="inlineStr">
        <is>
          <t>Array, Linked List, Design, Queue</t>
        </is>
      </c>
      <c r="G1122" s="1" t="inlineStr">
        <is>
          <t>Medium</t>
        </is>
      </c>
      <c r="H1122" s="1" t="n">
        <v>206437</v>
      </c>
      <c r="I1122" s="1" t="n">
        <v>318908</v>
      </c>
      <c r="J1122" s="9" t="n">
        <v>0.647</v>
      </c>
      <c r="K1122" s="1" t="inlineStr">
        <is>
          <t>Yes</t>
        </is>
      </c>
      <c r="L1122" s="1" t="inlineStr">
        <is>
          <t>Yes</t>
        </is>
      </c>
      <c r="M1122" s="1" t="inlineStr">
        <is>
          <t>No</t>
        </is>
      </c>
      <c r="N1122" s="1" t="inlineStr">
        <is>
          <t>Algorithms</t>
        </is>
      </c>
      <c r="O11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22" s="11" t="inlineStr">
        <is>
          <t>To Do</t>
        </is>
      </c>
    </row>
    <row r="1123" ht="15.75" customHeight="1" s="12">
      <c r="A1123" s="1" t="n">
        <v>2127</v>
      </c>
      <c r="B1123" s="3">
        <f>HYPERLINK("https://leetcode.com/problems/maximum-employees-to-be-invited-to-a-meeting/", "Maximum Employees to Be Invited to a Meeting")</f>
        <v/>
      </c>
      <c r="C1123" s="1" t="n">
        <v>1691</v>
      </c>
      <c r="D1123" s="1" t="n">
        <v>70</v>
      </c>
      <c r="E1123" s="4">
        <f>IF(INDEX(C:C, ROW())+INDEX(D:D, ROW())=0, 0, INDEX(C:C, ROW())/(INDEX(C:C, ROW())+INDEX(D:D, ROW())))</f>
        <v/>
      </c>
      <c r="F1123" s="1" t="inlineStr">
        <is>
          <t>Array, Dynamic Programming, Depth-First Search, Graph Theory, Topological Sort</t>
        </is>
      </c>
      <c r="G1123" s="1" t="inlineStr">
        <is>
          <t>Hard</t>
        </is>
      </c>
      <c r="H1123" s="1" t="n">
        <v>89018</v>
      </c>
      <c r="I1123" s="1" t="n">
        <v>144069</v>
      </c>
      <c r="J1123" s="9" t="n">
        <v>0.618</v>
      </c>
      <c r="K1123" s="1" t="inlineStr">
        <is>
          <t>Yes</t>
        </is>
      </c>
      <c r="L1123" s="1" t="inlineStr">
        <is>
          <t>Yes</t>
        </is>
      </c>
      <c r="M1123" s="1" t="inlineStr">
        <is>
          <t>No</t>
        </is>
      </c>
      <c r="N1123" s="1" t="inlineStr">
        <is>
          <t>Algorithms</t>
        </is>
      </c>
      <c r="O11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23" s="11" t="inlineStr">
        <is>
          <t>To Do</t>
        </is>
      </c>
    </row>
    <row r="1124" ht="15.75" customHeight="1" s="12">
      <c r="A1124" s="1" t="n">
        <v>370</v>
      </c>
      <c r="B1124" s="3">
        <f>HYPERLINK("https://leetcode.com/problems/range-addition/", "Range Addition")</f>
        <v/>
      </c>
      <c r="C1124" s="1" t="n">
        <v>1685</v>
      </c>
      <c r="D1124" s="1" t="n">
        <v>86</v>
      </c>
      <c r="E1124" s="4">
        <f>IF(INDEX(C:C, ROW())+INDEX(D:D, ROW())=0, 0, INDEX(C:C, ROW())/(INDEX(C:C, ROW())+INDEX(D:D, ROW())))</f>
        <v/>
      </c>
      <c r="F1124" s="1" t="inlineStr">
        <is>
          <t>Array, Prefix Sum</t>
        </is>
      </c>
      <c r="G1124" s="1" t="inlineStr">
        <is>
          <t>Medium</t>
        </is>
      </c>
      <c r="H1124" s="1" t="n">
        <v>106468</v>
      </c>
      <c r="I1124" s="1" t="n">
        <v>145863</v>
      </c>
      <c r="J1124" s="9" t="n">
        <v>0.73</v>
      </c>
      <c r="K1124" s="1" t="inlineStr">
        <is>
          <t>No</t>
        </is>
      </c>
      <c r="L1124" s="1" t="inlineStr">
        <is>
          <t>Yes</t>
        </is>
      </c>
      <c r="M1124" s="1" t="inlineStr">
        <is>
          <t>No</t>
        </is>
      </c>
      <c r="N1124" s="1" t="inlineStr">
        <is>
          <t>Algorithms</t>
        </is>
      </c>
      <c r="O11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24" s="11" t="inlineStr">
        <is>
          <t>To Do</t>
        </is>
      </c>
    </row>
    <row r="1125" ht="15.75" customHeight="1" s="12">
      <c r="A1125" s="1" t="n">
        <v>1413</v>
      </c>
      <c r="B1125" s="3">
        <f>HYPERLINK("https://leetcode.com/problems/minimum-value-to-get-positive-step-by-step-sum/", "Minimum Value to Get Positive Step by Step Sum")</f>
        <v/>
      </c>
      <c r="C1125" s="1" t="n">
        <v>1685</v>
      </c>
      <c r="D1125" s="1" t="n">
        <v>388</v>
      </c>
      <c r="E1125" s="4">
        <f>IF(INDEX(C:C, ROW())+INDEX(D:D, ROW())=0, 0, INDEX(C:C, ROW())/(INDEX(C:C, ROW())+INDEX(D:D, ROW())))</f>
        <v/>
      </c>
      <c r="F1125" s="1" t="inlineStr">
        <is>
          <t>Array, Prefix Sum</t>
        </is>
      </c>
      <c r="G1125" s="1" t="inlineStr">
        <is>
          <t>Easy</t>
        </is>
      </c>
      <c r="H1125" s="1" t="n">
        <v>230766</v>
      </c>
      <c r="I1125" s="1" t="n">
        <v>356594</v>
      </c>
      <c r="J1125" s="9" t="n">
        <v>0.647</v>
      </c>
      <c r="K1125" s="1" t="inlineStr">
        <is>
          <t>Yes</t>
        </is>
      </c>
      <c r="L1125" s="1" t="inlineStr">
        <is>
          <t>Yes</t>
        </is>
      </c>
      <c r="M1125" s="1" t="inlineStr">
        <is>
          <t>No</t>
        </is>
      </c>
      <c r="N1125" s="1" t="inlineStr">
        <is>
          <t>Algorithms</t>
        </is>
      </c>
      <c r="O11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25" s="13" t="inlineStr">
        <is>
          <t>Done</t>
        </is>
      </c>
    </row>
    <row r="1126" ht="15.75" customHeight="1" s="12">
      <c r="A1126" s="1" t="n">
        <v>1678</v>
      </c>
      <c r="B1126" s="3">
        <f>HYPERLINK("https://leetcode.com/problems/goal-parser-interpretation/", "Goal Parser Interpretation")</f>
        <v/>
      </c>
      <c r="C1126" s="1" t="n">
        <v>1681</v>
      </c>
      <c r="D1126" s="1" t="n">
        <v>95</v>
      </c>
      <c r="E1126" s="4">
        <f>IF(INDEX(C:C, ROW())+INDEX(D:D, ROW())=0, 0, INDEX(C:C, ROW())/(INDEX(C:C, ROW())+INDEX(D:D, ROW())))</f>
        <v/>
      </c>
      <c r="F1126" s="1" t="inlineStr">
        <is>
          <t>String</t>
        </is>
      </c>
      <c r="G1126" s="1" t="inlineStr">
        <is>
          <t>Easy</t>
        </is>
      </c>
      <c r="H1126" s="1" t="n">
        <v>326673</v>
      </c>
      <c r="I1126" s="1" t="n">
        <v>370985</v>
      </c>
      <c r="J1126" s="9" t="n">
        <v>0.881</v>
      </c>
      <c r="K1126" s="1" t="inlineStr">
        <is>
          <t>Yes</t>
        </is>
      </c>
      <c r="L1126" s="1" t="inlineStr">
        <is>
          <t>No</t>
        </is>
      </c>
      <c r="M1126" s="1" t="inlineStr">
        <is>
          <t>No</t>
        </is>
      </c>
      <c r="N1126" s="1" t="inlineStr">
        <is>
          <t>Algorithms</t>
        </is>
      </c>
      <c r="O11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26" s="13" t="inlineStr">
        <is>
          <t>Done</t>
        </is>
      </c>
    </row>
    <row r="1127" ht="15.75" customHeight="1" s="12">
      <c r="A1127" s="1" t="n">
        <v>1575</v>
      </c>
      <c r="B1127" s="3">
        <f>HYPERLINK("https://leetcode.com/problems/count-all-possible-routes/", "Count All Possible Routes")</f>
        <v/>
      </c>
      <c r="C1127" s="1" t="n">
        <v>1680</v>
      </c>
      <c r="D1127" s="1" t="n">
        <v>60</v>
      </c>
      <c r="E1127" s="4">
        <f>IF(INDEX(C:C, ROW())+INDEX(D:D, ROW())=0, 0, INDEX(C:C, ROW())/(INDEX(C:C, ROW())+INDEX(D:D, ROW())))</f>
        <v/>
      </c>
      <c r="F1127" s="1" t="inlineStr">
        <is>
          <t>Array, Dynamic Programming, Memoization</t>
        </is>
      </c>
      <c r="G1127" s="1" t="inlineStr">
        <is>
          <t>Hard</t>
        </is>
      </c>
      <c r="H1127" s="1" t="n">
        <v>66416</v>
      </c>
      <c r="I1127" s="1" t="n">
        <v>102450</v>
      </c>
      <c r="J1127" s="9" t="n">
        <v>0.648</v>
      </c>
      <c r="K1127" s="1" t="inlineStr">
        <is>
          <t>Yes</t>
        </is>
      </c>
      <c r="L1127" s="1" t="inlineStr">
        <is>
          <t>Yes</t>
        </is>
      </c>
      <c r="M1127" s="1" t="inlineStr">
        <is>
          <t>No</t>
        </is>
      </c>
      <c r="N1127" s="1" t="inlineStr">
        <is>
          <t>Algorithms</t>
        </is>
      </c>
      <c r="O11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27" s="11" t="inlineStr">
        <is>
          <t>To Do</t>
        </is>
      </c>
    </row>
    <row r="1128" ht="15.75" customHeight="1" s="12">
      <c r="A1128" s="1" t="n">
        <v>2136</v>
      </c>
      <c r="B1128" s="3">
        <f>HYPERLINK("https://leetcode.com/problems/earliest-possible-day-of-full-bloom/", "Earliest Possible Day of Full Bloom")</f>
        <v/>
      </c>
      <c r="C1128" s="1" t="n">
        <v>1679</v>
      </c>
      <c r="D1128" s="1" t="n">
        <v>90</v>
      </c>
      <c r="E1128" s="4">
        <f>IF(INDEX(C:C, ROW())+INDEX(D:D, ROW())=0, 0, INDEX(C:C, ROW())/(INDEX(C:C, ROW())+INDEX(D:D, ROW())))</f>
        <v/>
      </c>
      <c r="F1128" s="1" t="inlineStr">
        <is>
          <t>Array, Greedy, Sorting</t>
        </is>
      </c>
      <c r="G1128" s="1" t="inlineStr">
        <is>
          <t>Hard</t>
        </is>
      </c>
      <c r="H1128" s="1" t="n">
        <v>64534</v>
      </c>
      <c r="I1128" s="1" t="n">
        <v>90689</v>
      </c>
      <c r="J1128" s="9" t="n">
        <v>0.712</v>
      </c>
      <c r="K1128" s="1" t="inlineStr">
        <is>
          <t>Yes</t>
        </is>
      </c>
      <c r="L1128" s="1" t="inlineStr">
        <is>
          <t>Yes</t>
        </is>
      </c>
      <c r="M1128" s="1" t="inlineStr">
        <is>
          <t>No</t>
        </is>
      </c>
      <c r="N1128" s="1" t="inlineStr">
        <is>
          <t>Algorithms</t>
        </is>
      </c>
      <c r="O11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28" s="11" t="inlineStr">
        <is>
          <t>To Do</t>
        </is>
      </c>
    </row>
    <row r="1129" ht="15.75" customHeight="1" s="12">
      <c r="A1129" s="1" t="n">
        <v>1720</v>
      </c>
      <c r="B1129" s="3">
        <f>HYPERLINK("https://leetcode.com/problems/decode-xored-array/", "Decode XORed Array")</f>
        <v/>
      </c>
      <c r="C1129" s="1" t="n">
        <v>1677</v>
      </c>
      <c r="D1129" s="1" t="n">
        <v>223</v>
      </c>
      <c r="E1129" s="4">
        <f>IF(INDEX(C:C, ROW())+INDEX(D:D, ROW())=0, 0, INDEX(C:C, ROW())/(INDEX(C:C, ROW())+INDEX(D:D, ROW())))</f>
        <v/>
      </c>
      <c r="F1129" s="1" t="inlineStr">
        <is>
          <t>Array, Bit Manipulation</t>
        </is>
      </c>
      <c r="G1129" s="1" t="inlineStr">
        <is>
          <t>Easy</t>
        </is>
      </c>
      <c r="H1129" s="1" t="n">
        <v>192803</v>
      </c>
      <c r="I1129" s="1" t="n">
        <v>220697</v>
      </c>
      <c r="J1129" s="9" t="n">
        <v>0.874</v>
      </c>
      <c r="K1129" s="1" t="inlineStr">
        <is>
          <t>Yes</t>
        </is>
      </c>
      <c r="L1129" s="1" t="inlineStr">
        <is>
          <t>No</t>
        </is>
      </c>
      <c r="M1129" s="1" t="inlineStr">
        <is>
          <t>No</t>
        </is>
      </c>
      <c r="N1129" s="1" t="inlineStr">
        <is>
          <t>Algorithms</t>
        </is>
      </c>
      <c r="O11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29" s="13" t="inlineStr">
        <is>
          <t>Done</t>
        </is>
      </c>
    </row>
    <row r="1130" ht="15.75" customHeight="1" s="12">
      <c r="A1130" s="1" t="n">
        <v>1780</v>
      </c>
      <c r="B1130" s="3">
        <f>HYPERLINK("https://leetcode.com/problems/check-if-number-is-a-sum-of-powers-of-three/", "Check if Number is a Sum of Powers of Three")</f>
        <v/>
      </c>
      <c r="C1130" s="1" t="n">
        <v>1676</v>
      </c>
      <c r="D1130" s="1" t="n">
        <v>68</v>
      </c>
      <c r="E1130" s="4">
        <f>IF(INDEX(C:C, ROW())+INDEX(D:D, ROW())=0, 0, INDEX(C:C, ROW())/(INDEX(C:C, ROW())+INDEX(D:D, ROW())))</f>
        <v/>
      </c>
      <c r="F1130" s="1" t="inlineStr">
        <is>
          <t>Math</t>
        </is>
      </c>
      <c r="G1130" s="1" t="inlineStr">
        <is>
          <t>Medium</t>
        </is>
      </c>
      <c r="H1130" s="1" t="n">
        <v>217084</v>
      </c>
      <c r="I1130" s="1" t="n">
        <v>273443</v>
      </c>
      <c r="J1130" s="9" t="n">
        <v>0.794</v>
      </c>
      <c r="K1130" s="1" t="inlineStr">
        <is>
          <t>Yes</t>
        </is>
      </c>
      <c r="L1130" s="1" t="inlineStr">
        <is>
          <t>Yes</t>
        </is>
      </c>
      <c r="M1130" s="1" t="inlineStr">
        <is>
          <t>No</t>
        </is>
      </c>
      <c r="N1130" s="1" t="inlineStr">
        <is>
          <t>Algorithms</t>
        </is>
      </c>
      <c r="O11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30" s="11" t="inlineStr">
        <is>
          <t>To Do</t>
        </is>
      </c>
    </row>
    <row r="1131" ht="15.75" customHeight="1" s="12">
      <c r="A1131" s="1" t="n">
        <v>2290</v>
      </c>
      <c r="B1131" s="3">
        <f>HYPERLINK("https://leetcode.com/problems/minimum-obstacle-removal-to-reach-corner/", "Minimum Obstacle Removal to Reach Corner")</f>
        <v/>
      </c>
      <c r="C1131" s="1" t="n">
        <v>1675</v>
      </c>
      <c r="D1131" s="1" t="n">
        <v>29</v>
      </c>
      <c r="E1131" s="4">
        <f>IF(INDEX(C:C, ROW())+INDEX(D:D, ROW())=0, 0, INDEX(C:C, ROW())/(INDEX(C:C, ROW())+INDEX(D:D, ROW())))</f>
        <v/>
      </c>
      <c r="F1131" s="1" t="inlineStr">
        <is>
          <t>Array, Breadth-First Search, Graph Theory, Heap (Priority Queue), Matrix, Shortest Path</t>
        </is>
      </c>
      <c r="G1131" s="1" t="inlineStr">
        <is>
          <t>Hard</t>
        </is>
      </c>
      <c r="H1131" s="1" t="n">
        <v>123629</v>
      </c>
      <c r="I1131" s="1" t="n">
        <v>175033</v>
      </c>
      <c r="J1131" s="9" t="n">
        <v>0.706</v>
      </c>
      <c r="K1131" s="1" t="inlineStr">
        <is>
          <t>Yes</t>
        </is>
      </c>
      <c r="L1131" s="1" t="inlineStr">
        <is>
          <t>Yes</t>
        </is>
      </c>
      <c r="M1131" s="1" t="inlineStr">
        <is>
          <t>No</t>
        </is>
      </c>
      <c r="N1131" s="1" t="inlineStr">
        <is>
          <t>Algorithms</t>
        </is>
      </c>
      <c r="O11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31" s="11" t="inlineStr">
        <is>
          <t>To Do</t>
        </is>
      </c>
    </row>
    <row r="1132" ht="15.75" customHeight="1" s="12">
      <c r="A1132" s="1" t="n">
        <v>1416</v>
      </c>
      <c r="B1132" s="3">
        <f>HYPERLINK("https://leetcode.com/problems/restore-the-array/", "Restore The Array")</f>
        <v/>
      </c>
      <c r="C1132" s="1" t="n">
        <v>1674</v>
      </c>
      <c r="D1132" s="1" t="n">
        <v>53</v>
      </c>
      <c r="E1132" s="4">
        <f>IF(INDEX(C:C, ROW())+INDEX(D:D, ROW())=0, 0, INDEX(C:C, ROW())/(INDEX(C:C, ROW())+INDEX(D:D, ROW())))</f>
        <v/>
      </c>
      <c r="F1132" s="1" t="inlineStr">
        <is>
          <t>String, Dynamic Programming</t>
        </is>
      </c>
      <c r="G1132" s="1" t="inlineStr">
        <is>
          <t>Hard</t>
        </is>
      </c>
      <c r="H1132" s="1" t="n">
        <v>68254</v>
      </c>
      <c r="I1132" s="1" t="n">
        <v>146026</v>
      </c>
      <c r="J1132" s="9" t="n">
        <v>0.467</v>
      </c>
      <c r="K1132" s="1" t="inlineStr">
        <is>
          <t>Yes</t>
        </is>
      </c>
      <c r="L1132" s="1" t="inlineStr">
        <is>
          <t>Yes</t>
        </is>
      </c>
      <c r="M1132" s="1" t="inlineStr">
        <is>
          <t>No</t>
        </is>
      </c>
      <c r="N1132" s="1" t="inlineStr">
        <is>
          <t>Algorithms</t>
        </is>
      </c>
      <c r="O11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32" s="11" t="inlineStr">
        <is>
          <t>To Do</t>
        </is>
      </c>
    </row>
    <row r="1133" ht="15.75" customHeight="1" s="12">
      <c r="A1133" s="1" t="n">
        <v>2375</v>
      </c>
      <c r="B1133" s="3">
        <f>HYPERLINK("https://leetcode.com/problems/construct-smallest-number-from-di-string/", "Construct Smallest Number From DI String")</f>
        <v/>
      </c>
      <c r="C1133" s="1" t="n">
        <v>1670</v>
      </c>
      <c r="D1133" s="1" t="n">
        <v>89</v>
      </c>
      <c r="E1133" s="4">
        <f>IF(INDEX(C:C, ROW())+INDEX(D:D, ROW())=0, 0, INDEX(C:C, ROW())/(INDEX(C:C, ROW())+INDEX(D:D, ROW())))</f>
        <v/>
      </c>
      <c r="F1133" s="1" t="inlineStr">
        <is>
          <t>String, Backtracking, Stack, Greedy</t>
        </is>
      </c>
      <c r="G1133" s="1" t="inlineStr">
        <is>
          <t>Medium</t>
        </is>
      </c>
      <c r="H1133" s="1" t="n">
        <v>168856</v>
      </c>
      <c r="I1133" s="1" t="n">
        <v>197305</v>
      </c>
      <c r="J1133" s="9" t="n">
        <v>0.856</v>
      </c>
      <c r="K1133" s="1" t="inlineStr">
        <is>
          <t>Yes</t>
        </is>
      </c>
      <c r="L1133" s="1" t="inlineStr">
        <is>
          <t>Yes</t>
        </is>
      </c>
      <c r="M1133" s="1" t="inlineStr">
        <is>
          <t>No</t>
        </is>
      </c>
      <c r="N1133" s="1" t="inlineStr">
        <is>
          <t>Algorithms</t>
        </is>
      </c>
      <c r="O11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33" s="11" t="inlineStr">
        <is>
          <t>To Do</t>
        </is>
      </c>
    </row>
    <row r="1134" ht="15.75" customHeight="1" s="12">
      <c r="A1134" s="1" t="n">
        <v>885</v>
      </c>
      <c r="B1134" s="3">
        <f>HYPERLINK("https://leetcode.com/problems/spiral-matrix-iii/", "Spiral Matrix III")</f>
        <v/>
      </c>
      <c r="C1134" s="1" t="n">
        <v>1669</v>
      </c>
      <c r="D1134" s="1" t="n">
        <v>1048</v>
      </c>
      <c r="E1134" s="4">
        <f>IF(INDEX(C:C, ROW())+INDEX(D:D, ROW())=0, 0, INDEX(C:C, ROW())/(INDEX(C:C, ROW())+INDEX(D:D, ROW())))</f>
        <v/>
      </c>
      <c r="F1134" s="1" t="inlineStr">
        <is>
          <t>Array, Matrix, Simulation</t>
        </is>
      </c>
      <c r="G1134" s="1" t="inlineStr">
        <is>
          <t>Medium</t>
        </is>
      </c>
      <c r="H1134" s="1" t="n">
        <v>176413</v>
      </c>
      <c r="I1134" s="1" t="n">
        <v>208676</v>
      </c>
      <c r="J1134" s="9" t="n">
        <v>0.845</v>
      </c>
      <c r="K1134" s="1" t="inlineStr">
        <is>
          <t>Yes</t>
        </is>
      </c>
      <c r="L1134" s="1" t="inlineStr">
        <is>
          <t>Yes</t>
        </is>
      </c>
      <c r="M1134" s="1" t="inlineStr">
        <is>
          <t>No</t>
        </is>
      </c>
      <c r="N1134" s="1" t="inlineStr">
        <is>
          <t>Algorithms</t>
        </is>
      </c>
      <c r="O11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34" s="11" t="inlineStr">
        <is>
          <t>To Do</t>
        </is>
      </c>
    </row>
    <row r="1135" ht="15.75" customHeight="1" s="12">
      <c r="A1135" s="1" t="n">
        <v>2667</v>
      </c>
      <c r="B1135" s="3">
        <f>HYPERLINK("https://leetcode.com/problems/create-hello-world-function/", "Create Hello World Function")</f>
        <v/>
      </c>
      <c r="C1135" s="1" t="n">
        <v>1668</v>
      </c>
      <c r="D1135" s="1" t="n">
        <v>229</v>
      </c>
      <c r="E1135" s="4">
        <f>IF(INDEX(C:C, ROW())+INDEX(D:D, ROW())=0, 0, INDEX(C:C, ROW())/(INDEX(C:C, ROW())+INDEX(D:D, ROW())))</f>
        <v/>
      </c>
      <c r="F1135" s="2" t="n"/>
      <c r="G1135" s="1" t="inlineStr">
        <is>
          <t>Easy</t>
        </is>
      </c>
      <c r="H1135" s="1" t="n">
        <v>846631</v>
      </c>
      <c r="I1135" s="1" t="n">
        <v>1033641</v>
      </c>
      <c r="J1135" s="9" t="n">
        <v>0.819</v>
      </c>
      <c r="K1135" s="1" t="inlineStr">
        <is>
          <t>Yes</t>
        </is>
      </c>
      <c r="L1135" s="1" t="inlineStr">
        <is>
          <t>Yes</t>
        </is>
      </c>
      <c r="M1135" s="1" t="inlineStr">
        <is>
          <t>No</t>
        </is>
      </c>
      <c r="N1135" s="1" t="inlineStr">
        <is>
          <t>JavaScript</t>
        </is>
      </c>
      <c r="O11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35" s="13" t="inlineStr">
        <is>
          <t>Done</t>
        </is>
      </c>
    </row>
    <row r="1136" ht="15.75" customHeight="1" s="12">
      <c r="A1136" s="1" t="n">
        <v>2196</v>
      </c>
      <c r="B1136" s="3">
        <f>HYPERLINK("https://leetcode.com/problems/create-binary-tree-from-descriptions/", "Create Binary Tree From Descriptions")</f>
        <v/>
      </c>
      <c r="C1136" s="1" t="n">
        <v>1664</v>
      </c>
      <c r="D1136" s="1" t="n">
        <v>40</v>
      </c>
      <c r="E1136" s="4">
        <f>IF(INDEX(C:C, ROW())+INDEX(D:D, ROW())=0, 0, INDEX(C:C, ROW())/(INDEX(C:C, ROW())+INDEX(D:D, ROW())))</f>
        <v/>
      </c>
      <c r="F1136" s="1" t="inlineStr">
        <is>
          <t>Array, Hash Table, Tree, Binary Tree</t>
        </is>
      </c>
      <c r="G1136" s="1" t="inlineStr">
        <is>
          <t>Medium</t>
        </is>
      </c>
      <c r="H1136" s="1" t="n">
        <v>171760</v>
      </c>
      <c r="I1136" s="1" t="n">
        <v>210188</v>
      </c>
      <c r="J1136" s="9" t="n">
        <v>0.8169999999999999</v>
      </c>
      <c r="K1136" s="1" t="inlineStr">
        <is>
          <t>Yes</t>
        </is>
      </c>
      <c r="L1136" s="1" t="inlineStr">
        <is>
          <t>Yes</t>
        </is>
      </c>
      <c r="M1136" s="1" t="inlineStr">
        <is>
          <t>No</t>
        </is>
      </c>
      <c r="N1136" s="1" t="inlineStr">
        <is>
          <t>Algorithms</t>
        </is>
      </c>
      <c r="O11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36" s="11" t="inlineStr">
        <is>
          <t>To Do</t>
        </is>
      </c>
    </row>
    <row r="1137" ht="15.75" customHeight="1" s="12">
      <c r="A1137" s="1" t="n">
        <v>1233</v>
      </c>
      <c r="B1137" s="3">
        <f>HYPERLINK("https://leetcode.com/problems/remove-sub-folders-from-the-filesystem/", "Remove Sub-Folders from the Filesystem")</f>
        <v/>
      </c>
      <c r="C1137" s="1" t="n">
        <v>1663</v>
      </c>
      <c r="D1137" s="1" t="n">
        <v>232</v>
      </c>
      <c r="E1137" s="4">
        <f>IF(INDEX(C:C, ROW())+INDEX(D:D, ROW())=0, 0, INDEX(C:C, ROW())/(INDEX(C:C, ROW())+INDEX(D:D, ROW())))</f>
        <v/>
      </c>
      <c r="F1137" s="1" t="inlineStr">
        <is>
          <t>Array, String, Depth-First Search, Trie</t>
        </is>
      </c>
      <c r="G1137" s="1" t="inlineStr">
        <is>
          <t>Medium</t>
        </is>
      </c>
      <c r="H1137" s="1" t="n">
        <v>266055</v>
      </c>
      <c r="I1137" s="1" t="n">
        <v>338488</v>
      </c>
      <c r="J1137" s="9" t="n">
        <v>0.786</v>
      </c>
      <c r="K1137" s="1" t="inlineStr">
        <is>
          <t>Yes</t>
        </is>
      </c>
      <c r="L1137" s="1" t="inlineStr">
        <is>
          <t>Yes</t>
        </is>
      </c>
      <c r="M1137" s="1" t="inlineStr">
        <is>
          <t>No</t>
        </is>
      </c>
      <c r="N1137" s="1" t="inlineStr">
        <is>
          <t>Algorithms</t>
        </is>
      </c>
      <c r="O11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37" s="11" t="inlineStr">
        <is>
          <t>To Do</t>
        </is>
      </c>
    </row>
    <row r="1138" ht="15.75" customHeight="1" s="12">
      <c r="A1138" s="1" t="n">
        <v>639</v>
      </c>
      <c r="B1138" s="3">
        <f>HYPERLINK("https://leetcode.com/problems/decode-ways-ii/", "Decode Ways II")</f>
        <v/>
      </c>
      <c r="C1138" s="1" t="n">
        <v>1661</v>
      </c>
      <c r="D1138" s="1" t="n">
        <v>825</v>
      </c>
      <c r="E1138" s="4">
        <f>IF(INDEX(C:C, ROW())+INDEX(D:D, ROW())=0, 0, INDEX(C:C, ROW())/(INDEX(C:C, ROW())+INDEX(D:D, ROW())))</f>
        <v/>
      </c>
      <c r="F1138" s="1" t="inlineStr">
        <is>
          <t>String, Dynamic Programming</t>
        </is>
      </c>
      <c r="G1138" s="1" t="inlineStr">
        <is>
          <t>Hard</t>
        </is>
      </c>
      <c r="H1138" s="1" t="n">
        <v>89387</v>
      </c>
      <c r="I1138" s="1" t="n">
        <v>280251</v>
      </c>
      <c r="J1138" s="9" t="n">
        <v>0.319</v>
      </c>
      <c r="K1138" s="1" t="inlineStr">
        <is>
          <t>Yes</t>
        </is>
      </c>
      <c r="L1138" s="1" t="inlineStr">
        <is>
          <t>Yes</t>
        </is>
      </c>
      <c r="M1138" s="1" t="inlineStr">
        <is>
          <t>No</t>
        </is>
      </c>
      <c r="N1138" s="1" t="inlineStr">
        <is>
          <t>Algorithms</t>
        </is>
      </c>
      <c r="O11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38" s="11" t="inlineStr">
        <is>
          <t>To Do</t>
        </is>
      </c>
    </row>
    <row r="1139" ht="15.75" customHeight="1" s="12">
      <c r="A1139" s="1" t="n">
        <v>1411</v>
      </c>
      <c r="B1139" s="3">
        <f>HYPERLINK("https://leetcode.com/problems/number-of-ways-to-paint-n-3-grid/", "Number of Ways to Paint N × 3 Grid")</f>
        <v/>
      </c>
      <c r="C1139" s="1" t="n">
        <v>1661</v>
      </c>
      <c r="D1139" s="1" t="n">
        <v>92</v>
      </c>
      <c r="E1139" s="4">
        <f>IF(INDEX(C:C, ROW())+INDEX(D:D, ROW())=0, 0, INDEX(C:C, ROW())/(INDEX(C:C, ROW())+INDEX(D:D, ROW())))</f>
        <v/>
      </c>
      <c r="F1139" s="1" t="inlineStr">
        <is>
          <t>Dynamic Programming</t>
        </is>
      </c>
      <c r="G1139" s="1" t="inlineStr">
        <is>
          <t>Hard</t>
        </is>
      </c>
      <c r="H1139" s="1" t="n">
        <v>135025</v>
      </c>
      <c r="I1139" s="1" t="n">
        <v>167687</v>
      </c>
      <c r="J1139" s="9" t="n">
        <v>0.805</v>
      </c>
      <c r="K1139" s="1" t="inlineStr">
        <is>
          <t>Yes</t>
        </is>
      </c>
      <c r="L1139" s="1" t="inlineStr">
        <is>
          <t>No</t>
        </is>
      </c>
      <c r="M1139" s="1" t="inlineStr">
        <is>
          <t>No</t>
        </is>
      </c>
      <c r="N1139" s="1" t="inlineStr">
        <is>
          <t>Algorithms</t>
        </is>
      </c>
      <c r="O11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39" s="11" t="inlineStr">
        <is>
          <t>To Do</t>
        </is>
      </c>
    </row>
    <row r="1140" ht="15.75" customHeight="1" s="12">
      <c r="A1140" s="1" t="n">
        <v>2108</v>
      </c>
      <c r="B1140" s="3">
        <f>HYPERLINK("https://leetcode.com/problems/find-first-palindromic-string-in-the-array/", "Find First Palindromic String in the Array")</f>
        <v/>
      </c>
      <c r="C1140" s="1" t="n">
        <v>1661</v>
      </c>
      <c r="D1140" s="1" t="n">
        <v>60</v>
      </c>
      <c r="E1140" s="4">
        <f>IF(INDEX(C:C, ROW())+INDEX(D:D, ROW())=0, 0, INDEX(C:C, ROW())/(INDEX(C:C, ROW())+INDEX(D:D, ROW())))</f>
        <v/>
      </c>
      <c r="F1140" s="1" t="inlineStr">
        <is>
          <t>Array, Two Pointers, String</t>
        </is>
      </c>
      <c r="G1140" s="1" t="inlineStr">
        <is>
          <t>Easy</t>
        </is>
      </c>
      <c r="H1140" s="1" t="n">
        <v>386924</v>
      </c>
      <c r="I1140" s="1" t="n">
        <v>460676</v>
      </c>
      <c r="J1140" s="9" t="n">
        <v>0.84</v>
      </c>
      <c r="K1140" s="1" t="inlineStr">
        <is>
          <t>Yes</t>
        </is>
      </c>
      <c r="L1140" s="1" t="inlineStr">
        <is>
          <t>Yes</t>
        </is>
      </c>
      <c r="M1140" s="1" t="inlineStr">
        <is>
          <t>No</t>
        </is>
      </c>
      <c r="N1140" s="1" t="inlineStr">
        <is>
          <t>Algorithms</t>
        </is>
      </c>
      <c r="O11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40" s="13" t="inlineStr">
        <is>
          <t>Done</t>
        </is>
      </c>
    </row>
    <row r="1141" ht="15.75" customHeight="1" s="12">
      <c r="A1141" s="1" t="n">
        <v>1015</v>
      </c>
      <c r="B1141" s="3">
        <f>HYPERLINK("https://leetcode.com/problems/smallest-integer-divisible-by-k/", "Smallest Integer Divisible by K")</f>
        <v/>
      </c>
      <c r="C1141" s="1" t="n">
        <v>1652</v>
      </c>
      <c r="D1141" s="1" t="n">
        <v>1171</v>
      </c>
      <c r="E1141" s="4">
        <f>IF(INDEX(C:C, ROW())+INDEX(D:D, ROW())=0, 0, INDEX(C:C, ROW())/(INDEX(C:C, ROW())+INDEX(D:D, ROW())))</f>
        <v/>
      </c>
      <c r="F1141" s="1" t="inlineStr">
        <is>
          <t>Hash Table, Math</t>
        </is>
      </c>
      <c r="G1141" s="1" t="inlineStr">
        <is>
          <t>Medium</t>
        </is>
      </c>
      <c r="H1141" s="1" t="n">
        <v>190425</v>
      </c>
      <c r="I1141" s="1" t="n">
        <v>350467</v>
      </c>
      <c r="J1141" s="9" t="n">
        <v>0.543</v>
      </c>
      <c r="K1141" s="1" t="inlineStr">
        <is>
          <t>Yes</t>
        </is>
      </c>
      <c r="L1141" s="1" t="inlineStr">
        <is>
          <t>Yes</t>
        </is>
      </c>
      <c r="M1141" s="1" t="inlineStr">
        <is>
          <t>No</t>
        </is>
      </c>
      <c r="N1141" s="1" t="inlineStr">
        <is>
          <t>Algorithms</t>
        </is>
      </c>
      <c r="O11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41" s="11" t="inlineStr">
        <is>
          <t>To Do</t>
        </is>
      </c>
    </row>
    <row r="1142" ht="15.75" customHeight="1" s="12">
      <c r="A1142" s="1" t="n">
        <v>440</v>
      </c>
      <c r="B1142" s="3">
        <f>HYPERLINK("https://leetcode.com/problems/k-th-smallest-in-lexicographical-order/", "K-th Smallest in Lexicographical Order")</f>
        <v/>
      </c>
      <c r="C1142" s="1" t="n">
        <v>1651</v>
      </c>
      <c r="D1142" s="1" t="n">
        <v>148</v>
      </c>
      <c r="E1142" s="4">
        <f>IF(INDEX(C:C, ROW())+INDEX(D:D, ROW())=0, 0, INDEX(C:C, ROW())/(INDEX(C:C, ROW())+INDEX(D:D, ROW())))</f>
        <v/>
      </c>
      <c r="F1142" s="1" t="inlineStr">
        <is>
          <t>Trie</t>
        </is>
      </c>
      <c r="G1142" s="1" t="inlineStr">
        <is>
          <t>Hard</t>
        </is>
      </c>
      <c r="H1142" s="1" t="n">
        <v>169731</v>
      </c>
      <c r="I1142" s="1" t="n">
        <v>366470</v>
      </c>
      <c r="J1142" s="9" t="n">
        <v>0.463</v>
      </c>
      <c r="K1142" s="1" t="inlineStr">
        <is>
          <t>Yes</t>
        </is>
      </c>
      <c r="L1142" s="1" t="inlineStr">
        <is>
          <t>Yes</t>
        </is>
      </c>
      <c r="M1142" s="1" t="inlineStr">
        <is>
          <t>No</t>
        </is>
      </c>
      <c r="N1142" s="1" t="inlineStr">
        <is>
          <t>Algorithms</t>
        </is>
      </c>
      <c r="O11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42" s="11" t="inlineStr">
        <is>
          <t>To Do</t>
        </is>
      </c>
    </row>
    <row r="1143" ht="15.75" customHeight="1" s="12">
      <c r="A1143" s="1" t="n">
        <v>1652</v>
      </c>
      <c r="B1143" s="3">
        <f>HYPERLINK("https://leetcode.com/problems/defuse-the-bomb/", "Defuse the Bomb")</f>
        <v/>
      </c>
      <c r="C1143" s="1" t="n">
        <v>1648</v>
      </c>
      <c r="D1143" s="1" t="n">
        <v>184</v>
      </c>
      <c r="E1143" s="4">
        <f>IF(INDEX(C:C, ROW())+INDEX(D:D, ROW())=0, 0, INDEX(C:C, ROW())/(INDEX(C:C, ROW())+INDEX(D:D, ROW())))</f>
        <v/>
      </c>
      <c r="F1143" s="1" t="inlineStr">
        <is>
          <t>Array, Sliding Window</t>
        </is>
      </c>
      <c r="G1143" s="1" t="inlineStr">
        <is>
          <t>Easy</t>
        </is>
      </c>
      <c r="H1143" s="1" t="n">
        <v>224743</v>
      </c>
      <c r="I1143" s="1" t="n">
        <v>283340</v>
      </c>
      <c r="J1143" s="9" t="n">
        <v>0.793</v>
      </c>
      <c r="K1143" s="1" t="inlineStr">
        <is>
          <t>Yes</t>
        </is>
      </c>
      <c r="L1143" s="1" t="inlineStr">
        <is>
          <t>Yes</t>
        </is>
      </c>
      <c r="M1143" s="1" t="inlineStr">
        <is>
          <t>No</t>
        </is>
      </c>
      <c r="N1143" s="1" t="inlineStr">
        <is>
          <t>Algorithms</t>
        </is>
      </c>
      <c r="O11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43" s="13" t="inlineStr">
        <is>
          <t>Done</t>
        </is>
      </c>
    </row>
    <row r="1144" ht="15.75" customHeight="1" s="12">
      <c r="A1144" s="1" t="n">
        <v>276</v>
      </c>
      <c r="B1144" s="3">
        <f>HYPERLINK("https://leetcode.com/problems/paint-fence/", "Paint Fence")</f>
        <v/>
      </c>
      <c r="C1144" s="1" t="n">
        <v>1641</v>
      </c>
      <c r="D1144" s="1" t="n">
        <v>398</v>
      </c>
      <c r="E1144" s="4">
        <f>IF(INDEX(C:C, ROW())+INDEX(D:D, ROW())=0, 0, INDEX(C:C, ROW())/(INDEX(C:C, ROW())+INDEX(D:D, ROW())))</f>
        <v/>
      </c>
      <c r="F1144" s="1" t="inlineStr">
        <is>
          <t>Dynamic Programming</t>
        </is>
      </c>
      <c r="G1144" s="1" t="inlineStr">
        <is>
          <t>Medium</t>
        </is>
      </c>
      <c r="H1144" s="1" t="n">
        <v>129893</v>
      </c>
      <c r="I1144" s="1" t="n">
        <v>268496</v>
      </c>
      <c r="J1144" s="9" t="n">
        <v>0.484</v>
      </c>
      <c r="K1144" s="1" t="inlineStr">
        <is>
          <t>No</t>
        </is>
      </c>
      <c r="L1144" s="1" t="inlineStr">
        <is>
          <t>Yes</t>
        </is>
      </c>
      <c r="M1144" s="1" t="inlineStr">
        <is>
          <t>No</t>
        </is>
      </c>
      <c r="N1144" s="1" t="inlineStr">
        <is>
          <t>Algorithms</t>
        </is>
      </c>
      <c r="O11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44" s="11" t="inlineStr">
        <is>
          <t>To Do</t>
        </is>
      </c>
    </row>
    <row r="1145" ht="15.75" customHeight="1" s="12">
      <c r="A1145" s="1" t="n">
        <v>1510</v>
      </c>
      <c r="B1145" s="3">
        <f>HYPERLINK("https://leetcode.com/problems/stone-game-iv/", "Stone Game IV")</f>
        <v/>
      </c>
      <c r="C1145" s="1" t="n">
        <v>1641</v>
      </c>
      <c r="D1145" s="1" t="n">
        <v>76</v>
      </c>
      <c r="E1145" s="4">
        <f>IF(INDEX(C:C, ROW())+INDEX(D:D, ROW())=0, 0, INDEX(C:C, ROW())/(INDEX(C:C, ROW())+INDEX(D:D, ROW())))</f>
        <v/>
      </c>
      <c r="F1145" s="1" t="inlineStr">
        <is>
          <t>Math, Dynamic Programming, Game Theory</t>
        </is>
      </c>
      <c r="G1145" s="1" t="inlineStr">
        <is>
          <t>Hard</t>
        </is>
      </c>
      <c r="H1145" s="1" t="n">
        <v>83668</v>
      </c>
      <c r="I1145" s="1" t="n">
        <v>140360</v>
      </c>
      <c r="J1145" s="9" t="n">
        <v>0.596</v>
      </c>
      <c r="K1145" s="1" t="inlineStr">
        <is>
          <t>Yes</t>
        </is>
      </c>
      <c r="L1145" s="1" t="inlineStr">
        <is>
          <t>Yes</t>
        </is>
      </c>
      <c r="M1145" s="1" t="inlineStr">
        <is>
          <t>No</t>
        </is>
      </c>
      <c r="N1145" s="1" t="inlineStr">
        <is>
          <t>Algorithms</t>
        </is>
      </c>
      <c r="O11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45" s="11" t="inlineStr">
        <is>
          <t>To Do</t>
        </is>
      </c>
    </row>
    <row r="1146" ht="15.75" customHeight="1" s="12">
      <c r="A1146" s="1" t="n">
        <v>843</v>
      </c>
      <c r="B1146" s="3">
        <f>HYPERLINK("https://leetcode.com/problems/guess-the-word/", "Guess the Word")</f>
        <v/>
      </c>
      <c r="C1146" s="1" t="n">
        <v>1640</v>
      </c>
      <c r="D1146" s="1" t="n">
        <v>1873</v>
      </c>
      <c r="E1146" s="4">
        <f>IF(INDEX(C:C, ROW())+INDEX(D:D, ROW())=0, 0, INDEX(C:C, ROW())/(INDEX(C:C, ROW())+INDEX(D:D, ROW())))</f>
        <v/>
      </c>
      <c r="F1146" s="1" t="inlineStr">
        <is>
          <t>Array, Math, String, Interactive, Game Theory</t>
        </is>
      </c>
      <c r="G1146" s="1" t="inlineStr">
        <is>
          <t>Hard</t>
        </is>
      </c>
      <c r="H1146" s="1" t="n">
        <v>170020</v>
      </c>
      <c r="I1146" s="1" t="n">
        <v>462299</v>
      </c>
      <c r="J1146" s="9" t="n">
        <v>0.368</v>
      </c>
      <c r="K1146" s="1" t="inlineStr">
        <is>
          <t>Yes</t>
        </is>
      </c>
      <c r="L1146" s="1" t="inlineStr">
        <is>
          <t>No</t>
        </is>
      </c>
      <c r="M1146" s="1" t="inlineStr">
        <is>
          <t>No</t>
        </is>
      </c>
      <c r="N1146" s="1" t="inlineStr">
        <is>
          <t>Algorithms</t>
        </is>
      </c>
      <c r="O11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46" s="11" t="inlineStr">
        <is>
          <t>To Do</t>
        </is>
      </c>
    </row>
    <row r="1147" ht="15.75" customHeight="1" s="12">
      <c r="A1147" s="1" t="n">
        <v>2038</v>
      </c>
      <c r="B1147" s="3">
        <f>HYPERLINK("https://leetcode.com/problems/remove-colored-pieces-if-both-neighbors-are-the-same-color/", "Remove Colored Pieces if Both Neighbors are the Same Color")</f>
        <v/>
      </c>
      <c r="C1147" s="1" t="n">
        <v>1640</v>
      </c>
      <c r="D1147" s="1" t="n">
        <v>127</v>
      </c>
      <c r="E1147" s="4">
        <f>IF(INDEX(C:C, ROW())+INDEX(D:D, ROW())=0, 0, INDEX(C:C, ROW())/(INDEX(C:C, ROW())+INDEX(D:D, ROW())))</f>
        <v/>
      </c>
      <c r="F1147" s="1" t="inlineStr">
        <is>
          <t>Math, String, Greedy, Game Theory</t>
        </is>
      </c>
      <c r="G1147" s="1" t="inlineStr">
        <is>
          <t>Medium</t>
        </is>
      </c>
      <c r="H1147" s="1" t="n">
        <v>162465</v>
      </c>
      <c r="I1147" s="1" t="n">
        <v>257534</v>
      </c>
      <c r="J1147" s="9" t="n">
        <v>0.631</v>
      </c>
      <c r="K1147" s="1" t="inlineStr">
        <is>
          <t>Yes</t>
        </is>
      </c>
      <c r="L1147" s="1" t="inlineStr">
        <is>
          <t>Yes</t>
        </is>
      </c>
      <c r="M1147" s="1" t="inlineStr">
        <is>
          <t>No</t>
        </is>
      </c>
      <c r="N1147" s="1" t="inlineStr">
        <is>
          <t>Algorithms</t>
        </is>
      </c>
      <c r="O11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47" s="11" t="inlineStr">
        <is>
          <t>To Do</t>
        </is>
      </c>
    </row>
    <row r="1148" ht="15.75" customHeight="1" s="12">
      <c r="A1148" s="1" t="n">
        <v>600</v>
      </c>
      <c r="B1148" s="3">
        <f>HYPERLINK("https://leetcode.com/problems/non-negative-integers-without-consecutive-ones/", "Non-negative Integers without Consecutive Ones")</f>
        <v/>
      </c>
      <c r="C1148" s="1" t="n">
        <v>1637</v>
      </c>
      <c r="D1148" s="1" t="n">
        <v>138</v>
      </c>
      <c r="E1148" s="4">
        <f>IF(INDEX(C:C, ROW())+INDEX(D:D, ROW())=0, 0, INDEX(C:C, ROW())/(INDEX(C:C, ROW())+INDEX(D:D, ROW())))</f>
        <v/>
      </c>
      <c r="F1148" s="1" t="inlineStr">
        <is>
          <t>Dynamic Programming</t>
        </is>
      </c>
      <c r="G1148" s="1" t="inlineStr">
        <is>
          <t>Hard</t>
        </is>
      </c>
      <c r="H1148" s="1" t="n">
        <v>52530</v>
      </c>
      <c r="I1148" s="1" t="n">
        <v>124183</v>
      </c>
      <c r="J1148" s="9" t="n">
        <v>0.423</v>
      </c>
      <c r="K1148" s="1" t="inlineStr">
        <is>
          <t>Yes</t>
        </is>
      </c>
      <c r="L1148" s="1" t="inlineStr">
        <is>
          <t>Yes</t>
        </is>
      </c>
      <c r="M1148" s="1" t="inlineStr">
        <is>
          <t>No</t>
        </is>
      </c>
      <c r="N1148" s="1" t="inlineStr">
        <is>
          <t>Algorithms</t>
        </is>
      </c>
      <c r="O11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48" s="11" t="inlineStr">
        <is>
          <t>To Do</t>
        </is>
      </c>
    </row>
    <row r="1149" ht="15.75" customHeight="1" s="12">
      <c r="A1149" s="1" t="n">
        <v>638</v>
      </c>
      <c r="B1149" s="3">
        <f>HYPERLINK("https://leetcode.com/problems/shopping-offers/", "Shopping Offers")</f>
        <v/>
      </c>
      <c r="C1149" s="1" t="n">
        <v>1636</v>
      </c>
      <c r="D1149" s="1" t="n">
        <v>792</v>
      </c>
      <c r="E1149" s="4">
        <f>IF(INDEX(C:C, ROW())+INDEX(D:D, ROW())=0, 0, INDEX(C:C, ROW())/(INDEX(C:C, ROW())+INDEX(D:D, ROW())))</f>
        <v/>
      </c>
      <c r="F1149" s="1" t="inlineStr">
        <is>
          <t>Array, Dynamic Programming, Backtracking, Bit Manipulation, Memoization, Bitmask</t>
        </is>
      </c>
      <c r="G1149" s="1" t="inlineStr">
        <is>
          <t>Medium</t>
        </is>
      </c>
      <c r="H1149" s="1" t="n">
        <v>82810</v>
      </c>
      <c r="I1149" s="1" t="n">
        <v>157980</v>
      </c>
      <c r="J1149" s="9" t="n">
        <v>0.524</v>
      </c>
      <c r="K1149" s="1" t="inlineStr">
        <is>
          <t>Yes</t>
        </is>
      </c>
      <c r="L1149" s="1" t="inlineStr">
        <is>
          <t>Yes</t>
        </is>
      </c>
      <c r="M1149" s="1" t="inlineStr">
        <is>
          <t>No</t>
        </is>
      </c>
      <c r="N1149" s="1" t="inlineStr">
        <is>
          <t>Algorithms</t>
        </is>
      </c>
      <c r="O11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49" s="11" t="inlineStr">
        <is>
          <t>To Do</t>
        </is>
      </c>
    </row>
    <row r="1150" ht="15.75" customHeight="1" s="12">
      <c r="A1150" s="1" t="n">
        <v>1394</v>
      </c>
      <c r="B1150" s="3">
        <f>HYPERLINK("https://leetcode.com/problems/find-lucky-integer-in-an-array/", "Find Lucky Integer in an Array")</f>
        <v/>
      </c>
      <c r="C1150" s="1" t="n">
        <v>1636</v>
      </c>
      <c r="D1150" s="1" t="n">
        <v>45</v>
      </c>
      <c r="E1150" s="4">
        <f>IF(INDEX(C:C, ROW())+INDEX(D:D, ROW())=0, 0, INDEX(C:C, ROW())/(INDEX(C:C, ROW())+INDEX(D:D, ROW())))</f>
        <v/>
      </c>
      <c r="F1150" s="1" t="inlineStr">
        <is>
          <t>Array, Hash Table, Counting</t>
        </is>
      </c>
      <c r="G1150" s="1" t="inlineStr">
        <is>
          <t>Easy</t>
        </is>
      </c>
      <c r="H1150" s="1" t="n">
        <v>340771</v>
      </c>
      <c r="I1150" s="1" t="n">
        <v>451177</v>
      </c>
      <c r="J1150" s="9" t="n">
        <v>0.755</v>
      </c>
      <c r="K1150" s="1" t="inlineStr">
        <is>
          <t>Yes</t>
        </is>
      </c>
      <c r="L1150" s="1" t="inlineStr">
        <is>
          <t>Yes</t>
        </is>
      </c>
      <c r="M1150" s="1" t="inlineStr">
        <is>
          <t>No</t>
        </is>
      </c>
      <c r="N1150" s="1" t="inlineStr">
        <is>
          <t>Algorithms</t>
        </is>
      </c>
      <c r="O11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50" s="13" t="inlineStr">
        <is>
          <t>Done</t>
        </is>
      </c>
    </row>
    <row r="1151" ht="15.75" customHeight="1" s="12">
      <c r="A1151" s="1" t="n">
        <v>2391</v>
      </c>
      <c r="B1151" s="3">
        <f>HYPERLINK("https://leetcode.com/problems/minimum-amount-of-time-to-collect-garbage/", "Minimum Amount of Time to Collect Garbage")</f>
        <v/>
      </c>
      <c r="C1151" s="1" t="n">
        <v>1634</v>
      </c>
      <c r="D1151" s="1" t="n">
        <v>246</v>
      </c>
      <c r="E1151" s="4">
        <f>IF(INDEX(C:C, ROW())+INDEX(D:D, ROW())=0, 0, INDEX(C:C, ROW())/(INDEX(C:C, ROW())+INDEX(D:D, ROW())))</f>
        <v/>
      </c>
      <c r="F1151" s="1" t="inlineStr">
        <is>
          <t>Array, String, Prefix Sum</t>
        </is>
      </c>
      <c r="G1151" s="1" t="inlineStr">
        <is>
          <t>Medium</t>
        </is>
      </c>
      <c r="H1151" s="1" t="n">
        <v>155532</v>
      </c>
      <c r="I1151" s="1" t="n">
        <v>182904</v>
      </c>
      <c r="J1151" s="9" t="n">
        <v>0.85</v>
      </c>
      <c r="K1151" s="1" t="inlineStr">
        <is>
          <t>Yes</t>
        </is>
      </c>
      <c r="L1151" s="1" t="inlineStr">
        <is>
          <t>Yes</t>
        </is>
      </c>
      <c r="M1151" s="1" t="inlineStr">
        <is>
          <t>No</t>
        </is>
      </c>
      <c r="N1151" s="1" t="inlineStr">
        <is>
          <t>Algorithms</t>
        </is>
      </c>
      <c r="O11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51" s="11" t="inlineStr">
        <is>
          <t>To Do</t>
        </is>
      </c>
    </row>
    <row r="1152" ht="15.75" customHeight="1" s="12">
      <c r="A1152" s="1" t="n">
        <v>2620</v>
      </c>
      <c r="B1152" s="3">
        <f>HYPERLINK("https://leetcode.com/problems/counter/", "Counter")</f>
        <v/>
      </c>
      <c r="C1152" s="1" t="n">
        <v>1634</v>
      </c>
      <c r="D1152" s="1" t="n">
        <v>130</v>
      </c>
      <c r="E1152" s="4">
        <f>IF(INDEX(C:C, ROW())+INDEX(D:D, ROW())=0, 0, INDEX(C:C, ROW())/(INDEX(C:C, ROW())+INDEX(D:D, ROW())))</f>
        <v/>
      </c>
      <c r="F1152" s="2" t="n"/>
      <c r="G1152" s="1" t="inlineStr">
        <is>
          <t>Easy</t>
        </is>
      </c>
      <c r="H1152" s="1" t="n">
        <v>715157</v>
      </c>
      <c r="I1152" s="1" t="n">
        <v>867787</v>
      </c>
      <c r="J1152" s="9" t="n">
        <v>0.824</v>
      </c>
      <c r="K1152" s="1" t="inlineStr">
        <is>
          <t>Yes</t>
        </is>
      </c>
      <c r="L1152" s="1" t="inlineStr">
        <is>
          <t>Yes</t>
        </is>
      </c>
      <c r="M1152" s="1" t="inlineStr">
        <is>
          <t>No</t>
        </is>
      </c>
      <c r="N1152" s="1" t="inlineStr">
        <is>
          <t>JavaScript</t>
        </is>
      </c>
      <c r="O11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52" s="13" t="inlineStr">
        <is>
          <t>Done</t>
        </is>
      </c>
    </row>
    <row r="1153" ht="15.75" customHeight="1" s="12">
      <c r="A1153" s="1" t="n">
        <v>1275</v>
      </c>
      <c r="B1153" s="3">
        <f>HYPERLINK("https://leetcode.com/problems/find-winner-on-a-tic-tac-toe-game/", "Find Winner on a Tic Tac Toe Game")</f>
        <v/>
      </c>
      <c r="C1153" s="1" t="n">
        <v>1632</v>
      </c>
      <c r="D1153" s="1" t="n">
        <v>370</v>
      </c>
      <c r="E1153" s="4">
        <f>IF(INDEX(C:C, ROW())+INDEX(D:D, ROW())=0, 0, INDEX(C:C, ROW())/(INDEX(C:C, ROW())+INDEX(D:D, ROW())))</f>
        <v/>
      </c>
      <c r="F1153" s="1" t="inlineStr">
        <is>
          <t>Array, Hash Table, Matrix, Simulation</t>
        </is>
      </c>
      <c r="G1153" s="1" t="inlineStr">
        <is>
          <t>Easy</t>
        </is>
      </c>
      <c r="H1153" s="1" t="n">
        <v>170054</v>
      </c>
      <c r="I1153" s="1" t="n">
        <v>311428</v>
      </c>
      <c r="J1153" s="9" t="n">
        <v>0.546</v>
      </c>
      <c r="K1153" s="1" t="inlineStr">
        <is>
          <t>Yes</t>
        </is>
      </c>
      <c r="L1153" s="1" t="inlineStr">
        <is>
          <t>Yes</t>
        </is>
      </c>
      <c r="M1153" s="1" t="inlineStr">
        <is>
          <t>No</t>
        </is>
      </c>
      <c r="N1153" s="1" t="inlineStr">
        <is>
          <t>Algorithms</t>
        </is>
      </c>
      <c r="O11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53" s="13" t="inlineStr">
        <is>
          <t>Done</t>
        </is>
      </c>
    </row>
    <row r="1154" ht="15.75" customHeight="1" s="12">
      <c r="A1154" s="1" t="n">
        <v>259</v>
      </c>
      <c r="B1154" s="3">
        <f>HYPERLINK("https://leetcode.com/problems/3sum-smaller/", "3Sum Smaller")</f>
        <v/>
      </c>
      <c r="C1154" s="1" t="n">
        <v>1630</v>
      </c>
      <c r="D1154" s="1" t="n">
        <v>169</v>
      </c>
      <c r="E1154" s="4">
        <f>IF(INDEX(C:C, ROW())+INDEX(D:D, ROW())=0, 0, INDEX(C:C, ROW())/(INDEX(C:C, ROW())+INDEX(D:D, ROW())))</f>
        <v/>
      </c>
      <c r="F1154" s="1" t="inlineStr">
        <is>
          <t>Array, Two Pointers, Binary Search, Sorting</t>
        </is>
      </c>
      <c r="G1154" s="1" t="inlineStr">
        <is>
          <t>Medium</t>
        </is>
      </c>
      <c r="H1154" s="1" t="n">
        <v>175134</v>
      </c>
      <c r="I1154" s="1" t="n">
        <v>341052</v>
      </c>
      <c r="J1154" s="9" t="n">
        <v>0.514</v>
      </c>
      <c r="K1154" s="1" t="inlineStr">
        <is>
          <t>No</t>
        </is>
      </c>
      <c r="L1154" s="1" t="inlineStr">
        <is>
          <t>Yes</t>
        </is>
      </c>
      <c r="M1154" s="1" t="inlineStr">
        <is>
          <t>No</t>
        </is>
      </c>
      <c r="N1154" s="1" t="inlineStr">
        <is>
          <t>Algorithms</t>
        </is>
      </c>
      <c r="O11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54" s="11" t="inlineStr">
        <is>
          <t>To Do</t>
        </is>
      </c>
    </row>
    <row r="1155" ht="15.75" customHeight="1" s="12">
      <c r="A1155" s="1" t="n">
        <v>1535</v>
      </c>
      <c r="B1155" s="3">
        <f>HYPERLINK("https://leetcode.com/problems/find-the-winner-of-an-array-game/", "Find the Winner of an Array Game")</f>
        <v/>
      </c>
      <c r="C1155" s="1" t="n">
        <v>1627</v>
      </c>
      <c r="D1155" s="1" t="n">
        <v>88</v>
      </c>
      <c r="E1155" s="4">
        <f>IF(INDEX(C:C, ROW())+INDEX(D:D, ROW())=0, 0, INDEX(C:C, ROW())/(INDEX(C:C, ROW())+INDEX(D:D, ROW())))</f>
        <v/>
      </c>
      <c r="F1155" s="1" t="inlineStr">
        <is>
          <t>Array, Simulation</t>
        </is>
      </c>
      <c r="G1155" s="1" t="inlineStr">
        <is>
          <t>Medium</t>
        </is>
      </c>
      <c r="H1155" s="1" t="n">
        <v>126660</v>
      </c>
      <c r="I1155" s="1" t="n">
        <v>222799</v>
      </c>
      <c r="J1155" s="9" t="n">
        <v>0.5679999999999999</v>
      </c>
      <c r="K1155" s="1" t="inlineStr">
        <is>
          <t>Yes</t>
        </is>
      </c>
      <c r="L1155" s="1" t="inlineStr">
        <is>
          <t>Yes</t>
        </is>
      </c>
      <c r="M1155" s="1" t="inlineStr">
        <is>
          <t>No</t>
        </is>
      </c>
      <c r="N1155" s="1" t="inlineStr">
        <is>
          <t>Algorithms</t>
        </is>
      </c>
      <c r="O11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55" s="11" t="inlineStr">
        <is>
          <t>To Do</t>
        </is>
      </c>
    </row>
    <row r="1156" ht="15.75" customHeight="1" s="12">
      <c r="A1156" s="1" t="n">
        <v>2302</v>
      </c>
      <c r="B1156" s="3">
        <f>HYPERLINK("https://leetcode.com/problems/count-subarrays-with-score-less-than-k/", "Count Subarrays With Score Less Than K")</f>
        <v/>
      </c>
      <c r="C1156" s="1" t="n">
        <v>1625</v>
      </c>
      <c r="D1156" s="1" t="n">
        <v>62</v>
      </c>
      <c r="E1156" s="4">
        <f>IF(INDEX(C:C, ROW())+INDEX(D:D, ROW())=0, 0, INDEX(C:C, ROW())/(INDEX(C:C, ROW())+INDEX(D:D, ROW())))</f>
        <v/>
      </c>
      <c r="F1156" s="1" t="inlineStr">
        <is>
          <t>Array, Binary Search, Sliding Window, Prefix Sum</t>
        </is>
      </c>
      <c r="G1156" s="1" t="inlineStr">
        <is>
          <t>Hard</t>
        </is>
      </c>
      <c r="H1156" s="1" t="n">
        <v>147857</v>
      </c>
      <c r="I1156" s="1" t="n">
        <v>237549</v>
      </c>
      <c r="J1156" s="9" t="n">
        <v>0.622</v>
      </c>
      <c r="K1156" s="1" t="inlineStr">
        <is>
          <t>Yes</t>
        </is>
      </c>
      <c r="L1156" s="1" t="inlineStr">
        <is>
          <t>Yes</t>
        </is>
      </c>
      <c r="M1156" s="1" t="inlineStr">
        <is>
          <t>No</t>
        </is>
      </c>
      <c r="N1156" s="1" t="inlineStr">
        <is>
          <t>Algorithms</t>
        </is>
      </c>
      <c r="O11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56" s="11" t="inlineStr">
        <is>
          <t>To Do</t>
        </is>
      </c>
    </row>
    <row r="1157" ht="15.75" customHeight="1" s="12">
      <c r="A1157" s="1" t="n">
        <v>1975</v>
      </c>
      <c r="B1157" s="3">
        <f>HYPERLINK("https://leetcode.com/problems/maximum-matrix-sum/", "Maximum Matrix Sum")</f>
        <v/>
      </c>
      <c r="C1157" s="1" t="n">
        <v>1623</v>
      </c>
      <c r="D1157" s="1" t="n">
        <v>75</v>
      </c>
      <c r="E1157" s="4">
        <f>IF(INDEX(C:C, ROW())+INDEX(D:D, ROW())=0, 0, INDEX(C:C, ROW())/(INDEX(C:C, ROW())+INDEX(D:D, ROW())))</f>
        <v/>
      </c>
      <c r="F1157" s="1" t="inlineStr">
        <is>
          <t>Array, Greedy, Matrix</t>
        </is>
      </c>
      <c r="G1157" s="1" t="inlineStr">
        <is>
          <t>Medium</t>
        </is>
      </c>
      <c r="H1157" s="1" t="n">
        <v>236205</v>
      </c>
      <c r="I1157" s="1" t="n">
        <v>349779</v>
      </c>
      <c r="J1157" s="9" t="n">
        <v>0.675</v>
      </c>
      <c r="K1157" s="1" t="inlineStr">
        <is>
          <t>Yes</t>
        </is>
      </c>
      <c r="L1157" s="1" t="inlineStr">
        <is>
          <t>Yes</t>
        </is>
      </c>
      <c r="M1157" s="1" t="inlineStr">
        <is>
          <t>No</t>
        </is>
      </c>
      <c r="N1157" s="1" t="inlineStr">
        <is>
          <t>Algorithms</t>
        </is>
      </c>
      <c r="O11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57" s="11" t="inlineStr">
        <is>
          <t>To Do</t>
        </is>
      </c>
    </row>
    <row r="1158" ht="15.75" customHeight="1" s="12">
      <c r="A1158" s="1" t="n">
        <v>2220</v>
      </c>
      <c r="B1158" s="3">
        <f>HYPERLINK("https://leetcode.com/problems/minimum-bit-flips-to-convert-number/", "Minimum Bit Flips to Convert Number")</f>
        <v/>
      </c>
      <c r="C1158" s="1" t="n">
        <v>1620</v>
      </c>
      <c r="D1158" s="1" t="n">
        <v>39</v>
      </c>
      <c r="E1158" s="4">
        <f>IF(INDEX(C:C, ROW())+INDEX(D:D, ROW())=0, 0, INDEX(C:C, ROW())/(INDEX(C:C, ROW())+INDEX(D:D, ROW())))</f>
        <v/>
      </c>
      <c r="F1158" s="1" t="inlineStr">
        <is>
          <t>Bit Manipulation</t>
        </is>
      </c>
      <c r="G1158" s="1" t="inlineStr">
        <is>
          <t>Easy</t>
        </is>
      </c>
      <c r="H1158" s="1" t="n">
        <v>376402</v>
      </c>
      <c r="I1158" s="1" t="n">
        <v>428437</v>
      </c>
      <c r="J1158" s="9" t="n">
        <v>0.879</v>
      </c>
      <c r="K1158" s="1" t="inlineStr">
        <is>
          <t>Yes</t>
        </is>
      </c>
      <c r="L1158" s="1" t="inlineStr">
        <is>
          <t>Yes</t>
        </is>
      </c>
      <c r="M1158" s="1" t="inlineStr">
        <is>
          <t>No</t>
        </is>
      </c>
      <c r="N1158" s="1" t="inlineStr">
        <is>
          <t>Algorithms</t>
        </is>
      </c>
      <c r="O11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58" s="13" t="inlineStr">
        <is>
          <t>Done</t>
        </is>
      </c>
    </row>
    <row r="1159" ht="15.75" customHeight="1" s="12">
      <c r="A1159" s="1" t="n">
        <v>1309</v>
      </c>
      <c r="B1159" s="3">
        <f>HYPERLINK("https://leetcode.com/problems/decrypt-string-from-alphabet-to-integer-mapping/", "Decrypt String from Alphabet to Integer Mapping")</f>
        <v/>
      </c>
      <c r="C1159" s="1" t="n">
        <v>1611</v>
      </c>
      <c r="D1159" s="1" t="n">
        <v>120</v>
      </c>
      <c r="E1159" s="4">
        <f>IF(INDEX(C:C, ROW())+INDEX(D:D, ROW())=0, 0, INDEX(C:C, ROW())/(INDEX(C:C, ROW())+INDEX(D:D, ROW())))</f>
        <v/>
      </c>
      <c r="F1159" s="1" t="inlineStr">
        <is>
          <t>String</t>
        </is>
      </c>
      <c r="G1159" s="1" t="inlineStr">
        <is>
          <t>Easy</t>
        </is>
      </c>
      <c r="H1159" s="1" t="n">
        <v>150015</v>
      </c>
      <c r="I1159" s="1" t="n">
        <v>186222</v>
      </c>
      <c r="J1159" s="9" t="n">
        <v>0.806</v>
      </c>
      <c r="K1159" s="1" t="inlineStr">
        <is>
          <t>Yes</t>
        </is>
      </c>
      <c r="L1159" s="1" t="inlineStr">
        <is>
          <t>No</t>
        </is>
      </c>
      <c r="M1159" s="1" t="inlineStr">
        <is>
          <t>No</t>
        </is>
      </c>
      <c r="N1159" s="1" t="inlineStr">
        <is>
          <t>Algorithms</t>
        </is>
      </c>
      <c r="O11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59" s="13" t="inlineStr">
        <is>
          <t>Done</t>
        </is>
      </c>
    </row>
    <row r="1160" ht="15.75" customHeight="1" s="12">
      <c r="A1160" s="1" t="n">
        <v>1508</v>
      </c>
      <c r="B1160" s="3">
        <f>HYPERLINK("https://leetcode.com/problems/range-sum-of-sorted-subarray-sums/", "Range Sum of Sorted Subarray Sums")</f>
        <v/>
      </c>
      <c r="C1160" s="1" t="n">
        <v>1611</v>
      </c>
      <c r="D1160" s="1" t="n">
        <v>269</v>
      </c>
      <c r="E1160" s="4">
        <f>IF(INDEX(C:C, ROW())+INDEX(D:D, ROW())=0, 0, INDEX(C:C, ROW())/(INDEX(C:C, ROW())+INDEX(D:D, ROW())))</f>
        <v/>
      </c>
      <c r="F1160" s="1" t="inlineStr">
        <is>
          <t>Array, Two Pointers, Binary Search, Sorting, Prefix Sum</t>
        </is>
      </c>
      <c r="G1160" s="1" t="inlineStr">
        <is>
          <t>Medium</t>
        </is>
      </c>
      <c r="H1160" s="1" t="n">
        <v>187233</v>
      </c>
      <c r="I1160" s="1" t="n">
        <v>296980</v>
      </c>
      <c r="J1160" s="9" t="n">
        <v>0.63</v>
      </c>
      <c r="K1160" s="1" t="inlineStr">
        <is>
          <t>Yes</t>
        </is>
      </c>
      <c r="L1160" s="1" t="inlineStr">
        <is>
          <t>Yes</t>
        </is>
      </c>
      <c r="M1160" s="1" t="inlineStr">
        <is>
          <t>No</t>
        </is>
      </c>
      <c r="N1160" s="1" t="inlineStr">
        <is>
          <t>Algorithms</t>
        </is>
      </c>
      <c r="O11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60" s="11" t="inlineStr">
        <is>
          <t>To Do</t>
        </is>
      </c>
    </row>
    <row r="1161" ht="15.75" customHeight="1" s="12">
      <c r="A1161" s="1" t="n">
        <v>487</v>
      </c>
      <c r="B1161" s="3">
        <f>HYPERLINK("https://leetcode.com/problems/max-consecutive-ones-ii/", "Max Consecutive Ones II")</f>
        <v/>
      </c>
      <c r="C1161" s="1" t="n">
        <v>1609</v>
      </c>
      <c r="D1161" s="1" t="n">
        <v>27</v>
      </c>
      <c r="E1161" s="4">
        <f>IF(INDEX(C:C, ROW())+INDEX(D:D, ROW())=0, 0, INDEX(C:C, ROW())/(INDEX(C:C, ROW())+INDEX(D:D, ROW())))</f>
        <v/>
      </c>
      <c r="F1161" s="1" t="inlineStr">
        <is>
          <t>Array, Dynamic Programming, Sliding Window</t>
        </is>
      </c>
      <c r="G1161" s="1" t="inlineStr">
        <is>
          <t>Medium</t>
        </is>
      </c>
      <c r="H1161" s="1" t="n">
        <v>184195</v>
      </c>
      <c r="I1161" s="1" t="n">
        <v>354076</v>
      </c>
      <c r="J1161" s="9" t="n">
        <v>0.52</v>
      </c>
      <c r="K1161" s="1" t="inlineStr">
        <is>
          <t>No</t>
        </is>
      </c>
      <c r="L1161" s="1" t="inlineStr">
        <is>
          <t>Yes</t>
        </is>
      </c>
      <c r="M1161" s="1" t="inlineStr">
        <is>
          <t>No</t>
        </is>
      </c>
      <c r="N1161" s="1" t="inlineStr">
        <is>
          <t>Algorithms</t>
        </is>
      </c>
      <c r="O11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61" s="11" t="inlineStr">
        <is>
          <t>To Do</t>
        </is>
      </c>
    </row>
    <row r="1162" ht="15.75" customHeight="1" s="12">
      <c r="A1162" s="1" t="n">
        <v>577</v>
      </c>
      <c r="B1162" s="3">
        <f>HYPERLINK("https://leetcode.com/problems/employee-bonus/", "Employee Bonus")</f>
        <v/>
      </c>
      <c r="C1162" s="1" t="n">
        <v>1608</v>
      </c>
      <c r="D1162" s="1" t="n">
        <v>302</v>
      </c>
      <c r="E1162" s="4">
        <f>IF(INDEX(C:C, ROW())+INDEX(D:D, ROW())=0, 0, INDEX(C:C, ROW())/(INDEX(C:C, ROW())+INDEX(D:D, ROW())))</f>
        <v/>
      </c>
      <c r="F1162" s="1" t="inlineStr">
        <is>
          <t>Database</t>
        </is>
      </c>
      <c r="G1162" s="1" t="inlineStr">
        <is>
          <t>Easy</t>
        </is>
      </c>
      <c r="H1162" s="1" t="n">
        <v>1079376</v>
      </c>
      <c r="I1162" s="1" t="n">
        <v>1394772</v>
      </c>
      <c r="J1162" s="9" t="n">
        <v>0.774</v>
      </c>
      <c r="K1162" s="1" t="inlineStr">
        <is>
          <t>Yes</t>
        </is>
      </c>
      <c r="L1162" s="1" t="inlineStr">
        <is>
          <t>Yes</t>
        </is>
      </c>
      <c r="M1162" s="1" t="inlineStr">
        <is>
          <t>No</t>
        </is>
      </c>
      <c r="N1162" s="1" t="inlineStr">
        <is>
          <t>Database</t>
        </is>
      </c>
      <c r="O11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62" s="13" t="inlineStr">
        <is>
          <t>Done</t>
        </is>
      </c>
    </row>
    <row r="1163" ht="15.75" customHeight="1" s="12">
      <c r="A1163" s="1" t="n">
        <v>1114</v>
      </c>
      <c r="B1163" s="3">
        <f>HYPERLINK("https://leetcode.com/problems/print-in-order/", "Print in Order")</f>
        <v/>
      </c>
      <c r="C1163" s="1" t="n">
        <v>1607</v>
      </c>
      <c r="D1163" s="1" t="n">
        <v>221</v>
      </c>
      <c r="E1163" s="4">
        <f>IF(INDEX(C:C, ROW())+INDEX(D:D, ROW())=0, 0, INDEX(C:C, ROW())/(INDEX(C:C, ROW())+INDEX(D:D, ROW())))</f>
        <v/>
      </c>
      <c r="F1163" s="1" t="inlineStr">
        <is>
          <t>Concurrency</t>
        </is>
      </c>
      <c r="G1163" s="1" t="inlineStr">
        <is>
          <t>Easy</t>
        </is>
      </c>
      <c r="H1163" s="1" t="n">
        <v>239757</v>
      </c>
      <c r="I1163" s="1" t="n">
        <v>328765</v>
      </c>
      <c r="J1163" s="9" t="n">
        <v>0.729</v>
      </c>
      <c r="K1163" s="1" t="inlineStr">
        <is>
          <t>Yes</t>
        </is>
      </c>
      <c r="L1163" s="1" t="inlineStr">
        <is>
          <t>Yes</t>
        </is>
      </c>
      <c r="M1163" s="1" t="inlineStr">
        <is>
          <t>No</t>
        </is>
      </c>
      <c r="N1163" s="1" t="inlineStr">
        <is>
          <t>Concurrency</t>
        </is>
      </c>
      <c r="O11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63" s="13" t="inlineStr">
        <is>
          <t>Done</t>
        </is>
      </c>
    </row>
    <row r="1164" ht="15.75" customHeight="1" s="12">
      <c r="A1164" s="1" t="n">
        <v>1269</v>
      </c>
      <c r="B1164" s="3">
        <f>HYPERLINK("https://leetcode.com/problems/number-of-ways-to-stay-in-the-same-place-after-some-steps/", "Number of Ways to Stay in the Same Place After Some Steps")</f>
        <v/>
      </c>
      <c r="C1164" s="1" t="n">
        <v>1605</v>
      </c>
      <c r="D1164" s="1" t="n">
        <v>67</v>
      </c>
      <c r="E1164" s="4">
        <f>IF(INDEX(C:C, ROW())+INDEX(D:D, ROW())=0, 0, INDEX(C:C, ROW())/(INDEX(C:C, ROW())+INDEX(D:D, ROW())))</f>
        <v/>
      </c>
      <c r="F1164" s="1" t="inlineStr">
        <is>
          <t>Dynamic Programming</t>
        </is>
      </c>
      <c r="G1164" s="1" t="inlineStr">
        <is>
          <t>Hard</t>
        </is>
      </c>
      <c r="H1164" s="1" t="n">
        <v>103897</v>
      </c>
      <c r="I1164" s="1" t="n">
        <v>207235</v>
      </c>
      <c r="J1164" s="9" t="n">
        <v>0.501</v>
      </c>
      <c r="K1164" s="1" t="inlineStr">
        <is>
          <t>Yes</t>
        </is>
      </c>
      <c r="L1164" s="1" t="inlineStr">
        <is>
          <t>Yes</t>
        </is>
      </c>
      <c r="M1164" s="1" t="inlineStr">
        <is>
          <t>No</t>
        </is>
      </c>
      <c r="N1164" s="1" t="inlineStr">
        <is>
          <t>Algorithms</t>
        </is>
      </c>
      <c r="O11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64" s="11" t="inlineStr">
        <is>
          <t>To Do</t>
        </is>
      </c>
    </row>
    <row r="1165" ht="15.75" customHeight="1" s="12">
      <c r="A1165" s="1" t="n">
        <v>1781</v>
      </c>
      <c r="B1165" s="3">
        <f>HYPERLINK("https://leetcode.com/problems/sum-of-beauty-of-all-substrings/", "Sum of Beauty of All Substrings")</f>
        <v/>
      </c>
      <c r="C1165" s="1" t="n">
        <v>1603</v>
      </c>
      <c r="D1165" s="1" t="n">
        <v>222</v>
      </c>
      <c r="E1165" s="4">
        <f>IF(INDEX(C:C, ROW())+INDEX(D:D, ROW())=0, 0, INDEX(C:C, ROW())/(INDEX(C:C, ROW())+INDEX(D:D, ROW())))</f>
        <v/>
      </c>
      <c r="F1165" s="1" t="inlineStr">
        <is>
          <t>Hash Table, String, Counting</t>
        </is>
      </c>
      <c r="G1165" s="1" t="inlineStr">
        <is>
          <t>Medium</t>
        </is>
      </c>
      <c r="H1165" s="1" t="n">
        <v>187965</v>
      </c>
      <c r="I1165" s="1" t="n">
        <v>254251</v>
      </c>
      <c r="J1165" s="9" t="n">
        <v>0.739</v>
      </c>
      <c r="K1165" s="1" t="inlineStr">
        <is>
          <t>Yes</t>
        </is>
      </c>
      <c r="L1165" s="1" t="inlineStr">
        <is>
          <t>No</t>
        </is>
      </c>
      <c r="M1165" s="1" t="inlineStr">
        <is>
          <t>No</t>
        </is>
      </c>
      <c r="N1165" s="1" t="inlineStr">
        <is>
          <t>Algorithms</t>
        </is>
      </c>
      <c r="O11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65" s="11" t="inlineStr">
        <is>
          <t>To Do</t>
        </is>
      </c>
    </row>
    <row r="1166" ht="15.75" customHeight="1" s="12">
      <c r="A1166" s="1" t="n">
        <v>715</v>
      </c>
      <c r="B1166" s="3">
        <f>HYPERLINK("https://leetcode.com/problems/range-module/", "Range Module")</f>
        <v/>
      </c>
      <c r="C1166" s="1" t="n">
        <v>1602</v>
      </c>
      <c r="D1166" s="1" t="n">
        <v>141</v>
      </c>
      <c r="E1166" s="4">
        <f>IF(INDEX(C:C, ROW())+INDEX(D:D, ROW())=0, 0, INDEX(C:C, ROW())/(INDEX(C:C, ROW())+INDEX(D:D, ROW())))</f>
        <v/>
      </c>
      <c r="F1166" s="1" t="inlineStr">
        <is>
          <t>Design, Segment Tree, Ordered Set</t>
        </is>
      </c>
      <c r="G1166" s="1" t="inlineStr">
        <is>
          <t>Hard</t>
        </is>
      </c>
      <c r="H1166" s="1" t="n">
        <v>94839</v>
      </c>
      <c r="I1166" s="1" t="n">
        <v>210842</v>
      </c>
      <c r="J1166" s="9" t="n">
        <v>0.45</v>
      </c>
      <c r="K1166" s="1" t="inlineStr">
        <is>
          <t>Yes</t>
        </is>
      </c>
      <c r="L1166" s="1" t="inlineStr">
        <is>
          <t>Yes</t>
        </is>
      </c>
      <c r="M1166" s="1" t="inlineStr">
        <is>
          <t>No</t>
        </is>
      </c>
      <c r="N1166" s="1" t="inlineStr">
        <is>
          <t>Algorithms</t>
        </is>
      </c>
      <c r="O11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66" s="11" t="inlineStr">
        <is>
          <t>To Do</t>
        </is>
      </c>
    </row>
    <row r="1167" ht="15.75" customHeight="1" s="12">
      <c r="A1167" s="1" t="n">
        <v>969</v>
      </c>
      <c r="B1167" s="3">
        <f>HYPERLINK("https://leetcode.com/problems/pancake-sorting/", "Pancake Sorting")</f>
        <v/>
      </c>
      <c r="C1167" s="1" t="n">
        <v>1602</v>
      </c>
      <c r="D1167" s="1" t="n">
        <v>1561</v>
      </c>
      <c r="E1167" s="4">
        <f>IF(INDEX(C:C, ROW())+INDEX(D:D, ROW())=0, 0, INDEX(C:C, ROW())/(INDEX(C:C, ROW())+INDEX(D:D, ROW())))</f>
        <v/>
      </c>
      <c r="F1167" s="1" t="inlineStr">
        <is>
          <t>Array, Two Pointers, Greedy, Sorting</t>
        </is>
      </c>
      <c r="G1167" s="1" t="inlineStr">
        <is>
          <t>Medium</t>
        </is>
      </c>
      <c r="H1167" s="1" t="n">
        <v>114720</v>
      </c>
      <c r="I1167" s="1" t="n">
        <v>159786</v>
      </c>
      <c r="J1167" s="9" t="n">
        <v>0.718</v>
      </c>
      <c r="K1167" s="1" t="inlineStr">
        <is>
          <t>Yes</t>
        </is>
      </c>
      <c r="L1167" s="1" t="inlineStr">
        <is>
          <t>Yes</t>
        </is>
      </c>
      <c r="M1167" s="1" t="inlineStr">
        <is>
          <t>No</t>
        </is>
      </c>
      <c r="N1167" s="1" t="inlineStr">
        <is>
          <t>Algorithms</t>
        </is>
      </c>
      <c r="O11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67" s="11" t="inlineStr">
        <is>
          <t>To Do</t>
        </is>
      </c>
    </row>
    <row r="1168" ht="15.75" customHeight="1" s="12">
      <c r="A1168" s="1" t="n">
        <v>811</v>
      </c>
      <c r="B1168" s="3">
        <f>HYPERLINK("https://leetcode.com/problems/subdomain-visit-count/", "Subdomain Visit Count")</f>
        <v/>
      </c>
      <c r="C1168" s="1" t="n">
        <v>1601</v>
      </c>
      <c r="D1168" s="1" t="n">
        <v>1308</v>
      </c>
      <c r="E1168" s="4">
        <f>IF(INDEX(C:C, ROW())+INDEX(D:D, ROW())=0, 0, INDEX(C:C, ROW())/(INDEX(C:C, ROW())+INDEX(D:D, ROW())))</f>
        <v/>
      </c>
      <c r="F1168" s="1" t="inlineStr">
        <is>
          <t>Array, Hash Table, String, Counting</t>
        </is>
      </c>
      <c r="G1168" s="1" t="inlineStr">
        <is>
          <t>Medium</t>
        </is>
      </c>
      <c r="H1168" s="1" t="n">
        <v>263361</v>
      </c>
      <c r="I1168" s="1" t="n">
        <v>341108</v>
      </c>
      <c r="J1168" s="9" t="n">
        <v>0.772</v>
      </c>
      <c r="K1168" s="1" t="inlineStr">
        <is>
          <t>Yes</t>
        </is>
      </c>
      <c r="L1168" s="1" t="inlineStr">
        <is>
          <t>Yes</t>
        </is>
      </c>
      <c r="M1168" s="1" t="inlineStr">
        <is>
          <t>No</t>
        </is>
      </c>
      <c r="N1168" s="1" t="inlineStr">
        <is>
          <t>Algorithms</t>
        </is>
      </c>
      <c r="O11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68" s="11" t="inlineStr">
        <is>
          <t>To Do</t>
        </is>
      </c>
    </row>
    <row r="1169" ht="15.75" customHeight="1" s="12">
      <c r="A1169" s="1" t="n">
        <v>1392</v>
      </c>
      <c r="B1169" s="3">
        <f>HYPERLINK("https://leetcode.com/problems/longest-happy-prefix/", "Longest Happy Prefix")</f>
        <v/>
      </c>
      <c r="C1169" s="1" t="n">
        <v>1599</v>
      </c>
      <c r="D1169" s="1" t="n">
        <v>49</v>
      </c>
      <c r="E1169" s="4">
        <f>IF(INDEX(C:C, ROW())+INDEX(D:D, ROW())=0, 0, INDEX(C:C, ROW())/(INDEX(C:C, ROW())+INDEX(D:D, ROW())))</f>
        <v/>
      </c>
      <c r="F1169" s="1" t="inlineStr">
        <is>
          <t>String, Rolling Hash, String Matching, Hash Function</t>
        </is>
      </c>
      <c r="G1169" s="1" t="inlineStr">
        <is>
          <t>Hard</t>
        </is>
      </c>
      <c r="H1169" s="1" t="n">
        <v>102211</v>
      </c>
      <c r="I1169" s="1" t="n">
        <v>192793</v>
      </c>
      <c r="J1169" s="9" t="n">
        <v>0.53</v>
      </c>
      <c r="K1169" s="1" t="inlineStr">
        <is>
          <t>Yes</t>
        </is>
      </c>
      <c r="L1169" s="1" t="inlineStr">
        <is>
          <t>No</t>
        </is>
      </c>
      <c r="M1169" s="1" t="inlineStr">
        <is>
          <t>No</t>
        </is>
      </c>
      <c r="N1169" s="1" t="inlineStr">
        <is>
          <t>Algorithms</t>
        </is>
      </c>
      <c r="O11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69" s="11" t="inlineStr">
        <is>
          <t>To Do</t>
        </is>
      </c>
    </row>
    <row r="1170" ht="15.75" customHeight="1" s="12">
      <c r="A1170" s="1" t="n">
        <v>1934</v>
      </c>
      <c r="B1170" s="3">
        <f>HYPERLINK("https://leetcode.com/problems/confirmation-rate/", "Confirmation Rate")</f>
        <v/>
      </c>
      <c r="C1170" s="1" t="n">
        <v>1597</v>
      </c>
      <c r="D1170" s="1" t="n">
        <v>134</v>
      </c>
      <c r="E1170" s="4">
        <f>IF(INDEX(C:C, ROW())+INDEX(D:D, ROW())=0, 0, INDEX(C:C, ROW())/(INDEX(C:C, ROW())+INDEX(D:D, ROW())))</f>
        <v/>
      </c>
      <c r="F1170" s="1" t="inlineStr">
        <is>
          <t>Database</t>
        </is>
      </c>
      <c r="G1170" s="1" t="inlineStr">
        <is>
          <t>Medium</t>
        </is>
      </c>
      <c r="H1170" s="1" t="n">
        <v>607368</v>
      </c>
      <c r="I1170" s="1" t="n">
        <v>981168</v>
      </c>
      <c r="J1170" s="9" t="n">
        <v>0.619</v>
      </c>
      <c r="K1170" s="1" t="inlineStr">
        <is>
          <t>Yes</t>
        </is>
      </c>
      <c r="L1170" s="1" t="inlineStr">
        <is>
          <t>No</t>
        </is>
      </c>
      <c r="M1170" s="1" t="inlineStr">
        <is>
          <t>No</t>
        </is>
      </c>
      <c r="N1170" s="1" t="inlineStr">
        <is>
          <t>Database</t>
        </is>
      </c>
      <c r="O11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70" s="11" t="inlineStr">
        <is>
          <t>To Do</t>
        </is>
      </c>
    </row>
    <row r="1171" ht="15.75" customHeight="1" s="12">
      <c r="A1171" s="1" t="n">
        <v>1855</v>
      </c>
      <c r="B1171" s="3">
        <f>HYPERLINK("https://leetcode.com/problems/maximum-distance-between-a-pair-of-values/", "Maximum Distance Between a Pair of Values")</f>
        <v/>
      </c>
      <c r="C1171" s="1" t="n">
        <v>1593</v>
      </c>
      <c r="D1171" s="1" t="n">
        <v>37</v>
      </c>
      <c r="E1171" s="4">
        <f>IF(INDEX(C:C, ROW())+INDEX(D:D, ROW())=0, 0, INDEX(C:C, ROW())/(INDEX(C:C, ROW())+INDEX(D:D, ROW())))</f>
        <v/>
      </c>
      <c r="F1171" s="1" t="inlineStr">
        <is>
          <t>Array, Two Pointers, Binary Search</t>
        </is>
      </c>
      <c r="G1171" s="1" t="inlineStr">
        <is>
          <t>Medium</t>
        </is>
      </c>
      <c r="H1171" s="1" t="n">
        <v>164171</v>
      </c>
      <c r="I1171" s="1" t="n">
        <v>267487</v>
      </c>
      <c r="J1171" s="9" t="n">
        <v>0.614</v>
      </c>
      <c r="K1171" s="1" t="inlineStr">
        <is>
          <t>Yes</t>
        </is>
      </c>
      <c r="L1171" s="1" t="inlineStr">
        <is>
          <t>Yes</t>
        </is>
      </c>
      <c r="M1171" s="1" t="inlineStr">
        <is>
          <t>No</t>
        </is>
      </c>
      <c r="N1171" s="1" t="inlineStr">
        <is>
          <t>Algorithms</t>
        </is>
      </c>
      <c r="O11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71" s="11" t="inlineStr">
        <is>
          <t>To Do</t>
        </is>
      </c>
    </row>
    <row r="1172" ht="15.75" customHeight="1" s="12">
      <c r="A1172" s="1" t="n">
        <v>514</v>
      </c>
      <c r="B1172" s="3">
        <f>HYPERLINK("https://leetcode.com/problems/freedom-trail/", "Freedom Trail")</f>
        <v/>
      </c>
      <c r="C1172" s="1" t="n">
        <v>1592</v>
      </c>
      <c r="D1172" s="1" t="n">
        <v>82</v>
      </c>
      <c r="E1172" s="4">
        <f>IF(INDEX(C:C, ROW())+INDEX(D:D, ROW())=0, 0, INDEX(C:C, ROW())/(INDEX(C:C, ROW())+INDEX(D:D, ROW())))</f>
        <v/>
      </c>
      <c r="F1172" s="1" t="inlineStr">
        <is>
          <t>String, Dynamic Programming, Depth-First Search, Breadth-First Search</t>
        </is>
      </c>
      <c r="G1172" s="1" t="inlineStr">
        <is>
          <t>Hard</t>
        </is>
      </c>
      <c r="H1172" s="1" t="n">
        <v>124962</v>
      </c>
      <c r="I1172" s="1" t="n">
        <v>210585</v>
      </c>
      <c r="J1172" s="9" t="n">
        <v>0.593</v>
      </c>
      <c r="K1172" s="1" t="inlineStr">
        <is>
          <t>Yes</t>
        </is>
      </c>
      <c r="L1172" s="1" t="inlineStr">
        <is>
          <t>Yes</t>
        </is>
      </c>
      <c r="M1172" s="1" t="inlineStr">
        <is>
          <t>No</t>
        </is>
      </c>
      <c r="N1172" s="1" t="inlineStr">
        <is>
          <t>Algorithms</t>
        </is>
      </c>
      <c r="O11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72" s="11" t="inlineStr">
        <is>
          <t>To Do</t>
        </is>
      </c>
    </row>
    <row r="1173" ht="15.75" customHeight="1" s="12">
      <c r="A1173" s="1" t="n">
        <v>1913</v>
      </c>
      <c r="B1173" s="3">
        <f>HYPERLINK("https://leetcode.com/problems/maximum-product-difference-between-two-pairs/", "Maximum Product Difference Between Two Pairs")</f>
        <v/>
      </c>
      <c r="C1173" s="1" t="n">
        <v>1589</v>
      </c>
      <c r="D1173" s="1" t="n">
        <v>69</v>
      </c>
      <c r="E1173" s="4">
        <f>IF(INDEX(C:C, ROW())+INDEX(D:D, ROW())=0, 0, INDEX(C:C, ROW())/(INDEX(C:C, ROW())+INDEX(D:D, ROW())))</f>
        <v/>
      </c>
      <c r="F1173" s="1" t="inlineStr">
        <is>
          <t>Array, Sorting</t>
        </is>
      </c>
      <c r="G1173" s="1" t="inlineStr">
        <is>
          <t>Easy</t>
        </is>
      </c>
      <c r="H1173" s="1" t="n">
        <v>298760</v>
      </c>
      <c r="I1173" s="1" t="n">
        <v>359731</v>
      </c>
      <c r="J1173" s="9" t="n">
        <v>0.831</v>
      </c>
      <c r="K1173" s="1" t="inlineStr">
        <is>
          <t>Yes</t>
        </is>
      </c>
      <c r="L1173" s="1" t="inlineStr">
        <is>
          <t>Yes</t>
        </is>
      </c>
      <c r="M1173" s="1" t="inlineStr">
        <is>
          <t>No</t>
        </is>
      </c>
      <c r="N1173" s="1" t="inlineStr">
        <is>
          <t>Algorithms</t>
        </is>
      </c>
      <c r="O11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73" s="13" t="inlineStr">
        <is>
          <t>Done</t>
        </is>
      </c>
    </row>
    <row r="1174" ht="15.75" customHeight="1" s="12">
      <c r="A1174" s="1" t="n">
        <v>780</v>
      </c>
      <c r="B1174" s="3">
        <f>HYPERLINK("https://leetcode.com/problems/reaching-points/", "Reaching Points")</f>
        <v/>
      </c>
      <c r="C1174" s="1" t="n">
        <v>1588</v>
      </c>
      <c r="D1174" s="1" t="n">
        <v>239</v>
      </c>
      <c r="E1174" s="4">
        <f>IF(INDEX(C:C, ROW())+INDEX(D:D, ROW())=0, 0, INDEX(C:C, ROW())/(INDEX(C:C, ROW())+INDEX(D:D, ROW())))</f>
        <v/>
      </c>
      <c r="F1174" s="1" t="inlineStr">
        <is>
          <t>Math</t>
        </is>
      </c>
      <c r="G1174" s="1" t="inlineStr">
        <is>
          <t>Hard</t>
        </is>
      </c>
      <c r="H1174" s="1" t="n">
        <v>81803</v>
      </c>
      <c r="I1174" s="1" t="n">
        <v>238082</v>
      </c>
      <c r="J1174" s="9" t="n">
        <v>0.344</v>
      </c>
      <c r="K1174" s="1" t="inlineStr">
        <is>
          <t>Yes</t>
        </is>
      </c>
      <c r="L1174" s="1" t="inlineStr">
        <is>
          <t>Yes</t>
        </is>
      </c>
      <c r="M1174" s="1" t="inlineStr">
        <is>
          <t>No</t>
        </is>
      </c>
      <c r="N1174" s="1" t="inlineStr">
        <is>
          <t>Algorithms</t>
        </is>
      </c>
      <c r="O11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74" s="11" t="inlineStr">
        <is>
          <t>To Do</t>
        </is>
      </c>
    </row>
    <row r="1175" ht="15.75" customHeight="1" s="12">
      <c r="A1175" s="1" t="n">
        <v>1759</v>
      </c>
      <c r="B1175" s="3">
        <f>HYPERLINK("https://leetcode.com/problems/count-number-of-homogenous-substrings/", "Count Number of Homogenous Substrings")</f>
        <v/>
      </c>
      <c r="C1175" s="1" t="n">
        <v>1588</v>
      </c>
      <c r="D1175" s="1" t="n">
        <v>104</v>
      </c>
      <c r="E1175" s="4">
        <f>IF(INDEX(C:C, ROW())+INDEX(D:D, ROW())=0, 0, INDEX(C:C, ROW())/(INDEX(C:C, ROW())+INDEX(D:D, ROW())))</f>
        <v/>
      </c>
      <c r="F1175" s="1" t="inlineStr">
        <is>
          <t>Math, String</t>
        </is>
      </c>
      <c r="G1175" s="1" t="inlineStr">
        <is>
          <t>Medium</t>
        </is>
      </c>
      <c r="H1175" s="1" t="n">
        <v>132825</v>
      </c>
      <c r="I1175" s="1" t="n">
        <v>231555</v>
      </c>
      <c r="J1175" s="9" t="n">
        <v>0.574</v>
      </c>
      <c r="K1175" s="1" t="inlineStr">
        <is>
          <t>Yes</t>
        </is>
      </c>
      <c r="L1175" s="1" t="inlineStr">
        <is>
          <t>Yes</t>
        </is>
      </c>
      <c r="M1175" s="1" t="inlineStr">
        <is>
          <t>No</t>
        </is>
      </c>
      <c r="N1175" s="1" t="inlineStr">
        <is>
          <t>Algorithms</t>
        </is>
      </c>
      <c r="O11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75" s="11" t="inlineStr">
        <is>
          <t>To Do</t>
        </is>
      </c>
    </row>
    <row r="1176" ht="15.75" customHeight="1" s="12">
      <c r="A1176" s="1" t="n">
        <v>2236</v>
      </c>
      <c r="B1176" s="3">
        <f>HYPERLINK("https://leetcode.com/problems/root-equals-sum-of-children/", "Root Equals Sum of Children")</f>
        <v/>
      </c>
      <c r="C1176" s="1" t="n">
        <v>1588</v>
      </c>
      <c r="D1176" s="1" t="n">
        <v>1650</v>
      </c>
      <c r="E1176" s="4">
        <f>IF(INDEX(C:C, ROW())+INDEX(D:D, ROW())=0, 0, INDEX(C:C, ROW())/(INDEX(C:C, ROW())+INDEX(D:D, ROW())))</f>
        <v/>
      </c>
      <c r="F1176" s="1" t="inlineStr">
        <is>
          <t>Tree, Binary Tree</t>
        </is>
      </c>
      <c r="G1176" s="1" t="inlineStr">
        <is>
          <t>Easy</t>
        </is>
      </c>
      <c r="H1176" s="1" t="n">
        <v>353626</v>
      </c>
      <c r="I1176" s="1" t="n">
        <v>416349</v>
      </c>
      <c r="J1176" s="9" t="n">
        <v>0.849</v>
      </c>
      <c r="K1176" s="1" t="inlineStr">
        <is>
          <t>Yes</t>
        </is>
      </c>
      <c r="L1176" s="1" t="inlineStr">
        <is>
          <t>No</t>
        </is>
      </c>
      <c r="M1176" s="1" t="inlineStr">
        <is>
          <t>No</t>
        </is>
      </c>
      <c r="N1176" s="1" t="inlineStr">
        <is>
          <t>Algorithms</t>
        </is>
      </c>
      <c r="O11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76" s="13" t="inlineStr">
        <is>
          <t>Done</t>
        </is>
      </c>
    </row>
    <row r="1177" ht="15.75" customHeight="1" s="12">
      <c r="A1177" s="1" t="n">
        <v>2529</v>
      </c>
      <c r="B1177" s="3">
        <f>HYPERLINK("https://leetcode.com/problems/maximum-count-of-positive-integer-and-negative-integer/", "Maximum Count of Positive Integer and Negative Integer")</f>
        <v/>
      </c>
      <c r="C1177" s="1" t="n">
        <v>1588</v>
      </c>
      <c r="D1177" s="1" t="n">
        <v>90</v>
      </c>
      <c r="E1177" s="4">
        <f>IF(INDEX(C:C, ROW())+INDEX(D:D, ROW())=0, 0, INDEX(C:C, ROW())/(INDEX(C:C, ROW())+INDEX(D:D, ROW())))</f>
        <v/>
      </c>
      <c r="F1177" s="1" t="inlineStr">
        <is>
          <t>Array, Binary Search, Counting</t>
        </is>
      </c>
      <c r="G1177" s="1" t="inlineStr">
        <is>
          <t>Easy</t>
        </is>
      </c>
      <c r="H1177" s="1" t="n">
        <v>365302</v>
      </c>
      <c r="I1177" s="1" t="n">
        <v>491768</v>
      </c>
      <c r="J1177" s="9" t="n">
        <v>0.743</v>
      </c>
      <c r="K1177" s="1" t="inlineStr">
        <is>
          <t>Yes</t>
        </is>
      </c>
      <c r="L1177" s="1" t="inlineStr">
        <is>
          <t>Yes</t>
        </is>
      </c>
      <c r="M1177" s="1" t="inlineStr">
        <is>
          <t>No</t>
        </is>
      </c>
      <c r="N1177" s="1" t="inlineStr">
        <is>
          <t>Algorithms</t>
        </is>
      </c>
      <c r="O11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77" s="13" t="inlineStr">
        <is>
          <t>Done</t>
        </is>
      </c>
    </row>
    <row r="1178" ht="15.75" customHeight="1" s="12">
      <c r="A1178" s="1" t="n">
        <v>271</v>
      </c>
      <c r="B1178" s="3">
        <f>HYPERLINK("https://leetcode.com/problems/encode-and-decode-strings/", "Encode and Decode Strings")</f>
        <v/>
      </c>
      <c r="C1178" s="1" t="n">
        <v>1585</v>
      </c>
      <c r="D1178" s="1" t="n">
        <v>454</v>
      </c>
      <c r="E1178" s="4">
        <f>IF(INDEX(C:C, ROW())+INDEX(D:D, ROW())=0, 0, INDEX(C:C, ROW())/(INDEX(C:C, ROW())+INDEX(D:D, ROW())))</f>
        <v/>
      </c>
      <c r="F1178" s="1" t="inlineStr">
        <is>
          <t>Array, String, Design</t>
        </is>
      </c>
      <c r="G1178" s="1" t="inlineStr">
        <is>
          <t>Medium</t>
        </is>
      </c>
      <c r="H1178" s="1" t="n">
        <v>306584</v>
      </c>
      <c r="I1178" s="1" t="n">
        <v>595015</v>
      </c>
      <c r="J1178" s="9" t="n">
        <v>0.515</v>
      </c>
      <c r="K1178" s="1" t="inlineStr">
        <is>
          <t>No</t>
        </is>
      </c>
      <c r="L1178" s="1" t="inlineStr">
        <is>
          <t>Yes</t>
        </is>
      </c>
      <c r="M1178" s="1" t="inlineStr">
        <is>
          <t>No</t>
        </is>
      </c>
      <c r="N1178" s="1" t="inlineStr">
        <is>
          <t>Algorithms</t>
        </is>
      </c>
      <c r="O11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78" s="11" t="inlineStr">
        <is>
          <t>To Do</t>
        </is>
      </c>
    </row>
    <row r="1179" ht="15.75" customHeight="1" s="12">
      <c r="A1179" s="1" t="n">
        <v>588</v>
      </c>
      <c r="B1179" s="3">
        <f>HYPERLINK("https://leetcode.com/problems/design-in-memory-file-system/", "Design In-Memory File System")</f>
        <v/>
      </c>
      <c r="C1179" s="1" t="n">
        <v>1584</v>
      </c>
      <c r="D1179" s="1" t="n">
        <v>176</v>
      </c>
      <c r="E1179" s="4">
        <f>IF(INDEX(C:C, ROW())+INDEX(D:D, ROW())=0, 0, INDEX(C:C, ROW())/(INDEX(C:C, ROW())+INDEX(D:D, ROW())))</f>
        <v/>
      </c>
      <c r="F1179" s="1" t="inlineStr">
        <is>
          <t>Hash Table, String, Design, Trie, Sorting</t>
        </is>
      </c>
      <c r="G1179" s="1" t="inlineStr">
        <is>
          <t>Hard</t>
        </is>
      </c>
      <c r="H1179" s="1" t="n">
        <v>141189</v>
      </c>
      <c r="I1179" s="1" t="n">
        <v>291826</v>
      </c>
      <c r="J1179" s="9" t="n">
        <v>0.484</v>
      </c>
      <c r="K1179" s="1" t="inlineStr">
        <is>
          <t>No</t>
        </is>
      </c>
      <c r="L1179" s="1" t="inlineStr">
        <is>
          <t>Yes</t>
        </is>
      </c>
      <c r="M1179" s="1" t="inlineStr">
        <is>
          <t>No</t>
        </is>
      </c>
      <c r="N1179" s="1" t="inlineStr">
        <is>
          <t>Algorithms</t>
        </is>
      </c>
      <c r="O11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79" s="11" t="inlineStr">
        <is>
          <t>To Do</t>
        </is>
      </c>
    </row>
    <row r="1180" ht="15.75" customHeight="1" s="12">
      <c r="A1180" s="1" t="n">
        <v>1503</v>
      </c>
      <c r="B1180" s="3">
        <f>HYPERLINK("https://leetcode.com/problems/last-moment-before-all-ants-fall-out-of-a-plank/", "Last Moment Before All Ants Fall Out of a Plank")</f>
        <v/>
      </c>
      <c r="C1180" s="1" t="n">
        <v>1583</v>
      </c>
      <c r="D1180" s="1" t="n">
        <v>440</v>
      </c>
      <c r="E1180" s="4">
        <f>IF(INDEX(C:C, ROW())+INDEX(D:D, ROW())=0, 0, INDEX(C:C, ROW())/(INDEX(C:C, ROW())+INDEX(D:D, ROW())))</f>
        <v/>
      </c>
      <c r="F1180" s="1" t="inlineStr">
        <is>
          <t>Array, Brainteaser, Simulation</t>
        </is>
      </c>
      <c r="G1180" s="1" t="inlineStr">
        <is>
          <t>Medium</t>
        </is>
      </c>
      <c r="H1180" s="1" t="n">
        <v>99510</v>
      </c>
      <c r="I1180" s="1" t="n">
        <v>145978</v>
      </c>
      <c r="J1180" s="9" t="n">
        <v>0.6820000000000001</v>
      </c>
      <c r="K1180" s="1" t="inlineStr">
        <is>
          <t>Yes</t>
        </is>
      </c>
      <c r="L1180" s="1" t="inlineStr">
        <is>
          <t>Yes</t>
        </is>
      </c>
      <c r="M1180" s="1" t="inlineStr">
        <is>
          <t>No</t>
        </is>
      </c>
      <c r="N1180" s="1" t="inlineStr">
        <is>
          <t>Algorithms</t>
        </is>
      </c>
      <c r="O11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80" s="11" t="inlineStr">
        <is>
          <t>To Do</t>
        </is>
      </c>
    </row>
    <row r="1181" ht="15.75" customHeight="1" s="12">
      <c r="A1181" s="1" t="n">
        <v>1921</v>
      </c>
      <c r="B1181" s="3">
        <f>HYPERLINK("https://leetcode.com/problems/eliminate-maximum-number-of-monsters/", "Eliminate Maximum Number of Monsters")</f>
        <v/>
      </c>
      <c r="C1181" s="1" t="n">
        <v>1583</v>
      </c>
      <c r="D1181" s="1" t="n">
        <v>238</v>
      </c>
      <c r="E1181" s="4">
        <f>IF(INDEX(C:C, ROW())+INDEX(D:D, ROW())=0, 0, INDEX(C:C, ROW())/(INDEX(C:C, ROW())+INDEX(D:D, ROW())))</f>
        <v/>
      </c>
      <c r="F1181" s="1" t="inlineStr">
        <is>
          <t>Array, Greedy, Sorting</t>
        </is>
      </c>
      <c r="G1181" s="1" t="inlineStr">
        <is>
          <t>Medium</t>
        </is>
      </c>
      <c r="H1181" s="1" t="n">
        <v>124032</v>
      </c>
      <c r="I1181" s="1" t="n">
        <v>242677</v>
      </c>
      <c r="J1181" s="9" t="n">
        <v>0.511</v>
      </c>
      <c r="K1181" s="1" t="inlineStr">
        <is>
          <t>Yes</t>
        </is>
      </c>
      <c r="L1181" s="1" t="inlineStr">
        <is>
          <t>Yes</t>
        </is>
      </c>
      <c r="M1181" s="1" t="inlineStr">
        <is>
          <t>No</t>
        </is>
      </c>
      <c r="N1181" s="1" t="inlineStr">
        <is>
          <t>Algorithms</t>
        </is>
      </c>
      <c r="O11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81" s="11" t="inlineStr">
        <is>
          <t>To Do</t>
        </is>
      </c>
    </row>
    <row r="1182" ht="15.75" customHeight="1" s="12">
      <c r="A1182" s="1" t="n">
        <v>936</v>
      </c>
      <c r="B1182" s="3">
        <f>HYPERLINK("https://leetcode.com/problems/stamping-the-sequence/", "Stamping The Sequence")</f>
        <v/>
      </c>
      <c r="C1182" s="1" t="n">
        <v>1580</v>
      </c>
      <c r="D1182" s="1" t="n">
        <v>222</v>
      </c>
      <c r="E1182" s="4">
        <f>IF(INDEX(C:C, ROW())+INDEX(D:D, ROW())=0, 0, INDEX(C:C, ROW())/(INDEX(C:C, ROW())+INDEX(D:D, ROW())))</f>
        <v/>
      </c>
      <c r="F1182" s="1" t="inlineStr">
        <is>
          <t>String, Stack, Greedy, Queue</t>
        </is>
      </c>
      <c r="G1182" s="1" t="inlineStr">
        <is>
          <t>Hard</t>
        </is>
      </c>
      <c r="H1182" s="1" t="n">
        <v>64887</v>
      </c>
      <c r="I1182" s="1" t="n">
        <v>104123</v>
      </c>
      <c r="J1182" s="9" t="n">
        <v>0.623</v>
      </c>
      <c r="K1182" s="1" t="inlineStr">
        <is>
          <t>Yes</t>
        </is>
      </c>
      <c r="L1182" s="1" t="inlineStr">
        <is>
          <t>Yes</t>
        </is>
      </c>
      <c r="M1182" s="1" t="inlineStr">
        <is>
          <t>No</t>
        </is>
      </c>
      <c r="N1182" s="1" t="inlineStr">
        <is>
          <t>Algorithms</t>
        </is>
      </c>
      <c r="O11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82" s="11" t="inlineStr">
        <is>
          <t>To Do</t>
        </is>
      </c>
    </row>
    <row r="1183" ht="15.75" customHeight="1" s="12">
      <c r="A1183" s="1" t="n">
        <v>2094</v>
      </c>
      <c r="B1183" s="3">
        <f>HYPERLINK("https://leetcode.com/problems/finding-3-digit-even-numbers/", "Finding 3-Digit Even Numbers")</f>
        <v/>
      </c>
      <c r="C1183" s="1" t="n">
        <v>1580</v>
      </c>
      <c r="D1183" s="1" t="n">
        <v>345</v>
      </c>
      <c r="E1183" s="4">
        <f>IF(INDEX(C:C, ROW())+INDEX(D:D, ROW())=0, 0, INDEX(C:C, ROW())/(INDEX(C:C, ROW())+INDEX(D:D, ROW())))</f>
        <v/>
      </c>
      <c r="F1183" s="1" t="inlineStr">
        <is>
          <t>Array, Hash Table, Recursion, Sorting, Enumeration</t>
        </is>
      </c>
      <c r="G1183" s="1" t="inlineStr">
        <is>
          <t>Easy</t>
        </is>
      </c>
      <c r="H1183" s="1" t="n">
        <v>183795</v>
      </c>
      <c r="I1183" s="1" t="n">
        <v>233624</v>
      </c>
      <c r="J1183" s="9" t="n">
        <v>0.787</v>
      </c>
      <c r="K1183" s="1" t="inlineStr">
        <is>
          <t>Yes</t>
        </is>
      </c>
      <c r="L1183" s="1" t="inlineStr">
        <is>
          <t>Yes</t>
        </is>
      </c>
      <c r="M1183" s="1" t="inlineStr">
        <is>
          <t>No</t>
        </is>
      </c>
      <c r="N1183" s="1" t="inlineStr">
        <is>
          <t>Algorithms</t>
        </is>
      </c>
      <c r="O11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83" s="13" t="inlineStr">
        <is>
          <t>Done</t>
        </is>
      </c>
    </row>
    <row r="1184" ht="15.75" customHeight="1" s="12">
      <c r="A1184" s="1" t="n">
        <v>1991</v>
      </c>
      <c r="B1184" s="3">
        <f>HYPERLINK("https://leetcode.com/problems/find-the-middle-index-in-array/", "Find the Middle Index in Array")</f>
        <v/>
      </c>
      <c r="C1184" s="1" t="n">
        <v>1577</v>
      </c>
      <c r="D1184" s="1" t="n">
        <v>80</v>
      </c>
      <c r="E1184" s="4">
        <f>IF(INDEX(C:C, ROW())+INDEX(D:D, ROW())=0, 0, INDEX(C:C, ROW())/(INDEX(C:C, ROW())+INDEX(D:D, ROW())))</f>
        <v/>
      </c>
      <c r="F1184" s="1" t="inlineStr">
        <is>
          <t>Array, Prefix Sum</t>
        </is>
      </c>
      <c r="G1184" s="1" t="inlineStr">
        <is>
          <t>Easy</t>
        </is>
      </c>
      <c r="H1184" s="1" t="n">
        <v>168267</v>
      </c>
      <c r="I1184" s="1" t="n">
        <v>241888</v>
      </c>
      <c r="J1184" s="9" t="n">
        <v>0.696</v>
      </c>
      <c r="K1184" s="1" t="inlineStr">
        <is>
          <t>Yes</t>
        </is>
      </c>
      <c r="L1184" s="1" t="inlineStr">
        <is>
          <t>No</t>
        </is>
      </c>
      <c r="M1184" s="1" t="inlineStr">
        <is>
          <t>No</t>
        </is>
      </c>
      <c r="N1184" s="1" t="inlineStr">
        <is>
          <t>Algorithms</t>
        </is>
      </c>
      <c r="O11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84" s="13" t="inlineStr">
        <is>
          <t>Done</t>
        </is>
      </c>
    </row>
    <row r="1185" ht="15.75" customHeight="1" s="12">
      <c r="A1185" s="1" t="n">
        <v>954</v>
      </c>
      <c r="B1185" s="3">
        <f>HYPERLINK("https://leetcode.com/problems/array-of-doubled-pairs/", "Array of Doubled Pairs")</f>
        <v/>
      </c>
      <c r="C1185" s="1" t="n">
        <v>1576</v>
      </c>
      <c r="D1185" s="1" t="n">
        <v>187</v>
      </c>
      <c r="E1185" s="4">
        <f>IF(INDEX(C:C, ROW())+INDEX(D:D, ROW())=0, 0, INDEX(C:C, ROW())/(INDEX(C:C, ROW())+INDEX(D:D, ROW())))</f>
        <v/>
      </c>
      <c r="F1185" s="1" t="inlineStr">
        <is>
          <t>Array, Hash Table, Greedy, Sorting</t>
        </is>
      </c>
      <c r="G1185" s="1" t="inlineStr">
        <is>
          <t>Medium</t>
        </is>
      </c>
      <c r="H1185" s="1" t="n">
        <v>105304</v>
      </c>
      <c r="I1185" s="1" t="n">
        <v>264654</v>
      </c>
      <c r="J1185" s="9" t="n">
        <v>0.398</v>
      </c>
      <c r="K1185" s="1" t="inlineStr">
        <is>
          <t>Yes</t>
        </is>
      </c>
      <c r="L1185" s="1" t="inlineStr">
        <is>
          <t>Yes</t>
        </is>
      </c>
      <c r="M1185" s="1" t="inlineStr">
        <is>
          <t>No</t>
        </is>
      </c>
      <c r="N1185" s="1" t="inlineStr">
        <is>
          <t>Algorithms</t>
        </is>
      </c>
      <c r="O11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85" s="11" t="inlineStr">
        <is>
          <t>To Do</t>
        </is>
      </c>
    </row>
    <row r="1186" ht="15.75" customHeight="1" s="12">
      <c r="A1186" s="1" t="n">
        <v>1042</v>
      </c>
      <c r="B1186" s="3">
        <f>HYPERLINK("https://leetcode.com/problems/flower-planting-with-no-adjacent/", "Flower Planting With No Adjacent")</f>
        <v/>
      </c>
      <c r="C1186" s="1" t="n">
        <v>1575</v>
      </c>
      <c r="D1186" s="1" t="n">
        <v>727</v>
      </c>
      <c r="E1186" s="4">
        <f>IF(INDEX(C:C, ROW())+INDEX(D:D, ROW())=0, 0, INDEX(C:C, ROW())/(INDEX(C:C, ROW())+INDEX(D:D, ROW())))</f>
        <v/>
      </c>
      <c r="F1186" s="1" t="inlineStr">
        <is>
          <t>Depth-First Search, Breadth-First Search, Graph Theory</t>
        </is>
      </c>
      <c r="G1186" s="1" t="inlineStr">
        <is>
          <t>Medium</t>
        </is>
      </c>
      <c r="H1186" s="1" t="n">
        <v>104444</v>
      </c>
      <c r="I1186" s="1" t="n">
        <v>194763</v>
      </c>
      <c r="J1186" s="9" t="n">
        <v>0.536</v>
      </c>
      <c r="K1186" s="1" t="inlineStr">
        <is>
          <t>Yes</t>
        </is>
      </c>
      <c r="L1186" s="1" t="inlineStr">
        <is>
          <t>No</t>
        </is>
      </c>
      <c r="M1186" s="1" t="inlineStr">
        <is>
          <t>No</t>
        </is>
      </c>
      <c r="N1186" s="1" t="inlineStr">
        <is>
          <t>Algorithms</t>
        </is>
      </c>
      <c r="O11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86" s="11" t="inlineStr">
        <is>
          <t>To Do</t>
        </is>
      </c>
    </row>
    <row r="1187" ht="15.75" customHeight="1" s="12">
      <c r="A1187" s="1" t="n">
        <v>2537</v>
      </c>
      <c r="B1187" s="3">
        <f>HYPERLINK("https://leetcode.com/problems/count-the-number-of-good-subarrays/", "Count the Number of Good Subarrays")</f>
        <v/>
      </c>
      <c r="C1187" s="1" t="n">
        <v>1572</v>
      </c>
      <c r="D1187" s="1" t="n">
        <v>59</v>
      </c>
      <c r="E1187" s="4">
        <f>IF(INDEX(C:C, ROW())+INDEX(D:D, ROW())=0, 0, INDEX(C:C, ROW())/(INDEX(C:C, ROW())+INDEX(D:D, ROW())))</f>
        <v/>
      </c>
      <c r="F1187" s="1" t="inlineStr">
        <is>
          <t>Array, Hash Table, Sliding Window</t>
        </is>
      </c>
      <c r="G1187" s="1" t="inlineStr">
        <is>
          <t>Medium</t>
        </is>
      </c>
      <c r="H1187" s="1" t="n">
        <v>131965</v>
      </c>
      <c r="I1187" s="1" t="n">
        <v>200492</v>
      </c>
      <c r="J1187" s="9" t="n">
        <v>0.658</v>
      </c>
      <c r="K1187" s="1" t="inlineStr">
        <is>
          <t>Yes</t>
        </is>
      </c>
      <c r="L1187" s="1" t="inlineStr">
        <is>
          <t>Yes</t>
        </is>
      </c>
      <c r="M1187" s="1" t="inlineStr">
        <is>
          <t>No</t>
        </is>
      </c>
      <c r="N1187" s="1" t="inlineStr">
        <is>
          <t>Algorithms</t>
        </is>
      </c>
      <c r="O11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87" s="11" t="inlineStr">
        <is>
          <t>To Do</t>
        </is>
      </c>
    </row>
    <row r="1188" ht="15.75" customHeight="1" s="12">
      <c r="A1188" s="1" t="n">
        <v>2256</v>
      </c>
      <c r="B1188" s="3">
        <f>HYPERLINK("https://leetcode.com/problems/minimum-average-difference/", "Minimum Average Difference")</f>
        <v/>
      </c>
      <c r="C1188" s="1" t="n">
        <v>1571</v>
      </c>
      <c r="D1188" s="1" t="n">
        <v>182</v>
      </c>
      <c r="E1188" s="4">
        <f>IF(INDEX(C:C, ROW())+INDEX(D:D, ROW())=0, 0, INDEX(C:C, ROW())/(INDEX(C:C, ROW())+INDEX(D:D, ROW())))</f>
        <v/>
      </c>
      <c r="F1188" s="1" t="inlineStr">
        <is>
          <t>Array, Prefix Sum</t>
        </is>
      </c>
      <c r="G1188" s="1" t="inlineStr">
        <is>
          <t>Medium</t>
        </is>
      </c>
      <c r="H1188" s="1" t="n">
        <v>98087</v>
      </c>
      <c r="I1188" s="1" t="n">
        <v>223602</v>
      </c>
      <c r="J1188" s="9" t="n">
        <v>0.439</v>
      </c>
      <c r="K1188" s="1" t="inlineStr">
        <is>
          <t>Yes</t>
        </is>
      </c>
      <c r="L1188" s="1" t="inlineStr">
        <is>
          <t>Yes</t>
        </is>
      </c>
      <c r="M1188" s="1" t="inlineStr">
        <is>
          <t>No</t>
        </is>
      </c>
      <c r="N1188" s="1" t="inlineStr">
        <is>
          <t>Algorithms</t>
        </is>
      </c>
      <c r="O11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88" s="11" t="inlineStr">
        <is>
          <t>To Do</t>
        </is>
      </c>
    </row>
    <row r="1189" ht="15.75" customHeight="1" s="12">
      <c r="A1189" s="1" t="n">
        <v>1366</v>
      </c>
      <c r="B1189" s="3">
        <f>HYPERLINK("https://leetcode.com/problems/rank-teams-by-votes/", "Rank Teams by Votes")</f>
        <v/>
      </c>
      <c r="C1189" s="1" t="n">
        <v>1570</v>
      </c>
      <c r="D1189" s="1" t="n">
        <v>198</v>
      </c>
      <c r="E1189" s="4">
        <f>IF(INDEX(C:C, ROW())+INDEX(D:D, ROW())=0, 0, INDEX(C:C, ROW())/(INDEX(C:C, ROW())+INDEX(D:D, ROW())))</f>
        <v/>
      </c>
      <c r="F1189" s="1" t="inlineStr">
        <is>
          <t>Array, Hash Table, String, Sorting, Counting</t>
        </is>
      </c>
      <c r="G1189" s="1" t="inlineStr">
        <is>
          <t>Medium</t>
        </is>
      </c>
      <c r="H1189" s="1" t="n">
        <v>103299</v>
      </c>
      <c r="I1189" s="1" t="n">
        <v>171855</v>
      </c>
      <c r="J1189" s="9" t="n">
        <v>0.601</v>
      </c>
      <c r="K1189" s="1" t="inlineStr">
        <is>
          <t>Yes</t>
        </is>
      </c>
      <c r="L1189" s="1" t="inlineStr">
        <is>
          <t>No</t>
        </is>
      </c>
      <c r="M1189" s="1" t="inlineStr">
        <is>
          <t>No</t>
        </is>
      </c>
      <c r="N1189" s="1" t="inlineStr">
        <is>
          <t>Algorithms</t>
        </is>
      </c>
      <c r="O11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89" s="11" t="inlineStr">
        <is>
          <t>To Do</t>
        </is>
      </c>
    </row>
    <row r="1190" ht="15.75" customHeight="1" s="12">
      <c r="A1190" s="1" t="n">
        <v>333</v>
      </c>
      <c r="B1190" s="3">
        <f>HYPERLINK("https://leetcode.com/problems/largest-bst-subtree/", "Largest BST Subtree")</f>
        <v/>
      </c>
      <c r="C1190" s="1" t="n">
        <v>1569</v>
      </c>
      <c r="D1190" s="1" t="n">
        <v>148</v>
      </c>
      <c r="E1190" s="4">
        <f>IF(INDEX(C:C, ROW())+INDEX(D:D, ROW())=0, 0, INDEX(C:C, ROW())/(INDEX(C:C, ROW())+INDEX(D:D, ROW())))</f>
        <v/>
      </c>
      <c r="F1190" s="1" t="inlineStr">
        <is>
          <t>Dynamic Programming, Tree, Depth-First Search, Binary Search Tree, Binary Tree</t>
        </is>
      </c>
      <c r="G1190" s="1" t="inlineStr">
        <is>
          <t>Medium</t>
        </is>
      </c>
      <c r="H1190" s="1" t="n">
        <v>129105</v>
      </c>
      <c r="I1190" s="1" t="n">
        <v>281450</v>
      </c>
      <c r="J1190" s="9" t="n">
        <v>0.459</v>
      </c>
      <c r="K1190" s="1" t="inlineStr">
        <is>
          <t>No</t>
        </is>
      </c>
      <c r="L1190" s="1" t="inlineStr">
        <is>
          <t>Yes</t>
        </is>
      </c>
      <c r="M1190" s="1" t="inlineStr">
        <is>
          <t>No</t>
        </is>
      </c>
      <c r="N1190" s="1" t="inlineStr">
        <is>
          <t>Algorithms</t>
        </is>
      </c>
      <c r="O11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90" s="11" t="inlineStr">
        <is>
          <t>To Do</t>
        </is>
      </c>
    </row>
    <row r="1191" ht="15.75" customHeight="1" s="12">
      <c r="A1191" s="1" t="n">
        <v>1856</v>
      </c>
      <c r="B1191" s="3">
        <f>HYPERLINK("https://leetcode.com/problems/maximum-subarray-min-product/", "Maximum Subarray Min-Product")</f>
        <v/>
      </c>
      <c r="C1191" s="1" t="n">
        <v>1569</v>
      </c>
      <c r="D1191" s="1" t="n">
        <v>146</v>
      </c>
      <c r="E1191" s="4">
        <f>IF(INDEX(C:C, ROW())+INDEX(D:D, ROW())=0, 0, INDEX(C:C, ROW())/(INDEX(C:C, ROW())+INDEX(D:D, ROW())))</f>
        <v/>
      </c>
      <c r="F1191" s="1" t="inlineStr">
        <is>
          <t>Array, Stack, Monotonic Stack, Prefix Sum</t>
        </is>
      </c>
      <c r="G1191" s="1" t="inlineStr">
        <is>
          <t>Medium</t>
        </is>
      </c>
      <c r="H1191" s="1" t="n">
        <v>41058</v>
      </c>
      <c r="I1191" s="1" t="n">
        <v>101820</v>
      </c>
      <c r="J1191" s="9" t="n">
        <v>0.403</v>
      </c>
      <c r="K1191" s="1" t="inlineStr">
        <is>
          <t>Yes</t>
        </is>
      </c>
      <c r="L1191" s="1" t="inlineStr">
        <is>
          <t>No</t>
        </is>
      </c>
      <c r="M1191" s="1" t="inlineStr">
        <is>
          <t>No</t>
        </is>
      </c>
      <c r="N1191" s="1" t="inlineStr">
        <is>
          <t>Algorithms</t>
        </is>
      </c>
      <c r="O11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91" s="11" t="inlineStr">
        <is>
          <t>To Do</t>
        </is>
      </c>
    </row>
    <row r="1192" ht="15.75" customHeight="1" s="12">
      <c r="A1192" s="1" t="n">
        <v>1197</v>
      </c>
      <c r="B1192" s="3">
        <f>HYPERLINK("https://leetcode.com/problems/minimum-knight-moves/", "Minimum Knight Moves")</f>
        <v/>
      </c>
      <c r="C1192" s="1" t="n">
        <v>1567</v>
      </c>
      <c r="D1192" s="1" t="n">
        <v>411</v>
      </c>
      <c r="E1192" s="4">
        <f>IF(INDEX(C:C, ROW())+INDEX(D:D, ROW())=0, 0, INDEX(C:C, ROW())/(INDEX(C:C, ROW())+INDEX(D:D, ROW())))</f>
        <v/>
      </c>
      <c r="F1192" s="1" t="inlineStr">
        <is>
          <t>Breadth-First Search</t>
        </is>
      </c>
      <c r="G1192" s="1" t="inlineStr">
        <is>
          <t>Medium</t>
        </is>
      </c>
      <c r="H1192" s="1" t="n">
        <v>192616</v>
      </c>
      <c r="I1192" s="1" t="n">
        <v>459411</v>
      </c>
      <c r="J1192" s="9" t="n">
        <v>0.419</v>
      </c>
      <c r="K1192" s="1" t="inlineStr">
        <is>
          <t>No</t>
        </is>
      </c>
      <c r="L1192" s="1" t="inlineStr">
        <is>
          <t>Yes</t>
        </is>
      </c>
      <c r="M1192" s="1" t="inlineStr">
        <is>
          <t>No</t>
        </is>
      </c>
      <c r="N1192" s="1" t="inlineStr">
        <is>
          <t>Algorithms</t>
        </is>
      </c>
      <c r="O11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92" s="11" t="inlineStr">
        <is>
          <t>To Do</t>
        </is>
      </c>
    </row>
    <row r="1193" ht="15.75" customHeight="1" s="12">
      <c r="A1193" s="1" t="n">
        <v>957</v>
      </c>
      <c r="B1193" s="3">
        <f>HYPERLINK("https://leetcode.com/problems/prison-cells-after-n-days/", "Prison Cells After N Days")</f>
        <v/>
      </c>
      <c r="C1193" s="1" t="n">
        <v>1566</v>
      </c>
      <c r="D1193" s="1" t="n">
        <v>1781</v>
      </c>
      <c r="E1193" s="4">
        <f>IF(INDEX(C:C, ROW())+INDEX(D:D, ROW())=0, 0, INDEX(C:C, ROW())/(INDEX(C:C, ROW())+INDEX(D:D, ROW())))</f>
        <v/>
      </c>
      <c r="F1193" s="1" t="inlineStr">
        <is>
          <t>Array, Hash Table, Math, Bit Manipulation</t>
        </is>
      </c>
      <c r="G1193" s="1" t="inlineStr">
        <is>
          <t>Medium</t>
        </is>
      </c>
      <c r="H1193" s="1" t="n">
        <v>176883</v>
      </c>
      <c r="I1193" s="1" t="n">
        <v>451550</v>
      </c>
      <c r="J1193" s="9" t="n">
        <v>0.392</v>
      </c>
      <c r="K1193" s="1" t="inlineStr">
        <is>
          <t>Yes</t>
        </is>
      </c>
      <c r="L1193" s="1" t="inlineStr">
        <is>
          <t>Yes</t>
        </is>
      </c>
      <c r="M1193" s="1" t="inlineStr">
        <is>
          <t>No</t>
        </is>
      </c>
      <c r="N1193" s="1" t="inlineStr">
        <is>
          <t>Algorithms</t>
        </is>
      </c>
      <c r="O11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93" s="11" t="inlineStr">
        <is>
          <t>To Do</t>
        </is>
      </c>
    </row>
    <row r="1194" ht="15.75" customHeight="1" s="12">
      <c r="A1194" s="1" t="n">
        <v>1654</v>
      </c>
      <c r="B1194" s="3">
        <f>HYPERLINK("https://leetcode.com/problems/minimum-jumps-to-reach-home/", "Minimum Jumps to Reach Home")</f>
        <v/>
      </c>
      <c r="C1194" s="1" t="n">
        <v>1564</v>
      </c>
      <c r="D1194" s="1" t="n">
        <v>285</v>
      </c>
      <c r="E1194" s="4">
        <f>IF(INDEX(C:C, ROW())+INDEX(D:D, ROW())=0, 0, INDEX(C:C, ROW())/(INDEX(C:C, ROW())+INDEX(D:D, ROW())))</f>
        <v/>
      </c>
      <c r="F1194" s="1" t="inlineStr">
        <is>
          <t>Array, Hash Table, Breadth-First Search</t>
        </is>
      </c>
      <c r="G1194" s="1" t="inlineStr">
        <is>
          <t>Medium</t>
        </is>
      </c>
      <c r="H1194" s="1" t="n">
        <v>52976</v>
      </c>
      <c r="I1194" s="1" t="n">
        <v>172361</v>
      </c>
      <c r="J1194" s="9" t="n">
        <v>0.307</v>
      </c>
      <c r="K1194" s="1" t="inlineStr">
        <is>
          <t>Yes</t>
        </is>
      </c>
      <c r="L1194" s="1" t="inlineStr">
        <is>
          <t>No</t>
        </is>
      </c>
      <c r="M1194" s="1" t="inlineStr">
        <is>
          <t>No</t>
        </is>
      </c>
      <c r="N1194" s="1" t="inlineStr">
        <is>
          <t>Algorithms</t>
        </is>
      </c>
      <c r="O11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94" s="11" t="inlineStr">
        <is>
          <t>To Do</t>
        </is>
      </c>
    </row>
    <row r="1195" ht="15.75" customHeight="1" s="12">
      <c r="A1195" s="1" t="n">
        <v>1765</v>
      </c>
      <c r="B1195" s="3">
        <f>HYPERLINK("https://leetcode.com/problems/map-of-highest-peak/", "Map of Highest Peak")</f>
        <v/>
      </c>
      <c r="C1195" s="1" t="n">
        <v>1563</v>
      </c>
      <c r="D1195" s="1" t="n">
        <v>116</v>
      </c>
      <c r="E1195" s="4">
        <f>IF(INDEX(C:C, ROW())+INDEX(D:D, ROW())=0, 0, INDEX(C:C, ROW())/(INDEX(C:C, ROW())+INDEX(D:D, ROW())))</f>
        <v/>
      </c>
      <c r="F1195" s="1" t="inlineStr">
        <is>
          <t>Array, Breadth-First Search, Matrix</t>
        </is>
      </c>
      <c r="G1195" s="1" t="inlineStr">
        <is>
          <t>Medium</t>
        </is>
      </c>
      <c r="H1195" s="1" t="n">
        <v>162168</v>
      </c>
      <c r="I1195" s="1" t="n">
        <v>213914</v>
      </c>
      <c r="J1195" s="9" t="n">
        <v>0.758</v>
      </c>
      <c r="K1195" s="1" t="inlineStr">
        <is>
          <t>Yes</t>
        </is>
      </c>
      <c r="L1195" s="1" t="inlineStr">
        <is>
          <t>Yes</t>
        </is>
      </c>
      <c r="M1195" s="1" t="inlineStr">
        <is>
          <t>No</t>
        </is>
      </c>
      <c r="N1195" s="1" t="inlineStr">
        <is>
          <t>Algorithms</t>
        </is>
      </c>
      <c r="O11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95" s="11" t="inlineStr">
        <is>
          <t>To Do</t>
        </is>
      </c>
    </row>
    <row r="1196" ht="15.75" customHeight="1" s="12">
      <c r="A1196" s="1" t="n">
        <v>609</v>
      </c>
      <c r="B1196" s="3">
        <f>HYPERLINK("https://leetcode.com/problems/find-duplicate-file-in-system/", "Find Duplicate File in System")</f>
        <v/>
      </c>
      <c r="C1196" s="1" t="n">
        <v>1562</v>
      </c>
      <c r="D1196" s="1" t="n">
        <v>1657</v>
      </c>
      <c r="E1196" s="4">
        <f>IF(INDEX(C:C, ROW())+INDEX(D:D, ROW())=0, 0, INDEX(C:C, ROW())/(INDEX(C:C, ROW())+INDEX(D:D, ROW())))</f>
        <v/>
      </c>
      <c r="F1196" s="1" t="inlineStr">
        <is>
          <t>Array, Hash Table, String</t>
        </is>
      </c>
      <c r="G1196" s="1" t="inlineStr">
        <is>
          <t>Medium</t>
        </is>
      </c>
      <c r="H1196" s="1" t="n">
        <v>177298</v>
      </c>
      <c r="I1196" s="1" t="n">
        <v>262497</v>
      </c>
      <c r="J1196" s="9" t="n">
        <v>0.675</v>
      </c>
      <c r="K1196" s="1" t="inlineStr">
        <is>
          <t>Yes</t>
        </is>
      </c>
      <c r="L1196" s="1" t="inlineStr">
        <is>
          <t>Yes</t>
        </is>
      </c>
      <c r="M1196" s="1" t="inlineStr">
        <is>
          <t>No</t>
        </is>
      </c>
      <c r="N1196" s="1" t="inlineStr">
        <is>
          <t>Algorithms</t>
        </is>
      </c>
      <c r="O11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96" s="11" t="inlineStr">
        <is>
          <t>To Do</t>
        </is>
      </c>
    </row>
    <row r="1197" ht="15.75" customHeight="1" s="12">
      <c r="A1197" s="1" t="n">
        <v>1496</v>
      </c>
      <c r="B1197" s="3">
        <f>HYPERLINK("https://leetcode.com/problems/path-crossing/", "Path Crossing")</f>
        <v/>
      </c>
      <c r="C1197" s="1" t="n">
        <v>1561</v>
      </c>
      <c r="D1197" s="1" t="n">
        <v>50</v>
      </c>
      <c r="E1197" s="4">
        <f>IF(INDEX(C:C, ROW())+INDEX(D:D, ROW())=0, 0, INDEX(C:C, ROW())/(INDEX(C:C, ROW())+INDEX(D:D, ROW())))</f>
        <v/>
      </c>
      <c r="F1197" s="1" t="inlineStr">
        <is>
          <t>Hash Table, String</t>
        </is>
      </c>
      <c r="G1197" s="1" t="inlineStr">
        <is>
          <t>Easy</t>
        </is>
      </c>
      <c r="H1197" s="1" t="n">
        <v>196766</v>
      </c>
      <c r="I1197" s="1" t="n">
        <v>314361</v>
      </c>
      <c r="J1197" s="9" t="n">
        <v>0.626</v>
      </c>
      <c r="K1197" s="1" t="inlineStr">
        <is>
          <t>Yes</t>
        </is>
      </c>
      <c r="L1197" s="1" t="inlineStr">
        <is>
          <t>Yes</t>
        </is>
      </c>
      <c r="M1197" s="1" t="inlineStr">
        <is>
          <t>No</t>
        </is>
      </c>
      <c r="N1197" s="1" t="inlineStr">
        <is>
          <t>Algorithms</t>
        </is>
      </c>
      <c r="O11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97" s="13" t="inlineStr">
        <is>
          <t>Done</t>
        </is>
      </c>
    </row>
    <row r="1198" ht="15.75" customHeight="1" s="12">
      <c r="A1198" s="1" t="n">
        <v>1854</v>
      </c>
      <c r="B1198" s="3">
        <f>HYPERLINK("https://leetcode.com/problems/maximum-population-year/", "Maximum Population Year")</f>
        <v/>
      </c>
      <c r="C1198" s="1" t="n">
        <v>1559</v>
      </c>
      <c r="D1198" s="1" t="n">
        <v>289</v>
      </c>
      <c r="E1198" s="4">
        <f>IF(INDEX(C:C, ROW())+INDEX(D:D, ROW())=0, 0, INDEX(C:C, ROW())/(INDEX(C:C, ROW())+INDEX(D:D, ROW())))</f>
        <v/>
      </c>
      <c r="F1198" s="1" t="inlineStr">
        <is>
          <t>Array, Counting, Prefix Sum</t>
        </is>
      </c>
      <c r="G1198" s="1" t="inlineStr">
        <is>
          <t>Easy</t>
        </is>
      </c>
      <c r="H1198" s="1" t="n">
        <v>117712</v>
      </c>
      <c r="I1198" s="1" t="n">
        <v>184038</v>
      </c>
      <c r="J1198" s="9" t="n">
        <v>0.64</v>
      </c>
      <c r="K1198" s="1" t="inlineStr">
        <is>
          <t>Yes</t>
        </is>
      </c>
      <c r="L1198" s="1" t="inlineStr">
        <is>
          <t>No</t>
        </is>
      </c>
      <c r="M1198" s="1" t="inlineStr">
        <is>
          <t>No</t>
        </is>
      </c>
      <c r="N1198" s="1" t="inlineStr">
        <is>
          <t>Algorithms</t>
        </is>
      </c>
      <c r="O11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98" s="13" t="inlineStr">
        <is>
          <t>Done</t>
        </is>
      </c>
    </row>
    <row r="1199" ht="15.75" customHeight="1" s="12">
      <c r="A1199" s="1" t="n">
        <v>848</v>
      </c>
      <c r="B1199" s="3">
        <f>HYPERLINK("https://leetcode.com/problems/shifting-letters/", "Shifting Letters")</f>
        <v/>
      </c>
      <c r="C1199" s="1" t="n">
        <v>1556</v>
      </c>
      <c r="D1199" s="1" t="n">
        <v>142</v>
      </c>
      <c r="E1199" s="4">
        <f>IF(INDEX(C:C, ROW())+INDEX(D:D, ROW())=0, 0, INDEX(C:C, ROW())/(INDEX(C:C, ROW())+INDEX(D:D, ROW())))</f>
        <v/>
      </c>
      <c r="F1199" s="1" t="inlineStr">
        <is>
          <t>Array, String, Prefix Sum</t>
        </is>
      </c>
      <c r="G1199" s="1" t="inlineStr">
        <is>
          <t>Medium</t>
        </is>
      </c>
      <c r="H1199" s="1" t="n">
        <v>136833</v>
      </c>
      <c r="I1199" s="1" t="n">
        <v>296125</v>
      </c>
      <c r="J1199" s="9" t="n">
        <v>0.462</v>
      </c>
      <c r="K1199" s="1" t="inlineStr">
        <is>
          <t>Yes</t>
        </is>
      </c>
      <c r="L1199" s="1" t="inlineStr">
        <is>
          <t>Yes</t>
        </is>
      </c>
      <c r="M1199" s="1" t="inlineStr">
        <is>
          <t>No</t>
        </is>
      </c>
      <c r="N1199" s="1" t="inlineStr">
        <is>
          <t>Algorithms</t>
        </is>
      </c>
      <c r="O11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199" s="11" t="inlineStr">
        <is>
          <t>To Do</t>
        </is>
      </c>
    </row>
    <row r="1200" ht="15.75" customHeight="1" s="12">
      <c r="A1200" s="1" t="n">
        <v>1598</v>
      </c>
      <c r="B1200" s="3">
        <f>HYPERLINK("https://leetcode.com/problems/crawler-log-folder/", "Crawler Log Folder")</f>
        <v/>
      </c>
      <c r="C1200" s="1" t="n">
        <v>1556</v>
      </c>
      <c r="D1200" s="1" t="n">
        <v>99</v>
      </c>
      <c r="E1200" s="4">
        <f>IF(INDEX(C:C, ROW())+INDEX(D:D, ROW())=0, 0, INDEX(C:C, ROW())/(INDEX(C:C, ROW())+INDEX(D:D, ROW())))</f>
        <v/>
      </c>
      <c r="F1200" s="1" t="inlineStr">
        <is>
          <t>Array, String, Stack</t>
        </is>
      </c>
      <c r="G1200" s="1" t="inlineStr">
        <is>
          <t>Easy</t>
        </is>
      </c>
      <c r="H1200" s="1" t="n">
        <v>292581</v>
      </c>
      <c r="I1200" s="1" t="n">
        <v>408276</v>
      </c>
      <c r="J1200" s="9" t="n">
        <v>0.717</v>
      </c>
      <c r="K1200" s="1" t="inlineStr">
        <is>
          <t>Yes</t>
        </is>
      </c>
      <c r="L1200" s="1" t="inlineStr">
        <is>
          <t>Yes</t>
        </is>
      </c>
      <c r="M1200" s="1" t="inlineStr">
        <is>
          <t>No</t>
        </is>
      </c>
      <c r="N1200" s="1" t="inlineStr">
        <is>
          <t>Algorithms</t>
        </is>
      </c>
      <c r="O12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00" s="13" t="inlineStr">
        <is>
          <t>Done</t>
        </is>
      </c>
    </row>
    <row r="1201" ht="15.75" customHeight="1" s="12">
      <c r="A1201" s="1" t="n">
        <v>2331</v>
      </c>
      <c r="B1201" s="3">
        <f>HYPERLINK("https://leetcode.com/problems/evaluate-boolean-binary-tree/", "Evaluate Boolean Binary Tree")</f>
        <v/>
      </c>
      <c r="C1201" s="1" t="n">
        <v>1555</v>
      </c>
      <c r="D1201" s="1" t="n">
        <v>44</v>
      </c>
      <c r="E1201" s="4">
        <f>IF(INDEX(C:C, ROW())+INDEX(D:D, ROW())=0, 0, INDEX(C:C, ROW())/(INDEX(C:C, ROW())+INDEX(D:D, ROW())))</f>
        <v/>
      </c>
      <c r="F1201" s="1" t="inlineStr">
        <is>
          <t>Tree, Depth-First Search, Binary Tree</t>
        </is>
      </c>
      <c r="G1201" s="1" t="inlineStr">
        <is>
          <t>Easy</t>
        </is>
      </c>
      <c r="H1201" s="1" t="n">
        <v>226535</v>
      </c>
      <c r="I1201" s="1" t="n">
        <v>274880</v>
      </c>
      <c r="J1201" s="9" t="n">
        <v>0.824</v>
      </c>
      <c r="K1201" s="1" t="inlineStr">
        <is>
          <t>Yes</t>
        </is>
      </c>
      <c r="L1201" s="1" t="inlineStr">
        <is>
          <t>Yes</t>
        </is>
      </c>
      <c r="M1201" s="1" t="inlineStr">
        <is>
          <t>No</t>
        </is>
      </c>
      <c r="N1201" s="1" t="inlineStr">
        <is>
          <t>Algorithms</t>
        </is>
      </c>
      <c r="O12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01" s="13" t="inlineStr">
        <is>
          <t>Done</t>
        </is>
      </c>
    </row>
    <row r="1202" ht="15.75" customHeight="1" s="12">
      <c r="A1202" s="1" t="n">
        <v>2458</v>
      </c>
      <c r="B1202" s="3">
        <f>HYPERLINK("https://leetcode.com/problems/height-of-binary-tree-after-subtree-removal-queries/", "Height of Binary Tree After Subtree Removal Queries")</f>
        <v/>
      </c>
      <c r="C1202" s="1" t="n">
        <v>1554</v>
      </c>
      <c r="D1202" s="1" t="n">
        <v>38</v>
      </c>
      <c r="E1202" s="4">
        <f>IF(INDEX(C:C, ROW())+INDEX(D:D, ROW())=0, 0, INDEX(C:C, ROW())/(INDEX(C:C, ROW())+INDEX(D:D, ROW())))</f>
        <v/>
      </c>
      <c r="F1202" s="1" t="inlineStr">
        <is>
          <t>Array, Tree, Depth-First Search, Breadth-First Search, Binary Tree</t>
        </is>
      </c>
      <c r="G1202" s="1" t="inlineStr">
        <is>
          <t>Hard</t>
        </is>
      </c>
      <c r="H1202" s="1" t="n">
        <v>105022</v>
      </c>
      <c r="I1202" s="1" t="n">
        <v>191421</v>
      </c>
      <c r="J1202" s="9" t="n">
        <v>0.549</v>
      </c>
      <c r="K1202" s="1" t="inlineStr">
        <is>
          <t>Yes</t>
        </is>
      </c>
      <c r="L1202" s="1" t="inlineStr">
        <is>
          <t>Yes</t>
        </is>
      </c>
      <c r="M1202" s="1" t="inlineStr">
        <is>
          <t>No</t>
        </is>
      </c>
      <c r="N1202" s="1" t="inlineStr">
        <is>
          <t>Algorithms</t>
        </is>
      </c>
      <c r="O12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02" s="11" t="inlineStr">
        <is>
          <t>To Do</t>
        </is>
      </c>
    </row>
    <row r="1203" ht="15.75" customHeight="1" s="12">
      <c r="A1203" s="1" t="n">
        <v>1104</v>
      </c>
      <c r="B1203" s="3">
        <f>HYPERLINK("https://leetcode.com/problems/path-in-zigzag-labelled-binary-tree/", "Path In Zigzag Labelled Binary Tree")</f>
        <v/>
      </c>
      <c r="C1203" s="1" t="n">
        <v>1548</v>
      </c>
      <c r="D1203" s="1" t="n">
        <v>331</v>
      </c>
      <c r="E1203" s="4">
        <f>IF(INDEX(C:C, ROW())+INDEX(D:D, ROW())=0, 0, INDEX(C:C, ROW())/(INDEX(C:C, ROW())+INDEX(D:D, ROW())))</f>
        <v/>
      </c>
      <c r="F1203" s="1" t="inlineStr">
        <is>
          <t>Math, Tree, Binary Tree</t>
        </is>
      </c>
      <c r="G1203" s="1" t="inlineStr">
        <is>
          <t>Medium</t>
        </is>
      </c>
      <c r="H1203" s="1" t="n">
        <v>53778</v>
      </c>
      <c r="I1203" s="1" t="n">
        <v>71008</v>
      </c>
      <c r="J1203" s="9" t="n">
        <v>0.757</v>
      </c>
      <c r="K1203" s="1" t="inlineStr">
        <is>
          <t>Yes</t>
        </is>
      </c>
      <c r="L1203" s="1" t="inlineStr">
        <is>
          <t>No</t>
        </is>
      </c>
      <c r="M1203" s="1" t="inlineStr">
        <is>
          <t>No</t>
        </is>
      </c>
      <c r="N1203" s="1" t="inlineStr">
        <is>
          <t>Algorithms</t>
        </is>
      </c>
      <c r="O12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03" s="11" t="inlineStr">
        <is>
          <t>To Do</t>
        </is>
      </c>
    </row>
    <row r="1204" ht="15.75" customHeight="1" s="12">
      <c r="A1204" s="1" t="n">
        <v>1292</v>
      </c>
      <c r="B1204" s="3">
        <f>HYPERLINK("https://leetcode.com/problems/maximum-side-length-of-a-square-with-sum-less-than-or-equal-to-threshold/", "Maximum Side Length of a Square with Sum Less than or Equal to Threshold")</f>
        <v/>
      </c>
      <c r="C1204" s="1" t="n">
        <v>1547</v>
      </c>
      <c r="D1204" s="1" t="n">
        <v>126</v>
      </c>
      <c r="E1204" s="4">
        <f>IF(INDEX(C:C, ROW())+INDEX(D:D, ROW())=0, 0, INDEX(C:C, ROW())/(INDEX(C:C, ROW())+INDEX(D:D, ROW())))</f>
        <v/>
      </c>
      <c r="F1204" s="1" t="inlineStr">
        <is>
          <t>Array, Binary Search, Matrix, Prefix Sum</t>
        </is>
      </c>
      <c r="G1204" s="1" t="inlineStr">
        <is>
          <t>Medium</t>
        </is>
      </c>
      <c r="H1204" s="1" t="n">
        <v>125228</v>
      </c>
      <c r="I1204" s="1" t="n">
        <v>191372</v>
      </c>
      <c r="J1204" s="9" t="n">
        <v>0.654</v>
      </c>
      <c r="K1204" s="1" t="inlineStr">
        <is>
          <t>Yes</t>
        </is>
      </c>
      <c r="L1204" s="1" t="inlineStr">
        <is>
          <t>Yes</t>
        </is>
      </c>
      <c r="M1204" s="1" t="inlineStr">
        <is>
          <t>No</t>
        </is>
      </c>
      <c r="N1204" s="1" t="inlineStr">
        <is>
          <t>Algorithms</t>
        </is>
      </c>
      <c r="O12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04" s="11" t="inlineStr">
        <is>
          <t>To Do</t>
        </is>
      </c>
    </row>
    <row r="1205" ht="15.75" customHeight="1" s="12">
      <c r="A1205" s="1" t="n">
        <v>1884</v>
      </c>
      <c r="B1205" s="3">
        <f>HYPERLINK("https://leetcode.com/problems/egg-drop-with-2-eggs-and-n-floors/", "Egg Drop With 2 Eggs and N Floors")</f>
        <v/>
      </c>
      <c r="C1205" s="1" t="n">
        <v>1547</v>
      </c>
      <c r="D1205" s="1" t="n">
        <v>164</v>
      </c>
      <c r="E1205" s="4">
        <f>IF(INDEX(C:C, ROW())+INDEX(D:D, ROW())=0, 0, INDEX(C:C, ROW())/(INDEX(C:C, ROW())+INDEX(D:D, ROW())))</f>
        <v/>
      </c>
      <c r="F1205" s="1" t="inlineStr">
        <is>
          <t>Math, Dynamic Programming</t>
        </is>
      </c>
      <c r="G1205" s="1" t="inlineStr">
        <is>
          <t>Medium</t>
        </is>
      </c>
      <c r="H1205" s="1" t="n">
        <v>65378</v>
      </c>
      <c r="I1205" s="1" t="n">
        <v>87454</v>
      </c>
      <c r="J1205" s="9" t="n">
        <v>0.748</v>
      </c>
      <c r="K1205" s="1" t="inlineStr">
        <is>
          <t>Yes</t>
        </is>
      </c>
      <c r="L1205" s="1" t="inlineStr">
        <is>
          <t>No</t>
        </is>
      </c>
      <c r="M1205" s="1" t="inlineStr">
        <is>
          <t>No</t>
        </is>
      </c>
      <c r="N1205" s="1" t="inlineStr">
        <is>
          <t>Algorithms</t>
        </is>
      </c>
      <c r="O12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05" s="11" t="inlineStr">
        <is>
          <t>To Do</t>
        </is>
      </c>
    </row>
    <row r="1206" ht="15.75" customHeight="1" s="12">
      <c r="A1206" s="1" t="n">
        <v>587</v>
      </c>
      <c r="B1206" s="3">
        <f>HYPERLINK("https://leetcode.com/problems/erect-the-fence/", "Erect the Fence")</f>
        <v/>
      </c>
      <c r="C1206" s="1" t="n">
        <v>1546</v>
      </c>
      <c r="D1206" s="1" t="n">
        <v>649</v>
      </c>
      <c r="E1206" s="4">
        <f>IF(INDEX(C:C, ROW())+INDEX(D:D, ROW())=0, 0, INDEX(C:C, ROW())/(INDEX(C:C, ROW())+INDEX(D:D, ROW())))</f>
        <v/>
      </c>
      <c r="F1206" s="1" t="inlineStr">
        <is>
          <t>Array, Math, Geometry</t>
        </is>
      </c>
      <c r="G1206" s="1" t="inlineStr">
        <is>
          <t>Hard</t>
        </is>
      </c>
      <c r="H1206" s="1" t="n">
        <v>67515</v>
      </c>
      <c r="I1206" s="1" t="n">
        <v>127489</v>
      </c>
      <c r="J1206" s="9" t="n">
        <v>0.53</v>
      </c>
      <c r="K1206" s="1" t="inlineStr">
        <is>
          <t>Yes</t>
        </is>
      </c>
      <c r="L1206" s="1" t="inlineStr">
        <is>
          <t>Yes</t>
        </is>
      </c>
      <c r="M1206" s="1" t="inlineStr">
        <is>
          <t>No</t>
        </is>
      </c>
      <c r="N1206" s="1" t="inlineStr">
        <is>
          <t>Algorithms</t>
        </is>
      </c>
      <c r="O12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06" s="11" t="inlineStr">
        <is>
          <t>To Do</t>
        </is>
      </c>
    </row>
    <row r="1207" ht="15.75" customHeight="1" s="12">
      <c r="A1207" s="1" t="n">
        <v>620</v>
      </c>
      <c r="B1207" s="3">
        <f>HYPERLINK("https://leetcode.com/problems/not-boring-movies/", "Not Boring Movies")</f>
        <v/>
      </c>
      <c r="C1207" s="1" t="n">
        <v>1545</v>
      </c>
      <c r="D1207" s="1" t="n">
        <v>565</v>
      </c>
      <c r="E1207" s="4">
        <f>IF(INDEX(C:C, ROW())+INDEX(D:D, ROW())=0, 0, INDEX(C:C, ROW())/(INDEX(C:C, ROW())+INDEX(D:D, ROW())))</f>
        <v/>
      </c>
      <c r="F1207" s="1" t="inlineStr">
        <is>
          <t>Database</t>
        </is>
      </c>
      <c r="G1207" s="1" t="inlineStr">
        <is>
          <t>Easy</t>
        </is>
      </c>
      <c r="H1207" s="1" t="n">
        <v>1114785</v>
      </c>
      <c r="I1207" s="1" t="n">
        <v>1484647</v>
      </c>
      <c r="J1207" s="9" t="n">
        <v>0.751</v>
      </c>
      <c r="K1207" s="1" t="inlineStr">
        <is>
          <t>Yes</t>
        </is>
      </c>
      <c r="L1207" s="1" t="inlineStr">
        <is>
          <t>Yes</t>
        </is>
      </c>
      <c r="M1207" s="1" t="inlineStr">
        <is>
          <t>No</t>
        </is>
      </c>
      <c r="N1207" s="1" t="inlineStr">
        <is>
          <t>Database</t>
        </is>
      </c>
      <c r="O12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07" s="13" t="inlineStr">
        <is>
          <t>Done</t>
        </is>
      </c>
    </row>
    <row r="1208" ht="15.75" customHeight="1" s="12">
      <c r="A1208" s="1" t="n">
        <v>1124</v>
      </c>
      <c r="B1208" s="3">
        <f>HYPERLINK("https://leetcode.com/problems/longest-well-performing-interval/", "Longest Well-Performing Interval")</f>
        <v/>
      </c>
      <c r="C1208" s="1" t="n">
        <v>1545</v>
      </c>
      <c r="D1208" s="1" t="n">
        <v>124</v>
      </c>
      <c r="E1208" s="4">
        <f>IF(INDEX(C:C, ROW())+INDEX(D:D, ROW())=0, 0, INDEX(C:C, ROW())/(INDEX(C:C, ROW())+INDEX(D:D, ROW())))</f>
        <v/>
      </c>
      <c r="F1208" s="1" t="inlineStr">
        <is>
          <t>Array, Hash Table, Stack, Monotonic Stack, Prefix Sum</t>
        </is>
      </c>
      <c r="G1208" s="1" t="inlineStr">
        <is>
          <t>Medium</t>
        </is>
      </c>
      <c r="H1208" s="1" t="n">
        <v>47452</v>
      </c>
      <c r="I1208" s="1" t="n">
        <v>126315</v>
      </c>
      <c r="J1208" s="9" t="n">
        <v>0.376</v>
      </c>
      <c r="K1208" s="1" t="inlineStr">
        <is>
          <t>Yes</t>
        </is>
      </c>
      <c r="L1208" s="1" t="inlineStr">
        <is>
          <t>No</t>
        </is>
      </c>
      <c r="M1208" s="1" t="inlineStr">
        <is>
          <t>No</t>
        </is>
      </c>
      <c r="N1208" s="1" t="inlineStr">
        <is>
          <t>Algorithms</t>
        </is>
      </c>
      <c r="O12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08" s="11" t="inlineStr">
        <is>
          <t>To Do</t>
        </is>
      </c>
    </row>
    <row r="1209" ht="15.75" customHeight="1" s="12">
      <c r="A1209" s="1" t="n">
        <v>2221</v>
      </c>
      <c r="B1209" s="3">
        <f>HYPERLINK("https://leetcode.com/problems/find-triangular-sum-of-an-array/", "Find Triangular Sum of an Array")</f>
        <v/>
      </c>
      <c r="C1209" s="1" t="n">
        <v>1545</v>
      </c>
      <c r="D1209" s="1" t="n">
        <v>77</v>
      </c>
      <c r="E1209" s="4">
        <f>IF(INDEX(C:C, ROW())+INDEX(D:D, ROW())=0, 0, INDEX(C:C, ROW())/(INDEX(C:C, ROW())+INDEX(D:D, ROW())))</f>
        <v/>
      </c>
      <c r="F1209" s="1" t="inlineStr">
        <is>
          <t>Array, Math, Simulation, Combinatorics, Number Theory</t>
        </is>
      </c>
      <c r="G1209" s="1" t="inlineStr">
        <is>
          <t>Medium</t>
        </is>
      </c>
      <c r="H1209" s="1" t="n">
        <v>240548</v>
      </c>
      <c r="I1209" s="1" t="n">
        <v>293461</v>
      </c>
      <c r="J1209" s="9" t="n">
        <v>0.82</v>
      </c>
      <c r="K1209" s="1" t="inlineStr">
        <is>
          <t>Yes</t>
        </is>
      </c>
      <c r="L1209" s="1" t="inlineStr">
        <is>
          <t>Yes</t>
        </is>
      </c>
      <c r="M1209" s="1" t="inlineStr">
        <is>
          <t>No</t>
        </is>
      </c>
      <c r="N1209" s="1" t="inlineStr">
        <is>
          <t>Algorithms</t>
        </is>
      </c>
      <c r="O12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09" s="11" t="inlineStr">
        <is>
          <t>To Do</t>
        </is>
      </c>
    </row>
    <row r="1210" ht="15.75" customHeight="1" s="12">
      <c r="A1210" s="1" t="n">
        <v>2516</v>
      </c>
      <c r="B1210" s="3">
        <f>HYPERLINK("https://leetcode.com/problems/take-k-of-each-character-from-left-and-right/", "Take K of Each Character From Left and Right")</f>
        <v/>
      </c>
      <c r="C1210" s="1" t="n">
        <v>1542</v>
      </c>
      <c r="D1210" s="1" t="n">
        <v>174</v>
      </c>
      <c r="E1210" s="4">
        <f>IF(INDEX(C:C, ROW())+INDEX(D:D, ROW())=0, 0, INDEX(C:C, ROW())/(INDEX(C:C, ROW())+INDEX(D:D, ROW())))</f>
        <v/>
      </c>
      <c r="F1210" s="1" t="inlineStr">
        <is>
          <t>Hash Table, String, Sliding Window</t>
        </is>
      </c>
      <c r="G1210" s="1" t="inlineStr">
        <is>
          <t>Medium</t>
        </is>
      </c>
      <c r="H1210" s="1" t="n">
        <v>115464</v>
      </c>
      <c r="I1210" s="1" t="n">
        <v>224468</v>
      </c>
      <c r="J1210" s="9" t="n">
        <v>0.514</v>
      </c>
      <c r="K1210" s="1" t="inlineStr">
        <is>
          <t>Yes</t>
        </is>
      </c>
      <c r="L1210" s="1" t="inlineStr">
        <is>
          <t>Yes</t>
        </is>
      </c>
      <c r="M1210" s="1" t="inlineStr">
        <is>
          <t>No</t>
        </is>
      </c>
      <c r="N1210" s="1" t="inlineStr">
        <is>
          <t>Algorithms</t>
        </is>
      </c>
      <c r="O12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10" s="11" t="inlineStr">
        <is>
          <t>To Do</t>
        </is>
      </c>
    </row>
    <row r="1211" ht="15.75" customHeight="1" s="12">
      <c r="A1211" s="1" t="n">
        <v>1650</v>
      </c>
      <c r="B1211" s="3">
        <f>HYPERLINK("https://leetcode.com/problems/lowest-common-ancestor-of-a-binary-tree-iii/", "Lowest Common Ancestor of a Binary Tree III")</f>
        <v/>
      </c>
      <c r="C1211" s="1" t="n">
        <v>1540</v>
      </c>
      <c r="D1211" s="1" t="n">
        <v>61</v>
      </c>
      <c r="E1211" s="4">
        <f>IF(INDEX(C:C, ROW())+INDEX(D:D, ROW())=0, 0, INDEX(C:C, ROW())/(INDEX(C:C, ROW())+INDEX(D:D, ROW())))</f>
        <v/>
      </c>
      <c r="F1211" s="1" t="inlineStr">
        <is>
          <t>Hash Table, Two Pointers, Tree, Binary Tree</t>
        </is>
      </c>
      <c r="G1211" s="1" t="inlineStr">
        <is>
          <t>Medium</t>
        </is>
      </c>
      <c r="H1211" s="1" t="n">
        <v>407174</v>
      </c>
      <c r="I1211" s="1" t="n">
        <v>490600</v>
      </c>
      <c r="J1211" s="9" t="n">
        <v>0.83</v>
      </c>
      <c r="K1211" s="1" t="inlineStr">
        <is>
          <t>No</t>
        </is>
      </c>
      <c r="L1211" s="1" t="inlineStr">
        <is>
          <t>No</t>
        </is>
      </c>
      <c r="M1211" s="1" t="inlineStr">
        <is>
          <t>No</t>
        </is>
      </c>
      <c r="N1211" s="1" t="inlineStr">
        <is>
          <t>Algorithms</t>
        </is>
      </c>
      <c r="O12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11" s="11" t="inlineStr">
        <is>
          <t>To Do</t>
        </is>
      </c>
    </row>
    <row r="1212" ht="15.75" customHeight="1" s="12">
      <c r="A1212" s="1" t="n">
        <v>764</v>
      </c>
      <c r="B1212" s="3">
        <f>HYPERLINK("https://leetcode.com/problems/largest-plus-sign/", "Largest Plus Sign")</f>
        <v/>
      </c>
      <c r="C1212" s="1" t="n">
        <v>1539</v>
      </c>
      <c r="D1212" s="1" t="n">
        <v>242</v>
      </c>
      <c r="E1212" s="4">
        <f>IF(INDEX(C:C, ROW())+INDEX(D:D, ROW())=0, 0, INDEX(C:C, ROW())/(INDEX(C:C, ROW())+INDEX(D:D, ROW())))</f>
        <v/>
      </c>
      <c r="F1212" s="1" t="inlineStr">
        <is>
          <t>Array, Dynamic Programming</t>
        </is>
      </c>
      <c r="G1212" s="1" t="inlineStr">
        <is>
          <t>Medium</t>
        </is>
      </c>
      <c r="H1212" s="1" t="n">
        <v>70125</v>
      </c>
      <c r="I1212" s="1" t="n">
        <v>142619</v>
      </c>
      <c r="J1212" s="9" t="n">
        <v>0.492</v>
      </c>
      <c r="K1212" s="1" t="inlineStr">
        <is>
          <t>Yes</t>
        </is>
      </c>
      <c r="L1212" s="1" t="inlineStr">
        <is>
          <t>Yes</t>
        </is>
      </c>
      <c r="M1212" s="1" t="inlineStr">
        <is>
          <t>No</t>
        </is>
      </c>
      <c r="N1212" s="1" t="inlineStr">
        <is>
          <t>Algorithms</t>
        </is>
      </c>
      <c r="O12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12" s="11" t="inlineStr">
        <is>
          <t>To Do</t>
        </is>
      </c>
    </row>
    <row r="1213" ht="15.75" customHeight="1" s="12">
      <c r="A1213" s="1" t="n">
        <v>2370</v>
      </c>
      <c r="B1213" s="3">
        <f>HYPERLINK("https://leetcode.com/problems/longest-ideal-subsequence/", "Longest Ideal Subsequence")</f>
        <v/>
      </c>
      <c r="C1213" s="1" t="n">
        <v>1535</v>
      </c>
      <c r="D1213" s="1" t="n">
        <v>82</v>
      </c>
      <c r="E1213" s="4">
        <f>IF(INDEX(C:C, ROW())+INDEX(D:D, ROW())=0, 0, INDEX(C:C, ROW())/(INDEX(C:C, ROW())+INDEX(D:D, ROW())))</f>
        <v/>
      </c>
      <c r="F1213" s="1" t="inlineStr">
        <is>
          <t>Hash Table, String, Dynamic Programming</t>
        </is>
      </c>
      <c r="G1213" s="1" t="inlineStr">
        <is>
          <t>Medium</t>
        </is>
      </c>
      <c r="H1213" s="1" t="n">
        <v>124734</v>
      </c>
      <c r="I1213" s="1" t="n">
        <v>267435</v>
      </c>
      <c r="J1213" s="9" t="n">
        <v>0.466</v>
      </c>
      <c r="K1213" s="1" t="inlineStr">
        <is>
          <t>Yes</t>
        </is>
      </c>
      <c r="L1213" s="1" t="inlineStr">
        <is>
          <t>Yes</t>
        </is>
      </c>
      <c r="M1213" s="1" t="inlineStr">
        <is>
          <t>No</t>
        </is>
      </c>
      <c r="N1213" s="1" t="inlineStr">
        <is>
          <t>Algorithms</t>
        </is>
      </c>
      <c r="O12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13" s="11" t="inlineStr">
        <is>
          <t>To Do</t>
        </is>
      </c>
    </row>
    <row r="1214" ht="15.75" customHeight="1" s="12">
      <c r="A1214" s="1" t="n">
        <v>465</v>
      </c>
      <c r="B1214" s="3">
        <f>HYPERLINK("https://leetcode.com/problems/optimal-account-balancing/", "Optimal Account Balancing")</f>
        <v/>
      </c>
      <c r="C1214" s="1" t="n">
        <v>1532</v>
      </c>
      <c r="D1214" s="1" t="n">
        <v>164</v>
      </c>
      <c r="E1214" s="4">
        <f>IF(INDEX(C:C, ROW())+INDEX(D:D, ROW())=0, 0, INDEX(C:C, ROW())/(INDEX(C:C, ROW())+INDEX(D:D, ROW())))</f>
        <v/>
      </c>
      <c r="F1214" s="1" t="inlineStr">
        <is>
          <t>Array, Dynamic Programming, Backtracking, Bit Manipulation, Bitmask</t>
        </is>
      </c>
      <c r="G1214" s="1" t="inlineStr">
        <is>
          <t>Hard</t>
        </is>
      </c>
      <c r="H1214" s="1" t="n">
        <v>115201</v>
      </c>
      <c r="I1214" s="1" t="n">
        <v>228374</v>
      </c>
      <c r="J1214" s="9" t="n">
        <v>0.504</v>
      </c>
      <c r="K1214" s="1" t="inlineStr">
        <is>
          <t>No</t>
        </is>
      </c>
      <c r="L1214" s="1" t="inlineStr">
        <is>
          <t>Yes</t>
        </is>
      </c>
      <c r="M1214" s="1" t="inlineStr">
        <is>
          <t>No</t>
        </is>
      </c>
      <c r="N1214" s="1" t="inlineStr">
        <is>
          <t>Algorithms</t>
        </is>
      </c>
      <c r="O12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14" s="11" t="inlineStr">
        <is>
          <t>To Do</t>
        </is>
      </c>
    </row>
    <row r="1215" ht="15.75" customHeight="1" s="12">
      <c r="A1215" s="1" t="n">
        <v>467</v>
      </c>
      <c r="B1215" s="3">
        <f>HYPERLINK("https://leetcode.com/problems/unique-substrings-in-wraparound-string/", "Unique Substrings in Wraparound String")</f>
        <v/>
      </c>
      <c r="C1215" s="1" t="n">
        <v>1531</v>
      </c>
      <c r="D1215" s="1" t="n">
        <v>191</v>
      </c>
      <c r="E1215" s="4">
        <f>IF(INDEX(C:C, ROW())+INDEX(D:D, ROW())=0, 0, INDEX(C:C, ROW())/(INDEX(C:C, ROW())+INDEX(D:D, ROW())))</f>
        <v/>
      </c>
      <c r="F1215" s="1" t="inlineStr">
        <is>
          <t>String, Dynamic Programming</t>
        </is>
      </c>
      <c r="G1215" s="1" t="inlineStr">
        <is>
          <t>Medium</t>
        </is>
      </c>
      <c r="H1215" s="1" t="n">
        <v>57134</v>
      </c>
      <c r="I1215" s="1" t="n">
        <v>132758</v>
      </c>
      <c r="J1215" s="9" t="n">
        <v>0.43</v>
      </c>
      <c r="K1215" s="1" t="inlineStr">
        <is>
          <t>Yes</t>
        </is>
      </c>
      <c r="L1215" s="1" t="inlineStr">
        <is>
          <t>No</t>
        </is>
      </c>
      <c r="M1215" s="1" t="inlineStr">
        <is>
          <t>No</t>
        </is>
      </c>
      <c r="N1215" s="1" t="inlineStr">
        <is>
          <t>Algorithms</t>
        </is>
      </c>
      <c r="O12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15" s="11" t="inlineStr">
        <is>
          <t>To Do</t>
        </is>
      </c>
    </row>
    <row r="1216" ht="15.75" customHeight="1" s="12">
      <c r="A1216" s="1" t="n">
        <v>1460</v>
      </c>
      <c r="B1216" s="3">
        <f>HYPERLINK("https://leetcode.com/problems/make-two-arrays-equal-by-reversing-subarrays/", "Make Two Arrays Equal by Reversing Subarrays")</f>
        <v/>
      </c>
      <c r="C1216" s="1" t="n">
        <v>1531</v>
      </c>
      <c r="D1216" s="1" t="n">
        <v>164</v>
      </c>
      <c r="E1216" s="4">
        <f>IF(INDEX(C:C, ROW())+INDEX(D:D, ROW())=0, 0, INDEX(C:C, ROW())/(INDEX(C:C, ROW())+INDEX(D:D, ROW())))</f>
        <v/>
      </c>
      <c r="F1216" s="1" t="inlineStr">
        <is>
          <t>Array, Hash Table, Sorting</t>
        </is>
      </c>
      <c r="G1216" s="1" t="inlineStr">
        <is>
          <t>Easy</t>
        </is>
      </c>
      <c r="H1216" s="1" t="n">
        <v>334197</v>
      </c>
      <c r="I1216" s="1" t="n">
        <v>440835</v>
      </c>
      <c r="J1216" s="9" t="n">
        <v>0.758</v>
      </c>
      <c r="K1216" s="1" t="inlineStr">
        <is>
          <t>Yes</t>
        </is>
      </c>
      <c r="L1216" s="1" t="inlineStr">
        <is>
          <t>Yes</t>
        </is>
      </c>
      <c r="M1216" s="1" t="inlineStr">
        <is>
          <t>No</t>
        </is>
      </c>
      <c r="N1216" s="1" t="inlineStr">
        <is>
          <t>Algorithms</t>
        </is>
      </c>
      <c r="O12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16" s="13" t="inlineStr">
        <is>
          <t>Done</t>
        </is>
      </c>
    </row>
    <row r="1217" ht="15.75" customHeight="1" s="12">
      <c r="A1217" s="1" t="n">
        <v>943</v>
      </c>
      <c r="B1217" s="3">
        <f>HYPERLINK("https://leetcode.com/problems/find-the-shortest-superstring/", "Find the Shortest Superstring")</f>
        <v/>
      </c>
      <c r="C1217" s="1" t="n">
        <v>1526</v>
      </c>
      <c r="D1217" s="1" t="n">
        <v>152</v>
      </c>
      <c r="E1217" s="4">
        <f>IF(INDEX(C:C, ROW())+INDEX(D:D, ROW())=0, 0, INDEX(C:C, ROW())/(INDEX(C:C, ROW())+INDEX(D:D, ROW())))</f>
        <v/>
      </c>
      <c r="F1217" s="1" t="inlineStr">
        <is>
          <t>Array, String, Dynamic Programming, Bit Manipulation, Bitmask</t>
        </is>
      </c>
      <c r="G1217" s="1" t="inlineStr">
        <is>
          <t>Hard</t>
        </is>
      </c>
      <c r="H1217" s="1" t="n">
        <v>35947</v>
      </c>
      <c r="I1217" s="1" t="n">
        <v>79263</v>
      </c>
      <c r="J1217" s="9" t="n">
        <v>0.454</v>
      </c>
      <c r="K1217" s="1" t="inlineStr">
        <is>
          <t>Yes</t>
        </is>
      </c>
      <c r="L1217" s="1" t="inlineStr">
        <is>
          <t>Yes</t>
        </is>
      </c>
      <c r="M1217" s="1" t="inlineStr">
        <is>
          <t>No</t>
        </is>
      </c>
      <c r="N1217" s="1" t="inlineStr">
        <is>
          <t>Algorithms</t>
        </is>
      </c>
      <c r="O12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17" s="11" t="inlineStr">
        <is>
          <t>To Do</t>
        </is>
      </c>
    </row>
    <row r="1218" ht="15.75" customHeight="1" s="12">
      <c r="A1218" s="1" t="n">
        <v>2000</v>
      </c>
      <c r="B1218" s="3">
        <f>HYPERLINK("https://leetcode.com/problems/reverse-prefix-of-word/", "Reverse Prefix of Word")</f>
        <v/>
      </c>
      <c r="C1218" s="1" t="n">
        <v>1525</v>
      </c>
      <c r="D1218" s="1" t="n">
        <v>46</v>
      </c>
      <c r="E1218" s="4">
        <f>IF(INDEX(C:C, ROW())+INDEX(D:D, ROW())=0, 0, INDEX(C:C, ROW())/(INDEX(C:C, ROW())+INDEX(D:D, ROW())))</f>
        <v/>
      </c>
      <c r="F1218" s="1" t="inlineStr">
        <is>
          <t>Two Pointers, String, Stack</t>
        </is>
      </c>
      <c r="G1218" s="1" t="inlineStr">
        <is>
          <t>Easy</t>
        </is>
      </c>
      <c r="H1218" s="1" t="n">
        <v>384244</v>
      </c>
      <c r="I1218" s="1" t="n">
        <v>444425</v>
      </c>
      <c r="J1218" s="9" t="n">
        <v>0.865</v>
      </c>
      <c r="K1218" s="1" t="inlineStr">
        <is>
          <t>Yes</t>
        </is>
      </c>
      <c r="L1218" s="1" t="inlineStr">
        <is>
          <t>Yes</t>
        </is>
      </c>
      <c r="M1218" s="1" t="inlineStr">
        <is>
          <t>No</t>
        </is>
      </c>
      <c r="N1218" s="1" t="inlineStr">
        <is>
          <t>Algorithms</t>
        </is>
      </c>
      <c r="O12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18" s="13" t="inlineStr">
        <is>
          <t>Done</t>
        </is>
      </c>
    </row>
    <row r="1219" ht="15.75" customHeight="1" s="12">
      <c r="A1219" s="1" t="n">
        <v>2016</v>
      </c>
      <c r="B1219" s="3">
        <f>HYPERLINK("https://leetcode.com/problems/maximum-difference-between-increasing-elements/", "Maximum Difference Between Increasing Elements")</f>
        <v/>
      </c>
      <c r="C1219" s="1" t="n">
        <v>1522</v>
      </c>
      <c r="D1219" s="1" t="n">
        <v>44</v>
      </c>
      <c r="E1219" s="4">
        <f>IF(INDEX(C:C, ROW())+INDEX(D:D, ROW())=0, 0, INDEX(C:C, ROW())/(INDEX(C:C, ROW())+INDEX(D:D, ROW())))</f>
        <v/>
      </c>
      <c r="F1219" s="1" t="inlineStr">
        <is>
          <t>Array</t>
        </is>
      </c>
      <c r="G1219" s="1" t="inlineStr">
        <is>
          <t>Easy</t>
        </is>
      </c>
      <c r="H1219" s="1" t="n">
        <v>290639</v>
      </c>
      <c r="I1219" s="1" t="n">
        <v>436614</v>
      </c>
      <c r="J1219" s="9" t="n">
        <v>0.666</v>
      </c>
      <c r="K1219" s="1" t="inlineStr">
        <is>
          <t>Yes</t>
        </is>
      </c>
      <c r="L1219" s="1" t="inlineStr">
        <is>
          <t>Yes</t>
        </is>
      </c>
      <c r="M1219" s="1" t="inlineStr">
        <is>
          <t>No</t>
        </is>
      </c>
      <c r="N1219" s="1" t="inlineStr">
        <is>
          <t>Algorithms</t>
        </is>
      </c>
      <c r="O12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19" s="13" t="inlineStr">
        <is>
          <t>Done</t>
        </is>
      </c>
    </row>
    <row r="1220" ht="15.75" customHeight="1" s="12">
      <c r="A1220" s="1" t="n">
        <v>1763</v>
      </c>
      <c r="B1220" s="3">
        <f>HYPERLINK("https://leetcode.com/problems/longest-nice-substring/", "Longest Nice Substring")</f>
        <v/>
      </c>
      <c r="C1220" s="1" t="n">
        <v>1520</v>
      </c>
      <c r="D1220" s="1" t="n">
        <v>982</v>
      </c>
      <c r="E1220" s="4">
        <f>IF(INDEX(C:C, ROW())+INDEX(D:D, ROW())=0, 0, INDEX(C:C, ROW())/(INDEX(C:C, ROW())+INDEX(D:D, ROW())))</f>
        <v/>
      </c>
      <c r="F1220" s="1" t="inlineStr">
        <is>
          <t>Hash Table, String, Divide and Conquer, Bit Manipulation, Sliding Window</t>
        </is>
      </c>
      <c r="G1220" s="1" t="inlineStr">
        <is>
          <t>Easy</t>
        </is>
      </c>
      <c r="H1220" s="1" t="n">
        <v>97562</v>
      </c>
      <c r="I1220" s="1" t="n">
        <v>151755</v>
      </c>
      <c r="J1220" s="9" t="n">
        <v>0.643</v>
      </c>
      <c r="K1220" s="1" t="inlineStr">
        <is>
          <t>Yes</t>
        </is>
      </c>
      <c r="L1220" s="1" t="inlineStr">
        <is>
          <t>No</t>
        </is>
      </c>
      <c r="M1220" s="1" t="inlineStr">
        <is>
          <t>No</t>
        </is>
      </c>
      <c r="N1220" s="1" t="inlineStr">
        <is>
          <t>Algorithms</t>
        </is>
      </c>
      <c r="O12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20" s="13" t="inlineStr">
        <is>
          <t>Done</t>
        </is>
      </c>
    </row>
    <row r="1221" ht="15.75" customHeight="1" s="12">
      <c r="A1221" s="1" t="n">
        <v>1486</v>
      </c>
      <c r="B1221" s="3">
        <f>HYPERLINK("https://leetcode.com/problems/xor-operation-in-an-array/", "XOR Operation in an Array")</f>
        <v/>
      </c>
      <c r="C1221" s="1" t="n">
        <v>1519</v>
      </c>
      <c r="D1221" s="1" t="n">
        <v>341</v>
      </c>
      <c r="E1221" s="4">
        <f>IF(INDEX(C:C, ROW())+INDEX(D:D, ROW())=0, 0, INDEX(C:C, ROW())/(INDEX(C:C, ROW())+INDEX(D:D, ROW())))</f>
        <v/>
      </c>
      <c r="F1221" s="1" t="inlineStr">
        <is>
          <t>Math, Bit Manipulation</t>
        </is>
      </c>
      <c r="G1221" s="1" t="inlineStr">
        <is>
          <t>Easy</t>
        </is>
      </c>
      <c r="H1221" s="1" t="n">
        <v>270768</v>
      </c>
      <c r="I1221" s="1" t="n">
        <v>309219</v>
      </c>
      <c r="J1221" s="9" t="n">
        <v>0.876</v>
      </c>
      <c r="K1221" s="1" t="inlineStr">
        <is>
          <t>Yes</t>
        </is>
      </c>
      <c r="L1221" s="1" t="inlineStr">
        <is>
          <t>No</t>
        </is>
      </c>
      <c r="M1221" s="1" t="inlineStr">
        <is>
          <t>No</t>
        </is>
      </c>
      <c r="N1221" s="1" t="inlineStr">
        <is>
          <t>Algorithms</t>
        </is>
      </c>
      <c r="O12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21" s="13" t="inlineStr">
        <is>
          <t>Done</t>
        </is>
      </c>
    </row>
    <row r="1222" ht="15.75" customHeight="1" s="12">
      <c r="A1222" s="1" t="n">
        <v>550</v>
      </c>
      <c r="B1222" s="3">
        <f>HYPERLINK("https://leetcode.com/problems/game-play-analysis-iv/", "Game Play Analysis IV")</f>
        <v/>
      </c>
      <c r="C1222" s="1" t="n">
        <v>1518</v>
      </c>
      <c r="D1222" s="1" t="n">
        <v>251</v>
      </c>
      <c r="E1222" s="4">
        <f>IF(INDEX(C:C, ROW())+INDEX(D:D, ROW())=0, 0, INDEX(C:C, ROW())/(INDEX(C:C, ROW())+INDEX(D:D, ROW())))</f>
        <v/>
      </c>
      <c r="F1222" s="1" t="inlineStr">
        <is>
          <t>Database</t>
        </is>
      </c>
      <c r="G1222" s="1" t="inlineStr">
        <is>
          <t>Medium</t>
        </is>
      </c>
      <c r="H1222" s="1" t="n">
        <v>463192</v>
      </c>
      <c r="I1222" s="1" t="n">
        <v>1125117</v>
      </c>
      <c r="J1222" s="9" t="n">
        <v>0.412</v>
      </c>
      <c r="K1222" s="1" t="inlineStr">
        <is>
          <t>Yes</t>
        </is>
      </c>
      <c r="L1222" s="1" t="inlineStr">
        <is>
          <t>Yes</t>
        </is>
      </c>
      <c r="M1222" s="1" t="inlineStr">
        <is>
          <t>No</t>
        </is>
      </c>
      <c r="N1222" s="1" t="inlineStr">
        <is>
          <t>Database</t>
        </is>
      </c>
      <c r="O12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22" s="11" t="inlineStr">
        <is>
          <t>To Do</t>
        </is>
      </c>
    </row>
    <row r="1223" ht="15.75" customHeight="1" s="12">
      <c r="A1223" s="1" t="n">
        <v>624</v>
      </c>
      <c r="B1223" s="3">
        <f>HYPERLINK("https://leetcode.com/problems/maximum-distance-in-arrays/", "Maximum Distance in Arrays")</f>
        <v/>
      </c>
      <c r="C1223" s="1" t="n">
        <v>1517</v>
      </c>
      <c r="D1223" s="1" t="n">
        <v>122</v>
      </c>
      <c r="E1223" s="4">
        <f>IF(INDEX(C:C, ROW())+INDEX(D:D, ROW())=0, 0, INDEX(C:C, ROW())/(INDEX(C:C, ROW())+INDEX(D:D, ROW())))</f>
        <v/>
      </c>
      <c r="F1223" s="1" t="inlineStr">
        <is>
          <t>Array, Greedy</t>
        </is>
      </c>
      <c r="G1223" s="1" t="inlineStr">
        <is>
          <t>Medium</t>
        </is>
      </c>
      <c r="H1223" s="1" t="n">
        <v>206649</v>
      </c>
      <c r="I1223" s="1" t="n">
        <v>453072</v>
      </c>
      <c r="J1223" s="9" t="n">
        <v>0.456</v>
      </c>
      <c r="K1223" s="1" t="inlineStr">
        <is>
          <t>Yes</t>
        </is>
      </c>
      <c r="L1223" s="1" t="inlineStr">
        <is>
          <t>Yes</t>
        </is>
      </c>
      <c r="M1223" s="1" t="inlineStr">
        <is>
          <t>No</t>
        </is>
      </c>
      <c r="N1223" s="1" t="inlineStr">
        <is>
          <t>Algorithms</t>
        </is>
      </c>
      <c r="O12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23" s="11" t="inlineStr">
        <is>
          <t>To Do</t>
        </is>
      </c>
    </row>
    <row r="1224" ht="15.75" customHeight="1" s="12">
      <c r="A1224" s="1" t="n">
        <v>1593</v>
      </c>
      <c r="B1224" s="3">
        <f>HYPERLINK("https://leetcode.com/problems/split-a-string-into-the-max-number-of-unique-substrings/", "Split a String Into the Max Number of Unique Substrings")</f>
        <v/>
      </c>
      <c r="C1224" s="1" t="n">
        <v>1516</v>
      </c>
      <c r="D1224" s="1" t="n">
        <v>73</v>
      </c>
      <c r="E1224" s="4">
        <f>IF(INDEX(C:C, ROW())+INDEX(D:D, ROW())=0, 0, INDEX(C:C, ROW())/(INDEX(C:C, ROW())+INDEX(D:D, ROW())))</f>
        <v/>
      </c>
      <c r="F1224" s="1" t="inlineStr">
        <is>
          <t>Hash Table, String, Backtracking</t>
        </is>
      </c>
      <c r="G1224" s="1" t="inlineStr">
        <is>
          <t>Medium</t>
        </is>
      </c>
      <c r="H1224" s="1" t="n">
        <v>150337</v>
      </c>
      <c r="I1224" s="1" t="n">
        <v>218951</v>
      </c>
      <c r="J1224" s="9" t="n">
        <v>0.6870000000000001</v>
      </c>
      <c r="K1224" s="1" t="inlineStr">
        <is>
          <t>Yes</t>
        </is>
      </c>
      <c r="L1224" s="1" t="inlineStr">
        <is>
          <t>Yes</t>
        </is>
      </c>
      <c r="M1224" s="1" t="inlineStr">
        <is>
          <t>No</t>
        </is>
      </c>
      <c r="N1224" s="1" t="inlineStr">
        <is>
          <t>Algorithms</t>
        </is>
      </c>
      <c r="O12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24" s="11" t="inlineStr">
        <is>
          <t>To Do</t>
        </is>
      </c>
    </row>
    <row r="1225" ht="15.75" customHeight="1" s="12">
      <c r="A1225" s="1" t="n">
        <v>2433</v>
      </c>
      <c r="B1225" s="3">
        <f>HYPERLINK("https://leetcode.com/problems/find-the-original-array-of-prefix-xor/", "Find The Original Array of Prefix Xor")</f>
        <v/>
      </c>
      <c r="C1225" s="1" t="n">
        <v>1516</v>
      </c>
      <c r="D1225" s="1" t="n">
        <v>91</v>
      </c>
      <c r="E1225" s="4">
        <f>IF(INDEX(C:C, ROW())+INDEX(D:D, ROW())=0, 0, INDEX(C:C, ROW())/(INDEX(C:C, ROW())+INDEX(D:D, ROW())))</f>
        <v/>
      </c>
      <c r="F1225" s="1" t="inlineStr">
        <is>
          <t>Array, Bit Manipulation</t>
        </is>
      </c>
      <c r="G1225" s="1" t="inlineStr">
        <is>
          <t>Medium</t>
        </is>
      </c>
      <c r="H1225" s="1" t="n">
        <v>192414</v>
      </c>
      <c r="I1225" s="1" t="n">
        <v>217789</v>
      </c>
      <c r="J1225" s="9" t="n">
        <v>0.883</v>
      </c>
      <c r="K1225" s="1" t="inlineStr">
        <is>
          <t>Yes</t>
        </is>
      </c>
      <c r="L1225" s="1" t="inlineStr">
        <is>
          <t>Yes</t>
        </is>
      </c>
      <c r="M1225" s="1" t="inlineStr">
        <is>
          <t>No</t>
        </is>
      </c>
      <c r="N1225" s="1" t="inlineStr">
        <is>
          <t>Algorithms</t>
        </is>
      </c>
      <c r="O12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25" s="11" t="inlineStr">
        <is>
          <t>To Do</t>
        </is>
      </c>
    </row>
    <row r="1226" ht="15.75" customHeight="1" s="12">
      <c r="A1226" s="1" t="n">
        <v>1387</v>
      </c>
      <c r="B1226" s="3">
        <f>HYPERLINK("https://leetcode.com/problems/sort-integers-by-the-power-value/", "Sort Integers by The Power Value")</f>
        <v/>
      </c>
      <c r="C1226" s="1" t="n">
        <v>1515</v>
      </c>
      <c r="D1226" s="1" t="n">
        <v>121</v>
      </c>
      <c r="E1226" s="4">
        <f>IF(INDEX(C:C, ROW())+INDEX(D:D, ROW())=0, 0, INDEX(C:C, ROW())/(INDEX(C:C, ROW())+INDEX(D:D, ROW())))</f>
        <v/>
      </c>
      <c r="F1226" s="1" t="inlineStr">
        <is>
          <t>Dynamic Programming, Memoization, Sorting</t>
        </is>
      </c>
      <c r="G1226" s="1" t="inlineStr">
        <is>
          <t>Medium</t>
        </is>
      </c>
      <c r="H1226" s="1" t="n">
        <v>122740</v>
      </c>
      <c r="I1226" s="1" t="n">
        <v>171181</v>
      </c>
      <c r="J1226" s="9" t="n">
        <v>0.717</v>
      </c>
      <c r="K1226" s="1" t="inlineStr">
        <is>
          <t>Yes</t>
        </is>
      </c>
      <c r="L1226" s="1" t="inlineStr">
        <is>
          <t>No</t>
        </is>
      </c>
      <c r="M1226" s="1" t="inlineStr">
        <is>
          <t>No</t>
        </is>
      </c>
      <c r="N1226" s="1" t="inlineStr">
        <is>
          <t>Algorithms</t>
        </is>
      </c>
      <c r="O12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26" s="11" t="inlineStr">
        <is>
          <t>To Do</t>
        </is>
      </c>
    </row>
    <row r="1227" ht="15.75" customHeight="1" s="12">
      <c r="A1227" s="1" t="n">
        <v>2160</v>
      </c>
      <c r="B1227" s="3">
        <f>HYPERLINK("https://leetcode.com/problems/minimum-sum-of-four-digit-number-after-splitting-digits/", "Minimum Sum of Four Digit Number After Splitting Digits")</f>
        <v/>
      </c>
      <c r="C1227" s="1" t="n">
        <v>1515</v>
      </c>
      <c r="D1227" s="1" t="n">
        <v>148</v>
      </c>
      <c r="E1227" s="4">
        <f>IF(INDEX(C:C, ROW())+INDEX(D:D, ROW())=0, 0, INDEX(C:C, ROW())/(INDEX(C:C, ROW())+INDEX(D:D, ROW())))</f>
        <v/>
      </c>
      <c r="F1227" s="1" t="inlineStr">
        <is>
          <t>Math, Greedy, Sorting</t>
        </is>
      </c>
      <c r="G1227" s="1" t="inlineStr">
        <is>
          <t>Easy</t>
        </is>
      </c>
      <c r="H1227" s="1" t="n">
        <v>170871</v>
      </c>
      <c r="I1227" s="1" t="n">
        <v>198093</v>
      </c>
      <c r="J1227" s="9" t="n">
        <v>0.863</v>
      </c>
      <c r="K1227" s="1" t="inlineStr">
        <is>
          <t>Yes</t>
        </is>
      </c>
      <c r="L1227" s="1" t="inlineStr">
        <is>
          <t>No</t>
        </is>
      </c>
      <c r="M1227" s="1" t="inlineStr">
        <is>
          <t>No</t>
        </is>
      </c>
      <c r="N1227" s="1" t="inlineStr">
        <is>
          <t>Algorithms</t>
        </is>
      </c>
      <c r="O12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27" s="13" t="inlineStr">
        <is>
          <t>Done</t>
        </is>
      </c>
    </row>
    <row r="1228" ht="15.75" customHeight="1" s="12">
      <c r="A1228" s="1" t="n">
        <v>2751</v>
      </c>
      <c r="B1228" s="3">
        <f>HYPERLINK("https://leetcode.com/problems/robot-collisions/", "Robot Collisions")</f>
        <v/>
      </c>
      <c r="C1228" s="1" t="n">
        <v>1515</v>
      </c>
      <c r="D1228" s="1" t="n">
        <v>114</v>
      </c>
      <c r="E1228" s="4">
        <f>IF(INDEX(C:C, ROW())+INDEX(D:D, ROW())=0, 0, INDEX(C:C, ROW())/(INDEX(C:C, ROW())+INDEX(D:D, ROW())))</f>
        <v/>
      </c>
      <c r="F1228" s="1" t="inlineStr">
        <is>
          <t>Array, Stack, Sorting, Simulation</t>
        </is>
      </c>
      <c r="G1228" s="1" t="inlineStr">
        <is>
          <t>Hard</t>
        </is>
      </c>
      <c r="H1228" s="1" t="n">
        <v>192167</v>
      </c>
      <c r="I1228" s="1" t="n">
        <v>311910</v>
      </c>
      <c r="J1228" s="9" t="n">
        <v>0.616</v>
      </c>
      <c r="K1228" s="1" t="inlineStr">
        <is>
          <t>Yes</t>
        </is>
      </c>
      <c r="L1228" s="1" t="inlineStr">
        <is>
          <t>Yes</t>
        </is>
      </c>
      <c r="M1228" s="1" t="inlineStr">
        <is>
          <t>No</t>
        </is>
      </c>
      <c r="N1228" s="1" t="inlineStr">
        <is>
          <t>Algorithms</t>
        </is>
      </c>
      <c r="O12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28" s="11" t="inlineStr">
        <is>
          <t>To Do</t>
        </is>
      </c>
    </row>
    <row r="1229" ht="15.75" customHeight="1" s="12">
      <c r="A1229" s="1" t="n">
        <v>1559</v>
      </c>
      <c r="B1229" s="3">
        <f>HYPERLINK("https://leetcode.com/problems/detect-cycles-in-2d-grid/", "Detect Cycles in 2D Grid")</f>
        <v/>
      </c>
      <c r="C1229" s="1" t="n">
        <v>1514</v>
      </c>
      <c r="D1229" s="1" t="n">
        <v>33</v>
      </c>
      <c r="E1229" s="4">
        <f>IF(INDEX(C:C, ROW())+INDEX(D:D, ROW())=0, 0, INDEX(C:C, ROW())/(INDEX(C:C, ROW())+INDEX(D:D, ROW())))</f>
        <v/>
      </c>
      <c r="F1229" s="1" t="inlineStr">
        <is>
          <t>Array, Depth-First Search, Breadth-First Search, Union-Find, Matrix</t>
        </is>
      </c>
      <c r="G1229" s="1" t="inlineStr">
        <is>
          <t>Medium</t>
        </is>
      </c>
      <c r="H1229" s="1" t="n">
        <v>138621</v>
      </c>
      <c r="I1229" s="1" t="n">
        <v>219169</v>
      </c>
      <c r="J1229" s="9" t="n">
        <v>0.632</v>
      </c>
      <c r="K1229" s="1" t="inlineStr">
        <is>
          <t>Yes</t>
        </is>
      </c>
      <c r="L1229" s="1" t="inlineStr">
        <is>
          <t>Yes</t>
        </is>
      </c>
      <c r="M1229" s="1" t="inlineStr">
        <is>
          <t>No</t>
        </is>
      </c>
      <c r="N1229" s="1" t="inlineStr">
        <is>
          <t>Algorithms</t>
        </is>
      </c>
      <c r="O12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29" s="11" t="inlineStr">
        <is>
          <t>To Do</t>
        </is>
      </c>
    </row>
    <row r="1230" ht="15.75" customHeight="1" s="12">
      <c r="A1230" s="1" t="n">
        <v>1191</v>
      </c>
      <c r="B1230" s="3">
        <f>HYPERLINK("https://leetcode.com/problems/k-concatenation-maximum-sum/", "K-Concatenation Maximum Sum")</f>
        <v/>
      </c>
      <c r="C1230" s="1" t="n">
        <v>1511</v>
      </c>
      <c r="D1230" s="1" t="n">
        <v>134</v>
      </c>
      <c r="E1230" s="4">
        <f>IF(INDEX(C:C, ROW())+INDEX(D:D, ROW())=0, 0, INDEX(C:C, ROW())/(INDEX(C:C, ROW())+INDEX(D:D, ROW())))</f>
        <v/>
      </c>
      <c r="F1230" s="1" t="inlineStr">
        <is>
          <t>Array, Dynamic Programming</t>
        </is>
      </c>
      <c r="G1230" s="1" t="inlineStr">
        <is>
          <t>Medium</t>
        </is>
      </c>
      <c r="H1230" s="1" t="n">
        <v>45376</v>
      </c>
      <c r="I1230" s="1" t="n">
        <v>177565</v>
      </c>
      <c r="J1230" s="9" t="n">
        <v>0.256</v>
      </c>
      <c r="K1230" s="1" t="inlineStr">
        <is>
          <t>Yes</t>
        </is>
      </c>
      <c r="L1230" s="1" t="inlineStr">
        <is>
          <t>No</t>
        </is>
      </c>
      <c r="M1230" s="1" t="inlineStr">
        <is>
          <t>No</t>
        </is>
      </c>
      <c r="N1230" s="1" t="inlineStr">
        <is>
          <t>Algorithms</t>
        </is>
      </c>
      <c r="O12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30" s="11" t="inlineStr">
        <is>
          <t>To Do</t>
        </is>
      </c>
    </row>
    <row r="1231" ht="15.75" customHeight="1" s="12">
      <c r="A1231" s="1" t="n">
        <v>65</v>
      </c>
      <c r="B1231" s="3">
        <f>HYPERLINK("https://leetcode.com/problems/valid-number/", "Valid Number")</f>
        <v/>
      </c>
      <c r="C1231" s="1" t="n">
        <v>1510</v>
      </c>
      <c r="D1231" s="1" t="n">
        <v>2216</v>
      </c>
      <c r="E1231" s="4">
        <f>IF(INDEX(C:C, ROW())+INDEX(D:D, ROW())=0, 0, INDEX(C:C, ROW())/(INDEX(C:C, ROW())+INDEX(D:D, ROW())))</f>
        <v/>
      </c>
      <c r="F1231" s="1" t="inlineStr">
        <is>
          <t>String</t>
        </is>
      </c>
      <c r="G1231" s="1" t="inlineStr">
        <is>
          <t>Hard</t>
        </is>
      </c>
      <c r="H1231" s="1" t="n">
        <v>520543</v>
      </c>
      <c r="I1231" s="1" t="n">
        <v>2268204</v>
      </c>
      <c r="J1231" s="9" t="n">
        <v>0.229</v>
      </c>
      <c r="K1231" s="1" t="inlineStr">
        <is>
          <t>Yes</t>
        </is>
      </c>
      <c r="L1231" s="1" t="inlineStr">
        <is>
          <t>Yes</t>
        </is>
      </c>
      <c r="M1231" s="1" t="inlineStr">
        <is>
          <t>No</t>
        </is>
      </c>
      <c r="N1231" s="1" t="inlineStr">
        <is>
          <t>Algorithms</t>
        </is>
      </c>
      <c r="O12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31" s="11" t="inlineStr">
        <is>
          <t>To Do</t>
        </is>
      </c>
    </row>
    <row r="1232" ht="15.75" customHeight="1" s="12">
      <c r="A1232" s="1" t="n">
        <v>2392</v>
      </c>
      <c r="B1232" s="3">
        <f>HYPERLINK("https://leetcode.com/problems/build-a-matrix-with-conditions/", "Build a Matrix With Conditions")</f>
        <v/>
      </c>
      <c r="C1232" s="1" t="n">
        <v>1510</v>
      </c>
      <c r="D1232" s="1" t="n">
        <v>56</v>
      </c>
      <c r="E1232" s="4">
        <f>IF(INDEX(C:C, ROW())+INDEX(D:D, ROW())=0, 0, INDEX(C:C, ROW())/(INDEX(C:C, ROW())+INDEX(D:D, ROW())))</f>
        <v/>
      </c>
      <c r="F1232" s="1" t="inlineStr">
        <is>
          <t>Array, Graph Theory, Topological Sort, Matrix</t>
        </is>
      </c>
      <c r="G1232" s="1" t="inlineStr">
        <is>
          <t>Hard</t>
        </is>
      </c>
      <c r="H1232" s="1" t="n">
        <v>106503</v>
      </c>
      <c r="I1232" s="1" t="n">
        <v>134308</v>
      </c>
      <c r="J1232" s="9" t="n">
        <v>0.793</v>
      </c>
      <c r="K1232" s="1" t="inlineStr">
        <is>
          <t>Yes</t>
        </is>
      </c>
      <c r="L1232" s="1" t="inlineStr">
        <is>
          <t>Yes</t>
        </is>
      </c>
      <c r="M1232" s="1" t="inlineStr">
        <is>
          <t>No</t>
        </is>
      </c>
      <c r="N1232" s="1" t="inlineStr">
        <is>
          <t>Algorithms</t>
        </is>
      </c>
      <c r="O12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32" s="11" t="inlineStr">
        <is>
          <t>To Do</t>
        </is>
      </c>
    </row>
    <row r="1233" ht="15.75" customHeight="1" s="12">
      <c r="A1233" s="1" t="n">
        <v>1712</v>
      </c>
      <c r="B1233" s="3">
        <f>HYPERLINK("https://leetcode.com/problems/ways-to-split-array-into-three-subarrays/", "Ways to Split Array Into Three Subarrays")</f>
        <v/>
      </c>
      <c r="C1233" s="1" t="n">
        <v>1509</v>
      </c>
      <c r="D1233" s="1" t="n">
        <v>113</v>
      </c>
      <c r="E1233" s="4">
        <f>IF(INDEX(C:C, ROW())+INDEX(D:D, ROW())=0, 0, INDEX(C:C, ROW())/(INDEX(C:C, ROW())+INDEX(D:D, ROW())))</f>
        <v/>
      </c>
      <c r="F1233" s="1" t="inlineStr">
        <is>
          <t>Array, Two Pointers, Binary Search, Prefix Sum</t>
        </is>
      </c>
      <c r="G1233" s="1" t="inlineStr">
        <is>
          <t>Medium</t>
        </is>
      </c>
      <c r="H1233" s="1" t="n">
        <v>41651</v>
      </c>
      <c r="I1233" s="1" t="n">
        <v>121644</v>
      </c>
      <c r="J1233" s="9" t="n">
        <v>0.342</v>
      </c>
      <c r="K1233" s="1" t="inlineStr">
        <is>
          <t>Yes</t>
        </is>
      </c>
      <c r="L1233" s="1" t="inlineStr">
        <is>
          <t>No</t>
        </is>
      </c>
      <c r="M1233" s="1" t="inlineStr">
        <is>
          <t>No</t>
        </is>
      </c>
      <c r="N1233" s="1" t="inlineStr">
        <is>
          <t>Algorithms</t>
        </is>
      </c>
      <c r="O12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33" s="11" t="inlineStr">
        <is>
          <t>To Do</t>
        </is>
      </c>
    </row>
    <row r="1234" ht="15.75" customHeight="1" s="12">
      <c r="A1234" s="1" t="n">
        <v>1408</v>
      </c>
      <c r="B1234" s="3">
        <f>HYPERLINK("https://leetcode.com/problems/string-matching-in-an-array/", "String Matching in an Array")</f>
        <v/>
      </c>
      <c r="C1234" s="1" t="n">
        <v>1508</v>
      </c>
      <c r="D1234" s="1" t="n">
        <v>131</v>
      </c>
      <c r="E1234" s="4">
        <f>IF(INDEX(C:C, ROW())+INDEX(D:D, ROW())=0, 0, INDEX(C:C, ROW())/(INDEX(C:C, ROW())+INDEX(D:D, ROW())))</f>
        <v/>
      </c>
      <c r="F1234" s="1" t="inlineStr">
        <is>
          <t>Array, String, String Matching</t>
        </is>
      </c>
      <c r="G1234" s="1" t="inlineStr">
        <is>
          <t>Easy</t>
        </is>
      </c>
      <c r="H1234" s="1" t="n">
        <v>295096</v>
      </c>
      <c r="I1234" s="1" t="n">
        <v>422865</v>
      </c>
      <c r="J1234" s="9" t="n">
        <v>0.698</v>
      </c>
      <c r="K1234" s="1" t="inlineStr">
        <is>
          <t>Yes</t>
        </is>
      </c>
      <c r="L1234" s="1" t="inlineStr">
        <is>
          <t>Yes</t>
        </is>
      </c>
      <c r="M1234" s="1" t="inlineStr">
        <is>
          <t>No</t>
        </is>
      </c>
      <c r="N1234" s="1" t="inlineStr">
        <is>
          <t>Algorithms</t>
        </is>
      </c>
      <c r="O12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34" s="13" t="inlineStr">
        <is>
          <t>Done</t>
        </is>
      </c>
    </row>
    <row r="1235" ht="15.75" customHeight="1" s="12">
      <c r="A1235" s="1" t="n">
        <v>2742</v>
      </c>
      <c r="B1235" s="3">
        <f>HYPERLINK("https://leetcode.com/problems/painting-the-walls/", "Painting the Walls")</f>
        <v/>
      </c>
      <c r="C1235" s="1" t="n">
        <v>1506</v>
      </c>
      <c r="D1235" s="1" t="n">
        <v>95</v>
      </c>
      <c r="E1235" s="4">
        <f>IF(INDEX(C:C, ROW())+INDEX(D:D, ROW())=0, 0, INDEX(C:C, ROW())/(INDEX(C:C, ROW())+INDEX(D:D, ROW())))</f>
        <v/>
      </c>
      <c r="F1235" s="1" t="inlineStr">
        <is>
          <t>Array, Dynamic Programming</t>
        </is>
      </c>
      <c r="G1235" s="1" t="inlineStr">
        <is>
          <t>Hard</t>
        </is>
      </c>
      <c r="H1235" s="1" t="n">
        <v>80705</v>
      </c>
      <c r="I1235" s="1" t="n">
        <v>164625</v>
      </c>
      <c r="J1235" s="9" t="n">
        <v>0.49</v>
      </c>
      <c r="K1235" s="1" t="inlineStr">
        <is>
          <t>Yes</t>
        </is>
      </c>
      <c r="L1235" s="1" t="inlineStr">
        <is>
          <t>Yes</t>
        </is>
      </c>
      <c r="M1235" s="1" t="inlineStr">
        <is>
          <t>No</t>
        </is>
      </c>
      <c r="N1235" s="1" t="inlineStr">
        <is>
          <t>Algorithms</t>
        </is>
      </c>
      <c r="O12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35" s="11" t="inlineStr">
        <is>
          <t>To Do</t>
        </is>
      </c>
    </row>
    <row r="1236" ht="15.75" customHeight="1" s="12">
      <c r="A1236" s="1" t="n">
        <v>2762</v>
      </c>
      <c r="B1236" s="3">
        <f>HYPERLINK("https://leetcode.com/problems/continuous-subarrays/", "Continuous Subarrays")</f>
        <v/>
      </c>
      <c r="C1236" s="1" t="n">
        <v>1506</v>
      </c>
      <c r="D1236" s="1" t="n">
        <v>97</v>
      </c>
      <c r="E1236" s="4">
        <f>IF(INDEX(C:C, ROW())+INDEX(D:D, ROW())=0, 0, INDEX(C:C, ROW())/(INDEX(C:C, ROW())+INDEX(D:D, ROW())))</f>
        <v/>
      </c>
      <c r="F1236" s="1" t="inlineStr">
        <is>
          <t>Array, Queue, Sliding Window, Heap (Priority Queue), Ordered Set, Monotonic Queue</t>
        </is>
      </c>
      <c r="G1236" s="1" t="inlineStr">
        <is>
          <t>Medium</t>
        </is>
      </c>
      <c r="H1236" s="1" t="n">
        <v>119608</v>
      </c>
      <c r="I1236" s="1" t="n">
        <v>206328</v>
      </c>
      <c r="J1236" s="9" t="n">
        <v>0.58</v>
      </c>
      <c r="K1236" s="1" t="inlineStr">
        <is>
          <t>Yes</t>
        </is>
      </c>
      <c r="L1236" s="1" t="inlineStr">
        <is>
          <t>Yes</t>
        </is>
      </c>
      <c r="M1236" s="1" t="inlineStr">
        <is>
          <t>No</t>
        </is>
      </c>
      <c r="N1236" s="1" t="inlineStr">
        <is>
          <t>Algorithms</t>
        </is>
      </c>
      <c r="O12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36" s="11" t="inlineStr">
        <is>
          <t>To Do</t>
        </is>
      </c>
    </row>
    <row r="1237" ht="15.75" customHeight="1" s="12">
      <c r="A1237" s="1" t="n">
        <v>1551</v>
      </c>
      <c r="B1237" s="3">
        <f>HYPERLINK("https://leetcode.com/problems/minimum-operations-to-make-array-equal/", "Minimum Operations to Make Array Equal")</f>
        <v/>
      </c>
      <c r="C1237" s="1" t="n">
        <v>1504</v>
      </c>
      <c r="D1237" s="1" t="n">
        <v>187</v>
      </c>
      <c r="E1237" s="4">
        <f>IF(INDEX(C:C, ROW())+INDEX(D:D, ROW())=0, 0, INDEX(C:C, ROW())/(INDEX(C:C, ROW())+INDEX(D:D, ROW())))</f>
        <v/>
      </c>
      <c r="F1237" s="1" t="inlineStr">
        <is>
          <t>Math</t>
        </is>
      </c>
      <c r="G1237" s="1" t="inlineStr">
        <is>
          <t>Medium</t>
        </is>
      </c>
      <c r="H1237" s="1" t="n">
        <v>118243</v>
      </c>
      <c r="I1237" s="1" t="n">
        <v>142985</v>
      </c>
      <c r="J1237" s="9" t="n">
        <v>0.827</v>
      </c>
      <c r="K1237" s="1" t="inlineStr">
        <is>
          <t>Yes</t>
        </is>
      </c>
      <c r="L1237" s="1" t="inlineStr">
        <is>
          <t>Yes</t>
        </is>
      </c>
      <c r="M1237" s="1" t="inlineStr">
        <is>
          <t>No</t>
        </is>
      </c>
      <c r="N1237" s="1" t="inlineStr">
        <is>
          <t>Algorithms</t>
        </is>
      </c>
      <c r="O12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37" s="11" t="inlineStr">
        <is>
          <t>To Do</t>
        </is>
      </c>
    </row>
    <row r="1238" ht="15.75" customHeight="1" s="12">
      <c r="A1238" s="1" t="n">
        <v>1683</v>
      </c>
      <c r="B1238" s="3">
        <f>HYPERLINK("https://leetcode.com/problems/invalid-tweets/", "Invalid Tweets")</f>
        <v/>
      </c>
      <c r="C1238" s="1" t="n">
        <v>1503</v>
      </c>
      <c r="D1238" s="1" t="n">
        <v>381</v>
      </c>
      <c r="E1238" s="4">
        <f>IF(INDEX(C:C, ROW())+INDEX(D:D, ROW())=0, 0, INDEX(C:C, ROW())/(INDEX(C:C, ROW())+INDEX(D:D, ROW())))</f>
        <v/>
      </c>
      <c r="F1238" s="1" t="inlineStr">
        <is>
          <t>Database</t>
        </is>
      </c>
      <c r="G1238" s="1" t="inlineStr">
        <is>
          <t>Easy</t>
        </is>
      </c>
      <c r="H1238" s="1" t="n">
        <v>1433711</v>
      </c>
      <c r="I1238" s="1" t="n">
        <v>1683774</v>
      </c>
      <c r="J1238" s="9" t="n">
        <v>0.851</v>
      </c>
      <c r="K1238" s="1" t="inlineStr">
        <is>
          <t>Yes</t>
        </is>
      </c>
      <c r="L1238" s="1" t="inlineStr">
        <is>
          <t>Yes</t>
        </is>
      </c>
      <c r="M1238" s="1" t="inlineStr">
        <is>
          <t>No</t>
        </is>
      </c>
      <c r="N1238" s="1" t="inlineStr">
        <is>
          <t>Database</t>
        </is>
      </c>
      <c r="O12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38" s="13" t="inlineStr">
        <is>
          <t>Done</t>
        </is>
      </c>
    </row>
    <row r="1239" ht="15.75" customHeight="1" s="12">
      <c r="A1239" s="1" t="n">
        <v>2327</v>
      </c>
      <c r="B1239" s="3">
        <f>HYPERLINK("https://leetcode.com/problems/number-of-people-aware-of-a-secret/", "Number of People Aware of a Secret")</f>
        <v/>
      </c>
      <c r="C1239" s="1" t="n">
        <v>1499</v>
      </c>
      <c r="D1239" s="1" t="n">
        <v>163</v>
      </c>
      <c r="E1239" s="4">
        <f>IF(INDEX(C:C, ROW())+INDEX(D:D, ROW())=0, 0, INDEX(C:C, ROW())/(INDEX(C:C, ROW())+INDEX(D:D, ROW())))</f>
        <v/>
      </c>
      <c r="F1239" s="1" t="inlineStr">
        <is>
          <t>Dynamic Programming, Queue, Simulation</t>
        </is>
      </c>
      <c r="G1239" s="1" t="inlineStr">
        <is>
          <t>Medium</t>
        </is>
      </c>
      <c r="H1239" s="1" t="n">
        <v>127674</v>
      </c>
      <c r="I1239" s="1" t="n">
        <v>210170</v>
      </c>
      <c r="J1239" s="9" t="n">
        <v>0.607</v>
      </c>
      <c r="K1239" s="1" t="inlineStr">
        <is>
          <t>Yes</t>
        </is>
      </c>
      <c r="L1239" s="1" t="inlineStr">
        <is>
          <t>Yes</t>
        </is>
      </c>
      <c r="M1239" s="1" t="inlineStr">
        <is>
          <t>No</t>
        </is>
      </c>
      <c r="N1239" s="1" t="inlineStr">
        <is>
          <t>Algorithms</t>
        </is>
      </c>
      <c r="O12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39" s="11" t="inlineStr">
        <is>
          <t>To Do</t>
        </is>
      </c>
    </row>
    <row r="1240" ht="15.75" customHeight="1" s="12">
      <c r="A1240" s="1" t="n">
        <v>851</v>
      </c>
      <c r="B1240" s="3">
        <f>HYPERLINK("https://leetcode.com/problems/loud-and-rich/", "Loud and Rich")</f>
        <v/>
      </c>
      <c r="C1240" s="1" t="n">
        <v>1498</v>
      </c>
      <c r="D1240" s="1" t="n">
        <v>879</v>
      </c>
      <c r="E1240" s="4">
        <f>IF(INDEX(C:C, ROW())+INDEX(D:D, ROW())=0, 0, INDEX(C:C, ROW())/(INDEX(C:C, ROW())+INDEX(D:D, ROW())))</f>
        <v/>
      </c>
      <c r="F1240" s="1" t="inlineStr">
        <is>
          <t>Array, Depth-First Search, Graph Theory, Topological Sort</t>
        </is>
      </c>
      <c r="G1240" s="1" t="inlineStr">
        <is>
          <t>Medium</t>
        </is>
      </c>
      <c r="H1240" s="1" t="n">
        <v>78216</v>
      </c>
      <c r="I1240" s="1" t="n">
        <v>123276</v>
      </c>
      <c r="J1240" s="9" t="n">
        <v>0.634</v>
      </c>
      <c r="K1240" s="1" t="inlineStr">
        <is>
          <t>Yes</t>
        </is>
      </c>
      <c r="L1240" s="1" t="inlineStr">
        <is>
          <t>Yes</t>
        </is>
      </c>
      <c r="M1240" s="1" t="inlineStr">
        <is>
          <t>No</t>
        </is>
      </c>
      <c r="N1240" s="1" t="inlineStr">
        <is>
          <t>Algorithms</t>
        </is>
      </c>
      <c r="O12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40" s="11" t="inlineStr">
        <is>
          <t>To Do</t>
        </is>
      </c>
    </row>
    <row r="1241" ht="15.75" customHeight="1" s="12">
      <c r="A1241" s="1" t="n">
        <v>1601</v>
      </c>
      <c r="B1241" s="3">
        <f>HYPERLINK("https://leetcode.com/problems/maximum-number-of-achievable-transfer-requests/", "Maximum Number of Achievable Transfer Requests")</f>
        <v/>
      </c>
      <c r="C1241" s="1" t="n">
        <v>1493</v>
      </c>
      <c r="D1241" s="1" t="n">
        <v>75</v>
      </c>
      <c r="E1241" s="4">
        <f>IF(INDEX(C:C, ROW())+INDEX(D:D, ROW())=0, 0, INDEX(C:C, ROW())/(INDEX(C:C, ROW())+INDEX(D:D, ROW())))</f>
        <v/>
      </c>
      <c r="F1241" s="1" t="inlineStr">
        <is>
          <t>Array, Backtracking, Bit Manipulation, Enumeration</t>
        </is>
      </c>
      <c r="G1241" s="1" t="inlineStr">
        <is>
          <t>Hard</t>
        </is>
      </c>
      <c r="H1241" s="1" t="n">
        <v>64356</v>
      </c>
      <c r="I1241" s="1" t="n">
        <v>99493</v>
      </c>
      <c r="J1241" s="9" t="n">
        <v>0.647</v>
      </c>
      <c r="K1241" s="1" t="inlineStr">
        <is>
          <t>Yes</t>
        </is>
      </c>
      <c r="L1241" s="1" t="inlineStr">
        <is>
          <t>Yes</t>
        </is>
      </c>
      <c r="M1241" s="1" t="inlineStr">
        <is>
          <t>No</t>
        </is>
      </c>
      <c r="N1241" s="1" t="inlineStr">
        <is>
          <t>Algorithms</t>
        </is>
      </c>
      <c r="O12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41" s="11" t="inlineStr">
        <is>
          <t>To Do</t>
        </is>
      </c>
    </row>
    <row r="1242" ht="15.75" customHeight="1" s="12">
      <c r="A1242" s="1" t="n">
        <v>1068</v>
      </c>
      <c r="B1242" s="3">
        <f>HYPERLINK("https://leetcode.com/problems/product-sales-analysis-i/", "Product Sales Analysis I")</f>
        <v/>
      </c>
      <c r="C1242" s="1" t="n">
        <v>1491</v>
      </c>
      <c r="D1242" s="1" t="n">
        <v>253</v>
      </c>
      <c r="E1242" s="4">
        <f>IF(INDEX(C:C, ROW())+INDEX(D:D, ROW())=0, 0, INDEX(C:C, ROW())/(INDEX(C:C, ROW())+INDEX(D:D, ROW())))</f>
        <v/>
      </c>
      <c r="F1242" s="1" t="inlineStr">
        <is>
          <t>Database</t>
        </is>
      </c>
      <c r="G1242" s="1" t="inlineStr">
        <is>
          <t>Easy</t>
        </is>
      </c>
      <c r="H1242" s="1" t="n">
        <v>1340792</v>
      </c>
      <c r="I1242" s="1" t="n">
        <v>1563683</v>
      </c>
      <c r="J1242" s="9" t="n">
        <v>0.857</v>
      </c>
      <c r="K1242" s="1" t="inlineStr">
        <is>
          <t>Yes</t>
        </is>
      </c>
      <c r="L1242" s="1" t="inlineStr">
        <is>
          <t>Yes</t>
        </is>
      </c>
      <c r="M1242" s="1" t="inlineStr">
        <is>
          <t>No</t>
        </is>
      </c>
      <c r="N1242" s="1" t="inlineStr">
        <is>
          <t>Database</t>
        </is>
      </c>
      <c r="O12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42" s="13" t="inlineStr">
        <is>
          <t>Done</t>
        </is>
      </c>
    </row>
    <row r="1243" ht="15.75" customHeight="1" s="12">
      <c r="A1243" s="1" t="n">
        <v>727</v>
      </c>
      <c r="B1243" s="3">
        <f>HYPERLINK("https://leetcode.com/problems/minimum-window-subsequence/", "Minimum Window Subsequence")</f>
        <v/>
      </c>
      <c r="C1243" s="1" t="n">
        <v>1486</v>
      </c>
      <c r="D1243" s="1" t="n">
        <v>95</v>
      </c>
      <c r="E1243" s="4">
        <f>IF(INDEX(C:C, ROW())+INDEX(D:D, ROW())=0, 0, INDEX(C:C, ROW())/(INDEX(C:C, ROW())+INDEX(D:D, ROW())))</f>
        <v/>
      </c>
      <c r="F1243" s="1" t="inlineStr">
        <is>
          <t>String, Dynamic Programming, Sliding Window</t>
        </is>
      </c>
      <c r="G1243" s="1" t="inlineStr">
        <is>
          <t>Hard</t>
        </is>
      </c>
      <c r="H1243" s="1" t="n">
        <v>99064</v>
      </c>
      <c r="I1243" s="1" t="n">
        <v>226141</v>
      </c>
      <c r="J1243" s="9" t="n">
        <v>0.438</v>
      </c>
      <c r="K1243" s="1" t="inlineStr">
        <is>
          <t>No</t>
        </is>
      </c>
      <c r="L1243" s="1" t="inlineStr">
        <is>
          <t>Yes</t>
        </is>
      </c>
      <c r="M1243" s="1" t="inlineStr">
        <is>
          <t>No</t>
        </is>
      </c>
      <c r="N1243" s="1" t="inlineStr">
        <is>
          <t>Algorithms</t>
        </is>
      </c>
      <c r="O12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43" s="11" t="inlineStr">
        <is>
          <t>To Do</t>
        </is>
      </c>
    </row>
    <row r="1244" ht="15.75" customHeight="1" s="12">
      <c r="A1244" s="1" t="n">
        <v>1845</v>
      </c>
      <c r="B1244" s="3">
        <f>HYPERLINK("https://leetcode.com/problems/seat-reservation-manager/", "Seat Reservation Manager")</f>
        <v/>
      </c>
      <c r="C1244" s="1" t="n">
        <v>1481</v>
      </c>
      <c r="D1244" s="1" t="n">
        <v>92</v>
      </c>
      <c r="E1244" s="4">
        <f>IF(INDEX(C:C, ROW())+INDEX(D:D, ROW())=0, 0, INDEX(C:C, ROW())/(INDEX(C:C, ROW())+INDEX(D:D, ROW())))</f>
        <v/>
      </c>
      <c r="F1244" s="1" t="inlineStr">
        <is>
          <t>Design, Heap (Priority Queue)</t>
        </is>
      </c>
      <c r="G1244" s="1" t="inlineStr">
        <is>
          <t>Medium</t>
        </is>
      </c>
      <c r="H1244" s="1" t="n">
        <v>149828</v>
      </c>
      <c r="I1244" s="1" t="n">
        <v>223006</v>
      </c>
      <c r="J1244" s="9" t="n">
        <v>0.672</v>
      </c>
      <c r="K1244" s="1" t="inlineStr">
        <is>
          <t>Yes</t>
        </is>
      </c>
      <c r="L1244" s="1" t="inlineStr">
        <is>
          <t>Yes</t>
        </is>
      </c>
      <c r="M1244" s="1" t="inlineStr">
        <is>
          <t>No</t>
        </is>
      </c>
      <c r="N1244" s="1" t="inlineStr">
        <is>
          <t>Algorithms</t>
        </is>
      </c>
      <c r="O12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44" s="11" t="inlineStr">
        <is>
          <t>To Do</t>
        </is>
      </c>
    </row>
    <row r="1245" ht="15.75" customHeight="1" s="12">
      <c r="A1245" s="1" t="n">
        <v>902</v>
      </c>
      <c r="B1245" s="3">
        <f>HYPERLINK("https://leetcode.com/problems/numbers-at-most-n-given-digit-set/", "Numbers At Most N Given Digit Set")</f>
        <v/>
      </c>
      <c r="C1245" s="1" t="n">
        <v>1474</v>
      </c>
      <c r="D1245" s="1" t="n">
        <v>98</v>
      </c>
      <c r="E1245" s="4">
        <f>IF(INDEX(C:C, ROW())+INDEX(D:D, ROW())=0, 0, INDEX(C:C, ROW())/(INDEX(C:C, ROW())+INDEX(D:D, ROW())))</f>
        <v/>
      </c>
      <c r="F1245" s="1" t="inlineStr">
        <is>
          <t>Array, Math, String, Binary Search, Dynamic Programming</t>
        </is>
      </c>
      <c r="G1245" s="1" t="inlineStr">
        <is>
          <t>Hard</t>
        </is>
      </c>
      <c r="H1245" s="1" t="n">
        <v>55299</v>
      </c>
      <c r="I1245" s="1" t="n">
        <v>122945</v>
      </c>
      <c r="J1245" s="9" t="n">
        <v>0.45</v>
      </c>
      <c r="K1245" s="1" t="inlineStr">
        <is>
          <t>Yes</t>
        </is>
      </c>
      <c r="L1245" s="1" t="inlineStr">
        <is>
          <t>Yes</t>
        </is>
      </c>
      <c r="M1245" s="1" t="inlineStr">
        <is>
          <t>No</t>
        </is>
      </c>
      <c r="N1245" s="1" t="inlineStr">
        <is>
          <t>Algorithms</t>
        </is>
      </c>
      <c r="O12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45" s="11" t="inlineStr">
        <is>
          <t>To Do</t>
        </is>
      </c>
    </row>
    <row r="1246" ht="15.75" customHeight="1" s="12">
      <c r="A1246" s="1" t="n">
        <v>1420</v>
      </c>
      <c r="B1246" s="3">
        <f>HYPERLINK("https://leetcode.com/problems/build-array-where-you-can-find-the-maximum-exactly-k-comparisons/", "Build Array Where You Can Find The Maximum Exactly K Comparisons")</f>
        <v/>
      </c>
      <c r="C1246" s="1" t="n">
        <v>1473</v>
      </c>
      <c r="D1246" s="1" t="n">
        <v>95</v>
      </c>
      <c r="E1246" s="4">
        <f>IF(INDEX(C:C, ROW())+INDEX(D:D, ROW())=0, 0, INDEX(C:C, ROW())/(INDEX(C:C, ROW())+INDEX(D:D, ROW())))</f>
        <v/>
      </c>
      <c r="F1246" s="1" t="inlineStr">
        <is>
          <t>Dynamic Programming, Prefix Sum</t>
        </is>
      </c>
      <c r="G1246" s="1" t="inlineStr">
        <is>
          <t>Hard</t>
        </is>
      </c>
      <c r="H1246" s="1" t="n">
        <v>73185</v>
      </c>
      <c r="I1246" s="1" t="n">
        <v>111355</v>
      </c>
      <c r="J1246" s="9" t="n">
        <v>0.657</v>
      </c>
      <c r="K1246" s="1" t="inlineStr">
        <is>
          <t>Yes</t>
        </is>
      </c>
      <c r="L1246" s="1" t="inlineStr">
        <is>
          <t>Yes</t>
        </is>
      </c>
      <c r="M1246" s="1" t="inlineStr">
        <is>
          <t>No</t>
        </is>
      </c>
      <c r="N1246" s="1" t="inlineStr">
        <is>
          <t>Algorithms</t>
        </is>
      </c>
      <c r="O12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46" s="11" t="inlineStr">
        <is>
          <t>To Do</t>
        </is>
      </c>
    </row>
    <row r="1247" ht="15.75" customHeight="1" s="12">
      <c r="A1247" s="1" t="n">
        <v>676</v>
      </c>
      <c r="B1247" s="3">
        <f>HYPERLINK("https://leetcode.com/problems/implement-magic-dictionary/", "Implement Magic Dictionary")</f>
        <v/>
      </c>
      <c r="C1247" s="1" t="n">
        <v>1470</v>
      </c>
      <c r="D1247" s="1" t="n">
        <v>216</v>
      </c>
      <c r="E1247" s="4">
        <f>IF(INDEX(C:C, ROW())+INDEX(D:D, ROW())=0, 0, INDEX(C:C, ROW())/(INDEX(C:C, ROW())+INDEX(D:D, ROW())))</f>
        <v/>
      </c>
      <c r="F1247" s="1" t="inlineStr">
        <is>
          <t>Hash Table, String, Depth-First Search, Design, Trie</t>
        </is>
      </c>
      <c r="G1247" s="1" t="inlineStr">
        <is>
          <t>Medium</t>
        </is>
      </c>
      <c r="H1247" s="1" t="n">
        <v>107197</v>
      </c>
      <c r="I1247" s="1" t="n">
        <v>185374</v>
      </c>
      <c r="J1247" s="9" t="n">
        <v>0.578</v>
      </c>
      <c r="K1247" s="1" t="inlineStr">
        <is>
          <t>Yes</t>
        </is>
      </c>
      <c r="L1247" s="1" t="inlineStr">
        <is>
          <t>Yes</t>
        </is>
      </c>
      <c r="M1247" s="1" t="inlineStr">
        <is>
          <t>No</t>
        </is>
      </c>
      <c r="N1247" s="1" t="inlineStr">
        <is>
          <t>Algorithms</t>
        </is>
      </c>
      <c r="O12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47" s="11" t="inlineStr">
        <is>
          <t>To Do</t>
        </is>
      </c>
    </row>
    <row r="1248" ht="15.75" customHeight="1" s="12">
      <c r="A1248" s="1" t="n">
        <v>1247</v>
      </c>
      <c r="B1248" s="3">
        <f>HYPERLINK("https://leetcode.com/problems/minimum-swaps-to-make-strings-equal/", "Minimum Swaps to Make Strings Equal")</f>
        <v/>
      </c>
      <c r="C1248" s="1" t="n">
        <v>1470</v>
      </c>
      <c r="D1248" s="1" t="n">
        <v>252</v>
      </c>
      <c r="E1248" s="4">
        <f>IF(INDEX(C:C, ROW())+INDEX(D:D, ROW())=0, 0, INDEX(C:C, ROW())/(INDEX(C:C, ROW())+INDEX(D:D, ROW())))</f>
        <v/>
      </c>
      <c r="F1248" s="1" t="inlineStr">
        <is>
          <t>Math, String, Greedy</t>
        </is>
      </c>
      <c r="G1248" s="1" t="inlineStr">
        <is>
          <t>Medium</t>
        </is>
      </c>
      <c r="H1248" s="1" t="n">
        <v>52179</v>
      </c>
      <c r="I1248" s="1" t="n">
        <v>79870</v>
      </c>
      <c r="J1248" s="9" t="n">
        <v>0.653</v>
      </c>
      <c r="K1248" s="1" t="inlineStr">
        <is>
          <t>Yes</t>
        </is>
      </c>
      <c r="L1248" s="1" t="inlineStr">
        <is>
          <t>No</t>
        </is>
      </c>
      <c r="M1248" s="1" t="inlineStr">
        <is>
          <t>No</t>
        </is>
      </c>
      <c r="N1248" s="1" t="inlineStr">
        <is>
          <t>Algorithms</t>
        </is>
      </c>
      <c r="O12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48" s="11" t="inlineStr">
        <is>
          <t>To Do</t>
        </is>
      </c>
    </row>
    <row r="1249" ht="15.75" customHeight="1" s="12">
      <c r="A1249" s="1" t="n">
        <v>2337</v>
      </c>
      <c r="B1249" s="3">
        <f>HYPERLINK("https://leetcode.com/problems/move-pieces-to-obtain-a-string/", "Move Pieces to Obtain a String")</f>
        <v/>
      </c>
      <c r="C1249" s="1" t="n">
        <v>1470</v>
      </c>
      <c r="D1249" s="1" t="n">
        <v>86</v>
      </c>
      <c r="E1249" s="4">
        <f>IF(INDEX(C:C, ROW())+INDEX(D:D, ROW())=0, 0, INDEX(C:C, ROW())/(INDEX(C:C, ROW())+INDEX(D:D, ROW())))</f>
        <v/>
      </c>
      <c r="F1249" s="1" t="inlineStr">
        <is>
          <t>Two Pointers, String</t>
        </is>
      </c>
      <c r="G1249" s="1" t="inlineStr">
        <is>
          <t>Medium</t>
        </is>
      </c>
      <c r="H1249" s="1" t="n">
        <v>150363</v>
      </c>
      <c r="I1249" s="1" t="n">
        <v>265455</v>
      </c>
      <c r="J1249" s="9" t="n">
        <v>0.5659999999999999</v>
      </c>
      <c r="K1249" s="1" t="inlineStr">
        <is>
          <t>Yes</t>
        </is>
      </c>
      <c r="L1249" s="1" t="inlineStr">
        <is>
          <t>Yes</t>
        </is>
      </c>
      <c r="M1249" s="1" t="inlineStr">
        <is>
          <t>No</t>
        </is>
      </c>
      <c r="N1249" s="1" t="inlineStr">
        <is>
          <t>Algorithms</t>
        </is>
      </c>
      <c r="O12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49" s="11" t="inlineStr">
        <is>
          <t>To Do</t>
        </is>
      </c>
    </row>
    <row r="1250" ht="15.75" customHeight="1" s="12">
      <c r="A1250" s="1" t="n">
        <v>2406</v>
      </c>
      <c r="B1250" s="3">
        <f>HYPERLINK("https://leetcode.com/problems/divide-intervals-into-minimum-number-of-groups/", "Divide Intervals Into Minimum Number of Groups")</f>
        <v/>
      </c>
      <c r="C1250" s="1" t="n">
        <v>1469</v>
      </c>
      <c r="D1250" s="1" t="n">
        <v>43</v>
      </c>
      <c r="E1250" s="4">
        <f>IF(INDEX(C:C, ROW())+INDEX(D:D, ROW())=0, 0, INDEX(C:C, ROW())/(INDEX(C:C, ROW())+INDEX(D:D, ROW())))</f>
        <v/>
      </c>
      <c r="F1250" s="1" t="inlineStr">
        <is>
          <t>Array, Two Pointers, Greedy, Sorting, Heap (Priority Queue), Prefix Sum</t>
        </is>
      </c>
      <c r="G1250" s="1" t="inlineStr">
        <is>
          <t>Medium</t>
        </is>
      </c>
      <c r="H1250" s="1" t="n">
        <v>143872</v>
      </c>
      <c r="I1250" s="1" t="n">
        <v>226355</v>
      </c>
      <c r="J1250" s="9" t="n">
        <v>0.636</v>
      </c>
      <c r="K1250" s="1" t="inlineStr">
        <is>
          <t>Yes</t>
        </is>
      </c>
      <c r="L1250" s="1" t="inlineStr">
        <is>
          <t>Yes</t>
        </is>
      </c>
      <c r="M1250" s="1" t="inlineStr">
        <is>
          <t>No</t>
        </is>
      </c>
      <c r="N1250" s="1" t="inlineStr">
        <is>
          <t>Algorithms</t>
        </is>
      </c>
      <c r="O12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50" s="11" t="inlineStr">
        <is>
          <t>To Do</t>
        </is>
      </c>
    </row>
    <row r="1251" ht="15.75" customHeight="1" s="12">
      <c r="A1251" s="1" t="n">
        <v>1984</v>
      </c>
      <c r="B1251" s="3">
        <f>HYPERLINK("https://leetcode.com/problems/minimum-difference-between-highest-and-lowest-of-k-scores/", "Minimum Difference Between Highest and Lowest of K Scores")</f>
        <v/>
      </c>
      <c r="C1251" s="1" t="n">
        <v>1465</v>
      </c>
      <c r="D1251" s="1" t="n">
        <v>376</v>
      </c>
      <c r="E1251" s="4">
        <f>IF(INDEX(C:C, ROW())+INDEX(D:D, ROW())=0, 0, INDEX(C:C, ROW())/(INDEX(C:C, ROW())+INDEX(D:D, ROW())))</f>
        <v/>
      </c>
      <c r="F1251" s="1" t="inlineStr">
        <is>
          <t>Array, Sliding Window, Sorting</t>
        </is>
      </c>
      <c r="G1251" s="1" t="inlineStr">
        <is>
          <t>Easy</t>
        </is>
      </c>
      <c r="H1251" s="1" t="n">
        <v>253876</v>
      </c>
      <c r="I1251" s="1" t="n">
        <v>383079</v>
      </c>
      <c r="J1251" s="9" t="n">
        <v>0.663</v>
      </c>
      <c r="K1251" s="1" t="inlineStr">
        <is>
          <t>Yes</t>
        </is>
      </c>
      <c r="L1251" s="1" t="inlineStr">
        <is>
          <t>Yes</t>
        </is>
      </c>
      <c r="M1251" s="1" t="inlineStr">
        <is>
          <t>No</t>
        </is>
      </c>
      <c r="N1251" s="1" t="inlineStr">
        <is>
          <t>Algorithms</t>
        </is>
      </c>
      <c r="O12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51" s="13" t="inlineStr">
        <is>
          <t>Done</t>
        </is>
      </c>
    </row>
    <row r="1252" ht="15.75" customHeight="1" s="12">
      <c r="A1252" s="1" t="n">
        <v>808</v>
      </c>
      <c r="B1252" s="3">
        <f>HYPERLINK("https://leetcode.com/problems/soup-servings/", "Soup Servings")</f>
        <v/>
      </c>
      <c r="C1252" s="1" t="n">
        <v>1462</v>
      </c>
      <c r="D1252" s="1" t="n">
        <v>3953</v>
      </c>
      <c r="E1252" s="4">
        <f>IF(INDEX(C:C, ROW())+INDEX(D:D, ROW())=0, 0, INDEX(C:C, ROW())/(INDEX(C:C, ROW())+INDEX(D:D, ROW())))</f>
        <v/>
      </c>
      <c r="F1252" s="1" t="inlineStr">
        <is>
          <t>Math, Dynamic Programming, Probability and Statistics</t>
        </is>
      </c>
      <c r="G1252" s="1" t="inlineStr">
        <is>
          <t>Medium</t>
        </is>
      </c>
      <c r="H1252" s="1" t="n">
        <v>151019</v>
      </c>
      <c r="I1252" s="1" t="n">
        <v>253277</v>
      </c>
      <c r="J1252" s="9" t="n">
        <v>0.596</v>
      </c>
      <c r="K1252" s="1" t="inlineStr">
        <is>
          <t>Yes</t>
        </is>
      </c>
      <c r="L1252" s="1" t="inlineStr">
        <is>
          <t>Yes</t>
        </is>
      </c>
      <c r="M1252" s="1" t="inlineStr">
        <is>
          <t>No</t>
        </is>
      </c>
      <c r="N1252" s="1" t="inlineStr">
        <is>
          <t>Algorithms</t>
        </is>
      </c>
      <c r="O12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52" s="11" t="inlineStr">
        <is>
          <t>To Do</t>
        </is>
      </c>
    </row>
    <row r="1253" ht="15.75" customHeight="1" s="12">
      <c r="A1253" s="1" t="n">
        <v>1942</v>
      </c>
      <c r="B1253" s="3">
        <f>HYPERLINK("https://leetcode.com/problems/the-number-of-the-smallest-unoccupied-chair/", "The Number of the Smallest Unoccupied Chair")</f>
        <v/>
      </c>
      <c r="C1253" s="1" t="n">
        <v>1458</v>
      </c>
      <c r="D1253" s="1" t="n">
        <v>78</v>
      </c>
      <c r="E1253" s="4">
        <f>IF(INDEX(C:C, ROW())+INDEX(D:D, ROW())=0, 0, INDEX(C:C, ROW())/(INDEX(C:C, ROW())+INDEX(D:D, ROW())))</f>
        <v/>
      </c>
      <c r="F1253" s="1" t="inlineStr">
        <is>
          <t>Array, Hash Table, Heap (Priority Queue)</t>
        </is>
      </c>
      <c r="G1253" s="1" t="inlineStr">
        <is>
          <t>Medium</t>
        </is>
      </c>
      <c r="H1253" s="1" t="n">
        <v>128724</v>
      </c>
      <c r="I1253" s="1" t="n">
        <v>213429</v>
      </c>
      <c r="J1253" s="9" t="n">
        <v>0.603</v>
      </c>
      <c r="K1253" s="1" t="inlineStr">
        <is>
          <t>Yes</t>
        </is>
      </c>
      <c r="L1253" s="1" t="inlineStr">
        <is>
          <t>Yes</t>
        </is>
      </c>
      <c r="M1253" s="1" t="inlineStr">
        <is>
          <t>No</t>
        </is>
      </c>
      <c r="N1253" s="1" t="inlineStr">
        <is>
          <t>Algorithms</t>
        </is>
      </c>
      <c r="O12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53" s="11" t="inlineStr">
        <is>
          <t>To Do</t>
        </is>
      </c>
    </row>
    <row r="1254" ht="15.75" customHeight="1" s="12">
      <c r="A1254" s="1" t="n">
        <v>2485</v>
      </c>
      <c r="B1254" s="3">
        <f>HYPERLINK("https://leetcode.com/problems/find-the-pivot-integer/", "Find the Pivot Integer")</f>
        <v/>
      </c>
      <c r="C1254" s="1" t="n">
        <v>1458</v>
      </c>
      <c r="D1254" s="1" t="n">
        <v>60</v>
      </c>
      <c r="E1254" s="4">
        <f>IF(INDEX(C:C, ROW())+INDEX(D:D, ROW())=0, 0, INDEX(C:C, ROW())/(INDEX(C:C, ROW())+INDEX(D:D, ROW())))</f>
        <v/>
      </c>
      <c r="F1254" s="1" t="inlineStr">
        <is>
          <t>Math, Prefix Sum</t>
        </is>
      </c>
      <c r="G1254" s="1" t="inlineStr">
        <is>
          <t>Easy</t>
        </is>
      </c>
      <c r="H1254" s="1" t="n">
        <v>310541</v>
      </c>
      <c r="I1254" s="1" t="n">
        <v>370366</v>
      </c>
      <c r="J1254" s="9" t="n">
        <v>0.838</v>
      </c>
      <c r="K1254" s="1" t="inlineStr">
        <is>
          <t>Yes</t>
        </is>
      </c>
      <c r="L1254" s="1" t="inlineStr">
        <is>
          <t>Yes</t>
        </is>
      </c>
      <c r="M1254" s="1" t="inlineStr">
        <is>
          <t>No</t>
        </is>
      </c>
      <c r="N1254" s="1" t="inlineStr">
        <is>
          <t>Algorithms</t>
        </is>
      </c>
      <c r="O12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54" s="13" t="inlineStr">
        <is>
          <t>Done</t>
        </is>
      </c>
    </row>
    <row r="1255" ht="15.75" customHeight="1" s="12">
      <c r="A1255" s="1" t="n">
        <v>829</v>
      </c>
      <c r="B1255" s="3">
        <f>HYPERLINK("https://leetcode.com/problems/consecutive-numbers-sum/", "Consecutive Numbers Sum")</f>
        <v/>
      </c>
      <c r="C1255" s="1" t="n">
        <v>1453</v>
      </c>
      <c r="D1255" s="1" t="n">
        <v>1394</v>
      </c>
      <c r="E1255" s="4">
        <f>IF(INDEX(C:C, ROW())+INDEX(D:D, ROW())=0, 0, INDEX(C:C, ROW())/(INDEX(C:C, ROW())+INDEX(D:D, ROW())))</f>
        <v/>
      </c>
      <c r="F1255" s="1" t="inlineStr">
        <is>
          <t>Math, Enumeration</t>
        </is>
      </c>
      <c r="G1255" s="1" t="inlineStr">
        <is>
          <t>Hard</t>
        </is>
      </c>
      <c r="H1255" s="1" t="n">
        <v>101855</v>
      </c>
      <c r="I1255" s="1" t="n">
        <v>238547</v>
      </c>
      <c r="J1255" s="9" t="n">
        <v>0.427</v>
      </c>
      <c r="K1255" s="1" t="inlineStr">
        <is>
          <t>Yes</t>
        </is>
      </c>
      <c r="L1255" s="1" t="inlineStr">
        <is>
          <t>Yes</t>
        </is>
      </c>
      <c r="M1255" s="1" t="inlineStr">
        <is>
          <t>No</t>
        </is>
      </c>
      <c r="N1255" s="1" t="inlineStr">
        <is>
          <t>Algorithms</t>
        </is>
      </c>
      <c r="O12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55" s="11" t="inlineStr">
        <is>
          <t>To Do</t>
        </is>
      </c>
    </row>
    <row r="1256" ht="15.75" customHeight="1" s="12">
      <c r="A1256" s="1" t="n">
        <v>1193</v>
      </c>
      <c r="B1256" s="3">
        <f>HYPERLINK("https://leetcode.com/problems/monthly-transactions-i/", "Monthly Transactions I")</f>
        <v/>
      </c>
      <c r="C1256" s="1" t="n">
        <v>1449</v>
      </c>
      <c r="D1256" s="1" t="n">
        <v>133</v>
      </c>
      <c r="E1256" s="4">
        <f>IF(INDEX(C:C, ROW())+INDEX(D:D, ROW())=0, 0, INDEX(C:C, ROW())/(INDEX(C:C, ROW())+INDEX(D:D, ROW())))</f>
        <v/>
      </c>
      <c r="F1256" s="1" t="inlineStr">
        <is>
          <t>Database</t>
        </is>
      </c>
      <c r="G1256" s="1" t="inlineStr">
        <is>
          <t>Medium</t>
        </is>
      </c>
      <c r="H1256" s="1" t="n">
        <v>541814</v>
      </c>
      <c r="I1256" s="1" t="n">
        <v>916555</v>
      </c>
      <c r="J1256" s="9" t="n">
        <v>0.591</v>
      </c>
      <c r="K1256" s="1" t="inlineStr">
        <is>
          <t>Yes</t>
        </is>
      </c>
      <c r="L1256" s="1" t="inlineStr">
        <is>
          <t>No</t>
        </is>
      </c>
      <c r="M1256" s="1" t="inlineStr">
        <is>
          <t>No</t>
        </is>
      </c>
      <c r="N1256" s="1" t="inlineStr">
        <is>
          <t>Database</t>
        </is>
      </c>
      <c r="O12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56" s="11" t="inlineStr">
        <is>
          <t>To Do</t>
        </is>
      </c>
    </row>
    <row r="1257" ht="15.75" customHeight="1" s="12">
      <c r="A1257" s="1" t="n">
        <v>397</v>
      </c>
      <c r="B1257" s="3">
        <f>HYPERLINK("https://leetcode.com/problems/integer-replacement/", "Integer Replacement")</f>
        <v/>
      </c>
      <c r="C1257" s="1" t="n">
        <v>1448</v>
      </c>
      <c r="D1257" s="1" t="n">
        <v>488</v>
      </c>
      <c r="E1257" s="4">
        <f>IF(INDEX(C:C, ROW())+INDEX(D:D, ROW())=0, 0, INDEX(C:C, ROW())/(INDEX(C:C, ROW())+INDEX(D:D, ROW())))</f>
        <v/>
      </c>
      <c r="F1257" s="1" t="inlineStr">
        <is>
          <t>Dynamic Programming, Greedy, Bit Manipulation, Memoization</t>
        </is>
      </c>
      <c r="G1257" s="1" t="inlineStr">
        <is>
          <t>Medium</t>
        </is>
      </c>
      <c r="H1257" s="1" t="n">
        <v>164899</v>
      </c>
      <c r="I1257" s="1" t="n">
        <v>439944</v>
      </c>
      <c r="J1257" s="9" t="n">
        <v>0.375</v>
      </c>
      <c r="K1257" s="1" t="inlineStr">
        <is>
          <t>Yes</t>
        </is>
      </c>
      <c r="L1257" s="1" t="inlineStr">
        <is>
          <t>No</t>
        </is>
      </c>
      <c r="M1257" s="1" t="inlineStr">
        <is>
          <t>No</t>
        </is>
      </c>
      <c r="N1257" s="1" t="inlineStr">
        <is>
          <t>Algorithms</t>
        </is>
      </c>
      <c r="O12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57" s="11" t="inlineStr">
        <is>
          <t>To Do</t>
        </is>
      </c>
    </row>
    <row r="1258" ht="15.75" customHeight="1" s="12">
      <c r="A1258" s="1" t="n">
        <v>405</v>
      </c>
      <c r="B1258" s="3">
        <f>HYPERLINK("https://leetcode.com/problems/convert-a-number-to-hexadecimal/", "Convert a Number to Hexadecimal")</f>
        <v/>
      </c>
      <c r="C1258" s="1" t="n">
        <v>1448</v>
      </c>
      <c r="D1258" s="1" t="n">
        <v>232</v>
      </c>
      <c r="E1258" s="4">
        <f>IF(INDEX(C:C, ROW())+INDEX(D:D, ROW())=0, 0, INDEX(C:C, ROW())/(INDEX(C:C, ROW())+INDEX(D:D, ROW())))</f>
        <v/>
      </c>
      <c r="F1258" s="1" t="inlineStr">
        <is>
          <t>Math, String, Bit Manipulation</t>
        </is>
      </c>
      <c r="G1258" s="1" t="inlineStr">
        <is>
          <t>Easy</t>
        </is>
      </c>
      <c r="H1258" s="1" t="n">
        <v>221376</v>
      </c>
      <c r="I1258" s="1" t="n">
        <v>409942</v>
      </c>
      <c r="J1258" s="9" t="n">
        <v>0.54</v>
      </c>
      <c r="K1258" s="1" t="inlineStr">
        <is>
          <t>Yes</t>
        </is>
      </c>
      <c r="L1258" s="1" t="inlineStr">
        <is>
          <t>No</t>
        </is>
      </c>
      <c r="M1258" s="1" t="inlineStr">
        <is>
          <t>No</t>
        </is>
      </c>
      <c r="N1258" s="1" t="inlineStr">
        <is>
          <t>Algorithms</t>
        </is>
      </c>
      <c r="O12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58" s="13" t="inlineStr">
        <is>
          <t>Done</t>
        </is>
      </c>
    </row>
    <row r="1259" ht="15.75" customHeight="1" s="12">
      <c r="A1259" s="1" t="n">
        <v>161</v>
      </c>
      <c r="B1259" s="3">
        <f>HYPERLINK("https://leetcode.com/problems/one-edit-distance/", "One Edit Distance")</f>
        <v/>
      </c>
      <c r="C1259" s="1" t="n">
        <v>1447</v>
      </c>
      <c r="D1259" s="1" t="n">
        <v>195</v>
      </c>
      <c r="E1259" s="4">
        <f>IF(INDEX(C:C, ROW())+INDEX(D:D, ROW())=0, 0, INDEX(C:C, ROW())/(INDEX(C:C, ROW())+INDEX(D:D, ROW())))</f>
        <v/>
      </c>
      <c r="F1259" s="1" t="inlineStr">
        <is>
          <t>Two Pointers, String</t>
        </is>
      </c>
      <c r="G1259" s="1" t="inlineStr">
        <is>
          <t>Medium</t>
        </is>
      </c>
      <c r="H1259" s="1" t="n">
        <v>236922</v>
      </c>
      <c r="I1259" s="1" t="n">
        <v>685413</v>
      </c>
      <c r="J1259" s="9" t="n">
        <v>0.346</v>
      </c>
      <c r="K1259" s="1" t="inlineStr">
        <is>
          <t>No</t>
        </is>
      </c>
      <c r="L1259" s="1" t="inlineStr">
        <is>
          <t>Yes</t>
        </is>
      </c>
      <c r="M1259" s="1" t="inlineStr">
        <is>
          <t>No</t>
        </is>
      </c>
      <c r="N1259" s="1" t="inlineStr">
        <is>
          <t>Algorithms</t>
        </is>
      </c>
      <c r="O12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59" s="11" t="inlineStr">
        <is>
          <t>To Do</t>
        </is>
      </c>
    </row>
    <row r="1260" ht="15.75" customHeight="1" s="12">
      <c r="A1260" s="1" t="n">
        <v>2037</v>
      </c>
      <c r="B1260" s="3">
        <f>HYPERLINK("https://leetcode.com/problems/minimum-number-of-moves-to-seat-everyone/", "Minimum Number of Moves to Seat Everyone")</f>
        <v/>
      </c>
      <c r="C1260" s="1" t="n">
        <v>1446</v>
      </c>
      <c r="D1260" s="1" t="n">
        <v>346</v>
      </c>
      <c r="E1260" s="4">
        <f>IF(INDEX(C:C, ROW())+INDEX(D:D, ROW())=0, 0, INDEX(C:C, ROW())/(INDEX(C:C, ROW())+INDEX(D:D, ROW())))</f>
        <v/>
      </c>
      <c r="F1260" s="1" t="inlineStr">
        <is>
          <t>Array, Greedy, Sorting, Counting Sort</t>
        </is>
      </c>
      <c r="G1260" s="1" t="inlineStr">
        <is>
          <t>Easy</t>
        </is>
      </c>
      <c r="H1260" s="1" t="n">
        <v>285915</v>
      </c>
      <c r="I1260" s="1" t="n">
        <v>328003</v>
      </c>
      <c r="J1260" s="9" t="n">
        <v>0.872</v>
      </c>
      <c r="K1260" s="1" t="inlineStr">
        <is>
          <t>Yes</t>
        </is>
      </c>
      <c r="L1260" s="1" t="inlineStr">
        <is>
          <t>Yes</t>
        </is>
      </c>
      <c r="M1260" s="1" t="inlineStr">
        <is>
          <t>No</t>
        </is>
      </c>
      <c r="N1260" s="1" t="inlineStr">
        <is>
          <t>Algorithms</t>
        </is>
      </c>
      <c r="O12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60" s="13" t="inlineStr">
        <is>
          <t>Done</t>
        </is>
      </c>
    </row>
    <row r="1261" ht="15.75" customHeight="1" s="12">
      <c r="A1261" s="1" t="n">
        <v>2870</v>
      </c>
      <c r="B1261" s="3">
        <f>HYPERLINK("https://leetcode.com/problems/minimum-number-of-operations-to-make-array-empty/", "Minimum Number of Operations to Make Array Empty")</f>
        <v/>
      </c>
      <c r="C1261" s="1" t="n">
        <v>1446</v>
      </c>
      <c r="D1261" s="1" t="n">
        <v>70</v>
      </c>
      <c r="E1261" s="4">
        <f>IF(INDEX(C:C, ROW())+INDEX(D:D, ROW())=0, 0, INDEX(C:C, ROW())/(INDEX(C:C, ROW())+INDEX(D:D, ROW())))</f>
        <v/>
      </c>
      <c r="F1261" s="1" t="inlineStr">
        <is>
          <t>Array, Hash Table, Greedy, Counting</t>
        </is>
      </c>
      <c r="G1261" s="1" t="inlineStr">
        <is>
          <t>Medium</t>
        </is>
      </c>
      <c r="H1261" s="1" t="n">
        <v>199126</v>
      </c>
      <c r="I1261" s="1" t="n">
        <v>320608</v>
      </c>
      <c r="J1261" s="9" t="n">
        <v>0.621</v>
      </c>
      <c r="K1261" s="1" t="inlineStr">
        <is>
          <t>Yes</t>
        </is>
      </c>
      <c r="L1261" s="1" t="inlineStr">
        <is>
          <t>Yes</t>
        </is>
      </c>
      <c r="M1261" s="1" t="inlineStr">
        <is>
          <t>No</t>
        </is>
      </c>
      <c r="N1261" s="1" t="inlineStr">
        <is>
          <t>Algorithms</t>
        </is>
      </c>
      <c r="O12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61" s="11" t="inlineStr">
        <is>
          <t>To Do</t>
        </is>
      </c>
    </row>
    <row r="1262" ht="15.75" customHeight="1" s="12">
      <c r="A1262" s="1" t="n">
        <v>1992</v>
      </c>
      <c r="B1262" s="3">
        <f>HYPERLINK("https://leetcode.com/problems/find-all-groups-of-farmland/", "Find All Groups of Farmland")</f>
        <v/>
      </c>
      <c r="C1262" s="1" t="n">
        <v>1444</v>
      </c>
      <c r="D1262" s="1" t="n">
        <v>92</v>
      </c>
      <c r="E1262" s="4">
        <f>IF(INDEX(C:C, ROW())+INDEX(D:D, ROW())=0, 0, INDEX(C:C, ROW())/(INDEX(C:C, ROW())+INDEX(D:D, ROW())))</f>
        <v/>
      </c>
      <c r="F1262" s="1" t="inlineStr">
        <is>
          <t>Array, Depth-First Search, Breadth-First Search, Matrix</t>
        </is>
      </c>
      <c r="G1262" s="1" t="inlineStr">
        <is>
          <t>Medium</t>
        </is>
      </c>
      <c r="H1262" s="1" t="n">
        <v>142599</v>
      </c>
      <c r="I1262" s="1" t="n">
        <v>188895</v>
      </c>
      <c r="J1262" s="9" t="n">
        <v>0.755</v>
      </c>
      <c r="K1262" s="1" t="inlineStr">
        <is>
          <t>Yes</t>
        </is>
      </c>
      <c r="L1262" s="1" t="inlineStr">
        <is>
          <t>Yes</t>
        </is>
      </c>
      <c r="M1262" s="1" t="inlineStr">
        <is>
          <t>No</t>
        </is>
      </c>
      <c r="N1262" s="1" t="inlineStr">
        <is>
          <t>Algorithms</t>
        </is>
      </c>
      <c r="O12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62" s="11" t="inlineStr">
        <is>
          <t>To Do</t>
        </is>
      </c>
    </row>
    <row r="1263" ht="15.75" customHeight="1" s="12">
      <c r="A1263" s="1" t="n">
        <v>262</v>
      </c>
      <c r="B1263" s="3">
        <f>HYPERLINK("https://leetcode.com/problems/trips-and-users/", "Trips and Users")</f>
        <v/>
      </c>
      <c r="C1263" s="1" t="n">
        <v>1443</v>
      </c>
      <c r="D1263" s="1" t="n">
        <v>711</v>
      </c>
      <c r="E1263" s="4">
        <f>IF(INDEX(C:C, ROW())+INDEX(D:D, ROW())=0, 0, INDEX(C:C, ROW())/(INDEX(C:C, ROW())+INDEX(D:D, ROW())))</f>
        <v/>
      </c>
      <c r="F1263" s="1" t="inlineStr">
        <is>
          <t>Database</t>
        </is>
      </c>
      <c r="G1263" s="1" t="inlineStr">
        <is>
          <t>Hard</t>
        </is>
      </c>
      <c r="H1263" s="1" t="n">
        <v>302565</v>
      </c>
      <c r="I1263" s="1" t="n">
        <v>791634</v>
      </c>
      <c r="J1263" s="9" t="n">
        <v>0.382</v>
      </c>
      <c r="K1263" s="1" t="inlineStr">
        <is>
          <t>Yes</t>
        </is>
      </c>
      <c r="L1263" s="1" t="inlineStr">
        <is>
          <t>Yes</t>
        </is>
      </c>
      <c r="M1263" s="1" t="inlineStr">
        <is>
          <t>No</t>
        </is>
      </c>
      <c r="N1263" s="1" t="inlineStr">
        <is>
          <t>Database</t>
        </is>
      </c>
      <c r="O12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63" s="11" t="inlineStr">
        <is>
          <t>To Do</t>
        </is>
      </c>
    </row>
    <row r="1264" ht="15.75" customHeight="1" s="12">
      <c r="A1264" s="1" t="n">
        <v>1911</v>
      </c>
      <c r="B1264" s="3">
        <f>HYPERLINK("https://leetcode.com/problems/maximum-alternating-subsequence-sum/", "Maximum Alternating Subsequence Sum")</f>
        <v/>
      </c>
      <c r="C1264" s="1" t="n">
        <v>1441</v>
      </c>
      <c r="D1264" s="1" t="n">
        <v>33</v>
      </c>
      <c r="E1264" s="4">
        <f>IF(INDEX(C:C, ROW())+INDEX(D:D, ROW())=0, 0, INDEX(C:C, ROW())/(INDEX(C:C, ROW())+INDEX(D:D, ROW())))</f>
        <v/>
      </c>
      <c r="F1264" s="1" t="inlineStr">
        <is>
          <t>Array, Dynamic Programming</t>
        </is>
      </c>
      <c r="G1264" s="1" t="inlineStr">
        <is>
          <t>Medium</t>
        </is>
      </c>
      <c r="H1264" s="1" t="n">
        <v>65956</v>
      </c>
      <c r="I1264" s="1" t="n">
        <v>111707</v>
      </c>
      <c r="J1264" s="9" t="n">
        <v>0.59</v>
      </c>
      <c r="K1264" s="1" t="inlineStr">
        <is>
          <t>Yes</t>
        </is>
      </c>
      <c r="L1264" s="1" t="inlineStr">
        <is>
          <t>No</t>
        </is>
      </c>
      <c r="M1264" s="1" t="inlineStr">
        <is>
          <t>No</t>
        </is>
      </c>
      <c r="N1264" s="1" t="inlineStr">
        <is>
          <t>Algorithms</t>
        </is>
      </c>
      <c r="O12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64" s="11" t="inlineStr">
        <is>
          <t>To Do</t>
        </is>
      </c>
    </row>
    <row r="1265" ht="15.75" customHeight="1" s="12">
      <c r="A1265" s="1" t="n">
        <v>384</v>
      </c>
      <c r="B1265" s="3">
        <f>HYPERLINK("https://leetcode.com/problems/shuffle-an-array/", "Shuffle an Array")</f>
        <v/>
      </c>
      <c r="C1265" s="1" t="n">
        <v>1439</v>
      </c>
      <c r="D1265" s="1" t="n">
        <v>946</v>
      </c>
      <c r="E1265" s="4">
        <f>IF(INDEX(C:C, ROW())+INDEX(D:D, ROW())=0, 0, INDEX(C:C, ROW())/(INDEX(C:C, ROW())+INDEX(D:D, ROW())))</f>
        <v/>
      </c>
      <c r="F1265" s="1" t="inlineStr">
        <is>
          <t>Array, Math, Design, Randomized</t>
        </is>
      </c>
      <c r="G1265" s="1" t="inlineStr">
        <is>
          <t>Medium</t>
        </is>
      </c>
      <c r="H1265" s="1" t="n">
        <v>395637</v>
      </c>
      <c r="I1265" s="1" t="n">
        <v>662598</v>
      </c>
      <c r="J1265" s="9" t="n">
        <v>0.597</v>
      </c>
      <c r="K1265" s="1" t="inlineStr">
        <is>
          <t>Yes</t>
        </is>
      </c>
      <c r="L1265" s="1" t="inlineStr">
        <is>
          <t>Yes</t>
        </is>
      </c>
      <c r="M1265" s="1" t="inlineStr">
        <is>
          <t>No</t>
        </is>
      </c>
      <c r="N1265" s="1" t="inlineStr">
        <is>
          <t>Algorithms</t>
        </is>
      </c>
      <c r="O12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65" s="11" t="inlineStr">
        <is>
          <t>To Do</t>
        </is>
      </c>
    </row>
    <row r="1266" ht="15.75" customHeight="1" s="12">
      <c r="A1266" s="1" t="n">
        <v>1594</v>
      </c>
      <c r="B1266" s="3">
        <f>HYPERLINK("https://leetcode.com/problems/maximum-non-negative-product-in-a-matrix/", "Maximum Non Negative Product in a Matrix")</f>
        <v/>
      </c>
      <c r="C1266" s="1" t="n">
        <v>1435</v>
      </c>
      <c r="D1266" s="1" t="n">
        <v>92</v>
      </c>
      <c r="E1266" s="4">
        <f>IF(INDEX(C:C, ROW())+INDEX(D:D, ROW())=0, 0, INDEX(C:C, ROW())/(INDEX(C:C, ROW())+INDEX(D:D, ROW())))</f>
        <v/>
      </c>
      <c r="F1266" s="1" t="inlineStr">
        <is>
          <t>Array, Dynamic Programming, Matrix</t>
        </is>
      </c>
      <c r="G1266" s="1" t="inlineStr">
        <is>
          <t>Medium</t>
        </is>
      </c>
      <c r="H1266" s="1" t="n">
        <v>110535</v>
      </c>
      <c r="I1266" s="1" t="n">
        <v>214163</v>
      </c>
      <c r="J1266" s="9" t="n">
        <v>0.516</v>
      </c>
      <c r="K1266" s="1" t="inlineStr">
        <is>
          <t>Yes</t>
        </is>
      </c>
      <c r="L1266" s="1" t="inlineStr">
        <is>
          <t>Yes</t>
        </is>
      </c>
      <c r="M1266" s="1" t="inlineStr">
        <is>
          <t>No</t>
        </is>
      </c>
      <c r="N1266" s="1" t="inlineStr">
        <is>
          <t>Algorithms</t>
        </is>
      </c>
      <c r="O12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66" s="11" t="inlineStr">
        <is>
          <t>To Do</t>
        </is>
      </c>
    </row>
    <row r="1267" ht="15.75" customHeight="1" s="12">
      <c r="A1267" s="1" t="n">
        <v>1261</v>
      </c>
      <c r="B1267" s="3">
        <f>HYPERLINK("https://leetcode.com/problems/find-elements-in-a-contaminated-binary-tree/", "Find Elements in a Contaminated Binary Tree")</f>
        <v/>
      </c>
      <c r="C1267" s="1" t="n">
        <v>1434</v>
      </c>
      <c r="D1267" s="1" t="n">
        <v>127</v>
      </c>
      <c r="E1267" s="4">
        <f>IF(INDEX(C:C, ROW())+INDEX(D:D, ROW())=0, 0, INDEX(C:C, ROW())/(INDEX(C:C, ROW())+INDEX(D:D, ROW())))</f>
        <v/>
      </c>
      <c r="F1267" s="1" t="inlineStr">
        <is>
          <t>Hash Table, Tree, Depth-First Search, Breadth-First Search, Design, Binary Tree</t>
        </is>
      </c>
      <c r="G1267" s="1" t="inlineStr">
        <is>
          <t>Medium</t>
        </is>
      </c>
      <c r="H1267" s="1" t="n">
        <v>204429</v>
      </c>
      <c r="I1267" s="1" t="n">
        <v>243084</v>
      </c>
      <c r="J1267" s="9" t="n">
        <v>0.841</v>
      </c>
      <c r="K1267" s="1" t="inlineStr">
        <is>
          <t>Yes</t>
        </is>
      </c>
      <c r="L1267" s="1" t="inlineStr">
        <is>
          <t>Yes</t>
        </is>
      </c>
      <c r="M1267" s="1" t="inlineStr">
        <is>
          <t>No</t>
        </is>
      </c>
      <c r="N1267" s="1" t="inlineStr">
        <is>
          <t>Algorithms</t>
        </is>
      </c>
      <c r="O12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67" s="11" t="inlineStr">
        <is>
          <t>To Do</t>
        </is>
      </c>
    </row>
    <row r="1268" ht="15.75" customHeight="1" s="12">
      <c r="A1268" s="1" t="n">
        <v>607</v>
      </c>
      <c r="B1268" s="3">
        <f>HYPERLINK("https://leetcode.com/problems/sales-person/", "Sales Person")</f>
        <v/>
      </c>
      <c r="C1268" s="1" t="n">
        <v>1432</v>
      </c>
      <c r="D1268" s="1" t="n">
        <v>123</v>
      </c>
      <c r="E1268" s="4">
        <f>IF(INDEX(C:C, ROW())+INDEX(D:D, ROW())=0, 0, INDEX(C:C, ROW())/(INDEX(C:C, ROW())+INDEX(D:D, ROW())))</f>
        <v/>
      </c>
      <c r="F1268" s="1" t="inlineStr">
        <is>
          <t>Database</t>
        </is>
      </c>
      <c r="G1268" s="1" t="inlineStr">
        <is>
          <t>Easy</t>
        </is>
      </c>
      <c r="H1268" s="1" t="n">
        <v>386096</v>
      </c>
      <c r="I1268" s="1" t="n">
        <v>585302</v>
      </c>
      <c r="J1268" s="9" t="n">
        <v>0.66</v>
      </c>
      <c r="K1268" s="1" t="inlineStr">
        <is>
          <t>Yes</t>
        </is>
      </c>
      <c r="L1268" s="1" t="inlineStr">
        <is>
          <t>Yes</t>
        </is>
      </c>
      <c r="M1268" s="1" t="inlineStr">
        <is>
          <t>No</t>
        </is>
      </c>
      <c r="N1268" s="1" t="inlineStr">
        <is>
          <t>Database</t>
        </is>
      </c>
      <c r="O12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68" s="13" t="inlineStr">
        <is>
          <t>Done</t>
        </is>
      </c>
    </row>
    <row r="1269" ht="15.75" customHeight="1" s="12">
      <c r="A1269" s="1" t="n">
        <v>2785</v>
      </c>
      <c r="B1269" s="3">
        <f>HYPERLINK("https://leetcode.com/problems/sort-vowels-in-a-string/", "Sort Vowels in a String")</f>
        <v/>
      </c>
      <c r="C1269" s="1" t="n">
        <v>1432</v>
      </c>
      <c r="D1269" s="1" t="n">
        <v>73</v>
      </c>
      <c r="E1269" s="4">
        <f>IF(INDEX(C:C, ROW())+INDEX(D:D, ROW())=0, 0, INDEX(C:C, ROW())/(INDEX(C:C, ROW())+INDEX(D:D, ROW())))</f>
        <v/>
      </c>
      <c r="F1269" s="1" t="inlineStr">
        <is>
          <t>String, Sorting</t>
        </is>
      </c>
      <c r="G1269" s="1" t="inlineStr">
        <is>
          <t>Medium</t>
        </is>
      </c>
      <c r="H1269" s="1" t="n">
        <v>311762</v>
      </c>
      <c r="I1269" s="1" t="n">
        <v>373565</v>
      </c>
      <c r="J1269" s="9" t="n">
        <v>0.835</v>
      </c>
      <c r="K1269" s="1" t="inlineStr">
        <is>
          <t>Yes</t>
        </is>
      </c>
      <c r="L1269" s="1" t="inlineStr">
        <is>
          <t>Yes</t>
        </is>
      </c>
      <c r="M1269" s="1" t="inlineStr">
        <is>
          <t>No</t>
        </is>
      </c>
      <c r="N1269" s="1" t="inlineStr">
        <is>
          <t>Algorithms</t>
        </is>
      </c>
      <c r="O12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69" s="11" t="inlineStr">
        <is>
          <t>To Do</t>
        </is>
      </c>
    </row>
    <row r="1270" ht="15.75" customHeight="1" s="12">
      <c r="A1270" s="1" t="n">
        <v>855</v>
      </c>
      <c r="B1270" s="3">
        <f>HYPERLINK("https://leetcode.com/problems/exam-room/", "Exam Room")</f>
        <v/>
      </c>
      <c r="C1270" s="1" t="n">
        <v>1429</v>
      </c>
      <c r="D1270" s="1" t="n">
        <v>531</v>
      </c>
      <c r="E1270" s="4">
        <f>IF(INDEX(C:C, ROW())+INDEX(D:D, ROW())=0, 0, INDEX(C:C, ROW())/(INDEX(C:C, ROW())+INDEX(D:D, ROW())))</f>
        <v/>
      </c>
      <c r="F1270" s="1" t="inlineStr">
        <is>
          <t>Design, Heap (Priority Queue), Ordered Set</t>
        </is>
      </c>
      <c r="G1270" s="1" t="inlineStr">
        <is>
          <t>Medium</t>
        </is>
      </c>
      <c r="H1270" s="1" t="n">
        <v>75762</v>
      </c>
      <c r="I1270" s="1" t="n">
        <v>174401</v>
      </c>
      <c r="J1270" s="9" t="n">
        <v>0.434</v>
      </c>
      <c r="K1270" s="1" t="inlineStr">
        <is>
          <t>Yes</t>
        </is>
      </c>
      <c r="L1270" s="1" t="inlineStr">
        <is>
          <t>Yes</t>
        </is>
      </c>
      <c r="M1270" s="1" t="inlineStr">
        <is>
          <t>No</t>
        </is>
      </c>
      <c r="N1270" s="1" t="inlineStr">
        <is>
          <t>Algorithms</t>
        </is>
      </c>
      <c r="O12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70" s="11" t="inlineStr">
        <is>
          <t>To Do</t>
        </is>
      </c>
    </row>
    <row r="1271" ht="15.75" customHeight="1" s="12">
      <c r="A1271" s="1" t="n">
        <v>545</v>
      </c>
      <c r="B1271" s="3">
        <f>HYPERLINK("https://leetcode.com/problems/boundary-of-binary-tree/", "Boundary of Binary Tree")</f>
        <v/>
      </c>
      <c r="C1271" s="1" t="n">
        <v>1420</v>
      </c>
      <c r="D1271" s="1" t="n">
        <v>2348</v>
      </c>
      <c r="E1271" s="4">
        <f>IF(INDEX(C:C, ROW())+INDEX(D:D, ROW())=0, 0, INDEX(C:C, ROW())/(INDEX(C:C, ROW())+INDEX(D:D, ROW())))</f>
        <v/>
      </c>
      <c r="F1271" s="1" t="inlineStr">
        <is>
          <t>Tree, Depth-First Search, Binary Tree</t>
        </is>
      </c>
      <c r="G1271" s="1" t="inlineStr">
        <is>
          <t>Medium</t>
        </is>
      </c>
      <c r="H1271" s="1" t="n">
        <v>176458</v>
      </c>
      <c r="I1271" s="1" t="n">
        <v>366996</v>
      </c>
      <c r="J1271" s="9" t="n">
        <v>0.481</v>
      </c>
      <c r="K1271" s="1" t="inlineStr">
        <is>
          <t>No</t>
        </is>
      </c>
      <c r="L1271" s="1" t="inlineStr">
        <is>
          <t>Yes</t>
        </is>
      </c>
      <c r="M1271" s="1" t="inlineStr">
        <is>
          <t>No</t>
        </is>
      </c>
      <c r="N1271" s="1" t="inlineStr">
        <is>
          <t>Algorithms</t>
        </is>
      </c>
      <c r="O12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71" s="11" t="inlineStr">
        <is>
          <t>To Do</t>
        </is>
      </c>
    </row>
    <row r="1272" ht="15.75" customHeight="1" s="12">
      <c r="A1272" s="1" t="n">
        <v>1499</v>
      </c>
      <c r="B1272" s="3">
        <f>HYPERLINK("https://leetcode.com/problems/max-value-of-equation/", "Max Value of Equation")</f>
        <v/>
      </c>
      <c r="C1272" s="1" t="n">
        <v>1418</v>
      </c>
      <c r="D1272" s="1" t="n">
        <v>62</v>
      </c>
      <c r="E1272" s="4">
        <f>IF(INDEX(C:C, ROW())+INDEX(D:D, ROW())=0, 0, INDEX(C:C, ROW())/(INDEX(C:C, ROW())+INDEX(D:D, ROW())))</f>
        <v/>
      </c>
      <c r="F1272" s="1" t="inlineStr">
        <is>
          <t>Array, Queue, Sliding Window, Heap (Priority Queue), Monotonic Queue</t>
        </is>
      </c>
      <c r="G1272" s="1" t="inlineStr">
        <is>
          <t>Hard</t>
        </is>
      </c>
      <c r="H1272" s="1" t="n">
        <v>55908</v>
      </c>
      <c r="I1272" s="1" t="n">
        <v>124183</v>
      </c>
      <c r="J1272" s="9" t="n">
        <v>0.45</v>
      </c>
      <c r="K1272" s="1" t="inlineStr">
        <is>
          <t>Yes</t>
        </is>
      </c>
      <c r="L1272" s="1" t="inlineStr">
        <is>
          <t>No</t>
        </is>
      </c>
      <c r="M1272" s="1" t="inlineStr">
        <is>
          <t>No</t>
        </is>
      </c>
      <c r="N1272" s="1" t="inlineStr">
        <is>
          <t>Algorithms</t>
        </is>
      </c>
      <c r="O12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72" s="11" t="inlineStr">
        <is>
          <t>To Do</t>
        </is>
      </c>
    </row>
    <row r="1273" ht="15.75" customHeight="1" s="12">
      <c r="A1273" s="1" t="n">
        <v>1707</v>
      </c>
      <c r="B1273" s="3">
        <f>HYPERLINK("https://leetcode.com/problems/maximum-xor-with-an-element-from-array/", "Maximum XOR With an Element From Array")</f>
        <v/>
      </c>
      <c r="C1273" s="1" t="n">
        <v>1418</v>
      </c>
      <c r="D1273" s="1" t="n">
        <v>40</v>
      </c>
      <c r="E1273" s="4">
        <f>IF(INDEX(C:C, ROW())+INDEX(D:D, ROW())=0, 0, INDEX(C:C, ROW())/(INDEX(C:C, ROW())+INDEX(D:D, ROW())))</f>
        <v/>
      </c>
      <c r="F1273" s="1" t="inlineStr">
        <is>
          <t>Array, Bit Manipulation, Trie</t>
        </is>
      </c>
      <c r="G1273" s="1" t="inlineStr">
        <is>
          <t>Hard</t>
        </is>
      </c>
      <c r="H1273" s="1" t="n">
        <v>46495</v>
      </c>
      <c r="I1273" s="1" t="n">
        <v>80262</v>
      </c>
      <c r="J1273" s="9" t="n">
        <v>0.579</v>
      </c>
      <c r="K1273" s="1" t="inlineStr">
        <is>
          <t>Yes</t>
        </is>
      </c>
      <c r="L1273" s="1" t="inlineStr">
        <is>
          <t>No</t>
        </is>
      </c>
      <c r="M1273" s="1" t="inlineStr">
        <is>
          <t>No</t>
        </is>
      </c>
      <c r="N1273" s="1" t="inlineStr">
        <is>
          <t>Algorithms</t>
        </is>
      </c>
      <c r="O12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73" s="11" t="inlineStr">
        <is>
          <t>To Do</t>
        </is>
      </c>
    </row>
    <row r="1274" ht="15.75" customHeight="1" s="12">
      <c r="A1274" s="1" t="n">
        <v>1164</v>
      </c>
      <c r="B1274" s="3">
        <f>HYPERLINK("https://leetcode.com/problems/product-price-at-a-given-date/", "Product Price at a Given Date")</f>
        <v/>
      </c>
      <c r="C1274" s="1" t="n">
        <v>1416</v>
      </c>
      <c r="D1274" s="1" t="n">
        <v>336</v>
      </c>
      <c r="E1274" s="4">
        <f>IF(INDEX(C:C, ROW())+INDEX(D:D, ROW())=0, 0, INDEX(C:C, ROW())/(INDEX(C:C, ROW())+INDEX(D:D, ROW())))</f>
        <v/>
      </c>
      <c r="F1274" s="1" t="inlineStr">
        <is>
          <t>Database</t>
        </is>
      </c>
      <c r="G1274" s="1" t="inlineStr">
        <is>
          <t>Medium</t>
        </is>
      </c>
      <c r="H1274" s="1" t="n">
        <v>343732</v>
      </c>
      <c r="I1274" s="1" t="n">
        <v>594301</v>
      </c>
      <c r="J1274" s="9" t="n">
        <v>0.578</v>
      </c>
      <c r="K1274" s="1" t="inlineStr">
        <is>
          <t>Yes</t>
        </is>
      </c>
      <c r="L1274" s="1" t="inlineStr">
        <is>
          <t>Yes</t>
        </is>
      </c>
      <c r="M1274" s="1" t="inlineStr">
        <is>
          <t>No</t>
        </is>
      </c>
      <c r="N1274" s="1" t="inlineStr">
        <is>
          <t>Database</t>
        </is>
      </c>
      <c r="O12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74" s="11" t="inlineStr">
        <is>
          <t>To Do</t>
        </is>
      </c>
    </row>
    <row r="1275" ht="15.75" customHeight="1" s="12">
      <c r="A1275" s="1" t="n">
        <v>1550</v>
      </c>
      <c r="B1275" s="3">
        <f>HYPERLINK("https://leetcode.com/problems/three-consecutive-odds/", "Three Consecutive Odds")</f>
        <v/>
      </c>
      <c r="C1275" s="1" t="n">
        <v>1416</v>
      </c>
      <c r="D1275" s="1" t="n">
        <v>108</v>
      </c>
      <c r="E1275" s="4">
        <f>IF(INDEX(C:C, ROW())+INDEX(D:D, ROW())=0, 0, INDEX(C:C, ROW())/(INDEX(C:C, ROW())+INDEX(D:D, ROW())))</f>
        <v/>
      </c>
      <c r="F1275" s="1" t="inlineStr">
        <is>
          <t>Array</t>
        </is>
      </c>
      <c r="G1275" s="1" t="inlineStr">
        <is>
          <t>Easy</t>
        </is>
      </c>
      <c r="H1275" s="1" t="n">
        <v>445826</v>
      </c>
      <c r="I1275" s="1" t="n">
        <v>643065</v>
      </c>
      <c r="J1275" s="9" t="n">
        <v>0.6929999999999999</v>
      </c>
      <c r="K1275" s="1" t="inlineStr">
        <is>
          <t>Yes</t>
        </is>
      </c>
      <c r="L1275" s="1" t="inlineStr">
        <is>
          <t>Yes</t>
        </is>
      </c>
      <c r="M1275" s="1" t="inlineStr">
        <is>
          <t>No</t>
        </is>
      </c>
      <c r="N1275" s="1" t="inlineStr">
        <is>
          <t>Algorithms</t>
        </is>
      </c>
      <c r="O12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75" s="13" t="inlineStr">
        <is>
          <t>Done</t>
        </is>
      </c>
    </row>
    <row r="1276" ht="15.75" customHeight="1" s="12">
      <c r="A1276" s="1" t="n">
        <v>2008</v>
      </c>
      <c r="B1276" s="3">
        <f>HYPERLINK("https://leetcode.com/problems/maximum-earnings-from-taxi/", "Maximum Earnings From Taxi")</f>
        <v/>
      </c>
      <c r="C1276" s="1" t="n">
        <v>1416</v>
      </c>
      <c r="D1276" s="1" t="n">
        <v>26</v>
      </c>
      <c r="E1276" s="4">
        <f>IF(INDEX(C:C, ROW())+INDEX(D:D, ROW())=0, 0, INDEX(C:C, ROW())/(INDEX(C:C, ROW())+INDEX(D:D, ROW())))</f>
        <v/>
      </c>
      <c r="F1276" s="1" t="inlineStr">
        <is>
          <t>Array, Hash Table, Binary Search, Dynamic Programming, Sorting</t>
        </is>
      </c>
      <c r="G1276" s="1" t="inlineStr">
        <is>
          <t>Medium</t>
        </is>
      </c>
      <c r="H1276" s="1" t="n">
        <v>49682</v>
      </c>
      <c r="I1276" s="1" t="n">
        <v>106871</v>
      </c>
      <c r="J1276" s="9" t="n">
        <v>0.465</v>
      </c>
      <c r="K1276" s="1" t="inlineStr">
        <is>
          <t>Yes</t>
        </is>
      </c>
      <c r="L1276" s="1" t="inlineStr">
        <is>
          <t>No</t>
        </is>
      </c>
      <c r="M1276" s="1" t="inlineStr">
        <is>
          <t>No</t>
        </is>
      </c>
      <c r="N1276" s="1" t="inlineStr">
        <is>
          <t>Algorithms</t>
        </is>
      </c>
      <c r="O12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76" s="11" t="inlineStr">
        <is>
          <t>To Do</t>
        </is>
      </c>
    </row>
    <row r="1277" ht="15.75" customHeight="1" s="12">
      <c r="A1277" s="1" t="n">
        <v>1624</v>
      </c>
      <c r="B1277" s="3">
        <f>HYPERLINK("https://leetcode.com/problems/largest-substring-between-two-equal-characters/", "Largest Substring Between Two Equal Characters")</f>
        <v/>
      </c>
      <c r="C1277" s="1" t="n">
        <v>1415</v>
      </c>
      <c r="D1277" s="1" t="n">
        <v>68</v>
      </c>
      <c r="E1277" s="4">
        <f>IF(INDEX(C:C, ROW())+INDEX(D:D, ROW())=0, 0, INDEX(C:C, ROW())/(INDEX(C:C, ROW())+INDEX(D:D, ROW())))</f>
        <v/>
      </c>
      <c r="F1277" s="1" t="inlineStr">
        <is>
          <t>Hash Table, String</t>
        </is>
      </c>
      <c r="G1277" s="1" t="inlineStr">
        <is>
          <t>Easy</t>
        </is>
      </c>
      <c r="H1277" s="1" t="n">
        <v>181892</v>
      </c>
      <c r="I1277" s="1" t="n">
        <v>266234</v>
      </c>
      <c r="J1277" s="9" t="n">
        <v>0.6830000000000001</v>
      </c>
      <c r="K1277" s="1" t="inlineStr">
        <is>
          <t>Yes</t>
        </is>
      </c>
      <c r="L1277" s="1" t="inlineStr">
        <is>
          <t>Yes</t>
        </is>
      </c>
      <c r="M1277" s="1" t="inlineStr">
        <is>
          <t>No</t>
        </is>
      </c>
      <c r="N1277" s="1" t="inlineStr">
        <is>
          <t>Algorithms</t>
        </is>
      </c>
      <c r="O12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77" s="13" t="inlineStr">
        <is>
          <t>Done</t>
        </is>
      </c>
    </row>
    <row r="1278" ht="15.75" customHeight="1" s="12">
      <c r="A1278" s="1" t="n">
        <v>2289</v>
      </c>
      <c r="B1278" s="3">
        <f>HYPERLINK("https://leetcode.com/problems/steps-to-make-array-non-decreasing/", "Steps to Make Array Non-decreasing")</f>
        <v/>
      </c>
      <c r="C1278" s="1" t="n">
        <v>1414</v>
      </c>
      <c r="D1278" s="1" t="n">
        <v>149</v>
      </c>
      <c r="E1278" s="4">
        <f>IF(INDEX(C:C, ROW())+INDEX(D:D, ROW())=0, 0, INDEX(C:C, ROW())/(INDEX(C:C, ROW())+INDEX(D:D, ROW())))</f>
        <v/>
      </c>
      <c r="F1278" s="1" t="inlineStr">
        <is>
          <t>Array, Linked List, Dynamic Programming, Stack, Monotonic Stack, Simulation</t>
        </is>
      </c>
      <c r="G1278" s="1" t="inlineStr">
        <is>
          <t>Medium</t>
        </is>
      </c>
      <c r="H1278" s="1" t="n">
        <v>31741</v>
      </c>
      <c r="I1278" s="1" t="n">
        <v>127834</v>
      </c>
      <c r="J1278" s="9" t="n">
        <v>0.248</v>
      </c>
      <c r="K1278" s="1" t="inlineStr">
        <is>
          <t>Yes</t>
        </is>
      </c>
      <c r="L1278" s="1" t="inlineStr">
        <is>
          <t>No</t>
        </is>
      </c>
      <c r="M1278" s="1" t="inlineStr">
        <is>
          <t>No</t>
        </is>
      </c>
      <c r="N1278" s="1" t="inlineStr">
        <is>
          <t>Algorithms</t>
        </is>
      </c>
      <c r="O12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78" s="11" t="inlineStr">
        <is>
          <t>To Do</t>
        </is>
      </c>
    </row>
    <row r="1279" ht="15.75" customHeight="1" s="12">
      <c r="A1279" s="1" t="n">
        <v>835</v>
      </c>
      <c r="B1279" s="3">
        <f>HYPERLINK("https://leetcode.com/problems/image-overlap/", "Image Overlap")</f>
        <v/>
      </c>
      <c r="C1279" s="1" t="n">
        <v>1413</v>
      </c>
      <c r="D1279" s="1" t="n">
        <v>506</v>
      </c>
      <c r="E1279" s="4">
        <f>IF(INDEX(C:C, ROW())+INDEX(D:D, ROW())=0, 0, INDEX(C:C, ROW())/(INDEX(C:C, ROW())+INDEX(D:D, ROW())))</f>
        <v/>
      </c>
      <c r="F1279" s="1" t="inlineStr">
        <is>
          <t>Array, Matrix</t>
        </is>
      </c>
      <c r="G1279" s="1" t="inlineStr">
        <is>
          <t>Medium</t>
        </is>
      </c>
      <c r="H1279" s="1" t="n">
        <v>105871</v>
      </c>
      <c r="I1279" s="1" t="n">
        <v>165341</v>
      </c>
      <c r="J1279" s="9" t="n">
        <v>0.64</v>
      </c>
      <c r="K1279" s="1" t="inlineStr">
        <is>
          <t>Yes</t>
        </is>
      </c>
      <c r="L1279" s="1" t="inlineStr">
        <is>
          <t>Yes</t>
        </is>
      </c>
      <c r="M1279" s="1" t="inlineStr">
        <is>
          <t>No</t>
        </is>
      </c>
      <c r="N1279" s="1" t="inlineStr">
        <is>
          <t>Algorithms</t>
        </is>
      </c>
      <c r="O12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79" s="11" t="inlineStr">
        <is>
          <t>To Do</t>
        </is>
      </c>
    </row>
    <row r="1280" ht="15.75" customHeight="1" s="12">
      <c r="A1280" s="1" t="n">
        <v>2467</v>
      </c>
      <c r="B1280" s="3">
        <f>HYPERLINK("https://leetcode.com/problems/most-profitable-path-in-a-tree/", "Most Profitable Path in a Tree")</f>
        <v/>
      </c>
      <c r="C1280" s="1" t="n">
        <v>1411</v>
      </c>
      <c r="D1280" s="1" t="n">
        <v>246</v>
      </c>
      <c r="E1280" s="4">
        <f>IF(INDEX(C:C, ROW())+INDEX(D:D, ROW())=0, 0, INDEX(C:C, ROW())/(INDEX(C:C, ROW())+INDEX(D:D, ROW())))</f>
        <v/>
      </c>
      <c r="F1280" s="1" t="inlineStr">
        <is>
          <t>Array, Tree, Depth-First Search, Breadth-First Search, Graph Theory</t>
        </is>
      </c>
      <c r="G1280" s="1" t="inlineStr">
        <is>
          <t>Medium</t>
        </is>
      </c>
      <c r="H1280" s="1" t="n">
        <v>109578</v>
      </c>
      <c r="I1280" s="1" t="n">
        <v>162855</v>
      </c>
      <c r="J1280" s="9" t="n">
        <v>0.673</v>
      </c>
      <c r="K1280" s="1" t="inlineStr">
        <is>
          <t>Yes</t>
        </is>
      </c>
      <c r="L1280" s="1" t="inlineStr">
        <is>
          <t>Yes</t>
        </is>
      </c>
      <c r="M1280" s="1" t="inlineStr">
        <is>
          <t>No</t>
        </is>
      </c>
      <c r="N1280" s="1" t="inlineStr">
        <is>
          <t>Algorithms</t>
        </is>
      </c>
      <c r="O12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80" s="11" t="inlineStr">
        <is>
          <t>To Do</t>
        </is>
      </c>
    </row>
    <row r="1281" ht="15.75" customHeight="1" s="12">
      <c r="A1281" s="1" t="n">
        <v>2342</v>
      </c>
      <c r="B1281" s="3">
        <f>HYPERLINK("https://leetcode.com/problems/max-sum-of-a-pair-with-equal-sum-of-digits/", "Max Sum of a Pair With Equal Sum of Digits")</f>
        <v/>
      </c>
      <c r="C1281" s="1" t="n">
        <v>1410</v>
      </c>
      <c r="D1281" s="1" t="n">
        <v>46</v>
      </c>
      <c r="E1281" s="4">
        <f>IF(INDEX(C:C, ROW())+INDEX(D:D, ROW())=0, 0, INDEX(C:C, ROW())/(INDEX(C:C, ROW())+INDEX(D:D, ROW())))</f>
        <v/>
      </c>
      <c r="F1281" s="1" t="inlineStr">
        <is>
          <t>Array, Hash Table, Sorting, Heap (Priority Queue)</t>
        </is>
      </c>
      <c r="G1281" s="1" t="inlineStr">
        <is>
          <t>Medium</t>
        </is>
      </c>
      <c r="H1281" s="1" t="n">
        <v>250622</v>
      </c>
      <c r="I1281" s="1" t="n">
        <v>380052</v>
      </c>
      <c r="J1281" s="9" t="n">
        <v>0.659</v>
      </c>
      <c r="K1281" s="1" t="inlineStr">
        <is>
          <t>Yes</t>
        </is>
      </c>
      <c r="L1281" s="1" t="inlineStr">
        <is>
          <t>Yes</t>
        </is>
      </c>
      <c r="M1281" s="1" t="inlineStr">
        <is>
          <t>No</t>
        </is>
      </c>
      <c r="N1281" s="1" t="inlineStr">
        <is>
          <t>Algorithms</t>
        </is>
      </c>
      <c r="O12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81" s="11" t="inlineStr">
        <is>
          <t>To Do</t>
        </is>
      </c>
    </row>
    <row r="1282" ht="15.75" customHeight="1" s="12">
      <c r="A1282" s="1" t="n">
        <v>738</v>
      </c>
      <c r="B1282" s="3">
        <f>HYPERLINK("https://leetcode.com/problems/monotone-increasing-digits/", "Monotone Increasing Digits")</f>
        <v/>
      </c>
      <c r="C1282" s="1" t="n">
        <v>1409</v>
      </c>
      <c r="D1282" s="1" t="n">
        <v>115</v>
      </c>
      <c r="E1282" s="4">
        <f>IF(INDEX(C:C, ROW())+INDEX(D:D, ROW())=0, 0, INDEX(C:C, ROW())/(INDEX(C:C, ROW())+INDEX(D:D, ROW())))</f>
        <v/>
      </c>
      <c r="F1282" s="1" t="inlineStr">
        <is>
          <t>Math, Greedy</t>
        </is>
      </c>
      <c r="G1282" s="1" t="inlineStr">
        <is>
          <t>Medium</t>
        </is>
      </c>
      <c r="H1282" s="1" t="n">
        <v>69427</v>
      </c>
      <c r="I1282" s="1" t="n">
        <v>140027</v>
      </c>
      <c r="J1282" s="9" t="n">
        <v>0.496</v>
      </c>
      <c r="K1282" s="1" t="inlineStr">
        <is>
          <t>Yes</t>
        </is>
      </c>
      <c r="L1282" s="1" t="inlineStr">
        <is>
          <t>Yes</t>
        </is>
      </c>
      <c r="M1282" s="1" t="inlineStr">
        <is>
          <t>No</t>
        </is>
      </c>
      <c r="N1282" s="1" t="inlineStr">
        <is>
          <t>Algorithms</t>
        </is>
      </c>
      <c r="O12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82" s="11" t="inlineStr">
        <is>
          <t>To Do</t>
        </is>
      </c>
    </row>
    <row r="1283" ht="15.75" customHeight="1" s="12">
      <c r="A1283" s="1" t="n">
        <v>1664</v>
      </c>
      <c r="B1283" s="3">
        <f>HYPERLINK("https://leetcode.com/problems/ways-to-make-a-fair-array/", "Ways to Make a Fair Array")</f>
        <v/>
      </c>
      <c r="C1283" s="1" t="n">
        <v>1408</v>
      </c>
      <c r="D1283" s="1" t="n">
        <v>50</v>
      </c>
      <c r="E1283" s="4">
        <f>IF(INDEX(C:C, ROW())+INDEX(D:D, ROW())=0, 0, INDEX(C:C, ROW())/(INDEX(C:C, ROW())+INDEX(D:D, ROW())))</f>
        <v/>
      </c>
      <c r="F1283" s="1" t="inlineStr">
        <is>
          <t>Array, Prefix Sum</t>
        </is>
      </c>
      <c r="G1283" s="1" t="inlineStr">
        <is>
          <t>Medium</t>
        </is>
      </c>
      <c r="H1283" s="1" t="n">
        <v>58569</v>
      </c>
      <c r="I1283" s="1" t="n">
        <v>87702</v>
      </c>
      <c r="J1283" s="9" t="n">
        <v>0.668</v>
      </c>
      <c r="K1283" s="1" t="inlineStr">
        <is>
          <t>Yes</t>
        </is>
      </c>
      <c r="L1283" s="1" t="inlineStr">
        <is>
          <t>No</t>
        </is>
      </c>
      <c r="M1283" s="1" t="inlineStr">
        <is>
          <t>No</t>
        </is>
      </c>
      <c r="N1283" s="1" t="inlineStr">
        <is>
          <t>Algorithms</t>
        </is>
      </c>
      <c r="O12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83" s="11" t="inlineStr">
        <is>
          <t>To Do</t>
        </is>
      </c>
    </row>
    <row r="1284" ht="15.75" customHeight="1" s="12">
      <c r="A1284" s="1" t="n">
        <v>2044</v>
      </c>
      <c r="B1284" s="3">
        <f>HYPERLINK("https://leetcode.com/problems/count-number-of-maximum-bitwise-or-subsets/", "Count Number of Maximum Bitwise-OR Subsets")</f>
        <v/>
      </c>
      <c r="C1284" s="1" t="n">
        <v>1408</v>
      </c>
      <c r="D1284" s="1" t="n">
        <v>97</v>
      </c>
      <c r="E1284" s="4">
        <f>IF(INDEX(C:C, ROW())+INDEX(D:D, ROW())=0, 0, INDEX(C:C, ROW())/(INDEX(C:C, ROW())+INDEX(D:D, ROW())))</f>
        <v/>
      </c>
      <c r="F1284" s="1" t="inlineStr">
        <is>
          <t>Array, Backtracking, Bit Manipulation, Enumeration</t>
        </is>
      </c>
      <c r="G1284" s="1" t="inlineStr">
        <is>
          <t>Medium</t>
        </is>
      </c>
      <c r="H1284" s="1" t="n">
        <v>249907</v>
      </c>
      <c r="I1284" s="1" t="n">
        <v>279193</v>
      </c>
      <c r="J1284" s="9" t="n">
        <v>0.895</v>
      </c>
      <c r="K1284" s="1" t="inlineStr">
        <is>
          <t>Yes</t>
        </is>
      </c>
      <c r="L1284" s="1" t="inlineStr">
        <is>
          <t>Yes</t>
        </is>
      </c>
      <c r="M1284" s="1" t="inlineStr">
        <is>
          <t>No</t>
        </is>
      </c>
      <c r="N1284" s="1" t="inlineStr">
        <is>
          <t>Algorithms</t>
        </is>
      </c>
      <c r="O12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84" s="11" t="inlineStr">
        <is>
          <t>To Do</t>
        </is>
      </c>
    </row>
    <row r="1285" ht="15.75" customHeight="1" s="12">
      <c r="A1285" s="1" t="n">
        <v>1722</v>
      </c>
      <c r="B1285" s="3">
        <f>HYPERLINK("https://leetcode.com/problems/minimize-hamming-distance-after-swap-operations/", "Minimize Hamming Distance After Swap Operations")</f>
        <v/>
      </c>
      <c r="C1285" s="1" t="n">
        <v>1407</v>
      </c>
      <c r="D1285" s="1" t="n">
        <v>42</v>
      </c>
      <c r="E1285" s="4">
        <f>IF(INDEX(C:C, ROW())+INDEX(D:D, ROW())=0, 0, INDEX(C:C, ROW())/(INDEX(C:C, ROW())+INDEX(D:D, ROW())))</f>
        <v/>
      </c>
      <c r="F1285" s="1" t="inlineStr">
        <is>
          <t>Array, Depth-First Search, Union-Find</t>
        </is>
      </c>
      <c r="G1285" s="1" t="inlineStr">
        <is>
          <t>Medium</t>
        </is>
      </c>
      <c r="H1285" s="1" t="n">
        <v>92039</v>
      </c>
      <c r="I1285" s="1" t="n">
        <v>132181</v>
      </c>
      <c r="J1285" s="9" t="n">
        <v>0.696</v>
      </c>
      <c r="K1285" s="1" t="inlineStr">
        <is>
          <t>Yes</t>
        </is>
      </c>
      <c r="L1285" s="1" t="inlineStr">
        <is>
          <t>Yes</t>
        </is>
      </c>
      <c r="M1285" s="1" t="inlineStr">
        <is>
          <t>No</t>
        </is>
      </c>
      <c r="N1285" s="1" t="inlineStr">
        <is>
          <t>Algorithms</t>
        </is>
      </c>
      <c r="O12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85" s="11" t="inlineStr">
        <is>
          <t>To Do</t>
        </is>
      </c>
    </row>
    <row r="1286" ht="15.75" customHeight="1" s="12">
      <c r="A1286" s="1" t="n">
        <v>1145</v>
      </c>
      <c r="B1286" s="3">
        <f>HYPERLINK("https://leetcode.com/problems/binary-tree-coloring-game/", "Binary Tree Coloring Game")</f>
        <v/>
      </c>
      <c r="C1286" s="1" t="n">
        <v>1405</v>
      </c>
      <c r="D1286" s="1" t="n">
        <v>225</v>
      </c>
      <c r="E1286" s="4">
        <f>IF(INDEX(C:C, ROW())+INDEX(D:D, ROW())=0, 0, INDEX(C:C, ROW())/(INDEX(C:C, ROW())+INDEX(D:D, ROW())))</f>
        <v/>
      </c>
      <c r="F1286" s="1" t="inlineStr">
        <is>
          <t>Tree, Depth-First Search, Binary Tree</t>
        </is>
      </c>
      <c r="G1286" s="1" t="inlineStr">
        <is>
          <t>Medium</t>
        </is>
      </c>
      <c r="H1286" s="1" t="n">
        <v>55474</v>
      </c>
      <c r="I1286" s="1" t="n">
        <v>104846</v>
      </c>
      <c r="J1286" s="9" t="n">
        <v>0.529</v>
      </c>
      <c r="K1286" s="1" t="inlineStr">
        <is>
          <t>Yes</t>
        </is>
      </c>
      <c r="L1286" s="1" t="inlineStr">
        <is>
          <t>No</t>
        </is>
      </c>
      <c r="M1286" s="1" t="inlineStr">
        <is>
          <t>No</t>
        </is>
      </c>
      <c r="N1286" s="1" t="inlineStr">
        <is>
          <t>Algorithms</t>
        </is>
      </c>
      <c r="O12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86" s="11" t="inlineStr">
        <is>
          <t>To Do</t>
        </is>
      </c>
    </row>
    <row r="1287" ht="15.75" customHeight="1" s="12">
      <c r="A1287" s="1" t="n">
        <v>608</v>
      </c>
      <c r="B1287" s="3">
        <f>HYPERLINK("https://leetcode.com/problems/tree-node/", "Tree Node")</f>
        <v/>
      </c>
      <c r="C1287" s="1" t="n">
        <v>1404</v>
      </c>
      <c r="D1287" s="1" t="n">
        <v>132</v>
      </c>
      <c r="E1287" s="4">
        <f>IF(INDEX(C:C, ROW())+INDEX(D:D, ROW())=0, 0, INDEX(C:C, ROW())/(INDEX(C:C, ROW())+INDEX(D:D, ROW())))</f>
        <v/>
      </c>
      <c r="F1287" s="1" t="inlineStr">
        <is>
          <t>Database</t>
        </is>
      </c>
      <c r="G1287" s="1" t="inlineStr">
        <is>
          <t>Medium</t>
        </is>
      </c>
      <c r="H1287" s="1" t="n">
        <v>254465</v>
      </c>
      <c r="I1287" s="1" t="n">
        <v>336522</v>
      </c>
      <c r="J1287" s="9" t="n">
        <v>0.756</v>
      </c>
      <c r="K1287" s="1" t="inlineStr">
        <is>
          <t>Yes</t>
        </is>
      </c>
      <c r="L1287" s="1" t="inlineStr">
        <is>
          <t>Yes</t>
        </is>
      </c>
      <c r="M1287" s="1" t="inlineStr">
        <is>
          <t>No</t>
        </is>
      </c>
      <c r="N1287" s="1" t="inlineStr">
        <is>
          <t>Database</t>
        </is>
      </c>
      <c r="O12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87" s="11" t="inlineStr">
        <is>
          <t>To Do</t>
        </is>
      </c>
    </row>
    <row r="1288" ht="15.75" customHeight="1" s="12">
      <c r="A1288" s="1" t="n">
        <v>505</v>
      </c>
      <c r="B1288" s="3">
        <f>HYPERLINK("https://leetcode.com/problems/the-maze-ii/", "The Maze II")</f>
        <v/>
      </c>
      <c r="C1288" s="1" t="n">
        <v>1402</v>
      </c>
      <c r="D1288" s="1" t="n">
        <v>64</v>
      </c>
      <c r="E1288" s="4">
        <f>IF(INDEX(C:C, ROW())+INDEX(D:D, ROW())=0, 0, INDEX(C:C, ROW())/(INDEX(C:C, ROW())+INDEX(D:D, ROW())))</f>
        <v/>
      </c>
      <c r="F1288" s="1" t="inlineStr">
        <is>
          <t>Array, Depth-First Search, Breadth-First Search, Graph Theory, Heap (Priority Queue), Matrix, Shortest Path</t>
        </is>
      </c>
      <c r="G1288" s="1" t="inlineStr">
        <is>
          <t>Medium</t>
        </is>
      </c>
      <c r="H1288" s="1" t="n">
        <v>129102</v>
      </c>
      <c r="I1288" s="1" t="n">
        <v>234363</v>
      </c>
      <c r="J1288" s="9" t="n">
        <v>0.551</v>
      </c>
      <c r="K1288" s="1" t="inlineStr">
        <is>
          <t>No</t>
        </is>
      </c>
      <c r="L1288" s="1" t="inlineStr">
        <is>
          <t>Yes</t>
        </is>
      </c>
      <c r="M1288" s="1" t="inlineStr">
        <is>
          <t>No</t>
        </is>
      </c>
      <c r="N1288" s="1" t="inlineStr">
        <is>
          <t>Algorithms</t>
        </is>
      </c>
      <c r="O12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88" s="11" t="inlineStr">
        <is>
          <t>To Do</t>
        </is>
      </c>
    </row>
    <row r="1289" ht="15.75" customHeight="1" s="12">
      <c r="A1289" s="1" t="n">
        <v>2058</v>
      </c>
      <c r="B1289" s="3">
        <f>HYPERLINK("https://leetcode.com/problems/find-the-minimum-and-maximum-number-of-nodes-between-critical-points/", "Find the Minimum and Maximum Number of Nodes Between Critical Points")</f>
        <v/>
      </c>
      <c r="C1289" s="1" t="n">
        <v>1401</v>
      </c>
      <c r="D1289" s="1" t="n">
        <v>73</v>
      </c>
      <c r="E1289" s="4">
        <f>IF(INDEX(C:C, ROW())+INDEX(D:D, ROW())=0, 0, INDEX(C:C, ROW())/(INDEX(C:C, ROW())+INDEX(D:D, ROW())))</f>
        <v/>
      </c>
      <c r="F1289" s="1" t="inlineStr">
        <is>
          <t>Linked List</t>
        </is>
      </c>
      <c r="G1289" s="1" t="inlineStr">
        <is>
          <t>Medium</t>
        </is>
      </c>
      <c r="H1289" s="1" t="n">
        <v>205109</v>
      </c>
      <c r="I1289" s="1" t="n">
        <v>295236</v>
      </c>
      <c r="J1289" s="9" t="n">
        <v>0.695</v>
      </c>
      <c r="K1289" s="1" t="inlineStr">
        <is>
          <t>Yes</t>
        </is>
      </c>
      <c r="L1289" s="1" t="inlineStr">
        <is>
          <t>Yes</t>
        </is>
      </c>
      <c r="M1289" s="1" t="inlineStr">
        <is>
          <t>No</t>
        </is>
      </c>
      <c r="N1289" s="1" t="inlineStr">
        <is>
          <t>Algorithms</t>
        </is>
      </c>
      <c r="O12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89" s="11" t="inlineStr">
        <is>
          <t>To Do</t>
        </is>
      </c>
    </row>
    <row r="1290" ht="15.75" customHeight="1" s="12">
      <c r="A1290" s="1" t="n">
        <v>398</v>
      </c>
      <c r="B1290" s="3">
        <f>HYPERLINK("https://leetcode.com/problems/random-pick-index/", "Random Pick Index")</f>
        <v/>
      </c>
      <c r="C1290" s="1" t="n">
        <v>1399</v>
      </c>
      <c r="D1290" s="1" t="n">
        <v>1309</v>
      </c>
      <c r="E1290" s="4">
        <f>IF(INDEX(C:C, ROW())+INDEX(D:D, ROW())=0, 0, INDEX(C:C, ROW())/(INDEX(C:C, ROW())+INDEX(D:D, ROW())))</f>
        <v/>
      </c>
      <c r="F1290" s="1" t="inlineStr">
        <is>
          <t>Hash Table, Math, Reservoir Sampling, Randomized</t>
        </is>
      </c>
      <c r="G1290" s="1" t="inlineStr">
        <is>
          <t>Medium</t>
        </is>
      </c>
      <c r="H1290" s="1" t="n">
        <v>307067</v>
      </c>
      <c r="I1290" s="1" t="n">
        <v>472026</v>
      </c>
      <c r="J1290" s="9" t="n">
        <v>0.651</v>
      </c>
      <c r="K1290" s="1" t="inlineStr">
        <is>
          <t>Yes</t>
        </is>
      </c>
      <c r="L1290" s="1" t="inlineStr">
        <is>
          <t>Yes</t>
        </is>
      </c>
      <c r="M1290" s="1" t="inlineStr">
        <is>
          <t>No</t>
        </is>
      </c>
      <c r="N1290" s="1" t="inlineStr">
        <is>
          <t>Algorithms</t>
        </is>
      </c>
      <c r="O12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90" s="11" t="inlineStr">
        <is>
          <t>To Do</t>
        </is>
      </c>
    </row>
    <row r="1291" ht="15.75" customHeight="1" s="12">
      <c r="A1291" s="1" t="n">
        <v>2367</v>
      </c>
      <c r="B1291" s="3">
        <f>HYPERLINK("https://leetcode.com/problems/number-of-arithmetic-triplets/", "Number of Arithmetic Triplets")</f>
        <v/>
      </c>
      <c r="C1291" s="1" t="n">
        <v>1395</v>
      </c>
      <c r="D1291" s="1" t="n">
        <v>98</v>
      </c>
      <c r="E1291" s="4">
        <f>IF(INDEX(C:C, ROW())+INDEX(D:D, ROW())=0, 0, INDEX(C:C, ROW())/(INDEX(C:C, ROW())+INDEX(D:D, ROW())))</f>
        <v/>
      </c>
      <c r="F1291" s="1" t="inlineStr">
        <is>
          <t>Array, Hash Table, Two Pointers, Enumeration</t>
        </is>
      </c>
      <c r="G1291" s="1" t="inlineStr">
        <is>
          <t>Easy</t>
        </is>
      </c>
      <c r="H1291" s="1" t="n">
        <v>185363</v>
      </c>
      <c r="I1291" s="1" t="n">
        <v>216880</v>
      </c>
      <c r="J1291" s="9" t="n">
        <v>0.855</v>
      </c>
      <c r="K1291" s="1" t="inlineStr">
        <is>
          <t>Yes</t>
        </is>
      </c>
      <c r="L1291" s="1" t="inlineStr">
        <is>
          <t>No</t>
        </is>
      </c>
      <c r="M1291" s="1" t="inlineStr">
        <is>
          <t>No</t>
        </is>
      </c>
      <c r="N1291" s="1" t="inlineStr">
        <is>
          <t>Algorithms</t>
        </is>
      </c>
      <c r="O12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91" s="13" t="inlineStr">
        <is>
          <t>Done</t>
        </is>
      </c>
    </row>
    <row r="1292" ht="15.75" customHeight="1" s="12">
      <c r="A1292" s="1" t="n">
        <v>388</v>
      </c>
      <c r="B1292" s="3">
        <f>HYPERLINK("https://leetcode.com/problems/longest-absolute-file-path/", "Longest Absolute File Path")</f>
        <v/>
      </c>
      <c r="C1292" s="1" t="n">
        <v>1394</v>
      </c>
      <c r="D1292" s="1" t="n">
        <v>2606</v>
      </c>
      <c r="E1292" s="4">
        <f>IF(INDEX(C:C, ROW())+INDEX(D:D, ROW())=0, 0, INDEX(C:C, ROW())/(INDEX(C:C, ROW())+INDEX(D:D, ROW())))</f>
        <v/>
      </c>
      <c r="F1292" s="1" t="inlineStr">
        <is>
          <t>String, Stack, Depth-First Search</t>
        </is>
      </c>
      <c r="G1292" s="1" t="inlineStr">
        <is>
          <t>Medium</t>
        </is>
      </c>
      <c r="H1292" s="1" t="n">
        <v>184038</v>
      </c>
      <c r="I1292" s="1" t="n">
        <v>372479</v>
      </c>
      <c r="J1292" s="9" t="n">
        <v>0.494</v>
      </c>
      <c r="K1292" s="1" t="inlineStr">
        <is>
          <t>Yes</t>
        </is>
      </c>
      <c r="L1292" s="1" t="inlineStr">
        <is>
          <t>No</t>
        </is>
      </c>
      <c r="M1292" s="1" t="inlineStr">
        <is>
          <t>No</t>
        </is>
      </c>
      <c r="N1292" s="1" t="inlineStr">
        <is>
          <t>Algorithms</t>
        </is>
      </c>
      <c r="O12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92" s="11" t="inlineStr">
        <is>
          <t>To Do</t>
        </is>
      </c>
    </row>
    <row r="1293" ht="15.75" customHeight="1" s="12">
      <c r="A1293" s="1" t="n">
        <v>1286</v>
      </c>
      <c r="B1293" s="3">
        <f>HYPERLINK("https://leetcode.com/problems/iterator-for-combination/", "Iterator for Combination")</f>
        <v/>
      </c>
      <c r="C1293" s="1" t="n">
        <v>1394</v>
      </c>
      <c r="D1293" s="1" t="n">
        <v>109</v>
      </c>
      <c r="E1293" s="4">
        <f>IF(INDEX(C:C, ROW())+INDEX(D:D, ROW())=0, 0, INDEX(C:C, ROW())/(INDEX(C:C, ROW())+INDEX(D:D, ROW())))</f>
        <v/>
      </c>
      <c r="F1293" s="1" t="inlineStr">
        <is>
          <t>String, Backtracking, Design, Iterator</t>
        </is>
      </c>
      <c r="G1293" s="1" t="inlineStr">
        <is>
          <t>Medium</t>
        </is>
      </c>
      <c r="H1293" s="1" t="n">
        <v>82745</v>
      </c>
      <c r="I1293" s="1" t="n">
        <v>113894</v>
      </c>
      <c r="J1293" s="9" t="n">
        <v>0.727</v>
      </c>
      <c r="K1293" s="1" t="inlineStr">
        <is>
          <t>Yes</t>
        </is>
      </c>
      <c r="L1293" s="1" t="inlineStr">
        <is>
          <t>Yes</t>
        </is>
      </c>
      <c r="M1293" s="1" t="inlineStr">
        <is>
          <t>No</t>
        </is>
      </c>
      <c r="N1293" s="1" t="inlineStr">
        <is>
          <t>Algorithms</t>
        </is>
      </c>
      <c r="O12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93" s="11" t="inlineStr">
        <is>
          <t>To Do</t>
        </is>
      </c>
    </row>
    <row r="1294" ht="15.75" customHeight="1" s="12">
      <c r="A1294" s="1" t="n">
        <v>2264</v>
      </c>
      <c r="B1294" s="3">
        <f>HYPERLINK("https://leetcode.com/problems/largest-3-same-digit-number-in-string/", "Largest 3-Same-Digit Number in String")</f>
        <v/>
      </c>
      <c r="C1294" s="1" t="n">
        <v>1392</v>
      </c>
      <c r="D1294" s="1" t="n">
        <v>55</v>
      </c>
      <c r="E1294" s="4">
        <f>IF(INDEX(C:C, ROW())+INDEX(D:D, ROW())=0, 0, INDEX(C:C, ROW())/(INDEX(C:C, ROW())+INDEX(D:D, ROW())))</f>
        <v/>
      </c>
      <c r="F1294" s="1" t="inlineStr">
        <is>
          <t>String</t>
        </is>
      </c>
      <c r="G1294" s="1" t="inlineStr">
        <is>
          <t>Easy</t>
        </is>
      </c>
      <c r="H1294" s="1" t="n">
        <v>327283</v>
      </c>
      <c r="I1294" s="1" t="n">
        <v>450275</v>
      </c>
      <c r="J1294" s="9" t="n">
        <v>0.727</v>
      </c>
      <c r="K1294" s="1" t="inlineStr">
        <is>
          <t>Yes</t>
        </is>
      </c>
      <c r="L1294" s="1" t="inlineStr">
        <is>
          <t>Yes</t>
        </is>
      </c>
      <c r="M1294" s="1" t="inlineStr">
        <is>
          <t>No</t>
        </is>
      </c>
      <c r="N1294" s="1" t="inlineStr">
        <is>
          <t>Algorithms</t>
        </is>
      </c>
      <c r="O12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94" s="13" t="inlineStr">
        <is>
          <t>Done</t>
        </is>
      </c>
    </row>
    <row r="1295" ht="15.75" customHeight="1" s="12">
      <c r="A1295" s="1" t="n">
        <v>747</v>
      </c>
      <c r="B1295" s="3">
        <f>HYPERLINK("https://leetcode.com/problems/largest-number-at-least-twice-of-others/", "Largest Number At Least Twice of Others")</f>
        <v/>
      </c>
      <c r="C1295" s="1" t="n">
        <v>1384</v>
      </c>
      <c r="D1295" s="1" t="n">
        <v>958</v>
      </c>
      <c r="E1295" s="4">
        <f>IF(INDEX(C:C, ROW())+INDEX(D:D, ROW())=0, 0, INDEX(C:C, ROW())/(INDEX(C:C, ROW())+INDEX(D:D, ROW())))</f>
        <v/>
      </c>
      <c r="F1295" s="1" t="inlineStr">
        <is>
          <t>Array, Sorting</t>
        </is>
      </c>
      <c r="G1295" s="1" t="inlineStr">
        <is>
          <t>Easy</t>
        </is>
      </c>
      <c r="H1295" s="1" t="n">
        <v>341132</v>
      </c>
      <c r="I1295" s="1" t="n">
        <v>650699</v>
      </c>
      <c r="J1295" s="9" t="n">
        <v>0.524</v>
      </c>
      <c r="K1295" s="1" t="inlineStr">
        <is>
          <t>Yes</t>
        </is>
      </c>
      <c r="L1295" s="1" t="inlineStr">
        <is>
          <t>Yes</t>
        </is>
      </c>
      <c r="M1295" s="1" t="inlineStr">
        <is>
          <t>No</t>
        </is>
      </c>
      <c r="N1295" s="1" t="inlineStr">
        <is>
          <t>Algorithms</t>
        </is>
      </c>
      <c r="O12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95" s="13" t="inlineStr">
        <is>
          <t>Done</t>
        </is>
      </c>
    </row>
    <row r="1296" ht="15.75" customHeight="1" s="12">
      <c r="A1296" s="1" t="n">
        <v>1985</v>
      </c>
      <c r="B1296" s="3">
        <f>HYPERLINK("https://leetcode.com/problems/find-the-kth-largest-integer-in-the-array/", "Find the Kth Largest Integer in the Array")</f>
        <v/>
      </c>
      <c r="C1296" s="1" t="n">
        <v>1379</v>
      </c>
      <c r="D1296" s="1" t="n">
        <v>160</v>
      </c>
      <c r="E1296" s="4">
        <f>IF(INDEX(C:C, ROW())+INDEX(D:D, ROW())=0, 0, INDEX(C:C, ROW())/(INDEX(C:C, ROW())+INDEX(D:D, ROW())))</f>
        <v/>
      </c>
      <c r="F1296" s="1" t="inlineStr">
        <is>
          <t>Array, String, Divide and Conquer, Sorting, Heap (Priority Queue), Quickselect</t>
        </is>
      </c>
      <c r="G1296" s="1" t="inlineStr">
        <is>
          <t>Medium</t>
        </is>
      </c>
      <c r="H1296" s="1" t="n">
        <v>103716</v>
      </c>
      <c r="I1296" s="1" t="n">
        <v>216512</v>
      </c>
      <c r="J1296" s="9" t="n">
        <v>0.479</v>
      </c>
      <c r="K1296" s="1" t="inlineStr">
        <is>
          <t>Yes</t>
        </is>
      </c>
      <c r="L1296" s="1" t="inlineStr">
        <is>
          <t>No</t>
        </is>
      </c>
      <c r="M1296" s="1" t="inlineStr">
        <is>
          <t>No</t>
        </is>
      </c>
      <c r="N1296" s="1" t="inlineStr">
        <is>
          <t>Algorithms</t>
        </is>
      </c>
      <c r="O12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96" s="11" t="inlineStr">
        <is>
          <t>To Do</t>
        </is>
      </c>
    </row>
    <row r="1297" ht="15.75" customHeight="1" s="12">
      <c r="A1297" s="1" t="n">
        <v>1344</v>
      </c>
      <c r="B1297" s="3">
        <f>HYPERLINK("https://leetcode.com/problems/angle-between-hands-of-a-clock/", "Angle Between Hands of a Clock")</f>
        <v/>
      </c>
      <c r="C1297" s="1" t="n">
        <v>1376</v>
      </c>
      <c r="D1297" s="1" t="n">
        <v>248</v>
      </c>
      <c r="E1297" s="4">
        <f>IF(INDEX(C:C, ROW())+INDEX(D:D, ROW())=0, 0, INDEX(C:C, ROW())/(INDEX(C:C, ROW())+INDEX(D:D, ROW())))</f>
        <v/>
      </c>
      <c r="F1297" s="1" t="inlineStr">
        <is>
          <t>Math</t>
        </is>
      </c>
      <c r="G1297" s="1" t="inlineStr">
        <is>
          <t>Medium</t>
        </is>
      </c>
      <c r="H1297" s="1" t="n">
        <v>144059</v>
      </c>
      <c r="I1297" s="1" t="n">
        <v>223558</v>
      </c>
      <c r="J1297" s="9" t="n">
        <v>0.644</v>
      </c>
      <c r="K1297" s="1" t="inlineStr">
        <is>
          <t>Yes</t>
        </is>
      </c>
      <c r="L1297" s="1" t="inlineStr">
        <is>
          <t>Yes</t>
        </is>
      </c>
      <c r="M1297" s="1" t="inlineStr">
        <is>
          <t>No</t>
        </is>
      </c>
      <c r="N1297" s="1" t="inlineStr">
        <is>
          <t>Algorithms</t>
        </is>
      </c>
      <c r="O12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97" s="11" t="inlineStr">
        <is>
          <t>To Do</t>
        </is>
      </c>
    </row>
    <row r="1298" ht="15.75" customHeight="1" s="12">
      <c r="A1298" s="1" t="n">
        <v>1726</v>
      </c>
      <c r="B1298" s="3">
        <f>HYPERLINK("https://leetcode.com/problems/tuple-with-same-product/", "Tuple with Same Product")</f>
        <v/>
      </c>
      <c r="C1298" s="1" t="n">
        <v>1375</v>
      </c>
      <c r="D1298" s="1" t="n">
        <v>59</v>
      </c>
      <c r="E1298" s="4">
        <f>IF(INDEX(C:C, ROW())+INDEX(D:D, ROW())=0, 0, INDEX(C:C, ROW())/(INDEX(C:C, ROW())+INDEX(D:D, ROW())))</f>
        <v/>
      </c>
      <c r="F1298" s="1" t="inlineStr">
        <is>
          <t>Array, Hash Table, Counting</t>
        </is>
      </c>
      <c r="G1298" s="1" t="inlineStr">
        <is>
          <t>Medium</t>
        </is>
      </c>
      <c r="H1298" s="1" t="n">
        <v>199416</v>
      </c>
      <c r="I1298" s="1" t="n">
        <v>284560</v>
      </c>
      <c r="J1298" s="9" t="n">
        <v>0.701</v>
      </c>
      <c r="K1298" s="1" t="inlineStr">
        <is>
          <t>Yes</t>
        </is>
      </c>
      <c r="L1298" s="1" t="inlineStr">
        <is>
          <t>Yes</t>
        </is>
      </c>
      <c r="M1298" s="1" t="inlineStr">
        <is>
          <t>No</t>
        </is>
      </c>
      <c r="N1298" s="1" t="inlineStr">
        <is>
          <t>Algorithms</t>
        </is>
      </c>
      <c r="O12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98" s="11" t="inlineStr">
        <is>
          <t>To Do</t>
        </is>
      </c>
    </row>
    <row r="1299" ht="15.75" customHeight="1" s="12">
      <c r="A1299" s="1" t="n">
        <v>495</v>
      </c>
      <c r="B1299" s="3">
        <f>HYPERLINK("https://leetcode.com/problems/teemo-attacking/", "Teemo Attacking")</f>
        <v/>
      </c>
      <c r="C1299" s="1" t="n">
        <v>1370</v>
      </c>
      <c r="D1299" s="1" t="n">
        <v>159</v>
      </c>
      <c r="E1299" s="4">
        <f>IF(INDEX(C:C, ROW())+INDEX(D:D, ROW())=0, 0, INDEX(C:C, ROW())/(INDEX(C:C, ROW())+INDEX(D:D, ROW())))</f>
        <v/>
      </c>
      <c r="F1299" s="1" t="inlineStr">
        <is>
          <t>Array, Simulation</t>
        </is>
      </c>
      <c r="G1299" s="1" t="inlineStr">
        <is>
          <t>Easy</t>
        </is>
      </c>
      <c r="H1299" s="1" t="n">
        <v>222866</v>
      </c>
      <c r="I1299" s="1" t="n">
        <v>386417</v>
      </c>
      <c r="J1299" s="9" t="n">
        <v>0.577</v>
      </c>
      <c r="K1299" s="1" t="inlineStr">
        <is>
          <t>Yes</t>
        </is>
      </c>
      <c r="L1299" s="1" t="inlineStr">
        <is>
          <t>Yes</t>
        </is>
      </c>
      <c r="M1299" s="1" t="inlineStr">
        <is>
          <t>No</t>
        </is>
      </c>
      <c r="N1299" s="1" t="inlineStr">
        <is>
          <t>Algorithms</t>
        </is>
      </c>
      <c r="O12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299" s="13" t="inlineStr">
        <is>
          <t>Done</t>
        </is>
      </c>
    </row>
    <row r="1300" ht="15.75" customHeight="1" s="12">
      <c r="A1300" s="1" t="n">
        <v>2285</v>
      </c>
      <c r="B1300" s="3">
        <f>HYPERLINK("https://leetcode.com/problems/maximum-total-importance-of-roads/", "Maximum Total Importance of Roads")</f>
        <v/>
      </c>
      <c r="C1300" s="1" t="n">
        <v>1368</v>
      </c>
      <c r="D1300" s="1" t="n">
        <v>84</v>
      </c>
      <c r="E1300" s="4">
        <f>IF(INDEX(C:C, ROW())+INDEX(D:D, ROW())=0, 0, INDEX(C:C, ROW())/(INDEX(C:C, ROW())+INDEX(D:D, ROW())))</f>
        <v/>
      </c>
      <c r="F1300" s="1" t="inlineStr">
        <is>
          <t>Greedy, Graph Theory, Sorting, Heap (Priority Queue)</t>
        </is>
      </c>
      <c r="G1300" s="1" t="inlineStr">
        <is>
          <t>Medium</t>
        </is>
      </c>
      <c r="H1300" s="1" t="n">
        <v>162711</v>
      </c>
      <c r="I1300" s="1" t="n">
        <v>235479</v>
      </c>
      <c r="J1300" s="9" t="n">
        <v>0.6909999999999999</v>
      </c>
      <c r="K1300" s="1" t="inlineStr">
        <is>
          <t>Yes</t>
        </is>
      </c>
      <c r="L1300" s="1" t="inlineStr">
        <is>
          <t>Yes</t>
        </is>
      </c>
      <c r="M1300" s="1" t="inlineStr">
        <is>
          <t>No</t>
        </is>
      </c>
      <c r="N1300" s="1" t="inlineStr">
        <is>
          <t>Algorithms</t>
        </is>
      </c>
      <c r="O13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00" s="11" t="inlineStr">
        <is>
          <t>To Do</t>
        </is>
      </c>
    </row>
    <row r="1301" ht="15.75" customHeight="1" s="12">
      <c r="A1301" s="1" t="n">
        <v>1320</v>
      </c>
      <c r="B1301" s="3">
        <f>HYPERLINK("https://leetcode.com/problems/minimum-distance-to-type-a-word-using-two-fingers/", "Minimum Distance to Type a Word Using Two Fingers")</f>
        <v/>
      </c>
      <c r="C1301" s="1" t="n">
        <v>1366</v>
      </c>
      <c r="D1301" s="1" t="n">
        <v>54</v>
      </c>
      <c r="E1301" s="4">
        <f>IF(INDEX(C:C, ROW())+INDEX(D:D, ROW())=0, 0, INDEX(C:C, ROW())/(INDEX(C:C, ROW())+INDEX(D:D, ROW())))</f>
        <v/>
      </c>
      <c r="F1301" s="1" t="inlineStr">
        <is>
          <t>String, Dynamic Programming</t>
        </is>
      </c>
      <c r="G1301" s="1" t="inlineStr">
        <is>
          <t>Hard</t>
        </is>
      </c>
      <c r="H1301" s="1" t="n">
        <v>100645</v>
      </c>
      <c r="I1301" s="1" t="n">
        <v>139245</v>
      </c>
      <c r="J1301" s="9" t="n">
        <v>0.723</v>
      </c>
      <c r="K1301" s="1" t="inlineStr">
        <is>
          <t>Yes</t>
        </is>
      </c>
      <c r="L1301" s="1" t="inlineStr">
        <is>
          <t>Yes</t>
        </is>
      </c>
      <c r="M1301" s="1" t="inlineStr">
        <is>
          <t>No</t>
        </is>
      </c>
      <c r="N1301" s="1" t="inlineStr">
        <is>
          <t>Algorithms</t>
        </is>
      </c>
      <c r="O13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01" s="11" t="inlineStr">
        <is>
          <t>To Do</t>
        </is>
      </c>
    </row>
    <row r="1302" ht="15.75" customHeight="1" s="12">
      <c r="A1302" s="1" t="n">
        <v>2055</v>
      </c>
      <c r="B1302" s="3">
        <f>HYPERLINK("https://leetcode.com/problems/plates-between-candles/", "Plates Between Candles")</f>
        <v/>
      </c>
      <c r="C1302" s="1" t="n">
        <v>1363</v>
      </c>
      <c r="D1302" s="1" t="n">
        <v>73</v>
      </c>
      <c r="E1302" s="4">
        <f>IF(INDEX(C:C, ROW())+INDEX(D:D, ROW())=0, 0, INDEX(C:C, ROW())/(INDEX(C:C, ROW())+INDEX(D:D, ROW())))</f>
        <v/>
      </c>
      <c r="F1302" s="1" t="inlineStr">
        <is>
          <t>Array, String, Binary Search, Prefix Sum</t>
        </is>
      </c>
      <c r="G1302" s="1" t="inlineStr">
        <is>
          <t>Medium</t>
        </is>
      </c>
      <c r="H1302" s="1" t="n">
        <v>77860</v>
      </c>
      <c r="I1302" s="1" t="n">
        <v>164031</v>
      </c>
      <c r="J1302" s="9" t="n">
        <v>0.475</v>
      </c>
      <c r="K1302" s="1" t="inlineStr">
        <is>
          <t>Yes</t>
        </is>
      </c>
      <c r="L1302" s="1" t="inlineStr">
        <is>
          <t>No</t>
        </is>
      </c>
      <c r="M1302" s="1" t="inlineStr">
        <is>
          <t>No</t>
        </is>
      </c>
      <c r="N1302" s="1" t="inlineStr">
        <is>
          <t>Algorithms</t>
        </is>
      </c>
      <c r="O13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02" s="11" t="inlineStr">
        <is>
          <t>To Do</t>
        </is>
      </c>
    </row>
    <row r="1303" ht="15.75" customHeight="1" s="12">
      <c r="A1303" s="1" t="n">
        <v>1054</v>
      </c>
      <c r="B1303" s="3">
        <f>HYPERLINK("https://leetcode.com/problems/distant-barcodes/", "Distant Barcodes")</f>
        <v/>
      </c>
      <c r="C1303" s="1" t="n">
        <v>1355</v>
      </c>
      <c r="D1303" s="1" t="n">
        <v>52</v>
      </c>
      <c r="E1303" s="4">
        <f>IF(INDEX(C:C, ROW())+INDEX(D:D, ROW())=0, 0, INDEX(C:C, ROW())/(INDEX(C:C, ROW())+INDEX(D:D, ROW())))</f>
        <v/>
      </c>
      <c r="F1303" s="1" t="inlineStr">
        <is>
          <t>Array, Hash Table, Greedy, Sorting, Heap (Priority Queue), Counting</t>
        </is>
      </c>
      <c r="G1303" s="1" t="inlineStr">
        <is>
          <t>Medium</t>
        </is>
      </c>
      <c r="H1303" s="1" t="n">
        <v>57898</v>
      </c>
      <c r="I1303" s="1" t="n">
        <v>118358</v>
      </c>
      <c r="J1303" s="9" t="n">
        <v>0.489</v>
      </c>
      <c r="K1303" s="1" t="inlineStr">
        <is>
          <t>Yes</t>
        </is>
      </c>
      <c r="L1303" s="1" t="inlineStr">
        <is>
          <t>No</t>
        </is>
      </c>
      <c r="M1303" s="1" t="inlineStr">
        <is>
          <t>No</t>
        </is>
      </c>
      <c r="N1303" s="1" t="inlineStr">
        <is>
          <t>Algorithms</t>
        </is>
      </c>
      <c r="O13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03" s="11" t="inlineStr">
        <is>
          <t>To Do</t>
        </is>
      </c>
    </row>
    <row r="1304" ht="15.75" customHeight="1" s="12">
      <c r="A1304" s="1" t="n">
        <v>1102</v>
      </c>
      <c r="B1304" s="3">
        <f>HYPERLINK("https://leetcode.com/problems/path-with-maximum-minimum-value/", "Path With Maximum Minimum Value")</f>
        <v/>
      </c>
      <c r="C1304" s="1" t="n">
        <v>1355</v>
      </c>
      <c r="D1304" s="1" t="n">
        <v>126</v>
      </c>
      <c r="E1304" s="4">
        <f>IF(INDEX(C:C, ROW())+INDEX(D:D, ROW())=0, 0, INDEX(C:C, ROW())/(INDEX(C:C, ROW())+INDEX(D:D, ROW())))</f>
        <v/>
      </c>
      <c r="F1304" s="1" t="inlineStr">
        <is>
          <t>Array, Binary Search, Depth-First Search, Breadth-First Search, Union-Find, Heap (Priority Queue), Matrix</t>
        </is>
      </c>
      <c r="G1304" s="1" t="inlineStr">
        <is>
          <t>Medium</t>
        </is>
      </c>
      <c r="H1304" s="1" t="n">
        <v>72582</v>
      </c>
      <c r="I1304" s="1" t="n">
        <v>132707</v>
      </c>
      <c r="J1304" s="9" t="n">
        <v>0.547</v>
      </c>
      <c r="K1304" s="1" t="inlineStr">
        <is>
          <t>No</t>
        </is>
      </c>
      <c r="L1304" s="1" t="inlineStr">
        <is>
          <t>Yes</t>
        </is>
      </c>
      <c r="M1304" s="1" t="inlineStr">
        <is>
          <t>No</t>
        </is>
      </c>
      <c r="N1304" s="1" t="inlineStr">
        <is>
          <t>Algorithms</t>
        </is>
      </c>
      <c r="O13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04" s="11" t="inlineStr">
        <is>
          <t>To Do</t>
        </is>
      </c>
    </row>
    <row r="1305" ht="15.75" customHeight="1" s="12">
      <c r="A1305" s="1" t="n">
        <v>1167</v>
      </c>
      <c r="B1305" s="3">
        <f>HYPERLINK("https://leetcode.com/problems/minimum-cost-to-connect-sticks/", "Minimum Cost to Connect Sticks")</f>
        <v/>
      </c>
      <c r="C1305" s="1" t="n">
        <v>1353</v>
      </c>
      <c r="D1305" s="1" t="n">
        <v>158</v>
      </c>
      <c r="E1305" s="4">
        <f>IF(INDEX(C:C, ROW())+INDEX(D:D, ROW())=0, 0, INDEX(C:C, ROW())/(INDEX(C:C, ROW())+INDEX(D:D, ROW())))</f>
        <v/>
      </c>
      <c r="F1305" s="1" t="inlineStr">
        <is>
          <t>Array, Greedy, Heap (Priority Queue)</t>
        </is>
      </c>
      <c r="G1305" s="1" t="inlineStr">
        <is>
          <t>Medium</t>
        </is>
      </c>
      <c r="H1305" s="1" t="n">
        <v>149903</v>
      </c>
      <c r="I1305" s="1" t="n">
        <v>208478</v>
      </c>
      <c r="J1305" s="9" t="n">
        <v>0.719</v>
      </c>
      <c r="K1305" s="1" t="inlineStr">
        <is>
          <t>No</t>
        </is>
      </c>
      <c r="L1305" s="1" t="inlineStr">
        <is>
          <t>Yes</t>
        </is>
      </c>
      <c r="M1305" s="1" t="inlineStr">
        <is>
          <t>Yes</t>
        </is>
      </c>
      <c r="N1305" s="1" t="inlineStr">
        <is>
          <t>Algorithms</t>
        </is>
      </c>
      <c r="O13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05" s="11" t="inlineStr">
        <is>
          <t>To Do</t>
        </is>
      </c>
    </row>
    <row r="1306" ht="15.75" customHeight="1" s="12">
      <c r="A1306" s="1" t="n">
        <v>1313</v>
      </c>
      <c r="B1306" s="3">
        <f>HYPERLINK("https://leetcode.com/problems/decompress-run-length-encoded-list/", "Decompress Run-Length Encoded List")</f>
        <v/>
      </c>
      <c r="C1306" s="1" t="n">
        <v>1353</v>
      </c>
      <c r="D1306" s="1" t="n">
        <v>1325</v>
      </c>
      <c r="E1306" s="4">
        <f>IF(INDEX(C:C, ROW())+INDEX(D:D, ROW())=0, 0, INDEX(C:C, ROW())/(INDEX(C:C, ROW())+INDEX(D:D, ROW())))</f>
        <v/>
      </c>
      <c r="F1306" s="1" t="inlineStr">
        <is>
          <t>Array</t>
        </is>
      </c>
      <c r="G1306" s="1" t="inlineStr">
        <is>
          <t>Easy</t>
        </is>
      </c>
      <c r="H1306" s="1" t="n">
        <v>308018</v>
      </c>
      <c r="I1306" s="1" t="n">
        <v>357302</v>
      </c>
      <c r="J1306" s="9" t="n">
        <v>0.862</v>
      </c>
      <c r="K1306" s="1" t="inlineStr">
        <is>
          <t>Yes</t>
        </is>
      </c>
      <c r="L1306" s="1" t="inlineStr">
        <is>
          <t>No</t>
        </is>
      </c>
      <c r="M1306" s="1" t="inlineStr">
        <is>
          <t>No</t>
        </is>
      </c>
      <c r="N1306" s="1" t="inlineStr">
        <is>
          <t>Algorithms</t>
        </is>
      </c>
      <c r="O13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06" s="13" t="inlineStr">
        <is>
          <t>Done</t>
        </is>
      </c>
    </row>
    <row r="1307" ht="15.75" customHeight="1" s="12">
      <c r="A1307" s="1" t="n">
        <v>805</v>
      </c>
      <c r="B1307" s="3">
        <f>HYPERLINK("https://leetcode.com/problems/split-array-with-same-average/", "Split Array With Same Average")</f>
        <v/>
      </c>
      <c r="C1307" s="1" t="n">
        <v>1352</v>
      </c>
      <c r="D1307" s="1" t="n">
        <v>143</v>
      </c>
      <c r="E1307" s="4">
        <f>IF(INDEX(C:C, ROW())+INDEX(D:D, ROW())=0, 0, INDEX(C:C, ROW())/(INDEX(C:C, ROW())+INDEX(D:D, ROW())))</f>
        <v/>
      </c>
      <c r="F1307" s="1" t="inlineStr">
        <is>
          <t>Array, Hash Table, Math, Dynamic Programming, Bit Manipulation, Bitmask</t>
        </is>
      </c>
      <c r="G1307" s="1" t="inlineStr">
        <is>
          <t>Hard</t>
        </is>
      </c>
      <c r="H1307" s="1" t="n">
        <v>47615</v>
      </c>
      <c r="I1307" s="1" t="n">
        <v>176422</v>
      </c>
      <c r="J1307" s="9" t="n">
        <v>0.27</v>
      </c>
      <c r="K1307" s="1" t="inlineStr">
        <is>
          <t>Yes</t>
        </is>
      </c>
      <c r="L1307" s="1" t="inlineStr">
        <is>
          <t>Yes</t>
        </is>
      </c>
      <c r="M1307" s="1" t="inlineStr">
        <is>
          <t>No</t>
        </is>
      </c>
      <c r="N1307" s="1" t="inlineStr">
        <is>
          <t>Algorithms</t>
        </is>
      </c>
      <c r="O13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07" s="11" t="inlineStr">
        <is>
          <t>To Do</t>
        </is>
      </c>
    </row>
    <row r="1308" ht="15.75" customHeight="1" s="12">
      <c r="A1308" s="1" t="n">
        <v>2594</v>
      </c>
      <c r="B1308" s="3">
        <f>HYPERLINK("https://leetcode.com/problems/minimum-time-to-repair-cars/", "Minimum Time to Repair Cars")</f>
        <v/>
      </c>
      <c r="C1308" s="1" t="n">
        <v>1352</v>
      </c>
      <c r="D1308" s="1" t="n">
        <v>93</v>
      </c>
      <c r="E1308" s="4">
        <f>IF(INDEX(C:C, ROW())+INDEX(D:D, ROW())=0, 0, INDEX(C:C, ROW())/(INDEX(C:C, ROW())+INDEX(D:D, ROW())))</f>
        <v/>
      </c>
      <c r="F1308" s="1" t="inlineStr">
        <is>
          <t>Array, Binary Search</t>
        </is>
      </c>
      <c r="G1308" s="1" t="inlineStr">
        <is>
          <t>Medium</t>
        </is>
      </c>
      <c r="H1308" s="1" t="n">
        <v>155734</v>
      </c>
      <c r="I1308" s="1" t="n">
        <v>261532</v>
      </c>
      <c r="J1308" s="9" t="n">
        <v>0.595</v>
      </c>
      <c r="K1308" s="1" t="inlineStr">
        <is>
          <t>Yes</t>
        </is>
      </c>
      <c r="L1308" s="1" t="inlineStr">
        <is>
          <t>Yes</t>
        </is>
      </c>
      <c r="M1308" s="1" t="inlineStr">
        <is>
          <t>No</t>
        </is>
      </c>
      <c r="N1308" s="1" t="inlineStr">
        <is>
          <t>Algorithms</t>
        </is>
      </c>
      <c r="O13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08" s="11" t="inlineStr">
        <is>
          <t>To Do</t>
        </is>
      </c>
    </row>
    <row r="1309" ht="15.75" customHeight="1" s="12">
      <c r="A1309" s="1" t="n">
        <v>1252</v>
      </c>
      <c r="B1309" s="3">
        <f>HYPERLINK("https://leetcode.com/problems/cells-with-odd-values-in-a-matrix/", "Cells with Odd Values in a Matrix")</f>
        <v/>
      </c>
      <c r="C1309" s="1" t="n">
        <v>1349</v>
      </c>
      <c r="D1309" s="1" t="n">
        <v>1563</v>
      </c>
      <c r="E1309" s="4">
        <f>IF(INDEX(C:C, ROW())+INDEX(D:D, ROW())=0, 0, INDEX(C:C, ROW())/(INDEX(C:C, ROW())+INDEX(D:D, ROW())))</f>
        <v/>
      </c>
      <c r="F1309" s="1" t="inlineStr">
        <is>
          <t>Array, Math, Simulation</t>
        </is>
      </c>
      <c r="G1309" s="1" t="inlineStr">
        <is>
          <t>Easy</t>
        </is>
      </c>
      <c r="H1309" s="1" t="n">
        <v>144065</v>
      </c>
      <c r="I1309" s="1" t="n">
        <v>180632</v>
      </c>
      <c r="J1309" s="9" t="n">
        <v>0.798</v>
      </c>
      <c r="K1309" s="1" t="inlineStr">
        <is>
          <t>Yes</t>
        </is>
      </c>
      <c r="L1309" s="1" t="inlineStr">
        <is>
          <t>No</t>
        </is>
      </c>
      <c r="M1309" s="1" t="inlineStr">
        <is>
          <t>No</t>
        </is>
      </c>
      <c r="N1309" s="1" t="inlineStr">
        <is>
          <t>Algorithms</t>
        </is>
      </c>
      <c r="O13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09" s="13" t="inlineStr">
        <is>
          <t>Done</t>
        </is>
      </c>
    </row>
    <row r="1310" ht="15.75" customHeight="1" s="12">
      <c r="A1310" s="1" t="n">
        <v>265</v>
      </c>
      <c r="B1310" s="3">
        <f>HYPERLINK("https://leetcode.com/problems/paint-house-ii/", "Paint House II")</f>
        <v/>
      </c>
      <c r="C1310" s="1" t="n">
        <v>1348</v>
      </c>
      <c r="D1310" s="1" t="n">
        <v>40</v>
      </c>
      <c r="E1310" s="4">
        <f>IF(INDEX(C:C, ROW())+INDEX(D:D, ROW())=0, 0, INDEX(C:C, ROW())/(INDEX(C:C, ROW())+INDEX(D:D, ROW())))</f>
        <v/>
      </c>
      <c r="F1310" s="1" t="inlineStr">
        <is>
          <t>Array, Dynamic Programming</t>
        </is>
      </c>
      <c r="G1310" s="1" t="inlineStr">
        <is>
          <t>Hard</t>
        </is>
      </c>
      <c r="H1310" s="1" t="n">
        <v>144848</v>
      </c>
      <c r="I1310" s="1" t="n">
        <v>253621</v>
      </c>
      <c r="J1310" s="9" t="n">
        <v>0.571</v>
      </c>
      <c r="K1310" s="1" t="inlineStr">
        <is>
          <t>No</t>
        </is>
      </c>
      <c r="L1310" s="1" t="inlineStr">
        <is>
          <t>Yes</t>
        </is>
      </c>
      <c r="M1310" s="1" t="inlineStr">
        <is>
          <t>No</t>
        </is>
      </c>
      <c r="N1310" s="1" t="inlineStr">
        <is>
          <t>Algorithms</t>
        </is>
      </c>
      <c r="O13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10" s="11" t="inlineStr">
        <is>
          <t>To Do</t>
        </is>
      </c>
    </row>
    <row r="1311" ht="15.75" customHeight="1" s="12">
      <c r="A1311" s="1" t="n">
        <v>777</v>
      </c>
      <c r="B1311" s="3">
        <f>HYPERLINK("https://leetcode.com/problems/swap-adjacent-in-lr-string/", "Swap Adjacent in LR String")</f>
        <v/>
      </c>
      <c r="C1311" s="1" t="n">
        <v>1348</v>
      </c>
      <c r="D1311" s="1" t="n">
        <v>956</v>
      </c>
      <c r="E1311" s="4">
        <f>IF(INDEX(C:C, ROW())+INDEX(D:D, ROW())=0, 0, INDEX(C:C, ROW())/(INDEX(C:C, ROW())+INDEX(D:D, ROW())))</f>
        <v/>
      </c>
      <c r="F1311" s="1" t="inlineStr">
        <is>
          <t>Two Pointers, String</t>
        </is>
      </c>
      <c r="G1311" s="1" t="inlineStr">
        <is>
          <t>Medium</t>
        </is>
      </c>
      <c r="H1311" s="1" t="n">
        <v>98543</v>
      </c>
      <c r="I1311" s="1" t="n">
        <v>258671</v>
      </c>
      <c r="J1311" s="9" t="n">
        <v>0.381</v>
      </c>
      <c r="K1311" s="1" t="inlineStr">
        <is>
          <t>Yes</t>
        </is>
      </c>
      <c r="L1311" s="1" t="inlineStr">
        <is>
          <t>Yes</t>
        </is>
      </c>
      <c r="M1311" s="1" t="inlineStr">
        <is>
          <t>No</t>
        </is>
      </c>
      <c r="N1311" s="1" t="inlineStr">
        <is>
          <t>Algorithms</t>
        </is>
      </c>
      <c r="O13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11" s="11" t="inlineStr">
        <is>
          <t>To Do</t>
        </is>
      </c>
    </row>
    <row r="1312" ht="15.75" customHeight="1" s="12">
      <c r="A1312" s="1" t="n">
        <v>2435</v>
      </c>
      <c r="B1312" s="3">
        <f>HYPERLINK("https://leetcode.com/problems/paths-in-matrix-whose-sum-is-divisible-by-k/", "Paths in Matrix Whose Sum Is Divisible by K")</f>
        <v/>
      </c>
      <c r="C1312" s="1" t="n">
        <v>1348</v>
      </c>
      <c r="D1312" s="1" t="n">
        <v>46</v>
      </c>
      <c r="E1312" s="4">
        <f>IF(INDEX(C:C, ROW())+INDEX(D:D, ROW())=0, 0, INDEX(C:C, ROW())/(INDEX(C:C, ROW())+INDEX(D:D, ROW())))</f>
        <v/>
      </c>
      <c r="F1312" s="1" t="inlineStr">
        <is>
          <t>Array, Dynamic Programming, Matrix</t>
        </is>
      </c>
      <c r="G1312" s="1" t="inlineStr">
        <is>
          <t>Hard</t>
        </is>
      </c>
      <c r="H1312" s="1" t="n">
        <v>105255</v>
      </c>
      <c r="I1312" s="1" t="n">
        <v>179002</v>
      </c>
      <c r="J1312" s="9" t="n">
        <v>0.588</v>
      </c>
      <c r="K1312" s="1" t="inlineStr">
        <is>
          <t>Yes</t>
        </is>
      </c>
      <c r="L1312" s="1" t="inlineStr">
        <is>
          <t>Yes</t>
        </is>
      </c>
      <c r="M1312" s="1" t="inlineStr">
        <is>
          <t>No</t>
        </is>
      </c>
      <c r="N1312" s="1" t="inlineStr">
        <is>
          <t>Algorithms</t>
        </is>
      </c>
      <c r="O13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12" s="11" t="inlineStr">
        <is>
          <t>To Do</t>
        </is>
      </c>
    </row>
    <row r="1313" ht="15.75" customHeight="1" s="12">
      <c r="A1313" s="1" t="n">
        <v>1072</v>
      </c>
      <c r="B1313" s="3">
        <f>HYPERLINK("https://leetcode.com/problems/flip-columns-for-maximum-number-of-equal-rows/", "Flip Columns For Maximum Number of Equal Rows")</f>
        <v/>
      </c>
      <c r="C1313" s="1" t="n">
        <v>1347</v>
      </c>
      <c r="D1313" s="1" t="n">
        <v>130</v>
      </c>
      <c r="E1313" s="4">
        <f>IF(INDEX(C:C, ROW())+INDEX(D:D, ROW())=0, 0, INDEX(C:C, ROW())/(INDEX(C:C, ROW())+INDEX(D:D, ROW())))</f>
        <v/>
      </c>
      <c r="F1313" s="1" t="inlineStr">
        <is>
          <t>Array, Hash Table, Matrix</t>
        </is>
      </c>
      <c r="G1313" s="1" t="inlineStr">
        <is>
          <t>Medium</t>
        </is>
      </c>
      <c r="H1313" s="1" t="n">
        <v>118965</v>
      </c>
      <c r="I1313" s="1" t="n">
        <v>151478</v>
      </c>
      <c r="J1313" s="9" t="n">
        <v>0.785</v>
      </c>
      <c r="K1313" s="1" t="inlineStr">
        <is>
          <t>Yes</t>
        </is>
      </c>
      <c r="L1313" s="1" t="inlineStr">
        <is>
          <t>Yes</t>
        </is>
      </c>
      <c r="M1313" s="1" t="inlineStr">
        <is>
          <t>No</t>
        </is>
      </c>
      <c r="N1313" s="1" t="inlineStr">
        <is>
          <t>Algorithms</t>
        </is>
      </c>
      <c r="O13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13" s="11" t="inlineStr">
        <is>
          <t>To Do</t>
        </is>
      </c>
    </row>
    <row r="1314" ht="15.75" customHeight="1" s="12">
      <c r="A1314" s="1" t="n">
        <v>272</v>
      </c>
      <c r="B1314" s="3">
        <f>HYPERLINK("https://leetcode.com/problems/closest-binary-search-tree-value-ii/", "Closest Binary Search Tree Value II")</f>
        <v/>
      </c>
      <c r="C1314" s="1" t="n">
        <v>1345</v>
      </c>
      <c r="D1314" s="1" t="n">
        <v>51</v>
      </c>
      <c r="E1314" s="4">
        <f>IF(INDEX(C:C, ROW())+INDEX(D:D, ROW())=0, 0, INDEX(C:C, ROW())/(INDEX(C:C, ROW())+INDEX(D:D, ROW())))</f>
        <v/>
      </c>
      <c r="F1314" s="1" t="inlineStr">
        <is>
          <t>Two Pointers, Stack, Tree, Depth-First Search, Binary Search Tree, Heap (Priority Queue), Binary Tree</t>
        </is>
      </c>
      <c r="G1314" s="1" t="inlineStr">
        <is>
          <t>Hard</t>
        </is>
      </c>
      <c r="H1314" s="1" t="n">
        <v>140481</v>
      </c>
      <c r="I1314" s="1" t="n">
        <v>229518</v>
      </c>
      <c r="J1314" s="9" t="n">
        <v>0.612</v>
      </c>
      <c r="K1314" s="1" t="inlineStr">
        <is>
          <t>No</t>
        </is>
      </c>
      <c r="L1314" s="1" t="inlineStr">
        <is>
          <t>Yes</t>
        </is>
      </c>
      <c r="M1314" s="1" t="inlineStr">
        <is>
          <t>No</t>
        </is>
      </c>
      <c r="N1314" s="1" t="inlineStr">
        <is>
          <t>Algorithms</t>
        </is>
      </c>
      <c r="O13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14" s="11" t="inlineStr">
        <is>
          <t>To Do</t>
        </is>
      </c>
    </row>
    <row r="1315" ht="15.75" customHeight="1" s="12">
      <c r="A1315" s="1" t="n">
        <v>878</v>
      </c>
      <c r="B1315" s="3">
        <f>HYPERLINK("https://leetcode.com/problems/nth-magical-number/", "Nth Magical Number")</f>
        <v/>
      </c>
      <c r="C1315" s="1" t="n">
        <v>1342</v>
      </c>
      <c r="D1315" s="1" t="n">
        <v>171</v>
      </c>
      <c r="E1315" s="4">
        <f>IF(INDEX(C:C, ROW())+INDEX(D:D, ROW())=0, 0, INDEX(C:C, ROW())/(INDEX(C:C, ROW())+INDEX(D:D, ROW())))</f>
        <v/>
      </c>
      <c r="F1315" s="1" t="inlineStr">
        <is>
          <t>Math, Binary Search</t>
        </is>
      </c>
      <c r="G1315" s="1" t="inlineStr">
        <is>
          <t>Hard</t>
        </is>
      </c>
      <c r="H1315" s="1" t="n">
        <v>51014</v>
      </c>
      <c r="I1315" s="1" t="n">
        <v>139148</v>
      </c>
      <c r="J1315" s="9" t="n">
        <v>0.367</v>
      </c>
      <c r="K1315" s="1" t="inlineStr">
        <is>
          <t>Yes</t>
        </is>
      </c>
      <c r="L1315" s="1" t="inlineStr">
        <is>
          <t>Yes</t>
        </is>
      </c>
      <c r="M1315" s="1" t="inlineStr">
        <is>
          <t>No</t>
        </is>
      </c>
      <c r="N1315" s="1" t="inlineStr">
        <is>
          <t>Algorithms</t>
        </is>
      </c>
      <c r="O13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15" s="11" t="inlineStr">
        <is>
          <t>To Do</t>
        </is>
      </c>
    </row>
    <row r="1316" ht="15.75" customHeight="1" s="12">
      <c r="A1316" s="1" t="n">
        <v>2976</v>
      </c>
      <c r="B1316" s="3">
        <f>HYPERLINK("https://leetcode.com/problems/minimum-cost-to-convert-string-i/", "Minimum Cost to Convert String I")</f>
        <v/>
      </c>
      <c r="C1316" s="1" t="n">
        <v>1342</v>
      </c>
      <c r="D1316" s="1" t="n">
        <v>94</v>
      </c>
      <c r="E1316" s="4">
        <f>IF(INDEX(C:C, ROW())+INDEX(D:D, ROW())=0, 0, INDEX(C:C, ROW())/(INDEX(C:C, ROW())+INDEX(D:D, ROW())))</f>
        <v/>
      </c>
      <c r="F1316" s="1" t="inlineStr">
        <is>
          <t>Array, String, Graph Theory, Shortest Path</t>
        </is>
      </c>
      <c r="G1316" s="1" t="inlineStr">
        <is>
          <t>Medium</t>
        </is>
      </c>
      <c r="H1316" s="1" t="n">
        <v>194629</v>
      </c>
      <c r="I1316" s="1" t="n">
        <v>308061</v>
      </c>
      <c r="J1316" s="9" t="n">
        <v>0.632</v>
      </c>
      <c r="K1316" s="1" t="inlineStr">
        <is>
          <t>Yes</t>
        </is>
      </c>
      <c r="L1316" s="1" t="inlineStr">
        <is>
          <t>Yes</t>
        </is>
      </c>
      <c r="M1316" s="1" t="inlineStr">
        <is>
          <t>No</t>
        </is>
      </c>
      <c r="N1316" s="1" t="inlineStr">
        <is>
          <t>Algorithms</t>
        </is>
      </c>
      <c r="O13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16" s="11" t="inlineStr">
        <is>
          <t>To Do</t>
        </is>
      </c>
    </row>
    <row r="1317" ht="15.75" customHeight="1" s="12">
      <c r="A1317" s="1" t="n">
        <v>2147</v>
      </c>
      <c r="B1317" s="3">
        <f>HYPERLINK("https://leetcode.com/problems/number-of-ways-to-divide-a-long-corridor/", "Number of Ways to Divide a Long Corridor")</f>
        <v/>
      </c>
      <c r="C1317" s="1" t="n">
        <v>1340</v>
      </c>
      <c r="D1317" s="1" t="n">
        <v>127</v>
      </c>
      <c r="E1317" s="4">
        <f>IF(INDEX(C:C, ROW())+INDEX(D:D, ROW())=0, 0, INDEX(C:C, ROW())/(INDEX(C:C, ROW())+INDEX(D:D, ROW())))</f>
        <v/>
      </c>
      <c r="F1317" s="1" t="inlineStr">
        <is>
          <t>Math, String, Dynamic Programming</t>
        </is>
      </c>
      <c r="G1317" s="1" t="inlineStr">
        <is>
          <t>Hard</t>
        </is>
      </c>
      <c r="H1317" s="1" t="n">
        <v>141559</v>
      </c>
      <c r="I1317" s="1" t="n">
        <v>259261</v>
      </c>
      <c r="J1317" s="9" t="n">
        <v>0.546</v>
      </c>
      <c r="K1317" s="1" t="inlineStr">
        <is>
          <t>Yes</t>
        </is>
      </c>
      <c r="L1317" s="1" t="inlineStr">
        <is>
          <t>Yes</t>
        </is>
      </c>
      <c r="M1317" s="1" t="inlineStr">
        <is>
          <t>No</t>
        </is>
      </c>
      <c r="N1317" s="1" t="inlineStr">
        <is>
          <t>Algorithms</t>
        </is>
      </c>
      <c r="O13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17" s="11" t="inlineStr">
        <is>
          <t>To Do</t>
        </is>
      </c>
    </row>
    <row r="1318" ht="15.75" customHeight="1" s="12">
      <c r="A1318" s="1" t="n">
        <v>596</v>
      </c>
      <c r="B1318" s="3">
        <f>HYPERLINK("https://leetcode.com/problems/classes-with-at-least-5-students/", "Classes With at Least 5 Students")</f>
        <v/>
      </c>
      <c r="C1318" s="1" t="n">
        <v>1339</v>
      </c>
      <c r="D1318" s="1" t="n">
        <v>1084</v>
      </c>
      <c r="E1318" s="4">
        <f>IF(INDEX(C:C, ROW())+INDEX(D:D, ROW())=0, 0, INDEX(C:C, ROW())/(INDEX(C:C, ROW())+INDEX(D:D, ROW())))</f>
        <v/>
      </c>
      <c r="F1318" s="1" t="inlineStr">
        <is>
          <t>Database</t>
        </is>
      </c>
      <c r="G1318" s="1" t="inlineStr">
        <is>
          <t>Easy</t>
        </is>
      </c>
      <c r="H1318" s="1" t="n">
        <v>878451</v>
      </c>
      <c r="I1318" s="1" t="n">
        <v>1378295</v>
      </c>
      <c r="J1318" s="9" t="n">
        <v>0.637</v>
      </c>
      <c r="K1318" s="1" t="inlineStr">
        <is>
          <t>Yes</t>
        </is>
      </c>
      <c r="L1318" s="1" t="inlineStr">
        <is>
          <t>Yes</t>
        </is>
      </c>
      <c r="M1318" s="1" t="inlineStr">
        <is>
          <t>No</t>
        </is>
      </c>
      <c r="N1318" s="1" t="inlineStr">
        <is>
          <t>Database</t>
        </is>
      </c>
      <c r="O13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18" s="13" t="inlineStr">
        <is>
          <t>Done</t>
        </is>
      </c>
    </row>
    <row r="1319" ht="15.75" customHeight="1" s="12">
      <c r="A1319" s="1" t="n">
        <v>708</v>
      </c>
      <c r="B1319" s="3">
        <f>HYPERLINK("https://leetcode.com/problems/insert-into-a-sorted-circular-linked-list/", "Insert into a Sorted Circular Linked List")</f>
        <v/>
      </c>
      <c r="C1319" s="1" t="n">
        <v>1339</v>
      </c>
      <c r="D1319" s="1" t="n">
        <v>802</v>
      </c>
      <c r="E1319" s="4">
        <f>IF(INDEX(C:C, ROW())+INDEX(D:D, ROW())=0, 0, INDEX(C:C, ROW())/(INDEX(C:C, ROW())+INDEX(D:D, ROW())))</f>
        <v/>
      </c>
      <c r="F1319" s="1" t="inlineStr">
        <is>
          <t>Linked List</t>
        </is>
      </c>
      <c r="G1319" s="1" t="inlineStr">
        <is>
          <t>Medium</t>
        </is>
      </c>
      <c r="H1319" s="1" t="n">
        <v>245615</v>
      </c>
      <c r="I1319" s="1" t="n">
        <v>637007</v>
      </c>
      <c r="J1319" s="9" t="n">
        <v>0.386</v>
      </c>
      <c r="K1319" s="1" t="inlineStr">
        <is>
          <t>No</t>
        </is>
      </c>
      <c r="L1319" s="1" t="inlineStr">
        <is>
          <t>Yes</t>
        </is>
      </c>
      <c r="M1319" s="1" t="inlineStr">
        <is>
          <t>No</t>
        </is>
      </c>
      <c r="N1319" s="1" t="inlineStr">
        <is>
          <t>Algorithms</t>
        </is>
      </c>
      <c r="O13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19" s="11" t="inlineStr">
        <is>
          <t>To Do</t>
        </is>
      </c>
    </row>
    <row r="1320" ht="15.75" customHeight="1" s="12">
      <c r="A1320" s="1" t="n">
        <v>1055</v>
      </c>
      <c r="B1320" s="3">
        <f>HYPERLINK("https://leetcode.com/problems/shortest-way-to-form-string/", "Shortest Way to Form String")</f>
        <v/>
      </c>
      <c r="C1320" s="1" t="n">
        <v>1339</v>
      </c>
      <c r="D1320" s="1" t="n">
        <v>77</v>
      </c>
      <c r="E1320" s="4">
        <f>IF(INDEX(C:C, ROW())+INDEX(D:D, ROW())=0, 0, INDEX(C:C, ROW())/(INDEX(C:C, ROW())+INDEX(D:D, ROW())))</f>
        <v/>
      </c>
      <c r="F1320" s="1" t="inlineStr">
        <is>
          <t>Two Pointers, String, Binary Search, Greedy</t>
        </is>
      </c>
      <c r="G1320" s="1" t="inlineStr">
        <is>
          <t>Medium</t>
        </is>
      </c>
      <c r="H1320" s="1" t="n">
        <v>111521</v>
      </c>
      <c r="I1320" s="1" t="n">
        <v>180957</v>
      </c>
      <c r="J1320" s="9" t="n">
        <v>0.616</v>
      </c>
      <c r="K1320" s="1" t="inlineStr">
        <is>
          <t>No</t>
        </is>
      </c>
      <c r="L1320" s="1" t="inlineStr">
        <is>
          <t>Yes</t>
        </is>
      </c>
      <c r="M1320" s="1" t="inlineStr">
        <is>
          <t>No</t>
        </is>
      </c>
      <c r="N1320" s="1" t="inlineStr">
        <is>
          <t>Algorithms</t>
        </is>
      </c>
      <c r="O13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20" s="11" t="inlineStr">
        <is>
          <t>To Do</t>
        </is>
      </c>
    </row>
    <row r="1321" ht="15.75" customHeight="1" s="12">
      <c r="A1321" s="1" t="n">
        <v>691</v>
      </c>
      <c r="B1321" s="3">
        <f>HYPERLINK("https://leetcode.com/problems/stickers-to-spell-word/", "Stickers to Spell Word")</f>
        <v/>
      </c>
      <c r="C1321" s="1" t="n">
        <v>1336</v>
      </c>
      <c r="D1321" s="1" t="n">
        <v>130</v>
      </c>
      <c r="E1321" s="4">
        <f>IF(INDEX(C:C, ROW())+INDEX(D:D, ROW())=0, 0, INDEX(C:C, ROW())/(INDEX(C:C, ROW())+INDEX(D:D, ROW())))</f>
        <v/>
      </c>
      <c r="F1321" s="1" t="inlineStr">
        <is>
          <t>Array, Hash Table, String, Dynamic Programming, Backtracking, Bit Manipulation, Memoization, Bitmask</t>
        </is>
      </c>
      <c r="G1321" s="1" t="inlineStr">
        <is>
          <t>Hard</t>
        </is>
      </c>
      <c r="H1321" s="1" t="n">
        <v>96725</v>
      </c>
      <c r="I1321" s="1" t="n">
        <v>190315</v>
      </c>
      <c r="J1321" s="9" t="n">
        <v>0.508</v>
      </c>
      <c r="K1321" s="1" t="inlineStr">
        <is>
          <t>Yes</t>
        </is>
      </c>
      <c r="L1321" s="1" t="inlineStr">
        <is>
          <t>Yes</t>
        </is>
      </c>
      <c r="M1321" s="1" t="inlineStr">
        <is>
          <t>No</t>
        </is>
      </c>
      <c r="N1321" s="1" t="inlineStr">
        <is>
          <t>Algorithms</t>
        </is>
      </c>
      <c r="O13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21" s="11" t="inlineStr">
        <is>
          <t>To Do</t>
        </is>
      </c>
    </row>
    <row r="1322" ht="15.75" customHeight="1" s="12">
      <c r="A1322" s="1" t="n">
        <v>1455</v>
      </c>
      <c r="B1322" s="3">
        <f>HYPERLINK("https://leetcode.com/problems/check-if-a-word-occurs-as-a-prefix-of-any-word-in-a-sentence/", "Check If a Word Occurs As a Prefix of Any Word in a Sentence")</f>
        <v/>
      </c>
      <c r="C1322" s="1" t="n">
        <v>1334</v>
      </c>
      <c r="D1322" s="1" t="n">
        <v>60</v>
      </c>
      <c r="E1322" s="4">
        <f>IF(INDEX(C:C, ROW())+INDEX(D:D, ROW())=0, 0, INDEX(C:C, ROW())/(INDEX(C:C, ROW())+INDEX(D:D, ROW())))</f>
        <v/>
      </c>
      <c r="F1322" s="1" t="inlineStr">
        <is>
          <t>Two Pointers, String, String Matching</t>
        </is>
      </c>
      <c r="G1322" s="1" t="inlineStr">
        <is>
          <t>Easy</t>
        </is>
      </c>
      <c r="H1322" s="1" t="n">
        <v>238884</v>
      </c>
      <c r="I1322" s="1" t="n">
        <v>347339</v>
      </c>
      <c r="J1322" s="9" t="n">
        <v>0.6879999999999999</v>
      </c>
      <c r="K1322" s="1" t="inlineStr">
        <is>
          <t>Yes</t>
        </is>
      </c>
      <c r="L1322" s="1" t="inlineStr">
        <is>
          <t>Yes</t>
        </is>
      </c>
      <c r="M1322" s="1" t="inlineStr">
        <is>
          <t>No</t>
        </is>
      </c>
      <c r="N1322" s="1" t="inlineStr">
        <is>
          <t>Algorithms</t>
        </is>
      </c>
      <c r="O13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22" s="13" t="inlineStr">
        <is>
          <t>Done</t>
        </is>
      </c>
    </row>
    <row r="1323" ht="15.75" customHeight="1" s="12">
      <c r="A1323" s="1" t="n">
        <v>2373</v>
      </c>
      <c r="B1323" s="3">
        <f>HYPERLINK("https://leetcode.com/problems/largest-local-values-in-a-matrix/", "Largest Local Values in a Matrix")</f>
        <v/>
      </c>
      <c r="C1323" s="1" t="n">
        <v>1331</v>
      </c>
      <c r="D1323" s="1" t="n">
        <v>184</v>
      </c>
      <c r="E1323" s="4">
        <f>IF(INDEX(C:C, ROW())+INDEX(D:D, ROW())=0, 0, INDEX(C:C, ROW())/(INDEX(C:C, ROW())+INDEX(D:D, ROW())))</f>
        <v/>
      </c>
      <c r="F1323" s="1" t="inlineStr">
        <is>
          <t>Array, Matrix</t>
        </is>
      </c>
      <c r="G1323" s="1" t="inlineStr">
        <is>
          <t>Easy</t>
        </is>
      </c>
      <c r="H1323" s="1" t="n">
        <v>200661</v>
      </c>
      <c r="I1323" s="1" t="n">
        <v>228821</v>
      </c>
      <c r="J1323" s="9" t="n">
        <v>0.877</v>
      </c>
      <c r="K1323" s="1" t="inlineStr">
        <is>
          <t>Yes</t>
        </is>
      </c>
      <c r="L1323" s="1" t="inlineStr">
        <is>
          <t>Yes</t>
        </is>
      </c>
      <c r="M1323" s="1" t="inlineStr">
        <is>
          <t>No</t>
        </is>
      </c>
      <c r="N1323" s="1" t="inlineStr">
        <is>
          <t>Algorithms</t>
        </is>
      </c>
      <c r="O13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23" s="13" t="inlineStr">
        <is>
          <t>Done</t>
        </is>
      </c>
    </row>
    <row r="1324" ht="15.75" customHeight="1" s="12">
      <c r="A1324" s="1" t="n">
        <v>2045</v>
      </c>
      <c r="B1324" s="3">
        <f>HYPERLINK("https://leetcode.com/problems/second-minimum-time-to-reach-destination/", "Second Minimum Time to Reach Destination")</f>
        <v/>
      </c>
      <c r="C1324" s="1" t="n">
        <v>1328</v>
      </c>
      <c r="D1324" s="1" t="n">
        <v>69</v>
      </c>
      <c r="E1324" s="4">
        <f>IF(INDEX(C:C, ROW())+INDEX(D:D, ROW())=0, 0, INDEX(C:C, ROW())/(INDEX(C:C, ROW())+INDEX(D:D, ROW())))</f>
        <v/>
      </c>
      <c r="F1324" s="1" t="inlineStr">
        <is>
          <t>Breadth-First Search, Graph Theory, Shortest Path</t>
        </is>
      </c>
      <c r="G1324" s="1" t="inlineStr">
        <is>
          <t>Hard</t>
        </is>
      </c>
      <c r="H1324" s="1" t="n">
        <v>91989</v>
      </c>
      <c r="I1324" s="1" t="n">
        <v>147541</v>
      </c>
      <c r="J1324" s="9" t="n">
        <v>0.623</v>
      </c>
      <c r="K1324" s="1" t="inlineStr">
        <is>
          <t>Yes</t>
        </is>
      </c>
      <c r="L1324" s="1" t="inlineStr">
        <is>
          <t>Yes</t>
        </is>
      </c>
      <c r="M1324" s="1" t="inlineStr">
        <is>
          <t>No</t>
        </is>
      </c>
      <c r="N1324" s="1" t="inlineStr">
        <is>
          <t>Algorithms</t>
        </is>
      </c>
      <c r="O13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24" s="11" t="inlineStr">
        <is>
          <t>To Do</t>
        </is>
      </c>
    </row>
    <row r="1325" ht="15.75" customHeight="1" s="12">
      <c r="A1325" s="1" t="n">
        <v>2078</v>
      </c>
      <c r="B1325" s="3">
        <f>HYPERLINK("https://leetcode.com/problems/two-furthest-houses-with-different-colors/", "Two Furthest Houses With Different Colors")</f>
        <v/>
      </c>
      <c r="C1325" s="1" t="n">
        <v>1327</v>
      </c>
      <c r="D1325" s="1" t="n">
        <v>44</v>
      </c>
      <c r="E1325" s="4">
        <f>IF(INDEX(C:C, ROW())+INDEX(D:D, ROW())=0, 0, INDEX(C:C, ROW())/(INDEX(C:C, ROW())+INDEX(D:D, ROW())))</f>
        <v/>
      </c>
      <c r="F1325" s="1" t="inlineStr">
        <is>
          <t>Array, Greedy</t>
        </is>
      </c>
      <c r="G1325" s="1" t="inlineStr">
        <is>
          <t>Easy</t>
        </is>
      </c>
      <c r="H1325" s="1" t="n">
        <v>216515</v>
      </c>
      <c r="I1325" s="1" t="n">
        <v>301539</v>
      </c>
      <c r="J1325" s="9" t="n">
        <v>0.718</v>
      </c>
      <c r="K1325" s="1" t="inlineStr">
        <is>
          <t>Yes</t>
        </is>
      </c>
      <c r="L1325" s="1" t="inlineStr">
        <is>
          <t>Yes</t>
        </is>
      </c>
      <c r="M1325" s="1" t="inlineStr">
        <is>
          <t>No</t>
        </is>
      </c>
      <c r="N1325" s="1" t="inlineStr">
        <is>
          <t>Algorithms</t>
        </is>
      </c>
      <c r="O13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25" s="13" t="inlineStr">
        <is>
          <t>Done</t>
        </is>
      </c>
    </row>
    <row r="1326" ht="15.75" customHeight="1" s="12">
      <c r="A1326" s="1" t="n">
        <v>564</v>
      </c>
      <c r="B1326" s="3">
        <f>HYPERLINK("https://leetcode.com/problems/find-the-closest-palindrome/", "Find the Closest Palindrome")</f>
        <v/>
      </c>
      <c r="C1326" s="1" t="n">
        <v>1326</v>
      </c>
      <c r="D1326" s="1" t="n">
        <v>1740</v>
      </c>
      <c r="E1326" s="4">
        <f>IF(INDEX(C:C, ROW())+INDEX(D:D, ROW())=0, 0, INDEX(C:C, ROW())/(INDEX(C:C, ROW())+INDEX(D:D, ROW())))</f>
        <v/>
      </c>
      <c r="F1326" s="1" t="inlineStr">
        <is>
          <t>Math, String</t>
        </is>
      </c>
      <c r="G1326" s="1" t="inlineStr">
        <is>
          <t>Hard</t>
        </is>
      </c>
      <c r="H1326" s="1" t="n">
        <v>138510</v>
      </c>
      <c r="I1326" s="1" t="n">
        <v>433616</v>
      </c>
      <c r="J1326" s="9" t="n">
        <v>0.319</v>
      </c>
      <c r="K1326" s="1" t="inlineStr">
        <is>
          <t>Yes</t>
        </is>
      </c>
      <c r="L1326" s="1" t="inlineStr">
        <is>
          <t>Yes</t>
        </is>
      </c>
      <c r="M1326" s="1" t="inlineStr">
        <is>
          <t>No</t>
        </is>
      </c>
      <c r="N1326" s="1" t="inlineStr">
        <is>
          <t>Algorithms</t>
        </is>
      </c>
      <c r="O13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26" s="11" t="inlineStr">
        <is>
          <t>To Do</t>
        </is>
      </c>
    </row>
    <row r="1327" ht="15.75" customHeight="1" s="12">
      <c r="A1327" s="1" t="n">
        <v>1201</v>
      </c>
      <c r="B1327" s="3">
        <f>HYPERLINK("https://leetcode.com/problems/ugly-number-iii/", "Ugly Number III")</f>
        <v/>
      </c>
      <c r="C1327" s="1" t="n">
        <v>1325</v>
      </c>
      <c r="D1327" s="1" t="n">
        <v>519</v>
      </c>
      <c r="E1327" s="4">
        <f>IF(INDEX(C:C, ROW())+INDEX(D:D, ROW())=0, 0, INDEX(C:C, ROW())/(INDEX(C:C, ROW())+INDEX(D:D, ROW())))</f>
        <v/>
      </c>
      <c r="F1327" s="1" t="inlineStr">
        <is>
          <t>Math, Binary Search, Combinatorics, Number Theory</t>
        </is>
      </c>
      <c r="G1327" s="1" t="inlineStr">
        <is>
          <t>Medium</t>
        </is>
      </c>
      <c r="H1327" s="1" t="n">
        <v>43999</v>
      </c>
      <c r="I1327" s="1" t="n">
        <v>139983</v>
      </c>
      <c r="J1327" s="9" t="n">
        <v>0.314</v>
      </c>
      <c r="K1327" s="1" t="inlineStr">
        <is>
          <t>Yes</t>
        </is>
      </c>
      <c r="L1327" s="1" t="inlineStr">
        <is>
          <t>No</t>
        </is>
      </c>
      <c r="M1327" s="1" t="inlineStr">
        <is>
          <t>No</t>
        </is>
      </c>
      <c r="N1327" s="1" t="inlineStr">
        <is>
          <t>Algorithms</t>
        </is>
      </c>
      <c r="O13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27" s="11" t="inlineStr">
        <is>
          <t>To Do</t>
        </is>
      </c>
    </row>
    <row r="1328" ht="15.75" customHeight="1" s="12">
      <c r="A1328" s="1" t="n">
        <v>1750</v>
      </c>
      <c r="B1328" s="3">
        <f>HYPERLINK("https://leetcode.com/problems/minimum-length-of-string-after-deleting-similar-ends/", "Minimum Length of String After Deleting Similar Ends")</f>
        <v/>
      </c>
      <c r="C1328" s="1" t="n">
        <v>1325</v>
      </c>
      <c r="D1328" s="1" t="n">
        <v>112</v>
      </c>
      <c r="E1328" s="4">
        <f>IF(INDEX(C:C, ROW())+INDEX(D:D, ROW())=0, 0, INDEX(C:C, ROW())/(INDEX(C:C, ROW())+INDEX(D:D, ROW())))</f>
        <v/>
      </c>
      <c r="F1328" s="1" t="inlineStr">
        <is>
          <t>Two Pointers, String</t>
        </is>
      </c>
      <c r="G1328" s="1" t="inlineStr">
        <is>
          <t>Medium</t>
        </is>
      </c>
      <c r="H1328" s="1" t="n">
        <v>188414</v>
      </c>
      <c r="I1328" s="1" t="n">
        <v>335950</v>
      </c>
      <c r="J1328" s="9" t="n">
        <v>0.5610000000000001</v>
      </c>
      <c r="K1328" s="1" t="inlineStr">
        <is>
          <t>Yes</t>
        </is>
      </c>
      <c r="L1328" s="1" t="inlineStr">
        <is>
          <t>Yes</t>
        </is>
      </c>
      <c r="M1328" s="1" t="inlineStr">
        <is>
          <t>No</t>
        </is>
      </c>
      <c r="N1328" s="1" t="inlineStr">
        <is>
          <t>Algorithms</t>
        </is>
      </c>
      <c r="O13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28" s="11" t="inlineStr">
        <is>
          <t>To Do</t>
        </is>
      </c>
    </row>
    <row r="1329" ht="15.75" customHeight="1" s="12">
      <c r="A1329" s="1" t="n">
        <v>1762</v>
      </c>
      <c r="B1329" s="3">
        <f>HYPERLINK("https://leetcode.com/problems/buildings-with-an-ocean-view/", "Buildings With an Ocean View")</f>
        <v/>
      </c>
      <c r="C1329" s="1" t="n">
        <v>1324</v>
      </c>
      <c r="D1329" s="1" t="n">
        <v>151</v>
      </c>
      <c r="E1329" s="4">
        <f>IF(INDEX(C:C, ROW())+INDEX(D:D, ROW())=0, 0, INDEX(C:C, ROW())/(INDEX(C:C, ROW())+INDEX(D:D, ROW())))</f>
        <v/>
      </c>
      <c r="F1329" s="1" t="inlineStr">
        <is>
          <t>Array, Stack, Monotonic Stack</t>
        </is>
      </c>
      <c r="G1329" s="1" t="inlineStr">
        <is>
          <t>Medium</t>
        </is>
      </c>
      <c r="H1329" s="1" t="n">
        <v>342706</v>
      </c>
      <c r="I1329" s="1" t="n">
        <v>423773</v>
      </c>
      <c r="J1329" s="9" t="n">
        <v>0.8090000000000001</v>
      </c>
      <c r="K1329" s="1" t="inlineStr">
        <is>
          <t>No</t>
        </is>
      </c>
      <c r="L1329" s="1" t="inlineStr">
        <is>
          <t>Yes</t>
        </is>
      </c>
      <c r="M1329" s="1" t="inlineStr">
        <is>
          <t>No</t>
        </is>
      </c>
      <c r="N1329" s="1" t="inlineStr">
        <is>
          <t>Algorithms</t>
        </is>
      </c>
      <c r="O13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29" s="11" t="inlineStr">
        <is>
          <t>To Do</t>
        </is>
      </c>
    </row>
    <row r="1330" ht="15.75" customHeight="1" s="12">
      <c r="A1330" s="1" t="n">
        <v>1827</v>
      </c>
      <c r="B1330" s="3">
        <f>HYPERLINK("https://leetcode.com/problems/minimum-operations-to-make-the-array-increasing/", "Minimum Operations to Make the Array Increasing")</f>
        <v/>
      </c>
      <c r="C1330" s="1" t="n">
        <v>1324</v>
      </c>
      <c r="D1330" s="1" t="n">
        <v>68</v>
      </c>
      <c r="E1330" s="4">
        <f>IF(INDEX(C:C, ROW())+INDEX(D:D, ROW())=0, 0, INDEX(C:C, ROW())/(INDEX(C:C, ROW())+INDEX(D:D, ROW())))</f>
        <v/>
      </c>
      <c r="F1330" s="1" t="inlineStr">
        <is>
          <t>Array, Greedy</t>
        </is>
      </c>
      <c r="G1330" s="1" t="inlineStr">
        <is>
          <t>Easy</t>
        </is>
      </c>
      <c r="H1330" s="1" t="n">
        <v>136768</v>
      </c>
      <c r="I1330" s="1" t="n">
        <v>166777</v>
      </c>
      <c r="J1330" s="9" t="n">
        <v>0.82</v>
      </c>
      <c r="K1330" s="1" t="inlineStr">
        <is>
          <t>Yes</t>
        </is>
      </c>
      <c r="L1330" s="1" t="inlineStr">
        <is>
          <t>No</t>
        </is>
      </c>
      <c r="M1330" s="1" t="inlineStr">
        <is>
          <t>No</t>
        </is>
      </c>
      <c r="N1330" s="1" t="inlineStr">
        <is>
          <t>Algorithms</t>
        </is>
      </c>
      <c r="O13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30" s="13" t="inlineStr">
        <is>
          <t>Done</t>
        </is>
      </c>
    </row>
    <row r="1331" ht="15.75" customHeight="1" s="12">
      <c r="A1331" s="1" t="n">
        <v>2357</v>
      </c>
      <c r="B1331" s="3">
        <f>HYPERLINK("https://leetcode.com/problems/make-array-zero-by-subtracting-equal-amounts/", "Make Array Zero by Subtracting Equal Amounts")</f>
        <v/>
      </c>
      <c r="C1331" s="1" t="n">
        <v>1324</v>
      </c>
      <c r="D1331" s="1" t="n">
        <v>62</v>
      </c>
      <c r="E1331" s="4">
        <f>IF(INDEX(C:C, ROW())+INDEX(D:D, ROW())=0, 0, INDEX(C:C, ROW())/(INDEX(C:C, ROW())+INDEX(D:D, ROW())))</f>
        <v/>
      </c>
      <c r="F1331" s="1" t="inlineStr">
        <is>
          <t>Array, Hash Table, Greedy, Sorting, Heap (Priority Queue), Simulation</t>
        </is>
      </c>
      <c r="G1331" s="1" t="inlineStr">
        <is>
          <t>Easy</t>
        </is>
      </c>
      <c r="H1331" s="1" t="n">
        <v>181472</v>
      </c>
      <c r="I1331" s="1" t="n">
        <v>245977</v>
      </c>
      <c r="J1331" s="9" t="n">
        <v>0.738</v>
      </c>
      <c r="K1331" s="1" t="inlineStr">
        <is>
          <t>Yes</t>
        </is>
      </c>
      <c r="L1331" s="1" t="inlineStr">
        <is>
          <t>No</t>
        </is>
      </c>
      <c r="M1331" s="1" t="inlineStr">
        <is>
          <t>No</t>
        </is>
      </c>
      <c r="N1331" s="1" t="inlineStr">
        <is>
          <t>Algorithms</t>
        </is>
      </c>
      <c r="O13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31" s="13" t="inlineStr">
        <is>
          <t>Done</t>
        </is>
      </c>
    </row>
    <row r="1332" ht="15.75" customHeight="1" s="12">
      <c r="A1332" s="1" t="n">
        <v>2379</v>
      </c>
      <c r="B1332" s="3">
        <f>HYPERLINK("https://leetcode.com/problems/minimum-recolors-to-get-k-consecutive-black-blocks/", "Minimum Recolors to Get K Consecutive Black Blocks")</f>
        <v/>
      </c>
      <c r="C1332" s="1" t="n">
        <v>1324</v>
      </c>
      <c r="D1332" s="1" t="n">
        <v>38</v>
      </c>
      <c r="E1332" s="4">
        <f>IF(INDEX(C:C, ROW())+INDEX(D:D, ROW())=0, 0, INDEX(C:C, ROW())/(INDEX(C:C, ROW())+INDEX(D:D, ROW())))</f>
        <v/>
      </c>
      <c r="F1332" s="1" t="inlineStr">
        <is>
          <t>String, Sliding Window</t>
        </is>
      </c>
      <c r="G1332" s="1" t="inlineStr">
        <is>
          <t>Easy</t>
        </is>
      </c>
      <c r="H1332" s="1" t="n">
        <v>233180</v>
      </c>
      <c r="I1332" s="1" t="n">
        <v>339639</v>
      </c>
      <c r="J1332" s="9" t="n">
        <v>0.6870000000000001</v>
      </c>
      <c r="K1332" s="1" t="inlineStr">
        <is>
          <t>Yes</t>
        </is>
      </c>
      <c r="L1332" s="1" t="inlineStr">
        <is>
          <t>Yes</t>
        </is>
      </c>
      <c r="M1332" s="1" t="inlineStr">
        <is>
          <t>No</t>
        </is>
      </c>
      <c r="N1332" s="1" t="inlineStr">
        <is>
          <t>Algorithms</t>
        </is>
      </c>
      <c r="O13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32" s="13" t="inlineStr">
        <is>
          <t>Done</t>
        </is>
      </c>
    </row>
    <row r="1333" ht="15.75" customHeight="1" s="12">
      <c r="A1333" s="1" t="n">
        <v>1909</v>
      </c>
      <c r="B1333" s="3">
        <f>HYPERLINK("https://leetcode.com/problems/remove-one-element-to-make-the-array-strictly-increasing/", "Remove One Element to Make the Array Strictly Increasing")</f>
        <v/>
      </c>
      <c r="C1333" s="1" t="n">
        <v>1323</v>
      </c>
      <c r="D1333" s="1" t="n">
        <v>348</v>
      </c>
      <c r="E1333" s="4">
        <f>IF(INDEX(C:C, ROW())+INDEX(D:D, ROW())=0, 0, INDEX(C:C, ROW())/(INDEX(C:C, ROW())+INDEX(D:D, ROW())))</f>
        <v/>
      </c>
      <c r="F1333" s="1" t="inlineStr">
        <is>
          <t>Array</t>
        </is>
      </c>
      <c r="G1333" s="1" t="inlineStr">
        <is>
          <t>Easy</t>
        </is>
      </c>
      <c r="H1333" s="1" t="n">
        <v>86690</v>
      </c>
      <c r="I1333" s="1" t="n">
        <v>291128</v>
      </c>
      <c r="J1333" s="9" t="n">
        <v>0.298</v>
      </c>
      <c r="K1333" s="1" t="inlineStr">
        <is>
          <t>Yes</t>
        </is>
      </c>
      <c r="L1333" s="1" t="inlineStr">
        <is>
          <t>No</t>
        </is>
      </c>
      <c r="M1333" s="1" t="inlineStr">
        <is>
          <t>No</t>
        </is>
      </c>
      <c r="N1333" s="1" t="inlineStr">
        <is>
          <t>Algorithms</t>
        </is>
      </c>
      <c r="O13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33" s="13" t="inlineStr">
        <is>
          <t>Done</t>
        </is>
      </c>
    </row>
    <row r="1334" ht="15.75" customHeight="1" s="12">
      <c r="A1334" s="1" t="n">
        <v>2053</v>
      </c>
      <c r="B1334" s="3">
        <f>HYPERLINK("https://leetcode.com/problems/kth-distinct-string-in-an-array/", "Kth Distinct String in an Array")</f>
        <v/>
      </c>
      <c r="C1334" s="1" t="n">
        <v>1319</v>
      </c>
      <c r="D1334" s="1" t="n">
        <v>53</v>
      </c>
      <c r="E1334" s="4">
        <f>IF(INDEX(C:C, ROW())+INDEX(D:D, ROW())=0, 0, INDEX(C:C, ROW())/(INDEX(C:C, ROW())+INDEX(D:D, ROW())))</f>
        <v/>
      </c>
      <c r="F1334" s="1" t="inlineStr">
        <is>
          <t>Array, Hash Table, String, Counting</t>
        </is>
      </c>
      <c r="G1334" s="1" t="inlineStr">
        <is>
          <t>Easy</t>
        </is>
      </c>
      <c r="H1334" s="1" t="n">
        <v>273735</v>
      </c>
      <c r="I1334" s="1" t="n">
        <v>333343</v>
      </c>
      <c r="J1334" s="9" t="n">
        <v>0.821</v>
      </c>
      <c r="K1334" s="1" t="inlineStr">
        <is>
          <t>Yes</t>
        </is>
      </c>
      <c r="L1334" s="1" t="inlineStr">
        <is>
          <t>Yes</t>
        </is>
      </c>
      <c r="M1334" s="1" t="inlineStr">
        <is>
          <t>No</t>
        </is>
      </c>
      <c r="N1334" s="1" t="inlineStr">
        <is>
          <t>Algorithms</t>
        </is>
      </c>
      <c r="O13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34" s="13" t="inlineStr">
        <is>
          <t>Done</t>
        </is>
      </c>
    </row>
    <row r="1335" ht="15.75" customHeight="1" s="12">
      <c r="A1335" s="1" t="n">
        <v>2326</v>
      </c>
      <c r="B1335" s="3">
        <f>HYPERLINK("https://leetcode.com/problems/spiral-matrix-iv/", "Spiral Matrix IV")</f>
        <v/>
      </c>
      <c r="C1335" s="1" t="n">
        <v>1319</v>
      </c>
      <c r="D1335" s="1" t="n">
        <v>56</v>
      </c>
      <c r="E1335" s="4">
        <f>IF(INDEX(C:C, ROW())+INDEX(D:D, ROW())=0, 0, INDEX(C:C, ROW())/(INDEX(C:C, ROW())+INDEX(D:D, ROW())))</f>
        <v/>
      </c>
      <c r="F1335" s="1" t="inlineStr">
        <is>
          <t>Array, Linked List, Matrix, Simulation</t>
        </is>
      </c>
      <c r="G1335" s="1" t="inlineStr">
        <is>
          <t>Medium</t>
        </is>
      </c>
      <c r="H1335" s="1" t="n">
        <v>183534</v>
      </c>
      <c r="I1335" s="1" t="n">
        <v>223075</v>
      </c>
      <c r="J1335" s="9" t="n">
        <v>0.823</v>
      </c>
      <c r="K1335" s="1" t="inlineStr">
        <is>
          <t>Yes</t>
        </is>
      </c>
      <c r="L1335" s="1" t="inlineStr">
        <is>
          <t>Yes</t>
        </is>
      </c>
      <c r="M1335" s="1" t="inlineStr">
        <is>
          <t>No</t>
        </is>
      </c>
      <c r="N1335" s="1" t="inlineStr">
        <is>
          <t>Algorithms</t>
        </is>
      </c>
      <c r="O13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35" s="11" t="inlineStr">
        <is>
          <t>To Do</t>
        </is>
      </c>
    </row>
    <row r="1336" ht="15.75" customHeight="1" s="12">
      <c r="A1336" s="1" t="n">
        <v>2419</v>
      </c>
      <c r="B1336" s="3">
        <f>HYPERLINK("https://leetcode.com/problems/longest-subarray-with-maximum-bitwise-and/", "Longest Subarray With Maximum Bitwise AND")</f>
        <v/>
      </c>
      <c r="C1336" s="1" t="n">
        <v>1319</v>
      </c>
      <c r="D1336" s="1" t="n">
        <v>110</v>
      </c>
      <c r="E1336" s="4">
        <f>IF(INDEX(C:C, ROW())+INDEX(D:D, ROW())=0, 0, INDEX(C:C, ROW())/(INDEX(C:C, ROW())+INDEX(D:D, ROW())))</f>
        <v/>
      </c>
      <c r="F1336" s="1" t="inlineStr">
        <is>
          <t>Array, Bit Manipulation, Brainteaser</t>
        </is>
      </c>
      <c r="G1336" s="1" t="inlineStr">
        <is>
          <t>Medium</t>
        </is>
      </c>
      <c r="H1336" s="1" t="n">
        <v>253989</v>
      </c>
      <c r="I1336" s="1" t="n">
        <v>388584</v>
      </c>
      <c r="J1336" s="9" t="n">
        <v>0.654</v>
      </c>
      <c r="K1336" s="1" t="inlineStr">
        <is>
          <t>Yes</t>
        </is>
      </c>
      <c r="L1336" s="1" t="inlineStr">
        <is>
          <t>Yes</t>
        </is>
      </c>
      <c r="M1336" s="1" t="inlineStr">
        <is>
          <t>No</t>
        </is>
      </c>
      <c r="N1336" s="1" t="inlineStr">
        <is>
          <t>Algorithms</t>
        </is>
      </c>
      <c r="O13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36" s="11" t="inlineStr">
        <is>
          <t>To Do</t>
        </is>
      </c>
    </row>
    <row r="1337" ht="15.75" customHeight="1" s="12">
      <c r="A1337" s="1" t="n">
        <v>1570</v>
      </c>
      <c r="B1337" s="3">
        <f>HYPERLINK("https://leetcode.com/problems/dot-product-of-two-sparse-vectors/", "Dot Product of Two Sparse Vectors")</f>
        <v/>
      </c>
      <c r="C1337" s="1" t="n">
        <v>1313</v>
      </c>
      <c r="D1337" s="1" t="n">
        <v>170</v>
      </c>
      <c r="E1337" s="4">
        <f>IF(INDEX(C:C, ROW())+INDEX(D:D, ROW())=0, 0, INDEX(C:C, ROW())/(INDEX(C:C, ROW())+INDEX(D:D, ROW())))</f>
        <v/>
      </c>
      <c r="F1337" s="1" t="inlineStr">
        <is>
          <t>Array, Hash Table, Two Pointers, Design</t>
        </is>
      </c>
      <c r="G1337" s="1" t="inlineStr">
        <is>
          <t>Medium</t>
        </is>
      </c>
      <c r="H1337" s="1" t="n">
        <v>406408</v>
      </c>
      <c r="I1337" s="1" t="n">
        <v>452088</v>
      </c>
      <c r="J1337" s="9" t="n">
        <v>0.899</v>
      </c>
      <c r="K1337" s="1" t="inlineStr">
        <is>
          <t>No</t>
        </is>
      </c>
      <c r="L1337" s="1" t="inlineStr">
        <is>
          <t>Yes</t>
        </is>
      </c>
      <c r="M1337" s="1" t="inlineStr">
        <is>
          <t>No</t>
        </is>
      </c>
      <c r="N1337" s="1" t="inlineStr">
        <is>
          <t>Algorithms</t>
        </is>
      </c>
      <c r="O13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37" s="11" t="inlineStr">
        <is>
          <t>To Do</t>
        </is>
      </c>
    </row>
    <row r="1338" ht="15.75" customHeight="1" s="12">
      <c r="A1338" s="1" t="n">
        <v>1979</v>
      </c>
      <c r="B1338" s="3">
        <f>HYPERLINK("https://leetcode.com/problems/find-greatest-common-divisor-of-array/", "Find Greatest Common Divisor of Array")</f>
        <v/>
      </c>
      <c r="C1338" s="1" t="n">
        <v>1313</v>
      </c>
      <c r="D1338" s="1" t="n">
        <v>55</v>
      </c>
      <c r="E1338" s="4">
        <f>IF(INDEX(C:C, ROW())+INDEX(D:D, ROW())=0, 0, INDEX(C:C, ROW())/(INDEX(C:C, ROW())+INDEX(D:D, ROW())))</f>
        <v/>
      </c>
      <c r="F1338" s="1" t="inlineStr">
        <is>
          <t>Array, Math, Number Theory</t>
        </is>
      </c>
      <c r="G1338" s="1" t="inlineStr">
        <is>
          <t>Easy</t>
        </is>
      </c>
      <c r="H1338" s="1" t="n">
        <v>248804</v>
      </c>
      <c r="I1338" s="1" t="n">
        <v>311404</v>
      </c>
      <c r="J1338" s="9" t="n">
        <v>0.799</v>
      </c>
      <c r="K1338" s="1" t="inlineStr">
        <is>
          <t>Yes</t>
        </is>
      </c>
      <c r="L1338" s="1" t="inlineStr">
        <is>
          <t>No</t>
        </is>
      </c>
      <c r="M1338" s="1" t="inlineStr">
        <is>
          <t>No</t>
        </is>
      </c>
      <c r="N1338" s="1" t="inlineStr">
        <is>
          <t>Algorithms</t>
        </is>
      </c>
      <c r="O13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38" s="13" t="inlineStr">
        <is>
          <t>Done</t>
        </is>
      </c>
    </row>
    <row r="1339" ht="15.75" customHeight="1" s="12">
      <c r="A1339" s="1" t="n">
        <v>2597</v>
      </c>
      <c r="B1339" s="3">
        <f>HYPERLINK("https://leetcode.com/problems/the-number-of-beautiful-subsets/", "The Number of Beautiful Subsets")</f>
        <v/>
      </c>
      <c r="C1339" s="1" t="n">
        <v>1311</v>
      </c>
      <c r="D1339" s="1" t="n">
        <v>178</v>
      </c>
      <c r="E1339" s="4">
        <f>IF(INDEX(C:C, ROW())+INDEX(D:D, ROW())=0, 0, INDEX(C:C, ROW())/(INDEX(C:C, ROW())+INDEX(D:D, ROW())))</f>
        <v/>
      </c>
      <c r="F1339" s="1" t="inlineStr">
        <is>
          <t>Array, Hash Table, Math, Dynamic Programming, Backtracking, Sorting, Combinatorics</t>
        </is>
      </c>
      <c r="G1339" s="1" t="inlineStr">
        <is>
          <t>Medium</t>
        </is>
      </c>
      <c r="H1339" s="1" t="n">
        <v>132153</v>
      </c>
      <c r="I1339" s="1" t="n">
        <v>259170</v>
      </c>
      <c r="J1339" s="9" t="n">
        <v>0.51</v>
      </c>
      <c r="K1339" s="1" t="inlineStr">
        <is>
          <t>Yes</t>
        </is>
      </c>
      <c r="L1339" s="1" t="inlineStr">
        <is>
          <t>Yes</t>
        </is>
      </c>
      <c r="M1339" s="1" t="inlineStr">
        <is>
          <t>No</t>
        </is>
      </c>
      <c r="N1339" s="1" t="inlineStr">
        <is>
          <t>Algorithms</t>
        </is>
      </c>
      <c r="O13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39" s="11" t="inlineStr">
        <is>
          <t>To Do</t>
        </is>
      </c>
    </row>
    <row r="1340" ht="15.75" customHeight="1" s="12">
      <c r="A1340" s="1" t="n">
        <v>220</v>
      </c>
      <c r="B1340" s="3">
        <f>HYPERLINK("https://leetcode.com/problems/contains-duplicate-iii/", "Contains Duplicate III")</f>
        <v/>
      </c>
      <c r="C1340" s="1" t="n">
        <v>1309</v>
      </c>
      <c r="D1340" s="1" t="n">
        <v>149</v>
      </c>
      <c r="E1340" s="4">
        <f>IF(INDEX(C:C, ROW())+INDEX(D:D, ROW())=0, 0, INDEX(C:C, ROW())/(INDEX(C:C, ROW())+INDEX(D:D, ROW())))</f>
        <v/>
      </c>
      <c r="F1340" s="1" t="inlineStr">
        <is>
          <t>Array, Sliding Window, Sorting, Bucket Sort, Ordered Set</t>
        </is>
      </c>
      <c r="G1340" s="1" t="inlineStr">
        <is>
          <t>Hard</t>
        </is>
      </c>
      <c r="H1340" s="1" t="n">
        <v>318089</v>
      </c>
      <c r="I1340" s="1" t="n">
        <v>1285911</v>
      </c>
      <c r="J1340" s="9" t="n">
        <v>0.247</v>
      </c>
      <c r="K1340" s="1" t="inlineStr">
        <is>
          <t>Yes</t>
        </is>
      </c>
      <c r="L1340" s="1" t="inlineStr">
        <is>
          <t>Yes</t>
        </is>
      </c>
      <c r="M1340" s="1" t="inlineStr">
        <is>
          <t>No</t>
        </is>
      </c>
      <c r="N1340" s="1" t="inlineStr">
        <is>
          <t>Algorithms</t>
        </is>
      </c>
      <c r="O13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40" s="11" t="inlineStr">
        <is>
          <t>To Do</t>
        </is>
      </c>
    </row>
    <row r="1341" ht="15.75" customHeight="1" s="12">
      <c r="A1341" s="1" t="n">
        <v>507</v>
      </c>
      <c r="B1341" s="3">
        <f>HYPERLINK("https://leetcode.com/problems/perfect-number/", "Perfect Number")</f>
        <v/>
      </c>
      <c r="C1341" s="1" t="n">
        <v>1309</v>
      </c>
      <c r="D1341" s="1" t="n">
        <v>1289</v>
      </c>
      <c r="E1341" s="4">
        <f>IF(INDEX(C:C, ROW())+INDEX(D:D, ROW())=0, 0, INDEX(C:C, ROW())/(INDEX(C:C, ROW())+INDEX(D:D, ROW())))</f>
        <v/>
      </c>
      <c r="F1341" s="1" t="inlineStr">
        <is>
          <t>Math</t>
        </is>
      </c>
      <c r="G1341" s="1" t="inlineStr">
        <is>
          <t>Easy</t>
        </is>
      </c>
      <c r="H1341" s="1" t="n">
        <v>382260</v>
      </c>
      <c r="I1341" s="1" t="n">
        <v>783842</v>
      </c>
      <c r="J1341" s="9" t="n">
        <v>0.488</v>
      </c>
      <c r="K1341" s="1" t="inlineStr">
        <is>
          <t>Yes</t>
        </is>
      </c>
      <c r="L1341" s="1" t="inlineStr">
        <is>
          <t>Yes</t>
        </is>
      </c>
      <c r="M1341" s="1" t="inlineStr">
        <is>
          <t>No</t>
        </is>
      </c>
      <c r="N1341" s="1" t="inlineStr">
        <is>
          <t>Algorithms</t>
        </is>
      </c>
      <c r="O13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41" s="13" t="inlineStr">
        <is>
          <t>Done</t>
        </is>
      </c>
    </row>
    <row r="1342" ht="15.75" customHeight="1" s="12">
      <c r="A1342" s="1" t="n">
        <v>1178</v>
      </c>
      <c r="B1342" s="3">
        <f>HYPERLINK("https://leetcode.com/problems/number-of-valid-words-for-each-puzzle/", "Number of Valid Words for Each Puzzle")</f>
        <v/>
      </c>
      <c r="C1342" s="1" t="n">
        <v>1305</v>
      </c>
      <c r="D1342" s="1" t="n">
        <v>89</v>
      </c>
      <c r="E1342" s="4">
        <f>IF(INDEX(C:C, ROW())+INDEX(D:D, ROW())=0, 0, INDEX(C:C, ROW())/(INDEX(C:C, ROW())+INDEX(D:D, ROW())))</f>
        <v/>
      </c>
      <c r="F1342" s="1" t="inlineStr">
        <is>
          <t>Array, Hash Table, String, Bit Manipulation, Trie</t>
        </is>
      </c>
      <c r="G1342" s="1" t="inlineStr">
        <is>
          <t>Hard</t>
        </is>
      </c>
      <c r="H1342" s="1" t="n">
        <v>35148</v>
      </c>
      <c r="I1342" s="1" t="n">
        <v>73477</v>
      </c>
      <c r="J1342" s="9" t="n">
        <v>0.478</v>
      </c>
      <c r="K1342" s="1" t="inlineStr">
        <is>
          <t>Yes</t>
        </is>
      </c>
      <c r="L1342" s="1" t="inlineStr">
        <is>
          <t>Yes</t>
        </is>
      </c>
      <c r="M1342" s="1" t="inlineStr">
        <is>
          <t>No</t>
        </is>
      </c>
      <c r="N1342" s="1" t="inlineStr">
        <is>
          <t>Algorithms</t>
        </is>
      </c>
      <c r="O13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42" s="11" t="inlineStr">
        <is>
          <t>To Do</t>
        </is>
      </c>
    </row>
    <row r="1343" ht="15.75" customHeight="1" s="12">
      <c r="A1343" s="1" t="n">
        <v>2022</v>
      </c>
      <c r="B1343" s="3">
        <f>HYPERLINK("https://leetcode.com/problems/convert-1d-array-into-2d-array/", "Convert 1D Array Into 2D Array")</f>
        <v/>
      </c>
      <c r="C1343" s="1" t="n">
        <v>1304</v>
      </c>
      <c r="D1343" s="1" t="n">
        <v>104</v>
      </c>
      <c r="E1343" s="4">
        <f>IF(INDEX(C:C, ROW())+INDEX(D:D, ROW())=0, 0, INDEX(C:C, ROW())/(INDEX(C:C, ROW())+INDEX(D:D, ROW())))</f>
        <v/>
      </c>
      <c r="F1343" s="1" t="inlineStr">
        <is>
          <t>Array, Matrix, Simulation</t>
        </is>
      </c>
      <c r="G1343" s="1" t="inlineStr">
        <is>
          <t>Easy</t>
        </is>
      </c>
      <c r="H1343" s="1" t="n">
        <v>293988</v>
      </c>
      <c r="I1343" s="1" t="n">
        <v>406965</v>
      </c>
      <c r="J1343" s="9" t="n">
        <v>0.722</v>
      </c>
      <c r="K1343" s="1" t="inlineStr">
        <is>
          <t>Yes</t>
        </is>
      </c>
      <c r="L1343" s="1" t="inlineStr">
        <is>
          <t>Yes</t>
        </is>
      </c>
      <c r="M1343" s="1" t="inlineStr">
        <is>
          <t>No</t>
        </is>
      </c>
      <c r="N1343" s="1" t="inlineStr">
        <is>
          <t>Algorithms</t>
        </is>
      </c>
      <c r="O13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43" s="13" t="inlineStr">
        <is>
          <t>Done</t>
        </is>
      </c>
    </row>
    <row r="1344" ht="15.75" customHeight="1" s="12">
      <c r="A1344" s="1" t="n">
        <v>1568</v>
      </c>
      <c r="B1344" s="3">
        <f>HYPERLINK("https://leetcode.com/problems/minimum-number-of-days-to-disconnect-island/", "Minimum Number of Days to Disconnect Island")</f>
        <v/>
      </c>
      <c r="C1344" s="1" t="n">
        <v>1303</v>
      </c>
      <c r="D1344" s="1" t="n">
        <v>224</v>
      </c>
      <c r="E1344" s="4">
        <f>IF(INDEX(C:C, ROW())+INDEX(D:D, ROW())=0, 0, INDEX(C:C, ROW())/(INDEX(C:C, ROW())+INDEX(D:D, ROW())))</f>
        <v/>
      </c>
      <c r="F1344" s="1" t="inlineStr">
        <is>
          <t>Array, Depth-First Search, Breadth-First Search, Matrix, Strongly Connected Component</t>
        </is>
      </c>
      <c r="G1344" s="1" t="inlineStr">
        <is>
          <t>Hard</t>
        </is>
      </c>
      <c r="H1344" s="1" t="n">
        <v>99384</v>
      </c>
      <c r="I1344" s="1" t="n">
        <v>169227</v>
      </c>
      <c r="J1344" s="9" t="n">
        <v>0.587</v>
      </c>
      <c r="K1344" s="1" t="inlineStr">
        <is>
          <t>Yes</t>
        </is>
      </c>
      <c r="L1344" s="1" t="inlineStr">
        <is>
          <t>Yes</t>
        </is>
      </c>
      <c r="M1344" s="1" t="inlineStr">
        <is>
          <t>No</t>
        </is>
      </c>
      <c r="N1344" s="1" t="inlineStr">
        <is>
          <t>Algorithms</t>
        </is>
      </c>
      <c r="O13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44" s="11" t="inlineStr">
        <is>
          <t>To Do</t>
        </is>
      </c>
    </row>
    <row r="1345" ht="15.75" customHeight="1" s="12">
      <c r="A1345" s="1" t="n">
        <v>1800</v>
      </c>
      <c r="B1345" s="3">
        <f>HYPERLINK("https://leetcode.com/problems/maximum-ascending-subarray-sum/", "Maximum Ascending Subarray Sum")</f>
        <v/>
      </c>
      <c r="C1345" s="1" t="n">
        <v>1299</v>
      </c>
      <c r="D1345" s="1" t="n">
        <v>44</v>
      </c>
      <c r="E1345" s="4">
        <f>IF(INDEX(C:C, ROW())+INDEX(D:D, ROW())=0, 0, INDEX(C:C, ROW())/(INDEX(C:C, ROW())+INDEX(D:D, ROW())))</f>
        <v/>
      </c>
      <c r="F1345" s="1" t="inlineStr">
        <is>
          <t>Array</t>
        </is>
      </c>
      <c r="G1345" s="1" t="inlineStr">
        <is>
          <t>Easy</t>
        </is>
      </c>
      <c r="H1345" s="1" t="n">
        <v>250697</v>
      </c>
      <c r="I1345" s="1" t="n">
        <v>378124</v>
      </c>
      <c r="J1345" s="9" t="n">
        <v>0.663</v>
      </c>
      <c r="K1345" s="1" t="inlineStr">
        <is>
          <t>Yes</t>
        </is>
      </c>
      <c r="L1345" s="1" t="inlineStr">
        <is>
          <t>Yes</t>
        </is>
      </c>
      <c r="M1345" s="1" t="inlineStr">
        <is>
          <t>No</t>
        </is>
      </c>
      <c r="N1345" s="1" t="inlineStr">
        <is>
          <t>Algorithms</t>
        </is>
      </c>
      <c r="O13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45" s="13" t="inlineStr">
        <is>
          <t>Done</t>
        </is>
      </c>
    </row>
    <row r="1346" ht="15.75" customHeight="1" s="12">
      <c r="A1346" s="1" t="n">
        <v>2257</v>
      </c>
      <c r="B1346" s="3">
        <f>HYPERLINK("https://leetcode.com/problems/count-unguarded-cells-in-the-grid/", "Count Unguarded Cells in the Grid")</f>
        <v/>
      </c>
      <c r="C1346" s="1" t="n">
        <v>1298</v>
      </c>
      <c r="D1346" s="1" t="n">
        <v>93</v>
      </c>
      <c r="E1346" s="4">
        <f>IF(INDEX(C:C, ROW())+INDEX(D:D, ROW())=0, 0, INDEX(C:C, ROW())/(INDEX(C:C, ROW())+INDEX(D:D, ROW())))</f>
        <v/>
      </c>
      <c r="F1346" s="1" t="inlineStr">
        <is>
          <t>Array, Matrix, Simulation</t>
        </is>
      </c>
      <c r="G1346" s="1" t="inlineStr">
        <is>
          <t>Medium</t>
        </is>
      </c>
      <c r="H1346" s="1" t="n">
        <v>206673</v>
      </c>
      <c r="I1346" s="1" t="n">
        <v>299643</v>
      </c>
      <c r="J1346" s="9" t="n">
        <v>0.6899999999999999</v>
      </c>
      <c r="K1346" s="1" t="inlineStr">
        <is>
          <t>Yes</t>
        </is>
      </c>
      <c r="L1346" s="1" t="inlineStr">
        <is>
          <t>Yes</t>
        </is>
      </c>
      <c r="M1346" s="1" t="inlineStr">
        <is>
          <t>No</t>
        </is>
      </c>
      <c r="N1346" s="1" t="inlineStr">
        <is>
          <t>Algorithms</t>
        </is>
      </c>
      <c r="O13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46" s="11" t="inlineStr">
        <is>
          <t>To Do</t>
        </is>
      </c>
    </row>
    <row r="1347" ht="15.75" customHeight="1" s="12">
      <c r="A1347" s="1" t="n">
        <v>675</v>
      </c>
      <c r="B1347" s="3">
        <f>HYPERLINK("https://leetcode.com/problems/cut-off-trees-for-golf-event/", "Cut Off Trees for Golf Event")</f>
        <v/>
      </c>
      <c r="C1347" s="1" t="n">
        <v>1296</v>
      </c>
      <c r="D1347" s="1" t="n">
        <v>690</v>
      </c>
      <c r="E1347" s="4">
        <f>IF(INDEX(C:C, ROW())+INDEX(D:D, ROW())=0, 0, INDEX(C:C, ROW())/(INDEX(C:C, ROW())+INDEX(D:D, ROW())))</f>
        <v/>
      </c>
      <c r="F1347" s="1" t="inlineStr">
        <is>
          <t>Array, Breadth-First Search, Heap (Priority Queue), Matrix</t>
        </is>
      </c>
      <c r="G1347" s="1" t="inlineStr">
        <is>
          <t>Hard</t>
        </is>
      </c>
      <c r="H1347" s="1" t="n">
        <v>85145</v>
      </c>
      <c r="I1347" s="1" t="n">
        <v>234026</v>
      </c>
      <c r="J1347" s="9" t="n">
        <v>0.364</v>
      </c>
      <c r="K1347" s="1" t="inlineStr">
        <is>
          <t>Yes</t>
        </is>
      </c>
      <c r="L1347" s="1" t="inlineStr">
        <is>
          <t>No</t>
        </is>
      </c>
      <c r="M1347" s="1" t="inlineStr">
        <is>
          <t>No</t>
        </is>
      </c>
      <c r="N1347" s="1" t="inlineStr">
        <is>
          <t>Algorithms</t>
        </is>
      </c>
      <c r="O13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47" s="11" t="inlineStr">
        <is>
          <t>To Do</t>
        </is>
      </c>
    </row>
    <row r="1348" ht="15.75" customHeight="1" s="12">
      <c r="A1348" s="1" t="n">
        <v>1439</v>
      </c>
      <c r="B1348" s="3">
        <f>HYPERLINK("https://leetcode.com/problems/find-the-kth-smallest-sum-of-a-matrix-with-sorted-rows/", "Find the Kth Smallest Sum of a Matrix With Sorted Rows")</f>
        <v/>
      </c>
      <c r="C1348" s="1" t="n">
        <v>1296</v>
      </c>
      <c r="D1348" s="1" t="n">
        <v>21</v>
      </c>
      <c r="E1348" s="4">
        <f>IF(INDEX(C:C, ROW())+INDEX(D:D, ROW())=0, 0, INDEX(C:C, ROW())/(INDEX(C:C, ROW())+INDEX(D:D, ROW())))</f>
        <v/>
      </c>
      <c r="F1348" s="1" t="inlineStr">
        <is>
          <t>Array, Binary Search, Heap (Priority Queue), Matrix</t>
        </is>
      </c>
      <c r="G1348" s="1" t="inlineStr">
        <is>
          <t>Hard</t>
        </is>
      </c>
      <c r="H1348" s="1" t="n">
        <v>43763</v>
      </c>
      <c r="I1348" s="1" t="n">
        <v>70251</v>
      </c>
      <c r="J1348" s="9" t="n">
        <v>0.623</v>
      </c>
      <c r="K1348" s="1" t="inlineStr">
        <is>
          <t>Yes</t>
        </is>
      </c>
      <c r="L1348" s="1" t="inlineStr">
        <is>
          <t>No</t>
        </is>
      </c>
      <c r="M1348" s="1" t="inlineStr">
        <is>
          <t>No</t>
        </is>
      </c>
      <c r="N1348" s="1" t="inlineStr">
        <is>
          <t>Algorithms</t>
        </is>
      </c>
      <c r="O13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48" s="11" t="inlineStr">
        <is>
          <t>To Do</t>
        </is>
      </c>
    </row>
    <row r="1349" ht="15.75" customHeight="1" s="12">
      <c r="A1349" s="1" t="n">
        <v>243</v>
      </c>
      <c r="B1349" s="3">
        <f>HYPERLINK("https://leetcode.com/problems/shortest-word-distance/", "Shortest Word Distance")</f>
        <v/>
      </c>
      <c r="C1349" s="1" t="n">
        <v>1294</v>
      </c>
      <c r="D1349" s="1" t="n">
        <v>129</v>
      </c>
      <c r="E1349" s="4">
        <f>IF(INDEX(C:C, ROW())+INDEX(D:D, ROW())=0, 0, INDEX(C:C, ROW())/(INDEX(C:C, ROW())+INDEX(D:D, ROW())))</f>
        <v/>
      </c>
      <c r="F1349" s="1" t="inlineStr">
        <is>
          <t>Array, String</t>
        </is>
      </c>
      <c r="G1349" s="1" t="inlineStr">
        <is>
          <t>Easy</t>
        </is>
      </c>
      <c r="H1349" s="1" t="n">
        <v>245980</v>
      </c>
      <c r="I1349" s="1" t="n">
        <v>370855</v>
      </c>
      <c r="J1349" s="9" t="n">
        <v>0.663</v>
      </c>
      <c r="K1349" s="1" t="inlineStr">
        <is>
          <t>No</t>
        </is>
      </c>
      <c r="L1349" s="1" t="inlineStr">
        <is>
          <t>Yes</t>
        </is>
      </c>
      <c r="M1349" s="1" t="inlineStr">
        <is>
          <t>No</t>
        </is>
      </c>
      <c r="N1349" s="1" t="inlineStr">
        <is>
          <t>Algorithms</t>
        </is>
      </c>
      <c r="O13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49" s="13" t="inlineStr">
        <is>
          <t>Done</t>
        </is>
      </c>
    </row>
    <row r="1350" ht="15.75" customHeight="1" s="12">
      <c r="A1350" s="1" t="n">
        <v>1234</v>
      </c>
      <c r="B1350" s="3">
        <f>HYPERLINK("https://leetcode.com/problems/replace-the-substring-for-balanced-string/", "Replace the Substring for Balanced String")</f>
        <v/>
      </c>
      <c r="C1350" s="1" t="n">
        <v>1291</v>
      </c>
      <c r="D1350" s="1" t="n">
        <v>225</v>
      </c>
      <c r="E1350" s="4">
        <f>IF(INDEX(C:C, ROW())+INDEX(D:D, ROW())=0, 0, INDEX(C:C, ROW())/(INDEX(C:C, ROW())+INDEX(D:D, ROW())))</f>
        <v/>
      </c>
      <c r="F1350" s="1" t="inlineStr">
        <is>
          <t>String, Sliding Window</t>
        </is>
      </c>
      <c r="G1350" s="1" t="inlineStr">
        <is>
          <t>Medium</t>
        </is>
      </c>
      <c r="H1350" s="1" t="n">
        <v>48237</v>
      </c>
      <c r="I1350" s="1" t="n">
        <v>118023</v>
      </c>
      <c r="J1350" s="9" t="n">
        <v>0.409</v>
      </c>
      <c r="K1350" s="1" t="inlineStr">
        <is>
          <t>Yes</t>
        </is>
      </c>
      <c r="L1350" s="1" t="inlineStr">
        <is>
          <t>No</t>
        </is>
      </c>
      <c r="M1350" s="1" t="inlineStr">
        <is>
          <t>No</t>
        </is>
      </c>
      <c r="N1350" s="1" t="inlineStr">
        <is>
          <t>Algorithms</t>
        </is>
      </c>
      <c r="O13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50" s="11" t="inlineStr">
        <is>
          <t>To Do</t>
        </is>
      </c>
    </row>
    <row r="1351" ht="15.75" customHeight="1" s="12">
      <c r="A1351" s="1" t="n">
        <v>1824</v>
      </c>
      <c r="B1351" s="3">
        <f>HYPERLINK("https://leetcode.com/problems/minimum-sideway-jumps/", "Minimum Sideway Jumps")</f>
        <v/>
      </c>
      <c r="C1351" s="1" t="n">
        <v>1284</v>
      </c>
      <c r="D1351" s="1" t="n">
        <v>51</v>
      </c>
      <c r="E1351" s="4">
        <f>IF(INDEX(C:C, ROW())+INDEX(D:D, ROW())=0, 0, INDEX(C:C, ROW())/(INDEX(C:C, ROW())+INDEX(D:D, ROW())))</f>
        <v/>
      </c>
      <c r="F1351" s="1" t="inlineStr">
        <is>
          <t>Array, Dynamic Programming, Greedy</t>
        </is>
      </c>
      <c r="G1351" s="1" t="inlineStr">
        <is>
          <t>Medium</t>
        </is>
      </c>
      <c r="H1351" s="1" t="n">
        <v>59063</v>
      </c>
      <c r="I1351" s="1" t="n">
        <v>114429</v>
      </c>
      <c r="J1351" s="9" t="n">
        <v>0.516</v>
      </c>
      <c r="K1351" s="1" t="inlineStr">
        <is>
          <t>Yes</t>
        </is>
      </c>
      <c r="L1351" s="1" t="inlineStr">
        <is>
          <t>No</t>
        </is>
      </c>
      <c r="M1351" s="1" t="inlineStr">
        <is>
          <t>No</t>
        </is>
      </c>
      <c r="N1351" s="1" t="inlineStr">
        <is>
          <t>Algorithms</t>
        </is>
      </c>
      <c r="O13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51" s="11" t="inlineStr">
        <is>
          <t>To Do</t>
        </is>
      </c>
    </row>
    <row r="1352" ht="15.75" customHeight="1" s="12">
      <c r="A1352" s="1" t="n">
        <v>2816</v>
      </c>
      <c r="B1352" s="3">
        <f>HYPERLINK("https://leetcode.com/problems/double-a-number-represented-as-a-linked-list/", "Double a Number Represented as a Linked List")</f>
        <v/>
      </c>
      <c r="C1352" s="1" t="n">
        <v>1284</v>
      </c>
      <c r="D1352" s="1" t="n">
        <v>32</v>
      </c>
      <c r="E1352" s="4">
        <f>IF(INDEX(C:C, ROW())+INDEX(D:D, ROW())=0, 0, INDEX(C:C, ROW())/(INDEX(C:C, ROW())+INDEX(D:D, ROW())))</f>
        <v/>
      </c>
      <c r="F1352" s="1" t="inlineStr">
        <is>
          <t>Linked List, Math, Stack</t>
        </is>
      </c>
      <c r="G1352" s="1" t="inlineStr">
        <is>
          <t>Medium</t>
        </is>
      </c>
      <c r="H1352" s="1" t="n">
        <v>202651</v>
      </c>
      <c r="I1352" s="1" t="n">
        <v>330808</v>
      </c>
      <c r="J1352" s="9" t="n">
        <v>0.613</v>
      </c>
      <c r="K1352" s="1" t="inlineStr">
        <is>
          <t>Yes</t>
        </is>
      </c>
      <c r="L1352" s="1" t="inlineStr">
        <is>
          <t>Yes</t>
        </is>
      </c>
      <c r="M1352" s="1" t="inlineStr">
        <is>
          <t>No</t>
        </is>
      </c>
      <c r="N1352" s="1" t="inlineStr">
        <is>
          <t>Algorithms</t>
        </is>
      </c>
      <c r="O13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52" s="11" t="inlineStr">
        <is>
          <t>To Do</t>
        </is>
      </c>
    </row>
    <row r="1353" ht="15.75" customHeight="1" s="12">
      <c r="A1353" s="1" t="n">
        <v>2034</v>
      </c>
      <c r="B1353" s="3">
        <f>HYPERLINK("https://leetcode.com/problems/stock-price-fluctuation/", "Stock Price Fluctuation ")</f>
        <v/>
      </c>
      <c r="C1353" s="1" t="n">
        <v>1283</v>
      </c>
      <c r="D1353" s="1" t="n">
        <v>71</v>
      </c>
      <c r="E1353" s="4">
        <f>IF(INDEX(C:C, ROW())+INDEX(D:D, ROW())=0, 0, INDEX(C:C, ROW())/(INDEX(C:C, ROW())+INDEX(D:D, ROW())))</f>
        <v/>
      </c>
      <c r="F1353" s="1" t="inlineStr">
        <is>
          <t>Hash Table, Design, Heap (Priority Queue), Data Stream, Ordered Set</t>
        </is>
      </c>
      <c r="G1353" s="1" t="inlineStr">
        <is>
          <t>Medium</t>
        </is>
      </c>
      <c r="H1353" s="1" t="n">
        <v>99296</v>
      </c>
      <c r="I1353" s="1" t="n">
        <v>202615</v>
      </c>
      <c r="J1353" s="9" t="n">
        <v>0.49</v>
      </c>
      <c r="K1353" s="1" t="inlineStr">
        <is>
          <t>Yes</t>
        </is>
      </c>
      <c r="L1353" s="1" t="inlineStr">
        <is>
          <t>Yes</t>
        </is>
      </c>
      <c r="M1353" s="1" t="inlineStr">
        <is>
          <t>No</t>
        </is>
      </c>
      <c r="N1353" s="1" t="inlineStr">
        <is>
          <t>Algorithms</t>
        </is>
      </c>
      <c r="O13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53" s="11" t="inlineStr">
        <is>
          <t>To Do</t>
        </is>
      </c>
    </row>
    <row r="1354" ht="15.75" customHeight="1" s="12">
      <c r="A1354" s="1" t="n">
        <v>2685</v>
      </c>
      <c r="B1354" s="3">
        <f>HYPERLINK("https://leetcode.com/problems/count-the-number-of-complete-components/", "Count the Number of Complete Components")</f>
        <v/>
      </c>
      <c r="C1354" s="1" t="n">
        <v>1283</v>
      </c>
      <c r="D1354" s="1" t="n">
        <v>32</v>
      </c>
      <c r="E1354" s="4">
        <f>IF(INDEX(C:C, ROW())+INDEX(D:D, ROW())=0, 0, INDEX(C:C, ROW())/(INDEX(C:C, ROW())+INDEX(D:D, ROW())))</f>
        <v/>
      </c>
      <c r="F1354" s="1" t="inlineStr">
        <is>
          <t>Depth-First Search, Breadth-First Search, Union-Find, Graph Theory</t>
        </is>
      </c>
      <c r="G1354" s="1" t="inlineStr">
        <is>
          <t>Medium</t>
        </is>
      </c>
      <c r="H1354" s="1" t="n">
        <v>161061</v>
      </c>
      <c r="I1354" s="1" t="n">
        <v>207104</v>
      </c>
      <c r="J1354" s="9" t="n">
        <v>0.778</v>
      </c>
      <c r="K1354" s="1" t="inlineStr">
        <is>
          <t>Yes</t>
        </is>
      </c>
      <c r="L1354" s="1" t="inlineStr">
        <is>
          <t>Yes</t>
        </is>
      </c>
      <c r="M1354" s="1" t="inlineStr">
        <is>
          <t>No</t>
        </is>
      </c>
      <c r="N1354" s="1" t="inlineStr">
        <is>
          <t>Algorithms</t>
        </is>
      </c>
      <c r="O13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54" s="11" t="inlineStr">
        <is>
          <t>To Do</t>
        </is>
      </c>
    </row>
    <row r="1355" ht="15.75" customHeight="1" s="12">
      <c r="A1355" s="1" t="n">
        <v>306</v>
      </c>
      <c r="B1355" s="3">
        <f>HYPERLINK("https://leetcode.com/problems/additive-number/", "Additive Number")</f>
        <v/>
      </c>
      <c r="C1355" s="1" t="n">
        <v>1282</v>
      </c>
      <c r="D1355" s="1" t="n">
        <v>829</v>
      </c>
      <c r="E1355" s="4">
        <f>IF(INDEX(C:C, ROW())+INDEX(D:D, ROW())=0, 0, INDEX(C:C, ROW())/(INDEX(C:C, ROW())+INDEX(D:D, ROW())))</f>
        <v/>
      </c>
      <c r="F1355" s="1" t="inlineStr">
        <is>
          <t>String, Backtracking</t>
        </is>
      </c>
      <c r="G1355" s="1" t="inlineStr">
        <is>
          <t>Medium</t>
        </is>
      </c>
      <c r="H1355" s="1" t="n">
        <v>119970</v>
      </c>
      <c r="I1355" s="1" t="n">
        <v>355011</v>
      </c>
      <c r="J1355" s="9" t="n">
        <v>0.338</v>
      </c>
      <c r="K1355" s="1" t="inlineStr">
        <is>
          <t>Yes</t>
        </is>
      </c>
      <c r="L1355" s="1" t="inlineStr">
        <is>
          <t>No</t>
        </is>
      </c>
      <c r="M1355" s="1" t="inlineStr">
        <is>
          <t>No</t>
        </is>
      </c>
      <c r="N1355" s="1" t="inlineStr">
        <is>
          <t>Algorithms</t>
        </is>
      </c>
      <c r="O13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55" s="11" t="inlineStr">
        <is>
          <t>To Do</t>
        </is>
      </c>
    </row>
    <row r="1356" ht="15.75" customHeight="1" s="12">
      <c r="A1356" s="1" t="n">
        <v>1887</v>
      </c>
      <c r="B1356" s="3">
        <f>HYPERLINK("https://leetcode.com/problems/reduction-operations-to-make-the-array-elements-equal/", "Reduction Operations to Make the Array Elements Equal")</f>
        <v/>
      </c>
      <c r="C1356" s="1" t="n">
        <v>1282</v>
      </c>
      <c r="D1356" s="1" t="n">
        <v>52</v>
      </c>
      <c r="E1356" s="4">
        <f>IF(INDEX(C:C, ROW())+INDEX(D:D, ROW())=0, 0, INDEX(C:C, ROW())/(INDEX(C:C, ROW())+INDEX(D:D, ROW())))</f>
        <v/>
      </c>
      <c r="F1356" s="1" t="inlineStr">
        <is>
          <t>Array, Sorting</t>
        </is>
      </c>
      <c r="G1356" s="1" t="inlineStr">
        <is>
          <t>Medium</t>
        </is>
      </c>
      <c r="H1356" s="1" t="n">
        <v>110680</v>
      </c>
      <c r="I1356" s="1" t="n">
        <v>152623</v>
      </c>
      <c r="J1356" s="9" t="n">
        <v>0.725</v>
      </c>
      <c r="K1356" s="1" t="inlineStr">
        <is>
          <t>Yes</t>
        </is>
      </c>
      <c r="L1356" s="1" t="inlineStr">
        <is>
          <t>Yes</t>
        </is>
      </c>
      <c r="M1356" s="1" t="inlineStr">
        <is>
          <t>No</t>
        </is>
      </c>
      <c r="N1356" s="1" t="inlineStr">
        <is>
          <t>Algorithms</t>
        </is>
      </c>
      <c r="O13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56" s="11" t="inlineStr">
        <is>
          <t>To Do</t>
        </is>
      </c>
    </row>
    <row r="1357" ht="15.75" customHeight="1" s="12">
      <c r="A1357" s="1" t="n">
        <v>1151</v>
      </c>
      <c r="B1357" s="3">
        <f>HYPERLINK("https://leetcode.com/problems/minimum-swaps-to-group-all-1s-together/", "Minimum Swaps to Group All 1's Together")</f>
        <v/>
      </c>
      <c r="C1357" s="1" t="n">
        <v>1279</v>
      </c>
      <c r="D1357" s="1" t="n">
        <v>18</v>
      </c>
      <c r="E1357" s="4">
        <f>IF(INDEX(C:C, ROW())+INDEX(D:D, ROW())=0, 0, INDEX(C:C, ROW())/(INDEX(C:C, ROW())+INDEX(D:D, ROW())))</f>
        <v/>
      </c>
      <c r="F1357" s="1" t="inlineStr">
        <is>
          <t>Array, Sliding Window</t>
        </is>
      </c>
      <c r="G1357" s="1" t="inlineStr">
        <is>
          <t>Medium</t>
        </is>
      </c>
      <c r="H1357" s="1" t="n">
        <v>88814</v>
      </c>
      <c r="I1357" s="1" t="n">
        <v>145037</v>
      </c>
      <c r="J1357" s="9" t="n">
        <v>0.612</v>
      </c>
      <c r="K1357" s="1" t="inlineStr">
        <is>
          <t>No</t>
        </is>
      </c>
      <c r="L1357" s="1" t="inlineStr">
        <is>
          <t>Yes</t>
        </is>
      </c>
      <c r="M1357" s="1" t="inlineStr">
        <is>
          <t>Yes</t>
        </is>
      </c>
      <c r="N1357" s="1" t="inlineStr">
        <is>
          <t>Algorithms</t>
        </is>
      </c>
      <c r="O13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57" s="11" t="inlineStr">
        <is>
          <t>To Do</t>
        </is>
      </c>
    </row>
    <row r="1358" ht="15.75" customHeight="1" s="12">
      <c r="A1358" s="1" t="n">
        <v>2281</v>
      </c>
      <c r="B1358" s="3">
        <f>HYPERLINK("https://leetcode.com/problems/sum-of-total-strength-of-wizards/", "Sum of Total Strength of Wizards")</f>
        <v/>
      </c>
      <c r="C1358" s="1" t="n">
        <v>1277</v>
      </c>
      <c r="D1358" s="1" t="n">
        <v>112</v>
      </c>
      <c r="E1358" s="4">
        <f>IF(INDEX(C:C, ROW())+INDEX(D:D, ROW())=0, 0, INDEX(C:C, ROW())/(INDEX(C:C, ROW())+INDEX(D:D, ROW())))</f>
        <v/>
      </c>
      <c r="F1358" s="1" t="inlineStr">
        <is>
          <t>Array, Stack, Monotonic Stack, Prefix Sum</t>
        </is>
      </c>
      <c r="G1358" s="1" t="inlineStr">
        <is>
          <t>Hard</t>
        </is>
      </c>
      <c r="H1358" s="1" t="n">
        <v>25722</v>
      </c>
      <c r="I1358" s="1" t="n">
        <v>87799</v>
      </c>
      <c r="J1358" s="9" t="n">
        <v>0.293</v>
      </c>
      <c r="K1358" s="1" t="inlineStr">
        <is>
          <t>Yes</t>
        </is>
      </c>
      <c r="L1358" s="1" t="inlineStr">
        <is>
          <t>Yes</t>
        </is>
      </c>
      <c r="M1358" s="1" t="inlineStr">
        <is>
          <t>No</t>
        </is>
      </c>
      <c r="N1358" s="1" t="inlineStr">
        <is>
          <t>Algorithms</t>
        </is>
      </c>
      <c r="O13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58" s="11" t="inlineStr">
        <is>
          <t>To Do</t>
        </is>
      </c>
    </row>
    <row r="1359" ht="15.75" customHeight="1" s="12">
      <c r="A1359" s="1" t="n">
        <v>2182</v>
      </c>
      <c r="B1359" s="3">
        <f>HYPERLINK("https://leetcode.com/problems/construct-string-with-repeat-limit/", "Construct String With Repeat Limit")</f>
        <v/>
      </c>
      <c r="C1359" s="1" t="n">
        <v>1276</v>
      </c>
      <c r="D1359" s="1" t="n">
        <v>103</v>
      </c>
      <c r="E1359" s="4">
        <f>IF(INDEX(C:C, ROW())+INDEX(D:D, ROW())=0, 0, INDEX(C:C, ROW())/(INDEX(C:C, ROW())+INDEX(D:D, ROW())))</f>
        <v/>
      </c>
      <c r="F1359" s="1" t="inlineStr">
        <is>
          <t>Hash Table, String, Greedy, Heap (Priority Queue), Counting</t>
        </is>
      </c>
      <c r="G1359" s="1" t="inlineStr">
        <is>
          <t>Medium</t>
        </is>
      </c>
      <c r="H1359" s="1" t="n">
        <v>130604</v>
      </c>
      <c r="I1359" s="1" t="n">
        <v>184479</v>
      </c>
      <c r="J1359" s="9" t="n">
        <v>0.708</v>
      </c>
      <c r="K1359" s="1" t="inlineStr">
        <is>
          <t>Yes</t>
        </is>
      </c>
      <c r="L1359" s="1" t="inlineStr">
        <is>
          <t>Yes</t>
        </is>
      </c>
      <c r="M1359" s="1" t="inlineStr">
        <is>
          <t>No</t>
        </is>
      </c>
      <c r="N1359" s="1" t="inlineStr">
        <is>
          <t>Algorithms</t>
        </is>
      </c>
      <c r="O13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59" s="11" t="inlineStr">
        <is>
          <t>To Do</t>
        </is>
      </c>
    </row>
    <row r="1360" ht="15.75" customHeight="1" s="12">
      <c r="A1360" s="1" t="n">
        <v>1701</v>
      </c>
      <c r="B1360" s="3">
        <f>HYPERLINK("https://leetcode.com/problems/average-waiting-time/", "Average Waiting Time")</f>
        <v/>
      </c>
      <c r="C1360" s="1" t="n">
        <v>1275</v>
      </c>
      <c r="D1360" s="1" t="n">
        <v>102</v>
      </c>
      <c r="E1360" s="4">
        <f>IF(INDEX(C:C, ROW())+INDEX(D:D, ROW())=0, 0, INDEX(C:C, ROW())/(INDEX(C:C, ROW())+INDEX(D:D, ROW())))</f>
        <v/>
      </c>
      <c r="F1360" s="1" t="inlineStr">
        <is>
          <t>Array, Simulation</t>
        </is>
      </c>
      <c r="G1360" s="1" t="inlineStr">
        <is>
          <t>Medium</t>
        </is>
      </c>
      <c r="H1360" s="1" t="n">
        <v>221022</v>
      </c>
      <c r="I1360" s="1" t="n">
        <v>302473</v>
      </c>
      <c r="J1360" s="9" t="n">
        <v>0.731</v>
      </c>
      <c r="K1360" s="1" t="inlineStr">
        <is>
          <t>Yes</t>
        </is>
      </c>
      <c r="L1360" s="1" t="inlineStr">
        <is>
          <t>Yes</t>
        </is>
      </c>
      <c r="M1360" s="1" t="inlineStr">
        <is>
          <t>No</t>
        </is>
      </c>
      <c r="N1360" s="1" t="inlineStr">
        <is>
          <t>Algorithms</t>
        </is>
      </c>
      <c r="O13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60" s="11" t="inlineStr">
        <is>
          <t>To Do</t>
        </is>
      </c>
    </row>
    <row r="1361" ht="15.75" customHeight="1" s="12">
      <c r="A1361" s="1" t="n">
        <v>2779</v>
      </c>
      <c r="B1361" s="3">
        <f>HYPERLINK("https://leetcode.com/problems/maximum-beauty-of-an-array-after-applying-operation/", "Maximum Beauty of an Array After Applying Operation")</f>
        <v/>
      </c>
      <c r="C1361" s="1" t="n">
        <v>1275</v>
      </c>
      <c r="D1361" s="1" t="n">
        <v>48</v>
      </c>
      <c r="E1361" s="4">
        <f>IF(INDEX(C:C, ROW())+INDEX(D:D, ROW())=0, 0, INDEX(C:C, ROW())/(INDEX(C:C, ROW())+INDEX(D:D, ROW())))</f>
        <v/>
      </c>
      <c r="F1361" s="1" t="inlineStr">
        <is>
          <t>Array, Binary Search, Sliding Window, Sorting</t>
        </is>
      </c>
      <c r="G1361" s="1" t="inlineStr">
        <is>
          <t>Medium</t>
        </is>
      </c>
      <c r="H1361" s="1" t="n">
        <v>132895</v>
      </c>
      <c r="I1361" s="1" t="n">
        <v>227578</v>
      </c>
      <c r="J1361" s="9" t="n">
        <v>0.584</v>
      </c>
      <c r="K1361" s="1" t="inlineStr">
        <is>
          <t>Yes</t>
        </is>
      </c>
      <c r="L1361" s="1" t="inlineStr">
        <is>
          <t>Yes</t>
        </is>
      </c>
      <c r="M1361" s="1" t="inlineStr">
        <is>
          <t>No</t>
        </is>
      </c>
      <c r="N1361" s="1" t="inlineStr">
        <is>
          <t>Algorithms</t>
        </is>
      </c>
      <c r="O13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61" s="11" t="inlineStr">
        <is>
          <t>To Do</t>
        </is>
      </c>
    </row>
    <row r="1362" ht="15.75" customHeight="1" s="12">
      <c r="A1362" s="1" t="n">
        <v>1174</v>
      </c>
      <c r="B1362" s="3">
        <f>HYPERLINK("https://leetcode.com/problems/immediate-food-delivery-ii/", "Immediate Food Delivery II")</f>
        <v/>
      </c>
      <c r="C1362" s="1" t="n">
        <v>1272</v>
      </c>
      <c r="D1362" s="1" t="n">
        <v>175</v>
      </c>
      <c r="E1362" s="4">
        <f>IF(INDEX(C:C, ROW())+INDEX(D:D, ROW())=0, 0, INDEX(C:C, ROW())/(INDEX(C:C, ROW())+INDEX(D:D, ROW())))</f>
        <v/>
      </c>
      <c r="F1362" s="1" t="inlineStr">
        <is>
          <t>Database</t>
        </is>
      </c>
      <c r="G1362" s="1" t="inlineStr">
        <is>
          <t>Medium</t>
        </is>
      </c>
      <c r="H1362" s="1" t="n">
        <v>455774</v>
      </c>
      <c r="I1362" s="1" t="n">
        <v>814230</v>
      </c>
      <c r="J1362" s="9" t="n">
        <v>0.5600000000000001</v>
      </c>
      <c r="K1362" s="1" t="inlineStr">
        <is>
          <t>Yes</t>
        </is>
      </c>
      <c r="L1362" s="1" t="inlineStr">
        <is>
          <t>No</t>
        </is>
      </c>
      <c r="M1362" s="1" t="inlineStr">
        <is>
          <t>No</t>
        </is>
      </c>
      <c r="N1362" s="1" t="inlineStr">
        <is>
          <t>Database</t>
        </is>
      </c>
      <c r="O13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62" s="11" t="inlineStr">
        <is>
          <t>To Do</t>
        </is>
      </c>
    </row>
    <row r="1363" ht="15.75" customHeight="1" s="12">
      <c r="A1363" s="1" t="n">
        <v>1541</v>
      </c>
      <c r="B1363" s="3">
        <f>HYPERLINK("https://leetcode.com/problems/minimum-insertions-to-balance-a-parentheses-string/", "Minimum Insertions to Balance a Parentheses String")</f>
        <v/>
      </c>
      <c r="C1363" s="1" t="n">
        <v>1272</v>
      </c>
      <c r="D1363" s="1" t="n">
        <v>298</v>
      </c>
      <c r="E1363" s="4">
        <f>IF(INDEX(C:C, ROW())+INDEX(D:D, ROW())=0, 0, INDEX(C:C, ROW())/(INDEX(C:C, ROW())+INDEX(D:D, ROW())))</f>
        <v/>
      </c>
      <c r="F1363" s="1" t="inlineStr">
        <is>
          <t>String, Stack, Greedy</t>
        </is>
      </c>
      <c r="G1363" s="1" t="inlineStr">
        <is>
          <t>Medium</t>
        </is>
      </c>
      <c r="H1363" s="1" t="n">
        <v>83398</v>
      </c>
      <c r="I1363" s="1" t="n">
        <v>155897</v>
      </c>
      <c r="J1363" s="9" t="n">
        <v>0.535</v>
      </c>
      <c r="K1363" s="1" t="inlineStr">
        <is>
          <t>Yes</t>
        </is>
      </c>
      <c r="L1363" s="1" t="inlineStr">
        <is>
          <t>No</t>
        </is>
      </c>
      <c r="M1363" s="1" t="inlineStr">
        <is>
          <t>No</t>
        </is>
      </c>
      <c r="N1363" s="1" t="inlineStr">
        <is>
          <t>Algorithms</t>
        </is>
      </c>
      <c r="O13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63" s="11" t="inlineStr">
        <is>
          <t>To Do</t>
        </is>
      </c>
    </row>
    <row r="1364" ht="15.75" customHeight="1" s="12">
      <c r="A1364" s="1" t="n">
        <v>1691</v>
      </c>
      <c r="B1364" s="3">
        <f>HYPERLINK("https://leetcode.com/problems/maximum-height-by-stacking-cuboids/", "Maximum Height by Stacking Cuboids ")</f>
        <v/>
      </c>
      <c r="C1364" s="1" t="n">
        <v>1271</v>
      </c>
      <c r="D1364" s="1" t="n">
        <v>35</v>
      </c>
      <c r="E1364" s="4">
        <f>IF(INDEX(C:C, ROW())+INDEX(D:D, ROW())=0, 0, INDEX(C:C, ROW())/(INDEX(C:C, ROW())+INDEX(D:D, ROW())))</f>
        <v/>
      </c>
      <c r="F1364" s="1" t="inlineStr">
        <is>
          <t>Array, Dynamic Programming, Sorting</t>
        </is>
      </c>
      <c r="G1364" s="1" t="inlineStr">
        <is>
          <t>Hard</t>
        </is>
      </c>
      <c r="H1364" s="1" t="n">
        <v>45699</v>
      </c>
      <c r="I1364" s="1" t="n">
        <v>73750</v>
      </c>
      <c r="J1364" s="9" t="n">
        <v>0.62</v>
      </c>
      <c r="K1364" s="1" t="inlineStr">
        <is>
          <t>Yes</t>
        </is>
      </c>
      <c r="L1364" s="1" t="inlineStr">
        <is>
          <t>No</t>
        </is>
      </c>
      <c r="M1364" s="1" t="inlineStr">
        <is>
          <t>No</t>
        </is>
      </c>
      <c r="N1364" s="1" t="inlineStr">
        <is>
          <t>Algorithms</t>
        </is>
      </c>
      <c r="O13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64" s="11" t="inlineStr">
        <is>
          <t>To Do</t>
        </is>
      </c>
    </row>
    <row r="1365" ht="15.75" customHeight="1" s="12">
      <c r="A1365" s="1" t="n">
        <v>2070</v>
      </c>
      <c r="B1365" s="3">
        <f>HYPERLINK("https://leetcode.com/problems/most-beautiful-item-for-each-query/", "Most Beautiful Item for Each Query")</f>
        <v/>
      </c>
      <c r="C1365" s="1" t="n">
        <v>1271</v>
      </c>
      <c r="D1365" s="1" t="n">
        <v>45</v>
      </c>
      <c r="E1365" s="4">
        <f>IF(INDEX(C:C, ROW())+INDEX(D:D, ROW())=0, 0, INDEX(C:C, ROW())/(INDEX(C:C, ROW())+INDEX(D:D, ROW())))</f>
        <v/>
      </c>
      <c r="F1365" s="1" t="inlineStr">
        <is>
          <t>Array, Binary Search, Sorting</t>
        </is>
      </c>
      <c r="G1365" s="1" t="inlineStr">
        <is>
          <t>Medium</t>
        </is>
      </c>
      <c r="H1365" s="1" t="n">
        <v>130846</v>
      </c>
      <c r="I1365" s="1" t="n">
        <v>210811</v>
      </c>
      <c r="J1365" s="9" t="n">
        <v>0.621</v>
      </c>
      <c r="K1365" s="1" t="inlineStr">
        <is>
          <t>Yes</t>
        </is>
      </c>
      <c r="L1365" s="1" t="inlineStr">
        <is>
          <t>Yes</t>
        </is>
      </c>
      <c r="M1365" s="1" t="inlineStr">
        <is>
          <t>No</t>
        </is>
      </c>
      <c r="N1365" s="1" t="inlineStr">
        <is>
          <t>Algorithms</t>
        </is>
      </c>
      <c r="O13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65" s="11" t="inlineStr">
        <is>
          <t>To Do</t>
        </is>
      </c>
    </row>
    <row r="1366" ht="15.75" customHeight="1" s="12">
      <c r="A1366" s="1" t="n">
        <v>1829</v>
      </c>
      <c r="B1366" s="3">
        <f>HYPERLINK("https://leetcode.com/problems/maximum-xor-for-each-query/", "Maximum XOR for Each Query")</f>
        <v/>
      </c>
      <c r="C1366" s="1" t="n">
        <v>1269</v>
      </c>
      <c r="D1366" s="1" t="n">
        <v>194</v>
      </c>
      <c r="E1366" s="4">
        <f>IF(INDEX(C:C, ROW())+INDEX(D:D, ROW())=0, 0, INDEX(C:C, ROW())/(INDEX(C:C, ROW())+INDEX(D:D, ROW())))</f>
        <v/>
      </c>
      <c r="F1366" s="1" t="inlineStr">
        <is>
          <t>Array, Bit Manipulation, Prefix Sum</t>
        </is>
      </c>
      <c r="G1366" s="1" t="inlineStr">
        <is>
          <t>Medium</t>
        </is>
      </c>
      <c r="H1366" s="1" t="n">
        <v>145419</v>
      </c>
      <c r="I1366" s="1" t="n">
        <v>171759</v>
      </c>
      <c r="J1366" s="9" t="n">
        <v>0.847</v>
      </c>
      <c r="K1366" s="1" t="inlineStr">
        <is>
          <t>Yes</t>
        </is>
      </c>
      <c r="L1366" s="1" t="inlineStr">
        <is>
          <t>Yes</t>
        </is>
      </c>
      <c r="M1366" s="1" t="inlineStr">
        <is>
          <t>No</t>
        </is>
      </c>
      <c r="N1366" s="1" t="inlineStr">
        <is>
          <t>Algorithms</t>
        </is>
      </c>
      <c r="O13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66" s="11" t="inlineStr">
        <is>
          <t>To Do</t>
        </is>
      </c>
    </row>
    <row r="1367" ht="15.75" customHeight="1" s="12">
      <c r="A1367" s="1" t="n">
        <v>255</v>
      </c>
      <c r="B1367" s="3">
        <f>HYPERLINK("https://leetcode.com/problems/verify-preorder-sequence-in-binary-search-tree/", "Verify Preorder Sequence in Binary Search Tree")</f>
        <v/>
      </c>
      <c r="C1367" s="1" t="n">
        <v>1267</v>
      </c>
      <c r="D1367" s="1" t="n">
        <v>90</v>
      </c>
      <c r="E1367" s="4">
        <f>IF(INDEX(C:C, ROW())+INDEX(D:D, ROW())=0, 0, INDEX(C:C, ROW())/(INDEX(C:C, ROW())+INDEX(D:D, ROW())))</f>
        <v/>
      </c>
      <c r="F1367" s="1" t="inlineStr">
        <is>
          <t>Array, Stack, Tree, Binary Search Tree, Recursion, Monotonic Stack, Binary Tree</t>
        </is>
      </c>
      <c r="G1367" s="1" t="inlineStr">
        <is>
          <t>Medium</t>
        </is>
      </c>
      <c r="H1367" s="1" t="n">
        <v>94277</v>
      </c>
      <c r="I1367" s="1" t="n">
        <v>182159</v>
      </c>
      <c r="J1367" s="9" t="n">
        <v>0.518</v>
      </c>
      <c r="K1367" s="1" t="inlineStr">
        <is>
          <t>No</t>
        </is>
      </c>
      <c r="L1367" s="1" t="inlineStr">
        <is>
          <t>Yes</t>
        </is>
      </c>
      <c r="M1367" s="1" t="inlineStr">
        <is>
          <t>No</t>
        </is>
      </c>
      <c r="N1367" s="1" t="inlineStr">
        <is>
          <t>Algorithms</t>
        </is>
      </c>
      <c r="O13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67" s="11" t="inlineStr">
        <is>
          <t>To Do</t>
        </is>
      </c>
    </row>
    <row r="1368" ht="15.75" customHeight="1" s="12">
      <c r="A1368" s="1" t="n">
        <v>2574</v>
      </c>
      <c r="B1368" s="3">
        <f>HYPERLINK("https://leetcode.com/problems/left-and-right-sum-differences/", "Left and Right Sum Differences")</f>
        <v/>
      </c>
      <c r="C1368" s="1" t="n">
        <v>1261</v>
      </c>
      <c r="D1368" s="1" t="n">
        <v>115</v>
      </c>
      <c r="E1368" s="4">
        <f>IF(INDEX(C:C, ROW())+INDEX(D:D, ROW())=0, 0, INDEX(C:C, ROW())/(INDEX(C:C, ROW())+INDEX(D:D, ROW())))</f>
        <v/>
      </c>
      <c r="F1368" s="1" t="inlineStr">
        <is>
          <t>Array, Prefix Sum</t>
        </is>
      </c>
      <c r="G1368" s="1" t="inlineStr">
        <is>
          <t>Easy</t>
        </is>
      </c>
      <c r="H1368" s="1" t="n">
        <v>227051</v>
      </c>
      <c r="I1368" s="1" t="n">
        <v>257874</v>
      </c>
      <c r="J1368" s="9" t="n">
        <v>0.88</v>
      </c>
      <c r="K1368" s="1" t="inlineStr">
        <is>
          <t>Yes</t>
        </is>
      </c>
      <c r="L1368" s="1" t="inlineStr">
        <is>
          <t>No</t>
        </is>
      </c>
      <c r="M1368" s="1" t="inlineStr">
        <is>
          <t>No</t>
        </is>
      </c>
      <c r="N1368" s="1" t="inlineStr">
        <is>
          <t>Algorithms</t>
        </is>
      </c>
      <c r="O13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68" s="13" t="inlineStr">
        <is>
          <t>Done</t>
        </is>
      </c>
    </row>
    <row r="1369" ht="15.75" customHeight="1" s="12">
      <c r="A1369" s="1" t="n">
        <v>2033</v>
      </c>
      <c r="B1369" s="3">
        <f>HYPERLINK("https://leetcode.com/problems/minimum-operations-to-make-a-uni-value-grid/", "Minimum Operations to Make a Uni-Value Grid")</f>
        <v/>
      </c>
      <c r="C1369" s="1" t="n">
        <v>1259</v>
      </c>
      <c r="D1369" s="1" t="n">
        <v>79</v>
      </c>
      <c r="E1369" s="4">
        <f>IF(INDEX(C:C, ROW())+INDEX(D:D, ROW())=0, 0, INDEX(C:C, ROW())/(INDEX(C:C, ROW())+INDEX(D:D, ROW())))</f>
        <v/>
      </c>
      <c r="F1369" s="1" t="inlineStr">
        <is>
          <t>Array, Math, Sorting, Matrix</t>
        </is>
      </c>
      <c r="G1369" s="1" t="inlineStr">
        <is>
          <t>Medium</t>
        </is>
      </c>
      <c r="H1369" s="1" t="n">
        <v>221771</v>
      </c>
      <c r="I1369" s="1" t="n">
        <v>313455</v>
      </c>
      <c r="J1369" s="9" t="n">
        <v>0.708</v>
      </c>
      <c r="K1369" s="1" t="inlineStr">
        <is>
          <t>Yes</t>
        </is>
      </c>
      <c r="L1369" s="1" t="inlineStr">
        <is>
          <t>Yes</t>
        </is>
      </c>
      <c r="M1369" s="1" t="inlineStr">
        <is>
          <t>No</t>
        </is>
      </c>
      <c r="N1369" s="1" t="inlineStr">
        <is>
          <t>Algorithms</t>
        </is>
      </c>
      <c r="O13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69" s="11" t="inlineStr">
        <is>
          <t>To Do</t>
        </is>
      </c>
    </row>
    <row r="1370" ht="15.75" customHeight="1" s="12">
      <c r="A1370" s="1" t="n">
        <v>1428</v>
      </c>
      <c r="B1370" s="3">
        <f>HYPERLINK("https://leetcode.com/problems/leftmost-column-with-at-least-a-one/", "Leftmost Column with at Least a One")</f>
        <v/>
      </c>
      <c r="C1370" s="1" t="n">
        <v>1258</v>
      </c>
      <c r="D1370" s="1" t="n">
        <v>153</v>
      </c>
      <c r="E1370" s="4">
        <f>IF(INDEX(C:C, ROW())+INDEX(D:D, ROW())=0, 0, INDEX(C:C, ROW())/(INDEX(C:C, ROW())+INDEX(D:D, ROW())))</f>
        <v/>
      </c>
      <c r="F1370" s="1" t="inlineStr">
        <is>
          <t>Array, Binary Search, Matrix, Interactive</t>
        </is>
      </c>
      <c r="G1370" s="1" t="inlineStr">
        <is>
          <t>Medium</t>
        </is>
      </c>
      <c r="H1370" s="1" t="n">
        <v>198321</v>
      </c>
      <c r="I1370" s="1" t="n">
        <v>359296</v>
      </c>
      <c r="J1370" s="9" t="n">
        <v>0.552</v>
      </c>
      <c r="K1370" s="1" t="inlineStr">
        <is>
          <t>No</t>
        </is>
      </c>
      <c r="L1370" s="1" t="inlineStr">
        <is>
          <t>Yes</t>
        </is>
      </c>
      <c r="M1370" s="1" t="inlineStr">
        <is>
          <t>No</t>
        </is>
      </c>
      <c r="N1370" s="1" t="inlineStr">
        <is>
          <t>Algorithms</t>
        </is>
      </c>
      <c r="O13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70" s="11" t="inlineStr">
        <is>
          <t>To Do</t>
        </is>
      </c>
    </row>
    <row r="1371" ht="15.75" customHeight="1" s="12">
      <c r="A1371" s="1" t="n">
        <v>717</v>
      </c>
      <c r="B1371" s="3">
        <f>HYPERLINK("https://leetcode.com/problems/1-bit-and-2-bit-characters/", "1-bit and 2-bit Characters")</f>
        <v/>
      </c>
      <c r="C1371" s="1" t="n">
        <v>1255</v>
      </c>
      <c r="D1371" s="1" t="n">
        <v>2363</v>
      </c>
      <c r="E1371" s="4">
        <f>IF(INDEX(C:C, ROW())+INDEX(D:D, ROW())=0, 0, INDEX(C:C, ROW())/(INDEX(C:C, ROW())+INDEX(D:D, ROW())))</f>
        <v/>
      </c>
      <c r="F1371" s="1" t="inlineStr">
        <is>
          <t>Array</t>
        </is>
      </c>
      <c r="G1371" s="1" t="inlineStr">
        <is>
          <t>Easy</t>
        </is>
      </c>
      <c r="H1371" s="1" t="n">
        <v>272387</v>
      </c>
      <c r="I1371" s="1" t="n">
        <v>549171</v>
      </c>
      <c r="J1371" s="9" t="n">
        <v>0.496</v>
      </c>
      <c r="K1371" s="1" t="inlineStr">
        <is>
          <t>Yes</t>
        </is>
      </c>
      <c r="L1371" s="1" t="inlineStr">
        <is>
          <t>Yes</t>
        </is>
      </c>
      <c r="M1371" s="1" t="inlineStr">
        <is>
          <t>No</t>
        </is>
      </c>
      <c r="N1371" s="1" t="inlineStr">
        <is>
          <t>Algorithms</t>
        </is>
      </c>
      <c r="O13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71" s="13" t="inlineStr">
        <is>
          <t>Done</t>
        </is>
      </c>
    </row>
    <row r="1372" ht="15.75" customHeight="1" s="12">
      <c r="A1372" s="1" t="n">
        <v>400</v>
      </c>
      <c r="B1372" s="3">
        <f>HYPERLINK("https://leetcode.com/problems/nth-digit/", "Nth Digit")</f>
        <v/>
      </c>
      <c r="C1372" s="1" t="n">
        <v>1254</v>
      </c>
      <c r="D1372" s="1" t="n">
        <v>2149</v>
      </c>
      <c r="E1372" s="4">
        <f>IF(INDEX(C:C, ROW())+INDEX(D:D, ROW())=0, 0, INDEX(C:C, ROW())/(INDEX(C:C, ROW())+INDEX(D:D, ROW())))</f>
        <v/>
      </c>
      <c r="F1372" s="1" t="inlineStr">
        <is>
          <t>Math, Binary Search</t>
        </is>
      </c>
      <c r="G1372" s="1" t="inlineStr">
        <is>
          <t>Medium</t>
        </is>
      </c>
      <c r="H1372" s="1" t="n">
        <v>135508</v>
      </c>
      <c r="I1372" s="1" t="n">
        <v>355043</v>
      </c>
      <c r="J1372" s="9" t="n">
        <v>0.382</v>
      </c>
      <c r="K1372" s="1" t="inlineStr">
        <is>
          <t>Yes</t>
        </is>
      </c>
      <c r="L1372" s="1" t="inlineStr">
        <is>
          <t>No</t>
        </is>
      </c>
      <c r="M1372" s="1" t="inlineStr">
        <is>
          <t>No</t>
        </is>
      </c>
      <c r="N1372" s="1" t="inlineStr">
        <is>
          <t>Algorithms</t>
        </is>
      </c>
      <c r="O13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72" s="11" t="inlineStr">
        <is>
          <t>To Do</t>
        </is>
      </c>
    </row>
    <row r="1373" ht="15.75" customHeight="1" s="12">
      <c r="A1373" s="1" t="n">
        <v>2471</v>
      </c>
      <c r="B1373" s="3">
        <f>HYPERLINK("https://leetcode.com/problems/minimum-number-of-operations-to-sort-a-binary-tree-by-level/", "Minimum Number of Operations to Sort a Binary Tree by Level")</f>
        <v/>
      </c>
      <c r="C1373" s="1" t="n">
        <v>1254</v>
      </c>
      <c r="D1373" s="1" t="n">
        <v>45</v>
      </c>
      <c r="E1373" s="4">
        <f>IF(INDEX(C:C, ROW())+INDEX(D:D, ROW())=0, 0, INDEX(C:C, ROW())/(INDEX(C:C, ROW())+INDEX(D:D, ROW())))</f>
        <v/>
      </c>
      <c r="F1373" s="1" t="inlineStr">
        <is>
          <t>Tree, Breadth-First Search, Binary Tree</t>
        </is>
      </c>
      <c r="G1373" s="1" t="inlineStr">
        <is>
          <t>Medium</t>
        </is>
      </c>
      <c r="H1373" s="1" t="n">
        <v>114855</v>
      </c>
      <c r="I1373" s="1" t="n">
        <v>154721</v>
      </c>
      <c r="J1373" s="9" t="n">
        <v>0.742</v>
      </c>
      <c r="K1373" s="1" t="inlineStr">
        <is>
          <t>Yes</t>
        </is>
      </c>
      <c r="L1373" s="1" t="inlineStr">
        <is>
          <t>Yes</t>
        </is>
      </c>
      <c r="M1373" s="1" t="inlineStr">
        <is>
          <t>No</t>
        </is>
      </c>
      <c r="N1373" s="1" t="inlineStr">
        <is>
          <t>Algorithms</t>
        </is>
      </c>
      <c r="O13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73" s="11" t="inlineStr">
        <is>
          <t>To Do</t>
        </is>
      </c>
    </row>
    <row r="1374" ht="15.75" customHeight="1" s="12">
      <c r="A1374" s="1" t="n">
        <v>833</v>
      </c>
      <c r="B1374" s="3">
        <f>HYPERLINK("https://leetcode.com/problems/find-and-replace-in-string/", "Find And Replace in String")</f>
        <v/>
      </c>
      <c r="C1374" s="1" t="n">
        <v>1252</v>
      </c>
      <c r="D1374" s="1" t="n">
        <v>1051</v>
      </c>
      <c r="E1374" s="4">
        <f>IF(INDEX(C:C, ROW())+INDEX(D:D, ROW())=0, 0, INDEX(C:C, ROW())/(INDEX(C:C, ROW())+INDEX(D:D, ROW())))</f>
        <v/>
      </c>
      <c r="F1374" s="1" t="inlineStr">
        <is>
          <t>Array, Hash Table, String, Sorting</t>
        </is>
      </c>
      <c r="G1374" s="1" t="inlineStr">
        <is>
          <t>Medium</t>
        </is>
      </c>
      <c r="H1374" s="1" t="n">
        <v>170061</v>
      </c>
      <c r="I1374" s="1" t="n">
        <v>334573</v>
      </c>
      <c r="J1374" s="9" t="n">
        <v>0.508</v>
      </c>
      <c r="K1374" s="1" t="inlineStr">
        <is>
          <t>Yes</t>
        </is>
      </c>
      <c r="L1374" s="1" t="inlineStr">
        <is>
          <t>No</t>
        </is>
      </c>
      <c r="M1374" s="1" t="inlineStr">
        <is>
          <t>No</t>
        </is>
      </c>
      <c r="N1374" s="1" t="inlineStr">
        <is>
          <t>Algorithms</t>
        </is>
      </c>
      <c r="O13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74" s="11" t="inlineStr">
        <is>
          <t>To Do</t>
        </is>
      </c>
    </row>
    <row r="1375" ht="15.75" customHeight="1" s="12">
      <c r="A1375" s="1" t="n">
        <v>1441</v>
      </c>
      <c r="B1375" s="3">
        <f>HYPERLINK("https://leetcode.com/problems/build-an-array-with-stack-operations/", "Build an Array With Stack Operations")</f>
        <v/>
      </c>
      <c r="C1375" s="1" t="n">
        <v>1251</v>
      </c>
      <c r="D1375" s="1" t="n">
        <v>547</v>
      </c>
      <c r="E1375" s="4">
        <f>IF(INDEX(C:C, ROW())+INDEX(D:D, ROW())=0, 0, INDEX(C:C, ROW())/(INDEX(C:C, ROW())+INDEX(D:D, ROW())))</f>
        <v/>
      </c>
      <c r="F1375" s="1" t="inlineStr">
        <is>
          <t>Array, Stack, Simulation</t>
        </is>
      </c>
      <c r="G1375" s="1" t="inlineStr">
        <is>
          <t>Medium</t>
        </is>
      </c>
      <c r="H1375" s="1" t="n">
        <v>267011</v>
      </c>
      <c r="I1375" s="1" t="n">
        <v>329874</v>
      </c>
      <c r="J1375" s="9" t="n">
        <v>0.8090000000000001</v>
      </c>
      <c r="K1375" s="1" t="inlineStr">
        <is>
          <t>Yes</t>
        </is>
      </c>
      <c r="L1375" s="1" t="inlineStr">
        <is>
          <t>Yes</t>
        </is>
      </c>
      <c r="M1375" s="1" t="inlineStr">
        <is>
          <t>No</t>
        </is>
      </c>
      <c r="N1375" s="1" t="inlineStr">
        <is>
          <t>Algorithms</t>
        </is>
      </c>
      <c r="O13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75" s="11" t="inlineStr">
        <is>
          <t>To Do</t>
        </is>
      </c>
    </row>
    <row r="1376" ht="15.75" customHeight="1" s="12">
      <c r="A1376" s="1" t="n">
        <v>2482</v>
      </c>
      <c r="B1376" s="3">
        <f>HYPERLINK("https://leetcode.com/problems/difference-between-ones-and-zeros-in-row-and-column/", "Difference Between Ones and Zeros in Row and Column")</f>
        <v/>
      </c>
      <c r="C1376" s="1" t="n">
        <v>1251</v>
      </c>
      <c r="D1376" s="1" t="n">
        <v>86</v>
      </c>
      <c r="E1376" s="4">
        <f>IF(INDEX(C:C, ROW())+INDEX(D:D, ROW())=0, 0, INDEX(C:C, ROW())/(INDEX(C:C, ROW())+INDEX(D:D, ROW())))</f>
        <v/>
      </c>
      <c r="F1376" s="1" t="inlineStr">
        <is>
          <t>Array, Matrix, Simulation</t>
        </is>
      </c>
      <c r="G1376" s="1" t="inlineStr">
        <is>
          <t>Medium</t>
        </is>
      </c>
      <c r="H1376" s="1" t="n">
        <v>146014</v>
      </c>
      <c r="I1376" s="1" t="n">
        <v>172906</v>
      </c>
      <c r="J1376" s="9" t="n">
        <v>0.844</v>
      </c>
      <c r="K1376" s="1" t="inlineStr">
        <is>
          <t>Yes</t>
        </is>
      </c>
      <c r="L1376" s="1" t="inlineStr">
        <is>
          <t>Yes</t>
        </is>
      </c>
      <c r="M1376" s="1" t="inlineStr">
        <is>
          <t>No</t>
        </is>
      </c>
      <c r="N1376" s="1" t="inlineStr">
        <is>
          <t>Algorithms</t>
        </is>
      </c>
      <c r="O13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76" s="11" t="inlineStr">
        <is>
          <t>To Do</t>
        </is>
      </c>
    </row>
    <row r="1377" ht="15.75" customHeight="1" s="12">
      <c r="A1377" s="1" t="n">
        <v>2615</v>
      </c>
      <c r="B1377" s="3">
        <f>HYPERLINK("https://leetcode.com/problems/sum-of-distances/", "Sum of Distances")</f>
        <v/>
      </c>
      <c r="C1377" s="1" t="n">
        <v>1251</v>
      </c>
      <c r="D1377" s="1" t="n">
        <v>128</v>
      </c>
      <c r="E1377" s="4">
        <f>IF(INDEX(C:C, ROW())+INDEX(D:D, ROW())=0, 0, INDEX(C:C, ROW())/(INDEX(C:C, ROW())+INDEX(D:D, ROW())))</f>
        <v/>
      </c>
      <c r="F1377" s="1" t="inlineStr">
        <is>
          <t>Array, Hash Table, Prefix Sum</t>
        </is>
      </c>
      <c r="G1377" s="1" t="inlineStr">
        <is>
          <t>Medium</t>
        </is>
      </c>
      <c r="H1377" s="1" t="n">
        <v>111155</v>
      </c>
      <c r="I1377" s="1" t="n">
        <v>220652</v>
      </c>
      <c r="J1377" s="9" t="n">
        <v>0.504</v>
      </c>
      <c r="K1377" s="1" t="inlineStr">
        <is>
          <t>Yes</t>
        </is>
      </c>
      <c r="L1377" s="1" t="inlineStr">
        <is>
          <t>Yes</t>
        </is>
      </c>
      <c r="M1377" s="1" t="inlineStr">
        <is>
          <t>No</t>
        </is>
      </c>
      <c r="N1377" s="1" t="inlineStr">
        <is>
          <t>Algorithms</t>
        </is>
      </c>
      <c r="O13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77" s="11" t="inlineStr">
        <is>
          <t>To Do</t>
        </is>
      </c>
    </row>
    <row r="1378" ht="15.75" customHeight="1" s="12">
      <c r="A1378" s="1" t="n">
        <v>280</v>
      </c>
      <c r="B1378" s="3">
        <f>HYPERLINK("https://leetcode.com/problems/wiggle-sort/", "Wiggle Sort")</f>
        <v/>
      </c>
      <c r="C1378" s="1" t="n">
        <v>1247</v>
      </c>
      <c r="D1378" s="1" t="n">
        <v>103</v>
      </c>
      <c r="E1378" s="4">
        <f>IF(INDEX(C:C, ROW())+INDEX(D:D, ROW())=0, 0, INDEX(C:C, ROW())/(INDEX(C:C, ROW())+INDEX(D:D, ROW())))</f>
        <v/>
      </c>
      <c r="F1378" s="1" t="inlineStr">
        <is>
          <t>Array, Greedy, Sorting</t>
        </is>
      </c>
      <c r="G1378" s="1" t="inlineStr">
        <is>
          <t>Medium</t>
        </is>
      </c>
      <c r="H1378" s="1" t="n">
        <v>158716</v>
      </c>
      <c r="I1378" s="1" t="n">
        <v>231880</v>
      </c>
      <c r="J1378" s="9" t="n">
        <v>0.6840000000000001</v>
      </c>
      <c r="K1378" s="1" t="inlineStr">
        <is>
          <t>No</t>
        </is>
      </c>
      <c r="L1378" s="1" t="inlineStr">
        <is>
          <t>Yes</t>
        </is>
      </c>
      <c r="M1378" s="1" t="inlineStr">
        <is>
          <t>Yes</t>
        </is>
      </c>
      <c r="N1378" s="1" t="inlineStr">
        <is>
          <t>Algorithms</t>
        </is>
      </c>
      <c r="O13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78" s="11" t="inlineStr">
        <is>
          <t>To Do</t>
        </is>
      </c>
    </row>
    <row r="1379" ht="15.75" customHeight="1" s="12">
      <c r="A1379" s="1" t="n">
        <v>250</v>
      </c>
      <c r="B1379" s="3">
        <f>HYPERLINK("https://leetcode.com/problems/count-univalue-subtrees/", "Count Univalue Subtrees")</f>
        <v/>
      </c>
      <c r="C1379" s="1" t="n">
        <v>1246</v>
      </c>
      <c r="D1379" s="1" t="n">
        <v>457</v>
      </c>
      <c r="E1379" s="4">
        <f>IF(INDEX(C:C, ROW())+INDEX(D:D, ROW())=0, 0, INDEX(C:C, ROW())/(INDEX(C:C, ROW())+INDEX(D:D, ROW())))</f>
        <v/>
      </c>
      <c r="F1379" s="1" t="inlineStr">
        <is>
          <t>Tree, Depth-First Search, Binary Tree</t>
        </is>
      </c>
      <c r="G1379" s="1" t="inlineStr">
        <is>
          <t>Medium</t>
        </is>
      </c>
      <c r="H1379" s="1" t="n">
        <v>170818</v>
      </c>
      <c r="I1379" s="1" t="n">
        <v>296946</v>
      </c>
      <c r="J1379" s="9" t="n">
        <v>0.575</v>
      </c>
      <c r="K1379" s="1" t="inlineStr">
        <is>
          <t>No</t>
        </is>
      </c>
      <c r="L1379" s="1" t="inlineStr">
        <is>
          <t>Yes</t>
        </is>
      </c>
      <c r="M1379" s="1" t="inlineStr">
        <is>
          <t>No</t>
        </is>
      </c>
      <c r="N1379" s="1" t="inlineStr">
        <is>
          <t>Algorithms</t>
        </is>
      </c>
      <c r="O13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79" s="11" t="inlineStr">
        <is>
          <t>To Do</t>
        </is>
      </c>
    </row>
    <row r="1380" ht="15.75" customHeight="1" s="12">
      <c r="A1380" s="1" t="n">
        <v>1297</v>
      </c>
      <c r="B1380" s="3">
        <f>HYPERLINK("https://leetcode.com/problems/maximum-number-of-occurrences-of-a-substring/", "Maximum Number of Occurrences of a Substring")</f>
        <v/>
      </c>
      <c r="C1380" s="1" t="n">
        <v>1244</v>
      </c>
      <c r="D1380" s="1" t="n">
        <v>426</v>
      </c>
      <c r="E1380" s="4">
        <f>IF(INDEX(C:C, ROW())+INDEX(D:D, ROW())=0, 0, INDEX(C:C, ROW())/(INDEX(C:C, ROW())+INDEX(D:D, ROW())))</f>
        <v/>
      </c>
      <c r="F1380" s="1" t="inlineStr">
        <is>
          <t>Hash Table, String, Sliding Window</t>
        </is>
      </c>
      <c r="G1380" s="1" t="inlineStr">
        <is>
          <t>Medium</t>
        </is>
      </c>
      <c r="H1380" s="1" t="n">
        <v>84767</v>
      </c>
      <c r="I1380" s="1" t="n">
        <v>155739</v>
      </c>
      <c r="J1380" s="9" t="n">
        <v>0.544</v>
      </c>
      <c r="K1380" s="1" t="inlineStr">
        <is>
          <t>Yes</t>
        </is>
      </c>
      <c r="L1380" s="1" t="inlineStr">
        <is>
          <t>No</t>
        </is>
      </c>
      <c r="M1380" s="1" t="inlineStr">
        <is>
          <t>No</t>
        </is>
      </c>
      <c r="N1380" s="1" t="inlineStr">
        <is>
          <t>Algorithms</t>
        </is>
      </c>
      <c r="O13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80" s="11" t="inlineStr">
        <is>
          <t>To Do</t>
        </is>
      </c>
    </row>
    <row r="1381" ht="15.75" customHeight="1" s="12">
      <c r="A1381" s="1" t="n">
        <v>661</v>
      </c>
      <c r="B1381" s="3">
        <f>HYPERLINK("https://leetcode.com/problems/image-smoother/", "Image Smoother")</f>
        <v/>
      </c>
      <c r="C1381" s="1" t="n">
        <v>1242</v>
      </c>
      <c r="D1381" s="1" t="n">
        <v>2998</v>
      </c>
      <c r="E1381" s="4">
        <f>IF(INDEX(C:C, ROW())+INDEX(D:D, ROW())=0, 0, INDEX(C:C, ROW())/(INDEX(C:C, ROW())+INDEX(D:D, ROW())))</f>
        <v/>
      </c>
      <c r="F1381" s="1" t="inlineStr">
        <is>
          <t>Array, Matrix</t>
        </is>
      </c>
      <c r="G1381" s="1" t="inlineStr">
        <is>
          <t>Easy</t>
        </is>
      </c>
      <c r="H1381" s="1" t="n">
        <v>201791</v>
      </c>
      <c r="I1381" s="1" t="n">
        <v>291359</v>
      </c>
      <c r="J1381" s="9" t="n">
        <v>0.6929999999999999</v>
      </c>
      <c r="K1381" s="1" t="inlineStr">
        <is>
          <t>Yes</t>
        </is>
      </c>
      <c r="L1381" s="1" t="inlineStr">
        <is>
          <t>Yes</t>
        </is>
      </c>
      <c r="M1381" s="1" t="inlineStr">
        <is>
          <t>No</t>
        </is>
      </c>
      <c r="N1381" s="1" t="inlineStr">
        <is>
          <t>Algorithms</t>
        </is>
      </c>
      <c r="O13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81" s="13" t="inlineStr">
        <is>
          <t>Done</t>
        </is>
      </c>
    </row>
    <row r="1382" ht="15.75" customHeight="1" s="12">
      <c r="A1382" s="1" t="n">
        <v>2540</v>
      </c>
      <c r="B1382" s="3">
        <f>HYPERLINK("https://leetcode.com/problems/minimum-common-value/", "Minimum Common Value")</f>
        <v/>
      </c>
      <c r="C1382" s="1" t="n">
        <v>1241</v>
      </c>
      <c r="D1382" s="1" t="n">
        <v>43</v>
      </c>
      <c r="E1382" s="4">
        <f>IF(INDEX(C:C, ROW())+INDEX(D:D, ROW())=0, 0, INDEX(C:C, ROW())/(INDEX(C:C, ROW())+INDEX(D:D, ROW())))</f>
        <v/>
      </c>
      <c r="F1382" s="1" t="inlineStr">
        <is>
          <t>Array, Hash Table, Two Pointers, Binary Search</t>
        </is>
      </c>
      <c r="G1382" s="1" t="inlineStr">
        <is>
          <t>Easy</t>
        </is>
      </c>
      <c r="H1382" s="1" t="n">
        <v>314553</v>
      </c>
      <c r="I1382" s="1" t="n">
        <v>542060</v>
      </c>
      <c r="J1382" s="9" t="n">
        <v>0.58</v>
      </c>
      <c r="K1382" s="1" t="inlineStr">
        <is>
          <t>Yes</t>
        </is>
      </c>
      <c r="L1382" s="1" t="inlineStr">
        <is>
          <t>Yes</t>
        </is>
      </c>
      <c r="M1382" s="1" t="inlineStr">
        <is>
          <t>No</t>
        </is>
      </c>
      <c r="N1382" s="1" t="inlineStr">
        <is>
          <t>Algorithms</t>
        </is>
      </c>
      <c r="O13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82" s="13" t="inlineStr">
        <is>
          <t>Done</t>
        </is>
      </c>
    </row>
    <row r="1383" ht="15.75" customHeight="1" s="12">
      <c r="A1383" s="1" t="n">
        <v>874</v>
      </c>
      <c r="B1383" s="3">
        <f>HYPERLINK("https://leetcode.com/problems/walking-robot-simulation/", "Walking Robot Simulation")</f>
        <v/>
      </c>
      <c r="C1383" s="1" t="n">
        <v>1237</v>
      </c>
      <c r="D1383" s="1" t="n">
        <v>216</v>
      </c>
      <c r="E1383" s="4">
        <f>IF(INDEX(C:C, ROW())+INDEX(D:D, ROW())=0, 0, INDEX(C:C, ROW())/(INDEX(C:C, ROW())+INDEX(D:D, ROW())))</f>
        <v/>
      </c>
      <c r="F1383" s="1" t="inlineStr">
        <is>
          <t>Array, Hash Table, Simulation</t>
        </is>
      </c>
      <c r="G1383" s="1" t="inlineStr">
        <is>
          <t>Medium</t>
        </is>
      </c>
      <c r="H1383" s="1" t="n">
        <v>255613</v>
      </c>
      <c r="I1383" s="1" t="n">
        <v>395617</v>
      </c>
      <c r="J1383" s="9" t="n">
        <v>0.646</v>
      </c>
      <c r="K1383" s="1" t="inlineStr">
        <is>
          <t>Yes</t>
        </is>
      </c>
      <c r="L1383" s="1" t="inlineStr">
        <is>
          <t>Yes</t>
        </is>
      </c>
      <c r="M1383" s="1" t="inlineStr">
        <is>
          <t>No</t>
        </is>
      </c>
      <c r="N1383" s="1" t="inlineStr">
        <is>
          <t>Algorithms</t>
        </is>
      </c>
      <c r="O13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83" s="11" t="inlineStr">
        <is>
          <t>To Do</t>
        </is>
      </c>
    </row>
    <row r="1384" ht="15.75" customHeight="1" s="12">
      <c r="A1384" s="1" t="n">
        <v>1513</v>
      </c>
      <c r="B1384" s="3">
        <f>HYPERLINK("https://leetcode.com/problems/number-of-substrings-with-only-1s/", "Number of Substrings With Only 1s")</f>
        <v/>
      </c>
      <c r="C1384" s="1" t="n">
        <v>1233</v>
      </c>
      <c r="D1384" s="1" t="n">
        <v>42</v>
      </c>
      <c r="E1384" s="4">
        <f>IF(INDEX(C:C, ROW())+INDEX(D:D, ROW())=0, 0, INDEX(C:C, ROW())/(INDEX(C:C, ROW())+INDEX(D:D, ROW())))</f>
        <v/>
      </c>
      <c r="F1384" s="1" t="inlineStr">
        <is>
          <t>Math, String</t>
        </is>
      </c>
      <c r="G1384" s="1" t="inlineStr">
        <is>
          <t>Medium</t>
        </is>
      </c>
      <c r="H1384" s="1" t="n">
        <v>161256</v>
      </c>
      <c r="I1384" s="1" t="n">
        <v>280813</v>
      </c>
      <c r="J1384" s="9" t="n">
        <v>0.574</v>
      </c>
      <c r="K1384" s="1" t="inlineStr">
        <is>
          <t>Yes</t>
        </is>
      </c>
      <c r="L1384" s="1" t="inlineStr">
        <is>
          <t>Yes</t>
        </is>
      </c>
      <c r="M1384" s="1" t="inlineStr">
        <is>
          <t>No</t>
        </is>
      </c>
      <c r="N1384" s="1" t="inlineStr">
        <is>
          <t>Algorithms</t>
        </is>
      </c>
      <c r="O13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84" s="11" t="inlineStr">
        <is>
          <t>To Do</t>
        </is>
      </c>
    </row>
    <row r="1385" ht="15.75" customHeight="1" s="12">
      <c r="A1385" s="1" t="n">
        <v>2641</v>
      </c>
      <c r="B1385" s="3">
        <f>HYPERLINK("https://leetcode.com/problems/cousins-in-binary-tree-ii/", "Cousins in Binary Tree II")</f>
        <v/>
      </c>
      <c r="C1385" s="1" t="n">
        <v>1232</v>
      </c>
      <c r="D1385" s="1" t="n">
        <v>54</v>
      </c>
      <c r="E1385" s="4">
        <f>IF(INDEX(C:C, ROW())+INDEX(D:D, ROW())=0, 0, INDEX(C:C, ROW())/(INDEX(C:C, ROW())+INDEX(D:D, ROW())))</f>
        <v/>
      </c>
      <c r="F1385" s="1" t="inlineStr">
        <is>
          <t>Hash Table, Tree, Depth-First Search, Breadth-First Search, Binary Tree</t>
        </is>
      </c>
      <c r="G1385" s="1" t="inlineStr">
        <is>
          <t>Medium</t>
        </is>
      </c>
      <c r="H1385" s="1" t="n">
        <v>129848</v>
      </c>
      <c r="I1385" s="1" t="n">
        <v>171194</v>
      </c>
      <c r="J1385" s="9" t="n">
        <v>0.758</v>
      </c>
      <c r="K1385" s="1" t="inlineStr">
        <is>
          <t>Yes</t>
        </is>
      </c>
      <c r="L1385" s="1" t="inlineStr">
        <is>
          <t>Yes</t>
        </is>
      </c>
      <c r="M1385" s="1" t="inlineStr">
        <is>
          <t>No</t>
        </is>
      </c>
      <c r="N1385" s="1" t="inlineStr">
        <is>
          <t>Algorithms</t>
        </is>
      </c>
      <c r="O13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85" s="11" t="inlineStr">
        <is>
          <t>To Do</t>
        </is>
      </c>
    </row>
    <row r="1386" ht="15.75" customHeight="1" s="12">
      <c r="A1386" s="1" t="n">
        <v>1816</v>
      </c>
      <c r="B1386" s="3">
        <f>HYPERLINK("https://leetcode.com/problems/truncate-sentence/", "Truncate Sentence")</f>
        <v/>
      </c>
      <c r="C1386" s="1" t="n">
        <v>1230</v>
      </c>
      <c r="D1386" s="1" t="n">
        <v>34</v>
      </c>
      <c r="E1386" s="4">
        <f>IF(INDEX(C:C, ROW())+INDEX(D:D, ROW())=0, 0, INDEX(C:C, ROW())/(INDEX(C:C, ROW())+INDEX(D:D, ROW())))</f>
        <v/>
      </c>
      <c r="F1386" s="1" t="inlineStr">
        <is>
          <t>Array, String</t>
        </is>
      </c>
      <c r="G1386" s="1" t="inlineStr">
        <is>
          <t>Easy</t>
        </is>
      </c>
      <c r="H1386" s="1" t="n">
        <v>236820</v>
      </c>
      <c r="I1386" s="1" t="n">
        <v>272744</v>
      </c>
      <c r="J1386" s="9" t="n">
        <v>0.868</v>
      </c>
      <c r="K1386" s="1" t="inlineStr">
        <is>
          <t>Yes</t>
        </is>
      </c>
      <c r="L1386" s="1" t="inlineStr">
        <is>
          <t>No</t>
        </is>
      </c>
      <c r="M1386" s="1" t="inlineStr">
        <is>
          <t>No</t>
        </is>
      </c>
      <c r="N1386" s="1" t="inlineStr">
        <is>
          <t>Algorithms</t>
        </is>
      </c>
      <c r="O13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86" s="13" t="inlineStr">
        <is>
          <t>Done</t>
        </is>
      </c>
    </row>
    <row r="1387" ht="15.75" customHeight="1" s="12">
      <c r="A1387" s="1" t="n">
        <v>586</v>
      </c>
      <c r="B1387" s="3">
        <f>HYPERLINK("https://leetcode.com/problems/customer-placing-the-largest-number-of-orders/", "Customer Placing the Largest Number of Orders")</f>
        <v/>
      </c>
      <c r="C1387" s="1" t="n">
        <v>1229</v>
      </c>
      <c r="D1387" s="1" t="n">
        <v>100</v>
      </c>
      <c r="E1387" s="4">
        <f>IF(INDEX(C:C, ROW())+INDEX(D:D, ROW())=0, 0, INDEX(C:C, ROW())/(INDEX(C:C, ROW())+INDEX(D:D, ROW())))</f>
        <v/>
      </c>
      <c r="F1387" s="1" t="inlineStr">
        <is>
          <t>Database</t>
        </is>
      </c>
      <c r="G1387" s="1" t="inlineStr">
        <is>
          <t>Easy</t>
        </is>
      </c>
      <c r="H1387" s="1" t="n">
        <v>512554</v>
      </c>
      <c r="I1387" s="1" t="n">
        <v>796228</v>
      </c>
      <c r="J1387" s="9" t="n">
        <v>0.644</v>
      </c>
      <c r="K1387" s="1" t="inlineStr">
        <is>
          <t>Yes</t>
        </is>
      </c>
      <c r="L1387" s="1" t="inlineStr">
        <is>
          <t>Yes</t>
        </is>
      </c>
      <c r="M1387" s="1" t="inlineStr">
        <is>
          <t>No</t>
        </is>
      </c>
      <c r="N1387" s="1" t="inlineStr">
        <is>
          <t>Database</t>
        </is>
      </c>
      <c r="O13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87" s="13" t="inlineStr">
        <is>
          <t>Done</t>
        </is>
      </c>
    </row>
    <row r="1388" ht="15.75" customHeight="1" s="12">
      <c r="A1388" s="1" t="n">
        <v>2262</v>
      </c>
      <c r="B1388" s="3">
        <f>HYPERLINK("https://leetcode.com/problems/total-appeal-of-a-string/", "Total Appeal of A String")</f>
        <v/>
      </c>
      <c r="C1388" s="1" t="n">
        <v>1228</v>
      </c>
      <c r="D1388" s="1" t="n">
        <v>35</v>
      </c>
      <c r="E1388" s="4">
        <f>IF(INDEX(C:C, ROW())+INDEX(D:D, ROW())=0, 0, INDEX(C:C, ROW())/(INDEX(C:C, ROW())+INDEX(D:D, ROW())))</f>
        <v/>
      </c>
      <c r="F1388" s="1" t="inlineStr">
        <is>
          <t>Hash Table, String, Dynamic Programming</t>
        </is>
      </c>
      <c r="G1388" s="1" t="inlineStr">
        <is>
          <t>Hard</t>
        </is>
      </c>
      <c r="H1388" s="1" t="n">
        <v>47048</v>
      </c>
      <c r="I1388" s="1" t="n">
        <v>83349</v>
      </c>
      <c r="J1388" s="9" t="n">
        <v>0.5639999999999999</v>
      </c>
      <c r="K1388" s="1" t="inlineStr">
        <is>
          <t>Yes</t>
        </is>
      </c>
      <c r="L1388" s="1" t="inlineStr">
        <is>
          <t>No</t>
        </is>
      </c>
      <c r="M1388" s="1" t="inlineStr">
        <is>
          <t>No</t>
        </is>
      </c>
      <c r="N1388" s="1" t="inlineStr">
        <is>
          <t>Algorithms</t>
        </is>
      </c>
      <c r="O13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88" s="11" t="inlineStr">
        <is>
          <t>To Do</t>
        </is>
      </c>
    </row>
    <row r="1389" ht="15.75" customHeight="1" s="12">
      <c r="A1389" s="1" t="n">
        <v>1136</v>
      </c>
      <c r="B1389" s="3">
        <f>HYPERLINK("https://leetcode.com/problems/parallel-courses/", "Parallel Courses")</f>
        <v/>
      </c>
      <c r="C1389" s="1" t="n">
        <v>1225</v>
      </c>
      <c r="D1389" s="1" t="n">
        <v>27</v>
      </c>
      <c r="E1389" s="4">
        <f>IF(INDEX(C:C, ROW())+INDEX(D:D, ROW())=0, 0, INDEX(C:C, ROW())/(INDEX(C:C, ROW())+INDEX(D:D, ROW())))</f>
        <v/>
      </c>
      <c r="F1389" s="1" t="inlineStr">
        <is>
          <t>Graph Theory, Topological Sort</t>
        </is>
      </c>
      <c r="G1389" s="1" t="inlineStr">
        <is>
          <t>Medium</t>
        </is>
      </c>
      <c r="H1389" s="1" t="n">
        <v>110830</v>
      </c>
      <c r="I1389" s="1" t="n">
        <v>178198</v>
      </c>
      <c r="J1389" s="9" t="n">
        <v>0.622</v>
      </c>
      <c r="K1389" s="1" t="inlineStr">
        <is>
          <t>No</t>
        </is>
      </c>
      <c r="L1389" s="1" t="inlineStr">
        <is>
          <t>Yes</t>
        </is>
      </c>
      <c r="M1389" s="1" t="inlineStr">
        <is>
          <t>No</t>
        </is>
      </c>
      <c r="N1389" s="1" t="inlineStr">
        <is>
          <t>Algorithms</t>
        </is>
      </c>
      <c r="O13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89" s="11" t="inlineStr">
        <is>
          <t>To Do</t>
        </is>
      </c>
    </row>
    <row r="1390" ht="15.75" customHeight="1" s="12">
      <c r="A1390" s="1" t="n">
        <v>2463</v>
      </c>
      <c r="B1390" s="3">
        <f>HYPERLINK("https://leetcode.com/problems/minimum-total-distance-traveled/", "Minimum Total Distance Traveled")</f>
        <v/>
      </c>
      <c r="C1390" s="1" t="n">
        <v>1225</v>
      </c>
      <c r="D1390" s="1" t="n">
        <v>41</v>
      </c>
      <c r="E1390" s="4">
        <f>IF(INDEX(C:C, ROW())+INDEX(D:D, ROW())=0, 0, INDEX(C:C, ROW())/(INDEX(C:C, ROW())+INDEX(D:D, ROW())))</f>
        <v/>
      </c>
      <c r="F1390" s="1" t="inlineStr">
        <is>
          <t>Array, Dynamic Programming, Sorting</t>
        </is>
      </c>
      <c r="G1390" s="1" t="inlineStr">
        <is>
          <t>Hard</t>
        </is>
      </c>
      <c r="H1390" s="1" t="n">
        <v>134976</v>
      </c>
      <c r="I1390" s="1" t="n">
        <v>213665</v>
      </c>
      <c r="J1390" s="9" t="n">
        <v>0.632</v>
      </c>
      <c r="K1390" s="1" t="inlineStr">
        <is>
          <t>Yes</t>
        </is>
      </c>
      <c r="L1390" s="1" t="inlineStr">
        <is>
          <t>Yes</t>
        </is>
      </c>
      <c r="M1390" s="1" t="inlineStr">
        <is>
          <t>No</t>
        </is>
      </c>
      <c r="N1390" s="1" t="inlineStr">
        <is>
          <t>Algorithms</t>
        </is>
      </c>
      <c r="O13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90" s="11" t="inlineStr">
        <is>
          <t>To Do</t>
        </is>
      </c>
    </row>
    <row r="1391" ht="15.75" customHeight="1" s="12">
      <c r="A1391" s="1" t="n">
        <v>1633</v>
      </c>
      <c r="B1391" s="3">
        <f>HYPERLINK("https://leetcode.com/problems/percentage-of-users-attended-a-contest/", "Percentage of Users Attended a Contest")</f>
        <v/>
      </c>
      <c r="C1391" s="1" t="n">
        <v>1222</v>
      </c>
      <c r="D1391" s="1" t="n">
        <v>109</v>
      </c>
      <c r="E1391" s="4">
        <f>IF(INDEX(C:C, ROW())+INDEX(D:D, ROW())=0, 0, INDEX(C:C, ROW())/(INDEX(C:C, ROW())+INDEX(D:D, ROW())))</f>
        <v/>
      </c>
      <c r="F1391" s="1" t="inlineStr">
        <is>
          <t>Database</t>
        </is>
      </c>
      <c r="G1391" s="1" t="inlineStr">
        <is>
          <t>Easy</t>
        </is>
      </c>
      <c r="H1391" s="1" t="n">
        <v>542602</v>
      </c>
      <c r="I1391" s="1" t="n">
        <v>900294</v>
      </c>
      <c r="J1391" s="9" t="n">
        <v>0.603</v>
      </c>
      <c r="K1391" s="1" t="inlineStr">
        <is>
          <t>Yes</t>
        </is>
      </c>
      <c r="L1391" s="1" t="inlineStr">
        <is>
          <t>Yes</t>
        </is>
      </c>
      <c r="M1391" s="1" t="inlineStr">
        <is>
          <t>No</t>
        </is>
      </c>
      <c r="N1391" s="1" t="inlineStr">
        <is>
          <t>Database</t>
        </is>
      </c>
      <c r="O13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91" s="13" t="inlineStr">
        <is>
          <t>Done</t>
        </is>
      </c>
    </row>
    <row r="1392" ht="15.75" customHeight="1" s="12">
      <c r="A1392" s="1" t="n">
        <v>296</v>
      </c>
      <c r="B1392" s="3">
        <f>HYPERLINK("https://leetcode.com/problems/best-meeting-point/", "Best Meeting Point")</f>
        <v/>
      </c>
      <c r="C1392" s="1" t="n">
        <v>1215</v>
      </c>
      <c r="D1392" s="1" t="n">
        <v>108</v>
      </c>
      <c r="E1392" s="4">
        <f>IF(INDEX(C:C, ROW())+INDEX(D:D, ROW())=0, 0, INDEX(C:C, ROW())/(INDEX(C:C, ROW())+INDEX(D:D, ROW())))</f>
        <v/>
      </c>
      <c r="F1392" s="1" t="inlineStr">
        <is>
          <t>Array, Math, Sorting, Matrix</t>
        </is>
      </c>
      <c r="G1392" s="1" t="inlineStr">
        <is>
          <t>Hard</t>
        </is>
      </c>
      <c r="H1392" s="1" t="n">
        <v>97631</v>
      </c>
      <c r="I1392" s="1" t="n">
        <v>158895</v>
      </c>
      <c r="J1392" s="9" t="n">
        <v>0.614</v>
      </c>
      <c r="K1392" s="1" t="inlineStr">
        <is>
          <t>No</t>
        </is>
      </c>
      <c r="L1392" s="1" t="inlineStr">
        <is>
          <t>Yes</t>
        </is>
      </c>
      <c r="M1392" s="1" t="inlineStr">
        <is>
          <t>No</t>
        </is>
      </c>
      <c r="N1392" s="1" t="inlineStr">
        <is>
          <t>Algorithms</t>
        </is>
      </c>
      <c r="O13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92" s="11" t="inlineStr">
        <is>
          <t>To Do</t>
        </is>
      </c>
    </row>
    <row r="1393" ht="15.75" customHeight="1" s="12">
      <c r="A1393" s="1" t="n">
        <v>1278</v>
      </c>
      <c r="B1393" s="3">
        <f>HYPERLINK("https://leetcode.com/problems/palindrome-partitioning-iii/", "Palindrome Partitioning III")</f>
        <v/>
      </c>
      <c r="C1393" s="1" t="n">
        <v>1214</v>
      </c>
      <c r="D1393" s="1" t="n">
        <v>19</v>
      </c>
      <c r="E1393" s="4">
        <f>IF(INDEX(C:C, ROW())+INDEX(D:D, ROW())=0, 0, INDEX(C:C, ROW())/(INDEX(C:C, ROW())+INDEX(D:D, ROW())))</f>
        <v/>
      </c>
      <c r="F1393" s="1" t="inlineStr">
        <is>
          <t>String, Dynamic Programming</t>
        </is>
      </c>
      <c r="G1393" s="1" t="inlineStr">
        <is>
          <t>Hard</t>
        </is>
      </c>
      <c r="H1393" s="1" t="n">
        <v>38407</v>
      </c>
      <c r="I1393" s="1" t="n">
        <v>61732</v>
      </c>
      <c r="J1393" s="9" t="n">
        <v>0.622</v>
      </c>
      <c r="K1393" s="1" t="inlineStr">
        <is>
          <t>Yes</t>
        </is>
      </c>
      <c r="L1393" s="1" t="inlineStr">
        <is>
          <t>No</t>
        </is>
      </c>
      <c r="M1393" s="1" t="inlineStr">
        <is>
          <t>No</t>
        </is>
      </c>
      <c r="N1393" s="1" t="inlineStr">
        <is>
          <t>Algorithms</t>
        </is>
      </c>
      <c r="O13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93" s="11" t="inlineStr">
        <is>
          <t>To Do</t>
        </is>
      </c>
    </row>
    <row r="1394" ht="15.75" customHeight="1" s="12">
      <c r="A1394" s="1" t="n">
        <v>1611</v>
      </c>
      <c r="B1394" s="3">
        <f>HYPERLINK("https://leetcode.com/problems/minimum-one-bit-operations-to-make-integers-zero/", "Minimum One Bit Operations to Make Integers Zero")</f>
        <v/>
      </c>
      <c r="C1394" s="1" t="n">
        <v>1214</v>
      </c>
      <c r="D1394" s="1" t="n">
        <v>1208</v>
      </c>
      <c r="E1394" s="4">
        <f>IF(INDEX(C:C, ROW())+INDEX(D:D, ROW())=0, 0, INDEX(C:C, ROW())/(INDEX(C:C, ROW())+INDEX(D:D, ROW())))</f>
        <v/>
      </c>
      <c r="F1394" s="1" t="inlineStr">
        <is>
          <t>Math, Dynamic Programming, Bit Manipulation, Recursion, Memoization</t>
        </is>
      </c>
      <c r="G1394" s="1" t="inlineStr">
        <is>
          <t>Hard</t>
        </is>
      </c>
      <c r="H1394" s="1" t="n">
        <v>121546</v>
      </c>
      <c r="I1394" s="1" t="n">
        <v>155130</v>
      </c>
      <c r="J1394" s="9" t="n">
        <v>0.784</v>
      </c>
      <c r="K1394" s="1" t="inlineStr">
        <is>
          <t>Yes</t>
        </is>
      </c>
      <c r="L1394" s="1" t="inlineStr">
        <is>
          <t>Yes</t>
        </is>
      </c>
      <c r="M1394" s="1" t="inlineStr">
        <is>
          <t>No</t>
        </is>
      </c>
      <c r="N1394" s="1" t="inlineStr">
        <is>
          <t>Algorithms</t>
        </is>
      </c>
      <c r="O13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94" s="11" t="inlineStr">
        <is>
          <t>To Do</t>
        </is>
      </c>
    </row>
    <row r="1395" ht="15.75" customHeight="1" s="12">
      <c r="A1395" s="1" t="n">
        <v>1300</v>
      </c>
      <c r="B1395" s="3">
        <f>HYPERLINK("https://leetcode.com/problems/sum-of-mutated-array-closest-to-target/", "Sum of Mutated Array Closest to Target")</f>
        <v/>
      </c>
      <c r="C1395" s="1" t="n">
        <v>1212</v>
      </c>
      <c r="D1395" s="1" t="n">
        <v>155</v>
      </c>
      <c r="E1395" s="4">
        <f>IF(INDEX(C:C, ROW())+INDEX(D:D, ROW())=0, 0, INDEX(C:C, ROW())/(INDEX(C:C, ROW())+INDEX(D:D, ROW())))</f>
        <v/>
      </c>
      <c r="F1395" s="1" t="inlineStr">
        <is>
          <t>Array, Binary Search, Sorting</t>
        </is>
      </c>
      <c r="G1395" s="1" t="inlineStr">
        <is>
          <t>Medium</t>
        </is>
      </c>
      <c r="H1395" s="1" t="n">
        <v>49778</v>
      </c>
      <c r="I1395" s="1" t="n">
        <v>107587</v>
      </c>
      <c r="J1395" s="9" t="n">
        <v>0.463</v>
      </c>
      <c r="K1395" s="1" t="inlineStr">
        <is>
          <t>Yes</t>
        </is>
      </c>
      <c r="L1395" s="1" t="inlineStr">
        <is>
          <t>No</t>
        </is>
      </c>
      <c r="M1395" s="1" t="inlineStr">
        <is>
          <t>No</t>
        </is>
      </c>
      <c r="N1395" s="1" t="inlineStr">
        <is>
          <t>Algorithms</t>
        </is>
      </c>
      <c r="O13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95" s="11" t="inlineStr">
        <is>
          <t>To Do</t>
        </is>
      </c>
    </row>
    <row r="1396" ht="15.75" customHeight="1" s="12">
      <c r="A1396" s="1" t="n">
        <v>1894</v>
      </c>
      <c r="B1396" s="3">
        <f>HYPERLINK("https://leetcode.com/problems/find-the-student-that-will-replace-the-chalk/", "Find the Student that Will Replace the Chalk")</f>
        <v/>
      </c>
      <c r="C1396" s="1" t="n">
        <v>1212</v>
      </c>
      <c r="D1396" s="1" t="n">
        <v>135</v>
      </c>
      <c r="E1396" s="4">
        <f>IF(INDEX(C:C, ROW())+INDEX(D:D, ROW())=0, 0, INDEX(C:C, ROW())/(INDEX(C:C, ROW())+INDEX(D:D, ROW())))</f>
        <v/>
      </c>
      <c r="F1396" s="1" t="inlineStr">
        <is>
          <t>Array, Binary Search, Simulation, Prefix Sum</t>
        </is>
      </c>
      <c r="G1396" s="1" t="inlineStr">
        <is>
          <t>Medium</t>
        </is>
      </c>
      <c r="H1396" s="1" t="n">
        <v>203726</v>
      </c>
      <c r="I1396" s="1" t="n">
        <v>383093</v>
      </c>
      <c r="J1396" s="9" t="n">
        <v>0.532</v>
      </c>
      <c r="K1396" s="1" t="inlineStr">
        <is>
          <t>Yes</t>
        </is>
      </c>
      <c r="L1396" s="1" t="inlineStr">
        <is>
          <t>Yes</t>
        </is>
      </c>
      <c r="M1396" s="1" t="inlineStr">
        <is>
          <t>No</t>
        </is>
      </c>
      <c r="N1396" s="1" t="inlineStr">
        <is>
          <t>Algorithms</t>
        </is>
      </c>
      <c r="O13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96" s="11" t="inlineStr">
        <is>
          <t>To Do</t>
        </is>
      </c>
    </row>
    <row r="1397" ht="15.75" customHeight="1" s="12">
      <c r="A1397" s="1" t="n">
        <v>1534</v>
      </c>
      <c r="B1397" s="3">
        <f>HYPERLINK("https://leetcode.com/problems/count-good-triplets/", "Count Good Triplets")</f>
        <v/>
      </c>
      <c r="C1397" s="1" t="n">
        <v>1210</v>
      </c>
      <c r="D1397" s="1" t="n">
        <v>1250</v>
      </c>
      <c r="E1397" s="4">
        <f>IF(INDEX(C:C, ROW())+INDEX(D:D, ROW())=0, 0, INDEX(C:C, ROW())/(INDEX(C:C, ROW())+INDEX(D:D, ROW())))</f>
        <v/>
      </c>
      <c r="F1397" s="1" t="inlineStr">
        <is>
          <t>Array, Enumeration</t>
        </is>
      </c>
      <c r="G1397" s="1" t="inlineStr">
        <is>
          <t>Easy</t>
        </is>
      </c>
      <c r="H1397" s="1" t="n">
        <v>289020</v>
      </c>
      <c r="I1397" s="1" t="n">
        <v>337944</v>
      </c>
      <c r="J1397" s="9" t="n">
        <v>0.855</v>
      </c>
      <c r="K1397" s="1" t="inlineStr">
        <is>
          <t>Yes</t>
        </is>
      </c>
      <c r="L1397" s="1" t="inlineStr">
        <is>
          <t>Yes</t>
        </is>
      </c>
      <c r="M1397" s="1" t="inlineStr">
        <is>
          <t>No</t>
        </is>
      </c>
      <c r="N1397" s="1" t="inlineStr">
        <is>
          <t>Algorithms</t>
        </is>
      </c>
      <c r="O13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97" s="13" t="inlineStr">
        <is>
          <t>Done</t>
        </is>
      </c>
    </row>
    <row r="1398" ht="15.75" customHeight="1" s="12">
      <c r="A1398" s="1" t="n">
        <v>482</v>
      </c>
      <c r="B1398" s="3">
        <f>HYPERLINK("https://leetcode.com/problems/license-key-formatting/", "License Key Formatting")</f>
        <v/>
      </c>
      <c r="C1398" s="1" t="n">
        <v>1209</v>
      </c>
      <c r="D1398" s="1" t="n">
        <v>1472</v>
      </c>
      <c r="E1398" s="4">
        <f>IF(INDEX(C:C, ROW())+INDEX(D:D, ROW())=0, 0, INDEX(C:C, ROW())/(INDEX(C:C, ROW())+INDEX(D:D, ROW())))</f>
        <v/>
      </c>
      <c r="F1398" s="1" t="inlineStr">
        <is>
          <t>String</t>
        </is>
      </c>
      <c r="G1398" s="1" t="inlineStr">
        <is>
          <t>Easy</t>
        </is>
      </c>
      <c r="H1398" s="1" t="n">
        <v>362218</v>
      </c>
      <c r="I1398" s="1" t="n">
        <v>787953</v>
      </c>
      <c r="J1398" s="9" t="n">
        <v>0.46</v>
      </c>
      <c r="K1398" s="1" t="inlineStr">
        <is>
          <t>Yes</t>
        </is>
      </c>
      <c r="L1398" s="1" t="inlineStr">
        <is>
          <t>Yes</t>
        </is>
      </c>
      <c r="M1398" s="1" t="inlineStr">
        <is>
          <t>No</t>
        </is>
      </c>
      <c r="N1398" s="1" t="inlineStr">
        <is>
          <t>Algorithms</t>
        </is>
      </c>
      <c r="O13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98" s="13" t="inlineStr">
        <is>
          <t>Done</t>
        </is>
      </c>
    </row>
    <row r="1399" ht="15.75" customHeight="1" s="12">
      <c r="A1399" s="1" t="n">
        <v>1168</v>
      </c>
      <c r="B1399" s="3">
        <f>HYPERLINK("https://leetcode.com/problems/optimize-water-distribution-in-a-village/", "Optimize Water Distribution in a Village")</f>
        <v/>
      </c>
      <c r="C1399" s="1" t="n">
        <v>1209</v>
      </c>
      <c r="D1399" s="1" t="n">
        <v>40</v>
      </c>
      <c r="E1399" s="4">
        <f>IF(INDEX(C:C, ROW())+INDEX(D:D, ROW())=0, 0, INDEX(C:C, ROW())/(INDEX(C:C, ROW())+INDEX(D:D, ROW())))</f>
        <v/>
      </c>
      <c r="F1399" s="1" t="inlineStr">
        <is>
          <t>Union-Find, Graph Theory, Heap (Priority Queue), Minimum Spanning Tree</t>
        </is>
      </c>
      <c r="G1399" s="1" t="inlineStr">
        <is>
          <t>Hard</t>
        </is>
      </c>
      <c r="H1399" s="1" t="n">
        <v>59900</v>
      </c>
      <c r="I1399" s="1" t="n">
        <v>91380</v>
      </c>
      <c r="J1399" s="9" t="n">
        <v>0.656</v>
      </c>
      <c r="K1399" s="1" t="inlineStr">
        <is>
          <t>No</t>
        </is>
      </c>
      <c r="L1399" s="1" t="inlineStr">
        <is>
          <t>Yes</t>
        </is>
      </c>
      <c r="M1399" s="1" t="inlineStr">
        <is>
          <t>No</t>
        </is>
      </c>
      <c r="N1399" s="1" t="inlineStr">
        <is>
          <t>Algorithms</t>
        </is>
      </c>
      <c r="O13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399" s="11" t="inlineStr">
        <is>
          <t>To Do</t>
        </is>
      </c>
    </row>
    <row r="1400" ht="15.75" customHeight="1" s="12">
      <c r="A1400" s="1" t="n">
        <v>803</v>
      </c>
      <c r="B1400" s="3">
        <f>HYPERLINK("https://leetcode.com/problems/bricks-falling-when-hit/", "Bricks Falling When Hit")</f>
        <v/>
      </c>
      <c r="C1400" s="1" t="n">
        <v>1208</v>
      </c>
      <c r="D1400" s="1" t="n">
        <v>193</v>
      </c>
      <c r="E1400" s="4">
        <f>IF(INDEX(C:C, ROW())+INDEX(D:D, ROW())=0, 0, INDEX(C:C, ROW())/(INDEX(C:C, ROW())+INDEX(D:D, ROW())))</f>
        <v/>
      </c>
      <c r="F1400" s="1" t="inlineStr">
        <is>
          <t>Array, Union-Find, Matrix</t>
        </is>
      </c>
      <c r="G1400" s="1" t="inlineStr">
        <is>
          <t>Hard</t>
        </is>
      </c>
      <c r="H1400" s="1" t="n">
        <v>38487</v>
      </c>
      <c r="I1400" s="1" t="n">
        <v>103473</v>
      </c>
      <c r="J1400" s="9" t="n">
        <v>0.372</v>
      </c>
      <c r="K1400" s="1" t="inlineStr">
        <is>
          <t>Yes</t>
        </is>
      </c>
      <c r="L1400" s="1" t="inlineStr">
        <is>
          <t>Yes</t>
        </is>
      </c>
      <c r="M1400" s="1" t="inlineStr">
        <is>
          <t>No</t>
        </is>
      </c>
      <c r="N1400" s="1" t="inlineStr">
        <is>
          <t>Algorithms</t>
        </is>
      </c>
      <c r="O14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00" s="11" t="inlineStr">
        <is>
          <t>To Do</t>
        </is>
      </c>
    </row>
    <row r="1401" ht="15.75" customHeight="1" s="12">
      <c r="A1401" s="1" t="n">
        <v>549</v>
      </c>
      <c r="B1401" s="3">
        <f>HYPERLINK("https://leetcode.com/problems/binary-tree-longest-consecutive-sequence-ii/", "Binary Tree Longest Consecutive Sequence II")</f>
        <v/>
      </c>
      <c r="C1401" s="1" t="n">
        <v>1204</v>
      </c>
      <c r="D1401" s="1" t="n">
        <v>106</v>
      </c>
      <c r="E1401" s="4">
        <f>IF(INDEX(C:C, ROW())+INDEX(D:D, ROW())=0, 0, INDEX(C:C, ROW())/(INDEX(C:C, ROW())+INDEX(D:D, ROW())))</f>
        <v/>
      </c>
      <c r="F1401" s="1" t="inlineStr">
        <is>
          <t>Tree, Depth-First Search, Binary Tree</t>
        </is>
      </c>
      <c r="G1401" s="1" t="inlineStr">
        <is>
          <t>Medium</t>
        </is>
      </c>
      <c r="H1401" s="1" t="n">
        <v>62883</v>
      </c>
      <c r="I1401" s="1" t="n">
        <v>125514</v>
      </c>
      <c r="J1401" s="9" t="n">
        <v>0.501</v>
      </c>
      <c r="K1401" s="1" t="inlineStr">
        <is>
          <t>No</t>
        </is>
      </c>
      <c r="L1401" s="1" t="inlineStr">
        <is>
          <t>Yes</t>
        </is>
      </c>
      <c r="M1401" s="1" t="inlineStr">
        <is>
          <t>No</t>
        </is>
      </c>
      <c r="N1401" s="1" t="inlineStr">
        <is>
          <t>Algorithms</t>
        </is>
      </c>
      <c r="O14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01" s="11" t="inlineStr">
        <is>
          <t>To Do</t>
        </is>
      </c>
    </row>
    <row r="1402" ht="15.75" customHeight="1" s="12">
      <c r="A1402" s="1" t="n">
        <v>1786</v>
      </c>
      <c r="B1402" s="3">
        <f>HYPERLINK("https://leetcode.com/problems/number-of-restricted-paths-from-first-to-last-node/", "Number of Restricted Paths From First to Last Node")</f>
        <v/>
      </c>
      <c r="C1402" s="1" t="n">
        <v>1204</v>
      </c>
      <c r="D1402" s="1" t="n">
        <v>233</v>
      </c>
      <c r="E1402" s="4">
        <f>IF(INDEX(C:C, ROW())+INDEX(D:D, ROW())=0, 0, INDEX(C:C, ROW())/(INDEX(C:C, ROW())+INDEX(D:D, ROW())))</f>
        <v/>
      </c>
      <c r="F1402" s="1" t="inlineStr">
        <is>
          <t>Dynamic Programming, Graph Theory, Topological Sort, Heap (Priority Queue), Shortest Path</t>
        </is>
      </c>
      <c r="G1402" s="1" t="inlineStr">
        <is>
          <t>Medium</t>
        </is>
      </c>
      <c r="H1402" s="1" t="n">
        <v>34934</v>
      </c>
      <c r="I1402" s="1" t="n">
        <v>84997</v>
      </c>
      <c r="J1402" s="9" t="n">
        <v>0.411</v>
      </c>
      <c r="K1402" s="1" t="inlineStr">
        <is>
          <t>Yes</t>
        </is>
      </c>
      <c r="L1402" s="1" t="inlineStr">
        <is>
          <t>No</t>
        </is>
      </c>
      <c r="M1402" s="1" t="inlineStr">
        <is>
          <t>No</t>
        </is>
      </c>
      <c r="N1402" s="1" t="inlineStr">
        <is>
          <t>Algorithms</t>
        </is>
      </c>
      <c r="O14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02" s="11" t="inlineStr">
        <is>
          <t>To Do</t>
        </is>
      </c>
    </row>
    <row r="1403" ht="15.75" customHeight="1" s="12">
      <c r="A1403" s="1" t="n">
        <v>1945</v>
      </c>
      <c r="B1403" s="3">
        <f>HYPERLINK("https://leetcode.com/problems/sum-of-digits-of-string-after-convert/", "Sum of Digits of String After Convert")</f>
        <v/>
      </c>
      <c r="C1403" s="1" t="n">
        <v>1204</v>
      </c>
      <c r="D1403" s="1" t="n">
        <v>104</v>
      </c>
      <c r="E1403" s="4">
        <f>IF(INDEX(C:C, ROW())+INDEX(D:D, ROW())=0, 0, INDEX(C:C, ROW())/(INDEX(C:C, ROW())+INDEX(D:D, ROW())))</f>
        <v/>
      </c>
      <c r="F1403" s="1" t="inlineStr">
        <is>
          <t>String, Simulation</t>
        </is>
      </c>
      <c r="G1403" s="1" t="inlineStr">
        <is>
          <t>Easy</t>
        </is>
      </c>
      <c r="H1403" s="1" t="n">
        <v>238378</v>
      </c>
      <c r="I1403" s="1" t="n">
        <v>318781</v>
      </c>
      <c r="J1403" s="9" t="n">
        <v>0.748</v>
      </c>
      <c r="K1403" s="1" t="inlineStr">
        <is>
          <t>Yes</t>
        </is>
      </c>
      <c r="L1403" s="1" t="inlineStr">
        <is>
          <t>Yes</t>
        </is>
      </c>
      <c r="M1403" s="1" t="inlineStr">
        <is>
          <t>No</t>
        </is>
      </c>
      <c r="N1403" s="1" t="inlineStr">
        <is>
          <t>Algorithms</t>
        </is>
      </c>
      <c r="O14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03" s="13" t="inlineStr">
        <is>
          <t>Done</t>
        </is>
      </c>
    </row>
    <row r="1404" ht="15.75" customHeight="1" s="12">
      <c r="A1404" s="1" t="n">
        <v>1638</v>
      </c>
      <c r="B1404" s="3">
        <f>HYPERLINK("https://leetcode.com/problems/count-substrings-that-differ-by-one-character/", "Count Substrings That Differ by One Character")</f>
        <v/>
      </c>
      <c r="C1404" s="1" t="n">
        <v>1203</v>
      </c>
      <c r="D1404" s="1" t="n">
        <v>357</v>
      </c>
      <c r="E1404" s="4">
        <f>IF(INDEX(C:C, ROW())+INDEX(D:D, ROW())=0, 0, INDEX(C:C, ROW())/(INDEX(C:C, ROW())+INDEX(D:D, ROW())))</f>
        <v/>
      </c>
      <c r="F1404" s="1" t="inlineStr">
        <is>
          <t>Hash Table, String, Dynamic Programming, Enumeration</t>
        </is>
      </c>
      <c r="G1404" s="1" t="inlineStr">
        <is>
          <t>Medium</t>
        </is>
      </c>
      <c r="H1404" s="1" t="n">
        <v>38080</v>
      </c>
      <c r="I1404" s="1" t="n">
        <v>52700</v>
      </c>
      <c r="J1404" s="9" t="n">
        <v>0.723</v>
      </c>
      <c r="K1404" s="1" t="inlineStr">
        <is>
          <t>Yes</t>
        </is>
      </c>
      <c r="L1404" s="1" t="inlineStr">
        <is>
          <t>No</t>
        </is>
      </c>
      <c r="M1404" s="1" t="inlineStr">
        <is>
          <t>No</t>
        </is>
      </c>
      <c r="N1404" s="1" t="inlineStr">
        <is>
          <t>Algorithms</t>
        </is>
      </c>
      <c r="O14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04" s="11" t="inlineStr">
        <is>
          <t>To Do</t>
        </is>
      </c>
    </row>
    <row r="1405" ht="15.75" customHeight="1" s="12">
      <c r="A1405" s="1" t="n">
        <v>2270</v>
      </c>
      <c r="B1405" s="3">
        <f>HYPERLINK("https://leetcode.com/problems/number-of-ways-to-split-array/", "Number of Ways to Split Array")</f>
        <v/>
      </c>
      <c r="C1405" s="1" t="n">
        <v>1202</v>
      </c>
      <c r="D1405" s="1" t="n">
        <v>100</v>
      </c>
      <c r="E1405" s="4">
        <f>IF(INDEX(C:C, ROW())+INDEX(D:D, ROW())=0, 0, INDEX(C:C, ROW())/(INDEX(C:C, ROW())+INDEX(D:D, ROW())))</f>
        <v/>
      </c>
      <c r="F1405" s="1" t="inlineStr">
        <is>
          <t>Array, Prefix Sum</t>
        </is>
      </c>
      <c r="G1405" s="1" t="inlineStr">
        <is>
          <t>Medium</t>
        </is>
      </c>
      <c r="H1405" s="1" t="n">
        <v>238382</v>
      </c>
      <c r="I1405" s="1" t="n">
        <v>426576</v>
      </c>
      <c r="J1405" s="9" t="n">
        <v>0.5590000000000001</v>
      </c>
      <c r="K1405" s="1" t="inlineStr">
        <is>
          <t>Yes</t>
        </is>
      </c>
      <c r="L1405" s="1" t="inlineStr">
        <is>
          <t>Yes</t>
        </is>
      </c>
      <c r="M1405" s="1" t="inlineStr">
        <is>
          <t>No</t>
        </is>
      </c>
      <c r="N1405" s="1" t="inlineStr">
        <is>
          <t>Algorithms</t>
        </is>
      </c>
      <c r="O14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05" s="11" t="inlineStr">
        <is>
          <t>To Do</t>
        </is>
      </c>
    </row>
    <row r="1406" ht="15.75" customHeight="1" s="12">
      <c r="A1406" s="1" t="n">
        <v>2206</v>
      </c>
      <c r="B1406" s="3">
        <f>HYPERLINK("https://leetcode.com/problems/divide-array-into-equal-pairs/", "Divide Array Into Equal Pairs")</f>
        <v/>
      </c>
      <c r="C1406" s="1" t="n">
        <v>1201</v>
      </c>
      <c r="D1406" s="1" t="n">
        <v>50</v>
      </c>
      <c r="E1406" s="4">
        <f>IF(INDEX(C:C, ROW())+INDEX(D:D, ROW())=0, 0, INDEX(C:C, ROW())/(INDEX(C:C, ROW())+INDEX(D:D, ROW())))</f>
        <v/>
      </c>
      <c r="F1406" s="1" t="inlineStr">
        <is>
          <t>Array, Hash Table, Bit Manipulation, Counting</t>
        </is>
      </c>
      <c r="G1406" s="1" t="inlineStr">
        <is>
          <t>Easy</t>
        </is>
      </c>
      <c r="H1406" s="1" t="n">
        <v>303143</v>
      </c>
      <c r="I1406" s="1" t="n">
        <v>382579</v>
      </c>
      <c r="J1406" s="9" t="n">
        <v>0.792</v>
      </c>
      <c r="K1406" s="1" t="inlineStr">
        <is>
          <t>Yes</t>
        </is>
      </c>
      <c r="L1406" s="1" t="inlineStr">
        <is>
          <t>Yes</t>
        </is>
      </c>
      <c r="M1406" s="1" t="inlineStr">
        <is>
          <t>No</t>
        </is>
      </c>
      <c r="N1406" s="1" t="inlineStr">
        <is>
          <t>Algorithms</t>
        </is>
      </c>
      <c r="O14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06" s="13" t="inlineStr">
        <is>
          <t>Done</t>
        </is>
      </c>
    </row>
    <row r="1407" ht="15.75" customHeight="1" s="12">
      <c r="A1407" s="1" t="n">
        <v>817</v>
      </c>
      <c r="B1407" s="3">
        <f>HYPERLINK("https://leetcode.com/problems/linked-list-components/", "Linked List Components")</f>
        <v/>
      </c>
      <c r="C1407" s="1" t="n">
        <v>1198</v>
      </c>
      <c r="D1407" s="1" t="n">
        <v>2295</v>
      </c>
      <c r="E1407" s="4">
        <f>IF(INDEX(C:C, ROW())+INDEX(D:D, ROW())=0, 0, INDEX(C:C, ROW())/(INDEX(C:C, ROW())+INDEX(D:D, ROW())))</f>
        <v/>
      </c>
      <c r="F1407" s="1" t="inlineStr">
        <is>
          <t>Array, Hash Table, Linked List</t>
        </is>
      </c>
      <c r="G1407" s="1" t="inlineStr">
        <is>
          <t>Medium</t>
        </is>
      </c>
      <c r="H1407" s="1" t="n">
        <v>125619</v>
      </c>
      <c r="I1407" s="1" t="n">
        <v>217009</v>
      </c>
      <c r="J1407" s="9" t="n">
        <v>0.579</v>
      </c>
      <c r="K1407" s="1" t="inlineStr">
        <is>
          <t>Yes</t>
        </is>
      </c>
      <c r="L1407" s="1" t="inlineStr">
        <is>
          <t>Yes</t>
        </is>
      </c>
      <c r="M1407" s="1" t="inlineStr">
        <is>
          <t>No</t>
        </is>
      </c>
      <c r="N1407" s="1" t="inlineStr">
        <is>
          <t>Algorithms</t>
        </is>
      </c>
      <c r="O14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07" s="11" t="inlineStr">
        <is>
          <t>To Do</t>
        </is>
      </c>
    </row>
    <row r="1408" ht="15.75" customHeight="1" s="12">
      <c r="A1408" s="1" t="n">
        <v>1828</v>
      </c>
      <c r="B1408" s="3">
        <f>HYPERLINK("https://leetcode.com/problems/queries-on-number-of-points-inside-a-circle/", "Queries on Number of Points Inside a Circle")</f>
        <v/>
      </c>
      <c r="C1408" s="1" t="n">
        <v>1198</v>
      </c>
      <c r="D1408" s="1" t="n">
        <v>90</v>
      </c>
      <c r="E1408" s="4">
        <f>IF(INDEX(C:C, ROW())+INDEX(D:D, ROW())=0, 0, INDEX(C:C, ROW())/(INDEX(C:C, ROW())+INDEX(D:D, ROW())))</f>
        <v/>
      </c>
      <c r="F1408" s="1" t="inlineStr">
        <is>
          <t>Array, Math, Geometry</t>
        </is>
      </c>
      <c r="G1408" s="1" t="inlineStr">
        <is>
          <t>Medium</t>
        </is>
      </c>
      <c r="H1408" s="1" t="n">
        <v>96195</v>
      </c>
      <c r="I1408" s="1" t="n">
        <v>110840</v>
      </c>
      <c r="J1408" s="9" t="n">
        <v>0.868</v>
      </c>
      <c r="K1408" s="1" t="inlineStr">
        <is>
          <t>Yes</t>
        </is>
      </c>
      <c r="L1408" s="1" t="inlineStr">
        <is>
          <t>No</t>
        </is>
      </c>
      <c r="M1408" s="1" t="inlineStr">
        <is>
          <t>No</t>
        </is>
      </c>
      <c r="N1408" s="1" t="inlineStr">
        <is>
          <t>Algorithms</t>
        </is>
      </c>
      <c r="O14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08" s="11" t="inlineStr">
        <is>
          <t>To Do</t>
        </is>
      </c>
    </row>
    <row r="1409" ht="15.75" customHeight="1" s="12">
      <c r="A1409" s="1" t="n">
        <v>1340</v>
      </c>
      <c r="B1409" s="3">
        <f>HYPERLINK("https://leetcode.com/problems/jump-game-v/", "Jump Game V")</f>
        <v/>
      </c>
      <c r="C1409" s="1" t="n">
        <v>1196</v>
      </c>
      <c r="D1409" s="1" t="n">
        <v>47</v>
      </c>
      <c r="E1409" s="4">
        <f>IF(INDEX(C:C, ROW())+INDEX(D:D, ROW())=0, 0, INDEX(C:C, ROW())/(INDEX(C:C, ROW())+INDEX(D:D, ROW())))</f>
        <v/>
      </c>
      <c r="F1409" s="1" t="inlineStr">
        <is>
          <t>Array, Dynamic Programming, Sorting</t>
        </is>
      </c>
      <c r="G1409" s="1" t="inlineStr">
        <is>
          <t>Hard</t>
        </is>
      </c>
      <c r="H1409" s="1" t="n">
        <v>42909</v>
      </c>
      <c r="I1409" s="1" t="n">
        <v>66051</v>
      </c>
      <c r="J1409" s="9" t="n">
        <v>0.65</v>
      </c>
      <c r="K1409" s="1" t="inlineStr">
        <is>
          <t>Yes</t>
        </is>
      </c>
      <c r="L1409" s="1" t="inlineStr">
        <is>
          <t>No</t>
        </is>
      </c>
      <c r="M1409" s="1" t="inlineStr">
        <is>
          <t>No</t>
        </is>
      </c>
      <c r="N1409" s="1" t="inlineStr">
        <is>
          <t>Algorithms</t>
        </is>
      </c>
      <c r="O14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09" s="11" t="inlineStr">
        <is>
          <t>To Do</t>
        </is>
      </c>
    </row>
    <row r="1410" ht="15.75" customHeight="1" s="12">
      <c r="A1410" s="1" t="n">
        <v>2416</v>
      </c>
      <c r="B1410" s="3">
        <f>HYPERLINK("https://leetcode.com/problems/sum-of-prefix-scores-of-strings/", "Sum of Prefix Scores of Strings")</f>
        <v/>
      </c>
      <c r="C1410" s="1" t="n">
        <v>1196</v>
      </c>
      <c r="D1410" s="1" t="n">
        <v>111</v>
      </c>
      <c r="E1410" s="4">
        <f>IF(INDEX(C:C, ROW())+INDEX(D:D, ROW())=0, 0, INDEX(C:C, ROW())/(INDEX(C:C, ROW())+INDEX(D:D, ROW())))</f>
        <v/>
      </c>
      <c r="F1410" s="1" t="inlineStr">
        <is>
          <t>Array, String, Trie, Counting</t>
        </is>
      </c>
      <c r="G1410" s="1" t="inlineStr">
        <is>
          <t>Hard</t>
        </is>
      </c>
      <c r="H1410" s="1" t="n">
        <v>121372</v>
      </c>
      <c r="I1410" s="1" t="n">
        <v>199662</v>
      </c>
      <c r="J1410" s="9" t="n">
        <v>0.608</v>
      </c>
      <c r="K1410" s="1" t="inlineStr">
        <is>
          <t>Yes</t>
        </is>
      </c>
      <c r="L1410" s="1" t="inlineStr">
        <is>
          <t>Yes</t>
        </is>
      </c>
      <c r="M1410" s="1" t="inlineStr">
        <is>
          <t>No</t>
        </is>
      </c>
      <c r="N1410" s="1" t="inlineStr">
        <is>
          <t>Algorithms</t>
        </is>
      </c>
      <c r="O14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10" s="11" t="inlineStr">
        <is>
          <t>To Do</t>
        </is>
      </c>
    </row>
    <row r="1411" ht="15.75" customHeight="1" s="12">
      <c r="A1411" s="1" t="n">
        <v>2486</v>
      </c>
      <c r="B1411" s="3">
        <f>HYPERLINK("https://leetcode.com/problems/append-characters-to-string-to-make-subsequence/", "Append Characters to String to Make Subsequence")</f>
        <v/>
      </c>
      <c r="C1411" s="1" t="n">
        <v>1196</v>
      </c>
      <c r="D1411" s="1" t="n">
        <v>90</v>
      </c>
      <c r="E1411" s="4">
        <f>IF(INDEX(C:C, ROW())+INDEX(D:D, ROW())=0, 0, INDEX(C:C, ROW())/(INDEX(C:C, ROW())+INDEX(D:D, ROW())))</f>
        <v/>
      </c>
      <c r="F1411" s="1" t="inlineStr">
        <is>
          <t>Two Pointers, String, Greedy</t>
        </is>
      </c>
      <c r="G1411" s="1" t="inlineStr">
        <is>
          <t>Medium</t>
        </is>
      </c>
      <c r="H1411" s="1" t="n">
        <v>224777</v>
      </c>
      <c r="I1411" s="1" t="n">
        <v>307738</v>
      </c>
      <c r="J1411" s="9" t="n">
        <v>0.73</v>
      </c>
      <c r="K1411" s="1" t="inlineStr">
        <is>
          <t>Yes</t>
        </is>
      </c>
      <c r="L1411" s="1" t="inlineStr">
        <is>
          <t>Yes</t>
        </is>
      </c>
      <c r="M1411" s="1" t="inlineStr">
        <is>
          <t>No</t>
        </is>
      </c>
      <c r="N1411" s="1" t="inlineStr">
        <is>
          <t>Algorithms</t>
        </is>
      </c>
      <c r="O14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11" s="11" t="inlineStr">
        <is>
          <t>To Do</t>
        </is>
      </c>
    </row>
    <row r="1412" ht="15.75" customHeight="1" s="12">
      <c r="A1412" s="1" t="n">
        <v>2040</v>
      </c>
      <c r="B1412" s="3">
        <f>HYPERLINK("https://leetcode.com/problems/kth-smallest-product-of-two-sorted-arrays/", "Kth Smallest Product of Two Sorted Arrays")</f>
        <v/>
      </c>
      <c r="C1412" s="1" t="n">
        <v>1195</v>
      </c>
      <c r="D1412" s="1" t="n">
        <v>76</v>
      </c>
      <c r="E1412" s="4">
        <f>IF(INDEX(C:C, ROW())+INDEX(D:D, ROW())=0, 0, INDEX(C:C, ROW())/(INDEX(C:C, ROW())+INDEX(D:D, ROW())))</f>
        <v/>
      </c>
      <c r="F1412" s="1" t="inlineStr">
        <is>
          <t>Array, Binary Search</t>
        </is>
      </c>
      <c r="G1412" s="1" t="inlineStr">
        <is>
          <t>Hard</t>
        </is>
      </c>
      <c r="H1412" s="1" t="n">
        <v>84181</v>
      </c>
      <c r="I1412" s="1" t="n">
        <v>172631</v>
      </c>
      <c r="J1412" s="9" t="n">
        <v>0.488</v>
      </c>
      <c r="K1412" s="1" t="inlineStr">
        <is>
          <t>Yes</t>
        </is>
      </c>
      <c r="L1412" s="1" t="inlineStr">
        <is>
          <t>Yes</t>
        </is>
      </c>
      <c r="M1412" s="1" t="inlineStr">
        <is>
          <t>No</t>
        </is>
      </c>
      <c r="N1412" s="1" t="inlineStr">
        <is>
          <t>Algorithms</t>
        </is>
      </c>
      <c r="O14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12" s="11" t="inlineStr">
        <is>
          <t>To Do</t>
        </is>
      </c>
    </row>
    <row r="1413" ht="15.75" customHeight="1" s="12">
      <c r="A1413" s="1" t="n">
        <v>2958</v>
      </c>
      <c r="B1413" s="3">
        <f>HYPERLINK("https://leetcode.com/problems/length-of-longest-subarray-with-at-most-k-frequency/", "Length of Longest Subarray With at Most K Frequency")</f>
        <v/>
      </c>
      <c r="C1413" s="1" t="n">
        <v>1195</v>
      </c>
      <c r="D1413" s="1" t="n">
        <v>37</v>
      </c>
      <c r="E1413" s="4">
        <f>IF(INDEX(C:C, ROW())+INDEX(D:D, ROW())=0, 0, INDEX(C:C, ROW())/(INDEX(C:C, ROW())+INDEX(D:D, ROW())))</f>
        <v/>
      </c>
      <c r="F1413" s="1" t="inlineStr">
        <is>
          <t>Array, Hash Table, Sliding Window</t>
        </is>
      </c>
      <c r="G1413" s="1" t="inlineStr">
        <is>
          <t>Medium</t>
        </is>
      </c>
      <c r="H1413" s="1" t="n">
        <v>193037</v>
      </c>
      <c r="I1413" s="1" t="n">
        <v>341309</v>
      </c>
      <c r="J1413" s="9" t="n">
        <v>0.5659999999999999</v>
      </c>
      <c r="K1413" s="1" t="inlineStr">
        <is>
          <t>Yes</t>
        </is>
      </c>
      <c r="L1413" s="1" t="inlineStr">
        <is>
          <t>Yes</t>
        </is>
      </c>
      <c r="M1413" s="1" t="inlineStr">
        <is>
          <t>No</t>
        </is>
      </c>
      <c r="N1413" s="1" t="inlineStr">
        <is>
          <t>Algorithms</t>
        </is>
      </c>
      <c r="O14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13" s="11" t="inlineStr">
        <is>
          <t>To Do</t>
        </is>
      </c>
    </row>
    <row r="1414" ht="15.75" customHeight="1" s="12">
      <c r="A1414" s="1" t="n">
        <v>1873</v>
      </c>
      <c r="B1414" s="3">
        <f>HYPERLINK("https://leetcode.com/problems/calculate-special-bonus/", "Calculate Special Bonus")</f>
        <v/>
      </c>
      <c r="C1414" s="1" t="n">
        <v>1193</v>
      </c>
      <c r="D1414" s="1" t="n">
        <v>83</v>
      </c>
      <c r="E1414" s="4">
        <f>IF(INDEX(C:C, ROW())+INDEX(D:D, ROW())=0, 0, INDEX(C:C, ROW())/(INDEX(C:C, ROW())+INDEX(D:D, ROW())))</f>
        <v/>
      </c>
      <c r="F1414" s="1" t="inlineStr">
        <is>
          <t>Database</t>
        </is>
      </c>
      <c r="G1414" s="1" t="inlineStr">
        <is>
          <t>Easy</t>
        </is>
      </c>
      <c r="H1414" s="1" t="n">
        <v>346837</v>
      </c>
      <c r="I1414" s="1" t="n">
        <v>608291</v>
      </c>
      <c r="J1414" s="9" t="n">
        <v>0.57</v>
      </c>
      <c r="K1414" s="1" t="inlineStr">
        <is>
          <t>Yes</t>
        </is>
      </c>
      <c r="L1414" s="1" t="inlineStr">
        <is>
          <t>Yes</t>
        </is>
      </c>
      <c r="M1414" s="1" t="inlineStr">
        <is>
          <t>No</t>
        </is>
      </c>
      <c r="N1414" s="1" t="inlineStr">
        <is>
          <t>Database</t>
        </is>
      </c>
      <c r="O14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14" s="13" t="inlineStr">
        <is>
          <t>Done</t>
        </is>
      </c>
    </row>
    <row r="1415" ht="15.75" customHeight="1" s="12">
      <c r="A1415" s="1" t="n">
        <v>2351</v>
      </c>
      <c r="B1415" s="3">
        <f>HYPERLINK("https://leetcode.com/problems/first-letter-to-appear-twice/", "First Letter to Appear Twice")</f>
        <v/>
      </c>
      <c r="C1415" s="1" t="n">
        <v>1193</v>
      </c>
      <c r="D1415" s="1" t="n">
        <v>65</v>
      </c>
      <c r="E1415" s="4">
        <f>IF(INDEX(C:C, ROW())+INDEX(D:D, ROW())=0, 0, INDEX(C:C, ROW())/(INDEX(C:C, ROW())+INDEX(D:D, ROW())))</f>
        <v/>
      </c>
      <c r="F1415" s="1" t="inlineStr">
        <is>
          <t>Hash Table, String, Bit Manipulation, Counting</t>
        </is>
      </c>
      <c r="G1415" s="1" t="inlineStr">
        <is>
          <t>Easy</t>
        </is>
      </c>
      <c r="H1415" s="1" t="n">
        <v>200371</v>
      </c>
      <c r="I1415" s="1" t="n">
        <v>267255</v>
      </c>
      <c r="J1415" s="9" t="n">
        <v>0.75</v>
      </c>
      <c r="K1415" s="1" t="inlineStr">
        <is>
          <t>Yes</t>
        </is>
      </c>
      <c r="L1415" s="1" t="inlineStr">
        <is>
          <t>No</t>
        </is>
      </c>
      <c r="M1415" s="1" t="inlineStr">
        <is>
          <t>No</t>
        </is>
      </c>
      <c r="N1415" s="1" t="inlineStr">
        <is>
          <t>Algorithms</t>
        </is>
      </c>
      <c r="O14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15" s="13" t="inlineStr">
        <is>
          <t>Done</t>
        </is>
      </c>
    </row>
    <row r="1416" ht="15.75" customHeight="1" s="12">
      <c r="A1416" s="1" t="n">
        <v>163</v>
      </c>
      <c r="B1416" s="3">
        <f>HYPERLINK("https://leetcode.com/problems/missing-ranges/", "Missing Ranges")</f>
        <v/>
      </c>
      <c r="C1416" s="1" t="n">
        <v>1191</v>
      </c>
      <c r="D1416" s="1" t="n">
        <v>3025</v>
      </c>
      <c r="E1416" s="4">
        <f>IF(INDEX(C:C, ROW())+INDEX(D:D, ROW())=0, 0, INDEX(C:C, ROW())/(INDEX(C:C, ROW())+INDEX(D:D, ROW())))</f>
        <v/>
      </c>
      <c r="F1416" s="1" t="inlineStr">
        <is>
          <t>Array</t>
        </is>
      </c>
      <c r="G1416" s="1" t="inlineStr">
        <is>
          <t>Easy</t>
        </is>
      </c>
      <c r="H1416" s="1" t="n">
        <v>311043</v>
      </c>
      <c r="I1416" s="1" t="n">
        <v>872228</v>
      </c>
      <c r="J1416" s="9" t="n">
        <v>0.357</v>
      </c>
      <c r="K1416" s="1" t="inlineStr">
        <is>
          <t>No</t>
        </is>
      </c>
      <c r="L1416" s="1" t="inlineStr">
        <is>
          <t>Yes</t>
        </is>
      </c>
      <c r="M1416" s="1" t="inlineStr">
        <is>
          <t>No</t>
        </is>
      </c>
      <c r="N1416" s="1" t="inlineStr">
        <is>
          <t>Algorithms</t>
        </is>
      </c>
      <c r="O14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16" s="13" t="inlineStr">
        <is>
          <t>Done</t>
        </is>
      </c>
    </row>
    <row r="1417" ht="15.75" customHeight="1" s="12">
      <c r="A1417" s="1" t="n">
        <v>1986</v>
      </c>
      <c r="B1417" s="3">
        <f>HYPERLINK("https://leetcode.com/problems/minimum-number-of-work-sessions-to-finish-the-tasks/", "Minimum Number of Work Sessions to Finish the Tasks")</f>
        <v/>
      </c>
      <c r="C1417" s="1" t="n">
        <v>1190</v>
      </c>
      <c r="D1417" s="1" t="n">
        <v>71</v>
      </c>
      <c r="E1417" s="4">
        <f>IF(INDEX(C:C, ROW())+INDEX(D:D, ROW())=0, 0, INDEX(C:C, ROW())/(INDEX(C:C, ROW())+INDEX(D:D, ROW())))</f>
        <v/>
      </c>
      <c r="F1417" s="1" t="inlineStr">
        <is>
          <t>Array, Dynamic Programming, Backtracking, Bit Manipulation, Bitmask</t>
        </is>
      </c>
      <c r="G1417" s="1" t="inlineStr">
        <is>
          <t>Medium</t>
        </is>
      </c>
      <c r="H1417" s="1" t="n">
        <v>35117</v>
      </c>
      <c r="I1417" s="1" t="n">
        <v>100930</v>
      </c>
      <c r="J1417" s="9" t="n">
        <v>0.348</v>
      </c>
      <c r="K1417" s="1" t="inlineStr">
        <is>
          <t>Yes</t>
        </is>
      </c>
      <c r="L1417" s="1" t="inlineStr">
        <is>
          <t>No</t>
        </is>
      </c>
      <c r="M1417" s="1" t="inlineStr">
        <is>
          <t>No</t>
        </is>
      </c>
      <c r="N1417" s="1" t="inlineStr">
        <is>
          <t>Algorithms</t>
        </is>
      </c>
      <c r="O14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17" s="11" t="inlineStr">
        <is>
          <t>To Do</t>
        </is>
      </c>
    </row>
    <row r="1418" ht="15.75" customHeight="1" s="12">
      <c r="A1418" s="1" t="n">
        <v>2049</v>
      </c>
      <c r="B1418" s="3">
        <f>HYPERLINK("https://leetcode.com/problems/count-nodes-with-the-highest-score/", "Count Nodes With the Highest Score")</f>
        <v/>
      </c>
      <c r="C1418" s="1" t="n">
        <v>1189</v>
      </c>
      <c r="D1418" s="1" t="n">
        <v>100</v>
      </c>
      <c r="E1418" s="4">
        <f>IF(INDEX(C:C, ROW())+INDEX(D:D, ROW())=0, 0, INDEX(C:C, ROW())/(INDEX(C:C, ROW())+INDEX(D:D, ROW())))</f>
        <v/>
      </c>
      <c r="F1418" s="1" t="inlineStr">
        <is>
          <t>Array, Tree, Depth-First Search, Binary Tree</t>
        </is>
      </c>
      <c r="G1418" s="1" t="inlineStr">
        <is>
          <t>Medium</t>
        </is>
      </c>
      <c r="H1418" s="1" t="n">
        <v>42082</v>
      </c>
      <c r="I1418" s="1" t="n">
        <v>79875</v>
      </c>
      <c r="J1418" s="9" t="n">
        <v>0.527</v>
      </c>
      <c r="K1418" s="1" t="inlineStr">
        <is>
          <t>Yes</t>
        </is>
      </c>
      <c r="L1418" s="1" t="inlineStr">
        <is>
          <t>No</t>
        </is>
      </c>
      <c r="M1418" s="1" t="inlineStr">
        <is>
          <t>No</t>
        </is>
      </c>
      <c r="N1418" s="1" t="inlineStr">
        <is>
          <t>Algorithms</t>
        </is>
      </c>
      <c r="O14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18" s="11" t="inlineStr">
        <is>
          <t>To Do</t>
        </is>
      </c>
    </row>
    <row r="1419" ht="15.75" customHeight="1" s="12">
      <c r="A1419" s="1" t="n">
        <v>298</v>
      </c>
      <c r="B1419" s="3">
        <f>HYPERLINK("https://leetcode.com/problems/binary-tree-longest-consecutive-sequence/", "Binary Tree Longest Consecutive Sequence")</f>
        <v/>
      </c>
      <c r="C1419" s="1" t="n">
        <v>1185</v>
      </c>
      <c r="D1419" s="1" t="n">
        <v>239</v>
      </c>
      <c r="E1419" s="4">
        <f>IF(INDEX(C:C, ROW())+INDEX(D:D, ROW())=0, 0, INDEX(C:C, ROW())/(INDEX(C:C, ROW())+INDEX(D:D, ROW())))</f>
        <v/>
      </c>
      <c r="F1419" s="1" t="inlineStr">
        <is>
          <t>Tree, Depth-First Search, Binary Tree</t>
        </is>
      </c>
      <c r="G1419" s="1" t="inlineStr">
        <is>
          <t>Medium</t>
        </is>
      </c>
      <c r="H1419" s="1" t="n">
        <v>165688</v>
      </c>
      <c r="I1419" s="1" t="n">
        <v>302625</v>
      </c>
      <c r="J1419" s="9" t="n">
        <v>0.548</v>
      </c>
      <c r="K1419" s="1" t="inlineStr">
        <is>
          <t>No</t>
        </is>
      </c>
      <c r="L1419" s="1" t="inlineStr">
        <is>
          <t>Yes</t>
        </is>
      </c>
      <c r="M1419" s="1" t="inlineStr">
        <is>
          <t>No</t>
        </is>
      </c>
      <c r="N1419" s="1" t="inlineStr">
        <is>
          <t>Algorithms</t>
        </is>
      </c>
      <c r="O14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19" s="11" t="inlineStr">
        <is>
          <t>To Do</t>
        </is>
      </c>
    </row>
    <row r="1420" ht="15.75" customHeight="1" s="12">
      <c r="A1420" s="1" t="n">
        <v>842</v>
      </c>
      <c r="B1420" s="3">
        <f>HYPERLINK("https://leetcode.com/problems/split-array-into-fibonacci-sequence/", "Split Array into Fibonacci Sequence")</f>
        <v/>
      </c>
      <c r="C1420" s="1" t="n">
        <v>1185</v>
      </c>
      <c r="D1420" s="1" t="n">
        <v>310</v>
      </c>
      <c r="E1420" s="4">
        <f>IF(INDEX(C:C, ROW())+INDEX(D:D, ROW())=0, 0, INDEX(C:C, ROW())/(INDEX(C:C, ROW())+INDEX(D:D, ROW())))</f>
        <v/>
      </c>
      <c r="F1420" s="1" t="inlineStr">
        <is>
          <t>String, Backtracking</t>
        </is>
      </c>
      <c r="G1420" s="1" t="inlineStr">
        <is>
          <t>Medium</t>
        </is>
      </c>
      <c r="H1420" s="1" t="n">
        <v>47309</v>
      </c>
      <c r="I1420" s="1" t="n">
        <v>117265</v>
      </c>
      <c r="J1420" s="9" t="n">
        <v>0.403</v>
      </c>
      <c r="K1420" s="1" t="inlineStr">
        <is>
          <t>Yes</t>
        </is>
      </c>
      <c r="L1420" s="1" t="inlineStr">
        <is>
          <t>Yes</t>
        </is>
      </c>
      <c r="M1420" s="1" t="inlineStr">
        <is>
          <t>No</t>
        </is>
      </c>
      <c r="N1420" s="1" t="inlineStr">
        <is>
          <t>Algorithms</t>
        </is>
      </c>
      <c r="O14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20" s="11" t="inlineStr">
        <is>
          <t>To Do</t>
        </is>
      </c>
    </row>
    <row r="1421" ht="15.75" customHeight="1" s="12">
      <c r="A1421" s="1" t="n">
        <v>2559</v>
      </c>
      <c r="B1421" s="3">
        <f>HYPERLINK("https://leetcode.com/problems/count-vowel-strings-in-ranges/", "Count Vowel Strings in Ranges")</f>
        <v/>
      </c>
      <c r="C1421" s="1" t="n">
        <v>1185</v>
      </c>
      <c r="D1421" s="1" t="n">
        <v>72</v>
      </c>
      <c r="E1421" s="4">
        <f>IF(INDEX(C:C, ROW())+INDEX(D:D, ROW())=0, 0, INDEX(C:C, ROW())/(INDEX(C:C, ROW())+INDEX(D:D, ROW())))</f>
        <v/>
      </c>
      <c r="F1421" s="1" t="inlineStr">
        <is>
          <t>Array, String, Prefix Sum</t>
        </is>
      </c>
      <c r="G1421" s="1" t="inlineStr">
        <is>
          <t>Medium</t>
        </is>
      </c>
      <c r="H1421" s="1" t="n">
        <v>203767</v>
      </c>
      <c r="I1421" s="1" t="n">
        <v>300468</v>
      </c>
      <c r="J1421" s="9" t="n">
        <v>0.678</v>
      </c>
      <c r="K1421" s="1" t="inlineStr">
        <is>
          <t>Yes</t>
        </is>
      </c>
      <c r="L1421" s="1" t="inlineStr">
        <is>
          <t>Yes</t>
        </is>
      </c>
      <c r="M1421" s="1" t="inlineStr">
        <is>
          <t>No</t>
        </is>
      </c>
      <c r="N1421" s="1" t="inlineStr">
        <is>
          <t>Algorithms</t>
        </is>
      </c>
      <c r="O14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21" s="11" t="inlineStr">
        <is>
          <t>To Do</t>
        </is>
      </c>
    </row>
    <row r="1422" ht="15.75" customHeight="1" s="12">
      <c r="A1422" s="1" t="n">
        <v>854</v>
      </c>
      <c r="B1422" s="3">
        <f>HYPERLINK("https://leetcode.com/problems/k-similar-strings/", "K-Similar Strings")</f>
        <v/>
      </c>
      <c r="C1422" s="1" t="n">
        <v>1184</v>
      </c>
      <c r="D1422" s="1" t="n">
        <v>63</v>
      </c>
      <c r="E1422" s="4">
        <f>IF(INDEX(C:C, ROW())+INDEX(D:D, ROW())=0, 0, INDEX(C:C, ROW())/(INDEX(C:C, ROW())+INDEX(D:D, ROW())))</f>
        <v/>
      </c>
      <c r="F1422" s="1" t="inlineStr">
        <is>
          <t>Hash Table, String, Breadth-First Search</t>
        </is>
      </c>
      <c r="G1422" s="1" t="inlineStr">
        <is>
          <t>Hard</t>
        </is>
      </c>
      <c r="H1422" s="1" t="n">
        <v>54872</v>
      </c>
      <c r="I1422" s="1" t="n">
        <v>134312</v>
      </c>
      <c r="J1422" s="9" t="n">
        <v>0.409</v>
      </c>
      <c r="K1422" s="1" t="inlineStr">
        <is>
          <t>Yes</t>
        </is>
      </c>
      <c r="L1422" s="1" t="inlineStr">
        <is>
          <t>Yes</t>
        </is>
      </c>
      <c r="M1422" s="1" t="inlineStr">
        <is>
          <t>No</t>
        </is>
      </c>
      <c r="N1422" s="1" t="inlineStr">
        <is>
          <t>Algorithms</t>
        </is>
      </c>
      <c r="O14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22" s="11" t="inlineStr">
        <is>
          <t>To Do</t>
        </is>
      </c>
    </row>
    <row r="1423" ht="15.75" customHeight="1" s="12">
      <c r="A1423" s="1" t="n">
        <v>2698</v>
      </c>
      <c r="B1423" s="3">
        <f>HYPERLINK("https://leetcode.com/problems/find-the-punishment-number-of-an-integer/", "Find the Punishment Number of an Integer")</f>
        <v/>
      </c>
      <c r="C1423" s="1" t="n">
        <v>1183</v>
      </c>
      <c r="D1423" s="1" t="n">
        <v>249</v>
      </c>
      <c r="E1423" s="4">
        <f>IF(INDEX(C:C, ROW())+INDEX(D:D, ROW())=0, 0, INDEX(C:C, ROW())/(INDEX(C:C, ROW())+INDEX(D:D, ROW())))</f>
        <v/>
      </c>
      <c r="F1423" s="1" t="inlineStr">
        <is>
          <t>Math, Backtracking</t>
        </is>
      </c>
      <c r="G1423" s="1" t="inlineStr">
        <is>
          <t>Medium</t>
        </is>
      </c>
      <c r="H1423" s="1" t="n">
        <v>152040</v>
      </c>
      <c r="I1423" s="1" t="n">
        <v>186091</v>
      </c>
      <c r="J1423" s="9" t="n">
        <v>0.8169999999999999</v>
      </c>
      <c r="K1423" s="1" t="inlineStr">
        <is>
          <t>Yes</t>
        </is>
      </c>
      <c r="L1423" s="1" t="inlineStr">
        <is>
          <t>Yes</t>
        </is>
      </c>
      <c r="M1423" s="1" t="inlineStr">
        <is>
          <t>No</t>
        </is>
      </c>
      <c r="N1423" s="1" t="inlineStr">
        <is>
          <t>Algorithms</t>
        </is>
      </c>
      <c r="O14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23" s="11" t="inlineStr">
        <is>
          <t>To Do</t>
        </is>
      </c>
    </row>
    <row r="1424" ht="15.75" customHeight="1" s="12">
      <c r="A1424" s="1" t="n">
        <v>772</v>
      </c>
      <c r="B1424" s="3">
        <f>HYPERLINK("https://leetcode.com/problems/basic-calculator-iii/", "Basic Calculator III")</f>
        <v/>
      </c>
      <c r="C1424" s="1" t="n">
        <v>1182</v>
      </c>
      <c r="D1424" s="1" t="n">
        <v>295</v>
      </c>
      <c r="E1424" s="4">
        <f>IF(INDEX(C:C, ROW())+INDEX(D:D, ROW())=0, 0, INDEX(C:C, ROW())/(INDEX(C:C, ROW())+INDEX(D:D, ROW())))</f>
        <v/>
      </c>
      <c r="F1424" s="1" t="inlineStr">
        <is>
          <t>Math, String, Stack, Recursion</t>
        </is>
      </c>
      <c r="G1424" s="1" t="inlineStr">
        <is>
          <t>Hard</t>
        </is>
      </c>
      <c r="H1424" s="1" t="n">
        <v>156586</v>
      </c>
      <c r="I1424" s="1" t="n">
        <v>293805</v>
      </c>
      <c r="J1424" s="9" t="n">
        <v>0.533</v>
      </c>
      <c r="K1424" s="1" t="inlineStr">
        <is>
          <t>No</t>
        </is>
      </c>
      <c r="L1424" s="1" t="inlineStr">
        <is>
          <t>Yes</t>
        </is>
      </c>
      <c r="M1424" s="1" t="inlineStr">
        <is>
          <t>No</t>
        </is>
      </c>
      <c r="N1424" s="1" t="inlineStr">
        <is>
          <t>Algorithms</t>
        </is>
      </c>
      <c r="O14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24" s="11" t="inlineStr">
        <is>
          <t>To Do</t>
        </is>
      </c>
    </row>
    <row r="1425" ht="15.75" customHeight="1" s="12">
      <c r="A1425" s="1" t="n">
        <v>254</v>
      </c>
      <c r="B1425" s="3">
        <f>HYPERLINK("https://leetcode.com/problems/factor-combinations/", "Factor Combinations")</f>
        <v/>
      </c>
      <c r="C1425" s="1" t="n">
        <v>1180</v>
      </c>
      <c r="D1425" s="1" t="n">
        <v>76</v>
      </c>
      <c r="E1425" s="4">
        <f>IF(INDEX(C:C, ROW())+INDEX(D:D, ROW())=0, 0, INDEX(C:C, ROW())/(INDEX(C:C, ROW())+INDEX(D:D, ROW())))</f>
        <v/>
      </c>
      <c r="F1425" s="1" t="inlineStr">
        <is>
          <t>Backtracking</t>
        </is>
      </c>
      <c r="G1425" s="1" t="inlineStr">
        <is>
          <t>Medium</t>
        </is>
      </c>
      <c r="H1425" s="1" t="n">
        <v>141217</v>
      </c>
      <c r="I1425" s="1" t="n">
        <v>279419</v>
      </c>
      <c r="J1425" s="9" t="n">
        <v>0.505</v>
      </c>
      <c r="K1425" s="1" t="inlineStr">
        <is>
          <t>No</t>
        </is>
      </c>
      <c r="L1425" s="1" t="inlineStr">
        <is>
          <t>Yes</t>
        </is>
      </c>
      <c r="M1425" s="1" t="inlineStr">
        <is>
          <t>No</t>
        </is>
      </c>
      <c r="N1425" s="1" t="inlineStr">
        <is>
          <t>Algorithms</t>
        </is>
      </c>
      <c r="O14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25" s="11" t="inlineStr">
        <is>
          <t>To Do</t>
        </is>
      </c>
    </row>
    <row r="1426" ht="15.75" customHeight="1" s="12">
      <c r="A1426" s="1" t="n">
        <v>2294</v>
      </c>
      <c r="B1426" s="3">
        <f>HYPERLINK("https://leetcode.com/problems/partition-array-such-that-maximum-difference-is-k/", "Partition Array Such That Maximum Difference Is K")</f>
        <v/>
      </c>
      <c r="C1426" s="1" t="n">
        <v>1180</v>
      </c>
      <c r="D1426" s="1" t="n">
        <v>47</v>
      </c>
      <c r="E1426" s="4">
        <f>IF(INDEX(C:C, ROW())+INDEX(D:D, ROW())=0, 0, INDEX(C:C, ROW())/(INDEX(C:C, ROW())+INDEX(D:D, ROW())))</f>
        <v/>
      </c>
      <c r="F1426" s="1" t="inlineStr">
        <is>
          <t>Array, Greedy, Sorting</t>
        </is>
      </c>
      <c r="G1426" s="1" t="inlineStr">
        <is>
          <t>Medium</t>
        </is>
      </c>
      <c r="H1426" s="1" t="n">
        <v>170501</v>
      </c>
      <c r="I1426" s="1" t="n">
        <v>208419</v>
      </c>
      <c r="J1426" s="9" t="n">
        <v>0.8179999999999999</v>
      </c>
      <c r="K1426" s="1" t="inlineStr">
        <is>
          <t>Yes</t>
        </is>
      </c>
      <c r="L1426" s="1" t="inlineStr">
        <is>
          <t>Yes</t>
        </is>
      </c>
      <c r="M1426" s="1" t="inlineStr">
        <is>
          <t>No</t>
        </is>
      </c>
      <c r="N1426" s="1" t="inlineStr">
        <is>
          <t>Algorithms</t>
        </is>
      </c>
      <c r="O14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26" s="11" t="inlineStr">
        <is>
          <t>To Do</t>
        </is>
      </c>
    </row>
    <row r="1427" ht="15.75" customHeight="1" s="12">
      <c r="A1427" s="1" t="n">
        <v>1478</v>
      </c>
      <c r="B1427" s="3">
        <f>HYPERLINK("https://leetcode.com/problems/allocate-mailboxes/", "Allocate Mailboxes")</f>
        <v/>
      </c>
      <c r="C1427" s="1" t="n">
        <v>1178</v>
      </c>
      <c r="D1427" s="1" t="n">
        <v>23</v>
      </c>
      <c r="E1427" s="4">
        <f>IF(INDEX(C:C, ROW())+INDEX(D:D, ROW())=0, 0, INDEX(C:C, ROW())/(INDEX(C:C, ROW())+INDEX(D:D, ROW())))</f>
        <v/>
      </c>
      <c r="F1427" s="1" t="inlineStr">
        <is>
          <t>Array, Math, Dynamic Programming, Sorting</t>
        </is>
      </c>
      <c r="G1427" s="1" t="inlineStr">
        <is>
          <t>Hard</t>
        </is>
      </c>
      <c r="H1427" s="1" t="n">
        <v>34173</v>
      </c>
      <c r="I1427" s="1" t="n">
        <v>60436</v>
      </c>
      <c r="J1427" s="9" t="n">
        <v>0.5649999999999999</v>
      </c>
      <c r="K1427" s="1" t="inlineStr">
        <is>
          <t>Yes</t>
        </is>
      </c>
      <c r="L1427" s="1" t="inlineStr">
        <is>
          <t>No</t>
        </is>
      </c>
      <c r="M1427" s="1" t="inlineStr">
        <is>
          <t>No</t>
        </is>
      </c>
      <c r="N1427" s="1" t="inlineStr">
        <is>
          <t>Algorithms</t>
        </is>
      </c>
      <c r="O14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27" s="11" t="inlineStr">
        <is>
          <t>To Do</t>
        </is>
      </c>
    </row>
    <row r="1428" ht="15.75" customHeight="1" s="12">
      <c r="A1428" s="1" t="n">
        <v>1957</v>
      </c>
      <c r="B1428" s="3">
        <f>HYPERLINK("https://leetcode.com/problems/delete-characters-to-make-fancy-string/", "Delete Characters to Make Fancy String")</f>
        <v/>
      </c>
      <c r="C1428" s="1" t="n">
        <v>1178</v>
      </c>
      <c r="D1428" s="1" t="n">
        <v>54</v>
      </c>
      <c r="E1428" s="4">
        <f>IF(INDEX(C:C, ROW())+INDEX(D:D, ROW())=0, 0, INDEX(C:C, ROW())/(INDEX(C:C, ROW())+INDEX(D:D, ROW())))</f>
        <v/>
      </c>
      <c r="F1428" s="1" t="inlineStr">
        <is>
          <t>String</t>
        </is>
      </c>
      <c r="G1428" s="1" t="inlineStr">
        <is>
          <t>Easy</t>
        </is>
      </c>
      <c r="H1428" s="1" t="n">
        <v>342179</v>
      </c>
      <c r="I1428" s="1" t="n">
        <v>461907</v>
      </c>
      <c r="J1428" s="9" t="n">
        <v>0.741</v>
      </c>
      <c r="K1428" s="1" t="inlineStr">
        <is>
          <t>Yes</t>
        </is>
      </c>
      <c r="L1428" s="1" t="inlineStr">
        <is>
          <t>Yes</t>
        </is>
      </c>
      <c r="M1428" s="1" t="inlineStr">
        <is>
          <t>No</t>
        </is>
      </c>
      <c r="N1428" s="1" t="inlineStr">
        <is>
          <t>Algorithms</t>
        </is>
      </c>
      <c r="O14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28" s="13" t="inlineStr">
        <is>
          <t>Done</t>
        </is>
      </c>
    </row>
    <row r="1429" ht="15.75" customHeight="1" s="12">
      <c r="A1429" s="1" t="n">
        <v>470</v>
      </c>
      <c r="B1429" s="3">
        <f>HYPERLINK("https://leetcode.com/problems/implement-rand10-using-rand7/", "Implement Rand10() Using Rand7()")</f>
        <v/>
      </c>
      <c r="C1429" s="1" t="n">
        <v>1176</v>
      </c>
      <c r="D1429" s="1" t="n">
        <v>389</v>
      </c>
      <c r="E1429" s="4">
        <f>IF(INDEX(C:C, ROW())+INDEX(D:D, ROW())=0, 0, INDEX(C:C, ROW())/(INDEX(C:C, ROW())+INDEX(D:D, ROW())))</f>
        <v/>
      </c>
      <c r="F1429" s="1" t="inlineStr">
        <is>
          <t>Math, Rejection Sampling, Randomized, Probability and Statistics</t>
        </is>
      </c>
      <c r="G1429" s="1" t="inlineStr">
        <is>
          <t>Medium</t>
        </is>
      </c>
      <c r="H1429" s="1" t="n">
        <v>110454</v>
      </c>
      <c r="I1429" s="1" t="n">
        <v>238279</v>
      </c>
      <c r="J1429" s="9" t="n">
        <v>0.464</v>
      </c>
      <c r="K1429" s="1" t="inlineStr">
        <is>
          <t>Yes</t>
        </is>
      </c>
      <c r="L1429" s="1" t="inlineStr">
        <is>
          <t>Yes</t>
        </is>
      </c>
      <c r="M1429" s="1" t="inlineStr">
        <is>
          <t>No</t>
        </is>
      </c>
      <c r="N1429" s="1" t="inlineStr">
        <is>
          <t>Algorithms</t>
        </is>
      </c>
      <c r="O14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29" s="11" t="inlineStr">
        <is>
          <t>To Do</t>
        </is>
      </c>
    </row>
    <row r="1430" ht="15.75" customHeight="1" s="12">
      <c r="A1430" s="1" t="n">
        <v>1135</v>
      </c>
      <c r="B1430" s="3">
        <f>HYPERLINK("https://leetcode.com/problems/connecting-cities-with-minimum-cost/", "Connecting Cities With Minimum Cost")</f>
        <v/>
      </c>
      <c r="C1430" s="1" t="n">
        <v>1175</v>
      </c>
      <c r="D1430" s="1" t="n">
        <v>60</v>
      </c>
      <c r="E1430" s="4">
        <f>IF(INDEX(C:C, ROW())+INDEX(D:D, ROW())=0, 0, INDEX(C:C, ROW())/(INDEX(C:C, ROW())+INDEX(D:D, ROW())))</f>
        <v/>
      </c>
      <c r="F1430" s="1" t="inlineStr">
        <is>
          <t>Union-Find, Graph Theory, Heap (Priority Queue), Minimum Spanning Tree</t>
        </is>
      </c>
      <c r="G1430" s="1" t="inlineStr">
        <is>
          <t>Medium</t>
        </is>
      </c>
      <c r="H1430" s="1" t="n">
        <v>91881</v>
      </c>
      <c r="I1430" s="1" t="n">
        <v>144646</v>
      </c>
      <c r="J1430" s="9" t="n">
        <v>0.635</v>
      </c>
      <c r="K1430" s="1" t="inlineStr">
        <is>
          <t>No</t>
        </is>
      </c>
      <c r="L1430" s="1" t="inlineStr">
        <is>
          <t>Yes</t>
        </is>
      </c>
      <c r="M1430" s="1" t="inlineStr">
        <is>
          <t>No</t>
        </is>
      </c>
      <c r="N1430" s="1" t="inlineStr">
        <is>
          <t>Algorithms</t>
        </is>
      </c>
      <c r="O14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30" s="11" t="inlineStr">
        <is>
          <t>To Do</t>
        </is>
      </c>
    </row>
    <row r="1431" ht="15.75" customHeight="1" s="12">
      <c r="A1431" s="1" t="n">
        <v>1321</v>
      </c>
      <c r="B1431" s="3">
        <f>HYPERLINK("https://leetcode.com/problems/restaurant-growth/", "Restaurant Growth")</f>
        <v/>
      </c>
      <c r="C1431" s="1" t="n">
        <v>1175</v>
      </c>
      <c r="D1431" s="1" t="n">
        <v>389</v>
      </c>
      <c r="E1431" s="4">
        <f>IF(INDEX(C:C, ROW())+INDEX(D:D, ROW())=0, 0, INDEX(C:C, ROW())/(INDEX(C:C, ROW())+INDEX(D:D, ROW())))</f>
        <v/>
      </c>
      <c r="F1431" s="1" t="inlineStr">
        <is>
          <t>Database</t>
        </is>
      </c>
      <c r="G1431" s="1" t="inlineStr">
        <is>
          <t>Medium</t>
        </is>
      </c>
      <c r="H1431" s="1" t="n">
        <v>259374</v>
      </c>
      <c r="I1431" s="1" t="n">
        <v>442172</v>
      </c>
      <c r="J1431" s="9" t="n">
        <v>0.587</v>
      </c>
      <c r="K1431" s="1" t="inlineStr">
        <is>
          <t>Yes</t>
        </is>
      </c>
      <c r="L1431" s="1" t="inlineStr">
        <is>
          <t>No</t>
        </is>
      </c>
      <c r="M1431" s="1" t="inlineStr">
        <is>
          <t>No</t>
        </is>
      </c>
      <c r="N1431" s="1" t="inlineStr">
        <is>
          <t>Database</t>
        </is>
      </c>
      <c r="O14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31" s="11" t="inlineStr">
        <is>
          <t>To Do</t>
        </is>
      </c>
    </row>
    <row r="1432" ht="15.75" customHeight="1" s="12">
      <c r="A1432" s="1" t="n">
        <v>1099</v>
      </c>
      <c r="B1432" s="3">
        <f>HYPERLINK("https://leetcode.com/problems/two-sum-less-than-k/", "Two Sum Less Than K")</f>
        <v/>
      </c>
      <c r="C1432" s="1" t="n">
        <v>1174</v>
      </c>
      <c r="D1432" s="1" t="n">
        <v>135</v>
      </c>
      <c r="E1432" s="4">
        <f>IF(INDEX(C:C, ROW())+INDEX(D:D, ROW())=0, 0, INDEX(C:C, ROW())/(INDEX(C:C, ROW())+INDEX(D:D, ROW())))</f>
        <v/>
      </c>
      <c r="F1432" s="1" t="inlineStr">
        <is>
          <t>Array, Two Pointers, Binary Search, Sorting</t>
        </is>
      </c>
      <c r="G1432" s="1" t="inlineStr">
        <is>
          <t>Easy</t>
        </is>
      </c>
      <c r="H1432" s="1" t="n">
        <v>149126</v>
      </c>
      <c r="I1432" s="1" t="n">
        <v>239991</v>
      </c>
      <c r="J1432" s="9" t="n">
        <v>0.621</v>
      </c>
      <c r="K1432" s="1" t="inlineStr">
        <is>
          <t>No</t>
        </is>
      </c>
      <c r="L1432" s="1" t="inlineStr">
        <is>
          <t>Yes</t>
        </is>
      </c>
      <c r="M1432" s="1" t="inlineStr">
        <is>
          <t>Yes</t>
        </is>
      </c>
      <c r="N1432" s="1" t="inlineStr">
        <is>
          <t>Algorithms</t>
        </is>
      </c>
      <c r="O14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32" s="13" t="inlineStr">
        <is>
          <t>Done</t>
        </is>
      </c>
    </row>
    <row r="1433" ht="15.75" customHeight="1" s="12">
      <c r="A1433" s="1" t="n">
        <v>364</v>
      </c>
      <c r="B1433" s="3">
        <f>HYPERLINK("https://leetcode.com/problems/nested-list-weight-sum-ii/", "Nested List Weight Sum II")</f>
        <v/>
      </c>
      <c r="C1433" s="1" t="n">
        <v>1172</v>
      </c>
      <c r="D1433" s="1" t="n">
        <v>482</v>
      </c>
      <c r="E1433" s="4">
        <f>IF(INDEX(C:C, ROW())+INDEX(D:D, ROW())=0, 0, INDEX(C:C, ROW())/(INDEX(C:C, ROW())+INDEX(D:D, ROW())))</f>
        <v/>
      </c>
      <c r="F1433" s="1" t="inlineStr">
        <is>
          <t>Stack, Depth-First Search, Breadth-First Search</t>
        </is>
      </c>
      <c r="G1433" s="1" t="inlineStr">
        <is>
          <t>Medium</t>
        </is>
      </c>
      <c r="H1433" s="1" t="n">
        <v>167780</v>
      </c>
      <c r="I1433" s="1" t="n">
        <v>250617</v>
      </c>
      <c r="J1433" s="9" t="n">
        <v>0.669</v>
      </c>
      <c r="K1433" s="1" t="inlineStr">
        <is>
          <t>No</t>
        </is>
      </c>
      <c r="L1433" s="1" t="inlineStr">
        <is>
          <t>Yes</t>
        </is>
      </c>
      <c r="M1433" s="1" t="inlineStr">
        <is>
          <t>No</t>
        </is>
      </c>
      <c r="N1433" s="1" t="inlineStr">
        <is>
          <t>Algorithms</t>
        </is>
      </c>
      <c r="O14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33" s="11" t="inlineStr">
        <is>
          <t>To Do</t>
        </is>
      </c>
    </row>
    <row r="1434" ht="15.75" customHeight="1" s="12">
      <c r="A1434" s="1" t="n">
        <v>1897</v>
      </c>
      <c r="B1434" s="3">
        <f>HYPERLINK("https://leetcode.com/problems/redistribute-characters-to-make-all-strings-equal/", "Redistribute Characters to Make All Strings Equal")</f>
        <v/>
      </c>
      <c r="C1434" s="1" t="n">
        <v>1171</v>
      </c>
      <c r="D1434" s="1" t="n">
        <v>85</v>
      </c>
      <c r="E1434" s="4">
        <f>IF(INDEX(C:C, ROW())+INDEX(D:D, ROW())=0, 0, INDEX(C:C, ROW())/(INDEX(C:C, ROW())+INDEX(D:D, ROW())))</f>
        <v/>
      </c>
      <c r="F1434" s="1" t="inlineStr">
        <is>
          <t>Hash Table, String, Counting</t>
        </is>
      </c>
      <c r="G1434" s="1" t="inlineStr">
        <is>
          <t>Easy</t>
        </is>
      </c>
      <c r="H1434" s="1" t="n">
        <v>159709</v>
      </c>
      <c r="I1434" s="1" t="n">
        <v>238852</v>
      </c>
      <c r="J1434" s="9" t="n">
        <v>0.669</v>
      </c>
      <c r="K1434" s="1" t="inlineStr">
        <is>
          <t>Yes</t>
        </is>
      </c>
      <c r="L1434" s="1" t="inlineStr">
        <is>
          <t>Yes</t>
        </is>
      </c>
      <c r="M1434" s="1" t="inlineStr">
        <is>
          <t>No</t>
        </is>
      </c>
      <c r="N1434" s="1" t="inlineStr">
        <is>
          <t>Algorithms</t>
        </is>
      </c>
      <c r="O14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34" s="13" t="inlineStr">
        <is>
          <t>Done</t>
        </is>
      </c>
    </row>
    <row r="1435" ht="15.75" customHeight="1" s="12">
      <c r="A1435" s="1" t="n">
        <v>761</v>
      </c>
      <c r="B1435" s="3">
        <f>HYPERLINK("https://leetcode.com/problems/special-binary-string/", "Special Binary String")</f>
        <v/>
      </c>
      <c r="C1435" s="1" t="n">
        <v>1170</v>
      </c>
      <c r="D1435" s="1" t="n">
        <v>301</v>
      </c>
      <c r="E1435" s="4">
        <f>IF(INDEX(C:C, ROW())+INDEX(D:D, ROW())=0, 0, INDEX(C:C, ROW())/(INDEX(C:C, ROW())+INDEX(D:D, ROW())))</f>
        <v/>
      </c>
      <c r="F1435" s="1" t="inlineStr">
        <is>
          <t>String, Divide and Conquer, Sorting</t>
        </is>
      </c>
      <c r="G1435" s="1" t="inlineStr">
        <is>
          <t>Hard</t>
        </is>
      </c>
      <c r="H1435" s="1" t="n">
        <v>98103</v>
      </c>
      <c r="I1435" s="1" t="n">
        <v>123632</v>
      </c>
      <c r="J1435" s="9" t="n">
        <v>0.794</v>
      </c>
      <c r="K1435" s="1" t="inlineStr">
        <is>
          <t>Yes</t>
        </is>
      </c>
      <c r="L1435" s="1" t="inlineStr">
        <is>
          <t>Yes</t>
        </is>
      </c>
      <c r="M1435" s="1" t="inlineStr">
        <is>
          <t>No</t>
        </is>
      </c>
      <c r="N1435" s="1" t="inlineStr">
        <is>
          <t>Algorithms</t>
        </is>
      </c>
      <c r="O14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35" s="11" t="inlineStr">
        <is>
          <t>To Do</t>
        </is>
      </c>
    </row>
    <row r="1436" ht="15.75" customHeight="1" s="12">
      <c r="A1436" s="1" t="n">
        <v>2966</v>
      </c>
      <c r="B1436" s="3">
        <f>HYPERLINK("https://leetcode.com/problems/divide-array-into-arrays-with-max-difference/", "Divide Array Into Arrays With Max Difference")</f>
        <v/>
      </c>
      <c r="C1436" s="1" t="n">
        <v>1170</v>
      </c>
      <c r="D1436" s="1" t="n">
        <v>222</v>
      </c>
      <c r="E1436" s="4">
        <f>IF(INDEX(C:C, ROW())+INDEX(D:D, ROW())=0, 0, INDEX(C:C, ROW())/(INDEX(C:C, ROW())+INDEX(D:D, ROW())))</f>
        <v/>
      </c>
      <c r="F1436" s="1" t="inlineStr">
        <is>
          <t>Array, Greedy, Sorting</t>
        </is>
      </c>
      <c r="G1436" s="1" t="inlineStr">
        <is>
          <t>Medium</t>
        </is>
      </c>
      <c r="H1436" s="1" t="n">
        <v>282885</v>
      </c>
      <c r="I1436" s="1" t="n">
        <v>358134</v>
      </c>
      <c r="J1436" s="9" t="n">
        <v>0.79</v>
      </c>
      <c r="K1436" s="1" t="inlineStr">
        <is>
          <t>Yes</t>
        </is>
      </c>
      <c r="L1436" s="1" t="inlineStr">
        <is>
          <t>Yes</t>
        </is>
      </c>
      <c r="M1436" s="1" t="inlineStr">
        <is>
          <t>No</t>
        </is>
      </c>
      <c r="N1436" s="1" t="inlineStr">
        <is>
          <t>Algorithms</t>
        </is>
      </c>
      <c r="O14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36" s="11" t="inlineStr">
        <is>
          <t>To Do</t>
        </is>
      </c>
    </row>
    <row r="1437" ht="15.75" customHeight="1" s="12">
      <c r="A1437" s="1" t="n">
        <v>1045</v>
      </c>
      <c r="B1437" s="3">
        <f>HYPERLINK("https://leetcode.com/problems/customers-who-bought-all-products/", "Customers Who Bought All Products")</f>
        <v/>
      </c>
      <c r="C1437" s="1" t="n">
        <v>1167</v>
      </c>
      <c r="D1437" s="1" t="n">
        <v>98</v>
      </c>
      <c r="E1437" s="4">
        <f>IF(INDEX(C:C, ROW())+INDEX(D:D, ROW())=0, 0, INDEX(C:C, ROW())/(INDEX(C:C, ROW())+INDEX(D:D, ROW())))</f>
        <v/>
      </c>
      <c r="F1437" s="1" t="inlineStr">
        <is>
          <t>Database</t>
        </is>
      </c>
      <c r="G1437" s="1" t="inlineStr">
        <is>
          <t>Medium</t>
        </is>
      </c>
      <c r="H1437" s="1" t="n">
        <v>489304</v>
      </c>
      <c r="I1437" s="1" t="n">
        <v>765089</v>
      </c>
      <c r="J1437" s="9" t="n">
        <v>0.64</v>
      </c>
      <c r="K1437" s="1" t="inlineStr">
        <is>
          <t>Yes</t>
        </is>
      </c>
      <c r="L1437" s="1" t="inlineStr">
        <is>
          <t>Yes</t>
        </is>
      </c>
      <c r="M1437" s="1" t="inlineStr">
        <is>
          <t>No</t>
        </is>
      </c>
      <c r="N1437" s="1" t="inlineStr">
        <is>
          <t>Database</t>
        </is>
      </c>
      <c r="O14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37" s="11" t="inlineStr">
        <is>
          <t>To Do</t>
        </is>
      </c>
    </row>
    <row r="1438" ht="15.75" customHeight="1" s="12">
      <c r="A1438" s="1" t="n">
        <v>932</v>
      </c>
      <c r="B1438" s="3">
        <f>HYPERLINK("https://leetcode.com/problems/beautiful-array/", "Beautiful Array")</f>
        <v/>
      </c>
      <c r="C1438" s="1" t="n">
        <v>1164</v>
      </c>
      <c r="D1438" s="1" t="n">
        <v>1607</v>
      </c>
      <c r="E1438" s="4">
        <f>IF(INDEX(C:C, ROW())+INDEX(D:D, ROW())=0, 0, INDEX(C:C, ROW())/(INDEX(C:C, ROW())+INDEX(D:D, ROW())))</f>
        <v/>
      </c>
      <c r="F1438" s="1" t="inlineStr">
        <is>
          <t>Array, Math, Divide and Conquer</t>
        </is>
      </c>
      <c r="G1438" s="1" t="inlineStr">
        <is>
          <t>Medium</t>
        </is>
      </c>
      <c r="H1438" s="1" t="n">
        <v>61552</v>
      </c>
      <c r="I1438" s="1" t="n">
        <v>88906</v>
      </c>
      <c r="J1438" s="9" t="n">
        <v>0.6919999999999999</v>
      </c>
      <c r="K1438" s="1" t="inlineStr">
        <is>
          <t>Yes</t>
        </is>
      </c>
      <c r="L1438" s="1" t="inlineStr">
        <is>
          <t>Yes</t>
        </is>
      </c>
      <c r="M1438" s="1" t="inlineStr">
        <is>
          <t>No</t>
        </is>
      </c>
      <c r="N1438" s="1" t="inlineStr">
        <is>
          <t>Algorithms</t>
        </is>
      </c>
      <c r="O14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38" s="11" t="inlineStr">
        <is>
          <t>To Do</t>
        </is>
      </c>
    </row>
    <row r="1439" ht="15.75" customHeight="1" s="12">
      <c r="A1439" s="1" t="n">
        <v>1648</v>
      </c>
      <c r="B1439" s="3">
        <f>HYPERLINK("https://leetcode.com/problems/sell-diminishing-valued-colored-balls/", "Sell Diminishing-Valued Colored Balls")</f>
        <v/>
      </c>
      <c r="C1439" s="1" t="n">
        <v>1163</v>
      </c>
      <c r="D1439" s="1" t="n">
        <v>408</v>
      </c>
      <c r="E1439" s="4">
        <f>IF(INDEX(C:C, ROW())+INDEX(D:D, ROW())=0, 0, INDEX(C:C, ROW())/(INDEX(C:C, ROW())+INDEX(D:D, ROW())))</f>
        <v/>
      </c>
      <c r="F1439" s="1" t="inlineStr">
        <is>
          <t>Array, Math, Binary Search, Greedy, Sorting, Heap (Priority Queue)</t>
        </is>
      </c>
      <c r="G1439" s="1" t="inlineStr">
        <is>
          <t>Medium</t>
        </is>
      </c>
      <c r="H1439" s="1" t="n">
        <v>45829</v>
      </c>
      <c r="I1439" s="1" t="n">
        <v>151771</v>
      </c>
      <c r="J1439" s="9" t="n">
        <v>0.302</v>
      </c>
      <c r="K1439" s="1" t="inlineStr">
        <is>
          <t>Yes</t>
        </is>
      </c>
      <c r="L1439" s="1" t="inlineStr">
        <is>
          <t>No</t>
        </is>
      </c>
      <c r="M1439" s="1" t="inlineStr">
        <is>
          <t>No</t>
        </is>
      </c>
      <c r="N1439" s="1" t="inlineStr">
        <is>
          <t>Algorithms</t>
        </is>
      </c>
      <c r="O14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39" s="11" t="inlineStr">
        <is>
          <t>To Do</t>
        </is>
      </c>
    </row>
    <row r="1440" ht="15.75" customHeight="1" s="12">
      <c r="A1440" s="1" t="n">
        <v>2657</v>
      </c>
      <c r="B1440" s="3">
        <f>HYPERLINK("https://leetcode.com/problems/find-the-prefix-common-array-of-two-arrays/", "Find the Prefix Common Array of Two Arrays")</f>
        <v/>
      </c>
      <c r="C1440" s="1" t="n">
        <v>1160</v>
      </c>
      <c r="D1440" s="1" t="n">
        <v>74</v>
      </c>
      <c r="E1440" s="4">
        <f>IF(INDEX(C:C, ROW())+INDEX(D:D, ROW())=0, 0, INDEX(C:C, ROW())/(INDEX(C:C, ROW())+INDEX(D:D, ROW())))</f>
        <v/>
      </c>
      <c r="F1440" s="1" t="inlineStr">
        <is>
          <t>Array, Hash Table, Bit Manipulation</t>
        </is>
      </c>
      <c r="G1440" s="1" t="inlineStr">
        <is>
          <t>Medium</t>
        </is>
      </c>
      <c r="H1440" s="1" t="n">
        <v>238904</v>
      </c>
      <c r="I1440" s="1" t="n">
        <v>274779</v>
      </c>
      <c r="J1440" s="9" t="n">
        <v>0.869</v>
      </c>
      <c r="K1440" s="1" t="inlineStr">
        <is>
          <t>Yes</t>
        </is>
      </c>
      <c r="L1440" s="1" t="inlineStr">
        <is>
          <t>Yes</t>
        </is>
      </c>
      <c r="M1440" s="1" t="inlineStr">
        <is>
          <t>No</t>
        </is>
      </c>
      <c r="N1440" s="1" t="inlineStr">
        <is>
          <t>Algorithms</t>
        </is>
      </c>
      <c r="O14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40" s="11" t="inlineStr">
        <is>
          <t>To Do</t>
        </is>
      </c>
    </row>
    <row r="1441" ht="15.75" customHeight="1" s="12">
      <c r="A1441" s="1" t="n">
        <v>1718</v>
      </c>
      <c r="B1441" s="3">
        <f>HYPERLINK("https://leetcode.com/problems/construct-the-lexicographically-largest-valid-sequence/", "Construct the Lexicographically Largest Valid Sequence")</f>
        <v/>
      </c>
      <c r="C1441" s="1" t="n">
        <v>1159</v>
      </c>
      <c r="D1441" s="1" t="n">
        <v>183</v>
      </c>
      <c r="E1441" s="4">
        <f>IF(INDEX(C:C, ROW())+INDEX(D:D, ROW())=0, 0, INDEX(C:C, ROW())/(INDEX(C:C, ROW())+INDEX(D:D, ROW())))</f>
        <v/>
      </c>
      <c r="F1441" s="1" t="inlineStr">
        <is>
          <t>Array, Backtracking</t>
        </is>
      </c>
      <c r="G1441" s="1" t="inlineStr">
        <is>
          <t>Medium</t>
        </is>
      </c>
      <c r="H1441" s="1" t="n">
        <v>113114</v>
      </c>
      <c r="I1441" s="1" t="n">
        <v>155636</v>
      </c>
      <c r="J1441" s="9" t="n">
        <v>0.727</v>
      </c>
      <c r="K1441" s="1" t="inlineStr">
        <is>
          <t>Yes</t>
        </is>
      </c>
      <c r="L1441" s="1" t="inlineStr">
        <is>
          <t>Yes</t>
        </is>
      </c>
      <c r="M1441" s="1" t="inlineStr">
        <is>
          <t>No</t>
        </is>
      </c>
      <c r="N1441" s="1" t="inlineStr">
        <is>
          <t>Algorithms</t>
        </is>
      </c>
      <c r="O14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41" s="11" t="inlineStr">
        <is>
          <t>To Do</t>
        </is>
      </c>
    </row>
    <row r="1442" ht="15.75" customHeight="1" s="12">
      <c r="A1442" s="1" t="n">
        <v>2210</v>
      </c>
      <c r="B1442" s="3">
        <f>HYPERLINK("https://leetcode.com/problems/count-hills-and-valleys-in-an-array/", "Count Hills and Valleys in an Array")</f>
        <v/>
      </c>
      <c r="C1442" s="1" t="n">
        <v>1157</v>
      </c>
      <c r="D1442" s="1" t="n">
        <v>143</v>
      </c>
      <c r="E1442" s="4">
        <f>IF(INDEX(C:C, ROW())+INDEX(D:D, ROW())=0, 0, INDEX(C:C, ROW())/(INDEX(C:C, ROW())+INDEX(D:D, ROW())))</f>
        <v/>
      </c>
      <c r="F1442" s="1" t="inlineStr">
        <is>
          <t>Array</t>
        </is>
      </c>
      <c r="G1442" s="1" t="inlineStr">
        <is>
          <t>Easy</t>
        </is>
      </c>
      <c r="H1442" s="1" t="n">
        <v>182477</v>
      </c>
      <c r="I1442" s="1" t="n">
        <v>264797</v>
      </c>
      <c r="J1442" s="9" t="n">
        <v>0.6889999999999999</v>
      </c>
      <c r="K1442" s="1" t="inlineStr">
        <is>
          <t>Yes</t>
        </is>
      </c>
      <c r="L1442" s="1" t="inlineStr">
        <is>
          <t>Yes</t>
        </is>
      </c>
      <c r="M1442" s="1" t="inlineStr">
        <is>
          <t>No</t>
        </is>
      </c>
      <c r="N1442" s="1" t="inlineStr">
        <is>
          <t>Algorithms</t>
        </is>
      </c>
      <c r="O14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42" s="13" t="inlineStr">
        <is>
          <t>Done</t>
        </is>
      </c>
    </row>
    <row r="1443" ht="15.75" customHeight="1" s="12">
      <c r="A1443" s="1" t="n">
        <v>2434</v>
      </c>
      <c r="B1443" s="3">
        <f>HYPERLINK("https://leetcode.com/problems/using-a-robot-to-print-the-lexicographically-smallest-string/", "Using a Robot to Print the Lexicographically Smallest String")</f>
        <v/>
      </c>
      <c r="C1443" s="1" t="n">
        <v>1157</v>
      </c>
      <c r="D1443" s="1" t="n">
        <v>309</v>
      </c>
      <c r="E1443" s="4">
        <f>IF(INDEX(C:C, ROW())+INDEX(D:D, ROW())=0, 0, INDEX(C:C, ROW())/(INDEX(C:C, ROW())+INDEX(D:D, ROW())))</f>
        <v/>
      </c>
      <c r="F1443" s="1" t="inlineStr">
        <is>
          <t>Hash Table, String, Stack, Greedy</t>
        </is>
      </c>
      <c r="G1443" s="1" t="inlineStr">
        <is>
          <t>Medium</t>
        </is>
      </c>
      <c r="H1443" s="1" t="n">
        <v>109007</v>
      </c>
      <c r="I1443" s="1" t="n">
        <v>174878</v>
      </c>
      <c r="J1443" s="9" t="n">
        <v>0.623</v>
      </c>
      <c r="K1443" s="1" t="inlineStr">
        <is>
          <t>Yes</t>
        </is>
      </c>
      <c r="L1443" s="1" t="inlineStr">
        <is>
          <t>Yes</t>
        </is>
      </c>
      <c r="M1443" s="1" t="inlineStr">
        <is>
          <t>No</t>
        </is>
      </c>
      <c r="N1443" s="1" t="inlineStr">
        <is>
          <t>Algorithms</t>
        </is>
      </c>
      <c r="O14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43" s="11" t="inlineStr">
        <is>
          <t>To Do</t>
        </is>
      </c>
    </row>
    <row r="1444" ht="15.75" customHeight="1" s="12">
      <c r="A1444" s="1" t="n">
        <v>919</v>
      </c>
      <c r="B1444" s="3">
        <f>HYPERLINK("https://leetcode.com/problems/complete-binary-tree-inserter/", "Complete Binary Tree Inserter")</f>
        <v/>
      </c>
      <c r="C1444" s="1" t="n">
        <v>1156</v>
      </c>
      <c r="D1444" s="1" t="n">
        <v>120</v>
      </c>
      <c r="E1444" s="4">
        <f>IF(INDEX(C:C, ROW())+INDEX(D:D, ROW())=0, 0, INDEX(C:C, ROW())/(INDEX(C:C, ROW())+INDEX(D:D, ROW())))</f>
        <v/>
      </c>
      <c r="F1444" s="1" t="inlineStr">
        <is>
          <t>Tree, Breadth-First Search, Design, Binary Tree</t>
        </is>
      </c>
      <c r="G1444" s="1" t="inlineStr">
        <is>
          <t>Medium</t>
        </is>
      </c>
      <c r="H1444" s="1" t="n">
        <v>66899</v>
      </c>
      <c r="I1444" s="1" t="n">
        <v>102851</v>
      </c>
      <c r="J1444" s="9" t="n">
        <v>0.65</v>
      </c>
      <c r="K1444" s="1" t="inlineStr">
        <is>
          <t>Yes</t>
        </is>
      </c>
      <c r="L1444" s="1" t="inlineStr">
        <is>
          <t>Yes</t>
        </is>
      </c>
      <c r="M1444" s="1" t="inlineStr">
        <is>
          <t>No</t>
        </is>
      </c>
      <c r="N1444" s="1" t="inlineStr">
        <is>
          <t>Algorithms</t>
        </is>
      </c>
      <c r="O14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44" s="11" t="inlineStr">
        <is>
          <t>To Do</t>
        </is>
      </c>
    </row>
    <row r="1445" ht="15.75" customHeight="1" s="12">
      <c r="A1445" s="1" t="n">
        <v>1851</v>
      </c>
      <c r="B1445" s="3">
        <f>HYPERLINK("https://leetcode.com/problems/minimum-interval-to-include-each-query/", "Minimum Interval to Include Each Query")</f>
        <v/>
      </c>
      <c r="C1445" s="1" t="n">
        <v>1155</v>
      </c>
      <c r="D1445" s="1" t="n">
        <v>49</v>
      </c>
      <c r="E1445" s="4">
        <f>IF(INDEX(C:C, ROW())+INDEX(D:D, ROW())=0, 0, INDEX(C:C, ROW())/(INDEX(C:C, ROW())+INDEX(D:D, ROW())))</f>
        <v/>
      </c>
      <c r="F1445" s="1" t="inlineStr">
        <is>
          <t>Array, Binary Search, Sweep Line, Sorting, Heap (Priority Queue)</t>
        </is>
      </c>
      <c r="G1445" s="1" t="inlineStr">
        <is>
          <t>Hard</t>
        </is>
      </c>
      <c r="H1445" s="1" t="n">
        <v>72033</v>
      </c>
      <c r="I1445" s="1" t="n">
        <v>132669</v>
      </c>
      <c r="J1445" s="9" t="n">
        <v>0.543</v>
      </c>
      <c r="K1445" s="1" t="inlineStr">
        <is>
          <t>Yes</t>
        </is>
      </c>
      <c r="L1445" s="1" t="inlineStr">
        <is>
          <t>No</t>
        </is>
      </c>
      <c r="M1445" s="1" t="inlineStr">
        <is>
          <t>No</t>
        </is>
      </c>
      <c r="N1445" s="1" t="inlineStr">
        <is>
          <t>Algorithms</t>
        </is>
      </c>
      <c r="O14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45" s="11" t="inlineStr">
        <is>
          <t>To Do</t>
        </is>
      </c>
    </row>
    <row r="1446" ht="15.75" customHeight="1" s="12">
      <c r="A1446" s="1" t="n">
        <v>858</v>
      </c>
      <c r="B1446" s="3">
        <f>HYPERLINK("https://leetcode.com/problems/mirror-reflection/", "Mirror Reflection")</f>
        <v/>
      </c>
      <c r="C1446" s="1" t="n">
        <v>1152</v>
      </c>
      <c r="D1446" s="1" t="n">
        <v>2561</v>
      </c>
      <c r="E1446" s="4">
        <f>IF(INDEX(C:C, ROW())+INDEX(D:D, ROW())=0, 0, INDEX(C:C, ROW())/(INDEX(C:C, ROW())+INDEX(D:D, ROW())))</f>
        <v/>
      </c>
      <c r="F1446" s="1" t="inlineStr">
        <is>
          <t>Math, Geometry, Number Theory</t>
        </is>
      </c>
      <c r="G1446" s="1" t="inlineStr">
        <is>
          <t>Medium</t>
        </is>
      </c>
      <c r="H1446" s="1" t="n">
        <v>89065</v>
      </c>
      <c r="I1446" s="1" t="n">
        <v>143949</v>
      </c>
      <c r="J1446" s="9" t="n">
        <v>0.619</v>
      </c>
      <c r="K1446" s="1" t="inlineStr">
        <is>
          <t>Yes</t>
        </is>
      </c>
      <c r="L1446" s="1" t="inlineStr">
        <is>
          <t>Yes</t>
        </is>
      </c>
      <c r="M1446" s="1" t="inlineStr">
        <is>
          <t>No</t>
        </is>
      </c>
      <c r="N1446" s="1" t="inlineStr">
        <is>
          <t>Algorithms</t>
        </is>
      </c>
      <c r="O14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46" s="11" t="inlineStr">
        <is>
          <t>To Do</t>
        </is>
      </c>
    </row>
    <row r="1447" ht="15.75" customHeight="1" s="12">
      <c r="A1447" s="1" t="n">
        <v>2460</v>
      </c>
      <c r="B1447" s="3">
        <f>HYPERLINK("https://leetcode.com/problems/apply-operations-to-an-array/", "Apply Operations to an Array")</f>
        <v/>
      </c>
      <c r="C1447" s="1" t="n">
        <v>1152</v>
      </c>
      <c r="D1447" s="1" t="n">
        <v>66</v>
      </c>
      <c r="E1447" s="4">
        <f>IF(INDEX(C:C, ROW())+INDEX(D:D, ROW())=0, 0, INDEX(C:C, ROW())/(INDEX(C:C, ROW())+INDEX(D:D, ROW())))</f>
        <v/>
      </c>
      <c r="F1447" s="1" t="inlineStr">
        <is>
          <t>Array, Two Pointers, Simulation</t>
        </is>
      </c>
      <c r="G1447" s="1" t="inlineStr">
        <is>
          <t>Easy</t>
        </is>
      </c>
      <c r="H1447" s="1" t="n">
        <v>275893</v>
      </c>
      <c r="I1447" s="1" t="n">
        <v>369175</v>
      </c>
      <c r="J1447" s="9" t="n">
        <v>0.747</v>
      </c>
      <c r="K1447" s="1" t="inlineStr">
        <is>
          <t>Yes</t>
        </is>
      </c>
      <c r="L1447" s="1" t="inlineStr">
        <is>
          <t>Yes</t>
        </is>
      </c>
      <c r="M1447" s="1" t="inlineStr">
        <is>
          <t>No</t>
        </is>
      </c>
      <c r="N1447" s="1" t="inlineStr">
        <is>
          <t>Algorithms</t>
        </is>
      </c>
      <c r="O14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47" s="13" t="inlineStr">
        <is>
          <t>Done</t>
        </is>
      </c>
    </row>
    <row r="1448" ht="15.75" customHeight="1" s="12">
      <c r="A1448" s="1" t="n">
        <v>2807</v>
      </c>
      <c r="B1448" s="3">
        <f>HYPERLINK("https://leetcode.com/problems/insert-greatest-common-divisors-in-linked-list/", "Insert Greatest Common Divisors in Linked List")</f>
        <v/>
      </c>
      <c r="C1448" s="1" t="n">
        <v>1151</v>
      </c>
      <c r="D1448" s="1" t="n">
        <v>38</v>
      </c>
      <c r="E1448" s="4">
        <f>IF(INDEX(C:C, ROW())+INDEX(D:D, ROW())=0, 0, INDEX(C:C, ROW())/(INDEX(C:C, ROW())+INDEX(D:D, ROW())))</f>
        <v/>
      </c>
      <c r="F1448" s="1" t="inlineStr">
        <is>
          <t>Linked List, Math, Number Theory</t>
        </is>
      </c>
      <c r="G1448" s="1" t="inlineStr">
        <is>
          <t>Medium</t>
        </is>
      </c>
      <c r="H1448" s="1" t="n">
        <v>298292</v>
      </c>
      <c r="I1448" s="1" t="n">
        <v>326434</v>
      </c>
      <c r="J1448" s="9" t="n">
        <v>0.914</v>
      </c>
      <c r="K1448" s="1" t="inlineStr">
        <is>
          <t>Yes</t>
        </is>
      </c>
      <c r="L1448" s="1" t="inlineStr">
        <is>
          <t>Yes</t>
        </is>
      </c>
      <c r="M1448" s="1" t="inlineStr">
        <is>
          <t>No</t>
        </is>
      </c>
      <c r="N1448" s="1" t="inlineStr">
        <is>
          <t>Algorithms</t>
        </is>
      </c>
      <c r="O14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48" s="11" t="inlineStr">
        <is>
          <t>To Do</t>
        </is>
      </c>
    </row>
    <row r="1449" ht="15.75" customHeight="1" s="12">
      <c r="A1449" s="1" t="n">
        <v>1494</v>
      </c>
      <c r="B1449" s="3">
        <f>HYPERLINK("https://leetcode.com/problems/parallel-courses-ii/", "Parallel Courses II")</f>
        <v/>
      </c>
      <c r="C1449" s="1" t="n">
        <v>1145</v>
      </c>
      <c r="D1449" s="1" t="n">
        <v>78</v>
      </c>
      <c r="E1449" s="4">
        <f>IF(INDEX(C:C, ROW())+INDEX(D:D, ROW())=0, 0, INDEX(C:C, ROW())/(INDEX(C:C, ROW())+INDEX(D:D, ROW())))</f>
        <v/>
      </c>
      <c r="F1449" s="1" t="inlineStr">
        <is>
          <t>Dynamic Programming, Bit Manipulation, Graph Theory, Bitmask</t>
        </is>
      </c>
      <c r="G1449" s="1" t="inlineStr">
        <is>
          <t>Hard</t>
        </is>
      </c>
      <c r="H1449" s="1" t="n">
        <v>27202</v>
      </c>
      <c r="I1449" s="1" t="n">
        <v>88025</v>
      </c>
      <c r="J1449" s="9" t="n">
        <v>0.309</v>
      </c>
      <c r="K1449" s="1" t="inlineStr">
        <is>
          <t>Yes</t>
        </is>
      </c>
      <c r="L1449" s="1" t="inlineStr">
        <is>
          <t>No</t>
        </is>
      </c>
      <c r="M1449" s="1" t="inlineStr">
        <is>
          <t>No</t>
        </is>
      </c>
      <c r="N1449" s="1" t="inlineStr">
        <is>
          <t>Algorithms</t>
        </is>
      </c>
      <c r="O14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49" s="11" t="inlineStr">
        <is>
          <t>To Do</t>
        </is>
      </c>
    </row>
    <row r="1450" ht="15.75" customHeight="1" s="12">
      <c r="A1450" s="1" t="n">
        <v>2311</v>
      </c>
      <c r="B1450" s="3">
        <f>HYPERLINK("https://leetcode.com/problems/longest-binary-subsequence-less-than-or-equal-to-k/", "Longest Binary Subsequence Less Than or Equal to K")</f>
        <v/>
      </c>
      <c r="C1450" s="1" t="n">
        <v>1144</v>
      </c>
      <c r="D1450" s="1" t="n">
        <v>79</v>
      </c>
      <c r="E1450" s="4">
        <f>IF(INDEX(C:C, ROW())+INDEX(D:D, ROW())=0, 0, INDEX(C:C, ROW())/(INDEX(C:C, ROW())+INDEX(D:D, ROW())))</f>
        <v/>
      </c>
      <c r="F1450" s="1" t="inlineStr">
        <is>
          <t>String, Dynamic Programming, Greedy, Memoization</t>
        </is>
      </c>
      <c r="G1450" s="1" t="inlineStr">
        <is>
          <t>Medium</t>
        </is>
      </c>
      <c r="H1450" s="1" t="n">
        <v>111618</v>
      </c>
      <c r="I1450" s="1" t="n">
        <v>211507</v>
      </c>
      <c r="J1450" s="9" t="n">
        <v>0.528</v>
      </c>
      <c r="K1450" s="1" t="inlineStr">
        <is>
          <t>Yes</t>
        </is>
      </c>
      <c r="L1450" s="1" t="inlineStr">
        <is>
          <t>Yes</t>
        </is>
      </c>
      <c r="M1450" s="1" t="inlineStr">
        <is>
          <t>No</t>
        </is>
      </c>
      <c r="N1450" s="1" t="inlineStr">
        <is>
          <t>Algorithms</t>
        </is>
      </c>
      <c r="O14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50" s="11" t="inlineStr">
        <is>
          <t>To Do</t>
        </is>
      </c>
    </row>
    <row r="1451" ht="15.75" customHeight="1" s="12">
      <c r="A1451" s="1" t="n">
        <v>418</v>
      </c>
      <c r="B1451" s="3">
        <f>HYPERLINK("https://leetcode.com/problems/sentence-screen-fitting/", "Sentence Screen Fitting")</f>
        <v/>
      </c>
      <c r="C1451" s="1" t="n">
        <v>1143</v>
      </c>
      <c r="D1451" s="1" t="n">
        <v>543</v>
      </c>
      <c r="E1451" s="4">
        <f>IF(INDEX(C:C, ROW())+INDEX(D:D, ROW())=0, 0, INDEX(C:C, ROW())/(INDEX(C:C, ROW())+INDEX(D:D, ROW())))</f>
        <v/>
      </c>
      <c r="F1451" s="1" t="inlineStr">
        <is>
          <t>Array, String, Dynamic Programming</t>
        </is>
      </c>
      <c r="G1451" s="1" t="inlineStr">
        <is>
          <t>Medium</t>
        </is>
      </c>
      <c r="H1451" s="1" t="n">
        <v>107083</v>
      </c>
      <c r="I1451" s="1" t="n">
        <v>294195</v>
      </c>
      <c r="J1451" s="9" t="n">
        <v>0.364</v>
      </c>
      <c r="K1451" s="1" t="inlineStr">
        <is>
          <t>No</t>
        </is>
      </c>
      <c r="L1451" s="1" t="inlineStr">
        <is>
          <t>No</t>
        </is>
      </c>
      <c r="M1451" s="1" t="inlineStr">
        <is>
          <t>No</t>
        </is>
      </c>
      <c r="N1451" s="1" t="inlineStr">
        <is>
          <t>Algorithms</t>
        </is>
      </c>
      <c r="O14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51" s="11" t="inlineStr">
        <is>
          <t>To Do</t>
        </is>
      </c>
    </row>
    <row r="1452" ht="15.75" customHeight="1" s="12">
      <c r="A1452" s="1" t="n">
        <v>582</v>
      </c>
      <c r="B1452" s="3">
        <f>HYPERLINK("https://leetcode.com/problems/kill-process/", "Kill Process")</f>
        <v/>
      </c>
      <c r="C1452" s="1" t="n">
        <v>1141</v>
      </c>
      <c r="D1452" s="1" t="n">
        <v>22</v>
      </c>
      <c r="E1452" s="4">
        <f>IF(INDEX(C:C, ROW())+INDEX(D:D, ROW())=0, 0, INDEX(C:C, ROW())/(INDEX(C:C, ROW())+INDEX(D:D, ROW())))</f>
        <v/>
      </c>
      <c r="F1452" s="1" t="inlineStr">
        <is>
          <t>Array, Hash Table, Tree, Depth-First Search, Breadth-First Search</t>
        </is>
      </c>
      <c r="G1452" s="1" t="inlineStr">
        <is>
          <t>Medium</t>
        </is>
      </c>
      <c r="H1452" s="1" t="n">
        <v>97988</v>
      </c>
      <c r="I1452" s="1" t="n">
        <v>138674</v>
      </c>
      <c r="J1452" s="9" t="n">
        <v>0.707</v>
      </c>
      <c r="K1452" s="1" t="inlineStr">
        <is>
          <t>No</t>
        </is>
      </c>
      <c r="L1452" s="1" t="inlineStr">
        <is>
          <t>Yes</t>
        </is>
      </c>
      <c r="M1452" s="1" t="inlineStr">
        <is>
          <t>Yes</t>
        </is>
      </c>
      <c r="N1452" s="1" t="inlineStr">
        <is>
          <t>Algorithms</t>
        </is>
      </c>
      <c r="O14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52" s="11" t="inlineStr">
        <is>
          <t>To Do</t>
        </is>
      </c>
    </row>
    <row r="1453" ht="15.75" customHeight="1" s="12">
      <c r="A1453" s="1" t="n">
        <v>2799</v>
      </c>
      <c r="B1453" s="3">
        <f>HYPERLINK("https://leetcode.com/problems/count-complete-subarrays-in-an-array/", "Count Complete Subarrays in an Array")</f>
        <v/>
      </c>
      <c r="C1453" s="1" t="n">
        <v>1141</v>
      </c>
      <c r="D1453" s="1" t="n">
        <v>28</v>
      </c>
      <c r="E1453" s="4">
        <f>IF(INDEX(C:C, ROW())+INDEX(D:D, ROW())=0, 0, INDEX(C:C, ROW())/(INDEX(C:C, ROW())+INDEX(D:D, ROW())))</f>
        <v/>
      </c>
      <c r="F1453" s="1" t="inlineStr">
        <is>
          <t>Array, Hash Table, Sliding Window</t>
        </is>
      </c>
      <c r="G1453" s="1" t="inlineStr">
        <is>
          <t>Medium</t>
        </is>
      </c>
      <c r="H1453" s="1" t="n">
        <v>172045</v>
      </c>
      <c r="I1453" s="1" t="n">
        <v>226509</v>
      </c>
      <c r="J1453" s="9" t="n">
        <v>0.76</v>
      </c>
      <c r="K1453" s="1" t="inlineStr">
        <is>
          <t>Yes</t>
        </is>
      </c>
      <c r="L1453" s="1" t="inlineStr">
        <is>
          <t>Yes</t>
        </is>
      </c>
      <c r="M1453" s="1" t="inlineStr">
        <is>
          <t>No</t>
        </is>
      </c>
      <c r="N1453" s="1" t="inlineStr">
        <is>
          <t>Algorithms</t>
        </is>
      </c>
      <c r="O14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53" s="11" t="inlineStr">
        <is>
          <t>To Do</t>
        </is>
      </c>
    </row>
    <row r="1454" ht="15.75" customHeight="1" s="12">
      <c r="A1454" s="1" t="n">
        <v>1388</v>
      </c>
      <c r="B1454" s="3">
        <f>HYPERLINK("https://leetcode.com/problems/pizza-with-3n-slices/", "Pizza With 3n Slices")</f>
        <v/>
      </c>
      <c r="C1454" s="1" t="n">
        <v>1140</v>
      </c>
      <c r="D1454" s="1" t="n">
        <v>24</v>
      </c>
      <c r="E1454" s="4">
        <f>IF(INDEX(C:C, ROW())+INDEX(D:D, ROW())=0, 0, INDEX(C:C, ROW())/(INDEX(C:C, ROW())+INDEX(D:D, ROW())))</f>
        <v/>
      </c>
      <c r="F1454" s="1" t="inlineStr">
        <is>
          <t>Array, Dynamic Programming, Greedy, Heap (Priority Queue)</t>
        </is>
      </c>
      <c r="G1454" s="1" t="inlineStr">
        <is>
          <t>Hard</t>
        </is>
      </c>
      <c r="H1454" s="1" t="n">
        <v>38062</v>
      </c>
      <c r="I1454" s="1" t="n">
        <v>70725</v>
      </c>
      <c r="J1454" s="9" t="n">
        <v>0.538</v>
      </c>
      <c r="K1454" s="1" t="inlineStr">
        <is>
          <t>Yes</t>
        </is>
      </c>
      <c r="L1454" s="1" t="inlineStr">
        <is>
          <t>No</t>
        </is>
      </c>
      <c r="M1454" s="1" t="inlineStr">
        <is>
          <t>No</t>
        </is>
      </c>
      <c r="N1454" s="1" t="inlineStr">
        <is>
          <t>Algorithms</t>
        </is>
      </c>
      <c r="O14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54" s="11" t="inlineStr">
        <is>
          <t>To Do</t>
        </is>
      </c>
    </row>
    <row r="1455" ht="15.75" customHeight="1" s="12">
      <c r="A1455" s="1" t="n">
        <v>1723</v>
      </c>
      <c r="B1455" s="3">
        <f>HYPERLINK("https://leetcode.com/problems/find-minimum-time-to-finish-all-jobs/", "Find Minimum Time to Finish All Jobs")</f>
        <v/>
      </c>
      <c r="C1455" s="1" t="n">
        <v>1140</v>
      </c>
      <c r="D1455" s="1" t="n">
        <v>39</v>
      </c>
      <c r="E1455" s="4">
        <f>IF(INDEX(C:C, ROW())+INDEX(D:D, ROW())=0, 0, INDEX(C:C, ROW())/(INDEX(C:C, ROW())+INDEX(D:D, ROW())))</f>
        <v/>
      </c>
      <c r="F1455" s="1" t="inlineStr">
        <is>
          <t>Array, Dynamic Programming, Backtracking, Bit Manipulation, Bitmask</t>
        </is>
      </c>
      <c r="G1455" s="1" t="inlineStr">
        <is>
          <t>Hard</t>
        </is>
      </c>
      <c r="H1455" s="1" t="n">
        <v>43969</v>
      </c>
      <c r="I1455" s="1" t="n">
        <v>96177</v>
      </c>
      <c r="J1455" s="9" t="n">
        <v>0.457</v>
      </c>
      <c r="K1455" s="1" t="inlineStr">
        <is>
          <t>Yes</t>
        </is>
      </c>
      <c r="L1455" s="1" t="inlineStr">
        <is>
          <t>No</t>
        </is>
      </c>
      <c r="M1455" s="1" t="inlineStr">
        <is>
          <t>No</t>
        </is>
      </c>
      <c r="N1455" s="1" t="inlineStr">
        <is>
          <t>Algorithms</t>
        </is>
      </c>
      <c r="O14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55" s="11" t="inlineStr">
        <is>
          <t>To Do</t>
        </is>
      </c>
    </row>
    <row r="1456" ht="15.75" customHeight="1" s="12">
      <c r="A1456" s="1" t="n">
        <v>2163</v>
      </c>
      <c r="B1456" s="3">
        <f>HYPERLINK("https://leetcode.com/problems/minimum-difference-in-sums-after-removal-of-elements/", "Minimum Difference in Sums After Removal of Elements")</f>
        <v/>
      </c>
      <c r="C1456" s="1" t="n">
        <v>1140</v>
      </c>
      <c r="D1456" s="1" t="n">
        <v>43</v>
      </c>
      <c r="E1456" s="4">
        <f>IF(INDEX(C:C, ROW())+INDEX(D:D, ROW())=0, 0, INDEX(C:C, ROW())/(INDEX(C:C, ROW())+INDEX(D:D, ROW())))</f>
        <v/>
      </c>
      <c r="F1456" s="1" t="inlineStr">
        <is>
          <t>Array, Dynamic Programming, Heap (Priority Queue)</t>
        </is>
      </c>
      <c r="G1456" s="1" t="inlineStr">
        <is>
          <t>Hard</t>
        </is>
      </c>
      <c r="H1456" s="1" t="n">
        <v>83343</v>
      </c>
      <c r="I1456" s="1" t="n">
        <v>119636</v>
      </c>
      <c r="J1456" s="9" t="n">
        <v>0.697</v>
      </c>
      <c r="K1456" s="1" t="inlineStr">
        <is>
          <t>Yes</t>
        </is>
      </c>
      <c r="L1456" s="1" t="inlineStr">
        <is>
          <t>Yes</t>
        </is>
      </c>
      <c r="M1456" s="1" t="inlineStr">
        <is>
          <t>No</t>
        </is>
      </c>
      <c r="N1456" s="1" t="inlineStr">
        <is>
          <t>Algorithms</t>
        </is>
      </c>
      <c r="O14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56" s="11" t="inlineStr">
        <is>
          <t>To Do</t>
        </is>
      </c>
    </row>
    <row r="1457" ht="15.75" customHeight="1" s="12">
      <c r="A1457" s="1" t="n">
        <v>2275</v>
      </c>
      <c r="B1457" s="3">
        <f>HYPERLINK("https://leetcode.com/problems/largest-combination-with-bitwise-and-greater-than-zero/", "Largest Combination With Bitwise AND Greater Than Zero")</f>
        <v/>
      </c>
      <c r="C1457" s="1" t="n">
        <v>1137</v>
      </c>
      <c r="D1457" s="1" t="n">
        <v>60</v>
      </c>
      <c r="E1457" s="4">
        <f>IF(INDEX(C:C, ROW())+INDEX(D:D, ROW())=0, 0, INDEX(C:C, ROW())/(INDEX(C:C, ROW())+INDEX(D:D, ROW())))</f>
        <v/>
      </c>
      <c r="F1457" s="1" t="inlineStr">
        <is>
          <t>Array, Hash Table, Bit Manipulation, Counting</t>
        </is>
      </c>
      <c r="G1457" s="1" t="inlineStr">
        <is>
          <t>Medium</t>
        </is>
      </c>
      <c r="H1457" s="1" t="n">
        <v>156936</v>
      </c>
      <c r="I1457" s="1" t="n">
        <v>194331</v>
      </c>
      <c r="J1457" s="9" t="n">
        <v>0.8080000000000001</v>
      </c>
      <c r="K1457" s="1" t="inlineStr">
        <is>
          <t>Yes</t>
        </is>
      </c>
      <c r="L1457" s="1" t="inlineStr">
        <is>
          <t>Yes</t>
        </is>
      </c>
      <c r="M1457" s="1" t="inlineStr">
        <is>
          <t>No</t>
        </is>
      </c>
      <c r="N1457" s="1" t="inlineStr">
        <is>
          <t>Algorithms</t>
        </is>
      </c>
      <c r="O14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57" s="11" t="inlineStr">
        <is>
          <t>To Do</t>
        </is>
      </c>
    </row>
    <row r="1458" ht="15.75" customHeight="1" s="12">
      <c r="A1458" s="1" t="n">
        <v>1846</v>
      </c>
      <c r="B1458" s="3">
        <f>HYPERLINK("https://leetcode.com/problems/maximum-element-after-decreasing-and-rearranging/", "Maximum Element After Decreasing and Rearranging")</f>
        <v/>
      </c>
      <c r="C1458" s="1" t="n">
        <v>1136</v>
      </c>
      <c r="D1458" s="1" t="n">
        <v>278</v>
      </c>
      <c r="E1458" s="4">
        <f>IF(INDEX(C:C, ROW())+INDEX(D:D, ROW())=0, 0, INDEX(C:C, ROW())/(INDEX(C:C, ROW())+INDEX(D:D, ROW())))</f>
        <v/>
      </c>
      <c r="F1458" s="1" t="inlineStr">
        <is>
          <t>Array, Greedy, Sorting</t>
        </is>
      </c>
      <c r="G1458" s="1" t="inlineStr">
        <is>
          <t>Medium</t>
        </is>
      </c>
      <c r="H1458" s="1" t="n">
        <v>115482</v>
      </c>
      <c r="I1458" s="1" t="n">
        <v>175703</v>
      </c>
      <c r="J1458" s="9" t="n">
        <v>0.657</v>
      </c>
      <c r="K1458" s="1" t="inlineStr">
        <is>
          <t>Yes</t>
        </is>
      </c>
      <c r="L1458" s="1" t="inlineStr">
        <is>
          <t>Yes</t>
        </is>
      </c>
      <c r="M1458" s="1" t="inlineStr">
        <is>
          <t>No</t>
        </is>
      </c>
      <c r="N1458" s="1" t="inlineStr">
        <is>
          <t>Algorithms</t>
        </is>
      </c>
      <c r="O14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58" s="11" t="inlineStr">
        <is>
          <t>To Do</t>
        </is>
      </c>
    </row>
    <row r="1459" ht="15.75" customHeight="1" s="12">
      <c r="A1459" s="1" t="n">
        <v>2325</v>
      </c>
      <c r="B1459" s="3">
        <f>HYPERLINK("https://leetcode.com/problems/decode-the-message/", "Decode the Message")</f>
        <v/>
      </c>
      <c r="C1459" s="1" t="n">
        <v>1136</v>
      </c>
      <c r="D1459" s="1" t="n">
        <v>114</v>
      </c>
      <c r="E1459" s="4">
        <f>IF(INDEX(C:C, ROW())+INDEX(D:D, ROW())=0, 0, INDEX(C:C, ROW())/(INDEX(C:C, ROW())+INDEX(D:D, ROW())))</f>
        <v/>
      </c>
      <c r="F1459" s="1" t="inlineStr">
        <is>
          <t>Hash Table, String</t>
        </is>
      </c>
      <c r="G1459" s="1" t="inlineStr">
        <is>
          <t>Easy</t>
        </is>
      </c>
      <c r="H1459" s="1" t="n">
        <v>154754</v>
      </c>
      <c r="I1459" s="1" t="n">
        <v>180304</v>
      </c>
      <c r="J1459" s="9" t="n">
        <v>0.858</v>
      </c>
      <c r="K1459" s="1" t="inlineStr">
        <is>
          <t>Yes</t>
        </is>
      </c>
      <c r="L1459" s="1" t="inlineStr">
        <is>
          <t>No</t>
        </is>
      </c>
      <c r="M1459" s="1" t="inlineStr">
        <is>
          <t>No</t>
        </is>
      </c>
      <c r="N1459" s="1" t="inlineStr">
        <is>
          <t>Algorithms</t>
        </is>
      </c>
      <c r="O14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59" s="13" t="inlineStr">
        <is>
          <t>Done</t>
        </is>
      </c>
    </row>
    <row r="1460" ht="15.75" customHeight="1" s="12">
      <c r="A1460" s="1" t="n">
        <v>536</v>
      </c>
      <c r="B1460" s="3">
        <f>HYPERLINK("https://leetcode.com/problems/construct-binary-tree-from-string/", "Construct Binary Tree from String")</f>
        <v/>
      </c>
      <c r="C1460" s="1" t="n">
        <v>1134</v>
      </c>
      <c r="D1460" s="1" t="n">
        <v>184</v>
      </c>
      <c r="E1460" s="4">
        <f>IF(INDEX(C:C, ROW())+INDEX(D:D, ROW())=0, 0, INDEX(C:C, ROW())/(INDEX(C:C, ROW())+INDEX(D:D, ROW())))</f>
        <v/>
      </c>
      <c r="F1460" s="1" t="inlineStr">
        <is>
          <t>String, Stack, Tree, Depth-First Search, Binary Tree</t>
        </is>
      </c>
      <c r="G1460" s="1" t="inlineStr">
        <is>
          <t>Medium</t>
        </is>
      </c>
      <c r="H1460" s="1" t="n">
        <v>127207</v>
      </c>
      <c r="I1460" s="1" t="n">
        <v>216740</v>
      </c>
      <c r="J1460" s="9" t="n">
        <v>0.587</v>
      </c>
      <c r="K1460" s="1" t="inlineStr">
        <is>
          <t>No</t>
        </is>
      </c>
      <c r="L1460" s="1" t="inlineStr">
        <is>
          <t>Yes</t>
        </is>
      </c>
      <c r="M1460" s="1" t="inlineStr">
        <is>
          <t>No</t>
        </is>
      </c>
      <c r="N1460" s="1" t="inlineStr">
        <is>
          <t>Algorithms</t>
        </is>
      </c>
      <c r="O14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60" s="11" t="inlineStr">
        <is>
          <t>To Do</t>
        </is>
      </c>
    </row>
    <row r="1461" ht="15.75" customHeight="1" s="12">
      <c r="A1461" s="1" t="n">
        <v>1711</v>
      </c>
      <c r="B1461" s="3">
        <f>HYPERLINK("https://leetcode.com/problems/count-good-meals/", "Count Good Meals")</f>
        <v/>
      </c>
      <c r="C1461" s="1" t="n">
        <v>1134</v>
      </c>
      <c r="D1461" s="1" t="n">
        <v>247</v>
      </c>
      <c r="E1461" s="4">
        <f>IF(INDEX(C:C, ROW())+INDEX(D:D, ROW())=0, 0, INDEX(C:C, ROW())/(INDEX(C:C, ROW())+INDEX(D:D, ROW())))</f>
        <v/>
      </c>
      <c r="F1461" s="1" t="inlineStr">
        <is>
          <t>Array, Hash Table</t>
        </is>
      </c>
      <c r="G1461" s="1" t="inlineStr">
        <is>
          <t>Medium</t>
        </is>
      </c>
      <c r="H1461" s="1" t="n">
        <v>54299</v>
      </c>
      <c r="I1461" s="1" t="n">
        <v>165603</v>
      </c>
      <c r="J1461" s="9" t="n">
        <v>0.328</v>
      </c>
      <c r="K1461" s="1" t="inlineStr">
        <is>
          <t>Yes</t>
        </is>
      </c>
      <c r="L1461" s="1" t="inlineStr">
        <is>
          <t>No</t>
        </is>
      </c>
      <c r="M1461" s="1" t="inlineStr">
        <is>
          <t>No</t>
        </is>
      </c>
      <c r="N1461" s="1" t="inlineStr">
        <is>
          <t>Algorithms</t>
        </is>
      </c>
      <c r="O14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61" s="11" t="inlineStr">
        <is>
          <t>To Do</t>
        </is>
      </c>
    </row>
    <row r="1462" ht="15.75" customHeight="1" s="12">
      <c r="A1462" s="1" t="n">
        <v>2577</v>
      </c>
      <c r="B1462" s="3">
        <f>HYPERLINK("https://leetcode.com/problems/minimum-time-to-visit-a-cell-in-a-grid/", "Minimum Time to Visit a Cell In a Grid")</f>
        <v/>
      </c>
      <c r="C1462" s="1" t="n">
        <v>1134</v>
      </c>
      <c r="D1462" s="1" t="n">
        <v>45</v>
      </c>
      <c r="E1462" s="4">
        <f>IF(INDEX(C:C, ROW())+INDEX(D:D, ROW())=0, 0, INDEX(C:C, ROW())/(INDEX(C:C, ROW())+INDEX(D:D, ROW())))</f>
        <v/>
      </c>
      <c r="F1462" s="1" t="inlineStr">
        <is>
          <t>Array, Breadth-First Search, Graph Theory, Heap (Priority Queue), Matrix, Shortest Path</t>
        </is>
      </c>
      <c r="G1462" s="1" t="inlineStr">
        <is>
          <t>Hard</t>
        </is>
      </c>
      <c r="H1462" s="1" t="n">
        <v>88758</v>
      </c>
      <c r="I1462" s="1" t="n">
        <v>157611</v>
      </c>
      <c r="J1462" s="9" t="n">
        <v>0.5629999999999999</v>
      </c>
      <c r="K1462" s="1" t="inlineStr">
        <is>
          <t>Yes</t>
        </is>
      </c>
      <c r="L1462" s="1" t="inlineStr">
        <is>
          <t>Yes</t>
        </is>
      </c>
      <c r="M1462" s="1" t="inlineStr">
        <is>
          <t>No</t>
        </is>
      </c>
      <c r="N1462" s="1" t="inlineStr">
        <is>
          <t>Algorithms</t>
        </is>
      </c>
      <c r="O14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62" s="11" t="inlineStr">
        <is>
          <t>To Do</t>
        </is>
      </c>
    </row>
    <row r="1463" ht="15.75" customHeight="1" s="12">
      <c r="A1463" s="1" t="n">
        <v>2185</v>
      </c>
      <c r="B1463" s="3">
        <f>HYPERLINK("https://leetcode.com/problems/counting-words-with-a-given-prefix/", "Counting Words With a Given Prefix")</f>
        <v/>
      </c>
      <c r="C1463" s="1" t="n">
        <v>1132</v>
      </c>
      <c r="D1463" s="1" t="n">
        <v>38</v>
      </c>
      <c r="E1463" s="4">
        <f>IF(INDEX(C:C, ROW())+INDEX(D:D, ROW())=0, 0, INDEX(C:C, ROW())/(INDEX(C:C, ROW())+INDEX(D:D, ROW())))</f>
        <v/>
      </c>
      <c r="F1463" s="1" t="inlineStr">
        <is>
          <t>Array, String, String Matching</t>
        </is>
      </c>
      <c r="G1463" s="1" t="inlineStr">
        <is>
          <t>Easy</t>
        </is>
      </c>
      <c r="H1463" s="1" t="n">
        <v>305736</v>
      </c>
      <c r="I1463" s="1" t="n">
        <v>362108</v>
      </c>
      <c r="J1463" s="9" t="n">
        <v>0.844</v>
      </c>
      <c r="K1463" s="1" t="inlineStr">
        <is>
          <t>Yes</t>
        </is>
      </c>
      <c r="L1463" s="1" t="inlineStr">
        <is>
          <t>Yes</t>
        </is>
      </c>
      <c r="M1463" s="1" t="inlineStr">
        <is>
          <t>No</t>
        </is>
      </c>
      <c r="N1463" s="1" t="inlineStr">
        <is>
          <t>Algorithms</t>
        </is>
      </c>
      <c r="O14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63" s="13" t="inlineStr">
        <is>
          <t>Done</t>
        </is>
      </c>
    </row>
    <row r="1464" ht="15.75" customHeight="1" s="12">
      <c r="A1464" s="1" t="n">
        <v>2404</v>
      </c>
      <c r="B1464" s="3">
        <f>HYPERLINK("https://leetcode.com/problems/most-frequent-even-element/", "Most Frequent Even Element")</f>
        <v/>
      </c>
      <c r="C1464" s="1" t="n">
        <v>1131</v>
      </c>
      <c r="D1464" s="1" t="n">
        <v>42</v>
      </c>
      <c r="E1464" s="4">
        <f>IF(INDEX(C:C, ROW())+INDEX(D:D, ROW())=0, 0, INDEX(C:C, ROW())/(INDEX(C:C, ROW())+INDEX(D:D, ROW())))</f>
        <v/>
      </c>
      <c r="F1464" s="1" t="inlineStr">
        <is>
          <t>Array, Hash Table, Counting</t>
        </is>
      </c>
      <c r="G1464" s="1" t="inlineStr">
        <is>
          <t>Easy</t>
        </is>
      </c>
      <c r="H1464" s="1" t="n">
        <v>138040</v>
      </c>
      <c r="I1464" s="1" t="n">
        <v>257567</v>
      </c>
      <c r="J1464" s="9" t="n">
        <v>0.536</v>
      </c>
      <c r="K1464" s="1" t="inlineStr">
        <is>
          <t>Yes</t>
        </is>
      </c>
      <c r="L1464" s="1" t="inlineStr">
        <is>
          <t>No</t>
        </is>
      </c>
      <c r="M1464" s="1" t="inlineStr">
        <is>
          <t>No</t>
        </is>
      </c>
      <c r="N1464" s="1" t="inlineStr">
        <is>
          <t>Algorithms</t>
        </is>
      </c>
      <c r="O14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64" s="13" t="inlineStr">
        <is>
          <t>Done</t>
        </is>
      </c>
    </row>
    <row r="1465" ht="15.75" customHeight="1" s="12">
      <c r="A1465" s="1" t="n">
        <v>311</v>
      </c>
      <c r="B1465" s="3">
        <f>HYPERLINK("https://leetcode.com/problems/sparse-matrix-multiplication/", "Sparse Matrix Multiplication")</f>
        <v/>
      </c>
      <c r="C1465" s="1" t="n">
        <v>1129</v>
      </c>
      <c r="D1465" s="1" t="n">
        <v>374</v>
      </c>
      <c r="E1465" s="4">
        <f>IF(INDEX(C:C, ROW())+INDEX(D:D, ROW())=0, 0, INDEX(C:C, ROW())/(INDEX(C:C, ROW())+INDEX(D:D, ROW())))</f>
        <v/>
      </c>
      <c r="F1465" s="1" t="inlineStr">
        <is>
          <t>Array, Hash Table, Matrix</t>
        </is>
      </c>
      <c r="G1465" s="1" t="inlineStr">
        <is>
          <t>Medium</t>
        </is>
      </c>
      <c r="H1465" s="1" t="n">
        <v>223097</v>
      </c>
      <c r="I1465" s="1" t="n">
        <v>321906</v>
      </c>
      <c r="J1465" s="9" t="n">
        <v>0.6929999999999999</v>
      </c>
      <c r="K1465" s="1" t="inlineStr">
        <is>
          <t>No</t>
        </is>
      </c>
      <c r="L1465" s="1" t="inlineStr">
        <is>
          <t>Yes</t>
        </is>
      </c>
      <c r="M1465" s="1" t="inlineStr">
        <is>
          <t>No</t>
        </is>
      </c>
      <c r="N1465" s="1" t="inlineStr">
        <is>
          <t>Algorithms</t>
        </is>
      </c>
      <c r="O14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65" s="11" t="inlineStr">
        <is>
          <t>To Do</t>
        </is>
      </c>
    </row>
    <row r="1466" ht="15.75" customHeight="1" s="12">
      <c r="A1466" s="1" t="n">
        <v>1211</v>
      </c>
      <c r="B1466" s="3">
        <f>HYPERLINK("https://leetcode.com/problems/queries-quality-and-percentage/", "Queries Quality and Percentage")</f>
        <v/>
      </c>
      <c r="C1466" s="1" t="n">
        <v>1128</v>
      </c>
      <c r="D1466" s="1" t="n">
        <v>549</v>
      </c>
      <c r="E1466" s="4">
        <f>IF(INDEX(C:C, ROW())+INDEX(D:D, ROW())=0, 0, INDEX(C:C, ROW())/(INDEX(C:C, ROW())+INDEX(D:D, ROW())))</f>
        <v/>
      </c>
      <c r="F1466" s="1" t="inlineStr">
        <is>
          <t>Database</t>
        </is>
      </c>
      <c r="G1466" s="1" t="inlineStr">
        <is>
          <t>Easy</t>
        </is>
      </c>
      <c r="H1466" s="1" t="n">
        <v>524224</v>
      </c>
      <c r="I1466" s="1" t="n">
        <v>988904</v>
      </c>
      <c r="J1466" s="9" t="n">
        <v>0.53</v>
      </c>
      <c r="K1466" s="1" t="inlineStr">
        <is>
          <t>Yes</t>
        </is>
      </c>
      <c r="L1466" s="1" t="inlineStr">
        <is>
          <t>No</t>
        </is>
      </c>
      <c r="M1466" s="1" t="inlineStr">
        <is>
          <t>No</t>
        </is>
      </c>
      <c r="N1466" s="1" t="inlineStr">
        <is>
          <t>Database</t>
        </is>
      </c>
      <c r="O14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66" s="13" t="inlineStr">
        <is>
          <t>Done</t>
        </is>
      </c>
    </row>
    <row r="1467" ht="15.75" customHeight="1" s="12">
      <c r="A1467" s="1" t="n">
        <v>2028</v>
      </c>
      <c r="B1467" s="3">
        <f>HYPERLINK("https://leetcode.com/problems/find-missing-observations/", "Find Missing Observations")</f>
        <v/>
      </c>
      <c r="C1467" s="1" t="n">
        <v>1128</v>
      </c>
      <c r="D1467" s="1" t="n">
        <v>108</v>
      </c>
      <c r="E1467" s="4">
        <f>IF(INDEX(C:C, ROW())+INDEX(D:D, ROW())=0, 0, INDEX(C:C, ROW())/(INDEX(C:C, ROW())+INDEX(D:D, ROW())))</f>
        <v/>
      </c>
      <c r="F1467" s="1" t="inlineStr">
        <is>
          <t>Array, Math, Simulation</t>
        </is>
      </c>
      <c r="G1467" s="1" t="inlineStr">
        <is>
          <t>Medium</t>
        </is>
      </c>
      <c r="H1467" s="1" t="n">
        <v>174983</v>
      </c>
      <c r="I1467" s="1" t="n">
        <v>305035</v>
      </c>
      <c r="J1467" s="9" t="n">
        <v>0.574</v>
      </c>
      <c r="K1467" s="1" t="inlineStr">
        <is>
          <t>Yes</t>
        </is>
      </c>
      <c r="L1467" s="1" t="inlineStr">
        <is>
          <t>Yes</t>
        </is>
      </c>
      <c r="M1467" s="1" t="inlineStr">
        <is>
          <t>No</t>
        </is>
      </c>
      <c r="N1467" s="1" t="inlineStr">
        <is>
          <t>Algorithms</t>
        </is>
      </c>
      <c r="O14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67" s="11" t="inlineStr">
        <is>
          <t>To Do</t>
        </is>
      </c>
    </row>
    <row r="1468" ht="15.75" customHeight="1" s="12">
      <c r="A1468" s="1" t="n">
        <v>757</v>
      </c>
      <c r="B1468" s="3">
        <f>HYPERLINK("https://leetcode.com/problems/set-intersection-size-at-least-two/", "Set Intersection Size At Least Two")</f>
        <v/>
      </c>
      <c r="C1468" s="1" t="n">
        <v>1127</v>
      </c>
      <c r="D1468" s="1" t="n">
        <v>110</v>
      </c>
      <c r="E1468" s="4">
        <f>IF(INDEX(C:C, ROW())+INDEX(D:D, ROW())=0, 0, INDEX(C:C, ROW())/(INDEX(C:C, ROW())+INDEX(D:D, ROW())))</f>
        <v/>
      </c>
      <c r="F1468" s="1" t="inlineStr">
        <is>
          <t>Array, Greedy, Sorting</t>
        </is>
      </c>
      <c r="G1468" s="1" t="inlineStr">
        <is>
          <t>Hard</t>
        </is>
      </c>
      <c r="H1468" s="1" t="n">
        <v>97973</v>
      </c>
      <c r="I1468" s="1" t="n">
        <v>168813</v>
      </c>
      <c r="J1468" s="9" t="n">
        <v>0.58</v>
      </c>
      <c r="K1468" s="1" t="inlineStr">
        <is>
          <t>Yes</t>
        </is>
      </c>
      <c r="L1468" s="1" t="inlineStr">
        <is>
          <t>Yes</t>
        </is>
      </c>
      <c r="M1468" s="1" t="inlineStr">
        <is>
          <t>No</t>
        </is>
      </c>
      <c r="N1468" s="1" t="inlineStr">
        <is>
          <t>Algorithms</t>
        </is>
      </c>
      <c r="O14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68" s="11" t="inlineStr">
        <is>
          <t>To Do</t>
        </is>
      </c>
    </row>
    <row r="1469" ht="15.75" customHeight="1" s="12">
      <c r="A1469" s="1" t="n">
        <v>425</v>
      </c>
      <c r="B1469" s="3">
        <f>HYPERLINK("https://leetcode.com/problems/word-squares/", "Word Squares")</f>
        <v/>
      </c>
      <c r="C1469" s="1" t="n">
        <v>1125</v>
      </c>
      <c r="D1469" s="1" t="n">
        <v>75</v>
      </c>
      <c r="E1469" s="4">
        <f>IF(INDEX(C:C, ROW())+INDEX(D:D, ROW())=0, 0, INDEX(C:C, ROW())/(INDEX(C:C, ROW())+INDEX(D:D, ROW())))</f>
        <v/>
      </c>
      <c r="F1469" s="1" t="inlineStr">
        <is>
          <t>Array, String, Backtracking, Trie</t>
        </is>
      </c>
      <c r="G1469" s="1" t="inlineStr">
        <is>
          <t>Hard</t>
        </is>
      </c>
      <c r="H1469" s="1" t="n">
        <v>83609</v>
      </c>
      <c r="I1469" s="1" t="n">
        <v>152842</v>
      </c>
      <c r="J1469" s="9" t="n">
        <v>0.547</v>
      </c>
      <c r="K1469" s="1" t="inlineStr">
        <is>
          <t>No</t>
        </is>
      </c>
      <c r="L1469" s="1" t="inlineStr">
        <is>
          <t>Yes</t>
        </is>
      </c>
      <c r="M1469" s="1" t="inlineStr">
        <is>
          <t>No</t>
        </is>
      </c>
      <c r="N1469" s="1" t="inlineStr">
        <is>
          <t>Algorithms</t>
        </is>
      </c>
      <c r="O14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69" s="11" t="inlineStr">
        <is>
          <t>To Do</t>
        </is>
      </c>
    </row>
    <row r="1470" ht="15.75" customHeight="1" s="12">
      <c r="A1470" s="1" t="n">
        <v>593</v>
      </c>
      <c r="B1470" s="3">
        <f>HYPERLINK("https://leetcode.com/problems/valid-square/", "Valid Square")</f>
        <v/>
      </c>
      <c r="C1470" s="1" t="n">
        <v>1125</v>
      </c>
      <c r="D1470" s="1" t="n">
        <v>914</v>
      </c>
      <c r="E1470" s="4">
        <f>IF(INDEX(C:C, ROW())+INDEX(D:D, ROW())=0, 0, INDEX(C:C, ROW())/(INDEX(C:C, ROW())+INDEX(D:D, ROW())))</f>
        <v/>
      </c>
      <c r="F1470" s="1" t="inlineStr">
        <is>
          <t>Math, Geometry</t>
        </is>
      </c>
      <c r="G1470" s="1" t="inlineStr">
        <is>
          <t>Medium</t>
        </is>
      </c>
      <c r="H1470" s="1" t="n">
        <v>130521</v>
      </c>
      <c r="I1470" s="1" t="n">
        <v>290184</v>
      </c>
      <c r="J1470" s="9" t="n">
        <v>0.45</v>
      </c>
      <c r="K1470" s="1" t="inlineStr">
        <is>
          <t>Yes</t>
        </is>
      </c>
      <c r="L1470" s="1" t="inlineStr">
        <is>
          <t>Yes</t>
        </is>
      </c>
      <c r="M1470" s="1" t="inlineStr">
        <is>
          <t>No</t>
        </is>
      </c>
      <c r="N1470" s="1" t="inlineStr">
        <is>
          <t>Algorithms</t>
        </is>
      </c>
      <c r="O14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70" s="11" t="inlineStr">
        <is>
          <t>To Do</t>
        </is>
      </c>
    </row>
    <row r="1471" ht="15.75" customHeight="1" s="12">
      <c r="A1471" s="1" t="n">
        <v>924</v>
      </c>
      <c r="B1471" s="3">
        <f>HYPERLINK("https://leetcode.com/problems/minimize-malware-spread/", "Minimize Malware Spread")</f>
        <v/>
      </c>
      <c r="C1471" s="1" t="n">
        <v>1125</v>
      </c>
      <c r="D1471" s="1" t="n">
        <v>654</v>
      </c>
      <c r="E1471" s="4">
        <f>IF(INDEX(C:C, ROW())+INDEX(D:D, ROW())=0, 0, INDEX(C:C, ROW())/(INDEX(C:C, ROW())+INDEX(D:D, ROW())))</f>
        <v/>
      </c>
      <c r="F1471" s="1" t="inlineStr">
        <is>
          <t>Array, Hash Table, Depth-First Search, Breadth-First Search, Union-Find, Graph Theory</t>
        </is>
      </c>
      <c r="G1471" s="1" t="inlineStr">
        <is>
          <t>Hard</t>
        </is>
      </c>
      <c r="H1471" s="1" t="n">
        <v>75124</v>
      </c>
      <c r="I1471" s="1" t="n">
        <v>173972</v>
      </c>
      <c r="J1471" s="9" t="n">
        <v>0.432</v>
      </c>
      <c r="K1471" s="1" t="inlineStr">
        <is>
          <t>Yes</t>
        </is>
      </c>
      <c r="L1471" s="1" t="inlineStr">
        <is>
          <t>Yes</t>
        </is>
      </c>
      <c r="M1471" s="1" t="inlineStr">
        <is>
          <t>No</t>
        </is>
      </c>
      <c r="N1471" s="1" t="inlineStr">
        <is>
          <t>Algorithms</t>
        </is>
      </c>
      <c r="O14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71" s="11" t="inlineStr">
        <is>
          <t>To Do</t>
        </is>
      </c>
    </row>
    <row r="1472" ht="15.75" customHeight="1" s="12">
      <c r="A1472" s="1" t="n">
        <v>1128</v>
      </c>
      <c r="B1472" s="3">
        <f>HYPERLINK("https://leetcode.com/problems/number-of-equivalent-domino-pairs/", "Number of Equivalent Domino Pairs")</f>
        <v/>
      </c>
      <c r="C1472" s="1" t="n">
        <v>1125</v>
      </c>
      <c r="D1472" s="1" t="n">
        <v>379</v>
      </c>
      <c r="E1472" s="4">
        <f>IF(INDEX(C:C, ROW())+INDEX(D:D, ROW())=0, 0, INDEX(C:C, ROW())/(INDEX(C:C, ROW())+INDEX(D:D, ROW())))</f>
        <v/>
      </c>
      <c r="F1472" s="1" t="inlineStr">
        <is>
          <t>Array, Hash Table, Counting</t>
        </is>
      </c>
      <c r="G1472" s="1" t="inlineStr">
        <is>
          <t>Easy</t>
        </is>
      </c>
      <c r="H1472" s="1" t="n">
        <v>203857</v>
      </c>
      <c r="I1472" s="1" t="n">
        <v>335959</v>
      </c>
      <c r="J1472" s="9" t="n">
        <v>0.607</v>
      </c>
      <c r="K1472" s="1" t="inlineStr">
        <is>
          <t>Yes</t>
        </is>
      </c>
      <c r="L1472" s="1" t="inlineStr">
        <is>
          <t>Yes</t>
        </is>
      </c>
      <c r="M1472" s="1" t="inlineStr">
        <is>
          <t>No</t>
        </is>
      </c>
      <c r="N1472" s="1" t="inlineStr">
        <is>
          <t>Algorithms</t>
        </is>
      </c>
      <c r="O14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72" s="13" t="inlineStr">
        <is>
          <t>Done</t>
        </is>
      </c>
    </row>
    <row r="1473" ht="15.75" customHeight="1" s="12">
      <c r="A1473" s="1" t="n">
        <v>1419</v>
      </c>
      <c r="B1473" s="3">
        <f>HYPERLINK("https://leetcode.com/problems/minimum-number-of-frogs-croaking/", "Minimum Number of Frogs Croaking")</f>
        <v/>
      </c>
      <c r="C1473" s="1" t="n">
        <v>1125</v>
      </c>
      <c r="D1473" s="1" t="n">
        <v>95</v>
      </c>
      <c r="E1473" s="4">
        <f>IF(INDEX(C:C, ROW())+INDEX(D:D, ROW())=0, 0, INDEX(C:C, ROW())/(INDEX(C:C, ROW())+INDEX(D:D, ROW())))</f>
        <v/>
      </c>
      <c r="F1473" s="1" t="inlineStr">
        <is>
          <t>String, Counting</t>
        </is>
      </c>
      <c r="G1473" s="1" t="inlineStr">
        <is>
          <t>Medium</t>
        </is>
      </c>
      <c r="H1473" s="1" t="n">
        <v>63698</v>
      </c>
      <c r="I1473" s="1" t="n">
        <v>124582</v>
      </c>
      <c r="J1473" s="9" t="n">
        <v>0.511</v>
      </c>
      <c r="K1473" s="1" t="inlineStr">
        <is>
          <t>Yes</t>
        </is>
      </c>
      <c r="L1473" s="1" t="inlineStr">
        <is>
          <t>No</t>
        </is>
      </c>
      <c r="M1473" s="1" t="inlineStr">
        <is>
          <t>No</t>
        </is>
      </c>
      <c r="N1473" s="1" t="inlineStr">
        <is>
          <t>Algorithms</t>
        </is>
      </c>
      <c r="O14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73" s="11" t="inlineStr">
        <is>
          <t>To Do</t>
        </is>
      </c>
    </row>
    <row r="1474" ht="15.75" customHeight="1" s="12">
      <c r="A1474" s="1" t="n">
        <v>2109</v>
      </c>
      <c r="B1474" s="3">
        <f>HYPERLINK("https://leetcode.com/problems/adding-spaces-to-a-string/", "Adding Spaces to a String")</f>
        <v/>
      </c>
      <c r="C1474" s="1" t="n">
        <v>1125</v>
      </c>
      <c r="D1474" s="1" t="n">
        <v>113</v>
      </c>
      <c r="E1474" s="4">
        <f>IF(INDEX(C:C, ROW())+INDEX(D:D, ROW())=0, 0, INDEX(C:C, ROW())/(INDEX(C:C, ROW())+INDEX(D:D, ROW())))</f>
        <v/>
      </c>
      <c r="F1474" s="1" t="inlineStr">
        <is>
          <t>Array, Two Pointers, String, Simulation</t>
        </is>
      </c>
      <c r="G1474" s="1" t="inlineStr">
        <is>
          <t>Medium</t>
        </is>
      </c>
      <c r="H1474" s="1" t="n">
        <v>225454</v>
      </c>
      <c r="I1474" s="1" t="n">
        <v>313967</v>
      </c>
      <c r="J1474" s="9" t="n">
        <v>0.718</v>
      </c>
      <c r="K1474" s="1" t="inlineStr">
        <is>
          <t>Yes</t>
        </is>
      </c>
      <c r="L1474" s="1" t="inlineStr">
        <is>
          <t>Yes</t>
        </is>
      </c>
      <c r="M1474" s="1" t="inlineStr">
        <is>
          <t>No</t>
        </is>
      </c>
      <c r="N1474" s="1" t="inlineStr">
        <is>
          <t>Algorithms</t>
        </is>
      </c>
      <c r="O14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74" s="11" t="inlineStr">
        <is>
          <t>To Do</t>
        </is>
      </c>
    </row>
    <row r="1475" ht="15.75" customHeight="1" s="12">
      <c r="A1475" s="1" t="n">
        <v>468</v>
      </c>
      <c r="B1475" s="3">
        <f>HYPERLINK("https://leetcode.com/problems/validate-ip-address/", "Validate IP Address")</f>
        <v/>
      </c>
      <c r="C1475" s="1" t="n">
        <v>1124</v>
      </c>
      <c r="D1475" s="1" t="n">
        <v>2746</v>
      </c>
      <c r="E1475" s="4">
        <f>IF(INDEX(C:C, ROW())+INDEX(D:D, ROW())=0, 0, INDEX(C:C, ROW())/(INDEX(C:C, ROW())+INDEX(D:D, ROW())))</f>
        <v/>
      </c>
      <c r="F1475" s="1" t="inlineStr">
        <is>
          <t>String</t>
        </is>
      </c>
      <c r="G1475" s="1" t="inlineStr">
        <is>
          <t>Medium</t>
        </is>
      </c>
      <c r="H1475" s="1" t="n">
        <v>202182</v>
      </c>
      <c r="I1475" s="1" t="n">
        <v>714403</v>
      </c>
      <c r="J1475" s="9" t="n">
        <v>0.283</v>
      </c>
      <c r="K1475" s="1" t="inlineStr">
        <is>
          <t>Yes</t>
        </is>
      </c>
      <c r="L1475" s="1" t="inlineStr">
        <is>
          <t>Yes</t>
        </is>
      </c>
      <c r="M1475" s="1" t="inlineStr">
        <is>
          <t>No</t>
        </is>
      </c>
      <c r="N1475" s="1" t="inlineStr">
        <is>
          <t>Algorithms</t>
        </is>
      </c>
      <c r="O14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75" s="11" t="inlineStr">
        <is>
          <t>To Do</t>
        </is>
      </c>
    </row>
    <row r="1476" ht="15.75" customHeight="1" s="12">
      <c r="A1476" s="1" t="n">
        <v>2062</v>
      </c>
      <c r="B1476" s="3">
        <f>HYPERLINK("https://leetcode.com/problems/count-vowel-substrings-of-a-string/", "Count Vowel Substrings of a String")</f>
        <v/>
      </c>
      <c r="C1476" s="1" t="n">
        <v>1121</v>
      </c>
      <c r="D1476" s="1" t="n">
        <v>439</v>
      </c>
      <c r="E1476" s="4">
        <f>IF(INDEX(C:C, ROW())+INDEX(D:D, ROW())=0, 0, INDEX(C:C, ROW())/(INDEX(C:C, ROW())+INDEX(D:D, ROW())))</f>
        <v/>
      </c>
      <c r="F1476" s="1" t="inlineStr">
        <is>
          <t>Hash Table, String</t>
        </is>
      </c>
      <c r="G1476" s="1" t="inlineStr">
        <is>
          <t>Easy</t>
        </is>
      </c>
      <c r="H1476" s="1" t="n">
        <v>77636</v>
      </c>
      <c r="I1476" s="1" t="n">
        <v>106152</v>
      </c>
      <c r="J1476" s="9" t="n">
        <v>0.731</v>
      </c>
      <c r="K1476" s="1" t="inlineStr">
        <is>
          <t>Yes</t>
        </is>
      </c>
      <c r="L1476" s="1" t="inlineStr">
        <is>
          <t>No</t>
        </is>
      </c>
      <c r="M1476" s="1" t="inlineStr">
        <is>
          <t>No</t>
        </is>
      </c>
      <c r="N1476" s="1" t="inlineStr">
        <is>
          <t>Algorithms</t>
        </is>
      </c>
      <c r="O14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76" s="13" t="inlineStr">
        <is>
          <t>Done</t>
        </is>
      </c>
    </row>
    <row r="1477" ht="15.75" customHeight="1" s="12">
      <c r="A1477" s="1" t="n">
        <v>1156</v>
      </c>
      <c r="B1477" s="3">
        <f>HYPERLINK("https://leetcode.com/problems/swap-for-longest-repeated-character-substring/", "Swap For Longest Repeated Character Substring")</f>
        <v/>
      </c>
      <c r="C1477" s="1" t="n">
        <v>1119</v>
      </c>
      <c r="D1477" s="1" t="n">
        <v>104</v>
      </c>
      <c r="E1477" s="4">
        <f>IF(INDEX(C:C, ROW())+INDEX(D:D, ROW())=0, 0, INDEX(C:C, ROW())/(INDEX(C:C, ROW())+INDEX(D:D, ROW())))</f>
        <v/>
      </c>
      <c r="F1477" s="1" t="inlineStr">
        <is>
          <t>Hash Table, String, Sliding Window</t>
        </is>
      </c>
      <c r="G1477" s="1" t="inlineStr">
        <is>
          <t>Medium</t>
        </is>
      </c>
      <c r="H1477" s="1" t="n">
        <v>42231</v>
      </c>
      <c r="I1477" s="1" t="n">
        <v>94864</v>
      </c>
      <c r="J1477" s="9" t="n">
        <v>0.445</v>
      </c>
      <c r="K1477" s="1" t="inlineStr">
        <is>
          <t>Yes</t>
        </is>
      </c>
      <c r="L1477" s="1" t="inlineStr">
        <is>
          <t>No</t>
        </is>
      </c>
      <c r="M1477" s="1" t="inlineStr">
        <is>
          <t>No</t>
        </is>
      </c>
      <c r="N1477" s="1" t="inlineStr">
        <is>
          <t>Algorithms</t>
        </is>
      </c>
      <c r="O14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77" s="11" t="inlineStr">
        <is>
          <t>To Do</t>
        </is>
      </c>
    </row>
    <row r="1478" ht="15.75" customHeight="1" s="12">
      <c r="A1478" s="1" t="n">
        <v>1204</v>
      </c>
      <c r="B1478" s="3">
        <f>HYPERLINK("https://leetcode.com/problems/last-person-to-fit-in-the-bus/", "Last Person to Fit in the Bus")</f>
        <v/>
      </c>
      <c r="C1478" s="1" t="n">
        <v>1119</v>
      </c>
      <c r="D1478" s="1" t="n">
        <v>51</v>
      </c>
      <c r="E1478" s="4">
        <f>IF(INDEX(C:C, ROW())+INDEX(D:D, ROW())=0, 0, INDEX(C:C, ROW())/(INDEX(C:C, ROW())+INDEX(D:D, ROW())))</f>
        <v/>
      </c>
      <c r="F1478" s="1" t="inlineStr">
        <is>
          <t>Database</t>
        </is>
      </c>
      <c r="G1478" s="1" t="inlineStr">
        <is>
          <t>Medium</t>
        </is>
      </c>
      <c r="H1478" s="1" t="n">
        <v>342231</v>
      </c>
      <c r="I1478" s="1" t="n">
        <v>494500</v>
      </c>
      <c r="J1478" s="9" t="n">
        <v>0.6919999999999999</v>
      </c>
      <c r="K1478" s="1" t="inlineStr">
        <is>
          <t>Yes</t>
        </is>
      </c>
      <c r="L1478" s="1" t="inlineStr">
        <is>
          <t>No</t>
        </is>
      </c>
      <c r="M1478" s="1" t="inlineStr">
        <is>
          <t>No</t>
        </is>
      </c>
      <c r="N1478" s="1" t="inlineStr">
        <is>
          <t>Database</t>
        </is>
      </c>
      <c r="O14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78" s="11" t="inlineStr">
        <is>
          <t>To Do</t>
        </is>
      </c>
    </row>
    <row r="1479" ht="15.75" customHeight="1" s="12">
      <c r="A1479" s="1" t="n">
        <v>1546</v>
      </c>
      <c r="B1479" s="3">
        <f>HYPERLINK("https://leetcode.com/problems/maximum-number-of-non-overlapping-subarrays-with-sum-equals-target/", "Maximum Number of Non-Overlapping Subarrays With Sum Equals Target")</f>
        <v/>
      </c>
      <c r="C1479" s="1" t="n">
        <v>1119</v>
      </c>
      <c r="D1479" s="1" t="n">
        <v>28</v>
      </c>
      <c r="E1479" s="4">
        <f>IF(INDEX(C:C, ROW())+INDEX(D:D, ROW())=0, 0, INDEX(C:C, ROW())/(INDEX(C:C, ROW())+INDEX(D:D, ROW())))</f>
        <v/>
      </c>
      <c r="F1479" s="1" t="inlineStr">
        <is>
          <t>Array, Hash Table, Greedy, Prefix Sum</t>
        </is>
      </c>
      <c r="G1479" s="1" t="inlineStr">
        <is>
          <t>Medium</t>
        </is>
      </c>
      <c r="H1479" s="1" t="n">
        <v>35966</v>
      </c>
      <c r="I1479" s="1" t="n">
        <v>73530</v>
      </c>
      <c r="J1479" s="9" t="n">
        <v>0.489</v>
      </c>
      <c r="K1479" s="1" t="inlineStr">
        <is>
          <t>Yes</t>
        </is>
      </c>
      <c r="L1479" s="1" t="inlineStr">
        <is>
          <t>No</t>
        </is>
      </c>
      <c r="M1479" s="1" t="inlineStr">
        <is>
          <t>No</t>
        </is>
      </c>
      <c r="N1479" s="1" t="inlineStr">
        <is>
          <t>Algorithms</t>
        </is>
      </c>
      <c r="O14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79" s="11" t="inlineStr">
        <is>
          <t>To Do</t>
        </is>
      </c>
    </row>
    <row r="1480" ht="15.75" customHeight="1" s="12">
      <c r="A1480" s="1" t="n">
        <v>186</v>
      </c>
      <c r="B1480" s="3">
        <f>HYPERLINK("https://leetcode.com/problems/reverse-words-in-a-string-ii/", "Reverse Words in a String II")</f>
        <v/>
      </c>
      <c r="C1480" s="1" t="n">
        <v>1118</v>
      </c>
      <c r="D1480" s="1" t="n">
        <v>146</v>
      </c>
      <c r="E1480" s="4">
        <f>IF(INDEX(C:C, ROW())+INDEX(D:D, ROW())=0, 0, INDEX(C:C, ROW())/(INDEX(C:C, ROW())+INDEX(D:D, ROW())))</f>
        <v/>
      </c>
      <c r="F1480" s="1" t="inlineStr">
        <is>
          <t>Two Pointers, String</t>
        </is>
      </c>
      <c r="G1480" s="1" t="inlineStr">
        <is>
          <t>Medium</t>
        </is>
      </c>
      <c r="H1480" s="1" t="n">
        <v>181155</v>
      </c>
      <c r="I1480" s="1" t="n">
        <v>319588</v>
      </c>
      <c r="J1480" s="9" t="n">
        <v>0.5669999999999999</v>
      </c>
      <c r="K1480" s="1" t="inlineStr">
        <is>
          <t>No</t>
        </is>
      </c>
      <c r="L1480" s="1" t="inlineStr">
        <is>
          <t>Yes</t>
        </is>
      </c>
      <c r="M1480" s="1" t="inlineStr">
        <is>
          <t>Yes</t>
        </is>
      </c>
      <c r="N1480" s="1" t="inlineStr">
        <is>
          <t>Algorithms</t>
        </is>
      </c>
      <c r="O14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80" s="11" t="inlineStr">
        <is>
          <t>To Do</t>
        </is>
      </c>
    </row>
    <row r="1481" ht="15.75" customHeight="1" s="12">
      <c r="A1481" s="1" t="n">
        <v>1101</v>
      </c>
      <c r="B1481" s="3">
        <f>HYPERLINK("https://leetcode.com/problems/the-earliest-moment-when-everyone-become-friends/", "The Earliest Moment When Everyone Become Friends")</f>
        <v/>
      </c>
      <c r="C1481" s="1" t="n">
        <v>1118</v>
      </c>
      <c r="D1481" s="1" t="n">
        <v>41</v>
      </c>
      <c r="E1481" s="4">
        <f>IF(INDEX(C:C, ROW())+INDEX(D:D, ROW())=0, 0, INDEX(C:C, ROW())/(INDEX(C:C, ROW())+INDEX(D:D, ROW())))</f>
        <v/>
      </c>
      <c r="F1481" s="1" t="inlineStr">
        <is>
          <t>Array, Union-Find, Sorting</t>
        </is>
      </c>
      <c r="G1481" s="1" t="inlineStr">
        <is>
          <t>Medium</t>
        </is>
      </c>
      <c r="H1481" s="1" t="n">
        <v>134285</v>
      </c>
      <c r="I1481" s="1" t="n">
        <v>203436</v>
      </c>
      <c r="J1481" s="9" t="n">
        <v>0.66</v>
      </c>
      <c r="K1481" s="1" t="inlineStr">
        <is>
          <t>No</t>
        </is>
      </c>
      <c r="L1481" s="1" t="inlineStr">
        <is>
          <t>Yes</t>
        </is>
      </c>
      <c r="M1481" s="1" t="inlineStr">
        <is>
          <t>No</t>
        </is>
      </c>
      <c r="N1481" s="1" t="inlineStr">
        <is>
          <t>Algorithms</t>
        </is>
      </c>
      <c r="O14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81" s="11" t="inlineStr">
        <is>
          <t>To Do</t>
        </is>
      </c>
    </row>
    <row r="1482" ht="15.75" customHeight="1" s="12">
      <c r="A1482" s="1" t="n">
        <v>2211</v>
      </c>
      <c r="B1482" s="3">
        <f>HYPERLINK("https://leetcode.com/problems/count-collisions-on-a-road/", "Count Collisions on a Road")</f>
        <v/>
      </c>
      <c r="C1482" s="1" t="n">
        <v>1116</v>
      </c>
      <c r="D1482" s="1" t="n">
        <v>277</v>
      </c>
      <c r="E1482" s="4">
        <f>IF(INDEX(C:C, ROW())+INDEX(D:D, ROW())=0, 0, INDEX(C:C, ROW())/(INDEX(C:C, ROW())+INDEX(D:D, ROW())))</f>
        <v/>
      </c>
      <c r="F1482" s="1" t="inlineStr">
        <is>
          <t>String, Stack, Simulation</t>
        </is>
      </c>
      <c r="G1482" s="1" t="inlineStr">
        <is>
          <t>Medium</t>
        </is>
      </c>
      <c r="H1482" s="1" t="n">
        <v>128958</v>
      </c>
      <c r="I1482" s="1" t="n">
        <v>221930</v>
      </c>
      <c r="J1482" s="9" t="n">
        <v>0.581</v>
      </c>
      <c r="K1482" s="1" t="inlineStr">
        <is>
          <t>Yes</t>
        </is>
      </c>
      <c r="L1482" s="1" t="inlineStr">
        <is>
          <t>Yes</t>
        </is>
      </c>
      <c r="M1482" s="1" t="inlineStr">
        <is>
          <t>No</t>
        </is>
      </c>
      <c r="N1482" s="1" t="inlineStr">
        <is>
          <t>Algorithms</t>
        </is>
      </c>
      <c r="O14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82" s="11" t="inlineStr">
        <is>
          <t>To Do</t>
        </is>
      </c>
    </row>
    <row r="1483" ht="15.75" customHeight="1" s="12">
      <c r="A1483" s="1" t="n">
        <v>616</v>
      </c>
      <c r="B1483" s="3">
        <f>HYPERLINK("https://leetcode.com/problems/add-bold-tag-in-string/", "Add Bold Tag in String")</f>
        <v/>
      </c>
      <c r="C1483" s="1" t="n">
        <v>1115</v>
      </c>
      <c r="D1483" s="1" t="n">
        <v>204</v>
      </c>
      <c r="E1483" s="4">
        <f>IF(INDEX(C:C, ROW())+INDEX(D:D, ROW())=0, 0, INDEX(C:C, ROW())/(INDEX(C:C, ROW())+INDEX(D:D, ROW())))</f>
        <v/>
      </c>
      <c r="F1483" s="1" t="inlineStr">
        <is>
          <t>Array, Hash Table, String, Trie, String Matching</t>
        </is>
      </c>
      <c r="G1483" s="1" t="inlineStr">
        <is>
          <t>Medium</t>
        </is>
      </c>
      <c r="H1483" s="1" t="n">
        <v>105447</v>
      </c>
      <c r="I1483" s="1" t="n">
        <v>205126</v>
      </c>
      <c r="J1483" s="9" t="n">
        <v>0.514</v>
      </c>
      <c r="K1483" s="1" t="inlineStr">
        <is>
          <t>No</t>
        </is>
      </c>
      <c r="L1483" s="1" t="inlineStr">
        <is>
          <t>Yes</t>
        </is>
      </c>
      <c r="M1483" s="1" t="inlineStr">
        <is>
          <t>No</t>
        </is>
      </c>
      <c r="N1483" s="1" t="inlineStr">
        <is>
          <t>Algorithms</t>
        </is>
      </c>
      <c r="O14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83" s="11" t="inlineStr">
        <is>
          <t>To Do</t>
        </is>
      </c>
    </row>
    <row r="1484" ht="15.75" customHeight="1" s="12">
      <c r="A1484" s="1" t="n">
        <v>1018</v>
      </c>
      <c r="B1484" s="3">
        <f>HYPERLINK("https://leetcode.com/problems/binary-prefix-divisible-by-5/", "Binary Prefix Divisible By 5")</f>
        <v/>
      </c>
      <c r="C1484" s="1" t="n">
        <v>1113</v>
      </c>
      <c r="D1484" s="1" t="n">
        <v>231</v>
      </c>
      <c r="E1484" s="4">
        <f>IF(INDEX(C:C, ROW())+INDEX(D:D, ROW())=0, 0, INDEX(C:C, ROW())/(INDEX(C:C, ROW())+INDEX(D:D, ROW())))</f>
        <v/>
      </c>
      <c r="F1484" s="1" t="inlineStr">
        <is>
          <t>Array, Bit Manipulation</t>
        </is>
      </c>
      <c r="G1484" s="1" t="inlineStr">
        <is>
          <t>Easy</t>
        </is>
      </c>
      <c r="H1484" s="1" t="n">
        <v>184979</v>
      </c>
      <c r="I1484" s="1" t="n">
        <v>344758</v>
      </c>
      <c r="J1484" s="9" t="n">
        <v>0.537</v>
      </c>
      <c r="K1484" s="1" t="inlineStr">
        <is>
          <t>Yes</t>
        </is>
      </c>
      <c r="L1484" s="1" t="inlineStr">
        <is>
          <t>Yes</t>
        </is>
      </c>
      <c r="M1484" s="1" t="inlineStr">
        <is>
          <t>No</t>
        </is>
      </c>
      <c r="N1484" s="1" t="inlineStr">
        <is>
          <t>Algorithms</t>
        </is>
      </c>
      <c r="O14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84" s="13" t="inlineStr">
        <is>
          <t>Done</t>
        </is>
      </c>
    </row>
    <row r="1485" ht="15.75" customHeight="1" s="12">
      <c r="A1485" s="1" t="n">
        <v>2661</v>
      </c>
      <c r="B1485" s="3">
        <f>HYPERLINK("https://leetcode.com/problems/first-completely-painted-row-or-column/", "First Completely Painted Row or Column")</f>
        <v/>
      </c>
      <c r="C1485" s="1" t="n">
        <v>1110</v>
      </c>
      <c r="D1485" s="1" t="n">
        <v>33</v>
      </c>
      <c r="E1485" s="4">
        <f>IF(INDEX(C:C, ROW())+INDEX(D:D, ROW())=0, 0, INDEX(C:C, ROW())/(INDEX(C:C, ROW())+INDEX(D:D, ROW())))</f>
        <v/>
      </c>
      <c r="F1485" s="1" t="inlineStr">
        <is>
          <t>Array, Hash Table, Matrix</t>
        </is>
      </c>
      <c r="G1485" s="1" t="inlineStr">
        <is>
          <t>Medium</t>
        </is>
      </c>
      <c r="H1485" s="1" t="n">
        <v>159559</v>
      </c>
      <c r="I1485" s="1" t="n">
        <v>249863</v>
      </c>
      <c r="J1485" s="9" t="n">
        <v>0.639</v>
      </c>
      <c r="K1485" s="1" t="inlineStr">
        <is>
          <t>Yes</t>
        </is>
      </c>
      <c r="L1485" s="1" t="inlineStr">
        <is>
          <t>Yes</t>
        </is>
      </c>
      <c r="M1485" s="1" t="inlineStr">
        <is>
          <t>No</t>
        </is>
      </c>
      <c r="N1485" s="1" t="inlineStr">
        <is>
          <t>Algorithms</t>
        </is>
      </c>
      <c r="O14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85" s="11" t="inlineStr">
        <is>
          <t>To Do</t>
        </is>
      </c>
    </row>
    <row r="1486" ht="15.75" customHeight="1" s="12">
      <c r="A1486" s="1" t="n">
        <v>840</v>
      </c>
      <c r="B1486" s="3">
        <f>HYPERLINK("https://leetcode.com/problems/magic-squares-in-grid/", "Magic Squares In Grid")</f>
        <v/>
      </c>
      <c r="C1486" s="1" t="n">
        <v>1109</v>
      </c>
      <c r="D1486" s="1" t="n">
        <v>1904</v>
      </c>
      <c r="E1486" s="4">
        <f>IF(INDEX(C:C, ROW())+INDEX(D:D, ROW())=0, 0, INDEX(C:C, ROW())/(INDEX(C:C, ROW())+INDEX(D:D, ROW())))</f>
        <v/>
      </c>
      <c r="F1486" s="1" t="inlineStr">
        <is>
          <t>Array, Hash Table, Math, Matrix</t>
        </is>
      </c>
      <c r="G1486" s="1" t="inlineStr">
        <is>
          <t>Medium</t>
        </is>
      </c>
      <c r="H1486" s="1" t="n">
        <v>228440</v>
      </c>
      <c r="I1486" s="1" t="n">
        <v>414156</v>
      </c>
      <c r="J1486" s="9" t="n">
        <v>0.552</v>
      </c>
      <c r="K1486" s="1" t="inlineStr">
        <is>
          <t>Yes</t>
        </is>
      </c>
      <c r="L1486" s="1" t="inlineStr">
        <is>
          <t>Yes</t>
        </is>
      </c>
      <c r="M1486" s="1" t="inlineStr">
        <is>
          <t>No</t>
        </is>
      </c>
      <c r="N1486" s="1" t="inlineStr">
        <is>
          <t>Algorithms</t>
        </is>
      </c>
      <c r="O14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86" s="11" t="inlineStr">
        <is>
          <t>To Do</t>
        </is>
      </c>
    </row>
    <row r="1487" ht="15.75" customHeight="1" s="12">
      <c r="A1487" s="1" t="n">
        <v>2503</v>
      </c>
      <c r="B1487" s="3">
        <f>HYPERLINK("https://leetcode.com/problems/maximum-number-of-points-from-grid-queries/", "Maximum Number of Points From Grid Queries")</f>
        <v/>
      </c>
      <c r="C1487" s="1" t="n">
        <v>1108</v>
      </c>
      <c r="D1487" s="1" t="n">
        <v>50</v>
      </c>
      <c r="E1487" s="4">
        <f>IF(INDEX(C:C, ROW())+INDEX(D:D, ROW())=0, 0, INDEX(C:C, ROW())/(INDEX(C:C, ROW())+INDEX(D:D, ROW())))</f>
        <v/>
      </c>
      <c r="F1487" s="1" t="inlineStr">
        <is>
          <t>Array, Two Pointers, Breadth-First Search, Union-Find, Sorting, Heap (Priority Queue), Matrix</t>
        </is>
      </c>
      <c r="G1487" s="1" t="inlineStr">
        <is>
          <t>Hard</t>
        </is>
      </c>
      <c r="H1487" s="1" t="n">
        <v>98226</v>
      </c>
      <c r="I1487" s="1" t="n">
        <v>165678</v>
      </c>
      <c r="J1487" s="9" t="n">
        <v>0.593</v>
      </c>
      <c r="K1487" s="1" t="inlineStr">
        <is>
          <t>Yes</t>
        </is>
      </c>
      <c r="L1487" s="1" t="inlineStr">
        <is>
          <t>Yes</t>
        </is>
      </c>
      <c r="M1487" s="1" t="inlineStr">
        <is>
          <t>No</t>
        </is>
      </c>
      <c r="N1487" s="1" t="inlineStr">
        <is>
          <t>Algorithms</t>
        </is>
      </c>
      <c r="O14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87" s="11" t="inlineStr">
        <is>
          <t>To Do</t>
        </is>
      </c>
    </row>
    <row r="1488" ht="15.75" customHeight="1" s="12">
      <c r="A1488" s="1" t="n">
        <v>266</v>
      </c>
      <c r="B1488" s="3">
        <f>HYPERLINK("https://leetcode.com/problems/palindrome-permutation/", "Palindrome Permutation")</f>
        <v/>
      </c>
      <c r="C1488" s="1" t="n">
        <v>1105</v>
      </c>
      <c r="D1488" s="1" t="n">
        <v>75</v>
      </c>
      <c r="E1488" s="4">
        <f>IF(INDEX(C:C, ROW())+INDEX(D:D, ROW())=0, 0, INDEX(C:C, ROW())/(INDEX(C:C, ROW())+INDEX(D:D, ROW())))</f>
        <v/>
      </c>
      <c r="F1488" s="1" t="inlineStr">
        <is>
          <t>Hash Table, String, Bit Manipulation</t>
        </is>
      </c>
      <c r="G1488" s="1" t="inlineStr">
        <is>
          <t>Easy</t>
        </is>
      </c>
      <c r="H1488" s="1" t="n">
        <v>234676</v>
      </c>
      <c r="I1488" s="1" t="n">
        <v>341785</v>
      </c>
      <c r="J1488" s="9" t="n">
        <v>0.6870000000000001</v>
      </c>
      <c r="K1488" s="1" t="inlineStr">
        <is>
          <t>No</t>
        </is>
      </c>
      <c r="L1488" s="1" t="inlineStr">
        <is>
          <t>Yes</t>
        </is>
      </c>
      <c r="M1488" s="1" t="inlineStr">
        <is>
          <t>No</t>
        </is>
      </c>
      <c r="N1488" s="1" t="inlineStr">
        <is>
          <t>Algorithms</t>
        </is>
      </c>
      <c r="O14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88" s="11" t="inlineStr">
        <is>
          <t>To Do</t>
        </is>
      </c>
    </row>
    <row r="1489" ht="15.75" customHeight="1" s="12">
      <c r="A1489" s="1" t="n">
        <v>2582</v>
      </c>
      <c r="B1489" s="3">
        <f>HYPERLINK("https://leetcode.com/problems/pass-the-pillow/", "Pass the Pillow")</f>
        <v/>
      </c>
      <c r="C1489" s="1" t="n">
        <v>1105</v>
      </c>
      <c r="D1489" s="1" t="n">
        <v>59</v>
      </c>
      <c r="E1489" s="4">
        <f>IF(INDEX(C:C, ROW())+INDEX(D:D, ROW())=0, 0, INDEX(C:C, ROW())/(INDEX(C:C, ROW())+INDEX(D:D, ROW())))</f>
        <v/>
      </c>
      <c r="F1489" s="1" t="inlineStr">
        <is>
          <t>Math, Simulation</t>
        </is>
      </c>
      <c r="G1489" s="1" t="inlineStr">
        <is>
          <t>Easy</t>
        </is>
      </c>
      <c r="H1489" s="1" t="n">
        <v>216316</v>
      </c>
      <c r="I1489" s="1" t="n">
        <v>382535</v>
      </c>
      <c r="J1489" s="9" t="n">
        <v>0.5649999999999999</v>
      </c>
      <c r="K1489" s="1" t="inlineStr">
        <is>
          <t>Yes</t>
        </is>
      </c>
      <c r="L1489" s="1" t="inlineStr">
        <is>
          <t>Yes</t>
        </is>
      </c>
      <c r="M1489" s="1" t="inlineStr">
        <is>
          <t>No</t>
        </is>
      </c>
      <c r="N1489" s="1" t="inlineStr">
        <is>
          <t>Algorithms</t>
        </is>
      </c>
      <c r="O14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89" s="13" t="inlineStr">
        <is>
          <t>Done</t>
        </is>
      </c>
    </row>
    <row r="1490" ht="15.75" customHeight="1" s="12">
      <c r="A1490" s="1" t="n">
        <v>511</v>
      </c>
      <c r="B1490" s="3">
        <f>HYPERLINK("https://leetcode.com/problems/game-play-analysis-i/", "Game Play Analysis I")</f>
        <v/>
      </c>
      <c r="C1490" s="1" t="n">
        <v>1104</v>
      </c>
      <c r="D1490" s="1" t="n">
        <v>47</v>
      </c>
      <c r="E1490" s="4">
        <f>IF(INDEX(C:C, ROW())+INDEX(D:D, ROW())=0, 0, INDEX(C:C, ROW())/(INDEX(C:C, ROW())+INDEX(D:D, ROW())))</f>
        <v/>
      </c>
      <c r="F1490" s="1" t="inlineStr">
        <is>
          <t>Database</t>
        </is>
      </c>
      <c r="G1490" s="1" t="inlineStr">
        <is>
          <t>Easy</t>
        </is>
      </c>
      <c r="H1490" s="1" t="n">
        <v>538308</v>
      </c>
      <c r="I1490" s="1" t="n">
        <v>705211</v>
      </c>
      <c r="J1490" s="9" t="n">
        <v>0.763</v>
      </c>
      <c r="K1490" s="1" t="inlineStr">
        <is>
          <t>Yes</t>
        </is>
      </c>
      <c r="L1490" s="1" t="inlineStr">
        <is>
          <t>Yes</t>
        </is>
      </c>
      <c r="M1490" s="1" t="inlineStr">
        <is>
          <t>No</t>
        </is>
      </c>
      <c r="N1490" s="1" t="inlineStr">
        <is>
          <t>Database</t>
        </is>
      </c>
      <c r="O14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90" s="13" t="inlineStr">
        <is>
          <t>Done</t>
        </is>
      </c>
    </row>
    <row r="1491" ht="15.75" customHeight="1" s="12">
      <c r="A1491" s="1" t="n">
        <v>1818</v>
      </c>
      <c r="B1491" s="3">
        <f>HYPERLINK("https://leetcode.com/problems/minimum-absolute-sum-difference/", "Minimum Absolute Sum Difference")</f>
        <v/>
      </c>
      <c r="C1491" s="1" t="n">
        <v>1104</v>
      </c>
      <c r="D1491" s="1" t="n">
        <v>80</v>
      </c>
      <c r="E1491" s="4">
        <f>IF(INDEX(C:C, ROW())+INDEX(D:D, ROW())=0, 0, INDEX(C:C, ROW())/(INDEX(C:C, ROW())+INDEX(D:D, ROW())))</f>
        <v/>
      </c>
      <c r="F1491" s="1" t="inlineStr">
        <is>
          <t>Array, Binary Search, Sorting, Ordered Set</t>
        </is>
      </c>
      <c r="G1491" s="1" t="inlineStr">
        <is>
          <t>Medium</t>
        </is>
      </c>
      <c r="H1491" s="1" t="n">
        <v>32937</v>
      </c>
      <c r="I1491" s="1" t="n">
        <v>101583</v>
      </c>
      <c r="J1491" s="9" t="n">
        <v>0.324</v>
      </c>
      <c r="K1491" s="1" t="inlineStr">
        <is>
          <t>Yes</t>
        </is>
      </c>
      <c r="L1491" s="1" t="inlineStr">
        <is>
          <t>No</t>
        </is>
      </c>
      <c r="M1491" s="1" t="inlineStr">
        <is>
          <t>No</t>
        </is>
      </c>
      <c r="N1491" s="1" t="inlineStr">
        <is>
          <t>Algorithms</t>
        </is>
      </c>
      <c r="O14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91" s="11" t="inlineStr">
        <is>
          <t>To Do</t>
        </is>
      </c>
    </row>
    <row r="1492" ht="15.75" customHeight="1" s="12">
      <c r="A1492" s="1" t="n">
        <v>1141</v>
      </c>
      <c r="B1492" s="3">
        <f>HYPERLINK("https://leetcode.com/problems/user-activity-for-the-past-30-days-i/", "User Activity for the Past 30 Days I")</f>
        <v/>
      </c>
      <c r="C1492" s="1" t="n">
        <v>1101</v>
      </c>
      <c r="D1492" s="1" t="n">
        <v>1031</v>
      </c>
      <c r="E1492" s="4">
        <f>IF(INDEX(C:C, ROW())+INDEX(D:D, ROW())=0, 0, INDEX(C:C, ROW())/(INDEX(C:C, ROW())+INDEX(D:D, ROW())))</f>
        <v/>
      </c>
      <c r="F1492" s="1" t="inlineStr">
        <is>
          <t>Database</t>
        </is>
      </c>
      <c r="G1492" s="1" t="inlineStr">
        <is>
          <t>Easy</t>
        </is>
      </c>
      <c r="H1492" s="1" t="n">
        <v>555468</v>
      </c>
      <c r="I1492" s="1" t="n">
        <v>1094078</v>
      </c>
      <c r="J1492" s="9" t="n">
        <v>0.508</v>
      </c>
      <c r="K1492" s="1" t="inlineStr">
        <is>
          <t>Yes</t>
        </is>
      </c>
      <c r="L1492" s="1" t="inlineStr">
        <is>
          <t>Yes</t>
        </is>
      </c>
      <c r="M1492" s="1" t="inlineStr">
        <is>
          <t>No</t>
        </is>
      </c>
      <c r="N1492" s="1" t="inlineStr">
        <is>
          <t>Database</t>
        </is>
      </c>
      <c r="O14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92" s="13" t="inlineStr">
        <is>
          <t>Done</t>
        </is>
      </c>
    </row>
    <row r="1493" ht="15.75" customHeight="1" s="12">
      <c r="A1493" s="1" t="n">
        <v>2071</v>
      </c>
      <c r="B1493" s="3">
        <f>HYPERLINK("https://leetcode.com/problems/maximum-number-of-tasks-you-can-assign/", "Maximum Number of Tasks You Can Assign")</f>
        <v/>
      </c>
      <c r="C1493" s="1" t="n">
        <v>1101</v>
      </c>
      <c r="D1493" s="1" t="n">
        <v>57</v>
      </c>
      <c r="E1493" s="4">
        <f>IF(INDEX(C:C, ROW())+INDEX(D:D, ROW())=0, 0, INDEX(C:C, ROW())/(INDEX(C:C, ROW())+INDEX(D:D, ROW())))</f>
        <v/>
      </c>
      <c r="F1493" s="1" t="inlineStr">
        <is>
          <t>Array, Two Pointers, Binary Search, Greedy, Queue, Sorting, Monotonic Queue</t>
        </is>
      </c>
      <c r="G1493" s="1" t="inlineStr">
        <is>
          <t>Hard</t>
        </is>
      </c>
      <c r="H1493" s="1" t="n">
        <v>86077</v>
      </c>
      <c r="I1493" s="1" t="n">
        <v>171973</v>
      </c>
      <c r="J1493" s="9" t="n">
        <v>0.501</v>
      </c>
      <c r="K1493" s="1" t="inlineStr">
        <is>
          <t>Yes</t>
        </is>
      </c>
      <c r="L1493" s="1" t="inlineStr">
        <is>
          <t>Yes</t>
        </is>
      </c>
      <c r="M1493" s="1" t="inlineStr">
        <is>
          <t>No</t>
        </is>
      </c>
      <c r="N1493" s="1" t="inlineStr">
        <is>
          <t>Algorithms</t>
        </is>
      </c>
      <c r="O14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93" s="11" t="inlineStr">
        <is>
          <t>To Do</t>
        </is>
      </c>
    </row>
    <row r="1494" ht="15.75" customHeight="1" s="12">
      <c r="A1494" s="1" t="n">
        <v>3005</v>
      </c>
      <c r="B1494" s="3">
        <f>HYPERLINK("https://leetcode.com/problems/count-elements-with-maximum-frequency/", "Count Elements With Maximum Frequency")</f>
        <v/>
      </c>
      <c r="C1494" s="1" t="n">
        <v>1100</v>
      </c>
      <c r="D1494" s="1" t="n">
        <v>97</v>
      </c>
      <c r="E1494" s="4">
        <f>IF(INDEX(C:C, ROW())+INDEX(D:D, ROW())=0, 0, INDEX(C:C, ROW())/(INDEX(C:C, ROW())+INDEX(D:D, ROW())))</f>
        <v/>
      </c>
      <c r="F1494" s="1" t="inlineStr">
        <is>
          <t>Array, Hash Table, Counting</t>
        </is>
      </c>
      <c r="G1494" s="1" t="inlineStr">
        <is>
          <t>Easy</t>
        </is>
      </c>
      <c r="H1494" s="1" t="n">
        <v>423523</v>
      </c>
      <c r="I1494" s="1" t="n">
        <v>530570</v>
      </c>
      <c r="J1494" s="9" t="n">
        <v>0.798</v>
      </c>
      <c r="K1494" s="1" t="inlineStr">
        <is>
          <t>Yes</t>
        </is>
      </c>
      <c r="L1494" s="1" t="inlineStr">
        <is>
          <t>Yes</t>
        </is>
      </c>
      <c r="M1494" s="1" t="inlineStr">
        <is>
          <t>No</t>
        </is>
      </c>
      <c r="N1494" s="1" t="inlineStr">
        <is>
          <t>Algorithms</t>
        </is>
      </c>
      <c r="O14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94" s="13" t="inlineStr">
        <is>
          <t>Done</t>
        </is>
      </c>
    </row>
    <row r="1495" ht="15.75" customHeight="1" s="12">
      <c r="A1495" s="1" t="n">
        <v>2260</v>
      </c>
      <c r="B1495" s="3">
        <f>HYPERLINK("https://leetcode.com/problems/minimum-consecutive-cards-to-pick-up/", "Minimum Consecutive Cards to Pick Up")</f>
        <v/>
      </c>
      <c r="C1495" s="1" t="n">
        <v>1096</v>
      </c>
      <c r="D1495" s="1" t="n">
        <v>45</v>
      </c>
      <c r="E1495" s="4">
        <f>IF(INDEX(C:C, ROW())+INDEX(D:D, ROW())=0, 0, INDEX(C:C, ROW())/(INDEX(C:C, ROW())+INDEX(D:D, ROW())))</f>
        <v/>
      </c>
      <c r="F1495" s="1" t="inlineStr">
        <is>
          <t>Array, Hash Table, Sliding Window</t>
        </is>
      </c>
      <c r="G1495" s="1" t="inlineStr">
        <is>
          <t>Medium</t>
        </is>
      </c>
      <c r="H1495" s="1" t="n">
        <v>121466</v>
      </c>
      <c r="I1495" s="1" t="n">
        <v>226077</v>
      </c>
      <c r="J1495" s="9" t="n">
        <v>0.537</v>
      </c>
      <c r="K1495" s="1" t="inlineStr">
        <is>
          <t>Yes</t>
        </is>
      </c>
      <c r="L1495" s="1" t="inlineStr">
        <is>
          <t>No</t>
        </is>
      </c>
      <c r="M1495" s="1" t="inlineStr">
        <is>
          <t>No</t>
        </is>
      </c>
      <c r="N1495" s="1" t="inlineStr">
        <is>
          <t>Algorithms</t>
        </is>
      </c>
      <c r="O14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95" s="11" t="inlineStr">
        <is>
          <t>To Do</t>
        </is>
      </c>
    </row>
    <row r="1496" ht="15.75" customHeight="1" s="12">
      <c r="A1496" s="1" t="n">
        <v>2429</v>
      </c>
      <c r="B1496" s="3">
        <f>HYPERLINK("https://leetcode.com/problems/minimize-xor/", "Minimize XOR")</f>
        <v/>
      </c>
      <c r="C1496" s="1" t="n">
        <v>1094</v>
      </c>
      <c r="D1496" s="1" t="n">
        <v>78</v>
      </c>
      <c r="E1496" s="4">
        <f>IF(INDEX(C:C, ROW())+INDEX(D:D, ROW())=0, 0, INDEX(C:C, ROW())/(INDEX(C:C, ROW())+INDEX(D:D, ROW())))</f>
        <v/>
      </c>
      <c r="F1496" s="1" t="inlineStr">
        <is>
          <t>Greedy, Bit Manipulation</t>
        </is>
      </c>
      <c r="G1496" s="1" t="inlineStr">
        <is>
          <t>Medium</t>
        </is>
      </c>
      <c r="H1496" s="1" t="n">
        <v>139831</v>
      </c>
      <c r="I1496" s="1" t="n">
        <v>224095</v>
      </c>
      <c r="J1496" s="9" t="n">
        <v>0.624</v>
      </c>
      <c r="K1496" s="1" t="inlineStr">
        <is>
          <t>Yes</t>
        </is>
      </c>
      <c r="L1496" s="1" t="inlineStr">
        <is>
          <t>Yes</t>
        </is>
      </c>
      <c r="M1496" s="1" t="inlineStr">
        <is>
          <t>No</t>
        </is>
      </c>
      <c r="N1496" s="1" t="inlineStr">
        <is>
          <t>Algorithms</t>
        </is>
      </c>
      <c r="O14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96" s="11" t="inlineStr">
        <is>
          <t>To Do</t>
        </is>
      </c>
    </row>
    <row r="1497" ht="15.75" customHeight="1" s="12">
      <c r="A1497" s="1" t="n">
        <v>776</v>
      </c>
      <c r="B1497" s="3">
        <f>HYPERLINK("https://leetcode.com/problems/split-bst/", "Split BST")</f>
        <v/>
      </c>
      <c r="C1497" s="1" t="n">
        <v>1093</v>
      </c>
      <c r="D1497" s="1" t="n">
        <v>105</v>
      </c>
      <c r="E1497" s="4">
        <f>IF(INDEX(C:C, ROW())+INDEX(D:D, ROW())=0, 0, INDEX(C:C, ROW())/(INDEX(C:C, ROW())+INDEX(D:D, ROW())))</f>
        <v/>
      </c>
      <c r="F1497" s="1" t="inlineStr">
        <is>
          <t>Tree, Binary Search Tree, Recursion, Binary Tree</t>
        </is>
      </c>
      <c r="G1497" s="1" t="inlineStr">
        <is>
          <t>Medium</t>
        </is>
      </c>
      <c r="H1497" s="1" t="n">
        <v>112381</v>
      </c>
      <c r="I1497" s="1" t="n">
        <v>136775</v>
      </c>
      <c r="J1497" s="9" t="n">
        <v>0.822</v>
      </c>
      <c r="K1497" s="1" t="inlineStr">
        <is>
          <t>No</t>
        </is>
      </c>
      <c r="L1497" s="1" t="inlineStr">
        <is>
          <t>Yes</t>
        </is>
      </c>
      <c r="M1497" s="1" t="inlineStr">
        <is>
          <t>No</t>
        </is>
      </c>
      <c r="N1497" s="1" t="inlineStr">
        <is>
          <t>Algorithms</t>
        </is>
      </c>
      <c r="O14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97" s="11" t="inlineStr">
        <is>
          <t>To Do</t>
        </is>
      </c>
    </row>
    <row r="1498" ht="15.75" customHeight="1" s="12">
      <c r="A1498" s="1" t="n">
        <v>2139</v>
      </c>
      <c r="B1498" s="3">
        <f>HYPERLINK("https://leetcode.com/problems/minimum-moves-to-reach-target-score/", "Minimum Moves to Reach Target Score")</f>
        <v/>
      </c>
      <c r="C1498" s="1" t="n">
        <v>1092</v>
      </c>
      <c r="D1498" s="1" t="n">
        <v>28</v>
      </c>
      <c r="E1498" s="4">
        <f>IF(INDEX(C:C, ROW())+INDEX(D:D, ROW())=0, 0, INDEX(C:C, ROW())/(INDEX(C:C, ROW())+INDEX(D:D, ROW())))</f>
        <v/>
      </c>
      <c r="F1498" s="1" t="inlineStr">
        <is>
          <t>Math, Greedy</t>
        </is>
      </c>
      <c r="G1498" s="1" t="inlineStr">
        <is>
          <t>Medium</t>
        </is>
      </c>
      <c r="H1498" s="1" t="n">
        <v>61983</v>
      </c>
      <c r="I1498" s="1" t="n">
        <v>118330</v>
      </c>
      <c r="J1498" s="9" t="n">
        <v>0.524</v>
      </c>
      <c r="K1498" s="1" t="inlineStr">
        <is>
          <t>Yes</t>
        </is>
      </c>
      <c r="L1498" s="1" t="inlineStr">
        <is>
          <t>No</t>
        </is>
      </c>
      <c r="M1498" s="1" t="inlineStr">
        <is>
          <t>No</t>
        </is>
      </c>
      <c r="N1498" s="1" t="inlineStr">
        <is>
          <t>Algorithms</t>
        </is>
      </c>
      <c r="O14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98" s="11" t="inlineStr">
        <is>
          <t>To Do</t>
        </is>
      </c>
    </row>
    <row r="1499" ht="15.75" customHeight="1" s="12">
      <c r="A1499" s="1" t="n">
        <v>3217</v>
      </c>
      <c r="B1499" s="3">
        <f>HYPERLINK("https://leetcode.com/problems/delete-nodes-from-linked-list-present-in-array/", "Delete Nodes From Linked List Present in Array")</f>
        <v/>
      </c>
      <c r="C1499" s="1" t="n">
        <v>1092</v>
      </c>
      <c r="D1499" s="1" t="n">
        <v>50</v>
      </c>
      <c r="E1499" s="4">
        <f>IF(INDEX(C:C, ROW())+INDEX(D:D, ROW())=0, 0, INDEX(C:C, ROW())/(INDEX(C:C, ROW())+INDEX(D:D, ROW())))</f>
        <v/>
      </c>
      <c r="F1499" s="1" t="inlineStr">
        <is>
          <t>Array, Hash Table, Linked List</t>
        </is>
      </c>
      <c r="G1499" s="1" t="inlineStr">
        <is>
          <t>Medium</t>
        </is>
      </c>
      <c r="H1499" s="1" t="n">
        <v>339472</v>
      </c>
      <c r="I1499" s="1" t="n">
        <v>488834</v>
      </c>
      <c r="J1499" s="9" t="n">
        <v>0.694</v>
      </c>
      <c r="K1499" s="1" t="inlineStr">
        <is>
          <t>Yes</t>
        </is>
      </c>
      <c r="L1499" s="1" t="inlineStr">
        <is>
          <t>Yes</t>
        </is>
      </c>
      <c r="M1499" s="1" t="inlineStr">
        <is>
          <t>No</t>
        </is>
      </c>
      <c r="N1499" s="1" t="inlineStr">
        <is>
          <t>Algorithms</t>
        </is>
      </c>
      <c r="O14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499" s="11" t="inlineStr">
        <is>
          <t>To Do</t>
        </is>
      </c>
    </row>
    <row r="1500" ht="15.75" customHeight="1" s="12">
      <c r="A1500" s="1" t="n">
        <v>911</v>
      </c>
      <c r="B1500" s="3">
        <f>HYPERLINK("https://leetcode.com/problems/online-election/", "Online Election")</f>
        <v/>
      </c>
      <c r="C1500" s="1" t="n">
        <v>1090</v>
      </c>
      <c r="D1500" s="1" t="n">
        <v>684</v>
      </c>
      <c r="E1500" s="4">
        <f>IF(INDEX(C:C, ROW())+INDEX(D:D, ROW())=0, 0, INDEX(C:C, ROW())/(INDEX(C:C, ROW())+INDEX(D:D, ROW())))</f>
        <v/>
      </c>
      <c r="F1500" s="1" t="inlineStr">
        <is>
          <t>Array, Hash Table, Binary Search, Design</t>
        </is>
      </c>
      <c r="G1500" s="1" t="inlineStr">
        <is>
          <t>Medium</t>
        </is>
      </c>
      <c r="H1500" s="1" t="n">
        <v>78893</v>
      </c>
      <c r="I1500" s="1" t="n">
        <v>149314</v>
      </c>
      <c r="J1500" s="9" t="n">
        <v>0.528</v>
      </c>
      <c r="K1500" s="1" t="inlineStr">
        <is>
          <t>Yes</t>
        </is>
      </c>
      <c r="L1500" s="1" t="inlineStr">
        <is>
          <t>Yes</t>
        </is>
      </c>
      <c r="M1500" s="1" t="inlineStr">
        <is>
          <t>No</t>
        </is>
      </c>
      <c r="N1500" s="1" t="inlineStr">
        <is>
          <t>Algorithms</t>
        </is>
      </c>
      <c r="O15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00" s="11" t="inlineStr">
        <is>
          <t>To Do</t>
        </is>
      </c>
    </row>
    <row r="1501" ht="15.75" customHeight="1" s="12">
      <c r="A1501" s="1" t="n">
        <v>1003</v>
      </c>
      <c r="B1501" s="3">
        <f>HYPERLINK("https://leetcode.com/problems/check-if-word-is-valid-after-substitutions/", "Check If Word Is Valid After Substitutions")</f>
        <v/>
      </c>
      <c r="C1501" s="1" t="n">
        <v>1089</v>
      </c>
      <c r="D1501" s="1" t="n">
        <v>473</v>
      </c>
      <c r="E1501" s="4">
        <f>IF(INDEX(C:C, ROW())+INDEX(D:D, ROW())=0, 0, INDEX(C:C, ROW())/(INDEX(C:C, ROW())+INDEX(D:D, ROW())))</f>
        <v/>
      </c>
      <c r="F1501" s="1" t="inlineStr">
        <is>
          <t>String, Stack</t>
        </is>
      </c>
      <c r="G1501" s="1" t="inlineStr">
        <is>
          <t>Medium</t>
        </is>
      </c>
      <c r="H1501" s="1" t="n">
        <v>85875</v>
      </c>
      <c r="I1501" s="1" t="n">
        <v>140306</v>
      </c>
      <c r="J1501" s="9" t="n">
        <v>0.612</v>
      </c>
      <c r="K1501" s="1" t="inlineStr">
        <is>
          <t>Yes</t>
        </is>
      </c>
      <c r="L1501" s="1" t="inlineStr">
        <is>
          <t>No</t>
        </is>
      </c>
      <c r="M1501" s="1" t="inlineStr">
        <is>
          <t>No</t>
        </is>
      </c>
      <c r="N1501" s="1" t="inlineStr">
        <is>
          <t>Algorithms</t>
        </is>
      </c>
      <c r="O15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01" s="11" t="inlineStr">
        <is>
          <t>To Do</t>
        </is>
      </c>
    </row>
    <row r="1502" ht="15.75" customHeight="1" s="12">
      <c r="A1502" s="1" t="n">
        <v>244</v>
      </c>
      <c r="B1502" s="3">
        <f>HYPERLINK("https://leetcode.com/problems/shortest-word-distance-ii/", "Shortest Word Distance II")</f>
        <v/>
      </c>
      <c r="C1502" s="1" t="n">
        <v>1088</v>
      </c>
      <c r="D1502" s="1" t="n">
        <v>403</v>
      </c>
      <c r="E1502" s="4">
        <f>IF(INDEX(C:C, ROW())+INDEX(D:D, ROW())=0, 0, INDEX(C:C, ROW())/(INDEX(C:C, ROW())+INDEX(D:D, ROW())))</f>
        <v/>
      </c>
      <c r="F1502" s="1" t="inlineStr">
        <is>
          <t>Array, Hash Table, Two Pointers, String, Design</t>
        </is>
      </c>
      <c r="G1502" s="1" t="inlineStr">
        <is>
          <t>Medium</t>
        </is>
      </c>
      <c r="H1502" s="1" t="n">
        <v>181068</v>
      </c>
      <c r="I1502" s="1" t="n">
        <v>288008</v>
      </c>
      <c r="J1502" s="9" t="n">
        <v>0.629</v>
      </c>
      <c r="K1502" s="1" t="inlineStr">
        <is>
          <t>No</t>
        </is>
      </c>
      <c r="L1502" s="1" t="inlineStr">
        <is>
          <t>Yes</t>
        </is>
      </c>
      <c r="M1502" s="1" t="inlineStr">
        <is>
          <t>Yes</t>
        </is>
      </c>
      <c r="N1502" s="1" t="inlineStr">
        <is>
          <t>Algorithms</t>
        </is>
      </c>
      <c r="O15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02" s="11" t="inlineStr">
        <is>
          <t>To Do</t>
        </is>
      </c>
    </row>
    <row r="1503" ht="15.75" customHeight="1" s="12">
      <c r="A1503" s="1" t="n">
        <v>1667</v>
      </c>
      <c r="B1503" s="3">
        <f>HYPERLINK("https://leetcode.com/problems/fix-names-in-a-table/", "Fix Names in a Table")</f>
        <v/>
      </c>
      <c r="C1503" s="1" t="n">
        <v>1088</v>
      </c>
      <c r="D1503" s="1" t="n">
        <v>143</v>
      </c>
      <c r="E1503" s="4">
        <f>IF(INDEX(C:C, ROW())+INDEX(D:D, ROW())=0, 0, INDEX(C:C, ROW())/(INDEX(C:C, ROW())+INDEX(D:D, ROW())))</f>
        <v/>
      </c>
      <c r="F1503" s="1" t="inlineStr">
        <is>
          <t>Database</t>
        </is>
      </c>
      <c r="G1503" s="1" t="inlineStr">
        <is>
          <t>Easy</t>
        </is>
      </c>
      <c r="H1503" s="1" t="n">
        <v>460633</v>
      </c>
      <c r="I1503" s="1" t="n">
        <v>760364</v>
      </c>
      <c r="J1503" s="9" t="n">
        <v>0.606</v>
      </c>
      <c r="K1503" s="1" t="inlineStr">
        <is>
          <t>Yes</t>
        </is>
      </c>
      <c r="L1503" s="1" t="inlineStr">
        <is>
          <t>Yes</t>
        </is>
      </c>
      <c r="M1503" s="1" t="inlineStr">
        <is>
          <t>No</t>
        </is>
      </c>
      <c r="N1503" s="1" t="inlineStr">
        <is>
          <t>Database</t>
        </is>
      </c>
      <c r="O15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03" s="13" t="inlineStr">
        <is>
          <t>Done</t>
        </is>
      </c>
    </row>
    <row r="1504" ht="15.75" customHeight="1" s="12">
      <c r="A1504" s="1" t="n">
        <v>2583</v>
      </c>
      <c r="B1504" s="3">
        <f>HYPERLINK("https://leetcode.com/problems/kth-largest-sum-in-a-binary-tree/", "Kth Largest Sum in a Binary Tree")</f>
        <v/>
      </c>
      <c r="C1504" s="1" t="n">
        <v>1088</v>
      </c>
      <c r="D1504" s="1" t="n">
        <v>40</v>
      </c>
      <c r="E1504" s="4">
        <f>IF(INDEX(C:C, ROW())+INDEX(D:D, ROW())=0, 0, INDEX(C:C, ROW())/(INDEX(C:C, ROW())+INDEX(D:D, ROW())))</f>
        <v/>
      </c>
      <c r="F1504" s="1" t="inlineStr">
        <is>
          <t>Tree, Breadth-First Search, Sorting, Binary Tree</t>
        </is>
      </c>
      <c r="G1504" s="1" t="inlineStr">
        <is>
          <t>Medium</t>
        </is>
      </c>
      <c r="H1504" s="1" t="n">
        <v>183216</v>
      </c>
      <c r="I1504" s="1" t="n">
        <v>310584</v>
      </c>
      <c r="J1504" s="9" t="n">
        <v>0.59</v>
      </c>
      <c r="K1504" s="1" t="inlineStr">
        <is>
          <t>Yes</t>
        </is>
      </c>
      <c r="L1504" s="1" t="inlineStr">
        <is>
          <t>Yes</t>
        </is>
      </c>
      <c r="M1504" s="1" t="inlineStr">
        <is>
          <t>No</t>
        </is>
      </c>
      <c r="N1504" s="1" t="inlineStr">
        <is>
          <t>Algorithms</t>
        </is>
      </c>
      <c r="O15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04" s="11" t="inlineStr">
        <is>
          <t>To Do</t>
        </is>
      </c>
    </row>
    <row r="1505" ht="15.75" customHeight="1" s="12">
      <c r="A1505" s="1" t="n">
        <v>2097</v>
      </c>
      <c r="B1505" s="3">
        <f>HYPERLINK("https://leetcode.com/problems/valid-arrangement-of-pairs/", "Valid Arrangement of Pairs")</f>
        <v/>
      </c>
      <c r="C1505" s="1" t="n">
        <v>1087</v>
      </c>
      <c r="D1505" s="1" t="n">
        <v>56</v>
      </c>
      <c r="E1505" s="4">
        <f>IF(INDEX(C:C, ROW())+INDEX(D:D, ROW())=0, 0, INDEX(C:C, ROW())/(INDEX(C:C, ROW())+INDEX(D:D, ROW())))</f>
        <v/>
      </c>
      <c r="F1505" s="1" t="inlineStr">
        <is>
          <t>Array, Depth-First Search, Graph Theory, Eulerian Circuit</t>
        </is>
      </c>
      <c r="G1505" s="1" t="inlineStr">
        <is>
          <t>Hard</t>
        </is>
      </c>
      <c r="H1505" s="1" t="n">
        <v>83239</v>
      </c>
      <c r="I1505" s="1" t="n">
        <v>125009</v>
      </c>
      <c r="J1505" s="9" t="n">
        <v>0.666</v>
      </c>
      <c r="K1505" s="1" t="inlineStr">
        <is>
          <t>Yes</t>
        </is>
      </c>
      <c r="L1505" s="1" t="inlineStr">
        <is>
          <t>Yes</t>
        </is>
      </c>
      <c r="M1505" s="1" t="inlineStr">
        <is>
          <t>No</t>
        </is>
      </c>
      <c r="N1505" s="1" t="inlineStr">
        <is>
          <t>Algorithms</t>
        </is>
      </c>
      <c r="O15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05" s="11" t="inlineStr">
        <is>
          <t>To Do</t>
        </is>
      </c>
    </row>
    <row r="1506" ht="15.75" customHeight="1" s="12">
      <c r="A1506" s="1" t="n">
        <v>372</v>
      </c>
      <c r="B1506" s="3">
        <f>HYPERLINK("https://leetcode.com/problems/super-pow/", "Super Pow")</f>
        <v/>
      </c>
      <c r="C1506" s="1" t="n">
        <v>1086</v>
      </c>
      <c r="D1506" s="1" t="n">
        <v>1489</v>
      </c>
      <c r="E1506" s="4">
        <f>IF(INDEX(C:C, ROW())+INDEX(D:D, ROW())=0, 0, INDEX(C:C, ROW())/(INDEX(C:C, ROW())+INDEX(D:D, ROW())))</f>
        <v/>
      </c>
      <c r="F1506" s="1" t="inlineStr">
        <is>
          <t>Math, Divide and Conquer</t>
        </is>
      </c>
      <c r="G1506" s="1" t="inlineStr">
        <is>
          <t>Medium</t>
        </is>
      </c>
      <c r="H1506" s="1" t="n">
        <v>103787</v>
      </c>
      <c r="I1506" s="1" t="n">
        <v>281274</v>
      </c>
      <c r="J1506" s="9" t="n">
        <v>0.369</v>
      </c>
      <c r="K1506" s="1" t="inlineStr">
        <is>
          <t>Yes</t>
        </is>
      </c>
      <c r="L1506" s="1" t="inlineStr">
        <is>
          <t>No</t>
        </is>
      </c>
      <c r="M1506" s="1" t="inlineStr">
        <is>
          <t>No</t>
        </is>
      </c>
      <c r="N1506" s="1" t="inlineStr">
        <is>
          <t>Algorithms</t>
        </is>
      </c>
      <c r="O15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06" s="11" t="inlineStr">
        <is>
          <t>To Do</t>
        </is>
      </c>
    </row>
    <row r="1507" ht="15.75" customHeight="1" s="12">
      <c r="A1507" s="1" t="n">
        <v>2110</v>
      </c>
      <c r="B1507" s="3">
        <f>HYPERLINK("https://leetcode.com/problems/number-of-smooth-descent-periods-of-a-stock/", "Number of Smooth Descent Periods of a Stock")</f>
        <v/>
      </c>
      <c r="C1507" s="1" t="n">
        <v>1086</v>
      </c>
      <c r="D1507" s="1" t="n">
        <v>54</v>
      </c>
      <c r="E1507" s="4">
        <f>IF(INDEX(C:C, ROW())+INDEX(D:D, ROW())=0, 0, INDEX(C:C, ROW())/(INDEX(C:C, ROW())+INDEX(D:D, ROW())))</f>
        <v/>
      </c>
      <c r="F1507" s="1" t="inlineStr">
        <is>
          <t>Array, Math, Two Pointers, Dynamic Programming, Sliding Window</t>
        </is>
      </c>
      <c r="G1507" s="1" t="inlineStr">
        <is>
          <t>Medium</t>
        </is>
      </c>
      <c r="H1507" s="1" t="n">
        <v>143947</v>
      </c>
      <c r="I1507" s="1" t="n">
        <v>212552</v>
      </c>
      <c r="J1507" s="9" t="n">
        <v>0.677</v>
      </c>
      <c r="K1507" s="1" t="inlineStr">
        <is>
          <t>Yes</t>
        </is>
      </c>
      <c r="L1507" s="1" t="inlineStr">
        <is>
          <t>Yes</t>
        </is>
      </c>
      <c r="M1507" s="1" t="inlineStr">
        <is>
          <t>No</t>
        </is>
      </c>
      <c r="N1507" s="1" t="inlineStr">
        <is>
          <t>Algorithms</t>
        </is>
      </c>
      <c r="O15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07" s="11" t="inlineStr">
        <is>
          <t>To Do</t>
        </is>
      </c>
    </row>
    <row r="1508" ht="15.75" customHeight="1" s="12">
      <c r="A1508" s="1" t="n">
        <v>2491</v>
      </c>
      <c r="B1508" s="3">
        <f>HYPERLINK("https://leetcode.com/problems/divide-players-into-teams-of-equal-skill/", "Divide Players Into Teams of Equal Skill")</f>
        <v/>
      </c>
      <c r="C1508" s="1" t="n">
        <v>1085</v>
      </c>
      <c r="D1508" s="1" t="n">
        <v>35</v>
      </c>
      <c r="E1508" s="4">
        <f>IF(INDEX(C:C, ROW())+INDEX(D:D, ROW())=0, 0, INDEX(C:C, ROW())/(INDEX(C:C, ROW())+INDEX(D:D, ROW())))</f>
        <v/>
      </c>
      <c r="F1508" s="1" t="inlineStr">
        <is>
          <t>Array, Hash Table, Two Pointers, Sorting</t>
        </is>
      </c>
      <c r="G1508" s="1" t="inlineStr">
        <is>
          <t>Medium</t>
        </is>
      </c>
      <c r="H1508" s="1" t="n">
        <v>203755</v>
      </c>
      <c r="I1508" s="1" t="n">
        <v>295557</v>
      </c>
      <c r="J1508" s="9" t="n">
        <v>0.6889999999999999</v>
      </c>
      <c r="K1508" s="1" t="inlineStr">
        <is>
          <t>Yes</t>
        </is>
      </c>
      <c r="L1508" s="1" t="inlineStr">
        <is>
          <t>Yes</t>
        </is>
      </c>
      <c r="M1508" s="1" t="inlineStr">
        <is>
          <t>No</t>
        </is>
      </c>
      <c r="N1508" s="1" t="inlineStr">
        <is>
          <t>Algorithms</t>
        </is>
      </c>
      <c r="O15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08" s="11" t="inlineStr">
        <is>
          <t>To Do</t>
        </is>
      </c>
    </row>
    <row r="1509" ht="15.75" customHeight="1" s="12">
      <c r="A1509" s="1" t="n">
        <v>2413</v>
      </c>
      <c r="B1509" s="3">
        <f>HYPERLINK("https://leetcode.com/problems/smallest-even-multiple/", "Smallest Even Multiple")</f>
        <v/>
      </c>
      <c r="C1509" s="1" t="n">
        <v>1083</v>
      </c>
      <c r="D1509" s="1" t="n">
        <v>127</v>
      </c>
      <c r="E1509" s="4">
        <f>IF(INDEX(C:C, ROW())+INDEX(D:D, ROW())=0, 0, INDEX(C:C, ROW())/(INDEX(C:C, ROW())+INDEX(D:D, ROW())))</f>
        <v/>
      </c>
      <c r="F1509" s="1" t="inlineStr">
        <is>
          <t>Math, Number Theory</t>
        </is>
      </c>
      <c r="G1509" s="1" t="inlineStr">
        <is>
          <t>Easy</t>
        </is>
      </c>
      <c r="H1509" s="1" t="n">
        <v>294113</v>
      </c>
      <c r="I1509" s="1" t="n">
        <v>332936</v>
      </c>
      <c r="J1509" s="9" t="n">
        <v>0.883</v>
      </c>
      <c r="K1509" s="1" t="inlineStr">
        <is>
          <t>Yes</t>
        </is>
      </c>
      <c r="L1509" s="1" t="inlineStr">
        <is>
          <t>No</t>
        </is>
      </c>
      <c r="M1509" s="1" t="inlineStr">
        <is>
          <t>No</t>
        </is>
      </c>
      <c r="N1509" s="1" t="inlineStr">
        <is>
          <t>Algorithms</t>
        </is>
      </c>
      <c r="O15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09" s="13" t="inlineStr">
        <is>
          <t>Done</t>
        </is>
      </c>
    </row>
    <row r="1510" ht="15.75" customHeight="1" s="12">
      <c r="A1510" s="1" t="n">
        <v>2133</v>
      </c>
      <c r="B1510" s="3">
        <f>HYPERLINK("https://leetcode.com/problems/check-if-every-row-and-column-contains-all-numbers/", "Check if Every Row and Column Contains All Numbers")</f>
        <v/>
      </c>
      <c r="C1510" s="1" t="n">
        <v>1082</v>
      </c>
      <c r="D1510" s="1" t="n">
        <v>58</v>
      </c>
      <c r="E1510" s="4">
        <f>IF(INDEX(C:C, ROW())+INDEX(D:D, ROW())=0, 0, INDEX(C:C, ROW())/(INDEX(C:C, ROW())+INDEX(D:D, ROW())))</f>
        <v/>
      </c>
      <c r="F1510" s="1" t="inlineStr">
        <is>
          <t>Array, Hash Table, Matrix</t>
        </is>
      </c>
      <c r="G1510" s="1" t="inlineStr">
        <is>
          <t>Easy</t>
        </is>
      </c>
      <c r="H1510" s="1" t="n">
        <v>116547</v>
      </c>
      <c r="I1510" s="1" t="n">
        <v>215359</v>
      </c>
      <c r="J1510" s="9" t="n">
        <v>0.541</v>
      </c>
      <c r="K1510" s="1" t="inlineStr">
        <is>
          <t>Yes</t>
        </is>
      </c>
      <c r="L1510" s="1" t="inlineStr">
        <is>
          <t>No</t>
        </is>
      </c>
      <c r="M1510" s="1" t="inlineStr">
        <is>
          <t>No</t>
        </is>
      </c>
      <c r="N1510" s="1" t="inlineStr">
        <is>
          <t>Algorithms</t>
        </is>
      </c>
      <c r="O15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10" s="13" t="inlineStr">
        <is>
          <t>Done</t>
        </is>
      </c>
    </row>
    <row r="1511" ht="15.75" customHeight="1" s="12">
      <c r="A1511" s="1" t="n">
        <v>428</v>
      </c>
      <c r="B1511" s="3">
        <f>HYPERLINK("https://leetcode.com/problems/serialize-and-deserialize-n-ary-tree/", "Serialize and Deserialize N-ary Tree")</f>
        <v/>
      </c>
      <c r="C1511" s="1" t="n">
        <v>1075</v>
      </c>
      <c r="D1511" s="1" t="n">
        <v>58</v>
      </c>
      <c r="E1511" s="4">
        <f>IF(INDEX(C:C, ROW())+INDEX(D:D, ROW())=0, 0, INDEX(C:C, ROW())/(INDEX(C:C, ROW())+INDEX(D:D, ROW())))</f>
        <v/>
      </c>
      <c r="F1511" s="1" t="inlineStr">
        <is>
          <t>String, Tree, Depth-First Search, Breadth-First Search</t>
        </is>
      </c>
      <c r="G1511" s="1" t="inlineStr">
        <is>
          <t>Hard</t>
        </is>
      </c>
      <c r="H1511" s="1" t="n">
        <v>100069</v>
      </c>
      <c r="I1511" s="1" t="n">
        <v>145535</v>
      </c>
      <c r="J1511" s="9" t="n">
        <v>0.6879999999999999</v>
      </c>
      <c r="K1511" s="1" t="inlineStr">
        <is>
          <t>No</t>
        </is>
      </c>
      <c r="L1511" s="1" t="inlineStr">
        <is>
          <t>Yes</t>
        </is>
      </c>
      <c r="M1511" s="1" t="inlineStr">
        <is>
          <t>No</t>
        </is>
      </c>
      <c r="N1511" s="1" t="inlineStr">
        <is>
          <t>Algorithms</t>
        </is>
      </c>
      <c r="O15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11" s="11" t="inlineStr">
        <is>
          <t>To Do</t>
        </is>
      </c>
    </row>
    <row r="1512" ht="15.75" customHeight="1" s="12">
      <c r="A1512" s="1" t="n">
        <v>1537</v>
      </c>
      <c r="B1512" s="3">
        <f>HYPERLINK("https://leetcode.com/problems/get-the-maximum-score/", "Get the Maximum Score")</f>
        <v/>
      </c>
      <c r="C1512" s="1" t="n">
        <v>1075</v>
      </c>
      <c r="D1512" s="1" t="n">
        <v>54</v>
      </c>
      <c r="E1512" s="4">
        <f>IF(INDEX(C:C, ROW())+INDEX(D:D, ROW())=0, 0, INDEX(C:C, ROW())/(INDEX(C:C, ROW())+INDEX(D:D, ROW())))</f>
        <v/>
      </c>
      <c r="F1512" s="1" t="inlineStr">
        <is>
          <t>Array, Two Pointers, Dynamic Programming, Greedy</t>
        </is>
      </c>
      <c r="G1512" s="1" t="inlineStr">
        <is>
          <t>Hard</t>
        </is>
      </c>
      <c r="H1512" s="1" t="n">
        <v>36595</v>
      </c>
      <c r="I1512" s="1" t="n">
        <v>89081</v>
      </c>
      <c r="J1512" s="9" t="n">
        <v>0.411</v>
      </c>
      <c r="K1512" s="1" t="inlineStr">
        <is>
          <t>Yes</t>
        </is>
      </c>
      <c r="L1512" s="1" t="inlineStr">
        <is>
          <t>No</t>
        </is>
      </c>
      <c r="M1512" s="1" t="inlineStr">
        <is>
          <t>No</t>
        </is>
      </c>
      <c r="N1512" s="1" t="inlineStr">
        <is>
          <t>Algorithms</t>
        </is>
      </c>
      <c r="O15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12" s="11" t="inlineStr">
        <is>
          <t>To Do</t>
        </is>
      </c>
    </row>
    <row r="1513" ht="15.75" customHeight="1" s="12">
      <c r="A1513" s="1" t="n">
        <v>1813</v>
      </c>
      <c r="B1513" s="3">
        <f>HYPERLINK("https://leetcode.com/problems/sentence-similarity-iii/", "Sentence Similarity III")</f>
        <v/>
      </c>
      <c r="C1513" s="1" t="n">
        <v>1072</v>
      </c>
      <c r="D1513" s="1" t="n">
        <v>163</v>
      </c>
      <c r="E1513" s="4">
        <f>IF(INDEX(C:C, ROW())+INDEX(D:D, ROW())=0, 0, INDEX(C:C, ROW())/(INDEX(C:C, ROW())+INDEX(D:D, ROW())))</f>
        <v/>
      </c>
      <c r="F1513" s="1" t="inlineStr">
        <is>
          <t>Array, Two Pointers, String</t>
        </is>
      </c>
      <c r="G1513" s="1" t="inlineStr">
        <is>
          <t>Medium</t>
        </is>
      </c>
      <c r="H1513" s="1" t="n">
        <v>132878</v>
      </c>
      <c r="I1513" s="1" t="n">
        <v>274432</v>
      </c>
      <c r="J1513" s="9" t="n">
        <v>0.484</v>
      </c>
      <c r="K1513" s="1" t="inlineStr">
        <is>
          <t>Yes</t>
        </is>
      </c>
      <c r="L1513" s="1" t="inlineStr">
        <is>
          <t>Yes</t>
        </is>
      </c>
      <c r="M1513" s="1" t="inlineStr">
        <is>
          <t>No</t>
        </is>
      </c>
      <c r="N1513" s="1" t="inlineStr">
        <is>
          <t>Algorithms</t>
        </is>
      </c>
      <c r="O15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13" s="11" t="inlineStr">
        <is>
          <t>To Do</t>
        </is>
      </c>
    </row>
    <row r="1514" ht="15.75" customHeight="1" s="12">
      <c r="A1514" s="1" t="n">
        <v>2706</v>
      </c>
      <c r="B1514" s="3">
        <f>HYPERLINK("https://leetcode.com/problems/buy-two-chocolates/", "Buy Two Chocolates")</f>
        <v/>
      </c>
      <c r="C1514" s="1" t="n">
        <v>1072</v>
      </c>
      <c r="D1514" s="1" t="n">
        <v>72</v>
      </c>
      <c r="E1514" s="4">
        <f>IF(INDEX(C:C, ROW())+INDEX(D:D, ROW())=0, 0, INDEX(C:C, ROW())/(INDEX(C:C, ROW())+INDEX(D:D, ROW())))</f>
        <v/>
      </c>
      <c r="F1514" s="1" t="inlineStr">
        <is>
          <t>Array, Greedy, Sorting</t>
        </is>
      </c>
      <c r="G1514" s="1" t="inlineStr">
        <is>
          <t>Easy</t>
        </is>
      </c>
      <c r="H1514" s="1" t="n">
        <v>225009</v>
      </c>
      <c r="I1514" s="1" t="n">
        <v>329206</v>
      </c>
      <c r="J1514" s="9" t="n">
        <v>0.6830000000000001</v>
      </c>
      <c r="K1514" s="1" t="inlineStr">
        <is>
          <t>Yes</t>
        </is>
      </c>
      <c r="L1514" s="1" t="inlineStr">
        <is>
          <t>Yes</t>
        </is>
      </c>
      <c r="M1514" s="1" t="inlineStr">
        <is>
          <t>No</t>
        </is>
      </c>
      <c r="N1514" s="1" t="inlineStr">
        <is>
          <t>Algorithms</t>
        </is>
      </c>
      <c r="O15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14" s="13" t="inlineStr">
        <is>
          <t>Done</t>
        </is>
      </c>
    </row>
    <row r="1515" ht="15.75" customHeight="1" s="12">
      <c r="A1515" s="1" t="n">
        <v>723</v>
      </c>
      <c r="B1515" s="3">
        <f>HYPERLINK("https://leetcode.com/problems/candy-crush/", "Candy Crush")</f>
        <v/>
      </c>
      <c r="C1515" s="1" t="n">
        <v>1071</v>
      </c>
      <c r="D1515" s="1" t="n">
        <v>549</v>
      </c>
      <c r="E1515" s="4">
        <f>IF(INDEX(C:C, ROW())+INDEX(D:D, ROW())=0, 0, INDEX(C:C, ROW())/(INDEX(C:C, ROW())+INDEX(D:D, ROW())))</f>
        <v/>
      </c>
      <c r="F1515" s="1" t="inlineStr">
        <is>
          <t>Array, Two Pointers, Matrix, Simulation</t>
        </is>
      </c>
      <c r="G1515" s="1" t="inlineStr">
        <is>
          <t>Medium</t>
        </is>
      </c>
      <c r="H1515" s="1" t="n">
        <v>91220</v>
      </c>
      <c r="I1515" s="1" t="n">
        <v>117857</v>
      </c>
      <c r="J1515" s="9" t="n">
        <v>0.774</v>
      </c>
      <c r="K1515" s="1" t="inlineStr">
        <is>
          <t>No</t>
        </is>
      </c>
      <c r="L1515" s="1" t="inlineStr">
        <is>
          <t>Yes</t>
        </is>
      </c>
      <c r="M1515" s="1" t="inlineStr">
        <is>
          <t>No</t>
        </is>
      </c>
      <c r="N1515" s="1" t="inlineStr">
        <is>
          <t>Algorithms</t>
        </is>
      </c>
      <c r="O15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15" s="11" t="inlineStr">
        <is>
          <t>To Do</t>
        </is>
      </c>
    </row>
    <row r="1516" ht="15.75" customHeight="1" s="12">
      <c r="A1516" s="1" t="n">
        <v>1529</v>
      </c>
      <c r="B1516" s="3">
        <f>HYPERLINK("https://leetcode.com/problems/minimum-suffix-flips/", "Minimum Suffix Flips")</f>
        <v/>
      </c>
      <c r="C1516" s="1" t="n">
        <v>1071</v>
      </c>
      <c r="D1516" s="1" t="n">
        <v>50</v>
      </c>
      <c r="E1516" s="4">
        <f>IF(INDEX(C:C, ROW())+INDEX(D:D, ROW())=0, 0, INDEX(C:C, ROW())/(INDEX(C:C, ROW())+INDEX(D:D, ROW())))</f>
        <v/>
      </c>
      <c r="F1516" s="1" t="inlineStr">
        <is>
          <t>String, Greedy</t>
        </is>
      </c>
      <c r="G1516" s="1" t="inlineStr">
        <is>
          <t>Medium</t>
        </is>
      </c>
      <c r="H1516" s="1" t="n">
        <v>67344</v>
      </c>
      <c r="I1516" s="1" t="n">
        <v>91120</v>
      </c>
      <c r="J1516" s="9" t="n">
        <v>0.739</v>
      </c>
      <c r="K1516" s="1" t="inlineStr">
        <is>
          <t>Yes</t>
        </is>
      </c>
      <c r="L1516" s="1" t="inlineStr">
        <is>
          <t>No</t>
        </is>
      </c>
      <c r="M1516" s="1" t="inlineStr">
        <is>
          <t>No</t>
        </is>
      </c>
      <c r="N1516" s="1" t="inlineStr">
        <is>
          <t>Algorithms</t>
        </is>
      </c>
      <c r="O15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16" s="11" t="inlineStr">
        <is>
          <t>To Do</t>
        </is>
      </c>
    </row>
    <row r="1517" ht="15.75" customHeight="1" s="12">
      <c r="A1517" s="1" t="n">
        <v>2517</v>
      </c>
      <c r="B1517" s="3">
        <f>HYPERLINK("https://leetcode.com/problems/maximum-tastiness-of-candy-basket/", "Maximum Tastiness of Candy Basket")</f>
        <v/>
      </c>
      <c r="C1517" s="1" t="n">
        <v>1071</v>
      </c>
      <c r="D1517" s="1" t="n">
        <v>183</v>
      </c>
      <c r="E1517" s="4">
        <f>IF(INDEX(C:C, ROW())+INDEX(D:D, ROW())=0, 0, INDEX(C:C, ROW())/(INDEX(C:C, ROW())+INDEX(D:D, ROW())))</f>
        <v/>
      </c>
      <c r="F1517" s="1" t="inlineStr">
        <is>
          <t>Array, Binary Search, Greedy, Sorting</t>
        </is>
      </c>
      <c r="G1517" s="1" t="inlineStr">
        <is>
          <t>Medium</t>
        </is>
      </c>
      <c r="H1517" s="1" t="n">
        <v>40548</v>
      </c>
      <c r="I1517" s="1" t="n">
        <v>59532</v>
      </c>
      <c r="J1517" s="9" t="n">
        <v>0.681</v>
      </c>
      <c r="K1517" s="1" t="inlineStr">
        <is>
          <t>Yes</t>
        </is>
      </c>
      <c r="L1517" s="1" t="inlineStr">
        <is>
          <t>No</t>
        </is>
      </c>
      <c r="M1517" s="1" t="inlineStr">
        <is>
          <t>No</t>
        </is>
      </c>
      <c r="N1517" s="1" t="inlineStr">
        <is>
          <t>Algorithms</t>
        </is>
      </c>
      <c r="O15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17" s="11" t="inlineStr">
        <is>
          <t>To Do</t>
        </is>
      </c>
    </row>
    <row r="1518" ht="15.75" customHeight="1" s="12">
      <c r="A1518" s="1" t="n">
        <v>2273</v>
      </c>
      <c r="B1518" s="3">
        <f>HYPERLINK("https://leetcode.com/problems/find-resultant-array-after-removing-anagrams/", "Find Resultant Array After Removing Anagrams")</f>
        <v/>
      </c>
      <c r="C1518" s="1" t="n">
        <v>1068</v>
      </c>
      <c r="D1518" s="1" t="n">
        <v>238</v>
      </c>
      <c r="E1518" s="4">
        <f>IF(INDEX(C:C, ROW())+INDEX(D:D, ROW())=0, 0, INDEX(C:C, ROW())/(INDEX(C:C, ROW())+INDEX(D:D, ROW())))</f>
        <v/>
      </c>
      <c r="F1518" s="1" t="inlineStr">
        <is>
          <t>Array, Hash Table, String, Sorting</t>
        </is>
      </c>
      <c r="G1518" s="1" t="inlineStr">
        <is>
          <t>Easy</t>
        </is>
      </c>
      <c r="H1518" s="1" t="n">
        <v>209303</v>
      </c>
      <c r="I1518" s="1" t="n">
        <v>299285</v>
      </c>
      <c r="J1518" s="9" t="n">
        <v>0.699</v>
      </c>
      <c r="K1518" s="1" t="inlineStr">
        <is>
          <t>Yes</t>
        </is>
      </c>
      <c r="L1518" s="1" t="inlineStr">
        <is>
          <t>Yes</t>
        </is>
      </c>
      <c r="M1518" s="1" t="inlineStr">
        <is>
          <t>No</t>
        </is>
      </c>
      <c r="N1518" s="1" t="inlineStr">
        <is>
          <t>Algorithms</t>
        </is>
      </c>
      <c r="O15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18" s="13" t="inlineStr">
        <is>
          <t>Done</t>
        </is>
      </c>
    </row>
    <row r="1519" ht="15.75" customHeight="1" s="12">
      <c r="A1519" s="1" t="n">
        <v>2154</v>
      </c>
      <c r="B1519" s="3">
        <f>HYPERLINK("https://leetcode.com/problems/keep-multiplying-found-values-by-two/", "Keep Multiplying Found Values by Two")</f>
        <v/>
      </c>
      <c r="C1519" s="1" t="n">
        <v>1067</v>
      </c>
      <c r="D1519" s="1" t="n">
        <v>54</v>
      </c>
      <c r="E1519" s="4">
        <f>IF(INDEX(C:C, ROW())+INDEX(D:D, ROW())=0, 0, INDEX(C:C, ROW())/(INDEX(C:C, ROW())+INDEX(D:D, ROW())))</f>
        <v/>
      </c>
      <c r="F1519" s="1" t="inlineStr">
        <is>
          <t>Array, Hash Table, Sorting, Simulation</t>
        </is>
      </c>
      <c r="G1519" s="1" t="inlineStr">
        <is>
          <t>Easy</t>
        </is>
      </c>
      <c r="H1519" s="1" t="n">
        <v>284161</v>
      </c>
      <c r="I1519" s="1" t="n">
        <v>378719</v>
      </c>
      <c r="J1519" s="9" t="n">
        <v>0.75</v>
      </c>
      <c r="K1519" s="1" t="inlineStr">
        <is>
          <t>Yes</t>
        </is>
      </c>
      <c r="L1519" s="1" t="inlineStr">
        <is>
          <t>Yes</t>
        </is>
      </c>
      <c r="M1519" s="1" t="inlineStr">
        <is>
          <t>No</t>
        </is>
      </c>
      <c r="N1519" s="1" t="inlineStr">
        <is>
          <t>Algorithms</t>
        </is>
      </c>
      <c r="O15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19" s="13" t="inlineStr">
        <is>
          <t>Done</t>
        </is>
      </c>
    </row>
    <row r="1520" ht="15.75" customHeight="1" s="12">
      <c r="A1520" s="1" t="n">
        <v>1391</v>
      </c>
      <c r="B1520" s="3">
        <f>HYPERLINK("https://leetcode.com/problems/check-if-there-is-a-valid-path-in-a-grid/", "Check if There is a Valid Path in a Grid")</f>
        <v/>
      </c>
      <c r="C1520" s="1" t="n">
        <v>1063</v>
      </c>
      <c r="D1520" s="1" t="n">
        <v>348</v>
      </c>
      <c r="E1520" s="4">
        <f>IF(INDEX(C:C, ROW())+INDEX(D:D, ROW())=0, 0, INDEX(C:C, ROW())/(INDEX(C:C, ROW())+INDEX(D:D, ROW())))</f>
        <v/>
      </c>
      <c r="F1520" s="1" t="inlineStr">
        <is>
          <t>Array, Depth-First Search, Breadth-First Search, Union-Find, Matrix</t>
        </is>
      </c>
      <c r="G1520" s="1" t="inlineStr">
        <is>
          <t>Medium</t>
        </is>
      </c>
      <c r="H1520" s="1" t="n">
        <v>105977</v>
      </c>
      <c r="I1520" s="1" t="n">
        <v>164383</v>
      </c>
      <c r="J1520" s="9" t="n">
        <v>0.645</v>
      </c>
      <c r="K1520" s="1" t="inlineStr">
        <is>
          <t>Yes</t>
        </is>
      </c>
      <c r="L1520" s="1" t="inlineStr">
        <is>
          <t>Yes</t>
        </is>
      </c>
      <c r="M1520" s="1" t="inlineStr">
        <is>
          <t>No</t>
        </is>
      </c>
      <c r="N1520" s="1" t="inlineStr">
        <is>
          <t>Algorithms</t>
        </is>
      </c>
      <c r="O15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20" s="11" t="inlineStr">
        <is>
          <t>To Do</t>
        </is>
      </c>
    </row>
    <row r="1521" ht="15.75" customHeight="1" s="12">
      <c r="A1521" s="1" t="n">
        <v>1981</v>
      </c>
      <c r="B1521" s="3">
        <f>HYPERLINK("https://leetcode.com/problems/minimize-the-difference-between-target-and-chosen-elements/", "Minimize the Difference Between Target and Chosen Elements")</f>
        <v/>
      </c>
      <c r="C1521" s="1" t="n">
        <v>1063</v>
      </c>
      <c r="D1521" s="1" t="n">
        <v>146</v>
      </c>
      <c r="E1521" s="4">
        <f>IF(INDEX(C:C, ROW())+INDEX(D:D, ROW())=0, 0, INDEX(C:C, ROW())/(INDEX(C:C, ROW())+INDEX(D:D, ROW())))</f>
        <v/>
      </c>
      <c r="F1521" s="1" t="inlineStr">
        <is>
          <t>Array, Dynamic Programming, Matrix</t>
        </is>
      </c>
      <c r="G1521" s="1" t="inlineStr">
        <is>
          <t>Medium</t>
        </is>
      </c>
      <c r="H1521" s="1" t="n">
        <v>39247</v>
      </c>
      <c r="I1521" s="1" t="n">
        <v>106432</v>
      </c>
      <c r="J1521" s="9" t="n">
        <v>0.369</v>
      </c>
      <c r="K1521" s="1" t="inlineStr">
        <is>
          <t>Yes</t>
        </is>
      </c>
      <c r="L1521" s="1" t="inlineStr">
        <is>
          <t>No</t>
        </is>
      </c>
      <c r="M1521" s="1" t="inlineStr">
        <is>
          <t>No</t>
        </is>
      </c>
      <c r="N1521" s="1" t="inlineStr">
        <is>
          <t>Algorithms</t>
        </is>
      </c>
      <c r="O15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21" s="11" t="inlineStr">
        <is>
          <t>To Do</t>
        </is>
      </c>
    </row>
    <row r="1522" ht="15.75" customHeight="1" s="12">
      <c r="A1522" s="1" t="n">
        <v>2441</v>
      </c>
      <c r="B1522" s="3">
        <f>HYPERLINK("https://leetcode.com/problems/largest-positive-integer-that-exists-with-its-negative/", "Largest Positive Integer That Exists With Its Negative")</f>
        <v/>
      </c>
      <c r="C1522" s="1" t="n">
        <v>1063</v>
      </c>
      <c r="D1522" s="1" t="n">
        <v>25</v>
      </c>
      <c r="E1522" s="4">
        <f>IF(INDEX(C:C, ROW())+INDEX(D:D, ROW())=0, 0, INDEX(C:C, ROW())/(INDEX(C:C, ROW())+INDEX(D:D, ROW())))</f>
        <v/>
      </c>
      <c r="F1522" s="1" t="inlineStr">
        <is>
          <t>Array, Hash Table, Two Pointers, Sorting</t>
        </is>
      </c>
      <c r="G1522" s="1" t="inlineStr">
        <is>
          <t>Easy</t>
        </is>
      </c>
      <c r="H1522" s="1" t="n">
        <v>269222</v>
      </c>
      <c r="I1522" s="1" t="n">
        <v>361167</v>
      </c>
      <c r="J1522" s="9" t="n">
        <v>0.745</v>
      </c>
      <c r="K1522" s="1" t="inlineStr">
        <is>
          <t>Yes</t>
        </is>
      </c>
      <c r="L1522" s="1" t="inlineStr">
        <is>
          <t>Yes</t>
        </is>
      </c>
      <c r="M1522" s="1" t="inlineStr">
        <is>
          <t>No</t>
        </is>
      </c>
      <c r="N1522" s="1" t="inlineStr">
        <is>
          <t>Algorithms</t>
        </is>
      </c>
      <c r="O15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22" s="13" t="inlineStr">
        <is>
          <t>Done</t>
        </is>
      </c>
    </row>
    <row r="1523" ht="15.75" customHeight="1" s="12">
      <c r="A1523" s="1" t="n">
        <v>2222</v>
      </c>
      <c r="B1523" s="3">
        <f>HYPERLINK("https://leetcode.com/problems/number-of-ways-to-select-buildings/", "Number of Ways to Select Buildings")</f>
        <v/>
      </c>
      <c r="C1523" s="1" t="n">
        <v>1062</v>
      </c>
      <c r="D1523" s="1" t="n">
        <v>54</v>
      </c>
      <c r="E1523" s="4">
        <f>IF(INDEX(C:C, ROW())+INDEX(D:D, ROW())=0, 0, INDEX(C:C, ROW())/(INDEX(C:C, ROW())+INDEX(D:D, ROW())))</f>
        <v/>
      </c>
      <c r="F1523" s="1" t="inlineStr">
        <is>
          <t>String, Dynamic Programming, Prefix Sum</t>
        </is>
      </c>
      <c r="G1523" s="1" t="inlineStr">
        <is>
          <t>Medium</t>
        </is>
      </c>
      <c r="H1523" s="1" t="n">
        <v>53724</v>
      </c>
      <c r="I1523" s="1" t="n">
        <v>105611</v>
      </c>
      <c r="J1523" s="9" t="n">
        <v>0.509</v>
      </c>
      <c r="K1523" s="1" t="inlineStr">
        <is>
          <t>Yes</t>
        </is>
      </c>
      <c r="L1523" s="1" t="inlineStr">
        <is>
          <t>No</t>
        </is>
      </c>
      <c r="M1523" s="1" t="inlineStr">
        <is>
          <t>No</t>
        </is>
      </c>
      <c r="N1523" s="1" t="inlineStr">
        <is>
          <t>Algorithms</t>
        </is>
      </c>
      <c r="O15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23" s="11" t="inlineStr">
        <is>
          <t>To Do</t>
        </is>
      </c>
    </row>
    <row r="1524" ht="15.75" customHeight="1" s="12">
      <c r="A1524" s="1" t="n">
        <v>2193</v>
      </c>
      <c r="B1524" s="3">
        <f>HYPERLINK("https://leetcode.com/problems/minimum-number-of-moves-to-make-palindrome/", "Minimum Number of Moves to Make Palindrome")</f>
        <v/>
      </c>
      <c r="C1524" s="1" t="n">
        <v>1057</v>
      </c>
      <c r="D1524" s="1" t="n">
        <v>79</v>
      </c>
      <c r="E1524" s="4">
        <f>IF(INDEX(C:C, ROW())+INDEX(D:D, ROW())=0, 0, INDEX(C:C, ROW())/(INDEX(C:C, ROW())+INDEX(D:D, ROW())))</f>
        <v/>
      </c>
      <c r="F1524" s="1" t="inlineStr">
        <is>
          <t>Two Pointers, String, Greedy, Binary Indexed Tree</t>
        </is>
      </c>
      <c r="G1524" s="1" t="inlineStr">
        <is>
          <t>Hard</t>
        </is>
      </c>
      <c r="H1524" s="1" t="n">
        <v>35383</v>
      </c>
      <c r="I1524" s="1" t="n">
        <v>67083</v>
      </c>
      <c r="J1524" s="9" t="n">
        <v>0.527</v>
      </c>
      <c r="K1524" s="1" t="inlineStr">
        <is>
          <t>Yes</t>
        </is>
      </c>
      <c r="L1524" s="1" t="inlineStr">
        <is>
          <t>No</t>
        </is>
      </c>
      <c r="M1524" s="1" t="inlineStr">
        <is>
          <t>No</t>
        </is>
      </c>
      <c r="N1524" s="1" t="inlineStr">
        <is>
          <t>Algorithms</t>
        </is>
      </c>
      <c r="O15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24" s="11" t="inlineStr">
        <is>
          <t>To Do</t>
        </is>
      </c>
    </row>
    <row r="1525" ht="15.75" customHeight="1" s="12">
      <c r="A1525" s="1" t="n">
        <v>1898</v>
      </c>
      <c r="B1525" s="3">
        <f>HYPERLINK("https://leetcode.com/problems/maximum-number-of-removable-characters/", "Maximum Number of Removable Characters")</f>
        <v/>
      </c>
      <c r="C1525" s="1" t="n">
        <v>1055</v>
      </c>
      <c r="D1525" s="1" t="n">
        <v>137</v>
      </c>
      <c r="E1525" s="4">
        <f>IF(INDEX(C:C, ROW())+INDEX(D:D, ROW())=0, 0, INDEX(C:C, ROW())/(INDEX(C:C, ROW())+INDEX(D:D, ROW())))</f>
        <v/>
      </c>
      <c r="F1525" s="1" t="inlineStr">
        <is>
          <t>Array, Two Pointers, String, Binary Search</t>
        </is>
      </c>
      <c r="G1525" s="1" t="inlineStr">
        <is>
          <t>Medium</t>
        </is>
      </c>
      <c r="H1525" s="1" t="n">
        <v>43311</v>
      </c>
      <c r="I1525" s="1" t="n">
        <v>91942</v>
      </c>
      <c r="J1525" s="9" t="n">
        <v>0.471</v>
      </c>
      <c r="K1525" s="1" t="inlineStr">
        <is>
          <t>Yes</t>
        </is>
      </c>
      <c r="L1525" s="1" t="inlineStr">
        <is>
          <t>No</t>
        </is>
      </c>
      <c r="M1525" s="1" t="inlineStr">
        <is>
          <t>No</t>
        </is>
      </c>
      <c r="N1525" s="1" t="inlineStr">
        <is>
          <t>Algorithms</t>
        </is>
      </c>
      <c r="O15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25" s="11" t="inlineStr">
        <is>
          <t>To Do</t>
        </is>
      </c>
    </row>
    <row r="1526" ht="15.75" customHeight="1" s="12">
      <c r="A1526" s="1" t="n">
        <v>1075</v>
      </c>
      <c r="B1526" s="3">
        <f>HYPERLINK("https://leetcode.com/problems/project-employees-i/", "Project Employees I")</f>
        <v/>
      </c>
      <c r="C1526" s="1" t="n">
        <v>1054</v>
      </c>
      <c r="D1526" s="1" t="n">
        <v>207</v>
      </c>
      <c r="E1526" s="4">
        <f>IF(INDEX(C:C, ROW())+INDEX(D:D, ROW())=0, 0, INDEX(C:C, ROW())/(INDEX(C:C, ROW())+INDEX(D:D, ROW())))</f>
        <v/>
      </c>
      <c r="F1526" s="1" t="inlineStr">
        <is>
          <t>Database</t>
        </is>
      </c>
      <c r="G1526" s="1" t="inlineStr">
        <is>
          <t>Easy</t>
        </is>
      </c>
      <c r="H1526" s="1" t="n">
        <v>684678</v>
      </c>
      <c r="I1526" s="1" t="n">
        <v>1026020</v>
      </c>
      <c r="J1526" s="9" t="n">
        <v>0.667</v>
      </c>
      <c r="K1526" s="1" t="inlineStr">
        <is>
          <t>Yes</t>
        </is>
      </c>
      <c r="L1526" s="1" t="inlineStr">
        <is>
          <t>Yes</t>
        </is>
      </c>
      <c r="M1526" s="1" t="inlineStr">
        <is>
          <t>No</t>
        </is>
      </c>
      <c r="N1526" s="1" t="inlineStr">
        <is>
          <t>Database</t>
        </is>
      </c>
      <c r="O15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26" s="13" t="inlineStr">
        <is>
          <t>Done</t>
        </is>
      </c>
    </row>
    <row r="1527" ht="15.75" customHeight="1" s="12">
      <c r="A1527" s="1" t="n">
        <v>1414</v>
      </c>
      <c r="B1527" s="3">
        <f>HYPERLINK("https://leetcode.com/problems/find-the-minimum-number-of-fibonacci-numbers-whose-sum-is-k/", "Find the Minimum Number of Fibonacci Numbers Whose Sum Is K")</f>
        <v/>
      </c>
      <c r="C1527" s="1" t="n">
        <v>1053</v>
      </c>
      <c r="D1527" s="1" t="n">
        <v>68</v>
      </c>
      <c r="E1527" s="4">
        <f>IF(INDEX(C:C, ROW())+INDEX(D:D, ROW())=0, 0, INDEX(C:C, ROW())/(INDEX(C:C, ROW())+INDEX(D:D, ROW())))</f>
        <v/>
      </c>
      <c r="F1527" s="1" t="inlineStr">
        <is>
          <t>Math, Greedy</t>
        </is>
      </c>
      <c r="G1527" s="1" t="inlineStr">
        <is>
          <t>Medium</t>
        </is>
      </c>
      <c r="H1527" s="1" t="n">
        <v>52746</v>
      </c>
      <c r="I1527" s="1" t="n">
        <v>81200</v>
      </c>
      <c r="J1527" s="9" t="n">
        <v>0.65</v>
      </c>
      <c r="K1527" s="1" t="inlineStr">
        <is>
          <t>Yes</t>
        </is>
      </c>
      <c r="L1527" s="1" t="inlineStr">
        <is>
          <t>No</t>
        </is>
      </c>
      <c r="M1527" s="1" t="inlineStr">
        <is>
          <t>No</t>
        </is>
      </c>
      <c r="N1527" s="1" t="inlineStr">
        <is>
          <t>Algorithms</t>
        </is>
      </c>
      <c r="O15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27" s="11" t="inlineStr">
        <is>
          <t>To Do</t>
        </is>
      </c>
    </row>
    <row r="1528" ht="15.75" customHeight="1" s="12">
      <c r="A1528" s="1" t="n">
        <v>2411</v>
      </c>
      <c r="B1528" s="3">
        <f>HYPERLINK("https://leetcode.com/problems/smallest-subarrays-with-maximum-bitwise-or/", "Smallest Subarrays With Maximum Bitwise OR")</f>
        <v/>
      </c>
      <c r="C1528" s="1" t="n">
        <v>1053</v>
      </c>
      <c r="D1528" s="1" t="n">
        <v>73</v>
      </c>
      <c r="E1528" s="4">
        <f>IF(INDEX(C:C, ROW())+INDEX(D:D, ROW())=0, 0, INDEX(C:C, ROW())/(INDEX(C:C, ROW())+INDEX(D:D, ROW())))</f>
        <v/>
      </c>
      <c r="F1528" s="1" t="inlineStr">
        <is>
          <t>Array, Binary Search, Bit Manipulation, Sliding Window</t>
        </is>
      </c>
      <c r="G1528" s="1" t="inlineStr">
        <is>
          <t>Medium</t>
        </is>
      </c>
      <c r="H1528" s="1" t="n">
        <v>95454</v>
      </c>
      <c r="I1528" s="1" t="n">
        <v>154106</v>
      </c>
      <c r="J1528" s="9" t="n">
        <v>0.619</v>
      </c>
      <c r="K1528" s="1" t="inlineStr">
        <is>
          <t>Yes</t>
        </is>
      </c>
      <c r="L1528" s="1" t="inlineStr">
        <is>
          <t>Yes</t>
        </is>
      </c>
      <c r="M1528" s="1" t="inlineStr">
        <is>
          <t>No</t>
        </is>
      </c>
      <c r="N1528" s="1" t="inlineStr">
        <is>
          <t>Algorithms</t>
        </is>
      </c>
      <c r="O15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28" s="11" t="inlineStr">
        <is>
          <t>To Do</t>
        </is>
      </c>
    </row>
    <row r="1529" ht="15.75" customHeight="1" s="12">
      <c r="A1529" s="1" t="n">
        <v>2091</v>
      </c>
      <c r="B1529" s="3">
        <f>HYPERLINK("https://leetcode.com/problems/removing-minimum-and-maximum-from-array/", "Removing Minimum and Maximum From Array")</f>
        <v/>
      </c>
      <c r="C1529" s="1" t="n">
        <v>1049</v>
      </c>
      <c r="D1529" s="1" t="n">
        <v>58</v>
      </c>
      <c r="E1529" s="4">
        <f>IF(INDEX(C:C, ROW())+INDEX(D:D, ROW())=0, 0, INDEX(C:C, ROW())/(INDEX(C:C, ROW())+INDEX(D:D, ROW())))</f>
        <v/>
      </c>
      <c r="F1529" s="1" t="inlineStr">
        <is>
          <t>Array, Greedy</t>
        </is>
      </c>
      <c r="G1529" s="1" t="inlineStr">
        <is>
          <t>Medium</t>
        </is>
      </c>
      <c r="H1529" s="1" t="n">
        <v>61427</v>
      </c>
      <c r="I1529" s="1" t="n">
        <v>108909</v>
      </c>
      <c r="J1529" s="9" t="n">
        <v>0.5639999999999999</v>
      </c>
      <c r="K1529" s="1" t="inlineStr">
        <is>
          <t>Yes</t>
        </is>
      </c>
      <c r="L1529" s="1" t="inlineStr">
        <is>
          <t>No</t>
        </is>
      </c>
      <c r="M1529" s="1" t="inlineStr">
        <is>
          <t>No</t>
        </is>
      </c>
      <c r="N1529" s="1" t="inlineStr">
        <is>
          <t>Algorithms</t>
        </is>
      </c>
      <c r="O15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29" s="11" t="inlineStr">
        <is>
          <t>To Do</t>
        </is>
      </c>
    </row>
    <row r="1530" ht="15.75" customHeight="1" s="12">
      <c r="A1530" s="1" t="n">
        <v>1690</v>
      </c>
      <c r="B1530" s="3">
        <f>HYPERLINK("https://leetcode.com/problems/stone-game-vii/", "Stone Game VII")</f>
        <v/>
      </c>
      <c r="C1530" s="1" t="n">
        <v>1048</v>
      </c>
      <c r="D1530" s="1" t="n">
        <v>175</v>
      </c>
      <c r="E1530" s="4">
        <f>IF(INDEX(C:C, ROW())+INDEX(D:D, ROW())=0, 0, INDEX(C:C, ROW())/(INDEX(C:C, ROW())+INDEX(D:D, ROW())))</f>
        <v/>
      </c>
      <c r="F1530" s="1" t="inlineStr">
        <is>
          <t>Array, Math, Dynamic Programming, Game Theory</t>
        </is>
      </c>
      <c r="G1530" s="1" t="inlineStr">
        <is>
          <t>Medium</t>
        </is>
      </c>
      <c r="H1530" s="1" t="n">
        <v>44111</v>
      </c>
      <c r="I1530" s="1" t="n">
        <v>75121</v>
      </c>
      <c r="J1530" s="9" t="n">
        <v>0.587</v>
      </c>
      <c r="K1530" s="1" t="inlineStr">
        <is>
          <t>Yes</t>
        </is>
      </c>
      <c r="L1530" s="1" t="inlineStr">
        <is>
          <t>Yes</t>
        </is>
      </c>
      <c r="M1530" s="1" t="inlineStr">
        <is>
          <t>No</t>
        </is>
      </c>
      <c r="N1530" s="1" t="inlineStr">
        <is>
          <t>Algorithms</t>
        </is>
      </c>
      <c r="O15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30" s="11" t="inlineStr">
        <is>
          <t>To Do</t>
        </is>
      </c>
    </row>
    <row r="1531" ht="15.75" customHeight="1" s="12">
      <c r="A1531" s="1" t="n">
        <v>850</v>
      </c>
      <c r="B1531" s="3">
        <f>HYPERLINK("https://leetcode.com/problems/rectangle-area-ii/", "Rectangle Area II")</f>
        <v/>
      </c>
      <c r="C1531" s="1" t="n">
        <v>1046</v>
      </c>
      <c r="D1531" s="1" t="n">
        <v>66</v>
      </c>
      <c r="E1531" s="4">
        <f>IF(INDEX(C:C, ROW())+INDEX(D:D, ROW())=0, 0, INDEX(C:C, ROW())/(INDEX(C:C, ROW())+INDEX(D:D, ROW())))</f>
        <v/>
      </c>
      <c r="F1531" s="1" t="inlineStr">
        <is>
          <t>Array, Segment Tree, Sweep Line, Ordered Set</t>
        </is>
      </c>
      <c r="G1531" s="1" t="inlineStr">
        <is>
          <t>Hard</t>
        </is>
      </c>
      <c r="H1531" s="1" t="n">
        <v>44253</v>
      </c>
      <c r="I1531" s="1" t="n">
        <v>78847</v>
      </c>
      <c r="J1531" s="9" t="n">
        <v>0.5610000000000001</v>
      </c>
      <c r="K1531" s="1" t="inlineStr">
        <is>
          <t>Yes</t>
        </is>
      </c>
      <c r="L1531" s="1" t="inlineStr">
        <is>
          <t>Yes</t>
        </is>
      </c>
      <c r="M1531" s="1" t="inlineStr">
        <is>
          <t>No</t>
        </is>
      </c>
      <c r="N1531" s="1" t="inlineStr">
        <is>
          <t>Algorithms</t>
        </is>
      </c>
      <c r="O15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31" s="11" t="inlineStr">
        <is>
          <t>To Do</t>
        </is>
      </c>
    </row>
    <row r="1532" ht="15.75" customHeight="1" s="12">
      <c r="A1532" s="1" t="n">
        <v>955</v>
      </c>
      <c r="B1532" s="3">
        <f>HYPERLINK("https://leetcode.com/problems/delete-columns-to-make-sorted-ii/", "Delete Columns to Make Sorted II")</f>
        <v/>
      </c>
      <c r="C1532" s="1" t="n">
        <v>1046</v>
      </c>
      <c r="D1532" s="1" t="n">
        <v>136</v>
      </c>
      <c r="E1532" s="4">
        <f>IF(INDEX(C:C, ROW())+INDEX(D:D, ROW())=0, 0, INDEX(C:C, ROW())/(INDEX(C:C, ROW())+INDEX(D:D, ROW())))</f>
        <v/>
      </c>
      <c r="F1532" s="1" t="inlineStr">
        <is>
          <t>Array, String, Greedy</t>
        </is>
      </c>
      <c r="G1532" s="1" t="inlineStr">
        <is>
          <t>Medium</t>
        </is>
      </c>
      <c r="H1532" s="1" t="n">
        <v>89815</v>
      </c>
      <c r="I1532" s="1" t="n">
        <v>180677</v>
      </c>
      <c r="J1532" s="9" t="n">
        <v>0.497</v>
      </c>
      <c r="K1532" s="1" t="inlineStr">
        <is>
          <t>Yes</t>
        </is>
      </c>
      <c r="L1532" s="1" t="inlineStr">
        <is>
          <t>Yes</t>
        </is>
      </c>
      <c r="M1532" s="1" t="inlineStr">
        <is>
          <t>No</t>
        </is>
      </c>
      <c r="N1532" s="1" t="inlineStr">
        <is>
          <t>Algorithms</t>
        </is>
      </c>
      <c r="O15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32" s="11" t="inlineStr">
        <is>
          <t>To Do</t>
        </is>
      </c>
    </row>
    <row r="1533" ht="15.75" customHeight="1" s="12">
      <c r="A1533" s="1" t="n">
        <v>1865</v>
      </c>
      <c r="B1533" s="3">
        <f>HYPERLINK("https://leetcode.com/problems/finding-pairs-with-a-certain-sum/", "Finding Pairs With a Certain Sum")</f>
        <v/>
      </c>
      <c r="C1533" s="1" t="n">
        <v>1044</v>
      </c>
      <c r="D1533" s="1" t="n">
        <v>145</v>
      </c>
      <c r="E1533" s="4">
        <f>IF(INDEX(C:C, ROW())+INDEX(D:D, ROW())=0, 0, INDEX(C:C, ROW())/(INDEX(C:C, ROW())+INDEX(D:D, ROW())))</f>
        <v/>
      </c>
      <c r="F1533" s="1" t="inlineStr">
        <is>
          <t>Array, Hash Table, Design</t>
        </is>
      </c>
      <c r="G1533" s="1" t="inlineStr">
        <is>
          <t>Medium</t>
        </is>
      </c>
      <c r="H1533" s="1" t="n">
        <v>145361</v>
      </c>
      <c r="I1533" s="1" t="n">
        <v>236146</v>
      </c>
      <c r="J1533" s="9" t="n">
        <v>0.616</v>
      </c>
      <c r="K1533" s="1" t="inlineStr">
        <is>
          <t>Yes</t>
        </is>
      </c>
      <c r="L1533" s="1" t="inlineStr">
        <is>
          <t>Yes</t>
        </is>
      </c>
      <c r="M1533" s="1" t="inlineStr">
        <is>
          <t>No</t>
        </is>
      </c>
      <c r="N1533" s="1" t="inlineStr">
        <is>
          <t>Algorithms</t>
        </is>
      </c>
      <c r="O15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33" s="11" t="inlineStr">
        <is>
          <t>To Do</t>
        </is>
      </c>
    </row>
    <row r="1534" ht="15.75" customHeight="1" s="12">
      <c r="A1534" s="1" t="n">
        <v>2145</v>
      </c>
      <c r="B1534" s="3">
        <f>HYPERLINK("https://leetcode.com/problems/count-the-hidden-sequences/", "Count the Hidden Sequences")</f>
        <v/>
      </c>
      <c r="C1534" s="1" t="n">
        <v>1043</v>
      </c>
      <c r="D1534" s="1" t="n">
        <v>93</v>
      </c>
      <c r="E1534" s="4">
        <f>IF(INDEX(C:C, ROW())+INDEX(D:D, ROW())=0, 0, INDEX(C:C, ROW())/(INDEX(C:C, ROW())+INDEX(D:D, ROW())))</f>
        <v/>
      </c>
      <c r="F1534" s="1" t="inlineStr">
        <is>
          <t>Array, Prefix Sum</t>
        </is>
      </c>
      <c r="G1534" s="1" t="inlineStr">
        <is>
          <t>Medium</t>
        </is>
      </c>
      <c r="H1534" s="1" t="n">
        <v>123261</v>
      </c>
      <c r="I1534" s="1" t="n">
        <v>217171</v>
      </c>
      <c r="J1534" s="9" t="n">
        <v>0.5679999999999999</v>
      </c>
      <c r="K1534" s="1" t="inlineStr">
        <is>
          <t>Yes</t>
        </is>
      </c>
      <c r="L1534" s="1" t="inlineStr">
        <is>
          <t>Yes</t>
        </is>
      </c>
      <c r="M1534" s="1" t="inlineStr">
        <is>
          <t>No</t>
        </is>
      </c>
      <c r="N1534" s="1" t="inlineStr">
        <is>
          <t>Algorithms</t>
        </is>
      </c>
      <c r="O15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34" s="11" t="inlineStr">
        <is>
          <t>To Do</t>
        </is>
      </c>
    </row>
    <row r="1535" ht="15.75" customHeight="1" s="12">
      <c r="A1535" s="1" t="n">
        <v>2176</v>
      </c>
      <c r="B1535" s="3">
        <f>HYPERLINK("https://leetcode.com/problems/count-equal-and-divisible-pairs-in-an-array/", "Count Equal and Divisible Pairs in an Array")</f>
        <v/>
      </c>
      <c r="C1535" s="1" t="n">
        <v>1043</v>
      </c>
      <c r="D1535" s="1" t="n">
        <v>69</v>
      </c>
      <c r="E1535" s="4">
        <f>IF(INDEX(C:C, ROW())+INDEX(D:D, ROW())=0, 0, INDEX(C:C, ROW())/(INDEX(C:C, ROW())+INDEX(D:D, ROW())))</f>
        <v/>
      </c>
      <c r="F1535" s="1" t="inlineStr">
        <is>
          <t>Array</t>
        </is>
      </c>
      <c r="G1535" s="1" t="inlineStr">
        <is>
          <t>Easy</t>
        </is>
      </c>
      <c r="H1535" s="1" t="n">
        <v>237025</v>
      </c>
      <c r="I1535" s="1" t="n">
        <v>282562</v>
      </c>
      <c r="J1535" s="9" t="n">
        <v>0.839</v>
      </c>
      <c r="K1535" s="1" t="inlineStr">
        <is>
          <t>Yes</t>
        </is>
      </c>
      <c r="L1535" s="1" t="inlineStr">
        <is>
          <t>Yes</t>
        </is>
      </c>
      <c r="M1535" s="1" t="inlineStr">
        <is>
          <t>No</t>
        </is>
      </c>
      <c r="N1535" s="1" t="inlineStr">
        <is>
          <t>Algorithms</t>
        </is>
      </c>
      <c r="O15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35" s="13" t="inlineStr">
        <is>
          <t>Done</t>
        </is>
      </c>
    </row>
    <row r="1536" ht="15.75" customHeight="1" s="12">
      <c r="A1536" s="1" t="n">
        <v>1941</v>
      </c>
      <c r="B1536" s="3">
        <f>HYPERLINK("https://leetcode.com/problems/check-if-all-characters-have-equal-number-of-occurrences/", "Check if All Characters Have Equal Number of Occurrences")</f>
        <v/>
      </c>
      <c r="C1536" s="1" t="n">
        <v>1041</v>
      </c>
      <c r="D1536" s="1" t="n">
        <v>29</v>
      </c>
      <c r="E1536" s="4">
        <f>IF(INDEX(C:C, ROW())+INDEX(D:D, ROW())=0, 0, INDEX(C:C, ROW())/(INDEX(C:C, ROW())+INDEX(D:D, ROW())))</f>
        <v/>
      </c>
      <c r="F1536" s="1" t="inlineStr">
        <is>
          <t>Hash Table, String, Counting</t>
        </is>
      </c>
      <c r="G1536" s="1" t="inlineStr">
        <is>
          <t>Easy</t>
        </is>
      </c>
      <c r="H1536" s="1" t="n">
        <v>178426</v>
      </c>
      <c r="I1536" s="1" t="n">
        <v>224478</v>
      </c>
      <c r="J1536" s="9" t="n">
        <v>0.795</v>
      </c>
      <c r="K1536" s="1" t="inlineStr">
        <is>
          <t>Yes</t>
        </is>
      </c>
      <c r="L1536" s="1" t="inlineStr">
        <is>
          <t>No</t>
        </is>
      </c>
      <c r="M1536" s="1" t="inlineStr">
        <is>
          <t>No</t>
        </is>
      </c>
      <c r="N1536" s="1" t="inlineStr">
        <is>
          <t>Algorithms</t>
        </is>
      </c>
      <c r="O15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36" s="13" t="inlineStr">
        <is>
          <t>Done</t>
        </is>
      </c>
    </row>
    <row r="1537" ht="15.75" customHeight="1" s="12">
      <c r="A1537" s="1" t="n">
        <v>996</v>
      </c>
      <c r="B1537" s="3">
        <f>HYPERLINK("https://leetcode.com/problems/number-of-squareful-arrays/", "Number of Squareful Arrays")</f>
        <v/>
      </c>
      <c r="C1537" s="1" t="n">
        <v>1040</v>
      </c>
      <c r="D1537" s="1" t="n">
        <v>49</v>
      </c>
      <c r="E1537" s="4">
        <f>IF(INDEX(C:C, ROW())+INDEX(D:D, ROW())=0, 0, INDEX(C:C, ROW())/(INDEX(C:C, ROW())+INDEX(D:D, ROW())))</f>
        <v/>
      </c>
      <c r="F1537" s="1" t="inlineStr">
        <is>
          <t>Array, Hash Table, Math, Dynamic Programming, Backtracking, Bit Manipulation, Bitmask</t>
        </is>
      </c>
      <c r="G1537" s="1" t="inlineStr">
        <is>
          <t>Hard</t>
        </is>
      </c>
      <c r="H1537" s="1" t="n">
        <v>50426</v>
      </c>
      <c r="I1537" s="1" t="n">
        <v>98040</v>
      </c>
      <c r="J1537" s="9" t="n">
        <v>0.514</v>
      </c>
      <c r="K1537" s="1" t="inlineStr">
        <is>
          <t>Yes</t>
        </is>
      </c>
      <c r="L1537" s="1" t="inlineStr">
        <is>
          <t>Yes</t>
        </is>
      </c>
      <c r="M1537" s="1" t="inlineStr">
        <is>
          <t>No</t>
        </is>
      </c>
      <c r="N1537" s="1" t="inlineStr">
        <is>
          <t>Algorithms</t>
        </is>
      </c>
      <c r="O15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37" s="11" t="inlineStr">
        <is>
          <t>To Do</t>
        </is>
      </c>
    </row>
    <row r="1538" ht="15.75" customHeight="1" s="12">
      <c r="A1538" s="1" t="n">
        <v>1231</v>
      </c>
      <c r="B1538" s="3">
        <f>HYPERLINK("https://leetcode.com/problems/divide-chocolate/", "Divide Chocolate")</f>
        <v/>
      </c>
      <c r="C1538" s="1" t="n">
        <v>1040</v>
      </c>
      <c r="D1538" s="1" t="n">
        <v>77</v>
      </c>
      <c r="E1538" s="4">
        <f>IF(INDEX(C:C, ROW())+INDEX(D:D, ROW())=0, 0, INDEX(C:C, ROW())/(INDEX(C:C, ROW())+INDEX(D:D, ROW())))</f>
        <v/>
      </c>
      <c r="F1538" s="1" t="inlineStr">
        <is>
          <t>Array, Binary Search</t>
        </is>
      </c>
      <c r="G1538" s="1" t="inlineStr">
        <is>
          <t>Hard</t>
        </is>
      </c>
      <c r="H1538" s="1" t="n">
        <v>70836</v>
      </c>
      <c r="I1538" s="1" t="n">
        <v>117002</v>
      </c>
      <c r="J1538" s="9" t="n">
        <v>0.605</v>
      </c>
      <c r="K1538" s="1" t="inlineStr">
        <is>
          <t>No</t>
        </is>
      </c>
      <c r="L1538" s="1" t="inlineStr">
        <is>
          <t>Yes</t>
        </is>
      </c>
      <c r="M1538" s="1" t="inlineStr">
        <is>
          <t>No</t>
        </is>
      </c>
      <c r="N1538" s="1" t="inlineStr">
        <is>
          <t>Algorithms</t>
        </is>
      </c>
      <c r="O15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38" s="11" t="inlineStr">
        <is>
          <t>To Do</t>
        </is>
      </c>
    </row>
    <row r="1539" ht="15.75" customHeight="1" s="12">
      <c r="A1539" s="1" t="n">
        <v>1882</v>
      </c>
      <c r="B1539" s="3">
        <f>HYPERLINK("https://leetcode.com/problems/process-tasks-using-servers/", "Process Tasks Using Servers")</f>
        <v/>
      </c>
      <c r="C1539" s="1" t="n">
        <v>1040</v>
      </c>
      <c r="D1539" s="1" t="n">
        <v>290</v>
      </c>
      <c r="E1539" s="4">
        <f>IF(INDEX(C:C, ROW())+INDEX(D:D, ROW())=0, 0, INDEX(C:C, ROW())/(INDEX(C:C, ROW())+INDEX(D:D, ROW())))</f>
        <v/>
      </c>
      <c r="F1539" s="1" t="inlineStr">
        <is>
          <t>Array, Heap (Priority Queue)</t>
        </is>
      </c>
      <c r="G1539" s="1" t="inlineStr">
        <is>
          <t>Medium</t>
        </is>
      </c>
      <c r="H1539" s="1" t="n">
        <v>47295</v>
      </c>
      <c r="I1539" s="1" t="n">
        <v>112778</v>
      </c>
      <c r="J1539" s="9" t="n">
        <v>0.419</v>
      </c>
      <c r="K1539" s="1" t="inlineStr">
        <is>
          <t>Yes</t>
        </is>
      </c>
      <c r="L1539" s="1" t="inlineStr">
        <is>
          <t>No</t>
        </is>
      </c>
      <c r="M1539" s="1" t="inlineStr">
        <is>
          <t>No</t>
        </is>
      </c>
      <c r="N1539" s="1" t="inlineStr">
        <is>
          <t>Algorithms</t>
        </is>
      </c>
      <c r="O15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39" s="11" t="inlineStr">
        <is>
          <t>To Do</t>
        </is>
      </c>
    </row>
    <row r="1540" ht="15.75" customHeight="1" s="12">
      <c r="A1540" s="1" t="n">
        <v>598</v>
      </c>
      <c r="B1540" s="3">
        <f>HYPERLINK("https://leetcode.com/problems/range-addition-ii/", "Range Addition II")</f>
        <v/>
      </c>
      <c r="C1540" s="1" t="n">
        <v>1039</v>
      </c>
      <c r="D1540" s="1" t="n">
        <v>986</v>
      </c>
      <c r="E1540" s="4">
        <f>IF(INDEX(C:C, ROW())+INDEX(D:D, ROW())=0, 0, INDEX(C:C, ROW())/(INDEX(C:C, ROW())+INDEX(D:D, ROW())))</f>
        <v/>
      </c>
      <c r="F1540" s="1" t="inlineStr">
        <is>
          <t>Array, Math</t>
        </is>
      </c>
      <c r="G1540" s="1" t="inlineStr">
        <is>
          <t>Easy</t>
        </is>
      </c>
      <c r="H1540" s="1" t="n">
        <v>134605</v>
      </c>
      <c r="I1540" s="1" t="n">
        <v>229478</v>
      </c>
      <c r="J1540" s="9" t="n">
        <v>0.587</v>
      </c>
      <c r="K1540" s="1" t="inlineStr">
        <is>
          <t>Yes</t>
        </is>
      </c>
      <c r="L1540" s="1" t="inlineStr">
        <is>
          <t>Yes</t>
        </is>
      </c>
      <c r="M1540" s="1" t="inlineStr">
        <is>
          <t>No</t>
        </is>
      </c>
      <c r="N1540" s="1" t="inlineStr">
        <is>
          <t>Algorithms</t>
        </is>
      </c>
      <c r="O15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40" s="13" t="inlineStr">
        <is>
          <t>Done</t>
        </is>
      </c>
    </row>
    <row r="1541" ht="15.75" customHeight="1" s="12">
      <c r="A1541" s="1" t="n">
        <v>1385</v>
      </c>
      <c r="B1541" s="3">
        <f>HYPERLINK("https://leetcode.com/problems/find-the-distance-value-between-two-arrays/", "Find the Distance Value Between Two Arrays")</f>
        <v/>
      </c>
      <c r="C1541" s="1" t="n">
        <v>1039</v>
      </c>
      <c r="D1541" s="1" t="n">
        <v>3170</v>
      </c>
      <c r="E1541" s="4">
        <f>IF(INDEX(C:C, ROW())+INDEX(D:D, ROW())=0, 0, INDEX(C:C, ROW())/(INDEX(C:C, ROW())+INDEX(D:D, ROW())))</f>
        <v/>
      </c>
      <c r="F1541" s="1" t="inlineStr">
        <is>
          <t>Array, Two Pointers, Binary Search, Sorting</t>
        </is>
      </c>
      <c r="G1541" s="1" t="inlineStr">
        <is>
          <t>Easy</t>
        </is>
      </c>
      <c r="H1541" s="1" t="n">
        <v>148890</v>
      </c>
      <c r="I1541" s="1" t="n">
        <v>207664</v>
      </c>
      <c r="J1541" s="9" t="n">
        <v>0.717</v>
      </c>
      <c r="K1541" s="1" t="inlineStr">
        <is>
          <t>Yes</t>
        </is>
      </c>
      <c r="L1541" s="1" t="inlineStr">
        <is>
          <t>No</t>
        </is>
      </c>
      <c r="M1541" s="1" t="inlineStr">
        <is>
          <t>No</t>
        </is>
      </c>
      <c r="N1541" s="1" t="inlineStr">
        <is>
          <t>Algorithms</t>
        </is>
      </c>
      <c r="O15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41" s="13" t="inlineStr">
        <is>
          <t>Done</t>
        </is>
      </c>
    </row>
    <row r="1542" ht="15.75" customHeight="1" s="12">
      <c r="A1542" s="1" t="n">
        <v>1553</v>
      </c>
      <c r="B1542" s="3">
        <f>HYPERLINK("https://leetcode.com/problems/minimum-number-of-days-to-eat-n-oranges/", "Minimum Number of Days to Eat N Oranges")</f>
        <v/>
      </c>
      <c r="C1542" s="1" t="n">
        <v>1035</v>
      </c>
      <c r="D1542" s="1" t="n">
        <v>64</v>
      </c>
      <c r="E1542" s="4">
        <f>IF(INDEX(C:C, ROW())+INDEX(D:D, ROW())=0, 0, INDEX(C:C, ROW())/(INDEX(C:C, ROW())+INDEX(D:D, ROW())))</f>
        <v/>
      </c>
      <c r="F1542" s="1" t="inlineStr">
        <is>
          <t>Dynamic Programming, Memoization</t>
        </is>
      </c>
      <c r="G1542" s="1" t="inlineStr">
        <is>
          <t>Hard</t>
        </is>
      </c>
      <c r="H1542" s="1" t="n">
        <v>44404</v>
      </c>
      <c r="I1542" s="1" t="n">
        <v>122661</v>
      </c>
      <c r="J1542" s="9" t="n">
        <v>0.362</v>
      </c>
      <c r="K1542" s="1" t="inlineStr">
        <is>
          <t>Yes</t>
        </is>
      </c>
      <c r="L1542" s="1" t="inlineStr">
        <is>
          <t>No</t>
        </is>
      </c>
      <c r="M1542" s="1" t="inlineStr">
        <is>
          <t>No</t>
        </is>
      </c>
      <c r="N1542" s="1" t="inlineStr">
        <is>
          <t>Algorithms</t>
        </is>
      </c>
      <c r="O15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42" s="11" t="inlineStr">
        <is>
          <t>To Do</t>
        </is>
      </c>
    </row>
    <row r="1543" ht="15.75" customHeight="1" s="12">
      <c r="A1543" s="1" t="n">
        <v>824</v>
      </c>
      <c r="B1543" s="3">
        <f>HYPERLINK("https://leetcode.com/problems/goat-latin/", "Goat Latin")</f>
        <v/>
      </c>
      <c r="C1543" s="1" t="n">
        <v>1034</v>
      </c>
      <c r="D1543" s="1" t="n">
        <v>1303</v>
      </c>
      <c r="E1543" s="4">
        <f>IF(INDEX(C:C, ROW())+INDEX(D:D, ROW())=0, 0, INDEX(C:C, ROW())/(INDEX(C:C, ROW())+INDEX(D:D, ROW())))</f>
        <v/>
      </c>
      <c r="F1543" s="1" t="inlineStr">
        <is>
          <t>String</t>
        </is>
      </c>
      <c r="G1543" s="1" t="inlineStr">
        <is>
          <t>Easy</t>
        </is>
      </c>
      <c r="H1543" s="1" t="n">
        <v>246560</v>
      </c>
      <c r="I1543" s="1" t="n">
        <v>352200</v>
      </c>
      <c r="J1543" s="9" t="n">
        <v>0.7</v>
      </c>
      <c r="K1543" s="1" t="inlineStr">
        <is>
          <t>Yes</t>
        </is>
      </c>
      <c r="L1543" s="1" t="inlineStr">
        <is>
          <t>Yes</t>
        </is>
      </c>
      <c r="M1543" s="1" t="inlineStr">
        <is>
          <t>No</t>
        </is>
      </c>
      <c r="N1543" s="1" t="inlineStr">
        <is>
          <t>Algorithms</t>
        </is>
      </c>
      <c r="O15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43" s="13" t="inlineStr">
        <is>
          <t>Done</t>
        </is>
      </c>
    </row>
    <row r="1544" ht="15.75" customHeight="1" s="12">
      <c r="A1544" s="1" t="n">
        <v>3356</v>
      </c>
      <c r="B1544" s="3">
        <f>HYPERLINK("https://leetcode.com/problems/zero-array-transformation-ii/", "Zero Array Transformation II")</f>
        <v/>
      </c>
      <c r="C1544" s="1" t="n">
        <v>1034</v>
      </c>
      <c r="D1544" s="1" t="n">
        <v>86</v>
      </c>
      <c r="E1544" s="4">
        <f>IF(INDEX(C:C, ROW())+INDEX(D:D, ROW())=0, 0, INDEX(C:C, ROW())/(INDEX(C:C, ROW())+INDEX(D:D, ROW())))</f>
        <v/>
      </c>
      <c r="F1544" s="1" t="inlineStr">
        <is>
          <t>Array, Two Pointers, Binary Search, Prefix Sum</t>
        </is>
      </c>
      <c r="G1544" s="1" t="inlineStr">
        <is>
          <t>Medium</t>
        </is>
      </c>
      <c r="H1544" s="1" t="n">
        <v>133824</v>
      </c>
      <c r="I1544" s="1" t="n">
        <v>307022</v>
      </c>
      <c r="J1544" s="9" t="n">
        <v>0.436</v>
      </c>
      <c r="K1544" s="1" t="inlineStr">
        <is>
          <t>Yes</t>
        </is>
      </c>
      <c r="L1544" s="1" t="inlineStr">
        <is>
          <t>Yes</t>
        </is>
      </c>
      <c r="M1544" s="1" t="inlineStr">
        <is>
          <t>No</t>
        </is>
      </c>
      <c r="N1544" s="1" t="inlineStr">
        <is>
          <t>Algorithms</t>
        </is>
      </c>
      <c r="O15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44" s="11" t="inlineStr">
        <is>
          <t>To Do</t>
        </is>
      </c>
    </row>
    <row r="1545" ht="15.75" customHeight="1" s="12">
      <c r="A1545" s="1" t="n">
        <v>1103</v>
      </c>
      <c r="B1545" s="3">
        <f>HYPERLINK("https://leetcode.com/problems/distribute-candies-to-people/", "Distribute Candies to People")</f>
        <v/>
      </c>
      <c r="C1545" s="1" t="n">
        <v>1033</v>
      </c>
      <c r="D1545" s="1" t="n">
        <v>203</v>
      </c>
      <c r="E1545" s="4">
        <f>IF(INDEX(C:C, ROW())+INDEX(D:D, ROW())=0, 0, INDEX(C:C, ROW())/(INDEX(C:C, ROW())+INDEX(D:D, ROW())))</f>
        <v/>
      </c>
      <c r="F1545" s="1" t="inlineStr">
        <is>
          <t>Math, Simulation</t>
        </is>
      </c>
      <c r="G1545" s="1" t="inlineStr">
        <is>
          <t>Easy</t>
        </is>
      </c>
      <c r="H1545" s="1" t="n">
        <v>111090</v>
      </c>
      <c r="I1545" s="1" t="n">
        <v>164264</v>
      </c>
      <c r="J1545" s="9" t="n">
        <v>0.676</v>
      </c>
      <c r="K1545" s="1" t="inlineStr">
        <is>
          <t>Yes</t>
        </is>
      </c>
      <c r="L1545" s="1" t="inlineStr">
        <is>
          <t>Yes</t>
        </is>
      </c>
      <c r="M1545" s="1" t="inlineStr">
        <is>
          <t>No</t>
        </is>
      </c>
      <c r="N1545" s="1" t="inlineStr">
        <is>
          <t>Algorithms</t>
        </is>
      </c>
      <c r="O15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45" s="13" t="inlineStr">
        <is>
          <t>Done</t>
        </is>
      </c>
    </row>
    <row r="1546" ht="15.75" customHeight="1" s="12">
      <c r="A1546" s="1" t="n">
        <v>2103</v>
      </c>
      <c r="B1546" s="3">
        <f>HYPERLINK("https://leetcode.com/problems/rings-and-rods/", "Rings and Rods")</f>
        <v/>
      </c>
      <c r="C1546" s="1" t="n">
        <v>1033</v>
      </c>
      <c r="D1546" s="1" t="n">
        <v>22</v>
      </c>
      <c r="E1546" s="4">
        <f>IF(INDEX(C:C, ROW())+INDEX(D:D, ROW())=0, 0, INDEX(C:C, ROW())/(INDEX(C:C, ROW())+INDEX(D:D, ROW())))</f>
        <v/>
      </c>
      <c r="F1546" s="1" t="inlineStr">
        <is>
          <t>Hash Table, String</t>
        </is>
      </c>
      <c r="G1546" s="1" t="inlineStr">
        <is>
          <t>Easy</t>
        </is>
      </c>
      <c r="H1546" s="1" t="n">
        <v>95659</v>
      </c>
      <c r="I1546" s="1" t="n">
        <v>117430</v>
      </c>
      <c r="J1546" s="9" t="n">
        <v>0.8149999999999999</v>
      </c>
      <c r="K1546" s="1" t="inlineStr">
        <is>
          <t>Yes</t>
        </is>
      </c>
      <c r="L1546" s="1" t="inlineStr">
        <is>
          <t>No</t>
        </is>
      </c>
      <c r="M1546" s="1" t="inlineStr">
        <is>
          <t>No</t>
        </is>
      </c>
      <c r="N1546" s="1" t="inlineStr">
        <is>
          <t>Algorithms</t>
        </is>
      </c>
      <c r="O15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46" s="13" t="inlineStr">
        <is>
          <t>Done</t>
        </is>
      </c>
    </row>
    <row r="1547" ht="15.75" customHeight="1" s="12">
      <c r="A1547" s="1" t="n">
        <v>2965</v>
      </c>
      <c r="B1547" s="3">
        <f>HYPERLINK("https://leetcode.com/problems/find-missing-and-repeated-values/", "Find Missing and Repeated Values")</f>
        <v/>
      </c>
      <c r="C1547" s="1" t="n">
        <v>1033</v>
      </c>
      <c r="D1547" s="1" t="n">
        <v>50</v>
      </c>
      <c r="E1547" s="4">
        <f>IF(INDEX(C:C, ROW())+INDEX(D:D, ROW())=0, 0, INDEX(C:C, ROW())/(INDEX(C:C, ROW())+INDEX(D:D, ROW())))</f>
        <v/>
      </c>
      <c r="F1547" s="1" t="inlineStr">
        <is>
          <t>Array, Hash Table, Math, Matrix</t>
        </is>
      </c>
      <c r="G1547" s="1" t="inlineStr">
        <is>
          <t>Easy</t>
        </is>
      </c>
      <c r="H1547" s="1" t="n">
        <v>339340</v>
      </c>
      <c r="I1547" s="1" t="n">
        <v>407902</v>
      </c>
      <c r="J1547" s="9" t="n">
        <v>0.832</v>
      </c>
      <c r="K1547" s="1" t="inlineStr">
        <is>
          <t>Yes</t>
        </is>
      </c>
      <c r="L1547" s="1" t="inlineStr">
        <is>
          <t>Yes</t>
        </is>
      </c>
      <c r="M1547" s="1" t="inlineStr">
        <is>
          <t>No</t>
        </is>
      </c>
      <c r="N1547" s="1" t="inlineStr">
        <is>
          <t>Algorithms</t>
        </is>
      </c>
      <c r="O15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47" s="13" t="inlineStr">
        <is>
          <t>Done</t>
        </is>
      </c>
    </row>
    <row r="1548" ht="15.75" customHeight="1" s="12">
      <c r="A1548" s="1" t="n">
        <v>762</v>
      </c>
      <c r="B1548" s="3">
        <f>HYPERLINK("https://leetcode.com/problems/prime-number-of-set-bits-in-binary-representation/", "Prime Number of Set Bits in Binary Representation")</f>
        <v/>
      </c>
      <c r="C1548" s="1" t="n">
        <v>1032</v>
      </c>
      <c r="D1548" s="1" t="n">
        <v>526</v>
      </c>
      <c r="E1548" s="4">
        <f>IF(INDEX(C:C, ROW())+INDEX(D:D, ROW())=0, 0, INDEX(C:C, ROW())/(INDEX(C:C, ROW())+INDEX(D:D, ROW())))</f>
        <v/>
      </c>
      <c r="F1548" s="1" t="inlineStr">
        <is>
          <t>Math, Bit Manipulation</t>
        </is>
      </c>
      <c r="G1548" s="1" t="inlineStr">
        <is>
          <t>Easy</t>
        </is>
      </c>
      <c r="H1548" s="1" t="n">
        <v>258292</v>
      </c>
      <c r="I1548" s="1" t="n">
        <v>327856</v>
      </c>
      <c r="J1548" s="9" t="n">
        <v>0.788</v>
      </c>
      <c r="K1548" s="1" t="inlineStr">
        <is>
          <t>Yes</t>
        </is>
      </c>
      <c r="L1548" s="1" t="inlineStr">
        <is>
          <t>Yes</t>
        </is>
      </c>
      <c r="M1548" s="1" t="inlineStr">
        <is>
          <t>No</t>
        </is>
      </c>
      <c r="N1548" s="1" t="inlineStr">
        <is>
          <t>Algorithms</t>
        </is>
      </c>
      <c r="O15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48" s="13" t="inlineStr">
        <is>
          <t>Done</t>
        </is>
      </c>
    </row>
    <row r="1549" ht="15.75" customHeight="1" s="12">
      <c r="A1549" s="1" t="n">
        <v>1536</v>
      </c>
      <c r="B1549" s="3">
        <f>HYPERLINK("https://leetcode.com/problems/minimum-swaps-to-arrange-a-binary-grid/", "Minimum Swaps to Arrange a Binary Grid")</f>
        <v/>
      </c>
      <c r="C1549" s="1" t="n">
        <v>1027</v>
      </c>
      <c r="D1549" s="1" t="n">
        <v>107</v>
      </c>
      <c r="E1549" s="4">
        <f>IF(INDEX(C:C, ROW())+INDEX(D:D, ROW())=0, 0, INDEX(C:C, ROW())/(INDEX(C:C, ROW())+INDEX(D:D, ROW())))</f>
        <v/>
      </c>
      <c r="F1549" s="1" t="inlineStr">
        <is>
          <t>Array, Greedy, Matrix</t>
        </is>
      </c>
      <c r="G1549" s="1" t="inlineStr">
        <is>
          <t>Medium</t>
        </is>
      </c>
      <c r="H1549" s="1" t="n">
        <v>104808</v>
      </c>
      <c r="I1549" s="1" t="n">
        <v>149458</v>
      </c>
      <c r="J1549" s="9" t="n">
        <v>0.701</v>
      </c>
      <c r="K1549" s="1" t="inlineStr">
        <is>
          <t>Yes</t>
        </is>
      </c>
      <c r="L1549" s="1" t="inlineStr">
        <is>
          <t>Yes</t>
        </is>
      </c>
      <c r="M1549" s="1" t="inlineStr">
        <is>
          <t>No</t>
        </is>
      </c>
      <c r="N1549" s="1" t="inlineStr">
        <is>
          <t>Algorithms</t>
        </is>
      </c>
      <c r="O15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49" s="11" t="inlineStr">
        <is>
          <t>To Do</t>
        </is>
      </c>
    </row>
    <row r="1550" ht="15.75" customHeight="1" s="12">
      <c r="A1550" s="1" t="n">
        <v>2179</v>
      </c>
      <c r="B1550" s="3">
        <f>HYPERLINK("https://leetcode.com/problems/count-good-triplets-in-an-array/", "Count Good Triplets in an Array")</f>
        <v/>
      </c>
      <c r="C1550" s="1" t="n">
        <v>1021</v>
      </c>
      <c r="D1550" s="1" t="n">
        <v>114</v>
      </c>
      <c r="E1550" s="4">
        <f>IF(INDEX(C:C, ROW())+INDEX(D:D, ROW())=0, 0, INDEX(C:C, ROW())/(INDEX(C:C, ROW())+INDEX(D:D, ROW())))</f>
        <v/>
      </c>
      <c r="F1550" s="1" t="inlineStr">
        <is>
          <t>Array, Binary Search, Divide and Conquer, Binary Indexed Tree, Segment Tree, Merge Sort, Ordered Set</t>
        </is>
      </c>
      <c r="G1550" s="1" t="inlineStr">
        <is>
          <t>Hard</t>
        </is>
      </c>
      <c r="H1550" s="1" t="n">
        <v>78002</v>
      </c>
      <c r="I1550" s="1" t="n">
        <v>119047</v>
      </c>
      <c r="J1550" s="9" t="n">
        <v>0.655</v>
      </c>
      <c r="K1550" s="1" t="inlineStr">
        <is>
          <t>Yes</t>
        </is>
      </c>
      <c r="L1550" s="1" t="inlineStr">
        <is>
          <t>Yes</t>
        </is>
      </c>
      <c r="M1550" s="1" t="inlineStr">
        <is>
          <t>No</t>
        </is>
      </c>
      <c r="N1550" s="1" t="inlineStr">
        <is>
          <t>Algorithms</t>
        </is>
      </c>
      <c r="O15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50" s="11" t="inlineStr">
        <is>
          <t>To Do</t>
        </is>
      </c>
    </row>
    <row r="1551" ht="15.75" customHeight="1" s="12">
      <c r="A1551" s="1" t="n">
        <v>913</v>
      </c>
      <c r="B1551" s="3">
        <f>HYPERLINK("https://leetcode.com/problems/cat-and-mouse/", "Cat and Mouse")</f>
        <v/>
      </c>
      <c r="C1551" s="1" t="n">
        <v>1017</v>
      </c>
      <c r="D1551" s="1" t="n">
        <v>181</v>
      </c>
      <c r="E1551" s="4">
        <f>IF(INDEX(C:C, ROW())+INDEX(D:D, ROW())=0, 0, INDEX(C:C, ROW())/(INDEX(C:C, ROW())+INDEX(D:D, ROW())))</f>
        <v/>
      </c>
      <c r="F1551" s="1" t="inlineStr">
        <is>
          <t>Math, Dynamic Programming, Graph Theory, Topological Sort, Memoization, Game Theory</t>
        </is>
      </c>
      <c r="G1551" s="1" t="inlineStr">
        <is>
          <t>Hard</t>
        </is>
      </c>
      <c r="H1551" s="1" t="n">
        <v>27693</v>
      </c>
      <c r="I1551" s="1" t="n">
        <v>78560</v>
      </c>
      <c r="J1551" s="9" t="n">
        <v>0.353</v>
      </c>
      <c r="K1551" s="1" t="inlineStr">
        <is>
          <t>Yes</t>
        </is>
      </c>
      <c r="L1551" s="1" t="inlineStr">
        <is>
          <t>Yes</t>
        </is>
      </c>
      <c r="M1551" s="1" t="inlineStr">
        <is>
          <t>No</t>
        </is>
      </c>
      <c r="N1551" s="1" t="inlineStr">
        <is>
          <t>Algorithms</t>
        </is>
      </c>
      <c r="O15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51" s="11" t="inlineStr">
        <is>
          <t>To Do</t>
        </is>
      </c>
    </row>
    <row r="1552" ht="15.75" customHeight="1" s="12">
      <c r="A1552" s="1" t="n">
        <v>2013</v>
      </c>
      <c r="B1552" s="3">
        <f>HYPERLINK("https://leetcode.com/problems/detect-squares/", "Detect Squares")</f>
        <v/>
      </c>
      <c r="C1552" s="1" t="n">
        <v>1016</v>
      </c>
      <c r="D1552" s="1" t="n">
        <v>259</v>
      </c>
      <c r="E1552" s="4">
        <f>IF(INDEX(C:C, ROW())+INDEX(D:D, ROW())=0, 0, INDEX(C:C, ROW())/(INDEX(C:C, ROW())+INDEX(D:D, ROW())))</f>
        <v/>
      </c>
      <c r="F1552" s="1" t="inlineStr">
        <is>
          <t>Array, Hash Table, Design, Counting, Data Stream</t>
        </is>
      </c>
      <c r="G1552" s="1" t="inlineStr">
        <is>
          <t>Medium</t>
        </is>
      </c>
      <c r="H1552" s="1" t="n">
        <v>109094</v>
      </c>
      <c r="I1552" s="1" t="n">
        <v>207643</v>
      </c>
      <c r="J1552" s="9" t="n">
        <v>0.525</v>
      </c>
      <c r="K1552" s="1" t="inlineStr">
        <is>
          <t>Yes</t>
        </is>
      </c>
      <c r="L1552" s="1" t="inlineStr">
        <is>
          <t>No</t>
        </is>
      </c>
      <c r="M1552" s="1" t="inlineStr">
        <is>
          <t>No</t>
        </is>
      </c>
      <c r="N1552" s="1" t="inlineStr">
        <is>
          <t>Algorithms</t>
        </is>
      </c>
      <c r="O15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52" s="11" t="inlineStr">
        <is>
          <t>To Do</t>
        </is>
      </c>
    </row>
    <row r="1553" ht="15.75" customHeight="1" s="12">
      <c r="A1553" s="1" t="n">
        <v>2696</v>
      </c>
      <c r="B1553" s="3">
        <f>HYPERLINK("https://leetcode.com/problems/minimum-string-length-after-removing-substrings/", "Minimum String Length After Removing Substrings")</f>
        <v/>
      </c>
      <c r="C1553" s="1" t="n">
        <v>1016</v>
      </c>
      <c r="D1553" s="1" t="n">
        <v>29</v>
      </c>
      <c r="E1553" s="4">
        <f>IF(INDEX(C:C, ROW())+INDEX(D:D, ROW())=0, 0, INDEX(C:C, ROW())/(INDEX(C:C, ROW())+INDEX(D:D, ROW())))</f>
        <v/>
      </c>
      <c r="F1553" s="1" t="inlineStr">
        <is>
          <t>String, Stack, Simulation</t>
        </is>
      </c>
      <c r="G1553" s="1" t="inlineStr">
        <is>
          <t>Easy</t>
        </is>
      </c>
      <c r="H1553" s="1" t="n">
        <v>250103</v>
      </c>
      <c r="I1553" s="1" t="n">
        <v>324036</v>
      </c>
      <c r="J1553" s="9" t="n">
        <v>0.772</v>
      </c>
      <c r="K1553" s="1" t="inlineStr">
        <is>
          <t>Yes</t>
        </is>
      </c>
      <c r="L1553" s="1" t="inlineStr">
        <is>
          <t>Yes</t>
        </is>
      </c>
      <c r="M1553" s="1" t="inlineStr">
        <is>
          <t>No</t>
        </is>
      </c>
      <c r="N1553" s="1" t="inlineStr">
        <is>
          <t>Algorithms</t>
        </is>
      </c>
      <c r="O15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53" s="13" t="inlineStr">
        <is>
          <t>Done</t>
        </is>
      </c>
    </row>
    <row r="1554" ht="15.75" customHeight="1" s="12">
      <c r="A1554" s="1" t="n">
        <v>353</v>
      </c>
      <c r="B1554" s="3">
        <f>HYPERLINK("https://leetcode.com/problems/design-snake-game/", "Design Snake Game")</f>
        <v/>
      </c>
      <c r="C1554" s="1" t="n">
        <v>1015</v>
      </c>
      <c r="D1554" s="1" t="n">
        <v>353</v>
      </c>
      <c r="E1554" s="4">
        <f>IF(INDEX(C:C, ROW())+INDEX(D:D, ROW())=0, 0, INDEX(C:C, ROW())/(INDEX(C:C, ROW())+INDEX(D:D, ROW())))</f>
        <v/>
      </c>
      <c r="F1554" s="1" t="inlineStr">
        <is>
          <t>Array, Hash Table, Design, Queue, Simulation</t>
        </is>
      </c>
      <c r="G1554" s="1" t="inlineStr">
        <is>
          <t>Medium</t>
        </is>
      </c>
      <c r="H1554" s="1" t="n">
        <v>106196</v>
      </c>
      <c r="I1554" s="1" t="n">
        <v>265319</v>
      </c>
      <c r="J1554" s="9" t="n">
        <v>0.4</v>
      </c>
      <c r="K1554" s="1" t="inlineStr">
        <is>
          <t>No</t>
        </is>
      </c>
      <c r="L1554" s="1" t="inlineStr">
        <is>
          <t>Yes</t>
        </is>
      </c>
      <c r="M1554" s="1" t="inlineStr">
        <is>
          <t>No</t>
        </is>
      </c>
      <c r="N1554" s="1" t="inlineStr">
        <is>
          <t>Algorithms</t>
        </is>
      </c>
      <c r="O15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54" s="11" t="inlineStr">
        <is>
          <t>To Do</t>
        </is>
      </c>
    </row>
    <row r="1555" ht="15.75" customHeight="1" s="12">
      <c r="A1555" s="1" t="n">
        <v>2002</v>
      </c>
      <c r="B1555" s="3">
        <f>HYPERLINK("https://leetcode.com/problems/maximum-product-of-the-length-of-two-palindromic-subsequences/", "Maximum Product of the Length of Two Palindromic Subsequences")</f>
        <v/>
      </c>
      <c r="C1555" s="1" t="n">
        <v>1015</v>
      </c>
      <c r="D1555" s="1" t="n">
        <v>91</v>
      </c>
      <c r="E1555" s="4">
        <f>IF(INDEX(C:C, ROW())+INDEX(D:D, ROW())=0, 0, INDEX(C:C, ROW())/(INDEX(C:C, ROW())+INDEX(D:D, ROW())))</f>
        <v/>
      </c>
      <c r="F1555" s="1" t="inlineStr">
        <is>
          <t>String, Dynamic Programming, Backtracking, Bit Manipulation, Bitmask</t>
        </is>
      </c>
      <c r="G1555" s="1" t="inlineStr">
        <is>
          <t>Medium</t>
        </is>
      </c>
      <c r="H1555" s="1" t="n">
        <v>39549</v>
      </c>
      <c r="I1555" s="1" t="n">
        <v>63303</v>
      </c>
      <c r="J1555" s="9" t="n">
        <v>0.625</v>
      </c>
      <c r="K1555" s="1" t="inlineStr">
        <is>
          <t>Yes</t>
        </is>
      </c>
      <c r="L1555" s="1" t="inlineStr">
        <is>
          <t>No</t>
        </is>
      </c>
      <c r="M1555" s="1" t="inlineStr">
        <is>
          <t>No</t>
        </is>
      </c>
      <c r="N1555" s="1" t="inlineStr">
        <is>
          <t>Algorithms</t>
        </is>
      </c>
      <c r="O15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55" s="11" t="inlineStr">
        <is>
          <t>To Do</t>
        </is>
      </c>
    </row>
    <row r="1556" ht="15.75" customHeight="1" s="12">
      <c r="A1556" s="1" t="n">
        <v>1341</v>
      </c>
      <c r="B1556" s="3">
        <f>HYPERLINK("https://leetcode.com/problems/movie-rating/", "Movie Rating")</f>
        <v/>
      </c>
      <c r="C1556" s="1" t="n">
        <v>1014</v>
      </c>
      <c r="D1556" s="1" t="n">
        <v>242</v>
      </c>
      <c r="E1556" s="4">
        <f>IF(INDEX(C:C, ROW())+INDEX(D:D, ROW())=0, 0, INDEX(C:C, ROW())/(INDEX(C:C, ROW())+INDEX(D:D, ROW())))</f>
        <v/>
      </c>
      <c r="F1556" s="1" t="inlineStr">
        <is>
          <t>Database</t>
        </is>
      </c>
      <c r="G1556" s="1" t="inlineStr">
        <is>
          <t>Medium</t>
        </is>
      </c>
      <c r="H1556" s="1" t="n">
        <v>296993</v>
      </c>
      <c r="I1556" s="1" t="n">
        <v>685724</v>
      </c>
      <c r="J1556" s="9" t="n">
        <v>0.433</v>
      </c>
      <c r="K1556" s="1" t="inlineStr">
        <is>
          <t>Yes</t>
        </is>
      </c>
      <c r="L1556" s="1" t="inlineStr">
        <is>
          <t>No</t>
        </is>
      </c>
      <c r="M1556" s="1" t="inlineStr">
        <is>
          <t>No</t>
        </is>
      </c>
      <c r="N1556" s="1" t="inlineStr">
        <is>
          <t>Database</t>
        </is>
      </c>
      <c r="O15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56" s="11" t="inlineStr">
        <is>
          <t>To Do</t>
        </is>
      </c>
    </row>
    <row r="1557" ht="15.75" customHeight="1" s="12">
      <c r="A1557" s="1" t="n">
        <v>1755</v>
      </c>
      <c r="B1557" s="3">
        <f>HYPERLINK("https://leetcode.com/problems/closest-subsequence-sum/", "Closest Subsequence Sum")</f>
        <v/>
      </c>
      <c r="C1557" s="1" t="n">
        <v>1013</v>
      </c>
      <c r="D1557" s="1" t="n">
        <v>74</v>
      </c>
      <c r="E1557" s="4">
        <f>IF(INDEX(C:C, ROW())+INDEX(D:D, ROW())=0, 0, INDEX(C:C, ROW())/(INDEX(C:C, ROW())+INDEX(D:D, ROW())))</f>
        <v/>
      </c>
      <c r="F1557" s="1" t="inlineStr">
        <is>
          <t>Array, Two Pointers, Dynamic Programming, Bit Manipulation, Sorting, Bitmask</t>
        </is>
      </c>
      <c r="G1557" s="1" t="inlineStr">
        <is>
          <t>Hard</t>
        </is>
      </c>
      <c r="H1557" s="1" t="n">
        <v>28385</v>
      </c>
      <c r="I1557" s="1" t="n">
        <v>65064</v>
      </c>
      <c r="J1557" s="9" t="n">
        <v>0.436</v>
      </c>
      <c r="K1557" s="1" t="inlineStr">
        <is>
          <t>Yes</t>
        </is>
      </c>
      <c r="L1557" s="1" t="inlineStr">
        <is>
          <t>No</t>
        </is>
      </c>
      <c r="M1557" s="1" t="inlineStr">
        <is>
          <t>No</t>
        </is>
      </c>
      <c r="N1557" s="1" t="inlineStr">
        <is>
          <t>Algorithms</t>
        </is>
      </c>
      <c r="O15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57" s="11" t="inlineStr">
        <is>
          <t>To Do</t>
        </is>
      </c>
    </row>
    <row r="1558" ht="15.75" customHeight="1" s="12">
      <c r="A1558" s="1" t="n">
        <v>1284</v>
      </c>
      <c r="B1558" s="3">
        <f>HYPERLINK("https://leetcode.com/problems/minimum-number-of-flips-to-convert-binary-matrix-to-zero-matrix/", "Minimum Number of Flips to Convert Binary Matrix to Zero Matrix")</f>
        <v/>
      </c>
      <c r="C1558" s="1" t="n">
        <v>1010</v>
      </c>
      <c r="D1558" s="1" t="n">
        <v>104</v>
      </c>
      <c r="E1558" s="4">
        <f>IF(INDEX(C:C, ROW())+INDEX(D:D, ROW())=0, 0, INDEX(C:C, ROW())/(INDEX(C:C, ROW())+INDEX(D:D, ROW())))</f>
        <v/>
      </c>
      <c r="F1558" s="1" t="inlineStr">
        <is>
          <t>Array, Hash Table, Bit Manipulation, Breadth-First Search, Matrix</t>
        </is>
      </c>
      <c r="G1558" s="1" t="inlineStr">
        <is>
          <t>Hard</t>
        </is>
      </c>
      <c r="H1558" s="1" t="n">
        <v>39593</v>
      </c>
      <c r="I1558" s="1" t="n">
        <v>54597</v>
      </c>
      <c r="J1558" s="9" t="n">
        <v>0.725</v>
      </c>
      <c r="K1558" s="1" t="inlineStr">
        <is>
          <t>Yes</t>
        </is>
      </c>
      <c r="L1558" s="1" t="inlineStr">
        <is>
          <t>Yes</t>
        </is>
      </c>
      <c r="M1558" s="1" t="inlineStr">
        <is>
          <t>No</t>
        </is>
      </c>
      <c r="N1558" s="1" t="inlineStr">
        <is>
          <t>Algorithms</t>
        </is>
      </c>
      <c r="O15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58" s="11" t="inlineStr">
        <is>
          <t>To Do</t>
        </is>
      </c>
    </row>
    <row r="1559" ht="15.75" customHeight="1" s="12">
      <c r="A1559" s="1" t="n">
        <v>2501</v>
      </c>
      <c r="B1559" s="3">
        <f>HYPERLINK("https://leetcode.com/problems/longest-square-streak-in-an-array/", "Longest Square Streak in an Array")</f>
        <v/>
      </c>
      <c r="C1559" s="1" t="n">
        <v>1010</v>
      </c>
      <c r="D1559" s="1" t="n">
        <v>34</v>
      </c>
      <c r="E1559" s="4">
        <f>IF(INDEX(C:C, ROW())+INDEX(D:D, ROW())=0, 0, INDEX(C:C, ROW())/(INDEX(C:C, ROW())+INDEX(D:D, ROW())))</f>
        <v/>
      </c>
      <c r="F1559" s="1" t="inlineStr">
        <is>
          <t>Array, Hash Table, Binary Search, Dynamic Programming, Sorting</t>
        </is>
      </c>
      <c r="G1559" s="1" t="inlineStr">
        <is>
          <t>Medium</t>
        </is>
      </c>
      <c r="H1559" s="1" t="n">
        <v>156236</v>
      </c>
      <c r="I1559" s="1" t="n">
        <v>294234</v>
      </c>
      <c r="J1559" s="9" t="n">
        <v>0.531</v>
      </c>
      <c r="K1559" s="1" t="inlineStr">
        <is>
          <t>Yes</t>
        </is>
      </c>
      <c r="L1559" s="1" t="inlineStr">
        <is>
          <t>Yes</t>
        </is>
      </c>
      <c r="M1559" s="1" t="inlineStr">
        <is>
          <t>No</t>
        </is>
      </c>
      <c r="N1559" s="1" t="inlineStr">
        <is>
          <t>Algorithms</t>
        </is>
      </c>
      <c r="O15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59" s="11" t="inlineStr">
        <is>
          <t>To Do</t>
        </is>
      </c>
    </row>
    <row r="1560" ht="15.75" customHeight="1" s="12">
      <c r="A1560" s="1" t="n">
        <v>2100</v>
      </c>
      <c r="B1560" s="3">
        <f>HYPERLINK("https://leetcode.com/problems/find-good-days-to-rob-the-bank/", "Find Good Days to Rob the Bank")</f>
        <v/>
      </c>
      <c r="C1560" s="1" t="n">
        <v>1008</v>
      </c>
      <c r="D1560" s="1" t="n">
        <v>54</v>
      </c>
      <c r="E1560" s="4">
        <f>IF(INDEX(C:C, ROW())+INDEX(D:D, ROW())=0, 0, INDEX(C:C, ROW())/(INDEX(C:C, ROW())+INDEX(D:D, ROW())))</f>
        <v/>
      </c>
      <c r="F1560" s="1" t="inlineStr">
        <is>
          <t>Array, Dynamic Programming, Prefix Sum</t>
        </is>
      </c>
      <c r="G1560" s="1" t="inlineStr">
        <is>
          <t>Medium</t>
        </is>
      </c>
      <c r="H1560" s="1" t="n">
        <v>44823</v>
      </c>
      <c r="I1560" s="1" t="n">
        <v>86801</v>
      </c>
      <c r="J1560" s="9" t="n">
        <v>0.516</v>
      </c>
      <c r="K1560" s="1" t="inlineStr">
        <is>
          <t>Yes</t>
        </is>
      </c>
      <c r="L1560" s="1" t="inlineStr">
        <is>
          <t>No</t>
        </is>
      </c>
      <c r="M1560" s="1" t="inlineStr">
        <is>
          <t>No</t>
        </is>
      </c>
      <c r="N1560" s="1" t="inlineStr">
        <is>
          <t>Algorithms</t>
        </is>
      </c>
      <c r="O15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60" s="11" t="inlineStr">
        <is>
          <t>To Do</t>
        </is>
      </c>
    </row>
    <row r="1561" ht="15.75" customHeight="1" s="12">
      <c r="A1561" s="1" t="n">
        <v>1222</v>
      </c>
      <c r="B1561" s="3">
        <f>HYPERLINK("https://leetcode.com/problems/queens-that-can-attack-the-king/", "Queens That Can Attack the King")</f>
        <v/>
      </c>
      <c r="C1561" s="1" t="n">
        <v>1006</v>
      </c>
      <c r="D1561" s="1" t="n">
        <v>154</v>
      </c>
      <c r="E1561" s="4">
        <f>IF(INDEX(C:C, ROW())+INDEX(D:D, ROW())=0, 0, INDEX(C:C, ROW())/(INDEX(C:C, ROW())+INDEX(D:D, ROW())))</f>
        <v/>
      </c>
      <c r="F1561" s="1" t="inlineStr">
        <is>
          <t>Array, Matrix, Simulation</t>
        </is>
      </c>
      <c r="G1561" s="1" t="inlineStr">
        <is>
          <t>Medium</t>
        </is>
      </c>
      <c r="H1561" s="1" t="n">
        <v>51527</v>
      </c>
      <c r="I1561" s="1" t="n">
        <v>70926</v>
      </c>
      <c r="J1561" s="9" t="n">
        <v>0.726</v>
      </c>
      <c r="K1561" s="1" t="inlineStr">
        <is>
          <t>Yes</t>
        </is>
      </c>
      <c r="L1561" s="1" t="inlineStr">
        <is>
          <t>No</t>
        </is>
      </c>
      <c r="M1561" s="1" t="inlineStr">
        <is>
          <t>No</t>
        </is>
      </c>
      <c r="N1561" s="1" t="inlineStr">
        <is>
          <t>Algorithms</t>
        </is>
      </c>
      <c r="O15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61" s="11" t="inlineStr">
        <is>
          <t>To Do</t>
        </is>
      </c>
    </row>
    <row r="1562" ht="15.75" customHeight="1" s="12">
      <c r="A1562" s="1" t="n">
        <v>1223</v>
      </c>
      <c r="B1562" s="3">
        <f>HYPERLINK("https://leetcode.com/problems/dice-roll-simulation/", "Dice Roll Simulation")</f>
        <v/>
      </c>
      <c r="C1562" s="1" t="n">
        <v>1004</v>
      </c>
      <c r="D1562" s="1" t="n">
        <v>199</v>
      </c>
      <c r="E1562" s="4">
        <f>IF(INDEX(C:C, ROW())+INDEX(D:D, ROW())=0, 0, INDEX(C:C, ROW())/(INDEX(C:C, ROW())+INDEX(D:D, ROW())))</f>
        <v/>
      </c>
      <c r="F1562" s="1" t="inlineStr">
        <is>
          <t>Array, Dynamic Programming</t>
        </is>
      </c>
      <c r="G1562" s="1" t="inlineStr">
        <is>
          <t>Hard</t>
        </is>
      </c>
      <c r="H1562" s="1" t="n">
        <v>38062</v>
      </c>
      <c r="I1562" s="1" t="n">
        <v>74919</v>
      </c>
      <c r="J1562" s="9" t="n">
        <v>0.508</v>
      </c>
      <c r="K1562" s="1" t="inlineStr">
        <is>
          <t>Yes</t>
        </is>
      </c>
      <c r="L1562" s="1" t="inlineStr">
        <is>
          <t>No</t>
        </is>
      </c>
      <c r="M1562" s="1" t="inlineStr">
        <is>
          <t>No</t>
        </is>
      </c>
      <c r="N1562" s="1" t="inlineStr">
        <is>
          <t>Algorithms</t>
        </is>
      </c>
      <c r="O15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62" s="11" t="inlineStr">
        <is>
          <t>To Do</t>
        </is>
      </c>
    </row>
    <row r="1563" ht="15.75" customHeight="1" s="12">
      <c r="A1563" s="1" t="n">
        <v>2106</v>
      </c>
      <c r="B1563" s="3">
        <f>HYPERLINK("https://leetcode.com/problems/maximum-fruits-harvested-after-at-most-k-steps/", "Maximum Fruits Harvested After at Most K Steps")</f>
        <v/>
      </c>
      <c r="C1563" s="1" t="n">
        <v>1004</v>
      </c>
      <c r="D1563" s="1" t="n">
        <v>43</v>
      </c>
      <c r="E1563" s="4">
        <f>IF(INDEX(C:C, ROW())+INDEX(D:D, ROW())=0, 0, INDEX(C:C, ROW())/(INDEX(C:C, ROW())+INDEX(D:D, ROW())))</f>
        <v/>
      </c>
      <c r="F1563" s="1" t="inlineStr">
        <is>
          <t>Array, Binary Search, Sliding Window, Prefix Sum</t>
        </is>
      </c>
      <c r="G1563" s="1" t="inlineStr">
        <is>
          <t>Hard</t>
        </is>
      </c>
      <c r="H1563" s="1" t="n">
        <v>86686</v>
      </c>
      <c r="I1563" s="1" t="n">
        <v>142076</v>
      </c>
      <c r="J1563" s="9" t="n">
        <v>0.61</v>
      </c>
      <c r="K1563" s="1" t="inlineStr">
        <is>
          <t>Yes</t>
        </is>
      </c>
      <c r="L1563" s="1" t="inlineStr">
        <is>
          <t>Yes</t>
        </is>
      </c>
      <c r="M1563" s="1" t="inlineStr">
        <is>
          <t>No</t>
        </is>
      </c>
      <c r="N1563" s="1" t="inlineStr">
        <is>
          <t>Algorithms</t>
        </is>
      </c>
      <c r="O15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63" s="11" t="inlineStr">
        <is>
          <t>To Do</t>
        </is>
      </c>
    </row>
    <row r="1564" ht="15.75" customHeight="1" s="12">
      <c r="A1564" s="1" t="n">
        <v>361</v>
      </c>
      <c r="B1564" s="3">
        <f>HYPERLINK("https://leetcode.com/problems/bomb-enemy/", "Bomb Enemy")</f>
        <v/>
      </c>
      <c r="C1564" s="1" t="n">
        <v>1003</v>
      </c>
      <c r="D1564" s="1" t="n">
        <v>118</v>
      </c>
      <c r="E1564" s="4">
        <f>IF(INDEX(C:C, ROW())+INDEX(D:D, ROW())=0, 0, INDEX(C:C, ROW())/(INDEX(C:C, ROW())+INDEX(D:D, ROW())))</f>
        <v/>
      </c>
      <c r="F1564" s="1" t="inlineStr">
        <is>
          <t>Array, Dynamic Programming, Matrix</t>
        </is>
      </c>
      <c r="G1564" s="1" t="inlineStr">
        <is>
          <t>Medium</t>
        </is>
      </c>
      <c r="H1564" s="1" t="n">
        <v>86840</v>
      </c>
      <c r="I1564" s="1" t="n">
        <v>164418</v>
      </c>
      <c r="J1564" s="9" t="n">
        <v>0.528</v>
      </c>
      <c r="K1564" s="1" t="inlineStr">
        <is>
          <t>No</t>
        </is>
      </c>
      <c r="L1564" s="1" t="inlineStr">
        <is>
          <t>Yes</t>
        </is>
      </c>
      <c r="M1564" s="1" t="inlineStr">
        <is>
          <t>No</t>
        </is>
      </c>
      <c r="N1564" s="1" t="inlineStr">
        <is>
          <t>Algorithms</t>
        </is>
      </c>
      <c r="O15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64" s="11" t="inlineStr">
        <is>
          <t>To Do</t>
        </is>
      </c>
    </row>
    <row r="1565" ht="15.75" customHeight="1" s="12">
      <c r="A1565" s="1" t="n">
        <v>971</v>
      </c>
      <c r="B1565" s="3">
        <f>HYPERLINK("https://leetcode.com/problems/flip-binary-tree-to-match-preorder-traversal/", "Flip Binary Tree To Match Preorder Traversal")</f>
        <v/>
      </c>
      <c r="C1565" s="1" t="n">
        <v>1003</v>
      </c>
      <c r="D1565" s="1" t="n">
        <v>284</v>
      </c>
      <c r="E1565" s="4">
        <f>IF(INDEX(C:C, ROW())+INDEX(D:D, ROW())=0, 0, INDEX(C:C, ROW())/(INDEX(C:C, ROW())+INDEX(D:D, ROW())))</f>
        <v/>
      </c>
      <c r="F1565" s="1" t="inlineStr">
        <is>
          <t>Tree, Depth-First Search, Binary Tree</t>
        </is>
      </c>
      <c r="G1565" s="1" t="inlineStr">
        <is>
          <t>Medium</t>
        </is>
      </c>
      <c r="H1565" s="1" t="n">
        <v>49745</v>
      </c>
      <c r="I1565" s="1" t="n">
        <v>95871</v>
      </c>
      <c r="J1565" s="9" t="n">
        <v>0.519</v>
      </c>
      <c r="K1565" s="1" t="inlineStr">
        <is>
          <t>Yes</t>
        </is>
      </c>
      <c r="L1565" s="1" t="inlineStr">
        <is>
          <t>Yes</t>
        </is>
      </c>
      <c r="M1565" s="1" t="inlineStr">
        <is>
          <t>No</t>
        </is>
      </c>
      <c r="N1565" s="1" t="inlineStr">
        <is>
          <t>Algorithms</t>
        </is>
      </c>
      <c r="O15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65" s="11" t="inlineStr">
        <is>
          <t>To Do</t>
        </is>
      </c>
    </row>
    <row r="1566" ht="15.75" customHeight="1" s="12">
      <c r="A1566" s="1" t="n">
        <v>1057</v>
      </c>
      <c r="B1566" s="3">
        <f>HYPERLINK("https://leetcode.com/problems/campus-bikes/", "Campus Bikes")</f>
        <v/>
      </c>
      <c r="C1566" s="1" t="n">
        <v>1002</v>
      </c>
      <c r="D1566" s="1" t="n">
        <v>199</v>
      </c>
      <c r="E1566" s="4">
        <f>IF(INDEX(C:C, ROW())+INDEX(D:D, ROW())=0, 0, INDEX(C:C, ROW())/(INDEX(C:C, ROW())+INDEX(D:D, ROW())))</f>
        <v/>
      </c>
      <c r="F1566" s="1" t="inlineStr">
        <is>
          <t>Array, Sorting, Heap (Priority Queue)</t>
        </is>
      </c>
      <c r="G1566" s="1" t="inlineStr">
        <is>
          <t>Medium</t>
        </is>
      </c>
      <c r="H1566" s="1" t="n">
        <v>78210</v>
      </c>
      <c r="I1566" s="1" t="n">
        <v>132376</v>
      </c>
      <c r="J1566" s="9" t="n">
        <v>0.591</v>
      </c>
      <c r="K1566" s="1" t="inlineStr">
        <is>
          <t>No</t>
        </is>
      </c>
      <c r="L1566" s="1" t="inlineStr">
        <is>
          <t>Yes</t>
        </is>
      </c>
      <c r="M1566" s="1" t="inlineStr">
        <is>
          <t>No</t>
        </is>
      </c>
      <c r="N1566" s="1" t="inlineStr">
        <is>
          <t>Algorithms</t>
        </is>
      </c>
      <c r="O15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66" s="11" t="inlineStr">
        <is>
          <t>To Do</t>
        </is>
      </c>
    </row>
    <row r="1567" ht="15.75" customHeight="1" s="12">
      <c r="A1567" s="1" t="n">
        <v>358</v>
      </c>
      <c r="B1567" s="3">
        <f>HYPERLINK("https://leetcode.com/problems/rearrange-string-k-distance-apart/", "Rearrange String k Distance Apart")</f>
        <v/>
      </c>
      <c r="C1567" s="1" t="n">
        <v>1001</v>
      </c>
      <c r="D1567" s="1" t="n">
        <v>39</v>
      </c>
      <c r="E1567" s="4">
        <f>IF(INDEX(C:C, ROW())+INDEX(D:D, ROW())=0, 0, INDEX(C:C, ROW())/(INDEX(C:C, ROW())+INDEX(D:D, ROW())))</f>
        <v/>
      </c>
      <c r="F1567" s="1" t="inlineStr">
        <is>
          <t>Hash Table, String, Greedy, Sorting, Heap (Priority Queue), Counting</t>
        </is>
      </c>
      <c r="G1567" s="1" t="inlineStr">
        <is>
          <t>Hard</t>
        </is>
      </c>
      <c r="H1567" s="1" t="n">
        <v>73956</v>
      </c>
      <c r="I1567" s="1" t="n">
        <v>185102</v>
      </c>
      <c r="J1567" s="9" t="n">
        <v>0.4</v>
      </c>
      <c r="K1567" s="1" t="inlineStr">
        <is>
          <t>No</t>
        </is>
      </c>
      <c r="L1567" s="1" t="inlineStr">
        <is>
          <t>Yes</t>
        </is>
      </c>
      <c r="M1567" s="1" t="inlineStr">
        <is>
          <t>No</t>
        </is>
      </c>
      <c r="N1567" s="1" t="inlineStr">
        <is>
          <t>Algorithms</t>
        </is>
      </c>
      <c r="O15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67" s="11" t="inlineStr">
        <is>
          <t>To Do</t>
        </is>
      </c>
    </row>
    <row r="1568" ht="15.75" customHeight="1" s="12">
      <c r="A1568" s="1" t="n">
        <v>1935</v>
      </c>
      <c r="B1568" s="3">
        <f>HYPERLINK("https://leetcode.com/problems/maximum-number-of-words-you-can-type/", "Maximum Number of Words You Can Type")</f>
        <v/>
      </c>
      <c r="C1568" s="1" t="n">
        <v>998</v>
      </c>
      <c r="D1568" s="1" t="n">
        <v>40</v>
      </c>
      <c r="E1568" s="4">
        <f>IF(INDEX(C:C, ROW())+INDEX(D:D, ROW())=0, 0, INDEX(C:C, ROW())/(INDEX(C:C, ROW())+INDEX(D:D, ROW())))</f>
        <v/>
      </c>
      <c r="F1568" s="1" t="inlineStr">
        <is>
          <t>Hash Table, String</t>
        </is>
      </c>
      <c r="G1568" s="1" t="inlineStr">
        <is>
          <t>Easy</t>
        </is>
      </c>
      <c r="H1568" s="1" t="n">
        <v>233085</v>
      </c>
      <c r="I1568" s="1" t="n">
        <v>281067</v>
      </c>
      <c r="J1568" s="9" t="n">
        <v>0.829</v>
      </c>
      <c r="K1568" s="1" t="inlineStr">
        <is>
          <t>Yes</t>
        </is>
      </c>
      <c r="L1568" s="1" t="inlineStr">
        <is>
          <t>Yes</t>
        </is>
      </c>
      <c r="M1568" s="1" t="inlineStr">
        <is>
          <t>No</t>
        </is>
      </c>
      <c r="N1568" s="1" t="inlineStr">
        <is>
          <t>Algorithms</t>
        </is>
      </c>
      <c r="O15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68" s="13" t="inlineStr">
        <is>
          <t>Done</t>
        </is>
      </c>
    </row>
    <row r="1569" ht="15.75" customHeight="1" s="12">
      <c r="A1569" s="1" t="n">
        <v>3306</v>
      </c>
      <c r="B1569" s="3">
        <f>HYPERLINK("https://leetcode.com/problems/count-of-substrings-containing-every-vowel-and-k-consonants-ii/", "Count of Substrings Containing Every Vowel and K Consonants II")</f>
        <v/>
      </c>
      <c r="C1569" s="1" t="n">
        <v>998</v>
      </c>
      <c r="D1569" s="1" t="n">
        <v>149</v>
      </c>
      <c r="E1569" s="4">
        <f>IF(INDEX(C:C, ROW())+INDEX(D:D, ROW())=0, 0, INDEX(C:C, ROW())/(INDEX(C:C, ROW())+INDEX(D:D, ROW())))</f>
        <v/>
      </c>
      <c r="F1569" s="1" t="inlineStr">
        <is>
          <t>Hash Table, String, Sliding Window</t>
        </is>
      </c>
      <c r="G1569" s="1" t="inlineStr">
        <is>
          <t>Medium</t>
        </is>
      </c>
      <c r="H1569" s="1" t="n">
        <v>114783</v>
      </c>
      <c r="I1569" s="1" t="n">
        <v>282462</v>
      </c>
      <c r="J1569" s="9" t="n">
        <v>0.406</v>
      </c>
      <c r="K1569" s="1" t="inlineStr">
        <is>
          <t>Yes</t>
        </is>
      </c>
      <c r="L1569" s="1" t="inlineStr">
        <is>
          <t>Yes</t>
        </is>
      </c>
      <c r="M1569" s="1" t="inlineStr">
        <is>
          <t>No</t>
        </is>
      </c>
      <c r="N1569" s="1" t="inlineStr">
        <is>
          <t>Algorithms</t>
        </is>
      </c>
      <c r="O15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69" s="11" t="inlineStr">
        <is>
          <t>To Do</t>
        </is>
      </c>
    </row>
    <row r="1570" ht="15.75" customHeight="1" s="12">
      <c r="A1570" s="1" t="n">
        <v>1386</v>
      </c>
      <c r="B1570" s="3">
        <f>HYPERLINK("https://leetcode.com/problems/cinema-seat-allocation/", "Cinema Seat Allocation")</f>
        <v/>
      </c>
      <c r="C1570" s="1" t="n">
        <v>994</v>
      </c>
      <c r="D1570" s="1" t="n">
        <v>418</v>
      </c>
      <c r="E1570" s="4">
        <f>IF(INDEX(C:C, ROW())+INDEX(D:D, ROW())=0, 0, INDEX(C:C, ROW())/(INDEX(C:C, ROW())+INDEX(D:D, ROW())))</f>
        <v/>
      </c>
      <c r="F1570" s="1" t="inlineStr">
        <is>
          <t>Array, Hash Table, Greedy, Bit Manipulation</t>
        </is>
      </c>
      <c r="G1570" s="1" t="inlineStr">
        <is>
          <t>Medium</t>
        </is>
      </c>
      <c r="H1570" s="1" t="n">
        <v>65795</v>
      </c>
      <c r="I1570" s="1" t="n">
        <v>147856</v>
      </c>
      <c r="J1570" s="9" t="n">
        <v>0.445</v>
      </c>
      <c r="K1570" s="1" t="inlineStr">
        <is>
          <t>Yes</t>
        </is>
      </c>
      <c r="L1570" s="1" t="inlineStr">
        <is>
          <t>No</t>
        </is>
      </c>
      <c r="M1570" s="1" t="inlineStr">
        <is>
          <t>No</t>
        </is>
      </c>
      <c r="N1570" s="1" t="inlineStr">
        <is>
          <t>Algorithms</t>
        </is>
      </c>
      <c r="O15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70" s="11" t="inlineStr">
        <is>
          <t>To Do</t>
        </is>
      </c>
    </row>
    <row r="1571" ht="15.75" customHeight="1" s="12">
      <c r="A1571" s="1" t="n">
        <v>2493</v>
      </c>
      <c r="B1571" s="3">
        <f>HYPERLINK("https://leetcode.com/problems/divide-nodes-into-the-maximum-number-of-groups/", "Divide Nodes Into the Maximum Number of Groups")</f>
        <v/>
      </c>
      <c r="C1571" s="1" t="n">
        <v>993</v>
      </c>
      <c r="D1571" s="1" t="n">
        <v>75</v>
      </c>
      <c r="E1571" s="4">
        <f>IF(INDEX(C:C, ROW())+INDEX(D:D, ROW())=0, 0, INDEX(C:C, ROW())/(INDEX(C:C, ROW())+INDEX(D:D, ROW())))</f>
        <v/>
      </c>
      <c r="F1571" s="1" t="inlineStr">
        <is>
          <t>Depth-First Search, Breadth-First Search, Union-Find, Graph Theory</t>
        </is>
      </c>
      <c r="G1571" s="1" t="inlineStr">
        <is>
          <t>Hard</t>
        </is>
      </c>
      <c r="H1571" s="1" t="n">
        <v>86651</v>
      </c>
      <c r="I1571" s="1" t="n">
        <v>129462</v>
      </c>
      <c r="J1571" s="9" t="n">
        <v>0.669</v>
      </c>
      <c r="K1571" s="1" t="inlineStr">
        <is>
          <t>Yes</t>
        </is>
      </c>
      <c r="L1571" s="1" t="inlineStr">
        <is>
          <t>Yes</t>
        </is>
      </c>
      <c r="M1571" s="1" t="inlineStr">
        <is>
          <t>No</t>
        </is>
      </c>
      <c r="N1571" s="1" t="inlineStr">
        <is>
          <t>Algorithms</t>
        </is>
      </c>
      <c r="O15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71" s="11" t="inlineStr">
        <is>
          <t>To Do</t>
        </is>
      </c>
    </row>
    <row r="1572" ht="15.75" customHeight="1" s="12">
      <c r="A1572" s="1" t="n">
        <v>602</v>
      </c>
      <c r="B1572" s="3">
        <f>HYPERLINK("https://leetcode.com/problems/friend-requests-ii-who-has-the-most-friends/", "Friend Requests II: Who Has the Most Friends")</f>
        <v/>
      </c>
      <c r="C1572" s="1" t="n">
        <v>991</v>
      </c>
      <c r="D1572" s="1" t="n">
        <v>152</v>
      </c>
      <c r="E1572" s="4">
        <f>IF(INDEX(C:C, ROW())+INDEX(D:D, ROW())=0, 0, INDEX(C:C, ROW())/(INDEX(C:C, ROW())+INDEX(D:D, ROW())))</f>
        <v/>
      </c>
      <c r="F1572" s="1" t="inlineStr">
        <is>
          <t>Database</t>
        </is>
      </c>
      <c r="G1572" s="1" t="inlineStr">
        <is>
          <t>Medium</t>
        </is>
      </c>
      <c r="H1572" s="1" t="n">
        <v>345035</v>
      </c>
      <c r="I1572" s="1" t="n">
        <v>550701</v>
      </c>
      <c r="J1572" s="9" t="n">
        <v>0.627</v>
      </c>
      <c r="K1572" s="1" t="inlineStr">
        <is>
          <t>Yes</t>
        </is>
      </c>
      <c r="L1572" s="1" t="inlineStr">
        <is>
          <t>Yes</t>
        </is>
      </c>
      <c r="M1572" s="1" t="inlineStr">
        <is>
          <t>No</t>
        </is>
      </c>
      <c r="N1572" s="1" t="inlineStr">
        <is>
          <t>Database</t>
        </is>
      </c>
      <c r="O15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72" s="11" t="inlineStr">
        <is>
          <t>To Do</t>
        </is>
      </c>
    </row>
    <row r="1573" ht="15.75" customHeight="1" s="12">
      <c r="A1573" s="1" t="n">
        <v>1753</v>
      </c>
      <c r="B1573" s="3">
        <f>HYPERLINK("https://leetcode.com/problems/maximum-score-from-removing-stones/", "Maximum Score From Removing Stones")</f>
        <v/>
      </c>
      <c r="C1573" s="1" t="n">
        <v>990</v>
      </c>
      <c r="D1573" s="1" t="n">
        <v>58</v>
      </c>
      <c r="E1573" s="4">
        <f>IF(INDEX(C:C, ROW())+INDEX(D:D, ROW())=0, 0, INDEX(C:C, ROW())/(INDEX(C:C, ROW())+INDEX(D:D, ROW())))</f>
        <v/>
      </c>
      <c r="F1573" s="1" t="inlineStr">
        <is>
          <t>Math, Greedy, Heap (Priority Queue)</t>
        </is>
      </c>
      <c r="G1573" s="1" t="inlineStr">
        <is>
          <t>Medium</t>
        </is>
      </c>
      <c r="H1573" s="1" t="n">
        <v>54163</v>
      </c>
      <c r="I1573" s="1" t="n">
        <v>79020</v>
      </c>
      <c r="J1573" s="9" t="n">
        <v>0.6850000000000001</v>
      </c>
      <c r="K1573" s="1" t="inlineStr">
        <is>
          <t>Yes</t>
        </is>
      </c>
      <c r="L1573" s="1" t="inlineStr">
        <is>
          <t>No</t>
        </is>
      </c>
      <c r="M1573" s="1" t="inlineStr">
        <is>
          <t>No</t>
        </is>
      </c>
      <c r="N1573" s="1" t="inlineStr">
        <is>
          <t>Algorithms</t>
        </is>
      </c>
      <c r="O15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73" s="11" t="inlineStr">
        <is>
          <t>To Do</t>
        </is>
      </c>
    </row>
    <row r="1574" ht="15.75" customHeight="1" s="12">
      <c r="A1574" s="1" t="n">
        <v>2121</v>
      </c>
      <c r="B1574" s="3">
        <f>HYPERLINK("https://leetcode.com/problems/intervals-between-identical-elements/", "Intervals Between Identical Elements")</f>
        <v/>
      </c>
      <c r="C1574" s="1" t="n">
        <v>989</v>
      </c>
      <c r="D1574" s="1" t="n">
        <v>46</v>
      </c>
      <c r="E1574" s="4">
        <f>IF(INDEX(C:C, ROW())+INDEX(D:D, ROW())=0, 0, INDEX(C:C, ROW())/(INDEX(C:C, ROW())+INDEX(D:D, ROW())))</f>
        <v/>
      </c>
      <c r="F1574" s="1" t="inlineStr">
        <is>
          <t>Array, Hash Table, Prefix Sum</t>
        </is>
      </c>
      <c r="G1574" s="1" t="inlineStr">
        <is>
          <t>Medium</t>
        </is>
      </c>
      <c r="H1574" s="1" t="n">
        <v>30947</v>
      </c>
      <c r="I1574" s="1" t="n">
        <v>64502</v>
      </c>
      <c r="J1574" s="9" t="n">
        <v>0.48</v>
      </c>
      <c r="K1574" s="1" t="inlineStr">
        <is>
          <t>Yes</t>
        </is>
      </c>
      <c r="L1574" s="1" t="inlineStr">
        <is>
          <t>No</t>
        </is>
      </c>
      <c r="M1574" s="1" t="inlineStr">
        <is>
          <t>No</t>
        </is>
      </c>
      <c r="N1574" s="1" t="inlineStr">
        <is>
          <t>Algorithms</t>
        </is>
      </c>
      <c r="O15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74" s="11" t="inlineStr">
        <is>
          <t>To Do</t>
        </is>
      </c>
    </row>
    <row r="1575" ht="15.75" customHeight="1" s="12">
      <c r="A1575" s="1" t="n">
        <v>1637</v>
      </c>
      <c r="B1575" s="3">
        <f>HYPERLINK("https://leetcode.com/problems/widest-vertical-area-between-two-points-containing-no-points/", "Widest Vertical Area Between Two Points Containing No Points")</f>
        <v/>
      </c>
      <c r="C1575" s="1" t="n">
        <v>988</v>
      </c>
      <c r="D1575" s="1" t="n">
        <v>1792</v>
      </c>
      <c r="E1575" s="4">
        <f>IF(INDEX(C:C, ROW())+INDEX(D:D, ROW())=0, 0, INDEX(C:C, ROW())/(INDEX(C:C, ROW())+INDEX(D:D, ROW())))</f>
        <v/>
      </c>
      <c r="F1575" s="1" t="inlineStr">
        <is>
          <t>Array, Sorting</t>
        </is>
      </c>
      <c r="G1575" s="1" t="inlineStr">
        <is>
          <t>Easy</t>
        </is>
      </c>
      <c r="H1575" s="1" t="n">
        <v>201690</v>
      </c>
      <c r="I1575" s="1" t="n">
        <v>231521</v>
      </c>
      <c r="J1575" s="9" t="n">
        <v>0.871</v>
      </c>
      <c r="K1575" s="1" t="inlineStr">
        <is>
          <t>Yes</t>
        </is>
      </c>
      <c r="L1575" s="1" t="inlineStr">
        <is>
          <t>Yes</t>
        </is>
      </c>
      <c r="M1575" s="1" t="inlineStr">
        <is>
          <t>No</t>
        </is>
      </c>
      <c r="N1575" s="1" t="inlineStr">
        <is>
          <t>Algorithms</t>
        </is>
      </c>
      <c r="O15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75" s="13" t="inlineStr">
        <is>
          <t>Done</t>
        </is>
      </c>
    </row>
    <row r="1576" ht="15.75" customHeight="1" s="12">
      <c r="A1576" s="1" t="n">
        <v>1023</v>
      </c>
      <c r="B1576" s="3">
        <f>HYPERLINK("https://leetcode.com/problems/camelcase-matching/", "Camelcase Matching")</f>
        <v/>
      </c>
      <c r="C1576" s="1" t="n">
        <v>985</v>
      </c>
      <c r="D1576" s="1" t="n">
        <v>350</v>
      </c>
      <c r="E1576" s="4">
        <f>IF(INDEX(C:C, ROW())+INDEX(D:D, ROW())=0, 0, INDEX(C:C, ROW())/(INDEX(C:C, ROW())+INDEX(D:D, ROW())))</f>
        <v/>
      </c>
      <c r="F1576" s="1" t="inlineStr">
        <is>
          <t>Array, Two Pointers, String, Trie, String Matching</t>
        </is>
      </c>
      <c r="G1576" s="1" t="inlineStr">
        <is>
          <t>Medium</t>
        </is>
      </c>
      <c r="H1576" s="1" t="n">
        <v>65435</v>
      </c>
      <c r="I1576" s="1" t="n">
        <v>100203</v>
      </c>
      <c r="J1576" s="9" t="n">
        <v>0.653</v>
      </c>
      <c r="K1576" s="1" t="inlineStr">
        <is>
          <t>Yes</t>
        </is>
      </c>
      <c r="L1576" s="1" t="inlineStr">
        <is>
          <t>No</t>
        </is>
      </c>
      <c r="M1576" s="1" t="inlineStr">
        <is>
          <t>No</t>
        </is>
      </c>
      <c r="N1576" s="1" t="inlineStr">
        <is>
          <t>Algorithms</t>
        </is>
      </c>
      <c r="O15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76" s="11" t="inlineStr">
        <is>
          <t>To Do</t>
        </is>
      </c>
    </row>
    <row r="1577" ht="15.75" customHeight="1" s="12">
      <c r="A1577" s="1" t="n">
        <v>2079</v>
      </c>
      <c r="B1577" s="3">
        <f>HYPERLINK("https://leetcode.com/problems/watering-plants/", "Watering Plants")</f>
        <v/>
      </c>
      <c r="C1577" s="1" t="n">
        <v>985</v>
      </c>
      <c r="D1577" s="1" t="n">
        <v>73</v>
      </c>
      <c r="E1577" s="4">
        <f>IF(INDEX(C:C, ROW())+INDEX(D:D, ROW())=0, 0, INDEX(C:C, ROW())/(INDEX(C:C, ROW())+INDEX(D:D, ROW())))</f>
        <v/>
      </c>
      <c r="F1577" s="1" t="inlineStr">
        <is>
          <t>Array, Simulation</t>
        </is>
      </c>
      <c r="G1577" s="1" t="inlineStr">
        <is>
          <t>Medium</t>
        </is>
      </c>
      <c r="H1577" s="1" t="n">
        <v>69025</v>
      </c>
      <c r="I1577" s="1" t="n">
        <v>86418</v>
      </c>
      <c r="J1577" s="9" t="n">
        <v>0.799</v>
      </c>
      <c r="K1577" s="1" t="inlineStr">
        <is>
          <t>Yes</t>
        </is>
      </c>
      <c r="L1577" s="1" t="inlineStr">
        <is>
          <t>No</t>
        </is>
      </c>
      <c r="M1577" s="1" t="inlineStr">
        <is>
          <t>No</t>
        </is>
      </c>
      <c r="N1577" s="1" t="inlineStr">
        <is>
          <t>Algorithms</t>
        </is>
      </c>
      <c r="O15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77" s="11" t="inlineStr">
        <is>
          <t>To Do</t>
        </is>
      </c>
    </row>
    <row r="1578" ht="15.75" customHeight="1" s="12">
      <c r="A1578" s="1" t="n">
        <v>1795</v>
      </c>
      <c r="B1578" s="3">
        <f>HYPERLINK("https://leetcode.com/problems/rearrange-products-table/", "Rearrange Products Table")</f>
        <v/>
      </c>
      <c r="C1578" s="1" t="n">
        <v>983</v>
      </c>
      <c r="D1578" s="1" t="n">
        <v>68</v>
      </c>
      <c r="E1578" s="4">
        <f>IF(INDEX(C:C, ROW())+INDEX(D:D, ROW())=0, 0, INDEX(C:C, ROW())/(INDEX(C:C, ROW())+INDEX(D:D, ROW())))</f>
        <v/>
      </c>
      <c r="F1578" s="1" t="inlineStr">
        <is>
          <t>Database</t>
        </is>
      </c>
      <c r="G1578" s="1" t="inlineStr">
        <is>
          <t>Easy</t>
        </is>
      </c>
      <c r="H1578" s="1" t="n">
        <v>204392</v>
      </c>
      <c r="I1578" s="1" t="n">
        <v>239033</v>
      </c>
      <c r="J1578" s="9" t="n">
        <v>0.855</v>
      </c>
      <c r="K1578" s="1" t="inlineStr">
        <is>
          <t>Yes</t>
        </is>
      </c>
      <c r="L1578" s="1" t="inlineStr">
        <is>
          <t>Yes</t>
        </is>
      </c>
      <c r="M1578" s="1" t="inlineStr">
        <is>
          <t>No</t>
        </is>
      </c>
      <c r="N1578" s="1" t="inlineStr">
        <is>
          <t>Database</t>
        </is>
      </c>
      <c r="O15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78" s="13" t="inlineStr">
        <is>
          <t>Done</t>
        </is>
      </c>
    </row>
    <row r="1579" ht="15.75" customHeight="1" s="12">
      <c r="A1579" s="1" t="n">
        <v>619</v>
      </c>
      <c r="B1579" s="3">
        <f>HYPERLINK("https://leetcode.com/problems/biggest-single-number/", "Biggest Single Number")</f>
        <v/>
      </c>
      <c r="C1579" s="1" t="n">
        <v>981</v>
      </c>
      <c r="D1579" s="1" t="n">
        <v>203</v>
      </c>
      <c r="E1579" s="4">
        <f>IF(INDEX(C:C, ROW())+INDEX(D:D, ROW())=0, 0, INDEX(C:C, ROW())/(INDEX(C:C, ROW())+INDEX(D:D, ROW())))</f>
        <v/>
      </c>
      <c r="F1579" s="1" t="inlineStr">
        <is>
          <t>Database</t>
        </is>
      </c>
      <c r="G1579" s="1" t="inlineStr">
        <is>
          <t>Easy</t>
        </is>
      </c>
      <c r="H1579" s="1" t="n">
        <v>561586</v>
      </c>
      <c r="I1579" s="1" t="n">
        <v>788344</v>
      </c>
      <c r="J1579" s="9" t="n">
        <v>0.712</v>
      </c>
      <c r="K1579" s="1" t="inlineStr">
        <is>
          <t>Yes</t>
        </is>
      </c>
      <c r="L1579" s="1" t="inlineStr">
        <is>
          <t>Yes</t>
        </is>
      </c>
      <c r="M1579" s="1" t="inlineStr">
        <is>
          <t>No</t>
        </is>
      </c>
      <c r="N1579" s="1" t="inlineStr">
        <is>
          <t>Database</t>
        </is>
      </c>
      <c r="O15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79" s="13" t="inlineStr">
        <is>
          <t>Done</t>
        </is>
      </c>
    </row>
    <row r="1580" ht="15.75" customHeight="1" s="12">
      <c r="A1580" s="1" t="n">
        <v>868</v>
      </c>
      <c r="B1580" s="3">
        <f>HYPERLINK("https://leetcode.com/problems/binary-gap/", "Binary Gap")</f>
        <v/>
      </c>
      <c r="C1580" s="1" t="n">
        <v>980</v>
      </c>
      <c r="D1580" s="1" t="n">
        <v>741</v>
      </c>
      <c r="E1580" s="4">
        <f>IF(INDEX(C:C, ROW())+INDEX(D:D, ROW())=0, 0, INDEX(C:C, ROW())/(INDEX(C:C, ROW())+INDEX(D:D, ROW())))</f>
        <v/>
      </c>
      <c r="F1580" s="1" t="inlineStr">
        <is>
          <t>Bit Manipulation</t>
        </is>
      </c>
      <c r="G1580" s="1" t="inlineStr">
        <is>
          <t>Easy</t>
        </is>
      </c>
      <c r="H1580" s="1" t="n">
        <v>215275</v>
      </c>
      <c r="I1580" s="1" t="n">
        <v>289881</v>
      </c>
      <c r="J1580" s="9" t="n">
        <v>0.743</v>
      </c>
      <c r="K1580" s="1" t="inlineStr">
        <is>
          <t>Yes</t>
        </is>
      </c>
      <c r="L1580" s="1" t="inlineStr">
        <is>
          <t>Yes</t>
        </is>
      </c>
      <c r="M1580" s="1" t="inlineStr">
        <is>
          <t>No</t>
        </is>
      </c>
      <c r="N1580" s="1" t="inlineStr">
        <is>
          <t>Algorithms</t>
        </is>
      </c>
      <c r="O15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80" s="13" t="inlineStr">
        <is>
          <t>Done</t>
        </is>
      </c>
    </row>
    <row r="1581" ht="15.75" customHeight="1" s="12">
      <c r="A1581" s="1" t="n">
        <v>1928</v>
      </c>
      <c r="B1581" s="3">
        <f>HYPERLINK("https://leetcode.com/problems/minimum-cost-to-reach-destination-in-time/", "Minimum Cost to Reach Destination in Time")</f>
        <v/>
      </c>
      <c r="C1581" s="1" t="n">
        <v>978</v>
      </c>
      <c r="D1581" s="1" t="n">
        <v>23</v>
      </c>
      <c r="E1581" s="4">
        <f>IF(INDEX(C:C, ROW())+INDEX(D:D, ROW())=0, 0, INDEX(C:C, ROW())/(INDEX(C:C, ROW())+INDEX(D:D, ROW())))</f>
        <v/>
      </c>
      <c r="F1581" s="1" t="inlineStr">
        <is>
          <t>Array, Dynamic Programming, Graph Theory</t>
        </is>
      </c>
      <c r="G1581" s="1" t="inlineStr">
        <is>
          <t>Hard</t>
        </is>
      </c>
      <c r="H1581" s="1" t="n">
        <v>38222</v>
      </c>
      <c r="I1581" s="1" t="n">
        <v>92080</v>
      </c>
      <c r="J1581" s="9" t="n">
        <v>0.415</v>
      </c>
      <c r="K1581" s="1" t="inlineStr">
        <is>
          <t>Yes</t>
        </is>
      </c>
      <c r="L1581" s="1" t="inlineStr">
        <is>
          <t>No</t>
        </is>
      </c>
      <c r="M1581" s="1" t="inlineStr">
        <is>
          <t>No</t>
        </is>
      </c>
      <c r="N1581" s="1" t="inlineStr">
        <is>
          <t>Algorithms</t>
        </is>
      </c>
      <c r="O15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81" s="11" t="inlineStr">
        <is>
          <t>To Do</t>
        </is>
      </c>
    </row>
    <row r="1582" ht="15.75" customHeight="1" s="12">
      <c r="A1582" s="1" t="n">
        <v>2948</v>
      </c>
      <c r="B1582" s="3">
        <f>HYPERLINK("https://leetcode.com/problems/make-lexicographically-smallest-array-by-swapping-elements/", "Make Lexicographically Smallest Array by Swapping Elements")</f>
        <v/>
      </c>
      <c r="C1582" s="1" t="n">
        <v>978</v>
      </c>
      <c r="D1582" s="1" t="n">
        <v>79</v>
      </c>
      <c r="E1582" s="4">
        <f>IF(INDEX(C:C, ROW())+INDEX(D:D, ROW())=0, 0, INDEX(C:C, ROW())/(INDEX(C:C, ROW())+INDEX(D:D, ROW())))</f>
        <v/>
      </c>
      <c r="F1582" s="1" t="inlineStr">
        <is>
          <t>Array, Union-Find, Sorting</t>
        </is>
      </c>
      <c r="G1582" s="1" t="inlineStr">
        <is>
          <t>Medium</t>
        </is>
      </c>
      <c r="H1582" s="1" t="n">
        <v>102224</v>
      </c>
      <c r="I1582" s="1" t="n">
        <v>169659</v>
      </c>
      <c r="J1582" s="9" t="n">
        <v>0.603</v>
      </c>
      <c r="K1582" s="1" t="inlineStr">
        <is>
          <t>Yes</t>
        </is>
      </c>
      <c r="L1582" s="1" t="inlineStr">
        <is>
          <t>Yes</t>
        </is>
      </c>
      <c r="M1582" s="1" t="inlineStr">
        <is>
          <t>No</t>
        </is>
      </c>
      <c r="N1582" s="1" t="inlineStr">
        <is>
          <t>Algorithms</t>
        </is>
      </c>
      <c r="O15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82" s="11" t="inlineStr">
        <is>
          <t>To Do</t>
        </is>
      </c>
    </row>
    <row r="1583" ht="15.75" customHeight="1" s="12">
      <c r="A1583" s="1" t="n">
        <v>2304</v>
      </c>
      <c r="B1583" s="3">
        <f>HYPERLINK("https://leetcode.com/problems/minimum-path-cost-in-a-grid/", "Minimum Path Cost in a Grid")</f>
        <v/>
      </c>
      <c r="C1583" s="1" t="n">
        <v>976</v>
      </c>
      <c r="D1583" s="1" t="n">
        <v>178</v>
      </c>
      <c r="E1583" s="4">
        <f>IF(INDEX(C:C, ROW())+INDEX(D:D, ROW())=0, 0, INDEX(C:C, ROW())/(INDEX(C:C, ROW())+INDEX(D:D, ROW())))</f>
        <v/>
      </c>
      <c r="F1583" s="1" t="inlineStr">
        <is>
          <t>Array, Dynamic Programming, Matrix</t>
        </is>
      </c>
      <c r="G1583" s="1" t="inlineStr">
        <is>
          <t>Medium</t>
        </is>
      </c>
      <c r="H1583" s="1" t="n">
        <v>41173</v>
      </c>
      <c r="I1583" s="1" t="n">
        <v>60488</v>
      </c>
      <c r="J1583" s="9" t="n">
        <v>0.681</v>
      </c>
      <c r="K1583" s="1" t="inlineStr">
        <is>
          <t>Yes</t>
        </is>
      </c>
      <c r="L1583" s="1" t="inlineStr">
        <is>
          <t>No</t>
        </is>
      </c>
      <c r="M1583" s="1" t="inlineStr">
        <is>
          <t>No</t>
        </is>
      </c>
      <c r="N1583" s="1" t="inlineStr">
        <is>
          <t>Algorithms</t>
        </is>
      </c>
      <c r="O15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83" s="11" t="inlineStr">
        <is>
          <t>To Do</t>
        </is>
      </c>
    </row>
    <row r="1584" ht="15.75" customHeight="1" s="12">
      <c r="A1584" s="1" t="n">
        <v>1776</v>
      </c>
      <c r="B1584" s="3">
        <f>HYPERLINK("https://leetcode.com/problems/car-fleet-ii/", "Car Fleet II")</f>
        <v/>
      </c>
      <c r="C1584" s="1" t="n">
        <v>971</v>
      </c>
      <c r="D1584" s="1" t="n">
        <v>41</v>
      </c>
      <c r="E1584" s="4">
        <f>IF(INDEX(C:C, ROW())+INDEX(D:D, ROW())=0, 0, INDEX(C:C, ROW())/(INDEX(C:C, ROW())+INDEX(D:D, ROW())))</f>
        <v/>
      </c>
      <c r="F1584" s="1" t="inlineStr">
        <is>
          <t>Array, Math, Stack, Heap (Priority Queue), Monotonic Stack</t>
        </is>
      </c>
      <c r="G1584" s="1" t="inlineStr">
        <is>
          <t>Hard</t>
        </is>
      </c>
      <c r="H1584" s="1" t="n">
        <v>33587</v>
      </c>
      <c r="I1584" s="1" t="n">
        <v>58040</v>
      </c>
      <c r="J1584" s="9" t="n">
        <v>0.579</v>
      </c>
      <c r="K1584" s="1" t="inlineStr">
        <is>
          <t>Yes</t>
        </is>
      </c>
      <c r="L1584" s="1" t="inlineStr">
        <is>
          <t>No</t>
        </is>
      </c>
      <c r="M1584" s="1" t="inlineStr">
        <is>
          <t>No</t>
        </is>
      </c>
      <c r="N1584" s="1" t="inlineStr">
        <is>
          <t>Algorithms</t>
        </is>
      </c>
      <c r="O15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84" s="11" t="inlineStr">
        <is>
          <t>To Do</t>
        </is>
      </c>
    </row>
    <row r="1585" ht="15.75" customHeight="1" s="12">
      <c r="A1585" s="1" t="n">
        <v>1375</v>
      </c>
      <c r="B1585" s="3">
        <f>HYPERLINK("https://leetcode.com/problems/number-of-times-binary-string-is-prefix-aligned/", "Number of Times Binary String Is Prefix-Aligned")</f>
        <v/>
      </c>
      <c r="C1585" s="1" t="n">
        <v>969</v>
      </c>
      <c r="D1585" s="1" t="n">
        <v>139</v>
      </c>
      <c r="E1585" s="4">
        <f>IF(INDEX(C:C, ROW())+INDEX(D:D, ROW())=0, 0, INDEX(C:C, ROW())/(INDEX(C:C, ROW())+INDEX(D:D, ROW())))</f>
        <v/>
      </c>
      <c r="F1585" s="1" t="inlineStr">
        <is>
          <t>Array</t>
        </is>
      </c>
      <c r="G1585" s="1" t="inlineStr">
        <is>
          <t>Medium</t>
        </is>
      </c>
      <c r="H1585" s="1" t="n">
        <v>60466</v>
      </c>
      <c r="I1585" s="1" t="n">
        <v>91534</v>
      </c>
      <c r="J1585" s="9" t="n">
        <v>0.661</v>
      </c>
      <c r="K1585" s="1" t="inlineStr">
        <is>
          <t>Yes</t>
        </is>
      </c>
      <c r="L1585" s="1" t="inlineStr">
        <is>
          <t>No</t>
        </is>
      </c>
      <c r="M1585" s="1" t="inlineStr">
        <is>
          <t>No</t>
        </is>
      </c>
      <c r="N1585" s="1" t="inlineStr">
        <is>
          <t>Algorithms</t>
        </is>
      </c>
      <c r="O15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85" s="11" t="inlineStr">
        <is>
          <t>To Do</t>
        </is>
      </c>
    </row>
    <row r="1586" ht="15.75" customHeight="1" s="12">
      <c r="A1586" s="1" t="n">
        <v>1775</v>
      </c>
      <c r="B1586" s="3">
        <f>HYPERLINK("https://leetcode.com/problems/equal-sum-arrays-with-minimum-number-of-operations/", "Equal Sum Arrays With Minimum Number of Operations")</f>
        <v/>
      </c>
      <c r="C1586" s="1" t="n">
        <v>969</v>
      </c>
      <c r="D1586" s="1" t="n">
        <v>49</v>
      </c>
      <c r="E1586" s="4">
        <f>IF(INDEX(C:C, ROW())+INDEX(D:D, ROW())=0, 0, INDEX(C:C, ROW())/(INDEX(C:C, ROW())+INDEX(D:D, ROW())))</f>
        <v/>
      </c>
      <c r="F1586" s="1" t="inlineStr">
        <is>
          <t>Array, Hash Table, Greedy, Counting</t>
        </is>
      </c>
      <c r="G1586" s="1" t="inlineStr">
        <is>
          <t>Medium</t>
        </is>
      </c>
      <c r="H1586" s="1" t="n">
        <v>35859</v>
      </c>
      <c r="I1586" s="1" t="n">
        <v>65755</v>
      </c>
      <c r="J1586" s="9" t="n">
        <v>0.545</v>
      </c>
      <c r="K1586" s="1" t="inlineStr">
        <is>
          <t>Yes</t>
        </is>
      </c>
      <c r="L1586" s="1" t="inlineStr">
        <is>
          <t>No</t>
        </is>
      </c>
      <c r="M1586" s="1" t="inlineStr">
        <is>
          <t>No</t>
        </is>
      </c>
      <c r="N1586" s="1" t="inlineStr">
        <is>
          <t>Algorithms</t>
        </is>
      </c>
      <c r="O15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86" s="11" t="inlineStr">
        <is>
          <t>To Do</t>
        </is>
      </c>
    </row>
    <row r="1587" ht="15.75" customHeight="1" s="12">
      <c r="A1587" s="1" t="n">
        <v>1434</v>
      </c>
      <c r="B1587" s="3">
        <f>HYPERLINK("https://leetcode.com/problems/number-of-ways-to-wear-different-hats-to-each-other/", "Number of Ways to Wear Different Hats to Each Other")</f>
        <v/>
      </c>
      <c r="C1587" s="1" t="n">
        <v>968</v>
      </c>
      <c r="D1587" s="1" t="n">
        <v>12</v>
      </c>
      <c r="E1587" s="4">
        <f>IF(INDEX(C:C, ROW())+INDEX(D:D, ROW())=0, 0, INDEX(C:C, ROW())/(INDEX(C:C, ROW())+INDEX(D:D, ROW())))</f>
        <v/>
      </c>
      <c r="F1587" s="1" t="inlineStr">
        <is>
          <t>Array, Dynamic Programming, Bit Manipulation, Bitmask</t>
        </is>
      </c>
      <c r="G1587" s="1" t="inlineStr">
        <is>
          <t>Hard</t>
        </is>
      </c>
      <c r="H1587" s="1" t="n">
        <v>22724</v>
      </c>
      <c r="I1587" s="1" t="n">
        <v>49417</v>
      </c>
      <c r="J1587" s="9" t="n">
        <v>0.46</v>
      </c>
      <c r="K1587" s="1" t="inlineStr">
        <is>
          <t>Yes</t>
        </is>
      </c>
      <c r="L1587" s="1" t="inlineStr">
        <is>
          <t>Yes</t>
        </is>
      </c>
      <c r="M1587" s="1" t="inlineStr">
        <is>
          <t>No</t>
        </is>
      </c>
      <c r="N1587" s="1" t="inlineStr">
        <is>
          <t>Algorithms</t>
        </is>
      </c>
      <c r="O15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87" s="11" t="inlineStr">
        <is>
          <t>To Do</t>
        </is>
      </c>
    </row>
    <row r="1588" ht="15.75" customHeight="1" s="12">
      <c r="A1588" s="1" t="n">
        <v>1437</v>
      </c>
      <c r="B1588" s="3">
        <f>HYPERLINK("https://leetcode.com/problems/check-if-all-1s-are-at-least-length-k-places-away/", "Check If All 1's Are at Least Length K Places Away")</f>
        <v/>
      </c>
      <c r="C1588" s="1" t="n">
        <v>968</v>
      </c>
      <c r="D1588" s="1" t="n">
        <v>243</v>
      </c>
      <c r="E1588" s="4">
        <f>IF(INDEX(C:C, ROW())+INDEX(D:D, ROW())=0, 0, INDEX(C:C, ROW())/(INDEX(C:C, ROW())+INDEX(D:D, ROW())))</f>
        <v/>
      </c>
      <c r="F1588" s="1" t="inlineStr">
        <is>
          <t>Array</t>
        </is>
      </c>
      <c r="G1588" s="1" t="inlineStr">
        <is>
          <t>Easy</t>
        </is>
      </c>
      <c r="H1588" s="1" t="n">
        <v>216115</v>
      </c>
      <c r="I1588" s="1" t="n">
        <v>336265</v>
      </c>
      <c r="J1588" s="9" t="n">
        <v>0.643</v>
      </c>
      <c r="K1588" s="1" t="inlineStr">
        <is>
          <t>Yes</t>
        </is>
      </c>
      <c r="L1588" s="1" t="inlineStr">
        <is>
          <t>Yes</t>
        </is>
      </c>
      <c r="M1588" s="1" t="inlineStr">
        <is>
          <t>No</t>
        </is>
      </c>
      <c r="N1588" s="1" t="inlineStr">
        <is>
          <t>Algorithms</t>
        </is>
      </c>
      <c r="O15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88" s="13" t="inlineStr">
        <is>
          <t>Done</t>
        </is>
      </c>
    </row>
    <row r="1589" ht="15.75" customHeight="1" s="12">
      <c r="A1589" s="1" t="n">
        <v>2845</v>
      </c>
      <c r="B1589" s="3">
        <f>HYPERLINK("https://leetcode.com/problems/count-of-interesting-subarrays/", "Count of Interesting Subarrays")</f>
        <v/>
      </c>
      <c r="C1589" s="1" t="n">
        <v>968</v>
      </c>
      <c r="D1589" s="1" t="n">
        <v>272</v>
      </c>
      <c r="E1589" s="4">
        <f>IF(INDEX(C:C, ROW())+INDEX(D:D, ROW())=0, 0, INDEX(C:C, ROW())/(INDEX(C:C, ROW())+INDEX(D:D, ROW())))</f>
        <v/>
      </c>
      <c r="F1589" s="1" t="inlineStr">
        <is>
          <t>Array, Hash Table, Prefix Sum</t>
        </is>
      </c>
      <c r="G1589" s="1" t="inlineStr">
        <is>
          <t>Medium</t>
        </is>
      </c>
      <c r="H1589" s="1" t="n">
        <v>92498</v>
      </c>
      <c r="I1589" s="1" t="n">
        <v>159493</v>
      </c>
      <c r="J1589" s="9" t="n">
        <v>0.58</v>
      </c>
      <c r="K1589" s="1" t="inlineStr">
        <is>
          <t>Yes</t>
        </is>
      </c>
      <c r="L1589" s="1" t="inlineStr">
        <is>
          <t>Yes</t>
        </is>
      </c>
      <c r="M1589" s="1" t="inlineStr">
        <is>
          <t>No</t>
        </is>
      </c>
      <c r="N1589" s="1" t="inlineStr">
        <is>
          <t>Algorithms</t>
        </is>
      </c>
      <c r="O15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89" s="11" t="inlineStr">
        <is>
          <t>To Do</t>
        </is>
      </c>
    </row>
    <row r="1590" ht="15.75" customHeight="1" s="12">
      <c r="A1590" s="1" t="n">
        <v>420</v>
      </c>
      <c r="B1590" s="3">
        <f>HYPERLINK("https://leetcode.com/problems/strong-password-checker/", "Strong Password Checker")</f>
        <v/>
      </c>
      <c r="C1590" s="1" t="n">
        <v>967</v>
      </c>
      <c r="D1590" s="1" t="n">
        <v>1754</v>
      </c>
      <c r="E1590" s="4">
        <f>IF(INDEX(C:C, ROW())+INDEX(D:D, ROW())=0, 0, INDEX(C:C, ROW())/(INDEX(C:C, ROW())+INDEX(D:D, ROW())))</f>
        <v/>
      </c>
      <c r="F1590" s="1" t="inlineStr">
        <is>
          <t>String, Greedy, Heap (Priority Queue)</t>
        </is>
      </c>
      <c r="G1590" s="1" t="inlineStr">
        <is>
          <t>Hard</t>
        </is>
      </c>
      <c r="H1590" s="1" t="n">
        <v>56271</v>
      </c>
      <c r="I1590" s="1" t="n">
        <v>357193</v>
      </c>
      <c r="J1590" s="9" t="n">
        <v>0.158</v>
      </c>
      <c r="K1590" s="1" t="inlineStr">
        <is>
          <t>Yes</t>
        </is>
      </c>
      <c r="L1590" s="1" t="inlineStr">
        <is>
          <t>No</t>
        </is>
      </c>
      <c r="M1590" s="1" t="inlineStr">
        <is>
          <t>No</t>
        </is>
      </c>
      <c r="N1590" s="1" t="inlineStr">
        <is>
          <t>Algorithms</t>
        </is>
      </c>
      <c r="O15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90" s="11" t="inlineStr">
        <is>
          <t>To Do</t>
        </is>
      </c>
    </row>
    <row r="1591" ht="15.75" customHeight="1" s="12">
      <c r="A1591" s="1" t="n">
        <v>788</v>
      </c>
      <c r="B1591" s="3">
        <f>HYPERLINK("https://leetcode.com/problems/rotated-digits/", "Rotated Digits")</f>
        <v/>
      </c>
      <c r="C1591" s="1" t="n">
        <v>967</v>
      </c>
      <c r="D1591" s="1" t="n">
        <v>1974</v>
      </c>
      <c r="E1591" s="4">
        <f>IF(INDEX(C:C, ROW())+INDEX(D:D, ROW())=0, 0, INDEX(C:C, ROW())/(INDEX(C:C, ROW())+INDEX(D:D, ROW())))</f>
        <v/>
      </c>
      <c r="F1591" s="1" t="inlineStr">
        <is>
          <t>Math, Dynamic Programming</t>
        </is>
      </c>
      <c r="G1591" s="1" t="inlineStr">
        <is>
          <t>Medium</t>
        </is>
      </c>
      <c r="H1591" s="1" t="n">
        <v>216139</v>
      </c>
      <c r="I1591" s="1" t="n">
        <v>338335</v>
      </c>
      <c r="J1591" s="9" t="n">
        <v>0.639</v>
      </c>
      <c r="K1591" s="1" t="inlineStr">
        <is>
          <t>Yes</t>
        </is>
      </c>
      <c r="L1591" s="1" t="inlineStr">
        <is>
          <t>Yes</t>
        </is>
      </c>
      <c r="M1591" s="1" t="inlineStr">
        <is>
          <t>No</t>
        </is>
      </c>
      <c r="N1591" s="1" t="inlineStr">
        <is>
          <t>Algorithms</t>
        </is>
      </c>
      <c r="O15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91" s="11" t="inlineStr">
        <is>
          <t>To Do</t>
        </is>
      </c>
    </row>
    <row r="1592" ht="15.75" customHeight="1" s="12">
      <c r="A1592" s="1" t="n">
        <v>1745</v>
      </c>
      <c r="B1592" s="3">
        <f>HYPERLINK("https://leetcode.com/problems/palindrome-partitioning-iv/", "Palindrome Partitioning IV")</f>
        <v/>
      </c>
      <c r="C1592" s="1" t="n">
        <v>967</v>
      </c>
      <c r="D1592" s="1" t="n">
        <v>31</v>
      </c>
      <c r="E1592" s="4">
        <f>IF(INDEX(C:C, ROW())+INDEX(D:D, ROW())=0, 0, INDEX(C:C, ROW())/(INDEX(C:C, ROW())+INDEX(D:D, ROW())))</f>
        <v/>
      </c>
      <c r="F1592" s="1" t="inlineStr">
        <is>
          <t>String, Dynamic Programming</t>
        </is>
      </c>
      <c r="G1592" s="1" t="inlineStr">
        <is>
          <t>Hard</t>
        </is>
      </c>
      <c r="H1592" s="1" t="n">
        <v>33640</v>
      </c>
      <c r="I1592" s="1" t="n">
        <v>73981</v>
      </c>
      <c r="J1592" s="9" t="n">
        <v>0.455</v>
      </c>
      <c r="K1592" s="1" t="inlineStr">
        <is>
          <t>Yes</t>
        </is>
      </c>
      <c r="L1592" s="1" t="inlineStr">
        <is>
          <t>No</t>
        </is>
      </c>
      <c r="M1592" s="1" t="inlineStr">
        <is>
          <t>No</t>
        </is>
      </c>
      <c r="N1592" s="1" t="inlineStr">
        <is>
          <t>Algorithms</t>
        </is>
      </c>
      <c r="O15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92" s="11" t="inlineStr">
        <is>
          <t>To Do</t>
        </is>
      </c>
    </row>
    <row r="1593" ht="15.75" customHeight="1" s="12">
      <c r="A1593" s="1" t="n">
        <v>2349</v>
      </c>
      <c r="B1593" s="3">
        <f>HYPERLINK("https://leetcode.com/problems/design-a-number-container-system/", "Design a Number Container System")</f>
        <v/>
      </c>
      <c r="C1593" s="1" t="n">
        <v>967</v>
      </c>
      <c r="D1593" s="1" t="n">
        <v>74</v>
      </c>
      <c r="E1593" s="4">
        <f>IF(INDEX(C:C, ROW())+INDEX(D:D, ROW())=0, 0, INDEX(C:C, ROW())/(INDEX(C:C, ROW())+INDEX(D:D, ROW())))</f>
        <v/>
      </c>
      <c r="F1593" s="1" t="inlineStr">
        <is>
          <t>Hash Table, Design, Heap (Priority Queue), Ordered Set</t>
        </is>
      </c>
      <c r="G1593" s="1" t="inlineStr">
        <is>
          <t>Medium</t>
        </is>
      </c>
      <c r="H1593" s="1" t="n">
        <v>149452</v>
      </c>
      <c r="I1593" s="1" t="n">
        <v>261927</v>
      </c>
      <c r="J1593" s="9" t="n">
        <v>0.571</v>
      </c>
      <c r="K1593" s="1" t="inlineStr">
        <is>
          <t>Yes</t>
        </is>
      </c>
      <c r="L1593" s="1" t="inlineStr">
        <is>
          <t>Yes</t>
        </is>
      </c>
      <c r="M1593" s="1" t="inlineStr">
        <is>
          <t>No</t>
        </is>
      </c>
      <c r="N1593" s="1" t="inlineStr">
        <is>
          <t>Algorithms</t>
        </is>
      </c>
      <c r="O15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93" s="11" t="inlineStr">
        <is>
          <t>To Do</t>
        </is>
      </c>
    </row>
    <row r="1594" ht="15.75" customHeight="1" s="12">
      <c r="A1594" s="1" t="n">
        <v>369</v>
      </c>
      <c r="B1594" s="3">
        <f>HYPERLINK("https://leetcode.com/problems/plus-one-linked-list/", "Plus One Linked List")</f>
        <v/>
      </c>
      <c r="C1594" s="1" t="n">
        <v>966</v>
      </c>
      <c r="D1594" s="1" t="n">
        <v>48</v>
      </c>
      <c r="E1594" s="4">
        <f>IF(INDEX(C:C, ROW())+INDEX(D:D, ROW())=0, 0, INDEX(C:C, ROW())/(INDEX(C:C, ROW())+INDEX(D:D, ROW())))</f>
        <v/>
      </c>
      <c r="F1594" s="1" t="inlineStr">
        <is>
          <t>Linked List, Math</t>
        </is>
      </c>
      <c r="G1594" s="1" t="inlineStr">
        <is>
          <t>Medium</t>
        </is>
      </c>
      <c r="H1594" s="1" t="n">
        <v>88029</v>
      </c>
      <c r="I1594" s="1" t="n">
        <v>143760</v>
      </c>
      <c r="J1594" s="9" t="n">
        <v>0.612</v>
      </c>
      <c r="K1594" s="1" t="inlineStr">
        <is>
          <t>No</t>
        </is>
      </c>
      <c r="L1594" s="1" t="inlineStr">
        <is>
          <t>Yes</t>
        </is>
      </c>
      <c r="M1594" s="1" t="inlineStr">
        <is>
          <t>Yes</t>
        </is>
      </c>
      <c r="N1594" s="1" t="inlineStr">
        <is>
          <t>Algorithms</t>
        </is>
      </c>
      <c r="O15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94" s="11" t="inlineStr">
        <is>
          <t>To Do</t>
        </is>
      </c>
    </row>
    <row r="1595" ht="15.75" customHeight="1" s="12">
      <c r="A1595" s="1" t="n">
        <v>1066</v>
      </c>
      <c r="B1595" s="3">
        <f>HYPERLINK("https://leetcode.com/problems/campus-bikes-ii/", "Campus Bikes II")</f>
        <v/>
      </c>
      <c r="C1595" s="1" t="n">
        <v>966</v>
      </c>
      <c r="D1595" s="1" t="n">
        <v>90</v>
      </c>
      <c r="E1595" s="4">
        <f>IF(INDEX(C:C, ROW())+INDEX(D:D, ROW())=0, 0, INDEX(C:C, ROW())/(INDEX(C:C, ROW())+INDEX(D:D, ROW())))</f>
        <v/>
      </c>
      <c r="F1595" s="1" t="inlineStr">
        <is>
          <t>Array, Dynamic Programming, Backtracking, Bit Manipulation, Bitmask</t>
        </is>
      </c>
      <c r="G1595" s="1" t="inlineStr">
        <is>
          <t>Medium</t>
        </is>
      </c>
      <c r="H1595" s="1" t="n">
        <v>57376</v>
      </c>
      <c r="I1595" s="1" t="n">
        <v>102730</v>
      </c>
      <c r="J1595" s="9" t="n">
        <v>0.5590000000000001</v>
      </c>
      <c r="K1595" s="1" t="inlineStr">
        <is>
          <t>No</t>
        </is>
      </c>
      <c r="L1595" s="1" t="inlineStr">
        <is>
          <t>Yes</t>
        </is>
      </c>
      <c r="M1595" s="1" t="inlineStr">
        <is>
          <t>No</t>
        </is>
      </c>
      <c r="N1595" s="1" t="inlineStr">
        <is>
          <t>Algorithms</t>
        </is>
      </c>
      <c r="O15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95" s="11" t="inlineStr">
        <is>
          <t>To Do</t>
        </is>
      </c>
    </row>
    <row r="1596" ht="15.75" customHeight="1" s="12">
      <c r="A1596" s="1" t="n">
        <v>756</v>
      </c>
      <c r="B1596" s="3">
        <f>HYPERLINK("https://leetcode.com/problems/pyramid-transition-matrix/", "Pyramid Transition Matrix")</f>
        <v/>
      </c>
      <c r="C1596" s="1" t="n">
        <v>964</v>
      </c>
      <c r="D1596" s="1" t="n">
        <v>552</v>
      </c>
      <c r="E1596" s="4">
        <f>IF(INDEX(C:C, ROW())+INDEX(D:D, ROW())=0, 0, INDEX(C:C, ROW())/(INDEX(C:C, ROW())+INDEX(D:D, ROW())))</f>
        <v/>
      </c>
      <c r="F1596" s="1" t="inlineStr">
        <is>
          <t>Hash Table, String, Backtracking, Bit Manipulation</t>
        </is>
      </c>
      <c r="G1596" s="1" t="inlineStr">
        <is>
          <t>Medium</t>
        </is>
      </c>
      <c r="H1596" s="1" t="n">
        <v>108031</v>
      </c>
      <c r="I1596" s="1" t="n">
        <v>178306</v>
      </c>
      <c r="J1596" s="9" t="n">
        <v>0.606</v>
      </c>
      <c r="K1596" s="1" t="inlineStr">
        <is>
          <t>Yes</t>
        </is>
      </c>
      <c r="L1596" s="1" t="inlineStr">
        <is>
          <t>Yes</t>
        </is>
      </c>
      <c r="M1596" s="1" t="inlineStr">
        <is>
          <t>No</t>
        </is>
      </c>
      <c r="N1596" s="1" t="inlineStr">
        <is>
          <t>Algorithms</t>
        </is>
      </c>
      <c r="O15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96" s="11" t="inlineStr">
        <is>
          <t>To Do</t>
        </is>
      </c>
    </row>
    <row r="1597" ht="15.75" customHeight="1" s="12">
      <c r="A1597" s="1" t="n">
        <v>247</v>
      </c>
      <c r="B1597" s="3">
        <f>HYPERLINK("https://leetcode.com/problems/strobogrammatic-number-ii/", "Strobogrammatic Number II")</f>
        <v/>
      </c>
      <c r="C1597" s="1" t="n">
        <v>962</v>
      </c>
      <c r="D1597" s="1" t="n">
        <v>263</v>
      </c>
      <c r="E1597" s="4">
        <f>IF(INDEX(C:C, ROW())+INDEX(D:D, ROW())=0, 0, INDEX(C:C, ROW())/(INDEX(C:C, ROW())+INDEX(D:D, ROW())))</f>
        <v/>
      </c>
      <c r="F1597" s="1" t="inlineStr">
        <is>
          <t>Array, String, Recursion</t>
        </is>
      </c>
      <c r="G1597" s="1" t="inlineStr">
        <is>
          <t>Medium</t>
        </is>
      </c>
      <c r="H1597" s="1" t="n">
        <v>162310</v>
      </c>
      <c r="I1597" s="1" t="n">
        <v>303283</v>
      </c>
      <c r="J1597" s="9" t="n">
        <v>0.535</v>
      </c>
      <c r="K1597" s="1" t="inlineStr">
        <is>
          <t>No</t>
        </is>
      </c>
      <c r="L1597" s="1" t="inlineStr">
        <is>
          <t>Yes</t>
        </is>
      </c>
      <c r="M1597" s="1" t="inlineStr">
        <is>
          <t>No</t>
        </is>
      </c>
      <c r="N1597" s="1" t="inlineStr">
        <is>
          <t>Algorithms</t>
        </is>
      </c>
      <c r="O15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97" s="11" t="inlineStr">
        <is>
          <t>To Do</t>
        </is>
      </c>
    </row>
    <row r="1598" ht="15.75" customHeight="1" s="12">
      <c r="A1598" s="1" t="n">
        <v>2191</v>
      </c>
      <c r="B1598" s="3">
        <f>HYPERLINK("https://leetcode.com/problems/sort-the-jumbled-numbers/", "Sort the Jumbled Numbers")</f>
        <v/>
      </c>
      <c r="C1598" s="1" t="n">
        <v>960</v>
      </c>
      <c r="D1598" s="1" t="n">
        <v>140</v>
      </c>
      <c r="E1598" s="4">
        <f>IF(INDEX(C:C, ROW())+INDEX(D:D, ROW())=0, 0, INDEX(C:C, ROW())/(INDEX(C:C, ROW())+INDEX(D:D, ROW())))</f>
        <v/>
      </c>
      <c r="F1598" s="1" t="inlineStr">
        <is>
          <t>Array, Sorting</t>
        </is>
      </c>
      <c r="G1598" s="1" t="inlineStr">
        <is>
          <t>Medium</t>
        </is>
      </c>
      <c r="H1598" s="1" t="n">
        <v>155734</v>
      </c>
      <c r="I1598" s="1" t="n">
        <v>259725</v>
      </c>
      <c r="J1598" s="9" t="n">
        <v>0.6</v>
      </c>
      <c r="K1598" s="1" t="inlineStr">
        <is>
          <t>Yes</t>
        </is>
      </c>
      <c r="L1598" s="1" t="inlineStr">
        <is>
          <t>Yes</t>
        </is>
      </c>
      <c r="M1598" s="1" t="inlineStr">
        <is>
          <t>No</t>
        </is>
      </c>
      <c r="N1598" s="1" t="inlineStr">
        <is>
          <t>Algorithms</t>
        </is>
      </c>
      <c r="O15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98" s="11" t="inlineStr">
        <is>
          <t>To Do</t>
        </is>
      </c>
    </row>
    <row r="1599" ht="15.75" customHeight="1" s="12">
      <c r="A1599" s="1" t="n">
        <v>2407</v>
      </c>
      <c r="B1599" s="3">
        <f>HYPERLINK("https://leetcode.com/problems/longest-increasing-subsequence-ii/", "Longest Increasing Subsequence II")</f>
        <v/>
      </c>
      <c r="C1599" s="1" t="n">
        <v>960</v>
      </c>
      <c r="D1599" s="1" t="n">
        <v>41</v>
      </c>
      <c r="E1599" s="4">
        <f>IF(INDEX(C:C, ROW())+INDEX(D:D, ROW())=0, 0, INDEX(C:C, ROW())/(INDEX(C:C, ROW())+INDEX(D:D, ROW())))</f>
        <v/>
      </c>
      <c r="F1599" s="1" t="inlineStr">
        <is>
          <t>Array, Divide and Conquer, Dynamic Programming, Binary Indexed Tree, Segment Tree, Queue, Monotonic Queue</t>
        </is>
      </c>
      <c r="G1599" s="1" t="inlineStr">
        <is>
          <t>Hard</t>
        </is>
      </c>
      <c r="H1599" s="1" t="n">
        <v>24517</v>
      </c>
      <c r="I1599" s="1" t="n">
        <v>93402</v>
      </c>
      <c r="J1599" s="9" t="n">
        <v>0.262</v>
      </c>
      <c r="K1599" s="1" t="inlineStr">
        <is>
          <t>Yes</t>
        </is>
      </c>
      <c r="L1599" s="1" t="inlineStr">
        <is>
          <t>No</t>
        </is>
      </c>
      <c r="M1599" s="1" t="inlineStr">
        <is>
          <t>No</t>
        </is>
      </c>
      <c r="N1599" s="1" t="inlineStr">
        <is>
          <t>Algorithms</t>
        </is>
      </c>
      <c r="O15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599" s="11" t="inlineStr">
        <is>
          <t>To Do</t>
        </is>
      </c>
    </row>
    <row r="1600" ht="15.75" customHeight="1" s="12">
      <c r="A1600" s="1" t="n">
        <v>391</v>
      </c>
      <c r="B1600" s="3">
        <f>HYPERLINK("https://leetcode.com/problems/perfect-rectangle/", "Perfect Rectangle")</f>
        <v/>
      </c>
      <c r="C1600" s="1" t="n">
        <v>958</v>
      </c>
      <c r="D1600" s="1" t="n">
        <v>120</v>
      </c>
      <c r="E1600" s="4">
        <f>IF(INDEX(C:C, ROW())+INDEX(D:D, ROW())=0, 0, INDEX(C:C, ROW())/(INDEX(C:C, ROW())+INDEX(D:D, ROW())))</f>
        <v/>
      </c>
      <c r="F1600" s="1" t="inlineStr">
        <is>
          <t>Array, Hash Table, Math, Geometry, Sweep Line</t>
        </is>
      </c>
      <c r="G1600" s="1" t="inlineStr">
        <is>
          <t>Hard</t>
        </is>
      </c>
      <c r="H1600" s="1" t="n">
        <v>61558</v>
      </c>
      <c r="I1600" s="1" t="n">
        <v>162313</v>
      </c>
      <c r="J1600" s="9" t="n">
        <v>0.379</v>
      </c>
      <c r="K1600" s="1" t="inlineStr">
        <is>
          <t>Yes</t>
        </is>
      </c>
      <c r="L1600" s="1" t="inlineStr">
        <is>
          <t>No</t>
        </is>
      </c>
      <c r="M1600" s="1" t="inlineStr">
        <is>
          <t>No</t>
        </is>
      </c>
      <c r="N1600" s="1" t="inlineStr">
        <is>
          <t>Algorithms</t>
        </is>
      </c>
      <c r="O16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00" s="11" t="inlineStr">
        <is>
          <t>To Do</t>
        </is>
      </c>
    </row>
    <row r="1601" ht="15.75" customHeight="1" s="12">
      <c r="A1601" s="1" t="n">
        <v>2259</v>
      </c>
      <c r="B1601" s="3">
        <f>HYPERLINK("https://leetcode.com/problems/remove-digit-from-number-to-maximize-result/", "Remove Digit From Number to Maximize Result")</f>
        <v/>
      </c>
      <c r="C1601" s="1" t="n">
        <v>958</v>
      </c>
      <c r="D1601" s="1" t="n">
        <v>66</v>
      </c>
      <c r="E1601" s="4">
        <f>IF(INDEX(C:C, ROW())+INDEX(D:D, ROW())=0, 0, INDEX(C:C, ROW())/(INDEX(C:C, ROW())+INDEX(D:D, ROW())))</f>
        <v/>
      </c>
      <c r="F1601" s="1" t="inlineStr">
        <is>
          <t>String, Greedy, Enumeration</t>
        </is>
      </c>
      <c r="G1601" s="1" t="inlineStr">
        <is>
          <t>Easy</t>
        </is>
      </c>
      <c r="H1601" s="1" t="n">
        <v>129930</v>
      </c>
      <c r="I1601" s="1" t="n">
        <v>268134</v>
      </c>
      <c r="J1601" s="9" t="n">
        <v>0.485</v>
      </c>
      <c r="K1601" s="1" t="inlineStr">
        <is>
          <t>Yes</t>
        </is>
      </c>
      <c r="L1601" s="1" t="inlineStr">
        <is>
          <t>No</t>
        </is>
      </c>
      <c r="M1601" s="1" t="inlineStr">
        <is>
          <t>No</t>
        </is>
      </c>
      <c r="N1601" s="1" t="inlineStr">
        <is>
          <t>Algorithms</t>
        </is>
      </c>
      <c r="O16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01" s="13" t="inlineStr">
        <is>
          <t>Done</t>
        </is>
      </c>
    </row>
    <row r="1602" ht="15.75" customHeight="1" s="12">
      <c r="A1602" s="1" t="n">
        <v>1229</v>
      </c>
      <c r="B1602" s="3">
        <f>HYPERLINK("https://leetcode.com/problems/meeting-scheduler/", "Meeting Scheduler")</f>
        <v/>
      </c>
      <c r="C1602" s="1" t="n">
        <v>957</v>
      </c>
      <c r="D1602" s="1" t="n">
        <v>39</v>
      </c>
      <c r="E1602" s="4">
        <f>IF(INDEX(C:C, ROW())+INDEX(D:D, ROW())=0, 0, INDEX(C:C, ROW())/(INDEX(C:C, ROW())+INDEX(D:D, ROW())))</f>
        <v/>
      </c>
      <c r="F1602" s="1" t="inlineStr">
        <is>
          <t>Array, Two Pointers, Sorting</t>
        </is>
      </c>
      <c r="G1602" s="1" t="inlineStr">
        <is>
          <t>Medium</t>
        </is>
      </c>
      <c r="H1602" s="1" t="n">
        <v>105476</v>
      </c>
      <c r="I1602" s="1" t="n">
        <v>191071</v>
      </c>
      <c r="J1602" s="9" t="n">
        <v>0.552</v>
      </c>
      <c r="K1602" s="1" t="inlineStr">
        <is>
          <t>No</t>
        </is>
      </c>
      <c r="L1602" s="1" t="inlineStr">
        <is>
          <t>Yes</t>
        </is>
      </c>
      <c r="M1602" s="1" t="inlineStr">
        <is>
          <t>No</t>
        </is>
      </c>
      <c r="N1602" s="1" t="inlineStr">
        <is>
          <t>Algorithms</t>
        </is>
      </c>
      <c r="O16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02" s="11" t="inlineStr">
        <is>
          <t>To Do</t>
        </is>
      </c>
    </row>
    <row r="1603" ht="15.75" customHeight="1" s="12">
      <c r="A1603" s="1" t="n">
        <v>2658</v>
      </c>
      <c r="B1603" s="3">
        <f>HYPERLINK("https://leetcode.com/problems/maximum-number-of-fish-in-a-grid/", "Maximum Number of Fish in a Grid")</f>
        <v/>
      </c>
      <c r="C1603" s="1" t="n">
        <v>955</v>
      </c>
      <c r="D1603" s="1" t="n">
        <v>67</v>
      </c>
      <c r="E1603" s="4">
        <f>IF(INDEX(C:C, ROW())+INDEX(D:D, ROW())=0, 0, INDEX(C:C, ROW())/(INDEX(C:C, ROW())+INDEX(D:D, ROW())))</f>
        <v/>
      </c>
      <c r="F1603" s="1" t="inlineStr">
        <is>
          <t>Array, Depth-First Search, Breadth-First Search, Union-Find, Matrix</t>
        </is>
      </c>
      <c r="G1603" s="1" t="inlineStr">
        <is>
          <t>Medium</t>
        </is>
      </c>
      <c r="H1603" s="1" t="n">
        <v>163783</v>
      </c>
      <c r="I1603" s="1" t="n">
        <v>232128</v>
      </c>
      <c r="J1603" s="9" t="n">
        <v>0.706</v>
      </c>
      <c r="K1603" s="1" t="inlineStr">
        <is>
          <t>Yes</t>
        </is>
      </c>
      <c r="L1603" s="1" t="inlineStr">
        <is>
          <t>Yes</t>
        </is>
      </c>
      <c r="M1603" s="1" t="inlineStr">
        <is>
          <t>No</t>
        </is>
      </c>
      <c r="N1603" s="1" t="inlineStr">
        <is>
          <t>Algorithms</t>
        </is>
      </c>
      <c r="O16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03" s="11" t="inlineStr">
        <is>
          <t>To Do</t>
        </is>
      </c>
    </row>
    <row r="1604" ht="15.75" customHeight="1" s="12">
      <c r="A1604" s="1" t="n">
        <v>2684</v>
      </c>
      <c r="B1604" s="3">
        <f>HYPERLINK("https://leetcode.com/problems/maximum-number-of-moves-in-a-grid/", "Maximum Number of Moves in a Grid")</f>
        <v/>
      </c>
      <c r="C1604" s="1" t="n">
        <v>955</v>
      </c>
      <c r="D1604" s="1" t="n">
        <v>28</v>
      </c>
      <c r="E1604" s="4">
        <f>IF(INDEX(C:C, ROW())+INDEX(D:D, ROW())=0, 0, INDEX(C:C, ROW())/(INDEX(C:C, ROW())+INDEX(D:D, ROW())))</f>
        <v/>
      </c>
      <c r="F1604" s="1" t="inlineStr">
        <is>
          <t>Array, Dynamic Programming, Matrix</t>
        </is>
      </c>
      <c r="G1604" s="1" t="inlineStr">
        <is>
          <t>Medium</t>
        </is>
      </c>
      <c r="H1604" s="1" t="n">
        <v>133200</v>
      </c>
      <c r="I1604" s="1" t="n">
        <v>226728</v>
      </c>
      <c r="J1604" s="9" t="n">
        <v>0.587</v>
      </c>
      <c r="K1604" s="1" t="inlineStr">
        <is>
          <t>Yes</t>
        </is>
      </c>
      <c r="L1604" s="1" t="inlineStr">
        <is>
          <t>Yes</t>
        </is>
      </c>
      <c r="M1604" s="1" t="inlineStr">
        <is>
          <t>No</t>
        </is>
      </c>
      <c r="N1604" s="1" t="inlineStr">
        <is>
          <t>Algorithms</t>
        </is>
      </c>
      <c r="O16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04" s="11" t="inlineStr">
        <is>
          <t>To Do</t>
        </is>
      </c>
    </row>
    <row r="1605" ht="15.75" customHeight="1" s="12">
      <c r="A1605" s="1" t="n">
        <v>2872</v>
      </c>
      <c r="B1605" s="3">
        <f>HYPERLINK("https://leetcode.com/problems/maximum-number-of-k-divisible-components/", "Maximum Number of K-Divisible Components")</f>
        <v/>
      </c>
      <c r="C1605" s="1" t="n">
        <v>951</v>
      </c>
      <c r="D1605" s="1" t="n">
        <v>41</v>
      </c>
      <c r="E1605" s="4">
        <f>IF(INDEX(C:C, ROW())+INDEX(D:D, ROW())=0, 0, INDEX(C:C, ROW())/(INDEX(C:C, ROW())+INDEX(D:D, ROW())))</f>
        <v/>
      </c>
      <c r="F1605" s="1" t="inlineStr">
        <is>
          <t>Tree, Depth-First Search</t>
        </is>
      </c>
      <c r="G1605" s="1" t="inlineStr">
        <is>
          <t>Hard</t>
        </is>
      </c>
      <c r="H1605" s="1" t="n">
        <v>146099</v>
      </c>
      <c r="I1605" s="1" t="n">
        <v>197334</v>
      </c>
      <c r="J1605" s="9" t="n">
        <v>0.74</v>
      </c>
      <c r="K1605" s="1" t="inlineStr">
        <is>
          <t>Yes</t>
        </is>
      </c>
      <c r="L1605" s="1" t="inlineStr">
        <is>
          <t>Yes</t>
        </is>
      </c>
      <c r="M1605" s="1" t="inlineStr">
        <is>
          <t>No</t>
        </is>
      </c>
      <c r="N1605" s="1" t="inlineStr">
        <is>
          <t>Algorithms</t>
        </is>
      </c>
      <c r="O16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05" s="11" t="inlineStr">
        <is>
          <t>To Do</t>
        </is>
      </c>
    </row>
    <row r="1606" ht="15.75" customHeight="1" s="12">
      <c r="A1606" s="1" t="n">
        <v>393</v>
      </c>
      <c r="B1606" s="3">
        <f>HYPERLINK("https://leetcode.com/problems/utf-8-validation/", "UTF-8 Validation")</f>
        <v/>
      </c>
      <c r="C1606" s="1" t="n">
        <v>949</v>
      </c>
      <c r="D1606" s="1" t="n">
        <v>2888</v>
      </c>
      <c r="E1606" s="4">
        <f>IF(INDEX(C:C, ROW())+INDEX(D:D, ROW())=0, 0, INDEX(C:C, ROW())/(INDEX(C:C, ROW())+INDEX(D:D, ROW())))</f>
        <v/>
      </c>
      <c r="F1606" s="1" t="inlineStr">
        <is>
          <t>Array, Bit Manipulation</t>
        </is>
      </c>
      <c r="G1606" s="1" t="inlineStr">
        <is>
          <t>Medium</t>
        </is>
      </c>
      <c r="H1606" s="1" t="n">
        <v>140574</v>
      </c>
      <c r="I1606" s="1" t="n">
        <v>304095</v>
      </c>
      <c r="J1606" s="9" t="n">
        <v>0.462</v>
      </c>
      <c r="K1606" s="1" t="inlineStr">
        <is>
          <t>Yes</t>
        </is>
      </c>
      <c r="L1606" s="1" t="inlineStr">
        <is>
          <t>Yes</t>
        </is>
      </c>
      <c r="M1606" s="1" t="inlineStr">
        <is>
          <t>No</t>
        </is>
      </c>
      <c r="N1606" s="1" t="inlineStr">
        <is>
          <t>Algorithms</t>
        </is>
      </c>
      <c r="O16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06" s="11" t="inlineStr">
        <is>
          <t>To Do</t>
        </is>
      </c>
    </row>
    <row r="1607" ht="15.75" customHeight="1" s="12">
      <c r="A1607" s="1" t="n">
        <v>585</v>
      </c>
      <c r="B1607" s="3">
        <f>HYPERLINK("https://leetcode.com/problems/investments-in-2016/", "Investments in 2016")</f>
        <v/>
      </c>
      <c r="C1607" s="1" t="n">
        <v>949</v>
      </c>
      <c r="D1607" s="1" t="n">
        <v>638</v>
      </c>
      <c r="E1607" s="4">
        <f>IF(INDEX(C:C, ROW())+INDEX(D:D, ROW())=0, 0, INDEX(C:C, ROW())/(INDEX(C:C, ROW())+INDEX(D:D, ROW())))</f>
        <v/>
      </c>
      <c r="F1607" s="1" t="inlineStr">
        <is>
          <t>Database</t>
        </is>
      </c>
      <c r="G1607" s="1" t="inlineStr">
        <is>
          <t>Medium</t>
        </is>
      </c>
      <c r="H1607" s="1" t="n">
        <v>317724</v>
      </c>
      <c r="I1607" s="1" t="n">
        <v>622358</v>
      </c>
      <c r="J1607" s="9" t="n">
        <v>0.511</v>
      </c>
      <c r="K1607" s="1" t="inlineStr">
        <is>
          <t>Yes</t>
        </is>
      </c>
      <c r="L1607" s="1" t="inlineStr">
        <is>
          <t>Yes</t>
        </is>
      </c>
      <c r="M1607" s="1" t="inlineStr">
        <is>
          <t>No</t>
        </is>
      </c>
      <c r="N1607" s="1" t="inlineStr">
        <is>
          <t>Database</t>
        </is>
      </c>
      <c r="O16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07" s="11" t="inlineStr">
        <is>
          <t>To Do</t>
        </is>
      </c>
    </row>
    <row r="1608" ht="15.75" customHeight="1" s="12">
      <c r="A1608" s="1" t="n">
        <v>2561</v>
      </c>
      <c r="B1608" s="3">
        <f>HYPERLINK("https://leetcode.com/problems/rearranging-fruits/", "Rearranging Fruits")</f>
        <v/>
      </c>
      <c r="C1608" s="1" t="n">
        <v>947</v>
      </c>
      <c r="D1608" s="1" t="n">
        <v>58</v>
      </c>
      <c r="E1608" s="4">
        <f>IF(INDEX(C:C, ROW())+INDEX(D:D, ROW())=0, 0, INDEX(C:C, ROW())/(INDEX(C:C, ROW())+INDEX(D:D, ROW())))</f>
        <v/>
      </c>
      <c r="F1608" s="1" t="inlineStr">
        <is>
          <t>Array, Hash Table, Greedy, Sort</t>
        </is>
      </c>
      <c r="G1608" s="1" t="inlineStr">
        <is>
          <t>Hard</t>
        </is>
      </c>
      <c r="H1608" s="1" t="n">
        <v>98609</v>
      </c>
      <c r="I1608" s="1" t="n">
        <v>172034</v>
      </c>
      <c r="J1608" s="9" t="n">
        <v>0.573</v>
      </c>
      <c r="K1608" s="1" t="inlineStr">
        <is>
          <t>Yes</t>
        </is>
      </c>
      <c r="L1608" s="1" t="inlineStr">
        <is>
          <t>Yes</t>
        </is>
      </c>
      <c r="M1608" s="1" t="inlineStr">
        <is>
          <t>No</t>
        </is>
      </c>
      <c r="N1608" s="1" t="inlineStr">
        <is>
          <t>Algorithms</t>
        </is>
      </c>
      <c r="O16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08" s="11" t="inlineStr">
        <is>
          <t>To Do</t>
        </is>
      </c>
    </row>
    <row r="1609" ht="15.75" customHeight="1" s="12">
      <c r="A1609" s="1" t="n">
        <v>2171</v>
      </c>
      <c r="B1609" s="3">
        <f>HYPERLINK("https://leetcode.com/problems/removing-minimum-number-of-magic-beans/", "Removing Minimum Number of Magic Beans")</f>
        <v/>
      </c>
      <c r="C1609" s="1" t="n">
        <v>946</v>
      </c>
      <c r="D1609" s="1" t="n">
        <v>50</v>
      </c>
      <c r="E1609" s="4">
        <f>IF(INDEX(C:C, ROW())+INDEX(D:D, ROW())=0, 0, INDEX(C:C, ROW())/(INDEX(C:C, ROW())+INDEX(D:D, ROW())))</f>
        <v/>
      </c>
      <c r="F1609" s="1" t="inlineStr">
        <is>
          <t>Array, Greedy, Sorting, Enumeration, Prefix Sum</t>
        </is>
      </c>
      <c r="G1609" s="1" t="inlineStr">
        <is>
          <t>Medium</t>
        </is>
      </c>
      <c r="H1609" s="1" t="n">
        <v>35995</v>
      </c>
      <c r="I1609" s="1" t="n">
        <v>80743</v>
      </c>
      <c r="J1609" s="9" t="n">
        <v>0.446</v>
      </c>
      <c r="K1609" s="1" t="inlineStr">
        <is>
          <t>Yes</t>
        </is>
      </c>
      <c r="L1609" s="1" t="inlineStr">
        <is>
          <t>No</t>
        </is>
      </c>
      <c r="M1609" s="1" t="inlineStr">
        <is>
          <t>No</t>
        </is>
      </c>
      <c r="N1609" s="1" t="inlineStr">
        <is>
          <t>Algorithms</t>
        </is>
      </c>
      <c r="O16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09" s="11" t="inlineStr">
        <is>
          <t>To Do</t>
        </is>
      </c>
    </row>
    <row r="1610" ht="15.75" customHeight="1" s="12">
      <c r="A1610" s="1" t="n">
        <v>2266</v>
      </c>
      <c r="B1610" s="3">
        <f>HYPERLINK("https://leetcode.com/problems/count-number-of-texts/", "Count Number of Texts")</f>
        <v/>
      </c>
      <c r="C1610" s="1" t="n">
        <v>946</v>
      </c>
      <c r="D1610" s="1" t="n">
        <v>36</v>
      </c>
      <c r="E1610" s="4">
        <f>IF(INDEX(C:C, ROW())+INDEX(D:D, ROW())=0, 0, INDEX(C:C, ROW())/(INDEX(C:C, ROW())+INDEX(D:D, ROW())))</f>
        <v/>
      </c>
      <c r="F1610" s="1" t="inlineStr">
        <is>
          <t>Hash Table, Math, String, Dynamic Programming</t>
        </is>
      </c>
      <c r="G1610" s="1" t="inlineStr">
        <is>
          <t>Medium</t>
        </is>
      </c>
      <c r="H1610" s="1" t="n">
        <v>29873</v>
      </c>
      <c r="I1610" s="1" t="n">
        <v>59546</v>
      </c>
      <c r="J1610" s="9" t="n">
        <v>0.502</v>
      </c>
      <c r="K1610" s="1" t="inlineStr">
        <is>
          <t>Yes</t>
        </is>
      </c>
      <c r="L1610" s="1" t="inlineStr">
        <is>
          <t>No</t>
        </is>
      </c>
      <c r="M1610" s="1" t="inlineStr">
        <is>
          <t>No</t>
        </is>
      </c>
      <c r="N1610" s="1" t="inlineStr">
        <is>
          <t>Algorithms</t>
        </is>
      </c>
      <c r="O16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10" s="11" t="inlineStr">
        <is>
          <t>To Do</t>
        </is>
      </c>
    </row>
    <row r="1611" ht="15.75" customHeight="1" s="12">
      <c r="A1611" s="1" t="n">
        <v>291</v>
      </c>
      <c r="B1611" s="3">
        <f>HYPERLINK("https://leetcode.com/problems/word-pattern-ii/", "Word Pattern II")</f>
        <v/>
      </c>
      <c r="C1611" s="1" t="n">
        <v>944</v>
      </c>
      <c r="D1611" s="1" t="n">
        <v>78</v>
      </c>
      <c r="E1611" s="4">
        <f>IF(INDEX(C:C, ROW())+INDEX(D:D, ROW())=0, 0, INDEX(C:C, ROW())/(INDEX(C:C, ROW())+INDEX(D:D, ROW())))</f>
        <v/>
      </c>
      <c r="F1611" s="1" t="inlineStr">
        <is>
          <t>Hash Table, String, Backtracking</t>
        </is>
      </c>
      <c r="G1611" s="1" t="inlineStr">
        <is>
          <t>Medium</t>
        </is>
      </c>
      <c r="H1611" s="1" t="n">
        <v>83819</v>
      </c>
      <c r="I1611" s="1" t="n">
        <v>171684</v>
      </c>
      <c r="J1611" s="9" t="n">
        <v>0.488</v>
      </c>
      <c r="K1611" s="1" t="inlineStr">
        <is>
          <t>No</t>
        </is>
      </c>
      <c r="L1611" s="1" t="inlineStr">
        <is>
          <t>Yes</t>
        </is>
      </c>
      <c r="M1611" s="1" t="inlineStr">
        <is>
          <t>No</t>
        </is>
      </c>
      <c r="N1611" s="1" t="inlineStr">
        <is>
          <t>Algorithms</t>
        </is>
      </c>
      <c r="O16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11" s="11" t="inlineStr">
        <is>
          <t>To Do</t>
        </is>
      </c>
    </row>
    <row r="1612" ht="15.75" customHeight="1" s="12">
      <c r="A1612" s="1" t="n">
        <v>2593</v>
      </c>
      <c r="B1612" s="3">
        <f>HYPERLINK("https://leetcode.com/problems/find-score-of-an-array-after-marking-all-elements/", "Find Score of an Array After Marking All Elements")</f>
        <v/>
      </c>
      <c r="C1612" s="1" t="n">
        <v>944</v>
      </c>
      <c r="D1612" s="1" t="n">
        <v>22</v>
      </c>
      <c r="E1612" s="4">
        <f>IF(INDEX(C:C, ROW())+INDEX(D:D, ROW())=0, 0, INDEX(C:C, ROW())/(INDEX(C:C, ROW())+INDEX(D:D, ROW())))</f>
        <v/>
      </c>
      <c r="F1612" s="1" t="inlineStr">
        <is>
          <t>Array, Hash Table, Sorting, Heap (Priority Queue), Simulation</t>
        </is>
      </c>
      <c r="G1612" s="1" t="inlineStr">
        <is>
          <t>Medium</t>
        </is>
      </c>
      <c r="H1612" s="1" t="n">
        <v>136024</v>
      </c>
      <c r="I1612" s="1" t="n">
        <v>210881</v>
      </c>
      <c r="J1612" s="9" t="n">
        <v>0.645</v>
      </c>
      <c r="K1612" s="1" t="inlineStr">
        <is>
          <t>Yes</t>
        </is>
      </c>
      <c r="L1612" s="1" t="inlineStr">
        <is>
          <t>Yes</t>
        </is>
      </c>
      <c r="M1612" s="1" t="inlineStr">
        <is>
          <t>No</t>
        </is>
      </c>
      <c r="N1612" s="1" t="inlineStr">
        <is>
          <t>Algorithms</t>
        </is>
      </c>
      <c r="O16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12" s="11" t="inlineStr">
        <is>
          <t>To Do</t>
        </is>
      </c>
    </row>
    <row r="1613" ht="15.75" customHeight="1" s="12">
      <c r="A1613" s="1" t="n">
        <v>1899</v>
      </c>
      <c r="B1613" s="3">
        <f>HYPERLINK("https://leetcode.com/problems/merge-triplets-to-form-target-triplet/", "Merge Triplets to Form Target Triplet")</f>
        <v/>
      </c>
      <c r="C1613" s="1" t="n">
        <v>943</v>
      </c>
      <c r="D1613" s="1" t="n">
        <v>81</v>
      </c>
      <c r="E1613" s="4">
        <f>IF(INDEX(C:C, ROW())+INDEX(D:D, ROW())=0, 0, INDEX(C:C, ROW())/(INDEX(C:C, ROW())+INDEX(D:D, ROW())))</f>
        <v/>
      </c>
      <c r="F1613" s="1" t="inlineStr">
        <is>
          <t>Array, Greedy</t>
        </is>
      </c>
      <c r="G1613" s="1" t="inlineStr">
        <is>
          <t>Medium</t>
        </is>
      </c>
      <c r="H1613" s="1" t="n">
        <v>119799</v>
      </c>
      <c r="I1613" s="1" t="n">
        <v>173597</v>
      </c>
      <c r="J1613" s="9" t="n">
        <v>0.6899999999999999</v>
      </c>
      <c r="K1613" s="1" t="inlineStr">
        <is>
          <t>Yes</t>
        </is>
      </c>
      <c r="L1613" s="1" t="inlineStr">
        <is>
          <t>No</t>
        </is>
      </c>
      <c r="M1613" s="1" t="inlineStr">
        <is>
          <t>No</t>
        </is>
      </c>
      <c r="N1613" s="1" t="inlineStr">
        <is>
          <t>Algorithms</t>
        </is>
      </c>
      <c r="O16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13" s="11" t="inlineStr">
        <is>
          <t>To Do</t>
        </is>
      </c>
    </row>
    <row r="1614" ht="15.75" customHeight="1" s="12">
      <c r="A1614" s="1" t="n">
        <v>3075</v>
      </c>
      <c r="B1614" s="3">
        <f>HYPERLINK("https://leetcode.com/problems/maximize-happiness-of-selected-children/", "Maximize Happiness of Selected Children")</f>
        <v/>
      </c>
      <c r="C1614" s="1" t="n">
        <v>943</v>
      </c>
      <c r="D1614" s="1" t="n">
        <v>100</v>
      </c>
      <c r="E1614" s="4">
        <f>IF(INDEX(C:C, ROW())+INDEX(D:D, ROW())=0, 0, INDEX(C:C, ROW())/(INDEX(C:C, ROW())+INDEX(D:D, ROW())))</f>
        <v/>
      </c>
      <c r="F1614" s="1" t="inlineStr">
        <is>
          <t>Array, Greedy, Sorting</t>
        </is>
      </c>
      <c r="G1614" s="1" t="inlineStr">
        <is>
          <t>Medium</t>
        </is>
      </c>
      <c r="H1614" s="1" t="n">
        <v>288165</v>
      </c>
      <c r="I1614" s="1" t="n">
        <v>490865</v>
      </c>
      <c r="J1614" s="9" t="n">
        <v>0.587</v>
      </c>
      <c r="K1614" s="1" t="inlineStr">
        <is>
          <t>Yes</t>
        </is>
      </c>
      <c r="L1614" s="1" t="inlineStr">
        <is>
          <t>Yes</t>
        </is>
      </c>
      <c r="M1614" s="1" t="inlineStr">
        <is>
          <t>No</t>
        </is>
      </c>
      <c r="N1614" s="1" t="inlineStr">
        <is>
          <t>Algorithms</t>
        </is>
      </c>
      <c r="O16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14" s="11" t="inlineStr">
        <is>
          <t>To Do</t>
        </is>
      </c>
    </row>
    <row r="1615" ht="15.75" customHeight="1" s="12">
      <c r="A1615" s="1" t="n">
        <v>1640</v>
      </c>
      <c r="B1615" s="3">
        <f>HYPERLINK("https://leetcode.com/problems/check-array-formation-through-concatenation/", "Check Array Formation Through Concatenation")</f>
        <v/>
      </c>
      <c r="C1615" s="1" t="n">
        <v>942</v>
      </c>
      <c r="D1615" s="1" t="n">
        <v>143</v>
      </c>
      <c r="E1615" s="4">
        <f>IF(INDEX(C:C, ROW())+INDEX(D:D, ROW())=0, 0, INDEX(C:C, ROW())/(INDEX(C:C, ROW())+INDEX(D:D, ROW())))</f>
        <v/>
      </c>
      <c r="F1615" s="1" t="inlineStr">
        <is>
          <t>Array, Hash Table</t>
        </is>
      </c>
      <c r="G1615" s="1" t="inlineStr">
        <is>
          <t>Easy</t>
        </is>
      </c>
      <c r="H1615" s="1" t="n">
        <v>92863</v>
      </c>
      <c r="I1615" s="1" t="n">
        <v>161944</v>
      </c>
      <c r="J1615" s="9" t="n">
        <v>0.573</v>
      </c>
      <c r="K1615" s="1" t="inlineStr">
        <is>
          <t>Yes</t>
        </is>
      </c>
      <c r="L1615" s="1" t="inlineStr">
        <is>
          <t>Yes</t>
        </is>
      </c>
      <c r="M1615" s="1" t="inlineStr">
        <is>
          <t>No</t>
        </is>
      </c>
      <c r="N1615" s="1" t="inlineStr">
        <is>
          <t>Algorithms</t>
        </is>
      </c>
      <c r="O16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15" s="13" t="inlineStr">
        <is>
          <t>Done</t>
        </is>
      </c>
    </row>
    <row r="1616" ht="15.75" customHeight="1" s="12">
      <c r="A1616" s="1" t="n">
        <v>2601</v>
      </c>
      <c r="B1616" s="3">
        <f>HYPERLINK("https://leetcode.com/problems/prime-subtraction-operation/", "Prime Subtraction Operation")</f>
        <v/>
      </c>
      <c r="C1616" s="1" t="n">
        <v>942</v>
      </c>
      <c r="D1616" s="1" t="n">
        <v>97</v>
      </c>
      <c r="E1616" s="4">
        <f>IF(INDEX(C:C, ROW())+INDEX(D:D, ROW())=0, 0, INDEX(C:C, ROW())/(INDEX(C:C, ROW())+INDEX(D:D, ROW())))</f>
        <v/>
      </c>
      <c r="F1616" s="1" t="inlineStr">
        <is>
          <t>Array, Math, Binary Search, Greedy, Number Theory</t>
        </is>
      </c>
      <c r="G1616" s="1" t="inlineStr">
        <is>
          <t>Medium</t>
        </is>
      </c>
      <c r="H1616" s="1" t="n">
        <v>120092</v>
      </c>
      <c r="I1616" s="1" t="n">
        <v>216154</v>
      </c>
      <c r="J1616" s="9" t="n">
        <v>0.556</v>
      </c>
      <c r="K1616" s="1" t="inlineStr">
        <is>
          <t>Yes</t>
        </is>
      </c>
      <c r="L1616" s="1" t="inlineStr">
        <is>
          <t>Yes</t>
        </is>
      </c>
      <c r="M1616" s="1" t="inlineStr">
        <is>
          <t>No</t>
        </is>
      </c>
      <c r="N1616" s="1" t="inlineStr">
        <is>
          <t>Algorithms</t>
        </is>
      </c>
      <c r="O16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16" s="11" t="inlineStr">
        <is>
          <t>To Do</t>
        </is>
      </c>
    </row>
    <row r="1617" ht="15.75" customHeight="1" s="12">
      <c r="A1617" s="1" t="n">
        <v>702</v>
      </c>
      <c r="B1617" s="3">
        <f>HYPERLINK("https://leetcode.com/problems/search-in-a-sorted-array-of-unknown-size/", "Search in a Sorted Array of Unknown Size")</f>
        <v/>
      </c>
      <c r="C1617" s="1" t="n">
        <v>941</v>
      </c>
      <c r="D1617" s="1" t="n">
        <v>51</v>
      </c>
      <c r="E1617" s="4">
        <f>IF(INDEX(C:C, ROW())+INDEX(D:D, ROW())=0, 0, INDEX(C:C, ROW())/(INDEX(C:C, ROW())+INDEX(D:D, ROW())))</f>
        <v/>
      </c>
      <c r="F1617" s="1" t="inlineStr">
        <is>
          <t>Array, Binary Search, Interactive</t>
        </is>
      </c>
      <c r="G1617" s="1" t="inlineStr">
        <is>
          <t>Medium</t>
        </is>
      </c>
      <c r="H1617" s="1" t="n">
        <v>113432</v>
      </c>
      <c r="I1617" s="1" t="n">
        <v>155135</v>
      </c>
      <c r="J1617" s="9" t="n">
        <v>0.731</v>
      </c>
      <c r="K1617" s="1" t="inlineStr">
        <is>
          <t>No</t>
        </is>
      </c>
      <c r="L1617" s="1" t="inlineStr">
        <is>
          <t>Yes</t>
        </is>
      </c>
      <c r="M1617" s="1" t="inlineStr">
        <is>
          <t>No</t>
        </is>
      </c>
      <c r="N1617" s="1" t="inlineStr">
        <is>
          <t>Algorithms</t>
        </is>
      </c>
      <c r="O16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17" s="11" t="inlineStr">
        <is>
          <t>To Do</t>
        </is>
      </c>
    </row>
    <row r="1618" ht="15.75" customHeight="1" s="12">
      <c r="A1618" s="1" t="n">
        <v>1450</v>
      </c>
      <c r="B1618" s="3">
        <f>HYPERLINK("https://leetcode.com/problems/number-of-students-doing-homework-at-a-given-time/", "Number of Students Doing Homework at a Given Time")</f>
        <v/>
      </c>
      <c r="C1618" s="1" t="n">
        <v>939</v>
      </c>
      <c r="D1618" s="1" t="n">
        <v>157</v>
      </c>
      <c r="E1618" s="4">
        <f>IF(INDEX(C:C, ROW())+INDEX(D:D, ROW())=0, 0, INDEX(C:C, ROW())/(INDEX(C:C, ROW())+INDEX(D:D, ROW())))</f>
        <v/>
      </c>
      <c r="F1618" s="1" t="inlineStr">
        <is>
          <t>Array</t>
        </is>
      </c>
      <c r="G1618" s="1" t="inlineStr">
        <is>
          <t>Easy</t>
        </is>
      </c>
      <c r="H1618" s="1" t="n">
        <v>151502</v>
      </c>
      <c r="I1618" s="1" t="n">
        <v>199711</v>
      </c>
      <c r="J1618" s="9" t="n">
        <v>0.759</v>
      </c>
      <c r="K1618" s="1" t="inlineStr">
        <is>
          <t>Yes</t>
        </is>
      </c>
      <c r="L1618" s="1" t="inlineStr">
        <is>
          <t>No</t>
        </is>
      </c>
      <c r="M1618" s="1" t="inlineStr">
        <is>
          <t>No</t>
        </is>
      </c>
      <c r="N1618" s="1" t="inlineStr">
        <is>
          <t>Algorithms</t>
        </is>
      </c>
      <c r="O16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18" s="13" t="inlineStr">
        <is>
          <t>Done</t>
        </is>
      </c>
    </row>
    <row r="1619" ht="15.75" customHeight="1" s="12">
      <c r="A1619" s="1" t="n">
        <v>1931</v>
      </c>
      <c r="B1619" s="3">
        <f>HYPERLINK("https://leetcode.com/problems/painting-a-grid-with-three-different-colors/", "Painting a Grid With Three Different Colors")</f>
        <v/>
      </c>
      <c r="C1619" s="1" t="n">
        <v>939</v>
      </c>
      <c r="D1619" s="1" t="n">
        <v>58</v>
      </c>
      <c r="E1619" s="4">
        <f>IF(INDEX(C:C, ROW())+INDEX(D:D, ROW())=0, 0, INDEX(C:C, ROW())/(INDEX(C:C, ROW())+INDEX(D:D, ROW())))</f>
        <v/>
      </c>
      <c r="F1619" s="1" t="inlineStr">
        <is>
          <t>Dynamic Programming</t>
        </is>
      </c>
      <c r="G1619" s="1" t="inlineStr">
        <is>
          <t>Hard</t>
        </is>
      </c>
      <c r="H1619" s="1" t="n">
        <v>76146</v>
      </c>
      <c r="I1619" s="1" t="n">
        <v>98785</v>
      </c>
      <c r="J1619" s="9" t="n">
        <v>0.771</v>
      </c>
      <c r="K1619" s="1" t="inlineStr">
        <is>
          <t>Yes</t>
        </is>
      </c>
      <c r="L1619" s="1" t="inlineStr">
        <is>
          <t>Yes</t>
        </is>
      </c>
      <c r="M1619" s="1" t="inlineStr">
        <is>
          <t>No</t>
        </is>
      </c>
      <c r="N1619" s="1" t="inlineStr">
        <is>
          <t>Algorithms</t>
        </is>
      </c>
      <c r="O16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19" s="11" t="inlineStr">
        <is>
          <t>To Do</t>
        </is>
      </c>
    </row>
    <row r="1620" ht="15.75" customHeight="1" s="12">
      <c r="A1620" s="1" t="n">
        <v>1138</v>
      </c>
      <c r="B1620" s="3">
        <f>HYPERLINK("https://leetcode.com/problems/alphabet-board-path/", "Alphabet Board Path")</f>
        <v/>
      </c>
      <c r="C1620" s="1" t="n">
        <v>937</v>
      </c>
      <c r="D1620" s="1" t="n">
        <v>187</v>
      </c>
      <c r="E1620" s="4">
        <f>IF(INDEX(C:C, ROW())+INDEX(D:D, ROW())=0, 0, INDEX(C:C, ROW())/(INDEX(C:C, ROW())+INDEX(D:D, ROW())))</f>
        <v/>
      </c>
      <c r="F1620" s="1" t="inlineStr">
        <is>
          <t>Hash Table, String</t>
        </is>
      </c>
      <c r="G1620" s="1" t="inlineStr">
        <is>
          <t>Medium</t>
        </is>
      </c>
      <c r="H1620" s="1" t="n">
        <v>59680</v>
      </c>
      <c r="I1620" s="1" t="n">
        <v>115124</v>
      </c>
      <c r="J1620" s="9" t="n">
        <v>0.518</v>
      </c>
      <c r="K1620" s="1" t="inlineStr">
        <is>
          <t>Yes</t>
        </is>
      </c>
      <c r="L1620" s="1" t="inlineStr">
        <is>
          <t>No</t>
        </is>
      </c>
      <c r="M1620" s="1" t="inlineStr">
        <is>
          <t>No</t>
        </is>
      </c>
      <c r="N1620" s="1" t="inlineStr">
        <is>
          <t>Algorithms</t>
        </is>
      </c>
      <c r="O16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20" s="11" t="inlineStr">
        <is>
          <t>To Do</t>
        </is>
      </c>
    </row>
    <row r="1621" ht="15.75" customHeight="1" s="12">
      <c r="A1621" s="1" t="n">
        <v>2704</v>
      </c>
      <c r="B1621" s="3">
        <f>HYPERLINK("https://leetcode.com/problems/to-be-or-not-to-be/", "To Be Or Not To Be")</f>
        <v/>
      </c>
      <c r="C1621" s="1" t="n">
        <v>937</v>
      </c>
      <c r="D1621" s="1" t="n">
        <v>224</v>
      </c>
      <c r="E1621" s="4">
        <f>IF(INDEX(C:C, ROW())+INDEX(D:D, ROW())=0, 0, INDEX(C:C, ROW())/(INDEX(C:C, ROW())+INDEX(D:D, ROW())))</f>
        <v/>
      </c>
      <c r="F1621" s="2" t="n"/>
      <c r="G1621" s="1" t="inlineStr">
        <is>
          <t>Easy</t>
        </is>
      </c>
      <c r="H1621" s="1" t="n">
        <v>359161</v>
      </c>
      <c r="I1621" s="1" t="n">
        <v>567034</v>
      </c>
      <c r="J1621" s="9" t="n">
        <v>0.633</v>
      </c>
      <c r="K1621" s="1" t="inlineStr">
        <is>
          <t>Yes</t>
        </is>
      </c>
      <c r="L1621" s="1" t="inlineStr">
        <is>
          <t>Yes</t>
        </is>
      </c>
      <c r="M1621" s="1" t="inlineStr">
        <is>
          <t>No</t>
        </is>
      </c>
      <c r="N1621" s="1" t="inlineStr">
        <is>
          <t>JavaScript</t>
        </is>
      </c>
      <c r="O16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21" s="13" t="inlineStr">
        <is>
          <t>Done</t>
        </is>
      </c>
    </row>
    <row r="1622" ht="15.75" customHeight="1" s="12">
      <c r="A1622" s="1" t="n">
        <v>1632</v>
      </c>
      <c r="B1622" s="3">
        <f>HYPERLINK("https://leetcode.com/problems/rank-transform-of-a-matrix/", "Rank Transform of a Matrix")</f>
        <v/>
      </c>
      <c r="C1622" s="1" t="n">
        <v>935</v>
      </c>
      <c r="D1622" s="1" t="n">
        <v>60</v>
      </c>
      <c r="E1622" s="4">
        <f>IF(INDEX(C:C, ROW())+INDEX(D:D, ROW())=0, 0, INDEX(C:C, ROW())/(INDEX(C:C, ROW())+INDEX(D:D, ROW())))</f>
        <v/>
      </c>
      <c r="F1622" s="1" t="inlineStr">
        <is>
          <t>Array, Union-Find, Graph Theory, Topological Sort, Sorting, Matrix</t>
        </is>
      </c>
      <c r="G1622" s="1" t="inlineStr">
        <is>
          <t>Hard</t>
        </is>
      </c>
      <c r="H1622" s="1" t="n">
        <v>27650</v>
      </c>
      <c r="I1622" s="1" t="n">
        <v>65506</v>
      </c>
      <c r="J1622" s="9" t="n">
        <v>0.422</v>
      </c>
      <c r="K1622" s="1" t="inlineStr">
        <is>
          <t>Yes</t>
        </is>
      </c>
      <c r="L1622" s="1" t="inlineStr">
        <is>
          <t>Yes</t>
        </is>
      </c>
      <c r="M1622" s="1" t="inlineStr">
        <is>
          <t>No</t>
        </is>
      </c>
      <c r="N1622" s="1" t="inlineStr">
        <is>
          <t>Algorithms</t>
        </is>
      </c>
      <c r="O16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22" s="11" t="inlineStr">
        <is>
          <t>To Do</t>
        </is>
      </c>
    </row>
    <row r="1623" ht="15.75" customHeight="1" s="12">
      <c r="A1623" s="1" t="n">
        <v>830</v>
      </c>
      <c r="B1623" s="3">
        <f>HYPERLINK("https://leetcode.com/problems/positions-of-large-groups/", "Positions of Large Groups")</f>
        <v/>
      </c>
      <c r="C1623" s="1" t="n">
        <v>931</v>
      </c>
      <c r="D1623" s="1" t="n">
        <v>127</v>
      </c>
      <c r="E1623" s="4">
        <f>IF(INDEX(C:C, ROW())+INDEX(D:D, ROW())=0, 0, INDEX(C:C, ROW())/(INDEX(C:C, ROW())+INDEX(D:D, ROW())))</f>
        <v/>
      </c>
      <c r="F1623" s="1" t="inlineStr">
        <is>
          <t>String</t>
        </is>
      </c>
      <c r="G1623" s="1" t="inlineStr">
        <is>
          <t>Easy</t>
        </is>
      </c>
      <c r="H1623" s="1" t="n">
        <v>120970</v>
      </c>
      <c r="I1623" s="1" t="n">
        <v>224221</v>
      </c>
      <c r="J1623" s="9" t="n">
        <v>0.54</v>
      </c>
      <c r="K1623" s="1" t="inlineStr">
        <is>
          <t>Yes</t>
        </is>
      </c>
      <c r="L1623" s="1" t="inlineStr">
        <is>
          <t>Yes</t>
        </is>
      </c>
      <c r="M1623" s="1" t="inlineStr">
        <is>
          <t>No</t>
        </is>
      </c>
      <c r="N1623" s="1" t="inlineStr">
        <is>
          <t>Algorithms</t>
        </is>
      </c>
      <c r="O16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23" s="13" t="inlineStr">
        <is>
          <t>Done</t>
        </is>
      </c>
    </row>
    <row r="1624" ht="15.75" customHeight="1" s="12">
      <c r="A1624" s="1" t="n">
        <v>1393</v>
      </c>
      <c r="B1624" s="3">
        <f>HYPERLINK("https://leetcode.com/problems/capital-gainloss/", "Capital Gain/Loss")</f>
        <v/>
      </c>
      <c r="C1624" s="1" t="n">
        <v>931</v>
      </c>
      <c r="D1624" s="1" t="n">
        <v>51</v>
      </c>
      <c r="E1624" s="4">
        <f>IF(INDEX(C:C, ROW())+INDEX(D:D, ROW())=0, 0, INDEX(C:C, ROW())/(INDEX(C:C, ROW())+INDEX(D:D, ROW())))</f>
        <v/>
      </c>
      <c r="F1624" s="1" t="inlineStr">
        <is>
          <t>Database</t>
        </is>
      </c>
      <c r="G1624" s="1" t="inlineStr">
        <is>
          <t>Medium</t>
        </is>
      </c>
      <c r="H1624" s="1" t="n">
        <v>169773</v>
      </c>
      <c r="I1624" s="1" t="n">
        <v>200625</v>
      </c>
      <c r="J1624" s="9" t="n">
        <v>0.846</v>
      </c>
      <c r="K1624" s="1" t="inlineStr">
        <is>
          <t>Yes</t>
        </is>
      </c>
      <c r="L1624" s="1" t="inlineStr">
        <is>
          <t>Yes</t>
        </is>
      </c>
      <c r="M1624" s="1" t="inlineStr">
        <is>
          <t>No</t>
        </is>
      </c>
      <c r="N1624" s="1" t="inlineStr">
        <is>
          <t>Database</t>
        </is>
      </c>
      <c r="O16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24" s="11" t="inlineStr">
        <is>
          <t>To Do</t>
        </is>
      </c>
    </row>
    <row r="1625" ht="15.75" customHeight="1" s="12">
      <c r="A1625" s="1" t="n">
        <v>2183</v>
      </c>
      <c r="B1625" s="3">
        <f>HYPERLINK("https://leetcode.com/problems/count-array-pairs-divisible-by-k/", "Count Array Pairs Divisible by K")</f>
        <v/>
      </c>
      <c r="C1625" s="1" t="n">
        <v>929</v>
      </c>
      <c r="D1625" s="1" t="n">
        <v>39</v>
      </c>
      <c r="E1625" s="4">
        <f>IF(INDEX(C:C, ROW())+INDEX(D:D, ROW())=0, 0, INDEX(C:C, ROW())/(INDEX(C:C, ROW())+INDEX(D:D, ROW())))</f>
        <v/>
      </c>
      <c r="F1625" s="1" t="inlineStr">
        <is>
          <t>Array, Hash Table, Math, Counting, Number Theory</t>
        </is>
      </c>
      <c r="G1625" s="1" t="inlineStr">
        <is>
          <t>Hard</t>
        </is>
      </c>
      <c r="H1625" s="1" t="n">
        <v>23497</v>
      </c>
      <c r="I1625" s="1" t="n">
        <v>76623</v>
      </c>
      <c r="J1625" s="9" t="n">
        <v>0.307</v>
      </c>
      <c r="K1625" s="1" t="inlineStr">
        <is>
          <t>Yes</t>
        </is>
      </c>
      <c r="L1625" s="1" t="inlineStr">
        <is>
          <t>No</t>
        </is>
      </c>
      <c r="M1625" s="1" t="inlineStr">
        <is>
          <t>No</t>
        </is>
      </c>
      <c r="N1625" s="1" t="inlineStr">
        <is>
          <t>Algorithms</t>
        </is>
      </c>
      <c r="O16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25" s="11" t="inlineStr">
        <is>
          <t>To Do</t>
        </is>
      </c>
    </row>
    <row r="1626" ht="15.75" customHeight="1" s="12">
      <c r="A1626" s="1" t="n">
        <v>2410</v>
      </c>
      <c r="B1626" s="3">
        <f>HYPERLINK("https://leetcode.com/problems/maximum-matching-of-players-with-trainers/", "Maximum Matching of Players With Trainers")</f>
        <v/>
      </c>
      <c r="C1626" s="1" t="n">
        <v>929</v>
      </c>
      <c r="D1626" s="1" t="n">
        <v>34</v>
      </c>
      <c r="E1626" s="4">
        <f>IF(INDEX(C:C, ROW())+INDEX(D:D, ROW())=0, 0, INDEX(C:C, ROW())/(INDEX(C:C, ROW())+INDEX(D:D, ROW())))</f>
        <v/>
      </c>
      <c r="F1626" s="1" t="inlineStr">
        <is>
          <t>Array, Two Pointers, Greedy, Sorting</t>
        </is>
      </c>
      <c r="G1626" s="1" t="inlineStr">
        <is>
          <t>Medium</t>
        </is>
      </c>
      <c r="H1626" s="1" t="n">
        <v>184320</v>
      </c>
      <c r="I1626" s="1" t="n">
        <v>244852</v>
      </c>
      <c r="J1626" s="9" t="n">
        <v>0.753</v>
      </c>
      <c r="K1626" s="1" t="inlineStr">
        <is>
          <t>Yes</t>
        </is>
      </c>
      <c r="L1626" s="1" t="inlineStr">
        <is>
          <t>Yes</t>
        </is>
      </c>
      <c r="M1626" s="1" t="inlineStr">
        <is>
          <t>No</t>
        </is>
      </c>
      <c r="N1626" s="1" t="inlineStr">
        <is>
          <t>Algorithms</t>
        </is>
      </c>
      <c r="O16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26" s="11" t="inlineStr">
        <is>
          <t>To Do</t>
        </is>
      </c>
    </row>
    <row r="1627" ht="15.75" customHeight="1" s="12">
      <c r="A1627" s="1" t="n">
        <v>2523</v>
      </c>
      <c r="B1627" s="3">
        <f>HYPERLINK("https://leetcode.com/problems/closest-prime-numbers-in-range/", "Closest Prime Numbers in Range")</f>
        <v/>
      </c>
      <c r="C1627" s="1" t="n">
        <v>928</v>
      </c>
      <c r="D1627" s="1" t="n">
        <v>78</v>
      </c>
      <c r="E1627" s="4">
        <f>IF(INDEX(C:C, ROW())+INDEX(D:D, ROW())=0, 0, INDEX(C:C, ROW())/(INDEX(C:C, ROW())+INDEX(D:D, ROW())))</f>
        <v/>
      </c>
      <c r="F1627" s="1" t="inlineStr">
        <is>
          <t>Math, Number Theory</t>
        </is>
      </c>
      <c r="G1627" s="1" t="inlineStr">
        <is>
          <t>Medium</t>
        </is>
      </c>
      <c r="H1627" s="1" t="n">
        <v>190702</v>
      </c>
      <c r="I1627" s="1" t="n">
        <v>368458</v>
      </c>
      <c r="J1627" s="9" t="n">
        <v>0.518</v>
      </c>
      <c r="K1627" s="1" t="inlineStr">
        <is>
          <t>Yes</t>
        </is>
      </c>
      <c r="L1627" s="1" t="inlineStr">
        <is>
          <t>Yes</t>
        </is>
      </c>
      <c r="M1627" s="1" t="inlineStr">
        <is>
          <t>No</t>
        </is>
      </c>
      <c r="N1627" s="1" t="inlineStr">
        <is>
          <t>Algorithms</t>
        </is>
      </c>
      <c r="O16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27" s="11" t="inlineStr">
        <is>
          <t>To Do</t>
        </is>
      </c>
    </row>
    <row r="1628" ht="15.75" customHeight="1" s="12">
      <c r="A1628" s="1" t="n">
        <v>408</v>
      </c>
      <c r="B1628" s="3">
        <f>HYPERLINK("https://leetcode.com/problems/valid-word-abbreviation/", "Valid Word Abbreviation")</f>
        <v/>
      </c>
      <c r="C1628" s="1" t="n">
        <v>927</v>
      </c>
      <c r="D1628" s="1" t="n">
        <v>2406</v>
      </c>
      <c r="E1628" s="4">
        <f>IF(INDEX(C:C, ROW())+INDEX(D:D, ROW())=0, 0, INDEX(C:C, ROW())/(INDEX(C:C, ROW())+INDEX(D:D, ROW())))</f>
        <v/>
      </c>
      <c r="F1628" s="1" t="inlineStr">
        <is>
          <t>Two Pointers, String</t>
        </is>
      </c>
      <c r="G1628" s="1" t="inlineStr">
        <is>
          <t>Easy</t>
        </is>
      </c>
      <c r="H1628" s="1" t="n">
        <v>362450</v>
      </c>
      <c r="I1628" s="1" t="n">
        <v>978565</v>
      </c>
      <c r="J1628" s="9" t="n">
        <v>0.37</v>
      </c>
      <c r="K1628" s="1" t="inlineStr">
        <is>
          <t>No</t>
        </is>
      </c>
      <c r="L1628" s="1" t="inlineStr">
        <is>
          <t>No</t>
        </is>
      </c>
      <c r="M1628" s="1" t="inlineStr">
        <is>
          <t>No</t>
        </is>
      </c>
      <c r="N1628" s="1" t="inlineStr">
        <is>
          <t>Algorithms</t>
        </is>
      </c>
      <c r="O16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28" s="11" t="inlineStr">
        <is>
          <t>To Do</t>
        </is>
      </c>
    </row>
    <row r="1629" ht="15.75" customHeight="1" s="12">
      <c r="A1629" s="1" t="n">
        <v>2169</v>
      </c>
      <c r="B1629" s="3">
        <f>HYPERLINK("https://leetcode.com/problems/count-operations-to-obtain-zero/", "Count Operations to Obtain Zero")</f>
        <v/>
      </c>
      <c r="C1629" s="1" t="n">
        <v>924</v>
      </c>
      <c r="D1629" s="1" t="n">
        <v>37</v>
      </c>
      <c r="E1629" s="4">
        <f>IF(INDEX(C:C, ROW())+INDEX(D:D, ROW())=0, 0, INDEX(C:C, ROW())/(INDEX(C:C, ROW())+INDEX(D:D, ROW())))</f>
        <v/>
      </c>
      <c r="F1629" s="1" t="inlineStr">
        <is>
          <t>Math, Simulation</t>
        </is>
      </c>
      <c r="G1629" s="1" t="inlineStr">
        <is>
          <t>Easy</t>
        </is>
      </c>
      <c r="H1629" s="1" t="n">
        <v>229468</v>
      </c>
      <c r="I1629" s="1" t="n">
        <v>287590</v>
      </c>
      <c r="J1629" s="9" t="n">
        <v>0.798</v>
      </c>
      <c r="K1629" s="1" t="inlineStr">
        <is>
          <t>Yes</t>
        </is>
      </c>
      <c r="L1629" s="1" t="inlineStr">
        <is>
          <t>Yes</t>
        </is>
      </c>
      <c r="M1629" s="1" t="inlineStr">
        <is>
          <t>No</t>
        </is>
      </c>
      <c r="N1629" s="1" t="inlineStr">
        <is>
          <t>Algorithms</t>
        </is>
      </c>
      <c r="O16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29" s="13" t="inlineStr">
        <is>
          <t>Done</t>
        </is>
      </c>
    </row>
    <row r="1630" ht="15.75" customHeight="1" s="12">
      <c r="A1630" s="1" t="n">
        <v>2425</v>
      </c>
      <c r="B1630" s="3">
        <f>HYPERLINK("https://leetcode.com/problems/bitwise-xor-of-all-pairings/", "Bitwise XOR of All Pairings")</f>
        <v/>
      </c>
      <c r="C1630" s="1" t="n">
        <v>924</v>
      </c>
      <c r="D1630" s="1" t="n">
        <v>59</v>
      </c>
      <c r="E1630" s="4">
        <f>IF(INDEX(C:C, ROW())+INDEX(D:D, ROW())=0, 0, INDEX(C:C, ROW())/(INDEX(C:C, ROW())+INDEX(D:D, ROW())))</f>
        <v/>
      </c>
      <c r="F1630" s="1" t="inlineStr">
        <is>
          <t>Array, Bit Manipulation, Brainteaser</t>
        </is>
      </c>
      <c r="G1630" s="1" t="inlineStr">
        <is>
          <t>Medium</t>
        </is>
      </c>
      <c r="H1630" s="1" t="n">
        <v>153227</v>
      </c>
      <c r="I1630" s="1" t="n">
        <v>229082</v>
      </c>
      <c r="J1630" s="9" t="n">
        <v>0.669</v>
      </c>
      <c r="K1630" s="1" t="inlineStr">
        <is>
          <t>Yes</t>
        </is>
      </c>
      <c r="L1630" s="1" t="inlineStr">
        <is>
          <t>Yes</t>
        </is>
      </c>
      <c r="M1630" s="1" t="inlineStr">
        <is>
          <t>No</t>
        </is>
      </c>
      <c r="N1630" s="1" t="inlineStr">
        <is>
          <t>Algorithms</t>
        </is>
      </c>
      <c r="O16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30" s="11" t="inlineStr">
        <is>
          <t>To Do</t>
        </is>
      </c>
    </row>
    <row r="1631" ht="15.75" customHeight="1" s="12">
      <c r="A1631" s="1" t="n">
        <v>2635</v>
      </c>
      <c r="B1631" s="3">
        <f>HYPERLINK("https://leetcode.com/problems/apply-transform-over-each-element-in-array/", "Apply Transform Over Each Element in Array")</f>
        <v/>
      </c>
      <c r="C1631" s="1" t="n">
        <v>923</v>
      </c>
      <c r="D1631" s="1" t="n">
        <v>120</v>
      </c>
      <c r="E1631" s="4">
        <f>IF(INDEX(C:C, ROW())+INDEX(D:D, ROW())=0, 0, INDEX(C:C, ROW())/(INDEX(C:C, ROW())+INDEX(D:D, ROW())))</f>
        <v/>
      </c>
      <c r="F1631" s="2" t="n"/>
      <c r="G1631" s="1" t="inlineStr">
        <is>
          <t>Easy</t>
        </is>
      </c>
      <c r="H1631" s="1" t="n">
        <v>343494</v>
      </c>
      <c r="I1631" s="1" t="n">
        <v>398700</v>
      </c>
      <c r="J1631" s="9" t="n">
        <v>0.862</v>
      </c>
      <c r="K1631" s="1" t="inlineStr">
        <is>
          <t>Yes</t>
        </is>
      </c>
      <c r="L1631" s="1" t="inlineStr">
        <is>
          <t>Yes</t>
        </is>
      </c>
      <c r="M1631" s="1" t="inlineStr">
        <is>
          <t>No</t>
        </is>
      </c>
      <c r="N1631" s="1" t="inlineStr">
        <is>
          <t>JavaScript</t>
        </is>
      </c>
      <c r="O16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31" s="13" t="inlineStr">
        <is>
          <t>Done</t>
        </is>
      </c>
    </row>
    <row r="1632" ht="15.75" customHeight="1" s="12">
      <c r="A1632" s="1" t="n">
        <v>3068</v>
      </c>
      <c r="B1632" s="3">
        <f>HYPERLINK("https://leetcode.com/problems/find-the-maximum-sum-of-node-values/", "Find the Maximum Sum of Node Values")</f>
        <v/>
      </c>
      <c r="C1632" s="1" t="n">
        <v>922</v>
      </c>
      <c r="D1632" s="1" t="n">
        <v>133</v>
      </c>
      <c r="E1632" s="4">
        <f>IF(INDEX(C:C, ROW())+INDEX(D:D, ROW())=0, 0, INDEX(C:C, ROW())/(INDEX(C:C, ROW())+INDEX(D:D, ROW())))</f>
        <v/>
      </c>
      <c r="F1632" s="1" t="inlineStr">
        <is>
          <t>Array, Dynamic Programming, Greedy, Bit Manipulation, Tree, Sorting</t>
        </is>
      </c>
      <c r="G1632" s="1" t="inlineStr">
        <is>
          <t>Hard</t>
        </is>
      </c>
      <c r="H1632" s="1" t="n">
        <v>138739</v>
      </c>
      <c r="I1632" s="1" t="n">
        <v>199814</v>
      </c>
      <c r="J1632" s="9" t="n">
        <v>0.694</v>
      </c>
      <c r="K1632" s="1" t="inlineStr">
        <is>
          <t>Yes</t>
        </is>
      </c>
      <c r="L1632" s="1" t="inlineStr">
        <is>
          <t>Yes</t>
        </is>
      </c>
      <c r="M1632" s="1" t="inlineStr">
        <is>
          <t>No</t>
        </is>
      </c>
      <c r="N1632" s="1" t="inlineStr">
        <is>
          <t>Algorithms</t>
        </is>
      </c>
      <c r="O16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32" s="11" t="inlineStr">
        <is>
          <t>To Do</t>
        </is>
      </c>
    </row>
    <row r="1633" ht="15.75" customHeight="1" s="12">
      <c r="A1633" s="1" t="n">
        <v>434</v>
      </c>
      <c r="B1633" s="3">
        <f>HYPERLINK("https://leetcode.com/problems/number-of-segments-in-a-string/", "Number of Segments in a String")</f>
        <v/>
      </c>
      <c r="C1633" s="1" t="n">
        <v>919</v>
      </c>
      <c r="D1633" s="1" t="n">
        <v>1339</v>
      </c>
      <c r="E1633" s="4">
        <f>IF(INDEX(C:C, ROW())+INDEX(D:D, ROW())=0, 0, INDEX(C:C, ROW())/(INDEX(C:C, ROW())+INDEX(D:D, ROW())))</f>
        <v/>
      </c>
      <c r="F1633" s="1" t="inlineStr">
        <is>
          <t>String</t>
        </is>
      </c>
      <c r="G1633" s="1" t="inlineStr">
        <is>
          <t>Easy</t>
        </is>
      </c>
      <c r="H1633" s="1" t="n">
        <v>279175</v>
      </c>
      <c r="I1633" s="1" t="n">
        <v>749332</v>
      </c>
      <c r="J1633" s="9" t="n">
        <v>0.373</v>
      </c>
      <c r="K1633" s="1" t="inlineStr">
        <is>
          <t>Yes</t>
        </is>
      </c>
      <c r="L1633" s="1" t="inlineStr">
        <is>
          <t>Yes</t>
        </is>
      </c>
      <c r="M1633" s="1" t="inlineStr">
        <is>
          <t>No</t>
        </is>
      </c>
      <c r="N1633" s="1" t="inlineStr">
        <is>
          <t>Algorithms</t>
        </is>
      </c>
      <c r="O16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33" s="13" t="inlineStr">
        <is>
          <t>Done</t>
        </is>
      </c>
    </row>
    <row r="1634" ht="15.75" customHeight="1" s="12">
      <c r="A1634" s="1" t="n">
        <v>809</v>
      </c>
      <c r="B1634" s="3">
        <f>HYPERLINK("https://leetcode.com/problems/expressive-words/", "Expressive Words")</f>
        <v/>
      </c>
      <c r="C1634" s="1" t="n">
        <v>919</v>
      </c>
      <c r="D1634" s="1" t="n">
        <v>1951</v>
      </c>
      <c r="E1634" s="4">
        <f>IF(INDEX(C:C, ROW())+INDEX(D:D, ROW())=0, 0, INDEX(C:C, ROW())/(INDEX(C:C, ROW())+INDEX(D:D, ROW())))</f>
        <v/>
      </c>
      <c r="F1634" s="1" t="inlineStr">
        <is>
          <t>Array, Two Pointers, String</t>
        </is>
      </c>
      <c r="G1634" s="1" t="inlineStr">
        <is>
          <t>Medium</t>
        </is>
      </c>
      <c r="H1634" s="1" t="n">
        <v>136452</v>
      </c>
      <c r="I1634" s="1" t="n">
        <v>291574</v>
      </c>
      <c r="J1634" s="9" t="n">
        <v>0.468</v>
      </c>
      <c r="K1634" s="1" t="inlineStr">
        <is>
          <t>Yes</t>
        </is>
      </c>
      <c r="L1634" s="1" t="inlineStr">
        <is>
          <t>Yes</t>
        </is>
      </c>
      <c r="M1634" s="1" t="inlineStr">
        <is>
          <t>No</t>
        </is>
      </c>
      <c r="N1634" s="1" t="inlineStr">
        <is>
          <t>Algorithms</t>
        </is>
      </c>
      <c r="O16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34" s="11" t="inlineStr">
        <is>
          <t>To Do</t>
        </is>
      </c>
    </row>
    <row r="1635" ht="15.75" customHeight="1" s="12">
      <c r="A1635" s="1" t="n">
        <v>3152</v>
      </c>
      <c r="B1635" s="3">
        <f>HYPERLINK("https://leetcode.com/problems/special-array-ii/", "Special Array II")</f>
        <v/>
      </c>
      <c r="C1635" s="1" t="n">
        <v>916</v>
      </c>
      <c r="D1635" s="1" t="n">
        <v>67</v>
      </c>
      <c r="E1635" s="4">
        <f>IF(INDEX(C:C, ROW())+INDEX(D:D, ROW())=0, 0, INDEX(C:C, ROW())/(INDEX(C:C, ROW())+INDEX(D:D, ROW())))</f>
        <v/>
      </c>
      <c r="F1635" s="1" t="inlineStr">
        <is>
          <t>Array, Binary Search, Prefix Sum</t>
        </is>
      </c>
      <c r="G1635" s="1" t="inlineStr">
        <is>
          <t>Medium</t>
        </is>
      </c>
      <c r="H1635" s="1" t="n">
        <v>138495</v>
      </c>
      <c r="I1635" s="1" t="n">
        <v>302522</v>
      </c>
      <c r="J1635" s="9" t="n">
        <v>0.458</v>
      </c>
      <c r="K1635" s="1" t="inlineStr">
        <is>
          <t>Yes</t>
        </is>
      </c>
      <c r="L1635" s="1" t="inlineStr">
        <is>
          <t>Yes</t>
        </is>
      </c>
      <c r="M1635" s="1" t="inlineStr">
        <is>
          <t>No</t>
        </is>
      </c>
      <c r="N1635" s="1" t="inlineStr">
        <is>
          <t>Algorithms</t>
        </is>
      </c>
      <c r="O16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35" s="11" t="inlineStr">
        <is>
          <t>To Do</t>
        </is>
      </c>
    </row>
    <row r="1636" ht="15.75" customHeight="1" s="12">
      <c r="A1636" s="1" t="n">
        <v>2063</v>
      </c>
      <c r="B1636" s="3">
        <f>HYPERLINK("https://leetcode.com/problems/vowels-of-all-substrings/", "Vowels of All Substrings")</f>
        <v/>
      </c>
      <c r="C1636" s="1" t="n">
        <v>914</v>
      </c>
      <c r="D1636" s="1" t="n">
        <v>36</v>
      </c>
      <c r="E1636" s="4">
        <f>IF(INDEX(C:C, ROW())+INDEX(D:D, ROW())=0, 0, INDEX(C:C, ROW())/(INDEX(C:C, ROW())+INDEX(D:D, ROW())))</f>
        <v/>
      </c>
      <c r="F1636" s="1" t="inlineStr">
        <is>
          <t>Math, String, Dynamic Programming, Combinatorics</t>
        </is>
      </c>
      <c r="G1636" s="1" t="inlineStr">
        <is>
          <t>Medium</t>
        </is>
      </c>
      <c r="H1636" s="1" t="n">
        <v>43650</v>
      </c>
      <c r="I1636" s="1" t="n">
        <v>78807</v>
      </c>
      <c r="J1636" s="9" t="n">
        <v>0.554</v>
      </c>
      <c r="K1636" s="1" t="inlineStr">
        <is>
          <t>Yes</t>
        </is>
      </c>
      <c r="L1636" s="1" t="inlineStr">
        <is>
          <t>No</t>
        </is>
      </c>
      <c r="M1636" s="1" t="inlineStr">
        <is>
          <t>No</t>
        </is>
      </c>
      <c r="N1636" s="1" t="inlineStr">
        <is>
          <t>Algorithms</t>
        </is>
      </c>
      <c r="O16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36" s="11" t="inlineStr">
        <is>
          <t>To Do</t>
        </is>
      </c>
    </row>
    <row r="1637" ht="15.75" customHeight="1" s="12">
      <c r="A1637" s="1" t="n">
        <v>2398</v>
      </c>
      <c r="B1637" s="3">
        <f>HYPERLINK("https://leetcode.com/problems/maximum-number-of-robots-within-budget/", "Maximum Number of Robots Within Budget")</f>
        <v/>
      </c>
      <c r="C1637" s="1" t="n">
        <v>914</v>
      </c>
      <c r="D1637" s="1" t="n">
        <v>22</v>
      </c>
      <c r="E1637" s="4">
        <f>IF(INDEX(C:C, ROW())+INDEX(D:D, ROW())=0, 0, INDEX(C:C, ROW())/(INDEX(C:C, ROW())+INDEX(D:D, ROW())))</f>
        <v/>
      </c>
      <c r="F1637" s="1" t="inlineStr">
        <is>
          <t>Array, Binary Search, Queue, Sliding Window, Heap (Priority Queue), Prefix Sum, Monotonic Queue</t>
        </is>
      </c>
      <c r="G1637" s="1" t="inlineStr">
        <is>
          <t>Hard</t>
        </is>
      </c>
      <c r="H1637" s="1" t="n">
        <v>35475</v>
      </c>
      <c r="I1637" s="1" t="n">
        <v>92109</v>
      </c>
      <c r="J1637" s="9" t="n">
        <v>0.385</v>
      </c>
      <c r="K1637" s="1" t="inlineStr">
        <is>
          <t>Yes</t>
        </is>
      </c>
      <c r="L1637" s="1" t="inlineStr">
        <is>
          <t>No</t>
        </is>
      </c>
      <c r="M1637" s="1" t="inlineStr">
        <is>
          <t>No</t>
        </is>
      </c>
      <c r="N1637" s="1" t="inlineStr">
        <is>
          <t>Algorithms</t>
        </is>
      </c>
      <c r="O16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37" s="11" t="inlineStr">
        <is>
          <t>To Do</t>
        </is>
      </c>
    </row>
    <row r="1638" ht="15.75" customHeight="1" s="12">
      <c r="A1638" s="1" t="n">
        <v>2085</v>
      </c>
      <c r="B1638" s="3">
        <f>HYPERLINK("https://leetcode.com/problems/count-common-words-with-one-occurrence/", "Count Common Words With One Occurrence")</f>
        <v/>
      </c>
      <c r="C1638" s="1" t="n">
        <v>911</v>
      </c>
      <c r="D1638" s="1" t="n">
        <v>21</v>
      </c>
      <c r="E1638" s="4">
        <f>IF(INDEX(C:C, ROW())+INDEX(D:D, ROW())=0, 0, INDEX(C:C, ROW())/(INDEX(C:C, ROW())+INDEX(D:D, ROW())))</f>
        <v/>
      </c>
      <c r="F1638" s="1" t="inlineStr">
        <is>
          <t>Array, Hash Table, String, Counting</t>
        </is>
      </c>
      <c r="G1638" s="1" t="inlineStr">
        <is>
          <t>Easy</t>
        </is>
      </c>
      <c r="H1638" s="1" t="n">
        <v>111891</v>
      </c>
      <c r="I1638" s="1" t="n">
        <v>152504</v>
      </c>
      <c r="J1638" s="9" t="n">
        <v>0.734</v>
      </c>
      <c r="K1638" s="1" t="inlineStr">
        <is>
          <t>Yes</t>
        </is>
      </c>
      <c r="L1638" s="1" t="inlineStr">
        <is>
          <t>No</t>
        </is>
      </c>
      <c r="M1638" s="1" t="inlineStr">
        <is>
          <t>No</t>
        </is>
      </c>
      <c r="N1638" s="1" t="inlineStr">
        <is>
          <t>Algorithms</t>
        </is>
      </c>
      <c r="O16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38" s="13" t="inlineStr">
        <is>
          <t>Done</t>
        </is>
      </c>
    </row>
    <row r="1639" ht="15.75" customHeight="1" s="12">
      <c r="A1639" s="1" t="n">
        <v>1731</v>
      </c>
      <c r="B1639" s="3">
        <f>HYPERLINK("https://leetcode.com/problems/the-number-of-employees-which-report-to-each-employee/", "The Number of Employees Which Report to Each Employee")</f>
        <v/>
      </c>
      <c r="C1639" s="1" t="n">
        <v>907</v>
      </c>
      <c r="D1639" s="1" t="n">
        <v>110</v>
      </c>
      <c r="E1639" s="4">
        <f>IF(INDEX(C:C, ROW())+INDEX(D:D, ROW())=0, 0, INDEX(C:C, ROW())/(INDEX(C:C, ROW())+INDEX(D:D, ROW())))</f>
        <v/>
      </c>
      <c r="F1639" s="1" t="inlineStr">
        <is>
          <t>Database</t>
        </is>
      </c>
      <c r="G1639" s="1" t="inlineStr">
        <is>
          <t>Easy</t>
        </is>
      </c>
      <c r="H1639" s="1" t="n">
        <v>383673</v>
      </c>
      <c r="I1639" s="1" t="n">
        <v>720435</v>
      </c>
      <c r="J1639" s="9" t="n">
        <v>0.533</v>
      </c>
      <c r="K1639" s="1" t="inlineStr">
        <is>
          <t>Yes</t>
        </is>
      </c>
      <c r="L1639" s="1" t="inlineStr">
        <is>
          <t>Yes</t>
        </is>
      </c>
      <c r="M1639" s="1" t="inlineStr">
        <is>
          <t>No</t>
        </is>
      </c>
      <c r="N1639" s="1" t="inlineStr">
        <is>
          <t>Database</t>
        </is>
      </c>
      <c r="O16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39" s="13" t="inlineStr">
        <is>
          <t>Done</t>
        </is>
      </c>
    </row>
    <row r="1640" ht="15.75" customHeight="1" s="12">
      <c r="A1640" s="1" t="n">
        <v>562</v>
      </c>
      <c r="B1640" s="3">
        <f>HYPERLINK("https://leetcode.com/problems/longest-line-of-consecutive-one-in-matrix/", "Longest Line of Consecutive One in Matrix")</f>
        <v/>
      </c>
      <c r="C1640" s="1" t="n">
        <v>906</v>
      </c>
      <c r="D1640" s="1" t="n">
        <v>119</v>
      </c>
      <c r="E1640" s="4">
        <f>IF(INDEX(C:C, ROW())+INDEX(D:D, ROW())=0, 0, INDEX(C:C, ROW())/(INDEX(C:C, ROW())+INDEX(D:D, ROW())))</f>
        <v/>
      </c>
      <c r="F1640" s="1" t="inlineStr">
        <is>
          <t>Array, Dynamic Programming, Matrix</t>
        </is>
      </c>
      <c r="G1640" s="1" t="inlineStr">
        <is>
          <t>Medium</t>
        </is>
      </c>
      <c r="H1640" s="1" t="n">
        <v>81250</v>
      </c>
      <c r="I1640" s="1" t="n">
        <v>160586</v>
      </c>
      <c r="J1640" s="9" t="n">
        <v>0.506</v>
      </c>
      <c r="K1640" s="1" t="inlineStr">
        <is>
          <t>No</t>
        </is>
      </c>
      <c r="L1640" s="1" t="inlineStr">
        <is>
          <t>Yes</t>
        </is>
      </c>
      <c r="M1640" s="1" t="inlineStr">
        <is>
          <t>No</t>
        </is>
      </c>
      <c r="N1640" s="1" t="inlineStr">
        <is>
          <t>Algorithms</t>
        </is>
      </c>
      <c r="O16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40" s="11" t="inlineStr">
        <is>
          <t>To Do</t>
        </is>
      </c>
    </row>
    <row r="1641" ht="15.75" customHeight="1" s="12">
      <c r="A1641" s="1" t="n">
        <v>882</v>
      </c>
      <c r="B1641" s="3">
        <f>HYPERLINK("https://leetcode.com/problems/reachable-nodes-in-subdivided-graph/", "Reachable Nodes In Subdivided Graph")</f>
        <v/>
      </c>
      <c r="C1641" s="1" t="n">
        <v>905</v>
      </c>
      <c r="D1641" s="1" t="n">
        <v>230</v>
      </c>
      <c r="E1641" s="4">
        <f>IF(INDEX(C:C, ROW())+INDEX(D:D, ROW())=0, 0, INDEX(C:C, ROW())/(INDEX(C:C, ROW())+INDEX(D:D, ROW())))</f>
        <v/>
      </c>
      <c r="F1641" s="1" t="inlineStr">
        <is>
          <t>Graph Theory, Heap (Priority Queue), Shortest Path</t>
        </is>
      </c>
      <c r="G1641" s="1" t="inlineStr">
        <is>
          <t>Hard</t>
        </is>
      </c>
      <c r="H1641" s="1" t="n">
        <v>37794</v>
      </c>
      <c r="I1641" s="1" t="n">
        <v>72556</v>
      </c>
      <c r="J1641" s="9" t="n">
        <v>0.521</v>
      </c>
      <c r="K1641" s="1" t="inlineStr">
        <is>
          <t>Yes</t>
        </is>
      </c>
      <c r="L1641" s="1" t="inlineStr">
        <is>
          <t>Yes</t>
        </is>
      </c>
      <c r="M1641" s="1" t="inlineStr">
        <is>
          <t>No</t>
        </is>
      </c>
      <c r="N1641" s="1" t="inlineStr">
        <is>
          <t>Algorithms</t>
        </is>
      </c>
      <c r="O16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41" s="11" t="inlineStr">
        <is>
          <t>To Do</t>
        </is>
      </c>
    </row>
    <row r="1642" ht="15.75" customHeight="1" s="12">
      <c r="A1642" s="1" t="n">
        <v>1245</v>
      </c>
      <c r="B1642" s="3">
        <f>HYPERLINK("https://leetcode.com/problems/tree-diameter/", "Tree Diameter")</f>
        <v/>
      </c>
      <c r="C1642" s="1" t="n">
        <v>904</v>
      </c>
      <c r="D1642" s="1" t="n">
        <v>26</v>
      </c>
      <c r="E1642" s="4">
        <f>IF(INDEX(C:C, ROW())+INDEX(D:D, ROW())=0, 0, INDEX(C:C, ROW())/(INDEX(C:C, ROW())+INDEX(D:D, ROW())))</f>
        <v/>
      </c>
      <c r="F1642" s="1" t="inlineStr">
        <is>
          <t>Tree, Depth-First Search, Breadth-First Search, Graph Theory, Topological Sort</t>
        </is>
      </c>
      <c r="G1642" s="1" t="inlineStr">
        <is>
          <t>Medium</t>
        </is>
      </c>
      <c r="H1642" s="1" t="n">
        <v>56626</v>
      </c>
      <c r="I1642" s="1" t="n">
        <v>92443</v>
      </c>
      <c r="J1642" s="9" t="n">
        <v>0.613</v>
      </c>
      <c r="K1642" s="1" t="inlineStr">
        <is>
          <t>No</t>
        </is>
      </c>
      <c r="L1642" s="1" t="inlineStr">
        <is>
          <t>Yes</t>
        </is>
      </c>
      <c r="M1642" s="1" t="inlineStr">
        <is>
          <t>No</t>
        </is>
      </c>
      <c r="N1642" s="1" t="inlineStr">
        <is>
          <t>Algorithms</t>
        </is>
      </c>
      <c r="O16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42" s="11" t="inlineStr">
        <is>
          <t>To Do</t>
        </is>
      </c>
    </row>
    <row r="1643" ht="15.75" customHeight="1" s="12">
      <c r="A1643" s="1" t="n">
        <v>1812</v>
      </c>
      <c r="B1643" s="3">
        <f>HYPERLINK("https://leetcode.com/problems/determine-color-of-a-chessboard-square/", "Determine Color of a Chessboard Square")</f>
        <v/>
      </c>
      <c r="C1643" s="1" t="n">
        <v>903</v>
      </c>
      <c r="D1643" s="1" t="n">
        <v>24</v>
      </c>
      <c r="E1643" s="4">
        <f>IF(INDEX(C:C, ROW())+INDEX(D:D, ROW())=0, 0, INDEX(C:C, ROW())/(INDEX(C:C, ROW())+INDEX(D:D, ROW())))</f>
        <v/>
      </c>
      <c r="F1643" s="1" t="inlineStr">
        <is>
          <t>Math, String</t>
        </is>
      </c>
      <c r="G1643" s="1" t="inlineStr">
        <is>
          <t>Easy</t>
        </is>
      </c>
      <c r="H1643" s="1" t="n">
        <v>119483</v>
      </c>
      <c r="I1643" s="1" t="n">
        <v>149642</v>
      </c>
      <c r="J1643" s="9" t="n">
        <v>0.798</v>
      </c>
      <c r="K1643" s="1" t="inlineStr">
        <is>
          <t>Yes</t>
        </is>
      </c>
      <c r="L1643" s="1" t="inlineStr">
        <is>
          <t>No</t>
        </is>
      </c>
      <c r="M1643" s="1" t="inlineStr">
        <is>
          <t>No</t>
        </is>
      </c>
      <c r="N1643" s="1" t="inlineStr">
        <is>
          <t>Algorithms</t>
        </is>
      </c>
      <c r="O16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43" s="13" t="inlineStr">
        <is>
          <t>Done</t>
        </is>
      </c>
    </row>
    <row r="1644" ht="15.75" customHeight="1" s="12">
      <c r="A1644" s="1" t="n">
        <v>447</v>
      </c>
      <c r="B1644" s="3">
        <f>HYPERLINK("https://leetcode.com/problems/number-of-boomerangs/", "Number of Boomerangs")</f>
        <v/>
      </c>
      <c r="C1644" s="1" t="n">
        <v>902</v>
      </c>
      <c r="D1644" s="1" t="n">
        <v>1046</v>
      </c>
      <c r="E1644" s="4">
        <f>IF(INDEX(C:C, ROW())+INDEX(D:D, ROW())=0, 0, INDEX(C:C, ROW())/(INDEX(C:C, ROW())+INDEX(D:D, ROW())))</f>
        <v/>
      </c>
      <c r="F1644" s="1" t="inlineStr">
        <is>
          <t>Array, Hash Table, Math</t>
        </is>
      </c>
      <c r="G1644" s="1" t="inlineStr">
        <is>
          <t>Medium</t>
        </is>
      </c>
      <c r="H1644" s="1" t="n">
        <v>119077</v>
      </c>
      <c r="I1644" s="1" t="n">
        <v>206939</v>
      </c>
      <c r="J1644" s="9" t="n">
        <v>0.575</v>
      </c>
      <c r="K1644" s="1" t="inlineStr">
        <is>
          <t>Yes</t>
        </is>
      </c>
      <c r="L1644" s="1" t="inlineStr">
        <is>
          <t>No</t>
        </is>
      </c>
      <c r="M1644" s="1" t="inlineStr">
        <is>
          <t>No</t>
        </is>
      </c>
      <c r="N1644" s="1" t="inlineStr">
        <is>
          <t>Algorithms</t>
        </is>
      </c>
      <c r="O16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44" s="11" t="inlineStr">
        <is>
          <t>To Do</t>
        </is>
      </c>
    </row>
    <row r="1645" ht="15.75" customHeight="1" s="12">
      <c r="A1645" s="1" t="n">
        <v>1349</v>
      </c>
      <c r="B1645" s="3">
        <f>HYPERLINK("https://leetcode.com/problems/maximum-students-taking-exam/", "Maximum Students Taking Exam")</f>
        <v/>
      </c>
      <c r="C1645" s="1" t="n">
        <v>901</v>
      </c>
      <c r="D1645" s="1" t="n">
        <v>20</v>
      </c>
      <c r="E1645" s="4">
        <f>IF(INDEX(C:C, ROW())+INDEX(D:D, ROW())=0, 0, INDEX(C:C, ROW())/(INDEX(C:C, ROW())+INDEX(D:D, ROW())))</f>
        <v/>
      </c>
      <c r="F1645" s="1" t="inlineStr">
        <is>
          <t>Array, Dynamic Programming, Bit Manipulation, Matrix, Bitmask</t>
        </is>
      </c>
      <c r="G1645" s="1" t="inlineStr">
        <is>
          <t>Hard</t>
        </is>
      </c>
      <c r="H1645" s="1" t="n">
        <v>23753</v>
      </c>
      <c r="I1645" s="1" t="n">
        <v>44180</v>
      </c>
      <c r="J1645" s="9" t="n">
        <v>0.538</v>
      </c>
      <c r="K1645" s="1" t="inlineStr">
        <is>
          <t>Yes</t>
        </is>
      </c>
      <c r="L1645" s="1" t="inlineStr">
        <is>
          <t>No</t>
        </is>
      </c>
      <c r="M1645" s="1" t="inlineStr">
        <is>
          <t>No</t>
        </is>
      </c>
      <c r="N1645" s="1" t="inlineStr">
        <is>
          <t>Algorithms</t>
        </is>
      </c>
      <c r="O16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45" s="11" t="inlineStr">
        <is>
          <t>To Do</t>
        </is>
      </c>
    </row>
    <row r="1646" ht="15.75" customHeight="1" s="12">
      <c r="A1646" s="1" t="n">
        <v>267</v>
      </c>
      <c r="B1646" s="3">
        <f>HYPERLINK("https://leetcode.com/problems/palindrome-permutation-ii/", "Palindrome Permutation II")</f>
        <v/>
      </c>
      <c r="C1646" s="1" t="n">
        <v>899</v>
      </c>
      <c r="D1646" s="1" t="n">
        <v>98</v>
      </c>
      <c r="E1646" s="4">
        <f>IF(INDEX(C:C, ROW())+INDEX(D:D, ROW())=0, 0, INDEX(C:C, ROW())/(INDEX(C:C, ROW())+INDEX(D:D, ROW())))</f>
        <v/>
      </c>
      <c r="F1646" s="1" t="inlineStr">
        <is>
          <t>Hash Table, String, Backtracking</t>
        </is>
      </c>
      <c r="G1646" s="1" t="inlineStr">
        <is>
          <t>Medium</t>
        </is>
      </c>
      <c r="H1646" s="1" t="n">
        <v>75994</v>
      </c>
      <c r="I1646" s="1" t="n">
        <v>179486</v>
      </c>
      <c r="J1646" s="9" t="n">
        <v>0.423</v>
      </c>
      <c r="K1646" s="1" t="inlineStr">
        <is>
          <t>No</t>
        </is>
      </c>
      <c r="L1646" s="1" t="inlineStr">
        <is>
          <t>Yes</t>
        </is>
      </c>
      <c r="M1646" s="1" t="inlineStr">
        <is>
          <t>No</t>
        </is>
      </c>
      <c r="N1646" s="1" t="inlineStr">
        <is>
          <t>Algorithms</t>
        </is>
      </c>
      <c r="O16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46" s="11" t="inlineStr">
        <is>
          <t>To Do</t>
        </is>
      </c>
    </row>
    <row r="1647" ht="15.75" customHeight="1" s="12">
      <c r="A1647" s="1" t="n">
        <v>710</v>
      </c>
      <c r="B1647" s="3">
        <f>HYPERLINK("https://leetcode.com/problems/random-pick-with-blacklist/", "Random Pick with Blacklist")</f>
        <v/>
      </c>
      <c r="C1647" s="1" t="n">
        <v>899</v>
      </c>
      <c r="D1647" s="1" t="n">
        <v>121</v>
      </c>
      <c r="E1647" s="4">
        <f>IF(INDEX(C:C, ROW())+INDEX(D:D, ROW())=0, 0, INDEX(C:C, ROW())/(INDEX(C:C, ROW())+INDEX(D:D, ROW())))</f>
        <v/>
      </c>
      <c r="F1647" s="1" t="inlineStr">
        <is>
          <t>Array, Hash Table, Math, Binary Search, Sorting, Randomized</t>
        </is>
      </c>
      <c r="G1647" s="1" t="inlineStr">
        <is>
          <t>Hard</t>
        </is>
      </c>
      <c r="H1647" s="1" t="n">
        <v>53329</v>
      </c>
      <c r="I1647" s="1" t="n">
        <v>152540</v>
      </c>
      <c r="J1647" s="9" t="n">
        <v>0.35</v>
      </c>
      <c r="K1647" s="1" t="inlineStr">
        <is>
          <t>Yes</t>
        </is>
      </c>
      <c r="L1647" s="1" t="inlineStr">
        <is>
          <t>No</t>
        </is>
      </c>
      <c r="M1647" s="1" t="inlineStr">
        <is>
          <t>No</t>
        </is>
      </c>
      <c r="N1647" s="1" t="inlineStr">
        <is>
          <t>Algorithms</t>
        </is>
      </c>
      <c r="O16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47" s="11" t="inlineStr">
        <is>
          <t>To Do</t>
        </is>
      </c>
    </row>
    <row r="1648" ht="15.75" customHeight="1" s="12">
      <c r="A1648" s="1" t="n">
        <v>1844</v>
      </c>
      <c r="B1648" s="3">
        <f>HYPERLINK("https://leetcode.com/problems/replace-all-digits-with-characters/", "Replace All Digits with Characters")</f>
        <v/>
      </c>
      <c r="C1648" s="1" t="n">
        <v>899</v>
      </c>
      <c r="D1648" s="1" t="n">
        <v>117</v>
      </c>
      <c r="E1648" s="4">
        <f>IF(INDEX(C:C, ROW())+INDEX(D:D, ROW())=0, 0, INDEX(C:C, ROW())/(INDEX(C:C, ROW())+INDEX(D:D, ROW())))</f>
        <v/>
      </c>
      <c r="F1648" s="1" t="inlineStr">
        <is>
          <t>String</t>
        </is>
      </c>
      <c r="G1648" s="1" t="inlineStr">
        <is>
          <t>Easy</t>
        </is>
      </c>
      <c r="H1648" s="1" t="n">
        <v>115776</v>
      </c>
      <c r="I1648" s="1" t="n">
        <v>139982</v>
      </c>
      <c r="J1648" s="9" t="n">
        <v>0.827</v>
      </c>
      <c r="K1648" s="1" t="inlineStr">
        <is>
          <t>Yes</t>
        </is>
      </c>
      <c r="L1648" s="1" t="inlineStr">
        <is>
          <t>No</t>
        </is>
      </c>
      <c r="M1648" s="1" t="inlineStr">
        <is>
          <t>No</t>
        </is>
      </c>
      <c r="N1648" s="1" t="inlineStr">
        <is>
          <t>Algorithms</t>
        </is>
      </c>
      <c r="O16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48" s="13" t="inlineStr">
        <is>
          <t>Done</t>
        </is>
      </c>
    </row>
    <row r="1649" ht="15.75" customHeight="1" s="12">
      <c r="A1649" s="1" t="n">
        <v>1520</v>
      </c>
      <c r="B1649" s="3">
        <f>HYPERLINK("https://leetcode.com/problems/maximum-number-of-non-overlapping-substrings/", "Maximum Number of Non-Overlapping Substrings")</f>
        <v/>
      </c>
      <c r="C1649" s="1" t="n">
        <v>897</v>
      </c>
      <c r="D1649" s="1" t="n">
        <v>88</v>
      </c>
      <c r="E1649" s="4">
        <f>IF(INDEX(C:C, ROW())+INDEX(D:D, ROW())=0, 0, INDEX(C:C, ROW())/(INDEX(C:C, ROW())+INDEX(D:D, ROW())))</f>
        <v/>
      </c>
      <c r="F1649" s="1" t="inlineStr">
        <is>
          <t>Hash Table, String, Greedy, Sorting</t>
        </is>
      </c>
      <c r="G1649" s="1" t="inlineStr">
        <is>
          <t>Hard</t>
        </is>
      </c>
      <c r="H1649" s="1" t="n">
        <v>25181</v>
      </c>
      <c r="I1649" s="1" t="n">
        <v>59856</v>
      </c>
      <c r="J1649" s="9" t="n">
        <v>0.421</v>
      </c>
      <c r="K1649" s="1" t="inlineStr">
        <is>
          <t>Yes</t>
        </is>
      </c>
      <c r="L1649" s="1" t="inlineStr">
        <is>
          <t>No</t>
        </is>
      </c>
      <c r="M1649" s="1" t="inlineStr">
        <is>
          <t>No</t>
        </is>
      </c>
      <c r="N1649" s="1" t="inlineStr">
        <is>
          <t>Algorithms</t>
        </is>
      </c>
      <c r="O16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49" s="11" t="inlineStr">
        <is>
          <t>To Do</t>
        </is>
      </c>
    </row>
    <row r="1650" ht="15.75" customHeight="1" s="12">
      <c r="A1650" s="1" t="n">
        <v>1542</v>
      </c>
      <c r="B1650" s="3">
        <f>HYPERLINK("https://leetcode.com/problems/find-longest-awesome-substring/", "Find Longest Awesome Substring")</f>
        <v/>
      </c>
      <c r="C1650" s="1" t="n">
        <v>897</v>
      </c>
      <c r="D1650" s="1" t="n">
        <v>16</v>
      </c>
      <c r="E1650" s="4">
        <f>IF(INDEX(C:C, ROW())+INDEX(D:D, ROW())=0, 0, INDEX(C:C, ROW())/(INDEX(C:C, ROW())+INDEX(D:D, ROW())))</f>
        <v/>
      </c>
      <c r="F1650" s="1" t="inlineStr">
        <is>
          <t>Hash Table, String, Bit Manipulation</t>
        </is>
      </c>
      <c r="G1650" s="1" t="inlineStr">
        <is>
          <t>Hard</t>
        </is>
      </c>
      <c r="H1650" s="1" t="n">
        <v>20695</v>
      </c>
      <c r="I1650" s="1" t="n">
        <v>44225</v>
      </c>
      <c r="J1650" s="9" t="n">
        <v>0.468</v>
      </c>
      <c r="K1650" s="1" t="inlineStr">
        <is>
          <t>Yes</t>
        </is>
      </c>
      <c r="L1650" s="1" t="inlineStr">
        <is>
          <t>No</t>
        </is>
      </c>
      <c r="M1650" s="1" t="inlineStr">
        <is>
          <t>No</t>
        </is>
      </c>
      <c r="N1650" s="1" t="inlineStr">
        <is>
          <t>Algorithms</t>
        </is>
      </c>
      <c r="O16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50" s="11" t="inlineStr">
        <is>
          <t>To Do</t>
        </is>
      </c>
    </row>
    <row r="1651" ht="15.75" customHeight="1" s="12">
      <c r="A1651" s="1" t="n">
        <v>2665</v>
      </c>
      <c r="B1651" s="3">
        <f>HYPERLINK("https://leetcode.com/problems/counter-ii/", "Counter II")</f>
        <v/>
      </c>
      <c r="C1651" s="1" t="n">
        <v>896</v>
      </c>
      <c r="D1651" s="1" t="n">
        <v>37</v>
      </c>
      <c r="E1651" s="4">
        <f>IF(INDEX(C:C, ROW())+INDEX(D:D, ROW())=0, 0, INDEX(C:C, ROW())/(INDEX(C:C, ROW())+INDEX(D:D, ROW())))</f>
        <v/>
      </c>
      <c r="F1651" s="2" t="n"/>
      <c r="G1651" s="1" t="inlineStr">
        <is>
          <t>Easy</t>
        </is>
      </c>
      <c r="H1651" s="1" t="n">
        <v>386494</v>
      </c>
      <c r="I1651" s="1" t="n">
        <v>475802</v>
      </c>
      <c r="J1651" s="9" t="n">
        <v>0.8120000000000001</v>
      </c>
      <c r="K1651" s="1" t="inlineStr">
        <is>
          <t>Yes</t>
        </is>
      </c>
      <c r="L1651" s="1" t="inlineStr">
        <is>
          <t>Yes</t>
        </is>
      </c>
      <c r="M1651" s="1" t="inlineStr">
        <is>
          <t>No</t>
        </is>
      </c>
      <c r="N1651" s="1" t="inlineStr">
        <is>
          <t>JavaScript</t>
        </is>
      </c>
      <c r="O16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51" s="13" t="inlineStr">
        <is>
          <t>Done</t>
        </is>
      </c>
    </row>
    <row r="1652" ht="15.75" customHeight="1" s="12">
      <c r="A1652" s="1" t="n">
        <v>423</v>
      </c>
      <c r="B1652" s="3">
        <f>HYPERLINK("https://leetcode.com/problems/reconstruct-original-digits-from-english/", "Reconstruct Original Digits from English")</f>
        <v/>
      </c>
      <c r="C1652" s="1" t="n">
        <v>895</v>
      </c>
      <c r="D1652" s="1" t="n">
        <v>2812</v>
      </c>
      <c r="E1652" s="4">
        <f>IF(INDEX(C:C, ROW())+INDEX(D:D, ROW())=0, 0, INDEX(C:C, ROW())/(INDEX(C:C, ROW())+INDEX(D:D, ROW())))</f>
        <v/>
      </c>
      <c r="F1652" s="1" t="inlineStr">
        <is>
          <t>Hash Table, Math, String</t>
        </is>
      </c>
      <c r="G1652" s="1" t="inlineStr">
        <is>
          <t>Medium</t>
        </is>
      </c>
      <c r="H1652" s="1" t="n">
        <v>100231</v>
      </c>
      <c r="I1652" s="1" t="n">
        <v>189574</v>
      </c>
      <c r="J1652" s="9" t="n">
        <v>0.529</v>
      </c>
      <c r="K1652" s="1" t="inlineStr">
        <is>
          <t>Yes</t>
        </is>
      </c>
      <c r="L1652" s="1" t="inlineStr">
        <is>
          <t>Yes</t>
        </is>
      </c>
      <c r="M1652" s="1" t="inlineStr">
        <is>
          <t>No</t>
        </is>
      </c>
      <c r="N1652" s="1" t="inlineStr">
        <is>
          <t>Algorithms</t>
        </is>
      </c>
      <c r="O16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52" s="11" t="inlineStr">
        <is>
          <t>To Do</t>
        </is>
      </c>
    </row>
    <row r="1653" ht="15.75" customHeight="1" s="12">
      <c r="A1653" s="1" t="n">
        <v>1390</v>
      </c>
      <c r="B1653" s="3">
        <f>HYPERLINK("https://leetcode.com/problems/four-divisors/", "Four Divisors")</f>
        <v/>
      </c>
      <c r="C1653" s="1" t="n">
        <v>895</v>
      </c>
      <c r="D1653" s="1" t="n">
        <v>223</v>
      </c>
      <c r="E1653" s="4">
        <f>IF(INDEX(C:C, ROW())+INDEX(D:D, ROW())=0, 0, INDEX(C:C, ROW())/(INDEX(C:C, ROW())+INDEX(D:D, ROW())))</f>
        <v/>
      </c>
      <c r="F1653" s="1" t="inlineStr">
        <is>
          <t>Array, Math</t>
        </is>
      </c>
      <c r="G1653" s="1" t="inlineStr">
        <is>
          <t>Medium</t>
        </is>
      </c>
      <c r="H1653" s="1" t="n">
        <v>196906</v>
      </c>
      <c r="I1653" s="1" t="n">
        <v>347649</v>
      </c>
      <c r="J1653" s="9" t="n">
        <v>0.5659999999999999</v>
      </c>
      <c r="K1653" s="1" t="inlineStr">
        <is>
          <t>Yes</t>
        </is>
      </c>
      <c r="L1653" s="1" t="inlineStr">
        <is>
          <t>Yes</t>
        </is>
      </c>
      <c r="M1653" s="1" t="inlineStr">
        <is>
          <t>No</t>
        </is>
      </c>
      <c r="N1653" s="1" t="inlineStr">
        <is>
          <t>Algorithms</t>
        </is>
      </c>
      <c r="O16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53" s="11" t="inlineStr">
        <is>
          <t>To Do</t>
        </is>
      </c>
    </row>
    <row r="1654" ht="15.75" customHeight="1" s="12">
      <c r="A1654" s="1" t="n">
        <v>1686</v>
      </c>
      <c r="B1654" s="3">
        <f>HYPERLINK("https://leetcode.com/problems/stone-game-vi/", "Stone Game VI")</f>
        <v/>
      </c>
      <c r="C1654" s="1" t="n">
        <v>895</v>
      </c>
      <c r="D1654" s="1" t="n">
        <v>78</v>
      </c>
      <c r="E1654" s="4">
        <f>IF(INDEX(C:C, ROW())+INDEX(D:D, ROW())=0, 0, INDEX(C:C, ROW())/(INDEX(C:C, ROW())+INDEX(D:D, ROW())))</f>
        <v/>
      </c>
      <c r="F1654" s="1" t="inlineStr">
        <is>
          <t>Array, Math, Greedy, Sorting, Heap (Priority Queue), Game Theory</t>
        </is>
      </c>
      <c r="G1654" s="1" t="inlineStr">
        <is>
          <t>Medium</t>
        </is>
      </c>
      <c r="H1654" s="1" t="n">
        <v>28835</v>
      </c>
      <c r="I1654" s="1" t="n">
        <v>47582</v>
      </c>
      <c r="J1654" s="9" t="n">
        <v>0.606</v>
      </c>
      <c r="K1654" s="1" t="inlineStr">
        <is>
          <t>Yes</t>
        </is>
      </c>
      <c r="L1654" s="1" t="inlineStr">
        <is>
          <t>No</t>
        </is>
      </c>
      <c r="M1654" s="1" t="inlineStr">
        <is>
          <t>No</t>
        </is>
      </c>
      <c r="N1654" s="1" t="inlineStr">
        <is>
          <t>Algorithms</t>
        </is>
      </c>
      <c r="O16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54" s="11" t="inlineStr">
        <is>
          <t>To Do</t>
        </is>
      </c>
    </row>
    <row r="1655" ht="15.75" customHeight="1" s="12">
      <c r="A1655" s="1" t="n">
        <v>504</v>
      </c>
      <c r="B1655" s="3">
        <f>HYPERLINK("https://leetcode.com/problems/base-7/", "Base 7")</f>
        <v/>
      </c>
      <c r="C1655" s="1" t="n">
        <v>894</v>
      </c>
      <c r="D1655" s="1" t="n">
        <v>240</v>
      </c>
      <c r="E1655" s="4">
        <f>IF(INDEX(C:C, ROW())+INDEX(D:D, ROW())=0, 0, INDEX(C:C, ROW())/(INDEX(C:C, ROW())+INDEX(D:D, ROW())))</f>
        <v/>
      </c>
      <c r="F1655" s="1" t="inlineStr">
        <is>
          <t>Math, String</t>
        </is>
      </c>
      <c r="G1655" s="1" t="inlineStr">
        <is>
          <t>Easy</t>
        </is>
      </c>
      <c r="H1655" s="1" t="n">
        <v>208084</v>
      </c>
      <c r="I1655" s="1" t="n">
        <v>382064</v>
      </c>
      <c r="J1655" s="9" t="n">
        <v>0.545</v>
      </c>
      <c r="K1655" s="1" t="inlineStr">
        <is>
          <t>Yes</t>
        </is>
      </c>
      <c r="L1655" s="1" t="inlineStr">
        <is>
          <t>No</t>
        </is>
      </c>
      <c r="M1655" s="1" t="inlineStr">
        <is>
          <t>No</t>
        </is>
      </c>
      <c r="N1655" s="1" t="inlineStr">
        <is>
          <t>Algorithms</t>
        </is>
      </c>
      <c r="O16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55" s="13" t="inlineStr">
        <is>
          <t>Done</t>
        </is>
      </c>
    </row>
    <row r="1656" ht="15.75" customHeight="1" s="12">
      <c r="A1656" s="1" t="n">
        <v>2074</v>
      </c>
      <c r="B1656" s="3">
        <f>HYPERLINK("https://leetcode.com/problems/reverse-nodes-in-even-length-groups/", "Reverse Nodes in Even Length Groups")</f>
        <v/>
      </c>
      <c r="C1656" s="1" t="n">
        <v>893</v>
      </c>
      <c r="D1656" s="1" t="n">
        <v>376</v>
      </c>
      <c r="E1656" s="4">
        <f>IF(INDEX(C:C, ROW())+INDEX(D:D, ROW())=0, 0, INDEX(C:C, ROW())/(INDEX(C:C, ROW())+INDEX(D:D, ROW())))</f>
        <v/>
      </c>
      <c r="F1656" s="1" t="inlineStr">
        <is>
          <t>Linked List</t>
        </is>
      </c>
      <c r="G1656" s="1" t="inlineStr">
        <is>
          <t>Medium</t>
        </is>
      </c>
      <c r="H1656" s="1" t="n">
        <v>46521</v>
      </c>
      <c r="I1656" s="1" t="n">
        <v>72685</v>
      </c>
      <c r="J1656" s="9" t="n">
        <v>0.64</v>
      </c>
      <c r="K1656" s="1" t="inlineStr">
        <is>
          <t>Yes</t>
        </is>
      </c>
      <c r="L1656" s="1" t="inlineStr">
        <is>
          <t>No</t>
        </is>
      </c>
      <c r="M1656" s="1" t="inlineStr">
        <is>
          <t>No</t>
        </is>
      </c>
      <c r="N1656" s="1" t="inlineStr">
        <is>
          <t>Algorithms</t>
        </is>
      </c>
      <c r="O16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56" s="11" t="inlineStr">
        <is>
          <t>To Do</t>
        </is>
      </c>
    </row>
    <row r="1657" ht="15.75" customHeight="1" s="12">
      <c r="A1657" s="1" t="n">
        <v>592</v>
      </c>
      <c r="B1657" s="3">
        <f>HYPERLINK("https://leetcode.com/problems/fraction-addition-and-subtraction/", "Fraction Addition and Subtraction")</f>
        <v/>
      </c>
      <c r="C1657" s="1" t="n">
        <v>891</v>
      </c>
      <c r="D1657" s="1" t="n">
        <v>696</v>
      </c>
      <c r="E1657" s="4">
        <f>IF(INDEX(C:C, ROW())+INDEX(D:D, ROW())=0, 0, INDEX(C:C, ROW())/(INDEX(C:C, ROW())+INDEX(D:D, ROW())))</f>
        <v/>
      </c>
      <c r="F1657" s="1" t="inlineStr">
        <is>
          <t>Math, String, Simulation</t>
        </is>
      </c>
      <c r="G1657" s="1" t="inlineStr">
        <is>
          <t>Medium</t>
        </is>
      </c>
      <c r="H1657" s="1" t="n">
        <v>138170</v>
      </c>
      <c r="I1657" s="1" t="n">
        <v>208016</v>
      </c>
      <c r="J1657" s="9" t="n">
        <v>0.664</v>
      </c>
      <c r="K1657" s="1" t="inlineStr">
        <is>
          <t>Yes</t>
        </is>
      </c>
      <c r="L1657" s="1" t="inlineStr">
        <is>
          <t>Yes</t>
        </is>
      </c>
      <c r="M1657" s="1" t="inlineStr">
        <is>
          <t>No</t>
        </is>
      </c>
      <c r="N1657" s="1" t="inlineStr">
        <is>
          <t>Algorithms</t>
        </is>
      </c>
      <c r="O16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57" s="11" t="inlineStr">
        <is>
          <t>To Do</t>
        </is>
      </c>
    </row>
    <row r="1658" ht="15.75" customHeight="1" s="12">
      <c r="A1658" s="1" t="n">
        <v>510</v>
      </c>
      <c r="B1658" s="3">
        <f>HYPERLINK("https://leetcode.com/problems/inorder-successor-in-bst-ii/", "Inorder Successor in BST II")</f>
        <v/>
      </c>
      <c r="C1658" s="1" t="n">
        <v>890</v>
      </c>
      <c r="D1658" s="1" t="n">
        <v>44</v>
      </c>
      <c r="E1658" s="4">
        <f>IF(INDEX(C:C, ROW())+INDEX(D:D, ROW())=0, 0, INDEX(C:C, ROW())/(INDEX(C:C, ROW())+INDEX(D:D, ROW())))</f>
        <v/>
      </c>
      <c r="F1658" s="1" t="inlineStr">
        <is>
          <t>Tree, Binary Search Tree, Binary Tree</t>
        </is>
      </c>
      <c r="G1658" s="1" t="inlineStr">
        <is>
          <t>Medium</t>
        </is>
      </c>
      <c r="H1658" s="1" t="n">
        <v>76097</v>
      </c>
      <c r="I1658" s="1" t="n">
        <v>124564</v>
      </c>
      <c r="J1658" s="9" t="n">
        <v>0.611</v>
      </c>
      <c r="K1658" s="1" t="inlineStr">
        <is>
          <t>No</t>
        </is>
      </c>
      <c r="L1658" s="1" t="inlineStr">
        <is>
          <t>Yes</t>
        </is>
      </c>
      <c r="M1658" s="1" t="inlineStr">
        <is>
          <t>No</t>
        </is>
      </c>
      <c r="N1658" s="1" t="inlineStr">
        <is>
          <t>Algorithms</t>
        </is>
      </c>
      <c r="O16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58" s="11" t="inlineStr">
        <is>
          <t>To Do</t>
        </is>
      </c>
    </row>
    <row r="1659" ht="15.75" customHeight="1" s="12">
      <c r="A1659" s="1" t="n">
        <v>742</v>
      </c>
      <c r="B1659" s="3">
        <f>HYPERLINK("https://leetcode.com/problems/closest-leaf-in-a-binary-tree/", "Closest Leaf in a Binary Tree")</f>
        <v/>
      </c>
      <c r="C1659" s="1" t="n">
        <v>890</v>
      </c>
      <c r="D1659" s="1" t="n">
        <v>190</v>
      </c>
      <c r="E1659" s="4">
        <f>IF(INDEX(C:C, ROW())+INDEX(D:D, ROW())=0, 0, INDEX(C:C, ROW())/(INDEX(C:C, ROW())+INDEX(D:D, ROW())))</f>
        <v/>
      </c>
      <c r="F1659" s="1" t="inlineStr">
        <is>
          <t>Tree, Depth-First Search, Breadth-First Search, Binary Tree</t>
        </is>
      </c>
      <c r="G1659" s="1" t="inlineStr">
        <is>
          <t>Medium</t>
        </is>
      </c>
      <c r="H1659" s="1" t="n">
        <v>56052</v>
      </c>
      <c r="I1659" s="1" t="n">
        <v>118176</v>
      </c>
      <c r="J1659" s="9" t="n">
        <v>0.474</v>
      </c>
      <c r="K1659" s="1" t="inlineStr">
        <is>
          <t>No</t>
        </is>
      </c>
      <c r="L1659" s="1" t="inlineStr">
        <is>
          <t>Yes</t>
        </is>
      </c>
      <c r="M1659" s="1" t="inlineStr">
        <is>
          <t>No</t>
        </is>
      </c>
      <c r="N1659" s="1" t="inlineStr">
        <is>
          <t>Algorithms</t>
        </is>
      </c>
      <c r="O16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59" s="11" t="inlineStr">
        <is>
          <t>To Do</t>
        </is>
      </c>
    </row>
    <row r="1660" ht="15.75" customHeight="1" s="12">
      <c r="A1660" s="1" t="n">
        <v>1263</v>
      </c>
      <c r="B1660" s="3">
        <f>HYPERLINK("https://leetcode.com/problems/minimum-moves-to-move-a-box-to-their-target-location/", "Minimum Moves to Move a Box to Their Target Location")</f>
        <v/>
      </c>
      <c r="C1660" s="1" t="n">
        <v>890</v>
      </c>
      <c r="D1660" s="1" t="n">
        <v>60</v>
      </c>
      <c r="E1660" s="4">
        <f>IF(INDEX(C:C, ROW())+INDEX(D:D, ROW())=0, 0, INDEX(C:C, ROW())/(INDEX(C:C, ROW())+INDEX(D:D, ROW())))</f>
        <v/>
      </c>
      <c r="F1660" s="1" t="inlineStr">
        <is>
          <t>Array, Breadth-First Search, Heap (Priority Queue), Matrix</t>
        </is>
      </c>
      <c r="G1660" s="1" t="inlineStr">
        <is>
          <t>Hard</t>
        </is>
      </c>
      <c r="H1660" s="1" t="n">
        <v>32275</v>
      </c>
      <c r="I1660" s="1" t="n">
        <v>64974</v>
      </c>
      <c r="J1660" s="9" t="n">
        <v>0.497</v>
      </c>
      <c r="K1660" s="1" t="inlineStr">
        <is>
          <t>Yes</t>
        </is>
      </c>
      <c r="L1660" s="1" t="inlineStr">
        <is>
          <t>No</t>
        </is>
      </c>
      <c r="M1660" s="1" t="inlineStr">
        <is>
          <t>No</t>
        </is>
      </c>
      <c r="N1660" s="1" t="inlineStr">
        <is>
          <t>Algorithms</t>
        </is>
      </c>
      <c r="O16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60" s="11" t="inlineStr">
        <is>
          <t>To Do</t>
        </is>
      </c>
    </row>
    <row r="1661" ht="15.75" customHeight="1" s="12">
      <c r="A1661" s="1" t="n">
        <v>158</v>
      </c>
      <c r="B1661" s="3">
        <f>HYPERLINK("https://leetcode.com/problems/read-n-characters-given-read4-ii-call-multiple-times/", "Read N Characters Given read4 II - Call Multiple Times")</f>
        <v/>
      </c>
      <c r="C1661" s="1" t="n">
        <v>889</v>
      </c>
      <c r="D1661" s="1" t="n">
        <v>1821</v>
      </c>
      <c r="E1661" s="4">
        <f>IF(INDEX(C:C, ROW())+INDEX(D:D, ROW())=0, 0, INDEX(C:C, ROW())/(INDEX(C:C, ROW())+INDEX(D:D, ROW())))</f>
        <v/>
      </c>
      <c r="F1661" s="1" t="inlineStr">
        <is>
          <t>Array, Simulation, Interactive</t>
        </is>
      </c>
      <c r="G1661" s="1" t="inlineStr">
        <is>
          <t>Hard</t>
        </is>
      </c>
      <c r="H1661" s="1" t="n">
        <v>196942</v>
      </c>
      <c r="I1661" s="1" t="n">
        <v>455071</v>
      </c>
      <c r="J1661" s="9" t="n">
        <v>0.433</v>
      </c>
      <c r="K1661" s="1" t="inlineStr">
        <is>
          <t>No</t>
        </is>
      </c>
      <c r="L1661" s="1" t="inlineStr">
        <is>
          <t>No</t>
        </is>
      </c>
      <c r="M1661" s="1" t="inlineStr">
        <is>
          <t>No</t>
        </is>
      </c>
      <c r="N1661" s="1" t="inlineStr">
        <is>
          <t>Algorithms</t>
        </is>
      </c>
      <c r="O16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61" s="11" t="inlineStr">
        <is>
          <t>To Do</t>
        </is>
      </c>
    </row>
    <row r="1662" ht="15.75" customHeight="1" s="12">
      <c r="A1662" s="1" t="n">
        <v>1153</v>
      </c>
      <c r="B1662" s="3">
        <f>HYPERLINK("https://leetcode.com/problems/string-transforms-into-another-string/", "String Transforms Into Another String")</f>
        <v/>
      </c>
      <c r="C1662" s="1" t="n">
        <v>889</v>
      </c>
      <c r="D1662" s="1" t="n">
        <v>339</v>
      </c>
      <c r="E1662" s="4">
        <f>IF(INDEX(C:C, ROW())+INDEX(D:D, ROW())=0, 0, INDEX(C:C, ROW())/(INDEX(C:C, ROW())+INDEX(D:D, ROW())))</f>
        <v/>
      </c>
      <c r="F1662" s="1" t="inlineStr">
        <is>
          <t>Hash Table, String, Graph Theory</t>
        </is>
      </c>
      <c r="G1662" s="1" t="inlineStr">
        <is>
          <t>Hard</t>
        </is>
      </c>
      <c r="H1662" s="1" t="n">
        <v>54455</v>
      </c>
      <c r="I1662" s="1" t="n">
        <v>157179</v>
      </c>
      <c r="J1662" s="9" t="n">
        <v>0.346</v>
      </c>
      <c r="K1662" s="1" t="inlineStr">
        <is>
          <t>No</t>
        </is>
      </c>
      <c r="L1662" s="1" t="inlineStr">
        <is>
          <t>Yes</t>
        </is>
      </c>
      <c r="M1662" s="1" t="inlineStr">
        <is>
          <t>No</t>
        </is>
      </c>
      <c r="N1662" s="1" t="inlineStr">
        <is>
          <t>Algorithms</t>
        </is>
      </c>
      <c r="O16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62" s="11" t="inlineStr">
        <is>
          <t>To Do</t>
        </is>
      </c>
    </row>
    <row r="1663" ht="15.75" customHeight="1" s="12">
      <c r="A1663" s="1" t="n">
        <v>2258</v>
      </c>
      <c r="B1663" s="3">
        <f>HYPERLINK("https://leetcode.com/problems/escape-the-spreading-fire/", "Escape the Spreading Fire")</f>
        <v/>
      </c>
      <c r="C1663" s="1" t="n">
        <v>889</v>
      </c>
      <c r="D1663" s="1" t="n">
        <v>42</v>
      </c>
      <c r="E1663" s="4">
        <f>IF(INDEX(C:C, ROW())+INDEX(D:D, ROW())=0, 0, INDEX(C:C, ROW())/(INDEX(C:C, ROW())+INDEX(D:D, ROW())))</f>
        <v/>
      </c>
      <c r="F1663" s="1" t="inlineStr">
        <is>
          <t>Array, Binary Search, Breadth-First Search, Matrix</t>
        </is>
      </c>
      <c r="G1663" s="1" t="inlineStr">
        <is>
          <t>Hard</t>
        </is>
      </c>
      <c r="H1663" s="1" t="n">
        <v>21020</v>
      </c>
      <c r="I1663" s="1" t="n">
        <v>55109</v>
      </c>
      <c r="J1663" s="9" t="n">
        <v>0.381</v>
      </c>
      <c r="K1663" s="1" t="inlineStr">
        <is>
          <t>Yes</t>
        </is>
      </c>
      <c r="L1663" s="1" t="inlineStr">
        <is>
          <t>No</t>
        </is>
      </c>
      <c r="M1663" s="1" t="inlineStr">
        <is>
          <t>No</t>
        </is>
      </c>
      <c r="N1663" s="1" t="inlineStr">
        <is>
          <t>Algorithms</t>
        </is>
      </c>
      <c r="O16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63" s="11" t="inlineStr">
        <is>
          <t>To Do</t>
        </is>
      </c>
    </row>
    <row r="1664" ht="15.75" customHeight="1" s="12">
      <c r="A1664" s="1" t="n">
        <v>2536</v>
      </c>
      <c r="B1664" s="3">
        <f>HYPERLINK("https://leetcode.com/problems/increment-submatrices-by-one/", "Increment Submatrices by One")</f>
        <v/>
      </c>
      <c r="C1664" s="1" t="n">
        <v>889</v>
      </c>
      <c r="D1664" s="1" t="n">
        <v>81</v>
      </c>
      <c r="E1664" s="4">
        <f>IF(INDEX(C:C, ROW())+INDEX(D:D, ROW())=0, 0, INDEX(C:C, ROW())/(INDEX(C:C, ROW())+INDEX(D:D, ROW())))</f>
        <v/>
      </c>
      <c r="F1664" s="1" t="inlineStr">
        <is>
          <t>Array, Matrix, Prefix Sum</t>
        </is>
      </c>
      <c r="G1664" s="1" t="inlineStr">
        <is>
          <t>Medium</t>
        </is>
      </c>
      <c r="H1664" s="1" t="n">
        <v>108475</v>
      </c>
      <c r="I1664" s="1" t="n">
        <v>146943</v>
      </c>
      <c r="J1664" s="9" t="n">
        <v>0.738</v>
      </c>
      <c r="K1664" s="1" t="inlineStr">
        <is>
          <t>Yes</t>
        </is>
      </c>
      <c r="L1664" s="1" t="inlineStr">
        <is>
          <t>Yes</t>
        </is>
      </c>
      <c r="M1664" s="1" t="inlineStr">
        <is>
          <t>No</t>
        </is>
      </c>
      <c r="N1664" s="1" t="inlineStr">
        <is>
          <t>Algorithms</t>
        </is>
      </c>
      <c r="O16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64" s="11" t="inlineStr">
        <is>
          <t>To Do</t>
        </is>
      </c>
    </row>
    <row r="1665" ht="15.75" customHeight="1" s="12">
      <c r="A1665" s="1" t="n">
        <v>1705</v>
      </c>
      <c r="B1665" s="3">
        <f>HYPERLINK("https://leetcode.com/problems/maximum-number-of-eaten-apples/", "Maximum Number of Eaten Apples")</f>
        <v/>
      </c>
      <c r="C1665" s="1" t="n">
        <v>888</v>
      </c>
      <c r="D1665" s="1" t="n">
        <v>202</v>
      </c>
      <c r="E1665" s="4">
        <f>IF(INDEX(C:C, ROW())+INDEX(D:D, ROW())=0, 0, INDEX(C:C, ROW())/(INDEX(C:C, ROW())+INDEX(D:D, ROW())))</f>
        <v/>
      </c>
      <c r="F1665" s="1" t="inlineStr">
        <is>
          <t>Array, Greedy, Heap (Priority Queue)</t>
        </is>
      </c>
      <c r="G1665" s="1" t="inlineStr">
        <is>
          <t>Medium</t>
        </is>
      </c>
      <c r="H1665" s="1" t="n">
        <v>33549</v>
      </c>
      <c r="I1665" s="1" t="n">
        <v>77621</v>
      </c>
      <c r="J1665" s="9" t="n">
        <v>0.432</v>
      </c>
      <c r="K1665" s="1" t="inlineStr">
        <is>
          <t>Yes</t>
        </is>
      </c>
      <c r="L1665" s="1" t="inlineStr">
        <is>
          <t>Yes</t>
        </is>
      </c>
      <c r="M1665" s="1" t="inlineStr">
        <is>
          <t>No</t>
        </is>
      </c>
      <c r="N1665" s="1" t="inlineStr">
        <is>
          <t>Algorithms</t>
        </is>
      </c>
      <c r="O16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65" s="11" t="inlineStr">
        <is>
          <t>To Do</t>
        </is>
      </c>
    </row>
    <row r="1666" ht="15.75" customHeight="1" s="12">
      <c r="A1666" s="1" t="n">
        <v>825</v>
      </c>
      <c r="B1666" s="3">
        <f>HYPERLINK("https://leetcode.com/problems/friends-of-appropriate-ages/", "Friends Of Appropriate Ages")</f>
        <v/>
      </c>
      <c r="C1666" s="1" t="n">
        <v>887</v>
      </c>
      <c r="D1666" s="1" t="n">
        <v>1278</v>
      </c>
      <c r="E1666" s="4">
        <f>IF(INDEX(C:C, ROW())+INDEX(D:D, ROW())=0, 0, INDEX(C:C, ROW())/(INDEX(C:C, ROW())+INDEX(D:D, ROW())))</f>
        <v/>
      </c>
      <c r="F1666" s="1" t="inlineStr">
        <is>
          <t>Array, Two Pointers, Binary Search, Sorting</t>
        </is>
      </c>
      <c r="G1666" s="1" t="inlineStr">
        <is>
          <t>Medium</t>
        </is>
      </c>
      <c r="H1666" s="1" t="n">
        <v>130356</v>
      </c>
      <c r="I1666" s="1" t="n">
        <v>261196</v>
      </c>
      <c r="J1666" s="9" t="n">
        <v>0.499</v>
      </c>
      <c r="K1666" s="1" t="inlineStr">
        <is>
          <t>Yes</t>
        </is>
      </c>
      <c r="L1666" s="1" t="inlineStr">
        <is>
          <t>Yes</t>
        </is>
      </c>
      <c r="M1666" s="1" t="inlineStr">
        <is>
          <t>No</t>
        </is>
      </c>
      <c r="N1666" s="1" t="inlineStr">
        <is>
          <t>Algorithms</t>
        </is>
      </c>
      <c r="O16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66" s="11" t="inlineStr">
        <is>
          <t>To Do</t>
        </is>
      </c>
    </row>
    <row r="1667" ht="15.75" customHeight="1" s="12">
      <c r="A1667" s="1" t="n">
        <v>2938</v>
      </c>
      <c r="B1667" s="3">
        <f>HYPERLINK("https://leetcode.com/problems/separate-black-and-white-balls/", "Separate Black and White Balls")</f>
        <v/>
      </c>
      <c r="C1667" s="1" t="n">
        <v>884</v>
      </c>
      <c r="D1667" s="1" t="n">
        <v>43</v>
      </c>
      <c r="E1667" s="4">
        <f>IF(INDEX(C:C, ROW())+INDEX(D:D, ROW())=0, 0, INDEX(C:C, ROW())/(INDEX(C:C, ROW())+INDEX(D:D, ROW())))</f>
        <v/>
      </c>
      <c r="F1667" s="1" t="inlineStr">
        <is>
          <t>Two Pointers, String, Greedy</t>
        </is>
      </c>
      <c r="G1667" s="1" t="inlineStr">
        <is>
          <t>Medium</t>
        </is>
      </c>
      <c r="H1667" s="1" t="n">
        <v>182348</v>
      </c>
      <c r="I1667" s="1" t="n">
        <v>285282</v>
      </c>
      <c r="J1667" s="9" t="n">
        <v>0.639</v>
      </c>
      <c r="K1667" s="1" t="inlineStr">
        <is>
          <t>Yes</t>
        </is>
      </c>
      <c r="L1667" s="1" t="inlineStr">
        <is>
          <t>Yes</t>
        </is>
      </c>
      <c r="M1667" s="1" t="inlineStr">
        <is>
          <t>No</t>
        </is>
      </c>
      <c r="N1667" s="1" t="inlineStr">
        <is>
          <t>Algorithms</t>
        </is>
      </c>
      <c r="O16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67" s="11" t="inlineStr">
        <is>
          <t>To Do</t>
        </is>
      </c>
    </row>
    <row r="1668" ht="15.75" customHeight="1" s="12">
      <c r="A1668" s="1" t="n">
        <v>1527</v>
      </c>
      <c r="B1668" s="3">
        <f>HYPERLINK("https://leetcode.com/problems/patients-with-a-condition/", "Patients With a Condition")</f>
        <v/>
      </c>
      <c r="C1668" s="1" t="n">
        <v>883</v>
      </c>
      <c r="D1668" s="1" t="n">
        <v>659</v>
      </c>
      <c r="E1668" s="4">
        <f>IF(INDEX(C:C, ROW())+INDEX(D:D, ROW())=0, 0, INDEX(C:C, ROW())/(INDEX(C:C, ROW())+INDEX(D:D, ROW())))</f>
        <v/>
      </c>
      <c r="F1668" s="1" t="inlineStr">
        <is>
          <t>Database</t>
        </is>
      </c>
      <c r="G1668" s="1" t="inlineStr">
        <is>
          <t>Easy</t>
        </is>
      </c>
      <c r="H1668" s="1" t="n">
        <v>448694</v>
      </c>
      <c r="I1668" s="1" t="n">
        <v>1154065</v>
      </c>
      <c r="J1668" s="9" t="n">
        <v>0.389</v>
      </c>
      <c r="K1668" s="1" t="inlineStr">
        <is>
          <t>Yes</t>
        </is>
      </c>
      <c r="L1668" s="1" t="inlineStr">
        <is>
          <t>Yes</t>
        </is>
      </c>
      <c r="M1668" s="1" t="inlineStr">
        <is>
          <t>No</t>
        </is>
      </c>
      <c r="N1668" s="1" t="inlineStr">
        <is>
          <t>Database</t>
        </is>
      </c>
      <c r="O16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68" s="13" t="inlineStr">
        <is>
          <t>Done</t>
        </is>
      </c>
    </row>
    <row r="1669" ht="15.75" customHeight="1" s="12">
      <c r="A1669" s="1" t="n">
        <v>2825</v>
      </c>
      <c r="B1669" s="3">
        <f>HYPERLINK("https://leetcode.com/problems/make-string-a-subsequence-using-cyclic-increments/", "Make String a Subsequence Using Cyclic Increments")</f>
        <v/>
      </c>
      <c r="C1669" s="1" t="n">
        <v>883</v>
      </c>
      <c r="D1669" s="1" t="n">
        <v>72</v>
      </c>
      <c r="E1669" s="4">
        <f>IF(INDEX(C:C, ROW())+INDEX(D:D, ROW())=0, 0, INDEX(C:C, ROW())/(INDEX(C:C, ROW())+INDEX(D:D, ROW())))</f>
        <v/>
      </c>
      <c r="F1669" s="1" t="inlineStr">
        <is>
          <t>Two Pointers, String</t>
        </is>
      </c>
      <c r="G1669" s="1" t="inlineStr">
        <is>
          <t>Medium</t>
        </is>
      </c>
      <c r="H1669" s="1" t="n">
        <v>163470</v>
      </c>
      <c r="I1669" s="1" t="n">
        <v>248832</v>
      </c>
      <c r="J1669" s="9" t="n">
        <v>0.657</v>
      </c>
      <c r="K1669" s="1" t="inlineStr">
        <is>
          <t>Yes</t>
        </is>
      </c>
      <c r="L1669" s="1" t="inlineStr">
        <is>
          <t>Yes</t>
        </is>
      </c>
      <c r="M1669" s="1" t="inlineStr">
        <is>
          <t>No</t>
        </is>
      </c>
      <c r="N1669" s="1" t="inlineStr">
        <is>
          <t>Algorithms</t>
        </is>
      </c>
      <c r="O16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69" s="11" t="inlineStr">
        <is>
          <t>To Do</t>
        </is>
      </c>
    </row>
    <row r="1670" ht="15.75" customHeight="1" s="12">
      <c r="A1670" s="1" t="n">
        <v>1177</v>
      </c>
      <c r="B1670" s="3">
        <f>HYPERLINK("https://leetcode.com/problems/can-make-palindrome-from-substring/", "Can Make Palindrome from Substring")</f>
        <v/>
      </c>
      <c r="C1670" s="1" t="n">
        <v>882</v>
      </c>
      <c r="D1670" s="1" t="n">
        <v>282</v>
      </c>
      <c r="E1670" s="4">
        <f>IF(INDEX(C:C, ROW())+INDEX(D:D, ROW())=0, 0, INDEX(C:C, ROW())/(INDEX(C:C, ROW())+INDEX(D:D, ROW())))</f>
        <v/>
      </c>
      <c r="F1670" s="1" t="inlineStr">
        <is>
          <t>Array, Hash Table, String, Bit Manipulation, Prefix Sum</t>
        </is>
      </c>
      <c r="G1670" s="1" t="inlineStr">
        <is>
          <t>Medium</t>
        </is>
      </c>
      <c r="H1670" s="1" t="n">
        <v>36426</v>
      </c>
      <c r="I1670" s="1" t="n">
        <v>87546</v>
      </c>
      <c r="J1670" s="9" t="n">
        <v>0.416</v>
      </c>
      <c r="K1670" s="1" t="inlineStr">
        <is>
          <t>Yes</t>
        </is>
      </c>
      <c r="L1670" s="1" t="inlineStr">
        <is>
          <t>No</t>
        </is>
      </c>
      <c r="M1670" s="1" t="inlineStr">
        <is>
          <t>No</t>
        </is>
      </c>
      <c r="N1670" s="1" t="inlineStr">
        <is>
          <t>Algorithms</t>
        </is>
      </c>
      <c r="O16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70" s="11" t="inlineStr">
        <is>
          <t>To Do</t>
        </is>
      </c>
    </row>
    <row r="1671" ht="15.75" customHeight="1" s="12">
      <c r="A1671" s="1" t="n">
        <v>1779</v>
      </c>
      <c r="B1671" s="3">
        <f>HYPERLINK("https://leetcode.com/problems/find-nearest-point-that-has-the-same-x-or-y-coordinate/", "Find Nearest Point That Has the Same X or Y Coordinate")</f>
        <v/>
      </c>
      <c r="C1671" s="1" t="n">
        <v>882</v>
      </c>
      <c r="D1671" s="1" t="n">
        <v>192</v>
      </c>
      <c r="E1671" s="4">
        <f>IF(INDEX(C:C, ROW())+INDEX(D:D, ROW())=0, 0, INDEX(C:C, ROW())/(INDEX(C:C, ROW())+INDEX(D:D, ROW())))</f>
        <v/>
      </c>
      <c r="F1671" s="1" t="inlineStr">
        <is>
          <t>Array</t>
        </is>
      </c>
      <c r="G1671" s="1" t="inlineStr">
        <is>
          <t>Easy</t>
        </is>
      </c>
      <c r="H1671" s="1" t="n">
        <v>134294</v>
      </c>
      <c r="I1671" s="1" t="n">
        <v>191912</v>
      </c>
      <c r="J1671" s="9" t="n">
        <v>0.7</v>
      </c>
      <c r="K1671" s="1" t="inlineStr">
        <is>
          <t>Yes</t>
        </is>
      </c>
      <c r="L1671" s="1" t="inlineStr">
        <is>
          <t>No</t>
        </is>
      </c>
      <c r="M1671" s="1" t="inlineStr">
        <is>
          <t>No</t>
        </is>
      </c>
      <c r="N1671" s="1" t="inlineStr">
        <is>
          <t>Algorithms</t>
        </is>
      </c>
      <c r="O16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71" s="13" t="inlineStr">
        <is>
          <t>Done</t>
        </is>
      </c>
    </row>
    <row r="1672" ht="15.75" customHeight="1" s="12">
      <c r="A1672" s="1" t="n">
        <v>2498</v>
      </c>
      <c r="B1672" s="3">
        <f>HYPERLINK("https://leetcode.com/problems/frog-jump-ii/", "Frog Jump II")</f>
        <v/>
      </c>
      <c r="C1672" s="1" t="n">
        <v>882</v>
      </c>
      <c r="D1672" s="1" t="n">
        <v>132</v>
      </c>
      <c r="E1672" s="4">
        <f>IF(INDEX(C:C, ROW())+INDEX(D:D, ROW())=0, 0, INDEX(C:C, ROW())/(INDEX(C:C, ROW())+INDEX(D:D, ROW())))</f>
        <v/>
      </c>
      <c r="F1672" s="1" t="inlineStr">
        <is>
          <t>Array, Binary Search, Greedy</t>
        </is>
      </c>
      <c r="G1672" s="1" t="inlineStr">
        <is>
          <t>Medium</t>
        </is>
      </c>
      <c r="H1672" s="1" t="n">
        <v>39595</v>
      </c>
      <c r="I1672" s="1" t="n">
        <v>63685</v>
      </c>
      <c r="J1672" s="9" t="n">
        <v>0.622</v>
      </c>
      <c r="K1672" s="1" t="inlineStr">
        <is>
          <t>Yes</t>
        </is>
      </c>
      <c r="L1672" s="1" t="inlineStr">
        <is>
          <t>No</t>
        </is>
      </c>
      <c r="M1672" s="1" t="inlineStr">
        <is>
          <t>No</t>
        </is>
      </c>
      <c r="N1672" s="1" t="inlineStr">
        <is>
          <t>Algorithms</t>
        </is>
      </c>
      <c r="O16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72" s="11" t="inlineStr">
        <is>
          <t>To Do</t>
        </is>
      </c>
    </row>
    <row r="1673" ht="15.75" customHeight="1" s="12">
      <c r="A1673" s="1" t="n">
        <v>2602</v>
      </c>
      <c r="B1673" s="3">
        <f>HYPERLINK("https://leetcode.com/problems/minimum-operations-to-make-all-array-elements-equal/", "Minimum Operations to Make All Array Elements Equal")</f>
        <v/>
      </c>
      <c r="C1673" s="1" t="n">
        <v>882</v>
      </c>
      <c r="D1673" s="1" t="n">
        <v>29</v>
      </c>
      <c r="E1673" s="4">
        <f>IF(INDEX(C:C, ROW())+INDEX(D:D, ROW())=0, 0, INDEX(C:C, ROW())/(INDEX(C:C, ROW())+INDEX(D:D, ROW())))</f>
        <v/>
      </c>
      <c r="F1673" s="1" t="inlineStr">
        <is>
          <t>Array, Binary Search, Sorting, Prefix Sum</t>
        </is>
      </c>
      <c r="G1673" s="1" t="inlineStr">
        <is>
          <t>Medium</t>
        </is>
      </c>
      <c r="H1673" s="1" t="n">
        <v>30293</v>
      </c>
      <c r="I1673" s="1" t="n">
        <v>79018</v>
      </c>
      <c r="J1673" s="9" t="n">
        <v>0.383</v>
      </c>
      <c r="K1673" s="1" t="inlineStr">
        <is>
          <t>Yes</t>
        </is>
      </c>
      <c r="L1673" s="1" t="inlineStr">
        <is>
          <t>No</t>
        </is>
      </c>
      <c r="M1673" s="1" t="inlineStr">
        <is>
          <t>No</t>
        </is>
      </c>
      <c r="N1673" s="1" t="inlineStr">
        <is>
          <t>Algorithms</t>
        </is>
      </c>
      <c r="O16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73" s="11" t="inlineStr">
        <is>
          <t>To Do</t>
        </is>
      </c>
    </row>
    <row r="1674" ht="15.75" customHeight="1" s="12">
      <c r="A1674" s="1" t="n">
        <v>2530</v>
      </c>
      <c r="B1674" s="3">
        <f>HYPERLINK("https://leetcode.com/problems/maximal-score-after-applying-k-operations/", "Maximal Score After Applying K Operations")</f>
        <v/>
      </c>
      <c r="C1674" s="1" t="n">
        <v>881</v>
      </c>
      <c r="D1674" s="1" t="n">
        <v>52</v>
      </c>
      <c r="E1674" s="4">
        <f>IF(INDEX(C:C, ROW())+INDEX(D:D, ROW())=0, 0, INDEX(C:C, ROW())/(INDEX(C:C, ROW())+INDEX(D:D, ROW())))</f>
        <v/>
      </c>
      <c r="F1674" s="1" t="inlineStr">
        <is>
          <t>Array, Greedy, Heap (Priority Queue)</t>
        </is>
      </c>
      <c r="G1674" s="1" t="inlineStr">
        <is>
          <t>Medium</t>
        </is>
      </c>
      <c r="H1674" s="1" t="n">
        <v>164662</v>
      </c>
      <c r="I1674" s="1" t="n">
        <v>257049</v>
      </c>
      <c r="J1674" s="9" t="n">
        <v>0.641</v>
      </c>
      <c r="K1674" s="1" t="inlineStr">
        <is>
          <t>Yes</t>
        </is>
      </c>
      <c r="L1674" s="1" t="inlineStr">
        <is>
          <t>Yes</t>
        </is>
      </c>
      <c r="M1674" s="1" t="inlineStr">
        <is>
          <t>No</t>
        </is>
      </c>
      <c r="N1674" s="1" t="inlineStr">
        <is>
          <t>Algorithms</t>
        </is>
      </c>
      <c r="O16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74" s="11" t="inlineStr">
        <is>
          <t>To Do</t>
        </is>
      </c>
    </row>
    <row r="1675" ht="15.75" customHeight="1" s="12">
      <c r="A1675" s="1" t="n">
        <v>2642</v>
      </c>
      <c r="B1675" s="3">
        <f>HYPERLINK("https://leetcode.com/problems/design-graph-with-shortest-path-calculator/", "Design Graph With Shortest Path Calculator")</f>
        <v/>
      </c>
      <c r="C1675" s="1" t="n">
        <v>877</v>
      </c>
      <c r="D1675" s="1" t="n">
        <v>61</v>
      </c>
      <c r="E1675" s="4">
        <f>IF(INDEX(C:C, ROW())+INDEX(D:D, ROW())=0, 0, INDEX(C:C, ROW())/(INDEX(C:C, ROW())+INDEX(D:D, ROW())))</f>
        <v/>
      </c>
      <c r="F1675" s="1" t="inlineStr">
        <is>
          <t>Graph Theory, Design, Heap (Priority Queue), Shortest Path</t>
        </is>
      </c>
      <c r="G1675" s="1" t="inlineStr">
        <is>
          <t>Hard</t>
        </is>
      </c>
      <c r="H1675" s="1" t="n">
        <v>80155</v>
      </c>
      <c r="I1675" s="1" t="n">
        <v>123100</v>
      </c>
      <c r="J1675" s="9" t="n">
        <v>0.651</v>
      </c>
      <c r="K1675" s="1" t="inlineStr">
        <is>
          <t>Yes</t>
        </is>
      </c>
      <c r="L1675" s="1" t="inlineStr">
        <is>
          <t>Yes</t>
        </is>
      </c>
      <c r="M1675" s="1" t="inlineStr">
        <is>
          <t>No</t>
        </is>
      </c>
      <c r="N1675" s="1" t="inlineStr">
        <is>
          <t>Algorithms</t>
        </is>
      </c>
      <c r="O16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75" s="11" t="inlineStr">
        <is>
          <t>To Do</t>
        </is>
      </c>
    </row>
    <row r="1676" ht="15.75" customHeight="1" s="12">
      <c r="A1676" s="1" t="n">
        <v>984</v>
      </c>
      <c r="B1676" s="3">
        <f>HYPERLINK("https://leetcode.com/problems/string-without-aaa-or-bbb/", "String Without AAA or BBB")</f>
        <v/>
      </c>
      <c r="C1676" s="1" t="n">
        <v>876</v>
      </c>
      <c r="D1676" s="1" t="n">
        <v>377</v>
      </c>
      <c r="E1676" s="4">
        <f>IF(INDEX(C:C, ROW())+INDEX(D:D, ROW())=0, 0, INDEX(C:C, ROW())/(INDEX(C:C, ROW())+INDEX(D:D, ROW())))</f>
        <v/>
      </c>
      <c r="F1676" s="1" t="inlineStr">
        <is>
          <t>String, Greedy</t>
        </is>
      </c>
      <c r="G1676" s="1" t="inlineStr">
        <is>
          <t>Medium</t>
        </is>
      </c>
      <c r="H1676" s="1" t="n">
        <v>61251</v>
      </c>
      <c r="I1676" s="1" t="n">
        <v>135591</v>
      </c>
      <c r="J1676" s="9" t="n">
        <v>0.452</v>
      </c>
      <c r="K1676" s="1" t="inlineStr">
        <is>
          <t>Yes</t>
        </is>
      </c>
      <c r="L1676" s="1" t="inlineStr">
        <is>
          <t>Yes</t>
        </is>
      </c>
      <c r="M1676" s="1" t="inlineStr">
        <is>
          <t>No</t>
        </is>
      </c>
      <c r="N1676" s="1" t="inlineStr">
        <is>
          <t>Algorithms</t>
        </is>
      </c>
      <c r="O16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76" s="11" t="inlineStr">
        <is>
          <t>To Do</t>
        </is>
      </c>
    </row>
    <row r="1677" ht="15.75" customHeight="1" s="12">
      <c r="A1677" s="1" t="n">
        <v>2528</v>
      </c>
      <c r="B1677" s="3">
        <f>HYPERLINK("https://leetcode.com/problems/maximize-the-minimum-powered-city/", "Maximize the Minimum Powered City")</f>
        <v/>
      </c>
      <c r="C1677" s="1" t="n">
        <v>874</v>
      </c>
      <c r="D1677" s="1" t="n">
        <v>33</v>
      </c>
      <c r="E1677" s="4">
        <f>IF(INDEX(C:C, ROW())+INDEX(D:D, ROW())=0, 0, INDEX(C:C, ROW())/(INDEX(C:C, ROW())+INDEX(D:D, ROW())))</f>
        <v/>
      </c>
      <c r="F1677" s="1" t="inlineStr">
        <is>
          <t>Array, Binary Search, Greedy, Queue, Sliding Window, Prefix Sum</t>
        </is>
      </c>
      <c r="G1677" s="1" t="inlineStr">
        <is>
          <t>Hard</t>
        </is>
      </c>
      <c r="H1677" s="1" t="n">
        <v>68464</v>
      </c>
      <c r="I1677" s="1" t="n">
        <v>111006</v>
      </c>
      <c r="J1677" s="9" t="n">
        <v>0.617</v>
      </c>
      <c r="K1677" s="1" t="inlineStr">
        <is>
          <t>Yes</t>
        </is>
      </c>
      <c r="L1677" s="1" t="inlineStr">
        <is>
          <t>Yes</t>
        </is>
      </c>
      <c r="M1677" s="1" t="inlineStr">
        <is>
          <t>No</t>
        </is>
      </c>
      <c r="N1677" s="1" t="inlineStr">
        <is>
          <t>Algorithms</t>
        </is>
      </c>
      <c r="O16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77" s="11" t="inlineStr">
        <is>
          <t>To Do</t>
        </is>
      </c>
    </row>
    <row r="1678" ht="15.75" customHeight="1" s="12">
      <c r="A1678" s="1" t="n">
        <v>1789</v>
      </c>
      <c r="B1678" s="3">
        <f>HYPERLINK("https://leetcode.com/problems/primary-department-for-each-employee/", "Primary Department for Each Employee")</f>
        <v/>
      </c>
      <c r="C1678" s="1" t="n">
        <v>872</v>
      </c>
      <c r="D1678" s="1" t="n">
        <v>273</v>
      </c>
      <c r="E1678" s="4">
        <f>IF(INDEX(C:C, ROW())+INDEX(D:D, ROW())=0, 0, INDEX(C:C, ROW())/(INDEX(C:C, ROW())+INDEX(D:D, ROW())))</f>
        <v/>
      </c>
      <c r="F1678" s="1" t="inlineStr">
        <is>
          <t>Database</t>
        </is>
      </c>
      <c r="G1678" s="1" t="inlineStr">
        <is>
          <t>Easy</t>
        </is>
      </c>
      <c r="H1678" s="1" t="n">
        <v>358852</v>
      </c>
      <c r="I1678" s="1" t="n">
        <v>482707</v>
      </c>
      <c r="J1678" s="9" t="n">
        <v>0.743</v>
      </c>
      <c r="K1678" s="1" t="inlineStr">
        <is>
          <t>Yes</t>
        </is>
      </c>
      <c r="L1678" s="1" t="inlineStr">
        <is>
          <t>Yes</t>
        </is>
      </c>
      <c r="M1678" s="1" t="inlineStr">
        <is>
          <t>No</t>
        </is>
      </c>
      <c r="N1678" s="1" t="inlineStr">
        <is>
          <t>Database</t>
        </is>
      </c>
      <c r="O16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78" s="13" t="inlineStr">
        <is>
          <t>Done</t>
        </is>
      </c>
    </row>
    <row r="1679" ht="15.75" customHeight="1" s="12">
      <c r="A1679" s="1" t="n">
        <v>960</v>
      </c>
      <c r="B1679" s="3">
        <f>HYPERLINK("https://leetcode.com/problems/delete-columns-to-make-sorted-iii/", "Delete Columns to Make Sorted III")</f>
        <v/>
      </c>
      <c r="C1679" s="1" t="n">
        <v>871</v>
      </c>
      <c r="D1679" s="1" t="n">
        <v>31</v>
      </c>
      <c r="E1679" s="4">
        <f>IF(INDEX(C:C, ROW())+INDEX(D:D, ROW())=0, 0, INDEX(C:C, ROW())/(INDEX(C:C, ROW())+INDEX(D:D, ROW())))</f>
        <v/>
      </c>
      <c r="F1679" s="1" t="inlineStr">
        <is>
          <t>Array, String, Dynamic Programming</t>
        </is>
      </c>
      <c r="G1679" s="1" t="inlineStr">
        <is>
          <t>Hard</t>
        </is>
      </c>
      <c r="H1679" s="1" t="n">
        <v>74045</v>
      </c>
      <c r="I1679" s="1" t="n">
        <v>101940</v>
      </c>
      <c r="J1679" s="9" t="n">
        <v>0.726</v>
      </c>
      <c r="K1679" s="1" t="inlineStr">
        <is>
          <t>Yes</t>
        </is>
      </c>
      <c r="L1679" s="1" t="inlineStr">
        <is>
          <t>Yes</t>
        </is>
      </c>
      <c r="M1679" s="1" t="inlineStr">
        <is>
          <t>No</t>
        </is>
      </c>
      <c r="N1679" s="1" t="inlineStr">
        <is>
          <t>Algorithms</t>
        </is>
      </c>
      <c r="O16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79" s="11" t="inlineStr">
        <is>
          <t>To Do</t>
        </is>
      </c>
    </row>
    <row r="1680" ht="15.75" customHeight="1" s="12">
      <c r="A1680" s="1" t="n">
        <v>1798</v>
      </c>
      <c r="B1680" s="3">
        <f>HYPERLINK("https://leetcode.com/problems/maximum-number-of-consecutive-values-you-can-make/", "Maximum Number of Consecutive Values You Can Make")</f>
        <v/>
      </c>
      <c r="C1680" s="1" t="n">
        <v>870</v>
      </c>
      <c r="D1680" s="1" t="n">
        <v>60</v>
      </c>
      <c r="E1680" s="4">
        <f>IF(INDEX(C:C, ROW())+INDEX(D:D, ROW())=0, 0, INDEX(C:C, ROW())/(INDEX(C:C, ROW())+INDEX(D:D, ROW())))</f>
        <v/>
      </c>
      <c r="F1680" s="1" t="inlineStr">
        <is>
          <t>Array, Greedy, Sorting</t>
        </is>
      </c>
      <c r="G1680" s="1" t="inlineStr">
        <is>
          <t>Medium</t>
        </is>
      </c>
      <c r="H1680" s="1" t="n">
        <v>26795</v>
      </c>
      <c r="I1680" s="1" t="n">
        <v>41851</v>
      </c>
      <c r="J1680" s="9" t="n">
        <v>0.64</v>
      </c>
      <c r="K1680" s="1" t="inlineStr">
        <is>
          <t>Yes</t>
        </is>
      </c>
      <c r="L1680" s="1" t="inlineStr">
        <is>
          <t>No</t>
        </is>
      </c>
      <c r="M1680" s="1" t="inlineStr">
        <is>
          <t>No</t>
        </is>
      </c>
      <c r="N1680" s="1" t="inlineStr">
        <is>
          <t>Algorithms</t>
        </is>
      </c>
      <c r="O16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80" s="11" t="inlineStr">
        <is>
          <t>To Do</t>
        </is>
      </c>
    </row>
    <row r="1681" ht="15.75" customHeight="1" s="12">
      <c r="A1681" s="1" t="n">
        <v>1317</v>
      </c>
      <c r="B1681" s="3">
        <f>HYPERLINK("https://leetcode.com/problems/convert-integer-to-the-sum-of-two-no-zero-integers/", "Convert Integer to the Sum of Two No-Zero Integers")</f>
        <v/>
      </c>
      <c r="C1681" s="1" t="n">
        <v>869</v>
      </c>
      <c r="D1681" s="1" t="n">
        <v>371</v>
      </c>
      <c r="E1681" s="4">
        <f>IF(INDEX(C:C, ROW())+INDEX(D:D, ROW())=0, 0, INDEX(C:C, ROW())/(INDEX(C:C, ROW())+INDEX(D:D, ROW())))</f>
        <v/>
      </c>
      <c r="F1681" s="1" t="inlineStr">
        <is>
          <t>Math</t>
        </is>
      </c>
      <c r="G1681" s="1" t="inlineStr">
        <is>
          <t>Easy</t>
        </is>
      </c>
      <c r="H1681" s="1" t="n">
        <v>209801</v>
      </c>
      <c r="I1681" s="1" t="n">
        <v>354463</v>
      </c>
      <c r="J1681" s="9" t="n">
        <v>0.592</v>
      </c>
      <c r="K1681" s="1" t="inlineStr">
        <is>
          <t>Yes</t>
        </is>
      </c>
      <c r="L1681" s="1" t="inlineStr">
        <is>
          <t>Yes</t>
        </is>
      </c>
      <c r="M1681" s="1" t="inlineStr">
        <is>
          <t>No</t>
        </is>
      </c>
      <c r="N1681" s="1" t="inlineStr">
        <is>
          <t>Algorithms</t>
        </is>
      </c>
      <c r="O16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81" s="13" t="inlineStr">
        <is>
          <t>Done</t>
        </is>
      </c>
    </row>
    <row r="1682" ht="15.75" customHeight="1" s="12">
      <c r="A1682" s="1" t="n">
        <v>551</v>
      </c>
      <c r="B1682" s="3">
        <f>HYPERLINK("https://leetcode.com/problems/student-attendance-record-i/", "Student Attendance Record I")</f>
        <v/>
      </c>
      <c r="C1682" s="1" t="n">
        <v>867</v>
      </c>
      <c r="D1682" s="1" t="n">
        <v>57</v>
      </c>
      <c r="E1682" s="4">
        <f>IF(INDEX(C:C, ROW())+INDEX(D:D, ROW())=0, 0, INDEX(C:C, ROW())/(INDEX(C:C, ROW())+INDEX(D:D, ROW())))</f>
        <v/>
      </c>
      <c r="F1682" s="1" t="inlineStr">
        <is>
          <t>String</t>
        </is>
      </c>
      <c r="G1682" s="1" t="inlineStr">
        <is>
          <t>Easy</t>
        </is>
      </c>
      <c r="H1682" s="1" t="n">
        <v>289934</v>
      </c>
      <c r="I1682" s="1" t="n">
        <v>577787</v>
      </c>
      <c r="J1682" s="9" t="n">
        <v>0.502</v>
      </c>
      <c r="K1682" s="1" t="inlineStr">
        <is>
          <t>Yes</t>
        </is>
      </c>
      <c r="L1682" s="1" t="inlineStr">
        <is>
          <t>Yes</t>
        </is>
      </c>
      <c r="M1682" s="1" t="inlineStr">
        <is>
          <t>No</t>
        </is>
      </c>
      <c r="N1682" s="1" t="inlineStr">
        <is>
          <t>Algorithms</t>
        </is>
      </c>
      <c r="O16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82" s="13" t="inlineStr">
        <is>
          <t>Done</t>
        </is>
      </c>
    </row>
    <row r="1683" ht="15.75" customHeight="1" s="12">
      <c r="A1683" s="1" t="n">
        <v>610</v>
      </c>
      <c r="B1683" s="3">
        <f>HYPERLINK("https://leetcode.com/problems/triangle-judgement/", "Triangle Judgement")</f>
        <v/>
      </c>
      <c r="C1683" s="1" t="n">
        <v>866</v>
      </c>
      <c r="D1683" s="1" t="n">
        <v>239</v>
      </c>
      <c r="E1683" s="4">
        <f>IF(INDEX(C:C, ROW())+INDEX(D:D, ROW())=0, 0, INDEX(C:C, ROW())/(INDEX(C:C, ROW())+INDEX(D:D, ROW())))</f>
        <v/>
      </c>
      <c r="F1683" s="1" t="inlineStr">
        <is>
          <t>Database</t>
        </is>
      </c>
      <c r="G1683" s="1" t="inlineStr">
        <is>
          <t>Easy</t>
        </is>
      </c>
      <c r="H1683" s="1" t="n">
        <v>481650</v>
      </c>
      <c r="I1683" s="1" t="n">
        <v>644509</v>
      </c>
      <c r="J1683" s="9" t="n">
        <v>0.747</v>
      </c>
      <c r="K1683" s="1" t="inlineStr">
        <is>
          <t>Yes</t>
        </is>
      </c>
      <c r="L1683" s="1" t="inlineStr">
        <is>
          <t>Yes</t>
        </is>
      </c>
      <c r="M1683" s="1" t="inlineStr">
        <is>
          <t>No</t>
        </is>
      </c>
      <c r="N1683" s="1" t="inlineStr">
        <is>
          <t>Database</t>
        </is>
      </c>
      <c r="O16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83" s="13" t="inlineStr">
        <is>
          <t>Done</t>
        </is>
      </c>
    </row>
    <row r="1684" ht="15.75" customHeight="1" s="12">
      <c r="A1684" s="1" t="n">
        <v>1817</v>
      </c>
      <c r="B1684" s="3">
        <f>HYPERLINK("https://leetcode.com/problems/finding-the-users-active-minutes/", "Finding the Users Active Minutes")</f>
        <v/>
      </c>
      <c r="C1684" s="1" t="n">
        <v>865</v>
      </c>
      <c r="D1684" s="1" t="n">
        <v>320</v>
      </c>
      <c r="E1684" s="4">
        <f>IF(INDEX(C:C, ROW())+INDEX(D:D, ROW())=0, 0, INDEX(C:C, ROW())/(INDEX(C:C, ROW())+INDEX(D:D, ROW())))</f>
        <v/>
      </c>
      <c r="F1684" s="1" t="inlineStr">
        <is>
          <t>Array, Hash Table</t>
        </is>
      </c>
      <c r="G1684" s="1" t="inlineStr">
        <is>
          <t>Medium</t>
        </is>
      </c>
      <c r="H1684" s="1" t="n">
        <v>70887</v>
      </c>
      <c r="I1684" s="1" t="n">
        <v>87727</v>
      </c>
      <c r="J1684" s="9" t="n">
        <v>0.8080000000000001</v>
      </c>
      <c r="K1684" s="1" t="inlineStr">
        <is>
          <t>Yes</t>
        </is>
      </c>
      <c r="L1684" s="1" t="inlineStr">
        <is>
          <t>No</t>
        </is>
      </c>
      <c r="M1684" s="1" t="inlineStr">
        <is>
          <t>No</t>
        </is>
      </c>
      <c r="N1684" s="1" t="inlineStr">
        <is>
          <t>Algorithms</t>
        </is>
      </c>
      <c r="O16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84" s="11" t="inlineStr">
        <is>
          <t>To Do</t>
        </is>
      </c>
    </row>
    <row r="1685" ht="15.75" customHeight="1" s="12">
      <c r="A1685" s="1" t="n">
        <v>1084</v>
      </c>
      <c r="B1685" s="3">
        <f>HYPERLINK("https://leetcode.com/problems/sales-analysis-iii/", "Sales Analysis III")</f>
        <v/>
      </c>
      <c r="C1685" s="1" t="n">
        <v>864</v>
      </c>
      <c r="D1685" s="1" t="n">
        <v>170</v>
      </c>
      <c r="E1685" s="4">
        <f>IF(INDEX(C:C, ROW())+INDEX(D:D, ROW())=0, 0, INDEX(C:C, ROW())/(INDEX(C:C, ROW())+INDEX(D:D, ROW())))</f>
        <v/>
      </c>
      <c r="F1685" s="1" t="inlineStr">
        <is>
          <t>Database</t>
        </is>
      </c>
      <c r="G1685" s="1" t="inlineStr">
        <is>
          <t>Easy</t>
        </is>
      </c>
      <c r="H1685" s="1" t="n">
        <v>231672</v>
      </c>
      <c r="I1685" s="1" t="n">
        <v>487076</v>
      </c>
      <c r="J1685" s="9" t="n">
        <v>0.476</v>
      </c>
      <c r="K1685" s="1" t="inlineStr">
        <is>
          <t>Yes</t>
        </is>
      </c>
      <c r="L1685" s="1" t="inlineStr">
        <is>
          <t>Yes</t>
        </is>
      </c>
      <c r="M1685" s="1" t="inlineStr">
        <is>
          <t>No</t>
        </is>
      </c>
      <c r="N1685" s="1" t="inlineStr">
        <is>
          <t>Database</t>
        </is>
      </c>
      <c r="O16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85" s="13" t="inlineStr">
        <is>
          <t>Done</t>
        </is>
      </c>
    </row>
    <row r="1686" ht="15.75" customHeight="1" s="12">
      <c r="A1686" s="1" t="n">
        <v>2709</v>
      </c>
      <c r="B1686" s="3">
        <f>HYPERLINK("https://leetcode.com/problems/greatest-common-divisor-traversal/", "Greatest Common Divisor Traversal")</f>
        <v/>
      </c>
      <c r="C1686" s="1" t="n">
        <v>864</v>
      </c>
      <c r="D1686" s="1" t="n">
        <v>144</v>
      </c>
      <c r="E1686" s="4">
        <f>IF(INDEX(C:C, ROW())+INDEX(D:D, ROW())=0, 0, INDEX(C:C, ROW())/(INDEX(C:C, ROW())+INDEX(D:D, ROW())))</f>
        <v/>
      </c>
      <c r="F1686" s="1" t="inlineStr">
        <is>
          <t>Array, Math, Union-Find, Number Theory</t>
        </is>
      </c>
      <c r="G1686" s="1" t="inlineStr">
        <is>
          <t>Hard</t>
        </is>
      </c>
      <c r="H1686" s="1" t="n">
        <v>76926</v>
      </c>
      <c r="I1686" s="1" t="n">
        <v>184158</v>
      </c>
      <c r="J1686" s="9" t="n">
        <v>0.418</v>
      </c>
      <c r="K1686" s="1" t="inlineStr">
        <is>
          <t>Yes</t>
        </is>
      </c>
      <c r="L1686" s="1" t="inlineStr">
        <is>
          <t>Yes</t>
        </is>
      </c>
      <c r="M1686" s="1" t="inlineStr">
        <is>
          <t>No</t>
        </is>
      </c>
      <c r="N1686" s="1" t="inlineStr">
        <is>
          <t>Algorithms</t>
        </is>
      </c>
      <c r="O16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86" s="11" t="inlineStr">
        <is>
          <t>To Do</t>
        </is>
      </c>
    </row>
    <row r="1687" ht="15.75" customHeight="1" s="12">
      <c r="A1687" s="1" t="n">
        <v>933</v>
      </c>
      <c r="B1687" s="3">
        <f>HYPERLINK("https://leetcode.com/problems/number-of-recent-calls/", "Number of Recent Calls")</f>
        <v/>
      </c>
      <c r="C1687" s="1" t="n">
        <v>863</v>
      </c>
      <c r="D1687" s="1" t="n">
        <v>1212</v>
      </c>
      <c r="E1687" s="4">
        <f>IF(INDEX(C:C, ROW())+INDEX(D:D, ROW())=0, 0, INDEX(C:C, ROW())/(INDEX(C:C, ROW())+INDEX(D:D, ROW())))</f>
        <v/>
      </c>
      <c r="F1687" s="1" t="inlineStr">
        <is>
          <t>Design, Queue, Data Stream</t>
        </is>
      </c>
      <c r="G1687" s="1" t="inlineStr">
        <is>
          <t>Easy</t>
        </is>
      </c>
      <c r="H1687" s="1" t="n">
        <v>526923</v>
      </c>
      <c r="I1687" s="1" t="n">
        <v>672054</v>
      </c>
      <c r="J1687" s="9" t="n">
        <v>0.784</v>
      </c>
      <c r="K1687" s="1" t="inlineStr">
        <is>
          <t>Yes</t>
        </is>
      </c>
      <c r="L1687" s="1" t="inlineStr">
        <is>
          <t>Yes</t>
        </is>
      </c>
      <c r="M1687" s="1" t="inlineStr">
        <is>
          <t>No</t>
        </is>
      </c>
      <c r="N1687" s="1" t="inlineStr">
        <is>
          <t>Algorithms</t>
        </is>
      </c>
      <c r="O16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87" s="13" t="inlineStr">
        <is>
          <t>Done</t>
        </is>
      </c>
    </row>
    <row r="1688" ht="15.75" customHeight="1" s="12">
      <c r="A1688" s="1" t="n">
        <v>601</v>
      </c>
      <c r="B1688" s="3">
        <f>HYPERLINK("https://leetcode.com/problems/human-traffic-of-stadium/", "Human Traffic of Stadium")</f>
        <v/>
      </c>
      <c r="C1688" s="1" t="n">
        <v>861</v>
      </c>
      <c r="D1688" s="1" t="n">
        <v>577</v>
      </c>
      <c r="E1688" s="4">
        <f>IF(INDEX(C:C, ROW())+INDEX(D:D, ROW())=0, 0, INDEX(C:C, ROW())/(INDEX(C:C, ROW())+INDEX(D:D, ROW())))</f>
        <v/>
      </c>
      <c r="F1688" s="1" t="inlineStr">
        <is>
          <t>Database</t>
        </is>
      </c>
      <c r="G1688" s="1" t="inlineStr">
        <is>
          <t>Hard</t>
        </is>
      </c>
      <c r="H1688" s="1" t="n">
        <v>177775</v>
      </c>
      <c r="I1688" s="1" t="n">
        <v>347297</v>
      </c>
      <c r="J1688" s="9" t="n">
        <v>0.512</v>
      </c>
      <c r="K1688" s="1" t="inlineStr">
        <is>
          <t>Yes</t>
        </is>
      </c>
      <c r="L1688" s="1" t="inlineStr">
        <is>
          <t>Yes</t>
        </is>
      </c>
      <c r="M1688" s="1" t="inlineStr">
        <is>
          <t>No</t>
        </is>
      </c>
      <c r="N1688" s="1" t="inlineStr">
        <is>
          <t>Database</t>
        </is>
      </c>
      <c r="O16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88" s="11" t="inlineStr">
        <is>
          <t>To Do</t>
        </is>
      </c>
    </row>
    <row r="1689" ht="15.75" customHeight="1" s="12">
      <c r="A1689" s="1" t="n">
        <v>1012</v>
      </c>
      <c r="B1689" s="3">
        <f>HYPERLINK("https://leetcode.com/problems/numbers-with-repeated-digits/", "Numbers With Repeated Digits")</f>
        <v/>
      </c>
      <c r="C1689" s="1" t="n">
        <v>861</v>
      </c>
      <c r="D1689" s="1" t="n">
        <v>91</v>
      </c>
      <c r="E1689" s="4">
        <f>IF(INDEX(C:C, ROW())+INDEX(D:D, ROW())=0, 0, INDEX(C:C, ROW())/(INDEX(C:C, ROW())+INDEX(D:D, ROW())))</f>
        <v/>
      </c>
      <c r="F1689" s="1" t="inlineStr">
        <is>
          <t>Math, Dynamic Programming</t>
        </is>
      </c>
      <c r="G1689" s="1" t="inlineStr">
        <is>
          <t>Hard</t>
        </is>
      </c>
      <c r="H1689" s="1" t="n">
        <v>25652</v>
      </c>
      <c r="I1689" s="1" t="n">
        <v>55217</v>
      </c>
      <c r="J1689" s="9" t="n">
        <v>0.465</v>
      </c>
      <c r="K1689" s="1" t="inlineStr">
        <is>
          <t>Yes</t>
        </is>
      </c>
      <c r="L1689" s="1" t="inlineStr">
        <is>
          <t>No</t>
        </is>
      </c>
      <c r="M1689" s="1" t="inlineStr">
        <is>
          <t>No</t>
        </is>
      </c>
      <c r="N1689" s="1" t="inlineStr">
        <is>
          <t>Algorithms</t>
        </is>
      </c>
      <c r="O16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89" s="11" t="inlineStr">
        <is>
          <t>To Do</t>
        </is>
      </c>
    </row>
    <row r="1690" ht="15.75" customHeight="1" s="12">
      <c r="A1690" s="1" t="n">
        <v>1179</v>
      </c>
      <c r="B1690" s="3">
        <f>HYPERLINK("https://leetcode.com/problems/reformat-department-table/", "Reformat Department Table")</f>
        <v/>
      </c>
      <c r="C1690" s="1" t="n">
        <v>861</v>
      </c>
      <c r="D1690" s="1" t="n">
        <v>645</v>
      </c>
      <c r="E1690" s="4">
        <f>IF(INDEX(C:C, ROW())+INDEX(D:D, ROW())=0, 0, INDEX(C:C, ROW())/(INDEX(C:C, ROW())+INDEX(D:D, ROW())))</f>
        <v/>
      </c>
      <c r="F1690" s="1" t="inlineStr">
        <is>
          <t>Database</t>
        </is>
      </c>
      <c r="G1690" s="1" t="inlineStr">
        <is>
          <t>Easy</t>
        </is>
      </c>
      <c r="H1690" s="1" t="n">
        <v>186022</v>
      </c>
      <c r="I1690" s="1" t="n">
        <v>243734</v>
      </c>
      <c r="J1690" s="9" t="n">
        <v>0.763</v>
      </c>
      <c r="K1690" s="1" t="inlineStr">
        <is>
          <t>Yes</t>
        </is>
      </c>
      <c r="L1690" s="1" t="inlineStr">
        <is>
          <t>Yes</t>
        </is>
      </c>
      <c r="M1690" s="1" t="inlineStr">
        <is>
          <t>No</t>
        </is>
      </c>
      <c r="N1690" s="1" t="inlineStr">
        <is>
          <t>Database</t>
        </is>
      </c>
      <c r="O16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90" s="13" t="inlineStr">
        <is>
          <t>Done</t>
        </is>
      </c>
    </row>
    <row r="1691" ht="15.75" customHeight="1" s="12">
      <c r="A1691" s="1" t="n">
        <v>3110</v>
      </c>
      <c r="B1691" s="3">
        <f>HYPERLINK("https://leetcode.com/problems/score-of-a-string/", "Score of a String")</f>
        <v/>
      </c>
      <c r="C1691" s="1" t="n">
        <v>861</v>
      </c>
      <c r="D1691" s="1" t="n">
        <v>52</v>
      </c>
      <c r="E1691" s="4">
        <f>IF(INDEX(C:C, ROW())+INDEX(D:D, ROW())=0, 0, INDEX(C:C, ROW())/(INDEX(C:C, ROW())+INDEX(D:D, ROW())))</f>
        <v/>
      </c>
      <c r="F1691" s="1" t="inlineStr">
        <is>
          <t>String</t>
        </is>
      </c>
      <c r="G1691" s="1" t="inlineStr">
        <is>
          <t>Easy</t>
        </is>
      </c>
      <c r="H1691" s="1" t="n">
        <v>447190</v>
      </c>
      <c r="I1691" s="1" t="n">
        <v>489543</v>
      </c>
      <c r="J1691" s="9" t="n">
        <v>0.913</v>
      </c>
      <c r="K1691" s="1" t="inlineStr">
        <is>
          <t>Yes</t>
        </is>
      </c>
      <c r="L1691" s="1" t="inlineStr">
        <is>
          <t>Yes</t>
        </is>
      </c>
      <c r="M1691" s="1" t="inlineStr">
        <is>
          <t>No</t>
        </is>
      </c>
      <c r="N1691" s="1" t="inlineStr">
        <is>
          <t>Algorithms</t>
        </is>
      </c>
      <c r="O16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91" s="13" t="inlineStr">
        <is>
          <t>Done</t>
        </is>
      </c>
    </row>
    <row r="1692" ht="15.75" customHeight="1" s="12">
      <c r="A1692" s="1" t="n">
        <v>2940</v>
      </c>
      <c r="B1692" s="3">
        <f>HYPERLINK("https://leetcode.com/problems/find-building-where-alice-and-bob-can-meet/", "Find Building Where Alice and Bob Can Meet")</f>
        <v/>
      </c>
      <c r="C1692" s="1" t="n">
        <v>860</v>
      </c>
      <c r="D1692" s="1" t="n">
        <v>59</v>
      </c>
      <c r="E1692" s="4">
        <f>IF(INDEX(C:C, ROW())+INDEX(D:D, ROW())=0, 0, INDEX(C:C, ROW())/(INDEX(C:C, ROW())+INDEX(D:D, ROW())))</f>
        <v/>
      </c>
      <c r="F1692" s="1" t="inlineStr">
        <is>
          <t>Array, Binary Search, Stack, Binary Indexed Tree, Segment Tree, Heap (Priority Queue), Monotonic Stack</t>
        </is>
      </c>
      <c r="G1692" s="1" t="inlineStr">
        <is>
          <t>Hard</t>
        </is>
      </c>
      <c r="H1692" s="1" t="n">
        <v>77045</v>
      </c>
      <c r="I1692" s="1" t="n">
        <v>147587</v>
      </c>
      <c r="J1692" s="9" t="n">
        <v>0.522</v>
      </c>
      <c r="K1692" s="1" t="inlineStr">
        <is>
          <t>Yes</t>
        </is>
      </c>
      <c r="L1692" s="1" t="inlineStr">
        <is>
          <t>Yes</t>
        </is>
      </c>
      <c r="M1692" s="1" t="inlineStr">
        <is>
          <t>No</t>
        </is>
      </c>
      <c r="N1692" s="1" t="inlineStr">
        <is>
          <t>Algorithms</t>
        </is>
      </c>
      <c r="O16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92" s="11" t="inlineStr">
        <is>
          <t>To Do</t>
        </is>
      </c>
    </row>
    <row r="1693" ht="15.75" customHeight="1" s="12">
      <c r="A1693" s="1" t="n">
        <v>2558</v>
      </c>
      <c r="B1693" s="3">
        <f>HYPERLINK("https://leetcode.com/problems/take-gifts-from-the-richest-pile/", "Take Gifts From the Richest Pile")</f>
        <v/>
      </c>
      <c r="C1693" s="1" t="n">
        <v>859</v>
      </c>
      <c r="D1693" s="1" t="n">
        <v>82</v>
      </c>
      <c r="E1693" s="4">
        <f>IF(INDEX(C:C, ROW())+INDEX(D:D, ROW())=0, 0, INDEX(C:C, ROW())/(INDEX(C:C, ROW())+INDEX(D:D, ROW())))</f>
        <v/>
      </c>
      <c r="F1693" s="1" t="inlineStr">
        <is>
          <t>Array, Heap (Priority Queue), Simulation</t>
        </is>
      </c>
      <c r="G1693" s="1" t="inlineStr">
        <is>
          <t>Easy</t>
        </is>
      </c>
      <c r="H1693" s="1" t="n">
        <v>200182</v>
      </c>
      <c r="I1693" s="1" t="n">
        <v>265148</v>
      </c>
      <c r="J1693" s="9" t="n">
        <v>0.755</v>
      </c>
      <c r="K1693" s="1" t="inlineStr">
        <is>
          <t>Yes</t>
        </is>
      </c>
      <c r="L1693" s="1" t="inlineStr">
        <is>
          <t>Yes</t>
        </is>
      </c>
      <c r="M1693" s="1" t="inlineStr">
        <is>
          <t>No</t>
        </is>
      </c>
      <c r="N1693" s="1" t="inlineStr">
        <is>
          <t>Algorithms</t>
        </is>
      </c>
      <c r="O16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93" s="13" t="inlineStr">
        <is>
          <t>Done</t>
        </is>
      </c>
    </row>
    <row r="1694" ht="15.75" customHeight="1" s="12">
      <c r="A1694" s="1" t="n">
        <v>3355</v>
      </c>
      <c r="B1694" s="3">
        <f>HYPERLINK("https://leetcode.com/problems/zero-array-transformation-i/", "Zero Array Transformation I")</f>
        <v/>
      </c>
      <c r="C1694" s="1" t="n">
        <v>859</v>
      </c>
      <c r="D1694" s="1" t="n">
        <v>91</v>
      </c>
      <c r="E1694" s="4">
        <f>IF(INDEX(C:C, ROW())+INDEX(D:D, ROW())=0, 0, INDEX(C:C, ROW())/(INDEX(C:C, ROW())+INDEX(D:D, ROW())))</f>
        <v/>
      </c>
      <c r="F1694" s="1" t="inlineStr">
        <is>
          <t>Array, Prefix Sum</t>
        </is>
      </c>
      <c r="G1694" s="1" t="inlineStr">
        <is>
          <t>Medium</t>
        </is>
      </c>
      <c r="H1694" s="1" t="n">
        <v>156337</v>
      </c>
      <c r="I1694" s="1" t="n">
        <v>286947</v>
      </c>
      <c r="J1694" s="9" t="n">
        <v>0.545</v>
      </c>
      <c r="K1694" s="1" t="inlineStr">
        <is>
          <t>Yes</t>
        </is>
      </c>
      <c r="L1694" s="1" t="inlineStr">
        <is>
          <t>Yes</t>
        </is>
      </c>
      <c r="M1694" s="1" t="inlineStr">
        <is>
          <t>No</t>
        </is>
      </c>
      <c r="N1694" s="1" t="inlineStr">
        <is>
          <t>Algorithms</t>
        </is>
      </c>
      <c r="O16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94" s="11" t="inlineStr">
        <is>
          <t>To Do</t>
        </is>
      </c>
    </row>
    <row r="1695" ht="15.75" customHeight="1" s="12">
      <c r="A1695" s="1" t="n">
        <v>1120</v>
      </c>
      <c r="B1695" s="3">
        <f>HYPERLINK("https://leetcode.com/problems/maximum-average-subtree/", "Maximum Average Subtree")</f>
        <v/>
      </c>
      <c r="C1695" s="1" t="n">
        <v>858</v>
      </c>
      <c r="D1695" s="1" t="n">
        <v>36</v>
      </c>
      <c r="E1695" s="4">
        <f>IF(INDEX(C:C, ROW())+INDEX(D:D, ROW())=0, 0, INDEX(C:C, ROW())/(INDEX(C:C, ROW())+INDEX(D:D, ROW())))</f>
        <v/>
      </c>
      <c r="F1695" s="1" t="inlineStr">
        <is>
          <t>Tree, Depth-First Search, Binary Tree</t>
        </is>
      </c>
      <c r="G1695" s="1" t="inlineStr">
        <is>
          <t>Medium</t>
        </is>
      </c>
      <c r="H1695" s="1" t="n">
        <v>74123</v>
      </c>
      <c r="I1695" s="1" t="n">
        <v>110724</v>
      </c>
      <c r="J1695" s="9" t="n">
        <v>0.669</v>
      </c>
      <c r="K1695" s="1" t="inlineStr">
        <is>
          <t>No</t>
        </is>
      </c>
      <c r="L1695" s="1" t="inlineStr">
        <is>
          <t>Yes</t>
        </is>
      </c>
      <c r="M1695" s="1" t="inlineStr">
        <is>
          <t>No</t>
        </is>
      </c>
      <c r="N1695" s="1" t="inlineStr">
        <is>
          <t>Algorithms</t>
        </is>
      </c>
      <c r="O16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95" s="11" t="inlineStr">
        <is>
          <t>To Do</t>
        </is>
      </c>
    </row>
    <row r="1696" ht="15.75" customHeight="1" s="12">
      <c r="A1696" s="1" t="n">
        <v>927</v>
      </c>
      <c r="B1696" s="3">
        <f>HYPERLINK("https://leetcode.com/problems/three-equal-parts/", "Three Equal Parts")</f>
        <v/>
      </c>
      <c r="C1696" s="1" t="n">
        <v>856</v>
      </c>
      <c r="D1696" s="1" t="n">
        <v>126</v>
      </c>
      <c r="E1696" s="4">
        <f>IF(INDEX(C:C, ROW())+INDEX(D:D, ROW())=0, 0, INDEX(C:C, ROW())/(INDEX(C:C, ROW())+INDEX(D:D, ROW())))</f>
        <v/>
      </c>
      <c r="F1696" s="1" t="inlineStr">
        <is>
          <t>Array, Math</t>
        </is>
      </c>
      <c r="G1696" s="1" t="inlineStr">
        <is>
          <t>Hard</t>
        </is>
      </c>
      <c r="H1696" s="1" t="n">
        <v>35245</v>
      </c>
      <c r="I1696" s="1" t="n">
        <v>85275</v>
      </c>
      <c r="J1696" s="9" t="n">
        <v>0.413</v>
      </c>
      <c r="K1696" s="1" t="inlineStr">
        <is>
          <t>Yes</t>
        </is>
      </c>
      <c r="L1696" s="1" t="inlineStr">
        <is>
          <t>Yes</t>
        </is>
      </c>
      <c r="M1696" s="1" t="inlineStr">
        <is>
          <t>No</t>
        </is>
      </c>
      <c r="N1696" s="1" t="inlineStr">
        <is>
          <t>Algorithms</t>
        </is>
      </c>
      <c r="O16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96" s="11" t="inlineStr">
        <is>
          <t>To Do</t>
        </is>
      </c>
    </row>
    <row r="1697" ht="15.75" customHeight="1" s="12">
      <c r="A1697" s="1" t="n">
        <v>1839</v>
      </c>
      <c r="B1697" s="3">
        <f>HYPERLINK("https://leetcode.com/problems/longest-substring-of-all-vowels-in-order/", "Longest Substring Of All Vowels in Order")</f>
        <v/>
      </c>
      <c r="C1697" s="1" t="n">
        <v>855</v>
      </c>
      <c r="D1697" s="1" t="n">
        <v>31</v>
      </c>
      <c r="E1697" s="4">
        <f>IF(INDEX(C:C, ROW())+INDEX(D:D, ROW())=0, 0, INDEX(C:C, ROW())/(INDEX(C:C, ROW())+INDEX(D:D, ROW())))</f>
        <v/>
      </c>
      <c r="F1697" s="1" t="inlineStr">
        <is>
          <t>String, Sliding Window</t>
        </is>
      </c>
      <c r="G1697" s="1" t="inlineStr">
        <is>
          <t>Medium</t>
        </is>
      </c>
      <c r="H1697" s="1" t="n">
        <v>47096</v>
      </c>
      <c r="I1697" s="1" t="n">
        <v>90890</v>
      </c>
      <c r="J1697" s="9" t="n">
        <v>0.518</v>
      </c>
      <c r="K1697" s="1" t="inlineStr">
        <is>
          <t>Yes</t>
        </is>
      </c>
      <c r="L1697" s="1" t="inlineStr">
        <is>
          <t>No</t>
        </is>
      </c>
      <c r="M1697" s="1" t="inlineStr">
        <is>
          <t>No</t>
        </is>
      </c>
      <c r="N1697" s="1" t="inlineStr">
        <is>
          <t>Algorithms</t>
        </is>
      </c>
      <c r="O16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97" s="11" t="inlineStr">
        <is>
          <t>To Do</t>
        </is>
      </c>
    </row>
    <row r="1698" ht="15.75" customHeight="1" s="12">
      <c r="A1698" s="1" t="n">
        <v>737</v>
      </c>
      <c r="B1698" s="3">
        <f>HYPERLINK("https://leetcode.com/problems/sentence-similarity-ii/", "Sentence Similarity II")</f>
        <v/>
      </c>
      <c r="C1698" s="1" t="n">
        <v>854</v>
      </c>
      <c r="D1698" s="1" t="n">
        <v>43</v>
      </c>
      <c r="E1698" s="4">
        <f>IF(INDEX(C:C, ROW())+INDEX(D:D, ROW())=0, 0, INDEX(C:C, ROW())/(INDEX(C:C, ROW())+INDEX(D:D, ROW())))</f>
        <v/>
      </c>
      <c r="F1698" s="1" t="inlineStr">
        <is>
          <t>Array, Hash Table, String, Depth-First Search, Breadth-First Search, Union-Find</t>
        </is>
      </c>
      <c r="G1698" s="1" t="inlineStr">
        <is>
          <t>Medium</t>
        </is>
      </c>
      <c r="H1698" s="1" t="n">
        <v>79308</v>
      </c>
      <c r="I1698" s="1" t="n">
        <v>154693</v>
      </c>
      <c r="J1698" s="9" t="n">
        <v>0.513</v>
      </c>
      <c r="K1698" s="1" t="inlineStr">
        <is>
          <t>No</t>
        </is>
      </c>
      <c r="L1698" s="1" t="inlineStr">
        <is>
          <t>Yes</t>
        </is>
      </c>
      <c r="M1698" s="1" t="inlineStr">
        <is>
          <t>No</t>
        </is>
      </c>
      <c r="N1698" s="1" t="inlineStr">
        <is>
          <t>Algorithms</t>
        </is>
      </c>
      <c r="O16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98" s="11" t="inlineStr">
        <is>
          <t>To Do</t>
        </is>
      </c>
    </row>
    <row r="1699" ht="15.75" customHeight="1" s="12">
      <c r="A1699" s="1" t="n">
        <v>966</v>
      </c>
      <c r="B1699" s="3">
        <f>HYPERLINK("https://leetcode.com/problems/vowel-spellchecker/", "Vowel Spellchecker")</f>
        <v/>
      </c>
      <c r="C1699" s="1" t="n">
        <v>854</v>
      </c>
      <c r="D1699" s="1" t="n">
        <v>1003</v>
      </c>
      <c r="E1699" s="4">
        <f>IF(INDEX(C:C, ROW())+INDEX(D:D, ROW())=0, 0, INDEX(C:C, ROW())/(INDEX(C:C, ROW())+INDEX(D:D, ROW())))</f>
        <v/>
      </c>
      <c r="F1699" s="1" t="inlineStr">
        <is>
          <t>Array, Hash Table, String</t>
        </is>
      </c>
      <c r="G1699" s="1" t="inlineStr">
        <is>
          <t>Medium</t>
        </is>
      </c>
      <c r="H1699" s="1" t="n">
        <v>141071</v>
      </c>
      <c r="I1699" s="1" t="n">
        <v>229730</v>
      </c>
      <c r="J1699" s="9" t="n">
        <v>0.614</v>
      </c>
      <c r="K1699" s="1" t="inlineStr">
        <is>
          <t>Yes</t>
        </is>
      </c>
      <c r="L1699" s="1" t="inlineStr">
        <is>
          <t>Yes</t>
        </is>
      </c>
      <c r="M1699" s="1" t="inlineStr">
        <is>
          <t>No</t>
        </is>
      </c>
      <c r="N1699" s="1" t="inlineStr">
        <is>
          <t>Algorithms</t>
        </is>
      </c>
      <c r="O16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699" s="11" t="inlineStr">
        <is>
          <t>To Do</t>
        </is>
      </c>
    </row>
    <row r="1700" ht="15.75" customHeight="1" s="12">
      <c r="A1700" s="1" t="n">
        <v>812</v>
      </c>
      <c r="B1700" s="3">
        <f>HYPERLINK("https://leetcode.com/problems/largest-triangle-area/", "Largest Triangle Area")</f>
        <v/>
      </c>
      <c r="C1700" s="1" t="n">
        <v>853</v>
      </c>
      <c r="D1700" s="1" t="n">
        <v>1740</v>
      </c>
      <c r="E1700" s="4">
        <f>IF(INDEX(C:C, ROW())+INDEX(D:D, ROW())=0, 0, INDEX(C:C, ROW())/(INDEX(C:C, ROW())+INDEX(D:D, ROW())))</f>
        <v/>
      </c>
      <c r="F1700" s="1" t="inlineStr">
        <is>
          <t>Array, Math, Geometry</t>
        </is>
      </c>
      <c r="G1700" s="1" t="inlineStr">
        <is>
          <t>Easy</t>
        </is>
      </c>
      <c r="H1700" s="1" t="n">
        <v>180707</v>
      </c>
      <c r="I1700" s="1" t="n">
        <v>252350</v>
      </c>
      <c r="J1700" s="9" t="n">
        <v>0.716</v>
      </c>
      <c r="K1700" s="1" t="inlineStr">
        <is>
          <t>Yes</t>
        </is>
      </c>
      <c r="L1700" s="1" t="inlineStr">
        <is>
          <t>Yes</t>
        </is>
      </c>
      <c r="M1700" s="1" t="inlineStr">
        <is>
          <t>No</t>
        </is>
      </c>
      <c r="N1700" s="1" t="inlineStr">
        <is>
          <t>Algorithms</t>
        </is>
      </c>
      <c r="O17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00" s="13" t="inlineStr">
        <is>
          <t>Done</t>
        </is>
      </c>
    </row>
    <row r="1701" ht="15.75" customHeight="1" s="12">
      <c r="A1701" s="1" t="n">
        <v>2338</v>
      </c>
      <c r="B1701" s="3">
        <f>HYPERLINK("https://leetcode.com/problems/count-the-number-of-ideal-arrays/", "Count the Number of Ideal Arrays")</f>
        <v/>
      </c>
      <c r="C1701" s="1" t="n">
        <v>852</v>
      </c>
      <c r="D1701" s="1" t="n">
        <v>133</v>
      </c>
      <c r="E1701" s="4">
        <f>IF(INDEX(C:C, ROW())+INDEX(D:D, ROW())=0, 0, INDEX(C:C, ROW())/(INDEX(C:C, ROW())+INDEX(D:D, ROW())))</f>
        <v/>
      </c>
      <c r="F1701" s="1" t="inlineStr">
        <is>
          <t>Math, Dynamic Programming, Combinatorics, Number Theory</t>
        </is>
      </c>
      <c r="G1701" s="1" t="inlineStr">
        <is>
          <t>Hard</t>
        </is>
      </c>
      <c r="H1701" s="1" t="n">
        <v>70314</v>
      </c>
      <c r="I1701" s="1" t="n">
        <v>123582</v>
      </c>
      <c r="J1701" s="9" t="n">
        <v>0.569</v>
      </c>
      <c r="K1701" s="1" t="inlineStr">
        <is>
          <t>Yes</t>
        </is>
      </c>
      <c r="L1701" s="1" t="inlineStr">
        <is>
          <t>Yes</t>
        </is>
      </c>
      <c r="M1701" s="1" t="inlineStr">
        <is>
          <t>No</t>
        </is>
      </c>
      <c r="N1701" s="1" t="inlineStr">
        <is>
          <t>Algorithms</t>
        </is>
      </c>
      <c r="O17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01" s="11" t="inlineStr">
        <is>
          <t>To Do</t>
        </is>
      </c>
    </row>
    <row r="1702" ht="15.75" customHeight="1" s="12">
      <c r="A1702" s="1" t="n">
        <v>1034</v>
      </c>
      <c r="B1702" s="3">
        <f>HYPERLINK("https://leetcode.com/problems/coloring-a-border/", "Coloring A Border")</f>
        <v/>
      </c>
      <c r="C1702" s="1" t="n">
        <v>851</v>
      </c>
      <c r="D1702" s="1" t="n">
        <v>947</v>
      </c>
      <c r="E1702" s="4">
        <f>IF(INDEX(C:C, ROW())+INDEX(D:D, ROW())=0, 0, INDEX(C:C, ROW())/(INDEX(C:C, ROW())+INDEX(D:D, ROW())))</f>
        <v/>
      </c>
      <c r="F1702" s="1" t="inlineStr">
        <is>
          <t>Array, Depth-First Search, Breadth-First Search, Matrix</t>
        </is>
      </c>
      <c r="G1702" s="1" t="inlineStr">
        <is>
          <t>Medium</t>
        </is>
      </c>
      <c r="H1702" s="1" t="n">
        <v>51339</v>
      </c>
      <c r="I1702" s="1" t="n">
        <v>100167</v>
      </c>
      <c r="J1702" s="9" t="n">
        <v>0.513</v>
      </c>
      <c r="K1702" s="1" t="inlineStr">
        <is>
          <t>Yes</t>
        </is>
      </c>
      <c r="L1702" s="1" t="inlineStr">
        <is>
          <t>No</t>
        </is>
      </c>
      <c r="M1702" s="1" t="inlineStr">
        <is>
          <t>No</t>
        </is>
      </c>
      <c r="N1702" s="1" t="inlineStr">
        <is>
          <t>Algorithms</t>
        </is>
      </c>
      <c r="O17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02" s="11" t="inlineStr">
        <is>
          <t>To Do</t>
        </is>
      </c>
    </row>
    <row r="1703" ht="15.75" customHeight="1" s="12">
      <c r="A1703" s="1" t="n">
        <v>2124</v>
      </c>
      <c r="B1703" s="3">
        <f>HYPERLINK("https://leetcode.com/problems/check-if-all-as-appears-before-all-bs/", "Check if All A's Appears Before All B's")</f>
        <v/>
      </c>
      <c r="C1703" s="1" t="n">
        <v>851</v>
      </c>
      <c r="D1703" s="1" t="n">
        <v>22</v>
      </c>
      <c r="E1703" s="4">
        <f>IF(INDEX(C:C, ROW())+INDEX(D:D, ROW())=0, 0, INDEX(C:C, ROW())/(INDEX(C:C, ROW())+INDEX(D:D, ROW())))</f>
        <v/>
      </c>
      <c r="F1703" s="1" t="inlineStr">
        <is>
          <t>String</t>
        </is>
      </c>
      <c r="G1703" s="1" t="inlineStr">
        <is>
          <t>Easy</t>
        </is>
      </c>
      <c r="H1703" s="1" t="n">
        <v>125668</v>
      </c>
      <c r="I1703" s="1" t="n">
        <v>171656</v>
      </c>
      <c r="J1703" s="9" t="n">
        <v>0.732</v>
      </c>
      <c r="K1703" s="1" t="inlineStr">
        <is>
          <t>Yes</t>
        </is>
      </c>
      <c r="L1703" s="1" t="inlineStr">
        <is>
          <t>No</t>
        </is>
      </c>
      <c r="M1703" s="1" t="inlineStr">
        <is>
          <t>No</t>
        </is>
      </c>
      <c r="N1703" s="1" t="inlineStr">
        <is>
          <t>Algorithms</t>
        </is>
      </c>
      <c r="O17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03" s="13" t="inlineStr">
        <is>
          <t>Done</t>
        </is>
      </c>
    </row>
    <row r="1704" ht="15.75" customHeight="1" s="12">
      <c r="A1704" s="1" t="n">
        <v>2197</v>
      </c>
      <c r="B1704" s="3">
        <f>HYPERLINK("https://leetcode.com/problems/replace-non-coprime-numbers-in-array/", "Replace Non-Coprime Numbers in Array")</f>
        <v/>
      </c>
      <c r="C1704" s="1" t="n">
        <v>847</v>
      </c>
      <c r="D1704" s="1" t="n">
        <v>33</v>
      </c>
      <c r="E1704" s="4">
        <f>IF(INDEX(C:C, ROW())+INDEX(D:D, ROW())=0, 0, INDEX(C:C, ROW())/(INDEX(C:C, ROW())+INDEX(D:D, ROW())))</f>
        <v/>
      </c>
      <c r="F1704" s="1" t="inlineStr">
        <is>
          <t>Array, Math, Stack, Number Theory</t>
        </is>
      </c>
      <c r="G1704" s="1" t="inlineStr">
        <is>
          <t>Hard</t>
        </is>
      </c>
      <c r="H1704" s="1" t="n">
        <v>114870</v>
      </c>
      <c r="I1704" s="1" t="n">
        <v>199145</v>
      </c>
      <c r="J1704" s="9" t="n">
        <v>0.577</v>
      </c>
      <c r="K1704" s="1" t="inlineStr">
        <is>
          <t>Yes</t>
        </is>
      </c>
      <c r="L1704" s="1" t="inlineStr">
        <is>
          <t>Yes</t>
        </is>
      </c>
      <c r="M1704" s="1" t="inlineStr">
        <is>
          <t>No</t>
        </is>
      </c>
      <c r="N1704" s="1" t="inlineStr">
        <is>
          <t>Algorithms</t>
        </is>
      </c>
      <c r="O17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04" s="11" t="inlineStr">
        <is>
          <t>To Do</t>
        </is>
      </c>
    </row>
    <row r="1705" ht="15.75" customHeight="1" s="12">
      <c r="A1705" s="1" t="n">
        <v>2579</v>
      </c>
      <c r="B1705" s="3">
        <f>HYPERLINK("https://leetcode.com/problems/count-total-number-of-colored-cells/", "Count Total Number of Colored Cells")</f>
        <v/>
      </c>
      <c r="C1705" s="1" t="n">
        <v>846</v>
      </c>
      <c r="D1705" s="1" t="n">
        <v>95</v>
      </c>
      <c r="E1705" s="4">
        <f>IF(INDEX(C:C, ROW())+INDEX(D:D, ROW())=0, 0, INDEX(C:C, ROW())/(INDEX(C:C, ROW())+INDEX(D:D, ROW())))</f>
        <v/>
      </c>
      <c r="F1705" s="1" t="inlineStr">
        <is>
          <t>Math</t>
        </is>
      </c>
      <c r="G1705" s="1" t="inlineStr">
        <is>
          <t>Medium</t>
        </is>
      </c>
      <c r="H1705" s="1" t="n">
        <v>204335</v>
      </c>
      <c r="I1705" s="1" t="n">
        <v>309089</v>
      </c>
      <c r="J1705" s="9" t="n">
        <v>0.661</v>
      </c>
      <c r="K1705" s="1" t="inlineStr">
        <is>
          <t>Yes</t>
        </is>
      </c>
      <c r="L1705" s="1" t="inlineStr">
        <is>
          <t>Yes</t>
        </is>
      </c>
      <c r="M1705" s="1" t="inlineStr">
        <is>
          <t>No</t>
        </is>
      </c>
      <c r="N1705" s="1" t="inlineStr">
        <is>
          <t>Algorithms</t>
        </is>
      </c>
      <c r="O17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05" s="11" t="inlineStr">
        <is>
          <t>To Do</t>
        </is>
      </c>
    </row>
    <row r="1706" ht="15.75" customHeight="1" s="12">
      <c r="A1706" s="1" t="n">
        <v>2787</v>
      </c>
      <c r="B1706" s="3">
        <f>HYPERLINK("https://leetcode.com/problems/ways-to-express-an-integer-as-sum-of-powers/", "Ways to Express an Integer as Sum of Powers")</f>
        <v/>
      </c>
      <c r="C1706" s="1" t="n">
        <v>846</v>
      </c>
      <c r="D1706" s="1" t="n">
        <v>41</v>
      </c>
      <c r="E1706" s="4">
        <f>IF(INDEX(C:C, ROW())+INDEX(D:D, ROW())=0, 0, INDEX(C:C, ROW())/(INDEX(C:C, ROW())+INDEX(D:D, ROW())))</f>
        <v/>
      </c>
      <c r="F1706" s="1" t="inlineStr">
        <is>
          <t>Dynamic Programming</t>
        </is>
      </c>
      <c r="G1706" s="1" t="inlineStr">
        <is>
          <t>Medium</t>
        </is>
      </c>
      <c r="H1706" s="1" t="n">
        <v>119063</v>
      </c>
      <c r="I1706" s="1" t="n">
        <v>238974</v>
      </c>
      <c r="J1706" s="9" t="n">
        <v>0.498</v>
      </c>
      <c r="K1706" s="1" t="inlineStr">
        <is>
          <t>Yes</t>
        </is>
      </c>
      <c r="L1706" s="1" t="inlineStr">
        <is>
          <t>Yes</t>
        </is>
      </c>
      <c r="M1706" s="1" t="inlineStr">
        <is>
          <t>No</t>
        </is>
      </c>
      <c r="N1706" s="1" t="inlineStr">
        <is>
          <t>Algorithms</t>
        </is>
      </c>
      <c r="O17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06" s="11" t="inlineStr">
        <is>
          <t>To Do</t>
        </is>
      </c>
    </row>
    <row r="1707" ht="15.75" customHeight="1" s="12">
      <c r="A1707" s="1" t="n">
        <v>1377</v>
      </c>
      <c r="B1707" s="3">
        <f>HYPERLINK("https://leetcode.com/problems/frog-position-after-t-seconds/", "Frog Position After T Seconds")</f>
        <v/>
      </c>
      <c r="C1707" s="1" t="n">
        <v>845</v>
      </c>
      <c r="D1707" s="1" t="n">
        <v>151</v>
      </c>
      <c r="E1707" s="4">
        <f>IF(INDEX(C:C, ROW())+INDEX(D:D, ROW())=0, 0, INDEX(C:C, ROW())/(INDEX(C:C, ROW())+INDEX(D:D, ROW())))</f>
        <v/>
      </c>
      <c r="F1707" s="1" t="inlineStr">
        <is>
          <t>Tree, Depth-First Search, Breadth-First Search, Graph Theory</t>
        </is>
      </c>
      <c r="G1707" s="1" t="inlineStr">
        <is>
          <t>Hard</t>
        </is>
      </c>
      <c r="H1707" s="1" t="n">
        <v>43740</v>
      </c>
      <c r="I1707" s="1" t="n">
        <v>113743</v>
      </c>
      <c r="J1707" s="9" t="n">
        <v>0.385</v>
      </c>
      <c r="K1707" s="1" t="inlineStr">
        <is>
          <t>Yes</t>
        </is>
      </c>
      <c r="L1707" s="1" t="inlineStr">
        <is>
          <t>No</t>
        </is>
      </c>
      <c r="M1707" s="1" t="inlineStr">
        <is>
          <t>No</t>
        </is>
      </c>
      <c r="N1707" s="1" t="inlineStr">
        <is>
          <t>Algorithms</t>
        </is>
      </c>
      <c r="O17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07" s="11" t="inlineStr">
        <is>
          <t>To Do</t>
        </is>
      </c>
    </row>
    <row r="1708" ht="15.75" customHeight="1" s="12">
      <c r="A1708" s="1" t="n">
        <v>1370</v>
      </c>
      <c r="B1708" s="3">
        <f>HYPERLINK("https://leetcode.com/problems/increasing-decreasing-string/", "Increasing Decreasing String")</f>
        <v/>
      </c>
      <c r="C1708" s="1" t="n">
        <v>844</v>
      </c>
      <c r="D1708" s="1" t="n">
        <v>878</v>
      </c>
      <c r="E1708" s="4">
        <f>IF(INDEX(C:C, ROW())+INDEX(D:D, ROW())=0, 0, INDEX(C:C, ROW())/(INDEX(C:C, ROW())+INDEX(D:D, ROW())))</f>
        <v/>
      </c>
      <c r="F1708" s="1" t="inlineStr">
        <is>
          <t>Hash Table, String, Counting</t>
        </is>
      </c>
      <c r="G1708" s="1" t="inlineStr">
        <is>
          <t>Easy</t>
        </is>
      </c>
      <c r="H1708" s="1" t="n">
        <v>99677</v>
      </c>
      <c r="I1708" s="1" t="n">
        <v>129018</v>
      </c>
      <c r="J1708" s="9" t="n">
        <v>0.773</v>
      </c>
      <c r="K1708" s="1" t="inlineStr">
        <is>
          <t>Yes</t>
        </is>
      </c>
      <c r="L1708" s="1" t="inlineStr">
        <is>
          <t>No</t>
        </is>
      </c>
      <c r="M1708" s="1" t="inlineStr">
        <is>
          <t>No</t>
        </is>
      </c>
      <c r="N1708" s="1" t="inlineStr">
        <is>
          <t>Algorithms</t>
        </is>
      </c>
      <c r="O17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08" s="13" t="inlineStr">
        <is>
          <t>Done</t>
        </is>
      </c>
    </row>
    <row r="1709" ht="15.75" customHeight="1" s="12">
      <c r="A1709" s="1" t="n">
        <v>2400</v>
      </c>
      <c r="B1709" s="3">
        <f>HYPERLINK("https://leetcode.com/problems/number-of-ways-to-reach-a-position-after-exactly-k-steps/", "Number of Ways to Reach a Position After Exactly k Steps")</f>
        <v/>
      </c>
      <c r="C1709" s="1" t="n">
        <v>844</v>
      </c>
      <c r="D1709" s="1" t="n">
        <v>68</v>
      </c>
      <c r="E1709" s="4">
        <f>IF(INDEX(C:C, ROW())+INDEX(D:D, ROW())=0, 0, INDEX(C:C, ROW())/(INDEX(C:C, ROW())+INDEX(D:D, ROW())))</f>
        <v/>
      </c>
      <c r="F1709" s="1" t="inlineStr">
        <is>
          <t>Math, Dynamic Programming, Combinatorics</t>
        </is>
      </c>
      <c r="G1709" s="1" t="inlineStr">
        <is>
          <t>Medium</t>
        </is>
      </c>
      <c r="H1709" s="1" t="n">
        <v>39720</v>
      </c>
      <c r="I1709" s="1" t="n">
        <v>107565</v>
      </c>
      <c r="J1709" s="9" t="n">
        <v>0.369</v>
      </c>
      <c r="K1709" s="1" t="inlineStr">
        <is>
          <t>Yes</t>
        </is>
      </c>
      <c r="L1709" s="1" t="inlineStr">
        <is>
          <t>No</t>
        </is>
      </c>
      <c r="M1709" s="1" t="inlineStr">
        <is>
          <t>No</t>
        </is>
      </c>
      <c r="N1709" s="1" t="inlineStr">
        <is>
          <t>Algorithms</t>
        </is>
      </c>
      <c r="O17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09" s="11" t="inlineStr">
        <is>
          <t>To Do</t>
        </is>
      </c>
    </row>
    <row r="1710" ht="15.75" customHeight="1" s="12">
      <c r="A1710" s="1" t="n">
        <v>2824</v>
      </c>
      <c r="B1710" s="3">
        <f>HYPERLINK("https://leetcode.com/problems/count-pairs-whose-sum-is-less-than-target/", "Count Pairs Whose Sum is Less than Target")</f>
        <v/>
      </c>
      <c r="C1710" s="1" t="n">
        <v>844</v>
      </c>
      <c r="D1710" s="1" t="n">
        <v>90</v>
      </c>
      <c r="E1710" s="4">
        <f>IF(INDEX(C:C, ROW())+INDEX(D:D, ROW())=0, 0, INDEX(C:C, ROW())/(INDEX(C:C, ROW())+INDEX(D:D, ROW())))</f>
        <v/>
      </c>
      <c r="F1710" s="1" t="inlineStr">
        <is>
          <t>Array, Two Pointers, Binary Search, Sorting</t>
        </is>
      </c>
      <c r="G1710" s="1" t="inlineStr">
        <is>
          <t>Easy</t>
        </is>
      </c>
      <c r="H1710" s="1" t="n">
        <v>268191</v>
      </c>
      <c r="I1710" s="1" t="n">
        <v>305678</v>
      </c>
      <c r="J1710" s="9" t="n">
        <v>0.877</v>
      </c>
      <c r="K1710" s="1" t="inlineStr">
        <is>
          <t>Yes</t>
        </is>
      </c>
      <c r="L1710" s="1" t="inlineStr">
        <is>
          <t>No</t>
        </is>
      </c>
      <c r="M1710" s="1" t="inlineStr">
        <is>
          <t>No</t>
        </is>
      </c>
      <c r="N1710" s="1" t="inlineStr">
        <is>
          <t>Algorithms</t>
        </is>
      </c>
      <c r="O17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10" s="13" t="inlineStr">
        <is>
          <t>Done</t>
        </is>
      </c>
    </row>
    <row r="1711" ht="15.75" customHeight="1" s="12">
      <c r="A1711" s="1" t="n">
        <v>1216</v>
      </c>
      <c r="B1711" s="3">
        <f>HYPERLINK("https://leetcode.com/problems/valid-palindrome-iii/", "Valid Palindrome III")</f>
        <v/>
      </c>
      <c r="C1711" s="1" t="n">
        <v>843</v>
      </c>
      <c r="D1711" s="1" t="n">
        <v>15</v>
      </c>
      <c r="E1711" s="4">
        <f>IF(INDEX(C:C, ROW())+INDEX(D:D, ROW())=0, 0, INDEX(C:C, ROW())/(INDEX(C:C, ROW())+INDEX(D:D, ROW())))</f>
        <v/>
      </c>
      <c r="F1711" s="1" t="inlineStr">
        <is>
          <t>String, Dynamic Programming</t>
        </is>
      </c>
      <c r="G1711" s="1" t="inlineStr">
        <is>
          <t>Hard</t>
        </is>
      </c>
      <c r="H1711" s="1" t="n">
        <v>109133</v>
      </c>
      <c r="I1711" s="1" t="n">
        <v>221916</v>
      </c>
      <c r="J1711" s="9" t="n">
        <v>0.492</v>
      </c>
      <c r="K1711" s="1" t="inlineStr">
        <is>
          <t>No</t>
        </is>
      </c>
      <c r="L1711" s="1" t="inlineStr">
        <is>
          <t>Yes</t>
        </is>
      </c>
      <c r="M1711" s="1" t="inlineStr">
        <is>
          <t>No</t>
        </is>
      </c>
      <c r="N1711" s="1" t="inlineStr">
        <is>
          <t>Algorithms</t>
        </is>
      </c>
      <c r="O17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11" s="11" t="inlineStr">
        <is>
          <t>To Do</t>
        </is>
      </c>
    </row>
    <row r="1712" ht="15.75" customHeight="1" s="12">
      <c r="A1712" s="1" t="n">
        <v>2271</v>
      </c>
      <c r="B1712" s="3">
        <f>HYPERLINK("https://leetcode.com/problems/maximum-white-tiles-covered-by-a-carpet/", "Maximum White Tiles Covered by a Carpet")</f>
        <v/>
      </c>
      <c r="C1712" s="1" t="n">
        <v>841</v>
      </c>
      <c r="D1712" s="1" t="n">
        <v>58</v>
      </c>
      <c r="E1712" s="4">
        <f>IF(INDEX(C:C, ROW())+INDEX(D:D, ROW())=0, 0, INDEX(C:C, ROW())/(INDEX(C:C, ROW())+INDEX(D:D, ROW())))</f>
        <v/>
      </c>
      <c r="F1712" s="1" t="inlineStr">
        <is>
          <t>Array, Binary Search, Greedy, Sliding Window, Sorting, Prefix Sum</t>
        </is>
      </c>
      <c r="G1712" s="1" t="inlineStr">
        <is>
          <t>Medium</t>
        </is>
      </c>
      <c r="H1712" s="1" t="n">
        <v>22108</v>
      </c>
      <c r="I1712" s="1" t="n">
        <v>61665</v>
      </c>
      <c r="J1712" s="9" t="n">
        <v>0.359</v>
      </c>
      <c r="K1712" s="1" t="inlineStr">
        <is>
          <t>Yes</t>
        </is>
      </c>
      <c r="L1712" s="1" t="inlineStr">
        <is>
          <t>No</t>
        </is>
      </c>
      <c r="M1712" s="1" t="inlineStr">
        <is>
          <t>No</t>
        </is>
      </c>
      <c r="N1712" s="1" t="inlineStr">
        <is>
          <t>Algorithms</t>
        </is>
      </c>
      <c r="O17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12" s="11" t="inlineStr">
        <is>
          <t>To Do</t>
        </is>
      </c>
    </row>
    <row r="1713" ht="15.75" customHeight="1" s="12">
      <c r="A1713" s="1" t="n">
        <v>2849</v>
      </c>
      <c r="B1713" s="3">
        <f>HYPERLINK("https://leetcode.com/problems/determine-if-a-cell-is-reachable-at-a-given-time/", "Determine if a Cell Is Reachable at a Given Time")</f>
        <v/>
      </c>
      <c r="C1713" s="1" t="n">
        <v>841</v>
      </c>
      <c r="D1713" s="1" t="n">
        <v>771</v>
      </c>
      <c r="E1713" s="4">
        <f>IF(INDEX(C:C, ROW())+INDEX(D:D, ROW())=0, 0, INDEX(C:C, ROW())/(INDEX(C:C, ROW())+INDEX(D:D, ROW())))</f>
        <v/>
      </c>
      <c r="F1713" s="1" t="inlineStr">
        <is>
          <t>Math</t>
        </is>
      </c>
      <c r="G1713" s="1" t="inlineStr">
        <is>
          <t>Medium</t>
        </is>
      </c>
      <c r="H1713" s="1" t="n">
        <v>110415</v>
      </c>
      <c r="I1713" s="1" t="n">
        <v>297344</v>
      </c>
      <c r="J1713" s="9" t="n">
        <v>0.371</v>
      </c>
      <c r="K1713" s="1" t="inlineStr">
        <is>
          <t>Yes</t>
        </is>
      </c>
      <c r="L1713" s="1" t="inlineStr">
        <is>
          <t>Yes</t>
        </is>
      </c>
      <c r="M1713" s="1" t="inlineStr">
        <is>
          <t>No</t>
        </is>
      </c>
      <c r="N1713" s="1" t="inlineStr">
        <is>
          <t>Algorithms</t>
        </is>
      </c>
      <c r="O17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13" s="11" t="inlineStr">
        <is>
          <t>To Do</t>
        </is>
      </c>
    </row>
    <row r="1714" ht="15.75" customHeight="1" s="12">
      <c r="A1714" s="1" t="n">
        <v>2570</v>
      </c>
      <c r="B1714" s="3">
        <f>HYPERLINK("https://leetcode.com/problems/merge-two-2d-arrays-by-summing-values/", "Merge Two 2D Arrays by Summing Values")</f>
        <v/>
      </c>
      <c r="C1714" s="1" t="n">
        <v>840</v>
      </c>
      <c r="D1714" s="1" t="n">
        <v>38</v>
      </c>
      <c r="E1714" s="4">
        <f>IF(INDEX(C:C, ROW())+INDEX(D:D, ROW())=0, 0, INDEX(C:C, ROW())/(INDEX(C:C, ROW())+INDEX(D:D, ROW())))</f>
        <v/>
      </c>
      <c r="F1714" s="1" t="inlineStr">
        <is>
          <t>Array, Hash Table, Two Pointers</t>
        </is>
      </c>
      <c r="G1714" s="1" t="inlineStr">
        <is>
          <t>Easy</t>
        </is>
      </c>
      <c r="H1714" s="1" t="n">
        <v>213874</v>
      </c>
      <c r="I1714" s="1" t="n">
        <v>261857</v>
      </c>
      <c r="J1714" s="9" t="n">
        <v>0.8169999999999999</v>
      </c>
      <c r="K1714" s="1" t="inlineStr">
        <is>
          <t>Yes</t>
        </is>
      </c>
      <c r="L1714" s="1" t="inlineStr">
        <is>
          <t>Yes</t>
        </is>
      </c>
      <c r="M1714" s="1" t="inlineStr">
        <is>
          <t>No</t>
        </is>
      </c>
      <c r="N1714" s="1" t="inlineStr">
        <is>
          <t>Algorithms</t>
        </is>
      </c>
      <c r="O17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14" s="13" t="inlineStr">
        <is>
          <t>Done</t>
        </is>
      </c>
    </row>
    <row r="1715" ht="15.75" customHeight="1" s="12">
      <c r="A1715" s="1" t="n">
        <v>2864</v>
      </c>
      <c r="B1715" s="3">
        <f>HYPERLINK("https://leetcode.com/problems/maximum-odd-binary-number/", "Maximum Odd Binary Number")</f>
        <v/>
      </c>
      <c r="C1715" s="1" t="n">
        <v>840</v>
      </c>
      <c r="D1715" s="1" t="n">
        <v>34</v>
      </c>
      <c r="E1715" s="4">
        <f>IF(INDEX(C:C, ROW())+INDEX(D:D, ROW())=0, 0, INDEX(C:C, ROW())/(INDEX(C:C, ROW())+INDEX(D:D, ROW())))</f>
        <v/>
      </c>
      <c r="F1715" s="1" t="inlineStr">
        <is>
          <t>Math, String, Greedy</t>
        </is>
      </c>
      <c r="G1715" s="1" t="inlineStr">
        <is>
          <t>Easy</t>
        </is>
      </c>
      <c r="H1715" s="1" t="n">
        <v>234458</v>
      </c>
      <c r="I1715" s="1" t="n">
        <v>282832</v>
      </c>
      <c r="J1715" s="9" t="n">
        <v>0.829</v>
      </c>
      <c r="K1715" s="1" t="inlineStr">
        <is>
          <t>Yes</t>
        </is>
      </c>
      <c r="L1715" s="1" t="inlineStr">
        <is>
          <t>Yes</t>
        </is>
      </c>
      <c r="M1715" s="1" t="inlineStr">
        <is>
          <t>No</t>
        </is>
      </c>
      <c r="N1715" s="1" t="inlineStr">
        <is>
          <t>Algorithms</t>
        </is>
      </c>
      <c r="O17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15" s="13" t="inlineStr">
        <is>
          <t>Done</t>
        </is>
      </c>
    </row>
    <row r="1716" ht="15.75" customHeight="1" s="12">
      <c r="A1716" s="1" t="n">
        <v>2971</v>
      </c>
      <c r="B1716" s="3">
        <f>HYPERLINK("https://leetcode.com/problems/find-polygon-with-the-largest-perimeter/", "Find Polygon With the Largest Perimeter")</f>
        <v/>
      </c>
      <c r="C1716" s="1" t="n">
        <v>839</v>
      </c>
      <c r="D1716" s="1" t="n">
        <v>71</v>
      </c>
      <c r="E1716" s="4">
        <f>IF(INDEX(C:C, ROW())+INDEX(D:D, ROW())=0, 0, INDEX(C:C, ROW())/(INDEX(C:C, ROW())+INDEX(D:D, ROW())))</f>
        <v/>
      </c>
      <c r="F1716" s="1" t="inlineStr">
        <is>
          <t>Array, Greedy, Sorting, Prefix Sum</t>
        </is>
      </c>
      <c r="G1716" s="1" t="inlineStr">
        <is>
          <t>Medium</t>
        </is>
      </c>
      <c r="H1716" s="1" t="n">
        <v>146024</v>
      </c>
      <c r="I1716" s="1" t="n">
        <v>222879</v>
      </c>
      <c r="J1716" s="9" t="n">
        <v>0.655</v>
      </c>
      <c r="K1716" s="1" t="inlineStr">
        <is>
          <t>Yes</t>
        </is>
      </c>
      <c r="L1716" s="1" t="inlineStr">
        <is>
          <t>Yes</t>
        </is>
      </c>
      <c r="M1716" s="1" t="inlineStr">
        <is>
          <t>No</t>
        </is>
      </c>
      <c r="N1716" s="1" t="inlineStr">
        <is>
          <t>Algorithms</t>
        </is>
      </c>
      <c r="O17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16" s="11" t="inlineStr">
        <is>
          <t>To Do</t>
        </is>
      </c>
    </row>
    <row r="1717" ht="15.75" customHeight="1" s="12">
      <c r="A1717" s="1" t="n">
        <v>2321</v>
      </c>
      <c r="B1717" s="3">
        <f>HYPERLINK("https://leetcode.com/problems/maximum-score-of-spliced-array/", "Maximum Score Of Spliced Array")</f>
        <v/>
      </c>
      <c r="C1717" s="1" t="n">
        <v>838</v>
      </c>
      <c r="D1717" s="1" t="n">
        <v>16</v>
      </c>
      <c r="E1717" s="4">
        <f>IF(INDEX(C:C, ROW())+INDEX(D:D, ROW())=0, 0, INDEX(C:C, ROW())/(INDEX(C:C, ROW())+INDEX(D:D, ROW())))</f>
        <v/>
      </c>
      <c r="F1717" s="1" t="inlineStr">
        <is>
          <t>Array, Dynamic Programming</t>
        </is>
      </c>
      <c r="G1717" s="1" t="inlineStr">
        <is>
          <t>Hard</t>
        </is>
      </c>
      <c r="H1717" s="1" t="n">
        <v>24132</v>
      </c>
      <c r="I1717" s="1" t="n">
        <v>41319</v>
      </c>
      <c r="J1717" s="9" t="n">
        <v>0.584</v>
      </c>
      <c r="K1717" s="1" t="inlineStr">
        <is>
          <t>Yes</t>
        </is>
      </c>
      <c r="L1717" s="1" t="inlineStr">
        <is>
          <t>No</t>
        </is>
      </c>
      <c r="M1717" s="1" t="inlineStr">
        <is>
          <t>No</t>
        </is>
      </c>
      <c r="N1717" s="1" t="inlineStr">
        <is>
          <t>Algorithms</t>
        </is>
      </c>
      <c r="O17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17" s="11" t="inlineStr">
        <is>
          <t>To Do</t>
        </is>
      </c>
    </row>
    <row r="1718" ht="15.75" customHeight="1" s="12">
      <c r="A1718" s="1" t="n">
        <v>3043</v>
      </c>
      <c r="B1718" s="3">
        <f>HYPERLINK("https://leetcode.com/problems/find-the-length-of-the-longest-common-prefix/", "Find the Length of the Longest Common Prefix")</f>
        <v/>
      </c>
      <c r="C1718" s="1" t="n">
        <v>838</v>
      </c>
      <c r="D1718" s="1" t="n">
        <v>53</v>
      </c>
      <c r="E1718" s="4">
        <f>IF(INDEX(C:C, ROW())+INDEX(D:D, ROW())=0, 0, INDEX(C:C, ROW())/(INDEX(C:C, ROW())+INDEX(D:D, ROW())))</f>
        <v/>
      </c>
      <c r="F1718" s="1" t="inlineStr">
        <is>
          <t>Array, Hash Table, String, Trie</t>
        </is>
      </c>
      <c r="G1718" s="1" t="inlineStr">
        <is>
          <t>Medium</t>
        </is>
      </c>
      <c r="H1718" s="1" t="n">
        <v>177857</v>
      </c>
      <c r="I1718" s="1" t="n">
        <v>311468</v>
      </c>
      <c r="J1718" s="9" t="n">
        <v>0.571</v>
      </c>
      <c r="K1718" s="1" t="inlineStr">
        <is>
          <t>Yes</t>
        </is>
      </c>
      <c r="L1718" s="1" t="inlineStr">
        <is>
          <t>Yes</t>
        </is>
      </c>
      <c r="M1718" s="1" t="inlineStr">
        <is>
          <t>No</t>
        </is>
      </c>
      <c r="N1718" s="1" t="inlineStr">
        <is>
          <t>Algorithms</t>
        </is>
      </c>
      <c r="O17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18" s="11" t="inlineStr">
        <is>
          <t>To Do</t>
        </is>
      </c>
    </row>
    <row r="1719" ht="15.75" customHeight="1" s="12">
      <c r="A1719" s="1" t="n">
        <v>2195</v>
      </c>
      <c r="B1719" s="3">
        <f>HYPERLINK("https://leetcode.com/problems/append-k-integers-with-minimal-sum/", "Append K Integers With Minimal Sum")</f>
        <v/>
      </c>
      <c r="C1719" s="1" t="n">
        <v>836</v>
      </c>
      <c r="D1719" s="1" t="n">
        <v>313</v>
      </c>
      <c r="E1719" s="4">
        <f>IF(INDEX(C:C, ROW())+INDEX(D:D, ROW())=0, 0, INDEX(C:C, ROW())/(INDEX(C:C, ROW())+INDEX(D:D, ROW())))</f>
        <v/>
      </c>
      <c r="F1719" s="1" t="inlineStr">
        <is>
          <t>Array, Math, Greedy, Sorting</t>
        </is>
      </c>
      <c r="G1719" s="1" t="inlineStr">
        <is>
          <t>Medium</t>
        </is>
      </c>
      <c r="H1719" s="1" t="n">
        <v>42466</v>
      </c>
      <c r="I1719" s="1" t="n">
        <v>157399</v>
      </c>
      <c r="J1719" s="9" t="n">
        <v>0.27</v>
      </c>
      <c r="K1719" s="1" t="inlineStr">
        <is>
          <t>Yes</t>
        </is>
      </c>
      <c r="L1719" s="1" t="inlineStr">
        <is>
          <t>No</t>
        </is>
      </c>
      <c r="M1719" s="1" t="inlineStr">
        <is>
          <t>No</t>
        </is>
      </c>
      <c r="N1719" s="1" t="inlineStr">
        <is>
          <t>Algorithms</t>
        </is>
      </c>
      <c r="O17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19" s="11" t="inlineStr">
        <is>
          <t>To Do</t>
        </is>
      </c>
    </row>
    <row r="1720" ht="15.75" customHeight="1" s="12">
      <c r="A1720" s="1" t="n">
        <v>2216</v>
      </c>
      <c r="B1720" s="3">
        <f>HYPERLINK("https://leetcode.com/problems/minimum-deletions-to-make-array-beautiful/", "Minimum Deletions to Make Array Beautiful")</f>
        <v/>
      </c>
      <c r="C1720" s="1" t="n">
        <v>836</v>
      </c>
      <c r="D1720" s="1" t="n">
        <v>96</v>
      </c>
      <c r="E1720" s="4">
        <f>IF(INDEX(C:C, ROW())+INDEX(D:D, ROW())=0, 0, INDEX(C:C, ROW())/(INDEX(C:C, ROW())+INDEX(D:D, ROW())))</f>
        <v/>
      </c>
      <c r="F1720" s="1" t="inlineStr">
        <is>
          <t>Array, Stack, Greedy</t>
        </is>
      </c>
      <c r="G1720" s="1" t="inlineStr">
        <is>
          <t>Medium</t>
        </is>
      </c>
      <c r="H1720" s="1" t="n">
        <v>40675</v>
      </c>
      <c r="I1720" s="1" t="n">
        <v>81477</v>
      </c>
      <c r="J1720" s="9" t="n">
        <v>0.499</v>
      </c>
      <c r="K1720" s="1" t="inlineStr">
        <is>
          <t>Yes</t>
        </is>
      </c>
      <c r="L1720" s="1" t="inlineStr">
        <is>
          <t>No</t>
        </is>
      </c>
      <c r="M1720" s="1" t="inlineStr">
        <is>
          <t>No</t>
        </is>
      </c>
      <c r="N1720" s="1" t="inlineStr">
        <is>
          <t>Algorithms</t>
        </is>
      </c>
      <c r="O17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20" s="11" t="inlineStr">
        <is>
          <t>To Do</t>
        </is>
      </c>
    </row>
    <row r="1721" ht="15.75" customHeight="1" s="12">
      <c r="A1721" s="1" t="n">
        <v>2629</v>
      </c>
      <c r="B1721" s="3">
        <f>HYPERLINK("https://leetcode.com/problems/function-composition/", "Function Composition")</f>
        <v/>
      </c>
      <c r="C1721" s="1" t="n">
        <v>836</v>
      </c>
      <c r="D1721" s="1" t="n">
        <v>66</v>
      </c>
      <c r="E1721" s="4">
        <f>IF(INDEX(C:C, ROW())+INDEX(D:D, ROW())=0, 0, INDEX(C:C, ROW())/(INDEX(C:C, ROW())+INDEX(D:D, ROW())))</f>
        <v/>
      </c>
      <c r="F1721" s="2" t="n"/>
      <c r="G1721" s="1" t="inlineStr">
        <is>
          <t>Easy</t>
        </is>
      </c>
      <c r="H1721" s="1" t="n">
        <v>247382</v>
      </c>
      <c r="I1721" s="1" t="n">
        <v>284906</v>
      </c>
      <c r="J1721" s="9" t="n">
        <v>0.868</v>
      </c>
      <c r="K1721" s="1" t="inlineStr">
        <is>
          <t>Yes</t>
        </is>
      </c>
      <c r="L1721" s="1" t="inlineStr">
        <is>
          <t>Yes</t>
        </is>
      </c>
      <c r="M1721" s="1" t="inlineStr">
        <is>
          <t>No</t>
        </is>
      </c>
      <c r="N1721" s="1" t="inlineStr">
        <is>
          <t>JavaScript</t>
        </is>
      </c>
      <c r="O17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21" s="13" t="inlineStr">
        <is>
          <t>Done</t>
        </is>
      </c>
    </row>
    <row r="1722" ht="15.75" customHeight="1" s="12">
      <c r="A1722" s="1" t="n">
        <v>1668</v>
      </c>
      <c r="B1722" s="3">
        <f>HYPERLINK("https://leetcode.com/problems/maximum-repeating-substring/", "Maximum Repeating Substring")</f>
        <v/>
      </c>
      <c r="C1722" s="1" t="n">
        <v>834</v>
      </c>
      <c r="D1722" s="1" t="n">
        <v>302</v>
      </c>
      <c r="E1722" s="4">
        <f>IF(INDEX(C:C, ROW())+INDEX(D:D, ROW())=0, 0, INDEX(C:C, ROW())/(INDEX(C:C, ROW())+INDEX(D:D, ROW())))</f>
        <v/>
      </c>
      <c r="F1722" s="1" t="inlineStr">
        <is>
          <t>String, Dynamic Programming, String Matching</t>
        </is>
      </c>
      <c r="G1722" s="1" t="inlineStr">
        <is>
          <t>Easy</t>
        </is>
      </c>
      <c r="H1722" s="1" t="n">
        <v>110115</v>
      </c>
      <c r="I1722" s="1" t="n">
        <v>264727</v>
      </c>
      <c r="J1722" s="9" t="n">
        <v>0.416</v>
      </c>
      <c r="K1722" s="1" t="inlineStr">
        <is>
          <t>Yes</t>
        </is>
      </c>
      <c r="L1722" s="1" t="inlineStr">
        <is>
          <t>No</t>
        </is>
      </c>
      <c r="M1722" s="1" t="inlineStr">
        <is>
          <t>No</t>
        </is>
      </c>
      <c r="N1722" s="1" t="inlineStr">
        <is>
          <t>Algorithms</t>
        </is>
      </c>
      <c r="O17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22" s="13" t="inlineStr">
        <is>
          <t>Done</t>
        </is>
      </c>
    </row>
    <row r="1723" ht="15.75" customHeight="1" s="12">
      <c r="A1723" s="1" t="n">
        <v>1947</v>
      </c>
      <c r="B1723" s="3">
        <f>HYPERLINK("https://leetcode.com/problems/maximum-compatibility-score-sum/", "Maximum Compatibility Score Sum")</f>
        <v/>
      </c>
      <c r="C1723" s="1" t="n">
        <v>833</v>
      </c>
      <c r="D1723" s="1" t="n">
        <v>32</v>
      </c>
      <c r="E1723" s="4">
        <f>IF(INDEX(C:C, ROW())+INDEX(D:D, ROW())=0, 0, INDEX(C:C, ROW())/(INDEX(C:C, ROW())+INDEX(D:D, ROW())))</f>
        <v/>
      </c>
      <c r="F1723" s="1" t="inlineStr">
        <is>
          <t>Array, Dynamic Programming, Backtracking, Bit Manipulation, Bitmask</t>
        </is>
      </c>
      <c r="G1723" s="1" t="inlineStr">
        <is>
          <t>Medium</t>
        </is>
      </c>
      <c r="H1723" s="1" t="n">
        <v>34177</v>
      </c>
      <c r="I1723" s="1" t="n">
        <v>53050</v>
      </c>
      <c r="J1723" s="9" t="n">
        <v>0.644</v>
      </c>
      <c r="K1723" s="1" t="inlineStr">
        <is>
          <t>Yes</t>
        </is>
      </c>
      <c r="L1723" s="1" t="inlineStr">
        <is>
          <t>No</t>
        </is>
      </c>
      <c r="M1723" s="1" t="inlineStr">
        <is>
          <t>No</t>
        </is>
      </c>
      <c r="N1723" s="1" t="inlineStr">
        <is>
          <t>Algorithms</t>
        </is>
      </c>
      <c r="O17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23" s="11" t="inlineStr">
        <is>
          <t>To Do</t>
        </is>
      </c>
    </row>
    <row r="1724" ht="15.75" customHeight="1" s="12">
      <c r="A1724" s="1" t="n">
        <v>457</v>
      </c>
      <c r="B1724" s="3">
        <f>HYPERLINK("https://leetcode.com/problems/circular-array-loop/", "Circular Array Loop")</f>
        <v/>
      </c>
      <c r="C1724" s="1" t="n">
        <v>832</v>
      </c>
      <c r="D1724" s="1" t="n">
        <v>906</v>
      </c>
      <c r="E1724" s="4">
        <f>IF(INDEX(C:C, ROW())+INDEX(D:D, ROW())=0, 0, INDEX(C:C, ROW())/(INDEX(C:C, ROW())+INDEX(D:D, ROW())))</f>
        <v/>
      </c>
      <c r="F1724" s="1" t="inlineStr">
        <is>
          <t>Array, Hash Table, Two Pointers</t>
        </is>
      </c>
      <c r="G1724" s="1" t="inlineStr">
        <is>
          <t>Medium</t>
        </is>
      </c>
      <c r="H1724" s="1" t="n">
        <v>109251</v>
      </c>
      <c r="I1724" s="1" t="n">
        <v>292800</v>
      </c>
      <c r="J1724" s="9" t="n">
        <v>0.373</v>
      </c>
      <c r="K1724" s="1" t="inlineStr">
        <is>
          <t>Yes</t>
        </is>
      </c>
      <c r="L1724" s="1" t="inlineStr">
        <is>
          <t>No</t>
        </is>
      </c>
      <c r="M1724" s="1" t="inlineStr">
        <is>
          <t>No</t>
        </is>
      </c>
      <c r="N1724" s="1" t="inlineStr">
        <is>
          <t>Algorithms</t>
        </is>
      </c>
      <c r="O17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24" s="11" t="inlineStr">
        <is>
          <t>To Do</t>
        </is>
      </c>
    </row>
    <row r="1725" ht="15.75" customHeight="1" s="12">
      <c r="A1725" s="1" t="n">
        <v>2396</v>
      </c>
      <c r="B1725" s="3">
        <f>HYPERLINK("https://leetcode.com/problems/strictly-palindromic-number/", "Strictly Palindromic Number")</f>
        <v/>
      </c>
      <c r="C1725" s="1" t="n">
        <v>832</v>
      </c>
      <c r="D1725" s="1" t="n">
        <v>1769</v>
      </c>
      <c r="E1725" s="4">
        <f>IF(INDEX(C:C, ROW())+INDEX(D:D, ROW())=0, 0, INDEX(C:C, ROW())/(INDEX(C:C, ROW())+INDEX(D:D, ROW())))</f>
        <v/>
      </c>
      <c r="F1725" s="1" t="inlineStr">
        <is>
          <t>Math, Two Pointers, Brainteaser</t>
        </is>
      </c>
      <c r="G1725" s="1" t="inlineStr">
        <is>
          <t>Medium</t>
        </is>
      </c>
      <c r="H1725" s="1" t="n">
        <v>184732</v>
      </c>
      <c r="I1725" s="1" t="n">
        <v>204528</v>
      </c>
      <c r="J1725" s="9" t="n">
        <v>0.903</v>
      </c>
      <c r="K1725" s="1" t="inlineStr">
        <is>
          <t>Yes</t>
        </is>
      </c>
      <c r="L1725" s="1" t="inlineStr">
        <is>
          <t>No</t>
        </is>
      </c>
      <c r="M1725" s="1" t="inlineStr">
        <is>
          <t>No</t>
        </is>
      </c>
      <c r="N1725" s="1" t="inlineStr">
        <is>
          <t>Algorithms</t>
        </is>
      </c>
      <c r="O17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25" s="11" t="inlineStr">
        <is>
          <t>To Do</t>
        </is>
      </c>
    </row>
    <row r="1726" ht="15.75" customHeight="1" s="12">
      <c r="A1726" s="1" t="n">
        <v>1589</v>
      </c>
      <c r="B1726" s="3">
        <f>HYPERLINK("https://leetcode.com/problems/maximum-sum-obtained-of-any-permutation/", "Maximum Sum Obtained of Any Permutation")</f>
        <v/>
      </c>
      <c r="C1726" s="1" t="n">
        <v>831</v>
      </c>
      <c r="D1726" s="1" t="n">
        <v>40</v>
      </c>
      <c r="E1726" s="4">
        <f>IF(INDEX(C:C, ROW())+INDEX(D:D, ROW())=0, 0, INDEX(C:C, ROW())/(INDEX(C:C, ROW())+INDEX(D:D, ROW())))</f>
        <v/>
      </c>
      <c r="F1726" s="1" t="inlineStr">
        <is>
          <t>Array, Greedy, Sorting, Prefix Sum</t>
        </is>
      </c>
      <c r="G1726" s="1" t="inlineStr">
        <is>
          <t>Medium</t>
        </is>
      </c>
      <c r="H1726" s="1" t="n">
        <v>29352</v>
      </c>
      <c r="I1726" s="1" t="n">
        <v>72021</v>
      </c>
      <c r="J1726" s="9" t="n">
        <v>0.408</v>
      </c>
      <c r="K1726" s="1" t="inlineStr">
        <is>
          <t>Yes</t>
        </is>
      </c>
      <c r="L1726" s="1" t="inlineStr">
        <is>
          <t>No</t>
        </is>
      </c>
      <c r="M1726" s="1" t="inlineStr">
        <is>
          <t>No</t>
        </is>
      </c>
      <c r="N1726" s="1" t="inlineStr">
        <is>
          <t>Algorithms</t>
        </is>
      </c>
      <c r="O17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26" s="11" t="inlineStr">
        <is>
          <t>To Do</t>
        </is>
      </c>
    </row>
    <row r="1727" ht="15.75" customHeight="1" s="12">
      <c r="A1727" s="1" t="n">
        <v>683</v>
      </c>
      <c r="B1727" s="3">
        <f>HYPERLINK("https://leetcode.com/problems/k-empty-slots/", "K Empty Slots")</f>
        <v/>
      </c>
      <c r="C1727" s="1" t="n">
        <v>829</v>
      </c>
      <c r="D1727" s="1" t="n">
        <v>707</v>
      </c>
      <c r="E1727" s="4">
        <f>IF(INDEX(C:C, ROW())+INDEX(D:D, ROW())=0, 0, INDEX(C:C, ROW())/(INDEX(C:C, ROW())+INDEX(D:D, ROW())))</f>
        <v/>
      </c>
      <c r="F1727" s="1" t="inlineStr">
        <is>
          <t>Array, Binary Indexed Tree, Segment Tree, Queue, Sliding Window, Heap (Priority Queue), Ordered Set, Monotonic Queue</t>
        </is>
      </c>
      <c r="G1727" s="1" t="inlineStr">
        <is>
          <t>Hard</t>
        </is>
      </c>
      <c r="H1727" s="1" t="n">
        <v>67384</v>
      </c>
      <c r="I1727" s="1" t="n">
        <v>177426</v>
      </c>
      <c r="J1727" s="9" t="n">
        <v>0.38</v>
      </c>
      <c r="K1727" s="1" t="inlineStr">
        <is>
          <t>No</t>
        </is>
      </c>
      <c r="L1727" s="1" t="inlineStr">
        <is>
          <t>Yes</t>
        </is>
      </c>
      <c r="M1727" s="1" t="inlineStr">
        <is>
          <t>No</t>
        </is>
      </c>
      <c r="N1727" s="1" t="inlineStr">
        <is>
          <t>Algorithms</t>
        </is>
      </c>
      <c r="O17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27" s="11" t="inlineStr">
        <is>
          <t>To Do</t>
        </is>
      </c>
    </row>
    <row r="1728" ht="15.75" customHeight="1" s="12">
      <c r="A1728" s="1" t="n">
        <v>1086</v>
      </c>
      <c r="B1728" s="3">
        <f>HYPERLINK("https://leetcode.com/problems/high-five/", "High Five")</f>
        <v/>
      </c>
      <c r="C1728" s="1" t="n">
        <v>829</v>
      </c>
      <c r="D1728" s="1" t="n">
        <v>131</v>
      </c>
      <c r="E1728" s="4">
        <f>IF(INDEX(C:C, ROW())+INDEX(D:D, ROW())=0, 0, INDEX(C:C, ROW())/(INDEX(C:C, ROW())+INDEX(D:D, ROW())))</f>
        <v/>
      </c>
      <c r="F1728" s="1" t="inlineStr">
        <is>
          <t>Array, Hash Table, Sorting, Heap (Priority Queue)</t>
        </is>
      </c>
      <c r="G1728" s="1" t="inlineStr">
        <is>
          <t>Easy</t>
        </is>
      </c>
      <c r="H1728" s="1" t="n">
        <v>123852</v>
      </c>
      <c r="I1728" s="1" t="n">
        <v>166909</v>
      </c>
      <c r="J1728" s="9" t="n">
        <v>0.742</v>
      </c>
      <c r="K1728" s="1" t="inlineStr">
        <is>
          <t>No</t>
        </is>
      </c>
      <c r="L1728" s="1" t="inlineStr">
        <is>
          <t>Yes</t>
        </is>
      </c>
      <c r="M1728" s="1" t="inlineStr">
        <is>
          <t>No</t>
        </is>
      </c>
      <c r="N1728" s="1" t="inlineStr">
        <is>
          <t>Algorithms</t>
        </is>
      </c>
      <c r="O17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28" s="11" t="inlineStr">
        <is>
          <t>To Do</t>
        </is>
      </c>
    </row>
    <row r="1729" ht="15.75" customHeight="1" s="12">
      <c r="A1729" s="1" t="n">
        <v>2178</v>
      </c>
      <c r="B1729" s="3">
        <f>HYPERLINK("https://leetcode.com/problems/maximum-split-of-positive-even-integers/", "Maximum Split of Positive Even Integers")</f>
        <v/>
      </c>
      <c r="C1729" s="1" t="n">
        <v>829</v>
      </c>
      <c r="D1729" s="1" t="n">
        <v>75</v>
      </c>
      <c r="E1729" s="4">
        <f>IF(INDEX(C:C, ROW())+INDEX(D:D, ROW())=0, 0, INDEX(C:C, ROW())/(INDEX(C:C, ROW())+INDEX(D:D, ROW())))</f>
        <v/>
      </c>
      <c r="F1729" s="1" t="inlineStr">
        <is>
          <t>Math, Backtracking, Greedy</t>
        </is>
      </c>
      <c r="G1729" s="1" t="inlineStr">
        <is>
          <t>Medium</t>
        </is>
      </c>
      <c r="H1729" s="1" t="n">
        <v>56580</v>
      </c>
      <c r="I1729" s="1" t="n">
        <v>94789</v>
      </c>
      <c r="J1729" s="9" t="n">
        <v>0.597</v>
      </c>
      <c r="K1729" s="1" t="inlineStr">
        <is>
          <t>Yes</t>
        </is>
      </c>
      <c r="L1729" s="1" t="inlineStr">
        <is>
          <t>No</t>
        </is>
      </c>
      <c r="M1729" s="1" t="inlineStr">
        <is>
          <t>No</t>
        </is>
      </c>
      <c r="N1729" s="1" t="inlineStr">
        <is>
          <t>Algorithms</t>
        </is>
      </c>
      <c r="O17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29" s="11" t="inlineStr">
        <is>
          <t>To Do</t>
        </is>
      </c>
    </row>
    <row r="1730" ht="15.75" customHeight="1" s="12">
      <c r="A1730" s="1" t="n">
        <v>2874</v>
      </c>
      <c r="B1730" s="3">
        <f>HYPERLINK("https://leetcode.com/problems/maximum-value-of-an-ordered-triplet-ii/", "Maximum Value of an Ordered Triplet II")</f>
        <v/>
      </c>
      <c r="C1730" s="1" t="n">
        <v>828</v>
      </c>
      <c r="D1730" s="1" t="n">
        <v>20</v>
      </c>
      <c r="E1730" s="4">
        <f>IF(INDEX(C:C, ROW())+INDEX(D:D, ROW())=0, 0, INDEX(C:C, ROW())/(INDEX(C:C, ROW())+INDEX(D:D, ROW())))</f>
        <v/>
      </c>
      <c r="F1730" s="1" t="inlineStr">
        <is>
          <t>Array</t>
        </is>
      </c>
      <c r="G1730" s="1" t="inlineStr">
        <is>
          <t>Medium</t>
        </is>
      </c>
      <c r="H1730" s="1" t="n">
        <v>159124</v>
      </c>
      <c r="I1730" s="1" t="n">
        <v>282204</v>
      </c>
      <c r="J1730" s="9" t="n">
        <v>0.5639999999999999</v>
      </c>
      <c r="K1730" s="1" t="inlineStr">
        <is>
          <t>Yes</t>
        </is>
      </c>
      <c r="L1730" s="1" t="inlineStr">
        <is>
          <t>Yes</t>
        </is>
      </c>
      <c r="M1730" s="1" t="inlineStr">
        <is>
          <t>No</t>
        </is>
      </c>
      <c r="N1730" s="1" t="inlineStr">
        <is>
          <t>Algorithms</t>
        </is>
      </c>
      <c r="O17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30" s="11" t="inlineStr">
        <is>
          <t>To Do</t>
        </is>
      </c>
    </row>
    <row r="1731" ht="15.75" customHeight="1" s="12">
      <c r="A1731" s="1" t="n">
        <v>517</v>
      </c>
      <c r="B1731" s="3">
        <f>HYPERLINK("https://leetcode.com/problems/super-washing-machines/", "Super Washing Machines")</f>
        <v/>
      </c>
      <c r="C1731" s="1" t="n">
        <v>827</v>
      </c>
      <c r="D1731" s="1" t="n">
        <v>222</v>
      </c>
      <c r="E1731" s="4">
        <f>IF(INDEX(C:C, ROW())+INDEX(D:D, ROW())=0, 0, INDEX(C:C, ROW())/(INDEX(C:C, ROW())+INDEX(D:D, ROW())))</f>
        <v/>
      </c>
      <c r="F1731" s="1" t="inlineStr">
        <is>
          <t>Array, Greedy</t>
        </is>
      </c>
      <c r="G1731" s="1" t="inlineStr">
        <is>
          <t>Hard</t>
        </is>
      </c>
      <c r="H1731" s="1" t="n">
        <v>40272</v>
      </c>
      <c r="I1731" s="1" t="n">
        <v>90841</v>
      </c>
      <c r="J1731" s="9" t="n">
        <v>0.443</v>
      </c>
      <c r="K1731" s="1" t="inlineStr">
        <is>
          <t>Yes</t>
        </is>
      </c>
      <c r="L1731" s="1" t="inlineStr">
        <is>
          <t>Yes</t>
        </is>
      </c>
      <c r="M1731" s="1" t="inlineStr">
        <is>
          <t>No</t>
        </is>
      </c>
      <c r="N1731" s="1" t="inlineStr">
        <is>
          <t>Algorithms</t>
        </is>
      </c>
      <c r="O17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31" s="11" t="inlineStr">
        <is>
          <t>To Do</t>
        </is>
      </c>
    </row>
    <row r="1732" ht="15.75" customHeight="1" s="12">
      <c r="A1732" s="1" t="n">
        <v>667</v>
      </c>
      <c r="B1732" s="3">
        <f>HYPERLINK("https://leetcode.com/problems/beautiful-arrangement-ii/", "Beautiful Arrangement II")</f>
        <v/>
      </c>
      <c r="C1732" s="1" t="n">
        <v>827</v>
      </c>
      <c r="D1732" s="1" t="n">
        <v>1061</v>
      </c>
      <c r="E1732" s="4">
        <f>IF(INDEX(C:C, ROW())+INDEX(D:D, ROW())=0, 0, INDEX(C:C, ROW())/(INDEX(C:C, ROW())+INDEX(D:D, ROW())))</f>
        <v/>
      </c>
      <c r="F1732" s="1" t="inlineStr">
        <is>
          <t>Array, Math</t>
        </is>
      </c>
      <c r="G1732" s="1" t="inlineStr">
        <is>
          <t>Medium</t>
        </is>
      </c>
      <c r="H1732" s="1" t="n">
        <v>61788</v>
      </c>
      <c r="I1732" s="1" t="n">
        <v>101179</v>
      </c>
      <c r="J1732" s="9" t="n">
        <v>0.611</v>
      </c>
      <c r="K1732" s="1" t="inlineStr">
        <is>
          <t>Yes</t>
        </is>
      </c>
      <c r="L1732" s="1" t="inlineStr">
        <is>
          <t>Yes</t>
        </is>
      </c>
      <c r="M1732" s="1" t="inlineStr">
        <is>
          <t>No</t>
        </is>
      </c>
      <c r="N1732" s="1" t="inlineStr">
        <is>
          <t>Algorithms</t>
        </is>
      </c>
      <c r="O17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32" s="11" t="inlineStr">
        <is>
          <t>To Do</t>
        </is>
      </c>
    </row>
    <row r="1733" ht="15.75" customHeight="1" s="12">
      <c r="A1733" s="1" t="n">
        <v>1324</v>
      </c>
      <c r="B1733" s="3">
        <f>HYPERLINK("https://leetcode.com/problems/print-words-vertically/", "Print Words Vertically")</f>
        <v/>
      </c>
      <c r="C1733" s="1" t="n">
        <v>826</v>
      </c>
      <c r="D1733" s="1" t="n">
        <v>121</v>
      </c>
      <c r="E1733" s="4">
        <f>IF(INDEX(C:C, ROW())+INDEX(D:D, ROW())=0, 0, INDEX(C:C, ROW())/(INDEX(C:C, ROW())+INDEX(D:D, ROW())))</f>
        <v/>
      </c>
      <c r="F1733" s="1" t="inlineStr">
        <is>
          <t>Array, String, Simulation</t>
        </is>
      </c>
      <c r="G1733" s="1" t="inlineStr">
        <is>
          <t>Medium</t>
        </is>
      </c>
      <c r="H1733" s="1" t="n">
        <v>52711</v>
      </c>
      <c r="I1733" s="1" t="n">
        <v>78025</v>
      </c>
      <c r="J1733" s="9" t="n">
        <v>0.676</v>
      </c>
      <c r="K1733" s="1" t="inlineStr">
        <is>
          <t>Yes</t>
        </is>
      </c>
      <c r="L1733" s="1" t="inlineStr">
        <is>
          <t>No</t>
        </is>
      </c>
      <c r="M1733" s="1" t="inlineStr">
        <is>
          <t>No</t>
        </is>
      </c>
      <c r="N1733" s="1" t="inlineStr">
        <is>
          <t>Algorithms</t>
        </is>
      </c>
      <c r="O17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33" s="11" t="inlineStr">
        <is>
          <t>To Do</t>
        </is>
      </c>
    </row>
    <row r="1734" ht="15.75" customHeight="1" s="12">
      <c r="A1734" s="1" t="n">
        <v>2014</v>
      </c>
      <c r="B1734" s="3">
        <f>HYPERLINK("https://leetcode.com/problems/longest-subsequence-repeated-k-times/", "Longest Subsequence Repeated k Times")</f>
        <v/>
      </c>
      <c r="C1734" s="1" t="n">
        <v>826</v>
      </c>
      <c r="D1734" s="1" t="n">
        <v>117</v>
      </c>
      <c r="E1734" s="4">
        <f>IF(INDEX(C:C, ROW())+INDEX(D:D, ROW())=0, 0, INDEX(C:C, ROW())/(INDEX(C:C, ROW())+INDEX(D:D, ROW())))</f>
        <v/>
      </c>
      <c r="F1734" s="1" t="inlineStr">
        <is>
          <t>Hash Table, Two Pointers, String, Backtracking, Counting, Enumeration</t>
        </is>
      </c>
      <c r="G1734" s="1" t="inlineStr">
        <is>
          <t>Hard</t>
        </is>
      </c>
      <c r="H1734" s="1" t="n">
        <v>73998</v>
      </c>
      <c r="I1734" s="1" t="n">
        <v>103917</v>
      </c>
      <c r="J1734" s="9" t="n">
        <v>0.712</v>
      </c>
      <c r="K1734" s="1" t="inlineStr">
        <is>
          <t>Yes</t>
        </is>
      </c>
      <c r="L1734" s="1" t="inlineStr">
        <is>
          <t>Yes</t>
        </is>
      </c>
      <c r="M1734" s="1" t="inlineStr">
        <is>
          <t>No</t>
        </is>
      </c>
      <c r="N1734" s="1" t="inlineStr">
        <is>
          <t>Algorithms</t>
        </is>
      </c>
      <c r="O17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34" s="11" t="inlineStr">
        <is>
          <t>To Do</t>
        </is>
      </c>
    </row>
    <row r="1735" ht="15.75" customHeight="1" s="12">
      <c r="A1735" s="1" t="n">
        <v>2554</v>
      </c>
      <c r="B1735" s="3">
        <f>HYPERLINK("https://leetcode.com/problems/maximum-number-of-integers-to-choose-from-a-range-i/", "Maximum Number of Integers to Choose From a Range I")</f>
        <v/>
      </c>
      <c r="C1735" s="1" t="n">
        <v>826</v>
      </c>
      <c r="D1735" s="1" t="n">
        <v>57</v>
      </c>
      <c r="E1735" s="4">
        <f>IF(INDEX(C:C, ROW())+INDEX(D:D, ROW())=0, 0, INDEX(C:C, ROW())/(INDEX(C:C, ROW())+INDEX(D:D, ROW())))</f>
        <v/>
      </c>
      <c r="F1735" s="1" t="inlineStr">
        <is>
          <t>Array, Hash Table, Binary Search, Greedy, Sorting</t>
        </is>
      </c>
      <c r="G1735" s="1" t="inlineStr">
        <is>
          <t>Medium</t>
        </is>
      </c>
      <c r="H1735" s="1" t="n">
        <v>169830</v>
      </c>
      <c r="I1735" s="1" t="n">
        <v>249825</v>
      </c>
      <c r="J1735" s="9" t="n">
        <v>0.68</v>
      </c>
      <c r="K1735" s="1" t="inlineStr">
        <is>
          <t>Yes</t>
        </is>
      </c>
      <c r="L1735" s="1" t="inlineStr">
        <is>
          <t>Yes</t>
        </is>
      </c>
      <c r="M1735" s="1" t="inlineStr">
        <is>
          <t>No</t>
        </is>
      </c>
      <c r="N1735" s="1" t="inlineStr">
        <is>
          <t>Algorithms</t>
        </is>
      </c>
      <c r="O17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35" s="11" t="inlineStr">
        <is>
          <t>To Do</t>
        </is>
      </c>
    </row>
    <row r="1736" ht="15.75" customHeight="1" s="12">
      <c r="A1736" s="1" t="n">
        <v>2032</v>
      </c>
      <c r="B1736" s="3">
        <f>HYPERLINK("https://leetcode.com/problems/two-out-of-three/", "Two Out of Three")</f>
        <v/>
      </c>
      <c r="C1736" s="1" t="n">
        <v>823</v>
      </c>
      <c r="D1736" s="1" t="n">
        <v>55</v>
      </c>
      <c r="E1736" s="4">
        <f>IF(INDEX(C:C, ROW())+INDEX(D:D, ROW())=0, 0, INDEX(C:C, ROW())/(INDEX(C:C, ROW())+INDEX(D:D, ROW())))</f>
        <v/>
      </c>
      <c r="F1736" s="1" t="inlineStr">
        <is>
          <t>Array, Hash Table, Bit Manipulation</t>
        </is>
      </c>
      <c r="G1736" s="1" t="inlineStr">
        <is>
          <t>Easy</t>
        </is>
      </c>
      <c r="H1736" s="1" t="n">
        <v>104088</v>
      </c>
      <c r="I1736" s="1" t="n">
        <v>134181</v>
      </c>
      <c r="J1736" s="9" t="n">
        <v>0.776</v>
      </c>
      <c r="K1736" s="1" t="inlineStr">
        <is>
          <t>Yes</t>
        </is>
      </c>
      <c r="L1736" s="1" t="inlineStr">
        <is>
          <t>No</t>
        </is>
      </c>
      <c r="M1736" s="1" t="inlineStr">
        <is>
          <t>No</t>
        </is>
      </c>
      <c r="N1736" s="1" t="inlineStr">
        <is>
          <t>Algorithms</t>
        </is>
      </c>
      <c r="O17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36" s="13" t="inlineStr">
        <is>
          <t>Done</t>
        </is>
      </c>
    </row>
    <row r="1737" ht="15.75" customHeight="1" s="12">
      <c r="A1737" s="1" t="n">
        <v>308</v>
      </c>
      <c r="B1737" s="3">
        <f>HYPERLINK("https://leetcode.com/problems/range-sum-query-2d-mutable/", "Range Sum Query 2D - Mutable")</f>
        <v/>
      </c>
      <c r="C1737" s="1" t="n">
        <v>822</v>
      </c>
      <c r="D1737" s="1" t="n">
        <v>97</v>
      </c>
      <c r="E1737" s="4">
        <f>IF(INDEX(C:C, ROW())+INDEX(D:D, ROW())=0, 0, INDEX(C:C, ROW())/(INDEX(C:C, ROW())+INDEX(D:D, ROW())))</f>
        <v/>
      </c>
      <c r="F1737" s="1" t="inlineStr">
        <is>
          <t>Array, Design, Binary Indexed Tree, Segment Tree, Matrix</t>
        </is>
      </c>
      <c r="G1737" s="1" t="inlineStr">
        <is>
          <t>Medium</t>
        </is>
      </c>
      <c r="H1737" s="1" t="n">
        <v>83838</v>
      </c>
      <c r="I1737" s="1" t="n">
        <v>184401</v>
      </c>
      <c r="J1737" s="9" t="n">
        <v>0.455</v>
      </c>
      <c r="K1737" s="1" t="inlineStr">
        <is>
          <t>No</t>
        </is>
      </c>
      <c r="L1737" s="1" t="inlineStr">
        <is>
          <t>Yes</t>
        </is>
      </c>
      <c r="M1737" s="1" t="inlineStr">
        <is>
          <t>Yes</t>
        </is>
      </c>
      <c r="N1737" s="1" t="inlineStr">
        <is>
          <t>Algorithms</t>
        </is>
      </c>
      <c r="O17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37" s="11" t="inlineStr">
        <is>
          <t>To Do</t>
        </is>
      </c>
    </row>
    <row r="1738" ht="15.75" customHeight="1" s="12">
      <c r="A1738" s="1" t="n">
        <v>1244</v>
      </c>
      <c r="B1738" s="3">
        <f>HYPERLINK("https://leetcode.com/problems/design-a-leaderboard/", "Design A Leaderboard")</f>
        <v/>
      </c>
      <c r="C1738" s="1" t="n">
        <v>822</v>
      </c>
      <c r="D1738" s="1" t="n">
        <v>98</v>
      </c>
      <c r="E1738" s="4">
        <f>IF(INDEX(C:C, ROW())+INDEX(D:D, ROW())=0, 0, INDEX(C:C, ROW())/(INDEX(C:C, ROW())+INDEX(D:D, ROW())))</f>
        <v/>
      </c>
      <c r="F1738" s="1" t="inlineStr">
        <is>
          <t>Hash Table, Design, Sorting</t>
        </is>
      </c>
      <c r="G1738" s="1" t="inlineStr">
        <is>
          <t>Medium</t>
        </is>
      </c>
      <c r="H1738" s="1" t="n">
        <v>99074</v>
      </c>
      <c r="I1738" s="1" t="n">
        <v>145519</v>
      </c>
      <c r="J1738" s="9" t="n">
        <v>0.681</v>
      </c>
      <c r="K1738" s="1" t="inlineStr">
        <is>
          <t>No</t>
        </is>
      </c>
      <c r="L1738" s="1" t="inlineStr">
        <is>
          <t>Yes</t>
        </is>
      </c>
      <c r="M1738" s="1" t="inlineStr">
        <is>
          <t>No</t>
        </is>
      </c>
      <c r="N1738" s="1" t="inlineStr">
        <is>
          <t>Algorithms</t>
        </is>
      </c>
      <c r="O17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38" s="11" t="inlineStr">
        <is>
          <t>To Do</t>
        </is>
      </c>
    </row>
    <row r="1739" ht="15.75" customHeight="1" s="12">
      <c r="A1739" s="1" t="n">
        <v>1670</v>
      </c>
      <c r="B1739" s="3">
        <f>HYPERLINK("https://leetcode.com/problems/design-front-middle-back-queue/", "Design Front Middle Back Queue")</f>
        <v/>
      </c>
      <c r="C1739" s="1" t="n">
        <v>822</v>
      </c>
      <c r="D1739" s="1" t="n">
        <v>115</v>
      </c>
      <c r="E1739" s="4">
        <f>IF(INDEX(C:C, ROW())+INDEX(D:D, ROW())=0, 0, INDEX(C:C, ROW())/(INDEX(C:C, ROW())+INDEX(D:D, ROW())))</f>
        <v/>
      </c>
      <c r="F1739" s="1" t="inlineStr">
        <is>
          <t>Array, Linked List, Design, Queue, Doubly-Linked List, Data Stream</t>
        </is>
      </c>
      <c r="G1739" s="1" t="inlineStr">
        <is>
          <t>Medium</t>
        </is>
      </c>
      <c r="H1739" s="1" t="n">
        <v>45661</v>
      </c>
      <c r="I1739" s="1" t="n">
        <v>78906</v>
      </c>
      <c r="J1739" s="9" t="n">
        <v>0.579</v>
      </c>
      <c r="K1739" s="1" t="inlineStr">
        <is>
          <t>Yes</t>
        </is>
      </c>
      <c r="L1739" s="1" t="inlineStr">
        <is>
          <t>No</t>
        </is>
      </c>
      <c r="M1739" s="1" t="inlineStr">
        <is>
          <t>No</t>
        </is>
      </c>
      <c r="N1739" s="1" t="inlineStr">
        <is>
          <t>Algorithms</t>
        </is>
      </c>
      <c r="O17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39" s="11" t="inlineStr">
        <is>
          <t>To Do</t>
        </is>
      </c>
    </row>
    <row r="1740" ht="15.75" customHeight="1" s="12">
      <c r="A1740" s="1" t="n">
        <v>1184</v>
      </c>
      <c r="B1740" s="3">
        <f>HYPERLINK("https://leetcode.com/problems/distance-between-bus-stops/", "Distance Between Bus Stops")</f>
        <v/>
      </c>
      <c r="C1740" s="1" t="n">
        <v>821</v>
      </c>
      <c r="D1740" s="1" t="n">
        <v>97</v>
      </c>
      <c r="E1740" s="4">
        <f>IF(INDEX(C:C, ROW())+INDEX(D:D, ROW())=0, 0, INDEX(C:C, ROW())/(INDEX(C:C, ROW())+INDEX(D:D, ROW())))</f>
        <v/>
      </c>
      <c r="F1740" s="1" t="inlineStr">
        <is>
          <t>Array</t>
        </is>
      </c>
      <c r="G1740" s="1" t="inlineStr">
        <is>
          <t>Easy</t>
        </is>
      </c>
      <c r="H1740" s="1" t="n">
        <v>79489</v>
      </c>
      <c r="I1740" s="1" t="n">
        <v>143640</v>
      </c>
      <c r="J1740" s="9" t="n">
        <v>0.553</v>
      </c>
      <c r="K1740" s="1" t="inlineStr">
        <is>
          <t>Yes</t>
        </is>
      </c>
      <c r="L1740" s="1" t="inlineStr">
        <is>
          <t>No</t>
        </is>
      </c>
      <c r="M1740" s="1" t="inlineStr">
        <is>
          <t>No</t>
        </is>
      </c>
      <c r="N1740" s="1" t="inlineStr">
        <is>
          <t>Algorithms</t>
        </is>
      </c>
      <c r="O17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40" s="13" t="inlineStr">
        <is>
          <t>Done</t>
        </is>
      </c>
    </row>
    <row r="1741" ht="15.75" customHeight="1" s="12">
      <c r="A1741" s="1" t="n">
        <v>2129</v>
      </c>
      <c r="B1741" s="3">
        <f>HYPERLINK("https://leetcode.com/problems/capitalize-the-title/", "Capitalize the Title")</f>
        <v/>
      </c>
      <c r="C1741" s="1" t="n">
        <v>820</v>
      </c>
      <c r="D1741" s="1" t="n">
        <v>55</v>
      </c>
      <c r="E1741" s="4">
        <f>IF(INDEX(C:C, ROW())+INDEX(D:D, ROW())=0, 0, INDEX(C:C, ROW())/(INDEX(C:C, ROW())+INDEX(D:D, ROW())))</f>
        <v/>
      </c>
      <c r="F1741" s="1" t="inlineStr">
        <is>
          <t>String</t>
        </is>
      </c>
      <c r="G1741" s="1" t="inlineStr">
        <is>
          <t>Easy</t>
        </is>
      </c>
      <c r="H1741" s="1" t="n">
        <v>96937</v>
      </c>
      <c r="I1741" s="1" t="n">
        <v>142567</v>
      </c>
      <c r="J1741" s="9" t="n">
        <v>0.68</v>
      </c>
      <c r="K1741" s="1" t="inlineStr">
        <is>
          <t>Yes</t>
        </is>
      </c>
      <c r="L1741" s="1" t="inlineStr">
        <is>
          <t>No</t>
        </is>
      </c>
      <c r="M1741" s="1" t="inlineStr">
        <is>
          <t>No</t>
        </is>
      </c>
      <c r="N1741" s="1" t="inlineStr">
        <is>
          <t>Algorithms</t>
        </is>
      </c>
      <c r="O17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41" s="13" t="inlineStr">
        <is>
          <t>Done</t>
        </is>
      </c>
    </row>
    <row r="1742" ht="15.75" customHeight="1" s="12">
      <c r="A1742" s="1" t="n">
        <v>2535</v>
      </c>
      <c r="B1742" s="3">
        <f>HYPERLINK("https://leetcode.com/problems/difference-between-element-sum-and-digit-sum-of-an-array/", "Difference Between Element Sum and Digit Sum of an Array")</f>
        <v/>
      </c>
      <c r="C1742" s="1" t="n">
        <v>820</v>
      </c>
      <c r="D1742" s="1" t="n">
        <v>32</v>
      </c>
      <c r="E1742" s="4">
        <f>IF(INDEX(C:C, ROW())+INDEX(D:D, ROW())=0, 0, INDEX(C:C, ROW())/(INDEX(C:C, ROW())+INDEX(D:D, ROW())))</f>
        <v/>
      </c>
      <c r="F1742" s="1" t="inlineStr">
        <is>
          <t>Array, Math</t>
        </is>
      </c>
      <c r="G1742" s="1" t="inlineStr">
        <is>
          <t>Easy</t>
        </is>
      </c>
      <c r="H1742" s="1" t="n">
        <v>208851</v>
      </c>
      <c r="I1742" s="1" t="n">
        <v>244910</v>
      </c>
      <c r="J1742" s="9" t="n">
        <v>0.853</v>
      </c>
      <c r="K1742" s="1" t="inlineStr">
        <is>
          <t>Yes</t>
        </is>
      </c>
      <c r="L1742" s="1" t="inlineStr">
        <is>
          <t>No</t>
        </is>
      </c>
      <c r="M1742" s="1" t="inlineStr">
        <is>
          <t>No</t>
        </is>
      </c>
      <c r="N1742" s="1" t="inlineStr">
        <is>
          <t>Algorithms</t>
        </is>
      </c>
      <c r="O17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42" s="13" t="inlineStr">
        <is>
          <t>Done</t>
        </is>
      </c>
    </row>
    <row r="1743" ht="15.75" customHeight="1" s="12">
      <c r="A1743" s="1" t="n">
        <v>2634</v>
      </c>
      <c r="B1743" s="3">
        <f>HYPERLINK("https://leetcode.com/problems/filter-elements-from-array/", "Filter Elements from Array")</f>
        <v/>
      </c>
      <c r="C1743" s="1" t="n">
        <v>820</v>
      </c>
      <c r="D1743" s="1" t="n">
        <v>111</v>
      </c>
      <c r="E1743" s="4">
        <f>IF(INDEX(C:C, ROW())+INDEX(D:D, ROW())=0, 0, INDEX(C:C, ROW())/(INDEX(C:C, ROW())+INDEX(D:D, ROW())))</f>
        <v/>
      </c>
      <c r="F1743" s="2" t="n"/>
      <c r="G1743" s="1" t="inlineStr">
        <is>
          <t>Easy</t>
        </is>
      </c>
      <c r="H1743" s="1" t="n">
        <v>313538</v>
      </c>
      <c r="I1743" s="1" t="n">
        <v>366519</v>
      </c>
      <c r="J1743" s="9" t="n">
        <v>0.855</v>
      </c>
      <c r="K1743" s="1" t="inlineStr">
        <is>
          <t>Yes</t>
        </is>
      </c>
      <c r="L1743" s="1" t="inlineStr">
        <is>
          <t>Yes</t>
        </is>
      </c>
      <c r="M1743" s="1" t="inlineStr">
        <is>
          <t>No</t>
        </is>
      </c>
      <c r="N1743" s="1" t="inlineStr">
        <is>
          <t>JavaScript</t>
        </is>
      </c>
      <c r="O17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43" s="13" t="inlineStr">
        <is>
          <t>Done</t>
        </is>
      </c>
    </row>
    <row r="1744" ht="15.75" customHeight="1" s="12">
      <c r="A1744" s="1" t="n">
        <v>2780</v>
      </c>
      <c r="B1744" s="3">
        <f>HYPERLINK("https://leetcode.com/problems/minimum-index-of-a-valid-split/", "Minimum Index of a Valid Split")</f>
        <v/>
      </c>
      <c r="C1744" s="1" t="n">
        <v>820</v>
      </c>
      <c r="D1744" s="1" t="n">
        <v>47</v>
      </c>
      <c r="E1744" s="4">
        <f>IF(INDEX(C:C, ROW())+INDEX(D:D, ROW())=0, 0, INDEX(C:C, ROW())/(INDEX(C:C, ROW())+INDEX(D:D, ROW())))</f>
        <v/>
      </c>
      <c r="F1744" s="1" t="inlineStr">
        <is>
          <t>Array, Hash Table, Sorting</t>
        </is>
      </c>
      <c r="G1744" s="1" t="inlineStr">
        <is>
          <t>Medium</t>
        </is>
      </c>
      <c r="H1744" s="1" t="n">
        <v>149361</v>
      </c>
      <c r="I1744" s="1" t="n">
        <v>197859</v>
      </c>
      <c r="J1744" s="9" t="n">
        <v>0.755</v>
      </c>
      <c r="K1744" s="1" t="inlineStr">
        <is>
          <t>Yes</t>
        </is>
      </c>
      <c r="L1744" s="1" t="inlineStr">
        <is>
          <t>Yes</t>
        </is>
      </c>
      <c r="M1744" s="1" t="inlineStr">
        <is>
          <t>No</t>
        </is>
      </c>
      <c r="N1744" s="1" t="inlineStr">
        <is>
          <t>Algorithms</t>
        </is>
      </c>
      <c r="O17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44" s="11" t="inlineStr">
        <is>
          <t>To Do</t>
        </is>
      </c>
    </row>
    <row r="1745" ht="15.75" customHeight="1" s="12">
      <c r="A1745" s="1" t="n">
        <v>1030</v>
      </c>
      <c r="B1745" s="3">
        <f>HYPERLINK("https://leetcode.com/problems/matrix-cells-in-distance-order/", "Matrix Cells in Distance Order")</f>
        <v/>
      </c>
      <c r="C1745" s="1" t="n">
        <v>819</v>
      </c>
      <c r="D1745" s="1" t="n">
        <v>345</v>
      </c>
      <c r="E1745" s="4">
        <f>IF(INDEX(C:C, ROW())+INDEX(D:D, ROW())=0, 0, INDEX(C:C, ROW())/(INDEX(C:C, ROW())+INDEX(D:D, ROW())))</f>
        <v/>
      </c>
      <c r="F1745" s="1" t="inlineStr">
        <is>
          <t>Array, Math, Geometry, Sorting, Matrix</t>
        </is>
      </c>
      <c r="G1745" s="1" t="inlineStr">
        <is>
          <t>Easy</t>
        </is>
      </c>
      <c r="H1745" s="1" t="n">
        <v>79427</v>
      </c>
      <c r="I1745" s="1" t="n">
        <v>107143</v>
      </c>
      <c r="J1745" s="9" t="n">
        <v>0.741</v>
      </c>
      <c r="K1745" s="1" t="inlineStr">
        <is>
          <t>Yes</t>
        </is>
      </c>
      <c r="L1745" s="1" t="inlineStr">
        <is>
          <t>No</t>
        </is>
      </c>
      <c r="M1745" s="1" t="inlineStr">
        <is>
          <t>No</t>
        </is>
      </c>
      <c r="N1745" s="1" t="inlineStr">
        <is>
          <t>Algorithms</t>
        </is>
      </c>
      <c r="O17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45" s="13" t="inlineStr">
        <is>
          <t>Done</t>
        </is>
      </c>
    </row>
    <row r="1746" ht="15.75" customHeight="1" s="12">
      <c r="A1746" s="1" t="n">
        <v>2322</v>
      </c>
      <c r="B1746" s="3">
        <f>HYPERLINK("https://leetcode.com/problems/minimum-score-after-removals-on-a-tree/", "Minimum Score After Removals on a Tree")</f>
        <v/>
      </c>
      <c r="C1746" s="1" t="n">
        <v>817</v>
      </c>
      <c r="D1746" s="1" t="n">
        <v>47</v>
      </c>
      <c r="E1746" s="4">
        <f>IF(INDEX(C:C, ROW())+INDEX(D:D, ROW())=0, 0, INDEX(C:C, ROW())/(INDEX(C:C, ROW())+INDEX(D:D, ROW())))</f>
        <v/>
      </c>
      <c r="F1746" s="1" t="inlineStr">
        <is>
          <t>Array, Bit Manipulation, Tree, Depth-First Search</t>
        </is>
      </c>
      <c r="G1746" s="1" t="inlineStr">
        <is>
          <t>Hard</t>
        </is>
      </c>
      <c r="H1746" s="1" t="n">
        <v>69720</v>
      </c>
      <c r="I1746" s="1" t="n">
        <v>91606</v>
      </c>
      <c r="J1746" s="9" t="n">
        <v>0.761</v>
      </c>
      <c r="K1746" s="1" t="inlineStr">
        <is>
          <t>Yes</t>
        </is>
      </c>
      <c r="L1746" s="1" t="inlineStr">
        <is>
          <t>Yes</t>
        </is>
      </c>
      <c r="M1746" s="1" t="inlineStr">
        <is>
          <t>No</t>
        </is>
      </c>
      <c r="N1746" s="1" t="inlineStr">
        <is>
          <t>Algorithms</t>
        </is>
      </c>
      <c r="O17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46" s="11" t="inlineStr">
        <is>
          <t>To Do</t>
        </is>
      </c>
    </row>
    <row r="1747" ht="15.75" customHeight="1" s="12">
      <c r="A1747" s="1" t="n">
        <v>3133</v>
      </c>
      <c r="B1747" s="3">
        <f>HYPERLINK("https://leetcode.com/problems/minimum-array-end/", "Minimum Array End")</f>
        <v/>
      </c>
      <c r="C1747" s="1" t="n">
        <v>816</v>
      </c>
      <c r="D1747" s="1" t="n">
        <v>100</v>
      </c>
      <c r="E1747" s="4">
        <f>IF(INDEX(C:C, ROW())+INDEX(D:D, ROW())=0, 0, INDEX(C:C, ROW())/(INDEX(C:C, ROW())+INDEX(D:D, ROW())))</f>
        <v/>
      </c>
      <c r="F1747" s="1" t="inlineStr">
        <is>
          <t>Bit Manipulation</t>
        </is>
      </c>
      <c r="G1747" s="1" t="inlineStr">
        <is>
          <t>Medium</t>
        </is>
      </c>
      <c r="H1747" s="1" t="n">
        <v>110582</v>
      </c>
      <c r="I1747" s="1" t="n">
        <v>199494</v>
      </c>
      <c r="J1747" s="9" t="n">
        <v>0.554</v>
      </c>
      <c r="K1747" s="1" t="inlineStr">
        <is>
          <t>Yes</t>
        </is>
      </c>
      <c r="L1747" s="1" t="inlineStr">
        <is>
          <t>Yes</t>
        </is>
      </c>
      <c r="M1747" s="1" t="inlineStr">
        <is>
          <t>No</t>
        </is>
      </c>
      <c r="N1747" s="1" t="inlineStr">
        <is>
          <t>Algorithms</t>
        </is>
      </c>
      <c r="O17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47" s="11" t="inlineStr">
        <is>
          <t>To Do</t>
        </is>
      </c>
    </row>
    <row r="1748" ht="15.75" customHeight="1" s="12">
      <c r="A1748" s="1" t="n">
        <v>999</v>
      </c>
      <c r="B1748" s="3">
        <f>HYPERLINK("https://leetcode.com/problems/available-captures-for-rook/", "Available Captures for Rook")</f>
        <v/>
      </c>
      <c r="C1748" s="1" t="n">
        <v>814</v>
      </c>
      <c r="D1748" s="1" t="n">
        <v>648</v>
      </c>
      <c r="E1748" s="4">
        <f>IF(INDEX(C:C, ROW())+INDEX(D:D, ROW())=0, 0, INDEX(C:C, ROW())/(INDEX(C:C, ROW())+INDEX(D:D, ROW())))</f>
        <v/>
      </c>
      <c r="F1748" s="1" t="inlineStr">
        <is>
          <t>Array, Matrix, Simulation</t>
        </is>
      </c>
      <c r="G1748" s="1" t="inlineStr">
        <is>
          <t>Easy</t>
        </is>
      </c>
      <c r="H1748" s="1" t="n">
        <v>90349</v>
      </c>
      <c r="I1748" s="1" t="n">
        <v>125962</v>
      </c>
      <c r="J1748" s="9" t="n">
        <v>0.717</v>
      </c>
      <c r="K1748" s="1" t="inlineStr">
        <is>
          <t>Yes</t>
        </is>
      </c>
      <c r="L1748" s="1" t="inlineStr">
        <is>
          <t>No</t>
        </is>
      </c>
      <c r="M1748" s="1" t="inlineStr">
        <is>
          <t>No</t>
        </is>
      </c>
      <c r="N1748" s="1" t="inlineStr">
        <is>
          <t>Algorithms</t>
        </is>
      </c>
      <c r="O17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48" s="13" t="inlineStr">
        <is>
          <t>Done</t>
        </is>
      </c>
    </row>
    <row r="1749" ht="15.75" customHeight="1" s="12">
      <c r="A1749" s="1" t="n">
        <v>1850</v>
      </c>
      <c r="B1749" s="3">
        <f>HYPERLINK("https://leetcode.com/problems/minimum-adjacent-swaps-to-reach-the-kth-smallest-number/", "Minimum Adjacent Swaps to Reach the Kth Smallest Number")</f>
        <v/>
      </c>
      <c r="C1749" s="1" t="n">
        <v>813</v>
      </c>
      <c r="D1749" s="1" t="n">
        <v>122</v>
      </c>
      <c r="E1749" s="4">
        <f>IF(INDEX(C:C, ROW())+INDEX(D:D, ROW())=0, 0, INDEX(C:C, ROW())/(INDEX(C:C, ROW())+INDEX(D:D, ROW())))</f>
        <v/>
      </c>
      <c r="F1749" s="1" t="inlineStr">
        <is>
          <t>Two Pointers, String, Greedy</t>
        </is>
      </c>
      <c r="G1749" s="1" t="inlineStr">
        <is>
          <t>Medium</t>
        </is>
      </c>
      <c r="H1749" s="1" t="n">
        <v>28281</v>
      </c>
      <c r="I1749" s="1" t="n">
        <v>39398</v>
      </c>
      <c r="J1749" s="9" t="n">
        <v>0.718</v>
      </c>
      <c r="K1749" s="1" t="inlineStr">
        <is>
          <t>Yes</t>
        </is>
      </c>
      <c r="L1749" s="1" t="inlineStr">
        <is>
          <t>No</t>
        </is>
      </c>
      <c r="M1749" s="1" t="inlineStr">
        <is>
          <t>No</t>
        </is>
      </c>
      <c r="N1749" s="1" t="inlineStr">
        <is>
          <t>Algorithms</t>
        </is>
      </c>
      <c r="O17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49" s="11" t="inlineStr">
        <is>
          <t>To Do</t>
        </is>
      </c>
    </row>
    <row r="1750" ht="15.75" customHeight="1" s="12">
      <c r="A1750" s="1" t="n">
        <v>2200</v>
      </c>
      <c r="B1750" s="3">
        <f>HYPERLINK("https://leetcode.com/problems/find-all-k-distant-indices-in-an-array/", "Find All K-Distant Indices in an Array")</f>
        <v/>
      </c>
      <c r="C1750" s="1" t="n">
        <v>813</v>
      </c>
      <c r="D1750" s="1" t="n">
        <v>137</v>
      </c>
      <c r="E1750" s="4">
        <f>IF(INDEX(C:C, ROW())+INDEX(D:D, ROW())=0, 0, INDEX(C:C, ROW())/(INDEX(C:C, ROW())+INDEX(D:D, ROW())))</f>
        <v/>
      </c>
      <c r="F1750" s="1" t="inlineStr">
        <is>
          <t>Array, Two Pointers</t>
        </is>
      </c>
      <c r="G1750" s="1" t="inlineStr">
        <is>
          <t>Easy</t>
        </is>
      </c>
      <c r="H1750" s="1" t="n">
        <v>182485</v>
      </c>
      <c r="I1750" s="1" t="n">
        <v>236032</v>
      </c>
      <c r="J1750" s="9" t="n">
        <v>0.773</v>
      </c>
      <c r="K1750" s="1" t="inlineStr">
        <is>
          <t>Yes</t>
        </is>
      </c>
      <c r="L1750" s="1" t="inlineStr">
        <is>
          <t>Yes</t>
        </is>
      </c>
      <c r="M1750" s="1" t="inlineStr">
        <is>
          <t>No</t>
        </is>
      </c>
      <c r="N1750" s="1" t="inlineStr">
        <is>
          <t>Algorithms</t>
        </is>
      </c>
      <c r="O17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50" s="13" t="inlineStr">
        <is>
          <t>Done</t>
        </is>
      </c>
    </row>
    <row r="1751" ht="15.75" customHeight="1" s="12">
      <c r="A1751" s="1" t="n">
        <v>1741</v>
      </c>
      <c r="B1751" s="3">
        <f>HYPERLINK("https://leetcode.com/problems/find-total-time-spent-by-each-employee/", "Find Total Time Spent by Each Employee")</f>
        <v/>
      </c>
      <c r="C1751" s="1" t="n">
        <v>812</v>
      </c>
      <c r="D1751" s="1" t="n">
        <v>25</v>
      </c>
      <c r="E1751" s="4">
        <f>IF(INDEX(C:C, ROW())+INDEX(D:D, ROW())=0, 0, INDEX(C:C, ROW())/(INDEX(C:C, ROW())+INDEX(D:D, ROW())))</f>
        <v/>
      </c>
      <c r="F1751" s="1" t="inlineStr">
        <is>
          <t>Database</t>
        </is>
      </c>
      <c r="G1751" s="1" t="inlineStr">
        <is>
          <t>Easy</t>
        </is>
      </c>
      <c r="H1751" s="1" t="n">
        <v>224792</v>
      </c>
      <c r="I1751" s="1" t="n">
        <v>260243</v>
      </c>
      <c r="J1751" s="9" t="n">
        <v>0.864</v>
      </c>
      <c r="K1751" s="1" t="inlineStr">
        <is>
          <t>Yes</t>
        </is>
      </c>
      <c r="L1751" s="1" t="inlineStr">
        <is>
          <t>Yes</t>
        </is>
      </c>
      <c r="M1751" s="1" t="inlineStr">
        <is>
          <t>No</t>
        </is>
      </c>
      <c r="N1751" s="1" t="inlineStr">
        <is>
          <t>Database</t>
        </is>
      </c>
      <c r="O17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51" s="13" t="inlineStr">
        <is>
          <t>Done</t>
        </is>
      </c>
    </row>
    <row r="1752" ht="15.75" customHeight="1" s="12">
      <c r="A1752" s="1" t="n">
        <v>2248</v>
      </c>
      <c r="B1752" s="3">
        <f>HYPERLINK("https://leetcode.com/problems/intersection-of-multiple-arrays/", "Intersection of Multiple Arrays")</f>
        <v/>
      </c>
      <c r="C1752" s="1" t="n">
        <v>811</v>
      </c>
      <c r="D1752" s="1" t="n">
        <v>44</v>
      </c>
      <c r="E1752" s="4">
        <f>IF(INDEX(C:C, ROW())+INDEX(D:D, ROW())=0, 0, INDEX(C:C, ROW())/(INDEX(C:C, ROW())+INDEX(D:D, ROW())))</f>
        <v/>
      </c>
      <c r="F1752" s="1" t="inlineStr">
        <is>
          <t>Array, Hash Table, Sorting, Counting</t>
        </is>
      </c>
      <c r="G1752" s="1" t="inlineStr">
        <is>
          <t>Easy</t>
        </is>
      </c>
      <c r="H1752" s="1" t="n">
        <v>129528</v>
      </c>
      <c r="I1752" s="1" t="n">
        <v>188605</v>
      </c>
      <c r="J1752" s="9" t="n">
        <v>0.6870000000000001</v>
      </c>
      <c r="K1752" s="1" t="inlineStr">
        <is>
          <t>Yes</t>
        </is>
      </c>
      <c r="L1752" s="1" t="inlineStr">
        <is>
          <t>No</t>
        </is>
      </c>
      <c r="M1752" s="1" t="inlineStr">
        <is>
          <t>No</t>
        </is>
      </c>
      <c r="N1752" s="1" t="inlineStr">
        <is>
          <t>Algorithms</t>
        </is>
      </c>
      <c r="O17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52" s="13" t="inlineStr">
        <is>
          <t>Done</t>
        </is>
      </c>
    </row>
    <row r="1753" ht="15.75" customHeight="1" s="12">
      <c r="A1753" s="1" t="n">
        <v>1399</v>
      </c>
      <c r="B1753" s="3">
        <f>HYPERLINK("https://leetcode.com/problems/count-largest-group/", "Count Largest Group")</f>
        <v/>
      </c>
      <c r="C1753" s="1" t="n">
        <v>809</v>
      </c>
      <c r="D1753" s="1" t="n">
        <v>1190</v>
      </c>
      <c r="E1753" s="4">
        <f>IF(INDEX(C:C, ROW())+INDEX(D:D, ROW())=0, 0, INDEX(C:C, ROW())/(INDEX(C:C, ROW())+INDEX(D:D, ROW())))</f>
        <v/>
      </c>
      <c r="F1753" s="1" t="inlineStr">
        <is>
          <t>Hash Table, Math, Counting</t>
        </is>
      </c>
      <c r="G1753" s="1" t="inlineStr">
        <is>
          <t>Easy</t>
        </is>
      </c>
      <c r="H1753" s="1" t="n">
        <v>186613</v>
      </c>
      <c r="I1753" s="1" t="n">
        <v>249761</v>
      </c>
      <c r="J1753" s="9" t="n">
        <v>0.747</v>
      </c>
      <c r="K1753" s="1" t="inlineStr">
        <is>
          <t>Yes</t>
        </is>
      </c>
      <c r="L1753" s="1" t="inlineStr">
        <is>
          <t>Yes</t>
        </is>
      </c>
      <c r="M1753" s="1" t="inlineStr">
        <is>
          <t>No</t>
        </is>
      </c>
      <c r="N1753" s="1" t="inlineStr">
        <is>
          <t>Algorithms</t>
        </is>
      </c>
      <c r="O17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53" s="13" t="inlineStr">
        <is>
          <t>Done</t>
        </is>
      </c>
    </row>
    <row r="1754" ht="15.75" customHeight="1" s="12">
      <c r="A1754" s="1" t="n">
        <v>2239</v>
      </c>
      <c r="B1754" s="3">
        <f>HYPERLINK("https://leetcode.com/problems/find-closest-number-to-zero/", "Find Closest Number to Zero")</f>
        <v/>
      </c>
      <c r="C1754" s="1" t="n">
        <v>809</v>
      </c>
      <c r="D1754" s="1" t="n">
        <v>57</v>
      </c>
      <c r="E1754" s="4">
        <f>IF(INDEX(C:C, ROW())+INDEX(D:D, ROW())=0, 0, INDEX(C:C, ROW())/(INDEX(C:C, ROW())+INDEX(D:D, ROW())))</f>
        <v/>
      </c>
      <c r="F1754" s="1" t="inlineStr">
        <is>
          <t>Array</t>
        </is>
      </c>
      <c r="G1754" s="1" t="inlineStr">
        <is>
          <t>Easy</t>
        </is>
      </c>
      <c r="H1754" s="1" t="n">
        <v>211927</v>
      </c>
      <c r="I1754" s="1" t="n">
        <v>442082</v>
      </c>
      <c r="J1754" s="9" t="n">
        <v>0.479</v>
      </c>
      <c r="K1754" s="1" t="inlineStr">
        <is>
          <t>Yes</t>
        </is>
      </c>
      <c r="L1754" s="1" t="inlineStr">
        <is>
          <t>No</t>
        </is>
      </c>
      <c r="M1754" s="1" t="inlineStr">
        <is>
          <t>No</t>
        </is>
      </c>
      <c r="N1754" s="1" t="inlineStr">
        <is>
          <t>Algorithms</t>
        </is>
      </c>
      <c r="O17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54" s="13" t="inlineStr">
        <is>
          <t>Done</t>
        </is>
      </c>
    </row>
    <row r="1755" ht="15.75" customHeight="1" s="12">
      <c r="A1755" s="1" t="n">
        <v>2164</v>
      </c>
      <c r="B1755" s="3">
        <f>HYPERLINK("https://leetcode.com/problems/sort-even-and-odd-indices-independently/", "Sort Even and Odd Indices Independently")</f>
        <v/>
      </c>
      <c r="C1755" s="1" t="n">
        <v>807</v>
      </c>
      <c r="D1755" s="1" t="n">
        <v>70</v>
      </c>
      <c r="E1755" s="4">
        <f>IF(INDEX(C:C, ROW())+INDEX(D:D, ROW())=0, 0, INDEX(C:C, ROW())/(INDEX(C:C, ROW())+INDEX(D:D, ROW())))</f>
        <v/>
      </c>
      <c r="F1755" s="1" t="inlineStr">
        <is>
          <t>Array, Sorting</t>
        </is>
      </c>
      <c r="G1755" s="1" t="inlineStr">
        <is>
          <t>Easy</t>
        </is>
      </c>
      <c r="H1755" s="1" t="n">
        <v>92319</v>
      </c>
      <c r="I1755" s="1" t="n">
        <v>145766</v>
      </c>
      <c r="J1755" s="9" t="n">
        <v>0.633</v>
      </c>
      <c r="K1755" s="1" t="inlineStr">
        <is>
          <t>Yes</t>
        </is>
      </c>
      <c r="L1755" s="1" t="inlineStr">
        <is>
          <t>No</t>
        </is>
      </c>
      <c r="M1755" s="1" t="inlineStr">
        <is>
          <t>No</t>
        </is>
      </c>
      <c r="N1755" s="1" t="inlineStr">
        <is>
          <t>Algorithms</t>
        </is>
      </c>
      <c r="O17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55" s="13" t="inlineStr">
        <is>
          <t>Done</t>
        </is>
      </c>
    </row>
    <row r="1756" ht="15.75" customHeight="1" s="12">
      <c r="A1756" s="1" t="n">
        <v>2423</v>
      </c>
      <c r="B1756" s="3">
        <f>HYPERLINK("https://leetcode.com/problems/remove-letter-to-equalize-frequency/", "Remove Letter To Equalize Frequency")</f>
        <v/>
      </c>
      <c r="C1756" s="1" t="n">
        <v>806</v>
      </c>
      <c r="D1756" s="1" t="n">
        <v>1361</v>
      </c>
      <c r="E1756" s="4">
        <f>IF(INDEX(C:C, ROW())+INDEX(D:D, ROW())=0, 0, INDEX(C:C, ROW())/(INDEX(C:C, ROW())+INDEX(D:D, ROW())))</f>
        <v/>
      </c>
      <c r="F1756" s="1" t="inlineStr">
        <is>
          <t>Hash Table, String, Counting</t>
        </is>
      </c>
      <c r="G1756" s="1" t="inlineStr">
        <is>
          <t>Easy</t>
        </is>
      </c>
      <c r="H1756" s="1" t="n">
        <v>76974</v>
      </c>
      <c r="I1756" s="1" t="n">
        <v>397768</v>
      </c>
      <c r="J1756" s="9" t="n">
        <v>0.194</v>
      </c>
      <c r="K1756" s="1" t="inlineStr">
        <is>
          <t>Yes</t>
        </is>
      </c>
      <c r="L1756" s="1" t="inlineStr">
        <is>
          <t>No</t>
        </is>
      </c>
      <c r="M1756" s="1" t="inlineStr">
        <is>
          <t>No</t>
        </is>
      </c>
      <c r="N1756" s="1" t="inlineStr">
        <is>
          <t>Algorithms</t>
        </is>
      </c>
      <c r="O17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56" s="13" t="inlineStr">
        <is>
          <t>Done</t>
        </is>
      </c>
    </row>
    <row r="1757" ht="15.75" customHeight="1" s="12">
      <c r="A1757" s="1" t="n">
        <v>1734</v>
      </c>
      <c r="B1757" s="3">
        <f>HYPERLINK("https://leetcode.com/problems/decode-xored-permutation/", "Decode XORed Permutation")</f>
        <v/>
      </c>
      <c r="C1757" s="1" t="n">
        <v>805</v>
      </c>
      <c r="D1757" s="1" t="n">
        <v>35</v>
      </c>
      <c r="E1757" s="4">
        <f>IF(INDEX(C:C, ROW())+INDEX(D:D, ROW())=0, 0, INDEX(C:C, ROW())/(INDEX(C:C, ROW())+INDEX(D:D, ROW())))</f>
        <v/>
      </c>
      <c r="F1757" s="1" t="inlineStr">
        <is>
          <t>Array, Bit Manipulation</t>
        </is>
      </c>
      <c r="G1757" s="1" t="inlineStr">
        <is>
          <t>Medium</t>
        </is>
      </c>
      <c r="H1757" s="1" t="n">
        <v>20519</v>
      </c>
      <c r="I1757" s="1" t="n">
        <v>30725</v>
      </c>
      <c r="J1757" s="9" t="n">
        <v>0.668</v>
      </c>
      <c r="K1757" s="1" t="inlineStr">
        <is>
          <t>Yes</t>
        </is>
      </c>
      <c r="L1757" s="1" t="inlineStr">
        <is>
          <t>No</t>
        </is>
      </c>
      <c r="M1757" s="1" t="inlineStr">
        <is>
          <t>No</t>
        </is>
      </c>
      <c r="N1757" s="1" t="inlineStr">
        <is>
          <t>Algorithms</t>
        </is>
      </c>
      <c r="O17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57" s="11" t="inlineStr">
        <is>
          <t>To Do</t>
        </is>
      </c>
    </row>
    <row r="1758" ht="15.75" customHeight="1" s="12">
      <c r="A1758" s="1" t="n">
        <v>2598</v>
      </c>
      <c r="B1758" s="3">
        <f>HYPERLINK("https://leetcode.com/problems/smallest-missing-non-negative-integer-after-operations/", "Smallest Missing Non-negative Integer After Operations")</f>
        <v/>
      </c>
      <c r="C1758" s="1" t="n">
        <v>805</v>
      </c>
      <c r="D1758" s="1" t="n">
        <v>176</v>
      </c>
      <c r="E1758" s="4">
        <f>IF(INDEX(C:C, ROW())+INDEX(D:D, ROW())=0, 0, INDEX(C:C, ROW())/(INDEX(C:C, ROW())+INDEX(D:D, ROW())))</f>
        <v/>
      </c>
      <c r="F1758" s="1" t="inlineStr">
        <is>
          <t>Array, Hash Table, Math, Greedy</t>
        </is>
      </c>
      <c r="G1758" s="1" t="inlineStr">
        <is>
          <t>Medium</t>
        </is>
      </c>
      <c r="H1758" s="1" t="n">
        <v>114851</v>
      </c>
      <c r="I1758" s="1" t="n">
        <v>205273</v>
      </c>
      <c r="J1758" s="9" t="n">
        <v>0.5600000000000001</v>
      </c>
      <c r="K1758" s="1" t="inlineStr">
        <is>
          <t>Yes</t>
        </is>
      </c>
      <c r="L1758" s="1" t="inlineStr">
        <is>
          <t>Yes</t>
        </is>
      </c>
      <c r="M1758" s="1" t="inlineStr">
        <is>
          <t>No</t>
        </is>
      </c>
      <c r="N1758" s="1" t="inlineStr">
        <is>
          <t>Algorithms</t>
        </is>
      </c>
      <c r="O17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58" s="11" t="inlineStr">
        <is>
          <t>To Do</t>
        </is>
      </c>
    </row>
    <row r="1759" ht="15.75" customHeight="1" s="12">
      <c r="A1759" s="1" t="n">
        <v>2683</v>
      </c>
      <c r="B1759" s="3">
        <f>HYPERLINK("https://leetcode.com/problems/neighboring-bitwise-xor/", "Neighboring Bitwise XOR")</f>
        <v/>
      </c>
      <c r="C1759" s="1" t="n">
        <v>804</v>
      </c>
      <c r="D1759" s="1" t="n">
        <v>50</v>
      </c>
      <c r="E1759" s="4">
        <f>IF(INDEX(C:C, ROW())+INDEX(D:D, ROW())=0, 0, INDEX(C:C, ROW())/(INDEX(C:C, ROW())+INDEX(D:D, ROW())))</f>
        <v/>
      </c>
      <c r="F1759" s="1" t="inlineStr">
        <is>
          <t>Array, Bit Manipulation</t>
        </is>
      </c>
      <c r="G1759" s="1" t="inlineStr">
        <is>
          <t>Medium</t>
        </is>
      </c>
      <c r="H1759" s="1" t="n">
        <v>164124</v>
      </c>
      <c r="I1759" s="1" t="n">
        <v>205666</v>
      </c>
      <c r="J1759" s="9" t="n">
        <v>0.798</v>
      </c>
      <c r="K1759" s="1" t="inlineStr">
        <is>
          <t>Yes</t>
        </is>
      </c>
      <c r="L1759" s="1" t="inlineStr">
        <is>
          <t>Yes</t>
        </is>
      </c>
      <c r="M1759" s="1" t="inlineStr">
        <is>
          <t>No</t>
        </is>
      </c>
      <c r="N1759" s="1" t="inlineStr">
        <is>
          <t>Algorithms</t>
        </is>
      </c>
      <c r="O17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59" s="11" t="inlineStr">
        <is>
          <t>To Do</t>
        </is>
      </c>
    </row>
    <row r="1760" ht="15.75" customHeight="1" s="12">
      <c r="A1760" s="1" t="n">
        <v>2119</v>
      </c>
      <c r="B1760" s="3">
        <f>HYPERLINK("https://leetcode.com/problems/a-number-after-a-double-reversal/", "A Number After a Double Reversal")</f>
        <v/>
      </c>
      <c r="C1760" s="1" t="n">
        <v>803</v>
      </c>
      <c r="D1760" s="1" t="n">
        <v>49</v>
      </c>
      <c r="E1760" s="4">
        <f>IF(INDEX(C:C, ROW())+INDEX(D:D, ROW())=0, 0, INDEX(C:C, ROW())/(INDEX(C:C, ROW())+INDEX(D:D, ROW())))</f>
        <v/>
      </c>
      <c r="F1760" s="1" t="inlineStr">
        <is>
          <t>Math</t>
        </is>
      </c>
      <c r="G1760" s="1" t="inlineStr">
        <is>
          <t>Easy</t>
        </is>
      </c>
      <c r="H1760" s="1" t="n">
        <v>158226</v>
      </c>
      <c r="I1760" s="1" t="n">
        <v>192597</v>
      </c>
      <c r="J1760" s="9" t="n">
        <v>0.822</v>
      </c>
      <c r="K1760" s="1" t="inlineStr">
        <is>
          <t>Yes</t>
        </is>
      </c>
      <c r="L1760" s="1" t="inlineStr">
        <is>
          <t>No</t>
        </is>
      </c>
      <c r="M1760" s="1" t="inlineStr">
        <is>
          <t>No</t>
        </is>
      </c>
      <c r="N1760" s="1" t="inlineStr">
        <is>
          <t>Algorithms</t>
        </is>
      </c>
      <c r="O17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60" s="13" t="inlineStr">
        <is>
          <t>Done</t>
        </is>
      </c>
    </row>
    <row r="1761" ht="15.75" customHeight="1" s="12">
      <c r="A1761" s="1" t="n">
        <v>492</v>
      </c>
      <c r="B1761" s="3">
        <f>HYPERLINK("https://leetcode.com/problems/construct-the-rectangle/", "Construct the Rectangle")</f>
        <v/>
      </c>
      <c r="C1761" s="1" t="n">
        <v>802</v>
      </c>
      <c r="D1761" s="1" t="n">
        <v>394</v>
      </c>
      <c r="E1761" s="4">
        <f>IF(INDEX(C:C, ROW())+INDEX(D:D, ROW())=0, 0, INDEX(C:C, ROW())/(INDEX(C:C, ROW())+INDEX(D:D, ROW())))</f>
        <v/>
      </c>
      <c r="F1761" s="1" t="inlineStr">
        <is>
          <t>Math</t>
        </is>
      </c>
      <c r="G1761" s="1" t="inlineStr">
        <is>
          <t>Easy</t>
        </is>
      </c>
      <c r="H1761" s="1" t="n">
        <v>173278</v>
      </c>
      <c r="I1761" s="1" t="n">
        <v>271895</v>
      </c>
      <c r="J1761" s="9" t="n">
        <v>0.637</v>
      </c>
      <c r="K1761" s="1" t="inlineStr">
        <is>
          <t>Yes</t>
        </is>
      </c>
      <c r="L1761" s="1" t="inlineStr">
        <is>
          <t>No</t>
        </is>
      </c>
      <c r="M1761" s="1" t="inlineStr">
        <is>
          <t>No</t>
        </is>
      </c>
      <c r="N1761" s="1" t="inlineStr">
        <is>
          <t>Algorithms</t>
        </is>
      </c>
      <c r="O17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61" s="13" t="inlineStr">
        <is>
          <t>Done</t>
        </is>
      </c>
    </row>
    <row r="1762" ht="15.75" customHeight="1" s="12">
      <c r="A1762" s="1" t="n">
        <v>1965</v>
      </c>
      <c r="B1762" s="3">
        <f>HYPERLINK("https://leetcode.com/problems/employees-with-missing-information/", "Employees With Missing Information")</f>
        <v/>
      </c>
      <c r="C1762" s="1" t="n">
        <v>799</v>
      </c>
      <c r="D1762" s="1" t="n">
        <v>41</v>
      </c>
      <c r="E1762" s="4">
        <f>IF(INDEX(C:C, ROW())+INDEX(D:D, ROW())=0, 0, INDEX(C:C, ROW())/(INDEX(C:C, ROW())+INDEX(D:D, ROW())))</f>
        <v/>
      </c>
      <c r="F1762" s="1" t="inlineStr">
        <is>
          <t>Database</t>
        </is>
      </c>
      <c r="G1762" s="1" t="inlineStr">
        <is>
          <t>Easy</t>
        </is>
      </c>
      <c r="H1762" s="1" t="n">
        <v>181667</v>
      </c>
      <c r="I1762" s="1" t="n">
        <v>248265</v>
      </c>
      <c r="J1762" s="9" t="n">
        <v>0.732</v>
      </c>
      <c r="K1762" s="1" t="inlineStr">
        <is>
          <t>Yes</t>
        </is>
      </c>
      <c r="L1762" s="1" t="inlineStr">
        <is>
          <t>Yes</t>
        </is>
      </c>
      <c r="M1762" s="1" t="inlineStr">
        <is>
          <t>No</t>
        </is>
      </c>
      <c r="N1762" s="1" t="inlineStr">
        <is>
          <t>Database</t>
        </is>
      </c>
      <c r="O17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62" s="13" t="inlineStr">
        <is>
          <t>Done</t>
        </is>
      </c>
    </row>
    <row r="1763" ht="15.75" customHeight="1" s="12">
      <c r="A1763" s="1" t="n">
        <v>1629</v>
      </c>
      <c r="B1763" s="3">
        <f>HYPERLINK("https://leetcode.com/problems/slowest-key/", "Slowest Key")</f>
        <v/>
      </c>
      <c r="C1763" s="1" t="n">
        <v>797</v>
      </c>
      <c r="D1763" s="1" t="n">
        <v>113</v>
      </c>
      <c r="E1763" s="4">
        <f>IF(INDEX(C:C, ROW())+INDEX(D:D, ROW())=0, 0, INDEX(C:C, ROW())/(INDEX(C:C, ROW())+INDEX(D:D, ROW())))</f>
        <v/>
      </c>
      <c r="F1763" s="1" t="inlineStr">
        <is>
          <t>Array, String</t>
        </is>
      </c>
      <c r="G1763" s="1" t="inlineStr">
        <is>
          <t>Easy</t>
        </is>
      </c>
      <c r="H1763" s="1" t="n">
        <v>117466</v>
      </c>
      <c r="I1763" s="1" t="n">
        <v>197056</v>
      </c>
      <c r="J1763" s="9" t="n">
        <v>0.596</v>
      </c>
      <c r="K1763" s="1" t="inlineStr">
        <is>
          <t>Yes</t>
        </is>
      </c>
      <c r="L1763" s="1" t="inlineStr">
        <is>
          <t>Yes</t>
        </is>
      </c>
      <c r="M1763" s="1" t="inlineStr">
        <is>
          <t>No</t>
        </is>
      </c>
      <c r="N1763" s="1" t="inlineStr">
        <is>
          <t>Algorithms</t>
        </is>
      </c>
      <c r="O17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63" s="13" t="inlineStr">
        <is>
          <t>Done</t>
        </is>
      </c>
    </row>
    <row r="1764" ht="15.75" customHeight="1" s="12">
      <c r="A1764" s="1" t="n">
        <v>2138</v>
      </c>
      <c r="B1764" s="3">
        <f>HYPERLINK("https://leetcode.com/problems/divide-a-string-into-groups-of-size-k/", "Divide a String Into Groups of Size k")</f>
        <v/>
      </c>
      <c r="C1764" s="1" t="n">
        <v>797</v>
      </c>
      <c r="D1764" s="1" t="n">
        <v>32</v>
      </c>
      <c r="E1764" s="4">
        <f>IF(INDEX(C:C, ROW())+INDEX(D:D, ROW())=0, 0, INDEX(C:C, ROW())/(INDEX(C:C, ROW())+INDEX(D:D, ROW())))</f>
        <v/>
      </c>
      <c r="F1764" s="1" t="inlineStr">
        <is>
          <t>String, Simulation</t>
        </is>
      </c>
      <c r="G1764" s="1" t="inlineStr">
        <is>
          <t>Easy</t>
        </is>
      </c>
      <c r="H1764" s="1" t="n">
        <v>176768</v>
      </c>
      <c r="I1764" s="1" t="n">
        <v>229410</v>
      </c>
      <c r="J1764" s="9" t="n">
        <v>0.771</v>
      </c>
      <c r="K1764" s="1" t="inlineStr">
        <is>
          <t>Yes</t>
        </is>
      </c>
      <c r="L1764" s="1" t="inlineStr">
        <is>
          <t>Yes</t>
        </is>
      </c>
      <c r="M1764" s="1" t="inlineStr">
        <is>
          <t>No</t>
        </is>
      </c>
      <c r="N1764" s="1" t="inlineStr">
        <is>
          <t>Algorithms</t>
        </is>
      </c>
      <c r="O17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64" s="13" t="inlineStr">
        <is>
          <t>Done</t>
        </is>
      </c>
    </row>
    <row r="1765" ht="15.75" customHeight="1" s="12">
      <c r="A1765" s="1" t="n">
        <v>908</v>
      </c>
      <c r="B1765" s="3">
        <f>HYPERLINK("https://leetcode.com/problems/smallest-range-i/", "Smallest Range I")</f>
        <v/>
      </c>
      <c r="C1765" s="1" t="n">
        <v>796</v>
      </c>
      <c r="D1765" s="1" t="n">
        <v>2089</v>
      </c>
      <c r="E1765" s="4">
        <f>IF(INDEX(C:C, ROW())+INDEX(D:D, ROW())=0, 0, INDEX(C:C, ROW())/(INDEX(C:C, ROW())+INDEX(D:D, ROW())))</f>
        <v/>
      </c>
      <c r="F1765" s="1" t="inlineStr">
        <is>
          <t>Array, Math</t>
        </is>
      </c>
      <c r="G1765" s="1" t="inlineStr">
        <is>
          <t>Easy</t>
        </is>
      </c>
      <c r="H1765" s="1" t="n">
        <v>125896</v>
      </c>
      <c r="I1765" s="1" t="n">
        <v>171247</v>
      </c>
      <c r="J1765" s="9" t="n">
        <v>0.735</v>
      </c>
      <c r="K1765" s="1" t="inlineStr">
        <is>
          <t>Yes</t>
        </is>
      </c>
      <c r="L1765" s="1" t="inlineStr">
        <is>
          <t>Yes</t>
        </is>
      </c>
      <c r="M1765" s="1" t="inlineStr">
        <is>
          <t>No</t>
        </is>
      </c>
      <c r="N1765" s="1" t="inlineStr">
        <is>
          <t>Algorithms</t>
        </is>
      </c>
      <c r="O17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65" s="13" t="inlineStr">
        <is>
          <t>Done</t>
        </is>
      </c>
    </row>
    <row r="1766" ht="15.75" customHeight="1" s="12">
      <c r="A1766" s="1" t="n">
        <v>1050</v>
      </c>
      <c r="B1766" s="3">
        <f>HYPERLINK("https://leetcode.com/problems/actors-and-directors-who-cooperated-at-least-three-times/", "Actors and Directors Who Cooperated At Least Three Times")</f>
        <v/>
      </c>
      <c r="C1766" s="1" t="n">
        <v>795</v>
      </c>
      <c r="D1766" s="1" t="n">
        <v>57</v>
      </c>
      <c r="E1766" s="4">
        <f>IF(INDEX(C:C, ROW())+INDEX(D:D, ROW())=0, 0, INDEX(C:C, ROW())/(INDEX(C:C, ROW())+INDEX(D:D, ROW())))</f>
        <v/>
      </c>
      <c r="F1766" s="1" t="inlineStr">
        <is>
          <t>Database</t>
        </is>
      </c>
      <c r="G1766" s="1" t="inlineStr">
        <is>
          <t>Easy</t>
        </is>
      </c>
      <c r="H1766" s="1" t="n">
        <v>320306</v>
      </c>
      <c r="I1766" s="1" t="n">
        <v>450570</v>
      </c>
      <c r="J1766" s="9" t="n">
        <v>0.711</v>
      </c>
      <c r="K1766" s="1" t="inlineStr">
        <is>
          <t>Yes</t>
        </is>
      </c>
      <c r="L1766" s="1" t="inlineStr">
        <is>
          <t>Yes</t>
        </is>
      </c>
      <c r="M1766" s="1" t="inlineStr">
        <is>
          <t>No</t>
        </is>
      </c>
      <c r="N1766" s="1" t="inlineStr">
        <is>
          <t>Database</t>
        </is>
      </c>
      <c r="O17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66" s="13" t="inlineStr">
        <is>
          <t>Done</t>
        </is>
      </c>
    </row>
    <row r="1767" ht="15.75" customHeight="1" s="12">
      <c r="A1767" s="1" t="n">
        <v>1974</v>
      </c>
      <c r="B1767" s="3">
        <f>HYPERLINK("https://leetcode.com/problems/minimum-time-to-type-word-using-special-typewriter/", "Minimum Time to Type Word Using Special Typewriter")</f>
        <v/>
      </c>
      <c r="C1767" s="1" t="n">
        <v>794</v>
      </c>
      <c r="D1767" s="1" t="n">
        <v>38</v>
      </c>
      <c r="E1767" s="4">
        <f>IF(INDEX(C:C, ROW())+INDEX(D:D, ROW())=0, 0, INDEX(C:C, ROW())/(INDEX(C:C, ROW())+INDEX(D:D, ROW())))</f>
        <v/>
      </c>
      <c r="F1767" s="1" t="inlineStr">
        <is>
          <t>String, Greedy</t>
        </is>
      </c>
      <c r="G1767" s="1" t="inlineStr">
        <is>
          <t>Easy</t>
        </is>
      </c>
      <c r="H1767" s="1" t="n">
        <v>67902</v>
      </c>
      <c r="I1767" s="1" t="n">
        <v>86303</v>
      </c>
      <c r="J1767" s="9" t="n">
        <v>0.787</v>
      </c>
      <c r="K1767" s="1" t="inlineStr">
        <is>
          <t>Yes</t>
        </is>
      </c>
      <c r="L1767" s="1" t="inlineStr">
        <is>
          <t>No</t>
        </is>
      </c>
      <c r="M1767" s="1" t="inlineStr">
        <is>
          <t>No</t>
        </is>
      </c>
      <c r="N1767" s="1" t="inlineStr">
        <is>
          <t>Algorithms</t>
        </is>
      </c>
      <c r="O17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67" s="13" t="inlineStr">
        <is>
          <t>Done</t>
        </is>
      </c>
    </row>
    <row r="1768" ht="15.75" customHeight="1" s="12">
      <c r="A1768" s="1" t="n">
        <v>2678</v>
      </c>
      <c r="B1768" s="3">
        <f>HYPERLINK("https://leetcode.com/problems/number-of-senior-citizens/", "Number of Senior Citizens")</f>
        <v/>
      </c>
      <c r="C1768" s="1" t="n">
        <v>793</v>
      </c>
      <c r="D1768" s="1" t="n">
        <v>59</v>
      </c>
      <c r="E1768" s="4">
        <f>IF(INDEX(C:C, ROW())+INDEX(D:D, ROW())=0, 0, INDEX(C:C, ROW())/(INDEX(C:C, ROW())+INDEX(D:D, ROW())))</f>
        <v/>
      </c>
      <c r="F1768" s="1" t="inlineStr">
        <is>
          <t>Array, String</t>
        </is>
      </c>
      <c r="G1768" s="1" t="inlineStr">
        <is>
          <t>Easy</t>
        </is>
      </c>
      <c r="H1768" s="1" t="n">
        <v>302446</v>
      </c>
      <c r="I1768" s="1" t="n">
        <v>372247</v>
      </c>
      <c r="J1768" s="9" t="n">
        <v>0.8120000000000001</v>
      </c>
      <c r="K1768" s="1" t="inlineStr">
        <is>
          <t>Yes</t>
        </is>
      </c>
      <c r="L1768" s="1" t="inlineStr">
        <is>
          <t>Yes</t>
        </is>
      </c>
      <c r="M1768" s="1" t="inlineStr">
        <is>
          <t>No</t>
        </is>
      </c>
      <c r="N1768" s="1" t="inlineStr">
        <is>
          <t>Algorithms</t>
        </is>
      </c>
      <c r="O17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68" s="13" t="inlineStr">
        <is>
          <t>Done</t>
        </is>
      </c>
    </row>
    <row r="1769" ht="15.75" customHeight="1" s="12">
      <c r="A1769" s="1" t="n">
        <v>1070</v>
      </c>
      <c r="B1769" s="3">
        <f>HYPERLINK("https://leetcode.com/problems/product-sales-analysis-iii/", "Product Sales Analysis III")</f>
        <v/>
      </c>
      <c r="C1769" s="1" t="n">
        <v>792</v>
      </c>
      <c r="D1769" s="1" t="n">
        <v>1134</v>
      </c>
      <c r="E1769" s="4">
        <f>IF(INDEX(C:C, ROW())+INDEX(D:D, ROW())=0, 0, INDEX(C:C, ROW())/(INDEX(C:C, ROW())+INDEX(D:D, ROW())))</f>
        <v/>
      </c>
      <c r="F1769" s="1" t="inlineStr">
        <is>
          <t>Database</t>
        </is>
      </c>
      <c r="G1769" s="1" t="inlineStr">
        <is>
          <t>Medium</t>
        </is>
      </c>
      <c r="H1769" s="1" t="n">
        <v>449442</v>
      </c>
      <c r="I1769" s="1" t="n">
        <v>977676</v>
      </c>
      <c r="J1769" s="9" t="n">
        <v>0.46</v>
      </c>
      <c r="K1769" s="1" t="inlineStr">
        <is>
          <t>Yes</t>
        </is>
      </c>
      <c r="L1769" s="1" t="inlineStr">
        <is>
          <t>Yes</t>
        </is>
      </c>
      <c r="M1769" s="1" t="inlineStr">
        <is>
          <t>No</t>
        </is>
      </c>
      <c r="N1769" s="1" t="inlineStr">
        <is>
          <t>Database</t>
        </is>
      </c>
      <c r="O17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69" s="11" t="inlineStr">
        <is>
          <t>To Do</t>
        </is>
      </c>
    </row>
    <row r="1770" ht="15.75" customHeight="1" s="12">
      <c r="A1770" s="1" t="n">
        <v>2203</v>
      </c>
      <c r="B1770" s="3">
        <f>HYPERLINK("https://leetcode.com/problems/minimum-weighted-subgraph-with-the-required-paths/", "Minimum Weighted Subgraph With the Required Paths")</f>
        <v/>
      </c>
      <c r="C1770" s="1" t="n">
        <v>792</v>
      </c>
      <c r="D1770" s="1" t="n">
        <v>23</v>
      </c>
      <c r="E1770" s="4">
        <f>IF(INDEX(C:C, ROW())+INDEX(D:D, ROW())=0, 0, INDEX(C:C, ROW())/(INDEX(C:C, ROW())+INDEX(D:D, ROW())))</f>
        <v/>
      </c>
      <c r="F1770" s="1" t="inlineStr">
        <is>
          <t>Graph Theory, Heap (Priority Queue), Shortest Path</t>
        </is>
      </c>
      <c r="G1770" s="1" t="inlineStr">
        <is>
          <t>Hard</t>
        </is>
      </c>
      <c r="H1770" s="1" t="n">
        <v>22484</v>
      </c>
      <c r="I1770" s="1" t="n">
        <v>53594</v>
      </c>
      <c r="J1770" s="9" t="n">
        <v>0.42</v>
      </c>
      <c r="K1770" s="1" t="inlineStr">
        <is>
          <t>Yes</t>
        </is>
      </c>
      <c r="L1770" s="1" t="inlineStr">
        <is>
          <t>No</t>
        </is>
      </c>
      <c r="M1770" s="1" t="inlineStr">
        <is>
          <t>No</t>
        </is>
      </c>
      <c r="N1770" s="1" t="inlineStr">
        <is>
          <t>Algorithms</t>
        </is>
      </c>
      <c r="O17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70" s="11" t="inlineStr">
        <is>
          <t>To Do</t>
        </is>
      </c>
    </row>
    <row r="1771" ht="15.75" customHeight="1" s="12">
      <c r="A1771" s="1" t="n">
        <v>2233</v>
      </c>
      <c r="B1771" s="3">
        <f>HYPERLINK("https://leetcode.com/problems/maximum-product-after-k-increments/", "Maximum Product After K Increments")</f>
        <v/>
      </c>
      <c r="C1771" s="1" t="n">
        <v>792</v>
      </c>
      <c r="D1771" s="1" t="n">
        <v>45</v>
      </c>
      <c r="E1771" s="4">
        <f>IF(INDEX(C:C, ROW())+INDEX(D:D, ROW())=0, 0, INDEX(C:C, ROW())/(INDEX(C:C, ROW())+INDEX(D:D, ROW())))</f>
        <v/>
      </c>
      <c r="F1771" s="1" t="inlineStr">
        <is>
          <t>Array, Greedy, Heap (Priority Queue)</t>
        </is>
      </c>
      <c r="G1771" s="1" t="inlineStr">
        <is>
          <t>Medium</t>
        </is>
      </c>
      <c r="H1771" s="1" t="n">
        <v>46279</v>
      </c>
      <c r="I1771" s="1" t="n">
        <v>105103</v>
      </c>
      <c r="J1771" s="9" t="n">
        <v>0.44</v>
      </c>
      <c r="K1771" s="1" t="inlineStr">
        <is>
          <t>Yes</t>
        </is>
      </c>
      <c r="L1771" s="1" t="inlineStr">
        <is>
          <t>No</t>
        </is>
      </c>
      <c r="M1771" s="1" t="inlineStr">
        <is>
          <t>No</t>
        </is>
      </c>
      <c r="N1771" s="1" t="inlineStr">
        <is>
          <t>Algorithms</t>
        </is>
      </c>
      <c r="O17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71" s="11" t="inlineStr">
        <is>
          <t>To Do</t>
        </is>
      </c>
    </row>
    <row r="1772" ht="15.75" customHeight="1" s="12">
      <c r="A1772" s="1" t="n">
        <v>3108</v>
      </c>
      <c r="B1772" s="3">
        <f>HYPERLINK("https://leetcode.com/problems/minimum-cost-walk-in-weighted-graph/", "Minimum Cost Walk in Weighted Graph")</f>
        <v/>
      </c>
      <c r="C1772" s="1" t="n">
        <v>789</v>
      </c>
      <c r="D1772" s="1" t="n">
        <v>43</v>
      </c>
      <c r="E1772" s="4">
        <f>IF(INDEX(C:C, ROW())+INDEX(D:D, ROW())=0, 0, INDEX(C:C, ROW())/(INDEX(C:C, ROW())+INDEX(D:D, ROW())))</f>
        <v/>
      </c>
      <c r="F1772" s="1" t="inlineStr">
        <is>
          <t>Array, Bit Manipulation, Union-Find, Graph Theory</t>
        </is>
      </c>
      <c r="G1772" s="1" t="inlineStr">
        <is>
          <t>Hard</t>
        </is>
      </c>
      <c r="H1772" s="1" t="n">
        <v>106712</v>
      </c>
      <c r="I1772" s="1" t="n">
        <v>156422</v>
      </c>
      <c r="J1772" s="9" t="n">
        <v>0.6820000000000001</v>
      </c>
      <c r="K1772" s="1" t="inlineStr">
        <is>
          <t>Yes</t>
        </is>
      </c>
      <c r="L1772" s="1" t="inlineStr">
        <is>
          <t>Yes</t>
        </is>
      </c>
      <c r="M1772" s="1" t="inlineStr">
        <is>
          <t>No</t>
        </is>
      </c>
      <c r="N1772" s="1" t="inlineStr">
        <is>
          <t>Algorithms</t>
        </is>
      </c>
      <c r="O17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72" s="11" t="inlineStr">
        <is>
          <t>To Do</t>
        </is>
      </c>
    </row>
    <row r="1773" ht="15.75" customHeight="1" s="12">
      <c r="A1773" s="1" t="n">
        <v>1646</v>
      </c>
      <c r="B1773" s="3">
        <f>HYPERLINK("https://leetcode.com/problems/get-maximum-in-generated-array/", "Get Maximum in Generated Array")</f>
        <v/>
      </c>
      <c r="C1773" s="1" t="n">
        <v>788</v>
      </c>
      <c r="D1773" s="1" t="n">
        <v>968</v>
      </c>
      <c r="E1773" s="4">
        <f>IF(INDEX(C:C, ROW())+INDEX(D:D, ROW())=0, 0, INDEX(C:C, ROW())/(INDEX(C:C, ROW())+INDEX(D:D, ROW())))</f>
        <v/>
      </c>
      <c r="F1773" s="1" t="inlineStr">
        <is>
          <t>Array, Simulation</t>
        </is>
      </c>
      <c r="G1773" s="1" t="inlineStr">
        <is>
          <t>Easy</t>
        </is>
      </c>
      <c r="H1773" s="1" t="n">
        <v>125157</v>
      </c>
      <c r="I1773" s="1" t="n">
        <v>243175</v>
      </c>
      <c r="J1773" s="9" t="n">
        <v>0.515</v>
      </c>
      <c r="K1773" s="1" t="inlineStr">
        <is>
          <t>Yes</t>
        </is>
      </c>
      <c r="L1773" s="1" t="inlineStr">
        <is>
          <t>Yes</t>
        </is>
      </c>
      <c r="M1773" s="1" t="inlineStr">
        <is>
          <t>No</t>
        </is>
      </c>
      <c r="N1773" s="1" t="inlineStr">
        <is>
          <t>Algorithms</t>
        </is>
      </c>
      <c r="O17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73" s="13" t="inlineStr">
        <is>
          <t>Done</t>
        </is>
      </c>
    </row>
    <row r="1774" ht="15.75" customHeight="1" s="12">
      <c r="A1774" s="1" t="n">
        <v>3169</v>
      </c>
      <c r="B1774" s="3">
        <f>HYPERLINK("https://leetcode.com/problems/count-days-without-meetings/", "Count Days Without Meetings")</f>
        <v/>
      </c>
      <c r="C1774" s="1" t="n">
        <v>788</v>
      </c>
      <c r="D1774" s="1" t="n">
        <v>19</v>
      </c>
      <c r="E1774" s="4">
        <f>IF(INDEX(C:C, ROW())+INDEX(D:D, ROW())=0, 0, INDEX(C:C, ROW())/(INDEX(C:C, ROW())+INDEX(D:D, ROW())))</f>
        <v/>
      </c>
      <c r="F1774" s="1" t="inlineStr">
        <is>
          <t>Array, Sorting</t>
        </is>
      </c>
      <c r="G1774" s="1" t="inlineStr">
        <is>
          <t>Medium</t>
        </is>
      </c>
      <c r="H1774" s="1" t="n">
        <v>183725</v>
      </c>
      <c r="I1774" s="1" t="n">
        <v>381724</v>
      </c>
      <c r="J1774" s="9" t="n">
        <v>0.481</v>
      </c>
      <c r="K1774" s="1" t="inlineStr">
        <is>
          <t>Yes</t>
        </is>
      </c>
      <c r="L1774" s="1" t="inlineStr">
        <is>
          <t>Yes</t>
        </is>
      </c>
      <c r="M1774" s="1" t="inlineStr">
        <is>
          <t>No</t>
        </is>
      </c>
      <c r="N1774" s="1" t="inlineStr">
        <is>
          <t>Algorithms</t>
        </is>
      </c>
      <c r="O17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74" s="11" t="inlineStr">
        <is>
          <t>To Do</t>
        </is>
      </c>
    </row>
    <row r="1775" ht="15.75" customHeight="1" s="12">
      <c r="A1775" s="1" t="n">
        <v>1451</v>
      </c>
      <c r="B1775" s="3">
        <f>HYPERLINK("https://leetcode.com/problems/rearrange-words-in-a-sentence/", "Rearrange Words in a Sentence")</f>
        <v/>
      </c>
      <c r="C1775" s="1" t="n">
        <v>787</v>
      </c>
      <c r="D1775" s="1" t="n">
        <v>80</v>
      </c>
      <c r="E1775" s="4">
        <f>IF(INDEX(C:C, ROW())+INDEX(D:D, ROW())=0, 0, INDEX(C:C, ROW())/(INDEX(C:C, ROW())+INDEX(D:D, ROW())))</f>
        <v/>
      </c>
      <c r="F1775" s="1" t="inlineStr">
        <is>
          <t>String, Sorting</t>
        </is>
      </c>
      <c r="G1775" s="1" t="inlineStr">
        <is>
          <t>Medium</t>
        </is>
      </c>
      <c r="H1775" s="1" t="n">
        <v>64870</v>
      </c>
      <c r="I1775" s="1" t="n">
        <v>96754</v>
      </c>
      <c r="J1775" s="9" t="n">
        <v>0.67</v>
      </c>
      <c r="K1775" s="1" t="inlineStr">
        <is>
          <t>Yes</t>
        </is>
      </c>
      <c r="L1775" s="1" t="inlineStr">
        <is>
          <t>No</t>
        </is>
      </c>
      <c r="M1775" s="1" t="inlineStr">
        <is>
          <t>No</t>
        </is>
      </c>
      <c r="N1775" s="1" t="inlineStr">
        <is>
          <t>Algorithms</t>
        </is>
      </c>
      <c r="O17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75" s="11" t="inlineStr">
        <is>
          <t>To Do</t>
        </is>
      </c>
    </row>
    <row r="1776" ht="15.75" customHeight="1" s="12">
      <c r="A1776" s="1" t="n">
        <v>2654</v>
      </c>
      <c r="B1776" s="3">
        <f>HYPERLINK("https://leetcode.com/problems/minimum-number-of-operations-to-make-all-array-elements-equal-to-1/", "Minimum Number of Operations to Make All Array Elements Equal to 1")</f>
        <v/>
      </c>
      <c r="C1776" s="1" t="n">
        <v>787</v>
      </c>
      <c r="D1776" s="1" t="n">
        <v>50</v>
      </c>
      <c r="E1776" s="4">
        <f>IF(INDEX(C:C, ROW())+INDEX(D:D, ROW())=0, 0, INDEX(C:C, ROW())/(INDEX(C:C, ROW())+INDEX(D:D, ROW())))</f>
        <v/>
      </c>
      <c r="F1776" s="1" t="inlineStr">
        <is>
          <t>Array, Math, Number Theory</t>
        </is>
      </c>
      <c r="G1776" s="1" t="inlineStr">
        <is>
          <t>Medium</t>
        </is>
      </c>
      <c r="H1776" s="1" t="n">
        <v>88953</v>
      </c>
      <c r="I1776" s="1" t="n">
        <v>162631</v>
      </c>
      <c r="J1776" s="9" t="n">
        <v>0.547</v>
      </c>
      <c r="K1776" s="1" t="inlineStr">
        <is>
          <t>Yes</t>
        </is>
      </c>
      <c r="L1776" s="1" t="inlineStr">
        <is>
          <t>Yes</t>
        </is>
      </c>
      <c r="M1776" s="1" t="inlineStr">
        <is>
          <t>No</t>
        </is>
      </c>
      <c r="N1776" s="1" t="inlineStr">
        <is>
          <t>Algorithms</t>
        </is>
      </c>
      <c r="O17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76" s="11" t="inlineStr">
        <is>
          <t>To Do</t>
        </is>
      </c>
    </row>
    <row r="1777" ht="15.75" customHeight="1" s="12">
      <c r="A1777" s="1" t="n">
        <v>1433</v>
      </c>
      <c r="B1777" s="3">
        <f>HYPERLINK("https://leetcode.com/problems/check-if-a-string-can-break-another-string/", "Check If a String Can Break Another String")</f>
        <v/>
      </c>
      <c r="C1777" s="1" t="n">
        <v>786</v>
      </c>
      <c r="D1777" s="1" t="n">
        <v>156</v>
      </c>
      <c r="E1777" s="4">
        <f>IF(INDEX(C:C, ROW())+INDEX(D:D, ROW())=0, 0, INDEX(C:C, ROW())/(INDEX(C:C, ROW())+INDEX(D:D, ROW())))</f>
        <v/>
      </c>
      <c r="F1777" s="1" t="inlineStr">
        <is>
          <t>String, Greedy, Sorting</t>
        </is>
      </c>
      <c r="G1777" s="1" t="inlineStr">
        <is>
          <t>Medium</t>
        </is>
      </c>
      <c r="H1777" s="1" t="n">
        <v>53989</v>
      </c>
      <c r="I1777" s="1" t="n">
        <v>76080</v>
      </c>
      <c r="J1777" s="9" t="n">
        <v>0.71</v>
      </c>
      <c r="K1777" s="1" t="inlineStr">
        <is>
          <t>Yes</t>
        </is>
      </c>
      <c r="L1777" s="1" t="inlineStr">
        <is>
          <t>No</t>
        </is>
      </c>
      <c r="M1777" s="1" t="inlineStr">
        <is>
          <t>No</t>
        </is>
      </c>
      <c r="N1777" s="1" t="inlineStr">
        <is>
          <t>Algorithms</t>
        </is>
      </c>
      <c r="O17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77" s="11" t="inlineStr">
        <is>
          <t>To Do</t>
        </is>
      </c>
    </row>
    <row r="1778" ht="15.75" customHeight="1" s="12">
      <c r="A1778" s="1" t="n">
        <v>1616</v>
      </c>
      <c r="B1778" s="3">
        <f>HYPERLINK("https://leetcode.com/problems/split-two-strings-to-make-palindrome/", "Split Two Strings to Make Palindrome")</f>
        <v/>
      </c>
      <c r="C1778" s="1" t="n">
        <v>782</v>
      </c>
      <c r="D1778" s="1" t="n">
        <v>260</v>
      </c>
      <c r="E1778" s="4">
        <f>IF(INDEX(C:C, ROW())+INDEX(D:D, ROW())=0, 0, INDEX(C:C, ROW())/(INDEX(C:C, ROW())+INDEX(D:D, ROW())))</f>
        <v/>
      </c>
      <c r="F1778" s="1" t="inlineStr">
        <is>
          <t>Two Pointers, String</t>
        </is>
      </c>
      <c r="G1778" s="1" t="inlineStr">
        <is>
          <t>Medium</t>
        </is>
      </c>
      <c r="H1778" s="1" t="n">
        <v>32807</v>
      </c>
      <c r="I1778" s="1" t="n">
        <v>101798</v>
      </c>
      <c r="J1778" s="9" t="n">
        <v>0.322</v>
      </c>
      <c r="K1778" s="1" t="inlineStr">
        <is>
          <t>Yes</t>
        </is>
      </c>
      <c r="L1778" s="1" t="inlineStr">
        <is>
          <t>No</t>
        </is>
      </c>
      <c r="M1778" s="1" t="inlineStr">
        <is>
          <t>No</t>
        </is>
      </c>
      <c r="N1778" s="1" t="inlineStr">
        <is>
          <t>Algorithms</t>
        </is>
      </c>
      <c r="O17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78" s="11" t="inlineStr">
        <is>
          <t>To Do</t>
        </is>
      </c>
    </row>
    <row r="1779" ht="15.75" customHeight="1" s="12">
      <c r="A1779" s="1" t="n">
        <v>3016</v>
      </c>
      <c r="B1779" s="3">
        <f>HYPERLINK("https://leetcode.com/problems/minimum-number-of-pushes-to-type-word-ii/", "Minimum Number of Pushes to Type Word II")</f>
        <v/>
      </c>
      <c r="C1779" s="1" t="n">
        <v>782</v>
      </c>
      <c r="D1779" s="1" t="n">
        <v>80</v>
      </c>
      <c r="E1779" s="4">
        <f>IF(INDEX(C:C, ROW())+INDEX(D:D, ROW())=0, 0, INDEX(C:C, ROW())/(INDEX(C:C, ROW())+INDEX(D:D, ROW())))</f>
        <v/>
      </c>
      <c r="F1779" s="1" t="inlineStr">
        <is>
          <t>Hash Table, String, Greedy, Sorting, Counting</t>
        </is>
      </c>
      <c r="G1779" s="1" t="inlineStr">
        <is>
          <t>Medium</t>
        </is>
      </c>
      <c r="H1779" s="1" t="n">
        <v>187339</v>
      </c>
      <c r="I1779" s="1" t="n">
        <v>234303</v>
      </c>
      <c r="J1779" s="9" t="n">
        <v>0.8</v>
      </c>
      <c r="K1779" s="1" t="inlineStr">
        <is>
          <t>Yes</t>
        </is>
      </c>
      <c r="L1779" s="1" t="inlineStr">
        <is>
          <t>Yes</t>
        </is>
      </c>
      <c r="M1779" s="1" t="inlineStr">
        <is>
          <t>No</t>
        </is>
      </c>
      <c r="N1779" s="1" t="inlineStr">
        <is>
          <t>Algorithms</t>
        </is>
      </c>
      <c r="O17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79" s="11" t="inlineStr">
        <is>
          <t>To Do</t>
        </is>
      </c>
    </row>
    <row r="1780" ht="15.75" customHeight="1" s="12">
      <c r="A1780" s="1" t="n">
        <v>1298</v>
      </c>
      <c r="B1780" s="3">
        <f>HYPERLINK("https://leetcode.com/problems/maximum-candies-you-can-get-from-boxes/", "Maximum Candies You Can Get from Boxes")</f>
        <v/>
      </c>
      <c r="C1780" s="1" t="n">
        <v>777</v>
      </c>
      <c r="D1780" s="1" t="n">
        <v>228</v>
      </c>
      <c r="E1780" s="4">
        <f>IF(INDEX(C:C, ROW())+INDEX(D:D, ROW())=0, 0, INDEX(C:C, ROW())/(INDEX(C:C, ROW())+INDEX(D:D, ROW())))</f>
        <v/>
      </c>
      <c r="F1780" s="1" t="inlineStr">
        <is>
          <t>Array, Breadth-First Search, Graph Theory</t>
        </is>
      </c>
      <c r="G1780" s="1" t="inlineStr">
        <is>
          <t>Hard</t>
        </is>
      </c>
      <c r="H1780" s="1" t="n">
        <v>107079</v>
      </c>
      <c r="I1780" s="1" t="n">
        <v>158669</v>
      </c>
      <c r="J1780" s="9" t="n">
        <v>0.675</v>
      </c>
      <c r="K1780" s="1" t="inlineStr">
        <is>
          <t>Yes</t>
        </is>
      </c>
      <c r="L1780" s="1" t="inlineStr">
        <is>
          <t>Yes</t>
        </is>
      </c>
      <c r="M1780" s="1" t="inlineStr">
        <is>
          <t>No</t>
        </is>
      </c>
      <c r="N1780" s="1" t="inlineStr">
        <is>
          <t>Algorithms</t>
        </is>
      </c>
      <c r="O17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80" s="11" t="inlineStr">
        <is>
          <t>To Do</t>
        </is>
      </c>
    </row>
    <row r="1781" ht="15.75" customHeight="1" s="12">
      <c r="A1781" s="1" t="n">
        <v>2626</v>
      </c>
      <c r="B1781" s="3">
        <f>HYPERLINK("https://leetcode.com/problems/array-reduce-transformation/", "Array Reduce Transformation")</f>
        <v/>
      </c>
      <c r="C1781" s="1" t="n">
        <v>777</v>
      </c>
      <c r="D1781" s="1" t="n">
        <v>51</v>
      </c>
      <c r="E1781" s="4">
        <f>IF(INDEX(C:C, ROW())+INDEX(D:D, ROW())=0, 0, INDEX(C:C, ROW())/(INDEX(C:C, ROW())+INDEX(D:D, ROW())))</f>
        <v/>
      </c>
      <c r="F1781" s="2" t="n"/>
      <c r="G1781" s="1" t="inlineStr">
        <is>
          <t>Easy</t>
        </is>
      </c>
      <c r="H1781" s="1" t="n">
        <v>295297</v>
      </c>
      <c r="I1781" s="1" t="n">
        <v>345238</v>
      </c>
      <c r="J1781" s="9" t="n">
        <v>0.855</v>
      </c>
      <c r="K1781" s="1" t="inlineStr">
        <is>
          <t>Yes</t>
        </is>
      </c>
      <c r="L1781" s="1" t="inlineStr">
        <is>
          <t>Yes</t>
        </is>
      </c>
      <c r="M1781" s="1" t="inlineStr">
        <is>
          <t>No</t>
        </is>
      </c>
      <c r="N1781" s="1" t="inlineStr">
        <is>
          <t>JavaScript</t>
        </is>
      </c>
      <c r="O17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81" s="13" t="inlineStr">
        <is>
          <t>Done</t>
        </is>
      </c>
    </row>
    <row r="1782" ht="15.75" customHeight="1" s="12">
      <c r="A1782" s="1" t="n">
        <v>2818</v>
      </c>
      <c r="B1782" s="3">
        <f>HYPERLINK("https://leetcode.com/problems/apply-operations-to-maximize-score/", "Apply Operations to Maximize Score")</f>
        <v/>
      </c>
      <c r="C1782" s="1" t="n">
        <v>775</v>
      </c>
      <c r="D1782" s="1" t="n">
        <v>127</v>
      </c>
      <c r="E1782" s="4">
        <f>IF(INDEX(C:C, ROW())+INDEX(D:D, ROW())=0, 0, INDEX(C:C, ROW())/(INDEX(C:C, ROW())+INDEX(D:D, ROW())))</f>
        <v/>
      </c>
      <c r="F1782" s="1" t="inlineStr">
        <is>
          <t>Array, Math, Stack, Greedy, Sorting, Monotonic Stack, Number Theory</t>
        </is>
      </c>
      <c r="G1782" s="1" t="inlineStr">
        <is>
          <t>Hard</t>
        </is>
      </c>
      <c r="H1782" s="1" t="n">
        <v>76271</v>
      </c>
      <c r="I1782" s="1" t="n">
        <v>142234</v>
      </c>
      <c r="J1782" s="9" t="n">
        <v>0.536</v>
      </c>
      <c r="K1782" s="1" t="inlineStr">
        <is>
          <t>Yes</t>
        </is>
      </c>
      <c r="L1782" s="1" t="inlineStr">
        <is>
          <t>Yes</t>
        </is>
      </c>
      <c r="M1782" s="1" t="inlineStr">
        <is>
          <t>No</t>
        </is>
      </c>
      <c r="N1782" s="1" t="inlineStr">
        <is>
          <t>Algorithms</t>
        </is>
      </c>
      <c r="O17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82" s="11" t="inlineStr">
        <is>
          <t>To Do</t>
        </is>
      </c>
    </row>
    <row r="1783" ht="15.75" customHeight="1" s="12">
      <c r="A1783" s="1" t="n">
        <v>2368</v>
      </c>
      <c r="B1783" s="3">
        <f>HYPERLINK("https://leetcode.com/problems/reachable-nodes-with-restrictions/", "Reachable Nodes With Restrictions")</f>
        <v/>
      </c>
      <c r="C1783" s="1" t="n">
        <v>774</v>
      </c>
      <c r="D1783" s="1" t="n">
        <v>34</v>
      </c>
      <c r="E1783" s="4">
        <f>IF(INDEX(C:C, ROW())+INDEX(D:D, ROW())=0, 0, INDEX(C:C, ROW())/(INDEX(C:C, ROW())+INDEX(D:D, ROW())))</f>
        <v/>
      </c>
      <c r="F1783" s="1" t="inlineStr">
        <is>
          <t>Array, Hash Table, Tree, Depth-First Search, Breadth-First Search, Union-Find, Graph Theory</t>
        </is>
      </c>
      <c r="G1783" s="1" t="inlineStr">
        <is>
          <t>Medium</t>
        </is>
      </c>
      <c r="H1783" s="1" t="n">
        <v>88095</v>
      </c>
      <c r="I1783" s="1" t="n">
        <v>145981</v>
      </c>
      <c r="J1783" s="9" t="n">
        <v>0.603</v>
      </c>
      <c r="K1783" s="1" t="inlineStr">
        <is>
          <t>Yes</t>
        </is>
      </c>
      <c r="L1783" s="1" t="inlineStr">
        <is>
          <t>Yes</t>
        </is>
      </c>
      <c r="M1783" s="1" t="inlineStr">
        <is>
          <t>No</t>
        </is>
      </c>
      <c r="N1783" s="1" t="inlineStr">
        <is>
          <t>Algorithms</t>
        </is>
      </c>
      <c r="O17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83" s="11" t="inlineStr">
        <is>
          <t>To Do</t>
        </is>
      </c>
    </row>
    <row r="1784" ht="15.75" customHeight="1" s="12">
      <c r="A1784" s="1" t="n">
        <v>2817</v>
      </c>
      <c r="B1784" s="3">
        <f>HYPERLINK("https://leetcode.com/problems/minimum-absolute-difference-between-elements-with-constraint/", "Minimum Absolute Difference Between Elements With Constraint")</f>
        <v/>
      </c>
      <c r="C1784" s="1" t="n">
        <v>771</v>
      </c>
      <c r="D1784" s="1" t="n">
        <v>78</v>
      </c>
      <c r="E1784" s="4">
        <f>IF(INDEX(C:C, ROW())+INDEX(D:D, ROW())=0, 0, INDEX(C:C, ROW())/(INDEX(C:C, ROW())+INDEX(D:D, ROW())))</f>
        <v/>
      </c>
      <c r="F1784" s="1" t="inlineStr">
        <is>
          <t>Array, Binary Search, Ordered Set</t>
        </is>
      </c>
      <c r="G1784" s="1" t="inlineStr">
        <is>
          <t>Medium</t>
        </is>
      </c>
      <c r="H1784" s="1" t="n">
        <v>41986</v>
      </c>
      <c r="I1784" s="1" t="n">
        <v>111584</v>
      </c>
      <c r="J1784" s="9" t="n">
        <v>0.376</v>
      </c>
      <c r="K1784" s="1" t="inlineStr">
        <is>
          <t>Yes</t>
        </is>
      </c>
      <c r="L1784" s="1" t="inlineStr">
        <is>
          <t>No</t>
        </is>
      </c>
      <c r="M1784" s="1" t="inlineStr">
        <is>
          <t>No</t>
        </is>
      </c>
      <c r="N1784" s="1" t="inlineStr">
        <is>
          <t>Algorithms</t>
        </is>
      </c>
      <c r="O17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84" s="11" t="inlineStr">
        <is>
          <t>To Do</t>
        </is>
      </c>
    </row>
    <row r="1785" ht="15.75" customHeight="1" s="12">
      <c r="A1785" s="1" t="n">
        <v>900</v>
      </c>
      <c r="B1785" s="3">
        <f>HYPERLINK("https://leetcode.com/problems/rle-iterator/", "RLE Iterator")</f>
        <v/>
      </c>
      <c r="C1785" s="1" t="n">
        <v>770</v>
      </c>
      <c r="D1785" s="1" t="n">
        <v>202</v>
      </c>
      <c r="E1785" s="4">
        <f>IF(INDEX(C:C, ROW())+INDEX(D:D, ROW())=0, 0, INDEX(C:C, ROW())/(INDEX(C:C, ROW())+INDEX(D:D, ROW())))</f>
        <v/>
      </c>
      <c r="F1785" s="1" t="inlineStr">
        <is>
          <t>Array, Design, Counting, Iterator</t>
        </is>
      </c>
      <c r="G1785" s="1" t="inlineStr">
        <is>
          <t>Medium</t>
        </is>
      </c>
      <c r="H1785" s="1" t="n">
        <v>89608</v>
      </c>
      <c r="I1785" s="1" t="n">
        <v>151227</v>
      </c>
      <c r="J1785" s="9" t="n">
        <v>0.593</v>
      </c>
      <c r="K1785" s="1" t="inlineStr">
        <is>
          <t>Yes</t>
        </is>
      </c>
      <c r="L1785" s="1" t="inlineStr">
        <is>
          <t>Yes</t>
        </is>
      </c>
      <c r="M1785" s="1" t="inlineStr">
        <is>
          <t>No</t>
        </is>
      </c>
      <c r="N1785" s="1" t="inlineStr">
        <is>
          <t>Algorithms</t>
        </is>
      </c>
      <c r="O17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85" s="11" t="inlineStr">
        <is>
          <t>To Do</t>
        </is>
      </c>
    </row>
    <row r="1786" ht="15.75" customHeight="1" s="12">
      <c r="A1786" s="1" t="n">
        <v>1573</v>
      </c>
      <c r="B1786" s="3">
        <f>HYPERLINK("https://leetcode.com/problems/number-of-ways-to-split-a-string/", "Number of Ways to Split a String")</f>
        <v/>
      </c>
      <c r="C1786" s="1" t="n">
        <v>770</v>
      </c>
      <c r="D1786" s="1" t="n">
        <v>88</v>
      </c>
      <c r="E1786" s="4">
        <f>IF(INDEX(C:C, ROW())+INDEX(D:D, ROW())=0, 0, INDEX(C:C, ROW())/(INDEX(C:C, ROW())+INDEX(D:D, ROW())))</f>
        <v/>
      </c>
      <c r="F1786" s="1" t="inlineStr">
        <is>
          <t>Math, String</t>
        </is>
      </c>
      <c r="G1786" s="1" t="inlineStr">
        <is>
          <t>Medium</t>
        </is>
      </c>
      <c r="H1786" s="1" t="n">
        <v>36160</v>
      </c>
      <c r="I1786" s="1" t="n">
        <v>104500</v>
      </c>
      <c r="J1786" s="9" t="n">
        <v>0.346</v>
      </c>
      <c r="K1786" s="1" t="inlineStr">
        <is>
          <t>Yes</t>
        </is>
      </c>
      <c r="L1786" s="1" t="inlineStr">
        <is>
          <t>No</t>
        </is>
      </c>
      <c r="M1786" s="1" t="inlineStr">
        <is>
          <t>No</t>
        </is>
      </c>
      <c r="N1786" s="1" t="inlineStr">
        <is>
          <t>Algorithms</t>
        </is>
      </c>
      <c r="O17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86" s="11" t="inlineStr">
        <is>
          <t>To Do</t>
        </is>
      </c>
    </row>
    <row r="1787" ht="15.75" customHeight="1" s="12">
      <c r="A1787" s="1" t="n">
        <v>2623</v>
      </c>
      <c r="B1787" s="3">
        <f>HYPERLINK("https://leetcode.com/problems/memoize/", "Memoize")</f>
        <v/>
      </c>
      <c r="C1787" s="1" t="n">
        <v>770</v>
      </c>
      <c r="D1787" s="1" t="n">
        <v>120</v>
      </c>
      <c r="E1787" s="4">
        <f>IF(INDEX(C:C, ROW())+INDEX(D:D, ROW())=0, 0, INDEX(C:C, ROW())/(INDEX(C:C, ROW())+INDEX(D:D, ROW())))</f>
        <v/>
      </c>
      <c r="F1787" s="2" t="n"/>
      <c r="G1787" s="1" t="inlineStr">
        <is>
          <t>Medium</t>
        </is>
      </c>
      <c r="H1787" s="1" t="n">
        <v>186708</v>
      </c>
      <c r="I1787" s="1" t="n">
        <v>287237</v>
      </c>
      <c r="J1787" s="9" t="n">
        <v>0.65</v>
      </c>
      <c r="K1787" s="1" t="inlineStr">
        <is>
          <t>Yes</t>
        </is>
      </c>
      <c r="L1787" s="1" t="inlineStr">
        <is>
          <t>Yes</t>
        </is>
      </c>
      <c r="M1787" s="1" t="inlineStr">
        <is>
          <t>No</t>
        </is>
      </c>
      <c r="N1787" s="1" t="inlineStr">
        <is>
          <t>JavaScript</t>
        </is>
      </c>
      <c r="O17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87" s="11" t="inlineStr">
        <is>
          <t>To Do</t>
        </is>
      </c>
    </row>
    <row r="1788" ht="15.75" customHeight="1" s="12">
      <c r="A1788" s="1" t="n">
        <v>1059</v>
      </c>
      <c r="B1788" s="3">
        <f>HYPERLINK("https://leetcode.com/problems/all-paths-from-source-lead-to-destination/", "All Paths from Source Lead to Destination")</f>
        <v/>
      </c>
      <c r="C1788" s="1" t="n">
        <v>769</v>
      </c>
      <c r="D1788" s="1" t="n">
        <v>433</v>
      </c>
      <c r="E1788" s="4">
        <f>IF(INDEX(C:C, ROW())+INDEX(D:D, ROW())=0, 0, INDEX(C:C, ROW())/(INDEX(C:C, ROW())+INDEX(D:D, ROW())))</f>
        <v/>
      </c>
      <c r="F1788" s="1" t="inlineStr">
        <is>
          <t>Graph Theory, Topological Sort</t>
        </is>
      </c>
      <c r="G1788" s="1" t="inlineStr">
        <is>
          <t>Medium</t>
        </is>
      </c>
      <c r="H1788" s="1" t="n">
        <v>76863</v>
      </c>
      <c r="I1788" s="1" t="n">
        <v>206162</v>
      </c>
      <c r="J1788" s="9" t="n">
        <v>0.373</v>
      </c>
      <c r="K1788" s="1" t="inlineStr">
        <is>
          <t>No</t>
        </is>
      </c>
      <c r="L1788" s="1" t="inlineStr">
        <is>
          <t>Yes</t>
        </is>
      </c>
      <c r="M1788" s="1" t="inlineStr">
        <is>
          <t>Yes</t>
        </is>
      </c>
      <c r="N1788" s="1" t="inlineStr">
        <is>
          <t>Algorithms</t>
        </is>
      </c>
      <c r="O17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88" s="11" t="inlineStr">
        <is>
          <t>To Do</t>
        </is>
      </c>
    </row>
    <row r="1789" ht="15.75" customHeight="1" s="12">
      <c r="A1789" s="1" t="n">
        <v>1139</v>
      </c>
      <c r="B1789" s="3">
        <f>HYPERLINK("https://leetcode.com/problems/largest-1-bordered-square/", "Largest 1-Bordered Square")</f>
        <v/>
      </c>
      <c r="C1789" s="1" t="n">
        <v>769</v>
      </c>
      <c r="D1789" s="1" t="n">
        <v>118</v>
      </c>
      <c r="E1789" s="4">
        <f>IF(INDEX(C:C, ROW())+INDEX(D:D, ROW())=0, 0, INDEX(C:C, ROW())/(INDEX(C:C, ROW())+INDEX(D:D, ROW())))</f>
        <v/>
      </c>
      <c r="F1789" s="1" t="inlineStr">
        <is>
          <t>Array, Dynamic Programming, Matrix</t>
        </is>
      </c>
      <c r="G1789" s="1" t="inlineStr">
        <is>
          <t>Medium</t>
        </is>
      </c>
      <c r="H1789" s="1" t="n">
        <v>33500</v>
      </c>
      <c r="I1789" s="1" t="n">
        <v>64309</v>
      </c>
      <c r="J1789" s="9" t="n">
        <v>0.521</v>
      </c>
      <c r="K1789" s="1" t="inlineStr">
        <is>
          <t>Yes</t>
        </is>
      </c>
      <c r="L1789" s="1" t="inlineStr">
        <is>
          <t>No</t>
        </is>
      </c>
      <c r="M1789" s="1" t="inlineStr">
        <is>
          <t>No</t>
        </is>
      </c>
      <c r="N1789" s="1" t="inlineStr">
        <is>
          <t>Algorithms</t>
        </is>
      </c>
      <c r="O17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89" s="11" t="inlineStr">
        <is>
          <t>To Do</t>
        </is>
      </c>
    </row>
    <row r="1790" ht="15.75" customHeight="1" s="12">
      <c r="A1790" s="1" t="n">
        <v>2749</v>
      </c>
      <c r="B1790" s="3">
        <f>HYPERLINK("https://leetcode.com/problems/minimum-operations-to-make-the-integer-zero/", "Minimum Operations to Make the Integer Zero")</f>
        <v/>
      </c>
      <c r="C1790" s="1" t="n">
        <v>769</v>
      </c>
      <c r="D1790" s="1" t="n">
        <v>376</v>
      </c>
      <c r="E1790" s="4">
        <f>IF(INDEX(C:C, ROW())+INDEX(D:D, ROW())=0, 0, INDEX(C:C, ROW())/(INDEX(C:C, ROW())+INDEX(D:D, ROW())))</f>
        <v/>
      </c>
      <c r="F1790" s="1" t="inlineStr">
        <is>
          <t>Bit Manipulation, Brainteaser, Enumeration</t>
        </is>
      </c>
      <c r="G1790" s="1" t="inlineStr">
        <is>
          <t>Medium</t>
        </is>
      </c>
      <c r="H1790" s="1" t="n">
        <v>97169</v>
      </c>
      <c r="I1790" s="1" t="n">
        <v>167017</v>
      </c>
      <c r="J1790" s="9" t="n">
        <v>0.582</v>
      </c>
      <c r="K1790" s="1" t="inlineStr">
        <is>
          <t>Yes</t>
        </is>
      </c>
      <c r="L1790" s="1" t="inlineStr">
        <is>
          <t>Yes</t>
        </is>
      </c>
      <c r="M1790" s="1" t="inlineStr">
        <is>
          <t>No</t>
        </is>
      </c>
      <c r="N1790" s="1" t="inlineStr">
        <is>
          <t>Algorithms</t>
        </is>
      </c>
      <c r="O17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90" s="11" t="inlineStr">
        <is>
          <t>To Do</t>
        </is>
      </c>
    </row>
    <row r="1791" ht="15.75" customHeight="1" s="12">
      <c r="A1791" s="1" t="n">
        <v>3208</v>
      </c>
      <c r="B1791" s="3">
        <f>HYPERLINK("https://leetcode.com/problems/alternating-groups-ii/", "Alternating Groups II")</f>
        <v/>
      </c>
      <c r="C1791" s="1" t="n">
        <v>769</v>
      </c>
      <c r="D1791" s="1" t="n">
        <v>74</v>
      </c>
      <c r="E1791" s="4">
        <f>IF(INDEX(C:C, ROW())+INDEX(D:D, ROW())=0, 0, INDEX(C:C, ROW())/(INDEX(C:C, ROW())+INDEX(D:D, ROW())))</f>
        <v/>
      </c>
      <c r="F1791" s="1" t="inlineStr">
        <is>
          <t>Array, Sliding Window</t>
        </is>
      </c>
      <c r="G1791" s="1" t="inlineStr">
        <is>
          <t>Medium</t>
        </is>
      </c>
      <c r="H1791" s="1" t="n">
        <v>160325</v>
      </c>
      <c r="I1791" s="1" t="n">
        <v>267277</v>
      </c>
      <c r="J1791" s="9" t="n">
        <v>0.6</v>
      </c>
      <c r="K1791" s="1" t="inlineStr">
        <is>
          <t>Yes</t>
        </is>
      </c>
      <c r="L1791" s="1" t="inlineStr">
        <is>
          <t>Yes</t>
        </is>
      </c>
      <c r="M1791" s="1" t="inlineStr">
        <is>
          <t>No</t>
        </is>
      </c>
      <c r="N1791" s="1" t="inlineStr">
        <is>
          <t>Algorithms</t>
        </is>
      </c>
      <c r="O17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91" s="11" t="inlineStr">
        <is>
          <t>To Do</t>
        </is>
      </c>
    </row>
    <row r="1792" ht="15.75" customHeight="1" s="12">
      <c r="A1792" s="1" t="n">
        <v>1713</v>
      </c>
      <c r="B1792" s="3">
        <f>HYPERLINK("https://leetcode.com/problems/minimum-operations-to-make-a-subsequence/", "Minimum Operations to Make a Subsequence")</f>
        <v/>
      </c>
      <c r="C1792" s="1" t="n">
        <v>768</v>
      </c>
      <c r="D1792" s="1" t="n">
        <v>15</v>
      </c>
      <c r="E1792" s="4">
        <f>IF(INDEX(C:C, ROW())+INDEX(D:D, ROW())=0, 0, INDEX(C:C, ROW())/(INDEX(C:C, ROW())+INDEX(D:D, ROW())))</f>
        <v/>
      </c>
      <c r="F1792" s="1" t="inlineStr">
        <is>
          <t>Array, Hash Table, Binary Search, Greedy</t>
        </is>
      </c>
      <c r="G1792" s="1" t="inlineStr">
        <is>
          <t>Hard</t>
        </is>
      </c>
      <c r="H1792" s="1" t="n">
        <v>16437</v>
      </c>
      <c r="I1792" s="1" t="n">
        <v>33096</v>
      </c>
      <c r="J1792" s="9" t="n">
        <v>0.497</v>
      </c>
      <c r="K1792" s="1" t="inlineStr">
        <is>
          <t>Yes</t>
        </is>
      </c>
      <c r="L1792" s="1" t="inlineStr">
        <is>
          <t>No</t>
        </is>
      </c>
      <c r="M1792" s="1" t="inlineStr">
        <is>
          <t>No</t>
        </is>
      </c>
      <c r="N1792" s="1" t="inlineStr">
        <is>
          <t>Algorithms</t>
        </is>
      </c>
      <c r="O17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92" s="11" t="inlineStr">
        <is>
          <t>To Do</t>
        </is>
      </c>
    </row>
    <row r="1793" ht="15.75" customHeight="1" s="12">
      <c r="A1793" s="1" t="n">
        <v>2335</v>
      </c>
      <c r="B1793" s="3">
        <f>HYPERLINK("https://leetcode.com/problems/minimum-amount-of-time-to-fill-cups/", "Minimum Amount of Time to Fill Cups")</f>
        <v/>
      </c>
      <c r="C1793" s="1" t="n">
        <v>768</v>
      </c>
      <c r="D1793" s="1" t="n">
        <v>94</v>
      </c>
      <c r="E1793" s="4">
        <f>IF(INDEX(C:C, ROW())+INDEX(D:D, ROW())=0, 0, INDEX(C:C, ROW())/(INDEX(C:C, ROW())+INDEX(D:D, ROW())))</f>
        <v/>
      </c>
      <c r="F1793" s="1" t="inlineStr">
        <is>
          <t>Array, Greedy, Sorting, Heap (Priority Queue)</t>
        </is>
      </c>
      <c r="G1793" s="1" t="inlineStr">
        <is>
          <t>Easy</t>
        </is>
      </c>
      <c r="H1793" s="1" t="n">
        <v>68605</v>
      </c>
      <c r="I1793" s="1" t="n">
        <v>113880</v>
      </c>
      <c r="J1793" s="9" t="n">
        <v>0.602</v>
      </c>
      <c r="K1793" s="1" t="inlineStr">
        <is>
          <t>Yes</t>
        </is>
      </c>
      <c r="L1793" s="1" t="inlineStr">
        <is>
          <t>No</t>
        </is>
      </c>
      <c r="M1793" s="1" t="inlineStr">
        <is>
          <t>No</t>
        </is>
      </c>
      <c r="N1793" s="1" t="inlineStr">
        <is>
          <t>Algorithms</t>
        </is>
      </c>
      <c r="O17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93" s="13" t="inlineStr">
        <is>
          <t>Done</t>
        </is>
      </c>
    </row>
    <row r="1794" ht="15.75" customHeight="1" s="12">
      <c r="A1794" s="1" t="n">
        <v>3160</v>
      </c>
      <c r="B1794" s="3">
        <f>HYPERLINK("https://leetcode.com/problems/find-the-number-of-distinct-colors-among-the-balls/", "Find the Number of Distinct Colors Among the Balls")</f>
        <v/>
      </c>
      <c r="C1794" s="1" t="n">
        <v>768</v>
      </c>
      <c r="D1794" s="1" t="n">
        <v>94</v>
      </c>
      <c r="E1794" s="4">
        <f>IF(INDEX(C:C, ROW())+INDEX(D:D, ROW())=0, 0, INDEX(C:C, ROW())/(INDEX(C:C, ROW())+INDEX(D:D, ROW())))</f>
        <v/>
      </c>
      <c r="F1794" s="1" t="inlineStr">
        <is>
          <t>Array, Hash Table, Simulation</t>
        </is>
      </c>
      <c r="G1794" s="1" t="inlineStr">
        <is>
          <t>Medium</t>
        </is>
      </c>
      <c r="H1794" s="1" t="n">
        <v>171118</v>
      </c>
      <c r="I1794" s="1" t="n">
        <v>316051</v>
      </c>
      <c r="J1794" s="9" t="n">
        <v>0.541</v>
      </c>
      <c r="K1794" s="1" t="inlineStr">
        <is>
          <t>Yes</t>
        </is>
      </c>
      <c r="L1794" s="1" t="inlineStr">
        <is>
          <t>Yes</t>
        </is>
      </c>
      <c r="M1794" s="1" t="inlineStr">
        <is>
          <t>No</t>
        </is>
      </c>
      <c r="N1794" s="1" t="inlineStr">
        <is>
          <t>Algorithms</t>
        </is>
      </c>
      <c r="O17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94" s="11" t="inlineStr">
        <is>
          <t>To Do</t>
        </is>
      </c>
    </row>
    <row r="1795" ht="15.75" customHeight="1" s="12">
      <c r="A1795" s="1" t="n">
        <v>1866</v>
      </c>
      <c r="B1795" s="3">
        <f>HYPERLINK("https://leetcode.com/problems/number-of-ways-to-rearrange-sticks-with-k-sticks-visible/", "Number of Ways to Rearrange Sticks With K Sticks Visible")</f>
        <v/>
      </c>
      <c r="C1795" s="1" t="n">
        <v>767</v>
      </c>
      <c r="D1795" s="1" t="n">
        <v>24</v>
      </c>
      <c r="E1795" s="4">
        <f>IF(INDEX(C:C, ROW())+INDEX(D:D, ROW())=0, 0, INDEX(C:C, ROW())/(INDEX(C:C, ROW())+INDEX(D:D, ROW())))</f>
        <v/>
      </c>
      <c r="F1795" s="1" t="inlineStr">
        <is>
          <t>Math, Dynamic Programming, Combinatorics</t>
        </is>
      </c>
      <c r="G1795" s="1" t="inlineStr">
        <is>
          <t>Hard</t>
        </is>
      </c>
      <c r="H1795" s="1" t="n">
        <v>23340</v>
      </c>
      <c r="I1795" s="1" t="n">
        <v>38122</v>
      </c>
      <c r="J1795" s="9" t="n">
        <v>0.612</v>
      </c>
      <c r="K1795" s="1" t="inlineStr">
        <is>
          <t>Yes</t>
        </is>
      </c>
      <c r="L1795" s="1" t="inlineStr">
        <is>
          <t>No</t>
        </is>
      </c>
      <c r="M1795" s="1" t="inlineStr">
        <is>
          <t>No</t>
        </is>
      </c>
      <c r="N1795" s="1" t="inlineStr">
        <is>
          <t>Algorithms</t>
        </is>
      </c>
      <c r="O17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95" s="11" t="inlineStr">
        <is>
          <t>To Do</t>
        </is>
      </c>
    </row>
    <row r="1796" ht="15.75" customHeight="1" s="12">
      <c r="A1796" s="1" t="n">
        <v>2490</v>
      </c>
      <c r="B1796" s="3">
        <f>HYPERLINK("https://leetcode.com/problems/circular-sentence/", "Circular Sentence")</f>
        <v/>
      </c>
      <c r="C1796" s="1" t="n">
        <v>765</v>
      </c>
      <c r="D1796" s="1" t="n">
        <v>28</v>
      </c>
      <c r="E1796" s="4">
        <f>IF(INDEX(C:C, ROW())+INDEX(D:D, ROW())=0, 0, INDEX(C:C, ROW())/(INDEX(C:C, ROW())+INDEX(D:D, ROW())))</f>
        <v/>
      </c>
      <c r="F1796" s="1" t="inlineStr">
        <is>
          <t>String</t>
        </is>
      </c>
      <c r="G1796" s="1" t="inlineStr">
        <is>
          <t>Easy</t>
        </is>
      </c>
      <c r="H1796" s="1" t="n">
        <v>190335</v>
      </c>
      <c r="I1796" s="1" t="n">
        <v>271223</v>
      </c>
      <c r="J1796" s="9" t="n">
        <v>0.702</v>
      </c>
      <c r="K1796" s="1" t="inlineStr">
        <is>
          <t>Yes</t>
        </is>
      </c>
      <c r="L1796" s="1" t="inlineStr">
        <is>
          <t>Yes</t>
        </is>
      </c>
      <c r="M1796" s="1" t="inlineStr">
        <is>
          <t>No</t>
        </is>
      </c>
      <c r="N1796" s="1" t="inlineStr">
        <is>
          <t>Algorithms</t>
        </is>
      </c>
      <c r="O17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96" s="13" t="inlineStr">
        <is>
          <t>Done</t>
        </is>
      </c>
    </row>
    <row r="1797" ht="15.75" customHeight="1" s="12">
      <c r="A1797" s="1" t="n">
        <v>1729</v>
      </c>
      <c r="B1797" s="3">
        <f>HYPERLINK("https://leetcode.com/problems/find-followers-count/", "Find Followers Count")</f>
        <v/>
      </c>
      <c r="C1797" s="1" t="n">
        <v>762</v>
      </c>
      <c r="D1797" s="1" t="n">
        <v>49</v>
      </c>
      <c r="E1797" s="4">
        <f>IF(INDEX(C:C, ROW())+INDEX(D:D, ROW())=0, 0, INDEX(C:C, ROW())/(INDEX(C:C, ROW())+INDEX(D:D, ROW())))</f>
        <v/>
      </c>
      <c r="F1797" s="1" t="inlineStr">
        <is>
          <t>Database</t>
        </is>
      </c>
      <c r="G1797" s="1" t="inlineStr">
        <is>
          <t>Easy</t>
        </is>
      </c>
      <c r="H1797" s="1" t="n">
        <v>476189</v>
      </c>
      <c r="I1797" s="1" t="n">
        <v>684141</v>
      </c>
      <c r="J1797" s="9" t="n">
        <v>0.696</v>
      </c>
      <c r="K1797" s="1" t="inlineStr">
        <is>
          <t>Yes</t>
        </is>
      </c>
      <c r="L1797" s="1" t="inlineStr">
        <is>
          <t>Yes</t>
        </is>
      </c>
      <c r="M1797" s="1" t="inlineStr">
        <is>
          <t>No</t>
        </is>
      </c>
      <c r="N1797" s="1" t="inlineStr">
        <is>
          <t>Database</t>
        </is>
      </c>
      <c r="O17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97" s="13" t="inlineStr">
        <is>
          <t>Done</t>
        </is>
      </c>
    </row>
    <row r="1798" ht="15.75" customHeight="1" s="12">
      <c r="A1798" s="1" t="n">
        <v>3097</v>
      </c>
      <c r="B1798" s="3">
        <f>HYPERLINK("https://leetcode.com/problems/shortest-subarray-with-or-at-least-k-ii/", "Shortest Subarray With OR at Least K II")</f>
        <v/>
      </c>
      <c r="C1798" s="1" t="n">
        <v>762</v>
      </c>
      <c r="D1798" s="1" t="n">
        <v>73</v>
      </c>
      <c r="E1798" s="4">
        <f>IF(INDEX(C:C, ROW())+INDEX(D:D, ROW())=0, 0, INDEX(C:C, ROW())/(INDEX(C:C, ROW())+INDEX(D:D, ROW())))</f>
        <v/>
      </c>
      <c r="F1798" s="1" t="inlineStr">
        <is>
          <t>Array, Bit Manipulation, Sliding Window</t>
        </is>
      </c>
      <c r="G1798" s="1" t="inlineStr">
        <is>
          <t>Medium</t>
        </is>
      </c>
      <c r="H1798" s="1" t="n">
        <v>99674</v>
      </c>
      <c r="I1798" s="1" t="n">
        <v>198561</v>
      </c>
      <c r="J1798" s="9" t="n">
        <v>0.502</v>
      </c>
      <c r="K1798" s="1" t="inlineStr">
        <is>
          <t>Yes</t>
        </is>
      </c>
      <c r="L1798" s="1" t="inlineStr">
        <is>
          <t>Yes</t>
        </is>
      </c>
      <c r="M1798" s="1" t="inlineStr">
        <is>
          <t>No</t>
        </is>
      </c>
      <c r="N1798" s="1" t="inlineStr">
        <is>
          <t>Algorithms</t>
        </is>
      </c>
      <c r="O17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98" s="11" t="inlineStr">
        <is>
          <t>To Do</t>
        </is>
      </c>
    </row>
    <row r="1799" ht="15.75" customHeight="1" s="12">
      <c r="A1799" s="1" t="n">
        <v>1967</v>
      </c>
      <c r="B1799" s="3">
        <f>HYPERLINK("https://leetcode.com/problems/number-of-strings-that-appear-as-substrings-in-word/", "Number of Strings That Appear as Substrings in Word")</f>
        <v/>
      </c>
      <c r="C1799" s="1" t="n">
        <v>760</v>
      </c>
      <c r="D1799" s="1" t="n">
        <v>43</v>
      </c>
      <c r="E1799" s="4">
        <f>IF(INDEX(C:C, ROW())+INDEX(D:D, ROW())=0, 0, INDEX(C:C, ROW())/(INDEX(C:C, ROW())+INDEX(D:D, ROW())))</f>
        <v/>
      </c>
      <c r="F1799" s="1" t="inlineStr">
        <is>
          <t>Array, String</t>
        </is>
      </c>
      <c r="G1799" s="1" t="inlineStr">
        <is>
          <t>Easy</t>
        </is>
      </c>
      <c r="H1799" s="1" t="n">
        <v>106066</v>
      </c>
      <c r="I1799" s="1" t="n">
        <v>128523</v>
      </c>
      <c r="J1799" s="9" t="n">
        <v>0.825</v>
      </c>
      <c r="K1799" s="1" t="inlineStr">
        <is>
          <t>Yes</t>
        </is>
      </c>
      <c r="L1799" s="1" t="inlineStr">
        <is>
          <t>No</t>
        </is>
      </c>
      <c r="M1799" s="1" t="inlineStr">
        <is>
          <t>No</t>
        </is>
      </c>
      <c r="N1799" s="1" t="inlineStr">
        <is>
          <t>Algorithms</t>
        </is>
      </c>
      <c r="O17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799" s="13" t="inlineStr">
        <is>
          <t>Done</t>
        </is>
      </c>
    </row>
    <row r="1800" ht="15.75" customHeight="1" s="12">
      <c r="A1800" s="1" t="n">
        <v>2831</v>
      </c>
      <c r="B1800" s="3">
        <f>HYPERLINK("https://leetcode.com/problems/find-the-longest-equal-subarray/", "Find the Longest Equal Subarray")</f>
        <v/>
      </c>
      <c r="C1800" s="1" t="n">
        <v>760</v>
      </c>
      <c r="D1800" s="1" t="n">
        <v>20</v>
      </c>
      <c r="E1800" s="4">
        <f>IF(INDEX(C:C, ROW())+INDEX(D:D, ROW())=0, 0, INDEX(C:C, ROW())/(INDEX(C:C, ROW())+INDEX(D:D, ROW())))</f>
        <v/>
      </c>
      <c r="F1800" s="1" t="inlineStr">
        <is>
          <t>Array, Hash Table, Binary Search, Sliding Window</t>
        </is>
      </c>
      <c r="G1800" s="1" t="inlineStr">
        <is>
          <t>Medium</t>
        </is>
      </c>
      <c r="H1800" s="1" t="n">
        <v>31058</v>
      </c>
      <c r="I1800" s="1" t="n">
        <v>81626</v>
      </c>
      <c r="J1800" s="9" t="n">
        <v>0.38</v>
      </c>
      <c r="K1800" s="1" t="inlineStr">
        <is>
          <t>Yes</t>
        </is>
      </c>
      <c r="L1800" s="1" t="inlineStr">
        <is>
          <t>No</t>
        </is>
      </c>
      <c r="M1800" s="1" t="inlineStr">
        <is>
          <t>No</t>
        </is>
      </c>
      <c r="N1800" s="1" t="inlineStr">
        <is>
          <t>Algorithms</t>
        </is>
      </c>
      <c r="O18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00" s="11" t="inlineStr">
        <is>
          <t>To Do</t>
        </is>
      </c>
    </row>
    <row r="1801" ht="15.75" customHeight="1" s="12">
      <c r="A1801" s="1" t="n">
        <v>722</v>
      </c>
      <c r="B1801" s="3">
        <f>HYPERLINK("https://leetcode.com/problems/remove-comments/", "Remove Comments")</f>
        <v/>
      </c>
      <c r="C1801" s="1" t="n">
        <v>758</v>
      </c>
      <c r="D1801" s="1" t="n">
        <v>1848</v>
      </c>
      <c r="E1801" s="4">
        <f>IF(INDEX(C:C, ROW())+INDEX(D:D, ROW())=0, 0, INDEX(C:C, ROW())/(INDEX(C:C, ROW())+INDEX(D:D, ROW())))</f>
        <v/>
      </c>
      <c r="F1801" s="1" t="inlineStr">
        <is>
          <t>Array, String</t>
        </is>
      </c>
      <c r="G1801" s="1" t="inlineStr">
        <is>
          <t>Medium</t>
        </is>
      </c>
      <c r="H1801" s="1" t="n">
        <v>85817</v>
      </c>
      <c r="I1801" s="1" t="n">
        <v>213799</v>
      </c>
      <c r="J1801" s="9" t="n">
        <v>0.401</v>
      </c>
      <c r="K1801" s="1" t="inlineStr">
        <is>
          <t>Yes</t>
        </is>
      </c>
      <c r="L1801" s="1" t="inlineStr">
        <is>
          <t>Yes</t>
        </is>
      </c>
      <c r="M1801" s="1" t="inlineStr">
        <is>
          <t>No</t>
        </is>
      </c>
      <c r="N1801" s="1" t="inlineStr">
        <is>
          <t>Algorithms</t>
        </is>
      </c>
      <c r="O18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01" s="11" t="inlineStr">
        <is>
          <t>To Do</t>
        </is>
      </c>
    </row>
    <row r="1802" ht="15.75" customHeight="1" s="12">
      <c r="A1802" s="1" t="n">
        <v>1115</v>
      </c>
      <c r="B1802" s="3">
        <f>HYPERLINK("https://leetcode.com/problems/print-foobar-alternately/", "Print FooBar Alternately")</f>
        <v/>
      </c>
      <c r="C1802" s="1" t="n">
        <v>758</v>
      </c>
      <c r="D1802" s="1" t="n">
        <v>60</v>
      </c>
      <c r="E1802" s="4">
        <f>IF(INDEX(C:C, ROW())+INDEX(D:D, ROW())=0, 0, INDEX(C:C, ROW())/(INDEX(C:C, ROW())+INDEX(D:D, ROW())))</f>
        <v/>
      </c>
      <c r="F1802" s="1" t="inlineStr">
        <is>
          <t>Concurrency</t>
        </is>
      </c>
      <c r="G1802" s="1" t="inlineStr">
        <is>
          <t>Medium</t>
        </is>
      </c>
      <c r="H1802" s="1" t="n">
        <v>140328</v>
      </c>
      <c r="I1802" s="1" t="n">
        <v>193946</v>
      </c>
      <c r="J1802" s="9" t="n">
        <v>0.724</v>
      </c>
      <c r="K1802" s="1" t="inlineStr">
        <is>
          <t>Yes</t>
        </is>
      </c>
      <c r="L1802" s="1" t="inlineStr">
        <is>
          <t>No</t>
        </is>
      </c>
      <c r="M1802" s="1" t="inlineStr">
        <is>
          <t>No</t>
        </is>
      </c>
      <c r="N1802" s="1" t="inlineStr">
        <is>
          <t>Concurrency</t>
        </is>
      </c>
      <c r="O18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02" s="11" t="inlineStr">
        <is>
          <t>To Do</t>
        </is>
      </c>
    </row>
    <row r="1803" ht="15.75" customHeight="1" s="12">
      <c r="A1803" s="1" t="n">
        <v>2469</v>
      </c>
      <c r="B1803" s="3">
        <f>HYPERLINK("https://leetcode.com/problems/convert-the-temperature/", "Convert the Temperature")</f>
        <v/>
      </c>
      <c r="C1803" s="1" t="n">
        <v>758</v>
      </c>
      <c r="D1803" s="1" t="n">
        <v>370</v>
      </c>
      <c r="E1803" s="4">
        <f>IF(INDEX(C:C, ROW())+INDEX(D:D, ROW())=0, 0, INDEX(C:C, ROW())/(INDEX(C:C, ROW())+INDEX(D:D, ROW())))</f>
        <v/>
      </c>
      <c r="F1803" s="1" t="inlineStr">
        <is>
          <t>Math</t>
        </is>
      </c>
      <c r="G1803" s="1" t="inlineStr">
        <is>
          <t>Easy</t>
        </is>
      </c>
      <c r="H1803" s="1" t="n">
        <v>304459</v>
      </c>
      <c r="I1803" s="1" t="n">
        <v>337297</v>
      </c>
      <c r="J1803" s="9" t="n">
        <v>0.903</v>
      </c>
      <c r="K1803" s="1" t="inlineStr">
        <is>
          <t>Yes</t>
        </is>
      </c>
      <c r="L1803" s="1" t="inlineStr">
        <is>
          <t>No</t>
        </is>
      </c>
      <c r="M1803" s="1" t="inlineStr">
        <is>
          <t>No</t>
        </is>
      </c>
      <c r="N1803" s="1" t="inlineStr">
        <is>
          <t>Algorithms</t>
        </is>
      </c>
      <c r="O18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03" s="13" t="inlineStr">
        <is>
          <t>Done</t>
        </is>
      </c>
    </row>
    <row r="1804" ht="15.75" customHeight="1" s="12">
      <c r="A1804" s="1" t="n">
        <v>537</v>
      </c>
      <c r="B1804" s="3">
        <f>HYPERLINK("https://leetcode.com/problems/complex-number-multiplication/", "Complex Number Multiplication")</f>
        <v/>
      </c>
      <c r="C1804" s="1" t="n">
        <v>757</v>
      </c>
      <c r="D1804" s="1" t="n">
        <v>1257</v>
      </c>
      <c r="E1804" s="4">
        <f>IF(INDEX(C:C, ROW())+INDEX(D:D, ROW())=0, 0, INDEX(C:C, ROW())/(INDEX(C:C, ROW())+INDEX(D:D, ROW())))</f>
        <v/>
      </c>
      <c r="F1804" s="1" t="inlineStr">
        <is>
          <t>Math, String, Simulation</t>
        </is>
      </c>
      <c r="G1804" s="1" t="inlineStr">
        <is>
          <t>Medium</t>
        </is>
      </c>
      <c r="H1804" s="1" t="n">
        <v>115493</v>
      </c>
      <c r="I1804" s="1" t="n">
        <v>157127</v>
      </c>
      <c r="J1804" s="9" t="n">
        <v>0.735</v>
      </c>
      <c r="K1804" s="1" t="inlineStr">
        <is>
          <t>Yes</t>
        </is>
      </c>
      <c r="L1804" s="1" t="inlineStr">
        <is>
          <t>Yes</t>
        </is>
      </c>
      <c r="M1804" s="1" t="inlineStr">
        <is>
          <t>No</t>
        </is>
      </c>
      <c r="N1804" s="1" t="inlineStr">
        <is>
          <t>Algorithms</t>
        </is>
      </c>
      <c r="O18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04" s="11" t="inlineStr">
        <is>
          <t>To Do</t>
        </is>
      </c>
    </row>
    <row r="1805" ht="15.75" customHeight="1" s="12">
      <c r="A1805" s="1" t="n">
        <v>1158</v>
      </c>
      <c r="B1805" s="3">
        <f>HYPERLINK("https://leetcode.com/problems/market-analysis-i/", "Market Analysis I")</f>
        <v/>
      </c>
      <c r="C1805" s="1" t="n">
        <v>757</v>
      </c>
      <c r="D1805" s="1" t="n">
        <v>74</v>
      </c>
      <c r="E1805" s="4">
        <f>IF(INDEX(C:C, ROW())+INDEX(D:D, ROW())=0, 0, INDEX(C:C, ROW())/(INDEX(C:C, ROW())+INDEX(D:D, ROW())))</f>
        <v/>
      </c>
      <c r="F1805" s="1" t="inlineStr">
        <is>
          <t>Database</t>
        </is>
      </c>
      <c r="G1805" s="1" t="inlineStr">
        <is>
          <t>Medium</t>
        </is>
      </c>
      <c r="H1805" s="1" t="n">
        <v>174105</v>
      </c>
      <c r="I1805" s="1" t="n">
        <v>303582</v>
      </c>
      <c r="J1805" s="9" t="n">
        <v>0.574</v>
      </c>
      <c r="K1805" s="1" t="inlineStr">
        <is>
          <t>Yes</t>
        </is>
      </c>
      <c r="L1805" s="1" t="inlineStr">
        <is>
          <t>Yes</t>
        </is>
      </c>
      <c r="M1805" s="1" t="inlineStr">
        <is>
          <t>No</t>
        </is>
      </c>
      <c r="N1805" s="1" t="inlineStr">
        <is>
          <t>Database</t>
        </is>
      </c>
      <c r="O18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05" s="11" t="inlineStr">
        <is>
          <t>To Do</t>
        </is>
      </c>
    </row>
    <row r="1806" ht="15.75" customHeight="1" s="12">
      <c r="A1806" s="1" t="n">
        <v>1080</v>
      </c>
      <c r="B1806" s="3">
        <f>HYPERLINK("https://leetcode.com/problems/insufficient-nodes-in-root-to-leaf-paths/", "Insufficient Nodes in Root to Leaf Paths")</f>
        <v/>
      </c>
      <c r="C1806" s="1" t="n">
        <v>755</v>
      </c>
      <c r="D1806" s="1" t="n">
        <v>743</v>
      </c>
      <c r="E1806" s="4">
        <f>IF(INDEX(C:C, ROW())+INDEX(D:D, ROW())=0, 0, INDEX(C:C, ROW())/(INDEX(C:C, ROW())+INDEX(D:D, ROW())))</f>
        <v/>
      </c>
      <c r="F1806" s="1" t="inlineStr">
        <is>
          <t>Tree, Depth-First Search, Binary Tree</t>
        </is>
      </c>
      <c r="G1806" s="1" t="inlineStr">
        <is>
          <t>Medium</t>
        </is>
      </c>
      <c r="H1806" s="1" t="n">
        <v>51386</v>
      </c>
      <c r="I1806" s="1" t="n">
        <v>93304</v>
      </c>
      <c r="J1806" s="9" t="n">
        <v>0.551</v>
      </c>
      <c r="K1806" s="1" t="inlineStr">
        <is>
          <t>Yes</t>
        </is>
      </c>
      <c r="L1806" s="1" t="inlineStr">
        <is>
          <t>No</t>
        </is>
      </c>
      <c r="M1806" s="1" t="inlineStr">
        <is>
          <t>No</t>
        </is>
      </c>
      <c r="N1806" s="1" t="inlineStr">
        <is>
          <t>Algorithms</t>
        </is>
      </c>
      <c r="O18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06" s="11" t="inlineStr">
        <is>
          <t>To Do</t>
        </is>
      </c>
    </row>
    <row r="1807" ht="15.75" customHeight="1" s="12">
      <c r="A1807" s="1" t="n">
        <v>1170</v>
      </c>
      <c r="B1807" s="3">
        <f>HYPERLINK("https://leetcode.com/problems/compare-strings-by-frequency-of-the-smallest-character/", "Compare Strings by Frequency of the Smallest Character")</f>
        <v/>
      </c>
      <c r="C1807" s="1" t="n">
        <v>754</v>
      </c>
      <c r="D1807" s="1" t="n">
        <v>982</v>
      </c>
      <c r="E1807" s="4">
        <f>IF(INDEX(C:C, ROW())+INDEX(D:D, ROW())=0, 0, INDEX(C:C, ROW())/(INDEX(C:C, ROW())+INDEX(D:D, ROW())))</f>
        <v/>
      </c>
      <c r="F1807" s="1" t="inlineStr">
        <is>
          <t>Array, Hash Table, String, Binary Search, Sorting</t>
        </is>
      </c>
      <c r="G1807" s="1" t="inlineStr">
        <is>
          <t>Medium</t>
        </is>
      </c>
      <c r="H1807" s="1" t="n">
        <v>93374</v>
      </c>
      <c r="I1807" s="1" t="n">
        <v>147463</v>
      </c>
      <c r="J1807" s="9" t="n">
        <v>0.633</v>
      </c>
      <c r="K1807" s="1" t="inlineStr">
        <is>
          <t>Yes</t>
        </is>
      </c>
      <c r="L1807" s="1" t="inlineStr">
        <is>
          <t>No</t>
        </is>
      </c>
      <c r="M1807" s="1" t="inlineStr">
        <is>
          <t>No</t>
        </is>
      </c>
      <c r="N1807" s="1" t="inlineStr">
        <is>
          <t>Algorithms</t>
        </is>
      </c>
      <c r="O18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07" s="11" t="inlineStr">
        <is>
          <t>To Do</t>
        </is>
      </c>
    </row>
    <row r="1808" ht="15.75" customHeight="1" s="12">
      <c r="A1808" s="1" t="n">
        <v>1674</v>
      </c>
      <c r="B1808" s="3">
        <f>HYPERLINK("https://leetcode.com/problems/minimum-moves-to-make-array-complementary/", "Minimum Moves to Make Array Complementary")</f>
        <v/>
      </c>
      <c r="C1808" s="1" t="n">
        <v>754</v>
      </c>
      <c r="D1808" s="1" t="n">
        <v>87</v>
      </c>
      <c r="E1808" s="4">
        <f>IF(INDEX(C:C, ROW())+INDEX(D:D, ROW())=0, 0, INDEX(C:C, ROW())/(INDEX(C:C, ROW())+INDEX(D:D, ROW())))</f>
        <v/>
      </c>
      <c r="F1808" s="1" t="inlineStr">
        <is>
          <t>Array, Hash Table, Prefix Sum</t>
        </is>
      </c>
      <c r="G1808" s="1" t="inlineStr">
        <is>
          <t>Medium</t>
        </is>
      </c>
      <c r="H1808" s="1" t="n">
        <v>13180</v>
      </c>
      <c r="I1808" s="1" t="n">
        <v>30324</v>
      </c>
      <c r="J1808" s="9" t="n">
        <v>0.435</v>
      </c>
      <c r="K1808" s="1" t="inlineStr">
        <is>
          <t>Yes</t>
        </is>
      </c>
      <c r="L1808" s="1" t="inlineStr">
        <is>
          <t>No</t>
        </is>
      </c>
      <c r="M1808" s="1" t="inlineStr">
        <is>
          <t>No</t>
        </is>
      </c>
      <c r="N1808" s="1" t="inlineStr">
        <is>
          <t>Algorithms</t>
        </is>
      </c>
      <c r="O18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08" s="11" t="inlineStr">
        <is>
          <t>To Do</t>
        </is>
      </c>
    </row>
    <row r="1809" ht="15.75" customHeight="1" s="12">
      <c r="A1809" s="1" t="n">
        <v>3186</v>
      </c>
      <c r="B1809" s="3">
        <f>HYPERLINK("https://leetcode.com/problems/maximum-total-damage-with-spell-casting/", "Maximum Total Damage With Spell Casting")</f>
        <v/>
      </c>
      <c r="C1809" s="1" t="n">
        <v>754</v>
      </c>
      <c r="D1809" s="1" t="n">
        <v>65</v>
      </c>
      <c r="E1809" s="4">
        <f>IF(INDEX(C:C, ROW())+INDEX(D:D, ROW())=0, 0, INDEX(C:C, ROW())/(INDEX(C:C, ROW())+INDEX(D:D, ROW())))</f>
        <v/>
      </c>
      <c r="F1809" s="1" t="inlineStr">
        <is>
          <t>Array, Hash Table, Two Pointers, Binary Search, Dynamic Programming, Sorting, Counting</t>
        </is>
      </c>
      <c r="G1809" s="1" t="inlineStr">
        <is>
          <t>Medium</t>
        </is>
      </c>
      <c r="H1809" s="1" t="n">
        <v>114822</v>
      </c>
      <c r="I1809" s="1" t="n">
        <v>254679</v>
      </c>
      <c r="J1809" s="9" t="n">
        <v>0.451</v>
      </c>
      <c r="K1809" s="1" t="inlineStr">
        <is>
          <t>Yes</t>
        </is>
      </c>
      <c r="L1809" s="1" t="inlineStr">
        <is>
          <t>Yes</t>
        </is>
      </c>
      <c r="M1809" s="1" t="inlineStr">
        <is>
          <t>No</t>
        </is>
      </c>
      <c r="N1809" s="1" t="inlineStr">
        <is>
          <t>Algorithms</t>
        </is>
      </c>
      <c r="O18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09" s="11" t="inlineStr">
        <is>
          <t>To Do</t>
        </is>
      </c>
    </row>
    <row r="1810" ht="15.75" customHeight="1" s="12">
      <c r="A1810" s="1" t="n">
        <v>903</v>
      </c>
      <c r="B1810" s="3">
        <f>HYPERLINK("https://leetcode.com/problems/valid-permutations-for-di-sequence/", "Valid Permutations for DI Sequence")</f>
        <v/>
      </c>
      <c r="C1810" s="1" t="n">
        <v>752</v>
      </c>
      <c r="D1810" s="1" t="n">
        <v>45</v>
      </c>
      <c r="E1810" s="4">
        <f>IF(INDEX(C:C, ROW())+INDEX(D:D, ROW())=0, 0, INDEX(C:C, ROW())/(INDEX(C:C, ROW())+INDEX(D:D, ROW())))</f>
        <v/>
      </c>
      <c r="F1810" s="1" t="inlineStr">
        <is>
          <t>String, Dynamic Programming, Prefix Sum</t>
        </is>
      </c>
      <c r="G1810" s="1" t="inlineStr">
        <is>
          <t>Hard</t>
        </is>
      </c>
      <c r="H1810" s="1" t="n">
        <v>21042</v>
      </c>
      <c r="I1810" s="1" t="n">
        <v>37304</v>
      </c>
      <c r="J1810" s="9" t="n">
        <v>0.5639999999999999</v>
      </c>
      <c r="K1810" s="1" t="inlineStr">
        <is>
          <t>Yes</t>
        </is>
      </c>
      <c r="L1810" s="1" t="inlineStr">
        <is>
          <t>Yes</t>
        </is>
      </c>
      <c r="M1810" s="1" t="inlineStr">
        <is>
          <t>No</t>
        </is>
      </c>
      <c r="N1810" s="1" t="inlineStr">
        <is>
          <t>Algorithms</t>
        </is>
      </c>
      <c r="O18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10" s="11" t="inlineStr">
        <is>
          <t>To Do</t>
        </is>
      </c>
    </row>
    <row r="1811" ht="15.75" customHeight="1" s="12">
      <c r="A1811" s="1" t="n">
        <v>2080</v>
      </c>
      <c r="B1811" s="3">
        <f>HYPERLINK("https://leetcode.com/problems/range-frequency-queries/", "Range Frequency Queries")</f>
        <v/>
      </c>
      <c r="C1811" s="1" t="n">
        <v>752</v>
      </c>
      <c r="D1811" s="1" t="n">
        <v>29</v>
      </c>
      <c r="E1811" s="4">
        <f>IF(INDEX(C:C, ROW())+INDEX(D:D, ROW())=0, 0, INDEX(C:C, ROW())/(INDEX(C:C, ROW())+INDEX(D:D, ROW())))</f>
        <v/>
      </c>
      <c r="F1811" s="1" t="inlineStr">
        <is>
          <t>Array, Hash Table, Binary Search, Design, Segment Tree</t>
        </is>
      </c>
      <c r="G1811" s="1" t="inlineStr">
        <is>
          <t>Medium</t>
        </is>
      </c>
      <c r="H1811" s="1" t="n">
        <v>35215</v>
      </c>
      <c r="I1811" s="1" t="n">
        <v>82067</v>
      </c>
      <c r="J1811" s="9" t="n">
        <v>0.429</v>
      </c>
      <c r="K1811" s="1" t="inlineStr">
        <is>
          <t>Yes</t>
        </is>
      </c>
      <c r="L1811" s="1" t="inlineStr">
        <is>
          <t>No</t>
        </is>
      </c>
      <c r="M1811" s="1" t="inlineStr">
        <is>
          <t>No</t>
        </is>
      </c>
      <c r="N1811" s="1" t="inlineStr">
        <is>
          <t>Algorithms</t>
        </is>
      </c>
      <c r="O18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11" s="11" t="inlineStr">
        <is>
          <t>To Do</t>
        </is>
      </c>
    </row>
    <row r="1812" ht="15.75" customHeight="1" s="12">
      <c r="A1812" s="1" t="n">
        <v>2356</v>
      </c>
      <c r="B1812" s="3">
        <f>HYPERLINK("https://leetcode.com/problems/number-of-unique-subjects-taught-by-each-teacher/", "Number of Unique Subjects Taught by Each Teacher")</f>
        <v/>
      </c>
      <c r="C1812" s="1" t="n">
        <v>752</v>
      </c>
      <c r="D1812" s="1" t="n">
        <v>57</v>
      </c>
      <c r="E1812" s="4">
        <f>IF(INDEX(C:C, ROW())+INDEX(D:D, ROW())=0, 0, INDEX(C:C, ROW())/(INDEX(C:C, ROW())+INDEX(D:D, ROW())))</f>
        <v/>
      </c>
      <c r="F1812" s="1" t="inlineStr">
        <is>
          <t>Database</t>
        </is>
      </c>
      <c r="G1812" s="1" t="inlineStr">
        <is>
          <t>Easy</t>
        </is>
      </c>
      <c r="H1812" s="1" t="n">
        <v>524042</v>
      </c>
      <c r="I1812" s="1" t="n">
        <v>587387</v>
      </c>
      <c r="J1812" s="9" t="n">
        <v>0.892</v>
      </c>
      <c r="K1812" s="1" t="inlineStr">
        <is>
          <t>Yes</t>
        </is>
      </c>
      <c r="L1812" s="1" t="inlineStr">
        <is>
          <t>Yes</t>
        </is>
      </c>
      <c r="M1812" s="1" t="inlineStr">
        <is>
          <t>No</t>
        </is>
      </c>
      <c r="N1812" s="1" t="inlineStr">
        <is>
          <t>Database</t>
        </is>
      </c>
      <c r="O18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12" s="13" t="inlineStr">
        <is>
          <t>Done</t>
        </is>
      </c>
    </row>
    <row r="1813" ht="15.75" customHeight="1" s="12">
      <c r="A1813" s="1" t="n">
        <v>2442</v>
      </c>
      <c r="B1813" s="3">
        <f>HYPERLINK("https://leetcode.com/problems/count-number-of-distinct-integers-after-reverse-operations/", "Count Number of Distinct Integers After Reverse Operations")</f>
        <v/>
      </c>
      <c r="C1813" s="1" t="n">
        <v>752</v>
      </c>
      <c r="D1813" s="1" t="n">
        <v>61</v>
      </c>
      <c r="E1813" s="4">
        <f>IF(INDEX(C:C, ROW())+INDEX(D:D, ROW())=0, 0, INDEX(C:C, ROW())/(INDEX(C:C, ROW())+INDEX(D:D, ROW())))</f>
        <v/>
      </c>
      <c r="F1813" s="1" t="inlineStr">
        <is>
          <t>Array, Hash Table, Math, Counting</t>
        </is>
      </c>
      <c r="G1813" s="1" t="inlineStr">
        <is>
          <t>Medium</t>
        </is>
      </c>
      <c r="H1813" s="1" t="n">
        <v>102012</v>
      </c>
      <c r="I1813" s="1" t="n">
        <v>125240</v>
      </c>
      <c r="J1813" s="9" t="n">
        <v>0.8149999999999999</v>
      </c>
      <c r="K1813" s="1" t="inlineStr">
        <is>
          <t>Yes</t>
        </is>
      </c>
      <c r="L1813" s="1" t="inlineStr">
        <is>
          <t>No</t>
        </is>
      </c>
      <c r="M1813" s="1" t="inlineStr">
        <is>
          <t>No</t>
        </is>
      </c>
      <c r="N1813" s="1" t="inlineStr">
        <is>
          <t>Algorithms</t>
        </is>
      </c>
      <c r="O18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13" s="11" t="inlineStr">
        <is>
          <t>To Do</t>
        </is>
      </c>
    </row>
    <row r="1814" ht="15.75" customHeight="1" s="12">
      <c r="A1814" s="1" t="n">
        <v>2653</v>
      </c>
      <c r="B1814" s="3">
        <f>HYPERLINK("https://leetcode.com/problems/sliding-subarray-beauty/", "Sliding Subarray Beauty")</f>
        <v/>
      </c>
      <c r="C1814" s="1" t="n">
        <v>752</v>
      </c>
      <c r="D1814" s="1" t="n">
        <v>140</v>
      </c>
      <c r="E1814" s="4">
        <f>IF(INDEX(C:C, ROW())+INDEX(D:D, ROW())=0, 0, INDEX(C:C, ROW())/(INDEX(C:C, ROW())+INDEX(D:D, ROW())))</f>
        <v/>
      </c>
      <c r="F1814" s="1" t="inlineStr">
        <is>
          <t>Array, Hash Table, Sliding Window</t>
        </is>
      </c>
      <c r="G1814" s="1" t="inlineStr">
        <is>
          <t>Medium</t>
        </is>
      </c>
      <c r="H1814" s="1" t="n">
        <v>34978</v>
      </c>
      <c r="I1814" s="1" t="n">
        <v>94698</v>
      </c>
      <c r="J1814" s="9" t="n">
        <v>0.369</v>
      </c>
      <c r="K1814" s="1" t="inlineStr">
        <is>
          <t>Yes</t>
        </is>
      </c>
      <c r="L1814" s="1" t="inlineStr">
        <is>
          <t>No</t>
        </is>
      </c>
      <c r="M1814" s="1" t="inlineStr">
        <is>
          <t>No</t>
        </is>
      </c>
      <c r="N1814" s="1" t="inlineStr">
        <is>
          <t>Algorithms</t>
        </is>
      </c>
      <c r="O18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14" s="11" t="inlineStr">
        <is>
          <t>To Do</t>
        </is>
      </c>
    </row>
    <row r="1815" ht="15.75" customHeight="1" s="12">
      <c r="A1815" s="1" t="n">
        <v>2454</v>
      </c>
      <c r="B1815" s="3">
        <f>HYPERLINK("https://leetcode.com/problems/next-greater-element-iv/", "Next Greater Element IV")</f>
        <v/>
      </c>
      <c r="C1815" s="1" t="n">
        <v>751</v>
      </c>
      <c r="D1815" s="1" t="n">
        <v>12</v>
      </c>
      <c r="E1815" s="4">
        <f>IF(INDEX(C:C, ROW())+INDEX(D:D, ROW())=0, 0, INDEX(C:C, ROW())/(INDEX(C:C, ROW())+INDEX(D:D, ROW())))</f>
        <v/>
      </c>
      <c r="F1815" s="1" t="inlineStr">
        <is>
          <t>Array, Binary Search, Stack, Sorting, Heap (Priority Queue), Monotonic Stack</t>
        </is>
      </c>
      <c r="G1815" s="1" t="inlineStr">
        <is>
          <t>Hard</t>
        </is>
      </c>
      <c r="H1815" s="1" t="n">
        <v>19010</v>
      </c>
      <c r="I1815" s="1" t="n">
        <v>45406</v>
      </c>
      <c r="J1815" s="9" t="n">
        <v>0.419</v>
      </c>
      <c r="K1815" s="1" t="inlineStr">
        <is>
          <t>Yes</t>
        </is>
      </c>
      <c r="L1815" s="1" t="inlineStr">
        <is>
          <t>No</t>
        </is>
      </c>
      <c r="M1815" s="1" t="inlineStr">
        <is>
          <t>No</t>
        </is>
      </c>
      <c r="N1815" s="1" t="inlineStr">
        <is>
          <t>Algorithms</t>
        </is>
      </c>
      <c r="O18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15" s="11" t="inlineStr">
        <is>
          <t>To Do</t>
        </is>
      </c>
    </row>
    <row r="1816" ht="15.75" customHeight="1" s="12">
      <c r="A1816" s="1" t="n">
        <v>2023</v>
      </c>
      <c r="B1816" s="3">
        <f>HYPERLINK("https://leetcode.com/problems/number-of-pairs-of-strings-with-concatenation-equal-to-target/", "Number of Pairs of Strings With Concatenation Equal to Target")</f>
        <v/>
      </c>
      <c r="C1816" s="1" t="n">
        <v>750</v>
      </c>
      <c r="D1816" s="1" t="n">
        <v>57</v>
      </c>
      <c r="E1816" s="4">
        <f>IF(INDEX(C:C, ROW())+INDEX(D:D, ROW())=0, 0, INDEX(C:C, ROW())/(INDEX(C:C, ROW())+INDEX(D:D, ROW())))</f>
        <v/>
      </c>
      <c r="F1816" s="1" t="inlineStr">
        <is>
          <t>Array, Hash Table, String, Counting</t>
        </is>
      </c>
      <c r="G1816" s="1" t="inlineStr">
        <is>
          <t>Medium</t>
        </is>
      </c>
      <c r="H1816" s="1" t="n">
        <v>63481</v>
      </c>
      <c r="I1816" s="1" t="n">
        <v>84196</v>
      </c>
      <c r="J1816" s="9" t="n">
        <v>0.754</v>
      </c>
      <c r="K1816" s="1" t="inlineStr">
        <is>
          <t>Yes</t>
        </is>
      </c>
      <c r="L1816" s="1" t="inlineStr">
        <is>
          <t>No</t>
        </is>
      </c>
      <c r="M1816" s="1" t="inlineStr">
        <is>
          <t>No</t>
        </is>
      </c>
      <c r="N1816" s="1" t="inlineStr">
        <is>
          <t>Algorithms</t>
        </is>
      </c>
      <c r="O18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16" s="11" t="inlineStr">
        <is>
          <t>To Do</t>
        </is>
      </c>
    </row>
    <row r="1817" ht="15.75" customHeight="1" s="12">
      <c r="A1817" s="1" t="n">
        <v>1407</v>
      </c>
      <c r="B1817" s="3">
        <f>HYPERLINK("https://leetcode.com/problems/top-travellers/", "Top Travellers")</f>
        <v/>
      </c>
      <c r="C1817" s="1" t="n">
        <v>749</v>
      </c>
      <c r="D1817" s="1" t="n">
        <v>85</v>
      </c>
      <c r="E1817" s="4">
        <f>IF(INDEX(C:C, ROW())+INDEX(D:D, ROW())=0, 0, INDEX(C:C, ROW())/(INDEX(C:C, ROW())+INDEX(D:D, ROW())))</f>
        <v/>
      </c>
      <c r="F1817" s="1" t="inlineStr">
        <is>
          <t>Database</t>
        </is>
      </c>
      <c r="G1817" s="1" t="inlineStr">
        <is>
          <t>Easy</t>
        </is>
      </c>
      <c r="H1817" s="1" t="n">
        <v>214985</v>
      </c>
      <c r="I1817" s="1" t="n">
        <v>375240</v>
      </c>
      <c r="J1817" s="9" t="n">
        <v>0.573</v>
      </c>
      <c r="K1817" s="1" t="inlineStr">
        <is>
          <t>Yes</t>
        </is>
      </c>
      <c r="L1817" s="1" t="inlineStr">
        <is>
          <t>Yes</t>
        </is>
      </c>
      <c r="M1817" s="1" t="inlineStr">
        <is>
          <t>No</t>
        </is>
      </c>
      <c r="N1817" s="1" t="inlineStr">
        <is>
          <t>Database</t>
        </is>
      </c>
      <c r="O18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17" s="13" t="inlineStr">
        <is>
          <t>Done</t>
        </is>
      </c>
    </row>
    <row r="1818" ht="15.75" customHeight="1" s="12">
      <c r="A1818" s="1" t="n">
        <v>1987</v>
      </c>
      <c r="B1818" s="3">
        <f>HYPERLINK("https://leetcode.com/problems/number-of-unique-good-subsequences/", "Number of Unique Good Subsequences")</f>
        <v/>
      </c>
      <c r="C1818" s="1" t="n">
        <v>749</v>
      </c>
      <c r="D1818" s="1" t="n">
        <v>17</v>
      </c>
      <c r="E1818" s="4">
        <f>IF(INDEX(C:C, ROW())+INDEX(D:D, ROW())=0, 0, INDEX(C:C, ROW())/(INDEX(C:C, ROW())+INDEX(D:D, ROW())))</f>
        <v/>
      </c>
      <c r="F1818" s="1" t="inlineStr">
        <is>
          <t>String, Dynamic Programming</t>
        </is>
      </c>
      <c r="G1818" s="1" t="inlineStr">
        <is>
          <t>Hard</t>
        </is>
      </c>
      <c r="H1818" s="1" t="n">
        <v>17061</v>
      </c>
      <c r="I1818" s="1" t="n">
        <v>32614</v>
      </c>
      <c r="J1818" s="9" t="n">
        <v>0.523</v>
      </c>
      <c r="K1818" s="1" t="inlineStr">
        <is>
          <t>Yes</t>
        </is>
      </c>
      <c r="L1818" s="1" t="inlineStr">
        <is>
          <t>No</t>
        </is>
      </c>
      <c r="M1818" s="1" t="inlineStr">
        <is>
          <t>No</t>
        </is>
      </c>
      <c r="N1818" s="1" t="inlineStr">
        <is>
          <t>Algorithms</t>
        </is>
      </c>
      <c r="O18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18" s="11" t="inlineStr">
        <is>
          <t>To Do</t>
        </is>
      </c>
    </row>
    <row r="1819" ht="15.75" customHeight="1" s="12">
      <c r="A1819" s="1" t="n">
        <v>2087</v>
      </c>
      <c r="B1819" s="3">
        <f>HYPERLINK("https://leetcode.com/problems/minimum-cost-homecoming-of-a-robot-in-a-grid/", "Minimum Cost Homecoming of a Robot in a Grid")</f>
        <v/>
      </c>
      <c r="C1819" s="1" t="n">
        <v>749</v>
      </c>
      <c r="D1819" s="1" t="n">
        <v>98</v>
      </c>
      <c r="E1819" s="4">
        <f>IF(INDEX(C:C, ROW())+INDEX(D:D, ROW())=0, 0, INDEX(C:C, ROW())/(INDEX(C:C, ROW())+INDEX(D:D, ROW())))</f>
        <v/>
      </c>
      <c r="F1819" s="1" t="inlineStr">
        <is>
          <t>Array, Greedy</t>
        </is>
      </c>
      <c r="G1819" s="1" t="inlineStr">
        <is>
          <t>Medium</t>
        </is>
      </c>
      <c r="H1819" s="1" t="n">
        <v>27397</v>
      </c>
      <c r="I1819" s="1" t="n">
        <v>52930</v>
      </c>
      <c r="J1819" s="9" t="n">
        <v>0.518</v>
      </c>
      <c r="K1819" s="1" t="inlineStr">
        <is>
          <t>Yes</t>
        </is>
      </c>
      <c r="L1819" s="1" t="inlineStr">
        <is>
          <t>Yes</t>
        </is>
      </c>
      <c r="M1819" s="1" t="inlineStr">
        <is>
          <t>No</t>
        </is>
      </c>
      <c r="N1819" s="1" t="inlineStr">
        <is>
          <t>Algorithms</t>
        </is>
      </c>
      <c r="O18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19" s="11" t="inlineStr">
        <is>
          <t>To Do</t>
        </is>
      </c>
    </row>
    <row r="1820" ht="15.75" customHeight="1" s="12">
      <c r="A1820" s="1" t="n">
        <v>1907</v>
      </c>
      <c r="B1820" s="3">
        <f>HYPERLINK("https://leetcode.com/problems/count-salary-categories/", "Count Salary Categories")</f>
        <v/>
      </c>
      <c r="C1820" s="1" t="n">
        <v>747</v>
      </c>
      <c r="D1820" s="1" t="n">
        <v>115</v>
      </c>
      <c r="E1820" s="4">
        <f>IF(INDEX(C:C, ROW())+INDEX(D:D, ROW())=0, 0, INDEX(C:C, ROW())/(INDEX(C:C, ROW())+INDEX(D:D, ROW())))</f>
        <v/>
      </c>
      <c r="F1820" s="1" t="inlineStr">
        <is>
          <t>Database</t>
        </is>
      </c>
      <c r="G1820" s="1" t="inlineStr">
        <is>
          <t>Medium</t>
        </is>
      </c>
      <c r="H1820" s="1" t="n">
        <v>306151</v>
      </c>
      <c r="I1820" s="1" t="n">
        <v>475535</v>
      </c>
      <c r="J1820" s="9" t="n">
        <v>0.644</v>
      </c>
      <c r="K1820" s="1" t="inlineStr">
        <is>
          <t>Yes</t>
        </is>
      </c>
      <c r="L1820" s="1" t="inlineStr">
        <is>
          <t>Yes</t>
        </is>
      </c>
      <c r="M1820" s="1" t="inlineStr">
        <is>
          <t>No</t>
        </is>
      </c>
      <c r="N1820" s="1" t="inlineStr">
        <is>
          <t>Database</t>
        </is>
      </c>
      <c r="O18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20" s="11" t="inlineStr">
        <is>
          <t>To Do</t>
        </is>
      </c>
    </row>
    <row r="1821" ht="15.75" customHeight="1" s="12">
      <c r="A1821" s="1" t="n">
        <v>2039</v>
      </c>
      <c r="B1821" s="3">
        <f>HYPERLINK("https://leetcode.com/problems/the-time-when-the-network-becomes-idle/", "The Time When the Network Becomes Idle")</f>
        <v/>
      </c>
      <c r="C1821" s="1" t="n">
        <v>747</v>
      </c>
      <c r="D1821" s="1" t="n">
        <v>78</v>
      </c>
      <c r="E1821" s="4">
        <f>IF(INDEX(C:C, ROW())+INDEX(D:D, ROW())=0, 0, INDEX(C:C, ROW())/(INDEX(C:C, ROW())+INDEX(D:D, ROW())))</f>
        <v/>
      </c>
      <c r="F1821" s="1" t="inlineStr">
        <is>
          <t>Array, Breadth-First Search, Graph Theory</t>
        </is>
      </c>
      <c r="G1821" s="1" t="inlineStr">
        <is>
          <t>Medium</t>
        </is>
      </c>
      <c r="H1821" s="1" t="n">
        <v>23790</v>
      </c>
      <c r="I1821" s="1" t="n">
        <v>42829</v>
      </c>
      <c r="J1821" s="9" t="n">
        <v>0.555</v>
      </c>
      <c r="K1821" s="1" t="inlineStr">
        <is>
          <t>Yes</t>
        </is>
      </c>
      <c r="L1821" s="1" t="inlineStr">
        <is>
          <t>No</t>
        </is>
      </c>
      <c r="M1821" s="1" t="inlineStr">
        <is>
          <t>No</t>
        </is>
      </c>
      <c r="N1821" s="1" t="inlineStr">
        <is>
          <t>Algorithms</t>
        </is>
      </c>
      <c r="O18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21" s="11" t="inlineStr">
        <is>
          <t>To Do</t>
        </is>
      </c>
    </row>
    <row r="1822" ht="15.75" customHeight="1" s="12">
      <c r="A1822" s="1" t="n">
        <v>651</v>
      </c>
      <c r="B1822" s="3">
        <f>HYPERLINK("https://leetcode.com/problems/4-keys-keyboard/", "4 Keys Keyboard")</f>
        <v/>
      </c>
      <c r="C1822" s="1" t="n">
        <v>746</v>
      </c>
      <c r="D1822" s="1" t="n">
        <v>94</v>
      </c>
      <c r="E1822" s="4">
        <f>IF(INDEX(C:C, ROW())+INDEX(D:D, ROW())=0, 0, INDEX(C:C, ROW())/(INDEX(C:C, ROW())+INDEX(D:D, ROW())))</f>
        <v/>
      </c>
      <c r="F1822" s="1" t="inlineStr">
        <is>
          <t>Math, Dynamic Programming</t>
        </is>
      </c>
      <c r="G1822" s="1" t="inlineStr">
        <is>
          <t>Medium</t>
        </is>
      </c>
      <c r="H1822" s="1" t="n">
        <v>36064</v>
      </c>
      <c r="I1822" s="1" t="n">
        <v>63818</v>
      </c>
      <c r="J1822" s="9" t="n">
        <v>0.5649999999999999</v>
      </c>
      <c r="K1822" s="1" t="inlineStr">
        <is>
          <t>No</t>
        </is>
      </c>
      <c r="L1822" s="1" t="inlineStr">
        <is>
          <t>Yes</t>
        </is>
      </c>
      <c r="M1822" s="1" t="inlineStr">
        <is>
          <t>No</t>
        </is>
      </c>
      <c r="N1822" s="1" t="inlineStr">
        <is>
          <t>Algorithms</t>
        </is>
      </c>
      <c r="O18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22" s="11" t="inlineStr">
        <is>
          <t>To Do</t>
        </is>
      </c>
    </row>
    <row r="1823" ht="15.75" customHeight="1" s="12">
      <c r="A1823" s="1" t="n">
        <v>949</v>
      </c>
      <c r="B1823" s="3">
        <f>HYPERLINK("https://leetcode.com/problems/largest-time-for-given-digits/", "Largest Time for Given Digits")</f>
        <v/>
      </c>
      <c r="C1823" s="1" t="n">
        <v>746</v>
      </c>
      <c r="D1823" s="1" t="n">
        <v>1072</v>
      </c>
      <c r="E1823" s="4">
        <f>IF(INDEX(C:C, ROW())+INDEX(D:D, ROW())=0, 0, INDEX(C:C, ROW())/(INDEX(C:C, ROW())+INDEX(D:D, ROW())))</f>
        <v/>
      </c>
      <c r="F1823" s="1" t="inlineStr">
        <is>
          <t>Array, String, Backtracking, Enumeration</t>
        </is>
      </c>
      <c r="G1823" s="1" t="inlineStr">
        <is>
          <t>Medium</t>
        </is>
      </c>
      <c r="H1823" s="1" t="n">
        <v>103776</v>
      </c>
      <c r="I1823" s="1" t="n">
        <v>288909</v>
      </c>
      <c r="J1823" s="9" t="n">
        <v>0.359</v>
      </c>
      <c r="K1823" s="1" t="inlineStr">
        <is>
          <t>Yes</t>
        </is>
      </c>
      <c r="L1823" s="1" t="inlineStr">
        <is>
          <t>Yes</t>
        </is>
      </c>
      <c r="M1823" s="1" t="inlineStr">
        <is>
          <t>No</t>
        </is>
      </c>
      <c r="N1823" s="1" t="inlineStr">
        <is>
          <t>Algorithms</t>
        </is>
      </c>
      <c r="O18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23" s="11" t="inlineStr">
        <is>
          <t>To Do</t>
        </is>
      </c>
    </row>
    <row r="1824" ht="15.75" customHeight="1" s="12">
      <c r="A1824" s="1" t="n">
        <v>1703</v>
      </c>
      <c r="B1824" s="3">
        <f>HYPERLINK("https://leetcode.com/problems/minimum-adjacent-swaps-for-k-consecutive-ones/", "Minimum Adjacent Swaps for K Consecutive Ones")</f>
        <v/>
      </c>
      <c r="C1824" s="1" t="n">
        <v>744</v>
      </c>
      <c r="D1824" s="1" t="n">
        <v>29</v>
      </c>
      <c r="E1824" s="4">
        <f>IF(INDEX(C:C, ROW())+INDEX(D:D, ROW())=0, 0, INDEX(C:C, ROW())/(INDEX(C:C, ROW())+INDEX(D:D, ROW())))</f>
        <v/>
      </c>
      <c r="F1824" s="1" t="inlineStr">
        <is>
          <t>Array, Greedy, Sliding Window, Prefix Sum</t>
        </is>
      </c>
      <c r="G1824" s="1" t="inlineStr">
        <is>
          <t>Hard</t>
        </is>
      </c>
      <c r="H1824" s="1" t="n">
        <v>14433</v>
      </c>
      <c r="I1824" s="1" t="n">
        <v>34177</v>
      </c>
      <c r="J1824" s="9" t="n">
        <v>0.422</v>
      </c>
      <c r="K1824" s="1" t="inlineStr">
        <is>
          <t>Yes</t>
        </is>
      </c>
      <c r="L1824" s="1" t="inlineStr">
        <is>
          <t>No</t>
        </is>
      </c>
      <c r="M1824" s="1" t="inlineStr">
        <is>
          <t>No</t>
        </is>
      </c>
      <c r="N1824" s="1" t="inlineStr">
        <is>
          <t>Algorithms</t>
        </is>
      </c>
      <c r="O18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24" s="11" t="inlineStr">
        <is>
          <t>To Do</t>
        </is>
      </c>
    </row>
    <row r="1825" ht="15.75" customHeight="1" s="12">
      <c r="A1825" s="1" t="n">
        <v>1925</v>
      </c>
      <c r="B1825" s="3">
        <f>HYPERLINK("https://leetcode.com/problems/count-square-sum-triples/", "Count Square Sum Triples")</f>
        <v/>
      </c>
      <c r="C1825" s="1" t="n">
        <v>744</v>
      </c>
      <c r="D1825" s="1" t="n">
        <v>65</v>
      </c>
      <c r="E1825" s="4">
        <f>IF(INDEX(C:C, ROW())+INDEX(D:D, ROW())=0, 0, INDEX(C:C, ROW())/(INDEX(C:C, ROW())+INDEX(D:D, ROW())))</f>
        <v/>
      </c>
      <c r="F1825" s="1" t="inlineStr">
        <is>
          <t>Math, Enumeration</t>
        </is>
      </c>
      <c r="G1825" s="1" t="inlineStr">
        <is>
          <t>Easy</t>
        </is>
      </c>
      <c r="H1825" s="1" t="n">
        <v>188584</v>
      </c>
      <c r="I1825" s="1" t="n">
        <v>244391</v>
      </c>
      <c r="J1825" s="9" t="n">
        <v>0.772</v>
      </c>
      <c r="K1825" s="1" t="inlineStr">
        <is>
          <t>Yes</t>
        </is>
      </c>
      <c r="L1825" s="1" t="inlineStr">
        <is>
          <t>Yes</t>
        </is>
      </c>
      <c r="M1825" s="1" t="inlineStr">
        <is>
          <t>No</t>
        </is>
      </c>
      <c r="N1825" s="1" t="inlineStr">
        <is>
          <t>Algorithms</t>
        </is>
      </c>
      <c r="O18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25" s="13" t="inlineStr">
        <is>
          <t>Done</t>
        </is>
      </c>
    </row>
    <row r="1826" ht="15.75" customHeight="1" s="12">
      <c r="A1826" s="1" t="n">
        <v>2341</v>
      </c>
      <c r="B1826" s="3">
        <f>HYPERLINK("https://leetcode.com/problems/maximum-number-of-pairs-in-array/", "Maximum Number of Pairs in Array")</f>
        <v/>
      </c>
      <c r="C1826" s="1" t="n">
        <v>744</v>
      </c>
      <c r="D1826" s="1" t="n">
        <v>19</v>
      </c>
      <c r="E1826" s="4">
        <f>IF(INDEX(C:C, ROW())+INDEX(D:D, ROW())=0, 0, INDEX(C:C, ROW())/(INDEX(C:C, ROW())+INDEX(D:D, ROW())))</f>
        <v/>
      </c>
      <c r="F1826" s="1" t="inlineStr">
        <is>
          <t>Array, Hash Table, Counting</t>
        </is>
      </c>
      <c r="G1826" s="1" t="inlineStr">
        <is>
          <t>Easy</t>
        </is>
      </c>
      <c r="H1826" s="1" t="n">
        <v>92711</v>
      </c>
      <c r="I1826" s="1" t="n">
        <v>121816</v>
      </c>
      <c r="J1826" s="9" t="n">
        <v>0.761</v>
      </c>
      <c r="K1826" s="1" t="inlineStr">
        <is>
          <t>Yes</t>
        </is>
      </c>
      <c r="L1826" s="1" t="inlineStr">
        <is>
          <t>No</t>
        </is>
      </c>
      <c r="M1826" s="1" t="inlineStr">
        <is>
          <t>No</t>
        </is>
      </c>
      <c r="N1826" s="1" t="inlineStr">
        <is>
          <t>Algorithms</t>
        </is>
      </c>
      <c r="O18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26" s="13" t="inlineStr">
        <is>
          <t>Done</t>
        </is>
      </c>
    </row>
    <row r="1827" ht="15.75" customHeight="1" s="12">
      <c r="A1827" s="1" t="n">
        <v>2699</v>
      </c>
      <c r="B1827" s="3">
        <f>HYPERLINK("https://leetcode.com/problems/modify-graph-edge-weights/", "Modify Graph Edge Weights")</f>
        <v/>
      </c>
      <c r="C1827" s="1" t="n">
        <v>744</v>
      </c>
      <c r="D1827" s="1" t="n">
        <v>153</v>
      </c>
      <c r="E1827" s="4">
        <f>IF(INDEX(C:C, ROW())+INDEX(D:D, ROW())=0, 0, INDEX(C:C, ROW())/(INDEX(C:C, ROW())+INDEX(D:D, ROW())))</f>
        <v/>
      </c>
      <c r="F1827" s="1" t="inlineStr">
        <is>
          <t>Graph Theory, Heap (Priority Queue), Shortest Path</t>
        </is>
      </c>
      <c r="G1827" s="1" t="inlineStr">
        <is>
          <t>Hard</t>
        </is>
      </c>
      <c r="H1827" s="1" t="n">
        <v>67751</v>
      </c>
      <c r="I1827" s="1" t="n">
        <v>121956</v>
      </c>
      <c r="J1827" s="9" t="n">
        <v>0.556</v>
      </c>
      <c r="K1827" s="1" t="inlineStr">
        <is>
          <t>Yes</t>
        </is>
      </c>
      <c r="L1827" s="1" t="inlineStr">
        <is>
          <t>Yes</t>
        </is>
      </c>
      <c r="M1827" s="1" t="inlineStr">
        <is>
          <t>No</t>
        </is>
      </c>
      <c r="N1827" s="1" t="inlineStr">
        <is>
          <t>Algorithms</t>
        </is>
      </c>
      <c r="O18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27" s="11" t="inlineStr">
        <is>
          <t>To Do</t>
        </is>
      </c>
    </row>
    <row r="1828" ht="15.75" customHeight="1" s="12">
      <c r="A1828" s="1" t="n">
        <v>681</v>
      </c>
      <c r="B1828" s="3">
        <f>HYPERLINK("https://leetcode.com/problems/next-closest-time/", "Next Closest Time")</f>
        <v/>
      </c>
      <c r="C1828" s="1" t="n">
        <v>743</v>
      </c>
      <c r="D1828" s="1" t="n">
        <v>1078</v>
      </c>
      <c r="E1828" s="4">
        <f>IF(INDEX(C:C, ROW())+INDEX(D:D, ROW())=0, 0, INDEX(C:C, ROW())/(INDEX(C:C, ROW())+INDEX(D:D, ROW())))</f>
        <v/>
      </c>
      <c r="F1828" s="1" t="inlineStr">
        <is>
          <t>Hash Table, String, Backtracking, Enumeration</t>
        </is>
      </c>
      <c r="G1828" s="1" t="inlineStr">
        <is>
          <t>Medium</t>
        </is>
      </c>
      <c r="H1828" s="1" t="n">
        <v>118479</v>
      </c>
      <c r="I1828" s="1" t="n">
        <v>252104</v>
      </c>
      <c r="J1828" s="9" t="n">
        <v>0.47</v>
      </c>
      <c r="K1828" s="1" t="inlineStr">
        <is>
          <t>No</t>
        </is>
      </c>
      <c r="L1828" s="1" t="inlineStr">
        <is>
          <t>Yes</t>
        </is>
      </c>
      <c r="M1828" s="1" t="inlineStr">
        <is>
          <t>No</t>
        </is>
      </c>
      <c r="N1828" s="1" t="inlineStr">
        <is>
          <t>Algorithms</t>
        </is>
      </c>
      <c r="O18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28" s="11" t="inlineStr">
        <is>
          <t>To Do</t>
        </is>
      </c>
    </row>
    <row r="1829" ht="15.75" customHeight="1" s="12">
      <c r="A1829" s="1" t="n">
        <v>2269</v>
      </c>
      <c r="B1829" s="3">
        <f>HYPERLINK("https://leetcode.com/problems/find-the-k-beauty-of-a-number/", "Find the K-Beauty of a Number")</f>
        <v/>
      </c>
      <c r="C1829" s="1" t="n">
        <v>743</v>
      </c>
      <c r="D1829" s="1" t="n">
        <v>47</v>
      </c>
      <c r="E1829" s="4">
        <f>IF(INDEX(C:C, ROW())+INDEX(D:D, ROW())=0, 0, INDEX(C:C, ROW())/(INDEX(C:C, ROW())+INDEX(D:D, ROW())))</f>
        <v/>
      </c>
      <c r="F1829" s="1" t="inlineStr">
        <is>
          <t>Math, String, Sliding Window</t>
        </is>
      </c>
      <c r="G1829" s="1" t="inlineStr">
        <is>
          <t>Easy</t>
        </is>
      </c>
      <c r="H1829" s="1" t="n">
        <v>92609</v>
      </c>
      <c r="I1829" s="1" t="n">
        <v>146247</v>
      </c>
      <c r="J1829" s="9" t="n">
        <v>0.633</v>
      </c>
      <c r="K1829" s="1" t="inlineStr">
        <is>
          <t>Yes</t>
        </is>
      </c>
      <c r="L1829" s="1" t="inlineStr">
        <is>
          <t>No</t>
        </is>
      </c>
      <c r="M1829" s="1" t="inlineStr">
        <is>
          <t>No</t>
        </is>
      </c>
      <c r="N1829" s="1" t="inlineStr">
        <is>
          <t>Algorithms</t>
        </is>
      </c>
      <c r="O18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29" s="13" t="inlineStr">
        <is>
          <t>Done</t>
        </is>
      </c>
    </row>
    <row r="1830" ht="15.75" customHeight="1" s="12">
      <c r="A1830" s="1" t="n">
        <v>251</v>
      </c>
      <c r="B1830" s="3">
        <f>HYPERLINK("https://leetcode.com/problems/flatten-2d-vector/", "Flatten 2D Vector")</f>
        <v/>
      </c>
      <c r="C1830" s="1" t="n">
        <v>740</v>
      </c>
      <c r="D1830" s="1" t="n">
        <v>418</v>
      </c>
      <c r="E1830" s="4">
        <f>IF(INDEX(C:C, ROW())+INDEX(D:D, ROW())=0, 0, INDEX(C:C, ROW())/(INDEX(C:C, ROW())+INDEX(D:D, ROW())))</f>
        <v/>
      </c>
      <c r="F1830" s="1" t="inlineStr">
        <is>
          <t>Array, Two Pointers, Design, Iterator</t>
        </is>
      </c>
      <c r="G1830" s="1" t="inlineStr">
        <is>
          <t>Medium</t>
        </is>
      </c>
      <c r="H1830" s="1" t="n">
        <v>146244</v>
      </c>
      <c r="I1830" s="1" t="n">
        <v>289707</v>
      </c>
      <c r="J1830" s="9" t="n">
        <v>0.505</v>
      </c>
      <c r="K1830" s="1" t="inlineStr">
        <is>
          <t>No</t>
        </is>
      </c>
      <c r="L1830" s="1" t="inlineStr">
        <is>
          <t>Yes</t>
        </is>
      </c>
      <c r="M1830" s="1" t="inlineStr">
        <is>
          <t>No</t>
        </is>
      </c>
      <c r="N1830" s="1" t="inlineStr">
        <is>
          <t>Algorithms</t>
        </is>
      </c>
      <c r="O18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30" s="11" t="inlineStr">
        <is>
          <t>To Do</t>
        </is>
      </c>
    </row>
    <row r="1831" ht="15.75" customHeight="1" s="12">
      <c r="A1831" s="1" t="n">
        <v>891</v>
      </c>
      <c r="B1831" s="3">
        <f>HYPERLINK("https://leetcode.com/problems/sum-of-subsequence-widths/", "Sum of Subsequence Widths")</f>
        <v/>
      </c>
      <c r="C1831" s="1" t="n">
        <v>740</v>
      </c>
      <c r="D1831" s="1" t="n">
        <v>172</v>
      </c>
      <c r="E1831" s="4">
        <f>IF(INDEX(C:C, ROW())+INDEX(D:D, ROW())=0, 0, INDEX(C:C, ROW())/(INDEX(C:C, ROW())+INDEX(D:D, ROW())))</f>
        <v/>
      </c>
      <c r="F1831" s="1" t="inlineStr">
        <is>
          <t>Array, Math, Sorting</t>
        </is>
      </c>
      <c r="G1831" s="1" t="inlineStr">
        <is>
          <t>Hard</t>
        </is>
      </c>
      <c r="H1831" s="1" t="n">
        <v>26816</v>
      </c>
      <c r="I1831" s="1" t="n">
        <v>66148</v>
      </c>
      <c r="J1831" s="9" t="n">
        <v>0.405</v>
      </c>
      <c r="K1831" s="1" t="inlineStr">
        <is>
          <t>Yes</t>
        </is>
      </c>
      <c r="L1831" s="1" t="inlineStr">
        <is>
          <t>Yes</t>
        </is>
      </c>
      <c r="M1831" s="1" t="inlineStr">
        <is>
          <t>No</t>
        </is>
      </c>
      <c r="N1831" s="1" t="inlineStr">
        <is>
          <t>Algorithms</t>
        </is>
      </c>
      <c r="O18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31" s="11" t="inlineStr">
        <is>
          <t>To Do</t>
        </is>
      </c>
    </row>
    <row r="1832" ht="15.75" customHeight="1" s="12">
      <c r="A1832" s="1" t="n">
        <v>2261</v>
      </c>
      <c r="B1832" s="3">
        <f>HYPERLINK("https://leetcode.com/problems/k-divisible-elements-subarrays/", "K Divisible Elements Subarrays")</f>
        <v/>
      </c>
      <c r="C1832" s="1" t="n">
        <v>740</v>
      </c>
      <c r="D1832" s="1" t="n">
        <v>162</v>
      </c>
      <c r="E1832" s="4">
        <f>IF(INDEX(C:C, ROW())+INDEX(D:D, ROW())=0, 0, INDEX(C:C, ROW())/(INDEX(C:C, ROW())+INDEX(D:D, ROW())))</f>
        <v/>
      </c>
      <c r="F1832" s="1" t="inlineStr">
        <is>
          <t>Array, Hash Table, Trie, Rolling Hash, Hash Function, Enumeration</t>
        </is>
      </c>
      <c r="G1832" s="1" t="inlineStr">
        <is>
          <t>Medium</t>
        </is>
      </c>
      <c r="H1832" s="1" t="n">
        <v>49289</v>
      </c>
      <c r="I1832" s="1" t="n">
        <v>89731</v>
      </c>
      <c r="J1832" s="9" t="n">
        <v>0.549</v>
      </c>
      <c r="K1832" s="1" t="inlineStr">
        <is>
          <t>Yes</t>
        </is>
      </c>
      <c r="L1832" s="1" t="inlineStr">
        <is>
          <t>No</t>
        </is>
      </c>
      <c r="M1832" s="1" t="inlineStr">
        <is>
          <t>No</t>
        </is>
      </c>
      <c r="N1832" s="1" t="inlineStr">
        <is>
          <t>Algorithms</t>
        </is>
      </c>
      <c r="O18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32" s="11" t="inlineStr">
        <is>
          <t>To Do</t>
        </is>
      </c>
    </row>
    <row r="1833" ht="15.75" customHeight="1" s="12">
      <c r="A1833" s="1" t="n">
        <v>1774</v>
      </c>
      <c r="B1833" s="3">
        <f>HYPERLINK("https://leetcode.com/problems/closest-dessert-cost/", "Closest Dessert Cost")</f>
        <v/>
      </c>
      <c r="C1833" s="1" t="n">
        <v>739</v>
      </c>
      <c r="D1833" s="1" t="n">
        <v>95</v>
      </c>
      <c r="E1833" s="4">
        <f>IF(INDEX(C:C, ROW())+INDEX(D:D, ROW())=0, 0, INDEX(C:C, ROW())/(INDEX(C:C, ROW())+INDEX(D:D, ROW())))</f>
        <v/>
      </c>
      <c r="F1833" s="1" t="inlineStr">
        <is>
          <t>Array, Dynamic Programming, Backtracking</t>
        </is>
      </c>
      <c r="G1833" s="1" t="inlineStr">
        <is>
          <t>Medium</t>
        </is>
      </c>
      <c r="H1833" s="1" t="n">
        <v>39287</v>
      </c>
      <c r="I1833" s="1" t="n">
        <v>80605</v>
      </c>
      <c r="J1833" s="9" t="n">
        <v>0.487</v>
      </c>
      <c r="K1833" s="1" t="inlineStr">
        <is>
          <t>Yes</t>
        </is>
      </c>
      <c r="L1833" s="1" t="inlineStr">
        <is>
          <t>No</t>
        </is>
      </c>
      <c r="M1833" s="1" t="inlineStr">
        <is>
          <t>No</t>
        </is>
      </c>
      <c r="N1833" s="1" t="inlineStr">
        <is>
          <t>Algorithms</t>
        </is>
      </c>
      <c r="O18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33" s="11" t="inlineStr">
        <is>
          <t>To Do</t>
        </is>
      </c>
    </row>
    <row r="1834" ht="15.75" customHeight="1" s="12">
      <c r="A1834" s="1" t="n">
        <v>2177</v>
      </c>
      <c r="B1834" s="3">
        <f>HYPERLINK("https://leetcode.com/problems/find-three-consecutive-integers-that-sum-to-a-given-number/", "Find Three Consecutive Integers That Sum to a Given Number")</f>
        <v/>
      </c>
      <c r="C1834" s="1" t="n">
        <v>735</v>
      </c>
      <c r="D1834" s="1" t="n">
        <v>233</v>
      </c>
      <c r="E1834" s="4">
        <f>IF(INDEX(C:C, ROW())+INDEX(D:D, ROW())=0, 0, INDEX(C:C, ROW())/(INDEX(C:C, ROW())+INDEX(D:D, ROW())))</f>
        <v/>
      </c>
      <c r="F1834" s="1" t="inlineStr">
        <is>
          <t>Math, Simulation</t>
        </is>
      </c>
      <c r="G1834" s="1" t="inlineStr">
        <is>
          <t>Medium</t>
        </is>
      </c>
      <c r="H1834" s="1" t="n">
        <v>66757</v>
      </c>
      <c r="I1834" s="1" t="n">
        <v>102178</v>
      </c>
      <c r="J1834" s="9" t="n">
        <v>0.653</v>
      </c>
      <c r="K1834" s="1" t="inlineStr">
        <is>
          <t>Yes</t>
        </is>
      </c>
      <c r="L1834" s="1" t="inlineStr">
        <is>
          <t>No</t>
        </is>
      </c>
      <c r="M1834" s="1" t="inlineStr">
        <is>
          <t>No</t>
        </is>
      </c>
      <c r="N1834" s="1" t="inlineStr">
        <is>
          <t>Algorithms</t>
        </is>
      </c>
      <c r="O18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34" s="11" t="inlineStr">
        <is>
          <t>To Do</t>
        </is>
      </c>
    </row>
    <row r="1835" ht="15.75" customHeight="1" s="12">
      <c r="A1835" s="1" t="n">
        <v>2718</v>
      </c>
      <c r="B1835" s="3">
        <f>HYPERLINK("https://leetcode.com/problems/sum-of-matrix-after-queries/", "Sum of Matrix After Queries")</f>
        <v/>
      </c>
      <c r="C1835" s="1" t="n">
        <v>733</v>
      </c>
      <c r="D1835" s="1" t="n">
        <v>28</v>
      </c>
      <c r="E1835" s="4">
        <f>IF(INDEX(C:C, ROW())+INDEX(D:D, ROW())=0, 0, INDEX(C:C, ROW())/(INDEX(C:C, ROW())+INDEX(D:D, ROW())))</f>
        <v/>
      </c>
      <c r="F1835" s="1" t="inlineStr">
        <is>
          <t>Array, Hash Table</t>
        </is>
      </c>
      <c r="G1835" s="1" t="inlineStr">
        <is>
          <t>Medium</t>
        </is>
      </c>
      <c r="H1835" s="1" t="n">
        <v>25116</v>
      </c>
      <c r="I1835" s="1" t="n">
        <v>78229</v>
      </c>
      <c r="J1835" s="9" t="n">
        <v>0.321</v>
      </c>
      <c r="K1835" s="1" t="inlineStr">
        <is>
          <t>Yes</t>
        </is>
      </c>
      <c r="L1835" s="1" t="inlineStr">
        <is>
          <t>No</t>
        </is>
      </c>
      <c r="M1835" s="1" t="inlineStr">
        <is>
          <t>No</t>
        </is>
      </c>
      <c r="N1835" s="1" t="inlineStr">
        <is>
          <t>Algorithms</t>
        </is>
      </c>
      <c r="O18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35" s="11" t="inlineStr">
        <is>
          <t>To Do</t>
        </is>
      </c>
    </row>
    <row r="1836" ht="15.75" customHeight="1" s="12">
      <c r="A1836" s="1" t="n">
        <v>2981</v>
      </c>
      <c r="B1836" s="3">
        <f>HYPERLINK("https://leetcode.com/problems/find-longest-special-substring-that-occurs-thrice-i/", "Find Longest Special Substring That Occurs Thrice I")</f>
        <v/>
      </c>
      <c r="C1836" s="1" t="n">
        <v>733</v>
      </c>
      <c r="D1836" s="1" t="n">
        <v>75</v>
      </c>
      <c r="E1836" s="4">
        <f>IF(INDEX(C:C, ROW())+INDEX(D:D, ROW())=0, 0, INDEX(C:C, ROW())/(INDEX(C:C, ROW())+INDEX(D:D, ROW())))</f>
        <v/>
      </c>
      <c r="F1836" s="1" t="inlineStr">
        <is>
          <t>Hash Table, String, Binary Search, Sliding Window, Counting</t>
        </is>
      </c>
      <c r="G1836" s="1" t="inlineStr">
        <is>
          <t>Medium</t>
        </is>
      </c>
      <c r="H1836" s="1" t="n">
        <v>132072</v>
      </c>
      <c r="I1836" s="1" t="n">
        <v>213688</v>
      </c>
      <c r="J1836" s="9" t="n">
        <v>0.618</v>
      </c>
      <c r="K1836" s="1" t="inlineStr">
        <is>
          <t>Yes</t>
        </is>
      </c>
      <c r="L1836" s="1" t="inlineStr">
        <is>
          <t>Yes</t>
        </is>
      </c>
      <c r="M1836" s="1" t="inlineStr">
        <is>
          <t>No</t>
        </is>
      </c>
      <c r="N1836" s="1" t="inlineStr">
        <is>
          <t>Algorithms</t>
        </is>
      </c>
      <c r="O18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36" s="11" t="inlineStr">
        <is>
          <t>To Do</t>
        </is>
      </c>
    </row>
    <row r="1837" ht="15.75" customHeight="1" s="12">
      <c r="A1837" s="1" t="n">
        <v>2545</v>
      </c>
      <c r="B1837" s="3">
        <f>HYPERLINK("https://leetcode.com/problems/sort-the-students-by-their-kth-score/", "Sort the Students by Their Kth Score")</f>
        <v/>
      </c>
      <c r="C1837" s="1" t="n">
        <v>732</v>
      </c>
      <c r="D1837" s="1" t="n">
        <v>53</v>
      </c>
      <c r="E1837" s="4">
        <f>IF(INDEX(C:C, ROW())+INDEX(D:D, ROW())=0, 0, INDEX(C:C, ROW())/(INDEX(C:C, ROW())+INDEX(D:D, ROW())))</f>
        <v/>
      </c>
      <c r="F1837" s="1" t="inlineStr">
        <is>
          <t>Array, Sorting, Matrix</t>
        </is>
      </c>
      <c r="G1837" s="1" t="inlineStr">
        <is>
          <t>Medium</t>
        </is>
      </c>
      <c r="H1837" s="1" t="n">
        <v>90424</v>
      </c>
      <c r="I1837" s="1" t="n">
        <v>105179</v>
      </c>
      <c r="J1837" s="9" t="n">
        <v>0.86</v>
      </c>
      <c r="K1837" s="1" t="inlineStr">
        <is>
          <t>Yes</t>
        </is>
      </c>
      <c r="L1837" s="1" t="inlineStr">
        <is>
          <t>No</t>
        </is>
      </c>
      <c r="M1837" s="1" t="inlineStr">
        <is>
          <t>No</t>
        </is>
      </c>
      <c r="N1837" s="1" t="inlineStr">
        <is>
          <t>Algorithms</t>
        </is>
      </c>
      <c r="O18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37" s="11" t="inlineStr">
        <is>
          <t>To Do</t>
        </is>
      </c>
    </row>
    <row r="1838" ht="15.75" customHeight="1" s="12">
      <c r="A1838" s="1" t="n">
        <v>1062</v>
      </c>
      <c r="B1838" s="3">
        <f>HYPERLINK("https://leetcode.com/problems/longest-repeating-substring/", "Longest Repeating Substring")</f>
        <v/>
      </c>
      <c r="C1838" s="1" t="n">
        <v>731</v>
      </c>
      <c r="D1838" s="1" t="n">
        <v>76</v>
      </c>
      <c r="E1838" s="4">
        <f>IF(INDEX(C:C, ROW())+INDEX(D:D, ROW())=0, 0, INDEX(C:C, ROW())/(INDEX(C:C, ROW())+INDEX(D:D, ROW())))</f>
        <v/>
      </c>
      <c r="F1838" s="1" t="inlineStr">
        <is>
          <t>String, Binary Search, Dynamic Programming, Rolling Hash, Suffix Array, Hash Function</t>
        </is>
      </c>
      <c r="G1838" s="1" t="inlineStr">
        <is>
          <t>Medium</t>
        </is>
      </c>
      <c r="H1838" s="1" t="n">
        <v>57868</v>
      </c>
      <c r="I1838" s="1" t="n">
        <v>91229</v>
      </c>
      <c r="J1838" s="9" t="n">
        <v>0.634</v>
      </c>
      <c r="K1838" s="1" t="inlineStr">
        <is>
          <t>No</t>
        </is>
      </c>
      <c r="L1838" s="1" t="inlineStr">
        <is>
          <t>Yes</t>
        </is>
      </c>
      <c r="M1838" s="1" t="inlineStr">
        <is>
          <t>No</t>
        </is>
      </c>
      <c r="N1838" s="1" t="inlineStr">
        <is>
          <t>Algorithms</t>
        </is>
      </c>
      <c r="O18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38" s="11" t="inlineStr">
        <is>
          <t>To Do</t>
        </is>
      </c>
    </row>
    <row r="1839" ht="15.75" customHeight="1" s="12">
      <c r="A1839" s="1" t="n">
        <v>1471</v>
      </c>
      <c r="B1839" s="3">
        <f>HYPERLINK("https://leetcode.com/problems/the-k-strongest-values-in-an-array/", "The k Strongest Values in an Array")</f>
        <v/>
      </c>
      <c r="C1839" s="1" t="n">
        <v>729</v>
      </c>
      <c r="D1839" s="1" t="n">
        <v>166</v>
      </c>
      <c r="E1839" s="4">
        <f>IF(INDEX(C:C, ROW())+INDEX(D:D, ROW())=0, 0, INDEX(C:C, ROW())/(INDEX(C:C, ROW())+INDEX(D:D, ROW())))</f>
        <v/>
      </c>
      <c r="F1839" s="1" t="inlineStr">
        <is>
          <t>Array, Two Pointers, Sorting</t>
        </is>
      </c>
      <c r="G1839" s="1" t="inlineStr">
        <is>
          <t>Medium</t>
        </is>
      </c>
      <c r="H1839" s="1" t="n">
        <v>47561</v>
      </c>
      <c r="I1839" s="1" t="n">
        <v>75858</v>
      </c>
      <c r="J1839" s="9" t="n">
        <v>0.627</v>
      </c>
      <c r="K1839" s="1" t="inlineStr">
        <is>
          <t>Yes</t>
        </is>
      </c>
      <c r="L1839" s="1" t="inlineStr">
        <is>
          <t>No</t>
        </is>
      </c>
      <c r="M1839" s="1" t="inlineStr">
        <is>
          <t>No</t>
        </is>
      </c>
      <c r="N1839" s="1" t="inlineStr">
        <is>
          <t>Algorithms</t>
        </is>
      </c>
      <c r="O18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39" s="11" t="inlineStr">
        <is>
          <t>To Do</t>
        </is>
      </c>
    </row>
    <row r="1840" ht="15.75" customHeight="1" s="12">
      <c r="A1840" s="1" t="n">
        <v>2111</v>
      </c>
      <c r="B1840" s="3">
        <f>HYPERLINK("https://leetcode.com/problems/minimum-operations-to-make-the-array-k-increasing/", "Minimum Operations to Make the Array K-Increasing")</f>
        <v/>
      </c>
      <c r="C1840" s="1" t="n">
        <v>729</v>
      </c>
      <c r="D1840" s="1" t="n">
        <v>15</v>
      </c>
      <c r="E1840" s="4">
        <f>IF(INDEX(C:C, ROW())+INDEX(D:D, ROW())=0, 0, INDEX(C:C, ROW())/(INDEX(C:C, ROW())+INDEX(D:D, ROW())))</f>
        <v/>
      </c>
      <c r="F1840" s="1" t="inlineStr">
        <is>
          <t>Array, Binary Search</t>
        </is>
      </c>
      <c r="G1840" s="1" t="inlineStr">
        <is>
          <t>Hard</t>
        </is>
      </c>
      <c r="H1840" s="1" t="n">
        <v>16321</v>
      </c>
      <c r="I1840" s="1" t="n">
        <v>40264</v>
      </c>
      <c r="J1840" s="9" t="n">
        <v>0.405</v>
      </c>
      <c r="K1840" s="1" t="inlineStr">
        <is>
          <t>Yes</t>
        </is>
      </c>
      <c r="L1840" s="1" t="inlineStr">
        <is>
          <t>No</t>
        </is>
      </c>
      <c r="M1840" s="1" t="inlineStr">
        <is>
          <t>No</t>
        </is>
      </c>
      <c r="N1840" s="1" t="inlineStr">
        <is>
          <t>Algorithms</t>
        </is>
      </c>
      <c r="O18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40" s="11" t="inlineStr">
        <is>
          <t>To Do</t>
        </is>
      </c>
    </row>
    <row r="1841" ht="15.75" customHeight="1" s="12">
      <c r="A1841" s="1" t="n">
        <v>484</v>
      </c>
      <c r="B1841" s="3">
        <f>HYPERLINK("https://leetcode.com/problems/find-permutation/", "Find Permutation")</f>
        <v/>
      </c>
      <c r="C1841" s="1" t="n">
        <v>728</v>
      </c>
      <c r="D1841" s="1" t="n">
        <v>151</v>
      </c>
      <c r="E1841" s="4">
        <f>IF(INDEX(C:C, ROW())+INDEX(D:D, ROW())=0, 0, INDEX(C:C, ROW())/(INDEX(C:C, ROW())+INDEX(D:D, ROW())))</f>
        <v/>
      </c>
      <c r="F1841" s="1" t="inlineStr">
        <is>
          <t>Array, String, Stack, Greedy</t>
        </is>
      </c>
      <c r="G1841" s="1" t="inlineStr">
        <is>
          <t>Medium</t>
        </is>
      </c>
      <c r="H1841" s="1" t="n">
        <v>43438</v>
      </c>
      <c r="I1841" s="1" t="n">
        <v>64960</v>
      </c>
      <c r="J1841" s="9" t="n">
        <v>0.669</v>
      </c>
      <c r="K1841" s="1" t="inlineStr">
        <is>
          <t>No</t>
        </is>
      </c>
      <c r="L1841" s="1" t="inlineStr">
        <is>
          <t>Yes</t>
        </is>
      </c>
      <c r="M1841" s="1" t="inlineStr">
        <is>
          <t>No</t>
        </is>
      </c>
      <c r="N1841" s="1" t="inlineStr">
        <is>
          <t>Algorithms</t>
        </is>
      </c>
      <c r="O18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41" s="11" t="inlineStr">
        <is>
          <t>To Do</t>
        </is>
      </c>
    </row>
    <row r="1842" ht="15.75" customHeight="1" s="12">
      <c r="A1842" s="1" t="n">
        <v>3223</v>
      </c>
      <c r="B1842" s="3">
        <f>HYPERLINK("https://leetcode.com/problems/minimum-length-of-string-after-operations/", "Minimum Length of String After Operations")</f>
        <v/>
      </c>
      <c r="C1842" s="1" t="n">
        <v>728</v>
      </c>
      <c r="D1842" s="1" t="n">
        <v>53</v>
      </c>
      <c r="E1842" s="4">
        <f>IF(INDEX(C:C, ROW())+INDEX(D:D, ROW())=0, 0, INDEX(C:C, ROW())/(INDEX(C:C, ROW())+INDEX(D:D, ROW())))</f>
        <v/>
      </c>
      <c r="F1842" s="1" t="inlineStr">
        <is>
          <t>Hash Table, String, Counting</t>
        </is>
      </c>
      <c r="G1842" s="1" t="inlineStr">
        <is>
          <t>Medium</t>
        </is>
      </c>
      <c r="H1842" s="1" t="n">
        <v>195244</v>
      </c>
      <c r="I1842" s="1" t="n">
        <v>260182</v>
      </c>
      <c r="J1842" s="9" t="n">
        <v>0.75</v>
      </c>
      <c r="K1842" s="1" t="inlineStr">
        <is>
          <t>Yes</t>
        </is>
      </c>
      <c r="L1842" s="1" t="inlineStr">
        <is>
          <t>Yes</t>
        </is>
      </c>
      <c r="M1842" s="1" t="inlineStr">
        <is>
          <t>No</t>
        </is>
      </c>
      <c r="N1842" s="1" t="inlineStr">
        <is>
          <t>Algorithms</t>
        </is>
      </c>
      <c r="O18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42" s="11" t="inlineStr">
        <is>
          <t>To Do</t>
        </is>
      </c>
    </row>
    <row r="1843" ht="15.75" customHeight="1" s="12">
      <c r="A1843" s="1" t="n">
        <v>1206</v>
      </c>
      <c r="B1843" s="3">
        <f>HYPERLINK("https://leetcode.com/problems/design-skiplist/", "Design Skiplist")</f>
        <v/>
      </c>
      <c r="C1843" s="1" t="n">
        <v>727</v>
      </c>
      <c r="D1843" s="1" t="n">
        <v>110</v>
      </c>
      <c r="E1843" s="4">
        <f>IF(INDEX(C:C, ROW())+INDEX(D:D, ROW())=0, 0, INDEX(C:C, ROW())/(INDEX(C:C, ROW())+INDEX(D:D, ROW())))</f>
        <v/>
      </c>
      <c r="F1843" s="1" t="inlineStr">
        <is>
          <t>Linked List, Design</t>
        </is>
      </c>
      <c r="G1843" s="1" t="inlineStr">
        <is>
          <t>Hard</t>
        </is>
      </c>
      <c r="H1843" s="1" t="n">
        <v>35893</v>
      </c>
      <c r="I1843" s="1" t="n">
        <v>60178</v>
      </c>
      <c r="J1843" s="9" t="n">
        <v>0.596</v>
      </c>
      <c r="K1843" s="1" t="inlineStr">
        <is>
          <t>Yes</t>
        </is>
      </c>
      <c r="L1843" s="1" t="inlineStr">
        <is>
          <t>No</t>
        </is>
      </c>
      <c r="M1843" s="1" t="inlineStr">
        <is>
          <t>No</t>
        </is>
      </c>
      <c r="N1843" s="1" t="inlineStr">
        <is>
          <t>Algorithms</t>
        </is>
      </c>
      <c r="O18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43" s="11" t="inlineStr">
        <is>
          <t>To Do</t>
        </is>
      </c>
    </row>
    <row r="1844" ht="15.75" customHeight="1" s="12">
      <c r="A1844" s="1" t="n">
        <v>2065</v>
      </c>
      <c r="B1844" s="3">
        <f>HYPERLINK("https://leetcode.com/problems/maximum-path-quality-of-a-graph/", "Maximum Path Quality of a Graph")</f>
        <v/>
      </c>
      <c r="C1844" s="1" t="n">
        <v>727</v>
      </c>
      <c r="D1844" s="1" t="n">
        <v>53</v>
      </c>
      <c r="E1844" s="4">
        <f>IF(INDEX(C:C, ROW())+INDEX(D:D, ROW())=0, 0, INDEX(C:C, ROW())/(INDEX(C:C, ROW())+INDEX(D:D, ROW())))</f>
        <v/>
      </c>
      <c r="F1844" s="1" t="inlineStr">
        <is>
          <t>Array, Backtracking, Graph Theory</t>
        </is>
      </c>
      <c r="G1844" s="1" t="inlineStr">
        <is>
          <t>Hard</t>
        </is>
      </c>
      <c r="H1844" s="1" t="n">
        <v>34210</v>
      </c>
      <c r="I1844" s="1" t="n">
        <v>55102</v>
      </c>
      <c r="J1844" s="9" t="n">
        <v>0.621</v>
      </c>
      <c r="K1844" s="1" t="inlineStr">
        <is>
          <t>Yes</t>
        </is>
      </c>
      <c r="L1844" s="1" t="inlineStr">
        <is>
          <t>No</t>
        </is>
      </c>
      <c r="M1844" s="1" t="inlineStr">
        <is>
          <t>No</t>
        </is>
      </c>
      <c r="N1844" s="1" t="inlineStr">
        <is>
          <t>Algorithms</t>
        </is>
      </c>
      <c r="O18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44" s="11" t="inlineStr">
        <is>
          <t>To Do</t>
        </is>
      </c>
    </row>
    <row r="1845" ht="15.75" customHeight="1" s="12">
      <c r="A1845" s="1" t="n">
        <v>1240</v>
      </c>
      <c r="B1845" s="3">
        <f>HYPERLINK("https://leetcode.com/problems/tiling-a-rectangle-with-the-fewest-squares/", "Tiling a Rectangle with the Fewest Squares")</f>
        <v/>
      </c>
      <c r="C1845" s="1" t="n">
        <v>726</v>
      </c>
      <c r="D1845" s="1" t="n">
        <v>582</v>
      </c>
      <c r="E1845" s="4">
        <f>IF(INDEX(C:C, ROW())+INDEX(D:D, ROW())=0, 0, INDEX(C:C, ROW())/(INDEX(C:C, ROW())+INDEX(D:D, ROW())))</f>
        <v/>
      </c>
      <c r="F1845" s="1" t="inlineStr">
        <is>
          <t>Backtracking</t>
        </is>
      </c>
      <c r="G1845" s="1" t="inlineStr">
        <is>
          <t>Hard</t>
        </is>
      </c>
      <c r="H1845" s="1" t="n">
        <v>27653</v>
      </c>
      <c r="I1845" s="1" t="n">
        <v>50342</v>
      </c>
      <c r="J1845" s="9" t="n">
        <v>0.549</v>
      </c>
      <c r="K1845" s="1" t="inlineStr">
        <is>
          <t>Yes</t>
        </is>
      </c>
      <c r="L1845" s="1" t="inlineStr">
        <is>
          <t>No</t>
        </is>
      </c>
      <c r="M1845" s="1" t="inlineStr">
        <is>
          <t>No</t>
        </is>
      </c>
      <c r="N1845" s="1" t="inlineStr">
        <is>
          <t>Algorithms</t>
        </is>
      </c>
      <c r="O18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45" s="11" t="inlineStr">
        <is>
          <t>To Do</t>
        </is>
      </c>
    </row>
    <row r="1846" ht="15.75" customHeight="1" s="12">
      <c r="A1846" s="1" t="n">
        <v>2135</v>
      </c>
      <c r="B1846" s="3">
        <f>HYPERLINK("https://leetcode.com/problems/count-words-obtained-after-adding-a-letter/", "Count Words Obtained After Adding a Letter")</f>
        <v/>
      </c>
      <c r="C1846" s="1" t="n">
        <v>726</v>
      </c>
      <c r="D1846" s="1" t="n">
        <v>170</v>
      </c>
      <c r="E1846" s="4">
        <f>IF(INDEX(C:C, ROW())+INDEX(D:D, ROW())=0, 0, INDEX(C:C, ROW())/(INDEX(C:C, ROW())+INDEX(D:D, ROW())))</f>
        <v/>
      </c>
      <c r="F1846" s="1" t="inlineStr">
        <is>
          <t>Array, Hash Table, String, Bit Manipulation, Sorting</t>
        </is>
      </c>
      <c r="G1846" s="1" t="inlineStr">
        <is>
          <t>Medium</t>
        </is>
      </c>
      <c r="H1846" s="1" t="n">
        <v>41571</v>
      </c>
      <c r="I1846" s="1" t="n">
        <v>94347</v>
      </c>
      <c r="J1846" s="9" t="n">
        <v>0.441</v>
      </c>
      <c r="K1846" s="1" t="inlineStr">
        <is>
          <t>Yes</t>
        </is>
      </c>
      <c r="L1846" s="1" t="inlineStr">
        <is>
          <t>No</t>
        </is>
      </c>
      <c r="M1846" s="1" t="inlineStr">
        <is>
          <t>No</t>
        </is>
      </c>
      <c r="N1846" s="1" t="inlineStr">
        <is>
          <t>Algorithms</t>
        </is>
      </c>
      <c r="O18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46" s="11" t="inlineStr">
        <is>
          <t>To Do</t>
        </is>
      </c>
    </row>
    <row r="1847" ht="15.75" customHeight="1" s="12">
      <c r="A1847" s="1" t="n">
        <v>1730</v>
      </c>
      <c r="B1847" s="3">
        <f>HYPERLINK("https://leetcode.com/problems/shortest-path-to-get-food/", "Shortest Path to Get Food")</f>
        <v/>
      </c>
      <c r="C1847" s="1" t="n">
        <v>723</v>
      </c>
      <c r="D1847" s="1" t="n">
        <v>41</v>
      </c>
      <c r="E1847" s="4">
        <f>IF(INDEX(C:C, ROW())+INDEX(D:D, ROW())=0, 0, INDEX(C:C, ROW())/(INDEX(C:C, ROW())+INDEX(D:D, ROW())))</f>
        <v/>
      </c>
      <c r="F1847" s="1" t="inlineStr">
        <is>
          <t>Array, Breadth-First Search, Matrix</t>
        </is>
      </c>
      <c r="G1847" s="1" t="inlineStr">
        <is>
          <t>Medium</t>
        </is>
      </c>
      <c r="H1847" s="1" t="n">
        <v>83187</v>
      </c>
      <c r="I1847" s="1" t="n">
        <v>145446</v>
      </c>
      <c r="J1847" s="9" t="n">
        <v>0.572</v>
      </c>
      <c r="K1847" s="1" t="inlineStr">
        <is>
          <t>No</t>
        </is>
      </c>
      <c r="L1847" s="1" t="inlineStr">
        <is>
          <t>Yes</t>
        </is>
      </c>
      <c r="M1847" s="1" t="inlineStr">
        <is>
          <t>No</t>
        </is>
      </c>
      <c r="N1847" s="1" t="inlineStr">
        <is>
          <t>Algorithms</t>
        </is>
      </c>
      <c r="O18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47" s="11" t="inlineStr">
        <is>
          <t>To Do</t>
        </is>
      </c>
    </row>
    <row r="1848" ht="15.75" customHeight="1" s="12">
      <c r="A1848" s="1" t="n">
        <v>1879</v>
      </c>
      <c r="B1848" s="3">
        <f>HYPERLINK("https://leetcode.com/problems/minimum-xor-sum-of-two-arrays/", "Minimum XOR Sum of Two Arrays")</f>
        <v/>
      </c>
      <c r="C1848" s="1" t="n">
        <v>723</v>
      </c>
      <c r="D1848" s="1" t="n">
        <v>13</v>
      </c>
      <c r="E1848" s="4">
        <f>IF(INDEX(C:C, ROW())+INDEX(D:D, ROW())=0, 0, INDEX(C:C, ROW())/(INDEX(C:C, ROW())+INDEX(D:D, ROW())))</f>
        <v/>
      </c>
      <c r="F1848" s="1" t="inlineStr">
        <is>
          <t>Array, Dynamic Programming, Bit Manipulation, Bitmask</t>
        </is>
      </c>
      <c r="G1848" s="1" t="inlineStr">
        <is>
          <t>Hard</t>
        </is>
      </c>
      <c r="H1848" s="1" t="n">
        <v>20854</v>
      </c>
      <c r="I1848" s="1" t="n">
        <v>40846</v>
      </c>
      <c r="J1848" s="9" t="n">
        <v>0.511</v>
      </c>
      <c r="K1848" s="1" t="inlineStr">
        <is>
          <t>Yes</t>
        </is>
      </c>
      <c r="L1848" s="1" t="inlineStr">
        <is>
          <t>No</t>
        </is>
      </c>
      <c r="M1848" s="1" t="inlineStr">
        <is>
          <t>No</t>
        </is>
      </c>
      <c r="N1848" s="1" t="inlineStr">
        <is>
          <t>Algorithms</t>
        </is>
      </c>
      <c r="O18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48" s="11" t="inlineStr">
        <is>
          <t>To Do</t>
        </is>
      </c>
    </row>
    <row r="1849" ht="15.75" customHeight="1" s="12">
      <c r="A1849" s="1" t="n">
        <v>1449</v>
      </c>
      <c r="B1849" s="3">
        <f>HYPERLINK("https://leetcode.com/problems/form-largest-integer-with-digits-that-add-up-to-target/", "Form Largest Integer With Digits That Add up to Target")</f>
        <v/>
      </c>
      <c r="C1849" s="1" t="n">
        <v>722</v>
      </c>
      <c r="D1849" s="1" t="n">
        <v>20</v>
      </c>
      <c r="E1849" s="4">
        <f>IF(INDEX(C:C, ROW())+INDEX(D:D, ROW())=0, 0, INDEX(C:C, ROW())/(INDEX(C:C, ROW())+INDEX(D:D, ROW())))</f>
        <v/>
      </c>
      <c r="F1849" s="1" t="inlineStr">
        <is>
          <t>Array, Dynamic Programming</t>
        </is>
      </c>
      <c r="G1849" s="1" t="inlineStr">
        <is>
          <t>Hard</t>
        </is>
      </c>
      <c r="H1849" s="1" t="n">
        <v>23440</v>
      </c>
      <c r="I1849" s="1" t="n">
        <v>47238</v>
      </c>
      <c r="J1849" s="9" t="n">
        <v>0.496</v>
      </c>
      <c r="K1849" s="1" t="inlineStr">
        <is>
          <t>Yes</t>
        </is>
      </c>
      <c r="L1849" s="1" t="inlineStr">
        <is>
          <t>No</t>
        </is>
      </c>
      <c r="M1849" s="1" t="inlineStr">
        <is>
          <t>No</t>
        </is>
      </c>
      <c r="N1849" s="1" t="inlineStr">
        <is>
          <t>Algorithms</t>
        </is>
      </c>
      <c r="O18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49" s="11" t="inlineStr">
        <is>
          <t>To Do</t>
        </is>
      </c>
    </row>
    <row r="1850" ht="15.75" customHeight="1" s="12">
      <c r="A1850" s="1" t="n">
        <v>2148</v>
      </c>
      <c r="B1850" s="3">
        <f>HYPERLINK("https://leetcode.com/problems/count-elements-with-strictly-smaller-and-greater-elements/", "Count Elements With Strictly Smaller and Greater Elements ")</f>
        <v/>
      </c>
      <c r="C1850" s="1" t="n">
        <v>722</v>
      </c>
      <c r="D1850" s="1" t="n">
        <v>46</v>
      </c>
      <c r="E1850" s="4">
        <f>IF(INDEX(C:C, ROW())+INDEX(D:D, ROW())=0, 0, INDEX(C:C, ROW())/(INDEX(C:C, ROW())+INDEX(D:D, ROW())))</f>
        <v/>
      </c>
      <c r="F1850" s="1" t="inlineStr">
        <is>
          <t>Array, Sorting, Counting</t>
        </is>
      </c>
      <c r="G1850" s="1" t="inlineStr">
        <is>
          <t>Easy</t>
        </is>
      </c>
      <c r="H1850" s="1" t="n">
        <v>83117</v>
      </c>
      <c r="I1850" s="1" t="n">
        <v>138630</v>
      </c>
      <c r="J1850" s="9" t="n">
        <v>0.6</v>
      </c>
      <c r="K1850" s="1" t="inlineStr">
        <is>
          <t>Yes</t>
        </is>
      </c>
      <c r="L1850" s="1" t="inlineStr">
        <is>
          <t>No</t>
        </is>
      </c>
      <c r="M1850" s="1" t="inlineStr">
        <is>
          <t>No</t>
        </is>
      </c>
      <c r="N1850" s="1" t="inlineStr">
        <is>
          <t>Algorithms</t>
        </is>
      </c>
      <c r="O18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50" s="13" t="inlineStr">
        <is>
          <t>Done</t>
        </is>
      </c>
    </row>
    <row r="1851" ht="15.75" customHeight="1" s="12">
      <c r="A1851" s="1" t="n">
        <v>2830</v>
      </c>
      <c r="B1851" s="3">
        <f>HYPERLINK("https://leetcode.com/problems/maximize-the-profit-as-the-salesman/", "Maximize the Profit as the Salesman")</f>
        <v/>
      </c>
      <c r="C1851" s="1" t="n">
        <v>721</v>
      </c>
      <c r="D1851" s="1" t="n">
        <v>22</v>
      </c>
      <c r="E1851" s="4">
        <f>IF(INDEX(C:C, ROW())+INDEX(D:D, ROW())=0, 0, INDEX(C:C, ROW())/(INDEX(C:C, ROW())+INDEX(D:D, ROW())))</f>
        <v/>
      </c>
      <c r="F1851" s="1" t="inlineStr">
        <is>
          <t>Array, Hash Table, Binary Search, Dynamic Programming, Sorting</t>
        </is>
      </c>
      <c r="G1851" s="1" t="inlineStr">
        <is>
          <t>Medium</t>
        </is>
      </c>
      <c r="H1851" s="1" t="n">
        <v>27274</v>
      </c>
      <c r="I1851" s="1" t="n">
        <v>71134</v>
      </c>
      <c r="J1851" s="9" t="n">
        <v>0.383</v>
      </c>
      <c r="K1851" s="1" t="inlineStr">
        <is>
          <t>Yes</t>
        </is>
      </c>
      <c r="L1851" s="1" t="inlineStr">
        <is>
          <t>No</t>
        </is>
      </c>
      <c r="M1851" s="1" t="inlineStr">
        <is>
          <t>No</t>
        </is>
      </c>
      <c r="N1851" s="1" t="inlineStr">
        <is>
          <t>Algorithms</t>
        </is>
      </c>
      <c r="O18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51" s="11" t="inlineStr">
        <is>
          <t>To Do</t>
        </is>
      </c>
    </row>
    <row r="1852" ht="15.75" customHeight="1" s="12">
      <c r="A1852" s="1" t="n">
        <v>2180</v>
      </c>
      <c r="B1852" s="3">
        <f>HYPERLINK("https://leetcode.com/problems/count-integers-with-even-digit-sum/", "Count Integers With Even Digit Sum")</f>
        <v/>
      </c>
      <c r="C1852" s="1" t="n">
        <v>717</v>
      </c>
      <c r="D1852" s="1" t="n">
        <v>44</v>
      </c>
      <c r="E1852" s="4">
        <f>IF(INDEX(C:C, ROW())+INDEX(D:D, ROW())=0, 0, INDEX(C:C, ROW())/(INDEX(C:C, ROW())+INDEX(D:D, ROW())))</f>
        <v/>
      </c>
      <c r="F1852" s="1" t="inlineStr">
        <is>
          <t>Math, Simulation</t>
        </is>
      </c>
      <c r="G1852" s="1" t="inlineStr">
        <is>
          <t>Easy</t>
        </is>
      </c>
      <c r="H1852" s="1" t="n">
        <v>98381</v>
      </c>
      <c r="I1852" s="1" t="n">
        <v>140391</v>
      </c>
      <c r="J1852" s="9" t="n">
        <v>0.701</v>
      </c>
      <c r="K1852" s="1" t="inlineStr">
        <is>
          <t>Yes</t>
        </is>
      </c>
      <c r="L1852" s="1" t="inlineStr">
        <is>
          <t>No</t>
        </is>
      </c>
      <c r="M1852" s="1" t="inlineStr">
        <is>
          <t>No</t>
        </is>
      </c>
      <c r="N1852" s="1" t="inlineStr">
        <is>
          <t>Algorithms</t>
        </is>
      </c>
      <c r="O18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52" s="13" t="inlineStr">
        <is>
          <t>Done</t>
        </is>
      </c>
    </row>
    <row r="1853" ht="15.75" customHeight="1" s="12">
      <c r="A1853" s="1" t="n">
        <v>1036</v>
      </c>
      <c r="B1853" s="3">
        <f>HYPERLINK("https://leetcode.com/problems/escape-a-large-maze/", "Escape a Large Maze")</f>
        <v/>
      </c>
      <c r="C1853" s="1" t="n">
        <v>716</v>
      </c>
      <c r="D1853" s="1" t="n">
        <v>173</v>
      </c>
      <c r="E1853" s="4">
        <f>IF(INDEX(C:C, ROW())+INDEX(D:D, ROW())=0, 0, INDEX(C:C, ROW())/(INDEX(C:C, ROW())+INDEX(D:D, ROW())))</f>
        <v/>
      </c>
      <c r="F1853" s="1" t="inlineStr">
        <is>
          <t>Array, Hash Table, Depth-First Search, Breadth-First Search</t>
        </is>
      </c>
      <c r="G1853" s="1" t="inlineStr">
        <is>
          <t>Hard</t>
        </is>
      </c>
      <c r="H1853" s="1" t="n">
        <v>28858</v>
      </c>
      <c r="I1853" s="1" t="n">
        <v>78906</v>
      </c>
      <c r="J1853" s="9" t="n">
        <v>0.366</v>
      </c>
      <c r="K1853" s="1" t="inlineStr">
        <is>
          <t>Yes</t>
        </is>
      </c>
      <c r="L1853" s="1" t="inlineStr">
        <is>
          <t>No</t>
        </is>
      </c>
      <c r="M1853" s="1" t="inlineStr">
        <is>
          <t>No</t>
        </is>
      </c>
      <c r="N1853" s="1" t="inlineStr">
        <is>
          <t>Algorithms</t>
        </is>
      </c>
      <c r="O18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53" s="11" t="inlineStr">
        <is>
          <t>To Do</t>
        </is>
      </c>
    </row>
    <row r="1854" ht="15.75" customHeight="1" s="12">
      <c r="A1854" s="1" t="n">
        <v>1733</v>
      </c>
      <c r="B1854" s="3">
        <f>HYPERLINK("https://leetcode.com/problems/minimum-number-of-people-to-teach/", "Minimum Number of People to Teach")</f>
        <v/>
      </c>
      <c r="C1854" s="1" t="n">
        <v>716</v>
      </c>
      <c r="D1854" s="1" t="n">
        <v>560</v>
      </c>
      <c r="E1854" s="4">
        <f>IF(INDEX(C:C, ROW())+INDEX(D:D, ROW())=0, 0, INDEX(C:C, ROW())/(INDEX(C:C, ROW())+INDEX(D:D, ROW())))</f>
        <v/>
      </c>
      <c r="F1854" s="1" t="inlineStr">
        <is>
          <t>Array, Hash Table, Greedy</t>
        </is>
      </c>
      <c r="G1854" s="1" t="inlineStr">
        <is>
          <t>Medium</t>
        </is>
      </c>
      <c r="H1854" s="1" t="n">
        <v>99806</v>
      </c>
      <c r="I1854" s="1" t="n">
        <v>147982</v>
      </c>
      <c r="J1854" s="9" t="n">
        <v>0.674</v>
      </c>
      <c r="K1854" s="1" t="inlineStr">
        <is>
          <t>Yes</t>
        </is>
      </c>
      <c r="L1854" s="1" t="inlineStr">
        <is>
          <t>Yes</t>
        </is>
      </c>
      <c r="M1854" s="1" t="inlineStr">
        <is>
          <t>No</t>
        </is>
      </c>
      <c r="N1854" s="1" t="inlineStr">
        <is>
          <t>Algorithms</t>
        </is>
      </c>
      <c r="O18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54" s="11" t="inlineStr">
        <is>
          <t>To Do</t>
        </is>
      </c>
    </row>
    <row r="1855" ht="15.75" customHeight="1" s="12">
      <c r="A1855" s="1" t="n">
        <v>2621</v>
      </c>
      <c r="B1855" s="3">
        <f>HYPERLINK("https://leetcode.com/problems/sleep/", "Sleep")</f>
        <v/>
      </c>
      <c r="C1855" s="1" t="n">
        <v>716</v>
      </c>
      <c r="D1855" s="1" t="n">
        <v>61</v>
      </c>
      <c r="E1855" s="4">
        <f>IF(INDEX(C:C, ROW())+INDEX(D:D, ROW())=0, 0, INDEX(C:C, ROW())/(INDEX(C:C, ROW())+INDEX(D:D, ROW())))</f>
        <v/>
      </c>
      <c r="F1855" s="2" t="n"/>
      <c r="G1855" s="1" t="inlineStr">
        <is>
          <t>Easy</t>
        </is>
      </c>
      <c r="H1855" s="1" t="n">
        <v>253316</v>
      </c>
      <c r="I1855" s="1" t="n">
        <v>289818</v>
      </c>
      <c r="J1855" s="9" t="n">
        <v>0.874</v>
      </c>
      <c r="K1855" s="1" t="inlineStr">
        <is>
          <t>Yes</t>
        </is>
      </c>
      <c r="L1855" s="1" t="inlineStr">
        <is>
          <t>Yes</t>
        </is>
      </c>
      <c r="M1855" s="1" t="inlineStr">
        <is>
          <t>No</t>
        </is>
      </c>
      <c r="N1855" s="1" t="inlineStr">
        <is>
          <t>JavaScript</t>
        </is>
      </c>
      <c r="O18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55" s="13" t="inlineStr">
        <is>
          <t>Done</t>
        </is>
      </c>
    </row>
    <row r="1856" ht="15.75" customHeight="1" s="12">
      <c r="A1856" s="1" t="n">
        <v>1517</v>
      </c>
      <c r="B1856" s="3">
        <f>HYPERLINK("https://leetcode.com/problems/find-users-with-valid-e-mails/", "Find Users With Valid E-Mails")</f>
        <v/>
      </c>
      <c r="C1856" s="1" t="n">
        <v>715</v>
      </c>
      <c r="D1856" s="1" t="n">
        <v>315</v>
      </c>
      <c r="E1856" s="4">
        <f>IF(INDEX(C:C, ROW())+INDEX(D:D, ROW())=0, 0, INDEX(C:C, ROW())/(INDEX(C:C, ROW())+INDEX(D:D, ROW())))</f>
        <v/>
      </c>
      <c r="F1856" s="1" t="inlineStr">
        <is>
          <t>Database</t>
        </is>
      </c>
      <c r="G1856" s="1" t="inlineStr">
        <is>
          <t>Easy</t>
        </is>
      </c>
      <c r="H1856" s="1" t="n">
        <v>292719</v>
      </c>
      <c r="I1856" s="1" t="n">
        <v>811891</v>
      </c>
      <c r="J1856" s="9" t="n">
        <v>0.361</v>
      </c>
      <c r="K1856" s="1" t="inlineStr">
        <is>
          <t>Yes</t>
        </is>
      </c>
      <c r="L1856" s="1" t="inlineStr">
        <is>
          <t>Yes</t>
        </is>
      </c>
      <c r="M1856" s="1" t="inlineStr">
        <is>
          <t>No</t>
        </is>
      </c>
      <c r="N1856" s="1" t="inlineStr">
        <is>
          <t>Database</t>
        </is>
      </c>
      <c r="O18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56" s="13" t="inlineStr">
        <is>
          <t>Done</t>
        </is>
      </c>
    </row>
    <row r="1857" ht="15.75" customHeight="1" s="12">
      <c r="A1857" s="1" t="n">
        <v>774</v>
      </c>
      <c r="B1857" s="3">
        <f>HYPERLINK("https://leetcode.com/problems/minimize-max-distance-to-gas-station/", "Minimize Max Distance to Gas Station")</f>
        <v/>
      </c>
      <c r="C1857" s="1" t="n">
        <v>714</v>
      </c>
      <c r="D1857" s="1" t="n">
        <v>104</v>
      </c>
      <c r="E1857" s="4">
        <f>IF(INDEX(C:C, ROW())+INDEX(D:D, ROW())=0, 0, INDEX(C:C, ROW())/(INDEX(C:C, ROW())+INDEX(D:D, ROW())))</f>
        <v/>
      </c>
      <c r="F1857" s="1" t="inlineStr">
        <is>
          <t>Array, Binary Search</t>
        </is>
      </c>
      <c r="G1857" s="1" t="inlineStr">
        <is>
          <t>Hard</t>
        </is>
      </c>
      <c r="H1857" s="1" t="n">
        <v>37564</v>
      </c>
      <c r="I1857" s="1" t="n">
        <v>69622</v>
      </c>
      <c r="J1857" s="9" t="n">
        <v>0.54</v>
      </c>
      <c r="K1857" s="1" t="inlineStr">
        <is>
          <t>No</t>
        </is>
      </c>
      <c r="L1857" s="1" t="inlineStr">
        <is>
          <t>Yes</t>
        </is>
      </c>
      <c r="M1857" s="1" t="inlineStr">
        <is>
          <t>No</t>
        </is>
      </c>
      <c r="N1857" s="1" t="inlineStr">
        <is>
          <t>Algorithms</t>
        </is>
      </c>
      <c r="O18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57" s="11" t="inlineStr">
        <is>
          <t>To Do</t>
        </is>
      </c>
    </row>
    <row r="1858" ht="15.75" customHeight="1" s="12">
      <c r="A1858" s="1" t="n">
        <v>1147</v>
      </c>
      <c r="B1858" s="3">
        <f>HYPERLINK("https://leetcode.com/problems/longest-chunked-palindrome-decomposition/", "Longest Chunked Palindrome Decomposition")</f>
        <v/>
      </c>
      <c r="C1858" s="1" t="n">
        <v>714</v>
      </c>
      <c r="D1858" s="1" t="n">
        <v>35</v>
      </c>
      <c r="E1858" s="4">
        <f>IF(INDEX(C:C, ROW())+INDEX(D:D, ROW())=0, 0, INDEX(C:C, ROW())/(INDEX(C:C, ROW())+INDEX(D:D, ROW())))</f>
        <v/>
      </c>
      <c r="F1858" s="1" t="inlineStr">
        <is>
          <t>Two Pointers, String, Dynamic Programming, Greedy, Rolling Hash, Hash Function</t>
        </is>
      </c>
      <c r="G1858" s="1" t="inlineStr">
        <is>
          <t>Hard</t>
        </is>
      </c>
      <c r="H1858" s="1" t="n">
        <v>31546</v>
      </c>
      <c r="I1858" s="1" t="n">
        <v>53562</v>
      </c>
      <c r="J1858" s="9" t="n">
        <v>0.589</v>
      </c>
      <c r="K1858" s="1" t="inlineStr">
        <is>
          <t>Yes</t>
        </is>
      </c>
      <c r="L1858" s="1" t="inlineStr">
        <is>
          <t>No</t>
        </is>
      </c>
      <c r="M1858" s="1" t="inlineStr">
        <is>
          <t>No</t>
        </is>
      </c>
      <c r="N1858" s="1" t="inlineStr">
        <is>
          <t>Algorithms</t>
        </is>
      </c>
      <c r="O18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58" s="11" t="inlineStr">
        <is>
          <t>To Do</t>
        </is>
      </c>
    </row>
    <row r="1859" ht="15.75" customHeight="1" s="12">
      <c r="A1859" s="1" t="n">
        <v>2358</v>
      </c>
      <c r="B1859" s="3">
        <f>HYPERLINK("https://leetcode.com/problems/maximum-number-of-groups-entering-a-competition/", "Maximum Number of Groups Entering a Competition")</f>
        <v/>
      </c>
      <c r="C1859" s="1" t="n">
        <v>714</v>
      </c>
      <c r="D1859" s="1" t="n">
        <v>122</v>
      </c>
      <c r="E1859" s="4">
        <f>IF(INDEX(C:C, ROW())+INDEX(D:D, ROW())=0, 0, INDEX(C:C, ROW())/(INDEX(C:C, ROW())+INDEX(D:D, ROW())))</f>
        <v/>
      </c>
      <c r="F1859" s="1" t="inlineStr">
        <is>
          <t>Array, Math, Binary Search, Greedy</t>
        </is>
      </c>
      <c r="G1859" s="1" t="inlineStr">
        <is>
          <t>Medium</t>
        </is>
      </c>
      <c r="H1859" s="1" t="n">
        <v>45327</v>
      </c>
      <c r="I1859" s="1" t="n">
        <v>66112</v>
      </c>
      <c r="J1859" s="9" t="n">
        <v>0.6860000000000001</v>
      </c>
      <c r="K1859" s="1" t="inlineStr">
        <is>
          <t>Yes</t>
        </is>
      </c>
      <c r="L1859" s="1" t="inlineStr">
        <is>
          <t>No</t>
        </is>
      </c>
      <c r="M1859" s="1" t="inlineStr">
        <is>
          <t>No</t>
        </is>
      </c>
      <c r="N1859" s="1" t="inlineStr">
        <is>
          <t>Algorithms</t>
        </is>
      </c>
      <c r="O18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59" s="11" t="inlineStr">
        <is>
          <t>To Do</t>
        </is>
      </c>
    </row>
    <row r="1860" ht="15.75" customHeight="1" s="12">
      <c r="A1860" s="1" t="n">
        <v>3011</v>
      </c>
      <c r="B1860" s="3">
        <f>HYPERLINK("https://leetcode.com/problems/find-if-array-can-be-sorted/", "Find if Array Can Be Sorted")</f>
        <v/>
      </c>
      <c r="C1860" s="1" t="n">
        <v>714</v>
      </c>
      <c r="D1860" s="1" t="n">
        <v>64</v>
      </c>
      <c r="E1860" s="4">
        <f>IF(INDEX(C:C, ROW())+INDEX(D:D, ROW())=0, 0, INDEX(C:C, ROW())/(INDEX(C:C, ROW())+INDEX(D:D, ROW())))</f>
        <v/>
      </c>
      <c r="F1860" s="1" t="inlineStr">
        <is>
          <t>Array, Bit Manipulation, Sorting</t>
        </is>
      </c>
      <c r="G1860" s="1" t="inlineStr">
        <is>
          <t>Medium</t>
        </is>
      </c>
      <c r="H1860" s="1" t="n">
        <v>150520</v>
      </c>
      <c r="I1860" s="1" t="n">
        <v>226705</v>
      </c>
      <c r="J1860" s="9" t="n">
        <v>0.664</v>
      </c>
      <c r="K1860" s="1" t="inlineStr">
        <is>
          <t>Yes</t>
        </is>
      </c>
      <c r="L1860" s="1" t="inlineStr">
        <is>
          <t>Yes</t>
        </is>
      </c>
      <c r="M1860" s="1" t="inlineStr">
        <is>
          <t>No</t>
        </is>
      </c>
      <c r="N1860" s="1" t="inlineStr">
        <is>
          <t>Algorithms</t>
        </is>
      </c>
      <c r="O18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60" s="11" t="inlineStr">
        <is>
          <t>To Do</t>
        </is>
      </c>
    </row>
    <row r="1861" ht="15.75" customHeight="1" s="12">
      <c r="A1861" s="1" t="n">
        <v>170</v>
      </c>
      <c r="B1861" s="3">
        <f>HYPERLINK("https://leetcode.com/problems/two-sum-iii-data-structure-design/", "Two Sum III - Data structure design")</f>
        <v/>
      </c>
      <c r="C1861" s="1" t="n">
        <v>712</v>
      </c>
      <c r="D1861" s="1" t="n">
        <v>462</v>
      </c>
      <c r="E1861" s="4">
        <f>IF(INDEX(C:C, ROW())+INDEX(D:D, ROW())=0, 0, INDEX(C:C, ROW())/(INDEX(C:C, ROW())+INDEX(D:D, ROW())))</f>
        <v/>
      </c>
      <c r="F1861" s="1" t="inlineStr">
        <is>
          <t>Array, Hash Table, Two Pointers, Design, Data Stream</t>
        </is>
      </c>
      <c r="G1861" s="1" t="inlineStr">
        <is>
          <t>Easy</t>
        </is>
      </c>
      <c r="H1861" s="1" t="n">
        <v>182438</v>
      </c>
      <c r="I1861" s="1" t="n">
        <v>466144</v>
      </c>
      <c r="J1861" s="9" t="n">
        <v>0.391</v>
      </c>
      <c r="K1861" s="1" t="inlineStr">
        <is>
          <t>No</t>
        </is>
      </c>
      <c r="L1861" s="1" t="inlineStr">
        <is>
          <t>Yes</t>
        </is>
      </c>
      <c r="M1861" s="1" t="inlineStr">
        <is>
          <t>No</t>
        </is>
      </c>
      <c r="N1861" s="1" t="inlineStr">
        <is>
          <t>Algorithms</t>
        </is>
      </c>
      <c r="O18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61" s="11" t="inlineStr">
        <is>
          <t>To Do</t>
        </is>
      </c>
    </row>
    <row r="1862" ht="15.75" customHeight="1" s="12">
      <c r="A1862" s="1" t="n">
        <v>281</v>
      </c>
      <c r="B1862" s="3">
        <f>HYPERLINK("https://leetcode.com/problems/zigzag-iterator/", "Zigzag Iterator")</f>
        <v/>
      </c>
      <c r="C1862" s="1" t="n">
        <v>712</v>
      </c>
      <c r="D1862" s="1" t="n">
        <v>43</v>
      </c>
      <c r="E1862" s="4">
        <f>IF(INDEX(C:C, ROW())+INDEX(D:D, ROW())=0, 0, INDEX(C:C, ROW())/(INDEX(C:C, ROW())+INDEX(D:D, ROW())))</f>
        <v/>
      </c>
      <c r="F1862" s="1" t="inlineStr">
        <is>
          <t>Array, Design, Queue, Iterator</t>
        </is>
      </c>
      <c r="G1862" s="1" t="inlineStr">
        <is>
          <t>Medium</t>
        </is>
      </c>
      <c r="H1862" s="1" t="n">
        <v>114580</v>
      </c>
      <c r="I1862" s="1" t="n">
        <v>171024</v>
      </c>
      <c r="J1862" s="9" t="n">
        <v>0.67</v>
      </c>
      <c r="K1862" s="1" t="inlineStr">
        <is>
          <t>No</t>
        </is>
      </c>
      <c r="L1862" s="1" t="inlineStr">
        <is>
          <t>Yes</t>
        </is>
      </c>
      <c r="M1862" s="1" t="inlineStr">
        <is>
          <t>No</t>
        </is>
      </c>
      <c r="N1862" s="1" t="inlineStr">
        <is>
          <t>Algorithms</t>
        </is>
      </c>
      <c r="O18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62" s="11" t="inlineStr">
        <is>
          <t>To Do</t>
        </is>
      </c>
    </row>
    <row r="1863" ht="15.75" customHeight="1" s="12">
      <c r="A1863" s="1" t="n">
        <v>320</v>
      </c>
      <c r="B1863" s="3">
        <f>HYPERLINK("https://leetcode.com/problems/generalized-abbreviation/", "Generalized Abbreviation")</f>
        <v/>
      </c>
      <c r="C1863" s="1" t="n">
        <v>712</v>
      </c>
      <c r="D1863" s="1" t="n">
        <v>232</v>
      </c>
      <c r="E1863" s="4">
        <f>IF(INDEX(C:C, ROW())+INDEX(D:D, ROW())=0, 0, INDEX(C:C, ROW())/(INDEX(C:C, ROW())+INDEX(D:D, ROW())))</f>
        <v/>
      </c>
      <c r="F1863" s="1" t="inlineStr">
        <is>
          <t>String, Backtracking, Bit Manipulation</t>
        </is>
      </c>
      <c r="G1863" s="1" t="inlineStr">
        <is>
          <t>Medium</t>
        </is>
      </c>
      <c r="H1863" s="1" t="n">
        <v>75850</v>
      </c>
      <c r="I1863" s="1" t="n">
        <v>125563</v>
      </c>
      <c r="J1863" s="9" t="n">
        <v>0.604</v>
      </c>
      <c r="K1863" s="1" t="inlineStr">
        <is>
          <t>No</t>
        </is>
      </c>
      <c r="L1863" s="1" t="inlineStr">
        <is>
          <t>Yes</t>
        </is>
      </c>
      <c r="M1863" s="1" t="inlineStr">
        <is>
          <t>No</t>
        </is>
      </c>
      <c r="N1863" s="1" t="inlineStr">
        <is>
          <t>Algorithms</t>
        </is>
      </c>
      <c r="O18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63" s="11" t="inlineStr">
        <is>
          <t>To Do</t>
        </is>
      </c>
    </row>
    <row r="1864" ht="15.75" customHeight="1" s="12">
      <c r="A1864" s="1" t="n">
        <v>2500</v>
      </c>
      <c r="B1864" s="3">
        <f>HYPERLINK("https://leetcode.com/problems/delete-greatest-value-in-each-row/", "Delete Greatest Value in Each Row")</f>
        <v/>
      </c>
      <c r="C1864" s="1" t="n">
        <v>712</v>
      </c>
      <c r="D1864" s="1" t="n">
        <v>53</v>
      </c>
      <c r="E1864" s="4">
        <f>IF(INDEX(C:C, ROW())+INDEX(D:D, ROW())=0, 0, INDEX(C:C, ROW())/(INDEX(C:C, ROW())+INDEX(D:D, ROW())))</f>
        <v/>
      </c>
      <c r="F1864" s="1" t="inlineStr">
        <is>
          <t>Array, Sorting, Heap (Priority Queue), Matrix, Simulation</t>
        </is>
      </c>
      <c r="G1864" s="1" t="inlineStr">
        <is>
          <t>Easy</t>
        </is>
      </c>
      <c r="H1864" s="1" t="n">
        <v>92615</v>
      </c>
      <c r="I1864" s="1" t="n">
        <v>115958</v>
      </c>
      <c r="J1864" s="9" t="n">
        <v>0.799</v>
      </c>
      <c r="K1864" s="1" t="inlineStr">
        <is>
          <t>Yes</t>
        </is>
      </c>
      <c r="L1864" s="1" t="inlineStr">
        <is>
          <t>No</t>
        </is>
      </c>
      <c r="M1864" s="1" t="inlineStr">
        <is>
          <t>No</t>
        </is>
      </c>
      <c r="N1864" s="1" t="inlineStr">
        <is>
          <t>Algorithms</t>
        </is>
      </c>
      <c r="O18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64" s="13" t="inlineStr">
        <is>
          <t>Done</t>
        </is>
      </c>
    </row>
    <row r="1865" ht="15.75" customHeight="1" s="12">
      <c r="A1865" s="1" t="n">
        <v>1995</v>
      </c>
      <c r="B1865" s="3">
        <f>HYPERLINK("https://leetcode.com/problems/count-special-quadruplets/", "Count Special Quadruplets")</f>
        <v/>
      </c>
      <c r="C1865" s="1" t="n">
        <v>711</v>
      </c>
      <c r="D1865" s="1" t="n">
        <v>245</v>
      </c>
      <c r="E1865" s="4">
        <f>IF(INDEX(C:C, ROW())+INDEX(D:D, ROW())=0, 0, INDEX(C:C, ROW())/(INDEX(C:C, ROW())+INDEX(D:D, ROW())))</f>
        <v/>
      </c>
      <c r="F1865" s="1" t="inlineStr">
        <is>
          <t>Array, Hash Table, Enumeration</t>
        </is>
      </c>
      <c r="G1865" s="1" t="inlineStr">
        <is>
          <t>Easy</t>
        </is>
      </c>
      <c r="H1865" s="1" t="n">
        <v>63142</v>
      </c>
      <c r="I1865" s="1" t="n">
        <v>97629</v>
      </c>
      <c r="J1865" s="9" t="n">
        <v>0.647</v>
      </c>
      <c r="K1865" s="1" t="inlineStr">
        <is>
          <t>Yes</t>
        </is>
      </c>
      <c r="L1865" s="1" t="inlineStr">
        <is>
          <t>No</t>
        </is>
      </c>
      <c r="M1865" s="1" t="inlineStr">
        <is>
          <t>No</t>
        </is>
      </c>
      <c r="N1865" s="1" t="inlineStr">
        <is>
          <t>Algorithms</t>
        </is>
      </c>
      <c r="O18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65" s="13" t="inlineStr">
        <is>
          <t>Done</t>
        </is>
      </c>
    </row>
    <row r="1866" ht="15.75" customHeight="1" s="12">
      <c r="A1866" s="1" t="n">
        <v>928</v>
      </c>
      <c r="B1866" s="3">
        <f>HYPERLINK("https://leetcode.com/problems/minimize-malware-spread-ii/", "Minimize Malware Spread II")</f>
        <v/>
      </c>
      <c r="C1866" s="1" t="n">
        <v>709</v>
      </c>
      <c r="D1866" s="1" t="n">
        <v>92</v>
      </c>
      <c r="E1866" s="4">
        <f>IF(INDEX(C:C, ROW())+INDEX(D:D, ROW())=0, 0, INDEX(C:C, ROW())/(INDEX(C:C, ROW())+INDEX(D:D, ROW())))</f>
        <v/>
      </c>
      <c r="F1866" s="1" t="inlineStr">
        <is>
          <t>Array, Hash Table, Depth-First Search, Breadth-First Search, Union-Find, Graph Theory</t>
        </is>
      </c>
      <c r="G1866" s="1" t="inlineStr">
        <is>
          <t>Hard</t>
        </is>
      </c>
      <c r="H1866" s="1" t="n">
        <v>30551</v>
      </c>
      <c r="I1866" s="1" t="n">
        <v>67023</v>
      </c>
      <c r="J1866" s="9" t="n">
        <v>0.456</v>
      </c>
      <c r="K1866" s="1" t="inlineStr">
        <is>
          <t>Yes</t>
        </is>
      </c>
      <c r="L1866" s="1" t="inlineStr">
        <is>
          <t>Yes</t>
        </is>
      </c>
      <c r="M1866" s="1" t="inlineStr">
        <is>
          <t>No</t>
        </is>
      </c>
      <c r="N1866" s="1" t="inlineStr">
        <is>
          <t>Algorithms</t>
        </is>
      </c>
      <c r="O18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66" s="11" t="inlineStr">
        <is>
          <t>To Do</t>
        </is>
      </c>
    </row>
    <row r="1867" ht="15.75" customHeight="1" s="12">
      <c r="A1867" s="1" t="n">
        <v>2150</v>
      </c>
      <c r="B1867" s="3">
        <f>HYPERLINK("https://leetcode.com/problems/find-all-lonely-numbers-in-the-array/", "Find All Lonely Numbers in the Array")</f>
        <v/>
      </c>
      <c r="C1867" s="1" t="n">
        <v>709</v>
      </c>
      <c r="D1867" s="1" t="n">
        <v>67</v>
      </c>
      <c r="E1867" s="4">
        <f>IF(INDEX(C:C, ROW())+INDEX(D:D, ROW())=0, 0, INDEX(C:C, ROW())/(INDEX(C:C, ROW())+INDEX(D:D, ROW())))</f>
        <v/>
      </c>
      <c r="F1867" s="1" t="inlineStr">
        <is>
          <t>Array, Hash Table, Counting</t>
        </is>
      </c>
      <c r="G1867" s="1" t="inlineStr">
        <is>
          <t>Medium</t>
        </is>
      </c>
      <c r="H1867" s="1" t="n">
        <v>71742</v>
      </c>
      <c r="I1867" s="1" t="n">
        <v>113879</v>
      </c>
      <c r="J1867" s="9" t="n">
        <v>0.63</v>
      </c>
      <c r="K1867" s="1" t="inlineStr">
        <is>
          <t>Yes</t>
        </is>
      </c>
      <c r="L1867" s="1" t="inlineStr">
        <is>
          <t>No</t>
        </is>
      </c>
      <c r="M1867" s="1" t="inlineStr">
        <is>
          <t>No</t>
        </is>
      </c>
      <c r="N1867" s="1" t="inlineStr">
        <is>
          <t>Algorithms</t>
        </is>
      </c>
      <c r="O18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67" s="11" t="inlineStr">
        <is>
          <t>To Do</t>
        </is>
      </c>
    </row>
    <row r="1868" ht="15.75" customHeight="1" s="12">
      <c r="A1868" s="1" t="n">
        <v>2942</v>
      </c>
      <c r="B1868" s="3">
        <f>HYPERLINK("https://leetcode.com/problems/find-words-containing-character/", "Find Words Containing Character")</f>
        <v/>
      </c>
      <c r="C1868" s="1" t="n">
        <v>708</v>
      </c>
      <c r="D1868" s="1" t="n">
        <v>55</v>
      </c>
      <c r="E1868" s="4">
        <f>IF(INDEX(C:C, ROW())+INDEX(D:D, ROW())=0, 0, INDEX(C:C, ROW())/(INDEX(C:C, ROW())+INDEX(D:D, ROW())))</f>
        <v/>
      </c>
      <c r="F1868" s="1" t="inlineStr">
        <is>
          <t>Array, String</t>
        </is>
      </c>
      <c r="G1868" s="1" t="inlineStr">
        <is>
          <t>Easy</t>
        </is>
      </c>
      <c r="H1868" s="1" t="n">
        <v>397814</v>
      </c>
      <c r="I1868" s="1" t="n">
        <v>440099</v>
      </c>
      <c r="J1868" s="9" t="n">
        <v>0.904</v>
      </c>
      <c r="K1868" s="1" t="inlineStr">
        <is>
          <t>Yes</t>
        </is>
      </c>
      <c r="L1868" s="1" t="inlineStr">
        <is>
          <t>Yes</t>
        </is>
      </c>
      <c r="M1868" s="1" t="inlineStr">
        <is>
          <t>No</t>
        </is>
      </c>
      <c r="N1868" s="1" t="inlineStr">
        <is>
          <t>Algorithms</t>
        </is>
      </c>
      <c r="O18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68" s="13" t="inlineStr">
        <is>
          <t>Done</t>
        </is>
      </c>
    </row>
    <row r="1869" ht="15.75" customHeight="1" s="12">
      <c r="A1869" s="1" t="n">
        <v>2662</v>
      </c>
      <c r="B1869" s="3">
        <f>HYPERLINK("https://leetcode.com/problems/minimum-cost-of-a-path-with-special-roads/", "Minimum Cost of a Path With Special Roads")</f>
        <v/>
      </c>
      <c r="C1869" s="1" t="n">
        <v>707</v>
      </c>
      <c r="D1869" s="1" t="n">
        <v>93</v>
      </c>
      <c r="E1869" s="4">
        <f>IF(INDEX(C:C, ROW())+INDEX(D:D, ROW())=0, 0, INDEX(C:C, ROW())/(INDEX(C:C, ROW())+INDEX(D:D, ROW())))</f>
        <v/>
      </c>
      <c r="F1869" s="1" t="inlineStr">
        <is>
          <t>Array, Graph Theory, Heap (Priority Queue), Shortest Path</t>
        </is>
      </c>
      <c r="G1869" s="1" t="inlineStr">
        <is>
          <t>Medium</t>
        </is>
      </c>
      <c r="H1869" s="1" t="n">
        <v>20052</v>
      </c>
      <c r="I1869" s="1" t="n">
        <v>46588</v>
      </c>
      <c r="J1869" s="9" t="n">
        <v>0.43</v>
      </c>
      <c r="K1869" s="1" t="inlineStr">
        <is>
          <t>Yes</t>
        </is>
      </c>
      <c r="L1869" s="1" t="inlineStr">
        <is>
          <t>No</t>
        </is>
      </c>
      <c r="M1869" s="1" t="inlineStr">
        <is>
          <t>No</t>
        </is>
      </c>
      <c r="N1869" s="1" t="inlineStr">
        <is>
          <t>Algorithms</t>
        </is>
      </c>
      <c r="O18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69" s="11" t="inlineStr">
        <is>
          <t>To Do</t>
        </is>
      </c>
    </row>
    <row r="1870" ht="15.75" customHeight="1" s="12">
      <c r="A1870" s="1" t="n">
        <v>3174</v>
      </c>
      <c r="B1870" s="3">
        <f>HYPERLINK("https://leetcode.com/problems/clear-digits/", "Clear Digits")</f>
        <v/>
      </c>
      <c r="C1870" s="1" t="n">
        <v>707</v>
      </c>
      <c r="D1870" s="1" t="n">
        <v>27</v>
      </c>
      <c r="E1870" s="4">
        <f>IF(INDEX(C:C, ROW())+INDEX(D:D, ROW())=0, 0, INDEX(C:C, ROW())/(INDEX(C:C, ROW())+INDEX(D:D, ROW())))</f>
        <v/>
      </c>
      <c r="F1870" s="1" t="inlineStr">
        <is>
          <t>String, Stack, Simulation</t>
        </is>
      </c>
      <c r="G1870" s="1" t="inlineStr">
        <is>
          <t>Easy</t>
        </is>
      </c>
      <c r="H1870" s="1" t="n">
        <v>281932</v>
      </c>
      <c r="I1870" s="1" t="n">
        <v>340885</v>
      </c>
      <c r="J1870" s="9" t="n">
        <v>0.827</v>
      </c>
      <c r="K1870" s="1" t="inlineStr">
        <is>
          <t>Yes</t>
        </is>
      </c>
      <c r="L1870" s="1" t="inlineStr">
        <is>
          <t>Yes</t>
        </is>
      </c>
      <c r="M1870" s="1" t="inlineStr">
        <is>
          <t>No</t>
        </is>
      </c>
      <c r="N1870" s="1" t="inlineStr">
        <is>
          <t>Algorithms</t>
        </is>
      </c>
      <c r="O18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70" s="13" t="inlineStr">
        <is>
          <t>Done</t>
        </is>
      </c>
    </row>
    <row r="1871" ht="15.75" customHeight="1" s="12">
      <c r="A1871" s="1" t="n">
        <v>360</v>
      </c>
      <c r="B1871" s="3">
        <f>HYPERLINK("https://leetcode.com/problems/sort-transformed-array/", "Sort Transformed Array")</f>
        <v/>
      </c>
      <c r="C1871" s="1" t="n">
        <v>705</v>
      </c>
      <c r="D1871" s="1" t="n">
        <v>221</v>
      </c>
      <c r="E1871" s="4">
        <f>IF(INDEX(C:C, ROW())+INDEX(D:D, ROW())=0, 0, INDEX(C:C, ROW())/(INDEX(C:C, ROW())+INDEX(D:D, ROW())))</f>
        <v/>
      </c>
      <c r="F1871" s="1" t="inlineStr">
        <is>
          <t>Array, Math, Two Pointers, Sorting</t>
        </is>
      </c>
      <c r="G1871" s="1" t="inlineStr">
        <is>
          <t>Medium</t>
        </is>
      </c>
      <c r="H1871" s="1" t="n">
        <v>77225</v>
      </c>
      <c r="I1871" s="1" t="n">
        <v>132833</v>
      </c>
      <c r="J1871" s="9" t="n">
        <v>0.581</v>
      </c>
      <c r="K1871" s="1" t="inlineStr">
        <is>
          <t>No</t>
        </is>
      </c>
      <c r="L1871" s="1" t="inlineStr">
        <is>
          <t>Yes</t>
        </is>
      </c>
      <c r="M1871" s="1" t="inlineStr">
        <is>
          <t>No</t>
        </is>
      </c>
      <c r="N1871" s="1" t="inlineStr">
        <is>
          <t>Algorithms</t>
        </is>
      </c>
      <c r="O18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71" s="11" t="inlineStr">
        <is>
          <t>To Do</t>
        </is>
      </c>
    </row>
    <row r="1872" ht="15.75" customHeight="1" s="12">
      <c r="A1872" s="1" t="n">
        <v>1644</v>
      </c>
      <c r="B1872" s="3">
        <f>HYPERLINK("https://leetcode.com/problems/lowest-common-ancestor-of-a-binary-tree-ii/", "Lowest Common Ancestor of a Binary Tree II")</f>
        <v/>
      </c>
      <c r="C1872" s="1" t="n">
        <v>703</v>
      </c>
      <c r="D1872" s="1" t="n">
        <v>42</v>
      </c>
      <c r="E1872" s="4">
        <f>IF(INDEX(C:C, ROW())+INDEX(D:D, ROW())=0, 0, INDEX(C:C, ROW())/(INDEX(C:C, ROW())+INDEX(D:D, ROW())))</f>
        <v/>
      </c>
      <c r="F1872" s="1" t="inlineStr">
        <is>
          <t>Tree, Depth-First Search, Binary Tree</t>
        </is>
      </c>
      <c r="G1872" s="1" t="inlineStr">
        <is>
          <t>Medium</t>
        </is>
      </c>
      <c r="H1872" s="1" t="n">
        <v>121152</v>
      </c>
      <c r="I1872" s="1" t="n">
        <v>173982</v>
      </c>
      <c r="J1872" s="9" t="n">
        <v>0.696</v>
      </c>
      <c r="K1872" s="1" t="inlineStr">
        <is>
          <t>No</t>
        </is>
      </c>
      <c r="L1872" s="1" t="inlineStr">
        <is>
          <t>Yes</t>
        </is>
      </c>
      <c r="M1872" s="1" t="inlineStr">
        <is>
          <t>No</t>
        </is>
      </c>
      <c r="N1872" s="1" t="inlineStr">
        <is>
          <t>Algorithms</t>
        </is>
      </c>
      <c r="O18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72" s="11" t="inlineStr">
        <is>
          <t>To Do</t>
        </is>
      </c>
    </row>
    <row r="1873" ht="15.75" customHeight="1" s="12">
      <c r="A1873" s="1" t="n">
        <v>2042</v>
      </c>
      <c r="B1873" s="3">
        <f>HYPERLINK("https://leetcode.com/problems/check-if-numbers-are-ascending-in-a-sentence/", "Check if Numbers Are Ascending in a Sentence")</f>
        <v/>
      </c>
      <c r="C1873" s="1" t="n">
        <v>703</v>
      </c>
      <c r="D1873" s="1" t="n">
        <v>25</v>
      </c>
      <c r="E1873" s="4">
        <f>IF(INDEX(C:C, ROW())+INDEX(D:D, ROW())=0, 0, INDEX(C:C, ROW())/(INDEX(C:C, ROW())+INDEX(D:D, ROW())))</f>
        <v/>
      </c>
      <c r="F1873" s="1" t="inlineStr">
        <is>
          <t>String</t>
        </is>
      </c>
      <c r="G1873" s="1" t="inlineStr">
        <is>
          <t>Easy</t>
        </is>
      </c>
      <c r="H1873" s="1" t="n">
        <v>86741</v>
      </c>
      <c r="I1873" s="1" t="n">
        <v>118661</v>
      </c>
      <c r="J1873" s="9" t="n">
        <v>0.731</v>
      </c>
      <c r="K1873" s="1" t="inlineStr">
        <is>
          <t>Yes</t>
        </is>
      </c>
      <c r="L1873" s="1" t="inlineStr">
        <is>
          <t>No</t>
        </is>
      </c>
      <c r="M1873" s="1" t="inlineStr">
        <is>
          <t>No</t>
        </is>
      </c>
      <c r="N1873" s="1" t="inlineStr">
        <is>
          <t>Algorithms</t>
        </is>
      </c>
      <c r="O18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73" s="13" t="inlineStr">
        <is>
          <t>Done</t>
        </is>
      </c>
    </row>
    <row r="1874" ht="15.75" customHeight="1" s="12">
      <c r="A1874" s="1" t="n">
        <v>2167</v>
      </c>
      <c r="B1874" s="3">
        <f>HYPERLINK("https://leetcode.com/problems/minimum-time-to-remove-all-cars-containing-illegal-goods/", "Minimum Time to Remove All Cars Containing Illegal Goods")</f>
        <v/>
      </c>
      <c r="C1874" s="1" t="n">
        <v>703</v>
      </c>
      <c r="D1874" s="1" t="n">
        <v>17</v>
      </c>
      <c r="E1874" s="4">
        <f>IF(INDEX(C:C, ROW())+INDEX(D:D, ROW())=0, 0, INDEX(C:C, ROW())/(INDEX(C:C, ROW())+INDEX(D:D, ROW())))</f>
        <v/>
      </c>
      <c r="F1874" s="1" t="inlineStr">
        <is>
          <t>String, Dynamic Programming</t>
        </is>
      </c>
      <c r="G1874" s="1" t="inlineStr">
        <is>
          <t>Hard</t>
        </is>
      </c>
      <c r="H1874" s="1" t="n">
        <v>15370</v>
      </c>
      <c r="I1874" s="1" t="n">
        <v>36705</v>
      </c>
      <c r="J1874" s="9" t="n">
        <v>0.419</v>
      </c>
      <c r="K1874" s="1" t="inlineStr">
        <is>
          <t>Yes</t>
        </is>
      </c>
      <c r="L1874" s="1" t="inlineStr">
        <is>
          <t>No</t>
        </is>
      </c>
      <c r="M1874" s="1" t="inlineStr">
        <is>
          <t>No</t>
        </is>
      </c>
      <c r="N1874" s="1" t="inlineStr">
        <is>
          <t>Algorithms</t>
        </is>
      </c>
      <c r="O18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74" s="11" t="inlineStr">
        <is>
          <t>To Do</t>
        </is>
      </c>
    </row>
    <row r="1875" ht="15.75" customHeight="1" s="12">
      <c r="A1875" s="1" t="n">
        <v>3203</v>
      </c>
      <c r="B1875" s="3">
        <f>HYPERLINK("https://leetcode.com/problems/find-minimum-diameter-after-merging-two-trees/", "Find Minimum Diameter After Merging Two Trees")</f>
        <v/>
      </c>
      <c r="C1875" s="1" t="n">
        <v>700</v>
      </c>
      <c r="D1875" s="1" t="n">
        <v>39</v>
      </c>
      <c r="E1875" s="4">
        <f>IF(INDEX(C:C, ROW())+INDEX(D:D, ROW())=0, 0, INDEX(C:C, ROW())/(INDEX(C:C, ROW())+INDEX(D:D, ROW())))</f>
        <v/>
      </c>
      <c r="F1875" s="1" t="inlineStr">
        <is>
          <t>Tree, Depth-First Search, Breadth-First Search, Graph Theory</t>
        </is>
      </c>
      <c r="G1875" s="1" t="inlineStr">
        <is>
          <t>Hard</t>
        </is>
      </c>
      <c r="H1875" s="1" t="n">
        <v>78666</v>
      </c>
      <c r="I1875" s="1" t="n">
        <v>137897</v>
      </c>
      <c r="J1875" s="9" t="n">
        <v>0.57</v>
      </c>
      <c r="K1875" s="1" t="inlineStr">
        <is>
          <t>Yes</t>
        </is>
      </c>
      <c r="L1875" s="1" t="inlineStr">
        <is>
          <t>Yes</t>
        </is>
      </c>
      <c r="M1875" s="1" t="inlineStr">
        <is>
          <t>No</t>
        </is>
      </c>
      <c r="N1875" s="1" t="inlineStr">
        <is>
          <t>Algorithms</t>
        </is>
      </c>
      <c r="O18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75" s="11" t="inlineStr">
        <is>
          <t>To Do</t>
        </is>
      </c>
    </row>
    <row r="1876" ht="15.75" customHeight="1" s="12">
      <c r="A1876" s="1" t="n">
        <v>3362</v>
      </c>
      <c r="B1876" s="3">
        <f>HYPERLINK("https://leetcode.com/problems/zero-array-transformation-iii/", "Zero Array Transformation III")</f>
        <v/>
      </c>
      <c r="C1876" s="1" t="n">
        <v>700</v>
      </c>
      <c r="D1876" s="1" t="n">
        <v>127</v>
      </c>
      <c r="E1876" s="4">
        <f>IF(INDEX(C:C, ROW())+INDEX(D:D, ROW())=0, 0, INDEX(C:C, ROW())/(INDEX(C:C, ROW())+INDEX(D:D, ROW())))</f>
        <v/>
      </c>
      <c r="F1876" s="1" t="inlineStr">
        <is>
          <t>Array, Two Pointers, Greedy, Sorting, Heap (Priority Queue), Prefix Sum</t>
        </is>
      </c>
      <c r="G1876" s="1" t="inlineStr">
        <is>
          <t>Medium</t>
        </is>
      </c>
      <c r="H1876" s="1" t="n">
        <v>76844</v>
      </c>
      <c r="I1876" s="1" t="n">
        <v>140317</v>
      </c>
      <c r="J1876" s="9" t="n">
        <v>0.548</v>
      </c>
      <c r="K1876" s="1" t="inlineStr">
        <is>
          <t>Yes</t>
        </is>
      </c>
      <c r="L1876" s="1" t="inlineStr">
        <is>
          <t>Yes</t>
        </is>
      </c>
      <c r="M1876" s="1" t="inlineStr">
        <is>
          <t>No</t>
        </is>
      </c>
      <c r="N1876" s="1" t="inlineStr">
        <is>
          <t>Algorithms</t>
        </is>
      </c>
      <c r="O18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76" s="11" t="inlineStr">
        <is>
          <t>To Do</t>
        </is>
      </c>
    </row>
    <row r="1877" ht="15.75" customHeight="1" s="12">
      <c r="A1877" s="1" t="n">
        <v>1953</v>
      </c>
      <c r="B1877" s="3">
        <f>HYPERLINK("https://leetcode.com/problems/maximum-number-of-weeks-for-which-you-can-work/", "Maximum Number of Weeks for Which You Can Work")</f>
        <v/>
      </c>
      <c r="C1877" s="1" t="n">
        <v>698</v>
      </c>
      <c r="D1877" s="1" t="n">
        <v>163</v>
      </c>
      <c r="E1877" s="4">
        <f>IF(INDEX(C:C, ROW())+INDEX(D:D, ROW())=0, 0, INDEX(C:C, ROW())/(INDEX(C:C, ROW())+INDEX(D:D, ROW())))</f>
        <v/>
      </c>
      <c r="F1877" s="1" t="inlineStr">
        <is>
          <t>Array, Greedy</t>
        </is>
      </c>
      <c r="G1877" s="1" t="inlineStr">
        <is>
          <t>Medium</t>
        </is>
      </c>
      <c r="H1877" s="1" t="n">
        <v>30920</v>
      </c>
      <c r="I1877" s="1" t="n">
        <v>72831</v>
      </c>
      <c r="J1877" s="9" t="n">
        <v>0.425</v>
      </c>
      <c r="K1877" s="1" t="inlineStr">
        <is>
          <t>Yes</t>
        </is>
      </c>
      <c r="L1877" s="1" t="inlineStr">
        <is>
          <t>No</t>
        </is>
      </c>
      <c r="M1877" s="1" t="inlineStr">
        <is>
          <t>No</t>
        </is>
      </c>
      <c r="N1877" s="1" t="inlineStr">
        <is>
          <t>Algorithms</t>
        </is>
      </c>
      <c r="O18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77" s="11" t="inlineStr">
        <is>
          <t>To Do</t>
        </is>
      </c>
    </row>
    <row r="1878" ht="15.75" customHeight="1" s="12">
      <c r="A1878" s="1" t="n">
        <v>1563</v>
      </c>
      <c r="B1878" s="3">
        <f>HYPERLINK("https://leetcode.com/problems/stone-game-v/", "Stone Game V")</f>
        <v/>
      </c>
      <c r="C1878" s="1" t="n">
        <v>697</v>
      </c>
      <c r="D1878" s="1" t="n">
        <v>90</v>
      </c>
      <c r="E1878" s="4">
        <f>IF(INDEX(C:C, ROW())+INDEX(D:D, ROW())=0, 0, INDEX(C:C, ROW())/(INDEX(C:C, ROW())+INDEX(D:D, ROW())))</f>
        <v/>
      </c>
      <c r="F1878" s="1" t="inlineStr">
        <is>
          <t>Array, Math, Dynamic Programming, Game Theory</t>
        </is>
      </c>
      <c r="G1878" s="1" t="inlineStr">
        <is>
          <t>Hard</t>
        </is>
      </c>
      <c r="H1878" s="1" t="n">
        <v>26502</v>
      </c>
      <c r="I1878" s="1" t="n">
        <v>63387</v>
      </c>
      <c r="J1878" s="9" t="n">
        <v>0.418</v>
      </c>
      <c r="K1878" s="1" t="inlineStr">
        <is>
          <t>Yes</t>
        </is>
      </c>
      <c r="L1878" s="1" t="inlineStr">
        <is>
          <t>No</t>
        </is>
      </c>
      <c r="M1878" s="1" t="inlineStr">
        <is>
          <t>No</t>
        </is>
      </c>
      <c r="N1878" s="1" t="inlineStr">
        <is>
          <t>Algorithms</t>
        </is>
      </c>
      <c r="O18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78" s="11" t="inlineStr">
        <is>
          <t>To Do</t>
        </is>
      </c>
    </row>
    <row r="1879" ht="15.75" customHeight="1" s="12">
      <c r="A1879" s="1" t="n">
        <v>1649</v>
      </c>
      <c r="B1879" s="3">
        <f>HYPERLINK("https://leetcode.com/problems/create-sorted-array-through-instructions/", "Create Sorted Array through Instructions")</f>
        <v/>
      </c>
      <c r="C1879" s="1" t="n">
        <v>696</v>
      </c>
      <c r="D1879" s="1" t="n">
        <v>83</v>
      </c>
      <c r="E1879" s="4">
        <f>IF(INDEX(C:C, ROW())+INDEX(D:D, ROW())=0, 0, INDEX(C:C, ROW())/(INDEX(C:C, ROW())+INDEX(D:D, ROW())))</f>
        <v/>
      </c>
      <c r="F1879" s="1" t="inlineStr">
        <is>
          <t>Array, Binary Search, Divide and Conquer, Binary Indexed Tree, Segment Tree, Merge Sort, Ordered Set</t>
        </is>
      </c>
      <c r="G1879" s="1" t="inlineStr">
        <is>
          <t>Hard</t>
        </is>
      </c>
      <c r="H1879" s="1" t="n">
        <v>32605</v>
      </c>
      <c r="I1879" s="1" t="n">
        <v>78157</v>
      </c>
      <c r="J1879" s="9" t="n">
        <v>0.417</v>
      </c>
      <c r="K1879" s="1" t="inlineStr">
        <is>
          <t>Yes</t>
        </is>
      </c>
      <c r="L1879" s="1" t="inlineStr">
        <is>
          <t>Yes</t>
        </is>
      </c>
      <c r="M1879" s="1" t="inlineStr">
        <is>
          <t>No</t>
        </is>
      </c>
      <c r="N1879" s="1" t="inlineStr">
        <is>
          <t>Algorithms</t>
        </is>
      </c>
      <c r="O18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79" s="11" t="inlineStr">
        <is>
          <t>To Do</t>
        </is>
      </c>
    </row>
    <row r="1880" ht="15.75" customHeight="1" s="12">
      <c r="A1880" s="1" t="n">
        <v>1591</v>
      </c>
      <c r="B1880" s="3">
        <f>HYPERLINK("https://leetcode.com/problems/strange-printer-ii/", "Strange Printer II")</f>
        <v/>
      </c>
      <c r="C1880" s="1" t="n">
        <v>695</v>
      </c>
      <c r="D1880" s="1" t="n">
        <v>24</v>
      </c>
      <c r="E1880" s="4">
        <f>IF(INDEX(C:C, ROW())+INDEX(D:D, ROW())=0, 0, INDEX(C:C, ROW())/(INDEX(C:C, ROW())+INDEX(D:D, ROW())))</f>
        <v/>
      </c>
      <c r="F1880" s="1" t="inlineStr">
        <is>
          <t>Array, Graph Theory, Topological Sort, Matrix</t>
        </is>
      </c>
      <c r="G1880" s="1" t="inlineStr">
        <is>
          <t>Hard</t>
        </is>
      </c>
      <c r="H1880" s="1" t="n">
        <v>16685</v>
      </c>
      <c r="I1880" s="1" t="n">
        <v>27430</v>
      </c>
      <c r="J1880" s="9" t="n">
        <v>0.608</v>
      </c>
      <c r="K1880" s="1" t="inlineStr">
        <is>
          <t>Yes</t>
        </is>
      </c>
      <c r="L1880" s="1" t="inlineStr">
        <is>
          <t>No</t>
        </is>
      </c>
      <c r="M1880" s="1" t="inlineStr">
        <is>
          <t>No</t>
        </is>
      </c>
      <c r="N1880" s="1" t="inlineStr">
        <is>
          <t>Algorithms</t>
        </is>
      </c>
      <c r="O18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80" s="11" t="inlineStr">
        <is>
          <t>To Do</t>
        </is>
      </c>
    </row>
    <row r="1881" ht="15.75" customHeight="1" s="12">
      <c r="A1881" s="1" t="n">
        <v>2231</v>
      </c>
      <c r="B1881" s="3">
        <f>HYPERLINK("https://leetcode.com/problems/largest-number-after-digit-swaps-by-parity/", "Largest Number After Digit Swaps by Parity")</f>
        <v/>
      </c>
      <c r="C1881" s="1" t="n">
        <v>695</v>
      </c>
      <c r="D1881" s="1" t="n">
        <v>312</v>
      </c>
      <c r="E1881" s="4">
        <f>IF(INDEX(C:C, ROW())+INDEX(D:D, ROW())=0, 0, INDEX(C:C, ROW())/(INDEX(C:C, ROW())+INDEX(D:D, ROW())))</f>
        <v/>
      </c>
      <c r="F1881" s="1" t="inlineStr">
        <is>
          <t>Sorting, Heap (Priority Queue)</t>
        </is>
      </c>
      <c r="G1881" s="1" t="inlineStr">
        <is>
          <t>Easy</t>
        </is>
      </c>
      <c r="H1881" s="1" t="n">
        <v>67449</v>
      </c>
      <c r="I1881" s="1" t="n">
        <v>103279</v>
      </c>
      <c r="J1881" s="9" t="n">
        <v>0.653</v>
      </c>
      <c r="K1881" s="1" t="inlineStr">
        <is>
          <t>Yes</t>
        </is>
      </c>
      <c r="L1881" s="1" t="inlineStr">
        <is>
          <t>No</t>
        </is>
      </c>
      <c r="M1881" s="1" t="inlineStr">
        <is>
          <t>No</t>
        </is>
      </c>
      <c r="N1881" s="1" t="inlineStr">
        <is>
          <t>Algorithms</t>
        </is>
      </c>
      <c r="O18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81" s="13" t="inlineStr">
        <is>
          <t>Done</t>
        </is>
      </c>
    </row>
    <row r="1882" ht="15.75" customHeight="1" s="12">
      <c r="A1882" s="1" t="n">
        <v>2144</v>
      </c>
      <c r="B1882" s="3">
        <f>HYPERLINK("https://leetcode.com/problems/minimum-cost-of-buying-candies-with-discount/", "Minimum Cost of Buying Candies With Discount")</f>
        <v/>
      </c>
      <c r="C1882" s="1" t="n">
        <v>694</v>
      </c>
      <c r="D1882" s="1" t="n">
        <v>25</v>
      </c>
      <c r="E1882" s="4">
        <f>IF(INDEX(C:C, ROW())+INDEX(D:D, ROW())=0, 0, INDEX(C:C, ROW())/(INDEX(C:C, ROW())+INDEX(D:D, ROW())))</f>
        <v/>
      </c>
      <c r="F1882" s="1" t="inlineStr">
        <is>
          <t>Array, Greedy, Sorting</t>
        </is>
      </c>
      <c r="G1882" s="1" t="inlineStr">
        <is>
          <t>Easy</t>
        </is>
      </c>
      <c r="H1882" s="1" t="n">
        <v>80796</v>
      </c>
      <c r="I1882" s="1" t="n">
        <v>128630</v>
      </c>
      <c r="J1882" s="9" t="n">
        <v>0.628</v>
      </c>
      <c r="K1882" s="1" t="inlineStr">
        <is>
          <t>Yes</t>
        </is>
      </c>
      <c r="L1882" s="1" t="inlineStr">
        <is>
          <t>No</t>
        </is>
      </c>
      <c r="M1882" s="1" t="inlineStr">
        <is>
          <t>No</t>
        </is>
      </c>
      <c r="N1882" s="1" t="inlineStr">
        <is>
          <t>Algorithms</t>
        </is>
      </c>
      <c r="O18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82" s="13" t="inlineStr">
        <is>
          <t>Done</t>
        </is>
      </c>
    </row>
    <row r="1883" ht="15.75" customHeight="1" s="12">
      <c r="A1883" s="1" t="n">
        <v>2873</v>
      </c>
      <c r="B1883" s="3">
        <f>HYPERLINK("https://leetcode.com/problems/maximum-value-of-an-ordered-triplet-i/", "Maximum Value of an Ordered Triplet I")</f>
        <v/>
      </c>
      <c r="C1883" s="1" t="n">
        <v>694</v>
      </c>
      <c r="D1883" s="1" t="n">
        <v>40</v>
      </c>
      <c r="E1883" s="4">
        <f>IF(INDEX(C:C, ROW())+INDEX(D:D, ROW())=0, 0, INDEX(C:C, ROW())/(INDEX(C:C, ROW())+INDEX(D:D, ROW())))</f>
        <v/>
      </c>
      <c r="F1883" s="1" t="inlineStr">
        <is>
          <t>Array</t>
        </is>
      </c>
      <c r="G1883" s="1" t="inlineStr">
        <is>
          <t>Easy</t>
        </is>
      </c>
      <c r="H1883" s="1" t="n">
        <v>205193</v>
      </c>
      <c r="I1883" s="1" t="n">
        <v>352785</v>
      </c>
      <c r="J1883" s="9" t="n">
        <v>0.582</v>
      </c>
      <c r="K1883" s="1" t="inlineStr">
        <is>
          <t>Yes</t>
        </is>
      </c>
      <c r="L1883" s="1" t="inlineStr">
        <is>
          <t>Yes</t>
        </is>
      </c>
      <c r="M1883" s="1" t="inlineStr">
        <is>
          <t>No</t>
        </is>
      </c>
      <c r="N1883" s="1" t="inlineStr">
        <is>
          <t>Algorithms</t>
        </is>
      </c>
      <c r="O18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83" s="13" t="inlineStr">
        <is>
          <t>Done</t>
        </is>
      </c>
    </row>
    <row r="1884" ht="15.75" customHeight="1" s="12">
      <c r="A1884" s="1" t="n">
        <v>3381</v>
      </c>
      <c r="B1884" s="3">
        <f>HYPERLINK("https://leetcode.com/problems/maximum-subarray-sum-with-length-divisible-by-k/", "Maximum Subarray Sum With Length Divisible by K")</f>
        <v/>
      </c>
      <c r="C1884" s="1" t="n">
        <v>692</v>
      </c>
      <c r="D1884" s="1" t="n">
        <v>40</v>
      </c>
      <c r="E1884" s="4">
        <f>IF(INDEX(C:C, ROW())+INDEX(D:D, ROW())=0, 0, INDEX(C:C, ROW())/(INDEX(C:C, ROW())+INDEX(D:D, ROW())))</f>
        <v/>
      </c>
      <c r="F1884" s="1" t="inlineStr">
        <is>
          <t>Array, Hash Table, Prefix Sum</t>
        </is>
      </c>
      <c r="G1884" s="1" t="inlineStr">
        <is>
          <t>Medium</t>
        </is>
      </c>
      <c r="H1884" s="1" t="n">
        <v>87577</v>
      </c>
      <c r="I1884" s="1" t="n">
        <v>176132</v>
      </c>
      <c r="J1884" s="9" t="n">
        <v>0.497</v>
      </c>
      <c r="K1884" s="1" t="inlineStr">
        <is>
          <t>Yes</t>
        </is>
      </c>
      <c r="L1884" s="1" t="inlineStr">
        <is>
          <t>Yes</t>
        </is>
      </c>
      <c r="M1884" s="1" t="inlineStr">
        <is>
          <t>No</t>
        </is>
      </c>
      <c r="N1884" s="1" t="inlineStr">
        <is>
          <t>Algorithms</t>
        </is>
      </c>
      <c r="O18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84" s="11" t="inlineStr">
        <is>
          <t>To Do</t>
        </is>
      </c>
    </row>
    <row r="1885" ht="15.75" customHeight="1" s="12">
      <c r="A1885" s="1" t="n">
        <v>1566</v>
      </c>
      <c r="B1885" s="3">
        <f>HYPERLINK("https://leetcode.com/problems/detect-pattern-of-length-m-repeated-k-or-more-times/", "Detect Pattern of Length M Repeated K or More Times")</f>
        <v/>
      </c>
      <c r="C1885" s="1" t="n">
        <v>691</v>
      </c>
      <c r="D1885" s="1" t="n">
        <v>148</v>
      </c>
      <c r="E1885" s="4">
        <f>IF(INDEX(C:C, ROW())+INDEX(D:D, ROW())=0, 0, INDEX(C:C, ROW())/(INDEX(C:C, ROW())+INDEX(D:D, ROW())))</f>
        <v/>
      </c>
      <c r="F1885" s="1" t="inlineStr">
        <is>
          <t>Array, Enumeration</t>
        </is>
      </c>
      <c r="G1885" s="1" t="inlineStr">
        <is>
          <t>Easy</t>
        </is>
      </c>
      <c r="H1885" s="1" t="n">
        <v>46569</v>
      </c>
      <c r="I1885" s="1" t="n">
        <v>106143</v>
      </c>
      <c r="J1885" s="9" t="n">
        <v>0.439</v>
      </c>
      <c r="K1885" s="1" t="inlineStr">
        <is>
          <t>Yes</t>
        </is>
      </c>
      <c r="L1885" s="1" t="inlineStr">
        <is>
          <t>No</t>
        </is>
      </c>
      <c r="M1885" s="1" t="inlineStr">
        <is>
          <t>No</t>
        </is>
      </c>
      <c r="N1885" s="1" t="inlineStr">
        <is>
          <t>Algorithms</t>
        </is>
      </c>
      <c r="O18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85" s="13" t="inlineStr">
        <is>
          <t>Done</t>
        </is>
      </c>
    </row>
    <row r="1886" ht="15.75" customHeight="1" s="12">
      <c r="A1886" s="1" t="n">
        <v>1625</v>
      </c>
      <c r="B1886" s="3">
        <f>HYPERLINK("https://leetcode.com/problems/lexicographically-smallest-string-after-applying-operations/", "Lexicographically Smallest String After Applying Operations")</f>
        <v/>
      </c>
      <c r="C1886" s="1" t="n">
        <v>691</v>
      </c>
      <c r="D1886" s="1" t="n">
        <v>321</v>
      </c>
      <c r="E1886" s="4">
        <f>IF(INDEX(C:C, ROW())+INDEX(D:D, ROW())=0, 0, INDEX(C:C, ROW())/(INDEX(C:C, ROW())+INDEX(D:D, ROW())))</f>
        <v/>
      </c>
      <c r="F1886" s="1" t="inlineStr">
        <is>
          <t>String, Depth-First Search, Breadth-First Search, Enumeration</t>
        </is>
      </c>
      <c r="G1886" s="1" t="inlineStr">
        <is>
          <t>Medium</t>
        </is>
      </c>
      <c r="H1886" s="1" t="n">
        <v>86403</v>
      </c>
      <c r="I1886" s="1" t="n">
        <v>108905</v>
      </c>
      <c r="J1886" s="9" t="n">
        <v>0.793</v>
      </c>
      <c r="K1886" s="1" t="inlineStr">
        <is>
          <t>Yes</t>
        </is>
      </c>
      <c r="L1886" s="1" t="inlineStr">
        <is>
          <t>Yes</t>
        </is>
      </c>
      <c r="M1886" s="1" t="inlineStr">
        <is>
          <t>No</t>
        </is>
      </c>
      <c r="N1886" s="1" t="inlineStr">
        <is>
          <t>Algorithms</t>
        </is>
      </c>
      <c r="O18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86" s="11" t="inlineStr">
        <is>
          <t>To Do</t>
        </is>
      </c>
    </row>
    <row r="1887" ht="15.75" customHeight="1" s="12">
      <c r="A1887" s="1" t="n">
        <v>2438</v>
      </c>
      <c r="B1887" s="3">
        <f>HYPERLINK("https://leetcode.com/problems/range-product-queries-of-powers/", "Range Product Queries of Powers")</f>
        <v/>
      </c>
      <c r="C1887" s="1" t="n">
        <v>689</v>
      </c>
      <c r="D1887" s="1" t="n">
        <v>153</v>
      </c>
      <c r="E1887" s="4">
        <f>IF(INDEX(C:C, ROW())+INDEX(D:D, ROW())=0, 0, INDEX(C:C, ROW())/(INDEX(C:C, ROW())+INDEX(D:D, ROW())))</f>
        <v/>
      </c>
      <c r="F1887" s="1" t="inlineStr">
        <is>
          <t>Array, Bit Manipulation, Prefix Sum</t>
        </is>
      </c>
      <c r="G1887" s="1" t="inlineStr">
        <is>
          <t>Medium</t>
        </is>
      </c>
      <c r="H1887" s="1" t="n">
        <v>119051</v>
      </c>
      <c r="I1887" s="1" t="n">
        <v>194316</v>
      </c>
      <c r="J1887" s="9" t="n">
        <v>0.613</v>
      </c>
      <c r="K1887" s="1" t="inlineStr">
        <is>
          <t>Yes</t>
        </is>
      </c>
      <c r="L1887" s="1" t="inlineStr">
        <is>
          <t>Yes</t>
        </is>
      </c>
      <c r="M1887" s="1" t="inlineStr">
        <is>
          <t>No</t>
        </is>
      </c>
      <c r="N1887" s="1" t="inlineStr">
        <is>
          <t>Algorithms</t>
        </is>
      </c>
      <c r="O18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87" s="11" t="inlineStr">
        <is>
          <t>To Do</t>
        </is>
      </c>
    </row>
    <row r="1888" ht="15.75" customHeight="1" s="12">
      <c r="A1888" s="1" t="n">
        <v>2520</v>
      </c>
      <c r="B1888" s="3">
        <f>HYPERLINK("https://leetcode.com/problems/count-the-digits-that-divide-a-number/", "Count the Digits That Divide a Number")</f>
        <v/>
      </c>
      <c r="C1888" s="1" t="n">
        <v>689</v>
      </c>
      <c r="D1888" s="1" t="n">
        <v>44</v>
      </c>
      <c r="E1888" s="4">
        <f>IF(INDEX(C:C, ROW())+INDEX(D:D, ROW())=0, 0, INDEX(C:C, ROW())/(INDEX(C:C, ROW())+INDEX(D:D, ROW())))</f>
        <v/>
      </c>
      <c r="F1888" s="1" t="inlineStr">
        <is>
          <t>Math</t>
        </is>
      </c>
      <c r="G1888" s="1" t="inlineStr">
        <is>
          <t>Easy</t>
        </is>
      </c>
      <c r="H1888" s="1" t="n">
        <v>178937</v>
      </c>
      <c r="I1888" s="1" t="n">
        <v>208384</v>
      </c>
      <c r="J1888" s="9" t="n">
        <v>0.859</v>
      </c>
      <c r="K1888" s="1" t="inlineStr">
        <is>
          <t>Yes</t>
        </is>
      </c>
      <c r="L1888" s="1" t="inlineStr">
        <is>
          <t>No</t>
        </is>
      </c>
      <c r="M1888" s="1" t="inlineStr">
        <is>
          <t>No</t>
        </is>
      </c>
      <c r="N1888" s="1" t="inlineStr">
        <is>
          <t>Algorithms</t>
        </is>
      </c>
      <c r="O18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88" s="13" t="inlineStr">
        <is>
          <t>Done</t>
        </is>
      </c>
    </row>
    <row r="1889" ht="15.75" customHeight="1" s="12">
      <c r="A1889" s="1" t="n">
        <v>2427</v>
      </c>
      <c r="B1889" s="3">
        <f>HYPERLINK("https://leetcode.com/problems/number-of-common-factors/", "Number of Common Factors")</f>
        <v/>
      </c>
      <c r="C1889" s="1" t="n">
        <v>687</v>
      </c>
      <c r="D1889" s="1" t="n">
        <v>14</v>
      </c>
      <c r="E1889" s="4">
        <f>IF(INDEX(C:C, ROW())+INDEX(D:D, ROW())=0, 0, INDEX(C:C, ROW())/(INDEX(C:C, ROW())+INDEX(D:D, ROW())))</f>
        <v/>
      </c>
      <c r="F1889" s="1" t="inlineStr">
        <is>
          <t>Math, Enumeration, Number Theory</t>
        </is>
      </c>
      <c r="G1889" s="1" t="inlineStr">
        <is>
          <t>Easy</t>
        </is>
      </c>
      <c r="H1889" s="1" t="n">
        <v>163809</v>
      </c>
      <c r="I1889" s="1" t="n">
        <v>204556</v>
      </c>
      <c r="J1889" s="9" t="n">
        <v>0.801</v>
      </c>
      <c r="K1889" s="1" t="inlineStr">
        <is>
          <t>Yes</t>
        </is>
      </c>
      <c r="L1889" s="1" t="inlineStr">
        <is>
          <t>No</t>
        </is>
      </c>
      <c r="M1889" s="1" t="inlineStr">
        <is>
          <t>No</t>
        </is>
      </c>
      <c r="N1889" s="1" t="inlineStr">
        <is>
          <t>Algorithms</t>
        </is>
      </c>
      <c r="O18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89" s="13" t="inlineStr">
        <is>
          <t>Done</t>
        </is>
      </c>
    </row>
    <row r="1890" ht="15.75" customHeight="1" s="12">
      <c r="A1890" s="1" t="n">
        <v>2012</v>
      </c>
      <c r="B1890" s="3">
        <f>HYPERLINK("https://leetcode.com/problems/sum-of-beauty-in-the-array/", "Sum of Beauty in the Array")</f>
        <v/>
      </c>
      <c r="C1890" s="1" t="n">
        <v>686</v>
      </c>
      <c r="D1890" s="1" t="n">
        <v>79</v>
      </c>
      <c r="E1890" s="4">
        <f>IF(INDEX(C:C, ROW())+INDEX(D:D, ROW())=0, 0, INDEX(C:C, ROW())/(INDEX(C:C, ROW())+INDEX(D:D, ROW())))</f>
        <v/>
      </c>
      <c r="F1890" s="1" t="inlineStr">
        <is>
          <t>Array</t>
        </is>
      </c>
      <c r="G1890" s="1" t="inlineStr">
        <is>
          <t>Medium</t>
        </is>
      </c>
      <c r="H1890" s="1" t="n">
        <v>33045</v>
      </c>
      <c r="I1890" s="1" t="n">
        <v>64340</v>
      </c>
      <c r="J1890" s="9" t="n">
        <v>0.514</v>
      </c>
      <c r="K1890" s="1" t="inlineStr">
        <is>
          <t>Yes</t>
        </is>
      </c>
      <c r="L1890" s="1" t="inlineStr">
        <is>
          <t>No</t>
        </is>
      </c>
      <c r="M1890" s="1" t="inlineStr">
        <is>
          <t>No</t>
        </is>
      </c>
      <c r="N1890" s="1" t="inlineStr">
        <is>
          <t>Algorithms</t>
        </is>
      </c>
      <c r="O18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90" s="11" t="inlineStr">
        <is>
          <t>To Do</t>
        </is>
      </c>
    </row>
    <row r="1891" ht="15.75" customHeight="1" s="12">
      <c r="A1891" s="1" t="n">
        <v>2165</v>
      </c>
      <c r="B1891" s="3">
        <f>HYPERLINK("https://leetcode.com/problems/smallest-value-of-the-rearranged-number/", "Smallest Value of the Rearranged Number")</f>
        <v/>
      </c>
      <c r="C1891" s="1" t="n">
        <v>684</v>
      </c>
      <c r="D1891" s="1" t="n">
        <v>28</v>
      </c>
      <c r="E1891" s="4">
        <f>IF(INDEX(C:C, ROW())+INDEX(D:D, ROW())=0, 0, INDEX(C:C, ROW())/(INDEX(C:C, ROW())+INDEX(D:D, ROW())))</f>
        <v/>
      </c>
      <c r="F1891" s="1" t="inlineStr">
        <is>
          <t>Math, Sorting</t>
        </is>
      </c>
      <c r="G1891" s="1" t="inlineStr">
        <is>
          <t>Medium</t>
        </is>
      </c>
      <c r="H1891" s="1" t="n">
        <v>48535</v>
      </c>
      <c r="I1891" s="1" t="n">
        <v>90658</v>
      </c>
      <c r="J1891" s="9" t="n">
        <v>0.535</v>
      </c>
      <c r="K1891" s="1" t="inlineStr">
        <is>
          <t>Yes</t>
        </is>
      </c>
      <c r="L1891" s="1" t="inlineStr">
        <is>
          <t>No</t>
        </is>
      </c>
      <c r="M1891" s="1" t="inlineStr">
        <is>
          <t>No</t>
        </is>
      </c>
      <c r="N1891" s="1" t="inlineStr">
        <is>
          <t>Algorithms</t>
        </is>
      </c>
      <c r="O18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91" s="11" t="inlineStr">
        <is>
          <t>To Do</t>
        </is>
      </c>
    </row>
    <row r="1892" ht="15.75" customHeight="1" s="12">
      <c r="A1892" s="1" t="n">
        <v>2295</v>
      </c>
      <c r="B1892" s="3">
        <f>HYPERLINK("https://leetcode.com/problems/replace-elements-in-an-array/", "Replace Elements in an Array")</f>
        <v/>
      </c>
      <c r="C1892" s="1" t="n">
        <v>684</v>
      </c>
      <c r="D1892" s="1" t="n">
        <v>39</v>
      </c>
      <c r="E1892" s="4">
        <f>IF(INDEX(C:C, ROW())+INDEX(D:D, ROW())=0, 0, INDEX(C:C, ROW())/(INDEX(C:C, ROW())+INDEX(D:D, ROW())))</f>
        <v/>
      </c>
      <c r="F1892" s="1" t="inlineStr">
        <is>
          <t>Array, Hash Table, Simulation</t>
        </is>
      </c>
      <c r="G1892" s="1" t="inlineStr">
        <is>
          <t>Medium</t>
        </is>
      </c>
      <c r="H1892" s="1" t="n">
        <v>48142</v>
      </c>
      <c r="I1892" s="1" t="n">
        <v>80555</v>
      </c>
      <c r="J1892" s="9" t="n">
        <v>0.598</v>
      </c>
      <c r="K1892" s="1" t="inlineStr">
        <is>
          <t>Yes</t>
        </is>
      </c>
      <c r="L1892" s="1" t="inlineStr">
        <is>
          <t>No</t>
        </is>
      </c>
      <c r="M1892" s="1" t="inlineStr">
        <is>
          <t>No</t>
        </is>
      </c>
      <c r="N1892" s="1" t="inlineStr">
        <is>
          <t>Algorithms</t>
        </is>
      </c>
      <c r="O18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92" s="11" t="inlineStr">
        <is>
          <t>To Do</t>
        </is>
      </c>
    </row>
    <row r="1893" ht="15.75" customHeight="1" s="12">
      <c r="A1893" s="1" t="n">
        <v>2914</v>
      </c>
      <c r="B1893" s="3">
        <f>HYPERLINK("https://leetcode.com/problems/minimum-number-of-changes-to-make-binary-string-beautiful/", "Minimum Number of Changes to Make Binary String Beautiful")</f>
        <v/>
      </c>
      <c r="C1893" s="1" t="n">
        <v>684</v>
      </c>
      <c r="D1893" s="1" t="n">
        <v>117</v>
      </c>
      <c r="E1893" s="4">
        <f>IF(INDEX(C:C, ROW())+INDEX(D:D, ROW())=0, 0, INDEX(C:C, ROW())/(INDEX(C:C, ROW())+INDEX(D:D, ROW())))</f>
        <v/>
      </c>
      <c r="F1893" s="1" t="inlineStr">
        <is>
          <t>String</t>
        </is>
      </c>
      <c r="G1893" s="1" t="inlineStr">
        <is>
          <t>Medium</t>
        </is>
      </c>
      <c r="H1893" s="1" t="n">
        <v>164636</v>
      </c>
      <c r="I1893" s="1" t="n">
        <v>215564</v>
      </c>
      <c r="J1893" s="9" t="n">
        <v>0.764</v>
      </c>
      <c r="K1893" s="1" t="inlineStr">
        <is>
          <t>Yes</t>
        </is>
      </c>
      <c r="L1893" s="1" t="inlineStr">
        <is>
          <t>Yes</t>
        </is>
      </c>
      <c r="M1893" s="1" t="inlineStr">
        <is>
          <t>No</t>
        </is>
      </c>
      <c r="N1893" s="1" t="inlineStr">
        <is>
          <t>Algorithms</t>
        </is>
      </c>
      <c r="O18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93" s="11" t="inlineStr">
        <is>
          <t>To Do</t>
        </is>
      </c>
    </row>
    <row r="1894" ht="15.75" customHeight="1" s="12">
      <c r="A1894" s="1" t="n">
        <v>699</v>
      </c>
      <c r="B1894" s="3">
        <f>HYPERLINK("https://leetcode.com/problems/falling-squares/", "Falling Squares")</f>
        <v/>
      </c>
      <c r="C1894" s="1" t="n">
        <v>683</v>
      </c>
      <c r="D1894" s="1" t="n">
        <v>76</v>
      </c>
      <c r="E1894" s="4">
        <f>IF(INDEX(C:C, ROW())+INDEX(D:D, ROW())=0, 0, INDEX(C:C, ROW())/(INDEX(C:C, ROW())+INDEX(D:D, ROW())))</f>
        <v/>
      </c>
      <c r="F1894" s="1" t="inlineStr">
        <is>
          <t>Array, Segment Tree, Ordered Set</t>
        </is>
      </c>
      <c r="G1894" s="1" t="inlineStr">
        <is>
          <t>Hard</t>
        </is>
      </c>
      <c r="H1894" s="1" t="n">
        <v>36660</v>
      </c>
      <c r="I1894" s="1" t="n">
        <v>76738</v>
      </c>
      <c r="J1894" s="9" t="n">
        <v>0.478</v>
      </c>
      <c r="K1894" s="1" t="inlineStr">
        <is>
          <t>Yes</t>
        </is>
      </c>
      <c r="L1894" s="1" t="inlineStr">
        <is>
          <t>Yes</t>
        </is>
      </c>
      <c r="M1894" s="1" t="inlineStr">
        <is>
          <t>No</t>
        </is>
      </c>
      <c r="N1894" s="1" t="inlineStr">
        <is>
          <t>Algorithms</t>
        </is>
      </c>
      <c r="O18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94" s="11" t="inlineStr">
        <is>
          <t>To Do</t>
        </is>
      </c>
    </row>
    <row r="1895" ht="15.75" customHeight="1" s="12">
      <c r="A1895" s="1" t="n">
        <v>2315</v>
      </c>
      <c r="B1895" s="3">
        <f>HYPERLINK("https://leetcode.com/problems/count-asterisks/", "Count Asterisks")</f>
        <v/>
      </c>
      <c r="C1895" s="1" t="n">
        <v>683</v>
      </c>
      <c r="D1895" s="1" t="n">
        <v>118</v>
      </c>
      <c r="E1895" s="4">
        <f>IF(INDEX(C:C, ROW())+INDEX(D:D, ROW())=0, 0, INDEX(C:C, ROW())/(INDEX(C:C, ROW())+INDEX(D:D, ROW())))</f>
        <v/>
      </c>
      <c r="F1895" s="1" t="inlineStr">
        <is>
          <t>String</t>
        </is>
      </c>
      <c r="G1895" s="1" t="inlineStr">
        <is>
          <t>Easy</t>
        </is>
      </c>
      <c r="H1895" s="1" t="n">
        <v>98782</v>
      </c>
      <c r="I1895" s="1" t="n">
        <v>118498</v>
      </c>
      <c r="J1895" s="9" t="n">
        <v>0.834</v>
      </c>
      <c r="K1895" s="1" t="inlineStr">
        <is>
          <t>Yes</t>
        </is>
      </c>
      <c r="L1895" s="1" t="inlineStr">
        <is>
          <t>No</t>
        </is>
      </c>
      <c r="M1895" s="1" t="inlineStr">
        <is>
          <t>No</t>
        </is>
      </c>
      <c r="N1895" s="1" t="inlineStr">
        <is>
          <t>Algorithms</t>
        </is>
      </c>
      <c r="O18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95" s="13" t="inlineStr">
        <is>
          <t>Done</t>
        </is>
      </c>
    </row>
    <row r="1896" ht="15.75" customHeight="1" s="12">
      <c r="A1896" s="1" t="n">
        <v>3085</v>
      </c>
      <c r="B1896" s="3">
        <f>HYPERLINK("https://leetcode.com/problems/minimum-deletions-to-make-string-k-special/", "Minimum Deletions to Make String K-Special")</f>
        <v/>
      </c>
      <c r="C1896" s="1" t="n">
        <v>683</v>
      </c>
      <c r="D1896" s="1" t="n">
        <v>53</v>
      </c>
      <c r="E1896" s="4">
        <f>IF(INDEX(C:C, ROW())+INDEX(D:D, ROW())=0, 0, INDEX(C:C, ROW())/(INDEX(C:C, ROW())+INDEX(D:D, ROW())))</f>
        <v/>
      </c>
      <c r="F1896" s="1" t="inlineStr">
        <is>
          <t>Hash Table, String, Greedy, Sorting, Counting</t>
        </is>
      </c>
      <c r="G1896" s="1" t="inlineStr">
        <is>
          <t>Medium</t>
        </is>
      </c>
      <c r="H1896" s="1" t="n">
        <v>110910</v>
      </c>
      <c r="I1896" s="1" t="n">
        <v>165218</v>
      </c>
      <c r="J1896" s="9" t="n">
        <v>0.671</v>
      </c>
      <c r="K1896" s="1" t="inlineStr">
        <is>
          <t>Yes</t>
        </is>
      </c>
      <c r="L1896" s="1" t="inlineStr">
        <is>
          <t>Yes</t>
        </is>
      </c>
      <c r="M1896" s="1" t="inlineStr">
        <is>
          <t>No</t>
        </is>
      </c>
      <c r="N1896" s="1" t="inlineStr">
        <is>
          <t>Algorithms</t>
        </is>
      </c>
      <c r="O18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96" s="11" t="inlineStr">
        <is>
          <t>To Do</t>
        </is>
      </c>
    </row>
    <row r="1897" ht="15.75" customHeight="1" s="12">
      <c r="A1897" s="1" t="n">
        <v>1195</v>
      </c>
      <c r="B1897" s="3">
        <f>HYPERLINK("https://leetcode.com/problems/fizz-buzz-multithreaded/", "Fizz Buzz Multithreaded")</f>
        <v/>
      </c>
      <c r="C1897" s="1" t="n">
        <v>682</v>
      </c>
      <c r="D1897" s="1" t="n">
        <v>444</v>
      </c>
      <c r="E1897" s="4">
        <f>IF(INDEX(C:C, ROW())+INDEX(D:D, ROW())=0, 0, INDEX(C:C, ROW())/(INDEX(C:C, ROW())+INDEX(D:D, ROW())))</f>
        <v/>
      </c>
      <c r="F1897" s="1" t="inlineStr">
        <is>
          <t>Concurrency</t>
        </is>
      </c>
      <c r="G1897" s="1" t="inlineStr">
        <is>
          <t>Medium</t>
        </is>
      </c>
      <c r="H1897" s="1" t="n">
        <v>77625</v>
      </c>
      <c r="I1897" s="1" t="n">
        <v>103872</v>
      </c>
      <c r="J1897" s="9" t="n">
        <v>0.747</v>
      </c>
      <c r="K1897" s="1" t="inlineStr">
        <is>
          <t>Yes</t>
        </is>
      </c>
      <c r="L1897" s="1" t="inlineStr">
        <is>
          <t>No</t>
        </is>
      </c>
      <c r="M1897" s="1" t="inlineStr">
        <is>
          <t>No</t>
        </is>
      </c>
      <c r="N1897" s="1" t="inlineStr">
        <is>
          <t>Concurrency</t>
        </is>
      </c>
      <c r="O18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97" s="11" t="inlineStr">
        <is>
          <t>To Do</t>
        </is>
      </c>
    </row>
    <row r="1898" ht="15.75" customHeight="1" s="12">
      <c r="A1898" s="1" t="n">
        <v>2059</v>
      </c>
      <c r="B1898" s="3">
        <f>HYPERLINK("https://leetcode.com/problems/minimum-operations-to-convert-number/", "Minimum Operations to Convert Number")</f>
        <v/>
      </c>
      <c r="C1898" s="1" t="n">
        <v>682</v>
      </c>
      <c r="D1898" s="1" t="n">
        <v>34</v>
      </c>
      <c r="E1898" s="4">
        <f>IF(INDEX(C:C, ROW())+INDEX(D:D, ROW())=0, 0, INDEX(C:C, ROW())/(INDEX(C:C, ROW())+INDEX(D:D, ROW())))</f>
        <v/>
      </c>
      <c r="F1898" s="1" t="inlineStr">
        <is>
          <t>Array, Breadth-First Search</t>
        </is>
      </c>
      <c r="G1898" s="1" t="inlineStr">
        <is>
          <t>Medium</t>
        </is>
      </c>
      <c r="H1898" s="1" t="n">
        <v>22221</v>
      </c>
      <c r="I1898" s="1" t="n">
        <v>42898</v>
      </c>
      <c r="J1898" s="9" t="n">
        <v>0.518</v>
      </c>
      <c r="K1898" s="1" t="inlineStr">
        <is>
          <t>Yes</t>
        </is>
      </c>
      <c r="L1898" s="1" t="inlineStr">
        <is>
          <t>No</t>
        </is>
      </c>
      <c r="M1898" s="1" t="inlineStr">
        <is>
          <t>No</t>
        </is>
      </c>
      <c r="N1898" s="1" t="inlineStr">
        <is>
          <t>Algorithms</t>
        </is>
      </c>
      <c r="O18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98" s="11" t="inlineStr">
        <is>
          <t>To Do</t>
        </is>
      </c>
    </row>
    <row r="1899" ht="15.75" customHeight="1" s="12">
      <c r="A1899" s="1" t="n">
        <v>3191</v>
      </c>
      <c r="B1899" s="3">
        <f>HYPERLINK("https://leetcode.com/problems/minimum-operations-to-make-binary-array-elements-equal-to-one-i/", "Minimum Operations to Make Binary Array Elements Equal to One I")</f>
        <v/>
      </c>
      <c r="C1899" s="1" t="n">
        <v>682</v>
      </c>
      <c r="D1899" s="1" t="n">
        <v>36</v>
      </c>
      <c r="E1899" s="4">
        <f>IF(INDEX(C:C, ROW())+INDEX(D:D, ROW())=0, 0, INDEX(C:C, ROW())/(INDEX(C:C, ROW())+INDEX(D:D, ROW())))</f>
        <v/>
      </c>
      <c r="F1899" s="1" t="inlineStr">
        <is>
          <t>Array, Bit Manipulation, Queue, Sliding Window, Prefix Sum</t>
        </is>
      </c>
      <c r="G1899" s="1" t="inlineStr">
        <is>
          <t>Medium</t>
        </is>
      </c>
      <c r="H1899" s="1" t="n">
        <v>211866</v>
      </c>
      <c r="I1899" s="1" t="n">
        <v>263504</v>
      </c>
      <c r="J1899" s="9" t="n">
        <v>0.804</v>
      </c>
      <c r="K1899" s="1" t="inlineStr">
        <is>
          <t>Yes</t>
        </is>
      </c>
      <c r="L1899" s="1" t="inlineStr">
        <is>
          <t>Yes</t>
        </is>
      </c>
      <c r="M1899" s="1" t="inlineStr">
        <is>
          <t>No</t>
        </is>
      </c>
      <c r="N1899" s="1" t="inlineStr">
        <is>
          <t>Algorithms</t>
        </is>
      </c>
      <c r="O18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899" s="11" t="inlineStr">
        <is>
          <t>To Do</t>
        </is>
      </c>
    </row>
    <row r="1900" ht="15.75" customHeight="1" s="12">
      <c r="A1900" s="1" t="n">
        <v>2283</v>
      </c>
      <c r="B1900" s="3">
        <f>HYPERLINK("https://leetcode.com/problems/check-if-number-has-equal-digit-count-and-digit-value/", "Check if Number Has Equal Digit Count and Digit Value")</f>
        <v/>
      </c>
      <c r="C1900" s="1" t="n">
        <v>681</v>
      </c>
      <c r="D1900" s="1" t="n">
        <v>101</v>
      </c>
      <c r="E1900" s="4">
        <f>IF(INDEX(C:C, ROW())+INDEX(D:D, ROW())=0, 0, INDEX(C:C, ROW())/(INDEX(C:C, ROW())+INDEX(D:D, ROW())))</f>
        <v/>
      </c>
      <c r="F1900" s="1" t="inlineStr">
        <is>
          <t>Hash Table, String, Counting</t>
        </is>
      </c>
      <c r="G1900" s="1" t="inlineStr">
        <is>
          <t>Easy</t>
        </is>
      </c>
      <c r="H1900" s="1" t="n">
        <v>85792</v>
      </c>
      <c r="I1900" s="1" t="n">
        <v>117265</v>
      </c>
      <c r="J1900" s="9" t="n">
        <v>0.732</v>
      </c>
      <c r="K1900" s="1" t="inlineStr">
        <is>
          <t>Yes</t>
        </is>
      </c>
      <c r="L1900" s="1" t="inlineStr">
        <is>
          <t>No</t>
        </is>
      </c>
      <c r="M1900" s="1" t="inlineStr">
        <is>
          <t>No</t>
        </is>
      </c>
      <c r="N1900" s="1" t="inlineStr">
        <is>
          <t>Algorithms</t>
        </is>
      </c>
      <c r="O19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00" s="13" t="inlineStr">
        <is>
          <t>Done</t>
        </is>
      </c>
    </row>
    <row r="1901" ht="15.75" customHeight="1" s="12">
      <c r="A1901" s="1" t="n">
        <v>1562</v>
      </c>
      <c r="B1901" s="3">
        <f>HYPERLINK("https://leetcode.com/problems/find-latest-group-of-size-m/", "Find Latest Group of Size M")</f>
        <v/>
      </c>
      <c r="C1901" s="1" t="n">
        <v>680</v>
      </c>
      <c r="D1901" s="1" t="n">
        <v>145</v>
      </c>
      <c r="E1901" s="4">
        <f>IF(INDEX(C:C, ROW())+INDEX(D:D, ROW())=0, 0, INDEX(C:C, ROW())/(INDEX(C:C, ROW())+INDEX(D:D, ROW())))</f>
        <v/>
      </c>
      <c r="F1901" s="1" t="inlineStr">
        <is>
          <t>Array, Hash Table, Binary Search, Simulation</t>
        </is>
      </c>
      <c r="G1901" s="1" t="inlineStr">
        <is>
          <t>Medium</t>
        </is>
      </c>
      <c r="H1901" s="1" t="n">
        <v>22438</v>
      </c>
      <c r="I1901" s="1" t="n">
        <v>51254</v>
      </c>
      <c r="J1901" s="9" t="n">
        <v>0.438</v>
      </c>
      <c r="K1901" s="1" t="inlineStr">
        <is>
          <t>Yes</t>
        </is>
      </c>
      <c r="L1901" s="1" t="inlineStr">
        <is>
          <t>No</t>
        </is>
      </c>
      <c r="M1901" s="1" t="inlineStr">
        <is>
          <t>No</t>
        </is>
      </c>
      <c r="N1901" s="1" t="inlineStr">
        <is>
          <t>Algorithms</t>
        </is>
      </c>
      <c r="O19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01" s="11" t="inlineStr">
        <is>
          <t>To Do</t>
        </is>
      </c>
    </row>
    <row r="1902" ht="15.75" customHeight="1" s="12">
      <c r="A1902" s="1" t="n">
        <v>2420</v>
      </c>
      <c r="B1902" s="3">
        <f>HYPERLINK("https://leetcode.com/problems/find-all-good-indices/", "Find All Good Indices")</f>
        <v/>
      </c>
      <c r="C1902" s="1" t="n">
        <v>680</v>
      </c>
      <c r="D1902" s="1" t="n">
        <v>41</v>
      </c>
      <c r="E1902" s="4">
        <f>IF(INDEX(C:C, ROW())+INDEX(D:D, ROW())=0, 0, INDEX(C:C, ROW())/(INDEX(C:C, ROW())+INDEX(D:D, ROW())))</f>
        <v/>
      </c>
      <c r="F1902" s="1" t="inlineStr">
        <is>
          <t>Array, Dynamic Programming, Prefix Sum</t>
        </is>
      </c>
      <c r="G1902" s="1" t="inlineStr">
        <is>
          <t>Medium</t>
        </is>
      </c>
      <c r="H1902" s="1" t="n">
        <v>32613</v>
      </c>
      <c r="I1902" s="1" t="n">
        <v>79719</v>
      </c>
      <c r="J1902" s="9" t="n">
        <v>0.409</v>
      </c>
      <c r="K1902" s="1" t="inlineStr">
        <is>
          <t>Yes</t>
        </is>
      </c>
      <c r="L1902" s="1" t="inlineStr">
        <is>
          <t>No</t>
        </is>
      </c>
      <c r="M1902" s="1" t="inlineStr">
        <is>
          <t>No</t>
        </is>
      </c>
      <c r="N1902" s="1" t="inlineStr">
        <is>
          <t>Algorithms</t>
        </is>
      </c>
      <c r="O19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02" s="11" t="inlineStr">
        <is>
          <t>To Do</t>
        </is>
      </c>
    </row>
    <row r="1903" ht="15.75" customHeight="1" s="12">
      <c r="A1903" s="1" t="n">
        <v>3254</v>
      </c>
      <c r="B1903" s="3">
        <f>HYPERLINK("https://leetcode.com/problems/find-the-power-of-k-size-subarrays-i/", "Find the Power of K-Size Subarrays I")</f>
        <v/>
      </c>
      <c r="C1903" s="1" t="n">
        <v>679</v>
      </c>
      <c r="D1903" s="1" t="n">
        <v>58</v>
      </c>
      <c r="E1903" s="4">
        <f>IF(INDEX(C:C, ROW())+INDEX(D:D, ROW())=0, 0, INDEX(C:C, ROW())/(INDEX(C:C, ROW())+INDEX(D:D, ROW())))</f>
        <v/>
      </c>
      <c r="F1903" s="1" t="inlineStr">
        <is>
          <t>Array, Sliding Window</t>
        </is>
      </c>
      <c r="G1903" s="1" t="inlineStr">
        <is>
          <t>Medium</t>
        </is>
      </c>
      <c r="H1903" s="1" t="n">
        <v>154507</v>
      </c>
      <c r="I1903" s="1" t="n">
        <v>248835</v>
      </c>
      <c r="J1903" s="9" t="n">
        <v>0.621</v>
      </c>
      <c r="K1903" s="1" t="inlineStr">
        <is>
          <t>Yes</t>
        </is>
      </c>
      <c r="L1903" s="1" t="inlineStr">
        <is>
          <t>Yes</t>
        </is>
      </c>
      <c r="M1903" s="1" t="inlineStr">
        <is>
          <t>No</t>
        </is>
      </c>
      <c r="N1903" s="1" t="inlineStr">
        <is>
          <t>Algorithms</t>
        </is>
      </c>
      <c r="O19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03" s="11" t="inlineStr">
        <is>
          <t>To Do</t>
        </is>
      </c>
    </row>
    <row r="1904" ht="15.75" customHeight="1" s="12">
      <c r="A1904" s="1" t="n">
        <v>1131</v>
      </c>
      <c r="B1904" s="3">
        <f>HYPERLINK("https://leetcode.com/problems/maximum-of-absolute-value-expression/", "Maximum of Absolute Value Expression")</f>
        <v/>
      </c>
      <c r="C1904" s="1" t="n">
        <v>678</v>
      </c>
      <c r="D1904" s="1" t="n">
        <v>419</v>
      </c>
      <c r="E1904" s="4">
        <f>IF(INDEX(C:C, ROW())+INDEX(D:D, ROW())=0, 0, INDEX(C:C, ROW())/(INDEX(C:C, ROW())+INDEX(D:D, ROW())))</f>
        <v/>
      </c>
      <c r="F1904" s="1" t="inlineStr">
        <is>
          <t>Array, Math</t>
        </is>
      </c>
      <c r="G1904" s="1" t="inlineStr">
        <is>
          <t>Medium</t>
        </is>
      </c>
      <c r="H1904" s="1" t="n">
        <v>30852</v>
      </c>
      <c r="I1904" s="1" t="n">
        <v>63379</v>
      </c>
      <c r="J1904" s="9" t="n">
        <v>0.487</v>
      </c>
      <c r="K1904" s="1" t="inlineStr">
        <is>
          <t>Yes</t>
        </is>
      </c>
      <c r="L1904" s="1" t="inlineStr">
        <is>
          <t>No</t>
        </is>
      </c>
      <c r="M1904" s="1" t="inlineStr">
        <is>
          <t>No</t>
        </is>
      </c>
      <c r="N1904" s="1" t="inlineStr">
        <is>
          <t>Algorithms</t>
        </is>
      </c>
      <c r="O19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04" s="11" t="inlineStr">
        <is>
          <t>To Do</t>
        </is>
      </c>
    </row>
    <row r="1905" ht="15.75" customHeight="1" s="12">
      <c r="A1905" s="1" t="n">
        <v>1606</v>
      </c>
      <c r="B1905" s="3">
        <f>HYPERLINK("https://leetcode.com/problems/find-servers-that-handled-most-number-of-requests/", "Find Servers That Handled Most Number of Requests")</f>
        <v/>
      </c>
      <c r="C1905" s="1" t="n">
        <v>678</v>
      </c>
      <c r="D1905" s="1" t="n">
        <v>30</v>
      </c>
      <c r="E1905" s="4">
        <f>IF(INDEX(C:C, ROW())+INDEX(D:D, ROW())=0, 0, INDEX(C:C, ROW())/(INDEX(C:C, ROW())+INDEX(D:D, ROW())))</f>
        <v/>
      </c>
      <c r="F1905" s="1" t="inlineStr">
        <is>
          <t>Array, Heap (Priority Queue), Simulation, Ordered Set</t>
        </is>
      </c>
      <c r="G1905" s="1" t="inlineStr">
        <is>
          <t>Hard</t>
        </is>
      </c>
      <c r="H1905" s="1" t="n">
        <v>29151</v>
      </c>
      <c r="I1905" s="1" t="n">
        <v>64258</v>
      </c>
      <c r="J1905" s="9" t="n">
        <v>0.454</v>
      </c>
      <c r="K1905" s="1" t="inlineStr">
        <is>
          <t>Yes</t>
        </is>
      </c>
      <c r="L1905" s="1" t="inlineStr">
        <is>
          <t>Yes</t>
        </is>
      </c>
      <c r="M1905" s="1" t="inlineStr">
        <is>
          <t>No</t>
        </is>
      </c>
      <c r="N1905" s="1" t="inlineStr">
        <is>
          <t>Algorithms</t>
        </is>
      </c>
      <c r="O19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05" s="11" t="inlineStr">
        <is>
          <t>To Do</t>
        </is>
      </c>
    </row>
    <row r="1906" ht="15.75" customHeight="1" s="12">
      <c r="A1906" s="1" t="n">
        <v>1893</v>
      </c>
      <c r="B1906" s="3">
        <f>HYPERLINK("https://leetcode.com/problems/check-if-all-the-integers-in-a-range-are-covered/", "Check if All the Integers in a Range Are Covered")</f>
        <v/>
      </c>
      <c r="C1906" s="1" t="n">
        <v>678</v>
      </c>
      <c r="D1906" s="1" t="n">
        <v>127</v>
      </c>
      <c r="E1906" s="4">
        <f>IF(INDEX(C:C, ROW())+INDEX(D:D, ROW())=0, 0, INDEX(C:C, ROW())/(INDEX(C:C, ROW())+INDEX(D:D, ROW())))</f>
        <v/>
      </c>
      <c r="F1906" s="1" t="inlineStr">
        <is>
          <t>Array, Hash Table, Prefix Sum</t>
        </is>
      </c>
      <c r="G1906" s="1" t="inlineStr">
        <is>
          <t>Easy</t>
        </is>
      </c>
      <c r="H1906" s="1" t="n">
        <v>68753</v>
      </c>
      <c r="I1906" s="1" t="n">
        <v>134756</v>
      </c>
      <c r="J1906" s="9" t="n">
        <v>0.51</v>
      </c>
      <c r="K1906" s="1" t="inlineStr">
        <is>
          <t>Yes</t>
        </is>
      </c>
      <c r="L1906" s="1" t="inlineStr">
        <is>
          <t>No</t>
        </is>
      </c>
      <c r="M1906" s="1" t="inlineStr">
        <is>
          <t>No</t>
        </is>
      </c>
      <c r="N1906" s="1" t="inlineStr">
        <is>
          <t>Algorithms</t>
        </is>
      </c>
      <c r="O19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06" s="13" t="inlineStr">
        <is>
          <t>Done</t>
        </is>
      </c>
    </row>
    <row r="1907" ht="15.75" customHeight="1" s="12">
      <c r="A1907" s="1" t="n">
        <v>2208</v>
      </c>
      <c r="B1907" s="3">
        <f>HYPERLINK("https://leetcode.com/problems/minimum-operations-to-halve-array-sum/", "Minimum Operations to Halve Array Sum")</f>
        <v/>
      </c>
      <c r="C1907" s="1" t="n">
        <v>678</v>
      </c>
      <c r="D1907" s="1" t="n">
        <v>32</v>
      </c>
      <c r="E1907" s="4">
        <f>IF(INDEX(C:C, ROW())+INDEX(D:D, ROW())=0, 0, INDEX(C:C, ROW())/(INDEX(C:C, ROW())+INDEX(D:D, ROW())))</f>
        <v/>
      </c>
      <c r="F1907" s="1" t="inlineStr">
        <is>
          <t>Array, Greedy, Heap (Priority Queue)</t>
        </is>
      </c>
      <c r="G1907" s="1" t="inlineStr">
        <is>
          <t>Medium</t>
        </is>
      </c>
      <c r="H1907" s="1" t="n">
        <v>54213</v>
      </c>
      <c r="I1907" s="1" t="n">
        <v>108156</v>
      </c>
      <c r="J1907" s="9" t="n">
        <v>0.501</v>
      </c>
      <c r="K1907" s="1" t="inlineStr">
        <is>
          <t>Yes</t>
        </is>
      </c>
      <c r="L1907" s="1" t="inlineStr">
        <is>
          <t>No</t>
        </is>
      </c>
      <c r="M1907" s="1" t="inlineStr">
        <is>
          <t>No</t>
        </is>
      </c>
      <c r="N1907" s="1" t="inlineStr">
        <is>
          <t>Algorithms</t>
        </is>
      </c>
      <c r="O19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07" s="11" t="inlineStr">
        <is>
          <t>To Do</t>
        </is>
      </c>
    </row>
    <row r="1908" ht="15.75" customHeight="1" s="12">
      <c r="A1908" s="1" t="n">
        <v>2611</v>
      </c>
      <c r="B1908" s="3">
        <f>HYPERLINK("https://leetcode.com/problems/mice-and-cheese/", "Mice and Cheese")</f>
        <v/>
      </c>
      <c r="C1908" s="1" t="n">
        <v>678</v>
      </c>
      <c r="D1908" s="1" t="n">
        <v>74</v>
      </c>
      <c r="E1908" s="4">
        <f>IF(INDEX(C:C, ROW())+INDEX(D:D, ROW())=0, 0, INDEX(C:C, ROW())/(INDEX(C:C, ROW())+INDEX(D:D, ROW())))</f>
        <v/>
      </c>
      <c r="F1908" s="1" t="inlineStr">
        <is>
          <t>Array, Greedy, Sorting, Heap (Priority Queue)</t>
        </is>
      </c>
      <c r="G1908" s="1" t="inlineStr">
        <is>
          <t>Medium</t>
        </is>
      </c>
      <c r="H1908" s="1" t="n">
        <v>39202</v>
      </c>
      <c r="I1908" s="1" t="n">
        <v>80472</v>
      </c>
      <c r="J1908" s="9" t="n">
        <v>0.487</v>
      </c>
      <c r="K1908" s="1" t="inlineStr">
        <is>
          <t>Yes</t>
        </is>
      </c>
      <c r="L1908" s="1" t="inlineStr">
        <is>
          <t>No</t>
        </is>
      </c>
      <c r="M1908" s="1" t="inlineStr">
        <is>
          <t>No</t>
        </is>
      </c>
      <c r="N1908" s="1" t="inlineStr">
        <is>
          <t>Algorithms</t>
        </is>
      </c>
      <c r="O19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08" s="11" t="inlineStr">
        <is>
          <t>To Do</t>
        </is>
      </c>
    </row>
    <row r="1909" ht="15.75" customHeight="1" s="12">
      <c r="A1909" s="1" t="n">
        <v>806</v>
      </c>
      <c r="B1909" s="3">
        <f>HYPERLINK("https://leetcode.com/problems/number-of-lines-to-write-string/", "Number of Lines To Write String")</f>
        <v/>
      </c>
      <c r="C1909" s="1" t="n">
        <v>676</v>
      </c>
      <c r="D1909" s="1" t="n">
        <v>1355</v>
      </c>
      <c r="E1909" s="4">
        <f>IF(INDEX(C:C, ROW())+INDEX(D:D, ROW())=0, 0, INDEX(C:C, ROW())/(INDEX(C:C, ROW())+INDEX(D:D, ROW())))</f>
        <v/>
      </c>
      <c r="F1909" s="1" t="inlineStr">
        <is>
          <t>Array, String</t>
        </is>
      </c>
      <c r="G1909" s="1" t="inlineStr">
        <is>
          <t>Easy</t>
        </is>
      </c>
      <c r="H1909" s="1" t="n">
        <v>114846</v>
      </c>
      <c r="I1909" s="1" t="n">
        <v>158415</v>
      </c>
      <c r="J1909" s="9" t="n">
        <v>0.725</v>
      </c>
      <c r="K1909" s="1" t="inlineStr">
        <is>
          <t>Yes</t>
        </is>
      </c>
      <c r="L1909" s="1" t="inlineStr">
        <is>
          <t>Yes</t>
        </is>
      </c>
      <c r="M1909" s="1" t="inlineStr">
        <is>
          <t>No</t>
        </is>
      </c>
      <c r="N1909" s="1" t="inlineStr">
        <is>
          <t>Algorithms</t>
        </is>
      </c>
      <c r="O19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09" s="13" t="inlineStr">
        <is>
          <t>Done</t>
        </is>
      </c>
    </row>
    <row r="1910" ht="15.75" customHeight="1" s="12">
      <c r="A1910" s="1" t="n">
        <v>3453</v>
      </c>
      <c r="B1910" s="3">
        <f>HYPERLINK("https://leetcode.com/problems/separate-squares-i/", "Separate Squares I")</f>
        <v/>
      </c>
      <c r="C1910" s="1" t="n">
        <v>676</v>
      </c>
      <c r="D1910" s="1" t="n">
        <v>123</v>
      </c>
      <c r="E1910" s="4">
        <f>IF(INDEX(C:C, ROW())+INDEX(D:D, ROW())=0, 0, INDEX(C:C, ROW())/(INDEX(C:C, ROW())+INDEX(D:D, ROW())))</f>
        <v/>
      </c>
      <c r="F1910" s="1" t="inlineStr">
        <is>
          <t>Array, Binary Search</t>
        </is>
      </c>
      <c r="G1910" s="1" t="inlineStr">
        <is>
          <t>Medium</t>
        </is>
      </c>
      <c r="H1910" s="1" t="n">
        <v>126783</v>
      </c>
      <c r="I1910" s="1" t="n">
        <v>218757</v>
      </c>
      <c r="J1910" s="9" t="n">
        <v>0.58</v>
      </c>
      <c r="K1910" s="1" t="inlineStr">
        <is>
          <t>Yes</t>
        </is>
      </c>
      <c r="L1910" s="1" t="inlineStr">
        <is>
          <t>Yes</t>
        </is>
      </c>
      <c r="M1910" s="1" t="inlineStr">
        <is>
          <t>No</t>
        </is>
      </c>
      <c r="N1910" s="1" t="inlineStr">
        <is>
          <t>Algorithms</t>
        </is>
      </c>
      <c r="O19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10" s="11" t="inlineStr">
        <is>
          <t>To Do</t>
        </is>
      </c>
    </row>
    <row r="1911" ht="15.75" customHeight="1" s="12">
      <c r="A1911" s="1" t="n">
        <v>2894</v>
      </c>
      <c r="B1911" s="3">
        <f>HYPERLINK("https://leetcode.com/problems/divisible-and-non-divisible-sums-difference/", "Divisible and Non-divisible Sums Difference")</f>
        <v/>
      </c>
      <c r="C1911" s="1" t="n">
        <v>675</v>
      </c>
      <c r="D1911" s="1" t="n">
        <v>37</v>
      </c>
      <c r="E1911" s="4">
        <f>IF(INDEX(C:C, ROW())+INDEX(D:D, ROW())=0, 0, INDEX(C:C, ROW())/(INDEX(C:C, ROW())+INDEX(D:D, ROW())))</f>
        <v/>
      </c>
      <c r="F1911" s="1" t="inlineStr">
        <is>
          <t>Math</t>
        </is>
      </c>
      <c r="G1911" s="1" t="inlineStr">
        <is>
          <t>Easy</t>
        </is>
      </c>
      <c r="H1911" s="1" t="n">
        <v>326754</v>
      </c>
      <c r="I1911" s="1" t="n">
        <v>358910</v>
      </c>
      <c r="J1911" s="9" t="n">
        <v>0.91</v>
      </c>
      <c r="K1911" s="1" t="inlineStr">
        <is>
          <t>Yes</t>
        </is>
      </c>
      <c r="L1911" s="1" t="inlineStr">
        <is>
          <t>Yes</t>
        </is>
      </c>
      <c r="M1911" s="1" t="inlineStr">
        <is>
          <t>No</t>
        </is>
      </c>
      <c r="N1911" s="1" t="inlineStr">
        <is>
          <t>Algorithms</t>
        </is>
      </c>
      <c r="O19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11" s="13" t="inlineStr">
        <is>
          <t>Done</t>
        </is>
      </c>
    </row>
    <row r="1912" ht="15.75" customHeight="1" s="12">
      <c r="A1912" s="1" t="n">
        <v>2384</v>
      </c>
      <c r="B1912" s="3">
        <f>HYPERLINK("https://leetcode.com/problems/largest-palindromic-number/", "Largest Palindromic Number")</f>
        <v/>
      </c>
      <c r="C1912" s="1" t="n">
        <v>674</v>
      </c>
      <c r="D1912" s="1" t="n">
        <v>238</v>
      </c>
      <c r="E1912" s="4">
        <f>IF(INDEX(C:C, ROW())+INDEX(D:D, ROW())=0, 0, INDEX(C:C, ROW())/(INDEX(C:C, ROW())+INDEX(D:D, ROW())))</f>
        <v/>
      </c>
      <c r="F1912" s="1" t="inlineStr">
        <is>
          <t>Hash Table, String, Greedy, Counting</t>
        </is>
      </c>
      <c r="G1912" s="1" t="inlineStr">
        <is>
          <t>Medium</t>
        </is>
      </c>
      <c r="H1912" s="1" t="n">
        <v>54137</v>
      </c>
      <c r="I1912" s="1" t="n">
        <v>145920</v>
      </c>
      <c r="J1912" s="9" t="n">
        <v>0.371</v>
      </c>
      <c r="K1912" s="1" t="inlineStr">
        <is>
          <t>Yes</t>
        </is>
      </c>
      <c r="L1912" s="1" t="inlineStr">
        <is>
          <t>No</t>
        </is>
      </c>
      <c r="M1912" s="1" t="inlineStr">
        <is>
          <t>No</t>
        </is>
      </c>
      <c r="N1912" s="1" t="inlineStr">
        <is>
          <t>Algorithms</t>
        </is>
      </c>
      <c r="O19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12" s="11" t="inlineStr">
        <is>
          <t>To Do</t>
        </is>
      </c>
    </row>
    <row r="1913" ht="15.75" customHeight="1" s="12">
      <c r="A1913" s="1" t="n">
        <v>2350</v>
      </c>
      <c r="B1913" s="3">
        <f>HYPERLINK("https://leetcode.com/problems/shortest-impossible-sequence-of-rolls/", "Shortest Impossible Sequence of Rolls")</f>
        <v/>
      </c>
      <c r="C1913" s="1" t="n">
        <v>673</v>
      </c>
      <c r="D1913" s="1" t="n">
        <v>51</v>
      </c>
      <c r="E1913" s="4">
        <f>IF(INDEX(C:C, ROW())+INDEX(D:D, ROW())=0, 0, INDEX(C:C, ROW())/(INDEX(C:C, ROW())+INDEX(D:D, ROW())))</f>
        <v/>
      </c>
      <c r="F1913" s="1" t="inlineStr">
        <is>
          <t>Array, Hash Table, Greedy</t>
        </is>
      </c>
      <c r="G1913" s="1" t="inlineStr">
        <is>
          <t>Hard</t>
        </is>
      </c>
      <c r="H1913" s="1" t="n">
        <v>19159</v>
      </c>
      <c r="I1913" s="1" t="n">
        <v>27713</v>
      </c>
      <c r="J1913" s="9" t="n">
        <v>0.6909999999999999</v>
      </c>
      <c r="K1913" s="1" t="inlineStr">
        <is>
          <t>Yes</t>
        </is>
      </c>
      <c r="L1913" s="1" t="inlineStr">
        <is>
          <t>No</t>
        </is>
      </c>
      <c r="M1913" s="1" t="inlineStr">
        <is>
          <t>No</t>
        </is>
      </c>
      <c r="N1913" s="1" t="inlineStr">
        <is>
          <t>Algorithms</t>
        </is>
      </c>
      <c r="O19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13" s="11" t="inlineStr">
        <is>
          <t>To Do</t>
        </is>
      </c>
    </row>
    <row r="1914" ht="15.75" customHeight="1" s="12">
      <c r="A1914" s="1" t="n">
        <v>2076</v>
      </c>
      <c r="B1914" s="3">
        <f>HYPERLINK("https://leetcode.com/problems/process-restricted-friend-requests/", "Process Restricted Friend Requests")</f>
        <v/>
      </c>
      <c r="C1914" s="1" t="n">
        <v>672</v>
      </c>
      <c r="D1914" s="1" t="n">
        <v>16</v>
      </c>
      <c r="E1914" s="4">
        <f>IF(INDEX(C:C, ROW())+INDEX(D:D, ROW())=0, 0, INDEX(C:C, ROW())/(INDEX(C:C, ROW())+INDEX(D:D, ROW())))</f>
        <v/>
      </c>
      <c r="F1914" s="1" t="inlineStr">
        <is>
          <t>Union-Find, Graph Theory</t>
        </is>
      </c>
      <c r="G1914" s="1" t="inlineStr">
        <is>
          <t>Hard</t>
        </is>
      </c>
      <c r="H1914" s="1" t="n">
        <v>25890</v>
      </c>
      <c r="I1914" s="1" t="n">
        <v>42933</v>
      </c>
      <c r="J1914" s="9" t="n">
        <v>0.603</v>
      </c>
      <c r="K1914" s="1" t="inlineStr">
        <is>
          <t>Yes</t>
        </is>
      </c>
      <c r="L1914" s="1" t="inlineStr">
        <is>
          <t>No</t>
        </is>
      </c>
      <c r="M1914" s="1" t="inlineStr">
        <is>
          <t>No</t>
        </is>
      </c>
      <c r="N1914" s="1" t="inlineStr">
        <is>
          <t>Algorithms</t>
        </is>
      </c>
      <c r="O19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14" s="11" t="inlineStr">
        <is>
          <t>To Do</t>
        </is>
      </c>
    </row>
    <row r="1915" ht="15.75" customHeight="1" s="12">
      <c r="A1915" s="1" t="n">
        <v>1476</v>
      </c>
      <c r="B1915" s="3">
        <f>HYPERLINK("https://leetcode.com/problems/subrectangle-queries/", "Subrectangle Queries")</f>
        <v/>
      </c>
      <c r="C1915" s="1" t="n">
        <v>670</v>
      </c>
      <c r="D1915" s="1" t="n">
        <v>1462</v>
      </c>
      <c r="E1915" s="4">
        <f>IF(INDEX(C:C, ROW())+INDEX(D:D, ROW())=0, 0, INDEX(C:C, ROW())/(INDEX(C:C, ROW())+INDEX(D:D, ROW())))</f>
        <v/>
      </c>
      <c r="F1915" s="1" t="inlineStr">
        <is>
          <t>Array, Design, Matrix</t>
        </is>
      </c>
      <c r="G1915" s="1" t="inlineStr">
        <is>
          <t>Medium</t>
        </is>
      </c>
      <c r="H1915" s="1" t="n">
        <v>128997</v>
      </c>
      <c r="I1915" s="1" t="n">
        <v>149403</v>
      </c>
      <c r="J1915" s="9" t="n">
        <v>0.863</v>
      </c>
      <c r="K1915" s="1" t="inlineStr">
        <is>
          <t>Yes</t>
        </is>
      </c>
      <c r="L1915" s="1" t="inlineStr">
        <is>
          <t>No</t>
        </is>
      </c>
      <c r="M1915" s="1" t="inlineStr">
        <is>
          <t>No</t>
        </is>
      </c>
      <c r="N1915" s="1" t="inlineStr">
        <is>
          <t>Algorithms</t>
        </is>
      </c>
      <c r="O19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15" s="11" t="inlineStr">
        <is>
          <t>To Do</t>
        </is>
      </c>
    </row>
    <row r="1916" ht="15.75" customHeight="1" s="12">
      <c r="A1916" s="1" t="n">
        <v>2333</v>
      </c>
      <c r="B1916" s="3">
        <f>HYPERLINK("https://leetcode.com/problems/minimum-sum-of-squared-difference/", "Minimum Sum of Squared Difference")</f>
        <v/>
      </c>
      <c r="C1916" s="1" t="n">
        <v>670</v>
      </c>
      <c r="D1916" s="1" t="n">
        <v>52</v>
      </c>
      <c r="E1916" s="4">
        <f>IF(INDEX(C:C, ROW())+INDEX(D:D, ROW())=0, 0, INDEX(C:C, ROW())/(INDEX(C:C, ROW())+INDEX(D:D, ROW())))</f>
        <v/>
      </c>
      <c r="F1916" s="1" t="inlineStr">
        <is>
          <t>Array, Binary Search, Greedy, Sorting, Heap (Priority Queue)</t>
        </is>
      </c>
      <c r="G1916" s="1" t="inlineStr">
        <is>
          <t>Medium</t>
        </is>
      </c>
      <c r="H1916" s="1" t="n">
        <v>19211</v>
      </c>
      <c r="I1916" s="1" t="n">
        <v>71579</v>
      </c>
      <c r="J1916" s="9" t="n">
        <v>0.268</v>
      </c>
      <c r="K1916" s="1" t="inlineStr">
        <is>
          <t>Yes</t>
        </is>
      </c>
      <c r="L1916" s="1" t="inlineStr">
        <is>
          <t>No</t>
        </is>
      </c>
      <c r="M1916" s="1" t="inlineStr">
        <is>
          <t>No</t>
        </is>
      </c>
      <c r="N1916" s="1" t="inlineStr">
        <is>
          <t>Algorithms</t>
        </is>
      </c>
      <c r="O19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16" s="11" t="inlineStr">
        <is>
          <t>To Do</t>
        </is>
      </c>
    </row>
    <row r="1917" ht="15.75" customHeight="1" s="12">
      <c r="A1917" s="1" t="n">
        <v>1163</v>
      </c>
      <c r="B1917" s="3">
        <f>HYPERLINK("https://leetcode.com/problems/last-substring-in-lexicographical-order/", "Last Substring in Lexicographical Order")</f>
        <v/>
      </c>
      <c r="C1917" s="1" t="n">
        <v>669</v>
      </c>
      <c r="D1917" s="1" t="n">
        <v>459</v>
      </c>
      <c r="E1917" s="4">
        <f>IF(INDEX(C:C, ROW())+INDEX(D:D, ROW())=0, 0, INDEX(C:C, ROW())/(INDEX(C:C, ROW())+INDEX(D:D, ROW())))</f>
        <v/>
      </c>
      <c r="F1917" s="1" t="inlineStr">
        <is>
          <t>Two Pointers, String</t>
        </is>
      </c>
      <c r="G1917" s="1" t="inlineStr">
        <is>
          <t>Hard</t>
        </is>
      </c>
      <c r="H1917" s="1" t="n">
        <v>43383</v>
      </c>
      <c r="I1917" s="1" t="n">
        <v>123865</v>
      </c>
      <c r="J1917" s="9" t="n">
        <v>0.35</v>
      </c>
      <c r="K1917" s="1" t="inlineStr">
        <is>
          <t>Yes</t>
        </is>
      </c>
      <c r="L1917" s="1" t="inlineStr">
        <is>
          <t>No</t>
        </is>
      </c>
      <c r="M1917" s="1" t="inlineStr">
        <is>
          <t>No</t>
        </is>
      </c>
      <c r="N1917" s="1" t="inlineStr">
        <is>
          <t>Algorithms</t>
        </is>
      </c>
      <c r="O19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17" s="11" t="inlineStr">
        <is>
          <t>To Do</t>
        </is>
      </c>
    </row>
    <row r="1918" ht="15.75" customHeight="1" s="12">
      <c r="A1918" s="1" t="n">
        <v>1805</v>
      </c>
      <c r="B1918" s="3">
        <f>HYPERLINK("https://leetcode.com/problems/number-of-different-integers-in-a-string/", "Number of Different Integers in a String")</f>
        <v/>
      </c>
      <c r="C1918" s="1" t="n">
        <v>668</v>
      </c>
      <c r="D1918" s="1" t="n">
        <v>106</v>
      </c>
      <c r="E1918" s="4">
        <f>IF(INDEX(C:C, ROW())+INDEX(D:D, ROW())=0, 0, INDEX(C:C, ROW())/(INDEX(C:C, ROW())+INDEX(D:D, ROW())))</f>
        <v/>
      </c>
      <c r="F1918" s="1" t="inlineStr">
        <is>
          <t>Hash Table, String</t>
        </is>
      </c>
      <c r="G1918" s="1" t="inlineStr">
        <is>
          <t>Easy</t>
        </is>
      </c>
      <c r="H1918" s="1" t="n">
        <v>64664</v>
      </c>
      <c r="I1918" s="1" t="n">
        <v>160579</v>
      </c>
      <c r="J1918" s="9" t="n">
        <v>0.403</v>
      </c>
      <c r="K1918" s="1" t="inlineStr">
        <is>
          <t>Yes</t>
        </is>
      </c>
      <c r="L1918" s="1" t="inlineStr">
        <is>
          <t>No</t>
        </is>
      </c>
      <c r="M1918" s="1" t="inlineStr">
        <is>
          <t>No</t>
        </is>
      </c>
      <c r="N1918" s="1" t="inlineStr">
        <is>
          <t>Algorithms</t>
        </is>
      </c>
      <c r="O19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18" s="13" t="inlineStr">
        <is>
          <t>Done</t>
        </is>
      </c>
    </row>
    <row r="1919" ht="15.75" customHeight="1" s="12">
      <c r="A1919" s="1" t="n">
        <v>2673</v>
      </c>
      <c r="B1919" s="3">
        <f>HYPERLINK("https://leetcode.com/problems/make-costs-of-paths-equal-in-a-binary-tree/", "Make Costs of Paths Equal in a Binary Tree")</f>
        <v/>
      </c>
      <c r="C1919" s="1" t="n">
        <v>668</v>
      </c>
      <c r="D1919" s="1" t="n">
        <v>16</v>
      </c>
      <c r="E1919" s="4">
        <f>IF(INDEX(C:C, ROW())+INDEX(D:D, ROW())=0, 0, INDEX(C:C, ROW())/(INDEX(C:C, ROW())+INDEX(D:D, ROW())))</f>
        <v/>
      </c>
      <c r="F1919" s="1" t="inlineStr">
        <is>
          <t>Array, Dynamic Programming, Greedy, Tree, Binary Tree</t>
        </is>
      </c>
      <c r="G1919" s="1" t="inlineStr">
        <is>
          <t>Medium</t>
        </is>
      </c>
      <c r="H1919" s="1" t="n">
        <v>24229</v>
      </c>
      <c r="I1919" s="1" t="n">
        <v>41477</v>
      </c>
      <c r="J1919" s="9" t="n">
        <v>0.584</v>
      </c>
      <c r="K1919" s="1" t="inlineStr">
        <is>
          <t>Yes</t>
        </is>
      </c>
      <c r="L1919" s="1" t="inlineStr">
        <is>
          <t>No</t>
        </is>
      </c>
      <c r="M1919" s="1" t="inlineStr">
        <is>
          <t>No</t>
        </is>
      </c>
      <c r="N1919" s="1" t="inlineStr">
        <is>
          <t>Algorithms</t>
        </is>
      </c>
      <c r="O19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19" s="11" t="inlineStr">
        <is>
          <t>To Do</t>
        </is>
      </c>
    </row>
    <row r="1920" ht="15.75" customHeight="1" s="12">
      <c r="A1920" s="1" t="n">
        <v>753</v>
      </c>
      <c r="B1920" s="3">
        <f>HYPERLINK("https://leetcode.com/problems/cracking-the-safe/", "Cracking the Safe")</f>
        <v/>
      </c>
      <c r="C1920" s="1" t="n">
        <v>667</v>
      </c>
      <c r="D1920" s="1" t="n">
        <v>132</v>
      </c>
      <c r="E1920" s="4">
        <f>IF(INDEX(C:C, ROW())+INDEX(D:D, ROW())=0, 0, INDEX(C:C, ROW())/(INDEX(C:C, ROW())+INDEX(D:D, ROW())))</f>
        <v/>
      </c>
      <c r="F1920" s="1" t="inlineStr">
        <is>
          <t>String, Depth-First Search, Graph Theory, Eulerian Circuit</t>
        </is>
      </c>
      <c r="G1920" s="1" t="inlineStr">
        <is>
          <t>Hard</t>
        </is>
      </c>
      <c r="H1920" s="1" t="n">
        <v>71861</v>
      </c>
      <c r="I1920" s="1" t="n">
        <v>123046</v>
      </c>
      <c r="J1920" s="9" t="n">
        <v>0.584</v>
      </c>
      <c r="K1920" s="1" t="inlineStr">
        <is>
          <t>Yes</t>
        </is>
      </c>
      <c r="L1920" s="1" t="inlineStr">
        <is>
          <t>Yes</t>
        </is>
      </c>
      <c r="M1920" s="1" t="inlineStr">
        <is>
          <t>No</t>
        </is>
      </c>
      <c r="N1920" s="1" t="inlineStr">
        <is>
          <t>Algorithms</t>
        </is>
      </c>
      <c r="O19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20" s="11" t="inlineStr">
        <is>
          <t>To Do</t>
        </is>
      </c>
    </row>
    <row r="1921" ht="15.75" customHeight="1" s="12">
      <c r="A1921" s="1" t="n">
        <v>3105</v>
      </c>
      <c r="B1921" s="3">
        <f>HYPERLINK("https://leetcode.com/problems/longest-strictly-increasing-or-strictly-decreasing-subarray/", "Longest Strictly Increasing or Strictly Decreasing Subarray")</f>
        <v/>
      </c>
      <c r="C1921" s="1" t="n">
        <v>667</v>
      </c>
      <c r="D1921" s="1" t="n">
        <v>34</v>
      </c>
      <c r="E1921" s="4">
        <f>IF(INDEX(C:C, ROW())+INDEX(D:D, ROW())=0, 0, INDEX(C:C, ROW())/(INDEX(C:C, ROW())+INDEX(D:D, ROW())))</f>
        <v/>
      </c>
      <c r="F1921" s="1" t="inlineStr">
        <is>
          <t>Array</t>
        </is>
      </c>
      <c r="G1921" s="1" t="inlineStr">
        <is>
          <t>Easy</t>
        </is>
      </c>
      <c r="H1921" s="1" t="n">
        <v>218810</v>
      </c>
      <c r="I1921" s="1" t="n">
        <v>336988</v>
      </c>
      <c r="J1921" s="9" t="n">
        <v>0.649</v>
      </c>
      <c r="K1921" s="1" t="inlineStr">
        <is>
          <t>Yes</t>
        </is>
      </c>
      <c r="L1921" s="1" t="inlineStr">
        <is>
          <t>Yes</t>
        </is>
      </c>
      <c r="M1921" s="1" t="inlineStr">
        <is>
          <t>No</t>
        </is>
      </c>
      <c r="N1921" s="1" t="inlineStr">
        <is>
          <t>Algorithms</t>
        </is>
      </c>
      <c r="O19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21" s="13" t="inlineStr">
        <is>
          <t>Done</t>
        </is>
      </c>
    </row>
    <row r="1922" ht="15.75" customHeight="1" s="12">
      <c r="A1922" s="1" t="n">
        <v>1087</v>
      </c>
      <c r="B1922" s="3">
        <f>HYPERLINK("https://leetcode.com/problems/brace-expansion/", "Brace Expansion")</f>
        <v/>
      </c>
      <c r="C1922" s="1" t="n">
        <v>666</v>
      </c>
      <c r="D1922" s="1" t="n">
        <v>57</v>
      </c>
      <c r="E1922" s="4">
        <f>IF(INDEX(C:C, ROW())+INDEX(D:D, ROW())=0, 0, INDEX(C:C, ROW())/(INDEX(C:C, ROW())+INDEX(D:D, ROW())))</f>
        <v/>
      </c>
      <c r="F1922" s="1" t="inlineStr">
        <is>
          <t>String, Backtracking, Stack, Breadth-First Search, Sorting</t>
        </is>
      </c>
      <c r="G1922" s="1" t="inlineStr">
        <is>
          <t>Medium</t>
        </is>
      </c>
      <c r="H1922" s="1" t="n">
        <v>66387</v>
      </c>
      <c r="I1922" s="1" t="n">
        <v>99299</v>
      </c>
      <c r="J1922" s="9" t="n">
        <v>0.669</v>
      </c>
      <c r="K1922" s="1" t="inlineStr">
        <is>
          <t>No</t>
        </is>
      </c>
      <c r="L1922" s="1" t="inlineStr">
        <is>
          <t>Yes</t>
        </is>
      </c>
      <c r="M1922" s="1" t="inlineStr">
        <is>
          <t>No</t>
        </is>
      </c>
      <c r="N1922" s="1" t="inlineStr">
        <is>
          <t>Algorithms</t>
        </is>
      </c>
      <c r="O19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22" s="11" t="inlineStr">
        <is>
          <t>To Do</t>
        </is>
      </c>
    </row>
    <row r="1923" ht="15.75" customHeight="1" s="12">
      <c r="A1923" s="1" t="n">
        <v>1157</v>
      </c>
      <c r="B1923" s="3">
        <f>HYPERLINK("https://leetcode.com/problems/online-majority-element-in-subarray/", "Online Majority Element In Subarray")</f>
        <v/>
      </c>
      <c r="C1923" s="1" t="n">
        <v>665</v>
      </c>
      <c r="D1923" s="1" t="n">
        <v>66</v>
      </c>
      <c r="E1923" s="4">
        <f>IF(INDEX(C:C, ROW())+INDEX(D:D, ROW())=0, 0, INDEX(C:C, ROW())/(INDEX(C:C, ROW())+INDEX(D:D, ROW())))</f>
        <v/>
      </c>
      <c r="F1923" s="1" t="inlineStr">
        <is>
          <t>Array, Binary Search, Design, Binary Indexed Tree, Segment Tree</t>
        </is>
      </c>
      <c r="G1923" s="1" t="inlineStr">
        <is>
          <t>Hard</t>
        </is>
      </c>
      <c r="H1923" s="1" t="n">
        <v>21407</v>
      </c>
      <c r="I1923" s="1" t="n">
        <v>53062</v>
      </c>
      <c r="J1923" s="9" t="n">
        <v>0.403</v>
      </c>
      <c r="K1923" s="1" t="inlineStr">
        <is>
          <t>Yes</t>
        </is>
      </c>
      <c r="L1923" s="1" t="inlineStr">
        <is>
          <t>No</t>
        </is>
      </c>
      <c r="M1923" s="1" t="inlineStr">
        <is>
          <t>No</t>
        </is>
      </c>
      <c r="N1923" s="1" t="inlineStr">
        <is>
          <t>Algorithms</t>
        </is>
      </c>
      <c r="O19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23" s="11" t="inlineStr">
        <is>
          <t>To Do</t>
        </is>
      </c>
    </row>
    <row r="1924" ht="15.75" customHeight="1" s="12">
      <c r="A1924" s="1" t="n">
        <v>1968</v>
      </c>
      <c r="B1924" s="3">
        <f>HYPERLINK("https://leetcode.com/problems/array-with-elements-not-equal-to-average-of-neighbors/", "Array With Elements Not Equal to Average of Neighbors")</f>
        <v/>
      </c>
      <c r="C1924" s="1" t="n">
        <v>665</v>
      </c>
      <c r="D1924" s="1" t="n">
        <v>58</v>
      </c>
      <c r="E1924" s="4">
        <f>IF(INDEX(C:C, ROW())+INDEX(D:D, ROW())=0, 0, INDEX(C:C, ROW())/(INDEX(C:C, ROW())+INDEX(D:D, ROW())))</f>
        <v/>
      </c>
      <c r="F1924" s="1" t="inlineStr">
        <is>
          <t>Array, Greedy, Sorting</t>
        </is>
      </c>
      <c r="G1924" s="1" t="inlineStr">
        <is>
          <t>Medium</t>
        </is>
      </c>
      <c r="H1924" s="1" t="n">
        <v>50001</v>
      </c>
      <c r="I1924" s="1" t="n">
        <v>98569</v>
      </c>
      <c r="J1924" s="9" t="n">
        <v>0.507</v>
      </c>
      <c r="K1924" s="1" t="inlineStr">
        <is>
          <t>Yes</t>
        </is>
      </c>
      <c r="L1924" s="1" t="inlineStr">
        <is>
          <t>No</t>
        </is>
      </c>
      <c r="M1924" s="1" t="inlineStr">
        <is>
          <t>No</t>
        </is>
      </c>
      <c r="N1924" s="1" t="inlineStr">
        <is>
          <t>Algorithms</t>
        </is>
      </c>
      <c r="O19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24" s="11" t="inlineStr">
        <is>
          <t>To Do</t>
        </is>
      </c>
    </row>
    <row r="1925" ht="15.75" customHeight="1" s="12">
      <c r="A1925" s="1" t="n">
        <v>1932</v>
      </c>
      <c r="B1925" s="3">
        <f>HYPERLINK("https://leetcode.com/problems/merge-bsts-to-create-single-bst/", "Merge BSTs to Create Single BST")</f>
        <v/>
      </c>
      <c r="C1925" s="1" t="n">
        <v>664</v>
      </c>
      <c r="D1925" s="1" t="n">
        <v>47</v>
      </c>
      <c r="E1925" s="4">
        <f>IF(INDEX(C:C, ROW())+INDEX(D:D, ROW())=0, 0, INDEX(C:C, ROW())/(INDEX(C:C, ROW())+INDEX(D:D, ROW())))</f>
        <v/>
      </c>
      <c r="F1925" s="1" t="inlineStr">
        <is>
          <t>Array, Hash Table, Tree, Depth-First Search, Binary Search Tree, Binary Tree</t>
        </is>
      </c>
      <c r="G1925" s="1" t="inlineStr">
        <is>
          <t>Hard</t>
        </is>
      </c>
      <c r="H1925" s="1" t="n">
        <v>16110</v>
      </c>
      <c r="I1925" s="1" t="n">
        <v>41654</v>
      </c>
      <c r="J1925" s="9" t="n">
        <v>0.387</v>
      </c>
      <c r="K1925" s="1" t="inlineStr">
        <is>
          <t>Yes</t>
        </is>
      </c>
      <c r="L1925" s="1" t="inlineStr">
        <is>
          <t>No</t>
        </is>
      </c>
      <c r="M1925" s="1" t="inlineStr">
        <is>
          <t>No</t>
        </is>
      </c>
      <c r="N1925" s="1" t="inlineStr">
        <is>
          <t>Algorithms</t>
        </is>
      </c>
      <c r="O19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25" s="11" t="inlineStr">
        <is>
          <t>To Do</t>
        </is>
      </c>
    </row>
    <row r="1926" ht="15.75" customHeight="1" s="12">
      <c r="A1926" s="1" t="n">
        <v>2217</v>
      </c>
      <c r="B1926" s="3">
        <f>HYPERLINK("https://leetcode.com/problems/find-palindrome-with-fixed-length/", "Find Palindrome With Fixed Length")</f>
        <v/>
      </c>
      <c r="C1926" s="1" t="n">
        <v>664</v>
      </c>
      <c r="D1926" s="1" t="n">
        <v>297</v>
      </c>
      <c r="E1926" s="4">
        <f>IF(INDEX(C:C, ROW())+INDEX(D:D, ROW())=0, 0, INDEX(C:C, ROW())/(INDEX(C:C, ROW())+INDEX(D:D, ROW())))</f>
        <v/>
      </c>
      <c r="F1926" s="1" t="inlineStr">
        <is>
          <t>Array, Math</t>
        </is>
      </c>
      <c r="G1926" s="1" t="inlineStr">
        <is>
          <t>Medium</t>
        </is>
      </c>
      <c r="H1926" s="1" t="n">
        <v>27943</v>
      </c>
      <c r="I1926" s="1" t="n">
        <v>73469</v>
      </c>
      <c r="J1926" s="9" t="n">
        <v>0.38</v>
      </c>
      <c r="K1926" s="1" t="inlineStr">
        <is>
          <t>Yes</t>
        </is>
      </c>
      <c r="L1926" s="1" t="inlineStr">
        <is>
          <t>No</t>
        </is>
      </c>
      <c r="M1926" s="1" t="inlineStr">
        <is>
          <t>No</t>
        </is>
      </c>
      <c r="N1926" s="1" t="inlineStr">
        <is>
          <t>Algorithms</t>
        </is>
      </c>
      <c r="O19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26" s="11" t="inlineStr">
        <is>
          <t>To Do</t>
        </is>
      </c>
    </row>
    <row r="1927" ht="15.75" customHeight="1" s="12">
      <c r="A1927" s="1" t="n">
        <v>1227</v>
      </c>
      <c r="B1927" s="3">
        <f>HYPERLINK("https://leetcode.com/problems/airplane-seat-assignment-probability/", "Airplane Seat Assignment Probability")</f>
        <v/>
      </c>
      <c r="C1927" s="1" t="n">
        <v>663</v>
      </c>
      <c r="D1927" s="1" t="n">
        <v>991</v>
      </c>
      <c r="E1927" s="4">
        <f>IF(INDEX(C:C, ROW())+INDEX(D:D, ROW())=0, 0, INDEX(C:C, ROW())/(INDEX(C:C, ROW())+INDEX(D:D, ROW())))</f>
        <v/>
      </c>
      <c r="F1927" s="1" t="inlineStr">
        <is>
          <t>Math, Dynamic Programming, Brainteaser, Probability and Statistics</t>
        </is>
      </c>
      <c r="G1927" s="1" t="inlineStr">
        <is>
          <t>Medium</t>
        </is>
      </c>
      <c r="H1927" s="1" t="n">
        <v>58404</v>
      </c>
      <c r="I1927" s="1" t="n">
        <v>86651</v>
      </c>
      <c r="J1927" s="9" t="n">
        <v>0.674</v>
      </c>
      <c r="K1927" s="1" t="inlineStr">
        <is>
          <t>Yes</t>
        </is>
      </c>
      <c r="L1927" s="1" t="inlineStr">
        <is>
          <t>No</t>
        </is>
      </c>
      <c r="M1927" s="1" t="inlineStr">
        <is>
          <t>No</t>
        </is>
      </c>
      <c r="N1927" s="1" t="inlineStr">
        <is>
          <t>Algorithms</t>
        </is>
      </c>
      <c r="O19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27" s="11" t="inlineStr">
        <is>
          <t>To Do</t>
        </is>
      </c>
    </row>
    <row r="1928" ht="15.75" customHeight="1" s="12">
      <c r="A1928" s="1" t="n">
        <v>2488</v>
      </c>
      <c r="B1928" s="3">
        <f>HYPERLINK("https://leetcode.com/problems/count-subarrays-with-median-k/", "Count Subarrays With Median K")</f>
        <v/>
      </c>
      <c r="C1928" s="1" t="n">
        <v>661</v>
      </c>
      <c r="D1928" s="1" t="n">
        <v>17</v>
      </c>
      <c r="E1928" s="4">
        <f>IF(INDEX(C:C, ROW())+INDEX(D:D, ROW())=0, 0, INDEX(C:C, ROW())/(INDEX(C:C, ROW())+INDEX(D:D, ROW())))</f>
        <v/>
      </c>
      <c r="F1928" s="1" t="inlineStr">
        <is>
          <t>Array, Hash Table, Prefix Sum</t>
        </is>
      </c>
      <c r="G1928" s="1" t="inlineStr">
        <is>
          <t>Hard</t>
        </is>
      </c>
      <c r="H1928" s="1" t="n">
        <v>20896</v>
      </c>
      <c r="I1928" s="1" t="n">
        <v>42888</v>
      </c>
      <c r="J1928" s="9" t="n">
        <v>0.487</v>
      </c>
      <c r="K1928" s="1" t="inlineStr">
        <is>
          <t>Yes</t>
        </is>
      </c>
      <c r="L1928" s="1" t="inlineStr">
        <is>
          <t>No</t>
        </is>
      </c>
      <c r="M1928" s="1" t="inlineStr">
        <is>
          <t>No</t>
        </is>
      </c>
      <c r="N1928" s="1" t="inlineStr">
        <is>
          <t>Algorithms</t>
        </is>
      </c>
      <c r="O19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28" s="11" t="inlineStr">
        <is>
          <t>To Do</t>
        </is>
      </c>
    </row>
    <row r="1929" ht="15.75" customHeight="1" s="12">
      <c r="A1929" s="1" t="n">
        <v>603</v>
      </c>
      <c r="B1929" s="3">
        <f>HYPERLINK("https://leetcode.com/problems/consecutive-available-seats/", "Consecutive Available Seats")</f>
        <v/>
      </c>
      <c r="C1929" s="1" t="n">
        <v>659</v>
      </c>
      <c r="D1929" s="1" t="n">
        <v>80</v>
      </c>
      <c r="E1929" s="4">
        <f>IF(INDEX(C:C, ROW())+INDEX(D:D, ROW())=0, 0, INDEX(C:C, ROW())/(INDEX(C:C, ROW())+INDEX(D:D, ROW())))</f>
        <v/>
      </c>
      <c r="F1929" s="1" t="inlineStr">
        <is>
          <t>Database</t>
        </is>
      </c>
      <c r="G1929" s="1" t="inlineStr">
        <is>
          <t>Easy</t>
        </is>
      </c>
      <c r="H1929" s="1" t="n">
        <v>103246</v>
      </c>
      <c r="I1929" s="1" t="n">
        <v>158830</v>
      </c>
      <c r="J1929" s="9" t="n">
        <v>0.65</v>
      </c>
      <c r="K1929" s="1" t="inlineStr">
        <is>
          <t>No</t>
        </is>
      </c>
      <c r="L1929" s="1" t="inlineStr">
        <is>
          <t>Yes</t>
        </is>
      </c>
      <c r="M1929" s="1" t="inlineStr">
        <is>
          <t>No</t>
        </is>
      </c>
      <c r="N1929" s="1" t="inlineStr">
        <is>
          <t>Database</t>
        </is>
      </c>
      <c r="O19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29" s="11" t="inlineStr">
        <is>
          <t>To Do</t>
        </is>
      </c>
    </row>
    <row r="1930" ht="15.75" customHeight="1" s="12">
      <c r="A1930" s="1" t="n">
        <v>2296</v>
      </c>
      <c r="B1930" s="3">
        <f>HYPERLINK("https://leetcode.com/problems/design-a-text-editor/", "Design a Text Editor")</f>
        <v/>
      </c>
      <c r="C1930" s="1" t="n">
        <v>658</v>
      </c>
      <c r="D1930" s="1" t="n">
        <v>229</v>
      </c>
      <c r="E1930" s="4">
        <f>IF(INDEX(C:C, ROW())+INDEX(D:D, ROW())=0, 0, INDEX(C:C, ROW())/(INDEX(C:C, ROW())+INDEX(D:D, ROW())))</f>
        <v/>
      </c>
      <c r="F1930" s="1" t="inlineStr">
        <is>
          <t>Linked List, String, Stack, Design, Simulation, Doubly-Linked List</t>
        </is>
      </c>
      <c r="G1930" s="1" t="inlineStr">
        <is>
          <t>Hard</t>
        </is>
      </c>
      <c r="H1930" s="1" t="n">
        <v>43164</v>
      </c>
      <c r="I1930" s="1" t="n">
        <v>85393</v>
      </c>
      <c r="J1930" s="9" t="n">
        <v>0.505</v>
      </c>
      <c r="K1930" s="1" t="inlineStr">
        <is>
          <t>Yes</t>
        </is>
      </c>
      <c r="L1930" s="1" t="inlineStr">
        <is>
          <t>No</t>
        </is>
      </c>
      <c r="M1930" s="1" t="inlineStr">
        <is>
          <t>No</t>
        </is>
      </c>
      <c r="N1930" s="1" t="inlineStr">
        <is>
          <t>Algorithms</t>
        </is>
      </c>
      <c r="O19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30" s="11" t="inlineStr">
        <is>
          <t>To Do</t>
        </is>
      </c>
    </row>
    <row r="1931" ht="15.75" customHeight="1" s="12">
      <c r="A1931" s="1" t="n">
        <v>1784</v>
      </c>
      <c r="B1931" s="3">
        <f>HYPERLINK("https://leetcode.com/problems/check-if-binary-string-has-at-most-one-segment-of-ones/", "Check if Binary String Has at Most One Segment of Ones")</f>
        <v/>
      </c>
      <c r="C1931" s="1" t="n">
        <v>657</v>
      </c>
      <c r="D1931" s="1" t="n">
        <v>1159</v>
      </c>
      <c r="E1931" s="4">
        <f>IF(INDEX(C:C, ROW())+INDEX(D:D, ROW())=0, 0, INDEX(C:C, ROW())/(INDEX(C:C, ROW())+INDEX(D:D, ROW())))</f>
        <v/>
      </c>
      <c r="F1931" s="1" t="inlineStr">
        <is>
          <t>String</t>
        </is>
      </c>
      <c r="G1931" s="1" t="inlineStr">
        <is>
          <t>Easy</t>
        </is>
      </c>
      <c r="H1931" s="1" t="n">
        <v>191298</v>
      </c>
      <c r="I1931" s="1" t="n">
        <v>389476</v>
      </c>
      <c r="J1931" s="9" t="n">
        <v>0.491</v>
      </c>
      <c r="K1931" s="1" t="inlineStr">
        <is>
          <t>Yes</t>
        </is>
      </c>
      <c r="L1931" s="1" t="inlineStr">
        <is>
          <t>Yes</t>
        </is>
      </c>
      <c r="M1931" s="1" t="inlineStr">
        <is>
          <t>No</t>
        </is>
      </c>
      <c r="N1931" s="1" t="inlineStr">
        <is>
          <t>Algorithms</t>
        </is>
      </c>
      <c r="O19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31" s="13" t="inlineStr">
        <is>
          <t>Done</t>
        </is>
      </c>
    </row>
    <row r="1932" ht="15.75" customHeight="1" s="12">
      <c r="A1932" s="1" t="n">
        <v>1742</v>
      </c>
      <c r="B1932" s="3">
        <f>HYPERLINK("https://leetcode.com/problems/maximum-number-of-balls-in-a-box/", "Maximum Number of Balls in a Box")</f>
        <v/>
      </c>
      <c r="C1932" s="1" t="n">
        <v>656</v>
      </c>
      <c r="D1932" s="1" t="n">
        <v>171</v>
      </c>
      <c r="E1932" s="4">
        <f>IF(INDEX(C:C, ROW())+INDEX(D:D, ROW())=0, 0, INDEX(C:C, ROW())/(INDEX(C:C, ROW())+INDEX(D:D, ROW())))</f>
        <v/>
      </c>
      <c r="F1932" s="1" t="inlineStr">
        <is>
          <t>Hash Table, Math, Counting</t>
        </is>
      </c>
      <c r="G1932" s="1" t="inlineStr">
        <is>
          <t>Easy</t>
        </is>
      </c>
      <c r="H1932" s="1" t="n">
        <v>85523</v>
      </c>
      <c r="I1932" s="1" t="n">
        <v>114197</v>
      </c>
      <c r="J1932" s="9" t="n">
        <v>0.749</v>
      </c>
      <c r="K1932" s="1" t="inlineStr">
        <is>
          <t>Yes</t>
        </is>
      </c>
      <c r="L1932" s="1" t="inlineStr">
        <is>
          <t>No</t>
        </is>
      </c>
      <c r="M1932" s="1" t="inlineStr">
        <is>
          <t>No</t>
        </is>
      </c>
      <c r="N1932" s="1" t="inlineStr">
        <is>
          <t>Algorithms</t>
        </is>
      </c>
      <c r="O19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32" s="13" t="inlineStr">
        <is>
          <t>Done</t>
        </is>
      </c>
    </row>
    <row r="1933" ht="15.75" customHeight="1" s="12">
      <c r="A1933" s="1" t="n">
        <v>2843</v>
      </c>
      <c r="B1933" s="3">
        <f>HYPERLINK("https://leetcode.com/problems/count-symmetric-integers/", "  Count Symmetric Integers")</f>
        <v/>
      </c>
      <c r="C1933" s="1" t="n">
        <v>656</v>
      </c>
      <c r="D1933" s="1" t="n">
        <v>65</v>
      </c>
      <c r="E1933" s="4">
        <f>IF(INDEX(C:C, ROW())+INDEX(D:D, ROW())=0, 0, INDEX(C:C, ROW())/(INDEX(C:C, ROW())+INDEX(D:D, ROW())))</f>
        <v/>
      </c>
      <c r="F1933" s="1" t="inlineStr">
        <is>
          <t>Math, Enumeration</t>
        </is>
      </c>
      <c r="G1933" s="1" t="inlineStr">
        <is>
          <t>Easy</t>
        </is>
      </c>
      <c r="H1933" s="1" t="n">
        <v>198231</v>
      </c>
      <c r="I1933" s="1" t="n">
        <v>238693</v>
      </c>
      <c r="J1933" s="9" t="n">
        <v>0.83</v>
      </c>
      <c r="K1933" s="1" t="inlineStr">
        <is>
          <t>Yes</t>
        </is>
      </c>
      <c r="L1933" s="1" t="inlineStr">
        <is>
          <t>Yes</t>
        </is>
      </c>
      <c r="M1933" s="1" t="inlineStr">
        <is>
          <t>No</t>
        </is>
      </c>
      <c r="N1933" s="1" t="inlineStr">
        <is>
          <t>Algorithms</t>
        </is>
      </c>
      <c r="O19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33" s="13" t="inlineStr">
        <is>
          <t>Done</t>
        </is>
      </c>
    </row>
    <row r="1934" ht="15.75" customHeight="1" s="12">
      <c r="A1934" s="1" t="n">
        <v>1001</v>
      </c>
      <c r="B1934" s="3">
        <f>HYPERLINK("https://leetcode.com/problems/grid-illumination/", "Grid Illumination")</f>
        <v/>
      </c>
      <c r="C1934" s="1" t="n">
        <v>655</v>
      </c>
      <c r="D1934" s="1" t="n">
        <v>161</v>
      </c>
      <c r="E1934" s="4">
        <f>IF(INDEX(C:C, ROW())+INDEX(D:D, ROW())=0, 0, INDEX(C:C, ROW())/(INDEX(C:C, ROW())+INDEX(D:D, ROW())))</f>
        <v/>
      </c>
      <c r="F1934" s="1" t="inlineStr">
        <is>
          <t>Array, Hash Table</t>
        </is>
      </c>
      <c r="G1934" s="1" t="inlineStr">
        <is>
          <t>Hard</t>
        </is>
      </c>
      <c r="H1934" s="1" t="n">
        <v>27340</v>
      </c>
      <c r="I1934" s="1" t="n">
        <v>69607</v>
      </c>
      <c r="J1934" s="9" t="n">
        <v>0.393</v>
      </c>
      <c r="K1934" s="1" t="inlineStr">
        <is>
          <t>Yes</t>
        </is>
      </c>
      <c r="L1934" s="1" t="inlineStr">
        <is>
          <t>No</t>
        </is>
      </c>
      <c r="M1934" s="1" t="inlineStr">
        <is>
          <t>No</t>
        </is>
      </c>
      <c r="N1934" s="1" t="inlineStr">
        <is>
          <t>Algorithms</t>
        </is>
      </c>
      <c r="O19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34" s="11" t="inlineStr">
        <is>
          <t>To Do</t>
        </is>
      </c>
    </row>
    <row r="1935" ht="15.75" customHeight="1" s="12">
      <c r="A1935" s="1" t="n">
        <v>2194</v>
      </c>
      <c r="B1935" s="3">
        <f>HYPERLINK("https://leetcode.com/problems/cells-in-a-range-on-an-excel-sheet/", "Cells in a Range on an Excel Sheet")</f>
        <v/>
      </c>
      <c r="C1935" s="1" t="n">
        <v>653</v>
      </c>
      <c r="D1935" s="1" t="n">
        <v>100</v>
      </c>
      <c r="E1935" s="4">
        <f>IF(INDEX(C:C, ROW())+INDEX(D:D, ROW())=0, 0, INDEX(C:C, ROW())/(INDEX(C:C, ROW())+INDEX(D:D, ROW())))</f>
        <v/>
      </c>
      <c r="F1935" s="1" t="inlineStr">
        <is>
          <t>String</t>
        </is>
      </c>
      <c r="G1935" s="1" t="inlineStr">
        <is>
          <t>Easy</t>
        </is>
      </c>
      <c r="H1935" s="1" t="n">
        <v>86753</v>
      </c>
      <c r="I1935" s="1" t="n">
        <v>103087</v>
      </c>
      <c r="J1935" s="9" t="n">
        <v>0.842</v>
      </c>
      <c r="K1935" s="1" t="inlineStr">
        <is>
          <t>Yes</t>
        </is>
      </c>
      <c r="L1935" s="1" t="inlineStr">
        <is>
          <t>No</t>
        </is>
      </c>
      <c r="M1935" s="1" t="inlineStr">
        <is>
          <t>No</t>
        </is>
      </c>
      <c r="N1935" s="1" t="inlineStr">
        <is>
          <t>Algorithms</t>
        </is>
      </c>
      <c r="O19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35" s="13" t="inlineStr">
        <is>
          <t>Done</t>
        </is>
      </c>
    </row>
    <row r="1936" ht="15.75" customHeight="1" s="12">
      <c r="A1936" s="1" t="n">
        <v>3202</v>
      </c>
      <c r="B1936" s="3">
        <f>HYPERLINK("https://leetcode.com/problems/find-the-maximum-length-of-valid-subsequence-ii/", "Find the Maximum Length of Valid Subsequence II")</f>
        <v/>
      </c>
      <c r="C1936" s="1" t="n">
        <v>653</v>
      </c>
      <c r="D1936" s="1" t="n">
        <v>54</v>
      </c>
      <c r="E1936" s="4">
        <f>IF(INDEX(C:C, ROW())+INDEX(D:D, ROW())=0, 0, INDEX(C:C, ROW())/(INDEX(C:C, ROW())+INDEX(D:D, ROW())))</f>
        <v/>
      </c>
      <c r="F1936" s="1" t="inlineStr">
        <is>
          <t>Array, Dynamic Programming</t>
        </is>
      </c>
      <c r="G1936" s="1" t="inlineStr">
        <is>
          <t>Medium</t>
        </is>
      </c>
      <c r="H1936" s="1" t="n">
        <v>102092</v>
      </c>
      <c r="I1936" s="1" t="n">
        <v>178639</v>
      </c>
      <c r="J1936" s="9" t="n">
        <v>0.571</v>
      </c>
      <c r="K1936" s="1" t="inlineStr">
        <is>
          <t>Yes</t>
        </is>
      </c>
      <c r="L1936" s="1" t="inlineStr">
        <is>
          <t>Yes</t>
        </is>
      </c>
      <c r="M1936" s="1" t="inlineStr">
        <is>
          <t>No</t>
        </is>
      </c>
      <c r="N1936" s="1" t="inlineStr">
        <is>
          <t>Algorithms</t>
        </is>
      </c>
      <c r="O19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36" s="11" t="inlineStr">
        <is>
          <t>To Do</t>
        </is>
      </c>
    </row>
    <row r="1937" ht="15.75" customHeight="1" s="12">
      <c r="A1937" s="1" t="n">
        <v>2202</v>
      </c>
      <c r="B1937" s="3">
        <f>HYPERLINK("https://leetcode.com/problems/maximize-the-topmost-element-after-k-moves/", "Maximize the Topmost Element After K Moves")</f>
        <v/>
      </c>
      <c r="C1937" s="1" t="n">
        <v>652</v>
      </c>
      <c r="D1937" s="1" t="n">
        <v>336</v>
      </c>
      <c r="E1937" s="4">
        <f>IF(INDEX(C:C, ROW())+INDEX(D:D, ROW())=0, 0, INDEX(C:C, ROW())/(INDEX(C:C, ROW())+INDEX(D:D, ROW())))</f>
        <v/>
      </c>
      <c r="F1937" s="1" t="inlineStr">
        <is>
          <t>Array, Greedy</t>
        </is>
      </c>
      <c r="G1937" s="1" t="inlineStr">
        <is>
          <t>Medium</t>
        </is>
      </c>
      <c r="H1937" s="1" t="n">
        <v>38703</v>
      </c>
      <c r="I1937" s="1" t="n">
        <v>160658</v>
      </c>
      <c r="J1937" s="9" t="n">
        <v>0.241</v>
      </c>
      <c r="K1937" s="1" t="inlineStr">
        <is>
          <t>Yes</t>
        </is>
      </c>
      <c r="L1937" s="1" t="inlineStr">
        <is>
          <t>No</t>
        </is>
      </c>
      <c r="M1937" s="1" t="inlineStr">
        <is>
          <t>No</t>
        </is>
      </c>
      <c r="N1937" s="1" t="inlineStr">
        <is>
          <t>Algorithms</t>
        </is>
      </c>
      <c r="O19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37" s="11" t="inlineStr">
        <is>
          <t>To Do</t>
        </is>
      </c>
    </row>
    <row r="1938" ht="15.75" customHeight="1" s="12">
      <c r="A1938" s="1" t="n">
        <v>2771</v>
      </c>
      <c r="B1938" s="3">
        <f>HYPERLINK("https://leetcode.com/problems/longest-non-decreasing-subarray-from-two-arrays/", "Longest Non-decreasing Subarray From Two Arrays")</f>
        <v/>
      </c>
      <c r="C1938" s="1" t="n">
        <v>652</v>
      </c>
      <c r="D1938" s="1" t="n">
        <v>24</v>
      </c>
      <c r="E1938" s="4">
        <f>IF(INDEX(C:C, ROW())+INDEX(D:D, ROW())=0, 0, INDEX(C:C, ROW())/(INDEX(C:C, ROW())+INDEX(D:D, ROW())))</f>
        <v/>
      </c>
      <c r="F1938" s="1" t="inlineStr">
        <is>
          <t>Array, Dynamic Programming</t>
        </is>
      </c>
      <c r="G1938" s="1" t="inlineStr">
        <is>
          <t>Medium</t>
        </is>
      </c>
      <c r="H1938" s="1" t="n">
        <v>36741</v>
      </c>
      <c r="I1938" s="1" t="n">
        <v>117899</v>
      </c>
      <c r="J1938" s="9" t="n">
        <v>0.312</v>
      </c>
      <c r="K1938" s="1" t="inlineStr">
        <is>
          <t>Yes</t>
        </is>
      </c>
      <c r="L1938" s="1" t="inlineStr">
        <is>
          <t>No</t>
        </is>
      </c>
      <c r="M1938" s="1" t="inlineStr">
        <is>
          <t>No</t>
        </is>
      </c>
      <c r="N1938" s="1" t="inlineStr">
        <is>
          <t>Algorithms</t>
        </is>
      </c>
      <c r="O19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38" s="11" t="inlineStr">
        <is>
          <t>To Do</t>
        </is>
      </c>
    </row>
    <row r="1939" ht="15.75" customHeight="1" s="12">
      <c r="A1939" s="1" t="n">
        <v>3304</v>
      </c>
      <c r="B1939" s="3">
        <f>HYPERLINK("https://leetcode.com/problems/find-the-k-th-character-in-string-game-i/", "Find the K-th Character in String Game I")</f>
        <v/>
      </c>
      <c r="C1939" s="1" t="n">
        <v>652</v>
      </c>
      <c r="D1939" s="1" t="n">
        <v>138</v>
      </c>
      <c r="E1939" s="4">
        <f>IF(INDEX(C:C, ROW())+INDEX(D:D, ROW())=0, 0, INDEX(C:C, ROW())/(INDEX(C:C, ROW())+INDEX(D:D, ROW())))</f>
        <v/>
      </c>
      <c r="F1939" s="1" t="inlineStr">
        <is>
          <t>Math, Bit Manipulation, Recursion, Simulation</t>
        </is>
      </c>
      <c r="G1939" s="1" t="inlineStr">
        <is>
          <t>Easy</t>
        </is>
      </c>
      <c r="H1939" s="1" t="n">
        <v>213832</v>
      </c>
      <c r="I1939" s="1" t="n">
        <v>261939</v>
      </c>
      <c r="J1939" s="9" t="n">
        <v>0.8159999999999999</v>
      </c>
      <c r="K1939" s="1" t="inlineStr">
        <is>
          <t>Yes</t>
        </is>
      </c>
      <c r="L1939" s="1" t="inlineStr">
        <is>
          <t>Yes</t>
        </is>
      </c>
      <c r="M1939" s="1" t="inlineStr">
        <is>
          <t>No</t>
        </is>
      </c>
      <c r="N1939" s="1" t="inlineStr">
        <is>
          <t>Algorithms</t>
        </is>
      </c>
      <c r="O19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39" s="13" t="inlineStr">
        <is>
          <t>Done</t>
        </is>
      </c>
    </row>
    <row r="1940" ht="15.75" customHeight="1" s="12">
      <c r="A1940" s="1" t="n">
        <v>3439</v>
      </c>
      <c r="B1940" s="3">
        <f>HYPERLINK("https://leetcode.com/problems/reschedule-meetings-for-maximum-free-time-i/", "Reschedule Meetings for Maximum Free Time I")</f>
        <v/>
      </c>
      <c r="C1940" s="1" t="n">
        <v>649</v>
      </c>
      <c r="D1940" s="1" t="n">
        <v>54</v>
      </c>
      <c r="E1940" s="4">
        <f>IF(INDEX(C:C, ROW())+INDEX(D:D, ROW())=0, 0, INDEX(C:C, ROW())/(INDEX(C:C, ROW())+INDEX(D:D, ROW())))</f>
        <v/>
      </c>
      <c r="F1940" s="1" t="inlineStr">
        <is>
          <t>Array, Greedy, Sliding Window</t>
        </is>
      </c>
      <c r="G1940" s="1" t="inlineStr">
        <is>
          <t>Medium</t>
        </is>
      </c>
      <c r="H1940" s="1" t="n">
        <v>109362</v>
      </c>
      <c r="I1940" s="1" t="n">
        <v>202637</v>
      </c>
      <c r="J1940" s="9" t="n">
        <v>0.54</v>
      </c>
      <c r="K1940" s="1" t="inlineStr">
        <is>
          <t>Yes</t>
        </is>
      </c>
      <c r="L1940" s="1" t="inlineStr">
        <is>
          <t>Yes</t>
        </is>
      </c>
      <c r="M1940" s="1" t="inlineStr">
        <is>
          <t>No</t>
        </is>
      </c>
      <c r="N1940" s="1" t="inlineStr">
        <is>
          <t>Algorithms</t>
        </is>
      </c>
      <c r="O19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40" s="11" t="inlineStr">
        <is>
          <t>To Do</t>
        </is>
      </c>
    </row>
    <row r="1941" ht="15.75" customHeight="1" s="12">
      <c r="A1941" s="1" t="n">
        <v>1558</v>
      </c>
      <c r="B1941" s="3">
        <f>HYPERLINK("https://leetcode.com/problems/minimum-numbers-of-function-calls-to-make-target-array/", "Minimum Numbers of Function Calls to Make Target Array")</f>
        <v/>
      </c>
      <c r="C1941" s="1" t="n">
        <v>647</v>
      </c>
      <c r="D1941" s="1" t="n">
        <v>38</v>
      </c>
      <c r="E1941" s="4">
        <f>IF(INDEX(C:C, ROW())+INDEX(D:D, ROW())=0, 0, INDEX(C:C, ROW())/(INDEX(C:C, ROW())+INDEX(D:D, ROW())))</f>
        <v/>
      </c>
      <c r="F1941" s="1" t="inlineStr">
        <is>
          <t>Array, Greedy, Bit Manipulation</t>
        </is>
      </c>
      <c r="G1941" s="1" t="inlineStr">
        <is>
          <t>Medium</t>
        </is>
      </c>
      <c r="H1941" s="1" t="n">
        <v>26162</v>
      </c>
      <c r="I1941" s="1" t="n">
        <v>41668</v>
      </c>
      <c r="J1941" s="9" t="n">
        <v>0.628</v>
      </c>
      <c r="K1941" s="1" t="inlineStr">
        <is>
          <t>Yes</t>
        </is>
      </c>
      <c r="L1941" s="1" t="inlineStr">
        <is>
          <t>No</t>
        </is>
      </c>
      <c r="M1941" s="1" t="inlineStr">
        <is>
          <t>No</t>
        </is>
      </c>
      <c r="N1941" s="1" t="inlineStr">
        <is>
          <t>Algorithms</t>
        </is>
      </c>
      <c r="O19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41" s="11" t="inlineStr">
        <is>
          <t>To Do</t>
        </is>
      </c>
    </row>
    <row r="1942" ht="15.75" customHeight="1" s="12">
      <c r="A1942" s="1" t="n">
        <v>2317</v>
      </c>
      <c r="B1942" s="3">
        <f>HYPERLINK("https://leetcode.com/problems/maximum-xor-after-operations/", "Maximum XOR After Operations ")</f>
        <v/>
      </c>
      <c r="C1942" s="1" t="n">
        <v>647</v>
      </c>
      <c r="D1942" s="1" t="n">
        <v>171</v>
      </c>
      <c r="E1942" s="4">
        <f>IF(INDEX(C:C, ROW())+INDEX(D:D, ROW())=0, 0, INDEX(C:C, ROW())/(INDEX(C:C, ROW())+INDEX(D:D, ROW())))</f>
        <v/>
      </c>
      <c r="F1942" s="1" t="inlineStr">
        <is>
          <t>Array, Math, Bit Manipulation</t>
        </is>
      </c>
      <c r="G1942" s="1" t="inlineStr">
        <is>
          <t>Medium</t>
        </is>
      </c>
      <c r="H1942" s="1" t="n">
        <v>31966</v>
      </c>
      <c r="I1942" s="1" t="n">
        <v>40052</v>
      </c>
      <c r="J1942" s="9" t="n">
        <v>0.798</v>
      </c>
      <c r="K1942" s="1" t="inlineStr">
        <is>
          <t>Yes</t>
        </is>
      </c>
      <c r="L1942" s="1" t="inlineStr">
        <is>
          <t>No</t>
        </is>
      </c>
      <c r="M1942" s="1" t="inlineStr">
        <is>
          <t>No</t>
        </is>
      </c>
      <c r="N1942" s="1" t="inlineStr">
        <is>
          <t>Algorithms</t>
        </is>
      </c>
      <c r="O19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42" s="11" t="inlineStr">
        <is>
          <t>To Do</t>
        </is>
      </c>
    </row>
    <row r="1943" ht="15.75" customHeight="1" s="12">
      <c r="A1943" s="1" t="n">
        <v>1522</v>
      </c>
      <c r="B1943" s="3">
        <f>HYPERLINK("https://leetcode.com/problems/diameter-of-n-ary-tree/", "Diameter of N-Ary Tree")</f>
        <v/>
      </c>
      <c r="C1943" s="1" t="n">
        <v>644</v>
      </c>
      <c r="D1943" s="1" t="n">
        <v>10</v>
      </c>
      <c r="E1943" s="4">
        <f>IF(INDEX(C:C, ROW())+INDEX(D:D, ROW())=0, 0, INDEX(C:C, ROW())/(INDEX(C:C, ROW())+INDEX(D:D, ROW())))</f>
        <v/>
      </c>
      <c r="F1943" s="1" t="inlineStr">
        <is>
          <t>Tree, Depth-First Search</t>
        </is>
      </c>
      <c r="G1943" s="1" t="inlineStr">
        <is>
          <t>Medium</t>
        </is>
      </c>
      <c r="H1943" s="1" t="n">
        <v>62161</v>
      </c>
      <c r="I1943" s="1" t="n">
        <v>82390</v>
      </c>
      <c r="J1943" s="9" t="n">
        <v>0.754</v>
      </c>
      <c r="K1943" s="1" t="inlineStr">
        <is>
          <t>No</t>
        </is>
      </c>
      <c r="L1943" s="1" t="inlineStr">
        <is>
          <t>Yes</t>
        </is>
      </c>
      <c r="M1943" s="1" t="inlineStr">
        <is>
          <t>No</t>
        </is>
      </c>
      <c r="N1943" s="1" t="inlineStr">
        <is>
          <t>Algorithms</t>
        </is>
      </c>
      <c r="O19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43" s="11" t="inlineStr">
        <is>
          <t>To Do</t>
        </is>
      </c>
    </row>
    <row r="1944" ht="15.75" customHeight="1" s="12">
      <c r="A1944" s="1" t="n">
        <v>2320</v>
      </c>
      <c r="B1944" s="3">
        <f>HYPERLINK("https://leetcode.com/problems/count-number-of-ways-to-place-houses/", "Count Number of Ways to Place Houses")</f>
        <v/>
      </c>
      <c r="C1944" s="1" t="n">
        <v>644</v>
      </c>
      <c r="D1944" s="1" t="n">
        <v>202</v>
      </c>
      <c r="E1944" s="4">
        <f>IF(INDEX(C:C, ROW())+INDEX(D:D, ROW())=0, 0, INDEX(C:C, ROW())/(INDEX(C:C, ROW())+INDEX(D:D, ROW())))</f>
        <v/>
      </c>
      <c r="F1944" s="1" t="inlineStr">
        <is>
          <t>Dynamic Programming</t>
        </is>
      </c>
      <c r="G1944" s="1" t="inlineStr">
        <is>
          <t>Medium</t>
        </is>
      </c>
      <c r="H1944" s="1" t="n">
        <v>36643</v>
      </c>
      <c r="I1944" s="1" t="n">
        <v>83454</v>
      </c>
      <c r="J1944" s="9" t="n">
        <v>0.439</v>
      </c>
      <c r="K1944" s="1" t="inlineStr">
        <is>
          <t>Yes</t>
        </is>
      </c>
      <c r="L1944" s="1" t="inlineStr">
        <is>
          <t>No</t>
        </is>
      </c>
      <c r="M1944" s="1" t="inlineStr">
        <is>
          <t>No</t>
        </is>
      </c>
      <c r="N1944" s="1" t="inlineStr">
        <is>
          <t>Algorithms</t>
        </is>
      </c>
      <c r="O19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44" s="11" t="inlineStr">
        <is>
          <t>To Do</t>
        </is>
      </c>
    </row>
    <row r="1945" ht="15.75" customHeight="1" s="12">
      <c r="A1945" s="1" t="n">
        <v>883</v>
      </c>
      <c r="B1945" s="3">
        <f>HYPERLINK("https://leetcode.com/problems/projection-area-of-3d-shapes/", "Projection Area of 3D Shapes")</f>
        <v/>
      </c>
      <c r="C1945" s="1" t="n">
        <v>643</v>
      </c>
      <c r="D1945" s="1" t="n">
        <v>1452</v>
      </c>
      <c r="E1945" s="4">
        <f>IF(INDEX(C:C, ROW())+INDEX(D:D, ROW())=0, 0, INDEX(C:C, ROW())/(INDEX(C:C, ROW())+INDEX(D:D, ROW())))</f>
        <v/>
      </c>
      <c r="F1945" s="1" t="inlineStr">
        <is>
          <t>Array, Math, Geometry, Matrix</t>
        </is>
      </c>
      <c r="G1945" s="1" t="inlineStr">
        <is>
          <t>Easy</t>
        </is>
      </c>
      <c r="H1945" s="1" t="n">
        <v>77052</v>
      </c>
      <c r="I1945" s="1" t="n">
        <v>101427</v>
      </c>
      <c r="J1945" s="9" t="n">
        <v>0.76</v>
      </c>
      <c r="K1945" s="1" t="inlineStr">
        <is>
          <t>Yes</t>
        </is>
      </c>
      <c r="L1945" s="1" t="inlineStr">
        <is>
          <t>Yes</t>
        </is>
      </c>
      <c r="M1945" s="1" t="inlineStr">
        <is>
          <t>No</t>
        </is>
      </c>
      <c r="N1945" s="1" t="inlineStr">
        <is>
          <t>Algorithms</t>
        </is>
      </c>
      <c r="O19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45" s="13" t="inlineStr">
        <is>
          <t>Done</t>
        </is>
      </c>
    </row>
    <row r="1946" ht="15.75" customHeight="1" s="12">
      <c r="A1946" s="1" t="n">
        <v>1166</v>
      </c>
      <c r="B1946" s="3">
        <f>HYPERLINK("https://leetcode.com/problems/design-file-system/", "Design File System")</f>
        <v/>
      </c>
      <c r="C1946" s="1" t="n">
        <v>642</v>
      </c>
      <c r="D1946" s="1" t="n">
        <v>81</v>
      </c>
      <c r="E1946" s="4">
        <f>IF(INDEX(C:C, ROW())+INDEX(D:D, ROW())=0, 0, INDEX(C:C, ROW())/(INDEX(C:C, ROW())+INDEX(D:D, ROW())))</f>
        <v/>
      </c>
      <c r="F1946" s="1" t="inlineStr">
        <is>
          <t>Hash Table, String, Design, Trie</t>
        </is>
      </c>
      <c r="G1946" s="1" t="inlineStr">
        <is>
          <t>Medium</t>
        </is>
      </c>
      <c r="H1946" s="1" t="n">
        <v>90929</v>
      </c>
      <c r="I1946" s="1" t="n">
        <v>139638</v>
      </c>
      <c r="J1946" s="9" t="n">
        <v>0.651</v>
      </c>
      <c r="K1946" s="1" t="inlineStr">
        <is>
          <t>No</t>
        </is>
      </c>
      <c r="L1946" s="1" t="inlineStr">
        <is>
          <t>Yes</t>
        </is>
      </c>
      <c r="M1946" s="1" t="inlineStr">
        <is>
          <t>No</t>
        </is>
      </c>
      <c r="N1946" s="1" t="inlineStr">
        <is>
          <t>Algorithms</t>
        </is>
      </c>
      <c r="O19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46" s="11" t="inlineStr">
        <is>
          <t>To Do</t>
        </is>
      </c>
    </row>
    <row r="1947" ht="15.75" customHeight="1" s="12">
      <c r="A1947" s="1" t="n">
        <v>1622</v>
      </c>
      <c r="B1947" s="3">
        <f>HYPERLINK("https://leetcode.com/problems/fancy-sequence/", "Fancy Sequence")</f>
        <v/>
      </c>
      <c r="C1947" s="1" t="n">
        <v>642</v>
      </c>
      <c r="D1947" s="1" t="n">
        <v>184</v>
      </c>
      <c r="E1947" s="4">
        <f>IF(INDEX(C:C, ROW())+INDEX(D:D, ROW())=0, 0, INDEX(C:C, ROW())/(INDEX(C:C, ROW())+INDEX(D:D, ROW())))</f>
        <v/>
      </c>
      <c r="F1947" s="1" t="inlineStr">
        <is>
          <t>Math, Design, Segment Tree, Number Theory</t>
        </is>
      </c>
      <c r="G1947" s="1" t="inlineStr">
        <is>
          <t>Hard</t>
        </is>
      </c>
      <c r="H1947" s="1" t="n">
        <v>77100</v>
      </c>
      <c r="I1947" s="1" t="n">
        <v>186037</v>
      </c>
      <c r="J1947" s="9" t="n">
        <v>0.414</v>
      </c>
      <c r="K1947" s="1" t="inlineStr">
        <is>
          <t>Yes</t>
        </is>
      </c>
      <c r="L1947" s="1" t="inlineStr">
        <is>
          <t>Yes</t>
        </is>
      </c>
      <c r="M1947" s="1" t="inlineStr">
        <is>
          <t>No</t>
        </is>
      </c>
      <c r="N1947" s="1" t="inlineStr">
        <is>
          <t>Algorithms</t>
        </is>
      </c>
      <c r="O19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47" s="11" t="inlineStr">
        <is>
          <t>To Do</t>
        </is>
      </c>
    </row>
    <row r="1948" ht="15.75" customHeight="1" s="12">
      <c r="A1948" s="1" t="n">
        <v>1982</v>
      </c>
      <c r="B1948" s="3">
        <f>HYPERLINK("https://leetcode.com/problems/find-array-given-subset-sums/", "Find Array Given Subset Sums")</f>
        <v/>
      </c>
      <c r="C1948" s="1" t="n">
        <v>640</v>
      </c>
      <c r="D1948" s="1" t="n">
        <v>43</v>
      </c>
      <c r="E1948" s="4">
        <f>IF(INDEX(C:C, ROW())+INDEX(D:D, ROW())=0, 0, INDEX(C:C, ROW())/(INDEX(C:C, ROW())+INDEX(D:D, ROW())))</f>
        <v/>
      </c>
      <c r="F1948" s="1" t="inlineStr">
        <is>
          <t>Array, Hash Table, Sorting, Counting</t>
        </is>
      </c>
      <c r="G1948" s="1" t="inlineStr">
        <is>
          <t>Hard</t>
        </is>
      </c>
      <c r="H1948" s="1" t="n">
        <v>8015</v>
      </c>
      <c r="I1948" s="1" t="n">
        <v>16290</v>
      </c>
      <c r="J1948" s="9" t="n">
        <v>0.492</v>
      </c>
      <c r="K1948" s="1" t="inlineStr">
        <is>
          <t>Yes</t>
        </is>
      </c>
      <c r="L1948" s="1" t="inlineStr">
        <is>
          <t>No</t>
        </is>
      </c>
      <c r="M1948" s="1" t="inlineStr">
        <is>
          <t>No</t>
        </is>
      </c>
      <c r="N1948" s="1" t="inlineStr">
        <is>
          <t>Algorithms</t>
        </is>
      </c>
      <c r="O19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48" s="11" t="inlineStr">
        <is>
          <t>To Do</t>
        </is>
      </c>
    </row>
    <row r="1949" ht="15.75" customHeight="1" s="12">
      <c r="A1949" s="1" t="n">
        <v>2376</v>
      </c>
      <c r="B1949" s="3">
        <f>HYPERLINK("https://leetcode.com/problems/count-special-integers/", "Count Special Integers")</f>
        <v/>
      </c>
      <c r="C1949" s="1" t="n">
        <v>640</v>
      </c>
      <c r="D1949" s="1" t="n">
        <v>35</v>
      </c>
      <c r="E1949" s="4">
        <f>IF(INDEX(C:C, ROW())+INDEX(D:D, ROW())=0, 0, INDEX(C:C, ROW())/(INDEX(C:C, ROW())+INDEX(D:D, ROW())))</f>
        <v/>
      </c>
      <c r="F1949" s="1" t="inlineStr">
        <is>
          <t>Math, Dynamic Programming</t>
        </is>
      </c>
      <c r="G1949" s="1" t="inlineStr">
        <is>
          <t>Hard</t>
        </is>
      </c>
      <c r="H1949" s="1" t="n">
        <v>17650</v>
      </c>
      <c r="I1949" s="1" t="n">
        <v>41492</v>
      </c>
      <c r="J1949" s="9" t="n">
        <v>0.425</v>
      </c>
      <c r="K1949" s="1" t="inlineStr">
        <is>
          <t>Yes</t>
        </is>
      </c>
      <c r="L1949" s="1" t="inlineStr">
        <is>
          <t>No</t>
        </is>
      </c>
      <c r="M1949" s="1" t="inlineStr">
        <is>
          <t>No</t>
        </is>
      </c>
      <c r="N1949" s="1" t="inlineStr">
        <is>
          <t>Algorithms</t>
        </is>
      </c>
      <c r="O19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49" s="11" t="inlineStr">
        <is>
          <t>To Do</t>
        </is>
      </c>
    </row>
    <row r="1950" ht="15.75" customHeight="1" s="12">
      <c r="A1950" s="1" t="n">
        <v>2556</v>
      </c>
      <c r="B1950" s="3">
        <f>HYPERLINK("https://leetcode.com/problems/disconnect-path-in-a-binary-matrix-by-at-most-one-flip/", "Disconnect Path in a Binary Matrix by at Most One Flip")</f>
        <v/>
      </c>
      <c r="C1950" s="1" t="n">
        <v>640</v>
      </c>
      <c r="D1950" s="1" t="n">
        <v>33</v>
      </c>
      <c r="E1950" s="4">
        <f>IF(INDEX(C:C, ROW())+INDEX(D:D, ROW())=0, 0, INDEX(C:C, ROW())/(INDEX(C:C, ROW())+INDEX(D:D, ROW())))</f>
        <v/>
      </c>
      <c r="F1950" s="1" t="inlineStr">
        <is>
          <t>Array, Dynamic Programming, Depth-First Search, Breadth-First Search, Matrix</t>
        </is>
      </c>
      <c r="G1950" s="1" t="inlineStr">
        <is>
          <t>Medium</t>
        </is>
      </c>
      <c r="H1950" s="1" t="n">
        <v>19119</v>
      </c>
      <c r="I1950" s="1" t="n">
        <v>68535</v>
      </c>
      <c r="J1950" s="9" t="n">
        <v>0.279</v>
      </c>
      <c r="K1950" s="1" t="inlineStr">
        <is>
          <t>Yes</t>
        </is>
      </c>
      <c r="L1950" s="1" t="inlineStr">
        <is>
          <t>No</t>
        </is>
      </c>
      <c r="M1950" s="1" t="inlineStr">
        <is>
          <t>No</t>
        </is>
      </c>
      <c r="N1950" s="1" t="inlineStr">
        <is>
          <t>Algorithms</t>
        </is>
      </c>
      <c r="O19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50" s="11" t="inlineStr">
        <is>
          <t>To Do</t>
        </is>
      </c>
    </row>
    <row r="1951" ht="15.75" customHeight="1" s="12">
      <c r="A1951" s="1" t="n">
        <v>3201</v>
      </c>
      <c r="B1951" s="3">
        <f>HYPERLINK("https://leetcode.com/problems/find-the-maximum-length-of-valid-subsequence-i/", "Find the Maximum Length of Valid Subsequence I")</f>
        <v/>
      </c>
      <c r="C1951" s="1" t="n">
        <v>640</v>
      </c>
      <c r="D1951" s="1" t="n">
        <v>56</v>
      </c>
      <c r="E1951" s="4">
        <f>IF(INDEX(C:C, ROW())+INDEX(D:D, ROW())=0, 0, INDEX(C:C, ROW())/(INDEX(C:C, ROW())+INDEX(D:D, ROW())))</f>
        <v/>
      </c>
      <c r="F1951" s="1" t="inlineStr">
        <is>
          <t>Array, Dynamic Programming</t>
        </is>
      </c>
      <c r="G1951" s="1" t="inlineStr">
        <is>
          <t>Medium</t>
        </is>
      </c>
      <c r="H1951" s="1" t="n">
        <v>142446</v>
      </c>
      <c r="I1951" s="1" t="n">
        <v>259649</v>
      </c>
      <c r="J1951" s="9" t="n">
        <v>0.549</v>
      </c>
      <c r="K1951" s="1" t="inlineStr">
        <is>
          <t>Yes</t>
        </is>
      </c>
      <c r="L1951" s="1" t="inlineStr">
        <is>
          <t>Yes</t>
        </is>
      </c>
      <c r="M1951" s="1" t="inlineStr">
        <is>
          <t>No</t>
        </is>
      </c>
      <c r="N1951" s="1" t="inlineStr">
        <is>
          <t>Algorithms</t>
        </is>
      </c>
      <c r="O19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51" s="11" t="inlineStr">
        <is>
          <t>To Do</t>
        </is>
      </c>
    </row>
    <row r="1952" ht="15.75" customHeight="1" s="12">
      <c r="A1952" s="1" t="n">
        <v>644</v>
      </c>
      <c r="B1952" s="3">
        <f>HYPERLINK("https://leetcode.com/problems/maximum-average-subarray-ii/", "Maximum Average Subarray II")</f>
        <v/>
      </c>
      <c r="C1952" s="1" t="n">
        <v>639</v>
      </c>
      <c r="D1952" s="1" t="n">
        <v>74</v>
      </c>
      <c r="E1952" s="4">
        <f>IF(INDEX(C:C, ROW())+INDEX(D:D, ROW())=0, 0, INDEX(C:C, ROW())/(INDEX(C:C, ROW())+INDEX(D:D, ROW())))</f>
        <v/>
      </c>
      <c r="F1952" s="1" t="inlineStr">
        <is>
          <t>Array, Binary Search, Prefix Sum</t>
        </is>
      </c>
      <c r="G1952" s="1" t="inlineStr">
        <is>
          <t>Hard</t>
        </is>
      </c>
      <c r="H1952" s="1" t="n">
        <v>23074</v>
      </c>
      <c r="I1952" s="1" t="n">
        <v>61169</v>
      </c>
      <c r="J1952" s="9" t="n">
        <v>0.377</v>
      </c>
      <c r="K1952" s="1" t="inlineStr">
        <is>
          <t>No</t>
        </is>
      </c>
      <c r="L1952" s="1" t="inlineStr">
        <is>
          <t>Yes</t>
        </is>
      </c>
      <c r="M1952" s="1" t="inlineStr">
        <is>
          <t>Yes</t>
        </is>
      </c>
      <c r="N1952" s="1" t="inlineStr">
        <is>
          <t>Algorithms</t>
        </is>
      </c>
      <c r="O19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52" s="11" t="inlineStr">
        <is>
          <t>To Do</t>
        </is>
      </c>
    </row>
    <row r="1953" ht="15.75" customHeight="1" s="12">
      <c r="A1953" s="1" t="n">
        <v>1952</v>
      </c>
      <c r="B1953" s="3">
        <f>HYPERLINK("https://leetcode.com/problems/three-divisors/", "Three Divisors")</f>
        <v/>
      </c>
      <c r="C1953" s="1" t="n">
        <v>639</v>
      </c>
      <c r="D1953" s="1" t="n">
        <v>37</v>
      </c>
      <c r="E1953" s="4">
        <f>IF(INDEX(C:C, ROW())+INDEX(D:D, ROW())=0, 0, INDEX(C:C, ROW())/(INDEX(C:C, ROW())+INDEX(D:D, ROW())))</f>
        <v/>
      </c>
      <c r="F1953" s="1" t="inlineStr">
        <is>
          <t>Math, Enumeration, Number Theory</t>
        </is>
      </c>
      <c r="G1953" s="1" t="inlineStr">
        <is>
          <t>Easy</t>
        </is>
      </c>
      <c r="H1953" s="1" t="n">
        <v>137158</v>
      </c>
      <c r="I1953" s="1" t="n">
        <v>213551</v>
      </c>
      <c r="J1953" s="9" t="n">
        <v>0.642</v>
      </c>
      <c r="K1953" s="1" t="inlineStr">
        <is>
          <t>Yes</t>
        </is>
      </c>
      <c r="L1953" s="1" t="inlineStr">
        <is>
          <t>No</t>
        </is>
      </c>
      <c r="M1953" s="1" t="inlineStr">
        <is>
          <t>No</t>
        </is>
      </c>
      <c r="N1953" s="1" t="inlineStr">
        <is>
          <t>Algorithms</t>
        </is>
      </c>
      <c r="O19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53" s="13" t="inlineStr">
        <is>
          <t>Done</t>
        </is>
      </c>
    </row>
    <row r="1954" ht="15.75" customHeight="1" s="12">
      <c r="A1954" s="1" t="n">
        <v>2943</v>
      </c>
      <c r="B1954" s="3">
        <f>HYPERLINK("https://leetcode.com/problems/maximize-area-of-square-hole-in-grid/", "Maximize Area of Square Hole in Grid")</f>
        <v/>
      </c>
      <c r="C1954" s="1" t="n">
        <v>639</v>
      </c>
      <c r="D1954" s="1" t="n">
        <v>279</v>
      </c>
      <c r="E1954" s="4">
        <f>IF(INDEX(C:C, ROW())+INDEX(D:D, ROW())=0, 0, INDEX(C:C, ROW())/(INDEX(C:C, ROW())+INDEX(D:D, ROW())))</f>
        <v/>
      </c>
      <c r="F1954" s="1" t="inlineStr">
        <is>
          <t>Array, Sorting</t>
        </is>
      </c>
      <c r="G1954" s="1" t="inlineStr">
        <is>
          <t>Medium</t>
        </is>
      </c>
      <c r="H1954" s="1" t="n">
        <v>98845</v>
      </c>
      <c r="I1954" s="1" t="n">
        <v>159655</v>
      </c>
      <c r="J1954" s="9" t="n">
        <v>0.619</v>
      </c>
      <c r="K1954" s="1" t="inlineStr">
        <is>
          <t>Yes</t>
        </is>
      </c>
      <c r="L1954" s="1" t="inlineStr">
        <is>
          <t>Yes</t>
        </is>
      </c>
      <c r="M1954" s="1" t="inlineStr">
        <is>
          <t>No</t>
        </is>
      </c>
      <c r="N1954" s="1" t="inlineStr">
        <is>
          <t>Algorithms</t>
        </is>
      </c>
      <c r="O19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54" s="11" t="inlineStr">
        <is>
          <t>To Do</t>
        </is>
      </c>
    </row>
    <row r="1955" ht="15.75" customHeight="1" s="12">
      <c r="A1955" s="1" t="n">
        <v>3234</v>
      </c>
      <c r="B1955" s="3">
        <f>HYPERLINK("https://leetcode.com/problems/count-the-number-of-substrings-with-dominant-ones/", "Count the Number of Substrings With Dominant Ones")</f>
        <v/>
      </c>
      <c r="C1955" s="1" t="n">
        <v>639</v>
      </c>
      <c r="D1955" s="1" t="n">
        <v>171</v>
      </c>
      <c r="E1955" s="4">
        <f>IF(INDEX(C:C, ROW())+INDEX(D:D, ROW())=0, 0, INDEX(C:C, ROW())/(INDEX(C:C, ROW())+INDEX(D:D, ROW())))</f>
        <v/>
      </c>
      <c r="F1955" s="1" t="inlineStr">
        <is>
          <t>String, Enumeration</t>
        </is>
      </c>
      <c r="G1955" s="1" t="inlineStr">
        <is>
          <t>Medium</t>
        </is>
      </c>
      <c r="H1955" s="1" t="n">
        <v>65634</v>
      </c>
      <c r="I1955" s="1" t="n">
        <v>156351</v>
      </c>
      <c r="J1955" s="9" t="n">
        <v>0.42</v>
      </c>
      <c r="K1955" s="1" t="inlineStr">
        <is>
          <t>Yes</t>
        </is>
      </c>
      <c r="L1955" s="1" t="inlineStr">
        <is>
          <t>Yes</t>
        </is>
      </c>
      <c r="M1955" s="1" t="inlineStr">
        <is>
          <t>No</t>
        </is>
      </c>
      <c r="N1955" s="1" t="inlineStr">
        <is>
          <t>Algorithms</t>
        </is>
      </c>
      <c r="O19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55" s="11" t="inlineStr">
        <is>
          <t>To Do</t>
        </is>
      </c>
    </row>
    <row r="1956" ht="15.75" customHeight="1" s="12">
      <c r="A1956" s="1" t="n">
        <v>3243</v>
      </c>
      <c r="B1956" s="3">
        <f>HYPERLINK("https://leetcode.com/problems/shortest-distance-after-road-addition-queries-i/", "Shortest Distance After Road Addition Queries I")</f>
        <v/>
      </c>
      <c r="C1956" s="1" t="n">
        <v>639</v>
      </c>
      <c r="D1956" s="1" t="n">
        <v>29</v>
      </c>
      <c r="E1956" s="4">
        <f>IF(INDEX(C:C, ROW())+INDEX(D:D, ROW())=0, 0, INDEX(C:C, ROW())/(INDEX(C:C, ROW())+INDEX(D:D, ROW())))</f>
        <v/>
      </c>
      <c r="F1956" s="1" t="inlineStr">
        <is>
          <t>Array, Breadth-First Search, Graph Theory</t>
        </is>
      </c>
      <c r="G1956" s="1" t="inlineStr">
        <is>
          <t>Medium</t>
        </is>
      </c>
      <c r="H1956" s="1" t="n">
        <v>116949</v>
      </c>
      <c r="I1956" s="1" t="n">
        <v>189028</v>
      </c>
      <c r="J1956" s="9" t="n">
        <v>0.619</v>
      </c>
      <c r="K1956" s="1" t="inlineStr">
        <is>
          <t>Yes</t>
        </is>
      </c>
      <c r="L1956" s="1" t="inlineStr">
        <is>
          <t>Yes</t>
        </is>
      </c>
      <c r="M1956" s="1" t="inlineStr">
        <is>
          <t>No</t>
        </is>
      </c>
      <c r="N1956" s="1" t="inlineStr">
        <is>
          <t>Algorithms</t>
        </is>
      </c>
      <c r="O19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56" s="11" t="inlineStr">
        <is>
          <t>To Do</t>
        </is>
      </c>
    </row>
    <row r="1957" ht="15.75" customHeight="1" s="12">
      <c r="A1957" s="1" t="n">
        <v>748</v>
      </c>
      <c r="B1957" s="3">
        <f>HYPERLINK("https://leetcode.com/problems/shortest-completing-word/", "Shortest Completing Word")</f>
        <v/>
      </c>
      <c r="C1957" s="1" t="n">
        <v>638</v>
      </c>
      <c r="D1957" s="1" t="n">
        <v>1131</v>
      </c>
      <c r="E1957" s="4">
        <f>IF(INDEX(C:C, ROW())+INDEX(D:D, ROW())=0, 0, INDEX(C:C, ROW())/(INDEX(C:C, ROW())+INDEX(D:D, ROW())))</f>
        <v/>
      </c>
      <c r="F1957" s="1" t="inlineStr">
        <is>
          <t>Array, Hash Table, String</t>
        </is>
      </c>
      <c r="G1957" s="1" t="inlineStr">
        <is>
          <t>Easy</t>
        </is>
      </c>
      <c r="H1957" s="1" t="n">
        <v>110311</v>
      </c>
      <c r="I1957" s="1" t="n">
        <v>174815</v>
      </c>
      <c r="J1957" s="9" t="n">
        <v>0.631</v>
      </c>
      <c r="K1957" s="1" t="inlineStr">
        <is>
          <t>Yes</t>
        </is>
      </c>
      <c r="L1957" s="1" t="inlineStr">
        <is>
          <t>Yes</t>
        </is>
      </c>
      <c r="M1957" s="1" t="inlineStr">
        <is>
          <t>No</t>
        </is>
      </c>
      <c r="N1957" s="1" t="inlineStr">
        <is>
          <t>Algorithms</t>
        </is>
      </c>
      <c r="O19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57" s="13" t="inlineStr">
        <is>
          <t>Done</t>
        </is>
      </c>
    </row>
    <row r="1958" ht="15.75" customHeight="1" s="12">
      <c r="A1958" s="1" t="n">
        <v>1403</v>
      </c>
      <c r="B1958" s="3">
        <f>HYPERLINK("https://leetcode.com/problems/minimum-subsequence-in-non-increasing-order/", "Minimum Subsequence in Non-Increasing Order")</f>
        <v/>
      </c>
      <c r="C1958" s="1" t="n">
        <v>638</v>
      </c>
      <c r="D1958" s="1" t="n">
        <v>513</v>
      </c>
      <c r="E1958" s="4">
        <f>IF(INDEX(C:C, ROW())+INDEX(D:D, ROW())=0, 0, INDEX(C:C, ROW())/(INDEX(C:C, ROW())+INDEX(D:D, ROW())))</f>
        <v/>
      </c>
      <c r="F1958" s="1" t="inlineStr">
        <is>
          <t>Array, Greedy, Sorting</t>
        </is>
      </c>
      <c r="G1958" s="1" t="inlineStr">
        <is>
          <t>Easy</t>
        </is>
      </c>
      <c r="H1958" s="1" t="n">
        <v>92437</v>
      </c>
      <c r="I1958" s="1" t="n">
        <v>125359</v>
      </c>
      <c r="J1958" s="9" t="n">
        <v>0.737</v>
      </c>
      <c r="K1958" s="1" t="inlineStr">
        <is>
          <t>Yes</t>
        </is>
      </c>
      <c r="L1958" s="1" t="inlineStr">
        <is>
          <t>No</t>
        </is>
      </c>
      <c r="M1958" s="1" t="inlineStr">
        <is>
          <t>No</t>
        </is>
      </c>
      <c r="N1958" s="1" t="inlineStr">
        <is>
          <t>Algorithms</t>
        </is>
      </c>
      <c r="O19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58" s="13" t="inlineStr">
        <is>
          <t>Done</t>
        </is>
      </c>
    </row>
    <row r="1959" ht="15.75" customHeight="1" s="12">
      <c r="A1959" s="1" t="n">
        <v>246</v>
      </c>
      <c r="B1959" s="3">
        <f>HYPERLINK("https://leetcode.com/problems/strobogrammatic-number/", "Strobogrammatic Number")</f>
        <v/>
      </c>
      <c r="C1959" s="1" t="n">
        <v>637</v>
      </c>
      <c r="D1959" s="1" t="n">
        <v>1053</v>
      </c>
      <c r="E1959" s="4">
        <f>IF(INDEX(C:C, ROW())+INDEX(D:D, ROW())=0, 0, INDEX(C:C, ROW())/(INDEX(C:C, ROW())+INDEX(D:D, ROW())))</f>
        <v/>
      </c>
      <c r="F1959" s="1" t="inlineStr">
        <is>
          <t>Hash Table, Two Pointers, String</t>
        </is>
      </c>
      <c r="G1959" s="1" t="inlineStr">
        <is>
          <t>Easy</t>
        </is>
      </c>
      <c r="H1959" s="1" t="n">
        <v>212157</v>
      </c>
      <c r="I1959" s="1" t="n">
        <v>446458</v>
      </c>
      <c r="J1959" s="9" t="n">
        <v>0.475</v>
      </c>
      <c r="K1959" s="1" t="inlineStr">
        <is>
          <t>No</t>
        </is>
      </c>
      <c r="L1959" s="1" t="inlineStr">
        <is>
          <t>Yes</t>
        </is>
      </c>
      <c r="M1959" s="1" t="inlineStr">
        <is>
          <t>Yes</t>
        </is>
      </c>
      <c r="N1959" s="1" t="inlineStr">
        <is>
          <t>Algorithms</t>
        </is>
      </c>
      <c r="O19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59" s="11" t="inlineStr">
        <is>
          <t>To Do</t>
        </is>
      </c>
    </row>
    <row r="1960" ht="15.75" customHeight="1" s="12">
      <c r="A1960" s="1" t="n">
        <v>1693</v>
      </c>
      <c r="B1960" s="3">
        <f>HYPERLINK("https://leetcode.com/problems/daily-leads-and-partners/", "Daily Leads and Partners")</f>
        <v/>
      </c>
      <c r="C1960" s="1" t="n">
        <v>637</v>
      </c>
      <c r="D1960" s="1" t="n">
        <v>37</v>
      </c>
      <c r="E1960" s="4">
        <f>IF(INDEX(C:C, ROW())+INDEX(D:D, ROW())=0, 0, INDEX(C:C, ROW())/(INDEX(C:C, ROW())+INDEX(D:D, ROW())))</f>
        <v/>
      </c>
      <c r="F1960" s="1" t="inlineStr">
        <is>
          <t>Database</t>
        </is>
      </c>
      <c r="G1960" s="1" t="inlineStr">
        <is>
          <t>Easy</t>
        </is>
      </c>
      <c r="H1960" s="1" t="n">
        <v>212112</v>
      </c>
      <c r="I1960" s="1" t="n">
        <v>244719</v>
      </c>
      <c r="J1960" s="9" t="n">
        <v>0.867</v>
      </c>
      <c r="K1960" s="1" t="inlineStr">
        <is>
          <t>Yes</t>
        </is>
      </c>
      <c r="L1960" s="1" t="inlineStr">
        <is>
          <t>Yes</t>
        </is>
      </c>
      <c r="M1960" s="1" t="inlineStr">
        <is>
          <t>No</t>
        </is>
      </c>
      <c r="N1960" s="1" t="inlineStr">
        <is>
          <t>Database</t>
        </is>
      </c>
      <c r="O19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60" s="13" t="inlineStr">
        <is>
          <t>Done</t>
        </is>
      </c>
    </row>
    <row r="1961" ht="15.75" customHeight="1" s="12">
      <c r="A1961" s="1" t="n">
        <v>1978</v>
      </c>
      <c r="B1961" s="3">
        <f>HYPERLINK("https://leetcode.com/problems/employees-whose-manager-left-the-company/", "Employees Whose Manager Left the Company")</f>
        <v/>
      </c>
      <c r="C1961" s="1" t="n">
        <v>636</v>
      </c>
      <c r="D1961" s="1" t="n">
        <v>55</v>
      </c>
      <c r="E1961" s="4">
        <f>IF(INDEX(C:C, ROW())+INDEX(D:D, ROW())=0, 0, INDEX(C:C, ROW())/(INDEX(C:C, ROW())+INDEX(D:D, ROW())))</f>
        <v/>
      </c>
      <c r="F1961" s="1" t="inlineStr">
        <is>
          <t>Database</t>
        </is>
      </c>
      <c r="G1961" s="1" t="inlineStr">
        <is>
          <t>Easy</t>
        </is>
      </c>
      <c r="H1961" s="1" t="n">
        <v>364346</v>
      </c>
      <c r="I1961" s="1" t="n">
        <v>748524</v>
      </c>
      <c r="J1961" s="9" t="n">
        <v>0.487</v>
      </c>
      <c r="K1961" s="1" t="inlineStr">
        <is>
          <t>Yes</t>
        </is>
      </c>
      <c r="L1961" s="1" t="inlineStr">
        <is>
          <t>No</t>
        </is>
      </c>
      <c r="M1961" s="1" t="inlineStr">
        <is>
          <t>No</t>
        </is>
      </c>
      <c r="N1961" s="1" t="inlineStr">
        <is>
          <t>Database</t>
        </is>
      </c>
      <c r="O19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61" s="13" t="inlineStr">
        <is>
          <t>Done</t>
        </is>
      </c>
    </row>
    <row r="1962" ht="15.75" customHeight="1" s="12">
      <c r="A1962" s="1" t="n">
        <v>2571</v>
      </c>
      <c r="B1962" s="3">
        <f>HYPERLINK("https://leetcode.com/problems/minimum-operations-to-reduce-an-integer-to-0/", "Minimum Operations to Reduce an Integer to 0")</f>
        <v/>
      </c>
      <c r="C1962" s="1" t="n">
        <v>636</v>
      </c>
      <c r="D1962" s="1" t="n">
        <v>201</v>
      </c>
      <c r="E1962" s="4">
        <f>IF(INDEX(C:C, ROW())+INDEX(D:D, ROW())=0, 0, INDEX(C:C, ROW())/(INDEX(C:C, ROW())+INDEX(D:D, ROW())))</f>
        <v/>
      </c>
      <c r="F1962" s="1" t="inlineStr">
        <is>
          <t>Dynamic Programming, Greedy, Bit Manipulation</t>
        </is>
      </c>
      <c r="G1962" s="1" t="inlineStr">
        <is>
          <t>Medium</t>
        </is>
      </c>
      <c r="H1962" s="1" t="n">
        <v>56488</v>
      </c>
      <c r="I1962" s="1" t="n">
        <v>90871</v>
      </c>
      <c r="J1962" s="9" t="n">
        <v>0.622</v>
      </c>
      <c r="K1962" s="1" t="inlineStr">
        <is>
          <t>Yes</t>
        </is>
      </c>
      <c r="L1962" s="1" t="inlineStr">
        <is>
          <t>No</t>
        </is>
      </c>
      <c r="M1962" s="1" t="inlineStr">
        <is>
          <t>No</t>
        </is>
      </c>
      <c r="N1962" s="1" t="inlineStr">
        <is>
          <t>Algorithms</t>
        </is>
      </c>
      <c r="O19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62" s="11" t="inlineStr">
        <is>
          <t>To Do</t>
        </is>
      </c>
    </row>
    <row r="1963" ht="15.75" customHeight="1" s="12">
      <c r="A1963" s="1" t="n">
        <v>2043</v>
      </c>
      <c r="B1963" s="3">
        <f>HYPERLINK("https://leetcode.com/problems/simple-bank-system/", "Simple Bank System")</f>
        <v/>
      </c>
      <c r="C1963" s="1" t="n">
        <v>635</v>
      </c>
      <c r="D1963" s="1" t="n">
        <v>320</v>
      </c>
      <c r="E1963" s="4">
        <f>IF(INDEX(C:C, ROW())+INDEX(D:D, ROW())=0, 0, INDEX(C:C, ROW())/(INDEX(C:C, ROW())+INDEX(D:D, ROW())))</f>
        <v/>
      </c>
      <c r="F1963" s="1" t="inlineStr">
        <is>
          <t>Array, Hash Table, Design, Simulation</t>
        </is>
      </c>
      <c r="G1963" s="1" t="inlineStr">
        <is>
          <t>Medium</t>
        </is>
      </c>
      <c r="H1963" s="1" t="n">
        <v>182467</v>
      </c>
      <c r="I1963" s="1" t="n">
        <v>261744</v>
      </c>
      <c r="J1963" s="9" t="n">
        <v>0.697</v>
      </c>
      <c r="K1963" s="1" t="inlineStr">
        <is>
          <t>Yes</t>
        </is>
      </c>
      <c r="L1963" s="1" t="inlineStr">
        <is>
          <t>Yes</t>
        </is>
      </c>
      <c r="M1963" s="1" t="inlineStr">
        <is>
          <t>No</t>
        </is>
      </c>
      <c r="N1963" s="1" t="inlineStr">
        <is>
          <t>Algorithms</t>
        </is>
      </c>
      <c r="O19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63" s="11" t="inlineStr">
        <is>
          <t>To Do</t>
        </is>
      </c>
    </row>
    <row r="1964" ht="15.75" customHeight="1" s="12">
      <c r="A1964" s="1" t="n">
        <v>3066</v>
      </c>
      <c r="B1964" s="3">
        <f>HYPERLINK("https://leetcode.com/problems/minimum-operations-to-exceed-threshold-value-ii/", "Minimum Operations to Exceed Threshold Value II")</f>
        <v/>
      </c>
      <c r="C1964" s="1" t="n">
        <v>634</v>
      </c>
      <c r="D1964" s="1" t="n">
        <v>70</v>
      </c>
      <c r="E1964" s="4">
        <f>IF(INDEX(C:C, ROW())+INDEX(D:D, ROW())=0, 0, INDEX(C:C, ROW())/(INDEX(C:C, ROW())+INDEX(D:D, ROW())))</f>
        <v/>
      </c>
      <c r="F1964" s="1" t="inlineStr">
        <is>
          <t>Array, Heap (Priority Queue), Simulation</t>
        </is>
      </c>
      <c r="G1964" s="1" t="inlineStr">
        <is>
          <t>Medium</t>
        </is>
      </c>
      <c r="H1964" s="1" t="n">
        <v>190484</v>
      </c>
      <c r="I1964" s="1" t="n">
        <v>415666</v>
      </c>
      <c r="J1964" s="9" t="n">
        <v>0.458</v>
      </c>
      <c r="K1964" s="1" t="inlineStr">
        <is>
          <t>Yes</t>
        </is>
      </c>
      <c r="L1964" s="1" t="inlineStr">
        <is>
          <t>Yes</t>
        </is>
      </c>
      <c r="M1964" s="1" t="inlineStr">
        <is>
          <t>No</t>
        </is>
      </c>
      <c r="N1964" s="1" t="inlineStr">
        <is>
          <t>Algorithms</t>
        </is>
      </c>
      <c r="O19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64" s="11" t="inlineStr">
        <is>
          <t>To Do</t>
        </is>
      </c>
    </row>
    <row r="1965" ht="15.75" customHeight="1" s="12">
      <c r="A1965" s="1" t="n">
        <v>3163</v>
      </c>
      <c r="B1965" s="3">
        <f>HYPERLINK("https://leetcode.com/problems/string-compression-iii/", "String Compression III")</f>
        <v/>
      </c>
      <c r="C1965" s="1" t="n">
        <v>634</v>
      </c>
      <c r="D1965" s="1" t="n">
        <v>54</v>
      </c>
      <c r="E1965" s="4">
        <f>IF(INDEX(C:C, ROW())+INDEX(D:D, ROW())=0, 0, INDEX(C:C, ROW())/(INDEX(C:C, ROW())+INDEX(D:D, ROW())))</f>
        <v/>
      </c>
      <c r="F1965" s="1" t="inlineStr">
        <is>
          <t>String</t>
        </is>
      </c>
      <c r="G1965" s="1" t="inlineStr">
        <is>
          <t>Medium</t>
        </is>
      </c>
      <c r="H1965" s="1" t="n">
        <v>203169</v>
      </c>
      <c r="I1965" s="1" t="n">
        <v>303023</v>
      </c>
      <c r="J1965" s="9" t="n">
        <v>0.67</v>
      </c>
      <c r="K1965" s="1" t="inlineStr">
        <is>
          <t>Yes</t>
        </is>
      </c>
      <c r="L1965" s="1" t="inlineStr">
        <is>
          <t>Yes</t>
        </is>
      </c>
      <c r="M1965" s="1" t="inlineStr">
        <is>
          <t>No</t>
        </is>
      </c>
      <c r="N1965" s="1" t="inlineStr">
        <is>
          <t>Algorithms</t>
        </is>
      </c>
      <c r="O19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65" s="11" t="inlineStr">
        <is>
          <t>To Do</t>
        </is>
      </c>
    </row>
    <row r="1966" ht="15.75" customHeight="1" s="12">
      <c r="A1966" s="1" t="n">
        <v>750</v>
      </c>
      <c r="B1966" s="3">
        <f>HYPERLINK("https://leetcode.com/problems/number-of-corner-rectangles/", "Number Of Corner Rectangles")</f>
        <v/>
      </c>
      <c r="C1966" s="1" t="n">
        <v>633</v>
      </c>
      <c r="D1966" s="1" t="n">
        <v>92</v>
      </c>
      <c r="E1966" s="4">
        <f>IF(INDEX(C:C, ROW())+INDEX(D:D, ROW())=0, 0, INDEX(C:C, ROW())/(INDEX(C:C, ROW())+INDEX(D:D, ROW())))</f>
        <v/>
      </c>
      <c r="F1966" s="1" t="inlineStr">
        <is>
          <t>Array, Math, Dynamic Programming, Matrix</t>
        </is>
      </c>
      <c r="G1966" s="1" t="inlineStr">
        <is>
          <t>Medium</t>
        </is>
      </c>
      <c r="H1966" s="1" t="n">
        <v>40351</v>
      </c>
      <c r="I1966" s="1" t="n">
        <v>59448</v>
      </c>
      <c r="J1966" s="9" t="n">
        <v>0.679</v>
      </c>
      <c r="K1966" s="1" t="inlineStr">
        <is>
          <t>No</t>
        </is>
      </c>
      <c r="L1966" s="1" t="inlineStr">
        <is>
          <t>Yes</t>
        </is>
      </c>
      <c r="M1966" s="1" t="inlineStr">
        <is>
          <t>No</t>
        </is>
      </c>
      <c r="N1966" s="1" t="inlineStr">
        <is>
          <t>Algorithms</t>
        </is>
      </c>
      <c r="O19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66" s="11" t="inlineStr">
        <is>
          <t>To Do</t>
        </is>
      </c>
    </row>
    <row r="1967" ht="15.75" customHeight="1" s="12">
      <c r="A1967" s="1" t="n">
        <v>2608</v>
      </c>
      <c r="B1967" s="3">
        <f>HYPERLINK("https://leetcode.com/problems/shortest-cycle-in-a-graph/", "Shortest Cycle in a Graph")</f>
        <v/>
      </c>
      <c r="C1967" s="1" t="n">
        <v>633</v>
      </c>
      <c r="D1967" s="1" t="n">
        <v>21</v>
      </c>
      <c r="E1967" s="4">
        <f>IF(INDEX(C:C, ROW())+INDEX(D:D, ROW())=0, 0, INDEX(C:C, ROW())/(INDEX(C:C, ROW())+INDEX(D:D, ROW())))</f>
        <v/>
      </c>
      <c r="F1967" s="1" t="inlineStr">
        <is>
          <t>Breadth-First Search, Graph Theory</t>
        </is>
      </c>
      <c r="G1967" s="1" t="inlineStr">
        <is>
          <t>Hard</t>
        </is>
      </c>
      <c r="H1967" s="1" t="n">
        <v>31258</v>
      </c>
      <c r="I1967" s="1" t="n">
        <v>78979</v>
      </c>
      <c r="J1967" s="9" t="n">
        <v>0.396</v>
      </c>
      <c r="K1967" s="1" t="inlineStr">
        <is>
          <t>Yes</t>
        </is>
      </c>
      <c r="L1967" s="1" t="inlineStr">
        <is>
          <t>No</t>
        </is>
      </c>
      <c r="M1967" s="1" t="inlineStr">
        <is>
          <t>No</t>
        </is>
      </c>
      <c r="N1967" s="1" t="inlineStr">
        <is>
          <t>Algorithms</t>
        </is>
      </c>
      <c r="O19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67" s="11" t="inlineStr">
        <is>
          <t>To Do</t>
        </is>
      </c>
    </row>
    <row r="1968" ht="15.75" customHeight="1" s="12">
      <c r="A1968" s="1" t="n">
        <v>471</v>
      </c>
      <c r="B1968" s="3">
        <f>HYPERLINK("https://leetcode.com/problems/encode-string-with-shortest-length/", "Encode String with Shortest Length")</f>
        <v/>
      </c>
      <c r="C1968" s="1" t="n">
        <v>632</v>
      </c>
      <c r="D1968" s="1" t="n">
        <v>54</v>
      </c>
      <c r="E1968" s="4">
        <f>IF(INDEX(C:C, ROW())+INDEX(D:D, ROW())=0, 0, INDEX(C:C, ROW())/(INDEX(C:C, ROW())+INDEX(D:D, ROW())))</f>
        <v/>
      </c>
      <c r="F1968" s="1" t="inlineStr">
        <is>
          <t>String, Dynamic Programming</t>
        </is>
      </c>
      <c r="G1968" s="1" t="inlineStr">
        <is>
          <t>Hard</t>
        </is>
      </c>
      <c r="H1968" s="1" t="n">
        <v>32141</v>
      </c>
      <c r="I1968" s="1" t="n">
        <v>63536</v>
      </c>
      <c r="J1968" s="9" t="n">
        <v>0.506</v>
      </c>
      <c r="K1968" s="1" t="inlineStr">
        <is>
          <t>No</t>
        </is>
      </c>
      <c r="L1968" s="1" t="inlineStr">
        <is>
          <t>No</t>
        </is>
      </c>
      <c r="M1968" s="1" t="inlineStr">
        <is>
          <t>No</t>
        </is>
      </c>
      <c r="N1968" s="1" t="inlineStr">
        <is>
          <t>Algorithms</t>
        </is>
      </c>
      <c r="O19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68" s="11" t="inlineStr">
        <is>
          <t>To Do</t>
        </is>
      </c>
    </row>
    <row r="1969" ht="15.75" customHeight="1" s="12">
      <c r="A1969" s="1" t="n">
        <v>3346</v>
      </c>
      <c r="B1969" s="3">
        <f>HYPERLINK("https://leetcode.com/problems/maximum-frequency-of-an-element-after-performing-operations-i/", "Maximum Frequency of an Element After Performing Operations I")</f>
        <v/>
      </c>
      <c r="C1969" s="1" t="n">
        <v>632</v>
      </c>
      <c r="D1969" s="1" t="n">
        <v>108</v>
      </c>
      <c r="E1969" s="4">
        <f>IF(INDEX(C:C, ROW())+INDEX(D:D, ROW())=0, 0, INDEX(C:C, ROW())/(INDEX(C:C, ROW())+INDEX(D:D, ROW())))</f>
        <v/>
      </c>
      <c r="F1969" s="1" t="inlineStr">
        <is>
          <t>Array, Binary Search, Sliding Window, Sorting, Prefix Sum</t>
        </is>
      </c>
      <c r="G1969" s="1" t="inlineStr">
        <is>
          <t>Medium</t>
        </is>
      </c>
      <c r="H1969" s="1" t="n">
        <v>90130</v>
      </c>
      <c r="I1969" s="1" t="n">
        <v>224757</v>
      </c>
      <c r="J1969" s="9" t="n">
        <v>0.401</v>
      </c>
      <c r="K1969" s="1" t="inlineStr">
        <is>
          <t>Yes</t>
        </is>
      </c>
      <c r="L1969" s="1" t="inlineStr">
        <is>
          <t>Yes</t>
        </is>
      </c>
      <c r="M1969" s="1" t="inlineStr">
        <is>
          <t>No</t>
        </is>
      </c>
      <c r="N1969" s="1" t="inlineStr">
        <is>
          <t>Algorithms</t>
        </is>
      </c>
      <c r="O19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69" s="11" t="inlineStr">
        <is>
          <t>To Do</t>
        </is>
      </c>
    </row>
    <row r="1970" ht="15.75" customHeight="1" s="12">
      <c r="A1970" s="1" t="n">
        <v>1363</v>
      </c>
      <c r="B1970" s="3">
        <f>HYPERLINK("https://leetcode.com/problems/largest-multiple-of-three/", "Largest Multiple of Three")</f>
        <v/>
      </c>
      <c r="C1970" s="1" t="n">
        <v>631</v>
      </c>
      <c r="D1970" s="1" t="n">
        <v>92</v>
      </c>
      <c r="E1970" s="4">
        <f>IF(INDEX(C:C, ROW())+INDEX(D:D, ROW())=0, 0, INDEX(C:C, ROW())/(INDEX(C:C, ROW())+INDEX(D:D, ROW())))</f>
        <v/>
      </c>
      <c r="F1970" s="1" t="inlineStr">
        <is>
          <t>Array, Math, Dynamic Programming, Greedy, Sorting</t>
        </is>
      </c>
      <c r="G1970" s="1" t="inlineStr">
        <is>
          <t>Hard</t>
        </is>
      </c>
      <c r="H1970" s="1" t="n">
        <v>26495</v>
      </c>
      <c r="I1970" s="1" t="n">
        <v>79746</v>
      </c>
      <c r="J1970" s="9" t="n">
        <v>0.332</v>
      </c>
      <c r="K1970" s="1" t="inlineStr">
        <is>
          <t>Yes</t>
        </is>
      </c>
      <c r="L1970" s="1" t="inlineStr">
        <is>
          <t>No</t>
        </is>
      </c>
      <c r="M1970" s="1" t="inlineStr">
        <is>
          <t>No</t>
        </is>
      </c>
      <c r="N1970" s="1" t="inlineStr">
        <is>
          <t>Algorithms</t>
        </is>
      </c>
      <c r="O19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70" s="11" t="inlineStr">
        <is>
          <t>To Do</t>
        </is>
      </c>
    </row>
    <row r="1971" ht="15.75" customHeight="1" s="12">
      <c r="A1971" s="1" t="n">
        <v>2713</v>
      </c>
      <c r="B1971" s="3">
        <f>HYPERLINK("https://leetcode.com/problems/maximum-strictly-increasing-cells-in-a-matrix/", "Maximum Strictly Increasing Cells in a Matrix")</f>
        <v/>
      </c>
      <c r="C1971" s="1" t="n">
        <v>631</v>
      </c>
      <c r="D1971" s="1" t="n">
        <v>22</v>
      </c>
      <c r="E1971" s="4">
        <f>IF(INDEX(C:C, ROW())+INDEX(D:D, ROW())=0, 0, INDEX(C:C, ROW())/(INDEX(C:C, ROW())+INDEX(D:D, ROW())))</f>
        <v/>
      </c>
      <c r="F1971" s="1" t="inlineStr">
        <is>
          <t>Array, Hash Table, Binary Search, Dynamic Programming, Memoization, Sorting, Matrix, Ordered Set</t>
        </is>
      </c>
      <c r="G1971" s="1" t="inlineStr">
        <is>
          <t>Hard</t>
        </is>
      </c>
      <c r="H1971" s="1" t="n">
        <v>16590</v>
      </c>
      <c r="I1971" s="1" t="n">
        <v>52854</v>
      </c>
      <c r="J1971" s="9" t="n">
        <v>0.314</v>
      </c>
      <c r="K1971" s="1" t="inlineStr">
        <is>
          <t>Yes</t>
        </is>
      </c>
      <c r="L1971" s="1" t="inlineStr">
        <is>
          <t>No</t>
        </is>
      </c>
      <c r="M1971" s="1" t="inlineStr">
        <is>
          <t>No</t>
        </is>
      </c>
      <c r="N1971" s="1" t="inlineStr">
        <is>
          <t>Algorithms</t>
        </is>
      </c>
      <c r="O19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71" s="11" t="inlineStr">
        <is>
          <t>To Do</t>
        </is>
      </c>
    </row>
    <row r="1972" ht="15.75" customHeight="1" s="12">
      <c r="A1972" s="1" t="n">
        <v>1891</v>
      </c>
      <c r="B1972" s="3">
        <f>HYPERLINK("https://leetcode.com/problems/cutting-ribbons/", "Cutting Ribbons")</f>
        <v/>
      </c>
      <c r="C1972" s="1" t="n">
        <v>630</v>
      </c>
      <c r="D1972" s="1" t="n">
        <v>70</v>
      </c>
      <c r="E1972" s="4">
        <f>IF(INDEX(C:C, ROW())+INDEX(D:D, ROW())=0, 0, INDEX(C:C, ROW())/(INDEX(C:C, ROW())+INDEX(D:D, ROW())))</f>
        <v/>
      </c>
      <c r="F1972" s="1" t="inlineStr">
        <is>
          <t>Array, Binary Search</t>
        </is>
      </c>
      <c r="G1972" s="1" t="inlineStr">
        <is>
          <t>Medium</t>
        </is>
      </c>
      <c r="H1972" s="1" t="n">
        <v>87737</v>
      </c>
      <c r="I1972" s="1" t="n">
        <v>165435</v>
      </c>
      <c r="J1972" s="9" t="n">
        <v>0.53</v>
      </c>
      <c r="K1972" s="1" t="inlineStr">
        <is>
          <t>No</t>
        </is>
      </c>
      <c r="L1972" s="1" t="inlineStr">
        <is>
          <t>Yes</t>
        </is>
      </c>
      <c r="M1972" s="1" t="inlineStr">
        <is>
          <t>No</t>
        </is>
      </c>
      <c r="N1972" s="1" t="inlineStr">
        <is>
          <t>Algorithms</t>
        </is>
      </c>
      <c r="O19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72" s="11" t="inlineStr">
        <is>
          <t>To Do</t>
        </is>
      </c>
    </row>
    <row r="1973" ht="15.75" customHeight="1" s="12">
      <c r="A1973" s="1" t="n">
        <v>2515</v>
      </c>
      <c r="B1973" s="3">
        <f>HYPERLINK("https://leetcode.com/problems/shortest-distance-to-target-string-in-a-circular-array/", "Shortest Distance to Target String in a Circular Array")</f>
        <v/>
      </c>
      <c r="C1973" s="1" t="n">
        <v>630</v>
      </c>
      <c r="D1973" s="1" t="n">
        <v>37</v>
      </c>
      <c r="E1973" s="4">
        <f>IF(INDEX(C:C, ROW())+INDEX(D:D, ROW())=0, 0, INDEX(C:C, ROW())/(INDEX(C:C, ROW())+INDEX(D:D, ROW())))</f>
        <v/>
      </c>
      <c r="F1973" s="1" t="inlineStr">
        <is>
          <t>Array, String</t>
        </is>
      </c>
      <c r="G1973" s="1" t="inlineStr">
        <is>
          <t>Easy</t>
        </is>
      </c>
      <c r="H1973" s="1" t="n">
        <v>137592</v>
      </c>
      <c r="I1973" s="1" t="n">
        <v>210991</v>
      </c>
      <c r="J1973" s="9" t="n">
        <v>0.652</v>
      </c>
      <c r="K1973" s="1" t="inlineStr">
        <is>
          <t>Yes</t>
        </is>
      </c>
      <c r="L1973" s="1" t="inlineStr">
        <is>
          <t>Yes</t>
        </is>
      </c>
      <c r="M1973" s="1" t="inlineStr">
        <is>
          <t>No</t>
        </is>
      </c>
      <c r="N1973" s="1" t="inlineStr">
        <is>
          <t>Algorithms</t>
        </is>
      </c>
      <c r="O19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73" s="13" t="inlineStr">
        <is>
          <t>Done</t>
        </is>
      </c>
    </row>
    <row r="1974" ht="15.75" customHeight="1" s="12">
      <c r="A1974" s="1" t="n">
        <v>294</v>
      </c>
      <c r="B1974" s="3">
        <f>HYPERLINK("https://leetcode.com/problems/flip-game-ii/", "Flip Game II")</f>
        <v/>
      </c>
      <c r="C1974" s="1" t="n">
        <v>629</v>
      </c>
      <c r="D1974" s="1" t="n">
        <v>68</v>
      </c>
      <c r="E1974" s="4">
        <f>IF(INDEX(C:C, ROW())+INDEX(D:D, ROW())=0, 0, INDEX(C:C, ROW())/(INDEX(C:C, ROW())+INDEX(D:D, ROW())))</f>
        <v/>
      </c>
      <c r="F1974" s="1" t="inlineStr">
        <is>
          <t>Math, Dynamic Programming, Backtracking, Memoization, Game Theory</t>
        </is>
      </c>
      <c r="G1974" s="1" t="inlineStr">
        <is>
          <t>Medium</t>
        </is>
      </c>
      <c r="H1974" s="1" t="n">
        <v>75941</v>
      </c>
      <c r="I1974" s="1" t="n">
        <v>145126</v>
      </c>
      <c r="J1974" s="9" t="n">
        <v>0.523</v>
      </c>
      <c r="K1974" s="1" t="inlineStr">
        <is>
          <t>No</t>
        </is>
      </c>
      <c r="L1974" s="1" t="inlineStr">
        <is>
          <t>No</t>
        </is>
      </c>
      <c r="M1974" s="1" t="inlineStr">
        <is>
          <t>No</t>
        </is>
      </c>
      <c r="N1974" s="1" t="inlineStr">
        <is>
          <t>Algorithms</t>
        </is>
      </c>
      <c r="O19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74" s="11" t="inlineStr">
        <is>
          <t>To Do</t>
        </is>
      </c>
    </row>
    <row r="1975" ht="15.75" customHeight="1" s="12">
      <c r="A1975" s="1" t="n">
        <v>1725</v>
      </c>
      <c r="B1975" s="3">
        <f>HYPERLINK("https://leetcode.com/problems/number-of-rectangles-that-can-form-the-largest-square/", "Number Of Rectangles That Can Form The Largest Square")</f>
        <v/>
      </c>
      <c r="C1975" s="1" t="n">
        <v>629</v>
      </c>
      <c r="D1975" s="1" t="n">
        <v>76</v>
      </c>
      <c r="E1975" s="4">
        <f>IF(INDEX(C:C, ROW())+INDEX(D:D, ROW())=0, 0, INDEX(C:C, ROW())/(INDEX(C:C, ROW())+INDEX(D:D, ROW())))</f>
        <v/>
      </c>
      <c r="F1975" s="1" t="inlineStr">
        <is>
          <t>Array</t>
        </is>
      </c>
      <c r="G1975" s="1" t="inlineStr">
        <is>
          <t>Easy</t>
        </is>
      </c>
      <c r="H1975" s="1" t="n">
        <v>87153</v>
      </c>
      <c r="I1975" s="1" t="n">
        <v>109781</v>
      </c>
      <c r="J1975" s="9" t="n">
        <v>0.794</v>
      </c>
      <c r="K1975" s="1" t="inlineStr">
        <is>
          <t>Yes</t>
        </is>
      </c>
      <c r="L1975" s="1" t="inlineStr">
        <is>
          <t>No</t>
        </is>
      </c>
      <c r="M1975" s="1" t="inlineStr">
        <is>
          <t>No</t>
        </is>
      </c>
      <c r="N1975" s="1" t="inlineStr">
        <is>
          <t>Algorithms</t>
        </is>
      </c>
      <c r="O19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75" s="13" t="inlineStr">
        <is>
          <t>Done</t>
        </is>
      </c>
    </row>
    <row r="1976" ht="15.75" customHeight="1" s="12">
      <c r="A1976" s="1" t="n">
        <v>1835</v>
      </c>
      <c r="B1976" s="3">
        <f>HYPERLINK("https://leetcode.com/problems/find-xor-sum-of-all-pairs-bitwise-and/", "Find XOR Sum of All Pairs Bitwise AND")</f>
        <v/>
      </c>
      <c r="C1976" s="1" t="n">
        <v>629</v>
      </c>
      <c r="D1976" s="1" t="n">
        <v>51</v>
      </c>
      <c r="E1976" s="4">
        <f>IF(INDEX(C:C, ROW())+INDEX(D:D, ROW())=0, 0, INDEX(C:C, ROW())/(INDEX(C:C, ROW())+INDEX(D:D, ROW())))</f>
        <v/>
      </c>
      <c r="F1976" s="1" t="inlineStr">
        <is>
          <t>Array, Math, Bit Manipulation</t>
        </is>
      </c>
      <c r="G1976" s="1" t="inlineStr">
        <is>
          <t>Hard</t>
        </is>
      </c>
      <c r="H1976" s="1" t="n">
        <v>26744</v>
      </c>
      <c r="I1976" s="1" t="n">
        <v>42807</v>
      </c>
      <c r="J1976" s="9" t="n">
        <v>0.625</v>
      </c>
      <c r="K1976" s="1" t="inlineStr">
        <is>
          <t>Yes</t>
        </is>
      </c>
      <c r="L1976" s="1" t="inlineStr">
        <is>
          <t>No</t>
        </is>
      </c>
      <c r="M1976" s="1" t="inlineStr">
        <is>
          <t>No</t>
        </is>
      </c>
      <c r="N1976" s="1" t="inlineStr">
        <is>
          <t>Algorithms</t>
        </is>
      </c>
      <c r="O19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76" s="11" t="inlineStr">
        <is>
          <t>To Do</t>
        </is>
      </c>
    </row>
    <row r="1977" ht="15.75" customHeight="1" s="12">
      <c r="A1977" s="1" t="n">
        <v>1848</v>
      </c>
      <c r="B1977" s="3">
        <f>HYPERLINK("https://leetcode.com/problems/minimum-distance-to-the-target-element/", "Minimum Distance to the Target Element")</f>
        <v/>
      </c>
      <c r="C1977" s="1" t="n">
        <v>629</v>
      </c>
      <c r="D1977" s="1" t="n">
        <v>86</v>
      </c>
      <c r="E1977" s="4">
        <f>IF(INDEX(C:C, ROW())+INDEX(D:D, ROW())=0, 0, INDEX(C:C, ROW())/(INDEX(C:C, ROW())+INDEX(D:D, ROW())))</f>
        <v/>
      </c>
      <c r="F1977" s="1" t="inlineStr">
        <is>
          <t>Array</t>
        </is>
      </c>
      <c r="G1977" s="1" t="inlineStr">
        <is>
          <t>Easy</t>
        </is>
      </c>
      <c r="H1977" s="1" t="n">
        <v>174122</v>
      </c>
      <c r="I1977" s="1" t="n">
        <v>269656</v>
      </c>
      <c r="J1977" s="9" t="n">
        <v>0.646</v>
      </c>
      <c r="K1977" s="1" t="inlineStr">
        <is>
          <t>Yes</t>
        </is>
      </c>
      <c r="L1977" s="1" t="inlineStr">
        <is>
          <t>Yes</t>
        </is>
      </c>
      <c r="M1977" s="1" t="inlineStr">
        <is>
          <t>No</t>
        </is>
      </c>
      <c r="N1977" s="1" t="inlineStr">
        <is>
          <t>Algorithms</t>
        </is>
      </c>
      <c r="O19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77" s="13" t="inlineStr">
        <is>
          <t>Done</t>
        </is>
      </c>
    </row>
    <row r="1978" ht="15.75" customHeight="1" s="12">
      <c r="A1978" s="1" t="n">
        <v>1610</v>
      </c>
      <c r="B1978" s="3">
        <f>HYPERLINK("https://leetcode.com/problems/maximum-number-of-visible-points/", "Maximum Number of Visible Points")</f>
        <v/>
      </c>
      <c r="C1978" s="1" t="n">
        <v>628</v>
      </c>
      <c r="D1978" s="1" t="n">
        <v>768</v>
      </c>
      <c r="E1978" s="4">
        <f>IF(INDEX(C:C, ROW())+INDEX(D:D, ROW())=0, 0, INDEX(C:C, ROW())/(INDEX(C:C, ROW())+INDEX(D:D, ROW())))</f>
        <v/>
      </c>
      <c r="F1978" s="1" t="inlineStr">
        <is>
          <t>Array, Math, Geometry, Sliding Window, Sorting</t>
        </is>
      </c>
      <c r="G1978" s="1" t="inlineStr">
        <is>
          <t>Hard</t>
        </is>
      </c>
      <c r="H1978" s="1" t="n">
        <v>53556</v>
      </c>
      <c r="I1978" s="1" t="n">
        <v>140472</v>
      </c>
      <c r="J1978" s="9" t="n">
        <v>0.381</v>
      </c>
      <c r="K1978" s="1" t="inlineStr">
        <is>
          <t>Yes</t>
        </is>
      </c>
      <c r="L1978" s="1" t="inlineStr">
        <is>
          <t>No</t>
        </is>
      </c>
      <c r="M1978" s="1" t="inlineStr">
        <is>
          <t>No</t>
        </is>
      </c>
      <c r="N1978" s="1" t="inlineStr">
        <is>
          <t>Algorithms</t>
        </is>
      </c>
      <c r="O19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78" s="11" t="inlineStr">
        <is>
          <t>To Do</t>
        </is>
      </c>
    </row>
    <row r="1979" ht="15.75" customHeight="1" s="12">
      <c r="A1979" s="1" t="n">
        <v>1864</v>
      </c>
      <c r="B1979" s="3">
        <f>HYPERLINK("https://leetcode.com/problems/minimum-number-of-swaps-to-make-the-binary-string-alternating/", "Minimum Number of Swaps to Make the Binary String Alternating")</f>
        <v/>
      </c>
      <c r="C1979" s="1" t="n">
        <v>628</v>
      </c>
      <c r="D1979" s="1" t="n">
        <v>38</v>
      </c>
      <c r="E1979" s="4">
        <f>IF(INDEX(C:C, ROW())+INDEX(D:D, ROW())=0, 0, INDEX(C:C, ROW())/(INDEX(C:C, ROW())+INDEX(D:D, ROW())))</f>
        <v/>
      </c>
      <c r="F1979" s="1" t="inlineStr">
        <is>
          <t>String, Greedy</t>
        </is>
      </c>
      <c r="G1979" s="1" t="inlineStr">
        <is>
          <t>Medium</t>
        </is>
      </c>
      <c r="H1979" s="1" t="n">
        <v>36064</v>
      </c>
      <c r="I1979" s="1" t="n">
        <v>82210</v>
      </c>
      <c r="J1979" s="9" t="n">
        <v>0.439</v>
      </c>
      <c r="K1979" s="1" t="inlineStr">
        <is>
          <t>Yes</t>
        </is>
      </c>
      <c r="L1979" s="1" t="inlineStr">
        <is>
          <t>No</t>
        </is>
      </c>
      <c r="M1979" s="1" t="inlineStr">
        <is>
          <t>No</t>
        </is>
      </c>
      <c r="N1979" s="1" t="inlineStr">
        <is>
          <t>Algorithms</t>
        </is>
      </c>
      <c r="O19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79" s="11" t="inlineStr">
        <is>
          <t>To Do</t>
        </is>
      </c>
    </row>
    <row r="1980" ht="15.75" customHeight="1" s="12">
      <c r="A1980" s="1" t="n">
        <v>3394</v>
      </c>
      <c r="B1980" s="3">
        <f>HYPERLINK("https://leetcode.com/problems/check-if-grid-can-be-cut-into-sections/", "Check if Grid can be Cut into Sections")</f>
        <v/>
      </c>
      <c r="C1980" s="1" t="n">
        <v>627</v>
      </c>
      <c r="D1980" s="1" t="n">
        <v>38</v>
      </c>
      <c r="E1980" s="4">
        <f>IF(INDEX(C:C, ROW())+INDEX(D:D, ROW())=0, 0, INDEX(C:C, ROW())/(INDEX(C:C, ROW())+INDEX(D:D, ROW())))</f>
        <v/>
      </c>
      <c r="F1980" s="1" t="inlineStr">
        <is>
          <t>Array, Sorting</t>
        </is>
      </c>
      <c r="G1980" s="1" t="inlineStr">
        <is>
          <t>Medium</t>
        </is>
      </c>
      <c r="H1980" s="1" t="n">
        <v>113508</v>
      </c>
      <c r="I1980" s="1" t="n">
        <v>166306</v>
      </c>
      <c r="J1980" s="9" t="n">
        <v>0.6830000000000001</v>
      </c>
      <c r="K1980" s="1" t="inlineStr">
        <is>
          <t>Yes</t>
        </is>
      </c>
      <c r="L1980" s="1" t="inlineStr">
        <is>
          <t>Yes</t>
        </is>
      </c>
      <c r="M1980" s="1" t="inlineStr">
        <is>
          <t>No</t>
        </is>
      </c>
      <c r="N1980" s="1" t="inlineStr">
        <is>
          <t>Algorithms</t>
        </is>
      </c>
      <c r="O19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80" s="11" t="inlineStr">
        <is>
          <t>To Do</t>
        </is>
      </c>
    </row>
    <row r="1981" ht="15.75" customHeight="1" s="12">
      <c r="A1981" s="1" t="n">
        <v>2276</v>
      </c>
      <c r="B1981" s="3">
        <f>HYPERLINK("https://leetcode.com/problems/count-integers-in-intervals/", "Count Integers in Intervals")</f>
        <v/>
      </c>
      <c r="C1981" s="1" t="n">
        <v>626</v>
      </c>
      <c r="D1981" s="1" t="n">
        <v>64</v>
      </c>
      <c r="E1981" s="4">
        <f>IF(INDEX(C:C, ROW())+INDEX(D:D, ROW())=0, 0, INDEX(C:C, ROW())/(INDEX(C:C, ROW())+INDEX(D:D, ROW())))</f>
        <v/>
      </c>
      <c r="F1981" s="1" t="inlineStr">
        <is>
          <t>Design, Segment Tree, Ordered Set</t>
        </is>
      </c>
      <c r="G1981" s="1" t="inlineStr">
        <is>
          <t>Hard</t>
        </is>
      </c>
      <c r="H1981" s="1" t="n">
        <v>29447</v>
      </c>
      <c r="I1981" s="1" t="n">
        <v>82038</v>
      </c>
      <c r="J1981" s="9" t="n">
        <v>0.359</v>
      </c>
      <c r="K1981" s="1" t="inlineStr">
        <is>
          <t>Yes</t>
        </is>
      </c>
      <c r="L1981" s="1" t="inlineStr">
        <is>
          <t>No</t>
        </is>
      </c>
      <c r="M1981" s="1" t="inlineStr">
        <is>
          <t>No</t>
        </is>
      </c>
      <c r="N1981" s="1" t="inlineStr">
        <is>
          <t>Algorithms</t>
        </is>
      </c>
      <c r="O19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81" s="11" t="inlineStr">
        <is>
          <t>To Do</t>
        </is>
      </c>
    </row>
    <row r="1982" ht="15.75" customHeight="1" s="12">
      <c r="A1982" s="1" t="n">
        <v>2365</v>
      </c>
      <c r="B1982" s="3">
        <f>HYPERLINK("https://leetcode.com/problems/task-scheduler-ii/", "Task Scheduler II")</f>
        <v/>
      </c>
      <c r="C1982" s="1" t="n">
        <v>625</v>
      </c>
      <c r="D1982" s="1" t="n">
        <v>76</v>
      </c>
      <c r="E1982" s="4">
        <f>IF(INDEX(C:C, ROW())+INDEX(D:D, ROW())=0, 0, INDEX(C:C, ROW())/(INDEX(C:C, ROW())+INDEX(D:D, ROW())))</f>
        <v/>
      </c>
      <c r="F1982" s="1" t="inlineStr">
        <is>
          <t>Array, Hash Table, Simulation</t>
        </is>
      </c>
      <c r="G1982" s="1" t="inlineStr">
        <is>
          <t>Medium</t>
        </is>
      </c>
      <c r="H1982" s="1" t="n">
        <v>58420</v>
      </c>
      <c r="I1982" s="1" t="n">
        <v>106652</v>
      </c>
      <c r="J1982" s="9" t="n">
        <v>0.548</v>
      </c>
      <c r="K1982" s="1" t="inlineStr">
        <is>
          <t>Yes</t>
        </is>
      </c>
      <c r="L1982" s="1" t="inlineStr">
        <is>
          <t>No</t>
        </is>
      </c>
      <c r="M1982" s="1" t="inlineStr">
        <is>
          <t>No</t>
        </is>
      </c>
      <c r="N1982" s="1" t="inlineStr">
        <is>
          <t>Algorithms</t>
        </is>
      </c>
      <c r="O19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82" s="11" t="inlineStr">
        <is>
          <t>To Do</t>
        </is>
      </c>
    </row>
    <row r="1983" ht="15.75" customHeight="1" s="12">
      <c r="A1983" s="1" t="n">
        <v>2997</v>
      </c>
      <c r="B1983" s="3">
        <f>HYPERLINK("https://leetcode.com/problems/minimum-number-of-operations-to-make-array-xor-equal-to-k/", "Minimum Number of Operations to Make Array XOR Equal to K")</f>
        <v/>
      </c>
      <c r="C1983" s="1" t="n">
        <v>625</v>
      </c>
      <c r="D1983" s="1" t="n">
        <v>61</v>
      </c>
      <c r="E1983" s="4">
        <f>IF(INDEX(C:C, ROW())+INDEX(D:D, ROW())=0, 0, INDEX(C:C, ROW())/(INDEX(C:C, ROW())+INDEX(D:D, ROW())))</f>
        <v/>
      </c>
      <c r="F1983" s="1" t="inlineStr">
        <is>
          <t>Array, Bit Manipulation</t>
        </is>
      </c>
      <c r="G1983" s="1" t="inlineStr">
        <is>
          <t>Medium</t>
        </is>
      </c>
      <c r="H1983" s="1" t="n">
        <v>124279</v>
      </c>
      <c r="I1983" s="1" t="n">
        <v>145438</v>
      </c>
      <c r="J1983" s="9" t="n">
        <v>0.855</v>
      </c>
      <c r="K1983" s="1" t="inlineStr">
        <is>
          <t>Yes</t>
        </is>
      </c>
      <c r="L1983" s="1" t="inlineStr">
        <is>
          <t>Yes</t>
        </is>
      </c>
      <c r="M1983" s="1" t="inlineStr">
        <is>
          <t>No</t>
        </is>
      </c>
      <c r="N1983" s="1" t="inlineStr">
        <is>
          <t>Algorithms</t>
        </is>
      </c>
      <c r="O19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83" s="11" t="inlineStr">
        <is>
          <t>To Do</t>
        </is>
      </c>
    </row>
    <row r="1984" ht="15.75" customHeight="1" s="12">
      <c r="A1984" s="1" t="n">
        <v>760</v>
      </c>
      <c r="B1984" s="3">
        <f>HYPERLINK("https://leetcode.com/problems/find-anagram-mappings/", "Find Anagram Mappings")</f>
        <v/>
      </c>
      <c r="C1984" s="1" t="n">
        <v>624</v>
      </c>
      <c r="D1984" s="1" t="n">
        <v>235</v>
      </c>
      <c r="E1984" s="4">
        <f>IF(INDEX(C:C, ROW())+INDEX(D:D, ROW())=0, 0, INDEX(C:C, ROW())/(INDEX(C:C, ROW())+INDEX(D:D, ROW())))</f>
        <v/>
      </c>
      <c r="F1984" s="1" t="inlineStr">
        <is>
          <t>Array, Hash Table</t>
        </is>
      </c>
      <c r="G1984" s="1" t="inlineStr">
        <is>
          <t>Easy</t>
        </is>
      </c>
      <c r="H1984" s="1" t="n">
        <v>112506</v>
      </c>
      <c r="I1984" s="1" t="n">
        <v>133989</v>
      </c>
      <c r="J1984" s="9" t="n">
        <v>0.84</v>
      </c>
      <c r="K1984" s="1" t="inlineStr">
        <is>
          <t>No</t>
        </is>
      </c>
      <c r="L1984" s="1" t="inlineStr">
        <is>
          <t>Yes</t>
        </is>
      </c>
      <c r="M1984" s="1" t="inlineStr">
        <is>
          <t>Yes</t>
        </is>
      </c>
      <c r="N1984" s="1" t="inlineStr">
        <is>
          <t>Algorithms</t>
        </is>
      </c>
      <c r="O19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84" s="11" t="inlineStr">
        <is>
          <t>To Do</t>
        </is>
      </c>
    </row>
    <row r="1985" ht="15.75" customHeight="1" s="12">
      <c r="A1985" s="1" t="n">
        <v>2170</v>
      </c>
      <c r="B1985" s="3">
        <f>HYPERLINK("https://leetcode.com/problems/minimum-operations-to-make-the-array-alternating/", "Minimum Operations to Make the Array Alternating")</f>
        <v/>
      </c>
      <c r="C1985" s="1" t="n">
        <v>624</v>
      </c>
      <c r="D1985" s="1" t="n">
        <v>344</v>
      </c>
      <c r="E1985" s="4">
        <f>IF(INDEX(C:C, ROW())+INDEX(D:D, ROW())=0, 0, INDEX(C:C, ROW())/(INDEX(C:C, ROW())+INDEX(D:D, ROW())))</f>
        <v/>
      </c>
      <c r="F1985" s="1" t="inlineStr">
        <is>
          <t>Array, Hash Table, Greedy, Counting</t>
        </is>
      </c>
      <c r="G1985" s="1" t="inlineStr">
        <is>
          <t>Medium</t>
        </is>
      </c>
      <c r="H1985" s="1" t="n">
        <v>30501</v>
      </c>
      <c r="I1985" s="1" t="n">
        <v>85432</v>
      </c>
      <c r="J1985" s="9" t="n">
        <v>0.357</v>
      </c>
      <c r="K1985" s="1" t="inlineStr">
        <is>
          <t>Yes</t>
        </is>
      </c>
      <c r="L1985" s="1" t="inlineStr">
        <is>
          <t>No</t>
        </is>
      </c>
      <c r="M1985" s="1" t="inlineStr">
        <is>
          <t>No</t>
        </is>
      </c>
      <c r="N1985" s="1" t="inlineStr">
        <is>
          <t>Algorithms</t>
        </is>
      </c>
      <c r="O19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85" s="11" t="inlineStr">
        <is>
          <t>To Do</t>
        </is>
      </c>
    </row>
    <row r="1986" ht="15.75" customHeight="1" s="12">
      <c r="A1986" s="1" t="n">
        <v>2395</v>
      </c>
      <c r="B1986" s="3">
        <f>HYPERLINK("https://leetcode.com/problems/find-subarrays-with-equal-sum/", "Find Subarrays With Equal Sum")</f>
        <v/>
      </c>
      <c r="C1986" s="1" t="n">
        <v>623</v>
      </c>
      <c r="D1986" s="1" t="n">
        <v>34</v>
      </c>
      <c r="E1986" s="4">
        <f>IF(INDEX(C:C, ROW())+INDEX(D:D, ROW())=0, 0, INDEX(C:C, ROW())/(INDEX(C:C, ROW())+INDEX(D:D, ROW())))</f>
        <v/>
      </c>
      <c r="F1986" s="1" t="inlineStr">
        <is>
          <t>Array, Hash Table</t>
        </is>
      </c>
      <c r="G1986" s="1" t="inlineStr">
        <is>
          <t>Easy</t>
        </is>
      </c>
      <c r="H1986" s="1" t="n">
        <v>74189</v>
      </c>
      <c r="I1986" s="1" t="n">
        <v>110712</v>
      </c>
      <c r="J1986" s="9" t="n">
        <v>0.67</v>
      </c>
      <c r="K1986" s="1" t="inlineStr">
        <is>
          <t>Yes</t>
        </is>
      </c>
      <c r="L1986" s="1" t="inlineStr">
        <is>
          <t>No</t>
        </is>
      </c>
      <c r="M1986" s="1" t="inlineStr">
        <is>
          <t>No</t>
        </is>
      </c>
      <c r="N1986" s="1" t="inlineStr">
        <is>
          <t>Algorithms</t>
        </is>
      </c>
      <c r="O19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86" s="13" t="inlineStr">
        <is>
          <t>Done</t>
        </is>
      </c>
    </row>
    <row r="1987" ht="15.75" customHeight="1" s="12">
      <c r="A1987" s="1" t="n">
        <v>1417</v>
      </c>
      <c r="B1987" s="3">
        <f>HYPERLINK("https://leetcode.com/problems/reformat-the-string/", "Reformat The String")</f>
        <v/>
      </c>
      <c r="C1987" s="1" t="n">
        <v>622</v>
      </c>
      <c r="D1987" s="1" t="n">
        <v>110</v>
      </c>
      <c r="E1987" s="4">
        <f>IF(INDEX(C:C, ROW())+INDEX(D:D, ROW())=0, 0, INDEX(C:C, ROW())/(INDEX(C:C, ROW())+INDEX(D:D, ROW())))</f>
        <v/>
      </c>
      <c r="F1987" s="1" t="inlineStr">
        <is>
          <t>String</t>
        </is>
      </c>
      <c r="G1987" s="1" t="inlineStr">
        <is>
          <t>Easy</t>
        </is>
      </c>
      <c r="H1987" s="1" t="n">
        <v>72604</v>
      </c>
      <c r="I1987" s="1" t="n">
        <v>139169</v>
      </c>
      <c r="J1987" s="9" t="n">
        <v>0.522</v>
      </c>
      <c r="K1987" s="1" t="inlineStr">
        <is>
          <t>Yes</t>
        </is>
      </c>
      <c r="L1987" s="1" t="inlineStr">
        <is>
          <t>No</t>
        </is>
      </c>
      <c r="M1987" s="1" t="inlineStr">
        <is>
          <t>No</t>
        </is>
      </c>
      <c r="N1987" s="1" t="inlineStr">
        <is>
          <t>Algorithms</t>
        </is>
      </c>
      <c r="O19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87" s="13" t="inlineStr">
        <is>
          <t>Done</t>
        </is>
      </c>
    </row>
    <row r="1988" ht="15.75" customHeight="1" s="12">
      <c r="A1988" s="1" t="n">
        <v>2484</v>
      </c>
      <c r="B1988" s="3">
        <f>HYPERLINK("https://leetcode.com/problems/count-palindromic-subsequences/", "Count Palindromic Subsequences")</f>
        <v/>
      </c>
      <c r="C1988" s="1" t="n">
        <v>622</v>
      </c>
      <c r="D1988" s="1" t="n">
        <v>31</v>
      </c>
      <c r="E1988" s="4">
        <f>IF(INDEX(C:C, ROW())+INDEX(D:D, ROW())=0, 0, INDEX(C:C, ROW())/(INDEX(C:C, ROW())+INDEX(D:D, ROW())))</f>
        <v/>
      </c>
      <c r="F1988" s="1" t="inlineStr">
        <is>
          <t>String, Dynamic Programming</t>
        </is>
      </c>
      <c r="G1988" s="1" t="inlineStr">
        <is>
          <t>Hard</t>
        </is>
      </c>
      <c r="H1988" s="1" t="n">
        <v>21858</v>
      </c>
      <c r="I1988" s="1" t="n">
        <v>53113</v>
      </c>
      <c r="J1988" s="9" t="n">
        <v>0.412</v>
      </c>
      <c r="K1988" s="1" t="inlineStr">
        <is>
          <t>Yes</t>
        </is>
      </c>
      <c r="L1988" s="1" t="inlineStr">
        <is>
          <t>No</t>
        </is>
      </c>
      <c r="M1988" s="1" t="inlineStr">
        <is>
          <t>No</t>
        </is>
      </c>
      <c r="N1988" s="1" t="inlineStr">
        <is>
          <t>Algorithms</t>
        </is>
      </c>
      <c r="O19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88" s="11" t="inlineStr">
        <is>
          <t>To Do</t>
        </is>
      </c>
    </row>
    <row r="1989" ht="15.75" customHeight="1" s="12">
      <c r="A1989" s="1" t="n">
        <v>1948</v>
      </c>
      <c r="B1989" s="3">
        <f>HYPERLINK("https://leetcode.com/problems/delete-duplicate-folders-in-system/", "Delete Duplicate Folders in System")</f>
        <v/>
      </c>
      <c r="C1989" s="1" t="n">
        <v>621</v>
      </c>
      <c r="D1989" s="1" t="n">
        <v>143</v>
      </c>
      <c r="E1989" s="4">
        <f>IF(INDEX(C:C, ROW())+INDEX(D:D, ROW())=0, 0, INDEX(C:C, ROW())/(INDEX(C:C, ROW())+INDEX(D:D, ROW())))</f>
        <v/>
      </c>
      <c r="F1989" s="1" t="inlineStr">
        <is>
          <t>Array, Hash Table, String, Trie, Hash Function</t>
        </is>
      </c>
      <c r="G1989" s="1" t="inlineStr">
        <is>
          <t>Hard</t>
        </is>
      </c>
      <c r="H1989" s="1" t="n">
        <v>68248</v>
      </c>
      <c r="I1989" s="1" t="n">
        <v>88105</v>
      </c>
      <c r="J1989" s="9" t="n">
        <v>0.775</v>
      </c>
      <c r="K1989" s="1" t="inlineStr">
        <is>
          <t>Yes</t>
        </is>
      </c>
      <c r="L1989" s="1" t="inlineStr">
        <is>
          <t>Yes</t>
        </is>
      </c>
      <c r="M1989" s="1" t="inlineStr">
        <is>
          <t>No</t>
        </is>
      </c>
      <c r="N1989" s="1" t="inlineStr">
        <is>
          <t>Algorithms</t>
        </is>
      </c>
      <c r="O19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89" s="11" t="inlineStr">
        <is>
          <t>To Do</t>
        </is>
      </c>
    </row>
    <row r="1990" ht="15.75" customHeight="1" s="12">
      <c r="A1990" s="1" t="n">
        <v>2354</v>
      </c>
      <c r="B1990" s="3">
        <f>HYPERLINK("https://leetcode.com/problems/number-of-excellent-pairs/", "Number of Excellent Pairs")</f>
        <v/>
      </c>
      <c r="C1990" s="1" t="n">
        <v>621</v>
      </c>
      <c r="D1990" s="1" t="n">
        <v>25</v>
      </c>
      <c r="E1990" s="4">
        <f>IF(INDEX(C:C, ROW())+INDEX(D:D, ROW())=0, 0, INDEX(C:C, ROW())/(INDEX(C:C, ROW())+INDEX(D:D, ROW())))</f>
        <v/>
      </c>
      <c r="F1990" s="1" t="inlineStr">
        <is>
          <t>Array, Hash Table, Binary Search, Bit Manipulation</t>
        </is>
      </c>
      <c r="G1990" s="1" t="inlineStr">
        <is>
          <t>Hard</t>
        </is>
      </c>
      <c r="H1990" s="1" t="n">
        <v>18780</v>
      </c>
      <c r="I1990" s="1" t="n">
        <v>38223</v>
      </c>
      <c r="J1990" s="9" t="n">
        <v>0.491</v>
      </c>
      <c r="K1990" s="1" t="inlineStr">
        <is>
          <t>Yes</t>
        </is>
      </c>
      <c r="L1990" s="1" t="inlineStr">
        <is>
          <t>No</t>
        </is>
      </c>
      <c r="M1990" s="1" t="inlineStr">
        <is>
          <t>No</t>
        </is>
      </c>
      <c r="N1990" s="1" t="inlineStr">
        <is>
          <t>Algorithms</t>
        </is>
      </c>
      <c r="O19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90" s="11" t="inlineStr">
        <is>
          <t>To Do</t>
        </is>
      </c>
    </row>
    <row r="1991" ht="15.75" customHeight="1" s="12">
      <c r="A1991" s="1" t="n">
        <v>2619</v>
      </c>
      <c r="B1991" s="3">
        <f>HYPERLINK("https://leetcode.com/problems/array-prototype-last/", "Array Prototype Last")</f>
        <v/>
      </c>
      <c r="C1991" s="1" t="n">
        <v>620</v>
      </c>
      <c r="D1991" s="1" t="n">
        <v>27</v>
      </c>
      <c r="E1991" s="4">
        <f>IF(INDEX(C:C, ROW())+INDEX(D:D, ROW())=0, 0, INDEX(C:C, ROW())/(INDEX(C:C, ROW())+INDEX(D:D, ROW())))</f>
        <v/>
      </c>
      <c r="F1991" s="2" t="n"/>
      <c r="G1991" s="1" t="inlineStr">
        <is>
          <t>Easy</t>
        </is>
      </c>
      <c r="H1991" s="1" t="n">
        <v>243259</v>
      </c>
      <c r="I1991" s="1" t="n">
        <v>325685</v>
      </c>
      <c r="J1991" s="9" t="n">
        <v>0.747</v>
      </c>
      <c r="K1991" s="1" t="inlineStr">
        <is>
          <t>Yes</t>
        </is>
      </c>
      <c r="L1991" s="1" t="inlineStr">
        <is>
          <t>Yes</t>
        </is>
      </c>
      <c r="M1991" s="1" t="inlineStr">
        <is>
          <t>No</t>
        </is>
      </c>
      <c r="N1991" s="1" t="inlineStr">
        <is>
          <t>JavaScript</t>
        </is>
      </c>
      <c r="O19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91" s="13" t="inlineStr">
        <is>
          <t>Done</t>
        </is>
      </c>
    </row>
    <row r="1992" ht="15.75" customHeight="1" s="12">
      <c r="A1992" s="1" t="n">
        <v>1169</v>
      </c>
      <c r="B1992" s="3">
        <f>HYPERLINK("https://leetcode.com/problems/invalid-transactions/", "Invalid Transactions")</f>
        <v/>
      </c>
      <c r="C1992" s="1" t="n">
        <v>619</v>
      </c>
      <c r="D1992" s="1" t="n">
        <v>2440</v>
      </c>
      <c r="E1992" s="4">
        <f>IF(INDEX(C:C, ROW())+INDEX(D:D, ROW())=0, 0, INDEX(C:C, ROW())/(INDEX(C:C, ROW())+INDEX(D:D, ROW())))</f>
        <v/>
      </c>
      <c r="F1992" s="1" t="inlineStr">
        <is>
          <t>Array, Hash Table, String, Sorting</t>
        </is>
      </c>
      <c r="G1992" s="1" t="inlineStr">
        <is>
          <t>Medium</t>
        </is>
      </c>
      <c r="H1992" s="1" t="n">
        <v>115052</v>
      </c>
      <c r="I1992" s="1" t="n">
        <v>356762</v>
      </c>
      <c r="J1992" s="9" t="n">
        <v>0.322</v>
      </c>
      <c r="K1992" s="1" t="inlineStr">
        <is>
          <t>Yes</t>
        </is>
      </c>
      <c r="L1992" s="1" t="inlineStr">
        <is>
          <t>No</t>
        </is>
      </c>
      <c r="M1992" s="1" t="inlineStr">
        <is>
          <t>No</t>
        </is>
      </c>
      <c r="N1992" s="1" t="inlineStr">
        <is>
          <t>Algorithms</t>
        </is>
      </c>
      <c r="O19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92" s="11" t="inlineStr">
        <is>
          <t>To Do</t>
        </is>
      </c>
    </row>
    <row r="1993" ht="15.75" customHeight="1" s="12">
      <c r="A1993" s="1" t="n">
        <v>1665</v>
      </c>
      <c r="B1993" s="3">
        <f>HYPERLINK("https://leetcode.com/problems/minimum-initial-energy-to-finish-tasks/", "Minimum Initial Energy to Finish Tasks")</f>
        <v/>
      </c>
      <c r="C1993" s="1" t="n">
        <v>618</v>
      </c>
      <c r="D1993" s="1" t="n">
        <v>40</v>
      </c>
      <c r="E1993" s="4">
        <f>IF(INDEX(C:C, ROW())+INDEX(D:D, ROW())=0, 0, INDEX(C:C, ROW())/(INDEX(C:C, ROW())+INDEX(D:D, ROW())))</f>
        <v/>
      </c>
      <c r="F1993" s="1" t="inlineStr">
        <is>
          <t>Array, Greedy, Sorting</t>
        </is>
      </c>
      <c r="G1993" s="1" t="inlineStr">
        <is>
          <t>Hard</t>
        </is>
      </c>
      <c r="H1993" s="1" t="n">
        <v>23663</v>
      </c>
      <c r="I1993" s="1" t="n">
        <v>38880</v>
      </c>
      <c r="J1993" s="9" t="n">
        <v>0.609</v>
      </c>
      <c r="K1993" s="1" t="inlineStr">
        <is>
          <t>Yes</t>
        </is>
      </c>
      <c r="L1993" s="1" t="inlineStr">
        <is>
          <t>Yes</t>
        </is>
      </c>
      <c r="M1993" s="1" t="inlineStr">
        <is>
          <t>No</t>
        </is>
      </c>
      <c r="N1993" s="1" t="inlineStr">
        <is>
          <t>Algorithms</t>
        </is>
      </c>
      <c r="O19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93" s="11" t="inlineStr">
        <is>
          <t>To Do</t>
        </is>
      </c>
    </row>
    <row r="1994" ht="15.75" customHeight="1" s="12">
      <c r="A1994" s="1" t="n">
        <v>2781</v>
      </c>
      <c r="B1994" s="3">
        <f>HYPERLINK("https://leetcode.com/problems/length-of-the-longest-valid-substring/", "Length of the Longest Valid Substring")</f>
        <v/>
      </c>
      <c r="C1994" s="1" t="n">
        <v>618</v>
      </c>
      <c r="D1994" s="1" t="n">
        <v>32</v>
      </c>
      <c r="E1994" s="4">
        <f>IF(INDEX(C:C, ROW())+INDEX(D:D, ROW())=0, 0, INDEX(C:C, ROW())/(INDEX(C:C, ROW())+INDEX(D:D, ROW())))</f>
        <v/>
      </c>
      <c r="F1994" s="1" t="inlineStr">
        <is>
          <t>Array, Hash Table, String, Sliding Window</t>
        </is>
      </c>
      <c r="G1994" s="1" t="inlineStr">
        <is>
          <t>Hard</t>
        </is>
      </c>
      <c r="H1994" s="1" t="n">
        <v>39090</v>
      </c>
      <c r="I1994" s="1" t="n">
        <v>101613</v>
      </c>
      <c r="J1994" s="9" t="n">
        <v>0.385</v>
      </c>
      <c r="K1994" s="1" t="inlineStr">
        <is>
          <t>Yes</t>
        </is>
      </c>
      <c r="L1994" s="1" t="inlineStr">
        <is>
          <t>No</t>
        </is>
      </c>
      <c r="M1994" s="1" t="inlineStr">
        <is>
          <t>No</t>
        </is>
      </c>
      <c r="N1994" s="1" t="inlineStr">
        <is>
          <t>Algorithms</t>
        </is>
      </c>
      <c r="O19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94" s="11" t="inlineStr">
        <is>
          <t>To Do</t>
        </is>
      </c>
    </row>
    <row r="1995" ht="15.75" customHeight="1" s="12">
      <c r="A1995" s="1" t="n">
        <v>3542</v>
      </c>
      <c r="B1995" s="3">
        <f>HYPERLINK("https://leetcode.com/problems/minimum-operations-to-convert-all-elements-to-zero/", "Minimum Operations to Convert All Elements to Zero")</f>
        <v/>
      </c>
      <c r="C1995" s="1" t="n">
        <v>618</v>
      </c>
      <c r="D1995" s="1" t="n">
        <v>64</v>
      </c>
      <c r="E1995" s="4">
        <f>IF(INDEX(C:C, ROW())+INDEX(D:D, ROW())=0, 0, INDEX(C:C, ROW())/(INDEX(C:C, ROW())+INDEX(D:D, ROW())))</f>
        <v/>
      </c>
      <c r="F1995" s="1" t="inlineStr">
        <is>
          <t>Array, Hash Table, Stack, Greedy, Monotonic Stack</t>
        </is>
      </c>
      <c r="G1995" s="1" t="inlineStr">
        <is>
          <t>Medium</t>
        </is>
      </c>
      <c r="H1995" s="1" t="n">
        <v>88287</v>
      </c>
      <c r="I1995" s="1" t="n">
        <v>166596</v>
      </c>
      <c r="J1995" s="9" t="n">
        <v>0.53</v>
      </c>
      <c r="K1995" s="1" t="inlineStr">
        <is>
          <t>Yes</t>
        </is>
      </c>
      <c r="L1995" s="1" t="inlineStr">
        <is>
          <t>Yes</t>
        </is>
      </c>
      <c r="M1995" s="1" t="inlineStr">
        <is>
          <t>No</t>
        </is>
      </c>
      <c r="N1995" s="1" t="inlineStr">
        <is>
          <t>Algorithms</t>
        </is>
      </c>
      <c r="O19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95" s="11" t="inlineStr">
        <is>
          <t>To Do</t>
        </is>
      </c>
    </row>
    <row r="1996" ht="15.75" customHeight="1" s="12">
      <c r="A1996" s="1" t="n">
        <v>444</v>
      </c>
      <c r="B1996" s="3">
        <f>HYPERLINK("https://leetcode.com/problems/sequence-reconstruction/", "Sequence Reconstruction")</f>
        <v/>
      </c>
      <c r="C1996" s="1" t="n">
        <v>617</v>
      </c>
      <c r="D1996" s="1" t="n">
        <v>1550</v>
      </c>
      <c r="E1996" s="4">
        <f>IF(INDEX(C:C, ROW())+INDEX(D:D, ROW())=0, 0, INDEX(C:C, ROW())/(INDEX(C:C, ROW())+INDEX(D:D, ROW())))</f>
        <v/>
      </c>
      <c r="F1996" s="1" t="inlineStr">
        <is>
          <t>Array, Graph Theory, Topological Sort</t>
        </is>
      </c>
      <c r="G1996" s="1" t="inlineStr">
        <is>
          <t>Medium</t>
        </is>
      </c>
      <c r="H1996" s="1" t="n">
        <v>65481</v>
      </c>
      <c r="I1996" s="1" t="n">
        <v>212892</v>
      </c>
      <c r="J1996" s="9" t="n">
        <v>0.308</v>
      </c>
      <c r="K1996" s="1" t="inlineStr">
        <is>
          <t>No</t>
        </is>
      </c>
      <c r="L1996" s="1" t="inlineStr">
        <is>
          <t>No</t>
        </is>
      </c>
      <c r="M1996" s="1" t="inlineStr">
        <is>
          <t>No</t>
        </is>
      </c>
      <c r="N1996" s="1" t="inlineStr">
        <is>
          <t>Algorithms</t>
        </is>
      </c>
      <c r="O19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96" s="11" t="inlineStr">
        <is>
          <t>To Do</t>
        </is>
      </c>
    </row>
    <row r="1997" ht="15.75" customHeight="1" s="12">
      <c r="A1997" s="1" t="n">
        <v>1213</v>
      </c>
      <c r="B1997" s="3">
        <f>HYPERLINK("https://leetcode.com/problems/intersection-of-three-sorted-arrays/", "Intersection of Three Sorted Arrays")</f>
        <v/>
      </c>
      <c r="C1997" s="1" t="n">
        <v>616</v>
      </c>
      <c r="D1997" s="1" t="n">
        <v>26</v>
      </c>
      <c r="E1997" s="4">
        <f>IF(INDEX(C:C, ROW())+INDEX(D:D, ROW())=0, 0, INDEX(C:C, ROW())/(INDEX(C:C, ROW())+INDEX(D:D, ROW())))</f>
        <v/>
      </c>
      <c r="F1997" s="1" t="inlineStr">
        <is>
          <t>Array, Hash Table, Binary Search, Counting</t>
        </is>
      </c>
      <c r="G1997" s="1" t="inlineStr">
        <is>
          <t>Easy</t>
        </is>
      </c>
      <c r="H1997" s="1" t="n">
        <v>103181</v>
      </c>
      <c r="I1997" s="1" t="n">
        <v>128963</v>
      </c>
      <c r="J1997" s="9" t="n">
        <v>0.8</v>
      </c>
      <c r="K1997" s="1" t="inlineStr">
        <is>
          <t>No</t>
        </is>
      </c>
      <c r="L1997" s="1" t="inlineStr">
        <is>
          <t>Yes</t>
        </is>
      </c>
      <c r="M1997" s="1" t="inlineStr">
        <is>
          <t>No</t>
        </is>
      </c>
      <c r="N1997" s="1" t="inlineStr">
        <is>
          <t>Algorithms</t>
        </is>
      </c>
      <c r="O19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97" s="11" t="inlineStr">
        <is>
          <t>To Do</t>
        </is>
      </c>
    </row>
    <row r="1998" ht="15.75" customHeight="1" s="12">
      <c r="A1998" s="1" t="n">
        <v>1754</v>
      </c>
      <c r="B1998" s="3">
        <f>HYPERLINK("https://leetcode.com/problems/largest-merge-of-two-strings/", "Largest Merge Of Two Strings")</f>
        <v/>
      </c>
      <c r="C1998" s="1" t="n">
        <v>616</v>
      </c>
      <c r="D1998" s="1" t="n">
        <v>87</v>
      </c>
      <c r="E1998" s="4">
        <f>IF(INDEX(C:C, ROW())+INDEX(D:D, ROW())=0, 0, INDEX(C:C, ROW())/(INDEX(C:C, ROW())+INDEX(D:D, ROW())))</f>
        <v/>
      </c>
      <c r="F1998" s="1" t="inlineStr">
        <is>
          <t>Two Pointers, String, Greedy</t>
        </is>
      </c>
      <c r="G1998" s="1" t="inlineStr">
        <is>
          <t>Medium</t>
        </is>
      </c>
      <c r="H1998" s="1" t="n">
        <v>35500</v>
      </c>
      <c r="I1998" s="1" t="n">
        <v>65907</v>
      </c>
      <c r="J1998" s="9" t="n">
        <v>0.539</v>
      </c>
      <c r="K1998" s="1" t="inlineStr">
        <is>
          <t>Yes</t>
        </is>
      </c>
      <c r="L1998" s="1" t="inlineStr">
        <is>
          <t>No</t>
        </is>
      </c>
      <c r="M1998" s="1" t="inlineStr">
        <is>
          <t>No</t>
        </is>
      </c>
      <c r="N1998" s="1" t="inlineStr">
        <is>
          <t>Algorithms</t>
        </is>
      </c>
      <c r="O19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98" s="11" t="inlineStr">
        <is>
          <t>To Do</t>
        </is>
      </c>
    </row>
    <row r="1999" ht="15.75" customHeight="1" s="12">
      <c r="A1999" s="1" t="n">
        <v>2334</v>
      </c>
      <c r="B1999" s="3">
        <f>HYPERLINK("https://leetcode.com/problems/subarray-with-elements-greater-than-varying-threshold/", "Subarray With Elements Greater Than Varying Threshold")</f>
        <v/>
      </c>
      <c r="C1999" s="1" t="n">
        <v>616</v>
      </c>
      <c r="D1999" s="1" t="n">
        <v>11</v>
      </c>
      <c r="E1999" s="4">
        <f>IF(INDEX(C:C, ROW())+INDEX(D:D, ROW())=0, 0, INDEX(C:C, ROW())/(INDEX(C:C, ROW())+INDEX(D:D, ROW())))</f>
        <v/>
      </c>
      <c r="F1999" s="1" t="inlineStr">
        <is>
          <t>Array, Stack, Union-Find, Monotonic Stack</t>
        </is>
      </c>
      <c r="G1999" s="1" t="inlineStr">
        <is>
          <t>Hard</t>
        </is>
      </c>
      <c r="H1999" s="1" t="n">
        <v>18031</v>
      </c>
      <c r="I1999" s="1" t="n">
        <v>39673</v>
      </c>
      <c r="J1999" s="9" t="n">
        <v>0.454</v>
      </c>
      <c r="K1999" s="1" t="inlineStr">
        <is>
          <t>Yes</t>
        </is>
      </c>
      <c r="L1999" s="1" t="inlineStr">
        <is>
          <t>No</t>
        </is>
      </c>
      <c r="M1999" s="1" t="inlineStr">
        <is>
          <t>No</t>
        </is>
      </c>
      <c r="N1999" s="1" t="inlineStr">
        <is>
          <t>Algorithms</t>
        </is>
      </c>
      <c r="O19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1999" s="11" t="inlineStr">
        <is>
          <t>To Do</t>
        </is>
      </c>
    </row>
    <row r="2000" ht="15.75" customHeight="1" s="12">
      <c r="A2000" s="1" t="n">
        <v>2453</v>
      </c>
      <c r="B2000" s="3">
        <f>HYPERLINK("https://leetcode.com/problems/destroy-sequential-targets/", "Destroy Sequential Targets")</f>
        <v/>
      </c>
      <c r="C2000" s="1" t="n">
        <v>614</v>
      </c>
      <c r="D2000" s="1" t="n">
        <v>36</v>
      </c>
      <c r="E2000" s="4">
        <f>IF(INDEX(C:C, ROW())+INDEX(D:D, ROW())=0, 0, INDEX(C:C, ROW())/(INDEX(C:C, ROW())+INDEX(D:D, ROW())))</f>
        <v/>
      </c>
      <c r="F2000" s="1" t="inlineStr">
        <is>
          <t>Array, Hash Table, Counting</t>
        </is>
      </c>
      <c r="G2000" s="1" t="inlineStr">
        <is>
          <t>Medium</t>
        </is>
      </c>
      <c r="H2000" s="1" t="n">
        <v>23703</v>
      </c>
      <c r="I2000" s="1" t="n">
        <v>56479</v>
      </c>
      <c r="J2000" s="9" t="n">
        <v>0.42</v>
      </c>
      <c r="K2000" s="1" t="inlineStr">
        <is>
          <t>Yes</t>
        </is>
      </c>
      <c r="L2000" s="1" t="inlineStr">
        <is>
          <t>No</t>
        </is>
      </c>
      <c r="M2000" s="1" t="inlineStr">
        <is>
          <t>No</t>
        </is>
      </c>
      <c r="N2000" s="1" t="inlineStr">
        <is>
          <t>Algorithms</t>
        </is>
      </c>
      <c r="O20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00" s="11" t="inlineStr">
        <is>
          <t>To Do</t>
        </is>
      </c>
    </row>
    <row r="2001" ht="15.75" customHeight="1" s="12">
      <c r="A2001" s="1" t="n">
        <v>3335</v>
      </c>
      <c r="B2001" s="3">
        <f>HYPERLINK("https://leetcode.com/problems/total-characters-in-string-after-transformations-i/", "Total Characters in String After Transformations I")</f>
        <v/>
      </c>
      <c r="C2001" s="1" t="n">
        <v>614</v>
      </c>
      <c r="D2001" s="1" t="n">
        <v>46</v>
      </c>
      <c r="E2001" s="4">
        <f>IF(INDEX(C:C, ROW())+INDEX(D:D, ROW())=0, 0, INDEX(C:C, ROW())/(INDEX(C:C, ROW())+INDEX(D:D, ROW())))</f>
        <v/>
      </c>
      <c r="F2001" s="1" t="inlineStr">
        <is>
          <t>Hash Table, Math, String, Dynamic Programming, Counting</t>
        </is>
      </c>
      <c r="G2001" s="1" t="inlineStr">
        <is>
          <t>Medium</t>
        </is>
      </c>
      <c r="H2001" s="1" t="n">
        <v>117257</v>
      </c>
      <c r="I2001" s="1" t="n">
        <v>256942</v>
      </c>
      <c r="J2001" s="9" t="n">
        <v>0.456</v>
      </c>
      <c r="K2001" s="1" t="inlineStr">
        <is>
          <t>Yes</t>
        </is>
      </c>
      <c r="L2001" s="1" t="inlineStr">
        <is>
          <t>Yes</t>
        </is>
      </c>
      <c r="M2001" s="1" t="inlineStr">
        <is>
          <t>No</t>
        </is>
      </c>
      <c r="N2001" s="1" t="inlineStr">
        <is>
          <t>Algorithms</t>
        </is>
      </c>
      <c r="O20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01" s="11" t="inlineStr">
        <is>
          <t>To Do</t>
        </is>
      </c>
    </row>
    <row r="2002" ht="15.75" customHeight="1" s="12">
      <c r="A2002" s="1" t="n">
        <v>1627</v>
      </c>
      <c r="B2002" s="3">
        <f>HYPERLINK("https://leetcode.com/problems/graph-connectivity-with-threshold/", "Graph Connectivity With Threshold")</f>
        <v/>
      </c>
      <c r="C2002" s="1" t="n">
        <v>613</v>
      </c>
      <c r="D2002" s="1" t="n">
        <v>34</v>
      </c>
      <c r="E2002" s="4">
        <f>IF(INDEX(C:C, ROW())+INDEX(D:D, ROW())=0, 0, INDEX(C:C, ROW())/(INDEX(C:C, ROW())+INDEX(D:D, ROW())))</f>
        <v/>
      </c>
      <c r="F2002" s="1" t="inlineStr">
        <is>
          <t>Array, Math, Union-Find, Number Theory</t>
        </is>
      </c>
      <c r="G2002" s="1" t="inlineStr">
        <is>
          <t>Hard</t>
        </is>
      </c>
      <c r="H2002" s="1" t="n">
        <v>23941</v>
      </c>
      <c r="I2002" s="1" t="n">
        <v>48447</v>
      </c>
      <c r="J2002" s="9" t="n">
        <v>0.494</v>
      </c>
      <c r="K2002" s="1" t="inlineStr">
        <is>
          <t>Yes</t>
        </is>
      </c>
      <c r="L2002" s="1" t="inlineStr">
        <is>
          <t>No</t>
        </is>
      </c>
      <c r="M2002" s="1" t="inlineStr">
        <is>
          <t>No</t>
        </is>
      </c>
      <c r="N2002" s="1" t="inlineStr">
        <is>
          <t>Algorithms</t>
        </is>
      </c>
      <c r="O20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02" s="11" t="inlineStr">
        <is>
          <t>To Do</t>
        </is>
      </c>
    </row>
    <row r="2003" ht="15.75" customHeight="1" s="12">
      <c r="A2003" s="1" t="n">
        <v>2386</v>
      </c>
      <c r="B2003" s="3">
        <f>HYPERLINK("https://leetcode.com/problems/find-the-k-sum-of-an-array/", "Find the K-Sum of an Array")</f>
        <v/>
      </c>
      <c r="C2003" s="1" t="n">
        <v>613</v>
      </c>
      <c r="D2003" s="1" t="n">
        <v>26</v>
      </c>
      <c r="E2003" s="4">
        <f>IF(INDEX(C:C, ROW())+INDEX(D:D, ROW())=0, 0, INDEX(C:C, ROW())/(INDEX(C:C, ROW())+INDEX(D:D, ROW())))</f>
        <v/>
      </c>
      <c r="F2003" s="1" t="inlineStr">
        <is>
          <t>Array, Sorting, Heap (Priority Queue)</t>
        </is>
      </c>
      <c r="G2003" s="1" t="inlineStr">
        <is>
          <t>Hard</t>
        </is>
      </c>
      <c r="H2003" s="1" t="n">
        <v>14077</v>
      </c>
      <c r="I2003" s="1" t="n">
        <v>34045</v>
      </c>
      <c r="J2003" s="9" t="n">
        <v>0.413</v>
      </c>
      <c r="K2003" s="1" t="inlineStr">
        <is>
          <t>Yes</t>
        </is>
      </c>
      <c r="L2003" s="1" t="inlineStr">
        <is>
          <t>No</t>
        </is>
      </c>
      <c r="M2003" s="1" t="inlineStr">
        <is>
          <t>No</t>
        </is>
      </c>
      <c r="N2003" s="1" t="inlineStr">
        <is>
          <t>Algorithms</t>
        </is>
      </c>
      <c r="O20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03" s="11" t="inlineStr">
        <is>
          <t>To Do</t>
        </is>
      </c>
    </row>
    <row r="2004" ht="15.75" customHeight="1" s="12">
      <c r="A2004" s="1" t="n">
        <v>892</v>
      </c>
      <c r="B2004" s="3">
        <f>HYPERLINK("https://leetcode.com/problems/surface-area-of-3d-shapes/", "Surface Area of 3D Shapes")</f>
        <v/>
      </c>
      <c r="C2004" s="1" t="n">
        <v>612</v>
      </c>
      <c r="D2004" s="1" t="n">
        <v>763</v>
      </c>
      <c r="E2004" s="4">
        <f>IF(INDEX(C:C, ROW())+INDEX(D:D, ROW())=0, 0, INDEX(C:C, ROW())/(INDEX(C:C, ROW())+INDEX(D:D, ROW())))</f>
        <v/>
      </c>
      <c r="F2004" s="1" t="inlineStr">
        <is>
          <t>Array, Math, Geometry, Matrix</t>
        </is>
      </c>
      <c r="G2004" s="1" t="inlineStr">
        <is>
          <t>Easy</t>
        </is>
      </c>
      <c r="H2004" s="1" t="n">
        <v>57324</v>
      </c>
      <c r="I2004" s="1" t="n">
        <v>81048</v>
      </c>
      <c r="J2004" s="9" t="n">
        <v>0.707</v>
      </c>
      <c r="K2004" s="1" t="inlineStr">
        <is>
          <t>Yes</t>
        </is>
      </c>
      <c r="L2004" s="1" t="inlineStr">
        <is>
          <t>Yes</t>
        </is>
      </c>
      <c r="M2004" s="1" t="inlineStr">
        <is>
          <t>No</t>
        </is>
      </c>
      <c r="N2004" s="1" t="inlineStr">
        <is>
          <t>Algorithms</t>
        </is>
      </c>
      <c r="O20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04" s="13" t="inlineStr">
        <is>
          <t>Done</t>
        </is>
      </c>
    </row>
    <row r="2005" ht="15.75" customHeight="1" s="12">
      <c r="A2005" s="1" t="n">
        <v>1880</v>
      </c>
      <c r="B2005" s="3">
        <f>HYPERLINK("https://leetcode.com/problems/check-if-word-equals-summation-of-two-words/", "Check if Word Equals Summation of Two Words")</f>
        <v/>
      </c>
      <c r="C2005" s="1" t="n">
        <v>612</v>
      </c>
      <c r="D2005" s="1" t="n">
        <v>42</v>
      </c>
      <c r="E2005" s="4">
        <f>IF(INDEX(C:C, ROW())+INDEX(D:D, ROW())=0, 0, INDEX(C:C, ROW())/(INDEX(C:C, ROW())+INDEX(D:D, ROW())))</f>
        <v/>
      </c>
      <c r="F2005" s="1" t="inlineStr">
        <is>
          <t>String</t>
        </is>
      </c>
      <c r="G2005" s="1" t="inlineStr">
        <is>
          <t>Easy</t>
        </is>
      </c>
      <c r="H2005" s="1" t="n">
        <v>83555</v>
      </c>
      <c r="I2005" s="1" t="n">
        <v>111026</v>
      </c>
      <c r="J2005" s="9" t="n">
        <v>0.753</v>
      </c>
      <c r="K2005" s="1" t="inlineStr">
        <is>
          <t>Yes</t>
        </is>
      </c>
      <c r="L2005" s="1" t="inlineStr">
        <is>
          <t>No</t>
        </is>
      </c>
      <c r="M2005" s="1" t="inlineStr">
        <is>
          <t>No</t>
        </is>
      </c>
      <c r="N2005" s="1" t="inlineStr">
        <is>
          <t>Algorithms</t>
        </is>
      </c>
      <c r="O20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05" s="13" t="inlineStr">
        <is>
          <t>Done</t>
        </is>
      </c>
    </row>
    <row r="2006" ht="15.75" customHeight="1" s="12">
      <c r="A2006" s="1" t="n">
        <v>2166</v>
      </c>
      <c r="B2006" s="3">
        <f>HYPERLINK("https://leetcode.com/problems/design-bitset/", "Design Bitset")</f>
        <v/>
      </c>
      <c r="C2006" s="1" t="n">
        <v>612</v>
      </c>
      <c r="D2006" s="1" t="n">
        <v>50</v>
      </c>
      <c r="E2006" s="4">
        <f>IF(INDEX(C:C, ROW())+INDEX(D:D, ROW())=0, 0, INDEX(C:C, ROW())/(INDEX(C:C, ROW())+INDEX(D:D, ROW())))</f>
        <v/>
      </c>
      <c r="F2006" s="1" t="inlineStr">
        <is>
          <t>Array, Hash Table, String, Design</t>
        </is>
      </c>
      <c r="G2006" s="1" t="inlineStr">
        <is>
          <t>Medium</t>
        </is>
      </c>
      <c r="H2006" s="1" t="n">
        <v>28507</v>
      </c>
      <c r="I2006" s="1" t="n">
        <v>87216</v>
      </c>
      <c r="J2006" s="9" t="n">
        <v>0.327</v>
      </c>
      <c r="K2006" s="1" t="inlineStr">
        <is>
          <t>Yes</t>
        </is>
      </c>
      <c r="L2006" s="1" t="inlineStr">
        <is>
          <t>No</t>
        </is>
      </c>
      <c r="M2006" s="1" t="inlineStr">
        <is>
          <t>No</t>
        </is>
      </c>
      <c r="N2006" s="1" t="inlineStr">
        <is>
          <t>Algorithms</t>
        </is>
      </c>
      <c r="O20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06" s="11" t="inlineStr">
        <is>
          <t>To Do</t>
        </is>
      </c>
    </row>
    <row r="2007" ht="15.75" customHeight="1" s="12">
      <c r="A2007" s="1" t="n">
        <v>2531</v>
      </c>
      <c r="B2007" s="3">
        <f>HYPERLINK("https://leetcode.com/problems/make-number-of-distinct-characters-equal/", "Make Number of Distinct Characters Equal")</f>
        <v/>
      </c>
      <c r="C2007" s="1" t="n">
        <v>612</v>
      </c>
      <c r="D2007" s="1" t="n">
        <v>160</v>
      </c>
      <c r="E2007" s="4">
        <f>IF(INDEX(C:C, ROW())+INDEX(D:D, ROW())=0, 0, INDEX(C:C, ROW())/(INDEX(C:C, ROW())+INDEX(D:D, ROW())))</f>
        <v/>
      </c>
      <c r="F2007" s="1" t="inlineStr">
        <is>
          <t>Hash Table, String, Counting</t>
        </is>
      </c>
      <c r="G2007" s="1" t="inlineStr">
        <is>
          <t>Medium</t>
        </is>
      </c>
      <c r="H2007" s="1" t="n">
        <v>24248</v>
      </c>
      <c r="I2007" s="1" t="n">
        <v>87907</v>
      </c>
      <c r="J2007" s="9" t="n">
        <v>0.276</v>
      </c>
      <c r="K2007" s="1" t="inlineStr">
        <is>
          <t>Yes</t>
        </is>
      </c>
      <c r="L2007" s="1" t="inlineStr">
        <is>
          <t>No</t>
        </is>
      </c>
      <c r="M2007" s="1" t="inlineStr">
        <is>
          <t>No</t>
        </is>
      </c>
      <c r="N2007" s="1" t="inlineStr">
        <is>
          <t>Algorithms</t>
        </is>
      </c>
      <c r="O20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07" s="11" t="inlineStr">
        <is>
          <t>To Do</t>
        </is>
      </c>
    </row>
    <row r="2008" ht="15.75" customHeight="1" s="12">
      <c r="A2008" s="1" t="n">
        <v>2798</v>
      </c>
      <c r="B2008" s="3">
        <f>HYPERLINK("https://leetcode.com/problems/number-of-employees-who-met-the-target/", "Number of Employees Who Met the Target")</f>
        <v/>
      </c>
      <c r="C2008" s="1" t="n">
        <v>612</v>
      </c>
      <c r="D2008" s="1" t="n">
        <v>77</v>
      </c>
      <c r="E2008" s="4">
        <f>IF(INDEX(C:C, ROW())+INDEX(D:D, ROW())=0, 0, INDEX(C:C, ROW())/(INDEX(C:C, ROW())+INDEX(D:D, ROW())))</f>
        <v/>
      </c>
      <c r="F2008" s="1" t="inlineStr">
        <is>
          <t>Array</t>
        </is>
      </c>
      <c r="G2008" s="1" t="inlineStr">
        <is>
          <t>Easy</t>
        </is>
      </c>
      <c r="H2008" s="1" t="n">
        <v>245884</v>
      </c>
      <c r="I2008" s="1" t="n">
        <v>279954</v>
      </c>
      <c r="J2008" s="9" t="n">
        <v>0.878</v>
      </c>
      <c r="K2008" s="1" t="inlineStr">
        <is>
          <t>Yes</t>
        </is>
      </c>
      <c r="L2008" s="1" t="inlineStr">
        <is>
          <t>No</t>
        </is>
      </c>
      <c r="M2008" s="1" t="inlineStr">
        <is>
          <t>No</t>
        </is>
      </c>
      <c r="N2008" s="1" t="inlineStr">
        <is>
          <t>Algorithms</t>
        </is>
      </c>
      <c r="O20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08" s="13" t="inlineStr">
        <is>
          <t>Done</t>
        </is>
      </c>
    </row>
    <row r="2009" ht="15.75" customHeight="1" s="12">
      <c r="A2009" s="1" t="n">
        <v>2566</v>
      </c>
      <c r="B2009" s="3">
        <f>HYPERLINK("https://leetcode.com/problems/maximum-difference-by-remapping-a-digit/", "Maximum Difference by Remapping a Digit")</f>
        <v/>
      </c>
      <c r="C2009" s="1" t="n">
        <v>611</v>
      </c>
      <c r="D2009" s="1" t="n">
        <v>75</v>
      </c>
      <c r="E2009" s="4">
        <f>IF(INDEX(C:C, ROW())+INDEX(D:D, ROW())=0, 0, INDEX(C:C, ROW())/(INDEX(C:C, ROW())+INDEX(D:D, ROW())))</f>
        <v/>
      </c>
      <c r="F2009" s="1" t="inlineStr">
        <is>
          <t>Math, Greedy</t>
        </is>
      </c>
      <c r="G2009" s="1" t="inlineStr">
        <is>
          <t>Easy</t>
        </is>
      </c>
      <c r="H2009" s="1" t="n">
        <v>134698</v>
      </c>
      <c r="I2009" s="1" t="n">
        <v>177688</v>
      </c>
      <c r="J2009" s="9" t="n">
        <v>0.758</v>
      </c>
      <c r="K2009" s="1" t="inlineStr">
        <is>
          <t>Yes</t>
        </is>
      </c>
      <c r="L2009" s="1" t="inlineStr">
        <is>
          <t>Yes</t>
        </is>
      </c>
      <c r="M2009" s="1" t="inlineStr">
        <is>
          <t>No</t>
        </is>
      </c>
      <c r="N2009" s="1" t="inlineStr">
        <is>
          <t>Algorithms</t>
        </is>
      </c>
      <c r="O20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09" s="13" t="inlineStr">
        <is>
          <t>Done</t>
        </is>
      </c>
    </row>
    <row r="2010" ht="15.75" customHeight="1" s="12">
      <c r="A2010" s="1" t="n">
        <v>1576</v>
      </c>
      <c r="B2010" s="3">
        <f>HYPERLINK("https://leetcode.com/problems/replace-all-s-to-avoid-consecutive-repeating-characters/", "Replace All ?'s to Avoid Consecutive Repeating Characters")</f>
        <v/>
      </c>
      <c r="C2010" s="1" t="n">
        <v>610</v>
      </c>
      <c r="D2010" s="1" t="n">
        <v>181</v>
      </c>
      <c r="E2010" s="4">
        <f>IF(INDEX(C:C, ROW())+INDEX(D:D, ROW())=0, 0, INDEX(C:C, ROW())/(INDEX(C:C, ROW())+INDEX(D:D, ROW())))</f>
        <v/>
      </c>
      <c r="F2010" s="1" t="inlineStr">
        <is>
          <t>String</t>
        </is>
      </c>
      <c r="G2010" s="1" t="inlineStr">
        <is>
          <t>Easy</t>
        </is>
      </c>
      <c r="H2010" s="1" t="n">
        <v>74466</v>
      </c>
      <c r="I2010" s="1" t="n">
        <v>164425</v>
      </c>
      <c r="J2010" s="9" t="n">
        <v>0.453</v>
      </c>
      <c r="K2010" s="1" t="inlineStr">
        <is>
          <t>Yes</t>
        </is>
      </c>
      <c r="L2010" s="1" t="inlineStr">
        <is>
          <t>No</t>
        </is>
      </c>
      <c r="M2010" s="1" t="inlineStr">
        <is>
          <t>No</t>
        </is>
      </c>
      <c r="N2010" s="1" t="inlineStr">
        <is>
          <t>Algorithms</t>
        </is>
      </c>
      <c r="O20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10" s="13" t="inlineStr">
        <is>
          <t>Done</t>
        </is>
      </c>
    </row>
    <row r="2011" ht="15.75" customHeight="1" s="12">
      <c r="A2011" s="1" t="n">
        <v>1100</v>
      </c>
      <c r="B2011" s="3">
        <f>HYPERLINK("https://leetcode.com/problems/find-k-length-substrings-with-no-repeated-characters/", "Find K-Length Substrings With No Repeated Characters")</f>
        <v/>
      </c>
      <c r="C2011" s="1" t="n">
        <v>609</v>
      </c>
      <c r="D2011" s="1" t="n">
        <v>11</v>
      </c>
      <c r="E2011" s="4">
        <f>IF(INDEX(C:C, ROW())+INDEX(D:D, ROW())=0, 0, INDEX(C:C, ROW())/(INDEX(C:C, ROW())+INDEX(D:D, ROW())))</f>
        <v/>
      </c>
      <c r="F2011" s="1" t="inlineStr">
        <is>
          <t>Hash Table, String, Sliding Window</t>
        </is>
      </c>
      <c r="G2011" s="1" t="inlineStr">
        <is>
          <t>Medium</t>
        </is>
      </c>
      <c r="H2011" s="1" t="n">
        <v>56457</v>
      </c>
      <c r="I2011" s="1" t="n">
        <v>73801</v>
      </c>
      <c r="J2011" s="9" t="n">
        <v>0.765</v>
      </c>
      <c r="K2011" s="1" t="inlineStr">
        <is>
          <t>No</t>
        </is>
      </c>
      <c r="L2011" s="1" t="inlineStr">
        <is>
          <t>Yes</t>
        </is>
      </c>
      <c r="M2011" s="1" t="inlineStr">
        <is>
          <t>No</t>
        </is>
      </c>
      <c r="N2011" s="1" t="inlineStr">
        <is>
          <t>Algorithms</t>
        </is>
      </c>
      <c r="O20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11" s="11" t="inlineStr">
        <is>
          <t>To Do</t>
        </is>
      </c>
    </row>
    <row r="2012" ht="15.75" customHeight="1" s="12">
      <c r="A2012" s="1" t="n">
        <v>1895</v>
      </c>
      <c r="B2012" s="3">
        <f>HYPERLINK("https://leetcode.com/problems/largest-magic-square/", "Largest Magic Square")</f>
        <v/>
      </c>
      <c r="C2012" s="1" t="n">
        <v>609</v>
      </c>
      <c r="D2012" s="1" t="n">
        <v>334</v>
      </c>
      <c r="E2012" s="4">
        <f>IF(INDEX(C:C, ROW())+INDEX(D:D, ROW())=0, 0, INDEX(C:C, ROW())/(INDEX(C:C, ROW())+INDEX(D:D, ROW())))</f>
        <v/>
      </c>
      <c r="F2012" s="1" t="inlineStr">
        <is>
          <t>Array, Matrix, Prefix Sum</t>
        </is>
      </c>
      <c r="G2012" s="1" t="inlineStr">
        <is>
          <t>Medium</t>
        </is>
      </c>
      <c r="H2012" s="1" t="n">
        <v>89165</v>
      </c>
      <c r="I2012" s="1" t="n">
        <v>118503</v>
      </c>
      <c r="J2012" s="9" t="n">
        <v>0.752</v>
      </c>
      <c r="K2012" s="1" t="inlineStr">
        <is>
          <t>Yes</t>
        </is>
      </c>
      <c r="L2012" s="1" t="inlineStr">
        <is>
          <t>Yes</t>
        </is>
      </c>
      <c r="M2012" s="1" t="inlineStr">
        <is>
          <t>No</t>
        </is>
      </c>
      <c r="N2012" s="1" t="inlineStr">
        <is>
          <t>Algorithms</t>
        </is>
      </c>
      <c r="O20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12" s="11" t="inlineStr">
        <is>
          <t>To Do</t>
        </is>
      </c>
    </row>
    <row r="2013" ht="15.75" customHeight="1" s="12">
      <c r="A2013" s="1" t="n">
        <v>2363</v>
      </c>
      <c r="B2013" s="3">
        <f>HYPERLINK("https://leetcode.com/problems/merge-similar-items/", "Merge Similar Items")</f>
        <v/>
      </c>
      <c r="C2013" s="1" t="n">
        <v>609</v>
      </c>
      <c r="D2013" s="1" t="n">
        <v>32</v>
      </c>
      <c r="E2013" s="4">
        <f>IF(INDEX(C:C, ROW())+INDEX(D:D, ROW())=0, 0, INDEX(C:C, ROW())/(INDEX(C:C, ROW())+INDEX(D:D, ROW())))</f>
        <v/>
      </c>
      <c r="F2013" s="1" t="inlineStr">
        <is>
          <t>Array, Hash Table, Sorting, Ordered Set</t>
        </is>
      </c>
      <c r="G2013" s="1" t="inlineStr">
        <is>
          <t>Easy</t>
        </is>
      </c>
      <c r="H2013" s="1" t="n">
        <v>81567</v>
      </c>
      <c r="I2013" s="1" t="n">
        <v>105224</v>
      </c>
      <c r="J2013" s="9" t="n">
        <v>0.775</v>
      </c>
      <c r="K2013" s="1" t="inlineStr">
        <is>
          <t>Yes</t>
        </is>
      </c>
      <c r="L2013" s="1" t="inlineStr">
        <is>
          <t>No</t>
        </is>
      </c>
      <c r="M2013" s="1" t="inlineStr">
        <is>
          <t>No</t>
        </is>
      </c>
      <c r="N2013" s="1" t="inlineStr">
        <is>
          <t>Algorithms</t>
        </is>
      </c>
      <c r="O20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13" s="13" t="inlineStr">
        <is>
          <t>Done</t>
        </is>
      </c>
    </row>
    <row r="2014" ht="15.75" customHeight="1" s="12">
      <c r="A2014" s="1" t="n">
        <v>2255</v>
      </c>
      <c r="B2014" s="3">
        <f>HYPERLINK("https://leetcode.com/problems/count-prefixes-of-a-given-string/", "Count Prefixes of a Given String")</f>
        <v/>
      </c>
      <c r="C2014" s="1" t="n">
        <v>608</v>
      </c>
      <c r="D2014" s="1" t="n">
        <v>24</v>
      </c>
      <c r="E2014" s="4">
        <f>IF(INDEX(C:C, ROW())+INDEX(D:D, ROW())=0, 0, INDEX(C:C, ROW())/(INDEX(C:C, ROW())+INDEX(D:D, ROW())))</f>
        <v/>
      </c>
      <c r="F2014" s="1" t="inlineStr">
        <is>
          <t>Array, String</t>
        </is>
      </c>
      <c r="G2014" s="1" t="inlineStr">
        <is>
          <t>Easy</t>
        </is>
      </c>
      <c r="H2014" s="1" t="n">
        <v>90397</v>
      </c>
      <c r="I2014" s="1" t="n">
        <v>121703</v>
      </c>
      <c r="J2014" s="9" t="n">
        <v>0.743</v>
      </c>
      <c r="K2014" s="1" t="inlineStr">
        <is>
          <t>Yes</t>
        </is>
      </c>
      <c r="L2014" s="1" t="inlineStr">
        <is>
          <t>No</t>
        </is>
      </c>
      <c r="M2014" s="1" t="inlineStr">
        <is>
          <t>No</t>
        </is>
      </c>
      <c r="N2014" s="1" t="inlineStr">
        <is>
          <t>Algorithms</t>
        </is>
      </c>
      <c r="O20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14" s="13" t="inlineStr">
        <is>
          <t>Done</t>
        </is>
      </c>
    </row>
    <row r="2015" ht="15.75" customHeight="1" s="12">
      <c r="A2015" s="1" t="n">
        <v>3634</v>
      </c>
      <c r="B2015" s="3">
        <f>HYPERLINK("https://leetcode.com/problems/minimum-removals-to-balance-array/", "Minimum Removals to Balance Array")</f>
        <v/>
      </c>
      <c r="C2015" s="1" t="n">
        <v>608</v>
      </c>
      <c r="D2015" s="1" t="n">
        <v>28</v>
      </c>
      <c r="E2015" s="4">
        <f>IF(INDEX(C:C, ROW())+INDEX(D:D, ROW())=0, 0, INDEX(C:C, ROW())/(INDEX(C:C, ROW())+INDEX(D:D, ROW())))</f>
        <v/>
      </c>
      <c r="F2015" s="1" t="inlineStr">
        <is>
          <t>Array, Binary Search, Sliding Window, Sorting</t>
        </is>
      </c>
      <c r="G2015" s="1" t="inlineStr">
        <is>
          <t>Medium</t>
        </is>
      </c>
      <c r="H2015" s="1" t="n">
        <v>144179</v>
      </c>
      <c r="I2015" s="1" t="n">
        <v>301297</v>
      </c>
      <c r="J2015" s="9" t="n">
        <v>0.479</v>
      </c>
      <c r="K2015" s="1" t="inlineStr">
        <is>
          <t>Yes</t>
        </is>
      </c>
      <c r="L2015" s="1" t="inlineStr">
        <is>
          <t>Yes</t>
        </is>
      </c>
      <c r="M2015" s="1" t="inlineStr">
        <is>
          <t>No</t>
        </is>
      </c>
      <c r="N2015" s="1" t="inlineStr">
        <is>
          <t>Algorithms</t>
        </is>
      </c>
      <c r="O20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15" s="11" t="inlineStr">
        <is>
          <t>To Do</t>
        </is>
      </c>
    </row>
    <row r="2016" ht="15.75" customHeight="1" s="12">
      <c r="A2016" s="1" t="n">
        <v>1198</v>
      </c>
      <c r="B2016" s="3">
        <f>HYPERLINK("https://leetcode.com/problems/find-smallest-common-element-in-all-rows/", "Find Smallest Common Element in All Rows")</f>
        <v/>
      </c>
      <c r="C2016" s="1" t="n">
        <v>606</v>
      </c>
      <c r="D2016" s="1" t="n">
        <v>34</v>
      </c>
      <c r="E2016" s="4">
        <f>IF(INDEX(C:C, ROW())+INDEX(D:D, ROW())=0, 0, INDEX(C:C, ROW())/(INDEX(C:C, ROW())+INDEX(D:D, ROW())))</f>
        <v/>
      </c>
      <c r="F2016" s="1" t="inlineStr">
        <is>
          <t>Array, Hash Table, Binary Search, Matrix, Counting</t>
        </is>
      </c>
      <c r="G2016" s="1" t="inlineStr">
        <is>
          <t>Medium</t>
        </is>
      </c>
      <c r="H2016" s="1" t="n">
        <v>55737</v>
      </c>
      <c r="I2016" s="1" t="n">
        <v>72602</v>
      </c>
      <c r="J2016" s="9" t="n">
        <v>0.768</v>
      </c>
      <c r="K2016" s="1" t="inlineStr">
        <is>
          <t>No</t>
        </is>
      </c>
      <c r="L2016" s="1" t="inlineStr">
        <is>
          <t>Yes</t>
        </is>
      </c>
      <c r="M2016" s="1" t="inlineStr">
        <is>
          <t>Yes</t>
        </is>
      </c>
      <c r="N2016" s="1" t="inlineStr">
        <is>
          <t>Algorithms</t>
        </is>
      </c>
      <c r="O20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16" s="11" t="inlineStr">
        <is>
          <t>To Do</t>
        </is>
      </c>
    </row>
    <row r="2017" ht="15.75" customHeight="1" s="12">
      <c r="A2017" s="1" t="n">
        <v>1429</v>
      </c>
      <c r="B2017" s="3">
        <f>HYPERLINK("https://leetcode.com/problems/first-unique-number/", "First Unique Number")</f>
        <v/>
      </c>
      <c r="C2017" s="1" t="n">
        <v>606</v>
      </c>
      <c r="D2017" s="1" t="n">
        <v>35</v>
      </c>
      <c r="E2017" s="4">
        <f>IF(INDEX(C:C, ROW())+INDEX(D:D, ROW())=0, 0, INDEX(C:C, ROW())/(INDEX(C:C, ROW())+INDEX(D:D, ROW())))</f>
        <v/>
      </c>
      <c r="F2017" s="1" t="inlineStr">
        <is>
          <t>Array, Hash Table, Design, Queue, Data Stream</t>
        </is>
      </c>
      <c r="G2017" s="1" t="inlineStr">
        <is>
          <t>Medium</t>
        </is>
      </c>
      <c r="H2017" s="1" t="n">
        <v>113947</v>
      </c>
      <c r="I2017" s="1" t="n">
        <v>198205</v>
      </c>
      <c r="J2017" s="9" t="n">
        <v>0.575</v>
      </c>
      <c r="K2017" s="1" t="inlineStr">
        <is>
          <t>No</t>
        </is>
      </c>
      <c r="L2017" s="1" t="inlineStr">
        <is>
          <t>Yes</t>
        </is>
      </c>
      <c r="M2017" s="1" t="inlineStr">
        <is>
          <t>No</t>
        </is>
      </c>
      <c r="N2017" s="1" t="inlineStr">
        <is>
          <t>Algorithms</t>
        </is>
      </c>
      <c r="O20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17" s="11" t="inlineStr">
        <is>
          <t>To Do</t>
        </is>
      </c>
    </row>
    <row r="2018" ht="15.75" customHeight="1" s="12">
      <c r="A2018" s="1" t="n">
        <v>2186</v>
      </c>
      <c r="B2018" s="3">
        <f>HYPERLINK("https://leetcode.com/problems/minimum-number-of-steps-to-make-two-strings-anagram-ii/", "Minimum Number of Steps to Make Two Strings Anagram II")</f>
        <v/>
      </c>
      <c r="C2018" s="1" t="n">
        <v>606</v>
      </c>
      <c r="D2018" s="1" t="n">
        <v>28</v>
      </c>
      <c r="E2018" s="4">
        <f>IF(INDEX(C:C, ROW())+INDEX(D:D, ROW())=0, 0, INDEX(C:C, ROW())/(INDEX(C:C, ROW())+INDEX(D:D, ROW())))</f>
        <v/>
      </c>
      <c r="F2018" s="1" t="inlineStr">
        <is>
          <t>Hash Table, String, Counting</t>
        </is>
      </c>
      <c r="G2018" s="1" t="inlineStr">
        <is>
          <t>Medium</t>
        </is>
      </c>
      <c r="H2018" s="1" t="n">
        <v>54786</v>
      </c>
      <c r="I2018" s="1" t="n">
        <v>75034</v>
      </c>
      <c r="J2018" s="9" t="n">
        <v>0.73</v>
      </c>
      <c r="K2018" s="1" t="inlineStr">
        <is>
          <t>Yes</t>
        </is>
      </c>
      <c r="L2018" s="1" t="inlineStr">
        <is>
          <t>No</t>
        </is>
      </c>
      <c r="M2018" s="1" t="inlineStr">
        <is>
          <t>No</t>
        </is>
      </c>
      <c r="N2018" s="1" t="inlineStr">
        <is>
          <t>Algorithms</t>
        </is>
      </c>
      <c r="O20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18" s="11" t="inlineStr">
        <is>
          <t>To Do</t>
        </is>
      </c>
    </row>
    <row r="2019" ht="15.75" customHeight="1" s="12">
      <c r="A2019" s="1" t="n">
        <v>2918</v>
      </c>
      <c r="B2019" s="3">
        <f>HYPERLINK("https://leetcode.com/problems/minimum-equal-sum-of-two-arrays-after-replacing-zeros/", "Minimum Equal Sum of Two Arrays After Replacing Zeros")</f>
        <v/>
      </c>
      <c r="C2019" s="1" t="n">
        <v>606</v>
      </c>
      <c r="D2019" s="1" t="n">
        <v>55</v>
      </c>
      <c r="E2019" s="4">
        <f>IF(INDEX(C:C, ROW())+INDEX(D:D, ROW())=0, 0, INDEX(C:C, ROW())/(INDEX(C:C, ROW())+INDEX(D:D, ROW())))</f>
        <v/>
      </c>
      <c r="F2019" s="1" t="inlineStr">
        <is>
          <t>Array, Greedy</t>
        </is>
      </c>
      <c r="G2019" s="1" t="inlineStr">
        <is>
          <t>Medium</t>
        </is>
      </c>
      <c r="H2019" s="1" t="n">
        <v>144381</v>
      </c>
      <c r="I2019" s="1" t="n">
        <v>287741</v>
      </c>
      <c r="J2019" s="9" t="n">
        <v>0.502</v>
      </c>
      <c r="K2019" s="1" t="inlineStr">
        <is>
          <t>Yes</t>
        </is>
      </c>
      <c r="L2019" s="1" t="inlineStr">
        <is>
          <t>Yes</t>
        </is>
      </c>
      <c r="M2019" s="1" t="inlineStr">
        <is>
          <t>No</t>
        </is>
      </c>
      <c r="N2019" s="1" t="inlineStr">
        <is>
          <t>Algorithms</t>
        </is>
      </c>
      <c r="O20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19" s="11" t="inlineStr">
        <is>
          <t>To Do</t>
        </is>
      </c>
    </row>
    <row r="2020" ht="15.75" customHeight="1" s="12">
      <c r="A2020" s="1" t="n">
        <v>3042</v>
      </c>
      <c r="B2020" s="3">
        <f>HYPERLINK("https://leetcode.com/problems/count-prefix-and-suffix-pairs-i/", "Count Prefix and Suffix Pairs I")</f>
        <v/>
      </c>
      <c r="C2020" s="1" t="n">
        <v>606</v>
      </c>
      <c r="D2020" s="1" t="n">
        <v>46</v>
      </c>
      <c r="E2020" s="4">
        <f>IF(INDEX(C:C, ROW())+INDEX(D:D, ROW())=0, 0, INDEX(C:C, ROW())/(INDEX(C:C, ROW())+INDEX(D:D, ROW())))</f>
        <v/>
      </c>
      <c r="F2020" s="1" t="inlineStr">
        <is>
          <t>Array, String, Trie, Rolling Hash, String Matching, Hash Function</t>
        </is>
      </c>
      <c r="G2020" s="1" t="inlineStr">
        <is>
          <t>Easy</t>
        </is>
      </c>
      <c r="H2020" s="1" t="n">
        <v>214288</v>
      </c>
      <c r="I2020" s="1" t="n">
        <v>275537</v>
      </c>
      <c r="J2020" s="9" t="n">
        <v>0.778</v>
      </c>
      <c r="K2020" s="1" t="inlineStr">
        <is>
          <t>Yes</t>
        </is>
      </c>
      <c r="L2020" s="1" t="inlineStr">
        <is>
          <t>Yes</t>
        </is>
      </c>
      <c r="M2020" s="1" t="inlineStr">
        <is>
          <t>No</t>
        </is>
      </c>
      <c r="N2020" s="1" t="inlineStr">
        <is>
          <t>Algorithms</t>
        </is>
      </c>
      <c r="O20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20" s="13" t="inlineStr">
        <is>
          <t>Done</t>
        </is>
      </c>
    </row>
    <row r="2021" ht="15.75" customHeight="1" s="12">
      <c r="A2021" s="1" t="n">
        <v>3443</v>
      </c>
      <c r="B2021" s="3">
        <f>HYPERLINK("https://leetcode.com/problems/maximum-manhattan-distance-after-k-changes/", "Maximum Manhattan Distance After K Changes")</f>
        <v/>
      </c>
      <c r="C2021" s="1" t="n">
        <v>606</v>
      </c>
      <c r="D2021" s="1" t="n">
        <v>69</v>
      </c>
      <c r="E2021" s="4">
        <f>IF(INDEX(C:C, ROW())+INDEX(D:D, ROW())=0, 0, INDEX(C:C, ROW())/(INDEX(C:C, ROW())+INDEX(D:D, ROW())))</f>
        <v/>
      </c>
      <c r="F2021" s="1" t="inlineStr">
        <is>
          <t>Hash Table, Math, String, Counting</t>
        </is>
      </c>
      <c r="G2021" s="1" t="inlineStr">
        <is>
          <t>Medium</t>
        </is>
      </c>
      <c r="H2021" s="1" t="n">
        <v>101167</v>
      </c>
      <c r="I2021" s="1" t="n">
        <v>186878</v>
      </c>
      <c r="J2021" s="9" t="n">
        <v>0.541</v>
      </c>
      <c r="K2021" s="1" t="inlineStr">
        <is>
          <t>Yes</t>
        </is>
      </c>
      <c r="L2021" s="1" t="inlineStr">
        <is>
          <t>Yes</t>
        </is>
      </c>
      <c r="M2021" s="1" t="inlineStr">
        <is>
          <t>No</t>
        </is>
      </c>
      <c r="N2021" s="1" t="inlineStr">
        <is>
          <t>Algorithms</t>
        </is>
      </c>
      <c r="O20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21" s="11" t="inlineStr">
        <is>
          <t>To Do</t>
        </is>
      </c>
    </row>
    <row r="2022" ht="15.75" customHeight="1" s="12">
      <c r="A2022" s="1" t="n">
        <v>157</v>
      </c>
      <c r="B2022" s="3">
        <f>HYPERLINK("https://leetcode.com/problems/read-n-characters-given-read4/", "Read N Characters Given Read4")</f>
        <v/>
      </c>
      <c r="C2022" s="1" t="n">
        <v>605</v>
      </c>
      <c r="D2022" s="1" t="n">
        <v>3605</v>
      </c>
      <c r="E2022" s="4">
        <f>IF(INDEX(C:C, ROW())+INDEX(D:D, ROW())=0, 0, INDEX(C:C, ROW())/(INDEX(C:C, ROW())+INDEX(D:D, ROW())))</f>
        <v/>
      </c>
      <c r="F2022" s="1" t="inlineStr">
        <is>
          <t>Array, Simulation, Interactive</t>
        </is>
      </c>
      <c r="G2022" s="1" t="inlineStr">
        <is>
          <t>Easy</t>
        </is>
      </c>
      <c r="H2022" s="1" t="n">
        <v>209276</v>
      </c>
      <c r="I2022" s="1" t="n">
        <v>491776</v>
      </c>
      <c r="J2022" s="9" t="n">
        <v>0.426</v>
      </c>
      <c r="K2022" s="1" t="inlineStr">
        <is>
          <t>No</t>
        </is>
      </c>
      <c r="L2022" s="1" t="inlineStr">
        <is>
          <t>Yes</t>
        </is>
      </c>
      <c r="M2022" s="1" t="inlineStr">
        <is>
          <t>No</t>
        </is>
      </c>
      <c r="N2022" s="1" t="inlineStr">
        <is>
          <t>Algorithms</t>
        </is>
      </c>
      <c r="O20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22" s="11" t="inlineStr">
        <is>
          <t>To Do</t>
        </is>
      </c>
    </row>
    <row r="2023" ht="15.75" customHeight="1" s="12">
      <c r="A2023" s="1" t="n">
        <v>2555</v>
      </c>
      <c r="B2023" s="3">
        <f>HYPERLINK("https://leetcode.com/problems/maximize-win-from-two-segments/", "Maximize Win From Two Segments")</f>
        <v/>
      </c>
      <c r="C2023" s="1" t="n">
        <v>605</v>
      </c>
      <c r="D2023" s="1" t="n">
        <v>64</v>
      </c>
      <c r="E2023" s="4">
        <f>IF(INDEX(C:C, ROW())+INDEX(D:D, ROW())=0, 0, INDEX(C:C, ROW())/(INDEX(C:C, ROW())+INDEX(D:D, ROW())))</f>
        <v/>
      </c>
      <c r="F2023" s="1" t="inlineStr">
        <is>
          <t>Array, Binary Search, Sliding Window</t>
        </is>
      </c>
      <c r="G2023" s="1" t="inlineStr">
        <is>
          <t>Medium</t>
        </is>
      </c>
      <c r="H2023" s="1" t="n">
        <v>15980</v>
      </c>
      <c r="I2023" s="1" t="n">
        <v>42445</v>
      </c>
      <c r="J2023" s="9" t="n">
        <v>0.376</v>
      </c>
      <c r="K2023" s="1" t="inlineStr">
        <is>
          <t>Yes</t>
        </is>
      </c>
      <c r="L2023" s="1" t="inlineStr">
        <is>
          <t>No</t>
        </is>
      </c>
      <c r="M2023" s="1" t="inlineStr">
        <is>
          <t>No</t>
        </is>
      </c>
      <c r="N2023" s="1" t="inlineStr">
        <is>
          <t>Algorithms</t>
        </is>
      </c>
      <c r="O20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23" s="11" t="inlineStr">
        <is>
          <t>To Do</t>
        </is>
      </c>
    </row>
    <row r="2024" ht="15.75" customHeight="1" s="12">
      <c r="A2024" s="1" t="n">
        <v>3296</v>
      </c>
      <c r="B2024" s="3">
        <f>HYPERLINK("https://leetcode.com/problems/minimum-number-of-seconds-to-make-mountain-height-zero/", "Minimum Number of Seconds to Make Mountain Height Zero")</f>
        <v/>
      </c>
      <c r="C2024" s="1" t="n">
        <v>605</v>
      </c>
      <c r="D2024" s="1" t="n">
        <v>94</v>
      </c>
      <c r="E2024" s="4">
        <f>IF(INDEX(C:C, ROW())+INDEX(D:D, ROW())=0, 0, INDEX(C:C, ROW())/(INDEX(C:C, ROW())+INDEX(D:D, ROW())))</f>
        <v/>
      </c>
      <c r="F2024" s="1" t="inlineStr">
        <is>
          <t>Array, Math, Binary Search, Greedy, Heap (Priority Queue)</t>
        </is>
      </c>
      <c r="G2024" s="1" t="inlineStr">
        <is>
          <t>Medium</t>
        </is>
      </c>
      <c r="H2024" s="1" t="n">
        <v>104492</v>
      </c>
      <c r="I2024" s="1" t="n">
        <v>179118</v>
      </c>
      <c r="J2024" s="9" t="n">
        <v>0.583</v>
      </c>
      <c r="K2024" s="1" t="inlineStr">
        <is>
          <t>Yes</t>
        </is>
      </c>
      <c r="L2024" s="1" t="inlineStr">
        <is>
          <t>Yes</t>
        </is>
      </c>
      <c r="M2024" s="1" t="inlineStr">
        <is>
          <t>No</t>
        </is>
      </c>
      <c r="N2024" s="1" t="inlineStr">
        <is>
          <t>Algorithms</t>
        </is>
      </c>
      <c r="O20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24" s="11" t="inlineStr">
        <is>
          <t>To Do</t>
        </is>
      </c>
    </row>
    <row r="2025" ht="15.75" customHeight="1" s="12">
      <c r="A2025" s="1" t="n">
        <v>2188</v>
      </c>
      <c r="B2025" s="3">
        <f>HYPERLINK("https://leetcode.com/problems/minimum-time-to-finish-the-race/", "Minimum Time to Finish the Race")</f>
        <v/>
      </c>
      <c r="C2025" s="1" t="n">
        <v>604</v>
      </c>
      <c r="D2025" s="1" t="n">
        <v>29</v>
      </c>
      <c r="E2025" s="4">
        <f>IF(INDEX(C:C, ROW())+INDEX(D:D, ROW())=0, 0, INDEX(C:C, ROW())/(INDEX(C:C, ROW())+INDEX(D:D, ROW())))</f>
        <v/>
      </c>
      <c r="F2025" s="1" t="inlineStr">
        <is>
          <t>Array, Dynamic Programming</t>
        </is>
      </c>
      <c r="G2025" s="1" t="inlineStr">
        <is>
          <t>Hard</t>
        </is>
      </c>
      <c r="H2025" s="1" t="n">
        <v>15826</v>
      </c>
      <c r="I2025" s="1" t="n">
        <v>36594</v>
      </c>
      <c r="J2025" s="9" t="n">
        <v>0.432</v>
      </c>
      <c r="K2025" s="1" t="inlineStr">
        <is>
          <t>Yes</t>
        </is>
      </c>
      <c r="L2025" s="1" t="inlineStr">
        <is>
          <t>No</t>
        </is>
      </c>
      <c r="M2025" s="1" t="inlineStr">
        <is>
          <t>No</t>
        </is>
      </c>
      <c r="N2025" s="1" t="inlineStr">
        <is>
          <t>Algorithms</t>
        </is>
      </c>
      <c r="O20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25" s="11" t="inlineStr">
        <is>
          <t>To Do</t>
        </is>
      </c>
    </row>
    <row r="2026" ht="15.75" customHeight="1" s="12">
      <c r="A2026" s="1" t="n">
        <v>2643</v>
      </c>
      <c r="B2026" s="3">
        <f>HYPERLINK("https://leetcode.com/problems/row-with-maximum-ones/", "Row With Maximum Ones")</f>
        <v/>
      </c>
      <c r="C2026" s="1" t="n">
        <v>603</v>
      </c>
      <c r="D2026" s="1" t="n">
        <v>23</v>
      </c>
      <c r="E2026" s="4">
        <f>IF(INDEX(C:C, ROW())+INDEX(D:D, ROW())=0, 0, INDEX(C:C, ROW())/(INDEX(C:C, ROW())+INDEX(D:D, ROW())))</f>
        <v/>
      </c>
      <c r="F2026" s="1" t="inlineStr">
        <is>
          <t>Array, Matrix</t>
        </is>
      </c>
      <c r="G2026" s="1" t="inlineStr">
        <is>
          <t>Easy</t>
        </is>
      </c>
      <c r="H2026" s="1" t="n">
        <v>122313</v>
      </c>
      <c r="I2026" s="1" t="n">
        <v>164662</v>
      </c>
      <c r="J2026" s="9" t="n">
        <v>0.743</v>
      </c>
      <c r="K2026" s="1" t="inlineStr">
        <is>
          <t>Yes</t>
        </is>
      </c>
      <c r="L2026" s="1" t="inlineStr">
        <is>
          <t>No</t>
        </is>
      </c>
      <c r="M2026" s="1" t="inlineStr">
        <is>
          <t>No</t>
        </is>
      </c>
      <c r="N2026" s="1" t="inlineStr">
        <is>
          <t>Algorithms</t>
        </is>
      </c>
      <c r="O20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26" s="13" t="inlineStr">
        <is>
          <t>Done</t>
        </is>
      </c>
    </row>
    <row r="2027" ht="15.75" customHeight="1" s="12">
      <c r="A2027" s="1" t="n">
        <v>3479</v>
      </c>
      <c r="B2027" s="3">
        <f>HYPERLINK("https://leetcode.com/problems/fruits-into-baskets-iii/", "Fruits Into Baskets III")</f>
        <v/>
      </c>
      <c r="C2027" s="1" t="n">
        <v>603</v>
      </c>
      <c r="D2027" s="1" t="n">
        <v>83</v>
      </c>
      <c r="E2027" s="4">
        <f>IF(INDEX(C:C, ROW())+INDEX(D:D, ROW())=0, 0, INDEX(C:C, ROW())/(INDEX(C:C, ROW())+INDEX(D:D, ROW())))</f>
        <v/>
      </c>
      <c r="F2027" s="1" t="inlineStr">
        <is>
          <t>Array, Binary Search, Segment Tree, Ordered Set</t>
        </is>
      </c>
      <c r="G2027" s="1" t="inlineStr">
        <is>
          <t>Medium</t>
        </is>
      </c>
      <c r="H2027" s="1" t="n">
        <v>87387</v>
      </c>
      <c r="I2027" s="1" t="n">
        <v>222813</v>
      </c>
      <c r="J2027" s="9" t="n">
        <v>0.392</v>
      </c>
      <c r="K2027" s="1" t="inlineStr">
        <is>
          <t>Yes</t>
        </is>
      </c>
      <c r="L2027" s="1" t="inlineStr">
        <is>
          <t>Yes</t>
        </is>
      </c>
      <c r="M2027" s="1" t="inlineStr">
        <is>
          <t>No</t>
        </is>
      </c>
      <c r="N2027" s="1" t="inlineStr">
        <is>
          <t>Algorithms</t>
        </is>
      </c>
      <c r="O20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27" s="11" t="inlineStr">
        <is>
          <t>To Do</t>
        </is>
      </c>
    </row>
    <row r="2028" ht="15.75" customHeight="1" s="12">
      <c r="A2028" s="1" t="n">
        <v>1796</v>
      </c>
      <c r="B2028" s="3">
        <f>HYPERLINK("https://leetcode.com/problems/second-largest-digit-in-a-string/", "Second Largest Digit in a String")</f>
        <v/>
      </c>
      <c r="C2028" s="1" t="n">
        <v>602</v>
      </c>
      <c r="D2028" s="1" t="n">
        <v>133</v>
      </c>
      <c r="E2028" s="4">
        <f>IF(INDEX(C:C, ROW())+INDEX(D:D, ROW())=0, 0, INDEX(C:C, ROW())/(INDEX(C:C, ROW())+INDEX(D:D, ROW())))</f>
        <v/>
      </c>
      <c r="F2028" s="1" t="inlineStr">
        <is>
          <t>Hash Table, String</t>
        </is>
      </c>
      <c r="G2028" s="1" t="inlineStr">
        <is>
          <t>Easy</t>
        </is>
      </c>
      <c r="H2028" s="1" t="n">
        <v>103709</v>
      </c>
      <c r="I2028" s="1" t="n">
        <v>190957</v>
      </c>
      <c r="J2028" s="9" t="n">
        <v>0.543</v>
      </c>
      <c r="K2028" s="1" t="inlineStr">
        <is>
          <t>Yes</t>
        </is>
      </c>
      <c r="L2028" s="1" t="inlineStr">
        <is>
          <t>No</t>
        </is>
      </c>
      <c r="M2028" s="1" t="inlineStr">
        <is>
          <t>No</t>
        </is>
      </c>
      <c r="N2028" s="1" t="inlineStr">
        <is>
          <t>Algorithms</t>
        </is>
      </c>
      <c r="O20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28" s="13" t="inlineStr">
        <is>
          <t>Done</t>
        </is>
      </c>
    </row>
    <row r="2029" ht="15.75" customHeight="1" s="12">
      <c r="A2029" s="1" t="n">
        <v>2243</v>
      </c>
      <c r="B2029" s="3">
        <f>HYPERLINK("https://leetcode.com/problems/calculate-digit-sum-of-a-string/", "Calculate Digit Sum of a String")</f>
        <v/>
      </c>
      <c r="C2029" s="1" t="n">
        <v>602</v>
      </c>
      <c r="D2029" s="1" t="n">
        <v>52</v>
      </c>
      <c r="E2029" s="4">
        <f>IF(INDEX(C:C, ROW())+INDEX(D:D, ROW())=0, 0, INDEX(C:C, ROW())/(INDEX(C:C, ROW())+INDEX(D:D, ROW())))</f>
        <v/>
      </c>
      <c r="F2029" s="1" t="inlineStr">
        <is>
          <t>String, Simulation</t>
        </is>
      </c>
      <c r="G2029" s="1" t="inlineStr">
        <is>
          <t>Easy</t>
        </is>
      </c>
      <c r="H2029" s="1" t="n">
        <v>55042</v>
      </c>
      <c r="I2029" s="1" t="n">
        <v>81191</v>
      </c>
      <c r="J2029" s="9" t="n">
        <v>0.678</v>
      </c>
      <c r="K2029" s="1" t="inlineStr">
        <is>
          <t>Yes</t>
        </is>
      </c>
      <c r="L2029" s="1" t="inlineStr">
        <is>
          <t>No</t>
        </is>
      </c>
      <c r="M2029" s="1" t="inlineStr">
        <is>
          <t>No</t>
        </is>
      </c>
      <c r="N2029" s="1" t="inlineStr">
        <is>
          <t>Algorithms</t>
        </is>
      </c>
      <c r="O20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29" s="13" t="inlineStr">
        <is>
          <t>Done</t>
        </is>
      </c>
    </row>
    <row r="2030" ht="15.75" customHeight="1" s="12">
      <c r="A2030" s="1" t="n">
        <v>2126</v>
      </c>
      <c r="B2030" s="3">
        <f>HYPERLINK("https://leetcode.com/problems/destroying-asteroids/", "Destroying Asteroids")</f>
        <v/>
      </c>
      <c r="C2030" s="1" t="n">
        <v>601</v>
      </c>
      <c r="D2030" s="1" t="n">
        <v>199</v>
      </c>
      <c r="E2030" s="4">
        <f>IF(INDEX(C:C, ROW())+INDEX(D:D, ROW())=0, 0, INDEX(C:C, ROW())/(INDEX(C:C, ROW())+INDEX(D:D, ROW())))</f>
        <v/>
      </c>
      <c r="F2030" s="1" t="inlineStr">
        <is>
          <t>Array, Greedy, Sorting</t>
        </is>
      </c>
      <c r="G2030" s="1" t="inlineStr">
        <is>
          <t>Medium</t>
        </is>
      </c>
      <c r="H2030" s="1" t="n">
        <v>68843</v>
      </c>
      <c r="I2030" s="1" t="n">
        <v>128607</v>
      </c>
      <c r="J2030" s="9" t="n">
        <v>0.535</v>
      </c>
      <c r="K2030" s="1" t="inlineStr">
        <is>
          <t>Yes</t>
        </is>
      </c>
      <c r="L2030" s="1" t="inlineStr">
        <is>
          <t>No</t>
        </is>
      </c>
      <c r="M2030" s="1" t="inlineStr">
        <is>
          <t>No</t>
        </is>
      </c>
      <c r="N2030" s="1" t="inlineStr">
        <is>
          <t>Algorithms</t>
        </is>
      </c>
      <c r="O20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30" s="11" t="inlineStr">
        <is>
          <t>To Do</t>
        </is>
      </c>
    </row>
    <row r="2031" ht="15.75" customHeight="1" s="12">
      <c r="A2031" s="1" t="n">
        <v>2576</v>
      </c>
      <c r="B2031" s="3">
        <f>HYPERLINK("https://leetcode.com/problems/find-the-maximum-number-of-marked-indices/", "Find the Maximum Number of Marked Indices")</f>
        <v/>
      </c>
      <c r="C2031" s="1" t="n">
        <v>601</v>
      </c>
      <c r="D2031" s="1" t="n">
        <v>29</v>
      </c>
      <c r="E2031" s="4">
        <f>IF(INDEX(C:C, ROW())+INDEX(D:D, ROW())=0, 0, INDEX(C:C, ROW())/(INDEX(C:C, ROW())+INDEX(D:D, ROW())))</f>
        <v/>
      </c>
      <c r="F2031" s="1" t="inlineStr">
        <is>
          <t>Array, Two Pointers, Binary Search, Greedy, Sorting</t>
        </is>
      </c>
      <c r="G2031" s="1" t="inlineStr">
        <is>
          <t>Medium</t>
        </is>
      </c>
      <c r="H2031" s="1" t="n">
        <v>27270</v>
      </c>
      <c r="I2031" s="1" t="n">
        <v>66152</v>
      </c>
      <c r="J2031" s="9" t="n">
        <v>0.412</v>
      </c>
      <c r="K2031" s="1" t="inlineStr">
        <is>
          <t>Yes</t>
        </is>
      </c>
      <c r="L2031" s="1" t="inlineStr">
        <is>
          <t>No</t>
        </is>
      </c>
      <c r="M2031" s="1" t="inlineStr">
        <is>
          <t>No</t>
        </is>
      </c>
      <c r="N2031" s="1" t="inlineStr">
        <is>
          <t>Algorithms</t>
        </is>
      </c>
      <c r="O20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31" s="11" t="inlineStr">
        <is>
          <t>To Do</t>
        </is>
      </c>
    </row>
    <row r="2032" ht="15.75" customHeight="1" s="12">
      <c r="A2032" s="1" t="n">
        <v>1265</v>
      </c>
      <c r="B2032" s="3">
        <f>HYPERLINK("https://leetcode.com/problems/print-immutable-linked-list-in-reverse/", "Print Immutable Linked List in Reverse")</f>
        <v/>
      </c>
      <c r="C2032" s="1" t="n">
        <v>599</v>
      </c>
      <c r="D2032" s="1" t="n">
        <v>106</v>
      </c>
      <c r="E2032" s="4">
        <f>IF(INDEX(C:C, ROW())+INDEX(D:D, ROW())=0, 0, INDEX(C:C, ROW())/(INDEX(C:C, ROW())+INDEX(D:D, ROW())))</f>
        <v/>
      </c>
      <c r="F2032" s="1" t="inlineStr">
        <is>
          <t>Linked List, Two Pointers, Stack, Recursion</t>
        </is>
      </c>
      <c r="G2032" s="1" t="inlineStr">
        <is>
          <t>Medium</t>
        </is>
      </c>
      <c r="H2032" s="1" t="n">
        <v>67347</v>
      </c>
      <c r="I2032" s="1" t="n">
        <v>71600</v>
      </c>
      <c r="J2032" s="9" t="n">
        <v>0.9409999999999999</v>
      </c>
      <c r="K2032" s="1" t="inlineStr">
        <is>
          <t>No</t>
        </is>
      </c>
      <c r="L2032" s="1" t="inlineStr">
        <is>
          <t>Yes</t>
        </is>
      </c>
      <c r="M2032" s="1" t="inlineStr">
        <is>
          <t>No</t>
        </is>
      </c>
      <c r="N2032" s="1" t="inlineStr">
        <is>
          <t>Algorithms</t>
        </is>
      </c>
      <c r="O20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32" s="11" t="inlineStr">
        <is>
          <t>To Do</t>
        </is>
      </c>
    </row>
    <row r="2033" ht="15.75" customHeight="1" s="12">
      <c r="A2033" s="1" t="n">
        <v>1432</v>
      </c>
      <c r="B2033" s="3">
        <f>HYPERLINK("https://leetcode.com/problems/max-difference-you-can-get-from-changing-an-integer/", "Max Difference You Can Get From Changing an Integer")</f>
        <v/>
      </c>
      <c r="C2033" s="1" t="n">
        <v>599</v>
      </c>
      <c r="D2033" s="1" t="n">
        <v>377</v>
      </c>
      <c r="E2033" s="4">
        <f>IF(INDEX(C:C, ROW())+INDEX(D:D, ROW())=0, 0, INDEX(C:C, ROW())/(INDEX(C:C, ROW())+INDEX(D:D, ROW())))</f>
        <v/>
      </c>
      <c r="F2033" s="1" t="inlineStr">
        <is>
          <t>Math, Greedy</t>
        </is>
      </c>
      <c r="G2033" s="1" t="inlineStr">
        <is>
          <t>Medium</t>
        </is>
      </c>
      <c r="H2033" s="1" t="n">
        <v>113450</v>
      </c>
      <c r="I2033" s="1" t="n">
        <v>232813</v>
      </c>
      <c r="J2033" s="9" t="n">
        <v>0.487</v>
      </c>
      <c r="K2033" s="1" t="inlineStr">
        <is>
          <t>Yes</t>
        </is>
      </c>
      <c r="L2033" s="1" t="inlineStr">
        <is>
          <t>Yes</t>
        </is>
      </c>
      <c r="M2033" s="1" t="inlineStr">
        <is>
          <t>No</t>
        </is>
      </c>
      <c r="N2033" s="1" t="inlineStr">
        <is>
          <t>Algorithms</t>
        </is>
      </c>
      <c r="O20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33" s="11" t="inlineStr">
        <is>
          <t>To Do</t>
        </is>
      </c>
    </row>
    <row r="2034" ht="15.75" customHeight="1" s="12">
      <c r="A2034" s="1" t="n">
        <v>2652</v>
      </c>
      <c r="B2034" s="3">
        <f>HYPERLINK("https://leetcode.com/problems/sum-multiples/", "Sum Multiples")</f>
        <v/>
      </c>
      <c r="C2034" s="1" t="n">
        <v>599</v>
      </c>
      <c r="D2034" s="1" t="n">
        <v>44</v>
      </c>
      <c r="E2034" s="4">
        <f>IF(INDEX(C:C, ROW())+INDEX(D:D, ROW())=0, 0, INDEX(C:C, ROW())/(INDEX(C:C, ROW())+INDEX(D:D, ROW())))</f>
        <v/>
      </c>
      <c r="F2034" s="1" t="inlineStr">
        <is>
          <t>Math</t>
        </is>
      </c>
      <c r="G2034" s="1" t="inlineStr">
        <is>
          <t>Easy</t>
        </is>
      </c>
      <c r="H2034" s="1" t="n">
        <v>197879</v>
      </c>
      <c r="I2034" s="1" t="n">
        <v>230267</v>
      </c>
      <c r="J2034" s="9" t="n">
        <v>0.859</v>
      </c>
      <c r="K2034" s="1" t="inlineStr">
        <is>
          <t>Yes</t>
        </is>
      </c>
      <c r="L2034" s="1" t="inlineStr">
        <is>
          <t>No</t>
        </is>
      </c>
      <c r="M2034" s="1" t="inlineStr">
        <is>
          <t>No</t>
        </is>
      </c>
      <c r="N2034" s="1" t="inlineStr">
        <is>
          <t>Algorithms</t>
        </is>
      </c>
      <c r="O20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34" s="13" t="inlineStr">
        <is>
          <t>Done</t>
        </is>
      </c>
    </row>
    <row r="2035" ht="15.75" customHeight="1" s="12">
      <c r="A2035" s="1" t="n">
        <v>2906</v>
      </c>
      <c r="B2035" s="3">
        <f>HYPERLINK("https://leetcode.com/problems/construct-product-matrix/", "Construct Product Matrix")</f>
        <v/>
      </c>
      <c r="C2035" s="1" t="n">
        <v>598</v>
      </c>
      <c r="D2035" s="1" t="n">
        <v>53</v>
      </c>
      <c r="E2035" s="4">
        <f>IF(INDEX(C:C, ROW())+INDEX(D:D, ROW())=0, 0, INDEX(C:C, ROW())/(INDEX(C:C, ROW())+INDEX(D:D, ROW())))</f>
        <v/>
      </c>
      <c r="F2035" s="1" t="inlineStr">
        <is>
          <t>Array, Matrix, Prefix Sum</t>
        </is>
      </c>
      <c r="G2035" s="1" t="inlineStr">
        <is>
          <t>Medium</t>
        </is>
      </c>
      <c r="H2035" s="1" t="n">
        <v>104274</v>
      </c>
      <c r="I2035" s="1" t="n">
        <v>201487</v>
      </c>
      <c r="J2035" s="9" t="n">
        <v>0.518</v>
      </c>
      <c r="K2035" s="1" t="inlineStr">
        <is>
          <t>Yes</t>
        </is>
      </c>
      <c r="L2035" s="1" t="inlineStr">
        <is>
          <t>Yes</t>
        </is>
      </c>
      <c r="M2035" s="1" t="inlineStr">
        <is>
          <t>No</t>
        </is>
      </c>
      <c r="N2035" s="1" t="inlineStr">
        <is>
          <t>Algorithms</t>
        </is>
      </c>
      <c r="O20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35" s="11" t="inlineStr">
        <is>
          <t>To Do</t>
        </is>
      </c>
    </row>
    <row r="2036" ht="15.75" customHeight="1" s="12">
      <c r="A2036" s="1" t="n">
        <v>1242</v>
      </c>
      <c r="B2036" s="3">
        <f>HYPERLINK("https://leetcode.com/problems/web-crawler-multithreaded/", "Web Crawler Multithreaded")</f>
        <v/>
      </c>
      <c r="C2036" s="1" t="n">
        <v>597</v>
      </c>
      <c r="D2036" s="1" t="n">
        <v>104</v>
      </c>
      <c r="E2036" s="4">
        <f>IF(INDEX(C:C, ROW())+INDEX(D:D, ROW())=0, 0, INDEX(C:C, ROW())/(INDEX(C:C, ROW())+INDEX(D:D, ROW())))</f>
        <v/>
      </c>
      <c r="F2036" s="1" t="inlineStr">
        <is>
          <t>Depth-First Search, Breadth-First Search, Concurrency</t>
        </is>
      </c>
      <c r="G2036" s="1" t="inlineStr">
        <is>
          <t>Medium</t>
        </is>
      </c>
      <c r="H2036" s="1" t="n">
        <v>104856</v>
      </c>
      <c r="I2036" s="1" t="n">
        <v>204881</v>
      </c>
      <c r="J2036" s="9" t="n">
        <v>0.512</v>
      </c>
      <c r="K2036" s="1" t="inlineStr">
        <is>
          <t>No</t>
        </is>
      </c>
      <c r="L2036" s="1" t="inlineStr">
        <is>
          <t>No</t>
        </is>
      </c>
      <c r="M2036" s="1" t="inlineStr">
        <is>
          <t>No</t>
        </is>
      </c>
      <c r="N2036" s="1" t="inlineStr">
        <is>
          <t>Concurrency</t>
        </is>
      </c>
      <c r="O20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36" s="11" t="inlineStr">
        <is>
          <t>To Do</t>
        </is>
      </c>
    </row>
    <row r="2037" ht="15.75" customHeight="1" s="12">
      <c r="A2037" s="1" t="n">
        <v>2924</v>
      </c>
      <c r="B2037" s="3">
        <f>HYPERLINK("https://leetcode.com/problems/find-champion-ii/", "Find Champion II")</f>
        <v/>
      </c>
      <c r="C2037" s="1" t="n">
        <v>597</v>
      </c>
      <c r="D2037" s="1" t="n">
        <v>49</v>
      </c>
      <c r="E2037" s="4">
        <f>IF(INDEX(C:C, ROW())+INDEX(D:D, ROW())=0, 0, INDEX(C:C, ROW())/(INDEX(C:C, ROW())+INDEX(D:D, ROW())))</f>
        <v/>
      </c>
      <c r="F2037" s="1" t="inlineStr">
        <is>
          <t>Graph Theory</t>
        </is>
      </c>
      <c r="G2037" s="1" t="inlineStr">
        <is>
          <t>Medium</t>
        </is>
      </c>
      <c r="H2037" s="1" t="n">
        <v>135672</v>
      </c>
      <c r="I2037" s="1" t="n">
        <v>192949</v>
      </c>
      <c r="J2037" s="9" t="n">
        <v>0.703</v>
      </c>
      <c r="K2037" s="1" t="inlineStr">
        <is>
          <t>Yes</t>
        </is>
      </c>
      <c r="L2037" s="1" t="inlineStr">
        <is>
          <t>Yes</t>
        </is>
      </c>
      <c r="M2037" s="1" t="inlineStr">
        <is>
          <t>No</t>
        </is>
      </c>
      <c r="N2037" s="1" t="inlineStr">
        <is>
          <t>Algorithms</t>
        </is>
      </c>
      <c r="O20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37" s="11" t="inlineStr">
        <is>
          <t>To Do</t>
        </is>
      </c>
    </row>
    <row r="2038" ht="15.75" customHeight="1" s="12">
      <c r="A2038" s="1" t="n">
        <v>1959</v>
      </c>
      <c r="B2038" s="3">
        <f>HYPERLINK("https://leetcode.com/problems/minimum-total-space-wasted-with-k-resizing-operations/", "Minimum Total Space Wasted With K Resizing Operations")</f>
        <v/>
      </c>
      <c r="C2038" s="1" t="n">
        <v>595</v>
      </c>
      <c r="D2038" s="1" t="n">
        <v>63</v>
      </c>
      <c r="E2038" s="4">
        <f>IF(INDEX(C:C, ROW())+INDEX(D:D, ROW())=0, 0, INDEX(C:C, ROW())/(INDEX(C:C, ROW())+INDEX(D:D, ROW())))</f>
        <v/>
      </c>
      <c r="F2038" s="1" t="inlineStr">
        <is>
          <t>Array, Dynamic Programming, Prefix Sum</t>
        </is>
      </c>
      <c r="G2038" s="1" t="inlineStr">
        <is>
          <t>Medium</t>
        </is>
      </c>
      <c r="H2038" s="1" t="n">
        <v>11227</v>
      </c>
      <c r="I2038" s="1" t="n">
        <v>25610</v>
      </c>
      <c r="J2038" s="9" t="n">
        <v>0.438</v>
      </c>
      <c r="K2038" s="1" t="inlineStr">
        <is>
          <t>Yes</t>
        </is>
      </c>
      <c r="L2038" s="1" t="inlineStr">
        <is>
          <t>No</t>
        </is>
      </c>
      <c r="M2038" s="1" t="inlineStr">
        <is>
          <t>No</t>
        </is>
      </c>
      <c r="N2038" s="1" t="inlineStr">
        <is>
          <t>Algorithms</t>
        </is>
      </c>
      <c r="O20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38" s="11" t="inlineStr">
        <is>
          <t>To Do</t>
        </is>
      </c>
    </row>
    <row r="2039" ht="15.75" customHeight="1" s="12">
      <c r="A2039" s="1" t="n">
        <v>2666</v>
      </c>
      <c r="B2039" s="3">
        <f>HYPERLINK("https://leetcode.com/problems/allow-one-function-call/", "Allow One Function Call")</f>
        <v/>
      </c>
      <c r="C2039" s="1" t="n">
        <v>594</v>
      </c>
      <c r="D2039" s="1" t="n">
        <v>82</v>
      </c>
      <c r="E2039" s="4">
        <f>IF(INDEX(C:C, ROW())+INDEX(D:D, ROW())=0, 0, INDEX(C:C, ROW())/(INDEX(C:C, ROW())+INDEX(D:D, ROW())))</f>
        <v/>
      </c>
      <c r="F2039" s="2" t="n"/>
      <c r="G2039" s="1" t="inlineStr">
        <is>
          <t>Easy</t>
        </is>
      </c>
      <c r="H2039" s="1" t="n">
        <v>196933</v>
      </c>
      <c r="I2039" s="1" t="n">
        <v>227393</v>
      </c>
      <c r="J2039" s="9" t="n">
        <v>0.866</v>
      </c>
      <c r="K2039" s="1" t="inlineStr">
        <is>
          <t>Yes</t>
        </is>
      </c>
      <c r="L2039" s="1" t="inlineStr">
        <is>
          <t>Yes</t>
        </is>
      </c>
      <c r="M2039" s="1" t="inlineStr">
        <is>
          <t>No</t>
        </is>
      </c>
      <c r="N2039" s="1" t="inlineStr">
        <is>
          <t>JavaScript</t>
        </is>
      </c>
      <c r="O20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39" s="13" t="inlineStr">
        <is>
          <t>Done</t>
        </is>
      </c>
    </row>
    <row r="2040" ht="15.75" customHeight="1" s="12">
      <c r="A2040" s="1" t="n">
        <v>3170</v>
      </c>
      <c r="B2040" s="3">
        <f>HYPERLINK("https://leetcode.com/problems/lexicographically-minimum-string-after-removing-stars/", "Lexicographically Minimum String After Removing Stars")</f>
        <v/>
      </c>
      <c r="C2040" s="1" t="n">
        <v>594</v>
      </c>
      <c r="D2040" s="1" t="n">
        <v>89</v>
      </c>
      <c r="E2040" s="4">
        <f>IF(INDEX(C:C, ROW())+INDEX(D:D, ROW())=0, 0, INDEX(C:C, ROW())/(INDEX(C:C, ROW())+INDEX(D:D, ROW())))</f>
        <v/>
      </c>
      <c r="F2040" s="1" t="inlineStr">
        <is>
          <t>Hash Table, String, Stack, Greedy, Heap (Priority Queue)</t>
        </is>
      </c>
      <c r="G2040" s="1" t="inlineStr">
        <is>
          <t>Medium</t>
        </is>
      </c>
      <c r="H2040" s="1" t="n">
        <v>119827</v>
      </c>
      <c r="I2040" s="1" t="n">
        <v>235211</v>
      </c>
      <c r="J2040" s="9" t="n">
        <v>0.509</v>
      </c>
      <c r="K2040" s="1" t="inlineStr">
        <is>
          <t>Yes</t>
        </is>
      </c>
      <c r="L2040" s="1" t="inlineStr">
        <is>
          <t>Yes</t>
        </is>
      </c>
      <c r="M2040" s="1" t="inlineStr">
        <is>
          <t>No</t>
        </is>
      </c>
      <c r="N2040" s="1" t="inlineStr">
        <is>
          <t>Algorithms</t>
        </is>
      </c>
      <c r="O20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40" s="11" t="inlineStr">
        <is>
          <t>To Do</t>
        </is>
      </c>
    </row>
    <row r="2041" ht="15.75" customHeight="1" s="12">
      <c r="A2041" s="1" t="n">
        <v>2645</v>
      </c>
      <c r="B2041" s="3">
        <f>HYPERLINK("https://leetcode.com/problems/minimum-additions-to-make-valid-string/", "Minimum Additions to Make Valid String")</f>
        <v/>
      </c>
      <c r="C2041" s="1" t="n">
        <v>593</v>
      </c>
      <c r="D2041" s="1" t="n">
        <v>29</v>
      </c>
      <c r="E2041" s="4">
        <f>IF(INDEX(C:C, ROW())+INDEX(D:D, ROW())=0, 0, INDEX(C:C, ROW())/(INDEX(C:C, ROW())+INDEX(D:D, ROW())))</f>
        <v/>
      </c>
      <c r="F2041" s="1" t="inlineStr">
        <is>
          <t>String, Dynamic Programming, Stack, Greedy</t>
        </is>
      </c>
      <c r="G2041" s="1" t="inlineStr">
        <is>
          <t>Medium</t>
        </is>
      </c>
      <c r="H2041" s="1" t="n">
        <v>38480</v>
      </c>
      <c r="I2041" s="1" t="n">
        <v>75431</v>
      </c>
      <c r="J2041" s="9" t="n">
        <v>0.51</v>
      </c>
      <c r="K2041" s="1" t="inlineStr">
        <is>
          <t>Yes</t>
        </is>
      </c>
      <c r="L2041" s="1" t="inlineStr">
        <is>
          <t>No</t>
        </is>
      </c>
      <c r="M2041" s="1" t="inlineStr">
        <is>
          <t>No</t>
        </is>
      </c>
      <c r="N2041" s="1" t="inlineStr">
        <is>
          <t>Algorithms</t>
        </is>
      </c>
      <c r="O20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41" s="11" t="inlineStr">
        <is>
          <t>To Do</t>
        </is>
      </c>
    </row>
    <row r="2042" ht="15.75" customHeight="1" s="12">
      <c r="A2042" s="1" t="n">
        <v>3147</v>
      </c>
      <c r="B2042" s="3">
        <f>HYPERLINK("https://leetcode.com/problems/taking-maximum-energy-from-the-mystic-dungeon/", "Taking Maximum Energy From the Mystic Dungeon")</f>
        <v/>
      </c>
      <c r="C2042" s="1" t="n">
        <v>593</v>
      </c>
      <c r="D2042" s="1" t="n">
        <v>40</v>
      </c>
      <c r="E2042" s="4">
        <f>IF(INDEX(C:C, ROW())+INDEX(D:D, ROW())=0, 0, INDEX(C:C, ROW())/(INDEX(C:C, ROW())+INDEX(D:D, ROW())))</f>
        <v/>
      </c>
      <c r="F2042" s="1" t="inlineStr">
        <is>
          <t>Array, Dynamic Programming, Prefix Sum</t>
        </is>
      </c>
      <c r="G2042" s="1" t="inlineStr">
        <is>
          <t>Medium</t>
        </is>
      </c>
      <c r="H2042" s="1" t="n">
        <v>142940</v>
      </c>
      <c r="I2042" s="1" t="n">
        <v>234241</v>
      </c>
      <c r="J2042" s="9" t="n">
        <v>0.61</v>
      </c>
      <c r="K2042" s="1" t="inlineStr">
        <is>
          <t>Yes</t>
        </is>
      </c>
      <c r="L2042" s="1" t="inlineStr">
        <is>
          <t>Yes</t>
        </is>
      </c>
      <c r="M2042" s="1" t="inlineStr">
        <is>
          <t>No</t>
        </is>
      </c>
      <c r="N2042" s="1" t="inlineStr">
        <is>
          <t>Algorithms</t>
        </is>
      </c>
      <c r="O20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42" s="11" t="inlineStr">
        <is>
          <t>To Do</t>
        </is>
      </c>
    </row>
    <row r="2043" ht="15.75" customHeight="1" s="12">
      <c r="A2043" s="1" t="n">
        <v>1285</v>
      </c>
      <c r="B2043" s="3">
        <f>HYPERLINK("https://leetcode.com/problems/find-the-start-and-end-number-of-continuous-ranges/", "Find the Start and End Number of Continuous Ranges")</f>
        <v/>
      </c>
      <c r="C2043" s="1" t="n">
        <v>592</v>
      </c>
      <c r="D2043" s="1" t="n">
        <v>36</v>
      </c>
      <c r="E2043" s="4">
        <f>IF(INDEX(C:C, ROW())+INDEX(D:D, ROW())=0, 0, INDEX(C:C, ROW())/(INDEX(C:C, ROW())+INDEX(D:D, ROW())))</f>
        <v/>
      </c>
      <c r="F2043" s="1" t="inlineStr">
        <is>
          <t>Database</t>
        </is>
      </c>
      <c r="G2043" s="1" t="inlineStr">
        <is>
          <t>Medium</t>
        </is>
      </c>
      <c r="H2043" s="1" t="n">
        <v>50010</v>
      </c>
      <c r="I2043" s="1" t="n">
        <v>61097</v>
      </c>
      <c r="J2043" s="9" t="n">
        <v>0.819</v>
      </c>
      <c r="K2043" s="1" t="inlineStr">
        <is>
          <t>No</t>
        </is>
      </c>
      <c r="L2043" s="1" t="inlineStr">
        <is>
          <t>No</t>
        </is>
      </c>
      <c r="M2043" s="1" t="inlineStr">
        <is>
          <t>No</t>
        </is>
      </c>
      <c r="N2043" s="1" t="inlineStr">
        <is>
          <t>Database</t>
        </is>
      </c>
      <c r="O20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43" s="11" t="inlineStr">
        <is>
          <t>To Do</t>
        </is>
      </c>
    </row>
    <row r="2044" ht="15.75" customHeight="1" s="12">
      <c r="A2044" s="1" t="n">
        <v>2293</v>
      </c>
      <c r="B2044" s="3">
        <f>HYPERLINK("https://leetcode.com/problems/min-max-game/", "Min Max Game")</f>
        <v/>
      </c>
      <c r="C2044" s="1" t="n">
        <v>592</v>
      </c>
      <c r="D2044" s="1" t="n">
        <v>33</v>
      </c>
      <c r="E2044" s="4">
        <f>IF(INDEX(C:C, ROW())+INDEX(D:D, ROW())=0, 0, INDEX(C:C, ROW())/(INDEX(C:C, ROW())+INDEX(D:D, ROW())))</f>
        <v/>
      </c>
      <c r="F2044" s="1" t="inlineStr">
        <is>
          <t>Array, Simulation</t>
        </is>
      </c>
      <c r="G2044" s="1" t="inlineStr">
        <is>
          <t>Easy</t>
        </is>
      </c>
      <c r="H2044" s="1" t="n">
        <v>66994</v>
      </c>
      <c r="I2044" s="1" t="n">
        <v>104068</v>
      </c>
      <c r="J2044" s="9" t="n">
        <v>0.644</v>
      </c>
      <c r="K2044" s="1" t="inlineStr">
        <is>
          <t>Yes</t>
        </is>
      </c>
      <c r="L2044" s="1" t="inlineStr">
        <is>
          <t>No</t>
        </is>
      </c>
      <c r="M2044" s="1" t="inlineStr">
        <is>
          <t>No</t>
        </is>
      </c>
      <c r="N2044" s="1" t="inlineStr">
        <is>
          <t>Algorithms</t>
        </is>
      </c>
      <c r="O20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44" s="13" t="inlineStr">
        <is>
          <t>Done</t>
        </is>
      </c>
    </row>
    <row r="2045" ht="15.75" customHeight="1" s="12">
      <c r="A2045" s="1" t="n">
        <v>2741</v>
      </c>
      <c r="B2045" s="3">
        <f>HYPERLINK("https://leetcode.com/problems/special-permutations/", "Special Permutations")</f>
        <v/>
      </c>
      <c r="C2045" s="1" t="n">
        <v>592</v>
      </c>
      <c r="D2045" s="1" t="n">
        <v>66</v>
      </c>
      <c r="E2045" s="4">
        <f>IF(INDEX(C:C, ROW())+INDEX(D:D, ROW())=0, 0, INDEX(C:C, ROW())/(INDEX(C:C, ROW())+INDEX(D:D, ROW())))</f>
        <v/>
      </c>
      <c r="F2045" s="1" t="inlineStr">
        <is>
          <t>Array, Dynamic Programming, Bit Manipulation, Bitmask</t>
        </is>
      </c>
      <c r="G2045" s="1" t="inlineStr">
        <is>
          <t>Medium</t>
        </is>
      </c>
      <c r="H2045" s="1" t="n">
        <v>17942</v>
      </c>
      <c r="I2045" s="1" t="n">
        <v>60708</v>
      </c>
      <c r="J2045" s="9" t="n">
        <v>0.296</v>
      </c>
      <c r="K2045" s="1" t="inlineStr">
        <is>
          <t>Yes</t>
        </is>
      </c>
      <c r="L2045" s="1" t="inlineStr">
        <is>
          <t>No</t>
        </is>
      </c>
      <c r="M2045" s="1" t="inlineStr">
        <is>
          <t>No</t>
        </is>
      </c>
      <c r="N2045" s="1" t="inlineStr">
        <is>
          <t>Algorithms</t>
        </is>
      </c>
      <c r="O20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45" s="11" t="inlineStr">
        <is>
          <t>To Do</t>
        </is>
      </c>
    </row>
    <row r="2046" ht="15.75" customHeight="1" s="12">
      <c r="A2046" s="1" t="n">
        <v>1327</v>
      </c>
      <c r="B2046" s="3">
        <f>HYPERLINK("https://leetcode.com/problems/list-the-products-ordered-in-a-period/", "List the Products Ordered in a Period")</f>
        <v/>
      </c>
      <c r="C2046" s="1" t="n">
        <v>589</v>
      </c>
      <c r="D2046" s="1" t="n">
        <v>48</v>
      </c>
      <c r="E2046" s="4">
        <f>IF(INDEX(C:C, ROW())+INDEX(D:D, ROW())=0, 0, INDEX(C:C, ROW())/(INDEX(C:C, ROW())+INDEX(D:D, ROW())))</f>
        <v/>
      </c>
      <c r="F2046" s="1" t="inlineStr">
        <is>
          <t>Database</t>
        </is>
      </c>
      <c r="G2046" s="1" t="inlineStr">
        <is>
          <t>Easy</t>
        </is>
      </c>
      <c r="H2046" s="1" t="n">
        <v>320752</v>
      </c>
      <c r="I2046" s="1" t="n">
        <v>447147</v>
      </c>
      <c r="J2046" s="9" t="n">
        <v>0.717</v>
      </c>
      <c r="K2046" s="1" t="inlineStr">
        <is>
          <t>Yes</t>
        </is>
      </c>
      <c r="L2046" s="1" t="inlineStr">
        <is>
          <t>No</t>
        </is>
      </c>
      <c r="M2046" s="1" t="inlineStr">
        <is>
          <t>No</t>
        </is>
      </c>
      <c r="N2046" s="1" t="inlineStr">
        <is>
          <t>Database</t>
        </is>
      </c>
      <c r="O20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46" s="13" t="inlineStr">
        <is>
          <t>Done</t>
        </is>
      </c>
    </row>
    <row r="2047" ht="15.75" customHeight="1" s="12">
      <c r="A2047" s="1" t="n">
        <v>2344</v>
      </c>
      <c r="B2047" s="3">
        <f>HYPERLINK("https://leetcode.com/problems/minimum-deletions-to-make-array-divisible/", "Minimum Deletions to Make Array Divisible")</f>
        <v/>
      </c>
      <c r="C2047" s="1" t="n">
        <v>589</v>
      </c>
      <c r="D2047" s="1" t="n">
        <v>135</v>
      </c>
      <c r="E2047" s="4">
        <f>IF(INDEX(C:C, ROW())+INDEX(D:D, ROW())=0, 0, INDEX(C:C, ROW())/(INDEX(C:C, ROW())+INDEX(D:D, ROW())))</f>
        <v/>
      </c>
      <c r="F2047" s="1" t="inlineStr">
        <is>
          <t>Array, Math, Sorting, Heap (Priority Queue), Number Theory</t>
        </is>
      </c>
      <c r="G2047" s="1" t="inlineStr">
        <is>
          <t>Hard</t>
        </is>
      </c>
      <c r="H2047" s="1" t="n">
        <v>48627</v>
      </c>
      <c r="I2047" s="1" t="n">
        <v>79285</v>
      </c>
      <c r="J2047" s="9" t="n">
        <v>0.613</v>
      </c>
      <c r="K2047" s="1" t="inlineStr">
        <is>
          <t>Yes</t>
        </is>
      </c>
      <c r="L2047" s="1" t="inlineStr">
        <is>
          <t>No</t>
        </is>
      </c>
      <c r="M2047" s="1" t="inlineStr">
        <is>
          <t>No</t>
        </is>
      </c>
      <c r="N2047" s="1" t="inlineStr">
        <is>
          <t>Algorithms</t>
        </is>
      </c>
      <c r="O20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47" s="11" t="inlineStr">
        <is>
          <t>To Do</t>
        </is>
      </c>
    </row>
    <row r="2048" ht="15.75" customHeight="1" s="12">
      <c r="A2048" s="1" t="n">
        <v>2506</v>
      </c>
      <c r="B2048" s="3">
        <f>HYPERLINK("https://leetcode.com/problems/count-pairs-of-similar-strings/", "Count Pairs Of Similar Strings")</f>
        <v/>
      </c>
      <c r="C2048" s="1" t="n">
        <v>589</v>
      </c>
      <c r="D2048" s="1" t="n">
        <v>41</v>
      </c>
      <c r="E2048" s="4">
        <f>IF(INDEX(C:C, ROW())+INDEX(D:D, ROW())=0, 0, INDEX(C:C, ROW())/(INDEX(C:C, ROW())+INDEX(D:D, ROW())))</f>
        <v/>
      </c>
      <c r="F2048" s="1" t="inlineStr">
        <is>
          <t>Array, Hash Table, String, Bit Manipulation, Counting</t>
        </is>
      </c>
      <c r="G2048" s="1" t="inlineStr">
        <is>
          <t>Easy</t>
        </is>
      </c>
      <c r="H2048" s="1" t="n">
        <v>73093</v>
      </c>
      <c r="I2048" s="1" t="n">
        <v>99239</v>
      </c>
      <c r="J2048" s="9" t="n">
        <v>0.737</v>
      </c>
      <c r="K2048" s="1" t="inlineStr">
        <is>
          <t>Yes</t>
        </is>
      </c>
      <c r="L2048" s="1" t="inlineStr">
        <is>
          <t>No</t>
        </is>
      </c>
      <c r="M2048" s="1" t="inlineStr">
        <is>
          <t>No</t>
        </is>
      </c>
      <c r="N2048" s="1" t="inlineStr">
        <is>
          <t>Algorithms</t>
        </is>
      </c>
      <c r="O20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48" s="13" t="inlineStr">
        <is>
          <t>Done</t>
        </is>
      </c>
    </row>
    <row r="2049" ht="15.75" customHeight="1" s="12">
      <c r="A2049" s="1" t="n">
        <v>794</v>
      </c>
      <c r="B2049" s="3">
        <f>HYPERLINK("https://leetcode.com/problems/valid-tic-tac-toe-state/", "Valid Tic-Tac-Toe State")</f>
        <v/>
      </c>
      <c r="C2049" s="1" t="n">
        <v>588</v>
      </c>
      <c r="D2049" s="1" t="n">
        <v>1168</v>
      </c>
      <c r="E2049" s="4">
        <f>IF(INDEX(C:C, ROW())+INDEX(D:D, ROW())=0, 0, INDEX(C:C, ROW())/(INDEX(C:C, ROW())+INDEX(D:D, ROW())))</f>
        <v/>
      </c>
      <c r="F2049" s="1" t="inlineStr">
        <is>
          <t>Array, Matrix</t>
        </is>
      </c>
      <c r="G2049" s="1" t="inlineStr">
        <is>
          <t>Medium</t>
        </is>
      </c>
      <c r="H2049" s="1" t="n">
        <v>67964</v>
      </c>
      <c r="I2049" s="1" t="n">
        <v>195265</v>
      </c>
      <c r="J2049" s="9" t="n">
        <v>0.348</v>
      </c>
      <c r="K2049" s="1" t="inlineStr">
        <is>
          <t>Yes</t>
        </is>
      </c>
      <c r="L2049" s="1" t="inlineStr">
        <is>
          <t>Yes</t>
        </is>
      </c>
      <c r="M2049" s="1" t="inlineStr">
        <is>
          <t>No</t>
        </is>
      </c>
      <c r="N2049" s="1" t="inlineStr">
        <is>
          <t>Algorithms</t>
        </is>
      </c>
      <c r="O20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49" s="11" t="inlineStr">
        <is>
          <t>To Do</t>
        </is>
      </c>
    </row>
    <row r="2050" ht="15.75" customHeight="1" s="12">
      <c r="A2050" s="1" t="n">
        <v>2575</v>
      </c>
      <c r="B2050" s="3">
        <f>HYPERLINK("https://leetcode.com/problems/find-the-divisibility-array-of-a-string/", "Find the Divisibility Array of a String")</f>
        <v/>
      </c>
      <c r="C2050" s="1" t="n">
        <v>587</v>
      </c>
      <c r="D2050" s="1" t="n">
        <v>25</v>
      </c>
      <c r="E2050" s="4">
        <f>IF(INDEX(C:C, ROW())+INDEX(D:D, ROW())=0, 0, INDEX(C:C, ROW())/(INDEX(C:C, ROW())+INDEX(D:D, ROW())))</f>
        <v/>
      </c>
      <c r="F2050" s="1" t="inlineStr">
        <is>
          <t>Array, Math, String</t>
        </is>
      </c>
      <c r="G2050" s="1" t="inlineStr">
        <is>
          <t>Medium</t>
        </is>
      </c>
      <c r="H2050" s="1" t="n">
        <v>40211</v>
      </c>
      <c r="I2050" s="1" t="n">
        <v>110230</v>
      </c>
      <c r="J2050" s="9" t="n">
        <v>0.365</v>
      </c>
      <c r="K2050" s="1" t="inlineStr">
        <is>
          <t>Yes</t>
        </is>
      </c>
      <c r="L2050" s="1" t="inlineStr">
        <is>
          <t>No</t>
        </is>
      </c>
      <c r="M2050" s="1" t="inlineStr">
        <is>
          <t>No</t>
        </is>
      </c>
      <c r="N2050" s="1" t="inlineStr">
        <is>
          <t>Algorithms</t>
        </is>
      </c>
      <c r="O20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50" s="11" t="inlineStr">
        <is>
          <t>To Do</t>
        </is>
      </c>
    </row>
    <row r="2051" ht="15.75" customHeight="1" s="12">
      <c r="A2051" s="1" t="n">
        <v>1117</v>
      </c>
      <c r="B2051" s="3">
        <f>HYPERLINK("https://leetcode.com/problems/building-h2o/", "Building H2O")</f>
        <v/>
      </c>
      <c r="C2051" s="1" t="n">
        <v>585</v>
      </c>
      <c r="D2051" s="1" t="n">
        <v>199</v>
      </c>
      <c r="E2051" s="4">
        <f>IF(INDEX(C:C, ROW())+INDEX(D:D, ROW())=0, 0, INDEX(C:C, ROW())/(INDEX(C:C, ROW())+INDEX(D:D, ROW())))</f>
        <v/>
      </c>
      <c r="F2051" s="1" t="inlineStr">
        <is>
          <t>Concurrency</t>
        </is>
      </c>
      <c r="G2051" s="1" t="inlineStr">
        <is>
          <t>Medium</t>
        </is>
      </c>
      <c r="H2051" s="1" t="n">
        <v>88201</v>
      </c>
      <c r="I2051" s="1" t="n">
        <v>151270</v>
      </c>
      <c r="J2051" s="9" t="n">
        <v>0.583</v>
      </c>
      <c r="K2051" s="1" t="inlineStr">
        <is>
          <t>Yes</t>
        </is>
      </c>
      <c r="L2051" s="1" t="inlineStr">
        <is>
          <t>No</t>
        </is>
      </c>
      <c r="M2051" s="1" t="inlineStr">
        <is>
          <t>No</t>
        </is>
      </c>
      <c r="N2051" s="1" t="inlineStr">
        <is>
          <t>Concurrency</t>
        </is>
      </c>
      <c r="O20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51" s="11" t="inlineStr">
        <is>
          <t>To Do</t>
        </is>
      </c>
    </row>
    <row r="2052" ht="15.75" customHeight="1" s="12">
      <c r="A2052" s="1" t="n">
        <v>192</v>
      </c>
      <c r="B2052" s="3">
        <f>HYPERLINK("https://leetcode.com/problems/word-frequency/", "Word Frequency")</f>
        <v/>
      </c>
      <c r="C2052" s="1" t="n">
        <v>584</v>
      </c>
      <c r="D2052" s="1" t="n">
        <v>311</v>
      </c>
      <c r="E2052" s="4">
        <f>IF(INDEX(C:C, ROW())+INDEX(D:D, ROW())=0, 0, INDEX(C:C, ROW())/(INDEX(C:C, ROW())+INDEX(D:D, ROW())))</f>
        <v/>
      </c>
      <c r="F2052" s="1" t="inlineStr">
        <is>
          <t>Shell</t>
        </is>
      </c>
      <c r="G2052" s="1" t="inlineStr">
        <is>
          <t>Medium</t>
        </is>
      </c>
      <c r="H2052" s="1" t="n">
        <v>78390</v>
      </c>
      <c r="I2052" s="1" t="n">
        <v>270579</v>
      </c>
      <c r="J2052" s="9" t="n">
        <v>0.29</v>
      </c>
      <c r="K2052" s="1" t="inlineStr">
        <is>
          <t>Yes</t>
        </is>
      </c>
      <c r="L2052" s="1" t="inlineStr">
        <is>
          <t>No</t>
        </is>
      </c>
      <c r="M2052" s="1" t="inlineStr">
        <is>
          <t>No</t>
        </is>
      </c>
      <c r="N2052" s="1" t="inlineStr">
        <is>
          <t>Shell</t>
        </is>
      </c>
      <c r="O20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52" s="11" t="inlineStr">
        <is>
          <t>To Do</t>
        </is>
      </c>
    </row>
    <row r="2053" ht="15.75" customHeight="1" s="12">
      <c r="A2053" s="1" t="n">
        <v>568</v>
      </c>
      <c r="B2053" s="3">
        <f>HYPERLINK("https://leetcode.com/problems/maximum-vacation-days/", "Maximum Vacation Days")</f>
        <v/>
      </c>
      <c r="C2053" s="1" t="n">
        <v>584</v>
      </c>
      <c r="D2053" s="1" t="n">
        <v>121</v>
      </c>
      <c r="E2053" s="4">
        <f>IF(INDEX(C:C, ROW())+INDEX(D:D, ROW())=0, 0, INDEX(C:C, ROW())/(INDEX(C:C, ROW())+INDEX(D:D, ROW())))</f>
        <v/>
      </c>
      <c r="F2053" s="1" t="inlineStr">
        <is>
          <t>Array, Dynamic Programming, Matrix</t>
        </is>
      </c>
      <c r="G2053" s="1" t="inlineStr">
        <is>
          <t>Hard</t>
        </is>
      </c>
      <c r="H2053" s="1" t="n">
        <v>41413</v>
      </c>
      <c r="I2053" s="1" t="n">
        <v>88547</v>
      </c>
      <c r="J2053" s="9" t="n">
        <v>0.468</v>
      </c>
      <c r="K2053" s="1" t="inlineStr">
        <is>
          <t>No</t>
        </is>
      </c>
      <c r="L2053" s="1" t="inlineStr">
        <is>
          <t>Yes</t>
        </is>
      </c>
      <c r="M2053" s="1" t="inlineStr">
        <is>
          <t>No</t>
        </is>
      </c>
      <c r="N2053" s="1" t="inlineStr">
        <is>
          <t>Algorithms</t>
        </is>
      </c>
      <c r="O20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53" s="11" t="inlineStr">
        <is>
          <t>To Do</t>
        </is>
      </c>
    </row>
    <row r="2054" ht="15.75" customHeight="1" s="12">
      <c r="A2054" s="1" t="n">
        <v>2712</v>
      </c>
      <c r="B2054" s="3">
        <f>HYPERLINK("https://leetcode.com/problems/minimum-cost-to-make-all-characters-equal/", "Minimum Cost to Make All Characters Equal")</f>
        <v/>
      </c>
      <c r="C2054" s="1" t="n">
        <v>584</v>
      </c>
      <c r="D2054" s="1" t="n">
        <v>27</v>
      </c>
      <c r="E2054" s="4">
        <f>IF(INDEX(C:C, ROW())+INDEX(D:D, ROW())=0, 0, INDEX(C:C, ROW())/(INDEX(C:C, ROW())+INDEX(D:D, ROW())))</f>
        <v/>
      </c>
      <c r="F2054" s="1" t="inlineStr">
        <is>
          <t>String, Dynamic Programming, Greedy</t>
        </is>
      </c>
      <c r="G2054" s="1" t="inlineStr">
        <is>
          <t>Medium</t>
        </is>
      </c>
      <c r="H2054" s="1" t="n">
        <v>23043</v>
      </c>
      <c r="I2054" s="1" t="n">
        <v>42414</v>
      </c>
      <c r="J2054" s="9" t="n">
        <v>0.543</v>
      </c>
      <c r="K2054" s="1" t="inlineStr">
        <is>
          <t>Yes</t>
        </is>
      </c>
      <c r="L2054" s="1" t="inlineStr">
        <is>
          <t>No</t>
        </is>
      </c>
      <c r="M2054" s="1" t="inlineStr">
        <is>
          <t>No</t>
        </is>
      </c>
      <c r="N2054" s="1" t="inlineStr">
        <is>
          <t>Algorithms</t>
        </is>
      </c>
      <c r="O20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54" s="11" t="inlineStr">
        <is>
          <t>To Do</t>
        </is>
      </c>
    </row>
    <row r="2055" ht="15.75" customHeight="1" s="12">
      <c r="A2055" s="1" t="n">
        <v>3151</v>
      </c>
      <c r="B2055" s="3">
        <f>HYPERLINK("https://leetcode.com/problems/special-array-i/", "Special Array I")</f>
        <v/>
      </c>
      <c r="C2055" s="1" t="n">
        <v>584</v>
      </c>
      <c r="D2055" s="1" t="n">
        <v>33</v>
      </c>
      <c r="E2055" s="4">
        <f>IF(INDEX(C:C, ROW())+INDEX(D:D, ROW())=0, 0, INDEX(C:C, ROW())/(INDEX(C:C, ROW())+INDEX(D:D, ROW())))</f>
        <v/>
      </c>
      <c r="F2055" s="1" t="inlineStr">
        <is>
          <t>Array</t>
        </is>
      </c>
      <c r="G2055" s="1" t="inlineStr">
        <is>
          <t>Easy</t>
        </is>
      </c>
      <c r="H2055" s="1" t="n">
        <v>262678</v>
      </c>
      <c r="I2055" s="1" t="n">
        <v>321817</v>
      </c>
      <c r="J2055" s="9" t="n">
        <v>0.8159999999999999</v>
      </c>
      <c r="K2055" s="1" t="inlineStr">
        <is>
          <t>Yes</t>
        </is>
      </c>
      <c r="L2055" s="1" t="inlineStr">
        <is>
          <t>Yes</t>
        </is>
      </c>
      <c r="M2055" s="1" t="inlineStr">
        <is>
          <t>No</t>
        </is>
      </c>
      <c r="N2055" s="1" t="inlineStr">
        <is>
          <t>Algorithms</t>
        </is>
      </c>
      <c r="O20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55" s="13" t="inlineStr">
        <is>
          <t>Done</t>
        </is>
      </c>
    </row>
    <row r="2056" ht="15.75" customHeight="1" s="12">
      <c r="A2056" s="1" t="n">
        <v>2452</v>
      </c>
      <c r="B2056" s="3">
        <f>HYPERLINK("https://leetcode.com/problems/words-within-two-edits-of-dictionary/", "Words Within Two Edits of Dictionary")</f>
        <v/>
      </c>
      <c r="C2056" s="1" t="n">
        <v>583</v>
      </c>
      <c r="D2056" s="1" t="n">
        <v>43</v>
      </c>
      <c r="E2056" s="4">
        <f>IF(INDEX(C:C, ROW())+INDEX(D:D, ROW())=0, 0, INDEX(C:C, ROW())/(INDEX(C:C, ROW())+INDEX(D:D, ROW())))</f>
        <v/>
      </c>
      <c r="F2056" s="1" t="inlineStr">
        <is>
          <t>Array, String, Trie</t>
        </is>
      </c>
      <c r="G2056" s="1" t="inlineStr">
        <is>
          <t>Medium</t>
        </is>
      </c>
      <c r="H2056" s="1" t="n">
        <v>121692</v>
      </c>
      <c r="I2056" s="1" t="n">
        <v>165593</v>
      </c>
      <c r="J2056" s="9" t="n">
        <v>0.735</v>
      </c>
      <c r="K2056" s="1" t="inlineStr">
        <is>
          <t>Yes</t>
        </is>
      </c>
      <c r="L2056" s="1" t="inlineStr">
        <is>
          <t>Yes</t>
        </is>
      </c>
      <c r="M2056" s="1" t="inlineStr">
        <is>
          <t>No</t>
        </is>
      </c>
      <c r="N2056" s="1" t="inlineStr">
        <is>
          <t>Algorithms</t>
        </is>
      </c>
      <c r="O20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56" s="11" t="inlineStr">
        <is>
          <t>To Do</t>
        </is>
      </c>
    </row>
    <row r="2057" ht="15.75" customHeight="1" s="12">
      <c r="A2057" s="1" t="n">
        <v>2001</v>
      </c>
      <c r="B2057" s="3">
        <f>HYPERLINK("https://leetcode.com/problems/number-of-pairs-of-interchangeable-rectangles/", "Number of Pairs of Interchangeable Rectangles")</f>
        <v/>
      </c>
      <c r="C2057" s="1" t="n">
        <v>582</v>
      </c>
      <c r="D2057" s="1" t="n">
        <v>49</v>
      </c>
      <c r="E2057" s="4">
        <f>IF(INDEX(C:C, ROW())+INDEX(D:D, ROW())=0, 0, INDEX(C:C, ROW())/(INDEX(C:C, ROW())+INDEX(D:D, ROW())))</f>
        <v/>
      </c>
      <c r="F2057" s="1" t="inlineStr">
        <is>
          <t>Array, Hash Table, Math, Counting, Number Theory</t>
        </is>
      </c>
      <c r="G2057" s="1" t="inlineStr">
        <is>
          <t>Medium</t>
        </is>
      </c>
      <c r="H2057" s="1" t="n">
        <v>59566</v>
      </c>
      <c r="I2057" s="1" t="n">
        <v>113317</v>
      </c>
      <c r="J2057" s="9" t="n">
        <v>0.526</v>
      </c>
      <c r="K2057" s="1" t="inlineStr">
        <is>
          <t>Yes</t>
        </is>
      </c>
      <c r="L2057" s="1" t="inlineStr">
        <is>
          <t>No</t>
        </is>
      </c>
      <c r="M2057" s="1" t="inlineStr">
        <is>
          <t>No</t>
        </is>
      </c>
      <c r="N2057" s="1" t="inlineStr">
        <is>
          <t>Algorithms</t>
        </is>
      </c>
      <c r="O20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57" s="11" t="inlineStr">
        <is>
          <t>To Do</t>
        </is>
      </c>
    </row>
    <row r="2058" ht="15.75" customHeight="1" s="12">
      <c r="A2058" s="1" t="n">
        <v>2242</v>
      </c>
      <c r="B2058" s="3">
        <f>HYPERLINK("https://leetcode.com/problems/maximum-score-of-a-node-sequence/", "Maximum Score of a Node Sequence")</f>
        <v/>
      </c>
      <c r="C2058" s="1" t="n">
        <v>582</v>
      </c>
      <c r="D2058" s="1" t="n">
        <v>21</v>
      </c>
      <c r="E2058" s="4">
        <f>IF(INDEX(C:C, ROW())+INDEX(D:D, ROW())=0, 0, INDEX(C:C, ROW())/(INDEX(C:C, ROW())+INDEX(D:D, ROW())))</f>
        <v/>
      </c>
      <c r="F2058" s="1" t="inlineStr">
        <is>
          <t>Array, Graph Theory, Sorting, Enumeration</t>
        </is>
      </c>
      <c r="G2058" s="1" t="inlineStr">
        <is>
          <t>Hard</t>
        </is>
      </c>
      <c r="H2058" s="1" t="n">
        <v>17702</v>
      </c>
      <c r="I2058" s="1" t="n">
        <v>44169</v>
      </c>
      <c r="J2058" s="9" t="n">
        <v>0.401</v>
      </c>
      <c r="K2058" s="1" t="inlineStr">
        <is>
          <t>Yes</t>
        </is>
      </c>
      <c r="L2058" s="1" t="inlineStr">
        <is>
          <t>No</t>
        </is>
      </c>
      <c r="M2058" s="1" t="inlineStr">
        <is>
          <t>No</t>
        </is>
      </c>
      <c r="N2058" s="1" t="inlineStr">
        <is>
          <t>Algorithms</t>
        </is>
      </c>
      <c r="O20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58" s="11" t="inlineStr">
        <is>
          <t>To Do</t>
        </is>
      </c>
    </row>
    <row r="2059" ht="15.75" customHeight="1" s="12">
      <c r="A2059" s="1" t="n">
        <v>2068</v>
      </c>
      <c r="B2059" s="3">
        <f>HYPERLINK("https://leetcode.com/problems/check-whether-two-strings-are-almost-equivalent/", "Check Whether Two Strings are Almost Equivalent")</f>
        <v/>
      </c>
      <c r="C2059" s="1" t="n">
        <v>581</v>
      </c>
      <c r="D2059" s="1" t="n">
        <v>24</v>
      </c>
      <c r="E2059" s="4">
        <f>IF(INDEX(C:C, ROW())+INDEX(D:D, ROW())=0, 0, INDEX(C:C, ROW())/(INDEX(C:C, ROW())+INDEX(D:D, ROW())))</f>
        <v/>
      </c>
      <c r="F2059" s="1" t="inlineStr">
        <is>
          <t>Hash Table, String, Counting</t>
        </is>
      </c>
      <c r="G2059" s="1" t="inlineStr">
        <is>
          <t>Easy</t>
        </is>
      </c>
      <c r="H2059" s="1" t="n">
        <v>82764</v>
      </c>
      <c r="I2059" s="1" t="n">
        <v>128669</v>
      </c>
      <c r="J2059" s="9" t="n">
        <v>0.643</v>
      </c>
      <c r="K2059" s="1" t="inlineStr">
        <is>
          <t>Yes</t>
        </is>
      </c>
      <c r="L2059" s="1" t="inlineStr">
        <is>
          <t>Yes</t>
        </is>
      </c>
      <c r="M2059" s="1" t="inlineStr">
        <is>
          <t>No</t>
        </is>
      </c>
      <c r="N2059" s="1" t="inlineStr">
        <is>
          <t>Algorithms</t>
        </is>
      </c>
      <c r="O20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59" s="13" t="inlineStr">
        <is>
          <t>Done</t>
        </is>
      </c>
    </row>
    <row r="2060" ht="15.75" customHeight="1" s="12">
      <c r="A2060" s="1" t="n">
        <v>2426</v>
      </c>
      <c r="B2060" s="3">
        <f>HYPERLINK("https://leetcode.com/problems/number-of-pairs-satisfying-inequality/", "Number of Pairs Satisfying Inequality")</f>
        <v/>
      </c>
      <c r="C2060" s="1" t="n">
        <v>580</v>
      </c>
      <c r="D2060" s="1" t="n">
        <v>11</v>
      </c>
      <c r="E2060" s="4">
        <f>IF(INDEX(C:C, ROW())+INDEX(D:D, ROW())=0, 0, INDEX(C:C, ROW())/(INDEX(C:C, ROW())+INDEX(D:D, ROW())))</f>
        <v/>
      </c>
      <c r="F2060" s="1" t="inlineStr">
        <is>
          <t>Array, Binary Search, Divide and Conquer, Binary Indexed Tree, Segment Tree, Merge Sort, Ordered Set</t>
        </is>
      </c>
      <c r="G2060" s="1" t="inlineStr">
        <is>
          <t>Hard</t>
        </is>
      </c>
      <c r="H2060" s="1" t="n">
        <v>19393</v>
      </c>
      <c r="I2060" s="1" t="n">
        <v>41092</v>
      </c>
      <c r="J2060" s="9" t="n">
        <v>0.472</v>
      </c>
      <c r="K2060" s="1" t="inlineStr">
        <is>
          <t>Yes</t>
        </is>
      </c>
      <c r="L2060" s="1" t="inlineStr">
        <is>
          <t>No</t>
        </is>
      </c>
      <c r="M2060" s="1" t="inlineStr">
        <is>
          <t>No</t>
        </is>
      </c>
      <c r="N2060" s="1" t="inlineStr">
        <is>
          <t>Algorithms</t>
        </is>
      </c>
      <c r="O20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60" s="11" t="inlineStr">
        <is>
          <t>To Do</t>
        </is>
      </c>
    </row>
    <row r="2061" ht="15.75" customHeight="1" s="12">
      <c r="A2061" s="1" t="n">
        <v>2637</v>
      </c>
      <c r="B2061" s="3">
        <f>HYPERLINK("https://leetcode.com/problems/promise-time-limit/", "Promise Time Limit")</f>
        <v/>
      </c>
      <c r="C2061" s="1" t="n">
        <v>580</v>
      </c>
      <c r="D2061" s="1" t="n">
        <v>85</v>
      </c>
      <c r="E2061" s="4">
        <f>IF(INDEX(C:C, ROW())+INDEX(D:D, ROW())=0, 0, INDEX(C:C, ROW())/(INDEX(C:C, ROW())+INDEX(D:D, ROW())))</f>
        <v/>
      </c>
      <c r="F2061" s="2" t="n"/>
      <c r="G2061" s="1" t="inlineStr">
        <is>
          <t>Medium</t>
        </is>
      </c>
      <c r="H2061" s="1" t="n">
        <v>99029</v>
      </c>
      <c r="I2061" s="1" t="n">
        <v>118997</v>
      </c>
      <c r="J2061" s="9" t="n">
        <v>0.832</v>
      </c>
      <c r="K2061" s="1" t="inlineStr">
        <is>
          <t>Yes</t>
        </is>
      </c>
      <c r="L2061" s="1" t="inlineStr">
        <is>
          <t>Yes</t>
        </is>
      </c>
      <c r="M2061" s="1" t="inlineStr">
        <is>
          <t>No</t>
        </is>
      </c>
      <c r="N2061" s="1" t="inlineStr">
        <is>
          <t>JavaScript</t>
        </is>
      </c>
      <c r="O20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61" s="11" t="inlineStr">
        <is>
          <t>To Do</t>
        </is>
      </c>
    </row>
    <row r="2062" ht="15.75" customHeight="1" s="12">
      <c r="A2062" s="1" t="n">
        <v>2840</v>
      </c>
      <c r="B2062" s="3">
        <f>HYPERLINK("https://leetcode.com/problems/check-if-strings-can-be-made-equal-with-operations-ii/", "Check if Strings Can be Made Equal With Operations II")</f>
        <v/>
      </c>
      <c r="C2062" s="1" t="n">
        <v>580</v>
      </c>
      <c r="D2062" s="1" t="n">
        <v>18</v>
      </c>
      <c r="E2062" s="4">
        <f>IF(INDEX(C:C, ROW())+INDEX(D:D, ROW())=0, 0, INDEX(C:C, ROW())/(INDEX(C:C, ROW())+INDEX(D:D, ROW())))</f>
        <v/>
      </c>
      <c r="F2062" s="1" t="inlineStr">
        <is>
          <t>Hash Table, String, Sorting</t>
        </is>
      </c>
      <c r="G2062" s="1" t="inlineStr">
        <is>
          <t>Medium</t>
        </is>
      </c>
      <c r="H2062" s="1" t="n">
        <v>140031</v>
      </c>
      <c r="I2062" s="1" t="n">
        <v>189180</v>
      </c>
      <c r="J2062" s="9" t="n">
        <v>0.74</v>
      </c>
      <c r="K2062" s="1" t="inlineStr">
        <is>
          <t>Yes</t>
        </is>
      </c>
      <c r="L2062" s="1" t="inlineStr">
        <is>
          <t>Yes</t>
        </is>
      </c>
      <c r="M2062" s="1" t="inlineStr">
        <is>
          <t>No</t>
        </is>
      </c>
      <c r="N2062" s="1" t="inlineStr">
        <is>
          <t>Algorithms</t>
        </is>
      </c>
      <c r="O20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62" s="11" t="inlineStr">
        <is>
          <t>To Do</t>
        </is>
      </c>
    </row>
    <row r="2063" ht="15.75" customHeight="1" s="12">
      <c r="A2063" s="1" t="n">
        <v>1214</v>
      </c>
      <c r="B2063" s="3">
        <f>HYPERLINK("https://leetcode.com/problems/two-sum-bsts/", "Two Sum BSTs")</f>
        <v/>
      </c>
      <c r="C2063" s="1" t="n">
        <v>579</v>
      </c>
      <c r="D2063" s="1" t="n">
        <v>46</v>
      </c>
      <c r="E2063" s="4">
        <f>IF(INDEX(C:C, ROW())+INDEX(D:D, ROW())=0, 0, INDEX(C:C, ROW())/(INDEX(C:C, ROW())+INDEX(D:D, ROW())))</f>
        <v/>
      </c>
      <c r="F2063" s="1" t="inlineStr">
        <is>
          <t>Two Pointers, Binary Search, Stack, Tree, Depth-First Search, Binary Search Tree, Binary Tree</t>
        </is>
      </c>
      <c r="G2063" s="1" t="inlineStr">
        <is>
          <t>Medium</t>
        </is>
      </c>
      <c r="H2063" s="1" t="n">
        <v>61564</v>
      </c>
      <c r="I2063" s="1" t="n">
        <v>90303</v>
      </c>
      <c r="J2063" s="9" t="n">
        <v>0.6820000000000001</v>
      </c>
      <c r="K2063" s="1" t="inlineStr">
        <is>
          <t>No</t>
        </is>
      </c>
      <c r="L2063" s="1" t="inlineStr">
        <is>
          <t>Yes</t>
        </is>
      </c>
      <c r="M2063" s="1" t="inlineStr">
        <is>
          <t>No</t>
        </is>
      </c>
      <c r="N2063" s="1" t="inlineStr">
        <is>
          <t>Algorithms</t>
        </is>
      </c>
      <c r="O20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63" s="11" t="inlineStr">
        <is>
          <t>To Do</t>
        </is>
      </c>
    </row>
    <row r="2064" ht="15.75" customHeight="1" s="12">
      <c r="A2064" s="1" t="n">
        <v>1869</v>
      </c>
      <c r="B2064" s="3">
        <f>HYPERLINK("https://leetcode.com/problems/longer-contiguous-segments-of-ones-than-zeros/", "Longer Contiguous Segments of Ones than Zeros")</f>
        <v/>
      </c>
      <c r="C2064" s="1" t="n">
        <v>579</v>
      </c>
      <c r="D2064" s="1" t="n">
        <v>14</v>
      </c>
      <c r="E2064" s="4">
        <f>IF(INDEX(C:C, ROW())+INDEX(D:D, ROW())=0, 0, INDEX(C:C, ROW())/(INDEX(C:C, ROW())+INDEX(D:D, ROW())))</f>
        <v/>
      </c>
      <c r="F2064" s="1" t="inlineStr">
        <is>
          <t>String</t>
        </is>
      </c>
      <c r="G2064" s="1" t="inlineStr">
        <is>
          <t>Easy</t>
        </is>
      </c>
      <c r="H2064" s="1" t="n">
        <v>66834</v>
      </c>
      <c r="I2064" s="1" t="n">
        <v>106980</v>
      </c>
      <c r="J2064" s="9" t="n">
        <v>0.625</v>
      </c>
      <c r="K2064" s="1" t="inlineStr">
        <is>
          <t>Yes</t>
        </is>
      </c>
      <c r="L2064" s="1" t="inlineStr">
        <is>
          <t>No</t>
        </is>
      </c>
      <c r="M2064" s="1" t="inlineStr">
        <is>
          <t>No</t>
        </is>
      </c>
      <c r="N2064" s="1" t="inlineStr">
        <is>
          <t>Algorithms</t>
        </is>
      </c>
      <c r="O20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64" s="13" t="inlineStr">
        <is>
          <t>Done</t>
        </is>
      </c>
    </row>
    <row r="2065" ht="15.75" customHeight="1" s="12">
      <c r="A2065" s="1" t="n">
        <v>2719</v>
      </c>
      <c r="B2065" s="3">
        <f>HYPERLINK("https://leetcode.com/problems/count-of-integers/", "Count of Integers")</f>
        <v/>
      </c>
      <c r="C2065" s="1" t="n">
        <v>579</v>
      </c>
      <c r="D2065" s="1" t="n">
        <v>12</v>
      </c>
      <c r="E2065" s="4">
        <f>IF(INDEX(C:C, ROW())+INDEX(D:D, ROW())=0, 0, INDEX(C:C, ROW())/(INDEX(C:C, ROW())+INDEX(D:D, ROW())))</f>
        <v/>
      </c>
      <c r="F2065" s="1" t="inlineStr">
        <is>
          <t>Math, String, Dynamic Programming</t>
        </is>
      </c>
      <c r="G2065" s="1" t="inlineStr">
        <is>
          <t>Hard</t>
        </is>
      </c>
      <c r="H2065" s="1" t="n">
        <v>20415</v>
      </c>
      <c r="I2065" s="1" t="n">
        <v>53025</v>
      </c>
      <c r="J2065" s="9" t="n">
        <v>0.385</v>
      </c>
      <c r="K2065" s="1" t="inlineStr">
        <is>
          <t>Yes</t>
        </is>
      </c>
      <c r="L2065" s="1" t="inlineStr">
        <is>
          <t>No</t>
        </is>
      </c>
      <c r="M2065" s="1" t="inlineStr">
        <is>
          <t>No</t>
        </is>
      </c>
      <c r="N2065" s="1" t="inlineStr">
        <is>
          <t>Algorithms</t>
        </is>
      </c>
      <c r="O20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65" s="11" t="inlineStr">
        <is>
          <t>To Do</t>
        </is>
      </c>
    </row>
    <row r="2066" ht="15.75" customHeight="1" s="12">
      <c r="A2066" s="1" t="n">
        <v>2312</v>
      </c>
      <c r="B2066" s="3">
        <f>HYPERLINK("https://leetcode.com/problems/selling-pieces-of-wood/", "Selling Pieces of Wood")</f>
        <v/>
      </c>
      <c r="C2066" s="1" t="n">
        <v>578</v>
      </c>
      <c r="D2066" s="1" t="n">
        <v>13</v>
      </c>
      <c r="E2066" s="4">
        <f>IF(INDEX(C:C, ROW())+INDEX(D:D, ROW())=0, 0, INDEX(C:C, ROW())/(INDEX(C:C, ROW())+INDEX(D:D, ROW())))</f>
        <v/>
      </c>
      <c r="F2066" s="1" t="inlineStr">
        <is>
          <t>Array, Dynamic Programming, Memoization</t>
        </is>
      </c>
      <c r="G2066" s="1" t="inlineStr">
        <is>
          <t>Hard</t>
        </is>
      </c>
      <c r="H2066" s="1" t="n">
        <v>15808</v>
      </c>
      <c r="I2066" s="1" t="n">
        <v>29909</v>
      </c>
      <c r="J2066" s="9" t="n">
        <v>0.529</v>
      </c>
      <c r="K2066" s="1" t="inlineStr">
        <is>
          <t>Yes</t>
        </is>
      </c>
      <c r="L2066" s="1" t="inlineStr">
        <is>
          <t>No</t>
        </is>
      </c>
      <c r="M2066" s="1" t="inlineStr">
        <is>
          <t>No</t>
        </is>
      </c>
      <c r="N2066" s="1" t="inlineStr">
        <is>
          <t>Algorithms</t>
        </is>
      </c>
      <c r="O20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66" s="11" t="inlineStr">
        <is>
          <t>To Do</t>
        </is>
      </c>
    </row>
    <row r="2067" ht="15.75" customHeight="1" s="12">
      <c r="A2067" s="1" t="n">
        <v>1250</v>
      </c>
      <c r="B2067" s="3">
        <f>HYPERLINK("https://leetcode.com/problems/check-if-it-is-a-good-array/", "Check If It Is a Good Array")</f>
        <v/>
      </c>
      <c r="C2067" s="1" t="n">
        <v>576</v>
      </c>
      <c r="D2067" s="1" t="n">
        <v>386</v>
      </c>
      <c r="E2067" s="4">
        <f>IF(INDEX(C:C, ROW())+INDEX(D:D, ROW())=0, 0, INDEX(C:C, ROW())/(INDEX(C:C, ROW())+INDEX(D:D, ROW())))</f>
        <v/>
      </c>
      <c r="F2067" s="1" t="inlineStr">
        <is>
          <t>Array, Math, Number Theory</t>
        </is>
      </c>
      <c r="G2067" s="1" t="inlineStr">
        <is>
          <t>Hard</t>
        </is>
      </c>
      <c r="H2067" s="1" t="n">
        <v>41304</v>
      </c>
      <c r="I2067" s="1" t="n">
        <v>63608</v>
      </c>
      <c r="J2067" s="9" t="n">
        <v>0.649</v>
      </c>
      <c r="K2067" s="1" t="inlineStr">
        <is>
          <t>Yes</t>
        </is>
      </c>
      <c r="L2067" s="1" t="inlineStr">
        <is>
          <t>No</t>
        </is>
      </c>
      <c r="M2067" s="1" t="inlineStr">
        <is>
          <t>No</t>
        </is>
      </c>
      <c r="N2067" s="1" t="inlineStr">
        <is>
          <t>Algorithms</t>
        </is>
      </c>
      <c r="O20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67" s="11" t="inlineStr">
        <is>
          <t>To Do</t>
        </is>
      </c>
    </row>
    <row r="2068" ht="15.75" customHeight="1" s="12">
      <c r="A2068" s="1" t="n">
        <v>1617</v>
      </c>
      <c r="B2068" s="3">
        <f>HYPERLINK("https://leetcode.com/problems/count-subtrees-with-max-distance-between-cities/", "Count Subtrees With Max Distance Between Cities")</f>
        <v/>
      </c>
      <c r="C2068" s="1" t="n">
        <v>575</v>
      </c>
      <c r="D2068" s="1" t="n">
        <v>44</v>
      </c>
      <c r="E2068" s="4">
        <f>IF(INDEX(C:C, ROW())+INDEX(D:D, ROW())=0, 0, INDEX(C:C, ROW())/(INDEX(C:C, ROW())+INDEX(D:D, ROW())))</f>
        <v/>
      </c>
      <c r="F2068" s="1" t="inlineStr">
        <is>
          <t>Dynamic Programming, Bit Manipulation, Tree, Enumeration, Bitmask</t>
        </is>
      </c>
      <c r="G2068" s="1" t="inlineStr">
        <is>
          <t>Hard</t>
        </is>
      </c>
      <c r="H2068" s="1" t="n">
        <v>15069</v>
      </c>
      <c r="I2068" s="1" t="n">
        <v>22420</v>
      </c>
      <c r="J2068" s="9" t="n">
        <v>0.672</v>
      </c>
      <c r="K2068" s="1" t="inlineStr">
        <is>
          <t>Yes</t>
        </is>
      </c>
      <c r="L2068" s="1" t="inlineStr">
        <is>
          <t>No</t>
        </is>
      </c>
      <c r="M2068" s="1" t="inlineStr">
        <is>
          <t>No</t>
        </is>
      </c>
      <c r="N2068" s="1" t="inlineStr">
        <is>
          <t>Algorithms</t>
        </is>
      </c>
      <c r="O20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68" s="11" t="inlineStr">
        <is>
          <t>To Do</t>
        </is>
      </c>
    </row>
    <row r="2069" ht="15.75" customHeight="1" s="12">
      <c r="A2069" s="1" t="n">
        <v>2086</v>
      </c>
      <c r="B2069" s="3">
        <f>HYPERLINK("https://leetcode.com/problems/minimum-number-of-food-buckets-to-feed-the-hamsters/", "Minimum Number of Food Buckets to Feed the Hamsters")</f>
        <v/>
      </c>
      <c r="C2069" s="1" t="n">
        <v>574</v>
      </c>
      <c r="D2069" s="1" t="n">
        <v>31</v>
      </c>
      <c r="E2069" s="4">
        <f>IF(INDEX(C:C, ROW())+INDEX(D:D, ROW())=0, 0, INDEX(C:C, ROW())/(INDEX(C:C, ROW())+INDEX(D:D, ROW())))</f>
        <v/>
      </c>
      <c r="F2069" s="1" t="inlineStr">
        <is>
          <t>String, Dynamic Programming, Greedy</t>
        </is>
      </c>
      <c r="G2069" s="1" t="inlineStr">
        <is>
          <t>Medium</t>
        </is>
      </c>
      <c r="H2069" s="1" t="n">
        <v>30516</v>
      </c>
      <c r="I2069" s="1" t="n">
        <v>63176</v>
      </c>
      <c r="J2069" s="9" t="n">
        <v>0.483</v>
      </c>
      <c r="K2069" s="1" t="inlineStr">
        <is>
          <t>Yes</t>
        </is>
      </c>
      <c r="L2069" s="1" t="inlineStr">
        <is>
          <t>No</t>
        </is>
      </c>
      <c r="M2069" s="1" t="inlineStr">
        <is>
          <t>No</t>
        </is>
      </c>
      <c r="N2069" s="1" t="inlineStr">
        <is>
          <t>Algorithms</t>
        </is>
      </c>
      <c r="O20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69" s="11" t="inlineStr">
        <is>
          <t>To Do</t>
        </is>
      </c>
    </row>
    <row r="2070" ht="15.75" customHeight="1" s="12">
      <c r="A2070" s="1" t="n">
        <v>2901</v>
      </c>
      <c r="B2070" s="3">
        <f>HYPERLINK("https://leetcode.com/problems/longest-unequal-adjacent-groups-subsequence-ii/", "Longest Unequal Adjacent Groups Subsequence II")</f>
        <v/>
      </c>
      <c r="C2070" s="1" t="n">
        <v>574</v>
      </c>
      <c r="D2070" s="1" t="n">
        <v>169</v>
      </c>
      <c r="E2070" s="4">
        <f>IF(INDEX(C:C, ROW())+INDEX(D:D, ROW())=0, 0, INDEX(C:C, ROW())/(INDEX(C:C, ROW())+INDEX(D:D, ROW())))</f>
        <v/>
      </c>
      <c r="F2070" s="1" t="inlineStr">
        <is>
          <t>Array, String, Dynamic Programming</t>
        </is>
      </c>
      <c r="G2070" s="1" t="inlineStr">
        <is>
          <t>Medium</t>
        </is>
      </c>
      <c r="H2070" s="1" t="n">
        <v>83721</v>
      </c>
      <c r="I2070" s="1" t="n">
        <v>162808</v>
      </c>
      <c r="J2070" s="9" t="n">
        <v>0.514</v>
      </c>
      <c r="K2070" s="1" t="inlineStr">
        <is>
          <t>Yes</t>
        </is>
      </c>
      <c r="L2070" s="1" t="inlineStr">
        <is>
          <t>Yes</t>
        </is>
      </c>
      <c r="M2070" s="1" t="inlineStr">
        <is>
          <t>No</t>
        </is>
      </c>
      <c r="N2070" s="1" t="inlineStr">
        <is>
          <t>Algorithms</t>
        </is>
      </c>
      <c r="O20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70" s="11" t="inlineStr">
        <is>
          <t>To Do</t>
        </is>
      </c>
    </row>
    <row r="2071" ht="15.75" customHeight="1" s="12">
      <c r="A2071" s="1" t="n">
        <v>893</v>
      </c>
      <c r="B2071" s="3">
        <f>HYPERLINK("https://leetcode.com/problems/groups-of-special-equivalent-strings/", "Groups of Special-Equivalent Strings")</f>
        <v/>
      </c>
      <c r="C2071" s="1" t="n">
        <v>573</v>
      </c>
      <c r="D2071" s="1" t="n">
        <v>1488</v>
      </c>
      <c r="E2071" s="4">
        <f>IF(INDEX(C:C, ROW())+INDEX(D:D, ROW())=0, 0, INDEX(C:C, ROW())/(INDEX(C:C, ROW())+INDEX(D:D, ROW())))</f>
        <v/>
      </c>
      <c r="F2071" s="1" t="inlineStr">
        <is>
          <t>Array, Hash Table, String, Sorting</t>
        </is>
      </c>
      <c r="G2071" s="1" t="inlineStr">
        <is>
          <t>Medium</t>
        </is>
      </c>
      <c r="H2071" s="1" t="n">
        <v>59450</v>
      </c>
      <c r="I2071" s="1" t="n">
        <v>80792</v>
      </c>
      <c r="J2071" s="9" t="n">
        <v>0.736</v>
      </c>
      <c r="K2071" s="1" t="inlineStr">
        <is>
          <t>Yes</t>
        </is>
      </c>
      <c r="L2071" s="1" t="inlineStr">
        <is>
          <t>Yes</t>
        </is>
      </c>
      <c r="M2071" s="1" t="inlineStr">
        <is>
          <t>No</t>
        </is>
      </c>
      <c r="N2071" s="1" t="inlineStr">
        <is>
          <t>Algorithms</t>
        </is>
      </c>
      <c r="O20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71" s="11" t="inlineStr">
        <is>
          <t>To Do</t>
        </is>
      </c>
    </row>
    <row r="2072" ht="15.75" customHeight="1" s="12">
      <c r="A2072" s="1" t="n">
        <v>1017</v>
      </c>
      <c r="B2072" s="3">
        <f>HYPERLINK("https://leetcode.com/problems/convert-to-base-2/", "Convert to Base -2")</f>
        <v/>
      </c>
      <c r="C2072" s="1" t="n">
        <v>573</v>
      </c>
      <c r="D2072" s="1" t="n">
        <v>309</v>
      </c>
      <c r="E2072" s="4">
        <f>IF(INDEX(C:C, ROW())+INDEX(D:D, ROW())=0, 0, INDEX(C:C, ROW())/(INDEX(C:C, ROW())+INDEX(D:D, ROW())))</f>
        <v/>
      </c>
      <c r="F2072" s="1" t="inlineStr">
        <is>
          <t>Math</t>
        </is>
      </c>
      <c r="G2072" s="1" t="inlineStr">
        <is>
          <t>Medium</t>
        </is>
      </c>
      <c r="H2072" s="1" t="n">
        <v>37807</v>
      </c>
      <c r="I2072" s="1" t="n">
        <v>61111</v>
      </c>
      <c r="J2072" s="9" t="n">
        <v>0.619</v>
      </c>
      <c r="K2072" s="1" t="inlineStr">
        <is>
          <t>Yes</t>
        </is>
      </c>
      <c r="L2072" s="1" t="inlineStr">
        <is>
          <t>No</t>
        </is>
      </c>
      <c r="M2072" s="1" t="inlineStr">
        <is>
          <t>No</t>
        </is>
      </c>
      <c r="N2072" s="1" t="inlineStr">
        <is>
          <t>Algorithms</t>
        </is>
      </c>
      <c r="O20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72" s="11" t="inlineStr">
        <is>
          <t>To Do</t>
        </is>
      </c>
    </row>
    <row r="2073" ht="15.75" customHeight="1" s="12">
      <c r="A2073" s="1" t="n">
        <v>1656</v>
      </c>
      <c r="B2073" s="3">
        <f>HYPERLINK("https://leetcode.com/problems/design-an-ordered-stream/", "Design an Ordered Stream")</f>
        <v/>
      </c>
      <c r="C2073" s="1" t="n">
        <v>572</v>
      </c>
      <c r="D2073" s="1" t="n">
        <v>3642</v>
      </c>
      <c r="E2073" s="4">
        <f>IF(INDEX(C:C, ROW())+INDEX(D:D, ROW())=0, 0, INDEX(C:C, ROW())/(INDEX(C:C, ROW())+INDEX(D:D, ROW())))</f>
        <v/>
      </c>
      <c r="F2073" s="1" t="inlineStr">
        <is>
          <t>Array, Hash Table, Design, Data Stream</t>
        </is>
      </c>
      <c r="G2073" s="1" t="inlineStr">
        <is>
          <t>Easy</t>
        </is>
      </c>
      <c r="H2073" s="1" t="n">
        <v>110724</v>
      </c>
      <c r="I2073" s="1" t="n">
        <v>133985</v>
      </c>
      <c r="J2073" s="9" t="n">
        <v>0.826</v>
      </c>
      <c r="K2073" s="1" t="inlineStr">
        <is>
          <t>Yes</t>
        </is>
      </c>
      <c r="L2073" s="1" t="inlineStr">
        <is>
          <t>No</t>
        </is>
      </c>
      <c r="M2073" s="1" t="inlineStr">
        <is>
          <t>No</t>
        </is>
      </c>
      <c r="N2073" s="1" t="inlineStr">
        <is>
          <t>Algorithms</t>
        </is>
      </c>
      <c r="O20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73" s="13" t="inlineStr">
        <is>
          <t>Done</t>
        </is>
      </c>
    </row>
    <row r="2074" ht="15.75" customHeight="1" s="12">
      <c r="A2074" s="1" t="n">
        <v>3714</v>
      </c>
      <c r="B2074" s="3">
        <f>HYPERLINK("https://leetcode.com/problems/longest-balanced-substring-ii/", "Longest Balanced Substring II")</f>
        <v/>
      </c>
      <c r="C2074" s="1" t="n">
        <v>572</v>
      </c>
      <c r="D2074" s="1" t="n">
        <v>136</v>
      </c>
      <c r="E2074" s="4">
        <f>IF(INDEX(C:C, ROW())+INDEX(D:D, ROW())=0, 0, INDEX(C:C, ROW())/(INDEX(C:C, ROW())+INDEX(D:D, ROW())))</f>
        <v/>
      </c>
      <c r="F2074" s="1" t="inlineStr">
        <is>
          <t>Hash Table, String, Prefix Sum</t>
        </is>
      </c>
      <c r="G2074" s="1" t="inlineStr">
        <is>
          <t>Medium</t>
        </is>
      </c>
      <c r="H2074" s="1" t="n">
        <v>74741</v>
      </c>
      <c r="I2074" s="1" t="n">
        <v>178195</v>
      </c>
      <c r="J2074" s="9" t="n">
        <v>0.419</v>
      </c>
      <c r="K2074" s="1" t="inlineStr">
        <is>
          <t>Yes</t>
        </is>
      </c>
      <c r="L2074" s="1" t="inlineStr">
        <is>
          <t>No</t>
        </is>
      </c>
      <c r="M2074" s="1" t="inlineStr">
        <is>
          <t>No</t>
        </is>
      </c>
      <c r="N2074" s="1" t="inlineStr">
        <is>
          <t>Algorithms</t>
        </is>
      </c>
      <c r="O20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74" s="11" t="inlineStr">
        <is>
          <t>To Do</t>
        </is>
      </c>
    </row>
    <row r="2075" ht="15.75" customHeight="1" s="12">
      <c r="A2075" s="1" t="n">
        <v>2120</v>
      </c>
      <c r="B2075" s="3">
        <f>HYPERLINK("https://leetcode.com/problems/execution-of-all-suffix-instructions-staying-in-a-grid/", "Execution of All Suffix Instructions Staying in a Grid")</f>
        <v/>
      </c>
      <c r="C2075" s="1" t="n">
        <v>571</v>
      </c>
      <c r="D2075" s="1" t="n">
        <v>54</v>
      </c>
      <c r="E2075" s="4">
        <f>IF(INDEX(C:C, ROW())+INDEX(D:D, ROW())=0, 0, INDEX(C:C, ROW())/(INDEX(C:C, ROW())+INDEX(D:D, ROW())))</f>
        <v/>
      </c>
      <c r="F2075" s="1" t="inlineStr">
        <is>
          <t>String, Simulation</t>
        </is>
      </c>
      <c r="G2075" s="1" t="inlineStr">
        <is>
          <t>Medium</t>
        </is>
      </c>
      <c r="H2075" s="1" t="n">
        <v>39075</v>
      </c>
      <c r="I2075" s="1" t="n">
        <v>47590</v>
      </c>
      <c r="J2075" s="9" t="n">
        <v>0.821</v>
      </c>
      <c r="K2075" s="1" t="inlineStr">
        <is>
          <t>Yes</t>
        </is>
      </c>
      <c r="L2075" s="1" t="inlineStr">
        <is>
          <t>No</t>
        </is>
      </c>
      <c r="M2075" s="1" t="inlineStr">
        <is>
          <t>No</t>
        </is>
      </c>
      <c r="N2075" s="1" t="inlineStr">
        <is>
          <t>Algorithms</t>
        </is>
      </c>
      <c r="O20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75" s="11" t="inlineStr">
        <is>
          <t>To Do</t>
        </is>
      </c>
    </row>
    <row r="2076" ht="15.75" customHeight="1" s="12">
      <c r="A2076" s="1" t="n">
        <v>2659</v>
      </c>
      <c r="B2076" s="3">
        <f>HYPERLINK("https://leetcode.com/problems/make-array-empty/", "Make Array Empty")</f>
        <v/>
      </c>
      <c r="C2076" s="1" t="n">
        <v>571</v>
      </c>
      <c r="D2076" s="1" t="n">
        <v>35</v>
      </c>
      <c r="E2076" s="4">
        <f>IF(INDEX(C:C, ROW())+INDEX(D:D, ROW())=0, 0, INDEX(C:C, ROW())/(INDEX(C:C, ROW())+INDEX(D:D, ROW())))</f>
        <v/>
      </c>
      <c r="F2076" s="1" t="inlineStr">
        <is>
          <t>Array, Binary Search, Greedy, Binary Indexed Tree, Segment Tree, Sorting, Ordered Set</t>
        </is>
      </c>
      <c r="G2076" s="1" t="inlineStr">
        <is>
          <t>Hard</t>
        </is>
      </c>
      <c r="H2076" s="1" t="n">
        <v>14813</v>
      </c>
      <c r="I2076" s="1" t="n">
        <v>54904</v>
      </c>
      <c r="J2076" s="9" t="n">
        <v>0.27</v>
      </c>
      <c r="K2076" s="1" t="inlineStr">
        <is>
          <t>Yes</t>
        </is>
      </c>
      <c r="L2076" s="1" t="inlineStr">
        <is>
          <t>No</t>
        </is>
      </c>
      <c r="M2076" s="1" t="inlineStr">
        <is>
          <t>No</t>
        </is>
      </c>
      <c r="N2076" s="1" t="inlineStr">
        <is>
          <t>Algorithms</t>
        </is>
      </c>
      <c r="O20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76" s="11" t="inlineStr">
        <is>
          <t>To Do</t>
        </is>
      </c>
    </row>
    <row r="2077" ht="15.75" customHeight="1" s="12">
      <c r="A2077" s="1" t="n">
        <v>655</v>
      </c>
      <c r="B2077" s="3">
        <f>HYPERLINK("https://leetcode.com/problems/print-binary-tree/", "Print Binary Tree")</f>
        <v/>
      </c>
      <c r="C2077" s="1" t="n">
        <v>570</v>
      </c>
      <c r="D2077" s="1" t="n">
        <v>470</v>
      </c>
      <c r="E2077" s="4">
        <f>IF(INDEX(C:C, ROW())+INDEX(D:D, ROW())=0, 0, INDEX(C:C, ROW())/(INDEX(C:C, ROW())+INDEX(D:D, ROW())))</f>
        <v/>
      </c>
      <c r="F2077" s="1" t="inlineStr">
        <is>
          <t>Tree, Depth-First Search, Breadth-First Search, Binary Tree</t>
        </is>
      </c>
      <c r="G2077" s="1" t="inlineStr">
        <is>
          <t>Medium</t>
        </is>
      </c>
      <c r="H2077" s="1" t="n">
        <v>86879</v>
      </c>
      <c r="I2077" s="1" t="n">
        <v>130500</v>
      </c>
      <c r="J2077" s="9" t="n">
        <v>0.666</v>
      </c>
      <c r="K2077" s="1" t="inlineStr">
        <is>
          <t>Yes</t>
        </is>
      </c>
      <c r="L2077" s="1" t="inlineStr">
        <is>
          <t>Yes</t>
        </is>
      </c>
      <c r="M2077" s="1" t="inlineStr">
        <is>
          <t>No</t>
        </is>
      </c>
      <c r="N2077" s="1" t="inlineStr">
        <is>
          <t>Algorithms</t>
        </is>
      </c>
      <c r="O20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77" s="11" t="inlineStr">
        <is>
          <t>To Do</t>
        </is>
      </c>
    </row>
    <row r="2078" ht="15.75" customHeight="1" s="12">
      <c r="A2078" s="1" t="n">
        <v>998</v>
      </c>
      <c r="B2078" s="3">
        <f>HYPERLINK("https://leetcode.com/problems/maximum-binary-tree-ii/", "Maximum Binary Tree II")</f>
        <v/>
      </c>
      <c r="C2078" s="1" t="n">
        <v>570</v>
      </c>
      <c r="D2078" s="1" t="n">
        <v>806</v>
      </c>
      <c r="E2078" s="4">
        <f>IF(INDEX(C:C, ROW())+INDEX(D:D, ROW())=0, 0, INDEX(C:C, ROW())/(INDEX(C:C, ROW())+INDEX(D:D, ROW())))</f>
        <v/>
      </c>
      <c r="F2078" s="1" t="inlineStr">
        <is>
          <t>Tree, Binary Tree</t>
        </is>
      </c>
      <c r="G2078" s="1" t="inlineStr">
        <is>
          <t>Medium</t>
        </is>
      </c>
      <c r="H2078" s="1" t="n">
        <v>45762</v>
      </c>
      <c r="I2078" s="1" t="n">
        <v>64959</v>
      </c>
      <c r="J2078" s="9" t="n">
        <v>0.704</v>
      </c>
      <c r="K2078" s="1" t="inlineStr">
        <is>
          <t>Yes</t>
        </is>
      </c>
      <c r="L2078" s="1" t="inlineStr">
        <is>
          <t>No</t>
        </is>
      </c>
      <c r="M2078" s="1" t="inlineStr">
        <is>
          <t>No</t>
        </is>
      </c>
      <c r="N2078" s="1" t="inlineStr">
        <is>
          <t>Algorithms</t>
        </is>
      </c>
      <c r="O20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78" s="11" t="inlineStr">
        <is>
          <t>To Do</t>
        </is>
      </c>
    </row>
    <row r="2079" ht="15.75" customHeight="1" s="12">
      <c r="A2079" s="1" t="n">
        <v>1224</v>
      </c>
      <c r="B2079" s="3">
        <f>HYPERLINK("https://leetcode.com/problems/maximum-equal-frequency/", "Maximum Equal Frequency")</f>
        <v/>
      </c>
      <c r="C2079" s="1" t="n">
        <v>568</v>
      </c>
      <c r="D2079" s="1" t="n">
        <v>68</v>
      </c>
      <c r="E2079" s="4">
        <f>IF(INDEX(C:C, ROW())+INDEX(D:D, ROW())=0, 0, INDEX(C:C, ROW())/(INDEX(C:C, ROW())+INDEX(D:D, ROW())))</f>
        <v/>
      </c>
      <c r="F2079" s="1" t="inlineStr">
        <is>
          <t>Array, Hash Table</t>
        </is>
      </c>
      <c r="G2079" s="1" t="inlineStr">
        <is>
          <t>Hard</t>
        </is>
      </c>
      <c r="H2079" s="1" t="n">
        <v>19429</v>
      </c>
      <c r="I2079" s="1" t="n">
        <v>50988</v>
      </c>
      <c r="J2079" s="9" t="n">
        <v>0.381</v>
      </c>
      <c r="K2079" s="1" t="inlineStr">
        <is>
          <t>Yes</t>
        </is>
      </c>
      <c r="L2079" s="1" t="inlineStr">
        <is>
          <t>No</t>
        </is>
      </c>
      <c r="M2079" s="1" t="inlineStr">
        <is>
          <t>No</t>
        </is>
      </c>
      <c r="N2079" s="1" t="inlineStr">
        <is>
          <t>Algorithms</t>
        </is>
      </c>
      <c r="O20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79" s="11" t="inlineStr">
        <is>
          <t>To Do</t>
        </is>
      </c>
    </row>
    <row r="2080" ht="15.75" customHeight="1" s="12">
      <c r="A2080" s="1" t="n">
        <v>1643</v>
      </c>
      <c r="B2080" s="3">
        <f>HYPERLINK("https://leetcode.com/problems/kth-smallest-instructions/", "Kth Smallest Instructions")</f>
        <v/>
      </c>
      <c r="C2080" s="1" t="n">
        <v>568</v>
      </c>
      <c r="D2080" s="1" t="n">
        <v>16</v>
      </c>
      <c r="E2080" s="4">
        <f>IF(INDEX(C:C, ROW())+INDEX(D:D, ROW())=0, 0, INDEX(C:C, ROW())/(INDEX(C:C, ROW())+INDEX(D:D, ROW())))</f>
        <v/>
      </c>
      <c r="F2080" s="1" t="inlineStr">
        <is>
          <t>Array, Math, Dynamic Programming, Combinatorics</t>
        </is>
      </c>
      <c r="G2080" s="1" t="inlineStr">
        <is>
          <t>Hard</t>
        </is>
      </c>
      <c r="H2080" s="1" t="n">
        <v>18023</v>
      </c>
      <c r="I2080" s="1" t="n">
        <v>40239</v>
      </c>
      <c r="J2080" s="9" t="n">
        <v>0.448</v>
      </c>
      <c r="K2080" s="1" t="inlineStr">
        <is>
          <t>Yes</t>
        </is>
      </c>
      <c r="L2080" s="1" t="inlineStr">
        <is>
          <t>No</t>
        </is>
      </c>
      <c r="M2080" s="1" t="inlineStr">
        <is>
          <t>No</t>
        </is>
      </c>
      <c r="N2080" s="1" t="inlineStr">
        <is>
          <t>Algorithms</t>
        </is>
      </c>
      <c r="O20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80" s="11" t="inlineStr">
        <is>
          <t>To Do</t>
        </is>
      </c>
    </row>
    <row r="2081" ht="15.75" customHeight="1" s="12">
      <c r="A2081" s="1" t="n">
        <v>1771</v>
      </c>
      <c r="B2081" s="3">
        <f>HYPERLINK("https://leetcode.com/problems/maximize-palindrome-length-from-subsequences/", "Maximize Palindrome Length From Subsequences")</f>
        <v/>
      </c>
      <c r="C2081" s="1" t="n">
        <v>568</v>
      </c>
      <c r="D2081" s="1" t="n">
        <v>18</v>
      </c>
      <c r="E2081" s="4">
        <f>IF(INDEX(C:C, ROW())+INDEX(D:D, ROW())=0, 0, INDEX(C:C, ROW())/(INDEX(C:C, ROW())+INDEX(D:D, ROW())))</f>
        <v/>
      </c>
      <c r="F2081" s="1" t="inlineStr">
        <is>
          <t>String, Dynamic Programming</t>
        </is>
      </c>
      <c r="G2081" s="1" t="inlineStr">
        <is>
          <t>Hard</t>
        </is>
      </c>
      <c r="H2081" s="1" t="n">
        <v>14659</v>
      </c>
      <c r="I2081" s="1" t="n">
        <v>38157</v>
      </c>
      <c r="J2081" s="9" t="n">
        <v>0.384</v>
      </c>
      <c r="K2081" s="1" t="inlineStr">
        <is>
          <t>Yes</t>
        </is>
      </c>
      <c r="L2081" s="1" t="inlineStr">
        <is>
          <t>No</t>
        </is>
      </c>
      <c r="M2081" s="1" t="inlineStr">
        <is>
          <t>No</t>
        </is>
      </c>
      <c r="N2081" s="1" t="inlineStr">
        <is>
          <t>Algorithms</t>
        </is>
      </c>
      <c r="O20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81" s="11" t="inlineStr">
        <is>
          <t>To Do</t>
        </is>
      </c>
    </row>
    <row r="2082" ht="15.75" customHeight="1" s="12">
      <c r="A2082" s="1" t="n">
        <v>2929</v>
      </c>
      <c r="B2082" s="3">
        <f>HYPERLINK("https://leetcode.com/problems/distribute-candies-among-children-ii/", "Distribute Candies Among Children II")</f>
        <v/>
      </c>
      <c r="C2082" s="1" t="n">
        <v>567</v>
      </c>
      <c r="D2082" s="1" t="n">
        <v>176</v>
      </c>
      <c r="E2082" s="4">
        <f>IF(INDEX(C:C, ROW())+INDEX(D:D, ROW())=0, 0, INDEX(C:C, ROW())/(INDEX(C:C, ROW())+INDEX(D:D, ROW())))</f>
        <v/>
      </c>
      <c r="F2082" s="1" t="inlineStr">
        <is>
          <t>Math, Combinatorics, Enumeration</t>
        </is>
      </c>
      <c r="G2082" s="1" t="inlineStr">
        <is>
          <t>Medium</t>
        </is>
      </c>
      <c r="H2082" s="1" t="n">
        <v>105232</v>
      </c>
      <c r="I2082" s="1" t="n">
        <v>189137</v>
      </c>
      <c r="J2082" s="9" t="n">
        <v>0.556</v>
      </c>
      <c r="K2082" s="1" t="inlineStr">
        <is>
          <t>Yes</t>
        </is>
      </c>
      <c r="L2082" s="1" t="inlineStr">
        <is>
          <t>Yes</t>
        </is>
      </c>
      <c r="M2082" s="1" t="inlineStr">
        <is>
          <t>No</t>
        </is>
      </c>
      <c r="N2082" s="1" t="inlineStr">
        <is>
          <t>Algorithms</t>
        </is>
      </c>
      <c r="O20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82" s="11" t="inlineStr">
        <is>
          <t>To Do</t>
        </is>
      </c>
    </row>
    <row r="2083" ht="15.75" customHeight="1" s="12">
      <c r="A2083" s="1" t="n">
        <v>3396</v>
      </c>
      <c r="B2083" s="3">
        <f>HYPERLINK("https://leetcode.com/problems/minimum-number-of-operations-to-make-elements-in-array-distinct/", "Minimum Number of Operations to Make Elements in Array Distinct")</f>
        <v/>
      </c>
      <c r="C2083" s="1" t="n">
        <v>567</v>
      </c>
      <c r="D2083" s="1" t="n">
        <v>30</v>
      </c>
      <c r="E2083" s="4">
        <f>IF(INDEX(C:C, ROW())+INDEX(D:D, ROW())=0, 0, INDEX(C:C, ROW())/(INDEX(C:C, ROW())+INDEX(D:D, ROW())))</f>
        <v/>
      </c>
      <c r="F2083" s="1" t="inlineStr">
        <is>
          <t>Array, Hash Table</t>
        </is>
      </c>
      <c r="G2083" s="1" t="inlineStr">
        <is>
          <t>Easy</t>
        </is>
      </c>
      <c r="H2083" s="1" t="n">
        <v>182548</v>
      </c>
      <c r="I2083" s="1" t="n">
        <v>256196</v>
      </c>
      <c r="J2083" s="9" t="n">
        <v>0.713</v>
      </c>
      <c r="K2083" s="1" t="inlineStr">
        <is>
          <t>Yes</t>
        </is>
      </c>
      <c r="L2083" s="1" t="inlineStr">
        <is>
          <t>Yes</t>
        </is>
      </c>
      <c r="M2083" s="1" t="inlineStr">
        <is>
          <t>No</t>
        </is>
      </c>
      <c r="N2083" s="1" t="inlineStr">
        <is>
          <t>Algorithms</t>
        </is>
      </c>
      <c r="O20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83" s="13" t="inlineStr">
        <is>
          <t>Done</t>
        </is>
      </c>
    </row>
    <row r="2084" ht="15.75" customHeight="1" s="12">
      <c r="A2084" s="1" t="n">
        <v>798</v>
      </c>
      <c r="B2084" s="3">
        <f>HYPERLINK("https://leetcode.com/problems/smallest-rotation-with-highest-score/", "Smallest Rotation with Highest Score")</f>
        <v/>
      </c>
      <c r="C2084" s="1" t="n">
        <v>566</v>
      </c>
      <c r="D2084" s="1" t="n">
        <v>45</v>
      </c>
      <c r="E2084" s="4">
        <f>IF(INDEX(C:C, ROW())+INDEX(D:D, ROW())=0, 0, INDEX(C:C, ROW())/(INDEX(C:C, ROW())+INDEX(D:D, ROW())))</f>
        <v/>
      </c>
      <c r="F2084" s="1" t="inlineStr">
        <is>
          <t>Array, Prefix Sum</t>
        </is>
      </c>
      <c r="G2084" s="1" t="inlineStr">
        <is>
          <t>Hard</t>
        </is>
      </c>
      <c r="H2084" s="1" t="n">
        <v>18584</v>
      </c>
      <c r="I2084" s="1" t="n">
        <v>34636</v>
      </c>
      <c r="J2084" s="9" t="n">
        <v>0.537</v>
      </c>
      <c r="K2084" s="1" t="inlineStr">
        <is>
          <t>Yes</t>
        </is>
      </c>
      <c r="L2084" s="1" t="inlineStr">
        <is>
          <t>Yes</t>
        </is>
      </c>
      <c r="M2084" s="1" t="inlineStr">
        <is>
          <t>No</t>
        </is>
      </c>
      <c r="N2084" s="1" t="inlineStr">
        <is>
          <t>Algorithms</t>
        </is>
      </c>
      <c r="O20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84" s="11" t="inlineStr">
        <is>
          <t>To Do</t>
        </is>
      </c>
    </row>
    <row r="2085" ht="15.75" customHeight="1" s="12">
      <c r="A2085" s="1" t="n">
        <v>1152</v>
      </c>
      <c r="B2085" s="3">
        <f>HYPERLINK("https://leetcode.com/problems/analyze-user-website-visit-pattern/", "Analyze User Website Visit Pattern")</f>
        <v/>
      </c>
      <c r="C2085" s="1" t="n">
        <v>566</v>
      </c>
      <c r="D2085" s="1" t="n">
        <v>3993</v>
      </c>
      <c r="E2085" s="4">
        <f>IF(INDEX(C:C, ROW())+INDEX(D:D, ROW())=0, 0, INDEX(C:C, ROW())/(INDEX(C:C, ROW())+INDEX(D:D, ROW())))</f>
        <v/>
      </c>
      <c r="F2085" s="1" t="inlineStr">
        <is>
          <t>Array, Hash Table, String, Sorting</t>
        </is>
      </c>
      <c r="G2085" s="1" t="inlineStr">
        <is>
          <t>Medium</t>
        </is>
      </c>
      <c r="H2085" s="1" t="n">
        <v>131901</v>
      </c>
      <c r="I2085" s="1" t="n">
        <v>297867</v>
      </c>
      <c r="J2085" s="9" t="n">
        <v>0.443</v>
      </c>
      <c r="K2085" s="1" t="inlineStr">
        <is>
          <t>No</t>
        </is>
      </c>
      <c r="L2085" s="1" t="inlineStr">
        <is>
          <t>Yes</t>
        </is>
      </c>
      <c r="M2085" s="1" t="inlineStr">
        <is>
          <t>No</t>
        </is>
      </c>
      <c r="N2085" s="1" t="inlineStr">
        <is>
          <t>Algorithms</t>
        </is>
      </c>
      <c r="O20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85" s="11" t="inlineStr">
        <is>
          <t>To Do</t>
        </is>
      </c>
    </row>
    <row r="2086" ht="15.75" customHeight="1" s="12">
      <c r="A2086" s="1" t="n">
        <v>1837</v>
      </c>
      <c r="B2086" s="3">
        <f>HYPERLINK("https://leetcode.com/problems/sum-of-digits-in-base-k/", "Sum of Digits in Base K")</f>
        <v/>
      </c>
      <c r="C2086" s="1" t="n">
        <v>566</v>
      </c>
      <c r="D2086" s="1" t="n">
        <v>50</v>
      </c>
      <c r="E2086" s="4">
        <f>IF(INDEX(C:C, ROW())+INDEX(D:D, ROW())=0, 0, INDEX(C:C, ROW())/(INDEX(C:C, ROW())+INDEX(D:D, ROW())))</f>
        <v/>
      </c>
      <c r="F2086" s="1" t="inlineStr">
        <is>
          <t>Math</t>
        </is>
      </c>
      <c r="G2086" s="1" t="inlineStr">
        <is>
          <t>Easy</t>
        </is>
      </c>
      <c r="H2086" s="1" t="n">
        <v>80301</v>
      </c>
      <c r="I2086" s="1" t="n">
        <v>102051</v>
      </c>
      <c r="J2086" s="9" t="n">
        <v>0.787</v>
      </c>
      <c r="K2086" s="1" t="inlineStr">
        <is>
          <t>Yes</t>
        </is>
      </c>
      <c r="L2086" s="1" t="inlineStr">
        <is>
          <t>No</t>
        </is>
      </c>
      <c r="M2086" s="1" t="inlineStr">
        <is>
          <t>No</t>
        </is>
      </c>
      <c r="N2086" s="1" t="inlineStr">
        <is>
          <t>Algorithms</t>
        </is>
      </c>
      <c r="O20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86" s="13" t="inlineStr">
        <is>
          <t>Done</t>
        </is>
      </c>
    </row>
    <row r="2087" ht="15.75" customHeight="1" s="12">
      <c r="A2087" s="1" t="n">
        <v>3318</v>
      </c>
      <c r="B2087" s="3">
        <f>HYPERLINK("https://leetcode.com/problems/find-x-sum-of-all-k-long-subarrays-i/", "Find X-Sum of All K-Long Subarrays I")</f>
        <v/>
      </c>
      <c r="C2087" s="1" t="n">
        <v>565</v>
      </c>
      <c r="D2087" s="1" t="n">
        <v>329</v>
      </c>
      <c r="E2087" s="4">
        <f>IF(INDEX(C:C, ROW())+INDEX(D:D, ROW())=0, 0, INDEX(C:C, ROW())/(INDEX(C:C, ROW())+INDEX(D:D, ROW())))</f>
        <v/>
      </c>
      <c r="F2087" s="1" t="inlineStr">
        <is>
          <t>Array, Hash Table, Sliding Window, Heap (Priority Queue)</t>
        </is>
      </c>
      <c r="G2087" s="1" t="inlineStr">
        <is>
          <t>Easy</t>
        </is>
      </c>
      <c r="H2087" s="1" t="n">
        <v>143662</v>
      </c>
      <c r="I2087" s="1" t="n">
        <v>188899</v>
      </c>
      <c r="J2087" s="9" t="n">
        <v>0.761</v>
      </c>
      <c r="K2087" s="1" t="inlineStr">
        <is>
          <t>Yes</t>
        </is>
      </c>
      <c r="L2087" s="1" t="inlineStr">
        <is>
          <t>Yes</t>
        </is>
      </c>
      <c r="M2087" s="1" t="inlineStr">
        <is>
          <t>No</t>
        </is>
      </c>
      <c r="N2087" s="1" t="inlineStr">
        <is>
          <t>Algorithms</t>
        </is>
      </c>
      <c r="O20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87" s="13" t="inlineStr">
        <is>
          <t>Done</t>
        </is>
      </c>
    </row>
    <row r="2088" ht="15.75" customHeight="1" s="12">
      <c r="A2088" s="1" t="n">
        <v>302</v>
      </c>
      <c r="B2088" s="3">
        <f>HYPERLINK("https://leetcode.com/problems/smallest-rectangle-enclosing-black-pixels/", "Smallest Rectangle Enclosing Black Pixels")</f>
        <v/>
      </c>
      <c r="C2088" s="1" t="n">
        <v>564</v>
      </c>
      <c r="D2088" s="1" t="n">
        <v>107</v>
      </c>
      <c r="E2088" s="4">
        <f>IF(INDEX(C:C, ROW())+INDEX(D:D, ROW())=0, 0, INDEX(C:C, ROW())/(INDEX(C:C, ROW())+INDEX(D:D, ROW())))</f>
        <v/>
      </c>
      <c r="F2088" s="1" t="inlineStr">
        <is>
          <t>Array, Binary Search, Depth-First Search, Breadth-First Search, Matrix</t>
        </is>
      </c>
      <c r="G2088" s="1" t="inlineStr">
        <is>
          <t>Hard</t>
        </is>
      </c>
      <c r="H2088" s="1" t="n">
        <v>57327</v>
      </c>
      <c r="I2088" s="1" t="n">
        <v>94154</v>
      </c>
      <c r="J2088" s="9" t="n">
        <v>0.609</v>
      </c>
      <c r="K2088" s="1" t="inlineStr">
        <is>
          <t>No</t>
        </is>
      </c>
      <c r="L2088" s="1" t="inlineStr">
        <is>
          <t>Yes</t>
        </is>
      </c>
      <c r="M2088" s="1" t="inlineStr">
        <is>
          <t>No</t>
        </is>
      </c>
      <c r="N2088" s="1" t="inlineStr">
        <is>
          <t>Algorithms</t>
        </is>
      </c>
      <c r="O20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88" s="11" t="inlineStr">
        <is>
          <t>To Do</t>
        </is>
      </c>
    </row>
    <row r="2089" ht="15.75" customHeight="1" s="12">
      <c r="A2089" s="1" t="n">
        <v>2278</v>
      </c>
      <c r="B2089" s="3">
        <f>HYPERLINK("https://leetcode.com/problems/percentage-of-letter-in-string/", "Percentage of Letter in String")</f>
        <v/>
      </c>
      <c r="C2089" s="1" t="n">
        <v>564</v>
      </c>
      <c r="D2089" s="1" t="n">
        <v>64</v>
      </c>
      <c r="E2089" s="4">
        <f>IF(INDEX(C:C, ROW())+INDEX(D:D, ROW())=0, 0, INDEX(C:C, ROW())/(INDEX(C:C, ROW())+INDEX(D:D, ROW())))</f>
        <v/>
      </c>
      <c r="F2089" s="1" t="inlineStr">
        <is>
          <t>String</t>
        </is>
      </c>
      <c r="G2089" s="1" t="inlineStr">
        <is>
          <t>Easy</t>
        </is>
      </c>
      <c r="H2089" s="1" t="n">
        <v>101699</v>
      </c>
      <c r="I2089" s="1" t="n">
        <v>135335</v>
      </c>
      <c r="J2089" s="9" t="n">
        <v>0.751</v>
      </c>
      <c r="K2089" s="1" t="inlineStr">
        <is>
          <t>Yes</t>
        </is>
      </c>
      <c r="L2089" s="1" t="inlineStr">
        <is>
          <t>No</t>
        </is>
      </c>
      <c r="M2089" s="1" t="inlineStr">
        <is>
          <t>No</t>
        </is>
      </c>
      <c r="N2089" s="1" t="inlineStr">
        <is>
          <t>Algorithms</t>
        </is>
      </c>
      <c r="O20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89" s="13" t="inlineStr">
        <is>
          <t>Done</t>
        </is>
      </c>
    </row>
    <row r="2090" ht="15.75" customHeight="1" s="12">
      <c r="A2090" s="1" t="n">
        <v>2603</v>
      </c>
      <c r="B2090" s="3">
        <f>HYPERLINK("https://leetcode.com/problems/collect-coins-in-a-tree/", "Collect Coins in a Tree")</f>
        <v/>
      </c>
      <c r="C2090" s="1" t="n">
        <v>564</v>
      </c>
      <c r="D2090" s="1" t="n">
        <v>25</v>
      </c>
      <c r="E2090" s="4">
        <f>IF(INDEX(C:C, ROW())+INDEX(D:D, ROW())=0, 0, INDEX(C:C, ROW())/(INDEX(C:C, ROW())+INDEX(D:D, ROW())))</f>
        <v/>
      </c>
      <c r="F2090" s="1" t="inlineStr">
        <is>
          <t>Array, Tree, Graph Theory, Topological Sort</t>
        </is>
      </c>
      <c r="G2090" s="1" t="inlineStr">
        <is>
          <t>Hard</t>
        </is>
      </c>
      <c r="H2090" s="1" t="n">
        <v>17385</v>
      </c>
      <c r="I2090" s="1" t="n">
        <v>43386</v>
      </c>
      <c r="J2090" s="9" t="n">
        <v>0.401</v>
      </c>
      <c r="K2090" s="1" t="inlineStr">
        <is>
          <t>Yes</t>
        </is>
      </c>
      <c r="L2090" s="1" t="inlineStr">
        <is>
          <t>No</t>
        </is>
      </c>
      <c r="M2090" s="1" t="inlineStr">
        <is>
          <t>No</t>
        </is>
      </c>
      <c r="N2090" s="1" t="inlineStr">
        <is>
          <t>Algorithms</t>
        </is>
      </c>
      <c r="O20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90" s="11" t="inlineStr">
        <is>
          <t>To Do</t>
        </is>
      </c>
    </row>
    <row r="2091" ht="15.75" customHeight="1" s="12">
      <c r="A2091" s="1" t="n">
        <v>3397</v>
      </c>
      <c r="B2091" s="3">
        <f>HYPERLINK("https://leetcode.com/problems/maximum-number-of-distinct-elements-after-operations/", "Maximum Number of Distinct Elements After Operations")</f>
        <v/>
      </c>
      <c r="C2091" s="1" t="n">
        <v>564</v>
      </c>
      <c r="D2091" s="1" t="n">
        <v>21</v>
      </c>
      <c r="E2091" s="4">
        <f>IF(INDEX(C:C, ROW())+INDEX(D:D, ROW())=0, 0, INDEX(C:C, ROW())/(INDEX(C:C, ROW())+INDEX(D:D, ROW())))</f>
        <v/>
      </c>
      <c r="F2091" s="1" t="inlineStr">
        <is>
          <t>Array, Greedy, Sorting</t>
        </is>
      </c>
      <c r="G2091" s="1" t="inlineStr">
        <is>
          <t>Medium</t>
        </is>
      </c>
      <c r="H2091" s="1" t="n">
        <v>103734</v>
      </c>
      <c r="I2091" s="1" t="n">
        <v>198563</v>
      </c>
      <c r="J2091" s="9" t="n">
        <v>0.522</v>
      </c>
      <c r="K2091" s="1" t="inlineStr">
        <is>
          <t>Yes</t>
        </is>
      </c>
      <c r="L2091" s="1" t="inlineStr">
        <is>
          <t>Yes</t>
        </is>
      </c>
      <c r="M2091" s="1" t="inlineStr">
        <is>
          <t>No</t>
        </is>
      </c>
      <c r="N2091" s="1" t="inlineStr">
        <is>
          <t>Algorithms</t>
        </is>
      </c>
      <c r="O20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91" s="11" t="inlineStr">
        <is>
          <t>To Do</t>
        </is>
      </c>
    </row>
    <row r="2092" ht="15.75" customHeight="1" s="12">
      <c r="A2092" s="1" t="n">
        <v>2588</v>
      </c>
      <c r="B2092" s="3">
        <f>HYPERLINK("https://leetcode.com/problems/count-the-number-of-beautiful-subarrays/", "Count the Number of Beautiful Subarrays")</f>
        <v/>
      </c>
      <c r="C2092" s="1" t="n">
        <v>563</v>
      </c>
      <c r="D2092" s="1" t="n">
        <v>23</v>
      </c>
      <c r="E2092" s="4">
        <f>IF(INDEX(C:C, ROW())+INDEX(D:D, ROW())=0, 0, INDEX(C:C, ROW())/(INDEX(C:C, ROW())+INDEX(D:D, ROW())))</f>
        <v/>
      </c>
      <c r="F2092" s="1" t="inlineStr">
        <is>
          <t>Array, Hash Table, Bit Manipulation, Prefix Sum</t>
        </is>
      </c>
      <c r="G2092" s="1" t="inlineStr">
        <is>
          <t>Medium</t>
        </is>
      </c>
      <c r="H2092" s="1" t="n">
        <v>26566</v>
      </c>
      <c r="I2092" s="1" t="n">
        <v>49150</v>
      </c>
      <c r="J2092" s="9" t="n">
        <v>0.541</v>
      </c>
      <c r="K2092" s="1" t="inlineStr">
        <is>
          <t>Yes</t>
        </is>
      </c>
      <c r="L2092" s="1" t="inlineStr">
        <is>
          <t>No</t>
        </is>
      </c>
      <c r="M2092" s="1" t="inlineStr">
        <is>
          <t>No</t>
        </is>
      </c>
      <c r="N2092" s="1" t="inlineStr">
        <is>
          <t>Algorithms</t>
        </is>
      </c>
      <c r="O20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92" s="11" t="inlineStr">
        <is>
          <t>To Do</t>
        </is>
      </c>
    </row>
    <row r="2093" ht="15.75" customHeight="1" s="12">
      <c r="A2093" s="1" t="n">
        <v>3354</v>
      </c>
      <c r="B2093" s="3">
        <f>HYPERLINK("https://leetcode.com/problems/make-array-elements-equal-to-zero/", "Make Array Elements Equal to Zero")</f>
        <v/>
      </c>
      <c r="C2093" s="1" t="n">
        <v>563</v>
      </c>
      <c r="D2093" s="1" t="n">
        <v>165</v>
      </c>
      <c r="E2093" s="4">
        <f>IF(INDEX(C:C, ROW())+INDEX(D:D, ROW())=0, 0, INDEX(C:C, ROW())/(INDEX(C:C, ROW())+INDEX(D:D, ROW())))</f>
        <v/>
      </c>
      <c r="F2093" s="1" t="inlineStr">
        <is>
          <t>Array, Simulation, Prefix Sum</t>
        </is>
      </c>
      <c r="G2093" s="1" t="inlineStr">
        <is>
          <t>Easy</t>
        </is>
      </c>
      <c r="H2093" s="1" t="n">
        <v>136406</v>
      </c>
      <c r="I2093" s="1" t="n">
        <v>199715</v>
      </c>
      <c r="J2093" s="9" t="n">
        <v>0.6830000000000001</v>
      </c>
      <c r="K2093" s="1" t="inlineStr">
        <is>
          <t>Yes</t>
        </is>
      </c>
      <c r="L2093" s="1" t="inlineStr">
        <is>
          <t>Yes</t>
        </is>
      </c>
      <c r="M2093" s="1" t="inlineStr">
        <is>
          <t>No</t>
        </is>
      </c>
      <c r="N2093" s="1" t="inlineStr">
        <is>
          <t>Algorithms</t>
        </is>
      </c>
      <c r="O20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93" s="13" t="inlineStr">
        <is>
          <t>Done</t>
        </is>
      </c>
    </row>
    <row r="2094" ht="15.75" customHeight="1" s="12">
      <c r="A2094" s="1" t="n">
        <v>2999</v>
      </c>
      <c r="B2094" s="3">
        <f>HYPERLINK("https://leetcode.com/problems/count-the-number-of-powerful-integers/", "Count the Number of Powerful Integers")</f>
        <v/>
      </c>
      <c r="C2094" s="1" t="n">
        <v>562</v>
      </c>
      <c r="D2094" s="1" t="n">
        <v>78</v>
      </c>
      <c r="E2094" s="4">
        <f>IF(INDEX(C:C, ROW())+INDEX(D:D, ROW())=0, 0, INDEX(C:C, ROW())/(INDEX(C:C, ROW())+INDEX(D:D, ROW())))</f>
        <v/>
      </c>
      <c r="F2094" s="1" t="inlineStr">
        <is>
          <t>Math, String, Dynamic Programming</t>
        </is>
      </c>
      <c r="G2094" s="1" t="inlineStr">
        <is>
          <t>Hard</t>
        </is>
      </c>
      <c r="H2094" s="1" t="n">
        <v>77954</v>
      </c>
      <c r="I2094" s="1" t="n">
        <v>168570</v>
      </c>
      <c r="J2094" s="9" t="n">
        <v>0.462</v>
      </c>
      <c r="K2094" s="1" t="inlineStr">
        <is>
          <t>Yes</t>
        </is>
      </c>
      <c r="L2094" s="1" t="inlineStr">
        <is>
          <t>Yes</t>
        </is>
      </c>
      <c r="M2094" s="1" t="inlineStr">
        <is>
          <t>No</t>
        </is>
      </c>
      <c r="N2094" s="1" t="inlineStr">
        <is>
          <t>Algorithms</t>
        </is>
      </c>
      <c r="O20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94" s="11" t="inlineStr">
        <is>
          <t>To Do</t>
        </is>
      </c>
    </row>
    <row r="2095" ht="15.75" customHeight="1" s="12">
      <c r="A2095" s="1" t="n">
        <v>3583</v>
      </c>
      <c r="B2095" s="3">
        <f>HYPERLINK("https://leetcode.com/problems/count-special-triplets/", "Count Special Triplets")</f>
        <v/>
      </c>
      <c r="C2095" s="1" t="n">
        <v>562</v>
      </c>
      <c r="D2095" s="1" t="n">
        <v>23</v>
      </c>
      <c r="E2095" s="4">
        <f>IF(INDEX(C:C, ROW())+INDEX(D:D, ROW())=0, 0, INDEX(C:C, ROW())/(INDEX(C:C, ROW())+INDEX(D:D, ROW())))</f>
        <v/>
      </c>
      <c r="F2095" s="1" t="inlineStr">
        <is>
          <t>Array, Hash Table, Counting</t>
        </is>
      </c>
      <c r="G2095" s="1" t="inlineStr">
        <is>
          <t>Medium</t>
        </is>
      </c>
      <c r="H2095" s="1" t="n">
        <v>118805</v>
      </c>
      <c r="I2095" s="1" t="n">
        <v>252040</v>
      </c>
      <c r="J2095" s="9" t="n">
        <v>0.471</v>
      </c>
      <c r="K2095" s="1" t="inlineStr">
        <is>
          <t>Yes</t>
        </is>
      </c>
      <c r="L2095" s="1" t="inlineStr">
        <is>
          <t>Yes</t>
        </is>
      </c>
      <c r="M2095" s="1" t="inlineStr">
        <is>
          <t>No</t>
        </is>
      </c>
      <c r="N2095" s="1" t="inlineStr">
        <is>
          <t>Algorithms</t>
        </is>
      </c>
      <c r="O20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95" s="11" t="inlineStr">
        <is>
          <t>To Do</t>
        </is>
      </c>
    </row>
    <row r="2096" ht="15.75" customHeight="1" s="12">
      <c r="A2096" s="1" t="n">
        <v>522</v>
      </c>
      <c r="B2096" s="3">
        <f>HYPERLINK("https://leetcode.com/problems/longest-uncommon-subsequence-ii/", "Longest Uncommon Subsequence II")</f>
        <v/>
      </c>
      <c r="C2096" s="1" t="n">
        <v>560</v>
      </c>
      <c r="D2096" s="1" t="n">
        <v>1395</v>
      </c>
      <c r="E2096" s="4">
        <f>IF(INDEX(C:C, ROW())+INDEX(D:D, ROW())=0, 0, INDEX(C:C, ROW())/(INDEX(C:C, ROW())+INDEX(D:D, ROW())))</f>
        <v/>
      </c>
      <c r="F2096" s="1" t="inlineStr">
        <is>
          <t>Array, Hash Table, Two Pointers, String, Sorting</t>
        </is>
      </c>
      <c r="G2096" s="1" t="inlineStr">
        <is>
          <t>Medium</t>
        </is>
      </c>
      <c r="H2096" s="1" t="n">
        <v>67909</v>
      </c>
      <c r="I2096" s="1" t="n">
        <v>151488</v>
      </c>
      <c r="J2096" s="9" t="n">
        <v>0.448</v>
      </c>
      <c r="K2096" s="1" t="inlineStr">
        <is>
          <t>Yes</t>
        </is>
      </c>
      <c r="L2096" s="1" t="inlineStr">
        <is>
          <t>No</t>
        </is>
      </c>
      <c r="M2096" s="1" t="inlineStr">
        <is>
          <t>No</t>
        </is>
      </c>
      <c r="N2096" s="1" t="inlineStr">
        <is>
          <t>Algorithms</t>
        </is>
      </c>
      <c r="O20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96" s="11" t="inlineStr">
        <is>
          <t>To Do</t>
        </is>
      </c>
    </row>
    <row r="2097" ht="15.75" customHeight="1" s="12">
      <c r="A2097" s="1" t="n">
        <v>1116</v>
      </c>
      <c r="B2097" s="3">
        <f>HYPERLINK("https://leetcode.com/problems/print-zero-even-odd/", "Print Zero Even Odd")</f>
        <v/>
      </c>
      <c r="C2097" s="1" t="n">
        <v>560</v>
      </c>
      <c r="D2097" s="1" t="n">
        <v>377</v>
      </c>
      <c r="E2097" s="4">
        <f>IF(INDEX(C:C, ROW())+INDEX(D:D, ROW())=0, 0, INDEX(C:C, ROW())/(INDEX(C:C, ROW())+INDEX(D:D, ROW())))</f>
        <v/>
      </c>
      <c r="F2097" s="1" t="inlineStr">
        <is>
          <t>Concurrency</t>
        </is>
      </c>
      <c r="G2097" s="1" t="inlineStr">
        <is>
          <t>Medium</t>
        </is>
      </c>
      <c r="H2097" s="1" t="n">
        <v>85527</v>
      </c>
      <c r="I2097" s="1" t="n">
        <v>130656</v>
      </c>
      <c r="J2097" s="9" t="n">
        <v>0.655</v>
      </c>
      <c r="K2097" s="1" t="inlineStr">
        <is>
          <t>Yes</t>
        </is>
      </c>
      <c r="L2097" s="1" t="inlineStr">
        <is>
          <t>No</t>
        </is>
      </c>
      <c r="M2097" s="1" t="inlineStr">
        <is>
          <t>No</t>
        </is>
      </c>
      <c r="N2097" s="1" t="inlineStr">
        <is>
          <t>Concurrency</t>
        </is>
      </c>
      <c r="O20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97" s="11" t="inlineStr">
        <is>
          <t>To Do</t>
        </is>
      </c>
    </row>
    <row r="2098" ht="15.75" customHeight="1" s="12">
      <c r="A2098" s="1" t="n">
        <v>1961</v>
      </c>
      <c r="B2098" s="3">
        <f>HYPERLINK("https://leetcode.com/problems/check-if-string-is-a-prefix-of-array/", "Check If String Is a Prefix of Array")</f>
        <v/>
      </c>
      <c r="C2098" s="1" t="n">
        <v>558</v>
      </c>
      <c r="D2098" s="1" t="n">
        <v>110</v>
      </c>
      <c r="E2098" s="4">
        <f>IF(INDEX(C:C, ROW())+INDEX(D:D, ROW())=0, 0, INDEX(C:C, ROW())/(INDEX(C:C, ROW())+INDEX(D:D, ROW())))</f>
        <v/>
      </c>
      <c r="F2098" s="1" t="inlineStr">
        <is>
          <t>Array, Two Pointers, String</t>
        </is>
      </c>
      <c r="G2098" s="1" t="inlineStr">
        <is>
          <t>Easy</t>
        </is>
      </c>
      <c r="H2098" s="1" t="n">
        <v>85617</v>
      </c>
      <c r="I2098" s="1" t="n">
        <v>162079</v>
      </c>
      <c r="J2098" s="9" t="n">
        <v>0.528</v>
      </c>
      <c r="K2098" s="1" t="inlineStr">
        <is>
          <t>Yes</t>
        </is>
      </c>
      <c r="L2098" s="1" t="inlineStr">
        <is>
          <t>No</t>
        </is>
      </c>
      <c r="M2098" s="1" t="inlineStr">
        <is>
          <t>No</t>
        </is>
      </c>
      <c r="N2098" s="1" t="inlineStr">
        <is>
          <t>Algorithms</t>
        </is>
      </c>
      <c r="O20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98" s="13" t="inlineStr">
        <is>
          <t>Done</t>
        </is>
      </c>
    </row>
    <row r="2099" ht="15.75" customHeight="1" s="12">
      <c r="A2099" s="1" t="n">
        <v>2850</v>
      </c>
      <c r="B2099" s="3">
        <f>HYPERLINK("https://leetcode.com/problems/minimum-moves-to-spread-stones-over-grid/", "Minimum Moves to Spread Stones Over Grid")</f>
        <v/>
      </c>
      <c r="C2099" s="1" t="n">
        <v>558</v>
      </c>
      <c r="D2099" s="1" t="n">
        <v>77</v>
      </c>
      <c r="E2099" s="4">
        <f>IF(INDEX(C:C, ROW())+INDEX(D:D, ROW())=0, 0, INDEX(C:C, ROW())/(INDEX(C:C, ROW())+INDEX(D:D, ROW())))</f>
        <v/>
      </c>
      <c r="F2099" s="1" t="inlineStr">
        <is>
          <t>Array, Dynamic Programming, Backtracking, Bit Manipulation, Matrix, Bitmask</t>
        </is>
      </c>
      <c r="G2099" s="1" t="inlineStr">
        <is>
          <t>Medium</t>
        </is>
      </c>
      <c r="H2099" s="1" t="n">
        <v>30306</v>
      </c>
      <c r="I2099" s="1" t="n">
        <v>66444</v>
      </c>
      <c r="J2099" s="9" t="n">
        <v>0.456</v>
      </c>
      <c r="K2099" s="1" t="inlineStr">
        <is>
          <t>Yes</t>
        </is>
      </c>
      <c r="L2099" s="1" t="inlineStr">
        <is>
          <t>No</t>
        </is>
      </c>
      <c r="M2099" s="1" t="inlineStr">
        <is>
          <t>No</t>
        </is>
      </c>
      <c r="N2099" s="1" t="inlineStr">
        <is>
          <t>Algorithms</t>
        </is>
      </c>
      <c r="O20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099" s="11" t="inlineStr">
        <is>
          <t>To Do</t>
        </is>
      </c>
    </row>
    <row r="2100" ht="15.75" customHeight="1" s="12">
      <c r="A2100" s="1" t="n">
        <v>1849</v>
      </c>
      <c r="B2100" s="3">
        <f>HYPERLINK("https://leetcode.com/problems/splitting-a-string-into-descending-consecutive-values/", "Splitting a String Into Descending Consecutive Values")</f>
        <v/>
      </c>
      <c r="C2100" s="1" t="n">
        <v>556</v>
      </c>
      <c r="D2100" s="1" t="n">
        <v>128</v>
      </c>
      <c r="E2100" s="4">
        <f>IF(INDEX(C:C, ROW())+INDEX(D:D, ROW())=0, 0, INDEX(C:C, ROW())/(INDEX(C:C, ROW())+INDEX(D:D, ROW())))</f>
        <v/>
      </c>
      <c r="F2100" s="1" t="inlineStr">
        <is>
          <t>String, Backtracking, Enumeration</t>
        </is>
      </c>
      <c r="G2100" s="1" t="inlineStr">
        <is>
          <t>Medium</t>
        </is>
      </c>
      <c r="H2100" s="1" t="n">
        <v>35040</v>
      </c>
      <c r="I2100" s="1" t="n">
        <v>93133</v>
      </c>
      <c r="J2100" s="9" t="n">
        <v>0.376</v>
      </c>
      <c r="K2100" s="1" t="inlineStr">
        <is>
          <t>Yes</t>
        </is>
      </c>
      <c r="L2100" s="1" t="inlineStr">
        <is>
          <t>No</t>
        </is>
      </c>
      <c r="M2100" s="1" t="inlineStr">
        <is>
          <t>No</t>
        </is>
      </c>
      <c r="N2100" s="1" t="inlineStr">
        <is>
          <t>Algorithms</t>
        </is>
      </c>
      <c r="O21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00" s="11" t="inlineStr">
        <is>
          <t>To Do</t>
        </is>
      </c>
    </row>
    <row r="2101" ht="15.75" customHeight="1" s="12">
      <c r="A2101" s="1" t="n">
        <v>2048</v>
      </c>
      <c r="B2101" s="3">
        <f>HYPERLINK("https://leetcode.com/problems/next-greater-numerically-balanced-number/", "Next Greater Numerically Balanced Number")</f>
        <v/>
      </c>
      <c r="C2101" s="1" t="n">
        <v>556</v>
      </c>
      <c r="D2101" s="1" t="n">
        <v>376</v>
      </c>
      <c r="E2101" s="4">
        <f>IF(INDEX(C:C, ROW())+INDEX(D:D, ROW())=0, 0, INDEX(C:C, ROW())/(INDEX(C:C, ROW())+INDEX(D:D, ROW())))</f>
        <v/>
      </c>
      <c r="F2101" s="1" t="inlineStr">
        <is>
          <t>Hash Table, Math, Backtracking, Counting, Enumeration</t>
        </is>
      </c>
      <c r="G2101" s="1" t="inlineStr">
        <is>
          <t>Medium</t>
        </is>
      </c>
      <c r="H2101" s="1" t="n">
        <v>106721</v>
      </c>
      <c r="I2101" s="1" t="n">
        <v>169156</v>
      </c>
      <c r="J2101" s="9" t="n">
        <v>0.631</v>
      </c>
      <c r="K2101" s="1" t="inlineStr">
        <is>
          <t>Yes</t>
        </is>
      </c>
      <c r="L2101" s="1" t="inlineStr">
        <is>
          <t>Yes</t>
        </is>
      </c>
      <c r="M2101" s="1" t="inlineStr">
        <is>
          <t>No</t>
        </is>
      </c>
      <c r="N2101" s="1" t="inlineStr">
        <is>
          <t>Algorithms</t>
        </is>
      </c>
      <c r="O21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01" s="11" t="inlineStr">
        <is>
          <t>To Do</t>
        </is>
      </c>
    </row>
    <row r="2102" ht="15.75" customHeight="1" s="12">
      <c r="A2102" s="1" t="n">
        <v>1803</v>
      </c>
      <c r="B2102" s="3">
        <f>HYPERLINK("https://leetcode.com/problems/count-pairs-with-xor-in-a-range/", "Count Pairs With XOR in a Range")</f>
        <v/>
      </c>
      <c r="C2102" s="1" t="n">
        <v>555</v>
      </c>
      <c r="D2102" s="1" t="n">
        <v>24</v>
      </c>
      <c r="E2102" s="4">
        <f>IF(INDEX(C:C, ROW())+INDEX(D:D, ROW())=0, 0, INDEX(C:C, ROW())/(INDEX(C:C, ROW())+INDEX(D:D, ROW())))</f>
        <v/>
      </c>
      <c r="F2102" s="1" t="inlineStr">
        <is>
          <t>Array, Bit Manipulation, Trie</t>
        </is>
      </c>
      <c r="G2102" s="1" t="inlineStr">
        <is>
          <t>Hard</t>
        </is>
      </c>
      <c r="H2102" s="1" t="n">
        <v>12318</v>
      </c>
      <c r="I2102" s="1" t="n">
        <v>26765</v>
      </c>
      <c r="J2102" s="9" t="n">
        <v>0.46</v>
      </c>
      <c r="K2102" s="1" t="inlineStr">
        <is>
          <t>Yes</t>
        </is>
      </c>
      <c r="L2102" s="1" t="inlineStr">
        <is>
          <t>No</t>
        </is>
      </c>
      <c r="M2102" s="1" t="inlineStr">
        <is>
          <t>No</t>
        </is>
      </c>
      <c r="N2102" s="1" t="inlineStr">
        <is>
          <t>Algorithms</t>
        </is>
      </c>
      <c r="O21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02" s="11" t="inlineStr">
        <is>
          <t>To Do</t>
        </is>
      </c>
    </row>
    <row r="2103" ht="15.75" customHeight="1" s="12">
      <c r="A2103" s="1" t="n">
        <v>1943</v>
      </c>
      <c r="B2103" s="3">
        <f>HYPERLINK("https://leetcode.com/problems/describe-the-painting/", "Describe the Painting")</f>
        <v/>
      </c>
      <c r="C2103" s="1" t="n">
        <v>555</v>
      </c>
      <c r="D2103" s="1" t="n">
        <v>49</v>
      </c>
      <c r="E2103" s="4">
        <f>IF(INDEX(C:C, ROW())+INDEX(D:D, ROW())=0, 0, INDEX(C:C, ROW())/(INDEX(C:C, ROW())+INDEX(D:D, ROW())))</f>
        <v/>
      </c>
      <c r="F2103" s="1" t="inlineStr">
        <is>
          <t>Array, Hash Table, Sorting, Prefix Sum</t>
        </is>
      </c>
      <c r="G2103" s="1" t="inlineStr">
        <is>
          <t>Medium</t>
        </is>
      </c>
      <c r="H2103" s="1" t="n">
        <v>20160</v>
      </c>
      <c r="I2103" s="1" t="n">
        <v>38636</v>
      </c>
      <c r="J2103" s="9" t="n">
        <v>0.522</v>
      </c>
      <c r="K2103" s="1" t="inlineStr">
        <is>
          <t>Yes</t>
        </is>
      </c>
      <c r="L2103" s="1" t="inlineStr">
        <is>
          <t>No</t>
        </is>
      </c>
      <c r="M2103" s="1" t="inlineStr">
        <is>
          <t>No</t>
        </is>
      </c>
      <c r="N2103" s="1" t="inlineStr">
        <is>
          <t>Algorithms</t>
        </is>
      </c>
      <c r="O21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03" s="11" t="inlineStr">
        <is>
          <t>To Do</t>
        </is>
      </c>
    </row>
    <row r="2104" ht="15.75" customHeight="1" s="12">
      <c r="A2104" s="1" t="n">
        <v>2380</v>
      </c>
      <c r="B2104" s="3">
        <f>HYPERLINK("https://leetcode.com/problems/time-needed-to-rearrange-a-binary-string/", "Time Needed to Rearrange a Binary String")</f>
        <v/>
      </c>
      <c r="C2104" s="1" t="n">
        <v>555</v>
      </c>
      <c r="D2104" s="1" t="n">
        <v>118</v>
      </c>
      <c r="E2104" s="4">
        <f>IF(INDEX(C:C, ROW())+INDEX(D:D, ROW())=0, 0, INDEX(C:C, ROW())/(INDEX(C:C, ROW())+INDEX(D:D, ROW())))</f>
        <v/>
      </c>
      <c r="F2104" s="1" t="inlineStr">
        <is>
          <t>String, Dynamic Programming, Simulation</t>
        </is>
      </c>
      <c r="G2104" s="1" t="inlineStr">
        <is>
          <t>Medium</t>
        </is>
      </c>
      <c r="H2104" s="1" t="n">
        <v>44147</v>
      </c>
      <c r="I2104" s="1" t="n">
        <v>83379</v>
      </c>
      <c r="J2104" s="9" t="n">
        <v>0.529</v>
      </c>
      <c r="K2104" s="1" t="inlineStr">
        <is>
          <t>Yes</t>
        </is>
      </c>
      <c r="L2104" s="1" t="inlineStr">
        <is>
          <t>No</t>
        </is>
      </c>
      <c r="M2104" s="1" t="inlineStr">
        <is>
          <t>No</t>
        </is>
      </c>
      <c r="N2104" s="1" t="inlineStr">
        <is>
          <t>Algorithms</t>
        </is>
      </c>
      <c r="O21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04" s="11" t="inlineStr">
        <is>
          <t>To Do</t>
        </is>
      </c>
    </row>
    <row r="2105" ht="15.75" customHeight="1" s="12">
      <c r="A2105" s="1" t="n">
        <v>2835</v>
      </c>
      <c r="B2105" s="3">
        <f>HYPERLINK("https://leetcode.com/problems/minimum-operations-to-form-subsequence-with-target-sum/", "Minimum Operations to Form Subsequence With Target Sum")</f>
        <v/>
      </c>
      <c r="C2105" s="1" t="n">
        <v>555</v>
      </c>
      <c r="D2105" s="1" t="n">
        <v>128</v>
      </c>
      <c r="E2105" s="4">
        <f>IF(INDEX(C:C, ROW())+INDEX(D:D, ROW())=0, 0, INDEX(C:C, ROW())/(INDEX(C:C, ROW())+INDEX(D:D, ROW())))</f>
        <v/>
      </c>
      <c r="F2105" s="1" t="inlineStr">
        <is>
          <t>Array, Greedy, Bit Manipulation</t>
        </is>
      </c>
      <c r="G2105" s="1" t="inlineStr">
        <is>
          <t>Hard</t>
        </is>
      </c>
      <c r="H2105" s="1" t="n">
        <v>14362</v>
      </c>
      <c r="I2105" s="1" t="n">
        <v>44170</v>
      </c>
      <c r="J2105" s="9" t="n">
        <v>0.325</v>
      </c>
      <c r="K2105" s="1" t="inlineStr">
        <is>
          <t>Yes</t>
        </is>
      </c>
      <c r="L2105" s="1" t="inlineStr">
        <is>
          <t>No</t>
        </is>
      </c>
      <c r="M2105" s="1" t="inlineStr">
        <is>
          <t>No</t>
        </is>
      </c>
      <c r="N2105" s="1" t="inlineStr">
        <is>
          <t>Algorithms</t>
        </is>
      </c>
      <c r="O21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05" s="11" t="inlineStr">
        <is>
          <t>To Do</t>
        </is>
      </c>
    </row>
    <row r="2106" ht="15.75" customHeight="1" s="12">
      <c r="A2106" s="1" t="n">
        <v>1906</v>
      </c>
      <c r="B2106" s="3">
        <f>HYPERLINK("https://leetcode.com/problems/minimum-absolute-difference-queries/", "Minimum Absolute Difference Queries")</f>
        <v/>
      </c>
      <c r="C2106" s="1" t="n">
        <v>554</v>
      </c>
      <c r="D2106" s="1" t="n">
        <v>46</v>
      </c>
      <c r="E2106" s="4">
        <f>IF(INDEX(C:C, ROW())+INDEX(D:D, ROW())=0, 0, INDEX(C:C, ROW())/(INDEX(C:C, ROW())+INDEX(D:D, ROW())))</f>
        <v/>
      </c>
      <c r="F2106" s="1" t="inlineStr">
        <is>
          <t>Array, Prefix Sum</t>
        </is>
      </c>
      <c r="G2106" s="1" t="inlineStr">
        <is>
          <t>Medium</t>
        </is>
      </c>
      <c r="H2106" s="1" t="n">
        <v>13975</v>
      </c>
      <c r="I2106" s="1" t="n">
        <v>30602</v>
      </c>
      <c r="J2106" s="9" t="n">
        <v>0.457</v>
      </c>
      <c r="K2106" s="1" t="inlineStr">
        <is>
          <t>Yes</t>
        </is>
      </c>
      <c r="L2106" s="1" t="inlineStr">
        <is>
          <t>No</t>
        </is>
      </c>
      <c r="M2106" s="1" t="inlineStr">
        <is>
          <t>No</t>
        </is>
      </c>
      <c r="N2106" s="1" t="inlineStr">
        <is>
          <t>Algorithms</t>
        </is>
      </c>
      <c r="O21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06" s="11" t="inlineStr">
        <is>
          <t>To Do</t>
        </is>
      </c>
    </row>
    <row r="2107" ht="15.75" customHeight="1" s="12">
      <c r="A2107" s="1" t="n">
        <v>2250</v>
      </c>
      <c r="B2107" s="3">
        <f>HYPERLINK("https://leetcode.com/problems/count-number-of-rectangles-containing-each-point/", "Count Number of Rectangles Containing Each Point")</f>
        <v/>
      </c>
      <c r="C2107" s="1" t="n">
        <v>554</v>
      </c>
      <c r="D2107" s="1" t="n">
        <v>141</v>
      </c>
      <c r="E2107" s="4">
        <f>IF(INDEX(C:C, ROW())+INDEX(D:D, ROW())=0, 0, INDEX(C:C, ROW())/(INDEX(C:C, ROW())+INDEX(D:D, ROW())))</f>
        <v/>
      </c>
      <c r="F2107" s="1" t="inlineStr">
        <is>
          <t>Array, Hash Table, Binary Search, Binary Indexed Tree, Sorting</t>
        </is>
      </c>
      <c r="G2107" s="1" t="inlineStr">
        <is>
          <t>Medium</t>
        </is>
      </c>
      <c r="H2107" s="1" t="n">
        <v>23416</v>
      </c>
      <c r="I2107" s="1" t="n">
        <v>62333</v>
      </c>
      <c r="J2107" s="9" t="n">
        <v>0.376</v>
      </c>
      <c r="K2107" s="1" t="inlineStr">
        <is>
          <t>Yes</t>
        </is>
      </c>
      <c r="L2107" s="1" t="inlineStr">
        <is>
          <t>No</t>
        </is>
      </c>
      <c r="M2107" s="1" t="inlineStr">
        <is>
          <t>No</t>
        </is>
      </c>
      <c r="N2107" s="1" t="inlineStr">
        <is>
          <t>Algorithms</t>
        </is>
      </c>
      <c r="O21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07" s="11" t="inlineStr">
        <is>
          <t>To Do</t>
        </is>
      </c>
    </row>
    <row r="2108" ht="15.75" customHeight="1" s="12">
      <c r="A2108" s="1" t="n">
        <v>2414</v>
      </c>
      <c r="B2108" s="3">
        <f>HYPERLINK("https://leetcode.com/problems/length-of-the-longest-alphabetical-continuous-substring/", "Length of the Longest Alphabetical Continuous Substring")</f>
        <v/>
      </c>
      <c r="C2108" s="1" t="n">
        <v>553</v>
      </c>
      <c r="D2108" s="1" t="n">
        <v>38</v>
      </c>
      <c r="E2108" s="4">
        <f>IF(INDEX(C:C, ROW())+INDEX(D:D, ROW())=0, 0, INDEX(C:C, ROW())/(INDEX(C:C, ROW())+INDEX(D:D, ROW())))</f>
        <v/>
      </c>
      <c r="F2108" s="1" t="inlineStr">
        <is>
          <t>String</t>
        </is>
      </c>
      <c r="G2108" s="1" t="inlineStr">
        <is>
          <t>Medium</t>
        </is>
      </c>
      <c r="H2108" s="1" t="n">
        <v>65270</v>
      </c>
      <c r="I2108" s="1" t="n">
        <v>107575</v>
      </c>
      <c r="J2108" s="9" t="n">
        <v>0.607</v>
      </c>
      <c r="K2108" s="1" t="inlineStr">
        <is>
          <t>Yes</t>
        </is>
      </c>
      <c r="L2108" s="1" t="inlineStr">
        <is>
          <t>No</t>
        </is>
      </c>
      <c r="M2108" s="1" t="inlineStr">
        <is>
          <t>No</t>
        </is>
      </c>
      <c r="N2108" s="1" t="inlineStr">
        <is>
          <t>Algorithms</t>
        </is>
      </c>
      <c r="O21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08" s="11" t="inlineStr">
        <is>
          <t>To Do</t>
        </is>
      </c>
    </row>
    <row r="2109" ht="15.75" customHeight="1" s="12">
      <c r="A2109" s="1" t="n">
        <v>3264</v>
      </c>
      <c r="B2109" s="3">
        <f>HYPERLINK("https://leetcode.com/problems/final-array-state-after-k-multiplication-operations-i/", "Final Array State After K Multiplication Operations I")</f>
        <v/>
      </c>
      <c r="C2109" s="1" t="n">
        <v>553</v>
      </c>
      <c r="D2109" s="1" t="n">
        <v>13</v>
      </c>
      <c r="E2109" s="4">
        <f>IF(INDEX(C:C, ROW())+INDEX(D:D, ROW())=0, 0, INDEX(C:C, ROW())/(INDEX(C:C, ROW())+INDEX(D:D, ROW())))</f>
        <v/>
      </c>
      <c r="F2109" s="1" t="inlineStr">
        <is>
          <t>Array, Math, Heap (Priority Queue), Simulation</t>
        </is>
      </c>
      <c r="G2109" s="1" t="inlineStr">
        <is>
          <t>Easy</t>
        </is>
      </c>
      <c r="H2109" s="1" t="n">
        <v>206535</v>
      </c>
      <c r="I2109" s="1" t="n">
        <v>237639</v>
      </c>
      <c r="J2109" s="9" t="n">
        <v>0.869</v>
      </c>
      <c r="K2109" s="1" t="inlineStr">
        <is>
          <t>Yes</t>
        </is>
      </c>
      <c r="L2109" s="1" t="inlineStr">
        <is>
          <t>Yes</t>
        </is>
      </c>
      <c r="M2109" s="1" t="inlineStr">
        <is>
          <t>No</t>
        </is>
      </c>
      <c r="N2109" s="1" t="inlineStr">
        <is>
          <t>Algorithms</t>
        </is>
      </c>
      <c r="O21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09" s="13" t="inlineStr">
        <is>
          <t>Done</t>
        </is>
      </c>
    </row>
    <row r="2110" ht="15.75" customHeight="1" s="12">
      <c r="A2110" s="1" t="n">
        <v>1301</v>
      </c>
      <c r="B2110" s="3">
        <f>HYPERLINK("https://leetcode.com/problems/number-of-paths-with-max-score/", "Number of Paths with Max Score")</f>
        <v/>
      </c>
      <c r="C2110" s="1" t="n">
        <v>552</v>
      </c>
      <c r="D2110" s="1" t="n">
        <v>28</v>
      </c>
      <c r="E2110" s="4">
        <f>IF(INDEX(C:C, ROW())+INDEX(D:D, ROW())=0, 0, INDEX(C:C, ROW())/(INDEX(C:C, ROW())+INDEX(D:D, ROW())))</f>
        <v/>
      </c>
      <c r="F2110" s="1" t="inlineStr">
        <is>
          <t>Array, Dynamic Programming, Matrix</t>
        </is>
      </c>
      <c r="G2110" s="1" t="inlineStr">
        <is>
          <t>Hard</t>
        </is>
      </c>
      <c r="H2110" s="1" t="n">
        <v>19246</v>
      </c>
      <c r="I2110" s="1" t="n">
        <v>45348</v>
      </c>
      <c r="J2110" s="9" t="n">
        <v>0.424</v>
      </c>
      <c r="K2110" s="1" t="inlineStr">
        <is>
          <t>Yes</t>
        </is>
      </c>
      <c r="L2110" s="1" t="inlineStr">
        <is>
          <t>No</t>
        </is>
      </c>
      <c r="M2110" s="1" t="inlineStr">
        <is>
          <t>No</t>
        </is>
      </c>
      <c r="N2110" s="1" t="inlineStr">
        <is>
          <t>Algorithms</t>
        </is>
      </c>
      <c r="O21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10" s="11" t="inlineStr">
        <is>
          <t>To Do</t>
        </is>
      </c>
    </row>
    <row r="2111" ht="15.75" customHeight="1" s="12">
      <c r="A2111" s="1" t="n">
        <v>2553</v>
      </c>
      <c r="B2111" s="3">
        <f>HYPERLINK("https://leetcode.com/problems/separate-the-digits-in-an-array/", "Separate the Digits in an Array")</f>
        <v/>
      </c>
      <c r="C2111" s="1" t="n">
        <v>552</v>
      </c>
      <c r="D2111" s="1" t="n">
        <v>15</v>
      </c>
      <c r="E2111" s="4">
        <f>IF(INDEX(C:C, ROW())+INDEX(D:D, ROW())=0, 0, INDEX(C:C, ROW())/(INDEX(C:C, ROW())+INDEX(D:D, ROW())))</f>
        <v/>
      </c>
      <c r="F2111" s="1" t="inlineStr">
        <is>
          <t>Array, Simulation</t>
        </is>
      </c>
      <c r="G2111" s="1" t="inlineStr">
        <is>
          <t>Easy</t>
        </is>
      </c>
      <c r="H2111" s="1" t="n">
        <v>104424</v>
      </c>
      <c r="I2111" s="1" t="n">
        <v>129125</v>
      </c>
      <c r="J2111" s="9" t="n">
        <v>0.8090000000000001</v>
      </c>
      <c r="K2111" s="1" t="inlineStr">
        <is>
          <t>Yes</t>
        </is>
      </c>
      <c r="L2111" s="1" t="inlineStr">
        <is>
          <t>Yes</t>
        </is>
      </c>
      <c r="M2111" s="1" t="inlineStr">
        <is>
          <t>No</t>
        </is>
      </c>
      <c r="N2111" s="1" t="inlineStr">
        <is>
          <t>Algorithms</t>
        </is>
      </c>
      <c r="O21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11" s="13" t="inlineStr">
        <is>
          <t>Done</t>
        </is>
      </c>
    </row>
    <row r="2112" ht="15.75" customHeight="1" s="12">
      <c r="A2112" s="1" t="n">
        <v>3227</v>
      </c>
      <c r="B2112" s="3">
        <f>HYPERLINK("https://leetcode.com/problems/vowels-game-in-a-string/", "Vowels Game in a String")</f>
        <v/>
      </c>
      <c r="C2112" s="1" t="n">
        <v>552</v>
      </c>
      <c r="D2112" s="1" t="n">
        <v>117</v>
      </c>
      <c r="E2112" s="4">
        <f>IF(INDEX(C:C, ROW())+INDEX(D:D, ROW())=0, 0, INDEX(C:C, ROW())/(INDEX(C:C, ROW())+INDEX(D:D, ROW())))</f>
        <v/>
      </c>
      <c r="F2112" s="1" t="inlineStr">
        <is>
          <t>Math, String, Brainteaser, Game Theory</t>
        </is>
      </c>
      <c r="G2112" s="1" t="inlineStr">
        <is>
          <t>Medium</t>
        </is>
      </c>
      <c r="H2112" s="1" t="n">
        <v>193870</v>
      </c>
      <c r="I2112" s="1" t="n">
        <v>251558</v>
      </c>
      <c r="J2112" s="9" t="n">
        <v>0.771</v>
      </c>
      <c r="K2112" s="1" t="inlineStr">
        <is>
          <t>Yes</t>
        </is>
      </c>
      <c r="L2112" s="1" t="inlineStr">
        <is>
          <t>Yes</t>
        </is>
      </c>
      <c r="M2112" s="1" t="inlineStr">
        <is>
          <t>No</t>
        </is>
      </c>
      <c r="N2112" s="1" t="inlineStr">
        <is>
          <t>Algorithms</t>
        </is>
      </c>
      <c r="O21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12" s="11" t="inlineStr">
        <is>
          <t>To Do</t>
        </is>
      </c>
    </row>
    <row r="2113" ht="15.75" customHeight="1" s="12">
      <c r="A2113" s="1" t="n">
        <v>640</v>
      </c>
      <c r="B2113" s="3">
        <f>HYPERLINK("https://leetcode.com/problems/solve-the-equation/", "Solve the Equation")</f>
        <v/>
      </c>
      <c r="C2113" s="1" t="n">
        <v>551</v>
      </c>
      <c r="D2113" s="1" t="n">
        <v>854</v>
      </c>
      <c r="E2113" s="4">
        <f>IF(INDEX(C:C, ROW())+INDEX(D:D, ROW())=0, 0, INDEX(C:C, ROW())/(INDEX(C:C, ROW())+INDEX(D:D, ROW())))</f>
        <v/>
      </c>
      <c r="F2113" s="1" t="inlineStr">
        <is>
          <t>Math, String, Simulation</t>
        </is>
      </c>
      <c r="G2113" s="1" t="inlineStr">
        <is>
          <t>Medium</t>
        </is>
      </c>
      <c r="H2113" s="1" t="n">
        <v>51091</v>
      </c>
      <c r="I2113" s="1" t="n">
        <v>110704</v>
      </c>
      <c r="J2113" s="9" t="n">
        <v>0.462</v>
      </c>
      <c r="K2113" s="1" t="inlineStr">
        <is>
          <t>Yes</t>
        </is>
      </c>
      <c r="L2113" s="1" t="inlineStr">
        <is>
          <t>Yes</t>
        </is>
      </c>
      <c r="M2113" s="1" t="inlineStr">
        <is>
          <t>No</t>
        </is>
      </c>
      <c r="N2113" s="1" t="inlineStr">
        <is>
          <t>Algorithms</t>
        </is>
      </c>
      <c r="O21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13" s="11" t="inlineStr">
        <is>
          <t>To Do</t>
        </is>
      </c>
    </row>
    <row r="2114" ht="15.75" customHeight="1" s="12">
      <c r="A2114" s="1" t="n">
        <v>1912</v>
      </c>
      <c r="B2114" s="3">
        <f>HYPERLINK("https://leetcode.com/problems/design-movie-rental-system/", "Design Movie Rental System")</f>
        <v/>
      </c>
      <c r="C2114" s="1" t="n">
        <v>551</v>
      </c>
      <c r="D2114" s="1" t="n">
        <v>87</v>
      </c>
      <c r="E2114" s="4">
        <f>IF(INDEX(C:C, ROW())+INDEX(D:D, ROW())=0, 0, INDEX(C:C, ROW())/(INDEX(C:C, ROW())+INDEX(D:D, ROW())))</f>
        <v/>
      </c>
      <c r="F2114" s="1" t="inlineStr">
        <is>
          <t>Array, Hash Table, Design, Heap (Priority Queue), Ordered Set</t>
        </is>
      </c>
      <c r="G2114" s="1" t="inlineStr">
        <is>
          <t>Hard</t>
        </is>
      </c>
      <c r="H2114" s="1" t="n">
        <v>73419</v>
      </c>
      <c r="I2114" s="1" t="n">
        <v>117879</v>
      </c>
      <c r="J2114" s="9" t="n">
        <v>0.623</v>
      </c>
      <c r="K2114" s="1" t="inlineStr">
        <is>
          <t>Yes</t>
        </is>
      </c>
      <c r="L2114" s="1" t="inlineStr">
        <is>
          <t>Yes</t>
        </is>
      </c>
      <c r="M2114" s="1" t="inlineStr">
        <is>
          <t>No</t>
        </is>
      </c>
      <c r="N2114" s="1" t="inlineStr">
        <is>
          <t>Algorithms</t>
        </is>
      </c>
      <c r="O21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14" s="11" t="inlineStr">
        <is>
          <t>To Do</t>
        </is>
      </c>
    </row>
    <row r="2115" ht="15.75" customHeight="1" s="12">
      <c r="A2115" s="1" t="n">
        <v>2172</v>
      </c>
      <c r="B2115" s="3">
        <f>HYPERLINK("https://leetcode.com/problems/maximum-and-sum-of-array/", "Maximum AND Sum of Array")</f>
        <v/>
      </c>
      <c r="C2115" s="1" t="n">
        <v>551</v>
      </c>
      <c r="D2115" s="1" t="n">
        <v>33</v>
      </c>
      <c r="E2115" s="4">
        <f>IF(INDEX(C:C, ROW())+INDEX(D:D, ROW())=0, 0, INDEX(C:C, ROW())/(INDEX(C:C, ROW())+INDEX(D:D, ROW())))</f>
        <v/>
      </c>
      <c r="F2115" s="1" t="inlineStr">
        <is>
          <t>Array, Dynamic Programming, Bit Manipulation, Bitmask</t>
        </is>
      </c>
      <c r="G2115" s="1" t="inlineStr">
        <is>
          <t>Hard</t>
        </is>
      </c>
      <c r="H2115" s="1" t="n">
        <v>18031</v>
      </c>
      <c r="I2115" s="1" t="n">
        <v>35654</v>
      </c>
      <c r="J2115" s="9" t="n">
        <v>0.506</v>
      </c>
      <c r="K2115" s="1" t="inlineStr">
        <is>
          <t>Yes</t>
        </is>
      </c>
      <c r="L2115" s="1" t="inlineStr">
        <is>
          <t>No</t>
        </is>
      </c>
      <c r="M2115" s="1" t="inlineStr">
        <is>
          <t>No</t>
        </is>
      </c>
      <c r="N2115" s="1" t="inlineStr">
        <is>
          <t>Algorithms</t>
        </is>
      </c>
      <c r="O21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15" s="11" t="inlineStr">
        <is>
          <t>To Do</t>
        </is>
      </c>
    </row>
    <row r="2116" ht="15.75" customHeight="1" s="12">
      <c r="A2116" s="1" t="n">
        <v>2319</v>
      </c>
      <c r="B2116" s="3">
        <f>HYPERLINK("https://leetcode.com/problems/check-if-matrix-is-x-matrix/", "Check if Matrix Is X-Matrix")</f>
        <v/>
      </c>
      <c r="C2116" s="1" t="n">
        <v>551</v>
      </c>
      <c r="D2116" s="1" t="n">
        <v>26</v>
      </c>
      <c r="E2116" s="4">
        <f>IF(INDEX(C:C, ROW())+INDEX(D:D, ROW())=0, 0, INDEX(C:C, ROW())/(INDEX(C:C, ROW())+INDEX(D:D, ROW())))</f>
        <v/>
      </c>
      <c r="F2116" s="1" t="inlineStr">
        <is>
          <t>Array, Matrix</t>
        </is>
      </c>
      <c r="G2116" s="1" t="inlineStr">
        <is>
          <t>Easy</t>
        </is>
      </c>
      <c r="H2116" s="1" t="n">
        <v>75560</v>
      </c>
      <c r="I2116" s="1" t="n">
        <v>113386</v>
      </c>
      <c r="J2116" s="9" t="n">
        <v>0.666</v>
      </c>
      <c r="K2116" s="1" t="inlineStr">
        <is>
          <t>Yes</t>
        </is>
      </c>
      <c r="L2116" s="1" t="inlineStr">
        <is>
          <t>No</t>
        </is>
      </c>
      <c r="M2116" s="1" t="inlineStr">
        <is>
          <t>No</t>
        </is>
      </c>
      <c r="N2116" s="1" t="inlineStr">
        <is>
          <t>Algorithms</t>
        </is>
      </c>
      <c r="O21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16" s="13" t="inlineStr">
        <is>
          <t>Done</t>
        </is>
      </c>
    </row>
    <row r="2117" ht="15.75" customHeight="1" s="12">
      <c r="A2117" s="1" t="n">
        <v>1188</v>
      </c>
      <c r="B2117" s="3">
        <f>HYPERLINK("https://leetcode.com/problems/design-bounded-blocking-queue/", "Design Bounded Blocking Queue")</f>
        <v/>
      </c>
      <c r="C2117" s="1" t="n">
        <v>550</v>
      </c>
      <c r="D2117" s="1" t="n">
        <v>43</v>
      </c>
      <c r="E2117" s="4">
        <f>IF(INDEX(C:C, ROW())+INDEX(D:D, ROW())=0, 0, INDEX(C:C, ROW())/(INDEX(C:C, ROW())+INDEX(D:D, ROW())))</f>
        <v/>
      </c>
      <c r="F2117" s="1" t="inlineStr">
        <is>
          <t>Concurrency</t>
        </is>
      </c>
      <c r="G2117" s="1" t="inlineStr">
        <is>
          <t>Medium</t>
        </is>
      </c>
      <c r="H2117" s="1" t="n">
        <v>69973</v>
      </c>
      <c r="I2117" s="1" t="n">
        <v>94838</v>
      </c>
      <c r="J2117" s="9" t="n">
        <v>0.738</v>
      </c>
      <c r="K2117" s="1" t="inlineStr">
        <is>
          <t>No</t>
        </is>
      </c>
      <c r="L2117" s="1" t="inlineStr">
        <is>
          <t>No</t>
        </is>
      </c>
      <c r="M2117" s="1" t="inlineStr">
        <is>
          <t>No</t>
        </is>
      </c>
      <c r="N2117" s="1" t="inlineStr">
        <is>
          <t>Concurrency</t>
        </is>
      </c>
      <c r="O21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17" s="11" t="inlineStr">
        <is>
          <t>To Do</t>
        </is>
      </c>
    </row>
    <row r="2118" ht="15.75" customHeight="1" s="12">
      <c r="A2118" s="1" t="n">
        <v>1587</v>
      </c>
      <c r="B2118" s="3">
        <f>HYPERLINK("https://leetcode.com/problems/bank-account-summary-ii/", "Bank Account Summary II")</f>
        <v/>
      </c>
      <c r="C2118" s="1" t="n">
        <v>550</v>
      </c>
      <c r="D2118" s="1" t="n">
        <v>6</v>
      </c>
      <c r="E2118" s="4">
        <f>IF(INDEX(C:C, ROW())+INDEX(D:D, ROW())=0, 0, INDEX(C:C, ROW())/(INDEX(C:C, ROW())+INDEX(D:D, ROW())))</f>
        <v/>
      </c>
      <c r="F2118" s="1" t="inlineStr">
        <is>
          <t>Database</t>
        </is>
      </c>
      <c r="G2118" s="1" t="inlineStr">
        <is>
          <t>Easy</t>
        </is>
      </c>
      <c r="H2118" s="1" t="n">
        <v>171501</v>
      </c>
      <c r="I2118" s="1" t="n">
        <v>206736</v>
      </c>
      <c r="J2118" s="9" t="n">
        <v>0.83</v>
      </c>
      <c r="K2118" s="1" t="inlineStr">
        <is>
          <t>Yes</t>
        </is>
      </c>
      <c r="L2118" s="1" t="inlineStr">
        <is>
          <t>Yes</t>
        </is>
      </c>
      <c r="M2118" s="1" t="inlineStr">
        <is>
          <t>No</t>
        </is>
      </c>
      <c r="N2118" s="1" t="inlineStr">
        <is>
          <t>Database</t>
        </is>
      </c>
      <c r="O21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18" s="13" t="inlineStr">
        <is>
          <t>Done</t>
        </is>
      </c>
    </row>
    <row r="2119" ht="15.75" customHeight="1" s="12">
      <c r="A2119" s="1" t="n">
        <v>2808</v>
      </c>
      <c r="B2119" s="3">
        <f>HYPERLINK("https://leetcode.com/problems/minimum-seconds-to-equalize-a-circular-array/", "Minimum Seconds to Equalize a Circular Array")</f>
        <v/>
      </c>
      <c r="C2119" s="1" t="n">
        <v>550</v>
      </c>
      <c r="D2119" s="1" t="n">
        <v>33</v>
      </c>
      <c r="E2119" s="4">
        <f>IF(INDEX(C:C, ROW())+INDEX(D:D, ROW())=0, 0, INDEX(C:C, ROW())/(INDEX(C:C, ROW())+INDEX(D:D, ROW())))</f>
        <v/>
      </c>
      <c r="F2119" s="1" t="inlineStr">
        <is>
          <t>Array, Hash Table</t>
        </is>
      </c>
      <c r="G2119" s="1" t="inlineStr">
        <is>
          <t>Medium</t>
        </is>
      </c>
      <c r="H2119" s="1" t="n">
        <v>18785</v>
      </c>
      <c r="I2119" s="1" t="n">
        <v>65635</v>
      </c>
      <c r="J2119" s="9" t="n">
        <v>0.286</v>
      </c>
      <c r="K2119" s="1" t="inlineStr">
        <is>
          <t>Yes</t>
        </is>
      </c>
      <c r="L2119" s="1" t="inlineStr">
        <is>
          <t>No</t>
        </is>
      </c>
      <c r="M2119" s="1" t="inlineStr">
        <is>
          <t>No</t>
        </is>
      </c>
      <c r="N2119" s="1" t="inlineStr">
        <is>
          <t>Algorithms</t>
        </is>
      </c>
      <c r="O21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19" s="11" t="inlineStr">
        <is>
          <t>To Do</t>
        </is>
      </c>
    </row>
    <row r="2120" ht="15.75" customHeight="1" s="12">
      <c r="A2120" s="1" t="n">
        <v>2457</v>
      </c>
      <c r="B2120" s="3">
        <f>HYPERLINK("https://leetcode.com/problems/minimum-addition-to-make-integer-beautiful/", "Minimum Addition to Make Integer Beautiful")</f>
        <v/>
      </c>
      <c r="C2120" s="1" t="n">
        <v>549</v>
      </c>
      <c r="D2120" s="1" t="n">
        <v>26</v>
      </c>
      <c r="E2120" s="4">
        <f>IF(INDEX(C:C, ROW())+INDEX(D:D, ROW())=0, 0, INDEX(C:C, ROW())/(INDEX(C:C, ROW())+INDEX(D:D, ROW())))</f>
        <v/>
      </c>
      <c r="F2120" s="1" t="inlineStr">
        <is>
          <t>Math, Greedy</t>
        </is>
      </c>
      <c r="G2120" s="1" t="inlineStr">
        <is>
          <t>Medium</t>
        </is>
      </c>
      <c r="H2120" s="1" t="n">
        <v>25408</v>
      </c>
      <c r="I2120" s="1" t="n">
        <v>65653</v>
      </c>
      <c r="J2120" s="9" t="n">
        <v>0.387</v>
      </c>
      <c r="K2120" s="1" t="inlineStr">
        <is>
          <t>Yes</t>
        </is>
      </c>
      <c r="L2120" s="1" t="inlineStr">
        <is>
          <t>No</t>
        </is>
      </c>
      <c r="M2120" s="1" t="inlineStr">
        <is>
          <t>No</t>
        </is>
      </c>
      <c r="N2120" s="1" t="inlineStr">
        <is>
          <t>Algorithms</t>
        </is>
      </c>
      <c r="O21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20" s="11" t="inlineStr">
        <is>
          <t>To Do</t>
        </is>
      </c>
    </row>
    <row r="2121" ht="15.75" customHeight="1" s="12">
      <c r="A2121" s="1" t="n">
        <v>2521</v>
      </c>
      <c r="B2121" s="3">
        <f>HYPERLINK("https://leetcode.com/problems/distinct-prime-factors-of-product-of-array/", "Distinct Prime Factors of Product of Array")</f>
        <v/>
      </c>
      <c r="C2121" s="1" t="n">
        <v>549</v>
      </c>
      <c r="D2121" s="1" t="n">
        <v>14</v>
      </c>
      <c r="E2121" s="4">
        <f>IF(INDEX(C:C, ROW())+INDEX(D:D, ROW())=0, 0, INDEX(C:C, ROW())/(INDEX(C:C, ROW())+INDEX(D:D, ROW())))</f>
        <v/>
      </c>
      <c r="F2121" s="1" t="inlineStr">
        <is>
          <t>Array, Hash Table, Math, Number Theory</t>
        </is>
      </c>
      <c r="G2121" s="1" t="inlineStr">
        <is>
          <t>Medium</t>
        </is>
      </c>
      <c r="H2121" s="1" t="n">
        <v>48136</v>
      </c>
      <c r="I2121" s="1" t="n">
        <v>88484</v>
      </c>
      <c r="J2121" s="9" t="n">
        <v>0.544</v>
      </c>
      <c r="K2121" s="1" t="inlineStr">
        <is>
          <t>Yes</t>
        </is>
      </c>
      <c r="L2121" s="1" t="inlineStr">
        <is>
          <t>No</t>
        </is>
      </c>
      <c r="M2121" s="1" t="inlineStr">
        <is>
          <t>No</t>
        </is>
      </c>
      <c r="N2121" s="1" t="inlineStr">
        <is>
          <t>Algorithms</t>
        </is>
      </c>
      <c r="O21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21" s="11" t="inlineStr">
        <is>
          <t>To Do</t>
        </is>
      </c>
    </row>
    <row r="2122" ht="15.75" customHeight="1" s="12">
      <c r="A2122" s="1" t="n">
        <v>1237</v>
      </c>
      <c r="B2122" s="3">
        <f>HYPERLINK("https://leetcode.com/problems/find-positive-integer-solution-for-a-given-equation/", "Find Positive Integer Solution for a Given Equation")</f>
        <v/>
      </c>
      <c r="C2122" s="1" t="n">
        <v>548</v>
      </c>
      <c r="D2122" s="1" t="n">
        <v>1446</v>
      </c>
      <c r="E2122" s="4">
        <f>IF(INDEX(C:C, ROW())+INDEX(D:D, ROW())=0, 0, INDEX(C:C, ROW())/(INDEX(C:C, ROW())+INDEX(D:D, ROW())))</f>
        <v/>
      </c>
      <c r="F2122" s="1" t="inlineStr">
        <is>
          <t>Math, Two Pointers, Binary Search, Interactive</t>
        </is>
      </c>
      <c r="G2122" s="1" t="inlineStr">
        <is>
          <t>Medium</t>
        </is>
      </c>
      <c r="H2122" s="1" t="n">
        <v>82774</v>
      </c>
      <c r="I2122" s="1" t="n">
        <v>118326</v>
      </c>
      <c r="J2122" s="9" t="n">
        <v>0.7</v>
      </c>
      <c r="K2122" s="1" t="inlineStr">
        <is>
          <t>Yes</t>
        </is>
      </c>
      <c r="L2122" s="1" t="inlineStr">
        <is>
          <t>No</t>
        </is>
      </c>
      <c r="M2122" s="1" t="inlineStr">
        <is>
          <t>No</t>
        </is>
      </c>
      <c r="N2122" s="1" t="inlineStr">
        <is>
          <t>Algorithms</t>
        </is>
      </c>
      <c r="O21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22" s="11" t="inlineStr">
        <is>
          <t>To Do</t>
        </is>
      </c>
    </row>
    <row r="2123" ht="15.75" customHeight="1" s="12">
      <c r="A2123" s="1" t="n">
        <v>1955</v>
      </c>
      <c r="B2123" s="3">
        <f>HYPERLINK("https://leetcode.com/problems/count-number-of-special-subsequences/", "Count Number of Special Subsequences")</f>
        <v/>
      </c>
      <c r="C2123" s="1" t="n">
        <v>548</v>
      </c>
      <c r="D2123" s="1" t="n">
        <v>11</v>
      </c>
      <c r="E2123" s="4">
        <f>IF(INDEX(C:C, ROW())+INDEX(D:D, ROW())=0, 0, INDEX(C:C, ROW())/(INDEX(C:C, ROW())+INDEX(D:D, ROW())))</f>
        <v/>
      </c>
      <c r="F2123" s="1" t="inlineStr">
        <is>
          <t>Array, Dynamic Programming</t>
        </is>
      </c>
      <c r="G2123" s="1" t="inlineStr">
        <is>
          <t>Hard</t>
        </is>
      </c>
      <c r="H2123" s="1" t="n">
        <v>15643</v>
      </c>
      <c r="I2123" s="1" t="n">
        <v>29582</v>
      </c>
      <c r="J2123" s="9" t="n">
        <v>0.529</v>
      </c>
      <c r="K2123" s="1" t="inlineStr">
        <is>
          <t>Yes</t>
        </is>
      </c>
      <c r="L2123" s="1" t="inlineStr">
        <is>
          <t>No</t>
        </is>
      </c>
      <c r="M2123" s="1" t="inlineStr">
        <is>
          <t>No</t>
        </is>
      </c>
      <c r="N2123" s="1" t="inlineStr">
        <is>
          <t>Algorithms</t>
        </is>
      </c>
      <c r="O21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23" s="11" t="inlineStr">
        <is>
          <t>To Do</t>
        </is>
      </c>
    </row>
    <row r="2124" ht="15.75" customHeight="1" s="12">
      <c r="A2124" s="1" t="n">
        <v>2731</v>
      </c>
      <c r="B2124" s="3">
        <f>HYPERLINK("https://leetcode.com/problems/movement-of-robots/", "Movement of Robots")</f>
        <v/>
      </c>
      <c r="C2124" s="1" t="n">
        <v>548</v>
      </c>
      <c r="D2124" s="1" t="n">
        <v>103</v>
      </c>
      <c r="E2124" s="4">
        <f>IF(INDEX(C:C, ROW())+INDEX(D:D, ROW())=0, 0, INDEX(C:C, ROW())/(INDEX(C:C, ROW())+INDEX(D:D, ROW())))</f>
        <v/>
      </c>
      <c r="F2124" s="1" t="inlineStr">
        <is>
          <t>Array, Brainteaser, Sorting, Prefix Sum</t>
        </is>
      </c>
      <c r="G2124" s="1" t="inlineStr">
        <is>
          <t>Medium</t>
        </is>
      </c>
      <c r="H2124" s="1" t="n">
        <v>18755</v>
      </c>
      <c r="I2124" s="1" t="n">
        <v>66982</v>
      </c>
      <c r="J2124" s="9" t="n">
        <v>0.28</v>
      </c>
      <c r="K2124" s="1" t="inlineStr">
        <is>
          <t>Yes</t>
        </is>
      </c>
      <c r="L2124" s="1" t="inlineStr">
        <is>
          <t>No</t>
        </is>
      </c>
      <c r="M2124" s="1" t="inlineStr">
        <is>
          <t>No</t>
        </is>
      </c>
      <c r="N2124" s="1" t="inlineStr">
        <is>
          <t>Algorithms</t>
        </is>
      </c>
      <c r="O21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24" s="11" t="inlineStr">
        <is>
          <t>To Do</t>
        </is>
      </c>
    </row>
    <row r="2125" ht="15.75" customHeight="1" s="12">
      <c r="A2125" s="1" t="n">
        <v>3013</v>
      </c>
      <c r="B2125" s="3">
        <f>HYPERLINK("https://leetcode.com/problems/divide-an-array-into-subarrays-with-minimum-cost-ii/", "Divide an Array Into Subarrays With Minimum Cost II")</f>
        <v/>
      </c>
      <c r="C2125" s="1" t="n">
        <v>548</v>
      </c>
      <c r="D2125" s="1" t="n">
        <v>63</v>
      </c>
      <c r="E2125" s="4">
        <f>IF(INDEX(C:C, ROW())+INDEX(D:D, ROW())=0, 0, INDEX(C:C, ROW())/(INDEX(C:C, ROW())+INDEX(D:D, ROW())))</f>
        <v/>
      </c>
      <c r="F2125" s="1" t="inlineStr">
        <is>
          <t>Array, Hash Table, Sliding Window, Heap (Priority Queue)</t>
        </is>
      </c>
      <c r="G2125" s="1" t="inlineStr">
        <is>
          <t>Hard</t>
        </is>
      </c>
      <c r="H2125" s="1" t="n">
        <v>73761</v>
      </c>
      <c r="I2125" s="1" t="n">
        <v>134846</v>
      </c>
      <c r="J2125" s="9" t="n">
        <v>0.547</v>
      </c>
      <c r="K2125" s="1" t="inlineStr">
        <is>
          <t>Yes</t>
        </is>
      </c>
      <c r="L2125" s="1" t="inlineStr">
        <is>
          <t>Yes</t>
        </is>
      </c>
      <c r="M2125" s="1" t="inlineStr">
        <is>
          <t>No</t>
        </is>
      </c>
      <c r="N2125" s="1" t="inlineStr">
        <is>
          <t>Algorithms</t>
        </is>
      </c>
      <c r="O21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25" s="11" t="inlineStr">
        <is>
          <t>To Do</t>
        </is>
      </c>
    </row>
    <row r="2126" ht="15.75" customHeight="1" s="12">
      <c r="A2126" s="1" t="n">
        <v>1628</v>
      </c>
      <c r="B2126" s="3">
        <f>HYPERLINK("https://leetcode.com/problems/design-an-expression-tree-with-evaluate-function/", "Design an Expression Tree With Evaluate Function")</f>
        <v/>
      </c>
      <c r="C2126" s="1" t="n">
        <v>547</v>
      </c>
      <c r="D2126" s="1" t="n">
        <v>74</v>
      </c>
      <c r="E2126" s="4">
        <f>IF(INDEX(C:C, ROW())+INDEX(D:D, ROW())=0, 0, INDEX(C:C, ROW())/(INDEX(C:C, ROW())+INDEX(D:D, ROW())))</f>
        <v/>
      </c>
      <c r="F2126" s="1" t="inlineStr">
        <is>
          <t>Array, Math, Stack, Tree, Design, Binary Tree</t>
        </is>
      </c>
      <c r="G2126" s="1" t="inlineStr">
        <is>
          <t>Medium</t>
        </is>
      </c>
      <c r="H2126" s="1" t="n">
        <v>29832</v>
      </c>
      <c r="I2126" s="1" t="n">
        <v>36147</v>
      </c>
      <c r="J2126" s="9" t="n">
        <v>0.825</v>
      </c>
      <c r="K2126" s="1" t="inlineStr">
        <is>
          <t>No</t>
        </is>
      </c>
      <c r="L2126" s="1" t="inlineStr">
        <is>
          <t>No</t>
        </is>
      </c>
      <c r="M2126" s="1" t="inlineStr">
        <is>
          <t>No</t>
        </is>
      </c>
      <c r="N2126" s="1" t="inlineStr">
        <is>
          <t>Algorithms</t>
        </is>
      </c>
      <c r="O21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26" s="11" t="inlineStr">
        <is>
          <t>To Do</t>
        </is>
      </c>
    </row>
    <row r="2127" ht="15.75" customHeight="1" s="12">
      <c r="A2127" s="1" t="n">
        <v>1165</v>
      </c>
      <c r="B2127" s="3">
        <f>HYPERLINK("https://leetcode.com/problems/single-row-keyboard/", "Single-Row Keyboard")</f>
        <v/>
      </c>
      <c r="C2127" s="1" t="n">
        <v>546</v>
      </c>
      <c r="D2127" s="1" t="n">
        <v>23</v>
      </c>
      <c r="E2127" s="4">
        <f>IF(INDEX(C:C, ROW())+INDEX(D:D, ROW())=0, 0, INDEX(C:C, ROW())/(INDEX(C:C, ROW())+INDEX(D:D, ROW())))</f>
        <v/>
      </c>
      <c r="F2127" s="1" t="inlineStr">
        <is>
          <t>Hash Table, String</t>
        </is>
      </c>
      <c r="G2127" s="1" t="inlineStr">
        <is>
          <t>Easy</t>
        </is>
      </c>
      <c r="H2127" s="1" t="n">
        <v>94171</v>
      </c>
      <c r="I2127" s="1" t="n">
        <v>107246</v>
      </c>
      <c r="J2127" s="9" t="n">
        <v>0.878</v>
      </c>
      <c r="K2127" s="1" t="inlineStr">
        <is>
          <t>No</t>
        </is>
      </c>
      <c r="L2127" s="1" t="inlineStr">
        <is>
          <t>Yes</t>
        </is>
      </c>
      <c r="M2127" s="1" t="inlineStr">
        <is>
          <t>Yes</t>
        </is>
      </c>
      <c r="N2127" s="1" t="inlineStr">
        <is>
          <t>Algorithms</t>
        </is>
      </c>
      <c r="O21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27" s="11" t="inlineStr">
        <is>
          <t>To Do</t>
        </is>
      </c>
    </row>
    <row r="2128" ht="15.75" customHeight="1" s="12">
      <c r="A2128" s="1" t="n">
        <v>3341</v>
      </c>
      <c r="B2128" s="3">
        <f>HYPERLINK("https://leetcode.com/problems/find-minimum-time-to-reach-last-room-i/", "Find Minimum Time to Reach Last Room I")</f>
        <v/>
      </c>
      <c r="C2128" s="1" t="n">
        <v>546</v>
      </c>
      <c r="D2128" s="1" t="n">
        <v>175</v>
      </c>
      <c r="E2128" s="4">
        <f>IF(INDEX(C:C, ROW())+INDEX(D:D, ROW())=0, 0, INDEX(C:C, ROW())/(INDEX(C:C, ROW())+INDEX(D:D, ROW())))</f>
        <v/>
      </c>
      <c r="F2128" s="1" t="inlineStr">
        <is>
          <t>Array, Graph Theory, Heap (Priority Queue), Matrix, Shortest Path</t>
        </is>
      </c>
      <c r="G2128" s="1" t="inlineStr">
        <is>
          <t>Medium</t>
        </is>
      </c>
      <c r="H2128" s="1" t="n">
        <v>116386</v>
      </c>
      <c r="I2128" s="1" t="n">
        <v>209941</v>
      </c>
      <c r="J2128" s="9" t="n">
        <v>0.554</v>
      </c>
      <c r="K2128" s="1" t="inlineStr">
        <is>
          <t>Yes</t>
        </is>
      </c>
      <c r="L2128" s="1" t="inlineStr">
        <is>
          <t>Yes</t>
        </is>
      </c>
      <c r="M2128" s="1" t="inlineStr">
        <is>
          <t>No</t>
        </is>
      </c>
      <c r="N2128" s="1" t="inlineStr">
        <is>
          <t>Algorithms</t>
        </is>
      </c>
      <c r="O21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28" s="11" t="inlineStr">
        <is>
          <t>To Do</t>
        </is>
      </c>
    </row>
    <row r="2129" ht="15.75" customHeight="1" s="12">
      <c r="A2129" s="1" t="n">
        <v>1927</v>
      </c>
      <c r="B2129" s="3">
        <f>HYPERLINK("https://leetcode.com/problems/sum-game/", "Sum Game")</f>
        <v/>
      </c>
      <c r="C2129" s="1" t="n">
        <v>543</v>
      </c>
      <c r="D2129" s="1" t="n">
        <v>93</v>
      </c>
      <c r="E2129" s="4">
        <f>IF(INDEX(C:C, ROW())+INDEX(D:D, ROW())=0, 0, INDEX(C:C, ROW())/(INDEX(C:C, ROW())+INDEX(D:D, ROW())))</f>
        <v/>
      </c>
      <c r="F2129" s="1" t="inlineStr">
        <is>
          <t>Math, String, Greedy, Game Theory</t>
        </is>
      </c>
      <c r="G2129" s="1" t="inlineStr">
        <is>
          <t>Medium</t>
        </is>
      </c>
      <c r="H2129" s="1" t="n">
        <v>17021</v>
      </c>
      <c r="I2129" s="1" t="n">
        <v>34520</v>
      </c>
      <c r="J2129" s="9" t="n">
        <v>0.493</v>
      </c>
      <c r="K2129" s="1" t="inlineStr">
        <is>
          <t>Yes</t>
        </is>
      </c>
      <c r="L2129" s="1" t="inlineStr">
        <is>
          <t>No</t>
        </is>
      </c>
      <c r="M2129" s="1" t="inlineStr">
        <is>
          <t>No</t>
        </is>
      </c>
      <c r="N2129" s="1" t="inlineStr">
        <is>
          <t>Algorithms</t>
        </is>
      </c>
      <c r="O21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29" s="11" t="inlineStr">
        <is>
          <t>To Do</t>
        </is>
      </c>
    </row>
    <row r="2130" ht="15.75" customHeight="1" s="12">
      <c r="A2130" s="1" t="n">
        <v>2267</v>
      </c>
      <c r="B2130" s="3">
        <f>HYPERLINK("https://leetcode.com/problems/check-if-there-is-a-valid-parentheses-string-path/", " Check if There Is a Valid Parentheses String Path")</f>
        <v/>
      </c>
      <c r="C2130" s="1" t="n">
        <v>543</v>
      </c>
      <c r="D2130" s="1" t="n">
        <v>9</v>
      </c>
      <c r="E2130" s="4">
        <f>IF(INDEX(C:C, ROW())+INDEX(D:D, ROW())=0, 0, INDEX(C:C, ROW())/(INDEX(C:C, ROW())+INDEX(D:D, ROW())))</f>
        <v/>
      </c>
      <c r="F2130" s="1" t="inlineStr">
        <is>
          <t>Array, Dynamic Programming, Matrix</t>
        </is>
      </c>
      <c r="G2130" s="1" t="inlineStr">
        <is>
          <t>Hard</t>
        </is>
      </c>
      <c r="H2130" s="1" t="n">
        <v>20645</v>
      </c>
      <c r="I2130" s="1" t="n">
        <v>51215</v>
      </c>
      <c r="J2130" s="9" t="n">
        <v>0.403</v>
      </c>
      <c r="K2130" s="1" t="inlineStr">
        <is>
          <t>Yes</t>
        </is>
      </c>
      <c r="L2130" s="1" t="inlineStr">
        <is>
          <t>No</t>
        </is>
      </c>
      <c r="M2130" s="1" t="inlineStr">
        <is>
          <t>No</t>
        </is>
      </c>
      <c r="N2130" s="1" t="inlineStr">
        <is>
          <t>Algorithms</t>
        </is>
      </c>
      <c r="O21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30" s="11" t="inlineStr">
        <is>
          <t>To Do</t>
        </is>
      </c>
    </row>
    <row r="2131" ht="15.75" customHeight="1" s="12">
      <c r="A2131" s="1" t="n">
        <v>1738</v>
      </c>
      <c r="B2131" s="3">
        <f>HYPERLINK("https://leetcode.com/problems/find-kth-largest-xor-coordinate-value/", "Find Kth Largest XOR Coordinate Value")</f>
        <v/>
      </c>
      <c r="C2131" s="1" t="n">
        <v>541</v>
      </c>
      <c r="D2131" s="1" t="n">
        <v>85</v>
      </c>
      <c r="E2131" s="4">
        <f>IF(INDEX(C:C, ROW())+INDEX(D:D, ROW())=0, 0, INDEX(C:C, ROW())/(INDEX(C:C, ROW())+INDEX(D:D, ROW())))</f>
        <v/>
      </c>
      <c r="F2131" s="1" t="inlineStr">
        <is>
          <t>Array, Divide and Conquer, Bit Manipulation, Sorting, Heap (Priority Queue), Matrix, Prefix Sum, Quickselect</t>
        </is>
      </c>
      <c r="G2131" s="1" t="inlineStr">
        <is>
          <t>Medium</t>
        </is>
      </c>
      <c r="H2131" s="1" t="n">
        <v>30862</v>
      </c>
      <c r="I2131" s="1" t="n">
        <v>48027</v>
      </c>
      <c r="J2131" s="9" t="n">
        <v>0.643</v>
      </c>
      <c r="K2131" s="1" t="inlineStr">
        <is>
          <t>Yes</t>
        </is>
      </c>
      <c r="L2131" s="1" t="inlineStr">
        <is>
          <t>No</t>
        </is>
      </c>
      <c r="M2131" s="1" t="inlineStr">
        <is>
          <t>No</t>
        </is>
      </c>
      <c r="N2131" s="1" t="inlineStr">
        <is>
          <t>Algorithms</t>
        </is>
      </c>
      <c r="O21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31" s="11" t="inlineStr">
        <is>
          <t>To Do</t>
        </is>
      </c>
    </row>
    <row r="2132" ht="15.75" customHeight="1" s="12">
      <c r="A2132" s="1" t="n">
        <v>1998</v>
      </c>
      <c r="B2132" s="3">
        <f>HYPERLINK("https://leetcode.com/problems/gcd-sort-of-an-array/", "GCD Sort of an Array")</f>
        <v/>
      </c>
      <c r="C2132" s="1" t="n">
        <v>541</v>
      </c>
      <c r="D2132" s="1" t="n">
        <v>15</v>
      </c>
      <c r="E2132" s="4">
        <f>IF(INDEX(C:C, ROW())+INDEX(D:D, ROW())=0, 0, INDEX(C:C, ROW())/(INDEX(C:C, ROW())+INDEX(D:D, ROW())))</f>
        <v/>
      </c>
      <c r="F2132" s="1" t="inlineStr">
        <is>
          <t>Array, Math, Union-Find, Sorting, Number Theory</t>
        </is>
      </c>
      <c r="G2132" s="1" t="inlineStr">
        <is>
          <t>Hard</t>
        </is>
      </c>
      <c r="H2132" s="1" t="n">
        <v>15119</v>
      </c>
      <c r="I2132" s="1" t="n">
        <v>30318</v>
      </c>
      <c r="J2132" s="9" t="n">
        <v>0.499</v>
      </c>
      <c r="K2132" s="1" t="inlineStr">
        <is>
          <t>Yes</t>
        </is>
      </c>
      <c r="L2132" s="1" t="inlineStr">
        <is>
          <t>No</t>
        </is>
      </c>
      <c r="M2132" s="1" t="inlineStr">
        <is>
          <t>No</t>
        </is>
      </c>
      <c r="N2132" s="1" t="inlineStr">
        <is>
          <t>Algorithms</t>
        </is>
      </c>
      <c r="O21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32" s="11" t="inlineStr">
        <is>
          <t>To Do</t>
        </is>
      </c>
    </row>
    <row r="2133" ht="15.75" customHeight="1" s="12">
      <c r="A2133" s="1" t="n">
        <v>2596</v>
      </c>
      <c r="B2133" s="3">
        <f>HYPERLINK("https://leetcode.com/problems/check-knight-tour-configuration/", "Check Knight Tour Configuration")</f>
        <v/>
      </c>
      <c r="C2133" s="1" t="n">
        <v>540</v>
      </c>
      <c r="D2133" s="1" t="n">
        <v>69</v>
      </c>
      <c r="E2133" s="4">
        <f>IF(INDEX(C:C, ROW())+INDEX(D:D, ROW())=0, 0, INDEX(C:C, ROW())/(INDEX(C:C, ROW())+INDEX(D:D, ROW())))</f>
        <v/>
      </c>
      <c r="F2133" s="1" t="inlineStr">
        <is>
          <t>Array, Depth-First Search, Breadth-First Search, Matrix, Simulation</t>
        </is>
      </c>
      <c r="G2133" s="1" t="inlineStr">
        <is>
          <t>Medium</t>
        </is>
      </c>
      <c r="H2133" s="1" t="n">
        <v>56036</v>
      </c>
      <c r="I2133" s="1" t="n">
        <v>91713</v>
      </c>
      <c r="J2133" s="9" t="n">
        <v>0.611</v>
      </c>
      <c r="K2133" s="1" t="inlineStr">
        <is>
          <t>Yes</t>
        </is>
      </c>
      <c r="L2133" s="1" t="inlineStr">
        <is>
          <t>No</t>
        </is>
      </c>
      <c r="M2133" s="1" t="inlineStr">
        <is>
          <t>No</t>
        </is>
      </c>
      <c r="N2133" s="1" t="inlineStr">
        <is>
          <t>Algorithms</t>
        </is>
      </c>
      <c r="O21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33" s="11" t="inlineStr">
        <is>
          <t>To Do</t>
        </is>
      </c>
    </row>
    <row r="2134" ht="15.75" customHeight="1" s="12">
      <c r="A2134" s="1" t="n">
        <v>2622</v>
      </c>
      <c r="B2134" s="3">
        <f>HYPERLINK("https://leetcode.com/problems/cache-with-time-limit/", "Cache With Time Limit")</f>
        <v/>
      </c>
      <c r="C2134" s="1" t="n">
        <v>540</v>
      </c>
      <c r="D2134" s="1" t="n">
        <v>45</v>
      </c>
      <c r="E2134" s="4">
        <f>IF(INDEX(C:C, ROW())+INDEX(D:D, ROW())=0, 0, INDEX(C:C, ROW())/(INDEX(C:C, ROW())+INDEX(D:D, ROW())))</f>
        <v/>
      </c>
      <c r="F2134" s="2" t="n"/>
      <c r="G2134" s="1" t="inlineStr">
        <is>
          <t>Medium</t>
        </is>
      </c>
      <c r="H2134" s="1" t="n">
        <v>85153</v>
      </c>
      <c r="I2134" s="1" t="n">
        <v>111913</v>
      </c>
      <c r="J2134" s="9" t="n">
        <v>0.761</v>
      </c>
      <c r="K2134" s="1" t="inlineStr">
        <is>
          <t>Yes</t>
        </is>
      </c>
      <c r="L2134" s="1" t="inlineStr">
        <is>
          <t>Yes</t>
        </is>
      </c>
      <c r="M2134" s="1" t="inlineStr">
        <is>
          <t>No</t>
        </is>
      </c>
      <c r="N2134" s="1" t="inlineStr">
        <is>
          <t>JavaScript</t>
        </is>
      </c>
      <c r="O21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34" s="11" t="inlineStr">
        <is>
          <t>To Do</t>
        </is>
      </c>
    </row>
    <row r="2135" ht="15.75" customHeight="1" s="12">
      <c r="A2135" s="1" t="n">
        <v>2786</v>
      </c>
      <c r="B2135" s="3">
        <f>HYPERLINK("https://leetcode.com/problems/visit-array-positions-to-maximize-score/", "Visit Array Positions to Maximize Score")</f>
        <v/>
      </c>
      <c r="C2135" s="1" t="n">
        <v>540</v>
      </c>
      <c r="D2135" s="1" t="n">
        <v>34</v>
      </c>
      <c r="E2135" s="4">
        <f>IF(INDEX(C:C, ROW())+INDEX(D:D, ROW())=0, 0, INDEX(C:C, ROW())/(INDEX(C:C, ROW())+INDEX(D:D, ROW())))</f>
        <v/>
      </c>
      <c r="F2135" s="1" t="inlineStr">
        <is>
          <t>Array, Dynamic Programming</t>
        </is>
      </c>
      <c r="G2135" s="1" t="inlineStr">
        <is>
          <t>Medium</t>
        </is>
      </c>
      <c r="H2135" s="1" t="n">
        <v>25291</v>
      </c>
      <c r="I2135" s="1" t="n">
        <v>67258</v>
      </c>
      <c r="J2135" s="9" t="n">
        <v>0.376</v>
      </c>
      <c r="K2135" s="1" t="inlineStr">
        <is>
          <t>Yes</t>
        </is>
      </c>
      <c r="L2135" s="1" t="inlineStr">
        <is>
          <t>No</t>
        </is>
      </c>
      <c r="M2135" s="1" t="inlineStr">
        <is>
          <t>No</t>
        </is>
      </c>
      <c r="N2135" s="1" t="inlineStr">
        <is>
          <t>Algorithms</t>
        </is>
      </c>
      <c r="O21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35" s="11" t="inlineStr">
        <is>
          <t>To Do</t>
        </is>
      </c>
    </row>
    <row r="2136" ht="15.75" customHeight="1" s="12">
      <c r="A2136" s="1" t="n">
        <v>275</v>
      </c>
      <c r="B2136" s="3">
        <f>HYPERLINK("https://leetcode.com/problems/h-index-ii/", "H-Index II")</f>
        <v/>
      </c>
      <c r="C2136" s="1" t="n">
        <v>539</v>
      </c>
      <c r="D2136" s="1" t="n">
        <v>167</v>
      </c>
      <c r="E2136" s="4">
        <f>IF(INDEX(C:C, ROW())+INDEX(D:D, ROW())=0, 0, INDEX(C:C, ROW())/(INDEX(C:C, ROW())+INDEX(D:D, ROW())))</f>
        <v/>
      </c>
      <c r="F2136" s="1" t="inlineStr">
        <is>
          <t>Array, Binary Search</t>
        </is>
      </c>
      <c r="G2136" s="1" t="inlineStr">
        <is>
          <t>Medium</t>
        </is>
      </c>
      <c r="H2136" s="1" t="n">
        <v>268334</v>
      </c>
      <c r="I2136" s="1" t="n">
        <v>678072</v>
      </c>
      <c r="J2136" s="9" t="n">
        <v>0.396</v>
      </c>
      <c r="K2136" s="1" t="inlineStr">
        <is>
          <t>Yes</t>
        </is>
      </c>
      <c r="L2136" s="1" t="inlineStr">
        <is>
          <t>Yes</t>
        </is>
      </c>
      <c r="M2136" s="1" t="inlineStr">
        <is>
          <t>No</t>
        </is>
      </c>
      <c r="N2136" s="1" t="inlineStr">
        <is>
          <t>Algorithms</t>
        </is>
      </c>
      <c r="O21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36" s="11" t="inlineStr">
        <is>
          <t>To Do</t>
        </is>
      </c>
    </row>
    <row r="2137" ht="15.75" customHeight="1" s="12">
      <c r="A2137" s="1" t="n">
        <v>1182</v>
      </c>
      <c r="B2137" s="3">
        <f>HYPERLINK("https://leetcode.com/problems/shortest-distance-to-target-color/", "Shortest Distance to Target Color")</f>
        <v/>
      </c>
      <c r="C2137" s="1" t="n">
        <v>539</v>
      </c>
      <c r="D2137" s="1" t="n">
        <v>22</v>
      </c>
      <c r="E2137" s="4">
        <f>IF(INDEX(C:C, ROW())+INDEX(D:D, ROW())=0, 0, INDEX(C:C, ROW())/(INDEX(C:C, ROW())+INDEX(D:D, ROW())))</f>
        <v/>
      </c>
      <c r="F2137" s="1" t="inlineStr">
        <is>
          <t>Array, Binary Search, Dynamic Programming</t>
        </is>
      </c>
      <c r="G2137" s="1" t="inlineStr">
        <is>
          <t>Medium</t>
        </is>
      </c>
      <c r="H2137" s="1" t="n">
        <v>41226</v>
      </c>
      <c r="I2137" s="1" t="n">
        <v>72950</v>
      </c>
      <c r="J2137" s="9" t="n">
        <v>0.5649999999999999</v>
      </c>
      <c r="K2137" s="1" t="inlineStr">
        <is>
          <t>No</t>
        </is>
      </c>
      <c r="L2137" s="1" t="inlineStr">
        <is>
          <t>Yes</t>
        </is>
      </c>
      <c r="M2137" s="1" t="inlineStr">
        <is>
          <t>No</t>
        </is>
      </c>
      <c r="N2137" s="1" t="inlineStr">
        <is>
          <t>Algorithms</t>
        </is>
      </c>
      <c r="O21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37" s="11" t="inlineStr">
        <is>
          <t>To Do</t>
        </is>
      </c>
    </row>
    <row r="2138" ht="15.75" customHeight="1" s="12">
      <c r="A2138" s="1" t="n">
        <v>2027</v>
      </c>
      <c r="B2138" s="3">
        <f>HYPERLINK("https://leetcode.com/problems/minimum-moves-to-convert-string/", "Minimum Moves to Convert String")</f>
        <v/>
      </c>
      <c r="C2138" s="1" t="n">
        <v>539</v>
      </c>
      <c r="D2138" s="1" t="n">
        <v>82</v>
      </c>
      <c r="E2138" s="4">
        <f>IF(INDEX(C:C, ROW())+INDEX(D:D, ROW())=0, 0, INDEX(C:C, ROW())/(INDEX(C:C, ROW())+INDEX(D:D, ROW())))</f>
        <v/>
      </c>
      <c r="F2138" s="1" t="inlineStr">
        <is>
          <t>String, Greedy</t>
        </is>
      </c>
      <c r="G2138" s="1" t="inlineStr">
        <is>
          <t>Easy</t>
        </is>
      </c>
      <c r="H2138" s="1" t="n">
        <v>60665</v>
      </c>
      <c r="I2138" s="1" t="n">
        <v>104731</v>
      </c>
      <c r="J2138" s="9" t="n">
        <v>0.579</v>
      </c>
      <c r="K2138" s="1" t="inlineStr">
        <is>
          <t>Yes</t>
        </is>
      </c>
      <c r="L2138" s="1" t="inlineStr">
        <is>
          <t>No</t>
        </is>
      </c>
      <c r="M2138" s="1" t="inlineStr">
        <is>
          <t>No</t>
        </is>
      </c>
      <c r="N2138" s="1" t="inlineStr">
        <is>
          <t>Algorithms</t>
        </is>
      </c>
      <c r="O21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38" s="13" t="inlineStr">
        <is>
          <t>Done</t>
        </is>
      </c>
    </row>
    <row r="2139" ht="15.75" customHeight="1" s="12">
      <c r="A2139" s="1" t="n">
        <v>2155</v>
      </c>
      <c r="B2139" s="3">
        <f>HYPERLINK("https://leetcode.com/problems/all-divisions-with-the-highest-score-of-a-binary-array/", "All Divisions With the Highest Score of a Binary Array")</f>
        <v/>
      </c>
      <c r="C2139" s="1" t="n">
        <v>539</v>
      </c>
      <c r="D2139" s="1" t="n">
        <v>18</v>
      </c>
      <c r="E2139" s="4">
        <f>IF(INDEX(C:C, ROW())+INDEX(D:D, ROW())=0, 0, INDEX(C:C, ROW())/(INDEX(C:C, ROW())+INDEX(D:D, ROW())))</f>
        <v/>
      </c>
      <c r="F2139" s="1" t="inlineStr">
        <is>
          <t>Array</t>
        </is>
      </c>
      <c r="G2139" s="1" t="inlineStr">
        <is>
          <t>Medium</t>
        </is>
      </c>
      <c r="H2139" s="1" t="n">
        <v>37134</v>
      </c>
      <c r="I2139" s="1" t="n">
        <v>56684</v>
      </c>
      <c r="J2139" s="9" t="n">
        <v>0.655</v>
      </c>
      <c r="K2139" s="1" t="inlineStr">
        <is>
          <t>Yes</t>
        </is>
      </c>
      <c r="L2139" s="1" t="inlineStr">
        <is>
          <t>No</t>
        </is>
      </c>
      <c r="M2139" s="1" t="inlineStr">
        <is>
          <t>No</t>
        </is>
      </c>
      <c r="N2139" s="1" t="inlineStr">
        <is>
          <t>Algorithms</t>
        </is>
      </c>
      <c r="O21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39" s="11" t="inlineStr">
        <is>
          <t>To Do</t>
        </is>
      </c>
    </row>
    <row r="2140" ht="15.75" customHeight="1" s="12">
      <c r="A2140" s="1" t="n">
        <v>3607</v>
      </c>
      <c r="B2140" s="3">
        <f>HYPERLINK("https://leetcode.com/problems/power-grid-maintenance/", "Power Grid Maintenance")</f>
        <v/>
      </c>
      <c r="C2140" s="1" t="n">
        <v>539</v>
      </c>
      <c r="D2140" s="1" t="n">
        <v>58</v>
      </c>
      <c r="E2140" s="4">
        <f>IF(INDEX(C:C, ROW())+INDEX(D:D, ROW())=0, 0, INDEX(C:C, ROW())/(INDEX(C:C, ROW())+INDEX(D:D, ROW())))</f>
        <v/>
      </c>
      <c r="F2140" s="1" t="inlineStr">
        <is>
          <t>Array, Hash Table, Depth-First Search, Breadth-First Search, Union-Find, Graph Theory, Heap (Priority Queue), Ordered Set</t>
        </is>
      </c>
      <c r="G2140" s="1" t="inlineStr">
        <is>
          <t>Medium</t>
        </is>
      </c>
      <c r="H2140" s="1" t="n">
        <v>93604</v>
      </c>
      <c r="I2140" s="1" t="n">
        <v>166629</v>
      </c>
      <c r="J2140" s="9" t="n">
        <v>0.5620000000000001</v>
      </c>
      <c r="K2140" s="1" t="inlineStr">
        <is>
          <t>Yes</t>
        </is>
      </c>
      <c r="L2140" s="1" t="inlineStr">
        <is>
          <t>Yes</t>
        </is>
      </c>
      <c r="M2140" s="1" t="inlineStr">
        <is>
          <t>No</t>
        </is>
      </c>
      <c r="N2140" s="1" t="inlineStr">
        <is>
          <t>Algorithms</t>
        </is>
      </c>
      <c r="O21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40" s="11" t="inlineStr">
        <is>
          <t>To Do</t>
        </is>
      </c>
    </row>
    <row r="2141" ht="15.75" customHeight="1" s="12">
      <c r="A2141" s="1" t="n">
        <v>431</v>
      </c>
      <c r="B2141" s="3">
        <f>HYPERLINK("https://leetcode.com/problems/encode-n-ary-tree-to-binary-tree/", "Encode N-ary Tree to Binary Tree")</f>
        <v/>
      </c>
      <c r="C2141" s="1" t="n">
        <v>538</v>
      </c>
      <c r="D2141" s="1" t="n">
        <v>30</v>
      </c>
      <c r="E2141" s="4">
        <f>IF(INDEX(C:C, ROW())+INDEX(D:D, ROW())=0, 0, INDEX(C:C, ROW())/(INDEX(C:C, ROW())+INDEX(D:D, ROW())))</f>
        <v/>
      </c>
      <c r="F2141" s="1" t="inlineStr">
        <is>
          <t>Tree, Depth-First Search, Breadth-First Search, Design, Binary Tree</t>
        </is>
      </c>
      <c r="G2141" s="1" t="inlineStr">
        <is>
          <t>Hard</t>
        </is>
      </c>
      <c r="H2141" s="1" t="n">
        <v>25109</v>
      </c>
      <c r="I2141" s="1" t="n">
        <v>31145</v>
      </c>
      <c r="J2141" s="9" t="n">
        <v>0.806</v>
      </c>
      <c r="K2141" s="1" t="inlineStr">
        <is>
          <t>No</t>
        </is>
      </c>
      <c r="L2141" s="1" t="inlineStr">
        <is>
          <t>Yes</t>
        </is>
      </c>
      <c r="M2141" s="1" t="inlineStr">
        <is>
          <t>No</t>
        </is>
      </c>
      <c r="N2141" s="1" t="inlineStr">
        <is>
          <t>Algorithms</t>
        </is>
      </c>
      <c r="O21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41" s="11" t="inlineStr">
        <is>
          <t>To Do</t>
        </is>
      </c>
    </row>
    <row r="2142" ht="15.75" customHeight="1" s="12">
      <c r="A2142" s="1" t="n">
        <v>1847</v>
      </c>
      <c r="B2142" s="3">
        <f>HYPERLINK("https://leetcode.com/problems/closest-room/", "Closest Room")</f>
        <v/>
      </c>
      <c r="C2142" s="1" t="n">
        <v>538</v>
      </c>
      <c r="D2142" s="1" t="n">
        <v>21</v>
      </c>
      <c r="E2142" s="4">
        <f>IF(INDEX(C:C, ROW())+INDEX(D:D, ROW())=0, 0, INDEX(C:C, ROW())/(INDEX(C:C, ROW())+INDEX(D:D, ROW())))</f>
        <v/>
      </c>
      <c r="F2142" s="1" t="inlineStr">
        <is>
          <t>Array, Binary Search, Sorting, Ordered Set</t>
        </is>
      </c>
      <c r="G2142" s="1" t="inlineStr">
        <is>
          <t>Hard</t>
        </is>
      </c>
      <c r="H2142" s="1" t="n">
        <v>12516</v>
      </c>
      <c r="I2142" s="1" t="n">
        <v>30381</v>
      </c>
      <c r="J2142" s="9" t="n">
        <v>0.412</v>
      </c>
      <c r="K2142" s="1" t="inlineStr">
        <is>
          <t>Yes</t>
        </is>
      </c>
      <c r="L2142" s="1" t="inlineStr">
        <is>
          <t>No</t>
        </is>
      </c>
      <c r="M2142" s="1" t="inlineStr">
        <is>
          <t>No</t>
        </is>
      </c>
      <c r="N2142" s="1" t="inlineStr">
        <is>
          <t>Algorithms</t>
        </is>
      </c>
      <c r="O21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42" s="11" t="inlineStr">
        <is>
          <t>To Do</t>
        </is>
      </c>
    </row>
    <row r="2143" ht="15.75" customHeight="1" s="12">
      <c r="A2143" s="1" t="n">
        <v>1977</v>
      </c>
      <c r="B2143" s="3">
        <f>HYPERLINK("https://leetcode.com/problems/number-of-ways-to-separate-numbers/", "Number of Ways to Separate Numbers")</f>
        <v/>
      </c>
      <c r="C2143" s="1" t="n">
        <v>538</v>
      </c>
      <c r="D2143" s="1" t="n">
        <v>61</v>
      </c>
      <c r="E2143" s="4">
        <f>IF(INDEX(C:C, ROW())+INDEX(D:D, ROW())=0, 0, INDEX(C:C, ROW())/(INDEX(C:C, ROW())+INDEX(D:D, ROW())))</f>
        <v/>
      </c>
      <c r="F2143" s="1" t="inlineStr">
        <is>
          <t>String, Dynamic Programming, Suffix Array</t>
        </is>
      </c>
      <c r="G2143" s="1" t="inlineStr">
        <is>
          <t>Hard</t>
        </is>
      </c>
      <c r="H2143" s="1" t="n">
        <v>8675</v>
      </c>
      <c r="I2143" s="1" t="n">
        <v>40073</v>
      </c>
      <c r="J2143" s="9" t="n">
        <v>0.216</v>
      </c>
      <c r="K2143" s="1" t="inlineStr">
        <is>
          <t>Yes</t>
        </is>
      </c>
      <c r="L2143" s="1" t="inlineStr">
        <is>
          <t>No</t>
        </is>
      </c>
      <c r="M2143" s="1" t="inlineStr">
        <is>
          <t>No</t>
        </is>
      </c>
      <c r="N2143" s="1" t="inlineStr">
        <is>
          <t>Algorithms</t>
        </is>
      </c>
      <c r="O21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43" s="11" t="inlineStr">
        <is>
          <t>To Do</t>
        </is>
      </c>
    </row>
    <row r="2144" ht="15.75" customHeight="1" s="12">
      <c r="A2144" s="1" t="n">
        <v>2151</v>
      </c>
      <c r="B2144" s="3">
        <f>HYPERLINK("https://leetcode.com/problems/maximum-good-people-based-on-statements/", "Maximum Good People Based on Statements")</f>
        <v/>
      </c>
      <c r="C2144" s="1" t="n">
        <v>538</v>
      </c>
      <c r="D2144" s="1" t="n">
        <v>83</v>
      </c>
      <c r="E2144" s="4">
        <f>IF(INDEX(C:C, ROW())+INDEX(D:D, ROW())=0, 0, INDEX(C:C, ROW())/(INDEX(C:C, ROW())+INDEX(D:D, ROW())))</f>
        <v/>
      </c>
      <c r="F2144" s="1" t="inlineStr">
        <is>
          <t>Array, Backtracking, Bit Manipulation, Enumeration</t>
        </is>
      </c>
      <c r="G2144" s="1" t="inlineStr">
        <is>
          <t>Hard</t>
        </is>
      </c>
      <c r="H2144" s="1" t="n">
        <v>17264</v>
      </c>
      <c r="I2144" s="1" t="n">
        <v>32950</v>
      </c>
      <c r="J2144" s="9" t="n">
        <v>0.524</v>
      </c>
      <c r="K2144" s="1" t="inlineStr">
        <is>
          <t>Yes</t>
        </is>
      </c>
      <c r="L2144" s="1" t="inlineStr">
        <is>
          <t>No</t>
        </is>
      </c>
      <c r="M2144" s="1" t="inlineStr">
        <is>
          <t>No</t>
        </is>
      </c>
      <c r="N2144" s="1" t="inlineStr">
        <is>
          <t>Algorithms</t>
        </is>
      </c>
      <c r="O21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44" s="11" t="inlineStr">
        <is>
          <t>To Do</t>
        </is>
      </c>
    </row>
    <row r="2145" ht="15.75" customHeight="1" s="12">
      <c r="A2145" s="1" t="n">
        <v>1274</v>
      </c>
      <c r="B2145" s="3">
        <f>HYPERLINK("https://leetcode.com/problems/number-of-ships-in-a-rectangle/", "Number of Ships in a Rectangle")</f>
        <v/>
      </c>
      <c r="C2145" s="1" t="n">
        <v>537</v>
      </c>
      <c r="D2145" s="1" t="n">
        <v>70</v>
      </c>
      <c r="E2145" s="4">
        <f>IF(INDEX(C:C, ROW())+INDEX(D:D, ROW())=0, 0, INDEX(C:C, ROW())/(INDEX(C:C, ROW())+INDEX(D:D, ROW())))</f>
        <v/>
      </c>
      <c r="F2145" s="1" t="inlineStr">
        <is>
          <t>Array, Divide and Conquer, Interactive</t>
        </is>
      </c>
      <c r="G2145" s="1" t="inlineStr">
        <is>
          <t>Hard</t>
        </is>
      </c>
      <c r="H2145" s="1" t="n">
        <v>34870</v>
      </c>
      <c r="I2145" s="1" t="n">
        <v>50634</v>
      </c>
      <c r="J2145" s="9" t="n">
        <v>0.6889999999999999</v>
      </c>
      <c r="K2145" s="1" t="inlineStr">
        <is>
          <t>No</t>
        </is>
      </c>
      <c r="L2145" s="1" t="inlineStr">
        <is>
          <t>Yes</t>
        </is>
      </c>
      <c r="M2145" s="1" t="inlineStr">
        <is>
          <t>No</t>
        </is>
      </c>
      <c r="N2145" s="1" t="inlineStr">
        <is>
          <t>Algorithms</t>
        </is>
      </c>
      <c r="O21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45" s="11" t="inlineStr">
        <is>
          <t>To Do</t>
        </is>
      </c>
    </row>
    <row r="2146" ht="15.75" customHeight="1" s="12">
      <c r="A2146" s="1" t="n">
        <v>2476</v>
      </c>
      <c r="B2146" s="3">
        <f>HYPERLINK("https://leetcode.com/problems/closest-nodes-queries-in-a-binary-search-tree/", "Closest Nodes Queries in a Binary Search Tree")</f>
        <v/>
      </c>
      <c r="C2146" s="1" t="n">
        <v>537</v>
      </c>
      <c r="D2146" s="1" t="n">
        <v>144</v>
      </c>
      <c r="E2146" s="4">
        <f>IF(INDEX(C:C, ROW())+INDEX(D:D, ROW())=0, 0, INDEX(C:C, ROW())/(INDEX(C:C, ROW())+INDEX(D:D, ROW())))</f>
        <v/>
      </c>
      <c r="F2146" s="1" t="inlineStr">
        <is>
          <t>Array, Binary Search, Tree, Depth-First Search, Binary Search Tree, Binary Tree</t>
        </is>
      </c>
      <c r="G2146" s="1" t="inlineStr">
        <is>
          <t>Medium</t>
        </is>
      </c>
      <c r="H2146" s="1" t="n">
        <v>39435</v>
      </c>
      <c r="I2146" s="1" t="n">
        <v>88739</v>
      </c>
      <c r="J2146" s="9" t="n">
        <v>0.444</v>
      </c>
      <c r="K2146" s="1" t="inlineStr">
        <is>
          <t>Yes</t>
        </is>
      </c>
      <c r="L2146" s="1" t="inlineStr">
        <is>
          <t>No</t>
        </is>
      </c>
      <c r="M2146" s="1" t="inlineStr">
        <is>
          <t>No</t>
        </is>
      </c>
      <c r="N2146" s="1" t="inlineStr">
        <is>
          <t>Algorithms</t>
        </is>
      </c>
      <c r="O21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46" s="11" t="inlineStr">
        <is>
          <t>To Do</t>
        </is>
      </c>
    </row>
    <row r="2147" ht="15.75" customHeight="1" s="12">
      <c r="A2147" s="1" t="n">
        <v>1397</v>
      </c>
      <c r="B2147" s="3">
        <f>HYPERLINK("https://leetcode.com/problems/find-all-good-strings/", "Find All Good Strings")</f>
        <v/>
      </c>
      <c r="C2147" s="1" t="n">
        <v>536</v>
      </c>
      <c r="D2147" s="1" t="n">
        <v>130</v>
      </c>
      <c r="E2147" s="4">
        <f>IF(INDEX(C:C, ROW())+INDEX(D:D, ROW())=0, 0, INDEX(C:C, ROW())/(INDEX(C:C, ROW())+INDEX(D:D, ROW())))</f>
        <v/>
      </c>
      <c r="F2147" s="1" t="inlineStr">
        <is>
          <t>String, Dynamic Programming, String Matching</t>
        </is>
      </c>
      <c r="G2147" s="1" t="inlineStr">
        <is>
          <t>Hard</t>
        </is>
      </c>
      <c r="H2147" s="1" t="n">
        <v>9650</v>
      </c>
      <c r="I2147" s="1" t="n">
        <v>21273</v>
      </c>
      <c r="J2147" s="9" t="n">
        <v>0.454</v>
      </c>
      <c r="K2147" s="1" t="inlineStr">
        <is>
          <t>Yes</t>
        </is>
      </c>
      <c r="L2147" s="1" t="inlineStr">
        <is>
          <t>No</t>
        </is>
      </c>
      <c r="M2147" s="1" t="inlineStr">
        <is>
          <t>No</t>
        </is>
      </c>
      <c r="N2147" s="1" t="inlineStr">
        <is>
          <t>Algorithms</t>
        </is>
      </c>
      <c r="O21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47" s="11" t="inlineStr">
        <is>
          <t>To Do</t>
        </is>
      </c>
    </row>
    <row r="2148" ht="15.75" customHeight="1" s="12">
      <c r="A2148" s="1" t="n">
        <v>2287</v>
      </c>
      <c r="B2148" s="3">
        <f>HYPERLINK("https://leetcode.com/problems/rearrange-characters-to-make-target-string/", "Rearrange Characters to Make Target String")</f>
        <v/>
      </c>
      <c r="C2148" s="1" t="n">
        <v>536</v>
      </c>
      <c r="D2148" s="1" t="n">
        <v>38</v>
      </c>
      <c r="E2148" s="4">
        <f>IF(INDEX(C:C, ROW())+INDEX(D:D, ROW())=0, 0, INDEX(C:C, ROW())/(INDEX(C:C, ROW())+INDEX(D:D, ROW())))</f>
        <v/>
      </c>
      <c r="F2148" s="1" t="inlineStr">
        <is>
          <t>Hash Table, String, Counting</t>
        </is>
      </c>
      <c r="G2148" s="1" t="inlineStr">
        <is>
          <t>Easy</t>
        </is>
      </c>
      <c r="H2148" s="1" t="n">
        <v>56766</v>
      </c>
      <c r="I2148" s="1" t="n">
        <v>92691</v>
      </c>
      <c r="J2148" s="9" t="n">
        <v>0.612</v>
      </c>
      <c r="K2148" s="1" t="inlineStr">
        <is>
          <t>Yes</t>
        </is>
      </c>
      <c r="L2148" s="1" t="inlineStr">
        <is>
          <t>No</t>
        </is>
      </c>
      <c r="M2148" s="1" t="inlineStr">
        <is>
          <t>No</t>
        </is>
      </c>
      <c r="N2148" s="1" t="inlineStr">
        <is>
          <t>Algorithms</t>
        </is>
      </c>
      <c r="O21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48" s="13" t="inlineStr">
        <is>
          <t>Done</t>
        </is>
      </c>
    </row>
    <row r="2149" ht="15.75" customHeight="1" s="12">
      <c r="A2149" s="1" t="n">
        <v>2446</v>
      </c>
      <c r="B2149" s="3">
        <f>HYPERLINK("https://leetcode.com/problems/determine-if-two-events-have-conflict/", "Determine if Two Events Have Conflict")</f>
        <v/>
      </c>
      <c r="C2149" s="1" t="n">
        <v>536</v>
      </c>
      <c r="D2149" s="1" t="n">
        <v>73</v>
      </c>
      <c r="E2149" s="4">
        <f>IF(INDEX(C:C, ROW())+INDEX(D:D, ROW())=0, 0, INDEX(C:C, ROW())/(INDEX(C:C, ROW())+INDEX(D:D, ROW())))</f>
        <v/>
      </c>
      <c r="F2149" s="1" t="inlineStr">
        <is>
          <t>Array, String</t>
        </is>
      </c>
      <c r="G2149" s="1" t="inlineStr">
        <is>
          <t>Easy</t>
        </is>
      </c>
      <c r="H2149" s="1" t="n">
        <v>65009</v>
      </c>
      <c r="I2149" s="1" t="n">
        <v>122153</v>
      </c>
      <c r="J2149" s="9" t="n">
        <v>0.532</v>
      </c>
      <c r="K2149" s="1" t="inlineStr">
        <is>
          <t>Yes</t>
        </is>
      </c>
      <c r="L2149" s="1" t="inlineStr">
        <is>
          <t>No</t>
        </is>
      </c>
      <c r="M2149" s="1" t="inlineStr">
        <is>
          <t>No</t>
        </is>
      </c>
      <c r="N2149" s="1" t="inlineStr">
        <is>
          <t>Algorithms</t>
        </is>
      </c>
      <c r="O21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49" s="13" t="inlineStr">
        <is>
          <t>Done</t>
        </is>
      </c>
    </row>
    <row r="2150" ht="15.75" customHeight="1" s="12">
      <c r="A2150" s="1" t="n">
        <v>3100</v>
      </c>
      <c r="B2150" s="3">
        <f>HYPERLINK("https://leetcode.com/problems/water-bottles-ii/", "Water Bottles II")</f>
        <v/>
      </c>
      <c r="C2150" s="1" t="n">
        <v>536</v>
      </c>
      <c r="D2150" s="1" t="n">
        <v>104</v>
      </c>
      <c r="E2150" s="4">
        <f>IF(INDEX(C:C, ROW())+INDEX(D:D, ROW())=0, 0, INDEX(C:C, ROW())/(INDEX(C:C, ROW())+INDEX(D:D, ROW())))</f>
        <v/>
      </c>
      <c r="F2150" s="1" t="inlineStr">
        <is>
          <t>Math, Simulation</t>
        </is>
      </c>
      <c r="G2150" s="1" t="inlineStr">
        <is>
          <t>Medium</t>
        </is>
      </c>
      <c r="H2150" s="1" t="n">
        <v>168637</v>
      </c>
      <c r="I2150" s="1" t="n">
        <v>215797</v>
      </c>
      <c r="J2150" s="9" t="n">
        <v>0.781</v>
      </c>
      <c r="K2150" s="1" t="inlineStr">
        <is>
          <t>Yes</t>
        </is>
      </c>
      <c r="L2150" s="1" t="inlineStr">
        <is>
          <t>Yes</t>
        </is>
      </c>
      <c r="M2150" s="1" t="inlineStr">
        <is>
          <t>No</t>
        </is>
      </c>
      <c r="N2150" s="1" t="inlineStr">
        <is>
          <t>Algorithms</t>
        </is>
      </c>
      <c r="O21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50" s="11" t="inlineStr">
        <is>
          <t>To Do</t>
        </is>
      </c>
    </row>
    <row r="2151" ht="15.75" customHeight="1" s="12">
      <c r="A2151" s="1" t="n">
        <v>2075</v>
      </c>
      <c r="B2151" s="3">
        <f>HYPERLINK("https://leetcode.com/problems/decode-the-slanted-ciphertext/", "Decode the Slanted Ciphertext")</f>
        <v/>
      </c>
      <c r="C2151" s="1" t="n">
        <v>535</v>
      </c>
      <c r="D2151" s="1" t="n">
        <v>118</v>
      </c>
      <c r="E2151" s="4">
        <f>IF(INDEX(C:C, ROW())+INDEX(D:D, ROW())=0, 0, INDEX(C:C, ROW())/(INDEX(C:C, ROW())+INDEX(D:D, ROW())))</f>
        <v/>
      </c>
      <c r="F2151" s="1" t="inlineStr">
        <is>
          <t>String, Simulation</t>
        </is>
      </c>
      <c r="G2151" s="1" t="inlineStr">
        <is>
          <t>Medium</t>
        </is>
      </c>
      <c r="H2151" s="1" t="n">
        <v>102208</v>
      </c>
      <c r="I2151" s="1" t="n">
        <v>151242</v>
      </c>
      <c r="J2151" s="9" t="n">
        <v>0.676</v>
      </c>
      <c r="K2151" s="1" t="inlineStr">
        <is>
          <t>Yes</t>
        </is>
      </c>
      <c r="L2151" s="1" t="inlineStr">
        <is>
          <t>No</t>
        </is>
      </c>
      <c r="M2151" s="1" t="inlineStr">
        <is>
          <t>No</t>
        </is>
      </c>
      <c r="N2151" s="1" t="inlineStr">
        <is>
          <t>Algorithms</t>
        </is>
      </c>
      <c r="O21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51" s="11" t="inlineStr">
        <is>
          <t>To Do</t>
        </is>
      </c>
    </row>
    <row r="2152" ht="15.75" customHeight="1" s="12">
      <c r="A2152" s="1" t="n">
        <v>2146</v>
      </c>
      <c r="B2152" s="3">
        <f>HYPERLINK("https://leetcode.com/problems/k-highest-ranked-items-within-a-price-range/", "K Highest Ranked Items Within a Price Range")</f>
        <v/>
      </c>
      <c r="C2152" s="1" t="n">
        <v>535</v>
      </c>
      <c r="D2152" s="1" t="n">
        <v>169</v>
      </c>
      <c r="E2152" s="4">
        <f>IF(INDEX(C:C, ROW())+INDEX(D:D, ROW())=0, 0, INDEX(C:C, ROW())/(INDEX(C:C, ROW())+INDEX(D:D, ROW())))</f>
        <v/>
      </c>
      <c r="F2152" s="1" t="inlineStr">
        <is>
          <t>Array, Breadth-First Search, Sorting, Heap (Priority Queue), Matrix</t>
        </is>
      </c>
      <c r="G2152" s="1" t="inlineStr">
        <is>
          <t>Medium</t>
        </is>
      </c>
      <c r="H2152" s="1" t="n">
        <v>21941</v>
      </c>
      <c r="I2152" s="1" t="n">
        <v>47056</v>
      </c>
      <c r="J2152" s="9" t="n">
        <v>0.466</v>
      </c>
      <c r="K2152" s="1" t="inlineStr">
        <is>
          <t>Yes</t>
        </is>
      </c>
      <c r="L2152" s="1" t="inlineStr">
        <is>
          <t>No</t>
        </is>
      </c>
      <c r="M2152" s="1" t="inlineStr">
        <is>
          <t>No</t>
        </is>
      </c>
      <c r="N2152" s="1" t="inlineStr">
        <is>
          <t>Algorithms</t>
        </is>
      </c>
      <c r="O21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52" s="11" t="inlineStr">
        <is>
          <t>To Do</t>
        </is>
      </c>
    </row>
    <row r="2153" ht="15.75" customHeight="1" s="12">
      <c r="A2153" s="1" t="n">
        <v>2207</v>
      </c>
      <c r="B2153" s="3">
        <f>HYPERLINK("https://leetcode.com/problems/maximize-number-of-subsequences-in-a-string/", "Maximize Number of Subsequences in a String")</f>
        <v/>
      </c>
      <c r="C2153" s="1" t="n">
        <v>533</v>
      </c>
      <c r="D2153" s="1" t="n">
        <v>37</v>
      </c>
      <c r="E2153" s="4">
        <f>IF(INDEX(C:C, ROW())+INDEX(D:D, ROW())=0, 0, INDEX(C:C, ROW())/(INDEX(C:C, ROW())+INDEX(D:D, ROW())))</f>
        <v/>
      </c>
      <c r="F2153" s="1" t="inlineStr">
        <is>
          <t>String, Greedy, Prefix Sum</t>
        </is>
      </c>
      <c r="G2153" s="1" t="inlineStr">
        <is>
          <t>Medium</t>
        </is>
      </c>
      <c r="H2153" s="1" t="n">
        <v>24939</v>
      </c>
      <c r="I2153" s="1" t="n">
        <v>69217</v>
      </c>
      <c r="J2153" s="9" t="n">
        <v>0.36</v>
      </c>
      <c r="K2153" s="1" t="inlineStr">
        <is>
          <t>Yes</t>
        </is>
      </c>
      <c r="L2153" s="1" t="inlineStr">
        <is>
          <t>No</t>
        </is>
      </c>
      <c r="M2153" s="1" t="inlineStr">
        <is>
          <t>No</t>
        </is>
      </c>
      <c r="N2153" s="1" t="inlineStr">
        <is>
          <t>Algorithms</t>
        </is>
      </c>
      <c r="O21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53" s="11" t="inlineStr">
        <is>
          <t>To Do</t>
        </is>
      </c>
    </row>
    <row r="2154" ht="15.75" customHeight="1" s="12">
      <c r="A2154" s="1" t="n">
        <v>2332</v>
      </c>
      <c r="B2154" s="3">
        <f>HYPERLINK("https://leetcode.com/problems/the-latest-time-to-catch-a-bus/", "The Latest Time to Catch a Bus")</f>
        <v/>
      </c>
      <c r="C2154" s="1" t="n">
        <v>533</v>
      </c>
      <c r="D2154" s="1" t="n">
        <v>802</v>
      </c>
      <c r="E2154" s="4">
        <f>IF(INDEX(C:C, ROW())+INDEX(D:D, ROW())=0, 0, INDEX(C:C, ROW())/(INDEX(C:C, ROW())+INDEX(D:D, ROW())))</f>
        <v/>
      </c>
      <c r="F2154" s="1" t="inlineStr">
        <is>
          <t>Array, Two Pointers, Binary Search, Sorting</t>
        </is>
      </c>
      <c r="G2154" s="1" t="inlineStr">
        <is>
          <t>Medium</t>
        </is>
      </c>
      <c r="H2154" s="1" t="n">
        <v>36002</v>
      </c>
      <c r="I2154" s="1" t="n">
        <v>120187</v>
      </c>
      <c r="J2154" s="9" t="n">
        <v>0.3</v>
      </c>
      <c r="K2154" s="1" t="inlineStr">
        <is>
          <t>Yes</t>
        </is>
      </c>
      <c r="L2154" s="1" t="inlineStr">
        <is>
          <t>No</t>
        </is>
      </c>
      <c r="M2154" s="1" t="inlineStr">
        <is>
          <t>No</t>
        </is>
      </c>
      <c r="N2154" s="1" t="inlineStr">
        <is>
          <t>Algorithms</t>
        </is>
      </c>
      <c r="O21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54" s="11" t="inlineStr">
        <is>
          <t>To Do</t>
        </is>
      </c>
    </row>
    <row r="2155" ht="15.75" customHeight="1" s="12">
      <c r="A2155" s="1" t="n">
        <v>3228</v>
      </c>
      <c r="B2155" s="3">
        <f>HYPERLINK("https://leetcode.com/problems/maximum-number-of-operations-to-move-ones-to-the-end/", "Maximum Number of Operations to Move Ones to the End")</f>
        <v/>
      </c>
      <c r="C2155" s="1" t="n">
        <v>533</v>
      </c>
      <c r="D2155" s="1" t="n">
        <v>39</v>
      </c>
      <c r="E2155" s="4">
        <f>IF(INDEX(C:C, ROW())+INDEX(D:D, ROW())=0, 0, INDEX(C:C, ROW())/(INDEX(C:C, ROW())+INDEX(D:D, ROW())))</f>
        <v/>
      </c>
      <c r="F2155" s="1" t="inlineStr">
        <is>
          <t>String, Greedy, Counting</t>
        </is>
      </c>
      <c r="G2155" s="1" t="inlineStr">
        <is>
          <t>Medium</t>
        </is>
      </c>
      <c r="H2155" s="1" t="n">
        <v>125227</v>
      </c>
      <c r="I2155" s="1" t="n">
        <v>186602</v>
      </c>
      <c r="J2155" s="9" t="n">
        <v>0.671</v>
      </c>
      <c r="K2155" s="1" t="inlineStr">
        <is>
          <t>Yes</t>
        </is>
      </c>
      <c r="L2155" s="1" t="inlineStr">
        <is>
          <t>Yes</t>
        </is>
      </c>
      <c r="M2155" s="1" t="inlineStr">
        <is>
          <t>No</t>
        </is>
      </c>
      <c r="N2155" s="1" t="inlineStr">
        <is>
          <t>Algorithms</t>
        </is>
      </c>
      <c r="O21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55" s="11" t="inlineStr">
        <is>
          <t>To Do</t>
        </is>
      </c>
    </row>
    <row r="2156" ht="15.75" customHeight="1" s="12">
      <c r="A2156" s="1" t="n">
        <v>1078</v>
      </c>
      <c r="B2156" s="3">
        <f>HYPERLINK("https://leetcode.com/problems/occurrences-after-bigram/", "Occurrences After Bigram")</f>
        <v/>
      </c>
      <c r="C2156" s="1" t="n">
        <v>532</v>
      </c>
      <c r="D2156" s="1" t="n">
        <v>371</v>
      </c>
      <c r="E2156" s="4">
        <f>IF(INDEX(C:C, ROW())+INDEX(D:D, ROW())=0, 0, INDEX(C:C, ROW())/(INDEX(C:C, ROW())+INDEX(D:D, ROW())))</f>
        <v/>
      </c>
      <c r="F2156" s="1" t="inlineStr">
        <is>
          <t>String</t>
        </is>
      </c>
      <c r="G2156" s="1" t="inlineStr">
        <is>
          <t>Easy</t>
        </is>
      </c>
      <c r="H2156" s="1" t="n">
        <v>91545</v>
      </c>
      <c r="I2156" s="1" t="n">
        <v>143286</v>
      </c>
      <c r="J2156" s="9" t="n">
        <v>0.639</v>
      </c>
      <c r="K2156" s="1" t="inlineStr">
        <is>
          <t>Yes</t>
        </is>
      </c>
      <c r="L2156" s="1" t="inlineStr">
        <is>
          <t>No</t>
        </is>
      </c>
      <c r="M2156" s="1" t="inlineStr">
        <is>
          <t>No</t>
        </is>
      </c>
      <c r="N2156" s="1" t="inlineStr">
        <is>
          <t>Algorithms</t>
        </is>
      </c>
      <c r="O21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56" s="13" t="inlineStr">
        <is>
          <t>Done</t>
        </is>
      </c>
    </row>
    <row r="2157" ht="15.75" customHeight="1" s="12">
      <c r="A2157" s="1" t="n">
        <v>1307</v>
      </c>
      <c r="B2157" s="3">
        <f>HYPERLINK("https://leetcode.com/problems/verbal-arithmetic-puzzle/", "Verbal Arithmetic Puzzle")</f>
        <v/>
      </c>
      <c r="C2157" s="1" t="n">
        <v>531</v>
      </c>
      <c r="D2157" s="1" t="n">
        <v>138</v>
      </c>
      <c r="E2157" s="4">
        <f>IF(INDEX(C:C, ROW())+INDEX(D:D, ROW())=0, 0, INDEX(C:C, ROW())/(INDEX(C:C, ROW())+INDEX(D:D, ROW())))</f>
        <v/>
      </c>
      <c r="F2157" s="1" t="inlineStr">
        <is>
          <t>Array, Math, String, Backtracking</t>
        </is>
      </c>
      <c r="G2157" s="1" t="inlineStr">
        <is>
          <t>Hard</t>
        </is>
      </c>
      <c r="H2157" s="1" t="n">
        <v>17786</v>
      </c>
      <c r="I2157" s="1" t="n">
        <v>51037</v>
      </c>
      <c r="J2157" s="9" t="n">
        <v>0.348</v>
      </c>
      <c r="K2157" s="1" t="inlineStr">
        <is>
          <t>Yes</t>
        </is>
      </c>
      <c r="L2157" s="1" t="inlineStr">
        <is>
          <t>No</t>
        </is>
      </c>
      <c r="M2157" s="1" t="inlineStr">
        <is>
          <t>No</t>
        </is>
      </c>
      <c r="N2157" s="1" t="inlineStr">
        <is>
          <t>Algorithms</t>
        </is>
      </c>
      <c r="O21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57" s="11" t="inlineStr">
        <is>
          <t>To Do</t>
        </is>
      </c>
    </row>
    <row r="2158" ht="15.75" customHeight="1" s="12">
      <c r="A2158" s="1" t="n">
        <v>1619</v>
      </c>
      <c r="B2158" s="3">
        <f>HYPERLINK("https://leetcode.com/problems/mean-of-array-after-removing-some-elements/", "Mean of Array After Removing Some Elements")</f>
        <v/>
      </c>
      <c r="C2158" s="1" t="n">
        <v>531</v>
      </c>
      <c r="D2158" s="1" t="n">
        <v>134</v>
      </c>
      <c r="E2158" s="4">
        <f>IF(INDEX(C:C, ROW())+INDEX(D:D, ROW())=0, 0, INDEX(C:C, ROW())/(INDEX(C:C, ROW())+INDEX(D:D, ROW())))</f>
        <v/>
      </c>
      <c r="F2158" s="1" t="inlineStr">
        <is>
          <t>Array, Sorting</t>
        </is>
      </c>
      <c r="G2158" s="1" t="inlineStr">
        <is>
          <t>Easy</t>
        </is>
      </c>
      <c r="H2158" s="1" t="n">
        <v>85662</v>
      </c>
      <c r="I2158" s="1" t="n">
        <v>119333</v>
      </c>
      <c r="J2158" s="9" t="n">
        <v>0.718</v>
      </c>
      <c r="K2158" s="1" t="inlineStr">
        <is>
          <t>Yes</t>
        </is>
      </c>
      <c r="L2158" s="1" t="inlineStr">
        <is>
          <t>No</t>
        </is>
      </c>
      <c r="M2158" s="1" t="inlineStr">
        <is>
          <t>No</t>
        </is>
      </c>
      <c r="N2158" s="1" t="inlineStr">
        <is>
          <t>Algorithms</t>
        </is>
      </c>
      <c r="O21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58" s="13" t="inlineStr">
        <is>
          <t>Done</t>
        </is>
      </c>
    </row>
    <row r="2159" ht="15.75" customHeight="1" s="12">
      <c r="A2159" s="1" t="n">
        <v>2811</v>
      </c>
      <c r="B2159" s="3">
        <f>HYPERLINK("https://leetcode.com/problems/check-if-it-is-possible-to-split-array/", "Check if it is Possible to Split Array")</f>
        <v/>
      </c>
      <c r="C2159" s="1" t="n">
        <v>531</v>
      </c>
      <c r="D2159" s="1" t="n">
        <v>105</v>
      </c>
      <c r="E2159" s="4">
        <f>IF(INDEX(C:C, ROW())+INDEX(D:D, ROW())=0, 0, INDEX(C:C, ROW())/(INDEX(C:C, ROW())+INDEX(D:D, ROW())))</f>
        <v/>
      </c>
      <c r="F2159" s="1" t="inlineStr">
        <is>
          <t>Array, Dynamic Programming, Greedy</t>
        </is>
      </c>
      <c r="G2159" s="1" t="inlineStr">
        <is>
          <t>Medium</t>
        </is>
      </c>
      <c r="H2159" s="1" t="n">
        <v>33718</v>
      </c>
      <c r="I2159" s="1" t="n">
        <v>97718</v>
      </c>
      <c r="J2159" s="9" t="n">
        <v>0.345</v>
      </c>
      <c r="K2159" s="1" t="inlineStr">
        <is>
          <t>Yes</t>
        </is>
      </c>
      <c r="L2159" s="1" t="inlineStr">
        <is>
          <t>No</t>
        </is>
      </c>
      <c r="M2159" s="1" t="inlineStr">
        <is>
          <t>No</t>
        </is>
      </c>
      <c r="N2159" s="1" t="inlineStr">
        <is>
          <t>Algorithms</t>
        </is>
      </c>
      <c r="O21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59" s="11" t="inlineStr">
        <is>
          <t>To Do</t>
        </is>
      </c>
    </row>
    <row r="2160" ht="15.75" customHeight="1" s="12">
      <c r="A2160" s="1" t="n">
        <v>3578</v>
      </c>
      <c r="B2160" s="3">
        <f>HYPERLINK("https://leetcode.com/problems/count-partitions-with-max-min-difference-at-most-k/", "Count Partitions With Max-Min Difference at Most K")</f>
        <v/>
      </c>
      <c r="C2160" s="1" t="n">
        <v>531</v>
      </c>
      <c r="D2160" s="1" t="n">
        <v>135</v>
      </c>
      <c r="E2160" s="4">
        <f>IF(INDEX(C:C, ROW())+INDEX(D:D, ROW())=0, 0, INDEX(C:C, ROW())/(INDEX(C:C, ROW())+INDEX(D:D, ROW())))</f>
        <v/>
      </c>
      <c r="F2160" s="1" t="inlineStr">
        <is>
          <t>Array, Dynamic Programming, Queue, Sliding Window, Prefix Sum, Monotonic Queue</t>
        </is>
      </c>
      <c r="G2160" s="1" t="inlineStr">
        <is>
          <t>Medium</t>
        </is>
      </c>
      <c r="H2160" s="1" t="n">
        <v>66222</v>
      </c>
      <c r="I2160" s="1" t="n">
        <v>112887</v>
      </c>
      <c r="J2160" s="9" t="n">
        <v>0.587</v>
      </c>
      <c r="K2160" s="1" t="inlineStr">
        <is>
          <t>Yes</t>
        </is>
      </c>
      <c r="L2160" s="1" t="inlineStr">
        <is>
          <t>Yes</t>
        </is>
      </c>
      <c r="M2160" s="1" t="inlineStr">
        <is>
          <t>No</t>
        </is>
      </c>
      <c r="N2160" s="1" t="inlineStr">
        <is>
          <t>Algorithms</t>
        </is>
      </c>
      <c r="O21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60" s="11" t="inlineStr">
        <is>
          <t>To Do</t>
        </is>
      </c>
    </row>
    <row r="2161" ht="15.75" customHeight="1" s="12">
      <c r="A2161" s="1" t="n">
        <v>1374</v>
      </c>
      <c r="B2161" s="3">
        <f>HYPERLINK("https://leetcode.com/problems/generate-a-string-with-characters-that-have-odd-counts/", "Generate a String With Characters That Have Odd Counts")</f>
        <v/>
      </c>
      <c r="C2161" s="1" t="n">
        <v>530</v>
      </c>
      <c r="D2161" s="1" t="n">
        <v>1288</v>
      </c>
      <c r="E2161" s="4">
        <f>IF(INDEX(C:C, ROW())+INDEX(D:D, ROW())=0, 0, INDEX(C:C, ROW())/(INDEX(C:C, ROW())+INDEX(D:D, ROW())))</f>
        <v/>
      </c>
      <c r="F2161" s="1" t="inlineStr">
        <is>
          <t>String</t>
        </is>
      </c>
      <c r="G2161" s="1" t="inlineStr">
        <is>
          <t>Easy</t>
        </is>
      </c>
      <c r="H2161" s="1" t="n">
        <v>114757</v>
      </c>
      <c r="I2161" s="1" t="n">
        <v>146239</v>
      </c>
      <c r="J2161" s="9" t="n">
        <v>0.785</v>
      </c>
      <c r="K2161" s="1" t="inlineStr">
        <is>
          <t>Yes</t>
        </is>
      </c>
      <c r="L2161" s="1" t="inlineStr">
        <is>
          <t>No</t>
        </is>
      </c>
      <c r="M2161" s="1" t="inlineStr">
        <is>
          <t>No</t>
        </is>
      </c>
      <c r="N2161" s="1" t="inlineStr">
        <is>
          <t>Algorithms</t>
        </is>
      </c>
      <c r="O21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61" s="13" t="inlineStr">
        <is>
          <t>Done</t>
        </is>
      </c>
    </row>
    <row r="2162" ht="15.75" customHeight="1" s="12">
      <c r="A2162" s="1" t="n">
        <v>1825</v>
      </c>
      <c r="B2162" s="3">
        <f>HYPERLINK("https://leetcode.com/problems/finding-mk-average/", "Finding MK Average")</f>
        <v/>
      </c>
      <c r="C2162" s="1" t="n">
        <v>530</v>
      </c>
      <c r="D2162" s="1" t="n">
        <v>142</v>
      </c>
      <c r="E2162" s="4">
        <f>IF(INDEX(C:C, ROW())+INDEX(D:D, ROW())=0, 0, INDEX(C:C, ROW())/(INDEX(C:C, ROW())+INDEX(D:D, ROW())))</f>
        <v/>
      </c>
      <c r="F2162" s="1" t="inlineStr">
        <is>
          <t>Design, Queue, Heap (Priority Queue), Data Stream, Ordered Set</t>
        </is>
      </c>
      <c r="G2162" s="1" t="inlineStr">
        <is>
          <t>Hard</t>
        </is>
      </c>
      <c r="H2162" s="1" t="n">
        <v>29018</v>
      </c>
      <c r="I2162" s="1" t="n">
        <v>74947</v>
      </c>
      <c r="J2162" s="9" t="n">
        <v>0.387</v>
      </c>
      <c r="K2162" s="1" t="inlineStr">
        <is>
          <t>Yes</t>
        </is>
      </c>
      <c r="L2162" s="1" t="inlineStr">
        <is>
          <t>No</t>
        </is>
      </c>
      <c r="M2162" s="1" t="inlineStr">
        <is>
          <t>No</t>
        </is>
      </c>
      <c r="N2162" s="1" t="inlineStr">
        <is>
          <t>Algorithms</t>
        </is>
      </c>
      <c r="O21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62" s="11" t="inlineStr">
        <is>
          <t>To Do</t>
        </is>
      </c>
    </row>
    <row r="2163" ht="15.75" customHeight="1" s="12">
      <c r="A2163" s="1" t="n">
        <v>2399</v>
      </c>
      <c r="B2163" s="3">
        <f>HYPERLINK("https://leetcode.com/problems/check-distances-between-same-letters/", "Check Distances Between Same Letters")</f>
        <v/>
      </c>
      <c r="C2163" s="1" t="n">
        <v>530</v>
      </c>
      <c r="D2163" s="1" t="n">
        <v>73</v>
      </c>
      <c r="E2163" s="4">
        <f>IF(INDEX(C:C, ROW())+INDEX(D:D, ROW())=0, 0, INDEX(C:C, ROW())/(INDEX(C:C, ROW())+INDEX(D:D, ROW())))</f>
        <v/>
      </c>
      <c r="F2163" s="1" t="inlineStr">
        <is>
          <t>Array, Hash Table, String</t>
        </is>
      </c>
      <c r="G2163" s="1" t="inlineStr">
        <is>
          <t>Easy</t>
        </is>
      </c>
      <c r="H2163" s="1" t="n">
        <v>64143</v>
      </c>
      <c r="I2163" s="1" t="n">
        <v>89691</v>
      </c>
      <c r="J2163" s="9" t="n">
        <v>0.715</v>
      </c>
      <c r="K2163" s="1" t="inlineStr">
        <is>
          <t>Yes</t>
        </is>
      </c>
      <c r="L2163" s="1" t="inlineStr">
        <is>
          <t>No</t>
        </is>
      </c>
      <c r="M2163" s="1" t="inlineStr">
        <is>
          <t>No</t>
        </is>
      </c>
      <c r="N2163" s="1" t="inlineStr">
        <is>
          <t>Algorithms</t>
        </is>
      </c>
      <c r="O21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63" s="13" t="inlineStr">
        <is>
          <t>Done</t>
        </is>
      </c>
    </row>
    <row r="2164" ht="15.75" customHeight="1" s="12">
      <c r="A2164" s="1" t="n">
        <v>3330</v>
      </c>
      <c r="B2164" s="3">
        <f>HYPERLINK("https://leetcode.com/problems/find-the-original-typed-string-i/", "Find the Original Typed String I")</f>
        <v/>
      </c>
      <c r="C2164" s="1" t="n">
        <v>530</v>
      </c>
      <c r="D2164" s="1" t="n">
        <v>78</v>
      </c>
      <c r="E2164" s="4">
        <f>IF(INDEX(C:C, ROW())+INDEX(D:D, ROW())=0, 0, INDEX(C:C, ROW())/(INDEX(C:C, ROW())+INDEX(D:D, ROW())))</f>
        <v/>
      </c>
      <c r="F2164" s="1" t="inlineStr">
        <is>
          <t>String</t>
        </is>
      </c>
      <c r="G2164" s="1" t="inlineStr">
        <is>
          <t>Easy</t>
        </is>
      </c>
      <c r="H2164" s="1" t="n">
        <v>197625</v>
      </c>
      <c r="I2164" s="1" t="n">
        <v>274297</v>
      </c>
      <c r="J2164" s="9" t="n">
        <v>0.72</v>
      </c>
      <c r="K2164" s="1" t="inlineStr">
        <is>
          <t>Yes</t>
        </is>
      </c>
      <c r="L2164" s="1" t="inlineStr">
        <is>
          <t>Yes</t>
        </is>
      </c>
      <c r="M2164" s="1" t="inlineStr">
        <is>
          <t>No</t>
        </is>
      </c>
      <c r="N2164" s="1" t="inlineStr">
        <is>
          <t>Algorithms</t>
        </is>
      </c>
      <c r="O21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64" s="13" t="inlineStr">
        <is>
          <t>Done</t>
        </is>
      </c>
    </row>
    <row r="2165" ht="15.75" customHeight="1" s="12">
      <c r="A2165" s="1" t="n">
        <v>1702</v>
      </c>
      <c r="B2165" s="3">
        <f>HYPERLINK("https://leetcode.com/problems/maximum-binary-string-after-change/", "Maximum Binary String After Change")</f>
        <v/>
      </c>
      <c r="C2165" s="1" t="n">
        <v>529</v>
      </c>
      <c r="D2165" s="1" t="n">
        <v>64</v>
      </c>
      <c r="E2165" s="4">
        <f>IF(INDEX(C:C, ROW())+INDEX(D:D, ROW())=0, 0, INDEX(C:C, ROW())/(INDEX(C:C, ROW())+INDEX(D:D, ROW())))</f>
        <v/>
      </c>
      <c r="F2165" s="1" t="inlineStr">
        <is>
          <t>String, Greedy</t>
        </is>
      </c>
      <c r="G2165" s="1" t="inlineStr">
        <is>
          <t>Medium</t>
        </is>
      </c>
      <c r="H2165" s="1" t="n">
        <v>18390</v>
      </c>
      <c r="I2165" s="1" t="n">
        <v>38610</v>
      </c>
      <c r="J2165" s="9" t="n">
        <v>0.476</v>
      </c>
      <c r="K2165" s="1" t="inlineStr">
        <is>
          <t>Yes</t>
        </is>
      </c>
      <c r="L2165" s="1" t="inlineStr">
        <is>
          <t>No</t>
        </is>
      </c>
      <c r="M2165" s="1" t="inlineStr">
        <is>
          <t>No</t>
        </is>
      </c>
      <c r="N2165" s="1" t="inlineStr">
        <is>
          <t>Algorithms</t>
        </is>
      </c>
      <c r="O21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65" s="11" t="inlineStr">
        <is>
          <t>To Do</t>
        </is>
      </c>
    </row>
    <row r="2166" ht="15.75" customHeight="1" s="12">
      <c r="A2166" s="1" t="n">
        <v>3289</v>
      </c>
      <c r="B2166" s="3">
        <f>HYPERLINK("https://leetcode.com/problems/the-two-sneaky-numbers-of-digitville/", "The Two Sneaky Numbers of Digitville")</f>
        <v/>
      </c>
      <c r="C2166" s="1" t="n">
        <v>529</v>
      </c>
      <c r="D2166" s="1" t="n">
        <v>22</v>
      </c>
      <c r="E2166" s="4">
        <f>IF(INDEX(C:C, ROW())+INDEX(D:D, ROW())=0, 0, INDEX(C:C, ROW())/(INDEX(C:C, ROW())+INDEX(D:D, ROW())))</f>
        <v/>
      </c>
      <c r="F2166" s="1" t="inlineStr">
        <is>
          <t>Array, Hash Table, Math</t>
        </is>
      </c>
      <c r="G2166" s="1" t="inlineStr">
        <is>
          <t>Easy</t>
        </is>
      </c>
      <c r="H2166" s="1" t="n">
        <v>255570</v>
      </c>
      <c r="I2166" s="1" t="n">
        <v>284725</v>
      </c>
      <c r="J2166" s="9" t="n">
        <v>0.898</v>
      </c>
      <c r="K2166" s="1" t="inlineStr">
        <is>
          <t>Yes</t>
        </is>
      </c>
      <c r="L2166" s="1" t="inlineStr">
        <is>
          <t>Yes</t>
        </is>
      </c>
      <c r="M2166" s="1" t="inlineStr">
        <is>
          <t>No</t>
        </is>
      </c>
      <c r="N2166" s="1" t="inlineStr">
        <is>
          <t>Algorithms</t>
        </is>
      </c>
      <c r="O21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66" s="13" t="inlineStr">
        <is>
          <t>Done</t>
        </is>
      </c>
    </row>
    <row r="2167" ht="15.75" customHeight="1" s="12">
      <c r="A2167" s="1" t="n">
        <v>2309</v>
      </c>
      <c r="B2167" s="3">
        <f>HYPERLINK("https://leetcode.com/problems/greatest-english-letter-in-upper-and-lower-case/", "Greatest English Letter in Upper and Lower Case")</f>
        <v/>
      </c>
      <c r="C2167" s="1" t="n">
        <v>528</v>
      </c>
      <c r="D2167" s="1" t="n">
        <v>33</v>
      </c>
      <c r="E2167" s="4">
        <f>IF(INDEX(C:C, ROW())+INDEX(D:D, ROW())=0, 0, INDEX(C:C, ROW())/(INDEX(C:C, ROW())+INDEX(D:D, ROW())))</f>
        <v/>
      </c>
      <c r="F2167" s="1" t="inlineStr">
        <is>
          <t>Hash Table, String, Enumeration</t>
        </is>
      </c>
      <c r="G2167" s="1" t="inlineStr">
        <is>
          <t>Easy</t>
        </is>
      </c>
      <c r="H2167" s="1" t="n">
        <v>73663</v>
      </c>
      <c r="I2167" s="1" t="n">
        <v>102241</v>
      </c>
      <c r="J2167" s="9" t="n">
        <v>0.72</v>
      </c>
      <c r="K2167" s="1" t="inlineStr">
        <is>
          <t>Yes</t>
        </is>
      </c>
      <c r="L2167" s="1" t="inlineStr">
        <is>
          <t>No</t>
        </is>
      </c>
      <c r="M2167" s="1" t="inlineStr">
        <is>
          <t>No</t>
        </is>
      </c>
      <c r="N2167" s="1" t="inlineStr">
        <is>
          <t>Algorithms</t>
        </is>
      </c>
      <c r="O21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67" s="13" t="inlineStr">
        <is>
          <t>Done</t>
        </is>
      </c>
    </row>
    <row r="2168" ht="15.75" customHeight="1" s="12">
      <c r="A2168" s="1" t="n">
        <v>2607</v>
      </c>
      <c r="B2168" s="3">
        <f>HYPERLINK("https://leetcode.com/problems/make-k-subarray-sums-equal/", "Make K-Subarray Sums Equal")</f>
        <v/>
      </c>
      <c r="C2168" s="1" t="n">
        <v>528</v>
      </c>
      <c r="D2168" s="1" t="n">
        <v>89</v>
      </c>
      <c r="E2168" s="4">
        <f>IF(INDEX(C:C, ROW())+INDEX(D:D, ROW())=0, 0, INDEX(C:C, ROW())/(INDEX(C:C, ROW())+INDEX(D:D, ROW())))</f>
        <v/>
      </c>
      <c r="F2168" s="1" t="inlineStr">
        <is>
          <t>Array, Math, Greedy, Sorting, Number Theory</t>
        </is>
      </c>
      <c r="G2168" s="1" t="inlineStr">
        <is>
          <t>Medium</t>
        </is>
      </c>
      <c r="H2168" s="1" t="n">
        <v>14506</v>
      </c>
      <c r="I2168" s="1" t="n">
        <v>37690</v>
      </c>
      <c r="J2168" s="9" t="n">
        <v>0.385</v>
      </c>
      <c r="K2168" s="1" t="inlineStr">
        <is>
          <t>Yes</t>
        </is>
      </c>
      <c r="L2168" s="1" t="inlineStr">
        <is>
          <t>No</t>
        </is>
      </c>
      <c r="M2168" s="1" t="inlineStr">
        <is>
          <t>No</t>
        </is>
      </c>
      <c r="N2168" s="1" t="inlineStr">
        <is>
          <t>Algorithms</t>
        </is>
      </c>
      <c r="O21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68" s="11" t="inlineStr">
        <is>
          <t>To Do</t>
        </is>
      </c>
    </row>
    <row r="2169" ht="15.75" customHeight="1" s="12">
      <c r="A2169" s="1" t="n">
        <v>3010</v>
      </c>
      <c r="B2169" s="3">
        <f>HYPERLINK("https://leetcode.com/problems/divide-an-array-into-subarrays-with-minimum-cost-i/", "Divide an Array Into Subarrays With Minimum Cost I")</f>
        <v/>
      </c>
      <c r="C2169" s="1" t="n">
        <v>528</v>
      </c>
      <c r="D2169" s="1" t="n">
        <v>26</v>
      </c>
      <c r="E2169" s="4">
        <f>IF(INDEX(C:C, ROW())+INDEX(D:D, ROW())=0, 0, INDEX(C:C, ROW())/(INDEX(C:C, ROW())+INDEX(D:D, ROW())))</f>
        <v/>
      </c>
      <c r="F2169" s="1" t="inlineStr">
        <is>
          <t>Array, Sorting, Enumeration</t>
        </is>
      </c>
      <c r="G2169" s="1" t="inlineStr">
        <is>
          <t>Easy</t>
        </is>
      </c>
      <c r="H2169" s="1" t="n">
        <v>186091</v>
      </c>
      <c r="I2169" s="1" t="n">
        <v>231013</v>
      </c>
      <c r="J2169" s="9" t="n">
        <v>0.806</v>
      </c>
      <c r="K2169" s="1" t="inlineStr">
        <is>
          <t>Yes</t>
        </is>
      </c>
      <c r="L2169" s="1" t="inlineStr">
        <is>
          <t>Yes</t>
        </is>
      </c>
      <c r="M2169" s="1" t="inlineStr">
        <is>
          <t>No</t>
        </is>
      </c>
      <c r="N2169" s="1" t="inlineStr">
        <is>
          <t>Algorithms</t>
        </is>
      </c>
      <c r="O21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69" s="13" t="inlineStr">
        <is>
          <t>Done</t>
        </is>
      </c>
    </row>
    <row r="2170" ht="15.75" customHeight="1" s="12">
      <c r="A2170" s="1" t="n">
        <v>3307</v>
      </c>
      <c r="B2170" s="3">
        <f>HYPERLINK("https://leetcode.com/problems/find-the-k-th-character-in-string-game-ii/", "Find the K-th Character in String Game II")</f>
        <v/>
      </c>
      <c r="C2170" s="1" t="n">
        <v>528</v>
      </c>
      <c r="D2170" s="1" t="n">
        <v>31</v>
      </c>
      <c r="E2170" s="4">
        <f>IF(INDEX(C:C, ROW())+INDEX(D:D, ROW())=0, 0, INDEX(C:C, ROW())/(INDEX(C:C, ROW())+INDEX(D:D, ROW())))</f>
        <v/>
      </c>
      <c r="F2170" s="1" t="inlineStr">
        <is>
          <t>Math, Bit Manipulation, Recursion</t>
        </is>
      </c>
      <c r="G2170" s="1" t="inlineStr">
        <is>
          <t>Hard</t>
        </is>
      </c>
      <c r="H2170" s="1" t="n">
        <v>87936</v>
      </c>
      <c r="I2170" s="1" t="n">
        <v>181513</v>
      </c>
      <c r="J2170" s="9" t="n">
        <v>0.484</v>
      </c>
      <c r="K2170" s="1" t="inlineStr">
        <is>
          <t>Yes</t>
        </is>
      </c>
      <c r="L2170" s="1" t="inlineStr">
        <is>
          <t>Yes</t>
        </is>
      </c>
      <c r="M2170" s="1" t="inlineStr">
        <is>
          <t>No</t>
        </is>
      </c>
      <c r="N2170" s="1" t="inlineStr">
        <is>
          <t>Algorithms</t>
        </is>
      </c>
      <c r="O21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70" s="11" t="inlineStr">
        <is>
          <t>To Do</t>
        </is>
      </c>
    </row>
    <row r="2171" ht="15.75" customHeight="1" s="12">
      <c r="A2171" s="1" t="n">
        <v>1916</v>
      </c>
      <c r="B2171" s="3">
        <f>HYPERLINK("https://leetcode.com/problems/count-ways-to-build-rooms-in-an-ant-colony/", "Count Ways to Build Rooms in an Ant Colony")</f>
        <v/>
      </c>
      <c r="C2171" s="1" t="n">
        <v>527</v>
      </c>
      <c r="D2171" s="1" t="n">
        <v>57</v>
      </c>
      <c r="E2171" s="4">
        <f>IF(INDEX(C:C, ROW())+INDEX(D:D, ROW())=0, 0, INDEX(C:C, ROW())/(INDEX(C:C, ROW())+INDEX(D:D, ROW())))</f>
        <v/>
      </c>
      <c r="F2171" s="1" t="inlineStr">
        <is>
          <t>Array, Math, Dynamic Programming, Tree, Depth-First Search, Graph Theory, Topological Sort, Combinatorics</t>
        </is>
      </c>
      <c r="G2171" s="1" t="inlineStr">
        <is>
          <t>Hard</t>
        </is>
      </c>
      <c r="H2171" s="1" t="n">
        <v>11288</v>
      </c>
      <c r="I2171" s="1" t="n">
        <v>21979</v>
      </c>
      <c r="J2171" s="9" t="n">
        <v>0.514</v>
      </c>
      <c r="K2171" s="1" t="inlineStr">
        <is>
          <t>Yes</t>
        </is>
      </c>
      <c r="L2171" s="1" t="inlineStr">
        <is>
          <t>No</t>
        </is>
      </c>
      <c r="M2171" s="1" t="inlineStr">
        <is>
          <t>No</t>
        </is>
      </c>
      <c r="N2171" s="1" t="inlineStr">
        <is>
          <t>Algorithms</t>
        </is>
      </c>
      <c r="O21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71" s="11" t="inlineStr">
        <is>
          <t>To Do</t>
        </is>
      </c>
    </row>
    <row r="2172" ht="15.75" customHeight="1" s="12">
      <c r="A2172" s="1" t="n">
        <v>2826</v>
      </c>
      <c r="B2172" s="3">
        <f>HYPERLINK("https://leetcode.com/problems/sorting-three-groups/", "Sorting Three Groups")</f>
        <v/>
      </c>
      <c r="C2172" s="1" t="n">
        <v>527</v>
      </c>
      <c r="D2172" s="1" t="n">
        <v>93</v>
      </c>
      <c r="E2172" s="4">
        <f>IF(INDEX(C:C, ROW())+INDEX(D:D, ROW())=0, 0, INDEX(C:C, ROW())/(INDEX(C:C, ROW())+INDEX(D:D, ROW())))</f>
        <v/>
      </c>
      <c r="F2172" s="1" t="inlineStr">
        <is>
          <t>Array, Binary Search, Dynamic Programming</t>
        </is>
      </c>
      <c r="G2172" s="1" t="inlineStr">
        <is>
          <t>Medium</t>
        </is>
      </c>
      <c r="H2172" s="1" t="n">
        <v>26674</v>
      </c>
      <c r="I2172" s="1" t="n">
        <v>62000</v>
      </c>
      <c r="J2172" s="9" t="n">
        <v>0.43</v>
      </c>
      <c r="K2172" s="1" t="inlineStr">
        <is>
          <t>Yes</t>
        </is>
      </c>
      <c r="L2172" s="1" t="inlineStr">
        <is>
          <t>No</t>
        </is>
      </c>
      <c r="M2172" s="1" t="inlineStr">
        <is>
          <t>No</t>
        </is>
      </c>
      <c r="N2172" s="1" t="inlineStr">
        <is>
          <t>Algorithms</t>
        </is>
      </c>
      <c r="O21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72" s="11" t="inlineStr">
        <is>
          <t>To Do</t>
        </is>
      </c>
    </row>
    <row r="2173" ht="15.75" customHeight="1" s="12">
      <c r="A2173" s="1" t="n">
        <v>2513</v>
      </c>
      <c r="B2173" s="3">
        <f>HYPERLINK("https://leetcode.com/problems/minimize-the-maximum-of-two-arrays/", "Minimize the Maximum of Two Arrays")</f>
        <v/>
      </c>
      <c r="C2173" s="1" t="n">
        <v>525</v>
      </c>
      <c r="D2173" s="1" t="n">
        <v>105</v>
      </c>
      <c r="E2173" s="4">
        <f>IF(INDEX(C:C, ROW())+INDEX(D:D, ROW())=0, 0, INDEX(C:C, ROW())/(INDEX(C:C, ROW())+INDEX(D:D, ROW())))</f>
        <v/>
      </c>
      <c r="F2173" s="1" t="inlineStr">
        <is>
          <t>Math, Binary Search, Number Theory</t>
        </is>
      </c>
      <c r="G2173" s="1" t="inlineStr">
        <is>
          <t>Medium</t>
        </is>
      </c>
      <c r="H2173" s="1" t="n">
        <v>16969</v>
      </c>
      <c r="I2173" s="1" t="n">
        <v>52577</v>
      </c>
      <c r="J2173" s="9" t="n">
        <v>0.323</v>
      </c>
      <c r="K2173" s="1" t="inlineStr">
        <is>
          <t>Yes</t>
        </is>
      </c>
      <c r="L2173" s="1" t="inlineStr">
        <is>
          <t>No</t>
        </is>
      </c>
      <c r="M2173" s="1" t="inlineStr">
        <is>
          <t>No</t>
        </is>
      </c>
      <c r="N2173" s="1" t="inlineStr">
        <is>
          <t>Algorithms</t>
        </is>
      </c>
      <c r="O21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73" s="11" t="inlineStr">
        <is>
          <t>To Do</t>
        </is>
      </c>
    </row>
    <row r="2174" ht="15.75" customHeight="1" s="12">
      <c r="A2174" s="1" t="n">
        <v>2769</v>
      </c>
      <c r="B2174" s="3">
        <f>HYPERLINK("https://leetcode.com/problems/find-the-maximum-achievable-number/", "Find the Maximum Achievable Number")</f>
        <v/>
      </c>
      <c r="C2174" s="1" t="n">
        <v>525</v>
      </c>
      <c r="D2174" s="1" t="n">
        <v>777</v>
      </c>
      <c r="E2174" s="4">
        <f>IF(INDEX(C:C, ROW())+INDEX(D:D, ROW())=0, 0, INDEX(C:C, ROW())/(INDEX(C:C, ROW())+INDEX(D:D, ROW())))</f>
        <v/>
      </c>
      <c r="F2174" s="1" t="inlineStr">
        <is>
          <t>Math</t>
        </is>
      </c>
      <c r="G2174" s="1" t="inlineStr">
        <is>
          <t>Easy</t>
        </is>
      </c>
      <c r="H2174" s="1" t="n">
        <v>208480</v>
      </c>
      <c r="I2174" s="1" t="n">
        <v>228370</v>
      </c>
      <c r="J2174" s="9" t="n">
        <v>0.913</v>
      </c>
      <c r="K2174" s="1" t="inlineStr">
        <is>
          <t>Yes</t>
        </is>
      </c>
      <c r="L2174" s="1" t="inlineStr">
        <is>
          <t>No</t>
        </is>
      </c>
      <c r="M2174" s="1" t="inlineStr">
        <is>
          <t>No</t>
        </is>
      </c>
      <c r="N2174" s="1" t="inlineStr">
        <is>
          <t>Algorithms</t>
        </is>
      </c>
      <c r="O21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74" s="13" t="inlineStr">
        <is>
          <t>Done</t>
        </is>
      </c>
    </row>
    <row r="2175" ht="15.75" customHeight="1" s="12">
      <c r="A2175" s="1" t="n">
        <v>2209</v>
      </c>
      <c r="B2175" s="3">
        <f>HYPERLINK("https://leetcode.com/problems/minimum-white-tiles-after-covering-with-carpets/", "Minimum White Tiles After Covering With Carpets")</f>
        <v/>
      </c>
      <c r="C2175" s="1" t="n">
        <v>524</v>
      </c>
      <c r="D2175" s="1" t="n">
        <v>17</v>
      </c>
      <c r="E2175" s="4">
        <f>IF(INDEX(C:C, ROW())+INDEX(D:D, ROW())=0, 0, INDEX(C:C, ROW())/(INDEX(C:C, ROW())+INDEX(D:D, ROW())))</f>
        <v/>
      </c>
      <c r="F2175" s="1" t="inlineStr">
        <is>
          <t>String, Dynamic Programming, Prefix Sum</t>
        </is>
      </c>
      <c r="G2175" s="1" t="inlineStr">
        <is>
          <t>Hard</t>
        </is>
      </c>
      <c r="H2175" s="1" t="n">
        <v>16386</v>
      </c>
      <c r="I2175" s="1" t="n">
        <v>42230</v>
      </c>
      <c r="J2175" s="9" t="n">
        <v>0.388</v>
      </c>
      <c r="K2175" s="1" t="inlineStr">
        <is>
          <t>Yes</t>
        </is>
      </c>
      <c r="L2175" s="1" t="inlineStr">
        <is>
          <t>No</t>
        </is>
      </c>
      <c r="M2175" s="1" t="inlineStr">
        <is>
          <t>No</t>
        </is>
      </c>
      <c r="N2175" s="1" t="inlineStr">
        <is>
          <t>Algorithms</t>
        </is>
      </c>
      <c r="O21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75" s="11" t="inlineStr">
        <is>
          <t>To Do</t>
        </is>
      </c>
    </row>
    <row r="2176" ht="15.75" customHeight="1" s="12">
      <c r="A2176" s="1" t="n">
        <v>3190</v>
      </c>
      <c r="B2176" s="3">
        <f>HYPERLINK("https://leetcode.com/problems/find-minimum-operations-to-make-all-elements-divisible-by-three/", "Find Minimum Operations to Make All Elements Divisible by Three")</f>
        <v/>
      </c>
      <c r="C2176" s="1" t="n">
        <v>524</v>
      </c>
      <c r="D2176" s="1" t="n">
        <v>34</v>
      </c>
      <c r="E2176" s="4">
        <f>IF(INDEX(C:C, ROW())+INDEX(D:D, ROW())=0, 0, INDEX(C:C, ROW())/(INDEX(C:C, ROW())+INDEX(D:D, ROW())))</f>
        <v/>
      </c>
      <c r="F2176" s="1" t="inlineStr">
        <is>
          <t>Array, Math</t>
        </is>
      </c>
      <c r="G2176" s="1" t="inlineStr">
        <is>
          <t>Easy</t>
        </is>
      </c>
      <c r="H2176" s="1" t="n">
        <v>274627</v>
      </c>
      <c r="I2176" s="1" t="n">
        <v>302334</v>
      </c>
      <c r="J2176" s="9" t="n">
        <v>0.908</v>
      </c>
      <c r="K2176" s="1" t="inlineStr">
        <is>
          <t>Yes</t>
        </is>
      </c>
      <c r="L2176" s="1" t="inlineStr">
        <is>
          <t>Yes</t>
        </is>
      </c>
      <c r="M2176" s="1" t="inlineStr">
        <is>
          <t>No</t>
        </is>
      </c>
      <c r="N2176" s="1" t="inlineStr">
        <is>
          <t>Algorithms</t>
        </is>
      </c>
      <c r="O21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76" s="13" t="inlineStr">
        <is>
          <t>Done</t>
        </is>
      </c>
    </row>
    <row r="2177" ht="15.75" customHeight="1" s="12">
      <c r="A2177" s="1" t="n">
        <v>497</v>
      </c>
      <c r="B2177" s="3">
        <f>HYPERLINK("https://leetcode.com/problems/random-point-in-non-overlapping-rectangles/", "Random Point in Non-overlapping Rectangles")</f>
        <v/>
      </c>
      <c r="C2177" s="1" t="n">
        <v>523</v>
      </c>
      <c r="D2177" s="1" t="n">
        <v>689</v>
      </c>
      <c r="E2177" s="4">
        <f>IF(INDEX(C:C, ROW())+INDEX(D:D, ROW())=0, 0, INDEX(C:C, ROW())/(INDEX(C:C, ROW())+INDEX(D:D, ROW())))</f>
        <v/>
      </c>
      <c r="F2177" s="1" t="inlineStr">
        <is>
          <t>Array, Math, Binary Search, Reservoir Sampling, Prefix Sum, Ordered Set, Randomized</t>
        </is>
      </c>
      <c r="G2177" s="1" t="inlineStr">
        <is>
          <t>Medium</t>
        </is>
      </c>
      <c r="H2177" s="1" t="n">
        <v>53391</v>
      </c>
      <c r="I2177" s="1" t="n">
        <v>134394</v>
      </c>
      <c r="J2177" s="9" t="n">
        <v>0.397</v>
      </c>
      <c r="K2177" s="1" t="inlineStr">
        <is>
          <t>Yes</t>
        </is>
      </c>
      <c r="L2177" s="1" t="inlineStr">
        <is>
          <t>Yes</t>
        </is>
      </c>
      <c r="M2177" s="1" t="inlineStr">
        <is>
          <t>No</t>
        </is>
      </c>
      <c r="N2177" s="1" t="inlineStr">
        <is>
          <t>Algorithms</t>
        </is>
      </c>
      <c r="O21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77" s="11" t="inlineStr">
        <is>
          <t>To Do</t>
        </is>
      </c>
    </row>
    <row r="2178" ht="15.75" customHeight="1" s="12">
      <c r="A2178" s="1" t="n">
        <v>866</v>
      </c>
      <c r="B2178" s="3">
        <f>HYPERLINK("https://leetcode.com/problems/prime-palindrome/", "Prime Palindrome")</f>
        <v/>
      </c>
      <c r="C2178" s="1" t="n">
        <v>523</v>
      </c>
      <c r="D2178" s="1" t="n">
        <v>845</v>
      </c>
      <c r="E2178" s="4">
        <f>IF(INDEX(C:C, ROW())+INDEX(D:D, ROW())=0, 0, INDEX(C:C, ROW())/(INDEX(C:C, ROW())+INDEX(D:D, ROW())))</f>
        <v/>
      </c>
      <c r="F2178" s="1" t="inlineStr">
        <is>
          <t>Math, Number Theory</t>
        </is>
      </c>
      <c r="G2178" s="1" t="inlineStr">
        <is>
          <t>Medium</t>
        </is>
      </c>
      <c r="H2178" s="1" t="n">
        <v>50108</v>
      </c>
      <c r="I2178" s="1" t="n">
        <v>177884</v>
      </c>
      <c r="J2178" s="9" t="n">
        <v>0.282</v>
      </c>
      <c r="K2178" s="1" t="inlineStr">
        <is>
          <t>Yes</t>
        </is>
      </c>
      <c r="L2178" s="1" t="inlineStr">
        <is>
          <t>Yes</t>
        </is>
      </c>
      <c r="M2178" s="1" t="inlineStr">
        <is>
          <t>No</t>
        </is>
      </c>
      <c r="N2178" s="1" t="inlineStr">
        <is>
          <t>Algorithms</t>
        </is>
      </c>
      <c r="O21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78" s="11" t="inlineStr">
        <is>
          <t>To Do</t>
        </is>
      </c>
    </row>
    <row r="2179" ht="15.75" customHeight="1" s="12">
      <c r="A2179" s="1" t="n">
        <v>1556</v>
      </c>
      <c r="B2179" s="3">
        <f>HYPERLINK("https://leetcode.com/problems/thousand-separator/", "Thousand Separator")</f>
        <v/>
      </c>
      <c r="C2179" s="1" t="n">
        <v>523</v>
      </c>
      <c r="D2179" s="1" t="n">
        <v>47</v>
      </c>
      <c r="E2179" s="4">
        <f>IF(INDEX(C:C, ROW())+INDEX(D:D, ROW())=0, 0, INDEX(C:C, ROW())/(INDEX(C:C, ROW())+INDEX(D:D, ROW())))</f>
        <v/>
      </c>
      <c r="F2179" s="1" t="inlineStr">
        <is>
          <t>String</t>
        </is>
      </c>
      <c r="G2179" s="1" t="inlineStr">
        <is>
          <t>Easy</t>
        </is>
      </c>
      <c r="H2179" s="1" t="n">
        <v>68025</v>
      </c>
      <c r="I2179" s="1" t="n">
        <v>126667</v>
      </c>
      <c r="J2179" s="9" t="n">
        <v>0.537</v>
      </c>
      <c r="K2179" s="1" t="inlineStr">
        <is>
          <t>Yes</t>
        </is>
      </c>
      <c r="L2179" s="1" t="inlineStr">
        <is>
          <t>No</t>
        </is>
      </c>
      <c r="M2179" s="1" t="inlineStr">
        <is>
          <t>No</t>
        </is>
      </c>
      <c r="N2179" s="1" t="inlineStr">
        <is>
          <t>Algorithms</t>
        </is>
      </c>
      <c r="O21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79" s="13" t="inlineStr">
        <is>
          <t>Done</t>
        </is>
      </c>
    </row>
    <row r="2180" ht="15.75" customHeight="1" s="12">
      <c r="A2180" s="1" t="n">
        <v>1807</v>
      </c>
      <c r="B2180" s="3">
        <f>HYPERLINK("https://leetcode.com/problems/evaluate-the-bracket-pairs-of-a-string/", "Evaluate the Bracket Pairs of a String")</f>
        <v/>
      </c>
      <c r="C2180" s="1" t="n">
        <v>522</v>
      </c>
      <c r="D2180" s="1" t="n">
        <v>43</v>
      </c>
      <c r="E2180" s="4">
        <f>IF(INDEX(C:C, ROW())+INDEX(D:D, ROW())=0, 0, INDEX(C:C, ROW())/(INDEX(C:C, ROW())+INDEX(D:D, ROW())))</f>
        <v/>
      </c>
      <c r="F2180" s="1" t="inlineStr">
        <is>
          <t>Array, Hash Table, String</t>
        </is>
      </c>
      <c r="G2180" s="1" t="inlineStr">
        <is>
          <t>Medium</t>
        </is>
      </c>
      <c r="H2180" s="1" t="n">
        <v>42361</v>
      </c>
      <c r="I2180" s="1" t="n">
        <v>60963</v>
      </c>
      <c r="J2180" s="9" t="n">
        <v>0.695</v>
      </c>
      <c r="K2180" s="1" t="inlineStr">
        <is>
          <t>Yes</t>
        </is>
      </c>
      <c r="L2180" s="1" t="inlineStr">
        <is>
          <t>No</t>
        </is>
      </c>
      <c r="M2180" s="1" t="inlineStr">
        <is>
          <t>No</t>
        </is>
      </c>
      <c r="N2180" s="1" t="inlineStr">
        <is>
          <t>Algorithms</t>
        </is>
      </c>
      <c r="O21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80" s="11" t="inlineStr">
        <is>
          <t>To Do</t>
        </is>
      </c>
    </row>
    <row r="2181" ht="15.75" customHeight="1" s="12">
      <c r="A2181" s="1" t="n">
        <v>1993</v>
      </c>
      <c r="B2181" s="3">
        <f>HYPERLINK("https://leetcode.com/problems/operations-on-tree/", "Operations on Tree")</f>
        <v/>
      </c>
      <c r="C2181" s="1" t="n">
        <v>522</v>
      </c>
      <c r="D2181" s="1" t="n">
        <v>85</v>
      </c>
      <c r="E2181" s="4">
        <f>IF(INDEX(C:C, ROW())+INDEX(D:D, ROW())=0, 0, INDEX(C:C, ROW())/(INDEX(C:C, ROW())+INDEX(D:D, ROW())))</f>
        <v/>
      </c>
      <c r="F2181" s="1" t="inlineStr">
        <is>
          <t>Array, Hash Table, Tree, Depth-First Search, Breadth-First Search, Design</t>
        </is>
      </c>
      <c r="G2181" s="1" t="inlineStr">
        <is>
          <t>Medium</t>
        </is>
      </c>
      <c r="H2181" s="1" t="n">
        <v>25003</v>
      </c>
      <c r="I2181" s="1" t="n">
        <v>55258</v>
      </c>
      <c r="J2181" s="9" t="n">
        <v>0.452</v>
      </c>
      <c r="K2181" s="1" t="inlineStr">
        <is>
          <t>Yes</t>
        </is>
      </c>
      <c r="L2181" s="1" t="inlineStr">
        <is>
          <t>No</t>
        </is>
      </c>
      <c r="M2181" s="1" t="inlineStr">
        <is>
          <t>No</t>
        </is>
      </c>
      <c r="N2181" s="1" t="inlineStr">
        <is>
          <t>Algorithms</t>
        </is>
      </c>
      <c r="O21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81" s="11" t="inlineStr">
        <is>
          <t>To Do</t>
        </is>
      </c>
    </row>
    <row r="2182" ht="15.75" customHeight="1" s="12">
      <c r="A2182" s="1" t="n">
        <v>2025</v>
      </c>
      <c r="B2182" s="3">
        <f>HYPERLINK("https://leetcode.com/problems/maximum-number-of-ways-to-partition-an-array/", "Maximum Number of Ways to Partition an Array")</f>
        <v/>
      </c>
      <c r="C2182" s="1" t="n">
        <v>522</v>
      </c>
      <c r="D2182" s="1" t="n">
        <v>59</v>
      </c>
      <c r="E2182" s="4">
        <f>IF(INDEX(C:C, ROW())+INDEX(D:D, ROW())=0, 0, INDEX(C:C, ROW())/(INDEX(C:C, ROW())+INDEX(D:D, ROW())))</f>
        <v/>
      </c>
      <c r="F2182" s="1" t="inlineStr">
        <is>
          <t>Array, Hash Table, Counting, Enumeration, Prefix Sum</t>
        </is>
      </c>
      <c r="G2182" s="1" t="inlineStr">
        <is>
          <t>Hard</t>
        </is>
      </c>
      <c r="H2182" s="1" t="n">
        <v>13943</v>
      </c>
      <c r="I2182" s="1" t="n">
        <v>39044</v>
      </c>
      <c r="J2182" s="9" t="n">
        <v>0.357</v>
      </c>
      <c r="K2182" s="1" t="inlineStr">
        <is>
          <t>Yes</t>
        </is>
      </c>
      <c r="L2182" s="1" t="inlineStr">
        <is>
          <t>No</t>
        </is>
      </c>
      <c r="M2182" s="1" t="inlineStr">
        <is>
          <t>No</t>
        </is>
      </c>
      <c r="N2182" s="1" t="inlineStr">
        <is>
          <t>Algorithms</t>
        </is>
      </c>
      <c r="O21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82" s="11" t="inlineStr">
        <is>
          <t>To Do</t>
        </is>
      </c>
    </row>
    <row r="2183" ht="15.75" customHeight="1" s="12">
      <c r="A2183" s="1" t="n">
        <v>2430</v>
      </c>
      <c r="B2183" s="3">
        <f>HYPERLINK("https://leetcode.com/problems/maximum-deletions-on-a-string/", "Maximum Deletions on a String")</f>
        <v/>
      </c>
      <c r="C2183" s="1" t="n">
        <v>522</v>
      </c>
      <c r="D2183" s="1" t="n">
        <v>61</v>
      </c>
      <c r="E2183" s="4">
        <f>IF(INDEX(C:C, ROW())+INDEX(D:D, ROW())=0, 0, INDEX(C:C, ROW())/(INDEX(C:C, ROW())+INDEX(D:D, ROW())))</f>
        <v/>
      </c>
      <c r="F2183" s="1" t="inlineStr">
        <is>
          <t>String, Dynamic Programming, Rolling Hash, String Matching, Hash Function</t>
        </is>
      </c>
      <c r="G2183" s="1" t="inlineStr">
        <is>
          <t>Hard</t>
        </is>
      </c>
      <c r="H2183" s="1" t="n">
        <v>17430</v>
      </c>
      <c r="I2183" s="1" t="n">
        <v>48546</v>
      </c>
      <c r="J2183" s="9" t="n">
        <v>0.359</v>
      </c>
      <c r="K2183" s="1" t="inlineStr">
        <is>
          <t>Yes</t>
        </is>
      </c>
      <c r="L2183" s="1" t="inlineStr">
        <is>
          <t>No</t>
        </is>
      </c>
      <c r="M2183" s="1" t="inlineStr">
        <is>
          <t>No</t>
        </is>
      </c>
      <c r="N2183" s="1" t="inlineStr">
        <is>
          <t>Algorithms</t>
        </is>
      </c>
      <c r="O21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83" s="11" t="inlineStr">
        <is>
          <t>To Do</t>
        </is>
      </c>
    </row>
    <row r="2184" ht="15.75" customHeight="1" s="12">
      <c r="A2184" s="1" t="n">
        <v>499</v>
      </c>
      <c r="B2184" s="3">
        <f>HYPERLINK("https://leetcode.com/problems/the-maze-iii/", "The Maze III")</f>
        <v/>
      </c>
      <c r="C2184" s="1" t="n">
        <v>521</v>
      </c>
      <c r="D2184" s="1" t="n">
        <v>78</v>
      </c>
      <c r="E2184" s="4">
        <f>IF(INDEX(C:C, ROW())+INDEX(D:D, ROW())=0, 0, INDEX(C:C, ROW())/(INDEX(C:C, ROW())+INDEX(D:D, ROW())))</f>
        <v/>
      </c>
      <c r="F2184" s="1" t="inlineStr">
        <is>
          <t>Array, String, Depth-First Search, Breadth-First Search, Graph Theory, Heap (Priority Queue), Matrix, Shortest Path</t>
        </is>
      </c>
      <c r="G2184" s="1" t="inlineStr">
        <is>
          <t>Hard</t>
        </is>
      </c>
      <c r="H2184" s="1" t="n">
        <v>40544</v>
      </c>
      <c r="I2184" s="1" t="n">
        <v>77474</v>
      </c>
      <c r="J2184" s="9" t="n">
        <v>0.523</v>
      </c>
      <c r="K2184" s="1" t="inlineStr">
        <is>
          <t>No</t>
        </is>
      </c>
      <c r="L2184" s="1" t="inlineStr">
        <is>
          <t>Yes</t>
        </is>
      </c>
      <c r="M2184" s="1" t="inlineStr">
        <is>
          <t>No</t>
        </is>
      </c>
      <c r="N2184" s="1" t="inlineStr">
        <is>
          <t>Algorithms</t>
        </is>
      </c>
      <c r="O21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84" s="11" t="inlineStr">
        <is>
          <t>To Do</t>
        </is>
      </c>
    </row>
    <row r="2185" ht="15.75" customHeight="1" s="12">
      <c r="A2185" s="1" t="n">
        <v>2646</v>
      </c>
      <c r="B2185" s="3">
        <f>HYPERLINK("https://leetcode.com/problems/minimize-the-total-price-of-the-trips/", "Minimize the Total Price of the Trips")</f>
        <v/>
      </c>
      <c r="C2185" s="1" t="n">
        <v>521</v>
      </c>
      <c r="D2185" s="1" t="n">
        <v>21</v>
      </c>
      <c r="E2185" s="4">
        <f>IF(INDEX(C:C, ROW())+INDEX(D:D, ROW())=0, 0, INDEX(C:C, ROW())/(INDEX(C:C, ROW())+INDEX(D:D, ROW())))</f>
        <v/>
      </c>
      <c r="F2185" s="1" t="inlineStr">
        <is>
          <t>Array, Dynamic Programming, Tree, Depth-First Search, Graph Theory</t>
        </is>
      </c>
      <c r="G2185" s="1" t="inlineStr">
        <is>
          <t>Hard</t>
        </is>
      </c>
      <c r="H2185" s="1" t="n">
        <v>14016</v>
      </c>
      <c r="I2185" s="1" t="n">
        <v>29064</v>
      </c>
      <c r="J2185" s="9" t="n">
        <v>0.482</v>
      </c>
      <c r="K2185" s="1" t="inlineStr">
        <is>
          <t>Yes</t>
        </is>
      </c>
      <c r="L2185" s="1" t="inlineStr">
        <is>
          <t>No</t>
        </is>
      </c>
      <c r="M2185" s="1" t="inlineStr">
        <is>
          <t>No</t>
        </is>
      </c>
      <c r="N2185" s="1" t="inlineStr">
        <is>
          <t>Algorithms</t>
        </is>
      </c>
      <c r="O21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85" s="11" t="inlineStr">
        <is>
          <t>To Do</t>
        </is>
      </c>
    </row>
    <row r="2186" ht="15.75" customHeight="1" s="12">
      <c r="A2186" s="1" t="n">
        <v>1469</v>
      </c>
      <c r="B2186" s="3">
        <f>HYPERLINK("https://leetcode.com/problems/find-all-the-lonely-nodes/", "Find All The Lonely Nodes")</f>
        <v/>
      </c>
      <c r="C2186" s="1" t="n">
        <v>520</v>
      </c>
      <c r="D2186" s="1" t="n">
        <v>11</v>
      </c>
      <c r="E2186" s="4">
        <f>IF(INDEX(C:C, ROW())+INDEX(D:D, ROW())=0, 0, INDEX(C:C, ROW())/(INDEX(C:C, ROW())+INDEX(D:D, ROW())))</f>
        <v/>
      </c>
      <c r="F2186" s="1" t="inlineStr">
        <is>
          <t>Tree, Depth-First Search, Breadth-First Search, Binary Tree</t>
        </is>
      </c>
      <c r="G2186" s="1" t="inlineStr">
        <is>
          <t>Easy</t>
        </is>
      </c>
      <c r="H2186" s="1" t="n">
        <v>61574</v>
      </c>
      <c r="I2186" s="1" t="n">
        <v>73202</v>
      </c>
      <c r="J2186" s="9" t="n">
        <v>0.841</v>
      </c>
      <c r="K2186" s="1" t="inlineStr">
        <is>
          <t>No</t>
        </is>
      </c>
      <c r="L2186" s="1" t="inlineStr">
        <is>
          <t>Yes</t>
        </is>
      </c>
      <c r="M2186" s="1" t="inlineStr">
        <is>
          <t>No</t>
        </is>
      </c>
      <c r="N2186" s="1" t="inlineStr">
        <is>
          <t>Algorithms</t>
        </is>
      </c>
      <c r="O21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86" s="11" t="inlineStr">
        <is>
          <t>To Do</t>
        </is>
      </c>
    </row>
    <row r="2187" ht="15.75" customHeight="1" s="12">
      <c r="A2187" s="1" t="n">
        <v>1900</v>
      </c>
      <c r="B2187" s="3">
        <f>HYPERLINK("https://leetcode.com/problems/the-earliest-and-latest-rounds-where-players-compete/", "The Earliest and Latest Rounds Where Players Compete")</f>
        <v/>
      </c>
      <c r="C2187" s="1" t="n">
        <v>520</v>
      </c>
      <c r="D2187" s="1" t="n">
        <v>78</v>
      </c>
      <c r="E2187" s="4">
        <f>IF(INDEX(C:C, ROW())+INDEX(D:D, ROW())=0, 0, INDEX(C:C, ROW())/(INDEX(C:C, ROW())+INDEX(D:D, ROW())))</f>
        <v/>
      </c>
      <c r="F2187" s="1" t="inlineStr">
        <is>
          <t>Dynamic Programming, Memoization</t>
        </is>
      </c>
      <c r="G2187" s="1" t="inlineStr">
        <is>
          <t>Hard</t>
        </is>
      </c>
      <c r="H2187" s="1" t="n">
        <v>62392</v>
      </c>
      <c r="I2187" s="1" t="n">
        <v>86290</v>
      </c>
      <c r="J2187" s="9" t="n">
        <v>0.723</v>
      </c>
      <c r="K2187" s="1" t="inlineStr">
        <is>
          <t>Yes</t>
        </is>
      </c>
      <c r="L2187" s="1" t="inlineStr">
        <is>
          <t>Yes</t>
        </is>
      </c>
      <c r="M2187" s="1" t="inlineStr">
        <is>
          <t>No</t>
        </is>
      </c>
      <c r="N2187" s="1" t="inlineStr">
        <is>
          <t>Algorithms</t>
        </is>
      </c>
      <c r="O21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87" s="11" t="inlineStr">
        <is>
          <t>To Do</t>
        </is>
      </c>
    </row>
    <row r="2188" ht="15.75" customHeight="1" s="12">
      <c r="A2188" s="1" t="n">
        <v>3021</v>
      </c>
      <c r="B2188" s="3">
        <f>HYPERLINK("https://leetcode.com/problems/alice-and-bob-playing-flower-game/", "Alice and Bob Playing Flower Game")</f>
        <v/>
      </c>
      <c r="C2188" s="1" t="n">
        <v>520</v>
      </c>
      <c r="D2188" s="1" t="n">
        <v>278</v>
      </c>
      <c r="E2188" s="4">
        <f>IF(INDEX(C:C, ROW())+INDEX(D:D, ROW())=0, 0, INDEX(C:C, ROW())/(INDEX(C:C, ROW())+INDEX(D:D, ROW())))</f>
        <v/>
      </c>
      <c r="F2188" s="1" t="inlineStr">
        <is>
          <t>Math</t>
        </is>
      </c>
      <c r="G2188" s="1" t="inlineStr">
        <is>
          <t>Medium</t>
        </is>
      </c>
      <c r="H2188" s="1" t="n">
        <v>128172</v>
      </c>
      <c r="I2188" s="1" t="n">
        <v>213662</v>
      </c>
      <c r="J2188" s="9" t="n">
        <v>0.6</v>
      </c>
      <c r="K2188" s="1" t="inlineStr">
        <is>
          <t>Yes</t>
        </is>
      </c>
      <c r="L2188" s="1" t="inlineStr">
        <is>
          <t>Yes</t>
        </is>
      </c>
      <c r="M2188" s="1" t="inlineStr">
        <is>
          <t>No</t>
        </is>
      </c>
      <c r="N2188" s="1" t="inlineStr">
        <is>
          <t>Algorithms</t>
        </is>
      </c>
      <c r="O21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88" s="11" t="inlineStr">
        <is>
          <t>To Do</t>
        </is>
      </c>
    </row>
    <row r="2189" ht="15.75" customHeight="1" s="12">
      <c r="A2189" s="1" t="n">
        <v>1172</v>
      </c>
      <c r="B2189" s="3">
        <f>HYPERLINK("https://leetcode.com/problems/dinner-plate-stacks/", "Dinner Plate Stacks")</f>
        <v/>
      </c>
      <c r="C2189" s="1" t="n">
        <v>518</v>
      </c>
      <c r="D2189" s="1" t="n">
        <v>69</v>
      </c>
      <c r="E2189" s="4">
        <f>IF(INDEX(C:C, ROW())+INDEX(D:D, ROW())=0, 0, INDEX(C:C, ROW())/(INDEX(C:C, ROW())+INDEX(D:D, ROW())))</f>
        <v/>
      </c>
      <c r="F2189" s="1" t="inlineStr">
        <is>
          <t>Hash Table, Stack, Design, Heap (Priority Queue)</t>
        </is>
      </c>
      <c r="G2189" s="1" t="inlineStr">
        <is>
          <t>Hard</t>
        </is>
      </c>
      <c r="H2189" s="1" t="n">
        <v>24186</v>
      </c>
      <c r="I2189" s="1" t="n">
        <v>71916</v>
      </c>
      <c r="J2189" s="9" t="n">
        <v>0.336</v>
      </c>
      <c r="K2189" s="1" t="inlineStr">
        <is>
          <t>Yes</t>
        </is>
      </c>
      <c r="L2189" s="1" t="inlineStr">
        <is>
          <t>No</t>
        </is>
      </c>
      <c r="M2189" s="1" t="inlineStr">
        <is>
          <t>No</t>
        </is>
      </c>
      <c r="N2189" s="1" t="inlineStr">
        <is>
          <t>Algorithms</t>
        </is>
      </c>
      <c r="O21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89" s="11" t="inlineStr">
        <is>
          <t>To Do</t>
        </is>
      </c>
    </row>
    <row r="2190" ht="15.75" customHeight="1" s="12">
      <c r="A2190" s="1" t="n">
        <v>245</v>
      </c>
      <c r="B2190" s="3">
        <f>HYPERLINK("https://leetcode.com/problems/shortest-word-distance-iii/", "Shortest Word Distance III")</f>
        <v/>
      </c>
      <c r="C2190" s="1" t="n">
        <v>517</v>
      </c>
      <c r="D2190" s="1" t="n">
        <v>101</v>
      </c>
      <c r="E2190" s="4">
        <f>IF(INDEX(C:C, ROW())+INDEX(D:D, ROW())=0, 0, INDEX(C:C, ROW())/(INDEX(C:C, ROW())+INDEX(D:D, ROW())))</f>
        <v/>
      </c>
      <c r="F2190" s="1" t="inlineStr">
        <is>
          <t>Array, String</t>
        </is>
      </c>
      <c r="G2190" s="1" t="inlineStr">
        <is>
          <t>Medium</t>
        </is>
      </c>
      <c r="H2190" s="1" t="n">
        <v>94499</v>
      </c>
      <c r="I2190" s="1" t="n">
        <v>158898</v>
      </c>
      <c r="J2190" s="9" t="n">
        <v>0.595</v>
      </c>
      <c r="K2190" s="1" t="inlineStr">
        <is>
          <t>No</t>
        </is>
      </c>
      <c r="L2190" s="1" t="inlineStr">
        <is>
          <t>Yes</t>
        </is>
      </c>
      <c r="M2190" s="1" t="inlineStr">
        <is>
          <t>No</t>
        </is>
      </c>
      <c r="N2190" s="1" t="inlineStr">
        <is>
          <t>Algorithms</t>
        </is>
      </c>
      <c r="O21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90" s="11" t="inlineStr">
        <is>
          <t>To Do</t>
        </is>
      </c>
    </row>
    <row r="2191" ht="15.75" customHeight="1" s="12">
      <c r="A2191" s="1" t="n">
        <v>1409</v>
      </c>
      <c r="B2191" s="3">
        <f>HYPERLINK("https://leetcode.com/problems/queries-on-a-permutation-with-key/", "Queries on a Permutation With Key")</f>
        <v/>
      </c>
      <c r="C2191" s="1" t="n">
        <v>516</v>
      </c>
      <c r="D2191" s="1" t="n">
        <v>645</v>
      </c>
      <c r="E2191" s="4">
        <f>IF(INDEX(C:C, ROW())+INDEX(D:D, ROW())=0, 0, INDEX(C:C, ROW())/(INDEX(C:C, ROW())+INDEX(D:D, ROW())))</f>
        <v/>
      </c>
      <c r="F2191" s="1" t="inlineStr">
        <is>
          <t>Array, Binary Indexed Tree, Simulation</t>
        </is>
      </c>
      <c r="G2191" s="1" t="inlineStr">
        <is>
          <t>Medium</t>
        </is>
      </c>
      <c r="H2191" s="1" t="n">
        <v>59583</v>
      </c>
      <c r="I2191" s="1" t="n">
        <v>70220</v>
      </c>
      <c r="J2191" s="9" t="n">
        <v>0.849</v>
      </c>
      <c r="K2191" s="1" t="inlineStr">
        <is>
          <t>Yes</t>
        </is>
      </c>
      <c r="L2191" s="1" t="inlineStr">
        <is>
          <t>No</t>
        </is>
      </c>
      <c r="M2191" s="1" t="inlineStr">
        <is>
          <t>No</t>
        </is>
      </c>
      <c r="N2191" s="1" t="inlineStr">
        <is>
          <t>Algorithms</t>
        </is>
      </c>
      <c r="O21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91" s="11" t="inlineStr">
        <is>
          <t>To Do</t>
        </is>
      </c>
    </row>
    <row r="2192" ht="15.75" customHeight="1" s="12">
      <c r="A2192" s="1" t="n">
        <v>2212</v>
      </c>
      <c r="B2192" s="3">
        <f>HYPERLINK("https://leetcode.com/problems/maximum-points-in-an-archery-competition/", "Maximum Points in an Archery Competition")</f>
        <v/>
      </c>
      <c r="C2192" s="1" t="n">
        <v>515</v>
      </c>
      <c r="D2192" s="1" t="n">
        <v>56</v>
      </c>
      <c r="E2192" s="4">
        <f>IF(INDEX(C:C, ROW())+INDEX(D:D, ROW())=0, 0, INDEX(C:C, ROW())/(INDEX(C:C, ROW())+INDEX(D:D, ROW())))</f>
        <v/>
      </c>
      <c r="F2192" s="1" t="inlineStr">
        <is>
          <t>Array, Backtracking, Bit Manipulation, Enumeration</t>
        </is>
      </c>
      <c r="G2192" s="1" t="inlineStr">
        <is>
          <t>Medium</t>
        </is>
      </c>
      <c r="H2192" s="1" t="n">
        <v>19882</v>
      </c>
      <c r="I2192" s="1" t="n">
        <v>38631</v>
      </c>
      <c r="J2192" s="9" t="n">
        <v>0.515</v>
      </c>
      <c r="K2192" s="1" t="inlineStr">
        <is>
          <t>Yes</t>
        </is>
      </c>
      <c r="L2192" s="1" t="inlineStr">
        <is>
          <t>No</t>
        </is>
      </c>
      <c r="M2192" s="1" t="inlineStr">
        <is>
          <t>No</t>
        </is>
      </c>
      <c r="N2192" s="1" t="inlineStr">
        <is>
          <t>Algorithms</t>
        </is>
      </c>
      <c r="O21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92" s="11" t="inlineStr">
        <is>
          <t>To Do</t>
        </is>
      </c>
    </row>
    <row r="2193" ht="15.75" customHeight="1" s="12">
      <c r="A2193" s="1" t="n">
        <v>439</v>
      </c>
      <c r="B2193" s="3">
        <f>HYPERLINK("https://leetcode.com/problems/ternary-expression-parser/", "Ternary Expression Parser")</f>
        <v/>
      </c>
      <c r="C2193" s="1" t="n">
        <v>514</v>
      </c>
      <c r="D2193" s="1" t="n">
        <v>74</v>
      </c>
      <c r="E2193" s="4">
        <f>IF(INDEX(C:C, ROW())+INDEX(D:D, ROW())=0, 0, INDEX(C:C, ROW())/(INDEX(C:C, ROW())+INDEX(D:D, ROW())))</f>
        <v/>
      </c>
      <c r="F2193" s="1" t="inlineStr">
        <is>
          <t>String, Stack, Recursion</t>
        </is>
      </c>
      <c r="G2193" s="1" t="inlineStr">
        <is>
          <t>Medium</t>
        </is>
      </c>
      <c r="H2193" s="1" t="n">
        <v>38746</v>
      </c>
      <c r="I2193" s="1" t="n">
        <v>61912</v>
      </c>
      <c r="J2193" s="9" t="n">
        <v>0.626</v>
      </c>
      <c r="K2193" s="1" t="inlineStr">
        <is>
          <t>No</t>
        </is>
      </c>
      <c r="L2193" s="1" t="inlineStr">
        <is>
          <t>Yes</t>
        </is>
      </c>
      <c r="M2193" s="1" t="inlineStr">
        <is>
          <t>No</t>
        </is>
      </c>
      <c r="N2193" s="1" t="inlineStr">
        <is>
          <t>Algorithms</t>
        </is>
      </c>
      <c r="O21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93" s="11" t="inlineStr">
        <is>
          <t>To Do</t>
        </is>
      </c>
    </row>
    <row r="2194" ht="15.75" customHeight="1" s="12">
      <c r="A2194" s="1" t="n">
        <v>2030</v>
      </c>
      <c r="B2194" s="3">
        <f>HYPERLINK("https://leetcode.com/problems/smallest-k-length-subsequence-with-occurrences-of-a-letter/", "Smallest K-Length Subsequence With Occurrences of a Letter")</f>
        <v/>
      </c>
      <c r="C2194" s="1" t="n">
        <v>514</v>
      </c>
      <c r="D2194" s="1" t="n">
        <v>15</v>
      </c>
      <c r="E2194" s="4">
        <f>IF(INDEX(C:C, ROW())+INDEX(D:D, ROW())=0, 0, INDEX(C:C, ROW())/(INDEX(C:C, ROW())+INDEX(D:D, ROW())))</f>
        <v/>
      </c>
      <c r="F2194" s="1" t="inlineStr">
        <is>
          <t>String, Stack, Greedy, Monotonic Stack</t>
        </is>
      </c>
      <c r="G2194" s="1" t="inlineStr">
        <is>
          <t>Hard</t>
        </is>
      </c>
      <c r="H2194" s="1" t="n">
        <v>11497</v>
      </c>
      <c r="I2194" s="1" t="n">
        <v>28931</v>
      </c>
      <c r="J2194" s="9" t="n">
        <v>0.397</v>
      </c>
      <c r="K2194" s="1" t="inlineStr">
        <is>
          <t>Yes</t>
        </is>
      </c>
      <c r="L2194" s="1" t="inlineStr">
        <is>
          <t>No</t>
        </is>
      </c>
      <c r="M2194" s="1" t="inlineStr">
        <is>
          <t>No</t>
        </is>
      </c>
      <c r="N2194" s="1" t="inlineStr">
        <is>
          <t>Algorithms</t>
        </is>
      </c>
      <c r="O21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94" s="11" t="inlineStr">
        <is>
          <t>To Do</t>
        </is>
      </c>
    </row>
    <row r="2195" ht="15.75" customHeight="1" s="12">
      <c r="A2195" s="1" t="n">
        <v>3446</v>
      </c>
      <c r="B2195" s="3">
        <f>HYPERLINK("https://leetcode.com/problems/sort-matrix-by-diagonals/", "Sort Matrix by Diagonals")</f>
        <v/>
      </c>
      <c r="C2195" s="1" t="n">
        <v>514</v>
      </c>
      <c r="D2195" s="1" t="n">
        <v>103</v>
      </c>
      <c r="E2195" s="4">
        <f>IF(INDEX(C:C, ROW())+INDEX(D:D, ROW())=0, 0, INDEX(C:C, ROW())/(INDEX(C:C, ROW())+INDEX(D:D, ROW())))</f>
        <v/>
      </c>
      <c r="F2195" s="1" t="inlineStr">
        <is>
          <t>Array, Sorting, Matrix</t>
        </is>
      </c>
      <c r="G2195" s="1" t="inlineStr">
        <is>
          <t>Medium</t>
        </is>
      </c>
      <c r="H2195" s="1" t="n">
        <v>134842</v>
      </c>
      <c r="I2195" s="1" t="n">
        <v>159261</v>
      </c>
      <c r="J2195" s="9" t="n">
        <v>0.847</v>
      </c>
      <c r="K2195" s="1" t="inlineStr">
        <is>
          <t>Yes</t>
        </is>
      </c>
      <c r="L2195" s="1" t="inlineStr">
        <is>
          <t>Yes</t>
        </is>
      </c>
      <c r="M2195" s="1" t="inlineStr">
        <is>
          <t>No</t>
        </is>
      </c>
      <c r="N2195" s="1" t="inlineStr">
        <is>
          <t>Algorithms</t>
        </is>
      </c>
      <c r="O21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95" s="11" t="inlineStr">
        <is>
          <t>To Do</t>
        </is>
      </c>
    </row>
    <row r="2196" ht="15.75" customHeight="1" s="12">
      <c r="A2196" s="1" t="n">
        <v>3477</v>
      </c>
      <c r="B2196" s="3">
        <f>HYPERLINK("https://leetcode.com/problems/fruits-into-baskets-ii/", "Fruits Into Baskets II")</f>
        <v/>
      </c>
      <c r="C2196" s="1" t="n">
        <v>514</v>
      </c>
      <c r="D2196" s="1" t="n">
        <v>65</v>
      </c>
      <c r="E2196" s="4">
        <f>IF(INDEX(C:C, ROW())+INDEX(D:D, ROW())=0, 0, INDEX(C:C, ROW())/(INDEX(C:C, ROW())+INDEX(D:D, ROW())))</f>
        <v/>
      </c>
      <c r="F2196" s="1" t="inlineStr">
        <is>
          <t>Array, Binary Search, Segment Tree, Simulation, Ordered Set</t>
        </is>
      </c>
      <c r="G2196" s="1" t="inlineStr">
        <is>
          <t>Easy</t>
        </is>
      </c>
      <c r="H2196" s="1" t="n">
        <v>201063</v>
      </c>
      <c r="I2196" s="1" t="n">
        <v>286292</v>
      </c>
      <c r="J2196" s="9" t="n">
        <v>0.702</v>
      </c>
      <c r="K2196" s="1" t="inlineStr">
        <is>
          <t>Yes</t>
        </is>
      </c>
      <c r="L2196" s="1" t="inlineStr">
        <is>
          <t>Yes</t>
        </is>
      </c>
      <c r="M2196" s="1" t="inlineStr">
        <is>
          <t>No</t>
        </is>
      </c>
      <c r="N2196" s="1" t="inlineStr">
        <is>
          <t>Algorithms</t>
        </is>
      </c>
      <c r="O21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96" s="13" t="inlineStr">
        <is>
          <t>Done</t>
        </is>
      </c>
    </row>
    <row r="2197" ht="15.75" customHeight="1" s="12">
      <c r="A2197" s="1" t="n">
        <v>1923</v>
      </c>
      <c r="B2197" s="3">
        <f>HYPERLINK("https://leetcode.com/problems/longest-common-subpath/", "Longest Common Subpath")</f>
        <v/>
      </c>
      <c r="C2197" s="1" t="n">
        <v>513</v>
      </c>
      <c r="D2197" s="1" t="n">
        <v>39</v>
      </c>
      <c r="E2197" s="4">
        <f>IF(INDEX(C:C, ROW())+INDEX(D:D, ROW())=0, 0, INDEX(C:C, ROW())/(INDEX(C:C, ROW())+INDEX(D:D, ROW())))</f>
        <v/>
      </c>
      <c r="F2197" s="1" t="inlineStr">
        <is>
          <t>Array, Binary Search, Rolling Hash, Suffix Array, Hash Function</t>
        </is>
      </c>
      <c r="G2197" s="1" t="inlineStr">
        <is>
          <t>Hard</t>
        </is>
      </c>
      <c r="H2197" s="1" t="n">
        <v>10307</v>
      </c>
      <c r="I2197" s="1" t="n">
        <v>34909</v>
      </c>
      <c r="J2197" s="9" t="n">
        <v>0.295</v>
      </c>
      <c r="K2197" s="1" t="inlineStr">
        <is>
          <t>Yes</t>
        </is>
      </c>
      <c r="L2197" s="1" t="inlineStr">
        <is>
          <t>No</t>
        </is>
      </c>
      <c r="M2197" s="1" t="inlineStr">
        <is>
          <t>No</t>
        </is>
      </c>
      <c r="N2197" s="1" t="inlineStr">
        <is>
          <t>Algorithms</t>
        </is>
      </c>
      <c r="O21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97" s="11" t="inlineStr">
        <is>
          <t>To Do</t>
        </is>
      </c>
    </row>
    <row r="2198" ht="15.75" customHeight="1" s="12">
      <c r="A2198" s="1" t="n">
        <v>1997</v>
      </c>
      <c r="B2198" s="3">
        <f>HYPERLINK("https://leetcode.com/problems/first-day-where-you-have-been-in-all-the-rooms/", "First Day Where You Have Been in All the Rooms")</f>
        <v/>
      </c>
      <c r="C2198" s="1" t="n">
        <v>513</v>
      </c>
      <c r="D2198" s="1" t="n">
        <v>104</v>
      </c>
      <c r="E2198" s="4">
        <f>IF(INDEX(C:C, ROW())+INDEX(D:D, ROW())=0, 0, INDEX(C:C, ROW())/(INDEX(C:C, ROW())+INDEX(D:D, ROW())))</f>
        <v/>
      </c>
      <c r="F2198" s="1" t="inlineStr">
        <is>
          <t>Array, Dynamic Programming</t>
        </is>
      </c>
      <c r="G2198" s="1" t="inlineStr">
        <is>
          <t>Medium</t>
        </is>
      </c>
      <c r="H2198" s="1" t="n">
        <v>15938</v>
      </c>
      <c r="I2198" s="1" t="n">
        <v>39436</v>
      </c>
      <c r="J2198" s="9" t="n">
        <v>0.404</v>
      </c>
      <c r="K2198" s="1" t="inlineStr">
        <is>
          <t>Yes</t>
        </is>
      </c>
      <c r="L2198" s="1" t="inlineStr">
        <is>
          <t>No</t>
        </is>
      </c>
      <c r="M2198" s="1" t="inlineStr">
        <is>
          <t>No</t>
        </is>
      </c>
      <c r="N2198" s="1" t="inlineStr">
        <is>
          <t>Algorithms</t>
        </is>
      </c>
      <c r="O21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98" s="11" t="inlineStr">
        <is>
          <t>To Do</t>
        </is>
      </c>
    </row>
    <row r="2199" ht="15.75" customHeight="1" s="12">
      <c r="A2199" s="1" t="n">
        <v>2472</v>
      </c>
      <c r="B2199" s="3">
        <f>HYPERLINK("https://leetcode.com/problems/maximum-number-of-non-overlapping-palindrome-substrings/", "Maximum Number of Non-overlapping Palindrome Substrings")</f>
        <v/>
      </c>
      <c r="C2199" s="1" t="n">
        <v>513</v>
      </c>
      <c r="D2199" s="1" t="n">
        <v>11</v>
      </c>
      <c r="E2199" s="4">
        <f>IF(INDEX(C:C, ROW())+INDEX(D:D, ROW())=0, 0, INDEX(C:C, ROW())/(INDEX(C:C, ROW())+INDEX(D:D, ROW())))</f>
        <v/>
      </c>
      <c r="F2199" s="1" t="inlineStr">
        <is>
          <t>Two Pointers, String, Dynamic Programming, Greedy</t>
        </is>
      </c>
      <c r="G2199" s="1" t="inlineStr">
        <is>
          <t>Hard</t>
        </is>
      </c>
      <c r="H2199" s="1" t="n">
        <v>26133</v>
      </c>
      <c r="I2199" s="1" t="n">
        <v>58556</v>
      </c>
      <c r="J2199" s="9" t="n">
        <v>0.446</v>
      </c>
      <c r="K2199" s="1" t="inlineStr">
        <is>
          <t>Yes</t>
        </is>
      </c>
      <c r="L2199" s="1" t="inlineStr">
        <is>
          <t>No</t>
        </is>
      </c>
      <c r="M2199" s="1" t="inlineStr">
        <is>
          <t>No</t>
        </is>
      </c>
      <c r="N2199" s="1" t="inlineStr">
        <is>
          <t>Algorithms</t>
        </is>
      </c>
      <c r="O21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199" s="11" t="inlineStr">
        <is>
          <t>To Do</t>
        </is>
      </c>
    </row>
    <row r="2200" ht="15.75" customHeight="1" s="12">
      <c r="A2200" s="1" t="n">
        <v>1154</v>
      </c>
      <c r="B2200" s="3">
        <f>HYPERLINK("https://leetcode.com/problems/day-of-the-year/", "Day of the Year")</f>
        <v/>
      </c>
      <c r="C2200" s="1" t="n">
        <v>512</v>
      </c>
      <c r="D2200" s="1" t="n">
        <v>496</v>
      </c>
      <c r="E2200" s="4">
        <f>IF(INDEX(C:C, ROW())+INDEX(D:D, ROW())=0, 0, INDEX(C:C, ROW())/(INDEX(C:C, ROW())+INDEX(D:D, ROW())))</f>
        <v/>
      </c>
      <c r="F2200" s="1" t="inlineStr">
        <is>
          <t>Math, String</t>
        </is>
      </c>
      <c r="G2200" s="1" t="inlineStr">
        <is>
          <t>Easy</t>
        </is>
      </c>
      <c r="H2200" s="1" t="n">
        <v>96018</v>
      </c>
      <c r="I2200" s="1" t="n">
        <v>192153</v>
      </c>
      <c r="J2200" s="9" t="n">
        <v>0.5</v>
      </c>
      <c r="K2200" s="1" t="inlineStr">
        <is>
          <t>Yes</t>
        </is>
      </c>
      <c r="L2200" s="1" t="inlineStr">
        <is>
          <t>No</t>
        </is>
      </c>
      <c r="M2200" s="1" t="inlineStr">
        <is>
          <t>No</t>
        </is>
      </c>
      <c r="N2200" s="1" t="inlineStr">
        <is>
          <t>Algorithms</t>
        </is>
      </c>
      <c r="O22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00" s="13" t="inlineStr">
        <is>
          <t>Done</t>
        </is>
      </c>
    </row>
    <row r="2201" ht="15.75" customHeight="1" s="12">
      <c r="A2201" s="1" t="n">
        <v>2585</v>
      </c>
      <c r="B2201" s="3">
        <f>HYPERLINK("https://leetcode.com/problems/number-of-ways-to-earn-points/", "Number of Ways to Earn Points")</f>
        <v/>
      </c>
      <c r="C2201" s="1" t="n">
        <v>512</v>
      </c>
      <c r="D2201" s="1" t="n">
        <v>12</v>
      </c>
      <c r="E2201" s="4">
        <f>IF(INDEX(C:C, ROW())+INDEX(D:D, ROW())=0, 0, INDEX(C:C, ROW())/(INDEX(C:C, ROW())+INDEX(D:D, ROW())))</f>
        <v/>
      </c>
      <c r="F2201" s="1" t="inlineStr">
        <is>
          <t>Array, Dynamic Programming</t>
        </is>
      </c>
      <c r="G2201" s="1" t="inlineStr">
        <is>
          <t>Hard</t>
        </is>
      </c>
      <c r="H2201" s="1" t="n">
        <v>24151</v>
      </c>
      <c r="I2201" s="1" t="n">
        <v>40399</v>
      </c>
      <c r="J2201" s="9" t="n">
        <v>0.598</v>
      </c>
      <c r="K2201" s="1" t="inlineStr">
        <is>
          <t>Yes</t>
        </is>
      </c>
      <c r="L2201" s="1" t="inlineStr">
        <is>
          <t>No</t>
        </is>
      </c>
      <c r="M2201" s="1" t="inlineStr">
        <is>
          <t>No</t>
        </is>
      </c>
      <c r="N2201" s="1" t="inlineStr">
        <is>
          <t>Algorithms</t>
        </is>
      </c>
      <c r="O22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01" s="11" t="inlineStr">
        <is>
          <t>To Do</t>
        </is>
      </c>
    </row>
    <row r="2202" ht="15.75" customHeight="1" s="12">
      <c r="A2202" s="1" t="n">
        <v>2810</v>
      </c>
      <c r="B2202" s="3">
        <f>HYPERLINK("https://leetcode.com/problems/faulty-keyboard/", "Faulty Keyboard")</f>
        <v/>
      </c>
      <c r="C2202" s="1" t="n">
        <v>511</v>
      </c>
      <c r="D2202" s="1" t="n">
        <v>16</v>
      </c>
      <c r="E2202" s="4">
        <f>IF(INDEX(C:C, ROW())+INDEX(D:D, ROW())=0, 0, INDEX(C:C, ROW())/(INDEX(C:C, ROW())+INDEX(D:D, ROW())))</f>
        <v/>
      </c>
      <c r="F2202" s="1" t="inlineStr">
        <is>
          <t>String, Simulation</t>
        </is>
      </c>
      <c r="G2202" s="1" t="inlineStr">
        <is>
          <t>Easy</t>
        </is>
      </c>
      <c r="H2202" s="1" t="n">
        <v>120314</v>
      </c>
      <c r="I2202" s="1" t="n">
        <v>150056</v>
      </c>
      <c r="J2202" s="9" t="n">
        <v>0.802</v>
      </c>
      <c r="K2202" s="1" t="inlineStr">
        <is>
          <t>Yes</t>
        </is>
      </c>
      <c r="L2202" s="1" t="inlineStr">
        <is>
          <t>No</t>
        </is>
      </c>
      <c r="M2202" s="1" t="inlineStr">
        <is>
          <t>No</t>
        </is>
      </c>
      <c r="N2202" s="1" t="inlineStr">
        <is>
          <t>Algorithms</t>
        </is>
      </c>
      <c r="O22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02" s="13" t="inlineStr">
        <is>
          <t>Done</t>
        </is>
      </c>
    </row>
    <row r="2203" ht="15.75" customHeight="1" s="12">
      <c r="A2203" s="1" t="n">
        <v>2157</v>
      </c>
      <c r="B2203" s="3">
        <f>HYPERLINK("https://leetcode.com/problems/groups-of-strings/", "Groups of Strings")</f>
        <v/>
      </c>
      <c r="C2203" s="1" t="n">
        <v>510</v>
      </c>
      <c r="D2203" s="1" t="n">
        <v>62</v>
      </c>
      <c r="E2203" s="4">
        <f>IF(INDEX(C:C, ROW())+INDEX(D:D, ROW())=0, 0, INDEX(C:C, ROW())/(INDEX(C:C, ROW())+INDEX(D:D, ROW())))</f>
        <v/>
      </c>
      <c r="F2203" s="1" t="inlineStr">
        <is>
          <t>Array, Hash Table, String, Bit Manipulation, Union-Find</t>
        </is>
      </c>
      <c r="G2203" s="1" t="inlineStr">
        <is>
          <t>Hard</t>
        </is>
      </c>
      <c r="H2203" s="1" t="n">
        <v>12117</v>
      </c>
      <c r="I2203" s="1" t="n">
        <v>43801</v>
      </c>
      <c r="J2203" s="9" t="n">
        <v>0.277</v>
      </c>
      <c r="K2203" s="1" t="inlineStr">
        <is>
          <t>Yes</t>
        </is>
      </c>
      <c r="L2203" s="1" t="inlineStr">
        <is>
          <t>No</t>
        </is>
      </c>
      <c r="M2203" s="1" t="inlineStr">
        <is>
          <t>No</t>
        </is>
      </c>
      <c r="N2203" s="1" t="inlineStr">
        <is>
          <t>Algorithms</t>
        </is>
      </c>
      <c r="O22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03" s="11" t="inlineStr">
        <is>
          <t>To Do</t>
        </is>
      </c>
    </row>
    <row r="2204" ht="15.75" customHeight="1" s="12">
      <c r="A2204" s="1" t="n">
        <v>3494</v>
      </c>
      <c r="B2204" s="3">
        <f>HYPERLINK("https://leetcode.com/problems/find-the-minimum-amount-of-time-to-brew-potions/", "Find the Minimum Amount of Time to Brew Potions")</f>
        <v/>
      </c>
      <c r="C2204" s="1" t="n">
        <v>510</v>
      </c>
      <c r="D2204" s="1" t="n">
        <v>363</v>
      </c>
      <c r="E2204" s="4">
        <f>IF(INDEX(C:C, ROW())+INDEX(D:D, ROW())=0, 0, INDEX(C:C, ROW())/(INDEX(C:C, ROW())+INDEX(D:D, ROW())))</f>
        <v/>
      </c>
      <c r="F2204" s="1" t="inlineStr">
        <is>
          <t>Array, Simulation, Prefix Sum</t>
        </is>
      </c>
      <c r="G2204" s="1" t="inlineStr">
        <is>
          <t>Medium</t>
        </is>
      </c>
      <c r="H2204" s="1" t="n">
        <v>87317</v>
      </c>
      <c r="I2204" s="1" t="n">
        <v>139304</v>
      </c>
      <c r="J2204" s="9" t="n">
        <v>0.627</v>
      </c>
      <c r="K2204" s="1" t="inlineStr">
        <is>
          <t>Yes</t>
        </is>
      </c>
      <c r="L2204" s="1" t="inlineStr">
        <is>
          <t>Yes</t>
        </is>
      </c>
      <c r="M2204" s="1" t="inlineStr">
        <is>
          <t>No</t>
        </is>
      </c>
      <c r="N2204" s="1" t="inlineStr">
        <is>
          <t>Algorithms</t>
        </is>
      </c>
      <c r="O22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04" s="11" t="inlineStr">
        <is>
          <t>To Do</t>
        </is>
      </c>
    </row>
    <row r="2205" ht="15.75" customHeight="1" s="12">
      <c r="A2205" s="1" t="n">
        <v>663</v>
      </c>
      <c r="B2205" s="3">
        <f>HYPERLINK("https://leetcode.com/problems/equal-tree-partition/", "Equal Tree Partition")</f>
        <v/>
      </c>
      <c r="C2205" s="1" t="n">
        <v>509</v>
      </c>
      <c r="D2205" s="1" t="n">
        <v>37</v>
      </c>
      <c r="E2205" s="4">
        <f>IF(INDEX(C:C, ROW())+INDEX(D:D, ROW())=0, 0, INDEX(C:C, ROW())/(INDEX(C:C, ROW())+INDEX(D:D, ROW())))</f>
        <v/>
      </c>
      <c r="F2205" s="1" t="inlineStr">
        <is>
          <t>Tree, Depth-First Search, Binary Tree</t>
        </is>
      </c>
      <c r="G2205" s="1" t="inlineStr">
        <is>
          <t>Medium</t>
        </is>
      </c>
      <c r="H2205" s="1" t="n">
        <v>36839</v>
      </c>
      <c r="I2205" s="1" t="n">
        <v>87087</v>
      </c>
      <c r="J2205" s="9" t="n">
        <v>0.423</v>
      </c>
      <c r="K2205" s="1" t="inlineStr">
        <is>
          <t>No</t>
        </is>
      </c>
      <c r="L2205" s="1" t="inlineStr">
        <is>
          <t>Yes</t>
        </is>
      </c>
      <c r="M2205" s="1" t="inlineStr">
        <is>
          <t>No</t>
        </is>
      </c>
      <c r="N2205" s="1" t="inlineStr">
        <is>
          <t>Algorithms</t>
        </is>
      </c>
      <c r="O22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05" s="11" t="inlineStr">
        <is>
          <t>To Do</t>
        </is>
      </c>
    </row>
    <row r="2206" ht="15.75" customHeight="1" s="12">
      <c r="A2206" s="1" t="n">
        <v>1994</v>
      </c>
      <c r="B2206" s="3">
        <f>HYPERLINK("https://leetcode.com/problems/the-number-of-good-subsets/", "The Number of Good Subsets")</f>
        <v/>
      </c>
      <c r="C2206" s="1" t="n">
        <v>509</v>
      </c>
      <c r="D2206" s="1" t="n">
        <v>17</v>
      </c>
      <c r="E2206" s="4">
        <f>IF(INDEX(C:C, ROW())+INDEX(D:D, ROW())=0, 0, INDEX(C:C, ROW())/(INDEX(C:C, ROW())+INDEX(D:D, ROW())))</f>
        <v/>
      </c>
      <c r="F2206" s="1" t="inlineStr">
        <is>
          <t>Array, Hash Table, Math, Dynamic Programming, Bit Manipulation, Counting, Number Theory, Bitmask</t>
        </is>
      </c>
      <c r="G2206" s="1" t="inlineStr">
        <is>
          <t>Hard</t>
        </is>
      </c>
      <c r="H2206" s="1" t="n">
        <v>11495</v>
      </c>
      <c r="I2206" s="1" t="n">
        <v>30948</v>
      </c>
      <c r="J2206" s="9" t="n">
        <v>0.371</v>
      </c>
      <c r="K2206" s="1" t="inlineStr">
        <is>
          <t>Yes</t>
        </is>
      </c>
      <c r="L2206" s="1" t="inlineStr">
        <is>
          <t>No</t>
        </is>
      </c>
      <c r="M2206" s="1" t="inlineStr">
        <is>
          <t>No</t>
        </is>
      </c>
      <c r="N2206" s="1" t="inlineStr">
        <is>
          <t>Algorithms</t>
        </is>
      </c>
      <c r="O22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06" s="11" t="inlineStr">
        <is>
          <t>To Do</t>
        </is>
      </c>
    </row>
    <row r="2207" ht="15.75" customHeight="1" s="12">
      <c r="A2207" s="1" t="n">
        <v>2592</v>
      </c>
      <c r="B2207" s="3">
        <f>HYPERLINK("https://leetcode.com/problems/maximize-greatness-of-an-array/", "Maximize Greatness of an Array")</f>
        <v/>
      </c>
      <c r="C2207" s="1" t="n">
        <v>509</v>
      </c>
      <c r="D2207" s="1" t="n">
        <v>22</v>
      </c>
      <c r="E2207" s="4">
        <f>IF(INDEX(C:C, ROW())+INDEX(D:D, ROW())=0, 0, INDEX(C:C, ROW())/(INDEX(C:C, ROW())+INDEX(D:D, ROW())))</f>
        <v/>
      </c>
      <c r="F2207" s="1" t="inlineStr">
        <is>
          <t>Array, Two Pointers, Greedy, Sorting</t>
        </is>
      </c>
      <c r="G2207" s="1" t="inlineStr">
        <is>
          <t>Medium</t>
        </is>
      </c>
      <c r="H2207" s="1" t="n">
        <v>42511</v>
      </c>
      <c r="I2207" s="1" t="n">
        <v>69016</v>
      </c>
      <c r="J2207" s="9" t="n">
        <v>0.616</v>
      </c>
      <c r="K2207" s="1" t="inlineStr">
        <is>
          <t>Yes</t>
        </is>
      </c>
      <c r="L2207" s="1" t="inlineStr">
        <is>
          <t>No</t>
        </is>
      </c>
      <c r="M2207" s="1" t="inlineStr">
        <is>
          <t>No</t>
        </is>
      </c>
      <c r="N2207" s="1" t="inlineStr">
        <is>
          <t>Algorithms</t>
        </is>
      </c>
      <c r="O22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07" s="11" t="inlineStr">
        <is>
          <t>To Do</t>
        </is>
      </c>
    </row>
    <row r="2208" ht="15.75" customHeight="1" s="12">
      <c r="A2208" s="1" t="n">
        <v>1096</v>
      </c>
      <c r="B2208" s="3">
        <f>HYPERLINK("https://leetcode.com/problems/brace-expansion-ii/", "Brace Expansion II")</f>
        <v/>
      </c>
      <c r="C2208" s="1" t="n">
        <v>508</v>
      </c>
      <c r="D2208" s="1" t="n">
        <v>295</v>
      </c>
      <c r="E2208" s="4">
        <f>IF(INDEX(C:C, ROW())+INDEX(D:D, ROW())=0, 0, INDEX(C:C, ROW())/(INDEX(C:C, ROW())+INDEX(D:D, ROW())))</f>
        <v/>
      </c>
      <c r="F2208" s="1" t="inlineStr">
        <is>
          <t>Hash Table, String, Backtracking, Stack, Breadth-First Search, Sorting</t>
        </is>
      </c>
      <c r="G2208" s="1" t="inlineStr">
        <is>
          <t>Hard</t>
        </is>
      </c>
      <c r="H2208" s="1" t="n">
        <v>29683</v>
      </c>
      <c r="I2208" s="1" t="n">
        <v>46548</v>
      </c>
      <c r="J2208" s="9" t="n">
        <v>0.638</v>
      </c>
      <c r="K2208" s="1" t="inlineStr">
        <is>
          <t>Yes</t>
        </is>
      </c>
      <c r="L2208" s="1" t="inlineStr">
        <is>
          <t>No</t>
        </is>
      </c>
      <c r="M2208" s="1" t="inlineStr">
        <is>
          <t>No</t>
        </is>
      </c>
      <c r="N2208" s="1" t="inlineStr">
        <is>
          <t>Algorithms</t>
        </is>
      </c>
      <c r="O22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08" s="11" t="inlineStr">
        <is>
          <t>To Do</t>
        </is>
      </c>
    </row>
    <row r="2209" ht="15.75" customHeight="1" s="12">
      <c r="A2209" s="1" t="n">
        <v>2572</v>
      </c>
      <c r="B2209" s="3">
        <f>HYPERLINK("https://leetcode.com/problems/count-the-number-of-square-free-subsets/", "Count the Number of Square-Free Subsets")</f>
        <v/>
      </c>
      <c r="C2209" s="1" t="n">
        <v>507</v>
      </c>
      <c r="D2209" s="1" t="n">
        <v>123</v>
      </c>
      <c r="E2209" s="4">
        <f>IF(INDEX(C:C, ROW())+INDEX(D:D, ROW())=0, 0, INDEX(C:C, ROW())/(INDEX(C:C, ROW())+INDEX(D:D, ROW())))</f>
        <v/>
      </c>
      <c r="F2209" s="1" t="inlineStr">
        <is>
          <t>Array, Math, Dynamic Programming, Bit Manipulation, Number Theory, Bitmask</t>
        </is>
      </c>
      <c r="G2209" s="1" t="inlineStr">
        <is>
          <t>Medium</t>
        </is>
      </c>
      <c r="H2209" s="1" t="n">
        <v>14153</v>
      </c>
      <c r="I2209" s="1" t="n">
        <v>53280</v>
      </c>
      <c r="J2209" s="9" t="n">
        <v>0.266</v>
      </c>
      <c r="K2209" s="1" t="inlineStr">
        <is>
          <t>Yes</t>
        </is>
      </c>
      <c r="L2209" s="1" t="inlineStr">
        <is>
          <t>No</t>
        </is>
      </c>
      <c r="M2209" s="1" t="inlineStr">
        <is>
          <t>No</t>
        </is>
      </c>
      <c r="N2209" s="1" t="inlineStr">
        <is>
          <t>Algorithms</t>
        </is>
      </c>
      <c r="O22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09" s="11" t="inlineStr">
        <is>
          <t>To Do</t>
        </is>
      </c>
    </row>
    <row r="2210" ht="15.75" customHeight="1" s="12">
      <c r="A2210" s="1" t="n">
        <v>1507</v>
      </c>
      <c r="B2210" s="3">
        <f>HYPERLINK("https://leetcode.com/problems/reformat-date/", "Reformat Date")</f>
        <v/>
      </c>
      <c r="C2210" s="1" t="n">
        <v>506</v>
      </c>
      <c r="D2210" s="1" t="n">
        <v>441</v>
      </c>
      <c r="E2210" s="4">
        <f>IF(INDEX(C:C, ROW())+INDEX(D:D, ROW())=0, 0, INDEX(C:C, ROW())/(INDEX(C:C, ROW())+INDEX(D:D, ROW())))</f>
        <v/>
      </c>
      <c r="F2210" s="1" t="inlineStr">
        <is>
          <t>String</t>
        </is>
      </c>
      <c r="G2210" s="1" t="inlineStr">
        <is>
          <t>Easy</t>
        </is>
      </c>
      <c r="H2210" s="1" t="n">
        <v>97701</v>
      </c>
      <c r="I2210" s="1" t="n">
        <v>142660</v>
      </c>
      <c r="J2210" s="9" t="n">
        <v>0.6850000000000001</v>
      </c>
      <c r="K2210" s="1" t="inlineStr">
        <is>
          <t>Yes</t>
        </is>
      </c>
      <c r="L2210" s="1" t="inlineStr">
        <is>
          <t>No</t>
        </is>
      </c>
      <c r="M2210" s="1" t="inlineStr">
        <is>
          <t>No</t>
        </is>
      </c>
      <c r="N2210" s="1" t="inlineStr">
        <is>
          <t>Algorithms</t>
        </is>
      </c>
      <c r="O22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10" s="13" t="inlineStr">
        <is>
          <t>Done</t>
        </is>
      </c>
    </row>
    <row r="2211" ht="15.75" customHeight="1" s="12">
      <c r="A2211" s="1" t="n">
        <v>1676</v>
      </c>
      <c r="B2211" s="3">
        <f>HYPERLINK("https://leetcode.com/problems/lowest-common-ancestor-of-a-binary-tree-iv/", "Lowest Common Ancestor of a Binary Tree IV")</f>
        <v/>
      </c>
      <c r="C2211" s="1" t="n">
        <v>506</v>
      </c>
      <c r="D2211" s="1" t="n">
        <v>16</v>
      </c>
      <c r="E2211" s="4">
        <f>IF(INDEX(C:C, ROW())+INDEX(D:D, ROW())=0, 0, INDEX(C:C, ROW())/(INDEX(C:C, ROW())+INDEX(D:D, ROW())))</f>
        <v/>
      </c>
      <c r="F2211" s="1" t="inlineStr">
        <is>
          <t>Hash Table, Tree, Depth-First Search, Binary Tree</t>
        </is>
      </c>
      <c r="G2211" s="1" t="inlineStr">
        <is>
          <t>Medium</t>
        </is>
      </c>
      <c r="H2211" s="1" t="n">
        <v>63500</v>
      </c>
      <c r="I2211" s="1" t="n">
        <v>79785</v>
      </c>
      <c r="J2211" s="9" t="n">
        <v>0.796</v>
      </c>
      <c r="K2211" s="1" t="inlineStr">
        <is>
          <t>No</t>
        </is>
      </c>
      <c r="L2211" s="1" t="inlineStr">
        <is>
          <t>No</t>
        </is>
      </c>
      <c r="M2211" s="1" t="inlineStr">
        <is>
          <t>No</t>
        </is>
      </c>
      <c r="N2211" s="1" t="inlineStr">
        <is>
          <t>Algorithms</t>
        </is>
      </c>
      <c r="O22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11" s="11" t="inlineStr">
        <is>
          <t>To Do</t>
        </is>
      </c>
    </row>
    <row r="2212" ht="15.75" customHeight="1" s="12">
      <c r="A2212" s="1" t="n">
        <v>385</v>
      </c>
      <c r="B2212" s="3">
        <f>HYPERLINK("https://leetcode.com/problems/mini-parser/", "Mini Parser")</f>
        <v/>
      </c>
      <c r="C2212" s="1" t="n">
        <v>504</v>
      </c>
      <c r="D2212" s="1" t="n">
        <v>1503</v>
      </c>
      <c r="E2212" s="4">
        <f>IF(INDEX(C:C, ROW())+INDEX(D:D, ROW())=0, 0, INDEX(C:C, ROW())/(INDEX(C:C, ROW())+INDEX(D:D, ROW())))</f>
        <v/>
      </c>
      <c r="F2212" s="1" t="inlineStr">
        <is>
          <t>String, Stack, Depth-First Search</t>
        </is>
      </c>
      <c r="G2212" s="1" t="inlineStr">
        <is>
          <t>Medium</t>
        </is>
      </c>
      <c r="H2212" s="1" t="n">
        <v>74554</v>
      </c>
      <c r="I2212" s="1" t="n">
        <v>175499</v>
      </c>
      <c r="J2212" s="9" t="n">
        <v>0.425</v>
      </c>
      <c r="K2212" s="1" t="inlineStr">
        <is>
          <t>Yes</t>
        </is>
      </c>
      <c r="L2212" s="1" t="inlineStr">
        <is>
          <t>No</t>
        </is>
      </c>
      <c r="M2212" s="1" t="inlineStr">
        <is>
          <t>No</t>
        </is>
      </c>
      <c r="N2212" s="1" t="inlineStr">
        <is>
          <t>Algorithms</t>
        </is>
      </c>
      <c r="O22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12" s="11" t="inlineStr">
        <is>
          <t>To Do</t>
        </is>
      </c>
    </row>
    <row r="2213" ht="15.75" customHeight="1" s="12">
      <c r="A2213" s="1" t="n">
        <v>3333</v>
      </c>
      <c r="B2213" s="3">
        <f>HYPERLINK("https://leetcode.com/problems/find-the-original-typed-string-ii/", "Find the Original Typed String II")</f>
        <v/>
      </c>
      <c r="C2213" s="1" t="n">
        <v>504</v>
      </c>
      <c r="D2213" s="1" t="n">
        <v>78</v>
      </c>
      <c r="E2213" s="4">
        <f>IF(INDEX(C:C, ROW())+INDEX(D:D, ROW())=0, 0, INDEX(C:C, ROW())/(INDEX(C:C, ROW())+INDEX(D:D, ROW())))</f>
        <v/>
      </c>
      <c r="F2213" s="1" t="inlineStr">
        <is>
          <t>String, Dynamic Programming, Prefix Sum</t>
        </is>
      </c>
      <c r="G2213" s="1" t="inlineStr">
        <is>
          <t>Hard</t>
        </is>
      </c>
      <c r="H2213" s="1" t="n">
        <v>70196</v>
      </c>
      <c r="I2213" s="1" t="n">
        <v>154334</v>
      </c>
      <c r="J2213" s="9" t="n">
        <v>0.455</v>
      </c>
      <c r="K2213" s="1" t="inlineStr">
        <is>
          <t>Yes</t>
        </is>
      </c>
      <c r="L2213" s="1" t="inlineStr">
        <is>
          <t>Yes</t>
        </is>
      </c>
      <c r="M2213" s="1" t="inlineStr">
        <is>
          <t>No</t>
        </is>
      </c>
      <c r="N2213" s="1" t="inlineStr">
        <is>
          <t>Algorithms</t>
        </is>
      </c>
      <c r="O22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13" s="11" t="inlineStr">
        <is>
          <t>To Do</t>
        </is>
      </c>
    </row>
    <row r="2214" ht="15.75" customHeight="1" s="12">
      <c r="A2214" s="1" t="n">
        <v>2224</v>
      </c>
      <c r="B2214" s="3">
        <f>HYPERLINK("https://leetcode.com/problems/minimum-number-of-operations-to-convert-time/", "Minimum Number of Operations to Convert Time")</f>
        <v/>
      </c>
      <c r="C2214" s="1" t="n">
        <v>502</v>
      </c>
      <c r="D2214" s="1" t="n">
        <v>39</v>
      </c>
      <c r="E2214" s="4">
        <f>IF(INDEX(C:C, ROW())+INDEX(D:D, ROW())=0, 0, INDEX(C:C, ROW())/(INDEX(C:C, ROW())+INDEX(D:D, ROW())))</f>
        <v/>
      </c>
      <c r="F2214" s="1" t="inlineStr">
        <is>
          <t>String, Greedy</t>
        </is>
      </c>
      <c r="G2214" s="1" t="inlineStr">
        <is>
          <t>Easy</t>
        </is>
      </c>
      <c r="H2214" s="1" t="n">
        <v>55638</v>
      </c>
      <c r="I2214" s="1" t="n">
        <v>83820</v>
      </c>
      <c r="J2214" s="9" t="n">
        <v>0.664</v>
      </c>
      <c r="K2214" s="1" t="inlineStr">
        <is>
          <t>Yes</t>
        </is>
      </c>
      <c r="L2214" s="1" t="inlineStr">
        <is>
          <t>No</t>
        </is>
      </c>
      <c r="M2214" s="1" t="inlineStr">
        <is>
          <t>No</t>
        </is>
      </c>
      <c r="N2214" s="1" t="inlineStr">
        <is>
          <t>Algorithms</t>
        </is>
      </c>
      <c r="O22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14" s="13" t="inlineStr">
        <is>
          <t>Done</t>
        </is>
      </c>
    </row>
    <row r="2215" ht="15.75" customHeight="1" s="12">
      <c r="A2215" s="1" t="n">
        <v>3000</v>
      </c>
      <c r="B2215" s="3">
        <f>HYPERLINK("https://leetcode.com/problems/maximum-area-of-longest-diagonal-rectangle/", "Maximum Area of Longest Diagonal Rectangle")</f>
        <v/>
      </c>
      <c r="C2215" s="1" t="n">
        <v>502</v>
      </c>
      <c r="D2215" s="1" t="n">
        <v>42</v>
      </c>
      <c r="E2215" s="4">
        <f>IF(INDEX(C:C, ROW())+INDEX(D:D, ROW())=0, 0, INDEX(C:C, ROW())/(INDEX(C:C, ROW())+INDEX(D:D, ROW())))</f>
        <v/>
      </c>
      <c r="F2215" s="1" t="inlineStr">
        <is>
          <t>Array</t>
        </is>
      </c>
      <c r="G2215" s="1" t="inlineStr">
        <is>
          <t>Easy</t>
        </is>
      </c>
      <c r="H2215" s="1" t="n">
        <v>186824</v>
      </c>
      <c r="I2215" s="1" t="n">
        <v>407029</v>
      </c>
      <c r="J2215" s="9" t="n">
        <v>0.459</v>
      </c>
      <c r="K2215" s="1" t="inlineStr">
        <is>
          <t>Yes</t>
        </is>
      </c>
      <c r="L2215" s="1" t="inlineStr">
        <is>
          <t>Yes</t>
        </is>
      </c>
      <c r="M2215" s="1" t="inlineStr">
        <is>
          <t>No</t>
        </is>
      </c>
      <c r="N2215" s="1" t="inlineStr">
        <is>
          <t>Algorithms</t>
        </is>
      </c>
      <c r="O22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15" s="13" t="inlineStr">
        <is>
          <t>Done</t>
        </is>
      </c>
    </row>
    <row r="2216" ht="15.75" customHeight="1" s="12">
      <c r="A2216" s="1" t="n">
        <v>2789</v>
      </c>
      <c r="B2216" s="3">
        <f>HYPERLINK("https://leetcode.com/problems/largest-element-in-an-array-after-merge-operations/", "Largest Element in an Array after Merge Operations")</f>
        <v/>
      </c>
      <c r="C2216" s="1" t="n">
        <v>501</v>
      </c>
      <c r="D2216" s="1" t="n">
        <v>33</v>
      </c>
      <c r="E2216" s="4">
        <f>IF(INDEX(C:C, ROW())+INDEX(D:D, ROW())=0, 0, INDEX(C:C, ROW())/(INDEX(C:C, ROW())+INDEX(D:D, ROW())))</f>
        <v/>
      </c>
      <c r="F2216" s="1" t="inlineStr">
        <is>
          <t>Array, Greedy</t>
        </is>
      </c>
      <c r="G2216" s="1" t="inlineStr">
        <is>
          <t>Medium</t>
        </is>
      </c>
      <c r="H2216" s="1" t="n">
        <v>37867</v>
      </c>
      <c r="I2216" s="1" t="n">
        <v>79071</v>
      </c>
      <c r="J2216" s="9" t="n">
        <v>0.479</v>
      </c>
      <c r="K2216" s="1" t="inlineStr">
        <is>
          <t>Yes</t>
        </is>
      </c>
      <c r="L2216" s="1" t="inlineStr">
        <is>
          <t>No</t>
        </is>
      </c>
      <c r="M2216" s="1" t="inlineStr">
        <is>
          <t>No</t>
        </is>
      </c>
      <c r="N2216" s="1" t="inlineStr">
        <is>
          <t>Algorithms</t>
        </is>
      </c>
      <c r="O22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16" s="11" t="inlineStr">
        <is>
          <t>To Do</t>
        </is>
      </c>
    </row>
    <row r="2217" ht="15.75" customHeight="1" s="12">
      <c r="A2217" s="1" t="n">
        <v>736</v>
      </c>
      <c r="B2217" s="3">
        <f>HYPERLINK("https://leetcode.com/problems/parse-lisp-expression/", "Parse Lisp Expression")</f>
        <v/>
      </c>
      <c r="C2217" s="1" t="n">
        <v>500</v>
      </c>
      <c r="D2217" s="1" t="n">
        <v>368</v>
      </c>
      <c r="E2217" s="4">
        <f>IF(INDEX(C:C, ROW())+INDEX(D:D, ROW())=0, 0, INDEX(C:C, ROW())/(INDEX(C:C, ROW())+INDEX(D:D, ROW())))</f>
        <v/>
      </c>
      <c r="F2217" s="1" t="inlineStr">
        <is>
          <t>Hash Table, String, Stack, Recursion</t>
        </is>
      </c>
      <c r="G2217" s="1" t="inlineStr">
        <is>
          <t>Hard</t>
        </is>
      </c>
      <c r="H2217" s="1" t="n">
        <v>28219</v>
      </c>
      <c r="I2217" s="1" t="n">
        <v>52817</v>
      </c>
      <c r="J2217" s="9" t="n">
        <v>0.534</v>
      </c>
      <c r="K2217" s="1" t="inlineStr">
        <is>
          <t>Yes</t>
        </is>
      </c>
      <c r="L2217" s="1" t="inlineStr">
        <is>
          <t>Yes</t>
        </is>
      </c>
      <c r="M2217" s="1" t="inlineStr">
        <is>
          <t>No</t>
        </is>
      </c>
      <c r="N2217" s="1" t="inlineStr">
        <is>
          <t>Algorithms</t>
        </is>
      </c>
      <c r="O22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17" s="11" t="inlineStr">
        <is>
          <t>To Do</t>
        </is>
      </c>
    </row>
    <row r="2218" ht="15.75" customHeight="1" s="12">
      <c r="A2218" s="1" t="n">
        <v>1505</v>
      </c>
      <c r="B2218" s="3">
        <f>HYPERLINK("https://leetcode.com/problems/minimum-possible-integer-after-at-most-k-adjacent-swaps-on-digits/", "Minimum Possible Integer After at Most K Adjacent Swaps On Digits")</f>
        <v/>
      </c>
      <c r="C2218" s="1" t="n">
        <v>500</v>
      </c>
      <c r="D2218" s="1" t="n">
        <v>28</v>
      </c>
      <c r="E2218" s="4">
        <f>IF(INDEX(C:C, ROW())+INDEX(D:D, ROW())=0, 0, INDEX(C:C, ROW())/(INDEX(C:C, ROW())+INDEX(D:D, ROW())))</f>
        <v/>
      </c>
      <c r="F2218" s="1" t="inlineStr">
        <is>
          <t>String, Greedy, Binary Indexed Tree, Segment Tree</t>
        </is>
      </c>
      <c r="G2218" s="1" t="inlineStr">
        <is>
          <t>Hard</t>
        </is>
      </c>
      <c r="H2218" s="1" t="n">
        <v>13006</v>
      </c>
      <c r="I2218" s="1" t="n">
        <v>31447</v>
      </c>
      <c r="J2218" s="9" t="n">
        <v>0.414</v>
      </c>
      <c r="K2218" s="1" t="inlineStr">
        <is>
          <t>Yes</t>
        </is>
      </c>
      <c r="L2218" s="1" t="inlineStr">
        <is>
          <t>No</t>
        </is>
      </c>
      <c r="M2218" s="1" t="inlineStr">
        <is>
          <t>No</t>
        </is>
      </c>
      <c r="N2218" s="1" t="inlineStr">
        <is>
          <t>Algorithms</t>
        </is>
      </c>
      <c r="O22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18" s="11" t="inlineStr">
        <is>
          <t>To Do</t>
        </is>
      </c>
    </row>
    <row r="2219" ht="15.75" customHeight="1" s="12">
      <c r="A2219" s="1" t="n">
        <v>2382</v>
      </c>
      <c r="B2219" s="3">
        <f>HYPERLINK("https://leetcode.com/problems/maximum-segment-sum-after-removals/", "Maximum Segment Sum After Removals")</f>
        <v/>
      </c>
      <c r="C2219" s="1" t="n">
        <v>500</v>
      </c>
      <c r="D2219" s="1" t="n">
        <v>6</v>
      </c>
      <c r="E2219" s="4">
        <f>IF(INDEX(C:C, ROW())+INDEX(D:D, ROW())=0, 0, INDEX(C:C, ROW())/(INDEX(C:C, ROW())+INDEX(D:D, ROW())))</f>
        <v/>
      </c>
      <c r="F2219" s="1" t="inlineStr">
        <is>
          <t>Array, Union-Find, Prefix Sum, Ordered Set</t>
        </is>
      </c>
      <c r="G2219" s="1" t="inlineStr">
        <is>
          <t>Hard</t>
        </is>
      </c>
      <c r="H2219" s="1" t="n">
        <v>12618</v>
      </c>
      <c r="I2219" s="1" t="n">
        <v>25427</v>
      </c>
      <c r="J2219" s="9" t="n">
        <v>0.496</v>
      </c>
      <c r="K2219" s="1" t="inlineStr">
        <is>
          <t>Yes</t>
        </is>
      </c>
      <c r="L2219" s="1" t="inlineStr">
        <is>
          <t>No</t>
        </is>
      </c>
      <c r="M2219" s="1" t="inlineStr">
        <is>
          <t>No</t>
        </is>
      </c>
      <c r="N2219" s="1" t="inlineStr">
        <is>
          <t>Algorithms</t>
        </is>
      </c>
      <c r="O22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19" s="11" t="inlineStr">
        <is>
          <t>To Do</t>
        </is>
      </c>
    </row>
    <row r="2220" ht="15.75" customHeight="1" s="12">
      <c r="A2220" s="1" t="n">
        <v>2428</v>
      </c>
      <c r="B2220" s="3">
        <f>HYPERLINK("https://leetcode.com/problems/maximum-sum-of-an-hourglass/", "Maximum Sum of an Hourglass")</f>
        <v/>
      </c>
      <c r="C2220" s="1" t="n">
        <v>500</v>
      </c>
      <c r="D2220" s="1" t="n">
        <v>72</v>
      </c>
      <c r="E2220" s="4">
        <f>IF(INDEX(C:C, ROW())+INDEX(D:D, ROW())=0, 0, INDEX(C:C, ROW())/(INDEX(C:C, ROW())+INDEX(D:D, ROW())))</f>
        <v/>
      </c>
      <c r="F2220" s="1" t="inlineStr">
        <is>
          <t>Array, Matrix, Prefix Sum</t>
        </is>
      </c>
      <c r="G2220" s="1" t="inlineStr">
        <is>
          <t>Medium</t>
        </is>
      </c>
      <c r="H2220" s="1" t="n">
        <v>54229</v>
      </c>
      <c r="I2220" s="1" t="n">
        <v>71071</v>
      </c>
      <c r="J2220" s="9" t="n">
        <v>0.763</v>
      </c>
      <c r="K2220" s="1" t="inlineStr">
        <is>
          <t>Yes</t>
        </is>
      </c>
      <c r="L2220" s="1" t="inlineStr">
        <is>
          <t>No</t>
        </is>
      </c>
      <c r="M2220" s="1" t="inlineStr">
        <is>
          <t>No</t>
        </is>
      </c>
      <c r="N2220" s="1" t="inlineStr">
        <is>
          <t>Algorithms</t>
        </is>
      </c>
      <c r="O22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20" s="11" t="inlineStr">
        <is>
          <t>To Do</t>
        </is>
      </c>
    </row>
    <row r="2221" ht="15.75" customHeight="1" s="12">
      <c r="A2221" s="1" t="n">
        <v>3488</v>
      </c>
      <c r="B2221" s="3">
        <f>HYPERLINK("https://leetcode.com/problems/closest-equal-element-queries/", "Closest Equal Element Queries")</f>
        <v/>
      </c>
      <c r="C2221" s="1" t="n">
        <v>500</v>
      </c>
      <c r="D2221" s="1" t="n">
        <v>35</v>
      </c>
      <c r="E2221" s="4">
        <f>IF(INDEX(C:C, ROW())+INDEX(D:D, ROW())=0, 0, INDEX(C:C, ROW())/(INDEX(C:C, ROW())+INDEX(D:D, ROW())))</f>
        <v/>
      </c>
      <c r="F2221" s="1" t="inlineStr">
        <is>
          <t>Array, Hash Table, Binary Search</t>
        </is>
      </c>
      <c r="G2221" s="1" t="inlineStr">
        <is>
          <t>Medium</t>
        </is>
      </c>
      <c r="H2221" s="1" t="n">
        <v>101949</v>
      </c>
      <c r="I2221" s="1" t="n">
        <v>198316</v>
      </c>
      <c r="J2221" s="9" t="n">
        <v>0.514</v>
      </c>
      <c r="K2221" s="1" t="inlineStr">
        <is>
          <t>Yes</t>
        </is>
      </c>
      <c r="L2221" s="1" t="inlineStr">
        <is>
          <t>Yes</t>
        </is>
      </c>
      <c r="M2221" s="1" t="inlineStr">
        <is>
          <t>No</t>
        </is>
      </c>
      <c r="N2221" s="1" t="inlineStr">
        <is>
          <t>Algorithms</t>
        </is>
      </c>
      <c r="O22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21" s="11" t="inlineStr">
        <is>
          <t>To Do</t>
        </is>
      </c>
    </row>
    <row r="2222" ht="15.75" customHeight="1" s="12">
      <c r="A2222" s="1" t="n">
        <v>488</v>
      </c>
      <c r="B2222" s="3">
        <f>HYPERLINK("https://leetcode.com/problems/zuma-game/", "Zuma Game")</f>
        <v/>
      </c>
      <c r="C2222" s="1" t="n">
        <v>497</v>
      </c>
      <c r="D2222" s="1" t="n">
        <v>516</v>
      </c>
      <c r="E2222" s="4">
        <f>IF(INDEX(C:C, ROW())+INDEX(D:D, ROW())=0, 0, INDEX(C:C, ROW())/(INDEX(C:C, ROW())+INDEX(D:D, ROW())))</f>
        <v/>
      </c>
      <c r="F2222" s="1" t="inlineStr">
        <is>
          <t>String, Dynamic Programming, Stack, Breadth-First Search, Memoization</t>
        </is>
      </c>
      <c r="G2222" s="1" t="inlineStr">
        <is>
          <t>Hard</t>
        </is>
      </c>
      <c r="H2222" s="1" t="n">
        <v>29906</v>
      </c>
      <c r="I2222" s="1" t="n">
        <v>100503</v>
      </c>
      <c r="J2222" s="9" t="n">
        <v>0.298</v>
      </c>
      <c r="K2222" s="1" t="inlineStr">
        <is>
          <t>Yes</t>
        </is>
      </c>
      <c r="L2222" s="1" t="inlineStr">
        <is>
          <t>No</t>
        </is>
      </c>
      <c r="M2222" s="1" t="inlineStr">
        <is>
          <t>No</t>
        </is>
      </c>
      <c r="N2222" s="1" t="inlineStr">
        <is>
          <t>Algorithms</t>
        </is>
      </c>
      <c r="O22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22" s="11" t="inlineStr">
        <is>
          <t>To Do</t>
        </is>
      </c>
    </row>
    <row r="2223" ht="15.75" customHeight="1" s="12">
      <c r="A2223" s="1" t="n">
        <v>1257</v>
      </c>
      <c r="B2223" s="3">
        <f>HYPERLINK("https://leetcode.com/problems/smallest-common-region/", "Smallest Common Region")</f>
        <v/>
      </c>
      <c r="C2223" s="1" t="n">
        <v>497</v>
      </c>
      <c r="D2223" s="1" t="n">
        <v>42</v>
      </c>
      <c r="E2223" s="4">
        <f>IF(INDEX(C:C, ROW())+INDEX(D:D, ROW())=0, 0, INDEX(C:C, ROW())/(INDEX(C:C, ROW())+INDEX(D:D, ROW())))</f>
        <v/>
      </c>
      <c r="F2223" s="1" t="inlineStr">
        <is>
          <t>Array, Hash Table, String, Tree, Depth-First Search, Breadth-First Search</t>
        </is>
      </c>
      <c r="G2223" s="1" t="inlineStr">
        <is>
          <t>Medium</t>
        </is>
      </c>
      <c r="H2223" s="1" t="n">
        <v>38006</v>
      </c>
      <c r="I2223" s="1" t="n">
        <v>55637</v>
      </c>
      <c r="J2223" s="9" t="n">
        <v>0.6830000000000001</v>
      </c>
      <c r="K2223" s="1" t="inlineStr">
        <is>
          <t>No</t>
        </is>
      </c>
      <c r="L2223" s="1" t="inlineStr">
        <is>
          <t>Yes</t>
        </is>
      </c>
      <c r="M2223" s="1" t="inlineStr">
        <is>
          <t>No</t>
        </is>
      </c>
      <c r="N2223" s="1" t="inlineStr">
        <is>
          <t>Algorithms</t>
        </is>
      </c>
      <c r="O22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23" s="11" t="inlineStr">
        <is>
          <t>To Do</t>
        </is>
      </c>
    </row>
    <row r="2224" ht="15.75" customHeight="1" s="12">
      <c r="A2224" s="1" t="n">
        <v>1592</v>
      </c>
      <c r="B2224" s="3">
        <f>HYPERLINK("https://leetcode.com/problems/rearrange-spaces-between-words/", "Rearrange Spaces Between Words")</f>
        <v/>
      </c>
      <c r="C2224" s="1" t="n">
        <v>497</v>
      </c>
      <c r="D2224" s="1" t="n">
        <v>354</v>
      </c>
      <c r="E2224" s="4">
        <f>IF(INDEX(C:C, ROW())+INDEX(D:D, ROW())=0, 0, INDEX(C:C, ROW())/(INDEX(C:C, ROW())+INDEX(D:D, ROW())))</f>
        <v/>
      </c>
      <c r="F2224" s="1" t="inlineStr">
        <is>
          <t>String</t>
        </is>
      </c>
      <c r="G2224" s="1" t="inlineStr">
        <is>
          <t>Easy</t>
        </is>
      </c>
      <c r="H2224" s="1" t="n">
        <v>73324</v>
      </c>
      <c r="I2224" s="1" t="n">
        <v>165883</v>
      </c>
      <c r="J2224" s="9" t="n">
        <v>0.442</v>
      </c>
      <c r="K2224" s="1" t="inlineStr">
        <is>
          <t>Yes</t>
        </is>
      </c>
      <c r="L2224" s="1" t="inlineStr">
        <is>
          <t>No</t>
        </is>
      </c>
      <c r="M2224" s="1" t="inlineStr">
        <is>
          <t>No</t>
        </is>
      </c>
      <c r="N2224" s="1" t="inlineStr">
        <is>
          <t>Algorithms</t>
        </is>
      </c>
      <c r="O22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24" s="13" t="inlineStr">
        <is>
          <t>Done</t>
        </is>
      </c>
    </row>
    <row r="2225" ht="15.75" customHeight="1" s="12">
      <c r="A2225" s="1" t="n">
        <v>1595</v>
      </c>
      <c r="B2225" s="3">
        <f>HYPERLINK("https://leetcode.com/problems/minimum-cost-to-connect-two-groups-of-points/", "Minimum Cost to Connect Two Groups of Points")</f>
        <v/>
      </c>
      <c r="C2225" s="1" t="n">
        <v>497</v>
      </c>
      <c r="D2225" s="1" t="n">
        <v>16</v>
      </c>
      <c r="E2225" s="4">
        <f>IF(INDEX(C:C, ROW())+INDEX(D:D, ROW())=0, 0, INDEX(C:C, ROW())/(INDEX(C:C, ROW())+INDEX(D:D, ROW())))</f>
        <v/>
      </c>
      <c r="F2225" s="1" t="inlineStr">
        <is>
          <t>Array, Dynamic Programming, Bit Manipulation, Matrix, Bitmask</t>
        </is>
      </c>
      <c r="G2225" s="1" t="inlineStr">
        <is>
          <t>Hard</t>
        </is>
      </c>
      <c r="H2225" s="1" t="n">
        <v>12408</v>
      </c>
      <c r="I2225" s="1" t="n">
        <v>24800</v>
      </c>
      <c r="J2225" s="9" t="n">
        <v>0.5</v>
      </c>
      <c r="K2225" s="1" t="inlineStr">
        <is>
          <t>Yes</t>
        </is>
      </c>
      <c r="L2225" s="1" t="inlineStr">
        <is>
          <t>No</t>
        </is>
      </c>
      <c r="M2225" s="1" t="inlineStr">
        <is>
          <t>No</t>
        </is>
      </c>
      <c r="N2225" s="1" t="inlineStr">
        <is>
          <t>Algorithms</t>
        </is>
      </c>
      <c r="O22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25" s="11" t="inlineStr">
        <is>
          <t>To Do</t>
        </is>
      </c>
    </row>
    <row r="2226" ht="15.75" customHeight="1" s="12">
      <c r="A2226" s="1" t="n">
        <v>3129</v>
      </c>
      <c r="B2226" s="3">
        <f>HYPERLINK("https://leetcode.com/problems/find-all-possible-stable-binary-arrays-i/", "Find All Possible Stable Binary Arrays I")</f>
        <v/>
      </c>
      <c r="C2226" s="1" t="n">
        <v>497</v>
      </c>
      <c r="D2226" s="1" t="n">
        <v>187</v>
      </c>
      <c r="E2226" s="4">
        <f>IF(INDEX(C:C, ROW())+INDEX(D:D, ROW())=0, 0, INDEX(C:C, ROW())/(INDEX(C:C, ROW())+INDEX(D:D, ROW())))</f>
        <v/>
      </c>
      <c r="F2226" s="1" t="inlineStr">
        <is>
          <t>Dynamic Programming, Prefix Sum</t>
        </is>
      </c>
      <c r="G2226" s="1" t="inlineStr">
        <is>
          <t>Medium</t>
        </is>
      </c>
      <c r="H2226" s="1" t="n">
        <v>84881</v>
      </c>
      <c r="I2226" s="1" t="n">
        <v>158111</v>
      </c>
      <c r="J2226" s="9" t="n">
        <v>0.537</v>
      </c>
      <c r="K2226" s="1" t="inlineStr">
        <is>
          <t>Yes</t>
        </is>
      </c>
      <c r="L2226" s="1" t="inlineStr">
        <is>
          <t>Yes</t>
        </is>
      </c>
      <c r="M2226" s="1" t="inlineStr">
        <is>
          <t>No</t>
        </is>
      </c>
      <c r="N2226" s="1" t="inlineStr">
        <is>
          <t>Algorithms</t>
        </is>
      </c>
      <c r="O22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26" s="11" t="inlineStr">
        <is>
          <t>To Do</t>
        </is>
      </c>
    </row>
    <row r="2227" ht="15.75" customHeight="1" s="12">
      <c r="A2227" s="1" t="n">
        <v>1088</v>
      </c>
      <c r="B2227" s="3">
        <f>HYPERLINK("https://leetcode.com/problems/confusing-number-ii/", "Confusing Number II")</f>
        <v/>
      </c>
      <c r="C2227" s="1" t="n">
        <v>496</v>
      </c>
      <c r="D2227" s="1" t="n">
        <v>144</v>
      </c>
      <c r="E2227" s="4">
        <f>IF(INDEX(C:C, ROW())+INDEX(D:D, ROW())=0, 0, INDEX(C:C, ROW())/(INDEX(C:C, ROW())+INDEX(D:D, ROW())))</f>
        <v/>
      </c>
      <c r="F2227" s="1" t="inlineStr">
        <is>
          <t>Math, Backtracking</t>
        </is>
      </c>
      <c r="G2227" s="1" t="inlineStr">
        <is>
          <t>Hard</t>
        </is>
      </c>
      <c r="H2227" s="1" t="n">
        <v>39388</v>
      </c>
      <c r="I2227" s="1" t="n">
        <v>83542</v>
      </c>
      <c r="J2227" s="9" t="n">
        <v>0.471</v>
      </c>
      <c r="K2227" s="1" t="inlineStr">
        <is>
          <t>No</t>
        </is>
      </c>
      <c r="L2227" s="1" t="inlineStr">
        <is>
          <t>Yes</t>
        </is>
      </c>
      <c r="M2227" s="1" t="inlineStr">
        <is>
          <t>No</t>
        </is>
      </c>
      <c r="N2227" s="1" t="inlineStr">
        <is>
          <t>Algorithms</t>
        </is>
      </c>
      <c r="O22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27" s="11" t="inlineStr">
        <is>
          <t>To Do</t>
        </is>
      </c>
    </row>
    <row r="2228" ht="15.75" customHeight="1" s="12">
      <c r="A2228" s="1" t="n">
        <v>1090</v>
      </c>
      <c r="B2228" s="3">
        <f>HYPERLINK("https://leetcode.com/problems/largest-values-from-labels/", "Largest Values From Labels")</f>
        <v/>
      </c>
      <c r="C2228" s="1" t="n">
        <v>496</v>
      </c>
      <c r="D2228" s="1" t="n">
        <v>638</v>
      </c>
      <c r="E2228" s="4">
        <f>IF(INDEX(C:C, ROW())+INDEX(D:D, ROW())=0, 0, INDEX(C:C, ROW())/(INDEX(C:C, ROW())+INDEX(D:D, ROW())))</f>
        <v/>
      </c>
      <c r="F2228" s="1" t="inlineStr">
        <is>
          <t>Array, Hash Table, Greedy, Sorting, Counting</t>
        </is>
      </c>
      <c r="G2228" s="1" t="inlineStr">
        <is>
          <t>Medium</t>
        </is>
      </c>
      <c r="H2228" s="1" t="n">
        <v>50719</v>
      </c>
      <c r="I2228" s="1" t="n">
        <v>78935</v>
      </c>
      <c r="J2228" s="9" t="n">
        <v>0.643</v>
      </c>
      <c r="K2228" s="1" t="inlineStr">
        <is>
          <t>Yes</t>
        </is>
      </c>
      <c r="L2228" s="1" t="inlineStr">
        <is>
          <t>No</t>
        </is>
      </c>
      <c r="M2228" s="1" t="inlineStr">
        <is>
          <t>No</t>
        </is>
      </c>
      <c r="N2228" s="1" t="inlineStr">
        <is>
          <t>Algorithms</t>
        </is>
      </c>
      <c r="O22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28" s="11" t="inlineStr">
        <is>
          <t>To Do</t>
        </is>
      </c>
    </row>
    <row r="2229" ht="15.75" customHeight="1" s="12">
      <c r="A2229" s="1" t="n">
        <v>2518</v>
      </c>
      <c r="B2229" s="3">
        <f>HYPERLINK("https://leetcode.com/problems/number-of-great-partitions/", "Number of Great Partitions")</f>
        <v/>
      </c>
      <c r="C2229" s="1" t="n">
        <v>496</v>
      </c>
      <c r="D2229" s="1" t="n">
        <v>12</v>
      </c>
      <c r="E2229" s="4">
        <f>IF(INDEX(C:C, ROW())+INDEX(D:D, ROW())=0, 0, INDEX(C:C, ROW())/(INDEX(C:C, ROW())+INDEX(D:D, ROW())))</f>
        <v/>
      </c>
      <c r="F2229" s="1" t="inlineStr">
        <is>
          <t>Array, Dynamic Programming</t>
        </is>
      </c>
      <c r="G2229" s="1" t="inlineStr">
        <is>
          <t>Hard</t>
        </is>
      </c>
      <c r="H2229" s="1" t="n">
        <v>13877</v>
      </c>
      <c r="I2229" s="1" t="n">
        <v>41323</v>
      </c>
      <c r="J2229" s="9" t="n">
        <v>0.336</v>
      </c>
      <c r="K2229" s="1" t="inlineStr">
        <is>
          <t>Yes</t>
        </is>
      </c>
      <c r="L2229" s="1" t="inlineStr">
        <is>
          <t>No</t>
        </is>
      </c>
      <c r="M2229" s="1" t="inlineStr">
        <is>
          <t>No</t>
        </is>
      </c>
      <c r="N2229" s="1" t="inlineStr">
        <is>
          <t>Algorithms</t>
        </is>
      </c>
      <c r="O22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29" s="11" t="inlineStr">
        <is>
          <t>To Do</t>
        </is>
      </c>
    </row>
    <row r="2230" ht="15.75" customHeight="1" s="12">
      <c r="A2230" s="1" t="n">
        <v>635</v>
      </c>
      <c r="B2230" s="3">
        <f>HYPERLINK("https://leetcode.com/problems/design-log-storage-system/", "Design Log Storage System")</f>
        <v/>
      </c>
      <c r="C2230" s="1" t="n">
        <v>495</v>
      </c>
      <c r="D2230" s="1" t="n">
        <v>231</v>
      </c>
      <c r="E2230" s="4">
        <f>IF(INDEX(C:C, ROW())+INDEX(D:D, ROW())=0, 0, INDEX(C:C, ROW())/(INDEX(C:C, ROW())+INDEX(D:D, ROW())))</f>
        <v/>
      </c>
      <c r="F2230" s="1" t="inlineStr">
        <is>
          <t>Hash Table, String, Design, Ordered Set</t>
        </is>
      </c>
      <c r="G2230" s="1" t="inlineStr">
        <is>
          <t>Medium</t>
        </is>
      </c>
      <c r="H2230" s="1" t="n">
        <v>44349</v>
      </c>
      <c r="I2230" s="1" t="n">
        <v>74452</v>
      </c>
      <c r="J2230" s="9" t="n">
        <v>0.596</v>
      </c>
      <c r="K2230" s="1" t="inlineStr">
        <is>
          <t>No</t>
        </is>
      </c>
      <c r="L2230" s="1" t="inlineStr">
        <is>
          <t>Yes</t>
        </is>
      </c>
      <c r="M2230" s="1" t="inlineStr">
        <is>
          <t>No</t>
        </is>
      </c>
      <c r="N2230" s="1" t="inlineStr">
        <is>
          <t>Algorithms</t>
        </is>
      </c>
      <c r="O22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30" s="11" t="inlineStr">
        <is>
          <t>To Do</t>
        </is>
      </c>
    </row>
    <row r="2231" ht="15.75" customHeight="1" s="12">
      <c r="A2231" s="1" t="n">
        <v>1330</v>
      </c>
      <c r="B2231" s="3">
        <f>HYPERLINK("https://leetcode.com/problems/reverse-subarray-to-maximize-array-value/", "Reverse Subarray To Maximize Array Value")</f>
        <v/>
      </c>
      <c r="C2231" s="1" t="n">
        <v>495</v>
      </c>
      <c r="D2231" s="1" t="n">
        <v>61</v>
      </c>
      <c r="E2231" s="4">
        <f>IF(INDEX(C:C, ROW())+INDEX(D:D, ROW())=0, 0, INDEX(C:C, ROW())/(INDEX(C:C, ROW())+INDEX(D:D, ROW())))</f>
        <v/>
      </c>
      <c r="F2231" s="1" t="inlineStr">
        <is>
          <t>Array, Math, Greedy</t>
        </is>
      </c>
      <c r="G2231" s="1" t="inlineStr">
        <is>
          <t>Hard</t>
        </is>
      </c>
      <c r="H2231" s="1" t="n">
        <v>8863</v>
      </c>
      <c r="I2231" s="1" t="n">
        <v>20176</v>
      </c>
      <c r="J2231" s="9" t="n">
        <v>0.439</v>
      </c>
      <c r="K2231" s="1" t="inlineStr">
        <is>
          <t>Yes</t>
        </is>
      </c>
      <c r="L2231" s="1" t="inlineStr">
        <is>
          <t>No</t>
        </is>
      </c>
      <c r="M2231" s="1" t="inlineStr">
        <is>
          <t>No</t>
        </is>
      </c>
      <c r="N2231" s="1" t="inlineStr">
        <is>
          <t>Algorithms</t>
        </is>
      </c>
      <c r="O22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31" s="11" t="inlineStr">
        <is>
          <t>To Do</t>
        </is>
      </c>
    </row>
    <row r="2232" ht="15.75" customHeight="1" s="12">
      <c r="A2232" s="1" t="n">
        <v>3195</v>
      </c>
      <c r="B2232" s="3">
        <f>HYPERLINK("https://leetcode.com/problems/find-the-minimum-area-to-cover-all-ones-i/", "Find the Minimum Area to Cover All Ones I")</f>
        <v/>
      </c>
      <c r="C2232" s="1" t="n">
        <v>495</v>
      </c>
      <c r="D2232" s="1" t="n">
        <v>32</v>
      </c>
      <c r="E2232" s="4">
        <f>IF(INDEX(C:C, ROW())+INDEX(D:D, ROW())=0, 0, INDEX(C:C, ROW())/(INDEX(C:C, ROW())+INDEX(D:D, ROW())))</f>
        <v/>
      </c>
      <c r="F2232" s="1" t="inlineStr">
        <is>
          <t>Array, Matrix</t>
        </is>
      </c>
      <c r="G2232" s="1" t="inlineStr">
        <is>
          <t>Medium</t>
        </is>
      </c>
      <c r="H2232" s="1" t="n">
        <v>167243</v>
      </c>
      <c r="I2232" s="1" t="n">
        <v>214006</v>
      </c>
      <c r="J2232" s="9" t="n">
        <v>0.781</v>
      </c>
      <c r="K2232" s="1" t="inlineStr">
        <is>
          <t>Yes</t>
        </is>
      </c>
      <c r="L2232" s="1" t="inlineStr">
        <is>
          <t>Yes</t>
        </is>
      </c>
      <c r="M2232" s="1" t="inlineStr">
        <is>
          <t>No</t>
        </is>
      </c>
      <c r="N2232" s="1" t="inlineStr">
        <is>
          <t>Algorithms</t>
        </is>
      </c>
      <c r="O22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32" s="11" t="inlineStr">
        <is>
          <t>To Do</t>
        </is>
      </c>
    </row>
    <row r="2233" ht="15.75" customHeight="1" s="12">
      <c r="A2233" s="1" t="n">
        <v>3418</v>
      </c>
      <c r="B2233" s="3">
        <f>HYPERLINK("https://leetcode.com/problems/maximum-amount-of-money-robot-can-earn/", "Maximum Amount of Money Robot Can Earn")</f>
        <v/>
      </c>
      <c r="C2233" s="1" t="n">
        <v>494</v>
      </c>
      <c r="D2233" s="1" t="n">
        <v>33</v>
      </c>
      <c r="E2233" s="4">
        <f>IF(INDEX(C:C, ROW())+INDEX(D:D, ROW())=0, 0, INDEX(C:C, ROW())/(INDEX(C:C, ROW())+INDEX(D:D, ROW())))</f>
        <v/>
      </c>
      <c r="F2233" s="1" t="inlineStr">
        <is>
          <t>Array, Dynamic Programming, Matrix</t>
        </is>
      </c>
      <c r="G2233" s="1" t="inlineStr">
        <is>
          <t>Medium</t>
        </is>
      </c>
      <c r="H2233" s="1" t="n">
        <v>103822</v>
      </c>
      <c r="I2233" s="1" t="n">
        <v>217132</v>
      </c>
      <c r="J2233" s="9" t="n">
        <v>0.478</v>
      </c>
      <c r="K2233" s="1" t="inlineStr">
        <is>
          <t>Yes</t>
        </is>
      </c>
      <c r="L2233" s="1" t="inlineStr">
        <is>
          <t>Yes</t>
        </is>
      </c>
      <c r="M2233" s="1" t="inlineStr">
        <is>
          <t>No</t>
        </is>
      </c>
      <c r="N2233" s="1" t="inlineStr">
        <is>
          <t>Algorithms</t>
        </is>
      </c>
      <c r="O22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33" s="11" t="inlineStr">
        <is>
          <t>To Do</t>
        </is>
      </c>
    </row>
    <row r="2234" ht="15.75" customHeight="1" s="12">
      <c r="A2234" s="1" t="n">
        <v>3507</v>
      </c>
      <c r="B2234" s="3">
        <f>HYPERLINK("https://leetcode.com/problems/minimum-pair-removal-to-sort-array-i/", "Minimum Pair Removal to Sort Array I")</f>
        <v/>
      </c>
      <c r="C2234" s="1" t="n">
        <v>494</v>
      </c>
      <c r="D2234" s="1" t="n">
        <v>94</v>
      </c>
      <c r="E2234" s="4">
        <f>IF(INDEX(C:C, ROW())+INDEX(D:D, ROW())=0, 0, INDEX(C:C, ROW())/(INDEX(C:C, ROW())+INDEX(D:D, ROW())))</f>
        <v/>
      </c>
      <c r="F2234" s="1" t="inlineStr">
        <is>
          <t>Array, Hash Table, Linked List, Heap (Priority Queue), Simulation, Doubly-Linked List, Ordered Set</t>
        </is>
      </c>
      <c r="G2234" s="1" t="inlineStr">
        <is>
          <t>Easy</t>
        </is>
      </c>
      <c r="H2234" s="1" t="n">
        <v>147815</v>
      </c>
      <c r="I2234" s="1" t="n">
        <v>226738</v>
      </c>
      <c r="J2234" s="9" t="n">
        <v>0.652</v>
      </c>
      <c r="K2234" s="1" t="inlineStr">
        <is>
          <t>Yes</t>
        </is>
      </c>
      <c r="L2234" s="1" t="inlineStr">
        <is>
          <t>Yes</t>
        </is>
      </c>
      <c r="M2234" s="1" t="inlineStr">
        <is>
          <t>No</t>
        </is>
      </c>
      <c r="N2234" s="1" t="inlineStr">
        <is>
          <t>Algorithms</t>
        </is>
      </c>
      <c r="O22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34" s="13" t="inlineStr">
        <is>
          <t>Done</t>
        </is>
      </c>
    </row>
    <row r="2235" ht="15.75" customHeight="1" s="12">
      <c r="A2235" s="1" t="n">
        <v>1621</v>
      </c>
      <c r="B2235" s="3">
        <f>HYPERLINK("https://leetcode.com/problems/number-of-sets-of-k-non-overlapping-line-segments/", "Number of Sets of K Non-Overlapping Line Segments")</f>
        <v/>
      </c>
      <c r="C2235" s="1" t="n">
        <v>493</v>
      </c>
      <c r="D2235" s="1" t="n">
        <v>50</v>
      </c>
      <c r="E2235" s="4">
        <f>IF(INDEX(C:C, ROW())+INDEX(D:D, ROW())=0, 0, INDEX(C:C, ROW())/(INDEX(C:C, ROW())+INDEX(D:D, ROW())))</f>
        <v/>
      </c>
      <c r="F2235" s="1" t="inlineStr">
        <is>
          <t>Math, Dynamic Programming, Combinatorics, Prefix Sum</t>
        </is>
      </c>
      <c r="G2235" s="1" t="inlineStr">
        <is>
          <t>Medium</t>
        </is>
      </c>
      <c r="H2235" s="1" t="n">
        <v>13346</v>
      </c>
      <c r="I2235" s="1" t="n">
        <v>29090</v>
      </c>
      <c r="J2235" s="9" t="n">
        <v>0.459</v>
      </c>
      <c r="K2235" s="1" t="inlineStr">
        <is>
          <t>Yes</t>
        </is>
      </c>
      <c r="L2235" s="1" t="inlineStr">
        <is>
          <t>No</t>
        </is>
      </c>
      <c r="M2235" s="1" t="inlineStr">
        <is>
          <t>No</t>
        </is>
      </c>
      <c r="N2235" s="1" t="inlineStr">
        <is>
          <t>Algorithms</t>
        </is>
      </c>
      <c r="O22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35" s="11" t="inlineStr">
        <is>
          <t>To Do</t>
        </is>
      </c>
    </row>
    <row r="2236" ht="15.75" customHeight="1" s="12">
      <c r="A2236" s="1" t="n">
        <v>3350</v>
      </c>
      <c r="B2236" s="3">
        <f>HYPERLINK("https://leetcode.com/problems/adjacent-increasing-subarrays-detection-ii/", "Adjacent Increasing Subarrays Detection II")</f>
        <v/>
      </c>
      <c r="C2236" s="1" t="n">
        <v>492</v>
      </c>
      <c r="D2236" s="1" t="n">
        <v>22</v>
      </c>
      <c r="E2236" s="4">
        <f>IF(INDEX(C:C, ROW())+INDEX(D:D, ROW())=0, 0, INDEX(C:C, ROW())/(INDEX(C:C, ROW())+INDEX(D:D, ROW())))</f>
        <v/>
      </c>
      <c r="F2236" s="1" t="inlineStr">
        <is>
          <t>Array, Binary Search</t>
        </is>
      </c>
      <c r="G2236" s="1" t="inlineStr">
        <is>
          <t>Medium</t>
        </is>
      </c>
      <c r="H2236" s="1" t="n">
        <v>120691</v>
      </c>
      <c r="I2236" s="1" t="n">
        <v>205032</v>
      </c>
      <c r="J2236" s="9" t="n">
        <v>0.589</v>
      </c>
      <c r="K2236" s="1" t="inlineStr">
        <is>
          <t>Yes</t>
        </is>
      </c>
      <c r="L2236" s="1" t="inlineStr">
        <is>
          <t>Yes</t>
        </is>
      </c>
      <c r="M2236" s="1" t="inlineStr">
        <is>
          <t>No</t>
        </is>
      </c>
      <c r="N2236" s="1" t="inlineStr">
        <is>
          <t>Algorithms</t>
        </is>
      </c>
      <c r="O22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36" s="11" t="inlineStr">
        <is>
          <t>To Do</t>
        </is>
      </c>
    </row>
    <row r="2237" ht="15.75" customHeight="1" s="12">
      <c r="A2237" s="1" t="n">
        <v>1506</v>
      </c>
      <c r="B2237" s="3">
        <f>HYPERLINK("https://leetcode.com/problems/find-root-of-n-ary-tree/", "Find Root of N-Ary Tree")</f>
        <v/>
      </c>
      <c r="C2237" s="1" t="n">
        <v>491</v>
      </c>
      <c r="D2237" s="1" t="n">
        <v>212</v>
      </c>
      <c r="E2237" s="4">
        <f>IF(INDEX(C:C, ROW())+INDEX(D:D, ROW())=0, 0, INDEX(C:C, ROW())/(INDEX(C:C, ROW())+INDEX(D:D, ROW())))</f>
        <v/>
      </c>
      <c r="F2237" s="1" t="inlineStr">
        <is>
          <t>Hash Table, Bit Manipulation, Tree, Depth-First Search</t>
        </is>
      </c>
      <c r="G2237" s="1" t="inlineStr">
        <is>
          <t>Medium</t>
        </is>
      </c>
      <c r="H2237" s="1" t="n">
        <v>41565</v>
      </c>
      <c r="I2237" s="1" t="n">
        <v>52899</v>
      </c>
      <c r="J2237" s="9" t="n">
        <v>0.786</v>
      </c>
      <c r="K2237" s="1" t="inlineStr">
        <is>
          <t>No</t>
        </is>
      </c>
      <c r="L2237" s="1" t="inlineStr">
        <is>
          <t>Yes</t>
        </is>
      </c>
      <c r="M2237" s="1" t="inlineStr">
        <is>
          <t>No</t>
        </is>
      </c>
      <c r="N2237" s="1" t="inlineStr">
        <is>
          <t>Algorithms</t>
        </is>
      </c>
      <c r="O22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37" s="11" t="inlineStr">
        <is>
          <t>To Do</t>
        </is>
      </c>
    </row>
    <row r="2238" ht="15.75" customHeight="1" s="12">
      <c r="A2238" s="1" t="n">
        <v>3403</v>
      </c>
      <c r="B2238" s="3">
        <f>HYPERLINK("https://leetcode.com/problems/find-the-lexicographically-largest-string-from-the-box-i/", "Find the Lexicographically Largest String From the Box I")</f>
        <v/>
      </c>
      <c r="C2238" s="1" t="n">
        <v>490</v>
      </c>
      <c r="D2238" s="1" t="n">
        <v>129</v>
      </c>
      <c r="E2238" s="4">
        <f>IF(INDEX(C:C, ROW())+INDEX(D:D, ROW())=0, 0, INDEX(C:C, ROW())/(INDEX(C:C, ROW())+INDEX(D:D, ROW())))</f>
        <v/>
      </c>
      <c r="F2238" s="1" t="inlineStr">
        <is>
          <t>Two Pointers, String, Enumeration</t>
        </is>
      </c>
      <c r="G2238" s="1" t="inlineStr">
        <is>
          <t>Medium</t>
        </is>
      </c>
      <c r="H2238" s="1" t="n">
        <v>111358</v>
      </c>
      <c r="I2238" s="1" t="n">
        <v>272151</v>
      </c>
      <c r="J2238" s="9" t="n">
        <v>0.409</v>
      </c>
      <c r="K2238" s="1" t="inlineStr">
        <is>
          <t>Yes</t>
        </is>
      </c>
      <c r="L2238" s="1" t="inlineStr">
        <is>
          <t>Yes</t>
        </is>
      </c>
      <c r="M2238" s="1" t="inlineStr">
        <is>
          <t>No</t>
        </is>
      </c>
      <c r="N2238" s="1" t="inlineStr">
        <is>
          <t>Algorithms</t>
        </is>
      </c>
      <c r="O22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38" s="11" t="inlineStr">
        <is>
          <t>To Do</t>
        </is>
      </c>
    </row>
    <row r="2239" ht="15.75" customHeight="1" s="12">
      <c r="A2239" s="1" t="n">
        <v>3026</v>
      </c>
      <c r="B2239" s="3">
        <f>HYPERLINK("https://leetcode.com/problems/maximum-good-subarray-sum/", "Maximum Good Subarray Sum")</f>
        <v/>
      </c>
      <c r="C2239" s="1" t="n">
        <v>489</v>
      </c>
      <c r="D2239" s="1" t="n">
        <v>26</v>
      </c>
      <c r="E2239" s="4">
        <f>IF(INDEX(C:C, ROW())+INDEX(D:D, ROW())=0, 0, INDEX(C:C, ROW())/(INDEX(C:C, ROW())+INDEX(D:D, ROW())))</f>
        <v/>
      </c>
      <c r="F2239" s="1" t="inlineStr">
        <is>
          <t>Array, Hash Table, Prefix Sum</t>
        </is>
      </c>
      <c r="G2239" s="1" t="inlineStr">
        <is>
          <t>Medium</t>
        </is>
      </c>
      <c r="H2239" s="1" t="n">
        <v>32549</v>
      </c>
      <c r="I2239" s="1" t="n">
        <v>149510</v>
      </c>
      <c r="J2239" s="9" t="n">
        <v>0.218</v>
      </c>
      <c r="K2239" s="1" t="inlineStr">
        <is>
          <t>Yes</t>
        </is>
      </c>
      <c r="L2239" s="1" t="inlineStr">
        <is>
          <t>No</t>
        </is>
      </c>
      <c r="M2239" s="1" t="inlineStr">
        <is>
          <t>No</t>
        </is>
      </c>
      <c r="N2239" s="1" t="inlineStr">
        <is>
          <t>Algorithms</t>
        </is>
      </c>
      <c r="O22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39" s="11" t="inlineStr">
        <is>
          <t>To Do</t>
        </is>
      </c>
    </row>
    <row r="2240" ht="15.75" customHeight="1" s="12">
      <c r="A2240" s="1" t="n">
        <v>3408</v>
      </c>
      <c r="B2240" s="3">
        <f>HYPERLINK("https://leetcode.com/problems/design-task-manager/", "Design Task Manager")</f>
        <v/>
      </c>
      <c r="C2240" s="1" t="n">
        <v>489</v>
      </c>
      <c r="D2240" s="1" t="n">
        <v>53</v>
      </c>
      <c r="E2240" s="4">
        <f>IF(INDEX(C:C, ROW())+INDEX(D:D, ROW())=0, 0, INDEX(C:C, ROW())/(INDEX(C:C, ROW())+INDEX(D:D, ROW())))</f>
        <v/>
      </c>
      <c r="F2240" s="1" t="inlineStr">
        <is>
          <t>Hash Table, Design, Heap (Priority Queue), Ordered Set</t>
        </is>
      </c>
      <c r="G2240" s="1" t="inlineStr">
        <is>
          <t>Medium</t>
        </is>
      </c>
      <c r="H2240" s="1" t="n">
        <v>102441</v>
      </c>
      <c r="I2240" s="1" t="n">
        <v>209288</v>
      </c>
      <c r="J2240" s="9" t="n">
        <v>0.489</v>
      </c>
      <c r="K2240" s="1" t="inlineStr">
        <is>
          <t>Yes</t>
        </is>
      </c>
      <c r="L2240" s="1" t="inlineStr">
        <is>
          <t>Yes</t>
        </is>
      </c>
      <c r="M2240" s="1" t="inlineStr">
        <is>
          <t>No</t>
        </is>
      </c>
      <c r="N2240" s="1" t="inlineStr">
        <is>
          <t>Algorithms</t>
        </is>
      </c>
      <c r="O22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40" s="11" t="inlineStr">
        <is>
          <t>To Do</t>
        </is>
      </c>
    </row>
    <row r="2241" ht="15.75" customHeight="1" s="12">
      <c r="A2241" s="1" t="n">
        <v>3508</v>
      </c>
      <c r="B2241" s="3">
        <f>HYPERLINK("https://leetcode.com/problems/implement-router/", "Implement Router")</f>
        <v/>
      </c>
      <c r="C2241" s="1" t="n">
        <v>489</v>
      </c>
      <c r="D2241" s="1" t="n">
        <v>117</v>
      </c>
      <c r="E2241" s="4">
        <f>IF(INDEX(C:C, ROW())+INDEX(D:D, ROW())=0, 0, INDEX(C:C, ROW())/(INDEX(C:C, ROW())+INDEX(D:D, ROW())))</f>
        <v/>
      </c>
      <c r="F2241" s="1" t="inlineStr">
        <is>
          <t>Array, Hash Table, Binary Search, Design, Queue, Ordered Set</t>
        </is>
      </c>
      <c r="G2241" s="1" t="inlineStr">
        <is>
          <t>Medium</t>
        </is>
      </c>
      <c r="H2241" s="1" t="n">
        <v>89576</v>
      </c>
      <c r="I2241" s="1" t="n">
        <v>229318</v>
      </c>
      <c r="J2241" s="9" t="n">
        <v>0.391</v>
      </c>
      <c r="K2241" s="1" t="inlineStr">
        <is>
          <t>Yes</t>
        </is>
      </c>
      <c r="L2241" s="1" t="inlineStr">
        <is>
          <t>Yes</t>
        </is>
      </c>
      <c r="M2241" s="1" t="inlineStr">
        <is>
          <t>No</t>
        </is>
      </c>
      <c r="N2241" s="1" t="inlineStr">
        <is>
          <t>Algorithms</t>
        </is>
      </c>
      <c r="O22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41" s="11" t="inlineStr">
        <is>
          <t>To Do</t>
        </is>
      </c>
    </row>
    <row r="2242" ht="15.75" customHeight="1" s="12">
      <c r="A2242" s="1" t="n">
        <v>3349</v>
      </c>
      <c r="B2242" s="3">
        <f>HYPERLINK("https://leetcode.com/problems/adjacent-increasing-subarrays-detection-i/", "Adjacent Increasing Subarrays Detection I")</f>
        <v/>
      </c>
      <c r="C2242" s="1" t="n">
        <v>487</v>
      </c>
      <c r="D2242" s="1" t="n">
        <v>59</v>
      </c>
      <c r="E2242" s="4">
        <f>IF(INDEX(C:C, ROW())+INDEX(D:D, ROW())=0, 0, INDEX(C:C, ROW())/(INDEX(C:C, ROW())+INDEX(D:D, ROW())))</f>
        <v/>
      </c>
      <c r="F2242" s="1" t="inlineStr">
        <is>
          <t>Array</t>
        </is>
      </c>
      <c r="G2242" s="1" t="inlineStr">
        <is>
          <t>Easy</t>
        </is>
      </c>
      <c r="H2242" s="1" t="n">
        <v>161384</v>
      </c>
      <c r="I2242" s="1" t="n">
        <v>336354</v>
      </c>
      <c r="J2242" s="9" t="n">
        <v>0.48</v>
      </c>
      <c r="K2242" s="1" t="inlineStr">
        <is>
          <t>Yes</t>
        </is>
      </c>
      <c r="L2242" s="1" t="inlineStr">
        <is>
          <t>Yes</t>
        </is>
      </c>
      <c r="M2242" s="1" t="inlineStr">
        <is>
          <t>No</t>
        </is>
      </c>
      <c r="N2242" s="1" t="inlineStr">
        <is>
          <t>Algorithms</t>
        </is>
      </c>
      <c r="O22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42" s="13" t="inlineStr">
        <is>
          <t>Done</t>
        </is>
      </c>
    </row>
    <row r="2243" ht="15.75" customHeight="1" s="12">
      <c r="A2243" s="1" t="n">
        <v>193</v>
      </c>
      <c r="B2243" s="3">
        <f>HYPERLINK("https://leetcode.com/problems/valid-phone-numbers/", "Valid Phone Numbers")</f>
        <v/>
      </c>
      <c r="C2243" s="1" t="n">
        <v>486</v>
      </c>
      <c r="D2243" s="1" t="n">
        <v>983</v>
      </c>
      <c r="E2243" s="4">
        <f>IF(INDEX(C:C, ROW())+INDEX(D:D, ROW())=0, 0, INDEX(C:C, ROW())/(INDEX(C:C, ROW())+INDEX(D:D, ROW())))</f>
        <v/>
      </c>
      <c r="F2243" s="1" t="inlineStr">
        <is>
          <t>Shell</t>
        </is>
      </c>
      <c r="G2243" s="1" t="inlineStr">
        <is>
          <t>Easy</t>
        </is>
      </c>
      <c r="H2243" s="1" t="n">
        <v>131088</v>
      </c>
      <c r="I2243" s="1" t="n">
        <v>442594</v>
      </c>
      <c r="J2243" s="9" t="n">
        <v>0.296</v>
      </c>
      <c r="K2243" s="1" t="inlineStr">
        <is>
          <t>Yes</t>
        </is>
      </c>
      <c r="L2243" s="1" t="inlineStr">
        <is>
          <t>No</t>
        </is>
      </c>
      <c r="M2243" s="1" t="inlineStr">
        <is>
          <t>No</t>
        </is>
      </c>
      <c r="N2243" s="1" t="inlineStr">
        <is>
          <t>Shell</t>
        </is>
      </c>
      <c r="O22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43" s="13" t="inlineStr">
        <is>
          <t>Done</t>
        </is>
      </c>
    </row>
    <row r="2244" ht="15.75" customHeight="1" s="12">
      <c r="A2244" s="1" t="n">
        <v>1311</v>
      </c>
      <c r="B2244" s="3">
        <f>HYPERLINK("https://leetcode.com/problems/get-watched-videos-by-your-friends/", "Get Watched Videos by Your Friends")</f>
        <v/>
      </c>
      <c r="C2244" s="1" t="n">
        <v>486</v>
      </c>
      <c r="D2244" s="1" t="n">
        <v>456</v>
      </c>
      <c r="E2244" s="4">
        <f>IF(INDEX(C:C, ROW())+INDEX(D:D, ROW())=0, 0, INDEX(C:C, ROW())/(INDEX(C:C, ROW())+INDEX(D:D, ROW())))</f>
        <v/>
      </c>
      <c r="F2244" s="1" t="inlineStr">
        <is>
          <t>Array, Hash Table, Breadth-First Search, Graph Theory, Sorting</t>
        </is>
      </c>
      <c r="G2244" s="1" t="inlineStr">
        <is>
          <t>Medium</t>
        </is>
      </c>
      <c r="H2244" s="1" t="n">
        <v>42278</v>
      </c>
      <c r="I2244" s="1" t="n">
        <v>79913</v>
      </c>
      <c r="J2244" s="9" t="n">
        <v>0.529</v>
      </c>
      <c r="K2244" s="1" t="inlineStr">
        <is>
          <t>Yes</t>
        </is>
      </c>
      <c r="L2244" s="1" t="inlineStr">
        <is>
          <t>No</t>
        </is>
      </c>
      <c r="M2244" s="1" t="inlineStr">
        <is>
          <t>No</t>
        </is>
      </c>
      <c r="N2244" s="1" t="inlineStr">
        <is>
          <t>Algorithms</t>
        </is>
      </c>
      <c r="O22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44" s="11" t="inlineStr">
        <is>
          <t>To Do</t>
        </is>
      </c>
    </row>
    <row r="2245" ht="15.75" customHeight="1" s="12">
      <c r="A2245" s="1" t="n">
        <v>1740</v>
      </c>
      <c r="B2245" s="3">
        <f>HYPERLINK("https://leetcode.com/problems/find-distance-in-a-binary-tree/", "Find Distance in a Binary Tree")</f>
        <v/>
      </c>
      <c r="C2245" s="1" t="n">
        <v>486</v>
      </c>
      <c r="D2245" s="1" t="n">
        <v>19</v>
      </c>
      <c r="E2245" s="4">
        <f>IF(INDEX(C:C, ROW())+INDEX(D:D, ROW())=0, 0, INDEX(C:C, ROW())/(INDEX(C:C, ROW())+INDEX(D:D, ROW())))</f>
        <v/>
      </c>
      <c r="F2245" s="1" t="inlineStr">
        <is>
          <t>Hash Table, Tree, Depth-First Search, Breadth-First Search, Binary Tree</t>
        </is>
      </c>
      <c r="G2245" s="1" t="inlineStr">
        <is>
          <t>Medium</t>
        </is>
      </c>
      <c r="H2245" s="1" t="n">
        <v>35668</v>
      </c>
      <c r="I2245" s="1" t="n">
        <v>48011</v>
      </c>
      <c r="J2245" s="9" t="n">
        <v>0.743</v>
      </c>
      <c r="K2245" s="1" t="inlineStr">
        <is>
          <t>No</t>
        </is>
      </c>
      <c r="L2245" s="1" t="inlineStr">
        <is>
          <t>Yes</t>
        </is>
      </c>
      <c r="M2245" s="1" t="inlineStr">
        <is>
          <t>No</t>
        </is>
      </c>
      <c r="N2245" s="1" t="inlineStr">
        <is>
          <t>Algorithms</t>
        </is>
      </c>
      <c r="O22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45" s="11" t="inlineStr">
        <is>
          <t>To Do</t>
        </is>
      </c>
    </row>
    <row r="2246" ht="15.75" customHeight="1" s="12">
      <c r="A2246" s="1" t="n">
        <v>2374</v>
      </c>
      <c r="B2246" s="3">
        <f>HYPERLINK("https://leetcode.com/problems/node-with-highest-edge-score/", "Node With Highest Edge Score")</f>
        <v/>
      </c>
      <c r="C2246" s="1" t="n">
        <v>486</v>
      </c>
      <c r="D2246" s="1" t="n">
        <v>43</v>
      </c>
      <c r="E2246" s="4">
        <f>IF(INDEX(C:C, ROW())+INDEX(D:D, ROW())=0, 0, INDEX(C:C, ROW())/(INDEX(C:C, ROW())+INDEX(D:D, ROW())))</f>
        <v/>
      </c>
      <c r="F2246" s="1" t="inlineStr">
        <is>
          <t>Hash Table, Graph Theory</t>
        </is>
      </c>
      <c r="G2246" s="1" t="inlineStr">
        <is>
          <t>Medium</t>
        </is>
      </c>
      <c r="H2246" s="1" t="n">
        <v>45546</v>
      </c>
      <c r="I2246" s="1" t="n">
        <v>92315</v>
      </c>
      <c r="J2246" s="9" t="n">
        <v>0.493</v>
      </c>
      <c r="K2246" s="1" t="inlineStr">
        <is>
          <t>Yes</t>
        </is>
      </c>
      <c r="L2246" s="1" t="inlineStr">
        <is>
          <t>No</t>
        </is>
      </c>
      <c r="M2246" s="1" t="inlineStr">
        <is>
          <t>No</t>
        </is>
      </c>
      <c r="N2246" s="1" t="inlineStr">
        <is>
          <t>Algorithms</t>
        </is>
      </c>
      <c r="O22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46" s="11" t="inlineStr">
        <is>
          <t>To Do</t>
        </is>
      </c>
    </row>
    <row r="2247" ht="15.75" customHeight="1" s="12">
      <c r="A2247" s="1" t="n">
        <v>2544</v>
      </c>
      <c r="B2247" s="3">
        <f>HYPERLINK("https://leetcode.com/problems/alternating-digit-sum/", "Alternating Digit Sum")</f>
        <v/>
      </c>
      <c r="C2247" s="1" t="n">
        <v>486</v>
      </c>
      <c r="D2247" s="1" t="n">
        <v>23</v>
      </c>
      <c r="E2247" s="4">
        <f>IF(INDEX(C:C, ROW())+INDEX(D:D, ROW())=0, 0, INDEX(C:C, ROW())/(INDEX(C:C, ROW())+INDEX(D:D, ROW())))</f>
        <v/>
      </c>
      <c r="F2247" s="1" t="inlineStr">
        <is>
          <t>Math</t>
        </is>
      </c>
      <c r="G2247" s="1" t="inlineStr">
        <is>
          <t>Easy</t>
        </is>
      </c>
      <c r="H2247" s="1" t="n">
        <v>103257</v>
      </c>
      <c r="I2247" s="1" t="n">
        <v>149493</v>
      </c>
      <c r="J2247" s="9" t="n">
        <v>0.6909999999999999</v>
      </c>
      <c r="K2247" s="1" t="inlineStr">
        <is>
          <t>Yes</t>
        </is>
      </c>
      <c r="L2247" s="1" t="inlineStr">
        <is>
          <t>No</t>
        </is>
      </c>
      <c r="M2247" s="1" t="inlineStr">
        <is>
          <t>No</t>
        </is>
      </c>
      <c r="N2247" s="1" t="inlineStr">
        <is>
          <t>Algorithms</t>
        </is>
      </c>
      <c r="O22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47" s="13" t="inlineStr">
        <is>
          <t>Done</t>
        </is>
      </c>
    </row>
    <row r="2248" ht="15.75" customHeight="1" s="12">
      <c r="A2248" s="1" t="n">
        <v>2900</v>
      </c>
      <c r="B2248" s="3">
        <f>HYPERLINK("https://leetcode.com/problems/longest-unequal-adjacent-groups-subsequence-i/", "Longest Unequal Adjacent Groups Subsequence I")</f>
        <v/>
      </c>
      <c r="C2248" s="1" t="n">
        <v>486</v>
      </c>
      <c r="D2248" s="1" t="n">
        <v>278</v>
      </c>
      <c r="E2248" s="4">
        <f>IF(INDEX(C:C, ROW())+INDEX(D:D, ROW())=0, 0, INDEX(C:C, ROW())/(INDEX(C:C, ROW())+INDEX(D:D, ROW())))</f>
        <v/>
      </c>
      <c r="F2248" s="1" t="inlineStr">
        <is>
          <t>Array, String, Dynamic Programming, Greedy</t>
        </is>
      </c>
      <c r="G2248" s="1" t="inlineStr">
        <is>
          <t>Easy</t>
        </is>
      </c>
      <c r="H2248" s="1" t="n">
        <v>150092</v>
      </c>
      <c r="I2248" s="1" t="n">
        <v>224145</v>
      </c>
      <c r="J2248" s="9" t="n">
        <v>0.67</v>
      </c>
      <c r="K2248" s="1" t="inlineStr">
        <is>
          <t>Yes</t>
        </is>
      </c>
      <c r="L2248" s="1" t="inlineStr">
        <is>
          <t>Yes</t>
        </is>
      </c>
      <c r="M2248" s="1" t="inlineStr">
        <is>
          <t>No</t>
        </is>
      </c>
      <c r="N2248" s="1" t="inlineStr">
        <is>
          <t>Algorithms</t>
        </is>
      </c>
      <c r="O22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48" s="13" t="inlineStr">
        <is>
          <t>Done</t>
        </is>
      </c>
    </row>
    <row r="2249" ht="15.75" customHeight="1" s="12">
      <c r="A2249" s="1" t="n">
        <v>2003</v>
      </c>
      <c r="B2249" s="3">
        <f>HYPERLINK("https://leetcode.com/problems/smallest-missing-genetic-value-in-each-subtree/", "Smallest Missing Genetic Value in Each Subtree")</f>
        <v/>
      </c>
      <c r="C2249" s="1" t="n">
        <v>485</v>
      </c>
      <c r="D2249" s="1" t="n">
        <v>23</v>
      </c>
      <c r="E2249" s="4">
        <f>IF(INDEX(C:C, ROW())+INDEX(D:D, ROW())=0, 0, INDEX(C:C, ROW())/(INDEX(C:C, ROW())+INDEX(D:D, ROW())))</f>
        <v/>
      </c>
      <c r="F2249" s="1" t="inlineStr">
        <is>
          <t>Array, Dynamic Programming, Tree, Depth-First Search, Union-Find</t>
        </is>
      </c>
      <c r="G2249" s="1" t="inlineStr">
        <is>
          <t>Hard</t>
        </is>
      </c>
      <c r="H2249" s="1" t="n">
        <v>11375</v>
      </c>
      <c r="I2249" s="1" t="n">
        <v>23784</v>
      </c>
      <c r="J2249" s="9" t="n">
        <v>0.478</v>
      </c>
      <c r="K2249" s="1" t="inlineStr">
        <is>
          <t>Yes</t>
        </is>
      </c>
      <c r="L2249" s="1" t="inlineStr">
        <is>
          <t>No</t>
        </is>
      </c>
      <c r="M2249" s="1" t="inlineStr">
        <is>
          <t>No</t>
        </is>
      </c>
      <c r="N2249" s="1" t="inlineStr">
        <is>
          <t>Algorithms</t>
        </is>
      </c>
      <c r="O22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49" s="11" t="inlineStr">
        <is>
          <t>To Do</t>
        </is>
      </c>
    </row>
    <row r="2250" ht="15.75" customHeight="1" s="12">
      <c r="A2250" s="1" t="n">
        <v>1253</v>
      </c>
      <c r="B2250" s="3">
        <f>HYPERLINK("https://leetcode.com/problems/reconstruct-a-2-row-binary-matrix/", "Reconstruct a 2-Row Binary Matrix")</f>
        <v/>
      </c>
      <c r="C2250" s="1" t="n">
        <v>484</v>
      </c>
      <c r="D2250" s="1" t="n">
        <v>35</v>
      </c>
      <c r="E2250" s="4">
        <f>IF(INDEX(C:C, ROW())+INDEX(D:D, ROW())=0, 0, INDEX(C:C, ROW())/(INDEX(C:C, ROW())+INDEX(D:D, ROW())))</f>
        <v/>
      </c>
      <c r="F2250" s="1" t="inlineStr">
        <is>
          <t>Array, Greedy, Matrix</t>
        </is>
      </c>
      <c r="G2250" s="1" t="inlineStr">
        <is>
          <t>Medium</t>
        </is>
      </c>
      <c r="H2250" s="1" t="n">
        <v>34676</v>
      </c>
      <c r="I2250" s="1" t="n">
        <v>70859</v>
      </c>
      <c r="J2250" s="9" t="n">
        <v>0.489</v>
      </c>
      <c r="K2250" s="1" t="inlineStr">
        <is>
          <t>Yes</t>
        </is>
      </c>
      <c r="L2250" s="1" t="inlineStr">
        <is>
          <t>No</t>
        </is>
      </c>
      <c r="M2250" s="1" t="inlineStr">
        <is>
          <t>No</t>
        </is>
      </c>
      <c r="N2250" s="1" t="inlineStr">
        <is>
          <t>Algorithms</t>
        </is>
      </c>
      <c r="O22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50" s="11" t="inlineStr">
        <is>
          <t>To Do</t>
        </is>
      </c>
    </row>
    <row r="2251" ht="15.75" customHeight="1" s="12">
      <c r="A2251" s="1" t="n">
        <v>2627</v>
      </c>
      <c r="B2251" s="3">
        <f>HYPERLINK("https://leetcode.com/problems/debounce/", "Debounce")</f>
        <v/>
      </c>
      <c r="C2251" s="1" t="n">
        <v>484</v>
      </c>
      <c r="D2251" s="1" t="n">
        <v>57</v>
      </c>
      <c r="E2251" s="4">
        <f>IF(INDEX(C:C, ROW())+INDEX(D:D, ROW())=0, 0, INDEX(C:C, ROW())/(INDEX(C:C, ROW())+INDEX(D:D, ROW())))</f>
        <v/>
      </c>
      <c r="F2251" s="2" t="n"/>
      <c r="G2251" s="1" t="inlineStr">
        <is>
          <t>Medium</t>
        </is>
      </c>
      <c r="H2251" s="1" t="n">
        <v>94106</v>
      </c>
      <c r="I2251" s="1" t="n">
        <v>102599</v>
      </c>
      <c r="J2251" s="9" t="n">
        <v>0.917</v>
      </c>
      <c r="K2251" s="1" t="inlineStr">
        <is>
          <t>Yes</t>
        </is>
      </c>
      <c r="L2251" s="1" t="inlineStr">
        <is>
          <t>Yes</t>
        </is>
      </c>
      <c r="M2251" s="1" t="inlineStr">
        <is>
          <t>No</t>
        </is>
      </c>
      <c r="N2251" s="1" t="inlineStr">
        <is>
          <t>JavaScript</t>
        </is>
      </c>
      <c r="O22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51" s="11" t="inlineStr">
        <is>
          <t>To Do</t>
        </is>
      </c>
    </row>
    <row r="2252" ht="15.75" customHeight="1" s="12">
      <c r="A2252" s="1" t="n">
        <v>3025</v>
      </c>
      <c r="B2252" s="3">
        <f>HYPERLINK("https://leetcode.com/problems/find-the-number-of-ways-to-place-people-i/", "Find the Number of Ways to Place People I")</f>
        <v/>
      </c>
      <c r="C2252" s="1" t="n">
        <v>484</v>
      </c>
      <c r="D2252" s="1" t="n">
        <v>180</v>
      </c>
      <c r="E2252" s="4">
        <f>IF(INDEX(C:C, ROW())+INDEX(D:D, ROW())=0, 0, INDEX(C:C, ROW())/(INDEX(C:C, ROW())+INDEX(D:D, ROW())))</f>
        <v/>
      </c>
      <c r="F2252" s="1" t="inlineStr">
        <is>
          <t>Array, Math, Geometry, Sorting, Enumeration</t>
        </is>
      </c>
      <c r="G2252" s="1" t="inlineStr">
        <is>
          <t>Medium</t>
        </is>
      </c>
      <c r="H2252" s="1" t="n">
        <v>115862</v>
      </c>
      <c r="I2252" s="1" t="n">
        <v>181021</v>
      </c>
      <c r="J2252" s="9" t="n">
        <v>0.64</v>
      </c>
      <c r="K2252" s="1" t="inlineStr">
        <is>
          <t>Yes</t>
        </is>
      </c>
      <c r="L2252" s="1" t="inlineStr">
        <is>
          <t>Yes</t>
        </is>
      </c>
      <c r="M2252" s="1" t="inlineStr">
        <is>
          <t>No</t>
        </is>
      </c>
      <c r="N2252" s="1" t="inlineStr">
        <is>
          <t>Algorithms</t>
        </is>
      </c>
      <c r="O22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52" s="11" t="inlineStr">
        <is>
          <t>To Do</t>
        </is>
      </c>
    </row>
    <row r="2253" ht="15.75" customHeight="1" s="12">
      <c r="A2253" s="1" t="n">
        <v>3719</v>
      </c>
      <c r="B2253" s="3">
        <f>HYPERLINK("https://leetcode.com/problems/longest-balanced-subarray-i/", "Longest Balanced Subarray I")</f>
        <v/>
      </c>
      <c r="C2253" s="1" t="n">
        <v>484</v>
      </c>
      <c r="D2253" s="1" t="n">
        <v>42</v>
      </c>
      <c r="E2253" s="4">
        <f>IF(INDEX(C:C, ROW())+INDEX(D:D, ROW())=0, 0, INDEX(C:C, ROW())/(INDEX(C:C, ROW())+INDEX(D:D, ROW())))</f>
        <v/>
      </c>
      <c r="F2253" s="1" t="inlineStr">
        <is>
          <t>Array, Hash Table, Divide and Conquer, Segment Tree, Prefix Sum</t>
        </is>
      </c>
      <c r="G2253" s="1" t="inlineStr">
        <is>
          <t>Medium</t>
        </is>
      </c>
      <c r="H2253" s="1" t="n">
        <v>143929</v>
      </c>
      <c r="I2253" s="1" t="n">
        <v>219238</v>
      </c>
      <c r="J2253" s="9" t="n">
        <v>0.656</v>
      </c>
      <c r="K2253" s="1" t="inlineStr">
        <is>
          <t>Yes</t>
        </is>
      </c>
      <c r="L2253" s="1" t="inlineStr">
        <is>
          <t>Yes</t>
        </is>
      </c>
      <c r="M2253" s="1" t="inlineStr">
        <is>
          <t>No</t>
        </is>
      </c>
      <c r="N2253" s="1" t="inlineStr">
        <is>
          <t>Algorithms</t>
        </is>
      </c>
      <c r="O22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53" s="11" t="inlineStr">
        <is>
          <t>To Do</t>
        </is>
      </c>
    </row>
    <row r="2254" ht="15.75" customHeight="1" s="12">
      <c r="A2254" s="1" t="n">
        <v>478</v>
      </c>
      <c r="B2254" s="3">
        <f>HYPERLINK("https://leetcode.com/problems/generate-random-point-in-a-circle/", "Generate Random Point in a Circle")</f>
        <v/>
      </c>
      <c r="C2254" s="1" t="n">
        <v>483</v>
      </c>
      <c r="D2254" s="1" t="n">
        <v>784</v>
      </c>
      <c r="E2254" s="4">
        <f>IF(INDEX(C:C, ROW())+INDEX(D:D, ROW())=0, 0, INDEX(C:C, ROW())/(INDEX(C:C, ROW())+INDEX(D:D, ROW())))</f>
        <v/>
      </c>
      <c r="F2254" s="1" t="inlineStr">
        <is>
          <t>Math, Geometry, Rejection Sampling, Randomized</t>
        </is>
      </c>
      <c r="G2254" s="1" t="inlineStr">
        <is>
          <t>Medium</t>
        </is>
      </c>
      <c r="H2254" s="1" t="n">
        <v>54606</v>
      </c>
      <c r="I2254" s="1" t="n">
        <v>127400</v>
      </c>
      <c r="J2254" s="9" t="n">
        <v>0.429</v>
      </c>
      <c r="K2254" s="1" t="inlineStr">
        <is>
          <t>Yes</t>
        </is>
      </c>
      <c r="L2254" s="1" t="inlineStr">
        <is>
          <t>Yes</t>
        </is>
      </c>
      <c r="M2254" s="1" t="inlineStr">
        <is>
          <t>No</t>
        </is>
      </c>
      <c r="N2254" s="1" t="inlineStr">
        <is>
          <t>Algorithms</t>
        </is>
      </c>
      <c r="O22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54" s="11" t="inlineStr">
        <is>
          <t>To Do</t>
        </is>
      </c>
    </row>
    <row r="2255" ht="15.75" customHeight="1" s="12">
      <c r="A2255" s="1" t="n">
        <v>3136</v>
      </c>
      <c r="B2255" s="3">
        <f>HYPERLINK("https://leetcode.com/problems/valid-word/", "Valid Word")</f>
        <v/>
      </c>
      <c r="C2255" s="1" t="n">
        <v>483</v>
      </c>
      <c r="D2255" s="1" t="n">
        <v>170</v>
      </c>
      <c r="E2255" s="4">
        <f>IF(INDEX(C:C, ROW())+INDEX(D:D, ROW())=0, 0, INDEX(C:C, ROW())/(INDEX(C:C, ROW())+INDEX(D:D, ROW())))</f>
        <v/>
      </c>
      <c r="F2255" s="1" t="inlineStr">
        <is>
          <t>String</t>
        </is>
      </c>
      <c r="G2255" s="1" t="inlineStr">
        <is>
          <t>Easy</t>
        </is>
      </c>
      <c r="H2255" s="1" t="n">
        <v>208755</v>
      </c>
      <c r="I2255" s="1" t="n">
        <v>410351</v>
      </c>
      <c r="J2255" s="9" t="n">
        <v>0.509</v>
      </c>
      <c r="K2255" s="1" t="inlineStr">
        <is>
          <t>Yes</t>
        </is>
      </c>
      <c r="L2255" s="1" t="inlineStr">
        <is>
          <t>Yes</t>
        </is>
      </c>
      <c r="M2255" s="1" t="inlineStr">
        <is>
          <t>No</t>
        </is>
      </c>
      <c r="N2255" s="1" t="inlineStr">
        <is>
          <t>Algorithms</t>
        </is>
      </c>
      <c r="O22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55" s="13" t="inlineStr">
        <is>
          <t>Done</t>
        </is>
      </c>
    </row>
    <row r="2256" ht="15.75" customHeight="1" s="12">
      <c r="A2256" s="1" t="n">
        <v>2128</v>
      </c>
      <c r="B2256" s="3">
        <f>HYPERLINK("https://leetcode.com/problems/remove-all-ones-with-row-and-column-flips/", "Remove All Ones With Row and Column Flips")</f>
        <v/>
      </c>
      <c r="C2256" s="1" t="n">
        <v>482</v>
      </c>
      <c r="D2256" s="1" t="n">
        <v>189</v>
      </c>
      <c r="E2256" s="4">
        <f>IF(INDEX(C:C, ROW())+INDEX(D:D, ROW())=0, 0, INDEX(C:C, ROW())/(INDEX(C:C, ROW())+INDEX(D:D, ROW())))</f>
        <v/>
      </c>
      <c r="F2256" s="1" t="inlineStr">
        <is>
          <t>Array, Math, Bit Manipulation, Matrix</t>
        </is>
      </c>
      <c r="G2256" s="1" t="inlineStr">
        <is>
          <t>Medium</t>
        </is>
      </c>
      <c r="H2256" s="1" t="n">
        <v>34727</v>
      </c>
      <c r="I2256" s="1" t="n">
        <v>45579</v>
      </c>
      <c r="J2256" s="9" t="n">
        <v>0.762</v>
      </c>
      <c r="K2256" s="1" t="inlineStr">
        <is>
          <t>No</t>
        </is>
      </c>
      <c r="L2256" s="1" t="inlineStr">
        <is>
          <t>No</t>
        </is>
      </c>
      <c r="M2256" s="1" t="inlineStr">
        <is>
          <t>No</t>
        </is>
      </c>
      <c r="N2256" s="1" t="inlineStr">
        <is>
          <t>Algorithms</t>
        </is>
      </c>
      <c r="O22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56" s="11" t="inlineStr">
        <is>
          <t>To Do</t>
        </is>
      </c>
    </row>
    <row r="2257" ht="15.75" customHeight="1" s="12">
      <c r="A2257" s="1" t="n">
        <v>2866</v>
      </c>
      <c r="B2257" s="3">
        <f>HYPERLINK("https://leetcode.com/problems/beautiful-towers-ii/", "Beautiful Towers II")</f>
        <v/>
      </c>
      <c r="C2257" s="1" t="n">
        <v>482</v>
      </c>
      <c r="D2257" s="1" t="n">
        <v>32</v>
      </c>
      <c r="E2257" s="4">
        <f>IF(INDEX(C:C, ROW())+INDEX(D:D, ROW())=0, 0, INDEX(C:C, ROW())/(INDEX(C:C, ROW())+INDEX(D:D, ROW())))</f>
        <v/>
      </c>
      <c r="F2257" s="1" t="inlineStr">
        <is>
          <t>Array, Stack, Monotonic Stack</t>
        </is>
      </c>
      <c r="G2257" s="1" t="inlineStr">
        <is>
          <t>Medium</t>
        </is>
      </c>
      <c r="H2257" s="1" t="n">
        <v>18589</v>
      </c>
      <c r="I2257" s="1" t="n">
        <v>51075</v>
      </c>
      <c r="J2257" s="9" t="n">
        <v>0.364</v>
      </c>
      <c r="K2257" s="1" t="inlineStr">
        <is>
          <t>Yes</t>
        </is>
      </c>
      <c r="L2257" s="1" t="inlineStr">
        <is>
          <t>No</t>
        </is>
      </c>
      <c r="M2257" s="1" t="inlineStr">
        <is>
          <t>No</t>
        </is>
      </c>
      <c r="N2257" s="1" t="inlineStr">
        <is>
          <t>Algorithms</t>
        </is>
      </c>
      <c r="O22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57" s="11" t="inlineStr">
        <is>
          <t>To Do</t>
        </is>
      </c>
    </row>
    <row r="2258" ht="15.75" customHeight="1" s="12">
      <c r="A2258" s="1" t="n">
        <v>1053</v>
      </c>
      <c r="B2258" s="3">
        <f>HYPERLINK("https://leetcode.com/problems/previous-permutation-with-one-swap/", "Previous Permutation With One Swap")</f>
        <v/>
      </c>
      <c r="C2258" s="1" t="n">
        <v>481</v>
      </c>
      <c r="D2258" s="1" t="n">
        <v>44</v>
      </c>
      <c r="E2258" s="4">
        <f>IF(INDEX(C:C, ROW())+INDEX(D:D, ROW())=0, 0, INDEX(C:C, ROW())/(INDEX(C:C, ROW())+INDEX(D:D, ROW())))</f>
        <v/>
      </c>
      <c r="F2258" s="1" t="inlineStr">
        <is>
          <t>Array, Greedy</t>
        </is>
      </c>
      <c r="G2258" s="1" t="inlineStr">
        <is>
          <t>Medium</t>
        </is>
      </c>
      <c r="H2258" s="1" t="n">
        <v>48834</v>
      </c>
      <c r="I2258" s="1" t="n">
        <v>99202</v>
      </c>
      <c r="J2258" s="9" t="n">
        <v>0.492</v>
      </c>
      <c r="K2258" s="1" t="inlineStr">
        <is>
          <t>Yes</t>
        </is>
      </c>
      <c r="L2258" s="1" t="inlineStr">
        <is>
          <t>No</t>
        </is>
      </c>
      <c r="M2258" s="1" t="inlineStr">
        <is>
          <t>No</t>
        </is>
      </c>
      <c r="N2258" s="1" t="inlineStr">
        <is>
          <t>Algorithms</t>
        </is>
      </c>
      <c r="O22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58" s="11" t="inlineStr">
        <is>
          <t>To Do</t>
        </is>
      </c>
    </row>
    <row r="2259" ht="15.75" customHeight="1" s="12">
      <c r="A2259" s="1" t="n">
        <v>982</v>
      </c>
      <c r="B2259" s="3">
        <f>HYPERLINK("https://leetcode.com/problems/triples-with-bitwise-and-equal-to-zero/", "Triples with Bitwise AND Equal To Zero")</f>
        <v/>
      </c>
      <c r="C2259" s="1" t="n">
        <v>480</v>
      </c>
      <c r="D2259" s="1" t="n">
        <v>222</v>
      </c>
      <c r="E2259" s="4">
        <f>IF(INDEX(C:C, ROW())+INDEX(D:D, ROW())=0, 0, INDEX(C:C, ROW())/(INDEX(C:C, ROW())+INDEX(D:D, ROW())))</f>
        <v/>
      </c>
      <c r="F2259" s="1" t="inlineStr">
        <is>
          <t>Array, Hash Table, Bit Manipulation</t>
        </is>
      </c>
      <c r="G2259" s="1" t="inlineStr">
        <is>
          <t>Hard</t>
        </is>
      </c>
      <c r="H2259" s="1" t="n">
        <v>24836</v>
      </c>
      <c r="I2259" s="1" t="n">
        <v>41400</v>
      </c>
      <c r="J2259" s="9" t="n">
        <v>0.6</v>
      </c>
      <c r="K2259" s="1" t="inlineStr">
        <is>
          <t>Yes</t>
        </is>
      </c>
      <c r="L2259" s="1" t="inlineStr">
        <is>
          <t>No</t>
        </is>
      </c>
      <c r="M2259" s="1" t="inlineStr">
        <is>
          <t>No</t>
        </is>
      </c>
      <c r="N2259" s="1" t="inlineStr">
        <is>
          <t>Algorithms</t>
        </is>
      </c>
      <c r="O22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59" s="11" t="inlineStr">
        <is>
          <t>To Do</t>
        </is>
      </c>
    </row>
    <row r="2260" ht="15.75" customHeight="1" s="12">
      <c r="A2260" s="1" t="n">
        <v>1150</v>
      </c>
      <c r="B2260" s="3">
        <f>HYPERLINK("https://leetcode.com/problems/check-if-a-number-is-majority-element-in-a-sorted-array/", "Check If a Number Is Majority Element in a Sorted Array")</f>
        <v/>
      </c>
      <c r="C2260" s="1" t="n">
        <v>480</v>
      </c>
      <c r="D2260" s="1" t="n">
        <v>36</v>
      </c>
      <c r="E2260" s="4">
        <f>IF(INDEX(C:C, ROW())+INDEX(D:D, ROW())=0, 0, INDEX(C:C, ROW())/(INDEX(C:C, ROW())+INDEX(D:D, ROW())))</f>
        <v/>
      </c>
      <c r="F2260" s="1" t="inlineStr">
        <is>
          <t>Array, Binary Search</t>
        </is>
      </c>
      <c r="G2260" s="1" t="inlineStr">
        <is>
          <t>Easy</t>
        </is>
      </c>
      <c r="H2260" s="1" t="n">
        <v>62258</v>
      </c>
      <c r="I2260" s="1" t="n">
        <v>103910</v>
      </c>
      <c r="J2260" s="9" t="n">
        <v>0.599</v>
      </c>
      <c r="K2260" s="1" t="inlineStr">
        <is>
          <t>No</t>
        </is>
      </c>
      <c r="L2260" s="1" t="inlineStr">
        <is>
          <t>Yes</t>
        </is>
      </c>
      <c r="M2260" s="1" t="inlineStr">
        <is>
          <t>No</t>
        </is>
      </c>
      <c r="N2260" s="1" t="inlineStr">
        <is>
          <t>Algorithms</t>
        </is>
      </c>
      <c r="O22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60" s="11" t="inlineStr">
        <is>
          <t>To Do</t>
        </is>
      </c>
    </row>
    <row r="2261" ht="15.75" customHeight="1" s="12">
      <c r="A2261" s="1" t="n">
        <v>1272</v>
      </c>
      <c r="B2261" s="3">
        <f>HYPERLINK("https://leetcode.com/problems/remove-interval/", "Remove Interval")</f>
        <v/>
      </c>
      <c r="C2261" s="1" t="n">
        <v>480</v>
      </c>
      <c r="D2261" s="1" t="n">
        <v>36</v>
      </c>
      <c r="E2261" s="4">
        <f>IF(INDEX(C:C, ROW())+INDEX(D:D, ROW())=0, 0, INDEX(C:C, ROW())/(INDEX(C:C, ROW())+INDEX(D:D, ROW())))</f>
        <v/>
      </c>
      <c r="F2261" s="1" t="inlineStr">
        <is>
          <t>Array</t>
        </is>
      </c>
      <c r="G2261" s="1" t="inlineStr">
        <is>
          <t>Medium</t>
        </is>
      </c>
      <c r="H2261" s="1" t="n">
        <v>42544</v>
      </c>
      <c r="I2261" s="1" t="n">
        <v>63298</v>
      </c>
      <c r="J2261" s="9" t="n">
        <v>0.672</v>
      </c>
      <c r="K2261" s="1" t="inlineStr">
        <is>
          <t>No</t>
        </is>
      </c>
      <c r="L2261" s="1" t="inlineStr">
        <is>
          <t>Yes</t>
        </is>
      </c>
      <c r="M2261" s="1" t="inlineStr">
        <is>
          <t>Yes</t>
        </is>
      </c>
      <c r="N2261" s="1" t="inlineStr">
        <is>
          <t>Algorithms</t>
        </is>
      </c>
      <c r="O22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61" s="11" t="inlineStr">
        <is>
          <t>To Do</t>
        </is>
      </c>
    </row>
    <row r="2262" ht="15.75" customHeight="1" s="12">
      <c r="A2262" s="1" t="n">
        <v>2514</v>
      </c>
      <c r="B2262" s="3">
        <f>HYPERLINK("https://leetcode.com/problems/count-anagrams/", "Count Anagrams")</f>
        <v/>
      </c>
      <c r="C2262" s="1" t="n">
        <v>480</v>
      </c>
      <c r="D2262" s="1" t="n">
        <v>45</v>
      </c>
      <c r="E2262" s="4">
        <f>IF(INDEX(C:C, ROW())+INDEX(D:D, ROW())=0, 0, INDEX(C:C, ROW())/(INDEX(C:C, ROW())+INDEX(D:D, ROW())))</f>
        <v/>
      </c>
      <c r="F2262" s="1" t="inlineStr">
        <is>
          <t>Hash Table, Math, String, Combinatorics, Counting</t>
        </is>
      </c>
      <c r="G2262" s="1" t="inlineStr">
        <is>
          <t>Hard</t>
        </is>
      </c>
      <c r="H2262" s="1" t="n">
        <v>20631</v>
      </c>
      <c r="I2262" s="1" t="n">
        <v>54903</v>
      </c>
      <c r="J2262" s="9" t="n">
        <v>0.376</v>
      </c>
      <c r="K2262" s="1" t="inlineStr">
        <is>
          <t>Yes</t>
        </is>
      </c>
      <c r="L2262" s="1" t="inlineStr">
        <is>
          <t>No</t>
        </is>
      </c>
      <c r="M2262" s="1" t="inlineStr">
        <is>
          <t>No</t>
        </is>
      </c>
      <c r="N2262" s="1" t="inlineStr">
        <is>
          <t>Algorithms</t>
        </is>
      </c>
      <c r="O22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62" s="11" t="inlineStr">
        <is>
          <t>To Do</t>
        </is>
      </c>
    </row>
    <row r="2263" ht="15.75" customHeight="1" s="12">
      <c r="A2263" s="1" t="n">
        <v>1872</v>
      </c>
      <c r="B2263" s="3">
        <f>HYPERLINK("https://leetcode.com/problems/stone-game-viii/", "Stone Game VIII")</f>
        <v/>
      </c>
      <c r="C2263" s="1" t="n">
        <v>479</v>
      </c>
      <c r="D2263" s="1" t="n">
        <v>25</v>
      </c>
      <c r="E2263" s="4">
        <f>IF(INDEX(C:C, ROW())+INDEX(D:D, ROW())=0, 0, INDEX(C:C, ROW())/(INDEX(C:C, ROW())+INDEX(D:D, ROW())))</f>
        <v/>
      </c>
      <c r="F2263" s="1" t="inlineStr">
        <is>
          <t>Array, Math, Dynamic Programming, Prefix Sum, Game Theory</t>
        </is>
      </c>
      <c r="G2263" s="1" t="inlineStr">
        <is>
          <t>Hard</t>
        </is>
      </c>
      <c r="H2263" s="1" t="n">
        <v>13168</v>
      </c>
      <c r="I2263" s="1" t="n">
        <v>24424</v>
      </c>
      <c r="J2263" s="9" t="n">
        <v>0.539</v>
      </c>
      <c r="K2263" s="1" t="inlineStr">
        <is>
          <t>Yes</t>
        </is>
      </c>
      <c r="L2263" s="1" t="inlineStr">
        <is>
          <t>No</t>
        </is>
      </c>
      <c r="M2263" s="1" t="inlineStr">
        <is>
          <t>No</t>
        </is>
      </c>
      <c r="N2263" s="1" t="inlineStr">
        <is>
          <t>Algorithms</t>
        </is>
      </c>
      <c r="O22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63" s="11" t="inlineStr">
        <is>
          <t>To Do</t>
        </is>
      </c>
    </row>
    <row r="2264" ht="15.75" customHeight="1" s="12">
      <c r="A2264" s="1" t="n">
        <v>2240</v>
      </c>
      <c r="B2264" s="3">
        <f>HYPERLINK("https://leetcode.com/problems/number-of-ways-to-buy-pens-and-pencils/", "Number of Ways to Buy Pens and Pencils")</f>
        <v/>
      </c>
      <c r="C2264" s="1" t="n">
        <v>479</v>
      </c>
      <c r="D2264" s="1" t="n">
        <v>37</v>
      </c>
      <c r="E2264" s="4">
        <f>IF(INDEX(C:C, ROW())+INDEX(D:D, ROW())=0, 0, INDEX(C:C, ROW())/(INDEX(C:C, ROW())+INDEX(D:D, ROW())))</f>
        <v/>
      </c>
      <c r="F2264" s="1" t="inlineStr">
        <is>
          <t>Math, Enumeration</t>
        </is>
      </c>
      <c r="G2264" s="1" t="inlineStr">
        <is>
          <t>Medium</t>
        </is>
      </c>
      <c r="H2264" s="1" t="n">
        <v>39678</v>
      </c>
      <c r="I2264" s="1" t="n">
        <v>69831</v>
      </c>
      <c r="J2264" s="9" t="n">
        <v>0.5679999999999999</v>
      </c>
      <c r="K2264" s="1" t="inlineStr">
        <is>
          <t>Yes</t>
        </is>
      </c>
      <c r="L2264" s="1" t="inlineStr">
        <is>
          <t>No</t>
        </is>
      </c>
      <c r="M2264" s="1" t="inlineStr">
        <is>
          <t>No</t>
        </is>
      </c>
      <c r="N2264" s="1" t="inlineStr">
        <is>
          <t>Algorithms</t>
        </is>
      </c>
      <c r="O22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64" s="11" t="inlineStr">
        <is>
          <t>To Do</t>
        </is>
      </c>
    </row>
    <row r="2265" ht="15.75" customHeight="1" s="12">
      <c r="A2265" s="1" t="n">
        <v>2538</v>
      </c>
      <c r="B2265" s="3">
        <f>HYPERLINK("https://leetcode.com/problems/difference-between-maximum-and-minimum-price-sum/", "Difference Between Maximum and Minimum Price Sum")</f>
        <v/>
      </c>
      <c r="C2265" s="1" t="n">
        <v>479</v>
      </c>
      <c r="D2265" s="1" t="n">
        <v>20</v>
      </c>
      <c r="E2265" s="4">
        <f>IF(INDEX(C:C, ROW())+INDEX(D:D, ROW())=0, 0, INDEX(C:C, ROW())/(INDEX(C:C, ROW())+INDEX(D:D, ROW())))</f>
        <v/>
      </c>
      <c r="F2265" s="1" t="inlineStr">
        <is>
          <t>Array, Dynamic Programming, Tree, Depth-First Search</t>
        </is>
      </c>
      <c r="G2265" s="1" t="inlineStr">
        <is>
          <t>Hard</t>
        </is>
      </c>
      <c r="H2265" s="1" t="n">
        <v>11149</v>
      </c>
      <c r="I2265" s="1" t="n">
        <v>33300</v>
      </c>
      <c r="J2265" s="9" t="n">
        <v>0.335</v>
      </c>
      <c r="K2265" s="1" t="inlineStr">
        <is>
          <t>Yes</t>
        </is>
      </c>
      <c r="L2265" s="1" t="inlineStr">
        <is>
          <t>No</t>
        </is>
      </c>
      <c r="M2265" s="1" t="inlineStr">
        <is>
          <t>No</t>
        </is>
      </c>
      <c r="N2265" s="1" t="inlineStr">
        <is>
          <t>Algorithms</t>
        </is>
      </c>
      <c r="O22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65" s="11" t="inlineStr">
        <is>
          <t>To Do</t>
        </is>
      </c>
    </row>
    <row r="2266" ht="15.75" customHeight="1" s="12">
      <c r="A2266" s="1" t="n">
        <v>2770</v>
      </c>
      <c r="B2266" s="3">
        <f>HYPERLINK("https://leetcode.com/problems/maximum-number-of-jumps-to-reach-the-last-index/", "Maximum Number of Jumps to Reach the Last Index")</f>
        <v/>
      </c>
      <c r="C2266" s="1" t="n">
        <v>478</v>
      </c>
      <c r="D2266" s="1" t="n">
        <v>14</v>
      </c>
      <c r="E2266" s="4">
        <f>IF(INDEX(C:C, ROW())+INDEX(D:D, ROW())=0, 0, INDEX(C:C, ROW())/(INDEX(C:C, ROW())+INDEX(D:D, ROW())))</f>
        <v/>
      </c>
      <c r="F2266" s="1" t="inlineStr">
        <is>
          <t>Array, Dynamic Programming</t>
        </is>
      </c>
      <c r="G2266" s="1" t="inlineStr">
        <is>
          <t>Medium</t>
        </is>
      </c>
      <c r="H2266" s="1" t="n">
        <v>35406</v>
      </c>
      <c r="I2266" s="1" t="n">
        <v>107859</v>
      </c>
      <c r="J2266" s="9" t="n">
        <v>0.328</v>
      </c>
      <c r="K2266" s="1" t="inlineStr">
        <is>
          <t>Yes</t>
        </is>
      </c>
      <c r="L2266" s="1" t="inlineStr">
        <is>
          <t>Yes</t>
        </is>
      </c>
      <c r="M2266" s="1" t="inlineStr">
        <is>
          <t>No</t>
        </is>
      </c>
      <c r="N2266" s="1" t="inlineStr">
        <is>
          <t>Algorithms</t>
        </is>
      </c>
      <c r="O22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66" s="11" t="inlineStr">
        <is>
          <t>To Do</t>
        </is>
      </c>
    </row>
    <row r="2267" ht="15.75" customHeight="1" s="12">
      <c r="A2267" s="1" t="n">
        <v>3487</v>
      </c>
      <c r="B2267" s="3">
        <f>HYPERLINK("https://leetcode.com/problems/maximum-unique-subarray-sum-after-deletion/", "Maximum Unique Subarray Sum After Deletion")</f>
        <v/>
      </c>
      <c r="C2267" s="1" t="n">
        <v>478</v>
      </c>
      <c r="D2267" s="1" t="n">
        <v>79</v>
      </c>
      <c r="E2267" s="4">
        <f>IF(INDEX(C:C, ROW())+INDEX(D:D, ROW())=0, 0, INDEX(C:C, ROW())/(INDEX(C:C, ROW())+INDEX(D:D, ROW())))</f>
        <v/>
      </c>
      <c r="F2267" s="1" t="inlineStr">
        <is>
          <t>Array, Hash Table, Greedy</t>
        </is>
      </c>
      <c r="G2267" s="1" t="inlineStr">
        <is>
          <t>Easy</t>
        </is>
      </c>
      <c r="H2267" s="1" t="n">
        <v>158133</v>
      </c>
      <c r="I2267" s="1" t="n">
        <v>390693</v>
      </c>
      <c r="J2267" s="9" t="n">
        <v>0.405</v>
      </c>
      <c r="K2267" s="1" t="inlineStr">
        <is>
          <t>Yes</t>
        </is>
      </c>
      <c r="L2267" s="1" t="inlineStr">
        <is>
          <t>Yes</t>
        </is>
      </c>
      <c r="M2267" s="1" t="inlineStr">
        <is>
          <t>No</t>
        </is>
      </c>
      <c r="N2267" s="1" t="inlineStr">
        <is>
          <t>Algorithms</t>
        </is>
      </c>
      <c r="O22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67" s="13" t="inlineStr">
        <is>
          <t>Done</t>
        </is>
      </c>
    </row>
    <row r="2268" ht="15.75" customHeight="1" s="12">
      <c r="A2268" s="1" t="n">
        <v>1878</v>
      </c>
      <c r="B2268" s="3">
        <f>HYPERLINK("https://leetcode.com/problems/get-biggest-three-rhombus-sums-in-a-grid/", "Get Biggest Three Rhombus Sums in a Grid")</f>
        <v/>
      </c>
      <c r="C2268" s="1" t="n">
        <v>477</v>
      </c>
      <c r="D2268" s="1" t="n">
        <v>601</v>
      </c>
      <c r="E2268" s="4">
        <f>IF(INDEX(C:C, ROW())+INDEX(D:D, ROW())=0, 0, INDEX(C:C, ROW())/(INDEX(C:C, ROW())+INDEX(D:D, ROW())))</f>
        <v/>
      </c>
      <c r="F2268" s="1" t="inlineStr">
        <is>
          <t>Array, Math, Sorting, Heap (Priority Queue), Matrix, Prefix Sum</t>
        </is>
      </c>
      <c r="G2268" s="1" t="inlineStr">
        <is>
          <t>Medium</t>
        </is>
      </c>
      <c r="H2268" s="1" t="n">
        <v>88596</v>
      </c>
      <c r="I2268" s="1" t="n">
        <v>124155</v>
      </c>
      <c r="J2268" s="9" t="n">
        <v>0.714</v>
      </c>
      <c r="K2268" s="1" t="inlineStr">
        <is>
          <t>Yes</t>
        </is>
      </c>
      <c r="L2268" s="1" t="inlineStr">
        <is>
          <t>Yes</t>
        </is>
      </c>
      <c r="M2268" s="1" t="inlineStr">
        <is>
          <t>No</t>
        </is>
      </c>
      <c r="N2268" s="1" t="inlineStr">
        <is>
          <t>Algorithms</t>
        </is>
      </c>
      <c r="O22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68" s="11" t="inlineStr">
        <is>
          <t>To Do</t>
        </is>
      </c>
    </row>
    <row r="2269" ht="15.75" customHeight="1" s="12">
      <c r="A2269" s="1" t="n">
        <v>2750</v>
      </c>
      <c r="B2269" s="3">
        <f>HYPERLINK("https://leetcode.com/problems/ways-to-split-array-into-good-subarrays/", "Ways to Split Array Into Good Subarrays")</f>
        <v/>
      </c>
      <c r="C2269" s="1" t="n">
        <v>475</v>
      </c>
      <c r="D2269" s="1" t="n">
        <v>14</v>
      </c>
      <c r="E2269" s="4">
        <f>IF(INDEX(C:C, ROW())+INDEX(D:D, ROW())=0, 0, INDEX(C:C, ROW())/(INDEX(C:C, ROW())+INDEX(D:D, ROW())))</f>
        <v/>
      </c>
      <c r="F2269" s="1" t="inlineStr">
        <is>
          <t>Array, Math, Dynamic Programming</t>
        </is>
      </c>
      <c r="G2269" s="1" t="inlineStr">
        <is>
          <t>Medium</t>
        </is>
      </c>
      <c r="H2269" s="1" t="n">
        <v>28242</v>
      </c>
      <c r="I2269" s="1" t="n">
        <v>80605</v>
      </c>
      <c r="J2269" s="9" t="n">
        <v>0.35</v>
      </c>
      <c r="K2269" s="1" t="inlineStr">
        <is>
          <t>Yes</t>
        </is>
      </c>
      <c r="L2269" s="1" t="inlineStr">
        <is>
          <t>No</t>
        </is>
      </c>
      <c r="M2269" s="1" t="inlineStr">
        <is>
          <t>No</t>
        </is>
      </c>
      <c r="N2269" s="1" t="inlineStr">
        <is>
          <t>Algorithms</t>
        </is>
      </c>
      <c r="O22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69" s="11" t="inlineStr">
        <is>
          <t>To Do</t>
        </is>
      </c>
    </row>
    <row r="2270" ht="15.75" customHeight="1" s="12">
      <c r="A2270" s="1" t="n">
        <v>793</v>
      </c>
      <c r="B2270" s="3">
        <f>HYPERLINK("https://leetcode.com/problems/preimage-size-of-factorial-zeroes-function/", "Preimage Size of Factorial Zeroes Function")</f>
        <v/>
      </c>
      <c r="C2270" s="1" t="n">
        <v>474</v>
      </c>
      <c r="D2270" s="1" t="n">
        <v>104</v>
      </c>
      <c r="E2270" s="4">
        <f>IF(INDEX(C:C, ROW())+INDEX(D:D, ROW())=0, 0, INDEX(C:C, ROW())/(INDEX(C:C, ROW())+INDEX(D:D, ROW())))</f>
        <v/>
      </c>
      <c r="F2270" s="1" t="inlineStr">
        <is>
          <t>Math, Binary Search</t>
        </is>
      </c>
      <c r="G2270" s="1" t="inlineStr">
        <is>
          <t>Hard</t>
        </is>
      </c>
      <c r="H2270" s="1" t="n">
        <v>24647</v>
      </c>
      <c r="I2270" s="1" t="n">
        <v>52463</v>
      </c>
      <c r="J2270" s="9" t="n">
        <v>0.47</v>
      </c>
      <c r="K2270" s="1" t="inlineStr">
        <is>
          <t>Yes</t>
        </is>
      </c>
      <c r="L2270" s="1" t="inlineStr">
        <is>
          <t>Yes</t>
        </is>
      </c>
      <c r="M2270" s="1" t="inlineStr">
        <is>
          <t>No</t>
        </is>
      </c>
      <c r="N2270" s="1" t="inlineStr">
        <is>
          <t>Algorithms</t>
        </is>
      </c>
      <c r="O22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70" s="11" t="inlineStr">
        <is>
          <t>To Do</t>
        </is>
      </c>
    </row>
    <row r="2271" ht="15.75" customHeight="1" s="12">
      <c r="A2271" s="1" t="n">
        <v>2946</v>
      </c>
      <c r="B2271" s="3">
        <f>HYPERLINK("https://leetcode.com/problems/matrix-similarity-after-cyclic-shifts/", "Matrix Similarity After Cyclic Shifts")</f>
        <v/>
      </c>
      <c r="C2271" s="1" t="n">
        <v>474</v>
      </c>
      <c r="D2271" s="1" t="n">
        <v>92</v>
      </c>
      <c r="E2271" s="4">
        <f>IF(INDEX(C:C, ROW())+INDEX(D:D, ROW())=0, 0, INDEX(C:C, ROW())/(INDEX(C:C, ROW())+INDEX(D:D, ROW())))</f>
        <v/>
      </c>
      <c r="F2271" s="1" t="inlineStr">
        <is>
          <t>Array, Math, Matrix, Simulation</t>
        </is>
      </c>
      <c r="G2271" s="1" t="inlineStr">
        <is>
          <t>Easy</t>
        </is>
      </c>
      <c r="H2271" s="1" t="n">
        <v>130529</v>
      </c>
      <c r="I2271" s="1" t="n">
        <v>175612</v>
      </c>
      <c r="J2271" s="9" t="n">
        <v>0.743</v>
      </c>
      <c r="K2271" s="1" t="inlineStr">
        <is>
          <t>Yes</t>
        </is>
      </c>
      <c r="L2271" s="1" t="inlineStr">
        <is>
          <t>Yes</t>
        </is>
      </c>
      <c r="M2271" s="1" t="inlineStr">
        <is>
          <t>No</t>
        </is>
      </c>
      <c r="N2271" s="1" t="inlineStr">
        <is>
          <t>Algorithms</t>
        </is>
      </c>
      <c r="O22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71" s="13" t="inlineStr">
        <is>
          <t>Done</t>
        </is>
      </c>
    </row>
    <row r="2272" ht="15.75" customHeight="1" s="12">
      <c r="A2272" s="1" t="n">
        <v>3637</v>
      </c>
      <c r="B2272" s="3">
        <f>HYPERLINK("https://leetcode.com/problems/trionic-array-i/", "Trionic Array I")</f>
        <v/>
      </c>
      <c r="C2272" s="1" t="n">
        <v>474</v>
      </c>
      <c r="D2272" s="1" t="n">
        <v>40</v>
      </c>
      <c r="E2272" s="4">
        <f>IF(INDEX(C:C, ROW())+INDEX(D:D, ROW())=0, 0, INDEX(C:C, ROW())/(INDEX(C:C, ROW())+INDEX(D:D, ROW())))</f>
        <v/>
      </c>
      <c r="F2272" s="1" t="inlineStr">
        <is>
          <t>Array</t>
        </is>
      </c>
      <c r="G2272" s="1" t="inlineStr">
        <is>
          <t>Easy</t>
        </is>
      </c>
      <c r="H2272" s="1" t="n">
        <v>195822</v>
      </c>
      <c r="I2272" s="1" t="n">
        <v>395377</v>
      </c>
      <c r="J2272" s="9" t="n">
        <v>0.495</v>
      </c>
      <c r="K2272" s="1" t="inlineStr">
        <is>
          <t>Yes</t>
        </is>
      </c>
      <c r="L2272" s="1" t="inlineStr">
        <is>
          <t>Yes</t>
        </is>
      </c>
      <c r="M2272" s="1" t="inlineStr">
        <is>
          <t>No</t>
        </is>
      </c>
      <c r="N2272" s="1" t="inlineStr">
        <is>
          <t>Algorithms</t>
        </is>
      </c>
      <c r="O22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72" s="13" t="inlineStr">
        <is>
          <t>Done</t>
        </is>
      </c>
    </row>
    <row r="2273" ht="15.75" customHeight="1" s="12">
      <c r="A2273" s="1" t="n">
        <v>2744</v>
      </c>
      <c r="B2273" s="3">
        <f>HYPERLINK("https://leetcode.com/problems/find-maximum-number-of-string-pairs/", "Find Maximum Number of String Pairs")</f>
        <v/>
      </c>
      <c r="C2273" s="1" t="n">
        <v>473</v>
      </c>
      <c r="D2273" s="1" t="n">
        <v>19</v>
      </c>
      <c r="E2273" s="4">
        <f>IF(INDEX(C:C, ROW())+INDEX(D:D, ROW())=0, 0, INDEX(C:C, ROW())/(INDEX(C:C, ROW())+INDEX(D:D, ROW())))</f>
        <v/>
      </c>
      <c r="F2273" s="1" t="inlineStr">
        <is>
          <t>Array, Hash Table, String, Simulation</t>
        </is>
      </c>
      <c r="G2273" s="1" t="inlineStr">
        <is>
          <t>Easy</t>
        </is>
      </c>
      <c r="H2273" s="1" t="n">
        <v>116921</v>
      </c>
      <c r="I2273" s="1" t="n">
        <v>141825</v>
      </c>
      <c r="J2273" s="9" t="n">
        <v>0.824</v>
      </c>
      <c r="K2273" s="1" t="inlineStr">
        <is>
          <t>Yes</t>
        </is>
      </c>
      <c r="L2273" s="1" t="inlineStr">
        <is>
          <t>No</t>
        </is>
      </c>
      <c r="M2273" s="1" t="inlineStr">
        <is>
          <t>No</t>
        </is>
      </c>
      <c r="N2273" s="1" t="inlineStr">
        <is>
          <t>Algorithms</t>
        </is>
      </c>
      <c r="O22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73" s="13" t="inlineStr">
        <is>
          <t>Done</t>
        </is>
      </c>
    </row>
    <row r="2274" ht="15.75" customHeight="1" s="12">
      <c r="A2274" s="1" t="n">
        <v>1655</v>
      </c>
      <c r="B2274" s="3">
        <f>HYPERLINK("https://leetcode.com/problems/distribute-repeating-integers/", "Distribute Repeating Integers")</f>
        <v/>
      </c>
      <c r="C2274" s="1" t="n">
        <v>471</v>
      </c>
      <c r="D2274" s="1" t="n">
        <v>31</v>
      </c>
      <c r="E2274" s="4">
        <f>IF(INDEX(C:C, ROW())+INDEX(D:D, ROW())=0, 0, INDEX(C:C, ROW())/(INDEX(C:C, ROW())+INDEX(D:D, ROW())))</f>
        <v/>
      </c>
      <c r="F2274" s="1" t="inlineStr">
        <is>
          <t>Array, Hash Table, Dynamic Programming, Backtracking, Bit Manipulation, Counting, Bitmask</t>
        </is>
      </c>
      <c r="G2274" s="1" t="inlineStr">
        <is>
          <t>Hard</t>
        </is>
      </c>
      <c r="H2274" s="1" t="n">
        <v>21581</v>
      </c>
      <c r="I2274" s="1" t="n">
        <v>53128</v>
      </c>
      <c r="J2274" s="9" t="n">
        <v>0.406</v>
      </c>
      <c r="K2274" s="1" t="inlineStr">
        <is>
          <t>Yes</t>
        </is>
      </c>
      <c r="L2274" s="1" t="inlineStr">
        <is>
          <t>No</t>
        </is>
      </c>
      <c r="M2274" s="1" t="inlineStr">
        <is>
          <t>No</t>
        </is>
      </c>
      <c r="N2274" s="1" t="inlineStr">
        <is>
          <t>Algorithms</t>
        </is>
      </c>
      <c r="O22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74" s="11" t="inlineStr">
        <is>
          <t>To Do</t>
        </is>
      </c>
    </row>
    <row r="2275" ht="15.75" customHeight="1" s="12">
      <c r="A2275" s="1" t="n">
        <v>1890</v>
      </c>
      <c r="B2275" s="3">
        <f>HYPERLINK("https://leetcode.com/problems/the-latest-login-in-2020/", "The Latest Login in 2020")</f>
        <v/>
      </c>
      <c r="C2275" s="1" t="n">
        <v>471</v>
      </c>
      <c r="D2275" s="1" t="n">
        <v>20</v>
      </c>
      <c r="E2275" s="4">
        <f>IF(INDEX(C:C, ROW())+INDEX(D:D, ROW())=0, 0, INDEX(C:C, ROW())/(INDEX(C:C, ROW())+INDEX(D:D, ROW())))</f>
        <v/>
      </c>
      <c r="F2275" s="1" t="inlineStr">
        <is>
          <t>Database</t>
        </is>
      </c>
      <c r="G2275" s="1" t="inlineStr">
        <is>
          <t>Easy</t>
        </is>
      </c>
      <c r="H2275" s="1" t="n">
        <v>146868</v>
      </c>
      <c r="I2275" s="1" t="n">
        <v>190731</v>
      </c>
      <c r="J2275" s="9" t="n">
        <v>0.77</v>
      </c>
      <c r="K2275" s="1" t="inlineStr">
        <is>
          <t>Yes</t>
        </is>
      </c>
      <c r="L2275" s="1" t="inlineStr">
        <is>
          <t>Yes</t>
        </is>
      </c>
      <c r="M2275" s="1" t="inlineStr">
        <is>
          <t>No</t>
        </is>
      </c>
      <c r="N2275" s="1" t="inlineStr">
        <is>
          <t>Database</t>
        </is>
      </c>
      <c r="O22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75" s="13" t="inlineStr">
        <is>
          <t>Done</t>
        </is>
      </c>
    </row>
    <row r="2276" ht="15.75" customHeight="1" s="12">
      <c r="A2276" s="1" t="n">
        <v>2284</v>
      </c>
      <c r="B2276" s="3">
        <f>HYPERLINK("https://leetcode.com/problems/sender-with-largest-word-count/", "Sender With Largest Word Count")</f>
        <v/>
      </c>
      <c r="C2276" s="1" t="n">
        <v>471</v>
      </c>
      <c r="D2276" s="1" t="n">
        <v>41</v>
      </c>
      <c r="E2276" s="4">
        <f>IF(INDEX(C:C, ROW())+INDEX(D:D, ROW())=0, 0, INDEX(C:C, ROW())/(INDEX(C:C, ROW())+INDEX(D:D, ROW())))</f>
        <v/>
      </c>
      <c r="F2276" s="1" t="inlineStr">
        <is>
          <t>Array, Hash Table, String, Counting</t>
        </is>
      </c>
      <c r="G2276" s="1" t="inlineStr">
        <is>
          <t>Medium</t>
        </is>
      </c>
      <c r="H2276" s="1" t="n">
        <v>45415</v>
      </c>
      <c r="I2276" s="1" t="n">
        <v>76052</v>
      </c>
      <c r="J2276" s="9" t="n">
        <v>0.597</v>
      </c>
      <c r="K2276" s="1" t="inlineStr">
        <is>
          <t>Yes</t>
        </is>
      </c>
      <c r="L2276" s="1" t="inlineStr">
        <is>
          <t>No</t>
        </is>
      </c>
      <c r="M2276" s="1" t="inlineStr">
        <is>
          <t>No</t>
        </is>
      </c>
      <c r="N2276" s="1" t="inlineStr">
        <is>
          <t>Algorithms</t>
        </is>
      </c>
      <c r="O22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76" s="11" t="inlineStr">
        <is>
          <t>To Do</t>
        </is>
      </c>
    </row>
    <row r="2277" ht="15.75" customHeight="1" s="12">
      <c r="A2277" s="1" t="n">
        <v>1111</v>
      </c>
      <c r="B2277" s="3">
        <f>HYPERLINK("https://leetcode.com/problems/maximum-nesting-depth-of-two-valid-parentheses-strings/", "Maximum Nesting Depth of Two Valid Parentheses Strings")</f>
        <v/>
      </c>
      <c r="C2277" s="1" t="n">
        <v>470</v>
      </c>
      <c r="D2277" s="1" t="n">
        <v>1932</v>
      </c>
      <c r="E2277" s="4">
        <f>IF(INDEX(C:C, ROW())+INDEX(D:D, ROW())=0, 0, INDEX(C:C, ROW())/(INDEX(C:C, ROW())+INDEX(D:D, ROW())))</f>
        <v/>
      </c>
      <c r="F2277" s="1" t="inlineStr">
        <is>
          <t>String, Stack</t>
        </is>
      </c>
      <c r="G2277" s="1" t="inlineStr">
        <is>
          <t>Medium</t>
        </is>
      </c>
      <c r="H2277" s="1" t="n">
        <v>33795</v>
      </c>
      <c r="I2277" s="1" t="n">
        <v>47017</v>
      </c>
      <c r="J2277" s="9" t="n">
        <v>0.719</v>
      </c>
      <c r="K2277" s="1" t="inlineStr">
        <is>
          <t>Yes</t>
        </is>
      </c>
      <c r="L2277" s="1" t="inlineStr">
        <is>
          <t>No</t>
        </is>
      </c>
      <c r="M2277" s="1" t="inlineStr">
        <is>
          <t>No</t>
        </is>
      </c>
      <c r="N2277" s="1" t="inlineStr">
        <is>
          <t>Algorithms</t>
        </is>
      </c>
      <c r="O22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77" s="11" t="inlineStr">
        <is>
          <t>To Do</t>
        </is>
      </c>
    </row>
    <row r="2278" ht="15.75" customHeight="1" s="12">
      <c r="A2278" s="1" t="n">
        <v>1037</v>
      </c>
      <c r="B2278" s="3">
        <f>HYPERLINK("https://leetcode.com/problems/valid-boomerang/", "Valid Boomerang")</f>
        <v/>
      </c>
      <c r="C2278" s="1" t="n">
        <v>469</v>
      </c>
      <c r="D2278" s="1" t="n">
        <v>544</v>
      </c>
      <c r="E2278" s="4">
        <f>IF(INDEX(C:C, ROW())+INDEX(D:D, ROW())=0, 0, INDEX(C:C, ROW())/(INDEX(C:C, ROW())+INDEX(D:D, ROW())))</f>
        <v/>
      </c>
      <c r="F2278" s="1" t="inlineStr">
        <is>
          <t>Array, Math, Geometry</t>
        </is>
      </c>
      <c r="G2278" s="1" t="inlineStr">
        <is>
          <t>Easy</t>
        </is>
      </c>
      <c r="H2278" s="1" t="n">
        <v>76549</v>
      </c>
      <c r="I2278" s="1" t="n">
        <v>193621</v>
      </c>
      <c r="J2278" s="9" t="n">
        <v>0.395</v>
      </c>
      <c r="K2278" s="1" t="inlineStr">
        <is>
          <t>Yes</t>
        </is>
      </c>
      <c r="L2278" s="1" t="inlineStr">
        <is>
          <t>No</t>
        </is>
      </c>
      <c r="M2278" s="1" t="inlineStr">
        <is>
          <t>No</t>
        </is>
      </c>
      <c r="N2278" s="1" t="inlineStr">
        <is>
          <t>Algorithms</t>
        </is>
      </c>
      <c r="O22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78" s="13" t="inlineStr">
        <is>
          <t>Done</t>
        </is>
      </c>
    </row>
    <row r="2279" ht="15.75" customHeight="1" s="12">
      <c r="A2279" s="1" t="n">
        <v>2447</v>
      </c>
      <c r="B2279" s="3">
        <f>HYPERLINK("https://leetcode.com/problems/number-of-subarrays-with-gcd-equal-to-k/", "Number of Subarrays With GCD Equal to K")</f>
        <v/>
      </c>
      <c r="C2279" s="1" t="n">
        <v>469</v>
      </c>
      <c r="D2279" s="1" t="n">
        <v>71</v>
      </c>
      <c r="E2279" s="4">
        <f>IF(INDEX(C:C, ROW())+INDEX(D:D, ROW())=0, 0, INDEX(C:C, ROW())/(INDEX(C:C, ROW())+INDEX(D:D, ROW())))</f>
        <v/>
      </c>
      <c r="F2279" s="1" t="inlineStr">
        <is>
          <t>Array, Math, Number Theory</t>
        </is>
      </c>
      <c r="G2279" s="1" t="inlineStr">
        <is>
          <t>Medium</t>
        </is>
      </c>
      <c r="H2279" s="1" t="n">
        <v>34556</v>
      </c>
      <c r="I2279" s="1" t="n">
        <v>65787</v>
      </c>
      <c r="J2279" s="9" t="n">
        <v>0.525</v>
      </c>
      <c r="K2279" s="1" t="inlineStr">
        <is>
          <t>Yes</t>
        </is>
      </c>
      <c r="L2279" s="1" t="inlineStr">
        <is>
          <t>No</t>
        </is>
      </c>
      <c r="M2279" s="1" t="inlineStr">
        <is>
          <t>No</t>
        </is>
      </c>
      <c r="N2279" s="1" t="inlineStr">
        <is>
          <t>Algorithms</t>
        </is>
      </c>
      <c r="O22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79" s="11" t="inlineStr">
        <is>
          <t>To Do</t>
        </is>
      </c>
    </row>
    <row r="2280" ht="15.75" customHeight="1" s="12">
      <c r="A2280" s="1" t="n">
        <v>3272</v>
      </c>
      <c r="B2280" s="3">
        <f>HYPERLINK("https://leetcode.com/problems/find-the-count-of-good-integers/", "Find the Count of Good Integers")</f>
        <v/>
      </c>
      <c r="C2280" s="1" t="n">
        <v>469</v>
      </c>
      <c r="D2280" s="1" t="n">
        <v>112</v>
      </c>
      <c r="E2280" s="4">
        <f>IF(INDEX(C:C, ROW())+INDEX(D:D, ROW())=0, 0, INDEX(C:C, ROW())/(INDEX(C:C, ROW())+INDEX(D:D, ROW())))</f>
        <v/>
      </c>
      <c r="F2280" s="1" t="inlineStr">
        <is>
          <t>Hash Table, Math, Combinatorics, Enumeration</t>
        </is>
      </c>
      <c r="G2280" s="1" t="inlineStr">
        <is>
          <t>Hard</t>
        </is>
      </c>
      <c r="H2280" s="1" t="n">
        <v>73065</v>
      </c>
      <c r="I2280" s="1" t="n">
        <v>105452</v>
      </c>
      <c r="J2280" s="9" t="n">
        <v>0.6929999999999999</v>
      </c>
      <c r="K2280" s="1" t="inlineStr">
        <is>
          <t>Yes</t>
        </is>
      </c>
      <c r="L2280" s="1" t="inlineStr">
        <is>
          <t>Yes</t>
        </is>
      </c>
      <c r="M2280" s="1" t="inlineStr">
        <is>
          <t>No</t>
        </is>
      </c>
      <c r="N2280" s="1" t="inlineStr">
        <is>
          <t>Algorithms</t>
        </is>
      </c>
      <c r="O22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80" s="11" t="inlineStr">
        <is>
          <t>To Do</t>
        </is>
      </c>
    </row>
    <row r="2281" ht="15.75" customHeight="1" s="12">
      <c r="A2281" s="1" t="n">
        <v>3440</v>
      </c>
      <c r="B2281" s="3">
        <f>HYPERLINK("https://leetcode.com/problems/reschedule-meetings-for-maximum-free-time-ii/", "Reschedule Meetings for Maximum Free Time II")</f>
        <v/>
      </c>
      <c r="C2281" s="1" t="n">
        <v>469</v>
      </c>
      <c r="D2281" s="1" t="n">
        <v>26</v>
      </c>
      <c r="E2281" s="4">
        <f>IF(INDEX(C:C, ROW())+INDEX(D:D, ROW())=0, 0, INDEX(C:C, ROW())/(INDEX(C:C, ROW())+INDEX(D:D, ROW())))</f>
        <v/>
      </c>
      <c r="F2281" s="1" t="inlineStr">
        <is>
          <t>Array, Greedy, Enumeration</t>
        </is>
      </c>
      <c r="G2281" s="1" t="inlineStr">
        <is>
          <t>Medium</t>
        </is>
      </c>
      <c r="H2281" s="1" t="n">
        <v>84609</v>
      </c>
      <c r="I2281" s="1" t="n">
        <v>140166</v>
      </c>
      <c r="J2281" s="9" t="n">
        <v>0.604</v>
      </c>
      <c r="K2281" s="1" t="inlineStr">
        <is>
          <t>Yes</t>
        </is>
      </c>
      <c r="L2281" s="1" t="inlineStr">
        <is>
          <t>Yes</t>
        </is>
      </c>
      <c r="M2281" s="1" t="inlineStr">
        <is>
          <t>No</t>
        </is>
      </c>
      <c r="N2281" s="1" t="inlineStr">
        <is>
          <t>Algorithms</t>
        </is>
      </c>
      <c r="O22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81" s="11" t="inlineStr">
        <is>
          <t>To Do</t>
        </is>
      </c>
    </row>
    <row r="2282" ht="15.75" customHeight="1" s="12">
      <c r="A2282" s="1" t="n">
        <v>2547</v>
      </c>
      <c r="B2282" s="3">
        <f>HYPERLINK("https://leetcode.com/problems/minimum-cost-to-split-an-array/", "Minimum Cost to Split an Array")</f>
        <v/>
      </c>
      <c r="C2282" s="1" t="n">
        <v>468</v>
      </c>
      <c r="D2282" s="1" t="n">
        <v>31</v>
      </c>
      <c r="E2282" s="4">
        <f>IF(INDEX(C:C, ROW())+INDEX(D:D, ROW())=0, 0, INDEX(C:C, ROW())/(INDEX(C:C, ROW())+INDEX(D:D, ROW())))</f>
        <v/>
      </c>
      <c r="F2282" s="1" t="inlineStr">
        <is>
          <t>Array, Hash Table, Dynamic Programming, Counting</t>
        </is>
      </c>
      <c r="G2282" s="1" t="inlineStr">
        <is>
          <t>Hard</t>
        </is>
      </c>
      <c r="H2282" s="1" t="n">
        <v>16870</v>
      </c>
      <c r="I2282" s="1" t="n">
        <v>37974</v>
      </c>
      <c r="J2282" s="9" t="n">
        <v>0.444</v>
      </c>
      <c r="K2282" s="1" t="inlineStr">
        <is>
          <t>Yes</t>
        </is>
      </c>
      <c r="L2282" s="1" t="inlineStr">
        <is>
          <t>No</t>
        </is>
      </c>
      <c r="M2282" s="1" t="inlineStr">
        <is>
          <t>No</t>
        </is>
      </c>
      <c r="N2282" s="1" t="inlineStr">
        <is>
          <t>Algorithms</t>
        </is>
      </c>
      <c r="O22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82" s="11" t="inlineStr">
        <is>
          <t>To Do</t>
        </is>
      </c>
    </row>
    <row r="2283" ht="15.75" customHeight="1" s="12">
      <c r="A2283" s="1" t="n">
        <v>1862</v>
      </c>
      <c r="B2283" s="3">
        <f>HYPERLINK("https://leetcode.com/problems/sum-of-floored-pairs/", "Sum of Floored Pairs")</f>
        <v/>
      </c>
      <c r="C2283" s="1" t="n">
        <v>466</v>
      </c>
      <c r="D2283" s="1" t="n">
        <v>39</v>
      </c>
      <c r="E2283" s="4">
        <f>IF(INDEX(C:C, ROW())+INDEX(D:D, ROW())=0, 0, INDEX(C:C, ROW())/(INDEX(C:C, ROW())+INDEX(D:D, ROW())))</f>
        <v/>
      </c>
      <c r="F2283" s="1" t="inlineStr">
        <is>
          <t>Array, Math, Binary Search, Counting, Enumeration, Prefix Sum</t>
        </is>
      </c>
      <c r="G2283" s="1" t="inlineStr">
        <is>
          <t>Hard</t>
        </is>
      </c>
      <c r="H2283" s="1" t="n">
        <v>12370</v>
      </c>
      <c r="I2283" s="1" t="n">
        <v>40082</v>
      </c>
      <c r="J2283" s="9" t="n">
        <v>0.309</v>
      </c>
      <c r="K2283" s="1" t="inlineStr">
        <is>
          <t>Yes</t>
        </is>
      </c>
      <c r="L2283" s="1" t="inlineStr">
        <is>
          <t>No</t>
        </is>
      </c>
      <c r="M2283" s="1" t="inlineStr">
        <is>
          <t>No</t>
        </is>
      </c>
      <c r="N2283" s="1" t="inlineStr">
        <is>
          <t>Algorithms</t>
        </is>
      </c>
      <c r="O22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83" s="11" t="inlineStr">
        <is>
          <t>To Do</t>
        </is>
      </c>
    </row>
    <row r="2284" ht="15.75" customHeight="1" s="12">
      <c r="A2284" s="1" t="n">
        <v>3024</v>
      </c>
      <c r="B2284" s="3">
        <f>HYPERLINK("https://leetcode.com/problems/type-of-triangle/", "Type of Triangle")</f>
        <v/>
      </c>
      <c r="C2284" s="1" t="n">
        <v>466</v>
      </c>
      <c r="D2284" s="1" t="n">
        <v>69</v>
      </c>
      <c r="E2284" s="4">
        <f>IF(INDEX(C:C, ROW())+INDEX(D:D, ROW())=0, 0, INDEX(C:C, ROW())/(INDEX(C:C, ROW())+INDEX(D:D, ROW())))</f>
        <v/>
      </c>
      <c r="F2284" s="1" t="inlineStr">
        <is>
          <t>Array, Math, Sorting</t>
        </is>
      </c>
      <c r="G2284" s="1" t="inlineStr">
        <is>
          <t>Easy</t>
        </is>
      </c>
      <c r="H2284" s="1" t="n">
        <v>218826</v>
      </c>
      <c r="I2284" s="1" t="n">
        <v>496388</v>
      </c>
      <c r="J2284" s="9" t="n">
        <v>0.441</v>
      </c>
      <c r="K2284" s="1" t="inlineStr">
        <is>
          <t>Yes</t>
        </is>
      </c>
      <c r="L2284" s="1" t="inlineStr">
        <is>
          <t>Yes</t>
        </is>
      </c>
      <c r="M2284" s="1" t="inlineStr">
        <is>
          <t>No</t>
        </is>
      </c>
      <c r="N2284" s="1" t="inlineStr">
        <is>
          <t>Algorithms</t>
        </is>
      </c>
      <c r="O22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84" s="13" t="inlineStr">
        <is>
          <t>Done</t>
        </is>
      </c>
    </row>
    <row r="2285" ht="15.75" customHeight="1" s="12">
      <c r="A2285" s="1" t="n">
        <v>3070</v>
      </c>
      <c r="B2285" s="3">
        <f>HYPERLINK("https://leetcode.com/problems/count-submatrices-with-top-left-element-and-sum-less-than-k/", "Count Submatrices with Top-Left Element and Sum Less Than k")</f>
        <v/>
      </c>
      <c r="C2285" s="1" t="n">
        <v>466</v>
      </c>
      <c r="D2285" s="1" t="n">
        <v>22</v>
      </c>
      <c r="E2285" s="4">
        <f>IF(INDEX(C:C, ROW())+INDEX(D:D, ROW())=0, 0, INDEX(C:C, ROW())/(INDEX(C:C, ROW())+INDEX(D:D, ROW())))</f>
        <v/>
      </c>
      <c r="F2285" s="1" t="inlineStr">
        <is>
          <t>Array, Matrix, Prefix Sum</t>
        </is>
      </c>
      <c r="G2285" s="1" t="inlineStr">
        <is>
          <t>Medium</t>
        </is>
      </c>
      <c r="H2285" s="1" t="n">
        <v>121676</v>
      </c>
      <c r="I2285" s="1" t="n">
        <v>162602</v>
      </c>
      <c r="J2285" s="9" t="n">
        <v>0.748</v>
      </c>
      <c r="K2285" s="1" t="inlineStr">
        <is>
          <t>Yes</t>
        </is>
      </c>
      <c r="L2285" s="1" t="inlineStr">
        <is>
          <t>Yes</t>
        </is>
      </c>
      <c r="M2285" s="1" t="inlineStr">
        <is>
          <t>No</t>
        </is>
      </c>
      <c r="N2285" s="1" t="inlineStr">
        <is>
          <t>Algorithms</t>
        </is>
      </c>
      <c r="O22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85" s="11" t="inlineStr">
        <is>
          <t>To Do</t>
        </is>
      </c>
    </row>
    <row r="2286" ht="15.75" customHeight="1" s="12">
      <c r="A2286" s="1" t="n">
        <v>1487</v>
      </c>
      <c r="B2286" s="3">
        <f>HYPERLINK("https://leetcode.com/problems/making-file-names-unique/", "Making File Names Unique")</f>
        <v/>
      </c>
      <c r="C2286" s="1" t="n">
        <v>465</v>
      </c>
      <c r="D2286" s="1" t="n">
        <v>742</v>
      </c>
      <c r="E2286" s="4">
        <f>IF(INDEX(C:C, ROW())+INDEX(D:D, ROW())=0, 0, INDEX(C:C, ROW())/(INDEX(C:C, ROW())+INDEX(D:D, ROW())))</f>
        <v/>
      </c>
      <c r="F2286" s="1" t="inlineStr">
        <is>
          <t>Array, Hash Table, String</t>
        </is>
      </c>
      <c r="G2286" s="1" t="inlineStr">
        <is>
          <t>Medium</t>
        </is>
      </c>
      <c r="H2286" s="1" t="n">
        <v>39998</v>
      </c>
      <c r="I2286" s="1" t="n">
        <v>103476</v>
      </c>
      <c r="J2286" s="9" t="n">
        <v>0.387</v>
      </c>
      <c r="K2286" s="1" t="inlineStr">
        <is>
          <t>Yes</t>
        </is>
      </c>
      <c r="L2286" s="1" t="inlineStr">
        <is>
          <t>No</t>
        </is>
      </c>
      <c r="M2286" s="1" t="inlineStr">
        <is>
          <t>No</t>
        </is>
      </c>
      <c r="N2286" s="1" t="inlineStr">
        <is>
          <t>Algorithms</t>
        </is>
      </c>
      <c r="O22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86" s="11" t="inlineStr">
        <is>
          <t>To Do</t>
        </is>
      </c>
    </row>
    <row r="2287" ht="15.75" customHeight="1" s="12">
      <c r="A2287" s="1" t="n">
        <v>2589</v>
      </c>
      <c r="B2287" s="3">
        <f>HYPERLINK("https://leetcode.com/problems/minimum-time-to-complete-all-tasks/", "Minimum Time to Complete All Tasks")</f>
        <v/>
      </c>
      <c r="C2287" s="1" t="n">
        <v>464</v>
      </c>
      <c r="D2287" s="1" t="n">
        <v>21</v>
      </c>
      <c r="E2287" s="4">
        <f>IF(INDEX(C:C, ROW())+INDEX(D:D, ROW())=0, 0, INDEX(C:C, ROW())/(INDEX(C:C, ROW())+INDEX(D:D, ROW())))</f>
        <v/>
      </c>
      <c r="F2287" s="1" t="inlineStr">
        <is>
          <t>Array, Binary Search, Stack, Greedy, Sorting</t>
        </is>
      </c>
      <c r="G2287" s="1" t="inlineStr">
        <is>
          <t>Hard</t>
        </is>
      </c>
      <c r="H2287" s="1" t="n">
        <v>14954</v>
      </c>
      <c r="I2287" s="1" t="n">
        <v>36967</v>
      </c>
      <c r="J2287" s="9" t="n">
        <v>0.405</v>
      </c>
      <c r="K2287" s="1" t="inlineStr">
        <is>
          <t>Yes</t>
        </is>
      </c>
      <c r="L2287" s="1" t="inlineStr">
        <is>
          <t>No</t>
        </is>
      </c>
      <c r="M2287" s="1" t="inlineStr">
        <is>
          <t>No</t>
        </is>
      </c>
      <c r="N2287" s="1" t="inlineStr">
        <is>
          <t>Algorithms</t>
        </is>
      </c>
      <c r="O22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87" s="11" t="inlineStr">
        <is>
          <t>To Do</t>
        </is>
      </c>
    </row>
    <row r="2288" ht="15.75" customHeight="1" s="12">
      <c r="A2288" s="1" t="n">
        <v>1144</v>
      </c>
      <c r="B2288" s="3">
        <f>HYPERLINK("https://leetcode.com/problems/decrease-elements-to-make-array-zigzag/", "Decrease Elements To Make Array Zigzag")</f>
        <v/>
      </c>
      <c r="C2288" s="1" t="n">
        <v>463</v>
      </c>
      <c r="D2288" s="1" t="n">
        <v>169</v>
      </c>
      <c r="E2288" s="4">
        <f>IF(INDEX(C:C, ROW())+INDEX(D:D, ROW())=0, 0, INDEX(C:C, ROW())/(INDEX(C:C, ROW())+INDEX(D:D, ROW())))</f>
        <v/>
      </c>
      <c r="F2288" s="1" t="inlineStr">
        <is>
          <t>Array, Greedy</t>
        </is>
      </c>
      <c r="G2288" s="1" t="inlineStr">
        <is>
          <t>Medium</t>
        </is>
      </c>
      <c r="H2288" s="1" t="n">
        <v>25886</v>
      </c>
      <c r="I2288" s="1" t="n">
        <v>52711</v>
      </c>
      <c r="J2288" s="9" t="n">
        <v>0.491</v>
      </c>
      <c r="K2288" s="1" t="inlineStr">
        <is>
          <t>Yes</t>
        </is>
      </c>
      <c r="L2288" s="1" t="inlineStr">
        <is>
          <t>No</t>
        </is>
      </c>
      <c r="M2288" s="1" t="inlineStr">
        <is>
          <t>No</t>
        </is>
      </c>
      <c r="N2288" s="1" t="inlineStr">
        <is>
          <t>Algorithms</t>
        </is>
      </c>
      <c r="O22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88" s="11" t="inlineStr">
        <is>
          <t>To Do</t>
        </is>
      </c>
    </row>
    <row r="2289" ht="15.75" customHeight="1" s="12">
      <c r="A2289" s="1" t="n">
        <v>3650</v>
      </c>
      <c r="B2289" s="3">
        <f>HYPERLINK("https://leetcode.com/problems/minimum-cost-path-with-edge-reversals/", "Minimum Cost Path with Edge Reversals")</f>
        <v/>
      </c>
      <c r="C2289" s="1" t="n">
        <v>462</v>
      </c>
      <c r="D2289" s="1" t="n">
        <v>24</v>
      </c>
      <c r="E2289" s="4">
        <f>IF(INDEX(C:C, ROW())+INDEX(D:D, ROW())=0, 0, INDEX(C:C, ROW())/(INDEX(C:C, ROW())+INDEX(D:D, ROW())))</f>
        <v/>
      </c>
      <c r="F2289" s="1" t="inlineStr">
        <is>
          <t>Graph Theory, Heap (Priority Queue), Shortest Path</t>
        </is>
      </c>
      <c r="G2289" s="1" t="inlineStr">
        <is>
          <t>Medium</t>
        </is>
      </c>
      <c r="H2289" s="1" t="n">
        <v>103994</v>
      </c>
      <c r="I2289" s="1" t="n">
        <v>168262</v>
      </c>
      <c r="J2289" s="9" t="n">
        <v>0.618</v>
      </c>
      <c r="K2289" s="1" t="inlineStr">
        <is>
          <t>Yes</t>
        </is>
      </c>
      <c r="L2289" s="1" t="inlineStr">
        <is>
          <t>Yes</t>
        </is>
      </c>
      <c r="M2289" s="1" t="inlineStr">
        <is>
          <t>No</t>
        </is>
      </c>
      <c r="N2289" s="1" t="inlineStr">
        <is>
          <t>Algorithms</t>
        </is>
      </c>
      <c r="O22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89" s="11" t="inlineStr">
        <is>
          <t>To Do</t>
        </is>
      </c>
    </row>
    <row r="2290" ht="15.75" customHeight="1" s="12">
      <c r="A2290" s="1" t="n">
        <v>519</v>
      </c>
      <c r="B2290" s="3">
        <f>HYPERLINK("https://leetcode.com/problems/random-flip-matrix/", "Random Flip Matrix")</f>
        <v/>
      </c>
      <c r="C2290" s="1" t="n">
        <v>461</v>
      </c>
      <c r="D2290" s="1" t="n">
        <v>135</v>
      </c>
      <c r="E2290" s="4">
        <f>IF(INDEX(C:C, ROW())+INDEX(D:D, ROW())=0, 0, INDEX(C:C, ROW())/(INDEX(C:C, ROW())+INDEX(D:D, ROW())))</f>
        <v/>
      </c>
      <c r="F2290" s="1" t="inlineStr">
        <is>
          <t>Hash Table, Math, Reservoir Sampling, Randomized</t>
        </is>
      </c>
      <c r="G2290" s="1" t="inlineStr">
        <is>
          <t>Medium</t>
        </is>
      </c>
      <c r="H2290" s="1" t="n">
        <v>31087</v>
      </c>
      <c r="I2290" s="1" t="n">
        <v>67918</v>
      </c>
      <c r="J2290" s="9" t="n">
        <v>0.458</v>
      </c>
      <c r="K2290" s="1" t="inlineStr">
        <is>
          <t>Yes</t>
        </is>
      </c>
      <c r="L2290" s="1" t="inlineStr">
        <is>
          <t>Yes</t>
        </is>
      </c>
      <c r="M2290" s="1" t="inlineStr">
        <is>
          <t>No</t>
        </is>
      </c>
      <c r="N2290" s="1" t="inlineStr">
        <is>
          <t>Algorithms</t>
        </is>
      </c>
      <c r="O22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90" s="11" t="inlineStr">
        <is>
          <t>To Do</t>
        </is>
      </c>
    </row>
    <row r="2291" ht="15.75" customHeight="1" s="12">
      <c r="A2291" s="1" t="n">
        <v>2057</v>
      </c>
      <c r="B2291" s="3">
        <f>HYPERLINK("https://leetcode.com/problems/smallest-index-with-equal-value/", "Smallest Index With Equal Value")</f>
        <v/>
      </c>
      <c r="C2291" s="1" t="n">
        <v>461</v>
      </c>
      <c r="D2291" s="1" t="n">
        <v>145</v>
      </c>
      <c r="E2291" s="4">
        <f>IF(INDEX(C:C, ROW())+INDEX(D:D, ROW())=0, 0, INDEX(C:C, ROW())/(INDEX(C:C, ROW())+INDEX(D:D, ROW())))</f>
        <v/>
      </c>
      <c r="F2291" s="1" t="inlineStr">
        <is>
          <t>Array</t>
        </is>
      </c>
      <c r="G2291" s="1" t="inlineStr">
        <is>
          <t>Easy</t>
        </is>
      </c>
      <c r="H2291" s="1" t="n">
        <v>87348</v>
      </c>
      <c r="I2291" s="1" t="n">
        <v>119266</v>
      </c>
      <c r="J2291" s="9" t="n">
        <v>0.732</v>
      </c>
      <c r="K2291" s="1" t="inlineStr">
        <is>
          <t>Yes</t>
        </is>
      </c>
      <c r="L2291" s="1" t="inlineStr">
        <is>
          <t>No</t>
        </is>
      </c>
      <c r="M2291" s="1" t="inlineStr">
        <is>
          <t>No</t>
        </is>
      </c>
      <c r="N2291" s="1" t="inlineStr">
        <is>
          <t>Algorithms</t>
        </is>
      </c>
      <c r="O22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91" s="13" t="inlineStr">
        <is>
          <t>Done</t>
        </is>
      </c>
    </row>
    <row r="2292" ht="15.75" customHeight="1" s="12">
      <c r="A2292" s="1" t="n">
        <v>604</v>
      </c>
      <c r="B2292" s="3">
        <f>HYPERLINK("https://leetcode.com/problems/design-compressed-string-iterator/", "Design Compressed String Iterator")</f>
        <v/>
      </c>
      <c r="C2292" s="1" t="n">
        <v>460</v>
      </c>
      <c r="D2292" s="1" t="n">
        <v>167</v>
      </c>
      <c r="E2292" s="4">
        <f>IF(INDEX(C:C, ROW())+INDEX(D:D, ROW())=0, 0, INDEX(C:C, ROW())/(INDEX(C:C, ROW())+INDEX(D:D, ROW())))</f>
        <v/>
      </c>
      <c r="F2292" s="1" t="inlineStr">
        <is>
          <t>Array, String, Design, Iterator</t>
        </is>
      </c>
      <c r="G2292" s="1" t="inlineStr">
        <is>
          <t>Easy</t>
        </is>
      </c>
      <c r="H2292" s="1" t="n">
        <v>39754</v>
      </c>
      <c r="I2292" s="1" t="n">
        <v>98399</v>
      </c>
      <c r="J2292" s="9" t="n">
        <v>0.404</v>
      </c>
      <c r="K2292" s="1" t="inlineStr">
        <is>
          <t>No</t>
        </is>
      </c>
      <c r="L2292" s="1" t="inlineStr">
        <is>
          <t>Yes</t>
        </is>
      </c>
      <c r="M2292" s="1" t="inlineStr">
        <is>
          <t>No</t>
        </is>
      </c>
      <c r="N2292" s="1" t="inlineStr">
        <is>
          <t>Algorithms</t>
        </is>
      </c>
      <c r="O22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92" s="11" t="inlineStr">
        <is>
          <t>To Do</t>
        </is>
      </c>
    </row>
    <row r="2293" ht="15.75" customHeight="1" s="12">
      <c r="A2293" s="1" t="n">
        <v>2507</v>
      </c>
      <c r="B2293" s="3">
        <f>HYPERLINK("https://leetcode.com/problems/smallest-value-after-replacing-with-sum-of-prime-factors/", "Smallest Value After Replacing With Sum of Prime Factors")</f>
        <v/>
      </c>
      <c r="C2293" s="1" t="n">
        <v>460</v>
      </c>
      <c r="D2293" s="1" t="n">
        <v>29</v>
      </c>
      <c r="E2293" s="4">
        <f>IF(INDEX(C:C, ROW())+INDEX(D:D, ROW())=0, 0, INDEX(C:C, ROW())/(INDEX(C:C, ROW())+INDEX(D:D, ROW())))</f>
        <v/>
      </c>
      <c r="F2293" s="1" t="inlineStr">
        <is>
          <t>Math, Simulation, Number Theory</t>
        </is>
      </c>
      <c r="G2293" s="1" t="inlineStr">
        <is>
          <t>Medium</t>
        </is>
      </c>
      <c r="H2293" s="1" t="n">
        <v>32827</v>
      </c>
      <c r="I2293" s="1" t="n">
        <v>65756</v>
      </c>
      <c r="J2293" s="9" t="n">
        <v>0.499</v>
      </c>
      <c r="K2293" s="1" t="inlineStr">
        <is>
          <t>Yes</t>
        </is>
      </c>
      <c r="L2293" s="1" t="inlineStr">
        <is>
          <t>No</t>
        </is>
      </c>
      <c r="M2293" s="1" t="inlineStr">
        <is>
          <t>No</t>
        </is>
      </c>
      <c r="N2293" s="1" t="inlineStr">
        <is>
          <t>Algorithms</t>
        </is>
      </c>
      <c r="O22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93" s="11" t="inlineStr">
        <is>
          <t>To Do</t>
        </is>
      </c>
    </row>
    <row r="2294" ht="15.75" customHeight="1" s="12">
      <c r="A2294" s="1" t="n">
        <v>2791</v>
      </c>
      <c r="B2294" s="3">
        <f>HYPERLINK("https://leetcode.com/problems/count-paths-that-can-form-a-palindrome-in-a-tree/", "Count Paths That Can Form a Palindrome in a Tree")</f>
        <v/>
      </c>
      <c r="C2294" s="1" t="n">
        <v>460</v>
      </c>
      <c r="D2294" s="1" t="n">
        <v>19</v>
      </c>
      <c r="E2294" s="4">
        <f>IF(INDEX(C:C, ROW())+INDEX(D:D, ROW())=0, 0, INDEX(C:C, ROW())/(INDEX(C:C, ROW())+INDEX(D:D, ROW())))</f>
        <v/>
      </c>
      <c r="F2294" s="1" t="inlineStr">
        <is>
          <t>Hash Table, Bit Manipulation, Tree, Depth-First Search</t>
        </is>
      </c>
      <c r="G2294" s="1" t="inlineStr">
        <is>
          <t>Hard</t>
        </is>
      </c>
      <c r="H2294" s="1" t="n">
        <v>14525</v>
      </c>
      <c r="I2294" s="1" t="n">
        <v>27931</v>
      </c>
      <c r="J2294" s="9" t="n">
        <v>0.52</v>
      </c>
      <c r="K2294" s="1" t="inlineStr">
        <is>
          <t>Yes</t>
        </is>
      </c>
      <c r="L2294" s="1" t="inlineStr">
        <is>
          <t>No</t>
        </is>
      </c>
      <c r="M2294" s="1" t="inlineStr">
        <is>
          <t>No</t>
        </is>
      </c>
      <c r="N2294" s="1" t="inlineStr">
        <is>
          <t>Algorithms</t>
        </is>
      </c>
      <c r="O22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94" s="11" t="inlineStr">
        <is>
          <t>To Do</t>
        </is>
      </c>
    </row>
    <row r="2295" ht="15.75" customHeight="1" s="12">
      <c r="A2295" s="1" t="n">
        <v>1185</v>
      </c>
      <c r="B2295" s="3">
        <f>HYPERLINK("https://leetcode.com/problems/day-of-the-week/", "Day of the Week")</f>
        <v/>
      </c>
      <c r="C2295" s="1" t="n">
        <v>458</v>
      </c>
      <c r="D2295" s="1" t="n">
        <v>2563</v>
      </c>
      <c r="E2295" s="4">
        <f>IF(INDEX(C:C, ROW())+INDEX(D:D, ROW())=0, 0, INDEX(C:C, ROW())/(INDEX(C:C, ROW())+INDEX(D:D, ROW())))</f>
        <v/>
      </c>
      <c r="F2295" s="1" t="inlineStr">
        <is>
          <t>Math</t>
        </is>
      </c>
      <c r="G2295" s="1" t="inlineStr">
        <is>
          <t>Easy</t>
        </is>
      </c>
      <c r="H2295" s="1" t="n">
        <v>90934</v>
      </c>
      <c r="I2295" s="1" t="n">
        <v>153738</v>
      </c>
      <c r="J2295" s="9" t="n">
        <v>0.591</v>
      </c>
      <c r="K2295" s="1" t="inlineStr">
        <is>
          <t>Yes</t>
        </is>
      </c>
      <c r="L2295" s="1" t="inlineStr">
        <is>
          <t>No</t>
        </is>
      </c>
      <c r="M2295" s="1" t="inlineStr">
        <is>
          <t>No</t>
        </is>
      </c>
      <c r="N2295" s="1" t="inlineStr">
        <is>
          <t>Algorithms</t>
        </is>
      </c>
      <c r="O22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95" s="13" t="inlineStr">
        <is>
          <t>Done</t>
        </is>
      </c>
    </row>
    <row r="2296" ht="15.75" customHeight="1" s="12">
      <c r="A2296" s="1" t="n">
        <v>2318</v>
      </c>
      <c r="B2296" s="3">
        <f>HYPERLINK("https://leetcode.com/problems/number-of-distinct-roll-sequences/", "Number of Distinct Roll Sequences")</f>
        <v/>
      </c>
      <c r="C2296" s="1" t="n">
        <v>458</v>
      </c>
      <c r="D2296" s="1" t="n">
        <v>20</v>
      </c>
      <c r="E2296" s="4">
        <f>IF(INDEX(C:C, ROW())+INDEX(D:D, ROW())=0, 0, INDEX(C:C, ROW())/(INDEX(C:C, ROW())+INDEX(D:D, ROW())))</f>
        <v/>
      </c>
      <c r="F2296" s="1" t="inlineStr">
        <is>
          <t>Dynamic Programming, Memoization</t>
        </is>
      </c>
      <c r="G2296" s="1" t="inlineStr">
        <is>
          <t>Hard</t>
        </is>
      </c>
      <c r="H2296" s="1" t="n">
        <v>14265</v>
      </c>
      <c r="I2296" s="1" t="n">
        <v>24549</v>
      </c>
      <c r="J2296" s="9" t="n">
        <v>0.581</v>
      </c>
      <c r="K2296" s="1" t="inlineStr">
        <is>
          <t>Yes</t>
        </is>
      </c>
      <c r="L2296" s="1" t="inlineStr">
        <is>
          <t>No</t>
        </is>
      </c>
      <c r="M2296" s="1" t="inlineStr">
        <is>
          <t>No</t>
        </is>
      </c>
      <c r="N2296" s="1" t="inlineStr">
        <is>
          <t>Algorithms</t>
        </is>
      </c>
      <c r="O22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96" s="11" t="inlineStr">
        <is>
          <t>To Do</t>
        </is>
      </c>
    </row>
    <row r="2297" ht="15.75" customHeight="1" s="12">
      <c r="A2297" s="1" t="n">
        <v>2475</v>
      </c>
      <c r="B2297" s="3">
        <f>HYPERLINK("https://leetcode.com/problems/number-of-unequal-triplets-in-array/", "Number of Unequal Triplets in Array")</f>
        <v/>
      </c>
      <c r="C2297" s="1" t="n">
        <v>458</v>
      </c>
      <c r="D2297" s="1" t="n">
        <v>50</v>
      </c>
      <c r="E2297" s="4">
        <f>IF(INDEX(C:C, ROW())+INDEX(D:D, ROW())=0, 0, INDEX(C:C, ROW())/(INDEX(C:C, ROW())+INDEX(D:D, ROW())))</f>
        <v/>
      </c>
      <c r="F2297" s="1" t="inlineStr">
        <is>
          <t>Array, Hash Table, Sorting</t>
        </is>
      </c>
      <c r="G2297" s="1" t="inlineStr">
        <is>
          <t>Easy</t>
        </is>
      </c>
      <c r="H2297" s="1" t="n">
        <v>63004</v>
      </c>
      <c r="I2297" s="1" t="n">
        <v>85896</v>
      </c>
      <c r="J2297" s="9" t="n">
        <v>0.733</v>
      </c>
      <c r="K2297" s="1" t="inlineStr">
        <is>
          <t>Yes</t>
        </is>
      </c>
      <c r="L2297" s="1" t="inlineStr">
        <is>
          <t>No</t>
        </is>
      </c>
      <c r="M2297" s="1" t="inlineStr">
        <is>
          <t>No</t>
        </is>
      </c>
      <c r="N2297" s="1" t="inlineStr">
        <is>
          <t>Algorithms</t>
        </is>
      </c>
      <c r="O22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97" s="13" t="inlineStr">
        <is>
          <t>Done</t>
        </is>
      </c>
    </row>
    <row r="2298" ht="15.75" customHeight="1" s="12">
      <c r="A2298" s="1" t="n">
        <v>3363</v>
      </c>
      <c r="B2298" s="3">
        <f>HYPERLINK("https://leetcode.com/problems/find-the-maximum-number-of-fruits-collected/", "Find the Maximum Number of Fruits Collected")</f>
        <v/>
      </c>
      <c r="C2298" s="1" t="n">
        <v>457</v>
      </c>
      <c r="D2298" s="1" t="n">
        <v>42</v>
      </c>
      <c r="E2298" s="4">
        <f>IF(INDEX(C:C, ROW())+INDEX(D:D, ROW())=0, 0, INDEX(C:C, ROW())/(INDEX(C:C, ROW())+INDEX(D:D, ROW())))</f>
        <v/>
      </c>
      <c r="F2298" s="1" t="inlineStr">
        <is>
          <t>Array, Dynamic Programming, Matrix</t>
        </is>
      </c>
      <c r="G2298" s="1" t="inlineStr">
        <is>
          <t>Hard</t>
        </is>
      </c>
      <c r="H2298" s="1" t="n">
        <v>71298</v>
      </c>
      <c r="I2298" s="1" t="n">
        <v>109717</v>
      </c>
      <c r="J2298" s="9" t="n">
        <v>0.65</v>
      </c>
      <c r="K2298" s="1" t="inlineStr">
        <is>
          <t>Yes</t>
        </is>
      </c>
      <c r="L2298" s="1" t="inlineStr">
        <is>
          <t>Yes</t>
        </is>
      </c>
      <c r="M2298" s="1" t="inlineStr">
        <is>
          <t>No</t>
        </is>
      </c>
      <c r="N2298" s="1" t="inlineStr">
        <is>
          <t>Algorithms</t>
        </is>
      </c>
      <c r="O22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98" s="11" t="inlineStr">
        <is>
          <t>To Do</t>
        </is>
      </c>
    </row>
    <row r="2299" ht="15.75" customHeight="1" s="12">
      <c r="A2299" s="1" t="n">
        <v>1585</v>
      </c>
      <c r="B2299" s="3">
        <f>HYPERLINK("https://leetcode.com/problems/check-if-string-is-transformable-with-substring-sort-operations/", "Check If String Is Transformable With Substring Sort Operations")</f>
        <v/>
      </c>
      <c r="C2299" s="1" t="n">
        <v>456</v>
      </c>
      <c r="D2299" s="1" t="n">
        <v>11</v>
      </c>
      <c r="E2299" s="4">
        <f>IF(INDEX(C:C, ROW())+INDEX(D:D, ROW())=0, 0, INDEX(C:C, ROW())/(INDEX(C:C, ROW())+INDEX(D:D, ROW())))</f>
        <v/>
      </c>
      <c r="F2299" s="1" t="inlineStr">
        <is>
          <t>String, Greedy, Sorting</t>
        </is>
      </c>
      <c r="G2299" s="1" t="inlineStr">
        <is>
          <t>Hard</t>
        </is>
      </c>
      <c r="H2299" s="1" t="n">
        <v>12921</v>
      </c>
      <c r="I2299" s="1" t="n">
        <v>25044</v>
      </c>
      <c r="J2299" s="9" t="n">
        <v>0.516</v>
      </c>
      <c r="K2299" s="1" t="inlineStr">
        <is>
          <t>Yes</t>
        </is>
      </c>
      <c r="L2299" s="1" t="inlineStr">
        <is>
          <t>No</t>
        </is>
      </c>
      <c r="M2299" s="1" t="inlineStr">
        <is>
          <t>No</t>
        </is>
      </c>
      <c r="N2299" s="1" t="inlineStr">
        <is>
          <t>Algorithms</t>
        </is>
      </c>
      <c r="O22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299" s="11" t="inlineStr">
        <is>
          <t>To Do</t>
        </is>
      </c>
    </row>
    <row r="2300" ht="15.75" customHeight="1" s="12">
      <c r="A2300" s="1" t="n">
        <v>2975</v>
      </c>
      <c r="B2300" s="3">
        <f>HYPERLINK("https://leetcode.com/problems/maximum-square-area-by-removing-fences-from-a-field/", "Maximum Square Area by Removing Fences From a Field")</f>
        <v/>
      </c>
      <c r="C2300" s="1" t="n">
        <v>456</v>
      </c>
      <c r="D2300" s="1" t="n">
        <v>162</v>
      </c>
      <c r="E2300" s="4">
        <f>IF(INDEX(C:C, ROW())+INDEX(D:D, ROW())=0, 0, INDEX(C:C, ROW())/(INDEX(C:C, ROW())+INDEX(D:D, ROW())))</f>
        <v/>
      </c>
      <c r="F2300" s="1" t="inlineStr">
        <is>
          <t>Array, Hash Table, Enumeration</t>
        </is>
      </c>
      <c r="G2300" s="1" t="inlineStr">
        <is>
          <t>Medium</t>
        </is>
      </c>
      <c r="H2300" s="1" t="n">
        <v>98070</v>
      </c>
      <c r="I2300" s="1" t="n">
        <v>198257</v>
      </c>
      <c r="J2300" s="9" t="n">
        <v>0.495</v>
      </c>
      <c r="K2300" s="1" t="inlineStr">
        <is>
          <t>Yes</t>
        </is>
      </c>
      <c r="L2300" s="1" t="inlineStr">
        <is>
          <t>Yes</t>
        </is>
      </c>
      <c r="M2300" s="1" t="inlineStr">
        <is>
          <t>No</t>
        </is>
      </c>
      <c r="N2300" s="1" t="inlineStr">
        <is>
          <t>Algorithms</t>
        </is>
      </c>
      <c r="O23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00" s="11" t="inlineStr">
        <is>
          <t>To Do</t>
        </is>
      </c>
    </row>
    <row r="2301" ht="15.75" customHeight="1" s="12">
      <c r="A2301" s="1" t="n">
        <v>2497</v>
      </c>
      <c r="B2301" s="3">
        <f>HYPERLINK("https://leetcode.com/problems/maximum-star-sum-of-a-graph/", "Maximum Star Sum of a Graph")</f>
        <v/>
      </c>
      <c r="C2301" s="1" t="n">
        <v>454</v>
      </c>
      <c r="D2301" s="1" t="n">
        <v>60</v>
      </c>
      <c r="E2301" s="4">
        <f>IF(INDEX(C:C, ROW())+INDEX(D:D, ROW())=0, 0, INDEX(C:C, ROW())/(INDEX(C:C, ROW())+INDEX(D:D, ROW())))</f>
        <v/>
      </c>
      <c r="F2301" s="1" t="inlineStr">
        <is>
          <t>Array, Greedy, Graph Theory, Sorting, Heap (Priority Queue)</t>
        </is>
      </c>
      <c r="G2301" s="1" t="inlineStr">
        <is>
          <t>Medium</t>
        </is>
      </c>
      <c r="H2301" s="1" t="n">
        <v>31616</v>
      </c>
      <c r="I2301" s="1" t="n">
        <v>74711</v>
      </c>
      <c r="J2301" s="9" t="n">
        <v>0.423</v>
      </c>
      <c r="K2301" s="1" t="inlineStr">
        <is>
          <t>Yes</t>
        </is>
      </c>
      <c r="L2301" s="1" t="inlineStr">
        <is>
          <t>No</t>
        </is>
      </c>
      <c r="M2301" s="1" t="inlineStr">
        <is>
          <t>No</t>
        </is>
      </c>
      <c r="N2301" s="1" t="inlineStr">
        <is>
          <t>Algorithms</t>
        </is>
      </c>
      <c r="O23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01" s="11" t="inlineStr">
        <is>
          <t>To Do</t>
        </is>
      </c>
    </row>
    <row r="2302" ht="15.75" customHeight="1" s="12">
      <c r="A2302" s="1" t="n">
        <v>3379</v>
      </c>
      <c r="B2302" s="3">
        <f>HYPERLINK("https://leetcode.com/problems/transformed-array/", "Transformed Array")</f>
        <v/>
      </c>
      <c r="C2302" s="1" t="n">
        <v>454</v>
      </c>
      <c r="D2302" s="1" t="n">
        <v>48</v>
      </c>
      <c r="E2302" s="4">
        <f>IF(INDEX(C:C, ROW())+INDEX(D:D, ROW())=0, 0, INDEX(C:C, ROW())/(INDEX(C:C, ROW())+INDEX(D:D, ROW())))</f>
        <v/>
      </c>
      <c r="F2302" s="1" t="inlineStr">
        <is>
          <t>Array, Simulation</t>
        </is>
      </c>
      <c r="G2302" s="1" t="inlineStr">
        <is>
          <t>Easy</t>
        </is>
      </c>
      <c r="H2302" s="1" t="n">
        <v>174349</v>
      </c>
      <c r="I2302" s="1" t="n">
        <v>247354</v>
      </c>
      <c r="J2302" s="9" t="n">
        <v>0.705</v>
      </c>
      <c r="K2302" s="1" t="inlineStr">
        <is>
          <t>Yes</t>
        </is>
      </c>
      <c r="L2302" s="1" t="inlineStr">
        <is>
          <t>Yes</t>
        </is>
      </c>
      <c r="M2302" s="1" t="inlineStr">
        <is>
          <t>No</t>
        </is>
      </c>
      <c r="N2302" s="1" t="inlineStr">
        <is>
          <t>Algorithms</t>
        </is>
      </c>
      <c r="O23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02" s="13" t="inlineStr">
        <is>
          <t>Done</t>
        </is>
      </c>
    </row>
    <row r="2303" ht="15.75" customHeight="1" s="12">
      <c r="A2303" s="1" t="n">
        <v>2234</v>
      </c>
      <c r="B2303" s="3">
        <f>HYPERLINK("https://leetcode.com/problems/maximum-total-beauty-of-the-gardens/", "Maximum Total Beauty of the Gardens")</f>
        <v/>
      </c>
      <c r="C2303" s="1" t="n">
        <v>453</v>
      </c>
      <c r="D2303" s="1" t="n">
        <v>41</v>
      </c>
      <c r="E2303" s="4">
        <f>IF(INDEX(C:C, ROW())+INDEX(D:D, ROW())=0, 0, INDEX(C:C, ROW())/(INDEX(C:C, ROW())+INDEX(D:D, ROW())))</f>
        <v/>
      </c>
      <c r="F2303" s="1" t="inlineStr">
        <is>
          <t>Array, Two Pointers, Binary Search, Greedy, Sorting, Enumeration, Prefix Sum</t>
        </is>
      </c>
      <c r="G2303" s="1" t="inlineStr">
        <is>
          <t>Hard</t>
        </is>
      </c>
      <c r="H2303" s="1" t="n">
        <v>9666</v>
      </c>
      <c r="I2303" s="1" t="n">
        <v>32041</v>
      </c>
      <c r="J2303" s="9" t="n">
        <v>0.302</v>
      </c>
      <c r="K2303" s="1" t="inlineStr">
        <is>
          <t>Yes</t>
        </is>
      </c>
      <c r="L2303" s="1" t="inlineStr">
        <is>
          <t>No</t>
        </is>
      </c>
      <c r="M2303" s="1" t="inlineStr">
        <is>
          <t>No</t>
        </is>
      </c>
      <c r="N2303" s="1" t="inlineStr">
        <is>
          <t>Algorithms</t>
        </is>
      </c>
      <c r="O23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03" s="11" t="inlineStr">
        <is>
          <t>To Do</t>
        </is>
      </c>
    </row>
    <row r="2304" ht="15.75" customHeight="1" s="12">
      <c r="A2304" s="1" t="n">
        <v>422</v>
      </c>
      <c r="B2304" s="3">
        <f>HYPERLINK("https://leetcode.com/problems/valid-word-square/", "Valid Word Square")</f>
        <v/>
      </c>
      <c r="C2304" s="1" t="n">
        <v>452</v>
      </c>
      <c r="D2304" s="1" t="n">
        <v>274</v>
      </c>
      <c r="E2304" s="4">
        <f>IF(INDEX(C:C, ROW())+INDEX(D:D, ROW())=0, 0, INDEX(C:C, ROW())/(INDEX(C:C, ROW())+INDEX(D:D, ROW())))</f>
        <v/>
      </c>
      <c r="F2304" s="1" t="inlineStr">
        <is>
          <t>Array, Matrix</t>
        </is>
      </c>
      <c r="G2304" s="1" t="inlineStr">
        <is>
          <t>Easy</t>
        </is>
      </c>
      <c r="H2304" s="1" t="n">
        <v>71282</v>
      </c>
      <c r="I2304" s="1" t="n">
        <v>166252</v>
      </c>
      <c r="J2304" s="9" t="n">
        <v>0.429</v>
      </c>
      <c r="K2304" s="1" t="inlineStr">
        <is>
          <t>No</t>
        </is>
      </c>
      <c r="L2304" s="1" t="inlineStr">
        <is>
          <t>Yes</t>
        </is>
      </c>
      <c r="M2304" s="1" t="inlineStr">
        <is>
          <t>No</t>
        </is>
      </c>
      <c r="N2304" s="1" t="inlineStr">
        <is>
          <t>Algorithms</t>
        </is>
      </c>
      <c r="O23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04" s="11" t="inlineStr">
        <is>
          <t>To Do</t>
        </is>
      </c>
    </row>
    <row r="2305" ht="15.75" customHeight="1" s="12">
      <c r="A2305" s="1" t="n">
        <v>531</v>
      </c>
      <c r="B2305" s="3">
        <f>HYPERLINK("https://leetcode.com/problems/lonely-pixel-i/", "Lonely Pixel I")</f>
        <v/>
      </c>
      <c r="C2305" s="1" t="n">
        <v>452</v>
      </c>
      <c r="D2305" s="1" t="n">
        <v>41</v>
      </c>
      <c r="E2305" s="4">
        <f>IF(INDEX(C:C, ROW())+INDEX(D:D, ROW())=0, 0, INDEX(C:C, ROW())/(INDEX(C:C, ROW())+INDEX(D:D, ROW())))</f>
        <v/>
      </c>
      <c r="F2305" s="1" t="inlineStr">
        <is>
          <t>Array, Hash Table, Matrix</t>
        </is>
      </c>
      <c r="G2305" s="1" t="inlineStr">
        <is>
          <t>Medium</t>
        </is>
      </c>
      <c r="H2305" s="1" t="n">
        <v>48234</v>
      </c>
      <c r="I2305" s="1" t="n">
        <v>76956</v>
      </c>
      <c r="J2305" s="9" t="n">
        <v>0.627</v>
      </c>
      <c r="K2305" s="1" t="inlineStr">
        <is>
          <t>No</t>
        </is>
      </c>
      <c r="L2305" s="1" t="inlineStr">
        <is>
          <t>Yes</t>
        </is>
      </c>
      <c r="M2305" s="1" t="inlineStr">
        <is>
          <t>Yes</t>
        </is>
      </c>
      <c r="N2305" s="1" t="inlineStr">
        <is>
          <t>Algorithms</t>
        </is>
      </c>
      <c r="O23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05" s="11" t="inlineStr">
        <is>
          <t>To Do</t>
        </is>
      </c>
    </row>
    <row r="2306" ht="15.75" customHeight="1" s="12">
      <c r="A2306" s="1" t="n">
        <v>2449</v>
      </c>
      <c r="B2306" s="3">
        <f>HYPERLINK("https://leetcode.com/problems/minimum-number-of-operations-to-make-arrays-similar/", "Minimum Number of Operations to Make Arrays Similar")</f>
        <v/>
      </c>
      <c r="C2306" s="1" t="n">
        <v>452</v>
      </c>
      <c r="D2306" s="1" t="n">
        <v>17</v>
      </c>
      <c r="E2306" s="4">
        <f>IF(INDEX(C:C, ROW())+INDEX(D:D, ROW())=0, 0, INDEX(C:C, ROW())/(INDEX(C:C, ROW())+INDEX(D:D, ROW())))</f>
        <v/>
      </c>
      <c r="F2306" s="1" t="inlineStr">
        <is>
          <t>Array, Greedy, Sorting</t>
        </is>
      </c>
      <c r="G2306" s="1" t="inlineStr">
        <is>
          <t>Hard</t>
        </is>
      </c>
      <c r="H2306" s="1" t="n">
        <v>17572</v>
      </c>
      <c r="I2306" s="1" t="n">
        <v>28594</v>
      </c>
      <c r="J2306" s="9" t="n">
        <v>0.615</v>
      </c>
      <c r="K2306" s="1" t="inlineStr">
        <is>
          <t>Yes</t>
        </is>
      </c>
      <c r="L2306" s="1" t="inlineStr">
        <is>
          <t>No</t>
        </is>
      </c>
      <c r="M2306" s="1" t="inlineStr">
        <is>
          <t>No</t>
        </is>
      </c>
      <c r="N2306" s="1" t="inlineStr">
        <is>
          <t>Algorithms</t>
        </is>
      </c>
      <c r="O23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06" s="11" t="inlineStr">
        <is>
          <t>To Do</t>
        </is>
      </c>
    </row>
    <row r="2307" ht="15.75" customHeight="1" s="12">
      <c r="A2307" s="1" t="n">
        <v>1175</v>
      </c>
      <c r="B2307" s="3">
        <f>HYPERLINK("https://leetcode.com/problems/prime-arrangements/", "Prime Arrangements")</f>
        <v/>
      </c>
      <c r="C2307" s="1" t="n">
        <v>451</v>
      </c>
      <c r="D2307" s="1" t="n">
        <v>539</v>
      </c>
      <c r="E2307" s="4">
        <f>IF(INDEX(C:C, ROW())+INDEX(D:D, ROW())=0, 0, INDEX(C:C, ROW())/(INDEX(C:C, ROW())+INDEX(D:D, ROW())))</f>
        <v/>
      </c>
      <c r="F2307" s="1" t="inlineStr">
        <is>
          <t>Math</t>
        </is>
      </c>
      <c r="G2307" s="1" t="inlineStr">
        <is>
          <t>Easy</t>
        </is>
      </c>
      <c r="H2307" s="1" t="n">
        <v>44086</v>
      </c>
      <c r="I2307" s="1" t="n">
        <v>72182</v>
      </c>
      <c r="J2307" s="9" t="n">
        <v>0.611</v>
      </c>
      <c r="K2307" s="1" t="inlineStr">
        <is>
          <t>Yes</t>
        </is>
      </c>
      <c r="L2307" s="1" t="inlineStr">
        <is>
          <t>No</t>
        </is>
      </c>
      <c r="M2307" s="1" t="inlineStr">
        <is>
          <t>No</t>
        </is>
      </c>
      <c r="N2307" s="1" t="inlineStr">
        <is>
          <t>Algorithms</t>
        </is>
      </c>
      <c r="O23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07" s="13" t="inlineStr">
        <is>
          <t>Done</t>
        </is>
      </c>
    </row>
    <row r="2308" ht="15.75" customHeight="1" s="12">
      <c r="A2308" s="1" t="n">
        <v>2573</v>
      </c>
      <c r="B2308" s="3">
        <f>HYPERLINK("https://leetcode.com/problems/find-the-string-with-lcp/", "Find the String with LCP")</f>
        <v/>
      </c>
      <c r="C2308" s="1" t="n">
        <v>451</v>
      </c>
      <c r="D2308" s="1" t="n">
        <v>61</v>
      </c>
      <c r="E2308" s="4">
        <f>IF(INDEX(C:C, ROW())+INDEX(D:D, ROW())=0, 0, INDEX(C:C, ROW())/(INDEX(C:C, ROW())+INDEX(D:D, ROW())))</f>
        <v/>
      </c>
      <c r="F2308" s="1" t="inlineStr">
        <is>
          <t>Array, String, Dynamic Programming, Greedy, Union-Find, Matrix</t>
        </is>
      </c>
      <c r="G2308" s="1" t="inlineStr">
        <is>
          <t>Hard</t>
        </is>
      </c>
      <c r="H2308" s="1" t="n">
        <v>63685</v>
      </c>
      <c r="I2308" s="1" t="n">
        <v>100741</v>
      </c>
      <c r="J2308" s="9" t="n">
        <v>0.632</v>
      </c>
      <c r="K2308" s="1" t="inlineStr">
        <is>
          <t>Yes</t>
        </is>
      </c>
      <c r="L2308" s="1" t="inlineStr">
        <is>
          <t>Yes</t>
        </is>
      </c>
      <c r="M2308" s="1" t="inlineStr">
        <is>
          <t>No</t>
        </is>
      </c>
      <c r="N2308" s="1" t="inlineStr">
        <is>
          <t>Algorithms</t>
        </is>
      </c>
      <c r="O23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08" s="11" t="inlineStr">
        <is>
          <t>To Do</t>
        </is>
      </c>
    </row>
    <row r="2309" ht="15.75" customHeight="1" s="12">
      <c r="A2309" s="1" t="n">
        <v>2772</v>
      </c>
      <c r="B2309" s="3">
        <f>HYPERLINK("https://leetcode.com/problems/apply-operations-to-make-all-array-elements-equal-to-zero/", "Apply Operations to Make All Array Elements Equal to Zero")</f>
        <v/>
      </c>
      <c r="C2309" s="1" t="n">
        <v>451</v>
      </c>
      <c r="D2309" s="1" t="n">
        <v>32</v>
      </c>
      <c r="E2309" s="4">
        <f>IF(INDEX(C:C, ROW())+INDEX(D:D, ROW())=0, 0, INDEX(C:C, ROW())/(INDEX(C:C, ROW())+INDEX(D:D, ROW())))</f>
        <v/>
      </c>
      <c r="F2309" s="1" t="inlineStr">
        <is>
          <t>Array, Prefix Sum</t>
        </is>
      </c>
      <c r="G2309" s="1" t="inlineStr">
        <is>
          <t>Medium</t>
        </is>
      </c>
      <c r="H2309" s="1" t="n">
        <v>18496</v>
      </c>
      <c r="I2309" s="1" t="n">
        <v>55384</v>
      </c>
      <c r="J2309" s="9" t="n">
        <v>0.334</v>
      </c>
      <c r="K2309" s="1" t="inlineStr">
        <is>
          <t>Yes</t>
        </is>
      </c>
      <c r="L2309" s="1" t="inlineStr">
        <is>
          <t>No</t>
        </is>
      </c>
      <c r="M2309" s="1" t="inlineStr">
        <is>
          <t>No</t>
        </is>
      </c>
      <c r="N2309" s="1" t="inlineStr">
        <is>
          <t>Algorithms</t>
        </is>
      </c>
      <c r="O23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09" s="11" t="inlineStr">
        <is>
          <t>To Do</t>
        </is>
      </c>
    </row>
    <row r="2310" ht="15.75" customHeight="1" s="12">
      <c r="A2310" s="1" t="n">
        <v>466</v>
      </c>
      <c r="B2310" s="3">
        <f>HYPERLINK("https://leetcode.com/problems/count-the-repetitions/", "Count The Repetitions")</f>
        <v/>
      </c>
      <c r="C2310" s="1" t="n">
        <v>449</v>
      </c>
      <c r="D2310" s="1" t="n">
        <v>370</v>
      </c>
      <c r="E2310" s="4">
        <f>IF(INDEX(C:C, ROW())+INDEX(D:D, ROW())=0, 0, INDEX(C:C, ROW())/(INDEX(C:C, ROW())+INDEX(D:D, ROW())))</f>
        <v/>
      </c>
      <c r="F2310" s="1" t="inlineStr">
        <is>
          <t>Two Pointers, String, Dynamic Programming</t>
        </is>
      </c>
      <c r="G2310" s="1" t="inlineStr">
        <is>
          <t>Hard</t>
        </is>
      </c>
      <c r="H2310" s="1" t="n">
        <v>28806</v>
      </c>
      <c r="I2310" s="1" t="n">
        <v>84227</v>
      </c>
      <c r="J2310" s="9" t="n">
        <v>0.342</v>
      </c>
      <c r="K2310" s="1" t="inlineStr">
        <is>
          <t>Yes</t>
        </is>
      </c>
      <c r="L2310" s="1" t="inlineStr">
        <is>
          <t>Yes</t>
        </is>
      </c>
      <c r="M2310" s="1" t="inlineStr">
        <is>
          <t>No</t>
        </is>
      </c>
      <c r="N2310" s="1" t="inlineStr">
        <is>
          <t>Algorithms</t>
        </is>
      </c>
      <c r="O23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10" s="11" t="inlineStr">
        <is>
          <t>To Do</t>
        </is>
      </c>
    </row>
    <row r="2311" ht="15.75" customHeight="1" s="12">
      <c r="A2311" s="1" t="n">
        <v>3321</v>
      </c>
      <c r="B2311" s="3">
        <f>HYPERLINK("https://leetcode.com/problems/find-x-sum-of-all-k-long-subarrays-ii/", "Find X-Sum of All K-Long Subarrays II")</f>
        <v/>
      </c>
      <c r="C2311" s="1" t="n">
        <v>449</v>
      </c>
      <c r="D2311" s="1" t="n">
        <v>51</v>
      </c>
      <c r="E2311" s="4">
        <f>IF(INDEX(C:C, ROW())+INDEX(D:D, ROW())=0, 0, INDEX(C:C, ROW())/(INDEX(C:C, ROW())+INDEX(D:D, ROW())))</f>
        <v/>
      </c>
      <c r="F2311" s="1" t="inlineStr">
        <is>
          <t>Array, Hash Table, Sliding Window, Heap (Priority Queue)</t>
        </is>
      </c>
      <c r="G2311" s="1" t="inlineStr">
        <is>
          <t>Hard</t>
        </is>
      </c>
      <c r="H2311" s="1" t="n">
        <v>65577</v>
      </c>
      <c r="I2311" s="1" t="n">
        <v>159516</v>
      </c>
      <c r="J2311" s="9" t="n">
        <v>0.411</v>
      </c>
      <c r="K2311" s="1" t="inlineStr">
        <is>
          <t>Yes</t>
        </is>
      </c>
      <c r="L2311" s="1" t="inlineStr">
        <is>
          <t>Yes</t>
        </is>
      </c>
      <c r="M2311" s="1" t="inlineStr">
        <is>
          <t>No</t>
        </is>
      </c>
      <c r="N2311" s="1" t="inlineStr">
        <is>
          <t>Algorithms</t>
        </is>
      </c>
      <c r="O23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11" s="11" t="inlineStr">
        <is>
          <t>To Do</t>
        </is>
      </c>
    </row>
    <row r="2312" ht="15.75" customHeight="1" s="12">
      <c r="A2312" s="1" t="n">
        <v>2156</v>
      </c>
      <c r="B2312" s="3">
        <f>HYPERLINK("https://leetcode.com/problems/find-substring-with-given-hash-value/", "Find Substring With Given Hash Value")</f>
        <v/>
      </c>
      <c r="C2312" s="1" t="n">
        <v>447</v>
      </c>
      <c r="D2312" s="1" t="n">
        <v>386</v>
      </c>
      <c r="E2312" s="4">
        <f>IF(INDEX(C:C, ROW())+INDEX(D:D, ROW())=0, 0, INDEX(C:C, ROW())/(INDEX(C:C, ROW())+INDEX(D:D, ROW())))</f>
        <v/>
      </c>
      <c r="F2312" s="1" t="inlineStr">
        <is>
          <t>String, Sliding Window, Rolling Hash, Hash Function</t>
        </is>
      </c>
      <c r="G2312" s="1" t="inlineStr">
        <is>
          <t>Hard</t>
        </is>
      </c>
      <c r="H2312" s="1" t="n">
        <v>16940</v>
      </c>
      <c r="I2312" s="1" t="n">
        <v>64685</v>
      </c>
      <c r="J2312" s="9" t="n">
        <v>0.262</v>
      </c>
      <c r="K2312" s="1" t="inlineStr">
        <is>
          <t>Yes</t>
        </is>
      </c>
      <c r="L2312" s="1" t="inlineStr">
        <is>
          <t>No</t>
        </is>
      </c>
      <c r="M2312" s="1" t="inlineStr">
        <is>
          <t>No</t>
        </is>
      </c>
      <c r="N2312" s="1" t="inlineStr">
        <is>
          <t>Algorithms</t>
        </is>
      </c>
      <c r="O23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12" s="11" t="inlineStr">
        <is>
          <t>To Do</t>
        </is>
      </c>
    </row>
    <row r="2313" ht="15.75" customHeight="1" s="12">
      <c r="A2313" s="1" t="n">
        <v>3372</v>
      </c>
      <c r="B2313" s="3">
        <f>HYPERLINK("https://leetcode.com/problems/maximize-the-number-of-target-nodes-after-connecting-trees-i/", "Maximize the Number of Target Nodes After Connecting Trees I")</f>
        <v/>
      </c>
      <c r="C2313" s="1" t="n">
        <v>447</v>
      </c>
      <c r="D2313" s="1" t="n">
        <v>269</v>
      </c>
      <c r="E2313" s="4">
        <f>IF(INDEX(C:C, ROW())+INDEX(D:D, ROW())=0, 0, INDEX(C:C, ROW())/(INDEX(C:C, ROW())+INDEX(D:D, ROW())))</f>
        <v/>
      </c>
      <c r="F2313" s="1" t="inlineStr">
        <is>
          <t>Tree, Depth-First Search, Breadth-First Search</t>
        </is>
      </c>
      <c r="G2313" s="1" t="inlineStr">
        <is>
          <t>Medium</t>
        </is>
      </c>
      <c r="H2313" s="1" t="n">
        <v>84438</v>
      </c>
      <c r="I2313" s="1" t="n">
        <v>121605</v>
      </c>
      <c r="J2313" s="9" t="n">
        <v>0.694</v>
      </c>
      <c r="K2313" s="1" t="inlineStr">
        <is>
          <t>Yes</t>
        </is>
      </c>
      <c r="L2313" s="1" t="inlineStr">
        <is>
          <t>Yes</t>
        </is>
      </c>
      <c r="M2313" s="1" t="inlineStr">
        <is>
          <t>No</t>
        </is>
      </c>
      <c r="N2313" s="1" t="inlineStr">
        <is>
          <t>Algorithms</t>
        </is>
      </c>
      <c r="O23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13" s="11" t="inlineStr">
        <is>
          <t>To Do</t>
        </is>
      </c>
    </row>
    <row r="2314" ht="15.75" customHeight="1" s="12">
      <c r="A2314" s="1" t="n">
        <v>2541</v>
      </c>
      <c r="B2314" s="3">
        <f>HYPERLINK("https://leetcode.com/problems/minimum-operations-to-make-array-equal-ii/", "Minimum Operations to Make Array Equal II")</f>
        <v/>
      </c>
      <c r="C2314" s="1" t="n">
        <v>446</v>
      </c>
      <c r="D2314" s="1" t="n">
        <v>27</v>
      </c>
      <c r="E2314" s="4">
        <f>IF(INDEX(C:C, ROW())+INDEX(D:D, ROW())=0, 0, INDEX(C:C, ROW())/(INDEX(C:C, ROW())+INDEX(D:D, ROW())))</f>
        <v/>
      </c>
      <c r="F2314" s="1" t="inlineStr">
        <is>
          <t>Array, Math, Greedy</t>
        </is>
      </c>
      <c r="G2314" s="1" t="inlineStr">
        <is>
          <t>Medium</t>
        </is>
      </c>
      <c r="H2314" s="1" t="n">
        <v>28463</v>
      </c>
      <c r="I2314" s="1" t="n">
        <v>85889</v>
      </c>
      <c r="J2314" s="9" t="n">
        <v>0.331</v>
      </c>
      <c r="K2314" s="1" t="inlineStr">
        <is>
          <t>Yes</t>
        </is>
      </c>
      <c r="L2314" s="1" t="inlineStr">
        <is>
          <t>No</t>
        </is>
      </c>
      <c r="M2314" s="1" t="inlineStr">
        <is>
          <t>No</t>
        </is>
      </c>
      <c r="N2314" s="1" t="inlineStr">
        <is>
          <t>Algorithms</t>
        </is>
      </c>
      <c r="O23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14" s="11" t="inlineStr">
        <is>
          <t>To Do</t>
        </is>
      </c>
    </row>
    <row r="2315" ht="15.75" customHeight="1" s="12">
      <c r="A2315" s="1" t="n">
        <v>2833</v>
      </c>
      <c r="B2315" s="3">
        <f>HYPERLINK("https://leetcode.com/problems/furthest-point-from-origin/", "Furthest Point From Origin")</f>
        <v/>
      </c>
      <c r="C2315" s="1" t="n">
        <v>446</v>
      </c>
      <c r="D2315" s="1" t="n">
        <v>70</v>
      </c>
      <c r="E2315" s="4">
        <f>IF(INDEX(C:C, ROW())+INDEX(D:D, ROW())=0, 0, INDEX(C:C, ROW())/(INDEX(C:C, ROW())+INDEX(D:D, ROW())))</f>
        <v/>
      </c>
      <c r="F2315" s="1" t="inlineStr">
        <is>
          <t>String, Counting</t>
        </is>
      </c>
      <c r="G2315" s="1" t="inlineStr">
        <is>
          <t>Easy</t>
        </is>
      </c>
      <c r="H2315" s="1" t="n">
        <v>170492</v>
      </c>
      <c r="I2315" s="1" t="n">
        <v>221416</v>
      </c>
      <c r="J2315" s="9" t="n">
        <v>0.77</v>
      </c>
      <c r="K2315" s="1" t="inlineStr">
        <is>
          <t>Yes</t>
        </is>
      </c>
      <c r="L2315" s="1" t="inlineStr">
        <is>
          <t>Yes</t>
        </is>
      </c>
      <c r="M2315" s="1" t="inlineStr">
        <is>
          <t>No</t>
        </is>
      </c>
      <c r="N2315" s="1" t="inlineStr">
        <is>
          <t>Algorithms</t>
        </is>
      </c>
      <c r="O23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15" s="13" t="inlineStr">
        <is>
          <t>Done</t>
        </is>
      </c>
    </row>
    <row r="2316" ht="15.75" customHeight="1" s="12">
      <c r="A2316" s="1" t="n">
        <v>1270</v>
      </c>
      <c r="B2316" s="3">
        <f>HYPERLINK("https://leetcode.com/problems/all-people-report-to-the-given-manager/", "All People Report to the Given Manager")</f>
        <v/>
      </c>
      <c r="C2316" s="1" t="n">
        <v>445</v>
      </c>
      <c r="D2316" s="1" t="n">
        <v>32</v>
      </c>
      <c r="E2316" s="4">
        <f>IF(INDEX(C:C, ROW())+INDEX(D:D, ROW())=0, 0, INDEX(C:C, ROW())/(INDEX(C:C, ROW())+INDEX(D:D, ROW())))</f>
        <v/>
      </c>
      <c r="F2316" s="1" t="inlineStr">
        <is>
          <t>Database</t>
        </is>
      </c>
      <c r="G2316" s="1" t="inlineStr">
        <is>
          <t>Medium</t>
        </is>
      </c>
      <c r="H2316" s="1" t="n">
        <v>67231</v>
      </c>
      <c r="I2316" s="1" t="n">
        <v>80142</v>
      </c>
      <c r="J2316" s="9" t="n">
        <v>0.839</v>
      </c>
      <c r="K2316" s="1" t="inlineStr">
        <is>
          <t>No</t>
        </is>
      </c>
      <c r="L2316" s="1" t="inlineStr">
        <is>
          <t>No</t>
        </is>
      </c>
      <c r="M2316" s="1" t="inlineStr">
        <is>
          <t>No</t>
        </is>
      </c>
      <c r="N2316" s="1" t="inlineStr">
        <is>
          <t>Database</t>
        </is>
      </c>
      <c r="O23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16" s="11" t="inlineStr">
        <is>
          <t>To Do</t>
        </is>
      </c>
    </row>
    <row r="2317" ht="15.75" customHeight="1" s="12">
      <c r="A2317" s="1" t="n">
        <v>2069</v>
      </c>
      <c r="B2317" s="3">
        <f>HYPERLINK("https://leetcode.com/problems/walking-robot-simulation-ii/", "Walking Robot Simulation II")</f>
        <v/>
      </c>
      <c r="C2317" s="1" t="n">
        <v>445</v>
      </c>
      <c r="D2317" s="1" t="n">
        <v>377</v>
      </c>
      <c r="E2317" s="4">
        <f>IF(INDEX(C:C, ROW())+INDEX(D:D, ROW())=0, 0, INDEX(C:C, ROW())/(INDEX(C:C, ROW())+INDEX(D:D, ROW())))</f>
        <v/>
      </c>
      <c r="F2317" s="1" t="inlineStr">
        <is>
          <t>Design, Simulation</t>
        </is>
      </c>
      <c r="G2317" s="1" t="inlineStr">
        <is>
          <t>Medium</t>
        </is>
      </c>
      <c r="H2317" s="1" t="n">
        <v>89077</v>
      </c>
      <c r="I2317" s="1" t="n">
        <v>206137</v>
      </c>
      <c r="J2317" s="9" t="n">
        <v>0.432</v>
      </c>
      <c r="K2317" s="1" t="inlineStr">
        <is>
          <t>Yes</t>
        </is>
      </c>
      <c r="L2317" s="1" t="inlineStr">
        <is>
          <t>Yes</t>
        </is>
      </c>
      <c r="M2317" s="1" t="inlineStr">
        <is>
          <t>No</t>
        </is>
      </c>
      <c r="N2317" s="1" t="inlineStr">
        <is>
          <t>Algorithms</t>
        </is>
      </c>
      <c r="O23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17" s="11" t="inlineStr">
        <is>
          <t>To Do</t>
        </is>
      </c>
    </row>
    <row r="2318" ht="15.75" customHeight="1" s="12">
      <c r="A2318" s="1" t="n">
        <v>3531</v>
      </c>
      <c r="B2318" s="3">
        <f>HYPERLINK("https://leetcode.com/problems/count-covered-buildings/", "Count Covered Buildings")</f>
        <v/>
      </c>
      <c r="C2318" s="1" t="n">
        <v>445</v>
      </c>
      <c r="D2318" s="1" t="n">
        <v>28</v>
      </c>
      <c r="E2318" s="4">
        <f>IF(INDEX(C:C, ROW())+INDEX(D:D, ROW())=0, 0, INDEX(C:C, ROW())/(INDEX(C:C, ROW())+INDEX(D:D, ROW())))</f>
        <v/>
      </c>
      <c r="F2318" s="1" t="inlineStr">
        <is>
          <t>Array, Hash Table, Sorting</t>
        </is>
      </c>
      <c r="G2318" s="1" t="inlineStr">
        <is>
          <t>Medium</t>
        </is>
      </c>
      <c r="H2318" s="1" t="n">
        <v>104844</v>
      </c>
      <c r="I2318" s="1" t="n">
        <v>178142</v>
      </c>
      <c r="J2318" s="9" t="n">
        <v>0.589</v>
      </c>
      <c r="K2318" s="1" t="inlineStr">
        <is>
          <t>Yes</t>
        </is>
      </c>
      <c r="L2318" s="1" t="inlineStr">
        <is>
          <t>Yes</t>
        </is>
      </c>
      <c r="M2318" s="1" t="inlineStr">
        <is>
          <t>No</t>
        </is>
      </c>
      <c r="N2318" s="1" t="inlineStr">
        <is>
          <t>Algorithms</t>
        </is>
      </c>
      <c r="O23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18" s="11" t="inlineStr">
        <is>
          <t>To Do</t>
        </is>
      </c>
    </row>
    <row r="2319" ht="15.75" customHeight="1" s="12">
      <c r="A2319" s="1" t="n">
        <v>1006</v>
      </c>
      <c r="B2319" s="3">
        <f>HYPERLINK("https://leetcode.com/problems/clumsy-factorial/", "Clumsy Factorial")</f>
        <v/>
      </c>
      <c r="C2319" s="1" t="n">
        <v>444</v>
      </c>
      <c r="D2319" s="1" t="n">
        <v>366</v>
      </c>
      <c r="E2319" s="4">
        <f>IF(INDEX(C:C, ROW())+INDEX(D:D, ROW())=0, 0, INDEX(C:C, ROW())/(INDEX(C:C, ROW())+INDEX(D:D, ROW())))</f>
        <v/>
      </c>
      <c r="F2319" s="1" t="inlineStr">
        <is>
          <t>Math, Stack, Simulation</t>
        </is>
      </c>
      <c r="G2319" s="1" t="inlineStr">
        <is>
          <t>Medium</t>
        </is>
      </c>
      <c r="H2319" s="1" t="n">
        <v>48858</v>
      </c>
      <c r="I2319" s="1" t="n">
        <v>79685</v>
      </c>
      <c r="J2319" s="9" t="n">
        <v>0.613</v>
      </c>
      <c r="K2319" s="1" t="inlineStr">
        <is>
          <t>Yes</t>
        </is>
      </c>
      <c r="L2319" s="1" t="inlineStr">
        <is>
          <t>No</t>
        </is>
      </c>
      <c r="M2319" s="1" t="inlineStr">
        <is>
          <t>No</t>
        </is>
      </c>
      <c r="N2319" s="1" t="inlineStr">
        <is>
          <t>Algorithms</t>
        </is>
      </c>
      <c r="O23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19" s="11" t="inlineStr">
        <is>
          <t>To Do</t>
        </is>
      </c>
    </row>
    <row r="2320" ht="15.75" customHeight="1" s="12">
      <c r="A2320" s="1" t="n">
        <v>2839</v>
      </c>
      <c r="B2320" s="3">
        <f>HYPERLINK("https://leetcode.com/problems/check-if-strings-can-be-made-equal-with-operations-i/", "Check if Strings Can be Made Equal With Operations I")</f>
        <v/>
      </c>
      <c r="C2320" s="1" t="n">
        <v>444</v>
      </c>
      <c r="D2320" s="1" t="n">
        <v>46</v>
      </c>
      <c r="E2320" s="4">
        <f>IF(INDEX(C:C, ROW())+INDEX(D:D, ROW())=0, 0, INDEX(C:C, ROW())/(INDEX(C:C, ROW())+INDEX(D:D, ROW())))</f>
        <v/>
      </c>
      <c r="F2320" s="1" t="inlineStr">
        <is>
          <t>String</t>
        </is>
      </c>
      <c r="G2320" s="1" t="inlineStr">
        <is>
          <t>Easy</t>
        </is>
      </c>
      <c r="H2320" s="1" t="n">
        <v>148309</v>
      </c>
      <c r="I2320" s="1" t="n">
        <v>239561</v>
      </c>
      <c r="J2320" s="9" t="n">
        <v>0.619</v>
      </c>
      <c r="K2320" s="1" t="inlineStr">
        <is>
          <t>Yes</t>
        </is>
      </c>
      <c r="L2320" s="1" t="inlineStr">
        <is>
          <t>Yes</t>
        </is>
      </c>
      <c r="M2320" s="1" t="inlineStr">
        <is>
          <t>No</t>
        </is>
      </c>
      <c r="N2320" s="1" t="inlineStr">
        <is>
          <t>Algorithms</t>
        </is>
      </c>
      <c r="O23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20" s="13" t="inlineStr">
        <is>
          <t>Done</t>
        </is>
      </c>
    </row>
    <row r="2321" ht="15.75" customHeight="1" s="12">
      <c r="A2321" s="1" t="n">
        <v>1064</v>
      </c>
      <c r="B2321" s="3">
        <f>HYPERLINK("https://leetcode.com/problems/fixed-point/", "Fixed Point")</f>
        <v/>
      </c>
      <c r="C2321" s="1" t="n">
        <v>443</v>
      </c>
      <c r="D2321" s="1" t="n">
        <v>67</v>
      </c>
      <c r="E2321" s="4">
        <f>IF(INDEX(C:C, ROW())+INDEX(D:D, ROW())=0, 0, INDEX(C:C, ROW())/(INDEX(C:C, ROW())+INDEX(D:D, ROW())))</f>
        <v/>
      </c>
      <c r="F2321" s="1" t="inlineStr">
        <is>
          <t>Array, Binary Search</t>
        </is>
      </c>
      <c r="G2321" s="1" t="inlineStr">
        <is>
          <t>Easy</t>
        </is>
      </c>
      <c r="H2321" s="1" t="n">
        <v>49572</v>
      </c>
      <c r="I2321" s="1" t="n">
        <v>77703</v>
      </c>
      <c r="J2321" s="9" t="n">
        <v>0.638</v>
      </c>
      <c r="K2321" s="1" t="inlineStr">
        <is>
          <t>No</t>
        </is>
      </c>
      <c r="L2321" s="1" t="inlineStr">
        <is>
          <t>Yes</t>
        </is>
      </c>
      <c r="M2321" s="1" t="inlineStr">
        <is>
          <t>No</t>
        </is>
      </c>
      <c r="N2321" s="1" t="inlineStr">
        <is>
          <t>Algorithms</t>
        </is>
      </c>
      <c r="O23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21" s="11" t="inlineStr">
        <is>
          <t>To Do</t>
        </is>
      </c>
    </row>
    <row r="2322" ht="15.75" customHeight="1" s="12">
      <c r="A2322" s="1" t="n">
        <v>2440</v>
      </c>
      <c r="B2322" s="3">
        <f>HYPERLINK("https://leetcode.com/problems/create-components-with-same-value/", "Create Components With Same Value")</f>
        <v/>
      </c>
      <c r="C2322" s="1" t="n">
        <v>443</v>
      </c>
      <c r="D2322" s="1" t="n">
        <v>7</v>
      </c>
      <c r="E2322" s="4">
        <f>IF(INDEX(C:C, ROW())+INDEX(D:D, ROW())=0, 0, INDEX(C:C, ROW())/(INDEX(C:C, ROW())+INDEX(D:D, ROW())))</f>
        <v/>
      </c>
      <c r="F2322" s="1" t="inlineStr">
        <is>
          <t>Array, Math, Tree, Depth-First Search, Enumeration</t>
        </is>
      </c>
      <c r="G2322" s="1" t="inlineStr">
        <is>
          <t>Hard</t>
        </is>
      </c>
      <c r="H2322" s="1" t="n">
        <v>11343</v>
      </c>
      <c r="I2322" s="1" t="n">
        <v>21130</v>
      </c>
      <c r="J2322" s="9" t="n">
        <v>0.537</v>
      </c>
      <c r="K2322" s="1" t="inlineStr">
        <is>
          <t>Yes</t>
        </is>
      </c>
      <c r="L2322" s="1" t="inlineStr">
        <is>
          <t>No</t>
        </is>
      </c>
      <c r="M2322" s="1" t="inlineStr">
        <is>
          <t>No</t>
        </is>
      </c>
      <c r="N2322" s="1" t="inlineStr">
        <is>
          <t>Algorithms</t>
        </is>
      </c>
      <c r="O23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22" s="11" t="inlineStr">
        <is>
          <t>To Do</t>
        </is>
      </c>
    </row>
    <row r="2323" ht="15.75" customHeight="1" s="12">
      <c r="A2323" s="1" t="n">
        <v>749</v>
      </c>
      <c r="B2323" s="3">
        <f>HYPERLINK("https://leetcode.com/problems/contain-virus/", "Contain Virus")</f>
        <v/>
      </c>
      <c r="C2323" s="1" t="n">
        <v>442</v>
      </c>
      <c r="D2323" s="1" t="n">
        <v>466</v>
      </c>
      <c r="E2323" s="4">
        <f>IF(INDEX(C:C, ROW())+INDEX(D:D, ROW())=0, 0, INDEX(C:C, ROW())/(INDEX(C:C, ROW())+INDEX(D:D, ROW())))</f>
        <v/>
      </c>
      <c r="F2323" s="1" t="inlineStr">
        <is>
          <t>Array, Depth-First Search, Breadth-First Search, Matrix, Simulation</t>
        </is>
      </c>
      <c r="G2323" s="1" t="inlineStr">
        <is>
          <t>Hard</t>
        </is>
      </c>
      <c r="H2323" s="1" t="n">
        <v>18866</v>
      </c>
      <c r="I2323" s="1" t="n">
        <v>34426</v>
      </c>
      <c r="J2323" s="9" t="n">
        <v>0.548</v>
      </c>
      <c r="K2323" s="1" t="inlineStr">
        <is>
          <t>Yes</t>
        </is>
      </c>
      <c r="L2323" s="1" t="inlineStr">
        <is>
          <t>Yes</t>
        </is>
      </c>
      <c r="M2323" s="1" t="inlineStr">
        <is>
          <t>No</t>
        </is>
      </c>
      <c r="N2323" s="1" t="inlineStr">
        <is>
          <t>Algorithms</t>
        </is>
      </c>
      <c r="O23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23" s="11" t="inlineStr">
        <is>
          <t>To Do</t>
        </is>
      </c>
    </row>
    <row r="2324" ht="15.75" customHeight="1" s="12">
      <c r="A2324" s="1" t="n">
        <v>2815</v>
      </c>
      <c r="B2324" s="3">
        <f>HYPERLINK("https://leetcode.com/problems/max-pair-sum-in-an-array/", "Max Pair Sum in an Array")</f>
        <v/>
      </c>
      <c r="C2324" s="1" t="n">
        <v>442</v>
      </c>
      <c r="D2324" s="1" t="n">
        <v>138</v>
      </c>
      <c r="E2324" s="4">
        <f>IF(INDEX(C:C, ROW())+INDEX(D:D, ROW())=0, 0, INDEX(C:C, ROW())/(INDEX(C:C, ROW())+INDEX(D:D, ROW())))</f>
        <v/>
      </c>
      <c r="F2324" s="1" t="inlineStr">
        <is>
          <t>Array, Hash Table</t>
        </is>
      </c>
      <c r="G2324" s="1" t="inlineStr">
        <is>
          <t>Easy</t>
        </is>
      </c>
      <c r="H2324" s="1" t="n">
        <v>61057</v>
      </c>
      <c r="I2324" s="1" t="n">
        <v>100687</v>
      </c>
      <c r="J2324" s="9" t="n">
        <v>0.606</v>
      </c>
      <c r="K2324" s="1" t="inlineStr">
        <is>
          <t>Yes</t>
        </is>
      </c>
      <c r="L2324" s="1" t="inlineStr">
        <is>
          <t>No</t>
        </is>
      </c>
      <c r="M2324" s="1" t="inlineStr">
        <is>
          <t>No</t>
        </is>
      </c>
      <c r="N2324" s="1" t="inlineStr">
        <is>
          <t>Algorithms</t>
        </is>
      </c>
      <c r="O23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24" s="13" t="inlineStr">
        <is>
          <t>Done</t>
        </is>
      </c>
    </row>
    <row r="2325" ht="15.75" customHeight="1" s="12">
      <c r="A2325" s="1" t="n">
        <v>3003</v>
      </c>
      <c r="B2325" s="3">
        <f>HYPERLINK("https://leetcode.com/problems/maximize-the-number-of-partitions-after-operations/", "Maximize the Number of Partitions After Operations")</f>
        <v/>
      </c>
      <c r="C2325" s="1" t="n">
        <v>442</v>
      </c>
      <c r="D2325" s="1" t="n">
        <v>88</v>
      </c>
      <c r="E2325" s="4">
        <f>IF(INDEX(C:C, ROW())+INDEX(D:D, ROW())=0, 0, INDEX(C:C, ROW())/(INDEX(C:C, ROW())+INDEX(D:D, ROW())))</f>
        <v/>
      </c>
      <c r="F2325" s="1" t="inlineStr">
        <is>
          <t>String, Dynamic Programming, Bit Manipulation, Bitmask</t>
        </is>
      </c>
      <c r="G2325" s="1" t="inlineStr">
        <is>
          <t>Hard</t>
        </is>
      </c>
      <c r="H2325" s="1" t="n">
        <v>54949</v>
      </c>
      <c r="I2325" s="1" t="n">
        <v>102904</v>
      </c>
      <c r="J2325" s="9" t="n">
        <v>0.534</v>
      </c>
      <c r="K2325" s="1" t="inlineStr">
        <is>
          <t>Yes</t>
        </is>
      </c>
      <c r="L2325" s="1" t="inlineStr">
        <is>
          <t>Yes</t>
        </is>
      </c>
      <c r="M2325" s="1" t="inlineStr">
        <is>
          <t>No</t>
        </is>
      </c>
      <c r="N2325" s="1" t="inlineStr">
        <is>
          <t>Algorithms</t>
        </is>
      </c>
      <c r="O23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25" s="11" t="inlineStr">
        <is>
          <t>To Do</t>
        </is>
      </c>
    </row>
    <row r="2326" ht="15.75" customHeight="1" s="12">
      <c r="A2326" s="1" t="n">
        <v>1238</v>
      </c>
      <c r="B2326" s="3">
        <f>HYPERLINK("https://leetcode.com/problems/circular-permutation-in-binary-representation/", "Circular Permutation in Binary Representation")</f>
        <v/>
      </c>
      <c r="C2326" s="1" t="n">
        <v>441</v>
      </c>
      <c r="D2326" s="1" t="n">
        <v>195</v>
      </c>
      <c r="E2326" s="4">
        <f>IF(INDEX(C:C, ROW())+INDEX(D:D, ROW())=0, 0, INDEX(C:C, ROW())/(INDEX(C:C, ROW())+INDEX(D:D, ROW())))</f>
        <v/>
      </c>
      <c r="F2326" s="1" t="inlineStr">
        <is>
          <t>Math, Backtracking, Bit Manipulation</t>
        </is>
      </c>
      <c r="G2326" s="1" t="inlineStr">
        <is>
          <t>Medium</t>
        </is>
      </c>
      <c r="H2326" s="1" t="n">
        <v>24984</v>
      </c>
      <c r="I2326" s="1" t="n">
        <v>34369</v>
      </c>
      <c r="J2326" s="9" t="n">
        <v>0.727</v>
      </c>
      <c r="K2326" s="1" t="inlineStr">
        <is>
          <t>Yes</t>
        </is>
      </c>
      <c r="L2326" s="1" t="inlineStr">
        <is>
          <t>No</t>
        </is>
      </c>
      <c r="M2326" s="1" t="inlineStr">
        <is>
          <t>No</t>
        </is>
      </c>
      <c r="N2326" s="1" t="inlineStr">
        <is>
          <t>Algorithms</t>
        </is>
      </c>
      <c r="O23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26" s="11" t="inlineStr">
        <is>
          <t>To Do</t>
        </is>
      </c>
    </row>
    <row r="2327" ht="15.75" customHeight="1" s="12">
      <c r="A2327" s="1" t="n">
        <v>1447</v>
      </c>
      <c r="B2327" s="3">
        <f>HYPERLINK("https://leetcode.com/problems/simplified-fractions/", "Simplified Fractions")</f>
        <v/>
      </c>
      <c r="C2327" s="1" t="n">
        <v>441</v>
      </c>
      <c r="D2327" s="1" t="n">
        <v>48</v>
      </c>
      <c r="E2327" s="4">
        <f>IF(INDEX(C:C, ROW())+INDEX(D:D, ROW())=0, 0, INDEX(C:C, ROW())/(INDEX(C:C, ROW())+INDEX(D:D, ROW())))</f>
        <v/>
      </c>
      <c r="F2327" s="1" t="inlineStr">
        <is>
          <t>Math, String, Number Theory</t>
        </is>
      </c>
      <c r="G2327" s="1" t="inlineStr">
        <is>
          <t>Medium</t>
        </is>
      </c>
      <c r="H2327" s="1" t="n">
        <v>45703</v>
      </c>
      <c r="I2327" s="1" t="n">
        <v>65477</v>
      </c>
      <c r="J2327" s="9" t="n">
        <v>0.698</v>
      </c>
      <c r="K2327" s="1" t="inlineStr">
        <is>
          <t>Yes</t>
        </is>
      </c>
      <c r="L2327" s="1" t="inlineStr">
        <is>
          <t>No</t>
        </is>
      </c>
      <c r="M2327" s="1" t="inlineStr">
        <is>
          <t>No</t>
        </is>
      </c>
      <c r="N2327" s="1" t="inlineStr">
        <is>
          <t>Algorithms</t>
        </is>
      </c>
      <c r="O23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27" s="11" t="inlineStr">
        <is>
          <t>To Do</t>
        </is>
      </c>
    </row>
    <row r="2328" ht="15.75" customHeight="1" s="12">
      <c r="A2328" s="1" t="n">
        <v>2158</v>
      </c>
      <c r="B2328" s="3">
        <f>HYPERLINK("https://leetcode.com/problems/amount-of-new-area-painted-each-day/", "Amount of New Area Painted Each Day")</f>
        <v/>
      </c>
      <c r="C2328" s="1" t="n">
        <v>440</v>
      </c>
      <c r="D2328" s="1" t="n">
        <v>44</v>
      </c>
      <c r="E2328" s="4">
        <f>IF(INDEX(C:C, ROW())+INDEX(D:D, ROW())=0, 0, INDEX(C:C, ROW())/(INDEX(C:C, ROW())+INDEX(D:D, ROW())))</f>
        <v/>
      </c>
      <c r="F2328" s="1" t="inlineStr">
        <is>
          <t>Array, Segment Tree, Ordered Set</t>
        </is>
      </c>
      <c r="G2328" s="1" t="inlineStr">
        <is>
          <t>Hard</t>
        </is>
      </c>
      <c r="H2328" s="1" t="n">
        <v>33152</v>
      </c>
      <c r="I2328" s="1" t="n">
        <v>59568</v>
      </c>
      <c r="J2328" s="9" t="n">
        <v>0.5570000000000001</v>
      </c>
      <c r="K2328" s="1" t="inlineStr">
        <is>
          <t>No</t>
        </is>
      </c>
      <c r="L2328" s="1" t="inlineStr">
        <is>
          <t>No</t>
        </is>
      </c>
      <c r="M2328" s="1" t="inlineStr">
        <is>
          <t>No</t>
        </is>
      </c>
      <c r="N2328" s="1" t="inlineStr">
        <is>
          <t>Algorithms</t>
        </is>
      </c>
      <c r="O23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28" s="11" t="inlineStr">
        <is>
          <t>To Do</t>
        </is>
      </c>
    </row>
    <row r="2329" ht="15.75" customHeight="1" s="12">
      <c r="A2329" s="1" t="n">
        <v>1360</v>
      </c>
      <c r="B2329" s="3">
        <f>HYPERLINK("https://leetcode.com/problems/number-of-days-between-two-dates/", "Number of Days Between Two Dates")</f>
        <v/>
      </c>
      <c r="C2329" s="1" t="n">
        <v>438</v>
      </c>
      <c r="D2329" s="1" t="n">
        <v>1325</v>
      </c>
      <c r="E2329" s="4">
        <f>IF(INDEX(C:C, ROW())+INDEX(D:D, ROW())=0, 0, INDEX(C:C, ROW())/(INDEX(C:C, ROW())+INDEX(D:D, ROW())))</f>
        <v/>
      </c>
      <c r="F2329" s="1" t="inlineStr">
        <is>
          <t>Math, String</t>
        </is>
      </c>
      <c r="G2329" s="1" t="inlineStr">
        <is>
          <t>Easy</t>
        </is>
      </c>
      <c r="H2329" s="1" t="n">
        <v>74370</v>
      </c>
      <c r="I2329" s="1" t="n">
        <v>141154</v>
      </c>
      <c r="J2329" s="9" t="n">
        <v>0.527</v>
      </c>
      <c r="K2329" s="1" t="inlineStr">
        <is>
          <t>Yes</t>
        </is>
      </c>
      <c r="L2329" s="1" t="inlineStr">
        <is>
          <t>No</t>
        </is>
      </c>
      <c r="M2329" s="1" t="inlineStr">
        <is>
          <t>No</t>
        </is>
      </c>
      <c r="N2329" s="1" t="inlineStr">
        <is>
          <t>Algorithms</t>
        </is>
      </c>
      <c r="O23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29" s="13" t="inlineStr">
        <is>
          <t>Done</t>
        </is>
      </c>
    </row>
    <row r="2330" ht="15.75" customHeight="1" s="12">
      <c r="A2330" s="1" t="n">
        <v>3047</v>
      </c>
      <c r="B2330" s="3">
        <f>HYPERLINK("https://leetcode.com/problems/find-the-largest-area-of-square-inside-two-rectangles/", "Find the Largest Area of Square Inside Two Rectangles")</f>
        <v/>
      </c>
      <c r="C2330" s="1" t="n">
        <v>438</v>
      </c>
      <c r="D2330" s="1" t="n">
        <v>86</v>
      </c>
      <c r="E2330" s="4">
        <f>IF(INDEX(C:C, ROW())+INDEX(D:D, ROW())=0, 0, INDEX(C:C, ROW())/(INDEX(C:C, ROW())+INDEX(D:D, ROW())))</f>
        <v/>
      </c>
      <c r="F2330" s="1" t="inlineStr">
        <is>
          <t>Array, Math, Geometry</t>
        </is>
      </c>
      <c r="G2330" s="1" t="inlineStr">
        <is>
          <t>Medium</t>
        </is>
      </c>
      <c r="H2330" s="1" t="n">
        <v>101042</v>
      </c>
      <c r="I2330" s="1" t="n">
        <v>150953</v>
      </c>
      <c r="J2330" s="9" t="n">
        <v>0.669</v>
      </c>
      <c r="K2330" s="1" t="inlineStr">
        <is>
          <t>Yes</t>
        </is>
      </c>
      <c r="L2330" s="1" t="inlineStr">
        <is>
          <t>Yes</t>
        </is>
      </c>
      <c r="M2330" s="1" t="inlineStr">
        <is>
          <t>No</t>
        </is>
      </c>
      <c r="N2330" s="1" t="inlineStr">
        <is>
          <t>Algorithms</t>
        </is>
      </c>
      <c r="O23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30" s="11" t="inlineStr">
        <is>
          <t>To Do</t>
        </is>
      </c>
    </row>
    <row r="2331" ht="15.75" customHeight="1" s="12">
      <c r="A2331" s="1" t="n">
        <v>1797</v>
      </c>
      <c r="B2331" s="3">
        <f>HYPERLINK("https://leetcode.com/problems/design-authentication-manager/", "Design Authentication Manager")</f>
        <v/>
      </c>
      <c r="C2331" s="1" t="n">
        <v>437</v>
      </c>
      <c r="D2331" s="1" t="n">
        <v>58</v>
      </c>
      <c r="E2331" s="4">
        <f>IF(INDEX(C:C, ROW())+INDEX(D:D, ROW())=0, 0, INDEX(C:C, ROW())/(INDEX(C:C, ROW())+INDEX(D:D, ROW())))</f>
        <v/>
      </c>
      <c r="F2331" s="1" t="inlineStr">
        <is>
          <t>Hash Table, Linked List, Design, Doubly-Linked List</t>
        </is>
      </c>
      <c r="G2331" s="1" t="inlineStr">
        <is>
          <t>Medium</t>
        </is>
      </c>
      <c r="H2331" s="1" t="n">
        <v>58198</v>
      </c>
      <c r="I2331" s="1" t="n">
        <v>99377</v>
      </c>
      <c r="J2331" s="9" t="n">
        <v>0.586</v>
      </c>
      <c r="K2331" s="1" t="inlineStr">
        <is>
          <t>Yes</t>
        </is>
      </c>
      <c r="L2331" s="1" t="inlineStr">
        <is>
          <t>No</t>
        </is>
      </c>
      <c r="M2331" s="1" t="inlineStr">
        <is>
          <t>No</t>
        </is>
      </c>
      <c r="N2331" s="1" t="inlineStr">
        <is>
          <t>Algorithms</t>
        </is>
      </c>
      <c r="O23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31" s="11" t="inlineStr">
        <is>
          <t>To Do</t>
        </is>
      </c>
    </row>
    <row r="2332" ht="15.75" customHeight="1" s="12">
      <c r="A2332" s="1" t="n">
        <v>2496</v>
      </c>
      <c r="B2332" s="3">
        <f>HYPERLINK("https://leetcode.com/problems/maximum-value-of-a-string-in-an-array/", "Maximum Value of a String in an Array")</f>
        <v/>
      </c>
      <c r="C2332" s="1" t="n">
        <v>437</v>
      </c>
      <c r="D2332" s="1" t="n">
        <v>24</v>
      </c>
      <c r="E2332" s="4">
        <f>IF(INDEX(C:C, ROW())+INDEX(D:D, ROW())=0, 0, INDEX(C:C, ROW())/(INDEX(C:C, ROW())+INDEX(D:D, ROW())))</f>
        <v/>
      </c>
      <c r="F2332" s="1" t="inlineStr">
        <is>
          <t>Array, String</t>
        </is>
      </c>
      <c r="G2332" s="1" t="inlineStr">
        <is>
          <t>Easy</t>
        </is>
      </c>
      <c r="H2332" s="1" t="n">
        <v>65221</v>
      </c>
      <c r="I2332" s="1" t="n">
        <v>87840</v>
      </c>
      <c r="J2332" s="9" t="n">
        <v>0.742</v>
      </c>
      <c r="K2332" s="1" t="inlineStr">
        <is>
          <t>Yes</t>
        </is>
      </c>
      <c r="L2332" s="1" t="inlineStr">
        <is>
          <t>No</t>
        </is>
      </c>
      <c r="M2332" s="1" t="inlineStr">
        <is>
          <t>No</t>
        </is>
      </c>
      <c r="N2332" s="1" t="inlineStr">
        <is>
          <t>Algorithms</t>
        </is>
      </c>
      <c r="O23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32" s="13" t="inlineStr">
        <is>
          <t>Done</t>
        </is>
      </c>
    </row>
    <row r="2333" ht="15.75" customHeight="1" s="12">
      <c r="A2333" s="1" t="n">
        <v>2858</v>
      </c>
      <c r="B2333" s="3">
        <f>HYPERLINK("https://leetcode.com/problems/minimum-edge-reversals-so-every-node-is-reachable/", "Minimum Edge Reversals So Every Node Is Reachable")</f>
        <v/>
      </c>
      <c r="C2333" s="1" t="n">
        <v>437</v>
      </c>
      <c r="D2333" s="1" t="n">
        <v>12</v>
      </c>
      <c r="E2333" s="4">
        <f>IF(INDEX(C:C, ROW())+INDEX(D:D, ROW())=0, 0, INDEX(C:C, ROW())/(INDEX(C:C, ROW())+INDEX(D:D, ROW())))</f>
        <v/>
      </c>
      <c r="F2333" s="1" t="inlineStr">
        <is>
          <t>Dynamic Programming, Depth-First Search, Breadth-First Search, Graph Theory</t>
        </is>
      </c>
      <c r="G2333" s="1" t="inlineStr">
        <is>
          <t>Hard</t>
        </is>
      </c>
      <c r="H2333" s="1" t="n">
        <v>23147</v>
      </c>
      <c r="I2333" s="1" t="n">
        <v>38992</v>
      </c>
      <c r="J2333" s="9" t="n">
        <v>0.594</v>
      </c>
      <c r="K2333" s="1" t="inlineStr">
        <is>
          <t>Yes</t>
        </is>
      </c>
      <c r="L2333" s="1" t="inlineStr">
        <is>
          <t>No</t>
        </is>
      </c>
      <c r="M2333" s="1" t="inlineStr">
        <is>
          <t>No</t>
        </is>
      </c>
      <c r="N2333" s="1" t="inlineStr">
        <is>
          <t>Algorithms</t>
        </is>
      </c>
      <c r="O23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33" s="11" t="inlineStr">
        <is>
          <t>To Do</t>
        </is>
      </c>
    </row>
    <row r="2334" ht="15.75" customHeight="1" s="12">
      <c r="A2334" s="1" t="n">
        <v>1819</v>
      </c>
      <c r="B2334" s="3">
        <f>HYPERLINK("https://leetcode.com/problems/number-of-different-subsequences-gcds/", "Number of Different Subsequences GCDs")</f>
        <v/>
      </c>
      <c r="C2334" s="1" t="n">
        <v>436</v>
      </c>
      <c r="D2334" s="1" t="n">
        <v>48</v>
      </c>
      <c r="E2334" s="4">
        <f>IF(INDEX(C:C, ROW())+INDEX(D:D, ROW())=0, 0, INDEX(C:C, ROW())/(INDEX(C:C, ROW())+INDEX(D:D, ROW())))</f>
        <v/>
      </c>
      <c r="F2334" s="1" t="inlineStr">
        <is>
          <t>Array, Math, Counting, Number Theory</t>
        </is>
      </c>
      <c r="G2334" s="1" t="inlineStr">
        <is>
          <t>Hard</t>
        </is>
      </c>
      <c r="H2334" s="1" t="n">
        <v>13220</v>
      </c>
      <c r="I2334" s="1" t="n">
        <v>29209</v>
      </c>
      <c r="J2334" s="9" t="n">
        <v>0.453</v>
      </c>
      <c r="K2334" s="1" t="inlineStr">
        <is>
          <t>Yes</t>
        </is>
      </c>
      <c r="L2334" s="1" t="inlineStr">
        <is>
          <t>No</t>
        </is>
      </c>
      <c r="M2334" s="1" t="inlineStr">
        <is>
          <t>No</t>
        </is>
      </c>
      <c r="N2334" s="1" t="inlineStr">
        <is>
          <t>Algorithms</t>
        </is>
      </c>
      <c r="O23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34" s="11" t="inlineStr">
        <is>
          <t>To Do</t>
        </is>
      </c>
    </row>
    <row r="2335" ht="15.75" customHeight="1" s="12">
      <c r="A2335" s="1" t="n">
        <v>2656</v>
      </c>
      <c r="B2335" s="3">
        <f>HYPERLINK("https://leetcode.com/problems/maximum-sum-with-exactly-k-elements/", "Maximum Sum With Exactly K Elements ")</f>
        <v/>
      </c>
      <c r="C2335" s="1" t="n">
        <v>435</v>
      </c>
      <c r="D2335" s="1" t="n">
        <v>52</v>
      </c>
      <c r="E2335" s="4">
        <f>IF(INDEX(C:C, ROW())+INDEX(D:D, ROW())=0, 0, INDEX(C:C, ROW())/(INDEX(C:C, ROW())+INDEX(D:D, ROW())))</f>
        <v/>
      </c>
      <c r="F2335" s="1" t="inlineStr">
        <is>
          <t>Array, Greedy</t>
        </is>
      </c>
      <c r="G2335" s="1" t="inlineStr">
        <is>
          <t>Easy</t>
        </is>
      </c>
      <c r="H2335" s="1" t="n">
        <v>106053</v>
      </c>
      <c r="I2335" s="1" t="n">
        <v>131517</v>
      </c>
      <c r="J2335" s="9" t="n">
        <v>0.806</v>
      </c>
      <c r="K2335" s="1" t="inlineStr">
        <is>
          <t>Yes</t>
        </is>
      </c>
      <c r="L2335" s="1" t="inlineStr">
        <is>
          <t>No</t>
        </is>
      </c>
      <c r="M2335" s="1" t="inlineStr">
        <is>
          <t>No</t>
        </is>
      </c>
      <c r="N2335" s="1" t="inlineStr">
        <is>
          <t>Algorithms</t>
        </is>
      </c>
      <c r="O23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35" s="13" t="inlineStr">
        <is>
          <t>Done</t>
        </is>
      </c>
    </row>
    <row r="2336" ht="15.75" customHeight="1" s="12">
      <c r="A2336" s="1" t="n">
        <v>1418</v>
      </c>
      <c r="B2336" s="3">
        <f>HYPERLINK("https://leetcode.com/problems/display-table-of-food-orders-in-a-restaurant/", "Display Table of Food Orders in a Restaurant")</f>
        <v/>
      </c>
      <c r="C2336" s="1" t="n">
        <v>434</v>
      </c>
      <c r="D2336" s="1" t="n">
        <v>494</v>
      </c>
      <c r="E2336" s="4">
        <f>IF(INDEX(C:C, ROW())+INDEX(D:D, ROW())=0, 0, INDEX(C:C, ROW())/(INDEX(C:C, ROW())+INDEX(D:D, ROW())))</f>
        <v/>
      </c>
      <c r="F2336" s="1" t="inlineStr">
        <is>
          <t>Array, Hash Table, String, Sorting, Ordered Set</t>
        </is>
      </c>
      <c r="G2336" s="1" t="inlineStr">
        <is>
          <t>Medium</t>
        </is>
      </c>
      <c r="H2336" s="1" t="n">
        <v>37718</v>
      </c>
      <c r="I2336" s="1" t="n">
        <v>49418</v>
      </c>
      <c r="J2336" s="9" t="n">
        <v>0.763</v>
      </c>
      <c r="K2336" s="1" t="inlineStr">
        <is>
          <t>Yes</t>
        </is>
      </c>
      <c r="L2336" s="1" t="inlineStr">
        <is>
          <t>No</t>
        </is>
      </c>
      <c r="M2336" s="1" t="inlineStr">
        <is>
          <t>No</t>
        </is>
      </c>
      <c r="N2336" s="1" t="inlineStr">
        <is>
          <t>Algorithms</t>
        </is>
      </c>
      <c r="O23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36" s="11" t="inlineStr">
        <is>
          <t>To Do</t>
        </is>
      </c>
    </row>
    <row r="2337" ht="15.75" customHeight="1" s="12">
      <c r="A2337" s="1" t="n">
        <v>1474</v>
      </c>
      <c r="B2337" s="3">
        <f>HYPERLINK("https://leetcode.com/problems/delete-n-nodes-after-m-nodes-of-a-linked-list/", "Delete N Nodes After M Nodes of a Linked List")</f>
        <v/>
      </c>
      <c r="C2337" s="1" t="n">
        <v>434</v>
      </c>
      <c r="D2337" s="1" t="n">
        <v>17</v>
      </c>
      <c r="E2337" s="4">
        <f>IF(INDEX(C:C, ROW())+INDEX(D:D, ROW())=0, 0, INDEX(C:C, ROW())/(INDEX(C:C, ROW())+INDEX(D:D, ROW())))</f>
        <v/>
      </c>
      <c r="F2337" s="1" t="inlineStr">
        <is>
          <t>Linked List</t>
        </is>
      </c>
      <c r="G2337" s="1" t="inlineStr">
        <is>
          <t>Easy</t>
        </is>
      </c>
      <c r="H2337" s="1" t="n">
        <v>42062</v>
      </c>
      <c r="I2337" s="1" t="n">
        <v>56508</v>
      </c>
      <c r="J2337" s="9" t="n">
        <v>0.744</v>
      </c>
      <c r="K2337" s="1" t="inlineStr">
        <is>
          <t>No</t>
        </is>
      </c>
      <c r="L2337" s="1" t="inlineStr">
        <is>
          <t>Yes</t>
        </is>
      </c>
      <c r="M2337" s="1" t="inlineStr">
        <is>
          <t>No</t>
        </is>
      </c>
      <c r="N2337" s="1" t="inlineStr">
        <is>
          <t>Algorithms</t>
        </is>
      </c>
      <c r="O23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37" s="11" t="inlineStr">
        <is>
          <t>To Do</t>
        </is>
      </c>
    </row>
    <row r="2338" ht="15.75" customHeight="1" s="12">
      <c r="A2338" s="1" t="n">
        <v>2451</v>
      </c>
      <c r="B2338" s="3">
        <f>HYPERLINK("https://leetcode.com/problems/odd-string-difference/", "Odd String Difference")</f>
        <v/>
      </c>
      <c r="C2338" s="1" t="n">
        <v>434</v>
      </c>
      <c r="D2338" s="1" t="n">
        <v>123</v>
      </c>
      <c r="E2338" s="4">
        <f>IF(INDEX(C:C, ROW())+INDEX(D:D, ROW())=0, 0, INDEX(C:C, ROW())/(INDEX(C:C, ROW())+INDEX(D:D, ROW())))</f>
        <v/>
      </c>
      <c r="F2338" s="1" t="inlineStr">
        <is>
          <t>Array, Hash Table, String</t>
        </is>
      </c>
      <c r="G2338" s="1" t="inlineStr">
        <is>
          <t>Easy</t>
        </is>
      </c>
      <c r="H2338" s="1" t="n">
        <v>44731</v>
      </c>
      <c r="I2338" s="1" t="n">
        <v>72206</v>
      </c>
      <c r="J2338" s="9" t="n">
        <v>0.619</v>
      </c>
      <c r="K2338" s="1" t="inlineStr">
        <is>
          <t>Yes</t>
        </is>
      </c>
      <c r="L2338" s="1" t="inlineStr">
        <is>
          <t>No</t>
        </is>
      </c>
      <c r="M2338" s="1" t="inlineStr">
        <is>
          <t>No</t>
        </is>
      </c>
      <c r="N2338" s="1" t="inlineStr">
        <is>
          <t>Algorithms</t>
        </is>
      </c>
      <c r="O23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38" s="13" t="inlineStr">
        <is>
          <t>Done</t>
        </is>
      </c>
    </row>
    <row r="2339" ht="15.75" customHeight="1" s="12">
      <c r="A2339" s="1" t="n">
        <v>2952</v>
      </c>
      <c r="B2339" s="3">
        <f>HYPERLINK("https://leetcode.com/problems/minimum-number-of-coins-to-be-added/", "Minimum Number of Coins to be Added")</f>
        <v/>
      </c>
      <c r="C2339" s="1" t="n">
        <v>434</v>
      </c>
      <c r="D2339" s="1" t="n">
        <v>65</v>
      </c>
      <c r="E2339" s="4">
        <f>IF(INDEX(C:C, ROW())+INDEX(D:D, ROW())=0, 0, INDEX(C:C, ROW())/(INDEX(C:C, ROW())+INDEX(D:D, ROW())))</f>
        <v/>
      </c>
      <c r="F2339" s="1" t="inlineStr">
        <is>
          <t>Array, Greedy, Sorting</t>
        </is>
      </c>
      <c r="G2339" s="1" t="inlineStr">
        <is>
          <t>Medium</t>
        </is>
      </c>
      <c r="H2339" s="1" t="n">
        <v>27215</v>
      </c>
      <c r="I2339" s="1" t="n">
        <v>46857</v>
      </c>
      <c r="J2339" s="9" t="n">
        <v>0.581</v>
      </c>
      <c r="K2339" s="1" t="inlineStr">
        <is>
          <t>Yes</t>
        </is>
      </c>
      <c r="L2339" s="1" t="inlineStr">
        <is>
          <t>No</t>
        </is>
      </c>
      <c r="M2339" s="1" t="inlineStr">
        <is>
          <t>No</t>
        </is>
      </c>
      <c r="N2339" s="1" t="inlineStr">
        <is>
          <t>Algorithms</t>
        </is>
      </c>
      <c r="O23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39" s="11" t="inlineStr">
        <is>
          <t>To Do</t>
        </is>
      </c>
    </row>
    <row r="2340" ht="15.75" customHeight="1" s="12">
      <c r="A2340" s="1" t="n">
        <v>1485</v>
      </c>
      <c r="B2340" s="3">
        <f>HYPERLINK("https://leetcode.com/problems/clone-binary-tree-with-random-pointer/", "Clone Binary Tree With Random Pointer")</f>
        <v/>
      </c>
      <c r="C2340" s="1" t="n">
        <v>432</v>
      </c>
      <c r="D2340" s="1" t="n">
        <v>94</v>
      </c>
      <c r="E2340" s="4">
        <f>IF(INDEX(C:C, ROW())+INDEX(D:D, ROW())=0, 0, INDEX(C:C, ROW())/(INDEX(C:C, ROW())+INDEX(D:D, ROW())))</f>
        <v/>
      </c>
      <c r="F2340" s="1" t="inlineStr">
        <is>
          <t>Hash Table, Tree, Depth-First Search, Breadth-First Search, Binary Tree</t>
        </is>
      </c>
      <c r="G2340" s="1" t="inlineStr">
        <is>
          <t>Medium</t>
        </is>
      </c>
      <c r="H2340" s="1" t="n">
        <v>36101</v>
      </c>
      <c r="I2340" s="1" t="n">
        <v>44641</v>
      </c>
      <c r="J2340" s="9" t="n">
        <v>0.8090000000000001</v>
      </c>
      <c r="K2340" s="1" t="inlineStr">
        <is>
          <t>No</t>
        </is>
      </c>
      <c r="L2340" s="1" t="inlineStr">
        <is>
          <t>Yes</t>
        </is>
      </c>
      <c r="M2340" s="1" t="inlineStr">
        <is>
          <t>No</t>
        </is>
      </c>
      <c r="N2340" s="1" t="inlineStr">
        <is>
          <t>Algorithms</t>
        </is>
      </c>
      <c r="O23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40" s="11" t="inlineStr">
        <is>
          <t>To Do</t>
        </is>
      </c>
    </row>
    <row r="2341" ht="15.75" customHeight="1" s="12">
      <c r="A2341" s="1" t="n">
        <v>2081</v>
      </c>
      <c r="B2341" s="3">
        <f>HYPERLINK("https://leetcode.com/problems/sum-of-k-mirror-numbers/", "Sum of k-Mirror Numbers")</f>
        <v/>
      </c>
      <c r="C2341" s="1" t="n">
        <v>432</v>
      </c>
      <c r="D2341" s="1" t="n">
        <v>210</v>
      </c>
      <c r="E2341" s="4">
        <f>IF(INDEX(C:C, ROW())+INDEX(D:D, ROW())=0, 0, INDEX(C:C, ROW())/(INDEX(C:C, ROW())+INDEX(D:D, ROW())))</f>
        <v/>
      </c>
      <c r="F2341" s="1" t="inlineStr">
        <is>
          <t>Math, Enumeration</t>
        </is>
      </c>
      <c r="G2341" s="1" t="inlineStr">
        <is>
          <t>Hard</t>
        </is>
      </c>
      <c r="H2341" s="1" t="n">
        <v>77732</v>
      </c>
      <c r="I2341" s="1" t="n">
        <v>122155</v>
      </c>
      <c r="J2341" s="9" t="n">
        <v>0.636</v>
      </c>
      <c r="K2341" s="1" t="inlineStr">
        <is>
          <t>Yes</t>
        </is>
      </c>
      <c r="L2341" s="1" t="inlineStr">
        <is>
          <t>Yes</t>
        </is>
      </c>
      <c r="M2341" s="1" t="inlineStr">
        <is>
          <t>No</t>
        </is>
      </c>
      <c r="N2341" s="1" t="inlineStr">
        <is>
          <t>Algorithms</t>
        </is>
      </c>
      <c r="O23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41" s="11" t="inlineStr">
        <is>
          <t>To Do</t>
        </is>
      </c>
    </row>
    <row r="2342" ht="15.75" customHeight="1" s="12">
      <c r="A2342" s="1" t="n">
        <v>2274</v>
      </c>
      <c r="B2342" s="3">
        <f>HYPERLINK("https://leetcode.com/problems/maximum-consecutive-floors-without-special-floors/", "Maximum Consecutive Floors Without Special Floors")</f>
        <v/>
      </c>
      <c r="C2342" s="1" t="n">
        <v>431</v>
      </c>
      <c r="D2342" s="1" t="n">
        <v>41</v>
      </c>
      <c r="E2342" s="4">
        <f>IF(INDEX(C:C, ROW())+INDEX(D:D, ROW())=0, 0, INDEX(C:C, ROW())/(INDEX(C:C, ROW())+INDEX(D:D, ROW())))</f>
        <v/>
      </c>
      <c r="F2342" s="1" t="inlineStr">
        <is>
          <t>Array, Sorting</t>
        </is>
      </c>
      <c r="G2342" s="1" t="inlineStr">
        <is>
          <t>Medium</t>
        </is>
      </c>
      <c r="H2342" s="1" t="n">
        <v>42518</v>
      </c>
      <c r="I2342" s="1" t="n">
        <v>80748</v>
      </c>
      <c r="J2342" s="9" t="n">
        <v>0.527</v>
      </c>
      <c r="K2342" s="1" t="inlineStr">
        <is>
          <t>Yes</t>
        </is>
      </c>
      <c r="L2342" s="1" t="inlineStr">
        <is>
          <t>No</t>
        </is>
      </c>
      <c r="M2342" s="1" t="inlineStr">
        <is>
          <t>No</t>
        </is>
      </c>
      <c r="N2342" s="1" t="inlineStr">
        <is>
          <t>Algorithms</t>
        </is>
      </c>
      <c r="O23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42" s="11" t="inlineStr">
        <is>
          <t>To Do</t>
        </is>
      </c>
    </row>
    <row r="2343" ht="15.75" customHeight="1" s="12">
      <c r="A2343" s="1" t="n">
        <v>2465</v>
      </c>
      <c r="B2343" s="3">
        <f>HYPERLINK("https://leetcode.com/problems/number-of-distinct-averages/", "Number of Distinct Averages")</f>
        <v/>
      </c>
      <c r="C2343" s="1" t="n">
        <v>431</v>
      </c>
      <c r="D2343" s="1" t="n">
        <v>36</v>
      </c>
      <c r="E2343" s="4">
        <f>IF(INDEX(C:C, ROW())+INDEX(D:D, ROW())=0, 0, INDEX(C:C, ROW())/(INDEX(C:C, ROW())+INDEX(D:D, ROW())))</f>
        <v/>
      </c>
      <c r="F2343" s="1" t="inlineStr">
        <is>
          <t>Array, Hash Table, Two Pointers, Sorting</t>
        </is>
      </c>
      <c r="G2343" s="1" t="inlineStr">
        <is>
          <t>Easy</t>
        </is>
      </c>
      <c r="H2343" s="1" t="n">
        <v>75384</v>
      </c>
      <c r="I2343" s="1" t="n">
        <v>127909</v>
      </c>
      <c r="J2343" s="9" t="n">
        <v>0.589</v>
      </c>
      <c r="K2343" s="1" t="inlineStr">
        <is>
          <t>Yes</t>
        </is>
      </c>
      <c r="L2343" s="1" t="inlineStr">
        <is>
          <t>No</t>
        </is>
      </c>
      <c r="M2343" s="1" t="inlineStr">
        <is>
          <t>No</t>
        </is>
      </c>
      <c r="N2343" s="1" t="inlineStr">
        <is>
          <t>Algorithms</t>
        </is>
      </c>
      <c r="O23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43" s="13" t="inlineStr">
        <is>
          <t>Done</t>
        </is>
      </c>
    </row>
    <row r="2344" ht="15.75" customHeight="1" s="12">
      <c r="A2344" s="1" t="n">
        <v>3541</v>
      </c>
      <c r="B2344" s="3">
        <f>HYPERLINK("https://leetcode.com/problems/find-most-frequent-vowel-and-consonant/", "Find Most Frequent Vowel and Consonant")</f>
        <v/>
      </c>
      <c r="C2344" s="1" t="n">
        <v>431</v>
      </c>
      <c r="D2344" s="1" t="n">
        <v>15</v>
      </c>
      <c r="E2344" s="4">
        <f>IF(INDEX(C:C, ROW())+INDEX(D:D, ROW())=0, 0, INDEX(C:C, ROW())/(INDEX(C:C, ROW())+INDEX(D:D, ROW())))</f>
        <v/>
      </c>
      <c r="F2344" s="1" t="inlineStr">
        <is>
          <t>Hash Table, String, Counting</t>
        </is>
      </c>
      <c r="G2344" s="1" t="inlineStr">
        <is>
          <t>Easy</t>
        </is>
      </c>
      <c r="H2344" s="1" t="n">
        <v>210985</v>
      </c>
      <c r="I2344" s="1" t="n">
        <v>236302</v>
      </c>
      <c r="J2344" s="9" t="n">
        <v>0.893</v>
      </c>
      <c r="K2344" s="1" t="inlineStr">
        <is>
          <t>Yes</t>
        </is>
      </c>
      <c r="L2344" s="1" t="inlineStr">
        <is>
          <t>Yes</t>
        </is>
      </c>
      <c r="M2344" s="1" t="inlineStr">
        <is>
          <t>No</t>
        </is>
      </c>
      <c r="N2344" s="1" t="inlineStr">
        <is>
          <t>Algorithms</t>
        </is>
      </c>
      <c r="O23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44" s="13" t="inlineStr">
        <is>
          <t>Done</t>
        </is>
      </c>
    </row>
    <row r="2345" ht="15.75" customHeight="1" s="12">
      <c r="A2345" s="1" t="n">
        <v>1766</v>
      </c>
      <c r="B2345" s="3">
        <f>HYPERLINK("https://leetcode.com/problems/tree-of-coprimes/", "Tree of Coprimes")</f>
        <v/>
      </c>
      <c r="C2345" s="1" t="n">
        <v>430</v>
      </c>
      <c r="D2345" s="1" t="n">
        <v>37</v>
      </c>
      <c r="E2345" s="4">
        <f>IF(INDEX(C:C, ROW())+INDEX(D:D, ROW())=0, 0, INDEX(C:C, ROW())/(INDEX(C:C, ROW())+INDEX(D:D, ROW())))</f>
        <v/>
      </c>
      <c r="F2345" s="1" t="inlineStr">
        <is>
          <t>Array, Math, Tree, Depth-First Search, Number Theory</t>
        </is>
      </c>
      <c r="G2345" s="1" t="inlineStr">
        <is>
          <t>Hard</t>
        </is>
      </c>
      <c r="H2345" s="1" t="n">
        <v>14147</v>
      </c>
      <c r="I2345" s="1" t="n">
        <v>32127</v>
      </c>
      <c r="J2345" s="9" t="n">
        <v>0.44</v>
      </c>
      <c r="K2345" s="1" t="inlineStr">
        <is>
          <t>Yes</t>
        </is>
      </c>
      <c r="L2345" s="1" t="inlineStr">
        <is>
          <t>No</t>
        </is>
      </c>
      <c r="M2345" s="1" t="inlineStr">
        <is>
          <t>No</t>
        </is>
      </c>
      <c r="N2345" s="1" t="inlineStr">
        <is>
          <t>Algorithms</t>
        </is>
      </c>
      <c r="O23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45" s="11" t="inlineStr">
        <is>
          <t>To Do</t>
        </is>
      </c>
    </row>
    <row r="2346" ht="15.75" customHeight="1" s="12">
      <c r="A2346" s="1" t="n">
        <v>2310</v>
      </c>
      <c r="B2346" s="3">
        <f>HYPERLINK("https://leetcode.com/problems/sum-of-numbers-with-units-digit-k/", "Sum of Numbers With Units Digit K")</f>
        <v/>
      </c>
      <c r="C2346" s="1" t="n">
        <v>430</v>
      </c>
      <c r="D2346" s="1" t="n">
        <v>339</v>
      </c>
      <c r="E2346" s="4">
        <f>IF(INDEX(C:C, ROW())+INDEX(D:D, ROW())=0, 0, INDEX(C:C, ROW())/(INDEX(C:C, ROW())+INDEX(D:D, ROW())))</f>
        <v/>
      </c>
      <c r="F2346" s="1" t="inlineStr">
        <is>
          <t>Math, Dynamic Programming, Greedy, Enumeration</t>
        </is>
      </c>
      <c r="G2346" s="1" t="inlineStr">
        <is>
          <t>Medium</t>
        </is>
      </c>
      <c r="H2346" s="1" t="n">
        <v>32617</v>
      </c>
      <c r="I2346" s="1" t="n">
        <v>115580</v>
      </c>
      <c r="J2346" s="9" t="n">
        <v>0.282</v>
      </c>
      <c r="K2346" s="1" t="inlineStr">
        <is>
          <t>Yes</t>
        </is>
      </c>
      <c r="L2346" s="1" t="inlineStr">
        <is>
          <t>No</t>
        </is>
      </c>
      <c r="M2346" s="1" t="inlineStr">
        <is>
          <t>No</t>
        </is>
      </c>
      <c r="N2346" s="1" t="inlineStr">
        <is>
          <t>Algorithms</t>
        </is>
      </c>
      <c r="O23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46" s="11" t="inlineStr">
        <is>
          <t>To Do</t>
        </is>
      </c>
    </row>
    <row r="2347" ht="15.75" customHeight="1" s="12">
      <c r="A2347" s="1" t="n">
        <v>2578</v>
      </c>
      <c r="B2347" s="3">
        <f>HYPERLINK("https://leetcode.com/problems/split-with-minimum-sum/", "Split With Minimum Sum")</f>
        <v/>
      </c>
      <c r="C2347" s="1" t="n">
        <v>429</v>
      </c>
      <c r="D2347" s="1" t="n">
        <v>35</v>
      </c>
      <c r="E2347" s="4">
        <f>IF(INDEX(C:C, ROW())+INDEX(D:D, ROW())=0, 0, INDEX(C:C, ROW())/(INDEX(C:C, ROW())+INDEX(D:D, ROW())))</f>
        <v/>
      </c>
      <c r="F2347" s="1" t="inlineStr">
        <is>
          <t>Math, Greedy, Sorting</t>
        </is>
      </c>
      <c r="G2347" s="1" t="inlineStr">
        <is>
          <t>Easy</t>
        </is>
      </c>
      <c r="H2347" s="1" t="n">
        <v>52686</v>
      </c>
      <c r="I2347" s="1" t="n">
        <v>71713</v>
      </c>
      <c r="J2347" s="9" t="n">
        <v>0.735</v>
      </c>
      <c r="K2347" s="1" t="inlineStr">
        <is>
          <t>Yes</t>
        </is>
      </c>
      <c r="L2347" s="1" t="inlineStr">
        <is>
          <t>No</t>
        </is>
      </c>
      <c r="M2347" s="1" t="inlineStr">
        <is>
          <t>No</t>
        </is>
      </c>
      <c r="N2347" s="1" t="inlineStr">
        <is>
          <t>Algorithms</t>
        </is>
      </c>
      <c r="O23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47" s="13" t="inlineStr">
        <is>
          <t>Done</t>
        </is>
      </c>
    </row>
    <row r="2348" ht="15.75" customHeight="1" s="12">
      <c r="A2348" s="1" t="n">
        <v>3405</v>
      </c>
      <c r="B2348" s="3">
        <f>HYPERLINK("https://leetcode.com/problems/count-the-number-of-arrays-with-k-matching-adjacent-elements/", "Count the Number of Arrays with K Matching Adjacent Elements")</f>
        <v/>
      </c>
      <c r="C2348" s="1" t="n">
        <v>429</v>
      </c>
      <c r="D2348" s="1" t="n">
        <v>68</v>
      </c>
      <c r="E2348" s="4">
        <f>IF(INDEX(C:C, ROW())+INDEX(D:D, ROW())=0, 0, INDEX(C:C, ROW())/(INDEX(C:C, ROW())+INDEX(D:D, ROW())))</f>
        <v/>
      </c>
      <c r="F2348" s="1" t="inlineStr">
        <is>
          <t>Math, Combinatorics</t>
        </is>
      </c>
      <c r="G2348" s="1" t="inlineStr">
        <is>
          <t>Hard</t>
        </is>
      </c>
      <c r="H2348" s="1" t="n">
        <v>68181</v>
      </c>
      <c r="I2348" s="1" t="n">
        <v>117111</v>
      </c>
      <c r="J2348" s="9" t="n">
        <v>0.582</v>
      </c>
      <c r="K2348" s="1" t="inlineStr">
        <is>
          <t>Yes</t>
        </is>
      </c>
      <c r="L2348" s="1" t="inlineStr">
        <is>
          <t>Yes</t>
        </is>
      </c>
      <c r="M2348" s="1" t="inlineStr">
        <is>
          <t>No</t>
        </is>
      </c>
      <c r="N2348" s="1" t="inlineStr">
        <is>
          <t>Algorithms</t>
        </is>
      </c>
      <c r="O23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48" s="11" t="inlineStr">
        <is>
          <t>To Do</t>
        </is>
      </c>
    </row>
    <row r="2349" ht="15.75" customHeight="1" s="12">
      <c r="A2349" s="1" t="n">
        <v>3516</v>
      </c>
      <c r="B2349" s="3">
        <f>HYPERLINK("https://leetcode.com/problems/find-closest-person/", "Find Closest Person")</f>
        <v/>
      </c>
      <c r="C2349" s="1" t="n">
        <v>429</v>
      </c>
      <c r="D2349" s="1" t="n">
        <v>47</v>
      </c>
      <c r="E2349" s="4">
        <f>IF(INDEX(C:C, ROW())+INDEX(D:D, ROW())=0, 0, INDEX(C:C, ROW())/(INDEX(C:C, ROW())+INDEX(D:D, ROW())))</f>
        <v/>
      </c>
      <c r="F2349" s="1" t="inlineStr">
        <is>
          <t>Math</t>
        </is>
      </c>
      <c r="G2349" s="1" t="inlineStr">
        <is>
          <t>Easy</t>
        </is>
      </c>
      <c r="H2349" s="1" t="n">
        <v>217140</v>
      </c>
      <c r="I2349" s="1" t="n">
        <v>244072</v>
      </c>
      <c r="J2349" s="9" t="n">
        <v>0.89</v>
      </c>
      <c r="K2349" s="1" t="inlineStr">
        <is>
          <t>Yes</t>
        </is>
      </c>
      <c r="L2349" s="1" t="inlineStr">
        <is>
          <t>Yes</t>
        </is>
      </c>
      <c r="M2349" s="1" t="inlineStr">
        <is>
          <t>No</t>
        </is>
      </c>
      <c r="N2349" s="1" t="inlineStr">
        <is>
          <t>Algorithms</t>
        </is>
      </c>
      <c r="O23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49" s="13" t="inlineStr">
        <is>
          <t>Done</t>
        </is>
      </c>
    </row>
    <row r="2350" ht="15.75" customHeight="1" s="12">
      <c r="A2350" s="1" t="n">
        <v>666</v>
      </c>
      <c r="B2350" s="3">
        <f>HYPERLINK("https://leetcode.com/problems/path-sum-iv/", "Path Sum IV")</f>
        <v/>
      </c>
      <c r="C2350" s="1" t="n">
        <v>428</v>
      </c>
      <c r="D2350" s="1" t="n">
        <v>524</v>
      </c>
      <c r="E2350" s="4">
        <f>IF(INDEX(C:C, ROW())+INDEX(D:D, ROW())=0, 0, INDEX(C:C, ROW())/(INDEX(C:C, ROW())+INDEX(D:D, ROW())))</f>
        <v/>
      </c>
      <c r="F2350" s="1" t="inlineStr">
        <is>
          <t>Array, Hash Table, Tree, Depth-First Search, Binary Tree</t>
        </is>
      </c>
      <c r="G2350" s="1" t="inlineStr">
        <is>
          <t>Medium</t>
        </is>
      </c>
      <c r="H2350" s="1" t="n">
        <v>41692</v>
      </c>
      <c r="I2350" s="1" t="n">
        <v>66325</v>
      </c>
      <c r="J2350" s="9" t="n">
        <v>0.629</v>
      </c>
      <c r="K2350" s="1" t="inlineStr">
        <is>
          <t>No</t>
        </is>
      </c>
      <c r="L2350" s="1" t="inlineStr">
        <is>
          <t>Yes</t>
        </is>
      </c>
      <c r="M2350" s="1" t="inlineStr">
        <is>
          <t>No</t>
        </is>
      </c>
      <c r="N2350" s="1" t="inlineStr">
        <is>
          <t>Algorithms</t>
        </is>
      </c>
      <c r="O23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50" s="11" t="inlineStr">
        <is>
          <t>To Do</t>
        </is>
      </c>
    </row>
    <row r="2351" ht="15.75" customHeight="1" s="12">
      <c r="A2351" s="1" t="n">
        <v>1490</v>
      </c>
      <c r="B2351" s="3">
        <f>HYPERLINK("https://leetcode.com/problems/clone-n-ary-tree/", "Clone N-ary Tree")</f>
        <v/>
      </c>
      <c r="C2351" s="1" t="n">
        <v>428</v>
      </c>
      <c r="D2351" s="1" t="n">
        <v>17</v>
      </c>
      <c r="E2351" s="4">
        <f>IF(INDEX(C:C, ROW())+INDEX(D:D, ROW())=0, 0, INDEX(C:C, ROW())/(INDEX(C:C, ROW())+INDEX(D:D, ROW())))</f>
        <v/>
      </c>
      <c r="F2351" s="1" t="inlineStr">
        <is>
          <t>Hash Table, Tree, Depth-First Search, Breadth-First Search</t>
        </is>
      </c>
      <c r="G2351" s="1" t="inlineStr">
        <is>
          <t>Medium</t>
        </is>
      </c>
      <c r="H2351" s="1" t="n">
        <v>34514</v>
      </c>
      <c r="I2351" s="1" t="n">
        <v>41578</v>
      </c>
      <c r="J2351" s="9" t="n">
        <v>0.83</v>
      </c>
      <c r="K2351" s="1" t="inlineStr">
        <is>
          <t>No</t>
        </is>
      </c>
      <c r="L2351" s="1" t="inlineStr">
        <is>
          <t>Yes</t>
        </is>
      </c>
      <c r="M2351" s="1" t="inlineStr">
        <is>
          <t>No</t>
        </is>
      </c>
      <c r="N2351" s="1" t="inlineStr">
        <is>
          <t>Algorithms</t>
        </is>
      </c>
      <c r="O23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51" s="11" t="inlineStr">
        <is>
          <t>To Do</t>
        </is>
      </c>
    </row>
    <row r="2352" ht="15.75" customHeight="1" s="12">
      <c r="A2352" s="1" t="n">
        <v>195</v>
      </c>
      <c r="B2352" s="3">
        <f>HYPERLINK("https://leetcode.com/problems/tenth-line/", "Tenth Line")</f>
        <v/>
      </c>
      <c r="C2352" s="1" t="n">
        <v>427</v>
      </c>
      <c r="D2352" s="1" t="n">
        <v>486</v>
      </c>
      <c r="E2352" s="4">
        <f>IF(INDEX(C:C, ROW())+INDEX(D:D, ROW())=0, 0, INDEX(C:C, ROW())/(INDEX(C:C, ROW())+INDEX(D:D, ROW())))</f>
        <v/>
      </c>
      <c r="F2352" s="1" t="inlineStr">
        <is>
          <t>Shell</t>
        </is>
      </c>
      <c r="G2352" s="1" t="inlineStr">
        <is>
          <t>Easy</t>
        </is>
      </c>
      <c r="H2352" s="1" t="n">
        <v>162270</v>
      </c>
      <c r="I2352" s="1" t="n">
        <v>442169</v>
      </c>
      <c r="J2352" s="9" t="n">
        <v>0.367</v>
      </c>
      <c r="K2352" s="1" t="inlineStr">
        <is>
          <t>Yes</t>
        </is>
      </c>
      <c r="L2352" s="1" t="inlineStr">
        <is>
          <t>No</t>
        </is>
      </c>
      <c r="M2352" s="1" t="inlineStr">
        <is>
          <t>No</t>
        </is>
      </c>
      <c r="N2352" s="1" t="inlineStr">
        <is>
          <t>Shell</t>
        </is>
      </c>
      <c r="O23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52" s="13" t="inlineStr">
        <is>
          <t>Done</t>
        </is>
      </c>
    </row>
    <row r="2353" ht="15.75" customHeight="1" s="12">
      <c r="A2353" s="1" t="n">
        <v>483</v>
      </c>
      <c r="B2353" s="3">
        <f>HYPERLINK("https://leetcode.com/problems/smallest-good-base/", "Smallest Good Base")</f>
        <v/>
      </c>
      <c r="C2353" s="1" t="n">
        <v>427</v>
      </c>
      <c r="D2353" s="1" t="n">
        <v>540</v>
      </c>
      <c r="E2353" s="4">
        <f>IF(INDEX(C:C, ROW())+INDEX(D:D, ROW())=0, 0, INDEX(C:C, ROW())/(INDEX(C:C, ROW())+INDEX(D:D, ROW())))</f>
        <v/>
      </c>
      <c r="F2353" s="1" t="inlineStr">
        <is>
          <t>Math, Binary Search</t>
        </is>
      </c>
      <c r="G2353" s="1" t="inlineStr">
        <is>
          <t>Hard</t>
        </is>
      </c>
      <c r="H2353" s="1" t="n">
        <v>31842</v>
      </c>
      <c r="I2353" s="1" t="n">
        <v>69163</v>
      </c>
      <c r="J2353" s="9" t="n">
        <v>0.46</v>
      </c>
      <c r="K2353" s="1" t="inlineStr">
        <is>
          <t>Yes</t>
        </is>
      </c>
      <c r="L2353" s="1" t="inlineStr">
        <is>
          <t>No</t>
        </is>
      </c>
      <c r="M2353" s="1" t="inlineStr">
        <is>
          <t>No</t>
        </is>
      </c>
      <c r="N2353" s="1" t="inlineStr">
        <is>
          <t>Algorithms</t>
        </is>
      </c>
      <c r="O23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53" s="11" t="inlineStr">
        <is>
          <t>To Do</t>
        </is>
      </c>
    </row>
    <row r="2354" ht="15.75" customHeight="1" s="12">
      <c r="A2354" s="1" t="n">
        <v>1540</v>
      </c>
      <c r="B2354" s="3">
        <f>HYPERLINK("https://leetcode.com/problems/can-convert-string-in-k-moves/", "Can Convert String in K Moves")</f>
        <v/>
      </c>
      <c r="C2354" s="1" t="n">
        <v>427</v>
      </c>
      <c r="D2354" s="1" t="n">
        <v>335</v>
      </c>
      <c r="E2354" s="4">
        <f>IF(INDEX(C:C, ROW())+INDEX(D:D, ROW())=0, 0, INDEX(C:C, ROW())/(INDEX(C:C, ROW())+INDEX(D:D, ROW())))</f>
        <v/>
      </c>
      <c r="F2354" s="1" t="inlineStr">
        <is>
          <t>Hash Table, String</t>
        </is>
      </c>
      <c r="G2354" s="1" t="inlineStr">
        <is>
          <t>Medium</t>
        </is>
      </c>
      <c r="H2354" s="1" t="n">
        <v>26680</v>
      </c>
      <c r="I2354" s="1" t="n">
        <v>70774</v>
      </c>
      <c r="J2354" s="9" t="n">
        <v>0.377</v>
      </c>
      <c r="K2354" s="1" t="inlineStr">
        <is>
          <t>Yes</t>
        </is>
      </c>
      <c r="L2354" s="1" t="inlineStr">
        <is>
          <t>No</t>
        </is>
      </c>
      <c r="M2354" s="1" t="inlineStr">
        <is>
          <t>No</t>
        </is>
      </c>
      <c r="N2354" s="1" t="inlineStr">
        <is>
          <t>Algorithms</t>
        </is>
      </c>
      <c r="O23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54" s="11" t="inlineStr">
        <is>
          <t>To Do</t>
        </is>
      </c>
    </row>
    <row r="2355" ht="15.75" customHeight="1" s="12">
      <c r="A2355" s="1" t="n">
        <v>2625</v>
      </c>
      <c r="B2355" s="3">
        <f>HYPERLINK("https://leetcode.com/problems/flatten-deeply-nested-array/", "Flatten Deeply Nested Array")</f>
        <v/>
      </c>
      <c r="C2355" s="1" t="n">
        <v>427</v>
      </c>
      <c r="D2355" s="1" t="n">
        <v>32</v>
      </c>
      <c r="E2355" s="4">
        <f>IF(INDEX(C:C, ROW())+INDEX(D:D, ROW())=0, 0, INDEX(C:C, ROW())/(INDEX(C:C, ROW())+INDEX(D:D, ROW())))</f>
        <v/>
      </c>
      <c r="F2355" s="2" t="n"/>
      <c r="G2355" s="1" t="inlineStr">
        <is>
          <t>Medium</t>
        </is>
      </c>
      <c r="H2355" s="1" t="n">
        <v>82544</v>
      </c>
      <c r="I2355" s="1" t="n">
        <v>125392</v>
      </c>
      <c r="J2355" s="9" t="n">
        <v>0.658</v>
      </c>
      <c r="K2355" s="1" t="inlineStr">
        <is>
          <t>Yes</t>
        </is>
      </c>
      <c r="L2355" s="1" t="inlineStr">
        <is>
          <t>Yes</t>
        </is>
      </c>
      <c r="M2355" s="1" t="inlineStr">
        <is>
          <t>No</t>
        </is>
      </c>
      <c r="N2355" s="1" t="inlineStr">
        <is>
          <t>JavaScript</t>
        </is>
      </c>
      <c r="O23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55" s="11" t="inlineStr">
        <is>
          <t>To Do</t>
        </is>
      </c>
    </row>
    <row r="2356" ht="15.75" customHeight="1" s="12">
      <c r="A2356" s="1" t="n">
        <v>1787</v>
      </c>
      <c r="B2356" s="3">
        <f>HYPERLINK("https://leetcode.com/problems/make-the-xor-of-all-segments-equal-to-zero/", "Make the XOR of All Segments Equal to Zero")</f>
        <v/>
      </c>
      <c r="C2356" s="1" t="n">
        <v>426</v>
      </c>
      <c r="D2356" s="1" t="n">
        <v>27</v>
      </c>
      <c r="E2356" s="4">
        <f>IF(INDEX(C:C, ROW())+INDEX(D:D, ROW())=0, 0, INDEX(C:C, ROW())/(INDEX(C:C, ROW())+INDEX(D:D, ROW())))</f>
        <v/>
      </c>
      <c r="F2356" s="1" t="inlineStr">
        <is>
          <t>Array, Hash Table, Dynamic Programming, Bit Manipulation, Counting</t>
        </is>
      </c>
      <c r="G2356" s="1" t="inlineStr">
        <is>
          <t>Hard</t>
        </is>
      </c>
      <c r="H2356" s="1" t="n">
        <v>7081</v>
      </c>
      <c r="I2356" s="1" t="n">
        <v>17443</v>
      </c>
      <c r="J2356" s="9" t="n">
        <v>0.406</v>
      </c>
      <c r="K2356" s="1" t="inlineStr">
        <is>
          <t>Yes</t>
        </is>
      </c>
      <c r="L2356" s="1" t="inlineStr">
        <is>
          <t>No</t>
        </is>
      </c>
      <c r="M2356" s="1" t="inlineStr">
        <is>
          <t>No</t>
        </is>
      </c>
      <c r="N2356" s="1" t="inlineStr">
        <is>
          <t>Algorithms</t>
        </is>
      </c>
      <c r="O23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56" s="11" t="inlineStr">
        <is>
          <t>To Do</t>
        </is>
      </c>
    </row>
    <row r="2357" ht="15.75" customHeight="1" s="12">
      <c r="A2357" s="1" t="n">
        <v>2703</v>
      </c>
      <c r="B2357" s="3">
        <f>HYPERLINK("https://leetcode.com/problems/return-length-of-arguments-passed/", "Return Length of Arguments Passed")</f>
        <v/>
      </c>
      <c r="C2357" s="1" t="n">
        <v>426</v>
      </c>
      <c r="D2357" s="1" t="n">
        <v>177</v>
      </c>
      <c r="E2357" s="4">
        <f>IF(INDEX(C:C, ROW())+INDEX(D:D, ROW())=0, 0, INDEX(C:C, ROW())/(INDEX(C:C, ROW())+INDEX(D:D, ROW())))</f>
        <v/>
      </c>
      <c r="F2357" s="2" t="n"/>
      <c r="G2357" s="1" t="inlineStr">
        <is>
          <t>Easy</t>
        </is>
      </c>
      <c r="H2357" s="1" t="n">
        <v>302720</v>
      </c>
      <c r="I2357" s="1" t="n">
        <v>320418</v>
      </c>
      <c r="J2357" s="9" t="n">
        <v>0.945</v>
      </c>
      <c r="K2357" s="1" t="inlineStr">
        <is>
          <t>Yes</t>
        </is>
      </c>
      <c r="L2357" s="1" t="inlineStr">
        <is>
          <t>Yes</t>
        </is>
      </c>
      <c r="M2357" s="1" t="inlineStr">
        <is>
          <t>No</t>
        </is>
      </c>
      <c r="N2357" s="1" t="inlineStr">
        <is>
          <t>JavaScript</t>
        </is>
      </c>
      <c r="O23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57" s="13" t="inlineStr">
        <is>
          <t>Done</t>
        </is>
      </c>
    </row>
    <row r="2358" ht="15.75" customHeight="1" s="12">
      <c r="A2358" s="1" t="n">
        <v>970</v>
      </c>
      <c r="B2358" s="3">
        <f>HYPERLINK("https://leetcode.com/problems/powerful-integers/", "Powerful Integers")</f>
        <v/>
      </c>
      <c r="C2358" s="1" t="n">
        <v>425</v>
      </c>
      <c r="D2358" s="1" t="n">
        <v>86</v>
      </c>
      <c r="E2358" s="4">
        <f>IF(INDEX(C:C, ROW())+INDEX(D:D, ROW())=0, 0, INDEX(C:C, ROW())/(INDEX(C:C, ROW())+INDEX(D:D, ROW())))</f>
        <v/>
      </c>
      <c r="F2358" s="1" t="inlineStr">
        <is>
          <t>Hash Table, Math, Enumeration</t>
        </is>
      </c>
      <c r="G2358" s="1" t="inlineStr">
        <is>
          <t>Medium</t>
        </is>
      </c>
      <c r="H2358" s="1" t="n">
        <v>64353</v>
      </c>
      <c r="I2358" s="1" t="n">
        <v>144319</v>
      </c>
      <c r="J2358" s="9" t="n">
        <v>0.446</v>
      </c>
      <c r="K2358" s="1" t="inlineStr">
        <is>
          <t>Yes</t>
        </is>
      </c>
      <c r="L2358" s="1" t="inlineStr">
        <is>
          <t>Yes</t>
        </is>
      </c>
      <c r="M2358" s="1" t="inlineStr">
        <is>
          <t>No</t>
        </is>
      </c>
      <c r="N2358" s="1" t="inlineStr">
        <is>
          <t>Algorithms</t>
        </is>
      </c>
      <c r="O23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58" s="11" t="inlineStr">
        <is>
          <t>To Do</t>
        </is>
      </c>
    </row>
    <row r="2359" ht="15.75" customHeight="1" s="12">
      <c r="A2359" s="1" t="n">
        <v>1889</v>
      </c>
      <c r="B2359" s="3">
        <f>HYPERLINK("https://leetcode.com/problems/minimum-space-wasted-from-packaging/", "Minimum Space Wasted From Packaging")</f>
        <v/>
      </c>
      <c r="C2359" s="1" t="n">
        <v>425</v>
      </c>
      <c r="D2359" s="1" t="n">
        <v>39</v>
      </c>
      <c r="E2359" s="4">
        <f>IF(INDEX(C:C, ROW())+INDEX(D:D, ROW())=0, 0, INDEX(C:C, ROW())/(INDEX(C:C, ROW())+INDEX(D:D, ROW())))</f>
        <v/>
      </c>
      <c r="F2359" s="1" t="inlineStr">
        <is>
          <t>Array, Binary Search, Sorting, Prefix Sum</t>
        </is>
      </c>
      <c r="G2359" s="1" t="inlineStr">
        <is>
          <t>Hard</t>
        </is>
      </c>
      <c r="H2359" s="1" t="n">
        <v>18070</v>
      </c>
      <c r="I2359" s="1" t="n">
        <v>53875</v>
      </c>
      <c r="J2359" s="9" t="n">
        <v>0.335</v>
      </c>
      <c r="K2359" s="1" t="inlineStr">
        <is>
          <t>Yes</t>
        </is>
      </c>
      <c r="L2359" s="1" t="inlineStr">
        <is>
          <t>No</t>
        </is>
      </c>
      <c r="M2359" s="1" t="inlineStr">
        <is>
          <t>No</t>
        </is>
      </c>
      <c r="N2359" s="1" t="inlineStr">
        <is>
          <t>Algorithms</t>
        </is>
      </c>
      <c r="O23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59" s="11" t="inlineStr">
        <is>
          <t>To Do</t>
        </is>
      </c>
    </row>
    <row r="2360" ht="15.75" customHeight="1" s="12">
      <c r="A2360" s="1" t="n">
        <v>2856</v>
      </c>
      <c r="B2360" s="3">
        <f>HYPERLINK("https://leetcode.com/problems/minimum-array-length-after-pair-removals/", "Minimum Array Length After Pair Removals")</f>
        <v/>
      </c>
      <c r="C2360" s="1" t="n">
        <v>425</v>
      </c>
      <c r="D2360" s="1" t="n">
        <v>108</v>
      </c>
      <c r="E2360" s="4">
        <f>IF(INDEX(C:C, ROW())+INDEX(D:D, ROW())=0, 0, INDEX(C:C, ROW())/(INDEX(C:C, ROW())+INDEX(D:D, ROW())))</f>
        <v/>
      </c>
      <c r="F2360" s="1" t="inlineStr">
        <is>
          <t>Array, Hash Table, Two Pointers, Binary Search, Greedy, Counting</t>
        </is>
      </c>
      <c r="G2360" s="1" t="inlineStr">
        <is>
          <t>Medium</t>
        </is>
      </c>
      <c r="H2360" s="1" t="n">
        <v>32728</v>
      </c>
      <c r="I2360" s="1" t="n">
        <v>119260</v>
      </c>
      <c r="J2360" s="9" t="n">
        <v>0.274</v>
      </c>
      <c r="K2360" s="1" t="inlineStr">
        <is>
          <t>Yes</t>
        </is>
      </c>
      <c r="L2360" s="1" t="inlineStr">
        <is>
          <t>No</t>
        </is>
      </c>
      <c r="M2360" s="1" t="inlineStr">
        <is>
          <t>No</t>
        </is>
      </c>
      <c r="N2360" s="1" t="inlineStr">
        <is>
          <t>Algorithms</t>
        </is>
      </c>
      <c r="O23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60" s="11" t="inlineStr">
        <is>
          <t>To Do</t>
        </is>
      </c>
    </row>
    <row r="2361" ht="15.75" customHeight="1" s="12">
      <c r="A2361" s="1" t="n">
        <v>3573</v>
      </c>
      <c r="B2361" s="3">
        <f>HYPERLINK("https://leetcode.com/problems/best-time-to-buy-and-sell-stock-v/", "Best Time to Buy and Sell Stock V")</f>
        <v/>
      </c>
      <c r="C2361" s="1" t="n">
        <v>425</v>
      </c>
      <c r="D2361" s="1" t="n">
        <v>64</v>
      </c>
      <c r="E2361" s="4">
        <f>IF(INDEX(C:C, ROW())+INDEX(D:D, ROW())=0, 0, INDEX(C:C, ROW())/(INDEX(C:C, ROW())+INDEX(D:D, ROW())))</f>
        <v/>
      </c>
      <c r="F2361" s="1" t="inlineStr">
        <is>
          <t>Array, Dynamic Programming</t>
        </is>
      </c>
      <c r="G2361" s="1" t="inlineStr">
        <is>
          <t>Medium</t>
        </is>
      </c>
      <c r="H2361" s="1" t="n">
        <v>80915</v>
      </c>
      <c r="I2361" s="1" t="n">
        <v>133320</v>
      </c>
      <c r="J2361" s="9" t="n">
        <v>0.607</v>
      </c>
      <c r="K2361" s="1" t="inlineStr">
        <is>
          <t>Yes</t>
        </is>
      </c>
      <c r="L2361" s="1" t="inlineStr">
        <is>
          <t>Yes</t>
        </is>
      </c>
      <c r="M2361" s="1" t="inlineStr">
        <is>
          <t>No</t>
        </is>
      </c>
      <c r="N2361" s="1" t="inlineStr">
        <is>
          <t>Algorithms</t>
        </is>
      </c>
      <c r="O23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61" s="11" t="inlineStr">
        <is>
          <t>To Do</t>
        </is>
      </c>
    </row>
    <row r="2362" ht="15.75" customHeight="1" s="12">
      <c r="A2362" s="1" t="n">
        <v>534</v>
      </c>
      <c r="B2362" s="3">
        <f>HYPERLINK("https://leetcode.com/problems/game-play-analysis-iii/", "Game Play Analysis III")</f>
        <v/>
      </c>
      <c r="C2362" s="1" t="n">
        <v>424</v>
      </c>
      <c r="D2362" s="1" t="n">
        <v>18</v>
      </c>
      <c r="E2362" s="4">
        <f>IF(INDEX(C:C, ROW())+INDEX(D:D, ROW())=0, 0, INDEX(C:C, ROW())/(INDEX(C:C, ROW())+INDEX(D:D, ROW())))</f>
        <v/>
      </c>
      <c r="F2362" s="1" t="inlineStr">
        <is>
          <t>Database</t>
        </is>
      </c>
      <c r="G2362" s="1" t="inlineStr">
        <is>
          <t>Medium</t>
        </is>
      </c>
      <c r="H2362" s="1" t="n">
        <v>96609</v>
      </c>
      <c r="I2362" s="1" t="n">
        <v>118870</v>
      </c>
      <c r="J2362" s="9" t="n">
        <v>0.8129999999999999</v>
      </c>
      <c r="K2362" s="1" t="inlineStr">
        <is>
          <t>No</t>
        </is>
      </c>
      <c r="L2362" s="1" t="inlineStr">
        <is>
          <t>Yes</t>
        </is>
      </c>
      <c r="M2362" s="1" t="inlineStr">
        <is>
          <t>No</t>
        </is>
      </c>
      <c r="N2362" s="1" t="inlineStr">
        <is>
          <t>Database</t>
        </is>
      </c>
      <c r="O23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62" s="11" t="inlineStr">
        <is>
          <t>To Do</t>
        </is>
      </c>
    </row>
    <row r="2363" ht="15.75" customHeight="1" s="12">
      <c r="A2363" s="1" t="n">
        <v>2680</v>
      </c>
      <c r="B2363" s="3">
        <f>HYPERLINK("https://leetcode.com/problems/maximum-or/", "Maximum OR")</f>
        <v/>
      </c>
      <c r="C2363" s="1" t="n">
        <v>423</v>
      </c>
      <c r="D2363" s="1" t="n">
        <v>50</v>
      </c>
      <c r="E2363" s="4">
        <f>IF(INDEX(C:C, ROW())+INDEX(D:D, ROW())=0, 0, INDEX(C:C, ROW())/(INDEX(C:C, ROW())+INDEX(D:D, ROW())))</f>
        <v/>
      </c>
      <c r="F2363" s="1" t="inlineStr">
        <is>
          <t>Array, Greedy, Bit Manipulation, Prefix Sum</t>
        </is>
      </c>
      <c r="G2363" s="1" t="inlineStr">
        <is>
          <t>Medium</t>
        </is>
      </c>
      <c r="H2363" s="1" t="n">
        <v>19461</v>
      </c>
      <c r="I2363" s="1" t="n">
        <v>45282</v>
      </c>
      <c r="J2363" s="9" t="n">
        <v>0.43</v>
      </c>
      <c r="K2363" s="1" t="inlineStr">
        <is>
          <t>Yes</t>
        </is>
      </c>
      <c r="L2363" s="1" t="inlineStr">
        <is>
          <t>No</t>
        </is>
      </c>
      <c r="M2363" s="1" t="inlineStr">
        <is>
          <t>No</t>
        </is>
      </c>
      <c r="N2363" s="1" t="inlineStr">
        <is>
          <t>Algorithms</t>
        </is>
      </c>
      <c r="O23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63" s="11" t="inlineStr">
        <is>
          <t>To Do</t>
        </is>
      </c>
    </row>
    <row r="2364" ht="15.75" customHeight="1" s="12">
      <c r="A2364" s="1" t="n">
        <v>553</v>
      </c>
      <c r="B2364" s="3">
        <f>HYPERLINK("https://leetcode.com/problems/optimal-division/", "Optimal Division")</f>
        <v/>
      </c>
      <c r="C2364" s="1" t="n">
        <v>422</v>
      </c>
      <c r="D2364" s="1" t="n">
        <v>1638</v>
      </c>
      <c r="E2364" s="4">
        <f>IF(INDEX(C:C, ROW())+INDEX(D:D, ROW())=0, 0, INDEX(C:C, ROW())/(INDEX(C:C, ROW())+INDEX(D:D, ROW())))</f>
        <v/>
      </c>
      <c r="F2364" s="1" t="inlineStr">
        <is>
          <t>Array, Math, Dynamic Programming</t>
        </is>
      </c>
      <c r="G2364" s="1" t="inlineStr">
        <is>
          <t>Medium</t>
        </is>
      </c>
      <c r="H2364" s="1" t="n">
        <v>52288</v>
      </c>
      <c r="I2364" s="1" t="n">
        <v>83024</v>
      </c>
      <c r="J2364" s="9" t="n">
        <v>0.63</v>
      </c>
      <c r="K2364" s="1" t="inlineStr">
        <is>
          <t>Yes</t>
        </is>
      </c>
      <c r="L2364" s="1" t="inlineStr">
        <is>
          <t>Yes</t>
        </is>
      </c>
      <c r="M2364" s="1" t="inlineStr">
        <is>
          <t>No</t>
        </is>
      </c>
      <c r="N2364" s="1" t="inlineStr">
        <is>
          <t>Algorithms</t>
        </is>
      </c>
      <c r="O23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64" s="11" t="inlineStr">
        <is>
          <t>To Do</t>
        </is>
      </c>
    </row>
    <row r="2365" ht="15.75" customHeight="1" s="12">
      <c r="A2365" s="1" t="n">
        <v>2790</v>
      </c>
      <c r="B2365" s="3">
        <f>HYPERLINK("https://leetcode.com/problems/maximum-number-of-groups-with-increasing-length/", "Maximum Number of Groups With Increasing Length")</f>
        <v/>
      </c>
      <c r="C2365" s="1" t="n">
        <v>422</v>
      </c>
      <c r="D2365" s="1" t="n">
        <v>44</v>
      </c>
      <c r="E2365" s="4">
        <f>IF(INDEX(C:C, ROW())+INDEX(D:D, ROW())=0, 0, INDEX(C:C, ROW())/(INDEX(C:C, ROW())+INDEX(D:D, ROW())))</f>
        <v/>
      </c>
      <c r="F2365" s="1" t="inlineStr">
        <is>
          <t>Array, Math, Binary Search, Greedy, Sorting</t>
        </is>
      </c>
      <c r="G2365" s="1" t="inlineStr">
        <is>
          <t>Hard</t>
        </is>
      </c>
      <c r="H2365" s="1" t="n">
        <v>13801</v>
      </c>
      <c r="I2365" s="1" t="n">
        <v>59788</v>
      </c>
      <c r="J2365" s="9" t="n">
        <v>0.231</v>
      </c>
      <c r="K2365" s="1" t="inlineStr">
        <is>
          <t>Yes</t>
        </is>
      </c>
      <c r="L2365" s="1" t="inlineStr">
        <is>
          <t>No</t>
        </is>
      </c>
      <c r="M2365" s="1" t="inlineStr">
        <is>
          <t>No</t>
        </is>
      </c>
      <c r="N2365" s="1" t="inlineStr">
        <is>
          <t>Algorithms</t>
        </is>
      </c>
      <c r="O23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65" s="11" t="inlineStr">
        <is>
          <t>To Do</t>
        </is>
      </c>
    </row>
    <row r="2366" ht="15.75" customHeight="1" s="12">
      <c r="A2366" s="1" t="n">
        <v>2875</v>
      </c>
      <c r="B2366" s="3">
        <f>HYPERLINK("https://leetcode.com/problems/minimum-size-subarray-in-infinite-array/", "Minimum Size Subarray in Infinite Array")</f>
        <v/>
      </c>
      <c r="C2366" s="1" t="n">
        <v>422</v>
      </c>
      <c r="D2366" s="1" t="n">
        <v>33</v>
      </c>
      <c r="E2366" s="4">
        <f>IF(INDEX(C:C, ROW())+INDEX(D:D, ROW())=0, 0, INDEX(C:C, ROW())/(INDEX(C:C, ROW())+INDEX(D:D, ROW())))</f>
        <v/>
      </c>
      <c r="F2366" s="1" t="inlineStr">
        <is>
          <t>Array, Hash Table, Sliding Window, Prefix Sum</t>
        </is>
      </c>
      <c r="G2366" s="1" t="inlineStr">
        <is>
          <t>Medium</t>
        </is>
      </c>
      <c r="H2366" s="1" t="n">
        <v>25996</v>
      </c>
      <c r="I2366" s="1" t="n">
        <v>80862</v>
      </c>
      <c r="J2366" s="9" t="n">
        <v>0.321</v>
      </c>
      <c r="K2366" s="1" t="inlineStr">
        <is>
          <t>Yes</t>
        </is>
      </c>
      <c r="L2366" s="1" t="inlineStr">
        <is>
          <t>No</t>
        </is>
      </c>
      <c r="M2366" s="1" t="inlineStr">
        <is>
          <t>No</t>
        </is>
      </c>
      <c r="N2366" s="1" t="inlineStr">
        <is>
          <t>Algorithms</t>
        </is>
      </c>
      <c r="O23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66" s="11" t="inlineStr">
        <is>
          <t>To Do</t>
        </is>
      </c>
    </row>
    <row r="2367" ht="15.75" customHeight="1" s="12">
      <c r="A2367" s="1" t="n">
        <v>3212</v>
      </c>
      <c r="B2367" s="3">
        <f>HYPERLINK("https://leetcode.com/problems/count-submatrices-with-equal-frequency-of-x-and-y/", "Count Submatrices With Equal Frequency of X and Y")</f>
        <v/>
      </c>
      <c r="C2367" s="1" t="n">
        <v>422</v>
      </c>
      <c r="D2367" s="1" t="n">
        <v>50</v>
      </c>
      <c r="E2367" s="4">
        <f>IF(INDEX(C:C, ROW())+INDEX(D:D, ROW())=0, 0, INDEX(C:C, ROW())/(INDEX(C:C, ROW())+INDEX(D:D, ROW())))</f>
        <v/>
      </c>
      <c r="F2367" s="1" t="inlineStr">
        <is>
          <t>Array, Matrix, Prefix Sum</t>
        </is>
      </c>
      <c r="G2367" s="1" t="inlineStr">
        <is>
          <t>Medium</t>
        </is>
      </c>
      <c r="H2367" s="1" t="n">
        <v>107146</v>
      </c>
      <c r="I2367" s="1" t="n">
        <v>153937</v>
      </c>
      <c r="J2367" s="9" t="n">
        <v>0.696</v>
      </c>
      <c r="K2367" s="1" t="inlineStr">
        <is>
          <t>Yes</t>
        </is>
      </c>
      <c r="L2367" s="1" t="inlineStr">
        <is>
          <t>Yes</t>
        </is>
      </c>
      <c r="M2367" s="1" t="inlineStr">
        <is>
          <t>No</t>
        </is>
      </c>
      <c r="N2367" s="1" t="inlineStr">
        <is>
          <t>Algorithms</t>
        </is>
      </c>
      <c r="O23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67" s="11" t="inlineStr">
        <is>
          <t>To Do</t>
        </is>
      </c>
    </row>
    <row r="2368" ht="15.75" customHeight="1" s="12">
      <c r="A2368" s="1" t="n">
        <v>3713</v>
      </c>
      <c r="B2368" s="3">
        <f>HYPERLINK("https://leetcode.com/problems/longest-balanced-substring-i/", "Longest Balanced Substring I")</f>
        <v/>
      </c>
      <c r="C2368" s="1" t="n">
        <v>422</v>
      </c>
      <c r="D2368" s="1" t="n">
        <v>35</v>
      </c>
      <c r="E2368" s="4">
        <f>IF(INDEX(C:C, ROW())+INDEX(D:D, ROW())=0, 0, INDEX(C:C, ROW())/(INDEX(C:C, ROW())+INDEX(D:D, ROW())))</f>
        <v/>
      </c>
      <c r="F2368" s="1" t="inlineStr">
        <is>
          <t>Hash Table, String, Counting, Enumeration</t>
        </is>
      </c>
      <c r="G2368" s="1" t="inlineStr">
        <is>
          <t>Medium</t>
        </is>
      </c>
      <c r="H2368" s="1" t="n">
        <v>135705</v>
      </c>
      <c r="I2368" s="1" t="n">
        <v>194760</v>
      </c>
      <c r="J2368" s="9" t="n">
        <v>0.697</v>
      </c>
      <c r="K2368" s="1" t="inlineStr">
        <is>
          <t>Yes</t>
        </is>
      </c>
      <c r="L2368" s="1" t="inlineStr">
        <is>
          <t>Yes</t>
        </is>
      </c>
      <c r="M2368" s="1" t="inlineStr">
        <is>
          <t>No</t>
        </is>
      </c>
      <c r="N2368" s="1" t="inlineStr">
        <is>
          <t>Algorithms</t>
        </is>
      </c>
      <c r="O23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68" s="11" t="inlineStr">
        <is>
          <t>To Do</t>
        </is>
      </c>
    </row>
    <row r="2369" ht="15.75" customHeight="1" s="12">
      <c r="A2369" s="1" t="n">
        <v>1454</v>
      </c>
      <c r="B2369" s="3">
        <f>HYPERLINK("https://leetcode.com/problems/active-users/", "Active Users")</f>
        <v/>
      </c>
      <c r="C2369" s="1" t="n">
        <v>421</v>
      </c>
      <c r="D2369" s="1" t="n">
        <v>41</v>
      </c>
      <c r="E2369" s="4">
        <f>IF(INDEX(C:C, ROW())+INDEX(D:D, ROW())=0, 0, INDEX(C:C, ROW())/(INDEX(C:C, ROW())+INDEX(D:D, ROW())))</f>
        <v/>
      </c>
      <c r="F2369" s="1" t="inlineStr">
        <is>
          <t>Database</t>
        </is>
      </c>
      <c r="G2369" s="1" t="inlineStr">
        <is>
          <t>Medium</t>
        </is>
      </c>
      <c r="H2369" s="1" t="n">
        <v>47577</v>
      </c>
      <c r="I2369" s="1" t="n">
        <v>130126</v>
      </c>
      <c r="J2369" s="9" t="n">
        <v>0.366</v>
      </c>
      <c r="K2369" s="1" t="inlineStr">
        <is>
          <t>No</t>
        </is>
      </c>
      <c r="L2369" s="1" t="inlineStr">
        <is>
          <t>No</t>
        </is>
      </c>
      <c r="M2369" s="1" t="inlineStr">
        <is>
          <t>No</t>
        </is>
      </c>
      <c r="N2369" s="1" t="inlineStr">
        <is>
          <t>Database</t>
        </is>
      </c>
      <c r="O23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69" s="11" t="inlineStr">
        <is>
          <t>To Do</t>
        </is>
      </c>
    </row>
    <row r="2370" ht="15.75" customHeight="1" s="12">
      <c r="A2370" s="1" t="n">
        <v>3651</v>
      </c>
      <c r="B2370" s="3">
        <f>HYPERLINK("https://leetcode.com/problems/minimum-cost-path-with-teleportations/", "Minimum Cost Path with Teleportations")</f>
        <v/>
      </c>
      <c r="C2370" s="1" t="n">
        <v>421</v>
      </c>
      <c r="D2370" s="1" t="n">
        <v>34</v>
      </c>
      <c r="E2370" s="4">
        <f>IF(INDEX(C:C, ROW())+INDEX(D:D, ROW())=0, 0, INDEX(C:C, ROW())/(INDEX(C:C, ROW())+INDEX(D:D, ROW())))</f>
        <v/>
      </c>
      <c r="F2370" s="1" t="inlineStr">
        <is>
          <t>Array, Dynamic Programming, Matrix</t>
        </is>
      </c>
      <c r="G2370" s="1" t="inlineStr">
        <is>
          <t>Hard</t>
        </is>
      </c>
      <c r="H2370" s="1" t="n">
        <v>65932</v>
      </c>
      <c r="I2370" s="1" t="n">
        <v>144699</v>
      </c>
      <c r="J2370" s="9" t="n">
        <v>0.456</v>
      </c>
      <c r="K2370" s="1" t="inlineStr">
        <is>
          <t>Yes</t>
        </is>
      </c>
      <c r="L2370" s="1" t="inlineStr">
        <is>
          <t>Yes</t>
        </is>
      </c>
      <c r="M2370" s="1" t="inlineStr">
        <is>
          <t>No</t>
        </is>
      </c>
      <c r="N2370" s="1" t="inlineStr">
        <is>
          <t>Algorithms</t>
        </is>
      </c>
      <c r="O23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70" s="11" t="inlineStr">
        <is>
          <t>To Do</t>
        </is>
      </c>
    </row>
    <row r="2371" ht="15.75" customHeight="1" s="12">
      <c r="A2371" s="1" t="n">
        <v>573</v>
      </c>
      <c r="B2371" s="3">
        <f>HYPERLINK("https://leetcode.com/problems/squirrel-simulation/", "Squirrel Simulation")</f>
        <v/>
      </c>
      <c r="C2371" s="1" t="n">
        <v>420</v>
      </c>
      <c r="D2371" s="1" t="n">
        <v>40</v>
      </c>
      <c r="E2371" s="4">
        <f>IF(INDEX(C:C, ROW())+INDEX(D:D, ROW())=0, 0, INDEX(C:C, ROW())/(INDEX(C:C, ROW())+INDEX(D:D, ROW())))</f>
        <v/>
      </c>
      <c r="F2371" s="1" t="inlineStr">
        <is>
          <t>Array, Math</t>
        </is>
      </c>
      <c r="G2371" s="1" t="inlineStr">
        <is>
          <t>Medium</t>
        </is>
      </c>
      <c r="H2371" s="1" t="n">
        <v>24162</v>
      </c>
      <c r="I2371" s="1" t="n">
        <v>42125</v>
      </c>
      <c r="J2371" s="9" t="n">
        <v>0.574</v>
      </c>
      <c r="K2371" s="1" t="inlineStr">
        <is>
          <t>No</t>
        </is>
      </c>
      <c r="L2371" s="1" t="inlineStr">
        <is>
          <t>Yes</t>
        </is>
      </c>
      <c r="M2371" s="1" t="inlineStr">
        <is>
          <t>Yes</t>
        </is>
      </c>
      <c r="N2371" s="1" t="inlineStr">
        <is>
          <t>Algorithms</t>
        </is>
      </c>
      <c r="O23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71" s="11" t="inlineStr">
        <is>
          <t>To Do</t>
        </is>
      </c>
    </row>
    <row r="2372" ht="15.75" customHeight="1" s="12">
      <c r="A2372" s="1" t="n">
        <v>2132</v>
      </c>
      <c r="B2372" s="3">
        <f>HYPERLINK("https://leetcode.com/problems/stamping-the-grid/", "Stamping the Grid")</f>
        <v/>
      </c>
      <c r="C2372" s="1" t="n">
        <v>420</v>
      </c>
      <c r="D2372" s="1" t="n">
        <v>47</v>
      </c>
      <c r="E2372" s="4">
        <f>IF(INDEX(C:C, ROW())+INDEX(D:D, ROW())=0, 0, INDEX(C:C, ROW())/(INDEX(C:C, ROW())+INDEX(D:D, ROW())))</f>
        <v/>
      </c>
      <c r="F2372" s="1" t="inlineStr">
        <is>
          <t>Array, Greedy, Matrix, Prefix Sum</t>
        </is>
      </c>
      <c r="G2372" s="1" t="inlineStr">
        <is>
          <t>Hard</t>
        </is>
      </c>
      <c r="H2372" s="1" t="n">
        <v>10300</v>
      </c>
      <c r="I2372" s="1" t="n">
        <v>29213</v>
      </c>
      <c r="J2372" s="9" t="n">
        <v>0.353</v>
      </c>
      <c r="K2372" s="1" t="inlineStr">
        <is>
          <t>Yes</t>
        </is>
      </c>
      <c r="L2372" s="1" t="inlineStr">
        <is>
          <t>No</t>
        </is>
      </c>
      <c r="M2372" s="1" t="inlineStr">
        <is>
          <t>No</t>
        </is>
      </c>
      <c r="N2372" s="1" t="inlineStr">
        <is>
          <t>Algorithms</t>
        </is>
      </c>
      <c r="O23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72" s="11" t="inlineStr">
        <is>
          <t>To Do</t>
        </is>
      </c>
    </row>
    <row r="2373" ht="15.75" customHeight="1" s="12">
      <c r="A2373" s="1" t="n">
        <v>2617</v>
      </c>
      <c r="B2373" s="3">
        <f>HYPERLINK("https://leetcode.com/problems/minimum-number-of-visited-cells-in-a-grid/", "Minimum Number of Visited Cells in a Grid")</f>
        <v/>
      </c>
      <c r="C2373" s="1" t="n">
        <v>419</v>
      </c>
      <c r="D2373" s="1" t="n">
        <v>39</v>
      </c>
      <c r="E2373" s="4">
        <f>IF(INDEX(C:C, ROW())+INDEX(D:D, ROW())=0, 0, INDEX(C:C, ROW())/(INDEX(C:C, ROW())+INDEX(D:D, ROW())))</f>
        <v/>
      </c>
      <c r="F2373" s="1" t="inlineStr">
        <is>
          <t>Array, Dynamic Programming, Stack, Breadth-First Search, Union-Find, Heap (Priority Queue), Matrix, Monotonic Stack</t>
        </is>
      </c>
      <c r="G2373" s="1" t="inlineStr">
        <is>
          <t>Hard</t>
        </is>
      </c>
      <c r="H2373" s="1" t="n">
        <v>12095</v>
      </c>
      <c r="I2373" s="1" t="n">
        <v>50702</v>
      </c>
      <c r="J2373" s="9" t="n">
        <v>0.239</v>
      </c>
      <c r="K2373" s="1" t="inlineStr">
        <is>
          <t>Yes</t>
        </is>
      </c>
      <c r="L2373" s="1" t="inlineStr">
        <is>
          <t>No</t>
        </is>
      </c>
      <c r="M2373" s="1" t="inlineStr">
        <is>
          <t>No</t>
        </is>
      </c>
      <c r="N2373" s="1" t="inlineStr">
        <is>
          <t>Algorithms</t>
        </is>
      </c>
      <c r="O23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73" s="11" t="inlineStr">
        <is>
          <t>To Do</t>
        </is>
      </c>
    </row>
    <row r="2374" ht="15.75" customHeight="1" s="12">
      <c r="A2374" s="1" t="n">
        <v>3314</v>
      </c>
      <c r="B2374" s="3">
        <f>HYPERLINK("https://leetcode.com/problems/construct-the-minimum-bitwise-array-i/", "Construct the Minimum Bitwise Array I")</f>
        <v/>
      </c>
      <c r="C2374" s="1" t="n">
        <v>419</v>
      </c>
      <c r="D2374" s="1" t="n">
        <v>52</v>
      </c>
      <c r="E2374" s="4">
        <f>IF(INDEX(C:C, ROW())+INDEX(D:D, ROW())=0, 0, INDEX(C:C, ROW())/(INDEX(C:C, ROW())+INDEX(D:D, ROW())))</f>
        <v/>
      </c>
      <c r="F2374" s="1" t="inlineStr">
        <is>
          <t>Array, Bit Manipulation</t>
        </is>
      </c>
      <c r="G2374" s="1" t="inlineStr">
        <is>
          <t>Easy</t>
        </is>
      </c>
      <c r="H2374" s="1" t="n">
        <v>137233</v>
      </c>
      <c r="I2374" s="1" t="n">
        <v>161014</v>
      </c>
      <c r="J2374" s="9" t="n">
        <v>0.852</v>
      </c>
      <c r="K2374" s="1" t="inlineStr">
        <is>
          <t>Yes</t>
        </is>
      </c>
      <c r="L2374" s="1" t="inlineStr">
        <is>
          <t>Yes</t>
        </is>
      </c>
      <c r="M2374" s="1" t="inlineStr">
        <is>
          <t>No</t>
        </is>
      </c>
      <c r="N2374" s="1" t="inlineStr">
        <is>
          <t>Algorithms</t>
        </is>
      </c>
      <c r="O23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74" s="13" t="inlineStr">
        <is>
          <t>Done</t>
        </is>
      </c>
    </row>
    <row r="2375" ht="15.75" customHeight="1" s="12">
      <c r="A2375" s="1" t="n">
        <v>548</v>
      </c>
      <c r="B2375" s="3">
        <f>HYPERLINK("https://leetcode.com/problems/split-array-with-equal-sum/", "Split Array with Equal Sum")</f>
        <v/>
      </c>
      <c r="C2375" s="1" t="n">
        <v>418</v>
      </c>
      <c r="D2375" s="1" t="n">
        <v>132</v>
      </c>
      <c r="E2375" s="4">
        <f>IF(INDEX(C:C, ROW())+INDEX(D:D, ROW())=0, 0, INDEX(C:C, ROW())/(INDEX(C:C, ROW())+INDEX(D:D, ROW())))</f>
        <v/>
      </c>
      <c r="F2375" s="1" t="inlineStr">
        <is>
          <t>Array, Hash Table, Prefix Sum</t>
        </is>
      </c>
      <c r="G2375" s="1" t="inlineStr">
        <is>
          <t>Hard</t>
        </is>
      </c>
      <c r="H2375" s="1" t="n">
        <v>25064</v>
      </c>
      <c r="I2375" s="1" t="n">
        <v>50054</v>
      </c>
      <c r="J2375" s="9" t="n">
        <v>0.501</v>
      </c>
      <c r="K2375" s="1" t="inlineStr">
        <is>
          <t>No</t>
        </is>
      </c>
      <c r="L2375" s="1" t="inlineStr">
        <is>
          <t>Yes</t>
        </is>
      </c>
      <c r="M2375" s="1" t="inlineStr">
        <is>
          <t>No</t>
        </is>
      </c>
      <c r="N2375" s="1" t="inlineStr">
        <is>
          <t>Algorithms</t>
        </is>
      </c>
      <c r="O23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75" s="11" t="inlineStr">
        <is>
          <t>To Do</t>
        </is>
      </c>
    </row>
    <row r="2376" ht="15.75" customHeight="1" s="12">
      <c r="A2376" s="1" t="n">
        <v>335</v>
      </c>
      <c r="B2376" s="3">
        <f>HYPERLINK("https://leetcode.com/problems/self-crossing/", "Self Crossing")</f>
        <v/>
      </c>
      <c r="C2376" s="1" t="n">
        <v>417</v>
      </c>
      <c r="D2376" s="1" t="n">
        <v>522</v>
      </c>
      <c r="E2376" s="4">
        <f>IF(INDEX(C:C, ROW())+INDEX(D:D, ROW())=0, 0, INDEX(C:C, ROW())/(INDEX(C:C, ROW())+INDEX(D:D, ROW())))</f>
        <v/>
      </c>
      <c r="F2376" s="1" t="inlineStr">
        <is>
          <t>Array, Math, Geometry</t>
        </is>
      </c>
      <c r="G2376" s="1" t="inlineStr">
        <is>
          <t>Hard</t>
        </is>
      </c>
      <c r="H2376" s="1" t="n">
        <v>48353</v>
      </c>
      <c r="I2376" s="1" t="n">
        <v>138726</v>
      </c>
      <c r="J2376" s="9" t="n">
        <v>0.349</v>
      </c>
      <c r="K2376" s="1" t="inlineStr">
        <is>
          <t>Yes</t>
        </is>
      </c>
      <c r="L2376" s="1" t="inlineStr">
        <is>
          <t>No</t>
        </is>
      </c>
      <c r="M2376" s="1" t="inlineStr">
        <is>
          <t>No</t>
        </is>
      </c>
      <c r="N2376" s="1" t="inlineStr">
        <is>
          <t>Algorithms</t>
        </is>
      </c>
      <c r="O23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76" s="11" t="inlineStr">
        <is>
          <t>To Do</t>
        </is>
      </c>
    </row>
    <row r="2377" ht="15.75" customHeight="1" s="12">
      <c r="A2377" s="1" t="n">
        <v>2412</v>
      </c>
      <c r="B2377" s="3">
        <f>HYPERLINK("https://leetcode.com/problems/minimum-money-required-before-transactions/", "Minimum Money Required Before Transactions")</f>
        <v/>
      </c>
      <c r="C2377" s="1" t="n">
        <v>417</v>
      </c>
      <c r="D2377" s="1" t="n">
        <v>39</v>
      </c>
      <c r="E2377" s="4">
        <f>IF(INDEX(C:C, ROW())+INDEX(D:D, ROW())=0, 0, INDEX(C:C, ROW())/(INDEX(C:C, ROW())+INDEX(D:D, ROW())))</f>
        <v/>
      </c>
      <c r="F2377" s="1" t="inlineStr">
        <is>
          <t>Array, Greedy, Sorting</t>
        </is>
      </c>
      <c r="G2377" s="1" t="inlineStr">
        <is>
          <t>Hard</t>
        </is>
      </c>
      <c r="H2377" s="1" t="n">
        <v>13720</v>
      </c>
      <c r="I2377" s="1" t="n">
        <v>32650</v>
      </c>
      <c r="J2377" s="9" t="n">
        <v>0.42</v>
      </c>
      <c r="K2377" s="1" t="inlineStr">
        <is>
          <t>Yes</t>
        </is>
      </c>
      <c r="L2377" s="1" t="inlineStr">
        <is>
          <t>No</t>
        </is>
      </c>
      <c r="M2377" s="1" t="inlineStr">
        <is>
          <t>No</t>
        </is>
      </c>
      <c r="N2377" s="1" t="inlineStr">
        <is>
          <t>Algorithms</t>
        </is>
      </c>
      <c r="O23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77" s="11" t="inlineStr">
        <is>
          <t>To Do</t>
        </is>
      </c>
    </row>
    <row r="2378" ht="15.75" customHeight="1" s="12">
      <c r="A2378" s="1" t="n">
        <v>1938</v>
      </c>
      <c r="B2378" s="3">
        <f>HYPERLINK("https://leetcode.com/problems/maximum-genetic-difference-query/", "Maximum Genetic Difference Query")</f>
        <v/>
      </c>
      <c r="C2378" s="1" t="n">
        <v>416</v>
      </c>
      <c r="D2378" s="1" t="n">
        <v>24</v>
      </c>
      <c r="E2378" s="4">
        <f>IF(INDEX(C:C, ROW())+INDEX(D:D, ROW())=0, 0, INDEX(C:C, ROW())/(INDEX(C:C, ROW())+INDEX(D:D, ROW())))</f>
        <v/>
      </c>
      <c r="F2378" s="1" t="inlineStr">
        <is>
          <t>Array, Hash Table, Bit Manipulation, Depth-First Search, Trie</t>
        </is>
      </c>
      <c r="G2378" s="1" t="inlineStr">
        <is>
          <t>Hard</t>
        </is>
      </c>
      <c r="H2378" s="1" t="n">
        <v>8012</v>
      </c>
      <c r="I2378" s="1" t="n">
        <v>17097</v>
      </c>
      <c r="J2378" s="9" t="n">
        <v>0.469</v>
      </c>
      <c r="K2378" s="1" t="inlineStr">
        <is>
          <t>Yes</t>
        </is>
      </c>
      <c r="L2378" s="1" t="inlineStr">
        <is>
          <t>No</t>
        </is>
      </c>
      <c r="M2378" s="1" t="inlineStr">
        <is>
          <t>No</t>
        </is>
      </c>
      <c r="N2378" s="1" t="inlineStr">
        <is>
          <t>Algorithms</t>
        </is>
      </c>
      <c r="O23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78" s="11" t="inlineStr">
        <is>
          <t>To Do</t>
        </is>
      </c>
    </row>
    <row r="2379" ht="15.75" customHeight="1" s="12">
      <c r="A2379" s="1" t="n">
        <v>1868</v>
      </c>
      <c r="B2379" s="3">
        <f>HYPERLINK("https://leetcode.com/problems/product-of-two-run-length-encoded-arrays/", "Product of Two Run-Length Encoded Arrays")</f>
        <v/>
      </c>
      <c r="C2379" s="1" t="n">
        <v>415</v>
      </c>
      <c r="D2379" s="1" t="n">
        <v>84</v>
      </c>
      <c r="E2379" s="4">
        <f>IF(INDEX(C:C, ROW())+INDEX(D:D, ROW())=0, 0, INDEX(C:C, ROW())/(INDEX(C:C, ROW())+INDEX(D:D, ROW())))</f>
        <v/>
      </c>
      <c r="F2379" s="1" t="inlineStr">
        <is>
          <t>Array, Two Pointers</t>
        </is>
      </c>
      <c r="G2379" s="1" t="inlineStr">
        <is>
          <t>Medium</t>
        </is>
      </c>
      <c r="H2379" s="1" t="n">
        <v>63945</v>
      </c>
      <c r="I2379" s="1" t="n">
        <v>107251</v>
      </c>
      <c r="J2379" s="9" t="n">
        <v>0.596</v>
      </c>
      <c r="K2379" s="1" t="inlineStr">
        <is>
          <t>No</t>
        </is>
      </c>
      <c r="L2379" s="1" t="inlineStr">
        <is>
          <t>No</t>
        </is>
      </c>
      <c r="M2379" s="1" t="inlineStr">
        <is>
          <t>No</t>
        </is>
      </c>
      <c r="N2379" s="1" t="inlineStr">
        <is>
          <t>Algorithms</t>
        </is>
      </c>
      <c r="O23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79" s="11" t="inlineStr">
        <is>
          <t>To Do</t>
        </is>
      </c>
    </row>
    <row r="2380" ht="15.75" customHeight="1" s="12">
      <c r="A2380" s="1" t="n">
        <v>2697</v>
      </c>
      <c r="B2380" s="3">
        <f>HYPERLINK("https://leetcode.com/problems/lexicographically-smallest-palindrome/", "Lexicographically Smallest Palindrome")</f>
        <v/>
      </c>
      <c r="C2380" s="1" t="n">
        <v>415</v>
      </c>
      <c r="D2380" s="1" t="n">
        <v>32</v>
      </c>
      <c r="E2380" s="4">
        <f>IF(INDEX(C:C, ROW())+INDEX(D:D, ROW())=0, 0, INDEX(C:C, ROW())/(INDEX(C:C, ROW())+INDEX(D:D, ROW())))</f>
        <v/>
      </c>
      <c r="F2380" s="1" t="inlineStr">
        <is>
          <t>Two Pointers, String, Greedy</t>
        </is>
      </c>
      <c r="G2380" s="1" t="inlineStr">
        <is>
          <t>Easy</t>
        </is>
      </c>
      <c r="H2380" s="1" t="n">
        <v>85594</v>
      </c>
      <c r="I2380" s="1" t="n">
        <v>105196</v>
      </c>
      <c r="J2380" s="9" t="n">
        <v>0.8139999999999999</v>
      </c>
      <c r="K2380" s="1" t="inlineStr">
        <is>
          <t>Yes</t>
        </is>
      </c>
      <c r="L2380" s="1" t="inlineStr">
        <is>
          <t>No</t>
        </is>
      </c>
      <c r="M2380" s="1" t="inlineStr">
        <is>
          <t>No</t>
        </is>
      </c>
      <c r="N2380" s="1" t="inlineStr">
        <is>
          <t>Algorithms</t>
        </is>
      </c>
      <c r="O23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80" s="13" t="inlineStr">
        <is>
          <t>Done</t>
        </is>
      </c>
    </row>
    <row r="2381" ht="15.75" customHeight="1" s="12">
      <c r="A2381" s="1" t="n">
        <v>963</v>
      </c>
      <c r="B2381" s="3">
        <f>HYPERLINK("https://leetcode.com/problems/minimum-area-rectangle-ii/", "Minimum Area Rectangle II")</f>
        <v/>
      </c>
      <c r="C2381" s="1" t="n">
        <v>414</v>
      </c>
      <c r="D2381" s="1" t="n">
        <v>487</v>
      </c>
      <c r="E2381" s="4">
        <f>IF(INDEX(C:C, ROW())+INDEX(D:D, ROW())=0, 0, INDEX(C:C, ROW())/(INDEX(C:C, ROW())+INDEX(D:D, ROW())))</f>
        <v/>
      </c>
      <c r="F2381" s="1" t="inlineStr">
        <is>
          <t>Array, Hash Table, Math, Geometry</t>
        </is>
      </c>
      <c r="G2381" s="1" t="inlineStr">
        <is>
          <t>Medium</t>
        </is>
      </c>
      <c r="H2381" s="1" t="n">
        <v>36333</v>
      </c>
      <c r="I2381" s="1" t="n">
        <v>65015</v>
      </c>
      <c r="J2381" s="9" t="n">
        <v>0.5590000000000001</v>
      </c>
      <c r="K2381" s="1" t="inlineStr">
        <is>
          <t>Yes</t>
        </is>
      </c>
      <c r="L2381" s="1" t="inlineStr">
        <is>
          <t>Yes</t>
        </is>
      </c>
      <c r="M2381" s="1" t="inlineStr">
        <is>
          <t>No</t>
        </is>
      </c>
      <c r="N2381" s="1" t="inlineStr">
        <is>
          <t>Algorithms</t>
        </is>
      </c>
      <c r="O23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81" s="11" t="inlineStr">
        <is>
          <t>To Do</t>
        </is>
      </c>
    </row>
    <row r="2382" ht="15.75" customHeight="1" s="12">
      <c r="A2382" s="1" t="n">
        <v>2614</v>
      </c>
      <c r="B2382" s="3">
        <f>HYPERLINK("https://leetcode.com/problems/prime-in-diagonal/", "Prime In Diagonal")</f>
        <v/>
      </c>
      <c r="C2382" s="1" t="n">
        <v>414</v>
      </c>
      <c r="D2382" s="1" t="n">
        <v>47</v>
      </c>
      <c r="E2382" s="4">
        <f>IF(INDEX(C:C, ROW())+INDEX(D:D, ROW())=0, 0, INDEX(C:C, ROW())/(INDEX(C:C, ROW())+INDEX(D:D, ROW())))</f>
        <v/>
      </c>
      <c r="F2382" s="1" t="inlineStr">
        <is>
          <t>Array, Math, Matrix, Number Theory</t>
        </is>
      </c>
      <c r="G2382" s="1" t="inlineStr">
        <is>
          <t>Easy</t>
        </is>
      </c>
      <c r="H2382" s="1" t="n">
        <v>71139</v>
      </c>
      <c r="I2382" s="1" t="n">
        <v>188741</v>
      </c>
      <c r="J2382" s="9" t="n">
        <v>0.377</v>
      </c>
      <c r="K2382" s="1" t="inlineStr">
        <is>
          <t>Yes</t>
        </is>
      </c>
      <c r="L2382" s="1" t="inlineStr">
        <is>
          <t>No</t>
        </is>
      </c>
      <c r="M2382" s="1" t="inlineStr">
        <is>
          <t>No</t>
        </is>
      </c>
      <c r="N2382" s="1" t="inlineStr">
        <is>
          <t>Algorithms</t>
        </is>
      </c>
      <c r="O23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82" s="13" t="inlineStr">
        <is>
          <t>Done</t>
        </is>
      </c>
    </row>
    <row r="2383" ht="15.75" customHeight="1" s="12">
      <c r="A2383" s="1" t="n">
        <v>2677</v>
      </c>
      <c r="B2383" s="3">
        <f>HYPERLINK("https://leetcode.com/problems/chunk-array/", "Chunk Array")</f>
        <v/>
      </c>
      <c r="C2383" s="1" t="n">
        <v>414</v>
      </c>
      <c r="D2383" s="1" t="n">
        <v>14</v>
      </c>
      <c r="E2383" s="4">
        <f>IF(INDEX(C:C, ROW())+INDEX(D:D, ROW())=0, 0, INDEX(C:C, ROW())/(INDEX(C:C, ROW())+INDEX(D:D, ROW())))</f>
        <v/>
      </c>
      <c r="F2383" s="2" t="n"/>
      <c r="G2383" s="1" t="inlineStr">
        <is>
          <t>Easy</t>
        </is>
      </c>
      <c r="H2383" s="1" t="n">
        <v>116893</v>
      </c>
      <c r="I2383" s="1" t="n">
        <v>138232</v>
      </c>
      <c r="J2383" s="9" t="n">
        <v>0.846</v>
      </c>
      <c r="K2383" s="1" t="inlineStr">
        <is>
          <t>Yes</t>
        </is>
      </c>
      <c r="L2383" s="1" t="inlineStr">
        <is>
          <t>Yes</t>
        </is>
      </c>
      <c r="M2383" s="1" t="inlineStr">
        <is>
          <t>No</t>
        </is>
      </c>
      <c r="N2383" s="1" t="inlineStr">
        <is>
          <t>JavaScript</t>
        </is>
      </c>
      <c r="O23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83" s="13" t="inlineStr">
        <is>
          <t>Done</t>
        </is>
      </c>
    </row>
    <row r="2384" ht="15.75" customHeight="1" s="12">
      <c r="A2384" s="1" t="n">
        <v>2761</v>
      </c>
      <c r="B2384" s="3">
        <f>HYPERLINK("https://leetcode.com/problems/prime-pairs-with-target-sum/", "Prime Pairs With Target Sum")</f>
        <v/>
      </c>
      <c r="C2384" s="1" t="n">
        <v>412</v>
      </c>
      <c r="D2384" s="1" t="n">
        <v>34</v>
      </c>
      <c r="E2384" s="4">
        <f>IF(INDEX(C:C, ROW())+INDEX(D:D, ROW())=0, 0, INDEX(C:C, ROW())/(INDEX(C:C, ROW())+INDEX(D:D, ROW())))</f>
        <v/>
      </c>
      <c r="F2384" s="1" t="inlineStr">
        <is>
          <t>Array, Math, Enumeration, Number Theory</t>
        </is>
      </c>
      <c r="G2384" s="1" t="inlineStr">
        <is>
          <t>Medium</t>
        </is>
      </c>
      <c r="H2384" s="1" t="n">
        <v>40805</v>
      </c>
      <c r="I2384" s="1" t="n">
        <v>108680</v>
      </c>
      <c r="J2384" s="9" t="n">
        <v>0.375</v>
      </c>
      <c r="K2384" s="1" t="inlineStr">
        <is>
          <t>Yes</t>
        </is>
      </c>
      <c r="L2384" s="1" t="inlineStr">
        <is>
          <t>No</t>
        </is>
      </c>
      <c r="M2384" s="1" t="inlineStr">
        <is>
          <t>No</t>
        </is>
      </c>
      <c r="N2384" s="1" t="inlineStr">
        <is>
          <t>Algorithms</t>
        </is>
      </c>
      <c r="O23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84" s="11" t="inlineStr">
        <is>
          <t>To Do</t>
        </is>
      </c>
    </row>
    <row r="2385" ht="15.75" customHeight="1" s="12">
      <c r="A2385" s="1" t="n">
        <v>3510</v>
      </c>
      <c r="B2385" s="3">
        <f>HYPERLINK("https://leetcode.com/problems/minimum-pair-removal-to-sort-array-ii/", "Minimum Pair Removal to Sort Array II")</f>
        <v/>
      </c>
      <c r="C2385" s="1" t="n">
        <v>412</v>
      </c>
      <c r="D2385" s="1" t="n">
        <v>39</v>
      </c>
      <c r="E2385" s="4">
        <f>IF(INDEX(C:C, ROW())+INDEX(D:D, ROW())=0, 0, INDEX(C:C, ROW())/(INDEX(C:C, ROW())+INDEX(D:D, ROW())))</f>
        <v/>
      </c>
      <c r="F2385" s="1" t="inlineStr">
        <is>
          <t>Array, Hash Table, Linked List, Heap (Priority Queue), Simulation, Doubly-Linked List, Ordered Set</t>
        </is>
      </c>
      <c r="G2385" s="1" t="inlineStr">
        <is>
          <t>Hard</t>
        </is>
      </c>
      <c r="H2385" s="1" t="n">
        <v>65828</v>
      </c>
      <c r="I2385" s="1" t="n">
        <v>168643</v>
      </c>
      <c r="J2385" s="9" t="n">
        <v>0.39</v>
      </c>
      <c r="K2385" s="1" t="inlineStr">
        <is>
          <t>Yes</t>
        </is>
      </c>
      <c r="L2385" s="1" t="inlineStr">
        <is>
          <t>Yes</t>
        </is>
      </c>
      <c r="M2385" s="1" t="inlineStr">
        <is>
          <t>No</t>
        </is>
      </c>
      <c r="N2385" s="1" t="inlineStr">
        <is>
          <t>Algorithms</t>
        </is>
      </c>
      <c r="O23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85" s="11" t="inlineStr">
        <is>
          <t>To Do</t>
        </is>
      </c>
    </row>
    <row r="2386" ht="15.75" customHeight="1" s="12">
      <c r="A2386" s="1" t="n">
        <v>1226</v>
      </c>
      <c r="B2386" s="3">
        <f>HYPERLINK("https://leetcode.com/problems/the-dining-philosophers/", "The Dining Philosophers")</f>
        <v/>
      </c>
      <c r="C2386" s="1" t="n">
        <v>411</v>
      </c>
      <c r="D2386" s="1" t="n">
        <v>374</v>
      </c>
      <c r="E2386" s="4">
        <f>IF(INDEX(C:C, ROW())+INDEX(D:D, ROW())=0, 0, INDEX(C:C, ROW())/(INDEX(C:C, ROW())+INDEX(D:D, ROW())))</f>
        <v/>
      </c>
      <c r="F2386" s="1" t="inlineStr">
        <is>
          <t>Concurrency</t>
        </is>
      </c>
      <c r="G2386" s="1" t="inlineStr">
        <is>
          <t>Medium</t>
        </is>
      </c>
      <c r="H2386" s="1" t="n">
        <v>56675</v>
      </c>
      <c r="I2386" s="1" t="n">
        <v>105742</v>
      </c>
      <c r="J2386" s="9" t="n">
        <v>0.536</v>
      </c>
      <c r="K2386" s="1" t="inlineStr">
        <is>
          <t>Yes</t>
        </is>
      </c>
      <c r="L2386" s="1" t="inlineStr">
        <is>
          <t>No</t>
        </is>
      </c>
      <c r="M2386" s="1" t="inlineStr">
        <is>
          <t>No</t>
        </is>
      </c>
      <c r="N2386" s="1" t="inlineStr">
        <is>
          <t>Concurrency</t>
        </is>
      </c>
      <c r="O23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86" s="11" t="inlineStr">
        <is>
          <t>To Do</t>
        </is>
      </c>
    </row>
    <row r="2387" ht="15.75" customHeight="1" s="12">
      <c r="A2387" s="1" t="n">
        <v>2190</v>
      </c>
      <c r="B2387" s="3">
        <f>HYPERLINK("https://leetcode.com/problems/most-frequent-number-following-key-in-an-array/", "Most Frequent Number Following Key In an Array")</f>
        <v/>
      </c>
      <c r="C2387" s="1" t="n">
        <v>411</v>
      </c>
      <c r="D2387" s="1" t="n">
        <v>253</v>
      </c>
      <c r="E2387" s="4">
        <f>IF(INDEX(C:C, ROW())+INDEX(D:D, ROW())=0, 0, INDEX(C:C, ROW())/(INDEX(C:C, ROW())+INDEX(D:D, ROW())))</f>
        <v/>
      </c>
      <c r="F2387" s="1" t="inlineStr">
        <is>
          <t>Array, Hash Table, Counting</t>
        </is>
      </c>
      <c r="G2387" s="1" t="inlineStr">
        <is>
          <t>Easy</t>
        </is>
      </c>
      <c r="H2387" s="1" t="n">
        <v>51404</v>
      </c>
      <c r="I2387" s="1" t="n">
        <v>86415</v>
      </c>
      <c r="J2387" s="9" t="n">
        <v>0.595</v>
      </c>
      <c r="K2387" s="1" t="inlineStr">
        <is>
          <t>Yes</t>
        </is>
      </c>
      <c r="L2387" s="1" t="inlineStr">
        <is>
          <t>No</t>
        </is>
      </c>
      <c r="M2387" s="1" t="inlineStr">
        <is>
          <t>No</t>
        </is>
      </c>
      <c r="N2387" s="1" t="inlineStr">
        <is>
          <t>Algorithms</t>
        </is>
      </c>
      <c r="O23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87" s="13" t="inlineStr">
        <is>
          <t>Done</t>
        </is>
      </c>
    </row>
    <row r="2388" ht="15.75" customHeight="1" s="12">
      <c r="A2388" s="1" t="n">
        <v>3432</v>
      </c>
      <c r="B2388" s="3">
        <f>HYPERLINK("https://leetcode.com/problems/count-partitions-with-even-sum-difference/", "Count Partitions with Even Sum Difference")</f>
        <v/>
      </c>
      <c r="C2388" s="1" t="n">
        <v>411</v>
      </c>
      <c r="D2388" s="1" t="n">
        <v>14</v>
      </c>
      <c r="E2388" s="4">
        <f>IF(INDEX(C:C, ROW())+INDEX(D:D, ROW())=0, 0, INDEX(C:C, ROW())/(INDEX(C:C, ROW())+INDEX(D:D, ROW())))</f>
        <v/>
      </c>
      <c r="F2388" s="1" t="inlineStr">
        <is>
          <t>Array, Math, Prefix Sum</t>
        </is>
      </c>
      <c r="G2388" s="1" t="inlineStr">
        <is>
          <t>Easy</t>
        </is>
      </c>
      <c r="H2388" s="1" t="n">
        <v>174932</v>
      </c>
      <c r="I2388" s="1" t="n">
        <v>205260</v>
      </c>
      <c r="J2388" s="9" t="n">
        <v>0.852</v>
      </c>
      <c r="K2388" s="1" t="inlineStr">
        <is>
          <t>Yes</t>
        </is>
      </c>
      <c r="L2388" s="1" t="inlineStr">
        <is>
          <t>Yes</t>
        </is>
      </c>
      <c r="M2388" s="1" t="inlineStr">
        <is>
          <t>No</t>
        </is>
      </c>
      <c r="N2388" s="1" t="inlineStr">
        <is>
          <t>Algorithms</t>
        </is>
      </c>
      <c r="O23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88" s="13" t="inlineStr">
        <is>
          <t>Done</t>
        </is>
      </c>
    </row>
    <row r="2389" ht="15.75" customHeight="1" s="12">
      <c r="A2389" s="1" t="n">
        <v>1230</v>
      </c>
      <c r="B2389" s="3">
        <f>HYPERLINK("https://leetcode.com/problems/toss-strange-coins/", "Toss Strange Coins")</f>
        <v/>
      </c>
      <c r="C2389" s="1" t="n">
        <v>410</v>
      </c>
      <c r="D2389" s="1" t="n">
        <v>53</v>
      </c>
      <c r="E2389" s="4">
        <f>IF(INDEX(C:C, ROW())+INDEX(D:D, ROW())=0, 0, INDEX(C:C, ROW())/(INDEX(C:C, ROW())+INDEX(D:D, ROW())))</f>
        <v/>
      </c>
      <c r="F2389" s="1" t="inlineStr">
        <is>
          <t>Array, Math, Dynamic Programming, Probability and Statistics</t>
        </is>
      </c>
      <c r="G2389" s="1" t="inlineStr">
        <is>
          <t>Medium</t>
        </is>
      </c>
      <c r="H2389" s="1" t="n">
        <v>23238</v>
      </c>
      <c r="I2389" s="1" t="n">
        <v>39999</v>
      </c>
      <c r="J2389" s="9" t="n">
        <v>0.581</v>
      </c>
      <c r="K2389" s="1" t="inlineStr">
        <is>
          <t>No</t>
        </is>
      </c>
      <c r="L2389" s="1" t="inlineStr">
        <is>
          <t>Yes</t>
        </is>
      </c>
      <c r="M2389" s="1" t="inlineStr">
        <is>
          <t>No</t>
        </is>
      </c>
      <c r="N2389" s="1" t="inlineStr">
        <is>
          <t>Algorithms</t>
        </is>
      </c>
      <c r="O23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89" s="11" t="inlineStr">
        <is>
          <t>To Do</t>
        </is>
      </c>
    </row>
    <row r="2390" ht="15.75" customHeight="1" s="12">
      <c r="A2390" s="1" t="n">
        <v>2733</v>
      </c>
      <c r="B2390" s="3">
        <f>HYPERLINK("https://leetcode.com/problems/neither-minimum-nor-maximum/", "Neither Minimum nor Maximum")</f>
        <v/>
      </c>
      <c r="C2390" s="1" t="n">
        <v>410</v>
      </c>
      <c r="D2390" s="1" t="n">
        <v>20</v>
      </c>
      <c r="E2390" s="4">
        <f>IF(INDEX(C:C, ROW())+INDEX(D:D, ROW())=0, 0, INDEX(C:C, ROW())/(INDEX(C:C, ROW())+INDEX(D:D, ROW())))</f>
        <v/>
      </c>
      <c r="F2390" s="1" t="inlineStr">
        <is>
          <t>Array, Sorting</t>
        </is>
      </c>
      <c r="G2390" s="1" t="inlineStr">
        <is>
          <t>Easy</t>
        </is>
      </c>
      <c r="H2390" s="1" t="n">
        <v>137817</v>
      </c>
      <c r="I2390" s="1" t="n">
        <v>180434</v>
      </c>
      <c r="J2390" s="9" t="n">
        <v>0.764</v>
      </c>
      <c r="K2390" s="1" t="inlineStr">
        <is>
          <t>Yes</t>
        </is>
      </c>
      <c r="L2390" s="1" t="inlineStr">
        <is>
          <t>No</t>
        </is>
      </c>
      <c r="M2390" s="1" t="inlineStr">
        <is>
          <t>No</t>
        </is>
      </c>
      <c r="N2390" s="1" t="inlineStr">
        <is>
          <t>Algorithms</t>
        </is>
      </c>
      <c r="O23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90" s="13" t="inlineStr">
        <is>
          <t>Done</t>
        </is>
      </c>
    </row>
    <row r="2391" ht="15.75" customHeight="1" s="12">
      <c r="A2391" s="1" t="n">
        <v>3375</v>
      </c>
      <c r="B2391" s="3">
        <f>HYPERLINK("https://leetcode.com/problems/minimum-operations-to-make-array-values-equal-to-k/", "Minimum Operations to Make Array Values Equal to K")</f>
        <v/>
      </c>
      <c r="C2391" s="1" t="n">
        <v>409</v>
      </c>
      <c r="D2391" s="1" t="n">
        <v>534</v>
      </c>
      <c r="E2391" s="4">
        <f>IF(INDEX(C:C, ROW())+INDEX(D:D, ROW())=0, 0, INDEX(C:C, ROW())/(INDEX(C:C, ROW())+INDEX(D:D, ROW())))</f>
        <v/>
      </c>
      <c r="F2391" s="1" t="inlineStr">
        <is>
          <t>Array, Hash Table</t>
        </is>
      </c>
      <c r="G2391" s="1" t="inlineStr">
        <is>
          <t>Easy</t>
        </is>
      </c>
      <c r="H2391" s="1" t="n">
        <v>168419</v>
      </c>
      <c r="I2391" s="1" t="n">
        <v>230028</v>
      </c>
      <c r="J2391" s="9" t="n">
        <v>0.732</v>
      </c>
      <c r="K2391" s="1" t="inlineStr">
        <is>
          <t>Yes</t>
        </is>
      </c>
      <c r="L2391" s="1" t="inlineStr">
        <is>
          <t>Yes</t>
        </is>
      </c>
      <c r="M2391" s="1" t="inlineStr">
        <is>
          <t>No</t>
        </is>
      </c>
      <c r="N2391" s="1" t="inlineStr">
        <is>
          <t>Algorithms</t>
        </is>
      </c>
      <c r="O23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91" s="13" t="inlineStr">
        <is>
          <t>Done</t>
        </is>
      </c>
    </row>
    <row r="2392" ht="15.75" customHeight="1" s="12">
      <c r="A2392" s="1" t="n">
        <v>1040</v>
      </c>
      <c r="B2392" s="3">
        <f>HYPERLINK("https://leetcode.com/problems/moving-stones-until-consecutive-ii/", "Moving Stones Until Consecutive II")</f>
        <v/>
      </c>
      <c r="C2392" s="1" t="n">
        <v>408</v>
      </c>
      <c r="D2392" s="1" t="n">
        <v>765</v>
      </c>
      <c r="E2392" s="4">
        <f>IF(INDEX(C:C, ROW())+INDEX(D:D, ROW())=0, 0, INDEX(C:C, ROW())/(INDEX(C:C, ROW())+INDEX(D:D, ROW())))</f>
        <v/>
      </c>
      <c r="F2392" s="1" t="inlineStr">
        <is>
          <t>Array, Math, Sliding Window, Sorting</t>
        </is>
      </c>
      <c r="G2392" s="1" t="inlineStr">
        <is>
          <t>Medium</t>
        </is>
      </c>
      <c r="H2392" s="1" t="n">
        <v>15396</v>
      </c>
      <c r="I2392" s="1" t="n">
        <v>26199</v>
      </c>
      <c r="J2392" s="9" t="n">
        <v>0.588</v>
      </c>
      <c r="K2392" s="1" t="inlineStr">
        <is>
          <t>Yes</t>
        </is>
      </c>
      <c r="L2392" s="1" t="inlineStr">
        <is>
          <t>No</t>
        </is>
      </c>
      <c r="M2392" s="1" t="inlineStr">
        <is>
          <t>No</t>
        </is>
      </c>
      <c r="N2392" s="1" t="inlineStr">
        <is>
          <t>Algorithms</t>
        </is>
      </c>
      <c r="O23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92" s="11" t="inlineStr">
        <is>
          <t>To Do</t>
        </is>
      </c>
    </row>
    <row r="2393" ht="15.75" customHeight="1" s="12">
      <c r="A2393" s="1" t="n">
        <v>1836</v>
      </c>
      <c r="B2393" s="3">
        <f>HYPERLINK("https://leetcode.com/problems/remove-duplicates-from-an-unsorted-linked-list/", "Remove Duplicates From an Unsorted Linked List")</f>
        <v/>
      </c>
      <c r="C2393" s="1" t="n">
        <v>408</v>
      </c>
      <c r="D2393" s="1" t="n">
        <v>12</v>
      </c>
      <c r="E2393" s="4">
        <f>IF(INDEX(C:C, ROW())+INDEX(D:D, ROW())=0, 0, INDEX(C:C, ROW())/(INDEX(C:C, ROW())+INDEX(D:D, ROW())))</f>
        <v/>
      </c>
      <c r="F2393" s="1" t="inlineStr">
        <is>
          <t>Hash Table, Linked List</t>
        </is>
      </c>
      <c r="G2393" s="1" t="inlineStr">
        <is>
          <t>Medium</t>
        </is>
      </c>
      <c r="H2393" s="1" t="n">
        <v>40109</v>
      </c>
      <c r="I2393" s="1" t="n">
        <v>52990</v>
      </c>
      <c r="J2393" s="9" t="n">
        <v>0.757</v>
      </c>
      <c r="K2393" s="1" t="inlineStr">
        <is>
          <t>No</t>
        </is>
      </c>
      <c r="L2393" s="1" t="inlineStr">
        <is>
          <t>Yes</t>
        </is>
      </c>
      <c r="M2393" s="1" t="inlineStr">
        <is>
          <t>No</t>
        </is>
      </c>
      <c r="N2393" s="1" t="inlineStr">
        <is>
          <t>Algorithms</t>
        </is>
      </c>
      <c r="O23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93" s="11" t="inlineStr">
        <is>
          <t>To Do</t>
        </is>
      </c>
    </row>
    <row r="2394" ht="15.75" customHeight="1" s="12">
      <c r="A2394" s="1" t="n">
        <v>2102</v>
      </c>
      <c r="B2394" s="3">
        <f>HYPERLINK("https://leetcode.com/problems/sequentially-ordinal-rank-tracker/", "Sequentially Ordinal Rank Tracker")</f>
        <v/>
      </c>
      <c r="C2394" s="1" t="n">
        <v>408</v>
      </c>
      <c r="D2394" s="1" t="n">
        <v>48</v>
      </c>
      <c r="E2394" s="4">
        <f>IF(INDEX(C:C, ROW())+INDEX(D:D, ROW())=0, 0, INDEX(C:C, ROW())/(INDEX(C:C, ROW())+INDEX(D:D, ROW())))</f>
        <v/>
      </c>
      <c r="F2394" s="1" t="inlineStr">
        <is>
          <t>Design, Heap (Priority Queue), Data Stream, Ordered Set</t>
        </is>
      </c>
      <c r="G2394" s="1" t="inlineStr">
        <is>
          <t>Hard</t>
        </is>
      </c>
      <c r="H2394" s="1" t="n">
        <v>20355</v>
      </c>
      <c r="I2394" s="1" t="n">
        <v>33154</v>
      </c>
      <c r="J2394" s="9" t="n">
        <v>0.614</v>
      </c>
      <c r="K2394" s="1" t="inlineStr">
        <is>
          <t>Yes</t>
        </is>
      </c>
      <c r="L2394" s="1" t="inlineStr">
        <is>
          <t>No</t>
        </is>
      </c>
      <c r="M2394" s="1" t="inlineStr">
        <is>
          <t>No</t>
        </is>
      </c>
      <c r="N2394" s="1" t="inlineStr">
        <is>
          <t>Algorithms</t>
        </is>
      </c>
      <c r="O23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94" s="11" t="inlineStr">
        <is>
          <t>To Do</t>
        </is>
      </c>
    </row>
    <row r="2395" ht="15.75" customHeight="1" s="12">
      <c r="A2395" s="1" t="n">
        <v>3074</v>
      </c>
      <c r="B2395" s="3">
        <f>HYPERLINK("https://leetcode.com/problems/apple-redistribution-into-boxes/", "Apple Redistribution into Boxes")</f>
        <v/>
      </c>
      <c r="C2395" s="1" t="n">
        <v>408</v>
      </c>
      <c r="D2395" s="1" t="n">
        <v>24</v>
      </c>
      <c r="E2395" s="4">
        <f>IF(INDEX(C:C, ROW())+INDEX(D:D, ROW())=0, 0, INDEX(C:C, ROW())/(INDEX(C:C, ROW())+INDEX(D:D, ROW())))</f>
        <v/>
      </c>
      <c r="F2395" s="1" t="inlineStr">
        <is>
          <t>Array, Greedy, Sorting</t>
        </is>
      </c>
      <c r="G2395" s="1" t="inlineStr">
        <is>
          <t>Easy</t>
        </is>
      </c>
      <c r="H2395" s="1" t="n">
        <v>168646</v>
      </c>
      <c r="I2395" s="1" t="n">
        <v>214822</v>
      </c>
      <c r="J2395" s="9" t="n">
        <v>0.785</v>
      </c>
      <c r="K2395" s="1" t="inlineStr">
        <is>
          <t>Yes</t>
        </is>
      </c>
      <c r="L2395" s="1" t="inlineStr">
        <is>
          <t>Yes</t>
        </is>
      </c>
      <c r="M2395" s="1" t="inlineStr">
        <is>
          <t>No</t>
        </is>
      </c>
      <c r="N2395" s="1" t="inlineStr">
        <is>
          <t>Algorithms</t>
        </is>
      </c>
      <c r="O23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95" s="13" t="inlineStr">
        <is>
          <t>Done</t>
        </is>
      </c>
    </row>
    <row r="2396" ht="15.75" customHeight="1" s="12">
      <c r="A2396" s="1" t="n">
        <v>1736</v>
      </c>
      <c r="B2396" s="3">
        <f>HYPERLINK("https://leetcode.com/problems/latest-time-by-replacing-hidden-digits/", "Latest Time by Replacing Hidden Digits")</f>
        <v/>
      </c>
      <c r="C2396" s="1" t="n">
        <v>407</v>
      </c>
      <c r="D2396" s="1" t="n">
        <v>188</v>
      </c>
      <c r="E2396" s="4">
        <f>IF(INDEX(C:C, ROW())+INDEX(D:D, ROW())=0, 0, INDEX(C:C, ROW())/(INDEX(C:C, ROW())+INDEX(D:D, ROW())))</f>
        <v/>
      </c>
      <c r="F2396" s="1" t="inlineStr">
        <is>
          <t>String, Greedy</t>
        </is>
      </c>
      <c r="G2396" s="1" t="inlineStr">
        <is>
          <t>Easy</t>
        </is>
      </c>
      <c r="H2396" s="1" t="n">
        <v>48548</v>
      </c>
      <c r="I2396" s="1" t="n">
        <v>110918</v>
      </c>
      <c r="J2396" s="9" t="n">
        <v>0.438</v>
      </c>
      <c r="K2396" s="1" t="inlineStr">
        <is>
          <t>Yes</t>
        </is>
      </c>
      <c r="L2396" s="1" t="inlineStr">
        <is>
          <t>No</t>
        </is>
      </c>
      <c r="M2396" s="1" t="inlineStr">
        <is>
          <t>No</t>
        </is>
      </c>
      <c r="N2396" s="1" t="inlineStr">
        <is>
          <t>Algorithms</t>
        </is>
      </c>
      <c r="O23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96" s="13" t="inlineStr">
        <is>
          <t>Done</t>
        </is>
      </c>
    </row>
    <row r="2397" ht="15.75" customHeight="1" s="12">
      <c r="A2397" s="1" t="n">
        <v>1954</v>
      </c>
      <c r="B2397" s="3">
        <f>HYPERLINK("https://leetcode.com/problems/minimum-garden-perimeter-to-collect-enough-apples/", "Minimum Garden Perimeter to Collect Enough Apples")</f>
        <v/>
      </c>
      <c r="C2397" s="1" t="n">
        <v>407</v>
      </c>
      <c r="D2397" s="1" t="n">
        <v>99</v>
      </c>
      <c r="E2397" s="4">
        <f>IF(INDEX(C:C, ROW())+INDEX(D:D, ROW())=0, 0, INDEX(C:C, ROW())/(INDEX(C:C, ROW())+INDEX(D:D, ROW())))</f>
        <v/>
      </c>
      <c r="F2397" s="1" t="inlineStr">
        <is>
          <t>Math, Binary Search</t>
        </is>
      </c>
      <c r="G2397" s="1" t="inlineStr">
        <is>
          <t>Medium</t>
        </is>
      </c>
      <c r="H2397" s="1" t="n">
        <v>21504</v>
      </c>
      <c r="I2397" s="1" t="n">
        <v>38690</v>
      </c>
      <c r="J2397" s="9" t="n">
        <v>0.556</v>
      </c>
      <c r="K2397" s="1" t="inlineStr">
        <is>
          <t>Yes</t>
        </is>
      </c>
      <c r="L2397" s="1" t="inlineStr">
        <is>
          <t>No</t>
        </is>
      </c>
      <c r="M2397" s="1" t="inlineStr">
        <is>
          <t>No</t>
        </is>
      </c>
      <c r="N2397" s="1" t="inlineStr">
        <is>
          <t>Algorithms</t>
        </is>
      </c>
      <c r="O23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97" s="11" t="inlineStr">
        <is>
          <t>To Do</t>
        </is>
      </c>
    </row>
    <row r="2398" ht="15.75" customHeight="1" s="12">
      <c r="A2398" s="1" t="n">
        <v>2565</v>
      </c>
      <c r="B2398" s="3">
        <f>HYPERLINK("https://leetcode.com/problems/subsequence-with-the-minimum-score/", "Subsequence With the Minimum Score")</f>
        <v/>
      </c>
      <c r="C2398" s="1" t="n">
        <v>407</v>
      </c>
      <c r="D2398" s="1" t="n">
        <v>7</v>
      </c>
      <c r="E2398" s="4">
        <f>IF(INDEX(C:C, ROW())+INDEX(D:D, ROW())=0, 0, INDEX(C:C, ROW())/(INDEX(C:C, ROW())+INDEX(D:D, ROW())))</f>
        <v/>
      </c>
      <c r="F2398" s="1" t="inlineStr">
        <is>
          <t>Two Pointers, String, Binary Search</t>
        </is>
      </c>
      <c r="G2398" s="1" t="inlineStr">
        <is>
          <t>Hard</t>
        </is>
      </c>
      <c r="H2398" s="1" t="n">
        <v>10422</v>
      </c>
      <c r="I2398" s="1" t="n">
        <v>31391</v>
      </c>
      <c r="J2398" s="9" t="n">
        <v>0.332</v>
      </c>
      <c r="K2398" s="1" t="inlineStr">
        <is>
          <t>Yes</t>
        </is>
      </c>
      <c r="L2398" s="1" t="inlineStr">
        <is>
          <t>No</t>
        </is>
      </c>
      <c r="M2398" s="1" t="inlineStr">
        <is>
          <t>No</t>
        </is>
      </c>
      <c r="N2398" s="1" t="inlineStr">
        <is>
          <t>Algorithms</t>
        </is>
      </c>
      <c r="O23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98" s="11" t="inlineStr">
        <is>
          <t>To Do</t>
        </is>
      </c>
    </row>
    <row r="2399" ht="15.75" customHeight="1" s="12">
      <c r="A2399" s="1" t="n">
        <v>2982</v>
      </c>
      <c r="B2399" s="3">
        <f>HYPERLINK("https://leetcode.com/problems/find-longest-special-substring-that-occurs-thrice-ii/", "Find Longest Special Substring That Occurs Thrice II")</f>
        <v/>
      </c>
      <c r="C2399" s="1" t="n">
        <v>407</v>
      </c>
      <c r="D2399" s="1" t="n">
        <v>33</v>
      </c>
      <c r="E2399" s="4">
        <f>IF(INDEX(C:C, ROW())+INDEX(D:D, ROW())=0, 0, INDEX(C:C, ROW())/(INDEX(C:C, ROW())+INDEX(D:D, ROW())))</f>
        <v/>
      </c>
      <c r="F2399" s="1" t="inlineStr">
        <is>
          <t>Hash Table, String, Binary Search, Sliding Window, Counting</t>
        </is>
      </c>
      <c r="G2399" s="1" t="inlineStr">
        <is>
          <t>Medium</t>
        </is>
      </c>
      <c r="H2399" s="1" t="n">
        <v>32081</v>
      </c>
      <c r="I2399" s="1" t="n">
        <v>81939</v>
      </c>
      <c r="J2399" s="9" t="n">
        <v>0.392</v>
      </c>
      <c r="K2399" s="1" t="inlineStr">
        <is>
          <t>Yes</t>
        </is>
      </c>
      <c r="L2399" s="1" t="inlineStr">
        <is>
          <t>Yes</t>
        </is>
      </c>
      <c r="M2399" s="1" t="inlineStr">
        <is>
          <t>No</t>
        </is>
      </c>
      <c r="N2399" s="1" t="inlineStr">
        <is>
          <t>Algorithms</t>
        </is>
      </c>
      <c r="O23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399" s="11" t="inlineStr">
        <is>
          <t>To Do</t>
        </is>
      </c>
    </row>
    <row r="2400" ht="15.75" customHeight="1" s="12">
      <c r="A2400" s="1" t="n">
        <v>1401</v>
      </c>
      <c r="B2400" s="3">
        <f>HYPERLINK("https://leetcode.com/problems/circle-and-rectangle-overlapping/", "Circle and Rectangle Overlapping")</f>
        <v/>
      </c>
      <c r="C2400" s="1" t="n">
        <v>406</v>
      </c>
      <c r="D2400" s="1" t="n">
        <v>85</v>
      </c>
      <c r="E2400" s="4">
        <f>IF(INDEX(C:C, ROW())+INDEX(D:D, ROW())=0, 0, INDEX(C:C, ROW())/(INDEX(C:C, ROW())+INDEX(D:D, ROW())))</f>
        <v/>
      </c>
      <c r="F2400" s="1" t="inlineStr">
        <is>
          <t>Math, Geometry</t>
        </is>
      </c>
      <c r="G2400" s="1" t="inlineStr">
        <is>
          <t>Medium</t>
        </is>
      </c>
      <c r="H2400" s="1" t="n">
        <v>24482</v>
      </c>
      <c r="I2400" s="1" t="n">
        <v>48902</v>
      </c>
      <c r="J2400" s="9" t="n">
        <v>0.501</v>
      </c>
      <c r="K2400" s="1" t="inlineStr">
        <is>
          <t>Yes</t>
        </is>
      </c>
      <c r="L2400" s="1" t="inlineStr">
        <is>
          <t>No</t>
        </is>
      </c>
      <c r="M2400" s="1" t="inlineStr">
        <is>
          <t>No</t>
        </is>
      </c>
      <c r="N2400" s="1" t="inlineStr">
        <is>
          <t>Algorithms</t>
        </is>
      </c>
      <c r="O24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00" s="11" t="inlineStr">
        <is>
          <t>To Do</t>
        </is>
      </c>
    </row>
    <row r="2401" ht="15.75" customHeight="1" s="12">
      <c r="A2401" s="1" t="n">
        <v>1521</v>
      </c>
      <c r="B2401" s="3">
        <f>HYPERLINK("https://leetcode.com/problems/find-a-value-of-a-mysterious-function-closest-to-target/", "Find a Value of a Mysterious Function Closest to Target")</f>
        <v/>
      </c>
      <c r="C2401" s="1" t="n">
        <v>406</v>
      </c>
      <c r="D2401" s="1" t="n">
        <v>21</v>
      </c>
      <c r="E2401" s="4">
        <f>IF(INDEX(C:C, ROW())+INDEX(D:D, ROW())=0, 0, INDEX(C:C, ROW())/(INDEX(C:C, ROW())+INDEX(D:D, ROW())))</f>
        <v/>
      </c>
      <c r="F2401" s="1" t="inlineStr">
        <is>
          <t>Array, Binary Search, Bit Manipulation, Segment Tree</t>
        </is>
      </c>
      <c r="G2401" s="1" t="inlineStr">
        <is>
          <t>Hard</t>
        </is>
      </c>
      <c r="H2401" s="1" t="n">
        <v>14139</v>
      </c>
      <c r="I2401" s="1" t="n">
        <v>29933</v>
      </c>
      <c r="J2401" s="9" t="n">
        <v>0.472</v>
      </c>
      <c r="K2401" s="1" t="inlineStr">
        <is>
          <t>Yes</t>
        </is>
      </c>
      <c r="L2401" s="1" t="inlineStr">
        <is>
          <t>No</t>
        </is>
      </c>
      <c r="M2401" s="1" t="inlineStr">
        <is>
          <t>No</t>
        </is>
      </c>
      <c r="N2401" s="1" t="inlineStr">
        <is>
          <t>Algorithms</t>
        </is>
      </c>
      <c r="O24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01" s="11" t="inlineStr">
        <is>
          <t>To Do</t>
        </is>
      </c>
    </row>
    <row r="2402" ht="15.75" customHeight="1" s="12">
      <c r="A2402" s="1" t="n">
        <v>1687</v>
      </c>
      <c r="B2402" s="3">
        <f>HYPERLINK("https://leetcode.com/problems/delivering-boxes-from-storage-to-ports/", "Delivering Boxes from Storage to Ports")</f>
        <v/>
      </c>
      <c r="C2402" s="1" t="n">
        <v>406</v>
      </c>
      <c r="D2402" s="1" t="n">
        <v>33</v>
      </c>
      <c r="E2402" s="4">
        <f>IF(INDEX(C:C, ROW())+INDEX(D:D, ROW())=0, 0, INDEX(C:C, ROW())/(INDEX(C:C, ROW())+INDEX(D:D, ROW())))</f>
        <v/>
      </c>
      <c r="F2402" s="1" t="inlineStr">
        <is>
          <t>Array, Dynamic Programming, Segment Tree, Queue, Heap (Priority Queue), Prefix Sum, Monotonic Queue</t>
        </is>
      </c>
      <c r="G2402" s="1" t="inlineStr">
        <is>
          <t>Hard</t>
        </is>
      </c>
      <c r="H2402" s="1" t="n">
        <v>9272</v>
      </c>
      <c r="I2402" s="1" t="n">
        <v>23310</v>
      </c>
      <c r="J2402" s="9" t="n">
        <v>0.398</v>
      </c>
      <c r="K2402" s="1" t="inlineStr">
        <is>
          <t>Yes</t>
        </is>
      </c>
      <c r="L2402" s="1" t="inlineStr">
        <is>
          <t>No</t>
        </is>
      </c>
      <c r="M2402" s="1" t="inlineStr">
        <is>
          <t>No</t>
        </is>
      </c>
      <c r="N2402" s="1" t="inlineStr">
        <is>
          <t>Algorithms</t>
        </is>
      </c>
      <c r="O24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02" s="11" t="inlineStr">
        <is>
          <t>To Do</t>
        </is>
      </c>
    </row>
    <row r="2403" ht="15.75" customHeight="1" s="12">
      <c r="A2403" s="1" t="n">
        <v>2347</v>
      </c>
      <c r="B2403" s="3">
        <f>HYPERLINK("https://leetcode.com/problems/best-poker-hand/", "Best Poker Hand")</f>
        <v/>
      </c>
      <c r="C2403" s="1" t="n">
        <v>406</v>
      </c>
      <c r="D2403" s="1" t="n">
        <v>44</v>
      </c>
      <c r="E2403" s="4">
        <f>IF(INDEX(C:C, ROW())+INDEX(D:D, ROW())=0, 0, INDEX(C:C, ROW())/(INDEX(C:C, ROW())+INDEX(D:D, ROW())))</f>
        <v/>
      </c>
      <c r="F2403" s="1" t="inlineStr">
        <is>
          <t>Array, Hash Table, Counting</t>
        </is>
      </c>
      <c r="G2403" s="1" t="inlineStr">
        <is>
          <t>Easy</t>
        </is>
      </c>
      <c r="H2403" s="1" t="n">
        <v>54483</v>
      </c>
      <c r="I2403" s="1" t="n">
        <v>88231</v>
      </c>
      <c r="J2403" s="9" t="n">
        <v>0.618</v>
      </c>
      <c r="K2403" s="1" t="inlineStr">
        <is>
          <t>Yes</t>
        </is>
      </c>
      <c r="L2403" s="1" t="inlineStr">
        <is>
          <t>No</t>
        </is>
      </c>
      <c r="M2403" s="1" t="inlineStr">
        <is>
          <t>No</t>
        </is>
      </c>
      <c r="N2403" s="1" t="inlineStr">
        <is>
          <t>Algorithms</t>
        </is>
      </c>
      <c r="O24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03" s="13" t="inlineStr">
        <is>
          <t>Done</t>
        </is>
      </c>
    </row>
    <row r="2404" ht="15.75" customHeight="1" s="12">
      <c r="A2404" s="1" t="n">
        <v>2679</v>
      </c>
      <c r="B2404" s="3">
        <f>HYPERLINK("https://leetcode.com/problems/sum-in-a-matrix/", "Sum in a Matrix")</f>
        <v/>
      </c>
      <c r="C2404" s="1" t="n">
        <v>406</v>
      </c>
      <c r="D2404" s="1" t="n">
        <v>67</v>
      </c>
      <c r="E2404" s="4">
        <f>IF(INDEX(C:C, ROW())+INDEX(D:D, ROW())=0, 0, INDEX(C:C, ROW())/(INDEX(C:C, ROW())+INDEX(D:D, ROW())))</f>
        <v/>
      </c>
      <c r="F2404" s="1" t="inlineStr">
        <is>
          <t>Array, Sorting, Heap (Priority Queue), Matrix, Simulation</t>
        </is>
      </c>
      <c r="G2404" s="1" t="inlineStr">
        <is>
          <t>Medium</t>
        </is>
      </c>
      <c r="H2404" s="1" t="n">
        <v>49646</v>
      </c>
      <c r="I2404" s="1" t="n">
        <v>81930</v>
      </c>
      <c r="J2404" s="9" t="n">
        <v>0.606</v>
      </c>
      <c r="K2404" s="1" t="inlineStr">
        <is>
          <t>Yes</t>
        </is>
      </c>
      <c r="L2404" s="1" t="inlineStr">
        <is>
          <t>No</t>
        </is>
      </c>
      <c r="M2404" s="1" t="inlineStr">
        <is>
          <t>No</t>
        </is>
      </c>
      <c r="N2404" s="1" t="inlineStr">
        <is>
          <t>Algorithms</t>
        </is>
      </c>
      <c r="O24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04" s="11" t="inlineStr">
        <is>
          <t>To Do</t>
        </is>
      </c>
    </row>
    <row r="2405" ht="15.75" customHeight="1" s="12">
      <c r="A2405" s="1" t="n">
        <v>2747</v>
      </c>
      <c r="B2405" s="3">
        <f>HYPERLINK("https://leetcode.com/problems/count-zero-request-servers/", "Count Zero Request Servers")</f>
        <v/>
      </c>
      <c r="C2405" s="1" t="n">
        <v>406</v>
      </c>
      <c r="D2405" s="1" t="n">
        <v>58</v>
      </c>
      <c r="E2405" s="4">
        <f>IF(INDEX(C:C, ROW())+INDEX(D:D, ROW())=0, 0, INDEX(C:C, ROW())/(INDEX(C:C, ROW())+INDEX(D:D, ROW())))</f>
        <v/>
      </c>
      <c r="F2405" s="1" t="inlineStr">
        <is>
          <t>Array, Hash Table, Sliding Window, Sorting</t>
        </is>
      </c>
      <c r="G2405" s="1" t="inlineStr">
        <is>
          <t>Medium</t>
        </is>
      </c>
      <c r="H2405" s="1" t="n">
        <v>12919</v>
      </c>
      <c r="I2405" s="1" t="n">
        <v>36035</v>
      </c>
      <c r="J2405" s="9" t="n">
        <v>0.359</v>
      </c>
      <c r="K2405" s="1" t="inlineStr">
        <is>
          <t>Yes</t>
        </is>
      </c>
      <c r="L2405" s="1" t="inlineStr">
        <is>
          <t>No</t>
        </is>
      </c>
      <c r="M2405" s="1" t="inlineStr">
        <is>
          <t>No</t>
        </is>
      </c>
      <c r="N2405" s="1" t="inlineStr">
        <is>
          <t>Algorithms</t>
        </is>
      </c>
      <c r="O24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05" s="11" t="inlineStr">
        <is>
          <t>To Do</t>
        </is>
      </c>
    </row>
    <row r="2406" ht="15.75" customHeight="1" s="12">
      <c r="A2406" s="1" t="n">
        <v>527</v>
      </c>
      <c r="B2406" s="3">
        <f>HYPERLINK("https://leetcode.com/problems/word-abbreviation/", "Word Abbreviation")</f>
        <v/>
      </c>
      <c r="C2406" s="1" t="n">
        <v>405</v>
      </c>
      <c r="D2406" s="1" t="n">
        <v>301</v>
      </c>
      <c r="E2406" s="4">
        <f>IF(INDEX(C:C, ROW())+INDEX(D:D, ROW())=0, 0, INDEX(C:C, ROW())/(INDEX(C:C, ROW())+INDEX(D:D, ROW())))</f>
        <v/>
      </c>
      <c r="F2406" s="1" t="inlineStr">
        <is>
          <t>Array, String, Greedy, Trie, Sorting</t>
        </is>
      </c>
      <c r="G2406" s="1" t="inlineStr">
        <is>
          <t>Hard</t>
        </is>
      </c>
      <c r="H2406" s="1" t="n">
        <v>33877</v>
      </c>
      <c r="I2406" s="1" t="n">
        <v>53986</v>
      </c>
      <c r="J2406" s="9" t="n">
        <v>0.628</v>
      </c>
      <c r="K2406" s="1" t="inlineStr">
        <is>
          <t>No</t>
        </is>
      </c>
      <c r="L2406" s="1" t="inlineStr">
        <is>
          <t>Yes</t>
        </is>
      </c>
      <c r="M2406" s="1" t="inlineStr">
        <is>
          <t>No</t>
        </is>
      </c>
      <c r="N2406" s="1" t="inlineStr">
        <is>
          <t>Algorithms</t>
        </is>
      </c>
      <c r="O24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06" s="11" t="inlineStr">
        <is>
          <t>To Do</t>
        </is>
      </c>
    </row>
    <row r="2407" ht="15.75" customHeight="1" s="12">
      <c r="A2407" s="1" t="n">
        <v>1840</v>
      </c>
      <c r="B2407" s="3">
        <f>HYPERLINK("https://leetcode.com/problems/maximum-building-height/", "Maximum Building Height")</f>
        <v/>
      </c>
      <c r="C2407" s="1" t="n">
        <v>405</v>
      </c>
      <c r="D2407" s="1" t="n">
        <v>23</v>
      </c>
      <c r="E2407" s="4">
        <f>IF(INDEX(C:C, ROW())+INDEX(D:D, ROW())=0, 0, INDEX(C:C, ROW())/(INDEX(C:C, ROW())+INDEX(D:D, ROW())))</f>
        <v/>
      </c>
      <c r="F2407" s="1" t="inlineStr">
        <is>
          <t>Array, Math, Sorting</t>
        </is>
      </c>
      <c r="G2407" s="1" t="inlineStr">
        <is>
          <t>Hard</t>
        </is>
      </c>
      <c r="H2407" s="1" t="n">
        <v>9747</v>
      </c>
      <c r="I2407" s="1" t="n">
        <v>25322</v>
      </c>
      <c r="J2407" s="9" t="n">
        <v>0.385</v>
      </c>
      <c r="K2407" s="1" t="inlineStr">
        <is>
          <t>Yes</t>
        </is>
      </c>
      <c r="L2407" s="1" t="inlineStr">
        <is>
          <t>No</t>
        </is>
      </c>
      <c r="M2407" s="1" t="inlineStr">
        <is>
          <t>No</t>
        </is>
      </c>
      <c r="N2407" s="1" t="inlineStr">
        <is>
          <t>Algorithms</t>
        </is>
      </c>
      <c r="O24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07" s="11" t="inlineStr">
        <is>
          <t>To Do</t>
        </is>
      </c>
    </row>
    <row r="2408" ht="15.75" customHeight="1" s="12">
      <c r="A2408" s="1" t="n">
        <v>2564</v>
      </c>
      <c r="B2408" s="3">
        <f>HYPERLINK("https://leetcode.com/problems/substring-xor-queries/", "Substring XOR Queries")</f>
        <v/>
      </c>
      <c r="C2408" s="1" t="n">
        <v>404</v>
      </c>
      <c r="D2408" s="1" t="n">
        <v>85</v>
      </c>
      <c r="E2408" s="4">
        <f>IF(INDEX(C:C, ROW())+INDEX(D:D, ROW())=0, 0, INDEX(C:C, ROW())/(INDEX(C:C, ROW())+INDEX(D:D, ROW())))</f>
        <v/>
      </c>
      <c r="F2408" s="1" t="inlineStr">
        <is>
          <t>Array, Hash Table, String, Bit Manipulation</t>
        </is>
      </c>
      <c r="G2408" s="1" t="inlineStr">
        <is>
          <t>Medium</t>
        </is>
      </c>
      <c r="H2408" s="1" t="n">
        <v>16423</v>
      </c>
      <c r="I2408" s="1" t="n">
        <v>46105</v>
      </c>
      <c r="J2408" s="9" t="n">
        <v>0.356</v>
      </c>
      <c r="K2408" s="1" t="inlineStr">
        <is>
          <t>Yes</t>
        </is>
      </c>
      <c r="L2408" s="1" t="inlineStr">
        <is>
          <t>No</t>
        </is>
      </c>
      <c r="M2408" s="1" t="inlineStr">
        <is>
          <t>No</t>
        </is>
      </c>
      <c r="N2408" s="1" t="inlineStr">
        <is>
          <t>Algorithms</t>
        </is>
      </c>
      <c r="O24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08" s="11" t="inlineStr">
        <is>
          <t>To Do</t>
        </is>
      </c>
    </row>
    <row r="2409" ht="15.75" customHeight="1" s="12">
      <c r="A2409" s="1" t="n">
        <v>3197</v>
      </c>
      <c r="B2409" s="3">
        <f>HYPERLINK("https://leetcode.com/problems/find-the-minimum-area-to-cover-all-ones-ii/", "Find the Minimum Area to Cover All Ones II")</f>
        <v/>
      </c>
      <c r="C2409" s="1" t="n">
        <v>403</v>
      </c>
      <c r="D2409" s="1" t="n">
        <v>68</v>
      </c>
      <c r="E2409" s="4">
        <f>IF(INDEX(C:C, ROW())+INDEX(D:D, ROW())=0, 0, INDEX(C:C, ROW())/(INDEX(C:C, ROW())+INDEX(D:D, ROW())))</f>
        <v/>
      </c>
      <c r="F2409" s="1" t="inlineStr">
        <is>
          <t>Array, Matrix, Enumeration</t>
        </is>
      </c>
      <c r="G2409" s="1" t="inlineStr">
        <is>
          <t>Hard</t>
        </is>
      </c>
      <c r="H2409" s="1" t="n">
        <v>65089</v>
      </c>
      <c r="I2409" s="1" t="n">
        <v>102515</v>
      </c>
      <c r="J2409" s="9" t="n">
        <v>0.635</v>
      </c>
      <c r="K2409" s="1" t="inlineStr">
        <is>
          <t>Yes</t>
        </is>
      </c>
      <c r="L2409" s="1" t="inlineStr">
        <is>
          <t>Yes</t>
        </is>
      </c>
      <c r="M2409" s="1" t="inlineStr">
        <is>
          <t>No</t>
        </is>
      </c>
      <c r="N2409" s="1" t="inlineStr">
        <is>
          <t>Algorithms</t>
        </is>
      </c>
      <c r="O24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09" s="11" t="inlineStr">
        <is>
          <t>To Do</t>
        </is>
      </c>
    </row>
    <row r="2410" ht="15.75" customHeight="1" s="12">
      <c r="A2410" s="1" t="n">
        <v>3660</v>
      </c>
      <c r="B2410" s="3">
        <f>HYPERLINK("https://leetcode.com/problems/jump-game-ix/", "Jump Game IX")</f>
        <v/>
      </c>
      <c r="C2410" s="1" t="n">
        <v>403</v>
      </c>
      <c r="D2410" s="1" t="n">
        <v>34</v>
      </c>
      <c r="E2410" s="4">
        <f>IF(INDEX(C:C, ROW())+INDEX(D:D, ROW())=0, 0, INDEX(C:C, ROW())/(INDEX(C:C, ROW())+INDEX(D:D, ROW())))</f>
        <v/>
      </c>
      <c r="F2410" s="1" t="inlineStr">
        <is>
          <t>Array, Dynamic Programming</t>
        </is>
      </c>
      <c r="G2410" s="1" t="inlineStr">
        <is>
          <t>Medium</t>
        </is>
      </c>
      <c r="H2410" s="1" t="n">
        <v>77705</v>
      </c>
      <c r="I2410" s="1" t="n">
        <v>169377</v>
      </c>
      <c r="J2410" s="9" t="n">
        <v>0.459</v>
      </c>
      <c r="K2410" s="1" t="inlineStr">
        <is>
          <t>Yes</t>
        </is>
      </c>
      <c r="L2410" s="1" t="inlineStr">
        <is>
          <t>Yes</t>
        </is>
      </c>
      <c r="M2410" s="1" t="inlineStr">
        <is>
          <t>No</t>
        </is>
      </c>
      <c r="N2410" s="1" t="inlineStr">
        <is>
          <t>Algorithms</t>
        </is>
      </c>
      <c r="O24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10" s="11" t="inlineStr">
        <is>
          <t>To Do</t>
        </is>
      </c>
    </row>
    <row r="2411" ht="15.75" customHeight="1" s="12">
      <c r="A2411" s="1" t="n">
        <v>2552</v>
      </c>
      <c r="B2411" s="3">
        <f>HYPERLINK("https://leetcode.com/problems/count-increasing-quadruplets/", "Count Increasing Quadruplets")</f>
        <v/>
      </c>
      <c r="C2411" s="1" t="n">
        <v>402</v>
      </c>
      <c r="D2411" s="1" t="n">
        <v>73</v>
      </c>
      <c r="E2411" s="4">
        <f>IF(INDEX(C:C, ROW())+INDEX(D:D, ROW())=0, 0, INDEX(C:C, ROW())/(INDEX(C:C, ROW())+INDEX(D:D, ROW())))</f>
        <v/>
      </c>
      <c r="F2411" s="1" t="inlineStr">
        <is>
          <t>Array, Dynamic Programming, Binary Indexed Tree, Enumeration, Prefix Sum</t>
        </is>
      </c>
      <c r="G2411" s="1" t="inlineStr">
        <is>
          <t>Hard</t>
        </is>
      </c>
      <c r="H2411" s="1" t="n">
        <v>12503</v>
      </c>
      <c r="I2411" s="1" t="n">
        <v>36269</v>
      </c>
      <c r="J2411" s="9" t="n">
        <v>0.345</v>
      </c>
      <c r="K2411" s="1" t="inlineStr">
        <is>
          <t>Yes</t>
        </is>
      </c>
      <c r="L2411" s="1" t="inlineStr">
        <is>
          <t>No</t>
        </is>
      </c>
      <c r="M2411" s="1" t="inlineStr">
        <is>
          <t>No</t>
        </is>
      </c>
      <c r="N2411" s="1" t="inlineStr">
        <is>
          <t>Algorithms</t>
        </is>
      </c>
      <c r="O24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11" s="11" t="inlineStr">
        <is>
          <t>To Do</t>
        </is>
      </c>
    </row>
    <row r="2412" ht="15.75" customHeight="1" s="12">
      <c r="A2412" s="1" t="n">
        <v>2827</v>
      </c>
      <c r="B2412" s="3">
        <f>HYPERLINK("https://leetcode.com/problems/number-of-beautiful-integers-in-the-range/", "Number of Beautiful Integers in the Range")</f>
        <v/>
      </c>
      <c r="C2412" s="1" t="n">
        <v>402</v>
      </c>
      <c r="D2412" s="1" t="n">
        <v>37</v>
      </c>
      <c r="E2412" s="4">
        <f>IF(INDEX(C:C, ROW())+INDEX(D:D, ROW())=0, 0, INDEX(C:C, ROW())/(INDEX(C:C, ROW())+INDEX(D:D, ROW())))</f>
        <v/>
      </c>
      <c r="F2412" s="1" t="inlineStr">
        <is>
          <t>Math, Dynamic Programming</t>
        </is>
      </c>
      <c r="G2412" s="1" t="inlineStr">
        <is>
          <t>Hard</t>
        </is>
      </c>
      <c r="H2412" s="1" t="n">
        <v>13932</v>
      </c>
      <c r="I2412" s="1" t="n">
        <v>62796</v>
      </c>
      <c r="J2412" s="9" t="n">
        <v>0.222</v>
      </c>
      <c r="K2412" s="1" t="inlineStr">
        <is>
          <t>Yes</t>
        </is>
      </c>
      <c r="L2412" s="1" t="inlineStr">
        <is>
          <t>No</t>
        </is>
      </c>
      <c r="M2412" s="1" t="inlineStr">
        <is>
          <t>No</t>
        </is>
      </c>
      <c r="N2412" s="1" t="inlineStr">
        <is>
          <t>Algorithms</t>
        </is>
      </c>
      <c r="O24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12" s="11" t="inlineStr">
        <is>
          <t>To Do</t>
        </is>
      </c>
    </row>
    <row r="2413" ht="15.75" customHeight="1" s="12">
      <c r="A2413" s="1" t="n">
        <v>1694</v>
      </c>
      <c r="B2413" s="3">
        <f>HYPERLINK("https://leetcode.com/problems/reformat-phone-number/", "Reformat Phone Number")</f>
        <v/>
      </c>
      <c r="C2413" s="1" t="n">
        <v>401</v>
      </c>
      <c r="D2413" s="1" t="n">
        <v>206</v>
      </c>
      <c r="E2413" s="4">
        <f>IF(INDEX(C:C, ROW())+INDEX(D:D, ROW())=0, 0, INDEX(C:C, ROW())/(INDEX(C:C, ROW())+INDEX(D:D, ROW())))</f>
        <v/>
      </c>
      <c r="F2413" s="1" t="inlineStr">
        <is>
          <t>String</t>
        </is>
      </c>
      <c r="G2413" s="1" t="inlineStr">
        <is>
          <t>Easy</t>
        </is>
      </c>
      <c r="H2413" s="1" t="n">
        <v>49972</v>
      </c>
      <c r="I2413" s="1" t="n">
        <v>73782</v>
      </c>
      <c r="J2413" s="9" t="n">
        <v>0.677</v>
      </c>
      <c r="K2413" s="1" t="inlineStr">
        <is>
          <t>Yes</t>
        </is>
      </c>
      <c r="L2413" s="1" t="inlineStr">
        <is>
          <t>No</t>
        </is>
      </c>
      <c r="M2413" s="1" t="inlineStr">
        <is>
          <t>No</t>
        </is>
      </c>
      <c r="N2413" s="1" t="inlineStr">
        <is>
          <t>Algorithms</t>
        </is>
      </c>
      <c r="O24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13" s="13" t="inlineStr">
        <is>
          <t>Done</t>
        </is>
      </c>
    </row>
    <row r="2414" ht="15.75" customHeight="1" s="12">
      <c r="A2414" s="1" t="n">
        <v>1881</v>
      </c>
      <c r="B2414" s="3">
        <f>HYPERLINK("https://leetcode.com/problems/maximum-value-after-insertion/", "Maximum Value after Insertion")</f>
        <v/>
      </c>
      <c r="C2414" s="1" t="n">
        <v>401</v>
      </c>
      <c r="D2414" s="1" t="n">
        <v>67</v>
      </c>
      <c r="E2414" s="4">
        <f>IF(INDEX(C:C, ROW())+INDEX(D:D, ROW())=0, 0, INDEX(C:C, ROW())/(INDEX(C:C, ROW())+INDEX(D:D, ROW())))</f>
        <v/>
      </c>
      <c r="F2414" s="1" t="inlineStr">
        <is>
          <t>String, Greedy</t>
        </is>
      </c>
      <c r="G2414" s="1" t="inlineStr">
        <is>
          <t>Medium</t>
        </is>
      </c>
      <c r="H2414" s="1" t="n">
        <v>34146</v>
      </c>
      <c r="I2414" s="1" t="n">
        <v>86700</v>
      </c>
      <c r="J2414" s="9" t="n">
        <v>0.394</v>
      </c>
      <c r="K2414" s="1" t="inlineStr">
        <is>
          <t>Yes</t>
        </is>
      </c>
      <c r="L2414" s="1" t="inlineStr">
        <is>
          <t>No</t>
        </is>
      </c>
      <c r="M2414" s="1" t="inlineStr">
        <is>
          <t>No</t>
        </is>
      </c>
      <c r="N2414" s="1" t="inlineStr">
        <is>
          <t>Algorithms</t>
        </is>
      </c>
      <c r="O24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14" s="11" t="inlineStr">
        <is>
          <t>To Do</t>
        </is>
      </c>
    </row>
    <row r="2415" ht="15.75" customHeight="1" s="12">
      <c r="A2415" s="1" t="n">
        <v>1577</v>
      </c>
      <c r="B2415" s="3">
        <f>HYPERLINK("https://leetcode.com/problems/number-of-ways-where-square-of-number-is-equal-to-product-of-two-numbers/", "Number of Ways Where Square of Number Is Equal to Product of Two Numbers")</f>
        <v/>
      </c>
      <c r="C2415" s="1" t="n">
        <v>400</v>
      </c>
      <c r="D2415" s="1" t="n">
        <v>58</v>
      </c>
      <c r="E2415" s="4">
        <f>IF(INDEX(C:C, ROW())+INDEX(D:D, ROW())=0, 0, INDEX(C:C, ROW())/(INDEX(C:C, ROW())+INDEX(D:D, ROW())))</f>
        <v/>
      </c>
      <c r="F2415" s="1" t="inlineStr">
        <is>
          <t>Array, Hash Table, Math, Two Pointers</t>
        </is>
      </c>
      <c r="G2415" s="1" t="inlineStr">
        <is>
          <t>Medium</t>
        </is>
      </c>
      <c r="H2415" s="1" t="n">
        <v>27162</v>
      </c>
      <c r="I2415" s="1" t="n">
        <v>62554</v>
      </c>
      <c r="J2415" s="9" t="n">
        <v>0.434</v>
      </c>
      <c r="K2415" s="1" t="inlineStr">
        <is>
          <t>Yes</t>
        </is>
      </c>
      <c r="L2415" s="1" t="inlineStr">
        <is>
          <t>No</t>
        </is>
      </c>
      <c r="M2415" s="1" t="inlineStr">
        <is>
          <t>No</t>
        </is>
      </c>
      <c r="N2415" s="1" t="inlineStr">
        <is>
          <t>Algorithms</t>
        </is>
      </c>
      <c r="O24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15" s="11" t="inlineStr">
        <is>
          <t>To Do</t>
        </is>
      </c>
    </row>
    <row r="2416" ht="15.75" customHeight="1" s="12">
      <c r="A2416" s="1" t="n">
        <v>2672</v>
      </c>
      <c r="B2416" s="3">
        <f>HYPERLINK("https://leetcode.com/problems/number-of-adjacent-elements-with-the-same-color/", "Number of Adjacent Elements With the Same Color")</f>
        <v/>
      </c>
      <c r="C2416" s="1" t="n">
        <v>400</v>
      </c>
      <c r="D2416" s="1" t="n">
        <v>118</v>
      </c>
      <c r="E2416" s="4">
        <f>IF(INDEX(C:C, ROW())+INDEX(D:D, ROW())=0, 0, INDEX(C:C, ROW())/(INDEX(C:C, ROW())+INDEX(D:D, ROW())))</f>
        <v/>
      </c>
      <c r="F2416" s="1" t="inlineStr">
        <is>
          <t>Array</t>
        </is>
      </c>
      <c r="G2416" s="1" t="inlineStr">
        <is>
          <t>Medium</t>
        </is>
      </c>
      <c r="H2416" s="1" t="n">
        <v>33740</v>
      </c>
      <c r="I2416" s="1" t="n">
        <v>56704</v>
      </c>
      <c r="J2416" s="9" t="n">
        <v>0.595</v>
      </c>
      <c r="K2416" s="1" t="inlineStr">
        <is>
          <t>Yes</t>
        </is>
      </c>
      <c r="L2416" s="1" t="inlineStr">
        <is>
          <t>No</t>
        </is>
      </c>
      <c r="M2416" s="1" t="inlineStr">
        <is>
          <t>No</t>
        </is>
      </c>
      <c r="N2416" s="1" t="inlineStr">
        <is>
          <t>Algorithms</t>
        </is>
      </c>
      <c r="O24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16" s="11" t="inlineStr">
        <is>
          <t>To Do</t>
        </is>
      </c>
    </row>
    <row r="2417" ht="15.75" customHeight="1" s="12">
      <c r="A2417" s="1" t="n">
        <v>3623</v>
      </c>
      <c r="B2417" s="3">
        <f>HYPERLINK("https://leetcode.com/problems/count-number-of-trapezoids-i/", "Count Number of Trapezoids I")</f>
        <v/>
      </c>
      <c r="C2417" s="1" t="n">
        <v>399</v>
      </c>
      <c r="D2417" s="1" t="n">
        <v>50</v>
      </c>
      <c r="E2417" s="4">
        <f>IF(INDEX(C:C, ROW())+INDEX(D:D, ROW())=0, 0, INDEX(C:C, ROW())/(INDEX(C:C, ROW())+INDEX(D:D, ROW())))</f>
        <v/>
      </c>
      <c r="F2417" s="1" t="inlineStr">
        <is>
          <t>Array, Hash Table, Math, Geometry</t>
        </is>
      </c>
      <c r="G2417" s="1" t="inlineStr">
        <is>
          <t>Medium</t>
        </is>
      </c>
      <c r="H2417" s="1" t="n">
        <v>118420</v>
      </c>
      <c r="I2417" s="1" t="n">
        <v>246053</v>
      </c>
      <c r="J2417" s="9" t="n">
        <v>0.481</v>
      </c>
      <c r="K2417" s="1" t="inlineStr">
        <is>
          <t>Yes</t>
        </is>
      </c>
      <c r="L2417" s="1" t="inlineStr">
        <is>
          <t>Yes</t>
        </is>
      </c>
      <c r="M2417" s="1" t="inlineStr">
        <is>
          <t>No</t>
        </is>
      </c>
      <c r="N2417" s="1" t="inlineStr">
        <is>
          <t>Algorithms</t>
        </is>
      </c>
      <c r="O24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17" s="11" t="inlineStr">
        <is>
          <t>To Do</t>
        </is>
      </c>
    </row>
    <row r="2418" ht="15.75" customHeight="1" s="12">
      <c r="A2418" s="1" t="n">
        <v>3761</v>
      </c>
      <c r="B2418" s="3">
        <f>HYPERLINK("https://leetcode.com/problems/minimum-absolute-distance-between-mirror-pairs/", "Minimum Absolute Distance Between Mirror Pairs")</f>
        <v/>
      </c>
      <c r="C2418" s="1" t="n">
        <v>399</v>
      </c>
      <c r="D2418" s="1" t="n">
        <v>16</v>
      </c>
      <c r="E2418" s="4">
        <f>IF(INDEX(C:C, ROW())+INDEX(D:D, ROW())=0, 0, INDEX(C:C, ROW())/(INDEX(C:C, ROW())+INDEX(D:D, ROW())))</f>
        <v/>
      </c>
      <c r="F2418" s="1" t="inlineStr">
        <is>
          <t>Array, Hash Table, Math</t>
        </is>
      </c>
      <c r="G2418" s="1" t="inlineStr">
        <is>
          <t>Medium</t>
        </is>
      </c>
      <c r="H2418" s="1" t="n">
        <v>114214</v>
      </c>
      <c r="I2418" s="1" t="n">
        <v>192784</v>
      </c>
      <c r="J2418" s="9" t="n">
        <v>0.592</v>
      </c>
      <c r="K2418" s="1" t="inlineStr">
        <is>
          <t>Yes</t>
        </is>
      </c>
      <c r="L2418" s="1" t="inlineStr">
        <is>
          <t>Yes</t>
        </is>
      </c>
      <c r="M2418" s="1" t="inlineStr">
        <is>
          <t>No</t>
        </is>
      </c>
      <c r="N2418" s="1" t="inlineStr">
        <is>
          <t>Algorithms</t>
        </is>
      </c>
      <c r="O24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18" s="11" t="inlineStr">
        <is>
          <t>To Do</t>
        </is>
      </c>
    </row>
    <row r="2419" ht="15.75" customHeight="1" s="12">
      <c r="A2419" s="1" t="n">
        <v>544</v>
      </c>
      <c r="B2419" s="3">
        <f>HYPERLINK("https://leetcode.com/problems/output-contest-matches/", "Output Contest Matches")</f>
        <v/>
      </c>
      <c r="C2419" s="1" t="n">
        <v>398</v>
      </c>
      <c r="D2419" s="1" t="n">
        <v>140</v>
      </c>
      <c r="E2419" s="4">
        <f>IF(INDEX(C:C, ROW())+INDEX(D:D, ROW())=0, 0, INDEX(C:C, ROW())/(INDEX(C:C, ROW())+INDEX(D:D, ROW())))</f>
        <v/>
      </c>
      <c r="F2419" s="1" t="inlineStr">
        <is>
          <t>String, Recursion, Simulation</t>
        </is>
      </c>
      <c r="G2419" s="1" t="inlineStr">
        <is>
          <t>Medium</t>
        </is>
      </c>
      <c r="H2419" s="1" t="n">
        <v>28494</v>
      </c>
      <c r="I2419" s="1" t="n">
        <v>36760</v>
      </c>
      <c r="J2419" s="9" t="n">
        <v>0.775</v>
      </c>
      <c r="K2419" s="1" t="inlineStr">
        <is>
          <t>No</t>
        </is>
      </c>
      <c r="L2419" s="1" t="inlineStr">
        <is>
          <t>Yes</t>
        </is>
      </c>
      <c r="M2419" s="1" t="inlineStr">
        <is>
          <t>No</t>
        </is>
      </c>
      <c r="N2419" s="1" t="inlineStr">
        <is>
          <t>Algorithms</t>
        </is>
      </c>
      <c r="O24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19" s="11" t="inlineStr">
        <is>
          <t>To Do</t>
        </is>
      </c>
    </row>
    <row r="2420" ht="15.75" customHeight="1" s="12">
      <c r="A2420" s="1" t="n">
        <v>2088</v>
      </c>
      <c r="B2420" s="3">
        <f>HYPERLINK("https://leetcode.com/problems/count-fertile-pyramids-in-a-land/", "Count Fertile Pyramids in a Land")</f>
        <v/>
      </c>
      <c r="C2420" s="1" t="n">
        <v>398</v>
      </c>
      <c r="D2420" s="1" t="n">
        <v>21</v>
      </c>
      <c r="E2420" s="4">
        <f>IF(INDEX(C:C, ROW())+INDEX(D:D, ROW())=0, 0, INDEX(C:C, ROW())/(INDEX(C:C, ROW())+INDEX(D:D, ROW())))</f>
        <v/>
      </c>
      <c r="F2420" s="1" t="inlineStr">
        <is>
          <t>Array, Dynamic Programming, Matrix</t>
        </is>
      </c>
      <c r="G2420" s="1" t="inlineStr">
        <is>
          <t>Hard</t>
        </is>
      </c>
      <c r="H2420" s="1" t="n">
        <v>13271</v>
      </c>
      <c r="I2420" s="1" t="n">
        <v>20005</v>
      </c>
      <c r="J2420" s="9" t="n">
        <v>0.663</v>
      </c>
      <c r="K2420" s="1" t="inlineStr">
        <is>
          <t>Yes</t>
        </is>
      </c>
      <c r="L2420" s="1" t="inlineStr">
        <is>
          <t>No</t>
        </is>
      </c>
      <c r="M2420" s="1" t="inlineStr">
        <is>
          <t>No</t>
        </is>
      </c>
      <c r="N2420" s="1" t="inlineStr">
        <is>
          <t>Algorithms</t>
        </is>
      </c>
      <c r="O24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20" s="11" t="inlineStr">
        <is>
          <t>To Do</t>
        </is>
      </c>
    </row>
    <row r="2421" ht="15.75" customHeight="1" s="12">
      <c r="A2421" s="1" t="n">
        <v>3546</v>
      </c>
      <c r="B2421" s="3">
        <f>HYPERLINK("https://leetcode.com/problems/equal-sum-grid-partition-i/", "Equal Sum Grid Partition I")</f>
        <v/>
      </c>
      <c r="C2421" s="1" t="n">
        <v>398</v>
      </c>
      <c r="D2421" s="1" t="n">
        <v>18</v>
      </c>
      <c r="E2421" s="4">
        <f>IF(INDEX(C:C, ROW())+INDEX(D:D, ROW())=0, 0, INDEX(C:C, ROW())/(INDEX(C:C, ROW())+INDEX(D:D, ROW())))</f>
        <v/>
      </c>
      <c r="F2421" s="1" t="inlineStr">
        <is>
          <t>Array, Matrix, Enumeration, Prefix Sum</t>
        </is>
      </c>
      <c r="G2421" s="1" t="inlineStr">
        <is>
          <t>Medium</t>
        </is>
      </c>
      <c r="H2421" s="1" t="n">
        <v>129369</v>
      </c>
      <c r="I2421" s="1" t="n">
        <v>244814</v>
      </c>
      <c r="J2421" s="9" t="n">
        <v>0.528</v>
      </c>
      <c r="K2421" s="1" t="inlineStr">
        <is>
          <t>Yes</t>
        </is>
      </c>
      <c r="L2421" s="1" t="inlineStr">
        <is>
          <t>Yes</t>
        </is>
      </c>
      <c r="M2421" s="1" t="inlineStr">
        <is>
          <t>No</t>
        </is>
      </c>
      <c r="N2421" s="1" t="inlineStr">
        <is>
          <t>Algorithms</t>
        </is>
      </c>
      <c r="O24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21" s="11" t="inlineStr">
        <is>
          <t>To Do</t>
        </is>
      </c>
    </row>
    <row r="2422" ht="15.75" customHeight="1" s="12">
      <c r="A2422" s="1" t="n">
        <v>2910</v>
      </c>
      <c r="B2422" s="3">
        <f>HYPERLINK("https://leetcode.com/problems/minimum-number-of-groups-to-create-a-valid-assignment/", "Minimum Number of Groups to Create a Valid Assignment")</f>
        <v/>
      </c>
      <c r="C2422" s="1" t="n">
        <v>397</v>
      </c>
      <c r="D2422" s="1" t="n">
        <v>189</v>
      </c>
      <c r="E2422" s="4">
        <f>IF(INDEX(C:C, ROW())+INDEX(D:D, ROW())=0, 0, INDEX(C:C, ROW())/(INDEX(C:C, ROW())+INDEX(D:D, ROW())))</f>
        <v/>
      </c>
      <c r="F2422" s="1" t="inlineStr">
        <is>
          <t>Array, Hash Table, Greedy</t>
        </is>
      </c>
      <c r="G2422" s="1" t="inlineStr">
        <is>
          <t>Medium</t>
        </is>
      </c>
      <c r="H2422" s="1" t="n">
        <v>16751</v>
      </c>
      <c r="I2422" s="1" t="n">
        <v>66362</v>
      </c>
      <c r="J2422" s="9" t="n">
        <v>0.252</v>
      </c>
      <c r="K2422" s="1" t="inlineStr">
        <is>
          <t>Yes</t>
        </is>
      </c>
      <c r="L2422" s="1" t="inlineStr">
        <is>
          <t>No</t>
        </is>
      </c>
      <c r="M2422" s="1" t="inlineStr">
        <is>
          <t>No</t>
        </is>
      </c>
      <c r="N2422" s="1" t="inlineStr">
        <is>
          <t>Algorithms</t>
        </is>
      </c>
      <c r="O24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22" s="11" t="inlineStr">
        <is>
          <t>To Do</t>
        </is>
      </c>
    </row>
    <row r="2423" ht="15.75" customHeight="1" s="12">
      <c r="A2423" s="1" t="n">
        <v>3442</v>
      </c>
      <c r="B2423" s="3">
        <f>HYPERLINK("https://leetcode.com/problems/maximum-difference-between-even-and-odd-frequency-i/", "Maximum Difference Between Even and Odd Frequency I")</f>
        <v/>
      </c>
      <c r="C2423" s="1" t="n">
        <v>397</v>
      </c>
      <c r="D2423" s="1" t="n">
        <v>71</v>
      </c>
      <c r="E2423" s="4">
        <f>IF(INDEX(C:C, ROW())+INDEX(D:D, ROW())=0, 0, INDEX(C:C, ROW())/(INDEX(C:C, ROW())+INDEX(D:D, ROW())))</f>
        <v/>
      </c>
      <c r="F2423" s="1" t="inlineStr">
        <is>
          <t>Hash Table, String, Counting</t>
        </is>
      </c>
      <c r="G2423" s="1" t="inlineStr">
        <is>
          <t>Easy</t>
        </is>
      </c>
      <c r="H2423" s="1" t="n">
        <v>182179</v>
      </c>
      <c r="I2423" s="1" t="n">
        <v>299959</v>
      </c>
      <c r="J2423" s="9" t="n">
        <v>0.607</v>
      </c>
      <c r="K2423" s="1" t="inlineStr">
        <is>
          <t>Yes</t>
        </is>
      </c>
      <c r="L2423" s="1" t="inlineStr">
        <is>
          <t>Yes</t>
        </is>
      </c>
      <c r="M2423" s="1" t="inlineStr">
        <is>
          <t>No</t>
        </is>
      </c>
      <c r="N2423" s="1" t="inlineStr">
        <is>
          <t>Algorithms</t>
        </is>
      </c>
      <c r="O24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23" s="13" t="inlineStr">
        <is>
          <t>Done</t>
        </is>
      </c>
    </row>
    <row r="2424" ht="15.75" customHeight="1" s="12">
      <c r="A2424" s="1" t="n">
        <v>2522</v>
      </c>
      <c r="B2424" s="3">
        <f>HYPERLINK("https://leetcode.com/problems/partition-string-into-substrings-with-values-at-most-k/", "Partition String Into Substrings With Values at Most K")</f>
        <v/>
      </c>
      <c r="C2424" s="1" t="n">
        <v>396</v>
      </c>
      <c r="D2424" s="1" t="n">
        <v>54</v>
      </c>
      <c r="E2424" s="4">
        <f>IF(INDEX(C:C, ROW())+INDEX(D:D, ROW())=0, 0, INDEX(C:C, ROW())/(INDEX(C:C, ROW())+INDEX(D:D, ROW())))</f>
        <v/>
      </c>
      <c r="F2424" s="1" t="inlineStr">
        <is>
          <t>String, Dynamic Programming, Greedy</t>
        </is>
      </c>
      <c r="G2424" s="1" t="inlineStr">
        <is>
          <t>Medium</t>
        </is>
      </c>
      <c r="H2424" s="1" t="n">
        <v>27067</v>
      </c>
      <c r="I2424" s="1" t="n">
        <v>56747</v>
      </c>
      <c r="J2424" s="9" t="n">
        <v>0.477</v>
      </c>
      <c r="K2424" s="1" t="inlineStr">
        <is>
          <t>Yes</t>
        </is>
      </c>
      <c r="L2424" s="1" t="inlineStr">
        <is>
          <t>No</t>
        </is>
      </c>
      <c r="M2424" s="1" t="inlineStr">
        <is>
          <t>No</t>
        </is>
      </c>
      <c r="N2424" s="1" t="inlineStr">
        <is>
          <t>Algorithms</t>
        </is>
      </c>
      <c r="O24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24" s="11" t="inlineStr">
        <is>
          <t>To Do</t>
        </is>
      </c>
    </row>
    <row r="2425" ht="15.75" customHeight="1" s="12">
      <c r="A2425" s="1" t="n">
        <v>2606</v>
      </c>
      <c r="B2425" s="3">
        <f>HYPERLINK("https://leetcode.com/problems/find-the-substring-with-maximum-cost/", "Find the Substring With Maximum Cost")</f>
        <v/>
      </c>
      <c r="C2425" s="1" t="n">
        <v>396</v>
      </c>
      <c r="D2425" s="1" t="n">
        <v>13</v>
      </c>
      <c r="E2425" s="4">
        <f>IF(INDEX(C:C, ROW())+INDEX(D:D, ROW())=0, 0, INDEX(C:C, ROW())/(INDEX(C:C, ROW())+INDEX(D:D, ROW())))</f>
        <v/>
      </c>
      <c r="F2425" s="1" t="inlineStr">
        <is>
          <t>Array, Hash Table, String, Dynamic Programming</t>
        </is>
      </c>
      <c r="G2425" s="1" t="inlineStr">
        <is>
          <t>Medium</t>
        </is>
      </c>
      <c r="H2425" s="1" t="n">
        <v>32394</v>
      </c>
      <c r="I2425" s="1" t="n">
        <v>55926</v>
      </c>
      <c r="J2425" s="9" t="n">
        <v>0.579</v>
      </c>
      <c r="K2425" s="1" t="inlineStr">
        <is>
          <t>Yes</t>
        </is>
      </c>
      <c r="L2425" s="1" t="inlineStr">
        <is>
          <t>No</t>
        </is>
      </c>
      <c r="M2425" s="1" t="inlineStr">
        <is>
          <t>No</t>
        </is>
      </c>
      <c r="N2425" s="1" t="inlineStr">
        <is>
          <t>Algorithms</t>
        </is>
      </c>
      <c r="O24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25" s="11" t="inlineStr">
        <is>
          <t>To Do</t>
        </is>
      </c>
    </row>
    <row r="2426" ht="15.75" customHeight="1" s="12">
      <c r="A2426" s="1" t="n">
        <v>2609</v>
      </c>
      <c r="B2426" s="3">
        <f>HYPERLINK("https://leetcode.com/problems/find-the-longest-balanced-substring-of-a-binary-string/", "Find the Longest Balanced Substring of a Binary String")</f>
        <v/>
      </c>
      <c r="C2426" s="1" t="n">
        <v>396</v>
      </c>
      <c r="D2426" s="1" t="n">
        <v>32</v>
      </c>
      <c r="E2426" s="4">
        <f>IF(INDEX(C:C, ROW())+INDEX(D:D, ROW())=0, 0, INDEX(C:C, ROW())/(INDEX(C:C, ROW())+INDEX(D:D, ROW())))</f>
        <v/>
      </c>
      <c r="F2426" s="1" t="inlineStr">
        <is>
          <t>String</t>
        </is>
      </c>
      <c r="G2426" s="1" t="inlineStr">
        <is>
          <t>Easy</t>
        </is>
      </c>
      <c r="H2426" s="1" t="n">
        <v>39482</v>
      </c>
      <c r="I2426" s="1" t="n">
        <v>84923</v>
      </c>
      <c r="J2426" s="9" t="n">
        <v>0.465</v>
      </c>
      <c r="K2426" s="1" t="inlineStr">
        <is>
          <t>Yes</t>
        </is>
      </c>
      <c r="L2426" s="1" t="inlineStr">
        <is>
          <t>No</t>
        </is>
      </c>
      <c r="M2426" s="1" t="inlineStr">
        <is>
          <t>No</t>
        </is>
      </c>
      <c r="N2426" s="1" t="inlineStr">
        <is>
          <t>Algorithms</t>
        </is>
      </c>
      <c r="O24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26" s="13" t="inlineStr">
        <is>
          <t>Done</t>
        </is>
      </c>
    </row>
    <row r="2427" ht="15.75" customHeight="1" s="12">
      <c r="A2427" s="1" t="n">
        <v>1936</v>
      </c>
      <c r="B2427" s="3">
        <f>HYPERLINK("https://leetcode.com/problems/add-minimum-number-of-rungs/", "Add Minimum Number of Rungs")</f>
        <v/>
      </c>
      <c r="C2427" s="1" t="n">
        <v>395</v>
      </c>
      <c r="D2427" s="1" t="n">
        <v>31</v>
      </c>
      <c r="E2427" s="4">
        <f>IF(INDEX(C:C, ROW())+INDEX(D:D, ROW())=0, 0, INDEX(C:C, ROW())/(INDEX(C:C, ROW())+INDEX(D:D, ROW())))</f>
        <v/>
      </c>
      <c r="F2427" s="1" t="inlineStr">
        <is>
          <t>Array, Greedy</t>
        </is>
      </c>
      <c r="G2427" s="1" t="inlineStr">
        <is>
          <t>Medium</t>
        </is>
      </c>
      <c r="H2427" s="1" t="n">
        <v>35670</v>
      </c>
      <c r="I2427" s="1" t="n">
        <v>81146</v>
      </c>
      <c r="J2427" s="9" t="n">
        <v>0.44</v>
      </c>
      <c r="K2427" s="1" t="inlineStr">
        <is>
          <t>Yes</t>
        </is>
      </c>
      <c r="L2427" s="1" t="inlineStr">
        <is>
          <t>No</t>
        </is>
      </c>
      <c r="M2427" s="1" t="inlineStr">
        <is>
          <t>No</t>
        </is>
      </c>
      <c r="N2427" s="1" t="inlineStr">
        <is>
          <t>Algorithms</t>
        </is>
      </c>
      <c r="O24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27" s="11" t="inlineStr">
        <is>
          <t>To Do</t>
        </is>
      </c>
    </row>
    <row r="2428" ht="15.75" customHeight="1" s="12">
      <c r="A2428" s="1" t="n">
        <v>2122</v>
      </c>
      <c r="B2428" s="3">
        <f>HYPERLINK("https://leetcode.com/problems/recover-the-original-array/", "Recover the Original Array")</f>
        <v/>
      </c>
      <c r="C2428" s="1" t="n">
        <v>395</v>
      </c>
      <c r="D2428" s="1" t="n">
        <v>34</v>
      </c>
      <c r="E2428" s="4">
        <f>IF(INDEX(C:C, ROW())+INDEX(D:D, ROW())=0, 0, INDEX(C:C, ROW())/(INDEX(C:C, ROW())+INDEX(D:D, ROW())))</f>
        <v/>
      </c>
      <c r="F2428" s="1" t="inlineStr">
        <is>
          <t>Array, Hash Table, Two Pointers, Sorting, Enumeration</t>
        </is>
      </c>
      <c r="G2428" s="1" t="inlineStr">
        <is>
          <t>Hard</t>
        </is>
      </c>
      <c r="H2428" s="1" t="n">
        <v>14134</v>
      </c>
      <c r="I2428" s="1" t="n">
        <v>34020</v>
      </c>
      <c r="J2428" s="9" t="n">
        <v>0.415</v>
      </c>
      <c r="K2428" s="1" t="inlineStr">
        <is>
          <t>Yes</t>
        </is>
      </c>
      <c r="L2428" s="1" t="inlineStr">
        <is>
          <t>No</t>
        </is>
      </c>
      <c r="M2428" s="1" t="inlineStr">
        <is>
          <t>No</t>
        </is>
      </c>
      <c r="N2428" s="1" t="inlineStr">
        <is>
          <t>Algorithms</t>
        </is>
      </c>
      <c r="O24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28" s="11" t="inlineStr">
        <is>
          <t>To Do</t>
        </is>
      </c>
    </row>
    <row r="2429" ht="15.75" customHeight="1" s="12">
      <c r="A2429" s="1" t="n">
        <v>2527</v>
      </c>
      <c r="B2429" s="3">
        <f>HYPERLINK("https://leetcode.com/problems/find-xor-beauty-of-array/", "Find Xor-Beauty of Array")</f>
        <v/>
      </c>
      <c r="C2429" s="1" t="n">
        <v>395</v>
      </c>
      <c r="D2429" s="1" t="n">
        <v>58</v>
      </c>
      <c r="E2429" s="4">
        <f>IF(INDEX(C:C, ROW())+INDEX(D:D, ROW())=0, 0, INDEX(C:C, ROW())/(INDEX(C:C, ROW())+INDEX(D:D, ROW())))</f>
        <v/>
      </c>
      <c r="F2429" s="1" t="inlineStr">
        <is>
          <t>Array, Math, Bit Manipulation</t>
        </is>
      </c>
      <c r="G2429" s="1" t="inlineStr">
        <is>
          <t>Medium</t>
        </is>
      </c>
      <c r="H2429" s="1" t="n">
        <v>26962</v>
      </c>
      <c r="I2429" s="1" t="n">
        <v>38119</v>
      </c>
      <c r="J2429" s="9" t="n">
        <v>0.707</v>
      </c>
      <c r="K2429" s="1" t="inlineStr">
        <is>
          <t>Yes</t>
        </is>
      </c>
      <c r="L2429" s="1" t="inlineStr">
        <is>
          <t>No</t>
        </is>
      </c>
      <c r="M2429" s="1" t="inlineStr">
        <is>
          <t>No</t>
        </is>
      </c>
      <c r="N2429" s="1" t="inlineStr">
        <is>
          <t>Algorithms</t>
        </is>
      </c>
      <c r="O24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29" s="11" t="inlineStr">
        <is>
          <t>To Do</t>
        </is>
      </c>
    </row>
    <row r="2430" ht="15.75" customHeight="1" s="12">
      <c r="A2430" s="1" t="n">
        <v>2562</v>
      </c>
      <c r="B2430" s="3">
        <f>HYPERLINK("https://leetcode.com/problems/find-the-array-concatenation-value/", "Find the Array Concatenation Value")</f>
        <v/>
      </c>
      <c r="C2430" s="1" t="n">
        <v>395</v>
      </c>
      <c r="D2430" s="1" t="n">
        <v>20</v>
      </c>
      <c r="E2430" s="4">
        <f>IF(INDEX(C:C, ROW())+INDEX(D:D, ROW())=0, 0, INDEX(C:C, ROW())/(INDEX(C:C, ROW())+INDEX(D:D, ROW())))</f>
        <v/>
      </c>
      <c r="F2430" s="1" t="inlineStr">
        <is>
          <t>Array, Two Pointers, Simulation</t>
        </is>
      </c>
      <c r="G2430" s="1" t="inlineStr">
        <is>
          <t>Easy</t>
        </is>
      </c>
      <c r="H2430" s="1" t="n">
        <v>69555</v>
      </c>
      <c r="I2430" s="1" t="n">
        <v>96630</v>
      </c>
      <c r="J2430" s="9" t="n">
        <v>0.72</v>
      </c>
      <c r="K2430" s="1" t="inlineStr">
        <is>
          <t>Yes</t>
        </is>
      </c>
      <c r="L2430" s="1" t="inlineStr">
        <is>
          <t>No</t>
        </is>
      </c>
      <c r="M2430" s="1" t="inlineStr">
        <is>
          <t>No</t>
        </is>
      </c>
      <c r="N2430" s="1" t="inlineStr">
        <is>
          <t>Algorithms</t>
        </is>
      </c>
      <c r="O24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30" s="13" t="inlineStr">
        <is>
          <t>Done</t>
        </is>
      </c>
    </row>
    <row r="2431" ht="15.75" customHeight="1" s="12">
      <c r="A2431" s="1" t="n">
        <v>2896</v>
      </c>
      <c r="B2431" s="3">
        <f>HYPERLINK("https://leetcode.com/problems/apply-operations-to-make-two-strings-equal/", "Apply Operations to Make Two Strings Equal")</f>
        <v/>
      </c>
      <c r="C2431" s="1" t="n">
        <v>395</v>
      </c>
      <c r="D2431" s="1" t="n">
        <v>76</v>
      </c>
      <c r="E2431" s="4">
        <f>IF(INDEX(C:C, ROW())+INDEX(D:D, ROW())=0, 0, INDEX(C:C, ROW())/(INDEX(C:C, ROW())+INDEX(D:D, ROW())))</f>
        <v/>
      </c>
      <c r="F2431" s="1" t="inlineStr">
        <is>
          <t>String, Dynamic Programming</t>
        </is>
      </c>
      <c r="G2431" s="1" t="inlineStr">
        <is>
          <t>Medium</t>
        </is>
      </c>
      <c r="H2431" s="1" t="n">
        <v>15511</v>
      </c>
      <c r="I2431" s="1" t="n">
        <v>56005</v>
      </c>
      <c r="J2431" s="9" t="n">
        <v>0.277</v>
      </c>
      <c r="K2431" s="1" t="inlineStr">
        <is>
          <t>Yes</t>
        </is>
      </c>
      <c r="L2431" s="1" t="inlineStr">
        <is>
          <t>No</t>
        </is>
      </c>
      <c r="M2431" s="1" t="inlineStr">
        <is>
          <t>No</t>
        </is>
      </c>
      <c r="N2431" s="1" t="inlineStr">
        <is>
          <t>Algorithms</t>
        </is>
      </c>
      <c r="O24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31" s="11" t="inlineStr">
        <is>
          <t>To Do</t>
        </is>
      </c>
    </row>
    <row r="2432" ht="15.75" customHeight="1" s="12">
      <c r="A2432" s="1" t="n">
        <v>2301</v>
      </c>
      <c r="B2432" s="3">
        <f>HYPERLINK("https://leetcode.com/problems/match-substring-after-replacement/", "Match Substring After Replacement")</f>
        <v/>
      </c>
      <c r="C2432" s="1" t="n">
        <v>394</v>
      </c>
      <c r="D2432" s="1" t="n">
        <v>81</v>
      </c>
      <c r="E2432" s="4">
        <f>IF(INDEX(C:C, ROW())+INDEX(D:D, ROW())=0, 0, INDEX(C:C, ROW())/(INDEX(C:C, ROW())+INDEX(D:D, ROW())))</f>
        <v/>
      </c>
      <c r="F2432" s="1" t="inlineStr">
        <is>
          <t>Array, Hash Table, String, String Matching</t>
        </is>
      </c>
      <c r="G2432" s="1" t="inlineStr">
        <is>
          <t>Hard</t>
        </is>
      </c>
      <c r="H2432" s="1" t="n">
        <v>18066</v>
      </c>
      <c r="I2432" s="1" t="n">
        <v>41707</v>
      </c>
      <c r="J2432" s="9" t="n">
        <v>0.433</v>
      </c>
      <c r="K2432" s="1" t="inlineStr">
        <is>
          <t>Yes</t>
        </is>
      </c>
      <c r="L2432" s="1" t="inlineStr">
        <is>
          <t>No</t>
        </is>
      </c>
      <c r="M2432" s="1" t="inlineStr">
        <is>
          <t>No</t>
        </is>
      </c>
      <c r="N2432" s="1" t="inlineStr">
        <is>
          <t>Algorithms</t>
        </is>
      </c>
      <c r="O24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32" s="11" t="inlineStr">
        <is>
          <t>To Do</t>
        </is>
      </c>
    </row>
    <row r="2433" ht="15.75" customHeight="1" s="12">
      <c r="A2433" s="1" t="n">
        <v>3433</v>
      </c>
      <c r="B2433" s="3">
        <f>HYPERLINK("https://leetcode.com/problems/count-mentions-per-user/", "Count Mentions Per User")</f>
        <v/>
      </c>
      <c r="C2433" s="1" t="n">
        <v>393</v>
      </c>
      <c r="D2433" s="1" t="n">
        <v>251</v>
      </c>
      <c r="E2433" s="4">
        <f>IF(INDEX(C:C, ROW())+INDEX(D:D, ROW())=0, 0, INDEX(C:C, ROW())/(INDEX(C:C, ROW())+INDEX(D:D, ROW())))</f>
        <v/>
      </c>
      <c r="F2433" s="1" t="inlineStr">
        <is>
          <t>Array, Math, Sorting, Simulation</t>
        </is>
      </c>
      <c r="G2433" s="1" t="inlineStr">
        <is>
          <t>Medium</t>
        </is>
      </c>
      <c r="H2433" s="1" t="n">
        <v>85851</v>
      </c>
      <c r="I2433" s="1" t="n">
        <v>169097</v>
      </c>
      <c r="J2433" s="9" t="n">
        <v>0.508</v>
      </c>
      <c r="K2433" s="1" t="inlineStr">
        <is>
          <t>Yes</t>
        </is>
      </c>
      <c r="L2433" s="1" t="inlineStr">
        <is>
          <t>Yes</t>
        </is>
      </c>
      <c r="M2433" s="1" t="inlineStr">
        <is>
          <t>No</t>
        </is>
      </c>
      <c r="N2433" s="1" t="inlineStr">
        <is>
          <t>Algorithms</t>
        </is>
      </c>
      <c r="O24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33" s="11" t="inlineStr">
        <is>
          <t>To Do</t>
        </is>
      </c>
    </row>
    <row r="2434" ht="15.75" customHeight="1" s="12">
      <c r="A2434" s="1" t="n">
        <v>3445</v>
      </c>
      <c r="B2434" s="3">
        <f>HYPERLINK("https://leetcode.com/problems/maximum-difference-between-even-and-odd-frequency-ii/", "Maximum Difference Between Even and Odd Frequency II")</f>
        <v/>
      </c>
      <c r="C2434" s="1" t="n">
        <v>393</v>
      </c>
      <c r="D2434" s="1" t="n">
        <v>105</v>
      </c>
      <c r="E2434" s="4">
        <f>IF(INDEX(C:C, ROW())+INDEX(D:D, ROW())=0, 0, INDEX(C:C, ROW())/(INDEX(C:C, ROW())+INDEX(D:D, ROW())))</f>
        <v/>
      </c>
      <c r="F2434" s="1" t="inlineStr">
        <is>
          <t>String, Sliding Window, Enumeration, Prefix Sum</t>
        </is>
      </c>
      <c r="G2434" s="1" t="inlineStr">
        <is>
          <t>Hard</t>
        </is>
      </c>
      <c r="H2434" s="1" t="n">
        <v>58914</v>
      </c>
      <c r="I2434" s="1" t="n">
        <v>121146</v>
      </c>
      <c r="J2434" s="9" t="n">
        <v>0.486</v>
      </c>
      <c r="K2434" s="1" t="inlineStr">
        <is>
          <t>Yes</t>
        </is>
      </c>
      <c r="L2434" s="1" t="inlineStr">
        <is>
          <t>Yes</t>
        </is>
      </c>
      <c r="M2434" s="1" t="inlineStr">
        <is>
          <t>No</t>
        </is>
      </c>
      <c r="N2434" s="1" t="inlineStr">
        <is>
          <t>Algorithms</t>
        </is>
      </c>
      <c r="O24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34" s="11" t="inlineStr">
        <is>
          <t>To Do</t>
        </is>
      </c>
    </row>
    <row r="2435" ht="15.75" customHeight="1" s="12">
      <c r="A2435" s="1" t="n">
        <v>2509</v>
      </c>
      <c r="B2435" s="3">
        <f>HYPERLINK("https://leetcode.com/problems/cycle-length-queries-in-a-tree/", "Cycle Length Queries in a Tree")</f>
        <v/>
      </c>
      <c r="C2435" s="1" t="n">
        <v>391</v>
      </c>
      <c r="D2435" s="1" t="n">
        <v>31</v>
      </c>
      <c r="E2435" s="4">
        <f>IF(INDEX(C:C, ROW())+INDEX(D:D, ROW())=0, 0, INDEX(C:C, ROW())/(INDEX(C:C, ROW())+INDEX(D:D, ROW())))</f>
        <v/>
      </c>
      <c r="F2435" s="1" t="inlineStr">
        <is>
          <t>Array, Tree, Binary Tree</t>
        </is>
      </c>
      <c r="G2435" s="1" t="inlineStr">
        <is>
          <t>Hard</t>
        </is>
      </c>
      <c r="H2435" s="1" t="n">
        <v>19544</v>
      </c>
      <c r="I2435" s="1" t="n">
        <v>32389</v>
      </c>
      <c r="J2435" s="9" t="n">
        <v>0.603</v>
      </c>
      <c r="K2435" s="1" t="inlineStr">
        <is>
          <t>Yes</t>
        </is>
      </c>
      <c r="L2435" s="1" t="inlineStr">
        <is>
          <t>No</t>
        </is>
      </c>
      <c r="M2435" s="1" t="inlineStr">
        <is>
          <t>No</t>
        </is>
      </c>
      <c r="N2435" s="1" t="inlineStr">
        <is>
          <t>Algorithms</t>
        </is>
      </c>
      <c r="O24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35" s="11" t="inlineStr">
        <is>
          <t>To Do</t>
        </is>
      </c>
    </row>
    <row r="2436" ht="15.75" customHeight="1" s="12">
      <c r="A2436" s="1" t="n">
        <v>1016</v>
      </c>
      <c r="B2436" s="3">
        <f>HYPERLINK("https://leetcode.com/problems/binary-string-with-substrings-representing-1-to-n/", "Binary String With Substrings Representing 1 To N")</f>
        <v/>
      </c>
      <c r="C2436" s="1" t="n">
        <v>389</v>
      </c>
      <c r="D2436" s="1" t="n">
        <v>540</v>
      </c>
      <c r="E2436" s="4">
        <f>IF(INDEX(C:C, ROW())+INDEX(D:D, ROW())=0, 0, INDEX(C:C, ROW())/(INDEX(C:C, ROW())+INDEX(D:D, ROW())))</f>
        <v/>
      </c>
      <c r="F2436" s="1" t="inlineStr">
        <is>
          <t>Hash Table, String, Bit Manipulation, Sliding Window</t>
        </is>
      </c>
      <c r="G2436" s="1" t="inlineStr">
        <is>
          <t>Medium</t>
        </is>
      </c>
      <c r="H2436" s="1" t="n">
        <v>49853</v>
      </c>
      <c r="I2436" s="1" t="n">
        <v>85191</v>
      </c>
      <c r="J2436" s="9" t="n">
        <v>0.585</v>
      </c>
      <c r="K2436" s="1" t="inlineStr">
        <is>
          <t>Yes</t>
        </is>
      </c>
      <c r="L2436" s="1" t="inlineStr">
        <is>
          <t>No</t>
        </is>
      </c>
      <c r="M2436" s="1" t="inlineStr">
        <is>
          <t>No</t>
        </is>
      </c>
      <c r="N2436" s="1" t="inlineStr">
        <is>
          <t>Algorithms</t>
        </is>
      </c>
      <c r="O24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36" s="11" t="inlineStr">
        <is>
          <t>To Do</t>
        </is>
      </c>
    </row>
    <row r="2437" ht="15.75" customHeight="1" s="12">
      <c r="A2437" s="1" t="n">
        <v>2383</v>
      </c>
      <c r="B2437" s="3">
        <f>HYPERLINK("https://leetcode.com/problems/minimum-hours-of-training-to-win-a-competition/", "Minimum Hours of Training to Win a Competition")</f>
        <v/>
      </c>
      <c r="C2437" s="1" t="n">
        <v>388</v>
      </c>
      <c r="D2437" s="1" t="n">
        <v>299</v>
      </c>
      <c r="E2437" s="4">
        <f>IF(INDEX(C:C, ROW())+INDEX(D:D, ROW())=0, 0, INDEX(C:C, ROW())/(INDEX(C:C, ROW())+INDEX(D:D, ROW())))</f>
        <v/>
      </c>
      <c r="F2437" s="1" t="inlineStr">
        <is>
          <t>Array, Greedy</t>
        </is>
      </c>
      <c r="G2437" s="1" t="inlineStr">
        <is>
          <t>Easy</t>
        </is>
      </c>
      <c r="H2437" s="1" t="n">
        <v>40237</v>
      </c>
      <c r="I2437" s="1" t="n">
        <v>94540</v>
      </c>
      <c r="J2437" s="9" t="n">
        <v>0.426</v>
      </c>
      <c r="K2437" s="1" t="inlineStr">
        <is>
          <t>Yes</t>
        </is>
      </c>
      <c r="L2437" s="1" t="inlineStr">
        <is>
          <t>No</t>
        </is>
      </c>
      <c r="M2437" s="1" t="inlineStr">
        <is>
          <t>No</t>
        </is>
      </c>
      <c r="N2437" s="1" t="inlineStr">
        <is>
          <t>Algorithms</t>
        </is>
      </c>
      <c r="O24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37" s="13" t="inlineStr">
        <is>
          <t>Done</t>
        </is>
      </c>
    </row>
    <row r="2438" ht="15.75" customHeight="1" s="12">
      <c r="A2438" s="1" t="n">
        <v>2424</v>
      </c>
      <c r="B2438" s="3">
        <f>HYPERLINK("https://leetcode.com/problems/longest-uploaded-prefix/", "Longest Uploaded Prefix")</f>
        <v/>
      </c>
      <c r="C2438" s="1" t="n">
        <v>388</v>
      </c>
      <c r="D2438" s="1" t="n">
        <v>32</v>
      </c>
      <c r="E2438" s="4">
        <f>IF(INDEX(C:C, ROW())+INDEX(D:D, ROW())=0, 0, INDEX(C:C, ROW())/(INDEX(C:C, ROW())+INDEX(D:D, ROW())))</f>
        <v/>
      </c>
      <c r="F2438" s="1" t="inlineStr">
        <is>
          <t>Hash Table, Binary Search, Union-Find, Design, Binary Indexed Tree, Segment Tree, Heap (Priority Queue), Ordered Set</t>
        </is>
      </c>
      <c r="G2438" s="1" t="inlineStr">
        <is>
          <t>Medium</t>
        </is>
      </c>
      <c r="H2438" s="1" t="n">
        <v>28919</v>
      </c>
      <c r="I2438" s="1" t="n">
        <v>52582</v>
      </c>
      <c r="J2438" s="9" t="n">
        <v>0.55</v>
      </c>
      <c r="K2438" s="1" t="inlineStr">
        <is>
          <t>Yes</t>
        </is>
      </c>
      <c r="L2438" s="1" t="inlineStr">
        <is>
          <t>No</t>
        </is>
      </c>
      <c r="M2438" s="1" t="inlineStr">
        <is>
          <t>No</t>
        </is>
      </c>
      <c r="N2438" s="1" t="inlineStr">
        <is>
          <t>Algorithms</t>
        </is>
      </c>
      <c r="O24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38" s="11" t="inlineStr">
        <is>
          <t>To Do</t>
        </is>
      </c>
    </row>
    <row r="2439" ht="15.75" customHeight="1" s="12">
      <c r="A2439" s="1" t="n">
        <v>3337</v>
      </c>
      <c r="B2439" s="3">
        <f>HYPERLINK("https://leetcode.com/problems/total-characters-in-string-after-transformations-ii/", "Total Characters in String After Transformations II")</f>
        <v/>
      </c>
      <c r="C2439" s="1" t="n">
        <v>388</v>
      </c>
      <c r="D2439" s="1" t="n">
        <v>83</v>
      </c>
      <c r="E2439" s="4">
        <f>IF(INDEX(C:C, ROW())+INDEX(D:D, ROW())=0, 0, INDEX(C:C, ROW())/(INDEX(C:C, ROW())+INDEX(D:D, ROW())))</f>
        <v/>
      </c>
      <c r="F2439" s="1" t="inlineStr">
        <is>
          <t>Hash Table, Math, String, Dynamic Programming, Counting</t>
        </is>
      </c>
      <c r="G2439" s="1" t="inlineStr">
        <is>
          <t>Hard</t>
        </is>
      </c>
      <c r="H2439" s="1" t="n">
        <v>63568</v>
      </c>
      <c r="I2439" s="1" t="n">
        <v>109780</v>
      </c>
      <c r="J2439" s="9" t="n">
        <v>0.579</v>
      </c>
      <c r="K2439" s="1" t="inlineStr">
        <is>
          <t>Yes</t>
        </is>
      </c>
      <c r="L2439" s="1" t="inlineStr">
        <is>
          <t>Yes</t>
        </is>
      </c>
      <c r="M2439" s="1" t="inlineStr">
        <is>
          <t>No</t>
        </is>
      </c>
      <c r="N2439" s="1" t="inlineStr">
        <is>
          <t>Algorithms</t>
        </is>
      </c>
      <c r="O24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39" s="11" t="inlineStr">
        <is>
          <t>To Do</t>
        </is>
      </c>
    </row>
    <row r="2440" ht="15.75" customHeight="1" s="12">
      <c r="A2440" s="1" t="n">
        <v>2470</v>
      </c>
      <c r="B2440" s="3">
        <f>HYPERLINK("https://leetcode.com/problems/number-of-subarrays-with-lcm-equal-to-k/", "Number of Subarrays With LCM Equal to K")</f>
        <v/>
      </c>
      <c r="C2440" s="1" t="n">
        <v>387</v>
      </c>
      <c r="D2440" s="1" t="n">
        <v>41</v>
      </c>
      <c r="E2440" s="4">
        <f>IF(INDEX(C:C, ROW())+INDEX(D:D, ROW())=0, 0, INDEX(C:C, ROW())/(INDEX(C:C, ROW())+INDEX(D:D, ROW())))</f>
        <v/>
      </c>
      <c r="F2440" s="1" t="inlineStr">
        <is>
          <t>Array, Math, Number Theory</t>
        </is>
      </c>
      <c r="G2440" s="1" t="inlineStr">
        <is>
          <t>Medium</t>
        </is>
      </c>
      <c r="H2440" s="1" t="n">
        <v>35106</v>
      </c>
      <c r="I2440" s="1" t="n">
        <v>77212</v>
      </c>
      <c r="J2440" s="9" t="n">
        <v>0.455</v>
      </c>
      <c r="K2440" s="1" t="inlineStr">
        <is>
          <t>Yes</t>
        </is>
      </c>
      <c r="L2440" s="1" t="inlineStr">
        <is>
          <t>No</t>
        </is>
      </c>
      <c r="M2440" s="1" t="inlineStr">
        <is>
          <t>No</t>
        </is>
      </c>
      <c r="N2440" s="1" t="inlineStr">
        <is>
          <t>Algorithms</t>
        </is>
      </c>
      <c r="O24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40" s="11" t="inlineStr">
        <is>
          <t>To Do</t>
        </is>
      </c>
    </row>
    <row r="2441" ht="15.75" customHeight="1" s="12">
      <c r="A2441" s="1" t="n">
        <v>2708</v>
      </c>
      <c r="B2441" s="3">
        <f>HYPERLINK("https://leetcode.com/problems/maximum-strength-of-a-group/", "Maximum Strength of a Group")</f>
        <v/>
      </c>
      <c r="C2441" s="1" t="n">
        <v>387</v>
      </c>
      <c r="D2441" s="1" t="n">
        <v>68</v>
      </c>
      <c r="E2441" s="4">
        <f>IF(INDEX(C:C, ROW())+INDEX(D:D, ROW())=0, 0, INDEX(C:C, ROW())/(INDEX(C:C, ROW())+INDEX(D:D, ROW())))</f>
        <v/>
      </c>
      <c r="F2441" s="1" t="inlineStr">
        <is>
          <t>Array, Dynamic Programming, Backtracking, Greedy, Bit Manipulation, Sorting, Enumeration</t>
        </is>
      </c>
      <c r="G2441" s="1" t="inlineStr">
        <is>
          <t>Medium</t>
        </is>
      </c>
      <c r="H2441" s="1" t="n">
        <v>38629</v>
      </c>
      <c r="I2441" s="1" t="n">
        <v>150204</v>
      </c>
      <c r="J2441" s="9" t="n">
        <v>0.257</v>
      </c>
      <c r="K2441" s="1" t="inlineStr">
        <is>
          <t>Yes</t>
        </is>
      </c>
      <c r="L2441" s="1" t="inlineStr">
        <is>
          <t>No</t>
        </is>
      </c>
      <c r="M2441" s="1" t="inlineStr">
        <is>
          <t>No</t>
        </is>
      </c>
      <c r="N2441" s="1" t="inlineStr">
        <is>
          <t>Algorithms</t>
        </is>
      </c>
      <c r="O24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41" s="11" t="inlineStr">
        <is>
          <t>To Do</t>
        </is>
      </c>
    </row>
    <row r="2442" ht="15.75" customHeight="1" s="12">
      <c r="A2442" s="1" t="n">
        <v>1554</v>
      </c>
      <c r="B2442" s="3">
        <f>HYPERLINK("https://leetcode.com/problems/strings-differ-by-one-character/", "Strings Differ by One Character")</f>
        <v/>
      </c>
      <c r="C2442" s="1" t="n">
        <v>386</v>
      </c>
      <c r="D2442" s="1" t="n">
        <v>106</v>
      </c>
      <c r="E2442" s="4">
        <f>IF(INDEX(C:C, ROW())+INDEX(D:D, ROW())=0, 0, INDEX(C:C, ROW())/(INDEX(C:C, ROW())+INDEX(D:D, ROW())))</f>
        <v/>
      </c>
      <c r="F2442" s="1" t="inlineStr">
        <is>
          <t>Hash Table, String, Rolling Hash, Hash Function</t>
        </is>
      </c>
      <c r="G2442" s="1" t="inlineStr">
        <is>
          <t>Medium</t>
        </is>
      </c>
      <c r="H2442" s="1" t="n">
        <v>27785</v>
      </c>
      <c r="I2442" s="1" t="n">
        <v>69664</v>
      </c>
      <c r="J2442" s="9" t="n">
        <v>0.399</v>
      </c>
      <c r="K2442" s="1" t="inlineStr">
        <is>
          <t>No</t>
        </is>
      </c>
      <c r="L2442" s="1" t="inlineStr">
        <is>
          <t>No</t>
        </is>
      </c>
      <c r="M2442" s="1" t="inlineStr">
        <is>
          <t>No</t>
        </is>
      </c>
      <c r="N2442" s="1" t="inlineStr">
        <is>
          <t>Algorithms</t>
        </is>
      </c>
      <c r="O24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42" s="11" t="inlineStr">
        <is>
          <t>To Do</t>
        </is>
      </c>
    </row>
    <row r="2443" ht="15.75" customHeight="1" s="12">
      <c r="A2443" s="1" t="n">
        <v>2299</v>
      </c>
      <c r="B2443" s="3">
        <f>HYPERLINK("https://leetcode.com/problems/strong-password-checker-ii/", "Strong Password Checker II")</f>
        <v/>
      </c>
      <c r="C2443" s="1" t="n">
        <v>386</v>
      </c>
      <c r="D2443" s="1" t="n">
        <v>41</v>
      </c>
      <c r="E2443" s="4">
        <f>IF(INDEX(C:C, ROW())+INDEX(D:D, ROW())=0, 0, INDEX(C:C, ROW())/(INDEX(C:C, ROW())+INDEX(D:D, ROW())))</f>
        <v/>
      </c>
      <c r="F2443" s="1" t="inlineStr">
        <is>
          <t>String</t>
        </is>
      </c>
      <c r="G2443" s="1" t="inlineStr">
        <is>
          <t>Easy</t>
        </is>
      </c>
      <c r="H2443" s="1" t="n">
        <v>58432</v>
      </c>
      <c r="I2443" s="1" t="n">
        <v>105433</v>
      </c>
      <c r="J2443" s="9" t="n">
        <v>0.554</v>
      </c>
      <c r="K2443" s="1" t="inlineStr">
        <is>
          <t>Yes</t>
        </is>
      </c>
      <c r="L2443" s="1" t="inlineStr">
        <is>
          <t>No</t>
        </is>
      </c>
      <c r="M2443" s="1" t="inlineStr">
        <is>
          <t>No</t>
        </is>
      </c>
      <c r="N2443" s="1" t="inlineStr">
        <is>
          <t>Algorithms</t>
        </is>
      </c>
      <c r="O24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43" s="13" t="inlineStr">
        <is>
          <t>Done</t>
        </is>
      </c>
    </row>
    <row r="2444" ht="15.75" customHeight="1" s="12">
      <c r="A2444" s="1" t="n">
        <v>3495</v>
      </c>
      <c r="B2444" s="3">
        <f>HYPERLINK("https://leetcode.com/problems/minimum-operations-to-make-array-elements-zero/", "Minimum Operations to Make Array Elements Zero")</f>
        <v/>
      </c>
      <c r="C2444" s="1" t="n">
        <v>386</v>
      </c>
      <c r="D2444" s="1" t="n">
        <v>54</v>
      </c>
      <c r="E2444" s="4">
        <f>IF(INDEX(C:C, ROW())+INDEX(D:D, ROW())=0, 0, INDEX(C:C, ROW())/(INDEX(C:C, ROW())+INDEX(D:D, ROW())))</f>
        <v/>
      </c>
      <c r="F2444" s="1" t="inlineStr">
        <is>
          <t>Array, Math, Bit Manipulation</t>
        </is>
      </c>
      <c r="G2444" s="1" t="inlineStr">
        <is>
          <t>Hard</t>
        </is>
      </c>
      <c r="H2444" s="1" t="n">
        <v>79391</v>
      </c>
      <c r="I2444" s="1" t="n">
        <v>131607</v>
      </c>
      <c r="J2444" s="9" t="n">
        <v>0.603</v>
      </c>
      <c r="K2444" s="1" t="inlineStr">
        <is>
          <t>Yes</t>
        </is>
      </c>
      <c r="L2444" s="1" t="inlineStr">
        <is>
          <t>Yes</t>
        </is>
      </c>
      <c r="M2444" s="1" t="inlineStr">
        <is>
          <t>No</t>
        </is>
      </c>
      <c r="N2444" s="1" t="inlineStr">
        <is>
          <t>Algorithms</t>
        </is>
      </c>
      <c r="O24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44" s="11" t="inlineStr">
        <is>
          <t>To Do</t>
        </is>
      </c>
    </row>
    <row r="2445" ht="15.75" customHeight="1" s="12">
      <c r="A2445" s="1" t="n">
        <v>3640</v>
      </c>
      <c r="B2445" s="3">
        <f>HYPERLINK("https://leetcode.com/problems/trionic-array-ii/", "Trionic Array II")</f>
        <v/>
      </c>
      <c r="C2445" s="1" t="n">
        <v>386</v>
      </c>
      <c r="D2445" s="1" t="n">
        <v>38</v>
      </c>
      <c r="E2445" s="4">
        <f>IF(INDEX(C:C, ROW())+INDEX(D:D, ROW())=0, 0, INDEX(C:C, ROW())/(INDEX(C:C, ROW())+INDEX(D:D, ROW())))</f>
        <v/>
      </c>
      <c r="F2445" s="1" t="inlineStr">
        <is>
          <t>Array, Dynamic Programming</t>
        </is>
      </c>
      <c r="G2445" s="1" t="inlineStr">
        <is>
          <t>Hard</t>
        </is>
      </c>
      <c r="H2445" s="1" t="n">
        <v>85036</v>
      </c>
      <c r="I2445" s="1" t="n">
        <v>179705</v>
      </c>
      <c r="J2445" s="9" t="n">
        <v>0.473</v>
      </c>
      <c r="K2445" s="1" t="inlineStr">
        <is>
          <t>Yes</t>
        </is>
      </c>
      <c r="L2445" s="1" t="inlineStr">
        <is>
          <t>Yes</t>
        </is>
      </c>
      <c r="M2445" s="1" t="inlineStr">
        <is>
          <t>No</t>
        </is>
      </c>
      <c r="N2445" s="1" t="inlineStr">
        <is>
          <t>Algorithms</t>
        </is>
      </c>
      <c r="O24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45" s="11" t="inlineStr">
        <is>
          <t>To Do</t>
        </is>
      </c>
    </row>
    <row r="2446" ht="15.75" customHeight="1" s="12">
      <c r="A2446" s="1" t="n">
        <v>1452</v>
      </c>
      <c r="B2446" s="3">
        <f>HYPERLINK("https://leetcode.com/problems/people-whose-list-of-favorite-companies-is-not-a-subset-of-another-list/", "People Whose List of Favorite Companies Is Not a Subset of Another List")</f>
        <v/>
      </c>
      <c r="C2446" s="1" t="n">
        <v>385</v>
      </c>
      <c r="D2446" s="1" t="n">
        <v>231</v>
      </c>
      <c r="E2446" s="4">
        <f>IF(INDEX(C:C, ROW())+INDEX(D:D, ROW())=0, 0, INDEX(C:C, ROW())/(INDEX(C:C, ROW())+INDEX(D:D, ROW())))</f>
        <v/>
      </c>
      <c r="F2446" s="1" t="inlineStr">
        <is>
          <t>Array, Hash Table, String</t>
        </is>
      </c>
      <c r="G2446" s="1" t="inlineStr">
        <is>
          <t>Medium</t>
        </is>
      </c>
      <c r="H2446" s="1" t="n">
        <v>35529</v>
      </c>
      <c r="I2446" s="1" t="n">
        <v>58608</v>
      </c>
      <c r="J2446" s="9" t="n">
        <v>0.606</v>
      </c>
      <c r="K2446" s="1" t="inlineStr">
        <is>
          <t>Yes</t>
        </is>
      </c>
      <c r="L2446" s="1" t="inlineStr">
        <is>
          <t>No</t>
        </is>
      </c>
      <c r="M2446" s="1" t="inlineStr">
        <is>
          <t>No</t>
        </is>
      </c>
      <c r="N2446" s="1" t="inlineStr">
        <is>
          <t>Algorithms</t>
        </is>
      </c>
      <c r="O24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46" s="11" t="inlineStr">
        <is>
          <t>To Do</t>
        </is>
      </c>
    </row>
    <row r="2447" ht="15.75" customHeight="1" s="12">
      <c r="A2447" s="1" t="n">
        <v>2977</v>
      </c>
      <c r="B2447" s="3">
        <f>HYPERLINK("https://leetcode.com/problems/minimum-cost-to-convert-string-ii/", "Minimum Cost to Convert String II")</f>
        <v/>
      </c>
      <c r="C2447" s="1" t="n">
        <v>385</v>
      </c>
      <c r="D2447" s="1" t="n">
        <v>116</v>
      </c>
      <c r="E2447" s="4">
        <f>IF(INDEX(C:C, ROW())+INDEX(D:D, ROW())=0, 0, INDEX(C:C, ROW())/(INDEX(C:C, ROW())+INDEX(D:D, ROW())))</f>
        <v/>
      </c>
      <c r="F2447" s="1" t="inlineStr">
        <is>
          <t>Array, String, Dynamic Programming, Graph Theory, Trie, Shortest Path</t>
        </is>
      </c>
      <c r="G2447" s="1" t="inlineStr">
        <is>
          <t>Hard</t>
        </is>
      </c>
      <c r="H2447" s="1" t="n">
        <v>64769</v>
      </c>
      <c r="I2447" s="1" t="n">
        <v>108667</v>
      </c>
      <c r="J2447" s="9" t="n">
        <v>0.596</v>
      </c>
      <c r="K2447" s="1" t="inlineStr">
        <is>
          <t>Yes</t>
        </is>
      </c>
      <c r="L2447" s="1" t="inlineStr">
        <is>
          <t>Yes</t>
        </is>
      </c>
      <c r="M2447" s="1" t="inlineStr">
        <is>
          <t>No</t>
        </is>
      </c>
      <c r="N2447" s="1" t="inlineStr">
        <is>
          <t>Algorithms</t>
        </is>
      </c>
      <c r="O24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47" s="11" t="inlineStr">
        <is>
          <t>To Do</t>
        </is>
      </c>
    </row>
    <row r="2448" ht="15.75" customHeight="1" s="12">
      <c r="A2448" s="1" t="n">
        <v>1065</v>
      </c>
      <c r="B2448" s="3">
        <f>HYPERLINK("https://leetcode.com/problems/index-pairs-of-a-string/", "Index Pairs of a String")</f>
        <v/>
      </c>
      <c r="C2448" s="1" t="n">
        <v>384</v>
      </c>
      <c r="D2448" s="1" t="n">
        <v>109</v>
      </c>
      <c r="E2448" s="4">
        <f>IF(INDEX(C:C, ROW())+INDEX(D:D, ROW())=0, 0, INDEX(C:C, ROW())/(INDEX(C:C, ROW())+INDEX(D:D, ROW())))</f>
        <v/>
      </c>
      <c r="F2448" s="1" t="inlineStr">
        <is>
          <t>Array, String, Trie, Sorting</t>
        </is>
      </c>
      <c r="G2448" s="1" t="inlineStr">
        <is>
          <t>Easy</t>
        </is>
      </c>
      <c r="H2448" s="1" t="n">
        <v>31387</v>
      </c>
      <c r="I2448" s="1" t="n">
        <v>45730</v>
      </c>
      <c r="J2448" s="9" t="n">
        <v>0.6860000000000001</v>
      </c>
      <c r="K2448" s="1" t="inlineStr">
        <is>
          <t>No</t>
        </is>
      </c>
      <c r="L2448" s="1" t="inlineStr">
        <is>
          <t>Yes</t>
        </is>
      </c>
      <c r="M2448" s="1" t="inlineStr">
        <is>
          <t>No</t>
        </is>
      </c>
      <c r="N2448" s="1" t="inlineStr">
        <is>
          <t>Algorithms</t>
        </is>
      </c>
      <c r="O24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48" s="11" t="inlineStr">
        <is>
          <t>To Do</t>
        </is>
      </c>
    </row>
    <row r="2449" ht="15.75" customHeight="1" s="12">
      <c r="A2449" s="1" t="n">
        <v>2568</v>
      </c>
      <c r="B2449" s="3">
        <f>HYPERLINK("https://leetcode.com/problems/minimum-impossible-or/", "Minimum Impossible OR")</f>
        <v/>
      </c>
      <c r="C2449" s="1" t="n">
        <v>384</v>
      </c>
      <c r="D2449" s="1" t="n">
        <v>22</v>
      </c>
      <c r="E2449" s="4">
        <f>IF(INDEX(C:C, ROW())+INDEX(D:D, ROW())=0, 0, INDEX(C:C, ROW())/(INDEX(C:C, ROW())+INDEX(D:D, ROW())))</f>
        <v/>
      </c>
      <c r="F2449" s="1" t="inlineStr">
        <is>
          <t>Array, Bit Manipulation, Brainteaser</t>
        </is>
      </c>
      <c r="G2449" s="1" t="inlineStr">
        <is>
          <t>Medium</t>
        </is>
      </c>
      <c r="H2449" s="1" t="n">
        <v>20413</v>
      </c>
      <c r="I2449" s="1" t="n">
        <v>34611</v>
      </c>
      <c r="J2449" s="9" t="n">
        <v>0.59</v>
      </c>
      <c r="K2449" s="1" t="inlineStr">
        <is>
          <t>Yes</t>
        </is>
      </c>
      <c r="L2449" s="1" t="inlineStr">
        <is>
          <t>No</t>
        </is>
      </c>
      <c r="M2449" s="1" t="inlineStr">
        <is>
          <t>No</t>
        </is>
      </c>
      <c r="N2449" s="1" t="inlineStr">
        <is>
          <t>Algorithms</t>
        </is>
      </c>
      <c r="O24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49" s="11" t="inlineStr">
        <is>
          <t>To Do</t>
        </is>
      </c>
    </row>
    <row r="2450" ht="15.75" customHeight="1" s="12">
      <c r="A2450" s="1" t="n">
        <v>2767</v>
      </c>
      <c r="B2450" s="3">
        <f>HYPERLINK("https://leetcode.com/problems/partition-string-into-minimum-beautiful-substrings/", "Partition String Into Minimum Beautiful Substrings")</f>
        <v/>
      </c>
      <c r="C2450" s="1" t="n">
        <v>384</v>
      </c>
      <c r="D2450" s="1" t="n">
        <v>19</v>
      </c>
      <c r="E2450" s="4">
        <f>IF(INDEX(C:C, ROW())+INDEX(D:D, ROW())=0, 0, INDEX(C:C, ROW())/(INDEX(C:C, ROW())+INDEX(D:D, ROW())))</f>
        <v/>
      </c>
      <c r="F2450" s="1" t="inlineStr">
        <is>
          <t>Hash Table, String, Dynamic Programming, Backtracking</t>
        </is>
      </c>
      <c r="G2450" s="1" t="inlineStr">
        <is>
          <t>Medium</t>
        </is>
      </c>
      <c r="H2450" s="1" t="n">
        <v>22450</v>
      </c>
      <c r="I2450" s="1" t="n">
        <v>41508</v>
      </c>
      <c r="J2450" s="9" t="n">
        <v>0.541</v>
      </c>
      <c r="K2450" s="1" t="inlineStr">
        <is>
          <t>Yes</t>
        </is>
      </c>
      <c r="L2450" s="1" t="inlineStr">
        <is>
          <t>No</t>
        </is>
      </c>
      <c r="M2450" s="1" t="inlineStr">
        <is>
          <t>No</t>
        </is>
      </c>
      <c r="N2450" s="1" t="inlineStr">
        <is>
          <t>Algorithms</t>
        </is>
      </c>
      <c r="O24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50" s="11" t="inlineStr">
        <is>
          <t>To Do</t>
        </is>
      </c>
    </row>
    <row r="2451" ht="15.75" customHeight="1" s="12">
      <c r="A2451" s="1" t="n">
        <v>481</v>
      </c>
      <c r="B2451" s="3">
        <f>HYPERLINK("https://leetcode.com/problems/magical-string/", "Magical String")</f>
        <v/>
      </c>
      <c r="C2451" s="1" t="n">
        <v>383</v>
      </c>
      <c r="D2451" s="1" t="n">
        <v>1425</v>
      </c>
      <c r="E2451" s="4">
        <f>IF(INDEX(C:C, ROW())+INDEX(D:D, ROW())=0, 0, INDEX(C:C, ROW())/(INDEX(C:C, ROW())+INDEX(D:D, ROW())))</f>
        <v/>
      </c>
      <c r="F2451" s="1" t="inlineStr">
        <is>
          <t>Two Pointers, String</t>
        </is>
      </c>
      <c r="G2451" s="1" t="inlineStr">
        <is>
          <t>Medium</t>
        </is>
      </c>
      <c r="H2451" s="1" t="n">
        <v>56680</v>
      </c>
      <c r="I2451" s="1" t="n">
        <v>102796</v>
      </c>
      <c r="J2451" s="9" t="n">
        <v>0.551</v>
      </c>
      <c r="K2451" s="1" t="inlineStr">
        <is>
          <t>Yes</t>
        </is>
      </c>
      <c r="L2451" s="1" t="inlineStr">
        <is>
          <t>No</t>
        </is>
      </c>
      <c r="M2451" s="1" t="inlineStr">
        <is>
          <t>No</t>
        </is>
      </c>
      <c r="N2451" s="1" t="inlineStr">
        <is>
          <t>Algorithms</t>
        </is>
      </c>
      <c r="O24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51" s="11" t="inlineStr">
        <is>
          <t>To Do</t>
        </is>
      </c>
    </row>
    <row r="2452" ht="15.75" customHeight="1" s="12">
      <c r="A2452" s="1" t="n">
        <v>2586</v>
      </c>
      <c r="B2452" s="3">
        <f>HYPERLINK("https://leetcode.com/problems/count-the-number-of-vowel-strings-in-range/", "Count the Number of Vowel Strings in Range")</f>
        <v/>
      </c>
      <c r="C2452" s="1" t="n">
        <v>382</v>
      </c>
      <c r="D2452" s="1" t="n">
        <v>33</v>
      </c>
      <c r="E2452" s="4">
        <f>IF(INDEX(C:C, ROW())+INDEX(D:D, ROW())=0, 0, INDEX(C:C, ROW())/(INDEX(C:C, ROW())+INDEX(D:D, ROW())))</f>
        <v/>
      </c>
      <c r="F2452" s="1" t="inlineStr">
        <is>
          <t>Array, String, Counting</t>
        </is>
      </c>
      <c r="G2452" s="1" t="inlineStr">
        <is>
          <t>Easy</t>
        </is>
      </c>
      <c r="H2452" s="1" t="n">
        <v>90178</v>
      </c>
      <c r="I2452" s="1" t="n">
        <v>121440</v>
      </c>
      <c r="J2452" s="9" t="n">
        <v>0.743</v>
      </c>
      <c r="K2452" s="1" t="inlineStr">
        <is>
          <t>Yes</t>
        </is>
      </c>
      <c r="L2452" s="1" t="inlineStr">
        <is>
          <t>No</t>
        </is>
      </c>
      <c r="M2452" s="1" t="inlineStr">
        <is>
          <t>No</t>
        </is>
      </c>
      <c r="N2452" s="1" t="inlineStr">
        <is>
          <t>Algorithms</t>
        </is>
      </c>
      <c r="O24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52" s="13" t="inlineStr">
        <is>
          <t>Done</t>
        </is>
      </c>
    </row>
    <row r="2453" ht="15.75" customHeight="1" s="12">
      <c r="A2453" s="1" t="n">
        <v>2455</v>
      </c>
      <c r="B2453" s="3">
        <f>HYPERLINK("https://leetcode.com/problems/average-value-of-even-numbers-that-are-divisible-by-three/", "Average Value of Even Numbers That Are Divisible by Three")</f>
        <v/>
      </c>
      <c r="C2453" s="1" t="n">
        <v>381</v>
      </c>
      <c r="D2453" s="1" t="n">
        <v>42</v>
      </c>
      <c r="E2453" s="4">
        <f>IF(INDEX(C:C, ROW())+INDEX(D:D, ROW())=0, 0, INDEX(C:C, ROW())/(INDEX(C:C, ROW())+INDEX(D:D, ROW())))</f>
        <v/>
      </c>
      <c r="F2453" s="1" t="inlineStr">
        <is>
          <t>Array, Math</t>
        </is>
      </c>
      <c r="G2453" s="1" t="inlineStr">
        <is>
          <t>Easy</t>
        </is>
      </c>
      <c r="H2453" s="1" t="n">
        <v>95720</v>
      </c>
      <c r="I2453" s="1" t="n">
        <v>151568</v>
      </c>
      <c r="J2453" s="9" t="n">
        <v>0.632</v>
      </c>
      <c r="K2453" s="1" t="inlineStr">
        <is>
          <t>Yes</t>
        </is>
      </c>
      <c r="L2453" s="1" t="inlineStr">
        <is>
          <t>No</t>
        </is>
      </c>
      <c r="M2453" s="1" t="inlineStr">
        <is>
          <t>No</t>
        </is>
      </c>
      <c r="N2453" s="1" t="inlineStr">
        <is>
          <t>Algorithms</t>
        </is>
      </c>
      <c r="O24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53" s="13" t="inlineStr">
        <is>
          <t>Done</t>
        </is>
      </c>
    </row>
    <row r="2454" ht="15.75" customHeight="1" s="12">
      <c r="A2454" s="1" t="n">
        <v>1548</v>
      </c>
      <c r="B2454" s="3">
        <f>HYPERLINK("https://leetcode.com/problems/the-most-similar-path-in-a-graph/", "The Most Similar Path in a Graph")</f>
        <v/>
      </c>
      <c r="C2454" s="1" t="n">
        <v>380</v>
      </c>
      <c r="D2454" s="1" t="n">
        <v>187</v>
      </c>
      <c r="E2454" s="4">
        <f>IF(INDEX(C:C, ROW())+INDEX(D:D, ROW())=0, 0, INDEX(C:C, ROW())/(INDEX(C:C, ROW())+INDEX(D:D, ROW())))</f>
        <v/>
      </c>
      <c r="F2454" s="1" t="inlineStr">
        <is>
          <t>Dynamic Programming, Graph Theory</t>
        </is>
      </c>
      <c r="G2454" s="1" t="inlineStr">
        <is>
          <t>Hard</t>
        </is>
      </c>
      <c r="H2454" s="1" t="n">
        <v>17920</v>
      </c>
      <c r="I2454" s="1" t="n">
        <v>30146</v>
      </c>
      <c r="J2454" s="9" t="n">
        <v>0.594</v>
      </c>
      <c r="K2454" s="1" t="inlineStr">
        <is>
          <t>No</t>
        </is>
      </c>
      <c r="L2454" s="1" t="inlineStr">
        <is>
          <t>Yes</t>
        </is>
      </c>
      <c r="M2454" s="1" t="inlineStr">
        <is>
          <t>No</t>
        </is>
      </c>
      <c r="N2454" s="1" t="inlineStr">
        <is>
          <t>Algorithms</t>
        </is>
      </c>
      <c r="O24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54" s="11" t="inlineStr">
        <is>
          <t>To Do</t>
        </is>
      </c>
    </row>
    <row r="2455" ht="15.75" customHeight="1" s="12">
      <c r="A2455" s="1" t="n">
        <v>2844</v>
      </c>
      <c r="B2455" s="3">
        <f>HYPERLINK("https://leetcode.com/problems/minimum-operations-to-make-a-special-number/", "Minimum Operations to Make a Special Number")</f>
        <v/>
      </c>
      <c r="C2455" s="1" t="n">
        <v>379</v>
      </c>
      <c r="D2455" s="1" t="n">
        <v>57</v>
      </c>
      <c r="E2455" s="4">
        <f>IF(INDEX(C:C, ROW())+INDEX(D:D, ROW())=0, 0, INDEX(C:C, ROW())/(INDEX(C:C, ROW())+INDEX(D:D, ROW())))</f>
        <v/>
      </c>
      <c r="F2455" s="1" t="inlineStr">
        <is>
          <t>Math, String, Greedy, Enumeration</t>
        </is>
      </c>
      <c r="G2455" s="1" t="inlineStr">
        <is>
          <t>Medium</t>
        </is>
      </c>
      <c r="H2455" s="1" t="n">
        <v>29893</v>
      </c>
      <c r="I2455" s="1" t="n">
        <v>77616</v>
      </c>
      <c r="J2455" s="9" t="n">
        <v>0.385</v>
      </c>
      <c r="K2455" s="1" t="inlineStr">
        <is>
          <t>Yes</t>
        </is>
      </c>
      <c r="L2455" s="1" t="inlineStr">
        <is>
          <t>No</t>
        </is>
      </c>
      <c r="M2455" s="1" t="inlineStr">
        <is>
          <t>No</t>
        </is>
      </c>
      <c r="N2455" s="1" t="inlineStr">
        <is>
          <t>Algorithms</t>
        </is>
      </c>
      <c r="O24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55" s="11" t="inlineStr">
        <is>
          <t>To Do</t>
        </is>
      </c>
    </row>
    <row r="2456" ht="15.75" customHeight="1" s="12">
      <c r="A2456" s="1" t="n">
        <v>2716</v>
      </c>
      <c r="B2456" s="3">
        <f>HYPERLINK("https://leetcode.com/problems/minimize-string-length/", "Minimize String Length")</f>
        <v/>
      </c>
      <c r="C2456" s="1" t="n">
        <v>378</v>
      </c>
      <c r="D2456" s="1" t="n">
        <v>109</v>
      </c>
      <c r="E2456" s="4">
        <f>IF(INDEX(C:C, ROW())+INDEX(D:D, ROW())=0, 0, INDEX(C:C, ROW())/(INDEX(C:C, ROW())+INDEX(D:D, ROW())))</f>
        <v/>
      </c>
      <c r="F2456" s="1" t="inlineStr">
        <is>
          <t>Hash Table, String</t>
        </is>
      </c>
      <c r="G2456" s="1" t="inlineStr">
        <is>
          <t>Easy</t>
        </is>
      </c>
      <c r="H2456" s="1" t="n">
        <v>80565</v>
      </c>
      <c r="I2456" s="1" t="n">
        <v>101785</v>
      </c>
      <c r="J2456" s="9" t="n">
        <v>0.792</v>
      </c>
      <c r="K2456" s="1" t="inlineStr">
        <is>
          <t>Yes</t>
        </is>
      </c>
      <c r="L2456" s="1" t="inlineStr">
        <is>
          <t>No</t>
        </is>
      </c>
      <c r="M2456" s="1" t="inlineStr">
        <is>
          <t>No</t>
        </is>
      </c>
      <c r="N2456" s="1" t="inlineStr">
        <is>
          <t>Algorithms</t>
        </is>
      </c>
      <c r="O24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56" s="13" t="inlineStr">
        <is>
          <t>Done</t>
        </is>
      </c>
    </row>
    <row r="2457" ht="15.75" customHeight="1" s="12">
      <c r="A2457" s="1" t="n">
        <v>2746</v>
      </c>
      <c r="B2457" s="3">
        <f>HYPERLINK("https://leetcode.com/problems/decremental-string-concatenation/", "Decremental String Concatenation")</f>
        <v/>
      </c>
      <c r="C2457" s="1" t="n">
        <v>377</v>
      </c>
      <c r="D2457" s="1" t="n">
        <v>33</v>
      </c>
      <c r="E2457" s="4">
        <f>IF(INDEX(C:C, ROW())+INDEX(D:D, ROW())=0, 0, INDEX(C:C, ROW())/(INDEX(C:C, ROW())+INDEX(D:D, ROW())))</f>
        <v/>
      </c>
      <c r="F2457" s="1" t="inlineStr">
        <is>
          <t>Array, String, Dynamic Programming</t>
        </is>
      </c>
      <c r="G2457" s="1" t="inlineStr">
        <is>
          <t>Medium</t>
        </is>
      </c>
      <c r="H2457" s="1" t="n">
        <v>11235</v>
      </c>
      <c r="I2457" s="1" t="n">
        <v>40559</v>
      </c>
      <c r="J2457" s="9" t="n">
        <v>0.277</v>
      </c>
      <c r="K2457" s="1" t="inlineStr">
        <is>
          <t>Yes</t>
        </is>
      </c>
      <c r="L2457" s="1" t="inlineStr">
        <is>
          <t>No</t>
        </is>
      </c>
      <c r="M2457" s="1" t="inlineStr">
        <is>
          <t>No</t>
        </is>
      </c>
      <c r="N2457" s="1" t="inlineStr">
        <is>
          <t>Algorithms</t>
        </is>
      </c>
      <c r="O24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57" s="11" t="inlineStr">
        <is>
          <t>To Do</t>
        </is>
      </c>
    </row>
    <row r="2458" ht="15.75" customHeight="1" s="12">
      <c r="A2458" s="1" t="n">
        <v>2848</v>
      </c>
      <c r="B2458" s="3">
        <f>HYPERLINK("https://leetcode.com/problems/points-that-intersect-with-cars/", "Points That Intersect With Cars")</f>
        <v/>
      </c>
      <c r="C2458" s="1" t="n">
        <v>377</v>
      </c>
      <c r="D2458" s="1" t="n">
        <v>37</v>
      </c>
      <c r="E2458" s="4">
        <f>IF(INDEX(C:C, ROW())+INDEX(D:D, ROW())=0, 0, INDEX(C:C, ROW())/(INDEX(C:C, ROW())+INDEX(D:D, ROW())))</f>
        <v/>
      </c>
      <c r="F2458" s="1" t="inlineStr">
        <is>
          <t>Array, Hash Table, Prefix Sum</t>
        </is>
      </c>
      <c r="G2458" s="1" t="inlineStr">
        <is>
          <t>Easy</t>
        </is>
      </c>
      <c r="H2458" s="1" t="n">
        <v>76719</v>
      </c>
      <c r="I2458" s="1" t="n">
        <v>104624</v>
      </c>
      <c r="J2458" s="9" t="n">
        <v>0.733</v>
      </c>
      <c r="K2458" s="1" t="inlineStr">
        <is>
          <t>Yes</t>
        </is>
      </c>
      <c r="L2458" s="1" t="inlineStr">
        <is>
          <t>No</t>
        </is>
      </c>
      <c r="M2458" s="1" t="inlineStr">
        <is>
          <t>No</t>
        </is>
      </c>
      <c r="N2458" s="1" t="inlineStr">
        <is>
          <t>Algorithms</t>
        </is>
      </c>
      <c r="O24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58" s="13" t="inlineStr">
        <is>
          <t>Done</t>
        </is>
      </c>
    </row>
    <row r="2459" ht="15.75" customHeight="1" s="12">
      <c r="A2459" s="1" t="n">
        <v>906</v>
      </c>
      <c r="B2459" s="3">
        <f>HYPERLINK("https://leetcode.com/problems/super-palindromes/", "Super Palindromes")</f>
        <v/>
      </c>
      <c r="C2459" s="1" t="n">
        <v>376</v>
      </c>
      <c r="D2459" s="1" t="n">
        <v>423</v>
      </c>
      <c r="E2459" s="4">
        <f>IF(INDEX(C:C, ROW())+INDEX(D:D, ROW())=0, 0, INDEX(C:C, ROW())/(INDEX(C:C, ROW())+INDEX(D:D, ROW())))</f>
        <v/>
      </c>
      <c r="F2459" s="1" t="inlineStr">
        <is>
          <t>Math, String, Enumeration</t>
        </is>
      </c>
      <c r="G2459" s="1" t="inlineStr">
        <is>
          <t>Hard</t>
        </is>
      </c>
      <c r="H2459" s="1" t="n">
        <v>28760</v>
      </c>
      <c r="I2459" s="1" t="n">
        <v>71976</v>
      </c>
      <c r="J2459" s="9" t="n">
        <v>0.4</v>
      </c>
      <c r="K2459" s="1" t="inlineStr">
        <is>
          <t>Yes</t>
        </is>
      </c>
      <c r="L2459" s="1" t="inlineStr">
        <is>
          <t>Yes</t>
        </is>
      </c>
      <c r="M2459" s="1" t="inlineStr">
        <is>
          <t>No</t>
        </is>
      </c>
      <c r="N2459" s="1" t="inlineStr">
        <is>
          <t>Algorithms</t>
        </is>
      </c>
      <c r="O24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59" s="11" t="inlineStr">
        <is>
          <t>To Do</t>
        </is>
      </c>
    </row>
    <row r="2460" ht="15.75" customHeight="1" s="12">
      <c r="A2460" s="1" t="n">
        <v>3459</v>
      </c>
      <c r="B2460" s="3">
        <f>HYPERLINK("https://leetcode.com/problems/length-of-longest-v-shaped-diagonal-segment/", "Length of Longest V-Shaped Diagonal Segment")</f>
        <v/>
      </c>
      <c r="C2460" s="1" t="n">
        <v>376</v>
      </c>
      <c r="D2460" s="1" t="n">
        <v>66</v>
      </c>
      <c r="E2460" s="4">
        <f>IF(INDEX(C:C, ROW())+INDEX(D:D, ROW())=0, 0, INDEX(C:C, ROW())/(INDEX(C:C, ROW())+INDEX(D:D, ROW())))</f>
        <v/>
      </c>
      <c r="F2460" s="1" t="inlineStr">
        <is>
          <t>Array, Dynamic Programming, Memoization, Matrix</t>
        </is>
      </c>
      <c r="G2460" s="1" t="inlineStr">
        <is>
          <t>Hard</t>
        </is>
      </c>
      <c r="H2460" s="1" t="n">
        <v>73986</v>
      </c>
      <c r="I2460" s="1" t="n">
        <v>131627</v>
      </c>
      <c r="J2460" s="9" t="n">
        <v>0.5620000000000001</v>
      </c>
      <c r="K2460" s="1" t="inlineStr">
        <is>
          <t>Yes</t>
        </is>
      </c>
      <c r="L2460" s="1" t="inlineStr">
        <is>
          <t>Yes</t>
        </is>
      </c>
      <c r="M2460" s="1" t="inlineStr">
        <is>
          <t>No</t>
        </is>
      </c>
      <c r="N2460" s="1" t="inlineStr">
        <is>
          <t>Algorithms</t>
        </is>
      </c>
      <c r="O24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60" s="11" t="inlineStr">
        <is>
          <t>To Do</t>
        </is>
      </c>
    </row>
    <row r="2461" ht="15.75" customHeight="1" s="12">
      <c r="A2461" s="1" t="n">
        <v>2595</v>
      </c>
      <c r="B2461" s="3">
        <f>HYPERLINK("https://leetcode.com/problems/number-of-even-and-odd-bits/", "Number of Even and Odd Bits")</f>
        <v/>
      </c>
      <c r="C2461" s="1" t="n">
        <v>375</v>
      </c>
      <c r="D2461" s="1" t="n">
        <v>118</v>
      </c>
      <c r="E2461" s="4">
        <f>IF(INDEX(C:C, ROW())+INDEX(D:D, ROW())=0, 0, INDEX(C:C, ROW())/(INDEX(C:C, ROW())+INDEX(D:D, ROW())))</f>
        <v/>
      </c>
      <c r="F2461" s="1" t="inlineStr">
        <is>
          <t>Bit Manipulation</t>
        </is>
      </c>
      <c r="G2461" s="1" t="inlineStr">
        <is>
          <t>Easy</t>
        </is>
      </c>
      <c r="H2461" s="1" t="n">
        <v>70457</v>
      </c>
      <c r="I2461" s="1" t="n">
        <v>95925</v>
      </c>
      <c r="J2461" s="9" t="n">
        <v>0.735</v>
      </c>
      <c r="K2461" s="1" t="inlineStr">
        <is>
          <t>Yes</t>
        </is>
      </c>
      <c r="L2461" s="1" t="inlineStr">
        <is>
          <t>No</t>
        </is>
      </c>
      <c r="M2461" s="1" t="inlineStr">
        <is>
          <t>No</t>
        </is>
      </c>
      <c r="N2461" s="1" t="inlineStr">
        <is>
          <t>Algorithms</t>
        </is>
      </c>
      <c r="O24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61" s="13" t="inlineStr">
        <is>
          <t>Done</t>
        </is>
      </c>
    </row>
    <row r="2462" ht="15.75" customHeight="1" s="12">
      <c r="A2462" s="1" t="n">
        <v>3562</v>
      </c>
      <c r="B2462" s="3">
        <f>HYPERLINK("https://leetcode.com/problems/maximum-profit-from-trading-stocks-with-discounts/", "Maximum Profit from Trading Stocks with Discounts")</f>
        <v/>
      </c>
      <c r="C2462" s="1" t="n">
        <v>375</v>
      </c>
      <c r="D2462" s="1" t="n">
        <v>54</v>
      </c>
      <c r="E2462" s="4">
        <f>IF(INDEX(C:C, ROW())+INDEX(D:D, ROW())=0, 0, INDEX(C:C, ROW())/(INDEX(C:C, ROW())+INDEX(D:D, ROW())))</f>
        <v/>
      </c>
      <c r="F2462" s="1" t="inlineStr">
        <is>
          <t>Array, Dynamic Programming, Tree, Depth-First Search</t>
        </is>
      </c>
      <c r="G2462" s="1" t="inlineStr">
        <is>
          <t>Hard</t>
        </is>
      </c>
      <c r="H2462" s="1" t="n">
        <v>50595</v>
      </c>
      <c r="I2462" s="1" t="n">
        <v>89332</v>
      </c>
      <c r="J2462" s="9" t="n">
        <v>0.5659999999999999</v>
      </c>
      <c r="K2462" s="1" t="inlineStr">
        <is>
          <t>Yes</t>
        </is>
      </c>
      <c r="L2462" s="1" t="inlineStr">
        <is>
          <t>Yes</t>
        </is>
      </c>
      <c r="M2462" s="1" t="inlineStr">
        <is>
          <t>No</t>
        </is>
      </c>
      <c r="N2462" s="1" t="inlineStr">
        <is>
          <t>Algorithms</t>
        </is>
      </c>
      <c r="O24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62" s="11" t="inlineStr">
        <is>
          <t>To Do</t>
        </is>
      </c>
    </row>
    <row r="2463" ht="15.75" customHeight="1" s="12">
      <c r="A2463" s="1" t="n">
        <v>782</v>
      </c>
      <c r="B2463" s="3">
        <f>HYPERLINK("https://leetcode.com/problems/transform-to-chessboard/", "Transform to Chessboard")</f>
        <v/>
      </c>
      <c r="C2463" s="1" t="n">
        <v>374</v>
      </c>
      <c r="D2463" s="1" t="n">
        <v>313</v>
      </c>
      <c r="E2463" s="4">
        <f>IF(INDEX(C:C, ROW())+INDEX(D:D, ROW())=0, 0, INDEX(C:C, ROW())/(INDEX(C:C, ROW())+INDEX(D:D, ROW())))</f>
        <v/>
      </c>
      <c r="F2463" s="1" t="inlineStr">
        <is>
          <t>Array, Math, Bit Manipulation, Matrix</t>
        </is>
      </c>
      <c r="G2463" s="1" t="inlineStr">
        <is>
          <t>Hard</t>
        </is>
      </c>
      <c r="H2463" s="1" t="n">
        <v>21892</v>
      </c>
      <c r="I2463" s="1" t="n">
        <v>42663</v>
      </c>
      <c r="J2463" s="9" t="n">
        <v>0.513</v>
      </c>
      <c r="K2463" s="1" t="inlineStr">
        <is>
          <t>Yes</t>
        </is>
      </c>
      <c r="L2463" s="1" t="inlineStr">
        <is>
          <t>Yes</t>
        </is>
      </c>
      <c r="M2463" s="1" t="inlineStr">
        <is>
          <t>No</t>
        </is>
      </c>
      <c r="N2463" s="1" t="inlineStr">
        <is>
          <t>Algorithms</t>
        </is>
      </c>
      <c r="O24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63" s="11" t="inlineStr">
        <is>
          <t>To Do</t>
        </is>
      </c>
    </row>
    <row r="2464" ht="15.75" customHeight="1" s="12">
      <c r="A2464" s="1" t="n">
        <v>1258</v>
      </c>
      <c r="B2464" s="3">
        <f>HYPERLINK("https://leetcode.com/problems/synonymous-sentences/", "Synonymous Sentences")</f>
        <v/>
      </c>
      <c r="C2464" s="1" t="n">
        <v>374</v>
      </c>
      <c r="D2464" s="1" t="n">
        <v>171</v>
      </c>
      <c r="E2464" s="4">
        <f>IF(INDEX(C:C, ROW())+INDEX(D:D, ROW())=0, 0, INDEX(C:C, ROW())/(INDEX(C:C, ROW())+INDEX(D:D, ROW())))</f>
        <v/>
      </c>
      <c r="F2464" s="1" t="inlineStr">
        <is>
          <t>Array, Hash Table, String, Backtracking, Sort, Union-Find</t>
        </is>
      </c>
      <c r="G2464" s="1" t="inlineStr">
        <is>
          <t>Medium</t>
        </is>
      </c>
      <c r="H2464" s="1" t="n">
        <v>29721</v>
      </c>
      <c r="I2464" s="1" t="n">
        <v>51899</v>
      </c>
      <c r="J2464" s="9" t="n">
        <v>0.573</v>
      </c>
      <c r="K2464" s="1" t="inlineStr">
        <is>
          <t>No</t>
        </is>
      </c>
      <c r="L2464" s="1" t="inlineStr">
        <is>
          <t>No</t>
        </is>
      </c>
      <c r="M2464" s="1" t="inlineStr">
        <is>
          <t>No</t>
        </is>
      </c>
      <c r="N2464" s="1" t="inlineStr">
        <is>
          <t>Algorithms</t>
        </is>
      </c>
      <c r="O24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64" s="11" t="inlineStr">
        <is>
          <t>To Do</t>
        </is>
      </c>
    </row>
    <row r="2465" ht="15.75" customHeight="1" s="12">
      <c r="A2465" s="1" t="n">
        <v>3373</v>
      </c>
      <c r="B2465" s="3">
        <f>HYPERLINK("https://leetcode.com/problems/maximize-the-number-of-target-nodes-after-connecting-trees-ii/", "Maximize the Number of Target Nodes After Connecting Trees II")</f>
        <v/>
      </c>
      <c r="C2465" s="1" t="n">
        <v>374</v>
      </c>
      <c r="D2465" s="1" t="n">
        <v>44</v>
      </c>
      <c r="E2465" s="4">
        <f>IF(INDEX(C:C, ROW())+INDEX(D:D, ROW())=0, 0, INDEX(C:C, ROW())/(INDEX(C:C, ROW())+INDEX(D:D, ROW())))</f>
        <v/>
      </c>
      <c r="F2465" s="1" t="inlineStr">
        <is>
          <t>Tree, Depth-First Search, Breadth-First Search</t>
        </is>
      </c>
      <c r="G2465" s="1" t="inlineStr">
        <is>
          <t>Hard</t>
        </is>
      </c>
      <c r="H2465" s="1" t="n">
        <v>70063</v>
      </c>
      <c r="I2465" s="1" t="n">
        <v>95879</v>
      </c>
      <c r="J2465" s="9" t="n">
        <v>0.731</v>
      </c>
      <c r="K2465" s="1" t="inlineStr">
        <is>
          <t>Yes</t>
        </is>
      </c>
      <c r="L2465" s="1" t="inlineStr">
        <is>
          <t>Yes</t>
        </is>
      </c>
      <c r="M2465" s="1" t="inlineStr">
        <is>
          <t>No</t>
        </is>
      </c>
      <c r="N2465" s="1" t="inlineStr">
        <is>
          <t>Algorithms</t>
        </is>
      </c>
      <c r="O24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65" s="11" t="inlineStr">
        <is>
          <t>To Do</t>
        </is>
      </c>
    </row>
    <row r="2466" ht="15.75" customHeight="1" s="12">
      <c r="A2466" s="1" t="n">
        <v>2670</v>
      </c>
      <c r="B2466" s="3">
        <f>HYPERLINK("https://leetcode.com/problems/find-the-distinct-difference-array/", "Find the Distinct Difference Array")</f>
        <v/>
      </c>
      <c r="C2466" s="1" t="n">
        <v>373</v>
      </c>
      <c r="D2466" s="1" t="n">
        <v>38</v>
      </c>
      <c r="E2466" s="4">
        <f>IF(INDEX(C:C, ROW())+INDEX(D:D, ROW())=0, 0, INDEX(C:C, ROW())/(INDEX(C:C, ROW())+INDEX(D:D, ROW())))</f>
        <v/>
      </c>
      <c r="F2466" s="1" t="inlineStr">
        <is>
          <t>Array, Hash Table</t>
        </is>
      </c>
      <c r="G2466" s="1" t="inlineStr">
        <is>
          <t>Easy</t>
        </is>
      </c>
      <c r="H2466" s="1" t="n">
        <v>52463</v>
      </c>
      <c r="I2466" s="1" t="n">
        <v>67922</v>
      </c>
      <c r="J2466" s="9" t="n">
        <v>0.772</v>
      </c>
      <c r="K2466" s="1" t="inlineStr">
        <is>
          <t>Yes</t>
        </is>
      </c>
      <c r="L2466" s="1" t="inlineStr">
        <is>
          <t>No</t>
        </is>
      </c>
      <c r="M2466" s="1" t="inlineStr">
        <is>
          <t>No</t>
        </is>
      </c>
      <c r="N2466" s="1" t="inlineStr">
        <is>
          <t>Algorithms</t>
        </is>
      </c>
      <c r="O24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66" s="13" t="inlineStr">
        <is>
          <t>Done</t>
        </is>
      </c>
    </row>
    <row r="2467" ht="15.75" customHeight="1" s="12">
      <c r="A2467" s="1" t="n">
        <v>2800</v>
      </c>
      <c r="B2467" s="3">
        <f>HYPERLINK("https://leetcode.com/problems/shortest-string-that-contains-three-strings/", "Shortest String That Contains Three Strings")</f>
        <v/>
      </c>
      <c r="C2467" s="1" t="n">
        <v>373</v>
      </c>
      <c r="D2467" s="1" t="n">
        <v>296</v>
      </c>
      <c r="E2467" s="4">
        <f>IF(INDEX(C:C, ROW())+INDEX(D:D, ROW())=0, 0, INDEX(C:C, ROW())/(INDEX(C:C, ROW())+INDEX(D:D, ROW())))</f>
        <v/>
      </c>
      <c r="F2467" s="1" t="inlineStr">
        <is>
          <t>String, Greedy, Enumeration</t>
        </is>
      </c>
      <c r="G2467" s="1" t="inlineStr">
        <is>
          <t>Medium</t>
        </is>
      </c>
      <c r="H2467" s="1" t="n">
        <v>19586</v>
      </c>
      <c r="I2467" s="1" t="n">
        <v>61787</v>
      </c>
      <c r="J2467" s="9" t="n">
        <v>0.317</v>
      </c>
      <c r="K2467" s="1" t="inlineStr">
        <is>
          <t>Yes</t>
        </is>
      </c>
      <c r="L2467" s="1" t="inlineStr">
        <is>
          <t>No</t>
        </is>
      </c>
      <c r="M2467" s="1" t="inlineStr">
        <is>
          <t>No</t>
        </is>
      </c>
      <c r="N2467" s="1" t="inlineStr">
        <is>
          <t>Algorithms</t>
        </is>
      </c>
      <c r="O24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67" s="11" t="inlineStr">
        <is>
          <t>To Do</t>
        </is>
      </c>
    </row>
    <row r="2468" ht="15.75" customHeight="1" s="12">
      <c r="A2468" s="1" t="n">
        <v>2828</v>
      </c>
      <c r="B2468" s="3">
        <f>HYPERLINK("https://leetcode.com/problems/check-if-a-string-is-an-acronym-of-words/", "Check if a String Is an Acronym of Words")</f>
        <v/>
      </c>
      <c r="C2468" s="1" t="n">
        <v>373</v>
      </c>
      <c r="D2468" s="1" t="n">
        <v>13</v>
      </c>
      <c r="E2468" s="4">
        <f>IF(INDEX(C:C, ROW())+INDEX(D:D, ROW())=0, 0, INDEX(C:C, ROW())/(INDEX(C:C, ROW())+INDEX(D:D, ROW())))</f>
        <v/>
      </c>
      <c r="F2468" s="1" t="inlineStr">
        <is>
          <t>Array, String</t>
        </is>
      </c>
      <c r="G2468" s="1" t="inlineStr">
        <is>
          <t>Easy</t>
        </is>
      </c>
      <c r="H2468" s="1" t="n">
        <v>129529</v>
      </c>
      <c r="I2468" s="1" t="n">
        <v>156077</v>
      </c>
      <c r="J2468" s="9" t="n">
        <v>0.83</v>
      </c>
      <c r="K2468" s="1" t="inlineStr">
        <is>
          <t>Yes</t>
        </is>
      </c>
      <c r="L2468" s="1" t="inlineStr">
        <is>
          <t>No</t>
        </is>
      </c>
      <c r="M2468" s="1" t="inlineStr">
        <is>
          <t>No</t>
        </is>
      </c>
      <c r="N2468" s="1" t="inlineStr">
        <is>
          <t>Algorithms</t>
        </is>
      </c>
      <c r="O24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68" s="13" t="inlineStr">
        <is>
          <t>Done</t>
        </is>
      </c>
    </row>
    <row r="2469" ht="15.75" customHeight="1" s="12">
      <c r="A2469" s="1" t="n">
        <v>3370</v>
      </c>
      <c r="B2469" s="3">
        <f>HYPERLINK("https://leetcode.com/problems/smallest-number-with-all-set-bits/", "Smallest Number With All Set Bits")</f>
        <v/>
      </c>
      <c r="C2469" s="1" t="n">
        <v>373</v>
      </c>
      <c r="D2469" s="1" t="n">
        <v>15</v>
      </c>
      <c r="E2469" s="4">
        <f>IF(INDEX(C:C, ROW())+INDEX(D:D, ROW())=0, 0, INDEX(C:C, ROW())/(INDEX(C:C, ROW())+INDEX(D:D, ROW())))</f>
        <v/>
      </c>
      <c r="F2469" s="1" t="inlineStr">
        <is>
          <t>Math, Bit Manipulation</t>
        </is>
      </c>
      <c r="G2469" s="1" t="inlineStr">
        <is>
          <t>Easy</t>
        </is>
      </c>
      <c r="H2469" s="1" t="n">
        <v>174783</v>
      </c>
      <c r="I2469" s="1" t="n">
        <v>217606</v>
      </c>
      <c r="J2469" s="9" t="n">
        <v>0.803</v>
      </c>
      <c r="K2469" s="1" t="inlineStr">
        <is>
          <t>Yes</t>
        </is>
      </c>
      <c r="L2469" s="1" t="inlineStr">
        <is>
          <t>Yes</t>
        </is>
      </c>
      <c r="M2469" s="1" t="inlineStr">
        <is>
          <t>No</t>
        </is>
      </c>
      <c r="N2469" s="1" t="inlineStr">
        <is>
          <t>Algorithms</t>
        </is>
      </c>
      <c r="O24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69" s="13" t="inlineStr">
        <is>
          <t>Done</t>
        </is>
      </c>
    </row>
    <row r="2470" ht="15.75" customHeight="1" s="12">
      <c r="A2470" s="1" t="n">
        <v>3600</v>
      </c>
      <c r="B2470" s="3">
        <f>HYPERLINK("https://leetcode.com/problems/maximize-spanning-tree-stability-with-upgrades/", "Maximize Spanning Tree Stability with Upgrades")</f>
        <v/>
      </c>
      <c r="C2470" s="1" t="n">
        <v>373</v>
      </c>
      <c r="D2470" s="1" t="n">
        <v>18</v>
      </c>
      <c r="E2470" s="4">
        <f>IF(INDEX(C:C, ROW())+INDEX(D:D, ROW())=0, 0, INDEX(C:C, ROW())/(INDEX(C:C, ROW())+INDEX(D:D, ROW())))</f>
        <v/>
      </c>
      <c r="F2470" s="1" t="inlineStr">
        <is>
          <t>Binary Search, Greedy, Union-Find, Graph Theory, Minimum Spanning Tree</t>
        </is>
      </c>
      <c r="G2470" s="1" t="inlineStr">
        <is>
          <t>Hard</t>
        </is>
      </c>
      <c r="H2470" s="1" t="n">
        <v>69698</v>
      </c>
      <c r="I2470" s="1" t="n">
        <v>105063</v>
      </c>
      <c r="J2470" s="9" t="n">
        <v>0.663</v>
      </c>
      <c r="K2470" s="1" t="inlineStr">
        <is>
          <t>Yes</t>
        </is>
      </c>
      <c r="L2470" s="1" t="inlineStr">
        <is>
          <t>Yes</t>
        </is>
      </c>
      <c r="M2470" s="1" t="inlineStr">
        <is>
          <t>No</t>
        </is>
      </c>
      <c r="N2470" s="1" t="inlineStr">
        <is>
          <t>Algorithms</t>
        </is>
      </c>
      <c r="O24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70" s="11" t="inlineStr">
        <is>
          <t>To Do</t>
        </is>
      </c>
    </row>
    <row r="2471" ht="15.75" customHeight="1" s="12">
      <c r="A2471" s="1" t="n">
        <v>2478</v>
      </c>
      <c r="B2471" s="3">
        <f>HYPERLINK("https://leetcode.com/problems/number-of-beautiful-partitions/", "Number of Beautiful Partitions")</f>
        <v/>
      </c>
      <c r="C2471" s="1" t="n">
        <v>372</v>
      </c>
      <c r="D2471" s="1" t="n">
        <v>18</v>
      </c>
      <c r="E2471" s="4">
        <f>IF(INDEX(C:C, ROW())+INDEX(D:D, ROW())=0, 0, INDEX(C:C, ROW())/(INDEX(C:C, ROW())+INDEX(D:D, ROW())))</f>
        <v/>
      </c>
      <c r="F2471" s="1" t="inlineStr">
        <is>
          <t>String, Dynamic Programming, Prefix Sum</t>
        </is>
      </c>
      <c r="G2471" s="1" t="inlineStr">
        <is>
          <t>Hard</t>
        </is>
      </c>
      <c r="H2471" s="1" t="n">
        <v>13429</v>
      </c>
      <c r="I2471" s="1" t="n">
        <v>40704</v>
      </c>
      <c r="J2471" s="9" t="n">
        <v>0.33</v>
      </c>
      <c r="K2471" s="1" t="inlineStr">
        <is>
          <t>Yes</t>
        </is>
      </c>
      <c r="L2471" s="1" t="inlineStr">
        <is>
          <t>No</t>
        </is>
      </c>
      <c r="M2471" s="1" t="inlineStr">
        <is>
          <t>No</t>
        </is>
      </c>
      <c r="N2471" s="1" t="inlineStr">
        <is>
          <t>Algorithms</t>
        </is>
      </c>
      <c r="O24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71" s="11" t="inlineStr">
        <is>
          <t>To Do</t>
        </is>
      </c>
    </row>
    <row r="2472" ht="15.75" customHeight="1" s="12">
      <c r="A2472" s="1" t="n">
        <v>2631</v>
      </c>
      <c r="B2472" s="3">
        <f>HYPERLINK("https://leetcode.com/problems/group-by/", "Group By")</f>
        <v/>
      </c>
      <c r="C2472" s="1" t="n">
        <v>372</v>
      </c>
      <c r="D2472" s="1" t="n">
        <v>23</v>
      </c>
      <c r="E2472" s="4">
        <f>IF(INDEX(C:C, ROW())+INDEX(D:D, ROW())=0, 0, INDEX(C:C, ROW())/(INDEX(C:C, ROW())+INDEX(D:D, ROW())))</f>
        <v/>
      </c>
      <c r="F2472" s="2" t="n"/>
      <c r="G2472" s="1" t="inlineStr">
        <is>
          <t>Medium</t>
        </is>
      </c>
      <c r="H2472" s="1" t="n">
        <v>79416</v>
      </c>
      <c r="I2472" s="1" t="n">
        <v>97493</v>
      </c>
      <c r="J2472" s="9" t="n">
        <v>0.8149999999999999</v>
      </c>
      <c r="K2472" s="1" t="inlineStr">
        <is>
          <t>Yes</t>
        </is>
      </c>
      <c r="L2472" s="1" t="inlineStr">
        <is>
          <t>Yes</t>
        </is>
      </c>
      <c r="M2472" s="1" t="inlineStr">
        <is>
          <t>No</t>
        </is>
      </c>
      <c r="N2472" s="1" t="inlineStr">
        <is>
          <t>JavaScript</t>
        </is>
      </c>
      <c r="O24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72" s="11" t="inlineStr">
        <is>
          <t>To Do</t>
        </is>
      </c>
    </row>
    <row r="2473" ht="15.75" customHeight="1" s="12">
      <c r="A2473" s="1" t="n">
        <v>2865</v>
      </c>
      <c r="B2473" s="3">
        <f>HYPERLINK("https://leetcode.com/problems/beautiful-towers-i/", "Beautiful Towers I")</f>
        <v/>
      </c>
      <c r="C2473" s="1" t="n">
        <v>372</v>
      </c>
      <c r="D2473" s="1" t="n">
        <v>60</v>
      </c>
      <c r="E2473" s="4">
        <f>IF(INDEX(C:C, ROW())+INDEX(D:D, ROW())=0, 0, INDEX(C:C, ROW())/(INDEX(C:C, ROW())+INDEX(D:D, ROW())))</f>
        <v/>
      </c>
      <c r="F2473" s="1" t="inlineStr">
        <is>
          <t>Array, Stack, Monotonic Stack</t>
        </is>
      </c>
      <c r="G2473" s="1" t="inlineStr">
        <is>
          <t>Medium</t>
        </is>
      </c>
      <c r="H2473" s="1" t="n">
        <v>34303</v>
      </c>
      <c r="I2473" s="1" t="n">
        <v>77100</v>
      </c>
      <c r="J2473" s="9" t="n">
        <v>0.445</v>
      </c>
      <c r="K2473" s="1" t="inlineStr">
        <is>
          <t>Yes</t>
        </is>
      </c>
      <c r="L2473" s="1" t="inlineStr">
        <is>
          <t>No</t>
        </is>
      </c>
      <c r="M2473" s="1" t="inlineStr">
        <is>
          <t>No</t>
        </is>
      </c>
      <c r="N2473" s="1" t="inlineStr">
        <is>
          <t>Algorithms</t>
        </is>
      </c>
      <c r="O24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73" s="11" t="inlineStr">
        <is>
          <t>To Do</t>
        </is>
      </c>
    </row>
    <row r="2474" ht="15.75" customHeight="1" s="12">
      <c r="A2474" s="1" t="n">
        <v>2640</v>
      </c>
      <c r="B2474" s="3">
        <f>HYPERLINK("https://leetcode.com/problems/find-the-score-of-all-prefixes-of-an-array/", "Find the Score of All Prefixes of an Array")</f>
        <v/>
      </c>
      <c r="C2474" s="1" t="n">
        <v>371</v>
      </c>
      <c r="D2474" s="1" t="n">
        <v>49</v>
      </c>
      <c r="E2474" s="4">
        <f>IF(INDEX(C:C, ROW())+INDEX(D:D, ROW())=0, 0, INDEX(C:C, ROW())/(INDEX(C:C, ROW())+INDEX(D:D, ROW())))</f>
        <v/>
      </c>
      <c r="F2474" s="1" t="inlineStr">
        <is>
          <t>Array, Prefix Sum</t>
        </is>
      </c>
      <c r="G2474" s="1" t="inlineStr">
        <is>
          <t>Medium</t>
        </is>
      </c>
      <c r="H2474" s="1" t="n">
        <v>45354</v>
      </c>
      <c r="I2474" s="1" t="n">
        <v>62202</v>
      </c>
      <c r="J2474" s="9" t="n">
        <v>0.729</v>
      </c>
      <c r="K2474" s="1" t="inlineStr">
        <is>
          <t>Yes</t>
        </is>
      </c>
      <c r="L2474" s="1" t="inlineStr">
        <is>
          <t>No</t>
        </is>
      </c>
      <c r="M2474" s="1" t="inlineStr">
        <is>
          <t>No</t>
        </is>
      </c>
      <c r="N2474" s="1" t="inlineStr">
        <is>
          <t>Algorithms</t>
        </is>
      </c>
      <c r="O24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74" s="11" t="inlineStr">
        <is>
          <t>To Do</t>
        </is>
      </c>
    </row>
    <row r="2475" ht="15.75" customHeight="1" s="12">
      <c r="A2475" s="1" t="n">
        <v>2591</v>
      </c>
      <c r="B2475" s="3">
        <f>HYPERLINK("https://leetcode.com/problems/distribute-money-to-maximum-children/", "Distribute Money to Maximum Children")</f>
        <v/>
      </c>
      <c r="C2475" s="1" t="n">
        <v>370</v>
      </c>
      <c r="D2475" s="1" t="n">
        <v>927</v>
      </c>
      <c r="E2475" s="4">
        <f>IF(INDEX(C:C, ROW())+INDEX(D:D, ROW())=0, 0, INDEX(C:C, ROW())/(INDEX(C:C, ROW())+INDEX(D:D, ROW())))</f>
        <v/>
      </c>
      <c r="F2475" s="1" t="inlineStr">
        <is>
          <t>Math, Greedy</t>
        </is>
      </c>
      <c r="G2475" s="1" t="inlineStr">
        <is>
          <t>Easy</t>
        </is>
      </c>
      <c r="H2475" s="1" t="n">
        <v>49222</v>
      </c>
      <c r="I2475" s="1" t="n">
        <v>239256</v>
      </c>
      <c r="J2475" s="9" t="n">
        <v>0.206</v>
      </c>
      <c r="K2475" s="1" t="inlineStr">
        <is>
          <t>Yes</t>
        </is>
      </c>
      <c r="L2475" s="1" t="inlineStr">
        <is>
          <t>No</t>
        </is>
      </c>
      <c r="M2475" s="1" t="inlineStr">
        <is>
          <t>No</t>
        </is>
      </c>
      <c r="N2475" s="1" t="inlineStr">
        <is>
          <t>Algorithms</t>
        </is>
      </c>
      <c r="O24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75" s="13" t="inlineStr">
        <is>
          <t>Done</t>
        </is>
      </c>
    </row>
    <row r="2476" ht="15.75" customHeight="1" s="12">
      <c r="A2476" s="1" t="n">
        <v>379</v>
      </c>
      <c r="B2476" s="3">
        <f>HYPERLINK("https://leetcode.com/problems/design-phone-directory/", "Design Phone Directory")</f>
        <v/>
      </c>
      <c r="C2476" s="1" t="n">
        <v>369</v>
      </c>
      <c r="D2476" s="1" t="n">
        <v>486</v>
      </c>
      <c r="E2476" s="4">
        <f>IF(INDEX(C:C, ROW())+INDEX(D:D, ROW())=0, 0, INDEX(C:C, ROW())/(INDEX(C:C, ROW())+INDEX(D:D, ROW())))</f>
        <v/>
      </c>
      <c r="F2476" s="1" t="inlineStr">
        <is>
          <t>Array, Hash Table, Linked List, Design, Queue</t>
        </is>
      </c>
      <c r="G2476" s="1" t="inlineStr">
        <is>
          <t>Medium</t>
        </is>
      </c>
      <c r="H2476" s="1" t="n">
        <v>76911</v>
      </c>
      <c r="I2476" s="1" t="n">
        <v>144635</v>
      </c>
      <c r="J2476" s="9" t="n">
        <v>0.532</v>
      </c>
      <c r="K2476" s="1" t="inlineStr">
        <is>
          <t>No</t>
        </is>
      </c>
      <c r="L2476" s="1" t="inlineStr">
        <is>
          <t>Yes</t>
        </is>
      </c>
      <c r="M2476" s="1" t="inlineStr">
        <is>
          <t>No</t>
        </is>
      </c>
      <c r="N2476" s="1" t="inlineStr">
        <is>
          <t>Algorithms</t>
        </is>
      </c>
      <c r="O24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76" s="11" t="inlineStr">
        <is>
          <t>To Do</t>
        </is>
      </c>
    </row>
    <row r="2477" ht="15.75" customHeight="1" s="12">
      <c r="A2477" s="1" t="n">
        <v>2502</v>
      </c>
      <c r="B2477" s="3">
        <f>HYPERLINK("https://leetcode.com/problems/design-memory-allocator/", "Design Memory Allocator")</f>
        <v/>
      </c>
      <c r="C2477" s="1" t="n">
        <v>369</v>
      </c>
      <c r="D2477" s="1" t="n">
        <v>101</v>
      </c>
      <c r="E2477" s="4">
        <f>IF(INDEX(C:C, ROW())+INDEX(D:D, ROW())=0, 0, INDEX(C:C, ROW())/(INDEX(C:C, ROW())+INDEX(D:D, ROW())))</f>
        <v/>
      </c>
      <c r="F2477" s="1" t="inlineStr">
        <is>
          <t>Array, Hash Table, Design, Simulation</t>
        </is>
      </c>
      <c r="G2477" s="1" t="inlineStr">
        <is>
          <t>Medium</t>
        </is>
      </c>
      <c r="H2477" s="1" t="n">
        <v>47591</v>
      </c>
      <c r="I2477" s="1" t="n">
        <v>95147</v>
      </c>
      <c r="J2477" s="9" t="n">
        <v>0.5</v>
      </c>
      <c r="K2477" s="1" t="inlineStr">
        <is>
          <t>Yes</t>
        </is>
      </c>
      <c r="L2477" s="1" t="inlineStr">
        <is>
          <t>No</t>
        </is>
      </c>
      <c r="M2477" s="1" t="inlineStr">
        <is>
          <t>No</t>
        </is>
      </c>
      <c r="N2477" s="1" t="inlineStr">
        <is>
          <t>Algorithms</t>
        </is>
      </c>
      <c r="O24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77" s="11" t="inlineStr">
        <is>
          <t>To Do</t>
        </is>
      </c>
    </row>
    <row r="2478" ht="15.75" customHeight="1" s="12">
      <c r="A2478" s="1" t="n">
        <v>1119</v>
      </c>
      <c r="B2478" s="3">
        <f>HYPERLINK("https://leetcode.com/problems/remove-vowels-from-a-string/", "Remove Vowels from a String")</f>
        <v/>
      </c>
      <c r="C2478" s="1" t="n">
        <v>368</v>
      </c>
      <c r="D2478" s="1" t="n">
        <v>116</v>
      </c>
      <c r="E2478" s="4">
        <f>IF(INDEX(C:C, ROW())+INDEX(D:D, ROW())=0, 0, INDEX(C:C, ROW())/(INDEX(C:C, ROW())+INDEX(D:D, ROW())))</f>
        <v/>
      </c>
      <c r="F2478" s="1" t="inlineStr">
        <is>
          <t>String</t>
        </is>
      </c>
      <c r="G2478" s="1" t="inlineStr">
        <is>
          <t>Easy</t>
        </is>
      </c>
      <c r="H2478" s="1" t="n">
        <v>118102</v>
      </c>
      <c r="I2478" s="1" t="n">
        <v>129367</v>
      </c>
      <c r="J2478" s="9" t="n">
        <v>0.913</v>
      </c>
      <c r="K2478" s="1" t="inlineStr">
        <is>
          <t>No</t>
        </is>
      </c>
      <c r="L2478" s="1" t="inlineStr">
        <is>
          <t>Yes</t>
        </is>
      </c>
      <c r="M2478" s="1" t="inlineStr">
        <is>
          <t>No</t>
        </is>
      </c>
      <c r="N2478" s="1" t="inlineStr">
        <is>
          <t>Algorithms</t>
        </is>
      </c>
      <c r="O24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78" s="11" t="inlineStr">
        <is>
          <t>To Do</t>
        </is>
      </c>
    </row>
    <row r="2479" ht="15.75" customHeight="1" s="12">
      <c r="A2479" s="1" t="n">
        <v>2508</v>
      </c>
      <c r="B2479" s="3">
        <f>HYPERLINK("https://leetcode.com/problems/add-edges-to-make-degrees-of-all-nodes-even/", "Add Edges to Make Degrees of All Nodes Even")</f>
        <v/>
      </c>
      <c r="C2479" s="1" t="n">
        <v>367</v>
      </c>
      <c r="D2479" s="1" t="n">
        <v>63</v>
      </c>
      <c r="E2479" s="4">
        <f>IF(INDEX(C:C, ROW())+INDEX(D:D, ROW())=0, 0, INDEX(C:C, ROW())/(INDEX(C:C, ROW())+INDEX(D:D, ROW())))</f>
        <v/>
      </c>
      <c r="F2479" s="1" t="inlineStr">
        <is>
          <t>Hash Table, Graph Theory</t>
        </is>
      </c>
      <c r="G2479" s="1" t="inlineStr">
        <is>
          <t>Hard</t>
        </is>
      </c>
      <c r="H2479" s="1" t="n">
        <v>23331</v>
      </c>
      <c r="I2479" s="1" t="n">
        <v>64722</v>
      </c>
      <c r="J2479" s="9" t="n">
        <v>0.36</v>
      </c>
      <c r="K2479" s="1" t="inlineStr">
        <is>
          <t>Yes</t>
        </is>
      </c>
      <c r="L2479" s="1" t="inlineStr">
        <is>
          <t>No</t>
        </is>
      </c>
      <c r="M2479" s="1" t="inlineStr">
        <is>
          <t>No</t>
        </is>
      </c>
      <c r="N2479" s="1" t="inlineStr">
        <is>
          <t>Algorithms</t>
        </is>
      </c>
      <c r="O24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79" s="11" t="inlineStr">
        <is>
          <t>To Do</t>
        </is>
      </c>
    </row>
    <row r="2480" ht="15.75" customHeight="1" s="12">
      <c r="A2480" s="1" t="n">
        <v>2925</v>
      </c>
      <c r="B2480" s="3">
        <f>HYPERLINK("https://leetcode.com/problems/maximum-score-after-applying-operations-on-a-tree/", "Maximum Score After Applying Operations on a Tree")</f>
        <v/>
      </c>
      <c r="C2480" s="1" t="n">
        <v>367</v>
      </c>
      <c r="D2480" s="1" t="n">
        <v>78</v>
      </c>
      <c r="E2480" s="4">
        <f>IF(INDEX(C:C, ROW())+INDEX(D:D, ROW())=0, 0, INDEX(C:C, ROW())/(INDEX(C:C, ROW())+INDEX(D:D, ROW())))</f>
        <v/>
      </c>
      <c r="F2480" s="1" t="inlineStr">
        <is>
          <t>Dynamic Programming, Tree, Depth-First Search</t>
        </is>
      </c>
      <c r="G2480" s="1" t="inlineStr">
        <is>
          <t>Medium</t>
        </is>
      </c>
      <c r="H2480" s="1" t="n">
        <v>17191</v>
      </c>
      <c r="I2480" s="1" t="n">
        <v>36413</v>
      </c>
      <c r="J2480" s="9" t="n">
        <v>0.472</v>
      </c>
      <c r="K2480" s="1" t="inlineStr">
        <is>
          <t>Yes</t>
        </is>
      </c>
      <c r="L2480" s="1" t="inlineStr">
        <is>
          <t>No</t>
        </is>
      </c>
      <c r="M2480" s="1" t="inlineStr">
        <is>
          <t>No</t>
        </is>
      </c>
      <c r="N2480" s="1" t="inlineStr">
        <is>
          <t>Algorithms</t>
        </is>
      </c>
      <c r="O24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80" s="11" t="inlineStr">
        <is>
          <t>To Do</t>
        </is>
      </c>
    </row>
    <row r="2481" ht="15.75" customHeight="1" s="12">
      <c r="A2481" s="1" t="n">
        <v>2280</v>
      </c>
      <c r="B2481" s="3">
        <f>HYPERLINK("https://leetcode.com/problems/minimum-lines-to-represent-a-line-chart/", "Minimum Lines to Represent a Line Chart")</f>
        <v/>
      </c>
      <c r="C2481" s="1" t="n">
        <v>366</v>
      </c>
      <c r="D2481" s="1" t="n">
        <v>534</v>
      </c>
      <c r="E2481" s="4">
        <f>IF(INDEX(C:C, ROW())+INDEX(D:D, ROW())=0, 0, INDEX(C:C, ROW())/(INDEX(C:C, ROW())+INDEX(D:D, ROW())))</f>
        <v/>
      </c>
      <c r="F2481" s="1" t="inlineStr">
        <is>
          <t>Array, Math, Geometry, Sorting, Number Theory</t>
        </is>
      </c>
      <c r="G2481" s="1" t="inlineStr">
        <is>
          <t>Medium</t>
        </is>
      </c>
      <c r="H2481" s="1" t="n">
        <v>32472</v>
      </c>
      <c r="I2481" s="1" t="n">
        <v>120180</v>
      </c>
      <c r="J2481" s="9" t="n">
        <v>0.27</v>
      </c>
      <c r="K2481" s="1" t="inlineStr">
        <is>
          <t>Yes</t>
        </is>
      </c>
      <c r="L2481" s="1" t="inlineStr">
        <is>
          <t>No</t>
        </is>
      </c>
      <c r="M2481" s="1" t="inlineStr">
        <is>
          <t>No</t>
        </is>
      </c>
      <c r="N2481" s="1" t="inlineStr">
        <is>
          <t>Algorithms</t>
        </is>
      </c>
      <c r="O24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81" s="11" t="inlineStr">
        <is>
          <t>To Do</t>
        </is>
      </c>
    </row>
    <row r="2482" ht="15.75" customHeight="1" s="12">
      <c r="A2482" s="1" t="n">
        <v>2512</v>
      </c>
      <c r="B2482" s="3">
        <f>HYPERLINK("https://leetcode.com/problems/reward-top-k-students/", "Reward Top K Students")</f>
        <v/>
      </c>
      <c r="C2482" s="1" t="n">
        <v>366</v>
      </c>
      <c r="D2482" s="1" t="n">
        <v>92</v>
      </c>
      <c r="E2482" s="4">
        <f>IF(INDEX(C:C, ROW())+INDEX(D:D, ROW())=0, 0, INDEX(C:C, ROW())/(INDEX(C:C, ROW())+INDEX(D:D, ROW())))</f>
        <v/>
      </c>
      <c r="F2482" s="1" t="inlineStr">
        <is>
          <t>Array, Hash Table, String, Sorting, Heap (Priority Queue)</t>
        </is>
      </c>
      <c r="G2482" s="1" t="inlineStr">
        <is>
          <t>Medium</t>
        </is>
      </c>
      <c r="H2482" s="1" t="n">
        <v>30871</v>
      </c>
      <c r="I2482" s="1" t="n">
        <v>65651</v>
      </c>
      <c r="J2482" s="9" t="n">
        <v>0.47</v>
      </c>
      <c r="K2482" s="1" t="inlineStr">
        <is>
          <t>Yes</t>
        </is>
      </c>
      <c r="L2482" s="1" t="inlineStr">
        <is>
          <t>No</t>
        </is>
      </c>
      <c r="M2482" s="1" t="inlineStr">
        <is>
          <t>No</t>
        </is>
      </c>
      <c r="N2482" s="1" t="inlineStr">
        <is>
          <t>Algorithms</t>
        </is>
      </c>
      <c r="O24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82" s="11" t="inlineStr">
        <is>
          <t>To Do</t>
        </is>
      </c>
    </row>
    <row r="2483" ht="15.75" customHeight="1" s="12">
      <c r="A2483" s="1" t="n">
        <v>3343</v>
      </c>
      <c r="B2483" s="3">
        <f>HYPERLINK("https://leetcode.com/problems/count-number-of-balanced-permutations/", "Count Number of Balanced Permutations")</f>
        <v/>
      </c>
      <c r="C2483" s="1" t="n">
        <v>365</v>
      </c>
      <c r="D2483" s="1" t="n">
        <v>79</v>
      </c>
      <c r="E2483" s="4">
        <f>IF(INDEX(C:C, ROW())+INDEX(D:D, ROW())=0, 0, INDEX(C:C, ROW())/(INDEX(C:C, ROW())+INDEX(D:D, ROW())))</f>
        <v/>
      </c>
      <c r="F2483" s="1" t="inlineStr">
        <is>
          <t>Math, String, Dynamic Programming, Combinatorics</t>
        </is>
      </c>
      <c r="G2483" s="1" t="inlineStr">
        <is>
          <t>Hard</t>
        </is>
      </c>
      <c r="H2483" s="1" t="n">
        <v>59377</v>
      </c>
      <c r="I2483" s="1" t="n">
        <v>121136</v>
      </c>
      <c r="J2483" s="9" t="n">
        <v>0.49</v>
      </c>
      <c r="K2483" s="1" t="inlineStr">
        <is>
          <t>Yes</t>
        </is>
      </c>
      <c r="L2483" s="1" t="inlineStr">
        <is>
          <t>Yes</t>
        </is>
      </c>
      <c r="M2483" s="1" t="inlineStr">
        <is>
          <t>No</t>
        </is>
      </c>
      <c r="N2483" s="1" t="inlineStr">
        <is>
          <t>Algorithms</t>
        </is>
      </c>
      <c r="O24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83" s="11" t="inlineStr">
        <is>
          <t>To Do</t>
        </is>
      </c>
    </row>
    <row r="2484" ht="15.75" customHeight="1" s="12">
      <c r="A2484" s="1" t="n">
        <v>2723</v>
      </c>
      <c r="B2484" s="3">
        <f>HYPERLINK("https://leetcode.com/problems/add-two-promises/", "Add Two Promises")</f>
        <v/>
      </c>
      <c r="C2484" s="1" t="n">
        <v>364</v>
      </c>
      <c r="D2484" s="1" t="n">
        <v>33</v>
      </c>
      <c r="E2484" s="4">
        <f>IF(INDEX(C:C, ROW())+INDEX(D:D, ROW())=0, 0, INDEX(C:C, ROW())/(INDEX(C:C, ROW())+INDEX(D:D, ROW())))</f>
        <v/>
      </c>
      <c r="F2484" s="2" t="n"/>
      <c r="G2484" s="1" t="inlineStr">
        <is>
          <t>Easy</t>
        </is>
      </c>
      <c r="H2484" s="1" t="n">
        <v>189128</v>
      </c>
      <c r="I2484" s="1" t="n">
        <v>206320</v>
      </c>
      <c r="J2484" s="9" t="n">
        <v>0.917</v>
      </c>
      <c r="K2484" s="1" t="inlineStr">
        <is>
          <t>Yes</t>
        </is>
      </c>
      <c r="L2484" s="1" t="inlineStr">
        <is>
          <t>Yes</t>
        </is>
      </c>
      <c r="M2484" s="1" t="inlineStr">
        <is>
          <t>No</t>
        </is>
      </c>
      <c r="N2484" s="1" t="inlineStr">
        <is>
          <t>JavaScript</t>
        </is>
      </c>
      <c r="O24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84" s="13" t="inlineStr">
        <is>
          <t>Done</t>
        </is>
      </c>
    </row>
    <row r="2485" ht="15.75" customHeight="1" s="12">
      <c r="A2485" s="1" t="n">
        <v>3342</v>
      </c>
      <c r="B2485" s="3">
        <f>HYPERLINK("https://leetcode.com/problems/find-minimum-time-to-reach-last-room-ii/", "Find Minimum Time to Reach Last Room II")</f>
        <v/>
      </c>
      <c r="C2485" s="1" t="n">
        <v>364</v>
      </c>
      <c r="D2485" s="1" t="n">
        <v>57</v>
      </c>
      <c r="E2485" s="4">
        <f>IF(INDEX(C:C, ROW())+INDEX(D:D, ROW())=0, 0, INDEX(C:C, ROW())/(INDEX(C:C, ROW())+INDEX(D:D, ROW())))</f>
        <v/>
      </c>
      <c r="F2485" s="1" t="inlineStr">
        <is>
          <t>Array, Graph Theory, Heap (Priority Queue), Matrix, Shortest Path</t>
        </is>
      </c>
      <c r="G2485" s="1" t="inlineStr">
        <is>
          <t>Medium</t>
        </is>
      </c>
      <c r="H2485" s="1" t="n">
        <v>96660</v>
      </c>
      <c r="I2485" s="1" t="n">
        <v>142894</v>
      </c>
      <c r="J2485" s="9" t="n">
        <v>0.676</v>
      </c>
      <c r="K2485" s="1" t="inlineStr">
        <is>
          <t>Yes</t>
        </is>
      </c>
      <c r="L2485" s="1" t="inlineStr">
        <is>
          <t>Yes</t>
        </is>
      </c>
      <c r="M2485" s="1" t="inlineStr">
        <is>
          <t>No</t>
        </is>
      </c>
      <c r="N2485" s="1" t="inlineStr">
        <is>
          <t>Algorithms</t>
        </is>
      </c>
      <c r="O24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85" s="11" t="inlineStr">
        <is>
          <t>To Do</t>
        </is>
      </c>
    </row>
    <row r="2486" ht="15.75" customHeight="1" s="12">
      <c r="A2486" s="1" t="n">
        <v>1180</v>
      </c>
      <c r="B2486" s="3">
        <f>HYPERLINK("https://leetcode.com/problems/count-substrings-with-only-one-distinct-letter/", "Count Substrings with Only One Distinct Letter")</f>
        <v/>
      </c>
      <c r="C2486" s="1" t="n">
        <v>363</v>
      </c>
      <c r="D2486" s="1" t="n">
        <v>52</v>
      </c>
      <c r="E2486" s="4">
        <f>IF(INDEX(C:C, ROW())+INDEX(D:D, ROW())=0, 0, INDEX(C:C, ROW())/(INDEX(C:C, ROW())+INDEX(D:D, ROW())))</f>
        <v/>
      </c>
      <c r="F2486" s="1" t="inlineStr">
        <is>
          <t>Math, String</t>
        </is>
      </c>
      <c r="G2486" s="1" t="inlineStr">
        <is>
          <t>Easy</t>
        </is>
      </c>
      <c r="H2486" s="1" t="n">
        <v>31399</v>
      </c>
      <c r="I2486" s="1" t="n">
        <v>38795</v>
      </c>
      <c r="J2486" s="9" t="n">
        <v>0.8090000000000001</v>
      </c>
      <c r="K2486" s="1" t="inlineStr">
        <is>
          <t>No</t>
        </is>
      </c>
      <c r="L2486" s="1" t="inlineStr">
        <is>
          <t>Yes</t>
        </is>
      </c>
      <c r="M2486" s="1" t="inlineStr">
        <is>
          <t>No</t>
        </is>
      </c>
      <c r="N2486" s="1" t="inlineStr">
        <is>
          <t>Algorithms</t>
        </is>
      </c>
      <c r="O24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86" s="11" t="inlineStr">
        <is>
          <t>To Do</t>
        </is>
      </c>
    </row>
    <row r="2487" ht="15.75" customHeight="1" s="12">
      <c r="A2487" s="1" t="n">
        <v>2876</v>
      </c>
      <c r="B2487" s="3">
        <f>HYPERLINK("https://leetcode.com/problems/count-visited-nodes-in-a-directed-graph/", "Count Visited Nodes in a Directed Graph")</f>
        <v/>
      </c>
      <c r="C2487" s="1" t="n">
        <v>363</v>
      </c>
      <c r="D2487" s="1" t="n">
        <v>7</v>
      </c>
      <c r="E2487" s="4">
        <f>IF(INDEX(C:C, ROW())+INDEX(D:D, ROW())=0, 0, INDEX(C:C, ROW())/(INDEX(C:C, ROW())+INDEX(D:D, ROW())))</f>
        <v/>
      </c>
      <c r="F2487" s="1" t="inlineStr">
        <is>
          <t>Dynamic Programming, Depth-First Search, Graph Theory, Topological Sort, Memoization</t>
        </is>
      </c>
      <c r="G2487" s="1" t="inlineStr">
        <is>
          <t>Hard</t>
        </is>
      </c>
      <c r="H2487" s="1" t="n">
        <v>14411</v>
      </c>
      <c r="I2487" s="1" t="n">
        <v>46880</v>
      </c>
      <c r="J2487" s="9" t="n">
        <v>0.307</v>
      </c>
      <c r="K2487" s="1" t="inlineStr">
        <is>
          <t>Yes</t>
        </is>
      </c>
      <c r="L2487" s="1" t="inlineStr">
        <is>
          <t>No</t>
        </is>
      </c>
      <c r="M2487" s="1" t="inlineStr">
        <is>
          <t>No</t>
        </is>
      </c>
      <c r="N2487" s="1" t="inlineStr">
        <is>
          <t>Algorithms</t>
        </is>
      </c>
      <c r="O24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87" s="11" t="inlineStr">
        <is>
          <t>To Do</t>
        </is>
      </c>
    </row>
    <row r="2488" ht="15.75" customHeight="1" s="12">
      <c r="A2488" s="1" t="n">
        <v>2846</v>
      </c>
      <c r="B2488" s="3">
        <f>HYPERLINK("https://leetcode.com/problems/minimum-edge-weight-equilibrium-queries-in-a-tree/", "Minimum Edge Weight Equilibrium Queries in a Tree")</f>
        <v/>
      </c>
      <c r="C2488" s="1" t="n">
        <v>362</v>
      </c>
      <c r="D2488" s="1" t="n">
        <v>10</v>
      </c>
      <c r="E2488" s="4">
        <f>IF(INDEX(C:C, ROW())+INDEX(D:D, ROW())=0, 0, INDEX(C:C, ROW())/(INDEX(C:C, ROW())+INDEX(D:D, ROW())))</f>
        <v/>
      </c>
      <c r="F2488" s="1" t="inlineStr">
        <is>
          <t>Array, Dynamic Programming, Bit Manipulation, Tree, Depth-First Search</t>
        </is>
      </c>
      <c r="G2488" s="1" t="inlineStr">
        <is>
          <t>Hard</t>
        </is>
      </c>
      <c r="H2488" s="1" t="n">
        <v>9727</v>
      </c>
      <c r="I2488" s="1" t="n">
        <v>21235</v>
      </c>
      <c r="J2488" s="9" t="n">
        <v>0.458</v>
      </c>
      <c r="K2488" s="1" t="inlineStr">
        <is>
          <t>Yes</t>
        </is>
      </c>
      <c r="L2488" s="1" t="inlineStr">
        <is>
          <t>No</t>
        </is>
      </c>
      <c r="M2488" s="1" t="inlineStr">
        <is>
          <t>No</t>
        </is>
      </c>
      <c r="N2488" s="1" t="inlineStr">
        <is>
          <t>Algorithms</t>
        </is>
      </c>
      <c r="O24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88" s="11" t="inlineStr">
        <is>
          <t>To Do</t>
        </is>
      </c>
    </row>
    <row r="2489" ht="15.75" customHeight="1" s="12">
      <c r="A2489" s="1" t="n">
        <v>2760</v>
      </c>
      <c r="B2489" s="3">
        <f>HYPERLINK("https://leetcode.com/problems/longest-even-odd-subarray-with-threshold/", "Longest Even Odd Subarray With Threshold")</f>
        <v/>
      </c>
      <c r="C2489" s="1" t="n">
        <v>361</v>
      </c>
      <c r="D2489" s="1" t="n">
        <v>290</v>
      </c>
      <c r="E2489" s="4">
        <f>IF(INDEX(C:C, ROW())+INDEX(D:D, ROW())=0, 0, INDEX(C:C, ROW())/(INDEX(C:C, ROW())+INDEX(D:D, ROW())))</f>
        <v/>
      </c>
      <c r="F2489" s="1" t="inlineStr">
        <is>
          <t>Array, Sliding Window</t>
        </is>
      </c>
      <c r="G2489" s="1" t="inlineStr">
        <is>
          <t>Easy</t>
        </is>
      </c>
      <c r="H2489" s="1" t="n">
        <v>53564</v>
      </c>
      <c r="I2489" s="1" t="n">
        <v>167109</v>
      </c>
      <c r="J2489" s="9" t="n">
        <v>0.321</v>
      </c>
      <c r="K2489" s="1" t="inlineStr">
        <is>
          <t>Yes</t>
        </is>
      </c>
      <c r="L2489" s="1" t="inlineStr">
        <is>
          <t>No</t>
        </is>
      </c>
      <c r="M2489" s="1" t="inlineStr">
        <is>
          <t>No</t>
        </is>
      </c>
      <c r="N2489" s="1" t="inlineStr">
        <is>
          <t>Algorithms</t>
        </is>
      </c>
      <c r="O24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89" s="13" t="inlineStr">
        <is>
          <t>Done</t>
        </is>
      </c>
    </row>
    <row r="2490" ht="15.75" customHeight="1" s="12">
      <c r="A2490" s="1" t="n">
        <v>2801</v>
      </c>
      <c r="B2490" s="3">
        <f>HYPERLINK("https://leetcode.com/problems/count-stepping-numbers-in-range/", "Count Stepping Numbers in Range")</f>
        <v/>
      </c>
      <c r="C2490" s="1" t="n">
        <v>361</v>
      </c>
      <c r="D2490" s="1" t="n">
        <v>11</v>
      </c>
      <c r="E2490" s="4">
        <f>IF(INDEX(C:C, ROW())+INDEX(D:D, ROW())=0, 0, INDEX(C:C, ROW())/(INDEX(C:C, ROW())+INDEX(D:D, ROW())))</f>
        <v/>
      </c>
      <c r="F2490" s="1" t="inlineStr">
        <is>
          <t>String, Dynamic Programming</t>
        </is>
      </c>
      <c r="G2490" s="1" t="inlineStr">
        <is>
          <t>Hard</t>
        </is>
      </c>
      <c r="H2490" s="1" t="n">
        <v>11200</v>
      </c>
      <c r="I2490" s="1" t="n">
        <v>39604</v>
      </c>
      <c r="J2490" s="9" t="n">
        <v>0.283</v>
      </c>
      <c r="K2490" s="1" t="inlineStr">
        <is>
          <t>Yes</t>
        </is>
      </c>
      <c r="L2490" s="1" t="inlineStr">
        <is>
          <t>No</t>
        </is>
      </c>
      <c r="M2490" s="1" t="inlineStr">
        <is>
          <t>No</t>
        </is>
      </c>
      <c r="N2490" s="1" t="inlineStr">
        <is>
          <t>Algorithms</t>
        </is>
      </c>
      <c r="O24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90" s="11" t="inlineStr">
        <is>
          <t>To Do</t>
        </is>
      </c>
    </row>
    <row r="2491" ht="15.75" customHeight="1" s="12">
      <c r="A2491" s="1" t="n">
        <v>2842</v>
      </c>
      <c r="B2491" s="3">
        <f>HYPERLINK("https://leetcode.com/problems/count-k-subsequences-of-a-string-with-maximum-beauty/", "Count K-Subsequences of a String With Maximum Beauty")</f>
        <v/>
      </c>
      <c r="C2491" s="1" t="n">
        <v>361</v>
      </c>
      <c r="D2491" s="1" t="n">
        <v>37</v>
      </c>
      <c r="E2491" s="4">
        <f>IF(INDEX(C:C, ROW())+INDEX(D:D, ROW())=0, 0, INDEX(C:C, ROW())/(INDEX(C:C, ROW())+INDEX(D:D, ROW())))</f>
        <v/>
      </c>
      <c r="F2491" s="1" t="inlineStr">
        <is>
          <t>Hash Table, Math, String, Greedy, Sorting, Combinatorics</t>
        </is>
      </c>
      <c r="G2491" s="1" t="inlineStr">
        <is>
          <t>Hard</t>
        </is>
      </c>
      <c r="H2491" s="1" t="n">
        <v>15011</v>
      </c>
      <c r="I2491" s="1" t="n">
        <v>49462</v>
      </c>
      <c r="J2491" s="9" t="n">
        <v>0.303</v>
      </c>
      <c r="K2491" s="1" t="inlineStr">
        <is>
          <t>Yes</t>
        </is>
      </c>
      <c r="L2491" s="1" t="inlineStr">
        <is>
          <t>No</t>
        </is>
      </c>
      <c r="M2491" s="1" t="inlineStr">
        <is>
          <t>No</t>
        </is>
      </c>
      <c r="N2491" s="1" t="inlineStr">
        <is>
          <t>Algorithms</t>
        </is>
      </c>
      <c r="O24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91" s="11" t="inlineStr">
        <is>
          <t>To Do</t>
        </is>
      </c>
    </row>
    <row r="2492" ht="15.75" customHeight="1" s="12">
      <c r="A2492" s="1" t="n">
        <v>3652</v>
      </c>
      <c r="B2492" s="3">
        <f>HYPERLINK("https://leetcode.com/problems/best-time-to-buy-and-sell-stock-using-strategy/", "Best Time to Buy and Sell Stock using Strategy")</f>
        <v/>
      </c>
      <c r="C2492" s="1" t="n">
        <v>360</v>
      </c>
      <c r="D2492" s="1" t="n">
        <v>42</v>
      </c>
      <c r="E2492" s="4">
        <f>IF(INDEX(C:C, ROW())+INDEX(D:D, ROW())=0, 0, INDEX(C:C, ROW())/(INDEX(C:C, ROW())+INDEX(D:D, ROW())))</f>
        <v/>
      </c>
      <c r="F2492" s="1" t="inlineStr">
        <is>
          <t>Array, Sliding Window, Prefix Sum</t>
        </is>
      </c>
      <c r="G2492" s="1" t="inlineStr">
        <is>
          <t>Medium</t>
        </is>
      </c>
      <c r="H2492" s="1" t="n">
        <v>113193</v>
      </c>
      <c r="I2492" s="1" t="n">
        <v>189315</v>
      </c>
      <c r="J2492" s="9" t="n">
        <v>0.598</v>
      </c>
      <c r="K2492" s="1" t="inlineStr">
        <is>
          <t>Yes</t>
        </is>
      </c>
      <c r="L2492" s="1" t="inlineStr">
        <is>
          <t>Yes</t>
        </is>
      </c>
      <c r="M2492" s="1" t="inlineStr">
        <is>
          <t>No</t>
        </is>
      </c>
      <c r="N2492" s="1" t="inlineStr">
        <is>
          <t>Algorithms</t>
        </is>
      </c>
      <c r="O24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92" s="11" t="inlineStr">
        <is>
          <t>To Do</t>
        </is>
      </c>
    </row>
    <row r="2493" ht="15.75" customHeight="1" s="12">
      <c r="A2493" s="1" t="n">
        <v>1761</v>
      </c>
      <c r="B2493" s="3">
        <f>HYPERLINK("https://leetcode.com/problems/minimum-degree-of-a-connected-trio-in-a-graph/", "Minimum Degree of a Connected Trio in a Graph")</f>
        <v/>
      </c>
      <c r="C2493" s="1" t="n">
        <v>359</v>
      </c>
      <c r="D2493" s="1" t="n">
        <v>295</v>
      </c>
      <c r="E2493" s="4">
        <f>IF(INDEX(C:C, ROW())+INDEX(D:D, ROW())=0, 0, INDEX(C:C, ROW())/(INDEX(C:C, ROW())+INDEX(D:D, ROW())))</f>
        <v/>
      </c>
      <c r="F2493" s="1" t="inlineStr">
        <is>
          <t>Graph Theory, Enumeration</t>
        </is>
      </c>
      <c r="G2493" s="1" t="inlineStr">
        <is>
          <t>Hard</t>
        </is>
      </c>
      <c r="H2493" s="1" t="n">
        <v>29894</v>
      </c>
      <c r="I2493" s="1" t="n">
        <v>67263</v>
      </c>
      <c r="J2493" s="9" t="n">
        <v>0.444</v>
      </c>
      <c r="K2493" s="1" t="inlineStr">
        <is>
          <t>Yes</t>
        </is>
      </c>
      <c r="L2493" s="1" t="inlineStr">
        <is>
          <t>No</t>
        </is>
      </c>
      <c r="M2493" s="1" t="inlineStr">
        <is>
          <t>No</t>
        </is>
      </c>
      <c r="N2493" s="1" t="inlineStr">
        <is>
          <t>Algorithms</t>
        </is>
      </c>
      <c r="O24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93" s="11" t="inlineStr">
        <is>
          <t>To Do</t>
        </is>
      </c>
    </row>
    <row r="2494" ht="15.75" customHeight="1" s="12">
      <c r="A2494" s="1" t="n">
        <v>1815</v>
      </c>
      <c r="B2494" s="3">
        <f>HYPERLINK("https://leetcode.com/problems/maximum-number-of-groups-getting-fresh-donuts/", "Maximum Number of Groups Getting Fresh Donuts")</f>
        <v/>
      </c>
      <c r="C2494" s="1" t="n">
        <v>358</v>
      </c>
      <c r="D2494" s="1" t="n">
        <v>34</v>
      </c>
      <c r="E2494" s="4">
        <f>IF(INDEX(C:C, ROW())+INDEX(D:D, ROW())=0, 0, INDEX(C:C, ROW())/(INDEX(C:C, ROW())+INDEX(D:D, ROW())))</f>
        <v/>
      </c>
      <c r="F2494" s="1" t="inlineStr">
        <is>
          <t>Array, Dynamic Programming, Bit Manipulation, Memoization, Bitmask</t>
        </is>
      </c>
      <c r="G2494" s="1" t="inlineStr">
        <is>
          <t>Hard</t>
        </is>
      </c>
      <c r="H2494" s="1" t="n">
        <v>8564</v>
      </c>
      <c r="I2494" s="1" t="n">
        <v>20737</v>
      </c>
      <c r="J2494" s="9" t="n">
        <v>0.413</v>
      </c>
      <c r="K2494" s="1" t="inlineStr">
        <is>
          <t>Yes</t>
        </is>
      </c>
      <c r="L2494" s="1" t="inlineStr">
        <is>
          <t>No</t>
        </is>
      </c>
      <c r="M2494" s="1" t="inlineStr">
        <is>
          <t>No</t>
        </is>
      </c>
      <c r="N2494" s="1" t="inlineStr">
        <is>
          <t>Algorithms</t>
        </is>
      </c>
      <c r="O24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94" s="11" t="inlineStr">
        <is>
          <t>To Do</t>
        </is>
      </c>
    </row>
    <row r="2495" ht="15.75" customHeight="1" s="12">
      <c r="A2495" s="1" t="n">
        <v>3577</v>
      </c>
      <c r="B2495" s="3">
        <f>HYPERLINK("https://leetcode.com/problems/count-the-number-of-computer-unlocking-permutations/", "Count the Number of Computer Unlocking Permutations")</f>
        <v/>
      </c>
      <c r="C2495" s="1" t="n">
        <v>358</v>
      </c>
      <c r="D2495" s="1" t="n">
        <v>131</v>
      </c>
      <c r="E2495" s="4">
        <f>IF(INDEX(C:C, ROW())+INDEX(D:D, ROW())=0, 0, INDEX(C:C, ROW())/(INDEX(C:C, ROW())+INDEX(D:D, ROW())))</f>
        <v/>
      </c>
      <c r="F2495" s="1" t="inlineStr">
        <is>
          <t>Array, Math, Brainteaser, Combinatorics</t>
        </is>
      </c>
      <c r="G2495" s="1" t="inlineStr">
        <is>
          <t>Medium</t>
        </is>
      </c>
      <c r="H2495" s="1" t="n">
        <v>94426</v>
      </c>
      <c r="I2495" s="1" t="n">
        <v>160220</v>
      </c>
      <c r="J2495" s="9" t="n">
        <v>0.589</v>
      </c>
      <c r="K2495" s="1" t="inlineStr">
        <is>
          <t>Yes</t>
        </is>
      </c>
      <c r="L2495" s="1" t="inlineStr">
        <is>
          <t>Yes</t>
        </is>
      </c>
      <c r="M2495" s="1" t="inlineStr">
        <is>
          <t>No</t>
        </is>
      </c>
      <c r="N2495" s="1" t="inlineStr">
        <is>
          <t>Algorithms</t>
        </is>
      </c>
      <c r="O24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95" s="11" t="inlineStr">
        <is>
          <t>To Do</t>
        </is>
      </c>
    </row>
    <row r="2496" ht="15.75" customHeight="1" s="12">
      <c r="A2496" s="1" t="n">
        <v>1804</v>
      </c>
      <c r="B2496" s="3">
        <f>HYPERLINK("https://leetcode.com/problems/implement-trie-ii-prefix-tree/", "Implement Trie II (Prefix Tree)")</f>
        <v/>
      </c>
      <c r="C2496" s="1" t="n">
        <v>357</v>
      </c>
      <c r="D2496" s="1" t="n">
        <v>19</v>
      </c>
      <c r="E2496" s="4">
        <f>IF(INDEX(C:C, ROW())+INDEX(D:D, ROW())=0, 0, INDEX(C:C, ROW())/(INDEX(C:C, ROW())+INDEX(D:D, ROW())))</f>
        <v/>
      </c>
      <c r="F2496" s="1" t="inlineStr">
        <is>
          <t>Hash Table, String, Design, Trie</t>
        </is>
      </c>
      <c r="G2496" s="1" t="inlineStr">
        <is>
          <t>Medium</t>
        </is>
      </c>
      <c r="H2496" s="1" t="n">
        <v>27326</v>
      </c>
      <c r="I2496" s="1" t="n">
        <v>43072</v>
      </c>
      <c r="J2496" s="9" t="n">
        <v>0.634</v>
      </c>
      <c r="K2496" s="1" t="inlineStr">
        <is>
          <t>No</t>
        </is>
      </c>
      <c r="L2496" s="1" t="inlineStr">
        <is>
          <t>Yes</t>
        </is>
      </c>
      <c r="M2496" s="1" t="inlineStr">
        <is>
          <t>No</t>
        </is>
      </c>
      <c r="N2496" s="1" t="inlineStr">
        <is>
          <t>Algorithms</t>
        </is>
      </c>
      <c r="O24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96" s="11" t="inlineStr">
        <is>
          <t>To Do</t>
        </is>
      </c>
    </row>
    <row r="2497" ht="15.75" customHeight="1" s="12">
      <c r="A2497" s="1" t="n">
        <v>2047</v>
      </c>
      <c r="B2497" s="3">
        <f>HYPERLINK("https://leetcode.com/problems/number-of-valid-words-in-a-sentence/", "Number of Valid Words in a Sentence")</f>
        <v/>
      </c>
      <c r="C2497" s="1" t="n">
        <v>357</v>
      </c>
      <c r="D2497" s="1" t="n">
        <v>829</v>
      </c>
      <c r="E2497" s="4">
        <f>IF(INDEX(C:C, ROW())+INDEX(D:D, ROW())=0, 0, INDEX(C:C, ROW())/(INDEX(C:C, ROW())+INDEX(D:D, ROW())))</f>
        <v/>
      </c>
      <c r="F2497" s="1" t="inlineStr">
        <is>
          <t>String</t>
        </is>
      </c>
      <c r="G2497" s="1" t="inlineStr">
        <is>
          <t>Easy</t>
        </is>
      </c>
      <c r="H2497" s="1" t="n">
        <v>42902</v>
      </c>
      <c r="I2497" s="1" t="n">
        <v>137742</v>
      </c>
      <c r="J2497" s="9" t="n">
        <v>0.311</v>
      </c>
      <c r="K2497" s="1" t="inlineStr">
        <is>
          <t>Yes</t>
        </is>
      </c>
      <c r="L2497" s="1" t="inlineStr">
        <is>
          <t>No</t>
        </is>
      </c>
      <c r="M2497" s="1" t="inlineStr">
        <is>
          <t>No</t>
        </is>
      </c>
      <c r="N2497" s="1" t="inlineStr">
        <is>
          <t>Algorithms</t>
        </is>
      </c>
      <c r="O24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97" s="13" t="inlineStr">
        <is>
          <t>Done</t>
        </is>
      </c>
    </row>
    <row r="2498" ht="15.75" customHeight="1" s="12">
      <c r="A2498" s="1" t="n">
        <v>3027</v>
      </c>
      <c r="B2498" s="3">
        <f>HYPERLINK("https://leetcode.com/problems/find-the-number-of-ways-to-place-people-ii/", "Find the Number of Ways to Place People II")</f>
        <v/>
      </c>
      <c r="C2498" s="1" t="n">
        <v>357</v>
      </c>
      <c r="D2498" s="1" t="n">
        <v>64</v>
      </c>
      <c r="E2498" s="4">
        <f>IF(INDEX(C:C, ROW())+INDEX(D:D, ROW())=0, 0, INDEX(C:C, ROW())/(INDEX(C:C, ROW())+INDEX(D:D, ROW())))</f>
        <v/>
      </c>
      <c r="F2498" s="1" t="inlineStr">
        <is>
          <t>Array, Math, Geometry, Sorting, Enumeration</t>
        </is>
      </c>
      <c r="G2498" s="1" t="inlineStr">
        <is>
          <t>Hard</t>
        </is>
      </c>
      <c r="H2498" s="1" t="n">
        <v>88564</v>
      </c>
      <c r="I2498" s="1" t="n">
        <v>137485</v>
      </c>
      <c r="J2498" s="9" t="n">
        <v>0.644</v>
      </c>
      <c r="K2498" s="1" t="inlineStr">
        <is>
          <t>Yes</t>
        </is>
      </c>
      <c r="L2498" s="1" t="inlineStr">
        <is>
          <t>Yes</t>
        </is>
      </c>
      <c r="M2498" s="1" t="inlineStr">
        <is>
          <t>No</t>
        </is>
      </c>
      <c r="N2498" s="1" t="inlineStr">
        <is>
          <t>Algorithms</t>
        </is>
      </c>
      <c r="O24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98" s="11" t="inlineStr">
        <is>
          <t>To Do</t>
        </is>
      </c>
    </row>
    <row r="2499" ht="15.75" customHeight="1" s="12">
      <c r="A2499" s="1" t="n">
        <v>1133</v>
      </c>
      <c r="B2499" s="3">
        <f>HYPERLINK("https://leetcode.com/problems/largest-unique-number/", "Largest Unique Number")</f>
        <v/>
      </c>
      <c r="C2499" s="1" t="n">
        <v>356</v>
      </c>
      <c r="D2499" s="1" t="n">
        <v>18</v>
      </c>
      <c r="E2499" s="4">
        <f>IF(INDEX(C:C, ROW())+INDEX(D:D, ROW())=0, 0, INDEX(C:C, ROW())/(INDEX(C:C, ROW())+INDEX(D:D, ROW())))</f>
        <v/>
      </c>
      <c r="F2499" s="1" t="inlineStr">
        <is>
          <t>Array, Hash Table, Sorting</t>
        </is>
      </c>
      <c r="G2499" s="1" t="inlineStr">
        <is>
          <t>Easy</t>
        </is>
      </c>
      <c r="H2499" s="1" t="n">
        <v>111807</v>
      </c>
      <c r="I2499" s="1" t="n">
        <v>156839</v>
      </c>
      <c r="J2499" s="9" t="n">
        <v>0.713</v>
      </c>
      <c r="K2499" s="1" t="inlineStr">
        <is>
          <t>No</t>
        </is>
      </c>
      <c r="L2499" s="1" t="inlineStr">
        <is>
          <t>Yes</t>
        </is>
      </c>
      <c r="M2499" s="1" t="inlineStr">
        <is>
          <t>No</t>
        </is>
      </c>
      <c r="N2499" s="1" t="inlineStr">
        <is>
          <t>Algorithms</t>
        </is>
      </c>
      <c r="O24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499" s="11" t="inlineStr">
        <is>
          <t>To Do</t>
        </is>
      </c>
    </row>
    <row r="2500" ht="15.75" customHeight="1" s="12">
      <c r="A2500" s="1" t="n">
        <v>3315</v>
      </c>
      <c r="B2500" s="3">
        <f>HYPERLINK("https://leetcode.com/problems/construct-the-minimum-bitwise-array-ii/", "Construct the Minimum Bitwise Array II")</f>
        <v/>
      </c>
      <c r="C2500" s="1" t="n">
        <v>356</v>
      </c>
      <c r="D2500" s="1" t="n">
        <v>26</v>
      </c>
      <c r="E2500" s="4">
        <f>IF(INDEX(C:C, ROW())+INDEX(D:D, ROW())=0, 0, INDEX(C:C, ROW())/(INDEX(C:C, ROW())+INDEX(D:D, ROW())))</f>
        <v/>
      </c>
      <c r="F2500" s="1" t="inlineStr">
        <is>
          <t>Array, Bit Manipulation</t>
        </is>
      </c>
      <c r="G2500" s="1" t="inlineStr">
        <is>
          <t>Medium</t>
        </is>
      </c>
      <c r="H2500" s="1" t="n">
        <v>102852</v>
      </c>
      <c r="I2500" s="1" t="n">
        <v>154560</v>
      </c>
      <c r="J2500" s="9" t="n">
        <v>0.665</v>
      </c>
      <c r="K2500" s="1" t="inlineStr">
        <is>
          <t>Yes</t>
        </is>
      </c>
      <c r="L2500" s="1" t="inlineStr">
        <is>
          <t>Yes</t>
        </is>
      </c>
      <c r="M2500" s="1" t="inlineStr">
        <is>
          <t>No</t>
        </is>
      </c>
      <c r="N2500" s="1" t="inlineStr">
        <is>
          <t>Algorithms</t>
        </is>
      </c>
      <c r="O25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00" s="11" t="inlineStr">
        <is>
          <t>To Do</t>
        </is>
      </c>
    </row>
    <row r="2501" ht="15.75" customHeight="1" s="12">
      <c r="A2501" s="1" t="n">
        <v>1883</v>
      </c>
      <c r="B2501" s="3">
        <f>HYPERLINK("https://leetcode.com/problems/minimum-skips-to-arrive-at-meeting-on-time/", "Minimum Skips to Arrive at Meeting On Time")</f>
        <v/>
      </c>
      <c r="C2501" s="1" t="n">
        <v>355</v>
      </c>
      <c r="D2501" s="1" t="n">
        <v>54</v>
      </c>
      <c r="E2501" s="4">
        <f>IF(INDEX(C:C, ROW())+INDEX(D:D, ROW())=0, 0, INDEX(C:C, ROW())/(INDEX(C:C, ROW())+INDEX(D:D, ROW())))</f>
        <v/>
      </c>
      <c r="F2501" s="1" t="inlineStr">
        <is>
          <t>Array, Dynamic Programming</t>
        </is>
      </c>
      <c r="G2501" s="1" t="inlineStr">
        <is>
          <t>Hard</t>
        </is>
      </c>
      <c r="H2501" s="1" t="n">
        <v>8734</v>
      </c>
      <c r="I2501" s="1" t="n">
        <v>22658</v>
      </c>
      <c r="J2501" s="9" t="n">
        <v>0.385</v>
      </c>
      <c r="K2501" s="1" t="inlineStr">
        <is>
          <t>Yes</t>
        </is>
      </c>
      <c r="L2501" s="1" t="inlineStr">
        <is>
          <t>No</t>
        </is>
      </c>
      <c r="M2501" s="1" t="inlineStr">
        <is>
          <t>No</t>
        </is>
      </c>
      <c r="N2501" s="1" t="inlineStr">
        <is>
          <t>Algorithms</t>
        </is>
      </c>
      <c r="O25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01" s="11" t="inlineStr">
        <is>
          <t>To Do</t>
        </is>
      </c>
    </row>
    <row r="2502" ht="15.75" customHeight="1" s="12">
      <c r="A2502" s="1" t="n">
        <v>2736</v>
      </c>
      <c r="B2502" s="3">
        <f>HYPERLINK("https://leetcode.com/problems/maximum-sum-queries/", "Maximum Sum Queries")</f>
        <v/>
      </c>
      <c r="C2502" s="1" t="n">
        <v>355</v>
      </c>
      <c r="D2502" s="1" t="n">
        <v>17</v>
      </c>
      <c r="E2502" s="4">
        <f>IF(INDEX(C:C, ROW())+INDEX(D:D, ROW())=0, 0, INDEX(C:C, ROW())/(INDEX(C:C, ROW())+INDEX(D:D, ROW())))</f>
        <v/>
      </c>
      <c r="F2502" s="1" t="inlineStr">
        <is>
          <t>Array, Binary Search, Stack, Binary Indexed Tree, Segment Tree, Sorting, Monotonic Stack</t>
        </is>
      </c>
      <c r="G2502" s="1" t="inlineStr">
        <is>
          <t>Hard</t>
        </is>
      </c>
      <c r="H2502" s="1" t="n">
        <v>8429</v>
      </c>
      <c r="I2502" s="1" t="n">
        <v>27729</v>
      </c>
      <c r="J2502" s="9" t="n">
        <v>0.304</v>
      </c>
      <c r="K2502" s="1" t="inlineStr">
        <is>
          <t>Yes</t>
        </is>
      </c>
      <c r="L2502" s="1" t="inlineStr">
        <is>
          <t>No</t>
        </is>
      </c>
      <c r="M2502" s="1" t="inlineStr">
        <is>
          <t>No</t>
        </is>
      </c>
      <c r="N2502" s="1" t="inlineStr">
        <is>
          <t>Algorithms</t>
        </is>
      </c>
      <c r="O25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02" s="11" t="inlineStr">
        <is>
          <t>To Do</t>
        </is>
      </c>
    </row>
    <row r="2503" ht="15.75" customHeight="1" s="12">
      <c r="A2503" s="1" t="n">
        <v>2286</v>
      </c>
      <c r="B2503" s="3">
        <f>HYPERLINK("https://leetcode.com/problems/booking-concert-tickets-in-groups/", "Booking Concert Tickets in Groups")</f>
        <v/>
      </c>
      <c r="C2503" s="1" t="n">
        <v>354</v>
      </c>
      <c r="D2503" s="1" t="n">
        <v>61</v>
      </c>
      <c r="E2503" s="4">
        <f>IF(INDEX(C:C, ROW())+INDEX(D:D, ROW())=0, 0, INDEX(C:C, ROW())/(INDEX(C:C, ROW())+INDEX(D:D, ROW())))</f>
        <v/>
      </c>
      <c r="F2503" s="1" t="inlineStr">
        <is>
          <t>Binary Search, Design, Binary Indexed Tree, Segment Tree</t>
        </is>
      </c>
      <c r="G2503" s="1" t="inlineStr">
        <is>
          <t>Hard</t>
        </is>
      </c>
      <c r="H2503" s="1" t="n">
        <v>9898</v>
      </c>
      <c r="I2503" s="1" t="n">
        <v>50581</v>
      </c>
      <c r="J2503" s="9" t="n">
        <v>0.196</v>
      </c>
      <c r="K2503" s="1" t="inlineStr">
        <is>
          <t>Yes</t>
        </is>
      </c>
      <c r="L2503" s="1" t="inlineStr">
        <is>
          <t>No</t>
        </is>
      </c>
      <c r="M2503" s="1" t="inlineStr">
        <is>
          <t>No</t>
        </is>
      </c>
      <c r="N2503" s="1" t="inlineStr">
        <is>
          <t>Algorithms</t>
        </is>
      </c>
      <c r="O25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03" s="11" t="inlineStr">
        <is>
          <t>To Do</t>
        </is>
      </c>
    </row>
    <row r="2504" ht="15.75" customHeight="1" s="12">
      <c r="A2504" s="1" t="n">
        <v>2227</v>
      </c>
      <c r="B2504" s="3">
        <f>HYPERLINK("https://leetcode.com/problems/encrypt-and-decrypt-strings/", "Encrypt and Decrypt Strings")</f>
        <v/>
      </c>
      <c r="C2504" s="1" t="n">
        <v>353</v>
      </c>
      <c r="D2504" s="1" t="n">
        <v>80</v>
      </c>
      <c r="E2504" s="4">
        <f>IF(INDEX(C:C, ROW())+INDEX(D:D, ROW())=0, 0, INDEX(C:C, ROW())/(INDEX(C:C, ROW())+INDEX(D:D, ROW())))</f>
        <v/>
      </c>
      <c r="F2504" s="1" t="inlineStr">
        <is>
          <t>Array, Hash Table, String, Design, Trie</t>
        </is>
      </c>
      <c r="G2504" s="1" t="inlineStr">
        <is>
          <t>Hard</t>
        </is>
      </c>
      <c r="H2504" s="1" t="n">
        <v>17625</v>
      </c>
      <c r="I2504" s="1" t="n">
        <v>46045</v>
      </c>
      <c r="J2504" s="9" t="n">
        <v>0.383</v>
      </c>
      <c r="K2504" s="1" t="inlineStr">
        <is>
          <t>Yes</t>
        </is>
      </c>
      <c r="L2504" s="1" t="inlineStr">
        <is>
          <t>No</t>
        </is>
      </c>
      <c r="M2504" s="1" t="inlineStr">
        <is>
          <t>No</t>
        </is>
      </c>
      <c r="N2504" s="1" t="inlineStr">
        <is>
          <t>Algorithms</t>
        </is>
      </c>
      <c r="O25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04" s="11" t="inlineStr">
        <is>
          <t>To Do</t>
        </is>
      </c>
    </row>
    <row r="2505" ht="15.75" customHeight="1" s="12">
      <c r="A2505" s="1" t="n">
        <v>2974</v>
      </c>
      <c r="B2505" s="3">
        <f>HYPERLINK("https://leetcode.com/problems/minimum-number-game/", "Minimum Number Game")</f>
        <v/>
      </c>
      <c r="C2505" s="1" t="n">
        <v>353</v>
      </c>
      <c r="D2505" s="1" t="n">
        <v>25</v>
      </c>
      <c r="E2505" s="4">
        <f>IF(INDEX(C:C, ROW())+INDEX(D:D, ROW())=0, 0, INDEX(C:C, ROW())/(INDEX(C:C, ROW())+INDEX(D:D, ROW())))</f>
        <v/>
      </c>
      <c r="F2505" s="1" t="inlineStr">
        <is>
          <t>Array, Sorting, Heap (Priority Queue), Simulation</t>
        </is>
      </c>
      <c r="G2505" s="1" t="inlineStr">
        <is>
          <t>Easy</t>
        </is>
      </c>
      <c r="H2505" s="1" t="n">
        <v>153995</v>
      </c>
      <c r="I2505" s="1" t="n">
        <v>180169</v>
      </c>
      <c r="J2505" s="9" t="n">
        <v>0.855</v>
      </c>
      <c r="K2505" s="1" t="inlineStr">
        <is>
          <t>Yes</t>
        </is>
      </c>
      <c r="L2505" s="1" t="inlineStr">
        <is>
          <t>No</t>
        </is>
      </c>
      <c r="M2505" s="1" t="inlineStr">
        <is>
          <t>No</t>
        </is>
      </c>
      <c r="N2505" s="1" t="inlineStr">
        <is>
          <t>Algorithms</t>
        </is>
      </c>
      <c r="O25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05" s="13" t="inlineStr">
        <is>
          <t>Done</t>
        </is>
      </c>
    </row>
    <row r="2506" ht="15.75" customHeight="1" s="12">
      <c r="A2506" s="1" t="n">
        <v>3461</v>
      </c>
      <c r="B2506" s="3">
        <f>HYPERLINK("https://leetcode.com/problems/check-if-digits-are-equal-in-string-after-operations-i/", "Check If Digits Are Equal in String After Operations I")</f>
        <v/>
      </c>
      <c r="C2506" s="1" t="n">
        <v>352</v>
      </c>
      <c r="D2506" s="1" t="n">
        <v>15</v>
      </c>
      <c r="E2506" s="4">
        <f>IF(INDEX(C:C, ROW())+INDEX(D:D, ROW())=0, 0, INDEX(C:C, ROW())/(INDEX(C:C, ROW())+INDEX(D:D, ROW())))</f>
        <v/>
      </c>
      <c r="F2506" s="1" t="inlineStr">
        <is>
          <t>Math, String, Simulation, Combinatorics, Number Theory</t>
        </is>
      </c>
      <c r="G2506" s="1" t="inlineStr">
        <is>
          <t>Easy</t>
        </is>
      </c>
      <c r="H2506" s="1" t="n">
        <v>174182</v>
      </c>
      <c r="I2506" s="1" t="n">
        <v>211143</v>
      </c>
      <c r="J2506" s="9" t="n">
        <v>0.825</v>
      </c>
      <c r="K2506" s="1" t="inlineStr">
        <is>
          <t>Yes</t>
        </is>
      </c>
      <c r="L2506" s="1" t="inlineStr">
        <is>
          <t>Yes</t>
        </is>
      </c>
      <c r="M2506" s="1" t="inlineStr">
        <is>
          <t>No</t>
        </is>
      </c>
      <c r="N2506" s="1" t="inlineStr">
        <is>
          <t>Algorithms</t>
        </is>
      </c>
      <c r="O25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06" s="13" t="inlineStr">
        <is>
          <t>Done</t>
        </is>
      </c>
    </row>
    <row r="2507" ht="15.75" customHeight="1" s="12">
      <c r="A2507" s="1" t="n">
        <v>1225</v>
      </c>
      <c r="B2507" s="3">
        <f>HYPERLINK("https://leetcode.com/problems/report-contiguous-dates/", "Report Contiguous Dates")</f>
        <v/>
      </c>
      <c r="C2507" s="1" t="n">
        <v>351</v>
      </c>
      <c r="D2507" s="1" t="n">
        <v>22</v>
      </c>
      <c r="E2507" s="4">
        <f>IF(INDEX(C:C, ROW())+INDEX(D:D, ROW())=0, 0, INDEX(C:C, ROW())/(INDEX(C:C, ROW())+INDEX(D:D, ROW())))</f>
        <v/>
      </c>
      <c r="F2507" s="1" t="inlineStr">
        <is>
          <t>Database</t>
        </is>
      </c>
      <c r="G2507" s="1" t="inlineStr">
        <is>
          <t>Hard</t>
        </is>
      </c>
      <c r="H2507" s="1" t="n">
        <v>33157</v>
      </c>
      <c r="I2507" s="1" t="n">
        <v>58112</v>
      </c>
      <c r="J2507" s="9" t="n">
        <v>0.571</v>
      </c>
      <c r="K2507" s="1" t="inlineStr">
        <is>
          <t>No</t>
        </is>
      </c>
      <c r="L2507" s="1" t="inlineStr">
        <is>
          <t>No</t>
        </is>
      </c>
      <c r="M2507" s="1" t="inlineStr">
        <is>
          <t>No</t>
        </is>
      </c>
      <c r="N2507" s="1" t="inlineStr">
        <is>
          <t>Database</t>
        </is>
      </c>
      <c r="O25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07" s="11" t="inlineStr">
        <is>
          <t>To Do</t>
        </is>
      </c>
    </row>
    <row r="2508" ht="15.75" customHeight="1" s="12">
      <c r="A2508" s="1" t="n">
        <v>1764</v>
      </c>
      <c r="B2508" s="3">
        <f>HYPERLINK("https://leetcode.com/problems/form-array-by-concatenating-subarrays-of-another-array/", "Form Array by Concatenating Subarrays of Another Array")</f>
        <v/>
      </c>
      <c r="C2508" s="1" t="n">
        <v>351</v>
      </c>
      <c r="D2508" s="1" t="n">
        <v>45</v>
      </c>
      <c r="E2508" s="4">
        <f>IF(INDEX(C:C, ROW())+INDEX(D:D, ROW())=0, 0, INDEX(C:C, ROW())/(INDEX(C:C, ROW())+INDEX(D:D, ROW())))</f>
        <v/>
      </c>
      <c r="F2508" s="1" t="inlineStr">
        <is>
          <t>Array, Two Pointers, Greedy, String Matching</t>
        </is>
      </c>
      <c r="G2508" s="1" t="inlineStr">
        <is>
          <t>Medium</t>
        </is>
      </c>
      <c r="H2508" s="1" t="n">
        <v>20999</v>
      </c>
      <c r="I2508" s="1" t="n">
        <v>38340</v>
      </c>
      <c r="J2508" s="9" t="n">
        <v>0.548</v>
      </c>
      <c r="K2508" s="1" t="inlineStr">
        <is>
          <t>Yes</t>
        </is>
      </c>
      <c r="L2508" s="1" t="inlineStr">
        <is>
          <t>No</t>
        </is>
      </c>
      <c r="M2508" s="1" t="inlineStr">
        <is>
          <t>No</t>
        </is>
      </c>
      <c r="N2508" s="1" t="inlineStr">
        <is>
          <t>Algorithms</t>
        </is>
      </c>
      <c r="O25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08" s="11" t="inlineStr">
        <is>
          <t>To Do</t>
        </is>
      </c>
    </row>
    <row r="2509" ht="15.75" customHeight="1" s="12">
      <c r="A2509" s="1" t="n">
        <v>2919</v>
      </c>
      <c r="B2509" s="3">
        <f>HYPERLINK("https://leetcode.com/problems/minimum-increment-operations-to-make-array-beautiful/", "Minimum Increment Operations to Make Array Beautiful")</f>
        <v/>
      </c>
      <c r="C2509" s="1" t="n">
        <v>351</v>
      </c>
      <c r="D2509" s="1" t="n">
        <v>22</v>
      </c>
      <c r="E2509" s="4">
        <f>IF(INDEX(C:C, ROW())+INDEX(D:D, ROW())=0, 0, INDEX(C:C, ROW())/(INDEX(C:C, ROW())+INDEX(D:D, ROW())))</f>
        <v/>
      </c>
      <c r="F2509" s="1" t="inlineStr">
        <is>
          <t>Array, Dynamic Programming</t>
        </is>
      </c>
      <c r="G2509" s="1" t="inlineStr">
        <is>
          <t>Medium</t>
        </is>
      </c>
      <c r="H2509" s="1" t="n">
        <v>17338</v>
      </c>
      <c r="I2509" s="1" t="n">
        <v>49843</v>
      </c>
      <c r="J2509" s="9" t="n">
        <v>0.348</v>
      </c>
      <c r="K2509" s="1" t="inlineStr">
        <is>
          <t>Yes</t>
        </is>
      </c>
      <c r="L2509" s="1" t="inlineStr">
        <is>
          <t>No</t>
        </is>
      </c>
      <c r="M2509" s="1" t="inlineStr">
        <is>
          <t>No</t>
        </is>
      </c>
      <c r="N2509" s="1" t="inlineStr">
        <is>
          <t>Algorithms</t>
        </is>
      </c>
      <c r="O25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09" s="11" t="inlineStr">
        <is>
          <t>To Do</t>
        </is>
      </c>
    </row>
    <row r="2510" ht="15.75" customHeight="1" s="12">
      <c r="A2510" s="1" t="n">
        <v>2788</v>
      </c>
      <c r="B2510" s="3">
        <f>HYPERLINK("https://leetcode.com/problems/split-strings-by-separator/", "Split Strings by Separator")</f>
        <v/>
      </c>
      <c r="C2510" s="1" t="n">
        <v>350</v>
      </c>
      <c r="D2510" s="1" t="n">
        <v>13</v>
      </c>
      <c r="E2510" s="4">
        <f>IF(INDEX(C:C, ROW())+INDEX(D:D, ROW())=0, 0, INDEX(C:C, ROW())/(INDEX(C:C, ROW())+INDEX(D:D, ROW())))</f>
        <v/>
      </c>
      <c r="F2510" s="1" t="inlineStr">
        <is>
          <t>Array, String</t>
        </is>
      </c>
      <c r="G2510" s="1" t="inlineStr">
        <is>
          <t>Easy</t>
        </is>
      </c>
      <c r="H2510" s="1" t="n">
        <v>79942</v>
      </c>
      <c r="I2510" s="1" t="n">
        <v>105014</v>
      </c>
      <c r="J2510" s="9" t="n">
        <v>0.761</v>
      </c>
      <c r="K2510" s="1" t="inlineStr">
        <is>
          <t>Yes</t>
        </is>
      </c>
      <c r="L2510" s="1" t="inlineStr">
        <is>
          <t>No</t>
        </is>
      </c>
      <c r="M2510" s="1" t="inlineStr">
        <is>
          <t>No</t>
        </is>
      </c>
      <c r="N2510" s="1" t="inlineStr">
        <is>
          <t>Algorithms</t>
        </is>
      </c>
      <c r="O25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10" s="13" t="inlineStr">
        <is>
          <t>Done</t>
        </is>
      </c>
    </row>
    <row r="2511" ht="15.75" customHeight="1" s="12">
      <c r="A2511" s="1" t="n">
        <v>2632</v>
      </c>
      <c r="B2511" s="3">
        <f>HYPERLINK("https://leetcode.com/problems/curry/", "Curry")</f>
        <v/>
      </c>
      <c r="C2511" s="1" t="n">
        <v>349</v>
      </c>
      <c r="D2511" s="1" t="n">
        <v>35</v>
      </c>
      <c r="E2511" s="4">
        <f>IF(INDEX(C:C, ROW())+INDEX(D:D, ROW())=0, 0, INDEX(C:C, ROW())/(INDEX(C:C, ROW())+INDEX(D:D, ROW())))</f>
        <v/>
      </c>
      <c r="F2511" s="2" t="n"/>
      <c r="G2511" s="1" t="inlineStr">
        <is>
          <t>Medium</t>
        </is>
      </c>
      <c r="H2511" s="1" t="n">
        <v>18926</v>
      </c>
      <c r="I2511" s="1" t="n">
        <v>21160</v>
      </c>
      <c r="J2511" s="9" t="n">
        <v>0.894</v>
      </c>
      <c r="K2511" s="1" t="inlineStr">
        <is>
          <t>No</t>
        </is>
      </c>
      <c r="L2511" s="1" t="inlineStr">
        <is>
          <t>Yes</t>
        </is>
      </c>
      <c r="M2511" s="1" t="inlineStr">
        <is>
          <t>No</t>
        </is>
      </c>
      <c r="N2511" s="1" t="inlineStr">
        <is>
          <t>JavaScript</t>
        </is>
      </c>
      <c r="O25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11" s="11" t="inlineStr">
        <is>
          <t>To Do</t>
        </is>
      </c>
    </row>
    <row r="2512" ht="15.75" customHeight="1" s="12">
      <c r="A2512" s="1" t="n">
        <v>2829</v>
      </c>
      <c r="B2512" s="3">
        <f>HYPERLINK("https://leetcode.com/problems/determine-the-minimum-sum-of-a-k-avoiding-array/", "Determine the Minimum Sum of a k-avoiding Array")</f>
        <v/>
      </c>
      <c r="C2512" s="1" t="n">
        <v>349</v>
      </c>
      <c r="D2512" s="1" t="n">
        <v>13</v>
      </c>
      <c r="E2512" s="4">
        <f>IF(INDEX(C:C, ROW())+INDEX(D:D, ROW())=0, 0, INDEX(C:C, ROW())/(INDEX(C:C, ROW())+INDEX(D:D, ROW())))</f>
        <v/>
      </c>
      <c r="F2512" s="1" t="inlineStr">
        <is>
          <t>Math, Greedy</t>
        </is>
      </c>
      <c r="G2512" s="1" t="inlineStr">
        <is>
          <t>Medium</t>
        </is>
      </c>
      <c r="H2512" s="1" t="n">
        <v>41162</v>
      </c>
      <c r="I2512" s="1" t="n">
        <v>67650</v>
      </c>
      <c r="J2512" s="9" t="n">
        <v>0.608</v>
      </c>
      <c r="K2512" s="1" t="inlineStr">
        <is>
          <t>Yes</t>
        </is>
      </c>
      <c r="L2512" s="1" t="inlineStr">
        <is>
          <t>No</t>
        </is>
      </c>
      <c r="M2512" s="1" t="inlineStr">
        <is>
          <t>No</t>
        </is>
      </c>
      <c r="N2512" s="1" t="inlineStr">
        <is>
          <t>Algorithms</t>
        </is>
      </c>
      <c r="O25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12" s="11" t="inlineStr">
        <is>
          <t>To Do</t>
        </is>
      </c>
    </row>
    <row r="2513" ht="15.75" customHeight="1" s="12">
      <c r="A2513" s="1" t="n">
        <v>3007</v>
      </c>
      <c r="B2513" s="3">
        <f>HYPERLINK("https://leetcode.com/problems/maximum-number-that-sum-of-the-prices-is-less-than-or-equal-to-k/", "Maximum Number That Sum of the Prices Is Less Than or Equal to K")</f>
        <v/>
      </c>
      <c r="C2513" s="1" t="n">
        <v>349</v>
      </c>
      <c r="D2513" s="1" t="n">
        <v>131</v>
      </c>
      <c r="E2513" s="4">
        <f>IF(INDEX(C:C, ROW())+INDEX(D:D, ROW())=0, 0, INDEX(C:C, ROW())/(INDEX(C:C, ROW())+INDEX(D:D, ROW())))</f>
        <v/>
      </c>
      <c r="F2513" s="1" t="inlineStr">
        <is>
          <t>Math, Binary Search, Dynamic Programming, Bit Manipulation</t>
        </is>
      </c>
      <c r="G2513" s="1" t="inlineStr">
        <is>
          <t>Medium</t>
        </is>
      </c>
      <c r="H2513" s="1" t="n">
        <v>13154</v>
      </c>
      <c r="I2513" s="1" t="n">
        <v>34091</v>
      </c>
      <c r="J2513" s="9" t="n">
        <v>0.386</v>
      </c>
      <c r="K2513" s="1" t="inlineStr">
        <is>
          <t>Yes</t>
        </is>
      </c>
      <c r="L2513" s="1" t="inlineStr">
        <is>
          <t>No</t>
        </is>
      </c>
      <c r="M2513" s="1" t="inlineStr">
        <is>
          <t>No</t>
        </is>
      </c>
      <c r="N2513" s="1" t="inlineStr">
        <is>
          <t>Algorithms</t>
        </is>
      </c>
      <c r="O25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13" s="11" t="inlineStr">
        <is>
          <t>To Do</t>
        </is>
      </c>
    </row>
    <row r="2514" ht="15.75" customHeight="1" s="12">
      <c r="A2514" s="1" t="n">
        <v>2343</v>
      </c>
      <c r="B2514" s="3">
        <f>HYPERLINK("https://leetcode.com/problems/query-kth-smallest-trimmed-number/", "Query Kth Smallest Trimmed Number")</f>
        <v/>
      </c>
      <c r="C2514" s="1" t="n">
        <v>348</v>
      </c>
      <c r="D2514" s="1" t="n">
        <v>444</v>
      </c>
      <c r="E2514" s="4">
        <f>IF(INDEX(C:C, ROW())+INDEX(D:D, ROW())=0, 0, INDEX(C:C, ROW())/(INDEX(C:C, ROW())+INDEX(D:D, ROW())))</f>
        <v/>
      </c>
      <c r="F2514" s="1" t="inlineStr">
        <is>
          <t>Array, String, Divide and Conquer, Sorting, Heap (Priority Queue), Radix Sort, Quickselect</t>
        </is>
      </c>
      <c r="G2514" s="1" t="inlineStr">
        <is>
          <t>Medium</t>
        </is>
      </c>
      <c r="H2514" s="1" t="n">
        <v>40857</v>
      </c>
      <c r="I2514" s="1" t="n">
        <v>85982</v>
      </c>
      <c r="J2514" s="9" t="n">
        <v>0.475</v>
      </c>
      <c r="K2514" s="1" t="inlineStr">
        <is>
          <t>Yes</t>
        </is>
      </c>
      <c r="L2514" s="1" t="inlineStr">
        <is>
          <t>No</t>
        </is>
      </c>
      <c r="M2514" s="1" t="inlineStr">
        <is>
          <t>No</t>
        </is>
      </c>
      <c r="N2514" s="1" t="inlineStr">
        <is>
          <t>Algorithms</t>
        </is>
      </c>
      <c r="O25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14" s="11" t="inlineStr">
        <is>
          <t>To Do</t>
        </is>
      </c>
    </row>
    <row r="2515" ht="15.75" customHeight="1" s="12">
      <c r="A2515" s="1" t="n">
        <v>1276</v>
      </c>
      <c r="B2515" s="3">
        <f>HYPERLINK("https://leetcode.com/problems/number-of-burgers-with-no-waste-of-ingredients/", "Number of Burgers with No Waste of Ingredients")</f>
        <v/>
      </c>
      <c r="C2515" s="1" t="n">
        <v>347</v>
      </c>
      <c r="D2515" s="1" t="n">
        <v>239</v>
      </c>
      <c r="E2515" s="4">
        <f>IF(INDEX(C:C, ROW())+INDEX(D:D, ROW())=0, 0, INDEX(C:C, ROW())/(INDEX(C:C, ROW())+INDEX(D:D, ROW())))</f>
        <v/>
      </c>
      <c r="F2515" s="1" t="inlineStr">
        <is>
          <t>Math</t>
        </is>
      </c>
      <c r="G2515" s="1" t="inlineStr">
        <is>
          <t>Medium</t>
        </is>
      </c>
      <c r="H2515" s="1" t="n">
        <v>33148</v>
      </c>
      <c r="I2515" s="1" t="n">
        <v>65019</v>
      </c>
      <c r="J2515" s="9" t="n">
        <v>0.51</v>
      </c>
      <c r="K2515" s="1" t="inlineStr">
        <is>
          <t>Yes</t>
        </is>
      </c>
      <c r="L2515" s="1" t="inlineStr">
        <is>
          <t>No</t>
        </is>
      </c>
      <c r="M2515" s="1" t="inlineStr">
        <is>
          <t>No</t>
        </is>
      </c>
      <c r="N2515" s="1" t="inlineStr">
        <is>
          <t>Algorithms</t>
        </is>
      </c>
      <c r="O25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15" s="11" t="inlineStr">
        <is>
          <t>To Do</t>
        </is>
      </c>
    </row>
    <row r="2516" ht="15.75" customHeight="1" s="12">
      <c r="A2516" s="1" t="n">
        <v>1782</v>
      </c>
      <c r="B2516" s="3">
        <f>HYPERLINK("https://leetcode.com/problems/count-pairs-of-nodes/", "Count Pairs Of Nodes")</f>
        <v/>
      </c>
      <c r="C2516" s="1" t="n">
        <v>347</v>
      </c>
      <c r="D2516" s="1" t="n">
        <v>172</v>
      </c>
      <c r="E2516" s="4">
        <f>IF(INDEX(C:C, ROW())+INDEX(D:D, ROW())=0, 0, INDEX(C:C, ROW())/(INDEX(C:C, ROW())+INDEX(D:D, ROW())))</f>
        <v/>
      </c>
      <c r="F2516" s="1" t="inlineStr">
        <is>
          <t>Array, Hash Table, Two Pointers, Binary Search, Graph Theory, Sorting, Counting</t>
        </is>
      </c>
      <c r="G2516" s="1" t="inlineStr">
        <is>
          <t>Hard</t>
        </is>
      </c>
      <c r="H2516" s="1" t="n">
        <v>10041</v>
      </c>
      <c r="I2516" s="1" t="n">
        <v>23712</v>
      </c>
      <c r="J2516" s="9" t="n">
        <v>0.423</v>
      </c>
      <c r="K2516" s="1" t="inlineStr">
        <is>
          <t>Yes</t>
        </is>
      </c>
      <c r="L2516" s="1" t="inlineStr">
        <is>
          <t>No</t>
        </is>
      </c>
      <c r="M2516" s="1" t="inlineStr">
        <is>
          <t>No</t>
        </is>
      </c>
      <c r="N2516" s="1" t="inlineStr">
        <is>
          <t>Algorithms</t>
        </is>
      </c>
      <c r="O25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16" s="11" t="inlineStr">
        <is>
          <t>To Do</t>
        </is>
      </c>
    </row>
    <row r="2517" ht="15.75" customHeight="1" s="12">
      <c r="A2517" s="1" t="n">
        <v>1801</v>
      </c>
      <c r="B2517" s="3">
        <f>HYPERLINK("https://leetcode.com/problems/number-of-orders-in-the-backlog/", "Number of Orders in the Backlog")</f>
        <v/>
      </c>
      <c r="C2517" s="1" t="n">
        <v>346</v>
      </c>
      <c r="D2517" s="1" t="n">
        <v>246</v>
      </c>
      <c r="E2517" s="4">
        <f>IF(INDEX(C:C, ROW())+INDEX(D:D, ROW())=0, 0, INDEX(C:C, ROW())/(INDEX(C:C, ROW())+INDEX(D:D, ROW())))</f>
        <v/>
      </c>
      <c r="F2517" s="1" t="inlineStr">
        <is>
          <t>Array, Heap (Priority Queue), Simulation</t>
        </is>
      </c>
      <c r="G2517" s="1" t="inlineStr">
        <is>
          <t>Medium</t>
        </is>
      </c>
      <c r="H2517" s="1" t="n">
        <v>37358</v>
      </c>
      <c r="I2517" s="1" t="n">
        <v>69297</v>
      </c>
      <c r="J2517" s="9" t="n">
        <v>0.539</v>
      </c>
      <c r="K2517" s="1" t="inlineStr">
        <is>
          <t>Yes</t>
        </is>
      </c>
      <c r="L2517" s="1" t="inlineStr">
        <is>
          <t>No</t>
        </is>
      </c>
      <c r="M2517" s="1" t="inlineStr">
        <is>
          <t>No</t>
        </is>
      </c>
      <c r="N2517" s="1" t="inlineStr">
        <is>
          <t>Algorithms</t>
        </is>
      </c>
      <c r="O25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17" s="11" t="inlineStr">
        <is>
          <t>To Do</t>
        </is>
      </c>
    </row>
    <row r="2518" ht="15.75" customHeight="1" s="12">
      <c r="A2518" s="1" t="n">
        <v>2671</v>
      </c>
      <c r="B2518" s="3">
        <f>HYPERLINK("https://leetcode.com/problems/frequency-tracker/", "Frequency Tracker")</f>
        <v/>
      </c>
      <c r="C2518" s="1" t="n">
        <v>346</v>
      </c>
      <c r="D2518" s="1" t="n">
        <v>31</v>
      </c>
      <c r="E2518" s="4">
        <f>IF(INDEX(C:C, ROW())+INDEX(D:D, ROW())=0, 0, INDEX(C:C, ROW())/(INDEX(C:C, ROW())+INDEX(D:D, ROW())))</f>
        <v/>
      </c>
      <c r="F2518" s="1" t="inlineStr">
        <is>
          <t>Hash Table, Design</t>
        </is>
      </c>
      <c r="G2518" s="1" t="inlineStr">
        <is>
          <t>Medium</t>
        </is>
      </c>
      <c r="H2518" s="1" t="n">
        <v>29443</v>
      </c>
      <c r="I2518" s="1" t="n">
        <v>94324</v>
      </c>
      <c r="J2518" s="9" t="n">
        <v>0.312</v>
      </c>
      <c r="K2518" s="1" t="inlineStr">
        <is>
          <t>Yes</t>
        </is>
      </c>
      <c r="L2518" s="1" t="inlineStr">
        <is>
          <t>No</t>
        </is>
      </c>
      <c r="M2518" s="1" t="inlineStr">
        <is>
          <t>No</t>
        </is>
      </c>
      <c r="N2518" s="1" t="inlineStr">
        <is>
          <t>Algorithms</t>
        </is>
      </c>
      <c r="O25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18" s="11" t="inlineStr">
        <is>
          <t>To Do</t>
        </is>
      </c>
    </row>
    <row r="2519" ht="15.75" customHeight="1" s="12">
      <c r="A2519" s="1" t="n">
        <v>613</v>
      </c>
      <c r="B2519" s="3">
        <f>HYPERLINK("https://leetcode.com/problems/shortest-distance-in-a-line/", "Shortest Distance in a Line")</f>
        <v/>
      </c>
      <c r="C2519" s="1" t="n">
        <v>344</v>
      </c>
      <c r="D2519" s="1" t="n">
        <v>41</v>
      </c>
      <c r="E2519" s="4">
        <f>IF(INDEX(C:C, ROW())+INDEX(D:D, ROW())=0, 0, INDEX(C:C, ROW())/(INDEX(C:C, ROW())+INDEX(D:D, ROW())))</f>
        <v/>
      </c>
      <c r="F2519" s="1" t="inlineStr">
        <is>
          <t>Database</t>
        </is>
      </c>
      <c r="G2519" s="1" t="inlineStr">
        <is>
          <t>Easy</t>
        </is>
      </c>
      <c r="H2519" s="1" t="n">
        <v>85352</v>
      </c>
      <c r="I2519" s="1" t="n">
        <v>107153</v>
      </c>
      <c r="J2519" s="9" t="n">
        <v>0.797</v>
      </c>
      <c r="K2519" s="1" t="inlineStr">
        <is>
          <t>No</t>
        </is>
      </c>
      <c r="L2519" s="1" t="inlineStr">
        <is>
          <t>Yes</t>
        </is>
      </c>
      <c r="M2519" s="1" t="inlineStr">
        <is>
          <t>No</t>
        </is>
      </c>
      <c r="N2519" s="1" t="inlineStr">
        <is>
          <t>Database</t>
        </is>
      </c>
      <c r="O25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19" s="11" t="inlineStr">
        <is>
          <t>To Do</t>
        </is>
      </c>
    </row>
    <row r="2520" ht="15.75" customHeight="1" s="12">
      <c r="A2520" s="1" t="n">
        <v>1303</v>
      </c>
      <c r="B2520" s="3">
        <f>HYPERLINK("https://leetcode.com/problems/find-the-team-size/", "Find the Team Size")</f>
        <v/>
      </c>
      <c r="C2520" s="1" t="n">
        <v>344</v>
      </c>
      <c r="D2520" s="1" t="n">
        <v>16</v>
      </c>
      <c r="E2520" s="4">
        <f>IF(INDEX(C:C, ROW())+INDEX(D:D, ROW())=0, 0, INDEX(C:C, ROW())/(INDEX(C:C, ROW())+INDEX(D:D, ROW())))</f>
        <v/>
      </c>
      <c r="F2520" s="1" t="inlineStr">
        <is>
          <t>Database</t>
        </is>
      </c>
      <c r="G2520" s="1" t="inlineStr">
        <is>
          <t>Easy</t>
        </is>
      </c>
      <c r="H2520" s="1" t="n">
        <v>81768</v>
      </c>
      <c r="I2520" s="1" t="n">
        <v>91320</v>
      </c>
      <c r="J2520" s="9" t="n">
        <v>0.895</v>
      </c>
      <c r="K2520" s="1" t="inlineStr">
        <is>
          <t>No</t>
        </is>
      </c>
      <c r="L2520" s="1" t="inlineStr">
        <is>
          <t>No</t>
        </is>
      </c>
      <c r="M2520" s="1" t="inlineStr">
        <is>
          <t>No</t>
        </is>
      </c>
      <c r="N2520" s="1" t="inlineStr">
        <is>
          <t>Database</t>
        </is>
      </c>
      <c r="O25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20" s="11" t="inlineStr">
        <is>
          <t>To Do</t>
        </is>
      </c>
    </row>
    <row r="2521" ht="15.75" customHeight="1" s="12">
      <c r="A2521" s="1" t="n">
        <v>1564</v>
      </c>
      <c r="B2521" s="3">
        <f>HYPERLINK("https://leetcode.com/problems/put-boxes-into-the-warehouse-i/", "Put Boxes Into the Warehouse I")</f>
        <v/>
      </c>
      <c r="C2521" s="1" t="n">
        <v>344</v>
      </c>
      <c r="D2521" s="1" t="n">
        <v>30</v>
      </c>
      <c r="E2521" s="4">
        <f>IF(INDEX(C:C, ROW())+INDEX(D:D, ROW())=0, 0, INDEX(C:C, ROW())/(INDEX(C:C, ROW())+INDEX(D:D, ROW())))</f>
        <v/>
      </c>
      <c r="F2521" s="1" t="inlineStr">
        <is>
          <t>Array, Greedy, Sorting</t>
        </is>
      </c>
      <c r="G2521" s="1" t="inlineStr">
        <is>
          <t>Medium</t>
        </is>
      </c>
      <c r="H2521" s="1" t="n">
        <v>19616</v>
      </c>
      <c r="I2521" s="1" t="n">
        <v>29055</v>
      </c>
      <c r="J2521" s="9" t="n">
        <v>0.675</v>
      </c>
      <c r="K2521" s="1" t="inlineStr">
        <is>
          <t>No</t>
        </is>
      </c>
      <c r="L2521" s="1" t="inlineStr">
        <is>
          <t>Yes</t>
        </is>
      </c>
      <c r="M2521" s="1" t="inlineStr">
        <is>
          <t>No</t>
        </is>
      </c>
      <c r="N2521" s="1" t="inlineStr">
        <is>
          <t>Algorithms</t>
        </is>
      </c>
      <c r="O25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21" s="11" t="inlineStr">
        <is>
          <t>To Do</t>
        </is>
      </c>
    </row>
    <row r="2522" ht="15.75" customHeight="1" s="12">
      <c r="A2522" s="1" t="n">
        <v>1659</v>
      </c>
      <c r="B2522" s="3">
        <f>HYPERLINK("https://leetcode.com/problems/maximize-grid-happiness/", "Maximize Grid Happiness")</f>
        <v/>
      </c>
      <c r="C2522" s="1" t="n">
        <v>344</v>
      </c>
      <c r="D2522" s="1" t="n">
        <v>56</v>
      </c>
      <c r="E2522" s="4">
        <f>IF(INDEX(C:C, ROW())+INDEX(D:D, ROW())=0, 0, INDEX(C:C, ROW())/(INDEX(C:C, ROW())+INDEX(D:D, ROW())))</f>
        <v/>
      </c>
      <c r="F2522" s="1" t="inlineStr">
        <is>
          <t>Dynamic Programming, Bit Manipulation, Memoization, Bitmask</t>
        </is>
      </c>
      <c r="G2522" s="1" t="inlineStr">
        <is>
          <t>Hard</t>
        </is>
      </c>
      <c r="H2522" s="1" t="n">
        <v>7570</v>
      </c>
      <c r="I2522" s="1" t="n">
        <v>18484</v>
      </c>
      <c r="J2522" s="9" t="n">
        <v>0.41</v>
      </c>
      <c r="K2522" s="1" t="inlineStr">
        <is>
          <t>Yes</t>
        </is>
      </c>
      <c r="L2522" s="1" t="inlineStr">
        <is>
          <t>No</t>
        </is>
      </c>
      <c r="M2522" s="1" t="inlineStr">
        <is>
          <t>No</t>
        </is>
      </c>
      <c r="N2522" s="1" t="inlineStr">
        <is>
          <t>Algorithms</t>
        </is>
      </c>
      <c r="O25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22" s="11" t="inlineStr">
        <is>
          <t>To Do</t>
        </is>
      </c>
    </row>
    <row r="2523" ht="15.75" customHeight="1" s="12">
      <c r="A2523" s="1" t="n">
        <v>2526</v>
      </c>
      <c r="B2523" s="3">
        <f>HYPERLINK("https://leetcode.com/problems/find-consecutive-integers-from-a-data-stream/", "Find Consecutive Integers from a Data Stream")</f>
        <v/>
      </c>
      <c r="C2523" s="1" t="n">
        <v>344</v>
      </c>
      <c r="D2523" s="1" t="n">
        <v>41</v>
      </c>
      <c r="E2523" s="4">
        <f>IF(INDEX(C:C, ROW())+INDEX(D:D, ROW())=0, 0, INDEX(C:C, ROW())/(INDEX(C:C, ROW())+INDEX(D:D, ROW())))</f>
        <v/>
      </c>
      <c r="F2523" s="1" t="inlineStr">
        <is>
          <t>Hash Table, Design, Queue, Counting, Data Stream</t>
        </is>
      </c>
      <c r="G2523" s="1" t="inlineStr">
        <is>
          <t>Medium</t>
        </is>
      </c>
      <c r="H2523" s="1" t="n">
        <v>37730</v>
      </c>
      <c r="I2523" s="1" t="n">
        <v>73751</v>
      </c>
      <c r="J2523" s="9" t="n">
        <v>0.512</v>
      </c>
      <c r="K2523" s="1" t="inlineStr">
        <is>
          <t>Yes</t>
        </is>
      </c>
      <c r="L2523" s="1" t="inlineStr">
        <is>
          <t>No</t>
        </is>
      </c>
      <c r="M2523" s="1" t="inlineStr">
        <is>
          <t>No</t>
        </is>
      </c>
      <c r="N2523" s="1" t="inlineStr">
        <is>
          <t>Algorithms</t>
        </is>
      </c>
      <c r="O25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23" s="11" t="inlineStr">
        <is>
          <t>To Do</t>
        </is>
      </c>
    </row>
    <row r="2524" ht="15.75" customHeight="1" s="12">
      <c r="A2524" s="1" t="n">
        <v>2710</v>
      </c>
      <c r="B2524" s="3">
        <f>HYPERLINK("https://leetcode.com/problems/remove-trailing-zeros-from-a-string/", "Remove Trailing Zeros From a String")</f>
        <v/>
      </c>
      <c r="C2524" s="1" t="n">
        <v>344</v>
      </c>
      <c r="D2524" s="1" t="n">
        <v>13</v>
      </c>
      <c r="E2524" s="4">
        <f>IF(INDEX(C:C, ROW())+INDEX(D:D, ROW())=0, 0, INDEX(C:C, ROW())/(INDEX(C:C, ROW())+INDEX(D:D, ROW())))</f>
        <v/>
      </c>
      <c r="F2524" s="1" t="inlineStr">
        <is>
          <t>String</t>
        </is>
      </c>
      <c r="G2524" s="1" t="inlineStr">
        <is>
          <t>Easy</t>
        </is>
      </c>
      <c r="H2524" s="1" t="n">
        <v>96296</v>
      </c>
      <c r="I2524" s="1" t="n">
        <v>121027</v>
      </c>
      <c r="J2524" s="9" t="n">
        <v>0.796</v>
      </c>
      <c r="K2524" s="1" t="inlineStr">
        <is>
          <t>Yes</t>
        </is>
      </c>
      <c r="L2524" s="1" t="inlineStr">
        <is>
          <t>No</t>
        </is>
      </c>
      <c r="M2524" s="1" t="inlineStr">
        <is>
          <t>No</t>
        </is>
      </c>
      <c r="N2524" s="1" t="inlineStr">
        <is>
          <t>Algorithms</t>
        </is>
      </c>
      <c r="O25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24" s="13" t="inlineStr">
        <is>
          <t>Done</t>
        </is>
      </c>
    </row>
    <row r="2525" ht="15.75" customHeight="1" s="12">
      <c r="A2525" s="1" t="n">
        <v>3721</v>
      </c>
      <c r="B2525" s="3">
        <f>HYPERLINK("https://leetcode.com/problems/longest-balanced-subarray-ii/", "Longest Balanced Subarray II")</f>
        <v/>
      </c>
      <c r="C2525" s="1" t="n">
        <v>344</v>
      </c>
      <c r="D2525" s="1" t="n">
        <v>65</v>
      </c>
      <c r="E2525" s="4">
        <f>IF(INDEX(C:C, ROW())+INDEX(D:D, ROW())=0, 0, INDEX(C:C, ROW())/(INDEX(C:C, ROW())+INDEX(D:D, ROW())))</f>
        <v/>
      </c>
      <c r="F2525" s="1" t="inlineStr">
        <is>
          <t>Array, Hash Table, Divide and Conquer, Segment Tree, Prefix Sum</t>
        </is>
      </c>
      <c r="G2525" s="1" t="inlineStr">
        <is>
          <t>Hard</t>
        </is>
      </c>
      <c r="H2525" s="1" t="n">
        <v>60265</v>
      </c>
      <c r="I2525" s="1" t="n">
        <v>178568</v>
      </c>
      <c r="J2525" s="9" t="n">
        <v>0.337</v>
      </c>
      <c r="K2525" s="1" t="inlineStr">
        <is>
          <t>Yes</t>
        </is>
      </c>
      <c r="L2525" s="1" t="inlineStr">
        <is>
          <t>Yes</t>
        </is>
      </c>
      <c r="M2525" s="1" t="inlineStr">
        <is>
          <t>No</t>
        </is>
      </c>
      <c r="N2525" s="1" t="inlineStr">
        <is>
          <t>Algorithms</t>
        </is>
      </c>
      <c r="O25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25" s="11" t="inlineStr">
        <is>
          <t>To Do</t>
        </is>
      </c>
    </row>
    <row r="2526" ht="15.75" customHeight="1" s="12">
      <c r="A2526" s="1" t="n">
        <v>3512</v>
      </c>
      <c r="B2526" s="3">
        <f>HYPERLINK("https://leetcode.com/problems/minimum-operations-to-make-array-sum-divisible-by-k/", "Minimum Operations to Make Array Sum Divisible by K")</f>
        <v/>
      </c>
      <c r="C2526" s="1" t="n">
        <v>342</v>
      </c>
      <c r="D2526" s="1" t="n">
        <v>38</v>
      </c>
      <c r="E2526" s="4">
        <f>IF(INDEX(C:C, ROW())+INDEX(D:D, ROW())=0, 0, INDEX(C:C, ROW())/(INDEX(C:C, ROW())+INDEX(D:D, ROW())))</f>
        <v/>
      </c>
      <c r="F2526" s="1" t="inlineStr">
        <is>
          <t>Array, Math</t>
        </is>
      </c>
      <c r="G2526" s="1" t="inlineStr">
        <is>
          <t>Easy</t>
        </is>
      </c>
      <c r="H2526" s="1" t="n">
        <v>194385</v>
      </c>
      <c r="I2526" s="1" t="n">
        <v>210536</v>
      </c>
      <c r="J2526" s="9" t="n">
        <v>0.923</v>
      </c>
      <c r="K2526" s="1" t="inlineStr">
        <is>
          <t>Yes</t>
        </is>
      </c>
      <c r="L2526" s="1" t="inlineStr">
        <is>
          <t>Yes</t>
        </is>
      </c>
      <c r="M2526" s="1" t="inlineStr">
        <is>
          <t>No</t>
        </is>
      </c>
      <c r="N2526" s="1" t="inlineStr">
        <is>
          <t>Algorithms</t>
        </is>
      </c>
      <c r="O25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26" s="13" t="inlineStr">
        <is>
          <t>Done</t>
        </is>
      </c>
    </row>
    <row r="2527" ht="15.75" customHeight="1" s="12">
      <c r="A2527" s="1" t="n">
        <v>816</v>
      </c>
      <c r="B2527" s="3">
        <f>HYPERLINK("https://leetcode.com/problems/ambiguous-coordinates/", "Ambiguous Coordinates")</f>
        <v/>
      </c>
      <c r="C2527" s="1" t="n">
        <v>341</v>
      </c>
      <c r="D2527" s="1" t="n">
        <v>668</v>
      </c>
      <c r="E2527" s="4">
        <f>IF(INDEX(C:C, ROW())+INDEX(D:D, ROW())=0, 0, INDEX(C:C, ROW())/(INDEX(C:C, ROW())+INDEX(D:D, ROW())))</f>
        <v/>
      </c>
      <c r="F2527" s="1" t="inlineStr">
        <is>
          <t>String, Backtracking, Enumeration</t>
        </is>
      </c>
      <c r="G2527" s="1" t="inlineStr">
        <is>
          <t>Medium</t>
        </is>
      </c>
      <c r="H2527" s="1" t="n">
        <v>35066</v>
      </c>
      <c r="I2527" s="1" t="n">
        <v>62157</v>
      </c>
      <c r="J2527" s="9" t="n">
        <v>0.5639999999999999</v>
      </c>
      <c r="K2527" s="1" t="inlineStr">
        <is>
          <t>Yes</t>
        </is>
      </c>
      <c r="L2527" s="1" t="inlineStr">
        <is>
          <t>Yes</t>
        </is>
      </c>
      <c r="M2527" s="1" t="inlineStr">
        <is>
          <t>No</t>
        </is>
      </c>
      <c r="N2527" s="1" t="inlineStr">
        <is>
          <t>Algorithms</t>
        </is>
      </c>
      <c r="O25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27" s="11" t="inlineStr">
        <is>
          <t>To Do</t>
        </is>
      </c>
    </row>
    <row r="2528" ht="15.75" customHeight="1" s="12">
      <c r="A2528" s="1" t="n">
        <v>2580</v>
      </c>
      <c r="B2528" s="3">
        <f>HYPERLINK("https://leetcode.com/problems/count-ways-to-group-overlapping-ranges/", "Count Ways to Group Overlapping Ranges")</f>
        <v/>
      </c>
      <c r="C2528" s="1" t="n">
        <v>341</v>
      </c>
      <c r="D2528" s="1" t="n">
        <v>27</v>
      </c>
      <c r="E2528" s="4">
        <f>IF(INDEX(C:C, ROW())+INDEX(D:D, ROW())=0, 0, INDEX(C:C, ROW())/(INDEX(C:C, ROW())+INDEX(D:D, ROW())))</f>
        <v/>
      </c>
      <c r="F2528" s="1" t="inlineStr">
        <is>
          <t>Array, Sorting</t>
        </is>
      </c>
      <c r="G2528" s="1" t="inlineStr">
        <is>
          <t>Medium</t>
        </is>
      </c>
      <c r="H2528" s="1" t="n">
        <v>23988</v>
      </c>
      <c r="I2528" s="1" t="n">
        <v>60924</v>
      </c>
      <c r="J2528" s="9" t="n">
        <v>0.394</v>
      </c>
      <c r="K2528" s="1" t="inlineStr">
        <is>
          <t>Yes</t>
        </is>
      </c>
      <c r="L2528" s="1" t="inlineStr">
        <is>
          <t>No</t>
        </is>
      </c>
      <c r="M2528" s="1" t="inlineStr">
        <is>
          <t>No</t>
        </is>
      </c>
      <c r="N2528" s="1" t="inlineStr">
        <is>
          <t>Algorithms</t>
        </is>
      </c>
      <c r="O25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28" s="11" t="inlineStr">
        <is>
          <t>To Do</t>
        </is>
      </c>
    </row>
    <row r="2529" ht="15.75" customHeight="1" s="12">
      <c r="A2529" s="1" t="n">
        <v>2745</v>
      </c>
      <c r="B2529" s="3">
        <f>HYPERLINK("https://leetcode.com/problems/construct-the-longest-new-string/", "Construct the Longest New String")</f>
        <v/>
      </c>
      <c r="C2529" s="1" t="n">
        <v>341</v>
      </c>
      <c r="D2529" s="1" t="n">
        <v>29</v>
      </c>
      <c r="E2529" s="4">
        <f>IF(INDEX(C:C, ROW())+INDEX(D:D, ROW())=0, 0, INDEX(C:C, ROW())/(INDEX(C:C, ROW())+INDEX(D:D, ROW())))</f>
        <v/>
      </c>
      <c r="F2529" s="1" t="inlineStr">
        <is>
          <t>Math, Dynamic Programming, Greedy, Brainteaser</t>
        </is>
      </c>
      <c r="G2529" s="1" t="inlineStr">
        <is>
          <t>Medium</t>
        </is>
      </c>
      <c r="H2529" s="1" t="n">
        <v>27003</v>
      </c>
      <c r="I2529" s="1" t="n">
        <v>49289</v>
      </c>
      <c r="J2529" s="9" t="n">
        <v>0.548</v>
      </c>
      <c r="K2529" s="1" t="inlineStr">
        <is>
          <t>Yes</t>
        </is>
      </c>
      <c r="L2529" s="1" t="inlineStr">
        <is>
          <t>No</t>
        </is>
      </c>
      <c r="M2529" s="1" t="inlineStr">
        <is>
          <t>No</t>
        </is>
      </c>
      <c r="N2529" s="1" t="inlineStr">
        <is>
          <t>Algorithms</t>
        </is>
      </c>
      <c r="O25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29" s="11" t="inlineStr">
        <is>
          <t>To Do</t>
        </is>
      </c>
    </row>
    <row r="2530" ht="15.75" customHeight="1" s="12">
      <c r="A2530" s="1" t="n">
        <v>569</v>
      </c>
      <c r="B2530" s="3">
        <f>HYPERLINK("https://leetcode.com/problems/median-employee-salary/", "Median Employee Salary")</f>
        <v/>
      </c>
      <c r="C2530" s="1" t="n">
        <v>340</v>
      </c>
      <c r="D2530" s="1" t="n">
        <v>156</v>
      </c>
      <c r="E2530" s="4">
        <f>IF(INDEX(C:C, ROW())+INDEX(D:D, ROW())=0, 0, INDEX(C:C, ROW())/(INDEX(C:C, ROW())+INDEX(D:D, ROW())))</f>
        <v/>
      </c>
      <c r="F2530" s="1" t="inlineStr">
        <is>
          <t>Database</t>
        </is>
      </c>
      <c r="G2530" s="1" t="inlineStr">
        <is>
          <t>Hard</t>
        </is>
      </c>
      <c r="H2530" s="1" t="n">
        <v>51213</v>
      </c>
      <c r="I2530" s="1" t="n">
        <v>77725</v>
      </c>
      <c r="J2530" s="9" t="n">
        <v>0.659</v>
      </c>
      <c r="K2530" s="1" t="inlineStr">
        <is>
          <t>No</t>
        </is>
      </c>
      <c r="L2530" s="1" t="inlineStr">
        <is>
          <t>Yes</t>
        </is>
      </c>
      <c r="M2530" s="1" t="inlineStr">
        <is>
          <t>No</t>
        </is>
      </c>
      <c r="N2530" s="1" t="inlineStr">
        <is>
          <t>Database</t>
        </is>
      </c>
      <c r="O25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30" s="11" t="inlineStr">
        <is>
          <t>To Do</t>
        </is>
      </c>
    </row>
    <row r="2531" ht="15.75" customHeight="1" s="12">
      <c r="A2531" s="1" t="n">
        <v>1560</v>
      </c>
      <c r="B2531" s="3">
        <f>HYPERLINK("https://leetcode.com/problems/most-visited-sector-in-a-circular-track/", "Most Visited Sector in  a Circular Track")</f>
        <v/>
      </c>
      <c r="C2531" s="1" t="n">
        <v>340</v>
      </c>
      <c r="D2531" s="1" t="n">
        <v>677</v>
      </c>
      <c r="E2531" s="4">
        <f>IF(INDEX(C:C, ROW())+INDEX(D:D, ROW())=0, 0, INDEX(C:C, ROW())/(INDEX(C:C, ROW())+INDEX(D:D, ROW())))</f>
        <v/>
      </c>
      <c r="F2531" s="1" t="inlineStr">
        <is>
          <t>Array, Simulation</t>
        </is>
      </c>
      <c r="G2531" s="1" t="inlineStr">
        <is>
          <t>Easy</t>
        </is>
      </c>
      <c r="H2531" s="1" t="n">
        <v>40093</v>
      </c>
      <c r="I2531" s="1" t="n">
        <v>66918</v>
      </c>
      <c r="J2531" s="9" t="n">
        <v>0.599</v>
      </c>
      <c r="K2531" s="1" t="inlineStr">
        <is>
          <t>Yes</t>
        </is>
      </c>
      <c r="L2531" s="1" t="inlineStr">
        <is>
          <t>No</t>
        </is>
      </c>
      <c r="M2531" s="1" t="inlineStr">
        <is>
          <t>No</t>
        </is>
      </c>
      <c r="N2531" s="1" t="inlineStr">
        <is>
          <t>Algorithms</t>
        </is>
      </c>
      <c r="O25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31" s="13" t="inlineStr">
        <is>
          <t>Done</t>
        </is>
      </c>
    </row>
    <row r="2532" ht="15.75" customHeight="1" s="12">
      <c r="A2532" s="1" t="n">
        <v>2681</v>
      </c>
      <c r="B2532" s="3">
        <f>HYPERLINK("https://leetcode.com/problems/power-of-heroes/", "Power of Heroes")</f>
        <v/>
      </c>
      <c r="C2532" s="1" t="n">
        <v>340</v>
      </c>
      <c r="D2532" s="1" t="n">
        <v>16</v>
      </c>
      <c r="E2532" s="4">
        <f>IF(INDEX(C:C, ROW())+INDEX(D:D, ROW())=0, 0, INDEX(C:C, ROW())/(INDEX(C:C, ROW())+INDEX(D:D, ROW())))</f>
        <v/>
      </c>
      <c r="F2532" s="1" t="inlineStr">
        <is>
          <t>Array, Math, Dynamic Programming, Sorting, Prefix Sum</t>
        </is>
      </c>
      <c r="G2532" s="1" t="inlineStr">
        <is>
          <t>Hard</t>
        </is>
      </c>
      <c r="H2532" s="1" t="n">
        <v>13016</v>
      </c>
      <c r="I2532" s="1" t="n">
        <v>41238</v>
      </c>
      <c r="J2532" s="9" t="n">
        <v>0.316</v>
      </c>
      <c r="K2532" s="1" t="inlineStr">
        <is>
          <t>Yes</t>
        </is>
      </c>
      <c r="L2532" s="1" t="inlineStr">
        <is>
          <t>No</t>
        </is>
      </c>
      <c r="M2532" s="1" t="inlineStr">
        <is>
          <t>No</t>
        </is>
      </c>
      <c r="N2532" s="1" t="inlineStr">
        <is>
          <t>Algorithms</t>
        </is>
      </c>
      <c r="O25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32" s="11" t="inlineStr">
        <is>
          <t>To Do</t>
        </is>
      </c>
    </row>
    <row r="2533" ht="15.75" customHeight="1" s="12">
      <c r="A2533" s="1" t="n">
        <v>1362</v>
      </c>
      <c r="B2533" s="3">
        <f>HYPERLINK("https://leetcode.com/problems/closest-divisors/", "Closest Divisors")</f>
        <v/>
      </c>
      <c r="C2533" s="1" t="n">
        <v>339</v>
      </c>
      <c r="D2533" s="1" t="n">
        <v>101</v>
      </c>
      <c r="E2533" s="4">
        <f>IF(INDEX(C:C, ROW())+INDEX(D:D, ROW())=0, 0, INDEX(C:C, ROW())/(INDEX(C:C, ROW())+INDEX(D:D, ROW())))</f>
        <v/>
      </c>
      <c r="F2533" s="1" t="inlineStr">
        <is>
          <t>Math</t>
        </is>
      </c>
      <c r="G2533" s="1" t="inlineStr">
        <is>
          <t>Medium</t>
        </is>
      </c>
      <c r="H2533" s="1" t="n">
        <v>29160</v>
      </c>
      <c r="I2533" s="1" t="n">
        <v>46905</v>
      </c>
      <c r="J2533" s="9" t="n">
        <v>0.622</v>
      </c>
      <c r="K2533" s="1" t="inlineStr">
        <is>
          <t>Yes</t>
        </is>
      </c>
      <c r="L2533" s="1" t="inlineStr">
        <is>
          <t>No</t>
        </is>
      </c>
      <c r="M2533" s="1" t="inlineStr">
        <is>
          <t>No</t>
        </is>
      </c>
      <c r="N2533" s="1" t="inlineStr">
        <is>
          <t>Algorithms</t>
        </is>
      </c>
      <c r="O25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33" s="11" t="inlineStr">
        <is>
          <t>To Do</t>
        </is>
      </c>
    </row>
    <row r="2534" ht="15.75" customHeight="1" s="12">
      <c r="A2534" s="1" t="n">
        <v>1604</v>
      </c>
      <c r="B2534" s="3">
        <f>HYPERLINK("https://leetcode.com/problems/alert-using-same-key-card-three-or-more-times-in-a-one-hour-period/", "Alert Using Same Key-Card Three or More Times in a One Hour Period")</f>
        <v/>
      </c>
      <c r="C2534" s="1" t="n">
        <v>339</v>
      </c>
      <c r="D2534" s="1" t="n">
        <v>441</v>
      </c>
      <c r="E2534" s="4">
        <f>IF(INDEX(C:C, ROW())+INDEX(D:D, ROW())=0, 0, INDEX(C:C, ROW())/(INDEX(C:C, ROW())+INDEX(D:D, ROW())))</f>
        <v/>
      </c>
      <c r="F2534" s="1" t="inlineStr">
        <is>
          <t>Array, Hash Table, String, Sorting</t>
        </is>
      </c>
      <c r="G2534" s="1" t="inlineStr">
        <is>
          <t>Medium</t>
        </is>
      </c>
      <c r="H2534" s="1" t="n">
        <v>49803</v>
      </c>
      <c r="I2534" s="1" t="n">
        <v>107704</v>
      </c>
      <c r="J2534" s="9" t="n">
        <v>0.462</v>
      </c>
      <c r="K2534" s="1" t="inlineStr">
        <is>
          <t>Yes</t>
        </is>
      </c>
      <c r="L2534" s="1" t="inlineStr">
        <is>
          <t>No</t>
        </is>
      </c>
      <c r="M2534" s="1" t="inlineStr">
        <is>
          <t>No</t>
        </is>
      </c>
      <c r="N2534" s="1" t="inlineStr">
        <is>
          <t>Algorithms</t>
        </is>
      </c>
      <c r="O25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34" s="11" t="inlineStr">
        <is>
          <t>To Do</t>
        </is>
      </c>
    </row>
    <row r="2535" ht="15.75" customHeight="1" s="12">
      <c r="A2535" s="1" t="n">
        <v>1737</v>
      </c>
      <c r="B2535" s="3">
        <f>HYPERLINK("https://leetcode.com/problems/change-minimum-characters-to-satisfy-one-of-three-conditions/", "Change Minimum Characters to Satisfy One of Three Conditions")</f>
        <v/>
      </c>
      <c r="C2535" s="1" t="n">
        <v>339</v>
      </c>
      <c r="D2535" s="1" t="n">
        <v>346</v>
      </c>
      <c r="E2535" s="4">
        <f>IF(INDEX(C:C, ROW())+INDEX(D:D, ROW())=0, 0, INDEX(C:C, ROW())/(INDEX(C:C, ROW())+INDEX(D:D, ROW())))</f>
        <v/>
      </c>
      <c r="F2535" s="1" t="inlineStr">
        <is>
          <t>Hash Table, String, Counting, Prefix Sum</t>
        </is>
      </c>
      <c r="G2535" s="1" t="inlineStr">
        <is>
          <t>Medium</t>
        </is>
      </c>
      <c r="H2535" s="1" t="n">
        <v>16647</v>
      </c>
      <c r="I2535" s="1" t="n">
        <v>43901</v>
      </c>
      <c r="J2535" s="9" t="n">
        <v>0.379</v>
      </c>
      <c r="K2535" s="1" t="inlineStr">
        <is>
          <t>Yes</t>
        </is>
      </c>
      <c r="L2535" s="1" t="inlineStr">
        <is>
          <t>No</t>
        </is>
      </c>
      <c r="M2535" s="1" t="inlineStr">
        <is>
          <t>No</t>
        </is>
      </c>
      <c r="N2535" s="1" t="inlineStr">
        <is>
          <t>Algorithms</t>
        </is>
      </c>
      <c r="O25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35" s="11" t="inlineStr">
        <is>
          <t>To Do</t>
        </is>
      </c>
    </row>
    <row r="2536" ht="15.75" customHeight="1" s="12">
      <c r="A2536" s="1" t="n">
        <v>1073</v>
      </c>
      <c r="B2536" s="3">
        <f>HYPERLINK("https://leetcode.com/problems/adding-two-negabinary-numbers/", "Adding Two Negabinary Numbers")</f>
        <v/>
      </c>
      <c r="C2536" s="1" t="n">
        <v>338</v>
      </c>
      <c r="D2536" s="1" t="n">
        <v>131</v>
      </c>
      <c r="E2536" s="4">
        <f>IF(INDEX(C:C, ROW())+INDEX(D:D, ROW())=0, 0, INDEX(C:C, ROW())/(INDEX(C:C, ROW())+INDEX(D:D, ROW())))</f>
        <v/>
      </c>
      <c r="F2536" s="1" t="inlineStr">
        <is>
          <t>Array, Math</t>
        </is>
      </c>
      <c r="G2536" s="1" t="inlineStr">
        <is>
          <t>Medium</t>
        </is>
      </c>
      <c r="H2536" s="1" t="n">
        <v>22139</v>
      </c>
      <c r="I2536" s="1" t="n">
        <v>58462</v>
      </c>
      <c r="J2536" s="9" t="n">
        <v>0.379</v>
      </c>
      <c r="K2536" s="1" t="inlineStr">
        <is>
          <t>Yes</t>
        </is>
      </c>
      <c r="L2536" s="1" t="inlineStr">
        <is>
          <t>No</t>
        </is>
      </c>
      <c r="M2536" s="1" t="inlineStr">
        <is>
          <t>No</t>
        </is>
      </c>
      <c r="N2536" s="1" t="inlineStr">
        <is>
          <t>Algorithms</t>
        </is>
      </c>
      <c r="O25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36" s="11" t="inlineStr">
        <is>
          <t>To Do</t>
        </is>
      </c>
    </row>
    <row r="2537" ht="15.75" customHeight="1" s="12">
      <c r="A2537" s="1" t="n">
        <v>1316</v>
      </c>
      <c r="B2537" s="3">
        <f>HYPERLINK("https://leetcode.com/problems/distinct-echo-substrings/", "Distinct Echo Substrings")</f>
        <v/>
      </c>
      <c r="C2537" s="1" t="n">
        <v>338</v>
      </c>
      <c r="D2537" s="1" t="n">
        <v>208</v>
      </c>
      <c r="E2537" s="4">
        <f>IF(INDEX(C:C, ROW())+INDEX(D:D, ROW())=0, 0, INDEX(C:C, ROW())/(INDEX(C:C, ROW())+INDEX(D:D, ROW())))</f>
        <v/>
      </c>
      <c r="F2537" s="1" t="inlineStr">
        <is>
          <t>String, Trie, Rolling Hash, Hash Function</t>
        </is>
      </c>
      <c r="G2537" s="1" t="inlineStr">
        <is>
          <t>Hard</t>
        </is>
      </c>
      <c r="H2537" s="1" t="n">
        <v>22596</v>
      </c>
      <c r="I2537" s="1" t="n">
        <v>42476</v>
      </c>
      <c r="J2537" s="9" t="n">
        <v>0.532</v>
      </c>
      <c r="K2537" s="1" t="inlineStr">
        <is>
          <t>Yes</t>
        </is>
      </c>
      <c r="L2537" s="1" t="inlineStr">
        <is>
          <t>No</t>
        </is>
      </c>
      <c r="M2537" s="1" t="inlineStr">
        <is>
          <t>No</t>
        </is>
      </c>
      <c r="N2537" s="1" t="inlineStr">
        <is>
          <t>Algorithms</t>
        </is>
      </c>
      <c r="O25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37" s="11" t="inlineStr">
        <is>
          <t>To Do</t>
        </is>
      </c>
    </row>
    <row r="2538" ht="15.75" customHeight="1" s="12">
      <c r="A2538" s="1" t="n">
        <v>1756</v>
      </c>
      <c r="B2538" s="3">
        <f>HYPERLINK("https://leetcode.com/problems/design-most-recently-used-queue/", "Design Most Recently Used Queue")</f>
        <v/>
      </c>
      <c r="C2538" s="1" t="n">
        <v>338</v>
      </c>
      <c r="D2538" s="1" t="n">
        <v>28</v>
      </c>
      <c r="E2538" s="4">
        <f>IF(INDEX(C:C, ROW())+INDEX(D:D, ROW())=0, 0, INDEX(C:C, ROW())/(INDEX(C:C, ROW())+INDEX(D:D, ROW())))</f>
        <v/>
      </c>
      <c r="F2538" s="1" t="inlineStr">
        <is>
          <t>Array, Linked List, Divide and Conquer, Design, Simulation, Doubly-Linked List</t>
        </is>
      </c>
      <c r="G2538" s="1" t="inlineStr">
        <is>
          <t>Medium</t>
        </is>
      </c>
      <c r="H2538" s="1" t="n">
        <v>27637</v>
      </c>
      <c r="I2538" s="1" t="n">
        <v>35289</v>
      </c>
      <c r="J2538" s="9" t="n">
        <v>0.783</v>
      </c>
      <c r="K2538" s="1" t="inlineStr">
        <is>
          <t>No</t>
        </is>
      </c>
      <c r="L2538" s="1" t="inlineStr">
        <is>
          <t>Yes</t>
        </is>
      </c>
      <c r="M2538" s="1" t="inlineStr">
        <is>
          <t>No</t>
        </is>
      </c>
      <c r="N2538" s="1" t="inlineStr">
        <is>
          <t>Algorithms</t>
        </is>
      </c>
      <c r="O25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38" s="11" t="inlineStr">
        <is>
          <t>To Do</t>
        </is>
      </c>
    </row>
    <row r="2539" ht="15.75" customHeight="1" s="12">
      <c r="A2539" s="1" t="n">
        <v>2600</v>
      </c>
      <c r="B2539" s="3">
        <f>HYPERLINK("https://leetcode.com/problems/k-items-with-the-maximum-sum/", "K Items With the Maximum Sum")</f>
        <v/>
      </c>
      <c r="C2539" s="1" t="n">
        <v>338</v>
      </c>
      <c r="D2539" s="1" t="n">
        <v>40</v>
      </c>
      <c r="E2539" s="4">
        <f>IF(INDEX(C:C, ROW())+INDEX(D:D, ROW())=0, 0, INDEX(C:C, ROW())/(INDEX(C:C, ROW())+INDEX(D:D, ROW())))</f>
        <v/>
      </c>
      <c r="F2539" s="1" t="inlineStr">
        <is>
          <t>Math, Greedy</t>
        </is>
      </c>
      <c r="G2539" s="1" t="inlineStr">
        <is>
          <t>Easy</t>
        </is>
      </c>
      <c r="H2539" s="1" t="n">
        <v>64594</v>
      </c>
      <c r="I2539" s="1" t="n">
        <v>107229</v>
      </c>
      <c r="J2539" s="9" t="n">
        <v>0.602</v>
      </c>
      <c r="K2539" s="1" t="inlineStr">
        <is>
          <t>Yes</t>
        </is>
      </c>
      <c r="L2539" s="1" t="inlineStr">
        <is>
          <t>No</t>
        </is>
      </c>
      <c r="M2539" s="1" t="inlineStr">
        <is>
          <t>No</t>
        </is>
      </c>
      <c r="N2539" s="1" t="inlineStr">
        <is>
          <t>Algorithms</t>
        </is>
      </c>
      <c r="O25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39" s="13" t="inlineStr">
        <is>
          <t>Done</t>
        </is>
      </c>
    </row>
    <row r="2540" ht="15.75" customHeight="1" s="12">
      <c r="A2540" s="1" t="n">
        <v>3606</v>
      </c>
      <c r="B2540" s="3">
        <f>HYPERLINK("https://leetcode.com/problems/coupon-code-validator/", "Coupon Code Validator")</f>
        <v/>
      </c>
      <c r="C2540" s="1" t="n">
        <v>337</v>
      </c>
      <c r="D2540" s="1" t="n">
        <v>107</v>
      </c>
      <c r="E2540" s="4">
        <f>IF(INDEX(C:C, ROW())+INDEX(D:D, ROW())=0, 0, INDEX(C:C, ROW())/(INDEX(C:C, ROW())+INDEX(D:D, ROW())))</f>
        <v/>
      </c>
      <c r="F2540" s="1" t="inlineStr">
        <is>
          <t>Array, Hash Table, String, Sorting</t>
        </is>
      </c>
      <c r="G2540" s="1" t="inlineStr">
        <is>
          <t>Easy</t>
        </is>
      </c>
      <c r="H2540" s="1" t="n">
        <v>126272</v>
      </c>
      <c r="I2540" s="1" t="n">
        <v>194575</v>
      </c>
      <c r="J2540" s="9" t="n">
        <v>0.649</v>
      </c>
      <c r="K2540" s="1" t="inlineStr">
        <is>
          <t>Yes</t>
        </is>
      </c>
      <c r="L2540" s="1" t="inlineStr">
        <is>
          <t>Yes</t>
        </is>
      </c>
      <c r="M2540" s="1" t="inlineStr">
        <is>
          <t>No</t>
        </is>
      </c>
      <c r="N2540" s="1" t="inlineStr">
        <is>
          <t>Algorithms</t>
        </is>
      </c>
      <c r="O25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40" s="13" t="inlineStr">
        <is>
          <t>Done</t>
        </is>
      </c>
    </row>
    <row r="2541" ht="15.75" customHeight="1" s="12">
      <c r="A2541" s="1" t="n">
        <v>3548</v>
      </c>
      <c r="B2541" s="3">
        <f>HYPERLINK("https://leetcode.com/problems/equal-sum-grid-partition-ii/", "Equal Sum Grid Partition II")</f>
        <v/>
      </c>
      <c r="C2541" s="1" t="n">
        <v>336</v>
      </c>
      <c r="D2541" s="1" t="n">
        <v>75</v>
      </c>
      <c r="E2541" s="4">
        <f>IF(INDEX(C:C, ROW())+INDEX(D:D, ROW())=0, 0, INDEX(C:C, ROW())/(INDEX(C:C, ROW())+INDEX(D:D, ROW())))</f>
        <v/>
      </c>
      <c r="F2541" s="1" t="inlineStr">
        <is>
          <t>Array, Hash Table, Matrix, Enumeration, Prefix Sum</t>
        </is>
      </c>
      <c r="G2541" s="1" t="inlineStr">
        <is>
          <t>Hard</t>
        </is>
      </c>
      <c r="H2541" s="1" t="n">
        <v>68213</v>
      </c>
      <c r="I2541" s="1" t="n">
        <v>173037</v>
      </c>
      <c r="J2541" s="9" t="n">
        <v>0.394</v>
      </c>
      <c r="K2541" s="1" t="inlineStr">
        <is>
          <t>Yes</t>
        </is>
      </c>
      <c r="L2541" s="1" t="inlineStr">
        <is>
          <t>Yes</t>
        </is>
      </c>
      <c r="M2541" s="1" t="inlineStr">
        <is>
          <t>No</t>
        </is>
      </c>
      <c r="N2541" s="1" t="inlineStr">
        <is>
          <t>Algorithms</t>
        </is>
      </c>
      <c r="O25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41" s="11" t="inlineStr">
        <is>
          <t>To Do</t>
        </is>
      </c>
    </row>
    <row r="2542" ht="15.75" customHeight="1" s="12">
      <c r="A2542" s="1" t="n">
        <v>1063</v>
      </c>
      <c r="B2542" s="3">
        <f>HYPERLINK("https://leetcode.com/problems/number-of-valid-subarrays/", "Number of Valid Subarrays")</f>
        <v/>
      </c>
      <c r="C2542" s="1" t="n">
        <v>335</v>
      </c>
      <c r="D2542" s="1" t="n">
        <v>18</v>
      </c>
      <c r="E2542" s="4">
        <f>IF(INDEX(C:C, ROW())+INDEX(D:D, ROW())=0, 0, INDEX(C:C, ROW())/(INDEX(C:C, ROW())+INDEX(D:D, ROW())))</f>
        <v/>
      </c>
      <c r="F2542" s="1" t="inlineStr">
        <is>
          <t>Array, Stack, Monotonic Stack</t>
        </is>
      </c>
      <c r="G2542" s="1" t="inlineStr">
        <is>
          <t>Hard</t>
        </is>
      </c>
      <c r="H2542" s="1" t="n">
        <v>19666</v>
      </c>
      <c r="I2542" s="1" t="n">
        <v>24598</v>
      </c>
      <c r="J2542" s="9" t="n">
        <v>0.799</v>
      </c>
      <c r="K2542" s="1" t="inlineStr">
        <is>
          <t>No</t>
        </is>
      </c>
      <c r="L2542" s="1" t="inlineStr">
        <is>
          <t>Yes</t>
        </is>
      </c>
      <c r="M2542" s="1" t="inlineStr">
        <is>
          <t>No</t>
        </is>
      </c>
      <c r="N2542" s="1" t="inlineStr">
        <is>
          <t>Algorithms</t>
        </is>
      </c>
      <c r="O25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42" s="11" t="inlineStr">
        <is>
          <t>To Do</t>
        </is>
      </c>
    </row>
    <row r="2543" ht="15.75" customHeight="1" s="12">
      <c r="A2543" s="1" t="n">
        <v>3661</v>
      </c>
      <c r="B2543" s="3">
        <f>HYPERLINK("https://leetcode.com/problems/maximum-walls-destroyed-by-robots/", "Maximum Walls Destroyed by Robots")</f>
        <v/>
      </c>
      <c r="C2543" s="1" t="n">
        <v>335</v>
      </c>
      <c r="D2543" s="1" t="n">
        <v>31</v>
      </c>
      <c r="E2543" s="4">
        <f>IF(INDEX(C:C, ROW())+INDEX(D:D, ROW())=0, 0, INDEX(C:C, ROW())/(INDEX(C:C, ROW())+INDEX(D:D, ROW())))</f>
        <v/>
      </c>
      <c r="F2543" s="1" t="inlineStr">
        <is>
          <t>Array, Binary Search, Dynamic Programming, Sorting</t>
        </is>
      </c>
      <c r="G2543" s="1" t="inlineStr">
        <is>
          <t>Hard</t>
        </is>
      </c>
      <c r="H2543" s="1" t="n">
        <v>63695</v>
      </c>
      <c r="I2543" s="1" t="n">
        <v>132747</v>
      </c>
      <c r="J2543" s="9" t="n">
        <v>0.48</v>
      </c>
      <c r="K2543" s="1" t="inlineStr">
        <is>
          <t>Yes</t>
        </is>
      </c>
      <c r="L2543" s="1" t="inlineStr">
        <is>
          <t>Yes</t>
        </is>
      </c>
      <c r="M2543" s="1" t="inlineStr">
        <is>
          <t>No</t>
        </is>
      </c>
      <c r="N2543" s="1" t="inlineStr">
        <is>
          <t>Algorithms</t>
        </is>
      </c>
      <c r="O25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43" s="11" t="inlineStr">
        <is>
          <t>To Do</t>
        </is>
      </c>
    </row>
    <row r="2544" ht="15.75" customHeight="1" s="12">
      <c r="A2544" s="1" t="n">
        <v>1511</v>
      </c>
      <c r="B2544" s="3">
        <f>HYPERLINK("https://leetcode.com/problems/customer-order-frequency/", "Customer Order Frequency")</f>
        <v/>
      </c>
      <c r="C2544" s="1" t="n">
        <v>333</v>
      </c>
      <c r="D2544" s="1" t="n">
        <v>59</v>
      </c>
      <c r="E2544" s="4">
        <f>IF(INDEX(C:C, ROW())+INDEX(D:D, ROW())=0, 0, INDEX(C:C, ROW())/(INDEX(C:C, ROW())+INDEX(D:D, ROW())))</f>
        <v/>
      </c>
      <c r="F2544" s="1" t="inlineStr">
        <is>
          <t>Database</t>
        </is>
      </c>
      <c r="G2544" s="1" t="inlineStr">
        <is>
          <t>Easy</t>
        </is>
      </c>
      <c r="H2544" s="1" t="n">
        <v>53118</v>
      </c>
      <c r="I2544" s="1" t="n">
        <v>79942</v>
      </c>
      <c r="J2544" s="9" t="n">
        <v>0.664</v>
      </c>
      <c r="K2544" s="1" t="inlineStr">
        <is>
          <t>No</t>
        </is>
      </c>
      <c r="L2544" s="1" t="inlineStr">
        <is>
          <t>Yes</t>
        </is>
      </c>
      <c r="M2544" s="1" t="inlineStr">
        <is>
          <t>No</t>
        </is>
      </c>
      <c r="N2544" s="1" t="inlineStr">
        <is>
          <t>Database</t>
        </is>
      </c>
      <c r="O25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44" s="11" t="inlineStr">
        <is>
          <t>To Do</t>
        </is>
      </c>
    </row>
    <row r="2545" ht="15.75" customHeight="1" s="12">
      <c r="A2545" s="1" t="n">
        <v>1602</v>
      </c>
      <c r="B2545" s="3">
        <f>HYPERLINK("https://leetcode.com/problems/find-nearest-right-node-in-binary-tree/", "Find Nearest Right Node in Binary Tree")</f>
        <v/>
      </c>
      <c r="C2545" s="1" t="n">
        <v>333</v>
      </c>
      <c r="D2545" s="1" t="n">
        <v>10</v>
      </c>
      <c r="E2545" s="4">
        <f>IF(INDEX(C:C, ROW())+INDEX(D:D, ROW())=0, 0, INDEX(C:C, ROW())/(INDEX(C:C, ROW())+INDEX(D:D, ROW())))</f>
        <v/>
      </c>
      <c r="F2545" s="1" t="inlineStr">
        <is>
          <t>Tree, Breadth-First Search, Binary Tree</t>
        </is>
      </c>
      <c r="G2545" s="1" t="inlineStr">
        <is>
          <t>Medium</t>
        </is>
      </c>
      <c r="H2545" s="1" t="n">
        <v>25078</v>
      </c>
      <c r="I2545" s="1" t="n">
        <v>33400</v>
      </c>
      <c r="J2545" s="9" t="n">
        <v>0.751</v>
      </c>
      <c r="K2545" s="1" t="inlineStr">
        <is>
          <t>No</t>
        </is>
      </c>
      <c r="L2545" s="1" t="inlineStr">
        <is>
          <t>Yes</t>
        </is>
      </c>
      <c r="M2545" s="1" t="inlineStr">
        <is>
          <t>Yes</t>
        </is>
      </c>
      <c r="N2545" s="1" t="inlineStr">
        <is>
          <t>Algorithms</t>
        </is>
      </c>
      <c r="O25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45" s="11" t="inlineStr">
        <is>
          <t>To Do</t>
        </is>
      </c>
    </row>
    <row r="2546" ht="15.75" customHeight="1" s="12">
      <c r="A2546" s="1" t="n">
        <v>2018</v>
      </c>
      <c r="B2546" s="3">
        <f>HYPERLINK("https://leetcode.com/problems/check-if-word-can-be-placed-in-crossword/", "Check if Word Can Be Placed In Crossword")</f>
        <v/>
      </c>
      <c r="C2546" s="1" t="n">
        <v>333</v>
      </c>
      <c r="D2546" s="1" t="n">
        <v>311</v>
      </c>
      <c r="E2546" s="4">
        <f>IF(INDEX(C:C, ROW())+INDEX(D:D, ROW())=0, 0, INDEX(C:C, ROW())/(INDEX(C:C, ROW())+INDEX(D:D, ROW())))</f>
        <v/>
      </c>
      <c r="F2546" s="1" t="inlineStr">
        <is>
          <t>Array, Matrix, Enumeration</t>
        </is>
      </c>
      <c r="G2546" s="1" t="inlineStr">
        <is>
          <t>Medium</t>
        </is>
      </c>
      <c r="H2546" s="1" t="n">
        <v>28884</v>
      </c>
      <c r="I2546" s="1" t="n">
        <v>56884</v>
      </c>
      <c r="J2546" s="9" t="n">
        <v>0.508</v>
      </c>
      <c r="K2546" s="1" t="inlineStr">
        <is>
          <t>Yes</t>
        </is>
      </c>
      <c r="L2546" s="1" t="inlineStr">
        <is>
          <t>No</t>
        </is>
      </c>
      <c r="M2546" s="1" t="inlineStr">
        <is>
          <t>No</t>
        </is>
      </c>
      <c r="N2546" s="1" t="inlineStr">
        <is>
          <t>Algorithms</t>
        </is>
      </c>
      <c r="O25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46" s="11" t="inlineStr">
        <is>
          <t>To Do</t>
        </is>
      </c>
    </row>
    <row r="2547" ht="15.75" customHeight="1" s="12">
      <c r="A2547" s="1" t="n">
        <v>3423</v>
      </c>
      <c r="B2547" s="3">
        <f>HYPERLINK("https://leetcode.com/problems/maximum-difference-between-adjacent-elements-in-a-circular-array/", "Maximum Difference Between Adjacent Elements in a Circular Array")</f>
        <v/>
      </c>
      <c r="C2547" s="1" t="n">
        <v>333</v>
      </c>
      <c r="D2547" s="1" t="n">
        <v>7</v>
      </c>
      <c r="E2547" s="4">
        <f>IF(INDEX(C:C, ROW())+INDEX(D:D, ROW())=0, 0, INDEX(C:C, ROW())/(INDEX(C:C, ROW())+INDEX(D:D, ROW())))</f>
        <v/>
      </c>
      <c r="F2547" s="1" t="inlineStr">
        <is>
          <t>Array</t>
        </is>
      </c>
      <c r="G2547" s="1" t="inlineStr">
        <is>
          <t>Easy</t>
        </is>
      </c>
      <c r="H2547" s="1" t="n">
        <v>167875</v>
      </c>
      <c r="I2547" s="1" t="n">
        <v>221906</v>
      </c>
      <c r="J2547" s="9" t="n">
        <v>0.757</v>
      </c>
      <c r="K2547" s="1" t="inlineStr">
        <is>
          <t>Yes</t>
        </is>
      </c>
      <c r="L2547" s="1" t="inlineStr">
        <is>
          <t>Yes</t>
        </is>
      </c>
      <c r="M2547" s="1" t="inlineStr">
        <is>
          <t>No</t>
        </is>
      </c>
      <c r="N2547" s="1" t="inlineStr">
        <is>
          <t>Algorithms</t>
        </is>
      </c>
      <c r="O25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47" s="13" t="inlineStr">
        <is>
          <t>Done</t>
        </is>
      </c>
    </row>
    <row r="2548" ht="15.75" customHeight="1" s="12">
      <c r="A2548" s="1" t="n">
        <v>1056</v>
      </c>
      <c r="B2548" s="3">
        <f>HYPERLINK("https://leetcode.com/problems/confusing-number/", "Confusing Number")</f>
        <v/>
      </c>
      <c r="C2548" s="1" t="n">
        <v>332</v>
      </c>
      <c r="D2548" s="1" t="n">
        <v>185</v>
      </c>
      <c r="E2548" s="4">
        <f>IF(INDEX(C:C, ROW())+INDEX(D:D, ROW())=0, 0, INDEX(C:C, ROW())/(INDEX(C:C, ROW())+INDEX(D:D, ROW())))</f>
        <v/>
      </c>
      <c r="F2548" s="1" t="inlineStr">
        <is>
          <t>Math</t>
        </is>
      </c>
      <c r="G2548" s="1" t="inlineStr">
        <is>
          <t>Easy</t>
        </is>
      </c>
      <c r="H2548" s="1" t="n">
        <v>55779</v>
      </c>
      <c r="I2548" s="1" t="n">
        <v>112989</v>
      </c>
      <c r="J2548" s="9" t="n">
        <v>0.494</v>
      </c>
      <c r="K2548" s="1" t="inlineStr">
        <is>
          <t>No</t>
        </is>
      </c>
      <c r="L2548" s="1" t="inlineStr">
        <is>
          <t>Yes</t>
        </is>
      </c>
      <c r="M2548" s="1" t="inlineStr">
        <is>
          <t>Yes</t>
        </is>
      </c>
      <c r="N2548" s="1" t="inlineStr">
        <is>
          <t>Algorithms</t>
        </is>
      </c>
      <c r="O25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48" s="11" t="inlineStr">
        <is>
          <t>To Do</t>
        </is>
      </c>
    </row>
    <row r="2549" ht="15.75" customHeight="1" s="12">
      <c r="A2549" s="1" t="n">
        <v>1228</v>
      </c>
      <c r="B2549" s="3">
        <f>HYPERLINK("https://leetcode.com/problems/missing-number-in-arithmetic-progression/", "Missing Number In Arithmetic Progression")</f>
        <v/>
      </c>
      <c r="C2549" s="1" t="n">
        <v>332</v>
      </c>
      <c r="D2549" s="1" t="n">
        <v>45</v>
      </c>
      <c r="E2549" s="4">
        <f>IF(INDEX(C:C, ROW())+INDEX(D:D, ROW())=0, 0, INDEX(C:C, ROW())/(INDEX(C:C, ROW())+INDEX(D:D, ROW())))</f>
        <v/>
      </c>
      <c r="F2549" s="1" t="inlineStr">
        <is>
          <t>Array, Math</t>
        </is>
      </c>
      <c r="G2549" s="1" t="inlineStr">
        <is>
          <t>Easy</t>
        </is>
      </c>
      <c r="H2549" s="1" t="n">
        <v>32023</v>
      </c>
      <c r="I2549" s="1" t="n">
        <v>61329</v>
      </c>
      <c r="J2549" s="9" t="n">
        <v>0.522</v>
      </c>
      <c r="K2549" s="1" t="inlineStr">
        <is>
          <t>No</t>
        </is>
      </c>
      <c r="L2549" s="1" t="inlineStr">
        <is>
          <t>Yes</t>
        </is>
      </c>
      <c r="M2549" s="1" t="inlineStr">
        <is>
          <t>Yes</t>
        </is>
      </c>
      <c r="N2549" s="1" t="inlineStr">
        <is>
          <t>Algorithms</t>
        </is>
      </c>
      <c r="O25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49" s="11" t="inlineStr">
        <is>
          <t>To Do</t>
        </is>
      </c>
    </row>
    <row r="2550" ht="15.75" customHeight="1" s="12">
      <c r="A2550" s="1" t="n">
        <v>2481</v>
      </c>
      <c r="B2550" s="3">
        <f>HYPERLINK("https://leetcode.com/problems/minimum-cuts-to-divide-a-circle/", "Minimum Cuts to Divide a Circle")</f>
        <v/>
      </c>
      <c r="C2550" s="1" t="n">
        <v>332</v>
      </c>
      <c r="D2550" s="1" t="n">
        <v>63</v>
      </c>
      <c r="E2550" s="4">
        <f>IF(INDEX(C:C, ROW())+INDEX(D:D, ROW())=0, 0, INDEX(C:C, ROW())/(INDEX(C:C, ROW())+INDEX(D:D, ROW())))</f>
        <v/>
      </c>
      <c r="F2550" s="1" t="inlineStr">
        <is>
          <t>Math, Geometry</t>
        </is>
      </c>
      <c r="G2550" s="1" t="inlineStr">
        <is>
          <t>Easy</t>
        </is>
      </c>
      <c r="H2550" s="1" t="n">
        <v>74135</v>
      </c>
      <c r="I2550" s="1" t="n">
        <v>131949</v>
      </c>
      <c r="J2550" s="9" t="n">
        <v>0.5620000000000001</v>
      </c>
      <c r="K2550" s="1" t="inlineStr">
        <is>
          <t>Yes</t>
        </is>
      </c>
      <c r="L2550" s="1" t="inlineStr">
        <is>
          <t>No</t>
        </is>
      </c>
      <c r="M2550" s="1" t="inlineStr">
        <is>
          <t>No</t>
        </is>
      </c>
      <c r="N2550" s="1" t="inlineStr">
        <is>
          <t>Algorithms</t>
        </is>
      </c>
      <c r="O25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50" s="13" t="inlineStr">
        <is>
          <t>Done</t>
        </is>
      </c>
    </row>
    <row r="2551" ht="15.75" customHeight="1" s="12">
      <c r="A2551" s="1" t="n">
        <v>2511</v>
      </c>
      <c r="B2551" s="3">
        <f>HYPERLINK("https://leetcode.com/problems/maximum-enemy-forts-that-can-be-captured/", "Maximum Enemy Forts That Can Be Captured")</f>
        <v/>
      </c>
      <c r="C2551" s="1" t="n">
        <v>332</v>
      </c>
      <c r="D2551" s="1" t="n">
        <v>304</v>
      </c>
      <c r="E2551" s="4">
        <f>IF(INDEX(C:C, ROW())+INDEX(D:D, ROW())=0, 0, INDEX(C:C, ROW())/(INDEX(C:C, ROW())+INDEX(D:D, ROW())))</f>
        <v/>
      </c>
      <c r="F2551" s="1" t="inlineStr">
        <is>
          <t>Array, Two Pointers</t>
        </is>
      </c>
      <c r="G2551" s="1" t="inlineStr">
        <is>
          <t>Easy</t>
        </is>
      </c>
      <c r="H2551" s="1" t="n">
        <v>35055</v>
      </c>
      <c r="I2551" s="1" t="n">
        <v>84782</v>
      </c>
      <c r="J2551" s="9" t="n">
        <v>0.413</v>
      </c>
      <c r="K2551" s="1" t="inlineStr">
        <is>
          <t>Yes</t>
        </is>
      </c>
      <c r="L2551" s="1" t="inlineStr">
        <is>
          <t>No</t>
        </is>
      </c>
      <c r="M2551" s="1" t="inlineStr">
        <is>
          <t>No</t>
        </is>
      </c>
      <c r="N2551" s="1" t="inlineStr">
        <is>
          <t>Algorithms</t>
        </is>
      </c>
      <c r="O25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51" s="13" t="inlineStr">
        <is>
          <t>Done</t>
        </is>
      </c>
    </row>
    <row r="2552" ht="15.75" customHeight="1" s="12">
      <c r="A2552" s="1" t="n">
        <v>3002</v>
      </c>
      <c r="B2552" s="3">
        <f>HYPERLINK("https://leetcode.com/problems/maximum-size-of-a-set-after-removals/", "Maximum Size of a Set After Removals")</f>
        <v/>
      </c>
      <c r="C2552" s="1" t="n">
        <v>332</v>
      </c>
      <c r="D2552" s="1" t="n">
        <v>30</v>
      </c>
      <c r="E2552" s="4">
        <f>IF(INDEX(C:C, ROW())+INDEX(D:D, ROW())=0, 0, INDEX(C:C, ROW())/(INDEX(C:C, ROW())+INDEX(D:D, ROW())))</f>
        <v/>
      </c>
      <c r="F2552" s="1" t="inlineStr">
        <is>
          <t>Array, Hash Table, Greedy</t>
        </is>
      </c>
      <c r="G2552" s="1" t="inlineStr">
        <is>
          <t>Medium</t>
        </is>
      </c>
      <c r="H2552" s="1" t="n">
        <v>20601</v>
      </c>
      <c r="I2552" s="1" t="n">
        <v>44509</v>
      </c>
      <c r="J2552" s="9" t="n">
        <v>0.463</v>
      </c>
      <c r="K2552" s="1" t="inlineStr">
        <is>
          <t>Yes</t>
        </is>
      </c>
      <c r="L2552" s="1" t="inlineStr">
        <is>
          <t>No</t>
        </is>
      </c>
      <c r="M2552" s="1" t="inlineStr">
        <is>
          <t>No</t>
        </is>
      </c>
      <c r="N2552" s="1" t="inlineStr">
        <is>
          <t>Algorithms</t>
        </is>
      </c>
      <c r="O25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52" s="11" t="inlineStr">
        <is>
          <t>To Do</t>
        </is>
      </c>
    </row>
    <row r="2553" ht="15.75" customHeight="1" s="12">
      <c r="A2553" s="1" t="n">
        <v>3484</v>
      </c>
      <c r="B2553" s="3">
        <f>HYPERLINK("https://leetcode.com/problems/design-spreadsheet/", "Design Spreadsheet")</f>
        <v/>
      </c>
      <c r="C2553" s="1" t="n">
        <v>332</v>
      </c>
      <c r="D2553" s="1" t="n">
        <v>31</v>
      </c>
      <c r="E2553" s="4">
        <f>IF(INDEX(C:C, ROW())+INDEX(D:D, ROW())=0, 0, INDEX(C:C, ROW())/(INDEX(C:C, ROW())+INDEX(D:D, ROW())))</f>
        <v/>
      </c>
      <c r="F2553" s="1" t="inlineStr">
        <is>
          <t>Array, Hash Table, String, Design, Matrix</t>
        </is>
      </c>
      <c r="G2553" s="1" t="inlineStr">
        <is>
          <t>Medium</t>
        </is>
      </c>
      <c r="H2553" s="1" t="n">
        <v>120600</v>
      </c>
      <c r="I2553" s="1" t="n">
        <v>162636</v>
      </c>
      <c r="J2553" s="9" t="n">
        <v>0.742</v>
      </c>
      <c r="K2553" s="1" t="inlineStr">
        <is>
          <t>Yes</t>
        </is>
      </c>
      <c r="L2553" s="1" t="inlineStr">
        <is>
          <t>Yes</t>
        </is>
      </c>
      <c r="M2553" s="1" t="inlineStr">
        <is>
          <t>No</t>
        </is>
      </c>
      <c r="N2553" s="1" t="inlineStr">
        <is>
          <t>Algorithms</t>
        </is>
      </c>
      <c r="O25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53" s="11" t="inlineStr">
        <is>
          <t>To Do</t>
        </is>
      </c>
    </row>
    <row r="2554" ht="15.75" customHeight="1" s="12">
      <c r="A2554" s="1" t="n">
        <v>2739</v>
      </c>
      <c r="B2554" s="3">
        <f>HYPERLINK("https://leetcode.com/problems/total-distance-traveled/", "Total Distance Traveled")</f>
        <v/>
      </c>
      <c r="C2554" s="1" t="n">
        <v>331</v>
      </c>
      <c r="D2554" s="1" t="n">
        <v>107</v>
      </c>
      <c r="E2554" s="4">
        <f>IF(INDEX(C:C, ROW())+INDEX(D:D, ROW())=0, 0, INDEX(C:C, ROW())/(INDEX(C:C, ROW())+INDEX(D:D, ROW())))</f>
        <v/>
      </c>
      <c r="F2554" s="1" t="inlineStr">
        <is>
          <t>Math, Simulation</t>
        </is>
      </c>
      <c r="G2554" s="1" t="inlineStr">
        <is>
          <t>Easy</t>
        </is>
      </c>
      <c r="H2554" s="1" t="n">
        <v>63620</v>
      </c>
      <c r="I2554" s="1" t="n">
        <v>153622</v>
      </c>
      <c r="J2554" s="9" t="n">
        <v>0.414</v>
      </c>
      <c r="K2554" s="1" t="inlineStr">
        <is>
          <t>Yes</t>
        </is>
      </c>
      <c r="L2554" s="1" t="inlineStr">
        <is>
          <t>No</t>
        </is>
      </c>
      <c r="M2554" s="1" t="inlineStr">
        <is>
          <t>No</t>
        </is>
      </c>
      <c r="N2554" s="1" t="inlineStr">
        <is>
          <t>Algorithms</t>
        </is>
      </c>
      <c r="O25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54" s="13" t="inlineStr">
        <is>
          <t>Done</t>
        </is>
      </c>
    </row>
    <row r="2555" ht="15.75" customHeight="1" s="12">
      <c r="A2555" s="1" t="n">
        <v>1212</v>
      </c>
      <c r="B2555" s="3">
        <f>HYPERLINK("https://leetcode.com/problems/team-scores-in-football-tournament/", "Team Scores in Football Tournament")</f>
        <v/>
      </c>
      <c r="C2555" s="1" t="n">
        <v>330</v>
      </c>
      <c r="D2555" s="1" t="n">
        <v>26</v>
      </c>
      <c r="E2555" s="4">
        <f>IF(INDEX(C:C, ROW())+INDEX(D:D, ROW())=0, 0, INDEX(C:C, ROW())/(INDEX(C:C, ROW())+INDEX(D:D, ROW())))</f>
        <v/>
      </c>
      <c r="F2555" s="1" t="inlineStr">
        <is>
          <t>Database</t>
        </is>
      </c>
      <c r="G2555" s="1" t="inlineStr">
        <is>
          <t>Medium</t>
        </is>
      </c>
      <c r="H2555" s="1" t="n">
        <v>52211</v>
      </c>
      <c r="I2555" s="1" t="n">
        <v>93652</v>
      </c>
      <c r="J2555" s="9" t="n">
        <v>0.5580000000000001</v>
      </c>
      <c r="K2555" s="1" t="inlineStr">
        <is>
          <t>No</t>
        </is>
      </c>
      <c r="L2555" s="1" t="inlineStr">
        <is>
          <t>No</t>
        </is>
      </c>
      <c r="M2555" s="1" t="inlineStr">
        <is>
          <t>No</t>
        </is>
      </c>
      <c r="N2555" s="1" t="inlineStr">
        <is>
          <t>Database</t>
        </is>
      </c>
      <c r="O25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55" s="11" t="inlineStr">
        <is>
          <t>To Do</t>
        </is>
      </c>
    </row>
    <row r="2556" ht="15.75" customHeight="1" s="12">
      <c r="A2556" s="1" t="n">
        <v>2605</v>
      </c>
      <c r="B2556" s="3">
        <f>HYPERLINK("https://leetcode.com/problems/form-smallest-number-from-two-digit-arrays/", "Form Smallest Number From Two Digit Arrays")</f>
        <v/>
      </c>
      <c r="C2556" s="1" t="n">
        <v>330</v>
      </c>
      <c r="D2556" s="1" t="n">
        <v>29</v>
      </c>
      <c r="E2556" s="4">
        <f>IF(INDEX(C:C, ROW())+INDEX(D:D, ROW())=0, 0, INDEX(C:C, ROW())/(INDEX(C:C, ROW())+INDEX(D:D, ROW())))</f>
        <v/>
      </c>
      <c r="F2556" s="1" t="inlineStr">
        <is>
          <t>Array, Hash Table, Enumeration</t>
        </is>
      </c>
      <c r="G2556" s="1" t="inlineStr">
        <is>
          <t>Easy</t>
        </is>
      </c>
      <c r="H2556" s="1" t="n">
        <v>51637</v>
      </c>
      <c r="I2556" s="1" t="n">
        <v>93605</v>
      </c>
      <c r="J2556" s="9" t="n">
        <v>0.552</v>
      </c>
      <c r="K2556" s="1" t="inlineStr">
        <is>
          <t>Yes</t>
        </is>
      </c>
      <c r="L2556" s="1" t="inlineStr">
        <is>
          <t>No</t>
        </is>
      </c>
      <c r="M2556" s="1" t="inlineStr">
        <is>
          <t>No</t>
        </is>
      </c>
      <c r="N2556" s="1" t="inlineStr">
        <is>
          <t>Algorithms</t>
        </is>
      </c>
      <c r="O25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56" s="13" t="inlineStr">
        <is>
          <t>Done</t>
        </is>
      </c>
    </row>
    <row r="2557" ht="15.75" customHeight="1" s="12">
      <c r="A2557" s="1" t="n">
        <v>964</v>
      </c>
      <c r="B2557" s="3">
        <f>HYPERLINK("https://leetcode.com/problems/least-operators-to-express-number/", "Least Operators to Express Number")</f>
        <v/>
      </c>
      <c r="C2557" s="1" t="n">
        <v>328</v>
      </c>
      <c r="D2557" s="1" t="n">
        <v>70</v>
      </c>
      <c r="E2557" s="4">
        <f>IF(INDEX(C:C, ROW())+INDEX(D:D, ROW())=0, 0, INDEX(C:C, ROW())/(INDEX(C:C, ROW())+INDEX(D:D, ROW())))</f>
        <v/>
      </c>
      <c r="F2557" s="1" t="inlineStr">
        <is>
          <t>Math, Dynamic Programming, Memoization</t>
        </is>
      </c>
      <c r="G2557" s="1" t="inlineStr">
        <is>
          <t>Hard</t>
        </is>
      </c>
      <c r="H2557" s="1" t="n">
        <v>12799</v>
      </c>
      <c r="I2557" s="1" t="n">
        <v>26367</v>
      </c>
      <c r="J2557" s="9" t="n">
        <v>0.485</v>
      </c>
      <c r="K2557" s="1" t="inlineStr">
        <is>
          <t>Yes</t>
        </is>
      </c>
      <c r="L2557" s="1" t="inlineStr">
        <is>
          <t>Yes</t>
        </is>
      </c>
      <c r="M2557" s="1" t="inlineStr">
        <is>
          <t>No</t>
        </is>
      </c>
      <c r="N2557" s="1" t="inlineStr">
        <is>
          <t>Algorithms</t>
        </is>
      </c>
      <c r="O25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57" s="11" t="inlineStr">
        <is>
          <t>To Do</t>
        </is>
      </c>
    </row>
    <row r="2558" ht="15.75" customHeight="1" s="12">
      <c r="A2558" s="1" t="n">
        <v>1806</v>
      </c>
      <c r="B2558" s="3">
        <f>HYPERLINK("https://leetcode.com/problems/minimum-number-of-operations-to-reinitialize-a-permutation/", "Minimum Number of Operations to Reinitialize a Permutation")</f>
        <v/>
      </c>
      <c r="C2558" s="1" t="n">
        <v>328</v>
      </c>
      <c r="D2558" s="1" t="n">
        <v>176</v>
      </c>
      <c r="E2558" s="4">
        <f>IF(INDEX(C:C, ROW())+INDEX(D:D, ROW())=0, 0, INDEX(C:C, ROW())/(INDEX(C:C, ROW())+INDEX(D:D, ROW())))</f>
        <v/>
      </c>
      <c r="F2558" s="1" t="inlineStr">
        <is>
          <t>Array, Math, Simulation</t>
        </is>
      </c>
      <c r="G2558" s="1" t="inlineStr">
        <is>
          <t>Medium</t>
        </is>
      </c>
      <c r="H2558" s="1" t="n">
        <v>23417</v>
      </c>
      <c r="I2558" s="1" t="n">
        <v>32272</v>
      </c>
      <c r="J2558" s="9" t="n">
        <v>0.726</v>
      </c>
      <c r="K2558" s="1" t="inlineStr">
        <is>
          <t>Yes</t>
        </is>
      </c>
      <c r="L2558" s="1" t="inlineStr">
        <is>
          <t>No</t>
        </is>
      </c>
      <c r="M2558" s="1" t="inlineStr">
        <is>
          <t>No</t>
        </is>
      </c>
      <c r="N2558" s="1" t="inlineStr">
        <is>
          <t>Algorithms</t>
        </is>
      </c>
      <c r="O25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58" s="11" t="inlineStr">
        <is>
          <t>To Do</t>
        </is>
      </c>
    </row>
    <row r="2559" ht="15.75" customHeight="1" s="12">
      <c r="A2559" s="1" t="n">
        <v>789</v>
      </c>
      <c r="B2559" s="3">
        <f>HYPERLINK("https://leetcode.com/problems/escape-the-ghosts/", "Escape The Ghosts")</f>
        <v/>
      </c>
      <c r="C2559" s="1" t="n">
        <v>327</v>
      </c>
      <c r="D2559" s="1" t="n">
        <v>35</v>
      </c>
      <c r="E2559" s="4">
        <f>IF(INDEX(C:C, ROW())+INDEX(D:D, ROW())=0, 0, INDEX(C:C, ROW())/(INDEX(C:C, ROW())+INDEX(D:D, ROW())))</f>
        <v/>
      </c>
      <c r="F2559" s="1" t="inlineStr">
        <is>
          <t>Array, Math</t>
        </is>
      </c>
      <c r="G2559" s="1" t="inlineStr">
        <is>
          <t>Medium</t>
        </is>
      </c>
      <c r="H2559" s="1" t="n">
        <v>38997</v>
      </c>
      <c r="I2559" s="1" t="n">
        <v>61241</v>
      </c>
      <c r="J2559" s="9" t="n">
        <v>0.637</v>
      </c>
      <c r="K2559" s="1" t="inlineStr">
        <is>
          <t>Yes</t>
        </is>
      </c>
      <c r="L2559" s="1" t="inlineStr">
        <is>
          <t>Yes</t>
        </is>
      </c>
      <c r="M2559" s="1" t="inlineStr">
        <is>
          <t>No</t>
        </is>
      </c>
      <c r="N2559" s="1" t="inlineStr">
        <is>
          <t>Algorithms</t>
        </is>
      </c>
      <c r="O25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59" s="11" t="inlineStr">
        <is>
          <t>To Do</t>
        </is>
      </c>
    </row>
    <row r="2560" ht="15.75" customHeight="1" s="12">
      <c r="A2560" s="1" t="n">
        <v>1398</v>
      </c>
      <c r="B2560" s="3">
        <f>HYPERLINK("https://leetcode.com/problems/customers-who-bought-products-a-and-b-but-not-c/", "Customers Who Bought Products A and B but Not C")</f>
        <v/>
      </c>
      <c r="C2560" s="1" t="n">
        <v>327</v>
      </c>
      <c r="D2560" s="1" t="n">
        <v>18</v>
      </c>
      <c r="E2560" s="4">
        <f>IF(INDEX(C:C, ROW())+INDEX(D:D, ROW())=0, 0, INDEX(C:C, ROW())/(INDEX(C:C, ROW())+INDEX(D:D, ROW())))</f>
        <v/>
      </c>
      <c r="F2560" s="1" t="inlineStr">
        <is>
          <t>Database</t>
        </is>
      </c>
      <c r="G2560" s="1" t="inlineStr">
        <is>
          <t>Medium</t>
        </is>
      </c>
      <c r="H2560" s="1" t="n">
        <v>69161</v>
      </c>
      <c r="I2560" s="1" t="n">
        <v>96772</v>
      </c>
      <c r="J2560" s="9" t="n">
        <v>0.715</v>
      </c>
      <c r="K2560" s="1" t="inlineStr">
        <is>
          <t>No</t>
        </is>
      </c>
      <c r="L2560" s="1" t="inlineStr">
        <is>
          <t>Yes</t>
        </is>
      </c>
      <c r="M2560" s="1" t="inlineStr">
        <is>
          <t>No</t>
        </is>
      </c>
      <c r="N2560" s="1" t="inlineStr">
        <is>
          <t>Database</t>
        </is>
      </c>
      <c r="O25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60" s="11" t="inlineStr">
        <is>
          <t>To Do</t>
        </is>
      </c>
    </row>
    <row r="2561" ht="15.75" customHeight="1" s="12">
      <c r="A2561" s="1" t="n">
        <v>2060</v>
      </c>
      <c r="B2561" s="3">
        <f>HYPERLINK("https://leetcode.com/problems/check-if-an-original-string-exists-given-two-encoded-strings/", "Check if an Original String Exists Given Two Encoded Strings")</f>
        <v/>
      </c>
      <c r="C2561" s="1" t="n">
        <v>327</v>
      </c>
      <c r="D2561" s="1" t="n">
        <v>164</v>
      </c>
      <c r="E2561" s="4">
        <f>IF(INDEX(C:C, ROW())+INDEX(D:D, ROW())=0, 0, INDEX(C:C, ROW())/(INDEX(C:C, ROW())+INDEX(D:D, ROW())))</f>
        <v/>
      </c>
      <c r="F2561" s="1" t="inlineStr">
        <is>
          <t>String, Dynamic Programming</t>
        </is>
      </c>
      <c r="G2561" s="1" t="inlineStr">
        <is>
          <t>Hard</t>
        </is>
      </c>
      <c r="H2561" s="1" t="n">
        <v>19980</v>
      </c>
      <c r="I2561" s="1" t="n">
        <v>46040</v>
      </c>
      <c r="J2561" s="9" t="n">
        <v>0.434</v>
      </c>
      <c r="K2561" s="1" t="inlineStr">
        <is>
          <t>Yes</t>
        </is>
      </c>
      <c r="L2561" s="1" t="inlineStr">
        <is>
          <t>No</t>
        </is>
      </c>
      <c r="M2561" s="1" t="inlineStr">
        <is>
          <t>No</t>
        </is>
      </c>
      <c r="N2561" s="1" t="inlineStr">
        <is>
          <t>Algorithms</t>
        </is>
      </c>
      <c r="O25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61" s="11" t="inlineStr">
        <is>
          <t>To Do</t>
        </is>
      </c>
    </row>
    <row r="2562" ht="15.75" customHeight="1" s="12">
      <c r="A2562" s="1" t="n">
        <v>2214</v>
      </c>
      <c r="B2562" s="3">
        <f>HYPERLINK("https://leetcode.com/problems/minimum-health-to-beat-game/", "Minimum Health to Beat Game")</f>
        <v/>
      </c>
      <c r="C2562" s="1" t="n">
        <v>327</v>
      </c>
      <c r="D2562" s="1" t="n">
        <v>240</v>
      </c>
      <c r="E2562" s="4">
        <f>IF(INDEX(C:C, ROW())+INDEX(D:D, ROW())=0, 0, INDEX(C:C, ROW())/(INDEX(C:C, ROW())+INDEX(D:D, ROW())))</f>
        <v/>
      </c>
      <c r="F2562" s="1" t="inlineStr">
        <is>
          <t>Array, Greedy</t>
        </is>
      </c>
      <c r="G2562" s="1" t="inlineStr">
        <is>
          <t>Medium</t>
        </is>
      </c>
      <c r="H2562" s="1" t="n">
        <v>40713</v>
      </c>
      <c r="I2562" s="1" t="n">
        <v>69191</v>
      </c>
      <c r="J2562" s="9" t="n">
        <v>0.588</v>
      </c>
      <c r="K2562" s="1" t="inlineStr">
        <is>
          <t>No</t>
        </is>
      </c>
      <c r="L2562" s="1" t="inlineStr">
        <is>
          <t>Yes</t>
        </is>
      </c>
      <c r="M2562" s="1" t="inlineStr">
        <is>
          <t>No</t>
        </is>
      </c>
      <c r="N2562" s="1" t="inlineStr">
        <is>
          <t>Algorithms</t>
        </is>
      </c>
      <c r="O25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62" s="11" t="inlineStr">
        <is>
          <t>To Do</t>
        </is>
      </c>
    </row>
    <row r="2563" ht="15.75" customHeight="1" s="12">
      <c r="A2563" s="1" t="n">
        <v>2740</v>
      </c>
      <c r="B2563" s="3">
        <f>HYPERLINK("https://leetcode.com/problems/find-the-value-of-the-partition/", "Find the Value of the Partition")</f>
        <v/>
      </c>
      <c r="C2563" s="1" t="n">
        <v>326</v>
      </c>
      <c r="D2563" s="1" t="n">
        <v>26</v>
      </c>
      <c r="E2563" s="4">
        <f>IF(INDEX(C:C, ROW())+INDEX(D:D, ROW())=0, 0, INDEX(C:C, ROW())/(INDEX(C:C, ROW())+INDEX(D:D, ROW())))</f>
        <v/>
      </c>
      <c r="F2563" s="1" t="inlineStr">
        <is>
          <t>Array, Sorting</t>
        </is>
      </c>
      <c r="G2563" s="1" t="inlineStr">
        <is>
          <t>Medium</t>
        </is>
      </c>
      <c r="H2563" s="1" t="n">
        <v>41385</v>
      </c>
      <c r="I2563" s="1" t="n">
        <v>63757</v>
      </c>
      <c r="J2563" s="9" t="n">
        <v>0.649</v>
      </c>
      <c r="K2563" s="1" t="inlineStr">
        <is>
          <t>Yes</t>
        </is>
      </c>
      <c r="L2563" s="1" t="inlineStr">
        <is>
          <t>No</t>
        </is>
      </c>
      <c r="M2563" s="1" t="inlineStr">
        <is>
          <t>No</t>
        </is>
      </c>
      <c r="N2563" s="1" t="inlineStr">
        <is>
          <t>Algorithms</t>
        </is>
      </c>
      <c r="O25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63" s="11" t="inlineStr">
        <is>
          <t>To Do</t>
        </is>
      </c>
    </row>
    <row r="2564" ht="15.75" customHeight="1" s="12">
      <c r="A2564" s="1" t="n">
        <v>2763</v>
      </c>
      <c r="B2564" s="3">
        <f>HYPERLINK("https://leetcode.com/problems/sum-of-imbalance-numbers-of-all-subarrays/", "Sum of Imbalance Numbers of All Subarrays")</f>
        <v/>
      </c>
      <c r="C2564" s="1" t="n">
        <v>326</v>
      </c>
      <c r="D2564" s="1" t="n">
        <v>9</v>
      </c>
      <c r="E2564" s="4">
        <f>IF(INDEX(C:C, ROW())+INDEX(D:D, ROW())=0, 0, INDEX(C:C, ROW())/(INDEX(C:C, ROW())+INDEX(D:D, ROW())))</f>
        <v/>
      </c>
      <c r="F2564" s="1" t="inlineStr">
        <is>
          <t>Array, Hash Table, Enumeration</t>
        </is>
      </c>
      <c r="G2564" s="1" t="inlineStr">
        <is>
          <t>Hard</t>
        </is>
      </c>
      <c r="H2564" s="1" t="n">
        <v>9912</v>
      </c>
      <c r="I2564" s="1" t="n">
        <v>22886</v>
      </c>
      <c r="J2564" s="9" t="n">
        <v>0.433</v>
      </c>
      <c r="K2564" s="1" t="inlineStr">
        <is>
          <t>Yes</t>
        </is>
      </c>
      <c r="L2564" s="1" t="inlineStr">
        <is>
          <t>No</t>
        </is>
      </c>
      <c r="M2564" s="1" t="inlineStr">
        <is>
          <t>No</t>
        </is>
      </c>
      <c r="N2564" s="1" t="inlineStr">
        <is>
          <t>Algorithms</t>
        </is>
      </c>
      <c r="O25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64" s="11" t="inlineStr">
        <is>
          <t>To Do</t>
        </is>
      </c>
    </row>
    <row r="2565" ht="15.75" customHeight="1" s="12">
      <c r="A2565" s="1" t="n">
        <v>2937</v>
      </c>
      <c r="B2565" s="3">
        <f>HYPERLINK("https://leetcode.com/problems/make-three-strings-equal/", "Make Three Strings Equal")</f>
        <v/>
      </c>
      <c r="C2565" s="1" t="n">
        <v>326</v>
      </c>
      <c r="D2565" s="1" t="n">
        <v>43</v>
      </c>
      <c r="E2565" s="4">
        <f>IF(INDEX(C:C, ROW())+INDEX(D:D, ROW())=0, 0, INDEX(C:C, ROW())/(INDEX(C:C, ROW())+INDEX(D:D, ROW())))</f>
        <v/>
      </c>
      <c r="F2565" s="1" t="inlineStr">
        <is>
          <t>String</t>
        </is>
      </c>
      <c r="G2565" s="1" t="inlineStr">
        <is>
          <t>Easy</t>
        </is>
      </c>
      <c r="H2565" s="1" t="n">
        <v>40577</v>
      </c>
      <c r="I2565" s="1" t="n">
        <v>90368</v>
      </c>
      <c r="J2565" s="9" t="n">
        <v>0.449</v>
      </c>
      <c r="K2565" s="1" t="inlineStr">
        <is>
          <t>Yes</t>
        </is>
      </c>
      <c r="L2565" s="1" t="inlineStr">
        <is>
          <t>No</t>
        </is>
      </c>
      <c r="M2565" s="1" t="inlineStr">
        <is>
          <t>No</t>
        </is>
      </c>
      <c r="N2565" s="1" t="inlineStr">
        <is>
          <t>Algorithms</t>
        </is>
      </c>
      <c r="O25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65" s="13" t="inlineStr">
        <is>
          <t>Done</t>
        </is>
      </c>
    </row>
    <row r="2566" ht="15.75" customHeight="1" s="12">
      <c r="A2566" s="1" t="n">
        <v>2715</v>
      </c>
      <c r="B2566" s="3">
        <f>HYPERLINK("https://leetcode.com/problems/timeout-cancellation/", "Timeout Cancellation")</f>
        <v/>
      </c>
      <c r="C2566" s="1" t="n">
        <v>324</v>
      </c>
      <c r="D2566" s="1" t="n">
        <v>375</v>
      </c>
      <c r="E2566" s="4">
        <f>IF(INDEX(C:C, ROW())+INDEX(D:D, ROW())=0, 0, INDEX(C:C, ROW())/(INDEX(C:C, ROW())+INDEX(D:D, ROW())))</f>
        <v/>
      </c>
      <c r="F2566" s="2" t="n"/>
      <c r="G2566" s="1" t="inlineStr">
        <is>
          <t>Easy</t>
        </is>
      </c>
      <c r="H2566" s="1" t="n">
        <v>103030</v>
      </c>
      <c r="I2566" s="1" t="n">
        <v>115071</v>
      </c>
      <c r="J2566" s="9" t="n">
        <v>0.895</v>
      </c>
      <c r="K2566" s="1" t="inlineStr">
        <is>
          <t>Yes</t>
        </is>
      </c>
      <c r="L2566" s="1" t="inlineStr">
        <is>
          <t>Yes</t>
        </is>
      </c>
      <c r="M2566" s="1" t="inlineStr">
        <is>
          <t>No</t>
        </is>
      </c>
      <c r="N2566" s="1" t="inlineStr">
        <is>
          <t>JavaScript</t>
        </is>
      </c>
      <c r="O25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66" s="13" t="inlineStr">
        <is>
          <t>Done</t>
        </is>
      </c>
    </row>
    <row r="2567" ht="15.75" customHeight="1" s="12">
      <c r="A2567" s="1" t="n">
        <v>755</v>
      </c>
      <c r="B2567" s="3">
        <f>HYPERLINK("https://leetcode.com/problems/pour-water/", "Pour Water")</f>
        <v/>
      </c>
      <c r="C2567" s="1" t="n">
        <v>323</v>
      </c>
      <c r="D2567" s="1" t="n">
        <v>835</v>
      </c>
      <c r="E2567" s="4">
        <f>IF(INDEX(C:C, ROW())+INDEX(D:D, ROW())=0, 0, INDEX(C:C, ROW())/(INDEX(C:C, ROW())+INDEX(D:D, ROW())))</f>
        <v/>
      </c>
      <c r="F2567" s="1" t="inlineStr">
        <is>
          <t>Array, Simulation</t>
        </is>
      </c>
      <c r="G2567" s="1" t="inlineStr">
        <is>
          <t>Medium</t>
        </is>
      </c>
      <c r="H2567" s="1" t="n">
        <v>47819</v>
      </c>
      <c r="I2567" s="1" t="n">
        <v>97523</v>
      </c>
      <c r="J2567" s="9" t="n">
        <v>0.49</v>
      </c>
      <c r="K2567" s="1" t="inlineStr">
        <is>
          <t>No</t>
        </is>
      </c>
      <c r="L2567" s="1" t="inlineStr">
        <is>
          <t>Yes</t>
        </is>
      </c>
      <c r="M2567" s="1" t="inlineStr">
        <is>
          <t>No</t>
        </is>
      </c>
      <c r="N2567" s="1" t="inlineStr">
        <is>
          <t>Algorithms</t>
        </is>
      </c>
      <c r="O25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67" s="11" t="inlineStr">
        <is>
          <t>To Do</t>
        </is>
      </c>
    </row>
    <row r="2568" ht="15.75" customHeight="1" s="12">
      <c r="A2568" s="1" t="n">
        <v>1735</v>
      </c>
      <c r="B2568" s="3">
        <f>HYPERLINK("https://leetcode.com/problems/count-ways-to-make-array-with-product/", "Count Ways to Make Array With Product")</f>
        <v/>
      </c>
      <c r="C2568" s="1" t="n">
        <v>323</v>
      </c>
      <c r="D2568" s="1" t="n">
        <v>36</v>
      </c>
      <c r="E2568" s="4">
        <f>IF(INDEX(C:C, ROW())+INDEX(D:D, ROW())=0, 0, INDEX(C:C, ROW())/(INDEX(C:C, ROW())+INDEX(D:D, ROW())))</f>
        <v/>
      </c>
      <c r="F2568" s="1" t="inlineStr">
        <is>
          <t>Array, Math, Dynamic Programming, Combinatorics, Number Theory</t>
        </is>
      </c>
      <c r="G2568" s="1" t="inlineStr">
        <is>
          <t>Hard</t>
        </is>
      </c>
      <c r="H2568" s="1" t="n">
        <v>9330</v>
      </c>
      <c r="I2568" s="1" t="n">
        <v>17268</v>
      </c>
      <c r="J2568" s="9" t="n">
        <v>0.54</v>
      </c>
      <c r="K2568" s="1" t="inlineStr">
        <is>
          <t>Yes</t>
        </is>
      </c>
      <c r="L2568" s="1" t="inlineStr">
        <is>
          <t>No</t>
        </is>
      </c>
      <c r="M2568" s="1" t="inlineStr">
        <is>
          <t>No</t>
        </is>
      </c>
      <c r="N2568" s="1" t="inlineStr">
        <is>
          <t>Algorithms</t>
        </is>
      </c>
      <c r="O25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68" s="11" t="inlineStr">
        <is>
          <t>To Do</t>
        </is>
      </c>
    </row>
    <row r="2569" ht="15.75" customHeight="1" s="12">
      <c r="A2569" s="1" t="n">
        <v>2213</v>
      </c>
      <c r="B2569" s="3">
        <f>HYPERLINK("https://leetcode.com/problems/longest-substring-of-one-repeating-character/", "Longest Substring of One Repeating Character")</f>
        <v/>
      </c>
      <c r="C2569" s="1" t="n">
        <v>323</v>
      </c>
      <c r="D2569" s="1" t="n">
        <v>84</v>
      </c>
      <c r="E2569" s="4">
        <f>IF(INDEX(C:C, ROW())+INDEX(D:D, ROW())=0, 0, INDEX(C:C, ROW())/(INDEX(C:C, ROW())+INDEX(D:D, ROW())))</f>
        <v/>
      </c>
      <c r="F2569" s="1" t="inlineStr">
        <is>
          <t>Array, String, Segment Tree, Ordered Set</t>
        </is>
      </c>
      <c r="G2569" s="1" t="inlineStr">
        <is>
          <t>Hard</t>
        </is>
      </c>
      <c r="H2569" s="1" t="n">
        <v>6780</v>
      </c>
      <c r="I2569" s="1" t="n">
        <v>19705</v>
      </c>
      <c r="J2569" s="9" t="n">
        <v>0.344</v>
      </c>
      <c r="K2569" s="1" t="inlineStr">
        <is>
          <t>Yes</t>
        </is>
      </c>
      <c r="L2569" s="1" t="inlineStr">
        <is>
          <t>No</t>
        </is>
      </c>
      <c r="M2569" s="1" t="inlineStr">
        <is>
          <t>No</t>
        </is>
      </c>
      <c r="N2569" s="1" t="inlineStr">
        <is>
          <t>Algorithms</t>
        </is>
      </c>
      <c r="O25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69" s="11" t="inlineStr">
        <is>
          <t>To Do</t>
        </is>
      </c>
    </row>
    <row r="2570" ht="15.75" customHeight="1" s="12">
      <c r="A2570" s="1" t="n">
        <v>2581</v>
      </c>
      <c r="B2570" s="3">
        <f>HYPERLINK("https://leetcode.com/problems/count-number-of-possible-root-nodes/", "Count Number of Possible Root Nodes")</f>
        <v/>
      </c>
      <c r="C2570" s="1" t="n">
        <v>323</v>
      </c>
      <c r="D2570" s="1" t="n">
        <v>10</v>
      </c>
      <c r="E2570" s="4">
        <f>IF(INDEX(C:C, ROW())+INDEX(D:D, ROW())=0, 0, INDEX(C:C, ROW())/(INDEX(C:C, ROW())+INDEX(D:D, ROW())))</f>
        <v/>
      </c>
      <c r="F2570" s="1" t="inlineStr">
        <is>
          <t>Array, Hash Table, Dynamic Programming, Tree, Depth-First Search</t>
        </is>
      </c>
      <c r="G2570" s="1" t="inlineStr">
        <is>
          <t>Hard</t>
        </is>
      </c>
      <c r="H2570" s="1" t="n">
        <v>9168</v>
      </c>
      <c r="I2570" s="1" t="n">
        <v>19046</v>
      </c>
      <c r="J2570" s="9" t="n">
        <v>0.481</v>
      </c>
      <c r="K2570" s="1" t="inlineStr">
        <is>
          <t>Yes</t>
        </is>
      </c>
      <c r="L2570" s="1" t="inlineStr">
        <is>
          <t>No</t>
        </is>
      </c>
      <c r="M2570" s="1" t="inlineStr">
        <is>
          <t>No</t>
        </is>
      </c>
      <c r="N2570" s="1" t="inlineStr">
        <is>
          <t>Algorithms</t>
        </is>
      </c>
      <c r="O25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70" s="11" t="inlineStr">
        <is>
          <t>To Do</t>
        </is>
      </c>
    </row>
    <row r="2571" ht="15.75" customHeight="1" s="12">
      <c r="A2571" s="1" t="n">
        <v>2813</v>
      </c>
      <c r="B2571" s="3">
        <f>HYPERLINK("https://leetcode.com/problems/maximum-elegance-of-a-k-length-subsequence/", "Maximum Elegance of a K-Length Subsequence")</f>
        <v/>
      </c>
      <c r="C2571" s="1" t="n">
        <v>323</v>
      </c>
      <c r="D2571" s="1" t="n">
        <v>5</v>
      </c>
      <c r="E2571" s="4">
        <f>IF(INDEX(C:C, ROW())+INDEX(D:D, ROW())=0, 0, INDEX(C:C, ROW())/(INDEX(C:C, ROW())+INDEX(D:D, ROW())))</f>
        <v/>
      </c>
      <c r="F2571" s="1" t="inlineStr">
        <is>
          <t>Array, Hash Table, Stack, Greedy, Sorting, Heap (Priority Queue)</t>
        </is>
      </c>
      <c r="G2571" s="1" t="inlineStr">
        <is>
          <t>Hard</t>
        </is>
      </c>
      <c r="H2571" s="1" t="n">
        <v>8646</v>
      </c>
      <c r="I2571" s="1" t="n">
        <v>30132</v>
      </c>
      <c r="J2571" s="9" t="n">
        <v>0.287</v>
      </c>
      <c r="K2571" s="1" t="inlineStr">
        <is>
          <t>Yes</t>
        </is>
      </c>
      <c r="L2571" s="1" t="inlineStr">
        <is>
          <t>No</t>
        </is>
      </c>
      <c r="M2571" s="1" t="inlineStr">
        <is>
          <t>No</t>
        </is>
      </c>
      <c r="N2571" s="1" t="inlineStr">
        <is>
          <t>Algorithms</t>
        </is>
      </c>
      <c r="O25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71" s="11" t="inlineStr">
        <is>
          <t>To Do</t>
        </is>
      </c>
    </row>
    <row r="2572" ht="15.75" customHeight="1" s="12">
      <c r="A2572" s="1" t="n">
        <v>2105</v>
      </c>
      <c r="B2572" s="3">
        <f>HYPERLINK("https://leetcode.com/problems/watering-plants-ii/", "Watering Plants II")</f>
        <v/>
      </c>
      <c r="C2572" s="1" t="n">
        <v>322</v>
      </c>
      <c r="D2572" s="1" t="n">
        <v>165</v>
      </c>
      <c r="E2572" s="4">
        <f>IF(INDEX(C:C, ROW())+INDEX(D:D, ROW())=0, 0, INDEX(C:C, ROW())/(INDEX(C:C, ROW())+INDEX(D:D, ROW())))</f>
        <v/>
      </c>
      <c r="F2572" s="1" t="inlineStr">
        <is>
          <t>Array, Two Pointers, Simulation</t>
        </is>
      </c>
      <c r="G2572" s="1" t="inlineStr">
        <is>
          <t>Medium</t>
        </is>
      </c>
      <c r="H2572" s="1" t="n">
        <v>31296</v>
      </c>
      <c r="I2572" s="1" t="n">
        <v>64259</v>
      </c>
      <c r="J2572" s="9" t="n">
        <v>0.487</v>
      </c>
      <c r="K2572" s="1" t="inlineStr">
        <is>
          <t>Yes</t>
        </is>
      </c>
      <c r="L2572" s="1" t="inlineStr">
        <is>
          <t>No</t>
        </is>
      </c>
      <c r="M2572" s="1" t="inlineStr">
        <is>
          <t>No</t>
        </is>
      </c>
      <c r="N2572" s="1" t="inlineStr">
        <is>
          <t>Algorithms</t>
        </is>
      </c>
      <c r="O25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72" s="11" t="inlineStr">
        <is>
          <t>To Do</t>
        </is>
      </c>
    </row>
    <row r="2573" ht="15.75" customHeight="1" s="12">
      <c r="A2573" s="1" t="n">
        <v>2549</v>
      </c>
      <c r="B2573" s="3">
        <f>HYPERLINK("https://leetcode.com/problems/count-distinct-numbers-on-board/", "Count Distinct Numbers on Board")</f>
        <v/>
      </c>
      <c r="C2573" s="1" t="n">
        <v>322</v>
      </c>
      <c r="D2573" s="1" t="n">
        <v>295</v>
      </c>
      <c r="E2573" s="4">
        <f>IF(INDEX(C:C, ROW())+INDEX(D:D, ROW())=0, 0, INDEX(C:C, ROW())/(INDEX(C:C, ROW())+INDEX(D:D, ROW())))</f>
        <v/>
      </c>
      <c r="F2573" s="1" t="inlineStr">
        <is>
          <t>Array, Hash Table, Math, Simulation</t>
        </is>
      </c>
      <c r="G2573" s="1" t="inlineStr">
        <is>
          <t>Easy</t>
        </is>
      </c>
      <c r="H2573" s="1" t="n">
        <v>64628</v>
      </c>
      <c r="I2573" s="1" t="n">
        <v>104681</v>
      </c>
      <c r="J2573" s="9" t="n">
        <v>0.617</v>
      </c>
      <c r="K2573" s="1" t="inlineStr">
        <is>
          <t>Yes</t>
        </is>
      </c>
      <c r="L2573" s="1" t="inlineStr">
        <is>
          <t>No</t>
        </is>
      </c>
      <c r="M2573" s="1" t="inlineStr">
        <is>
          <t>No</t>
        </is>
      </c>
      <c r="N2573" s="1" t="inlineStr">
        <is>
          <t>Algorithms</t>
        </is>
      </c>
      <c r="O25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73" s="13" t="inlineStr">
        <is>
          <t>Done</t>
        </is>
      </c>
    </row>
    <row r="2574" ht="15.75" customHeight="1" s="12">
      <c r="A2574" s="1" t="n">
        <v>2778</v>
      </c>
      <c r="B2574" s="3">
        <f>HYPERLINK("https://leetcode.com/problems/sum-of-squares-of-special-elements/", "Sum of Squares of Special Elements ")</f>
        <v/>
      </c>
      <c r="C2574" s="1" t="n">
        <v>322</v>
      </c>
      <c r="D2574" s="1" t="n">
        <v>140</v>
      </c>
      <c r="E2574" s="4">
        <f>IF(INDEX(C:C, ROW())+INDEX(D:D, ROW())=0, 0, INDEX(C:C, ROW())/(INDEX(C:C, ROW())+INDEX(D:D, ROW())))</f>
        <v/>
      </c>
      <c r="F2574" s="1" t="inlineStr">
        <is>
          <t>Array, Enumeration</t>
        </is>
      </c>
      <c r="G2574" s="1" t="inlineStr">
        <is>
          <t>Easy</t>
        </is>
      </c>
      <c r="H2574" s="1" t="n">
        <v>102364</v>
      </c>
      <c r="I2574" s="1" t="n">
        <v>124677</v>
      </c>
      <c r="J2574" s="9" t="n">
        <v>0.821</v>
      </c>
      <c r="K2574" s="1" t="inlineStr">
        <is>
          <t>Yes</t>
        </is>
      </c>
      <c r="L2574" s="1" t="inlineStr">
        <is>
          <t>No</t>
        </is>
      </c>
      <c r="M2574" s="1" t="inlineStr">
        <is>
          <t>No</t>
        </is>
      </c>
      <c r="N2574" s="1" t="inlineStr">
        <is>
          <t>Algorithms</t>
        </is>
      </c>
      <c r="O25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74" s="13" t="inlineStr">
        <is>
          <t>Done</t>
        </is>
      </c>
    </row>
    <row r="2575" ht="15.75" customHeight="1" s="12">
      <c r="A2575" s="1" t="n">
        <v>2841</v>
      </c>
      <c r="B2575" s="3">
        <f>HYPERLINK("https://leetcode.com/problems/maximum-sum-of-almost-unique-subarray/", "Maximum Sum of Almost Unique Subarray")</f>
        <v/>
      </c>
      <c r="C2575" s="1" t="n">
        <v>322</v>
      </c>
      <c r="D2575" s="1" t="n">
        <v>139</v>
      </c>
      <c r="E2575" s="4">
        <f>IF(INDEX(C:C, ROW())+INDEX(D:D, ROW())=0, 0, INDEX(C:C, ROW())/(INDEX(C:C, ROW())+INDEX(D:D, ROW())))</f>
        <v/>
      </c>
      <c r="F2575" s="1" t="inlineStr">
        <is>
          <t>Array, Hash Table, Sliding Window</t>
        </is>
      </c>
      <c r="G2575" s="1" t="inlineStr">
        <is>
          <t>Medium</t>
        </is>
      </c>
      <c r="H2575" s="1" t="n">
        <v>36186</v>
      </c>
      <c r="I2575" s="1" t="n">
        <v>87895</v>
      </c>
      <c r="J2575" s="9" t="n">
        <v>0.412</v>
      </c>
      <c r="K2575" s="1" t="inlineStr">
        <is>
          <t>Yes</t>
        </is>
      </c>
      <c r="L2575" s="1" t="inlineStr">
        <is>
          <t>No</t>
        </is>
      </c>
      <c r="M2575" s="1" t="inlineStr">
        <is>
          <t>No</t>
        </is>
      </c>
      <c r="N2575" s="1" t="inlineStr">
        <is>
          <t>Algorithms</t>
        </is>
      </c>
      <c r="O25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75" s="11" t="inlineStr">
        <is>
          <t>To Do</t>
        </is>
      </c>
    </row>
    <row r="2576" ht="15.75" customHeight="1" s="12">
      <c r="A2576" s="1" t="n">
        <v>2859</v>
      </c>
      <c r="B2576" s="3">
        <f>HYPERLINK("https://leetcode.com/problems/sum-of-values-at-indices-with-k-set-bits/", "Sum of Values at Indices With K Set Bits")</f>
        <v/>
      </c>
      <c r="C2576" s="1" t="n">
        <v>322</v>
      </c>
      <c r="D2576" s="1" t="n">
        <v>50</v>
      </c>
      <c r="E2576" s="4">
        <f>IF(INDEX(C:C, ROW())+INDEX(D:D, ROW())=0, 0, INDEX(C:C, ROW())/(INDEX(C:C, ROW())+INDEX(D:D, ROW())))</f>
        <v/>
      </c>
      <c r="F2576" s="1" t="inlineStr">
        <is>
          <t>Array, Bit Manipulation</t>
        </is>
      </c>
      <c r="G2576" s="1" t="inlineStr">
        <is>
          <t>Easy</t>
        </is>
      </c>
      <c r="H2576" s="1" t="n">
        <v>98001</v>
      </c>
      <c r="I2576" s="1" t="n">
        <v>113784</v>
      </c>
      <c r="J2576" s="9" t="n">
        <v>0.861</v>
      </c>
      <c r="K2576" s="1" t="inlineStr">
        <is>
          <t>Yes</t>
        </is>
      </c>
      <c r="L2576" s="1" t="inlineStr">
        <is>
          <t>No</t>
        </is>
      </c>
      <c r="M2576" s="1" t="inlineStr">
        <is>
          <t>No</t>
        </is>
      </c>
      <c r="N2576" s="1" t="inlineStr">
        <is>
          <t>Algorithms</t>
        </is>
      </c>
      <c r="O25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76" s="13" t="inlineStr">
        <is>
          <t>Done</t>
        </is>
      </c>
    </row>
    <row r="2577" ht="15.75" customHeight="1" s="12">
      <c r="A2577" s="1" t="n">
        <v>597</v>
      </c>
      <c r="B2577" s="3">
        <f>HYPERLINK("https://leetcode.com/problems/friend-requests-i-overall-acceptance-rate/", "Friend Requests I: Overall Acceptance Rate")</f>
        <v/>
      </c>
      <c r="C2577" s="1" t="n">
        <v>321</v>
      </c>
      <c r="D2577" s="1" t="n">
        <v>778</v>
      </c>
      <c r="E2577" s="4">
        <f>IF(INDEX(C:C, ROW())+INDEX(D:D, ROW())=0, 0, INDEX(C:C, ROW())/(INDEX(C:C, ROW())+INDEX(D:D, ROW())))</f>
        <v/>
      </c>
      <c r="F2577" s="1" t="inlineStr">
        <is>
          <t>Database</t>
        </is>
      </c>
      <c r="G2577" s="1" t="inlineStr">
        <is>
          <t>Easy</t>
        </is>
      </c>
      <c r="H2577" s="1" t="n">
        <v>86979</v>
      </c>
      <c r="I2577" s="1" t="n">
        <v>211719</v>
      </c>
      <c r="J2577" s="9" t="n">
        <v>0.411</v>
      </c>
      <c r="K2577" s="1" t="inlineStr">
        <is>
          <t>No</t>
        </is>
      </c>
      <c r="L2577" s="1" t="inlineStr">
        <is>
          <t>Yes</t>
        </is>
      </c>
      <c r="M2577" s="1" t="inlineStr">
        <is>
          <t>No</t>
        </is>
      </c>
      <c r="N2577" s="1" t="inlineStr">
        <is>
          <t>Database</t>
        </is>
      </c>
      <c r="O25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77" s="11" t="inlineStr">
        <is>
          <t>To Do</t>
        </is>
      </c>
    </row>
    <row r="2578" ht="15.75" customHeight="1" s="12">
      <c r="A2578" s="1" t="n">
        <v>2584</v>
      </c>
      <c r="B2578" s="3">
        <f>HYPERLINK("https://leetcode.com/problems/split-the-array-to-make-coprime-products/", "Split the Array to Make Coprime Products")</f>
        <v/>
      </c>
      <c r="C2578" s="1" t="n">
        <v>321</v>
      </c>
      <c r="D2578" s="1" t="n">
        <v>112</v>
      </c>
      <c r="E2578" s="4">
        <f>IF(INDEX(C:C, ROW())+INDEX(D:D, ROW())=0, 0, INDEX(C:C, ROW())/(INDEX(C:C, ROW())+INDEX(D:D, ROW())))</f>
        <v/>
      </c>
      <c r="F2578" s="1" t="inlineStr">
        <is>
          <t>Array, Hash Table, Math, Number Theory</t>
        </is>
      </c>
      <c r="G2578" s="1" t="inlineStr">
        <is>
          <t>Hard</t>
        </is>
      </c>
      <c r="H2578" s="1" t="n">
        <v>19143</v>
      </c>
      <c r="I2578" s="1" t="n">
        <v>66469</v>
      </c>
      <c r="J2578" s="9" t="n">
        <v>0.288</v>
      </c>
      <c r="K2578" s="1" t="inlineStr">
        <is>
          <t>Yes</t>
        </is>
      </c>
      <c r="L2578" s="1" t="inlineStr">
        <is>
          <t>No</t>
        </is>
      </c>
      <c r="M2578" s="1" t="inlineStr">
        <is>
          <t>No</t>
        </is>
      </c>
      <c r="N2578" s="1" t="inlineStr">
        <is>
          <t>Algorithms</t>
        </is>
      </c>
      <c r="O25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78" s="11" t="inlineStr">
        <is>
          <t>To Do</t>
        </is>
      </c>
    </row>
    <row r="2579" ht="15.75" customHeight="1" s="12">
      <c r="A2579" s="1" t="n">
        <v>1333</v>
      </c>
      <c r="B2579" s="3">
        <f>HYPERLINK("https://leetcode.com/problems/filter-restaurants-by-vegan-friendly-price-and-distance/", "Filter Restaurants by Vegan-Friendly, Price and Distance")</f>
        <v/>
      </c>
      <c r="C2579" s="1" t="n">
        <v>320</v>
      </c>
      <c r="D2579" s="1" t="n">
        <v>230</v>
      </c>
      <c r="E2579" s="4">
        <f>IF(INDEX(C:C, ROW())+INDEX(D:D, ROW())=0, 0, INDEX(C:C, ROW())/(INDEX(C:C, ROW())+INDEX(D:D, ROW())))</f>
        <v/>
      </c>
      <c r="F2579" s="1" t="inlineStr">
        <is>
          <t>Array, Sorting</t>
        </is>
      </c>
      <c r="G2579" s="1" t="inlineStr">
        <is>
          <t>Medium</t>
        </is>
      </c>
      <c r="H2579" s="1" t="n">
        <v>37817</v>
      </c>
      <c r="I2579" s="1" t="n">
        <v>58916</v>
      </c>
      <c r="J2579" s="9" t="n">
        <v>0.642</v>
      </c>
      <c r="K2579" s="1" t="inlineStr">
        <is>
          <t>Yes</t>
        </is>
      </c>
      <c r="L2579" s="1" t="inlineStr">
        <is>
          <t>No</t>
        </is>
      </c>
      <c r="M2579" s="1" t="inlineStr">
        <is>
          <t>No</t>
        </is>
      </c>
      <c r="N2579" s="1" t="inlineStr">
        <is>
          <t>Algorithms</t>
        </is>
      </c>
      <c r="O25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79" s="11" t="inlineStr">
        <is>
          <t>To Do</t>
        </is>
      </c>
    </row>
    <row r="2580" ht="15.75" customHeight="1" s="12">
      <c r="A2580" s="1" t="n">
        <v>1600</v>
      </c>
      <c r="B2580" s="3">
        <f>HYPERLINK("https://leetcode.com/problems/throne-inheritance/", "Throne Inheritance")</f>
        <v/>
      </c>
      <c r="C2580" s="1" t="n">
        <v>320</v>
      </c>
      <c r="D2580" s="1" t="n">
        <v>340</v>
      </c>
      <c r="E2580" s="4">
        <f>IF(INDEX(C:C, ROW())+INDEX(D:D, ROW())=0, 0, INDEX(C:C, ROW())/(INDEX(C:C, ROW())+INDEX(D:D, ROW())))</f>
        <v/>
      </c>
      <c r="F2580" s="1" t="inlineStr">
        <is>
          <t>Hash Table, Tree, Depth-First Search, Design</t>
        </is>
      </c>
      <c r="G2580" s="1" t="inlineStr">
        <is>
          <t>Medium</t>
        </is>
      </c>
      <c r="H2580" s="1" t="n">
        <v>28846</v>
      </c>
      <c r="I2580" s="1" t="n">
        <v>42936</v>
      </c>
      <c r="J2580" s="9" t="n">
        <v>0.672</v>
      </c>
      <c r="K2580" s="1" t="inlineStr">
        <is>
          <t>Yes</t>
        </is>
      </c>
      <c r="L2580" s="1" t="inlineStr">
        <is>
          <t>No</t>
        </is>
      </c>
      <c r="M2580" s="1" t="inlineStr">
        <is>
          <t>No</t>
        </is>
      </c>
      <c r="N2580" s="1" t="inlineStr">
        <is>
          <t>Algorithms</t>
        </is>
      </c>
      <c r="O25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80" s="11" t="inlineStr">
        <is>
          <t>To Do</t>
        </is>
      </c>
    </row>
    <row r="2581" ht="15.75" customHeight="1" s="12">
      <c r="A2581" s="1" t="n">
        <v>2836</v>
      </c>
      <c r="B2581" s="3">
        <f>HYPERLINK("https://leetcode.com/problems/maximize-value-of-function-in-a-ball-passing-game/", "Maximize Value of Function in a Ball Passing Game")</f>
        <v/>
      </c>
      <c r="C2581" s="1" t="n">
        <v>320</v>
      </c>
      <c r="D2581" s="1" t="n">
        <v>93</v>
      </c>
      <c r="E2581" s="4">
        <f>IF(INDEX(C:C, ROW())+INDEX(D:D, ROW())=0, 0, INDEX(C:C, ROW())/(INDEX(C:C, ROW())+INDEX(D:D, ROW())))</f>
        <v/>
      </c>
      <c r="F2581" s="1" t="inlineStr">
        <is>
          <t>Array, Dynamic Programming, Bit Manipulation</t>
        </is>
      </c>
      <c r="G2581" s="1" t="inlineStr">
        <is>
          <t>Hard</t>
        </is>
      </c>
      <c r="H2581" s="1" t="n">
        <v>6713</v>
      </c>
      <c r="I2581" s="1" t="n">
        <v>21772</v>
      </c>
      <c r="J2581" s="9" t="n">
        <v>0.308</v>
      </c>
      <c r="K2581" s="1" t="inlineStr">
        <is>
          <t>Yes</t>
        </is>
      </c>
      <c r="L2581" s="1" t="inlineStr">
        <is>
          <t>No</t>
        </is>
      </c>
      <c r="M2581" s="1" t="inlineStr">
        <is>
          <t>No</t>
        </is>
      </c>
      <c r="N2581" s="1" t="inlineStr">
        <is>
          <t>Algorithms</t>
        </is>
      </c>
      <c r="O25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81" s="11" t="inlineStr">
        <is>
          <t>To Do</t>
        </is>
      </c>
    </row>
    <row r="2582" ht="15.75" customHeight="1" s="12">
      <c r="A2582" s="1" t="n">
        <v>571</v>
      </c>
      <c r="B2582" s="3">
        <f>HYPERLINK("https://leetcode.com/problems/find-median-given-frequency-of-numbers/", "Find Median Given Frequency of Numbers")</f>
        <v/>
      </c>
      <c r="C2582" s="1" t="n">
        <v>319</v>
      </c>
      <c r="D2582" s="1" t="n">
        <v>79</v>
      </c>
      <c r="E2582" s="4">
        <f>IF(INDEX(C:C, ROW())+INDEX(D:D, ROW())=0, 0, INDEX(C:C, ROW())/(INDEX(C:C, ROW())+INDEX(D:D, ROW())))</f>
        <v/>
      </c>
      <c r="F2582" s="1" t="inlineStr">
        <is>
          <t>Database</t>
        </is>
      </c>
      <c r="G2582" s="1" t="inlineStr">
        <is>
          <t>Hard</t>
        </is>
      </c>
      <c r="H2582" s="1" t="n">
        <v>36168</v>
      </c>
      <c r="I2582" s="1" t="n">
        <v>85587</v>
      </c>
      <c r="J2582" s="9" t="n">
        <v>0.423</v>
      </c>
      <c r="K2582" s="1" t="inlineStr">
        <is>
          <t>No</t>
        </is>
      </c>
      <c r="L2582" s="1" t="inlineStr">
        <is>
          <t>No</t>
        </is>
      </c>
      <c r="M2582" s="1" t="inlineStr">
        <is>
          <t>No</t>
        </is>
      </c>
      <c r="N2582" s="1" t="inlineStr">
        <is>
          <t>Database</t>
        </is>
      </c>
      <c r="O25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82" s="11" t="inlineStr">
        <is>
          <t>To Do</t>
        </is>
      </c>
    </row>
    <row r="2583" ht="15.75" customHeight="1" s="12">
      <c r="A2583" s="1" t="n">
        <v>2730</v>
      </c>
      <c r="B2583" s="3">
        <f>HYPERLINK("https://leetcode.com/problems/find-the-longest-semi-repetitive-substring/", "Find the Longest Semi-Repetitive Substring")</f>
        <v/>
      </c>
      <c r="C2583" s="1" t="n">
        <v>319</v>
      </c>
      <c r="D2583" s="1" t="n">
        <v>89</v>
      </c>
      <c r="E2583" s="4">
        <f>IF(INDEX(C:C, ROW())+INDEX(D:D, ROW())=0, 0, INDEX(C:C, ROW())/(INDEX(C:C, ROW())+INDEX(D:D, ROW())))</f>
        <v/>
      </c>
      <c r="F2583" s="1" t="inlineStr">
        <is>
          <t>String, Sliding Window</t>
        </is>
      </c>
      <c r="G2583" s="1" t="inlineStr">
        <is>
          <t>Medium</t>
        </is>
      </c>
      <c r="H2583" s="1" t="n">
        <v>33427</v>
      </c>
      <c r="I2583" s="1" t="n">
        <v>85936</v>
      </c>
      <c r="J2583" s="9" t="n">
        <v>0.389</v>
      </c>
      <c r="K2583" s="1" t="inlineStr">
        <is>
          <t>Yes</t>
        </is>
      </c>
      <c r="L2583" s="1" t="inlineStr">
        <is>
          <t>No</t>
        </is>
      </c>
      <c r="M2583" s="1" t="inlineStr">
        <is>
          <t>No</t>
        </is>
      </c>
      <c r="N2583" s="1" t="inlineStr">
        <is>
          <t>Algorithms</t>
        </is>
      </c>
      <c r="O25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83" s="11" t="inlineStr">
        <is>
          <t>To Do</t>
        </is>
      </c>
    </row>
    <row r="2584" ht="15.75" customHeight="1" s="12">
      <c r="A2584" s="1" t="n">
        <v>2944</v>
      </c>
      <c r="B2584" s="3">
        <f>HYPERLINK("https://leetcode.com/problems/minimum-number-of-coins-for-fruits/", "Minimum Number of Coins for Fruits")</f>
        <v/>
      </c>
      <c r="C2584" s="1" t="n">
        <v>319</v>
      </c>
      <c r="D2584" s="1" t="n">
        <v>86</v>
      </c>
      <c r="E2584" s="4">
        <f>IF(INDEX(C:C, ROW())+INDEX(D:D, ROW())=0, 0, INDEX(C:C, ROW())/(INDEX(C:C, ROW())+INDEX(D:D, ROW())))</f>
        <v/>
      </c>
      <c r="F2584" s="1" t="inlineStr">
        <is>
          <t>Array, Dynamic Programming, Queue, Heap (Priority Queue), Monotonic Queue</t>
        </is>
      </c>
      <c r="G2584" s="1" t="inlineStr">
        <is>
          <t>Medium</t>
        </is>
      </c>
      <c r="H2584" s="1" t="n">
        <v>24253</v>
      </c>
      <c r="I2584" s="1" t="n">
        <v>49452</v>
      </c>
      <c r="J2584" s="9" t="n">
        <v>0.49</v>
      </c>
      <c r="K2584" s="1" t="inlineStr">
        <is>
          <t>Yes</t>
        </is>
      </c>
      <c r="L2584" s="1" t="inlineStr">
        <is>
          <t>No</t>
        </is>
      </c>
      <c r="M2584" s="1" t="inlineStr">
        <is>
          <t>No</t>
        </is>
      </c>
      <c r="N2584" s="1" t="inlineStr">
        <is>
          <t>Algorithms</t>
        </is>
      </c>
      <c r="O25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84" s="11" t="inlineStr">
        <is>
          <t>To Do</t>
        </is>
      </c>
    </row>
    <row r="2585" ht="15.75" customHeight="1" s="12">
      <c r="A2585" s="1" t="n">
        <v>1246</v>
      </c>
      <c r="B2585" s="3">
        <f>HYPERLINK("https://leetcode.com/problems/palindrome-removal/", "Palindrome Removal")</f>
        <v/>
      </c>
      <c r="C2585" s="1" t="n">
        <v>318</v>
      </c>
      <c r="D2585" s="1" t="n">
        <v>14</v>
      </c>
      <c r="E2585" s="4">
        <f>IF(INDEX(C:C, ROW())+INDEX(D:D, ROW())=0, 0, INDEX(C:C, ROW())/(INDEX(C:C, ROW())+INDEX(D:D, ROW())))</f>
        <v/>
      </c>
      <c r="F2585" s="1" t="inlineStr">
        <is>
          <t>Array, Dynamic Programming</t>
        </is>
      </c>
      <c r="G2585" s="1" t="inlineStr">
        <is>
          <t>Hard</t>
        </is>
      </c>
      <c r="H2585" s="1" t="n">
        <v>12011</v>
      </c>
      <c r="I2585" s="1" t="n">
        <v>26017</v>
      </c>
      <c r="J2585" s="9" t="n">
        <v>0.462</v>
      </c>
      <c r="K2585" s="1" t="inlineStr">
        <is>
          <t>No</t>
        </is>
      </c>
      <c r="L2585" s="1" t="inlineStr">
        <is>
          <t>No</t>
        </is>
      </c>
      <c r="M2585" s="1" t="inlineStr">
        <is>
          <t>No</t>
        </is>
      </c>
      <c r="N2585" s="1" t="inlineStr">
        <is>
          <t>Algorithms</t>
        </is>
      </c>
      <c r="O25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85" s="11" t="inlineStr">
        <is>
          <t>To Do</t>
        </is>
      </c>
    </row>
    <row r="2586" ht="15.75" customHeight="1" s="12">
      <c r="A2586" s="1" t="n">
        <v>2834</v>
      </c>
      <c r="B2586" s="3">
        <f>HYPERLINK("https://leetcode.com/problems/find-the-minimum-possible-sum-of-a-beautiful-array/", "Find the Minimum Possible Sum of a Beautiful Array")</f>
        <v/>
      </c>
      <c r="C2586" s="1" t="n">
        <v>318</v>
      </c>
      <c r="D2586" s="1" t="n">
        <v>59</v>
      </c>
      <c r="E2586" s="4">
        <f>IF(INDEX(C:C, ROW())+INDEX(D:D, ROW())=0, 0, INDEX(C:C, ROW())/(INDEX(C:C, ROW())+INDEX(D:D, ROW())))</f>
        <v/>
      </c>
      <c r="F2586" s="1" t="inlineStr">
        <is>
          <t>Math, Greedy</t>
        </is>
      </c>
      <c r="G2586" s="1" t="inlineStr">
        <is>
          <t>Medium</t>
        </is>
      </c>
      <c r="H2586" s="1" t="n">
        <v>33120</v>
      </c>
      <c r="I2586" s="1" t="n">
        <v>94671</v>
      </c>
      <c r="J2586" s="9" t="n">
        <v>0.35</v>
      </c>
      <c r="K2586" s="1" t="inlineStr">
        <is>
          <t>Yes</t>
        </is>
      </c>
      <c r="L2586" s="1" t="inlineStr">
        <is>
          <t>No</t>
        </is>
      </c>
      <c r="M2586" s="1" t="inlineStr">
        <is>
          <t>No</t>
        </is>
      </c>
      <c r="N2586" s="1" t="inlineStr">
        <is>
          <t>Algorithms</t>
        </is>
      </c>
      <c r="O25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86" s="11" t="inlineStr">
        <is>
          <t>To Do</t>
        </is>
      </c>
    </row>
    <row r="2587" ht="15.75" customHeight="1" s="12">
      <c r="A2587" s="1" t="n">
        <v>3123</v>
      </c>
      <c r="B2587" s="3">
        <f>HYPERLINK("https://leetcode.com/problems/find-edges-in-shortest-paths/", "Find Edges in Shortest Paths")</f>
        <v/>
      </c>
      <c r="C2587" s="1" t="n">
        <v>318</v>
      </c>
      <c r="D2587" s="1" t="n">
        <v>5</v>
      </c>
      <c r="E2587" s="4">
        <f>IF(INDEX(C:C, ROW())+INDEX(D:D, ROW())=0, 0, INDEX(C:C, ROW())/(INDEX(C:C, ROW())+INDEX(D:D, ROW())))</f>
        <v/>
      </c>
      <c r="F2587" s="1" t="inlineStr">
        <is>
          <t>Depth-First Search, Breadth-First Search, Graph Theory, Heap (Priority Queue), Shortest Path</t>
        </is>
      </c>
      <c r="G2587" s="1" t="inlineStr">
        <is>
          <t>Hard</t>
        </is>
      </c>
      <c r="H2587" s="1" t="n">
        <v>19599</v>
      </c>
      <c r="I2587" s="1" t="n">
        <v>42058</v>
      </c>
      <c r="J2587" s="9" t="n">
        <v>0.466</v>
      </c>
      <c r="K2587" s="1" t="inlineStr">
        <is>
          <t>Yes</t>
        </is>
      </c>
      <c r="L2587" s="1" t="inlineStr">
        <is>
          <t>No</t>
        </is>
      </c>
      <c r="M2587" s="1" t="inlineStr">
        <is>
          <t>No</t>
        </is>
      </c>
      <c r="N2587" s="1" t="inlineStr">
        <is>
          <t>Algorithms</t>
        </is>
      </c>
      <c r="O25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87" s="11" t="inlineStr">
        <is>
          <t>To Do</t>
        </is>
      </c>
    </row>
    <row r="2588" ht="15.75" customHeight="1" s="12">
      <c r="A2588" s="1" t="n">
        <v>356</v>
      </c>
      <c r="B2588" s="3">
        <f>HYPERLINK("https://leetcode.com/problems/line-reflection/", "Line Reflection")</f>
        <v/>
      </c>
      <c r="C2588" s="1" t="n">
        <v>317</v>
      </c>
      <c r="D2588" s="1" t="n">
        <v>642</v>
      </c>
      <c r="E2588" s="4">
        <f>IF(INDEX(C:C, ROW())+INDEX(D:D, ROW())=0, 0, INDEX(C:C, ROW())/(INDEX(C:C, ROW())+INDEX(D:D, ROW())))</f>
        <v/>
      </c>
      <c r="F2588" s="1" t="inlineStr">
        <is>
          <t>Array, Hash Table, Math</t>
        </is>
      </c>
      <c r="G2588" s="1" t="inlineStr">
        <is>
          <t>Medium</t>
        </is>
      </c>
      <c r="H2588" s="1" t="n">
        <v>46384</v>
      </c>
      <c r="I2588" s="1" t="n">
        <v>127702</v>
      </c>
      <c r="J2588" s="9" t="n">
        <v>0.363</v>
      </c>
      <c r="K2588" s="1" t="inlineStr">
        <is>
          <t>No</t>
        </is>
      </c>
      <c r="L2588" s="1" t="inlineStr">
        <is>
          <t>No</t>
        </is>
      </c>
      <c r="M2588" s="1" t="inlineStr">
        <is>
          <t>No</t>
        </is>
      </c>
      <c r="N2588" s="1" t="inlineStr">
        <is>
          <t>Algorithms</t>
        </is>
      </c>
      <c r="O25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88" s="11" t="inlineStr">
        <is>
          <t>To Do</t>
        </is>
      </c>
    </row>
    <row r="2589" ht="15.75" customHeight="1" s="12">
      <c r="A2589" s="1" t="n">
        <v>1112</v>
      </c>
      <c r="B2589" s="3">
        <f>HYPERLINK("https://leetcode.com/problems/highest-grade-for-each-student/", "Highest Grade For Each Student")</f>
        <v/>
      </c>
      <c r="C2589" s="1" t="n">
        <v>316</v>
      </c>
      <c r="D2589" s="1" t="n">
        <v>15</v>
      </c>
      <c r="E2589" s="4">
        <f>IF(INDEX(C:C, ROW())+INDEX(D:D, ROW())=0, 0, INDEX(C:C, ROW())/(INDEX(C:C, ROW())+INDEX(D:D, ROW())))</f>
        <v/>
      </c>
      <c r="F2589" s="1" t="inlineStr">
        <is>
          <t>Database</t>
        </is>
      </c>
      <c r="G2589" s="1" t="inlineStr">
        <is>
          <t>Medium</t>
        </is>
      </c>
      <c r="H2589" s="1" t="n">
        <v>78701</v>
      </c>
      <c r="I2589" s="1" t="n">
        <v>110636</v>
      </c>
      <c r="J2589" s="9" t="n">
        <v>0.711</v>
      </c>
      <c r="K2589" s="1" t="inlineStr">
        <is>
          <t>No</t>
        </is>
      </c>
      <c r="L2589" s="1" t="inlineStr">
        <is>
          <t>Yes</t>
        </is>
      </c>
      <c r="M2589" s="1" t="inlineStr">
        <is>
          <t>No</t>
        </is>
      </c>
      <c r="N2589" s="1" t="inlineStr">
        <is>
          <t>Database</t>
        </is>
      </c>
      <c r="O25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89" s="11" t="inlineStr">
        <is>
          <t>To Do</t>
        </is>
      </c>
    </row>
    <row r="2590" ht="15.75" customHeight="1" s="12">
      <c r="A2590" s="1" t="n">
        <v>2784</v>
      </c>
      <c r="B2590" s="3">
        <f>HYPERLINK("https://leetcode.com/problems/check-if-array-is-good/", "Check if Array is Good")</f>
        <v/>
      </c>
      <c r="C2590" s="1" t="n">
        <v>316</v>
      </c>
      <c r="D2590" s="1" t="n">
        <v>55</v>
      </c>
      <c r="E2590" s="4">
        <f>IF(INDEX(C:C, ROW())+INDEX(D:D, ROW())=0, 0, INDEX(C:C, ROW())/(INDEX(C:C, ROW())+INDEX(D:D, ROW())))</f>
        <v/>
      </c>
      <c r="F2590" s="1" t="inlineStr">
        <is>
          <t>Array, Hash Table, Sorting</t>
        </is>
      </c>
      <c r="G2590" s="1" t="inlineStr">
        <is>
          <t>Easy</t>
        </is>
      </c>
      <c r="H2590" s="1" t="n">
        <v>65910</v>
      </c>
      <c r="I2590" s="1" t="n">
        <v>134978</v>
      </c>
      <c r="J2590" s="9" t="n">
        <v>0.488</v>
      </c>
      <c r="K2590" s="1" t="inlineStr">
        <is>
          <t>Yes</t>
        </is>
      </c>
      <c r="L2590" s="1" t="inlineStr">
        <is>
          <t>No</t>
        </is>
      </c>
      <c r="M2590" s="1" t="inlineStr">
        <is>
          <t>No</t>
        </is>
      </c>
      <c r="N2590" s="1" t="inlineStr">
        <is>
          <t>Algorithms</t>
        </is>
      </c>
      <c r="O25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90" s="13" t="inlineStr">
        <is>
          <t>Done</t>
        </is>
      </c>
    </row>
    <row r="2591" ht="15.75" customHeight="1" s="12">
      <c r="A2591" s="1" t="n">
        <v>2963</v>
      </c>
      <c r="B2591" s="3">
        <f>HYPERLINK("https://leetcode.com/problems/count-the-number-of-good-partitions/", "Count the Number of Good Partitions")</f>
        <v/>
      </c>
      <c r="C2591" s="1" t="n">
        <v>316</v>
      </c>
      <c r="D2591" s="1" t="n">
        <v>5</v>
      </c>
      <c r="E2591" s="4">
        <f>IF(INDEX(C:C, ROW())+INDEX(D:D, ROW())=0, 0, INDEX(C:C, ROW())/(INDEX(C:C, ROW())+INDEX(D:D, ROW())))</f>
        <v/>
      </c>
      <c r="F2591" s="1" t="inlineStr">
        <is>
          <t>Array, Hash Table, Math, Combinatorics</t>
        </is>
      </c>
      <c r="G2591" s="1" t="inlineStr">
        <is>
          <t>Hard</t>
        </is>
      </c>
      <c r="H2591" s="1" t="n">
        <v>15987</v>
      </c>
      <c r="I2591" s="1" t="n">
        <v>32372</v>
      </c>
      <c r="J2591" s="9" t="n">
        <v>0.494</v>
      </c>
      <c r="K2591" s="1" t="inlineStr">
        <is>
          <t>Yes</t>
        </is>
      </c>
      <c r="L2591" s="1" t="inlineStr">
        <is>
          <t>No</t>
        </is>
      </c>
      <c r="M2591" s="1" t="inlineStr">
        <is>
          <t>No</t>
        </is>
      </c>
      <c r="N2591" s="1" t="inlineStr">
        <is>
          <t>Algorithms</t>
        </is>
      </c>
      <c r="O25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91" s="11" t="inlineStr">
        <is>
          <t>To Do</t>
        </is>
      </c>
    </row>
    <row r="2592" ht="15.75" customHeight="1" s="12">
      <c r="A2592" s="1" t="n">
        <v>1739</v>
      </c>
      <c r="B2592" s="3">
        <f>HYPERLINK("https://leetcode.com/problems/building-boxes/", "Building Boxes")</f>
        <v/>
      </c>
      <c r="C2592" s="1" t="n">
        <v>314</v>
      </c>
      <c r="D2592" s="1" t="n">
        <v>49</v>
      </c>
      <c r="E2592" s="4">
        <f>IF(INDEX(C:C, ROW())+INDEX(D:D, ROW())=0, 0, INDEX(C:C, ROW())/(INDEX(C:C, ROW())+INDEX(D:D, ROW())))</f>
        <v/>
      </c>
      <c r="F2592" s="1" t="inlineStr">
        <is>
          <t>Math, Binary Search, Greedy</t>
        </is>
      </c>
      <c r="G2592" s="1" t="inlineStr">
        <is>
          <t>Hard</t>
        </is>
      </c>
      <c r="H2592" s="1" t="n">
        <v>9728</v>
      </c>
      <c r="I2592" s="1" t="n">
        <v>18600</v>
      </c>
      <c r="J2592" s="9" t="n">
        <v>0.523</v>
      </c>
      <c r="K2592" s="1" t="inlineStr">
        <is>
          <t>Yes</t>
        </is>
      </c>
      <c r="L2592" s="1" t="inlineStr">
        <is>
          <t>No</t>
        </is>
      </c>
      <c r="M2592" s="1" t="inlineStr">
        <is>
          <t>No</t>
        </is>
      </c>
      <c r="N2592" s="1" t="inlineStr">
        <is>
          <t>Algorithms</t>
        </is>
      </c>
      <c r="O25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92" s="11" t="inlineStr">
        <is>
          <t>To Do</t>
        </is>
      </c>
    </row>
    <row r="2593" ht="15.75" customHeight="1" s="12">
      <c r="A2593" s="1" t="n">
        <v>2735</v>
      </c>
      <c r="B2593" s="3">
        <f>HYPERLINK("https://leetcode.com/problems/collecting-chocolates/", "Collecting Chocolates")</f>
        <v/>
      </c>
      <c r="C2593" s="1" t="n">
        <v>314</v>
      </c>
      <c r="D2593" s="1" t="n">
        <v>556</v>
      </c>
      <c r="E2593" s="4">
        <f>IF(INDEX(C:C, ROW())+INDEX(D:D, ROW())=0, 0, INDEX(C:C, ROW())/(INDEX(C:C, ROW())+INDEX(D:D, ROW())))</f>
        <v/>
      </c>
      <c r="F2593" s="1" t="inlineStr">
        <is>
          <t>Array, Enumeration</t>
        </is>
      </c>
      <c r="G2593" s="1" t="inlineStr">
        <is>
          <t>Medium</t>
        </is>
      </c>
      <c r="H2593" s="1" t="n">
        <v>15359</v>
      </c>
      <c r="I2593" s="1" t="n">
        <v>43982</v>
      </c>
      <c r="J2593" s="9" t="n">
        <v>0.349</v>
      </c>
      <c r="K2593" s="1" t="inlineStr">
        <is>
          <t>Yes</t>
        </is>
      </c>
      <c r="L2593" s="1" t="inlineStr">
        <is>
          <t>No</t>
        </is>
      </c>
      <c r="M2593" s="1" t="inlineStr">
        <is>
          <t>No</t>
        </is>
      </c>
      <c r="N2593" s="1" t="inlineStr">
        <is>
          <t>Algorithms</t>
        </is>
      </c>
      <c r="O25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93" s="11" t="inlineStr">
        <is>
          <t>To Do</t>
        </is>
      </c>
    </row>
    <row r="2594" ht="15.75" customHeight="1" s="12">
      <c r="A2594" s="1" t="n">
        <v>1501</v>
      </c>
      <c r="B2594" s="3">
        <f>HYPERLINK("https://leetcode.com/problems/countries-you-can-safely-invest-in/", "Countries You Can Safely Invest In")</f>
        <v/>
      </c>
      <c r="C2594" s="1" t="n">
        <v>313</v>
      </c>
      <c r="D2594" s="1" t="n">
        <v>149</v>
      </c>
      <c r="E2594" s="4">
        <f>IF(INDEX(C:C, ROW())+INDEX(D:D, ROW())=0, 0, INDEX(C:C, ROW())/(INDEX(C:C, ROW())+INDEX(D:D, ROW())))</f>
        <v/>
      </c>
      <c r="F2594" s="1" t="inlineStr">
        <is>
          <t>Database</t>
        </is>
      </c>
      <c r="G2594" s="1" t="inlineStr">
        <is>
          <t>Medium</t>
        </is>
      </c>
      <c r="H2594" s="1" t="n">
        <v>49821</v>
      </c>
      <c r="I2594" s="1" t="n">
        <v>98188</v>
      </c>
      <c r="J2594" s="9" t="n">
        <v>0.507</v>
      </c>
      <c r="K2594" s="1" t="inlineStr">
        <is>
          <t>No</t>
        </is>
      </c>
      <c r="L2594" s="1" t="inlineStr">
        <is>
          <t>No</t>
        </is>
      </c>
      <c r="M2594" s="1" t="inlineStr">
        <is>
          <t>No</t>
        </is>
      </c>
      <c r="N2594" s="1" t="inlineStr">
        <is>
          <t>Database</t>
        </is>
      </c>
      <c r="O25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94" s="11" t="inlineStr">
        <is>
          <t>To Do</t>
        </is>
      </c>
    </row>
    <row r="2595" ht="15.75" customHeight="1" s="12">
      <c r="A2595" s="1" t="n">
        <v>2241</v>
      </c>
      <c r="B2595" s="3">
        <f>HYPERLINK("https://leetcode.com/problems/design-an-atm-machine/", "Design an ATM Machine")</f>
        <v/>
      </c>
      <c r="C2595" s="1" t="n">
        <v>313</v>
      </c>
      <c r="D2595" s="1" t="n">
        <v>387</v>
      </c>
      <c r="E2595" s="4">
        <f>IF(INDEX(C:C, ROW())+INDEX(D:D, ROW())=0, 0, INDEX(C:C, ROW())/(INDEX(C:C, ROW())+INDEX(D:D, ROW())))</f>
        <v/>
      </c>
      <c r="F2595" s="1" t="inlineStr">
        <is>
          <t>Array, Greedy, Design</t>
        </is>
      </c>
      <c r="G2595" s="1" t="inlineStr">
        <is>
          <t>Medium</t>
        </is>
      </c>
      <c r="H2595" s="1" t="n">
        <v>36198</v>
      </c>
      <c r="I2595" s="1" t="n">
        <v>80366</v>
      </c>
      <c r="J2595" s="9" t="n">
        <v>0.45</v>
      </c>
      <c r="K2595" s="1" t="inlineStr">
        <is>
          <t>Yes</t>
        </is>
      </c>
      <c r="L2595" s="1" t="inlineStr">
        <is>
          <t>No</t>
        </is>
      </c>
      <c r="M2595" s="1" t="inlineStr">
        <is>
          <t>No</t>
        </is>
      </c>
      <c r="N2595" s="1" t="inlineStr">
        <is>
          <t>Algorithms</t>
        </is>
      </c>
      <c r="O25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95" s="11" t="inlineStr">
        <is>
          <t>To Do</t>
        </is>
      </c>
    </row>
    <row r="2596" ht="15.75" customHeight="1" s="12">
      <c r="A2596" s="1" t="n">
        <v>2456</v>
      </c>
      <c r="B2596" s="3">
        <f>HYPERLINK("https://leetcode.com/problems/most-popular-video-creator/", "Most Popular Video Creator")</f>
        <v/>
      </c>
      <c r="C2596" s="1" t="n">
        <v>313</v>
      </c>
      <c r="D2596" s="1" t="n">
        <v>386</v>
      </c>
      <c r="E2596" s="4">
        <f>IF(INDEX(C:C, ROW())+INDEX(D:D, ROW())=0, 0, INDEX(C:C, ROW())/(INDEX(C:C, ROW())+INDEX(D:D, ROW())))</f>
        <v/>
      </c>
      <c r="F2596" s="1" t="inlineStr">
        <is>
          <t>Array, Hash Table, String, Sorting, Heap (Priority Queue)</t>
        </is>
      </c>
      <c r="G2596" s="1" t="inlineStr">
        <is>
          <t>Medium</t>
        </is>
      </c>
      <c r="H2596" s="1" t="n">
        <v>28617</v>
      </c>
      <c r="I2596" s="1" t="n">
        <v>63107</v>
      </c>
      <c r="J2596" s="9" t="n">
        <v>0.453</v>
      </c>
      <c r="K2596" s="1" t="inlineStr">
        <is>
          <t>Yes</t>
        </is>
      </c>
      <c r="L2596" s="1" t="inlineStr">
        <is>
          <t>No</t>
        </is>
      </c>
      <c r="M2596" s="1" t="inlineStr">
        <is>
          <t>No</t>
        </is>
      </c>
      <c r="N2596" s="1" t="inlineStr">
        <is>
          <t>Algorithms</t>
        </is>
      </c>
      <c r="O25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96" s="11" t="inlineStr">
        <is>
          <t>To Do</t>
        </is>
      </c>
    </row>
    <row r="2597" ht="15.75" customHeight="1" s="12">
      <c r="A2597" s="1" t="n">
        <v>1699</v>
      </c>
      <c r="B2597" s="3">
        <f>HYPERLINK("https://leetcode.com/problems/number-of-calls-between-two-persons/", "Number of Calls Between Two Persons")</f>
        <v/>
      </c>
      <c r="C2597" s="1" t="n">
        <v>312</v>
      </c>
      <c r="D2597" s="1" t="n">
        <v>16</v>
      </c>
      <c r="E2597" s="4">
        <f>IF(INDEX(C:C, ROW())+INDEX(D:D, ROW())=0, 0, INDEX(C:C, ROW())/(INDEX(C:C, ROW())+INDEX(D:D, ROW())))</f>
        <v/>
      </c>
      <c r="F2597" s="1" t="inlineStr">
        <is>
          <t>Database</t>
        </is>
      </c>
      <c r="G2597" s="1" t="inlineStr">
        <is>
          <t>Medium</t>
        </is>
      </c>
      <c r="H2597" s="1" t="n">
        <v>53542</v>
      </c>
      <c r="I2597" s="1" t="n">
        <v>66250</v>
      </c>
      <c r="J2597" s="9" t="n">
        <v>0.8080000000000001</v>
      </c>
      <c r="K2597" s="1" t="inlineStr">
        <is>
          <t>No</t>
        </is>
      </c>
      <c r="L2597" s="1" t="inlineStr">
        <is>
          <t>No</t>
        </is>
      </c>
      <c r="M2597" s="1" t="inlineStr">
        <is>
          <t>No</t>
        </is>
      </c>
      <c r="N2597" s="1" t="inlineStr">
        <is>
          <t>Database</t>
        </is>
      </c>
      <c r="O25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97" s="11" t="inlineStr">
        <is>
          <t>To Do</t>
        </is>
      </c>
    </row>
    <row r="2598" ht="15.75" customHeight="1" s="12">
      <c r="A2598" s="1" t="n">
        <v>1746</v>
      </c>
      <c r="B2598" s="3">
        <f>HYPERLINK("https://leetcode.com/problems/maximum-subarray-sum-after-one-operation/", "Maximum Subarray Sum After One Operation")</f>
        <v/>
      </c>
      <c r="C2598" s="1" t="n">
        <v>312</v>
      </c>
      <c r="D2598" s="1" t="n">
        <v>10</v>
      </c>
      <c r="E2598" s="4">
        <f>IF(INDEX(C:C, ROW())+INDEX(D:D, ROW())=0, 0, INDEX(C:C, ROW())/(INDEX(C:C, ROW())+INDEX(D:D, ROW())))</f>
        <v/>
      </c>
      <c r="F2598" s="1" t="inlineStr">
        <is>
          <t>Array, Dynamic Programming</t>
        </is>
      </c>
      <c r="G2598" s="1" t="inlineStr">
        <is>
          <t>Medium</t>
        </is>
      </c>
      <c r="H2598" s="1" t="n">
        <v>13972</v>
      </c>
      <c r="I2598" s="1" t="n">
        <v>21441</v>
      </c>
      <c r="J2598" s="9" t="n">
        <v>0.652</v>
      </c>
      <c r="K2598" s="1" t="inlineStr">
        <is>
          <t>No</t>
        </is>
      </c>
      <c r="L2598" s="1" t="inlineStr">
        <is>
          <t>Yes</t>
        </is>
      </c>
      <c r="M2598" s="1" t="inlineStr">
        <is>
          <t>No</t>
        </is>
      </c>
      <c r="N2598" s="1" t="inlineStr">
        <is>
          <t>Algorithms</t>
        </is>
      </c>
      <c r="O25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98" s="11" t="inlineStr">
        <is>
          <t>To Do</t>
        </is>
      </c>
    </row>
    <row r="2599" ht="15.75" customHeight="1" s="12">
      <c r="A2599" s="1" t="n">
        <v>2587</v>
      </c>
      <c r="B2599" s="3">
        <f>HYPERLINK("https://leetcode.com/problems/rearrange-array-to-maximize-prefix-score/", "Rearrange Array to Maximize Prefix Score")</f>
        <v/>
      </c>
      <c r="C2599" s="1" t="n">
        <v>310</v>
      </c>
      <c r="D2599" s="1" t="n">
        <v>54</v>
      </c>
      <c r="E2599" s="4">
        <f>IF(INDEX(C:C, ROW())+INDEX(D:D, ROW())=0, 0, INDEX(C:C, ROW())/(INDEX(C:C, ROW())+INDEX(D:D, ROW())))</f>
        <v/>
      </c>
      <c r="F2599" s="1" t="inlineStr">
        <is>
          <t>Array, Greedy, Sorting, Prefix Sum</t>
        </is>
      </c>
      <c r="G2599" s="1" t="inlineStr">
        <is>
          <t>Medium</t>
        </is>
      </c>
      <c r="H2599" s="1" t="n">
        <v>40310</v>
      </c>
      <c r="I2599" s="1" t="n">
        <v>94262</v>
      </c>
      <c r="J2599" s="9" t="n">
        <v>0.428</v>
      </c>
      <c r="K2599" s="1" t="inlineStr">
        <is>
          <t>Yes</t>
        </is>
      </c>
      <c r="L2599" s="1" t="inlineStr">
        <is>
          <t>No</t>
        </is>
      </c>
      <c r="M2599" s="1" t="inlineStr">
        <is>
          <t>No</t>
        </is>
      </c>
      <c r="N2599" s="1" t="inlineStr">
        <is>
          <t>Algorithms</t>
        </is>
      </c>
      <c r="O25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599" s="11" t="inlineStr">
        <is>
          <t>To Do</t>
        </is>
      </c>
    </row>
    <row r="2600" ht="15.75" customHeight="1" s="12">
      <c r="A2600" s="1" t="n">
        <v>2956</v>
      </c>
      <c r="B2600" s="3">
        <f>HYPERLINK("https://leetcode.com/problems/find-common-elements-between-two-arrays/", "Find Common Elements Between Two Arrays")</f>
        <v/>
      </c>
      <c r="C2600" s="1" t="n">
        <v>310</v>
      </c>
      <c r="D2600" s="1" t="n">
        <v>110</v>
      </c>
      <c r="E2600" s="4">
        <f>IF(INDEX(C:C, ROW())+INDEX(D:D, ROW())=0, 0, INDEX(C:C, ROW())/(INDEX(C:C, ROW())+INDEX(D:D, ROW())))</f>
        <v/>
      </c>
      <c r="F2600" s="1" t="inlineStr">
        <is>
          <t>Array, Hash Table</t>
        </is>
      </c>
      <c r="G2600" s="1" t="inlineStr">
        <is>
          <t>Easy</t>
        </is>
      </c>
      <c r="H2600" s="1" t="n">
        <v>107335</v>
      </c>
      <c r="I2600" s="1" t="n">
        <v>127045</v>
      </c>
      <c r="J2600" s="9" t="n">
        <v>0.845</v>
      </c>
      <c r="K2600" s="1" t="inlineStr">
        <is>
          <t>Yes</t>
        </is>
      </c>
      <c r="L2600" s="1" t="inlineStr">
        <is>
          <t>No</t>
        </is>
      </c>
      <c r="M2600" s="1" t="inlineStr">
        <is>
          <t>No</t>
        </is>
      </c>
      <c r="N2600" s="1" t="inlineStr">
        <is>
          <t>Algorithms</t>
        </is>
      </c>
      <c r="O26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00" s="13" t="inlineStr">
        <is>
          <t>Done</t>
        </is>
      </c>
    </row>
    <row r="2601" ht="15.75" customHeight="1" s="12">
      <c r="A2601" s="1" t="n">
        <v>1236</v>
      </c>
      <c r="B2601" s="3">
        <f>HYPERLINK("https://leetcode.com/problems/web-crawler/", "Web Crawler")</f>
        <v/>
      </c>
      <c r="C2601" s="1" t="n">
        <v>309</v>
      </c>
      <c r="D2601" s="1" t="n">
        <v>338</v>
      </c>
      <c r="E2601" s="4">
        <f>IF(INDEX(C:C, ROW())+INDEX(D:D, ROW())=0, 0, INDEX(C:C, ROW())/(INDEX(C:C, ROW())+INDEX(D:D, ROW())))</f>
        <v/>
      </c>
      <c r="F2601" s="1" t="inlineStr">
        <is>
          <t>String, Depth-First Search, Breadth-First Search, Interactive</t>
        </is>
      </c>
      <c r="G2601" s="1" t="inlineStr">
        <is>
          <t>Medium</t>
        </is>
      </c>
      <c r="H2601" s="1" t="n">
        <v>56001</v>
      </c>
      <c r="I2601" s="1" t="n">
        <v>81355</v>
      </c>
      <c r="J2601" s="9" t="n">
        <v>0.6879999999999999</v>
      </c>
      <c r="K2601" s="1" t="inlineStr">
        <is>
          <t>No</t>
        </is>
      </c>
      <c r="L2601" s="1" t="inlineStr">
        <is>
          <t>Yes</t>
        </is>
      </c>
      <c r="M2601" s="1" t="inlineStr">
        <is>
          <t>No</t>
        </is>
      </c>
      <c r="N2601" s="1" t="inlineStr">
        <is>
          <t>Algorithms</t>
        </is>
      </c>
      <c r="O26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01" s="11" t="inlineStr">
        <is>
          <t>To Do</t>
        </is>
      </c>
    </row>
    <row r="2602" ht="15.75" customHeight="1" s="12">
      <c r="A2602" s="1" t="n">
        <v>1583</v>
      </c>
      <c r="B2602" s="3">
        <f>HYPERLINK("https://leetcode.com/problems/count-unhappy-friends/", "Count Unhappy Friends")</f>
        <v/>
      </c>
      <c r="C2602" s="1" t="n">
        <v>309</v>
      </c>
      <c r="D2602" s="1" t="n">
        <v>887</v>
      </c>
      <c r="E2602" s="4">
        <f>IF(INDEX(C:C, ROW())+INDEX(D:D, ROW())=0, 0, INDEX(C:C, ROW())/(INDEX(C:C, ROW())+INDEX(D:D, ROW())))</f>
        <v/>
      </c>
      <c r="F2602" s="1" t="inlineStr">
        <is>
          <t>Array, Simulation</t>
        </is>
      </c>
      <c r="G2602" s="1" t="inlineStr">
        <is>
          <t>Medium</t>
        </is>
      </c>
      <c r="H2602" s="1" t="n">
        <v>34835</v>
      </c>
      <c r="I2602" s="1" t="n">
        <v>55724</v>
      </c>
      <c r="J2602" s="9" t="n">
        <v>0.625</v>
      </c>
      <c r="K2602" s="1" t="inlineStr">
        <is>
          <t>Yes</t>
        </is>
      </c>
      <c r="L2602" s="1" t="inlineStr">
        <is>
          <t>No</t>
        </is>
      </c>
      <c r="M2602" s="1" t="inlineStr">
        <is>
          <t>No</t>
        </is>
      </c>
      <c r="N2602" s="1" t="inlineStr">
        <is>
          <t>Algorithms</t>
        </is>
      </c>
      <c r="O26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02" s="11" t="inlineStr">
        <is>
          <t>To Do</t>
        </is>
      </c>
    </row>
    <row r="2603" ht="15.75" customHeight="1" s="12">
      <c r="A2603" s="1" t="n">
        <v>2437</v>
      </c>
      <c r="B2603" s="3">
        <f>HYPERLINK("https://leetcode.com/problems/number-of-valid-clock-times/", "Number of Valid Clock Times")</f>
        <v/>
      </c>
      <c r="C2603" s="1" t="n">
        <v>309</v>
      </c>
      <c r="D2603" s="1" t="n">
        <v>247</v>
      </c>
      <c r="E2603" s="4">
        <f>IF(INDEX(C:C, ROW())+INDEX(D:D, ROW())=0, 0, INDEX(C:C, ROW())/(INDEX(C:C, ROW())+INDEX(D:D, ROW())))</f>
        <v/>
      </c>
      <c r="F2603" s="1" t="inlineStr">
        <is>
          <t>String, Enumeration</t>
        </is>
      </c>
      <c r="G2603" s="1" t="inlineStr">
        <is>
          <t>Easy</t>
        </is>
      </c>
      <c r="H2603" s="1" t="n">
        <v>38625</v>
      </c>
      <c r="I2603" s="1" t="n">
        <v>80393</v>
      </c>
      <c r="J2603" s="9" t="n">
        <v>0.48</v>
      </c>
      <c r="K2603" s="1" t="inlineStr">
        <is>
          <t>Yes</t>
        </is>
      </c>
      <c r="L2603" s="1" t="inlineStr">
        <is>
          <t>No</t>
        </is>
      </c>
      <c r="M2603" s="1" t="inlineStr">
        <is>
          <t>No</t>
        </is>
      </c>
      <c r="N2603" s="1" t="inlineStr">
        <is>
          <t>Algorithms</t>
        </is>
      </c>
      <c r="O26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03" s="13" t="inlineStr">
        <is>
          <t>Done</t>
        </is>
      </c>
    </row>
    <row r="2604" ht="15.75" customHeight="1" s="12">
      <c r="A2604" s="1" t="n">
        <v>3740</v>
      </c>
      <c r="B2604" s="3">
        <f>HYPERLINK("https://leetcode.com/problems/minimum-distance-between-three-equal-elements-i/", "Minimum Distance Between Three Equal Elements I")</f>
        <v/>
      </c>
      <c r="C2604" s="1" t="n">
        <v>309</v>
      </c>
      <c r="D2604" s="1" t="n">
        <v>23</v>
      </c>
      <c r="E2604" s="4">
        <f>IF(INDEX(C:C, ROW())+INDEX(D:D, ROW())=0, 0, INDEX(C:C, ROW())/(INDEX(C:C, ROW())+INDEX(D:D, ROW())))</f>
        <v/>
      </c>
      <c r="F2604" s="1" t="inlineStr">
        <is>
          <t>Array, Hash Table</t>
        </is>
      </c>
      <c r="G2604" s="1" t="inlineStr">
        <is>
          <t>Easy</t>
        </is>
      </c>
      <c r="H2604" s="1" t="n">
        <v>143378</v>
      </c>
      <c r="I2604" s="1" t="n">
        <v>195081</v>
      </c>
      <c r="J2604" s="9" t="n">
        <v>0.735</v>
      </c>
      <c r="K2604" s="1" t="inlineStr">
        <is>
          <t>Yes</t>
        </is>
      </c>
      <c r="L2604" s="1" t="inlineStr">
        <is>
          <t>Yes</t>
        </is>
      </c>
      <c r="M2604" s="1" t="inlineStr">
        <is>
          <t>No</t>
        </is>
      </c>
      <c r="N2604" s="1" t="inlineStr">
        <is>
          <t>Algorithms</t>
        </is>
      </c>
      <c r="O26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04" s="13" t="inlineStr">
        <is>
          <t>Done</t>
        </is>
      </c>
    </row>
    <row r="2605" ht="15.75" customHeight="1" s="12">
      <c r="A2605" s="1" t="n">
        <v>248</v>
      </c>
      <c r="B2605" s="3">
        <f>HYPERLINK("https://leetcode.com/problems/strobogrammatic-number-iii/", "Strobogrammatic Number III")</f>
        <v/>
      </c>
      <c r="C2605" s="1" t="n">
        <v>308</v>
      </c>
      <c r="D2605" s="1" t="n">
        <v>193</v>
      </c>
      <c r="E2605" s="4">
        <f>IF(INDEX(C:C, ROW())+INDEX(D:D, ROW())=0, 0, INDEX(C:C, ROW())/(INDEX(C:C, ROW())+INDEX(D:D, ROW())))</f>
        <v/>
      </c>
      <c r="F2605" s="1" t="inlineStr">
        <is>
          <t>Array, String, Recursion</t>
        </is>
      </c>
      <c r="G2605" s="1" t="inlineStr">
        <is>
          <t>Hard</t>
        </is>
      </c>
      <c r="H2605" s="1" t="n">
        <v>38375</v>
      </c>
      <c r="I2605" s="1" t="n">
        <v>89874</v>
      </c>
      <c r="J2605" s="9" t="n">
        <v>0.427</v>
      </c>
      <c r="K2605" s="1" t="inlineStr">
        <is>
          <t>No</t>
        </is>
      </c>
      <c r="L2605" s="1" t="inlineStr">
        <is>
          <t>No</t>
        </is>
      </c>
      <c r="M2605" s="1" t="inlineStr">
        <is>
          <t>No</t>
        </is>
      </c>
      <c r="N2605" s="1" t="inlineStr">
        <is>
          <t>Algorithms</t>
        </is>
      </c>
      <c r="O26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05" s="11" t="inlineStr">
        <is>
          <t>To Do</t>
        </is>
      </c>
    </row>
    <row r="2606" ht="15.75" customHeight="1" s="12">
      <c r="A2606" s="1" t="n">
        <v>2915</v>
      </c>
      <c r="B2606" s="3">
        <f>HYPERLINK("https://leetcode.com/problems/length-of-the-longest-subsequence-that-sums-to-target/", "Length of the Longest Subsequence That Sums to Target")</f>
        <v/>
      </c>
      <c r="C2606" s="1" t="n">
        <v>307</v>
      </c>
      <c r="D2606" s="1" t="n">
        <v>34</v>
      </c>
      <c r="E2606" s="4">
        <f>IF(INDEX(C:C, ROW())+INDEX(D:D, ROW())=0, 0, INDEX(C:C, ROW())/(INDEX(C:C, ROW())+INDEX(D:D, ROW())))</f>
        <v/>
      </c>
      <c r="F2606" s="1" t="inlineStr">
        <is>
          <t>Array, Dynamic Programming</t>
        </is>
      </c>
      <c r="G2606" s="1" t="inlineStr">
        <is>
          <t>Medium</t>
        </is>
      </c>
      <c r="H2606" s="1" t="n">
        <v>38320</v>
      </c>
      <c r="I2606" s="1" t="n">
        <v>96565</v>
      </c>
      <c r="J2606" s="9" t="n">
        <v>0.397</v>
      </c>
      <c r="K2606" s="1" t="inlineStr">
        <is>
          <t>Yes</t>
        </is>
      </c>
      <c r="L2606" s="1" t="inlineStr">
        <is>
          <t>No</t>
        </is>
      </c>
      <c r="M2606" s="1" t="inlineStr">
        <is>
          <t>No</t>
        </is>
      </c>
      <c r="N2606" s="1" t="inlineStr">
        <is>
          <t>Algorithms</t>
        </is>
      </c>
      <c r="O26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06" s="11" t="inlineStr">
        <is>
          <t>To Do</t>
        </is>
      </c>
    </row>
    <row r="2607" ht="15.75" customHeight="1" s="12">
      <c r="A2607" s="1" t="n">
        <v>3480</v>
      </c>
      <c r="B2607" s="3">
        <f>HYPERLINK("https://leetcode.com/problems/maximize-subarrays-after-removing-one-conflicting-pair/", "Maximize Subarrays After Removing One Conflicting Pair")</f>
        <v/>
      </c>
      <c r="C2607" s="1" t="n">
        <v>307</v>
      </c>
      <c r="D2607" s="1" t="n">
        <v>57</v>
      </c>
      <c r="E2607" s="4">
        <f>IF(INDEX(C:C, ROW())+INDEX(D:D, ROW())=0, 0, INDEX(C:C, ROW())/(INDEX(C:C, ROW())+INDEX(D:D, ROW())))</f>
        <v/>
      </c>
      <c r="F2607" s="1" t="inlineStr">
        <is>
          <t>Array, Segment Tree, Enumeration, Prefix Sum</t>
        </is>
      </c>
      <c r="G2607" s="1" t="inlineStr">
        <is>
          <t>Hard</t>
        </is>
      </c>
      <c r="H2607" s="1" t="n">
        <v>57597</v>
      </c>
      <c r="I2607" s="1" t="n">
        <v>89246</v>
      </c>
      <c r="J2607" s="9" t="n">
        <v>0.645</v>
      </c>
      <c r="K2607" s="1" t="inlineStr">
        <is>
          <t>Yes</t>
        </is>
      </c>
      <c r="L2607" s="1" t="inlineStr">
        <is>
          <t>Yes</t>
        </is>
      </c>
      <c r="M2607" s="1" t="inlineStr">
        <is>
          <t>No</t>
        </is>
      </c>
      <c r="N2607" s="1" t="inlineStr">
        <is>
          <t>Algorithms</t>
        </is>
      </c>
      <c r="O26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07" s="11" t="inlineStr">
        <is>
          <t>To Do</t>
        </is>
      </c>
    </row>
    <row r="2608" ht="15.75" customHeight="1" s="12">
      <c r="A2608" s="1" t="n">
        <v>3567</v>
      </c>
      <c r="B2608" s="3">
        <f>HYPERLINK("https://leetcode.com/problems/minimum-absolute-difference-in-sliding-submatrix/", "Minimum Absolute Difference in Sliding Submatrix")</f>
        <v/>
      </c>
      <c r="C2608" s="1" t="n">
        <v>307</v>
      </c>
      <c r="D2608" s="1" t="n">
        <v>42</v>
      </c>
      <c r="E2608" s="4">
        <f>IF(INDEX(C:C, ROW())+INDEX(D:D, ROW())=0, 0, INDEX(C:C, ROW())/(INDEX(C:C, ROW())+INDEX(D:D, ROW())))</f>
        <v/>
      </c>
      <c r="F2608" s="1" t="inlineStr">
        <is>
          <t>Array, Sorting, Matrix</t>
        </is>
      </c>
      <c r="G2608" s="1" t="inlineStr">
        <is>
          <t>Medium</t>
        </is>
      </c>
      <c r="H2608" s="1" t="n">
        <v>94371</v>
      </c>
      <c r="I2608" s="1" t="n">
        <v>119767</v>
      </c>
      <c r="J2608" s="9" t="n">
        <v>0.788</v>
      </c>
      <c r="K2608" s="1" t="inlineStr">
        <is>
          <t>Yes</t>
        </is>
      </c>
      <c r="L2608" s="1" t="inlineStr">
        <is>
          <t>Yes</t>
        </is>
      </c>
      <c r="M2608" s="1" t="inlineStr">
        <is>
          <t>No</t>
        </is>
      </c>
      <c r="N2608" s="1" t="inlineStr">
        <is>
          <t>Algorithms</t>
        </is>
      </c>
      <c r="O26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08" s="11" t="inlineStr">
        <is>
          <t>To Do</t>
        </is>
      </c>
    </row>
    <row r="2609" ht="15.75" customHeight="1" s="12">
      <c r="A2609" s="1" t="n">
        <v>156</v>
      </c>
      <c r="B2609" s="3">
        <f>HYPERLINK("https://leetcode.com/problems/binary-tree-upside-down/", "Binary Tree Upside Down")</f>
        <v/>
      </c>
      <c r="C2609" s="1" t="n">
        <v>306</v>
      </c>
      <c r="D2609" s="1" t="n">
        <v>389</v>
      </c>
      <c r="E2609" s="4">
        <f>IF(INDEX(C:C, ROW())+INDEX(D:D, ROW())=0, 0, INDEX(C:C, ROW())/(INDEX(C:C, ROW())+INDEX(D:D, ROW())))</f>
        <v/>
      </c>
      <c r="F2609" s="1" t="inlineStr">
        <is>
          <t>Tree, Depth-First Search, Binary Tree</t>
        </is>
      </c>
      <c r="G2609" s="1" t="inlineStr">
        <is>
          <t>Medium</t>
        </is>
      </c>
      <c r="H2609" s="1" t="n">
        <v>119426</v>
      </c>
      <c r="I2609" s="1" t="n">
        <v>182401</v>
      </c>
      <c r="J2609" s="9" t="n">
        <v>0.655</v>
      </c>
      <c r="K2609" s="1" t="inlineStr">
        <is>
          <t>No</t>
        </is>
      </c>
      <c r="L2609" s="1" t="inlineStr">
        <is>
          <t>No</t>
        </is>
      </c>
      <c r="M2609" s="1" t="inlineStr">
        <is>
          <t>No</t>
        </is>
      </c>
      <c r="N2609" s="1" t="inlineStr">
        <is>
          <t>Algorithms</t>
        </is>
      </c>
      <c r="O26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09" s="11" t="inlineStr">
        <is>
          <t>To Do</t>
        </is>
      </c>
    </row>
    <row r="2610" ht="15.75" customHeight="1" s="12">
      <c r="A2610" s="1" t="n">
        <v>3666</v>
      </c>
      <c r="B2610" s="3">
        <f>HYPERLINK("https://leetcode.com/problems/minimum-operations-to-equalize-binary-string/", "Minimum Operations to Equalize Binary String")</f>
        <v/>
      </c>
      <c r="C2610" s="1" t="n">
        <v>306</v>
      </c>
      <c r="D2610" s="1" t="n">
        <v>36</v>
      </c>
      <c r="E2610" s="4">
        <f>IF(INDEX(C:C, ROW())+INDEX(D:D, ROW())=0, 0, INDEX(C:C, ROW())/(INDEX(C:C, ROW())+INDEX(D:D, ROW())))</f>
        <v/>
      </c>
      <c r="F2610" s="1" t="inlineStr">
        <is>
          <t>Math, String, Breadth-First Search, Union-Find, Ordered Set</t>
        </is>
      </c>
      <c r="G2610" s="1" t="inlineStr">
        <is>
          <t>Hard</t>
        </is>
      </c>
      <c r="H2610" s="1" t="n">
        <v>61099</v>
      </c>
      <c r="I2610" s="1" t="n">
        <v>135330</v>
      </c>
      <c r="J2610" s="9" t="n">
        <v>0.451</v>
      </c>
      <c r="K2610" s="1" t="inlineStr">
        <is>
          <t>Yes</t>
        </is>
      </c>
      <c r="L2610" s="1" t="inlineStr">
        <is>
          <t>Yes</t>
        </is>
      </c>
      <c r="M2610" s="1" t="inlineStr">
        <is>
          <t>No</t>
        </is>
      </c>
      <c r="N2610" s="1" t="inlineStr">
        <is>
          <t>Algorithms</t>
        </is>
      </c>
      <c r="O26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10" s="11" t="inlineStr">
        <is>
          <t>To Do</t>
        </is>
      </c>
    </row>
    <row r="2611" ht="15.75" customHeight="1" s="12">
      <c r="A2611" s="1" t="n">
        <v>1173</v>
      </c>
      <c r="B2611" s="3">
        <f>HYPERLINK("https://leetcode.com/problems/immediate-food-delivery-i/", "Immediate Food Delivery I")</f>
        <v/>
      </c>
      <c r="C2611" s="1" t="n">
        <v>305</v>
      </c>
      <c r="D2611" s="1" t="n">
        <v>13</v>
      </c>
      <c r="E2611" s="4">
        <f>IF(INDEX(C:C, ROW())+INDEX(D:D, ROW())=0, 0, INDEX(C:C, ROW())/(INDEX(C:C, ROW())+INDEX(D:D, ROW())))</f>
        <v/>
      </c>
      <c r="F2611" s="1" t="inlineStr">
        <is>
          <t>Database</t>
        </is>
      </c>
      <c r="G2611" s="1" t="inlineStr">
        <is>
          <t>Easy</t>
        </is>
      </c>
      <c r="H2611" s="1" t="n">
        <v>92307</v>
      </c>
      <c r="I2611" s="1" t="n">
        <v>114463</v>
      </c>
      <c r="J2611" s="9" t="n">
        <v>0.806</v>
      </c>
      <c r="K2611" s="1" t="inlineStr">
        <is>
          <t>No</t>
        </is>
      </c>
      <c r="L2611" s="1" t="inlineStr">
        <is>
          <t>Yes</t>
        </is>
      </c>
      <c r="M2611" s="1" t="inlineStr">
        <is>
          <t>No</t>
        </is>
      </c>
      <c r="N2611" s="1" t="inlineStr">
        <is>
          <t>Database</t>
        </is>
      </c>
      <c r="O26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11" s="11" t="inlineStr">
        <is>
          <t>To Do</t>
        </is>
      </c>
    </row>
    <row r="2612" ht="15.75" customHeight="1" s="12">
      <c r="A2612" s="1" t="n">
        <v>2861</v>
      </c>
      <c r="B2612" s="3">
        <f>HYPERLINK("https://leetcode.com/problems/maximum-number-of-alloys/", "Maximum Number of Alloys")</f>
        <v/>
      </c>
      <c r="C2612" s="1" t="n">
        <v>305</v>
      </c>
      <c r="D2612" s="1" t="n">
        <v>57</v>
      </c>
      <c r="E2612" s="4">
        <f>IF(INDEX(C:C, ROW())+INDEX(D:D, ROW())=0, 0, INDEX(C:C, ROW())/(INDEX(C:C, ROW())+INDEX(D:D, ROW())))</f>
        <v/>
      </c>
      <c r="F2612" s="1" t="inlineStr">
        <is>
          <t>Array, Binary Search</t>
        </is>
      </c>
      <c r="G2612" s="1" t="inlineStr">
        <is>
          <t>Medium</t>
        </is>
      </c>
      <c r="H2612" s="1" t="n">
        <v>20570</v>
      </c>
      <c r="I2612" s="1" t="n">
        <v>50270</v>
      </c>
      <c r="J2612" s="9" t="n">
        <v>0.409</v>
      </c>
      <c r="K2612" s="1" t="inlineStr">
        <is>
          <t>Yes</t>
        </is>
      </c>
      <c r="L2612" s="1" t="inlineStr">
        <is>
          <t>No</t>
        </is>
      </c>
      <c r="M2612" s="1" t="inlineStr">
        <is>
          <t>No</t>
        </is>
      </c>
      <c r="N2612" s="1" t="inlineStr">
        <is>
          <t>Algorithms</t>
        </is>
      </c>
      <c r="O26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12" s="11" t="inlineStr">
        <is>
          <t>To Do</t>
        </is>
      </c>
    </row>
    <row r="2613" ht="15.75" customHeight="1" s="12">
      <c r="A2613" s="1" t="n">
        <v>3347</v>
      </c>
      <c r="B2613" s="3">
        <f>HYPERLINK("https://leetcode.com/problems/maximum-frequency-of-an-element-after-performing-operations-ii/", "Maximum Frequency of an Element After Performing Operations II")</f>
        <v/>
      </c>
      <c r="C2613" s="1" t="n">
        <v>305</v>
      </c>
      <c r="D2613" s="1" t="n">
        <v>21</v>
      </c>
      <c r="E2613" s="4">
        <f>IF(INDEX(C:C, ROW())+INDEX(D:D, ROW())=0, 0, INDEX(C:C, ROW())/(INDEX(C:C, ROW())+INDEX(D:D, ROW())))</f>
        <v/>
      </c>
      <c r="F2613" s="1" t="inlineStr">
        <is>
          <t>Array, Binary Search, Sliding Window, Sorting, Prefix Sum</t>
        </is>
      </c>
      <c r="G2613" s="1" t="inlineStr">
        <is>
          <t>Hard</t>
        </is>
      </c>
      <c r="H2613" s="1" t="n">
        <v>67525</v>
      </c>
      <c r="I2613" s="1" t="n">
        <v>125458</v>
      </c>
      <c r="J2613" s="9" t="n">
        <v>0.538</v>
      </c>
      <c r="K2613" s="1" t="inlineStr">
        <is>
          <t>Yes</t>
        </is>
      </c>
      <c r="L2613" s="1" t="inlineStr">
        <is>
          <t>Yes</t>
        </is>
      </c>
      <c r="M2613" s="1" t="inlineStr">
        <is>
          <t>No</t>
        </is>
      </c>
      <c r="N2613" s="1" t="inlineStr">
        <is>
          <t>Algorithms</t>
        </is>
      </c>
      <c r="O26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13" s="11" t="inlineStr">
        <is>
          <t>To Do</t>
        </is>
      </c>
    </row>
    <row r="2614" ht="15.75" customHeight="1" s="12">
      <c r="A2614" s="1" t="n">
        <v>3392</v>
      </c>
      <c r="B2614" s="3">
        <f>HYPERLINK("https://leetcode.com/problems/count-subarrays-of-length-three-with-a-condition/", "Count Subarrays of Length Three With a Condition")</f>
        <v/>
      </c>
      <c r="C2614" s="1" t="n">
        <v>303</v>
      </c>
      <c r="D2614" s="1" t="n">
        <v>31</v>
      </c>
      <c r="E2614" s="4">
        <f>IF(INDEX(C:C, ROW())+INDEX(D:D, ROW())=0, 0, INDEX(C:C, ROW())/(INDEX(C:C, ROW())+INDEX(D:D, ROW())))</f>
        <v/>
      </c>
      <c r="F2614" s="1" t="inlineStr">
        <is>
          <t>Array</t>
        </is>
      </c>
      <c r="G2614" s="1" t="inlineStr">
        <is>
          <t>Easy</t>
        </is>
      </c>
      <c r="H2614" s="1" t="n">
        <v>151792</v>
      </c>
      <c r="I2614" s="1" t="n">
        <v>247086</v>
      </c>
      <c r="J2614" s="9" t="n">
        <v>0.614</v>
      </c>
      <c r="K2614" s="1" t="inlineStr">
        <is>
          <t>Yes</t>
        </is>
      </c>
      <c r="L2614" s="1" t="inlineStr">
        <is>
          <t>Yes</t>
        </is>
      </c>
      <c r="M2614" s="1" t="inlineStr">
        <is>
          <t>No</t>
        </is>
      </c>
      <c r="N2614" s="1" t="inlineStr">
        <is>
          <t>Algorithms</t>
        </is>
      </c>
      <c r="O26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14" s="13" t="inlineStr">
        <is>
          <t>Done</t>
        </is>
      </c>
    </row>
    <row r="2615" ht="15.75" customHeight="1" s="12">
      <c r="A2615" s="1" t="n">
        <v>2223</v>
      </c>
      <c r="B2615" s="3">
        <f>HYPERLINK("https://leetcode.com/problems/sum-of-scores-of-built-strings/", "Sum of Scores of Built Strings")</f>
        <v/>
      </c>
      <c r="C2615" s="1" t="n">
        <v>302</v>
      </c>
      <c r="D2615" s="1" t="n">
        <v>190</v>
      </c>
      <c r="E2615" s="4">
        <f>IF(INDEX(C:C, ROW())+INDEX(D:D, ROW())=0, 0, INDEX(C:C, ROW())/(INDEX(C:C, ROW())+INDEX(D:D, ROW())))</f>
        <v/>
      </c>
      <c r="F2615" s="1" t="inlineStr">
        <is>
          <t>String, Binary Search, Rolling Hash, Suffix Array, String Matching, Hash Function</t>
        </is>
      </c>
      <c r="G2615" s="1" t="inlineStr">
        <is>
          <t>Hard</t>
        </is>
      </c>
      <c r="H2615" s="1" t="n">
        <v>15628</v>
      </c>
      <c r="I2615" s="1" t="n">
        <v>32382</v>
      </c>
      <c r="J2615" s="9" t="n">
        <v>0.483</v>
      </c>
      <c r="K2615" s="1" t="inlineStr">
        <is>
          <t>Yes</t>
        </is>
      </c>
      <c r="L2615" s="1" t="inlineStr">
        <is>
          <t>No</t>
        </is>
      </c>
      <c r="M2615" s="1" t="inlineStr">
        <is>
          <t>No</t>
        </is>
      </c>
      <c r="N2615" s="1" t="inlineStr">
        <is>
          <t>Algorithms</t>
        </is>
      </c>
      <c r="O26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15" s="11" t="inlineStr">
        <is>
          <t>To Do</t>
        </is>
      </c>
    </row>
    <row r="2616" ht="15.75" customHeight="1" s="12">
      <c r="A2616" s="1" t="n">
        <v>2905</v>
      </c>
      <c r="B2616" s="3">
        <f>HYPERLINK("https://leetcode.com/problems/find-indices-with-index-and-value-difference-ii/", "Find Indices With Index and Value Difference II")</f>
        <v/>
      </c>
      <c r="C2616" s="1" t="n">
        <v>302</v>
      </c>
      <c r="D2616" s="1" t="n">
        <v>11</v>
      </c>
      <c r="E2616" s="4">
        <f>IF(INDEX(C:C, ROW())+INDEX(D:D, ROW())=0, 0, INDEX(C:C, ROW())/(INDEX(C:C, ROW())+INDEX(D:D, ROW())))</f>
        <v/>
      </c>
      <c r="F2616" s="1" t="inlineStr">
        <is>
          <t>Array, Two Pointers</t>
        </is>
      </c>
      <c r="G2616" s="1" t="inlineStr">
        <is>
          <t>Medium</t>
        </is>
      </c>
      <c r="H2616" s="1" t="n">
        <v>23251</v>
      </c>
      <c r="I2616" s="1" t="n">
        <v>71045</v>
      </c>
      <c r="J2616" s="9" t="n">
        <v>0.327</v>
      </c>
      <c r="K2616" s="1" t="inlineStr">
        <is>
          <t>Yes</t>
        </is>
      </c>
      <c r="L2616" s="1" t="inlineStr">
        <is>
          <t>No</t>
        </is>
      </c>
      <c r="M2616" s="1" t="inlineStr">
        <is>
          <t>No</t>
        </is>
      </c>
      <c r="N2616" s="1" t="inlineStr">
        <is>
          <t>Algorithms</t>
        </is>
      </c>
      <c r="O26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16" s="11" t="inlineStr">
        <is>
          <t>To Do</t>
        </is>
      </c>
    </row>
    <row r="2617" ht="15.75" customHeight="1" s="12">
      <c r="A2617" s="1" t="n">
        <v>3211</v>
      </c>
      <c r="B2617" s="3">
        <f>HYPERLINK("https://leetcode.com/problems/generate-binary-strings-without-adjacent-zeros/", "Generate Binary Strings Without Adjacent Zeros")</f>
        <v/>
      </c>
      <c r="C2617" s="1" t="n">
        <v>302</v>
      </c>
      <c r="D2617" s="1" t="n">
        <v>53</v>
      </c>
      <c r="E2617" s="4">
        <f>IF(INDEX(C:C, ROW())+INDEX(D:D, ROW())=0, 0, INDEX(C:C, ROW())/(INDEX(C:C, ROW())+INDEX(D:D, ROW())))</f>
        <v/>
      </c>
      <c r="F2617" s="1" t="inlineStr">
        <is>
          <t>String, Backtracking, Bit Manipulation</t>
        </is>
      </c>
      <c r="G2617" s="1" t="inlineStr">
        <is>
          <t>Medium</t>
        </is>
      </c>
      <c r="H2617" s="1" t="n">
        <v>83745</v>
      </c>
      <c r="I2617" s="1" t="n">
        <v>94789</v>
      </c>
      <c r="J2617" s="9" t="n">
        <v>0.883</v>
      </c>
      <c r="K2617" s="1" t="inlineStr">
        <is>
          <t>Yes</t>
        </is>
      </c>
      <c r="L2617" s="1" t="inlineStr">
        <is>
          <t>No</t>
        </is>
      </c>
      <c r="M2617" s="1" t="inlineStr">
        <is>
          <t>No</t>
        </is>
      </c>
      <c r="N2617" s="1" t="inlineStr">
        <is>
          <t>Algorithms</t>
        </is>
      </c>
      <c r="O26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17" s="11" t="inlineStr">
        <is>
          <t>To Do</t>
        </is>
      </c>
    </row>
    <row r="2618" ht="15.75" customHeight="1" s="12">
      <c r="A2618" s="1" t="n">
        <v>1681</v>
      </c>
      <c r="B2618" s="3">
        <f>HYPERLINK("https://leetcode.com/problems/minimum-incompatibility/", "Minimum Incompatibility")</f>
        <v/>
      </c>
      <c r="C2618" s="1" t="n">
        <v>301</v>
      </c>
      <c r="D2618" s="1" t="n">
        <v>101</v>
      </c>
      <c r="E2618" s="4">
        <f>IF(INDEX(C:C, ROW())+INDEX(D:D, ROW())=0, 0, INDEX(C:C, ROW())/(INDEX(C:C, ROW())+INDEX(D:D, ROW())))</f>
        <v/>
      </c>
      <c r="F2618" s="1" t="inlineStr">
        <is>
          <t>Array, Hash Table, Dynamic Programming, Bit Manipulation, Bitmask</t>
        </is>
      </c>
      <c r="G2618" s="1" t="inlineStr">
        <is>
          <t>Hard</t>
        </is>
      </c>
      <c r="H2618" s="1" t="n">
        <v>11201</v>
      </c>
      <c r="I2618" s="1" t="n">
        <v>27260</v>
      </c>
      <c r="J2618" s="9" t="n">
        <v>0.411</v>
      </c>
      <c r="K2618" s="1" t="inlineStr">
        <is>
          <t>Yes</t>
        </is>
      </c>
      <c r="L2618" s="1" t="inlineStr">
        <is>
          <t>No</t>
        </is>
      </c>
      <c r="M2618" s="1" t="inlineStr">
        <is>
          <t>No</t>
        </is>
      </c>
      <c r="N2618" s="1" t="inlineStr">
        <is>
          <t>Algorithms</t>
        </is>
      </c>
      <c r="O26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18" s="11" t="inlineStr">
        <is>
          <t>To Do</t>
        </is>
      </c>
    </row>
    <row r="2619" ht="15.75" customHeight="1" s="12">
      <c r="A2619" s="1" t="n">
        <v>2926</v>
      </c>
      <c r="B2619" s="3">
        <f>HYPERLINK("https://leetcode.com/problems/maximum-balanced-subsequence-sum/", "Maximum Balanced Subsequence Sum")</f>
        <v/>
      </c>
      <c r="C2619" s="1" t="n">
        <v>300</v>
      </c>
      <c r="D2619" s="1" t="n">
        <v>10</v>
      </c>
      <c r="E2619" s="4">
        <f>IF(INDEX(C:C, ROW())+INDEX(D:D, ROW())=0, 0, INDEX(C:C, ROW())/(INDEX(C:C, ROW())+INDEX(D:D, ROW())))</f>
        <v/>
      </c>
      <c r="F2619" s="1" t="inlineStr">
        <is>
          <t>Array, Binary Search, Dynamic Programming, Binary Indexed Tree, Segment Tree</t>
        </is>
      </c>
      <c r="G2619" s="1" t="inlineStr">
        <is>
          <t>Hard</t>
        </is>
      </c>
      <c r="H2619" s="1" t="n">
        <v>10181</v>
      </c>
      <c r="I2619" s="1" t="n">
        <v>39264</v>
      </c>
      <c r="J2619" s="9" t="n">
        <v>0.259</v>
      </c>
      <c r="K2619" s="1" t="inlineStr">
        <is>
          <t>Yes</t>
        </is>
      </c>
      <c r="L2619" s="1" t="inlineStr">
        <is>
          <t>No</t>
        </is>
      </c>
      <c r="M2619" s="1" t="inlineStr">
        <is>
          <t>No</t>
        </is>
      </c>
      <c r="N2619" s="1" t="inlineStr">
        <is>
          <t>Algorithms</t>
        </is>
      </c>
      <c r="O26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19" s="11" t="inlineStr">
        <is>
          <t>To Do</t>
        </is>
      </c>
    </row>
    <row r="2620" ht="15.75" customHeight="1" s="12">
      <c r="A2620" s="1" t="n">
        <v>1467</v>
      </c>
      <c r="B2620" s="3">
        <f>HYPERLINK("https://leetcode.com/problems/probability-of-a-two-boxes-having-the-same-number-of-distinct-balls/", "Probability of a Two Boxes Having The Same Number of Distinct Balls")</f>
        <v/>
      </c>
      <c r="C2620" s="1" t="n">
        <v>299</v>
      </c>
      <c r="D2620" s="1" t="n">
        <v>178</v>
      </c>
      <c r="E2620" s="4">
        <f>IF(INDEX(C:C, ROW())+INDEX(D:D, ROW())=0, 0, INDEX(C:C, ROW())/(INDEX(C:C, ROW())+INDEX(D:D, ROW())))</f>
        <v/>
      </c>
      <c r="F2620" s="1" t="inlineStr">
        <is>
          <t>Array, Math, Dynamic Programming, Backtracking, Combinatorics, Probability and Statistics</t>
        </is>
      </c>
      <c r="G2620" s="1" t="inlineStr">
        <is>
          <t>Hard</t>
        </is>
      </c>
      <c r="H2620" s="1" t="n">
        <v>11989</v>
      </c>
      <c r="I2620" s="1" t="n">
        <v>19609</v>
      </c>
      <c r="J2620" s="9" t="n">
        <v>0.611</v>
      </c>
      <c r="K2620" s="1" t="inlineStr">
        <is>
          <t>Yes</t>
        </is>
      </c>
      <c r="L2620" s="1" t="inlineStr">
        <is>
          <t>No</t>
        </is>
      </c>
      <c r="M2620" s="1" t="inlineStr">
        <is>
          <t>No</t>
        </is>
      </c>
      <c r="N2620" s="1" t="inlineStr">
        <is>
          <t>Algorithms</t>
        </is>
      </c>
      <c r="O26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20" s="11" t="inlineStr">
        <is>
          <t>To Do</t>
        </is>
      </c>
    </row>
    <row r="2621" ht="15.75" customHeight="1" s="12">
      <c r="A2621" s="1" t="n">
        <v>2968</v>
      </c>
      <c r="B2621" s="3">
        <f>HYPERLINK("https://leetcode.com/problems/apply-operations-to-maximize-frequency-score/", "Apply Operations to Maximize Frequency Score")</f>
        <v/>
      </c>
      <c r="C2621" s="1" t="n">
        <v>299</v>
      </c>
      <c r="D2621" s="1" t="n">
        <v>10</v>
      </c>
      <c r="E2621" s="4">
        <f>IF(INDEX(C:C, ROW())+INDEX(D:D, ROW())=0, 0, INDEX(C:C, ROW())/(INDEX(C:C, ROW())+INDEX(D:D, ROW())))</f>
        <v/>
      </c>
      <c r="F2621" s="1" t="inlineStr">
        <is>
          <t>Array, Binary Search, Sliding Window, Sorting, Prefix Sum</t>
        </is>
      </c>
      <c r="G2621" s="1" t="inlineStr">
        <is>
          <t>Hard</t>
        </is>
      </c>
      <c r="H2621" s="1" t="n">
        <v>10226</v>
      </c>
      <c r="I2621" s="1" t="n">
        <v>26310</v>
      </c>
      <c r="J2621" s="9" t="n">
        <v>0.389</v>
      </c>
      <c r="K2621" s="1" t="inlineStr">
        <is>
          <t>Yes</t>
        </is>
      </c>
      <c r="L2621" s="1" t="inlineStr">
        <is>
          <t>No</t>
        </is>
      </c>
      <c r="M2621" s="1" t="inlineStr">
        <is>
          <t>No</t>
        </is>
      </c>
      <c r="N2621" s="1" t="inlineStr">
        <is>
          <t>Algorithms</t>
        </is>
      </c>
      <c r="O26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21" s="11" t="inlineStr">
        <is>
          <t>To Do</t>
        </is>
      </c>
    </row>
    <row r="2622" ht="15.75" customHeight="1" s="12">
      <c r="A2622" s="1" t="n">
        <v>3741</v>
      </c>
      <c r="B2622" s="3">
        <f>HYPERLINK("https://leetcode.com/problems/minimum-distance-between-three-equal-elements-ii/", "Minimum Distance Between Three Equal Elements II")</f>
        <v/>
      </c>
      <c r="C2622" s="1" t="n">
        <v>299</v>
      </c>
      <c r="D2622" s="1" t="n">
        <v>9</v>
      </c>
      <c r="E2622" s="4">
        <f>IF(INDEX(C:C, ROW())+INDEX(D:D, ROW())=0, 0, INDEX(C:C, ROW())/(INDEX(C:C, ROW())+INDEX(D:D, ROW())))</f>
        <v/>
      </c>
      <c r="F2622" s="1" t="inlineStr">
        <is>
          <t>Array, Hash Table</t>
        </is>
      </c>
      <c r="G2622" s="1" t="inlineStr">
        <is>
          <t>Medium</t>
        </is>
      </c>
      <c r="H2622" s="1" t="n">
        <v>128580</v>
      </c>
      <c r="I2622" s="1" t="n">
        <v>171765</v>
      </c>
      <c r="J2622" s="9" t="n">
        <v>0.749</v>
      </c>
      <c r="K2622" s="1" t="inlineStr">
        <is>
          <t>Yes</t>
        </is>
      </c>
      <c r="L2622" s="1" t="inlineStr">
        <is>
          <t>Yes</t>
        </is>
      </c>
      <c r="M2622" s="1" t="inlineStr">
        <is>
          <t>No</t>
        </is>
      </c>
      <c r="N2622" s="1" t="inlineStr">
        <is>
          <t>Algorithms</t>
        </is>
      </c>
      <c r="O26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22" s="11" t="inlineStr">
        <is>
          <t>To Do</t>
        </is>
      </c>
    </row>
    <row r="2623" ht="15.75" customHeight="1" s="12">
      <c r="A2623" s="1" t="n">
        <v>2636</v>
      </c>
      <c r="B2623" s="3">
        <f>HYPERLINK("https://leetcode.com/problems/promise-pool/", "Promise Pool")</f>
        <v/>
      </c>
      <c r="C2623" s="1" t="n">
        <v>298</v>
      </c>
      <c r="D2623" s="1" t="n">
        <v>27</v>
      </c>
      <c r="E2623" s="4">
        <f>IF(INDEX(C:C, ROW())+INDEX(D:D, ROW())=0, 0, INDEX(C:C, ROW())/(INDEX(C:C, ROW())+INDEX(D:D, ROW())))</f>
        <v/>
      </c>
      <c r="F2623" s="2" t="n"/>
      <c r="G2623" s="1" t="inlineStr">
        <is>
          <t>Medium</t>
        </is>
      </c>
      <c r="H2623" s="1" t="n">
        <v>15102</v>
      </c>
      <c r="I2623" s="1" t="n">
        <v>19026</v>
      </c>
      <c r="J2623" s="9" t="n">
        <v>0.794</v>
      </c>
      <c r="K2623" s="1" t="inlineStr">
        <is>
          <t>No</t>
        </is>
      </c>
      <c r="L2623" s="1" t="inlineStr">
        <is>
          <t>Yes</t>
        </is>
      </c>
      <c r="M2623" s="1" t="inlineStr">
        <is>
          <t>No</t>
        </is>
      </c>
      <c r="N2623" s="1" t="inlineStr">
        <is>
          <t>JavaScript</t>
        </is>
      </c>
      <c r="O26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23" s="11" t="inlineStr">
        <is>
          <t>To Do</t>
        </is>
      </c>
    </row>
    <row r="2624" ht="15.75" customHeight="1" s="12">
      <c r="A2624" s="1" t="n">
        <v>2651</v>
      </c>
      <c r="B2624" s="3">
        <f>HYPERLINK("https://leetcode.com/problems/calculate-delayed-arrival-time/", "Calculate Delayed Arrival Time")</f>
        <v/>
      </c>
      <c r="C2624" s="1" t="n">
        <v>298</v>
      </c>
      <c r="D2624" s="1" t="n">
        <v>53</v>
      </c>
      <c r="E2624" s="4">
        <f>IF(INDEX(C:C, ROW())+INDEX(D:D, ROW())=0, 0, INDEX(C:C, ROW())/(INDEX(C:C, ROW())+INDEX(D:D, ROW())))</f>
        <v/>
      </c>
      <c r="F2624" s="1" t="inlineStr">
        <is>
          <t>Math</t>
        </is>
      </c>
      <c r="G2624" s="1" t="inlineStr">
        <is>
          <t>Easy</t>
        </is>
      </c>
      <c r="H2624" s="1" t="n">
        <v>91506</v>
      </c>
      <c r="I2624" s="1" t="n">
        <v>121261</v>
      </c>
      <c r="J2624" s="9" t="n">
        <v>0.755</v>
      </c>
      <c r="K2624" s="1" t="inlineStr">
        <is>
          <t>Yes</t>
        </is>
      </c>
      <c r="L2624" s="1" t="inlineStr">
        <is>
          <t>No</t>
        </is>
      </c>
      <c r="M2624" s="1" t="inlineStr">
        <is>
          <t>No</t>
        </is>
      </c>
      <c r="N2624" s="1" t="inlineStr">
        <is>
          <t>Algorithms</t>
        </is>
      </c>
      <c r="O26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24" s="13" t="inlineStr">
        <is>
          <t>Done</t>
        </is>
      </c>
    </row>
    <row r="2625" ht="15.75" customHeight="1" s="12">
      <c r="A2625" s="1" t="n">
        <v>2355</v>
      </c>
      <c r="B2625" s="3">
        <f>HYPERLINK("https://leetcode.com/problems/maximum-number-of-books-you-can-take/", "Maximum Number of Books You Can Take")</f>
        <v/>
      </c>
      <c r="C2625" s="1" t="n">
        <v>297</v>
      </c>
      <c r="D2625" s="1" t="n">
        <v>42</v>
      </c>
      <c r="E2625" s="4">
        <f>IF(INDEX(C:C, ROW())+INDEX(D:D, ROW())=0, 0, INDEX(C:C, ROW())/(INDEX(C:C, ROW())+INDEX(D:D, ROW())))</f>
        <v/>
      </c>
      <c r="F2625" s="1" t="inlineStr">
        <is>
          <t>Array, Dynamic Programming, Stack, Monotonic Stack</t>
        </is>
      </c>
      <c r="G2625" s="1" t="inlineStr">
        <is>
          <t>Hard</t>
        </is>
      </c>
      <c r="H2625" s="1" t="n">
        <v>13442</v>
      </c>
      <c r="I2625" s="1" t="n">
        <v>34034</v>
      </c>
      <c r="J2625" s="9" t="n">
        <v>0.395</v>
      </c>
      <c r="K2625" s="1" t="inlineStr">
        <is>
          <t>No</t>
        </is>
      </c>
      <c r="L2625" s="1" t="inlineStr">
        <is>
          <t>Yes</t>
        </is>
      </c>
      <c r="M2625" s="1" t="inlineStr">
        <is>
          <t>No</t>
        </is>
      </c>
      <c r="N2625" s="1" t="inlineStr">
        <is>
          <t>Algorithms</t>
        </is>
      </c>
      <c r="O26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25" s="11" t="inlineStr">
        <is>
          <t>To Do</t>
        </is>
      </c>
    </row>
    <row r="2626" ht="15.75" customHeight="1" s="12">
      <c r="A2626" s="1" t="n">
        <v>2397</v>
      </c>
      <c r="B2626" s="3">
        <f>HYPERLINK("https://leetcode.com/problems/maximum-rows-covered-by-columns/", "Maximum Rows Covered by Columns")</f>
        <v/>
      </c>
      <c r="C2626" s="1" t="n">
        <v>297</v>
      </c>
      <c r="D2626" s="1" t="n">
        <v>445</v>
      </c>
      <c r="E2626" s="4">
        <f>IF(INDEX(C:C, ROW())+INDEX(D:D, ROW())=0, 0, INDEX(C:C, ROW())/(INDEX(C:C, ROW())+INDEX(D:D, ROW())))</f>
        <v/>
      </c>
      <c r="F2626" s="1" t="inlineStr">
        <is>
          <t>Array, Backtracking, Bit Manipulation, Matrix, Enumeration</t>
        </is>
      </c>
      <c r="G2626" s="1" t="inlineStr">
        <is>
          <t>Medium</t>
        </is>
      </c>
      <c r="H2626" s="1" t="n">
        <v>20199</v>
      </c>
      <c r="I2626" s="1" t="n">
        <v>34875</v>
      </c>
      <c r="J2626" s="9" t="n">
        <v>0.579</v>
      </c>
      <c r="K2626" s="1" t="inlineStr">
        <is>
          <t>Yes</t>
        </is>
      </c>
      <c r="L2626" s="1" t="inlineStr">
        <is>
          <t>No</t>
        </is>
      </c>
      <c r="M2626" s="1" t="inlineStr">
        <is>
          <t>No</t>
        </is>
      </c>
      <c r="N2626" s="1" t="inlineStr">
        <is>
          <t>Algorithms</t>
        </is>
      </c>
      <c r="O26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26" s="11" t="inlineStr">
        <is>
          <t>To Do</t>
        </is>
      </c>
    </row>
    <row r="2627" ht="15.75" customHeight="1" s="12">
      <c r="A2627" s="1" t="n">
        <v>3229</v>
      </c>
      <c r="B2627" s="3">
        <f>HYPERLINK("https://leetcode.com/problems/minimum-operations-to-make-array-equal-to-target/", "Minimum Operations to Make Array Equal to Target")</f>
        <v/>
      </c>
      <c r="C2627" s="1" t="n">
        <v>296</v>
      </c>
      <c r="D2627" s="1" t="n">
        <v>12</v>
      </c>
      <c r="E2627" s="4">
        <f>IF(INDEX(C:C, ROW())+INDEX(D:D, ROW())=0, 0, INDEX(C:C, ROW())/(INDEX(C:C, ROW())+INDEX(D:D, ROW())))</f>
        <v/>
      </c>
      <c r="F2627" s="1" t="inlineStr">
        <is>
          <t>Array, Dynamic Programming, Stack, Greedy, Monotonic Stack</t>
        </is>
      </c>
      <c r="G2627" s="1" t="inlineStr">
        <is>
          <t>Hard</t>
        </is>
      </c>
      <c r="H2627" s="1" t="n">
        <v>24246</v>
      </c>
      <c r="I2627" s="1" t="n">
        <v>58414</v>
      </c>
      <c r="J2627" s="9" t="n">
        <v>0.415</v>
      </c>
      <c r="K2627" s="1" t="inlineStr">
        <is>
          <t>Yes</t>
        </is>
      </c>
      <c r="L2627" s="1" t="inlineStr">
        <is>
          <t>No</t>
        </is>
      </c>
      <c r="M2627" s="1" t="inlineStr">
        <is>
          <t>No</t>
        </is>
      </c>
      <c r="N2627" s="1" t="inlineStr">
        <is>
          <t>Algorithms</t>
        </is>
      </c>
      <c r="O26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27" s="11" t="inlineStr">
        <is>
          <t>To Do</t>
        </is>
      </c>
    </row>
    <row r="2628" ht="15.75" customHeight="1" s="12">
      <c r="A2628" s="1" t="n">
        <v>2432</v>
      </c>
      <c r="B2628" s="3">
        <f>HYPERLINK("https://leetcode.com/problems/the-employee-that-worked-on-the-longest-task/", "The Employee That Worked on the Longest Task")</f>
        <v/>
      </c>
      <c r="C2628" s="1" t="n">
        <v>295</v>
      </c>
      <c r="D2628" s="1" t="n">
        <v>73</v>
      </c>
      <c r="E2628" s="4">
        <f>IF(INDEX(C:C, ROW())+INDEX(D:D, ROW())=0, 0, INDEX(C:C, ROW())/(INDEX(C:C, ROW())+INDEX(D:D, ROW())))</f>
        <v/>
      </c>
      <c r="F2628" s="1" t="inlineStr">
        <is>
          <t>Array</t>
        </is>
      </c>
      <c r="G2628" s="1" t="inlineStr">
        <is>
          <t>Easy</t>
        </is>
      </c>
      <c r="H2628" s="1" t="n">
        <v>44458</v>
      </c>
      <c r="I2628" s="1" t="n">
        <v>85969</v>
      </c>
      <c r="J2628" s="9" t="n">
        <v>0.517</v>
      </c>
      <c r="K2628" s="1" t="inlineStr">
        <is>
          <t>Yes</t>
        </is>
      </c>
      <c r="L2628" s="1" t="inlineStr">
        <is>
          <t>No</t>
        </is>
      </c>
      <c r="M2628" s="1" t="inlineStr">
        <is>
          <t>No</t>
        </is>
      </c>
      <c r="N2628" s="1" t="inlineStr">
        <is>
          <t>Algorithms</t>
        </is>
      </c>
      <c r="O26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28" s="13" t="inlineStr">
        <is>
          <t>Done</t>
        </is>
      </c>
    </row>
    <row r="2629" ht="15.75" customHeight="1" s="12">
      <c r="A2629" s="1" t="n">
        <v>2618</v>
      </c>
      <c r="B2629" s="3">
        <f>HYPERLINK("https://leetcode.com/problems/check-if-object-instance-of-class/", "Check if Object Instance of Class")</f>
        <v/>
      </c>
      <c r="C2629" s="1" t="n">
        <v>295</v>
      </c>
      <c r="D2629" s="1" t="n">
        <v>111</v>
      </c>
      <c r="E2629" s="4">
        <f>IF(INDEX(C:C, ROW())+INDEX(D:D, ROW())=0, 0, INDEX(C:C, ROW())/(INDEX(C:C, ROW())+INDEX(D:D, ROW())))</f>
        <v/>
      </c>
      <c r="F2629" s="2" t="n"/>
      <c r="G2629" s="1" t="inlineStr">
        <is>
          <t>Medium</t>
        </is>
      </c>
      <c r="H2629" s="1" t="n">
        <v>40028</v>
      </c>
      <c r="I2629" s="1" t="n">
        <v>135694</v>
      </c>
      <c r="J2629" s="9" t="n">
        <v>0.295</v>
      </c>
      <c r="K2629" s="1" t="inlineStr">
        <is>
          <t>Yes</t>
        </is>
      </c>
      <c r="L2629" s="1" t="inlineStr">
        <is>
          <t>Yes</t>
        </is>
      </c>
      <c r="M2629" s="1" t="inlineStr">
        <is>
          <t>No</t>
        </is>
      </c>
      <c r="N2629" s="1" t="inlineStr">
        <is>
          <t>JavaScript</t>
        </is>
      </c>
      <c r="O26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29" s="11" t="inlineStr">
        <is>
          <t>To Do</t>
        </is>
      </c>
    </row>
    <row r="2630" ht="15.75" customHeight="1" s="12">
      <c r="A2630" s="1" t="n">
        <v>2694</v>
      </c>
      <c r="B2630" s="3">
        <f>HYPERLINK("https://leetcode.com/problems/event-emitter/", "Event Emitter")</f>
        <v/>
      </c>
      <c r="C2630" s="1" t="n">
        <v>295</v>
      </c>
      <c r="D2630" s="1" t="n">
        <v>38</v>
      </c>
      <c r="E2630" s="4">
        <f>IF(INDEX(C:C, ROW())+INDEX(D:D, ROW())=0, 0, INDEX(C:C, ROW())/(INDEX(C:C, ROW())+INDEX(D:D, ROW())))</f>
        <v/>
      </c>
      <c r="F2630" s="2" t="n"/>
      <c r="G2630" s="1" t="inlineStr">
        <is>
          <t>Medium</t>
        </is>
      </c>
      <c r="H2630" s="1" t="n">
        <v>47401</v>
      </c>
      <c r="I2630" s="1" t="n">
        <v>63140</v>
      </c>
      <c r="J2630" s="9" t="n">
        <v>0.751</v>
      </c>
      <c r="K2630" s="1" t="inlineStr">
        <is>
          <t>Yes</t>
        </is>
      </c>
      <c r="L2630" s="1" t="inlineStr">
        <is>
          <t>Yes</t>
        </is>
      </c>
      <c r="M2630" s="1" t="inlineStr">
        <is>
          <t>No</t>
        </is>
      </c>
      <c r="N2630" s="1" t="inlineStr">
        <is>
          <t>JavaScript</t>
        </is>
      </c>
      <c r="O26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30" s="11" t="inlineStr">
        <is>
          <t>To Do</t>
        </is>
      </c>
    </row>
    <row r="2631" ht="15.75" customHeight="1" s="12">
      <c r="A2631" s="1" t="n">
        <v>2806</v>
      </c>
      <c r="B2631" s="3">
        <f>HYPERLINK("https://leetcode.com/problems/account-balance-after-rounded-purchase/", "Account Balance After Rounded Purchase")</f>
        <v/>
      </c>
      <c r="C2631" s="1" t="n">
        <v>295</v>
      </c>
      <c r="D2631" s="1" t="n">
        <v>50</v>
      </c>
      <c r="E2631" s="4">
        <f>IF(INDEX(C:C, ROW())+INDEX(D:D, ROW())=0, 0, INDEX(C:C, ROW())/(INDEX(C:C, ROW())+INDEX(D:D, ROW())))</f>
        <v/>
      </c>
      <c r="F2631" s="1" t="inlineStr">
        <is>
          <t>Math</t>
        </is>
      </c>
      <c r="G2631" s="1" t="inlineStr">
        <is>
          <t>Easy</t>
        </is>
      </c>
      <c r="H2631" s="1" t="n">
        <v>63172</v>
      </c>
      <c r="I2631" s="1" t="n">
        <v>111929</v>
      </c>
      <c r="J2631" s="9" t="n">
        <v>0.5639999999999999</v>
      </c>
      <c r="K2631" s="1" t="inlineStr">
        <is>
          <t>Yes</t>
        </is>
      </c>
      <c r="L2631" s="1" t="inlineStr">
        <is>
          <t>No</t>
        </is>
      </c>
      <c r="M2631" s="1" t="inlineStr">
        <is>
          <t>No</t>
        </is>
      </c>
      <c r="N2631" s="1" t="inlineStr">
        <is>
          <t>Algorithms</t>
        </is>
      </c>
      <c r="O26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31" s="13" t="inlineStr">
        <is>
          <t>Done</t>
        </is>
      </c>
    </row>
    <row r="2632" ht="15.75" customHeight="1" s="12">
      <c r="A2632" s="1" t="n">
        <v>2660</v>
      </c>
      <c r="B2632" s="3">
        <f>HYPERLINK("https://leetcode.com/problems/determine-the-winner-of-a-bowling-game/", "Determine the Winner of a Bowling Game")</f>
        <v/>
      </c>
      <c r="C2632" s="1" t="n">
        <v>294</v>
      </c>
      <c r="D2632" s="1" t="n">
        <v>157</v>
      </c>
      <c r="E2632" s="4">
        <f>IF(INDEX(C:C, ROW())+INDEX(D:D, ROW())=0, 0, INDEX(C:C, ROW())/(INDEX(C:C, ROW())+INDEX(D:D, ROW())))</f>
        <v/>
      </c>
      <c r="F2632" s="1" t="inlineStr">
        <is>
          <t>Array, Simulation</t>
        </is>
      </c>
      <c r="G2632" s="1" t="inlineStr">
        <is>
          <t>Easy</t>
        </is>
      </c>
      <c r="H2632" s="1" t="n">
        <v>45394</v>
      </c>
      <c r="I2632" s="1" t="n">
        <v>120993</v>
      </c>
      <c r="J2632" s="9" t="n">
        <v>0.375</v>
      </c>
      <c r="K2632" s="1" t="inlineStr">
        <is>
          <t>Yes</t>
        </is>
      </c>
      <c r="L2632" s="1" t="inlineStr">
        <is>
          <t>No</t>
        </is>
      </c>
      <c r="M2632" s="1" t="inlineStr">
        <is>
          <t>No</t>
        </is>
      </c>
      <c r="N2632" s="1" t="inlineStr">
        <is>
          <t>Algorithms</t>
        </is>
      </c>
      <c r="O26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32" s="13" t="inlineStr">
        <is>
          <t>Done</t>
        </is>
      </c>
    </row>
    <row r="2633" ht="15.75" customHeight="1" s="12">
      <c r="A2633" s="1" t="n">
        <v>2877</v>
      </c>
      <c r="B2633" s="3">
        <f>HYPERLINK("https://leetcode.com/problems/create-a-dataframe-from-list/", "Create a DataFrame from List")</f>
        <v/>
      </c>
      <c r="C2633" s="1" t="n">
        <v>293</v>
      </c>
      <c r="D2633" s="1" t="n">
        <v>12</v>
      </c>
      <c r="E2633" s="4">
        <f>IF(INDEX(C:C, ROW())+INDEX(D:D, ROW())=0, 0, INDEX(C:C, ROW())/(INDEX(C:C, ROW())+INDEX(D:D, ROW())))</f>
        <v/>
      </c>
      <c r="F2633" s="2" t="n"/>
      <c r="G2633" s="1" t="inlineStr">
        <is>
          <t>Easy</t>
        </is>
      </c>
      <c r="H2633" s="1" t="n">
        <v>253499</v>
      </c>
      <c r="I2633" s="1" t="n">
        <v>313042</v>
      </c>
      <c r="J2633" s="9" t="n">
        <v>0.8100000000000001</v>
      </c>
      <c r="K2633" s="1" t="inlineStr">
        <is>
          <t>Yes</t>
        </is>
      </c>
      <c r="L2633" s="1" t="inlineStr">
        <is>
          <t>Yes</t>
        </is>
      </c>
      <c r="M2633" s="1" t="inlineStr">
        <is>
          <t>No</t>
        </is>
      </c>
      <c r="N2633" s="1" t="inlineStr">
        <is>
          <t>pandas</t>
        </is>
      </c>
      <c r="O26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33" s="13" t="inlineStr">
        <is>
          <t>Done</t>
        </is>
      </c>
    </row>
    <row r="2634" ht="15.75" customHeight="1" s="12">
      <c r="A2634" s="1" t="n">
        <v>1969</v>
      </c>
      <c r="B2634" s="3">
        <f>HYPERLINK("https://leetcode.com/problems/minimum-non-zero-product-of-the-array-elements/", "Minimum Non-Zero Product of the Array Elements")</f>
        <v/>
      </c>
      <c r="C2634" s="1" t="n">
        <v>291</v>
      </c>
      <c r="D2634" s="1" t="n">
        <v>400</v>
      </c>
      <c r="E2634" s="4">
        <f>IF(INDEX(C:C, ROW())+INDEX(D:D, ROW())=0, 0, INDEX(C:C, ROW())/(INDEX(C:C, ROW())+INDEX(D:D, ROW())))</f>
        <v/>
      </c>
      <c r="F2634" s="1" t="inlineStr">
        <is>
          <t>Math, Greedy, Recursion</t>
        </is>
      </c>
      <c r="G2634" s="1" t="inlineStr">
        <is>
          <t>Medium</t>
        </is>
      </c>
      <c r="H2634" s="1" t="n">
        <v>16487</v>
      </c>
      <c r="I2634" s="1" t="n">
        <v>43887</v>
      </c>
      <c r="J2634" s="9" t="n">
        <v>0.376</v>
      </c>
      <c r="K2634" s="1" t="inlineStr">
        <is>
          <t>Yes</t>
        </is>
      </c>
      <c r="L2634" s="1" t="inlineStr">
        <is>
          <t>No</t>
        </is>
      </c>
      <c r="M2634" s="1" t="inlineStr">
        <is>
          <t>No</t>
        </is>
      </c>
      <c r="N2634" s="1" t="inlineStr">
        <is>
          <t>Algorithms</t>
        </is>
      </c>
      <c r="O26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34" s="11" t="inlineStr">
        <is>
          <t>To Do</t>
        </is>
      </c>
    </row>
    <row r="2635" ht="15.75" customHeight="1" s="12">
      <c r="A2635" s="1" t="n">
        <v>2998</v>
      </c>
      <c r="B2635" s="3">
        <f>HYPERLINK("https://leetcode.com/problems/minimum-number-of-operations-to-make-x-and-y-equal/", "Minimum Number of Operations to Make X and Y Equal")</f>
        <v/>
      </c>
      <c r="C2635" s="1" t="n">
        <v>291</v>
      </c>
      <c r="D2635" s="1" t="n">
        <v>23</v>
      </c>
      <c r="E2635" s="4">
        <f>IF(INDEX(C:C, ROW())+INDEX(D:D, ROW())=0, 0, INDEX(C:C, ROW())/(INDEX(C:C, ROW())+INDEX(D:D, ROW())))</f>
        <v/>
      </c>
      <c r="F2635" s="1" t="inlineStr">
        <is>
          <t>Dynamic Programming, Breadth-First Search, Memoization</t>
        </is>
      </c>
      <c r="G2635" s="1" t="inlineStr">
        <is>
          <t>Medium</t>
        </is>
      </c>
      <c r="H2635" s="1" t="n">
        <v>28625</v>
      </c>
      <c r="I2635" s="1" t="n">
        <v>58833</v>
      </c>
      <c r="J2635" s="9" t="n">
        <v>0.487</v>
      </c>
      <c r="K2635" s="1" t="inlineStr">
        <is>
          <t>Yes</t>
        </is>
      </c>
      <c r="L2635" s="1" t="inlineStr">
        <is>
          <t>No</t>
        </is>
      </c>
      <c r="M2635" s="1" t="inlineStr">
        <is>
          <t>No</t>
        </is>
      </c>
      <c r="N2635" s="1" t="inlineStr">
        <is>
          <t>Algorithms</t>
        </is>
      </c>
      <c r="O26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35" s="11" t="inlineStr">
        <is>
          <t>To Do</t>
        </is>
      </c>
    </row>
    <row r="2636" ht="15.75" customHeight="1" s="12">
      <c r="A2636" s="1" t="n">
        <v>1728</v>
      </c>
      <c r="B2636" s="3">
        <f>HYPERLINK("https://leetcode.com/problems/cat-and-mouse-ii/", "Cat and Mouse II")</f>
        <v/>
      </c>
      <c r="C2636" s="1" t="n">
        <v>290</v>
      </c>
      <c r="D2636" s="1" t="n">
        <v>48</v>
      </c>
      <c r="E2636" s="4">
        <f>IF(INDEX(C:C, ROW())+INDEX(D:D, ROW())=0, 0, INDEX(C:C, ROW())/(INDEX(C:C, ROW())+INDEX(D:D, ROW())))</f>
        <v/>
      </c>
      <c r="F2636" s="1" t="inlineStr">
        <is>
          <t>Array, Math, Dynamic Programming, Graph Theory, Topological Sort, Memoization, Matrix, Game Theory</t>
        </is>
      </c>
      <c r="G2636" s="1" t="inlineStr">
        <is>
          <t>Hard</t>
        </is>
      </c>
      <c r="H2636" s="1" t="n">
        <v>9623</v>
      </c>
      <c r="I2636" s="1" t="n">
        <v>23882</v>
      </c>
      <c r="J2636" s="9" t="n">
        <v>0.403</v>
      </c>
      <c r="K2636" s="1" t="inlineStr">
        <is>
          <t>Yes</t>
        </is>
      </c>
      <c r="L2636" s="1" t="inlineStr">
        <is>
          <t>No</t>
        </is>
      </c>
      <c r="M2636" s="1" t="inlineStr">
        <is>
          <t>No</t>
        </is>
      </c>
      <c r="N2636" s="1" t="inlineStr">
        <is>
          <t>Algorithms</t>
        </is>
      </c>
      <c r="O26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36" s="11" t="inlineStr">
        <is>
          <t>To Do</t>
        </is>
      </c>
    </row>
    <row r="2637" ht="15.75" customHeight="1" s="12">
      <c r="A2637" s="1" t="n">
        <v>1210</v>
      </c>
      <c r="B2637" s="3">
        <f>HYPERLINK("https://leetcode.com/problems/minimum-moves-to-reach-target-with-rotations/", "Minimum Moves to Reach Target with Rotations")</f>
        <v/>
      </c>
      <c r="C2637" s="1" t="n">
        <v>289</v>
      </c>
      <c r="D2637" s="1" t="n">
        <v>75</v>
      </c>
      <c r="E2637" s="4">
        <f>IF(INDEX(C:C, ROW())+INDEX(D:D, ROW())=0, 0, INDEX(C:C, ROW())/(INDEX(C:C, ROW())+INDEX(D:D, ROW())))</f>
        <v/>
      </c>
      <c r="F2637" s="1" t="inlineStr">
        <is>
          <t>Array, Breadth-First Search, Matrix</t>
        </is>
      </c>
      <c r="G2637" s="1" t="inlineStr">
        <is>
          <t>Hard</t>
        </is>
      </c>
      <c r="H2637" s="1" t="n">
        <v>12817</v>
      </c>
      <c r="I2637" s="1" t="n">
        <v>24595</v>
      </c>
      <c r="J2637" s="9" t="n">
        <v>0.521</v>
      </c>
      <c r="K2637" s="1" t="inlineStr">
        <is>
          <t>Yes</t>
        </is>
      </c>
      <c r="L2637" s="1" t="inlineStr">
        <is>
          <t>No</t>
        </is>
      </c>
      <c r="M2637" s="1" t="inlineStr">
        <is>
          <t>No</t>
        </is>
      </c>
      <c r="N2637" s="1" t="inlineStr">
        <is>
          <t>Algorithms</t>
        </is>
      </c>
      <c r="O26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37" s="11" t="inlineStr">
        <is>
          <t>To Do</t>
        </is>
      </c>
    </row>
    <row r="2638" ht="15.75" customHeight="1" s="12">
      <c r="A2638" s="1" t="n">
        <v>1785</v>
      </c>
      <c r="B2638" s="3">
        <f>HYPERLINK("https://leetcode.com/problems/minimum-elements-to-add-to-form-a-given-sum/", "Minimum Elements to Add to Form a Given Sum")</f>
        <v/>
      </c>
      <c r="C2638" s="1" t="n">
        <v>289</v>
      </c>
      <c r="D2638" s="1" t="n">
        <v>196</v>
      </c>
      <c r="E2638" s="4">
        <f>IF(INDEX(C:C, ROW())+INDEX(D:D, ROW())=0, 0, INDEX(C:C, ROW())/(INDEX(C:C, ROW())+INDEX(D:D, ROW())))</f>
        <v/>
      </c>
      <c r="F2638" s="1" t="inlineStr">
        <is>
          <t>Array, Greedy</t>
        </is>
      </c>
      <c r="G2638" s="1" t="inlineStr">
        <is>
          <t>Medium</t>
        </is>
      </c>
      <c r="H2638" s="1" t="n">
        <v>27732</v>
      </c>
      <c r="I2638" s="1" t="n">
        <v>61438</v>
      </c>
      <c r="J2638" s="9" t="n">
        <v>0.451</v>
      </c>
      <c r="K2638" s="1" t="inlineStr">
        <is>
          <t>Yes</t>
        </is>
      </c>
      <c r="L2638" s="1" t="inlineStr">
        <is>
          <t>No</t>
        </is>
      </c>
      <c r="M2638" s="1" t="inlineStr">
        <is>
          <t>No</t>
        </is>
      </c>
      <c r="N2638" s="1" t="inlineStr">
        <is>
          <t>Algorithms</t>
        </is>
      </c>
      <c r="O26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38" s="11" t="inlineStr">
        <is>
          <t>To Do</t>
        </is>
      </c>
    </row>
    <row r="2639" ht="15.75" customHeight="1" s="12">
      <c r="A2639" s="1" t="n">
        <v>3148</v>
      </c>
      <c r="B2639" s="3">
        <f>HYPERLINK("https://leetcode.com/problems/maximum-difference-score-in-a-grid/", "Maximum Difference Score in a Grid")</f>
        <v/>
      </c>
      <c r="C2639" s="1" t="n">
        <v>288</v>
      </c>
      <c r="D2639" s="1" t="n">
        <v>23</v>
      </c>
      <c r="E2639" s="4">
        <f>IF(INDEX(C:C, ROW())+INDEX(D:D, ROW())=0, 0, INDEX(C:C, ROW())/(INDEX(C:C, ROW())+INDEX(D:D, ROW())))</f>
        <v/>
      </c>
      <c r="F2639" s="1" t="inlineStr">
        <is>
          <t>Array, Dynamic Programming, Matrix</t>
        </is>
      </c>
      <c r="G2639" s="1" t="inlineStr">
        <is>
          <t>Medium</t>
        </is>
      </c>
      <c r="H2639" s="1" t="n">
        <v>24245</v>
      </c>
      <c r="I2639" s="1" t="n">
        <v>50449</v>
      </c>
      <c r="J2639" s="9" t="n">
        <v>0.481</v>
      </c>
      <c r="K2639" s="1" t="inlineStr">
        <is>
          <t>Yes</t>
        </is>
      </c>
      <c r="L2639" s="1" t="inlineStr">
        <is>
          <t>No</t>
        </is>
      </c>
      <c r="M2639" s="1" t="inlineStr">
        <is>
          <t>No</t>
        </is>
      </c>
      <c r="N2639" s="1" t="inlineStr">
        <is>
          <t>Algorithms</t>
        </is>
      </c>
      <c r="O26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39" s="11" t="inlineStr">
        <is>
          <t>To Do</t>
        </is>
      </c>
    </row>
    <row r="2640" ht="15.75" customHeight="1" s="12">
      <c r="A2640" s="1" t="n">
        <v>2303</v>
      </c>
      <c r="B2640" s="3">
        <f>HYPERLINK("https://leetcode.com/problems/calculate-amount-paid-in-taxes/", "Calculate Amount Paid in Taxes")</f>
        <v/>
      </c>
      <c r="C2640" s="1" t="n">
        <v>287</v>
      </c>
      <c r="D2640" s="1" t="n">
        <v>297</v>
      </c>
      <c r="E2640" s="4">
        <f>IF(INDEX(C:C, ROW())+INDEX(D:D, ROW())=0, 0, INDEX(C:C, ROW())/(INDEX(C:C, ROW())+INDEX(D:D, ROW())))</f>
        <v/>
      </c>
      <c r="F2640" s="1" t="inlineStr">
        <is>
          <t>Array, Simulation</t>
        </is>
      </c>
      <c r="G2640" s="1" t="inlineStr">
        <is>
          <t>Easy</t>
        </is>
      </c>
      <c r="H2640" s="1" t="n">
        <v>57633</v>
      </c>
      <c r="I2640" s="1" t="n">
        <v>83202</v>
      </c>
      <c r="J2640" s="9" t="n">
        <v>0.6929999999999999</v>
      </c>
      <c r="K2640" s="1" t="inlineStr">
        <is>
          <t>Yes</t>
        </is>
      </c>
      <c r="L2640" s="1" t="inlineStr">
        <is>
          <t>No</t>
        </is>
      </c>
      <c r="M2640" s="1" t="inlineStr">
        <is>
          <t>No</t>
        </is>
      </c>
      <c r="N2640" s="1" t="inlineStr">
        <is>
          <t>Algorithms</t>
        </is>
      </c>
      <c r="O26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40" s="13" t="inlineStr">
        <is>
          <t>Done</t>
        </is>
      </c>
    </row>
    <row r="2641" ht="15.75" customHeight="1" s="12">
      <c r="A2641" s="1" t="n">
        <v>2409</v>
      </c>
      <c r="B2641" s="3">
        <f>HYPERLINK("https://leetcode.com/problems/count-days-spent-together/", "Count Days Spent Together")</f>
        <v/>
      </c>
      <c r="C2641" s="1" t="n">
        <v>287</v>
      </c>
      <c r="D2641" s="1" t="n">
        <v>593</v>
      </c>
      <c r="E2641" s="4">
        <f>IF(INDEX(C:C, ROW())+INDEX(D:D, ROW())=0, 0, INDEX(C:C, ROW())/(INDEX(C:C, ROW())+INDEX(D:D, ROW())))</f>
        <v/>
      </c>
      <c r="F2641" s="1" t="inlineStr">
        <is>
          <t>Math, String</t>
        </is>
      </c>
      <c r="G2641" s="1" t="inlineStr">
        <is>
          <t>Easy</t>
        </is>
      </c>
      <c r="H2641" s="1" t="n">
        <v>31145</v>
      </c>
      <c r="I2641" s="1" t="n">
        <v>64981</v>
      </c>
      <c r="J2641" s="9" t="n">
        <v>0.479</v>
      </c>
      <c r="K2641" s="1" t="inlineStr">
        <is>
          <t>Yes</t>
        </is>
      </c>
      <c r="L2641" s="1" t="inlineStr">
        <is>
          <t>No</t>
        </is>
      </c>
      <c r="M2641" s="1" t="inlineStr">
        <is>
          <t>No</t>
        </is>
      </c>
      <c r="N2641" s="1" t="inlineStr">
        <is>
          <t>Algorithms</t>
        </is>
      </c>
      <c r="O26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41" s="13" t="inlineStr">
        <is>
          <t>Done</t>
        </is>
      </c>
    </row>
    <row r="2642" ht="15.75" customHeight="1" s="12">
      <c r="A2642" s="1" t="n">
        <v>2648</v>
      </c>
      <c r="B2642" s="3">
        <f>HYPERLINK("https://leetcode.com/problems/generate-fibonacci-sequence/", "Generate Fibonacci Sequence")</f>
        <v/>
      </c>
      <c r="C2642" s="1" t="n">
        <v>286</v>
      </c>
      <c r="D2642" s="1" t="n">
        <v>32</v>
      </c>
      <c r="E2642" s="4">
        <f>IF(INDEX(C:C, ROW())+INDEX(D:D, ROW())=0, 0, INDEX(C:C, ROW())/(INDEX(C:C, ROW())+INDEX(D:D, ROW())))</f>
        <v/>
      </c>
      <c r="F2642" s="2" t="n"/>
      <c r="G2642" s="1" t="inlineStr">
        <is>
          <t>Easy</t>
        </is>
      </c>
      <c r="H2642" s="1" t="n">
        <v>50735</v>
      </c>
      <c r="I2642" s="1" t="n">
        <v>60637</v>
      </c>
      <c r="J2642" s="9" t="n">
        <v>0.837</v>
      </c>
      <c r="K2642" s="1" t="inlineStr">
        <is>
          <t>Yes</t>
        </is>
      </c>
      <c r="L2642" s="1" t="inlineStr">
        <is>
          <t>Yes</t>
        </is>
      </c>
      <c r="M2642" s="1" t="inlineStr">
        <is>
          <t>No</t>
        </is>
      </c>
      <c r="N2642" s="1" t="inlineStr">
        <is>
          <t>JavaScript</t>
        </is>
      </c>
      <c r="O26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42" s="13" t="inlineStr">
        <is>
          <t>Done</t>
        </is>
      </c>
    </row>
    <row r="2643" ht="15.75" customHeight="1" s="12">
      <c r="A2643" s="1" t="n">
        <v>2768</v>
      </c>
      <c r="B2643" s="3">
        <f>HYPERLINK("https://leetcode.com/problems/number-of-black-blocks/", "Number of Black Blocks")</f>
        <v/>
      </c>
      <c r="C2643" s="1" t="n">
        <v>286</v>
      </c>
      <c r="D2643" s="1" t="n">
        <v>51</v>
      </c>
      <c r="E2643" s="4">
        <f>IF(INDEX(C:C, ROW())+INDEX(D:D, ROW())=0, 0, INDEX(C:C, ROW())/(INDEX(C:C, ROW())+INDEX(D:D, ROW())))</f>
        <v/>
      </c>
      <c r="F2643" s="1" t="inlineStr">
        <is>
          <t>Array, Hash Table, Enumeration</t>
        </is>
      </c>
      <c r="G2643" s="1" t="inlineStr">
        <is>
          <t>Medium</t>
        </is>
      </c>
      <c r="H2643" s="1" t="n">
        <v>21948</v>
      </c>
      <c r="I2643" s="1" t="n">
        <v>52554</v>
      </c>
      <c r="J2643" s="9" t="n">
        <v>0.418</v>
      </c>
      <c r="K2643" s="1" t="inlineStr">
        <is>
          <t>Yes</t>
        </is>
      </c>
      <c r="L2643" s="1" t="inlineStr">
        <is>
          <t>No</t>
        </is>
      </c>
      <c r="M2643" s="1" t="inlineStr">
        <is>
          <t>No</t>
        </is>
      </c>
      <c r="N2643" s="1" t="inlineStr">
        <is>
          <t>Algorithms</t>
        </is>
      </c>
      <c r="O26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43" s="11" t="inlineStr">
        <is>
          <t>To Do</t>
        </is>
      </c>
    </row>
    <row r="2644" ht="15.75" customHeight="1" s="12">
      <c r="A2644" s="1" t="n">
        <v>2867</v>
      </c>
      <c r="B2644" s="3">
        <f>HYPERLINK("https://leetcode.com/problems/count-valid-paths-in-a-tree/", "Count Valid Paths in a Tree")</f>
        <v/>
      </c>
      <c r="C2644" s="1" t="n">
        <v>286</v>
      </c>
      <c r="D2644" s="1" t="n">
        <v>9</v>
      </c>
      <c r="E2644" s="4">
        <f>IF(INDEX(C:C, ROW())+INDEX(D:D, ROW())=0, 0, INDEX(C:C, ROW())/(INDEX(C:C, ROW())+INDEX(D:D, ROW())))</f>
        <v/>
      </c>
      <c r="F2644" s="1" t="inlineStr">
        <is>
          <t>Math, Dynamic Programming, Tree, Depth-First Search, Number Theory</t>
        </is>
      </c>
      <c r="G2644" s="1" t="inlineStr">
        <is>
          <t>Hard</t>
        </is>
      </c>
      <c r="H2644" s="1" t="n">
        <v>9839</v>
      </c>
      <c r="I2644" s="1" t="n">
        <v>27199</v>
      </c>
      <c r="J2644" s="9" t="n">
        <v>0.362</v>
      </c>
      <c r="K2644" s="1" t="inlineStr">
        <is>
          <t>Yes</t>
        </is>
      </c>
      <c r="L2644" s="1" t="inlineStr">
        <is>
          <t>No</t>
        </is>
      </c>
      <c r="M2644" s="1" t="inlineStr">
        <is>
          <t>No</t>
        </is>
      </c>
      <c r="N2644" s="1" t="inlineStr">
        <is>
          <t>Algorithms</t>
        </is>
      </c>
      <c r="O26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44" s="11" t="inlineStr">
        <is>
          <t>To Do</t>
        </is>
      </c>
    </row>
    <row r="2645" ht="15.75" customHeight="1" s="12">
      <c r="A2645" s="1" t="n">
        <v>3122</v>
      </c>
      <c r="B2645" s="3">
        <f>HYPERLINK("https://leetcode.com/problems/minimum-number-of-operations-to-satisfy-conditions/", "Minimum Number of Operations to Satisfy Conditions")</f>
        <v/>
      </c>
      <c r="C2645" s="1" t="n">
        <v>286</v>
      </c>
      <c r="D2645" s="1" t="n">
        <v>13</v>
      </c>
      <c r="E2645" s="4">
        <f>IF(INDEX(C:C, ROW())+INDEX(D:D, ROW())=0, 0, INDEX(C:C, ROW())/(INDEX(C:C, ROW())+INDEX(D:D, ROW())))</f>
        <v/>
      </c>
      <c r="F2645" s="1" t="inlineStr">
        <is>
          <t>Array, Dynamic Programming, Matrix</t>
        </is>
      </c>
      <c r="G2645" s="1" t="inlineStr">
        <is>
          <t>Medium</t>
        </is>
      </c>
      <c r="H2645" s="1" t="n">
        <v>19323</v>
      </c>
      <c r="I2645" s="1" t="n">
        <v>46136</v>
      </c>
      <c r="J2645" s="9" t="n">
        <v>0.419</v>
      </c>
      <c r="K2645" s="1" t="inlineStr">
        <is>
          <t>Yes</t>
        </is>
      </c>
      <c r="L2645" s="1" t="inlineStr">
        <is>
          <t>No</t>
        </is>
      </c>
      <c r="M2645" s="1" t="inlineStr">
        <is>
          <t>No</t>
        </is>
      </c>
      <c r="N2645" s="1" t="inlineStr">
        <is>
          <t>Algorithms</t>
        </is>
      </c>
      <c r="O26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45" s="11" t="inlineStr">
        <is>
          <t>To Do</t>
        </is>
      </c>
    </row>
    <row r="2646" ht="15.75" customHeight="1" s="12">
      <c r="A2646" s="1" t="n">
        <v>3643</v>
      </c>
      <c r="B2646" s="3">
        <f>HYPERLINK("https://leetcode.com/problems/flip-square-submatrix-vertically/", "Flip Square Submatrix Vertically")</f>
        <v/>
      </c>
      <c r="C2646" s="1" t="n">
        <v>286</v>
      </c>
      <c r="D2646" s="1" t="n">
        <v>28</v>
      </c>
      <c r="E2646" s="4">
        <f>IF(INDEX(C:C, ROW())+INDEX(D:D, ROW())=0, 0, INDEX(C:C, ROW())/(INDEX(C:C, ROW())+INDEX(D:D, ROW())))</f>
        <v/>
      </c>
      <c r="F2646" s="1" t="inlineStr">
        <is>
          <t>Array, Two Pointers, Matrix</t>
        </is>
      </c>
      <c r="G2646" s="1" t="inlineStr">
        <is>
          <t>Easy</t>
        </is>
      </c>
      <c r="H2646" s="1" t="n">
        <v>154982</v>
      </c>
      <c r="I2646" s="1" t="n">
        <v>195296</v>
      </c>
      <c r="J2646" s="9" t="n">
        <v>0.794</v>
      </c>
      <c r="K2646" s="1" t="inlineStr">
        <is>
          <t>Yes</t>
        </is>
      </c>
      <c r="L2646" s="1" t="inlineStr">
        <is>
          <t>Yes</t>
        </is>
      </c>
      <c r="M2646" s="1" t="inlineStr">
        <is>
          <t>No</t>
        </is>
      </c>
      <c r="N2646" s="1" t="inlineStr">
        <is>
          <t>Algorithms</t>
        </is>
      </c>
      <c r="O26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46" s="13" t="inlineStr">
        <is>
          <t>Done</t>
        </is>
      </c>
    </row>
    <row r="2647" ht="15.75" customHeight="1" s="12">
      <c r="A2647" s="1" t="n">
        <v>2895</v>
      </c>
      <c r="B2647" s="3">
        <f>HYPERLINK("https://leetcode.com/problems/minimum-processing-time/", "Minimum Processing Time")</f>
        <v/>
      </c>
      <c r="C2647" s="1" t="n">
        <v>285</v>
      </c>
      <c r="D2647" s="1" t="n">
        <v>50</v>
      </c>
      <c r="E2647" s="4">
        <f>IF(INDEX(C:C, ROW())+INDEX(D:D, ROW())=0, 0, INDEX(C:C, ROW())/(INDEX(C:C, ROW())+INDEX(D:D, ROW())))</f>
        <v/>
      </c>
      <c r="F2647" s="1" t="inlineStr">
        <is>
          <t>Array, Greedy, Sorting</t>
        </is>
      </c>
      <c r="G2647" s="1" t="inlineStr">
        <is>
          <t>Medium</t>
        </is>
      </c>
      <c r="H2647" s="1" t="n">
        <v>45483</v>
      </c>
      <c r="I2647" s="1" t="n">
        <v>64704</v>
      </c>
      <c r="J2647" s="9" t="n">
        <v>0.703</v>
      </c>
      <c r="K2647" s="1" t="inlineStr">
        <is>
          <t>Yes</t>
        </is>
      </c>
      <c r="L2647" s="1" t="inlineStr">
        <is>
          <t>No</t>
        </is>
      </c>
      <c r="M2647" s="1" t="inlineStr">
        <is>
          <t>No</t>
        </is>
      </c>
      <c r="N2647" s="1" t="inlineStr">
        <is>
          <t>Algorithms</t>
        </is>
      </c>
      <c r="O26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47" s="11" t="inlineStr">
        <is>
          <t>To Do</t>
        </is>
      </c>
    </row>
    <row r="2648" ht="15.75" customHeight="1" s="12">
      <c r="A2648" s="1" t="n">
        <v>1126</v>
      </c>
      <c r="B2648" s="3">
        <f>HYPERLINK("https://leetcode.com/problems/active-businesses/", "Active Businesses")</f>
        <v/>
      </c>
      <c r="C2648" s="1" t="n">
        <v>284</v>
      </c>
      <c r="D2648" s="1" t="n">
        <v>34</v>
      </c>
      <c r="E2648" s="4">
        <f>IF(INDEX(C:C, ROW())+INDEX(D:D, ROW())=0, 0, INDEX(C:C, ROW())/(INDEX(C:C, ROW())+INDEX(D:D, ROW())))</f>
        <v/>
      </c>
      <c r="F2648" s="1" t="inlineStr">
        <is>
          <t>Database</t>
        </is>
      </c>
      <c r="G2648" s="1" t="inlineStr">
        <is>
          <t>Medium</t>
        </is>
      </c>
      <c r="H2648" s="1" t="n">
        <v>53054</v>
      </c>
      <c r="I2648" s="1" t="n">
        <v>80417</v>
      </c>
      <c r="J2648" s="9" t="n">
        <v>0.66</v>
      </c>
      <c r="K2648" s="1" t="inlineStr">
        <is>
          <t>No</t>
        </is>
      </c>
      <c r="L2648" s="1" t="inlineStr">
        <is>
          <t>Yes</t>
        </is>
      </c>
      <c r="M2648" s="1" t="inlineStr">
        <is>
          <t>No</t>
        </is>
      </c>
      <c r="N2648" s="1" t="inlineStr">
        <is>
          <t>Database</t>
        </is>
      </c>
      <c r="O26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48" s="11" t="inlineStr">
        <is>
          <t>To Do</t>
        </is>
      </c>
    </row>
    <row r="2649" ht="15.75" customHeight="1" s="12">
      <c r="A2649" s="1" t="n">
        <v>1077</v>
      </c>
      <c r="B2649" s="3">
        <f>HYPERLINK("https://leetcode.com/problems/project-employees-iii/", "Project Employees III")</f>
        <v/>
      </c>
      <c r="C2649" s="1" t="n">
        <v>283</v>
      </c>
      <c r="D2649" s="1" t="n">
        <v>9</v>
      </c>
      <c r="E2649" s="4">
        <f>IF(INDEX(C:C, ROW())+INDEX(D:D, ROW())=0, 0, INDEX(C:C, ROW())/(INDEX(C:C, ROW())+INDEX(D:D, ROW())))</f>
        <v/>
      </c>
      <c r="F2649" s="1" t="inlineStr">
        <is>
          <t>Database</t>
        </is>
      </c>
      <c r="G2649" s="1" t="inlineStr">
        <is>
          <t>Medium</t>
        </is>
      </c>
      <c r="H2649" s="1" t="n">
        <v>72731</v>
      </c>
      <c r="I2649" s="1" t="n">
        <v>94234</v>
      </c>
      <c r="J2649" s="9" t="n">
        <v>0.772</v>
      </c>
      <c r="K2649" s="1" t="inlineStr">
        <is>
          <t>No</t>
        </is>
      </c>
      <c r="L2649" s="1" t="inlineStr">
        <is>
          <t>Yes</t>
        </is>
      </c>
      <c r="M2649" s="1" t="inlineStr">
        <is>
          <t>No</t>
        </is>
      </c>
      <c r="N2649" s="1" t="inlineStr">
        <is>
          <t>Database</t>
        </is>
      </c>
      <c r="O26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49" s="11" t="inlineStr">
        <is>
          <t>To Do</t>
        </is>
      </c>
    </row>
    <row r="2650" ht="15.75" customHeight="1" s="12">
      <c r="A2650" s="1" t="n">
        <v>2857</v>
      </c>
      <c r="B2650" s="3">
        <f>HYPERLINK("https://leetcode.com/problems/count-pairs-of-points-with-distance-k/", "Count Pairs of Points With Distance k")</f>
        <v/>
      </c>
      <c r="C2650" s="1" t="n">
        <v>283</v>
      </c>
      <c r="D2650" s="1" t="n">
        <v>45</v>
      </c>
      <c r="E2650" s="4">
        <f>IF(INDEX(C:C, ROW())+INDEX(D:D, ROW())=0, 0, INDEX(C:C, ROW())/(INDEX(C:C, ROW())+INDEX(D:D, ROW())))</f>
        <v/>
      </c>
      <c r="F2650" s="1" t="inlineStr">
        <is>
          <t>Array, Hash Table, Bit Manipulation</t>
        </is>
      </c>
      <c r="G2650" s="1" t="inlineStr">
        <is>
          <t>Medium</t>
        </is>
      </c>
      <c r="H2650" s="1" t="n">
        <v>13646</v>
      </c>
      <c r="I2650" s="1" t="n">
        <v>41426</v>
      </c>
      <c r="J2650" s="9" t="n">
        <v>0.329</v>
      </c>
      <c r="K2650" s="1" t="inlineStr">
        <is>
          <t>Yes</t>
        </is>
      </c>
      <c r="L2650" s="1" t="inlineStr">
        <is>
          <t>No</t>
        </is>
      </c>
      <c r="M2650" s="1" t="inlineStr">
        <is>
          <t>No</t>
        </is>
      </c>
      <c r="N2650" s="1" t="inlineStr">
        <is>
          <t>Algorithms</t>
        </is>
      </c>
      <c r="O26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50" s="11" t="inlineStr">
        <is>
          <t>To Do</t>
        </is>
      </c>
    </row>
    <row r="2651" ht="15.75" customHeight="1" s="12">
      <c r="A2651" s="1" t="n">
        <v>711</v>
      </c>
      <c r="B2651" s="3">
        <f>HYPERLINK("https://leetcode.com/problems/number-of-distinct-islands-ii/", "Number of Distinct Islands II")</f>
        <v/>
      </c>
      <c r="C2651" s="1" t="n">
        <v>282</v>
      </c>
      <c r="D2651" s="1" t="n">
        <v>286</v>
      </c>
      <c r="E2651" s="4">
        <f>IF(INDEX(C:C, ROW())+INDEX(D:D, ROW())=0, 0, INDEX(C:C, ROW())/(INDEX(C:C, ROW())+INDEX(D:D, ROW())))</f>
        <v/>
      </c>
      <c r="F2651" s="1" t="inlineStr">
        <is>
          <t>Array, Hash Table, Depth-First Search, Breadth-First Search, Union-Find, Sorting, Matrix, Hash Function</t>
        </is>
      </c>
      <c r="G2651" s="1" t="inlineStr">
        <is>
          <t>Hard</t>
        </is>
      </c>
      <c r="H2651" s="1" t="n">
        <v>14311</v>
      </c>
      <c r="I2651" s="1" t="n">
        <v>25841</v>
      </c>
      <c r="J2651" s="9" t="n">
        <v>0.554</v>
      </c>
      <c r="K2651" s="1" t="inlineStr">
        <is>
          <t>No</t>
        </is>
      </c>
      <c r="L2651" s="1" t="inlineStr">
        <is>
          <t>Yes</t>
        </is>
      </c>
      <c r="M2651" s="1" t="inlineStr">
        <is>
          <t>No</t>
        </is>
      </c>
      <c r="N2651" s="1" t="inlineStr">
        <is>
          <t>Algorithms</t>
        </is>
      </c>
      <c r="O26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51" s="11" t="inlineStr">
        <is>
          <t>To Do</t>
        </is>
      </c>
    </row>
    <row r="2652" ht="15.75" customHeight="1" s="12">
      <c r="A2652" s="1" t="n">
        <v>758</v>
      </c>
      <c r="B2652" s="3">
        <f>HYPERLINK("https://leetcode.com/problems/bold-words-in-string/", "Bold Words in String")</f>
        <v/>
      </c>
      <c r="C2652" s="1" t="n">
        <v>282</v>
      </c>
      <c r="D2652" s="1" t="n">
        <v>124</v>
      </c>
      <c r="E2652" s="4">
        <f>IF(INDEX(C:C, ROW())+INDEX(D:D, ROW())=0, 0, INDEX(C:C, ROW())/(INDEX(C:C, ROW())+INDEX(D:D, ROW())))</f>
        <v/>
      </c>
      <c r="F2652" s="1" t="inlineStr">
        <is>
          <t>Array, Hash Table, String, Trie, String Matching</t>
        </is>
      </c>
      <c r="G2652" s="1" t="inlineStr">
        <is>
          <t>Medium</t>
        </is>
      </c>
      <c r="H2652" s="1" t="n">
        <v>20933</v>
      </c>
      <c r="I2652" s="1" t="n">
        <v>39836</v>
      </c>
      <c r="J2652" s="9" t="n">
        <v>0.525</v>
      </c>
      <c r="K2652" s="1" t="inlineStr">
        <is>
          <t>No</t>
        </is>
      </c>
      <c r="L2652" s="1" t="inlineStr">
        <is>
          <t>Yes</t>
        </is>
      </c>
      <c r="M2652" s="1" t="inlineStr">
        <is>
          <t>No</t>
        </is>
      </c>
      <c r="N2652" s="1" t="inlineStr">
        <is>
          <t>Algorithms</t>
        </is>
      </c>
      <c r="O26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52" s="11" t="inlineStr">
        <is>
          <t>To Do</t>
        </is>
      </c>
    </row>
    <row r="2653" ht="15.75" customHeight="1" s="12">
      <c r="A2653" s="1" t="n">
        <v>1083</v>
      </c>
      <c r="B2653" s="3">
        <f>HYPERLINK("https://leetcode.com/problems/sales-analysis-ii/", "Sales Analysis II")</f>
        <v/>
      </c>
      <c r="C2653" s="1" t="n">
        <v>282</v>
      </c>
      <c r="D2653" s="1" t="n">
        <v>49</v>
      </c>
      <c r="E2653" s="4">
        <f>IF(INDEX(C:C, ROW())+INDEX(D:D, ROW())=0, 0, INDEX(C:C, ROW())/(INDEX(C:C, ROW())+INDEX(D:D, ROW())))</f>
        <v/>
      </c>
      <c r="F2653" s="1" t="inlineStr">
        <is>
          <t>Database</t>
        </is>
      </c>
      <c r="G2653" s="1" t="inlineStr">
        <is>
          <t>Easy</t>
        </is>
      </c>
      <c r="H2653" s="1" t="n">
        <v>67203</v>
      </c>
      <c r="I2653" s="1" t="n">
        <v>134095</v>
      </c>
      <c r="J2653" s="9" t="n">
        <v>0.501</v>
      </c>
      <c r="K2653" s="1" t="inlineStr">
        <is>
          <t>No</t>
        </is>
      </c>
      <c r="L2653" s="1" t="inlineStr">
        <is>
          <t>Yes</t>
        </is>
      </c>
      <c r="M2653" s="1" t="inlineStr">
        <is>
          <t>No</t>
        </is>
      </c>
      <c r="N2653" s="1" t="inlineStr">
        <is>
          <t>Database</t>
        </is>
      </c>
      <c r="O26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53" s="11" t="inlineStr">
        <is>
          <t>To Do</t>
        </is>
      </c>
    </row>
    <row r="2654" ht="15.75" customHeight="1" s="12">
      <c r="A2654" s="1" t="n">
        <v>631</v>
      </c>
      <c r="B2654" s="3">
        <f>HYPERLINK("https://leetcode.com/problems/design-excel-sum-formula/", "Design Excel Sum Formula")</f>
        <v/>
      </c>
      <c r="C2654" s="1" t="n">
        <v>281</v>
      </c>
      <c r="D2654" s="1" t="n">
        <v>296</v>
      </c>
      <c r="E2654" s="4">
        <f>IF(INDEX(C:C, ROW())+INDEX(D:D, ROW())=0, 0, INDEX(C:C, ROW())/(INDEX(C:C, ROW())+INDEX(D:D, ROW())))</f>
        <v/>
      </c>
      <c r="F2654" s="1" t="inlineStr">
        <is>
          <t>Array, Hash Table, String, Graph Theory, Design, Topological Sort, Matrix</t>
        </is>
      </c>
      <c r="G2654" s="1" t="inlineStr">
        <is>
          <t>Hard</t>
        </is>
      </c>
      <c r="H2654" s="1" t="n">
        <v>34653</v>
      </c>
      <c r="I2654" s="1" t="n">
        <v>87105</v>
      </c>
      <c r="J2654" s="9" t="n">
        <v>0.398</v>
      </c>
      <c r="K2654" s="1" t="inlineStr">
        <is>
          <t>No</t>
        </is>
      </c>
      <c r="L2654" s="1" t="inlineStr">
        <is>
          <t>Yes</t>
        </is>
      </c>
      <c r="M2654" s="1" t="inlineStr">
        <is>
          <t>No</t>
        </is>
      </c>
      <c r="N2654" s="1" t="inlineStr">
        <is>
          <t>Algorithms</t>
        </is>
      </c>
      <c r="O26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54" s="11" t="inlineStr">
        <is>
          <t>To Do</t>
        </is>
      </c>
    </row>
    <row r="2655" ht="15.75" customHeight="1" s="12">
      <c r="A2655" s="1" t="n">
        <v>2019</v>
      </c>
      <c r="B2655" s="3">
        <f>HYPERLINK("https://leetcode.com/problems/the-score-of-students-solving-math-expression/", "The Score of Students Solving Math Expression")</f>
        <v/>
      </c>
      <c r="C2655" s="1" t="n">
        <v>281</v>
      </c>
      <c r="D2655" s="1" t="n">
        <v>85</v>
      </c>
      <c r="E2655" s="4">
        <f>IF(INDEX(C:C, ROW())+INDEX(D:D, ROW())=0, 0, INDEX(C:C, ROW())/(INDEX(C:C, ROW())+INDEX(D:D, ROW())))</f>
        <v/>
      </c>
      <c r="F2655" s="1" t="inlineStr">
        <is>
          <t>Array, Hash Table, Math, String, Dynamic Programming, Stack, Memoization</t>
        </is>
      </c>
      <c r="G2655" s="1" t="inlineStr">
        <is>
          <t>Hard</t>
        </is>
      </c>
      <c r="H2655" s="1" t="n">
        <v>9449</v>
      </c>
      <c r="I2655" s="1" t="n">
        <v>27620</v>
      </c>
      <c r="J2655" s="9" t="n">
        <v>0.342</v>
      </c>
      <c r="K2655" s="1" t="inlineStr">
        <is>
          <t>Yes</t>
        </is>
      </c>
      <c r="L2655" s="1" t="inlineStr">
        <is>
          <t>No</t>
        </is>
      </c>
      <c r="M2655" s="1" t="inlineStr">
        <is>
          <t>No</t>
        </is>
      </c>
      <c r="N2655" s="1" t="inlineStr">
        <is>
          <t>Algorithms</t>
        </is>
      </c>
      <c r="O26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55" s="11" t="inlineStr">
        <is>
          <t>To Do</t>
        </is>
      </c>
    </row>
    <row r="2656" ht="15.75" customHeight="1" s="12">
      <c r="A2656" s="1" t="n">
        <v>2443</v>
      </c>
      <c r="B2656" s="3">
        <f>HYPERLINK("https://leetcode.com/problems/sum-of-number-and-its-reverse/", "Sum of Number and Its Reverse")</f>
        <v/>
      </c>
      <c r="C2656" s="1" t="n">
        <v>281</v>
      </c>
      <c r="D2656" s="1" t="n">
        <v>306</v>
      </c>
      <c r="E2656" s="4">
        <f>IF(INDEX(C:C, ROW())+INDEX(D:D, ROW())=0, 0, INDEX(C:C, ROW())/(INDEX(C:C, ROW())+INDEX(D:D, ROW())))</f>
        <v/>
      </c>
      <c r="F2656" s="1" t="inlineStr">
        <is>
          <t>Math, Enumeration</t>
        </is>
      </c>
      <c r="G2656" s="1" t="inlineStr">
        <is>
          <t>Medium</t>
        </is>
      </c>
      <c r="H2656" s="1" t="n">
        <v>47173</v>
      </c>
      <c r="I2656" s="1" t="n">
        <v>95209</v>
      </c>
      <c r="J2656" s="9" t="n">
        <v>0.495</v>
      </c>
      <c r="K2656" s="1" t="inlineStr">
        <is>
          <t>Yes</t>
        </is>
      </c>
      <c r="L2656" s="1" t="inlineStr">
        <is>
          <t>No</t>
        </is>
      </c>
      <c r="M2656" s="1" t="inlineStr">
        <is>
          <t>No</t>
        </is>
      </c>
      <c r="N2656" s="1" t="inlineStr">
        <is>
          <t>Algorithms</t>
        </is>
      </c>
      <c r="O26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56" s="11" t="inlineStr">
        <is>
          <t>To Do</t>
        </is>
      </c>
    </row>
    <row r="2657" ht="15.75" customHeight="1" s="12">
      <c r="A2657" s="1" t="n">
        <v>2695</v>
      </c>
      <c r="B2657" s="3">
        <f>HYPERLINK("https://leetcode.com/problems/array-wrapper/", "Array Wrapper")</f>
        <v/>
      </c>
      <c r="C2657" s="1" t="n">
        <v>281</v>
      </c>
      <c r="D2657" s="1" t="n">
        <v>63</v>
      </c>
      <c r="E2657" s="4">
        <f>IF(INDEX(C:C, ROW())+INDEX(D:D, ROW())=0, 0, INDEX(C:C, ROW())/(INDEX(C:C, ROW())+INDEX(D:D, ROW())))</f>
        <v/>
      </c>
      <c r="F2657" s="2" t="n"/>
      <c r="G2657" s="1" t="inlineStr">
        <is>
          <t>Easy</t>
        </is>
      </c>
      <c r="H2657" s="1" t="n">
        <v>74216</v>
      </c>
      <c r="I2657" s="1" t="n">
        <v>83318</v>
      </c>
      <c r="J2657" s="9" t="n">
        <v>0.891</v>
      </c>
      <c r="K2657" s="1" t="inlineStr">
        <is>
          <t>Yes</t>
        </is>
      </c>
      <c r="L2657" s="1" t="inlineStr">
        <is>
          <t>Yes</t>
        </is>
      </c>
      <c r="M2657" s="1" t="inlineStr">
        <is>
          <t>No</t>
        </is>
      </c>
      <c r="N2657" s="1" t="inlineStr">
        <is>
          <t>JavaScript</t>
        </is>
      </c>
      <c r="O26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57" s="13" t="inlineStr">
        <is>
          <t>Done</t>
        </is>
      </c>
    </row>
    <row r="2658" ht="15.75" customHeight="1" s="12">
      <c r="A2658" s="1" t="n">
        <v>2734</v>
      </c>
      <c r="B2658" s="3">
        <f>HYPERLINK("https://leetcode.com/problems/lexicographically-smallest-string-after-substring-operation/", "Lexicographically Smallest String After Substring Operation")</f>
        <v/>
      </c>
      <c r="C2658" s="1" t="n">
        <v>281</v>
      </c>
      <c r="D2658" s="1" t="n">
        <v>195</v>
      </c>
      <c r="E2658" s="4">
        <f>IF(INDEX(C:C, ROW())+INDEX(D:D, ROW())=0, 0, INDEX(C:C, ROW())/(INDEX(C:C, ROW())+INDEX(D:D, ROW())))</f>
        <v/>
      </c>
      <c r="F2658" s="1" t="inlineStr">
        <is>
          <t>String, Greedy</t>
        </is>
      </c>
      <c r="G2658" s="1" t="inlineStr">
        <is>
          <t>Medium</t>
        </is>
      </c>
      <c r="H2658" s="1" t="n">
        <v>36237</v>
      </c>
      <c r="I2658" s="1" t="n">
        <v>103880</v>
      </c>
      <c r="J2658" s="9" t="n">
        <v>0.349</v>
      </c>
      <c r="K2658" s="1" t="inlineStr">
        <is>
          <t>Yes</t>
        </is>
      </c>
      <c r="L2658" s="1" t="inlineStr">
        <is>
          <t>No</t>
        </is>
      </c>
      <c r="M2658" s="1" t="inlineStr">
        <is>
          <t>No</t>
        </is>
      </c>
      <c r="N2658" s="1" t="inlineStr">
        <is>
          <t>Algorithms</t>
        </is>
      </c>
      <c r="O26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58" s="11" t="inlineStr">
        <is>
          <t>To Do</t>
        </is>
      </c>
    </row>
    <row r="2659" ht="15.75" customHeight="1" s="12">
      <c r="A2659" s="1" t="n">
        <v>512</v>
      </c>
      <c r="B2659" s="3">
        <f>HYPERLINK("https://leetcode.com/problems/game-play-analysis-ii/", "Game Play Analysis II")</f>
        <v/>
      </c>
      <c r="C2659" s="1" t="n">
        <v>279</v>
      </c>
      <c r="D2659" s="1" t="n">
        <v>43</v>
      </c>
      <c r="E2659" s="4">
        <f>IF(INDEX(C:C, ROW())+INDEX(D:D, ROW())=0, 0, INDEX(C:C, ROW())/(INDEX(C:C, ROW())+INDEX(D:D, ROW())))</f>
        <v/>
      </c>
      <c r="F2659" s="1" t="inlineStr">
        <is>
          <t>Database</t>
        </is>
      </c>
      <c r="G2659" s="1" t="inlineStr">
        <is>
          <t>Easy</t>
        </is>
      </c>
      <c r="H2659" s="1" t="n">
        <v>107802</v>
      </c>
      <c r="I2659" s="1" t="n">
        <v>197252</v>
      </c>
      <c r="J2659" s="9" t="n">
        <v>0.547</v>
      </c>
      <c r="K2659" s="1" t="inlineStr">
        <is>
          <t>No</t>
        </is>
      </c>
      <c r="L2659" s="1" t="inlineStr">
        <is>
          <t>Yes</t>
        </is>
      </c>
      <c r="M2659" s="1" t="inlineStr">
        <is>
          <t>No</t>
        </is>
      </c>
      <c r="N2659" s="1" t="inlineStr">
        <is>
          <t>Database</t>
        </is>
      </c>
      <c r="O26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59" s="11" t="inlineStr">
        <is>
          <t>To Do</t>
        </is>
      </c>
    </row>
    <row r="2660" ht="15.75" customHeight="1" s="12">
      <c r="A2660" s="1" t="n">
        <v>1660</v>
      </c>
      <c r="B2660" s="3">
        <f>HYPERLINK("https://leetcode.com/problems/correct-a-binary-tree/", "Correct a Binary Tree")</f>
        <v/>
      </c>
      <c r="C2660" s="1" t="n">
        <v>277</v>
      </c>
      <c r="D2660" s="1" t="n">
        <v>47</v>
      </c>
      <c r="E2660" s="4">
        <f>IF(INDEX(C:C, ROW())+INDEX(D:D, ROW())=0, 0, INDEX(C:C, ROW())/(INDEX(C:C, ROW())+INDEX(D:D, ROW())))</f>
        <v/>
      </c>
      <c r="F2660" s="1" t="inlineStr">
        <is>
          <t>Hash Table, Tree, Depth-First Search, Breadth-First Search, Binary Tree</t>
        </is>
      </c>
      <c r="G2660" s="1" t="inlineStr">
        <is>
          <t>Medium</t>
        </is>
      </c>
      <c r="H2660" s="1" t="n">
        <v>23338</v>
      </c>
      <c r="I2660" s="1" t="n">
        <v>31405</v>
      </c>
      <c r="J2660" s="9" t="n">
        <v>0.743</v>
      </c>
      <c r="K2660" s="1" t="inlineStr">
        <is>
          <t>No</t>
        </is>
      </c>
      <c r="L2660" s="1" t="inlineStr">
        <is>
          <t>Yes</t>
        </is>
      </c>
      <c r="M2660" s="1" t="inlineStr">
        <is>
          <t>No</t>
        </is>
      </c>
      <c r="N2660" s="1" t="inlineStr">
        <is>
          <t>Algorithms</t>
        </is>
      </c>
      <c r="O26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60" s="11" t="inlineStr">
        <is>
          <t>To Do</t>
        </is>
      </c>
    </row>
    <row r="2661" ht="15.75" customHeight="1" s="12">
      <c r="A2661" s="1" t="n">
        <v>1427</v>
      </c>
      <c r="B2661" s="3">
        <f>HYPERLINK("https://leetcode.com/problems/perform-string-shifts/", "Perform String Shifts")</f>
        <v/>
      </c>
      <c r="C2661" s="1" t="n">
        <v>276</v>
      </c>
      <c r="D2661" s="1" t="n">
        <v>16</v>
      </c>
      <c r="E2661" s="4">
        <f>IF(INDEX(C:C, ROW())+INDEX(D:D, ROW())=0, 0, INDEX(C:C, ROW())/(INDEX(C:C, ROW())+INDEX(D:D, ROW())))</f>
        <v/>
      </c>
      <c r="F2661" s="1" t="inlineStr">
        <is>
          <t>Array, Math, String</t>
        </is>
      </c>
      <c r="G2661" s="1" t="inlineStr">
        <is>
          <t>Easy</t>
        </is>
      </c>
      <c r="H2661" s="1" t="n">
        <v>94069</v>
      </c>
      <c r="I2661" s="1" t="n">
        <v>168018</v>
      </c>
      <c r="J2661" s="9" t="n">
        <v>0.5600000000000001</v>
      </c>
      <c r="K2661" s="1" t="inlineStr">
        <is>
          <t>No</t>
        </is>
      </c>
      <c r="L2661" s="1" t="inlineStr">
        <is>
          <t>Yes</t>
        </is>
      </c>
      <c r="M2661" s="1" t="inlineStr">
        <is>
          <t>No</t>
        </is>
      </c>
      <c r="N2661" s="1" t="inlineStr">
        <is>
          <t>Algorithms</t>
        </is>
      </c>
      <c r="O26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61" s="11" t="inlineStr">
        <is>
          <t>To Do</t>
        </is>
      </c>
    </row>
    <row r="2662" ht="15.75" customHeight="1" s="12">
      <c r="A2662" s="1" t="n">
        <v>2939</v>
      </c>
      <c r="B2662" s="3">
        <f>HYPERLINK("https://leetcode.com/problems/maximum-xor-product/", "Maximum Xor Product")</f>
        <v/>
      </c>
      <c r="C2662" s="1" t="n">
        <v>276</v>
      </c>
      <c r="D2662" s="1" t="n">
        <v>74</v>
      </c>
      <c r="E2662" s="4">
        <f>IF(INDEX(C:C, ROW())+INDEX(D:D, ROW())=0, 0, INDEX(C:C, ROW())/(INDEX(C:C, ROW())+INDEX(D:D, ROW())))</f>
        <v/>
      </c>
      <c r="F2662" s="1" t="inlineStr">
        <is>
          <t>Math, Greedy, Bit Manipulation</t>
        </is>
      </c>
      <c r="G2662" s="1" t="inlineStr">
        <is>
          <t>Medium</t>
        </is>
      </c>
      <c r="H2662" s="1" t="n">
        <v>15815</v>
      </c>
      <c r="I2662" s="1" t="n">
        <v>53069</v>
      </c>
      <c r="J2662" s="9" t="n">
        <v>0.298</v>
      </c>
      <c r="K2662" s="1" t="inlineStr">
        <is>
          <t>Yes</t>
        </is>
      </c>
      <c r="L2662" s="1" t="inlineStr">
        <is>
          <t>No</t>
        </is>
      </c>
      <c r="M2662" s="1" t="inlineStr">
        <is>
          <t>No</t>
        </is>
      </c>
      <c r="N2662" s="1" t="inlineStr">
        <is>
          <t>Algorithms</t>
        </is>
      </c>
      <c r="O26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62" s="11" t="inlineStr">
        <is>
          <t>To Do</t>
        </is>
      </c>
    </row>
    <row r="2663" ht="15.75" customHeight="1" s="12">
      <c r="A2663" s="1" t="n">
        <v>1322</v>
      </c>
      <c r="B2663" s="3">
        <f>HYPERLINK("https://leetcode.com/problems/ads-performance/", "Ads Performance")</f>
        <v/>
      </c>
      <c r="C2663" s="1" t="n">
        <v>273</v>
      </c>
      <c r="D2663" s="1" t="n">
        <v>68</v>
      </c>
      <c r="E2663" s="4">
        <f>IF(INDEX(C:C, ROW())+INDEX(D:D, ROW())=0, 0, INDEX(C:C, ROW())/(INDEX(C:C, ROW())+INDEX(D:D, ROW())))</f>
        <v/>
      </c>
      <c r="F2663" s="1" t="inlineStr">
        <is>
          <t>Database</t>
        </is>
      </c>
      <c r="G2663" s="1" t="inlineStr">
        <is>
          <t>Easy</t>
        </is>
      </c>
      <c r="H2663" s="1" t="n">
        <v>53174</v>
      </c>
      <c r="I2663" s="1" t="n">
        <v>90770</v>
      </c>
      <c r="J2663" s="9" t="n">
        <v>0.586</v>
      </c>
      <c r="K2663" s="1" t="inlineStr">
        <is>
          <t>No</t>
        </is>
      </c>
      <c r="L2663" s="1" t="inlineStr">
        <is>
          <t>Yes</t>
        </is>
      </c>
      <c r="M2663" s="1" t="inlineStr">
        <is>
          <t>No</t>
        </is>
      </c>
      <c r="N2663" s="1" t="inlineStr">
        <is>
          <t>Database</t>
        </is>
      </c>
      <c r="O26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63" s="11" t="inlineStr">
        <is>
          <t>To Do</t>
        </is>
      </c>
    </row>
    <row r="2664" ht="15.75" customHeight="1" s="12">
      <c r="A2664" s="1" t="n">
        <v>1586</v>
      </c>
      <c r="B2664" s="3">
        <f>HYPERLINK("https://leetcode.com/problems/binary-search-tree-iterator-ii/", "Binary Search Tree Iterator II")</f>
        <v/>
      </c>
      <c r="C2664" s="1" t="n">
        <v>273</v>
      </c>
      <c r="D2664" s="1" t="n">
        <v>52</v>
      </c>
      <c r="E2664" s="4">
        <f>IF(INDEX(C:C, ROW())+INDEX(D:D, ROW())=0, 0, INDEX(C:C, ROW())/(INDEX(C:C, ROW())+INDEX(D:D, ROW())))</f>
        <v/>
      </c>
      <c r="F2664" s="1" t="inlineStr">
        <is>
          <t>Stack, Tree, Design, Binary Search Tree, Binary Tree, Iterator</t>
        </is>
      </c>
      <c r="G2664" s="1" t="inlineStr">
        <is>
          <t>Medium</t>
        </is>
      </c>
      <c r="H2664" s="1" t="n">
        <v>17341</v>
      </c>
      <c r="I2664" s="1" t="n">
        <v>27361</v>
      </c>
      <c r="J2664" s="9" t="n">
        <v>0.634</v>
      </c>
      <c r="K2664" s="1" t="inlineStr">
        <is>
          <t>No</t>
        </is>
      </c>
      <c r="L2664" s="1" t="inlineStr">
        <is>
          <t>Yes</t>
        </is>
      </c>
      <c r="M2664" s="1" t="inlineStr">
        <is>
          <t>No</t>
        </is>
      </c>
      <c r="N2664" s="1" t="inlineStr">
        <is>
          <t>Algorithms</t>
        </is>
      </c>
      <c r="O26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64" s="11" t="inlineStr">
        <is>
          <t>To Do</t>
        </is>
      </c>
    </row>
    <row r="2665" ht="15.75" customHeight="1" s="12">
      <c r="A2665" s="1" t="n">
        <v>1914</v>
      </c>
      <c r="B2665" s="3">
        <f>HYPERLINK("https://leetcode.com/problems/cyclically-rotating-a-grid/", "Cyclically Rotating a Grid")</f>
        <v/>
      </c>
      <c r="C2665" s="1" t="n">
        <v>273</v>
      </c>
      <c r="D2665" s="1" t="n">
        <v>279</v>
      </c>
      <c r="E2665" s="4">
        <f>IF(INDEX(C:C, ROW())+INDEX(D:D, ROW())=0, 0, INDEX(C:C, ROW())/(INDEX(C:C, ROW())+INDEX(D:D, ROW())))</f>
        <v/>
      </c>
      <c r="F2665" s="1" t="inlineStr">
        <is>
          <t>Array, Matrix, Simulation</t>
        </is>
      </c>
      <c r="G2665" s="1" t="inlineStr">
        <is>
          <t>Medium</t>
        </is>
      </c>
      <c r="H2665" s="1" t="n">
        <v>16459</v>
      </c>
      <c r="I2665" s="1" t="n">
        <v>31797</v>
      </c>
      <c r="J2665" s="9" t="n">
        <v>0.518</v>
      </c>
      <c r="K2665" s="1" t="inlineStr">
        <is>
          <t>Yes</t>
        </is>
      </c>
      <c r="L2665" s="1" t="inlineStr">
        <is>
          <t>Yes</t>
        </is>
      </c>
      <c r="M2665" s="1" t="inlineStr">
        <is>
          <t>No</t>
        </is>
      </c>
      <c r="N2665" s="1" t="inlineStr">
        <is>
          <t>Algorithms</t>
        </is>
      </c>
      <c r="O26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65" s="11" t="inlineStr">
        <is>
          <t>To Do</t>
        </is>
      </c>
    </row>
    <row r="2666" ht="15.75" customHeight="1" s="12">
      <c r="A2666" s="1" t="n">
        <v>3092</v>
      </c>
      <c r="B2666" s="3">
        <f>HYPERLINK("https://leetcode.com/problems/most-frequent-ids/", "Most Frequent IDs")</f>
        <v/>
      </c>
      <c r="C2666" s="1" t="n">
        <v>273</v>
      </c>
      <c r="D2666" s="1" t="n">
        <v>38</v>
      </c>
      <c r="E2666" s="4">
        <f>IF(INDEX(C:C, ROW())+INDEX(D:D, ROW())=0, 0, INDEX(C:C, ROW())/(INDEX(C:C, ROW())+INDEX(D:D, ROW())))</f>
        <v/>
      </c>
      <c r="F2666" s="1" t="inlineStr">
        <is>
          <t>Array, Hash Table, Heap (Priority Queue), Ordered Set</t>
        </is>
      </c>
      <c r="G2666" s="1" t="inlineStr">
        <is>
          <t>Medium</t>
        </is>
      </c>
      <c r="H2666" s="1" t="n">
        <v>25170</v>
      </c>
      <c r="I2666" s="1" t="n">
        <v>58959</v>
      </c>
      <c r="J2666" s="9" t="n">
        <v>0.427</v>
      </c>
      <c r="K2666" s="1" t="inlineStr">
        <is>
          <t>Yes</t>
        </is>
      </c>
      <c r="L2666" s="1" t="inlineStr">
        <is>
          <t>No</t>
        </is>
      </c>
      <c r="M2666" s="1" t="inlineStr">
        <is>
          <t>No</t>
        </is>
      </c>
      <c r="N2666" s="1" t="inlineStr">
        <is>
          <t>Algorithms</t>
        </is>
      </c>
      <c r="O26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66" s="11" t="inlineStr">
        <is>
          <t>To Do</t>
        </is>
      </c>
    </row>
    <row r="2667" ht="15.75" customHeight="1" s="12">
      <c r="A2667" s="1" t="n">
        <v>3434</v>
      </c>
      <c r="B2667" s="3">
        <f>HYPERLINK("https://leetcode.com/problems/maximum-frequency-after-subarray-operation/", "Maximum Frequency After Subarray Operation")</f>
        <v/>
      </c>
      <c r="C2667" s="1" t="n">
        <v>273</v>
      </c>
      <c r="D2667" s="1" t="n">
        <v>36</v>
      </c>
      <c r="E2667" s="4">
        <f>IF(INDEX(C:C, ROW())+INDEX(D:D, ROW())=0, 0, INDEX(C:C, ROW())/(INDEX(C:C, ROW())+INDEX(D:D, ROW())))</f>
        <v/>
      </c>
      <c r="F2667" s="1" t="inlineStr">
        <is>
          <t>Array, Hash Table, Dynamic Programming, Greedy, Enumeration, Prefix Sum</t>
        </is>
      </c>
      <c r="G2667" s="1" t="inlineStr">
        <is>
          <t>Medium</t>
        </is>
      </c>
      <c r="H2667" s="1" t="n">
        <v>25641</v>
      </c>
      <c r="I2667" s="1" t="n">
        <v>82171</v>
      </c>
      <c r="J2667" s="9" t="n">
        <v>0.312</v>
      </c>
      <c r="K2667" s="1" t="inlineStr">
        <is>
          <t>Yes</t>
        </is>
      </c>
      <c r="L2667" s="1" t="inlineStr">
        <is>
          <t>No</t>
        </is>
      </c>
      <c r="M2667" s="1" t="inlineStr">
        <is>
          <t>No</t>
        </is>
      </c>
      <c r="N2667" s="1" t="inlineStr">
        <is>
          <t>Algorithms</t>
        </is>
      </c>
      <c r="O26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67" s="11" t="inlineStr">
        <is>
          <t>To Do</t>
        </is>
      </c>
    </row>
    <row r="2668" ht="15.75" customHeight="1" s="12">
      <c r="A2668" s="1" t="n">
        <v>3454</v>
      </c>
      <c r="B2668" s="3">
        <f>HYPERLINK("https://leetcode.com/problems/separate-squares-ii/", "Separate Squares II")</f>
        <v/>
      </c>
      <c r="C2668" s="1" t="n">
        <v>273</v>
      </c>
      <c r="D2668" s="1" t="n">
        <v>66</v>
      </c>
      <c r="E2668" s="4">
        <f>IF(INDEX(C:C, ROW())+INDEX(D:D, ROW())=0, 0, INDEX(C:C, ROW())/(INDEX(C:C, ROW())+INDEX(D:D, ROW())))</f>
        <v/>
      </c>
      <c r="F2668" s="1" t="inlineStr">
        <is>
          <t>Array, Binary Search, Segment Tree, Sweep Line</t>
        </is>
      </c>
      <c r="G2668" s="1" t="inlineStr">
        <is>
          <t>Hard</t>
        </is>
      </c>
      <c r="H2668" s="1" t="n">
        <v>60963</v>
      </c>
      <c r="I2668" s="1" t="n">
        <v>102258</v>
      </c>
      <c r="J2668" s="9" t="n">
        <v>0.596</v>
      </c>
      <c r="K2668" s="1" t="inlineStr">
        <is>
          <t>Yes</t>
        </is>
      </c>
      <c r="L2668" s="1" t="inlineStr">
        <is>
          <t>Yes</t>
        </is>
      </c>
      <c r="M2668" s="1" t="inlineStr">
        <is>
          <t>No</t>
        </is>
      </c>
      <c r="N2668" s="1" t="inlineStr">
        <is>
          <t>Algorithms</t>
        </is>
      </c>
      <c r="O26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68" s="11" t="inlineStr">
        <is>
          <t>To Do</t>
        </is>
      </c>
    </row>
    <row r="2669" ht="15.75" customHeight="1" s="12">
      <c r="A2669" s="1" t="n">
        <v>2567</v>
      </c>
      <c r="B2669" s="3">
        <f>HYPERLINK("https://leetcode.com/problems/minimum-score-by-changing-two-elements/", "Minimum Score by Changing Two Elements")</f>
        <v/>
      </c>
      <c r="C2669" s="1" t="n">
        <v>272</v>
      </c>
      <c r="D2669" s="1" t="n">
        <v>273</v>
      </c>
      <c r="E2669" s="4">
        <f>IF(INDEX(C:C, ROW())+INDEX(D:D, ROW())=0, 0, INDEX(C:C, ROW())/(INDEX(C:C, ROW())+INDEX(D:D, ROW())))</f>
        <v/>
      </c>
      <c r="F2669" s="1" t="inlineStr">
        <is>
          <t>Array, Greedy, Sorting</t>
        </is>
      </c>
      <c r="G2669" s="1" t="inlineStr">
        <is>
          <t>Medium</t>
        </is>
      </c>
      <c r="H2669" s="1" t="n">
        <v>22707</v>
      </c>
      <c r="I2669" s="1" t="n">
        <v>45501</v>
      </c>
      <c r="J2669" s="9" t="n">
        <v>0.499</v>
      </c>
      <c r="K2669" s="1" t="inlineStr">
        <is>
          <t>Yes</t>
        </is>
      </c>
      <c r="L2669" s="1" t="inlineStr">
        <is>
          <t>No</t>
        </is>
      </c>
      <c r="M2669" s="1" t="inlineStr">
        <is>
          <t>No</t>
        </is>
      </c>
      <c r="N2669" s="1" t="inlineStr">
        <is>
          <t>Algorithms</t>
        </is>
      </c>
      <c r="O26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69" s="11" t="inlineStr">
        <is>
          <t>To Do</t>
        </is>
      </c>
    </row>
    <row r="2670" ht="15.75" customHeight="1" s="12">
      <c r="A2670" s="1" t="n">
        <v>1597</v>
      </c>
      <c r="B2670" s="3">
        <f>HYPERLINK("https://leetcode.com/problems/build-binary-expression-tree-from-infix-expression/", "Build Binary Expression Tree From Infix Expression")</f>
        <v/>
      </c>
      <c r="C2670" s="1" t="n">
        <v>271</v>
      </c>
      <c r="D2670" s="1" t="n">
        <v>49</v>
      </c>
      <c r="E2670" s="4">
        <f>IF(INDEX(C:C, ROW())+INDEX(D:D, ROW())=0, 0, INDEX(C:C, ROW())/(INDEX(C:C, ROW())+INDEX(D:D, ROW())))</f>
        <v/>
      </c>
      <c r="F2670" s="1" t="inlineStr">
        <is>
          <t>String, Stack, Tree, Binary Tree</t>
        </is>
      </c>
      <c r="G2670" s="1" t="inlineStr">
        <is>
          <t>Hard</t>
        </is>
      </c>
      <c r="H2670" s="1" t="n">
        <v>14832</v>
      </c>
      <c r="I2670" s="1" t="n">
        <v>23622</v>
      </c>
      <c r="J2670" s="9" t="n">
        <v>0.628</v>
      </c>
      <c r="K2670" s="1" t="inlineStr">
        <is>
          <t>No</t>
        </is>
      </c>
      <c r="L2670" s="1" t="inlineStr">
        <is>
          <t>No</t>
        </is>
      </c>
      <c r="M2670" s="1" t="inlineStr">
        <is>
          <t>No</t>
        </is>
      </c>
      <c r="N2670" s="1" t="inlineStr">
        <is>
          <t>Algorithms</t>
        </is>
      </c>
      <c r="O26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70" s="11" t="inlineStr">
        <is>
          <t>To Do</t>
        </is>
      </c>
    </row>
    <row r="2671" ht="15.75" customHeight="1" s="12">
      <c r="A2671" s="1" t="n">
        <v>2550</v>
      </c>
      <c r="B2671" s="3">
        <f>HYPERLINK("https://leetcode.com/problems/count-collisions-of-monkeys-on-a-polygon/", "Count Collisions of Monkeys on a Polygon")</f>
        <v/>
      </c>
      <c r="C2671" s="1" t="n">
        <v>270</v>
      </c>
      <c r="D2671" s="1" t="n">
        <v>531</v>
      </c>
      <c r="E2671" s="4">
        <f>IF(INDEX(C:C, ROW())+INDEX(D:D, ROW())=0, 0, INDEX(C:C, ROW())/(INDEX(C:C, ROW())+INDEX(D:D, ROW())))</f>
        <v/>
      </c>
      <c r="F2671" s="1" t="inlineStr">
        <is>
          <t>Math, Recursion</t>
        </is>
      </c>
      <c r="G2671" s="1" t="inlineStr">
        <is>
          <t>Medium</t>
        </is>
      </c>
      <c r="H2671" s="1" t="n">
        <v>27352</v>
      </c>
      <c r="I2671" s="1" t="n">
        <v>90930</v>
      </c>
      <c r="J2671" s="9" t="n">
        <v>0.301</v>
      </c>
      <c r="K2671" s="1" t="inlineStr">
        <is>
          <t>Yes</t>
        </is>
      </c>
      <c r="L2671" s="1" t="inlineStr">
        <is>
          <t>No</t>
        </is>
      </c>
      <c r="M2671" s="1" t="inlineStr">
        <is>
          <t>No</t>
        </is>
      </c>
      <c r="N2671" s="1" t="inlineStr">
        <is>
          <t>Algorithms</t>
        </is>
      </c>
      <c r="O26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71" s="11" t="inlineStr">
        <is>
          <t>To Do</t>
        </is>
      </c>
    </row>
    <row r="2672" ht="15.75" customHeight="1" s="12">
      <c r="A2672" s="1" t="n">
        <v>3474</v>
      </c>
      <c r="B2672" s="3">
        <f>HYPERLINK("https://leetcode.com/problems/lexicographically-smallest-generated-string/", "Lexicographically Smallest Generated String")</f>
        <v/>
      </c>
      <c r="C2672" s="1" t="n">
        <v>270</v>
      </c>
      <c r="D2672" s="1" t="n">
        <v>40</v>
      </c>
      <c r="E2672" s="4">
        <f>IF(INDEX(C:C, ROW())+INDEX(D:D, ROW())=0, 0, INDEX(C:C, ROW())/(INDEX(C:C, ROW())+INDEX(D:D, ROW())))</f>
        <v/>
      </c>
      <c r="F2672" s="1" t="inlineStr">
        <is>
          <t>String, Greedy, String Matching</t>
        </is>
      </c>
      <c r="G2672" s="1" t="inlineStr">
        <is>
          <t>Hard</t>
        </is>
      </c>
      <c r="H2672" s="1" t="n">
        <v>64353</v>
      </c>
      <c r="I2672" s="1" t="n">
        <v>120288</v>
      </c>
      <c r="J2672" s="9" t="n">
        <v>0.535</v>
      </c>
      <c r="K2672" s="1" t="inlineStr">
        <is>
          <t>Yes</t>
        </is>
      </c>
      <c r="L2672" s="1" t="inlineStr">
        <is>
          <t>Yes</t>
        </is>
      </c>
      <c r="M2672" s="1" t="inlineStr">
        <is>
          <t>No</t>
        </is>
      </c>
      <c r="N2672" s="1" t="inlineStr">
        <is>
          <t>Algorithms</t>
        </is>
      </c>
      <c r="O26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72" s="11" t="inlineStr">
        <is>
          <t>To Do</t>
        </is>
      </c>
    </row>
    <row r="2673" ht="15.75" customHeight="1" s="12">
      <c r="A2673" s="1" t="n">
        <v>1264</v>
      </c>
      <c r="B2673" s="3">
        <f>HYPERLINK("https://leetcode.com/problems/page-recommendations/", "Page Recommendations")</f>
        <v/>
      </c>
      <c r="C2673" s="1" t="n">
        <v>266</v>
      </c>
      <c r="D2673" s="1" t="n">
        <v>27</v>
      </c>
      <c r="E2673" s="4">
        <f>IF(INDEX(C:C, ROW())+INDEX(D:D, ROW())=0, 0, INDEX(C:C, ROW())/(INDEX(C:C, ROW())+INDEX(D:D, ROW())))</f>
        <v/>
      </c>
      <c r="F2673" s="1" t="inlineStr">
        <is>
          <t>Database</t>
        </is>
      </c>
      <c r="G2673" s="1" t="inlineStr">
        <is>
          <t>Medium</t>
        </is>
      </c>
      <c r="H2673" s="1" t="n">
        <v>54642</v>
      </c>
      <c r="I2673" s="1" t="n">
        <v>83521</v>
      </c>
      <c r="J2673" s="9" t="n">
        <v>0.654</v>
      </c>
      <c r="K2673" s="1" t="inlineStr">
        <is>
          <t>No</t>
        </is>
      </c>
      <c r="L2673" s="1" t="inlineStr">
        <is>
          <t>No</t>
        </is>
      </c>
      <c r="M2673" s="1" t="inlineStr">
        <is>
          <t>No</t>
        </is>
      </c>
      <c r="N2673" s="1" t="inlineStr">
        <is>
          <t>Database</t>
        </is>
      </c>
      <c r="O26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73" s="11" t="inlineStr">
        <is>
          <t>To Do</t>
        </is>
      </c>
    </row>
    <row r="2674" ht="15.75" customHeight="1" s="12">
      <c r="A2674" s="1" t="n">
        <v>3130</v>
      </c>
      <c r="B2674" s="3">
        <f>HYPERLINK("https://leetcode.com/problems/find-all-possible-stable-binary-arrays-ii/", "Find All Possible Stable Binary Arrays II")</f>
        <v/>
      </c>
      <c r="C2674" s="1" t="n">
        <v>266</v>
      </c>
      <c r="D2674" s="1" t="n">
        <v>30</v>
      </c>
      <c r="E2674" s="4">
        <f>IF(INDEX(C:C, ROW())+INDEX(D:D, ROW())=0, 0, INDEX(C:C, ROW())/(INDEX(C:C, ROW())+INDEX(D:D, ROW())))</f>
        <v/>
      </c>
      <c r="F2674" s="1" t="inlineStr">
        <is>
          <t>Dynamic Programming, Prefix Sum</t>
        </is>
      </c>
      <c r="G2674" s="1" t="inlineStr">
        <is>
          <t>Hard</t>
        </is>
      </c>
      <c r="H2674" s="1" t="n">
        <v>67201</v>
      </c>
      <c r="I2674" s="1" t="n">
        <v>114041</v>
      </c>
      <c r="J2674" s="9" t="n">
        <v>0.589</v>
      </c>
      <c r="K2674" s="1" t="inlineStr">
        <is>
          <t>Yes</t>
        </is>
      </c>
      <c r="L2674" s="1" t="inlineStr">
        <is>
          <t>Yes</t>
        </is>
      </c>
      <c r="M2674" s="1" t="inlineStr">
        <is>
          <t>No</t>
        </is>
      </c>
      <c r="N2674" s="1" t="inlineStr">
        <is>
          <t>Algorithms</t>
        </is>
      </c>
      <c r="O26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74" s="11" t="inlineStr">
        <is>
          <t>To Do</t>
        </is>
      </c>
    </row>
    <row r="2675" ht="15.75" customHeight="1" s="12">
      <c r="A2675" s="1" t="n">
        <v>2543</v>
      </c>
      <c r="B2675" s="3">
        <f>HYPERLINK("https://leetcode.com/problems/check-if-point-is-reachable/", "Check if Point Is Reachable")</f>
        <v/>
      </c>
      <c r="C2675" s="1" t="n">
        <v>264</v>
      </c>
      <c r="D2675" s="1" t="n">
        <v>52</v>
      </c>
      <c r="E2675" s="4">
        <f>IF(INDEX(C:C, ROW())+INDEX(D:D, ROW())=0, 0, INDEX(C:C, ROW())/(INDEX(C:C, ROW())+INDEX(D:D, ROW())))</f>
        <v/>
      </c>
      <c r="F2675" s="1" t="inlineStr">
        <is>
          <t>Math, Number Theory</t>
        </is>
      </c>
      <c r="G2675" s="1" t="inlineStr">
        <is>
          <t>Hard</t>
        </is>
      </c>
      <c r="H2675" s="1" t="n">
        <v>10976</v>
      </c>
      <c r="I2675" s="1" t="n">
        <v>24384</v>
      </c>
      <c r="J2675" s="9" t="n">
        <v>0.45</v>
      </c>
      <c r="K2675" s="1" t="inlineStr">
        <is>
          <t>Yes</t>
        </is>
      </c>
      <c r="L2675" s="1" t="inlineStr">
        <is>
          <t>No</t>
        </is>
      </c>
      <c r="M2675" s="1" t="inlineStr">
        <is>
          <t>No</t>
        </is>
      </c>
      <c r="N2675" s="1" t="inlineStr">
        <is>
          <t>Algorithms</t>
        </is>
      </c>
      <c r="O26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75" s="11" t="inlineStr">
        <is>
          <t>To Do</t>
        </is>
      </c>
    </row>
    <row r="2676" ht="15.75" customHeight="1" s="12">
      <c r="A2676" s="1" t="n">
        <v>3035</v>
      </c>
      <c r="B2676" s="3">
        <f>HYPERLINK("https://leetcode.com/problems/maximum-palindromes-after-operations/", "Maximum Palindromes After Operations")</f>
        <v/>
      </c>
      <c r="C2676" s="1" t="n">
        <v>264</v>
      </c>
      <c r="D2676" s="1" t="n">
        <v>12</v>
      </c>
      <c r="E2676" s="4">
        <f>IF(INDEX(C:C, ROW())+INDEX(D:D, ROW())=0, 0, INDEX(C:C, ROW())/(INDEX(C:C, ROW())+INDEX(D:D, ROW())))</f>
        <v/>
      </c>
      <c r="F2676" s="1" t="inlineStr">
        <is>
          <t>Array, Hash Table, String, Greedy, Sorting, Counting</t>
        </is>
      </c>
      <c r="G2676" s="1" t="inlineStr">
        <is>
          <t>Medium</t>
        </is>
      </c>
      <c r="H2676" s="1" t="n">
        <v>22122</v>
      </c>
      <c r="I2676" s="1" t="n">
        <v>47693</v>
      </c>
      <c r="J2676" s="9" t="n">
        <v>0.464</v>
      </c>
      <c r="K2676" s="1" t="inlineStr">
        <is>
          <t>Yes</t>
        </is>
      </c>
      <c r="L2676" s="1" t="inlineStr">
        <is>
          <t>No</t>
        </is>
      </c>
      <c r="M2676" s="1" t="inlineStr">
        <is>
          <t>No</t>
        </is>
      </c>
      <c r="N2676" s="1" t="inlineStr">
        <is>
          <t>Algorithms</t>
        </is>
      </c>
      <c r="O26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76" s="11" t="inlineStr">
        <is>
          <t>To Do</t>
        </is>
      </c>
    </row>
    <row r="2677" ht="15.75" customHeight="1" s="12">
      <c r="A2677" s="1" t="n">
        <v>3625</v>
      </c>
      <c r="B2677" s="3">
        <f>HYPERLINK("https://leetcode.com/problems/count-number-of-trapezoids-ii/", "Count Number of Trapezoids II")</f>
        <v/>
      </c>
      <c r="C2677" s="1" t="n">
        <v>264</v>
      </c>
      <c r="D2677" s="1" t="n">
        <v>98</v>
      </c>
      <c r="E2677" s="4">
        <f>IF(INDEX(C:C, ROW())+INDEX(D:D, ROW())=0, 0, INDEX(C:C, ROW())/(INDEX(C:C, ROW())+INDEX(D:D, ROW())))</f>
        <v/>
      </c>
      <c r="F2677" s="1" t="inlineStr">
        <is>
          <t>Array, Hash Table, Math, Geometry</t>
        </is>
      </c>
      <c r="G2677" s="1" t="inlineStr">
        <is>
          <t>Hard</t>
        </is>
      </c>
      <c r="H2677" s="1" t="n">
        <v>58111</v>
      </c>
      <c r="I2677" s="1" t="n">
        <v>145735</v>
      </c>
      <c r="J2677" s="9" t="n">
        <v>0.399</v>
      </c>
      <c r="K2677" s="1" t="inlineStr">
        <is>
          <t>Yes</t>
        </is>
      </c>
      <c r="L2677" s="1" t="inlineStr">
        <is>
          <t>Yes</t>
        </is>
      </c>
      <c r="M2677" s="1" t="inlineStr">
        <is>
          <t>No</t>
        </is>
      </c>
      <c r="N2677" s="1" t="inlineStr">
        <is>
          <t>Algorithms</t>
        </is>
      </c>
      <c r="O26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77" s="11" t="inlineStr">
        <is>
          <t>To Do</t>
        </is>
      </c>
    </row>
    <row r="2678" ht="15.75" customHeight="1" s="12">
      <c r="A2678" s="1" t="n">
        <v>1533</v>
      </c>
      <c r="B2678" s="3">
        <f>HYPERLINK("https://leetcode.com/problems/find-the-index-of-the-large-integer/", "Find the Index of the Large Integer")</f>
        <v/>
      </c>
      <c r="C2678" s="1" t="n">
        <v>263</v>
      </c>
      <c r="D2678" s="1" t="n">
        <v>36</v>
      </c>
      <c r="E2678" s="4">
        <f>IF(INDEX(C:C, ROW())+INDEX(D:D, ROW())=0, 0, INDEX(C:C, ROW())/(INDEX(C:C, ROW())+INDEX(D:D, ROW())))</f>
        <v/>
      </c>
      <c r="F2678" s="1" t="inlineStr">
        <is>
          <t>Array, Binary Search, Interactive</t>
        </is>
      </c>
      <c r="G2678" s="1" t="inlineStr">
        <is>
          <t>Medium</t>
        </is>
      </c>
      <c r="H2678" s="1" t="n">
        <v>18267</v>
      </c>
      <c r="I2678" s="1" t="n">
        <v>32285</v>
      </c>
      <c r="J2678" s="9" t="n">
        <v>0.5659999999999999</v>
      </c>
      <c r="K2678" s="1" t="inlineStr">
        <is>
          <t>No</t>
        </is>
      </c>
      <c r="L2678" s="1" t="inlineStr">
        <is>
          <t>Yes</t>
        </is>
      </c>
      <c r="M2678" s="1" t="inlineStr">
        <is>
          <t>No</t>
        </is>
      </c>
      <c r="N2678" s="1" t="inlineStr">
        <is>
          <t>Algorithms</t>
        </is>
      </c>
      <c r="O26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78" s="11" t="inlineStr">
        <is>
          <t>To Do</t>
        </is>
      </c>
    </row>
    <row r="2679" ht="15.75" customHeight="1" s="12">
      <c r="A2679" s="1" t="n">
        <v>2546</v>
      </c>
      <c r="B2679" s="3">
        <f>HYPERLINK("https://leetcode.com/problems/apply-bitwise-operations-to-make-strings-equal/", "Apply Bitwise Operations to Make Strings Equal")</f>
        <v/>
      </c>
      <c r="C2679" s="1" t="n">
        <v>263</v>
      </c>
      <c r="D2679" s="1" t="n">
        <v>101</v>
      </c>
      <c r="E2679" s="4">
        <f>IF(INDEX(C:C, ROW())+INDEX(D:D, ROW())=0, 0, INDEX(C:C, ROW())/(INDEX(C:C, ROW())+INDEX(D:D, ROW())))</f>
        <v/>
      </c>
      <c r="F2679" s="1" t="inlineStr">
        <is>
          <t>String, Bit Manipulation</t>
        </is>
      </c>
      <c r="G2679" s="1" t="inlineStr">
        <is>
          <t>Medium</t>
        </is>
      </c>
      <c r="H2679" s="1" t="n">
        <v>22897</v>
      </c>
      <c r="I2679" s="1" t="n">
        <v>53704</v>
      </c>
      <c r="J2679" s="9" t="n">
        <v>0.426</v>
      </c>
      <c r="K2679" s="1" t="inlineStr">
        <is>
          <t>Yes</t>
        </is>
      </c>
      <c r="L2679" s="1" t="inlineStr">
        <is>
          <t>No</t>
        </is>
      </c>
      <c r="M2679" s="1" t="inlineStr">
        <is>
          <t>No</t>
        </is>
      </c>
      <c r="N2679" s="1" t="inlineStr">
        <is>
          <t>Algorithms</t>
        </is>
      </c>
      <c r="O26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79" s="11" t="inlineStr">
        <is>
          <t>To Do</t>
        </is>
      </c>
    </row>
    <row r="2680" ht="15.75" customHeight="1" s="12">
      <c r="A2680" s="1" t="n">
        <v>2729</v>
      </c>
      <c r="B2680" s="3">
        <f>HYPERLINK("https://leetcode.com/problems/check-if-the-number-is-fascinating/", "Check if The Number is Fascinating")</f>
        <v/>
      </c>
      <c r="C2680" s="1" t="n">
        <v>263</v>
      </c>
      <c r="D2680" s="1" t="n">
        <v>14</v>
      </c>
      <c r="E2680" s="4">
        <f>IF(INDEX(C:C, ROW())+INDEX(D:D, ROW())=0, 0, INDEX(C:C, ROW())/(INDEX(C:C, ROW())+INDEX(D:D, ROW())))</f>
        <v/>
      </c>
      <c r="F2680" s="1" t="inlineStr">
        <is>
          <t>Hash Table, Math</t>
        </is>
      </c>
      <c r="G2680" s="1" t="inlineStr">
        <is>
          <t>Easy</t>
        </is>
      </c>
      <c r="H2680" s="1" t="n">
        <v>62724</v>
      </c>
      <c r="I2680" s="1" t="n">
        <v>118211</v>
      </c>
      <c r="J2680" s="9" t="n">
        <v>0.531</v>
      </c>
      <c r="K2680" s="1" t="inlineStr">
        <is>
          <t>Yes</t>
        </is>
      </c>
      <c r="L2680" s="1" t="inlineStr">
        <is>
          <t>No</t>
        </is>
      </c>
      <c r="M2680" s="1" t="inlineStr">
        <is>
          <t>No</t>
        </is>
      </c>
      <c r="N2680" s="1" t="inlineStr">
        <is>
          <t>Algorithms</t>
        </is>
      </c>
      <c r="O26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80" s="13" t="inlineStr">
        <is>
          <t>Done</t>
        </is>
      </c>
    </row>
    <row r="2681" ht="15.75" customHeight="1" s="12">
      <c r="A2681" s="1" t="n">
        <v>3113</v>
      </c>
      <c r="B2681" s="3">
        <f>HYPERLINK("https://leetcode.com/problems/find-the-number-of-subarrays-where-boundary-elements-are-maximum/", "Find the Number of Subarrays Where Boundary Elements Are Maximum")</f>
        <v/>
      </c>
      <c r="C2681" s="1" t="n">
        <v>263</v>
      </c>
      <c r="D2681" s="1" t="n">
        <v>6</v>
      </c>
      <c r="E2681" s="4">
        <f>IF(INDEX(C:C, ROW())+INDEX(D:D, ROW())=0, 0, INDEX(C:C, ROW())/(INDEX(C:C, ROW())+INDEX(D:D, ROW())))</f>
        <v/>
      </c>
      <c r="F2681" s="1" t="inlineStr">
        <is>
          <t>Array, Binary Search, Stack, Monotonic Stack</t>
        </is>
      </c>
      <c r="G2681" s="1" t="inlineStr">
        <is>
          <t>Hard</t>
        </is>
      </c>
      <c r="H2681" s="1" t="n">
        <v>14839</v>
      </c>
      <c r="I2681" s="1" t="n">
        <v>44677</v>
      </c>
      <c r="J2681" s="9" t="n">
        <v>0.332</v>
      </c>
      <c r="K2681" s="1" t="inlineStr">
        <is>
          <t>Yes</t>
        </is>
      </c>
      <c r="L2681" s="1" t="inlineStr">
        <is>
          <t>No</t>
        </is>
      </c>
      <c r="M2681" s="1" t="inlineStr">
        <is>
          <t>No</t>
        </is>
      </c>
      <c r="N2681" s="1" t="inlineStr">
        <is>
          <t>Algorithms</t>
        </is>
      </c>
      <c r="O26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81" s="11" t="inlineStr">
        <is>
          <t>To Do</t>
        </is>
      </c>
    </row>
    <row r="2682" ht="15.75" customHeight="1" s="12">
      <c r="A2682" s="1" t="n">
        <v>1596</v>
      </c>
      <c r="B2682" s="3">
        <f>HYPERLINK("https://leetcode.com/problems/the-most-frequently-ordered-products-for-each-customer/", "The Most Frequently Ordered Products for Each Customer")</f>
        <v/>
      </c>
      <c r="C2682" s="1" t="n">
        <v>262</v>
      </c>
      <c r="D2682" s="1" t="n">
        <v>17</v>
      </c>
      <c r="E2682" s="4">
        <f>IF(INDEX(C:C, ROW())+INDEX(D:D, ROW())=0, 0, INDEX(C:C, ROW())/(INDEX(C:C, ROW())+INDEX(D:D, ROW())))</f>
        <v/>
      </c>
      <c r="F2682" s="1" t="inlineStr">
        <is>
          <t>Database</t>
        </is>
      </c>
      <c r="G2682" s="1" t="inlineStr">
        <is>
          <t>Medium</t>
        </is>
      </c>
      <c r="H2682" s="1" t="n">
        <v>45949</v>
      </c>
      <c r="I2682" s="1" t="n">
        <v>59129</v>
      </c>
      <c r="J2682" s="9" t="n">
        <v>0.777</v>
      </c>
      <c r="K2682" s="1" t="inlineStr">
        <is>
          <t>No</t>
        </is>
      </c>
      <c r="L2682" s="1" t="inlineStr">
        <is>
          <t>No</t>
        </is>
      </c>
      <c r="M2682" s="1" t="inlineStr">
        <is>
          <t>No</t>
        </is>
      </c>
      <c r="N2682" s="1" t="inlineStr">
        <is>
          <t>Database</t>
        </is>
      </c>
      <c r="O26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82" s="11" t="inlineStr">
        <is>
          <t>To Do</t>
        </is>
      </c>
    </row>
    <row r="2683" ht="15.75" customHeight="1" s="12">
      <c r="A2683" s="1" t="n">
        <v>2953</v>
      </c>
      <c r="B2683" s="3">
        <f>HYPERLINK("https://leetcode.com/problems/count-complete-substrings/", "Count Complete Substrings")</f>
        <v/>
      </c>
      <c r="C2683" s="1" t="n">
        <v>262</v>
      </c>
      <c r="D2683" s="1" t="n">
        <v>41</v>
      </c>
      <c r="E2683" s="4">
        <f>IF(INDEX(C:C, ROW())+INDEX(D:D, ROW())=0, 0, INDEX(C:C, ROW())/(INDEX(C:C, ROW())+INDEX(D:D, ROW())))</f>
        <v/>
      </c>
      <c r="F2683" s="1" t="inlineStr">
        <is>
          <t>Hash Table, String, Sliding Window</t>
        </is>
      </c>
      <c r="G2683" s="1" t="inlineStr">
        <is>
          <t>Hard</t>
        </is>
      </c>
      <c r="H2683" s="1" t="n">
        <v>11278</v>
      </c>
      <c r="I2683" s="1" t="n">
        <v>37218</v>
      </c>
      <c r="J2683" s="9" t="n">
        <v>0.303</v>
      </c>
      <c r="K2683" s="1" t="inlineStr">
        <is>
          <t>Yes</t>
        </is>
      </c>
      <c r="L2683" s="1" t="inlineStr">
        <is>
          <t>No</t>
        </is>
      </c>
      <c r="M2683" s="1" t="inlineStr">
        <is>
          <t>No</t>
        </is>
      </c>
      <c r="N2683" s="1" t="inlineStr">
        <is>
          <t>Algorithms</t>
        </is>
      </c>
      <c r="O26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83" s="11" t="inlineStr">
        <is>
          <t>To Do</t>
        </is>
      </c>
    </row>
    <row r="2684" ht="15.75" customHeight="1" s="12">
      <c r="A2684" s="1" t="n">
        <v>656</v>
      </c>
      <c r="B2684" s="3">
        <f>HYPERLINK("https://leetcode.com/problems/coin-path/", "Coin Path")</f>
        <v/>
      </c>
      <c r="C2684" s="1" t="n">
        <v>261</v>
      </c>
      <c r="D2684" s="1" t="n">
        <v>115</v>
      </c>
      <c r="E2684" s="4">
        <f>IF(INDEX(C:C, ROW())+INDEX(D:D, ROW())=0, 0, INDEX(C:C, ROW())/(INDEX(C:C, ROW())+INDEX(D:D, ROW())))</f>
        <v/>
      </c>
      <c r="F2684" s="1" t="inlineStr">
        <is>
          <t>Array, Dynamic Programming</t>
        </is>
      </c>
      <c r="G2684" s="1" t="inlineStr">
        <is>
          <t>Hard</t>
        </is>
      </c>
      <c r="H2684" s="1" t="n">
        <v>17324</v>
      </c>
      <c r="I2684" s="1" t="n">
        <v>50524</v>
      </c>
      <c r="J2684" s="9" t="n">
        <v>0.343</v>
      </c>
      <c r="K2684" s="1" t="inlineStr">
        <is>
          <t>No</t>
        </is>
      </c>
      <c r="L2684" s="1" t="inlineStr">
        <is>
          <t>Yes</t>
        </is>
      </c>
      <c r="M2684" s="1" t="inlineStr">
        <is>
          <t>No</t>
        </is>
      </c>
      <c r="N2684" s="1" t="inlineStr">
        <is>
          <t>Algorithms</t>
        </is>
      </c>
      <c r="O26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84" s="11" t="inlineStr">
        <is>
          <t>To Do</t>
        </is>
      </c>
    </row>
    <row r="2685" ht="15.75" customHeight="1" s="12">
      <c r="A2685" s="1" t="n">
        <v>2029</v>
      </c>
      <c r="B2685" s="3">
        <f>HYPERLINK("https://leetcode.com/problems/stone-game-ix/", "Stone Game IX")</f>
        <v/>
      </c>
      <c r="C2685" s="1" t="n">
        <v>261</v>
      </c>
      <c r="D2685" s="1" t="n">
        <v>280</v>
      </c>
      <c r="E2685" s="4">
        <f>IF(INDEX(C:C, ROW())+INDEX(D:D, ROW())=0, 0, INDEX(C:C, ROW())/(INDEX(C:C, ROW())+INDEX(D:D, ROW())))</f>
        <v/>
      </c>
      <c r="F2685" s="1" t="inlineStr">
        <is>
          <t>Array, Math, Greedy, Counting, Game Theory</t>
        </is>
      </c>
      <c r="G2685" s="1" t="inlineStr">
        <is>
          <t>Medium</t>
        </is>
      </c>
      <c r="H2685" s="1" t="n">
        <v>11819</v>
      </c>
      <c r="I2685" s="1" t="n">
        <v>39103</v>
      </c>
      <c r="J2685" s="9" t="n">
        <v>0.302</v>
      </c>
      <c r="K2685" s="1" t="inlineStr">
        <is>
          <t>Yes</t>
        </is>
      </c>
      <c r="L2685" s="1" t="inlineStr">
        <is>
          <t>No</t>
        </is>
      </c>
      <c r="M2685" s="1" t="inlineStr">
        <is>
          <t>No</t>
        </is>
      </c>
      <c r="N2685" s="1" t="inlineStr">
        <is>
          <t>Algorithms</t>
        </is>
      </c>
      <c r="O26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85" s="11" t="inlineStr">
        <is>
          <t>To Do</t>
        </is>
      </c>
    </row>
    <row r="2686" ht="15.75" customHeight="1" s="12">
      <c r="A2686" s="1" t="n">
        <v>2721</v>
      </c>
      <c r="B2686" s="3">
        <f>HYPERLINK("https://leetcode.com/problems/execute-asynchronous-functions-in-parallel/", "Execute Asynchronous Functions in Parallel")</f>
        <v/>
      </c>
      <c r="C2686" s="1" t="n">
        <v>260</v>
      </c>
      <c r="D2686" s="1" t="n">
        <v>49</v>
      </c>
      <c r="E2686" s="4">
        <f>IF(INDEX(C:C, ROW())+INDEX(D:D, ROW())=0, 0, INDEX(C:C, ROW())/(INDEX(C:C, ROW())+INDEX(D:D, ROW())))</f>
        <v/>
      </c>
      <c r="F2686" s="2" t="n"/>
      <c r="G2686" s="1" t="inlineStr">
        <is>
          <t>Medium</t>
        </is>
      </c>
      <c r="H2686" s="1" t="n">
        <v>55668</v>
      </c>
      <c r="I2686" s="1" t="n">
        <v>70895</v>
      </c>
      <c r="J2686" s="9" t="n">
        <v>0.785</v>
      </c>
      <c r="K2686" s="1" t="inlineStr">
        <is>
          <t>Yes</t>
        </is>
      </c>
      <c r="L2686" s="1" t="inlineStr">
        <is>
          <t>Yes</t>
        </is>
      </c>
      <c r="M2686" s="1" t="inlineStr">
        <is>
          <t>No</t>
        </is>
      </c>
      <c r="N2686" s="1" t="inlineStr">
        <is>
          <t>JavaScript</t>
        </is>
      </c>
      <c r="O26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86" s="11" t="inlineStr">
        <is>
          <t>To Do</t>
        </is>
      </c>
    </row>
    <row r="2687" ht="15.75" customHeight="1" s="12">
      <c r="A2687" s="1" t="n">
        <v>3655</v>
      </c>
      <c r="B2687" s="3">
        <f>HYPERLINK("https://leetcode.com/problems/xor-after-range-multiplication-queries-ii/", "XOR After Range Multiplication Queries II")</f>
        <v/>
      </c>
      <c r="C2687" s="1" t="n">
        <v>260</v>
      </c>
      <c r="D2687" s="1" t="n">
        <v>44</v>
      </c>
      <c r="E2687" s="4">
        <f>IF(INDEX(C:C, ROW())+INDEX(D:D, ROW())=0, 0, INDEX(C:C, ROW())/(INDEX(C:C, ROW())+INDEX(D:D, ROW())))</f>
        <v/>
      </c>
      <c r="F2687" s="1" t="inlineStr">
        <is>
          <t>Array, Divide and Conquer</t>
        </is>
      </c>
      <c r="G2687" s="1" t="inlineStr">
        <is>
          <t>Hard</t>
        </is>
      </c>
      <c r="H2687" s="1" t="n">
        <v>69090</v>
      </c>
      <c r="I2687" s="1" t="n">
        <v>144685</v>
      </c>
      <c r="J2687" s="9" t="n">
        <v>0.478</v>
      </c>
      <c r="K2687" s="1" t="inlineStr">
        <is>
          <t>Yes</t>
        </is>
      </c>
      <c r="L2687" s="1" t="inlineStr">
        <is>
          <t>Yes</t>
        </is>
      </c>
      <c r="M2687" s="1" t="inlineStr">
        <is>
          <t>No</t>
        </is>
      </c>
      <c r="N2687" s="1" t="inlineStr">
        <is>
          <t>Algorithms</t>
        </is>
      </c>
      <c r="O26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87" s="11" t="inlineStr">
        <is>
          <t>To Do</t>
        </is>
      </c>
    </row>
    <row r="2688" ht="15.75" customHeight="1" s="12">
      <c r="A2688" s="1" t="n">
        <v>3090</v>
      </c>
      <c r="B2688" s="3">
        <f>HYPERLINK("https://leetcode.com/problems/maximum-length-substring-with-two-occurrences/", "Maximum Length Substring With Two Occurrences")</f>
        <v/>
      </c>
      <c r="C2688" s="1" t="n">
        <v>259</v>
      </c>
      <c r="D2688" s="1" t="n">
        <v>22</v>
      </c>
      <c r="E2688" s="4">
        <f>IF(INDEX(C:C, ROW())+INDEX(D:D, ROW())=0, 0, INDEX(C:C, ROW())/(INDEX(C:C, ROW())+INDEX(D:D, ROW())))</f>
        <v/>
      </c>
      <c r="F2688" s="1" t="inlineStr">
        <is>
          <t>Hash Table, String, Sliding Window</t>
        </is>
      </c>
      <c r="G2688" s="1" t="inlineStr">
        <is>
          <t>Easy</t>
        </is>
      </c>
      <c r="H2688" s="1" t="n">
        <v>64727</v>
      </c>
      <c r="I2688" s="1" t="n">
        <v>98874</v>
      </c>
      <c r="J2688" s="9" t="n">
        <v>0.655</v>
      </c>
      <c r="K2688" s="1" t="inlineStr">
        <is>
          <t>Yes</t>
        </is>
      </c>
      <c r="L2688" s="1" t="inlineStr">
        <is>
          <t>No</t>
        </is>
      </c>
      <c r="M2688" s="1" t="inlineStr">
        <is>
          <t>No</t>
        </is>
      </c>
      <c r="N2688" s="1" t="inlineStr">
        <is>
          <t>Algorithms</t>
        </is>
      </c>
      <c r="O26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88" s="13" t="inlineStr">
        <is>
          <t>Done</t>
        </is>
      </c>
    </row>
    <row r="2689" ht="15.75" customHeight="1" s="12">
      <c r="A2689" s="1" t="n">
        <v>1033</v>
      </c>
      <c r="B2689" s="3">
        <f>HYPERLINK("https://leetcode.com/problems/moving-stones-until-consecutive/", "Moving Stones Until Consecutive")</f>
        <v/>
      </c>
      <c r="C2689" s="1" t="n">
        <v>258</v>
      </c>
      <c r="D2689" s="1" t="n">
        <v>658</v>
      </c>
      <c r="E2689" s="4">
        <f>IF(INDEX(C:C, ROW())+INDEX(D:D, ROW())=0, 0, INDEX(C:C, ROW())/(INDEX(C:C, ROW())+INDEX(D:D, ROW())))</f>
        <v/>
      </c>
      <c r="F2689" s="1" t="inlineStr">
        <is>
          <t>Math, Brainteaser</t>
        </is>
      </c>
      <c r="G2689" s="1" t="inlineStr">
        <is>
          <t>Medium</t>
        </is>
      </c>
      <c r="H2689" s="1" t="n">
        <v>34631</v>
      </c>
      <c r="I2689" s="1" t="n">
        <v>66246</v>
      </c>
      <c r="J2689" s="9" t="n">
        <v>0.523</v>
      </c>
      <c r="K2689" s="1" t="inlineStr">
        <is>
          <t>Yes</t>
        </is>
      </c>
      <c r="L2689" s="1" t="inlineStr">
        <is>
          <t>No</t>
        </is>
      </c>
      <c r="M2689" s="1" t="inlineStr">
        <is>
          <t>No</t>
        </is>
      </c>
      <c r="N2689" s="1" t="inlineStr">
        <is>
          <t>Algorithms</t>
        </is>
      </c>
      <c r="O26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89" s="11" t="inlineStr">
        <is>
          <t>To Do</t>
        </is>
      </c>
    </row>
    <row r="2690" ht="15.75" customHeight="1" s="12">
      <c r="A2690" s="1" t="n">
        <v>1960</v>
      </c>
      <c r="B2690" s="3">
        <f>HYPERLINK("https://leetcode.com/problems/maximum-product-of-the-length-of-two-palindromic-substrings/", "Maximum Product of the Length of Two Palindromic Substrings")</f>
        <v/>
      </c>
      <c r="C2690" s="1" t="n">
        <v>258</v>
      </c>
      <c r="D2690" s="1" t="n">
        <v>43</v>
      </c>
      <c r="E2690" s="4">
        <f>IF(INDEX(C:C, ROW())+INDEX(D:D, ROW())=0, 0, INDEX(C:C, ROW())/(INDEX(C:C, ROW())+INDEX(D:D, ROW())))</f>
        <v/>
      </c>
      <c r="F2690" s="1" t="inlineStr">
        <is>
          <t>Two Pointers, String, Rolling Hash, Hash Function</t>
        </is>
      </c>
      <c r="G2690" s="1" t="inlineStr">
        <is>
          <t>Hard</t>
        </is>
      </c>
      <c r="H2690" s="1" t="n">
        <v>5107</v>
      </c>
      <c r="I2690" s="1" t="n">
        <v>16478</v>
      </c>
      <c r="J2690" s="9" t="n">
        <v>0.31</v>
      </c>
      <c r="K2690" s="1" t="inlineStr">
        <is>
          <t>Yes</t>
        </is>
      </c>
      <c r="L2690" s="1" t="inlineStr">
        <is>
          <t>No</t>
        </is>
      </c>
      <c r="M2690" s="1" t="inlineStr">
        <is>
          <t>No</t>
        </is>
      </c>
      <c r="N2690" s="1" t="inlineStr">
        <is>
          <t>Algorithms</t>
        </is>
      </c>
      <c r="O26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90" s="11" t="inlineStr">
        <is>
          <t>To Do</t>
        </is>
      </c>
    </row>
    <row r="2691" ht="15.75" customHeight="1" s="12">
      <c r="A2691" s="1" t="n">
        <v>1874</v>
      </c>
      <c r="B2691" s="3">
        <f>HYPERLINK("https://leetcode.com/problems/minimize-product-sum-of-two-arrays/", "Minimize Product Sum of Two Arrays")</f>
        <v/>
      </c>
      <c r="C2691" s="1" t="n">
        <v>257</v>
      </c>
      <c r="D2691" s="1" t="n">
        <v>28</v>
      </c>
      <c r="E2691" s="4">
        <f>IF(INDEX(C:C, ROW())+INDEX(D:D, ROW())=0, 0, INDEX(C:C, ROW())/(INDEX(C:C, ROW())+INDEX(D:D, ROW())))</f>
        <v/>
      </c>
      <c r="F2691" s="1" t="inlineStr">
        <is>
          <t>Array, Greedy, Sorting</t>
        </is>
      </c>
      <c r="G2691" s="1" t="inlineStr">
        <is>
          <t>Medium</t>
        </is>
      </c>
      <c r="H2691" s="1" t="n">
        <v>25505</v>
      </c>
      <c r="I2691" s="1" t="n">
        <v>28383</v>
      </c>
      <c r="J2691" s="9" t="n">
        <v>0.899</v>
      </c>
      <c r="K2691" s="1" t="inlineStr">
        <is>
          <t>No</t>
        </is>
      </c>
      <c r="L2691" s="1" t="inlineStr">
        <is>
          <t>Yes</t>
        </is>
      </c>
      <c r="M2691" s="1" t="inlineStr">
        <is>
          <t>No</t>
        </is>
      </c>
      <c r="N2691" s="1" t="inlineStr">
        <is>
          <t>Algorithms</t>
        </is>
      </c>
      <c r="O26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91" s="11" t="inlineStr">
        <is>
          <t>To Do</t>
        </is>
      </c>
    </row>
    <row r="2692" ht="15.75" customHeight="1" s="12">
      <c r="A2692" s="1" t="n">
        <v>2249</v>
      </c>
      <c r="B2692" s="3">
        <f>HYPERLINK("https://leetcode.com/problems/count-lattice-points-inside-a-circle/", "Count Lattice Points Inside a Circle")</f>
        <v/>
      </c>
      <c r="C2692" s="1" t="n">
        <v>257</v>
      </c>
      <c r="D2692" s="1" t="n">
        <v>223</v>
      </c>
      <c r="E2692" s="4">
        <f>IF(INDEX(C:C, ROW())+INDEX(D:D, ROW())=0, 0, INDEX(C:C, ROW())/(INDEX(C:C, ROW())+INDEX(D:D, ROW())))</f>
        <v/>
      </c>
      <c r="F2692" s="1" t="inlineStr">
        <is>
          <t>Array, Hash Table, Math, Geometry, Enumeration</t>
        </is>
      </c>
      <c r="G2692" s="1" t="inlineStr">
        <is>
          <t>Medium</t>
        </is>
      </c>
      <c r="H2692" s="1" t="n">
        <v>32919</v>
      </c>
      <c r="I2692" s="1" t="n">
        <v>58091</v>
      </c>
      <c r="J2692" s="9" t="n">
        <v>0.5669999999999999</v>
      </c>
      <c r="K2692" s="1" t="inlineStr">
        <is>
          <t>Yes</t>
        </is>
      </c>
      <c r="L2692" s="1" t="inlineStr">
        <is>
          <t>No</t>
        </is>
      </c>
      <c r="M2692" s="1" t="inlineStr">
        <is>
          <t>No</t>
        </is>
      </c>
      <c r="N2692" s="1" t="inlineStr">
        <is>
          <t>Algorithms</t>
        </is>
      </c>
      <c r="O26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92" s="11" t="inlineStr">
        <is>
          <t>To Do</t>
        </is>
      </c>
    </row>
    <row r="2693" ht="15.75" customHeight="1" s="12">
      <c r="A2693" s="1" t="n">
        <v>2612</v>
      </c>
      <c r="B2693" s="3">
        <f>HYPERLINK("https://leetcode.com/problems/minimum-reverse-operations/", "Minimum Reverse Operations")</f>
        <v/>
      </c>
      <c r="C2693" s="1" t="n">
        <v>257</v>
      </c>
      <c r="D2693" s="1" t="n">
        <v>74</v>
      </c>
      <c r="E2693" s="4">
        <f>IF(INDEX(C:C, ROW())+INDEX(D:D, ROW())=0, 0, INDEX(C:C, ROW())/(INDEX(C:C, ROW())+INDEX(D:D, ROW())))</f>
        <v/>
      </c>
      <c r="F2693" s="1" t="inlineStr">
        <is>
          <t>Array, Hash Table, Breadth-First Search, Union-Find, Ordered Set</t>
        </is>
      </c>
      <c r="G2693" s="1" t="inlineStr">
        <is>
          <t>Hard</t>
        </is>
      </c>
      <c r="H2693" s="1" t="n">
        <v>7237</v>
      </c>
      <c r="I2693" s="1" t="n">
        <v>42622</v>
      </c>
      <c r="J2693" s="9" t="n">
        <v>0.17</v>
      </c>
      <c r="K2693" s="1" t="inlineStr">
        <is>
          <t>Yes</t>
        </is>
      </c>
      <c r="L2693" s="1" t="inlineStr">
        <is>
          <t>No</t>
        </is>
      </c>
      <c r="M2693" s="1" t="inlineStr">
        <is>
          <t>No</t>
        </is>
      </c>
      <c r="N2693" s="1" t="inlineStr">
        <is>
          <t>Algorithms</t>
        </is>
      </c>
      <c r="O26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93" s="11" t="inlineStr">
        <is>
          <t>To Do</t>
        </is>
      </c>
    </row>
    <row r="2694" ht="15.75" customHeight="1" s="12">
      <c r="A2694" s="1" t="n">
        <v>2682</v>
      </c>
      <c r="B2694" s="3">
        <f>HYPERLINK("https://leetcode.com/problems/find-the-losers-of-the-circular-game/", "Find the Losers of the Circular Game")</f>
        <v/>
      </c>
      <c r="C2694" s="1" t="n">
        <v>257</v>
      </c>
      <c r="D2694" s="1" t="n">
        <v>42</v>
      </c>
      <c r="E2694" s="4">
        <f>IF(INDEX(C:C, ROW())+INDEX(D:D, ROW())=0, 0, INDEX(C:C, ROW())/(INDEX(C:C, ROW())+INDEX(D:D, ROW())))</f>
        <v/>
      </c>
      <c r="F2694" s="1" t="inlineStr">
        <is>
          <t>Array, Hash Table, Simulation</t>
        </is>
      </c>
      <c r="G2694" s="1" t="inlineStr">
        <is>
          <t>Easy</t>
        </is>
      </c>
      <c r="H2694" s="1" t="n">
        <v>34539</v>
      </c>
      <c r="I2694" s="1" t="n">
        <v>69022</v>
      </c>
      <c r="J2694" s="9" t="n">
        <v>0.5</v>
      </c>
      <c r="K2694" s="1" t="inlineStr">
        <is>
          <t>Yes</t>
        </is>
      </c>
      <c r="L2694" s="1" t="inlineStr">
        <is>
          <t>No</t>
        </is>
      </c>
      <c r="M2694" s="1" t="inlineStr">
        <is>
          <t>No</t>
        </is>
      </c>
      <c r="N2694" s="1" t="inlineStr">
        <is>
          <t>Algorithms</t>
        </is>
      </c>
      <c r="O26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94" s="13" t="inlineStr">
        <is>
          <t>Done</t>
        </is>
      </c>
    </row>
    <row r="2695" ht="15.75" customHeight="1" s="12">
      <c r="A2695" s="1" t="n">
        <v>3164</v>
      </c>
      <c r="B2695" s="3">
        <f>HYPERLINK("https://leetcode.com/problems/find-the-number-of-good-pairs-ii/", "Find the Number of Good Pairs II")</f>
        <v/>
      </c>
      <c r="C2695" s="1" t="n">
        <v>257</v>
      </c>
      <c r="D2695" s="1" t="n">
        <v>40</v>
      </c>
      <c r="E2695" s="4">
        <f>IF(INDEX(C:C, ROW())+INDEX(D:D, ROW())=0, 0, INDEX(C:C, ROW())/(INDEX(C:C, ROW())+INDEX(D:D, ROW())))</f>
        <v/>
      </c>
      <c r="F2695" s="1" t="inlineStr">
        <is>
          <t>Array, Hash Table</t>
        </is>
      </c>
      <c r="G2695" s="1" t="inlineStr">
        <is>
          <t>Medium</t>
        </is>
      </c>
      <c r="H2695" s="1" t="n">
        <v>29740</v>
      </c>
      <c r="I2695" s="1" t="n">
        <v>111549</v>
      </c>
      <c r="J2695" s="9" t="n">
        <v>0.267</v>
      </c>
      <c r="K2695" s="1" t="inlineStr">
        <is>
          <t>Yes</t>
        </is>
      </c>
      <c r="L2695" s="1" t="inlineStr">
        <is>
          <t>No</t>
        </is>
      </c>
      <c r="M2695" s="1" t="inlineStr">
        <is>
          <t>No</t>
        </is>
      </c>
      <c r="N2695" s="1" t="inlineStr">
        <is>
          <t>Algorithms</t>
        </is>
      </c>
      <c r="O26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95" s="11" t="inlineStr">
        <is>
          <t>To Do</t>
        </is>
      </c>
    </row>
    <row r="2696" ht="15.75" customHeight="1" s="12">
      <c r="A2696" s="1" t="n">
        <v>3045</v>
      </c>
      <c r="B2696" s="3">
        <f>HYPERLINK("https://leetcode.com/problems/count-prefix-and-suffix-pairs-ii/", "Count Prefix and Suffix Pairs II")</f>
        <v/>
      </c>
      <c r="C2696" s="1" t="n">
        <v>256</v>
      </c>
      <c r="D2696" s="1" t="n">
        <v>12</v>
      </c>
      <c r="E2696" s="4">
        <f>IF(INDEX(C:C, ROW())+INDEX(D:D, ROW())=0, 0, INDEX(C:C, ROW())/(INDEX(C:C, ROW())+INDEX(D:D, ROW())))</f>
        <v/>
      </c>
      <c r="F2696" s="1" t="inlineStr">
        <is>
          <t>Array, String, Trie, Rolling Hash, String Matching, Hash Function</t>
        </is>
      </c>
      <c r="G2696" s="1" t="inlineStr">
        <is>
          <t>Hard</t>
        </is>
      </c>
      <c r="H2696" s="1" t="n">
        <v>17070</v>
      </c>
      <c r="I2696" s="1" t="n">
        <v>60274</v>
      </c>
      <c r="J2696" s="9" t="n">
        <v>0.283</v>
      </c>
      <c r="K2696" s="1" t="inlineStr">
        <is>
          <t>Yes</t>
        </is>
      </c>
      <c r="L2696" s="1" t="inlineStr">
        <is>
          <t>No</t>
        </is>
      </c>
      <c r="M2696" s="1" t="inlineStr">
        <is>
          <t>No</t>
        </is>
      </c>
      <c r="N2696" s="1" t="inlineStr">
        <is>
          <t>Algorithms</t>
        </is>
      </c>
      <c r="O26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96" s="11" t="inlineStr">
        <is>
          <t>To Do</t>
        </is>
      </c>
    </row>
    <row r="2697" ht="15.75" customHeight="1" s="12">
      <c r="A2697" s="1" t="n">
        <v>3224</v>
      </c>
      <c r="B2697" s="3">
        <f>HYPERLINK("https://leetcode.com/problems/minimum-array-changes-to-make-differences-equal/", "Minimum Array Changes to Make Differences Equal")</f>
        <v/>
      </c>
      <c r="C2697" s="1" t="n">
        <v>255</v>
      </c>
      <c r="D2697" s="1" t="n">
        <v>28</v>
      </c>
      <c r="E2697" s="4">
        <f>IF(INDEX(C:C, ROW())+INDEX(D:D, ROW())=0, 0, INDEX(C:C, ROW())/(INDEX(C:C, ROW())+INDEX(D:D, ROW())))</f>
        <v/>
      </c>
      <c r="F2697" s="1" t="inlineStr">
        <is>
          <t>Array, Hash Table, Prefix Sum</t>
        </is>
      </c>
      <c r="G2697" s="1" t="inlineStr">
        <is>
          <t>Medium</t>
        </is>
      </c>
      <c r="H2697" s="1" t="n">
        <v>15497</v>
      </c>
      <c r="I2697" s="1" t="n">
        <v>63319</v>
      </c>
      <c r="J2697" s="9" t="n">
        <v>0.245</v>
      </c>
      <c r="K2697" s="1" t="inlineStr">
        <is>
          <t>Yes</t>
        </is>
      </c>
      <c r="L2697" s="1" t="inlineStr">
        <is>
          <t>No</t>
        </is>
      </c>
      <c r="M2697" s="1" t="inlineStr">
        <is>
          <t>No</t>
        </is>
      </c>
      <c r="N2697" s="1" t="inlineStr">
        <is>
          <t>Algorithms</t>
        </is>
      </c>
      <c r="O26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97" s="11" t="inlineStr">
        <is>
          <t>To Do</t>
        </is>
      </c>
    </row>
    <row r="2698" ht="15.75" customHeight="1" s="12">
      <c r="A2698" s="1" t="n">
        <v>580</v>
      </c>
      <c r="B2698" s="3">
        <f>HYPERLINK("https://leetcode.com/problems/count-student-number-in-departments/", "Count Student Number in Departments")</f>
        <v/>
      </c>
      <c r="C2698" s="1" t="n">
        <v>254</v>
      </c>
      <c r="D2698" s="1" t="n">
        <v>38</v>
      </c>
      <c r="E2698" s="4">
        <f>IF(INDEX(C:C, ROW())+INDEX(D:D, ROW())=0, 0, INDEX(C:C, ROW())/(INDEX(C:C, ROW())+INDEX(D:D, ROW())))</f>
        <v/>
      </c>
      <c r="F2698" s="1" t="inlineStr">
        <is>
          <t>Database</t>
        </is>
      </c>
      <c r="G2698" s="1" t="inlineStr">
        <is>
          <t>Medium</t>
        </is>
      </c>
      <c r="H2698" s="1" t="n">
        <v>78944</v>
      </c>
      <c r="I2698" s="1" t="n">
        <v>131578</v>
      </c>
      <c r="J2698" s="9" t="n">
        <v>0.6</v>
      </c>
      <c r="K2698" s="1" t="inlineStr">
        <is>
          <t>No</t>
        </is>
      </c>
      <c r="L2698" s="1" t="inlineStr">
        <is>
          <t>Yes</t>
        </is>
      </c>
      <c r="M2698" s="1" t="inlineStr">
        <is>
          <t>No</t>
        </is>
      </c>
      <c r="N2698" s="1" t="inlineStr">
        <is>
          <t>Database</t>
        </is>
      </c>
      <c r="O26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98" s="11" t="inlineStr">
        <is>
          <t>To Do</t>
        </is>
      </c>
    </row>
    <row r="2699" ht="15.75" customHeight="1" s="12">
      <c r="A2699" s="1" t="n">
        <v>3116</v>
      </c>
      <c r="B2699" s="3">
        <f>HYPERLINK("https://leetcode.com/problems/kth-smallest-amount-with-single-denomination-combination/", "Kth Smallest Amount With Single Denomination Combination")</f>
        <v/>
      </c>
      <c r="C2699" s="1" t="n">
        <v>254</v>
      </c>
      <c r="D2699" s="1" t="n">
        <v>19</v>
      </c>
      <c r="E2699" s="4">
        <f>IF(INDEX(C:C, ROW())+INDEX(D:D, ROW())=0, 0, INDEX(C:C, ROW())/(INDEX(C:C, ROW())+INDEX(D:D, ROW())))</f>
        <v/>
      </c>
      <c r="F2699" s="1" t="inlineStr">
        <is>
          <t>Array, Math, Binary Search, Bit Manipulation, Combinatorics, Number Theory</t>
        </is>
      </c>
      <c r="G2699" s="1" t="inlineStr">
        <is>
          <t>Hard</t>
        </is>
      </c>
      <c r="H2699" s="1" t="n">
        <v>11862</v>
      </c>
      <c r="I2699" s="1" t="n">
        <v>58836</v>
      </c>
      <c r="J2699" s="9" t="n">
        <v>0.202</v>
      </c>
      <c r="K2699" s="1" t="inlineStr">
        <is>
          <t>Yes</t>
        </is>
      </c>
      <c r="L2699" s="1" t="inlineStr">
        <is>
          <t>No</t>
        </is>
      </c>
      <c r="M2699" s="1" t="inlineStr">
        <is>
          <t>No</t>
        </is>
      </c>
      <c r="N2699" s="1" t="inlineStr">
        <is>
          <t>Algorithms</t>
        </is>
      </c>
      <c r="O26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699" s="11" t="inlineStr">
        <is>
          <t>To Do</t>
        </is>
      </c>
    </row>
    <row r="2700" ht="15.75" customHeight="1" s="12">
      <c r="A2700" s="1" t="n">
        <v>1259</v>
      </c>
      <c r="B2700" s="3">
        <f>HYPERLINK("https://leetcode.com/problems/handshakes-that-dont-cross/", "Handshakes That Don't Cross")</f>
        <v/>
      </c>
      <c r="C2700" s="1" t="n">
        <v>253</v>
      </c>
      <c r="D2700" s="1" t="n">
        <v>17</v>
      </c>
      <c r="E2700" s="4">
        <f>IF(INDEX(C:C, ROW())+INDEX(D:D, ROW())=0, 0, INDEX(C:C, ROW())/(INDEX(C:C, ROW())+INDEX(D:D, ROW())))</f>
        <v/>
      </c>
      <c r="F2700" s="1" t="inlineStr">
        <is>
          <t>Math, Dynamic Programming</t>
        </is>
      </c>
      <c r="G2700" s="1" t="inlineStr">
        <is>
          <t>Hard</t>
        </is>
      </c>
      <c r="H2700" s="1" t="n">
        <v>13862</v>
      </c>
      <c r="I2700" s="1" t="n">
        <v>23140</v>
      </c>
      <c r="J2700" s="9" t="n">
        <v>0.599</v>
      </c>
      <c r="K2700" s="1" t="inlineStr">
        <is>
          <t>No</t>
        </is>
      </c>
      <c r="L2700" s="1" t="inlineStr">
        <is>
          <t>Yes</t>
        </is>
      </c>
      <c r="M2700" s="1" t="inlineStr">
        <is>
          <t>No</t>
        </is>
      </c>
      <c r="N2700" s="1" t="inlineStr">
        <is>
          <t>Algorithms</t>
        </is>
      </c>
      <c r="O27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00" s="11" t="inlineStr">
        <is>
          <t>To Do</t>
        </is>
      </c>
    </row>
    <row r="2701" ht="15.75" customHeight="1" s="12">
      <c r="A2701" s="1" t="n">
        <v>2917</v>
      </c>
      <c r="B2701" s="3">
        <f>HYPERLINK("https://leetcode.com/problems/find-the-k-or-of-an-array/", "Find the K-or of an Array")</f>
        <v/>
      </c>
      <c r="C2701" s="1" t="n">
        <v>253</v>
      </c>
      <c r="D2701" s="1" t="n">
        <v>278</v>
      </c>
      <c r="E2701" s="4">
        <f>IF(INDEX(C:C, ROW())+INDEX(D:D, ROW())=0, 0, INDEX(C:C, ROW())/(INDEX(C:C, ROW())+INDEX(D:D, ROW())))</f>
        <v/>
      </c>
      <c r="F2701" s="1" t="inlineStr">
        <is>
          <t>Array, Bit Manipulation</t>
        </is>
      </c>
      <c r="G2701" s="1" t="inlineStr">
        <is>
          <t>Easy</t>
        </is>
      </c>
      <c r="H2701" s="1" t="n">
        <v>35737</v>
      </c>
      <c r="I2701" s="1" t="n">
        <v>49100</v>
      </c>
      <c r="J2701" s="9" t="n">
        <v>0.728</v>
      </c>
      <c r="K2701" s="1" t="inlineStr">
        <is>
          <t>Yes</t>
        </is>
      </c>
      <c r="L2701" s="1" t="inlineStr">
        <is>
          <t>No</t>
        </is>
      </c>
      <c r="M2701" s="1" t="inlineStr">
        <is>
          <t>No</t>
        </is>
      </c>
      <c r="N2701" s="1" t="inlineStr">
        <is>
          <t>Algorithms</t>
        </is>
      </c>
      <c r="O27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01" s="13" t="inlineStr">
        <is>
          <t>Done</t>
        </is>
      </c>
    </row>
    <row r="2702" ht="15.75" customHeight="1" s="12">
      <c r="A2702" s="1" t="n">
        <v>3742</v>
      </c>
      <c r="B2702" s="3">
        <f>HYPERLINK("https://leetcode.com/problems/maximum-path-score-in-a-grid/", "Maximum Path Score in a Grid")</f>
        <v/>
      </c>
      <c r="C2702" s="1" t="n">
        <v>253</v>
      </c>
      <c r="D2702" s="1" t="n">
        <v>12</v>
      </c>
      <c r="E2702" s="4">
        <f>IF(INDEX(C:C, ROW())+INDEX(D:D, ROW())=0, 0, INDEX(C:C, ROW())/(INDEX(C:C, ROW())+INDEX(D:D, ROW())))</f>
        <v/>
      </c>
      <c r="F2702" s="1" t="inlineStr">
        <is>
          <t>Array, Dynamic Programming, Matrix</t>
        </is>
      </c>
      <c r="G2702" s="1" t="inlineStr">
        <is>
          <t>Medium</t>
        </is>
      </c>
      <c r="H2702" s="1" t="n">
        <v>81468</v>
      </c>
      <c r="I2702" s="1" t="n">
        <v>150836</v>
      </c>
      <c r="J2702" s="9" t="n">
        <v>0.54</v>
      </c>
      <c r="K2702" s="1" t="inlineStr">
        <is>
          <t>Yes</t>
        </is>
      </c>
      <c r="L2702" s="1" t="inlineStr">
        <is>
          <t>Yes</t>
        </is>
      </c>
      <c r="M2702" s="1" t="inlineStr">
        <is>
          <t>No</t>
        </is>
      </c>
      <c r="N2702" s="1" t="inlineStr">
        <is>
          <t>Algorithms</t>
        </is>
      </c>
      <c r="O27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02" s="11" t="inlineStr">
        <is>
          <t>To Do</t>
        </is>
      </c>
    </row>
    <row r="2703" ht="15.75" customHeight="1" s="12">
      <c r="A2703" s="1" t="n">
        <v>2644</v>
      </c>
      <c r="B2703" s="3">
        <f>HYPERLINK("https://leetcode.com/problems/find-the-maximum-divisibility-score/", "Find the Maximum Divisibility Score")</f>
        <v/>
      </c>
      <c r="C2703" s="1" t="n">
        <v>252</v>
      </c>
      <c r="D2703" s="1" t="n">
        <v>66</v>
      </c>
      <c r="E2703" s="4">
        <f>IF(INDEX(C:C, ROW())+INDEX(D:D, ROW())=0, 0, INDEX(C:C, ROW())/(INDEX(C:C, ROW())+INDEX(D:D, ROW())))</f>
        <v/>
      </c>
      <c r="F2703" s="1" t="inlineStr">
        <is>
          <t>Array</t>
        </is>
      </c>
      <c r="G2703" s="1" t="inlineStr">
        <is>
          <t>Easy</t>
        </is>
      </c>
      <c r="H2703" s="1" t="n">
        <v>42843</v>
      </c>
      <c r="I2703" s="1" t="n">
        <v>82584</v>
      </c>
      <c r="J2703" s="9" t="n">
        <v>0.519</v>
      </c>
      <c r="K2703" s="1" t="inlineStr">
        <is>
          <t>Yes</t>
        </is>
      </c>
      <c r="L2703" s="1" t="inlineStr">
        <is>
          <t>No</t>
        </is>
      </c>
      <c r="M2703" s="1" t="inlineStr">
        <is>
          <t>No</t>
        </is>
      </c>
      <c r="N2703" s="1" t="inlineStr">
        <is>
          <t>Algorithms</t>
        </is>
      </c>
      <c r="O27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03" s="13" t="inlineStr">
        <is>
          <t>Done</t>
        </is>
      </c>
    </row>
    <row r="2704" ht="15.75" customHeight="1" s="12">
      <c r="A2704" s="1" t="n">
        <v>1445</v>
      </c>
      <c r="B2704" s="3">
        <f>HYPERLINK("https://leetcode.com/problems/apples-oranges/", "Apples &amp; Oranges")</f>
        <v/>
      </c>
      <c r="C2704" s="1" t="n">
        <v>251</v>
      </c>
      <c r="D2704" s="1" t="n">
        <v>23</v>
      </c>
      <c r="E2704" s="4">
        <f>IF(INDEX(C:C, ROW())+INDEX(D:D, ROW())=0, 0, INDEX(C:C, ROW())/(INDEX(C:C, ROW())+INDEX(D:D, ROW())))</f>
        <v/>
      </c>
      <c r="F2704" s="1" t="inlineStr">
        <is>
          <t>Database</t>
        </is>
      </c>
      <c r="G2704" s="1" t="inlineStr">
        <is>
          <t>Medium</t>
        </is>
      </c>
      <c r="H2704" s="1" t="n">
        <v>66218</v>
      </c>
      <c r="I2704" s="1" t="n">
        <v>76976</v>
      </c>
      <c r="J2704" s="9" t="n">
        <v>0.86</v>
      </c>
      <c r="K2704" s="1" t="inlineStr">
        <is>
          <t>No</t>
        </is>
      </c>
      <c r="L2704" s="1" t="inlineStr">
        <is>
          <t>Yes</t>
        </is>
      </c>
      <c r="M2704" s="1" t="inlineStr">
        <is>
          <t>No</t>
        </is>
      </c>
      <c r="N2704" s="1" t="inlineStr">
        <is>
          <t>Database</t>
        </is>
      </c>
      <c r="O27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04" s="11" t="inlineStr">
        <is>
          <t>To Do</t>
        </is>
      </c>
    </row>
    <row r="2705" ht="15.75" customHeight="1" s="12">
      <c r="A2705" s="1" t="n">
        <v>2809</v>
      </c>
      <c r="B2705" s="3">
        <f>HYPERLINK("https://leetcode.com/problems/minimum-time-to-make-array-sum-at-most-x/", "Minimum Time to Make Array Sum At Most x")</f>
        <v/>
      </c>
      <c r="C2705" s="1" t="n">
        <v>251</v>
      </c>
      <c r="D2705" s="1" t="n">
        <v>16</v>
      </c>
      <c r="E2705" s="4">
        <f>IF(INDEX(C:C, ROW())+INDEX(D:D, ROW())=0, 0, INDEX(C:C, ROW())/(INDEX(C:C, ROW())+INDEX(D:D, ROW())))</f>
        <v/>
      </c>
      <c r="F2705" s="1" t="inlineStr">
        <is>
          <t>Array, Dynamic Programming, Sorting</t>
        </is>
      </c>
      <c r="G2705" s="1" t="inlineStr">
        <is>
          <t>Hard</t>
        </is>
      </c>
      <c r="H2705" s="1" t="n">
        <v>6699</v>
      </c>
      <c r="I2705" s="1" t="n">
        <v>24479</v>
      </c>
      <c r="J2705" s="9" t="n">
        <v>0.274</v>
      </c>
      <c r="K2705" s="1" t="inlineStr">
        <is>
          <t>Yes</t>
        </is>
      </c>
      <c r="L2705" s="1" t="inlineStr">
        <is>
          <t>No</t>
        </is>
      </c>
      <c r="M2705" s="1" t="inlineStr">
        <is>
          <t>No</t>
        </is>
      </c>
      <c r="N2705" s="1" t="inlineStr">
        <is>
          <t>Algorithms</t>
        </is>
      </c>
      <c r="O27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05" s="11" t="inlineStr">
        <is>
          <t>To Do</t>
        </is>
      </c>
    </row>
    <row r="2706" ht="15.75" customHeight="1" s="12">
      <c r="A2706" s="1" t="n">
        <v>2909</v>
      </c>
      <c r="B2706" s="3">
        <f>HYPERLINK("https://leetcode.com/problems/minimum-sum-of-mountain-triplets-ii/", "Minimum Sum of Mountain Triplets II")</f>
        <v/>
      </c>
      <c r="C2706" s="1" t="n">
        <v>251</v>
      </c>
      <c r="D2706" s="1" t="n">
        <v>11</v>
      </c>
      <c r="E2706" s="4">
        <f>IF(INDEX(C:C, ROW())+INDEX(D:D, ROW())=0, 0, INDEX(C:C, ROW())/(INDEX(C:C, ROW())+INDEX(D:D, ROW())))</f>
        <v/>
      </c>
      <c r="F2706" s="1" t="inlineStr">
        <is>
          <t>Array</t>
        </is>
      </c>
      <c r="G2706" s="1" t="inlineStr">
        <is>
          <t>Medium</t>
        </is>
      </c>
      <c r="H2706" s="1" t="n">
        <v>32380</v>
      </c>
      <c r="I2706" s="1" t="n">
        <v>59340</v>
      </c>
      <c r="J2706" s="9" t="n">
        <v>0.546</v>
      </c>
      <c r="K2706" s="1" t="inlineStr">
        <is>
          <t>Yes</t>
        </is>
      </c>
      <c r="L2706" s="1" t="inlineStr">
        <is>
          <t>No</t>
        </is>
      </c>
      <c r="M2706" s="1" t="inlineStr">
        <is>
          <t>No</t>
        </is>
      </c>
      <c r="N2706" s="1" t="inlineStr">
        <is>
          <t>Algorithms</t>
        </is>
      </c>
      <c r="O27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06" s="11" t="inlineStr">
        <is>
          <t>To Do</t>
        </is>
      </c>
    </row>
    <row r="2707" ht="15.75" customHeight="1" s="12">
      <c r="A2707" s="1" t="n">
        <v>2268</v>
      </c>
      <c r="B2707" s="3">
        <f>HYPERLINK("https://leetcode.com/problems/minimum-number-of-keypresses/", "Minimum Number of Keypresses")</f>
        <v/>
      </c>
      <c r="C2707" s="1" t="n">
        <v>250</v>
      </c>
      <c r="D2707" s="1" t="n">
        <v>40</v>
      </c>
      <c r="E2707" s="4">
        <f>IF(INDEX(C:C, ROW())+INDEX(D:D, ROW())=0, 0, INDEX(C:C, ROW())/(INDEX(C:C, ROW())+INDEX(D:D, ROW())))</f>
        <v/>
      </c>
      <c r="F2707" s="1" t="inlineStr">
        <is>
          <t>Hash Table, String, Greedy, Sorting, Counting</t>
        </is>
      </c>
      <c r="G2707" s="1" t="inlineStr">
        <is>
          <t>Medium</t>
        </is>
      </c>
      <c r="H2707" s="1" t="n">
        <v>37225</v>
      </c>
      <c r="I2707" s="1" t="n">
        <v>52102</v>
      </c>
      <c r="J2707" s="9" t="n">
        <v>0.714</v>
      </c>
      <c r="K2707" s="1" t="inlineStr">
        <is>
          <t>No</t>
        </is>
      </c>
      <c r="L2707" s="1" t="inlineStr">
        <is>
          <t>No</t>
        </is>
      </c>
      <c r="M2707" s="1" t="inlineStr">
        <is>
          <t>No</t>
        </is>
      </c>
      <c r="N2707" s="1" t="inlineStr">
        <is>
          <t>Algorithms</t>
        </is>
      </c>
      <c r="O27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07" s="11" t="inlineStr">
        <is>
          <t>To Do</t>
        </is>
      </c>
    </row>
    <row r="2708" ht="15.75" customHeight="1" s="12">
      <c r="A2708" s="1" t="n">
        <v>579</v>
      </c>
      <c r="B2708" s="3">
        <f>HYPERLINK("https://leetcode.com/problems/find-cumulative-salary-of-an-employee/", "Find Cumulative Salary of an Employee")</f>
        <v/>
      </c>
      <c r="C2708" s="1" t="n">
        <v>248</v>
      </c>
      <c r="D2708" s="1" t="n">
        <v>405</v>
      </c>
      <c r="E2708" s="4">
        <f>IF(INDEX(C:C, ROW())+INDEX(D:D, ROW())=0, 0, INDEX(C:C, ROW())/(INDEX(C:C, ROW())+INDEX(D:D, ROW())))</f>
        <v/>
      </c>
      <c r="F2708" s="1" t="inlineStr">
        <is>
          <t>Database</t>
        </is>
      </c>
      <c r="G2708" s="1" t="inlineStr">
        <is>
          <t>Hard</t>
        </is>
      </c>
      <c r="H2708" s="1" t="n">
        <v>44399</v>
      </c>
      <c r="I2708" s="1" t="n">
        <v>89749</v>
      </c>
      <c r="J2708" s="9" t="n">
        <v>0.495</v>
      </c>
      <c r="K2708" s="1" t="inlineStr">
        <is>
          <t>No</t>
        </is>
      </c>
      <c r="L2708" s="1" t="inlineStr">
        <is>
          <t>Yes</t>
        </is>
      </c>
      <c r="M2708" s="1" t="inlineStr">
        <is>
          <t>No</t>
        </is>
      </c>
      <c r="N2708" s="1" t="inlineStr">
        <is>
          <t>Database</t>
        </is>
      </c>
      <c r="O27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08" s="11" t="inlineStr">
        <is>
          <t>To Do</t>
        </is>
      </c>
    </row>
    <row r="2709" ht="15.75" customHeight="1" s="12">
      <c r="A2709" s="1" t="n">
        <v>1515</v>
      </c>
      <c r="B2709" s="3">
        <f>HYPERLINK("https://leetcode.com/problems/best-position-for-a-service-centre/", "Best Position for a Service Centre")</f>
        <v/>
      </c>
      <c r="C2709" s="1" t="n">
        <v>248</v>
      </c>
      <c r="D2709" s="1" t="n">
        <v>274</v>
      </c>
      <c r="E2709" s="4">
        <f>IF(INDEX(C:C, ROW())+INDEX(D:D, ROW())=0, 0, INDEX(C:C, ROW())/(INDEX(C:C, ROW())+INDEX(D:D, ROW())))</f>
        <v/>
      </c>
      <c r="F2709" s="1" t="inlineStr">
        <is>
          <t>Array, Math, Geometry, Randomized</t>
        </is>
      </c>
      <c r="G2709" s="1" t="inlineStr">
        <is>
          <t>Hard</t>
        </is>
      </c>
      <c r="H2709" s="1" t="n">
        <v>19540</v>
      </c>
      <c r="I2709" s="1" t="n">
        <v>55416</v>
      </c>
      <c r="J2709" s="9" t="n">
        <v>0.353</v>
      </c>
      <c r="K2709" s="1" t="inlineStr">
        <is>
          <t>Yes</t>
        </is>
      </c>
      <c r="L2709" s="1" t="inlineStr">
        <is>
          <t>No</t>
        </is>
      </c>
      <c r="M2709" s="1" t="inlineStr">
        <is>
          <t>No</t>
        </is>
      </c>
      <c r="N2709" s="1" t="inlineStr">
        <is>
          <t>Algorithms</t>
        </is>
      </c>
      <c r="O27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09" s="11" t="inlineStr">
        <is>
          <t>To Do</t>
        </is>
      </c>
    </row>
    <row r="2710" ht="15.75" customHeight="1" s="12">
      <c r="A2710" s="1" t="n">
        <v>1896</v>
      </c>
      <c r="B2710" s="3">
        <f>HYPERLINK("https://leetcode.com/problems/minimum-cost-to-change-the-final-value-of-expression/", "Minimum Cost to Change the Final Value of Expression")</f>
        <v/>
      </c>
      <c r="C2710" s="1" t="n">
        <v>248</v>
      </c>
      <c r="D2710" s="1" t="n">
        <v>43</v>
      </c>
      <c r="E2710" s="4">
        <f>IF(INDEX(C:C, ROW())+INDEX(D:D, ROW())=0, 0, INDEX(C:C, ROW())/(INDEX(C:C, ROW())+INDEX(D:D, ROW())))</f>
        <v/>
      </c>
      <c r="F2710" s="1" t="inlineStr">
        <is>
          <t>Math, String, Dynamic Programming, Stack</t>
        </is>
      </c>
      <c r="G2710" s="1" t="inlineStr">
        <is>
          <t>Hard</t>
        </is>
      </c>
      <c r="H2710" s="1" t="n">
        <v>5386</v>
      </c>
      <c r="I2710" s="1" t="n">
        <v>10850</v>
      </c>
      <c r="J2710" s="9" t="n">
        <v>0.496</v>
      </c>
      <c r="K2710" s="1" t="inlineStr">
        <is>
          <t>Yes</t>
        </is>
      </c>
      <c r="L2710" s="1" t="inlineStr">
        <is>
          <t>No</t>
        </is>
      </c>
      <c r="M2710" s="1" t="inlineStr">
        <is>
          <t>No</t>
        </is>
      </c>
      <c r="N2710" s="1" t="inlineStr">
        <is>
          <t>Algorithms</t>
        </is>
      </c>
      <c r="O27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10" s="11" t="inlineStr">
        <is>
          <t>To Do</t>
        </is>
      </c>
    </row>
    <row r="2711" ht="15.75" customHeight="1" s="12">
      <c r="A2711" s="1" t="n">
        <v>3419</v>
      </c>
      <c r="B2711" s="3">
        <f>HYPERLINK("https://leetcode.com/problems/minimize-the-maximum-edge-weight-of-graph/", "Minimize the Maximum Edge Weight of Graph")</f>
        <v/>
      </c>
      <c r="C2711" s="1" t="n">
        <v>248</v>
      </c>
      <c r="D2711" s="1" t="n">
        <v>19</v>
      </c>
      <c r="E2711" s="4">
        <f>IF(INDEX(C:C, ROW())+INDEX(D:D, ROW())=0, 0, INDEX(C:C, ROW())/(INDEX(C:C, ROW())+INDEX(D:D, ROW())))</f>
        <v/>
      </c>
      <c r="F2711" s="1" t="inlineStr">
        <is>
          <t>Binary Search, Depth-First Search, Breadth-First Search, Graph Theory, Shortest Path</t>
        </is>
      </c>
      <c r="G2711" s="1" t="inlineStr">
        <is>
          <t>Medium</t>
        </is>
      </c>
      <c r="H2711" s="1" t="n">
        <v>15824</v>
      </c>
      <c r="I2711" s="1" t="n">
        <v>35558</v>
      </c>
      <c r="J2711" s="9" t="n">
        <v>0.445</v>
      </c>
      <c r="K2711" s="1" t="inlineStr">
        <is>
          <t>Yes</t>
        </is>
      </c>
      <c r="L2711" s="1" t="inlineStr">
        <is>
          <t>No</t>
        </is>
      </c>
      <c r="M2711" s="1" t="inlineStr">
        <is>
          <t>No</t>
        </is>
      </c>
      <c r="N2711" s="1" t="inlineStr">
        <is>
          <t>Algorithms</t>
        </is>
      </c>
      <c r="O27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11" s="11" t="inlineStr">
        <is>
          <t>To Do</t>
        </is>
      </c>
    </row>
    <row r="2712" ht="15.75" customHeight="1" s="12">
      <c r="A2712" s="1" t="n">
        <v>810</v>
      </c>
      <c r="B2712" s="3">
        <f>HYPERLINK("https://leetcode.com/problems/chalkboard-xor-game/", "Chalkboard XOR Game")</f>
        <v/>
      </c>
      <c r="C2712" s="1" t="n">
        <v>247</v>
      </c>
      <c r="D2712" s="1" t="n">
        <v>288</v>
      </c>
      <c r="E2712" s="4">
        <f>IF(INDEX(C:C, ROW())+INDEX(D:D, ROW())=0, 0, INDEX(C:C, ROW())/(INDEX(C:C, ROW())+INDEX(D:D, ROW())))</f>
        <v/>
      </c>
      <c r="F2712" s="1" t="inlineStr">
        <is>
          <t>Array, Math, Bit Manipulation, Brainteaser, Game Theory</t>
        </is>
      </c>
      <c r="G2712" s="1" t="inlineStr">
        <is>
          <t>Hard</t>
        </is>
      </c>
      <c r="H2712" s="1" t="n">
        <v>19703</v>
      </c>
      <c r="I2712" s="1" t="n">
        <v>29798</v>
      </c>
      <c r="J2712" s="9" t="n">
        <v>0.661</v>
      </c>
      <c r="K2712" s="1" t="inlineStr">
        <is>
          <t>Yes</t>
        </is>
      </c>
      <c r="L2712" s="1" t="inlineStr">
        <is>
          <t>Yes</t>
        </is>
      </c>
      <c r="M2712" s="1" t="inlineStr">
        <is>
          <t>No</t>
        </is>
      </c>
      <c r="N2712" s="1" t="inlineStr">
        <is>
          <t>Algorithms</t>
        </is>
      </c>
      <c r="O27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12" s="11" t="inlineStr">
        <is>
          <t>To Do</t>
        </is>
      </c>
    </row>
    <row r="2713" ht="15.75" customHeight="1" s="12">
      <c r="A2713" s="1" t="n">
        <v>2765</v>
      </c>
      <c r="B2713" s="3">
        <f>HYPERLINK("https://leetcode.com/problems/longest-alternating-subarray/", "Longest Alternating Subarray")</f>
        <v/>
      </c>
      <c r="C2713" s="1" t="n">
        <v>247</v>
      </c>
      <c r="D2713" s="1" t="n">
        <v>188</v>
      </c>
      <c r="E2713" s="4">
        <f>IF(INDEX(C:C, ROW())+INDEX(D:D, ROW())=0, 0, INDEX(C:C, ROW())/(INDEX(C:C, ROW())+INDEX(D:D, ROW())))</f>
        <v/>
      </c>
      <c r="F2713" s="1" t="inlineStr">
        <is>
          <t>Array, Enumeration</t>
        </is>
      </c>
      <c r="G2713" s="1" t="inlineStr">
        <is>
          <t>Easy</t>
        </is>
      </c>
      <c r="H2713" s="1" t="n">
        <v>33949</v>
      </c>
      <c r="I2713" s="1" t="n">
        <v>96205</v>
      </c>
      <c r="J2713" s="9" t="n">
        <v>0.353</v>
      </c>
      <c r="K2713" s="1" t="inlineStr">
        <is>
          <t>Yes</t>
        </is>
      </c>
      <c r="L2713" s="1" t="inlineStr">
        <is>
          <t>No</t>
        </is>
      </c>
      <c r="M2713" s="1" t="inlineStr">
        <is>
          <t>No</t>
        </is>
      </c>
      <c r="N2713" s="1" t="inlineStr">
        <is>
          <t>Algorithms</t>
        </is>
      </c>
      <c r="O27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13" s="13" t="inlineStr">
        <is>
          <t>Done</t>
        </is>
      </c>
    </row>
    <row r="2714" ht="15.75" customHeight="1" s="12">
      <c r="A2714" s="1" t="n">
        <v>2855</v>
      </c>
      <c r="B2714" s="3">
        <f>HYPERLINK("https://leetcode.com/problems/minimum-right-shifts-to-sort-the-array/", "Minimum Right Shifts to Sort the Array")</f>
        <v/>
      </c>
      <c r="C2714" s="1" t="n">
        <v>247</v>
      </c>
      <c r="D2714" s="1" t="n">
        <v>12</v>
      </c>
      <c r="E2714" s="4">
        <f>IF(INDEX(C:C, ROW())+INDEX(D:D, ROW())=0, 0, INDEX(C:C, ROW())/(INDEX(C:C, ROW())+INDEX(D:D, ROW())))</f>
        <v/>
      </c>
      <c r="F2714" s="1" t="inlineStr">
        <is>
          <t>Array</t>
        </is>
      </c>
      <c r="G2714" s="1" t="inlineStr">
        <is>
          <t>Easy</t>
        </is>
      </c>
      <c r="H2714" s="1" t="n">
        <v>43055</v>
      </c>
      <c r="I2714" s="1" t="n">
        <v>74998</v>
      </c>
      <c r="J2714" s="9" t="n">
        <v>0.574</v>
      </c>
      <c r="K2714" s="1" t="inlineStr">
        <is>
          <t>Yes</t>
        </is>
      </c>
      <c r="L2714" s="1" t="inlineStr">
        <is>
          <t>No</t>
        </is>
      </c>
      <c r="M2714" s="1" t="inlineStr">
        <is>
          <t>No</t>
        </is>
      </c>
      <c r="N2714" s="1" t="inlineStr">
        <is>
          <t>Algorithms</t>
        </is>
      </c>
      <c r="O27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14" s="13" t="inlineStr">
        <is>
          <t>Done</t>
        </is>
      </c>
    </row>
    <row r="2715" ht="15.75" customHeight="1" s="12">
      <c r="A2715" s="1" t="n">
        <v>2871</v>
      </c>
      <c r="B2715" s="3">
        <f>HYPERLINK("https://leetcode.com/problems/split-array-into-maximum-number-of-subarrays/", "Split Array Into Maximum Number of Subarrays")</f>
        <v/>
      </c>
      <c r="C2715" s="1" t="n">
        <v>247</v>
      </c>
      <c r="D2715" s="1" t="n">
        <v>32</v>
      </c>
      <c r="E2715" s="4">
        <f>IF(INDEX(C:C, ROW())+INDEX(D:D, ROW())=0, 0, INDEX(C:C, ROW())/(INDEX(C:C, ROW())+INDEX(D:D, ROW())))</f>
        <v/>
      </c>
      <c r="F2715" s="1" t="inlineStr">
        <is>
          <t>Array, Greedy, Bit Manipulation</t>
        </is>
      </c>
      <c r="G2715" s="1" t="inlineStr">
        <is>
          <t>Medium</t>
        </is>
      </c>
      <c r="H2715" s="1" t="n">
        <v>19608</v>
      </c>
      <c r="I2715" s="1" t="n">
        <v>46191</v>
      </c>
      <c r="J2715" s="9" t="n">
        <v>0.424</v>
      </c>
      <c r="K2715" s="1" t="inlineStr">
        <is>
          <t>Yes</t>
        </is>
      </c>
      <c r="L2715" s="1" t="inlineStr">
        <is>
          <t>No</t>
        </is>
      </c>
      <c r="M2715" s="1" t="inlineStr">
        <is>
          <t>No</t>
        </is>
      </c>
      <c r="N2715" s="1" t="inlineStr">
        <is>
          <t>Algorithms</t>
        </is>
      </c>
      <c r="O27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15" s="11" t="inlineStr">
        <is>
          <t>To Do</t>
        </is>
      </c>
    </row>
    <row r="2716" ht="15.75" customHeight="1" s="12">
      <c r="A2716" s="1" t="n">
        <v>1783</v>
      </c>
      <c r="B2716" s="3">
        <f>HYPERLINK("https://leetcode.com/problems/grand-slam-titles/", "Grand Slam Titles")</f>
        <v/>
      </c>
      <c r="C2716" s="1" t="n">
        <v>246</v>
      </c>
      <c r="D2716" s="1" t="n">
        <v>10</v>
      </c>
      <c r="E2716" s="4">
        <f>IF(INDEX(C:C, ROW())+INDEX(D:D, ROW())=0, 0, INDEX(C:C, ROW())/(INDEX(C:C, ROW())+INDEX(D:D, ROW())))</f>
        <v/>
      </c>
      <c r="F2716" s="1" t="inlineStr">
        <is>
          <t>Database</t>
        </is>
      </c>
      <c r="G2716" s="1" t="inlineStr">
        <is>
          <t>Medium</t>
        </is>
      </c>
      <c r="H2716" s="1" t="n">
        <v>34552</v>
      </c>
      <c r="I2716" s="1" t="n">
        <v>41629</v>
      </c>
      <c r="J2716" s="9" t="n">
        <v>0.83</v>
      </c>
      <c r="K2716" s="1" t="inlineStr">
        <is>
          <t>No</t>
        </is>
      </c>
      <c r="L2716" s="1" t="inlineStr">
        <is>
          <t>No</t>
        </is>
      </c>
      <c r="M2716" s="1" t="inlineStr">
        <is>
          <t>No</t>
        </is>
      </c>
      <c r="N2716" s="1" t="inlineStr">
        <is>
          <t>Database</t>
        </is>
      </c>
      <c r="O27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16" s="11" t="inlineStr">
        <is>
          <t>To Do</t>
        </is>
      </c>
    </row>
    <row r="2717" ht="15.75" customHeight="1" s="12">
      <c r="A2717" s="1" t="n">
        <v>1885</v>
      </c>
      <c r="B2717" s="3">
        <f>HYPERLINK("https://leetcode.com/problems/count-pairs-in-two-arrays/", "Count Pairs in Two Arrays")</f>
        <v/>
      </c>
      <c r="C2717" s="1" t="n">
        <v>246</v>
      </c>
      <c r="D2717" s="1" t="n">
        <v>23</v>
      </c>
      <c r="E2717" s="4">
        <f>IF(INDEX(C:C, ROW())+INDEX(D:D, ROW())=0, 0, INDEX(C:C, ROW())/(INDEX(C:C, ROW())+INDEX(D:D, ROW())))</f>
        <v/>
      </c>
      <c r="F2717" s="1" t="inlineStr">
        <is>
          <t>Array, Two Pointers, Binary Search, Sorting</t>
        </is>
      </c>
      <c r="G2717" s="1" t="inlineStr">
        <is>
          <t>Medium</t>
        </is>
      </c>
      <c r="H2717" s="1" t="n">
        <v>12176</v>
      </c>
      <c r="I2717" s="1" t="n">
        <v>20185</v>
      </c>
      <c r="J2717" s="9" t="n">
        <v>0.603</v>
      </c>
      <c r="K2717" s="1" t="inlineStr">
        <is>
          <t>No</t>
        </is>
      </c>
      <c r="L2717" s="1" t="inlineStr">
        <is>
          <t>Yes</t>
        </is>
      </c>
      <c r="M2717" s="1" t="inlineStr">
        <is>
          <t>No</t>
        </is>
      </c>
      <c r="N2717" s="1" t="inlineStr">
        <is>
          <t>Algorithms</t>
        </is>
      </c>
      <c r="O27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17" s="11" t="inlineStr">
        <is>
          <t>To Do</t>
        </is>
      </c>
    </row>
    <row r="2718" ht="15.75" customHeight="1" s="12">
      <c r="A2718" s="1" t="n">
        <v>2093</v>
      </c>
      <c r="B2718" s="3">
        <f>HYPERLINK("https://leetcode.com/problems/minimum-cost-to-reach-city-with-discounts/", "Minimum Cost to Reach City With Discounts")</f>
        <v/>
      </c>
      <c r="C2718" s="1" t="n">
        <v>246</v>
      </c>
      <c r="D2718" s="1" t="n">
        <v>23</v>
      </c>
      <c r="E2718" s="4">
        <f>IF(INDEX(C:C, ROW())+INDEX(D:D, ROW())=0, 0, INDEX(C:C, ROW())/(INDEX(C:C, ROW())+INDEX(D:D, ROW())))</f>
        <v/>
      </c>
      <c r="F2718" s="1" t="inlineStr">
        <is>
          <t>Graph Theory, Heap (Priority Queue), Shortest Path</t>
        </is>
      </c>
      <c r="G2718" s="1" t="inlineStr">
        <is>
          <t>Medium</t>
        </is>
      </c>
      <c r="H2718" s="1" t="n">
        <v>12975</v>
      </c>
      <c r="I2718" s="1" t="n">
        <v>21311</v>
      </c>
      <c r="J2718" s="9" t="n">
        <v>0.609</v>
      </c>
      <c r="K2718" s="1" t="inlineStr">
        <is>
          <t>No</t>
        </is>
      </c>
      <c r="L2718" s="1" t="inlineStr">
        <is>
          <t>Yes</t>
        </is>
      </c>
      <c r="M2718" s="1" t="inlineStr">
        <is>
          <t>No</t>
        </is>
      </c>
      <c r="N2718" s="1" t="inlineStr">
        <is>
          <t>Algorithms</t>
        </is>
      </c>
      <c r="O27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18" s="11" t="inlineStr">
        <is>
          <t>To Do</t>
        </is>
      </c>
    </row>
    <row r="2719" ht="15.75" customHeight="1" s="12">
      <c r="A2719" s="1" t="n">
        <v>2525</v>
      </c>
      <c r="B2719" s="3">
        <f>HYPERLINK("https://leetcode.com/problems/categorize-box-according-to-criteria/", "Categorize Box According to Criteria")</f>
        <v/>
      </c>
      <c r="C2719" s="1" t="n">
        <v>246</v>
      </c>
      <c r="D2719" s="1" t="n">
        <v>63</v>
      </c>
      <c r="E2719" s="4">
        <f>IF(INDEX(C:C, ROW())+INDEX(D:D, ROW())=0, 0, INDEX(C:C, ROW())/(INDEX(C:C, ROW())+INDEX(D:D, ROW())))</f>
        <v/>
      </c>
      <c r="F2719" s="1" t="inlineStr">
        <is>
          <t>Math</t>
        </is>
      </c>
      <c r="G2719" s="1" t="inlineStr">
        <is>
          <t>Easy</t>
        </is>
      </c>
      <c r="H2719" s="1" t="n">
        <v>51273</v>
      </c>
      <c r="I2719" s="1" t="n">
        <v>131418</v>
      </c>
      <c r="J2719" s="9" t="n">
        <v>0.39</v>
      </c>
      <c r="K2719" s="1" t="inlineStr">
        <is>
          <t>Yes</t>
        </is>
      </c>
      <c r="L2719" s="1" t="inlineStr">
        <is>
          <t>No</t>
        </is>
      </c>
      <c r="M2719" s="1" t="inlineStr">
        <is>
          <t>No</t>
        </is>
      </c>
      <c r="N2719" s="1" t="inlineStr">
        <is>
          <t>Algorithms</t>
        </is>
      </c>
      <c r="O27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19" s="13" t="inlineStr">
        <is>
          <t>Done</t>
        </is>
      </c>
    </row>
    <row r="2720" ht="15.75" customHeight="1" s="12">
      <c r="A2720" s="1" t="n">
        <v>2967</v>
      </c>
      <c r="B2720" s="3">
        <f>HYPERLINK("https://leetcode.com/problems/minimum-cost-to-make-array-equalindromic/", "Minimum Cost to Make Array Equalindromic")</f>
        <v/>
      </c>
      <c r="C2720" s="1" t="n">
        <v>246</v>
      </c>
      <c r="D2720" s="1" t="n">
        <v>100</v>
      </c>
      <c r="E2720" s="4">
        <f>IF(INDEX(C:C, ROW())+INDEX(D:D, ROW())=0, 0, INDEX(C:C, ROW())/(INDEX(C:C, ROW())+INDEX(D:D, ROW())))</f>
        <v/>
      </c>
      <c r="F2720" s="1" t="inlineStr">
        <is>
          <t>Array, Math, Binary Search, Greedy, Sorting</t>
        </is>
      </c>
      <c r="G2720" s="1" t="inlineStr">
        <is>
          <t>Medium</t>
        </is>
      </c>
      <c r="H2720" s="1" t="n">
        <v>16497</v>
      </c>
      <c r="I2720" s="1" t="n">
        <v>70219</v>
      </c>
      <c r="J2720" s="9" t="n">
        <v>0.235</v>
      </c>
      <c r="K2720" s="1" t="inlineStr">
        <is>
          <t>Yes</t>
        </is>
      </c>
      <c r="L2720" s="1" t="inlineStr">
        <is>
          <t>No</t>
        </is>
      </c>
      <c r="M2720" s="1" t="inlineStr">
        <is>
          <t>No</t>
        </is>
      </c>
      <c r="N2720" s="1" t="inlineStr">
        <is>
          <t>Algorithms</t>
        </is>
      </c>
      <c r="O27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20" s="11" t="inlineStr">
        <is>
          <t>To Do</t>
        </is>
      </c>
    </row>
    <row r="2721" ht="15.75" customHeight="1" s="12">
      <c r="A2721" s="1" t="n">
        <v>2972</v>
      </c>
      <c r="B2721" s="3">
        <f>HYPERLINK("https://leetcode.com/problems/count-the-number-of-incremovable-subarrays-ii/", "Count the Number of Incremovable Subarrays II")</f>
        <v/>
      </c>
      <c r="C2721" s="1" t="n">
        <v>245</v>
      </c>
      <c r="D2721" s="1" t="n">
        <v>20</v>
      </c>
      <c r="E2721" s="4">
        <f>IF(INDEX(C:C, ROW())+INDEX(D:D, ROW())=0, 0, INDEX(C:C, ROW())/(INDEX(C:C, ROW())+INDEX(D:D, ROW())))</f>
        <v/>
      </c>
      <c r="F2721" s="1" t="inlineStr">
        <is>
          <t>Array, Two Pointers, Binary Search</t>
        </is>
      </c>
      <c r="G2721" s="1" t="inlineStr">
        <is>
          <t>Hard</t>
        </is>
      </c>
      <c r="H2721" s="1" t="n">
        <v>11365</v>
      </c>
      <c r="I2721" s="1" t="n">
        <v>28336</v>
      </c>
      <c r="J2721" s="9" t="n">
        <v>0.401</v>
      </c>
      <c r="K2721" s="1" t="inlineStr">
        <is>
          <t>Yes</t>
        </is>
      </c>
      <c r="L2721" s="1" t="inlineStr">
        <is>
          <t>No</t>
        </is>
      </c>
      <c r="M2721" s="1" t="inlineStr">
        <is>
          <t>No</t>
        </is>
      </c>
      <c r="N2721" s="1" t="inlineStr">
        <is>
          <t>Algorithms</t>
        </is>
      </c>
      <c r="O27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21" s="11" t="inlineStr">
        <is>
          <t>To Do</t>
        </is>
      </c>
    </row>
    <row r="2722" ht="15.75" customHeight="1" s="12">
      <c r="A2722" s="1" t="n">
        <v>2920</v>
      </c>
      <c r="B2722" s="3">
        <f>HYPERLINK("https://leetcode.com/problems/maximum-points-after-collecting-coins-from-all-nodes/", "Maximum Points After Collecting Coins From All Nodes")</f>
        <v/>
      </c>
      <c r="C2722" s="1" t="n">
        <v>244</v>
      </c>
      <c r="D2722" s="1" t="n">
        <v>19</v>
      </c>
      <c r="E2722" s="4">
        <f>IF(INDEX(C:C, ROW())+INDEX(D:D, ROW())=0, 0, INDEX(C:C, ROW())/(INDEX(C:C, ROW())+INDEX(D:D, ROW())))</f>
        <v/>
      </c>
      <c r="F2722" s="1" t="inlineStr">
        <is>
          <t>Array, Dynamic Programming, Bit Manipulation, Tree, Depth-First Search, Memoization</t>
        </is>
      </c>
      <c r="G2722" s="1" t="inlineStr">
        <is>
          <t>Hard</t>
        </is>
      </c>
      <c r="H2722" s="1" t="n">
        <v>11221</v>
      </c>
      <c r="I2722" s="1" t="n">
        <v>30751</v>
      </c>
      <c r="J2722" s="9" t="n">
        <v>0.365</v>
      </c>
      <c r="K2722" s="1" t="inlineStr">
        <is>
          <t>Yes</t>
        </is>
      </c>
      <c r="L2722" s="1" t="inlineStr">
        <is>
          <t>No</t>
        </is>
      </c>
      <c r="M2722" s="1" t="inlineStr">
        <is>
          <t>No</t>
        </is>
      </c>
      <c r="N2722" s="1" t="inlineStr">
        <is>
          <t>Algorithms</t>
        </is>
      </c>
      <c r="O27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22" s="11" t="inlineStr">
        <is>
          <t>To Do</t>
        </is>
      </c>
    </row>
    <row r="2723" ht="15.75" customHeight="1" s="12">
      <c r="A2723" s="1" t="n">
        <v>2722</v>
      </c>
      <c r="B2723" s="3">
        <f>HYPERLINK("https://leetcode.com/problems/join-two-arrays-by-id/", "Join Two Arrays by ID")</f>
        <v/>
      </c>
      <c r="C2723" s="1" t="n">
        <v>243</v>
      </c>
      <c r="D2723" s="1" t="n">
        <v>65</v>
      </c>
      <c r="E2723" s="4">
        <f>IF(INDEX(C:C, ROW())+INDEX(D:D, ROW())=0, 0, INDEX(C:C, ROW())/(INDEX(C:C, ROW())+INDEX(D:D, ROW())))</f>
        <v/>
      </c>
      <c r="F2723" s="2" t="n"/>
      <c r="G2723" s="1" t="inlineStr">
        <is>
          <t>Medium</t>
        </is>
      </c>
      <c r="H2723" s="1" t="n">
        <v>61764</v>
      </c>
      <c r="I2723" s="1" t="n">
        <v>107520</v>
      </c>
      <c r="J2723" s="9" t="n">
        <v>0.574</v>
      </c>
      <c r="K2723" s="1" t="inlineStr">
        <is>
          <t>Yes</t>
        </is>
      </c>
      <c r="L2723" s="1" t="inlineStr">
        <is>
          <t>Yes</t>
        </is>
      </c>
      <c r="M2723" s="1" t="inlineStr">
        <is>
          <t>No</t>
        </is>
      </c>
      <c r="N2723" s="1" t="inlineStr">
        <is>
          <t>JavaScript</t>
        </is>
      </c>
      <c r="O27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23" s="11" t="inlineStr">
        <is>
          <t>To Do</t>
        </is>
      </c>
    </row>
    <row r="2724" ht="15.75" customHeight="1" s="12">
      <c r="A2724" s="1" t="n">
        <v>3101</v>
      </c>
      <c r="B2724" s="3">
        <f>HYPERLINK("https://leetcode.com/problems/count-alternating-subarrays/", "Count Alternating Subarrays")</f>
        <v/>
      </c>
      <c r="C2724" s="1" t="n">
        <v>243</v>
      </c>
      <c r="D2724" s="1" t="n">
        <v>10</v>
      </c>
      <c r="E2724" s="4">
        <f>IF(INDEX(C:C, ROW())+INDEX(D:D, ROW())=0, 0, INDEX(C:C, ROW())/(INDEX(C:C, ROW())+INDEX(D:D, ROW())))</f>
        <v/>
      </c>
      <c r="F2724" s="1" t="inlineStr">
        <is>
          <t>Array, Math</t>
        </is>
      </c>
      <c r="G2724" s="1" t="inlineStr">
        <is>
          <t>Medium</t>
        </is>
      </c>
      <c r="H2724" s="1" t="n">
        <v>45593</v>
      </c>
      <c r="I2724" s="1" t="n">
        <v>79393</v>
      </c>
      <c r="J2724" s="9" t="n">
        <v>0.574</v>
      </c>
      <c r="K2724" s="1" t="inlineStr">
        <is>
          <t>Yes</t>
        </is>
      </c>
      <c r="L2724" s="1" t="inlineStr">
        <is>
          <t>No</t>
        </is>
      </c>
      <c r="M2724" s="1" t="inlineStr">
        <is>
          <t>No</t>
        </is>
      </c>
      <c r="N2724" s="1" t="inlineStr">
        <is>
          <t>Algorithms</t>
        </is>
      </c>
      <c r="O27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24" s="11" t="inlineStr">
        <is>
          <t>To Do</t>
        </is>
      </c>
    </row>
    <row r="2725" ht="15.75" customHeight="1" s="12">
      <c r="A2725" s="1" t="n">
        <v>615</v>
      </c>
      <c r="B2725" s="3">
        <f>HYPERLINK("https://leetcode.com/problems/average-salary-departments-vs-company/", "Average Salary: Departments VS Company")</f>
        <v/>
      </c>
      <c r="C2725" s="1" t="n">
        <v>242</v>
      </c>
      <c r="D2725" s="1" t="n">
        <v>77</v>
      </c>
      <c r="E2725" s="4">
        <f>IF(INDEX(C:C, ROW())+INDEX(D:D, ROW())=0, 0, INDEX(C:C, ROW())/(INDEX(C:C, ROW())+INDEX(D:D, ROW())))</f>
        <v/>
      </c>
      <c r="F2725" s="1" t="inlineStr">
        <is>
          <t>Database</t>
        </is>
      </c>
      <c r="G2725" s="1" t="inlineStr">
        <is>
          <t>Hard</t>
        </is>
      </c>
      <c r="H2725" s="1" t="n">
        <v>43937</v>
      </c>
      <c r="I2725" s="1" t="n">
        <v>77529</v>
      </c>
      <c r="J2725" s="9" t="n">
        <v>0.5669999999999999</v>
      </c>
      <c r="K2725" s="1" t="inlineStr">
        <is>
          <t>No</t>
        </is>
      </c>
      <c r="L2725" s="1" t="inlineStr">
        <is>
          <t>Yes</t>
        </is>
      </c>
      <c r="M2725" s="1" t="inlineStr">
        <is>
          <t>No</t>
        </is>
      </c>
      <c r="N2725" s="1" t="inlineStr">
        <is>
          <t>Database</t>
        </is>
      </c>
      <c r="O27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25" s="11" t="inlineStr">
        <is>
          <t>To Do</t>
        </is>
      </c>
    </row>
    <row r="2726" ht="15.75" customHeight="1" s="12">
      <c r="A2726" s="1" t="n">
        <v>2748</v>
      </c>
      <c r="B2726" s="3">
        <f>HYPERLINK("https://leetcode.com/problems/number-of-beautiful-pairs/", "Number of Beautiful Pairs")</f>
        <v/>
      </c>
      <c r="C2726" s="1" t="n">
        <v>241</v>
      </c>
      <c r="D2726" s="1" t="n">
        <v>43</v>
      </c>
      <c r="E2726" s="4">
        <f>IF(INDEX(C:C, ROW())+INDEX(D:D, ROW())=0, 0, INDEX(C:C, ROW())/(INDEX(C:C, ROW())+INDEX(D:D, ROW())))</f>
        <v/>
      </c>
      <c r="F2726" s="1" t="inlineStr">
        <is>
          <t>Array, Hash Table, Math, Counting, Number Theory</t>
        </is>
      </c>
      <c r="G2726" s="1" t="inlineStr">
        <is>
          <t>Easy</t>
        </is>
      </c>
      <c r="H2726" s="1" t="n">
        <v>47936</v>
      </c>
      <c r="I2726" s="1" t="n">
        <v>91601</v>
      </c>
      <c r="J2726" s="9" t="n">
        <v>0.523</v>
      </c>
      <c r="K2726" s="1" t="inlineStr">
        <is>
          <t>Yes</t>
        </is>
      </c>
      <c r="L2726" s="1" t="inlineStr">
        <is>
          <t>No</t>
        </is>
      </c>
      <c r="M2726" s="1" t="inlineStr">
        <is>
          <t>No</t>
        </is>
      </c>
      <c r="N2726" s="1" t="inlineStr">
        <is>
          <t>Algorithms</t>
        </is>
      </c>
      <c r="O27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26" s="13" t="inlineStr">
        <is>
          <t>Done</t>
        </is>
      </c>
    </row>
    <row r="2727" ht="15.75" customHeight="1" s="12">
      <c r="A2727" s="1" t="n">
        <v>3067</v>
      </c>
      <c r="B2727" s="3">
        <f>HYPERLINK("https://leetcode.com/problems/count-pairs-of-connectable-servers-in-a-weighted-tree-network/", "Count Pairs of Connectable Servers in a Weighted Tree Network")</f>
        <v/>
      </c>
      <c r="C2727" s="1" t="n">
        <v>241</v>
      </c>
      <c r="D2727" s="1" t="n">
        <v>29</v>
      </c>
      <c r="E2727" s="4">
        <f>IF(INDEX(C:C, ROW())+INDEX(D:D, ROW())=0, 0, INDEX(C:C, ROW())/(INDEX(C:C, ROW())+INDEX(D:D, ROW())))</f>
        <v/>
      </c>
      <c r="F2727" s="1" t="inlineStr">
        <is>
          <t>Array, Tree, Depth-First Search</t>
        </is>
      </c>
      <c r="G2727" s="1" t="inlineStr">
        <is>
          <t>Medium</t>
        </is>
      </c>
      <c r="H2727" s="1" t="n">
        <v>16684</v>
      </c>
      <c r="I2727" s="1" t="n">
        <v>29849</v>
      </c>
      <c r="J2727" s="9" t="n">
        <v>0.5590000000000001</v>
      </c>
      <c r="K2727" s="1" t="inlineStr">
        <is>
          <t>Yes</t>
        </is>
      </c>
      <c r="L2727" s="1" t="inlineStr">
        <is>
          <t>No</t>
        </is>
      </c>
      <c r="M2727" s="1" t="inlineStr">
        <is>
          <t>No</t>
        </is>
      </c>
      <c r="N2727" s="1" t="inlineStr">
        <is>
          <t>Algorithms</t>
        </is>
      </c>
      <c r="O27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27" s="11" t="inlineStr">
        <is>
          <t>To Do</t>
        </is>
      </c>
    </row>
    <row r="2728" ht="15.75" customHeight="1" s="12">
      <c r="A2728" s="1" t="n">
        <v>1199</v>
      </c>
      <c r="B2728" s="3">
        <f>HYPERLINK("https://leetcode.com/problems/minimum-time-to-build-blocks/", "Minimum Time to Build Blocks")</f>
        <v/>
      </c>
      <c r="C2728" s="1" t="n">
        <v>240</v>
      </c>
      <c r="D2728" s="1" t="n">
        <v>33</v>
      </c>
      <c r="E2728" s="4">
        <f>IF(INDEX(C:C, ROW())+INDEX(D:D, ROW())=0, 0, INDEX(C:C, ROW())/(INDEX(C:C, ROW())+INDEX(D:D, ROW())))</f>
        <v/>
      </c>
      <c r="F2728" s="1" t="inlineStr">
        <is>
          <t>Array, Math, Greedy, Heap (Priority Queue)</t>
        </is>
      </c>
      <c r="G2728" s="1" t="inlineStr">
        <is>
          <t>Hard</t>
        </is>
      </c>
      <c r="H2728" s="1" t="n">
        <v>7209</v>
      </c>
      <c r="I2728" s="1" t="n">
        <v>15476</v>
      </c>
      <c r="J2728" s="9" t="n">
        <v>0.466</v>
      </c>
      <c r="K2728" s="1" t="inlineStr">
        <is>
          <t>No</t>
        </is>
      </c>
      <c r="L2728" s="1" t="inlineStr">
        <is>
          <t>Yes</t>
        </is>
      </c>
      <c r="M2728" s="1" t="inlineStr">
        <is>
          <t>No</t>
        </is>
      </c>
      <c r="N2728" s="1" t="inlineStr">
        <is>
          <t>Algorithms</t>
        </is>
      </c>
      <c r="O27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28" s="11" t="inlineStr">
        <is>
          <t>To Do</t>
        </is>
      </c>
    </row>
    <row r="2729" ht="15.75" customHeight="1" s="12">
      <c r="A2729" s="1" t="n">
        <v>1613</v>
      </c>
      <c r="B2729" s="3">
        <f>HYPERLINK("https://leetcode.com/problems/find-the-missing-ids/", "Find the Missing IDs")</f>
        <v/>
      </c>
      <c r="C2729" s="1" t="n">
        <v>238</v>
      </c>
      <c r="D2729" s="1" t="n">
        <v>31</v>
      </c>
      <c r="E2729" s="4">
        <f>IF(INDEX(C:C, ROW())+INDEX(D:D, ROW())=0, 0, INDEX(C:C, ROW())/(INDEX(C:C, ROW())+INDEX(D:D, ROW())))</f>
        <v/>
      </c>
      <c r="F2729" s="1" t="inlineStr">
        <is>
          <t>Database</t>
        </is>
      </c>
      <c r="G2729" s="1" t="inlineStr">
        <is>
          <t>Medium</t>
        </is>
      </c>
      <c r="H2729" s="1" t="n">
        <v>23390</v>
      </c>
      <c r="I2729" s="1" t="n">
        <v>32093</v>
      </c>
      <c r="J2729" s="9" t="n">
        <v>0.729</v>
      </c>
      <c r="K2729" s="1" t="inlineStr">
        <is>
          <t>No</t>
        </is>
      </c>
      <c r="L2729" s="1" t="inlineStr">
        <is>
          <t>No</t>
        </is>
      </c>
      <c r="M2729" s="1" t="inlineStr">
        <is>
          <t>No</t>
        </is>
      </c>
      <c r="N2729" s="1" t="inlineStr">
        <is>
          <t>Database</t>
        </is>
      </c>
      <c r="O27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29" s="11" t="inlineStr">
        <is>
          <t>To Do</t>
        </is>
      </c>
    </row>
    <row r="2730" ht="15.75" customHeight="1" s="12">
      <c r="A2730" s="1" t="n">
        <v>1946</v>
      </c>
      <c r="B2730" s="3">
        <f>HYPERLINK("https://leetcode.com/problems/largest-number-after-mutating-substring/", "Largest Number After Mutating Substring")</f>
        <v/>
      </c>
      <c r="C2730" s="1" t="n">
        <v>238</v>
      </c>
      <c r="D2730" s="1" t="n">
        <v>233</v>
      </c>
      <c r="E2730" s="4">
        <f>IF(INDEX(C:C, ROW())+INDEX(D:D, ROW())=0, 0, INDEX(C:C, ROW())/(INDEX(C:C, ROW())+INDEX(D:D, ROW())))</f>
        <v/>
      </c>
      <c r="F2730" s="1" t="inlineStr">
        <is>
          <t>Array, String, Greedy</t>
        </is>
      </c>
      <c r="G2730" s="1" t="inlineStr">
        <is>
          <t>Medium</t>
        </is>
      </c>
      <c r="H2730" s="1" t="n">
        <v>26914</v>
      </c>
      <c r="I2730" s="1" t="n">
        <v>70588</v>
      </c>
      <c r="J2730" s="9" t="n">
        <v>0.381</v>
      </c>
      <c r="K2730" s="1" t="inlineStr">
        <is>
          <t>Yes</t>
        </is>
      </c>
      <c r="L2730" s="1" t="inlineStr">
        <is>
          <t>No</t>
        </is>
      </c>
      <c r="M2730" s="1" t="inlineStr">
        <is>
          <t>No</t>
        </is>
      </c>
      <c r="N2730" s="1" t="inlineStr">
        <is>
          <t>Algorithms</t>
        </is>
      </c>
      <c r="O27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30" s="11" t="inlineStr">
        <is>
          <t>To Do</t>
        </is>
      </c>
    </row>
    <row r="2731" ht="15.75" customHeight="1" s="12">
      <c r="A2731" s="1" t="n">
        <v>3653</v>
      </c>
      <c r="B2731" s="3">
        <f>HYPERLINK("https://leetcode.com/problems/xor-after-range-multiplication-queries-i/", "XOR After Range Multiplication Queries I")</f>
        <v/>
      </c>
      <c r="C2731" s="1" t="n">
        <v>238</v>
      </c>
      <c r="D2731" s="1" t="n">
        <v>119</v>
      </c>
      <c r="E2731" s="4">
        <f>IF(INDEX(C:C, ROW())+INDEX(D:D, ROW())=0, 0, INDEX(C:C, ROW())/(INDEX(C:C, ROW())+INDEX(D:D, ROW())))</f>
        <v/>
      </c>
      <c r="F2731" s="1" t="inlineStr">
        <is>
          <t>Array, Divide and Conquer, Simulation</t>
        </is>
      </c>
      <c r="G2731" s="1" t="inlineStr">
        <is>
          <t>Medium</t>
        </is>
      </c>
      <c r="H2731" s="1" t="n">
        <v>134458</v>
      </c>
      <c r="I2731" s="1" t="n">
        <v>183366</v>
      </c>
      <c r="J2731" s="9" t="n">
        <v>0.733</v>
      </c>
      <c r="K2731" s="1" t="inlineStr">
        <is>
          <t>Yes</t>
        </is>
      </c>
      <c r="L2731" s="1" t="inlineStr">
        <is>
          <t>Yes</t>
        </is>
      </c>
      <c r="M2731" s="1" t="inlineStr">
        <is>
          <t>No</t>
        </is>
      </c>
      <c r="N2731" s="1" t="inlineStr">
        <is>
          <t>Algorithms</t>
        </is>
      </c>
      <c r="O27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31" s="11" t="inlineStr">
        <is>
          <t>To Do</t>
        </is>
      </c>
    </row>
    <row r="2732" ht="15.75" customHeight="1" s="12">
      <c r="A2732" s="1" t="n">
        <v>3783</v>
      </c>
      <c r="B2732" s="3">
        <f>HYPERLINK("https://leetcode.com/problems/mirror-distance-of-an-integer/", "Mirror Distance of an Integer")</f>
        <v/>
      </c>
      <c r="C2732" s="1" t="n">
        <v>237</v>
      </c>
      <c r="D2732" s="1" t="n">
        <v>10</v>
      </c>
      <c r="E2732" s="4">
        <f>IF(INDEX(C:C, ROW())+INDEX(D:D, ROW())=0, 0, INDEX(C:C, ROW())/(INDEX(C:C, ROW())+INDEX(D:D, ROW())))</f>
        <v/>
      </c>
      <c r="F2732" s="1" t="inlineStr">
        <is>
          <t>Math</t>
        </is>
      </c>
      <c r="G2732" s="1" t="inlineStr">
        <is>
          <t>Easy</t>
        </is>
      </c>
      <c r="H2732" s="1" t="n">
        <v>166200</v>
      </c>
      <c r="I2732" s="1" t="n">
        <v>181577</v>
      </c>
      <c r="J2732" s="9" t="n">
        <v>0.915</v>
      </c>
      <c r="K2732" s="1" t="inlineStr">
        <is>
          <t>Yes</t>
        </is>
      </c>
      <c r="L2732" s="1" t="inlineStr">
        <is>
          <t>Yes</t>
        </is>
      </c>
      <c r="M2732" s="1" t="inlineStr">
        <is>
          <t>No</t>
        </is>
      </c>
      <c r="N2732" s="1" t="inlineStr">
        <is>
          <t>Algorithms</t>
        </is>
      </c>
      <c r="O27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32" s="13" t="inlineStr">
        <is>
          <t>Done</t>
        </is>
      </c>
    </row>
    <row r="2733" ht="15.75" customHeight="1" s="12">
      <c r="A2733" s="1" t="n">
        <v>1384</v>
      </c>
      <c r="B2733" s="3">
        <f>HYPERLINK("https://leetcode.com/problems/total-sales-amount-by-year/", "Total Sales Amount by Year")</f>
        <v/>
      </c>
      <c r="C2733" s="1" t="n">
        <v>236</v>
      </c>
      <c r="D2733" s="1" t="n">
        <v>133</v>
      </c>
      <c r="E2733" s="4">
        <f>IF(INDEX(C:C, ROW())+INDEX(D:D, ROW())=0, 0, INDEX(C:C, ROW())/(INDEX(C:C, ROW())+INDEX(D:D, ROW())))</f>
        <v/>
      </c>
      <c r="F2733" s="1" t="inlineStr">
        <is>
          <t>Database</t>
        </is>
      </c>
      <c r="G2733" s="1" t="inlineStr">
        <is>
          <t>Hard</t>
        </is>
      </c>
      <c r="H2733" s="1" t="n">
        <v>20045</v>
      </c>
      <c r="I2733" s="1" t="n">
        <v>32697</v>
      </c>
      <c r="J2733" s="9" t="n">
        <v>0.613</v>
      </c>
      <c r="K2733" s="1" t="inlineStr">
        <is>
          <t>No</t>
        </is>
      </c>
      <c r="L2733" s="1" t="inlineStr">
        <is>
          <t>No</t>
        </is>
      </c>
      <c r="M2733" s="1" t="inlineStr">
        <is>
          <t>No</t>
        </is>
      </c>
      <c r="N2733" s="1" t="inlineStr">
        <is>
          <t>Database</t>
        </is>
      </c>
      <c r="O27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33" s="11" t="inlineStr">
        <is>
          <t>To Do</t>
        </is>
      </c>
    </row>
    <row r="2734" ht="15.75" customHeight="1" s="12">
      <c r="A2734" s="1" t="n">
        <v>1719</v>
      </c>
      <c r="B2734" s="3">
        <f>HYPERLINK("https://leetcode.com/problems/number-of-ways-to-reconstruct-a-tree/", "Number Of Ways To Reconstruct A Tree")</f>
        <v/>
      </c>
      <c r="C2734" s="1" t="n">
        <v>236</v>
      </c>
      <c r="D2734" s="1" t="n">
        <v>159</v>
      </c>
      <c r="E2734" s="4">
        <f>IF(INDEX(C:C, ROW())+INDEX(D:D, ROW())=0, 0, INDEX(C:C, ROW())/(INDEX(C:C, ROW())+INDEX(D:D, ROW())))</f>
        <v/>
      </c>
      <c r="F2734" s="1" t="inlineStr">
        <is>
          <t>Array, Hash Table, Tree, Graph Theory, Simulation</t>
        </is>
      </c>
      <c r="G2734" s="1" t="inlineStr">
        <is>
          <t>Hard</t>
        </is>
      </c>
      <c r="H2734" s="1" t="n">
        <v>6961</v>
      </c>
      <c r="I2734" s="1" t="n">
        <v>15218</v>
      </c>
      <c r="J2734" s="9" t="n">
        <v>0.457</v>
      </c>
      <c r="K2734" s="1" t="inlineStr">
        <is>
          <t>Yes</t>
        </is>
      </c>
      <c r="L2734" s="1" t="inlineStr">
        <is>
          <t>No</t>
        </is>
      </c>
      <c r="M2734" s="1" t="inlineStr">
        <is>
          <t>No</t>
        </is>
      </c>
      <c r="N2734" s="1" t="inlineStr">
        <is>
          <t>Algorithms</t>
        </is>
      </c>
      <c r="O27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34" s="11" t="inlineStr">
        <is>
          <t>To Do</t>
        </is>
      </c>
    </row>
    <row r="2735" ht="15.75" customHeight="1" s="12">
      <c r="A2735" s="1" t="n">
        <v>1820</v>
      </c>
      <c r="B2735" s="3">
        <f>HYPERLINK("https://leetcode.com/problems/maximum-number-of-accepted-invitations/", "Maximum Number of Accepted Invitations")</f>
        <v/>
      </c>
      <c r="C2735" s="1" t="n">
        <v>236</v>
      </c>
      <c r="D2735" s="1" t="n">
        <v>68</v>
      </c>
      <c r="E2735" s="4">
        <f>IF(INDEX(C:C, ROW())+INDEX(D:D, ROW())=0, 0, INDEX(C:C, ROW())/(INDEX(C:C, ROW())+INDEX(D:D, ROW())))</f>
        <v/>
      </c>
      <c r="F2735" s="1" t="inlineStr">
        <is>
          <t>Array, Depth-First Search, Graph Theory, Matrix</t>
        </is>
      </c>
      <c r="G2735" s="1" t="inlineStr">
        <is>
          <t>Medium</t>
        </is>
      </c>
      <c r="H2735" s="1" t="n">
        <v>11105</v>
      </c>
      <c r="I2735" s="1" t="n">
        <v>21129</v>
      </c>
      <c r="J2735" s="9" t="n">
        <v>0.526</v>
      </c>
      <c r="K2735" s="1" t="inlineStr">
        <is>
          <t>No</t>
        </is>
      </c>
      <c r="L2735" s="1" t="inlineStr">
        <is>
          <t>No</t>
        </is>
      </c>
      <c r="M2735" s="1" t="inlineStr">
        <is>
          <t>No</t>
        </is>
      </c>
      <c r="N2735" s="1" t="inlineStr">
        <is>
          <t>Algorithms</t>
        </is>
      </c>
      <c r="O27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35" s="11" t="inlineStr">
        <is>
          <t>To Do</t>
        </is>
      </c>
    </row>
    <row r="2736" ht="15.75" customHeight="1" s="12">
      <c r="A2736" s="1" t="n">
        <v>1860</v>
      </c>
      <c r="B2736" s="3">
        <f>HYPERLINK("https://leetcode.com/problems/incremental-memory-leak/", "Incremental Memory Leak")</f>
        <v/>
      </c>
      <c r="C2736" s="1" t="n">
        <v>236</v>
      </c>
      <c r="D2736" s="1" t="n">
        <v>93</v>
      </c>
      <c r="E2736" s="4">
        <f>IF(INDEX(C:C, ROW())+INDEX(D:D, ROW())=0, 0, INDEX(C:C, ROW())/(INDEX(C:C, ROW())+INDEX(D:D, ROW())))</f>
        <v/>
      </c>
      <c r="F2736" s="1" t="inlineStr">
        <is>
          <t>Math, Simulation</t>
        </is>
      </c>
      <c r="G2736" s="1" t="inlineStr">
        <is>
          <t>Medium</t>
        </is>
      </c>
      <c r="H2736" s="1" t="n">
        <v>26522</v>
      </c>
      <c r="I2736" s="1" t="n">
        <v>36445</v>
      </c>
      <c r="J2736" s="9" t="n">
        <v>0.728</v>
      </c>
      <c r="K2736" s="1" t="inlineStr">
        <is>
          <t>Yes</t>
        </is>
      </c>
      <c r="L2736" s="1" t="inlineStr">
        <is>
          <t>No</t>
        </is>
      </c>
      <c r="M2736" s="1" t="inlineStr">
        <is>
          <t>No</t>
        </is>
      </c>
      <c r="N2736" s="1" t="inlineStr">
        <is>
          <t>Algorithms</t>
        </is>
      </c>
      <c r="O27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36" s="11" t="inlineStr">
        <is>
          <t>To Do</t>
        </is>
      </c>
    </row>
    <row r="2737" ht="15.75" customHeight="1" s="12">
      <c r="A2737" s="1" t="n">
        <v>2162</v>
      </c>
      <c r="B2737" s="3">
        <f>HYPERLINK("https://leetcode.com/problems/minimum-cost-to-set-cooking-time/", "Minimum Cost to Set Cooking Time")</f>
        <v/>
      </c>
      <c r="C2737" s="1" t="n">
        <v>236</v>
      </c>
      <c r="D2737" s="1" t="n">
        <v>645</v>
      </c>
      <c r="E2737" s="4">
        <f>IF(INDEX(C:C, ROW())+INDEX(D:D, ROW())=0, 0, INDEX(C:C, ROW())/(INDEX(C:C, ROW())+INDEX(D:D, ROW())))</f>
        <v/>
      </c>
      <c r="F2737" s="1" t="inlineStr">
        <is>
          <t>Math, Enumeration</t>
        </is>
      </c>
      <c r="G2737" s="1" t="inlineStr">
        <is>
          <t>Medium</t>
        </is>
      </c>
      <c r="H2737" s="1" t="n">
        <v>20060</v>
      </c>
      <c r="I2737" s="1" t="n">
        <v>48217</v>
      </c>
      <c r="J2737" s="9" t="n">
        <v>0.416</v>
      </c>
      <c r="K2737" s="1" t="inlineStr">
        <is>
          <t>Yes</t>
        </is>
      </c>
      <c r="L2737" s="1" t="inlineStr">
        <is>
          <t>No</t>
        </is>
      </c>
      <c r="M2737" s="1" t="inlineStr">
        <is>
          <t>No</t>
        </is>
      </c>
      <c r="N2737" s="1" t="inlineStr">
        <is>
          <t>Algorithms</t>
        </is>
      </c>
      <c r="O27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37" s="11" t="inlineStr">
        <is>
          <t>To Do</t>
        </is>
      </c>
    </row>
    <row r="2738" ht="15.75" customHeight="1" s="12">
      <c r="A2738" s="1" t="n">
        <v>1273</v>
      </c>
      <c r="B2738" s="3">
        <f>HYPERLINK("https://leetcode.com/problems/delete-tree-nodes/", "Delete Tree Nodes")</f>
        <v/>
      </c>
      <c r="C2738" s="1" t="n">
        <v>235</v>
      </c>
      <c r="D2738" s="1" t="n">
        <v>66</v>
      </c>
      <c r="E2738" s="4">
        <f>IF(INDEX(C:C, ROW())+INDEX(D:D, ROW())=0, 0, INDEX(C:C, ROW())/(INDEX(C:C, ROW())+INDEX(D:D, ROW())))</f>
        <v/>
      </c>
      <c r="F2738" s="1" t="inlineStr">
        <is>
          <t>Array, Tree, Depth-First Search, Breadth-First Search</t>
        </is>
      </c>
      <c r="G2738" s="1" t="inlineStr">
        <is>
          <t>Medium</t>
        </is>
      </c>
      <c r="H2738" s="1" t="n">
        <v>11598</v>
      </c>
      <c r="I2738" s="1" t="n">
        <v>18808</v>
      </c>
      <c r="J2738" s="9" t="n">
        <v>0.617</v>
      </c>
      <c r="K2738" s="1" t="inlineStr">
        <is>
          <t>No</t>
        </is>
      </c>
      <c r="L2738" s="1" t="inlineStr">
        <is>
          <t>No</t>
        </is>
      </c>
      <c r="M2738" s="1" t="inlineStr">
        <is>
          <t>No</t>
        </is>
      </c>
      <c r="N2738" s="1" t="inlineStr">
        <is>
          <t>Algorithms</t>
        </is>
      </c>
      <c r="O27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38" s="11" t="inlineStr">
        <is>
          <t>To Do</t>
        </is>
      </c>
    </row>
    <row r="2739" ht="15.75" customHeight="1" s="12">
      <c r="A2739" s="1" t="n">
        <v>1808</v>
      </c>
      <c r="B2739" s="3">
        <f>HYPERLINK("https://leetcode.com/problems/maximize-number-of-nice-divisors/", "Maximize Number of Nice Divisors")</f>
        <v/>
      </c>
      <c r="C2739" s="1" t="n">
        <v>234</v>
      </c>
      <c r="D2739" s="1" t="n">
        <v>173</v>
      </c>
      <c r="E2739" s="4">
        <f>IF(INDEX(C:C, ROW())+INDEX(D:D, ROW())=0, 0, INDEX(C:C, ROW())/(INDEX(C:C, ROW())+INDEX(D:D, ROW())))</f>
        <v/>
      </c>
      <c r="F2739" s="1" t="inlineStr">
        <is>
          <t>Math, Recursion, Number Theory</t>
        </is>
      </c>
      <c r="G2739" s="1" t="inlineStr">
        <is>
          <t>Hard</t>
        </is>
      </c>
      <c r="H2739" s="1" t="n">
        <v>10422</v>
      </c>
      <c r="I2739" s="1" t="n">
        <v>29005</v>
      </c>
      <c r="J2739" s="9" t="n">
        <v>0.359</v>
      </c>
      <c r="K2739" s="1" t="inlineStr">
        <is>
          <t>Yes</t>
        </is>
      </c>
      <c r="L2739" s="1" t="inlineStr">
        <is>
          <t>No</t>
        </is>
      </c>
      <c r="M2739" s="1" t="inlineStr">
        <is>
          <t>No</t>
        </is>
      </c>
      <c r="N2739" s="1" t="inlineStr">
        <is>
          <t>Algorithms</t>
        </is>
      </c>
      <c r="O27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39" s="11" t="inlineStr">
        <is>
          <t>To Do</t>
        </is>
      </c>
    </row>
    <row r="2740" ht="15.75" customHeight="1" s="12">
      <c r="A2740" s="1" t="n">
        <v>2499</v>
      </c>
      <c r="B2740" s="3">
        <f>HYPERLINK("https://leetcode.com/problems/minimum-total-cost-to-make-arrays-unequal/", "Minimum Total Cost to Make Arrays Unequal")</f>
        <v/>
      </c>
      <c r="C2740" s="1" t="n">
        <v>234</v>
      </c>
      <c r="D2740" s="1" t="n">
        <v>13</v>
      </c>
      <c r="E2740" s="4">
        <f>IF(INDEX(C:C, ROW())+INDEX(D:D, ROW())=0, 0, INDEX(C:C, ROW())/(INDEX(C:C, ROW())+INDEX(D:D, ROW())))</f>
        <v/>
      </c>
      <c r="F2740" s="1" t="inlineStr">
        <is>
          <t>Array, Hash Table, Greedy, Counting</t>
        </is>
      </c>
      <c r="G2740" s="1" t="inlineStr">
        <is>
          <t>Hard</t>
        </is>
      </c>
      <c r="H2740" s="1" t="n">
        <v>6426</v>
      </c>
      <c r="I2740" s="1" t="n">
        <v>15552</v>
      </c>
      <c r="J2740" s="9" t="n">
        <v>0.413</v>
      </c>
      <c r="K2740" s="1" t="inlineStr">
        <is>
          <t>Yes</t>
        </is>
      </c>
      <c r="L2740" s="1" t="inlineStr">
        <is>
          <t>No</t>
        </is>
      </c>
      <c r="M2740" s="1" t="inlineStr">
        <is>
          <t>No</t>
        </is>
      </c>
      <c r="N2740" s="1" t="inlineStr">
        <is>
          <t>Algorithms</t>
        </is>
      </c>
      <c r="O27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40" s="11" t="inlineStr">
        <is>
          <t>To Do</t>
        </is>
      </c>
    </row>
    <row r="2741" ht="15.75" customHeight="1" s="12">
      <c r="A2741" s="1" t="n">
        <v>2724</v>
      </c>
      <c r="B2741" s="3">
        <f>HYPERLINK("https://leetcode.com/problems/sort-by/", "Sort By")</f>
        <v/>
      </c>
      <c r="C2741" s="1" t="n">
        <v>234</v>
      </c>
      <c r="D2741" s="1" t="n">
        <v>49</v>
      </c>
      <c r="E2741" s="4">
        <f>IF(INDEX(C:C, ROW())+INDEX(D:D, ROW())=0, 0, INDEX(C:C, ROW())/(INDEX(C:C, ROW())+INDEX(D:D, ROW())))</f>
        <v/>
      </c>
      <c r="F2741" s="2" t="n"/>
      <c r="G2741" s="1" t="inlineStr">
        <is>
          <t>Easy</t>
        </is>
      </c>
      <c r="H2741" s="1" t="n">
        <v>82114</v>
      </c>
      <c r="I2741" s="1" t="n">
        <v>98865</v>
      </c>
      <c r="J2741" s="9" t="n">
        <v>0.831</v>
      </c>
      <c r="K2741" s="1" t="inlineStr">
        <is>
          <t>Yes</t>
        </is>
      </c>
      <c r="L2741" s="1" t="inlineStr">
        <is>
          <t>Yes</t>
        </is>
      </c>
      <c r="M2741" s="1" t="inlineStr">
        <is>
          <t>No</t>
        </is>
      </c>
      <c r="N2741" s="1" t="inlineStr">
        <is>
          <t>JavaScript</t>
        </is>
      </c>
      <c r="O27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41" s="13" t="inlineStr">
        <is>
          <t>Done</t>
        </is>
      </c>
    </row>
    <row r="2742" ht="15.75" customHeight="1" s="12">
      <c r="A2742" s="1" t="n">
        <v>3286</v>
      </c>
      <c r="B2742" s="3">
        <f>HYPERLINK("https://leetcode.com/problems/find-a-safe-walk-through-a-grid/", "Find a Safe Walk Through a Grid")</f>
        <v/>
      </c>
      <c r="C2742" s="1" t="n">
        <v>234</v>
      </c>
      <c r="D2742" s="1" t="n">
        <v>14</v>
      </c>
      <c r="E2742" s="4">
        <f>IF(INDEX(C:C, ROW())+INDEX(D:D, ROW())=0, 0, INDEX(C:C, ROW())/(INDEX(C:C, ROW())+INDEX(D:D, ROW())))</f>
        <v/>
      </c>
      <c r="F2742" s="1" t="inlineStr">
        <is>
          <t>Array, Breadth-First Search, Graph Theory, Heap (Priority Queue), Matrix, Shortest Path</t>
        </is>
      </c>
      <c r="G2742" s="1" t="inlineStr">
        <is>
          <t>Medium</t>
        </is>
      </c>
      <c r="H2742" s="1" t="n">
        <v>36692</v>
      </c>
      <c r="I2742" s="1" t="n">
        <v>110596</v>
      </c>
      <c r="J2742" s="9" t="n">
        <v>0.332</v>
      </c>
      <c r="K2742" s="1" t="inlineStr">
        <is>
          <t>Yes</t>
        </is>
      </c>
      <c r="L2742" s="1" t="inlineStr">
        <is>
          <t>No</t>
        </is>
      </c>
      <c r="M2742" s="1" t="inlineStr">
        <is>
          <t>No</t>
        </is>
      </c>
      <c r="N2742" s="1" t="inlineStr">
        <is>
          <t>Algorithms</t>
        </is>
      </c>
      <c r="O27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42" s="11" t="inlineStr">
        <is>
          <t>To Do</t>
        </is>
      </c>
    </row>
    <row r="2743" ht="15.75" customHeight="1" s="12">
      <c r="A2743" s="1" t="n">
        <v>2862</v>
      </c>
      <c r="B2743" s="3">
        <f>HYPERLINK("https://leetcode.com/problems/maximum-element-sum-of-a-complete-subset-of-indices/", "Maximum Element-Sum of a Complete Subset of Indices")</f>
        <v/>
      </c>
      <c r="C2743" s="1" t="n">
        <v>233</v>
      </c>
      <c r="D2743" s="1" t="n">
        <v>59</v>
      </c>
      <c r="E2743" s="4">
        <f>IF(INDEX(C:C, ROW())+INDEX(D:D, ROW())=0, 0, INDEX(C:C, ROW())/(INDEX(C:C, ROW())+INDEX(D:D, ROW())))</f>
        <v/>
      </c>
      <c r="F2743" s="1" t="inlineStr">
        <is>
          <t>Array, Math, Number Theory</t>
        </is>
      </c>
      <c r="G2743" s="1" t="inlineStr">
        <is>
          <t>Hard</t>
        </is>
      </c>
      <c r="H2743" s="1" t="n">
        <v>9633</v>
      </c>
      <c r="I2743" s="1" t="n">
        <v>22460</v>
      </c>
      <c r="J2743" s="9" t="n">
        <v>0.429</v>
      </c>
      <c r="K2743" s="1" t="inlineStr">
        <is>
          <t>Yes</t>
        </is>
      </c>
      <c r="L2743" s="1" t="inlineStr">
        <is>
          <t>No</t>
        </is>
      </c>
      <c r="M2743" s="1" t="inlineStr">
        <is>
          <t>No</t>
        </is>
      </c>
      <c r="N2743" s="1" t="inlineStr">
        <is>
          <t>Algorithms</t>
        </is>
      </c>
      <c r="O27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43" s="11" t="inlineStr">
        <is>
          <t>To Do</t>
        </is>
      </c>
    </row>
    <row r="2744" ht="15.75" customHeight="1" s="12">
      <c r="A2744" s="1" t="n">
        <v>293</v>
      </c>
      <c r="B2744" s="3">
        <f>HYPERLINK("https://leetcode.com/problems/flip-game/", "Flip Game")</f>
        <v/>
      </c>
      <c r="C2744" s="1" t="n">
        <v>232</v>
      </c>
      <c r="D2744" s="1" t="n">
        <v>478</v>
      </c>
      <c r="E2744" s="4">
        <f>IF(INDEX(C:C, ROW())+INDEX(D:D, ROW())=0, 0, INDEX(C:C, ROW())/(INDEX(C:C, ROW())+INDEX(D:D, ROW())))</f>
        <v/>
      </c>
      <c r="F2744" s="1" t="inlineStr">
        <is>
          <t>String</t>
        </is>
      </c>
      <c r="G2744" s="1" t="inlineStr">
        <is>
          <t>Easy</t>
        </is>
      </c>
      <c r="H2744" s="1" t="n">
        <v>79427</v>
      </c>
      <c r="I2744" s="1" t="n">
        <v>122109</v>
      </c>
      <c r="J2744" s="9" t="n">
        <v>0.65</v>
      </c>
      <c r="K2744" s="1" t="inlineStr">
        <is>
          <t>No</t>
        </is>
      </c>
      <c r="L2744" s="1" t="inlineStr">
        <is>
          <t>Yes</t>
        </is>
      </c>
      <c r="M2744" s="1" t="inlineStr">
        <is>
          <t>No</t>
        </is>
      </c>
      <c r="N2744" s="1" t="inlineStr">
        <is>
          <t>Algorithms</t>
        </is>
      </c>
      <c r="O27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44" s="11" t="inlineStr">
        <is>
          <t>To Do</t>
        </is>
      </c>
    </row>
    <row r="2745" ht="15.75" customHeight="1" s="12">
      <c r="A2745" s="1" t="n">
        <v>1440</v>
      </c>
      <c r="B2745" s="3">
        <f>HYPERLINK("https://leetcode.com/problems/evaluate-boolean-expression/", "Evaluate Boolean Expression")</f>
        <v/>
      </c>
      <c r="C2745" s="1" t="n">
        <v>232</v>
      </c>
      <c r="D2745" s="1" t="n">
        <v>41</v>
      </c>
      <c r="E2745" s="4">
        <f>IF(INDEX(C:C, ROW())+INDEX(D:D, ROW())=0, 0, INDEX(C:C, ROW())/(INDEX(C:C, ROW())+INDEX(D:D, ROW())))</f>
        <v/>
      </c>
      <c r="F2745" s="1" t="inlineStr">
        <is>
          <t>Database</t>
        </is>
      </c>
      <c r="G2745" s="1" t="inlineStr">
        <is>
          <t>Medium</t>
        </is>
      </c>
      <c r="H2745" s="1" t="n">
        <v>38909</v>
      </c>
      <c r="I2745" s="1" t="n">
        <v>54256</v>
      </c>
      <c r="J2745" s="9" t="n">
        <v>0.717</v>
      </c>
      <c r="K2745" s="1" t="inlineStr">
        <is>
          <t>No</t>
        </is>
      </c>
      <c r="L2745" s="1" t="inlineStr">
        <is>
          <t>No</t>
        </is>
      </c>
      <c r="M2745" s="1" t="inlineStr">
        <is>
          <t>No</t>
        </is>
      </c>
      <c r="N2745" s="1" t="inlineStr">
        <is>
          <t>Database</t>
        </is>
      </c>
      <c r="O27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45" s="11" t="inlineStr">
        <is>
          <t>To Do</t>
        </is>
      </c>
    </row>
    <row r="2746" ht="15.75" customHeight="1" s="12">
      <c r="A2746" s="1" t="n">
        <v>1904</v>
      </c>
      <c r="B2746" s="3">
        <f>HYPERLINK("https://leetcode.com/problems/the-number-of-full-rounds-you-have-played/", "The Number of Full Rounds You Have Played")</f>
        <v/>
      </c>
      <c r="C2746" s="1" t="n">
        <v>232</v>
      </c>
      <c r="D2746" s="1" t="n">
        <v>265</v>
      </c>
      <c r="E2746" s="4">
        <f>IF(INDEX(C:C, ROW())+INDEX(D:D, ROW())=0, 0, INDEX(C:C, ROW())/(INDEX(C:C, ROW())+INDEX(D:D, ROW())))</f>
        <v/>
      </c>
      <c r="F2746" s="1" t="inlineStr">
        <is>
          <t>Math, String</t>
        </is>
      </c>
      <c r="G2746" s="1" t="inlineStr">
        <is>
          <t>Medium</t>
        </is>
      </c>
      <c r="H2746" s="1" t="n">
        <v>25910</v>
      </c>
      <c r="I2746" s="1" t="n">
        <v>59653</v>
      </c>
      <c r="J2746" s="9" t="n">
        <v>0.434</v>
      </c>
      <c r="K2746" s="1" t="inlineStr">
        <is>
          <t>Yes</t>
        </is>
      </c>
      <c r="L2746" s="1" t="inlineStr">
        <is>
          <t>No</t>
        </is>
      </c>
      <c r="M2746" s="1" t="inlineStr">
        <is>
          <t>No</t>
        </is>
      </c>
      <c r="N2746" s="1" t="inlineStr">
        <is>
          <t>Algorithms</t>
        </is>
      </c>
      <c r="O27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46" s="11" t="inlineStr">
        <is>
          <t>To Do</t>
        </is>
      </c>
    </row>
    <row r="2747" ht="15.75" customHeight="1" s="12">
      <c r="A2747" s="1" t="n">
        <v>1196</v>
      </c>
      <c r="B2747" s="3">
        <f>HYPERLINK("https://leetcode.com/problems/how-many-apples-can-you-put-into-the-basket/", "How Many Apples Can You Put into the Basket")</f>
        <v/>
      </c>
      <c r="C2747" s="1" t="n">
        <v>230</v>
      </c>
      <c r="D2747" s="1" t="n">
        <v>17</v>
      </c>
      <c r="E2747" s="4">
        <f>IF(INDEX(C:C, ROW())+INDEX(D:D, ROW())=0, 0, INDEX(C:C, ROW())/(INDEX(C:C, ROW())+INDEX(D:D, ROW())))</f>
        <v/>
      </c>
      <c r="F2747" s="1" t="inlineStr">
        <is>
          <t>Array, Greedy, Sorting</t>
        </is>
      </c>
      <c r="G2747" s="1" t="inlineStr">
        <is>
          <t>Easy</t>
        </is>
      </c>
      <c r="H2747" s="1" t="n">
        <v>52119</v>
      </c>
      <c r="I2747" s="1" t="n">
        <v>77687</v>
      </c>
      <c r="J2747" s="9" t="n">
        <v>0.671</v>
      </c>
      <c r="K2747" s="1" t="inlineStr">
        <is>
          <t>No</t>
        </is>
      </c>
      <c r="L2747" s="1" t="inlineStr">
        <is>
          <t>Yes</t>
        </is>
      </c>
      <c r="M2747" s="1" t="inlineStr">
        <is>
          <t>Yes</t>
        </is>
      </c>
      <c r="N2747" s="1" t="inlineStr">
        <is>
          <t>Algorithms</t>
        </is>
      </c>
      <c r="O27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47" s="11" t="inlineStr">
        <is>
          <t>To Do</t>
        </is>
      </c>
    </row>
    <row r="2748" ht="15.75" customHeight="1" s="12">
      <c r="A2748" s="1" t="n">
        <v>2705</v>
      </c>
      <c r="B2748" s="3">
        <f>HYPERLINK("https://leetcode.com/problems/compact-object/", "Compact Object")</f>
        <v/>
      </c>
      <c r="C2748" s="1" t="n">
        <v>230</v>
      </c>
      <c r="D2748" s="1" t="n">
        <v>25</v>
      </c>
      <c r="E2748" s="4">
        <f>IF(INDEX(C:C, ROW())+INDEX(D:D, ROW())=0, 0, INDEX(C:C, ROW())/(INDEX(C:C, ROW())+INDEX(D:D, ROW())))</f>
        <v/>
      </c>
      <c r="F2748" s="2" t="n"/>
      <c r="G2748" s="1" t="inlineStr">
        <is>
          <t>Medium</t>
        </is>
      </c>
      <c r="H2748" s="1" t="n">
        <v>48231</v>
      </c>
      <c r="I2748" s="1" t="n">
        <v>70795</v>
      </c>
      <c r="J2748" s="9" t="n">
        <v>0.681</v>
      </c>
      <c r="K2748" s="1" t="inlineStr">
        <is>
          <t>Yes</t>
        </is>
      </c>
      <c r="L2748" s="1" t="inlineStr">
        <is>
          <t>Yes</t>
        </is>
      </c>
      <c r="M2748" s="1" t="inlineStr">
        <is>
          <t>No</t>
        </is>
      </c>
      <c r="N2748" s="1" t="inlineStr">
        <is>
          <t>JavaScript</t>
        </is>
      </c>
      <c r="O27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48" s="11" t="inlineStr">
        <is>
          <t>To Do</t>
        </is>
      </c>
    </row>
    <row r="2749" ht="15.75" customHeight="1" s="12">
      <c r="A2749" s="1" t="n">
        <v>3276</v>
      </c>
      <c r="B2749" s="3">
        <f>HYPERLINK("https://leetcode.com/problems/select-cells-in-grid-with-maximum-score/", "Select Cells in Grid With Maximum Score")</f>
        <v/>
      </c>
      <c r="C2749" s="1" t="n">
        <v>230</v>
      </c>
      <c r="D2749" s="1" t="n">
        <v>6</v>
      </c>
      <c r="E2749" s="4">
        <f>IF(INDEX(C:C, ROW())+INDEX(D:D, ROW())=0, 0, INDEX(C:C, ROW())/(INDEX(C:C, ROW())+INDEX(D:D, ROW())))</f>
        <v/>
      </c>
      <c r="F2749" s="1" t="inlineStr">
        <is>
          <t>Array, Dynamic Programming, Bit Manipulation, Matrix, Bitmask</t>
        </is>
      </c>
      <c r="G2749" s="1" t="inlineStr">
        <is>
          <t>Hard</t>
        </is>
      </c>
      <c r="H2749" s="1" t="n">
        <v>12618</v>
      </c>
      <c r="I2749" s="1" t="n">
        <v>79842</v>
      </c>
      <c r="J2749" s="9" t="n">
        <v>0.158</v>
      </c>
      <c r="K2749" s="1" t="inlineStr">
        <is>
          <t>Yes</t>
        </is>
      </c>
      <c r="L2749" s="1" t="inlineStr">
        <is>
          <t>No</t>
        </is>
      </c>
      <c r="M2749" s="1" t="inlineStr">
        <is>
          <t>No</t>
        </is>
      </c>
      <c r="N2749" s="1" t="inlineStr">
        <is>
          <t>Algorithms</t>
        </is>
      </c>
      <c r="O27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49" s="11" t="inlineStr">
        <is>
          <t>To Do</t>
        </is>
      </c>
    </row>
    <row r="2750" ht="15.75" customHeight="1" s="12">
      <c r="A2750" s="1" t="n">
        <v>3282</v>
      </c>
      <c r="B2750" s="3">
        <f>HYPERLINK("https://leetcode.com/problems/reach-end-of-array-with-max-score/", "Reach End of Array With Max Score")</f>
        <v/>
      </c>
      <c r="C2750" s="1" t="n">
        <v>230</v>
      </c>
      <c r="D2750" s="1" t="n">
        <v>16</v>
      </c>
      <c r="E2750" s="4">
        <f>IF(INDEX(C:C, ROW())+INDEX(D:D, ROW())=0, 0, INDEX(C:C, ROW())/(INDEX(C:C, ROW())+INDEX(D:D, ROW())))</f>
        <v/>
      </c>
      <c r="F2750" s="1" t="inlineStr">
        <is>
          <t>Array, Greedy</t>
        </is>
      </c>
      <c r="G2750" s="1" t="inlineStr">
        <is>
          <t>Medium</t>
        </is>
      </c>
      <c r="H2750" s="1" t="n">
        <v>29407</v>
      </c>
      <c r="I2750" s="1" t="n">
        <v>87421</v>
      </c>
      <c r="J2750" s="9" t="n">
        <v>0.336</v>
      </c>
      <c r="K2750" s="1" t="inlineStr">
        <is>
          <t>Yes</t>
        </is>
      </c>
      <c r="L2750" s="1" t="inlineStr">
        <is>
          <t>No</t>
        </is>
      </c>
      <c r="M2750" s="1" t="inlineStr">
        <is>
          <t>No</t>
        </is>
      </c>
      <c r="N2750" s="1" t="inlineStr">
        <is>
          <t>Algorithms</t>
        </is>
      </c>
      <c r="O27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50" s="11" t="inlineStr">
        <is>
          <t>To Do</t>
        </is>
      </c>
    </row>
    <row r="2751" ht="15.75" customHeight="1" s="12">
      <c r="A2751" s="1" t="n">
        <v>2717</v>
      </c>
      <c r="B2751" s="3">
        <f>HYPERLINK("https://leetcode.com/problems/semi-ordered-permutation/", "Semi-Ordered Permutation")</f>
        <v/>
      </c>
      <c r="C2751" s="1" t="n">
        <v>229</v>
      </c>
      <c r="D2751" s="1" t="n">
        <v>21</v>
      </c>
      <c r="E2751" s="4">
        <f>IF(INDEX(C:C, ROW())+INDEX(D:D, ROW())=0, 0, INDEX(C:C, ROW())/(INDEX(C:C, ROW())+INDEX(D:D, ROW())))</f>
        <v/>
      </c>
      <c r="F2751" s="1" t="inlineStr">
        <is>
          <t>Array, Simulation</t>
        </is>
      </c>
      <c r="G2751" s="1" t="inlineStr">
        <is>
          <t>Easy</t>
        </is>
      </c>
      <c r="H2751" s="1" t="n">
        <v>38414</v>
      </c>
      <c r="I2751" s="1" t="n">
        <v>59836</v>
      </c>
      <c r="J2751" s="9" t="n">
        <v>0.642</v>
      </c>
      <c r="K2751" s="1" t="inlineStr">
        <is>
          <t>Yes</t>
        </is>
      </c>
      <c r="L2751" s="1" t="inlineStr">
        <is>
          <t>No</t>
        </is>
      </c>
      <c r="M2751" s="1" t="inlineStr">
        <is>
          <t>No</t>
        </is>
      </c>
      <c r="N2751" s="1" t="inlineStr">
        <is>
          <t>Algorithms</t>
        </is>
      </c>
      <c r="O27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51" s="13" t="inlineStr">
        <is>
          <t>Done</t>
        </is>
      </c>
    </row>
    <row r="2752" ht="15.75" customHeight="1" s="12">
      <c r="A2752" s="1" t="n">
        <v>2933</v>
      </c>
      <c r="B2752" s="3">
        <f>HYPERLINK("https://leetcode.com/problems/high-access-employees/", "High-Access Employees")</f>
        <v/>
      </c>
      <c r="C2752" s="1" t="n">
        <v>229</v>
      </c>
      <c r="D2752" s="1" t="n">
        <v>22</v>
      </c>
      <c r="E2752" s="4">
        <f>IF(INDEX(C:C, ROW())+INDEX(D:D, ROW())=0, 0, INDEX(C:C, ROW())/(INDEX(C:C, ROW())+INDEX(D:D, ROW())))</f>
        <v/>
      </c>
      <c r="F2752" s="1" t="inlineStr">
        <is>
          <t>Array, Hash Table, String, Sorting</t>
        </is>
      </c>
      <c r="G2752" s="1" t="inlineStr">
        <is>
          <t>Medium</t>
        </is>
      </c>
      <c r="H2752" s="1" t="n">
        <v>33499</v>
      </c>
      <c r="I2752" s="1" t="n">
        <v>70591</v>
      </c>
      <c r="J2752" s="9" t="n">
        <v>0.475</v>
      </c>
      <c r="K2752" s="1" t="inlineStr">
        <is>
          <t>Yes</t>
        </is>
      </c>
      <c r="L2752" s="1" t="inlineStr">
        <is>
          <t>No</t>
        </is>
      </c>
      <c r="M2752" s="1" t="inlineStr">
        <is>
          <t>No</t>
        </is>
      </c>
      <c r="N2752" s="1" t="inlineStr">
        <is>
          <t>Algorithms</t>
        </is>
      </c>
      <c r="O27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52" s="11" t="inlineStr">
        <is>
          <t>To Do</t>
        </is>
      </c>
    </row>
    <row r="2753" ht="15.75" customHeight="1" s="12">
      <c r="A2753" s="1" t="n">
        <v>1412</v>
      </c>
      <c r="B2753" s="3">
        <f>HYPERLINK("https://leetcode.com/problems/find-the-quiet-students-in-all-exams/", "Find the Quiet Students in All Exams")</f>
        <v/>
      </c>
      <c r="C2753" s="1" t="n">
        <v>228</v>
      </c>
      <c r="D2753" s="1" t="n">
        <v>28</v>
      </c>
      <c r="E2753" s="4">
        <f>IF(INDEX(C:C, ROW())+INDEX(D:D, ROW())=0, 0, INDEX(C:C, ROW())/(INDEX(C:C, ROW())+INDEX(D:D, ROW())))</f>
        <v/>
      </c>
      <c r="F2753" s="1" t="inlineStr">
        <is>
          <t>Database</t>
        </is>
      </c>
      <c r="G2753" s="1" t="inlineStr">
        <is>
          <t>Hard</t>
        </is>
      </c>
      <c r="H2753" s="1" t="n">
        <v>35495</v>
      </c>
      <c r="I2753" s="1" t="n">
        <v>61186</v>
      </c>
      <c r="J2753" s="9" t="n">
        <v>0.58</v>
      </c>
      <c r="K2753" s="1" t="inlineStr">
        <is>
          <t>No</t>
        </is>
      </c>
      <c r="L2753" s="1" t="inlineStr">
        <is>
          <t>No</t>
        </is>
      </c>
      <c r="M2753" s="1" t="inlineStr">
        <is>
          <t>No</t>
        </is>
      </c>
      <c r="N2753" s="1" t="inlineStr">
        <is>
          <t>Database</t>
        </is>
      </c>
      <c r="O27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53" s="11" t="inlineStr">
        <is>
          <t>To Do</t>
        </is>
      </c>
    </row>
    <row r="2754" ht="15.75" customHeight="1" s="12">
      <c r="A2754" s="1" t="n">
        <v>1580</v>
      </c>
      <c r="B2754" s="3">
        <f>HYPERLINK("https://leetcode.com/problems/put-boxes-into-the-warehouse-ii/", "Put Boxes Into the Warehouse II")</f>
        <v/>
      </c>
      <c r="C2754" s="1" t="n">
        <v>228</v>
      </c>
      <c r="D2754" s="1" t="n">
        <v>12</v>
      </c>
      <c r="E2754" s="4">
        <f>IF(INDEX(C:C, ROW())+INDEX(D:D, ROW())=0, 0, INDEX(C:C, ROW())/(INDEX(C:C, ROW())+INDEX(D:D, ROW())))</f>
        <v/>
      </c>
      <c r="F2754" s="1" t="inlineStr">
        <is>
          <t>Array, Greedy, Sorting</t>
        </is>
      </c>
      <c r="G2754" s="1" t="inlineStr">
        <is>
          <t>Medium</t>
        </is>
      </c>
      <c r="H2754" s="1" t="n">
        <v>10976</v>
      </c>
      <c r="I2754" s="1" t="n">
        <v>16661</v>
      </c>
      <c r="J2754" s="9" t="n">
        <v>0.659</v>
      </c>
      <c r="K2754" s="1" t="inlineStr">
        <is>
          <t>No</t>
        </is>
      </c>
      <c r="L2754" s="1" t="inlineStr">
        <is>
          <t>Yes</t>
        </is>
      </c>
      <c r="M2754" s="1" t="inlineStr">
        <is>
          <t>No</t>
        </is>
      </c>
      <c r="N2754" s="1" t="inlineStr">
        <is>
          <t>Algorithms</t>
        </is>
      </c>
      <c r="O27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54" s="11" t="inlineStr">
        <is>
          <t>To Do</t>
        </is>
      </c>
    </row>
    <row r="2755" ht="15.75" customHeight="1" s="12">
      <c r="A2755" s="1" t="n">
        <v>3371</v>
      </c>
      <c r="B2755" s="3">
        <f>HYPERLINK("https://leetcode.com/problems/identify-the-largest-outlier-in-an-array/", "Identify the Largest Outlier in an Array")</f>
        <v/>
      </c>
      <c r="C2755" s="1" t="n">
        <v>228</v>
      </c>
      <c r="D2755" s="1" t="n">
        <v>30</v>
      </c>
      <c r="E2755" s="4">
        <f>IF(INDEX(C:C, ROW())+INDEX(D:D, ROW())=0, 0, INDEX(C:C, ROW())/(INDEX(C:C, ROW())+INDEX(D:D, ROW())))</f>
        <v/>
      </c>
      <c r="F2755" s="1" t="inlineStr">
        <is>
          <t>Array, Hash Table, Counting, Enumeration</t>
        </is>
      </c>
      <c r="G2755" s="1" t="inlineStr">
        <is>
          <t>Medium</t>
        </is>
      </c>
      <c r="H2755" s="1" t="n">
        <v>52649</v>
      </c>
      <c r="I2755" s="1" t="n">
        <v>145079</v>
      </c>
      <c r="J2755" s="9" t="n">
        <v>0.363</v>
      </c>
      <c r="K2755" s="1" t="inlineStr">
        <is>
          <t>Yes</t>
        </is>
      </c>
      <c r="L2755" s="1" t="inlineStr">
        <is>
          <t>No</t>
        </is>
      </c>
      <c r="M2755" s="1" t="inlineStr">
        <is>
          <t>No</t>
        </is>
      </c>
      <c r="N2755" s="1" t="inlineStr">
        <is>
          <t>Algorithms</t>
        </is>
      </c>
      <c r="O27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55" s="11" t="inlineStr">
        <is>
          <t>To Do</t>
        </is>
      </c>
    </row>
    <row r="2756" ht="15.75" customHeight="1" s="12">
      <c r="A2756" s="1" t="n">
        <v>1709</v>
      </c>
      <c r="B2756" s="3">
        <f>HYPERLINK("https://leetcode.com/problems/biggest-window-between-visits/", "Biggest Window Between Visits")</f>
        <v/>
      </c>
      <c r="C2756" s="1" t="n">
        <v>227</v>
      </c>
      <c r="D2756" s="1" t="n">
        <v>17</v>
      </c>
      <c r="E2756" s="4">
        <f>IF(INDEX(C:C, ROW())+INDEX(D:D, ROW())=0, 0, INDEX(C:C, ROW())/(INDEX(C:C, ROW())+INDEX(D:D, ROW())))</f>
        <v/>
      </c>
      <c r="F2756" s="1" t="inlineStr">
        <is>
          <t>Database</t>
        </is>
      </c>
      <c r="G2756" s="1" t="inlineStr">
        <is>
          <t>Medium</t>
        </is>
      </c>
      <c r="H2756" s="1" t="n">
        <v>33186</v>
      </c>
      <c r="I2756" s="1" t="n">
        <v>47646</v>
      </c>
      <c r="J2756" s="9" t="n">
        <v>0.697</v>
      </c>
      <c r="K2756" s="1" t="inlineStr">
        <is>
          <t>No</t>
        </is>
      </c>
      <c r="L2756" s="1" t="inlineStr">
        <is>
          <t>Yes</t>
        </is>
      </c>
      <c r="M2756" s="1" t="inlineStr">
        <is>
          <t>No</t>
        </is>
      </c>
      <c r="N2756" s="1" t="inlineStr">
        <is>
          <t>Database</t>
        </is>
      </c>
      <c r="O27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56" s="11" t="inlineStr">
        <is>
          <t>To Do</t>
        </is>
      </c>
    </row>
    <row r="2757" ht="15.75" customHeight="1" s="12">
      <c r="A2757" s="1" t="n">
        <v>612</v>
      </c>
      <c r="B2757" s="3">
        <f>HYPERLINK("https://leetcode.com/problems/shortest-distance-in-a-plane/", "Shortest Distance in a Plane")</f>
        <v/>
      </c>
      <c r="C2757" s="1" t="n">
        <v>226</v>
      </c>
      <c r="D2757" s="1" t="n">
        <v>72</v>
      </c>
      <c r="E2757" s="4">
        <f>IF(INDEX(C:C, ROW())+INDEX(D:D, ROW())=0, 0, INDEX(C:C, ROW())/(INDEX(C:C, ROW())+INDEX(D:D, ROW())))</f>
        <v/>
      </c>
      <c r="F2757" s="1" t="inlineStr">
        <is>
          <t>Database</t>
        </is>
      </c>
      <c r="G2757" s="1" t="inlineStr">
        <is>
          <t>Medium</t>
        </is>
      </c>
      <c r="H2757" s="1" t="n">
        <v>48906</v>
      </c>
      <c r="I2757" s="1" t="n">
        <v>80215</v>
      </c>
      <c r="J2757" s="9" t="n">
        <v>0.61</v>
      </c>
      <c r="K2757" s="1" t="inlineStr">
        <is>
          <t>No</t>
        </is>
      </c>
      <c r="L2757" s="1" t="inlineStr">
        <is>
          <t>Yes</t>
        </is>
      </c>
      <c r="M2757" s="1" t="inlineStr">
        <is>
          <t>No</t>
        </is>
      </c>
      <c r="N2757" s="1" t="inlineStr">
        <is>
          <t>Database</t>
        </is>
      </c>
      <c r="O27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57" s="11" t="inlineStr">
        <is>
          <t>To Do</t>
        </is>
      </c>
    </row>
    <row r="2758" ht="15.75" customHeight="1" s="12">
      <c r="A2758" s="1" t="n">
        <v>2232</v>
      </c>
      <c r="B2758" s="3">
        <f>HYPERLINK("https://leetcode.com/problems/minimize-result-by-adding-parentheses-to-expression/", "Minimize Result by Adding Parentheses to Expression")</f>
        <v/>
      </c>
      <c r="C2758" s="1" t="n">
        <v>226</v>
      </c>
      <c r="D2758" s="1" t="n">
        <v>345</v>
      </c>
      <c r="E2758" s="4">
        <f>IF(INDEX(C:C, ROW())+INDEX(D:D, ROW())=0, 0, INDEX(C:C, ROW())/(INDEX(C:C, ROW())+INDEX(D:D, ROW())))</f>
        <v/>
      </c>
      <c r="F2758" s="1" t="inlineStr">
        <is>
          <t>String, Enumeration</t>
        </is>
      </c>
      <c r="G2758" s="1" t="inlineStr">
        <is>
          <t>Medium</t>
        </is>
      </c>
      <c r="H2758" s="1" t="n">
        <v>27192</v>
      </c>
      <c r="I2758" s="1" t="n">
        <v>39935</v>
      </c>
      <c r="J2758" s="9" t="n">
        <v>0.681</v>
      </c>
      <c r="K2758" s="1" t="inlineStr">
        <is>
          <t>Yes</t>
        </is>
      </c>
      <c r="L2758" s="1" t="inlineStr">
        <is>
          <t>No</t>
        </is>
      </c>
      <c r="M2758" s="1" t="inlineStr">
        <is>
          <t>No</t>
        </is>
      </c>
      <c r="N2758" s="1" t="inlineStr">
        <is>
          <t>Algorithms</t>
        </is>
      </c>
      <c r="O27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58" s="11" t="inlineStr">
        <is>
          <t>To Do</t>
        </is>
      </c>
    </row>
    <row r="2759" ht="15.75" customHeight="1" s="12">
      <c r="A2759" s="1" t="n">
        <v>3153</v>
      </c>
      <c r="B2759" s="3">
        <f>HYPERLINK("https://leetcode.com/problems/sum-of-digit-differences-of-all-pairs/", "Sum of Digit Differences of All Pairs")</f>
        <v/>
      </c>
      <c r="C2759" s="1" t="n">
        <v>226</v>
      </c>
      <c r="D2759" s="1" t="n">
        <v>20</v>
      </c>
      <c r="E2759" s="4">
        <f>IF(INDEX(C:C, ROW())+INDEX(D:D, ROW())=0, 0, INDEX(C:C, ROW())/(INDEX(C:C, ROW())+INDEX(D:D, ROW())))</f>
        <v/>
      </c>
      <c r="F2759" s="1" t="inlineStr">
        <is>
          <t>Array, Hash Table, Math, Counting</t>
        </is>
      </c>
      <c r="G2759" s="1" t="inlineStr">
        <is>
          <t>Medium</t>
        </is>
      </c>
      <c r="H2759" s="1" t="n">
        <v>29609</v>
      </c>
      <c r="I2759" s="1" t="n">
        <v>68779</v>
      </c>
      <c r="J2759" s="9" t="n">
        <v>0.43</v>
      </c>
      <c r="K2759" s="1" t="inlineStr">
        <is>
          <t>Yes</t>
        </is>
      </c>
      <c r="L2759" s="1" t="inlineStr">
        <is>
          <t>No</t>
        </is>
      </c>
      <c r="M2759" s="1" t="inlineStr">
        <is>
          <t>No</t>
        </is>
      </c>
      <c r="N2759" s="1" t="inlineStr">
        <is>
          <t>Algorithms</t>
        </is>
      </c>
      <c r="O27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59" s="11" t="inlineStr">
        <is>
          <t>To Do</t>
        </is>
      </c>
    </row>
    <row r="2760" ht="15.75" customHeight="1" s="12">
      <c r="A2760" s="1" t="n">
        <v>3281</v>
      </c>
      <c r="B2760" s="3">
        <f>HYPERLINK("https://leetcode.com/problems/maximize-score-of-numbers-in-ranges/", "Maximize Score of Numbers in Ranges")</f>
        <v/>
      </c>
      <c r="C2760" s="1" t="n">
        <v>226</v>
      </c>
      <c r="D2760" s="1" t="n">
        <v>50</v>
      </c>
      <c r="E2760" s="4">
        <f>IF(INDEX(C:C, ROW())+INDEX(D:D, ROW())=0, 0, INDEX(C:C, ROW())/(INDEX(C:C, ROW())+INDEX(D:D, ROW())))</f>
        <v/>
      </c>
      <c r="F2760" s="1" t="inlineStr">
        <is>
          <t>Array, Binary Search, Greedy, Sorting</t>
        </is>
      </c>
      <c r="G2760" s="1" t="inlineStr">
        <is>
          <t>Medium</t>
        </is>
      </c>
      <c r="H2760" s="1" t="n">
        <v>23899</v>
      </c>
      <c r="I2760" s="1" t="n">
        <v>66919</v>
      </c>
      <c r="J2760" s="9" t="n">
        <v>0.357</v>
      </c>
      <c r="K2760" s="1" t="inlineStr">
        <is>
          <t>Yes</t>
        </is>
      </c>
      <c r="L2760" s="1" t="inlineStr">
        <is>
          <t>No</t>
        </is>
      </c>
      <c r="M2760" s="1" t="inlineStr">
        <is>
          <t>No</t>
        </is>
      </c>
      <c r="N2760" s="1" t="inlineStr">
        <is>
          <t>Algorithms</t>
        </is>
      </c>
      <c r="O27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60" s="11" t="inlineStr">
        <is>
          <t>To Do</t>
        </is>
      </c>
    </row>
    <row r="2761" ht="15.75" customHeight="1" s="12">
      <c r="A2761" s="1" t="n">
        <v>1308</v>
      </c>
      <c r="B2761" s="3">
        <f>HYPERLINK("https://leetcode.com/problems/running-total-for-different-genders/", "Running Total for Different Genders")</f>
        <v/>
      </c>
      <c r="C2761" s="1" t="n">
        <v>225</v>
      </c>
      <c r="D2761" s="1" t="n">
        <v>70</v>
      </c>
      <c r="E2761" s="4">
        <f>IF(INDEX(C:C, ROW())+INDEX(D:D, ROW())=0, 0, INDEX(C:C, ROW())/(INDEX(C:C, ROW())+INDEX(D:D, ROW())))</f>
        <v/>
      </c>
      <c r="F2761" s="1" t="inlineStr">
        <is>
          <t>Database</t>
        </is>
      </c>
      <c r="G2761" s="1" t="inlineStr">
        <is>
          <t>Medium</t>
        </is>
      </c>
      <c r="H2761" s="1" t="n">
        <v>47470</v>
      </c>
      <c r="I2761" s="1" t="n">
        <v>55151</v>
      </c>
      <c r="J2761" s="9" t="n">
        <v>0.861</v>
      </c>
      <c r="K2761" s="1" t="inlineStr">
        <is>
          <t>No</t>
        </is>
      </c>
      <c r="L2761" s="1" t="inlineStr">
        <is>
          <t>No</t>
        </is>
      </c>
      <c r="M2761" s="1" t="inlineStr">
        <is>
          <t>No</t>
        </is>
      </c>
      <c r="N2761" s="1" t="inlineStr">
        <is>
          <t>Database</t>
        </is>
      </c>
      <c r="O27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61" s="11" t="inlineStr">
        <is>
          <t>To Do</t>
        </is>
      </c>
    </row>
    <row r="2762" ht="15.75" customHeight="1" s="12">
      <c r="A2762" s="1" t="n">
        <v>1918</v>
      </c>
      <c r="B2762" s="3">
        <f>HYPERLINK("https://leetcode.com/problems/kth-smallest-subarray-sum/", "Kth Smallest Subarray Sum")</f>
        <v/>
      </c>
      <c r="C2762" s="1" t="n">
        <v>225</v>
      </c>
      <c r="D2762" s="1" t="n">
        <v>14</v>
      </c>
      <c r="E2762" s="4">
        <f>IF(INDEX(C:C, ROW())+INDEX(D:D, ROW())=0, 0, INDEX(C:C, ROW())/(INDEX(C:C, ROW())+INDEX(D:D, ROW())))</f>
        <v/>
      </c>
      <c r="F2762" s="1" t="inlineStr">
        <is>
          <t>Array, Binary Search, Sliding Window</t>
        </is>
      </c>
      <c r="G2762" s="1" t="inlineStr">
        <is>
          <t>Medium</t>
        </is>
      </c>
      <c r="H2762" s="1" t="n">
        <v>5950</v>
      </c>
      <c r="I2762" s="1" t="n">
        <v>11147</v>
      </c>
      <c r="J2762" s="9" t="n">
        <v>0.534</v>
      </c>
      <c r="K2762" s="1" t="inlineStr">
        <is>
          <t>No</t>
        </is>
      </c>
      <c r="L2762" s="1" t="inlineStr">
        <is>
          <t>No</t>
        </is>
      </c>
      <c r="M2762" s="1" t="inlineStr">
        <is>
          <t>No</t>
        </is>
      </c>
      <c r="N2762" s="1" t="inlineStr">
        <is>
          <t>Algorithms</t>
        </is>
      </c>
      <c r="O27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62" s="11" t="inlineStr">
        <is>
          <t>To Do</t>
        </is>
      </c>
    </row>
    <row r="2763" ht="15.75" customHeight="1" s="12">
      <c r="A2763" s="1" t="n">
        <v>2201</v>
      </c>
      <c r="B2763" s="3">
        <f>HYPERLINK("https://leetcode.com/problems/count-artifacts-that-can-be-extracted/", "Count Artifacts That Can Be Extracted")</f>
        <v/>
      </c>
      <c r="C2763" s="1" t="n">
        <v>225</v>
      </c>
      <c r="D2763" s="1" t="n">
        <v>204</v>
      </c>
      <c r="E2763" s="4">
        <f>IF(INDEX(C:C, ROW())+INDEX(D:D, ROW())=0, 0, INDEX(C:C, ROW())/(INDEX(C:C, ROW())+INDEX(D:D, ROW())))</f>
        <v/>
      </c>
      <c r="F2763" s="1" t="inlineStr">
        <is>
          <t>Array, Hash Table, Simulation</t>
        </is>
      </c>
      <c r="G2763" s="1" t="inlineStr">
        <is>
          <t>Medium</t>
        </is>
      </c>
      <c r="H2763" s="1" t="n">
        <v>23406</v>
      </c>
      <c r="I2763" s="1" t="n">
        <v>40956</v>
      </c>
      <c r="J2763" s="9" t="n">
        <v>0.571</v>
      </c>
      <c r="K2763" s="1" t="inlineStr">
        <is>
          <t>Yes</t>
        </is>
      </c>
      <c r="L2763" s="1" t="inlineStr">
        <is>
          <t>No</t>
        </is>
      </c>
      <c r="M2763" s="1" t="inlineStr">
        <is>
          <t>No</t>
        </is>
      </c>
      <c r="N2763" s="1" t="inlineStr">
        <is>
          <t>Algorithms</t>
        </is>
      </c>
      <c r="O27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63" s="11" t="inlineStr">
        <is>
          <t>To Do</t>
        </is>
      </c>
    </row>
    <row r="2764" ht="15.75" customHeight="1" s="12">
      <c r="A2764" s="1" t="n">
        <v>2663</v>
      </c>
      <c r="B2764" s="3">
        <f>HYPERLINK("https://leetcode.com/problems/lexicographically-smallest-beautiful-string/", "Lexicographically Smallest Beautiful String")</f>
        <v/>
      </c>
      <c r="C2764" s="1" t="n">
        <v>225</v>
      </c>
      <c r="D2764" s="1" t="n">
        <v>28</v>
      </c>
      <c r="E2764" s="4">
        <f>IF(INDEX(C:C, ROW())+INDEX(D:D, ROW())=0, 0, INDEX(C:C, ROW())/(INDEX(C:C, ROW())+INDEX(D:D, ROW())))</f>
        <v/>
      </c>
      <c r="F2764" s="1" t="inlineStr">
        <is>
          <t>String, Greedy</t>
        </is>
      </c>
      <c r="G2764" s="1" t="inlineStr">
        <is>
          <t>Hard</t>
        </is>
      </c>
      <c r="H2764" s="1" t="n">
        <v>11045</v>
      </c>
      <c r="I2764" s="1" t="n">
        <v>28987</v>
      </c>
      <c r="J2764" s="9" t="n">
        <v>0.381</v>
      </c>
      <c r="K2764" s="1" t="inlineStr">
        <is>
          <t>Yes</t>
        </is>
      </c>
      <c r="L2764" s="1" t="inlineStr">
        <is>
          <t>No</t>
        </is>
      </c>
      <c r="M2764" s="1" t="inlineStr">
        <is>
          <t>No</t>
        </is>
      </c>
      <c r="N2764" s="1" t="inlineStr">
        <is>
          <t>Algorithms</t>
        </is>
      </c>
      <c r="O27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64" s="11" t="inlineStr">
        <is>
          <t>To Do</t>
        </is>
      </c>
    </row>
    <row r="2765" ht="15.75" customHeight="1" s="12">
      <c r="A2765" s="1" t="n">
        <v>2727</v>
      </c>
      <c r="B2765" s="3">
        <f>HYPERLINK("https://leetcode.com/problems/is-object-empty/", "Is Object Empty")</f>
        <v/>
      </c>
      <c r="C2765" s="1" t="n">
        <v>225</v>
      </c>
      <c r="D2765" s="1" t="n">
        <v>16</v>
      </c>
      <c r="E2765" s="4">
        <f>IF(INDEX(C:C, ROW())+INDEX(D:D, ROW())=0, 0, INDEX(C:C, ROW())/(INDEX(C:C, ROW())+INDEX(D:D, ROW())))</f>
        <v/>
      </c>
      <c r="F2765" s="2" t="n"/>
      <c r="G2765" s="1" t="inlineStr">
        <is>
          <t>Easy</t>
        </is>
      </c>
      <c r="H2765" s="1" t="n">
        <v>121232</v>
      </c>
      <c r="I2765" s="1" t="n">
        <v>147941</v>
      </c>
      <c r="J2765" s="9" t="n">
        <v>0.819</v>
      </c>
      <c r="K2765" s="1" t="inlineStr">
        <is>
          <t>Yes</t>
        </is>
      </c>
      <c r="L2765" s="1" t="inlineStr">
        <is>
          <t>Yes</t>
        </is>
      </c>
      <c r="M2765" s="1" t="inlineStr">
        <is>
          <t>No</t>
        </is>
      </c>
      <c r="N2765" s="1" t="inlineStr">
        <is>
          <t>JavaScript</t>
        </is>
      </c>
      <c r="O27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65" s="13" t="inlineStr">
        <is>
          <t>Done</t>
        </is>
      </c>
    </row>
    <row r="2766" ht="15.75" customHeight="1" s="12">
      <c r="A2766" s="1" t="n">
        <v>2288</v>
      </c>
      <c r="B2766" s="3">
        <f>HYPERLINK("https://leetcode.com/problems/apply-discount-to-prices/", "Apply Discount to Prices")</f>
        <v/>
      </c>
      <c r="C2766" s="1" t="n">
        <v>224</v>
      </c>
      <c r="D2766" s="1" t="n">
        <v>1130</v>
      </c>
      <c r="E2766" s="4">
        <f>IF(INDEX(C:C, ROW())+INDEX(D:D, ROW())=0, 0, INDEX(C:C, ROW())/(INDEX(C:C, ROW())+INDEX(D:D, ROW())))</f>
        <v/>
      </c>
      <c r="F2766" s="1" t="inlineStr">
        <is>
          <t>String</t>
        </is>
      </c>
      <c r="G2766" s="1" t="inlineStr">
        <is>
          <t>Medium</t>
        </is>
      </c>
      <c r="H2766" s="1" t="n">
        <v>32726</v>
      </c>
      <c r="I2766" s="1" t="n">
        <v>95473</v>
      </c>
      <c r="J2766" s="9" t="n">
        <v>0.343</v>
      </c>
      <c r="K2766" s="1" t="inlineStr">
        <is>
          <t>Yes</t>
        </is>
      </c>
      <c r="L2766" s="1" t="inlineStr">
        <is>
          <t>No</t>
        </is>
      </c>
      <c r="M2766" s="1" t="inlineStr">
        <is>
          <t>No</t>
        </is>
      </c>
      <c r="N2766" s="1" t="inlineStr">
        <is>
          <t>Algorithms</t>
        </is>
      </c>
      <c r="O27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66" s="11" t="inlineStr">
        <is>
          <t>To Do</t>
        </is>
      </c>
    </row>
    <row r="2767" ht="15.75" customHeight="1" s="12">
      <c r="A2767" s="1" t="n">
        <v>2951</v>
      </c>
      <c r="B2767" s="3">
        <f>HYPERLINK("https://leetcode.com/problems/find-the-peaks/", "Find the Peaks")</f>
        <v/>
      </c>
      <c r="C2767" s="1" t="n">
        <v>224</v>
      </c>
      <c r="D2767" s="1" t="n">
        <v>18</v>
      </c>
      <c r="E2767" s="4">
        <f>IF(INDEX(C:C, ROW())+INDEX(D:D, ROW())=0, 0, INDEX(C:C, ROW())/(INDEX(C:C, ROW())+INDEX(D:D, ROW())))</f>
        <v/>
      </c>
      <c r="F2767" s="1" t="inlineStr">
        <is>
          <t>Array, Enumeration</t>
        </is>
      </c>
      <c r="G2767" s="1" t="inlineStr">
        <is>
          <t>Easy</t>
        </is>
      </c>
      <c r="H2767" s="1" t="n">
        <v>81503</v>
      </c>
      <c r="I2767" s="1" t="n">
        <v>108436</v>
      </c>
      <c r="J2767" s="9" t="n">
        <v>0.752</v>
      </c>
      <c r="K2767" s="1" t="inlineStr">
        <is>
          <t>Yes</t>
        </is>
      </c>
      <c r="L2767" s="1" t="inlineStr">
        <is>
          <t>No</t>
        </is>
      </c>
      <c r="M2767" s="1" t="inlineStr">
        <is>
          <t>No</t>
        </is>
      </c>
      <c r="N2767" s="1" t="inlineStr">
        <is>
          <t>Algorithms</t>
        </is>
      </c>
      <c r="O27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67" s="13" t="inlineStr">
        <is>
          <t>Done</t>
        </is>
      </c>
    </row>
    <row r="2768" ht="15.75" customHeight="1" s="12">
      <c r="A2768" s="1" t="n">
        <v>3099</v>
      </c>
      <c r="B2768" s="3">
        <f>HYPERLINK("https://leetcode.com/problems/harshad-number/", "Harshad Number")</f>
        <v/>
      </c>
      <c r="C2768" s="1" t="n">
        <v>224</v>
      </c>
      <c r="D2768" s="1" t="n">
        <v>13</v>
      </c>
      <c r="E2768" s="4">
        <f>IF(INDEX(C:C, ROW())+INDEX(D:D, ROW())=0, 0, INDEX(C:C, ROW())/(INDEX(C:C, ROW())+INDEX(D:D, ROW())))</f>
        <v/>
      </c>
      <c r="F2768" s="1" t="inlineStr">
        <is>
          <t>Math</t>
        </is>
      </c>
      <c r="G2768" s="1" t="inlineStr">
        <is>
          <t>Easy</t>
        </is>
      </c>
      <c r="H2768" s="1" t="n">
        <v>112387</v>
      </c>
      <c r="I2768" s="1" t="n">
        <v>134856</v>
      </c>
      <c r="J2768" s="9" t="n">
        <v>0.833</v>
      </c>
      <c r="K2768" s="1" t="inlineStr">
        <is>
          <t>Yes</t>
        </is>
      </c>
      <c r="L2768" s="1" t="inlineStr">
        <is>
          <t>No</t>
        </is>
      </c>
      <c r="M2768" s="1" t="inlineStr">
        <is>
          <t>No</t>
        </is>
      </c>
      <c r="N2768" s="1" t="inlineStr">
        <is>
          <t>Algorithms</t>
        </is>
      </c>
      <c r="O27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68" s="13" t="inlineStr">
        <is>
          <t>Done</t>
        </is>
      </c>
    </row>
    <row r="2769" ht="15.75" customHeight="1" s="12">
      <c r="A2769" s="1" t="n">
        <v>634</v>
      </c>
      <c r="B2769" s="3">
        <f>HYPERLINK("https://leetcode.com/problems/find-the-derangement-of-an-array/", "Find the Derangement of An Array")</f>
        <v/>
      </c>
      <c r="C2769" s="1" t="n">
        <v>223</v>
      </c>
      <c r="D2769" s="1" t="n">
        <v>167</v>
      </c>
      <c r="E2769" s="4">
        <f>IF(INDEX(C:C, ROW())+INDEX(D:D, ROW())=0, 0, INDEX(C:C, ROW())/(INDEX(C:C, ROW())+INDEX(D:D, ROW())))</f>
        <v/>
      </c>
      <c r="F2769" s="1" t="inlineStr">
        <is>
          <t>Math, Dynamic Programming, Combinatorics</t>
        </is>
      </c>
      <c r="G2769" s="1" t="inlineStr">
        <is>
          <t>Medium</t>
        </is>
      </c>
      <c r="H2769" s="1" t="n">
        <v>12644</v>
      </c>
      <c r="I2769" s="1" t="n">
        <v>30342</v>
      </c>
      <c r="J2769" s="9" t="n">
        <v>0.417</v>
      </c>
      <c r="K2769" s="1" t="inlineStr">
        <is>
          <t>No</t>
        </is>
      </c>
      <c r="L2769" s="1" t="inlineStr">
        <is>
          <t>Yes</t>
        </is>
      </c>
      <c r="M2769" s="1" t="inlineStr">
        <is>
          <t>No</t>
        </is>
      </c>
      <c r="N2769" s="1" t="inlineStr">
        <is>
          <t>Algorithms</t>
        </is>
      </c>
      <c r="O27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69" s="11" t="inlineStr">
        <is>
          <t>To Do</t>
        </is>
      </c>
    </row>
    <row r="2770" ht="15.75" customHeight="1" s="12">
      <c r="A2770" s="1" t="n">
        <v>1348</v>
      </c>
      <c r="B2770" s="3">
        <f>HYPERLINK("https://leetcode.com/problems/tweet-counts-per-frequency/", "Tweet Counts Per Frequency")</f>
        <v/>
      </c>
      <c r="C2770" s="1" t="n">
        <v>223</v>
      </c>
      <c r="D2770" s="1" t="n">
        <v>309</v>
      </c>
      <c r="E2770" s="4">
        <f>IF(INDEX(C:C, ROW())+INDEX(D:D, ROW())=0, 0, INDEX(C:C, ROW())/(INDEX(C:C, ROW())+INDEX(D:D, ROW())))</f>
        <v/>
      </c>
      <c r="F2770" s="1" t="inlineStr">
        <is>
          <t>Hash Table, String, Binary Search, Design, Sorting, Ordered Set</t>
        </is>
      </c>
      <c r="G2770" s="1" t="inlineStr">
        <is>
          <t>Medium</t>
        </is>
      </c>
      <c r="H2770" s="1" t="n">
        <v>39912</v>
      </c>
      <c r="I2770" s="1" t="n">
        <v>86587</v>
      </c>
      <c r="J2770" s="9" t="n">
        <v>0.461</v>
      </c>
      <c r="K2770" s="1" t="inlineStr">
        <is>
          <t>Yes</t>
        </is>
      </c>
      <c r="L2770" s="1" t="inlineStr">
        <is>
          <t>No</t>
        </is>
      </c>
      <c r="M2770" s="1" t="inlineStr">
        <is>
          <t>No</t>
        </is>
      </c>
      <c r="N2770" s="1" t="inlineStr">
        <is>
          <t>Algorithms</t>
        </is>
      </c>
      <c r="O27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70" s="11" t="inlineStr">
        <is>
          <t>To Do</t>
        </is>
      </c>
    </row>
    <row r="2771" ht="15.75" customHeight="1" s="12">
      <c r="A2771" s="1" t="n">
        <v>2628</v>
      </c>
      <c r="B2771" s="3">
        <f>HYPERLINK("https://leetcode.com/problems/json-deep-equal/", "JSON Deep Equal")</f>
        <v/>
      </c>
      <c r="C2771" s="1" t="n">
        <v>222</v>
      </c>
      <c r="D2771" s="1" t="n">
        <v>18</v>
      </c>
      <c r="E2771" s="4">
        <f>IF(INDEX(C:C, ROW())+INDEX(D:D, ROW())=0, 0, INDEX(C:C, ROW())/(INDEX(C:C, ROW())+INDEX(D:D, ROW())))</f>
        <v/>
      </c>
      <c r="F2771" s="2" t="n"/>
      <c r="G2771" s="1" t="inlineStr">
        <is>
          <t>Medium</t>
        </is>
      </c>
      <c r="H2771" s="1" t="n">
        <v>15154</v>
      </c>
      <c r="I2771" s="1" t="n">
        <v>38186</v>
      </c>
      <c r="J2771" s="9" t="n">
        <v>0.397</v>
      </c>
      <c r="K2771" s="1" t="inlineStr">
        <is>
          <t>No</t>
        </is>
      </c>
      <c r="L2771" s="1" t="inlineStr">
        <is>
          <t>Yes</t>
        </is>
      </c>
      <c r="M2771" s="1" t="inlineStr">
        <is>
          <t>No</t>
        </is>
      </c>
      <c r="N2771" s="1" t="inlineStr">
        <is>
          <t>JavaScript</t>
        </is>
      </c>
      <c r="O27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71" s="11" t="inlineStr">
        <is>
          <t>To Do</t>
        </is>
      </c>
    </row>
    <row r="2772" ht="15.75" customHeight="1" s="12">
      <c r="A2772" s="1" t="n">
        <v>1098</v>
      </c>
      <c r="B2772" s="3">
        <f>HYPERLINK("https://leetcode.com/problems/unpopular-books/", "Unpopular Books")</f>
        <v/>
      </c>
      <c r="C2772" s="1" t="n">
        <v>221</v>
      </c>
      <c r="D2772" s="1" t="n">
        <v>622</v>
      </c>
      <c r="E2772" s="4">
        <f>IF(INDEX(C:C, ROW())+INDEX(D:D, ROW())=0, 0, INDEX(C:C, ROW())/(INDEX(C:C, ROW())+INDEX(D:D, ROW())))</f>
        <v/>
      </c>
      <c r="F2772" s="1" t="inlineStr">
        <is>
          <t>Database</t>
        </is>
      </c>
      <c r="G2772" s="1" t="inlineStr">
        <is>
          <t>Medium</t>
        </is>
      </c>
      <c r="H2772" s="1" t="n">
        <v>48593</v>
      </c>
      <c r="I2772" s="1" t="n">
        <v>112070</v>
      </c>
      <c r="J2772" s="9" t="n">
        <v>0.434</v>
      </c>
      <c r="K2772" s="1" t="inlineStr">
        <is>
          <t>No</t>
        </is>
      </c>
      <c r="L2772" s="1" t="inlineStr">
        <is>
          <t>No</t>
        </is>
      </c>
      <c r="M2772" s="1" t="inlineStr">
        <is>
          <t>No</t>
        </is>
      </c>
      <c r="N2772" s="1" t="inlineStr">
        <is>
          <t>Database</t>
        </is>
      </c>
      <c r="O27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72" s="11" t="inlineStr">
        <is>
          <t>To Do</t>
        </is>
      </c>
    </row>
    <row r="2773" ht="15.75" customHeight="1" s="12">
      <c r="A2773" s="1" t="n">
        <v>3112</v>
      </c>
      <c r="B2773" s="3">
        <f>HYPERLINK("https://leetcode.com/problems/minimum-time-to-visit-disappearing-nodes/", "Minimum Time to Visit Disappearing Nodes")</f>
        <v/>
      </c>
      <c r="C2773" s="1" t="n">
        <v>220</v>
      </c>
      <c r="D2773" s="1" t="n">
        <v>25</v>
      </c>
      <c r="E2773" s="4">
        <f>IF(INDEX(C:C, ROW())+INDEX(D:D, ROW())=0, 0, INDEX(C:C, ROW())/(INDEX(C:C, ROW())+INDEX(D:D, ROW())))</f>
        <v/>
      </c>
      <c r="F2773" s="1" t="inlineStr">
        <is>
          <t>Array, Graph Theory, Heap (Priority Queue), Shortest Path</t>
        </is>
      </c>
      <c r="G2773" s="1" t="inlineStr">
        <is>
          <t>Medium</t>
        </is>
      </c>
      <c r="H2773" s="1" t="n">
        <v>28224</v>
      </c>
      <c r="I2773" s="1" t="n">
        <v>74740</v>
      </c>
      <c r="J2773" s="9" t="n">
        <v>0.378</v>
      </c>
      <c r="K2773" s="1" t="inlineStr">
        <is>
          <t>Yes</t>
        </is>
      </c>
      <c r="L2773" s="1" t="inlineStr">
        <is>
          <t>No</t>
        </is>
      </c>
      <c r="M2773" s="1" t="inlineStr">
        <is>
          <t>No</t>
        </is>
      </c>
      <c r="N2773" s="1" t="inlineStr">
        <is>
          <t>Algorithms</t>
        </is>
      </c>
      <c r="O27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73" s="11" t="inlineStr">
        <is>
          <t>To Do</t>
        </is>
      </c>
    </row>
    <row r="2774" ht="15.75" customHeight="1" s="12">
      <c r="A2774" s="1" t="n">
        <v>288</v>
      </c>
      <c r="B2774" s="3">
        <f>HYPERLINK("https://leetcode.com/problems/unique-word-abbreviation/", "Unique Word Abbreviation")</f>
        <v/>
      </c>
      <c r="C2774" s="1" t="n">
        <v>219</v>
      </c>
      <c r="D2774" s="1" t="n">
        <v>1856</v>
      </c>
      <c r="E2774" s="4">
        <f>IF(INDEX(C:C, ROW())+INDEX(D:D, ROW())=0, 0, INDEX(C:C, ROW())/(INDEX(C:C, ROW())+INDEX(D:D, ROW())))</f>
        <v/>
      </c>
      <c r="F2774" s="1" t="inlineStr">
        <is>
          <t>Array, Hash Table, String, Design</t>
        </is>
      </c>
      <c r="G2774" s="1" t="inlineStr">
        <is>
          <t>Medium</t>
        </is>
      </c>
      <c r="H2774" s="1" t="n">
        <v>80427</v>
      </c>
      <c r="I2774" s="1" t="n">
        <v>292532</v>
      </c>
      <c r="J2774" s="9" t="n">
        <v>0.275</v>
      </c>
      <c r="K2774" s="1" t="inlineStr">
        <is>
          <t>No</t>
        </is>
      </c>
      <c r="L2774" s="1" t="inlineStr">
        <is>
          <t>Yes</t>
        </is>
      </c>
      <c r="M2774" s="1" t="inlineStr">
        <is>
          <t>No</t>
        </is>
      </c>
      <c r="N2774" s="1" t="inlineStr">
        <is>
          <t>Algorithms</t>
        </is>
      </c>
      <c r="O27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74" s="11" t="inlineStr">
        <is>
          <t>To Do</t>
        </is>
      </c>
    </row>
    <row r="2775" ht="15.75" customHeight="1" s="12">
      <c r="A2775" s="1" t="n">
        <v>1430</v>
      </c>
      <c r="B2775" s="3">
        <f>HYPERLINK("https://leetcode.com/problems/check-if-a-string-is-a-valid-sequence-from-root-to-leaves-path-in-a-binary-tree/", "Check If a String Is a Valid Sequence from Root to Leaves Path in a Binary Tree")</f>
        <v/>
      </c>
      <c r="C2775" s="1" t="n">
        <v>219</v>
      </c>
      <c r="D2775" s="1" t="n">
        <v>15</v>
      </c>
      <c r="E2775" s="4">
        <f>IF(INDEX(C:C, ROW())+INDEX(D:D, ROW())=0, 0, INDEX(C:C, ROW())/(INDEX(C:C, ROW())+INDEX(D:D, ROW())))</f>
        <v/>
      </c>
      <c r="F2775" s="1" t="inlineStr">
        <is>
          <t>Tree, Depth-First Search, Breadth-First Search, Binary Tree</t>
        </is>
      </c>
      <c r="G2775" s="1" t="inlineStr">
        <is>
          <t>Medium</t>
        </is>
      </c>
      <c r="H2775" s="1" t="n">
        <v>46508</v>
      </c>
      <c r="I2775" s="1" t="n">
        <v>97895</v>
      </c>
      <c r="J2775" s="9" t="n">
        <v>0.475</v>
      </c>
      <c r="K2775" s="1" t="inlineStr">
        <is>
          <t>No</t>
        </is>
      </c>
      <c r="L2775" s="1" t="inlineStr">
        <is>
          <t>No</t>
        </is>
      </c>
      <c r="M2775" s="1" t="inlineStr">
        <is>
          <t>No</t>
        </is>
      </c>
      <c r="N2775" s="1" t="inlineStr">
        <is>
          <t>Algorithms</t>
        </is>
      </c>
      <c r="O27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75" s="11" t="inlineStr">
        <is>
          <t>To Do</t>
        </is>
      </c>
    </row>
    <row r="2776" ht="15.75" customHeight="1" s="12">
      <c r="A2776" s="1" t="n">
        <v>3539</v>
      </c>
      <c r="B2776" s="3">
        <f>HYPERLINK("https://leetcode.com/problems/find-sum-of-array-product-of-magical-sequences/", "Find Sum of Array Product of Magical Sequences")</f>
        <v/>
      </c>
      <c r="C2776" s="1" t="n">
        <v>219</v>
      </c>
      <c r="D2776" s="1" t="n">
        <v>158</v>
      </c>
      <c r="E2776" s="4">
        <f>IF(INDEX(C:C, ROW())+INDEX(D:D, ROW())=0, 0, INDEX(C:C, ROW())/(INDEX(C:C, ROW())+INDEX(D:D, ROW())))</f>
        <v/>
      </c>
      <c r="F2776" s="1" t="inlineStr">
        <is>
          <t>Array, Math, Dynamic Programming, Bit Manipulation, Combinatorics, Bitmask</t>
        </is>
      </c>
      <c r="G2776" s="1" t="inlineStr">
        <is>
          <t>Hard</t>
        </is>
      </c>
      <c r="H2776" s="1" t="n">
        <v>52981</v>
      </c>
      <c r="I2776" s="1" t="n">
        <v>85737</v>
      </c>
      <c r="J2776" s="9" t="n">
        <v>0.618</v>
      </c>
      <c r="K2776" s="1" t="inlineStr">
        <is>
          <t>Yes</t>
        </is>
      </c>
      <c r="L2776" s="1" t="inlineStr">
        <is>
          <t>Yes</t>
        </is>
      </c>
      <c r="M2776" s="1" t="inlineStr">
        <is>
          <t>No</t>
        </is>
      </c>
      <c r="N2776" s="1" t="inlineStr">
        <is>
          <t>Algorithms</t>
        </is>
      </c>
      <c r="O27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76" s="11" t="inlineStr">
        <is>
          <t>To Do</t>
        </is>
      </c>
    </row>
    <row r="2777" ht="15.75" customHeight="1" s="12">
      <c r="A2777" s="1" t="n">
        <v>3020</v>
      </c>
      <c r="B2777" s="3">
        <f>HYPERLINK("https://leetcode.com/problems/find-the-maximum-number-of-elements-in-subset/", "Find the Maximum Number of Elements in Subset")</f>
        <v/>
      </c>
      <c r="C2777" s="1" t="n">
        <v>218</v>
      </c>
      <c r="D2777" s="1" t="n">
        <v>44</v>
      </c>
      <c r="E2777" s="4">
        <f>IF(INDEX(C:C, ROW())+INDEX(D:D, ROW())=0, 0, INDEX(C:C, ROW())/(INDEX(C:C, ROW())+INDEX(D:D, ROW())))</f>
        <v/>
      </c>
      <c r="F2777" s="1" t="inlineStr">
        <is>
          <t>Array, Hash Table, Enumeration</t>
        </is>
      </c>
      <c r="G2777" s="1" t="inlineStr">
        <is>
          <t>Medium</t>
        </is>
      </c>
      <c r="H2777" s="1" t="n">
        <v>29012</v>
      </c>
      <c r="I2777" s="1" t="n">
        <v>107689</v>
      </c>
      <c r="J2777" s="9" t="n">
        <v>0.269</v>
      </c>
      <c r="K2777" s="1" t="inlineStr">
        <is>
          <t>Yes</t>
        </is>
      </c>
      <c r="L2777" s="1" t="inlineStr">
        <is>
          <t>No</t>
        </is>
      </c>
      <c r="M2777" s="1" t="inlineStr">
        <is>
          <t>No</t>
        </is>
      </c>
      <c r="N2777" s="1" t="inlineStr">
        <is>
          <t>Algorithms</t>
        </is>
      </c>
      <c r="O27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77" s="11" t="inlineStr">
        <is>
          <t>To Do</t>
        </is>
      </c>
    </row>
    <row r="2778" ht="15.75" customHeight="1" s="12">
      <c r="A2778" s="1" t="n">
        <v>3180</v>
      </c>
      <c r="B2778" s="3">
        <f>HYPERLINK("https://leetcode.com/problems/maximum-total-reward-using-operations-i/", "Maximum Total Reward Using Operations I")</f>
        <v/>
      </c>
      <c r="C2778" s="1" t="n">
        <v>218</v>
      </c>
      <c r="D2778" s="1" t="n">
        <v>18</v>
      </c>
      <c r="E2778" s="4">
        <f>IF(INDEX(C:C, ROW())+INDEX(D:D, ROW())=0, 0, INDEX(C:C, ROW())/(INDEX(C:C, ROW())+INDEX(D:D, ROW())))</f>
        <v/>
      </c>
      <c r="F2778" s="1" t="inlineStr">
        <is>
          <t>Array, Dynamic Programming</t>
        </is>
      </c>
      <c r="G2778" s="1" t="inlineStr">
        <is>
          <t>Medium</t>
        </is>
      </c>
      <c r="H2778" s="1" t="n">
        <v>31149</v>
      </c>
      <c r="I2778" s="1" t="n">
        <v>100800</v>
      </c>
      <c r="J2778" s="9" t="n">
        <v>0.309</v>
      </c>
      <c r="K2778" s="1" t="inlineStr">
        <is>
          <t>Yes</t>
        </is>
      </c>
      <c r="L2778" s="1" t="inlineStr">
        <is>
          <t>No</t>
        </is>
      </c>
      <c r="M2778" s="1" t="inlineStr">
        <is>
          <t>No</t>
        </is>
      </c>
      <c r="N2778" s="1" t="inlineStr">
        <is>
          <t>Algorithms</t>
        </is>
      </c>
      <c r="O27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78" s="11" t="inlineStr">
        <is>
          <t>To Do</t>
        </is>
      </c>
    </row>
    <row r="2779" ht="15.75" customHeight="1" s="12">
      <c r="A2779" s="1" t="n">
        <v>2725</v>
      </c>
      <c r="B2779" s="3">
        <f>HYPERLINK("https://leetcode.com/problems/interval-cancellation/", "Interval Cancellation")</f>
        <v/>
      </c>
      <c r="C2779" s="1" t="n">
        <v>217</v>
      </c>
      <c r="D2779" s="1" t="n">
        <v>99</v>
      </c>
      <c r="E2779" s="4">
        <f>IF(INDEX(C:C, ROW())+INDEX(D:D, ROW())=0, 0, INDEX(C:C, ROW())/(INDEX(C:C, ROW())+INDEX(D:D, ROW())))</f>
        <v/>
      </c>
      <c r="F2779" s="2" t="n"/>
      <c r="G2779" s="1" t="inlineStr">
        <is>
          <t>Easy</t>
        </is>
      </c>
      <c r="H2779" s="1" t="n">
        <v>85325</v>
      </c>
      <c r="I2779" s="1" t="n">
        <v>100539</v>
      </c>
      <c r="J2779" s="9" t="n">
        <v>0.849</v>
      </c>
      <c r="K2779" s="1" t="inlineStr">
        <is>
          <t>Yes</t>
        </is>
      </c>
      <c r="L2779" s="1" t="inlineStr">
        <is>
          <t>Yes</t>
        </is>
      </c>
      <c r="M2779" s="1" t="inlineStr">
        <is>
          <t>No</t>
        </is>
      </c>
      <c r="N2779" s="1" t="inlineStr">
        <is>
          <t>JavaScript</t>
        </is>
      </c>
      <c r="O27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79" s="13" t="inlineStr">
        <is>
          <t>Done</t>
        </is>
      </c>
    </row>
    <row r="2780" ht="15.75" customHeight="1" s="12">
      <c r="A2780" s="1" t="n">
        <v>2949</v>
      </c>
      <c r="B2780" s="3">
        <f>HYPERLINK("https://leetcode.com/problems/count-beautiful-substrings-ii/", "Count Beautiful Substrings II")</f>
        <v/>
      </c>
      <c r="C2780" s="1" t="n">
        <v>217</v>
      </c>
      <c r="D2780" s="1" t="n">
        <v>9</v>
      </c>
      <c r="E2780" s="4">
        <f>IF(INDEX(C:C, ROW())+INDEX(D:D, ROW())=0, 0, INDEX(C:C, ROW())/(INDEX(C:C, ROW())+INDEX(D:D, ROW())))</f>
        <v/>
      </c>
      <c r="F2780" s="1" t="inlineStr">
        <is>
          <t>Hash Table, Math, String, Number Theory, Prefix Sum</t>
        </is>
      </c>
      <c r="G2780" s="1" t="inlineStr">
        <is>
          <t>Hard</t>
        </is>
      </c>
      <c r="H2780" s="1" t="n">
        <v>8218</v>
      </c>
      <c r="I2780" s="1" t="n">
        <v>30075</v>
      </c>
      <c r="J2780" s="9" t="n">
        <v>0.273</v>
      </c>
      <c r="K2780" s="1" t="inlineStr">
        <is>
          <t>Yes</t>
        </is>
      </c>
      <c r="L2780" s="1" t="inlineStr">
        <is>
          <t>No</t>
        </is>
      </c>
      <c r="M2780" s="1" t="inlineStr">
        <is>
          <t>No</t>
        </is>
      </c>
      <c r="N2780" s="1" t="inlineStr">
        <is>
          <t>Algorithms</t>
        </is>
      </c>
      <c r="O27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80" s="11" t="inlineStr">
        <is>
          <t>To Do</t>
        </is>
      </c>
    </row>
    <row r="2781" ht="15.75" customHeight="1" s="12">
      <c r="A2781" s="1" t="n">
        <v>1134</v>
      </c>
      <c r="B2781" s="3">
        <f>HYPERLINK("https://leetcode.com/problems/armstrong-number/", "Armstrong Number")</f>
        <v/>
      </c>
      <c r="C2781" s="1" t="n">
        <v>216</v>
      </c>
      <c r="D2781" s="1" t="n">
        <v>20</v>
      </c>
      <c r="E2781" s="4">
        <f>IF(INDEX(C:C, ROW())+INDEX(D:D, ROW())=0, 0, INDEX(C:C, ROW())/(INDEX(C:C, ROW())+INDEX(D:D, ROW())))</f>
        <v/>
      </c>
      <c r="F2781" s="1" t="inlineStr">
        <is>
          <t>Math</t>
        </is>
      </c>
      <c r="G2781" s="1" t="inlineStr">
        <is>
          <t>Easy</t>
        </is>
      </c>
      <c r="H2781" s="1" t="n">
        <v>42795</v>
      </c>
      <c r="I2781" s="1" t="n">
        <v>54972</v>
      </c>
      <c r="J2781" s="9" t="n">
        <v>0.778</v>
      </c>
      <c r="K2781" s="1" t="inlineStr">
        <is>
          <t>No</t>
        </is>
      </c>
      <c r="L2781" s="1" t="inlineStr">
        <is>
          <t>Yes</t>
        </is>
      </c>
      <c r="M2781" s="1" t="inlineStr">
        <is>
          <t>No</t>
        </is>
      </c>
      <c r="N2781" s="1" t="inlineStr">
        <is>
          <t>Algorithms</t>
        </is>
      </c>
      <c r="O27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81" s="11" t="inlineStr">
        <is>
          <t>To Do</t>
        </is>
      </c>
    </row>
    <row r="2782" ht="15.75" customHeight="1" s="12">
      <c r="A2782" s="1" t="n">
        <v>1357</v>
      </c>
      <c r="B2782" s="3">
        <f>HYPERLINK("https://leetcode.com/problems/apply-discount-every-n-orders/", "Apply Discount Every n Orders")</f>
        <v/>
      </c>
      <c r="C2782" s="1" t="n">
        <v>216</v>
      </c>
      <c r="D2782" s="1" t="n">
        <v>234</v>
      </c>
      <c r="E2782" s="4">
        <f>IF(INDEX(C:C, ROW())+INDEX(D:D, ROW())=0, 0, INDEX(C:C, ROW())/(INDEX(C:C, ROW())+INDEX(D:D, ROW())))</f>
        <v/>
      </c>
      <c r="F2782" s="1" t="inlineStr">
        <is>
          <t>Array, Hash Table, Design</t>
        </is>
      </c>
      <c r="G2782" s="1" t="inlineStr">
        <is>
          <t>Medium</t>
        </is>
      </c>
      <c r="H2782" s="1" t="n">
        <v>29918</v>
      </c>
      <c r="I2782" s="1" t="n">
        <v>45630</v>
      </c>
      <c r="J2782" s="9" t="n">
        <v>0.656</v>
      </c>
      <c r="K2782" s="1" t="inlineStr">
        <is>
          <t>Yes</t>
        </is>
      </c>
      <c r="L2782" s="1" t="inlineStr">
        <is>
          <t>No</t>
        </is>
      </c>
      <c r="M2782" s="1" t="inlineStr">
        <is>
          <t>No</t>
        </is>
      </c>
      <c r="N2782" s="1" t="inlineStr">
        <is>
          <t>Algorithms</t>
        </is>
      </c>
      <c r="O27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82" s="11" t="inlineStr">
        <is>
          <t>To Do</t>
        </is>
      </c>
    </row>
    <row r="2783" ht="15.75" customHeight="1" s="12">
      <c r="A2783" s="1" t="n">
        <v>1410</v>
      </c>
      <c r="B2783" s="3">
        <f>HYPERLINK("https://leetcode.com/problems/html-entity-parser/", "HTML Entity Parser")</f>
        <v/>
      </c>
      <c r="C2783" s="1" t="n">
        <v>215</v>
      </c>
      <c r="D2783" s="1" t="n">
        <v>333</v>
      </c>
      <c r="E2783" s="4">
        <f>IF(INDEX(C:C, ROW())+INDEX(D:D, ROW())=0, 0, INDEX(C:C, ROW())/(INDEX(C:C, ROW())+INDEX(D:D, ROW())))</f>
        <v/>
      </c>
      <c r="F2783" s="1" t="inlineStr">
        <is>
          <t>Hash Table, String</t>
        </is>
      </c>
      <c r="G2783" s="1" t="inlineStr">
        <is>
          <t>Medium</t>
        </is>
      </c>
      <c r="H2783" s="1" t="n">
        <v>31887</v>
      </c>
      <c r="I2783" s="1" t="n">
        <v>63673</v>
      </c>
      <c r="J2783" s="9" t="n">
        <v>0.501</v>
      </c>
      <c r="K2783" s="1" t="inlineStr">
        <is>
          <t>Yes</t>
        </is>
      </c>
      <c r="L2783" s="1" t="inlineStr">
        <is>
          <t>No</t>
        </is>
      </c>
      <c r="M2783" s="1" t="inlineStr">
        <is>
          <t>No</t>
        </is>
      </c>
      <c r="N2783" s="1" t="inlineStr">
        <is>
          <t>Algorithms</t>
        </is>
      </c>
      <c r="O27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83" s="11" t="inlineStr">
        <is>
          <t>To Do</t>
        </is>
      </c>
    </row>
    <row r="2784" ht="15.75" customHeight="1" s="12">
      <c r="A2784" s="1" t="n">
        <v>2945</v>
      </c>
      <c r="B2784" s="3">
        <f>HYPERLINK("https://leetcode.com/problems/find-maximum-non-decreasing-array-length/", "Find Maximum Non-decreasing Array Length")</f>
        <v/>
      </c>
      <c r="C2784" s="1" t="n">
        <v>214</v>
      </c>
      <c r="D2784" s="1" t="n">
        <v>25</v>
      </c>
      <c r="E2784" s="4">
        <f>IF(INDEX(C:C, ROW())+INDEX(D:D, ROW())=0, 0, INDEX(C:C, ROW())/(INDEX(C:C, ROW())+INDEX(D:D, ROW())))</f>
        <v/>
      </c>
      <c r="F2784" s="1" t="inlineStr">
        <is>
          <t>Array, Binary Search, Dynamic Programming, Stack, Queue, Monotonic Stack, Prefix Sum, Monotonic Queue</t>
        </is>
      </c>
      <c r="G2784" s="1" t="inlineStr">
        <is>
          <t>Hard</t>
        </is>
      </c>
      <c r="H2784" s="1" t="n">
        <v>6771</v>
      </c>
      <c r="I2784" s="1" t="n">
        <v>35968</v>
      </c>
      <c r="J2784" s="9" t="n">
        <v>0.188</v>
      </c>
      <c r="K2784" s="1" t="inlineStr">
        <is>
          <t>Yes</t>
        </is>
      </c>
      <c r="L2784" s="1" t="inlineStr">
        <is>
          <t>No</t>
        </is>
      </c>
      <c r="M2784" s="1" t="inlineStr">
        <is>
          <t>No</t>
        </is>
      </c>
      <c r="N2784" s="1" t="inlineStr">
        <is>
          <t>Algorithms</t>
        </is>
      </c>
      <c r="O27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84" s="11" t="inlineStr">
        <is>
          <t>To Do</t>
        </is>
      </c>
    </row>
    <row r="2785" ht="15.75" customHeight="1" s="12">
      <c r="A2785" s="1" t="n">
        <v>2732</v>
      </c>
      <c r="B2785" s="3">
        <f>HYPERLINK("https://leetcode.com/problems/find-a-good-subset-of-the-matrix/", "Find a Good Subset of the Matrix")</f>
        <v/>
      </c>
      <c r="C2785" s="1" t="n">
        <v>213</v>
      </c>
      <c r="D2785" s="1" t="n">
        <v>30</v>
      </c>
      <c r="E2785" s="4">
        <f>IF(INDEX(C:C, ROW())+INDEX(D:D, ROW())=0, 0, INDEX(C:C, ROW())/(INDEX(C:C, ROW())+INDEX(D:D, ROW())))</f>
        <v/>
      </c>
      <c r="F2785" s="1" t="inlineStr">
        <is>
          <t>Array, Hash Table, Bit Manipulation, Matrix</t>
        </is>
      </c>
      <c r="G2785" s="1" t="inlineStr">
        <is>
          <t>Hard</t>
        </is>
      </c>
      <c r="H2785" s="1" t="n">
        <v>8389</v>
      </c>
      <c r="I2785" s="1" t="n">
        <v>18000</v>
      </c>
      <c r="J2785" s="9" t="n">
        <v>0.466</v>
      </c>
      <c r="K2785" s="1" t="inlineStr">
        <is>
          <t>Yes</t>
        </is>
      </c>
      <c r="L2785" s="1" t="inlineStr">
        <is>
          <t>No</t>
        </is>
      </c>
      <c r="M2785" s="1" t="inlineStr">
        <is>
          <t>No</t>
        </is>
      </c>
      <c r="N2785" s="1" t="inlineStr">
        <is>
          <t>Algorithms</t>
        </is>
      </c>
      <c r="O27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85" s="11" t="inlineStr">
        <is>
          <t>To Do</t>
        </is>
      </c>
    </row>
    <row r="2786" ht="15.75" customHeight="1" s="12">
      <c r="A2786" s="1" t="n">
        <v>2766</v>
      </c>
      <c r="B2786" s="3">
        <f>HYPERLINK("https://leetcode.com/problems/relocate-marbles/", "Relocate Marbles")</f>
        <v/>
      </c>
      <c r="C2786" s="1" t="n">
        <v>213</v>
      </c>
      <c r="D2786" s="1" t="n">
        <v>19</v>
      </c>
      <c r="E2786" s="4">
        <f>IF(INDEX(C:C, ROW())+INDEX(D:D, ROW())=0, 0, INDEX(C:C, ROW())/(INDEX(C:C, ROW())+INDEX(D:D, ROW())))</f>
        <v/>
      </c>
      <c r="F2786" s="1" t="inlineStr">
        <is>
          <t>Array, Hash Table, Sorting, Simulation</t>
        </is>
      </c>
      <c r="G2786" s="1" t="inlineStr">
        <is>
          <t>Medium</t>
        </is>
      </c>
      <c r="H2786" s="1" t="n">
        <v>25655</v>
      </c>
      <c r="I2786" s="1" t="n">
        <v>49816</v>
      </c>
      <c r="J2786" s="9" t="n">
        <v>0.515</v>
      </c>
      <c r="K2786" s="1" t="inlineStr">
        <is>
          <t>Yes</t>
        </is>
      </c>
      <c r="L2786" s="1" t="inlineStr">
        <is>
          <t>No</t>
        </is>
      </c>
      <c r="M2786" s="1" t="inlineStr">
        <is>
          <t>No</t>
        </is>
      </c>
      <c r="N2786" s="1" t="inlineStr">
        <is>
          <t>Algorithms</t>
        </is>
      </c>
      <c r="O27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86" s="11" t="inlineStr">
        <is>
          <t>To Do</t>
        </is>
      </c>
    </row>
    <row r="2787" ht="15.75" customHeight="1" s="12">
      <c r="A2787" s="1" t="n">
        <v>3015</v>
      </c>
      <c r="B2787" s="3">
        <f>HYPERLINK("https://leetcode.com/problems/count-the-number-of-houses-at-a-certain-distance-i/", "Count the Number of Houses at a Certain Distance I")</f>
        <v/>
      </c>
      <c r="C2787" s="1" t="n">
        <v>213</v>
      </c>
      <c r="D2787" s="1" t="n">
        <v>45</v>
      </c>
      <c r="E2787" s="4">
        <f>IF(INDEX(C:C, ROW())+INDEX(D:D, ROW())=0, 0, INDEX(C:C, ROW())/(INDEX(C:C, ROW())+INDEX(D:D, ROW())))</f>
        <v/>
      </c>
      <c r="F2787" s="1" t="inlineStr">
        <is>
          <t>Breadth-First Search, Graph Theory, Prefix Sum</t>
        </is>
      </c>
      <c r="G2787" s="1" t="inlineStr">
        <is>
          <t>Medium</t>
        </is>
      </c>
      <c r="H2787" s="1" t="n">
        <v>27534</v>
      </c>
      <c r="I2787" s="1" t="n">
        <v>47819</v>
      </c>
      <c r="J2787" s="9" t="n">
        <v>0.576</v>
      </c>
      <c r="K2787" s="1" t="inlineStr">
        <is>
          <t>Yes</t>
        </is>
      </c>
      <c r="L2787" s="1" t="inlineStr">
        <is>
          <t>No</t>
        </is>
      </c>
      <c r="M2787" s="1" t="inlineStr">
        <is>
          <t>No</t>
        </is>
      </c>
      <c r="N2787" s="1" t="inlineStr">
        <is>
          <t>Algorithms</t>
        </is>
      </c>
      <c r="O27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87" s="11" t="inlineStr">
        <is>
          <t>To Do</t>
        </is>
      </c>
    </row>
    <row r="2788" ht="15.75" customHeight="1" s="12">
      <c r="A2788" s="1" t="n">
        <v>3194</v>
      </c>
      <c r="B2788" s="3">
        <f>HYPERLINK("https://leetcode.com/problems/minimum-average-of-smallest-and-largest-elements/", "Minimum Average of Smallest and Largest Elements")</f>
        <v/>
      </c>
      <c r="C2788" s="1" t="n">
        <v>213</v>
      </c>
      <c r="D2788" s="1" t="n">
        <v>19</v>
      </c>
      <c r="E2788" s="4">
        <f>IF(INDEX(C:C, ROW())+INDEX(D:D, ROW())=0, 0, INDEX(C:C, ROW())/(INDEX(C:C, ROW())+INDEX(D:D, ROW())))</f>
        <v/>
      </c>
      <c r="F2788" s="1" t="inlineStr">
        <is>
          <t>Array, Two Pointers, Sorting</t>
        </is>
      </c>
      <c r="G2788" s="1" t="inlineStr">
        <is>
          <t>Easy</t>
        </is>
      </c>
      <c r="H2788" s="1" t="n">
        <v>111024</v>
      </c>
      <c r="I2788" s="1" t="n">
        <v>130126</v>
      </c>
      <c r="J2788" s="9" t="n">
        <v>0.853</v>
      </c>
      <c r="K2788" s="1" t="inlineStr">
        <is>
          <t>Yes</t>
        </is>
      </c>
      <c r="L2788" s="1" t="inlineStr">
        <is>
          <t>No</t>
        </is>
      </c>
      <c r="M2788" s="1" t="inlineStr">
        <is>
          <t>No</t>
        </is>
      </c>
      <c r="N2788" s="1" t="inlineStr">
        <is>
          <t>Algorithms</t>
        </is>
      </c>
      <c r="O27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88" s="13" t="inlineStr">
        <is>
          <t>Done</t>
        </is>
      </c>
    </row>
    <row r="2789" ht="15.75" customHeight="1" s="12">
      <c r="A2789" s="1" t="n">
        <v>351</v>
      </c>
      <c r="B2789" s="3">
        <f>HYPERLINK("https://leetcode.com/problems/android-unlock-patterns/", "Android Unlock Patterns")</f>
        <v/>
      </c>
      <c r="C2789" s="1" t="n">
        <v>212</v>
      </c>
      <c r="D2789" s="1" t="n">
        <v>240</v>
      </c>
      <c r="E2789" s="4">
        <f>IF(INDEX(C:C, ROW())+INDEX(D:D, ROW())=0, 0, INDEX(C:C, ROW())/(INDEX(C:C, ROW())+INDEX(D:D, ROW())))</f>
        <v/>
      </c>
      <c r="F2789" s="1" t="inlineStr">
        <is>
          <t>Dynamic Programming, Backtracking, Bit Manipulation, Bitmask</t>
        </is>
      </c>
      <c r="G2789" s="1" t="inlineStr">
        <is>
          <t>Medium</t>
        </is>
      </c>
      <c r="H2789" s="1" t="n">
        <v>84236</v>
      </c>
      <c r="I2789" s="1" t="n">
        <v>156473</v>
      </c>
      <c r="J2789" s="9" t="n">
        <v>0.538</v>
      </c>
      <c r="K2789" s="1" t="inlineStr">
        <is>
          <t>No</t>
        </is>
      </c>
      <c r="L2789" s="1" t="inlineStr">
        <is>
          <t>Yes</t>
        </is>
      </c>
      <c r="M2789" s="1" t="inlineStr">
        <is>
          <t>No</t>
        </is>
      </c>
      <c r="N2789" s="1" t="inlineStr">
        <is>
          <t>Algorithms</t>
        </is>
      </c>
      <c r="O27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89" s="11" t="inlineStr">
        <is>
          <t>To Do</t>
        </is>
      </c>
    </row>
    <row r="2790" ht="15.75" customHeight="1" s="12">
      <c r="A2790" s="1" t="n">
        <v>1811</v>
      </c>
      <c r="B2790" s="3">
        <f>HYPERLINK("https://leetcode.com/problems/find-interview-candidates/", "Find Interview Candidates")</f>
        <v/>
      </c>
      <c r="C2790" s="1" t="n">
        <v>212</v>
      </c>
      <c r="D2790" s="1" t="n">
        <v>30</v>
      </c>
      <c r="E2790" s="4">
        <f>IF(INDEX(C:C, ROW())+INDEX(D:D, ROW())=0, 0, INDEX(C:C, ROW())/(INDEX(C:C, ROW())+INDEX(D:D, ROW())))</f>
        <v/>
      </c>
      <c r="F2790" s="1" t="inlineStr">
        <is>
          <t>Database</t>
        </is>
      </c>
      <c r="G2790" s="1" t="inlineStr">
        <is>
          <t>Medium</t>
        </is>
      </c>
      <c r="H2790" s="1" t="n">
        <v>19690</v>
      </c>
      <c r="I2790" s="1" t="n">
        <v>32356</v>
      </c>
      <c r="J2790" s="9" t="n">
        <v>0.609</v>
      </c>
      <c r="K2790" s="1" t="inlineStr">
        <is>
          <t>No</t>
        </is>
      </c>
      <c r="L2790" s="1" t="inlineStr">
        <is>
          <t>No</t>
        </is>
      </c>
      <c r="M2790" s="1" t="inlineStr">
        <is>
          <t>No</t>
        </is>
      </c>
      <c r="N2790" s="1" t="inlineStr">
        <is>
          <t>Database</t>
        </is>
      </c>
      <c r="O27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90" s="11" t="inlineStr">
        <is>
          <t>To Do</t>
        </is>
      </c>
    </row>
    <row r="2791" ht="15.75" customHeight="1" s="12">
      <c r="A2791" s="1" t="n">
        <v>2869</v>
      </c>
      <c r="B2791" s="3">
        <f>HYPERLINK("https://leetcode.com/problems/minimum-operations-to-collect-elements/", "Minimum Operations to Collect Elements")</f>
        <v/>
      </c>
      <c r="C2791" s="1" t="n">
        <v>211</v>
      </c>
      <c r="D2791" s="1" t="n">
        <v>27</v>
      </c>
      <c r="E2791" s="4">
        <f>IF(INDEX(C:C, ROW())+INDEX(D:D, ROW())=0, 0, INDEX(C:C, ROW())/(INDEX(C:C, ROW())+INDEX(D:D, ROW())))</f>
        <v/>
      </c>
      <c r="F2791" s="1" t="inlineStr">
        <is>
          <t>Array, Hash Table, Bit Manipulation</t>
        </is>
      </c>
      <c r="G2791" s="1" t="inlineStr">
        <is>
          <t>Easy</t>
        </is>
      </c>
      <c r="H2791" s="1" t="n">
        <v>50518</v>
      </c>
      <c r="I2791" s="1" t="n">
        <v>81044</v>
      </c>
      <c r="J2791" s="9" t="n">
        <v>0.623</v>
      </c>
      <c r="K2791" s="1" t="inlineStr">
        <is>
          <t>Yes</t>
        </is>
      </c>
      <c r="L2791" s="1" t="inlineStr">
        <is>
          <t>No</t>
        </is>
      </c>
      <c r="M2791" s="1" t="inlineStr">
        <is>
          <t>No</t>
        </is>
      </c>
      <c r="N2791" s="1" t="inlineStr">
        <is>
          <t>Algorithms</t>
        </is>
      </c>
      <c r="O27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91" s="13" t="inlineStr">
        <is>
          <t>Done</t>
        </is>
      </c>
    </row>
    <row r="2792" ht="15.75" customHeight="1" s="12">
      <c r="A2792" s="1" t="n">
        <v>2935</v>
      </c>
      <c r="B2792" s="3">
        <f>HYPERLINK("https://leetcode.com/problems/maximum-strong-pair-xor-ii/", "Maximum Strong Pair XOR II")</f>
        <v/>
      </c>
      <c r="C2792" s="1" t="n">
        <v>211</v>
      </c>
      <c r="D2792" s="1" t="n">
        <v>2</v>
      </c>
      <c r="E2792" s="4">
        <f>IF(INDEX(C:C, ROW())+INDEX(D:D, ROW())=0, 0, INDEX(C:C, ROW())/(INDEX(C:C, ROW())+INDEX(D:D, ROW())))</f>
        <v/>
      </c>
      <c r="F2792" s="1" t="inlineStr">
        <is>
          <t>Array, Hash Table, Bit Manipulation, Trie, Sliding Window</t>
        </is>
      </c>
      <c r="G2792" s="1" t="inlineStr">
        <is>
          <t>Hard</t>
        </is>
      </c>
      <c r="H2792" s="1" t="n">
        <v>8868</v>
      </c>
      <c r="I2792" s="1" t="n">
        <v>27229</v>
      </c>
      <c r="J2792" s="9" t="n">
        <v>0.326</v>
      </c>
      <c r="K2792" s="1" t="inlineStr">
        <is>
          <t>Yes</t>
        </is>
      </c>
      <c r="L2792" s="1" t="inlineStr">
        <is>
          <t>No</t>
        </is>
      </c>
      <c r="M2792" s="1" t="inlineStr">
        <is>
          <t>No</t>
        </is>
      </c>
      <c r="N2792" s="1" t="inlineStr">
        <is>
          <t>Algorithms</t>
        </is>
      </c>
      <c r="O27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92" s="11" t="inlineStr">
        <is>
          <t>To Do</t>
        </is>
      </c>
    </row>
    <row r="2793" ht="15.75" customHeight="1" s="12">
      <c r="A2793" s="1" t="n">
        <v>2957</v>
      </c>
      <c r="B2793" s="3">
        <f>HYPERLINK("https://leetcode.com/problems/remove-adjacent-almost-equal-characters/", "Remove Adjacent Almost-Equal Characters")</f>
        <v/>
      </c>
      <c r="C2793" s="1" t="n">
        <v>210</v>
      </c>
      <c r="D2793" s="1" t="n">
        <v>25</v>
      </c>
      <c r="E2793" s="4">
        <f>IF(INDEX(C:C, ROW())+INDEX(D:D, ROW())=0, 0, INDEX(C:C, ROW())/(INDEX(C:C, ROW())+INDEX(D:D, ROW())))</f>
        <v/>
      </c>
      <c r="F2793" s="1" t="inlineStr">
        <is>
          <t>String, Dynamic Programming, Greedy</t>
        </is>
      </c>
      <c r="G2793" s="1" t="inlineStr">
        <is>
          <t>Medium</t>
        </is>
      </c>
      <c r="H2793" s="1" t="n">
        <v>30644</v>
      </c>
      <c r="I2793" s="1" t="n">
        <v>57112</v>
      </c>
      <c r="J2793" s="9" t="n">
        <v>0.537</v>
      </c>
      <c r="K2793" s="1" t="inlineStr">
        <is>
          <t>Yes</t>
        </is>
      </c>
      <c r="L2793" s="1" t="inlineStr">
        <is>
          <t>No</t>
        </is>
      </c>
      <c r="M2793" s="1" t="inlineStr">
        <is>
          <t>No</t>
        </is>
      </c>
      <c r="N2793" s="1" t="inlineStr">
        <is>
          <t>Algorithms</t>
        </is>
      </c>
      <c r="O27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93" s="11" t="inlineStr">
        <is>
          <t>To Do</t>
        </is>
      </c>
    </row>
    <row r="2794" ht="15.75" customHeight="1" s="12">
      <c r="A2794" s="1" t="n">
        <v>3171</v>
      </c>
      <c r="B2794" s="3">
        <f>HYPERLINK("https://leetcode.com/problems/find-subarray-with-bitwise-or-closest-to-k/", "Find Subarray With Bitwise OR Closest to K")</f>
        <v/>
      </c>
      <c r="C2794" s="1" t="n">
        <v>210</v>
      </c>
      <c r="D2794" s="1" t="n">
        <v>7</v>
      </c>
      <c r="E2794" s="4">
        <f>IF(INDEX(C:C, ROW())+INDEX(D:D, ROW())=0, 0, INDEX(C:C, ROW())/(INDEX(C:C, ROW())+INDEX(D:D, ROW())))</f>
        <v/>
      </c>
      <c r="F2794" s="1" t="inlineStr">
        <is>
          <t>Array, Binary Search, Bit Manipulation, Segment Tree</t>
        </is>
      </c>
      <c r="G2794" s="1" t="inlineStr">
        <is>
          <t>Hard</t>
        </is>
      </c>
      <c r="H2794" s="1" t="n">
        <v>15769</v>
      </c>
      <c r="I2794" s="1" t="n">
        <v>50831</v>
      </c>
      <c r="J2794" s="9" t="n">
        <v>0.31</v>
      </c>
      <c r="K2794" s="1" t="inlineStr">
        <is>
          <t>Yes</t>
        </is>
      </c>
      <c r="L2794" s="1" t="inlineStr">
        <is>
          <t>No</t>
        </is>
      </c>
      <c r="M2794" s="1" t="inlineStr">
        <is>
          <t>No</t>
        </is>
      </c>
      <c r="N2794" s="1" t="inlineStr">
        <is>
          <t>Algorithms</t>
        </is>
      </c>
      <c r="O27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94" s="11" t="inlineStr">
        <is>
          <t>To Do</t>
        </is>
      </c>
    </row>
    <row r="2795" ht="15.75" customHeight="1" s="12">
      <c r="A2795" s="1" t="n">
        <v>606</v>
      </c>
      <c r="B2795" s="3">
        <f>HYPERLINK("https://leetcode.com/problems/construct-string-from-binary-tree/", "Construct String from Binary Tree")</f>
        <v/>
      </c>
      <c r="C2795" s="1" t="n">
        <v>209</v>
      </c>
      <c r="D2795" s="1" t="n">
        <v>75</v>
      </c>
      <c r="E2795" s="4">
        <f>IF(INDEX(C:C, ROW())+INDEX(D:D, ROW())=0, 0, INDEX(C:C, ROW())/(INDEX(C:C, ROW())+INDEX(D:D, ROW())))</f>
        <v/>
      </c>
      <c r="F2795" s="1" t="inlineStr">
        <is>
          <t>String, Tree, Depth-First Search, Binary Tree</t>
        </is>
      </c>
      <c r="G2795" s="1" t="inlineStr">
        <is>
          <t>Medium</t>
        </is>
      </c>
      <c r="H2795" s="1" t="n">
        <v>356327</v>
      </c>
      <c r="I2795" s="1" t="n">
        <v>504008</v>
      </c>
      <c r="J2795" s="9" t="n">
        <v>0.707</v>
      </c>
      <c r="K2795" s="1" t="inlineStr">
        <is>
          <t>Yes</t>
        </is>
      </c>
      <c r="L2795" s="1" t="inlineStr">
        <is>
          <t>Yes</t>
        </is>
      </c>
      <c r="M2795" s="1" t="inlineStr">
        <is>
          <t>No</t>
        </is>
      </c>
      <c r="N2795" s="1" t="inlineStr">
        <is>
          <t>Algorithms</t>
        </is>
      </c>
      <c r="O27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95" s="11" t="inlineStr">
        <is>
          <t>To Do</t>
        </is>
      </c>
    </row>
    <row r="2796" ht="15.75" customHeight="1" s="12">
      <c r="A2796" s="1" t="n">
        <v>2633</v>
      </c>
      <c r="B2796" s="3">
        <f>HYPERLINK("https://leetcode.com/problems/convert-object-to-json-string/", "Convert Object to JSON String")</f>
        <v/>
      </c>
      <c r="C2796" s="1" t="n">
        <v>209</v>
      </c>
      <c r="D2796" s="1" t="n">
        <v>12</v>
      </c>
      <c r="E2796" s="4">
        <f>IF(INDEX(C:C, ROW())+INDEX(D:D, ROW())=0, 0, INDEX(C:C, ROW())/(INDEX(C:C, ROW())+INDEX(D:D, ROW())))</f>
        <v/>
      </c>
      <c r="F2796" s="2" t="n"/>
      <c r="G2796" s="1" t="inlineStr">
        <is>
          <t>Medium</t>
        </is>
      </c>
      <c r="H2796" s="1" t="n">
        <v>14002</v>
      </c>
      <c r="I2796" s="1" t="n">
        <v>17948</v>
      </c>
      <c r="J2796" s="9" t="n">
        <v>0.78</v>
      </c>
      <c r="K2796" s="1" t="inlineStr">
        <is>
          <t>No</t>
        </is>
      </c>
      <c r="L2796" s="1" t="inlineStr">
        <is>
          <t>Yes</t>
        </is>
      </c>
      <c r="M2796" s="1" t="inlineStr">
        <is>
          <t>No</t>
        </is>
      </c>
      <c r="N2796" s="1" t="inlineStr">
        <is>
          <t>JavaScript</t>
        </is>
      </c>
      <c r="O27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96" s="11" t="inlineStr">
        <is>
          <t>To Do</t>
        </is>
      </c>
    </row>
    <row r="2797" ht="15.75" customHeight="1" s="12">
      <c r="A2797" s="1" t="n">
        <v>3008</v>
      </c>
      <c r="B2797" s="3">
        <f>HYPERLINK("https://leetcode.com/problems/find-beautiful-indices-in-the-given-array-ii/", "Find Beautiful Indices in the Given Array II")</f>
        <v/>
      </c>
      <c r="C2797" s="1" t="n">
        <v>209</v>
      </c>
      <c r="D2797" s="1" t="n">
        <v>16</v>
      </c>
      <c r="E2797" s="4">
        <f>IF(INDEX(C:C, ROW())+INDEX(D:D, ROW())=0, 0, INDEX(C:C, ROW())/(INDEX(C:C, ROW())+INDEX(D:D, ROW())))</f>
        <v/>
      </c>
      <c r="F2797" s="1" t="inlineStr">
        <is>
          <t>Two Pointers, String, Binary Search, Rolling Hash, String Matching, Hash Function</t>
        </is>
      </c>
      <c r="G2797" s="1" t="inlineStr">
        <is>
          <t>Hard</t>
        </is>
      </c>
      <c r="H2797" s="1" t="n">
        <v>17599</v>
      </c>
      <c r="I2797" s="1" t="n">
        <v>63259</v>
      </c>
      <c r="J2797" s="9" t="n">
        <v>0.278</v>
      </c>
      <c r="K2797" s="1" t="inlineStr">
        <is>
          <t>Yes</t>
        </is>
      </c>
      <c r="L2797" s="1" t="inlineStr">
        <is>
          <t>No</t>
        </is>
      </c>
      <c r="M2797" s="1" t="inlineStr">
        <is>
          <t>No</t>
        </is>
      </c>
      <c r="N2797" s="1" t="inlineStr">
        <is>
          <t>Algorithms</t>
        </is>
      </c>
      <c r="O27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97" s="11" t="inlineStr">
        <is>
          <t>To Do</t>
        </is>
      </c>
    </row>
    <row r="2798" ht="15.75" customHeight="1" s="12">
      <c r="A2798" s="1" t="n">
        <v>1698</v>
      </c>
      <c r="B2798" s="3">
        <f>HYPERLINK("https://leetcode.com/problems/number-of-distinct-substrings-in-a-string/", "Number of Distinct Substrings in a String")</f>
        <v/>
      </c>
      <c r="C2798" s="1" t="n">
        <v>208</v>
      </c>
      <c r="D2798" s="1" t="n">
        <v>44</v>
      </c>
      <c r="E2798" s="4">
        <f>IF(INDEX(C:C, ROW())+INDEX(D:D, ROW())=0, 0, INDEX(C:C, ROW())/(INDEX(C:C, ROW())+INDEX(D:D, ROW())))</f>
        <v/>
      </c>
      <c r="F2798" s="1" t="inlineStr">
        <is>
          <t>String, Trie, Rolling Hash, Suffix Array, Hash Function</t>
        </is>
      </c>
      <c r="G2798" s="1" t="inlineStr">
        <is>
          <t>Medium</t>
        </is>
      </c>
      <c r="H2798" s="1" t="n">
        <v>14445</v>
      </c>
      <c r="I2798" s="1" t="n">
        <v>22318</v>
      </c>
      <c r="J2798" s="9" t="n">
        <v>0.647</v>
      </c>
      <c r="K2798" s="1" t="inlineStr">
        <is>
          <t>No</t>
        </is>
      </c>
      <c r="L2798" s="1" t="inlineStr">
        <is>
          <t>No</t>
        </is>
      </c>
      <c r="M2798" s="1" t="inlineStr">
        <is>
          <t>No</t>
        </is>
      </c>
      <c r="N2798" s="1" t="inlineStr">
        <is>
          <t>Algorithms</t>
        </is>
      </c>
      <c r="O27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98" s="11" t="inlineStr">
        <is>
          <t>To Do</t>
        </is>
      </c>
    </row>
    <row r="2799" ht="15.75" customHeight="1" s="12">
      <c r="A2799" s="1" t="n">
        <v>1778</v>
      </c>
      <c r="B2799" s="3">
        <f>HYPERLINK("https://leetcode.com/problems/shortest-path-in-a-hidden-grid/", "Shortest Path in a Hidden Grid")</f>
        <v/>
      </c>
      <c r="C2799" s="1" t="n">
        <v>208</v>
      </c>
      <c r="D2799" s="1" t="n">
        <v>89</v>
      </c>
      <c r="E2799" s="4">
        <f>IF(INDEX(C:C, ROW())+INDEX(D:D, ROW())=0, 0, INDEX(C:C, ROW())/(INDEX(C:C, ROW())+INDEX(D:D, ROW())))</f>
        <v/>
      </c>
      <c r="F2799" s="1" t="inlineStr">
        <is>
          <t>Array, Depth-First Search, Breadth-First Search, Matrix, Interactive</t>
        </is>
      </c>
      <c r="G2799" s="1" t="inlineStr">
        <is>
          <t>Medium</t>
        </is>
      </c>
      <c r="H2799" s="1" t="n">
        <v>17452</v>
      </c>
      <c r="I2799" s="1" t="n">
        <v>39159</v>
      </c>
      <c r="J2799" s="9" t="n">
        <v>0.446</v>
      </c>
      <c r="K2799" s="1" t="inlineStr">
        <is>
          <t>No</t>
        </is>
      </c>
      <c r="L2799" s="1" t="inlineStr">
        <is>
          <t>No</t>
        </is>
      </c>
      <c r="M2799" s="1" t="inlineStr">
        <is>
          <t>No</t>
        </is>
      </c>
      <c r="N2799" s="1" t="inlineStr">
        <is>
          <t>Algorithms</t>
        </is>
      </c>
      <c r="O27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799" s="11" t="inlineStr">
        <is>
          <t>To Do</t>
        </is>
      </c>
    </row>
    <row r="2800" ht="15.75" customHeight="1" s="12">
      <c r="A2800" s="1" t="n">
        <v>3244</v>
      </c>
      <c r="B2800" s="3">
        <f>HYPERLINK("https://leetcode.com/problems/shortest-distance-after-road-addition-queries-ii/", "Shortest Distance After Road Addition Queries II")</f>
        <v/>
      </c>
      <c r="C2800" s="1" t="n">
        <v>208</v>
      </c>
      <c r="D2800" s="1" t="n">
        <v>6</v>
      </c>
      <c r="E2800" s="4">
        <f>IF(INDEX(C:C, ROW())+INDEX(D:D, ROW())=0, 0, INDEX(C:C, ROW())/(INDEX(C:C, ROW())+INDEX(D:D, ROW())))</f>
        <v/>
      </c>
      <c r="F2800" s="1" t="inlineStr">
        <is>
          <t>Array, Greedy, Graph Theory, Ordered Set</t>
        </is>
      </c>
      <c r="G2800" s="1" t="inlineStr">
        <is>
          <t>Hard</t>
        </is>
      </c>
      <c r="H2800" s="1" t="n">
        <v>15574</v>
      </c>
      <c r="I2800" s="1" t="n">
        <v>58391</v>
      </c>
      <c r="J2800" s="9" t="n">
        <v>0.267</v>
      </c>
      <c r="K2800" s="1" t="inlineStr">
        <is>
          <t>Yes</t>
        </is>
      </c>
      <c r="L2800" s="1" t="inlineStr">
        <is>
          <t>No</t>
        </is>
      </c>
      <c r="M2800" s="1" t="inlineStr">
        <is>
          <t>No</t>
        </is>
      </c>
      <c r="N2800" s="1" t="inlineStr">
        <is>
          <t>Algorithms</t>
        </is>
      </c>
      <c r="O28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00" s="11" t="inlineStr">
        <is>
          <t>To Do</t>
        </is>
      </c>
    </row>
    <row r="2801" ht="15.75" customHeight="1" s="12">
      <c r="A2801" s="1" t="n">
        <v>558</v>
      </c>
      <c r="B2801" s="3">
        <f>HYPERLINK("https://leetcode.com/problems/logical-or-of-two-binary-grids-represented-as-quad-trees/", "Logical OR of Two Binary Grids Represented as Quad-Trees")</f>
        <v/>
      </c>
      <c r="C2801" s="1" t="n">
        <v>207</v>
      </c>
      <c r="D2801" s="1" t="n">
        <v>482</v>
      </c>
      <c r="E2801" s="4">
        <f>IF(INDEX(C:C, ROW())+INDEX(D:D, ROW())=0, 0, INDEX(C:C, ROW())/(INDEX(C:C, ROW())+INDEX(D:D, ROW())))</f>
        <v/>
      </c>
      <c r="F2801" s="1" t="inlineStr">
        <is>
          <t>Divide and Conquer, Tree</t>
        </is>
      </c>
      <c r="G2801" s="1" t="inlineStr">
        <is>
          <t>Medium</t>
        </is>
      </c>
      <c r="H2801" s="1" t="n">
        <v>20014</v>
      </c>
      <c r="I2801" s="1" t="n">
        <v>38199</v>
      </c>
      <c r="J2801" s="9" t="n">
        <v>0.524</v>
      </c>
      <c r="K2801" s="1" t="inlineStr">
        <is>
          <t>Yes</t>
        </is>
      </c>
      <c r="L2801" s="1" t="inlineStr">
        <is>
          <t>No</t>
        </is>
      </c>
      <c r="M2801" s="1" t="inlineStr">
        <is>
          <t>No</t>
        </is>
      </c>
      <c r="N2801" s="1" t="inlineStr">
        <is>
          <t>Algorithms</t>
        </is>
      </c>
      <c r="O28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01" s="11" t="inlineStr">
        <is>
          <t>To Do</t>
        </is>
      </c>
    </row>
    <row r="2802" ht="15.75" customHeight="1" s="12">
      <c r="A2802" s="1" t="n">
        <v>1076</v>
      </c>
      <c r="B2802" s="3">
        <f>HYPERLINK("https://leetcode.com/problems/project-employees-ii/", "Project Employees II")</f>
        <v/>
      </c>
      <c r="C2802" s="1" t="n">
        <v>207</v>
      </c>
      <c r="D2802" s="1" t="n">
        <v>63</v>
      </c>
      <c r="E2802" s="4">
        <f>IF(INDEX(C:C, ROW())+INDEX(D:D, ROW())=0, 0, INDEX(C:C, ROW())/(INDEX(C:C, ROW())+INDEX(D:D, ROW())))</f>
        <v/>
      </c>
      <c r="F2802" s="1" t="inlineStr">
        <is>
          <t>Database</t>
        </is>
      </c>
      <c r="G2802" s="1" t="inlineStr">
        <is>
          <t>Easy</t>
        </is>
      </c>
      <c r="H2802" s="1" t="n">
        <v>66885</v>
      </c>
      <c r="I2802" s="1" t="n">
        <v>132682</v>
      </c>
      <c r="J2802" s="9" t="n">
        <v>0.504</v>
      </c>
      <c r="K2802" s="1" t="inlineStr">
        <is>
          <t>No</t>
        </is>
      </c>
      <c r="L2802" s="1" t="inlineStr">
        <is>
          <t>No</t>
        </is>
      </c>
      <c r="M2802" s="1" t="inlineStr">
        <is>
          <t>No</t>
        </is>
      </c>
      <c r="N2802" s="1" t="inlineStr">
        <is>
          <t>Database</t>
        </is>
      </c>
      <c r="O28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02" s="11" t="inlineStr">
        <is>
          <t>To Do</t>
        </is>
      </c>
    </row>
    <row r="2803" ht="15.75" customHeight="1" s="12">
      <c r="A2803" s="1" t="n">
        <v>2908</v>
      </c>
      <c r="B2803" s="3">
        <f>HYPERLINK("https://leetcode.com/problems/minimum-sum-of-mountain-triplets-i/", "Minimum Sum of Mountain Triplets I")</f>
        <v/>
      </c>
      <c r="C2803" s="1" t="n">
        <v>207</v>
      </c>
      <c r="D2803" s="1" t="n">
        <v>15</v>
      </c>
      <c r="E2803" s="4">
        <f>IF(INDEX(C:C, ROW())+INDEX(D:D, ROW())=0, 0, INDEX(C:C, ROW())/(INDEX(C:C, ROW())+INDEX(D:D, ROW())))</f>
        <v/>
      </c>
      <c r="F2803" s="1" t="inlineStr">
        <is>
          <t>Array</t>
        </is>
      </c>
      <c r="G2803" s="1" t="inlineStr">
        <is>
          <t>Easy</t>
        </is>
      </c>
      <c r="H2803" s="1" t="n">
        <v>48907</v>
      </c>
      <c r="I2803" s="1" t="n">
        <v>72523</v>
      </c>
      <c r="J2803" s="9" t="n">
        <v>0.674</v>
      </c>
      <c r="K2803" s="1" t="inlineStr">
        <is>
          <t>Yes</t>
        </is>
      </c>
      <c r="L2803" s="1" t="inlineStr">
        <is>
          <t>No</t>
        </is>
      </c>
      <c r="M2803" s="1" t="inlineStr">
        <is>
          <t>No</t>
        </is>
      </c>
      <c r="N2803" s="1" t="inlineStr">
        <is>
          <t>Algorithms</t>
        </is>
      </c>
      <c r="O28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03" s="13" t="inlineStr">
        <is>
          <t>Done</t>
        </is>
      </c>
    </row>
    <row r="2804" ht="15.75" customHeight="1" s="12">
      <c r="A2804" s="1" t="n">
        <v>2959</v>
      </c>
      <c r="B2804" s="3">
        <f>HYPERLINK("https://leetcode.com/problems/number-of-possible-sets-of-closing-branches/", "Number of Possible Sets of Closing Branches")</f>
        <v/>
      </c>
      <c r="C2804" s="1" t="n">
        <v>207</v>
      </c>
      <c r="D2804" s="1" t="n">
        <v>17</v>
      </c>
      <c r="E2804" s="4">
        <f>IF(INDEX(C:C, ROW())+INDEX(D:D, ROW())=0, 0, INDEX(C:C, ROW())/(INDEX(C:C, ROW())+INDEX(D:D, ROW())))</f>
        <v/>
      </c>
      <c r="F2804" s="1" t="inlineStr">
        <is>
          <t>Bit Manipulation, Graph Theory, Heap (Priority Queue), Enumeration, Shortest Path</t>
        </is>
      </c>
      <c r="G2804" s="1" t="inlineStr">
        <is>
          <t>Hard</t>
        </is>
      </c>
      <c r="H2804" s="1" t="n">
        <v>10980</v>
      </c>
      <c r="I2804" s="1" t="n">
        <v>21594</v>
      </c>
      <c r="J2804" s="9" t="n">
        <v>0.508</v>
      </c>
      <c r="K2804" s="1" t="inlineStr">
        <is>
          <t>Yes</t>
        </is>
      </c>
      <c r="L2804" s="1" t="inlineStr">
        <is>
          <t>No</t>
        </is>
      </c>
      <c r="M2804" s="1" t="inlineStr">
        <is>
          <t>No</t>
        </is>
      </c>
      <c r="N2804" s="1" t="inlineStr">
        <is>
          <t>Algorithms</t>
        </is>
      </c>
      <c r="O28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04" s="11" t="inlineStr">
        <is>
          <t>To Do</t>
        </is>
      </c>
    </row>
    <row r="2805" ht="15.75" customHeight="1" s="12">
      <c r="A2805" s="1" t="n">
        <v>3006</v>
      </c>
      <c r="B2805" s="3">
        <f>HYPERLINK("https://leetcode.com/problems/find-beautiful-indices-in-the-given-array-i/", "Find Beautiful Indices in the Given Array I")</f>
        <v/>
      </c>
      <c r="C2805" s="1" t="n">
        <v>207</v>
      </c>
      <c r="D2805" s="1" t="n">
        <v>50</v>
      </c>
      <c r="E2805" s="4">
        <f>IF(INDEX(C:C, ROW())+INDEX(D:D, ROW())=0, 0, INDEX(C:C, ROW())/(INDEX(C:C, ROW())+INDEX(D:D, ROW())))</f>
        <v/>
      </c>
      <c r="F2805" s="1" t="inlineStr">
        <is>
          <t>Two Pointers, String, Binary Search, Rolling Hash, String Matching, Hash Function</t>
        </is>
      </c>
      <c r="G2805" s="1" t="inlineStr">
        <is>
          <t>Medium</t>
        </is>
      </c>
      <c r="H2805" s="1" t="n">
        <v>48545</v>
      </c>
      <c r="I2805" s="1" t="n">
        <v>118897</v>
      </c>
      <c r="J2805" s="9" t="n">
        <v>0.408</v>
      </c>
      <c r="K2805" s="1" t="inlineStr">
        <is>
          <t>Yes</t>
        </is>
      </c>
      <c r="L2805" s="1" t="inlineStr">
        <is>
          <t>No</t>
        </is>
      </c>
      <c r="M2805" s="1" t="inlineStr">
        <is>
          <t>No</t>
        </is>
      </c>
      <c r="N2805" s="1" t="inlineStr">
        <is>
          <t>Algorithms</t>
        </is>
      </c>
      <c r="O28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05" s="11" t="inlineStr">
        <is>
          <t>To Do</t>
        </is>
      </c>
    </row>
    <row r="2806" ht="15.75" customHeight="1" s="12">
      <c r="A2806" s="1" t="n">
        <v>3081</v>
      </c>
      <c r="B2806" s="3">
        <f>HYPERLINK("https://leetcode.com/problems/replace-question-marks-in-string-to-minimize-its-value/", "Replace Question Marks in String to Minimize Its Value")</f>
        <v/>
      </c>
      <c r="C2806" s="1" t="n">
        <v>206</v>
      </c>
      <c r="D2806" s="1" t="n">
        <v>33</v>
      </c>
      <c r="E2806" s="4">
        <f>IF(INDEX(C:C, ROW())+INDEX(D:D, ROW())=0, 0, INDEX(C:C, ROW())/(INDEX(C:C, ROW())+INDEX(D:D, ROW())))</f>
        <v/>
      </c>
      <c r="F2806" s="1" t="inlineStr">
        <is>
          <t>Hash Table, String, Greedy, Sorting, Heap (Priority Queue), Counting</t>
        </is>
      </c>
      <c r="G2806" s="1" t="inlineStr">
        <is>
          <t>Medium</t>
        </is>
      </c>
      <c r="H2806" s="1" t="n">
        <v>17996</v>
      </c>
      <c r="I2806" s="1" t="n">
        <v>61723</v>
      </c>
      <c r="J2806" s="9" t="n">
        <v>0.292</v>
      </c>
      <c r="K2806" s="1" t="inlineStr">
        <is>
          <t>Yes</t>
        </is>
      </c>
      <c r="L2806" s="1" t="inlineStr">
        <is>
          <t>No</t>
        </is>
      </c>
      <c r="M2806" s="1" t="inlineStr">
        <is>
          <t>No</t>
        </is>
      </c>
      <c r="N2806" s="1" t="inlineStr">
        <is>
          <t>Algorithms</t>
        </is>
      </c>
      <c r="O28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06" s="11" t="inlineStr">
        <is>
          <t>To Do</t>
        </is>
      </c>
    </row>
    <row r="2807" ht="15.75" customHeight="1" s="12">
      <c r="A2807" s="1" t="n">
        <v>1858</v>
      </c>
      <c r="B2807" s="3">
        <f>HYPERLINK("https://leetcode.com/problems/longest-word-with-all-prefixes/", "Longest Word With All Prefixes")</f>
        <v/>
      </c>
      <c r="C2807" s="1" t="n">
        <v>205</v>
      </c>
      <c r="D2807" s="1" t="n">
        <v>7</v>
      </c>
      <c r="E2807" s="4">
        <f>IF(INDEX(C:C, ROW())+INDEX(D:D, ROW())=0, 0, INDEX(C:C, ROW())/(INDEX(C:C, ROW())+INDEX(D:D, ROW())))</f>
        <v/>
      </c>
      <c r="F2807" s="1" t="inlineStr">
        <is>
          <t>Array, String, Depth-First Search, Trie</t>
        </is>
      </c>
      <c r="G2807" s="1" t="inlineStr">
        <is>
          <t>Medium</t>
        </is>
      </c>
      <c r="H2807" s="1" t="n">
        <v>14553</v>
      </c>
      <c r="I2807" s="1" t="n">
        <v>20188</v>
      </c>
      <c r="J2807" s="9" t="n">
        <v>0.721</v>
      </c>
      <c r="K2807" s="1" t="inlineStr">
        <is>
          <t>No</t>
        </is>
      </c>
      <c r="L2807" s="1" t="inlineStr">
        <is>
          <t>Yes</t>
        </is>
      </c>
      <c r="M2807" s="1" t="inlineStr">
        <is>
          <t>No</t>
        </is>
      </c>
      <c r="N2807" s="1" t="inlineStr">
        <is>
          <t>Algorithms</t>
        </is>
      </c>
      <c r="O28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07" s="11" t="inlineStr">
        <is>
          <t>To Do</t>
        </is>
      </c>
    </row>
    <row r="2808" ht="15.75" customHeight="1" s="12">
      <c r="A2808" s="1" t="n">
        <v>2904</v>
      </c>
      <c r="B2808" s="3">
        <f>HYPERLINK("https://leetcode.com/problems/shortest-and-lexicographically-smallest-beautiful-string/", "Shortest and Lexicographically Smallest Beautiful String")</f>
        <v/>
      </c>
      <c r="C2808" s="1" t="n">
        <v>205</v>
      </c>
      <c r="D2808" s="1" t="n">
        <v>12</v>
      </c>
      <c r="E2808" s="4">
        <f>IF(INDEX(C:C, ROW())+INDEX(D:D, ROW())=0, 0, INDEX(C:C, ROW())/(INDEX(C:C, ROW())+INDEX(D:D, ROW())))</f>
        <v/>
      </c>
      <c r="F2808" s="1" t="inlineStr">
        <is>
          <t>String, Sliding Window</t>
        </is>
      </c>
      <c r="G2808" s="1" t="inlineStr">
        <is>
          <t>Medium</t>
        </is>
      </c>
      <c r="H2808" s="1" t="n">
        <v>33823</v>
      </c>
      <c r="I2808" s="1" t="n">
        <v>82356</v>
      </c>
      <c r="J2808" s="9" t="n">
        <v>0.411</v>
      </c>
      <c r="K2808" s="1" t="inlineStr">
        <is>
          <t>Yes</t>
        </is>
      </c>
      <c r="L2808" s="1" t="inlineStr">
        <is>
          <t>No</t>
        </is>
      </c>
      <c r="M2808" s="1" t="inlineStr">
        <is>
          <t>No</t>
        </is>
      </c>
      <c r="N2808" s="1" t="inlineStr">
        <is>
          <t>Algorithms</t>
        </is>
      </c>
      <c r="O28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08" s="11" t="inlineStr">
        <is>
          <t>To Do</t>
        </is>
      </c>
    </row>
    <row r="2809" ht="15.75" customHeight="1" s="12">
      <c r="A2809" s="1" t="n">
        <v>3048</v>
      </c>
      <c r="B2809" s="3">
        <f>HYPERLINK("https://leetcode.com/problems/earliest-second-to-mark-indices-i/", "Earliest Second to Mark Indices I")</f>
        <v/>
      </c>
      <c r="C2809" s="1" t="n">
        <v>205</v>
      </c>
      <c r="D2809" s="1" t="n">
        <v>101</v>
      </c>
      <c r="E2809" s="4">
        <f>IF(INDEX(C:C, ROW())+INDEX(D:D, ROW())=0, 0, INDEX(C:C, ROW())/(INDEX(C:C, ROW())+INDEX(D:D, ROW())))</f>
        <v/>
      </c>
      <c r="F2809" s="1" t="inlineStr">
        <is>
          <t>Array, Binary Search</t>
        </is>
      </c>
      <c r="G2809" s="1" t="inlineStr">
        <is>
          <t>Medium</t>
        </is>
      </c>
      <c r="H2809" s="1" t="n">
        <v>11366</v>
      </c>
      <c r="I2809" s="1" t="n">
        <v>30862</v>
      </c>
      <c r="J2809" s="9" t="n">
        <v>0.368</v>
      </c>
      <c r="K2809" s="1" t="inlineStr">
        <is>
          <t>Yes</t>
        </is>
      </c>
      <c r="L2809" s="1" t="inlineStr">
        <is>
          <t>No</t>
        </is>
      </c>
      <c r="M2809" s="1" t="inlineStr">
        <is>
          <t>No</t>
        </is>
      </c>
      <c r="N2809" s="1" t="inlineStr">
        <is>
          <t>Algorithms</t>
        </is>
      </c>
      <c r="O28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09" s="11" t="inlineStr">
        <is>
          <t>To Do</t>
        </is>
      </c>
    </row>
    <row r="2810" ht="15.75" customHeight="1" s="12">
      <c r="A2810" s="1" t="n">
        <v>3218</v>
      </c>
      <c r="B2810" s="3">
        <f>HYPERLINK("https://leetcode.com/problems/minimum-cost-for-cutting-cake-i/", "Minimum Cost for Cutting Cake I")</f>
        <v/>
      </c>
      <c r="C2810" s="1" t="n">
        <v>205</v>
      </c>
      <c r="D2810" s="1" t="n">
        <v>8</v>
      </c>
      <c r="E2810" s="4">
        <f>IF(INDEX(C:C, ROW())+INDEX(D:D, ROW())=0, 0, INDEX(C:C, ROW())/(INDEX(C:C, ROW())+INDEX(D:D, ROW())))</f>
        <v/>
      </c>
      <c r="F2810" s="1" t="inlineStr">
        <is>
          <t>Array, Two Pointers, Dynamic Programming, Greedy, Sorting</t>
        </is>
      </c>
      <c r="G2810" s="1" t="inlineStr">
        <is>
          <t>Medium</t>
        </is>
      </c>
      <c r="H2810" s="1" t="n">
        <v>31115</v>
      </c>
      <c r="I2810" s="1" t="n">
        <v>53182</v>
      </c>
      <c r="J2810" s="9" t="n">
        <v>0.585</v>
      </c>
      <c r="K2810" s="1" t="inlineStr">
        <is>
          <t>Yes</t>
        </is>
      </c>
      <c r="L2810" s="1" t="inlineStr">
        <is>
          <t>No</t>
        </is>
      </c>
      <c r="M2810" s="1" t="inlineStr">
        <is>
          <t>No</t>
        </is>
      </c>
      <c r="N2810" s="1" t="inlineStr">
        <is>
          <t>Algorithms</t>
        </is>
      </c>
      <c r="O28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10" s="11" t="inlineStr">
        <is>
          <t>To Do</t>
        </is>
      </c>
    </row>
    <row r="2811" ht="15.75" customHeight="1" s="12">
      <c r="A2811" s="1" t="n">
        <v>3232</v>
      </c>
      <c r="B2811" s="3">
        <f>HYPERLINK("https://leetcode.com/problems/find-if-digit-game-can-be-won/", "Find if Digit Game Can Be Won")</f>
        <v/>
      </c>
      <c r="C2811" s="1" t="n">
        <v>205</v>
      </c>
      <c r="D2811" s="1" t="n">
        <v>13</v>
      </c>
      <c r="E2811" s="4">
        <f>IF(INDEX(C:C, ROW())+INDEX(D:D, ROW())=0, 0, INDEX(C:C, ROW())/(INDEX(C:C, ROW())+INDEX(D:D, ROW())))</f>
        <v/>
      </c>
      <c r="F2811" s="1" t="inlineStr">
        <is>
          <t>Array, Math</t>
        </is>
      </c>
      <c r="G2811" s="1" t="inlineStr">
        <is>
          <t>Easy</t>
        </is>
      </c>
      <c r="H2811" s="1" t="n">
        <v>113811</v>
      </c>
      <c r="I2811" s="1" t="n">
        <v>139504</v>
      </c>
      <c r="J2811" s="9" t="n">
        <v>0.8159999999999999</v>
      </c>
      <c r="K2811" s="1" t="inlineStr">
        <is>
          <t>Yes</t>
        </is>
      </c>
      <c r="L2811" s="1" t="inlineStr">
        <is>
          <t>No</t>
        </is>
      </c>
      <c r="M2811" s="1" t="inlineStr">
        <is>
          <t>No</t>
        </is>
      </c>
      <c r="N2811" s="1" t="inlineStr">
        <is>
          <t>Algorithms</t>
        </is>
      </c>
      <c r="O28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11" s="13" t="inlineStr">
        <is>
          <t>Done</t>
        </is>
      </c>
    </row>
    <row r="2812" ht="15.75" customHeight="1" s="12">
      <c r="A2812" s="1" t="n">
        <v>831</v>
      </c>
      <c r="B2812" s="3">
        <f>HYPERLINK("https://leetcode.com/problems/masking-personal-information/", "Masking Personal Information")</f>
        <v/>
      </c>
      <c r="C2812" s="1" t="n">
        <v>204</v>
      </c>
      <c r="D2812" s="1" t="n">
        <v>471</v>
      </c>
      <c r="E2812" s="4">
        <f>IF(INDEX(C:C, ROW())+INDEX(D:D, ROW())=0, 0, INDEX(C:C, ROW())/(INDEX(C:C, ROW())+INDEX(D:D, ROW())))</f>
        <v/>
      </c>
      <c r="F2812" s="1" t="inlineStr">
        <is>
          <t>String</t>
        </is>
      </c>
      <c r="G2812" s="1" t="inlineStr">
        <is>
          <t>Medium</t>
        </is>
      </c>
      <c r="H2812" s="1" t="n">
        <v>36022</v>
      </c>
      <c r="I2812" s="1" t="n">
        <v>65516</v>
      </c>
      <c r="J2812" s="9" t="n">
        <v>0.55</v>
      </c>
      <c r="K2812" s="1" t="inlineStr">
        <is>
          <t>Yes</t>
        </is>
      </c>
      <c r="L2812" s="1" t="inlineStr">
        <is>
          <t>Yes</t>
        </is>
      </c>
      <c r="M2812" s="1" t="inlineStr">
        <is>
          <t>No</t>
        </is>
      </c>
      <c r="N2812" s="1" t="inlineStr">
        <is>
          <t>Algorithms</t>
        </is>
      </c>
      <c r="O28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12" s="11" t="inlineStr">
        <is>
          <t>To Do</t>
        </is>
      </c>
    </row>
    <row r="2813" ht="15.75" customHeight="1" s="12">
      <c r="A2813" s="1" t="n">
        <v>1082</v>
      </c>
      <c r="B2813" s="3">
        <f>HYPERLINK("https://leetcode.com/problems/sales-analysis-i/", "Sales Analysis I")</f>
        <v/>
      </c>
      <c r="C2813" s="1" t="n">
        <v>204</v>
      </c>
      <c r="D2813" s="1" t="n">
        <v>82</v>
      </c>
      <c r="E2813" s="4">
        <f>IF(INDEX(C:C, ROW())+INDEX(D:D, ROW())=0, 0, INDEX(C:C, ROW())/(INDEX(C:C, ROW())+INDEX(D:D, ROW())))</f>
        <v/>
      </c>
      <c r="F2813" s="1" t="inlineStr">
        <is>
          <t>Database</t>
        </is>
      </c>
      <c r="G2813" s="1" t="inlineStr">
        <is>
          <t>Easy</t>
        </is>
      </c>
      <c r="H2813" s="1" t="n">
        <v>68337</v>
      </c>
      <c r="I2813" s="1" t="n">
        <v>91370</v>
      </c>
      <c r="J2813" s="9" t="n">
        <v>0.748</v>
      </c>
      <c r="K2813" s="1" t="inlineStr">
        <is>
          <t>No</t>
        </is>
      </c>
      <c r="L2813" s="1" t="inlineStr">
        <is>
          <t>Yes</t>
        </is>
      </c>
      <c r="M2813" s="1" t="inlineStr">
        <is>
          <t>No</t>
        </is>
      </c>
      <c r="N2813" s="1" t="inlineStr">
        <is>
          <t>Database</t>
        </is>
      </c>
      <c r="O28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13" s="11" t="inlineStr">
        <is>
          <t>To Do</t>
        </is>
      </c>
    </row>
    <row r="2814" ht="15.75" customHeight="1" s="12">
      <c r="A2814" s="1" t="n">
        <v>2245</v>
      </c>
      <c r="B2814" s="3">
        <f>HYPERLINK("https://leetcode.com/problems/maximum-trailing-zeros-in-a-cornered-path/", "Maximum Trailing Zeros in a Cornered Path")</f>
        <v/>
      </c>
      <c r="C2814" s="1" t="n">
        <v>204</v>
      </c>
      <c r="D2814" s="1" t="n">
        <v>407</v>
      </c>
      <c r="E2814" s="4">
        <f>IF(INDEX(C:C, ROW())+INDEX(D:D, ROW())=0, 0, INDEX(C:C, ROW())/(INDEX(C:C, ROW())+INDEX(D:D, ROW())))</f>
        <v/>
      </c>
      <c r="F2814" s="1" t="inlineStr">
        <is>
          <t>Array, Matrix, Prefix Sum</t>
        </is>
      </c>
      <c r="G2814" s="1" t="inlineStr">
        <is>
          <t>Medium</t>
        </is>
      </c>
      <c r="H2814" s="1" t="n">
        <v>9792</v>
      </c>
      <c r="I2814" s="1" t="n">
        <v>26066</v>
      </c>
      <c r="J2814" s="9" t="n">
        <v>0.376</v>
      </c>
      <c r="K2814" s="1" t="inlineStr">
        <is>
          <t>Yes</t>
        </is>
      </c>
      <c r="L2814" s="1" t="inlineStr">
        <is>
          <t>No</t>
        </is>
      </c>
      <c r="M2814" s="1" t="inlineStr">
        <is>
          <t>No</t>
        </is>
      </c>
      <c r="N2814" s="1" t="inlineStr">
        <is>
          <t>Algorithms</t>
        </is>
      </c>
      <c r="O28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14" s="11" t="inlineStr">
        <is>
          <t>To Do</t>
        </is>
      </c>
    </row>
    <row r="2815" ht="15.75" customHeight="1" s="12">
      <c r="A2815" s="1" t="n">
        <v>2934</v>
      </c>
      <c r="B2815" s="3">
        <f>HYPERLINK("https://leetcode.com/problems/minimum-operations-to-maximize-last-elements-in-arrays/", "Minimum Operations to Maximize Last Elements in Arrays")</f>
        <v/>
      </c>
      <c r="C2815" s="1" t="n">
        <v>204</v>
      </c>
      <c r="D2815" s="1" t="n">
        <v>16</v>
      </c>
      <c r="E2815" s="4">
        <f>IF(INDEX(C:C, ROW())+INDEX(D:D, ROW())=0, 0, INDEX(C:C, ROW())/(INDEX(C:C, ROW())+INDEX(D:D, ROW())))</f>
        <v/>
      </c>
      <c r="F2815" s="1" t="inlineStr">
        <is>
          <t>Array, Enumeration</t>
        </is>
      </c>
      <c r="G2815" s="1" t="inlineStr">
        <is>
          <t>Medium</t>
        </is>
      </c>
      <c r="H2815" s="1" t="n">
        <v>15137</v>
      </c>
      <c r="I2815" s="1" t="n">
        <v>34433</v>
      </c>
      <c r="J2815" s="9" t="n">
        <v>0.44</v>
      </c>
      <c r="K2815" s="1" t="inlineStr">
        <is>
          <t>Yes</t>
        </is>
      </c>
      <c r="L2815" s="1" t="inlineStr">
        <is>
          <t>No</t>
        </is>
      </c>
      <c r="M2815" s="1" t="inlineStr">
        <is>
          <t>No</t>
        </is>
      </c>
      <c r="N2815" s="1" t="inlineStr">
        <is>
          <t>Algorithms</t>
        </is>
      </c>
      <c r="O28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15" s="11" t="inlineStr">
        <is>
          <t>To Do</t>
        </is>
      </c>
    </row>
    <row r="2816" ht="15.75" customHeight="1" s="12">
      <c r="A2816" s="1" t="n">
        <v>3138</v>
      </c>
      <c r="B2816" s="3">
        <f>HYPERLINK("https://leetcode.com/problems/minimum-length-of-anagram-concatenation/", "Minimum Length of Anagram Concatenation")</f>
        <v/>
      </c>
      <c r="C2816" s="1" t="n">
        <v>204</v>
      </c>
      <c r="D2816" s="1" t="n">
        <v>104</v>
      </c>
      <c r="E2816" s="4">
        <f>IF(INDEX(C:C, ROW())+INDEX(D:D, ROW())=0, 0, INDEX(C:C, ROW())/(INDEX(C:C, ROW())+INDEX(D:D, ROW())))</f>
        <v/>
      </c>
      <c r="F2816" s="1" t="inlineStr">
        <is>
          <t>Hash Table, String, Counting</t>
        </is>
      </c>
      <c r="G2816" s="1" t="inlineStr">
        <is>
          <t>Medium</t>
        </is>
      </c>
      <c r="H2816" s="1" t="n">
        <v>33858</v>
      </c>
      <c r="I2816" s="1" t="n">
        <v>85082</v>
      </c>
      <c r="J2816" s="9" t="n">
        <v>0.398</v>
      </c>
      <c r="K2816" s="1" t="inlineStr">
        <is>
          <t>Yes</t>
        </is>
      </c>
      <c r="L2816" s="1" t="inlineStr">
        <is>
          <t>No</t>
        </is>
      </c>
      <c r="M2816" s="1" t="inlineStr">
        <is>
          <t>No</t>
        </is>
      </c>
      <c r="N2816" s="1" t="inlineStr">
        <is>
          <t>Algorithms</t>
        </is>
      </c>
      <c r="O28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16" s="11" t="inlineStr">
        <is>
          <t>To Do</t>
        </is>
      </c>
    </row>
    <row r="2817" ht="15.75" customHeight="1" s="12">
      <c r="A2817" s="1" t="n">
        <v>2970</v>
      </c>
      <c r="B2817" s="3">
        <f>HYPERLINK("https://leetcode.com/problems/count-the-number-of-incremovable-subarrays-i/", "Count the Number of Incremovable Subarrays I")</f>
        <v/>
      </c>
      <c r="C2817" s="1" t="n">
        <v>202</v>
      </c>
      <c r="D2817" s="1" t="n">
        <v>128</v>
      </c>
      <c r="E2817" s="4">
        <f>IF(INDEX(C:C, ROW())+INDEX(D:D, ROW())=0, 0, INDEX(C:C, ROW())/(INDEX(C:C, ROW())+INDEX(D:D, ROW())))</f>
        <v/>
      </c>
      <c r="F2817" s="1" t="inlineStr">
        <is>
          <t>Array, Two Pointers, Binary Search, Enumeration</t>
        </is>
      </c>
      <c r="G2817" s="1" t="inlineStr">
        <is>
          <t>Easy</t>
        </is>
      </c>
      <c r="H2817" s="1" t="n">
        <v>30241</v>
      </c>
      <c r="I2817" s="1" t="n">
        <v>53563</v>
      </c>
      <c r="J2817" s="9" t="n">
        <v>0.5649999999999999</v>
      </c>
      <c r="K2817" s="1" t="inlineStr">
        <is>
          <t>Yes</t>
        </is>
      </c>
      <c r="L2817" s="1" t="inlineStr">
        <is>
          <t>No</t>
        </is>
      </c>
      <c r="M2817" s="1" t="inlineStr">
        <is>
          <t>No</t>
        </is>
      </c>
      <c r="N2817" s="1" t="inlineStr">
        <is>
          <t>Algorithms</t>
        </is>
      </c>
      <c r="O28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17" s="13" t="inlineStr">
        <is>
          <t>Done</t>
        </is>
      </c>
    </row>
    <row r="2818" ht="15.75" customHeight="1" s="12">
      <c r="A2818" s="1" t="n">
        <v>2973</v>
      </c>
      <c r="B2818" s="3">
        <f>HYPERLINK("https://leetcode.com/problems/find-number-of-coins-to-place-in-tree-nodes/", "Find Number of Coins to Place in Tree Nodes")</f>
        <v/>
      </c>
      <c r="C2818" s="1" t="n">
        <v>202</v>
      </c>
      <c r="D2818" s="1" t="n">
        <v>22</v>
      </c>
      <c r="E2818" s="4">
        <f>IF(INDEX(C:C, ROW())+INDEX(D:D, ROW())=0, 0, INDEX(C:C, ROW())/(INDEX(C:C, ROW())+INDEX(D:D, ROW())))</f>
        <v/>
      </c>
      <c r="F2818" s="1" t="inlineStr">
        <is>
          <t>Dynamic Programming, Tree, Depth-First Search, Sorting, Heap (Priority Queue)</t>
        </is>
      </c>
      <c r="G2818" s="1" t="inlineStr">
        <is>
          <t>Hard</t>
        </is>
      </c>
      <c r="H2818" s="1" t="n">
        <v>11362</v>
      </c>
      <c r="I2818" s="1" t="n">
        <v>30345</v>
      </c>
      <c r="J2818" s="9" t="n">
        <v>0.374</v>
      </c>
      <c r="K2818" s="1" t="inlineStr">
        <is>
          <t>Yes</t>
        </is>
      </c>
      <c r="L2818" s="1" t="inlineStr">
        <is>
          <t>No</t>
        </is>
      </c>
      <c r="M2818" s="1" t="inlineStr">
        <is>
          <t>No</t>
        </is>
      </c>
      <c r="N2818" s="1" t="inlineStr">
        <is>
          <t>Algorithms</t>
        </is>
      </c>
      <c r="O28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18" s="11" t="inlineStr">
        <is>
          <t>To Do</t>
        </is>
      </c>
    </row>
    <row r="2819" ht="15.75" customHeight="1" s="12">
      <c r="A2819" s="1" t="n">
        <v>3413</v>
      </c>
      <c r="B2819" s="3">
        <f>HYPERLINK("https://leetcode.com/problems/maximum-coins-from-k-consecutive-bags/", "Maximum Coins From K Consecutive Bags")</f>
        <v/>
      </c>
      <c r="C2819" s="1" t="n">
        <v>202</v>
      </c>
      <c r="D2819" s="1" t="n">
        <v>27</v>
      </c>
      <c r="E2819" s="4">
        <f>IF(INDEX(C:C, ROW())+INDEX(D:D, ROW())=0, 0, INDEX(C:C, ROW())/(INDEX(C:C, ROW())+INDEX(D:D, ROW())))</f>
        <v/>
      </c>
      <c r="F2819" s="1" t="inlineStr">
        <is>
          <t>Array, Binary Search, Greedy, Sliding Window, Sorting, Prefix Sum</t>
        </is>
      </c>
      <c r="G2819" s="1" t="inlineStr">
        <is>
          <t>Medium</t>
        </is>
      </c>
      <c r="H2819" s="1" t="n">
        <v>8820</v>
      </c>
      <c r="I2819" s="1" t="n">
        <v>35878</v>
      </c>
      <c r="J2819" s="9" t="n">
        <v>0.246</v>
      </c>
      <c r="K2819" s="1" t="inlineStr">
        <is>
          <t>Yes</t>
        </is>
      </c>
      <c r="L2819" s="1" t="inlineStr">
        <is>
          <t>No</t>
        </is>
      </c>
      <c r="M2819" s="1" t="inlineStr">
        <is>
          <t>No</t>
        </is>
      </c>
      <c r="N2819" s="1" t="inlineStr">
        <is>
          <t>Algorithms</t>
        </is>
      </c>
      <c r="O28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19" s="11" t="inlineStr">
        <is>
          <t>To Do</t>
        </is>
      </c>
    </row>
    <row r="2820" ht="15.75" customHeight="1" s="12">
      <c r="A2820" s="1" t="n">
        <v>1747</v>
      </c>
      <c r="B2820" s="3">
        <f>HYPERLINK("https://leetcode.com/problems/leetflex-banned-accounts/", "Leetflex Banned Accounts")</f>
        <v/>
      </c>
      <c r="C2820" s="1" t="n">
        <v>201</v>
      </c>
      <c r="D2820" s="1" t="n">
        <v>18</v>
      </c>
      <c r="E2820" s="4">
        <f>IF(INDEX(C:C, ROW())+INDEX(D:D, ROW())=0, 0, INDEX(C:C, ROW())/(INDEX(C:C, ROW())+INDEX(D:D, ROW())))</f>
        <v/>
      </c>
      <c r="F2820" s="1" t="inlineStr">
        <is>
          <t>Database</t>
        </is>
      </c>
      <c r="G2820" s="1" t="inlineStr">
        <is>
          <t>Medium</t>
        </is>
      </c>
      <c r="H2820" s="1" t="n">
        <v>30851</v>
      </c>
      <c r="I2820" s="1" t="n">
        <v>49964</v>
      </c>
      <c r="J2820" s="9" t="n">
        <v>0.617</v>
      </c>
      <c r="K2820" s="1" t="inlineStr">
        <is>
          <t>No</t>
        </is>
      </c>
      <c r="L2820" s="1" t="inlineStr">
        <is>
          <t>Yes</t>
        </is>
      </c>
      <c r="M2820" s="1" t="inlineStr">
        <is>
          <t>No</t>
        </is>
      </c>
      <c r="N2820" s="1" t="inlineStr">
        <is>
          <t>Database</t>
        </is>
      </c>
      <c r="O28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20" s="11" t="inlineStr">
        <is>
          <t>To Do</t>
        </is>
      </c>
    </row>
    <row r="2821" ht="15.75" customHeight="1" s="12">
      <c r="A2821" s="1" t="n">
        <v>3014</v>
      </c>
      <c r="B2821" s="3">
        <f>HYPERLINK("https://leetcode.com/problems/minimum-number-of-pushes-to-type-word-i/", "Minimum Number of Pushes to Type Word I")</f>
        <v/>
      </c>
      <c r="C2821" s="1" t="n">
        <v>201</v>
      </c>
      <c r="D2821" s="1" t="n">
        <v>38</v>
      </c>
      <c r="E2821" s="4">
        <f>IF(INDEX(C:C, ROW())+INDEX(D:D, ROW())=0, 0, INDEX(C:C, ROW())/(INDEX(C:C, ROW())+INDEX(D:D, ROW())))</f>
        <v/>
      </c>
      <c r="F2821" s="1" t="inlineStr">
        <is>
          <t>Math, String, Greedy</t>
        </is>
      </c>
      <c r="G2821" s="1" t="inlineStr">
        <is>
          <t>Easy</t>
        </is>
      </c>
      <c r="H2821" s="1" t="n">
        <v>51812</v>
      </c>
      <c r="I2821" s="1" t="n">
        <v>77231</v>
      </c>
      <c r="J2821" s="9" t="n">
        <v>0.671</v>
      </c>
      <c r="K2821" s="1" t="inlineStr">
        <is>
          <t>Yes</t>
        </is>
      </c>
      <c r="L2821" s="1" t="inlineStr">
        <is>
          <t>No</t>
        </is>
      </c>
      <c r="M2821" s="1" t="inlineStr">
        <is>
          <t>No</t>
        </is>
      </c>
      <c r="N2821" s="1" t="inlineStr">
        <is>
          <t>Algorithms</t>
        </is>
      </c>
      <c r="O28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21" s="13" t="inlineStr">
        <is>
          <t>Done</t>
        </is>
      </c>
    </row>
    <row r="2822" ht="15.75" customHeight="1" s="12">
      <c r="A2822" s="1" t="n">
        <v>3233</v>
      </c>
      <c r="B2822" s="3">
        <f>HYPERLINK("https://leetcode.com/problems/find-the-count-of-numbers-which-are-not-special/", "Find the Count of Numbers Which Are Not Special")</f>
        <v/>
      </c>
      <c r="C2822" s="1" t="n">
        <v>201</v>
      </c>
      <c r="D2822" s="1" t="n">
        <v>27</v>
      </c>
      <c r="E2822" s="4">
        <f>IF(INDEX(C:C, ROW())+INDEX(D:D, ROW())=0, 0, INDEX(C:C, ROW())/(INDEX(C:C, ROW())+INDEX(D:D, ROW())))</f>
        <v/>
      </c>
      <c r="F2822" s="1" t="inlineStr">
        <is>
          <t>Array, Math, Number Theory</t>
        </is>
      </c>
      <c r="G2822" s="1" t="inlineStr">
        <is>
          <t>Medium</t>
        </is>
      </c>
      <c r="H2822" s="1" t="n">
        <v>38108</v>
      </c>
      <c r="I2822" s="1" t="n">
        <v>137701</v>
      </c>
      <c r="J2822" s="9" t="n">
        <v>0.277</v>
      </c>
      <c r="K2822" s="1" t="inlineStr">
        <is>
          <t>Yes</t>
        </is>
      </c>
      <c r="L2822" s="1" t="inlineStr">
        <is>
          <t>No</t>
        </is>
      </c>
      <c r="M2822" s="1" t="inlineStr">
        <is>
          <t>No</t>
        </is>
      </c>
      <c r="N2822" s="1" t="inlineStr">
        <is>
          <t>Algorithms</t>
        </is>
      </c>
      <c r="O28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22" s="11" t="inlineStr">
        <is>
          <t>To Do</t>
        </is>
      </c>
    </row>
    <row r="2823" ht="15.75" customHeight="1" s="12">
      <c r="A2823" s="1" t="n">
        <v>672</v>
      </c>
      <c r="B2823" s="3">
        <f>HYPERLINK("https://leetcode.com/problems/bulb-switcher-ii/", "Bulb Switcher II")</f>
        <v/>
      </c>
      <c r="C2823" s="1" t="n">
        <v>200</v>
      </c>
      <c r="D2823" s="1" t="n">
        <v>248</v>
      </c>
      <c r="E2823" s="4">
        <f>IF(INDEX(C:C, ROW())+INDEX(D:D, ROW())=0, 0, INDEX(C:C, ROW())/(INDEX(C:C, ROW())+INDEX(D:D, ROW())))</f>
        <v/>
      </c>
      <c r="F2823" s="1" t="inlineStr">
        <is>
          <t>Math, Bit Manipulation, Depth-First Search, Breadth-First Search</t>
        </is>
      </c>
      <c r="G2823" s="1" t="inlineStr">
        <is>
          <t>Medium</t>
        </is>
      </c>
      <c r="H2823" s="1" t="n">
        <v>30605</v>
      </c>
      <c r="I2823" s="1" t="n">
        <v>61060</v>
      </c>
      <c r="J2823" s="9" t="n">
        <v>0.501</v>
      </c>
      <c r="K2823" s="1" t="inlineStr">
        <is>
          <t>Yes</t>
        </is>
      </c>
      <c r="L2823" s="1" t="inlineStr">
        <is>
          <t>Yes</t>
        </is>
      </c>
      <c r="M2823" s="1" t="inlineStr">
        <is>
          <t>No</t>
        </is>
      </c>
      <c r="N2823" s="1" t="inlineStr">
        <is>
          <t>Algorithms</t>
        </is>
      </c>
      <c r="O28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23" s="11" t="inlineStr">
        <is>
          <t>To Do</t>
        </is>
      </c>
    </row>
    <row r="2824" ht="15.75" customHeight="1" s="12">
      <c r="A2824" s="1" t="n">
        <v>2184</v>
      </c>
      <c r="B2824" s="3">
        <f>HYPERLINK("https://leetcode.com/problems/number-of-ways-to-build-sturdy-brick-wall/", "Number of Ways to Build Sturdy Brick Wall")</f>
        <v/>
      </c>
      <c r="C2824" s="1" t="n">
        <v>200</v>
      </c>
      <c r="D2824" s="1" t="n">
        <v>129</v>
      </c>
      <c r="E2824" s="4">
        <f>IF(INDEX(C:C, ROW())+INDEX(D:D, ROW())=0, 0, INDEX(C:C, ROW())/(INDEX(C:C, ROW())+INDEX(D:D, ROW())))</f>
        <v/>
      </c>
      <c r="F2824" s="1" t="inlineStr">
        <is>
          <t>Array, Dynamic Programming, Bit Manipulation, Bitmask</t>
        </is>
      </c>
      <c r="G2824" s="1" t="inlineStr">
        <is>
          <t>Medium</t>
        </is>
      </c>
      <c r="H2824" s="1" t="n">
        <v>10159</v>
      </c>
      <c r="I2824" s="1" t="n">
        <v>20507</v>
      </c>
      <c r="J2824" s="9" t="n">
        <v>0.495</v>
      </c>
      <c r="K2824" s="1" t="inlineStr">
        <is>
          <t>No</t>
        </is>
      </c>
      <c r="L2824" s="1" t="inlineStr">
        <is>
          <t>No</t>
        </is>
      </c>
      <c r="M2824" s="1" t="inlineStr">
        <is>
          <t>No</t>
        </is>
      </c>
      <c r="N2824" s="1" t="inlineStr">
        <is>
          <t>Algorithms</t>
        </is>
      </c>
      <c r="O28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24" s="11" t="inlineStr">
        <is>
          <t>To Do</t>
        </is>
      </c>
    </row>
    <row r="2825" ht="15.75" customHeight="1" s="12">
      <c r="A2825" s="1" t="n">
        <v>2569</v>
      </c>
      <c r="B2825" s="3">
        <f>HYPERLINK("https://leetcode.com/problems/handling-sum-queries-after-update/", "Handling Sum Queries After Update")</f>
        <v/>
      </c>
      <c r="C2825" s="1" t="n">
        <v>200</v>
      </c>
      <c r="D2825" s="1" t="n">
        <v>25</v>
      </c>
      <c r="E2825" s="4">
        <f>IF(INDEX(C:C, ROW())+INDEX(D:D, ROW())=0, 0, INDEX(C:C, ROW())/(INDEX(C:C, ROW())+INDEX(D:D, ROW())))</f>
        <v/>
      </c>
      <c r="F2825" s="1" t="inlineStr">
        <is>
          <t>Array, Segment Tree</t>
        </is>
      </c>
      <c r="G2825" s="1" t="inlineStr">
        <is>
          <t>Hard</t>
        </is>
      </c>
      <c r="H2825" s="1" t="n">
        <v>8016</v>
      </c>
      <c r="I2825" s="1" t="n">
        <v>25919</v>
      </c>
      <c r="J2825" s="9" t="n">
        <v>0.309</v>
      </c>
      <c r="K2825" s="1" t="inlineStr">
        <is>
          <t>Yes</t>
        </is>
      </c>
      <c r="L2825" s="1" t="inlineStr">
        <is>
          <t>No</t>
        </is>
      </c>
      <c r="M2825" s="1" t="inlineStr">
        <is>
          <t>No</t>
        </is>
      </c>
      <c r="N2825" s="1" t="inlineStr">
        <is>
          <t>Algorithms</t>
        </is>
      </c>
      <c r="O28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25" s="11" t="inlineStr">
        <is>
          <t>To Do</t>
        </is>
      </c>
    </row>
    <row r="2826" ht="15.75" customHeight="1" s="12">
      <c r="A2826" s="1" t="n">
        <v>3012</v>
      </c>
      <c r="B2826" s="3">
        <f>HYPERLINK("https://leetcode.com/problems/minimize-length-of-array-using-operations/", "Minimize Length of Array Using Operations")</f>
        <v/>
      </c>
      <c r="C2826" s="1" t="n">
        <v>199</v>
      </c>
      <c r="D2826" s="1" t="n">
        <v>43</v>
      </c>
      <c r="E2826" s="4">
        <f>IF(INDEX(C:C, ROW())+INDEX(D:D, ROW())=0, 0, INDEX(C:C, ROW())/(INDEX(C:C, ROW())+INDEX(D:D, ROW())))</f>
        <v/>
      </c>
      <c r="F2826" s="1" t="inlineStr">
        <is>
          <t>Array, Math, Greedy, Number Theory</t>
        </is>
      </c>
      <c r="G2826" s="1" t="inlineStr">
        <is>
          <t>Medium</t>
        </is>
      </c>
      <c r="H2826" s="1" t="n">
        <v>17672</v>
      </c>
      <c r="I2826" s="1" t="n">
        <v>49384</v>
      </c>
      <c r="J2826" s="9" t="n">
        <v>0.358</v>
      </c>
      <c r="K2826" s="1" t="inlineStr">
        <is>
          <t>Yes</t>
        </is>
      </c>
      <c r="L2826" s="1" t="inlineStr">
        <is>
          <t>No</t>
        </is>
      </c>
      <c r="M2826" s="1" t="inlineStr">
        <is>
          <t>No</t>
        </is>
      </c>
      <c r="N2826" s="1" t="inlineStr">
        <is>
          <t>Algorithms</t>
        </is>
      </c>
      <c r="O28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26" s="11" t="inlineStr">
        <is>
          <t>To Do</t>
        </is>
      </c>
    </row>
    <row r="2827" ht="15.75" customHeight="1" s="12">
      <c r="A2827" s="1" t="n">
        <v>3154</v>
      </c>
      <c r="B2827" s="3">
        <f>HYPERLINK("https://leetcode.com/problems/find-number-of-ways-to-reach-the-k-th-stair/", "Find Number of Ways to Reach the K-th Stair")</f>
        <v/>
      </c>
      <c r="C2827" s="1" t="n">
        <v>199</v>
      </c>
      <c r="D2827" s="1" t="n">
        <v>13</v>
      </c>
      <c r="E2827" s="4">
        <f>IF(INDEX(C:C, ROW())+INDEX(D:D, ROW())=0, 0, INDEX(C:C, ROW())/(INDEX(C:C, ROW())+INDEX(D:D, ROW())))</f>
        <v/>
      </c>
      <c r="F2827" s="1" t="inlineStr">
        <is>
          <t>Math, Dynamic Programming, Bit Manipulation, Memoization, Combinatorics</t>
        </is>
      </c>
      <c r="G2827" s="1" t="inlineStr">
        <is>
          <t>Hard</t>
        </is>
      </c>
      <c r="H2827" s="1" t="n">
        <v>15909</v>
      </c>
      <c r="I2827" s="1" t="n">
        <v>42291</v>
      </c>
      <c r="J2827" s="9" t="n">
        <v>0.376</v>
      </c>
      <c r="K2827" s="1" t="inlineStr">
        <is>
          <t>Yes</t>
        </is>
      </c>
      <c r="L2827" s="1" t="inlineStr">
        <is>
          <t>No</t>
        </is>
      </c>
      <c r="M2827" s="1" t="inlineStr">
        <is>
          <t>No</t>
        </is>
      </c>
      <c r="N2827" s="1" t="inlineStr">
        <is>
          <t>Algorithms</t>
        </is>
      </c>
      <c r="O28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27" s="11" t="inlineStr">
        <is>
          <t>To Do</t>
        </is>
      </c>
    </row>
    <row r="2828" ht="15.75" customHeight="1" s="12">
      <c r="A2828" s="1" t="n">
        <v>2468</v>
      </c>
      <c r="B2828" s="3">
        <f>HYPERLINK("https://leetcode.com/problems/split-message-based-on-limit/", "Split Message Based on Limit")</f>
        <v/>
      </c>
      <c r="C2828" s="1" t="n">
        <v>198</v>
      </c>
      <c r="D2828" s="1" t="n">
        <v>203</v>
      </c>
      <c r="E2828" s="4">
        <f>IF(INDEX(C:C, ROW())+INDEX(D:D, ROW())=0, 0, INDEX(C:C, ROW())/(INDEX(C:C, ROW())+INDEX(D:D, ROW())))</f>
        <v/>
      </c>
      <c r="F2828" s="1" t="inlineStr">
        <is>
          <t>String, Enumeration</t>
        </is>
      </c>
      <c r="G2828" s="1" t="inlineStr">
        <is>
          <t>Hard</t>
        </is>
      </c>
      <c r="H2828" s="1" t="n">
        <v>22840</v>
      </c>
      <c r="I2828" s="1" t="n">
        <v>54203</v>
      </c>
      <c r="J2828" s="9" t="n">
        <v>0.421</v>
      </c>
      <c r="K2828" s="1" t="inlineStr">
        <is>
          <t>Yes</t>
        </is>
      </c>
      <c r="L2828" s="1" t="inlineStr">
        <is>
          <t>No</t>
        </is>
      </c>
      <c r="M2828" s="1" t="inlineStr">
        <is>
          <t>No</t>
        </is>
      </c>
      <c r="N2828" s="1" t="inlineStr">
        <is>
          <t>Algorithms</t>
        </is>
      </c>
      <c r="O28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28" s="11" t="inlineStr">
        <is>
          <t>To Do</t>
        </is>
      </c>
    </row>
    <row r="2829" ht="15.75" customHeight="1" s="12">
      <c r="A2829" s="1" t="n">
        <v>3185</v>
      </c>
      <c r="B2829" s="3">
        <f>HYPERLINK("https://leetcode.com/problems/count-pairs-that-form-a-complete-day-ii/", "Count Pairs That Form a Complete Day II")</f>
        <v/>
      </c>
      <c r="C2829" s="1" t="n">
        <v>197</v>
      </c>
      <c r="D2829" s="1" t="n">
        <v>12</v>
      </c>
      <c r="E2829" s="4">
        <f>IF(INDEX(C:C, ROW())+INDEX(D:D, ROW())=0, 0, INDEX(C:C, ROW())/(INDEX(C:C, ROW())+INDEX(D:D, ROW())))</f>
        <v/>
      </c>
      <c r="F2829" s="1" t="inlineStr">
        <is>
          <t>Array, Hash Table, Counting</t>
        </is>
      </c>
      <c r="G2829" s="1" t="inlineStr">
        <is>
          <t>Medium</t>
        </is>
      </c>
      <c r="H2829" s="1" t="n">
        <v>48782</v>
      </c>
      <c r="I2829" s="1" t="n">
        <v>111516</v>
      </c>
      <c r="J2829" s="9" t="n">
        <v>0.437</v>
      </c>
      <c r="K2829" s="1" t="inlineStr">
        <is>
          <t>Yes</t>
        </is>
      </c>
      <c r="L2829" s="1" t="inlineStr">
        <is>
          <t>No</t>
        </is>
      </c>
      <c r="M2829" s="1" t="inlineStr">
        <is>
          <t>No</t>
        </is>
      </c>
      <c r="N2829" s="1" t="inlineStr">
        <is>
          <t>Algorithms</t>
        </is>
      </c>
      <c r="O28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29" s="11" t="inlineStr">
        <is>
          <t>To Do</t>
        </is>
      </c>
    </row>
    <row r="2830" ht="15.75" customHeight="1" s="12">
      <c r="A2830" s="1" t="n">
        <v>2340</v>
      </c>
      <c r="B2830" s="3">
        <f>HYPERLINK("https://leetcode.com/problems/minimum-adjacent-swaps-to-make-a-valid-array/", "Minimum Adjacent Swaps to Make a Valid Array")</f>
        <v/>
      </c>
      <c r="C2830" s="1" t="n">
        <v>196</v>
      </c>
      <c r="D2830" s="1" t="n">
        <v>27</v>
      </c>
      <c r="E2830" s="4">
        <f>IF(INDEX(C:C, ROW())+INDEX(D:D, ROW())=0, 0, INDEX(C:C, ROW())/(INDEX(C:C, ROW())+INDEX(D:D, ROW())))</f>
        <v/>
      </c>
      <c r="F2830" s="1" t="inlineStr">
        <is>
          <t>Array, Greedy</t>
        </is>
      </c>
      <c r="G2830" s="1" t="inlineStr">
        <is>
          <t>Medium</t>
        </is>
      </c>
      <c r="H2830" s="1" t="n">
        <v>40677</v>
      </c>
      <c r="I2830" s="1" t="n">
        <v>56321</v>
      </c>
      <c r="J2830" s="9" t="n">
        <v>0.722</v>
      </c>
      <c r="K2830" s="1" t="inlineStr">
        <is>
          <t>No</t>
        </is>
      </c>
      <c r="L2830" s="1" t="inlineStr">
        <is>
          <t>No</t>
        </is>
      </c>
      <c r="M2830" s="1" t="inlineStr">
        <is>
          <t>No</t>
        </is>
      </c>
      <c r="N2830" s="1" t="inlineStr">
        <is>
          <t>Algorithms</t>
        </is>
      </c>
      <c r="O28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30" s="11" t="inlineStr">
        <is>
          <t>To Do</t>
        </is>
      </c>
    </row>
    <row r="2831" ht="15.75" customHeight="1" s="12">
      <c r="A2831" s="1" t="n">
        <v>2361</v>
      </c>
      <c r="B2831" s="3">
        <f>HYPERLINK("https://leetcode.com/problems/minimum-costs-using-the-train-line/", "Minimum Costs Using the Train Line")</f>
        <v/>
      </c>
      <c r="C2831" s="1" t="n">
        <v>196</v>
      </c>
      <c r="D2831" s="1" t="n">
        <v>33</v>
      </c>
      <c r="E2831" s="4">
        <f>IF(INDEX(C:C, ROW())+INDEX(D:D, ROW())=0, 0, INDEX(C:C, ROW())/(INDEX(C:C, ROW())+INDEX(D:D, ROW())))</f>
        <v/>
      </c>
      <c r="F2831" s="1" t="inlineStr">
        <is>
          <t>Array, Dynamic Programming</t>
        </is>
      </c>
      <c r="G2831" s="1" t="inlineStr">
        <is>
          <t>Hard</t>
        </is>
      </c>
      <c r="H2831" s="1" t="n">
        <v>15168</v>
      </c>
      <c r="I2831" s="1" t="n">
        <v>19482</v>
      </c>
      <c r="J2831" s="9" t="n">
        <v>0.779</v>
      </c>
      <c r="K2831" s="1" t="inlineStr">
        <is>
          <t>No</t>
        </is>
      </c>
      <c r="L2831" s="1" t="inlineStr">
        <is>
          <t>Yes</t>
        </is>
      </c>
      <c r="M2831" s="1" t="inlineStr">
        <is>
          <t>No</t>
        </is>
      </c>
      <c r="N2831" s="1" t="inlineStr">
        <is>
          <t>Algorithms</t>
        </is>
      </c>
      <c r="O28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31" s="11" t="inlineStr">
        <is>
          <t>To Do</t>
        </is>
      </c>
    </row>
    <row r="2832" ht="15.75" customHeight="1" s="12">
      <c r="A2832" s="1" t="n">
        <v>2639</v>
      </c>
      <c r="B2832" s="3">
        <f>HYPERLINK("https://leetcode.com/problems/find-the-width-of-columns-of-a-grid/", "Find the Width of Columns of a Grid")</f>
        <v/>
      </c>
      <c r="C2832" s="1" t="n">
        <v>196</v>
      </c>
      <c r="D2832" s="1" t="n">
        <v>56</v>
      </c>
      <c r="E2832" s="4">
        <f>IF(INDEX(C:C, ROW())+INDEX(D:D, ROW())=0, 0, INDEX(C:C, ROW())/(INDEX(C:C, ROW())+INDEX(D:D, ROW())))</f>
        <v/>
      </c>
      <c r="F2832" s="1" t="inlineStr">
        <is>
          <t>Array, Matrix</t>
        </is>
      </c>
      <c r="G2832" s="1" t="inlineStr">
        <is>
          <t>Easy</t>
        </is>
      </c>
      <c r="H2832" s="1" t="n">
        <v>40954</v>
      </c>
      <c r="I2832" s="1" t="n">
        <v>58145</v>
      </c>
      <c r="J2832" s="9" t="n">
        <v>0.704</v>
      </c>
      <c r="K2832" s="1" t="inlineStr">
        <is>
          <t>Yes</t>
        </is>
      </c>
      <c r="L2832" s="1" t="inlineStr">
        <is>
          <t>No</t>
        </is>
      </c>
      <c r="M2832" s="1" t="inlineStr">
        <is>
          <t>No</t>
        </is>
      </c>
      <c r="N2832" s="1" t="inlineStr">
        <is>
          <t>Algorithms</t>
        </is>
      </c>
      <c r="O28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32" s="13" t="inlineStr">
        <is>
          <t>Done</t>
        </is>
      </c>
    </row>
    <row r="2833" ht="15.75" customHeight="1" s="12">
      <c r="A2833" s="1" t="n">
        <v>2897</v>
      </c>
      <c r="B2833" s="3">
        <f>HYPERLINK("https://leetcode.com/problems/apply-operations-on-array-to-maximize-sum-of-squares/", "Apply Operations on Array to Maximize Sum of Squares")</f>
        <v/>
      </c>
      <c r="C2833" s="1" t="n">
        <v>196</v>
      </c>
      <c r="D2833" s="1" t="n">
        <v>4</v>
      </c>
      <c r="E2833" s="4">
        <f>IF(INDEX(C:C, ROW())+INDEX(D:D, ROW())=0, 0, INDEX(C:C, ROW())/(INDEX(C:C, ROW())+INDEX(D:D, ROW())))</f>
        <v/>
      </c>
      <c r="F2833" s="1" t="inlineStr">
        <is>
          <t>Array, Hash Table, Greedy, Bit Manipulation</t>
        </is>
      </c>
      <c r="G2833" s="1" t="inlineStr">
        <is>
          <t>Hard</t>
        </is>
      </c>
      <c r="H2833" s="1" t="n">
        <v>8638</v>
      </c>
      <c r="I2833" s="1" t="n">
        <v>19373</v>
      </c>
      <c r="J2833" s="9" t="n">
        <v>0.446</v>
      </c>
      <c r="K2833" s="1" t="inlineStr">
        <is>
          <t>Yes</t>
        </is>
      </c>
      <c r="L2833" s="1" t="inlineStr">
        <is>
          <t>No</t>
        </is>
      </c>
      <c r="M2833" s="1" t="inlineStr">
        <is>
          <t>No</t>
        </is>
      </c>
      <c r="N2833" s="1" t="inlineStr">
        <is>
          <t>Algorithms</t>
        </is>
      </c>
      <c r="O28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33" s="11" t="inlineStr">
        <is>
          <t>To Do</t>
        </is>
      </c>
    </row>
    <row r="2834" ht="15.75" customHeight="1" s="12">
      <c r="A2834" s="1" t="n">
        <v>3196</v>
      </c>
      <c r="B2834" s="3">
        <f>HYPERLINK("https://leetcode.com/problems/maximize-total-cost-of-alternating-subarrays/", "Maximize Total Cost of Alternating Subarrays")</f>
        <v/>
      </c>
      <c r="C2834" s="1" t="n">
        <v>196</v>
      </c>
      <c r="D2834" s="1" t="n">
        <v>29</v>
      </c>
      <c r="E2834" s="4">
        <f>IF(INDEX(C:C, ROW())+INDEX(D:D, ROW())=0, 0, INDEX(C:C, ROW())/(INDEX(C:C, ROW())+INDEX(D:D, ROW())))</f>
        <v/>
      </c>
      <c r="F2834" s="1" t="inlineStr">
        <is>
          <t>Array, Dynamic Programming</t>
        </is>
      </c>
      <c r="G2834" s="1" t="inlineStr">
        <is>
          <t>Medium</t>
        </is>
      </c>
      <c r="H2834" s="1" t="n">
        <v>25766</v>
      </c>
      <c r="I2834" s="1" t="n">
        <v>86811</v>
      </c>
      <c r="J2834" s="9" t="n">
        <v>0.297</v>
      </c>
      <c r="K2834" s="1" t="inlineStr">
        <is>
          <t>Yes</t>
        </is>
      </c>
      <c r="L2834" s="1" t="inlineStr">
        <is>
          <t>No</t>
        </is>
      </c>
      <c r="M2834" s="1" t="inlineStr">
        <is>
          <t>No</t>
        </is>
      </c>
      <c r="N2834" s="1" t="inlineStr">
        <is>
          <t>Algorithms</t>
        </is>
      </c>
      <c r="O28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34" s="11" t="inlineStr">
        <is>
          <t>To Do</t>
        </is>
      </c>
    </row>
    <row r="2835" ht="15.75" customHeight="1" s="12">
      <c r="A2835" s="1" t="n">
        <v>3404</v>
      </c>
      <c r="B2835" s="3">
        <f>HYPERLINK("https://leetcode.com/problems/count-special-subsequences/", "Count Special Subsequences")</f>
        <v/>
      </c>
      <c r="C2835" s="1" t="n">
        <v>196</v>
      </c>
      <c r="D2835" s="1" t="n">
        <v>27</v>
      </c>
      <c r="E2835" s="4">
        <f>IF(INDEX(C:C, ROW())+INDEX(D:D, ROW())=0, 0, INDEX(C:C, ROW())/(INDEX(C:C, ROW())+INDEX(D:D, ROW())))</f>
        <v/>
      </c>
      <c r="F2835" s="1" t="inlineStr">
        <is>
          <t>Array, Hash Table, Math, Enumeration</t>
        </is>
      </c>
      <c r="G2835" s="1" t="inlineStr">
        <is>
          <t>Medium</t>
        </is>
      </c>
      <c r="H2835" s="1" t="n">
        <v>11478</v>
      </c>
      <c r="I2835" s="1" t="n">
        <v>38401</v>
      </c>
      <c r="J2835" s="9" t="n">
        <v>0.299</v>
      </c>
      <c r="K2835" s="1" t="inlineStr">
        <is>
          <t>Yes</t>
        </is>
      </c>
      <c r="L2835" s="1" t="inlineStr">
        <is>
          <t>No</t>
        </is>
      </c>
      <c r="M2835" s="1" t="inlineStr">
        <is>
          <t>No</t>
        </is>
      </c>
      <c r="N2835" s="1" t="inlineStr">
        <is>
          <t>Algorithms</t>
        </is>
      </c>
      <c r="O28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35" s="11" t="inlineStr">
        <is>
          <t>To Do</t>
        </is>
      </c>
    </row>
    <row r="2836" ht="15.75" customHeight="1" s="12">
      <c r="A2836" s="1" t="n">
        <v>479</v>
      </c>
      <c r="B2836" s="3">
        <f>HYPERLINK("https://leetcode.com/problems/largest-palindrome-product/", "Largest Palindrome Product")</f>
        <v/>
      </c>
      <c r="C2836" s="1" t="n">
        <v>194</v>
      </c>
      <c r="D2836" s="1" t="n">
        <v>1569</v>
      </c>
      <c r="E2836" s="4">
        <f>IF(INDEX(C:C, ROW())+INDEX(D:D, ROW())=0, 0, INDEX(C:C, ROW())/(INDEX(C:C, ROW())+INDEX(D:D, ROW())))</f>
        <v/>
      </c>
      <c r="F2836" s="1" t="inlineStr">
        <is>
          <t>Math, Enumeration</t>
        </is>
      </c>
      <c r="G2836" s="1" t="inlineStr">
        <is>
          <t>Hard</t>
        </is>
      </c>
      <c r="H2836" s="1" t="n">
        <v>34897</v>
      </c>
      <c r="I2836" s="1" t="n">
        <v>89818</v>
      </c>
      <c r="J2836" s="9" t="n">
        <v>0.389</v>
      </c>
      <c r="K2836" s="1" t="inlineStr">
        <is>
          <t>Yes</t>
        </is>
      </c>
      <c r="L2836" s="1" t="inlineStr">
        <is>
          <t>No</t>
        </is>
      </c>
      <c r="M2836" s="1" t="inlineStr">
        <is>
          <t>No</t>
        </is>
      </c>
      <c r="N2836" s="1" t="inlineStr">
        <is>
          <t>Algorithms</t>
        </is>
      </c>
      <c r="O28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36" s="11" t="inlineStr">
        <is>
          <t>To Do</t>
        </is>
      </c>
    </row>
    <row r="2837" ht="15.75" customHeight="1" s="12">
      <c r="A2837" s="1" t="n">
        <v>1097</v>
      </c>
      <c r="B2837" s="3">
        <f>HYPERLINK("https://leetcode.com/problems/game-play-analysis-v/", "Game Play Analysis V")</f>
        <v/>
      </c>
      <c r="C2837" s="1" t="n">
        <v>193</v>
      </c>
      <c r="D2837" s="1" t="n">
        <v>37</v>
      </c>
      <c r="E2837" s="4">
        <f>IF(INDEX(C:C, ROW())+INDEX(D:D, ROW())=0, 0, INDEX(C:C, ROW())/(INDEX(C:C, ROW())+INDEX(D:D, ROW())))</f>
        <v/>
      </c>
      <c r="F2837" s="1" t="inlineStr">
        <is>
          <t>Database</t>
        </is>
      </c>
      <c r="G2837" s="1" t="inlineStr">
        <is>
          <t>Hard</t>
        </is>
      </c>
      <c r="H2837" s="1" t="n">
        <v>29223</v>
      </c>
      <c r="I2837" s="1" t="n">
        <v>58069</v>
      </c>
      <c r="J2837" s="9" t="n">
        <v>0.503</v>
      </c>
      <c r="K2837" s="1" t="inlineStr">
        <is>
          <t>No</t>
        </is>
      </c>
      <c r="L2837" s="1" t="inlineStr">
        <is>
          <t>Yes</t>
        </is>
      </c>
      <c r="M2837" s="1" t="inlineStr">
        <is>
          <t>No</t>
        </is>
      </c>
      <c r="N2837" s="1" t="inlineStr">
        <is>
          <t>Database</t>
        </is>
      </c>
      <c r="O28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37" s="11" t="inlineStr">
        <is>
          <t>To Do</t>
        </is>
      </c>
    </row>
    <row r="2838" ht="15.75" customHeight="1" s="12">
      <c r="A2838" s="1" t="n">
        <v>2932</v>
      </c>
      <c r="B2838" s="3">
        <f>HYPERLINK("https://leetcode.com/problems/maximum-strong-pair-xor-i/", "Maximum Strong Pair XOR I")</f>
        <v/>
      </c>
      <c r="C2838" s="1" t="n">
        <v>193</v>
      </c>
      <c r="D2838" s="1" t="n">
        <v>28</v>
      </c>
      <c r="E2838" s="4">
        <f>IF(INDEX(C:C, ROW())+INDEX(D:D, ROW())=0, 0, INDEX(C:C, ROW())/(INDEX(C:C, ROW())+INDEX(D:D, ROW())))</f>
        <v/>
      </c>
      <c r="F2838" s="1" t="inlineStr">
        <is>
          <t>Array, Hash Table, Bit Manipulation, Trie, Sliding Window</t>
        </is>
      </c>
      <c r="G2838" s="1" t="inlineStr">
        <is>
          <t>Easy</t>
        </is>
      </c>
      <c r="H2838" s="1" t="n">
        <v>59461</v>
      </c>
      <c r="I2838" s="1" t="n">
        <v>78205</v>
      </c>
      <c r="J2838" s="9" t="n">
        <v>0.76</v>
      </c>
      <c r="K2838" s="1" t="inlineStr">
        <is>
          <t>Yes</t>
        </is>
      </c>
      <c r="L2838" s="1" t="inlineStr">
        <is>
          <t>No</t>
        </is>
      </c>
      <c r="M2838" s="1" t="inlineStr">
        <is>
          <t>No</t>
        </is>
      </c>
      <c r="N2838" s="1" t="inlineStr">
        <is>
          <t>Algorithms</t>
        </is>
      </c>
      <c r="O28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38" s="13" t="inlineStr">
        <is>
          <t>Done</t>
        </is>
      </c>
    </row>
    <row r="2839" ht="15.75" customHeight="1" s="12">
      <c r="A2839" s="1" t="n">
        <v>3146</v>
      </c>
      <c r="B2839" s="3">
        <f>HYPERLINK("https://leetcode.com/problems/permutation-difference-between-two-strings/", "Permutation Difference between Two Strings")</f>
        <v/>
      </c>
      <c r="C2839" s="1" t="n">
        <v>193</v>
      </c>
      <c r="D2839" s="1" t="n">
        <v>17</v>
      </c>
      <c r="E2839" s="4">
        <f>IF(INDEX(C:C, ROW())+INDEX(D:D, ROW())=0, 0, INDEX(C:C, ROW())/(INDEX(C:C, ROW())+INDEX(D:D, ROW())))</f>
        <v/>
      </c>
      <c r="F2839" s="1" t="inlineStr">
        <is>
          <t>Hash Table, String</t>
        </is>
      </c>
      <c r="G2839" s="1" t="inlineStr">
        <is>
          <t>Easy</t>
        </is>
      </c>
      <c r="H2839" s="1" t="n">
        <v>111962</v>
      </c>
      <c r="I2839" s="1" t="n">
        <v>127509</v>
      </c>
      <c r="J2839" s="9" t="n">
        <v>0.878</v>
      </c>
      <c r="K2839" s="1" t="inlineStr">
        <is>
          <t>Yes</t>
        </is>
      </c>
      <c r="L2839" s="1" t="inlineStr">
        <is>
          <t>No</t>
        </is>
      </c>
      <c r="M2839" s="1" t="inlineStr">
        <is>
          <t>No</t>
        </is>
      </c>
      <c r="N2839" s="1" t="inlineStr">
        <is>
          <t>Algorithms</t>
        </is>
      </c>
      <c r="O28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39" s="13" t="inlineStr">
        <is>
          <t>Done</t>
        </is>
      </c>
    </row>
    <row r="2840" ht="15.75" customHeight="1" s="12">
      <c r="A2840" s="1" t="n">
        <v>618</v>
      </c>
      <c r="B2840" s="3">
        <f>HYPERLINK("https://leetcode.com/problems/students-report-by-geography/", "Students Report By Geography")</f>
        <v/>
      </c>
      <c r="C2840" s="1" t="n">
        <v>192</v>
      </c>
      <c r="D2840" s="1" t="n">
        <v>170</v>
      </c>
      <c r="E2840" s="4">
        <f>IF(INDEX(C:C, ROW())+INDEX(D:D, ROW())=0, 0, INDEX(C:C, ROW())/(INDEX(C:C, ROW())+INDEX(D:D, ROW())))</f>
        <v/>
      </c>
      <c r="F2840" s="1" t="inlineStr">
        <is>
          <t>Database</t>
        </is>
      </c>
      <c r="G2840" s="1" t="inlineStr">
        <is>
          <t>Hard</t>
        </is>
      </c>
      <c r="H2840" s="1" t="n">
        <v>29470</v>
      </c>
      <c r="I2840" s="1" t="n">
        <v>46365</v>
      </c>
      <c r="J2840" s="9" t="n">
        <v>0.636</v>
      </c>
      <c r="K2840" s="1" t="inlineStr">
        <is>
          <t>No</t>
        </is>
      </c>
      <c r="L2840" s="1" t="inlineStr">
        <is>
          <t>Yes</t>
        </is>
      </c>
      <c r="M2840" s="1" t="inlineStr">
        <is>
          <t>No</t>
        </is>
      </c>
      <c r="N2840" s="1" t="inlineStr">
        <is>
          <t>Database</t>
        </is>
      </c>
      <c r="O28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40" s="11" t="inlineStr">
        <is>
          <t>To Do</t>
        </is>
      </c>
    </row>
    <row r="2841" ht="15.75" customHeight="1" s="12">
      <c r="A2841" s="1" t="n">
        <v>822</v>
      </c>
      <c r="B2841" s="3">
        <f>HYPERLINK("https://leetcode.com/problems/card-flipping-game/", "Card Flipping Game")</f>
        <v/>
      </c>
      <c r="C2841" s="1" t="n">
        <v>192</v>
      </c>
      <c r="D2841" s="1" t="n">
        <v>797</v>
      </c>
      <c r="E2841" s="4">
        <f>IF(INDEX(C:C, ROW())+INDEX(D:D, ROW())=0, 0, INDEX(C:C, ROW())/(INDEX(C:C, ROW())+INDEX(D:D, ROW())))</f>
        <v/>
      </c>
      <c r="F2841" s="1" t="inlineStr">
        <is>
          <t>Array, Hash Table</t>
        </is>
      </c>
      <c r="G2841" s="1" t="inlineStr">
        <is>
          <t>Medium</t>
        </is>
      </c>
      <c r="H2841" s="1" t="n">
        <v>26569</v>
      </c>
      <c r="I2841" s="1" t="n">
        <v>52808</v>
      </c>
      <c r="J2841" s="9" t="n">
        <v>0.503</v>
      </c>
      <c r="K2841" s="1" t="inlineStr">
        <is>
          <t>Yes</t>
        </is>
      </c>
      <c r="L2841" s="1" t="inlineStr">
        <is>
          <t>Yes</t>
        </is>
      </c>
      <c r="M2841" s="1" t="inlineStr">
        <is>
          <t>No</t>
        </is>
      </c>
      <c r="N2841" s="1" t="inlineStr">
        <is>
          <t>Algorithms</t>
        </is>
      </c>
      <c r="O28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41" s="11" t="inlineStr">
        <is>
          <t>To Do</t>
        </is>
      </c>
    </row>
    <row r="2842" ht="15.75" customHeight="1" s="12">
      <c r="A2842" s="1" t="n">
        <v>3093</v>
      </c>
      <c r="B2842" s="3">
        <f>HYPERLINK("https://leetcode.com/problems/longest-common-suffix-queries/", "Longest Common Suffix Queries")</f>
        <v/>
      </c>
      <c r="C2842" s="1" t="n">
        <v>192</v>
      </c>
      <c r="D2842" s="1" t="n">
        <v>21</v>
      </c>
      <c r="E2842" s="4">
        <f>IF(INDEX(C:C, ROW())+INDEX(D:D, ROW())=0, 0, INDEX(C:C, ROW())/(INDEX(C:C, ROW())+INDEX(D:D, ROW())))</f>
        <v/>
      </c>
      <c r="F2842" s="1" t="inlineStr">
        <is>
          <t>Array, String, Trie</t>
        </is>
      </c>
      <c r="G2842" s="1" t="inlineStr">
        <is>
          <t>Hard</t>
        </is>
      </c>
      <c r="H2842" s="1" t="n">
        <v>14482</v>
      </c>
      <c r="I2842" s="1" t="n">
        <v>40507</v>
      </c>
      <c r="J2842" s="9" t="n">
        <v>0.358</v>
      </c>
      <c r="K2842" s="1" t="inlineStr">
        <is>
          <t>Yes</t>
        </is>
      </c>
      <c r="L2842" s="1" t="inlineStr">
        <is>
          <t>No</t>
        </is>
      </c>
      <c r="M2842" s="1" t="inlineStr">
        <is>
          <t>No</t>
        </is>
      </c>
      <c r="N2842" s="1" t="inlineStr">
        <is>
          <t>Algorithms</t>
        </is>
      </c>
      <c r="O28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42" s="11" t="inlineStr">
        <is>
          <t>To Do</t>
        </is>
      </c>
    </row>
    <row r="2843" ht="15.75" customHeight="1" s="12">
      <c r="A2843" s="1" t="n">
        <v>1940</v>
      </c>
      <c r="B2843" s="3">
        <f>HYPERLINK("https://leetcode.com/problems/longest-common-subsequence-between-sorted-arrays/", "Longest Common Subsequence Between Sorted Arrays")</f>
        <v/>
      </c>
      <c r="C2843" s="1" t="n">
        <v>191</v>
      </c>
      <c r="D2843" s="1" t="n">
        <v>7</v>
      </c>
      <c r="E2843" s="4">
        <f>IF(INDEX(C:C, ROW())+INDEX(D:D, ROW())=0, 0, INDEX(C:C, ROW())/(INDEX(C:C, ROW())+INDEX(D:D, ROW())))</f>
        <v/>
      </c>
      <c r="F2843" s="1" t="inlineStr">
        <is>
          <t>Array, Hash Table, Counting</t>
        </is>
      </c>
      <c r="G2843" s="1" t="inlineStr">
        <is>
          <t>Medium</t>
        </is>
      </c>
      <c r="H2843" s="1" t="n">
        <v>14977</v>
      </c>
      <c r="I2843" s="1" t="n">
        <v>18435</v>
      </c>
      <c r="J2843" s="9" t="n">
        <v>0.8120000000000001</v>
      </c>
      <c r="K2843" s="1" t="inlineStr">
        <is>
          <t>No</t>
        </is>
      </c>
      <c r="L2843" s="1" t="inlineStr">
        <is>
          <t>Yes</t>
        </is>
      </c>
      <c r="M2843" s="1" t="inlineStr">
        <is>
          <t>No</t>
        </is>
      </c>
      <c r="N2843" s="1" t="inlineStr">
        <is>
          <t>Algorithms</t>
        </is>
      </c>
      <c r="O28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43" s="11" t="inlineStr">
        <is>
          <t>To Do</t>
        </is>
      </c>
    </row>
    <row r="2844" ht="15.75" customHeight="1" s="12">
      <c r="A2844" s="1" t="n">
        <v>2291</v>
      </c>
      <c r="B2844" s="3">
        <f>HYPERLINK("https://leetcode.com/problems/maximum-profit-from-trading-stocks/", "Maximum Profit From Trading Stocks")</f>
        <v/>
      </c>
      <c r="C2844" s="1" t="n">
        <v>191</v>
      </c>
      <c r="D2844" s="1" t="n">
        <v>9</v>
      </c>
      <c r="E2844" s="4">
        <f>IF(INDEX(C:C, ROW())+INDEX(D:D, ROW())=0, 0, INDEX(C:C, ROW())/(INDEX(C:C, ROW())+INDEX(D:D, ROW())))</f>
        <v/>
      </c>
      <c r="F2844" s="1" t="inlineStr">
        <is>
          <t>Array, Dynamic Programming</t>
        </is>
      </c>
      <c r="G2844" s="1" t="inlineStr">
        <is>
          <t>Medium</t>
        </is>
      </c>
      <c r="H2844" s="1" t="n">
        <v>17717</v>
      </c>
      <c r="I2844" s="1" t="n">
        <v>36750</v>
      </c>
      <c r="J2844" s="9" t="n">
        <v>0.482</v>
      </c>
      <c r="K2844" s="1" t="inlineStr">
        <is>
          <t>No</t>
        </is>
      </c>
      <c r="L2844" s="1" t="inlineStr">
        <is>
          <t>No</t>
        </is>
      </c>
      <c r="M2844" s="1" t="inlineStr">
        <is>
          <t>No</t>
        </is>
      </c>
      <c r="N2844" s="1" t="inlineStr">
        <is>
          <t>Algorithms</t>
        </is>
      </c>
      <c r="O28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44" s="11" t="inlineStr">
        <is>
          <t>To Do</t>
        </is>
      </c>
    </row>
    <row r="2845" ht="15.75" customHeight="1" s="12">
      <c r="A2845" s="1" t="n">
        <v>2930</v>
      </c>
      <c r="B2845" s="3">
        <f>HYPERLINK("https://leetcode.com/problems/number-of-strings-which-can-be-rearranged-to-contain-substring/", "Number of Strings Which Can Be Rearranged to Contain Substring")</f>
        <v/>
      </c>
      <c r="C2845" s="1" t="n">
        <v>191</v>
      </c>
      <c r="D2845" s="1" t="n">
        <v>76</v>
      </c>
      <c r="E2845" s="4">
        <f>IF(INDEX(C:C, ROW())+INDEX(D:D, ROW())=0, 0, INDEX(C:C, ROW())/(INDEX(C:C, ROW())+INDEX(D:D, ROW())))</f>
        <v/>
      </c>
      <c r="F2845" s="1" t="inlineStr">
        <is>
          <t>Math, Dynamic Programming, Combinatorics</t>
        </is>
      </c>
      <c r="G2845" s="1" t="inlineStr">
        <is>
          <t>Medium</t>
        </is>
      </c>
      <c r="H2845" s="1" t="n">
        <v>8993</v>
      </c>
      <c r="I2845" s="1" t="n">
        <v>15816</v>
      </c>
      <c r="J2845" s="9" t="n">
        <v>0.569</v>
      </c>
      <c r="K2845" s="1" t="inlineStr">
        <is>
          <t>Yes</t>
        </is>
      </c>
      <c r="L2845" s="1" t="inlineStr">
        <is>
          <t>No</t>
        </is>
      </c>
      <c r="M2845" s="1" t="inlineStr">
        <is>
          <t>No</t>
        </is>
      </c>
      <c r="N2845" s="1" t="inlineStr">
        <is>
          <t>Algorithms</t>
        </is>
      </c>
      <c r="O28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45" s="11" t="inlineStr">
        <is>
          <t>To Do</t>
        </is>
      </c>
    </row>
    <row r="2846" ht="15.75" customHeight="1" s="12">
      <c r="A2846" s="1" t="n">
        <v>3225</v>
      </c>
      <c r="B2846" s="3">
        <f>HYPERLINK("https://leetcode.com/problems/maximum-score-from-grid-operations/", "Maximum Score From Grid Operations")</f>
        <v/>
      </c>
      <c r="C2846" s="1" t="n">
        <v>191</v>
      </c>
      <c r="D2846" s="1" t="n">
        <v>23</v>
      </c>
      <c r="E2846" s="4">
        <f>IF(INDEX(C:C, ROW())+INDEX(D:D, ROW())=0, 0, INDEX(C:C, ROW())/(INDEX(C:C, ROW())+INDEX(D:D, ROW())))</f>
        <v/>
      </c>
      <c r="F2846" s="1" t="inlineStr">
        <is>
          <t>Array, Dynamic Programming, Matrix, Prefix Sum</t>
        </is>
      </c>
      <c r="G2846" s="1" t="inlineStr">
        <is>
          <t>Hard</t>
        </is>
      </c>
      <c r="H2846" s="1" t="n">
        <v>48872</v>
      </c>
      <c r="I2846" s="1" t="n">
        <v>75537</v>
      </c>
      <c r="J2846" s="9" t="n">
        <v>0.647</v>
      </c>
      <c r="K2846" s="1" t="inlineStr">
        <is>
          <t>Yes</t>
        </is>
      </c>
      <c r="L2846" s="1" t="inlineStr">
        <is>
          <t>Yes</t>
        </is>
      </c>
      <c r="M2846" s="1" t="inlineStr">
        <is>
          <t>No</t>
        </is>
      </c>
      <c r="N2846" s="1" t="inlineStr">
        <is>
          <t>Algorithms</t>
        </is>
      </c>
      <c r="O28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46" s="11" t="inlineStr">
        <is>
          <t>To Do</t>
        </is>
      </c>
    </row>
    <row r="2847" ht="15.75" customHeight="1" s="12">
      <c r="A2847" s="1" t="n">
        <v>3040</v>
      </c>
      <c r="B2847" s="3">
        <f>HYPERLINK("https://leetcode.com/problems/maximum-number-of-operations-with-the-same-score-ii/", "Maximum Number of Operations With the Same Score II")</f>
        <v/>
      </c>
      <c r="C2847" s="1" t="n">
        <v>190</v>
      </c>
      <c r="D2847" s="1" t="n">
        <v>16</v>
      </c>
      <c r="E2847" s="4">
        <f>IF(INDEX(C:C, ROW())+INDEX(D:D, ROW())=0, 0, INDEX(C:C, ROW())/(INDEX(C:C, ROW())+INDEX(D:D, ROW())))</f>
        <v/>
      </c>
      <c r="F2847" s="1" t="inlineStr">
        <is>
          <t>Array, Dynamic Programming, Memoization</t>
        </is>
      </c>
      <c r="G2847" s="1" t="inlineStr">
        <is>
          <t>Medium</t>
        </is>
      </c>
      <c r="H2847" s="1" t="n">
        <v>25624</v>
      </c>
      <c r="I2847" s="1" t="n">
        <v>74937</v>
      </c>
      <c r="J2847" s="9" t="n">
        <v>0.342</v>
      </c>
      <c r="K2847" s="1" t="inlineStr">
        <is>
          <t>Yes</t>
        </is>
      </c>
      <c r="L2847" s="1" t="inlineStr">
        <is>
          <t>No</t>
        </is>
      </c>
      <c r="M2847" s="1" t="inlineStr">
        <is>
          <t>No</t>
        </is>
      </c>
      <c r="N2847" s="1" t="inlineStr">
        <is>
          <t>Algorithms</t>
        </is>
      </c>
      <c r="O28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47" s="11" t="inlineStr">
        <is>
          <t>To Do</t>
        </is>
      </c>
    </row>
    <row r="2848" ht="15.75" customHeight="1" s="12">
      <c r="A2848" s="1" t="n">
        <v>3290</v>
      </c>
      <c r="B2848" s="3">
        <f>HYPERLINK("https://leetcode.com/problems/maximum-multiplication-score/", "Maximum Multiplication Score")</f>
        <v/>
      </c>
      <c r="C2848" s="1" t="n">
        <v>190</v>
      </c>
      <c r="D2848" s="1" t="n">
        <v>14</v>
      </c>
      <c r="E2848" s="4">
        <f>IF(INDEX(C:C, ROW())+INDEX(D:D, ROW())=0, 0, INDEX(C:C, ROW())/(INDEX(C:C, ROW())+INDEX(D:D, ROW())))</f>
        <v/>
      </c>
      <c r="F2848" s="1" t="inlineStr">
        <is>
          <t>Array, Dynamic Programming</t>
        </is>
      </c>
      <c r="G2848" s="1" t="inlineStr">
        <is>
          <t>Medium</t>
        </is>
      </c>
      <c r="H2848" s="1" t="n">
        <v>36718</v>
      </c>
      <c r="I2848" s="1" t="n">
        <v>88815</v>
      </c>
      <c r="J2848" s="9" t="n">
        <v>0.413</v>
      </c>
      <c r="K2848" s="1" t="inlineStr">
        <is>
          <t>Yes</t>
        </is>
      </c>
      <c r="L2848" s="1" t="inlineStr">
        <is>
          <t>No</t>
        </is>
      </c>
      <c r="M2848" s="1" t="inlineStr">
        <is>
          <t>No</t>
        </is>
      </c>
      <c r="N2848" s="1" t="inlineStr">
        <is>
          <t>Algorithms</t>
        </is>
      </c>
      <c r="O28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48" s="11" t="inlineStr">
        <is>
          <t>To Do</t>
        </is>
      </c>
    </row>
    <row r="2849" ht="15.75" customHeight="1" s="12">
      <c r="A2849" s="1" t="n">
        <v>3814</v>
      </c>
      <c r="B2849" s="3">
        <f>HYPERLINK("https://leetcode.com/problems/maximum-capacity-within-budget/", "Maximum Capacity Within Budget")</f>
        <v/>
      </c>
      <c r="C2849" s="1" t="n">
        <v>190</v>
      </c>
      <c r="D2849" s="1" t="n">
        <v>15</v>
      </c>
      <c r="E2849" s="4">
        <f>IF(INDEX(C:C, ROW())+INDEX(D:D, ROW())=0, 0, INDEX(C:C, ROW())/(INDEX(C:C, ROW())+INDEX(D:D, ROW())))</f>
        <v/>
      </c>
      <c r="F2849" s="1" t="inlineStr">
        <is>
          <t>Array, Two Pointers, Binary Search, Sorting</t>
        </is>
      </c>
      <c r="G2849" s="1" t="inlineStr">
        <is>
          <t>Medium</t>
        </is>
      </c>
      <c r="H2849" s="1" t="n">
        <v>19554</v>
      </c>
      <c r="I2849" s="1" t="n">
        <v>96322</v>
      </c>
      <c r="J2849" s="9" t="n">
        <v>0.203</v>
      </c>
      <c r="K2849" s="1" t="inlineStr">
        <is>
          <t>Yes</t>
        </is>
      </c>
      <c r="L2849" s="1" t="inlineStr">
        <is>
          <t>No</t>
        </is>
      </c>
      <c r="M2849" s="1" t="inlineStr">
        <is>
          <t>No</t>
        </is>
      </c>
      <c r="N2849" s="1" t="inlineStr">
        <is>
          <t>Algorithms</t>
        </is>
      </c>
      <c r="O28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49" s="11" t="inlineStr">
        <is>
          <t>To Do</t>
        </is>
      </c>
    </row>
    <row r="2850" ht="15.75" customHeight="1" s="12">
      <c r="A2850" s="1" t="n">
        <v>1767</v>
      </c>
      <c r="B2850" s="3">
        <f>HYPERLINK("https://leetcode.com/problems/find-the-subtasks-that-did-not-execute/", "Find the Subtasks That Did Not Execute")</f>
        <v/>
      </c>
      <c r="C2850" s="1" t="n">
        <v>189</v>
      </c>
      <c r="D2850" s="1" t="n">
        <v>15</v>
      </c>
      <c r="E2850" s="4">
        <f>IF(INDEX(C:C, ROW())+INDEX(D:D, ROW())=0, 0, INDEX(C:C, ROW())/(INDEX(C:C, ROW())+INDEX(D:D, ROW())))</f>
        <v/>
      </c>
      <c r="F2850" s="1" t="inlineStr">
        <is>
          <t>Database</t>
        </is>
      </c>
      <c r="G2850" s="1" t="inlineStr">
        <is>
          <t>Hard</t>
        </is>
      </c>
      <c r="H2850" s="1" t="n">
        <v>19779</v>
      </c>
      <c r="I2850" s="1" t="n">
        <v>25262</v>
      </c>
      <c r="J2850" s="9" t="n">
        <v>0.783</v>
      </c>
      <c r="K2850" s="1" t="inlineStr">
        <is>
          <t>No</t>
        </is>
      </c>
      <c r="L2850" s="1" t="inlineStr">
        <is>
          <t>No</t>
        </is>
      </c>
      <c r="M2850" s="1" t="inlineStr">
        <is>
          <t>No</t>
        </is>
      </c>
      <c r="N2850" s="1" t="inlineStr">
        <is>
          <t>Database</t>
        </is>
      </c>
      <c r="O28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50" s="11" t="inlineStr">
        <is>
          <t>To Do</t>
        </is>
      </c>
    </row>
    <row r="2851" ht="15.75" customHeight="1" s="12">
      <c r="A2851" s="1" t="n">
        <v>1830</v>
      </c>
      <c r="B2851" s="3">
        <f>HYPERLINK("https://leetcode.com/problems/minimum-number-of-operations-to-make-string-sorted/", "Minimum Number of Operations to Make String Sorted")</f>
        <v/>
      </c>
      <c r="C2851" s="1" t="n">
        <v>189</v>
      </c>
      <c r="D2851" s="1" t="n">
        <v>132</v>
      </c>
      <c r="E2851" s="4">
        <f>IF(INDEX(C:C, ROW())+INDEX(D:D, ROW())=0, 0, INDEX(C:C, ROW())/(INDEX(C:C, ROW())+INDEX(D:D, ROW())))</f>
        <v/>
      </c>
      <c r="F2851" s="1" t="inlineStr">
        <is>
          <t>Hash Table, Math, String, Combinatorics, Counting</t>
        </is>
      </c>
      <c r="G2851" s="1" t="inlineStr">
        <is>
          <t>Hard</t>
        </is>
      </c>
      <c r="H2851" s="1" t="n">
        <v>5651</v>
      </c>
      <c r="I2851" s="1" t="n">
        <v>11263</v>
      </c>
      <c r="J2851" s="9" t="n">
        <v>0.502</v>
      </c>
      <c r="K2851" s="1" t="inlineStr">
        <is>
          <t>Yes</t>
        </is>
      </c>
      <c r="L2851" s="1" t="inlineStr">
        <is>
          <t>No</t>
        </is>
      </c>
      <c r="M2851" s="1" t="inlineStr">
        <is>
          <t>No</t>
        </is>
      </c>
      <c r="N2851" s="1" t="inlineStr">
        <is>
          <t>Algorithms</t>
        </is>
      </c>
      <c r="O28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51" s="11" t="inlineStr">
        <is>
          <t>To Do</t>
        </is>
      </c>
    </row>
    <row r="2852" ht="15.75" customHeight="1" s="12">
      <c r="A2852" s="1" t="n">
        <v>3676</v>
      </c>
      <c r="B2852" s="3">
        <f>HYPERLINK("https://leetcode.com/problems/count-bowl-subarrays/", "Count Bowl Subarrays")</f>
        <v/>
      </c>
      <c r="C2852" s="1" t="n">
        <v>189</v>
      </c>
      <c r="D2852" s="1" t="n">
        <v>5</v>
      </c>
      <c r="E2852" s="4">
        <f>IF(INDEX(C:C, ROW())+INDEX(D:D, ROW())=0, 0, INDEX(C:C, ROW())/(INDEX(C:C, ROW())+INDEX(D:D, ROW())))</f>
        <v/>
      </c>
      <c r="F2852" s="1" t="inlineStr">
        <is>
          <t>Array, Stack, Monotonic Stack</t>
        </is>
      </c>
      <c r="G2852" s="1" t="inlineStr">
        <is>
          <t>Medium</t>
        </is>
      </c>
      <c r="H2852" s="1" t="n">
        <v>30485</v>
      </c>
      <c r="I2852" s="1" t="n">
        <v>63173</v>
      </c>
      <c r="J2852" s="9" t="n">
        <v>0.483</v>
      </c>
      <c r="K2852" s="1" t="inlineStr">
        <is>
          <t>Yes</t>
        </is>
      </c>
      <c r="L2852" s="1" t="inlineStr">
        <is>
          <t>No</t>
        </is>
      </c>
      <c r="M2852" s="1" t="inlineStr">
        <is>
          <t>No</t>
        </is>
      </c>
      <c r="N2852" s="1" t="inlineStr">
        <is>
          <t>Algorithms</t>
        </is>
      </c>
      <c r="O28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52" s="11" t="inlineStr">
        <is>
          <t>To Do</t>
        </is>
      </c>
    </row>
    <row r="2853" ht="15.75" customHeight="1" s="12">
      <c r="A2853" s="1" t="n">
        <v>1127</v>
      </c>
      <c r="B2853" s="3">
        <f>HYPERLINK("https://leetcode.com/problems/user-purchase-platform/", "User Purchase Platform")</f>
        <v/>
      </c>
      <c r="C2853" s="1" t="n">
        <v>188</v>
      </c>
      <c r="D2853" s="1" t="n">
        <v>138</v>
      </c>
      <c r="E2853" s="4">
        <f>IF(INDEX(C:C, ROW())+INDEX(D:D, ROW())=0, 0, INDEX(C:C, ROW())/(INDEX(C:C, ROW())+INDEX(D:D, ROW())))</f>
        <v/>
      </c>
      <c r="F2853" s="1" t="inlineStr">
        <is>
          <t>Database</t>
        </is>
      </c>
      <c r="G2853" s="1" t="inlineStr">
        <is>
          <t>Hard</t>
        </is>
      </c>
      <c r="H2853" s="1" t="n">
        <v>19947</v>
      </c>
      <c r="I2853" s="1" t="n">
        <v>43134</v>
      </c>
      <c r="J2853" s="9" t="n">
        <v>0.462</v>
      </c>
      <c r="K2853" s="1" t="inlineStr">
        <is>
          <t>No</t>
        </is>
      </c>
      <c r="L2853" s="1" t="inlineStr">
        <is>
          <t>No</t>
        </is>
      </c>
      <c r="M2853" s="1" t="inlineStr">
        <is>
          <t>No</t>
        </is>
      </c>
      <c r="N2853" s="1" t="inlineStr">
        <is>
          <t>Database</t>
        </is>
      </c>
      <c r="O28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53" s="11" t="inlineStr">
        <is>
          <t>To Do</t>
        </is>
      </c>
    </row>
    <row r="2854" ht="15.75" customHeight="1" s="12">
      <c r="A2854" s="1" t="n">
        <v>1215</v>
      </c>
      <c r="B2854" s="3">
        <f>HYPERLINK("https://leetcode.com/problems/stepping-numbers/", "Stepping Numbers")</f>
        <v/>
      </c>
      <c r="C2854" s="1" t="n">
        <v>188</v>
      </c>
      <c r="D2854" s="1" t="n">
        <v>21</v>
      </c>
      <c r="E2854" s="4">
        <f>IF(INDEX(C:C, ROW())+INDEX(D:D, ROW())=0, 0, INDEX(C:C, ROW())/(INDEX(C:C, ROW())+INDEX(D:D, ROW())))</f>
        <v/>
      </c>
      <c r="F2854" s="1" t="inlineStr">
        <is>
          <t>Math, Backtracking, Breadth-First Search</t>
        </is>
      </c>
      <c r="G2854" s="1" t="inlineStr">
        <is>
          <t>Medium</t>
        </is>
      </c>
      <c r="H2854" s="1" t="n">
        <v>11301</v>
      </c>
      <c r="I2854" s="1" t="n">
        <v>23327</v>
      </c>
      <c r="J2854" s="9" t="n">
        <v>0.484</v>
      </c>
      <c r="K2854" s="1" t="inlineStr">
        <is>
          <t>No</t>
        </is>
      </c>
      <c r="L2854" s="1" t="inlineStr">
        <is>
          <t>No</t>
        </is>
      </c>
      <c r="M2854" s="1" t="inlineStr">
        <is>
          <t>No</t>
        </is>
      </c>
      <c r="N2854" s="1" t="inlineStr">
        <is>
          <t>Algorithms</t>
        </is>
      </c>
      <c r="O28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54" s="11" t="inlineStr">
        <is>
          <t>To Do</t>
        </is>
      </c>
    </row>
    <row r="2855" ht="15.75" customHeight="1" s="12">
      <c r="A2855" s="1" t="n">
        <v>1241</v>
      </c>
      <c r="B2855" s="3">
        <f>HYPERLINK("https://leetcode.com/problems/number-of-comments-per-post/", "Number of Comments per Post")</f>
        <v/>
      </c>
      <c r="C2855" s="1" t="n">
        <v>187</v>
      </c>
      <c r="D2855" s="1" t="n">
        <v>547</v>
      </c>
      <c r="E2855" s="4">
        <f>IF(INDEX(C:C, ROW())+INDEX(D:D, ROW())=0, 0, INDEX(C:C, ROW())/(INDEX(C:C, ROW())+INDEX(D:D, ROW())))</f>
        <v/>
      </c>
      <c r="F2855" s="1" t="inlineStr">
        <is>
          <t>Database</t>
        </is>
      </c>
      <c r="G2855" s="1" t="inlineStr">
        <is>
          <t>Easy</t>
        </is>
      </c>
      <c r="H2855" s="1" t="n">
        <v>41368</v>
      </c>
      <c r="I2855" s="1" t="n">
        <v>63052</v>
      </c>
      <c r="J2855" s="9" t="n">
        <v>0.656</v>
      </c>
      <c r="K2855" s="1" t="inlineStr">
        <is>
          <t>No</t>
        </is>
      </c>
      <c r="L2855" s="1" t="inlineStr">
        <is>
          <t>No</t>
        </is>
      </c>
      <c r="M2855" s="1" t="inlineStr">
        <is>
          <t>No</t>
        </is>
      </c>
      <c r="N2855" s="1" t="inlineStr">
        <is>
          <t>Database</t>
        </is>
      </c>
      <c r="O28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55" s="11" t="inlineStr">
        <is>
          <t>To Do</t>
        </is>
      </c>
    </row>
    <row r="2856" ht="15.75" customHeight="1" s="12">
      <c r="A2856" s="1" t="n">
        <v>2031</v>
      </c>
      <c r="B2856" s="3">
        <f>HYPERLINK("https://leetcode.com/problems/count-subarrays-with-more-ones-than-zeros/", "Count Subarrays With More Ones Than Zeros")</f>
        <v/>
      </c>
      <c r="C2856" s="1" t="n">
        <v>187</v>
      </c>
      <c r="D2856" s="1" t="n">
        <v>18</v>
      </c>
      <c r="E2856" s="4">
        <f>IF(INDEX(C:C, ROW())+INDEX(D:D, ROW())=0, 0, INDEX(C:C, ROW())/(INDEX(C:C, ROW())+INDEX(D:D, ROW())))</f>
        <v/>
      </c>
      <c r="F2856" s="1" t="inlineStr">
        <is>
          <t>Array, Hash Table, Binary Search, Divide and Conquer, Binary Indexed Tree, Segment Tree, Merge Sort, Ordered Set</t>
        </is>
      </c>
      <c r="G2856" s="1" t="inlineStr">
        <is>
          <t>Medium</t>
        </is>
      </c>
      <c r="H2856" s="1" t="n">
        <v>5470</v>
      </c>
      <c r="I2856" s="1" t="n">
        <v>11115</v>
      </c>
      <c r="J2856" s="9" t="n">
        <v>0.492</v>
      </c>
      <c r="K2856" s="1" t="inlineStr">
        <is>
          <t>No</t>
        </is>
      </c>
      <c r="L2856" s="1" t="inlineStr">
        <is>
          <t>No</t>
        </is>
      </c>
      <c r="M2856" s="1" t="inlineStr">
        <is>
          <t>No</t>
        </is>
      </c>
      <c r="N2856" s="1" t="inlineStr">
        <is>
          <t>Algorithms</t>
        </is>
      </c>
      <c r="O28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56" s="11" t="inlineStr">
        <is>
          <t>To Do</t>
        </is>
      </c>
    </row>
    <row r="2857" ht="15.75" customHeight="1" s="12">
      <c r="A2857" s="1" t="n">
        <v>2923</v>
      </c>
      <c r="B2857" s="3">
        <f>HYPERLINK("https://leetcode.com/problems/find-champion-i/", "Find Champion I")</f>
        <v/>
      </c>
      <c r="C2857" s="1" t="n">
        <v>187</v>
      </c>
      <c r="D2857" s="1" t="n">
        <v>56</v>
      </c>
      <c r="E2857" s="4">
        <f>IF(INDEX(C:C, ROW())+INDEX(D:D, ROW())=0, 0, INDEX(C:C, ROW())/(INDEX(C:C, ROW())+INDEX(D:D, ROW())))</f>
        <v/>
      </c>
      <c r="F2857" s="1" t="inlineStr">
        <is>
          <t>Array, Matrix</t>
        </is>
      </c>
      <c r="G2857" s="1" t="inlineStr">
        <is>
          <t>Easy</t>
        </is>
      </c>
      <c r="H2857" s="1" t="n">
        <v>53616</v>
      </c>
      <c r="I2857" s="1" t="n">
        <v>73061</v>
      </c>
      <c r="J2857" s="9" t="n">
        <v>0.734</v>
      </c>
      <c r="K2857" s="1" t="inlineStr">
        <is>
          <t>Yes</t>
        </is>
      </c>
      <c r="L2857" s="1" t="inlineStr">
        <is>
          <t>No</t>
        </is>
      </c>
      <c r="M2857" s="1" t="inlineStr">
        <is>
          <t>No</t>
        </is>
      </c>
      <c r="N2857" s="1" t="inlineStr">
        <is>
          <t>Algorithms</t>
        </is>
      </c>
      <c r="O28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57" s="13" t="inlineStr">
        <is>
          <t>Done</t>
        </is>
      </c>
    </row>
    <row r="2858" ht="15.75" customHeight="1" s="12">
      <c r="A2858" s="1" t="n">
        <v>3102</v>
      </c>
      <c r="B2858" s="3">
        <f>HYPERLINK("https://leetcode.com/problems/minimize-manhattan-distances/", "Minimize Manhattan Distances")</f>
        <v/>
      </c>
      <c r="C2858" s="1" t="n">
        <v>187</v>
      </c>
      <c r="D2858" s="1" t="n">
        <v>15</v>
      </c>
      <c r="E2858" s="4">
        <f>IF(INDEX(C:C, ROW())+INDEX(D:D, ROW())=0, 0, INDEX(C:C, ROW())/(INDEX(C:C, ROW())+INDEX(D:D, ROW())))</f>
        <v/>
      </c>
      <c r="F2858" s="1" t="inlineStr">
        <is>
          <t>Array, Math, Geometry, Sorting, Ordered Set</t>
        </is>
      </c>
      <c r="G2858" s="1" t="inlineStr">
        <is>
          <t>Hard</t>
        </is>
      </c>
      <c r="H2858" s="1" t="n">
        <v>10778</v>
      </c>
      <c r="I2858" s="1" t="n">
        <v>32803</v>
      </c>
      <c r="J2858" s="9" t="n">
        <v>0.329</v>
      </c>
      <c r="K2858" s="1" t="inlineStr">
        <is>
          <t>Yes</t>
        </is>
      </c>
      <c r="L2858" s="1" t="inlineStr">
        <is>
          <t>No</t>
        </is>
      </c>
      <c r="M2858" s="1" t="inlineStr">
        <is>
          <t>No</t>
        </is>
      </c>
      <c r="N2858" s="1" t="inlineStr">
        <is>
          <t>Algorithms</t>
        </is>
      </c>
      <c r="O28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58" s="11" t="inlineStr">
        <is>
          <t>To Do</t>
        </is>
      </c>
    </row>
    <row r="2859" ht="15.75" customHeight="1" s="12">
      <c r="A2859" s="1" t="n">
        <v>3193</v>
      </c>
      <c r="B2859" s="3">
        <f>HYPERLINK("https://leetcode.com/problems/count-the-number-of-inversions/", "Count the Number of Inversions")</f>
        <v/>
      </c>
      <c r="C2859" s="1" t="n">
        <v>187</v>
      </c>
      <c r="D2859" s="1" t="n">
        <v>37</v>
      </c>
      <c r="E2859" s="4">
        <f>IF(INDEX(C:C, ROW())+INDEX(D:D, ROW())=0, 0, INDEX(C:C, ROW())/(INDEX(C:C, ROW())+INDEX(D:D, ROW())))</f>
        <v/>
      </c>
      <c r="F2859" s="1" t="inlineStr">
        <is>
          <t>Array, Dynamic Programming</t>
        </is>
      </c>
      <c r="G2859" s="1" t="inlineStr">
        <is>
          <t>Hard</t>
        </is>
      </c>
      <c r="H2859" s="1" t="n">
        <v>10394</v>
      </c>
      <c r="I2859" s="1" t="n">
        <v>34400</v>
      </c>
      <c r="J2859" s="9" t="n">
        <v>0.302</v>
      </c>
      <c r="K2859" s="1" t="inlineStr">
        <is>
          <t>Yes</t>
        </is>
      </c>
      <c r="L2859" s="1" t="inlineStr">
        <is>
          <t>No</t>
        </is>
      </c>
      <c r="M2859" s="1" t="inlineStr">
        <is>
          <t>No</t>
        </is>
      </c>
      <c r="N2859" s="1" t="inlineStr">
        <is>
          <t>Algorithms</t>
        </is>
      </c>
      <c r="O28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59" s="11" t="inlineStr">
        <is>
          <t>To Do</t>
        </is>
      </c>
    </row>
    <row r="2860" ht="15.75" customHeight="1" s="12">
      <c r="A2860" s="1" t="n">
        <v>3159</v>
      </c>
      <c r="B2860" s="3">
        <f>HYPERLINK("https://leetcode.com/problems/find-occurrences-of-an-element-in-an-array/", "Find Occurrences of an Element in an Array")</f>
        <v/>
      </c>
      <c r="C2860" s="1" t="n">
        <v>186</v>
      </c>
      <c r="D2860" s="1" t="n">
        <v>26</v>
      </c>
      <c r="E2860" s="4">
        <f>IF(INDEX(C:C, ROW())+INDEX(D:D, ROW())=0, 0, INDEX(C:C, ROW())/(INDEX(C:C, ROW())+INDEX(D:D, ROW())))</f>
        <v/>
      </c>
      <c r="F2860" s="1" t="inlineStr">
        <is>
          <t>Array, Hash Table</t>
        </is>
      </c>
      <c r="G2860" s="1" t="inlineStr">
        <is>
          <t>Medium</t>
        </is>
      </c>
      <c r="H2860" s="1" t="n">
        <v>59664</v>
      </c>
      <c r="I2860" s="1" t="n">
        <v>81300</v>
      </c>
      <c r="J2860" s="9" t="n">
        <v>0.734</v>
      </c>
      <c r="K2860" s="1" t="inlineStr">
        <is>
          <t>Yes</t>
        </is>
      </c>
      <c r="L2860" s="1" t="inlineStr">
        <is>
          <t>No</t>
        </is>
      </c>
      <c r="M2860" s="1" t="inlineStr">
        <is>
          <t>No</t>
        </is>
      </c>
      <c r="N2860" s="1" t="inlineStr">
        <is>
          <t>Algorithms</t>
        </is>
      </c>
      <c r="O28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60" s="11" t="inlineStr">
        <is>
          <t>To Do</t>
        </is>
      </c>
    </row>
    <row r="2861" ht="15.75" customHeight="1" s="12">
      <c r="A2861" s="1" t="n">
        <v>411</v>
      </c>
      <c r="B2861" s="3">
        <f>HYPERLINK("https://leetcode.com/problems/minimum-unique-word-abbreviation/", "Minimum Unique Word Abbreviation")</f>
        <v/>
      </c>
      <c r="C2861" s="1" t="n">
        <v>185</v>
      </c>
      <c r="D2861" s="1" t="n">
        <v>146</v>
      </c>
      <c r="E2861" s="4">
        <f>IF(INDEX(C:C, ROW())+INDEX(D:D, ROW())=0, 0, INDEX(C:C, ROW())/(INDEX(C:C, ROW())+INDEX(D:D, ROW())))</f>
        <v/>
      </c>
      <c r="F2861" s="1" t="inlineStr">
        <is>
          <t>Array, String, Backtracking, Bit Manipulation</t>
        </is>
      </c>
      <c r="G2861" s="1" t="inlineStr">
        <is>
          <t>Hard</t>
        </is>
      </c>
      <c r="H2861" s="1" t="n">
        <v>15763</v>
      </c>
      <c r="I2861" s="1" t="n">
        <v>38919</v>
      </c>
      <c r="J2861" s="9" t="n">
        <v>0.405</v>
      </c>
      <c r="K2861" s="1" t="inlineStr">
        <is>
          <t>No</t>
        </is>
      </c>
      <c r="L2861" s="1" t="inlineStr">
        <is>
          <t>No</t>
        </is>
      </c>
      <c r="M2861" s="1" t="inlineStr">
        <is>
          <t>No</t>
        </is>
      </c>
      <c r="N2861" s="1" t="inlineStr">
        <is>
          <t>Algorithms</t>
        </is>
      </c>
      <c r="O28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61" s="11" t="inlineStr">
        <is>
          <t>To Do</t>
        </is>
      </c>
    </row>
    <row r="2862" ht="15.75" customHeight="1" s="12">
      <c r="A2862" s="1" t="n">
        <v>2996</v>
      </c>
      <c r="B2862" s="3">
        <f>HYPERLINK("https://leetcode.com/problems/smallest-missing-integer-greater-than-sequential-prefix-sum/", "Smallest Missing Integer Greater Than Sequential Prefix Sum")</f>
        <v/>
      </c>
      <c r="C2862" s="1" t="n">
        <v>185</v>
      </c>
      <c r="D2862" s="1" t="n">
        <v>313</v>
      </c>
      <c r="E2862" s="4">
        <f>IF(INDEX(C:C, ROW())+INDEX(D:D, ROW())=0, 0, INDEX(C:C, ROW())/(INDEX(C:C, ROW())+INDEX(D:D, ROW())))</f>
        <v/>
      </c>
      <c r="F2862" s="1" t="inlineStr">
        <is>
          <t>Array, Hash Table, Sorting</t>
        </is>
      </c>
      <c r="G2862" s="1" t="inlineStr">
        <is>
          <t>Easy</t>
        </is>
      </c>
      <c r="H2862" s="1" t="n">
        <v>51256</v>
      </c>
      <c r="I2862" s="1" t="n">
        <v>144654</v>
      </c>
      <c r="J2862" s="9" t="n">
        <v>0.354</v>
      </c>
      <c r="K2862" s="1" t="inlineStr">
        <is>
          <t>Yes</t>
        </is>
      </c>
      <c r="L2862" s="1" t="inlineStr">
        <is>
          <t>No</t>
        </is>
      </c>
      <c r="M2862" s="1" t="inlineStr">
        <is>
          <t>No</t>
        </is>
      </c>
      <c r="N2862" s="1" t="inlineStr">
        <is>
          <t>Algorithms</t>
        </is>
      </c>
      <c r="O28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62" s="13" t="inlineStr">
        <is>
          <t>Done</t>
        </is>
      </c>
    </row>
    <row r="2863" ht="15.75" customHeight="1" s="12">
      <c r="A2863" s="1" t="n">
        <v>3001</v>
      </c>
      <c r="B2863" s="3">
        <f>HYPERLINK("https://leetcode.com/problems/minimum-moves-to-capture-the-queen/", "Minimum Moves to Capture The Queen")</f>
        <v/>
      </c>
      <c r="C2863" s="1" t="n">
        <v>185</v>
      </c>
      <c r="D2863" s="1" t="n">
        <v>210</v>
      </c>
      <c r="E2863" s="4">
        <f>IF(INDEX(C:C, ROW())+INDEX(D:D, ROW())=0, 0, INDEX(C:C, ROW())/(INDEX(C:C, ROW())+INDEX(D:D, ROW())))</f>
        <v/>
      </c>
      <c r="F2863" s="1" t="inlineStr">
        <is>
          <t>Math, Enumeration</t>
        </is>
      </c>
      <c r="G2863" s="1" t="inlineStr">
        <is>
          <t>Medium</t>
        </is>
      </c>
      <c r="H2863" s="1" t="n">
        <v>22957</v>
      </c>
      <c r="I2863" s="1" t="n">
        <v>102521</v>
      </c>
      <c r="J2863" s="9" t="n">
        <v>0.224</v>
      </c>
      <c r="K2863" s="1" t="inlineStr">
        <is>
          <t>Yes</t>
        </is>
      </c>
      <c r="L2863" s="1" t="inlineStr">
        <is>
          <t>No</t>
        </is>
      </c>
      <c r="M2863" s="1" t="inlineStr">
        <is>
          <t>No</t>
        </is>
      </c>
      <c r="N2863" s="1" t="inlineStr">
        <is>
          <t>Algorithms</t>
        </is>
      </c>
      <c r="O28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63" s="11" t="inlineStr">
        <is>
          <t>To Do</t>
        </is>
      </c>
    </row>
    <row r="2864" ht="15.75" customHeight="1" s="12">
      <c r="A2864" s="1" t="n">
        <v>3178</v>
      </c>
      <c r="B2864" s="3">
        <f>HYPERLINK("https://leetcode.com/problems/find-the-child-who-has-the-ball-after-k-seconds/", "Find the Child Who Has the Ball After K Seconds")</f>
        <v/>
      </c>
      <c r="C2864" s="1" t="n">
        <v>185</v>
      </c>
      <c r="D2864" s="1" t="n">
        <v>11</v>
      </c>
      <c r="E2864" s="4">
        <f>IF(INDEX(C:C, ROW())+INDEX(D:D, ROW())=0, 0, INDEX(C:C, ROW())/(INDEX(C:C, ROW())+INDEX(D:D, ROW())))</f>
        <v/>
      </c>
      <c r="F2864" s="1" t="inlineStr">
        <is>
          <t>Math, Simulation</t>
        </is>
      </c>
      <c r="G2864" s="1" t="inlineStr">
        <is>
          <t>Easy</t>
        </is>
      </c>
      <c r="H2864" s="1" t="n">
        <v>59916</v>
      </c>
      <c r="I2864" s="1" t="n">
        <v>96555</v>
      </c>
      <c r="J2864" s="9" t="n">
        <v>0.621</v>
      </c>
      <c r="K2864" s="1" t="inlineStr">
        <is>
          <t>Yes</t>
        </is>
      </c>
      <c r="L2864" s="1" t="inlineStr">
        <is>
          <t>No</t>
        </is>
      </c>
      <c r="M2864" s="1" t="inlineStr">
        <is>
          <t>No</t>
        </is>
      </c>
      <c r="N2864" s="1" t="inlineStr">
        <is>
          <t>Algorithms</t>
        </is>
      </c>
      <c r="O28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64" s="13" t="inlineStr">
        <is>
          <t>Done</t>
        </is>
      </c>
    </row>
    <row r="2865" ht="15.75" customHeight="1" s="12">
      <c r="A2865" s="1" t="n">
        <v>3478</v>
      </c>
      <c r="B2865" s="3">
        <f>HYPERLINK("https://leetcode.com/problems/choose-k-elements-with-maximum-sum/", "Choose K Elements With Maximum Sum")</f>
        <v/>
      </c>
      <c r="C2865" s="1" t="n">
        <v>185</v>
      </c>
      <c r="D2865" s="1" t="n">
        <v>9</v>
      </c>
      <c r="E2865" s="4">
        <f>IF(INDEX(C:C, ROW())+INDEX(D:D, ROW())=0, 0, INDEX(C:C, ROW())/(INDEX(C:C, ROW())+INDEX(D:D, ROW())))</f>
        <v/>
      </c>
      <c r="F2865" s="1" t="inlineStr">
        <is>
          <t>Array, Sorting, Heap (Priority Queue)</t>
        </is>
      </c>
      <c r="G2865" s="1" t="inlineStr">
        <is>
          <t>Medium</t>
        </is>
      </c>
      <c r="H2865" s="1" t="n">
        <v>20384</v>
      </c>
      <c r="I2865" s="1" t="n">
        <v>60481</v>
      </c>
      <c r="J2865" s="9" t="n">
        <v>0.337</v>
      </c>
      <c r="K2865" s="1" t="inlineStr">
        <is>
          <t>Yes</t>
        </is>
      </c>
      <c r="L2865" s="1" t="inlineStr">
        <is>
          <t>No</t>
        </is>
      </c>
      <c r="M2865" s="1" t="inlineStr">
        <is>
          <t>No</t>
        </is>
      </c>
      <c r="N2865" s="1" t="inlineStr">
        <is>
          <t>Algorithms</t>
        </is>
      </c>
      <c r="O28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65" s="11" t="inlineStr">
        <is>
          <t>To Do</t>
        </is>
      </c>
    </row>
    <row r="2866" ht="15.75" customHeight="1" s="12">
      <c r="A2866" s="1" t="n">
        <v>574</v>
      </c>
      <c r="B2866" s="3">
        <f>HYPERLINK("https://leetcode.com/problems/winning-candidate/", "Winning Candidate")</f>
        <v/>
      </c>
      <c r="C2866" s="1" t="n">
        <v>184</v>
      </c>
      <c r="D2866" s="1" t="n">
        <v>414</v>
      </c>
      <c r="E2866" s="4">
        <f>IF(INDEX(C:C, ROW())+INDEX(D:D, ROW())=0, 0, INDEX(C:C, ROW())/(INDEX(C:C, ROW())+INDEX(D:D, ROW())))</f>
        <v/>
      </c>
      <c r="F2866" s="1" t="inlineStr">
        <is>
          <t>Database</t>
        </is>
      </c>
      <c r="G2866" s="1" t="inlineStr">
        <is>
          <t>Medium</t>
        </is>
      </c>
      <c r="H2866" s="1" t="n">
        <v>78010</v>
      </c>
      <c r="I2866" s="1" t="n">
        <v>124438</v>
      </c>
      <c r="J2866" s="9" t="n">
        <v>0.627</v>
      </c>
      <c r="K2866" s="1" t="inlineStr">
        <is>
          <t>No</t>
        </is>
      </c>
      <c r="L2866" s="1" t="inlineStr">
        <is>
          <t>Yes</t>
        </is>
      </c>
      <c r="M2866" s="1" t="inlineStr">
        <is>
          <t>No</t>
        </is>
      </c>
      <c r="N2866" s="1" t="inlineStr">
        <is>
          <t>Database</t>
        </is>
      </c>
      <c r="O28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66" s="11" t="inlineStr">
        <is>
          <t>To Do</t>
        </is>
      </c>
    </row>
    <row r="2867" ht="15.75" customHeight="1" s="12">
      <c r="A2867" s="1" t="n">
        <v>1350</v>
      </c>
      <c r="B2867" s="3">
        <f>HYPERLINK("https://leetcode.com/problems/students-with-invalid-departments/", "Students With Invalid Departments")</f>
        <v/>
      </c>
      <c r="C2867" s="1" t="n">
        <v>184</v>
      </c>
      <c r="D2867" s="1" t="n">
        <v>9</v>
      </c>
      <c r="E2867" s="4">
        <f>IF(INDEX(C:C, ROW())+INDEX(D:D, ROW())=0, 0, INDEX(C:C, ROW())/(INDEX(C:C, ROW())+INDEX(D:D, ROW())))</f>
        <v/>
      </c>
      <c r="F2867" s="1" t="inlineStr">
        <is>
          <t>Database</t>
        </is>
      </c>
      <c r="G2867" s="1" t="inlineStr">
        <is>
          <t>Easy</t>
        </is>
      </c>
      <c r="H2867" s="1" t="n">
        <v>66812</v>
      </c>
      <c r="I2867" s="1" t="n">
        <v>74470</v>
      </c>
      <c r="J2867" s="9" t="n">
        <v>0.897</v>
      </c>
      <c r="K2867" s="1" t="inlineStr">
        <is>
          <t>No</t>
        </is>
      </c>
      <c r="L2867" s="1" t="inlineStr">
        <is>
          <t>No</t>
        </is>
      </c>
      <c r="M2867" s="1" t="inlineStr">
        <is>
          <t>No</t>
        </is>
      </c>
      <c r="N2867" s="1" t="inlineStr">
        <is>
          <t>Database</t>
        </is>
      </c>
      <c r="O28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67" s="11" t="inlineStr">
        <is>
          <t>To Do</t>
        </is>
      </c>
    </row>
    <row r="2868" ht="15.75" customHeight="1" s="12">
      <c r="A2868" s="1" t="n">
        <v>1973</v>
      </c>
      <c r="B2868" s="3">
        <f>HYPERLINK("https://leetcode.com/problems/count-nodes-equal-to-sum-of-descendants/", "Count Nodes Equal to Sum of Descendants")</f>
        <v/>
      </c>
      <c r="C2868" s="1" t="n">
        <v>184</v>
      </c>
      <c r="D2868" s="1" t="n">
        <v>10</v>
      </c>
      <c r="E2868" s="4">
        <f>IF(INDEX(C:C, ROW())+INDEX(D:D, ROW())=0, 0, INDEX(C:C, ROW())/(INDEX(C:C, ROW())+INDEX(D:D, ROW())))</f>
        <v/>
      </c>
      <c r="F2868" s="1" t="inlineStr">
        <is>
          <t>Tree, Depth-First Search, Binary Tree</t>
        </is>
      </c>
      <c r="G2868" s="1" t="inlineStr">
        <is>
          <t>Medium</t>
        </is>
      </c>
      <c r="H2868" s="1" t="n">
        <v>15904</v>
      </c>
      <c r="I2868" s="1" t="n">
        <v>20561</v>
      </c>
      <c r="J2868" s="9" t="n">
        <v>0.774</v>
      </c>
      <c r="K2868" s="1" t="inlineStr">
        <is>
          <t>No</t>
        </is>
      </c>
      <c r="L2868" s="1" t="inlineStr">
        <is>
          <t>Yes</t>
        </is>
      </c>
      <c r="M2868" s="1" t="inlineStr">
        <is>
          <t>No</t>
        </is>
      </c>
      <c r="N2868" s="1" t="inlineStr">
        <is>
          <t>Algorithms</t>
        </is>
      </c>
      <c r="O28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68" s="11" t="inlineStr">
        <is>
          <t>To Do</t>
        </is>
      </c>
    </row>
    <row r="2869" ht="15.75" customHeight="1" s="12">
      <c r="A2869" s="1" t="n">
        <v>2913</v>
      </c>
      <c r="B2869" s="3">
        <f>HYPERLINK("https://leetcode.com/problems/subarrays-distinct-element-sum-of-squares-i/", "Subarrays Distinct Element Sum of Squares I")</f>
        <v/>
      </c>
      <c r="C2869" s="1" t="n">
        <v>184</v>
      </c>
      <c r="D2869" s="1" t="n">
        <v>36</v>
      </c>
      <c r="E2869" s="4">
        <f>IF(INDEX(C:C, ROW())+INDEX(D:D, ROW())=0, 0, INDEX(C:C, ROW())/(INDEX(C:C, ROW())+INDEX(D:D, ROW())))</f>
        <v/>
      </c>
      <c r="F2869" s="1" t="inlineStr">
        <is>
          <t>Array, Hash Table</t>
        </is>
      </c>
      <c r="G2869" s="1" t="inlineStr">
        <is>
          <t>Easy</t>
        </is>
      </c>
      <c r="H2869" s="1" t="n">
        <v>44879</v>
      </c>
      <c r="I2869" s="1" t="n">
        <v>56021</v>
      </c>
      <c r="J2869" s="9" t="n">
        <v>0.801</v>
      </c>
      <c r="K2869" s="1" t="inlineStr">
        <is>
          <t>Yes</t>
        </is>
      </c>
      <c r="L2869" s="1" t="inlineStr">
        <is>
          <t>No</t>
        </is>
      </c>
      <c r="M2869" s="1" t="inlineStr">
        <is>
          <t>No</t>
        </is>
      </c>
      <c r="N2869" s="1" t="inlineStr">
        <is>
          <t>Algorithms</t>
        </is>
      </c>
      <c r="O28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69" s="13" t="inlineStr">
        <is>
          <t>Done</t>
        </is>
      </c>
    </row>
    <row r="2870" ht="15.75" customHeight="1" s="12">
      <c r="A2870" s="1" t="n">
        <v>3121</v>
      </c>
      <c r="B2870" s="3">
        <f>HYPERLINK("https://leetcode.com/problems/count-the-number-of-special-characters-ii/", "Count the Number of Special Characters II")</f>
        <v/>
      </c>
      <c r="C2870" s="1" t="n">
        <v>184</v>
      </c>
      <c r="D2870" s="1" t="n">
        <v>16</v>
      </c>
      <c r="E2870" s="4">
        <f>IF(INDEX(C:C, ROW())+INDEX(D:D, ROW())=0, 0, INDEX(C:C, ROW())/(INDEX(C:C, ROW())+INDEX(D:D, ROW())))</f>
        <v/>
      </c>
      <c r="F2870" s="1" t="inlineStr">
        <is>
          <t>Hash Table, String</t>
        </is>
      </c>
      <c r="G2870" s="1" t="inlineStr">
        <is>
          <t>Medium</t>
        </is>
      </c>
      <c r="H2870" s="1" t="n">
        <v>41801</v>
      </c>
      <c r="I2870" s="1" t="n">
        <v>96019</v>
      </c>
      <c r="J2870" s="9" t="n">
        <v>0.435</v>
      </c>
      <c r="K2870" s="1" t="inlineStr">
        <is>
          <t>Yes</t>
        </is>
      </c>
      <c r="L2870" s="1" t="inlineStr">
        <is>
          <t>No</t>
        </is>
      </c>
      <c r="M2870" s="1" t="inlineStr">
        <is>
          <t>No</t>
        </is>
      </c>
      <c r="N2870" s="1" t="inlineStr">
        <is>
          <t>Algorithms</t>
        </is>
      </c>
      <c r="O28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70" s="11" t="inlineStr">
        <is>
          <t>To Do</t>
        </is>
      </c>
    </row>
    <row r="2871" ht="15.75" customHeight="1" s="12">
      <c r="A2871" s="1" t="n">
        <v>591</v>
      </c>
      <c r="B2871" s="3">
        <f>HYPERLINK("https://leetcode.com/problems/tag-validator/", "Tag Validator")</f>
        <v/>
      </c>
      <c r="C2871" s="1" t="n">
        <v>183</v>
      </c>
      <c r="D2871" s="1" t="n">
        <v>655</v>
      </c>
      <c r="E2871" s="4">
        <f>IF(INDEX(C:C, ROW())+INDEX(D:D, ROW())=0, 0, INDEX(C:C, ROW())/(INDEX(C:C, ROW())+INDEX(D:D, ROW())))</f>
        <v/>
      </c>
      <c r="F2871" s="1" t="inlineStr">
        <is>
          <t>String, Stack</t>
        </is>
      </c>
      <c r="G2871" s="1" t="inlineStr">
        <is>
          <t>Hard</t>
        </is>
      </c>
      <c r="H2871" s="1" t="n">
        <v>21107</v>
      </c>
      <c r="I2871" s="1" t="n">
        <v>52074</v>
      </c>
      <c r="J2871" s="9" t="n">
        <v>0.405</v>
      </c>
      <c r="K2871" s="1" t="inlineStr">
        <is>
          <t>Yes</t>
        </is>
      </c>
      <c r="L2871" s="1" t="inlineStr">
        <is>
          <t>Yes</t>
        </is>
      </c>
      <c r="M2871" s="1" t="inlineStr">
        <is>
          <t>No</t>
        </is>
      </c>
      <c r="N2871" s="1" t="inlineStr">
        <is>
          <t>Algorithms</t>
        </is>
      </c>
      <c r="O28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71" s="11" t="inlineStr">
        <is>
          <t>To Do</t>
        </is>
      </c>
    </row>
    <row r="2872" ht="15.75" customHeight="1" s="12">
      <c r="A2872" s="1" t="n">
        <v>2345</v>
      </c>
      <c r="B2872" s="3">
        <f>HYPERLINK("https://leetcode.com/problems/finding-the-number-of-visible-mountains/", "Finding the Number of Visible Mountains")</f>
        <v/>
      </c>
      <c r="C2872" s="1" t="n">
        <v>183</v>
      </c>
      <c r="D2872" s="1" t="n">
        <v>80</v>
      </c>
      <c r="E2872" s="4">
        <f>IF(INDEX(C:C, ROW())+INDEX(D:D, ROW())=0, 0, INDEX(C:C, ROW())/(INDEX(C:C, ROW())+INDEX(D:D, ROW())))</f>
        <v/>
      </c>
      <c r="F2872" s="1" t="inlineStr">
        <is>
          <t>Array, Stack, Sorting, Monotonic Stack</t>
        </is>
      </c>
      <c r="G2872" s="1" t="inlineStr">
        <is>
          <t>Medium</t>
        </is>
      </c>
      <c r="H2872" s="1" t="n">
        <v>13602</v>
      </c>
      <c r="I2872" s="1" t="n">
        <v>36516</v>
      </c>
      <c r="J2872" s="9" t="n">
        <v>0.372</v>
      </c>
      <c r="K2872" s="1" t="inlineStr">
        <is>
          <t>No</t>
        </is>
      </c>
      <c r="L2872" s="1" t="inlineStr">
        <is>
          <t>No</t>
        </is>
      </c>
      <c r="M2872" s="1" t="inlineStr">
        <is>
          <t>No</t>
        </is>
      </c>
      <c r="N2872" s="1" t="inlineStr">
        <is>
          <t>Algorithms</t>
        </is>
      </c>
      <c r="O28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72" s="11" t="inlineStr">
        <is>
          <t>To Do</t>
        </is>
      </c>
    </row>
    <row r="2873" ht="15.75" customHeight="1" s="12">
      <c r="A2873" s="1" t="n">
        <v>2851</v>
      </c>
      <c r="B2873" s="3">
        <f>HYPERLINK("https://leetcode.com/problems/string-transformation/", "String Transformation")</f>
        <v/>
      </c>
      <c r="C2873" s="1" t="n">
        <v>183</v>
      </c>
      <c r="D2873" s="1" t="n">
        <v>49</v>
      </c>
      <c r="E2873" s="4">
        <f>IF(INDEX(C:C, ROW())+INDEX(D:D, ROW())=0, 0, INDEX(C:C, ROW())/(INDEX(C:C, ROW())+INDEX(D:D, ROW())))</f>
        <v/>
      </c>
      <c r="F2873" s="1" t="inlineStr">
        <is>
          <t>Math, String, Dynamic Programming, String Matching</t>
        </is>
      </c>
      <c r="G2873" s="1" t="inlineStr">
        <is>
          <t>Hard</t>
        </is>
      </c>
      <c r="H2873" s="1" t="n">
        <v>7070</v>
      </c>
      <c r="I2873" s="1" t="n">
        <v>26115</v>
      </c>
      <c r="J2873" s="9" t="n">
        <v>0.271</v>
      </c>
      <c r="K2873" s="1" t="inlineStr">
        <is>
          <t>Yes</t>
        </is>
      </c>
      <c r="L2873" s="1" t="inlineStr">
        <is>
          <t>No</t>
        </is>
      </c>
      <c r="M2873" s="1" t="inlineStr">
        <is>
          <t>No</t>
        </is>
      </c>
      <c r="N2873" s="1" t="inlineStr">
        <is>
          <t>Algorithms</t>
        </is>
      </c>
      <c r="O28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73" s="11" t="inlineStr">
        <is>
          <t>To Do</t>
        </is>
      </c>
    </row>
    <row r="2874" ht="15.75" customHeight="1" s="12">
      <c r="A2874" s="1" t="n">
        <v>2860</v>
      </c>
      <c r="B2874" s="3">
        <f>HYPERLINK("https://leetcode.com/problems/happy-students/", "Happy Students")</f>
        <v/>
      </c>
      <c r="C2874" s="1" t="n">
        <v>183</v>
      </c>
      <c r="D2874" s="1" t="n">
        <v>311</v>
      </c>
      <c r="E2874" s="4">
        <f>IF(INDEX(C:C, ROW())+INDEX(D:D, ROW())=0, 0, INDEX(C:C, ROW())/(INDEX(C:C, ROW())+INDEX(D:D, ROW())))</f>
        <v/>
      </c>
      <c r="F2874" s="1" t="inlineStr">
        <is>
          <t>Array, Sorting, Enumeration</t>
        </is>
      </c>
      <c r="G2874" s="1" t="inlineStr">
        <is>
          <t>Medium</t>
        </is>
      </c>
      <c r="H2874" s="1" t="n">
        <v>25886</v>
      </c>
      <c r="I2874" s="1" t="n">
        <v>50768</v>
      </c>
      <c r="J2874" s="9" t="n">
        <v>0.51</v>
      </c>
      <c r="K2874" s="1" t="inlineStr">
        <is>
          <t>Yes</t>
        </is>
      </c>
      <c r="L2874" s="1" t="inlineStr">
        <is>
          <t>No</t>
        </is>
      </c>
      <c r="M2874" s="1" t="inlineStr">
        <is>
          <t>No</t>
        </is>
      </c>
      <c r="N2874" s="1" t="inlineStr">
        <is>
          <t>Algorithms</t>
        </is>
      </c>
      <c r="O28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74" s="11" t="inlineStr">
        <is>
          <t>To Do</t>
        </is>
      </c>
    </row>
    <row r="2875" ht="15.75" customHeight="1" s="12">
      <c r="A2875" s="1" t="n">
        <v>3258</v>
      </c>
      <c r="B2875" s="3">
        <f>HYPERLINK("https://leetcode.com/problems/count-substrings-that-satisfy-k-constraint-i/", "Count Substrings That Satisfy K-Constraint I")</f>
        <v/>
      </c>
      <c r="C2875" s="1" t="n">
        <v>183</v>
      </c>
      <c r="D2875" s="1" t="n">
        <v>37</v>
      </c>
      <c r="E2875" s="4">
        <f>IF(INDEX(C:C, ROW())+INDEX(D:D, ROW())=0, 0, INDEX(C:C, ROW())/(INDEX(C:C, ROW())+INDEX(D:D, ROW())))</f>
        <v/>
      </c>
      <c r="F2875" s="1" t="inlineStr">
        <is>
          <t>String, Sliding Window</t>
        </is>
      </c>
      <c r="G2875" s="1" t="inlineStr">
        <is>
          <t>Easy</t>
        </is>
      </c>
      <c r="H2875" s="1" t="n">
        <v>58540</v>
      </c>
      <c r="I2875" s="1" t="n">
        <v>74110</v>
      </c>
      <c r="J2875" s="9" t="n">
        <v>0.79</v>
      </c>
      <c r="K2875" s="1" t="inlineStr">
        <is>
          <t>Yes</t>
        </is>
      </c>
      <c r="L2875" s="1" t="inlineStr">
        <is>
          <t>No</t>
        </is>
      </c>
      <c r="M2875" s="1" t="inlineStr">
        <is>
          <t>No</t>
        </is>
      </c>
      <c r="N2875" s="1" t="inlineStr">
        <is>
          <t>Algorithms</t>
        </is>
      </c>
      <c r="O28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75" s="13" t="inlineStr">
        <is>
          <t>Done</t>
        </is>
      </c>
    </row>
    <row r="2876" ht="15.75" customHeight="1" s="12">
      <c r="A2876" s="1" t="n">
        <v>770</v>
      </c>
      <c r="B2876" s="3">
        <f>HYPERLINK("https://leetcode.com/problems/basic-calculator-iv/", "Basic Calculator IV")</f>
        <v/>
      </c>
      <c r="C2876" s="1" t="n">
        <v>182</v>
      </c>
      <c r="D2876" s="1" t="n">
        <v>1447</v>
      </c>
      <c r="E2876" s="4">
        <f>IF(INDEX(C:C, ROW())+INDEX(D:D, ROW())=0, 0, INDEX(C:C, ROW())/(INDEX(C:C, ROW())+INDEX(D:D, ROW())))</f>
        <v/>
      </c>
      <c r="F2876" s="1" t="inlineStr">
        <is>
          <t>Hash Table, Math, String, Stack, Recursion</t>
        </is>
      </c>
      <c r="G2876" s="1" t="inlineStr">
        <is>
          <t>Hard</t>
        </is>
      </c>
      <c r="H2876" s="1" t="n">
        <v>16583</v>
      </c>
      <c r="I2876" s="1" t="n">
        <v>33287</v>
      </c>
      <c r="J2876" s="9" t="n">
        <v>0.498</v>
      </c>
      <c r="K2876" s="1" t="inlineStr">
        <is>
          <t>Yes</t>
        </is>
      </c>
      <c r="L2876" s="1" t="inlineStr">
        <is>
          <t>Yes</t>
        </is>
      </c>
      <c r="M2876" s="1" t="inlineStr">
        <is>
          <t>No</t>
        </is>
      </c>
      <c r="N2876" s="1" t="inlineStr">
        <is>
          <t>Algorithms</t>
        </is>
      </c>
      <c r="O28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76" s="11" t="inlineStr">
        <is>
          <t>To Do</t>
        </is>
      </c>
    </row>
    <row r="2877" ht="15.75" customHeight="1" s="12">
      <c r="A2877" s="1" t="n">
        <v>3029</v>
      </c>
      <c r="B2877" s="3">
        <f>HYPERLINK("https://leetcode.com/problems/minimum-time-to-revert-word-to-initial-state-i/", "Minimum Time to Revert Word to Initial State I")</f>
        <v/>
      </c>
      <c r="C2877" s="1" t="n">
        <v>182</v>
      </c>
      <c r="D2877" s="1" t="n">
        <v>34</v>
      </c>
      <c r="E2877" s="4">
        <f>IF(INDEX(C:C, ROW())+INDEX(D:D, ROW())=0, 0, INDEX(C:C, ROW())/(INDEX(C:C, ROW())+INDEX(D:D, ROW())))</f>
        <v/>
      </c>
      <c r="F2877" s="1" t="inlineStr">
        <is>
          <t>String, Rolling Hash, String Matching, Hash Function</t>
        </is>
      </c>
      <c r="G2877" s="1" t="inlineStr">
        <is>
          <t>Medium</t>
        </is>
      </c>
      <c r="H2877" s="1" t="n">
        <v>24164</v>
      </c>
      <c r="I2877" s="1" t="n">
        <v>56896</v>
      </c>
      <c r="J2877" s="9" t="n">
        <v>0.425</v>
      </c>
      <c r="K2877" s="1" t="inlineStr">
        <is>
          <t>Yes</t>
        </is>
      </c>
      <c r="L2877" s="1" t="inlineStr">
        <is>
          <t>No</t>
        </is>
      </c>
      <c r="M2877" s="1" t="inlineStr">
        <is>
          <t>No</t>
        </is>
      </c>
      <c r="N2877" s="1" t="inlineStr">
        <is>
          <t>Algorithms</t>
        </is>
      </c>
      <c r="O28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77" s="11" t="inlineStr">
        <is>
          <t>To Do</t>
        </is>
      </c>
    </row>
    <row r="2878" ht="15.75" customHeight="1" s="12">
      <c r="A2878" s="1" t="n">
        <v>1958</v>
      </c>
      <c r="B2878" s="3">
        <f>HYPERLINK("https://leetcode.com/problems/check-if-move-is-legal/", "Check if Move is Legal")</f>
        <v/>
      </c>
      <c r="C2878" s="1" t="n">
        <v>181</v>
      </c>
      <c r="D2878" s="1" t="n">
        <v>283</v>
      </c>
      <c r="E2878" s="4">
        <f>IF(INDEX(C:C, ROW())+INDEX(D:D, ROW())=0, 0, INDEX(C:C, ROW())/(INDEX(C:C, ROW())+INDEX(D:D, ROW())))</f>
        <v/>
      </c>
      <c r="F2878" s="1" t="inlineStr">
        <is>
          <t>Array, Matrix, Enumeration</t>
        </is>
      </c>
      <c r="G2878" s="1" t="inlineStr">
        <is>
          <t>Medium</t>
        </is>
      </c>
      <c r="H2878" s="1" t="n">
        <v>18389</v>
      </c>
      <c r="I2878" s="1" t="n">
        <v>36799</v>
      </c>
      <c r="J2878" s="9" t="n">
        <v>0.5</v>
      </c>
      <c r="K2878" s="1" t="inlineStr">
        <is>
          <t>Yes</t>
        </is>
      </c>
      <c r="L2878" s="1" t="inlineStr">
        <is>
          <t>No</t>
        </is>
      </c>
      <c r="M2878" s="1" t="inlineStr">
        <is>
          <t>No</t>
        </is>
      </c>
      <c r="N2878" s="1" t="inlineStr">
        <is>
          <t>Algorithms</t>
        </is>
      </c>
      <c r="O28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78" s="11" t="inlineStr">
        <is>
          <t>To Do</t>
        </is>
      </c>
    </row>
    <row r="2879" ht="15.75" customHeight="1" s="12">
      <c r="A2879" s="1" t="n">
        <v>3249</v>
      </c>
      <c r="B2879" s="3">
        <f>HYPERLINK("https://leetcode.com/problems/count-the-number-of-good-nodes/", "Count the Number of Good Nodes")</f>
        <v/>
      </c>
      <c r="C2879" s="1" t="n">
        <v>181</v>
      </c>
      <c r="D2879" s="1" t="n">
        <v>51</v>
      </c>
      <c r="E2879" s="4">
        <f>IF(INDEX(C:C, ROW())+INDEX(D:D, ROW())=0, 0, INDEX(C:C, ROW())/(INDEX(C:C, ROW())+INDEX(D:D, ROW())))</f>
        <v/>
      </c>
      <c r="F2879" s="1" t="inlineStr">
        <is>
          <t>Tree, Depth-First Search</t>
        </is>
      </c>
      <c r="G2879" s="1" t="inlineStr">
        <is>
          <t>Medium</t>
        </is>
      </c>
      <c r="H2879" s="1" t="n">
        <v>31299</v>
      </c>
      <c r="I2879" s="1" t="n">
        <v>56539</v>
      </c>
      <c r="J2879" s="9" t="n">
        <v>0.554</v>
      </c>
      <c r="K2879" s="1" t="inlineStr">
        <is>
          <t>Yes</t>
        </is>
      </c>
      <c r="L2879" s="1" t="inlineStr">
        <is>
          <t>No</t>
        </is>
      </c>
      <c r="M2879" s="1" t="inlineStr">
        <is>
          <t>No</t>
        </is>
      </c>
      <c r="N2879" s="1" t="inlineStr">
        <is>
          <t>Algorithms</t>
        </is>
      </c>
      <c r="O28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79" s="11" t="inlineStr">
        <is>
          <t>To Do</t>
        </is>
      </c>
    </row>
    <row r="2880" ht="15.75" customHeight="1" s="12">
      <c r="A2880" s="1" t="n">
        <v>3259</v>
      </c>
      <c r="B2880" s="3">
        <f>HYPERLINK("https://leetcode.com/problems/maximum-energy-boost-from-two-drinks/", "Maximum Energy Boost From Two Drinks")</f>
        <v/>
      </c>
      <c r="C2880" s="1" t="n">
        <v>181</v>
      </c>
      <c r="D2880" s="1" t="n">
        <v>13</v>
      </c>
      <c r="E2880" s="4">
        <f>IF(INDEX(C:C, ROW())+INDEX(D:D, ROW())=0, 0, INDEX(C:C, ROW())/(INDEX(C:C, ROW())+INDEX(D:D, ROW())))</f>
        <v/>
      </c>
      <c r="F2880" s="1" t="inlineStr">
        <is>
          <t>Array, Dynamic Programming</t>
        </is>
      </c>
      <c r="G2880" s="1" t="inlineStr">
        <is>
          <t>Medium</t>
        </is>
      </c>
      <c r="H2880" s="1" t="n">
        <v>35921</v>
      </c>
      <c r="I2880" s="1" t="n">
        <v>71726</v>
      </c>
      <c r="J2880" s="9" t="n">
        <v>0.501</v>
      </c>
      <c r="K2880" s="1" t="inlineStr">
        <is>
          <t>Yes</t>
        </is>
      </c>
      <c r="L2880" s="1" t="inlineStr">
        <is>
          <t>No</t>
        </is>
      </c>
      <c r="M2880" s="1" t="inlineStr">
        <is>
          <t>No</t>
        </is>
      </c>
      <c r="N2880" s="1" t="inlineStr">
        <is>
          <t>Algorithms</t>
        </is>
      </c>
      <c r="O28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80" s="11" t="inlineStr">
        <is>
          <t>To Do</t>
        </is>
      </c>
    </row>
    <row r="2881" ht="15.75" customHeight="1" s="12">
      <c r="A2881" s="1" t="n">
        <v>2960</v>
      </c>
      <c r="B2881" s="3">
        <f>HYPERLINK("https://leetcode.com/problems/count-tested-devices-after-test-operations/", "Count Tested Devices After Test Operations")</f>
        <v/>
      </c>
      <c r="C2881" s="1" t="n">
        <v>180</v>
      </c>
      <c r="D2881" s="1" t="n">
        <v>19</v>
      </c>
      <c r="E2881" s="4">
        <f>IF(INDEX(C:C, ROW())+INDEX(D:D, ROW())=0, 0, INDEX(C:C, ROW())/(INDEX(C:C, ROW())+INDEX(D:D, ROW())))</f>
        <v/>
      </c>
      <c r="F2881" s="1" t="inlineStr">
        <is>
          <t>Array, Simulation, Counting</t>
        </is>
      </c>
      <c r="G2881" s="1" t="inlineStr">
        <is>
          <t>Easy</t>
        </is>
      </c>
      <c r="H2881" s="1" t="n">
        <v>56047</v>
      </c>
      <c r="I2881" s="1" t="n">
        <v>71055</v>
      </c>
      <c r="J2881" s="9" t="n">
        <v>0.789</v>
      </c>
      <c r="K2881" s="1" t="inlineStr">
        <is>
          <t>Yes</t>
        </is>
      </c>
      <c r="L2881" s="1" t="inlineStr">
        <is>
          <t>No</t>
        </is>
      </c>
      <c r="M2881" s="1" t="inlineStr">
        <is>
          <t>No</t>
        </is>
      </c>
      <c r="N2881" s="1" t="inlineStr">
        <is>
          <t>Algorithms</t>
        </is>
      </c>
      <c r="O28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81" s="13" t="inlineStr">
        <is>
          <t>Done</t>
        </is>
      </c>
    </row>
    <row r="2882" ht="15.75" customHeight="1" s="12">
      <c r="A2882" s="1" t="n">
        <v>3041</v>
      </c>
      <c r="B2882" s="3">
        <f>HYPERLINK("https://leetcode.com/problems/maximize-consecutive-elements-in-an-array-after-modification/", "Maximize Consecutive Elements in an Array After Modification")</f>
        <v/>
      </c>
      <c r="C2882" s="1" t="n">
        <v>180</v>
      </c>
      <c r="D2882" s="1" t="n">
        <v>9</v>
      </c>
      <c r="E2882" s="4">
        <f>IF(INDEX(C:C, ROW())+INDEX(D:D, ROW())=0, 0, INDEX(C:C, ROW())/(INDEX(C:C, ROW())+INDEX(D:D, ROW())))</f>
        <v/>
      </c>
      <c r="F2882" s="1" t="inlineStr">
        <is>
          <t>Array, Dynamic Programming, Sorting</t>
        </is>
      </c>
      <c r="G2882" s="1" t="inlineStr">
        <is>
          <t>Hard</t>
        </is>
      </c>
      <c r="H2882" s="1" t="n">
        <v>11454</v>
      </c>
      <c r="I2882" s="1" t="n">
        <v>33849</v>
      </c>
      <c r="J2882" s="9" t="n">
        <v>0.338</v>
      </c>
      <c r="K2882" s="1" t="inlineStr">
        <is>
          <t>Yes</t>
        </is>
      </c>
      <c r="L2882" s="1" t="inlineStr">
        <is>
          <t>No</t>
        </is>
      </c>
      <c r="M2882" s="1" t="inlineStr">
        <is>
          <t>No</t>
        </is>
      </c>
      <c r="N2882" s="1" t="inlineStr">
        <is>
          <t>Algorithms</t>
        </is>
      </c>
      <c r="O28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82" s="11" t="inlineStr">
        <is>
          <t>To Do</t>
        </is>
      </c>
    </row>
    <row r="2883" ht="15.75" customHeight="1" s="12">
      <c r="A2883" s="1" t="n">
        <v>3132</v>
      </c>
      <c r="B2883" s="3">
        <f>HYPERLINK("https://leetcode.com/problems/find-the-integer-added-to-array-ii/", "Find the Integer Added to Array II")</f>
        <v/>
      </c>
      <c r="C2883" s="1" t="n">
        <v>180</v>
      </c>
      <c r="D2883" s="1" t="n">
        <v>44</v>
      </c>
      <c r="E2883" s="4">
        <f>IF(INDEX(C:C, ROW())+INDEX(D:D, ROW())=0, 0, INDEX(C:C, ROW())/(INDEX(C:C, ROW())+INDEX(D:D, ROW())))</f>
        <v/>
      </c>
      <c r="F2883" s="1" t="inlineStr">
        <is>
          <t>Array, Two Pointers, Sorting, Enumeration</t>
        </is>
      </c>
      <c r="G2883" s="1" t="inlineStr">
        <is>
          <t>Medium</t>
        </is>
      </c>
      <c r="H2883" s="1" t="n">
        <v>26339</v>
      </c>
      <c r="I2883" s="1" t="n">
        <v>79989</v>
      </c>
      <c r="J2883" s="9" t="n">
        <v>0.329</v>
      </c>
      <c r="K2883" s="1" t="inlineStr">
        <is>
          <t>Yes</t>
        </is>
      </c>
      <c r="L2883" s="1" t="inlineStr">
        <is>
          <t>No</t>
        </is>
      </c>
      <c r="M2883" s="1" t="inlineStr">
        <is>
          <t>No</t>
        </is>
      </c>
      <c r="N2883" s="1" t="inlineStr">
        <is>
          <t>Algorithms</t>
        </is>
      </c>
      <c r="O28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83" s="11" t="inlineStr">
        <is>
          <t>To Do</t>
        </is>
      </c>
    </row>
    <row r="2884" ht="15.75" customHeight="1" s="12">
      <c r="A2884" s="1" t="n">
        <v>3248</v>
      </c>
      <c r="B2884" s="3">
        <f>HYPERLINK("https://leetcode.com/problems/snake-in-matrix/", "Snake in Matrix")</f>
        <v/>
      </c>
      <c r="C2884" s="1" t="n">
        <v>180</v>
      </c>
      <c r="D2884" s="1" t="n">
        <v>5</v>
      </c>
      <c r="E2884" s="4">
        <f>IF(INDEX(C:C, ROW())+INDEX(D:D, ROW())=0, 0, INDEX(C:C, ROW())/(INDEX(C:C, ROW())+INDEX(D:D, ROW())))</f>
        <v/>
      </c>
      <c r="F2884" s="1" t="inlineStr">
        <is>
          <t>Array, String, Simulation</t>
        </is>
      </c>
      <c r="G2884" s="1" t="inlineStr">
        <is>
          <t>Easy</t>
        </is>
      </c>
      <c r="H2884" s="1" t="n">
        <v>76523</v>
      </c>
      <c r="I2884" s="1" t="n">
        <v>92940</v>
      </c>
      <c r="J2884" s="9" t="n">
        <v>0.823</v>
      </c>
      <c r="K2884" s="1" t="inlineStr">
        <is>
          <t>Yes</t>
        </is>
      </c>
      <c r="L2884" s="1" t="inlineStr">
        <is>
          <t>No</t>
        </is>
      </c>
      <c r="M2884" s="1" t="inlineStr">
        <is>
          <t>No</t>
        </is>
      </c>
      <c r="N2884" s="1" t="inlineStr">
        <is>
          <t>Algorithms</t>
        </is>
      </c>
      <c r="O28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84" s="13" t="inlineStr">
        <is>
          <t>Done</t>
        </is>
      </c>
    </row>
    <row r="2885" ht="15.75" customHeight="1" s="12">
      <c r="A2885" s="1" t="n">
        <v>3266</v>
      </c>
      <c r="B2885" s="3">
        <f>HYPERLINK("https://leetcode.com/problems/final-array-state-after-k-multiplication-operations-ii/", "Final Array State After K Multiplication Operations II")</f>
        <v/>
      </c>
      <c r="C2885" s="1" t="n">
        <v>180</v>
      </c>
      <c r="D2885" s="1" t="n">
        <v>24</v>
      </c>
      <c r="E2885" s="4">
        <f>IF(INDEX(C:C, ROW())+INDEX(D:D, ROW())=0, 0, INDEX(C:C, ROW())/(INDEX(C:C, ROW())+INDEX(D:D, ROW())))</f>
        <v/>
      </c>
      <c r="F2885" s="1" t="inlineStr">
        <is>
          <t>Array, Heap (Priority Queue), Simulation</t>
        </is>
      </c>
      <c r="G2885" s="1" t="inlineStr">
        <is>
          <t>Hard</t>
        </is>
      </c>
      <c r="H2885" s="1" t="n">
        <v>11507</v>
      </c>
      <c r="I2885" s="1" t="n">
        <v>86714</v>
      </c>
      <c r="J2885" s="9" t="n">
        <v>0.133</v>
      </c>
      <c r="K2885" s="1" t="inlineStr">
        <is>
          <t>Yes</t>
        </is>
      </c>
      <c r="L2885" s="1" t="inlineStr">
        <is>
          <t>No</t>
        </is>
      </c>
      <c r="M2885" s="1" t="inlineStr">
        <is>
          <t>No</t>
        </is>
      </c>
      <c r="N2885" s="1" t="inlineStr">
        <is>
          <t>Algorithms</t>
        </is>
      </c>
      <c r="O28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85" s="11" t="inlineStr">
        <is>
          <t>To Do</t>
        </is>
      </c>
    </row>
    <row r="2886" ht="15.75" customHeight="1" s="12">
      <c r="A2886" s="1" t="n">
        <v>3291</v>
      </c>
      <c r="B2886" s="3">
        <f>HYPERLINK("https://leetcode.com/problems/minimum-number-of-valid-strings-to-form-target-i/", "Minimum Number of Valid Strings to Form Target I")</f>
        <v/>
      </c>
      <c r="C2886" s="1" t="n">
        <v>180</v>
      </c>
      <c r="D2886" s="1" t="n">
        <v>17</v>
      </c>
      <c r="E2886" s="4">
        <f>IF(INDEX(C:C, ROW())+INDEX(D:D, ROW())=0, 0, INDEX(C:C, ROW())/(INDEX(C:C, ROW())+INDEX(D:D, ROW())))</f>
        <v/>
      </c>
      <c r="F2886" s="1" t="inlineStr">
        <is>
          <t>Array, String, Binary Search, Dynamic Programming, Greedy, Trie, Segment Tree, Rolling Hash, String Matching, Hash Function</t>
        </is>
      </c>
      <c r="G2886" s="1" t="inlineStr">
        <is>
          <t>Medium</t>
        </is>
      </c>
      <c r="H2886" s="1" t="n">
        <v>15234</v>
      </c>
      <c r="I2886" s="1" t="n">
        <v>69630</v>
      </c>
      <c r="J2886" s="9" t="n">
        <v>0.219</v>
      </c>
      <c r="K2886" s="1" t="inlineStr">
        <is>
          <t>Yes</t>
        </is>
      </c>
      <c r="L2886" s="1" t="inlineStr">
        <is>
          <t>No</t>
        </is>
      </c>
      <c r="M2886" s="1" t="inlineStr">
        <is>
          <t>No</t>
        </is>
      </c>
      <c r="N2886" s="1" t="inlineStr">
        <is>
          <t>Algorithms</t>
        </is>
      </c>
      <c r="O28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86" s="11" t="inlineStr">
        <is>
          <t>To Do</t>
        </is>
      </c>
    </row>
    <row r="2887" ht="15.75" customHeight="1" s="12">
      <c r="A2887" s="1" t="n">
        <v>3134</v>
      </c>
      <c r="B2887" s="3">
        <f>HYPERLINK("https://leetcode.com/problems/find-the-median-of-the-uniqueness-array/", "Find the Median of the Uniqueness Array")</f>
        <v/>
      </c>
      <c r="C2887" s="1" t="n">
        <v>179</v>
      </c>
      <c r="D2887" s="1" t="n">
        <v>13</v>
      </c>
      <c r="E2887" s="4">
        <f>IF(INDEX(C:C, ROW())+INDEX(D:D, ROW())=0, 0, INDEX(C:C, ROW())/(INDEX(C:C, ROW())+INDEX(D:D, ROW())))</f>
        <v/>
      </c>
      <c r="F2887" s="1" t="inlineStr">
        <is>
          <t>Array, Hash Table, Binary Search, Sliding Window</t>
        </is>
      </c>
      <c r="G2887" s="1" t="inlineStr">
        <is>
          <t>Hard</t>
        </is>
      </c>
      <c r="H2887" s="1" t="n">
        <v>8995</v>
      </c>
      <c r="I2887" s="1" t="n">
        <v>29917</v>
      </c>
      <c r="J2887" s="9" t="n">
        <v>0.301</v>
      </c>
      <c r="K2887" s="1" t="inlineStr">
        <is>
          <t>Yes</t>
        </is>
      </c>
      <c r="L2887" s="1" t="inlineStr">
        <is>
          <t>No</t>
        </is>
      </c>
      <c r="M2887" s="1" t="inlineStr">
        <is>
          <t>No</t>
        </is>
      </c>
      <c r="N2887" s="1" t="inlineStr">
        <is>
          <t>Algorithms</t>
        </is>
      </c>
      <c r="O28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87" s="11" t="inlineStr">
        <is>
          <t>To Do</t>
        </is>
      </c>
    </row>
    <row r="2888" ht="15.75" customHeight="1" s="12">
      <c r="A2888" s="1" t="n">
        <v>2947</v>
      </c>
      <c r="B2888" s="3">
        <f>HYPERLINK("https://leetcode.com/problems/count-beautiful-substrings-i/", "Count Beautiful Substrings I")</f>
        <v/>
      </c>
      <c r="C2888" s="1" t="n">
        <v>178</v>
      </c>
      <c r="D2888" s="1" t="n">
        <v>17</v>
      </c>
      <c r="E2888" s="4">
        <f>IF(INDEX(C:C, ROW())+INDEX(D:D, ROW())=0, 0, INDEX(C:C, ROW())/(INDEX(C:C, ROW())+INDEX(D:D, ROW())))</f>
        <v/>
      </c>
      <c r="F2888" s="1" t="inlineStr">
        <is>
          <t>Hash Table, Math, String, Enumeration, Number Theory, Prefix Sum</t>
        </is>
      </c>
      <c r="G2888" s="1" t="inlineStr">
        <is>
          <t>Medium</t>
        </is>
      </c>
      <c r="H2888" s="1" t="n">
        <v>28860</v>
      </c>
      <c r="I2888" s="1" t="n">
        <v>47162</v>
      </c>
      <c r="J2888" s="9" t="n">
        <v>0.612</v>
      </c>
      <c r="K2888" s="1" t="inlineStr">
        <is>
          <t>Yes</t>
        </is>
      </c>
      <c r="L2888" s="1" t="inlineStr">
        <is>
          <t>No</t>
        </is>
      </c>
      <c r="M2888" s="1" t="inlineStr">
        <is>
          <t>No</t>
        </is>
      </c>
      <c r="N2888" s="1" t="inlineStr">
        <is>
          <t>Algorithms</t>
        </is>
      </c>
      <c r="O28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88" s="11" t="inlineStr">
        <is>
          <t>To Do</t>
        </is>
      </c>
    </row>
    <row r="2889" ht="15.75" customHeight="1" s="12">
      <c r="A2889" s="1" t="n">
        <v>3077</v>
      </c>
      <c r="B2889" s="3">
        <f>HYPERLINK("https://leetcode.com/problems/maximum-strength-of-k-disjoint-subarrays/", "Maximum Strength of K Disjoint Subarrays")</f>
        <v/>
      </c>
      <c r="C2889" s="1" t="n">
        <v>178</v>
      </c>
      <c r="D2889" s="1" t="n">
        <v>76</v>
      </c>
      <c r="E2889" s="4">
        <f>IF(INDEX(C:C, ROW())+INDEX(D:D, ROW())=0, 0, INDEX(C:C, ROW())/(INDEX(C:C, ROW())+INDEX(D:D, ROW())))</f>
        <v/>
      </c>
      <c r="F2889" s="1" t="inlineStr">
        <is>
          <t>Array, Dynamic Programming, Prefix Sum</t>
        </is>
      </c>
      <c r="G2889" s="1" t="inlineStr">
        <is>
          <t>Hard</t>
        </is>
      </c>
      <c r="H2889" s="1" t="n">
        <v>8697</v>
      </c>
      <c r="I2889" s="1" t="n">
        <v>31308</v>
      </c>
      <c r="J2889" s="9" t="n">
        <v>0.278</v>
      </c>
      <c r="K2889" s="1" t="inlineStr">
        <is>
          <t>Yes</t>
        </is>
      </c>
      <c r="L2889" s="1" t="inlineStr">
        <is>
          <t>No</t>
        </is>
      </c>
      <c r="M2889" s="1" t="inlineStr">
        <is>
          <t>No</t>
        </is>
      </c>
      <c r="N2889" s="1" t="inlineStr">
        <is>
          <t>Algorithms</t>
        </is>
      </c>
      <c r="O28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89" s="11" t="inlineStr">
        <is>
          <t>To Do</t>
        </is>
      </c>
    </row>
    <row r="2890" ht="15.75" customHeight="1" s="12">
      <c r="A2890" s="1" t="n">
        <v>3144</v>
      </c>
      <c r="B2890" s="3">
        <f>HYPERLINK("https://leetcode.com/problems/minimum-substring-partition-of-equal-character-frequency/", "Minimum Substring Partition of Equal Character Frequency")</f>
        <v/>
      </c>
      <c r="C2890" s="1" t="n">
        <v>178</v>
      </c>
      <c r="D2890" s="1" t="n">
        <v>36</v>
      </c>
      <c r="E2890" s="4">
        <f>IF(INDEX(C:C, ROW())+INDEX(D:D, ROW())=0, 0, INDEX(C:C, ROW())/(INDEX(C:C, ROW())+INDEX(D:D, ROW())))</f>
        <v/>
      </c>
      <c r="F2890" s="1" t="inlineStr">
        <is>
          <t>Hash Table, String, Dynamic Programming, Counting</t>
        </is>
      </c>
      <c r="G2890" s="1" t="inlineStr">
        <is>
          <t>Medium</t>
        </is>
      </c>
      <c r="H2890" s="1" t="n">
        <v>18410</v>
      </c>
      <c r="I2890" s="1" t="n">
        <v>45806</v>
      </c>
      <c r="J2890" s="9" t="n">
        <v>0.402</v>
      </c>
      <c r="K2890" s="1" t="inlineStr">
        <is>
          <t>Yes</t>
        </is>
      </c>
      <c r="L2890" s="1" t="inlineStr">
        <is>
          <t>No</t>
        </is>
      </c>
      <c r="M2890" s="1" t="inlineStr">
        <is>
          <t>No</t>
        </is>
      </c>
      <c r="N2890" s="1" t="inlineStr">
        <is>
          <t>Algorithms</t>
        </is>
      </c>
      <c r="O28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90" s="11" t="inlineStr">
        <is>
          <t>To Do</t>
        </is>
      </c>
    </row>
    <row r="2891" ht="15.75" customHeight="1" s="12">
      <c r="A2891" s="1" t="n">
        <v>3733</v>
      </c>
      <c r="B2891" s="3">
        <f>HYPERLINK("https://leetcode.com/problems/minimum-time-to-complete-all-deliveries/", "Minimum Time to Complete All Deliveries")</f>
        <v/>
      </c>
      <c r="C2891" s="1" t="n">
        <v>178</v>
      </c>
      <c r="D2891" s="1" t="n">
        <v>15</v>
      </c>
      <c r="E2891" s="4">
        <f>IF(INDEX(C:C, ROW())+INDEX(D:D, ROW())=0, 0, INDEX(C:C, ROW())/(INDEX(C:C, ROW())+INDEX(D:D, ROW())))</f>
        <v/>
      </c>
      <c r="F2891" s="1" t="inlineStr">
        <is>
          <t>Math, Binary Search</t>
        </is>
      </c>
      <c r="G2891" s="1" t="inlineStr">
        <is>
          <t>Medium</t>
        </is>
      </c>
      <c r="H2891" s="1" t="n">
        <v>14877</v>
      </c>
      <c r="I2891" s="1" t="n">
        <v>42240</v>
      </c>
      <c r="J2891" s="9" t="n">
        <v>0.352</v>
      </c>
      <c r="K2891" s="1" t="inlineStr">
        <is>
          <t>Yes</t>
        </is>
      </c>
      <c r="L2891" s="1" t="inlineStr">
        <is>
          <t>No</t>
        </is>
      </c>
      <c r="M2891" s="1" t="inlineStr">
        <is>
          <t>No</t>
        </is>
      </c>
      <c r="N2891" s="1" t="inlineStr">
        <is>
          <t>Algorithms</t>
        </is>
      </c>
      <c r="O28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91" s="11" t="inlineStr">
        <is>
          <t>To Do</t>
        </is>
      </c>
    </row>
    <row r="2892" ht="15.75" customHeight="1" s="12">
      <c r="A2892" s="1" t="n">
        <v>3120</v>
      </c>
      <c r="B2892" s="3">
        <f>HYPERLINK("https://leetcode.com/problems/count-the-number-of-special-characters-i/", "Count the Number of Special Characters I")</f>
        <v/>
      </c>
      <c r="C2892" s="1" t="n">
        <v>177</v>
      </c>
      <c r="D2892" s="1" t="n">
        <v>6</v>
      </c>
      <c r="E2892" s="4">
        <f>IF(INDEX(C:C, ROW())+INDEX(D:D, ROW())=0, 0, INDEX(C:C, ROW())/(INDEX(C:C, ROW())+INDEX(D:D, ROW())))</f>
        <v/>
      </c>
      <c r="F2892" s="1" t="inlineStr">
        <is>
          <t>Hash Table, String</t>
        </is>
      </c>
      <c r="G2892" s="1" t="inlineStr">
        <is>
          <t>Easy</t>
        </is>
      </c>
      <c r="H2892" s="1" t="n">
        <v>65615</v>
      </c>
      <c r="I2892" s="1" t="n">
        <v>97944</v>
      </c>
      <c r="J2892" s="9" t="n">
        <v>0.67</v>
      </c>
      <c r="K2892" s="1" t="inlineStr">
        <is>
          <t>Yes</t>
        </is>
      </c>
      <c r="L2892" s="1" t="inlineStr">
        <is>
          <t>No</t>
        </is>
      </c>
      <c r="M2892" s="1" t="inlineStr">
        <is>
          <t>No</t>
        </is>
      </c>
      <c r="N2892" s="1" t="inlineStr">
        <is>
          <t>Algorithms</t>
        </is>
      </c>
      <c r="O28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92" s="13" t="inlineStr">
        <is>
          <t>Done</t>
        </is>
      </c>
    </row>
    <row r="2893" ht="15.75" customHeight="1" s="12">
      <c r="A2893" s="1" t="n">
        <v>1093</v>
      </c>
      <c r="B2893" s="3">
        <f>HYPERLINK("https://leetcode.com/problems/statistics-from-a-large-sample/", "Statistics from a Large Sample")</f>
        <v/>
      </c>
      <c r="C2893" s="1" t="n">
        <v>176</v>
      </c>
      <c r="D2893" s="1" t="n">
        <v>109</v>
      </c>
      <c r="E2893" s="4">
        <f>IF(INDEX(C:C, ROW())+INDEX(D:D, ROW())=0, 0, INDEX(C:C, ROW())/(INDEX(C:C, ROW())+INDEX(D:D, ROW())))</f>
        <v/>
      </c>
      <c r="F2893" s="1" t="inlineStr">
        <is>
          <t>Array, Math, Probability and Statistics</t>
        </is>
      </c>
      <c r="G2893" s="1" t="inlineStr">
        <is>
          <t>Medium</t>
        </is>
      </c>
      <c r="H2893" s="1" t="n">
        <v>26428</v>
      </c>
      <c r="I2893" s="1" t="n">
        <v>61411</v>
      </c>
      <c r="J2893" s="9" t="n">
        <v>0.43</v>
      </c>
      <c r="K2893" s="1" t="inlineStr">
        <is>
          <t>Yes</t>
        </is>
      </c>
      <c r="L2893" s="1" t="inlineStr">
        <is>
          <t>No</t>
        </is>
      </c>
      <c r="M2893" s="1" t="inlineStr">
        <is>
          <t>No</t>
        </is>
      </c>
      <c r="N2893" s="1" t="inlineStr">
        <is>
          <t>Algorithms</t>
        </is>
      </c>
      <c r="O28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93" s="11" t="inlineStr">
        <is>
          <t>To Do</t>
        </is>
      </c>
    </row>
    <row r="2894" ht="15.75" customHeight="1" s="12">
      <c r="A2894" s="1" t="n">
        <v>3143</v>
      </c>
      <c r="B2894" s="3">
        <f>HYPERLINK("https://leetcode.com/problems/maximum-points-inside-the-square/", "Maximum Points Inside the Square")</f>
        <v/>
      </c>
      <c r="C2894" s="1" t="n">
        <v>176</v>
      </c>
      <c r="D2894" s="1" t="n">
        <v>24</v>
      </c>
      <c r="E2894" s="4">
        <f>IF(INDEX(C:C, ROW())+INDEX(D:D, ROW())=0, 0, INDEX(C:C, ROW())/(INDEX(C:C, ROW())+INDEX(D:D, ROW())))</f>
        <v/>
      </c>
      <c r="F2894" s="1" t="inlineStr">
        <is>
          <t>Array, Hash Table, String, Binary Search, Sorting</t>
        </is>
      </c>
      <c r="G2894" s="1" t="inlineStr">
        <is>
          <t>Medium</t>
        </is>
      </c>
      <c r="H2894" s="1" t="n">
        <v>21720</v>
      </c>
      <c r="I2894" s="1" t="n">
        <v>54830</v>
      </c>
      <c r="J2894" s="9" t="n">
        <v>0.396</v>
      </c>
      <c r="K2894" s="1" t="inlineStr">
        <is>
          <t>Yes</t>
        </is>
      </c>
      <c r="L2894" s="1" t="inlineStr">
        <is>
          <t>No</t>
        </is>
      </c>
      <c r="M2894" s="1" t="inlineStr">
        <is>
          <t>No</t>
        </is>
      </c>
      <c r="N2894" s="1" t="inlineStr">
        <is>
          <t>Algorithms</t>
        </is>
      </c>
      <c r="O28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94" s="11" t="inlineStr">
        <is>
          <t>To Do</t>
        </is>
      </c>
    </row>
    <row r="2895" ht="15.75" customHeight="1" s="12">
      <c r="A2895" s="1" t="n">
        <v>2046</v>
      </c>
      <c r="B2895" s="3">
        <f>HYPERLINK("https://leetcode.com/problems/sort-linked-list-already-sorted-using-absolute-values/", "Sort Linked List Already Sorted Using Absolute Values")</f>
        <v/>
      </c>
      <c r="C2895" s="1" t="n">
        <v>175</v>
      </c>
      <c r="D2895" s="1" t="n">
        <v>3</v>
      </c>
      <c r="E2895" s="4">
        <f>IF(INDEX(C:C, ROW())+INDEX(D:D, ROW())=0, 0, INDEX(C:C, ROW())/(INDEX(C:C, ROW())+INDEX(D:D, ROW())))</f>
        <v/>
      </c>
      <c r="F2895" s="1" t="inlineStr">
        <is>
          <t>Linked List, Two Pointers, Sorting</t>
        </is>
      </c>
      <c r="G2895" s="1" t="inlineStr">
        <is>
          <t>Medium</t>
        </is>
      </c>
      <c r="H2895" s="1" t="n">
        <v>11282</v>
      </c>
      <c r="I2895" s="1" t="n">
        <v>16825</v>
      </c>
      <c r="J2895" s="9" t="n">
        <v>0.671</v>
      </c>
      <c r="K2895" s="1" t="inlineStr">
        <is>
          <t>No</t>
        </is>
      </c>
      <c r="L2895" s="1" t="inlineStr">
        <is>
          <t>No</t>
        </is>
      </c>
      <c r="M2895" s="1" t="inlineStr">
        <is>
          <t>No</t>
        </is>
      </c>
      <c r="N2895" s="1" t="inlineStr">
        <is>
          <t>Algorithms</t>
        </is>
      </c>
      <c r="O28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95" s="11" t="inlineStr">
        <is>
          <t>To Do</t>
        </is>
      </c>
    </row>
    <row r="2896" ht="15.75" customHeight="1" s="12">
      <c r="A2896" s="1" t="n">
        <v>1176</v>
      </c>
      <c r="B2896" s="3">
        <f>HYPERLINK("https://leetcode.com/problems/diet-plan-performance/", "Diet Plan Performance")</f>
        <v/>
      </c>
      <c r="C2896" s="1" t="n">
        <v>174</v>
      </c>
      <c r="D2896" s="1" t="n">
        <v>297</v>
      </c>
      <c r="E2896" s="4">
        <f>IF(INDEX(C:C, ROW())+INDEX(D:D, ROW())=0, 0, INDEX(C:C, ROW())/(INDEX(C:C, ROW())+INDEX(D:D, ROW())))</f>
        <v/>
      </c>
      <c r="F2896" s="1" t="inlineStr">
        <is>
          <t>Array, Sliding Window</t>
        </is>
      </c>
      <c r="G2896" s="1" t="inlineStr">
        <is>
          <t>Easy</t>
        </is>
      </c>
      <c r="H2896" s="1" t="n">
        <v>41950</v>
      </c>
      <c r="I2896" s="1" t="n">
        <v>74958</v>
      </c>
      <c r="J2896" s="9" t="n">
        <v>0.5600000000000001</v>
      </c>
      <c r="K2896" s="1" t="inlineStr">
        <is>
          <t>No</t>
        </is>
      </c>
      <c r="L2896" s="1" t="inlineStr">
        <is>
          <t>Yes</t>
        </is>
      </c>
      <c r="M2896" s="1" t="inlineStr">
        <is>
          <t>No</t>
        </is>
      </c>
      <c r="N2896" s="1" t="inlineStr">
        <is>
          <t>Algorithms</t>
        </is>
      </c>
      <c r="O28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96" s="11" t="inlineStr">
        <is>
          <t>To Do</t>
        </is>
      </c>
    </row>
    <row r="2897" ht="15.75" customHeight="1" s="12">
      <c r="A2897" s="1" t="n">
        <v>1634</v>
      </c>
      <c r="B2897" s="3">
        <f>HYPERLINK("https://leetcode.com/problems/add-two-polynomials-represented-as-linked-lists/", "Add Two Polynomials Represented as Linked Lists")</f>
        <v/>
      </c>
      <c r="C2897" s="1" t="n">
        <v>174</v>
      </c>
      <c r="D2897" s="1" t="n">
        <v>14</v>
      </c>
      <c r="E2897" s="4">
        <f>IF(INDEX(C:C, ROW())+INDEX(D:D, ROW())=0, 0, INDEX(C:C, ROW())/(INDEX(C:C, ROW())+INDEX(D:D, ROW())))</f>
        <v/>
      </c>
      <c r="F2897" s="1" t="inlineStr">
        <is>
          <t>Linked List, Math, Two Pointers</t>
        </is>
      </c>
      <c r="G2897" s="1" t="inlineStr">
        <is>
          <t>Medium</t>
        </is>
      </c>
      <c r="H2897" s="1" t="n">
        <v>16473</v>
      </c>
      <c r="I2897" s="1" t="n">
        <v>26980</v>
      </c>
      <c r="J2897" s="9" t="n">
        <v>0.611</v>
      </c>
      <c r="K2897" s="1" t="inlineStr">
        <is>
          <t>No</t>
        </is>
      </c>
      <c r="L2897" s="1" t="inlineStr">
        <is>
          <t>Yes</t>
        </is>
      </c>
      <c r="M2897" s="1" t="inlineStr">
        <is>
          <t>No</t>
        </is>
      </c>
      <c r="N2897" s="1" t="inlineStr">
        <is>
          <t>Algorithms</t>
        </is>
      </c>
      <c r="O28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97" s="11" t="inlineStr">
        <is>
          <t>To Do</t>
        </is>
      </c>
    </row>
    <row r="2898" ht="15.75" customHeight="1" s="12">
      <c r="A2898" s="1" t="n">
        <v>2649</v>
      </c>
      <c r="B2898" s="3">
        <f>HYPERLINK("https://leetcode.com/problems/nested-array-generator/", "Nested Array Generator")</f>
        <v/>
      </c>
      <c r="C2898" s="1" t="n">
        <v>174</v>
      </c>
      <c r="D2898" s="1" t="n">
        <v>13</v>
      </c>
      <c r="E2898" s="4">
        <f>IF(INDEX(C:C, ROW())+INDEX(D:D, ROW())=0, 0, INDEX(C:C, ROW())/(INDEX(C:C, ROW())+INDEX(D:D, ROW())))</f>
        <v/>
      </c>
      <c r="F2898" s="2" t="n"/>
      <c r="G2898" s="1" t="inlineStr">
        <is>
          <t>Medium</t>
        </is>
      </c>
      <c r="H2898" s="1" t="n">
        <v>19513</v>
      </c>
      <c r="I2898" s="1" t="n">
        <v>24272</v>
      </c>
      <c r="J2898" s="9" t="n">
        <v>0.804</v>
      </c>
      <c r="K2898" s="1" t="inlineStr">
        <is>
          <t>Yes</t>
        </is>
      </c>
      <c r="L2898" s="1" t="inlineStr">
        <is>
          <t>Yes</t>
        </is>
      </c>
      <c r="M2898" s="1" t="inlineStr">
        <is>
          <t>No</t>
        </is>
      </c>
      <c r="N2898" s="1" t="inlineStr">
        <is>
          <t>JavaScript</t>
        </is>
      </c>
      <c r="O28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98" s="11" t="inlineStr">
        <is>
          <t>To Do</t>
        </is>
      </c>
    </row>
    <row r="2899" ht="15.75" customHeight="1" s="12">
      <c r="A2899" s="1" t="n">
        <v>3046</v>
      </c>
      <c r="B2899" s="3">
        <f>HYPERLINK("https://leetcode.com/problems/split-the-array/", "Split the Array")</f>
        <v/>
      </c>
      <c r="C2899" s="1" t="n">
        <v>174</v>
      </c>
      <c r="D2899" s="1" t="n">
        <v>16</v>
      </c>
      <c r="E2899" s="4">
        <f>IF(INDEX(C:C, ROW())+INDEX(D:D, ROW())=0, 0, INDEX(C:C, ROW())/(INDEX(C:C, ROW())+INDEX(D:D, ROW())))</f>
        <v/>
      </c>
      <c r="F2899" s="1" t="inlineStr">
        <is>
          <t>Array, Hash Table, Counting</t>
        </is>
      </c>
      <c r="G2899" s="1" t="inlineStr">
        <is>
          <t>Easy</t>
        </is>
      </c>
      <c r="H2899" s="1" t="n">
        <v>83806</v>
      </c>
      <c r="I2899" s="1" t="n">
        <v>136878</v>
      </c>
      <c r="J2899" s="9" t="n">
        <v>0.612</v>
      </c>
      <c r="K2899" s="1" t="inlineStr">
        <is>
          <t>Yes</t>
        </is>
      </c>
      <c r="L2899" s="1" t="inlineStr">
        <is>
          <t>No</t>
        </is>
      </c>
      <c r="M2899" s="1" t="inlineStr">
        <is>
          <t>No</t>
        </is>
      </c>
      <c r="N2899" s="1" t="inlineStr">
        <is>
          <t>Algorithms</t>
        </is>
      </c>
      <c r="O28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899" s="13" t="inlineStr">
        <is>
          <t>Done</t>
        </is>
      </c>
    </row>
    <row r="2900" ht="15.75" customHeight="1" s="12">
      <c r="A2900" s="1" t="n">
        <v>3065</v>
      </c>
      <c r="B2900" s="3">
        <f>HYPERLINK("https://leetcode.com/problems/minimum-operations-to-exceed-threshold-value-i/", "Minimum Operations to Exceed Threshold Value I")</f>
        <v/>
      </c>
      <c r="C2900" s="1" t="n">
        <v>174</v>
      </c>
      <c r="D2900" s="1" t="n">
        <v>17</v>
      </c>
      <c r="E2900" s="4">
        <f>IF(INDEX(C:C, ROW())+INDEX(D:D, ROW())=0, 0, INDEX(C:C, ROW())/(INDEX(C:C, ROW())+INDEX(D:D, ROW())))</f>
        <v/>
      </c>
      <c r="F2900" s="1" t="inlineStr">
        <is>
          <t>Array</t>
        </is>
      </c>
      <c r="G2900" s="1" t="inlineStr">
        <is>
          <t>Easy</t>
        </is>
      </c>
      <c r="H2900" s="1" t="n">
        <v>106358</v>
      </c>
      <c r="I2900" s="1" t="n">
        <v>122614</v>
      </c>
      <c r="J2900" s="9" t="n">
        <v>0.867</v>
      </c>
      <c r="K2900" s="1" t="inlineStr">
        <is>
          <t>Yes</t>
        </is>
      </c>
      <c r="L2900" s="1" t="inlineStr">
        <is>
          <t>No</t>
        </is>
      </c>
      <c r="M2900" s="1" t="inlineStr">
        <is>
          <t>No</t>
        </is>
      </c>
      <c r="N2900" s="1" t="inlineStr">
        <is>
          <t>Algorithms</t>
        </is>
      </c>
      <c r="O29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00" s="13" t="inlineStr">
        <is>
          <t>Done</t>
        </is>
      </c>
    </row>
    <row r="2901" ht="15.75" customHeight="1" s="12">
      <c r="A2901" s="1" t="n">
        <v>1183</v>
      </c>
      <c r="B2901" s="3">
        <f>HYPERLINK("https://leetcode.com/problems/maximum-number-of-ones/", "Maximum Number of Ones")</f>
        <v/>
      </c>
      <c r="C2901" s="1" t="n">
        <v>173</v>
      </c>
      <c r="D2901" s="1" t="n">
        <v>36</v>
      </c>
      <c r="E2901" s="4">
        <f>IF(INDEX(C:C, ROW())+INDEX(D:D, ROW())=0, 0, INDEX(C:C, ROW())/(INDEX(C:C, ROW())+INDEX(D:D, ROW())))</f>
        <v/>
      </c>
      <c r="F2901" s="1" t="inlineStr">
        <is>
          <t>Math, Greedy, Sorting, Heap (Priority Queue)</t>
        </is>
      </c>
      <c r="G2901" s="1" t="inlineStr">
        <is>
          <t>Hard</t>
        </is>
      </c>
      <c r="H2901" s="1" t="n">
        <v>7758</v>
      </c>
      <c r="I2901" s="1" t="n">
        <v>10992</v>
      </c>
      <c r="J2901" s="9" t="n">
        <v>0.706</v>
      </c>
      <c r="K2901" s="1" t="inlineStr">
        <is>
          <t>No</t>
        </is>
      </c>
      <c r="L2901" s="1" t="inlineStr">
        <is>
          <t>Yes</t>
        </is>
      </c>
      <c r="M2901" s="1" t="inlineStr">
        <is>
          <t>No</t>
        </is>
      </c>
      <c r="N2901" s="1" t="inlineStr">
        <is>
          <t>Algorithms</t>
        </is>
      </c>
      <c r="O29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01" s="11" t="inlineStr">
        <is>
          <t>To Do</t>
        </is>
      </c>
    </row>
    <row r="2902" ht="15.75" customHeight="1" s="12">
      <c r="A2902" s="1" t="n">
        <v>2021</v>
      </c>
      <c r="B2902" s="3">
        <f>HYPERLINK("https://leetcode.com/problems/brightest-position-on-street/", "Brightest Position on Street")</f>
        <v/>
      </c>
      <c r="C2902" s="1" t="n">
        <v>173</v>
      </c>
      <c r="D2902" s="1" t="n">
        <v>5</v>
      </c>
      <c r="E2902" s="4">
        <f>IF(INDEX(C:C, ROW())+INDEX(D:D, ROW())=0, 0, INDEX(C:C, ROW())/(INDEX(C:C, ROW())+INDEX(D:D, ROW())))</f>
        <v/>
      </c>
      <c r="F2902" s="1" t="inlineStr">
        <is>
          <t>Array, Sorting, Prefix Sum, Ordered Set</t>
        </is>
      </c>
      <c r="G2902" s="1" t="inlineStr">
        <is>
          <t>Medium</t>
        </is>
      </c>
      <c r="H2902" s="1" t="n">
        <v>17157</v>
      </c>
      <c r="I2902" s="1" t="n">
        <v>28297</v>
      </c>
      <c r="J2902" s="9" t="n">
        <v>0.606</v>
      </c>
      <c r="K2902" s="1" t="inlineStr">
        <is>
          <t>No</t>
        </is>
      </c>
      <c r="L2902" s="1" t="inlineStr">
        <is>
          <t>No</t>
        </is>
      </c>
      <c r="M2902" s="1" t="inlineStr">
        <is>
          <t>No</t>
        </is>
      </c>
      <c r="N2902" s="1" t="inlineStr">
        <is>
          <t>Algorithms</t>
        </is>
      </c>
      <c r="O29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02" s="11" t="inlineStr">
        <is>
          <t>To Do</t>
        </is>
      </c>
    </row>
    <row r="2903" ht="15.75" customHeight="1" s="12">
      <c r="A2903" s="1" t="n">
        <v>2297</v>
      </c>
      <c r="B2903" s="3">
        <f>HYPERLINK("https://leetcode.com/problems/jump-game-viii/", "Jump Game VIII")</f>
        <v/>
      </c>
      <c r="C2903" s="1" t="n">
        <v>173</v>
      </c>
      <c r="D2903" s="1" t="n">
        <v>49</v>
      </c>
      <c r="E2903" s="4">
        <f>IF(INDEX(C:C, ROW())+INDEX(D:D, ROW())=0, 0, INDEX(C:C, ROW())/(INDEX(C:C, ROW())+INDEX(D:D, ROW())))</f>
        <v/>
      </c>
      <c r="F2903" s="1" t="inlineStr">
        <is>
          <t>Array, Dynamic Programming, Stack, Graph Theory, Monotonic Stack, Shortest Path</t>
        </is>
      </c>
      <c r="G2903" s="1" t="inlineStr">
        <is>
          <t>Medium</t>
        </is>
      </c>
      <c r="H2903" s="1" t="n">
        <v>8010</v>
      </c>
      <c r="I2903" s="1" t="n">
        <v>17536</v>
      </c>
      <c r="J2903" s="9" t="n">
        <v>0.457</v>
      </c>
      <c r="K2903" s="1" t="inlineStr">
        <is>
          <t>No</t>
        </is>
      </c>
      <c r="L2903" s="1" t="inlineStr">
        <is>
          <t>No</t>
        </is>
      </c>
      <c r="M2903" s="1" t="inlineStr">
        <is>
          <t>No</t>
        </is>
      </c>
      <c r="N2903" s="1" t="inlineStr">
        <is>
          <t>Algorithms</t>
        </is>
      </c>
      <c r="O29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03" s="11" t="inlineStr">
        <is>
          <t>To Do</t>
        </is>
      </c>
    </row>
    <row r="2904" ht="15.75" customHeight="1" s="12">
      <c r="A2904" s="1" t="n">
        <v>3028</v>
      </c>
      <c r="B2904" s="3">
        <f>HYPERLINK("https://leetcode.com/problems/ant-on-the-boundary/", "Ant on the Boundary")</f>
        <v/>
      </c>
      <c r="C2904" s="1" t="n">
        <v>173</v>
      </c>
      <c r="D2904" s="1" t="n">
        <v>55</v>
      </c>
      <c r="E2904" s="4">
        <f>IF(INDEX(C:C, ROW())+INDEX(D:D, ROW())=0, 0, INDEX(C:C, ROW())/(INDEX(C:C, ROW())+INDEX(D:D, ROW())))</f>
        <v/>
      </c>
      <c r="F2904" s="1" t="inlineStr">
        <is>
          <t>Array, Simulation, Prefix Sum</t>
        </is>
      </c>
      <c r="G2904" s="1" t="inlineStr">
        <is>
          <t>Easy</t>
        </is>
      </c>
      <c r="H2904" s="1" t="n">
        <v>75867</v>
      </c>
      <c r="I2904" s="1" t="n">
        <v>101963</v>
      </c>
      <c r="J2904" s="9" t="n">
        <v>0.744</v>
      </c>
      <c r="K2904" s="1" t="inlineStr">
        <is>
          <t>Yes</t>
        </is>
      </c>
      <c r="L2904" s="1" t="inlineStr">
        <is>
          <t>No</t>
        </is>
      </c>
      <c r="M2904" s="1" t="inlineStr">
        <is>
          <t>No</t>
        </is>
      </c>
      <c r="N2904" s="1" t="inlineStr">
        <is>
          <t>Algorithms</t>
        </is>
      </c>
      <c r="O29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04" s="13" t="inlineStr">
        <is>
          <t>Done</t>
        </is>
      </c>
    </row>
    <row r="2905" ht="15.75" customHeight="1" s="12">
      <c r="A2905" s="1" t="n">
        <v>3076</v>
      </c>
      <c r="B2905" s="3">
        <f>HYPERLINK("https://leetcode.com/problems/shortest-uncommon-substring-in-an-array/", "Shortest Uncommon Substring in an Array")</f>
        <v/>
      </c>
      <c r="C2905" s="1" t="n">
        <v>173</v>
      </c>
      <c r="D2905" s="1" t="n">
        <v>32</v>
      </c>
      <c r="E2905" s="4">
        <f>IF(INDEX(C:C, ROW())+INDEX(D:D, ROW())=0, 0, INDEX(C:C, ROW())/(INDEX(C:C, ROW())+INDEX(D:D, ROW())))</f>
        <v/>
      </c>
      <c r="F2905" s="1" t="inlineStr">
        <is>
          <t>Array, Hash Table, String, Trie</t>
        </is>
      </c>
      <c r="G2905" s="1" t="inlineStr">
        <is>
          <t>Medium</t>
        </is>
      </c>
      <c r="H2905" s="1" t="n">
        <v>36835</v>
      </c>
      <c r="I2905" s="1" t="n">
        <v>72967</v>
      </c>
      <c r="J2905" s="9" t="n">
        <v>0.505</v>
      </c>
      <c r="K2905" s="1" t="inlineStr">
        <is>
          <t>Yes</t>
        </is>
      </c>
      <c r="L2905" s="1" t="inlineStr">
        <is>
          <t>No</t>
        </is>
      </c>
      <c r="M2905" s="1" t="inlineStr">
        <is>
          <t>No</t>
        </is>
      </c>
      <c r="N2905" s="1" t="inlineStr">
        <is>
          <t>Algorithms</t>
        </is>
      </c>
      <c r="O29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05" s="11" t="inlineStr">
        <is>
          <t>To Do</t>
        </is>
      </c>
    </row>
    <row r="2906" ht="15.75" customHeight="1" s="12">
      <c r="A2906" s="1" t="n">
        <v>3131</v>
      </c>
      <c r="B2906" s="3">
        <f>HYPERLINK("https://leetcode.com/problems/find-the-integer-added-to-array-i/", "Find the Integer Added to Array I")</f>
        <v/>
      </c>
      <c r="C2906" s="1" t="n">
        <v>173</v>
      </c>
      <c r="D2906" s="1" t="n">
        <v>12</v>
      </c>
      <c r="E2906" s="4">
        <f>IF(INDEX(C:C, ROW())+INDEX(D:D, ROW())=0, 0, INDEX(C:C, ROW())/(INDEX(C:C, ROW())+INDEX(D:D, ROW())))</f>
        <v/>
      </c>
      <c r="F2906" s="1" t="inlineStr">
        <is>
          <t>Array</t>
        </is>
      </c>
      <c r="G2906" s="1" t="inlineStr">
        <is>
          <t>Easy</t>
        </is>
      </c>
      <c r="H2906" s="1" t="n">
        <v>83751</v>
      </c>
      <c r="I2906" s="1" t="n">
        <v>101059</v>
      </c>
      <c r="J2906" s="9" t="n">
        <v>0.829</v>
      </c>
      <c r="K2906" s="1" t="inlineStr">
        <is>
          <t>Yes</t>
        </is>
      </c>
      <c r="L2906" s="1" t="inlineStr">
        <is>
          <t>No</t>
        </is>
      </c>
      <c r="M2906" s="1" t="inlineStr">
        <is>
          <t>No</t>
        </is>
      </c>
      <c r="N2906" s="1" t="inlineStr">
        <is>
          <t>Algorithms</t>
        </is>
      </c>
      <c r="O29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06" s="13" t="inlineStr">
        <is>
          <t>Done</t>
        </is>
      </c>
    </row>
    <row r="2907" ht="15.75" customHeight="1" s="12">
      <c r="A2907" s="1" t="n">
        <v>3206</v>
      </c>
      <c r="B2907" s="3">
        <f>HYPERLINK("https://leetcode.com/problems/alternating-groups-i/", "Alternating Groups I")</f>
        <v/>
      </c>
      <c r="C2907" s="1" t="n">
        <v>173</v>
      </c>
      <c r="D2907" s="1" t="n">
        <v>10</v>
      </c>
      <c r="E2907" s="4">
        <f>IF(INDEX(C:C, ROW())+INDEX(D:D, ROW())=0, 0, INDEX(C:C, ROW())/(INDEX(C:C, ROW())+INDEX(D:D, ROW())))</f>
        <v/>
      </c>
      <c r="F2907" s="1" t="inlineStr">
        <is>
          <t>Array, Sliding Window</t>
        </is>
      </c>
      <c r="G2907" s="1" t="inlineStr">
        <is>
          <t>Easy</t>
        </is>
      </c>
      <c r="H2907" s="1" t="n">
        <v>74763</v>
      </c>
      <c r="I2907" s="1" t="n">
        <v>108323</v>
      </c>
      <c r="J2907" s="9" t="n">
        <v>0.6899999999999999</v>
      </c>
      <c r="K2907" s="1" t="inlineStr">
        <is>
          <t>Yes</t>
        </is>
      </c>
      <c r="L2907" s="1" t="inlineStr">
        <is>
          <t>No</t>
        </is>
      </c>
      <c r="M2907" s="1" t="inlineStr">
        <is>
          <t>No</t>
        </is>
      </c>
      <c r="N2907" s="1" t="inlineStr">
        <is>
          <t>Algorithms</t>
        </is>
      </c>
      <c r="O29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07" s="13" t="inlineStr">
        <is>
          <t>Done</t>
        </is>
      </c>
    </row>
    <row r="2908" ht="15.75" customHeight="1" s="12">
      <c r="A2908" s="1" t="n">
        <v>3209</v>
      </c>
      <c r="B2908" s="3">
        <f>HYPERLINK("https://leetcode.com/problems/number-of-subarrays-with-and-value-of-k/", "Number of Subarrays With AND Value of K")</f>
        <v/>
      </c>
      <c r="C2908" s="1" t="n">
        <v>173</v>
      </c>
      <c r="D2908" s="1" t="n">
        <v>8</v>
      </c>
      <c r="E2908" s="4">
        <f>IF(INDEX(C:C, ROW())+INDEX(D:D, ROW())=0, 0, INDEX(C:C, ROW())/(INDEX(C:C, ROW())+INDEX(D:D, ROW())))</f>
        <v/>
      </c>
      <c r="F2908" s="1" t="inlineStr">
        <is>
          <t>Array, Binary Search, Bit Manipulation, Segment Tree</t>
        </is>
      </c>
      <c r="G2908" s="1" t="inlineStr">
        <is>
          <t>Hard</t>
        </is>
      </c>
      <c r="H2908" s="1" t="n">
        <v>14014</v>
      </c>
      <c r="I2908" s="1" t="n">
        <v>39753</v>
      </c>
      <c r="J2908" s="9" t="n">
        <v>0.353</v>
      </c>
      <c r="K2908" s="1" t="inlineStr">
        <is>
          <t>Yes</t>
        </is>
      </c>
      <c r="L2908" s="1" t="inlineStr">
        <is>
          <t>No</t>
        </is>
      </c>
      <c r="M2908" s="1" t="inlineStr">
        <is>
          <t>No</t>
        </is>
      </c>
      <c r="N2908" s="1" t="inlineStr">
        <is>
          <t>Algorithms</t>
        </is>
      </c>
      <c r="O29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08" s="11" t="inlineStr">
        <is>
          <t>To Do</t>
        </is>
      </c>
    </row>
    <row r="2909" ht="15.75" customHeight="1" s="12">
      <c r="A2909" s="1" t="n">
        <v>3213</v>
      </c>
      <c r="B2909" s="3">
        <f>HYPERLINK("https://leetcode.com/problems/construct-string-with-minimum-cost/", "Construct String with Minimum Cost")</f>
        <v/>
      </c>
      <c r="C2909" s="1" t="n">
        <v>173</v>
      </c>
      <c r="D2909" s="1" t="n">
        <v>31</v>
      </c>
      <c r="E2909" s="4">
        <f>IF(INDEX(C:C, ROW())+INDEX(D:D, ROW())=0, 0, INDEX(C:C, ROW())/(INDEX(C:C, ROW())+INDEX(D:D, ROW())))</f>
        <v/>
      </c>
      <c r="F2909" s="1" t="inlineStr">
        <is>
          <t>Array, String, Dynamic Programming, Suffix Array</t>
        </is>
      </c>
      <c r="G2909" s="1" t="inlineStr">
        <is>
          <t>Hard</t>
        </is>
      </c>
      <c r="H2909" s="1" t="n">
        <v>13178</v>
      </c>
      <c r="I2909" s="1" t="n">
        <v>69457</v>
      </c>
      <c r="J2909" s="9" t="n">
        <v>0.19</v>
      </c>
      <c r="K2909" s="1" t="inlineStr">
        <is>
          <t>Yes</t>
        </is>
      </c>
      <c r="L2909" s="1" t="inlineStr">
        <is>
          <t>No</t>
        </is>
      </c>
      <c r="M2909" s="1" t="inlineStr">
        <is>
          <t>No</t>
        </is>
      </c>
      <c r="N2909" s="1" t="inlineStr">
        <is>
          <t>Algorithms</t>
        </is>
      </c>
      <c r="O29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09" s="11" t="inlineStr">
        <is>
          <t>To Do</t>
        </is>
      </c>
    </row>
    <row r="2910" ht="15.75" customHeight="1" s="12">
      <c r="A2910" s="1" t="n">
        <v>3366</v>
      </c>
      <c r="B2910" s="3">
        <f>HYPERLINK("https://leetcode.com/problems/minimum-array-sum/", "Minimum Array Sum")</f>
        <v/>
      </c>
      <c r="C2910" s="1" t="n">
        <v>173</v>
      </c>
      <c r="D2910" s="1" t="n">
        <v>17</v>
      </c>
      <c r="E2910" s="4">
        <f>IF(INDEX(C:C, ROW())+INDEX(D:D, ROW())=0, 0, INDEX(C:C, ROW())/(INDEX(C:C, ROW())+INDEX(D:D, ROW())))</f>
        <v/>
      </c>
      <c r="F2910" s="1" t="inlineStr">
        <is>
          <t>Array, Dynamic Programming</t>
        </is>
      </c>
      <c r="G2910" s="1" t="inlineStr">
        <is>
          <t>Medium</t>
        </is>
      </c>
      <c r="H2910" s="1" t="n">
        <v>17000</v>
      </c>
      <c r="I2910" s="1" t="n">
        <v>54235</v>
      </c>
      <c r="J2910" s="9" t="n">
        <v>0.313</v>
      </c>
      <c r="K2910" s="1" t="inlineStr">
        <is>
          <t>Yes</t>
        </is>
      </c>
      <c r="L2910" s="1" t="inlineStr">
        <is>
          <t>No</t>
        </is>
      </c>
      <c r="M2910" s="1" t="inlineStr">
        <is>
          <t>No</t>
        </is>
      </c>
      <c r="N2910" s="1" t="inlineStr">
        <is>
          <t>Algorithms</t>
        </is>
      </c>
      <c r="O29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10" s="11" t="inlineStr">
        <is>
          <t>To Do</t>
        </is>
      </c>
    </row>
    <row r="2911" ht="15.75" customHeight="1" s="12">
      <c r="A2911" s="1" t="n">
        <v>3728</v>
      </c>
      <c r="B2911" s="3">
        <f>HYPERLINK("https://leetcode.com/problems/stable-subarrays-with-equal-boundary-and-interior-sum/", "Stable Subarrays With Equal Boundary and Interior Sum")</f>
        <v/>
      </c>
      <c r="C2911" s="1" t="n">
        <v>173</v>
      </c>
      <c r="D2911" s="1" t="n">
        <v>3</v>
      </c>
      <c r="E2911" s="4">
        <f>IF(INDEX(C:C, ROW())+INDEX(D:D, ROW())=0, 0, INDEX(C:C, ROW())/(INDEX(C:C, ROW())+INDEX(D:D, ROW())))</f>
        <v/>
      </c>
      <c r="F2911" s="1" t="inlineStr">
        <is>
          <t>Array, Hash Table, Prefix Sum</t>
        </is>
      </c>
      <c r="G2911" s="1" t="inlineStr">
        <is>
          <t>Medium</t>
        </is>
      </c>
      <c r="H2911" s="1" t="n">
        <v>16159</v>
      </c>
      <c r="I2911" s="1" t="n">
        <v>61678</v>
      </c>
      <c r="J2911" s="9" t="n">
        <v>0.262</v>
      </c>
      <c r="K2911" s="1" t="inlineStr">
        <is>
          <t>Yes</t>
        </is>
      </c>
      <c r="L2911" s="1" t="inlineStr">
        <is>
          <t>No</t>
        </is>
      </c>
      <c r="M2911" s="1" t="inlineStr">
        <is>
          <t>No</t>
        </is>
      </c>
      <c r="N2911" s="1" t="inlineStr">
        <is>
          <t>Algorithms</t>
        </is>
      </c>
      <c r="O29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11" s="11" t="inlineStr">
        <is>
          <t>To Do</t>
        </is>
      </c>
    </row>
    <row r="2912" ht="15.75" customHeight="1" s="12">
      <c r="A2912" s="1" t="n">
        <v>1132</v>
      </c>
      <c r="B2912" s="3">
        <f>HYPERLINK("https://leetcode.com/problems/reported-posts-ii/", "Reported Posts II")</f>
        <v/>
      </c>
      <c r="C2912" s="1" t="n">
        <v>172</v>
      </c>
      <c r="D2912" s="1" t="n">
        <v>579</v>
      </c>
      <c r="E2912" s="4">
        <f>IF(INDEX(C:C, ROW())+INDEX(D:D, ROW())=0, 0, INDEX(C:C, ROW())/(INDEX(C:C, ROW())+INDEX(D:D, ROW())))</f>
        <v/>
      </c>
      <c r="F2912" s="1" t="inlineStr">
        <is>
          <t>Database</t>
        </is>
      </c>
      <c r="G2912" s="1" t="inlineStr">
        <is>
          <t>Medium</t>
        </is>
      </c>
      <c r="H2912" s="1" t="n">
        <v>45171</v>
      </c>
      <c r="I2912" s="1" t="n">
        <v>141034</v>
      </c>
      <c r="J2912" s="9" t="n">
        <v>0.32</v>
      </c>
      <c r="K2912" s="1" t="inlineStr">
        <is>
          <t>No</t>
        </is>
      </c>
      <c r="L2912" s="1" t="inlineStr">
        <is>
          <t>Yes</t>
        </is>
      </c>
      <c r="M2912" s="1" t="inlineStr">
        <is>
          <t>No</t>
        </is>
      </c>
      <c r="N2912" s="1" t="inlineStr">
        <is>
          <t>Database</t>
        </is>
      </c>
      <c r="O29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12" s="11" t="inlineStr">
        <is>
          <t>To Do</t>
        </is>
      </c>
    </row>
    <row r="2913" ht="15.75" customHeight="1" s="12">
      <c r="A2913" s="1" t="n">
        <v>3091</v>
      </c>
      <c r="B2913" s="3">
        <f>HYPERLINK("https://leetcode.com/problems/apply-operations-to-make-sum-of-array-greater-than-or-equal-to-k/", "Apply Operations to Make Sum of Array Greater Than or Equal to k")</f>
        <v/>
      </c>
      <c r="C2913" s="1" t="n">
        <v>172</v>
      </c>
      <c r="D2913" s="1" t="n">
        <v>19</v>
      </c>
      <c r="E2913" s="4">
        <f>IF(INDEX(C:C, ROW())+INDEX(D:D, ROW())=0, 0, INDEX(C:C, ROW())/(INDEX(C:C, ROW())+INDEX(D:D, ROW())))</f>
        <v/>
      </c>
      <c r="F2913" s="1" t="inlineStr">
        <is>
          <t>Math, Greedy, Enumeration</t>
        </is>
      </c>
      <c r="G2913" s="1" t="inlineStr">
        <is>
          <t>Medium</t>
        </is>
      </c>
      <c r="H2913" s="1" t="n">
        <v>32729</v>
      </c>
      <c r="I2913" s="1" t="n">
        <v>73826</v>
      </c>
      <c r="J2913" s="9" t="n">
        <v>0.443</v>
      </c>
      <c r="K2913" s="1" t="inlineStr">
        <is>
          <t>Yes</t>
        </is>
      </c>
      <c r="L2913" s="1" t="inlineStr">
        <is>
          <t>No</t>
        </is>
      </c>
      <c r="M2913" s="1" t="inlineStr">
        <is>
          <t>No</t>
        </is>
      </c>
      <c r="N2913" s="1" t="inlineStr">
        <is>
          <t>Algorithms</t>
        </is>
      </c>
      <c r="O29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13" s="11" t="inlineStr">
        <is>
          <t>To Do</t>
        </is>
      </c>
    </row>
    <row r="2914" ht="15.75" customHeight="1" s="12">
      <c r="A2914" s="1" t="n">
        <v>3162</v>
      </c>
      <c r="B2914" s="3">
        <f>HYPERLINK("https://leetcode.com/problems/find-the-number-of-good-pairs-i/", "Find the Number of Good Pairs I")</f>
        <v/>
      </c>
      <c r="C2914" s="1" t="n">
        <v>172</v>
      </c>
      <c r="D2914" s="1" t="n">
        <v>16</v>
      </c>
      <c r="E2914" s="4">
        <f>IF(INDEX(C:C, ROW())+INDEX(D:D, ROW())=0, 0, INDEX(C:C, ROW())/(INDEX(C:C, ROW())+INDEX(D:D, ROW())))</f>
        <v/>
      </c>
      <c r="F2914" s="1" t="inlineStr">
        <is>
          <t>Array, Hash Table</t>
        </is>
      </c>
      <c r="G2914" s="1" t="inlineStr">
        <is>
          <t>Easy</t>
        </is>
      </c>
      <c r="H2914" s="1" t="n">
        <v>97530</v>
      </c>
      <c r="I2914" s="1" t="n">
        <v>112875</v>
      </c>
      <c r="J2914" s="9" t="n">
        <v>0.864</v>
      </c>
      <c r="K2914" s="1" t="inlineStr">
        <is>
          <t>Yes</t>
        </is>
      </c>
      <c r="L2914" s="1" t="inlineStr">
        <is>
          <t>No</t>
        </is>
      </c>
      <c r="M2914" s="1" t="inlineStr">
        <is>
          <t>No</t>
        </is>
      </c>
      <c r="N2914" s="1" t="inlineStr">
        <is>
          <t>Algorithms</t>
        </is>
      </c>
      <c r="O29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14" s="13" t="inlineStr">
        <is>
          <t>Done</t>
        </is>
      </c>
    </row>
    <row r="2915" ht="15.75" customHeight="1" s="12">
      <c r="A2915" s="1" t="n">
        <v>3592</v>
      </c>
      <c r="B2915" s="3">
        <f>HYPERLINK("https://leetcode.com/problems/inverse-coin-change/", "Inverse Coin Change")</f>
        <v/>
      </c>
      <c r="C2915" s="1" t="n">
        <v>172</v>
      </c>
      <c r="D2915" s="1" t="n">
        <v>20</v>
      </c>
      <c r="E2915" s="4">
        <f>IF(INDEX(C:C, ROW())+INDEX(D:D, ROW())=0, 0, INDEX(C:C, ROW())/(INDEX(C:C, ROW())+INDEX(D:D, ROW())))</f>
        <v/>
      </c>
      <c r="F2915" s="1" t="inlineStr">
        <is>
          <t>Array, Dynamic Programming</t>
        </is>
      </c>
      <c r="G2915" s="1" t="inlineStr">
        <is>
          <t>Medium</t>
        </is>
      </c>
      <c r="H2915" s="1" t="n">
        <v>22136</v>
      </c>
      <c r="I2915" s="1" t="n">
        <v>42572</v>
      </c>
      <c r="J2915" s="9" t="n">
        <v>0.52</v>
      </c>
      <c r="K2915" s="1" t="inlineStr">
        <is>
          <t>Yes</t>
        </is>
      </c>
      <c r="L2915" s="1" t="inlineStr">
        <is>
          <t>No</t>
        </is>
      </c>
      <c r="M2915" s="1" t="inlineStr">
        <is>
          <t>No</t>
        </is>
      </c>
      <c r="N2915" s="1" t="inlineStr">
        <is>
          <t>Algorithms</t>
        </is>
      </c>
      <c r="O29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15" s="11" t="inlineStr">
        <is>
          <t>To Do</t>
        </is>
      </c>
    </row>
    <row r="2916" ht="15.75" customHeight="1" s="12">
      <c r="A2916" s="1" t="n">
        <v>2676</v>
      </c>
      <c r="B2916" s="3">
        <f>HYPERLINK("https://leetcode.com/problems/throttle/", "Throttle")</f>
        <v/>
      </c>
      <c r="C2916" s="1" t="n">
        <v>171</v>
      </c>
      <c r="D2916" s="1" t="n">
        <v>30</v>
      </c>
      <c r="E2916" s="4">
        <f>IF(INDEX(C:C, ROW())+INDEX(D:D, ROW())=0, 0, INDEX(C:C, ROW())/(INDEX(C:C, ROW())+INDEX(D:D, ROW())))</f>
        <v/>
      </c>
      <c r="F2916" s="2" t="n"/>
      <c r="G2916" s="1" t="inlineStr">
        <is>
          <t>Medium</t>
        </is>
      </c>
      <c r="H2916" s="1" t="n">
        <v>11651</v>
      </c>
      <c r="I2916" s="1" t="n">
        <v>13962</v>
      </c>
      <c r="J2916" s="9" t="n">
        <v>0.834</v>
      </c>
      <c r="K2916" s="1" t="inlineStr">
        <is>
          <t>No</t>
        </is>
      </c>
      <c r="L2916" s="1" t="inlineStr">
        <is>
          <t>Yes</t>
        </is>
      </c>
      <c r="M2916" s="1" t="inlineStr">
        <is>
          <t>No</t>
        </is>
      </c>
      <c r="N2916" s="1" t="inlineStr">
        <is>
          <t>JavaScript</t>
        </is>
      </c>
      <c r="O29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16" s="11" t="inlineStr">
        <is>
          <t>To Do</t>
        </is>
      </c>
    </row>
    <row r="2917" ht="15.75" customHeight="1" s="12">
      <c r="A2917" s="1" t="n">
        <v>3036</v>
      </c>
      <c r="B2917" s="3">
        <f>HYPERLINK("https://leetcode.com/problems/number-of-subarrays-that-match-a-pattern-ii/", "Number of Subarrays That Match a Pattern II")</f>
        <v/>
      </c>
      <c r="C2917" s="1" t="n">
        <v>170</v>
      </c>
      <c r="D2917" s="1" t="n">
        <v>6</v>
      </c>
      <c r="E2917" s="4">
        <f>IF(INDEX(C:C, ROW())+INDEX(D:D, ROW())=0, 0, INDEX(C:C, ROW())/(INDEX(C:C, ROW())+INDEX(D:D, ROW())))</f>
        <v/>
      </c>
      <c r="F2917" s="1" t="inlineStr">
        <is>
          <t>Array, Rolling Hash, String Matching, Hash Function</t>
        </is>
      </c>
      <c r="G2917" s="1" t="inlineStr">
        <is>
          <t>Hard</t>
        </is>
      </c>
      <c r="H2917" s="1" t="n">
        <v>14252</v>
      </c>
      <c r="I2917" s="1" t="n">
        <v>42366</v>
      </c>
      <c r="J2917" s="9" t="n">
        <v>0.336</v>
      </c>
      <c r="K2917" s="1" t="inlineStr">
        <is>
          <t>Yes</t>
        </is>
      </c>
      <c r="L2917" s="1" t="inlineStr">
        <is>
          <t>No</t>
        </is>
      </c>
      <c r="M2917" s="1" t="inlineStr">
        <is>
          <t>No</t>
        </is>
      </c>
      <c r="N2917" s="1" t="inlineStr">
        <is>
          <t>Algorithms</t>
        </is>
      </c>
      <c r="O29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17" s="11" t="inlineStr">
        <is>
          <t>To Do</t>
        </is>
      </c>
    </row>
    <row r="2918" ht="15.75" customHeight="1" s="12">
      <c r="A2918" s="1" t="n">
        <v>3176</v>
      </c>
      <c r="B2918" s="3">
        <f>HYPERLINK("https://leetcode.com/problems/find-the-maximum-length-of-a-good-subsequence-i/", "Find the Maximum Length of a Good Subsequence I")</f>
        <v/>
      </c>
      <c r="C2918" s="1" t="n">
        <v>170</v>
      </c>
      <c r="D2918" s="1" t="n">
        <v>98</v>
      </c>
      <c r="E2918" s="4">
        <f>IF(INDEX(C:C, ROW())+INDEX(D:D, ROW())=0, 0, INDEX(C:C, ROW())/(INDEX(C:C, ROW())+INDEX(D:D, ROW())))</f>
        <v/>
      </c>
      <c r="F2918" s="1" t="inlineStr">
        <is>
          <t>Array, Hash Table, Dynamic Programming</t>
        </is>
      </c>
      <c r="G2918" s="1" t="inlineStr">
        <is>
          <t>Medium</t>
        </is>
      </c>
      <c r="H2918" s="1" t="n">
        <v>23689</v>
      </c>
      <c r="I2918" s="1" t="n">
        <v>72369</v>
      </c>
      <c r="J2918" s="9" t="n">
        <v>0.327</v>
      </c>
      <c r="K2918" s="1" t="inlineStr">
        <is>
          <t>Yes</t>
        </is>
      </c>
      <c r="L2918" s="1" t="inlineStr">
        <is>
          <t>No</t>
        </is>
      </c>
      <c r="M2918" s="1" t="inlineStr">
        <is>
          <t>No</t>
        </is>
      </c>
      <c r="N2918" s="1" t="inlineStr">
        <is>
          <t>Algorithms</t>
        </is>
      </c>
      <c r="O29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18" s="11" t="inlineStr">
        <is>
          <t>To Do</t>
        </is>
      </c>
    </row>
    <row r="2919" ht="15.75" customHeight="1" s="12">
      <c r="A2919" s="1" t="n">
        <v>614</v>
      </c>
      <c r="B2919" s="3">
        <f>HYPERLINK("https://leetcode.com/problems/second-degree-follower/", "Second Degree Follower")</f>
        <v/>
      </c>
      <c r="C2919" s="1" t="n">
        <v>169</v>
      </c>
      <c r="D2919" s="1" t="n">
        <v>745</v>
      </c>
      <c r="E2919" s="4">
        <f>IF(INDEX(C:C, ROW())+INDEX(D:D, ROW())=0, 0, INDEX(C:C, ROW())/(INDEX(C:C, ROW())+INDEX(D:D, ROW())))</f>
        <v/>
      </c>
      <c r="F2919" s="1" t="inlineStr">
        <is>
          <t>Database</t>
        </is>
      </c>
      <c r="G2919" s="1" t="inlineStr">
        <is>
          <t>Medium</t>
        </is>
      </c>
      <c r="H2919" s="1" t="n">
        <v>63770</v>
      </c>
      <c r="I2919" s="1" t="n">
        <v>156189</v>
      </c>
      <c r="J2919" s="9" t="n">
        <v>0.408</v>
      </c>
      <c r="K2919" s="1" t="inlineStr">
        <is>
          <t>No</t>
        </is>
      </c>
      <c r="L2919" s="1" t="inlineStr">
        <is>
          <t>No</t>
        </is>
      </c>
      <c r="M2919" s="1" t="inlineStr">
        <is>
          <t>No</t>
        </is>
      </c>
      <c r="N2919" s="1" t="inlineStr">
        <is>
          <t>Database</t>
        </is>
      </c>
      <c r="O29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19" s="11" t="inlineStr">
        <is>
          <t>To Do</t>
        </is>
      </c>
    </row>
    <row r="2920" ht="15.75" customHeight="1" s="12">
      <c r="A2920" s="1" t="n">
        <v>1369</v>
      </c>
      <c r="B2920" s="3">
        <f>HYPERLINK("https://leetcode.com/problems/get-the-second-most-recent-activity/", "Get the Second Most Recent Activity")</f>
        <v/>
      </c>
      <c r="C2920" s="1" t="n">
        <v>169</v>
      </c>
      <c r="D2920" s="1" t="n">
        <v>13</v>
      </c>
      <c r="E2920" s="4">
        <f>IF(INDEX(C:C, ROW())+INDEX(D:D, ROW())=0, 0, INDEX(C:C, ROW())/(INDEX(C:C, ROW())+INDEX(D:D, ROW())))</f>
        <v/>
      </c>
      <c r="F2920" s="1" t="inlineStr">
        <is>
          <t>Database</t>
        </is>
      </c>
      <c r="G2920" s="1" t="inlineStr">
        <is>
          <t>Hard</t>
        </is>
      </c>
      <c r="H2920" s="1" t="n">
        <v>26472</v>
      </c>
      <c r="I2920" s="1" t="n">
        <v>39336</v>
      </c>
      <c r="J2920" s="9" t="n">
        <v>0.673</v>
      </c>
      <c r="K2920" s="1" t="inlineStr">
        <is>
          <t>No</t>
        </is>
      </c>
      <c r="L2920" s="1" t="inlineStr">
        <is>
          <t>No</t>
        </is>
      </c>
      <c r="M2920" s="1" t="inlineStr">
        <is>
          <t>No</t>
        </is>
      </c>
      <c r="N2920" s="1" t="inlineStr">
        <is>
          <t>Database</t>
        </is>
      </c>
      <c r="O29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20" s="11" t="inlineStr">
        <is>
          <t>To Do</t>
        </is>
      </c>
    </row>
    <row r="2921" ht="15.75" customHeight="1" s="12">
      <c r="A2921" s="1" t="n">
        <v>1426</v>
      </c>
      <c r="B2921" s="3">
        <f>HYPERLINK("https://leetcode.com/problems/counting-elements/", "Counting Elements")</f>
        <v/>
      </c>
      <c r="C2921" s="1" t="n">
        <v>169</v>
      </c>
      <c r="D2921" s="1" t="n">
        <v>66</v>
      </c>
      <c r="E2921" s="4">
        <f>IF(INDEX(C:C, ROW())+INDEX(D:D, ROW())=0, 0, INDEX(C:C, ROW())/(INDEX(C:C, ROW())+INDEX(D:D, ROW())))</f>
        <v/>
      </c>
      <c r="F2921" s="1" t="inlineStr">
        <is>
          <t>Array, Hash Table</t>
        </is>
      </c>
      <c r="G2921" s="1" t="inlineStr">
        <is>
          <t>Easy</t>
        </is>
      </c>
      <c r="H2921" s="1" t="n">
        <v>168338</v>
      </c>
      <c r="I2921" s="1" t="n">
        <v>276973</v>
      </c>
      <c r="J2921" s="9" t="n">
        <v>0.608</v>
      </c>
      <c r="K2921" s="1" t="inlineStr">
        <is>
          <t>No</t>
        </is>
      </c>
      <c r="L2921" s="1" t="inlineStr">
        <is>
          <t>Yes</t>
        </is>
      </c>
      <c r="M2921" s="1" t="inlineStr">
        <is>
          <t>No</t>
        </is>
      </c>
      <c r="N2921" s="1" t="inlineStr">
        <is>
          <t>Algorithms</t>
        </is>
      </c>
      <c r="O29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21" s="11" t="inlineStr">
        <is>
          <t>To Do</t>
        </is>
      </c>
    </row>
    <row r="2922" ht="15.75" customHeight="1" s="12">
      <c r="A2922" s="1" t="n">
        <v>2903</v>
      </c>
      <c r="B2922" s="3">
        <f>HYPERLINK("https://leetcode.com/problems/find-indices-with-index-and-value-difference-i/", "Find Indices With Index and Value Difference I")</f>
        <v/>
      </c>
      <c r="C2922" s="1" t="n">
        <v>169</v>
      </c>
      <c r="D2922" s="1" t="n">
        <v>18</v>
      </c>
      <c r="E2922" s="4">
        <f>IF(INDEX(C:C, ROW())+INDEX(D:D, ROW())=0, 0, INDEX(C:C, ROW())/(INDEX(C:C, ROW())+INDEX(D:D, ROW())))</f>
        <v/>
      </c>
      <c r="F2922" s="1" t="inlineStr">
        <is>
          <t>Array, Two Pointers</t>
        </is>
      </c>
      <c r="G2922" s="1" t="inlineStr">
        <is>
          <t>Easy</t>
        </is>
      </c>
      <c r="H2922" s="1" t="n">
        <v>54776</v>
      </c>
      <c r="I2922" s="1" t="n">
        <v>90817</v>
      </c>
      <c r="J2922" s="9" t="n">
        <v>0.603</v>
      </c>
      <c r="K2922" s="1" t="inlineStr">
        <is>
          <t>Yes</t>
        </is>
      </c>
      <c r="L2922" s="1" t="inlineStr">
        <is>
          <t>No</t>
        </is>
      </c>
      <c r="M2922" s="1" t="inlineStr">
        <is>
          <t>No</t>
        </is>
      </c>
      <c r="N2922" s="1" t="inlineStr">
        <is>
          <t>Algorithms</t>
        </is>
      </c>
      <c r="O29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22" s="13" t="inlineStr">
        <is>
          <t>Done</t>
        </is>
      </c>
    </row>
    <row r="2923" ht="15.75" customHeight="1" s="12">
      <c r="A2923" s="1" t="n">
        <v>3158</v>
      </c>
      <c r="B2923" s="3">
        <f>HYPERLINK("https://leetcode.com/problems/find-the-xor-of-numbers-which-appear-twice/", "Find the XOR of Numbers Which Appear Twice")</f>
        <v/>
      </c>
      <c r="C2923" s="1" t="n">
        <v>169</v>
      </c>
      <c r="D2923" s="1" t="n">
        <v>14</v>
      </c>
      <c r="E2923" s="4">
        <f>IF(INDEX(C:C, ROW())+INDEX(D:D, ROW())=0, 0, INDEX(C:C, ROW())/(INDEX(C:C, ROW())+INDEX(D:D, ROW())))</f>
        <v/>
      </c>
      <c r="F2923" s="1" t="inlineStr">
        <is>
          <t>Array, Hash Table, Bit Manipulation</t>
        </is>
      </c>
      <c r="G2923" s="1" t="inlineStr">
        <is>
          <t>Easy</t>
        </is>
      </c>
      <c r="H2923" s="1" t="n">
        <v>78568</v>
      </c>
      <c r="I2923" s="1" t="n">
        <v>99575</v>
      </c>
      <c r="J2923" s="9" t="n">
        <v>0.789</v>
      </c>
      <c r="K2923" s="1" t="inlineStr">
        <is>
          <t>Yes</t>
        </is>
      </c>
      <c r="L2923" s="1" t="inlineStr">
        <is>
          <t>No</t>
        </is>
      </c>
      <c r="M2923" s="1" t="inlineStr">
        <is>
          <t>No</t>
        </is>
      </c>
      <c r="N2923" s="1" t="inlineStr">
        <is>
          <t>Algorithms</t>
        </is>
      </c>
      <c r="O29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23" s="13" t="inlineStr">
        <is>
          <t>Done</t>
        </is>
      </c>
    </row>
    <row r="2924" ht="15.75" customHeight="1" s="12">
      <c r="A2924" s="1" t="n">
        <v>1107</v>
      </c>
      <c r="B2924" s="3">
        <f>HYPERLINK("https://leetcode.com/problems/new-users-daily-count/", "New Users Daily Count")</f>
        <v/>
      </c>
      <c r="C2924" s="1" t="n">
        <v>168</v>
      </c>
      <c r="D2924" s="1" t="n">
        <v>176</v>
      </c>
      <c r="E2924" s="4">
        <f>IF(INDEX(C:C, ROW())+INDEX(D:D, ROW())=0, 0, INDEX(C:C, ROW())/(INDEX(C:C, ROW())+INDEX(D:D, ROW())))</f>
        <v/>
      </c>
      <c r="F2924" s="1" t="inlineStr">
        <is>
          <t>Database</t>
        </is>
      </c>
      <c r="G2924" s="1" t="inlineStr">
        <is>
          <t>Medium</t>
        </is>
      </c>
      <c r="H2924" s="1" t="n">
        <v>45196</v>
      </c>
      <c r="I2924" s="1" t="n">
        <v>101350</v>
      </c>
      <c r="J2924" s="9" t="n">
        <v>0.446</v>
      </c>
      <c r="K2924" s="1" t="inlineStr">
        <is>
          <t>No</t>
        </is>
      </c>
      <c r="L2924" s="1" t="inlineStr">
        <is>
          <t>Yes</t>
        </is>
      </c>
      <c r="M2924" s="1" t="inlineStr">
        <is>
          <t>No</t>
        </is>
      </c>
      <c r="N2924" s="1" t="inlineStr">
        <is>
          <t>Database</t>
        </is>
      </c>
      <c r="O29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24" s="11" t="inlineStr">
        <is>
          <t>To Do</t>
        </is>
      </c>
    </row>
    <row r="2925" ht="15.75" customHeight="1" s="12">
      <c r="A2925" s="1" t="n">
        <v>3082</v>
      </c>
      <c r="B2925" s="3">
        <f>HYPERLINK("https://leetcode.com/problems/find-the-sum-of-the-power-of-all-subsequences/", "Find the Sum of the Power of All Subsequences")</f>
        <v/>
      </c>
      <c r="C2925" s="1" t="n">
        <v>168</v>
      </c>
      <c r="D2925" s="1" t="n">
        <v>4</v>
      </c>
      <c r="E2925" s="4">
        <f>IF(INDEX(C:C, ROW())+INDEX(D:D, ROW())=0, 0, INDEX(C:C, ROW())/(INDEX(C:C, ROW())+INDEX(D:D, ROW())))</f>
        <v/>
      </c>
      <c r="F2925" s="1" t="inlineStr">
        <is>
          <t>Array, Dynamic Programming</t>
        </is>
      </c>
      <c r="G2925" s="1" t="inlineStr">
        <is>
          <t>Hard</t>
        </is>
      </c>
      <c r="H2925" s="1" t="n">
        <v>10089</v>
      </c>
      <c r="I2925" s="1" t="n">
        <v>26335</v>
      </c>
      <c r="J2925" s="9" t="n">
        <v>0.383</v>
      </c>
      <c r="K2925" s="1" t="inlineStr">
        <is>
          <t>Yes</t>
        </is>
      </c>
      <c r="L2925" s="1" t="inlineStr">
        <is>
          <t>No</t>
        </is>
      </c>
      <c r="M2925" s="1" t="inlineStr">
        <is>
          <t>No</t>
        </is>
      </c>
      <c r="N2925" s="1" t="inlineStr">
        <is>
          <t>Algorithms</t>
        </is>
      </c>
      <c r="O29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25" s="11" t="inlineStr">
        <is>
          <t>To Do</t>
        </is>
      </c>
    </row>
    <row r="2926" ht="15.75" customHeight="1" s="12">
      <c r="A2926" s="1" t="n">
        <v>3364</v>
      </c>
      <c r="B2926" s="3">
        <f>HYPERLINK("https://leetcode.com/problems/minimum-positive-sum-subarray/", "Minimum Positive Sum Subarray ")</f>
        <v/>
      </c>
      <c r="C2926" s="1" t="n">
        <v>168</v>
      </c>
      <c r="D2926" s="1" t="n">
        <v>38</v>
      </c>
      <c r="E2926" s="4">
        <f>IF(INDEX(C:C, ROW())+INDEX(D:D, ROW())=0, 0, INDEX(C:C, ROW())/(INDEX(C:C, ROW())+INDEX(D:D, ROW())))</f>
        <v/>
      </c>
      <c r="F2926" s="1" t="inlineStr">
        <is>
          <t>Array, Sliding Window, Prefix Sum</t>
        </is>
      </c>
      <c r="G2926" s="1" t="inlineStr">
        <is>
          <t>Easy</t>
        </is>
      </c>
      <c r="H2926" s="1" t="n">
        <v>47108</v>
      </c>
      <c r="I2926" s="1" t="n">
        <v>104571</v>
      </c>
      <c r="J2926" s="9" t="n">
        <v>0.45</v>
      </c>
      <c r="K2926" s="1" t="inlineStr">
        <is>
          <t>Yes</t>
        </is>
      </c>
      <c r="L2926" s="1" t="inlineStr">
        <is>
          <t>No</t>
        </is>
      </c>
      <c r="M2926" s="1" t="inlineStr">
        <is>
          <t>No</t>
        </is>
      </c>
      <c r="N2926" s="1" t="inlineStr">
        <is>
          <t>Algorithms</t>
        </is>
      </c>
      <c r="O29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26" s="13" t="inlineStr">
        <is>
          <t>Done</t>
        </is>
      </c>
    </row>
    <row r="2927" ht="15.75" customHeight="1" s="12">
      <c r="A2927" s="1" t="n">
        <v>1949</v>
      </c>
      <c r="B2927" s="3">
        <f>HYPERLINK("https://leetcode.com/problems/strong-friendship/", "Strong Friendship")</f>
        <v/>
      </c>
      <c r="C2927" s="1" t="n">
        <v>167</v>
      </c>
      <c r="D2927" s="1" t="n">
        <v>86</v>
      </c>
      <c r="E2927" s="4">
        <f>IF(INDEX(C:C, ROW())+INDEX(D:D, ROW())=0, 0, INDEX(C:C, ROW())/(INDEX(C:C, ROW())+INDEX(D:D, ROW())))</f>
        <v/>
      </c>
      <c r="F2927" s="1" t="inlineStr">
        <is>
          <t>Database</t>
        </is>
      </c>
      <c r="G2927" s="1" t="inlineStr">
        <is>
          <t>Medium</t>
        </is>
      </c>
      <c r="H2927" s="1" t="n">
        <v>16894</v>
      </c>
      <c r="I2927" s="1" t="n">
        <v>30902</v>
      </c>
      <c r="J2927" s="9" t="n">
        <v>0.547</v>
      </c>
      <c r="K2927" s="1" t="inlineStr">
        <is>
          <t>No</t>
        </is>
      </c>
      <c r="L2927" s="1" t="inlineStr">
        <is>
          <t>No</t>
        </is>
      </c>
      <c r="M2927" s="1" t="inlineStr">
        <is>
          <t>No</t>
        </is>
      </c>
      <c r="N2927" s="1" t="inlineStr">
        <is>
          <t>Database</t>
        </is>
      </c>
      <c r="O29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27" s="11" t="inlineStr">
        <is>
          <t>To Do</t>
        </is>
      </c>
    </row>
    <row r="2928" ht="15.75" customHeight="1" s="12">
      <c r="A2928" s="1" t="n">
        <v>2899</v>
      </c>
      <c r="B2928" s="3">
        <f>HYPERLINK("https://leetcode.com/problems/last-visited-integers/", "Last Visited Integers")</f>
        <v/>
      </c>
      <c r="C2928" s="1" t="n">
        <v>167</v>
      </c>
      <c r="D2928" s="1" t="n">
        <v>236</v>
      </c>
      <c r="E2928" s="4">
        <f>IF(INDEX(C:C, ROW())+INDEX(D:D, ROW())=0, 0, INDEX(C:C, ROW())/(INDEX(C:C, ROW())+INDEX(D:D, ROW())))</f>
        <v/>
      </c>
      <c r="F2928" s="1" t="inlineStr">
        <is>
          <t>Array, Simulation</t>
        </is>
      </c>
      <c r="G2928" s="1" t="inlineStr">
        <is>
          <t>Easy</t>
        </is>
      </c>
      <c r="H2928" s="1" t="n">
        <v>33491</v>
      </c>
      <c r="I2928" s="1" t="n">
        <v>53786</v>
      </c>
      <c r="J2928" s="9" t="n">
        <v>0.623</v>
      </c>
      <c r="K2928" s="1" t="inlineStr">
        <is>
          <t>Yes</t>
        </is>
      </c>
      <c r="L2928" s="1" t="inlineStr">
        <is>
          <t>No</t>
        </is>
      </c>
      <c r="M2928" s="1" t="inlineStr">
        <is>
          <t>No</t>
        </is>
      </c>
      <c r="N2928" s="1" t="inlineStr">
        <is>
          <t>Algorithms</t>
        </is>
      </c>
      <c r="O29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28" s="13" t="inlineStr">
        <is>
          <t>Done</t>
        </is>
      </c>
    </row>
    <row r="2929" ht="15.75" customHeight="1" s="12">
      <c r="A2929" s="1" t="n">
        <v>3039</v>
      </c>
      <c r="B2929" s="3">
        <f>HYPERLINK("https://leetcode.com/problems/apply-operations-to-make-string-empty/", "Apply Operations to Make String Empty")</f>
        <v/>
      </c>
      <c r="C2929" s="1" t="n">
        <v>167</v>
      </c>
      <c r="D2929" s="1" t="n">
        <v>8</v>
      </c>
      <c r="E2929" s="4">
        <f>IF(INDEX(C:C, ROW())+INDEX(D:D, ROW())=0, 0, INDEX(C:C, ROW())/(INDEX(C:C, ROW())+INDEX(D:D, ROW())))</f>
        <v/>
      </c>
      <c r="F2929" s="1" t="inlineStr">
        <is>
          <t>Array, Hash Table, Sorting, Counting</t>
        </is>
      </c>
      <c r="G2929" s="1" t="inlineStr">
        <is>
          <t>Medium</t>
        </is>
      </c>
      <c r="H2929" s="1" t="n">
        <v>32777</v>
      </c>
      <c r="I2929" s="1" t="n">
        <v>56903</v>
      </c>
      <c r="J2929" s="9" t="n">
        <v>0.576</v>
      </c>
      <c r="K2929" s="1" t="inlineStr">
        <is>
          <t>Yes</t>
        </is>
      </c>
      <c r="L2929" s="1" t="inlineStr">
        <is>
          <t>No</t>
        </is>
      </c>
      <c r="M2929" s="1" t="inlineStr">
        <is>
          <t>No</t>
        </is>
      </c>
      <c r="N2929" s="1" t="inlineStr">
        <is>
          <t>Algorithms</t>
        </is>
      </c>
      <c r="O29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29" s="11" t="inlineStr">
        <is>
          <t>To Do</t>
        </is>
      </c>
    </row>
    <row r="2930" ht="15.75" customHeight="1" s="12">
      <c r="A2930" s="1" t="n">
        <v>3316</v>
      </c>
      <c r="B2930" s="3">
        <f>HYPERLINK("https://leetcode.com/problems/find-maximum-removals-from-source-string/", "Find Maximum Removals From Source String")</f>
        <v/>
      </c>
      <c r="C2930" s="1" t="n">
        <v>167</v>
      </c>
      <c r="D2930" s="1" t="n">
        <v>20</v>
      </c>
      <c r="E2930" s="4">
        <f>IF(INDEX(C:C, ROW())+INDEX(D:D, ROW())=0, 0, INDEX(C:C, ROW())/(INDEX(C:C, ROW())+INDEX(D:D, ROW())))</f>
        <v/>
      </c>
      <c r="F2930" s="1" t="inlineStr">
        <is>
          <t>Array, Hash Table, Two Pointers, String, Dynamic Programming</t>
        </is>
      </c>
      <c r="G2930" s="1" t="inlineStr">
        <is>
          <t>Medium</t>
        </is>
      </c>
      <c r="H2930" s="1" t="n">
        <v>12210</v>
      </c>
      <c r="I2930" s="1" t="n">
        <v>31078</v>
      </c>
      <c r="J2930" s="9" t="n">
        <v>0.393</v>
      </c>
      <c r="K2930" s="1" t="inlineStr">
        <is>
          <t>Yes</t>
        </is>
      </c>
      <c r="L2930" s="1" t="inlineStr">
        <is>
          <t>No</t>
        </is>
      </c>
      <c r="M2930" s="1" t="inlineStr">
        <is>
          <t>No</t>
        </is>
      </c>
      <c r="N2930" s="1" t="inlineStr">
        <is>
          <t>Algorithms</t>
        </is>
      </c>
      <c r="O29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30" s="11" t="inlineStr">
        <is>
          <t>To Do</t>
        </is>
      </c>
    </row>
    <row r="2931" ht="15.75" customHeight="1" s="12">
      <c r="A2931" s="1" t="n">
        <v>660</v>
      </c>
      <c r="B2931" s="3">
        <f>HYPERLINK("https://leetcode.com/problems/remove-9/", "Remove 9")</f>
        <v/>
      </c>
      <c r="C2931" s="1" t="n">
        <v>166</v>
      </c>
      <c r="D2931" s="1" t="n">
        <v>204</v>
      </c>
      <c r="E2931" s="4">
        <f>IF(INDEX(C:C, ROW())+INDEX(D:D, ROW())=0, 0, INDEX(C:C, ROW())/(INDEX(C:C, ROW())+INDEX(D:D, ROW())))</f>
        <v/>
      </c>
      <c r="F2931" s="1" t="inlineStr">
        <is>
          <t>Math</t>
        </is>
      </c>
      <c r="G2931" s="1" t="inlineStr">
        <is>
          <t>Hard</t>
        </is>
      </c>
      <c r="H2931" s="1" t="n">
        <v>11336</v>
      </c>
      <c r="I2931" s="1" t="n">
        <v>19732</v>
      </c>
      <c r="J2931" s="9" t="n">
        <v>0.574</v>
      </c>
      <c r="K2931" s="1" t="inlineStr">
        <is>
          <t>No</t>
        </is>
      </c>
      <c r="L2931" s="1" t="inlineStr">
        <is>
          <t>Yes</t>
        </is>
      </c>
      <c r="M2931" s="1" t="inlineStr">
        <is>
          <t>No</t>
        </is>
      </c>
      <c r="N2931" s="1" t="inlineStr">
        <is>
          <t>Algorithms</t>
        </is>
      </c>
      <c r="O29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31" s="11" t="inlineStr">
        <is>
          <t>To Do</t>
        </is>
      </c>
    </row>
    <row r="2932" ht="15.75" customHeight="1" s="12">
      <c r="A2932" s="1" t="n">
        <v>1571</v>
      </c>
      <c r="B2932" s="3">
        <f>HYPERLINK("https://leetcode.com/problems/warehouse-manager/", "Warehouse Manager")</f>
        <v/>
      </c>
      <c r="C2932" s="1" t="n">
        <v>166</v>
      </c>
      <c r="D2932" s="1" t="n">
        <v>12</v>
      </c>
      <c r="E2932" s="4">
        <f>IF(INDEX(C:C, ROW())+INDEX(D:D, ROW())=0, 0, INDEX(C:C, ROW())/(INDEX(C:C, ROW())+INDEX(D:D, ROW())))</f>
        <v/>
      </c>
      <c r="F2932" s="1" t="inlineStr">
        <is>
          <t>Database</t>
        </is>
      </c>
      <c r="G2932" s="1" t="inlineStr">
        <is>
          <t>Easy</t>
        </is>
      </c>
      <c r="H2932" s="1" t="n">
        <v>52090</v>
      </c>
      <c r="I2932" s="1" t="n">
        <v>59723</v>
      </c>
      <c r="J2932" s="9" t="n">
        <v>0.872</v>
      </c>
      <c r="K2932" s="1" t="inlineStr">
        <is>
          <t>No</t>
        </is>
      </c>
      <c r="L2932" s="1" t="inlineStr">
        <is>
          <t>Yes</t>
        </is>
      </c>
      <c r="M2932" s="1" t="inlineStr">
        <is>
          <t>No</t>
        </is>
      </c>
      <c r="N2932" s="1" t="inlineStr">
        <is>
          <t>Database</t>
        </is>
      </c>
      <c r="O29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32" s="11" t="inlineStr">
        <is>
          <t>To Do</t>
        </is>
      </c>
    </row>
    <row r="2933" ht="15.75" customHeight="1" s="12">
      <c r="A2933" s="1" t="n">
        <v>3107</v>
      </c>
      <c r="B2933" s="3">
        <f>HYPERLINK("https://leetcode.com/problems/minimum-operations-to-make-median-of-array-equal-to-k/", "Minimum Operations to Make Median of Array Equal to K")</f>
        <v/>
      </c>
      <c r="C2933" s="1" t="n">
        <v>166</v>
      </c>
      <c r="D2933" s="1" t="n">
        <v>187</v>
      </c>
      <c r="E2933" s="4">
        <f>IF(INDEX(C:C, ROW())+INDEX(D:D, ROW())=0, 0, INDEX(C:C, ROW())/(INDEX(C:C, ROW())+INDEX(D:D, ROW())))</f>
        <v/>
      </c>
      <c r="F2933" s="1" t="inlineStr">
        <is>
          <t>Array, Greedy, Sorting</t>
        </is>
      </c>
      <c r="G2933" s="1" t="inlineStr">
        <is>
          <t>Medium</t>
        </is>
      </c>
      <c r="H2933" s="1" t="n">
        <v>31125</v>
      </c>
      <c r="I2933" s="1" t="n">
        <v>65038</v>
      </c>
      <c r="J2933" s="9" t="n">
        <v>0.479</v>
      </c>
      <c r="K2933" s="1" t="inlineStr">
        <is>
          <t>Yes</t>
        </is>
      </c>
      <c r="L2933" s="1" t="inlineStr">
        <is>
          <t>No</t>
        </is>
      </c>
      <c r="M2933" s="1" t="inlineStr">
        <is>
          <t>No</t>
        </is>
      </c>
      <c r="N2933" s="1" t="inlineStr">
        <is>
          <t>Algorithms</t>
        </is>
      </c>
      <c r="O29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33" s="11" t="inlineStr">
        <is>
          <t>To Do</t>
        </is>
      </c>
    </row>
    <row r="2934" ht="15.75" customHeight="1" s="12">
      <c r="A2934" s="1" t="n">
        <v>3184</v>
      </c>
      <c r="B2934" s="3">
        <f>HYPERLINK("https://leetcode.com/problems/count-pairs-that-form-a-complete-day-i/", "Count Pairs That Form a Complete Day I")</f>
        <v/>
      </c>
      <c r="C2934" s="1" t="n">
        <v>166</v>
      </c>
      <c r="D2934" s="1" t="n">
        <v>12</v>
      </c>
      <c r="E2934" s="4">
        <f>IF(INDEX(C:C, ROW())+INDEX(D:D, ROW())=0, 0, INDEX(C:C, ROW())/(INDEX(C:C, ROW())+INDEX(D:D, ROW())))</f>
        <v/>
      </c>
      <c r="F2934" s="1" t="inlineStr">
        <is>
          <t>Array, Hash Table, Counting</t>
        </is>
      </c>
      <c r="G2934" s="1" t="inlineStr">
        <is>
          <t>Easy</t>
        </is>
      </c>
      <c r="H2934" s="1" t="n">
        <v>76786</v>
      </c>
      <c r="I2934" s="1" t="n">
        <v>98213</v>
      </c>
      <c r="J2934" s="9" t="n">
        <v>0.782</v>
      </c>
      <c r="K2934" s="1" t="inlineStr">
        <is>
          <t>Yes</t>
        </is>
      </c>
      <c r="L2934" s="1" t="inlineStr">
        <is>
          <t>No</t>
        </is>
      </c>
      <c r="M2934" s="1" t="inlineStr">
        <is>
          <t>No</t>
        </is>
      </c>
      <c r="N2934" s="1" t="inlineStr">
        <is>
          <t>Algorithms</t>
        </is>
      </c>
      <c r="O29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34" s="13" t="inlineStr">
        <is>
          <t>Done</t>
        </is>
      </c>
    </row>
    <row r="2935" ht="15.75" customHeight="1" s="12">
      <c r="A2935" s="1" t="n">
        <v>3200</v>
      </c>
      <c r="B2935" s="3">
        <f>HYPERLINK("https://leetcode.com/problems/maximum-height-of-a-triangle/", "Maximum Height of a Triangle")</f>
        <v/>
      </c>
      <c r="C2935" s="1" t="n">
        <v>166</v>
      </c>
      <c r="D2935" s="1" t="n">
        <v>31</v>
      </c>
      <c r="E2935" s="4">
        <f>IF(INDEX(C:C, ROW())+INDEX(D:D, ROW())=0, 0, INDEX(C:C, ROW())/(INDEX(C:C, ROW())+INDEX(D:D, ROW())))</f>
        <v/>
      </c>
      <c r="F2935" s="1" t="inlineStr">
        <is>
          <t>Array, Enumeration</t>
        </is>
      </c>
      <c r="G2935" s="1" t="inlineStr">
        <is>
          <t>Easy</t>
        </is>
      </c>
      <c r="H2935" s="1" t="n">
        <v>44522</v>
      </c>
      <c r="I2935" s="1" t="n">
        <v>100347</v>
      </c>
      <c r="J2935" s="9" t="n">
        <v>0.444</v>
      </c>
      <c r="K2935" s="1" t="inlineStr">
        <is>
          <t>Yes</t>
        </is>
      </c>
      <c r="L2935" s="1" t="inlineStr">
        <is>
          <t>No</t>
        </is>
      </c>
      <c r="M2935" s="1" t="inlineStr">
        <is>
          <t>No</t>
        </is>
      </c>
      <c r="N2935" s="1" t="inlineStr">
        <is>
          <t>Algorithms</t>
        </is>
      </c>
      <c r="O29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35" s="13" t="inlineStr">
        <is>
          <t>Done</t>
        </is>
      </c>
    </row>
    <row r="2936" ht="15.75" customHeight="1" s="12">
      <c r="A2936" s="1" t="n">
        <v>3273</v>
      </c>
      <c r="B2936" s="3">
        <f>HYPERLINK("https://leetcode.com/problems/minimum-amount-of-damage-dealt-to-bob/", "Minimum Amount of Damage Dealt to Bob")</f>
        <v/>
      </c>
      <c r="C2936" s="1" t="n">
        <v>166</v>
      </c>
      <c r="D2936" s="1" t="n">
        <v>25</v>
      </c>
      <c r="E2936" s="4">
        <f>IF(INDEX(C:C, ROW())+INDEX(D:D, ROW())=0, 0, INDEX(C:C, ROW())/(INDEX(C:C, ROW())+INDEX(D:D, ROW())))</f>
        <v/>
      </c>
      <c r="F2936" s="1" t="inlineStr">
        <is>
          <t>Array, Greedy, Sorting</t>
        </is>
      </c>
      <c r="G2936" s="1" t="inlineStr">
        <is>
          <t>Hard</t>
        </is>
      </c>
      <c r="H2936" s="1" t="n">
        <v>14504</v>
      </c>
      <c r="I2936" s="1" t="n">
        <v>36486</v>
      </c>
      <c r="J2936" s="9" t="n">
        <v>0.398</v>
      </c>
      <c r="K2936" s="1" t="inlineStr">
        <is>
          <t>Yes</t>
        </is>
      </c>
      <c r="L2936" s="1" t="inlineStr">
        <is>
          <t>No</t>
        </is>
      </c>
      <c r="M2936" s="1" t="inlineStr">
        <is>
          <t>No</t>
        </is>
      </c>
      <c r="N2936" s="1" t="inlineStr">
        <is>
          <t>Algorithms</t>
        </is>
      </c>
      <c r="O29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36" s="11" t="inlineStr">
        <is>
          <t>To Do</t>
        </is>
      </c>
    </row>
    <row r="2937" ht="15.75" customHeight="1" s="12">
      <c r="A2937" s="1" t="n">
        <v>3685</v>
      </c>
      <c r="B2937" s="3">
        <f>HYPERLINK("https://leetcode.com/problems/subsequence-sum-after-capping-elements/", "Subsequence Sum After Capping Elements")</f>
        <v/>
      </c>
      <c r="C2937" s="1" t="n">
        <v>166</v>
      </c>
      <c r="D2937" s="1" t="n">
        <v>15</v>
      </c>
      <c r="E2937" s="4">
        <f>IF(INDEX(C:C, ROW())+INDEX(D:D, ROW())=0, 0, INDEX(C:C, ROW())/(INDEX(C:C, ROW())+INDEX(D:D, ROW())))</f>
        <v/>
      </c>
      <c r="F2937" s="1" t="inlineStr">
        <is>
          <t>Array, Two Pointers, Dynamic Programming, Sorting</t>
        </is>
      </c>
      <c r="G2937" s="1" t="inlineStr">
        <is>
          <t>Medium</t>
        </is>
      </c>
      <c r="H2937" s="1" t="n">
        <v>20390</v>
      </c>
      <c r="I2937" s="1" t="n">
        <v>80435</v>
      </c>
      <c r="J2937" s="9" t="n">
        <v>0.253</v>
      </c>
      <c r="K2937" s="1" t="inlineStr">
        <is>
          <t>Yes</t>
        </is>
      </c>
      <c r="L2937" s="1" t="inlineStr">
        <is>
          <t>No</t>
        </is>
      </c>
      <c r="M2937" s="1" t="inlineStr">
        <is>
          <t>No</t>
        </is>
      </c>
      <c r="N2937" s="1" t="inlineStr">
        <is>
          <t>Algorithms</t>
        </is>
      </c>
      <c r="O29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37" s="11" t="inlineStr">
        <is>
          <t>To Do</t>
        </is>
      </c>
    </row>
    <row r="2938" ht="15.75" customHeight="1" s="12">
      <c r="A2938" s="1" t="n">
        <v>3019</v>
      </c>
      <c r="B2938" s="3">
        <f>HYPERLINK("https://leetcode.com/problems/number-of-changing-keys/", "Number of Changing Keys")</f>
        <v/>
      </c>
      <c r="C2938" s="1" t="n">
        <v>165</v>
      </c>
      <c r="D2938" s="1" t="n">
        <v>18</v>
      </c>
      <c r="E2938" s="4">
        <f>IF(INDEX(C:C, ROW())+INDEX(D:D, ROW())=0, 0, INDEX(C:C, ROW())/(INDEX(C:C, ROW())+INDEX(D:D, ROW())))</f>
        <v/>
      </c>
      <c r="F2938" s="1" t="inlineStr">
        <is>
          <t>String</t>
        </is>
      </c>
      <c r="G2938" s="1" t="inlineStr">
        <is>
          <t>Easy</t>
        </is>
      </c>
      <c r="H2938" s="1" t="n">
        <v>84750</v>
      </c>
      <c r="I2938" s="1" t="n">
        <v>105055</v>
      </c>
      <c r="J2938" s="9" t="n">
        <v>0.8070000000000001</v>
      </c>
      <c r="K2938" s="1" t="inlineStr">
        <is>
          <t>Yes</t>
        </is>
      </c>
      <c r="L2938" s="1" t="inlineStr">
        <is>
          <t>No</t>
        </is>
      </c>
      <c r="M2938" s="1" t="inlineStr">
        <is>
          <t>No</t>
        </is>
      </c>
      <c r="N2938" s="1" t="inlineStr">
        <is>
          <t>Algorithms</t>
        </is>
      </c>
      <c r="O29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38" s="13" t="inlineStr">
        <is>
          <t>Done</t>
        </is>
      </c>
    </row>
    <row r="2939" ht="15.75" customHeight="1" s="12">
      <c r="A2939" s="1" t="n">
        <v>3106</v>
      </c>
      <c r="B2939" s="3">
        <f>HYPERLINK("https://leetcode.com/problems/lexicographically-smallest-string-after-operations-with-constraint/", "Lexicographically Smallest String After Operations With Constraint")</f>
        <v/>
      </c>
      <c r="C2939" s="1" t="n">
        <v>165</v>
      </c>
      <c r="D2939" s="1" t="n">
        <v>28</v>
      </c>
      <c r="E2939" s="4">
        <f>IF(INDEX(C:C, ROW())+INDEX(D:D, ROW())=0, 0, INDEX(C:C, ROW())/(INDEX(C:C, ROW())+INDEX(D:D, ROW())))</f>
        <v/>
      </c>
      <c r="F2939" s="1" t="inlineStr">
        <is>
          <t>String, Greedy</t>
        </is>
      </c>
      <c r="G2939" s="1" t="inlineStr">
        <is>
          <t>Medium</t>
        </is>
      </c>
      <c r="H2939" s="1" t="n">
        <v>29446</v>
      </c>
      <c r="I2939" s="1" t="n">
        <v>46886</v>
      </c>
      <c r="J2939" s="9" t="n">
        <v>0.628</v>
      </c>
      <c r="K2939" s="1" t="inlineStr">
        <is>
          <t>Yes</t>
        </is>
      </c>
      <c r="L2939" s="1" t="inlineStr">
        <is>
          <t>No</t>
        </is>
      </c>
      <c r="M2939" s="1" t="inlineStr">
        <is>
          <t>No</t>
        </is>
      </c>
      <c r="N2939" s="1" t="inlineStr">
        <is>
          <t>Algorithms</t>
        </is>
      </c>
      <c r="O29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39" s="11" t="inlineStr">
        <is>
          <t>To Do</t>
        </is>
      </c>
    </row>
    <row r="2940" ht="15.75" customHeight="1" s="12">
      <c r="A2940" s="1" t="n">
        <v>3255</v>
      </c>
      <c r="B2940" s="3">
        <f>HYPERLINK("https://leetcode.com/problems/find-the-power-of-k-size-subarrays-ii/", "Find the Power of K-Size Subarrays II")</f>
        <v/>
      </c>
      <c r="C2940" s="1" t="n">
        <v>165</v>
      </c>
      <c r="D2940" s="1" t="n">
        <v>12</v>
      </c>
      <c r="E2940" s="4">
        <f>IF(INDEX(C:C, ROW())+INDEX(D:D, ROW())=0, 0, INDEX(C:C, ROW())/(INDEX(C:C, ROW())+INDEX(D:D, ROW())))</f>
        <v/>
      </c>
      <c r="F2940" s="1" t="inlineStr">
        <is>
          <t>Array, Sliding Window</t>
        </is>
      </c>
      <c r="G2940" s="1" t="inlineStr">
        <is>
          <t>Medium</t>
        </is>
      </c>
      <c r="H2940" s="1" t="n">
        <v>35283</v>
      </c>
      <c r="I2940" s="1" t="n">
        <v>111753</v>
      </c>
      <c r="J2940" s="9" t="n">
        <v>0.316</v>
      </c>
      <c r="K2940" s="1" t="inlineStr">
        <is>
          <t>Yes</t>
        </is>
      </c>
      <c r="L2940" s="1" t="inlineStr">
        <is>
          <t>No</t>
        </is>
      </c>
      <c r="M2940" s="1" t="inlineStr">
        <is>
          <t>No</t>
        </is>
      </c>
      <c r="N2940" s="1" t="inlineStr">
        <is>
          <t>Algorithms</t>
        </is>
      </c>
      <c r="O29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40" s="11" t="inlineStr">
        <is>
          <t>To Do</t>
        </is>
      </c>
    </row>
    <row r="2941" ht="15.75" customHeight="1" s="12">
      <c r="A2941" s="1" t="n">
        <v>194</v>
      </c>
      <c r="B2941" s="3">
        <f>HYPERLINK("https://leetcode.com/problems/transpose-file/", "Transpose File")</f>
        <v/>
      </c>
      <c r="C2941" s="1" t="n">
        <v>164</v>
      </c>
      <c r="D2941" s="1" t="n">
        <v>290</v>
      </c>
      <c r="E2941" s="4">
        <f>IF(INDEX(C:C, ROW())+INDEX(D:D, ROW())=0, 0, INDEX(C:C, ROW())/(INDEX(C:C, ROW())+INDEX(D:D, ROW())))</f>
        <v/>
      </c>
      <c r="F2941" s="1" t="inlineStr">
        <is>
          <t>Shell</t>
        </is>
      </c>
      <c r="G2941" s="1" t="inlineStr">
        <is>
          <t>Medium</t>
        </is>
      </c>
      <c r="H2941" s="1" t="n">
        <v>43822</v>
      </c>
      <c r="I2941" s="1" t="n">
        <v>138468</v>
      </c>
      <c r="J2941" s="9" t="n">
        <v>0.316</v>
      </c>
      <c r="K2941" s="1" t="inlineStr">
        <is>
          <t>Yes</t>
        </is>
      </c>
      <c r="L2941" s="1" t="inlineStr">
        <is>
          <t>No</t>
        </is>
      </c>
      <c r="M2941" s="1" t="inlineStr">
        <is>
          <t>No</t>
        </is>
      </c>
      <c r="N2941" s="1" t="inlineStr">
        <is>
          <t>Shell</t>
        </is>
      </c>
      <c r="O29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41" s="11" t="inlineStr">
        <is>
          <t>To Do</t>
        </is>
      </c>
    </row>
    <row r="2942" ht="15.75" customHeight="1" s="12">
      <c r="A2942" s="1" t="n">
        <v>1205</v>
      </c>
      <c r="B2942" s="3">
        <f>HYPERLINK("https://leetcode.com/problems/monthly-transactions-ii/", "Monthly Transactions II")</f>
        <v/>
      </c>
      <c r="C2942" s="1" t="n">
        <v>163</v>
      </c>
      <c r="D2942" s="1" t="n">
        <v>556</v>
      </c>
      <c r="E2942" s="4">
        <f>IF(INDEX(C:C, ROW())+INDEX(D:D, ROW())=0, 0, INDEX(C:C, ROW())/(INDEX(C:C, ROW())+INDEX(D:D, ROW())))</f>
        <v/>
      </c>
      <c r="F2942" s="1" t="inlineStr">
        <is>
          <t>Database</t>
        </is>
      </c>
      <c r="G2942" s="1" t="inlineStr">
        <is>
          <t>Medium</t>
        </is>
      </c>
      <c r="H2942" s="1" t="n">
        <v>28636</v>
      </c>
      <c r="I2942" s="1" t="n">
        <v>68228</v>
      </c>
      <c r="J2942" s="9" t="n">
        <v>0.42</v>
      </c>
      <c r="K2942" s="1" t="inlineStr">
        <is>
          <t>No</t>
        </is>
      </c>
      <c r="L2942" s="1" t="inlineStr">
        <is>
          <t>Yes</t>
        </is>
      </c>
      <c r="M2942" s="1" t="inlineStr">
        <is>
          <t>No</t>
        </is>
      </c>
      <c r="N2942" s="1" t="inlineStr">
        <is>
          <t>Database</t>
        </is>
      </c>
      <c r="O29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42" s="11" t="inlineStr">
        <is>
          <t>To Do</t>
        </is>
      </c>
    </row>
    <row r="2943" ht="15.75" customHeight="1" s="12">
      <c r="A2943" s="1" t="n">
        <v>2902</v>
      </c>
      <c r="B2943" s="3">
        <f>HYPERLINK("https://leetcode.com/problems/count-of-sub-multisets-with-bounded-sum/", "Count of Sub-Multisets With Bounded Sum")</f>
        <v/>
      </c>
      <c r="C2943" s="1" t="n">
        <v>163</v>
      </c>
      <c r="D2943" s="1" t="n">
        <v>27</v>
      </c>
      <c r="E2943" s="4">
        <f>IF(INDEX(C:C, ROW())+INDEX(D:D, ROW())=0, 0, INDEX(C:C, ROW())/(INDEX(C:C, ROW())+INDEX(D:D, ROW())))</f>
        <v/>
      </c>
      <c r="F2943" s="1" t="inlineStr">
        <is>
          <t>Array, Hash Table, Dynamic Programming, Sliding Window</t>
        </is>
      </c>
      <c r="G2943" s="1" t="inlineStr">
        <is>
          <t>Hard</t>
        </is>
      </c>
      <c r="H2943" s="1" t="n">
        <v>6115</v>
      </c>
      <c r="I2943" s="1" t="n">
        <v>27376</v>
      </c>
      <c r="J2943" s="9" t="n">
        <v>0.223</v>
      </c>
      <c r="K2943" s="1" t="inlineStr">
        <is>
          <t>Yes</t>
        </is>
      </c>
      <c r="L2943" s="1" t="inlineStr">
        <is>
          <t>No</t>
        </is>
      </c>
      <c r="M2943" s="1" t="inlineStr">
        <is>
          <t>No</t>
        </is>
      </c>
      <c r="N2943" s="1" t="inlineStr">
        <is>
          <t>Algorithms</t>
        </is>
      </c>
      <c r="O29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43" s="11" t="inlineStr">
        <is>
          <t>To Do</t>
        </is>
      </c>
    </row>
    <row r="2944" ht="15.75" customHeight="1" s="12">
      <c r="A2944" s="1" t="n">
        <v>3387</v>
      </c>
      <c r="B2944" s="3">
        <f>HYPERLINK("https://leetcode.com/problems/maximize-amount-after-two-days-of-conversions/", "Maximize Amount After Two Days of Conversions")</f>
        <v/>
      </c>
      <c r="C2944" s="1" t="n">
        <v>163</v>
      </c>
      <c r="D2944" s="1" t="n">
        <v>41</v>
      </c>
      <c r="E2944" s="4">
        <f>IF(INDEX(C:C, ROW())+INDEX(D:D, ROW())=0, 0, INDEX(C:C, ROW())/(INDEX(C:C, ROW())+INDEX(D:D, ROW())))</f>
        <v/>
      </c>
      <c r="F2944" s="1" t="inlineStr">
        <is>
          <t>Array, String, Depth-First Search, Breadth-First Search, Graph Theory</t>
        </is>
      </c>
      <c r="G2944" s="1" t="inlineStr">
        <is>
          <t>Medium</t>
        </is>
      </c>
      <c r="H2944" s="1" t="n">
        <v>19440</v>
      </c>
      <c r="I2944" s="1" t="n">
        <v>31694</v>
      </c>
      <c r="J2944" s="9" t="n">
        <v>0.613</v>
      </c>
      <c r="K2944" s="1" t="inlineStr">
        <is>
          <t>Yes</t>
        </is>
      </c>
      <c r="L2944" s="1" t="inlineStr">
        <is>
          <t>No</t>
        </is>
      </c>
      <c r="M2944" s="1" t="inlineStr">
        <is>
          <t>No</t>
        </is>
      </c>
      <c r="N2944" s="1" t="inlineStr">
        <is>
          <t>Algorithms</t>
        </is>
      </c>
      <c r="O29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44" s="11" t="inlineStr">
        <is>
          <t>To Do</t>
        </is>
      </c>
    </row>
    <row r="2945" ht="15.75" customHeight="1" s="12">
      <c r="A2945" s="1" t="n">
        <v>3302</v>
      </c>
      <c r="B2945" s="3">
        <f>HYPERLINK("https://leetcode.com/problems/find-the-lexicographically-smallest-valid-sequence/", "Find the Lexicographically Smallest Valid Sequence")</f>
        <v/>
      </c>
      <c r="C2945" s="1" t="n">
        <v>162</v>
      </c>
      <c r="D2945" s="1" t="n">
        <v>33</v>
      </c>
      <c r="E2945" s="4">
        <f>IF(INDEX(C:C, ROW())+INDEX(D:D, ROW())=0, 0, INDEX(C:C, ROW())/(INDEX(C:C, ROW())+INDEX(D:D, ROW())))</f>
        <v/>
      </c>
      <c r="F2945" s="1" t="inlineStr">
        <is>
          <t>Two Pointers, String, Dynamic Programming, Greedy</t>
        </is>
      </c>
      <c r="G2945" s="1" t="inlineStr">
        <is>
          <t>Medium</t>
        </is>
      </c>
      <c r="H2945" s="1" t="n">
        <v>7706</v>
      </c>
      <c r="I2945" s="1" t="n">
        <v>35213</v>
      </c>
      <c r="J2945" s="9" t="n">
        <v>0.219</v>
      </c>
      <c r="K2945" s="1" t="inlineStr">
        <is>
          <t>Yes</t>
        </is>
      </c>
      <c r="L2945" s="1" t="inlineStr">
        <is>
          <t>No</t>
        </is>
      </c>
      <c r="M2945" s="1" t="inlineStr">
        <is>
          <t>No</t>
        </is>
      </c>
      <c r="N2945" s="1" t="inlineStr">
        <is>
          <t>Algorithms</t>
        </is>
      </c>
      <c r="O29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45" s="11" t="inlineStr">
        <is>
          <t>To Do</t>
        </is>
      </c>
    </row>
    <row r="2946" ht="15.75" customHeight="1" s="12">
      <c r="A2946" s="1" t="n">
        <v>1532</v>
      </c>
      <c r="B2946" s="3">
        <f>HYPERLINK("https://leetcode.com/problems/the-most-recent-three-orders/", "The Most Recent Three Orders")</f>
        <v/>
      </c>
      <c r="C2946" s="1" t="n">
        <v>161</v>
      </c>
      <c r="D2946" s="1" t="n">
        <v>11</v>
      </c>
      <c r="E2946" s="4">
        <f>IF(INDEX(C:C, ROW())+INDEX(D:D, ROW())=0, 0, INDEX(C:C, ROW())/(INDEX(C:C, ROW())+INDEX(D:D, ROW())))</f>
        <v/>
      </c>
      <c r="F2946" s="1" t="inlineStr">
        <is>
          <t>Database</t>
        </is>
      </c>
      <c r="G2946" s="1" t="inlineStr">
        <is>
          <t>Medium</t>
        </is>
      </c>
      <c r="H2946" s="1" t="n">
        <v>39248</v>
      </c>
      <c r="I2946" s="1" t="n">
        <v>56734</v>
      </c>
      <c r="J2946" s="9" t="n">
        <v>0.6919999999999999</v>
      </c>
      <c r="K2946" s="1" t="inlineStr">
        <is>
          <t>No</t>
        </is>
      </c>
      <c r="L2946" s="1" t="inlineStr">
        <is>
          <t>No</t>
        </is>
      </c>
      <c r="M2946" s="1" t="inlineStr">
        <is>
          <t>No</t>
        </is>
      </c>
      <c r="N2946" s="1" t="inlineStr">
        <is>
          <t>Database</t>
        </is>
      </c>
      <c r="O29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46" s="11" t="inlineStr">
        <is>
          <t>To Do</t>
        </is>
      </c>
    </row>
    <row r="2947" ht="15.75" customHeight="1" s="12">
      <c r="A2947" s="1" t="n">
        <v>1453</v>
      </c>
      <c r="B2947" s="3">
        <f>HYPERLINK("https://leetcode.com/problems/maximum-number-of-darts-inside-of-a-circular-dartboard/", "Maximum Number of Darts Inside of a Circular Dartboard")</f>
        <v/>
      </c>
      <c r="C2947" s="1" t="n">
        <v>160</v>
      </c>
      <c r="D2947" s="1" t="n">
        <v>277</v>
      </c>
      <c r="E2947" s="4">
        <f>IF(INDEX(C:C, ROW())+INDEX(D:D, ROW())=0, 0, INDEX(C:C, ROW())/(INDEX(C:C, ROW())+INDEX(D:D, ROW())))</f>
        <v/>
      </c>
      <c r="F2947" s="1" t="inlineStr">
        <is>
          <t>Array, Math, Geometry</t>
        </is>
      </c>
      <c r="G2947" s="1" t="inlineStr">
        <is>
          <t>Hard</t>
        </is>
      </c>
      <c r="H2947" s="1" t="n">
        <v>8754</v>
      </c>
      <c r="I2947" s="1" t="n">
        <v>21545</v>
      </c>
      <c r="J2947" s="9" t="n">
        <v>0.406</v>
      </c>
      <c r="K2947" s="1" t="inlineStr">
        <is>
          <t>Yes</t>
        </is>
      </c>
      <c r="L2947" s="1" t="inlineStr">
        <is>
          <t>No</t>
        </is>
      </c>
      <c r="M2947" s="1" t="inlineStr">
        <is>
          <t>No</t>
        </is>
      </c>
      <c r="N2947" s="1" t="inlineStr">
        <is>
          <t>Algorithms</t>
        </is>
      </c>
      <c r="O29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47" s="11" t="inlineStr">
        <is>
          <t>To Do</t>
        </is>
      </c>
    </row>
    <row r="2948" ht="15.75" customHeight="1" s="12">
      <c r="A2948" s="1" t="n">
        <v>3031</v>
      </c>
      <c r="B2948" s="3">
        <f>HYPERLINK("https://leetcode.com/problems/minimum-time-to-revert-word-to-initial-state-ii/", "Minimum Time to Revert Word to Initial State II")</f>
        <v/>
      </c>
      <c r="C2948" s="1" t="n">
        <v>160</v>
      </c>
      <c r="D2948" s="1" t="n">
        <v>22</v>
      </c>
      <c r="E2948" s="4">
        <f>IF(INDEX(C:C, ROW())+INDEX(D:D, ROW())=0, 0, INDEX(C:C, ROW())/(INDEX(C:C, ROW())+INDEX(D:D, ROW())))</f>
        <v/>
      </c>
      <c r="F2948" s="1" t="inlineStr">
        <is>
          <t>String, Rolling Hash, String Matching, Hash Function</t>
        </is>
      </c>
      <c r="G2948" s="1" t="inlineStr">
        <is>
          <t>Hard</t>
        </is>
      </c>
      <c r="H2948" s="1" t="n">
        <v>13660</v>
      </c>
      <c r="I2948" s="1" t="n">
        <v>38791</v>
      </c>
      <c r="J2948" s="9" t="n">
        <v>0.352</v>
      </c>
      <c r="K2948" s="1" t="inlineStr">
        <is>
          <t>Yes</t>
        </is>
      </c>
      <c r="L2948" s="1" t="inlineStr">
        <is>
          <t>No</t>
        </is>
      </c>
      <c r="M2948" s="1" t="inlineStr">
        <is>
          <t>No</t>
        </is>
      </c>
      <c r="N2948" s="1" t="inlineStr">
        <is>
          <t>Algorithms</t>
        </is>
      </c>
      <c r="O29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48" s="11" t="inlineStr">
        <is>
          <t>To Do</t>
        </is>
      </c>
    </row>
    <row r="2949" ht="15.75" customHeight="1" s="12">
      <c r="A2949" s="1" t="n">
        <v>1479</v>
      </c>
      <c r="B2949" s="3">
        <f>HYPERLINK("https://leetcode.com/problems/sales-by-day-of-the-week/", "Sales by Day of the Week")</f>
        <v/>
      </c>
      <c r="C2949" s="1" t="n">
        <v>159</v>
      </c>
      <c r="D2949" s="1" t="n">
        <v>39</v>
      </c>
      <c r="E2949" s="4">
        <f>IF(INDEX(C:C, ROW())+INDEX(D:D, ROW())=0, 0, INDEX(C:C, ROW())/(INDEX(C:C, ROW())+INDEX(D:D, ROW())))</f>
        <v/>
      </c>
      <c r="F2949" s="1" t="inlineStr">
        <is>
          <t>Database</t>
        </is>
      </c>
      <c r="G2949" s="1" t="inlineStr">
        <is>
          <t>Hard</t>
        </is>
      </c>
      <c r="H2949" s="1" t="n">
        <v>21416</v>
      </c>
      <c r="I2949" s="1" t="n">
        <v>28057</v>
      </c>
      <c r="J2949" s="9" t="n">
        <v>0.763</v>
      </c>
      <c r="K2949" s="1" t="inlineStr">
        <is>
          <t>No</t>
        </is>
      </c>
      <c r="L2949" s="1" t="inlineStr">
        <is>
          <t>Yes</t>
        </is>
      </c>
      <c r="M2949" s="1" t="inlineStr">
        <is>
          <t>No</t>
        </is>
      </c>
      <c r="N2949" s="1" t="inlineStr">
        <is>
          <t>Database</t>
        </is>
      </c>
      <c r="O29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49" s="11" t="inlineStr">
        <is>
          <t>To Do</t>
        </is>
      </c>
    </row>
    <row r="2950" ht="15.75" customHeight="1" s="12">
      <c r="A2950" s="1" t="n">
        <v>1682</v>
      </c>
      <c r="B2950" s="3">
        <f>HYPERLINK("https://leetcode.com/problems/longest-palindromic-subsequence-ii/", "Longest Palindromic Subsequence II")</f>
        <v/>
      </c>
      <c r="C2950" s="1" t="n">
        <v>159</v>
      </c>
      <c r="D2950" s="1" t="n">
        <v>30</v>
      </c>
      <c r="E2950" s="4">
        <f>IF(INDEX(C:C, ROW())+INDEX(D:D, ROW())=0, 0, INDEX(C:C, ROW())/(INDEX(C:C, ROW())+INDEX(D:D, ROW())))</f>
        <v/>
      </c>
      <c r="F2950" s="1" t="inlineStr">
        <is>
          <t>String, Dynamic Programming</t>
        </is>
      </c>
      <c r="G2950" s="1" t="inlineStr">
        <is>
          <t>Medium</t>
        </is>
      </c>
      <c r="H2950" s="1" t="n">
        <v>6443</v>
      </c>
      <c r="I2950" s="1" t="n">
        <v>12798</v>
      </c>
      <c r="J2950" s="9" t="n">
        <v>0.503</v>
      </c>
      <c r="K2950" s="1" t="inlineStr">
        <is>
          <t>No</t>
        </is>
      </c>
      <c r="L2950" s="1" t="inlineStr">
        <is>
          <t>No</t>
        </is>
      </c>
      <c r="M2950" s="1" t="inlineStr">
        <is>
          <t>No</t>
        </is>
      </c>
      <c r="N2950" s="1" t="inlineStr">
        <is>
          <t>Algorithms</t>
        </is>
      </c>
      <c r="O29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50" s="11" t="inlineStr">
        <is>
          <t>To Do</t>
        </is>
      </c>
    </row>
    <row r="2951" ht="15.75" customHeight="1" s="12">
      <c r="A2951" s="1" t="n">
        <v>3168</v>
      </c>
      <c r="B2951" s="3">
        <f>HYPERLINK("https://leetcode.com/problems/minimum-number-of-chairs-in-a-waiting-room/", "Minimum Number of Chairs in a Waiting Room")</f>
        <v/>
      </c>
      <c r="C2951" s="1" t="n">
        <v>159</v>
      </c>
      <c r="D2951" s="1" t="n">
        <v>16</v>
      </c>
      <c r="E2951" s="4">
        <f>IF(INDEX(C:C, ROW())+INDEX(D:D, ROW())=0, 0, INDEX(C:C, ROW())/(INDEX(C:C, ROW())+INDEX(D:D, ROW())))</f>
        <v/>
      </c>
      <c r="F2951" s="1" t="inlineStr">
        <is>
          <t>String, Simulation</t>
        </is>
      </c>
      <c r="G2951" s="1" t="inlineStr">
        <is>
          <t>Easy</t>
        </is>
      </c>
      <c r="H2951" s="1" t="n">
        <v>71501</v>
      </c>
      <c r="I2951" s="1" t="n">
        <v>90140</v>
      </c>
      <c r="J2951" s="9" t="n">
        <v>0.793</v>
      </c>
      <c r="K2951" s="1" t="inlineStr">
        <is>
          <t>Yes</t>
        </is>
      </c>
      <c r="L2951" s="1" t="inlineStr">
        <is>
          <t>No</t>
        </is>
      </c>
      <c r="M2951" s="1" t="inlineStr">
        <is>
          <t>No</t>
        </is>
      </c>
      <c r="N2951" s="1" t="inlineStr">
        <is>
          <t>Algorithms</t>
        </is>
      </c>
      <c r="O29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51" s="13" t="inlineStr">
        <is>
          <t>Done</t>
        </is>
      </c>
    </row>
    <row r="2952" ht="15.75" customHeight="1" s="12">
      <c r="A2952" s="1" t="n">
        <v>3265</v>
      </c>
      <c r="B2952" s="3">
        <f>HYPERLINK("https://leetcode.com/problems/count-almost-equal-pairs-i/", "Count Almost Equal Pairs I")</f>
        <v/>
      </c>
      <c r="C2952" s="1" t="n">
        <v>159</v>
      </c>
      <c r="D2952" s="1" t="n">
        <v>26</v>
      </c>
      <c r="E2952" s="4">
        <f>IF(INDEX(C:C, ROW())+INDEX(D:D, ROW())=0, 0, INDEX(C:C, ROW())/(INDEX(C:C, ROW())+INDEX(D:D, ROW())))</f>
        <v/>
      </c>
      <c r="F2952" s="1" t="inlineStr">
        <is>
          <t>Array, Hash Table, Sorting, Counting, Enumeration</t>
        </is>
      </c>
      <c r="G2952" s="1" t="inlineStr">
        <is>
          <t>Medium</t>
        </is>
      </c>
      <c r="H2952" s="1" t="n">
        <v>29361</v>
      </c>
      <c r="I2952" s="1" t="n">
        <v>76633</v>
      </c>
      <c r="J2952" s="9" t="n">
        <v>0.383</v>
      </c>
      <c r="K2952" s="1" t="inlineStr">
        <is>
          <t>Yes</t>
        </is>
      </c>
      <c r="L2952" s="1" t="inlineStr">
        <is>
          <t>No</t>
        </is>
      </c>
      <c r="M2952" s="1" t="inlineStr">
        <is>
          <t>No</t>
        </is>
      </c>
      <c r="N2952" s="1" t="inlineStr">
        <is>
          <t>Algorithms</t>
        </is>
      </c>
      <c r="O29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52" s="11" t="inlineStr">
        <is>
          <t>To Do</t>
        </is>
      </c>
    </row>
    <row r="2953" ht="15.75" customHeight="1" s="12">
      <c r="A2953" s="1" t="n">
        <v>3280</v>
      </c>
      <c r="B2953" s="3">
        <f>HYPERLINK("https://leetcode.com/problems/convert-date-to-binary/", "Convert Date to Binary")</f>
        <v/>
      </c>
      <c r="C2953" s="1" t="n">
        <v>159</v>
      </c>
      <c r="D2953" s="1" t="n">
        <v>11</v>
      </c>
      <c r="E2953" s="4">
        <f>IF(INDEX(C:C, ROW())+INDEX(D:D, ROW())=0, 0, INDEX(C:C, ROW())/(INDEX(C:C, ROW())+INDEX(D:D, ROW())))</f>
        <v/>
      </c>
      <c r="F2953" s="1" t="inlineStr">
        <is>
          <t>Math, String</t>
        </is>
      </c>
      <c r="G2953" s="1" t="inlineStr">
        <is>
          <t>Easy</t>
        </is>
      </c>
      <c r="H2953" s="1" t="n">
        <v>89585</v>
      </c>
      <c r="I2953" s="1" t="n">
        <v>100877</v>
      </c>
      <c r="J2953" s="9" t="n">
        <v>0.888</v>
      </c>
      <c r="K2953" s="1" t="inlineStr">
        <is>
          <t>Yes</t>
        </is>
      </c>
      <c r="L2953" s="1" t="inlineStr">
        <is>
          <t>No</t>
        </is>
      </c>
      <c r="M2953" s="1" t="inlineStr">
        <is>
          <t>No</t>
        </is>
      </c>
      <c r="N2953" s="1" t="inlineStr">
        <is>
          <t>Algorithms</t>
        </is>
      </c>
      <c r="O29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53" s="13" t="inlineStr">
        <is>
          <t>Done</t>
        </is>
      </c>
    </row>
    <row r="2954" ht="15.75" customHeight="1" s="12">
      <c r="A2954" s="1" t="n">
        <v>1435</v>
      </c>
      <c r="B2954" s="3">
        <f>HYPERLINK("https://leetcode.com/problems/create-a-session-bar-chart/", "Create a Session Bar Chart")</f>
        <v/>
      </c>
      <c r="C2954" s="1" t="n">
        <v>158</v>
      </c>
      <c r="D2954" s="1" t="n">
        <v>265</v>
      </c>
      <c r="E2954" s="4">
        <f>IF(INDEX(C:C, ROW())+INDEX(D:D, ROW())=0, 0, INDEX(C:C, ROW())/(INDEX(C:C, ROW())+INDEX(D:D, ROW())))</f>
        <v/>
      </c>
      <c r="F2954" s="1" t="inlineStr">
        <is>
          <t>Database</t>
        </is>
      </c>
      <c r="G2954" s="1" t="inlineStr">
        <is>
          <t>Easy</t>
        </is>
      </c>
      <c r="H2954" s="1" t="n">
        <v>27448</v>
      </c>
      <c r="I2954" s="1" t="n">
        <v>36879</v>
      </c>
      <c r="J2954" s="9" t="n">
        <v>0.744</v>
      </c>
      <c r="K2954" s="1" t="inlineStr">
        <is>
          <t>No</t>
        </is>
      </c>
      <c r="L2954" s="1" t="inlineStr">
        <is>
          <t>No</t>
        </is>
      </c>
      <c r="M2954" s="1" t="inlineStr">
        <is>
          <t>No</t>
        </is>
      </c>
      <c r="N2954" s="1" t="inlineStr">
        <is>
          <t>Database</t>
        </is>
      </c>
      <c r="O29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54" s="11" t="inlineStr">
        <is>
          <t>To Do</t>
        </is>
      </c>
    </row>
    <row r="2955" ht="15.75" customHeight="1" s="12">
      <c r="A2955" s="1" t="n">
        <v>3165</v>
      </c>
      <c r="B2955" s="3">
        <f>HYPERLINK("https://leetcode.com/problems/maximum-sum-of-subsequence-with-non-adjacent-elements/", "Maximum Sum of Subsequence With Non-adjacent Elements")</f>
        <v/>
      </c>
      <c r="C2955" s="1" t="n">
        <v>158</v>
      </c>
      <c r="D2955" s="1" t="n">
        <v>32</v>
      </c>
      <c r="E2955" s="4">
        <f>IF(INDEX(C:C, ROW())+INDEX(D:D, ROW())=0, 0, INDEX(C:C, ROW())/(INDEX(C:C, ROW())+INDEX(D:D, ROW())))</f>
        <v/>
      </c>
      <c r="F2955" s="1" t="inlineStr">
        <is>
          <t>Array, Divide and Conquer, Dynamic Programming, Segment Tree</t>
        </is>
      </c>
      <c r="G2955" s="1" t="inlineStr">
        <is>
          <t>Hard</t>
        </is>
      </c>
      <c r="H2955" s="1" t="n">
        <v>8912</v>
      </c>
      <c r="I2955" s="1" t="n">
        <v>56124</v>
      </c>
      <c r="J2955" s="9" t="n">
        <v>0.159</v>
      </c>
      <c r="K2955" s="1" t="inlineStr">
        <is>
          <t>Yes</t>
        </is>
      </c>
      <c r="L2955" s="1" t="inlineStr">
        <is>
          <t>No</t>
        </is>
      </c>
      <c r="M2955" s="1" t="inlineStr">
        <is>
          <t>No</t>
        </is>
      </c>
      <c r="N2955" s="1" t="inlineStr">
        <is>
          <t>Algorithms</t>
        </is>
      </c>
      <c r="O29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55" s="11" t="inlineStr">
        <is>
          <t>To Do</t>
        </is>
      </c>
    </row>
    <row r="2956" ht="15.75" customHeight="1" s="12">
      <c r="A2956" s="1" t="n">
        <v>3192</v>
      </c>
      <c r="B2956" s="3">
        <f>HYPERLINK("https://leetcode.com/problems/minimum-operations-to-make-binary-array-elements-equal-to-one-ii/", "Minimum Operations to Make Binary Array Elements Equal to One II")</f>
        <v/>
      </c>
      <c r="C2956" s="1" t="n">
        <v>158</v>
      </c>
      <c r="D2956" s="1" t="n">
        <v>9</v>
      </c>
      <c r="E2956" s="4">
        <f>IF(INDEX(C:C, ROW())+INDEX(D:D, ROW())=0, 0, INDEX(C:C, ROW())/(INDEX(C:C, ROW())+INDEX(D:D, ROW())))</f>
        <v/>
      </c>
      <c r="F2956" s="1" t="inlineStr">
        <is>
          <t>Array, Dynamic Programming, Greedy</t>
        </is>
      </c>
      <c r="G2956" s="1" t="inlineStr">
        <is>
          <t>Medium</t>
        </is>
      </c>
      <c r="H2956" s="1" t="n">
        <v>43833</v>
      </c>
      <c r="I2956" s="1" t="n">
        <v>67333</v>
      </c>
      <c r="J2956" s="9" t="n">
        <v>0.651</v>
      </c>
      <c r="K2956" s="1" t="inlineStr">
        <is>
          <t>Yes</t>
        </is>
      </c>
      <c r="L2956" s="1" t="inlineStr">
        <is>
          <t>No</t>
        </is>
      </c>
      <c r="M2956" s="1" t="inlineStr">
        <is>
          <t>No</t>
        </is>
      </c>
      <c r="N2956" s="1" t="inlineStr">
        <is>
          <t>Algorithms</t>
        </is>
      </c>
      <c r="O29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56" s="11" t="inlineStr">
        <is>
          <t>To Do</t>
        </is>
      </c>
    </row>
    <row r="2957" ht="15.75" customHeight="1" s="12">
      <c r="A2957" s="1" t="n">
        <v>3310</v>
      </c>
      <c r="B2957" s="3">
        <f>HYPERLINK("https://leetcode.com/problems/remove-methods-from-project/", "Remove Methods From Project")</f>
        <v/>
      </c>
      <c r="C2957" s="1" t="n">
        <v>158</v>
      </c>
      <c r="D2957" s="1" t="n">
        <v>57</v>
      </c>
      <c r="E2957" s="4">
        <f>IF(INDEX(C:C, ROW())+INDEX(D:D, ROW())=0, 0, INDEX(C:C, ROW())/(INDEX(C:C, ROW())+INDEX(D:D, ROW())))</f>
        <v/>
      </c>
      <c r="F2957" s="1" t="inlineStr">
        <is>
          <t>Depth-First Search, Breadth-First Search, Graph Theory</t>
        </is>
      </c>
      <c r="G2957" s="1" t="inlineStr">
        <is>
          <t>Medium</t>
        </is>
      </c>
      <c r="H2957" s="1" t="n">
        <v>27263</v>
      </c>
      <c r="I2957" s="1" t="n">
        <v>53931</v>
      </c>
      <c r="J2957" s="9" t="n">
        <v>0.506</v>
      </c>
      <c r="K2957" s="1" t="inlineStr">
        <is>
          <t>Yes</t>
        </is>
      </c>
      <c r="L2957" s="1" t="inlineStr">
        <is>
          <t>No</t>
        </is>
      </c>
      <c r="M2957" s="1" t="inlineStr">
        <is>
          <t>No</t>
        </is>
      </c>
      <c r="N2957" s="1" t="inlineStr">
        <is>
          <t>Algorithms</t>
        </is>
      </c>
      <c r="O29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57" s="11" t="inlineStr">
        <is>
          <t>To Do</t>
        </is>
      </c>
    </row>
    <row r="2958" ht="15.75" customHeight="1" s="12">
      <c r="A2958" s="1" t="n">
        <v>3319</v>
      </c>
      <c r="B2958" s="3">
        <f>HYPERLINK("https://leetcode.com/problems/k-th-largest-perfect-subtree-size-in-binary-tree/", "K-th Largest Perfect Subtree Size in Binary Tree")</f>
        <v/>
      </c>
      <c r="C2958" s="1" t="n">
        <v>158</v>
      </c>
      <c r="D2958" s="1" t="n">
        <v>15</v>
      </c>
      <c r="E2958" s="4">
        <f>IF(INDEX(C:C, ROW())+INDEX(D:D, ROW())=0, 0, INDEX(C:C, ROW())/(INDEX(C:C, ROW())+INDEX(D:D, ROW())))</f>
        <v/>
      </c>
      <c r="F2958" s="1" t="inlineStr">
        <is>
          <t>Tree, Depth-First Search, Sorting, Binary Tree</t>
        </is>
      </c>
      <c r="G2958" s="1" t="inlineStr">
        <is>
          <t>Medium</t>
        </is>
      </c>
      <c r="H2958" s="1" t="n">
        <v>29870</v>
      </c>
      <c r="I2958" s="1" t="n">
        <v>47993</v>
      </c>
      <c r="J2958" s="9" t="n">
        <v>0.622</v>
      </c>
      <c r="K2958" s="1" t="inlineStr">
        <is>
          <t>Yes</t>
        </is>
      </c>
      <c r="L2958" s="1" t="inlineStr">
        <is>
          <t>No</t>
        </is>
      </c>
      <c r="M2958" s="1" t="inlineStr">
        <is>
          <t>No</t>
        </is>
      </c>
      <c r="N2958" s="1" t="inlineStr">
        <is>
          <t>Algorithms</t>
        </is>
      </c>
      <c r="O29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58" s="11" t="inlineStr">
        <is>
          <t>To Do</t>
        </is>
      </c>
    </row>
    <row r="2959" ht="15.75" customHeight="1" s="12">
      <c r="A2959" s="1" t="n">
        <v>3351</v>
      </c>
      <c r="B2959" s="3">
        <f>HYPERLINK("https://leetcode.com/problems/sum-of-good-subsequences/", "Sum of Good Subsequences")</f>
        <v/>
      </c>
      <c r="C2959" s="1" t="n">
        <v>158</v>
      </c>
      <c r="D2959" s="1" t="n">
        <v>9</v>
      </c>
      <c r="E2959" s="4">
        <f>IF(INDEX(C:C, ROW())+INDEX(D:D, ROW())=0, 0, INDEX(C:C, ROW())/(INDEX(C:C, ROW())+INDEX(D:D, ROW())))</f>
        <v/>
      </c>
      <c r="F2959" s="1" t="inlineStr">
        <is>
          <t>Array, Hash Table, Dynamic Programming</t>
        </is>
      </c>
      <c r="G2959" s="1" t="inlineStr">
        <is>
          <t>Hard</t>
        </is>
      </c>
      <c r="H2959" s="1" t="n">
        <v>12392</v>
      </c>
      <c r="I2959" s="1" t="n">
        <v>39940</v>
      </c>
      <c r="J2959" s="9" t="n">
        <v>0.31</v>
      </c>
      <c r="K2959" s="1" t="inlineStr">
        <is>
          <t>Yes</t>
        </is>
      </c>
      <c r="L2959" s="1" t="inlineStr">
        <is>
          <t>No</t>
        </is>
      </c>
      <c r="M2959" s="1" t="inlineStr">
        <is>
          <t>No</t>
        </is>
      </c>
      <c r="N2959" s="1" t="inlineStr">
        <is>
          <t>Algorithms</t>
        </is>
      </c>
      <c r="O29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59" s="11" t="inlineStr">
        <is>
          <t>To Do</t>
        </is>
      </c>
    </row>
    <row r="2960" ht="15.75" customHeight="1" s="12">
      <c r="A2960" s="1" t="n">
        <v>1058</v>
      </c>
      <c r="B2960" s="3">
        <f>HYPERLINK("https://leetcode.com/problems/minimize-rounding-error-to-meet-target/", "Minimize Rounding Error to Meet Target")</f>
        <v/>
      </c>
      <c r="C2960" s="1" t="n">
        <v>157</v>
      </c>
      <c r="D2960" s="1" t="n">
        <v>149</v>
      </c>
      <c r="E2960" s="4">
        <f>IF(INDEX(C:C, ROW())+INDEX(D:D, ROW())=0, 0, INDEX(C:C, ROW())/(INDEX(C:C, ROW())+INDEX(D:D, ROW())))</f>
        <v/>
      </c>
      <c r="F2960" s="1" t="inlineStr">
        <is>
          <t>Array, Math, String, Greedy, Sorting</t>
        </is>
      </c>
      <c r="G2960" s="1" t="inlineStr">
        <is>
          <t>Medium</t>
        </is>
      </c>
      <c r="H2960" s="1" t="n">
        <v>11497</v>
      </c>
      <c r="I2960" s="1" t="n">
        <v>25070</v>
      </c>
      <c r="J2960" s="9" t="n">
        <v>0.459</v>
      </c>
      <c r="K2960" s="1" t="inlineStr">
        <is>
          <t>No</t>
        </is>
      </c>
      <c r="L2960" s="1" t="inlineStr">
        <is>
          <t>No</t>
        </is>
      </c>
      <c r="M2960" s="1" t="inlineStr">
        <is>
          <t>No</t>
        </is>
      </c>
      <c r="N2960" s="1" t="inlineStr">
        <is>
          <t>Algorithms</t>
        </is>
      </c>
      <c r="O29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60" s="11" t="inlineStr">
        <is>
          <t>To Do</t>
        </is>
      </c>
    </row>
    <row r="2961" ht="15.75" customHeight="1" s="12">
      <c r="A2961" s="1" t="n">
        <v>1852</v>
      </c>
      <c r="B2961" s="3">
        <f>HYPERLINK("https://leetcode.com/problems/distinct-numbers-in-each-subarray/", "Distinct Numbers in Each Subarray")</f>
        <v/>
      </c>
      <c r="C2961" s="1" t="n">
        <v>157</v>
      </c>
      <c r="D2961" s="1" t="n">
        <v>10</v>
      </c>
      <c r="E2961" s="4">
        <f>IF(INDEX(C:C, ROW())+INDEX(D:D, ROW())=0, 0, INDEX(C:C, ROW())/(INDEX(C:C, ROW())+INDEX(D:D, ROW())))</f>
        <v/>
      </c>
      <c r="F2961" s="1" t="inlineStr">
        <is>
          <t>Array, Hash Table, Sliding Window</t>
        </is>
      </c>
      <c r="G2961" s="1" t="inlineStr">
        <is>
          <t>Medium</t>
        </is>
      </c>
      <c r="H2961" s="1" t="n">
        <v>16884</v>
      </c>
      <c r="I2961" s="1" t="n">
        <v>21838</v>
      </c>
      <c r="J2961" s="9" t="n">
        <v>0.773</v>
      </c>
      <c r="K2961" s="1" t="inlineStr">
        <is>
          <t>No</t>
        </is>
      </c>
      <c r="L2961" s="1" t="inlineStr">
        <is>
          <t>Yes</t>
        </is>
      </c>
      <c r="M2961" s="1" t="inlineStr">
        <is>
          <t>No</t>
        </is>
      </c>
      <c r="N2961" s="1" t="inlineStr">
        <is>
          <t>Algorithms</t>
        </is>
      </c>
      <c r="O29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61" s="11" t="inlineStr">
        <is>
          <t>To Do</t>
        </is>
      </c>
    </row>
    <row r="2962" ht="15.75" customHeight="1" s="12">
      <c r="A2962" s="1" t="n">
        <v>2916</v>
      </c>
      <c r="B2962" s="3">
        <f>HYPERLINK("https://leetcode.com/problems/subarrays-distinct-element-sum-of-squares-ii/", "Subarrays Distinct Element Sum of Squares II")</f>
        <v/>
      </c>
      <c r="C2962" s="1" t="n">
        <v>157</v>
      </c>
      <c r="D2962" s="1" t="n">
        <v>12</v>
      </c>
      <c r="E2962" s="4">
        <f>IF(INDEX(C:C, ROW())+INDEX(D:D, ROW())=0, 0, INDEX(C:C, ROW())/(INDEX(C:C, ROW())+INDEX(D:D, ROW())))</f>
        <v/>
      </c>
      <c r="F2962" s="1" t="inlineStr">
        <is>
          <t>Array, Dynamic Programming, Binary Indexed Tree, Segment Tree</t>
        </is>
      </c>
      <c r="G2962" s="1" t="inlineStr">
        <is>
          <t>Hard</t>
        </is>
      </c>
      <c r="H2962" s="1" t="n">
        <v>4719</v>
      </c>
      <c r="I2962" s="1" t="n">
        <v>20437</v>
      </c>
      <c r="J2962" s="9" t="n">
        <v>0.231</v>
      </c>
      <c r="K2962" s="1" t="inlineStr">
        <is>
          <t>Yes</t>
        </is>
      </c>
      <c r="L2962" s="1" t="inlineStr">
        <is>
          <t>No</t>
        </is>
      </c>
      <c r="M2962" s="1" t="inlineStr">
        <is>
          <t>No</t>
        </is>
      </c>
      <c r="N2962" s="1" t="inlineStr">
        <is>
          <t>Algorithms</t>
        </is>
      </c>
      <c r="O29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62" s="11" t="inlineStr">
        <is>
          <t>To Do</t>
        </is>
      </c>
    </row>
    <row r="2963" ht="15.75" customHeight="1" s="12">
      <c r="A2963" s="1" t="n">
        <v>3072</v>
      </c>
      <c r="B2963" s="3">
        <f>HYPERLINK("https://leetcode.com/problems/distribute-elements-into-two-arrays-ii/", "Distribute Elements Into Two Arrays II")</f>
        <v/>
      </c>
      <c r="C2963" s="1" t="n">
        <v>157</v>
      </c>
      <c r="D2963" s="1" t="n">
        <v>14</v>
      </c>
      <c r="E2963" s="4">
        <f>IF(INDEX(C:C, ROW())+INDEX(D:D, ROW())=0, 0, INDEX(C:C, ROW())/(INDEX(C:C, ROW())+INDEX(D:D, ROW())))</f>
        <v/>
      </c>
      <c r="F2963" s="1" t="inlineStr">
        <is>
          <t>Array, Binary Indexed Tree, Segment Tree, Simulation</t>
        </is>
      </c>
      <c r="G2963" s="1" t="inlineStr">
        <is>
          <t>Hard</t>
        </is>
      </c>
      <c r="H2963" s="1" t="n">
        <v>14297</v>
      </c>
      <c r="I2963" s="1" t="n">
        <v>46721</v>
      </c>
      <c r="J2963" s="9" t="n">
        <v>0.306</v>
      </c>
      <c r="K2963" s="1" t="inlineStr">
        <is>
          <t>Yes</t>
        </is>
      </c>
      <c r="L2963" s="1" t="inlineStr">
        <is>
          <t>No</t>
        </is>
      </c>
      <c r="M2963" s="1" t="inlineStr">
        <is>
          <t>No</t>
        </is>
      </c>
      <c r="N2963" s="1" t="inlineStr">
        <is>
          <t>Algorithms</t>
        </is>
      </c>
      <c r="O29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63" s="11" t="inlineStr">
        <is>
          <t>To Do</t>
        </is>
      </c>
    </row>
    <row r="2964" ht="15.75" customHeight="1" s="12">
      <c r="A2964" s="1" t="n">
        <v>3835</v>
      </c>
      <c r="B2964" s="3">
        <f>HYPERLINK("https://leetcode.com/problems/count-subarrays-with-cost-less-than-or-equal-to-k/", "Count Subarrays With Cost Less Than or Equal to K")</f>
        <v/>
      </c>
      <c r="C2964" s="1" t="n">
        <v>157</v>
      </c>
      <c r="D2964" s="1" t="n">
        <v>5</v>
      </c>
      <c r="E2964" s="4">
        <f>IF(INDEX(C:C, ROW())+INDEX(D:D, ROW())=0, 0, INDEX(C:C, ROW())/(INDEX(C:C, ROW())+INDEX(D:D, ROW())))</f>
        <v/>
      </c>
      <c r="F2964" s="1" t="inlineStr">
        <is>
          <t>Array, Queue, Monotonic Queue</t>
        </is>
      </c>
      <c r="G2964" s="1" t="inlineStr">
        <is>
          <t>Medium</t>
        </is>
      </c>
      <c r="H2964" s="1" t="n">
        <v>22725</v>
      </c>
      <c r="I2964" s="1" t="n">
        <v>49502</v>
      </c>
      <c r="J2964" s="9" t="n">
        <v>0.459</v>
      </c>
      <c r="K2964" s="1" t="inlineStr">
        <is>
          <t>Yes</t>
        </is>
      </c>
      <c r="L2964" s="1" t="inlineStr">
        <is>
          <t>No</t>
        </is>
      </c>
      <c r="M2964" s="1" t="inlineStr">
        <is>
          <t>No</t>
        </is>
      </c>
      <c r="N2964" s="1" t="inlineStr">
        <is>
          <t>Algorithms</t>
        </is>
      </c>
      <c r="O29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64" s="11" t="inlineStr">
        <is>
          <t>To Do</t>
        </is>
      </c>
    </row>
    <row r="2965" ht="15.75" customHeight="1" s="12">
      <c r="A2965" s="1" t="n">
        <v>2878</v>
      </c>
      <c r="B2965" s="3">
        <f>HYPERLINK("https://leetcode.com/problems/get-the-size-of-a-dataframe/", "Get the Size of a DataFrame")</f>
        <v/>
      </c>
      <c r="C2965" s="1" t="n">
        <v>156</v>
      </c>
      <c r="D2965" s="1" t="n">
        <v>14</v>
      </c>
      <c r="E2965" s="4">
        <f>IF(INDEX(C:C, ROW())+INDEX(D:D, ROW())=0, 0, INDEX(C:C, ROW())/(INDEX(C:C, ROW())+INDEX(D:D, ROW())))</f>
        <v/>
      </c>
      <c r="F2965" s="2" t="n"/>
      <c r="G2965" s="1" t="inlineStr">
        <is>
          <t>Easy</t>
        </is>
      </c>
      <c r="H2965" s="1" t="n">
        <v>198044</v>
      </c>
      <c r="I2965" s="1" t="n">
        <v>233510</v>
      </c>
      <c r="J2965" s="9" t="n">
        <v>0.848</v>
      </c>
      <c r="K2965" s="1" t="inlineStr">
        <is>
          <t>Yes</t>
        </is>
      </c>
      <c r="L2965" s="1" t="inlineStr">
        <is>
          <t>Yes</t>
        </is>
      </c>
      <c r="M2965" s="1" t="inlineStr">
        <is>
          <t>No</t>
        </is>
      </c>
      <c r="N2965" s="1" t="inlineStr">
        <is>
          <t>pandas</t>
        </is>
      </c>
      <c r="O29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65" s="13" t="inlineStr">
        <is>
          <t>Done</t>
        </is>
      </c>
    </row>
    <row r="2966" ht="15.75" customHeight="1" s="12">
      <c r="A2966" s="1" t="n">
        <v>3250</v>
      </c>
      <c r="B2966" s="3">
        <f>HYPERLINK("https://leetcode.com/problems/find-the-count-of-monotonic-pairs-i/", "Find the Count of Monotonic Pairs I")</f>
        <v/>
      </c>
      <c r="C2966" s="1" t="n">
        <v>156</v>
      </c>
      <c r="D2966" s="1" t="n">
        <v>13</v>
      </c>
      <c r="E2966" s="4">
        <f>IF(INDEX(C:C, ROW())+INDEX(D:D, ROW())=0, 0, INDEX(C:C, ROW())/(INDEX(C:C, ROW())+INDEX(D:D, ROW())))</f>
        <v/>
      </c>
      <c r="F2966" s="1" t="inlineStr">
        <is>
          <t>Array, Math, Dynamic Programming, Combinatorics, Prefix Sum</t>
        </is>
      </c>
      <c r="G2966" s="1" t="inlineStr">
        <is>
          <t>Hard</t>
        </is>
      </c>
      <c r="H2966" s="1" t="n">
        <v>20739</v>
      </c>
      <c r="I2966" s="1" t="n">
        <v>43727</v>
      </c>
      <c r="J2966" s="9" t="n">
        <v>0.474</v>
      </c>
      <c r="K2966" s="1" t="inlineStr">
        <is>
          <t>Yes</t>
        </is>
      </c>
      <c r="L2966" s="1" t="inlineStr">
        <is>
          <t>No</t>
        </is>
      </c>
      <c r="M2966" s="1" t="inlineStr">
        <is>
          <t>No</t>
        </is>
      </c>
      <c r="N2966" s="1" t="inlineStr">
        <is>
          <t>Algorithms</t>
        </is>
      </c>
      <c r="O29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66" s="11" t="inlineStr">
        <is>
          <t>To Do</t>
        </is>
      </c>
    </row>
    <row r="2967" ht="15.75" customHeight="1" s="12">
      <c r="A2967" s="1" t="n">
        <v>3629</v>
      </c>
      <c r="B2967" s="3">
        <f>HYPERLINK("https://leetcode.com/problems/minimum-jumps-to-reach-end-via-prime-teleportation/", "Minimum Jumps to Reach End via Prime Teleportation")</f>
        <v/>
      </c>
      <c r="C2967" s="1" t="n">
        <v>156</v>
      </c>
      <c r="D2967" s="1" t="n">
        <v>18</v>
      </c>
      <c r="E2967" s="4">
        <f>IF(INDEX(C:C, ROW())+INDEX(D:D, ROW())=0, 0, INDEX(C:C, ROW())/(INDEX(C:C, ROW())+INDEX(D:D, ROW())))</f>
        <v/>
      </c>
      <c r="F2967" s="1" t="inlineStr">
        <is>
          <t>Array, Hash Table, Math, Breadth-First Search, Number Theory</t>
        </is>
      </c>
      <c r="G2967" s="1" t="inlineStr">
        <is>
          <t>Medium</t>
        </is>
      </c>
      <c r="H2967" s="1" t="n">
        <v>31742</v>
      </c>
      <c r="I2967" s="1" t="n">
        <v>92805</v>
      </c>
      <c r="J2967" s="9" t="n">
        <v>0.342</v>
      </c>
      <c r="K2967" s="1" t="inlineStr">
        <is>
          <t>Yes</t>
        </is>
      </c>
      <c r="L2967" s="1" t="inlineStr">
        <is>
          <t>Yes</t>
        </is>
      </c>
      <c r="M2967" s="1" t="inlineStr">
        <is>
          <t>No</t>
        </is>
      </c>
      <c r="N2967" s="1" t="inlineStr">
        <is>
          <t>Algorithms</t>
        </is>
      </c>
      <c r="O29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67" s="11" t="inlineStr">
        <is>
          <t>To Do</t>
        </is>
      </c>
    </row>
    <row r="2968" ht="15.75" customHeight="1" s="12">
      <c r="A2968" s="1" t="n">
        <v>1243</v>
      </c>
      <c r="B2968" s="3">
        <f>HYPERLINK("https://leetcode.com/problems/array-transformation/", "Array Transformation")</f>
        <v/>
      </c>
      <c r="C2968" s="1" t="n">
        <v>155</v>
      </c>
      <c r="D2968" s="1" t="n">
        <v>73</v>
      </c>
      <c r="E2968" s="4">
        <f>IF(INDEX(C:C, ROW())+INDEX(D:D, ROW())=0, 0, INDEX(C:C, ROW())/(INDEX(C:C, ROW())+INDEX(D:D, ROW())))</f>
        <v/>
      </c>
      <c r="F2968" s="1" t="inlineStr">
        <is>
          <t>Array, Simulation</t>
        </is>
      </c>
      <c r="G2968" s="1" t="inlineStr">
        <is>
          <t>Easy</t>
        </is>
      </c>
      <c r="H2968" s="1" t="n">
        <v>16419</v>
      </c>
      <c r="I2968" s="1" t="n">
        <v>30579</v>
      </c>
      <c r="J2968" s="9" t="n">
        <v>0.537</v>
      </c>
      <c r="K2968" s="1" t="inlineStr">
        <is>
          <t>No</t>
        </is>
      </c>
      <c r="L2968" s="1" t="inlineStr">
        <is>
          <t>No</t>
        </is>
      </c>
      <c r="M2968" s="1" t="inlineStr">
        <is>
          <t>No</t>
        </is>
      </c>
      <c r="N2968" s="1" t="inlineStr">
        <is>
          <t>Algorithms</t>
        </is>
      </c>
      <c r="O29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68" s="11" t="inlineStr">
        <is>
          <t>To Do</t>
        </is>
      </c>
    </row>
    <row r="2969" ht="15.75" customHeight="1" s="12">
      <c r="A2969" s="1" t="n">
        <v>2928</v>
      </c>
      <c r="B2969" s="3">
        <f>HYPERLINK("https://leetcode.com/problems/distribute-candies-among-children-i/", "Distribute Candies Among Children I")</f>
        <v/>
      </c>
      <c r="C2969" s="1" t="n">
        <v>155</v>
      </c>
      <c r="D2969" s="1" t="n">
        <v>76</v>
      </c>
      <c r="E2969" s="4">
        <f>IF(INDEX(C:C, ROW())+INDEX(D:D, ROW())=0, 0, INDEX(C:C, ROW())/(INDEX(C:C, ROW())+INDEX(D:D, ROW())))</f>
        <v/>
      </c>
      <c r="F2969" s="1" t="inlineStr">
        <is>
          <t>Math, Combinatorics, Enumeration</t>
        </is>
      </c>
      <c r="G2969" s="1" t="inlineStr">
        <is>
          <t>Easy</t>
        </is>
      </c>
      <c r="H2969" s="1" t="n">
        <v>42896</v>
      </c>
      <c r="I2969" s="1" t="n">
        <v>56163</v>
      </c>
      <c r="J2969" s="9" t="n">
        <v>0.764</v>
      </c>
      <c r="K2969" s="1" t="inlineStr">
        <is>
          <t>Yes</t>
        </is>
      </c>
      <c r="L2969" s="1" t="inlineStr">
        <is>
          <t>No</t>
        </is>
      </c>
      <c r="M2969" s="1" t="inlineStr">
        <is>
          <t>No</t>
        </is>
      </c>
      <c r="N2969" s="1" t="inlineStr">
        <is>
          <t>Algorithms</t>
        </is>
      </c>
      <c r="O29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69" s="13" t="inlineStr">
        <is>
          <t>Done</t>
        </is>
      </c>
    </row>
    <row r="2970" ht="15.75" customHeight="1" s="12">
      <c r="A2970" s="1" t="n">
        <v>2204</v>
      </c>
      <c r="B2970" s="3">
        <f>HYPERLINK("https://leetcode.com/problems/distance-to-a-cycle-in-undirected-graph/", "Distance to a Cycle in Undirected Graph")</f>
        <v/>
      </c>
      <c r="C2970" s="1" t="n">
        <v>154</v>
      </c>
      <c r="D2970" s="1" t="n">
        <v>11</v>
      </c>
      <c r="E2970" s="4">
        <f>IF(INDEX(C:C, ROW())+INDEX(D:D, ROW())=0, 0, INDEX(C:C, ROW())/(INDEX(C:C, ROW())+INDEX(D:D, ROW())))</f>
        <v/>
      </c>
      <c r="F2970" s="1" t="inlineStr">
        <is>
          <t>Depth-First Search, Breadth-First Search, Graph Theory, Topological Sort</t>
        </is>
      </c>
      <c r="G2970" s="1" t="inlineStr">
        <is>
          <t>Hard</t>
        </is>
      </c>
      <c r="H2970" s="1" t="n">
        <v>7314</v>
      </c>
      <c r="I2970" s="1" t="n">
        <v>9912</v>
      </c>
      <c r="J2970" s="9" t="n">
        <v>0.738</v>
      </c>
      <c r="K2970" s="1" t="inlineStr">
        <is>
          <t>No</t>
        </is>
      </c>
      <c r="L2970" s="1" t="inlineStr">
        <is>
          <t>Yes</t>
        </is>
      </c>
      <c r="M2970" s="1" t="inlineStr">
        <is>
          <t>No</t>
        </is>
      </c>
      <c r="N2970" s="1" t="inlineStr">
        <is>
          <t>Algorithms</t>
        </is>
      </c>
      <c r="O29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70" s="11" t="inlineStr">
        <is>
          <t>To Do</t>
        </is>
      </c>
    </row>
    <row r="2971" ht="15.75" customHeight="1" s="12">
      <c r="A2971" s="1" t="n">
        <v>3033</v>
      </c>
      <c r="B2971" s="3">
        <f>HYPERLINK("https://leetcode.com/problems/modify-the-matrix/", "Modify the Matrix")</f>
        <v/>
      </c>
      <c r="C2971" s="1" t="n">
        <v>154</v>
      </c>
      <c r="D2971" s="1" t="n">
        <v>9</v>
      </c>
      <c r="E2971" s="4">
        <f>IF(INDEX(C:C, ROW())+INDEX(D:D, ROW())=0, 0, INDEX(C:C, ROW())/(INDEX(C:C, ROW())+INDEX(D:D, ROW())))</f>
        <v/>
      </c>
      <c r="F2971" s="1" t="inlineStr">
        <is>
          <t>Array, Matrix</t>
        </is>
      </c>
      <c r="G2971" s="1" t="inlineStr">
        <is>
          <t>Easy</t>
        </is>
      </c>
      <c r="H2971" s="1" t="n">
        <v>58420</v>
      </c>
      <c r="I2971" s="1" t="n">
        <v>84572</v>
      </c>
      <c r="J2971" s="9" t="n">
        <v>0.6909999999999999</v>
      </c>
      <c r="K2971" s="1" t="inlineStr">
        <is>
          <t>Yes</t>
        </is>
      </c>
      <c r="L2971" s="1" t="inlineStr">
        <is>
          <t>No</t>
        </is>
      </c>
      <c r="M2971" s="1" t="inlineStr">
        <is>
          <t>No</t>
        </is>
      </c>
      <c r="N2971" s="1" t="inlineStr">
        <is>
          <t>Algorithms</t>
        </is>
      </c>
      <c r="O29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71" s="13" t="inlineStr">
        <is>
          <t>Done</t>
        </is>
      </c>
    </row>
    <row r="2972" ht="15.75" customHeight="1" s="12">
      <c r="A2972" s="1" t="n">
        <v>3325</v>
      </c>
      <c r="B2972" s="3">
        <f>HYPERLINK("https://leetcode.com/problems/count-substrings-with-k-frequency-characters-i/", "Count Substrings With K-Frequency Characters I")</f>
        <v/>
      </c>
      <c r="C2972" s="1" t="n">
        <v>154</v>
      </c>
      <c r="D2972" s="1" t="n">
        <v>10</v>
      </c>
      <c r="E2972" s="4">
        <f>IF(INDEX(C:C, ROW())+INDEX(D:D, ROW())=0, 0, INDEX(C:C, ROW())/(INDEX(C:C, ROW())+INDEX(D:D, ROW())))</f>
        <v/>
      </c>
      <c r="F2972" s="1" t="inlineStr">
        <is>
          <t>Hash Table, String, Sliding Window</t>
        </is>
      </c>
      <c r="G2972" s="1" t="inlineStr">
        <is>
          <t>Medium</t>
        </is>
      </c>
      <c r="H2972" s="1" t="n">
        <v>37725</v>
      </c>
      <c r="I2972" s="1" t="n">
        <v>67544</v>
      </c>
      <c r="J2972" s="9" t="n">
        <v>0.5590000000000001</v>
      </c>
      <c r="K2972" s="1" t="inlineStr">
        <is>
          <t>Yes</t>
        </is>
      </c>
      <c r="L2972" s="1" t="inlineStr">
        <is>
          <t>No</t>
        </is>
      </c>
      <c r="M2972" s="1" t="inlineStr">
        <is>
          <t>No</t>
        </is>
      </c>
      <c r="N2972" s="1" t="inlineStr">
        <is>
          <t>Algorithms</t>
        </is>
      </c>
      <c r="O29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72" s="11" t="inlineStr">
        <is>
          <t>To Do</t>
        </is>
      </c>
    </row>
    <row r="2973" ht="15.75" customHeight="1" s="12">
      <c r="A2973" s="1" t="n">
        <v>2422</v>
      </c>
      <c r="B2973" s="3">
        <f>HYPERLINK("https://leetcode.com/problems/merge-operations-to-turn-array-into-a-palindrome/", "Merge Operations to Turn Array Into a Palindrome")</f>
        <v/>
      </c>
      <c r="C2973" s="1" t="n">
        <v>153</v>
      </c>
      <c r="D2973" s="1" t="n">
        <v>16</v>
      </c>
      <c r="E2973" s="4">
        <f>IF(INDEX(C:C, ROW())+INDEX(D:D, ROW())=0, 0, INDEX(C:C, ROW())/(INDEX(C:C, ROW())+INDEX(D:D, ROW())))</f>
        <v/>
      </c>
      <c r="F2973" s="1" t="inlineStr">
        <is>
          <t>Array, Two Pointers, Greedy</t>
        </is>
      </c>
      <c r="G2973" s="1" t="inlineStr">
        <is>
          <t>Medium</t>
        </is>
      </c>
      <c r="H2973" s="1" t="n">
        <v>19074</v>
      </c>
      <c r="I2973" s="1" t="n">
        <v>27676</v>
      </c>
      <c r="J2973" s="9" t="n">
        <v>0.6889999999999999</v>
      </c>
      <c r="K2973" s="1" t="inlineStr">
        <is>
          <t>No</t>
        </is>
      </c>
      <c r="L2973" s="1" t="inlineStr">
        <is>
          <t>No</t>
        </is>
      </c>
      <c r="M2973" s="1" t="inlineStr">
        <is>
          <t>No</t>
        </is>
      </c>
      <c r="N2973" s="1" t="inlineStr">
        <is>
          <t>Algorithms</t>
        </is>
      </c>
      <c r="O29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73" s="11" t="inlineStr">
        <is>
          <t>To Do</t>
        </is>
      </c>
    </row>
    <row r="2974" ht="15.75" customHeight="1" s="12">
      <c r="A2974" s="1" t="n">
        <v>2726</v>
      </c>
      <c r="B2974" s="3">
        <f>HYPERLINK("https://leetcode.com/problems/calculator-with-method-chaining/", "Calculator with Method Chaining")</f>
        <v/>
      </c>
      <c r="C2974" s="1" t="n">
        <v>153</v>
      </c>
      <c r="D2974" s="1" t="n">
        <v>22</v>
      </c>
      <c r="E2974" s="4">
        <f>IF(INDEX(C:C, ROW())+INDEX(D:D, ROW())=0, 0, INDEX(C:C, ROW())/(INDEX(C:C, ROW())+INDEX(D:D, ROW())))</f>
        <v/>
      </c>
      <c r="F2974" s="2" t="n"/>
      <c r="G2974" s="1" t="inlineStr">
        <is>
          <t>Easy</t>
        </is>
      </c>
      <c r="H2974" s="1" t="n">
        <v>56605</v>
      </c>
      <c r="I2974" s="1" t="n">
        <v>72916</v>
      </c>
      <c r="J2974" s="9" t="n">
        <v>0.776</v>
      </c>
      <c r="K2974" s="1" t="inlineStr">
        <is>
          <t>Yes</t>
        </is>
      </c>
      <c r="L2974" s="1" t="inlineStr">
        <is>
          <t>Yes</t>
        </is>
      </c>
      <c r="M2974" s="1" t="inlineStr">
        <is>
          <t>No</t>
        </is>
      </c>
      <c r="N2974" s="1" t="inlineStr">
        <is>
          <t>JavaScript</t>
        </is>
      </c>
      <c r="O29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74" s="13" t="inlineStr">
        <is>
          <t>Done</t>
        </is>
      </c>
    </row>
    <row r="2975" ht="15.75" customHeight="1" s="12">
      <c r="A2975" s="1" t="n">
        <v>2954</v>
      </c>
      <c r="B2975" s="3">
        <f>HYPERLINK("https://leetcode.com/problems/count-the-number-of-infection-sequences/", "Count the Number of Infection Sequences")</f>
        <v/>
      </c>
      <c r="C2975" s="1" t="n">
        <v>153</v>
      </c>
      <c r="D2975" s="1" t="n">
        <v>33</v>
      </c>
      <c r="E2975" s="4">
        <f>IF(INDEX(C:C, ROW())+INDEX(D:D, ROW())=0, 0, INDEX(C:C, ROW())/(INDEX(C:C, ROW())+INDEX(D:D, ROW())))</f>
        <v/>
      </c>
      <c r="F2975" s="1" t="inlineStr">
        <is>
          <t>Array, Math, Combinatorics</t>
        </is>
      </c>
      <c r="G2975" s="1" t="inlineStr">
        <is>
          <t>Hard</t>
        </is>
      </c>
      <c r="H2975" s="1" t="n">
        <v>6450</v>
      </c>
      <c r="I2975" s="1" t="n">
        <v>17151</v>
      </c>
      <c r="J2975" s="9" t="n">
        <v>0.376</v>
      </c>
      <c r="K2975" s="1" t="inlineStr">
        <is>
          <t>Yes</t>
        </is>
      </c>
      <c r="L2975" s="1" t="inlineStr">
        <is>
          <t>No</t>
        </is>
      </c>
      <c r="M2975" s="1" t="inlineStr">
        <is>
          <t>No</t>
        </is>
      </c>
      <c r="N2975" s="1" t="inlineStr">
        <is>
          <t>Algorithms</t>
        </is>
      </c>
      <c r="O29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75" s="11" t="inlineStr">
        <is>
          <t>To Do</t>
        </is>
      </c>
    </row>
    <row r="2976" ht="15.75" customHeight="1" s="12">
      <c r="A2976" s="1" t="n">
        <v>3428</v>
      </c>
      <c r="B2976" s="3">
        <f>HYPERLINK("https://leetcode.com/problems/maximum-and-minimum-sums-of-at-most-size-k-subsequences/", "Maximum and Minimum Sums of at Most Size K Subsequences")</f>
        <v/>
      </c>
      <c r="C2976" s="1" t="n">
        <v>153</v>
      </c>
      <c r="D2976" s="1" t="n">
        <v>37</v>
      </c>
      <c r="E2976" s="4">
        <f>IF(INDEX(C:C, ROW())+INDEX(D:D, ROW())=0, 0, INDEX(C:C, ROW())/(INDEX(C:C, ROW())+INDEX(D:D, ROW())))</f>
        <v/>
      </c>
      <c r="F2976" s="1" t="inlineStr">
        <is>
          <t>Array, Math, Dynamic Programming, Sorting, Combinatorics</t>
        </is>
      </c>
      <c r="G2976" s="1" t="inlineStr">
        <is>
          <t>Medium</t>
        </is>
      </c>
      <c r="H2976" s="1" t="n">
        <v>13000</v>
      </c>
      <c r="I2976" s="1" t="n">
        <v>59541</v>
      </c>
      <c r="J2976" s="9" t="n">
        <v>0.218</v>
      </c>
      <c r="K2976" s="1" t="inlineStr">
        <is>
          <t>Yes</t>
        </is>
      </c>
      <c r="L2976" s="1" t="inlineStr">
        <is>
          <t>No</t>
        </is>
      </c>
      <c r="M2976" s="1" t="inlineStr">
        <is>
          <t>No</t>
        </is>
      </c>
      <c r="N2976" s="1" t="inlineStr">
        <is>
          <t>Algorithms</t>
        </is>
      </c>
      <c r="O29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76" s="11" t="inlineStr">
        <is>
          <t>To Do</t>
        </is>
      </c>
    </row>
    <row r="2977" ht="15.75" customHeight="1" s="12">
      <c r="A2977" s="1" t="n">
        <v>3654</v>
      </c>
      <c r="B2977" s="3">
        <f>HYPERLINK("https://leetcode.com/problems/minimum-sum-after-divisible-sum-deletions/", "Minimum Sum After Divisible Sum Deletions")</f>
        <v/>
      </c>
      <c r="C2977" s="1" t="n">
        <v>153</v>
      </c>
      <c r="D2977" s="1" t="n">
        <v>12</v>
      </c>
      <c r="E2977" s="4">
        <f>IF(INDEX(C:C, ROW())+INDEX(D:D, ROW())=0, 0, INDEX(C:C, ROW())/(INDEX(C:C, ROW())+INDEX(D:D, ROW())))</f>
        <v/>
      </c>
      <c r="F2977" s="1" t="inlineStr">
        <is>
          <t>Array, Hash Table, Dynamic Programming, Prefix Sum</t>
        </is>
      </c>
      <c r="G2977" s="1" t="inlineStr">
        <is>
          <t>Medium</t>
        </is>
      </c>
      <c r="H2977" s="1" t="n">
        <v>29495</v>
      </c>
      <c r="I2977" s="1" t="n">
        <v>63462</v>
      </c>
      <c r="J2977" s="9" t="n">
        <v>0.465</v>
      </c>
      <c r="K2977" s="1" t="inlineStr">
        <is>
          <t>Yes</t>
        </is>
      </c>
      <c r="L2977" s="1" t="inlineStr">
        <is>
          <t>No</t>
        </is>
      </c>
      <c r="M2977" s="1" t="inlineStr">
        <is>
          <t>No</t>
        </is>
      </c>
      <c r="N2977" s="1" t="inlineStr">
        <is>
          <t>Algorithms</t>
        </is>
      </c>
      <c r="O29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77" s="11" t="inlineStr">
        <is>
          <t>To Do</t>
        </is>
      </c>
    </row>
    <row r="2978" ht="15.75" customHeight="1" s="12">
      <c r="A2978" s="1" t="n">
        <v>1194</v>
      </c>
      <c r="B2978" s="3">
        <f>HYPERLINK("https://leetcode.com/problems/tournament-winners/", "Tournament Winners")</f>
        <v/>
      </c>
      <c r="C2978" s="1" t="n">
        <v>152</v>
      </c>
      <c r="D2978" s="1" t="n">
        <v>57</v>
      </c>
      <c r="E2978" s="4">
        <f>IF(INDEX(C:C, ROW())+INDEX(D:D, ROW())=0, 0, INDEX(C:C, ROW())/(INDEX(C:C, ROW())+INDEX(D:D, ROW())))</f>
        <v/>
      </c>
      <c r="F2978" s="1" t="inlineStr">
        <is>
          <t>Database</t>
        </is>
      </c>
      <c r="G2978" s="1" t="inlineStr">
        <is>
          <t>Hard</t>
        </is>
      </c>
      <c r="H2978" s="1" t="n">
        <v>25128</v>
      </c>
      <c r="I2978" s="1" t="n">
        <v>50154</v>
      </c>
      <c r="J2978" s="9" t="n">
        <v>0.501</v>
      </c>
      <c r="K2978" s="1" t="inlineStr">
        <is>
          <t>No</t>
        </is>
      </c>
      <c r="L2978" s="1" t="inlineStr">
        <is>
          <t>Yes</t>
        </is>
      </c>
      <c r="M2978" s="1" t="inlineStr">
        <is>
          <t>No</t>
        </is>
      </c>
      <c r="N2978" s="1" t="inlineStr">
        <is>
          <t>Database</t>
        </is>
      </c>
      <c r="O29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78" s="11" t="inlineStr">
        <is>
          <t>To Do</t>
        </is>
      </c>
    </row>
    <row r="2979" ht="15.75" customHeight="1" s="12">
      <c r="A2979" s="1" t="n">
        <v>1355</v>
      </c>
      <c r="B2979" s="3">
        <f>HYPERLINK("https://leetcode.com/problems/activity-participants/", "Activity Participants")</f>
        <v/>
      </c>
      <c r="C2979" s="1" t="n">
        <v>152</v>
      </c>
      <c r="D2979" s="1" t="n">
        <v>48</v>
      </c>
      <c r="E2979" s="4">
        <f>IF(INDEX(C:C, ROW())+INDEX(D:D, ROW())=0, 0, INDEX(C:C, ROW())/(INDEX(C:C, ROW())+INDEX(D:D, ROW())))</f>
        <v/>
      </c>
      <c r="F2979" s="1" t="inlineStr">
        <is>
          <t>Database</t>
        </is>
      </c>
      <c r="G2979" s="1" t="inlineStr">
        <is>
          <t>Medium</t>
        </is>
      </c>
      <c r="H2979" s="1" t="n">
        <v>35630</v>
      </c>
      <c r="I2979" s="1" t="n">
        <v>49472</v>
      </c>
      <c r="J2979" s="9" t="n">
        <v>0.72</v>
      </c>
      <c r="K2979" s="1" t="inlineStr">
        <is>
          <t>No</t>
        </is>
      </c>
      <c r="L2979" s="1" t="inlineStr">
        <is>
          <t>Yes</t>
        </is>
      </c>
      <c r="M2979" s="1" t="inlineStr">
        <is>
          <t>No</t>
        </is>
      </c>
      <c r="N2979" s="1" t="inlineStr">
        <is>
          <t>Database</t>
        </is>
      </c>
      <c r="O29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79" s="11" t="inlineStr">
        <is>
          <t>To Do</t>
        </is>
      </c>
    </row>
    <row r="2980" ht="15.75" customHeight="1" s="12">
      <c r="A2980" s="1" t="n">
        <v>3469</v>
      </c>
      <c r="B2980" s="3">
        <f>HYPERLINK("https://leetcode.com/problems/find-minimum-cost-to-remove-array-elements/", "Find Minimum Cost to Remove Array Elements")</f>
        <v/>
      </c>
      <c r="C2980" s="1" t="n">
        <v>152</v>
      </c>
      <c r="D2980" s="1" t="n">
        <v>11</v>
      </c>
      <c r="E2980" s="4">
        <f>IF(INDEX(C:C, ROW())+INDEX(D:D, ROW())=0, 0, INDEX(C:C, ROW())/(INDEX(C:C, ROW())+INDEX(D:D, ROW())))</f>
        <v/>
      </c>
      <c r="F2980" s="1" t="inlineStr">
        <is>
          <t>Array, Dynamic Programming</t>
        </is>
      </c>
      <c r="G2980" s="1" t="inlineStr">
        <is>
          <t>Medium</t>
        </is>
      </c>
      <c r="H2980" s="1" t="n">
        <v>12773</v>
      </c>
      <c r="I2980" s="1" t="n">
        <v>59113</v>
      </c>
      <c r="J2980" s="9" t="n">
        <v>0.216</v>
      </c>
      <c r="K2980" s="1" t="inlineStr">
        <is>
          <t>Yes</t>
        </is>
      </c>
      <c r="L2980" s="1" t="inlineStr">
        <is>
          <t>No</t>
        </is>
      </c>
      <c r="M2980" s="1" t="inlineStr">
        <is>
          <t>No</t>
        </is>
      </c>
      <c r="N2980" s="1" t="inlineStr">
        <is>
          <t>Algorithms</t>
        </is>
      </c>
      <c r="O29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80" s="11" t="inlineStr">
        <is>
          <t>To Do</t>
        </is>
      </c>
    </row>
    <row r="2981" ht="15.75" customHeight="1" s="12">
      <c r="A2981" s="1" t="n">
        <v>1744</v>
      </c>
      <c r="B2981" s="3">
        <f>HYPERLINK("https://leetcode.com/problems/can-you-eat-your-favorite-candy-on-your-favorite-day/", "Can You Eat Your Favorite Candy on Your Favorite Day?")</f>
        <v/>
      </c>
      <c r="C2981" s="1" t="n">
        <v>151</v>
      </c>
      <c r="D2981" s="1" t="n">
        <v>341</v>
      </c>
      <c r="E2981" s="4">
        <f>IF(INDEX(C:C, ROW())+INDEX(D:D, ROW())=0, 0, INDEX(C:C, ROW())/(INDEX(C:C, ROW())+INDEX(D:D, ROW())))</f>
        <v/>
      </c>
      <c r="F2981" s="1" t="inlineStr">
        <is>
          <t>Array, Prefix Sum</t>
        </is>
      </c>
      <c r="G2981" s="1" t="inlineStr">
        <is>
          <t>Medium</t>
        </is>
      </c>
      <c r="H2981" s="1" t="n">
        <v>14098</v>
      </c>
      <c r="I2981" s="1" t="n">
        <v>39072</v>
      </c>
      <c r="J2981" s="9" t="n">
        <v>0.361</v>
      </c>
      <c r="K2981" s="1" t="inlineStr">
        <is>
          <t>Yes</t>
        </is>
      </c>
      <c r="L2981" s="1" t="inlineStr">
        <is>
          <t>No</t>
        </is>
      </c>
      <c r="M2981" s="1" t="inlineStr">
        <is>
          <t>No</t>
        </is>
      </c>
      <c r="N2981" s="1" t="inlineStr">
        <is>
          <t>Algorithms</t>
        </is>
      </c>
      <c r="O29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81" s="11" t="inlineStr">
        <is>
          <t>To Do</t>
        </is>
      </c>
    </row>
    <row r="2982" ht="15.75" customHeight="1" s="12">
      <c r="A2982" s="1" t="n">
        <v>3084</v>
      </c>
      <c r="B2982" s="3">
        <f>HYPERLINK("https://leetcode.com/problems/count-substrings-starting-and-ending-with-given-character/", "Count Substrings Starting and Ending with Given Character")</f>
        <v/>
      </c>
      <c r="C2982" s="1" t="n">
        <v>151</v>
      </c>
      <c r="D2982" s="1" t="n">
        <v>9</v>
      </c>
      <c r="E2982" s="4">
        <f>IF(INDEX(C:C, ROW())+INDEX(D:D, ROW())=0, 0, INDEX(C:C, ROW())/(INDEX(C:C, ROW())+INDEX(D:D, ROW())))</f>
        <v/>
      </c>
      <c r="F2982" s="1" t="inlineStr">
        <is>
          <t>Math, String, Counting</t>
        </is>
      </c>
      <c r="G2982" s="1" t="inlineStr">
        <is>
          <t>Medium</t>
        </is>
      </c>
      <c r="H2982" s="1" t="n">
        <v>46649</v>
      </c>
      <c r="I2982" s="1" t="n">
        <v>93164</v>
      </c>
      <c r="J2982" s="9" t="n">
        <v>0.501</v>
      </c>
      <c r="K2982" s="1" t="inlineStr">
        <is>
          <t>Yes</t>
        </is>
      </c>
      <c r="L2982" s="1" t="inlineStr">
        <is>
          <t>No</t>
        </is>
      </c>
      <c r="M2982" s="1" t="inlineStr">
        <is>
          <t>No</t>
        </is>
      </c>
      <c r="N2982" s="1" t="inlineStr">
        <is>
          <t>Algorithms</t>
        </is>
      </c>
      <c r="O29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82" s="11" t="inlineStr">
        <is>
          <t>To Do</t>
        </is>
      </c>
    </row>
    <row r="2983" ht="15.75" customHeight="1" s="12">
      <c r="A2983" s="1" t="n">
        <v>3149</v>
      </c>
      <c r="B2983" s="3">
        <f>HYPERLINK("https://leetcode.com/problems/find-the-minimum-cost-array-permutation/", "Find the Minimum Cost Array Permutation")</f>
        <v/>
      </c>
      <c r="C2983" s="1" t="n">
        <v>151</v>
      </c>
      <c r="D2983" s="1" t="n">
        <v>8</v>
      </c>
      <c r="E2983" s="4">
        <f>IF(INDEX(C:C, ROW())+INDEX(D:D, ROW())=0, 0, INDEX(C:C, ROW())/(INDEX(C:C, ROW())+INDEX(D:D, ROW())))</f>
        <v/>
      </c>
      <c r="F2983" s="1" t="inlineStr">
        <is>
          <t>Array, Dynamic Programming, Bit Manipulation, Bitmask</t>
        </is>
      </c>
      <c r="G2983" s="1" t="inlineStr">
        <is>
          <t>Hard</t>
        </is>
      </c>
      <c r="H2983" s="1" t="n">
        <v>7248</v>
      </c>
      <c r="I2983" s="1" t="n">
        <v>28282</v>
      </c>
      <c r="J2983" s="9" t="n">
        <v>0.256</v>
      </c>
      <c r="K2983" s="1" t="inlineStr">
        <is>
          <t>Yes</t>
        </is>
      </c>
      <c r="L2983" s="1" t="inlineStr">
        <is>
          <t>No</t>
        </is>
      </c>
      <c r="M2983" s="1" t="inlineStr">
        <is>
          <t>No</t>
        </is>
      </c>
      <c r="N2983" s="1" t="inlineStr">
        <is>
          <t>Algorithms</t>
        </is>
      </c>
      <c r="O29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83" s="11" t="inlineStr">
        <is>
          <t>To Do</t>
        </is>
      </c>
    </row>
    <row r="2984" ht="15.75" customHeight="1" s="12">
      <c r="A2984" s="1" t="n">
        <v>3071</v>
      </c>
      <c r="B2984" s="3">
        <f>HYPERLINK("https://leetcode.com/problems/minimum-operations-to-write-the-letter-y-on-a-grid/", "Minimum Operations to Write the Letter Y on a Grid")</f>
        <v/>
      </c>
      <c r="C2984" s="1" t="n">
        <v>150</v>
      </c>
      <c r="D2984" s="1" t="n">
        <v>34</v>
      </c>
      <c r="E2984" s="4">
        <f>IF(INDEX(C:C, ROW())+INDEX(D:D, ROW())=0, 0, INDEX(C:C, ROW())/(INDEX(C:C, ROW())+INDEX(D:D, ROW())))</f>
        <v/>
      </c>
      <c r="F2984" s="1" t="inlineStr">
        <is>
          <t>Array, Hash Table, Matrix, Counting</t>
        </is>
      </c>
      <c r="G2984" s="1" t="inlineStr">
        <is>
          <t>Medium</t>
        </is>
      </c>
      <c r="H2984" s="1" t="n">
        <v>36876</v>
      </c>
      <c r="I2984" s="1" t="n">
        <v>57144</v>
      </c>
      <c r="J2984" s="9" t="n">
        <v>0.645</v>
      </c>
      <c r="K2984" s="1" t="inlineStr">
        <is>
          <t>Yes</t>
        </is>
      </c>
      <c r="L2984" s="1" t="inlineStr">
        <is>
          <t>No</t>
        </is>
      </c>
      <c r="M2984" s="1" t="inlineStr">
        <is>
          <t>No</t>
        </is>
      </c>
      <c r="N2984" s="1" t="inlineStr">
        <is>
          <t>Algorithms</t>
        </is>
      </c>
      <c r="O29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84" s="11" t="inlineStr">
        <is>
          <t>To Do</t>
        </is>
      </c>
    </row>
    <row r="2985" ht="15.75" customHeight="1" s="12">
      <c r="A2985" s="1" t="n">
        <v>3409</v>
      </c>
      <c r="B2985" s="3">
        <f>HYPERLINK("https://leetcode.com/problems/longest-subsequence-with-decreasing-adjacent-difference/", "Longest Subsequence With Decreasing Adjacent Difference")</f>
        <v/>
      </c>
      <c r="C2985" s="1" t="n">
        <v>150</v>
      </c>
      <c r="D2985" s="1" t="n">
        <v>25</v>
      </c>
      <c r="E2985" s="4">
        <f>IF(INDEX(C:C, ROW())+INDEX(D:D, ROW())=0, 0, INDEX(C:C, ROW())/(INDEX(C:C, ROW())+INDEX(D:D, ROW())))</f>
        <v/>
      </c>
      <c r="F2985" s="1" t="inlineStr">
        <is>
          <t>Array, Dynamic Programming</t>
        </is>
      </c>
      <c r="G2985" s="1" t="inlineStr">
        <is>
          <t>Medium</t>
        </is>
      </c>
      <c r="H2985" s="1" t="n">
        <v>7304</v>
      </c>
      <c r="I2985" s="1" t="n">
        <v>43374</v>
      </c>
      <c r="J2985" s="9" t="n">
        <v>0.168</v>
      </c>
      <c r="K2985" s="1" t="inlineStr">
        <is>
          <t>Yes</t>
        </is>
      </c>
      <c r="L2985" s="1" t="inlineStr">
        <is>
          <t>No</t>
        </is>
      </c>
      <c r="M2985" s="1" t="inlineStr">
        <is>
          <t>No</t>
        </is>
      </c>
      <c r="N2985" s="1" t="inlineStr">
        <is>
          <t>Algorithms</t>
        </is>
      </c>
      <c r="O29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85" s="11" t="inlineStr">
        <is>
          <t>To Do</t>
        </is>
      </c>
    </row>
    <row r="2986" ht="15.75" customHeight="1" s="12">
      <c r="A2986" s="1" t="n">
        <v>3464</v>
      </c>
      <c r="B2986" s="3">
        <f>HYPERLINK("https://leetcode.com/problems/maximize-the-distance-between-points-on-a-square/", "Maximize the Distance Between Points on a Square")</f>
        <v/>
      </c>
      <c r="C2986" s="1" t="n">
        <v>150</v>
      </c>
      <c r="D2986" s="1" t="n">
        <v>19</v>
      </c>
      <c r="E2986" s="4">
        <f>IF(INDEX(C:C, ROW())+INDEX(D:D, ROW())=0, 0, INDEX(C:C, ROW())/(INDEX(C:C, ROW())+INDEX(D:D, ROW())))</f>
        <v/>
      </c>
      <c r="F2986" s="1" t="inlineStr">
        <is>
          <t>Array, Math, Binary Search, Geometry, Sorting</t>
        </is>
      </c>
      <c r="G2986" s="1" t="inlineStr">
        <is>
          <t>Hard</t>
        </is>
      </c>
      <c r="H2986" s="1" t="n">
        <v>54403</v>
      </c>
      <c r="I2986" s="1" t="n">
        <v>106305</v>
      </c>
      <c r="J2986" s="9" t="n">
        <v>0.512</v>
      </c>
      <c r="K2986" s="1" t="inlineStr">
        <is>
          <t>Yes</t>
        </is>
      </c>
      <c r="L2986" s="1" t="inlineStr">
        <is>
          <t>Yes</t>
        </is>
      </c>
      <c r="M2986" s="1" t="inlineStr">
        <is>
          <t>No</t>
        </is>
      </c>
      <c r="N2986" s="1" t="inlineStr">
        <is>
          <t>Algorithms</t>
        </is>
      </c>
      <c r="O29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86" s="11" t="inlineStr">
        <is>
          <t>To Do</t>
        </is>
      </c>
    </row>
    <row r="2987" ht="15.75" customHeight="1" s="12">
      <c r="A2987" s="1" t="n">
        <v>3551</v>
      </c>
      <c r="B2987" s="3">
        <f>HYPERLINK("https://leetcode.com/problems/minimum-swaps-to-sort-by-digit-sum/", "Minimum Swaps to Sort by Digit Sum")</f>
        <v/>
      </c>
      <c r="C2987" s="1" t="n">
        <v>150</v>
      </c>
      <c r="D2987" s="1" t="n">
        <v>5</v>
      </c>
      <c r="E2987" s="4">
        <f>IF(INDEX(C:C, ROW())+INDEX(D:D, ROW())=0, 0, INDEX(C:C, ROW())/(INDEX(C:C, ROW())+INDEX(D:D, ROW())))</f>
        <v/>
      </c>
      <c r="F2987" s="1" t="inlineStr">
        <is>
          <t>Array, Hash Table, Sorting</t>
        </is>
      </c>
      <c r="G2987" s="1" t="inlineStr">
        <is>
          <t>Medium</t>
        </is>
      </c>
      <c r="H2987" s="1" t="n">
        <v>26026</v>
      </c>
      <c r="I2987" s="1" t="n">
        <v>51509</v>
      </c>
      <c r="J2987" s="9" t="n">
        <v>0.505</v>
      </c>
      <c r="K2987" s="1" t="inlineStr">
        <is>
          <t>Yes</t>
        </is>
      </c>
      <c r="L2987" s="1" t="inlineStr">
        <is>
          <t>No</t>
        </is>
      </c>
      <c r="M2987" s="1" t="inlineStr">
        <is>
          <t>No</t>
        </is>
      </c>
      <c r="N2987" s="1" t="inlineStr">
        <is>
          <t>Algorithms</t>
        </is>
      </c>
      <c r="O29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87" s="11" t="inlineStr">
        <is>
          <t>To Do</t>
        </is>
      </c>
    </row>
    <row r="2988" ht="15.75" customHeight="1" s="12">
      <c r="A2988" s="1" t="n">
        <v>3139</v>
      </c>
      <c r="B2988" s="3">
        <f>HYPERLINK("https://leetcode.com/problems/minimum-cost-to-equalize-array/", "Minimum Cost to Equalize Array")</f>
        <v/>
      </c>
      <c r="C2988" s="1" t="n">
        <v>149</v>
      </c>
      <c r="D2988" s="1" t="n">
        <v>24</v>
      </c>
      <c r="E2988" s="4">
        <f>IF(INDEX(C:C, ROW())+INDEX(D:D, ROW())=0, 0, INDEX(C:C, ROW())/(INDEX(C:C, ROW())+INDEX(D:D, ROW())))</f>
        <v/>
      </c>
      <c r="F2988" s="1" t="inlineStr">
        <is>
          <t>Array, Greedy, Enumeration</t>
        </is>
      </c>
      <c r="G2988" s="1" t="inlineStr">
        <is>
          <t>Hard</t>
        </is>
      </c>
      <c r="H2988" s="1" t="n">
        <v>6493</v>
      </c>
      <c r="I2988" s="1" t="n">
        <v>34449</v>
      </c>
      <c r="J2988" s="9" t="n">
        <v>0.188</v>
      </c>
      <c r="K2988" s="1" t="inlineStr">
        <is>
          <t>Yes</t>
        </is>
      </c>
      <c r="L2988" s="1" t="inlineStr">
        <is>
          <t>No</t>
        </is>
      </c>
      <c r="M2988" s="1" t="inlineStr">
        <is>
          <t>No</t>
        </is>
      </c>
      <c r="N2988" s="1" t="inlineStr">
        <is>
          <t>Algorithms</t>
        </is>
      </c>
      <c r="O29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88" s="11" t="inlineStr">
        <is>
          <t>To Do</t>
        </is>
      </c>
    </row>
    <row r="2989" ht="15.75" customHeight="1" s="12">
      <c r="A2989" s="1" t="n">
        <v>3161</v>
      </c>
      <c r="B2989" s="3">
        <f>HYPERLINK("https://leetcode.com/problems/block-placement-queries/", "Block Placement Queries")</f>
        <v/>
      </c>
      <c r="C2989" s="1" t="n">
        <v>149</v>
      </c>
      <c r="D2989" s="1" t="n">
        <v>32</v>
      </c>
      <c r="E2989" s="4">
        <f>IF(INDEX(C:C, ROW())+INDEX(D:D, ROW())=0, 0, INDEX(C:C, ROW())/(INDEX(C:C, ROW())+INDEX(D:D, ROW())))</f>
        <v/>
      </c>
      <c r="F2989" s="1" t="inlineStr">
        <is>
          <t>Array, Binary Search, Binary Indexed Tree, Segment Tree</t>
        </is>
      </c>
      <c r="G2989" s="1" t="inlineStr">
        <is>
          <t>Hard</t>
        </is>
      </c>
      <c r="H2989" s="1" t="n">
        <v>12867</v>
      </c>
      <c r="I2989" s="1" t="n">
        <v>69363</v>
      </c>
      <c r="J2989" s="9" t="n">
        <v>0.186</v>
      </c>
      <c r="K2989" s="1" t="inlineStr">
        <is>
          <t>Yes</t>
        </is>
      </c>
      <c r="L2989" s="1" t="inlineStr">
        <is>
          <t>No</t>
        </is>
      </c>
      <c r="M2989" s="1" t="inlineStr">
        <is>
          <t>No</t>
        </is>
      </c>
      <c r="N2989" s="1" t="inlineStr">
        <is>
          <t>Algorithms</t>
        </is>
      </c>
      <c r="O29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89" s="11" t="inlineStr">
        <is>
          <t>To Do</t>
        </is>
      </c>
    </row>
    <row r="2990" ht="15.75" customHeight="1" s="12">
      <c r="A2990" s="1" t="n">
        <v>3098</v>
      </c>
      <c r="B2990" s="3">
        <f>HYPERLINK("https://leetcode.com/problems/find-the-sum-of-subsequence-powers/", "Find the Sum of Subsequence Powers")</f>
        <v/>
      </c>
      <c r="C2990" s="1" t="n">
        <v>148</v>
      </c>
      <c r="D2990" s="1" t="n">
        <v>6</v>
      </c>
      <c r="E2990" s="4">
        <f>IF(INDEX(C:C, ROW())+INDEX(D:D, ROW())=0, 0, INDEX(C:C, ROW())/(INDEX(C:C, ROW())+INDEX(D:D, ROW())))</f>
        <v/>
      </c>
      <c r="F2990" s="1" t="inlineStr">
        <is>
          <t>Array, Dynamic Programming, Sorting</t>
        </is>
      </c>
      <c r="G2990" s="1" t="inlineStr">
        <is>
          <t>Hard</t>
        </is>
      </c>
      <c r="H2990" s="1" t="n">
        <v>7164</v>
      </c>
      <c r="I2990" s="1" t="n">
        <v>28567</v>
      </c>
      <c r="J2990" s="9" t="n">
        <v>0.251</v>
      </c>
      <c r="K2990" s="1" t="inlineStr">
        <is>
          <t>Yes</t>
        </is>
      </c>
      <c r="L2990" s="1" t="inlineStr">
        <is>
          <t>No</t>
        </is>
      </c>
      <c r="M2990" s="1" t="inlineStr">
        <is>
          <t>No</t>
        </is>
      </c>
      <c r="N2990" s="1" t="inlineStr">
        <is>
          <t>Algorithms</t>
        </is>
      </c>
      <c r="O29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90" s="11" t="inlineStr">
        <is>
          <t>To Do</t>
        </is>
      </c>
    </row>
    <row r="2991" ht="15.75" customHeight="1" s="12">
      <c r="A2991" s="1" t="n">
        <v>3593</v>
      </c>
      <c r="B2991" s="3">
        <f>HYPERLINK("https://leetcode.com/problems/minimum-increments-to-equalize-leaf-paths/", "Minimum Increments to Equalize Leaf Paths")</f>
        <v/>
      </c>
      <c r="C2991" s="1" t="n">
        <v>148</v>
      </c>
      <c r="D2991" s="1" t="n">
        <v>13</v>
      </c>
      <c r="E2991" s="4">
        <f>IF(INDEX(C:C, ROW())+INDEX(D:D, ROW())=0, 0, INDEX(C:C, ROW())/(INDEX(C:C, ROW())+INDEX(D:D, ROW())))</f>
        <v/>
      </c>
      <c r="F2991" s="1" t="inlineStr">
        <is>
          <t>Array, Dynamic Programming, Tree, Depth-First Search</t>
        </is>
      </c>
      <c r="G2991" s="1" t="inlineStr">
        <is>
          <t>Medium</t>
        </is>
      </c>
      <c r="H2991" s="1" t="n">
        <v>16259</v>
      </c>
      <c r="I2991" s="1" t="n">
        <v>39389</v>
      </c>
      <c r="J2991" s="9" t="n">
        <v>0.413</v>
      </c>
      <c r="K2991" s="1" t="inlineStr">
        <is>
          <t>Yes</t>
        </is>
      </c>
      <c r="L2991" s="1" t="inlineStr">
        <is>
          <t>No</t>
        </is>
      </c>
      <c r="M2991" s="1" t="inlineStr">
        <is>
          <t>No</t>
        </is>
      </c>
      <c r="N2991" s="1" t="inlineStr">
        <is>
          <t>Algorithms</t>
        </is>
      </c>
      <c r="O29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91" s="11" t="inlineStr">
        <is>
          <t>To Do</t>
        </is>
      </c>
    </row>
    <row r="2992" ht="15.75" customHeight="1" s="12">
      <c r="A2992" s="1" t="n">
        <v>1294</v>
      </c>
      <c r="B2992" s="3">
        <f>HYPERLINK("https://leetcode.com/problems/weather-type-in-each-country/", "Weather Type in Each Country")</f>
        <v/>
      </c>
      <c r="C2992" s="1" t="n">
        <v>147</v>
      </c>
      <c r="D2992" s="1" t="n">
        <v>30</v>
      </c>
      <c r="E2992" s="4">
        <f>IF(INDEX(C:C, ROW())+INDEX(D:D, ROW())=0, 0, INDEX(C:C, ROW())/(INDEX(C:C, ROW())+INDEX(D:D, ROW())))</f>
        <v/>
      </c>
      <c r="F2992" s="1" t="inlineStr">
        <is>
          <t>Database</t>
        </is>
      </c>
      <c r="G2992" s="1" t="inlineStr">
        <is>
          <t>Easy</t>
        </is>
      </c>
      <c r="H2992" s="1" t="n">
        <v>45926</v>
      </c>
      <c r="I2992" s="1" t="n">
        <v>68461</v>
      </c>
      <c r="J2992" s="9" t="n">
        <v>0.671</v>
      </c>
      <c r="K2992" s="1" t="inlineStr">
        <is>
          <t>No</t>
        </is>
      </c>
      <c r="L2992" s="1" t="inlineStr">
        <is>
          <t>No</t>
        </is>
      </c>
      <c r="M2992" s="1" t="inlineStr">
        <is>
          <t>No</t>
        </is>
      </c>
      <c r="N2992" s="1" t="inlineStr">
        <is>
          <t>Database</t>
        </is>
      </c>
      <c r="O29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92" s="11" t="inlineStr">
        <is>
          <t>To Do</t>
        </is>
      </c>
    </row>
    <row r="2993" ht="15.75" customHeight="1" s="12">
      <c r="A2993" s="1" t="n">
        <v>1538</v>
      </c>
      <c r="B2993" s="3">
        <f>HYPERLINK("https://leetcode.com/problems/guess-the-majority-in-a-hidden-array/", "Guess the Majority in a Hidden Array")</f>
        <v/>
      </c>
      <c r="C2993" s="1" t="n">
        <v>147</v>
      </c>
      <c r="D2993" s="1" t="n">
        <v>122</v>
      </c>
      <c r="E2993" s="4">
        <f>IF(INDEX(C:C, ROW())+INDEX(D:D, ROW())=0, 0, INDEX(C:C, ROW())/(INDEX(C:C, ROW())+INDEX(D:D, ROW())))</f>
        <v/>
      </c>
      <c r="F2993" s="1" t="inlineStr">
        <is>
          <t>Array, Math, Interactive</t>
        </is>
      </c>
      <c r="G2993" s="1" t="inlineStr">
        <is>
          <t>Medium</t>
        </is>
      </c>
      <c r="H2993" s="1" t="n">
        <v>5213</v>
      </c>
      <c r="I2993" s="1" t="n">
        <v>7568</v>
      </c>
      <c r="J2993" s="9" t="n">
        <v>0.6889999999999999</v>
      </c>
      <c r="K2993" s="1" t="inlineStr">
        <is>
          <t>No</t>
        </is>
      </c>
      <c r="L2993" s="1" t="inlineStr">
        <is>
          <t>Yes</t>
        </is>
      </c>
      <c r="M2993" s="1" t="inlineStr">
        <is>
          <t>No</t>
        </is>
      </c>
      <c r="N2993" s="1" t="inlineStr">
        <is>
          <t>Algorithms</t>
        </is>
      </c>
      <c r="O29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93" s="11" t="inlineStr">
        <is>
          <t>To Do</t>
        </is>
      </c>
    </row>
    <row r="2994" ht="15.75" customHeight="1" s="12">
      <c r="A2994" s="1" t="n">
        <v>1607</v>
      </c>
      <c r="B2994" s="3">
        <f>HYPERLINK("https://leetcode.com/problems/sellers-with-no-sales/", "Sellers With No Sales")</f>
        <v/>
      </c>
      <c r="C2994" s="1" t="n">
        <v>147</v>
      </c>
      <c r="D2994" s="1" t="n">
        <v>14</v>
      </c>
      <c r="E2994" s="4">
        <f>IF(INDEX(C:C, ROW())+INDEX(D:D, ROW())=0, 0, INDEX(C:C, ROW())/(INDEX(C:C, ROW())+INDEX(D:D, ROW())))</f>
        <v/>
      </c>
      <c r="F2994" s="1" t="inlineStr">
        <is>
          <t>Database</t>
        </is>
      </c>
      <c r="G2994" s="1" t="inlineStr">
        <is>
          <t>Easy</t>
        </is>
      </c>
      <c r="H2994" s="1" t="n">
        <v>45856</v>
      </c>
      <c r="I2994" s="1" t="n">
        <v>84384</v>
      </c>
      <c r="J2994" s="9" t="n">
        <v>0.543</v>
      </c>
      <c r="K2994" s="1" t="inlineStr">
        <is>
          <t>No</t>
        </is>
      </c>
      <c r="L2994" s="1" t="inlineStr">
        <is>
          <t>Yes</t>
        </is>
      </c>
      <c r="M2994" s="1" t="inlineStr">
        <is>
          <t>No</t>
        </is>
      </c>
      <c r="N2994" s="1" t="inlineStr">
        <is>
          <t>Database</t>
        </is>
      </c>
      <c r="O29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94" s="11" t="inlineStr">
        <is>
          <t>To Do</t>
        </is>
      </c>
    </row>
    <row r="2995" ht="15.75" customHeight="1" s="12">
      <c r="A2995" s="1" t="n">
        <v>3117</v>
      </c>
      <c r="B2995" s="3">
        <f>HYPERLINK("https://leetcode.com/problems/minimum-sum-of-values-by-dividing-array/", "Minimum Sum of Values by Dividing Array")</f>
        <v/>
      </c>
      <c r="C2995" s="1" t="n">
        <v>147</v>
      </c>
      <c r="D2995" s="1" t="n">
        <v>4</v>
      </c>
      <c r="E2995" s="4">
        <f>IF(INDEX(C:C, ROW())+INDEX(D:D, ROW())=0, 0, INDEX(C:C, ROW())/(INDEX(C:C, ROW())+INDEX(D:D, ROW())))</f>
        <v/>
      </c>
      <c r="F2995" s="1" t="inlineStr">
        <is>
          <t>Array, Binary Search, Dynamic Programming, Bit Manipulation, Segment Tree, Queue</t>
        </is>
      </c>
      <c r="G2995" s="1" t="inlineStr">
        <is>
          <t>Hard</t>
        </is>
      </c>
      <c r="H2995" s="1" t="n">
        <v>7136</v>
      </c>
      <c r="I2995" s="1" t="n">
        <v>25529</v>
      </c>
      <c r="J2995" s="9" t="n">
        <v>0.28</v>
      </c>
      <c r="K2995" s="1" t="inlineStr">
        <is>
          <t>Yes</t>
        </is>
      </c>
      <c r="L2995" s="1" t="inlineStr">
        <is>
          <t>No</t>
        </is>
      </c>
      <c r="M2995" s="1" t="inlineStr">
        <is>
          <t>No</t>
        </is>
      </c>
      <c r="N2995" s="1" t="inlineStr">
        <is>
          <t>Algorithms</t>
        </is>
      </c>
      <c r="O29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95" s="11" t="inlineStr">
        <is>
          <t>To Do</t>
        </is>
      </c>
    </row>
    <row r="2996" ht="15.75" customHeight="1" s="12">
      <c r="A2996" s="1" t="n">
        <v>3261</v>
      </c>
      <c r="B2996" s="3">
        <f>HYPERLINK("https://leetcode.com/problems/count-substrings-that-satisfy-k-constraint-ii/", "Count Substrings That Satisfy K-Constraint II")</f>
        <v/>
      </c>
      <c r="C2996" s="1" t="n">
        <v>147</v>
      </c>
      <c r="D2996" s="1" t="n">
        <v>12</v>
      </c>
      <c r="E2996" s="4">
        <f>IF(INDEX(C:C, ROW())+INDEX(D:D, ROW())=0, 0, INDEX(C:C, ROW())/(INDEX(C:C, ROW())+INDEX(D:D, ROW())))</f>
        <v/>
      </c>
      <c r="F2996" s="1" t="inlineStr">
        <is>
          <t>Array, String, Binary Search, Sliding Window, Prefix Sum</t>
        </is>
      </c>
      <c r="G2996" s="1" t="inlineStr">
        <is>
          <t>Hard</t>
        </is>
      </c>
      <c r="H2996" s="1" t="n">
        <v>5995</v>
      </c>
      <c r="I2996" s="1" t="n">
        <v>25519</v>
      </c>
      <c r="J2996" s="9" t="n">
        <v>0.235</v>
      </c>
      <c r="K2996" s="1" t="inlineStr">
        <is>
          <t>Yes</t>
        </is>
      </c>
      <c r="L2996" s="1" t="inlineStr">
        <is>
          <t>No</t>
        </is>
      </c>
      <c r="M2996" s="1" t="inlineStr">
        <is>
          <t>No</t>
        </is>
      </c>
      <c r="N2996" s="1" t="inlineStr">
        <is>
          <t>Algorithms</t>
        </is>
      </c>
      <c r="O29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96" s="11" t="inlineStr">
        <is>
          <t>To Do</t>
        </is>
      </c>
    </row>
    <row r="2997" ht="15.75" customHeight="1" s="12">
      <c r="A2997" s="1" t="n">
        <v>3283</v>
      </c>
      <c r="B2997" s="3">
        <f>HYPERLINK("https://leetcode.com/problems/maximum-number-of-moves-to-kill-all-pawns/", "Maximum Number of Moves to Kill All Pawns")</f>
        <v/>
      </c>
      <c r="C2997" s="1" t="n">
        <v>147</v>
      </c>
      <c r="D2997" s="1" t="n">
        <v>12</v>
      </c>
      <c r="E2997" s="4">
        <f>IF(INDEX(C:C, ROW())+INDEX(D:D, ROW())=0, 0, INDEX(C:C, ROW())/(INDEX(C:C, ROW())+INDEX(D:D, ROW())))</f>
        <v/>
      </c>
      <c r="F2997" s="1" t="inlineStr">
        <is>
          <t>Array, Math, Bit Manipulation, Breadth-First Search, Game Theory, Bitmask</t>
        </is>
      </c>
      <c r="G2997" s="1" t="inlineStr">
        <is>
          <t>Hard</t>
        </is>
      </c>
      <c r="H2997" s="1" t="n">
        <v>7385</v>
      </c>
      <c r="I2997" s="1" t="n">
        <v>21794</v>
      </c>
      <c r="J2997" s="9" t="n">
        <v>0.339</v>
      </c>
      <c r="K2997" s="1" t="inlineStr">
        <is>
          <t>Yes</t>
        </is>
      </c>
      <c r="L2997" s="1" t="inlineStr">
        <is>
          <t>No</t>
        </is>
      </c>
      <c r="M2997" s="1" t="inlineStr">
        <is>
          <t>No</t>
        </is>
      </c>
      <c r="N2997" s="1" t="inlineStr">
        <is>
          <t>Algorithms</t>
        </is>
      </c>
      <c r="O29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97" s="11" t="inlineStr">
        <is>
          <t>To Do</t>
        </is>
      </c>
    </row>
    <row r="2998" ht="15.75" customHeight="1" s="12">
      <c r="A2998" s="1" t="n">
        <v>3844</v>
      </c>
      <c r="B2998" s="3">
        <f>HYPERLINK("https://leetcode.com/problems/longest-almost-palindromic-substring/", "Longest Almost-Palindromic Substring")</f>
        <v/>
      </c>
      <c r="C2998" s="1" t="n">
        <v>147</v>
      </c>
      <c r="D2998" s="1" t="n">
        <v>12</v>
      </c>
      <c r="E2998" s="4">
        <f>IF(INDEX(C:C, ROW())+INDEX(D:D, ROW())=0, 0, INDEX(C:C, ROW())/(INDEX(C:C, ROW())+INDEX(D:D, ROW())))</f>
        <v/>
      </c>
      <c r="F2998" s="1" t="inlineStr">
        <is>
          <t>Two Pointers, String, Dynamic Programming</t>
        </is>
      </c>
      <c r="G2998" s="1" t="inlineStr">
        <is>
          <t>Medium</t>
        </is>
      </c>
      <c r="H2998" s="1" t="n">
        <v>14716</v>
      </c>
      <c r="I2998" s="1" t="n">
        <v>65560</v>
      </c>
      <c r="J2998" s="9" t="n">
        <v>0.224</v>
      </c>
      <c r="K2998" s="1" t="inlineStr">
        <is>
          <t>Yes</t>
        </is>
      </c>
      <c r="L2998" s="1" t="inlineStr">
        <is>
          <t>No</t>
        </is>
      </c>
      <c r="M2998" s="1" t="inlineStr">
        <is>
          <t>No</t>
        </is>
      </c>
      <c r="N2998" s="1" t="inlineStr">
        <is>
          <t>Algorithms</t>
        </is>
      </c>
      <c r="O29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98" s="11" t="inlineStr">
        <is>
          <t>To Do</t>
        </is>
      </c>
    </row>
    <row r="2999" ht="15.75" customHeight="1" s="12">
      <c r="A2999" s="1" t="n">
        <v>1555</v>
      </c>
      <c r="B2999" s="3">
        <f>HYPERLINK("https://leetcode.com/problems/bank-account-summary/", "Bank Account Summary")</f>
        <v/>
      </c>
      <c r="C2999" s="1" t="n">
        <v>146</v>
      </c>
      <c r="D2999" s="1" t="n">
        <v>27</v>
      </c>
      <c r="E2999" s="4">
        <f>IF(INDEX(C:C, ROW())+INDEX(D:D, ROW())=0, 0, INDEX(C:C, ROW())/(INDEX(C:C, ROW())+INDEX(D:D, ROW())))</f>
        <v/>
      </c>
      <c r="F2999" s="1" t="inlineStr">
        <is>
          <t>Database</t>
        </is>
      </c>
      <c r="G2999" s="1" t="inlineStr">
        <is>
          <t>Medium</t>
        </is>
      </c>
      <c r="H2999" s="1" t="n">
        <v>22947</v>
      </c>
      <c r="I2999" s="1" t="n">
        <v>43903</v>
      </c>
      <c r="J2999" s="9" t="n">
        <v>0.523</v>
      </c>
      <c r="K2999" s="1" t="inlineStr">
        <is>
          <t>No</t>
        </is>
      </c>
      <c r="L2999" s="1" t="inlineStr">
        <is>
          <t>No</t>
        </is>
      </c>
      <c r="M2999" s="1" t="inlineStr">
        <is>
          <t>No</t>
        </is>
      </c>
      <c r="N2999" s="1" t="inlineStr">
        <is>
          <t>Database</t>
        </is>
      </c>
      <c r="O29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2999" s="11" t="inlineStr">
        <is>
          <t>To Do</t>
        </is>
      </c>
    </row>
    <row r="3000" ht="15.75" customHeight="1" s="12">
      <c r="A3000" s="1" t="n">
        <v>1612</v>
      </c>
      <c r="B3000" s="3">
        <f>HYPERLINK("https://leetcode.com/problems/check-if-two-expression-trees-are-equivalent/", "Check If Two Expression Trees are Equivalent")</f>
        <v/>
      </c>
      <c r="C3000" s="1" t="n">
        <v>146</v>
      </c>
      <c r="D3000" s="1" t="n">
        <v>24</v>
      </c>
      <c r="E3000" s="4">
        <f>IF(INDEX(C:C, ROW())+INDEX(D:D, ROW())=0, 0, INDEX(C:C, ROW())/(INDEX(C:C, ROW())+INDEX(D:D, ROW())))</f>
        <v/>
      </c>
      <c r="F3000" s="1" t="inlineStr">
        <is>
          <t>Hash Table, Tree, Depth-First Search, Binary Tree, Counting</t>
        </is>
      </c>
      <c r="G3000" s="1" t="inlineStr">
        <is>
          <t>Medium</t>
        </is>
      </c>
      <c r="H3000" s="1" t="n">
        <v>8714</v>
      </c>
      <c r="I3000" s="1" t="n">
        <v>12157</v>
      </c>
      <c r="J3000" s="9" t="n">
        <v>0.717</v>
      </c>
      <c r="K3000" s="1" t="inlineStr">
        <is>
          <t>No</t>
        </is>
      </c>
      <c r="L3000" s="1" t="inlineStr">
        <is>
          <t>No</t>
        </is>
      </c>
      <c r="M3000" s="1" t="inlineStr">
        <is>
          <t>No</t>
        </is>
      </c>
      <c r="N3000" s="1" t="inlineStr">
        <is>
          <t>Algorithms</t>
        </is>
      </c>
      <c r="O30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00" s="11" t="inlineStr">
        <is>
          <t>To Do</t>
        </is>
      </c>
    </row>
    <row r="3001" ht="15.75" customHeight="1" s="12">
      <c r="A3001" s="1" t="n">
        <v>1950</v>
      </c>
      <c r="B3001" s="3">
        <f>HYPERLINK("https://leetcode.com/problems/maximum-of-minimum-values-in-all-subarrays/", "Maximum of Minimum Values in All Subarrays")</f>
        <v/>
      </c>
      <c r="C3001" s="1" t="n">
        <v>146</v>
      </c>
      <c r="D3001" s="1" t="n">
        <v>56</v>
      </c>
      <c r="E3001" s="4">
        <f>IF(INDEX(C:C, ROW())+INDEX(D:D, ROW())=0, 0, INDEX(C:C, ROW())/(INDEX(C:C, ROW())+INDEX(D:D, ROW())))</f>
        <v/>
      </c>
      <c r="F3001" s="1" t="inlineStr">
        <is>
          <t>Array, Stack, Monotonic Stack</t>
        </is>
      </c>
      <c r="G3001" s="1" t="inlineStr">
        <is>
          <t>Medium</t>
        </is>
      </c>
      <c r="H3001" s="1" t="n">
        <v>3610</v>
      </c>
      <c r="I3001" s="1" t="n">
        <v>7521</v>
      </c>
      <c r="J3001" s="9" t="n">
        <v>0.48</v>
      </c>
      <c r="K3001" s="1" t="inlineStr">
        <is>
          <t>No</t>
        </is>
      </c>
      <c r="L3001" s="1" t="inlineStr">
        <is>
          <t>No</t>
        </is>
      </c>
      <c r="M3001" s="1" t="inlineStr">
        <is>
          <t>No</t>
        </is>
      </c>
      <c r="N3001" s="1" t="inlineStr">
        <is>
          <t>Algorithms</t>
        </is>
      </c>
      <c r="O30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01" s="11" t="inlineStr">
        <is>
          <t>To Do</t>
        </is>
      </c>
    </row>
    <row r="3002" ht="15.75" customHeight="1" s="12">
      <c r="A3002" s="1" t="n">
        <v>2693</v>
      </c>
      <c r="B3002" s="3">
        <f>HYPERLINK("https://leetcode.com/problems/call-function-with-custom-context/", "Call Function with Custom Context")</f>
        <v/>
      </c>
      <c r="C3002" s="1" t="n">
        <v>146</v>
      </c>
      <c r="D3002" s="1" t="n">
        <v>14</v>
      </c>
      <c r="E3002" s="4">
        <f>IF(INDEX(C:C, ROW())+INDEX(D:D, ROW())=0, 0, INDEX(C:C, ROW())/(INDEX(C:C, ROW())+INDEX(D:D, ROW())))</f>
        <v/>
      </c>
      <c r="F3002" s="2" t="n"/>
      <c r="G3002" s="1" t="inlineStr">
        <is>
          <t>Medium</t>
        </is>
      </c>
      <c r="H3002" s="1" t="n">
        <v>14918</v>
      </c>
      <c r="I3002" s="1" t="n">
        <v>19211</v>
      </c>
      <c r="J3002" s="9" t="n">
        <v>0.777</v>
      </c>
      <c r="K3002" s="1" t="inlineStr">
        <is>
          <t>Yes</t>
        </is>
      </c>
      <c r="L3002" s="1" t="inlineStr">
        <is>
          <t>Yes</t>
        </is>
      </c>
      <c r="M3002" s="1" t="inlineStr">
        <is>
          <t>No</t>
        </is>
      </c>
      <c r="N3002" s="1" t="inlineStr">
        <is>
          <t>JavaScript</t>
        </is>
      </c>
      <c r="O30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02" s="11" t="inlineStr">
        <is>
          <t>To Do</t>
        </is>
      </c>
    </row>
    <row r="3003" ht="15.75" customHeight="1" s="12">
      <c r="A3003" s="1" t="n">
        <v>2700</v>
      </c>
      <c r="B3003" s="3">
        <f>HYPERLINK("https://leetcode.com/problems/differences-between-two-objects/", "Differences Between Two Objects")</f>
        <v/>
      </c>
      <c r="C3003" s="1" t="n">
        <v>146</v>
      </c>
      <c r="D3003" s="1" t="n">
        <v>31</v>
      </c>
      <c r="E3003" s="4">
        <f>IF(INDEX(C:C, ROW())+INDEX(D:D, ROW())=0, 0, INDEX(C:C, ROW())/(INDEX(C:C, ROW())+INDEX(D:D, ROW())))</f>
        <v/>
      </c>
      <c r="F3003" s="2" t="n"/>
      <c r="G3003" s="1" t="inlineStr">
        <is>
          <t>Medium</t>
        </is>
      </c>
      <c r="H3003" s="1" t="n">
        <v>7888</v>
      </c>
      <c r="I3003" s="1" t="n">
        <v>10581</v>
      </c>
      <c r="J3003" s="9" t="n">
        <v>0.745</v>
      </c>
      <c r="K3003" s="1" t="inlineStr">
        <is>
          <t>No</t>
        </is>
      </c>
      <c r="L3003" s="1" t="inlineStr">
        <is>
          <t>Yes</t>
        </is>
      </c>
      <c r="M3003" s="1" t="inlineStr">
        <is>
          <t>No</t>
        </is>
      </c>
      <c r="N3003" s="1" t="inlineStr">
        <is>
          <t>JavaScript</t>
        </is>
      </c>
      <c r="O30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03" s="11" t="inlineStr">
        <is>
          <t>To Do</t>
        </is>
      </c>
    </row>
    <row r="3004" ht="15.75" customHeight="1" s="12">
      <c r="A3004" s="1" t="n">
        <v>3274</v>
      </c>
      <c r="B3004" s="3">
        <f>HYPERLINK("https://leetcode.com/problems/check-if-two-chessboard-squares-have-the-same-color/", "Check if Two Chessboard Squares Have the Same Color")</f>
        <v/>
      </c>
      <c r="C3004" s="1" t="n">
        <v>145</v>
      </c>
      <c r="D3004" s="1" t="n">
        <v>5</v>
      </c>
      <c r="E3004" s="4">
        <f>IF(INDEX(C:C, ROW())+INDEX(D:D, ROW())=0, 0, INDEX(C:C, ROW())/(INDEX(C:C, ROW())+INDEX(D:D, ROW())))</f>
        <v/>
      </c>
      <c r="F3004" s="1" t="inlineStr">
        <is>
          <t>Math, String</t>
        </is>
      </c>
      <c r="G3004" s="1" t="inlineStr">
        <is>
          <t>Easy</t>
        </is>
      </c>
      <c r="H3004" s="1" t="n">
        <v>71377</v>
      </c>
      <c r="I3004" s="1" t="n">
        <v>98671</v>
      </c>
      <c r="J3004" s="9" t="n">
        <v>0.723</v>
      </c>
      <c r="K3004" s="1" t="inlineStr">
        <is>
          <t>Yes</t>
        </is>
      </c>
      <c r="L3004" s="1" t="inlineStr">
        <is>
          <t>No</t>
        </is>
      </c>
      <c r="M3004" s="1" t="inlineStr">
        <is>
          <t>No</t>
        </is>
      </c>
      <c r="N3004" s="1" t="inlineStr">
        <is>
          <t>Algorithms</t>
        </is>
      </c>
      <c r="O30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04" s="13" t="inlineStr">
        <is>
          <t>Done</t>
        </is>
      </c>
    </row>
    <row r="3005" ht="15.75" customHeight="1" s="12">
      <c r="A3005" s="1" t="n">
        <v>3305</v>
      </c>
      <c r="B3005" s="3">
        <f>HYPERLINK("https://leetcode.com/problems/count-of-substrings-containing-every-vowel-and-k-consonants-i/", "Count of Substrings Containing Every Vowel and K Consonants I")</f>
        <v/>
      </c>
      <c r="C3005" s="1" t="n">
        <v>145</v>
      </c>
      <c r="D3005" s="1" t="n">
        <v>14</v>
      </c>
      <c r="E3005" s="4">
        <f>IF(INDEX(C:C, ROW())+INDEX(D:D, ROW())=0, 0, INDEX(C:C, ROW())/(INDEX(C:C, ROW())+INDEX(D:D, ROW())))</f>
        <v/>
      </c>
      <c r="F3005" s="1" t="inlineStr">
        <is>
          <t>Hash Table, String, Sliding Window</t>
        </is>
      </c>
      <c r="G3005" s="1" t="inlineStr">
        <is>
          <t>Medium</t>
        </is>
      </c>
      <c r="H3005" s="1" t="n">
        <v>33080</v>
      </c>
      <c r="I3005" s="1" t="n">
        <v>79086</v>
      </c>
      <c r="J3005" s="9" t="n">
        <v>0.418</v>
      </c>
      <c r="K3005" s="1" t="inlineStr">
        <is>
          <t>Yes</t>
        </is>
      </c>
      <c r="L3005" s="1" t="inlineStr">
        <is>
          <t>No</t>
        </is>
      </c>
      <c r="M3005" s="1" t="inlineStr">
        <is>
          <t>No</t>
        </is>
      </c>
      <c r="N3005" s="1" t="inlineStr">
        <is>
          <t>Algorithms</t>
        </is>
      </c>
      <c r="O30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05" s="11" t="inlineStr">
        <is>
          <t>To Do</t>
        </is>
      </c>
    </row>
    <row r="3006" ht="15.75" customHeight="1" s="12">
      <c r="A3006" s="1" t="n">
        <v>3458</v>
      </c>
      <c r="B3006" s="3">
        <f>HYPERLINK("https://leetcode.com/problems/select-k-disjoint-special-substrings/", "Select K Disjoint Special Substrings")</f>
        <v/>
      </c>
      <c r="C3006" s="1" t="n">
        <v>145</v>
      </c>
      <c r="D3006" s="1" t="n">
        <v>14</v>
      </c>
      <c r="E3006" s="4">
        <f>IF(INDEX(C:C, ROW())+INDEX(D:D, ROW())=0, 0, INDEX(C:C, ROW())/(INDEX(C:C, ROW())+INDEX(D:D, ROW())))</f>
        <v/>
      </c>
      <c r="F3006" s="1" t="inlineStr">
        <is>
          <t>Hash Table, String, Dynamic Programming, Greedy, Sorting</t>
        </is>
      </c>
      <c r="G3006" s="1" t="inlineStr">
        <is>
          <t>Medium</t>
        </is>
      </c>
      <c r="H3006" s="1" t="n">
        <v>11428</v>
      </c>
      <c r="I3006" s="1" t="n">
        <v>59281</v>
      </c>
      <c r="J3006" s="9" t="n">
        <v>0.193</v>
      </c>
      <c r="K3006" s="1" t="inlineStr">
        <is>
          <t>Yes</t>
        </is>
      </c>
      <c r="L3006" s="1" t="inlineStr">
        <is>
          <t>No</t>
        </is>
      </c>
      <c r="M3006" s="1" t="inlineStr">
        <is>
          <t>No</t>
        </is>
      </c>
      <c r="N3006" s="1" t="inlineStr">
        <is>
          <t>Algorithms</t>
        </is>
      </c>
      <c r="O30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06" s="11" t="inlineStr">
        <is>
          <t>To Do</t>
        </is>
      </c>
    </row>
    <row r="3007" ht="15.75" customHeight="1" s="12">
      <c r="A3007" s="1" t="n">
        <v>2371</v>
      </c>
      <c r="B3007" s="3">
        <f>HYPERLINK("https://leetcode.com/problems/minimize-maximum-value-in-a-grid/", "Minimize Maximum Value in a Grid")</f>
        <v/>
      </c>
      <c r="C3007" s="1" t="n">
        <v>144</v>
      </c>
      <c r="D3007" s="1" t="n">
        <v>6</v>
      </c>
      <c r="E3007" s="4">
        <f>IF(INDEX(C:C, ROW())+INDEX(D:D, ROW())=0, 0, INDEX(C:C, ROW())/(INDEX(C:C, ROW())+INDEX(D:D, ROW())))</f>
        <v/>
      </c>
      <c r="F3007" s="1" t="inlineStr">
        <is>
          <t>Array, Union-Find, Graph Theory, Topological Sort, Sorting, Matrix</t>
        </is>
      </c>
      <c r="G3007" s="1" t="inlineStr">
        <is>
          <t>Hard</t>
        </is>
      </c>
      <c r="H3007" s="1" t="n">
        <v>7481</v>
      </c>
      <c r="I3007" s="1" t="n">
        <v>10682</v>
      </c>
      <c r="J3007" s="9" t="n">
        <v>0.7</v>
      </c>
      <c r="K3007" s="1" t="inlineStr">
        <is>
          <t>No</t>
        </is>
      </c>
      <c r="L3007" s="1" t="inlineStr">
        <is>
          <t>Yes</t>
        </is>
      </c>
      <c r="M3007" s="1" t="inlineStr">
        <is>
          <t>No</t>
        </is>
      </c>
      <c r="N3007" s="1" t="inlineStr">
        <is>
          <t>Algorithms</t>
        </is>
      </c>
      <c r="O30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07" s="11" t="inlineStr">
        <is>
          <t>To Do</t>
        </is>
      </c>
    </row>
    <row r="3008" ht="15.75" customHeight="1" s="12">
      <c r="A3008" s="1" t="n">
        <v>3340</v>
      </c>
      <c r="B3008" s="3">
        <f>HYPERLINK("https://leetcode.com/problems/check-balanced-string/", "Check Balanced String")</f>
        <v/>
      </c>
      <c r="C3008" s="1" t="n">
        <v>144</v>
      </c>
      <c r="D3008" s="1" t="n">
        <v>3</v>
      </c>
      <c r="E3008" s="4">
        <f>IF(INDEX(C:C, ROW())+INDEX(D:D, ROW())=0, 0, INDEX(C:C, ROW())/(INDEX(C:C, ROW())+INDEX(D:D, ROW())))</f>
        <v/>
      </c>
      <c r="F3008" s="1" t="inlineStr">
        <is>
          <t>String</t>
        </is>
      </c>
      <c r="G3008" s="1" t="inlineStr">
        <is>
          <t>Easy</t>
        </is>
      </c>
      <c r="H3008" s="1" t="n">
        <v>78582</v>
      </c>
      <c r="I3008" s="1" t="n">
        <v>95084</v>
      </c>
      <c r="J3008" s="9" t="n">
        <v>0.826</v>
      </c>
      <c r="K3008" s="1" t="inlineStr">
        <is>
          <t>Yes</t>
        </is>
      </c>
      <c r="L3008" s="1" t="inlineStr">
        <is>
          <t>No</t>
        </is>
      </c>
      <c r="M3008" s="1" t="inlineStr">
        <is>
          <t>No</t>
        </is>
      </c>
      <c r="N3008" s="1" t="inlineStr">
        <is>
          <t>Algorithms</t>
        </is>
      </c>
      <c r="O30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08" s="13" t="inlineStr">
        <is>
          <t>Done</t>
        </is>
      </c>
    </row>
    <row r="3009" ht="15.75" customHeight="1" s="12">
      <c r="A3009" s="1" t="n">
        <v>3489</v>
      </c>
      <c r="B3009" s="3">
        <f>HYPERLINK("https://leetcode.com/problems/zero-array-transformation-iv/", "Zero Array Transformation IV")</f>
        <v/>
      </c>
      <c r="C3009" s="1" t="n">
        <v>144</v>
      </c>
      <c r="D3009" s="1" t="n">
        <v>22</v>
      </c>
      <c r="E3009" s="4">
        <f>IF(INDEX(C:C, ROW())+INDEX(D:D, ROW())=0, 0, INDEX(C:C, ROW())/(INDEX(C:C, ROW())+INDEX(D:D, ROW())))</f>
        <v/>
      </c>
      <c r="F3009" s="1" t="inlineStr">
        <is>
          <t>Array, Dynamic Programming</t>
        </is>
      </c>
      <c r="G3009" s="1" t="inlineStr">
        <is>
          <t>Medium</t>
        </is>
      </c>
      <c r="H3009" s="1" t="n">
        <v>11835</v>
      </c>
      <c r="I3009" s="1" t="n">
        <v>37898</v>
      </c>
      <c r="J3009" s="9" t="n">
        <v>0.312</v>
      </c>
      <c r="K3009" s="1" t="inlineStr">
        <is>
          <t>Yes</t>
        </is>
      </c>
      <c r="L3009" s="1" t="inlineStr">
        <is>
          <t>No</t>
        </is>
      </c>
      <c r="M3009" s="1" t="inlineStr">
        <is>
          <t>No</t>
        </is>
      </c>
      <c r="N3009" s="1" t="inlineStr">
        <is>
          <t>Algorithms</t>
        </is>
      </c>
      <c r="O30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09" s="11" t="inlineStr">
        <is>
          <t>To Do</t>
        </is>
      </c>
    </row>
    <row r="3010" ht="15.75" customHeight="1" s="12">
      <c r="A3010" s="1" t="n">
        <v>2077</v>
      </c>
      <c r="B3010" s="3">
        <f>HYPERLINK("https://leetcode.com/problems/paths-in-maze-that-lead-to-same-room/", "Paths in Maze That Lead to Same Room")</f>
        <v/>
      </c>
      <c r="C3010" s="1" t="n">
        <v>143</v>
      </c>
      <c r="D3010" s="1" t="n">
        <v>12</v>
      </c>
      <c r="E3010" s="4">
        <f>IF(INDEX(C:C, ROW())+INDEX(D:D, ROW())=0, 0, INDEX(C:C, ROW())/(INDEX(C:C, ROW())+INDEX(D:D, ROW())))</f>
        <v/>
      </c>
      <c r="F3010" s="1" t="inlineStr">
        <is>
          <t>Graph Theory</t>
        </is>
      </c>
      <c r="G3010" s="1" t="inlineStr">
        <is>
          <t>Medium</t>
        </is>
      </c>
      <c r="H3010" s="1" t="n">
        <v>6542</v>
      </c>
      <c r="I3010" s="1" t="n">
        <v>11554</v>
      </c>
      <c r="J3010" s="9" t="n">
        <v>0.5659999999999999</v>
      </c>
      <c r="K3010" s="1" t="inlineStr">
        <is>
          <t>No</t>
        </is>
      </c>
      <c r="L3010" s="1" t="inlineStr">
        <is>
          <t>No</t>
        </is>
      </c>
      <c r="M3010" s="1" t="inlineStr">
        <is>
          <t>No</t>
        </is>
      </c>
      <c r="N3010" s="1" t="inlineStr">
        <is>
          <t>Algorithms</t>
        </is>
      </c>
      <c r="O30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10" s="11" t="inlineStr">
        <is>
          <t>To Do</t>
        </is>
      </c>
    </row>
    <row r="3011" ht="15.75" customHeight="1" s="12">
      <c r="A3011" s="1" t="n">
        <v>2393</v>
      </c>
      <c r="B3011" s="3">
        <f>HYPERLINK("https://leetcode.com/problems/count-strictly-increasing-subarrays/", "Count Strictly Increasing Subarrays")</f>
        <v/>
      </c>
      <c r="C3011" s="1" t="n">
        <v>143</v>
      </c>
      <c r="D3011" s="1" t="n">
        <v>2</v>
      </c>
      <c r="E3011" s="4">
        <f>IF(INDEX(C:C, ROW())+INDEX(D:D, ROW())=0, 0, INDEX(C:C, ROW())/(INDEX(C:C, ROW())+INDEX(D:D, ROW())))</f>
        <v/>
      </c>
      <c r="F3011" s="1" t="inlineStr">
        <is>
          <t>Array, Math, Dynamic Programming</t>
        </is>
      </c>
      <c r="G3011" s="1" t="inlineStr">
        <is>
          <t>Medium</t>
        </is>
      </c>
      <c r="H3011" s="1" t="n">
        <v>8287</v>
      </c>
      <c r="I3011" s="1" t="n">
        <v>11665</v>
      </c>
      <c r="J3011" s="9" t="n">
        <v>0.71</v>
      </c>
      <c r="K3011" s="1" t="inlineStr">
        <is>
          <t>No</t>
        </is>
      </c>
      <c r="L3011" s="1" t="inlineStr">
        <is>
          <t>Yes</t>
        </is>
      </c>
      <c r="M3011" s="1" t="inlineStr">
        <is>
          <t>No</t>
        </is>
      </c>
      <c r="N3011" s="1" t="inlineStr">
        <is>
          <t>Algorithms</t>
        </is>
      </c>
      <c r="O30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11" s="11" t="inlineStr">
        <is>
          <t>To Do</t>
        </is>
      </c>
    </row>
    <row r="3012" ht="15.75" customHeight="1" s="12">
      <c r="A3012" s="1" t="n">
        <v>2711</v>
      </c>
      <c r="B3012" s="3">
        <f>HYPERLINK("https://leetcode.com/problems/difference-of-number-of-distinct-values-on-diagonals/", "Difference of Number of Distinct Values on Diagonals")</f>
        <v/>
      </c>
      <c r="C3012" s="1" t="n">
        <v>143</v>
      </c>
      <c r="D3012" s="1" t="n">
        <v>211</v>
      </c>
      <c r="E3012" s="4">
        <f>IF(INDEX(C:C, ROW())+INDEX(D:D, ROW())=0, 0, INDEX(C:C, ROW())/(INDEX(C:C, ROW())+INDEX(D:D, ROW())))</f>
        <v/>
      </c>
      <c r="F3012" s="1" t="inlineStr">
        <is>
          <t>Array, Hash Table, Matrix</t>
        </is>
      </c>
      <c r="G3012" s="1" t="inlineStr">
        <is>
          <t>Medium</t>
        </is>
      </c>
      <c r="H3012" s="1" t="n">
        <v>22908</v>
      </c>
      <c r="I3012" s="1" t="n">
        <v>33513</v>
      </c>
      <c r="J3012" s="9" t="n">
        <v>0.6840000000000001</v>
      </c>
      <c r="K3012" s="1" t="inlineStr">
        <is>
          <t>Yes</t>
        </is>
      </c>
      <c r="L3012" s="1" t="inlineStr">
        <is>
          <t>No</t>
        </is>
      </c>
      <c r="M3012" s="1" t="inlineStr">
        <is>
          <t>No</t>
        </is>
      </c>
      <c r="N3012" s="1" t="inlineStr">
        <is>
          <t>Algorithms</t>
        </is>
      </c>
      <c r="O30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12" s="11" t="inlineStr">
        <is>
          <t>To Do</t>
        </is>
      </c>
    </row>
    <row r="3013" ht="15.75" customHeight="1" s="12">
      <c r="A3013" s="1" t="n">
        <v>3177</v>
      </c>
      <c r="B3013" s="3">
        <f>HYPERLINK("https://leetcode.com/problems/find-the-maximum-length-of-a-good-subsequence-ii/", "Find the Maximum Length of a Good Subsequence II")</f>
        <v/>
      </c>
      <c r="C3013" s="1" t="n">
        <v>143</v>
      </c>
      <c r="D3013" s="1" t="n">
        <v>10</v>
      </c>
      <c r="E3013" s="4">
        <f>IF(INDEX(C:C, ROW())+INDEX(D:D, ROW())=0, 0, INDEX(C:C, ROW())/(INDEX(C:C, ROW())+INDEX(D:D, ROW())))</f>
        <v/>
      </c>
      <c r="F3013" s="1" t="inlineStr">
        <is>
          <t>Array, Hash Table, Dynamic Programming</t>
        </is>
      </c>
      <c r="G3013" s="1" t="inlineStr">
        <is>
          <t>Hard</t>
        </is>
      </c>
      <c r="H3013" s="1" t="n">
        <v>9734</v>
      </c>
      <c r="I3013" s="1" t="n">
        <v>38663</v>
      </c>
      <c r="J3013" s="9" t="n">
        <v>0.252</v>
      </c>
      <c r="K3013" s="1" t="inlineStr">
        <is>
          <t>Yes</t>
        </is>
      </c>
      <c r="L3013" s="1" t="inlineStr">
        <is>
          <t>No</t>
        </is>
      </c>
      <c r="M3013" s="1" t="inlineStr">
        <is>
          <t>No</t>
        </is>
      </c>
      <c r="N3013" s="1" t="inlineStr">
        <is>
          <t>Algorithms</t>
        </is>
      </c>
      <c r="O30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13" s="11" t="inlineStr">
        <is>
          <t>To Do</t>
        </is>
      </c>
    </row>
    <row r="3014" ht="15.75" customHeight="1" s="12">
      <c r="A3014" s="1" t="n">
        <v>3240</v>
      </c>
      <c r="B3014" s="3">
        <f>HYPERLINK("https://leetcode.com/problems/minimum-number-of-flips-to-make-binary-grid-palindromic-ii/", "Minimum Number of Flips to Make Binary Grid Palindromic II")</f>
        <v/>
      </c>
      <c r="C3014" s="1" t="n">
        <v>143</v>
      </c>
      <c r="D3014" s="1" t="n">
        <v>57</v>
      </c>
      <c r="E3014" s="4">
        <f>IF(INDEX(C:C, ROW())+INDEX(D:D, ROW())=0, 0, INDEX(C:C, ROW())/(INDEX(C:C, ROW())+INDEX(D:D, ROW())))</f>
        <v/>
      </c>
      <c r="F3014" s="1" t="inlineStr">
        <is>
          <t>Array, Two Pointers, Matrix</t>
        </is>
      </c>
      <c r="G3014" s="1" t="inlineStr">
        <is>
          <t>Medium</t>
        </is>
      </c>
      <c r="H3014" s="1" t="n">
        <v>12578</v>
      </c>
      <c r="I3014" s="1" t="n">
        <v>49220</v>
      </c>
      <c r="J3014" s="9" t="n">
        <v>0.256</v>
      </c>
      <c r="K3014" s="1" t="inlineStr">
        <is>
          <t>Yes</t>
        </is>
      </c>
      <c r="L3014" s="1" t="inlineStr">
        <is>
          <t>No</t>
        </is>
      </c>
      <c r="M3014" s="1" t="inlineStr">
        <is>
          <t>No</t>
        </is>
      </c>
      <c r="N3014" s="1" t="inlineStr">
        <is>
          <t>Algorithms</t>
        </is>
      </c>
      <c r="O30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14" s="11" t="inlineStr">
        <is>
          <t>To Do</t>
        </is>
      </c>
    </row>
    <row r="3015" ht="15.75" customHeight="1" s="12">
      <c r="A3015" s="1" t="n">
        <v>1777</v>
      </c>
      <c r="B3015" s="3">
        <f>HYPERLINK("https://leetcode.com/problems/products-price-for-each-store/", "Product's Price for Each Store")</f>
        <v/>
      </c>
      <c r="C3015" s="1" t="n">
        <v>142</v>
      </c>
      <c r="D3015" s="1" t="n">
        <v>13</v>
      </c>
      <c r="E3015" s="4">
        <f>IF(INDEX(C:C, ROW())+INDEX(D:D, ROW())=0, 0, INDEX(C:C, ROW())/(INDEX(C:C, ROW())+INDEX(D:D, ROW())))</f>
        <v/>
      </c>
      <c r="F3015" s="1" t="inlineStr">
        <is>
          <t>Database</t>
        </is>
      </c>
      <c r="G3015" s="1" t="inlineStr">
        <is>
          <t>Easy</t>
        </is>
      </c>
      <c r="H3015" s="1" t="n">
        <v>24974</v>
      </c>
      <c r="I3015" s="1" t="n">
        <v>30404</v>
      </c>
      <c r="J3015" s="9" t="n">
        <v>0.821</v>
      </c>
      <c r="K3015" s="1" t="inlineStr">
        <is>
          <t>No</t>
        </is>
      </c>
      <c r="L3015" s="1" t="inlineStr">
        <is>
          <t>Yes</t>
        </is>
      </c>
      <c r="M3015" s="1" t="inlineStr">
        <is>
          <t>No</t>
        </is>
      </c>
      <c r="N3015" s="1" t="inlineStr">
        <is>
          <t>Database</t>
        </is>
      </c>
      <c r="O30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15" s="11" t="inlineStr">
        <is>
          <t>To Do</t>
        </is>
      </c>
    </row>
    <row r="3016" ht="15.75" customHeight="1" s="12">
      <c r="A3016" s="1" t="n">
        <v>3187</v>
      </c>
      <c r="B3016" s="3">
        <f>HYPERLINK("https://leetcode.com/problems/peaks-in-array/", "Peaks in Array")</f>
        <v/>
      </c>
      <c r="C3016" s="1" t="n">
        <v>142</v>
      </c>
      <c r="D3016" s="1" t="n">
        <v>10</v>
      </c>
      <c r="E3016" s="4">
        <f>IF(INDEX(C:C, ROW())+INDEX(D:D, ROW())=0, 0, INDEX(C:C, ROW())/(INDEX(C:C, ROW())+INDEX(D:D, ROW())))</f>
        <v/>
      </c>
      <c r="F3016" s="1" t="inlineStr">
        <is>
          <t>Array, Binary Indexed Tree, Segment Tree</t>
        </is>
      </c>
      <c r="G3016" s="1" t="inlineStr">
        <is>
          <t>Hard</t>
        </is>
      </c>
      <c r="H3016" s="1" t="n">
        <v>12026</v>
      </c>
      <c r="I3016" s="1" t="n">
        <v>43675</v>
      </c>
      <c r="J3016" s="9" t="n">
        <v>0.275</v>
      </c>
      <c r="K3016" s="1" t="inlineStr">
        <is>
          <t>Yes</t>
        </is>
      </c>
      <c r="L3016" s="1" t="inlineStr">
        <is>
          <t>No</t>
        </is>
      </c>
      <c r="M3016" s="1" t="inlineStr">
        <is>
          <t>No</t>
        </is>
      </c>
      <c r="N3016" s="1" t="inlineStr">
        <is>
          <t>Algorithms</t>
        </is>
      </c>
      <c r="O30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16" s="11" t="inlineStr">
        <is>
          <t>To Do</t>
        </is>
      </c>
    </row>
    <row r="3017" ht="15.75" customHeight="1" s="12">
      <c r="A3017" s="1" t="n">
        <v>1549</v>
      </c>
      <c r="B3017" s="3">
        <f>HYPERLINK("https://leetcode.com/problems/the-most-recent-orders-for-each-product/", "The Most Recent Orders for Each Product")</f>
        <v/>
      </c>
      <c r="C3017" s="1" t="n">
        <v>141</v>
      </c>
      <c r="D3017" s="1" t="n">
        <v>12</v>
      </c>
      <c r="E3017" s="4">
        <f>IF(INDEX(C:C, ROW())+INDEX(D:D, ROW())=0, 0, INDEX(C:C, ROW())/(INDEX(C:C, ROW())+INDEX(D:D, ROW())))</f>
        <v/>
      </c>
      <c r="F3017" s="1" t="inlineStr">
        <is>
          <t>Database</t>
        </is>
      </c>
      <c r="G3017" s="1" t="inlineStr">
        <is>
          <t>Medium</t>
        </is>
      </c>
      <c r="H3017" s="1" t="n">
        <v>39109</v>
      </c>
      <c r="I3017" s="1" t="n">
        <v>60161</v>
      </c>
      <c r="J3017" s="9" t="n">
        <v>0.65</v>
      </c>
      <c r="K3017" s="1" t="inlineStr">
        <is>
          <t>No</t>
        </is>
      </c>
      <c r="L3017" s="1" t="inlineStr">
        <is>
          <t>Yes</t>
        </is>
      </c>
      <c r="M3017" s="1" t="inlineStr">
        <is>
          <t>No</t>
        </is>
      </c>
      <c r="N3017" s="1" t="inlineStr">
        <is>
          <t>Database</t>
        </is>
      </c>
      <c r="O30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17" s="11" t="inlineStr">
        <is>
          <t>To Do</t>
        </is>
      </c>
    </row>
    <row r="3018" ht="15.75" customHeight="1" s="12">
      <c r="A3018" s="1" t="n">
        <v>2980</v>
      </c>
      <c r="B3018" s="3">
        <f>HYPERLINK("https://leetcode.com/problems/check-if-bitwise-or-has-trailing-zeros/", "Check if Bitwise OR Has Trailing Zeros")</f>
        <v/>
      </c>
      <c r="C3018" s="1" t="n">
        <v>141</v>
      </c>
      <c r="D3018" s="1" t="n">
        <v>11</v>
      </c>
      <c r="E3018" s="4">
        <f>IF(INDEX(C:C, ROW())+INDEX(D:D, ROW())=0, 0, INDEX(C:C, ROW())/(INDEX(C:C, ROW())+INDEX(D:D, ROW())))</f>
        <v/>
      </c>
      <c r="F3018" s="1" t="inlineStr">
        <is>
          <t>Array, Bit Manipulation</t>
        </is>
      </c>
      <c r="G3018" s="1" t="inlineStr">
        <is>
          <t>Easy</t>
        </is>
      </c>
      <c r="H3018" s="1" t="n">
        <v>50308</v>
      </c>
      <c r="I3018" s="1" t="n">
        <v>70557</v>
      </c>
      <c r="J3018" s="9" t="n">
        <v>0.713</v>
      </c>
      <c r="K3018" s="1" t="inlineStr">
        <is>
          <t>Yes</t>
        </is>
      </c>
      <c r="L3018" s="1" t="inlineStr">
        <is>
          <t>No</t>
        </is>
      </c>
      <c r="M3018" s="1" t="inlineStr">
        <is>
          <t>No</t>
        </is>
      </c>
      <c r="N3018" s="1" t="inlineStr">
        <is>
          <t>Algorithms</t>
        </is>
      </c>
      <c r="O30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18" s="13" t="inlineStr">
        <is>
          <t>Done</t>
        </is>
      </c>
    </row>
    <row r="3019" ht="15.75" customHeight="1" s="12">
      <c r="A3019" s="1" t="n">
        <v>3095</v>
      </c>
      <c r="B3019" s="3">
        <f>HYPERLINK("https://leetcode.com/problems/shortest-subarray-with-or-at-least-k-i/", "Shortest Subarray With OR at Least K I")</f>
        <v/>
      </c>
      <c r="C3019" s="1" t="n">
        <v>141</v>
      </c>
      <c r="D3019" s="1" t="n">
        <v>23</v>
      </c>
      <c r="E3019" s="4">
        <f>IF(INDEX(C:C, ROW())+INDEX(D:D, ROW())=0, 0, INDEX(C:C, ROW())/(INDEX(C:C, ROW())+INDEX(D:D, ROW())))</f>
        <v/>
      </c>
      <c r="F3019" s="1" t="inlineStr">
        <is>
          <t>Array, Bit Manipulation, Sliding Window</t>
        </is>
      </c>
      <c r="G3019" s="1" t="inlineStr">
        <is>
          <t>Easy</t>
        </is>
      </c>
      <c r="H3019" s="1" t="n">
        <v>39793</v>
      </c>
      <c r="I3019" s="1" t="n">
        <v>89394</v>
      </c>
      <c r="J3019" s="9" t="n">
        <v>0.445</v>
      </c>
      <c r="K3019" s="1" t="inlineStr">
        <is>
          <t>Yes</t>
        </is>
      </c>
      <c r="L3019" s="1" t="inlineStr">
        <is>
          <t>No</t>
        </is>
      </c>
      <c r="M3019" s="1" t="inlineStr">
        <is>
          <t>No</t>
        </is>
      </c>
      <c r="N3019" s="1" t="inlineStr">
        <is>
          <t>Algorithms</t>
        </is>
      </c>
      <c r="O30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19" s="13" t="inlineStr">
        <is>
          <t>Done</t>
        </is>
      </c>
    </row>
    <row r="3020" ht="15.75" customHeight="1" s="12">
      <c r="A3020" s="1" t="n">
        <v>3324</v>
      </c>
      <c r="B3020" s="3">
        <f>HYPERLINK("https://leetcode.com/problems/find-the-sequence-of-strings-appeared-on-the-screen/", "Find the Sequence of Strings Appeared on the Screen")</f>
        <v/>
      </c>
      <c r="C3020" s="1" t="n">
        <v>141</v>
      </c>
      <c r="D3020" s="1" t="n">
        <v>12</v>
      </c>
      <c r="E3020" s="4">
        <f>IF(INDEX(C:C, ROW())+INDEX(D:D, ROW())=0, 0, INDEX(C:C, ROW())/(INDEX(C:C, ROW())+INDEX(D:D, ROW())))</f>
        <v/>
      </c>
      <c r="F3020" s="1" t="inlineStr">
        <is>
          <t>String, Simulation</t>
        </is>
      </c>
      <c r="G3020" s="1" t="inlineStr">
        <is>
          <t>Medium</t>
        </is>
      </c>
      <c r="H3020" s="1" t="n">
        <v>42940</v>
      </c>
      <c r="I3020" s="1" t="n">
        <v>53505</v>
      </c>
      <c r="J3020" s="9" t="n">
        <v>0.803</v>
      </c>
      <c r="K3020" s="1" t="inlineStr">
        <is>
          <t>Yes</t>
        </is>
      </c>
      <c r="L3020" s="1" t="inlineStr">
        <is>
          <t>No</t>
        </is>
      </c>
      <c r="M3020" s="1" t="inlineStr">
        <is>
          <t>No</t>
        </is>
      </c>
      <c r="N3020" s="1" t="inlineStr">
        <is>
          <t>Algorithms</t>
        </is>
      </c>
      <c r="O30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20" s="11" t="inlineStr">
        <is>
          <t>To Do</t>
        </is>
      </c>
    </row>
    <row r="3021" ht="15.75" customHeight="1" s="12">
      <c r="A3021" s="1" t="n">
        <v>3620</v>
      </c>
      <c r="B3021" s="3">
        <f>HYPERLINK("https://leetcode.com/problems/network-recovery-pathways/", "Network Recovery Pathways")</f>
        <v/>
      </c>
      <c r="C3021" s="1" t="n">
        <v>141</v>
      </c>
      <c r="D3021" s="1" t="n">
        <v>12</v>
      </c>
      <c r="E3021" s="4">
        <f>IF(INDEX(C:C, ROW())+INDEX(D:D, ROW())=0, 0, INDEX(C:C, ROW())/(INDEX(C:C, ROW())+INDEX(D:D, ROW())))</f>
        <v/>
      </c>
      <c r="F3021" s="1" t="inlineStr">
        <is>
          <t>Array, Binary Search, Dynamic Programming, Graph Theory, Topological Sort, Heap (Priority Queue), Shortest Path</t>
        </is>
      </c>
      <c r="G3021" s="1" t="inlineStr">
        <is>
          <t>Hard</t>
        </is>
      </c>
      <c r="H3021" s="1" t="n">
        <v>15013</v>
      </c>
      <c r="I3021" s="1" t="n">
        <v>50149</v>
      </c>
      <c r="J3021" s="9" t="n">
        <v>0.299</v>
      </c>
      <c r="K3021" s="1" t="inlineStr">
        <is>
          <t>Yes</t>
        </is>
      </c>
      <c r="L3021" s="1" t="inlineStr">
        <is>
          <t>No</t>
        </is>
      </c>
      <c r="M3021" s="1" t="inlineStr">
        <is>
          <t>No</t>
        </is>
      </c>
      <c r="N3021" s="1" t="inlineStr">
        <is>
          <t>Algorithms</t>
        </is>
      </c>
      <c r="O30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21" s="11" t="inlineStr">
        <is>
          <t>To Do</t>
        </is>
      </c>
    </row>
    <row r="3022" ht="15.75" customHeight="1" s="12">
      <c r="A3022" s="1" t="n">
        <v>3175</v>
      </c>
      <c r="B3022" s="3">
        <f>HYPERLINK("https://leetcode.com/problems/find-the-first-player-to-win-k-games-in-a-row/", "Find The First Player to win K Games in a Row")</f>
        <v/>
      </c>
      <c r="C3022" s="1" t="n">
        <v>140</v>
      </c>
      <c r="D3022" s="1" t="n">
        <v>16</v>
      </c>
      <c r="E3022" s="4">
        <f>IF(INDEX(C:C, ROW())+INDEX(D:D, ROW())=0, 0, INDEX(C:C, ROW())/(INDEX(C:C, ROW())+INDEX(D:D, ROW())))</f>
        <v/>
      </c>
      <c r="F3022" s="1" t="inlineStr">
        <is>
          <t>Array, Simulation</t>
        </is>
      </c>
      <c r="G3022" s="1" t="inlineStr">
        <is>
          <t>Medium</t>
        </is>
      </c>
      <c r="H3022" s="1" t="n">
        <v>36710</v>
      </c>
      <c r="I3022" s="1" t="n">
        <v>91263</v>
      </c>
      <c r="J3022" s="9" t="n">
        <v>0.402</v>
      </c>
      <c r="K3022" s="1" t="inlineStr">
        <is>
          <t>Yes</t>
        </is>
      </c>
      <c r="L3022" s="1" t="inlineStr">
        <is>
          <t>No</t>
        </is>
      </c>
      <c r="M3022" s="1" t="inlineStr">
        <is>
          <t>No</t>
        </is>
      </c>
      <c r="N3022" s="1" t="inlineStr">
        <is>
          <t>Algorithms</t>
        </is>
      </c>
      <c r="O30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22" s="11" t="inlineStr">
        <is>
          <t>To Do</t>
        </is>
      </c>
    </row>
    <row r="3023" ht="15.75" customHeight="1" s="12">
      <c r="A3023" s="1" t="n">
        <v>3241</v>
      </c>
      <c r="B3023" s="3">
        <f>HYPERLINK("https://leetcode.com/problems/time-taken-to-mark-all-nodes/", "Time Taken to Mark All Nodes")</f>
        <v/>
      </c>
      <c r="C3023" s="1" t="n">
        <v>140</v>
      </c>
      <c r="D3023" s="1" t="n">
        <v>6</v>
      </c>
      <c r="E3023" s="4">
        <f>IF(INDEX(C:C, ROW())+INDEX(D:D, ROW())=0, 0, INDEX(C:C, ROW())/(INDEX(C:C, ROW())+INDEX(D:D, ROW())))</f>
        <v/>
      </c>
      <c r="F3023" s="1" t="inlineStr">
        <is>
          <t>Dynamic Programming, Tree, Depth-First Search, Graph Theory</t>
        </is>
      </c>
      <c r="G3023" s="1" t="inlineStr">
        <is>
          <t>Hard</t>
        </is>
      </c>
      <c r="H3023" s="1" t="n">
        <v>6788</v>
      </c>
      <c r="I3023" s="1" t="n">
        <v>24259</v>
      </c>
      <c r="J3023" s="9" t="n">
        <v>0.28</v>
      </c>
      <c r="K3023" s="1" t="inlineStr">
        <is>
          <t>Yes</t>
        </is>
      </c>
      <c r="L3023" s="1" t="inlineStr">
        <is>
          <t>No</t>
        </is>
      </c>
      <c r="M3023" s="1" t="inlineStr">
        <is>
          <t>No</t>
        </is>
      </c>
      <c r="N3023" s="1" t="inlineStr">
        <is>
          <t>Algorithms</t>
        </is>
      </c>
      <c r="O30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23" s="11" t="inlineStr">
        <is>
          <t>To Do</t>
        </is>
      </c>
    </row>
    <row r="3024" ht="15.75" customHeight="1" s="12">
      <c r="A3024" s="1" t="n">
        <v>1972</v>
      </c>
      <c r="B3024" s="3">
        <f>HYPERLINK("https://leetcode.com/problems/first-and-last-call-on-the-same-day/", "First and Last Call On the Same Day")</f>
        <v/>
      </c>
      <c r="C3024" s="1" t="n">
        <v>139</v>
      </c>
      <c r="D3024" s="1" t="n">
        <v>44</v>
      </c>
      <c r="E3024" s="4">
        <f>IF(INDEX(C:C, ROW())+INDEX(D:D, ROW())=0, 0, INDEX(C:C, ROW())/(INDEX(C:C, ROW())+INDEX(D:D, ROW())))</f>
        <v/>
      </c>
      <c r="F3024" s="1" t="inlineStr">
        <is>
          <t>Database</t>
        </is>
      </c>
      <c r="G3024" s="1" t="inlineStr">
        <is>
          <t>Hard</t>
        </is>
      </c>
      <c r="H3024" s="1" t="n">
        <v>12502</v>
      </c>
      <c r="I3024" s="1" t="n">
        <v>24402</v>
      </c>
      <c r="J3024" s="9" t="n">
        <v>0.512</v>
      </c>
      <c r="K3024" s="1" t="inlineStr">
        <is>
          <t>No</t>
        </is>
      </c>
      <c r="L3024" s="1" t="inlineStr">
        <is>
          <t>Yes</t>
        </is>
      </c>
      <c r="M3024" s="1" t="inlineStr">
        <is>
          <t>No</t>
        </is>
      </c>
      <c r="N3024" s="1" t="inlineStr">
        <is>
          <t>Database</t>
        </is>
      </c>
      <c r="O30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24" s="11" t="inlineStr">
        <is>
          <t>To Do</t>
        </is>
      </c>
    </row>
    <row r="3025" ht="15.75" customHeight="1" s="12">
      <c r="A3025" s="1" t="n">
        <v>2277</v>
      </c>
      <c r="B3025" s="3">
        <f>HYPERLINK("https://leetcode.com/problems/closest-node-to-path-in-tree/", "Closest Node to Path in Tree")</f>
        <v/>
      </c>
      <c r="C3025" s="1" t="n">
        <v>139</v>
      </c>
      <c r="D3025" s="1" t="n">
        <v>3</v>
      </c>
      <c r="E3025" s="4">
        <f>IF(INDEX(C:C, ROW())+INDEX(D:D, ROW())=0, 0, INDEX(C:C, ROW())/(INDEX(C:C, ROW())+INDEX(D:D, ROW())))</f>
        <v/>
      </c>
      <c r="F3025" s="1" t="inlineStr">
        <is>
          <t>Array, Tree, Depth-First Search, Breadth-First Search</t>
        </is>
      </c>
      <c r="G3025" s="1" t="inlineStr">
        <is>
          <t>Hard</t>
        </is>
      </c>
      <c r="H3025" s="1" t="n">
        <v>6656</v>
      </c>
      <c r="I3025" s="1" t="n">
        <v>10684</v>
      </c>
      <c r="J3025" s="9" t="n">
        <v>0.623</v>
      </c>
      <c r="K3025" s="1" t="inlineStr">
        <is>
          <t>No</t>
        </is>
      </c>
      <c r="L3025" s="1" t="inlineStr">
        <is>
          <t>No</t>
        </is>
      </c>
      <c r="M3025" s="1" t="inlineStr">
        <is>
          <t>No</t>
        </is>
      </c>
      <c r="N3025" s="1" t="inlineStr">
        <is>
          <t>Algorithms</t>
        </is>
      </c>
      <c r="O30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25" s="11" t="inlineStr">
        <is>
          <t>To Do</t>
        </is>
      </c>
    </row>
    <row r="3026" ht="15.75" customHeight="1" s="12">
      <c r="A3026" s="1" t="n">
        <v>3552</v>
      </c>
      <c r="B3026" s="3">
        <f>HYPERLINK("https://leetcode.com/problems/grid-teleportation-traversal/", "Grid Teleportation Traversal")</f>
        <v/>
      </c>
      <c r="C3026" s="1" t="n">
        <v>139</v>
      </c>
      <c r="D3026" s="1" t="n">
        <v>12</v>
      </c>
      <c r="E3026" s="4">
        <f>IF(INDEX(C:C, ROW())+INDEX(D:D, ROW())=0, 0, INDEX(C:C, ROW())/(INDEX(C:C, ROW())+INDEX(D:D, ROW())))</f>
        <v/>
      </c>
      <c r="F3026" s="1" t="inlineStr">
        <is>
          <t>Array, Hash Table, Breadth-First Search, Matrix</t>
        </is>
      </c>
      <c r="G3026" s="1" t="inlineStr">
        <is>
          <t>Medium</t>
        </is>
      </c>
      <c r="H3026" s="1" t="n">
        <v>13811</v>
      </c>
      <c r="I3026" s="1" t="n">
        <v>58614</v>
      </c>
      <c r="J3026" s="9" t="n">
        <v>0.236</v>
      </c>
      <c r="K3026" s="1" t="inlineStr">
        <is>
          <t>Yes</t>
        </is>
      </c>
      <c r="L3026" s="1" t="inlineStr">
        <is>
          <t>No</t>
        </is>
      </c>
      <c r="M3026" s="1" t="inlineStr">
        <is>
          <t>No</t>
        </is>
      </c>
      <c r="N3026" s="1" t="inlineStr">
        <is>
          <t>Algorithms</t>
        </is>
      </c>
      <c r="O30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26" s="11" t="inlineStr">
        <is>
          <t>To Do</t>
        </is>
      </c>
    </row>
    <row r="3027" ht="15.75" customHeight="1" s="12">
      <c r="A3027" s="1" t="n">
        <v>3628</v>
      </c>
      <c r="B3027" s="3">
        <f>HYPERLINK("https://leetcode.com/problems/maximum-number-of-subsequences-after-one-inserting/", "Maximum Number of Subsequences After One Inserting")</f>
        <v/>
      </c>
      <c r="C3027" s="1" t="n">
        <v>138</v>
      </c>
      <c r="D3027" s="1" t="n">
        <v>5</v>
      </c>
      <c r="E3027" s="4">
        <f>IF(INDEX(C:C, ROW())+INDEX(D:D, ROW())=0, 0, INDEX(C:C, ROW())/(INDEX(C:C, ROW())+INDEX(D:D, ROW())))</f>
        <v/>
      </c>
      <c r="F3027" s="1" t="inlineStr">
        <is>
          <t>String, Dynamic Programming, Greedy, Prefix Sum</t>
        </is>
      </c>
      <c r="G3027" s="1" t="inlineStr">
        <is>
          <t>Medium</t>
        </is>
      </c>
      <c r="H3027" s="1" t="n">
        <v>30803</v>
      </c>
      <c r="I3027" s="1" t="n">
        <v>96550</v>
      </c>
      <c r="J3027" s="9" t="n">
        <v>0.319</v>
      </c>
      <c r="K3027" s="1" t="inlineStr">
        <is>
          <t>Yes</t>
        </is>
      </c>
      <c r="L3027" s="1" t="inlineStr">
        <is>
          <t>No</t>
        </is>
      </c>
      <c r="M3027" s="1" t="inlineStr">
        <is>
          <t>No</t>
        </is>
      </c>
      <c r="N3027" s="1" t="inlineStr">
        <is>
          <t>Algorithms</t>
        </is>
      </c>
      <c r="O30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27" s="11" t="inlineStr">
        <is>
          <t>To Do</t>
        </is>
      </c>
    </row>
    <row r="3028" ht="15.75" customHeight="1" s="12">
      <c r="A3028" s="1" t="n">
        <v>2083</v>
      </c>
      <c r="B3028" s="3">
        <f>HYPERLINK("https://leetcode.com/problems/substrings-that-begin-and-end-with-the-same-letter/", "Substrings That Begin and End With the Same Letter")</f>
        <v/>
      </c>
      <c r="C3028" s="1" t="n">
        <v>137</v>
      </c>
      <c r="D3028" s="1" t="n">
        <v>12</v>
      </c>
      <c r="E3028" s="4">
        <f>IF(INDEX(C:C, ROW())+INDEX(D:D, ROW())=0, 0, INDEX(C:C, ROW())/(INDEX(C:C, ROW())+INDEX(D:D, ROW())))</f>
        <v/>
      </c>
      <c r="F3028" s="1" t="inlineStr">
        <is>
          <t>Hash Table, Math, String, Counting, Prefix Sum</t>
        </is>
      </c>
      <c r="G3028" s="1" t="inlineStr">
        <is>
          <t>Medium</t>
        </is>
      </c>
      <c r="H3028" s="1" t="n">
        <v>14028</v>
      </c>
      <c r="I3028" s="1" t="n">
        <v>18853</v>
      </c>
      <c r="J3028" s="9" t="n">
        <v>0.744</v>
      </c>
      <c r="K3028" s="1" t="inlineStr">
        <is>
          <t>No</t>
        </is>
      </c>
      <c r="L3028" s="1" t="inlineStr">
        <is>
          <t>Yes</t>
        </is>
      </c>
      <c r="M3028" s="1" t="inlineStr">
        <is>
          <t>No</t>
        </is>
      </c>
      <c r="N3028" s="1" t="inlineStr">
        <is>
          <t>Algorithms</t>
        </is>
      </c>
      <c r="O30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28" s="11" t="inlineStr">
        <is>
          <t>To Do</t>
        </is>
      </c>
    </row>
    <row r="3029" ht="15.75" customHeight="1" s="12">
      <c r="A3029" s="1" t="n">
        <v>2863</v>
      </c>
      <c r="B3029" s="3">
        <f>HYPERLINK("https://leetcode.com/problems/maximum-length-of-semi-decreasing-subarrays/", "Maximum Length of Semi-Decreasing Subarrays")</f>
        <v/>
      </c>
      <c r="C3029" s="1" t="n">
        <v>137</v>
      </c>
      <c r="D3029" s="1" t="n">
        <v>17</v>
      </c>
      <c r="E3029" s="4">
        <f>IF(INDEX(C:C, ROW())+INDEX(D:D, ROW())=0, 0, INDEX(C:C, ROW())/(INDEX(C:C, ROW())+INDEX(D:D, ROW())))</f>
        <v/>
      </c>
      <c r="F3029" s="1" t="inlineStr">
        <is>
          <t>Array, Stack, Sorting, Monotonic Stack</t>
        </is>
      </c>
      <c r="G3029" s="1" t="inlineStr">
        <is>
          <t>Medium</t>
        </is>
      </c>
      <c r="H3029" s="1" t="n">
        <v>14442</v>
      </c>
      <c r="I3029" s="1" t="n">
        <v>20629</v>
      </c>
      <c r="J3029" s="9" t="n">
        <v>0.7</v>
      </c>
      <c r="K3029" s="1" t="inlineStr">
        <is>
          <t>No</t>
        </is>
      </c>
      <c r="L3029" s="1" t="inlineStr">
        <is>
          <t>No</t>
        </is>
      </c>
      <c r="M3029" s="1" t="inlineStr">
        <is>
          <t>No</t>
        </is>
      </c>
      <c r="N3029" s="1" t="inlineStr">
        <is>
          <t>Algorithms</t>
        </is>
      </c>
      <c r="O30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29" s="11" t="inlineStr">
        <is>
          <t>To Do</t>
        </is>
      </c>
    </row>
    <row r="3030" ht="15.75" customHeight="1" s="12">
      <c r="A3030" s="1" t="n">
        <v>2889</v>
      </c>
      <c r="B3030" s="3">
        <f>HYPERLINK("https://leetcode.com/problems/reshape-data-pivot/", "Reshape Data: Pivot")</f>
        <v/>
      </c>
      <c r="C3030" s="1" t="n">
        <v>137</v>
      </c>
      <c r="D3030" s="1" t="n">
        <v>16</v>
      </c>
      <c r="E3030" s="4">
        <f>IF(INDEX(C:C, ROW())+INDEX(D:D, ROW())=0, 0, INDEX(C:C, ROW())/(INDEX(C:C, ROW())+INDEX(D:D, ROW())))</f>
        <v/>
      </c>
      <c r="F3030" s="2" t="n"/>
      <c r="G3030" s="1" t="inlineStr">
        <is>
          <t>Easy</t>
        </is>
      </c>
      <c r="H3030" s="1" t="n">
        <v>104197</v>
      </c>
      <c r="I3030" s="1" t="n">
        <v>125496</v>
      </c>
      <c r="J3030" s="9" t="n">
        <v>0.83</v>
      </c>
      <c r="K3030" s="1" t="inlineStr">
        <is>
          <t>Yes</t>
        </is>
      </c>
      <c r="L3030" s="1" t="inlineStr">
        <is>
          <t>Yes</t>
        </is>
      </c>
      <c r="M3030" s="1" t="inlineStr">
        <is>
          <t>No</t>
        </is>
      </c>
      <c r="N3030" s="1" t="inlineStr">
        <is>
          <t>pandas</t>
        </is>
      </c>
      <c r="O30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30" s="13" t="inlineStr">
        <is>
          <t>Done</t>
        </is>
      </c>
    </row>
    <row r="3031" ht="15.75" customHeight="1" s="12">
      <c r="A3031" s="1" t="n">
        <v>3326</v>
      </c>
      <c r="B3031" s="3">
        <f>HYPERLINK("https://leetcode.com/problems/minimum-division-operations-to-make-array-non-decreasing/", "Minimum Division Operations to Make Array Non Decreasing")</f>
        <v/>
      </c>
      <c r="C3031" s="1" t="n">
        <v>137</v>
      </c>
      <c r="D3031" s="1" t="n">
        <v>31</v>
      </c>
      <c r="E3031" s="4">
        <f>IF(INDEX(C:C, ROW())+INDEX(D:D, ROW())=0, 0, INDEX(C:C, ROW())/(INDEX(C:C, ROW())+INDEX(D:D, ROW())))</f>
        <v/>
      </c>
      <c r="F3031" s="1" t="inlineStr">
        <is>
          <t>Array, Math, Greedy, Number Theory</t>
        </is>
      </c>
      <c r="G3031" s="1" t="inlineStr">
        <is>
          <t>Medium</t>
        </is>
      </c>
      <c r="H3031" s="1" t="n">
        <v>24189</v>
      </c>
      <c r="I3031" s="1" t="n">
        <v>82894</v>
      </c>
      <c r="J3031" s="9" t="n">
        <v>0.292</v>
      </c>
      <c r="K3031" s="1" t="inlineStr">
        <is>
          <t>Yes</t>
        </is>
      </c>
      <c r="L3031" s="1" t="inlineStr">
        <is>
          <t>No</t>
        </is>
      </c>
      <c r="M3031" s="1" t="inlineStr">
        <is>
          <t>No</t>
        </is>
      </c>
      <c r="N3031" s="1" t="inlineStr">
        <is>
          <t>Algorithms</t>
        </is>
      </c>
      <c r="O30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31" s="11" t="inlineStr">
        <is>
          <t>To Do</t>
        </is>
      </c>
    </row>
    <row r="3032" ht="15.75" customHeight="1" s="12">
      <c r="A3032" s="1" t="n">
        <v>578</v>
      </c>
      <c r="B3032" s="3">
        <f>HYPERLINK("https://leetcode.com/problems/get-highest-answer-rate-question/", "Get Highest Answer Rate Question")</f>
        <v/>
      </c>
      <c r="C3032" s="1" t="n">
        <v>136</v>
      </c>
      <c r="D3032" s="1" t="n">
        <v>921</v>
      </c>
      <c r="E3032" s="4">
        <f>IF(INDEX(C:C, ROW())+INDEX(D:D, ROW())=0, 0, INDEX(C:C, ROW())/(INDEX(C:C, ROW())+INDEX(D:D, ROW())))</f>
        <v/>
      </c>
      <c r="F3032" s="1" t="inlineStr">
        <is>
          <t>Database</t>
        </is>
      </c>
      <c r="G3032" s="1" t="inlineStr">
        <is>
          <t>Medium</t>
        </is>
      </c>
      <c r="H3032" s="1" t="n">
        <v>69441</v>
      </c>
      <c r="I3032" s="1" t="n">
        <v>173365</v>
      </c>
      <c r="J3032" s="9" t="n">
        <v>0.401</v>
      </c>
      <c r="K3032" s="1" t="inlineStr">
        <is>
          <t>No</t>
        </is>
      </c>
      <c r="L3032" s="1" t="inlineStr">
        <is>
          <t>Yes</t>
        </is>
      </c>
      <c r="M3032" s="1" t="inlineStr">
        <is>
          <t>No</t>
        </is>
      </c>
      <c r="N3032" s="1" t="inlineStr">
        <is>
          <t>Database</t>
        </is>
      </c>
      <c r="O30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32" s="11" t="inlineStr">
        <is>
          <t>To Do</t>
        </is>
      </c>
    </row>
    <row r="3033" ht="15.75" customHeight="1" s="12">
      <c r="A3033" s="1" t="n">
        <v>2880</v>
      </c>
      <c r="B3033" s="3">
        <f>HYPERLINK("https://leetcode.com/problems/select-data/", "Select Data")</f>
        <v/>
      </c>
      <c r="C3033" s="1" t="n">
        <v>136</v>
      </c>
      <c r="D3033" s="1" t="n">
        <v>8</v>
      </c>
      <c r="E3033" s="4">
        <f>IF(INDEX(C:C, ROW())+INDEX(D:D, ROW())=0, 0, INDEX(C:C, ROW())/(INDEX(C:C, ROW())+INDEX(D:D, ROW())))</f>
        <v/>
      </c>
      <c r="F3033" s="2" t="n"/>
      <c r="G3033" s="1" t="inlineStr">
        <is>
          <t>Easy</t>
        </is>
      </c>
      <c r="H3033" s="1" t="n">
        <v>168078</v>
      </c>
      <c r="I3033" s="1" t="n">
        <v>214232</v>
      </c>
      <c r="J3033" s="9" t="n">
        <v>0.785</v>
      </c>
      <c r="K3033" s="1" t="inlineStr">
        <is>
          <t>Yes</t>
        </is>
      </c>
      <c r="L3033" s="1" t="inlineStr">
        <is>
          <t>Yes</t>
        </is>
      </c>
      <c r="M3033" s="1" t="inlineStr">
        <is>
          <t>No</t>
        </is>
      </c>
      <c r="N3033" s="1" t="inlineStr">
        <is>
          <t>pandas</t>
        </is>
      </c>
      <c r="O30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33" s="13" t="inlineStr">
        <is>
          <t>Done</t>
        </is>
      </c>
    </row>
    <row r="3034" ht="15.75" customHeight="1" s="12">
      <c r="A3034" s="1" t="n">
        <v>3079</v>
      </c>
      <c r="B3034" s="3">
        <f>HYPERLINK("https://leetcode.com/problems/find-the-sum-of-encrypted-integers/", "Find the Sum of Encrypted Integers")</f>
        <v/>
      </c>
      <c r="C3034" s="1" t="n">
        <v>136</v>
      </c>
      <c r="D3034" s="1" t="n">
        <v>20</v>
      </c>
      <c r="E3034" s="4">
        <f>IF(INDEX(C:C, ROW())+INDEX(D:D, ROW())=0, 0, INDEX(C:C, ROW())/(INDEX(C:C, ROW())+INDEX(D:D, ROW())))</f>
        <v/>
      </c>
      <c r="F3034" s="1" t="inlineStr">
        <is>
          <t>Array, Math</t>
        </is>
      </c>
      <c r="G3034" s="1" t="inlineStr">
        <is>
          <t>Easy</t>
        </is>
      </c>
      <c r="H3034" s="1" t="n">
        <v>63187</v>
      </c>
      <c r="I3034" s="1" t="n">
        <v>84376</v>
      </c>
      <c r="J3034" s="9" t="n">
        <v>0.749</v>
      </c>
      <c r="K3034" s="1" t="inlineStr">
        <is>
          <t>Yes</t>
        </is>
      </c>
      <c r="L3034" s="1" t="inlineStr">
        <is>
          <t>No</t>
        </is>
      </c>
      <c r="M3034" s="1" t="inlineStr">
        <is>
          <t>No</t>
        </is>
      </c>
      <c r="N3034" s="1" t="inlineStr">
        <is>
          <t>Algorithms</t>
        </is>
      </c>
      <c r="O30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34" s="13" t="inlineStr">
        <is>
          <t>Done</t>
        </is>
      </c>
    </row>
    <row r="3035" ht="15.75" customHeight="1" s="12">
      <c r="A3035" s="1" t="n">
        <v>3128</v>
      </c>
      <c r="B3035" s="3">
        <f>HYPERLINK("https://leetcode.com/problems/right-triangles/", "Right Triangles")</f>
        <v/>
      </c>
      <c r="C3035" s="1" t="n">
        <v>136</v>
      </c>
      <c r="D3035" s="1" t="n">
        <v>24</v>
      </c>
      <c r="E3035" s="4">
        <f>IF(INDEX(C:C, ROW())+INDEX(D:D, ROW())=0, 0, INDEX(C:C, ROW())/(INDEX(C:C, ROW())+INDEX(D:D, ROW())))</f>
        <v/>
      </c>
      <c r="F3035" s="1" t="inlineStr">
        <is>
          <t>Array, Hash Table, Math, Combinatorics, Counting</t>
        </is>
      </c>
      <c r="G3035" s="1" t="inlineStr">
        <is>
          <t>Medium</t>
        </is>
      </c>
      <c r="H3035" s="1" t="n">
        <v>24038</v>
      </c>
      <c r="I3035" s="1" t="n">
        <v>49365</v>
      </c>
      <c r="J3035" s="9" t="n">
        <v>0.487</v>
      </c>
      <c r="K3035" s="1" t="inlineStr">
        <is>
          <t>Yes</t>
        </is>
      </c>
      <c r="L3035" s="1" t="inlineStr">
        <is>
          <t>No</t>
        </is>
      </c>
      <c r="M3035" s="1" t="inlineStr">
        <is>
          <t>No</t>
        </is>
      </c>
      <c r="N3035" s="1" t="inlineStr">
        <is>
          <t>Algorithms</t>
        </is>
      </c>
      <c r="O30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35" s="11" t="inlineStr">
        <is>
          <t>To Do</t>
        </is>
      </c>
    </row>
    <row r="3036" ht="15.75" customHeight="1" s="12">
      <c r="A3036" s="1" t="n">
        <v>1149</v>
      </c>
      <c r="B3036" s="3">
        <f>HYPERLINK("https://leetcode.com/problems/article-views-ii/", "Article Views II")</f>
        <v/>
      </c>
      <c r="C3036" s="1" t="n">
        <v>135</v>
      </c>
      <c r="D3036" s="1" t="n">
        <v>30</v>
      </c>
      <c r="E3036" s="4">
        <f>IF(INDEX(C:C, ROW())+INDEX(D:D, ROW())=0, 0, INDEX(C:C, ROW())/(INDEX(C:C, ROW())+INDEX(D:D, ROW())))</f>
        <v/>
      </c>
      <c r="F3036" s="1" t="inlineStr">
        <is>
          <t>Database</t>
        </is>
      </c>
      <c r="G3036" s="1" t="inlineStr">
        <is>
          <t>Medium</t>
        </is>
      </c>
      <c r="H3036" s="1" t="n">
        <v>44736</v>
      </c>
      <c r="I3036" s="1" t="n">
        <v>94630</v>
      </c>
      <c r="J3036" s="9" t="n">
        <v>0.473</v>
      </c>
      <c r="K3036" s="1" t="inlineStr">
        <is>
          <t>No</t>
        </is>
      </c>
      <c r="L3036" s="1" t="inlineStr">
        <is>
          <t>Yes</t>
        </is>
      </c>
      <c r="M3036" s="1" t="inlineStr">
        <is>
          <t>No</t>
        </is>
      </c>
      <c r="N3036" s="1" t="inlineStr">
        <is>
          <t>Database</t>
        </is>
      </c>
      <c r="O30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36" s="11" t="inlineStr">
        <is>
          <t>To Do</t>
        </is>
      </c>
    </row>
    <row r="3037" ht="15.75" customHeight="1" s="12">
      <c r="A3037" s="1" t="n">
        <v>3447</v>
      </c>
      <c r="B3037" s="3">
        <f>HYPERLINK("https://leetcode.com/problems/assign-elements-to-groups-with-constraints/", "Assign Elements to Groups with Constraints")</f>
        <v/>
      </c>
      <c r="C3037" s="1" t="n">
        <v>135</v>
      </c>
      <c r="D3037" s="1" t="n">
        <v>12</v>
      </c>
      <c r="E3037" s="4">
        <f>IF(INDEX(C:C, ROW())+INDEX(D:D, ROW())=0, 0, INDEX(C:C, ROW())/(INDEX(C:C, ROW())+INDEX(D:D, ROW())))</f>
        <v/>
      </c>
      <c r="F3037" s="1" t="inlineStr">
        <is>
          <t>Array, Hash Table</t>
        </is>
      </c>
      <c r="G3037" s="1" t="inlineStr">
        <is>
          <t>Medium</t>
        </is>
      </c>
      <c r="H3037" s="1" t="n">
        <v>20744</v>
      </c>
      <c r="I3037" s="1" t="n">
        <v>76863</v>
      </c>
      <c r="J3037" s="9" t="n">
        <v>0.27</v>
      </c>
      <c r="K3037" s="1" t="inlineStr">
        <is>
          <t>Yes</t>
        </is>
      </c>
      <c r="L3037" s="1" t="inlineStr">
        <is>
          <t>No</t>
        </is>
      </c>
      <c r="M3037" s="1" t="inlineStr">
        <is>
          <t>No</t>
        </is>
      </c>
      <c r="N3037" s="1" t="inlineStr">
        <is>
          <t>Algorithms</t>
        </is>
      </c>
      <c r="O30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37" s="11" t="inlineStr">
        <is>
          <t>To Do</t>
        </is>
      </c>
    </row>
    <row r="3038" ht="15.75" customHeight="1" s="12">
      <c r="A3038" s="1" t="n">
        <v>1468</v>
      </c>
      <c r="B3038" s="3">
        <f>HYPERLINK("https://leetcode.com/problems/calculate-salaries/", "Calculate Salaries")</f>
        <v/>
      </c>
      <c r="C3038" s="1" t="n">
        <v>134</v>
      </c>
      <c r="D3038" s="1" t="n">
        <v>26</v>
      </c>
      <c r="E3038" s="4">
        <f>IF(INDEX(C:C, ROW())+INDEX(D:D, ROW())=0, 0, INDEX(C:C, ROW())/(INDEX(C:C, ROW())+INDEX(D:D, ROW())))</f>
        <v/>
      </c>
      <c r="F3038" s="1" t="inlineStr">
        <is>
          <t>Database</t>
        </is>
      </c>
      <c r="G3038" s="1" t="inlineStr">
        <is>
          <t>Medium</t>
        </is>
      </c>
      <c r="H3038" s="1" t="n">
        <v>29281</v>
      </c>
      <c r="I3038" s="1" t="n">
        <v>37883</v>
      </c>
      <c r="J3038" s="9" t="n">
        <v>0.773</v>
      </c>
      <c r="K3038" s="1" t="inlineStr">
        <is>
          <t>No</t>
        </is>
      </c>
      <c r="L3038" s="1" t="inlineStr">
        <is>
          <t>No</t>
        </is>
      </c>
      <c r="M3038" s="1" t="inlineStr">
        <is>
          <t>No</t>
        </is>
      </c>
      <c r="N3038" s="1" t="inlineStr">
        <is>
          <t>Database</t>
        </is>
      </c>
      <c r="O30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38" s="11" t="inlineStr">
        <is>
          <t>To Do</t>
        </is>
      </c>
    </row>
    <row r="3039" ht="15.75" customHeight="1" s="12">
      <c r="A3039" s="1" t="n">
        <v>2630</v>
      </c>
      <c r="B3039" s="3">
        <f>HYPERLINK("https://leetcode.com/problems/memoize-ii/", "Memoize II")</f>
        <v/>
      </c>
      <c r="C3039" s="1" t="n">
        <v>134</v>
      </c>
      <c r="D3039" s="1" t="n">
        <v>46</v>
      </c>
      <c r="E3039" s="4">
        <f>IF(INDEX(C:C, ROW())+INDEX(D:D, ROW())=0, 0, INDEX(C:C, ROW())/(INDEX(C:C, ROW())+INDEX(D:D, ROW())))</f>
        <v/>
      </c>
      <c r="F3039" s="2" t="n"/>
      <c r="G3039" s="1" t="inlineStr">
        <is>
          <t>Hard</t>
        </is>
      </c>
      <c r="H3039" s="1" t="n">
        <v>12075</v>
      </c>
      <c r="I3039" s="1" t="n">
        <v>31101</v>
      </c>
      <c r="J3039" s="9" t="n">
        <v>0.388</v>
      </c>
      <c r="K3039" s="1" t="inlineStr">
        <is>
          <t>Yes</t>
        </is>
      </c>
      <c r="L3039" s="1" t="inlineStr">
        <is>
          <t>Yes</t>
        </is>
      </c>
      <c r="M3039" s="1" t="inlineStr">
        <is>
          <t>No</t>
        </is>
      </c>
      <c r="N3039" s="1" t="inlineStr">
        <is>
          <t>JavaScript</t>
        </is>
      </c>
      <c r="O30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39" s="11" t="inlineStr">
        <is>
          <t>To Do</t>
        </is>
      </c>
    </row>
    <row r="3040" ht="15.75" customHeight="1" s="12">
      <c r="A3040" s="1" t="n">
        <v>2675</v>
      </c>
      <c r="B3040" s="3">
        <f>HYPERLINK("https://leetcode.com/problems/array-of-objects-to-matrix/", "Array of Objects to Matrix")</f>
        <v/>
      </c>
      <c r="C3040" s="1" t="n">
        <v>134</v>
      </c>
      <c r="D3040" s="1" t="n">
        <v>73</v>
      </c>
      <c r="E3040" s="4">
        <f>IF(INDEX(C:C, ROW())+INDEX(D:D, ROW())=0, 0, INDEX(C:C, ROW())/(INDEX(C:C, ROW())+INDEX(D:D, ROW())))</f>
        <v/>
      </c>
      <c r="F3040" s="2" t="n"/>
      <c r="G3040" s="1" t="inlineStr">
        <is>
          <t>Hard</t>
        </is>
      </c>
      <c r="H3040" s="1" t="n">
        <v>6247</v>
      </c>
      <c r="I3040" s="1" t="n">
        <v>9102</v>
      </c>
      <c r="J3040" s="9" t="n">
        <v>0.6860000000000001</v>
      </c>
      <c r="K3040" s="1" t="inlineStr">
        <is>
          <t>No</t>
        </is>
      </c>
      <c r="L3040" s="1" t="inlineStr">
        <is>
          <t>Yes</t>
        </is>
      </c>
      <c r="M3040" s="1" t="inlineStr">
        <is>
          <t>No</t>
        </is>
      </c>
      <c r="N3040" s="1" t="inlineStr">
        <is>
          <t>JavaScript</t>
        </is>
      </c>
      <c r="O30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40" s="11" t="inlineStr">
        <is>
          <t>To Do</t>
        </is>
      </c>
    </row>
    <row r="3041" ht="15.75" customHeight="1" s="12">
      <c r="A3041" s="1" t="n">
        <v>2882</v>
      </c>
      <c r="B3041" s="3">
        <f>HYPERLINK("https://leetcode.com/problems/drop-duplicate-rows/", "Drop Duplicate Rows")</f>
        <v/>
      </c>
      <c r="C3041" s="1" t="n">
        <v>134</v>
      </c>
      <c r="D3041" s="1" t="n">
        <v>6</v>
      </c>
      <c r="E3041" s="4">
        <f>IF(INDEX(C:C, ROW())+INDEX(D:D, ROW())=0, 0, INDEX(C:C, ROW())/(INDEX(C:C, ROW())+INDEX(D:D, ROW())))</f>
        <v/>
      </c>
      <c r="F3041" s="2" t="n"/>
      <c r="G3041" s="1" t="inlineStr">
        <is>
          <t>Easy</t>
        </is>
      </c>
      <c r="H3041" s="1" t="n">
        <v>141720</v>
      </c>
      <c r="I3041" s="1" t="n">
        <v>166502</v>
      </c>
      <c r="J3041" s="9" t="n">
        <v>0.851</v>
      </c>
      <c r="K3041" s="1" t="inlineStr">
        <is>
          <t>Yes</t>
        </is>
      </c>
      <c r="L3041" s="1" t="inlineStr">
        <is>
          <t>Yes</t>
        </is>
      </c>
      <c r="M3041" s="1" t="inlineStr">
        <is>
          <t>No</t>
        </is>
      </c>
      <c r="N3041" s="1" t="inlineStr">
        <is>
          <t>pandas</t>
        </is>
      </c>
      <c r="O30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41" s="13" t="inlineStr">
        <is>
          <t>Done</t>
        </is>
      </c>
    </row>
    <row r="3042" ht="15.75" customHeight="1" s="12">
      <c r="A3042" s="1" t="n">
        <v>3181</v>
      </c>
      <c r="B3042" s="3">
        <f>HYPERLINK("https://leetcode.com/problems/maximum-total-reward-using-operations-ii/", "Maximum Total Reward Using Operations II")</f>
        <v/>
      </c>
      <c r="C3042" s="1" t="n">
        <v>134</v>
      </c>
      <c r="D3042" s="1" t="n">
        <v>32</v>
      </c>
      <c r="E3042" s="4">
        <f>IF(INDEX(C:C, ROW())+INDEX(D:D, ROW())=0, 0, INDEX(C:C, ROW())/(INDEX(C:C, ROW())+INDEX(D:D, ROW())))</f>
        <v/>
      </c>
      <c r="F3042" s="1" t="inlineStr">
        <is>
          <t>Array, Dynamic Programming, Bit Manipulation</t>
        </is>
      </c>
      <c r="G3042" s="1" t="inlineStr">
        <is>
          <t>Hard</t>
        </is>
      </c>
      <c r="H3042" s="1" t="n">
        <v>8731</v>
      </c>
      <c r="I3042" s="1" t="n">
        <v>39947</v>
      </c>
      <c r="J3042" s="9" t="n">
        <v>0.219</v>
      </c>
      <c r="K3042" s="1" t="inlineStr">
        <is>
          <t>Yes</t>
        </is>
      </c>
      <c r="L3042" s="1" t="inlineStr">
        <is>
          <t>No</t>
        </is>
      </c>
      <c r="M3042" s="1" t="inlineStr">
        <is>
          <t>No</t>
        </is>
      </c>
      <c r="N3042" s="1" t="inlineStr">
        <is>
          <t>Algorithms</t>
        </is>
      </c>
      <c r="O30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42" s="11" t="inlineStr">
        <is>
          <t>To Do</t>
        </is>
      </c>
    </row>
    <row r="3043" ht="15.75" customHeight="1" s="12">
      <c r="A3043" s="1" t="n">
        <v>3377</v>
      </c>
      <c r="B3043" s="3">
        <f>HYPERLINK("https://leetcode.com/problems/digit-operations-to-make-two-integers-equal/", "Digit Operations to Make Two Integers Equal")</f>
        <v/>
      </c>
      <c r="C3043" s="1" t="n">
        <v>134</v>
      </c>
      <c r="D3043" s="1" t="n">
        <v>43</v>
      </c>
      <c r="E3043" s="4">
        <f>IF(INDEX(C:C, ROW())+INDEX(D:D, ROW())=0, 0, INDEX(C:C, ROW())/(INDEX(C:C, ROW())+INDEX(D:D, ROW())))</f>
        <v/>
      </c>
      <c r="F3043" s="1" t="inlineStr">
        <is>
          <t>Math, Graph Theory, Heap (Priority Queue), Number Theory, Shortest Path</t>
        </is>
      </c>
      <c r="G3043" s="1" t="inlineStr">
        <is>
          <t>Medium</t>
        </is>
      </c>
      <c r="H3043" s="1" t="n">
        <v>10092</v>
      </c>
      <c r="I3043" s="1" t="n">
        <v>33184</v>
      </c>
      <c r="J3043" s="9" t="n">
        <v>0.304</v>
      </c>
      <c r="K3043" s="1" t="inlineStr">
        <is>
          <t>Yes</t>
        </is>
      </c>
      <c r="L3043" s="1" t="inlineStr">
        <is>
          <t>No</t>
        </is>
      </c>
      <c r="M3043" s="1" t="inlineStr">
        <is>
          <t>No</t>
        </is>
      </c>
      <c r="N3043" s="1" t="inlineStr">
        <is>
          <t>Algorithms</t>
        </is>
      </c>
      <c r="O30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43" s="11" t="inlineStr">
        <is>
          <t>To Do</t>
        </is>
      </c>
    </row>
    <row r="3044" ht="15.75" customHeight="1" s="12">
      <c r="A3044" s="1" t="n">
        <v>625</v>
      </c>
      <c r="B3044" s="3">
        <f>HYPERLINK("https://leetcode.com/problems/minimum-factorization/", "Minimum Factorization")</f>
        <v/>
      </c>
      <c r="C3044" s="1" t="n">
        <v>133</v>
      </c>
      <c r="D3044" s="1" t="n">
        <v>112</v>
      </c>
      <c r="E3044" s="4">
        <f>IF(INDEX(C:C, ROW())+INDEX(D:D, ROW())=0, 0, INDEX(C:C, ROW())/(INDEX(C:C, ROW())+INDEX(D:D, ROW())))</f>
        <v/>
      </c>
      <c r="F3044" s="1" t="inlineStr">
        <is>
          <t>Math, Greedy</t>
        </is>
      </c>
      <c r="G3044" s="1" t="inlineStr">
        <is>
          <t>Medium</t>
        </is>
      </c>
      <c r="H3044" s="1" t="n">
        <v>12272</v>
      </c>
      <c r="I3044" s="1" t="n">
        <v>36109</v>
      </c>
      <c r="J3044" s="9" t="n">
        <v>0.34</v>
      </c>
      <c r="K3044" s="1" t="inlineStr">
        <is>
          <t>No</t>
        </is>
      </c>
      <c r="L3044" s="1" t="inlineStr">
        <is>
          <t>Yes</t>
        </is>
      </c>
      <c r="M3044" s="1" t="inlineStr">
        <is>
          <t>Yes</t>
        </is>
      </c>
      <c r="N3044" s="1" t="inlineStr">
        <is>
          <t>Algorithms</t>
        </is>
      </c>
      <c r="O30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44" s="11" t="inlineStr">
        <is>
          <t>To Do</t>
        </is>
      </c>
    </row>
    <row r="3045" ht="15.75" customHeight="1" s="12">
      <c r="A3045" s="1" t="n">
        <v>1121</v>
      </c>
      <c r="B3045" s="3">
        <f>HYPERLINK("https://leetcode.com/problems/divide-array-into-increasing-sequences/", "Divide Array Into Increasing Sequences")</f>
        <v/>
      </c>
      <c r="C3045" s="1" t="n">
        <v>133</v>
      </c>
      <c r="D3045" s="1" t="n">
        <v>32</v>
      </c>
      <c r="E3045" s="4">
        <f>IF(INDEX(C:C, ROW())+INDEX(D:D, ROW())=0, 0, INDEX(C:C, ROW())/(INDEX(C:C, ROW())+INDEX(D:D, ROW())))</f>
        <v/>
      </c>
      <c r="F3045" s="1" t="inlineStr">
        <is>
          <t>Array, Counting</t>
        </is>
      </c>
      <c r="G3045" s="1" t="inlineStr">
        <is>
          <t>Hard</t>
        </is>
      </c>
      <c r="H3045" s="1" t="n">
        <v>7328</v>
      </c>
      <c r="I3045" s="1" t="n">
        <v>11198</v>
      </c>
      <c r="J3045" s="9" t="n">
        <v>0.654</v>
      </c>
      <c r="K3045" s="1" t="inlineStr">
        <is>
          <t>No</t>
        </is>
      </c>
      <c r="L3045" s="1" t="inlineStr">
        <is>
          <t>Yes</t>
        </is>
      </c>
      <c r="M3045" s="1" t="inlineStr">
        <is>
          <t>No</t>
        </is>
      </c>
      <c r="N3045" s="1" t="inlineStr">
        <is>
          <t>Algorithms</t>
        </is>
      </c>
      <c r="O30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45" s="11" t="inlineStr">
        <is>
          <t>To Do</t>
        </is>
      </c>
    </row>
    <row r="3046" ht="15.75" customHeight="1" s="12">
      <c r="A3046" s="1" t="n">
        <v>3301</v>
      </c>
      <c r="B3046" s="3">
        <f>HYPERLINK("https://leetcode.com/problems/maximize-the-total-height-of-unique-towers/", "Maximize the Total Height of Unique Towers")</f>
        <v/>
      </c>
      <c r="C3046" s="1" t="n">
        <v>133</v>
      </c>
      <c r="D3046" s="1" t="n">
        <v>8</v>
      </c>
      <c r="E3046" s="4">
        <f>IF(INDEX(C:C, ROW())+INDEX(D:D, ROW())=0, 0, INDEX(C:C, ROW())/(INDEX(C:C, ROW())+INDEX(D:D, ROW())))</f>
        <v/>
      </c>
      <c r="F3046" s="1" t="inlineStr">
        <is>
          <t>Array, Greedy, Sorting</t>
        </is>
      </c>
      <c r="G3046" s="1" t="inlineStr">
        <is>
          <t>Medium</t>
        </is>
      </c>
      <c r="H3046" s="1" t="n">
        <v>34951</v>
      </c>
      <c r="I3046" s="1" t="n">
        <v>93328</v>
      </c>
      <c r="J3046" s="9" t="n">
        <v>0.374</v>
      </c>
      <c r="K3046" s="1" t="inlineStr">
        <is>
          <t>Yes</t>
        </is>
      </c>
      <c r="L3046" s="1" t="inlineStr">
        <is>
          <t>No</t>
        </is>
      </c>
      <c r="M3046" s="1" t="inlineStr">
        <is>
          <t>No</t>
        </is>
      </c>
      <c r="N3046" s="1" t="inlineStr">
        <is>
          <t>Algorithms</t>
        </is>
      </c>
      <c r="O30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46" s="11" t="inlineStr">
        <is>
          <t>To Do</t>
        </is>
      </c>
    </row>
    <row r="3047" ht="15.75" customHeight="1" s="12">
      <c r="A3047" s="1" t="n">
        <v>3858</v>
      </c>
      <c r="B3047" s="3">
        <f>HYPERLINK("https://leetcode.com/problems/minimum-bitwise-or-from-grid/", "Minimum Bitwise OR From Grid")</f>
        <v/>
      </c>
      <c r="C3047" s="1" t="n">
        <v>133</v>
      </c>
      <c r="D3047" s="1" t="n">
        <v>3</v>
      </c>
      <c r="E3047" s="4">
        <f>IF(INDEX(C:C, ROW())+INDEX(D:D, ROW())=0, 0, INDEX(C:C, ROW())/(INDEX(C:C, ROW())+INDEX(D:D, ROW())))</f>
        <v/>
      </c>
      <c r="F3047" s="1" t="inlineStr">
        <is>
          <t>Array, Greedy, Bit Manipulation, Matrix</t>
        </is>
      </c>
      <c r="G3047" s="1" t="inlineStr">
        <is>
          <t>Medium</t>
        </is>
      </c>
      <c r="H3047" s="1" t="n">
        <v>13991</v>
      </c>
      <c r="I3047" s="1" t="n">
        <v>52191</v>
      </c>
      <c r="J3047" s="9" t="n">
        <v>0.268</v>
      </c>
      <c r="K3047" s="1" t="inlineStr">
        <is>
          <t>Yes</t>
        </is>
      </c>
      <c r="L3047" s="1" t="inlineStr">
        <is>
          <t>No</t>
        </is>
      </c>
      <c r="M3047" s="1" t="inlineStr">
        <is>
          <t>No</t>
        </is>
      </c>
      <c r="N3047" s="1" t="inlineStr">
        <is>
          <t>Algorithms</t>
        </is>
      </c>
      <c r="O30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47" s="11" t="inlineStr">
        <is>
          <t>To Do</t>
        </is>
      </c>
    </row>
    <row r="3048" ht="15.75" customHeight="1" s="12">
      <c r="A3048" s="1" t="n">
        <v>2911</v>
      </c>
      <c r="B3048" s="3">
        <f>HYPERLINK("https://leetcode.com/problems/minimum-changes-to-make-k-semi-palindromes/", "Minimum Changes to Make K Semi-palindromes")</f>
        <v/>
      </c>
      <c r="C3048" s="1" t="n">
        <v>132</v>
      </c>
      <c r="D3048" s="1" t="n">
        <v>108</v>
      </c>
      <c r="E3048" s="4">
        <f>IF(INDEX(C:C, ROW())+INDEX(D:D, ROW())=0, 0, INDEX(C:C, ROW())/(INDEX(C:C, ROW())+INDEX(D:D, ROW())))</f>
        <v/>
      </c>
      <c r="F3048" s="1" t="inlineStr">
        <is>
          <t>Two Pointers, String, Dynamic Programming</t>
        </is>
      </c>
      <c r="G3048" s="1" t="inlineStr">
        <is>
          <t>Hard</t>
        </is>
      </c>
      <c r="H3048" s="1" t="n">
        <v>5272</v>
      </c>
      <c r="I3048" s="1" t="n">
        <v>14631</v>
      </c>
      <c r="J3048" s="9" t="n">
        <v>0.36</v>
      </c>
      <c r="K3048" s="1" t="inlineStr">
        <is>
          <t>Yes</t>
        </is>
      </c>
      <c r="L3048" s="1" t="inlineStr">
        <is>
          <t>No</t>
        </is>
      </c>
      <c r="M3048" s="1" t="inlineStr">
        <is>
          <t>No</t>
        </is>
      </c>
      <c r="N3048" s="1" t="inlineStr">
        <is>
          <t>Algorithms</t>
        </is>
      </c>
      <c r="O30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48" s="11" t="inlineStr">
        <is>
          <t>To Do</t>
        </is>
      </c>
    </row>
    <row r="3049" ht="15.75" customHeight="1" s="12">
      <c r="A3049" s="1" t="n">
        <v>3222</v>
      </c>
      <c r="B3049" s="3">
        <f>HYPERLINK("https://leetcode.com/problems/find-the-winning-player-in-coin-game/", "Find the Winning Player in Coin Game")</f>
        <v/>
      </c>
      <c r="C3049" s="1" t="n">
        <v>132</v>
      </c>
      <c r="D3049" s="1" t="n">
        <v>16</v>
      </c>
      <c r="E3049" s="4">
        <f>IF(INDEX(C:C, ROW())+INDEX(D:D, ROW())=0, 0, INDEX(C:C, ROW())/(INDEX(C:C, ROW())+INDEX(D:D, ROW())))</f>
        <v/>
      </c>
      <c r="F3049" s="1" t="inlineStr">
        <is>
          <t>Math, Simulation, Game Theory</t>
        </is>
      </c>
      <c r="G3049" s="1" t="inlineStr">
        <is>
          <t>Easy</t>
        </is>
      </c>
      <c r="H3049" s="1" t="n">
        <v>58274</v>
      </c>
      <c r="I3049" s="1" t="n">
        <v>109363</v>
      </c>
      <c r="J3049" s="9" t="n">
        <v>0.533</v>
      </c>
      <c r="K3049" s="1" t="inlineStr">
        <is>
          <t>Yes</t>
        </is>
      </c>
      <c r="L3049" s="1" t="inlineStr">
        <is>
          <t>No</t>
        </is>
      </c>
      <c r="M3049" s="1" t="inlineStr">
        <is>
          <t>No</t>
        </is>
      </c>
      <c r="N3049" s="1" t="inlineStr">
        <is>
          <t>Algorithms</t>
        </is>
      </c>
      <c r="O30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49" s="13" t="inlineStr">
        <is>
          <t>Done</t>
        </is>
      </c>
    </row>
    <row r="3050" ht="15.75" customHeight="1" s="12">
      <c r="A3050" s="1" t="n">
        <v>2061</v>
      </c>
      <c r="B3050" s="3">
        <f>HYPERLINK("https://leetcode.com/problems/number-of-spaces-cleaning-robot-cleaned/", "Number of Spaces Cleaning Robot Cleaned")</f>
        <v/>
      </c>
      <c r="C3050" s="1" t="n">
        <v>131</v>
      </c>
      <c r="D3050" s="1" t="n">
        <v>29</v>
      </c>
      <c r="E3050" s="4">
        <f>IF(INDEX(C:C, ROW())+INDEX(D:D, ROW())=0, 0, INDEX(C:C, ROW())/(INDEX(C:C, ROW())+INDEX(D:D, ROW())))</f>
        <v/>
      </c>
      <c r="F3050" s="1" t="inlineStr">
        <is>
          <t>Array, Matrix, Simulation</t>
        </is>
      </c>
      <c r="G3050" s="1" t="inlineStr">
        <is>
          <t>Medium</t>
        </is>
      </c>
      <c r="H3050" s="1" t="n">
        <v>11110</v>
      </c>
      <c r="I3050" s="1" t="n">
        <v>17697</v>
      </c>
      <c r="J3050" s="9" t="n">
        <v>0.628</v>
      </c>
      <c r="K3050" s="1" t="inlineStr">
        <is>
          <t>No</t>
        </is>
      </c>
      <c r="L3050" s="1" t="inlineStr">
        <is>
          <t>Yes</t>
        </is>
      </c>
      <c r="M3050" s="1" t="inlineStr">
        <is>
          <t>No</t>
        </is>
      </c>
      <c r="N3050" s="1" t="inlineStr">
        <is>
          <t>Algorithms</t>
        </is>
      </c>
      <c r="O30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50" s="11" t="inlineStr">
        <is>
          <t>To Do</t>
        </is>
      </c>
    </row>
    <row r="3051" ht="15.75" customHeight="1" s="12">
      <c r="A3051" s="1" t="n">
        <v>3483</v>
      </c>
      <c r="B3051" s="3">
        <f>HYPERLINK("https://leetcode.com/problems/unique-3-digit-even-numbers/", "Unique 3-Digit Even Numbers")</f>
        <v/>
      </c>
      <c r="C3051" s="1" t="n">
        <v>131</v>
      </c>
      <c r="D3051" s="1" t="n">
        <v>34</v>
      </c>
      <c r="E3051" s="4">
        <f>IF(INDEX(C:C, ROW())+INDEX(D:D, ROW())=0, 0, INDEX(C:C, ROW())/(INDEX(C:C, ROW())+INDEX(D:D, ROW())))</f>
        <v/>
      </c>
      <c r="F3051" s="1" t="inlineStr">
        <is>
          <t>Array, Hash Table, Recursion, Enumeration</t>
        </is>
      </c>
      <c r="G3051" s="1" t="inlineStr">
        <is>
          <t>Easy</t>
        </is>
      </c>
      <c r="H3051" s="1" t="n">
        <v>46618</v>
      </c>
      <c r="I3051" s="1" t="n">
        <v>66925</v>
      </c>
      <c r="J3051" s="9" t="n">
        <v>0.697</v>
      </c>
      <c r="K3051" s="1" t="inlineStr">
        <is>
          <t>Yes</t>
        </is>
      </c>
      <c r="L3051" s="1" t="inlineStr">
        <is>
          <t>No</t>
        </is>
      </c>
      <c r="M3051" s="1" t="inlineStr">
        <is>
          <t>No</t>
        </is>
      </c>
      <c r="N3051" s="1" t="inlineStr">
        <is>
          <t>Algorithms</t>
        </is>
      </c>
      <c r="O30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51" s="13" t="inlineStr">
        <is>
          <t>Done</t>
        </is>
      </c>
    </row>
    <row r="3052" ht="15.75" customHeight="1" s="12">
      <c r="A3052" s="1" t="n">
        <v>3703</v>
      </c>
      <c r="B3052" s="3">
        <f>HYPERLINK("https://leetcode.com/problems/remove-k-balanced-substrings/", "Remove K-Balanced Substrings")</f>
        <v/>
      </c>
      <c r="C3052" s="1" t="n">
        <v>131</v>
      </c>
      <c r="D3052" s="1" t="n">
        <v>11</v>
      </c>
      <c r="E3052" s="4">
        <f>IF(INDEX(C:C, ROW())+INDEX(D:D, ROW())=0, 0, INDEX(C:C, ROW())/(INDEX(C:C, ROW())+INDEX(D:D, ROW())))</f>
        <v/>
      </c>
      <c r="F3052" s="1" t="inlineStr">
        <is>
          <t>String, Stack, Simulation</t>
        </is>
      </c>
      <c r="G3052" s="1" t="inlineStr">
        <is>
          <t>Medium</t>
        </is>
      </c>
      <c r="H3052" s="1" t="n">
        <v>19933</v>
      </c>
      <c r="I3052" s="1" t="n">
        <v>60983</v>
      </c>
      <c r="J3052" s="9" t="n">
        <v>0.327</v>
      </c>
      <c r="K3052" s="1" t="inlineStr">
        <is>
          <t>Yes</t>
        </is>
      </c>
      <c r="L3052" s="1" t="inlineStr">
        <is>
          <t>No</t>
        </is>
      </c>
      <c r="M3052" s="1" t="inlineStr">
        <is>
          <t>No</t>
        </is>
      </c>
      <c r="N3052" s="1" t="inlineStr">
        <is>
          <t>Algorithms</t>
        </is>
      </c>
      <c r="O30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52" s="11" t="inlineStr">
        <is>
          <t>To Do</t>
        </is>
      </c>
    </row>
    <row r="3053" ht="15.75" customHeight="1" s="12">
      <c r="A3053" s="1" t="n">
        <v>3080</v>
      </c>
      <c r="B3053" s="3">
        <f>HYPERLINK("https://leetcode.com/problems/mark-elements-on-array-by-performing-queries/", "Mark Elements on Array by Performing Queries")</f>
        <v/>
      </c>
      <c r="C3053" s="1" t="n">
        <v>130</v>
      </c>
      <c r="D3053" s="1" t="n">
        <v>28</v>
      </c>
      <c r="E3053" s="4">
        <f>IF(INDEX(C:C, ROW())+INDEX(D:D, ROW())=0, 0, INDEX(C:C, ROW())/(INDEX(C:C, ROW())+INDEX(D:D, ROW())))</f>
        <v/>
      </c>
      <c r="F3053" s="1" t="inlineStr">
        <is>
          <t>Array, Hash Table, Sorting, Heap (Priority Queue), Simulation</t>
        </is>
      </c>
      <c r="G3053" s="1" t="inlineStr">
        <is>
          <t>Medium</t>
        </is>
      </c>
      <c r="H3053" s="1" t="n">
        <v>22660</v>
      </c>
      <c r="I3053" s="1" t="n">
        <v>45952</v>
      </c>
      <c r="J3053" s="9" t="n">
        <v>0.493</v>
      </c>
      <c r="K3053" s="1" t="inlineStr">
        <is>
          <t>Yes</t>
        </is>
      </c>
      <c r="L3053" s="1" t="inlineStr">
        <is>
          <t>No</t>
        </is>
      </c>
      <c r="M3053" s="1" t="inlineStr">
        <is>
          <t>No</t>
        </is>
      </c>
      <c r="N3053" s="1" t="inlineStr">
        <is>
          <t>Algorithms</t>
        </is>
      </c>
      <c r="O30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53" s="11" t="inlineStr">
        <is>
          <t>To Do</t>
        </is>
      </c>
    </row>
    <row r="3054" ht="15.75" customHeight="1" s="12">
      <c r="A3054" s="1" t="n">
        <v>3207</v>
      </c>
      <c r="B3054" s="3">
        <f>HYPERLINK("https://leetcode.com/problems/maximum-points-after-enemy-battles/", "Maximum Points After Enemy Battles")</f>
        <v/>
      </c>
      <c r="C3054" s="1" t="n">
        <v>130</v>
      </c>
      <c r="D3054" s="1" t="n">
        <v>43</v>
      </c>
      <c r="E3054" s="4">
        <f>IF(INDEX(C:C, ROW())+INDEX(D:D, ROW())=0, 0, INDEX(C:C, ROW())/(INDEX(C:C, ROW())+INDEX(D:D, ROW())))</f>
        <v/>
      </c>
      <c r="F3054" s="1" t="inlineStr">
        <is>
          <t>Array, Greedy</t>
        </is>
      </c>
      <c r="G3054" s="1" t="inlineStr">
        <is>
          <t>Medium</t>
        </is>
      </c>
      <c r="H3054" s="1" t="n">
        <v>30780</v>
      </c>
      <c r="I3054" s="1" t="n">
        <v>92289</v>
      </c>
      <c r="J3054" s="9" t="n">
        <v>0.334</v>
      </c>
      <c r="K3054" s="1" t="inlineStr">
        <is>
          <t>Yes</t>
        </is>
      </c>
      <c r="L3054" s="1" t="inlineStr">
        <is>
          <t>No</t>
        </is>
      </c>
      <c r="M3054" s="1" t="inlineStr">
        <is>
          <t>No</t>
        </is>
      </c>
      <c r="N3054" s="1" t="inlineStr">
        <is>
          <t>Algorithms</t>
        </is>
      </c>
      <c r="O30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54" s="11" t="inlineStr">
        <is>
          <t>To Do</t>
        </is>
      </c>
    </row>
    <row r="3055" ht="15.75" customHeight="1" s="12">
      <c r="A3055" s="1" t="n">
        <v>3568</v>
      </c>
      <c r="B3055" s="3">
        <f>HYPERLINK("https://leetcode.com/problems/minimum-moves-to-clean-the-classroom/", "Minimum Moves to Clean the Classroom")</f>
        <v/>
      </c>
      <c r="C3055" s="1" t="n">
        <v>130</v>
      </c>
      <c r="D3055" s="1" t="n">
        <v>16</v>
      </c>
      <c r="E3055" s="4">
        <f>IF(INDEX(C:C, ROW())+INDEX(D:D, ROW())=0, 0, INDEX(C:C, ROW())/(INDEX(C:C, ROW())+INDEX(D:D, ROW())))</f>
        <v/>
      </c>
      <c r="F3055" s="1" t="inlineStr">
        <is>
          <t>Array, Hash Table, Bit Manipulation, Breadth-First Search, Matrix</t>
        </is>
      </c>
      <c r="G3055" s="1" t="inlineStr">
        <is>
          <t>Medium</t>
        </is>
      </c>
      <c r="H3055" s="1" t="n">
        <v>9163</v>
      </c>
      <c r="I3055" s="1" t="n">
        <v>34301</v>
      </c>
      <c r="J3055" s="9" t="n">
        <v>0.267</v>
      </c>
      <c r="K3055" s="1" t="inlineStr">
        <is>
          <t>Yes</t>
        </is>
      </c>
      <c r="L3055" s="1" t="inlineStr">
        <is>
          <t>No</t>
        </is>
      </c>
      <c r="M3055" s="1" t="inlineStr">
        <is>
          <t>No</t>
        </is>
      </c>
      <c r="N3055" s="1" t="inlineStr">
        <is>
          <t>Algorithms</t>
        </is>
      </c>
      <c r="O30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55" s="11" t="inlineStr">
        <is>
          <t>To Do</t>
        </is>
      </c>
    </row>
    <row r="3056" ht="15.75" customHeight="1" s="12">
      <c r="A3056" s="1" t="n">
        <v>3115</v>
      </c>
      <c r="B3056" s="3">
        <f>HYPERLINK("https://leetcode.com/problems/maximum-prime-difference/", "Maximum Prime Difference")</f>
        <v/>
      </c>
      <c r="C3056" s="1" t="n">
        <v>129</v>
      </c>
      <c r="D3056" s="1" t="n">
        <v>16</v>
      </c>
      <c r="E3056" s="4">
        <f>IF(INDEX(C:C, ROW())+INDEX(D:D, ROW())=0, 0, INDEX(C:C, ROW())/(INDEX(C:C, ROW())+INDEX(D:D, ROW())))</f>
        <v/>
      </c>
      <c r="F3056" s="1" t="inlineStr">
        <is>
          <t>Array, Math, Number Theory</t>
        </is>
      </c>
      <c r="G3056" s="1" t="inlineStr">
        <is>
          <t>Medium</t>
        </is>
      </c>
      <c r="H3056" s="1" t="n">
        <v>51604</v>
      </c>
      <c r="I3056" s="1" t="n">
        <v>87559</v>
      </c>
      <c r="J3056" s="9" t="n">
        <v>0.589</v>
      </c>
      <c r="K3056" s="1" t="inlineStr">
        <is>
          <t>Yes</t>
        </is>
      </c>
      <c r="L3056" s="1" t="inlineStr">
        <is>
          <t>No</t>
        </is>
      </c>
      <c r="M3056" s="1" t="inlineStr">
        <is>
          <t>No</t>
        </is>
      </c>
      <c r="N3056" s="1" t="inlineStr">
        <is>
          <t>Algorithms</t>
        </is>
      </c>
      <c r="O30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56" s="11" t="inlineStr">
        <is>
          <t>To Do</t>
        </is>
      </c>
    </row>
    <row r="3057" ht="15.75" customHeight="1" s="12">
      <c r="A3057" s="1" t="n">
        <v>3219</v>
      </c>
      <c r="B3057" s="3">
        <f>HYPERLINK("https://leetcode.com/problems/minimum-cost-for-cutting-cake-ii/", "Minimum Cost for Cutting Cake II")</f>
        <v/>
      </c>
      <c r="C3057" s="1" t="n">
        <v>128</v>
      </c>
      <c r="D3057" s="1" t="n">
        <v>18</v>
      </c>
      <c r="E3057" s="4">
        <f>IF(INDEX(C:C, ROW())+INDEX(D:D, ROW())=0, 0, INDEX(C:C, ROW())/(INDEX(C:C, ROW())+INDEX(D:D, ROW())))</f>
        <v/>
      </c>
      <c r="F3057" s="1" t="inlineStr">
        <is>
          <t>Array, Greedy, Sorting</t>
        </is>
      </c>
      <c r="G3057" s="1" t="inlineStr">
        <is>
          <t>Hard</t>
        </is>
      </c>
      <c r="H3057" s="1" t="n">
        <v>24303</v>
      </c>
      <c r="I3057" s="1" t="n">
        <v>44004</v>
      </c>
      <c r="J3057" s="9" t="n">
        <v>0.552</v>
      </c>
      <c r="K3057" s="1" t="inlineStr">
        <is>
          <t>Yes</t>
        </is>
      </c>
      <c r="L3057" s="1" t="inlineStr">
        <is>
          <t>No</t>
        </is>
      </c>
      <c r="M3057" s="1" t="inlineStr">
        <is>
          <t>No</t>
        </is>
      </c>
      <c r="N3057" s="1" t="inlineStr">
        <is>
          <t>Algorithms</t>
        </is>
      </c>
      <c r="O30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57" s="11" t="inlineStr">
        <is>
          <t>To Do</t>
        </is>
      </c>
    </row>
    <row r="3058" ht="15.75" customHeight="1" s="12">
      <c r="A3058" s="1" t="n">
        <v>3425</v>
      </c>
      <c r="B3058" s="3">
        <f>HYPERLINK("https://leetcode.com/problems/longest-special-path/", "Longest Special Path")</f>
        <v/>
      </c>
      <c r="C3058" s="1" t="n">
        <v>128</v>
      </c>
      <c r="D3058" s="1" t="n">
        <v>18</v>
      </c>
      <c r="E3058" s="4">
        <f>IF(INDEX(C:C, ROW())+INDEX(D:D, ROW())=0, 0, INDEX(C:C, ROW())/(INDEX(C:C, ROW())+INDEX(D:D, ROW())))</f>
        <v/>
      </c>
      <c r="F3058" s="1" t="inlineStr">
        <is>
          <t>Array, Hash Table, Tree, Depth-First Search, Prefix Sum</t>
        </is>
      </c>
      <c r="G3058" s="1" t="inlineStr">
        <is>
          <t>Hard</t>
        </is>
      </c>
      <c r="H3058" s="1" t="n">
        <v>6083</v>
      </c>
      <c r="I3058" s="1" t="n">
        <v>26835</v>
      </c>
      <c r="J3058" s="9" t="n">
        <v>0.227</v>
      </c>
      <c r="K3058" s="1" t="inlineStr">
        <is>
          <t>Yes</t>
        </is>
      </c>
      <c r="L3058" s="1" t="inlineStr">
        <is>
          <t>No</t>
        </is>
      </c>
      <c r="M3058" s="1" t="inlineStr">
        <is>
          <t>No</t>
        </is>
      </c>
      <c r="N3058" s="1" t="inlineStr">
        <is>
          <t>Algorithms</t>
        </is>
      </c>
      <c r="O30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58" s="11" t="inlineStr">
        <is>
          <t>To Do</t>
        </is>
      </c>
    </row>
    <row r="3059" ht="15.75" customHeight="1" s="12">
      <c r="A3059" s="1" t="n">
        <v>3034</v>
      </c>
      <c r="B3059" s="3">
        <f>HYPERLINK("https://leetcode.com/problems/number-of-subarrays-that-match-a-pattern-i/", "Number of Subarrays That Match a Pattern I")</f>
        <v/>
      </c>
      <c r="C3059" s="1" t="n">
        <v>127</v>
      </c>
      <c r="D3059" s="1" t="n">
        <v>20</v>
      </c>
      <c r="E3059" s="4">
        <f>IF(INDEX(C:C, ROW())+INDEX(D:D, ROW())=0, 0, INDEX(C:C, ROW())/(INDEX(C:C, ROW())+INDEX(D:D, ROW())))</f>
        <v/>
      </c>
      <c r="F3059" s="1" t="inlineStr">
        <is>
          <t>Array, Rolling Hash, String Matching, Hash Function</t>
        </is>
      </c>
      <c r="G3059" s="1" t="inlineStr">
        <is>
          <t>Medium</t>
        </is>
      </c>
      <c r="H3059" s="1" t="n">
        <v>36222</v>
      </c>
      <c r="I3059" s="1" t="n">
        <v>52806</v>
      </c>
      <c r="J3059" s="9" t="n">
        <v>0.6860000000000001</v>
      </c>
      <c r="K3059" s="1" t="inlineStr">
        <is>
          <t>Yes</t>
        </is>
      </c>
      <c r="L3059" s="1" t="inlineStr">
        <is>
          <t>No</t>
        </is>
      </c>
      <c r="M3059" s="1" t="inlineStr">
        <is>
          <t>No</t>
        </is>
      </c>
      <c r="N3059" s="1" t="inlineStr">
        <is>
          <t>Algorithms</t>
        </is>
      </c>
      <c r="O30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59" s="11" t="inlineStr">
        <is>
          <t>To Do</t>
        </is>
      </c>
    </row>
    <row r="3060" ht="15.75" customHeight="1" s="12">
      <c r="A3060" s="1" t="n">
        <v>3412</v>
      </c>
      <c r="B3060" s="3">
        <f>HYPERLINK("https://leetcode.com/problems/find-mirror-score-of-a-string/", "Find Mirror Score of a String")</f>
        <v/>
      </c>
      <c r="C3060" s="1" t="n">
        <v>127</v>
      </c>
      <c r="D3060" s="1" t="n">
        <v>9</v>
      </c>
      <c r="E3060" s="4">
        <f>IF(INDEX(C:C, ROW())+INDEX(D:D, ROW())=0, 0, INDEX(C:C, ROW())/(INDEX(C:C, ROW())+INDEX(D:D, ROW())))</f>
        <v/>
      </c>
      <c r="F3060" s="1" t="inlineStr">
        <is>
          <t>Hash Table, String, Stack, Simulation</t>
        </is>
      </c>
      <c r="G3060" s="1" t="inlineStr">
        <is>
          <t>Medium</t>
        </is>
      </c>
      <c r="H3060" s="1" t="n">
        <v>25333</v>
      </c>
      <c r="I3060" s="1" t="n">
        <v>70985</v>
      </c>
      <c r="J3060" s="9" t="n">
        <v>0.357</v>
      </c>
      <c r="K3060" s="1" t="inlineStr">
        <is>
          <t>Yes</t>
        </is>
      </c>
      <c r="L3060" s="1" t="inlineStr">
        <is>
          <t>No</t>
        </is>
      </c>
      <c r="M3060" s="1" t="inlineStr">
        <is>
          <t>No</t>
        </is>
      </c>
      <c r="N3060" s="1" t="inlineStr">
        <is>
          <t>Algorithms</t>
        </is>
      </c>
      <c r="O30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60" s="11" t="inlineStr">
        <is>
          <t>To Do</t>
        </is>
      </c>
    </row>
    <row r="3061" ht="15.75" customHeight="1" s="12">
      <c r="A3061" s="1" t="n">
        <v>3608</v>
      </c>
      <c r="B3061" s="3">
        <f>HYPERLINK("https://leetcode.com/problems/minimum-time-for-k-connected-components/", "Minimum Time for K Connected Components")</f>
        <v/>
      </c>
      <c r="C3061" s="1" t="n">
        <v>127</v>
      </c>
      <c r="D3061" s="1" t="n">
        <v>6</v>
      </c>
      <c r="E3061" s="4">
        <f>IF(INDEX(C:C, ROW())+INDEX(D:D, ROW())=0, 0, INDEX(C:C, ROW())/(INDEX(C:C, ROW())+INDEX(D:D, ROW())))</f>
        <v/>
      </c>
      <c r="F3061" s="1" t="inlineStr">
        <is>
          <t>Binary Search, Union-Find, Graph Theory, Sorting</t>
        </is>
      </c>
      <c r="G3061" s="1" t="inlineStr">
        <is>
          <t>Medium</t>
        </is>
      </c>
      <c r="H3061" s="1" t="n">
        <v>17678</v>
      </c>
      <c r="I3061" s="1" t="n">
        <v>38957</v>
      </c>
      <c r="J3061" s="9" t="n">
        <v>0.454</v>
      </c>
      <c r="K3061" s="1" t="inlineStr">
        <is>
          <t>Yes</t>
        </is>
      </c>
      <c r="L3061" s="1" t="inlineStr">
        <is>
          <t>No</t>
        </is>
      </c>
      <c r="M3061" s="1" t="inlineStr">
        <is>
          <t>No</t>
        </is>
      </c>
      <c r="N3061" s="1" t="inlineStr">
        <is>
          <t>Algorithms</t>
        </is>
      </c>
      <c r="O30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61" s="11" t="inlineStr">
        <is>
          <t>To Do</t>
        </is>
      </c>
    </row>
    <row r="3062" ht="15.75" customHeight="1" s="12">
      <c r="A3062" s="1" t="n">
        <v>1842</v>
      </c>
      <c r="B3062" s="3">
        <f>HYPERLINK("https://leetcode.com/problems/next-palindrome-using-same-digits/", "Next Palindrome Using Same Digits")</f>
        <v/>
      </c>
      <c r="C3062" s="1" t="n">
        <v>126</v>
      </c>
      <c r="D3062" s="1" t="n">
        <v>19</v>
      </c>
      <c r="E3062" s="4">
        <f>IF(INDEX(C:C, ROW())+INDEX(D:D, ROW())=0, 0, INDEX(C:C, ROW())/(INDEX(C:C, ROW())+INDEX(D:D, ROW())))</f>
        <v/>
      </c>
      <c r="F3062" s="1" t="inlineStr">
        <is>
          <t>Two Pointers, String</t>
        </is>
      </c>
      <c r="G3062" s="1" t="inlineStr">
        <is>
          <t>Hard</t>
        </is>
      </c>
      <c r="H3062" s="1" t="n">
        <v>7044</v>
      </c>
      <c r="I3062" s="1" t="n">
        <v>12975</v>
      </c>
      <c r="J3062" s="9" t="n">
        <v>0.543</v>
      </c>
      <c r="K3062" s="1" t="inlineStr">
        <is>
          <t>No</t>
        </is>
      </c>
      <c r="L3062" s="1" t="inlineStr">
        <is>
          <t>No</t>
        </is>
      </c>
      <c r="M3062" s="1" t="inlineStr">
        <is>
          <t>No</t>
        </is>
      </c>
      <c r="N3062" s="1" t="inlineStr">
        <is>
          <t>Algorithms</t>
        </is>
      </c>
      <c r="O30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62" s="11" t="inlineStr">
        <is>
          <t>To Do</t>
        </is>
      </c>
    </row>
    <row r="3063" ht="15.75" customHeight="1" s="12">
      <c r="A3063" s="1" t="n">
        <v>3069</v>
      </c>
      <c r="B3063" s="3">
        <f>HYPERLINK("https://leetcode.com/problems/distribute-elements-into-two-arrays-i/", "Distribute Elements Into Two Arrays I")</f>
        <v/>
      </c>
      <c r="C3063" s="1" t="n">
        <v>126</v>
      </c>
      <c r="D3063" s="1" t="n">
        <v>29</v>
      </c>
      <c r="E3063" s="4">
        <f>IF(INDEX(C:C, ROW())+INDEX(D:D, ROW())=0, 0, INDEX(C:C, ROW())/(INDEX(C:C, ROW())+INDEX(D:D, ROW())))</f>
        <v/>
      </c>
      <c r="F3063" s="1" t="inlineStr">
        <is>
          <t>Array, Simulation</t>
        </is>
      </c>
      <c r="G3063" s="1" t="inlineStr">
        <is>
          <t>Easy</t>
        </is>
      </c>
      <c r="H3063" s="1" t="n">
        <v>59516</v>
      </c>
      <c r="I3063" s="1" t="n">
        <v>80476</v>
      </c>
      <c r="J3063" s="9" t="n">
        <v>0.74</v>
      </c>
      <c r="K3063" s="1" t="inlineStr">
        <is>
          <t>Yes</t>
        </is>
      </c>
      <c r="L3063" s="1" t="inlineStr">
        <is>
          <t>No</t>
        </is>
      </c>
      <c r="M3063" s="1" t="inlineStr">
        <is>
          <t>No</t>
        </is>
      </c>
      <c r="N3063" s="1" t="inlineStr">
        <is>
          <t>Algorithms</t>
        </is>
      </c>
      <c r="O30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63" s="13" t="inlineStr">
        <is>
          <t>Done</t>
        </is>
      </c>
    </row>
    <row r="3064" ht="15.75" customHeight="1" s="12">
      <c r="A3064" s="1" t="n">
        <v>3664</v>
      </c>
      <c r="B3064" s="3">
        <f>HYPERLINK("https://leetcode.com/problems/two-letter-card-game/", "Two-Letter Card Game")</f>
        <v/>
      </c>
      <c r="C3064" s="1" t="n">
        <v>126</v>
      </c>
      <c r="D3064" s="1" t="n">
        <v>60</v>
      </c>
      <c r="E3064" s="4">
        <f>IF(INDEX(C:C, ROW())+INDEX(D:D, ROW())=0, 0, INDEX(C:C, ROW())/(INDEX(C:C, ROW())+INDEX(D:D, ROW())))</f>
        <v/>
      </c>
      <c r="F3064" s="1" t="inlineStr">
        <is>
          <t>Array, Hash Table, String, Counting, Enumeration</t>
        </is>
      </c>
      <c r="G3064" s="1" t="inlineStr">
        <is>
          <t>Medium</t>
        </is>
      </c>
      <c r="H3064" s="1" t="n">
        <v>10928</v>
      </c>
      <c r="I3064" s="1" t="n">
        <v>86299</v>
      </c>
      <c r="J3064" s="9" t="n">
        <v>0.127</v>
      </c>
      <c r="K3064" s="1" t="inlineStr">
        <is>
          <t>Yes</t>
        </is>
      </c>
      <c r="L3064" s="1" t="inlineStr">
        <is>
          <t>No</t>
        </is>
      </c>
      <c r="M3064" s="1" t="inlineStr">
        <is>
          <t>No</t>
        </is>
      </c>
      <c r="N3064" s="1" t="inlineStr">
        <is>
          <t>Algorithms</t>
        </is>
      </c>
      <c r="O30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64" s="11" t="inlineStr">
        <is>
          <t>To Do</t>
        </is>
      </c>
    </row>
    <row r="3065" ht="15.75" customHeight="1" s="12">
      <c r="A3065" s="1" t="n">
        <v>2532</v>
      </c>
      <c r="B3065" s="3">
        <f>HYPERLINK("https://leetcode.com/problems/time-to-cross-a-bridge/", "Time to Cross a Bridge")</f>
        <v/>
      </c>
      <c r="C3065" s="1" t="n">
        <v>125</v>
      </c>
      <c r="D3065" s="1" t="n">
        <v>226</v>
      </c>
      <c r="E3065" s="4">
        <f>IF(INDEX(C:C, ROW())+INDEX(D:D, ROW())=0, 0, INDEX(C:C, ROW())/(INDEX(C:C, ROW())+INDEX(D:D, ROW())))</f>
        <v/>
      </c>
      <c r="F3065" s="1" t="inlineStr">
        <is>
          <t>Array, Heap (Priority Queue), Simulation</t>
        </is>
      </c>
      <c r="G3065" s="1" t="inlineStr">
        <is>
          <t>Hard</t>
        </is>
      </c>
      <c r="H3065" s="1" t="n">
        <v>5851</v>
      </c>
      <c r="I3065" s="1" t="n">
        <v>13222</v>
      </c>
      <c r="J3065" s="9" t="n">
        <v>0.443</v>
      </c>
      <c r="K3065" s="1" t="inlineStr">
        <is>
          <t>Yes</t>
        </is>
      </c>
      <c r="L3065" s="1" t="inlineStr">
        <is>
          <t>No</t>
        </is>
      </c>
      <c r="M3065" s="1" t="inlineStr">
        <is>
          <t>No</t>
        </is>
      </c>
      <c r="N3065" s="1" t="inlineStr">
        <is>
          <t>Algorithms</t>
        </is>
      </c>
      <c r="O30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65" s="11" t="inlineStr">
        <is>
          <t>To Do</t>
        </is>
      </c>
    </row>
    <row r="3066" ht="15.75" customHeight="1" s="12">
      <c r="A3066" s="1" t="n">
        <v>2624</v>
      </c>
      <c r="B3066" s="3">
        <f>HYPERLINK("https://leetcode.com/problems/snail-traversal/", "Snail Traversal")</f>
        <v/>
      </c>
      <c r="C3066" s="1" t="n">
        <v>125</v>
      </c>
      <c r="D3066" s="1" t="n">
        <v>47</v>
      </c>
      <c r="E3066" s="4">
        <f>IF(INDEX(C:C, ROW())+INDEX(D:D, ROW())=0, 0, INDEX(C:C, ROW())/(INDEX(C:C, ROW())+INDEX(D:D, ROW())))</f>
        <v/>
      </c>
      <c r="F3066" s="2" t="n"/>
      <c r="G3066" s="1" t="inlineStr">
        <is>
          <t>Medium</t>
        </is>
      </c>
      <c r="H3066" s="1" t="n">
        <v>19950</v>
      </c>
      <c r="I3066" s="1" t="n">
        <v>29119</v>
      </c>
      <c r="J3066" s="9" t="n">
        <v>0.6850000000000001</v>
      </c>
      <c r="K3066" s="1" t="inlineStr">
        <is>
          <t>Yes</t>
        </is>
      </c>
      <c r="L3066" s="1" t="inlineStr">
        <is>
          <t>Yes</t>
        </is>
      </c>
      <c r="M3066" s="1" t="inlineStr">
        <is>
          <t>No</t>
        </is>
      </c>
      <c r="N3066" s="1" t="inlineStr">
        <is>
          <t>JavaScript</t>
        </is>
      </c>
      <c r="O30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66" s="11" t="inlineStr">
        <is>
          <t>To Do</t>
        </is>
      </c>
    </row>
    <row r="3067" ht="15.75" customHeight="1" s="12">
      <c r="A3067" s="1" t="n">
        <v>1159</v>
      </c>
      <c r="B3067" s="3">
        <f>HYPERLINK("https://leetcode.com/problems/market-analysis-ii/", "Market Analysis II")</f>
        <v/>
      </c>
      <c r="C3067" s="1" t="n">
        <v>124</v>
      </c>
      <c r="D3067" s="1" t="n">
        <v>81</v>
      </c>
      <c r="E3067" s="4">
        <f>IF(INDEX(C:C, ROW())+INDEX(D:D, ROW())=0, 0, INDEX(C:C, ROW())/(INDEX(C:C, ROW())+INDEX(D:D, ROW())))</f>
        <v/>
      </c>
      <c r="F3067" s="1" t="inlineStr">
        <is>
          <t>Database</t>
        </is>
      </c>
      <c r="G3067" s="1" t="inlineStr">
        <is>
          <t>Hard</t>
        </is>
      </c>
      <c r="H3067" s="1" t="n">
        <v>24031</v>
      </c>
      <c r="I3067" s="1" t="n">
        <v>41571</v>
      </c>
      <c r="J3067" s="9" t="n">
        <v>0.578</v>
      </c>
      <c r="K3067" s="1" t="inlineStr">
        <is>
          <t>No</t>
        </is>
      </c>
      <c r="L3067" s="1" t="inlineStr">
        <is>
          <t>Yes</t>
        </is>
      </c>
      <c r="M3067" s="1" t="inlineStr">
        <is>
          <t>No</t>
        </is>
      </c>
      <c r="N3067" s="1" t="inlineStr">
        <is>
          <t>Database</t>
        </is>
      </c>
      <c r="O30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67" s="11" t="inlineStr">
        <is>
          <t>To Do</t>
        </is>
      </c>
    </row>
    <row r="3068" ht="15.75" customHeight="1" s="12">
      <c r="A3068" s="1" t="n">
        <v>2961</v>
      </c>
      <c r="B3068" s="3">
        <f>HYPERLINK("https://leetcode.com/problems/double-modular-exponentiation/", "Double Modular Exponentiation")</f>
        <v/>
      </c>
      <c r="C3068" s="1" t="n">
        <v>124</v>
      </c>
      <c r="D3068" s="1" t="n">
        <v>23</v>
      </c>
      <c r="E3068" s="4">
        <f>IF(INDEX(C:C, ROW())+INDEX(D:D, ROW())=0, 0, INDEX(C:C, ROW())/(INDEX(C:C, ROW())+INDEX(D:D, ROW())))</f>
        <v/>
      </c>
      <c r="F3068" s="1" t="inlineStr">
        <is>
          <t>Array, Math, Simulation</t>
        </is>
      </c>
      <c r="G3068" s="1" t="inlineStr">
        <is>
          <t>Medium</t>
        </is>
      </c>
      <c r="H3068" s="1" t="n">
        <v>25757</v>
      </c>
      <c r="I3068" s="1" t="n">
        <v>53650</v>
      </c>
      <c r="J3068" s="9" t="n">
        <v>0.48</v>
      </c>
      <c r="K3068" s="1" t="inlineStr">
        <is>
          <t>Yes</t>
        </is>
      </c>
      <c r="L3068" s="1" t="inlineStr">
        <is>
          <t>No</t>
        </is>
      </c>
      <c r="M3068" s="1" t="inlineStr">
        <is>
          <t>No</t>
        </is>
      </c>
      <c r="N3068" s="1" t="inlineStr">
        <is>
          <t>Algorithms</t>
        </is>
      </c>
      <c r="O30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68" s="11" t="inlineStr">
        <is>
          <t>To Do</t>
        </is>
      </c>
    </row>
    <row r="3069" ht="15.75" customHeight="1" s="12">
      <c r="A3069" s="1" t="n">
        <v>3179</v>
      </c>
      <c r="B3069" s="3">
        <f>HYPERLINK("https://leetcode.com/problems/find-the-n-th-value-after-k-seconds/", "Find the N-th Value After K Seconds")</f>
        <v/>
      </c>
      <c r="C3069" s="1" t="n">
        <v>124</v>
      </c>
      <c r="D3069" s="1" t="n">
        <v>21</v>
      </c>
      <c r="E3069" s="4">
        <f>IF(INDEX(C:C, ROW())+INDEX(D:D, ROW())=0, 0, INDEX(C:C, ROW())/(INDEX(C:C, ROW())+INDEX(D:D, ROW())))</f>
        <v/>
      </c>
      <c r="F3069" s="1" t="inlineStr">
        <is>
          <t>Array, Math, Simulation, Combinatorics, Prefix Sum</t>
        </is>
      </c>
      <c r="G3069" s="1" t="inlineStr">
        <is>
          <t>Medium</t>
        </is>
      </c>
      <c r="H3069" s="1" t="n">
        <v>45543</v>
      </c>
      <c r="I3069" s="1" t="n">
        <v>84539</v>
      </c>
      <c r="J3069" s="9" t="n">
        <v>0.539</v>
      </c>
      <c r="K3069" s="1" t="inlineStr">
        <is>
          <t>Yes</t>
        </is>
      </c>
      <c r="L3069" s="1" t="inlineStr">
        <is>
          <t>No</t>
        </is>
      </c>
      <c r="M3069" s="1" t="inlineStr">
        <is>
          <t>No</t>
        </is>
      </c>
      <c r="N3069" s="1" t="inlineStr">
        <is>
          <t>Algorithms</t>
        </is>
      </c>
      <c r="O30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69" s="11" t="inlineStr">
        <is>
          <t>To Do</t>
        </is>
      </c>
    </row>
    <row r="3070" ht="15.75" customHeight="1" s="12">
      <c r="A3070" s="1" t="n">
        <v>3297</v>
      </c>
      <c r="B3070" s="3">
        <f>HYPERLINK("https://leetcode.com/problems/count-substrings-that-can-be-rearranged-to-contain-a-string-i/", "Count Substrings That Can Be Rearranged to Contain a String I")</f>
        <v/>
      </c>
      <c r="C3070" s="1" t="n">
        <v>124</v>
      </c>
      <c r="D3070" s="1" t="n">
        <v>27</v>
      </c>
      <c r="E3070" s="4">
        <f>IF(INDEX(C:C, ROW())+INDEX(D:D, ROW())=0, 0, INDEX(C:C, ROW())/(INDEX(C:C, ROW())+INDEX(D:D, ROW())))</f>
        <v/>
      </c>
      <c r="F3070" s="1" t="inlineStr">
        <is>
          <t>Hash Table, String, Sliding Window</t>
        </is>
      </c>
      <c r="G3070" s="1" t="inlineStr">
        <is>
          <t>Medium</t>
        </is>
      </c>
      <c r="H3070" s="1" t="n">
        <v>20033</v>
      </c>
      <c r="I3070" s="1" t="n">
        <v>46549</v>
      </c>
      <c r="J3070" s="9" t="n">
        <v>0.43</v>
      </c>
      <c r="K3070" s="1" t="inlineStr">
        <is>
          <t>Yes</t>
        </is>
      </c>
      <c r="L3070" s="1" t="inlineStr">
        <is>
          <t>No</t>
        </is>
      </c>
      <c r="M3070" s="1" t="inlineStr">
        <is>
          <t>No</t>
        </is>
      </c>
      <c r="N3070" s="1" t="inlineStr">
        <is>
          <t>Algorithms</t>
        </is>
      </c>
      <c r="O30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70" s="11" t="inlineStr">
        <is>
          <t>To Do</t>
        </is>
      </c>
    </row>
    <row r="3071" ht="15.75" customHeight="1" s="12">
      <c r="A3071" s="1" t="n">
        <v>3669</v>
      </c>
      <c r="B3071" s="3">
        <f>HYPERLINK("https://leetcode.com/problems/balanced-k-factor-decomposition/", "Balanced K-Factor Decomposition")</f>
        <v/>
      </c>
      <c r="C3071" s="1" t="n">
        <v>124</v>
      </c>
      <c r="D3071" s="1" t="n">
        <v>12</v>
      </c>
      <c r="E3071" s="4">
        <f>IF(INDEX(C:C, ROW())+INDEX(D:D, ROW())=0, 0, INDEX(C:C, ROW())/(INDEX(C:C, ROW())+INDEX(D:D, ROW())))</f>
        <v/>
      </c>
      <c r="F3071" s="1" t="inlineStr">
        <is>
          <t>Math, Backtracking, Number Theory</t>
        </is>
      </c>
      <c r="G3071" s="1" t="inlineStr">
        <is>
          <t>Medium</t>
        </is>
      </c>
      <c r="H3071" s="1" t="n">
        <v>27733</v>
      </c>
      <c r="I3071" s="1" t="n">
        <v>68910</v>
      </c>
      <c r="J3071" s="9" t="n">
        <v>0.402</v>
      </c>
      <c r="K3071" s="1" t="inlineStr">
        <is>
          <t>Yes</t>
        </is>
      </c>
      <c r="L3071" s="1" t="inlineStr">
        <is>
          <t>No</t>
        </is>
      </c>
      <c r="M3071" s="1" t="inlineStr">
        <is>
          <t>No</t>
        </is>
      </c>
      <c r="N3071" s="1" t="inlineStr">
        <is>
          <t>Algorithms</t>
        </is>
      </c>
      <c r="O30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71" s="11" t="inlineStr">
        <is>
          <t>To Do</t>
        </is>
      </c>
    </row>
    <row r="3072" ht="15.75" customHeight="1" s="12">
      <c r="A3072" s="1" t="n">
        <v>1724</v>
      </c>
      <c r="B3072" s="3">
        <f>HYPERLINK("https://leetcode.com/problems/checking-existence-of-edge-length-limited-paths-ii/", "Checking Existence of Edge Length Limited Paths II")</f>
        <v/>
      </c>
      <c r="C3072" s="1" t="n">
        <v>123</v>
      </c>
      <c r="D3072" s="1" t="n">
        <v>10</v>
      </c>
      <c r="E3072" s="4">
        <f>IF(INDEX(C:C, ROW())+INDEX(D:D, ROW())=0, 0, INDEX(C:C, ROW())/(INDEX(C:C, ROW())+INDEX(D:D, ROW())))</f>
        <v/>
      </c>
      <c r="F3072" s="1" t="inlineStr">
        <is>
          <t>Depth-First Search, Union-Find, Graph Theory, Design, Sorting, Heap (Priority Queue), Minimum Spanning Tree</t>
        </is>
      </c>
      <c r="G3072" s="1" t="inlineStr">
        <is>
          <t>Hard</t>
        </is>
      </c>
      <c r="H3072" s="1" t="n">
        <v>4193</v>
      </c>
      <c r="I3072" s="1" t="n">
        <v>8149</v>
      </c>
      <c r="J3072" s="9" t="n">
        <v>0.515</v>
      </c>
      <c r="K3072" s="1" t="inlineStr">
        <is>
          <t>No</t>
        </is>
      </c>
      <c r="L3072" s="1" t="inlineStr">
        <is>
          <t>No</t>
        </is>
      </c>
      <c r="M3072" s="1" t="inlineStr">
        <is>
          <t>No</t>
        </is>
      </c>
      <c r="N3072" s="1" t="inlineStr">
        <is>
          <t>Algorithms</t>
        </is>
      </c>
      <c r="O30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72" s="11" t="inlineStr">
        <is>
          <t>To Do</t>
        </is>
      </c>
    </row>
    <row r="3073" ht="15.75" customHeight="1" s="12">
      <c r="A3073" s="1" t="n">
        <v>2879</v>
      </c>
      <c r="B3073" s="3">
        <f>HYPERLINK("https://leetcode.com/problems/display-the-first-three-rows/", "Display the First Three Rows")</f>
        <v/>
      </c>
      <c r="C3073" s="1" t="n">
        <v>123</v>
      </c>
      <c r="D3073" s="1" t="n">
        <v>26</v>
      </c>
      <c r="E3073" s="4">
        <f>IF(INDEX(C:C, ROW())+INDEX(D:D, ROW())=0, 0, INDEX(C:C, ROW())/(INDEX(C:C, ROW())+INDEX(D:D, ROW())))</f>
        <v/>
      </c>
      <c r="F3073" s="2" t="n"/>
      <c r="G3073" s="1" t="inlineStr">
        <is>
          <t>Easy</t>
        </is>
      </c>
      <c r="H3073" s="1" t="n">
        <v>211763</v>
      </c>
      <c r="I3073" s="1" t="n">
        <v>227759</v>
      </c>
      <c r="J3073" s="9" t="n">
        <v>0.93</v>
      </c>
      <c r="K3073" s="1" t="inlineStr">
        <is>
          <t>Yes</t>
        </is>
      </c>
      <c r="L3073" s="1" t="inlineStr">
        <is>
          <t>Yes</t>
        </is>
      </c>
      <c r="M3073" s="1" t="inlineStr">
        <is>
          <t>No</t>
        </is>
      </c>
      <c r="N3073" s="1" t="inlineStr">
        <is>
          <t>pandas</t>
        </is>
      </c>
      <c r="O30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73" s="13" t="inlineStr">
        <is>
          <t>Done</t>
        </is>
      </c>
    </row>
    <row r="3074" ht="15.75" customHeight="1" s="12">
      <c r="A3074" s="1" t="n">
        <v>3137</v>
      </c>
      <c r="B3074" s="3">
        <f>HYPERLINK("https://leetcode.com/problems/minimum-number-of-operations-to-make-word-k-periodic/", "Minimum Number of Operations to Make Word K-Periodic")</f>
        <v/>
      </c>
      <c r="C3074" s="1" t="n">
        <v>123</v>
      </c>
      <c r="D3074" s="1" t="n">
        <v>13</v>
      </c>
      <c r="E3074" s="4">
        <f>IF(INDEX(C:C, ROW())+INDEX(D:D, ROW())=0, 0, INDEX(C:C, ROW())/(INDEX(C:C, ROW())+INDEX(D:D, ROW())))</f>
        <v/>
      </c>
      <c r="F3074" s="1" t="inlineStr">
        <is>
          <t>Hash Table, String, Counting</t>
        </is>
      </c>
      <c r="G3074" s="1" t="inlineStr">
        <is>
          <t>Medium</t>
        </is>
      </c>
      <c r="H3074" s="1" t="n">
        <v>28491</v>
      </c>
      <c r="I3074" s="1" t="n">
        <v>46931</v>
      </c>
      <c r="J3074" s="9" t="n">
        <v>0.607</v>
      </c>
      <c r="K3074" s="1" t="inlineStr">
        <is>
          <t>Yes</t>
        </is>
      </c>
      <c r="L3074" s="1" t="inlineStr">
        <is>
          <t>No</t>
        </is>
      </c>
      <c r="M3074" s="1" t="inlineStr">
        <is>
          <t>No</t>
        </is>
      </c>
      <c r="N3074" s="1" t="inlineStr">
        <is>
          <t>Algorithms</t>
        </is>
      </c>
      <c r="O30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74" s="11" t="inlineStr">
        <is>
          <t>To Do</t>
        </is>
      </c>
    </row>
    <row r="3075" ht="15.75" customHeight="1" s="12">
      <c r="A3075" s="1" t="n">
        <v>3429</v>
      </c>
      <c r="B3075" s="3">
        <f>HYPERLINK("https://leetcode.com/problems/paint-house-iv/", "Paint House IV")</f>
        <v/>
      </c>
      <c r="C3075" s="1" t="n">
        <v>123</v>
      </c>
      <c r="D3075" s="1" t="n">
        <v>12</v>
      </c>
      <c r="E3075" s="4">
        <f>IF(INDEX(C:C, ROW())+INDEX(D:D, ROW())=0, 0, INDEX(C:C, ROW())/(INDEX(C:C, ROW())+INDEX(D:D, ROW())))</f>
        <v/>
      </c>
      <c r="F3075" s="1" t="inlineStr">
        <is>
          <t>Array, Dynamic Programming</t>
        </is>
      </c>
      <c r="G3075" s="1" t="inlineStr">
        <is>
          <t>Medium</t>
        </is>
      </c>
      <c r="H3075" s="1" t="n">
        <v>11127</v>
      </c>
      <c r="I3075" s="1" t="n">
        <v>24602</v>
      </c>
      <c r="J3075" s="9" t="n">
        <v>0.452</v>
      </c>
      <c r="K3075" s="1" t="inlineStr">
        <is>
          <t>Yes</t>
        </is>
      </c>
      <c r="L3075" s="1" t="inlineStr">
        <is>
          <t>No</t>
        </is>
      </c>
      <c r="M3075" s="1" t="inlineStr">
        <is>
          <t>No</t>
        </is>
      </c>
      <c r="N3075" s="1" t="inlineStr">
        <is>
          <t>Algorithms</t>
        </is>
      </c>
      <c r="O30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75" s="11" t="inlineStr">
        <is>
          <t>To Do</t>
        </is>
      </c>
    </row>
    <row r="3076" ht="15.75" customHeight="1" s="12">
      <c r="A3076" s="1" t="n">
        <v>3472</v>
      </c>
      <c r="B3076" s="3">
        <f>HYPERLINK("https://leetcode.com/problems/longest-palindromic-subsequence-after-at-most-k-operations/", "Longest Palindromic Subsequence After at Most K Operations")</f>
        <v/>
      </c>
      <c r="C3076" s="1" t="n">
        <v>123</v>
      </c>
      <c r="D3076" s="1" t="n">
        <v>18</v>
      </c>
      <c r="E3076" s="4">
        <f>IF(INDEX(C:C, ROW())+INDEX(D:D, ROW())=0, 0, INDEX(C:C, ROW())/(INDEX(C:C, ROW())+INDEX(D:D, ROW())))</f>
        <v/>
      </c>
      <c r="F3076" s="1" t="inlineStr">
        <is>
          <t>String, Dynamic Programming</t>
        </is>
      </c>
      <c r="G3076" s="1" t="inlineStr">
        <is>
          <t>Medium</t>
        </is>
      </c>
      <c r="H3076" s="1" t="n">
        <v>15550</v>
      </c>
      <c r="I3076" s="1" t="n">
        <v>41214</v>
      </c>
      <c r="J3076" s="9" t="n">
        <v>0.377</v>
      </c>
      <c r="K3076" s="1" t="inlineStr">
        <is>
          <t>Yes</t>
        </is>
      </c>
      <c r="L3076" s="1" t="inlineStr">
        <is>
          <t>No</t>
        </is>
      </c>
      <c r="M3076" s="1" t="inlineStr">
        <is>
          <t>No</t>
        </is>
      </c>
      <c r="N3076" s="1" t="inlineStr">
        <is>
          <t>Algorithms</t>
        </is>
      </c>
      <c r="O30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76" s="11" t="inlineStr">
        <is>
          <t>To Do</t>
        </is>
      </c>
    </row>
    <row r="3077" ht="15.75" customHeight="1" s="12">
      <c r="A3077" s="1" t="n">
        <v>3668</v>
      </c>
      <c r="B3077" s="3">
        <f>HYPERLINK("https://leetcode.com/problems/restore-finishing-order/", "Restore Finishing Order")</f>
        <v/>
      </c>
      <c r="C3077" s="1" t="n">
        <v>123</v>
      </c>
      <c r="D3077" s="1" t="n">
        <v>5</v>
      </c>
      <c r="E3077" s="4">
        <f>IF(INDEX(C:C, ROW())+INDEX(D:D, ROW())=0, 0, INDEX(C:C, ROW())/(INDEX(C:C, ROW())+INDEX(D:D, ROW())))</f>
        <v/>
      </c>
      <c r="F3077" s="1" t="inlineStr">
        <is>
          <t>Array, Hash Table</t>
        </is>
      </c>
      <c r="G3077" s="1" t="inlineStr">
        <is>
          <t>Easy</t>
        </is>
      </c>
      <c r="H3077" s="1" t="n">
        <v>102667</v>
      </c>
      <c r="I3077" s="1" t="n">
        <v>112576</v>
      </c>
      <c r="J3077" s="9" t="n">
        <v>0.912</v>
      </c>
      <c r="K3077" s="1" t="inlineStr">
        <is>
          <t>Yes</t>
        </is>
      </c>
      <c r="L3077" s="1" t="inlineStr">
        <is>
          <t>No</t>
        </is>
      </c>
      <c r="M3077" s="1" t="inlineStr">
        <is>
          <t>No</t>
        </is>
      </c>
      <c r="N3077" s="1" t="inlineStr">
        <is>
          <t>Algorithms</t>
        </is>
      </c>
      <c r="O30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77" s="13" t="inlineStr">
        <is>
          <t>Done</t>
        </is>
      </c>
    </row>
    <row r="3078" ht="15.75" customHeight="1" s="12">
      <c r="A3078" s="1" t="n">
        <v>521</v>
      </c>
      <c r="B3078" s="3">
        <f>HYPERLINK("https://leetcode.com/problems/longest-uncommon-subsequence-i/", "Longest Uncommon Subsequence I")</f>
        <v/>
      </c>
      <c r="C3078" s="1" t="n">
        <v>122</v>
      </c>
      <c r="D3078" s="1" t="n">
        <v>367</v>
      </c>
      <c r="E3078" s="4">
        <f>IF(INDEX(C:C, ROW())+INDEX(D:D, ROW())=0, 0, INDEX(C:C, ROW())/(INDEX(C:C, ROW())+INDEX(D:D, ROW())))</f>
        <v/>
      </c>
      <c r="F3078" s="1" t="inlineStr">
        <is>
          <t>String</t>
        </is>
      </c>
      <c r="G3078" s="1" t="inlineStr">
        <is>
          <t>Easy</t>
        </is>
      </c>
      <c r="H3078" s="1" t="n">
        <v>152925</v>
      </c>
      <c r="I3078" s="1" t="n">
        <v>245784</v>
      </c>
      <c r="J3078" s="9" t="n">
        <v>0.622</v>
      </c>
      <c r="K3078" s="1" t="inlineStr">
        <is>
          <t>Yes</t>
        </is>
      </c>
      <c r="L3078" s="1" t="inlineStr">
        <is>
          <t>Yes</t>
        </is>
      </c>
      <c r="M3078" s="1" t="inlineStr">
        <is>
          <t>No</t>
        </is>
      </c>
      <c r="N3078" s="1" t="inlineStr">
        <is>
          <t>Algorithms</t>
        </is>
      </c>
      <c r="O30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78" s="13" t="inlineStr">
        <is>
          <t>Done</t>
        </is>
      </c>
    </row>
    <row r="3079" ht="15.75" customHeight="1" s="12">
      <c r="A3079" s="1" t="n">
        <v>3613</v>
      </c>
      <c r="B3079" s="3">
        <f>HYPERLINK("https://leetcode.com/problems/minimize-maximum-component-cost/", "Minimize Maximum Component Cost")</f>
        <v/>
      </c>
      <c r="C3079" s="1" t="n">
        <v>122</v>
      </c>
      <c r="D3079" s="1" t="n">
        <v>9</v>
      </c>
      <c r="E3079" s="4">
        <f>IF(INDEX(C:C, ROW())+INDEX(D:D, ROW())=0, 0, INDEX(C:C, ROW())/(INDEX(C:C, ROW())+INDEX(D:D, ROW())))</f>
        <v/>
      </c>
      <c r="F3079" s="1" t="inlineStr">
        <is>
          <t>Binary Search, Union-Find, Graph Theory, Sorting</t>
        </is>
      </c>
      <c r="G3079" s="1" t="inlineStr">
        <is>
          <t>Medium</t>
        </is>
      </c>
      <c r="H3079" s="1" t="n">
        <v>24247</v>
      </c>
      <c r="I3079" s="1" t="n">
        <v>55727</v>
      </c>
      <c r="J3079" s="9" t="n">
        <v>0.435</v>
      </c>
      <c r="K3079" s="1" t="inlineStr">
        <is>
          <t>Yes</t>
        </is>
      </c>
      <c r="L3079" s="1" t="inlineStr">
        <is>
          <t>No</t>
        </is>
      </c>
      <c r="M3079" s="1" t="inlineStr">
        <is>
          <t>No</t>
        </is>
      </c>
      <c r="N3079" s="1" t="inlineStr">
        <is>
          <t>Algorithms</t>
        </is>
      </c>
      <c r="O30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79" s="11" t="inlineStr">
        <is>
          <t>To Do</t>
        </is>
      </c>
    </row>
    <row r="3080" ht="15.75" customHeight="1" s="12">
      <c r="A3080" s="1" t="n">
        <v>3639</v>
      </c>
      <c r="B3080" s="3">
        <f>HYPERLINK("https://leetcode.com/problems/minimum-time-to-activate-string/", "Minimum Time to Activate String")</f>
        <v/>
      </c>
      <c r="C3080" s="1" t="n">
        <v>122</v>
      </c>
      <c r="D3080" s="1" t="n">
        <v>6</v>
      </c>
      <c r="E3080" s="4">
        <f>IF(INDEX(C:C, ROW())+INDEX(D:D, ROW())=0, 0, INDEX(C:C, ROW())/(INDEX(C:C, ROW())+INDEX(D:D, ROW())))</f>
        <v/>
      </c>
      <c r="F3080" s="1" t="inlineStr">
        <is>
          <t>Array, Binary Search</t>
        </is>
      </c>
      <c r="G3080" s="1" t="inlineStr">
        <is>
          <t>Medium</t>
        </is>
      </c>
      <c r="H3080" s="1" t="n">
        <v>35139</v>
      </c>
      <c r="I3080" s="1" t="n">
        <v>71396</v>
      </c>
      <c r="J3080" s="9" t="n">
        <v>0.492</v>
      </c>
      <c r="K3080" s="1" t="inlineStr">
        <is>
          <t>Yes</t>
        </is>
      </c>
      <c r="L3080" s="1" t="inlineStr">
        <is>
          <t>No</t>
        </is>
      </c>
      <c r="M3080" s="1" t="inlineStr">
        <is>
          <t>No</t>
        </is>
      </c>
      <c r="N3080" s="1" t="inlineStr">
        <is>
          <t>Algorithms</t>
        </is>
      </c>
      <c r="O30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80" s="11" t="inlineStr">
        <is>
          <t>To Do</t>
        </is>
      </c>
    </row>
    <row r="3081" ht="15.75" customHeight="1" s="12">
      <c r="A3081" s="1" t="n">
        <v>1085</v>
      </c>
      <c r="B3081" s="3">
        <f>HYPERLINK("https://leetcode.com/problems/sum-of-digits-in-the-minimum-number/", "Sum of Digits in the Minimum Number")</f>
        <v/>
      </c>
      <c r="C3081" s="1" t="n">
        <v>121</v>
      </c>
      <c r="D3081" s="1" t="n">
        <v>151</v>
      </c>
      <c r="E3081" s="4">
        <f>IF(INDEX(C:C, ROW())+INDEX(D:D, ROW())=0, 0, INDEX(C:C, ROW())/(INDEX(C:C, ROW())+INDEX(D:D, ROW())))</f>
        <v/>
      </c>
      <c r="F3081" s="1" t="inlineStr">
        <is>
          <t>Array, Math</t>
        </is>
      </c>
      <c r="G3081" s="1" t="inlineStr">
        <is>
          <t>Easy</t>
        </is>
      </c>
      <c r="H3081" s="1" t="n">
        <v>26110</v>
      </c>
      <c r="I3081" s="1" t="n">
        <v>34045</v>
      </c>
      <c r="J3081" s="9" t="n">
        <v>0.767</v>
      </c>
      <c r="K3081" s="1" t="inlineStr">
        <is>
          <t>No</t>
        </is>
      </c>
      <c r="L3081" s="1" t="inlineStr">
        <is>
          <t>No</t>
        </is>
      </c>
      <c r="M3081" s="1" t="inlineStr">
        <is>
          <t>No</t>
        </is>
      </c>
      <c r="N3081" s="1" t="inlineStr">
        <is>
          <t>Algorithms</t>
        </is>
      </c>
      <c r="O30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81" s="11" t="inlineStr">
        <is>
          <t>To Do</t>
        </is>
      </c>
    </row>
    <row r="3082" ht="15.75" customHeight="1" s="12">
      <c r="A3082" s="1" t="n">
        <v>3747</v>
      </c>
      <c r="B3082" s="3">
        <f>HYPERLINK("https://leetcode.com/problems/count-distinct-integers-after-removing-zeros/", "Count Distinct Integers After Removing Zeros")</f>
        <v/>
      </c>
      <c r="C3082" s="1" t="n">
        <v>121</v>
      </c>
      <c r="D3082" s="1" t="n">
        <v>10</v>
      </c>
      <c r="E3082" s="4">
        <f>IF(INDEX(C:C, ROW())+INDEX(D:D, ROW())=0, 0, INDEX(C:C, ROW())/(INDEX(C:C, ROW())+INDEX(D:D, ROW())))</f>
        <v/>
      </c>
      <c r="F3082" s="1" t="inlineStr">
        <is>
          <t>Math, Dynamic Programming</t>
        </is>
      </c>
      <c r="G3082" s="1" t="inlineStr">
        <is>
          <t>Medium</t>
        </is>
      </c>
      <c r="H3082" s="1" t="n">
        <v>15576</v>
      </c>
      <c r="I3082" s="1" t="n">
        <v>68394</v>
      </c>
      <c r="J3082" s="9" t="n">
        <v>0.228</v>
      </c>
      <c r="K3082" s="1" t="inlineStr">
        <is>
          <t>Yes</t>
        </is>
      </c>
      <c r="L3082" s="1" t="inlineStr">
        <is>
          <t>No</t>
        </is>
      </c>
      <c r="M3082" s="1" t="inlineStr">
        <is>
          <t>No</t>
        </is>
      </c>
      <c r="N3082" s="1" t="inlineStr">
        <is>
          <t>Algorithms</t>
        </is>
      </c>
      <c r="O30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82" s="11" t="inlineStr">
        <is>
          <t>To Do</t>
        </is>
      </c>
    </row>
    <row r="3083" ht="15.75" customHeight="1" s="12">
      <c r="A3083" s="1" t="n">
        <v>3114</v>
      </c>
      <c r="B3083" s="3">
        <f>HYPERLINK("https://leetcode.com/problems/latest-time-you-can-obtain-after-replacing-characters/", "Latest Time You Can Obtain After Replacing Characters")</f>
        <v/>
      </c>
      <c r="C3083" s="1" t="n">
        <v>120</v>
      </c>
      <c r="D3083" s="1" t="n">
        <v>50</v>
      </c>
      <c r="E3083" s="4">
        <f>IF(INDEX(C:C, ROW())+INDEX(D:D, ROW())=0, 0, INDEX(C:C, ROW())/(INDEX(C:C, ROW())+INDEX(D:D, ROW())))</f>
        <v/>
      </c>
      <c r="F3083" s="1" t="inlineStr">
        <is>
          <t>String, Enumeration</t>
        </is>
      </c>
      <c r="G3083" s="1" t="inlineStr">
        <is>
          <t>Easy</t>
        </is>
      </c>
      <c r="H3083" s="1" t="n">
        <v>41518</v>
      </c>
      <c r="I3083" s="1" t="n">
        <v>117781</v>
      </c>
      <c r="J3083" s="9" t="n">
        <v>0.353</v>
      </c>
      <c r="K3083" s="1" t="inlineStr">
        <is>
          <t>Yes</t>
        </is>
      </c>
      <c r="L3083" s="1" t="inlineStr">
        <is>
          <t>No</t>
        </is>
      </c>
      <c r="M3083" s="1" t="inlineStr">
        <is>
          <t>No</t>
        </is>
      </c>
      <c r="N3083" s="1" t="inlineStr">
        <is>
          <t>Algorithms</t>
        </is>
      </c>
      <c r="O30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83" s="13" t="inlineStr">
        <is>
          <t>Done</t>
        </is>
      </c>
    </row>
    <row r="3084" ht="15.75" customHeight="1" s="12">
      <c r="A3084" s="1" t="n">
        <v>3235</v>
      </c>
      <c r="B3084" s="3">
        <f>HYPERLINK("https://leetcode.com/problems/check-if-the-rectangle-corner-is-reachable/", "Check if the Rectangle Corner Is Reachable")</f>
        <v/>
      </c>
      <c r="C3084" s="1" t="n">
        <v>120</v>
      </c>
      <c r="D3084" s="1" t="n">
        <v>41</v>
      </c>
      <c r="E3084" s="4">
        <f>IF(INDEX(C:C, ROW())+INDEX(D:D, ROW())=0, 0, INDEX(C:C, ROW())/(INDEX(C:C, ROW())+INDEX(D:D, ROW())))</f>
        <v/>
      </c>
      <c r="F3084" s="1" t="inlineStr">
        <is>
          <t>Array, Math, Depth-First Search, Breadth-First Search, Union-Find, Geometry</t>
        </is>
      </c>
      <c r="G3084" s="1" t="inlineStr">
        <is>
          <t>Hard</t>
        </is>
      </c>
      <c r="H3084" s="1" t="n">
        <v>8070</v>
      </c>
      <c r="I3084" s="1" t="n">
        <v>32041</v>
      </c>
      <c r="J3084" s="9" t="n">
        <v>0.252</v>
      </c>
      <c r="K3084" s="1" t="inlineStr">
        <is>
          <t>Yes</t>
        </is>
      </c>
      <c r="L3084" s="1" t="inlineStr">
        <is>
          <t>No</t>
        </is>
      </c>
      <c r="M3084" s="1" t="inlineStr">
        <is>
          <t>No</t>
        </is>
      </c>
      <c r="N3084" s="1" t="inlineStr">
        <is>
          <t>Algorithms</t>
        </is>
      </c>
      <c r="O30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84" s="11" t="inlineStr">
        <is>
          <t>To Do</t>
        </is>
      </c>
    </row>
    <row r="3085" ht="15.75" customHeight="1" s="12">
      <c r="A3085" s="1" t="n">
        <v>3407</v>
      </c>
      <c r="B3085" s="3">
        <f>HYPERLINK("https://leetcode.com/problems/substring-matching-pattern/", "Substring Matching Pattern")</f>
        <v/>
      </c>
      <c r="C3085" s="1" t="n">
        <v>120</v>
      </c>
      <c r="D3085" s="1" t="n">
        <v>52</v>
      </c>
      <c r="E3085" s="4">
        <f>IF(INDEX(C:C, ROW())+INDEX(D:D, ROW())=0, 0, INDEX(C:C, ROW())/(INDEX(C:C, ROW())+INDEX(D:D, ROW())))</f>
        <v/>
      </c>
      <c r="F3085" s="1" t="inlineStr">
        <is>
          <t>String, String Matching</t>
        </is>
      </c>
      <c r="G3085" s="1" t="inlineStr">
        <is>
          <t>Easy</t>
        </is>
      </c>
      <c r="H3085" s="1" t="n">
        <v>38947</v>
      </c>
      <c r="I3085" s="1" t="n">
        <v>135594</v>
      </c>
      <c r="J3085" s="9" t="n">
        <v>0.287</v>
      </c>
      <c r="K3085" s="1" t="inlineStr">
        <is>
          <t>Yes</t>
        </is>
      </c>
      <c r="L3085" s="1" t="inlineStr">
        <is>
          <t>No</t>
        </is>
      </c>
      <c r="M3085" s="1" t="inlineStr">
        <is>
          <t>No</t>
        </is>
      </c>
      <c r="N3085" s="1" t="inlineStr">
        <is>
          <t>Algorithms</t>
        </is>
      </c>
      <c r="O30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85" s="13" t="inlineStr">
        <is>
          <t>Done</t>
        </is>
      </c>
    </row>
    <row r="3086" ht="15.75" customHeight="1" s="12">
      <c r="A3086" s="1" t="n">
        <v>1635</v>
      </c>
      <c r="B3086" s="3">
        <f>HYPERLINK("https://leetcode.com/problems/hopper-company-queries-i/", "Hopper Company Queries I")</f>
        <v/>
      </c>
      <c r="C3086" s="1" t="n">
        <v>119</v>
      </c>
      <c r="D3086" s="1" t="n">
        <v>36</v>
      </c>
      <c r="E3086" s="4">
        <f>IF(INDEX(C:C, ROW())+INDEX(D:D, ROW())=0, 0, INDEX(C:C, ROW())/(INDEX(C:C, ROW())+INDEX(D:D, ROW())))</f>
        <v/>
      </c>
      <c r="F3086" s="1" t="inlineStr">
        <is>
          <t>Database</t>
        </is>
      </c>
      <c r="G3086" s="1" t="inlineStr">
        <is>
          <t>Hard</t>
        </is>
      </c>
      <c r="H3086" s="1" t="n">
        <v>11333</v>
      </c>
      <c r="I3086" s="1" t="n">
        <v>23564</v>
      </c>
      <c r="J3086" s="9" t="n">
        <v>0.481</v>
      </c>
      <c r="K3086" s="1" t="inlineStr">
        <is>
          <t>No</t>
        </is>
      </c>
      <c r="L3086" s="1" t="inlineStr">
        <is>
          <t>Yes</t>
        </is>
      </c>
      <c r="M3086" s="1" t="inlineStr">
        <is>
          <t>No</t>
        </is>
      </c>
      <c r="N3086" s="1" t="inlineStr">
        <is>
          <t>Database</t>
        </is>
      </c>
      <c r="O30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86" s="11" t="inlineStr">
        <is>
          <t>To Do</t>
        </is>
      </c>
    </row>
    <row r="3087" ht="15.75" customHeight="1" s="12">
      <c r="A3087" s="1" t="n">
        <v>2004</v>
      </c>
      <c r="B3087" s="3">
        <f>HYPERLINK("https://leetcode.com/problems/the-number-of-seniors-and-juniors-to-join-the-company/", "The Number of Seniors and Juniors to Join the Company")</f>
        <v/>
      </c>
      <c r="C3087" s="1" t="n">
        <v>119</v>
      </c>
      <c r="D3087" s="1" t="n">
        <v>15</v>
      </c>
      <c r="E3087" s="4">
        <f>IF(INDEX(C:C, ROW())+INDEX(D:D, ROW())=0, 0, INDEX(C:C, ROW())/(INDEX(C:C, ROW())+INDEX(D:D, ROW())))</f>
        <v/>
      </c>
      <c r="F3087" s="1" t="inlineStr">
        <is>
          <t>Database</t>
        </is>
      </c>
      <c r="G3087" s="1" t="inlineStr">
        <is>
          <t>Hard</t>
        </is>
      </c>
      <c r="H3087" s="1" t="n">
        <v>11004</v>
      </c>
      <c r="I3087" s="1" t="n">
        <v>23709</v>
      </c>
      <c r="J3087" s="9" t="n">
        <v>0.464</v>
      </c>
      <c r="K3087" s="1" t="inlineStr">
        <is>
          <t>No</t>
        </is>
      </c>
      <c r="L3087" s="1" t="inlineStr">
        <is>
          <t>Yes</t>
        </is>
      </c>
      <c r="M3087" s="1" t="inlineStr">
        <is>
          <t>No</t>
        </is>
      </c>
      <c r="N3087" s="1" t="inlineStr">
        <is>
          <t>Database</t>
        </is>
      </c>
      <c r="O30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87" s="11" t="inlineStr">
        <is>
          <t>To Do</t>
        </is>
      </c>
    </row>
    <row r="3088" ht="15.75" customHeight="1" s="12">
      <c r="A3088" s="1" t="n">
        <v>2473</v>
      </c>
      <c r="B3088" s="3">
        <f>HYPERLINK("https://leetcode.com/problems/minimum-cost-to-buy-apples/", "Minimum Cost to Buy Apples")</f>
        <v/>
      </c>
      <c r="C3088" s="1" t="n">
        <v>119</v>
      </c>
      <c r="D3088" s="1" t="n">
        <v>27</v>
      </c>
      <c r="E3088" s="4">
        <f>IF(INDEX(C:C, ROW())+INDEX(D:D, ROW())=0, 0, INDEX(C:C, ROW())/(INDEX(C:C, ROW())+INDEX(D:D, ROW())))</f>
        <v/>
      </c>
      <c r="F3088" s="1" t="inlineStr">
        <is>
          <t>Array, Graph Theory, Heap (Priority Queue), Shortest Path</t>
        </is>
      </c>
      <c r="G3088" s="1" t="inlineStr">
        <is>
          <t>Medium</t>
        </is>
      </c>
      <c r="H3088" s="1" t="n">
        <v>7346</v>
      </c>
      <c r="I3088" s="1" t="n">
        <v>10929</v>
      </c>
      <c r="J3088" s="9" t="n">
        <v>0.672</v>
      </c>
      <c r="K3088" s="1" t="inlineStr">
        <is>
          <t>No</t>
        </is>
      </c>
      <c r="L3088" s="1" t="inlineStr">
        <is>
          <t>Yes</t>
        </is>
      </c>
      <c r="M3088" s="1" t="inlineStr">
        <is>
          <t>No</t>
        </is>
      </c>
      <c r="N3088" s="1" t="inlineStr">
        <is>
          <t>Algorithms</t>
        </is>
      </c>
      <c r="O30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88" s="11" t="inlineStr">
        <is>
          <t>To Do</t>
        </is>
      </c>
    </row>
    <row r="3089" ht="15.75" customHeight="1" s="12">
      <c r="A3089" s="1" t="n">
        <v>751</v>
      </c>
      <c r="B3089" s="3">
        <f>HYPERLINK("https://leetcode.com/problems/ip-to-cidr/", "IP to CIDR")</f>
        <v/>
      </c>
      <c r="C3089" s="1" t="n">
        <v>118</v>
      </c>
      <c r="D3089" s="1" t="n">
        <v>367</v>
      </c>
      <c r="E3089" s="4">
        <f>IF(INDEX(C:C, ROW())+INDEX(D:D, ROW())=0, 0, INDEX(C:C, ROW())/(INDEX(C:C, ROW())+INDEX(D:D, ROW())))</f>
        <v/>
      </c>
      <c r="F3089" s="1" t="inlineStr">
        <is>
          <t>String, Bit Manipulation</t>
        </is>
      </c>
      <c r="G3089" s="1" t="inlineStr">
        <is>
          <t>Medium</t>
        </is>
      </c>
      <c r="H3089" s="1" t="n">
        <v>39915</v>
      </c>
      <c r="I3089" s="1" t="n">
        <v>74521</v>
      </c>
      <c r="J3089" s="9" t="n">
        <v>0.536</v>
      </c>
      <c r="K3089" s="1" t="inlineStr">
        <is>
          <t>No</t>
        </is>
      </c>
      <c r="L3089" s="1" t="inlineStr">
        <is>
          <t>No</t>
        </is>
      </c>
      <c r="M3089" s="1" t="inlineStr">
        <is>
          <t>No</t>
        </is>
      </c>
      <c r="N3089" s="1" t="inlineStr">
        <is>
          <t>Algorithms</t>
        </is>
      </c>
      <c r="O30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89" s="11" t="inlineStr">
        <is>
          <t>To Do</t>
        </is>
      </c>
    </row>
    <row r="3090" ht="15.75" customHeight="1" s="12">
      <c r="A3090" s="1" t="n">
        <v>1113</v>
      </c>
      <c r="B3090" s="3">
        <f>HYPERLINK("https://leetcode.com/problems/reported-posts/", "Reported Posts")</f>
        <v/>
      </c>
      <c r="C3090" s="1" t="n">
        <v>118</v>
      </c>
      <c r="D3090" s="1" t="n">
        <v>420</v>
      </c>
      <c r="E3090" s="4">
        <f>IF(INDEX(C:C, ROW())+INDEX(D:D, ROW())=0, 0, INDEX(C:C, ROW())/(INDEX(C:C, ROW())+INDEX(D:D, ROW())))</f>
        <v/>
      </c>
      <c r="F3090" s="1" t="inlineStr">
        <is>
          <t>Database</t>
        </is>
      </c>
      <c r="G3090" s="1" t="inlineStr">
        <is>
          <t>Easy</t>
        </is>
      </c>
      <c r="H3090" s="1" t="n">
        <v>54265</v>
      </c>
      <c r="I3090" s="1" t="n">
        <v>83721</v>
      </c>
      <c r="J3090" s="9" t="n">
        <v>0.648</v>
      </c>
      <c r="K3090" s="1" t="inlineStr">
        <is>
          <t>No</t>
        </is>
      </c>
      <c r="L3090" s="1" t="inlineStr">
        <is>
          <t>Yes</t>
        </is>
      </c>
      <c r="M3090" s="1" t="inlineStr">
        <is>
          <t>No</t>
        </is>
      </c>
      <c r="N3090" s="1" t="inlineStr">
        <is>
          <t>Database</t>
        </is>
      </c>
      <c r="O30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90" s="11" t="inlineStr">
        <is>
          <t>To Do</t>
        </is>
      </c>
    </row>
    <row r="3091" ht="15.75" customHeight="1" s="12">
      <c r="A3091" s="1" t="n">
        <v>2107</v>
      </c>
      <c r="B3091" s="3">
        <f>HYPERLINK("https://leetcode.com/problems/number-of-unique-flavors-after-sharing-k-candies/", "Number of Unique Flavors After Sharing K Candies")</f>
        <v/>
      </c>
      <c r="C3091" s="1" t="n">
        <v>118</v>
      </c>
      <c r="D3091" s="1" t="n">
        <v>7</v>
      </c>
      <c r="E3091" s="4">
        <f>IF(INDEX(C:C, ROW())+INDEX(D:D, ROW())=0, 0, INDEX(C:C, ROW())/(INDEX(C:C, ROW())+INDEX(D:D, ROW())))</f>
        <v/>
      </c>
      <c r="F3091" s="1" t="inlineStr">
        <is>
          <t>Array, Hash Table, Sliding Window</t>
        </is>
      </c>
      <c r="G3091" s="1" t="inlineStr">
        <is>
          <t>Medium</t>
        </is>
      </c>
      <c r="H3091" s="1" t="n">
        <v>9750</v>
      </c>
      <c r="I3091" s="1" t="n">
        <v>16120</v>
      </c>
      <c r="J3091" s="9" t="n">
        <v>0.605</v>
      </c>
      <c r="K3091" s="1" t="inlineStr">
        <is>
          <t>No</t>
        </is>
      </c>
      <c r="L3091" s="1" t="inlineStr">
        <is>
          <t>Yes</t>
        </is>
      </c>
      <c r="M3091" s="1" t="inlineStr">
        <is>
          <t>No</t>
        </is>
      </c>
      <c r="N3091" s="1" t="inlineStr">
        <is>
          <t>Algorithms</t>
        </is>
      </c>
      <c r="O30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91" s="11" t="inlineStr">
        <is>
          <t>To Do</t>
        </is>
      </c>
    </row>
    <row r="3092" ht="15.75" customHeight="1" s="12">
      <c r="A3092" s="1" t="n">
        <v>2137</v>
      </c>
      <c r="B3092" s="3">
        <f>HYPERLINK("https://leetcode.com/problems/pour-water-between-buckets-to-make-water-levels-equal/", "Pour Water Between Buckets to Make Water Levels Equal")</f>
        <v/>
      </c>
      <c r="C3092" s="1" t="n">
        <v>118</v>
      </c>
      <c r="D3092" s="1" t="n">
        <v>10</v>
      </c>
      <c r="E3092" s="4">
        <f>IF(INDEX(C:C, ROW())+INDEX(D:D, ROW())=0, 0, INDEX(C:C, ROW())/(INDEX(C:C, ROW())+INDEX(D:D, ROW())))</f>
        <v/>
      </c>
      <c r="F3092" s="1" t="inlineStr">
        <is>
          <t>Array, Binary Search</t>
        </is>
      </c>
      <c r="G3092" s="1" t="inlineStr">
        <is>
          <t>Medium</t>
        </is>
      </c>
      <c r="H3092" s="1" t="n">
        <v>3881</v>
      </c>
      <c r="I3092" s="1" t="n">
        <v>5673</v>
      </c>
      <c r="J3092" s="9" t="n">
        <v>0.6840000000000001</v>
      </c>
      <c r="K3092" s="1" t="inlineStr">
        <is>
          <t>No</t>
        </is>
      </c>
      <c r="L3092" s="1" t="inlineStr">
        <is>
          <t>No</t>
        </is>
      </c>
      <c r="M3092" s="1" t="inlineStr">
        <is>
          <t>No</t>
        </is>
      </c>
      <c r="N3092" s="1" t="inlineStr">
        <is>
          <t>Algorithms</t>
        </is>
      </c>
      <c r="O30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92" s="11" t="inlineStr">
        <is>
          <t>To Do</t>
        </is>
      </c>
    </row>
    <row r="3093" ht="15.75" customHeight="1" s="12">
      <c r="A3093" s="1" t="n">
        <v>2534</v>
      </c>
      <c r="B3093" s="3">
        <f>HYPERLINK("https://leetcode.com/problems/time-taken-to-cross-the-door/", "Time Taken to Cross the Door")</f>
        <v/>
      </c>
      <c r="C3093" s="1" t="n">
        <v>118</v>
      </c>
      <c r="D3093" s="1" t="n">
        <v>24</v>
      </c>
      <c r="E3093" s="4">
        <f>IF(INDEX(C:C, ROW())+INDEX(D:D, ROW())=0, 0, INDEX(C:C, ROW())/(INDEX(C:C, ROW())+INDEX(D:D, ROW())))</f>
        <v/>
      </c>
      <c r="F3093" s="1" t="inlineStr">
        <is>
          <t>Array, Queue, Simulation</t>
        </is>
      </c>
      <c r="G3093" s="1" t="inlineStr">
        <is>
          <t>Hard</t>
        </is>
      </c>
      <c r="H3093" s="1" t="n">
        <v>14124</v>
      </c>
      <c r="I3093" s="1" t="n">
        <v>28156</v>
      </c>
      <c r="J3093" s="9" t="n">
        <v>0.502</v>
      </c>
      <c r="K3093" s="1" t="inlineStr">
        <is>
          <t>No</t>
        </is>
      </c>
      <c r="L3093" s="1" t="inlineStr">
        <is>
          <t>No</t>
        </is>
      </c>
      <c r="M3093" s="1" t="inlineStr">
        <is>
          <t>No</t>
        </is>
      </c>
      <c r="N3093" s="1" t="inlineStr">
        <is>
          <t>Algorithms</t>
        </is>
      </c>
      <c r="O30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93" s="11" t="inlineStr">
        <is>
          <t>To Do</t>
        </is>
      </c>
    </row>
    <row r="3094" ht="15.75" customHeight="1" s="12">
      <c r="A3094" s="1" t="n">
        <v>2931</v>
      </c>
      <c r="B3094" s="3">
        <f>HYPERLINK("https://leetcode.com/problems/maximum-spending-after-buying-items/", "Maximum Spending After Buying Items")</f>
        <v/>
      </c>
      <c r="C3094" s="1" t="n">
        <v>118</v>
      </c>
      <c r="D3094" s="1" t="n">
        <v>36</v>
      </c>
      <c r="E3094" s="4">
        <f>IF(INDEX(C:C, ROW())+INDEX(D:D, ROW())=0, 0, INDEX(C:C, ROW())/(INDEX(C:C, ROW())+INDEX(D:D, ROW())))</f>
        <v/>
      </c>
      <c r="F3094" s="1" t="inlineStr">
        <is>
          <t>Array, Greedy, Sorting, Heap (Priority Queue), Matrix</t>
        </is>
      </c>
      <c r="G3094" s="1" t="inlineStr">
        <is>
          <t>Hard</t>
        </is>
      </c>
      <c r="H3094" s="1" t="n">
        <v>15936</v>
      </c>
      <c r="I3094" s="1" t="n">
        <v>26096</v>
      </c>
      <c r="J3094" s="9" t="n">
        <v>0.611</v>
      </c>
      <c r="K3094" s="1" t="inlineStr">
        <is>
          <t>Yes</t>
        </is>
      </c>
      <c r="L3094" s="1" t="inlineStr">
        <is>
          <t>No</t>
        </is>
      </c>
      <c r="M3094" s="1" t="inlineStr">
        <is>
          <t>No</t>
        </is>
      </c>
      <c r="N3094" s="1" t="inlineStr">
        <is>
          <t>Algorithms</t>
        </is>
      </c>
      <c r="O30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94" s="11" t="inlineStr">
        <is>
          <t>To Do</t>
        </is>
      </c>
    </row>
    <row r="3095" ht="15.75" customHeight="1" s="12">
      <c r="A3095" s="1" t="n">
        <v>3584</v>
      </c>
      <c r="B3095" s="3">
        <f>HYPERLINK("https://leetcode.com/problems/maximum-product-of-first-and-last-elements-of-a-subsequence/", "Maximum Product of First and Last Elements of a Subsequence")</f>
        <v/>
      </c>
      <c r="C3095" s="1" t="n">
        <v>118</v>
      </c>
      <c r="D3095" s="1" t="n">
        <v>1</v>
      </c>
      <c r="E3095" s="4">
        <f>IF(INDEX(C:C, ROW())+INDEX(D:D, ROW())=0, 0, INDEX(C:C, ROW())/(INDEX(C:C, ROW())+INDEX(D:D, ROW())))</f>
        <v/>
      </c>
      <c r="F3095" s="1" t="inlineStr">
        <is>
          <t>Array, Two Pointers</t>
        </is>
      </c>
      <c r="G3095" s="1" t="inlineStr">
        <is>
          <t>Medium</t>
        </is>
      </c>
      <c r="H3095" s="1" t="n">
        <v>20193</v>
      </c>
      <c r="I3095" s="1" t="n">
        <v>64172</v>
      </c>
      <c r="J3095" s="9" t="n">
        <v>0.315</v>
      </c>
      <c r="K3095" s="1" t="inlineStr">
        <is>
          <t>Yes</t>
        </is>
      </c>
      <c r="L3095" s="1" t="inlineStr">
        <is>
          <t>No</t>
        </is>
      </c>
      <c r="M3095" s="1" t="inlineStr">
        <is>
          <t>No</t>
        </is>
      </c>
      <c r="N3095" s="1" t="inlineStr">
        <is>
          <t>Algorithms</t>
        </is>
      </c>
      <c r="O30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95" s="11" t="inlineStr">
        <is>
          <t>To Do</t>
        </is>
      </c>
    </row>
    <row r="3096" ht="15.75" customHeight="1" s="12">
      <c r="A3096" s="1" t="n">
        <v>3900</v>
      </c>
      <c r="B3096" s="3">
        <f>HYPERLINK("https://leetcode.com/problems/longest-balanced-substring-after-one-swap/", "Longest Balanced Substring After One Swap")</f>
        <v/>
      </c>
      <c r="C3096" s="1" t="n">
        <v>118</v>
      </c>
      <c r="D3096" s="1" t="n">
        <v>9</v>
      </c>
      <c r="E3096" s="4">
        <f>IF(INDEX(C:C, ROW())+INDEX(D:D, ROW())=0, 0, INDEX(C:C, ROW())/(INDEX(C:C, ROW())+INDEX(D:D, ROW())))</f>
        <v/>
      </c>
      <c r="F3096" s="2" t="n"/>
      <c r="G3096" s="1" t="inlineStr">
        <is>
          <t>Medium</t>
        </is>
      </c>
      <c r="H3096" s="1" t="n">
        <v>9298</v>
      </c>
      <c r="I3096" s="1" t="n">
        <v>70750</v>
      </c>
      <c r="J3096" s="9" t="n">
        <v>0.131</v>
      </c>
      <c r="K3096" s="1" t="inlineStr">
        <is>
          <t>Yes</t>
        </is>
      </c>
      <c r="L3096" s="1" t="inlineStr">
        <is>
          <t>No</t>
        </is>
      </c>
      <c r="M3096" s="1" t="inlineStr">
        <is>
          <t>No</t>
        </is>
      </c>
      <c r="N3096" s="1" t="inlineStr">
        <is>
          <t>Algorithms</t>
        </is>
      </c>
      <c r="O30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96" s="11" t="inlineStr">
        <is>
          <t>To Do</t>
        </is>
      </c>
    </row>
    <row r="3097" ht="15.75" customHeight="1" s="12">
      <c r="A3097" s="1" t="n">
        <v>2142</v>
      </c>
      <c r="B3097" s="3">
        <f>HYPERLINK("https://leetcode.com/problems/the-number-of-passengers-in-each-bus-i/", "The Number of Passengers in Each Bus I")</f>
        <v/>
      </c>
      <c r="C3097" s="1" t="n">
        <v>117</v>
      </c>
      <c r="D3097" s="1" t="n">
        <v>12</v>
      </c>
      <c r="E3097" s="4">
        <f>IF(INDEX(C:C, ROW())+INDEX(D:D, ROW())=0, 0, INDEX(C:C, ROW())/(INDEX(C:C, ROW())+INDEX(D:D, ROW())))</f>
        <v/>
      </c>
      <c r="F3097" s="1" t="inlineStr">
        <is>
          <t>Database</t>
        </is>
      </c>
      <c r="G3097" s="1" t="inlineStr">
        <is>
          <t>Medium</t>
        </is>
      </c>
      <c r="H3097" s="1" t="n">
        <v>12161</v>
      </c>
      <c r="I3097" s="1" t="n">
        <v>24705</v>
      </c>
      <c r="J3097" s="9" t="n">
        <v>0.492</v>
      </c>
      <c r="K3097" s="1" t="inlineStr">
        <is>
          <t>No</t>
        </is>
      </c>
      <c r="L3097" s="1" t="inlineStr">
        <is>
          <t>No</t>
        </is>
      </c>
      <c r="M3097" s="1" t="inlineStr">
        <is>
          <t>No</t>
        </is>
      </c>
      <c r="N3097" s="1" t="inlineStr">
        <is>
          <t>Database</t>
        </is>
      </c>
      <c r="O30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97" s="11" t="inlineStr">
        <is>
          <t>To Do</t>
        </is>
      </c>
    </row>
    <row r="3098" ht="15.75" customHeight="1" s="12">
      <c r="A3098" s="1" t="n">
        <v>3242</v>
      </c>
      <c r="B3098" s="3">
        <f>HYPERLINK("https://leetcode.com/problems/design-neighbor-sum-service/", "Design Neighbor Sum Service")</f>
        <v/>
      </c>
      <c r="C3098" s="1" t="n">
        <v>117</v>
      </c>
      <c r="D3098" s="1" t="n">
        <v>19</v>
      </c>
      <c r="E3098" s="4">
        <f>IF(INDEX(C:C, ROW())+INDEX(D:D, ROW())=0, 0, INDEX(C:C, ROW())/(INDEX(C:C, ROW())+INDEX(D:D, ROW())))</f>
        <v/>
      </c>
      <c r="F3098" s="1" t="inlineStr">
        <is>
          <t>Array, Hash Table, Design, Matrix, Simulation</t>
        </is>
      </c>
      <c r="G3098" s="1" t="inlineStr">
        <is>
          <t>Easy</t>
        </is>
      </c>
      <c r="H3098" s="1" t="n">
        <v>47380</v>
      </c>
      <c r="I3098" s="1" t="n">
        <v>61907</v>
      </c>
      <c r="J3098" s="9" t="n">
        <v>0.765</v>
      </c>
      <c r="K3098" s="1" t="inlineStr">
        <is>
          <t>Yes</t>
        </is>
      </c>
      <c r="L3098" s="1" t="inlineStr">
        <is>
          <t>No</t>
        </is>
      </c>
      <c r="M3098" s="1" t="inlineStr">
        <is>
          <t>No</t>
        </is>
      </c>
      <c r="N3098" s="1" t="inlineStr">
        <is>
          <t>Algorithms</t>
        </is>
      </c>
      <c r="O30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98" s="13" t="inlineStr">
        <is>
          <t>Done</t>
        </is>
      </c>
    </row>
    <row r="3099" ht="15.75" customHeight="1" s="12">
      <c r="A3099" s="1" t="n">
        <v>3275</v>
      </c>
      <c r="B3099" s="3">
        <f>HYPERLINK("https://leetcode.com/problems/k-th-nearest-obstacle-queries/", "K-th Nearest Obstacle Queries")</f>
        <v/>
      </c>
      <c r="C3099" s="1" t="n">
        <v>117</v>
      </c>
      <c r="D3099" s="1" t="n">
        <v>17</v>
      </c>
      <c r="E3099" s="4">
        <f>IF(INDEX(C:C, ROW())+INDEX(D:D, ROW())=0, 0, INDEX(C:C, ROW())/(INDEX(C:C, ROW())+INDEX(D:D, ROW())))</f>
        <v/>
      </c>
      <c r="F3099" s="1" t="inlineStr">
        <is>
          <t>Array, Heap (Priority Queue)</t>
        </is>
      </c>
      <c r="G3099" s="1" t="inlineStr">
        <is>
          <t>Medium</t>
        </is>
      </c>
      <c r="H3099" s="1" t="n">
        <v>36427</v>
      </c>
      <c r="I3099" s="1" t="n">
        <v>74266</v>
      </c>
      <c r="J3099" s="9" t="n">
        <v>0.49</v>
      </c>
      <c r="K3099" s="1" t="inlineStr">
        <is>
          <t>Yes</t>
        </is>
      </c>
      <c r="L3099" s="1" t="inlineStr">
        <is>
          <t>No</t>
        </is>
      </c>
      <c r="M3099" s="1" t="inlineStr">
        <is>
          <t>No</t>
        </is>
      </c>
      <c r="N3099" s="1" t="inlineStr">
        <is>
          <t>Algorithms</t>
        </is>
      </c>
      <c r="O30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099" s="11" t="inlineStr">
        <is>
          <t>To Do</t>
        </is>
      </c>
    </row>
    <row r="3100" ht="15.75" customHeight="1" s="12">
      <c r="A3100" s="1" t="n">
        <v>3537</v>
      </c>
      <c r="B3100" s="3">
        <f>HYPERLINK("https://leetcode.com/problems/fill-a-special-grid/", "Fill a Special Grid")</f>
        <v/>
      </c>
      <c r="C3100" s="1" t="n">
        <v>117</v>
      </c>
      <c r="D3100" s="1" t="n">
        <v>9</v>
      </c>
      <c r="E3100" s="4">
        <f>IF(INDEX(C:C, ROW())+INDEX(D:D, ROW())=0, 0, INDEX(C:C, ROW())/(INDEX(C:C, ROW())+INDEX(D:D, ROW())))</f>
        <v/>
      </c>
      <c r="F3100" s="1" t="inlineStr">
        <is>
          <t>Array, Divide and Conquer, Matrix</t>
        </is>
      </c>
      <c r="G3100" s="1" t="inlineStr">
        <is>
          <t>Medium</t>
        </is>
      </c>
      <c r="H3100" s="1" t="n">
        <v>21229</v>
      </c>
      <c r="I3100" s="1" t="n">
        <v>29934</v>
      </c>
      <c r="J3100" s="9" t="n">
        <v>0.709</v>
      </c>
      <c r="K3100" s="1" t="inlineStr">
        <is>
          <t>Yes</t>
        </is>
      </c>
      <c r="L3100" s="1" t="inlineStr">
        <is>
          <t>No</t>
        </is>
      </c>
      <c r="M3100" s="1" t="inlineStr">
        <is>
          <t>No</t>
        </is>
      </c>
      <c r="N3100" s="1" t="inlineStr">
        <is>
          <t>Algorithms</t>
        </is>
      </c>
      <c r="O31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00" s="11" t="inlineStr">
        <is>
          <t>To Do</t>
        </is>
      </c>
    </row>
    <row r="3101" ht="15.75" customHeight="1" s="12">
      <c r="A3101" s="1" t="n">
        <v>3309</v>
      </c>
      <c r="B3101" s="3">
        <f>HYPERLINK("https://leetcode.com/problems/maximum-possible-number-by-binary-concatenation/", "Maximum Possible Number by Binary Concatenation")</f>
        <v/>
      </c>
      <c r="C3101" s="1" t="n">
        <v>116</v>
      </c>
      <c r="D3101" s="1" t="n">
        <v>7</v>
      </c>
      <c r="E3101" s="4">
        <f>IF(INDEX(C:C, ROW())+INDEX(D:D, ROW())=0, 0, INDEX(C:C, ROW())/(INDEX(C:C, ROW())+INDEX(D:D, ROW())))</f>
        <v/>
      </c>
      <c r="F3101" s="1" t="inlineStr">
        <is>
          <t>Array, Bit Manipulation, Enumeration</t>
        </is>
      </c>
      <c r="G3101" s="1" t="inlineStr">
        <is>
          <t>Medium</t>
        </is>
      </c>
      <c r="H3101" s="1" t="n">
        <v>37298</v>
      </c>
      <c r="I3101" s="1" t="n">
        <v>56940</v>
      </c>
      <c r="J3101" s="9" t="n">
        <v>0.655</v>
      </c>
      <c r="K3101" s="1" t="inlineStr">
        <is>
          <t>Yes</t>
        </is>
      </c>
      <c r="L3101" s="1" t="inlineStr">
        <is>
          <t>No</t>
        </is>
      </c>
      <c r="M3101" s="1" t="inlineStr">
        <is>
          <t>No</t>
        </is>
      </c>
      <c r="N3101" s="1" t="inlineStr">
        <is>
          <t>Algorithms</t>
        </is>
      </c>
      <c r="O31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01" s="11" t="inlineStr">
        <is>
          <t>To Do</t>
        </is>
      </c>
    </row>
    <row r="3102" ht="15.75" customHeight="1" s="12">
      <c r="A3102" s="1" t="n">
        <v>3659</v>
      </c>
      <c r="B3102" s="3">
        <f>HYPERLINK("https://leetcode.com/problems/partition-array-into-k-distinct-groups/", "Partition Array Into K-Distinct Groups")</f>
        <v/>
      </c>
      <c r="C3102" s="1" t="n">
        <v>116</v>
      </c>
      <c r="D3102" s="1" t="n">
        <v>73</v>
      </c>
      <c r="E3102" s="4">
        <f>IF(INDEX(C:C, ROW())+INDEX(D:D, ROW())=0, 0, INDEX(C:C, ROW())/(INDEX(C:C, ROW())+INDEX(D:D, ROW())))</f>
        <v/>
      </c>
      <c r="F3102" s="1" t="inlineStr">
        <is>
          <t>Array, Hash Table, Counting</t>
        </is>
      </c>
      <c r="G3102" s="1" t="inlineStr">
        <is>
          <t>Medium</t>
        </is>
      </c>
      <c r="H3102" s="1" t="n">
        <v>54673</v>
      </c>
      <c r="I3102" s="1" t="n">
        <v>115992</v>
      </c>
      <c r="J3102" s="9" t="n">
        <v>0.471</v>
      </c>
      <c r="K3102" s="1" t="inlineStr">
        <is>
          <t>Yes</t>
        </is>
      </c>
      <c r="L3102" s="1" t="inlineStr">
        <is>
          <t>No</t>
        </is>
      </c>
      <c r="M3102" s="1" t="inlineStr">
        <is>
          <t>No</t>
        </is>
      </c>
      <c r="N3102" s="1" t="inlineStr">
        <is>
          <t>Algorithms</t>
        </is>
      </c>
      <c r="O31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02" s="11" t="inlineStr">
        <is>
          <t>To Do</t>
        </is>
      </c>
    </row>
    <row r="3103" ht="15.75" customHeight="1" s="12">
      <c r="A3103" s="1" t="n">
        <v>3776</v>
      </c>
      <c r="B3103" s="3">
        <f>HYPERLINK("https://leetcode.com/problems/minimum-moves-to-balance-circular-array/", "Minimum Moves to Balance Circular Array")</f>
        <v/>
      </c>
      <c r="C3103" s="1" t="n">
        <v>116</v>
      </c>
      <c r="D3103" s="1" t="n">
        <v>8</v>
      </c>
      <c r="E3103" s="4">
        <f>IF(INDEX(C:C, ROW())+INDEX(D:D, ROW())=0, 0, INDEX(C:C, ROW())/(INDEX(C:C, ROW())+INDEX(D:D, ROW())))</f>
        <v/>
      </c>
      <c r="F3103" s="1" t="inlineStr">
        <is>
          <t>Array, Greedy, Sorting</t>
        </is>
      </c>
      <c r="G3103" s="1" t="inlineStr">
        <is>
          <t>Medium</t>
        </is>
      </c>
      <c r="H3103" s="1" t="n">
        <v>21143</v>
      </c>
      <c r="I3103" s="1" t="n">
        <v>52485</v>
      </c>
      <c r="J3103" s="9" t="n">
        <v>0.403</v>
      </c>
      <c r="K3103" s="1" t="inlineStr">
        <is>
          <t>Yes</t>
        </is>
      </c>
      <c r="L3103" s="1" t="inlineStr">
        <is>
          <t>No</t>
        </is>
      </c>
      <c r="M3103" s="1" t="inlineStr">
        <is>
          <t>No</t>
        </is>
      </c>
      <c r="N3103" s="1" t="inlineStr">
        <is>
          <t>Algorithms</t>
        </is>
      </c>
      <c r="O31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03" s="11" t="inlineStr">
        <is>
          <t>To Do</t>
        </is>
      </c>
    </row>
    <row r="3104" ht="15.75" customHeight="1" s="12">
      <c r="A3104" s="1" t="n">
        <v>3210</v>
      </c>
      <c r="B3104" s="3">
        <f>HYPERLINK("https://leetcode.com/problems/find-the-encrypted-string/", "Find the Encrypted String")</f>
        <v/>
      </c>
      <c r="C3104" s="1" t="n">
        <v>115</v>
      </c>
      <c r="D3104" s="1" t="n">
        <v>10</v>
      </c>
      <c r="E3104" s="4">
        <f>IF(INDEX(C:C, ROW())+INDEX(D:D, ROW())=0, 0, INDEX(C:C, ROW())/(INDEX(C:C, ROW())+INDEX(D:D, ROW())))</f>
        <v/>
      </c>
      <c r="F3104" s="1" t="inlineStr">
        <is>
          <t>String</t>
        </is>
      </c>
      <c r="G3104" s="1" t="inlineStr">
        <is>
          <t>Easy</t>
        </is>
      </c>
      <c r="H3104" s="1" t="n">
        <v>68481</v>
      </c>
      <c r="I3104" s="1" t="n">
        <v>100386</v>
      </c>
      <c r="J3104" s="9" t="n">
        <v>0.6820000000000001</v>
      </c>
      <c r="K3104" s="1" t="inlineStr">
        <is>
          <t>Yes</t>
        </is>
      </c>
      <c r="L3104" s="1" t="inlineStr">
        <is>
          <t>No</t>
        </is>
      </c>
      <c r="M3104" s="1" t="inlineStr">
        <is>
          <t>No</t>
        </is>
      </c>
      <c r="N3104" s="1" t="inlineStr">
        <is>
          <t>Algorithms</t>
        </is>
      </c>
      <c r="O31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04" s="13" t="inlineStr">
        <is>
          <t>Done</t>
        </is>
      </c>
    </row>
    <row r="3105" ht="15.75" customHeight="1" s="12">
      <c r="A3105" s="1" t="n">
        <v>3720</v>
      </c>
      <c r="B3105" s="3">
        <f>HYPERLINK("https://leetcode.com/problems/lexicographically-smallest-permutation-greater-than-target/", "Lexicographically Smallest Permutation Greater Than Target")</f>
        <v/>
      </c>
      <c r="C3105" s="1" t="n">
        <v>115</v>
      </c>
      <c r="D3105" s="1" t="n">
        <v>7</v>
      </c>
      <c r="E3105" s="4">
        <f>IF(INDEX(C:C, ROW())+INDEX(D:D, ROW())=0, 0, INDEX(C:C, ROW())/(INDEX(C:C, ROW())+INDEX(D:D, ROW())))</f>
        <v/>
      </c>
      <c r="F3105" s="1" t="inlineStr">
        <is>
          <t>Hash Table, String, Greedy, Counting, Enumeration</t>
        </is>
      </c>
      <c r="G3105" s="1" t="inlineStr">
        <is>
          <t>Medium</t>
        </is>
      </c>
      <c r="H3105" s="1" t="n">
        <v>12922</v>
      </c>
      <c r="I3105" s="1" t="n">
        <v>48434</v>
      </c>
      <c r="J3105" s="9" t="n">
        <v>0.267</v>
      </c>
      <c r="K3105" s="1" t="inlineStr">
        <is>
          <t>Yes</t>
        </is>
      </c>
      <c r="L3105" s="1" t="inlineStr">
        <is>
          <t>No</t>
        </is>
      </c>
      <c r="M3105" s="1" t="inlineStr">
        <is>
          <t>No</t>
        </is>
      </c>
      <c r="N3105" s="1" t="inlineStr">
        <is>
          <t>Algorithms</t>
        </is>
      </c>
      <c r="O31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05" s="11" t="inlineStr">
        <is>
          <t>To Do</t>
        </is>
      </c>
    </row>
    <row r="3106" ht="15.75" customHeight="1" s="12">
      <c r="A3106" s="1" t="n">
        <v>1618</v>
      </c>
      <c r="B3106" s="3">
        <f>HYPERLINK("https://leetcode.com/problems/maximum-font-to-fit-a-sentence-in-a-screen/", "Maximum Font to Fit a Sentence in a Screen")</f>
        <v/>
      </c>
      <c r="C3106" s="1" t="n">
        <v>114</v>
      </c>
      <c r="D3106" s="1" t="n">
        <v>22</v>
      </c>
      <c r="E3106" s="4">
        <f>IF(INDEX(C:C, ROW())+INDEX(D:D, ROW())=0, 0, INDEX(C:C, ROW())/(INDEX(C:C, ROW())+INDEX(D:D, ROW())))</f>
        <v/>
      </c>
      <c r="F3106" s="1" t="inlineStr">
        <is>
          <t>Array, String, Binary Search, Interactive</t>
        </is>
      </c>
      <c r="G3106" s="1" t="inlineStr">
        <is>
          <t>Medium</t>
        </is>
      </c>
      <c r="H3106" s="1" t="n">
        <v>7557</v>
      </c>
      <c r="I3106" s="1" t="n">
        <v>12176</v>
      </c>
      <c r="J3106" s="9" t="n">
        <v>0.621</v>
      </c>
      <c r="K3106" s="1" t="inlineStr">
        <is>
          <t>No</t>
        </is>
      </c>
      <c r="L3106" s="1" t="inlineStr">
        <is>
          <t>No</t>
        </is>
      </c>
      <c r="M3106" s="1" t="inlineStr">
        <is>
          <t>No</t>
        </is>
      </c>
      <c r="N3106" s="1" t="inlineStr">
        <is>
          <t>Algorithms</t>
        </is>
      </c>
      <c r="O31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06" s="11" t="inlineStr">
        <is>
          <t>To Do</t>
        </is>
      </c>
    </row>
    <row r="3107" ht="15.75" customHeight="1" s="12">
      <c r="A3107" s="1" t="n">
        <v>1841</v>
      </c>
      <c r="B3107" s="3">
        <f>HYPERLINK("https://leetcode.com/problems/league-statistics/", "League Statistics")</f>
        <v/>
      </c>
      <c r="C3107" s="1" t="n">
        <v>114</v>
      </c>
      <c r="D3107" s="1" t="n">
        <v>98</v>
      </c>
      <c r="E3107" s="4">
        <f>IF(INDEX(C:C, ROW())+INDEX(D:D, ROW())=0, 0, INDEX(C:C, ROW())/(INDEX(C:C, ROW())+INDEX(D:D, ROW())))</f>
        <v/>
      </c>
      <c r="F3107" s="1" t="inlineStr">
        <is>
          <t>Database</t>
        </is>
      </c>
      <c r="G3107" s="1" t="inlineStr">
        <is>
          <t>Medium</t>
        </is>
      </c>
      <c r="H3107" s="1" t="n">
        <v>16511</v>
      </c>
      <c r="I3107" s="1" t="n">
        <v>30858</v>
      </c>
      <c r="J3107" s="9" t="n">
        <v>0.535</v>
      </c>
      <c r="K3107" s="1" t="inlineStr">
        <is>
          <t>No</t>
        </is>
      </c>
      <c r="L3107" s="1" t="inlineStr">
        <is>
          <t>Yes</t>
        </is>
      </c>
      <c r="M3107" s="1" t="inlineStr">
        <is>
          <t>No</t>
        </is>
      </c>
      <c r="N3107" s="1" t="inlineStr">
        <is>
          <t>Database</t>
        </is>
      </c>
      <c r="O31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07" s="11" t="inlineStr">
        <is>
          <t>To Do</t>
        </is>
      </c>
    </row>
    <row r="3108" ht="15.75" customHeight="1" s="12">
      <c r="A3108" s="1" t="n">
        <v>3142</v>
      </c>
      <c r="B3108" s="3">
        <f>HYPERLINK("https://leetcode.com/problems/check-if-grid-satisfies-conditions/", "Check if Grid Satisfies Conditions")</f>
        <v/>
      </c>
      <c r="C3108" s="1" t="n">
        <v>114</v>
      </c>
      <c r="D3108" s="1" t="n">
        <v>6</v>
      </c>
      <c r="E3108" s="4">
        <f>IF(INDEX(C:C, ROW())+INDEX(D:D, ROW())=0, 0, INDEX(C:C, ROW())/(INDEX(C:C, ROW())+INDEX(D:D, ROW())))</f>
        <v/>
      </c>
      <c r="F3108" s="1" t="inlineStr">
        <is>
          <t>Array, Matrix</t>
        </is>
      </c>
      <c r="G3108" s="1" t="inlineStr">
        <is>
          <t>Easy</t>
        </is>
      </c>
      <c r="H3108" s="1" t="n">
        <v>45895</v>
      </c>
      <c r="I3108" s="1" t="n">
        <v>101431</v>
      </c>
      <c r="J3108" s="9" t="n">
        <v>0.452</v>
      </c>
      <c r="K3108" s="1" t="inlineStr">
        <is>
          <t>Yes</t>
        </is>
      </c>
      <c r="L3108" s="1" t="inlineStr">
        <is>
          <t>No</t>
        </is>
      </c>
      <c r="M3108" s="1" t="inlineStr">
        <is>
          <t>No</t>
        </is>
      </c>
      <c r="N3108" s="1" t="inlineStr">
        <is>
          <t>Algorithms</t>
        </is>
      </c>
      <c r="O31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08" s="13" t="inlineStr">
        <is>
          <t>Done</t>
        </is>
      </c>
    </row>
    <row r="3109" ht="15.75" customHeight="1" s="12">
      <c r="A3109" s="1" t="n">
        <v>3599</v>
      </c>
      <c r="B3109" s="3">
        <f>HYPERLINK("https://leetcode.com/problems/partition-array-to-minimize-xor/", "Partition Array to Minimize XOR")</f>
        <v/>
      </c>
      <c r="C3109" s="1" t="n">
        <v>114</v>
      </c>
      <c r="D3109" s="1" t="n">
        <v>7</v>
      </c>
      <c r="E3109" s="4">
        <f>IF(INDEX(C:C, ROW())+INDEX(D:D, ROW())=0, 0, INDEX(C:C, ROW())/(INDEX(C:C, ROW())+INDEX(D:D, ROW())))</f>
        <v/>
      </c>
      <c r="F3109" s="1" t="inlineStr">
        <is>
          <t>Array, Dynamic Programming, Bit Manipulation, Prefix Sum</t>
        </is>
      </c>
      <c r="G3109" s="1" t="inlineStr">
        <is>
          <t>Medium</t>
        </is>
      </c>
      <c r="H3109" s="1" t="n">
        <v>14454</v>
      </c>
      <c r="I3109" s="1" t="n">
        <v>34959</v>
      </c>
      <c r="J3109" s="9" t="n">
        <v>0.413</v>
      </c>
      <c r="K3109" s="1" t="inlineStr">
        <is>
          <t>Yes</t>
        </is>
      </c>
      <c r="L3109" s="1" t="inlineStr">
        <is>
          <t>No</t>
        </is>
      </c>
      <c r="M3109" s="1" t="inlineStr">
        <is>
          <t>No</t>
        </is>
      </c>
      <c r="N3109" s="1" t="inlineStr">
        <is>
          <t>Algorithms</t>
        </is>
      </c>
      <c r="O31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09" s="11" t="inlineStr">
        <is>
          <t>To Do</t>
        </is>
      </c>
    </row>
    <row r="3110" ht="15.75" customHeight="1" s="12">
      <c r="A3110" s="1" t="n">
        <v>2519</v>
      </c>
      <c r="B3110" s="3">
        <f>HYPERLINK("https://leetcode.com/problems/count-the-number-of-k-big-indices/", "Count the Number of K-Big Indices")</f>
        <v/>
      </c>
      <c r="C3110" s="1" t="n">
        <v>113</v>
      </c>
      <c r="D3110" s="1" t="n">
        <v>24</v>
      </c>
      <c r="E3110" s="4">
        <f>IF(INDEX(C:C, ROW())+INDEX(D:D, ROW())=0, 0, INDEX(C:C, ROW())/(INDEX(C:C, ROW())+INDEX(D:D, ROW())))</f>
        <v/>
      </c>
      <c r="F3110" s="1" t="inlineStr">
        <is>
          <t>Array, Binary Search, Divide and Conquer, Binary Indexed Tree, Segment Tree, Merge Sort, Ordered Set</t>
        </is>
      </c>
      <c r="G3110" s="1" t="inlineStr">
        <is>
          <t>Hard</t>
        </is>
      </c>
      <c r="H3110" s="1" t="n">
        <v>9753</v>
      </c>
      <c r="I3110" s="1" t="n">
        <v>18180</v>
      </c>
      <c r="J3110" s="9" t="n">
        <v>0.536</v>
      </c>
      <c r="K3110" s="1" t="inlineStr">
        <is>
          <t>No</t>
        </is>
      </c>
      <c r="L3110" s="1" t="inlineStr">
        <is>
          <t>No</t>
        </is>
      </c>
      <c r="M3110" s="1" t="inlineStr">
        <is>
          <t>No</t>
        </is>
      </c>
      <c r="N3110" s="1" t="inlineStr">
        <is>
          <t>Algorithms</t>
        </is>
      </c>
      <c r="O31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10" s="11" t="inlineStr">
        <is>
          <t>To Do</t>
        </is>
      </c>
    </row>
    <row r="3111" ht="15.75" customHeight="1" s="12">
      <c r="A3111" s="1" t="n">
        <v>2890</v>
      </c>
      <c r="B3111" s="3">
        <f>HYPERLINK("https://leetcode.com/problems/reshape-data-melt/", "Reshape Data: Melt")</f>
        <v/>
      </c>
      <c r="C3111" s="1" t="n">
        <v>113</v>
      </c>
      <c r="D3111" s="1" t="n">
        <v>4</v>
      </c>
      <c r="E3111" s="4">
        <f>IF(INDEX(C:C, ROW())+INDEX(D:D, ROW())=0, 0, INDEX(C:C, ROW())/(INDEX(C:C, ROW())+INDEX(D:D, ROW())))</f>
        <v/>
      </c>
      <c r="F3111" s="2" t="n"/>
      <c r="G3111" s="1" t="inlineStr">
        <is>
          <t>Easy</t>
        </is>
      </c>
      <c r="H3111" s="1" t="n">
        <v>98421</v>
      </c>
      <c r="I3111" s="1" t="n">
        <v>114578</v>
      </c>
      <c r="J3111" s="9" t="n">
        <v>0.859</v>
      </c>
      <c r="K3111" s="1" t="inlineStr">
        <is>
          <t>Yes</t>
        </is>
      </c>
      <c r="L3111" s="1" t="inlineStr">
        <is>
          <t>Yes</t>
        </is>
      </c>
      <c r="M3111" s="1" t="inlineStr">
        <is>
          <t>No</t>
        </is>
      </c>
      <c r="N3111" s="1" t="inlineStr">
        <is>
          <t>pandas</t>
        </is>
      </c>
      <c r="O31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11" s="13" t="inlineStr">
        <is>
          <t>Done</t>
        </is>
      </c>
    </row>
    <row r="3112" ht="15.75" customHeight="1" s="12">
      <c r="A3112" s="1" t="n">
        <v>3427</v>
      </c>
      <c r="B3112" s="3">
        <f>HYPERLINK("https://leetcode.com/problems/sum-of-variable-length-subarrays/", "Sum of Variable Length Subarrays")</f>
        <v/>
      </c>
      <c r="C3112" s="1" t="n">
        <v>113</v>
      </c>
      <c r="D3112" s="1" t="n">
        <v>32</v>
      </c>
      <c r="E3112" s="4">
        <f>IF(INDEX(C:C, ROW())+INDEX(D:D, ROW())=0, 0, INDEX(C:C, ROW())/(INDEX(C:C, ROW())+INDEX(D:D, ROW())))</f>
        <v/>
      </c>
      <c r="F3112" s="1" t="inlineStr">
        <is>
          <t>Array, Prefix Sum</t>
        </is>
      </c>
      <c r="G3112" s="1" t="inlineStr">
        <is>
          <t>Easy</t>
        </is>
      </c>
      <c r="H3112" s="1" t="n">
        <v>58301</v>
      </c>
      <c r="I3112" s="1" t="n">
        <v>68137</v>
      </c>
      <c r="J3112" s="9" t="n">
        <v>0.856</v>
      </c>
      <c r="K3112" s="1" t="inlineStr">
        <is>
          <t>Yes</t>
        </is>
      </c>
      <c r="L3112" s="1" t="inlineStr">
        <is>
          <t>No</t>
        </is>
      </c>
      <c r="M3112" s="1" t="inlineStr">
        <is>
          <t>No</t>
        </is>
      </c>
      <c r="N3112" s="1" t="inlineStr">
        <is>
          <t>Algorithms</t>
        </is>
      </c>
      <c r="O31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12" s="13" t="inlineStr">
        <is>
          <t>Done</t>
        </is>
      </c>
    </row>
    <row r="3113" ht="15.75" customHeight="1" s="12">
      <c r="A3113" s="1" t="n">
        <v>3471</v>
      </c>
      <c r="B3113" s="3">
        <f>HYPERLINK("https://leetcode.com/problems/find-the-largest-almost-missing-integer/", "Find the Largest Almost Missing Integer")</f>
        <v/>
      </c>
      <c r="C3113" s="1" t="n">
        <v>113</v>
      </c>
      <c r="D3113" s="1" t="n">
        <v>45</v>
      </c>
      <c r="E3113" s="4">
        <f>IF(INDEX(C:C, ROW())+INDEX(D:D, ROW())=0, 0, INDEX(C:C, ROW())/(INDEX(C:C, ROW())+INDEX(D:D, ROW())))</f>
        <v/>
      </c>
      <c r="F3113" s="1" t="inlineStr">
        <is>
          <t>Array, Hash Table</t>
        </is>
      </c>
      <c r="G3113" s="1" t="inlineStr">
        <is>
          <t>Easy</t>
        </is>
      </c>
      <c r="H3113" s="1" t="n">
        <v>36469</v>
      </c>
      <c r="I3113" s="1" t="n">
        <v>97880</v>
      </c>
      <c r="J3113" s="9" t="n">
        <v>0.373</v>
      </c>
      <c r="K3113" s="1" t="inlineStr">
        <is>
          <t>Yes</t>
        </is>
      </c>
      <c r="L3113" s="1" t="inlineStr">
        <is>
          <t>No</t>
        </is>
      </c>
      <c r="M3113" s="1" t="inlineStr">
        <is>
          <t>No</t>
        </is>
      </c>
      <c r="N3113" s="1" t="inlineStr">
        <is>
          <t>Algorithms</t>
        </is>
      </c>
      <c r="O31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13" s="13" t="inlineStr">
        <is>
          <t>Done</t>
        </is>
      </c>
    </row>
    <row r="3114" ht="15.75" customHeight="1" s="12">
      <c r="A3114" s="1" t="n">
        <v>3828</v>
      </c>
      <c r="B3114" s="3">
        <f>HYPERLINK("https://leetcode.com/problems/final-element-after-subarray-deletions/", "Final Element After Subarray Deletions")</f>
        <v/>
      </c>
      <c r="C3114" s="1" t="n">
        <v>113</v>
      </c>
      <c r="D3114" s="1" t="n">
        <v>22</v>
      </c>
      <c r="E3114" s="4">
        <f>IF(INDEX(C:C, ROW())+INDEX(D:D, ROW())=0, 0, INDEX(C:C, ROW())/(INDEX(C:C, ROW())+INDEX(D:D, ROW())))</f>
        <v/>
      </c>
      <c r="F3114" s="1" t="inlineStr">
        <is>
          <t>Array, Math, Brainteaser, Game Theory</t>
        </is>
      </c>
      <c r="G3114" s="1" t="inlineStr">
        <is>
          <t>Medium</t>
        </is>
      </c>
      <c r="H3114" s="1" t="n">
        <v>32047</v>
      </c>
      <c r="I3114" s="1" t="n">
        <v>79126</v>
      </c>
      <c r="J3114" s="9" t="n">
        <v>0.405</v>
      </c>
      <c r="K3114" s="1" t="inlineStr">
        <is>
          <t>Yes</t>
        </is>
      </c>
      <c r="L3114" s="1" t="inlineStr">
        <is>
          <t>No</t>
        </is>
      </c>
      <c r="M3114" s="1" t="inlineStr">
        <is>
          <t>No</t>
        </is>
      </c>
      <c r="N3114" s="1" t="inlineStr">
        <is>
          <t>Algorithms</t>
        </is>
      </c>
      <c r="O31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14" s="11" t="inlineStr">
        <is>
          <t>To Do</t>
        </is>
      </c>
    </row>
    <row r="3115" ht="15.75" customHeight="1" s="12">
      <c r="A3115" s="1" t="n">
        <v>800</v>
      </c>
      <c r="B3115" s="3">
        <f>HYPERLINK("https://leetcode.com/problems/similar-rgb-color/", "Similar RGB Color")</f>
        <v/>
      </c>
      <c r="C3115" s="1" t="n">
        <v>112</v>
      </c>
      <c r="D3115" s="1" t="n">
        <v>692</v>
      </c>
      <c r="E3115" s="4">
        <f>IF(INDEX(C:C, ROW())+INDEX(D:D, ROW())=0, 0, INDEX(C:C, ROW())/(INDEX(C:C, ROW())+INDEX(D:D, ROW())))</f>
        <v/>
      </c>
      <c r="F3115" s="1" t="inlineStr">
        <is>
          <t>Math, String, Enumeration</t>
        </is>
      </c>
      <c r="G3115" s="1" t="inlineStr">
        <is>
          <t>Easy</t>
        </is>
      </c>
      <c r="H3115" s="1" t="n">
        <v>18535</v>
      </c>
      <c r="I3115" s="1" t="n">
        <v>27279</v>
      </c>
      <c r="J3115" s="9" t="n">
        <v>0.679</v>
      </c>
      <c r="K3115" s="1" t="inlineStr">
        <is>
          <t>No</t>
        </is>
      </c>
      <c r="L3115" s="1" t="inlineStr">
        <is>
          <t>Yes</t>
        </is>
      </c>
      <c r="M3115" s="1" t="inlineStr">
        <is>
          <t>No</t>
        </is>
      </c>
      <c r="N3115" s="1" t="inlineStr">
        <is>
          <t>Algorithms</t>
        </is>
      </c>
      <c r="O31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15" s="11" t="inlineStr">
        <is>
          <t>To Do</t>
        </is>
      </c>
    </row>
    <row r="3116" ht="15.75" customHeight="1" s="12">
      <c r="A3116" s="1" t="n">
        <v>2067</v>
      </c>
      <c r="B3116" s="3">
        <f>HYPERLINK("https://leetcode.com/problems/number-of-equal-count-substrings/", "Number of Equal Count Substrings")</f>
        <v/>
      </c>
      <c r="C3116" s="1" t="n">
        <v>112</v>
      </c>
      <c r="D3116" s="1" t="n">
        <v>11</v>
      </c>
      <c r="E3116" s="4">
        <f>IF(INDEX(C:C, ROW())+INDEX(D:D, ROW())=0, 0, INDEX(C:C, ROW())/(INDEX(C:C, ROW())+INDEX(D:D, ROW())))</f>
        <v/>
      </c>
      <c r="F3116" s="1" t="inlineStr">
        <is>
          <t>Hash Table, String, Sliding Window, Counting</t>
        </is>
      </c>
      <c r="G3116" s="1" t="inlineStr">
        <is>
          <t>Medium</t>
        </is>
      </c>
      <c r="H3116" s="1" t="n">
        <v>4085</v>
      </c>
      <c r="I3116" s="1" t="n">
        <v>8975</v>
      </c>
      <c r="J3116" s="9" t="n">
        <v>0.455</v>
      </c>
      <c r="K3116" s="1" t="inlineStr">
        <is>
          <t>No</t>
        </is>
      </c>
      <c r="L3116" s="1" t="inlineStr">
        <is>
          <t>No</t>
        </is>
      </c>
      <c r="M3116" s="1" t="inlineStr">
        <is>
          <t>No</t>
        </is>
      </c>
      <c r="N3116" s="1" t="inlineStr">
        <is>
          <t>Algorithms</t>
        </is>
      </c>
      <c r="O31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16" s="11" t="inlineStr">
        <is>
          <t>To Do</t>
        </is>
      </c>
    </row>
    <row r="3117" ht="15.75" customHeight="1" s="12">
      <c r="A3117" s="1" t="n">
        <v>2313</v>
      </c>
      <c r="B3117" s="3">
        <f>HYPERLINK("https://leetcode.com/problems/minimum-flips-in-binary-tree-to-get-result/", "Minimum Flips in Binary Tree to Get Result")</f>
        <v/>
      </c>
      <c r="C3117" s="1" t="n">
        <v>112</v>
      </c>
      <c r="D3117" s="1" t="n">
        <v>2</v>
      </c>
      <c r="E3117" s="4">
        <f>IF(INDEX(C:C, ROW())+INDEX(D:D, ROW())=0, 0, INDEX(C:C, ROW())/(INDEX(C:C, ROW())+INDEX(D:D, ROW())))</f>
        <v/>
      </c>
      <c r="F3117" s="1" t="inlineStr">
        <is>
          <t>Dynamic Programming, Tree, Depth-First Search, Binary Tree</t>
        </is>
      </c>
      <c r="G3117" s="1" t="inlineStr">
        <is>
          <t>Hard</t>
        </is>
      </c>
      <c r="H3117" s="1" t="n">
        <v>5138</v>
      </c>
      <c r="I3117" s="1" t="n">
        <v>9043</v>
      </c>
      <c r="J3117" s="9" t="n">
        <v>0.5679999999999999</v>
      </c>
      <c r="K3117" s="1" t="inlineStr">
        <is>
          <t>No</t>
        </is>
      </c>
      <c r="L3117" s="1" t="inlineStr">
        <is>
          <t>No</t>
        </is>
      </c>
      <c r="M3117" s="1" t="inlineStr">
        <is>
          <t>No</t>
        </is>
      </c>
      <c r="N3117" s="1" t="inlineStr">
        <is>
          <t>Algorithms</t>
        </is>
      </c>
      <c r="O31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17" s="11" t="inlineStr">
        <is>
          <t>To Do</t>
        </is>
      </c>
    </row>
    <row r="3118" ht="15.75" customHeight="1" s="12">
      <c r="A3118" s="1" t="n">
        <v>3083</v>
      </c>
      <c r="B3118" s="3">
        <f>HYPERLINK("https://leetcode.com/problems/existence-of-a-substring-in-a-string-and-its-reverse/", "Existence of a Substring in a String and Its Reverse")</f>
        <v/>
      </c>
      <c r="C3118" s="1" t="n">
        <v>112</v>
      </c>
      <c r="D3118" s="1" t="n">
        <v>1</v>
      </c>
      <c r="E3118" s="4">
        <f>IF(INDEX(C:C, ROW())+INDEX(D:D, ROW())=0, 0, INDEX(C:C, ROW())/(INDEX(C:C, ROW())+INDEX(D:D, ROW())))</f>
        <v/>
      </c>
      <c r="F3118" s="1" t="inlineStr">
        <is>
          <t>Hash Table, String</t>
        </is>
      </c>
      <c r="G3118" s="1" t="inlineStr">
        <is>
          <t>Easy</t>
        </is>
      </c>
      <c r="H3118" s="1" t="n">
        <v>57029</v>
      </c>
      <c r="I3118" s="1" t="n">
        <v>85761</v>
      </c>
      <c r="J3118" s="9" t="n">
        <v>0.665</v>
      </c>
      <c r="K3118" s="1" t="inlineStr">
        <is>
          <t>Yes</t>
        </is>
      </c>
      <c r="L3118" s="1" t="inlineStr">
        <is>
          <t>No</t>
        </is>
      </c>
      <c r="M3118" s="1" t="inlineStr">
        <is>
          <t>No</t>
        </is>
      </c>
      <c r="N3118" s="1" t="inlineStr">
        <is>
          <t>Algorithms</t>
        </is>
      </c>
      <c r="O31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18" s="13" t="inlineStr">
        <is>
          <t>Done</t>
        </is>
      </c>
    </row>
    <row r="3119" ht="15.75" customHeight="1" s="12">
      <c r="A3119" s="1" t="n">
        <v>3532</v>
      </c>
      <c r="B3119" s="3">
        <f>HYPERLINK("https://leetcode.com/problems/path-existence-queries-in-a-graph-i/", "Path Existence Queries in a Graph I")</f>
        <v/>
      </c>
      <c r="C3119" s="1" t="n">
        <v>112</v>
      </c>
      <c r="D3119" s="1" t="n">
        <v>5</v>
      </c>
      <c r="E3119" s="4">
        <f>IF(INDEX(C:C, ROW())+INDEX(D:D, ROW())=0, 0, INDEX(C:C, ROW())/(INDEX(C:C, ROW())+INDEX(D:D, ROW())))</f>
        <v/>
      </c>
      <c r="F3119" s="1" t="inlineStr">
        <is>
          <t>Array, Hash Table, Binary Search, Union-Find, Graph Theory</t>
        </is>
      </c>
      <c r="G3119" s="1" t="inlineStr">
        <is>
          <t>Medium</t>
        </is>
      </c>
      <c r="H3119" s="1" t="n">
        <v>22455</v>
      </c>
      <c r="I3119" s="1" t="n">
        <v>40513</v>
      </c>
      <c r="J3119" s="9" t="n">
        <v>0.554</v>
      </c>
      <c r="K3119" s="1" t="inlineStr">
        <is>
          <t>Yes</t>
        </is>
      </c>
      <c r="L3119" s="1" t="inlineStr">
        <is>
          <t>No</t>
        </is>
      </c>
      <c r="M3119" s="1" t="inlineStr">
        <is>
          <t>No</t>
        </is>
      </c>
      <c r="N3119" s="1" t="inlineStr">
        <is>
          <t>Algorithms</t>
        </is>
      </c>
      <c r="O31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19" s="11" t="inlineStr">
        <is>
          <t>To Do</t>
        </is>
      </c>
    </row>
    <row r="3120" ht="15.75" customHeight="1" s="12">
      <c r="A3120" s="1" t="n">
        <v>1599</v>
      </c>
      <c r="B3120" s="3">
        <f>HYPERLINK("https://leetcode.com/problems/maximum-profit-of-operating-a-centennial-wheel/", "Maximum Profit of Operating a Centennial Wheel")</f>
        <v/>
      </c>
      <c r="C3120" s="1" t="n">
        <v>111</v>
      </c>
      <c r="D3120" s="1" t="n">
        <v>254</v>
      </c>
      <c r="E3120" s="4">
        <f>IF(INDEX(C:C, ROW())+INDEX(D:D, ROW())=0, 0, INDEX(C:C, ROW())/(INDEX(C:C, ROW())+INDEX(D:D, ROW())))</f>
        <v/>
      </c>
      <c r="F3120" s="1" t="inlineStr">
        <is>
          <t>Array, Simulation</t>
        </is>
      </c>
      <c r="G3120" s="1" t="inlineStr">
        <is>
          <t>Medium</t>
        </is>
      </c>
      <c r="H3120" s="1" t="n">
        <v>15311</v>
      </c>
      <c r="I3120" s="1" t="n">
        <v>34355</v>
      </c>
      <c r="J3120" s="9" t="n">
        <v>0.446</v>
      </c>
      <c r="K3120" s="1" t="inlineStr">
        <is>
          <t>Yes</t>
        </is>
      </c>
      <c r="L3120" s="1" t="inlineStr">
        <is>
          <t>No</t>
        </is>
      </c>
      <c r="M3120" s="1" t="inlineStr">
        <is>
          <t>No</t>
        </is>
      </c>
      <c r="N3120" s="1" t="inlineStr">
        <is>
          <t>Algorithms</t>
        </is>
      </c>
      <c r="O31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20" s="11" t="inlineStr">
        <is>
          <t>To Do</t>
        </is>
      </c>
    </row>
    <row r="3121" ht="15.75" customHeight="1" s="12">
      <c r="A3121" s="1" t="n">
        <v>1902</v>
      </c>
      <c r="B3121" s="3">
        <f>HYPERLINK("https://leetcode.com/problems/depth-of-bst-given-insertion-order/", "Depth of BST Given Insertion Order")</f>
        <v/>
      </c>
      <c r="C3121" s="1" t="n">
        <v>111</v>
      </c>
      <c r="D3121" s="1" t="n">
        <v>12</v>
      </c>
      <c r="E3121" s="4">
        <f>IF(INDEX(C:C, ROW())+INDEX(D:D, ROW())=0, 0, INDEX(C:C, ROW())/(INDEX(C:C, ROW())+INDEX(D:D, ROW())))</f>
        <v/>
      </c>
      <c r="F3121" s="1" t="inlineStr">
        <is>
          <t>Array, Tree, Binary Search Tree, Binary Tree, Ordered Set</t>
        </is>
      </c>
      <c r="G3121" s="1" t="inlineStr">
        <is>
          <t>Medium</t>
        </is>
      </c>
      <c r="H3121" s="1" t="n">
        <v>3015</v>
      </c>
      <c r="I3121" s="1" t="n">
        <v>7084</v>
      </c>
      <c r="J3121" s="9" t="n">
        <v>0.426</v>
      </c>
      <c r="K3121" s="1" t="inlineStr">
        <is>
          <t>No</t>
        </is>
      </c>
      <c r="L3121" s="1" t="inlineStr">
        <is>
          <t>No</t>
        </is>
      </c>
      <c r="M3121" s="1" t="inlineStr">
        <is>
          <t>No</t>
        </is>
      </c>
      <c r="N3121" s="1" t="inlineStr">
        <is>
          <t>Algorithms</t>
        </is>
      </c>
      <c r="O31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21" s="11" t="inlineStr">
        <is>
          <t>To Do</t>
        </is>
      </c>
    </row>
    <row r="3122" ht="15.75" customHeight="1" s="12">
      <c r="A3122" s="1" t="n">
        <v>2330</v>
      </c>
      <c r="B3122" s="3">
        <f>HYPERLINK("https://leetcode.com/problems/valid-palindrome-iv/", "Valid Palindrome IV")</f>
        <v/>
      </c>
      <c r="C3122" s="1" t="n">
        <v>111</v>
      </c>
      <c r="D3122" s="1" t="n">
        <v>35</v>
      </c>
      <c r="E3122" s="4">
        <f>IF(INDEX(C:C, ROW())+INDEX(D:D, ROW())=0, 0, INDEX(C:C, ROW())/(INDEX(C:C, ROW())+INDEX(D:D, ROW())))</f>
        <v/>
      </c>
      <c r="F3122" s="1" t="inlineStr">
        <is>
          <t>Two Pointers, String</t>
        </is>
      </c>
      <c r="G3122" s="1" t="inlineStr">
        <is>
          <t>Medium</t>
        </is>
      </c>
      <c r="H3122" s="1" t="n">
        <v>21096</v>
      </c>
      <c r="I3122" s="1" t="n">
        <v>27905</v>
      </c>
      <c r="J3122" s="9" t="n">
        <v>0.756</v>
      </c>
      <c r="K3122" s="1" t="inlineStr">
        <is>
          <t>No</t>
        </is>
      </c>
      <c r="L3122" s="1" t="inlineStr">
        <is>
          <t>No</t>
        </is>
      </c>
      <c r="M3122" s="1" t="inlineStr">
        <is>
          <t>No</t>
        </is>
      </c>
      <c r="N3122" s="1" t="inlineStr">
        <is>
          <t>Algorithms</t>
        </is>
      </c>
      <c r="O31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22" s="11" t="inlineStr">
        <is>
          <t>To Do</t>
        </is>
      </c>
    </row>
    <row r="3123" ht="15.75" customHeight="1" s="12">
      <c r="A3123" s="1" t="n">
        <v>2510</v>
      </c>
      <c r="B3123" s="3">
        <f>HYPERLINK("https://leetcode.com/problems/check-if-there-is-a-path-with-equal-number-of-0s-and-1s/", "Check if There is a Path With Equal Number of 0's And 1's")</f>
        <v/>
      </c>
      <c r="C3123" s="1" t="n">
        <v>111</v>
      </c>
      <c r="D3123" s="1" t="n">
        <v>5</v>
      </c>
      <c r="E3123" s="4">
        <f>IF(INDEX(C:C, ROW())+INDEX(D:D, ROW())=0, 0, INDEX(C:C, ROW())/(INDEX(C:C, ROW())+INDEX(D:D, ROW())))</f>
        <v/>
      </c>
      <c r="F3123" s="1" t="inlineStr">
        <is>
          <t>Array, Dynamic Programming, Matrix</t>
        </is>
      </c>
      <c r="G3123" s="1" t="inlineStr">
        <is>
          <t>Medium</t>
        </is>
      </c>
      <c r="H3123" s="1" t="n">
        <v>7916</v>
      </c>
      <c r="I3123" s="1" t="n">
        <v>15235</v>
      </c>
      <c r="J3123" s="9" t="n">
        <v>0.52</v>
      </c>
      <c r="K3123" s="1" t="inlineStr">
        <is>
          <t>No</t>
        </is>
      </c>
      <c r="L3123" s="1" t="inlineStr">
        <is>
          <t>No</t>
        </is>
      </c>
      <c r="M3123" s="1" t="inlineStr">
        <is>
          <t>No</t>
        </is>
      </c>
      <c r="N3123" s="1" t="inlineStr">
        <is>
          <t>Algorithms</t>
        </is>
      </c>
      <c r="O31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23" s="11" t="inlineStr">
        <is>
          <t>To Do</t>
        </is>
      </c>
    </row>
    <row r="3124" ht="15.75" customHeight="1" s="12">
      <c r="A3124" s="1" t="n">
        <v>3111</v>
      </c>
      <c r="B3124" s="3">
        <f>HYPERLINK("https://leetcode.com/problems/minimum-rectangles-to-cover-points/", "Minimum Rectangles to Cover Points")</f>
        <v/>
      </c>
      <c r="C3124" s="1" t="n">
        <v>111</v>
      </c>
      <c r="D3124" s="1" t="n">
        <v>8</v>
      </c>
      <c r="E3124" s="4">
        <f>IF(INDEX(C:C, ROW())+INDEX(D:D, ROW())=0, 0, INDEX(C:C, ROW())/(INDEX(C:C, ROW())+INDEX(D:D, ROW())))</f>
        <v/>
      </c>
      <c r="F3124" s="1" t="inlineStr">
        <is>
          <t>Array, Greedy, Sorting</t>
        </is>
      </c>
      <c r="G3124" s="1" t="inlineStr">
        <is>
          <t>Medium</t>
        </is>
      </c>
      <c r="H3124" s="1" t="n">
        <v>33056</v>
      </c>
      <c r="I3124" s="1" t="n">
        <v>51843</v>
      </c>
      <c r="J3124" s="9" t="n">
        <v>0.638</v>
      </c>
      <c r="K3124" s="1" t="inlineStr">
        <is>
          <t>Yes</t>
        </is>
      </c>
      <c r="L3124" s="1" t="inlineStr">
        <is>
          <t>No</t>
        </is>
      </c>
      <c r="M3124" s="1" t="inlineStr">
        <is>
          <t>No</t>
        </is>
      </c>
      <c r="N3124" s="1" t="inlineStr">
        <is>
          <t>Algorithms</t>
        </is>
      </c>
      <c r="O31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24" s="11" t="inlineStr">
        <is>
          <t>To Do</t>
        </is>
      </c>
    </row>
    <row r="3125" ht="15.75" customHeight="1" s="12">
      <c r="A3125" s="1" t="n">
        <v>3457</v>
      </c>
      <c r="B3125" s="3">
        <f>HYPERLINK("https://leetcode.com/problems/eat-pizzas/", "Eat Pizzas!")</f>
        <v/>
      </c>
      <c r="C3125" s="1" t="n">
        <v>111</v>
      </c>
      <c r="D3125" s="1" t="n">
        <v>16</v>
      </c>
      <c r="E3125" s="4">
        <f>IF(INDEX(C:C, ROW())+INDEX(D:D, ROW())=0, 0, INDEX(C:C, ROW())/(INDEX(C:C, ROW())+INDEX(D:D, ROW())))</f>
        <v/>
      </c>
      <c r="F3125" s="1" t="inlineStr">
        <is>
          <t>Array, Greedy, Sorting</t>
        </is>
      </c>
      <c r="G3125" s="1" t="inlineStr">
        <is>
          <t>Medium</t>
        </is>
      </c>
      <c r="H3125" s="1" t="n">
        <v>25222</v>
      </c>
      <c r="I3125" s="1" t="n">
        <v>75719</v>
      </c>
      <c r="J3125" s="9" t="n">
        <v>0.333</v>
      </c>
      <c r="K3125" s="1" t="inlineStr">
        <is>
          <t>Yes</t>
        </is>
      </c>
      <c r="L3125" s="1" t="inlineStr">
        <is>
          <t>No</t>
        </is>
      </c>
      <c r="M3125" s="1" t="inlineStr">
        <is>
          <t>No</t>
        </is>
      </c>
      <c r="N3125" s="1" t="inlineStr">
        <is>
          <t>Algorithms</t>
        </is>
      </c>
      <c r="O31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25" s="11" t="inlineStr">
        <is>
          <t>To Do</t>
        </is>
      </c>
    </row>
    <row r="3126" ht="15.75" customHeight="1" s="12">
      <c r="A3126" s="1" t="n">
        <v>3468</v>
      </c>
      <c r="B3126" s="3">
        <f>HYPERLINK("https://leetcode.com/problems/find-the-number-of-copy-arrays/", "Find the Number of Copy Arrays")</f>
        <v/>
      </c>
      <c r="C3126" s="1" t="n">
        <v>111</v>
      </c>
      <c r="D3126" s="1" t="n">
        <v>22</v>
      </c>
      <c r="E3126" s="4">
        <f>IF(INDEX(C:C, ROW())+INDEX(D:D, ROW())=0, 0, INDEX(C:C, ROW())/(INDEX(C:C, ROW())+INDEX(D:D, ROW())))</f>
        <v/>
      </c>
      <c r="F3126" s="1" t="inlineStr">
        <is>
          <t>Array, Math</t>
        </is>
      </c>
      <c r="G3126" s="1" t="inlineStr">
        <is>
          <t>Medium</t>
        </is>
      </c>
      <c r="H3126" s="1" t="n">
        <v>21413</v>
      </c>
      <c r="I3126" s="1" t="n">
        <v>45543</v>
      </c>
      <c r="J3126" s="9" t="n">
        <v>0.47</v>
      </c>
      <c r="K3126" s="1" t="inlineStr">
        <is>
          <t>Yes</t>
        </is>
      </c>
      <c r="L3126" s="1" t="inlineStr">
        <is>
          <t>No</t>
        </is>
      </c>
      <c r="M3126" s="1" t="inlineStr">
        <is>
          <t>No</t>
        </is>
      </c>
      <c r="N3126" s="1" t="inlineStr">
        <is>
          <t>Algorithms</t>
        </is>
      </c>
      <c r="O31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26" s="11" t="inlineStr">
        <is>
          <t>To Do</t>
        </is>
      </c>
    </row>
    <row r="3127" ht="15.75" customHeight="1" s="12">
      <c r="A3127" s="1" t="n">
        <v>3771</v>
      </c>
      <c r="B3127" s="3">
        <f>HYPERLINK("https://leetcode.com/problems/total-score-of-dungeon-runs/", "Total Score of Dungeon Runs")</f>
        <v/>
      </c>
      <c r="C3127" s="1" t="n">
        <v>111</v>
      </c>
      <c r="D3127" s="1" t="n">
        <v>14</v>
      </c>
      <c r="E3127" s="4">
        <f>IF(INDEX(C:C, ROW())+INDEX(D:D, ROW())=0, 0, INDEX(C:C, ROW())/(INDEX(C:C, ROW())+INDEX(D:D, ROW())))</f>
        <v/>
      </c>
      <c r="F3127" s="1" t="inlineStr">
        <is>
          <t>Array, Binary Search, Prefix Sum</t>
        </is>
      </c>
      <c r="G3127" s="1" t="inlineStr">
        <is>
          <t>Medium</t>
        </is>
      </c>
      <c r="H3127" s="1" t="n">
        <v>10527</v>
      </c>
      <c r="I3127" s="1" t="n">
        <v>34133</v>
      </c>
      <c r="J3127" s="9" t="n">
        <v>0.308</v>
      </c>
      <c r="K3127" s="1" t="inlineStr">
        <is>
          <t>Yes</t>
        </is>
      </c>
      <c r="L3127" s="1" t="inlineStr">
        <is>
          <t>No</t>
        </is>
      </c>
      <c r="M3127" s="1" t="inlineStr">
        <is>
          <t>No</t>
        </is>
      </c>
      <c r="N3127" s="1" t="inlineStr">
        <is>
          <t>Algorithms</t>
        </is>
      </c>
      <c r="O31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27" s="11" t="inlineStr">
        <is>
          <t>To Do</t>
        </is>
      </c>
    </row>
    <row r="3128" ht="15.75" customHeight="1" s="12">
      <c r="A3128" s="1" t="n">
        <v>1708</v>
      </c>
      <c r="B3128" s="3">
        <f>HYPERLINK("https://leetcode.com/problems/largest-subarray-length-k/", "Largest Subarray Length K")</f>
        <v/>
      </c>
      <c r="C3128" s="1" t="n">
        <v>110</v>
      </c>
      <c r="D3128" s="1" t="n">
        <v>116</v>
      </c>
      <c r="E3128" s="4">
        <f>IF(INDEX(C:C, ROW())+INDEX(D:D, ROW())=0, 0, INDEX(C:C, ROW())/(INDEX(C:C, ROW())+INDEX(D:D, ROW())))</f>
        <v/>
      </c>
      <c r="F3128" s="1" t="inlineStr">
        <is>
          <t>Array, Greedy</t>
        </is>
      </c>
      <c r="G3128" s="1" t="inlineStr">
        <is>
          <t>Easy</t>
        </is>
      </c>
      <c r="H3128" s="1" t="n">
        <v>10709</v>
      </c>
      <c r="I3128" s="1" t="n">
        <v>16282</v>
      </c>
      <c r="J3128" s="9" t="n">
        <v>0.658</v>
      </c>
      <c r="K3128" s="1" t="inlineStr">
        <is>
          <t>No</t>
        </is>
      </c>
      <c r="L3128" s="1" t="inlineStr">
        <is>
          <t>No</t>
        </is>
      </c>
      <c r="M3128" s="1" t="inlineStr">
        <is>
          <t>No</t>
        </is>
      </c>
      <c r="N3128" s="1" t="inlineStr">
        <is>
          <t>Algorithms</t>
        </is>
      </c>
      <c r="O31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28" s="11" t="inlineStr">
        <is>
          <t>To Do</t>
        </is>
      </c>
    </row>
    <row r="3129" ht="15.75" customHeight="1" s="12">
      <c r="A3129" s="1" t="n">
        <v>3256</v>
      </c>
      <c r="B3129" s="3">
        <f>HYPERLINK("https://leetcode.com/problems/maximum-value-sum-by-placing-three-rooks-i/", "Maximum Value Sum by Placing Three Rooks I")</f>
        <v/>
      </c>
      <c r="C3129" s="1" t="n">
        <v>110</v>
      </c>
      <c r="D3129" s="1" t="n">
        <v>11</v>
      </c>
      <c r="E3129" s="4">
        <f>IF(INDEX(C:C, ROW())+INDEX(D:D, ROW())=0, 0, INDEX(C:C, ROW())/(INDEX(C:C, ROW())+INDEX(D:D, ROW())))</f>
        <v/>
      </c>
      <c r="F3129" s="1" t="inlineStr">
        <is>
          <t>Array, Dynamic Programming, Matrix, Enumeration</t>
        </is>
      </c>
      <c r="G3129" s="1" t="inlineStr">
        <is>
          <t>Hard</t>
        </is>
      </c>
      <c r="H3129" s="1" t="n">
        <v>9851</v>
      </c>
      <c r="I3129" s="1" t="n">
        <v>59451</v>
      </c>
      <c r="J3129" s="9" t="n">
        <v>0.166</v>
      </c>
      <c r="K3129" s="1" t="inlineStr">
        <is>
          <t>Yes</t>
        </is>
      </c>
      <c r="L3129" s="1" t="inlineStr">
        <is>
          <t>No</t>
        </is>
      </c>
      <c r="M3129" s="1" t="inlineStr">
        <is>
          <t>No</t>
        </is>
      </c>
      <c r="N3129" s="1" t="inlineStr">
        <is>
          <t>Algorithms</t>
        </is>
      </c>
      <c r="O31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29" s="11" t="inlineStr">
        <is>
          <t>To Do</t>
        </is>
      </c>
    </row>
    <row r="3130" ht="15.75" customHeight="1" s="12">
      <c r="A3130" s="1" t="n">
        <v>3277</v>
      </c>
      <c r="B3130" s="3">
        <f>HYPERLINK("https://leetcode.com/problems/maximum-xor-score-subarray-queries/", "Maximum XOR Score Subarray Queries")</f>
        <v/>
      </c>
      <c r="C3130" s="1" t="n">
        <v>110</v>
      </c>
      <c r="D3130" s="1" t="n">
        <v>17</v>
      </c>
      <c r="E3130" s="4">
        <f>IF(INDEX(C:C, ROW())+INDEX(D:D, ROW())=0, 0, INDEX(C:C, ROW())/(INDEX(C:C, ROW())+INDEX(D:D, ROW())))</f>
        <v/>
      </c>
      <c r="F3130" s="1" t="inlineStr">
        <is>
          <t>Array, Dynamic Programming</t>
        </is>
      </c>
      <c r="G3130" s="1" t="inlineStr">
        <is>
          <t>Hard</t>
        </is>
      </c>
      <c r="H3130" s="1" t="n">
        <v>5635</v>
      </c>
      <c r="I3130" s="1" t="n">
        <v>12837</v>
      </c>
      <c r="J3130" s="9" t="n">
        <v>0.439</v>
      </c>
      <c r="K3130" s="1" t="inlineStr">
        <is>
          <t>Yes</t>
        </is>
      </c>
      <c r="L3130" s="1" t="inlineStr">
        <is>
          <t>No</t>
        </is>
      </c>
      <c r="M3130" s="1" t="inlineStr">
        <is>
          <t>No</t>
        </is>
      </c>
      <c r="N3130" s="1" t="inlineStr">
        <is>
          <t>Algorithms</t>
        </is>
      </c>
      <c r="O31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30" s="11" t="inlineStr">
        <is>
          <t>To Do</t>
        </is>
      </c>
    </row>
    <row r="3131" ht="15.75" customHeight="1" s="12">
      <c r="A3131" s="1" t="n">
        <v>3462</v>
      </c>
      <c r="B3131" s="3">
        <f>HYPERLINK("https://leetcode.com/problems/maximum-sum-with-at-most-k-elements/", "Maximum Sum With at Most K Elements")</f>
        <v/>
      </c>
      <c r="C3131" s="1" t="n">
        <v>110</v>
      </c>
      <c r="D3131" s="1" t="n">
        <v>4</v>
      </c>
      <c r="E3131" s="4">
        <f>IF(INDEX(C:C, ROW())+INDEX(D:D, ROW())=0, 0, INDEX(C:C, ROW())/(INDEX(C:C, ROW())+INDEX(D:D, ROW())))</f>
        <v/>
      </c>
      <c r="F3131" s="1" t="inlineStr">
        <is>
          <t>Array, Greedy, Sorting, Heap (Priority Queue), Matrix</t>
        </is>
      </c>
      <c r="G3131" s="1" t="inlineStr">
        <is>
          <t>Medium</t>
        </is>
      </c>
      <c r="H3131" s="1" t="n">
        <v>39778</v>
      </c>
      <c r="I3131" s="1" t="n">
        <v>65519</v>
      </c>
      <c r="J3131" s="9" t="n">
        <v>0.607</v>
      </c>
      <c r="K3131" s="1" t="inlineStr">
        <is>
          <t>Yes</t>
        </is>
      </c>
      <c r="L3131" s="1" t="inlineStr">
        <is>
          <t>No</t>
        </is>
      </c>
      <c r="M3131" s="1" t="inlineStr">
        <is>
          <t>No</t>
        </is>
      </c>
      <c r="N3131" s="1" t="inlineStr">
        <is>
          <t>Algorithms</t>
        </is>
      </c>
      <c r="O31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31" s="11" t="inlineStr">
        <is>
          <t>To Do</t>
        </is>
      </c>
    </row>
    <row r="3132" ht="15.75" customHeight="1" s="12">
      <c r="A3132" s="1" t="n">
        <v>3463</v>
      </c>
      <c r="B3132" s="3">
        <f>HYPERLINK("https://leetcode.com/problems/check-if-digits-are-equal-in-string-after-operations-ii/", "Check If Digits Are Equal in String After Operations II")</f>
        <v/>
      </c>
      <c r="C3132" s="1" t="n">
        <v>110</v>
      </c>
      <c r="D3132" s="1" t="n">
        <v>56</v>
      </c>
      <c r="E3132" s="4">
        <f>IF(INDEX(C:C, ROW())+INDEX(D:D, ROW())=0, 0, INDEX(C:C, ROW())/(INDEX(C:C, ROW())+INDEX(D:D, ROW())))</f>
        <v/>
      </c>
      <c r="F3132" s="1" t="inlineStr">
        <is>
          <t>Math, String, Combinatorics, Number Theory</t>
        </is>
      </c>
      <c r="G3132" s="1" t="inlineStr">
        <is>
          <t>Hard</t>
        </is>
      </c>
      <c r="H3132" s="1" t="n">
        <v>13828</v>
      </c>
      <c r="I3132" s="1" t="n">
        <v>96000</v>
      </c>
      <c r="J3132" s="9" t="n">
        <v>0.144</v>
      </c>
      <c r="K3132" s="1" t="inlineStr">
        <is>
          <t>Yes</t>
        </is>
      </c>
      <c r="L3132" s="1" t="inlineStr">
        <is>
          <t>No</t>
        </is>
      </c>
      <c r="M3132" s="1" t="inlineStr">
        <is>
          <t>No</t>
        </is>
      </c>
      <c r="N3132" s="1" t="inlineStr">
        <is>
          <t>Algorithms</t>
        </is>
      </c>
      <c r="O31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32" s="11" t="inlineStr">
        <is>
          <t>To Do</t>
        </is>
      </c>
    </row>
    <row r="3133" ht="15.75" customHeight="1" s="12">
      <c r="A3133" s="1" t="n">
        <v>3785</v>
      </c>
      <c r="B3133" s="3">
        <f>HYPERLINK("https://leetcode.com/problems/minimum-swaps-to-avoid-forbidden-values/", "Minimum Swaps to Avoid Forbidden Values")</f>
        <v/>
      </c>
      <c r="C3133" s="1" t="n">
        <v>110</v>
      </c>
      <c r="D3133" s="1" t="n">
        <v>7</v>
      </c>
      <c r="E3133" s="4">
        <f>IF(INDEX(C:C, ROW())+INDEX(D:D, ROW())=0, 0, INDEX(C:C, ROW())/(INDEX(C:C, ROW())+INDEX(D:D, ROW())))</f>
        <v/>
      </c>
      <c r="F3133" s="1" t="inlineStr">
        <is>
          <t>Array, Hash Table, Greedy, Counting</t>
        </is>
      </c>
      <c r="G3133" s="1" t="inlineStr">
        <is>
          <t>Hard</t>
        </is>
      </c>
      <c r="H3133" s="1" t="n">
        <v>11591</v>
      </c>
      <c r="I3133" s="1" t="n">
        <v>37851</v>
      </c>
      <c r="J3133" s="9" t="n">
        <v>0.306</v>
      </c>
      <c r="K3133" s="1" t="inlineStr">
        <is>
          <t>Yes</t>
        </is>
      </c>
      <c r="L3133" s="1" t="inlineStr">
        <is>
          <t>No</t>
        </is>
      </c>
      <c r="M3133" s="1" t="inlineStr">
        <is>
          <t>No</t>
        </is>
      </c>
      <c r="N3133" s="1" t="inlineStr">
        <is>
          <t>Algorithms</t>
        </is>
      </c>
      <c r="O31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33" s="11" t="inlineStr">
        <is>
          <t>To Do</t>
        </is>
      </c>
    </row>
    <row r="3134" ht="15.75" customHeight="1" s="12">
      <c r="A3134" s="1" t="n">
        <v>3805</v>
      </c>
      <c r="B3134" s="3">
        <f>HYPERLINK("https://leetcode.com/problems/count-caesar-cipher-pairs/", "Count Caesar Cipher Pairs")</f>
        <v/>
      </c>
      <c r="C3134" s="1" t="n">
        <v>110</v>
      </c>
      <c r="D3134" s="1" t="n">
        <v>2</v>
      </c>
      <c r="E3134" s="4">
        <f>IF(INDEX(C:C, ROW())+INDEX(D:D, ROW())=0, 0, INDEX(C:C, ROW())/(INDEX(C:C, ROW())+INDEX(D:D, ROW())))</f>
        <v/>
      </c>
      <c r="F3134" s="1" t="inlineStr">
        <is>
          <t>Array, Hash Table, Math, String, Counting</t>
        </is>
      </c>
      <c r="G3134" s="1" t="inlineStr">
        <is>
          <t>Medium</t>
        </is>
      </c>
      <c r="H3134" s="1" t="n">
        <v>26441</v>
      </c>
      <c r="I3134" s="1" t="n">
        <v>51702</v>
      </c>
      <c r="J3134" s="9" t="n">
        <v>0.511</v>
      </c>
      <c r="K3134" s="1" t="inlineStr">
        <is>
          <t>Yes</t>
        </is>
      </c>
      <c r="L3134" s="1" t="inlineStr">
        <is>
          <t>No</t>
        </is>
      </c>
      <c r="M3134" s="1" t="inlineStr">
        <is>
          <t>No</t>
        </is>
      </c>
      <c r="N3134" s="1" t="inlineStr">
        <is>
          <t>Algorithms</t>
        </is>
      </c>
      <c r="O31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34" s="11" t="inlineStr">
        <is>
          <t>To Do</t>
        </is>
      </c>
    </row>
    <row r="3135" ht="15.75" customHeight="1" s="12">
      <c r="A3135" s="1" t="n">
        <v>2881</v>
      </c>
      <c r="B3135" s="3">
        <f>HYPERLINK("https://leetcode.com/problems/create-a-new-column/", "Create a New Column")</f>
        <v/>
      </c>
      <c r="C3135" s="1" t="n">
        <v>109</v>
      </c>
      <c r="D3135" s="1" t="n">
        <v>6</v>
      </c>
      <c r="E3135" s="4">
        <f>IF(INDEX(C:C, ROW())+INDEX(D:D, ROW())=0, 0, INDEX(C:C, ROW())/(INDEX(C:C, ROW())+INDEX(D:D, ROW())))</f>
        <v/>
      </c>
      <c r="F3135" s="2" t="n"/>
      <c r="G3135" s="1" t="inlineStr">
        <is>
          <t>Easy</t>
        </is>
      </c>
      <c r="H3135" s="1" t="n">
        <v>157317</v>
      </c>
      <c r="I3135" s="1" t="n">
        <v>174535</v>
      </c>
      <c r="J3135" s="9" t="n">
        <v>0.901</v>
      </c>
      <c r="K3135" s="1" t="inlineStr">
        <is>
          <t>Yes</t>
        </is>
      </c>
      <c r="L3135" s="1" t="inlineStr">
        <is>
          <t>Yes</t>
        </is>
      </c>
      <c r="M3135" s="1" t="inlineStr">
        <is>
          <t>No</t>
        </is>
      </c>
      <c r="N3135" s="1" t="inlineStr">
        <is>
          <t>pandas</t>
        </is>
      </c>
      <c r="O31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35" s="13" t="inlineStr">
        <is>
          <t>Done</t>
        </is>
      </c>
    </row>
    <row r="3136" ht="15.75" customHeight="1" s="12">
      <c r="A3136" s="1" t="n">
        <v>2891</v>
      </c>
      <c r="B3136" s="3">
        <f>HYPERLINK("https://leetcode.com/problems/method-chaining/", "Method Chaining")</f>
        <v/>
      </c>
      <c r="C3136" s="1" t="n">
        <v>109</v>
      </c>
      <c r="D3136" s="1" t="n">
        <v>6</v>
      </c>
      <c r="E3136" s="4">
        <f>IF(INDEX(C:C, ROW())+INDEX(D:D, ROW())=0, 0, INDEX(C:C, ROW())/(INDEX(C:C, ROW())+INDEX(D:D, ROW())))</f>
        <v/>
      </c>
      <c r="F3136" s="2" t="n"/>
      <c r="G3136" s="1" t="inlineStr">
        <is>
          <t>Easy</t>
        </is>
      </c>
      <c r="H3136" s="1" t="n">
        <v>101496</v>
      </c>
      <c r="I3136" s="1" t="n">
        <v>133477</v>
      </c>
      <c r="J3136" s="9" t="n">
        <v>0.76</v>
      </c>
      <c r="K3136" s="1" t="inlineStr">
        <is>
          <t>Yes</t>
        </is>
      </c>
      <c r="L3136" s="1" t="inlineStr">
        <is>
          <t>Yes</t>
        </is>
      </c>
      <c r="M3136" s="1" t="inlineStr">
        <is>
          <t>No</t>
        </is>
      </c>
      <c r="N3136" s="1" t="inlineStr">
        <is>
          <t>pandas</t>
        </is>
      </c>
      <c r="O31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36" s="13" t="inlineStr">
        <is>
          <t>Done</t>
        </is>
      </c>
    </row>
    <row r="3137" ht="15.75" customHeight="1" s="12">
      <c r="A3137" s="1" t="n">
        <v>3260</v>
      </c>
      <c r="B3137" s="3">
        <f>HYPERLINK("https://leetcode.com/problems/find-the-largest-palindrome-divisible-by-k/", "Find the Largest Palindrome Divisible by K")</f>
        <v/>
      </c>
      <c r="C3137" s="1" t="n">
        <v>109</v>
      </c>
      <c r="D3137" s="1" t="n">
        <v>70</v>
      </c>
      <c r="E3137" s="4">
        <f>IF(INDEX(C:C, ROW())+INDEX(D:D, ROW())=0, 0, INDEX(C:C, ROW())/(INDEX(C:C, ROW())+INDEX(D:D, ROW())))</f>
        <v/>
      </c>
      <c r="F3137" s="1" t="inlineStr">
        <is>
          <t>Math, String, Dynamic Programming, Greedy, Number Theory</t>
        </is>
      </c>
      <c r="G3137" s="1" t="inlineStr">
        <is>
          <t>Hard</t>
        </is>
      </c>
      <c r="H3137" s="1" t="n">
        <v>9367</v>
      </c>
      <c r="I3137" s="1" t="n">
        <v>54968</v>
      </c>
      <c r="J3137" s="9" t="n">
        <v>0.17</v>
      </c>
      <c r="K3137" s="1" t="inlineStr">
        <is>
          <t>Yes</t>
        </is>
      </c>
      <c r="L3137" s="1" t="inlineStr">
        <is>
          <t>No</t>
        </is>
      </c>
      <c r="M3137" s="1" t="inlineStr">
        <is>
          <t>No</t>
        </is>
      </c>
      <c r="N3137" s="1" t="inlineStr">
        <is>
          <t>Algorithms</t>
        </is>
      </c>
      <c r="O31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37" s="11" t="inlineStr">
        <is>
          <t>To Do</t>
        </is>
      </c>
    </row>
    <row r="3138" ht="15.75" customHeight="1" s="12">
      <c r="A3138" s="1" t="n">
        <v>3271</v>
      </c>
      <c r="B3138" s="3">
        <f>HYPERLINK("https://leetcode.com/problems/hash-divided-string/", "Hash Divided String")</f>
        <v/>
      </c>
      <c r="C3138" s="1" t="n">
        <v>109</v>
      </c>
      <c r="D3138" s="1" t="n">
        <v>15</v>
      </c>
      <c r="E3138" s="4">
        <f>IF(INDEX(C:C, ROW())+INDEX(D:D, ROW())=0, 0, INDEX(C:C, ROW())/(INDEX(C:C, ROW())+INDEX(D:D, ROW())))</f>
        <v/>
      </c>
      <c r="F3138" s="1" t="inlineStr">
        <is>
          <t>String, Simulation</t>
        </is>
      </c>
      <c r="G3138" s="1" t="inlineStr">
        <is>
          <t>Medium</t>
        </is>
      </c>
      <c r="H3138" s="1" t="n">
        <v>51894</v>
      </c>
      <c r="I3138" s="1" t="n">
        <v>62355</v>
      </c>
      <c r="J3138" s="9" t="n">
        <v>0.832</v>
      </c>
      <c r="K3138" s="1" t="inlineStr">
        <is>
          <t>Yes</t>
        </is>
      </c>
      <c r="L3138" s="1" t="inlineStr">
        <is>
          <t>No</t>
        </is>
      </c>
      <c r="M3138" s="1" t="inlineStr">
        <is>
          <t>No</t>
        </is>
      </c>
      <c r="N3138" s="1" t="inlineStr">
        <is>
          <t>Algorithms</t>
        </is>
      </c>
      <c r="O31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38" s="11" t="inlineStr">
        <is>
          <t>To Do</t>
        </is>
      </c>
    </row>
    <row r="3139" ht="15.75" customHeight="1" s="12">
      <c r="A3139" s="1" t="n">
        <v>3755</v>
      </c>
      <c r="B3139" s="3">
        <f>HYPERLINK("https://leetcode.com/problems/find-maximum-balanced-xor-subarray-length/", "Find Maximum Balanced XOR Subarray Length")</f>
        <v/>
      </c>
      <c r="C3139" s="1" t="n">
        <v>109</v>
      </c>
      <c r="D3139" s="1" t="n">
        <v>6</v>
      </c>
      <c r="E3139" s="4">
        <f>IF(INDEX(C:C, ROW())+INDEX(D:D, ROW())=0, 0, INDEX(C:C, ROW())/(INDEX(C:C, ROW())+INDEX(D:D, ROW())))</f>
        <v/>
      </c>
      <c r="F3139" s="1" t="inlineStr">
        <is>
          <t>Array, Hash Table, Bit Manipulation, Prefix Sum</t>
        </is>
      </c>
      <c r="G3139" s="1" t="inlineStr">
        <is>
          <t>Medium</t>
        </is>
      </c>
      <c r="H3139" s="1" t="n">
        <v>18976</v>
      </c>
      <c r="I3139" s="1" t="n">
        <v>37275</v>
      </c>
      <c r="J3139" s="9" t="n">
        <v>0.509</v>
      </c>
      <c r="K3139" s="1" t="inlineStr">
        <is>
          <t>Yes</t>
        </is>
      </c>
      <c r="L3139" s="1" t="inlineStr">
        <is>
          <t>No</t>
        </is>
      </c>
      <c r="M3139" s="1" t="inlineStr">
        <is>
          <t>No</t>
        </is>
      </c>
      <c r="N3139" s="1" t="inlineStr">
        <is>
          <t>Algorithms</t>
        </is>
      </c>
      <c r="O31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39" s="11" t="inlineStr">
        <is>
          <t>To Do</t>
        </is>
      </c>
    </row>
    <row r="3140" ht="15.75" customHeight="1" s="12">
      <c r="A3140" s="1" t="n">
        <v>3872</v>
      </c>
      <c r="B3140" s="3">
        <f>HYPERLINK("https://leetcode.com/problems/longest-arithmetic-sequence-after-changing-at-most-one-element/", "Longest Arithmetic Sequence After Changing At Most One Element")</f>
        <v/>
      </c>
      <c r="C3140" s="1" t="n">
        <v>109</v>
      </c>
      <c r="D3140" s="1" t="n">
        <v>11</v>
      </c>
      <c r="E3140" s="4">
        <f>IF(INDEX(C:C, ROW())+INDEX(D:D, ROW())=0, 0, INDEX(C:C, ROW())/(INDEX(C:C, ROW())+INDEX(D:D, ROW())))</f>
        <v/>
      </c>
      <c r="F3140" s="1" t="inlineStr">
        <is>
          <t>Array, Enumeration</t>
        </is>
      </c>
      <c r="G3140" s="1" t="inlineStr">
        <is>
          <t>Medium</t>
        </is>
      </c>
      <c r="H3140" s="1" t="n">
        <v>10866</v>
      </c>
      <c r="I3140" s="1" t="n">
        <v>51650</v>
      </c>
      <c r="J3140" s="9" t="n">
        <v>0.21</v>
      </c>
      <c r="K3140" s="1" t="inlineStr">
        <is>
          <t>Yes</t>
        </is>
      </c>
      <c r="L3140" s="1" t="inlineStr">
        <is>
          <t>No</t>
        </is>
      </c>
      <c r="M3140" s="1" t="inlineStr">
        <is>
          <t>No</t>
        </is>
      </c>
      <c r="N3140" s="1" t="inlineStr">
        <is>
          <t>Algorithms</t>
        </is>
      </c>
      <c r="O31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40" s="11" t="inlineStr">
        <is>
          <t>To Do</t>
        </is>
      </c>
    </row>
    <row r="3141" ht="15.75" customHeight="1" s="12">
      <c r="A3141" s="1" t="n">
        <v>3467</v>
      </c>
      <c r="B3141" s="3">
        <f>HYPERLINK("https://leetcode.com/problems/transform-array-by-parity/", "Transform Array by Parity")</f>
        <v/>
      </c>
      <c r="C3141" s="1" t="n">
        <v>108</v>
      </c>
      <c r="D3141" s="1" t="n">
        <v>8</v>
      </c>
      <c r="E3141" s="4">
        <f>IF(INDEX(C:C, ROW())+INDEX(D:D, ROW())=0, 0, INDEX(C:C, ROW())/(INDEX(C:C, ROW())+INDEX(D:D, ROW())))</f>
        <v/>
      </c>
      <c r="F3141" s="1" t="inlineStr">
        <is>
          <t>Array, Sorting, Counting</t>
        </is>
      </c>
      <c r="G3141" s="1" t="inlineStr">
        <is>
          <t>Easy</t>
        </is>
      </c>
      <c r="H3141" s="1" t="n">
        <v>97147</v>
      </c>
      <c r="I3141" s="1" t="n">
        <v>108200</v>
      </c>
      <c r="J3141" s="9" t="n">
        <v>0.898</v>
      </c>
      <c r="K3141" s="1" t="inlineStr">
        <is>
          <t>Yes</t>
        </is>
      </c>
      <c r="L3141" s="1" t="inlineStr">
        <is>
          <t>No</t>
        </is>
      </c>
      <c r="M3141" s="1" t="inlineStr">
        <is>
          <t>No</t>
        </is>
      </c>
      <c r="N3141" s="1" t="inlineStr">
        <is>
          <t>Algorithms</t>
        </is>
      </c>
      <c r="O31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41" s="13" t="inlineStr">
        <is>
          <t>Done</t>
        </is>
      </c>
    </row>
    <row r="3142" ht="15.75" customHeight="1" s="12">
      <c r="A3142" s="1" t="n">
        <v>3658</v>
      </c>
      <c r="B3142" s="3">
        <f>HYPERLINK("https://leetcode.com/problems/gcd-of-odd-and-even-sums/", "GCD of Odd and Even Sums")</f>
        <v/>
      </c>
      <c r="C3142" s="1" t="n">
        <v>108</v>
      </c>
      <c r="D3142" s="1" t="n">
        <v>16</v>
      </c>
      <c r="E3142" s="4">
        <f>IF(INDEX(C:C, ROW())+INDEX(D:D, ROW())=0, 0, INDEX(C:C, ROW())/(INDEX(C:C, ROW())+INDEX(D:D, ROW())))</f>
        <v/>
      </c>
      <c r="F3142" s="1" t="inlineStr">
        <is>
          <t>Math, Number Theory</t>
        </is>
      </c>
      <c r="G3142" s="1" t="inlineStr">
        <is>
          <t>Easy</t>
        </is>
      </c>
      <c r="H3142" s="1" t="n">
        <v>94884</v>
      </c>
      <c r="I3142" s="1" t="n">
        <v>111657</v>
      </c>
      <c r="J3142" s="9" t="n">
        <v>0.85</v>
      </c>
      <c r="K3142" s="1" t="inlineStr">
        <is>
          <t>Yes</t>
        </is>
      </c>
      <c r="L3142" s="1" t="inlineStr">
        <is>
          <t>No</t>
        </is>
      </c>
      <c r="M3142" s="1" t="inlineStr">
        <is>
          <t>No</t>
        </is>
      </c>
      <c r="N3142" s="1" t="inlineStr">
        <is>
          <t>Algorithms</t>
        </is>
      </c>
      <c r="O31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42" s="13" t="inlineStr">
        <is>
          <t>Done</t>
        </is>
      </c>
    </row>
    <row r="3143" ht="15.75" customHeight="1" s="12">
      <c r="A3143" s="1" t="n">
        <v>972</v>
      </c>
      <c r="B3143" s="3">
        <f>HYPERLINK("https://leetcode.com/problems/equal-rational-numbers/", "Equal Rational Numbers")</f>
        <v/>
      </c>
      <c r="C3143" s="1" t="n">
        <v>107</v>
      </c>
      <c r="D3143" s="1" t="n">
        <v>218</v>
      </c>
      <c r="E3143" s="4">
        <f>IF(INDEX(C:C, ROW())+INDEX(D:D, ROW())=0, 0, INDEX(C:C, ROW())/(INDEX(C:C, ROW())+INDEX(D:D, ROW())))</f>
        <v/>
      </c>
      <c r="F3143" s="1" t="inlineStr">
        <is>
          <t>Math, String</t>
        </is>
      </c>
      <c r="G3143" s="1" t="inlineStr">
        <is>
          <t>Hard</t>
        </is>
      </c>
      <c r="H3143" s="1" t="n">
        <v>10074</v>
      </c>
      <c r="I3143" s="1" t="n">
        <v>21843</v>
      </c>
      <c r="J3143" s="9" t="n">
        <v>0.461</v>
      </c>
      <c r="K3143" s="1" t="inlineStr">
        <is>
          <t>Yes</t>
        </is>
      </c>
      <c r="L3143" s="1" t="inlineStr">
        <is>
          <t>Yes</t>
        </is>
      </c>
      <c r="M3143" s="1" t="inlineStr">
        <is>
          <t>No</t>
        </is>
      </c>
      <c r="N3143" s="1" t="inlineStr">
        <is>
          <t>Algorithms</t>
        </is>
      </c>
      <c r="O31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43" s="11" t="inlineStr">
        <is>
          <t>To Do</t>
        </is>
      </c>
    </row>
    <row r="3144" ht="15.75" customHeight="1" s="12">
      <c r="A3144" s="1" t="n">
        <v>1142</v>
      </c>
      <c r="B3144" s="3">
        <f>HYPERLINK("https://leetcode.com/problems/user-activity-for-the-past-30-days-ii/", "User Activity for the Past 30 Days II")</f>
        <v/>
      </c>
      <c r="C3144" s="1" t="n">
        <v>107</v>
      </c>
      <c r="D3144" s="1" t="n">
        <v>380</v>
      </c>
      <c r="E3144" s="4">
        <f>IF(INDEX(C:C, ROW())+INDEX(D:D, ROW())=0, 0, INDEX(C:C, ROW())/(INDEX(C:C, ROW())+INDEX(D:D, ROW())))</f>
        <v/>
      </c>
      <c r="F3144" s="1" t="inlineStr">
        <is>
          <t>Database</t>
        </is>
      </c>
      <c r="G3144" s="1" t="inlineStr">
        <is>
          <t>Easy</t>
        </is>
      </c>
      <c r="H3144" s="1" t="n">
        <v>49495</v>
      </c>
      <c r="I3144" s="1" t="n">
        <v>138944</v>
      </c>
      <c r="J3144" s="9" t="n">
        <v>0.356</v>
      </c>
      <c r="K3144" s="1" t="inlineStr">
        <is>
          <t>No</t>
        </is>
      </c>
      <c r="L3144" s="1" t="inlineStr">
        <is>
          <t>No</t>
        </is>
      </c>
      <c r="M3144" s="1" t="inlineStr">
        <is>
          <t>No</t>
        </is>
      </c>
      <c r="N3144" s="1" t="inlineStr">
        <is>
          <t>Database</t>
        </is>
      </c>
      <c r="O31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44" s="11" t="inlineStr">
        <is>
          <t>To Do</t>
        </is>
      </c>
    </row>
    <row r="3145" ht="15.75" customHeight="1" s="12">
      <c r="A3145" s="1" t="n">
        <v>3331</v>
      </c>
      <c r="B3145" s="3">
        <f>HYPERLINK("https://leetcode.com/problems/find-subtree-sizes-after-changes/", "Find Subtree Sizes After Changes")</f>
        <v/>
      </c>
      <c r="C3145" s="1" t="n">
        <v>107</v>
      </c>
      <c r="D3145" s="1" t="n">
        <v>37</v>
      </c>
      <c r="E3145" s="4">
        <f>IF(INDEX(C:C, ROW())+INDEX(D:D, ROW())=0, 0, INDEX(C:C, ROW())/(INDEX(C:C, ROW())+INDEX(D:D, ROW())))</f>
        <v/>
      </c>
      <c r="F3145" s="1" t="inlineStr">
        <is>
          <t>Array, Hash Table, String, Tree, Depth-First Search</t>
        </is>
      </c>
      <c r="G3145" s="1" t="inlineStr">
        <is>
          <t>Medium</t>
        </is>
      </c>
      <c r="H3145" s="1" t="n">
        <v>16743</v>
      </c>
      <c r="I3145" s="1" t="n">
        <v>31125</v>
      </c>
      <c r="J3145" s="9" t="n">
        <v>0.538</v>
      </c>
      <c r="K3145" s="1" t="inlineStr">
        <is>
          <t>Yes</t>
        </is>
      </c>
      <c r="L3145" s="1" t="inlineStr">
        <is>
          <t>No</t>
        </is>
      </c>
      <c r="M3145" s="1" t="inlineStr">
        <is>
          <t>No</t>
        </is>
      </c>
      <c r="N3145" s="1" t="inlineStr">
        <is>
          <t>Algorithms</t>
        </is>
      </c>
      <c r="O31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45" s="11" t="inlineStr">
        <is>
          <t>To Do</t>
        </is>
      </c>
    </row>
    <row r="3146" ht="15.75" customHeight="1" s="12">
      <c r="A3146" s="1" t="n">
        <v>2036</v>
      </c>
      <c r="B3146" s="3">
        <f>HYPERLINK("https://leetcode.com/problems/maximum-alternating-subarray-sum/", "Maximum Alternating Subarray Sum")</f>
        <v/>
      </c>
      <c r="C3146" s="1" t="n">
        <v>106</v>
      </c>
      <c r="D3146" s="1" t="n">
        <v>6</v>
      </c>
      <c r="E3146" s="4">
        <f>IF(INDEX(C:C, ROW())+INDEX(D:D, ROW())=0, 0, INDEX(C:C, ROW())/(INDEX(C:C, ROW())+INDEX(D:D, ROW())))</f>
        <v/>
      </c>
      <c r="F3146" s="1" t="inlineStr">
        <is>
          <t>Array, Dynamic Programming</t>
        </is>
      </c>
      <c r="G3146" s="1" t="inlineStr">
        <is>
          <t>Medium</t>
        </is>
      </c>
      <c r="H3146" s="1" t="n">
        <v>4401</v>
      </c>
      <c r="I3146" s="1" t="n">
        <v>11016</v>
      </c>
      <c r="J3146" s="9" t="n">
        <v>0.4</v>
      </c>
      <c r="K3146" s="1" t="inlineStr">
        <is>
          <t>No</t>
        </is>
      </c>
      <c r="L3146" s="1" t="inlineStr">
        <is>
          <t>No</t>
        </is>
      </c>
      <c r="M3146" s="1" t="inlineStr">
        <is>
          <t>No</t>
        </is>
      </c>
      <c r="N3146" s="1" t="inlineStr">
        <is>
          <t>Algorithms</t>
        </is>
      </c>
      <c r="O31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46" s="11" t="inlineStr">
        <is>
          <t>To Do</t>
        </is>
      </c>
    </row>
    <row r="3147" ht="15.75" customHeight="1" s="12">
      <c r="A3147" s="1" t="n">
        <v>3285</v>
      </c>
      <c r="B3147" s="3">
        <f>HYPERLINK("https://leetcode.com/problems/find-indices-of-stable-mountains/", "Find Indices of Stable Mountains")</f>
        <v/>
      </c>
      <c r="C3147" s="1" t="n">
        <v>106</v>
      </c>
      <c r="D3147" s="1" t="n">
        <v>40</v>
      </c>
      <c r="E3147" s="4">
        <f>IF(INDEX(C:C, ROW())+INDEX(D:D, ROW())=0, 0, INDEX(C:C, ROW())/(INDEX(C:C, ROW())+INDEX(D:D, ROW())))</f>
        <v/>
      </c>
      <c r="F3147" s="1" t="inlineStr">
        <is>
          <t>Array</t>
        </is>
      </c>
      <c r="G3147" s="1" t="inlineStr">
        <is>
          <t>Easy</t>
        </is>
      </c>
      <c r="H3147" s="1" t="n">
        <v>70458</v>
      </c>
      <c r="I3147" s="1" t="n">
        <v>81064</v>
      </c>
      <c r="J3147" s="9" t="n">
        <v>0.869</v>
      </c>
      <c r="K3147" s="1" t="inlineStr">
        <is>
          <t>Yes</t>
        </is>
      </c>
      <c r="L3147" s="1" t="inlineStr">
        <is>
          <t>No</t>
        </is>
      </c>
      <c r="M3147" s="1" t="inlineStr">
        <is>
          <t>No</t>
        </is>
      </c>
      <c r="N3147" s="1" t="inlineStr">
        <is>
          <t>Algorithms</t>
        </is>
      </c>
      <c r="O31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47" s="13" t="inlineStr">
        <is>
          <t>Done</t>
        </is>
      </c>
    </row>
    <row r="3148" ht="15.75" customHeight="1" s="12">
      <c r="A3148" s="1" t="n">
        <v>3388</v>
      </c>
      <c r="B3148" s="3">
        <f>HYPERLINK("https://leetcode.com/problems/count-beautiful-splits-in-an-array/", "Count Beautiful Splits in an Array")</f>
        <v/>
      </c>
      <c r="C3148" s="1" t="n">
        <v>106</v>
      </c>
      <c r="D3148" s="1" t="n">
        <v>25</v>
      </c>
      <c r="E3148" s="4">
        <f>IF(INDEX(C:C, ROW())+INDEX(D:D, ROW())=0, 0, INDEX(C:C, ROW())/(INDEX(C:C, ROW())+INDEX(D:D, ROW())))</f>
        <v/>
      </c>
      <c r="F3148" s="1" t="inlineStr">
        <is>
          <t>Array, Dynamic Programming</t>
        </is>
      </c>
      <c r="G3148" s="1" t="inlineStr">
        <is>
          <t>Medium</t>
        </is>
      </c>
      <c r="H3148" s="1" t="n">
        <v>8140</v>
      </c>
      <c r="I3148" s="1" t="n">
        <v>43135</v>
      </c>
      <c r="J3148" s="9" t="n">
        <v>0.189</v>
      </c>
      <c r="K3148" s="1" t="inlineStr">
        <is>
          <t>Yes</t>
        </is>
      </c>
      <c r="L3148" s="1" t="inlineStr">
        <is>
          <t>No</t>
        </is>
      </c>
      <c r="M3148" s="1" t="inlineStr">
        <is>
          <t>No</t>
        </is>
      </c>
      <c r="N3148" s="1" t="inlineStr">
        <is>
          <t>Algorithms</t>
        </is>
      </c>
      <c r="O31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48" s="11" t="inlineStr">
        <is>
          <t>To Do</t>
        </is>
      </c>
    </row>
    <row r="3149" ht="15.75" customHeight="1" s="12">
      <c r="A3149" s="1" t="n">
        <v>1908</v>
      </c>
      <c r="B3149" s="3">
        <f>HYPERLINK("https://leetcode.com/problems/game-of-nim/", "Game of Nim")</f>
        <v/>
      </c>
      <c r="C3149" s="1" t="n">
        <v>105</v>
      </c>
      <c r="D3149" s="1" t="n">
        <v>40</v>
      </c>
      <c r="E3149" s="4">
        <f>IF(INDEX(C:C, ROW())+INDEX(D:D, ROW())=0, 0, INDEX(C:C, ROW())/(INDEX(C:C, ROW())+INDEX(D:D, ROW())))</f>
        <v/>
      </c>
      <c r="F3149" s="1" t="inlineStr">
        <is>
          <t>Array, Math, Dynamic Programming, Bit Manipulation, Brainteaser, Game Theory</t>
        </is>
      </c>
      <c r="G3149" s="1" t="inlineStr">
        <is>
          <t>Medium</t>
        </is>
      </c>
      <c r="H3149" s="1" t="n">
        <v>5309</v>
      </c>
      <c r="I3149" s="1" t="n">
        <v>8440</v>
      </c>
      <c r="J3149" s="9" t="n">
        <v>0.629</v>
      </c>
      <c r="K3149" s="1" t="inlineStr">
        <is>
          <t>No</t>
        </is>
      </c>
      <c r="L3149" s="1" t="inlineStr">
        <is>
          <t>Yes</t>
        </is>
      </c>
      <c r="M3149" s="1" t="inlineStr">
        <is>
          <t>No</t>
        </is>
      </c>
      <c r="N3149" s="1" t="inlineStr">
        <is>
          <t>Algorithms</t>
        </is>
      </c>
      <c r="O31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49" s="11" t="inlineStr">
        <is>
          <t>To Do</t>
        </is>
      </c>
    </row>
    <row r="3150" ht="15.75" customHeight="1" s="12">
      <c r="A3150" s="1" t="n">
        <v>2173</v>
      </c>
      <c r="B3150" s="3">
        <f>HYPERLINK("https://leetcode.com/problems/longest-winning-streak/", "Longest Winning Streak")</f>
        <v/>
      </c>
      <c r="C3150" s="1" t="n">
        <v>105</v>
      </c>
      <c r="D3150" s="1" t="n">
        <v>4</v>
      </c>
      <c r="E3150" s="4">
        <f>IF(INDEX(C:C, ROW())+INDEX(D:D, ROW())=0, 0, INDEX(C:C, ROW())/(INDEX(C:C, ROW())+INDEX(D:D, ROW())))</f>
        <v/>
      </c>
      <c r="F3150" s="1" t="inlineStr">
        <is>
          <t>Database</t>
        </is>
      </c>
      <c r="G3150" s="1" t="inlineStr">
        <is>
          <t>Hard</t>
        </is>
      </c>
      <c r="H3150" s="1" t="n">
        <v>7768</v>
      </c>
      <c r="I3150" s="1" t="n">
        <v>14328</v>
      </c>
      <c r="J3150" s="9" t="n">
        <v>0.542</v>
      </c>
      <c r="K3150" s="1" t="inlineStr">
        <is>
          <t>No</t>
        </is>
      </c>
      <c r="L3150" s="1" t="inlineStr">
        <is>
          <t>Yes</t>
        </is>
      </c>
      <c r="M3150" s="1" t="inlineStr">
        <is>
          <t>No</t>
        </is>
      </c>
      <c r="N3150" s="1" t="inlineStr">
        <is>
          <t>Database</t>
        </is>
      </c>
      <c r="O31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50" s="11" t="inlineStr">
        <is>
          <t>To Do</t>
        </is>
      </c>
    </row>
    <row r="3151" ht="15.75" customHeight="1" s="12">
      <c r="A3151" s="1" t="n">
        <v>3251</v>
      </c>
      <c r="B3151" s="3">
        <f>HYPERLINK("https://leetcode.com/problems/find-the-count-of-monotonic-pairs-ii/", "Find the Count of Monotonic Pairs II")</f>
        <v/>
      </c>
      <c r="C3151" s="1" t="n">
        <v>105</v>
      </c>
      <c r="D3151" s="1" t="n">
        <v>6</v>
      </c>
      <c r="E3151" s="4">
        <f>IF(INDEX(C:C, ROW())+INDEX(D:D, ROW())=0, 0, INDEX(C:C, ROW())/(INDEX(C:C, ROW())+INDEX(D:D, ROW())))</f>
        <v/>
      </c>
      <c r="F3151" s="1" t="inlineStr">
        <is>
          <t>Array, Math, Dynamic Programming, Combinatorics, Prefix Sum</t>
        </is>
      </c>
      <c r="G3151" s="1" t="inlineStr">
        <is>
          <t>Hard</t>
        </is>
      </c>
      <c r="H3151" s="1" t="n">
        <v>8204</v>
      </c>
      <c r="I3151" s="1" t="n">
        <v>33301</v>
      </c>
      <c r="J3151" s="9" t="n">
        <v>0.246</v>
      </c>
      <c r="K3151" s="1" t="inlineStr">
        <is>
          <t>Yes</t>
        </is>
      </c>
      <c r="L3151" s="1" t="inlineStr">
        <is>
          <t>No</t>
        </is>
      </c>
      <c r="M3151" s="1" t="inlineStr">
        <is>
          <t>No</t>
        </is>
      </c>
      <c r="N3151" s="1" t="inlineStr">
        <is>
          <t>Algorithms</t>
        </is>
      </c>
      <c r="O31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51" s="11" t="inlineStr">
        <is>
          <t>To Do</t>
        </is>
      </c>
    </row>
    <row r="3152" ht="15.75" customHeight="1" s="12">
      <c r="A3152" s="1" t="n">
        <v>3270</v>
      </c>
      <c r="B3152" s="3">
        <f>HYPERLINK("https://leetcode.com/problems/find-the-key-of-the-numbers/", "Find the Key of the Numbers")</f>
        <v/>
      </c>
      <c r="C3152" s="1" t="n">
        <v>105</v>
      </c>
      <c r="D3152" s="1" t="n">
        <v>17</v>
      </c>
      <c r="E3152" s="4">
        <f>IF(INDEX(C:C, ROW())+INDEX(D:D, ROW())=0, 0, INDEX(C:C, ROW())/(INDEX(C:C, ROW())+INDEX(D:D, ROW())))</f>
        <v/>
      </c>
      <c r="F3152" s="1" t="inlineStr">
        <is>
          <t>Math</t>
        </is>
      </c>
      <c r="G3152" s="1" t="inlineStr">
        <is>
          <t>Easy</t>
        </is>
      </c>
      <c r="H3152" s="1" t="n">
        <v>53511</v>
      </c>
      <c r="I3152" s="1" t="n">
        <v>69927</v>
      </c>
      <c r="J3152" s="9" t="n">
        <v>0.765</v>
      </c>
      <c r="K3152" s="1" t="inlineStr">
        <is>
          <t>Yes</t>
        </is>
      </c>
      <c r="L3152" s="1" t="inlineStr">
        <is>
          <t>No</t>
        </is>
      </c>
      <c r="M3152" s="1" t="inlineStr">
        <is>
          <t>No</t>
        </is>
      </c>
      <c r="N3152" s="1" t="inlineStr">
        <is>
          <t>Algorithms</t>
        </is>
      </c>
      <c r="O31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52" s="13" t="inlineStr">
        <is>
          <t>Done</t>
        </is>
      </c>
    </row>
    <row r="3153" ht="15.75" customHeight="1" s="12">
      <c r="A3153" s="1" t="n">
        <v>3320</v>
      </c>
      <c r="B3153" s="3">
        <f>HYPERLINK("https://leetcode.com/problems/count-the-number-of-winning-sequences/", "Count The Number of Winning Sequences")</f>
        <v/>
      </c>
      <c r="C3153" s="1" t="n">
        <v>105</v>
      </c>
      <c r="D3153" s="1" t="n">
        <v>5</v>
      </c>
      <c r="E3153" s="4">
        <f>IF(INDEX(C:C, ROW())+INDEX(D:D, ROW())=0, 0, INDEX(C:C, ROW())/(INDEX(C:C, ROW())+INDEX(D:D, ROW())))</f>
        <v/>
      </c>
      <c r="F3153" s="1" t="inlineStr">
        <is>
          <t>String, Dynamic Programming</t>
        </is>
      </c>
      <c r="G3153" s="1" t="inlineStr">
        <is>
          <t>Hard</t>
        </is>
      </c>
      <c r="H3153" s="1" t="n">
        <v>10788</v>
      </c>
      <c r="I3153" s="1" t="n">
        <v>33513</v>
      </c>
      <c r="J3153" s="9" t="n">
        <v>0.322</v>
      </c>
      <c r="K3153" s="1" t="inlineStr">
        <is>
          <t>Yes</t>
        </is>
      </c>
      <c r="L3153" s="1" t="inlineStr">
        <is>
          <t>No</t>
        </is>
      </c>
      <c r="M3153" s="1" t="inlineStr">
        <is>
          <t>No</t>
        </is>
      </c>
      <c r="N3153" s="1" t="inlineStr">
        <is>
          <t>Algorithms</t>
        </is>
      </c>
      <c r="O31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53" s="11" t="inlineStr">
        <is>
          <t>To Do</t>
        </is>
      </c>
    </row>
    <row r="3154" ht="15.75" customHeight="1" s="12">
      <c r="A3154" s="1" t="n">
        <v>3376</v>
      </c>
      <c r="B3154" s="3">
        <f>HYPERLINK("https://leetcode.com/problems/minimum-time-to-break-locks-i/", "Minimum Time to Break Locks I")</f>
        <v/>
      </c>
      <c r="C3154" s="1" t="n">
        <v>105</v>
      </c>
      <c r="D3154" s="1" t="n">
        <v>25</v>
      </c>
      <c r="E3154" s="4">
        <f>IF(INDEX(C:C, ROW())+INDEX(D:D, ROW())=0, 0, INDEX(C:C, ROW())/(INDEX(C:C, ROW())+INDEX(D:D, ROW())))</f>
        <v/>
      </c>
      <c r="F3154" s="1" t="inlineStr">
        <is>
          <t>Array, Dynamic Programming, Backtracking, Bit Manipulation, Breadth-First Search, Bitmask</t>
        </is>
      </c>
      <c r="G3154" s="1" t="inlineStr">
        <is>
          <t>Medium</t>
        </is>
      </c>
      <c r="H3154" s="1" t="n">
        <v>14292</v>
      </c>
      <c r="I3154" s="1" t="n">
        <v>44029</v>
      </c>
      <c r="J3154" s="9" t="n">
        <v>0.325</v>
      </c>
      <c r="K3154" s="1" t="inlineStr">
        <is>
          <t>Yes</t>
        </is>
      </c>
      <c r="L3154" s="1" t="inlineStr">
        <is>
          <t>No</t>
        </is>
      </c>
      <c r="M3154" s="1" t="inlineStr">
        <is>
          <t>No</t>
        </is>
      </c>
      <c r="N3154" s="1" t="inlineStr">
        <is>
          <t>Algorithms</t>
        </is>
      </c>
      <c r="O31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54" s="11" t="inlineStr">
        <is>
          <t>To Do</t>
        </is>
      </c>
    </row>
    <row r="3155" ht="15.75" customHeight="1" s="12">
      <c r="A3155" s="1" t="n">
        <v>3411</v>
      </c>
      <c r="B3155" s="3">
        <f>HYPERLINK("https://leetcode.com/problems/maximum-subarray-with-equal-products/", "Maximum Subarray With Equal Products")</f>
        <v/>
      </c>
      <c r="C3155" s="1" t="n">
        <v>105</v>
      </c>
      <c r="D3155" s="1" t="n">
        <v>45</v>
      </c>
      <c r="E3155" s="4">
        <f>IF(INDEX(C:C, ROW())+INDEX(D:D, ROW())=0, 0, INDEX(C:C, ROW())/(INDEX(C:C, ROW())+INDEX(D:D, ROW())))</f>
        <v/>
      </c>
      <c r="F3155" s="1" t="inlineStr">
        <is>
          <t>Array, Math, Sliding Window, Enumeration, Number Theory</t>
        </is>
      </c>
      <c r="G3155" s="1" t="inlineStr">
        <is>
          <t>Easy</t>
        </is>
      </c>
      <c r="H3155" s="1" t="n">
        <v>29343</v>
      </c>
      <c r="I3155" s="1" t="n">
        <v>62633</v>
      </c>
      <c r="J3155" s="9" t="n">
        <v>0.468</v>
      </c>
      <c r="K3155" s="1" t="inlineStr">
        <is>
          <t>Yes</t>
        </is>
      </c>
      <c r="L3155" s="1" t="inlineStr">
        <is>
          <t>No</t>
        </is>
      </c>
      <c r="M3155" s="1" t="inlineStr">
        <is>
          <t>No</t>
        </is>
      </c>
      <c r="N3155" s="1" t="inlineStr">
        <is>
          <t>Algorithms</t>
        </is>
      </c>
      <c r="O31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55" s="13" t="inlineStr">
        <is>
          <t>Done</t>
        </is>
      </c>
    </row>
    <row r="3156" ht="15.75" customHeight="1" s="12">
      <c r="A3156" s="1" t="n">
        <v>3604</v>
      </c>
      <c r="B3156" s="3">
        <f>HYPERLINK("https://leetcode.com/problems/minimum-time-to-reach-destination-in-directed-graph/", "Minimum Time to Reach Destination in Directed Graph")</f>
        <v/>
      </c>
      <c r="C3156" s="1" t="n">
        <v>105</v>
      </c>
      <c r="D3156" s="1" t="n">
        <v>4</v>
      </c>
      <c r="E3156" s="4">
        <f>IF(INDEX(C:C, ROW())+INDEX(D:D, ROW())=0, 0, INDEX(C:C, ROW())/(INDEX(C:C, ROW())+INDEX(D:D, ROW())))</f>
        <v/>
      </c>
      <c r="F3156" s="1" t="inlineStr">
        <is>
          <t>Graph Theory, Heap (Priority Queue), Shortest Path</t>
        </is>
      </c>
      <c r="G3156" s="1" t="inlineStr">
        <is>
          <t>Medium</t>
        </is>
      </c>
      <c r="H3156" s="1" t="n">
        <v>17707</v>
      </c>
      <c r="I3156" s="1" t="n">
        <v>38809</v>
      </c>
      <c r="J3156" s="9" t="n">
        <v>0.456</v>
      </c>
      <c r="K3156" s="1" t="inlineStr">
        <is>
          <t>Yes</t>
        </is>
      </c>
      <c r="L3156" s="1" t="inlineStr">
        <is>
          <t>No</t>
        </is>
      </c>
      <c r="M3156" s="1" t="inlineStr">
        <is>
          <t>No</t>
        </is>
      </c>
      <c r="N3156" s="1" t="inlineStr">
        <is>
          <t>Algorithms</t>
        </is>
      </c>
      <c r="O31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56" s="11" t="inlineStr">
        <is>
          <t>To Do</t>
        </is>
      </c>
    </row>
    <row r="3157" ht="15.75" customHeight="1" s="12">
      <c r="A3157" s="1" t="n">
        <v>3825</v>
      </c>
      <c r="B3157" s="3">
        <f>HYPERLINK("https://leetcode.com/problems/longest-strictly-increasing-subsequence-with-non-zero-bitwise-and/", "Longest Strictly Increasing Subsequence With Non-Zero Bitwise AND")</f>
        <v/>
      </c>
      <c r="C3157" s="1" t="n">
        <v>105</v>
      </c>
      <c r="D3157" s="1" t="n">
        <v>2</v>
      </c>
      <c r="E3157" s="4">
        <f>IF(INDEX(C:C, ROW())+INDEX(D:D, ROW())=0, 0, INDEX(C:C, ROW())/(INDEX(C:C, ROW())+INDEX(D:D, ROW())))</f>
        <v/>
      </c>
      <c r="F3157" s="1" t="inlineStr">
        <is>
          <t>Array, Binary Search, Bit Manipulation, Enumeration</t>
        </is>
      </c>
      <c r="G3157" s="1" t="inlineStr">
        <is>
          <t>Medium</t>
        </is>
      </c>
      <c r="H3157" s="1" t="n">
        <v>22672</v>
      </c>
      <c r="I3157" s="1" t="n">
        <v>44772</v>
      </c>
      <c r="J3157" s="9" t="n">
        <v>0.506</v>
      </c>
      <c r="K3157" s="1" t="inlineStr">
        <is>
          <t>Yes</t>
        </is>
      </c>
      <c r="L3157" s="1" t="inlineStr">
        <is>
          <t>No</t>
        </is>
      </c>
      <c r="M3157" s="1" t="inlineStr">
        <is>
          <t>No</t>
        </is>
      </c>
      <c r="N3157" s="1" t="inlineStr">
        <is>
          <t>Algorithms</t>
        </is>
      </c>
      <c r="O31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57" s="11" t="inlineStr">
        <is>
          <t>To Do</t>
        </is>
      </c>
    </row>
    <row r="3158" ht="15.75" customHeight="1" s="12">
      <c r="A3158" s="1" t="n">
        <v>1843</v>
      </c>
      <c r="B3158" s="3">
        <f>HYPERLINK("https://leetcode.com/problems/suspicious-bank-accounts/", "Suspicious Bank Accounts")</f>
        <v/>
      </c>
      <c r="C3158" s="1" t="n">
        <v>104</v>
      </c>
      <c r="D3158" s="1" t="n">
        <v>59</v>
      </c>
      <c r="E3158" s="4">
        <f>IF(INDEX(C:C, ROW())+INDEX(D:D, ROW())=0, 0, INDEX(C:C, ROW())/(INDEX(C:C, ROW())+INDEX(D:D, ROW())))</f>
        <v/>
      </c>
      <c r="F3158" s="1" t="inlineStr">
        <is>
          <t>Database</t>
        </is>
      </c>
      <c r="G3158" s="1" t="inlineStr">
        <is>
          <t>Medium</t>
        </is>
      </c>
      <c r="H3158" s="1" t="n">
        <v>15220</v>
      </c>
      <c r="I3158" s="1" t="n">
        <v>34456</v>
      </c>
      <c r="J3158" s="9" t="n">
        <v>0.442</v>
      </c>
      <c r="K3158" s="1" t="inlineStr">
        <is>
          <t>No</t>
        </is>
      </c>
      <c r="L3158" s="1" t="inlineStr">
        <is>
          <t>Yes</t>
        </is>
      </c>
      <c r="M3158" s="1" t="inlineStr">
        <is>
          <t>No</t>
        </is>
      </c>
      <c r="N3158" s="1" t="inlineStr">
        <is>
          <t>Database</t>
        </is>
      </c>
      <c r="O31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58" s="11" t="inlineStr">
        <is>
          <t>To Do</t>
        </is>
      </c>
    </row>
    <row r="3159" ht="15.75" customHeight="1" s="12">
      <c r="A3159" s="1" t="n">
        <v>1983</v>
      </c>
      <c r="B3159" s="3">
        <f>HYPERLINK("https://leetcode.com/problems/widest-pair-of-indices-with-equal-range-sum/", "Widest Pair of Indices With Equal Range Sum")</f>
        <v/>
      </c>
      <c r="C3159" s="1" t="n">
        <v>104</v>
      </c>
      <c r="D3159" s="1" t="n">
        <v>3</v>
      </c>
      <c r="E3159" s="4">
        <f>IF(INDEX(C:C, ROW())+INDEX(D:D, ROW())=0, 0, INDEX(C:C, ROW())/(INDEX(C:C, ROW())+INDEX(D:D, ROW())))</f>
        <v/>
      </c>
      <c r="F3159" s="1" t="inlineStr">
        <is>
          <t>Array, Hash Table, Prefix Sum</t>
        </is>
      </c>
      <c r="G3159" s="1" t="inlineStr">
        <is>
          <t>Medium</t>
        </is>
      </c>
      <c r="H3159" s="1" t="n">
        <v>3599</v>
      </c>
      <c r="I3159" s="1" t="n">
        <v>6662</v>
      </c>
      <c r="J3159" s="9" t="n">
        <v>0.54</v>
      </c>
      <c r="K3159" s="1" t="inlineStr">
        <is>
          <t>No</t>
        </is>
      </c>
      <c r="L3159" s="1" t="inlineStr">
        <is>
          <t>No</t>
        </is>
      </c>
      <c r="M3159" s="1" t="inlineStr">
        <is>
          <t>No</t>
        </is>
      </c>
      <c r="N3159" s="1" t="inlineStr">
        <is>
          <t>Algorithms</t>
        </is>
      </c>
      <c r="O31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59" s="11" t="inlineStr">
        <is>
          <t>To Do</t>
        </is>
      </c>
    </row>
    <row r="3160" ht="15.75" customHeight="1" s="12">
      <c r="A3160" s="1" t="n">
        <v>2168</v>
      </c>
      <c r="B3160" s="3">
        <f>HYPERLINK("https://leetcode.com/problems/unique-substrings-with-equal-digit-frequency/", "Unique Substrings With Equal Digit Frequency")</f>
        <v/>
      </c>
      <c r="C3160" s="1" t="n">
        <v>104</v>
      </c>
      <c r="D3160" s="1" t="n">
        <v>14</v>
      </c>
      <c r="E3160" s="4">
        <f>IF(INDEX(C:C, ROW())+INDEX(D:D, ROW())=0, 0, INDEX(C:C, ROW())/(INDEX(C:C, ROW())+INDEX(D:D, ROW())))</f>
        <v/>
      </c>
      <c r="F3160" s="1" t="inlineStr">
        <is>
          <t>Hash Table, String, Rolling Hash, Counting, Hash Function</t>
        </is>
      </c>
      <c r="G3160" s="1" t="inlineStr">
        <is>
          <t>Medium</t>
        </is>
      </c>
      <c r="H3160" s="1" t="n">
        <v>9949</v>
      </c>
      <c r="I3160" s="1" t="n">
        <v>15402</v>
      </c>
      <c r="J3160" s="9" t="n">
        <v>0.646</v>
      </c>
      <c r="K3160" s="1" t="inlineStr">
        <is>
          <t>No</t>
        </is>
      </c>
      <c r="L3160" s="1" t="inlineStr">
        <is>
          <t>Yes</t>
        </is>
      </c>
      <c r="M3160" s="1" t="inlineStr">
        <is>
          <t>No</t>
        </is>
      </c>
      <c r="N3160" s="1" t="inlineStr">
        <is>
          <t>Algorithms</t>
        </is>
      </c>
      <c r="O31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60" s="11" t="inlineStr">
        <is>
          <t>To Do</t>
        </is>
      </c>
    </row>
    <row r="3161" ht="15.75" customHeight="1" s="12">
      <c r="A3161" s="1" t="n">
        <v>3421</v>
      </c>
      <c r="B3161" s="3">
        <f>HYPERLINK("https://leetcode.com/problems/find-students-who-improved/", "Find Students Who Improved")</f>
        <v/>
      </c>
      <c r="C3161" s="1" t="n">
        <v>104</v>
      </c>
      <c r="D3161" s="1" t="n">
        <v>10</v>
      </c>
      <c r="E3161" s="4">
        <f>IF(INDEX(C:C, ROW())+INDEX(D:D, ROW())=0, 0, INDEX(C:C, ROW())/(INDEX(C:C, ROW())+INDEX(D:D, ROW())))</f>
        <v/>
      </c>
      <c r="F3161" s="1" t="inlineStr">
        <is>
          <t>Database</t>
        </is>
      </c>
      <c r="G3161" s="1" t="inlineStr">
        <is>
          <t>Medium</t>
        </is>
      </c>
      <c r="H3161" s="1" t="n">
        <v>27462</v>
      </c>
      <c r="I3161" s="1" t="n">
        <v>56501</v>
      </c>
      <c r="J3161" s="9" t="n">
        <v>0.486</v>
      </c>
      <c r="K3161" s="1" t="inlineStr">
        <is>
          <t>Yes</t>
        </is>
      </c>
      <c r="L3161" s="1" t="inlineStr">
        <is>
          <t>No</t>
        </is>
      </c>
      <c r="M3161" s="1" t="inlineStr">
        <is>
          <t>No</t>
        </is>
      </c>
      <c r="N3161" s="1" t="inlineStr">
        <is>
          <t>Database</t>
        </is>
      </c>
      <c r="O31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61" s="11" t="inlineStr">
        <is>
          <t>To Do</t>
        </is>
      </c>
    </row>
    <row r="3162" ht="15.75" customHeight="1" s="12">
      <c r="A3162" s="1" t="n">
        <v>3670</v>
      </c>
      <c r="B3162" s="3">
        <f>HYPERLINK("https://leetcode.com/problems/maximum-product-of-two-integers-with-no-common-bits/", "Maximum Product of Two Integers With No Common Bits")</f>
        <v/>
      </c>
      <c r="C3162" s="1" t="n">
        <v>104</v>
      </c>
      <c r="D3162" s="1" t="n">
        <v>21</v>
      </c>
      <c r="E3162" s="4">
        <f>IF(INDEX(C:C, ROW())+INDEX(D:D, ROW())=0, 0, INDEX(C:C, ROW())/(INDEX(C:C, ROW())+INDEX(D:D, ROW())))</f>
        <v/>
      </c>
      <c r="F3162" s="1" t="inlineStr">
        <is>
          <t>Array, Dynamic Programming, Bit Manipulation</t>
        </is>
      </c>
      <c r="G3162" s="1" t="inlineStr">
        <is>
          <t>Medium</t>
        </is>
      </c>
      <c r="H3162" s="1" t="n">
        <v>11642</v>
      </c>
      <c r="I3162" s="1" t="n">
        <v>76514</v>
      </c>
      <c r="J3162" s="9" t="n">
        <v>0.152</v>
      </c>
      <c r="K3162" s="1" t="inlineStr">
        <is>
          <t>Yes</t>
        </is>
      </c>
      <c r="L3162" s="1" t="inlineStr">
        <is>
          <t>No</t>
        </is>
      </c>
      <c r="M3162" s="1" t="inlineStr">
        <is>
          <t>No</t>
        </is>
      </c>
      <c r="N3162" s="1" t="inlineStr">
        <is>
          <t>Algorithms</t>
        </is>
      </c>
      <c r="O31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62" s="11" t="inlineStr">
        <is>
          <t>To Do</t>
        </is>
      </c>
    </row>
    <row r="3163" ht="15.75" customHeight="1" s="12">
      <c r="A3163" s="1" t="n">
        <v>469</v>
      </c>
      <c r="B3163" s="3">
        <f>HYPERLINK("https://leetcode.com/problems/convex-polygon/", "Convex Polygon")</f>
        <v/>
      </c>
      <c r="C3163" s="1" t="n">
        <v>103</v>
      </c>
      <c r="D3163" s="1" t="n">
        <v>243</v>
      </c>
      <c r="E3163" s="4">
        <f>IF(INDEX(C:C, ROW())+INDEX(D:D, ROW())=0, 0, INDEX(C:C, ROW())/(INDEX(C:C, ROW())+INDEX(D:D, ROW())))</f>
        <v/>
      </c>
      <c r="F3163" s="1" t="inlineStr">
        <is>
          <t>Array, Math, Geometry</t>
        </is>
      </c>
      <c r="G3163" s="1" t="inlineStr">
        <is>
          <t>Medium</t>
        </is>
      </c>
      <c r="H3163" s="1" t="n">
        <v>11675</v>
      </c>
      <c r="I3163" s="1" t="n">
        <v>29025</v>
      </c>
      <c r="J3163" s="9" t="n">
        <v>0.402</v>
      </c>
      <c r="K3163" s="1" t="inlineStr">
        <is>
          <t>No</t>
        </is>
      </c>
      <c r="L3163" s="1" t="inlineStr">
        <is>
          <t>No</t>
        </is>
      </c>
      <c r="M3163" s="1" t="inlineStr">
        <is>
          <t>No</t>
        </is>
      </c>
      <c r="N3163" s="1" t="inlineStr">
        <is>
          <t>Algorithms</t>
        </is>
      </c>
      <c r="O31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63" s="11" t="inlineStr">
        <is>
          <t>To Do</t>
        </is>
      </c>
    </row>
    <row r="3164" ht="15.75" customHeight="1" s="12">
      <c r="A3164" s="1" t="n">
        <v>2883</v>
      </c>
      <c r="B3164" s="3">
        <f>HYPERLINK("https://leetcode.com/problems/drop-missing-data/", "Drop Missing Data")</f>
        <v/>
      </c>
      <c r="C3164" s="1" t="n">
        <v>103</v>
      </c>
      <c r="D3164" s="1" t="n">
        <v>7</v>
      </c>
      <c r="E3164" s="4">
        <f>IF(INDEX(C:C, ROW())+INDEX(D:D, ROW())=0, 0, INDEX(C:C, ROW())/(INDEX(C:C, ROW())+INDEX(D:D, ROW())))</f>
        <v/>
      </c>
      <c r="F3164" s="2" t="n"/>
      <c r="G3164" s="1" t="inlineStr">
        <is>
          <t>Easy</t>
        </is>
      </c>
      <c r="H3164" s="1" t="n">
        <v>132317</v>
      </c>
      <c r="I3164" s="1" t="n">
        <v>205045</v>
      </c>
      <c r="J3164" s="9" t="n">
        <v>0.645</v>
      </c>
      <c r="K3164" s="1" t="inlineStr">
        <is>
          <t>Yes</t>
        </is>
      </c>
      <c r="L3164" s="1" t="inlineStr">
        <is>
          <t>Yes</t>
        </is>
      </c>
      <c r="M3164" s="1" t="inlineStr">
        <is>
          <t>No</t>
        </is>
      </c>
      <c r="N3164" s="1" t="inlineStr">
        <is>
          <t>pandas</t>
        </is>
      </c>
      <c r="O31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64" s="13" t="inlineStr">
        <is>
          <t>Done</t>
        </is>
      </c>
    </row>
    <row r="3165" ht="15.75" customHeight="1" s="12">
      <c r="A3165" s="1" t="n">
        <v>3044</v>
      </c>
      <c r="B3165" s="3">
        <f>HYPERLINK("https://leetcode.com/problems/most-frequent-prime/", "Most Frequent Prime")</f>
        <v/>
      </c>
      <c r="C3165" s="1" t="n">
        <v>103</v>
      </c>
      <c r="D3165" s="1" t="n">
        <v>70</v>
      </c>
      <c r="E3165" s="4">
        <f>IF(INDEX(C:C, ROW())+INDEX(D:D, ROW())=0, 0, INDEX(C:C, ROW())/(INDEX(C:C, ROW())+INDEX(D:D, ROW())))</f>
        <v/>
      </c>
      <c r="F3165" s="1" t="inlineStr">
        <is>
          <t>Array, Hash Table, Math, Matrix, Counting, Enumeration, Number Theory</t>
        </is>
      </c>
      <c r="G3165" s="1" t="inlineStr">
        <is>
          <t>Medium</t>
        </is>
      </c>
      <c r="H3165" s="1" t="n">
        <v>19013</v>
      </c>
      <c r="I3165" s="1" t="n">
        <v>41338</v>
      </c>
      <c r="J3165" s="9" t="n">
        <v>0.46</v>
      </c>
      <c r="K3165" s="1" t="inlineStr">
        <is>
          <t>Yes</t>
        </is>
      </c>
      <c r="L3165" s="1" t="inlineStr">
        <is>
          <t>No</t>
        </is>
      </c>
      <c r="M3165" s="1" t="inlineStr">
        <is>
          <t>No</t>
        </is>
      </c>
      <c r="N3165" s="1" t="inlineStr">
        <is>
          <t>Algorithms</t>
        </is>
      </c>
      <c r="O31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65" s="11" t="inlineStr">
        <is>
          <t>To Do</t>
        </is>
      </c>
    </row>
    <row r="3166" ht="15.75" customHeight="1" s="12">
      <c r="A3166" s="1" t="n">
        <v>3226</v>
      </c>
      <c r="B3166" s="3">
        <f>HYPERLINK("https://leetcode.com/problems/number-of-bit-changes-to-make-two-integers-equal/", "Number of Bit Changes to Make Two Integers Equal")</f>
        <v/>
      </c>
      <c r="C3166" s="1" t="n">
        <v>103</v>
      </c>
      <c r="D3166" s="1" t="n">
        <v>7</v>
      </c>
      <c r="E3166" s="4">
        <f>IF(INDEX(C:C, ROW())+INDEX(D:D, ROW())=0, 0, INDEX(C:C, ROW())/(INDEX(C:C, ROW())+INDEX(D:D, ROW())))</f>
        <v/>
      </c>
      <c r="F3166" s="1" t="inlineStr">
        <is>
          <t>Bit Manipulation</t>
        </is>
      </c>
      <c r="G3166" s="1" t="inlineStr">
        <is>
          <t>Easy</t>
        </is>
      </c>
      <c r="H3166" s="1" t="n">
        <v>51928</v>
      </c>
      <c r="I3166" s="1" t="n">
        <v>81821</v>
      </c>
      <c r="J3166" s="9" t="n">
        <v>0.635</v>
      </c>
      <c r="K3166" s="1" t="inlineStr">
        <is>
          <t>Yes</t>
        </is>
      </c>
      <c r="L3166" s="1" t="inlineStr">
        <is>
          <t>No</t>
        </is>
      </c>
      <c r="M3166" s="1" t="inlineStr">
        <is>
          <t>No</t>
        </is>
      </c>
      <c r="N3166" s="1" t="inlineStr">
        <is>
          <t>Algorithms</t>
        </is>
      </c>
      <c r="O31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66" s="13" t="inlineStr">
        <is>
          <t>Done</t>
        </is>
      </c>
    </row>
    <row r="3167" ht="15.75" customHeight="1" s="12">
      <c r="A3167" s="1" t="n">
        <v>3288</v>
      </c>
      <c r="B3167" s="3">
        <f>HYPERLINK("https://leetcode.com/problems/length-of-the-longest-increasing-path/", "Length of the Longest Increasing Path")</f>
        <v/>
      </c>
      <c r="C3167" s="1" t="n">
        <v>103</v>
      </c>
      <c r="D3167" s="1" t="n">
        <v>2</v>
      </c>
      <c r="E3167" s="4">
        <f>IF(INDEX(C:C, ROW())+INDEX(D:D, ROW())=0, 0, INDEX(C:C, ROW())/(INDEX(C:C, ROW())+INDEX(D:D, ROW())))</f>
        <v/>
      </c>
      <c r="F3167" s="1" t="inlineStr">
        <is>
          <t>Array, Binary Search, Sorting</t>
        </is>
      </c>
      <c r="G3167" s="1" t="inlineStr">
        <is>
          <t>Hard</t>
        </is>
      </c>
      <c r="H3167" s="1" t="n">
        <v>6068</v>
      </c>
      <c r="I3167" s="1" t="n">
        <v>31170</v>
      </c>
      <c r="J3167" s="9" t="n">
        <v>0.195</v>
      </c>
      <c r="K3167" s="1" t="inlineStr">
        <is>
          <t>Yes</t>
        </is>
      </c>
      <c r="L3167" s="1" t="inlineStr">
        <is>
          <t>No</t>
        </is>
      </c>
      <c r="M3167" s="1" t="inlineStr">
        <is>
          <t>No</t>
        </is>
      </c>
      <c r="N3167" s="1" t="inlineStr">
        <is>
          <t>Algorithms</t>
        </is>
      </c>
      <c r="O31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67" s="11" t="inlineStr">
        <is>
          <t>To Do</t>
        </is>
      </c>
    </row>
    <row r="3168" ht="15.75" customHeight="1" s="12">
      <c r="A3168" s="1" t="n">
        <v>3649</v>
      </c>
      <c r="B3168" s="3">
        <f>HYPERLINK("https://leetcode.com/problems/number-of-perfect-pairs/", "Number of Perfect Pairs")</f>
        <v/>
      </c>
      <c r="C3168" s="1" t="n">
        <v>103</v>
      </c>
      <c r="D3168" s="1" t="n">
        <v>11</v>
      </c>
      <c r="E3168" s="4">
        <f>IF(INDEX(C:C, ROW())+INDEX(D:D, ROW())=0, 0, INDEX(C:C, ROW())/(INDEX(C:C, ROW())+INDEX(D:D, ROW())))</f>
        <v/>
      </c>
      <c r="F3168" s="1" t="inlineStr">
        <is>
          <t>Array, Math, Two Pointers, Sorting</t>
        </is>
      </c>
      <c r="G3168" s="1" t="inlineStr">
        <is>
          <t>Medium</t>
        </is>
      </c>
      <c r="H3168" s="1" t="n">
        <v>22342</v>
      </c>
      <c r="I3168" s="1" t="n">
        <v>65724</v>
      </c>
      <c r="J3168" s="9" t="n">
        <v>0.34</v>
      </c>
      <c r="K3168" s="1" t="inlineStr">
        <is>
          <t>Yes</t>
        </is>
      </c>
      <c r="L3168" s="1" t="inlineStr">
        <is>
          <t>No</t>
        </is>
      </c>
      <c r="M3168" s="1" t="inlineStr">
        <is>
          <t>No</t>
        </is>
      </c>
      <c r="N3168" s="1" t="inlineStr">
        <is>
          <t>Algorithms</t>
        </is>
      </c>
      <c r="O31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68" s="11" t="inlineStr">
        <is>
          <t>To Do</t>
        </is>
      </c>
    </row>
    <row r="3169" ht="15.75" customHeight="1" s="12">
      <c r="A3169" s="1" t="n">
        <v>3698</v>
      </c>
      <c r="B3169" s="3">
        <f>HYPERLINK("https://leetcode.com/problems/split-array-with-minimum-difference/", "Split Array With Minimum Difference")</f>
        <v/>
      </c>
      <c r="C3169" s="1" t="n">
        <v>103</v>
      </c>
      <c r="D3169" s="1" t="n">
        <v>16</v>
      </c>
      <c r="E3169" s="4">
        <f>IF(INDEX(C:C, ROW())+INDEX(D:D, ROW())=0, 0, INDEX(C:C, ROW())/(INDEX(C:C, ROW())+INDEX(D:D, ROW())))</f>
        <v/>
      </c>
      <c r="F3169" s="1" t="inlineStr">
        <is>
          <t>Array, Prefix Sum</t>
        </is>
      </c>
      <c r="G3169" s="1" t="inlineStr">
        <is>
          <t>Medium</t>
        </is>
      </c>
      <c r="H3169" s="1" t="n">
        <v>40881</v>
      </c>
      <c r="I3169" s="1" t="n">
        <v>121643</v>
      </c>
      <c r="J3169" s="9" t="n">
        <v>0.336</v>
      </c>
      <c r="K3169" s="1" t="inlineStr">
        <is>
          <t>Yes</t>
        </is>
      </c>
      <c r="L3169" s="1" t="inlineStr">
        <is>
          <t>No</t>
        </is>
      </c>
      <c r="M3169" s="1" t="inlineStr">
        <is>
          <t>No</t>
        </is>
      </c>
      <c r="N3169" s="1" t="inlineStr">
        <is>
          <t>Algorithms</t>
        </is>
      </c>
      <c r="O31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69" s="11" t="inlineStr">
        <is>
          <t>To Do</t>
        </is>
      </c>
    </row>
    <row r="3170" ht="15.75" customHeight="1" s="12">
      <c r="A3170" s="1" t="n">
        <v>3300</v>
      </c>
      <c r="B3170" s="3">
        <f>HYPERLINK("https://leetcode.com/problems/minimum-element-after-replacement-with-digit-sum/", "Minimum Element After Replacement With Digit Sum")</f>
        <v/>
      </c>
      <c r="C3170" s="1" t="n">
        <v>102</v>
      </c>
      <c r="D3170" s="1" t="n">
        <v>4</v>
      </c>
      <c r="E3170" s="4">
        <f>IF(INDEX(C:C, ROW())+INDEX(D:D, ROW())=0, 0, INDEX(C:C, ROW())/(INDEX(C:C, ROW())+INDEX(D:D, ROW())))</f>
        <v/>
      </c>
      <c r="F3170" s="1" t="inlineStr">
        <is>
          <t>Array, Math</t>
        </is>
      </c>
      <c r="G3170" s="1" t="inlineStr">
        <is>
          <t>Easy</t>
        </is>
      </c>
      <c r="H3170" s="1" t="n">
        <v>73049</v>
      </c>
      <c r="I3170" s="1" t="n">
        <v>86192</v>
      </c>
      <c r="J3170" s="9" t="n">
        <v>0.848</v>
      </c>
      <c r="K3170" s="1" t="inlineStr">
        <is>
          <t>Yes</t>
        </is>
      </c>
      <c r="L3170" s="1" t="inlineStr">
        <is>
          <t>No</t>
        </is>
      </c>
      <c r="M3170" s="1" t="inlineStr">
        <is>
          <t>No</t>
        </is>
      </c>
      <c r="N3170" s="1" t="inlineStr">
        <is>
          <t>Algorithms</t>
        </is>
      </c>
      <c r="O31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70" s="13" t="inlineStr">
        <is>
          <t>Done</t>
        </is>
      </c>
    </row>
    <row r="3171" ht="15.75" customHeight="1" s="12">
      <c r="A3171" s="1" t="n">
        <v>3367</v>
      </c>
      <c r="B3171" s="3">
        <f>HYPERLINK("https://leetcode.com/problems/maximize-sum-of-weights-after-edge-removals/", "Maximize Sum of Weights after Edge Removals")</f>
        <v/>
      </c>
      <c r="C3171" s="1" t="n">
        <v>102</v>
      </c>
      <c r="D3171" s="1" t="n">
        <v>4</v>
      </c>
      <c r="E3171" s="4">
        <f>IF(INDEX(C:C, ROW())+INDEX(D:D, ROW())=0, 0, INDEX(C:C, ROW())/(INDEX(C:C, ROW())+INDEX(D:D, ROW())))</f>
        <v/>
      </c>
      <c r="F3171" s="1" t="inlineStr">
        <is>
          <t>Dynamic Programming, Tree, Depth-First Search, Sorting</t>
        </is>
      </c>
      <c r="G3171" s="1" t="inlineStr">
        <is>
          <t>Hard</t>
        </is>
      </c>
      <c r="H3171" s="1" t="n">
        <v>4567</v>
      </c>
      <c r="I3171" s="1" t="n">
        <v>14785</v>
      </c>
      <c r="J3171" s="9" t="n">
        <v>0.309</v>
      </c>
      <c r="K3171" s="1" t="inlineStr">
        <is>
          <t>Yes</t>
        </is>
      </c>
      <c r="L3171" s="1" t="inlineStr">
        <is>
          <t>No</t>
        </is>
      </c>
      <c r="M3171" s="1" t="inlineStr">
        <is>
          <t>No</t>
        </is>
      </c>
      <c r="N3171" s="1" t="inlineStr">
        <is>
          <t>Algorithms</t>
        </is>
      </c>
      <c r="O31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71" s="11" t="inlineStr">
        <is>
          <t>To Do</t>
        </is>
      </c>
    </row>
    <row r="3172" ht="15.75" customHeight="1" s="12">
      <c r="A3172" s="1" t="n">
        <v>2082</v>
      </c>
      <c r="B3172" s="3">
        <f>HYPERLINK("https://leetcode.com/problems/the-number-of-rich-customers/", "The Number of Rich Customers")</f>
        <v/>
      </c>
      <c r="C3172" s="1" t="n">
        <v>101</v>
      </c>
      <c r="D3172" s="1" t="n">
        <v>25</v>
      </c>
      <c r="E3172" s="4">
        <f>IF(INDEX(C:C, ROW())+INDEX(D:D, ROW())=0, 0, INDEX(C:C, ROW())/(INDEX(C:C, ROW())+INDEX(D:D, ROW())))</f>
        <v/>
      </c>
      <c r="F3172" s="1" t="inlineStr">
        <is>
          <t>Database</t>
        </is>
      </c>
      <c r="G3172" s="1" t="inlineStr">
        <is>
          <t>Easy</t>
        </is>
      </c>
      <c r="H3172" s="1" t="n">
        <v>31047</v>
      </c>
      <c r="I3172" s="1" t="n">
        <v>40132</v>
      </c>
      <c r="J3172" s="9" t="n">
        <v>0.774</v>
      </c>
      <c r="K3172" s="1" t="inlineStr">
        <is>
          <t>No</t>
        </is>
      </c>
      <c r="L3172" s="1" t="inlineStr">
        <is>
          <t>Yes</t>
        </is>
      </c>
      <c r="M3172" s="1" t="inlineStr">
        <is>
          <t>No</t>
        </is>
      </c>
      <c r="N3172" s="1" t="inlineStr">
        <is>
          <t>Database</t>
        </is>
      </c>
      <c r="O31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72" s="11" t="inlineStr">
        <is>
          <t>To Do</t>
        </is>
      </c>
    </row>
    <row r="3173" ht="15.75" customHeight="1" s="12">
      <c r="A3173" s="1" t="n">
        <v>3216</v>
      </c>
      <c r="B3173" s="3">
        <f>HYPERLINK("https://leetcode.com/problems/lexicographically-smallest-string-after-a-swap/", "Lexicographically Smallest String After a Swap")</f>
        <v/>
      </c>
      <c r="C3173" s="1" t="n">
        <v>101</v>
      </c>
      <c r="D3173" s="1" t="n">
        <v>32</v>
      </c>
      <c r="E3173" s="4">
        <f>IF(INDEX(C:C, ROW())+INDEX(D:D, ROW())=0, 0, INDEX(C:C, ROW())/(INDEX(C:C, ROW())+INDEX(D:D, ROW())))</f>
        <v/>
      </c>
      <c r="F3173" s="1" t="inlineStr">
        <is>
          <t>String, Greedy</t>
        </is>
      </c>
      <c r="G3173" s="1" t="inlineStr">
        <is>
          <t>Easy</t>
        </is>
      </c>
      <c r="H3173" s="1" t="n">
        <v>55688</v>
      </c>
      <c r="I3173" s="1" t="n">
        <v>101990</v>
      </c>
      <c r="J3173" s="9" t="n">
        <v>0.546</v>
      </c>
      <c r="K3173" s="1" t="inlineStr">
        <is>
          <t>Yes</t>
        </is>
      </c>
      <c r="L3173" s="1" t="inlineStr">
        <is>
          <t>No</t>
        </is>
      </c>
      <c r="M3173" s="1" t="inlineStr">
        <is>
          <t>No</t>
        </is>
      </c>
      <c r="N3173" s="1" t="inlineStr">
        <is>
          <t>Algorithms</t>
        </is>
      </c>
      <c r="O31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73" s="13" t="inlineStr">
        <is>
          <t>Done</t>
        </is>
      </c>
    </row>
    <row r="3174" ht="15.75" customHeight="1" s="12">
      <c r="A3174" s="1" t="n">
        <v>3312</v>
      </c>
      <c r="B3174" s="3">
        <f>HYPERLINK("https://leetcode.com/problems/sorted-gcd-pair-queries/", "Sorted GCD Pair Queries")</f>
        <v/>
      </c>
      <c r="C3174" s="1" t="n">
        <v>101</v>
      </c>
      <c r="D3174" s="1" t="n">
        <v>5</v>
      </c>
      <c r="E3174" s="4">
        <f>IF(INDEX(C:C, ROW())+INDEX(D:D, ROW())=0, 0, INDEX(C:C, ROW())/(INDEX(C:C, ROW())+INDEX(D:D, ROW())))</f>
        <v/>
      </c>
      <c r="F3174" s="1" t="inlineStr">
        <is>
          <t>Array, Hash Table, Math, Binary Search, Combinatorics, Counting, Number Theory, Prefix Sum</t>
        </is>
      </c>
      <c r="G3174" s="1" t="inlineStr">
        <is>
          <t>Hard</t>
        </is>
      </c>
      <c r="H3174" s="1" t="n">
        <v>6075</v>
      </c>
      <c r="I3174" s="1" t="n">
        <v>26534</v>
      </c>
      <c r="J3174" s="9" t="n">
        <v>0.229</v>
      </c>
      <c r="K3174" s="1" t="inlineStr">
        <is>
          <t>Yes</t>
        </is>
      </c>
      <c r="L3174" s="1" t="inlineStr">
        <is>
          <t>No</t>
        </is>
      </c>
      <c r="M3174" s="1" t="inlineStr">
        <is>
          <t>No</t>
        </is>
      </c>
      <c r="N3174" s="1" t="inlineStr">
        <is>
          <t>Algorithms</t>
        </is>
      </c>
      <c r="O31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74" s="11" t="inlineStr">
        <is>
          <t>To Do</t>
        </is>
      </c>
    </row>
    <row r="3175" ht="15.75" customHeight="1" s="12">
      <c r="A3175" s="1" t="n">
        <v>1951</v>
      </c>
      <c r="B3175" s="3">
        <f>HYPERLINK("https://leetcode.com/problems/all-the-pairs-with-the-maximum-number-of-common-followers/", "All the Pairs With the Maximum Number of Common Followers")</f>
        <v/>
      </c>
      <c r="C3175" s="1" t="n">
        <v>100</v>
      </c>
      <c r="D3175" s="1" t="n">
        <v>7</v>
      </c>
      <c r="E3175" s="4">
        <f>IF(INDEX(C:C, ROW())+INDEX(D:D, ROW())=0, 0, INDEX(C:C, ROW())/(INDEX(C:C, ROW())+INDEX(D:D, ROW())))</f>
        <v/>
      </c>
      <c r="F3175" s="1" t="inlineStr">
        <is>
          <t>Database</t>
        </is>
      </c>
      <c r="G3175" s="1" t="inlineStr">
        <is>
          <t>Medium</t>
        </is>
      </c>
      <c r="H3175" s="1" t="n">
        <v>14423</v>
      </c>
      <c r="I3175" s="1" t="n">
        <v>20695</v>
      </c>
      <c r="J3175" s="9" t="n">
        <v>0.697</v>
      </c>
      <c r="K3175" s="1" t="inlineStr">
        <is>
          <t>No</t>
        </is>
      </c>
      <c r="L3175" s="1" t="inlineStr">
        <is>
          <t>No</t>
        </is>
      </c>
      <c r="M3175" s="1" t="inlineStr">
        <is>
          <t>No</t>
        </is>
      </c>
      <c r="N3175" s="1" t="inlineStr">
        <is>
          <t>Database</t>
        </is>
      </c>
      <c r="O31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75" s="11" t="inlineStr">
        <is>
          <t>To Do</t>
        </is>
      </c>
    </row>
    <row r="3176" ht="15.75" customHeight="1" s="12">
      <c r="A3176" s="1" t="n">
        <v>3238</v>
      </c>
      <c r="B3176" s="3">
        <f>HYPERLINK("https://leetcode.com/problems/find-the-number-of-winning-players/", "Find the Number of Winning Players")</f>
        <v/>
      </c>
      <c r="C3176" s="1" t="n">
        <v>100</v>
      </c>
      <c r="D3176" s="1" t="n">
        <v>27</v>
      </c>
      <c r="E3176" s="4">
        <f>IF(INDEX(C:C, ROW())+INDEX(D:D, ROW())=0, 0, INDEX(C:C, ROW())/(INDEX(C:C, ROW())+INDEX(D:D, ROW())))</f>
        <v/>
      </c>
      <c r="F3176" s="1" t="inlineStr">
        <is>
          <t>Array, Hash Table, Counting</t>
        </is>
      </c>
      <c r="G3176" s="1" t="inlineStr">
        <is>
          <t>Easy</t>
        </is>
      </c>
      <c r="H3176" s="1" t="n">
        <v>48160</v>
      </c>
      <c r="I3176" s="1" t="n">
        <v>79559</v>
      </c>
      <c r="J3176" s="9" t="n">
        <v>0.605</v>
      </c>
      <c r="K3176" s="1" t="inlineStr">
        <is>
          <t>Yes</t>
        </is>
      </c>
      <c r="L3176" s="1" t="inlineStr">
        <is>
          <t>No</t>
        </is>
      </c>
      <c r="M3176" s="1" t="inlineStr">
        <is>
          <t>No</t>
        </is>
      </c>
      <c r="N3176" s="1" t="inlineStr">
        <is>
          <t>Algorithms</t>
        </is>
      </c>
      <c r="O31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76" s="13" t="inlineStr">
        <is>
          <t>Done</t>
        </is>
      </c>
    </row>
    <row r="3177" ht="15.75" customHeight="1" s="12">
      <c r="A3177" s="1" t="n">
        <v>3295</v>
      </c>
      <c r="B3177" s="3">
        <f>HYPERLINK("https://leetcode.com/problems/report-spam-message/", "Report Spam Message")</f>
        <v/>
      </c>
      <c r="C3177" s="1" t="n">
        <v>100</v>
      </c>
      <c r="D3177" s="1" t="n">
        <v>25</v>
      </c>
      <c r="E3177" s="4">
        <f>IF(INDEX(C:C, ROW())+INDEX(D:D, ROW())=0, 0, INDEX(C:C, ROW())/(INDEX(C:C, ROW())+INDEX(D:D, ROW())))</f>
        <v/>
      </c>
      <c r="F3177" s="1" t="inlineStr">
        <is>
          <t>Array, Hash Table, String</t>
        </is>
      </c>
      <c r="G3177" s="1" t="inlineStr">
        <is>
          <t>Medium</t>
        </is>
      </c>
      <c r="H3177" s="1" t="n">
        <v>58027</v>
      </c>
      <c r="I3177" s="1" t="n">
        <v>119266</v>
      </c>
      <c r="J3177" s="9" t="n">
        <v>0.487</v>
      </c>
      <c r="K3177" s="1" t="inlineStr">
        <is>
          <t>Yes</t>
        </is>
      </c>
      <c r="L3177" s="1" t="inlineStr">
        <is>
          <t>No</t>
        </is>
      </c>
      <c r="M3177" s="1" t="inlineStr">
        <is>
          <t>No</t>
        </is>
      </c>
      <c r="N3177" s="1" t="inlineStr">
        <is>
          <t>Algorithms</t>
        </is>
      </c>
      <c r="O31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77" s="11" t="inlineStr">
        <is>
          <t>To Do</t>
        </is>
      </c>
    </row>
    <row r="3178" ht="15.75" customHeight="1" s="12">
      <c r="A3178" s="1" t="n">
        <v>3576</v>
      </c>
      <c r="B3178" s="3">
        <f>HYPERLINK("https://leetcode.com/problems/transform-array-to-all-equal-elements/", "Transform Array to All Equal Elements")</f>
        <v/>
      </c>
      <c r="C3178" s="1" t="n">
        <v>100</v>
      </c>
      <c r="D3178" s="1" t="n">
        <v>8</v>
      </c>
      <c r="E3178" s="4">
        <f>IF(INDEX(C:C, ROW())+INDEX(D:D, ROW())=0, 0, INDEX(C:C, ROW())/(INDEX(C:C, ROW())+INDEX(D:D, ROW())))</f>
        <v/>
      </c>
      <c r="F3178" s="1" t="inlineStr">
        <is>
          <t>Array, Greedy</t>
        </is>
      </c>
      <c r="G3178" s="1" t="inlineStr">
        <is>
          <t>Medium</t>
        </is>
      </c>
      <c r="H3178" s="1" t="n">
        <v>30815</v>
      </c>
      <c r="I3178" s="1" t="n">
        <v>92766</v>
      </c>
      <c r="J3178" s="9" t="n">
        <v>0.332</v>
      </c>
      <c r="K3178" s="1" t="inlineStr">
        <is>
          <t>Yes</t>
        </is>
      </c>
      <c r="L3178" s="1" t="inlineStr">
        <is>
          <t>No</t>
        </is>
      </c>
      <c r="M3178" s="1" t="inlineStr">
        <is>
          <t>No</t>
        </is>
      </c>
      <c r="N3178" s="1" t="inlineStr">
        <is>
          <t>Algorithms</t>
        </is>
      </c>
      <c r="O31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78" s="11" t="inlineStr">
        <is>
          <t>To Do</t>
        </is>
      </c>
    </row>
    <row r="3179" ht="15.75" customHeight="1" s="12">
      <c r="A3179" s="1" t="n">
        <v>3644</v>
      </c>
      <c r="B3179" s="3">
        <f>HYPERLINK("https://leetcode.com/problems/maximum-k-to-sort-a-permutation/", "Maximum K to Sort a Permutation")</f>
        <v/>
      </c>
      <c r="C3179" s="1" t="n">
        <v>100</v>
      </c>
      <c r="D3179" s="1" t="n">
        <v>36</v>
      </c>
      <c r="E3179" s="4">
        <f>IF(INDEX(C:C, ROW())+INDEX(D:D, ROW())=0, 0, INDEX(C:C, ROW())/(INDEX(C:C, ROW())+INDEX(D:D, ROW())))</f>
        <v/>
      </c>
      <c r="F3179" s="1" t="inlineStr">
        <is>
          <t>Array, Bit Manipulation</t>
        </is>
      </c>
      <c r="G3179" s="1" t="inlineStr">
        <is>
          <t>Medium</t>
        </is>
      </c>
      <c r="H3179" s="1" t="n">
        <v>33111</v>
      </c>
      <c r="I3179" s="1" t="n">
        <v>88566</v>
      </c>
      <c r="J3179" s="9" t="n">
        <v>0.374</v>
      </c>
      <c r="K3179" s="1" t="inlineStr">
        <is>
          <t>Yes</t>
        </is>
      </c>
      <c r="L3179" s="1" t="inlineStr">
        <is>
          <t>No</t>
        </is>
      </c>
      <c r="M3179" s="1" t="inlineStr">
        <is>
          <t>No</t>
        </is>
      </c>
      <c r="N3179" s="1" t="inlineStr">
        <is>
          <t>Algorithms</t>
        </is>
      </c>
      <c r="O31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79" s="11" t="inlineStr">
        <is>
          <t>To Do</t>
        </is>
      </c>
    </row>
    <row r="3180" ht="15.75" customHeight="1" s="12">
      <c r="A3180" s="1" t="n">
        <v>1459</v>
      </c>
      <c r="B3180" s="3">
        <f>HYPERLINK("https://leetcode.com/problems/rectangles-area/", "Rectangles Area")</f>
        <v/>
      </c>
      <c r="C3180" s="1" t="n">
        <v>99</v>
      </c>
      <c r="D3180" s="1" t="n">
        <v>162</v>
      </c>
      <c r="E3180" s="4">
        <f>IF(INDEX(C:C, ROW())+INDEX(D:D, ROW())=0, 0, INDEX(C:C, ROW())/(INDEX(C:C, ROW())+INDEX(D:D, ROW())))</f>
        <v/>
      </c>
      <c r="F3180" s="1" t="inlineStr">
        <is>
          <t>Database</t>
        </is>
      </c>
      <c r="G3180" s="1" t="inlineStr">
        <is>
          <t>Medium</t>
        </is>
      </c>
      <c r="H3180" s="1" t="n">
        <v>20214</v>
      </c>
      <c r="I3180" s="1" t="n">
        <v>29376</v>
      </c>
      <c r="J3180" s="9" t="n">
        <v>0.6879999999999999</v>
      </c>
      <c r="K3180" s="1" t="inlineStr">
        <is>
          <t>No</t>
        </is>
      </c>
      <c r="L3180" s="1" t="inlineStr">
        <is>
          <t>No</t>
        </is>
      </c>
      <c r="M3180" s="1" t="inlineStr">
        <is>
          <t>No</t>
        </is>
      </c>
      <c r="N3180" s="1" t="inlineStr">
        <is>
          <t>Database</t>
        </is>
      </c>
      <c r="O31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80" s="11" t="inlineStr">
        <is>
          <t>To Do</t>
        </is>
      </c>
    </row>
    <row r="3181" ht="15.75" customHeight="1" s="12">
      <c r="A3181" s="1" t="n">
        <v>1809</v>
      </c>
      <c r="B3181" s="3">
        <f>HYPERLINK("https://leetcode.com/problems/ad-free-sessions/", "Ad-Free Sessions")</f>
        <v/>
      </c>
      <c r="C3181" s="1" t="n">
        <v>99</v>
      </c>
      <c r="D3181" s="1" t="n">
        <v>61</v>
      </c>
      <c r="E3181" s="4">
        <f>IF(INDEX(C:C, ROW())+INDEX(D:D, ROW())=0, 0, INDEX(C:C, ROW())/(INDEX(C:C, ROW())+INDEX(D:D, ROW())))</f>
        <v/>
      </c>
      <c r="F3181" s="1" t="inlineStr">
        <is>
          <t>Database</t>
        </is>
      </c>
      <c r="G3181" s="1" t="inlineStr">
        <is>
          <t>Easy</t>
        </is>
      </c>
      <c r="H3181" s="1" t="n">
        <v>19741</v>
      </c>
      <c r="I3181" s="1" t="n">
        <v>33447</v>
      </c>
      <c r="J3181" s="9" t="n">
        <v>0.59</v>
      </c>
      <c r="K3181" s="1" t="inlineStr">
        <is>
          <t>No</t>
        </is>
      </c>
      <c r="L3181" s="1" t="inlineStr">
        <is>
          <t>No</t>
        </is>
      </c>
      <c r="M3181" s="1" t="inlineStr">
        <is>
          <t>No</t>
        </is>
      </c>
      <c r="N3181" s="1" t="inlineStr">
        <is>
          <t>Database</t>
        </is>
      </c>
      <c r="O31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81" s="11" t="inlineStr">
        <is>
          <t>To Do</t>
        </is>
      </c>
    </row>
    <row r="3182" ht="15.75" customHeight="1" s="12">
      <c r="A3182" s="1" t="n">
        <v>2098</v>
      </c>
      <c r="B3182" s="3">
        <f>HYPERLINK("https://leetcode.com/problems/subsequence-of-size-k-with-the-largest-even-sum/", "Subsequence of Size K With the Largest Even Sum")</f>
        <v/>
      </c>
      <c r="C3182" s="1" t="n">
        <v>99</v>
      </c>
      <c r="D3182" s="1" t="n">
        <v>8</v>
      </c>
      <c r="E3182" s="4">
        <f>IF(INDEX(C:C, ROW())+INDEX(D:D, ROW())=0, 0, INDEX(C:C, ROW())/(INDEX(C:C, ROW())+INDEX(D:D, ROW())))</f>
        <v/>
      </c>
      <c r="F3182" s="1" t="inlineStr">
        <is>
          <t>Array, Greedy, Sorting</t>
        </is>
      </c>
      <c r="G3182" s="1" t="inlineStr">
        <is>
          <t>Medium</t>
        </is>
      </c>
      <c r="H3182" s="1" t="n">
        <v>4868</v>
      </c>
      <c r="I3182" s="1" t="n">
        <v>13659</v>
      </c>
      <c r="J3182" s="9" t="n">
        <v>0.356</v>
      </c>
      <c r="K3182" s="1" t="inlineStr">
        <is>
          <t>No</t>
        </is>
      </c>
      <c r="L3182" s="1" t="inlineStr">
        <is>
          <t>No</t>
        </is>
      </c>
      <c r="M3182" s="1" t="inlineStr">
        <is>
          <t>No</t>
        </is>
      </c>
      <c r="N3182" s="1" t="inlineStr">
        <is>
          <t>Algorithms</t>
        </is>
      </c>
      <c r="O31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82" s="11" t="inlineStr">
        <is>
          <t>To Do</t>
        </is>
      </c>
    </row>
    <row r="3183" ht="15.75" customHeight="1" s="12">
      <c r="A3183" s="1" t="n">
        <v>2983</v>
      </c>
      <c r="B3183" s="3">
        <f>HYPERLINK("https://leetcode.com/problems/palindrome-rearrangement-queries/", "Palindrome Rearrangement Queries")</f>
        <v/>
      </c>
      <c r="C3183" s="1" t="n">
        <v>99</v>
      </c>
      <c r="D3183" s="1" t="n">
        <v>27</v>
      </c>
      <c r="E3183" s="4">
        <f>IF(INDEX(C:C, ROW())+INDEX(D:D, ROW())=0, 0, INDEX(C:C, ROW())/(INDEX(C:C, ROW())+INDEX(D:D, ROW())))</f>
        <v/>
      </c>
      <c r="F3183" s="1" t="inlineStr">
        <is>
          <t>Array, Hash Table, String, Prefix Sum</t>
        </is>
      </c>
      <c r="G3183" s="1" t="inlineStr">
        <is>
          <t>Hard</t>
        </is>
      </c>
      <c r="H3183" s="1" t="n">
        <v>4413</v>
      </c>
      <c r="I3183" s="1" t="n">
        <v>17640</v>
      </c>
      <c r="J3183" s="9" t="n">
        <v>0.25</v>
      </c>
      <c r="K3183" s="1" t="inlineStr">
        <is>
          <t>Yes</t>
        </is>
      </c>
      <c r="L3183" s="1" t="inlineStr">
        <is>
          <t>No</t>
        </is>
      </c>
      <c r="M3183" s="1" t="inlineStr">
        <is>
          <t>No</t>
        </is>
      </c>
      <c r="N3183" s="1" t="inlineStr">
        <is>
          <t>Algorithms</t>
        </is>
      </c>
      <c r="O31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83" s="11" t="inlineStr">
        <is>
          <t>To Do</t>
        </is>
      </c>
    </row>
    <row r="3184" ht="15.75" customHeight="1" s="12">
      <c r="A3184" s="1" t="n">
        <v>3690</v>
      </c>
      <c r="B3184" s="3">
        <f>HYPERLINK("https://leetcode.com/problems/split-and-merge-array-transformation/", "Split and Merge Array Transformation")</f>
        <v/>
      </c>
      <c r="C3184" s="1" t="n">
        <v>99</v>
      </c>
      <c r="D3184" s="1" t="n">
        <v>11</v>
      </c>
      <c r="E3184" s="4">
        <f>IF(INDEX(C:C, ROW())+INDEX(D:D, ROW())=0, 0, INDEX(C:C, ROW())/(INDEX(C:C, ROW())+INDEX(D:D, ROW())))</f>
        <v/>
      </c>
      <c r="F3184" s="1" t="inlineStr">
        <is>
          <t>Array, Hash Table, Breadth-First Search</t>
        </is>
      </c>
      <c r="G3184" s="1" t="inlineStr">
        <is>
          <t>Medium</t>
        </is>
      </c>
      <c r="H3184" s="1" t="n">
        <v>25210</v>
      </c>
      <c r="I3184" s="1" t="n">
        <v>42933</v>
      </c>
      <c r="J3184" s="9" t="n">
        <v>0.587</v>
      </c>
      <c r="K3184" s="1" t="inlineStr">
        <is>
          <t>Yes</t>
        </is>
      </c>
      <c r="L3184" s="1" t="inlineStr">
        <is>
          <t>No</t>
        </is>
      </c>
      <c r="M3184" s="1" t="inlineStr">
        <is>
          <t>No</t>
        </is>
      </c>
      <c r="N3184" s="1" t="inlineStr">
        <is>
          <t>Algorithms</t>
        </is>
      </c>
      <c r="O31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84" s="11" t="inlineStr">
        <is>
          <t>To Do</t>
        </is>
      </c>
    </row>
    <row r="3185" ht="15.75" customHeight="1" s="12">
      <c r="A3185" s="1" t="n">
        <v>3800</v>
      </c>
      <c r="B3185" s="3">
        <f>HYPERLINK("https://leetcode.com/problems/minimum-cost-to-make-two-binary-strings-equal/", "Minimum Cost to Make Two Binary Strings Equal")</f>
        <v/>
      </c>
      <c r="C3185" s="1" t="n">
        <v>99</v>
      </c>
      <c r="D3185" s="1" t="n">
        <v>4</v>
      </c>
      <c r="E3185" s="4">
        <f>IF(INDEX(C:C, ROW())+INDEX(D:D, ROW())=0, 0, INDEX(C:C, ROW())/(INDEX(C:C, ROW())+INDEX(D:D, ROW())))</f>
        <v/>
      </c>
      <c r="F3185" s="1" t="inlineStr">
        <is>
          <t>String, Greedy</t>
        </is>
      </c>
      <c r="G3185" s="1" t="inlineStr">
        <is>
          <t>Medium</t>
        </is>
      </c>
      <c r="H3185" s="1" t="n">
        <v>9275</v>
      </c>
      <c r="I3185" s="1" t="n">
        <v>23764</v>
      </c>
      <c r="J3185" s="9" t="n">
        <v>0.39</v>
      </c>
      <c r="K3185" s="1" t="inlineStr">
        <is>
          <t>Yes</t>
        </is>
      </c>
      <c r="L3185" s="1" t="inlineStr">
        <is>
          <t>No</t>
        </is>
      </c>
      <c r="M3185" s="1" t="inlineStr">
        <is>
          <t>No</t>
        </is>
      </c>
      <c r="N3185" s="1" t="inlineStr">
        <is>
          <t>Algorithms</t>
        </is>
      </c>
      <c r="O31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85" s="11" t="inlineStr">
        <is>
          <t>To Do</t>
        </is>
      </c>
    </row>
    <row r="3186" ht="15.75" customHeight="1" s="12">
      <c r="A3186" s="1" t="n">
        <v>3891</v>
      </c>
      <c r="B3186" s="3">
        <f>HYPERLINK("https://leetcode.com/problems/minimum-increase-to-maximize-special-indices/", "Minimum Increase to Maximize Special Indices")</f>
        <v/>
      </c>
      <c r="C3186" s="1" t="n">
        <v>99</v>
      </c>
      <c r="D3186" s="1" t="n">
        <v>11</v>
      </c>
      <c r="E3186" s="4">
        <f>IF(INDEX(C:C, ROW())+INDEX(D:D, ROW())=0, 0, INDEX(C:C, ROW())/(INDEX(C:C, ROW())+INDEX(D:D, ROW())))</f>
        <v/>
      </c>
      <c r="F3186" s="1" t="inlineStr">
        <is>
          <t>Array, Dynamic Programming, Greedy, Prefix Sum</t>
        </is>
      </c>
      <c r="G3186" s="1" t="inlineStr">
        <is>
          <t>Medium</t>
        </is>
      </c>
      <c r="H3186" s="1" t="n">
        <v>13878</v>
      </c>
      <c r="I3186" s="1" t="n">
        <v>71333</v>
      </c>
      <c r="J3186" s="9" t="n">
        <v>0.195</v>
      </c>
      <c r="K3186" s="1" t="inlineStr">
        <is>
          <t>Yes</t>
        </is>
      </c>
      <c r="L3186" s="1" t="inlineStr">
        <is>
          <t>No</t>
        </is>
      </c>
      <c r="M3186" s="1" t="inlineStr">
        <is>
          <t>No</t>
        </is>
      </c>
      <c r="N3186" s="1" t="inlineStr">
        <is>
          <t>Algorithms</t>
        </is>
      </c>
      <c r="O31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86" s="11" t="inlineStr">
        <is>
          <t>To Do</t>
        </is>
      </c>
    </row>
    <row r="3187" ht="15.75" customHeight="1" s="12">
      <c r="A3187" s="1" t="n">
        <v>2599</v>
      </c>
      <c r="B3187" s="3">
        <f>HYPERLINK("https://leetcode.com/problems/make-the-prefix-sum-non-negative/", "Make the Prefix Sum Non-negative")</f>
        <v/>
      </c>
      <c r="C3187" s="1" t="n">
        <v>98</v>
      </c>
      <c r="D3187" s="1" t="n">
        <v>3</v>
      </c>
      <c r="E3187" s="4">
        <f>IF(INDEX(C:C, ROW())+INDEX(D:D, ROW())=0, 0, INDEX(C:C, ROW())/(INDEX(C:C, ROW())+INDEX(D:D, ROW())))</f>
        <v/>
      </c>
      <c r="F3187" s="1" t="inlineStr">
        <is>
          <t>Array, Greedy, Heap (Priority Queue)</t>
        </is>
      </c>
      <c r="G3187" s="1" t="inlineStr">
        <is>
          <t>Medium</t>
        </is>
      </c>
      <c r="H3187" s="1" t="n">
        <v>8466</v>
      </c>
      <c r="I3187" s="1" t="n">
        <v>16297</v>
      </c>
      <c r="J3187" s="9" t="n">
        <v>0.519</v>
      </c>
      <c r="K3187" s="1" t="inlineStr">
        <is>
          <t>No</t>
        </is>
      </c>
      <c r="L3187" s="1" t="inlineStr">
        <is>
          <t>Yes</t>
        </is>
      </c>
      <c r="M3187" s="1" t="inlineStr">
        <is>
          <t>No</t>
        </is>
      </c>
      <c r="N3187" s="1" t="inlineStr">
        <is>
          <t>Algorithms</t>
        </is>
      </c>
      <c r="O31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87" s="11" t="inlineStr">
        <is>
          <t>To Do</t>
        </is>
      </c>
    </row>
    <row r="3188" ht="15.75" customHeight="1" s="12">
      <c r="A3188" s="1" t="n">
        <v>2638</v>
      </c>
      <c r="B3188" s="3">
        <f>HYPERLINK("https://leetcode.com/problems/count-the-number-of-k-free-subsets/", "Count the Number of K-Free Subsets")</f>
        <v/>
      </c>
      <c r="C3188" s="1" t="n">
        <v>98</v>
      </c>
      <c r="D3188" s="1" t="n">
        <v>19</v>
      </c>
      <c r="E3188" s="4">
        <f>IF(INDEX(C:C, ROW())+INDEX(D:D, ROW())=0, 0, INDEX(C:C, ROW())/(INDEX(C:C, ROW())+INDEX(D:D, ROW())))</f>
        <v/>
      </c>
      <c r="F3188" s="1" t="inlineStr">
        <is>
          <t>Array, Math, Dynamic Programming, Sorting, Combinatorics</t>
        </is>
      </c>
      <c r="G3188" s="1" t="inlineStr">
        <is>
          <t>Medium</t>
        </is>
      </c>
      <c r="H3188" s="1" t="n">
        <v>5326</v>
      </c>
      <c r="I3188" s="1" t="n">
        <v>11270</v>
      </c>
      <c r="J3188" s="9" t="n">
        <v>0.473</v>
      </c>
      <c r="K3188" s="1" t="inlineStr">
        <is>
          <t>No</t>
        </is>
      </c>
      <c r="L3188" s="1" t="inlineStr">
        <is>
          <t>No</t>
        </is>
      </c>
      <c r="M3188" s="1" t="inlineStr">
        <is>
          <t>No</t>
        </is>
      </c>
      <c r="N3188" s="1" t="inlineStr">
        <is>
          <t>Algorithms</t>
        </is>
      </c>
      <c r="O31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88" s="11" t="inlineStr">
        <is>
          <t>To Do</t>
        </is>
      </c>
    </row>
    <row r="3189" ht="15.75" customHeight="1" s="12">
      <c r="A3189" s="1" t="n">
        <v>2743</v>
      </c>
      <c r="B3189" s="3">
        <f>HYPERLINK("https://leetcode.com/problems/count-substrings-without-repeating-character/", "Count Substrings Without Repeating Character")</f>
        <v/>
      </c>
      <c r="C3189" s="1" t="n">
        <v>98</v>
      </c>
      <c r="D3189" s="1" t="n">
        <v>2</v>
      </c>
      <c r="E3189" s="4">
        <f>IF(INDEX(C:C, ROW())+INDEX(D:D, ROW())=0, 0, INDEX(C:C, ROW())/(INDEX(C:C, ROW())+INDEX(D:D, ROW())))</f>
        <v/>
      </c>
      <c r="F3189" s="1" t="inlineStr">
        <is>
          <t>Hash Table, String, Sliding Window</t>
        </is>
      </c>
      <c r="G3189" s="1" t="inlineStr">
        <is>
          <t>Medium</t>
        </is>
      </c>
      <c r="H3189" s="1" t="n">
        <v>9329</v>
      </c>
      <c r="I3189" s="1" t="n">
        <v>12283</v>
      </c>
      <c r="J3189" s="9" t="n">
        <v>0.76</v>
      </c>
      <c r="K3189" s="1" t="inlineStr">
        <is>
          <t>No</t>
        </is>
      </c>
      <c r="L3189" s="1" t="inlineStr">
        <is>
          <t>Yes</t>
        </is>
      </c>
      <c r="M3189" s="1" t="inlineStr">
        <is>
          <t>No</t>
        </is>
      </c>
      <c r="N3189" s="1" t="inlineStr">
        <is>
          <t>Algorithms</t>
        </is>
      </c>
      <c r="O31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89" s="11" t="inlineStr">
        <is>
          <t>To Do</t>
        </is>
      </c>
    </row>
    <row r="3190" ht="15.75" customHeight="1" s="12">
      <c r="A3190" s="1" t="n">
        <v>3398</v>
      </c>
      <c r="B3190" s="3">
        <f>HYPERLINK("https://leetcode.com/problems/smallest-substring-with-identical-characters-i/", "Smallest Substring With Identical Characters I")</f>
        <v/>
      </c>
      <c r="C3190" s="1" t="n">
        <v>98</v>
      </c>
      <c r="D3190" s="1" t="n">
        <v>5</v>
      </c>
      <c r="E3190" s="4">
        <f>IF(INDEX(C:C, ROW())+INDEX(D:D, ROW())=0, 0, INDEX(C:C, ROW())/(INDEX(C:C, ROW())+INDEX(D:D, ROW())))</f>
        <v/>
      </c>
      <c r="F3190" s="1" t="inlineStr">
        <is>
          <t>Array, Binary Search, Enumeration</t>
        </is>
      </c>
      <c r="G3190" s="1" t="inlineStr">
        <is>
          <t>Hard</t>
        </is>
      </c>
      <c r="H3190" s="1" t="n">
        <v>7607</v>
      </c>
      <c r="I3190" s="1" t="n">
        <v>37010</v>
      </c>
      <c r="J3190" s="9" t="n">
        <v>0.206</v>
      </c>
      <c r="K3190" s="1" t="inlineStr">
        <is>
          <t>Yes</t>
        </is>
      </c>
      <c r="L3190" s="1" t="inlineStr">
        <is>
          <t>No</t>
        </is>
      </c>
      <c r="M3190" s="1" t="inlineStr">
        <is>
          <t>No</t>
        </is>
      </c>
      <c r="N3190" s="1" t="inlineStr">
        <is>
          <t>Algorithms</t>
        </is>
      </c>
      <c r="O31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90" s="11" t="inlineStr">
        <is>
          <t>To Do</t>
        </is>
      </c>
    </row>
    <row r="3191" ht="15.75" customHeight="1" s="12">
      <c r="A3191" s="1" t="n">
        <v>3738</v>
      </c>
      <c r="B3191" s="3">
        <f>HYPERLINK("https://leetcode.com/problems/longest-non-decreasing-subarray-after-replacing-at-most-one-element/", "Longest Non-Decreasing Subarray After Replacing at Most One Element")</f>
        <v/>
      </c>
      <c r="C3191" s="1" t="n">
        <v>98</v>
      </c>
      <c r="D3191" s="1" t="n">
        <v>8</v>
      </c>
      <c r="E3191" s="4">
        <f>IF(INDEX(C:C, ROW())+INDEX(D:D, ROW())=0, 0, INDEX(C:C, ROW())/(INDEX(C:C, ROW())+INDEX(D:D, ROW())))</f>
        <v/>
      </c>
      <c r="F3191" s="1" t="inlineStr">
        <is>
          <t>Array, Dynamic Programming</t>
        </is>
      </c>
      <c r="G3191" s="1" t="inlineStr">
        <is>
          <t>Medium</t>
        </is>
      </c>
      <c r="H3191" s="1" t="n">
        <v>14831</v>
      </c>
      <c r="I3191" s="1" t="n">
        <v>67220</v>
      </c>
      <c r="J3191" s="9" t="n">
        <v>0.221</v>
      </c>
      <c r="K3191" s="1" t="inlineStr">
        <is>
          <t>Yes</t>
        </is>
      </c>
      <c r="L3191" s="1" t="inlineStr">
        <is>
          <t>No</t>
        </is>
      </c>
      <c r="M3191" s="1" t="inlineStr">
        <is>
          <t>No</t>
        </is>
      </c>
      <c r="N3191" s="1" t="inlineStr">
        <is>
          <t>Algorithms</t>
        </is>
      </c>
      <c r="O31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91" s="11" t="inlineStr">
        <is>
          <t>To Do</t>
        </is>
      </c>
    </row>
    <row r="3192" ht="15.75" customHeight="1" s="12">
      <c r="A3192" s="1" t="n">
        <v>3863</v>
      </c>
      <c r="B3192" s="3">
        <f>HYPERLINK("https://leetcode.com/problems/minimum-operations-to-sort-a-string/", "Minimum Operations to Sort a String")</f>
        <v/>
      </c>
      <c r="C3192" s="1" t="n">
        <v>98</v>
      </c>
      <c r="D3192" s="1" t="n">
        <v>10</v>
      </c>
      <c r="E3192" s="4">
        <f>IF(INDEX(C:C, ROW())+INDEX(D:D, ROW())=0, 0, INDEX(C:C, ROW())/(INDEX(C:C, ROW())+INDEX(D:D, ROW())))</f>
        <v/>
      </c>
      <c r="F3192" s="1" t="inlineStr">
        <is>
          <t>String</t>
        </is>
      </c>
      <c r="G3192" s="1" t="inlineStr">
        <is>
          <t>Medium</t>
        </is>
      </c>
      <c r="H3192" s="1" t="n">
        <v>17147</v>
      </c>
      <c r="I3192" s="1" t="n">
        <v>90839</v>
      </c>
      <c r="J3192" s="9" t="n">
        <v>0.189</v>
      </c>
      <c r="K3192" s="1" t="inlineStr">
        <is>
          <t>Yes</t>
        </is>
      </c>
      <c r="L3192" s="1" t="inlineStr">
        <is>
          <t>No</t>
        </is>
      </c>
      <c r="M3192" s="1" t="inlineStr">
        <is>
          <t>No</t>
        </is>
      </c>
      <c r="N3192" s="1" t="inlineStr">
        <is>
          <t>Algorithms</t>
        </is>
      </c>
      <c r="O31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92" s="11" t="inlineStr">
        <is>
          <t>To Do</t>
        </is>
      </c>
    </row>
    <row r="3193" ht="15.75" customHeight="1" s="12">
      <c r="A3193" s="1" t="n">
        <v>1067</v>
      </c>
      <c r="B3193" s="3">
        <f>HYPERLINK("https://leetcode.com/problems/digit-count-in-range/", "Digit Count in Range")</f>
        <v/>
      </c>
      <c r="C3193" s="1" t="n">
        <v>97</v>
      </c>
      <c r="D3193" s="1" t="n">
        <v>25</v>
      </c>
      <c r="E3193" s="4">
        <f>IF(INDEX(C:C, ROW())+INDEX(D:D, ROW())=0, 0, INDEX(C:C, ROW())/(INDEX(C:C, ROW())+INDEX(D:D, ROW())))</f>
        <v/>
      </c>
      <c r="F3193" s="1" t="inlineStr">
        <is>
          <t>Math, Dynamic Programming</t>
        </is>
      </c>
      <c r="G3193" s="1" t="inlineStr">
        <is>
          <t>Hard</t>
        </is>
      </c>
      <c r="H3193" s="1" t="n">
        <v>4735</v>
      </c>
      <c r="I3193" s="1" t="n">
        <v>10203</v>
      </c>
      <c r="J3193" s="9" t="n">
        <v>0.464</v>
      </c>
      <c r="K3193" s="1" t="inlineStr">
        <is>
          <t>No</t>
        </is>
      </c>
      <c r="L3193" s="1" t="inlineStr">
        <is>
          <t>No</t>
        </is>
      </c>
      <c r="M3193" s="1" t="inlineStr">
        <is>
          <t>No</t>
        </is>
      </c>
      <c r="N3193" s="1" t="inlineStr">
        <is>
          <t>Algorithms</t>
        </is>
      </c>
      <c r="O31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93" s="11" t="inlineStr">
        <is>
          <t>To Do</t>
        </is>
      </c>
    </row>
    <row r="3194" ht="15.75" customHeight="1" s="12">
      <c r="A3194" s="1" t="n">
        <v>2084</v>
      </c>
      <c r="B3194" s="3">
        <f>HYPERLINK("https://leetcode.com/problems/drop-type-1-orders-for-customers-with-type-0-orders/", "Drop Type 1 Orders for Customers With Type 0 Orders")</f>
        <v/>
      </c>
      <c r="C3194" s="1" t="n">
        <v>97</v>
      </c>
      <c r="D3194" s="1" t="n">
        <v>20</v>
      </c>
      <c r="E3194" s="4">
        <f>IF(INDEX(C:C, ROW())+INDEX(D:D, ROW())=0, 0, INDEX(C:C, ROW())/(INDEX(C:C, ROW())+INDEX(D:D, ROW())))</f>
        <v/>
      </c>
      <c r="F3194" s="1" t="inlineStr">
        <is>
          <t>Database</t>
        </is>
      </c>
      <c r="G3194" s="1" t="inlineStr">
        <is>
          <t>Medium</t>
        </is>
      </c>
      <c r="H3194" s="1" t="n">
        <v>14690</v>
      </c>
      <c r="I3194" s="1" t="n">
        <v>16948</v>
      </c>
      <c r="J3194" s="9" t="n">
        <v>0.867</v>
      </c>
      <c r="K3194" s="1" t="inlineStr">
        <is>
          <t>No</t>
        </is>
      </c>
      <c r="L3194" s="1" t="inlineStr">
        <is>
          <t>No</t>
        </is>
      </c>
      <c r="M3194" s="1" t="inlineStr">
        <is>
          <t>No</t>
        </is>
      </c>
      <c r="N3194" s="1" t="inlineStr">
        <is>
          <t>Database</t>
        </is>
      </c>
      <c r="O31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94" s="11" t="inlineStr">
        <is>
          <t>To Do</t>
        </is>
      </c>
    </row>
    <row r="3195" ht="15.75" customHeight="1" s="12">
      <c r="A3195" s="1" t="n">
        <v>3614</v>
      </c>
      <c r="B3195" s="3">
        <f>HYPERLINK("https://leetcode.com/problems/process-string-with-special-operations-ii/", "Process String with Special Operations II")</f>
        <v/>
      </c>
      <c r="C3195" s="1" t="n">
        <v>97</v>
      </c>
      <c r="D3195" s="1" t="n">
        <v>8</v>
      </c>
      <c r="E3195" s="4">
        <f>IF(INDEX(C:C, ROW())+INDEX(D:D, ROW())=0, 0, INDEX(C:C, ROW())/(INDEX(C:C, ROW())+INDEX(D:D, ROW())))</f>
        <v/>
      </c>
      <c r="F3195" s="1" t="inlineStr">
        <is>
          <t>String, Simulation</t>
        </is>
      </c>
      <c r="G3195" s="1" t="inlineStr">
        <is>
          <t>Hard</t>
        </is>
      </c>
      <c r="H3195" s="1" t="n">
        <v>11144</v>
      </c>
      <c r="I3195" s="1" t="n">
        <v>65303</v>
      </c>
      <c r="J3195" s="9" t="n">
        <v>0.171</v>
      </c>
      <c r="K3195" s="1" t="inlineStr">
        <is>
          <t>Yes</t>
        </is>
      </c>
      <c r="L3195" s="1" t="inlineStr">
        <is>
          <t>No</t>
        </is>
      </c>
      <c r="M3195" s="1" t="inlineStr">
        <is>
          <t>No</t>
        </is>
      </c>
      <c r="N3195" s="1" t="inlineStr">
        <is>
          <t>Algorithms</t>
        </is>
      </c>
      <c r="O31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95" s="11" t="inlineStr">
        <is>
          <t>To Do</t>
        </is>
      </c>
    </row>
    <row r="3196" ht="15.75" customHeight="1" s="12">
      <c r="A3196" s="1" t="n">
        <v>3702</v>
      </c>
      <c r="B3196" s="3">
        <f>HYPERLINK("https://leetcode.com/problems/longest-subsequence-with-non-zero-bitwise-xor/", "Longest Subsequence With Non-Zero Bitwise XOR")</f>
        <v/>
      </c>
      <c r="C3196" s="1" t="n">
        <v>97</v>
      </c>
      <c r="D3196" s="1" t="n">
        <v>9</v>
      </c>
      <c r="E3196" s="4">
        <f>IF(INDEX(C:C, ROW())+INDEX(D:D, ROW())=0, 0, INDEX(C:C, ROW())/(INDEX(C:C, ROW())+INDEX(D:D, ROW())))</f>
        <v/>
      </c>
      <c r="F3196" s="1" t="inlineStr">
        <is>
          <t>Array, Bit Manipulation</t>
        </is>
      </c>
      <c r="G3196" s="1" t="inlineStr">
        <is>
          <t>Medium</t>
        </is>
      </c>
      <c r="H3196" s="1" t="n">
        <v>32425</v>
      </c>
      <c r="I3196" s="1" t="n">
        <v>86883</v>
      </c>
      <c r="J3196" s="9" t="n">
        <v>0.373</v>
      </c>
      <c r="K3196" s="1" t="inlineStr">
        <is>
          <t>Yes</t>
        </is>
      </c>
      <c r="L3196" s="1" t="inlineStr">
        <is>
          <t>No</t>
        </is>
      </c>
      <c r="M3196" s="1" t="inlineStr">
        <is>
          <t>No</t>
        </is>
      </c>
      <c r="N3196" s="1" t="inlineStr">
        <is>
          <t>Algorithms</t>
        </is>
      </c>
      <c r="O31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96" s="11" t="inlineStr">
        <is>
          <t>To Do</t>
        </is>
      </c>
    </row>
    <row r="3197" ht="15.75" customHeight="1" s="12">
      <c r="A3197" s="1" t="n">
        <v>1831</v>
      </c>
      <c r="B3197" s="3">
        <f>HYPERLINK("https://leetcode.com/problems/maximum-transaction-each-day/", "Maximum Transaction Each Day")</f>
        <v/>
      </c>
      <c r="C3197" s="1" t="n">
        <v>96</v>
      </c>
      <c r="D3197" s="1" t="n">
        <v>3</v>
      </c>
      <c r="E3197" s="4">
        <f>IF(INDEX(C:C, ROW())+INDEX(D:D, ROW())=0, 0, INDEX(C:C, ROW())/(INDEX(C:C, ROW())+INDEX(D:D, ROW())))</f>
        <v/>
      </c>
      <c r="F3197" s="1" t="inlineStr">
        <is>
          <t>Database</t>
        </is>
      </c>
      <c r="G3197" s="1" t="inlineStr">
        <is>
          <t>Medium</t>
        </is>
      </c>
      <c r="H3197" s="1" t="n">
        <v>28315</v>
      </c>
      <c r="I3197" s="1" t="n">
        <v>34311</v>
      </c>
      <c r="J3197" s="9" t="n">
        <v>0.825</v>
      </c>
      <c r="K3197" s="1" t="inlineStr">
        <is>
          <t>No</t>
        </is>
      </c>
      <c r="L3197" s="1" t="inlineStr">
        <is>
          <t>No</t>
        </is>
      </c>
      <c r="M3197" s="1" t="inlineStr">
        <is>
          <t>No</t>
        </is>
      </c>
      <c r="N3197" s="1" t="inlineStr">
        <is>
          <t>Database</t>
        </is>
      </c>
      <c r="O31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97" s="11" t="inlineStr">
        <is>
          <t>To Do</t>
        </is>
      </c>
    </row>
    <row r="3198" ht="15.75" customHeight="1" s="12">
      <c r="A3198" s="1" t="n">
        <v>2884</v>
      </c>
      <c r="B3198" s="3">
        <f>HYPERLINK("https://leetcode.com/problems/modify-columns/", "Modify Columns")</f>
        <v/>
      </c>
      <c r="C3198" s="1" t="n">
        <v>96</v>
      </c>
      <c r="D3198" s="1" t="n">
        <v>7</v>
      </c>
      <c r="E3198" s="4">
        <f>IF(INDEX(C:C, ROW())+INDEX(D:D, ROW())=0, 0, INDEX(C:C, ROW())/(INDEX(C:C, ROW())+INDEX(D:D, ROW())))</f>
        <v/>
      </c>
      <c r="F3198" s="2" t="n"/>
      <c r="G3198" s="1" t="inlineStr">
        <is>
          <t>Easy</t>
        </is>
      </c>
      <c r="H3198" s="1" t="n">
        <v>146241</v>
      </c>
      <c r="I3198" s="1" t="n">
        <v>158486</v>
      </c>
      <c r="J3198" s="9" t="n">
        <v>0.923</v>
      </c>
      <c r="K3198" s="1" t="inlineStr">
        <is>
          <t>Yes</t>
        </is>
      </c>
      <c r="L3198" s="1" t="inlineStr">
        <is>
          <t>Yes</t>
        </is>
      </c>
      <c r="M3198" s="1" t="inlineStr">
        <is>
          <t>No</t>
        </is>
      </c>
      <c r="N3198" s="1" t="inlineStr">
        <is>
          <t>pandas</t>
        </is>
      </c>
      <c r="O31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98" s="13" t="inlineStr">
        <is>
          <t>Done</t>
        </is>
      </c>
    </row>
    <row r="3199" ht="15.75" customHeight="1" s="12">
      <c r="A3199" s="1" t="n">
        <v>3022</v>
      </c>
      <c r="B3199" s="3">
        <f>HYPERLINK("https://leetcode.com/problems/minimize-or-of-remaining-elements-using-operations/", "Minimize OR of Remaining Elements Using Operations")</f>
        <v/>
      </c>
      <c r="C3199" s="1" t="n">
        <v>96</v>
      </c>
      <c r="D3199" s="1" t="n">
        <v>16</v>
      </c>
      <c r="E3199" s="4">
        <f>IF(INDEX(C:C, ROW())+INDEX(D:D, ROW())=0, 0, INDEX(C:C, ROW())/(INDEX(C:C, ROW())+INDEX(D:D, ROW())))</f>
        <v/>
      </c>
      <c r="F3199" s="1" t="inlineStr">
        <is>
          <t>Array, Greedy, Bit Manipulation</t>
        </is>
      </c>
      <c r="G3199" s="1" t="inlineStr">
        <is>
          <t>Hard</t>
        </is>
      </c>
      <c r="H3199" s="1" t="n">
        <v>4400</v>
      </c>
      <c r="I3199" s="1" t="n">
        <v>14546</v>
      </c>
      <c r="J3199" s="9" t="n">
        <v>0.302</v>
      </c>
      <c r="K3199" s="1" t="inlineStr">
        <is>
          <t>Yes</t>
        </is>
      </c>
      <c r="L3199" s="1" t="inlineStr">
        <is>
          <t>No</t>
        </is>
      </c>
      <c r="M3199" s="1" t="inlineStr">
        <is>
          <t>No</t>
        </is>
      </c>
      <c r="N3199" s="1" t="inlineStr">
        <is>
          <t>Algorithms</t>
        </is>
      </c>
      <c r="O31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199" s="11" t="inlineStr">
        <is>
          <t>To Do</t>
        </is>
      </c>
    </row>
    <row r="3200" ht="15.75" customHeight="1" s="12">
      <c r="A3200" s="1" t="n">
        <v>3038</v>
      </c>
      <c r="B3200" s="3">
        <f>HYPERLINK("https://leetcode.com/problems/maximum-number-of-operations-with-the-same-score-i/", "Maximum Number of Operations With the Same Score I")</f>
        <v/>
      </c>
      <c r="C3200" s="1" t="n">
        <v>96</v>
      </c>
      <c r="D3200" s="1" t="n">
        <v>28</v>
      </c>
      <c r="E3200" s="4">
        <f>IF(INDEX(C:C, ROW())+INDEX(D:D, ROW())=0, 0, INDEX(C:C, ROW())/(INDEX(C:C, ROW())+INDEX(D:D, ROW())))</f>
        <v/>
      </c>
      <c r="F3200" s="1" t="inlineStr">
        <is>
          <t>Array, Simulation</t>
        </is>
      </c>
      <c r="G3200" s="1" t="inlineStr">
        <is>
          <t>Easy</t>
        </is>
      </c>
      <c r="H3200" s="1" t="n">
        <v>41989</v>
      </c>
      <c r="I3200" s="1" t="n">
        <v>79413</v>
      </c>
      <c r="J3200" s="9" t="n">
        <v>0.529</v>
      </c>
      <c r="K3200" s="1" t="inlineStr">
        <is>
          <t>Yes</t>
        </is>
      </c>
      <c r="L3200" s="1" t="inlineStr">
        <is>
          <t>No</t>
        </is>
      </c>
      <c r="M3200" s="1" t="inlineStr">
        <is>
          <t>No</t>
        </is>
      </c>
      <c r="N3200" s="1" t="inlineStr">
        <is>
          <t>Algorithms</t>
        </is>
      </c>
      <c r="O32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00" s="13" t="inlineStr">
        <is>
          <t>Done</t>
        </is>
      </c>
    </row>
    <row r="3201" ht="15.75" customHeight="1" s="12">
      <c r="A3201" s="1" t="n">
        <v>3473</v>
      </c>
      <c r="B3201" s="3">
        <f>HYPERLINK("https://leetcode.com/problems/sum-of-k-subarrays-with-length-at-least-m/", "Sum of K Subarrays With Length at Least M")</f>
        <v/>
      </c>
      <c r="C3201" s="1" t="n">
        <v>96</v>
      </c>
      <c r="D3201" s="1" t="n">
        <v>16</v>
      </c>
      <c r="E3201" s="4">
        <f>IF(INDEX(C:C, ROW())+INDEX(D:D, ROW())=0, 0, INDEX(C:C, ROW())/(INDEX(C:C, ROW())+INDEX(D:D, ROW())))</f>
        <v/>
      </c>
      <c r="F3201" s="1" t="inlineStr">
        <is>
          <t>Array, Dynamic Programming, Prefix Sum</t>
        </is>
      </c>
      <c r="G3201" s="1" t="inlineStr">
        <is>
          <t>Medium</t>
        </is>
      </c>
      <c r="H3201" s="1" t="n">
        <v>8166</v>
      </c>
      <c r="I3201" s="1" t="n">
        <v>31201</v>
      </c>
      <c r="J3201" s="9" t="n">
        <v>0.262</v>
      </c>
      <c r="K3201" s="1" t="inlineStr">
        <is>
          <t>Yes</t>
        </is>
      </c>
      <c r="L3201" s="1" t="inlineStr">
        <is>
          <t>No</t>
        </is>
      </c>
      <c r="M3201" s="1" t="inlineStr">
        <is>
          <t>No</t>
        </is>
      </c>
      <c r="N3201" s="1" t="inlineStr">
        <is>
          <t>Algorithms</t>
        </is>
      </c>
      <c r="O32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01" s="11" t="inlineStr">
        <is>
          <t>To Do</t>
        </is>
      </c>
    </row>
    <row r="3202" ht="15.75" customHeight="1" s="12">
      <c r="A3202" s="1" t="n">
        <v>3493</v>
      </c>
      <c r="B3202" s="3">
        <f>HYPERLINK("https://leetcode.com/problems/properties-graph/", "Properties Graph")</f>
        <v/>
      </c>
      <c r="C3202" s="1" t="n">
        <v>96</v>
      </c>
      <c r="D3202" s="1" t="n">
        <v>15</v>
      </c>
      <c r="E3202" s="4">
        <f>IF(INDEX(C:C, ROW())+INDEX(D:D, ROW())=0, 0, INDEX(C:C, ROW())/(INDEX(C:C, ROW())+INDEX(D:D, ROW())))</f>
        <v/>
      </c>
      <c r="F3202" s="1" t="inlineStr">
        <is>
          <t>Array, Hash Table, Depth-First Search, Breadth-First Search, Union-Find, Graph Theory</t>
        </is>
      </c>
      <c r="G3202" s="1" t="inlineStr">
        <is>
          <t>Medium</t>
        </is>
      </c>
      <c r="H3202" s="1" t="n">
        <v>25720</v>
      </c>
      <c r="I3202" s="1" t="n">
        <v>52735</v>
      </c>
      <c r="J3202" s="9" t="n">
        <v>0.488</v>
      </c>
      <c r="K3202" s="1" t="inlineStr">
        <is>
          <t>Yes</t>
        </is>
      </c>
      <c r="L3202" s="1" t="inlineStr">
        <is>
          <t>No</t>
        </is>
      </c>
      <c r="M3202" s="1" t="inlineStr">
        <is>
          <t>No</t>
        </is>
      </c>
      <c r="N3202" s="1" t="inlineStr">
        <is>
          <t>Algorithms</t>
        </is>
      </c>
      <c r="O32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02" s="11" t="inlineStr">
        <is>
          <t>To Do</t>
        </is>
      </c>
    </row>
    <row r="3203" ht="15.75" customHeight="1" s="12">
      <c r="A3203" s="1" t="n">
        <v>1336</v>
      </c>
      <c r="B3203" s="3">
        <f>HYPERLINK("https://leetcode.com/problems/number-of-transactions-per-visit/", "Number of Transactions per Visit")</f>
        <v/>
      </c>
      <c r="C3203" s="1" t="n">
        <v>95</v>
      </c>
      <c r="D3203" s="1" t="n">
        <v>327</v>
      </c>
      <c r="E3203" s="4">
        <f>IF(INDEX(C:C, ROW())+INDEX(D:D, ROW())=0, 0, INDEX(C:C, ROW())/(INDEX(C:C, ROW())+INDEX(D:D, ROW())))</f>
        <v/>
      </c>
      <c r="F3203" s="1" t="inlineStr">
        <is>
          <t>Database</t>
        </is>
      </c>
      <c r="G3203" s="1" t="inlineStr">
        <is>
          <t>Hard</t>
        </is>
      </c>
      <c r="H3203" s="1" t="n">
        <v>15885</v>
      </c>
      <c r="I3203" s="1" t="n">
        <v>33190</v>
      </c>
      <c r="J3203" s="9" t="n">
        <v>0.479</v>
      </c>
      <c r="K3203" s="1" t="inlineStr">
        <is>
          <t>No</t>
        </is>
      </c>
      <c r="L3203" s="1" t="inlineStr">
        <is>
          <t>No</t>
        </is>
      </c>
      <c r="M3203" s="1" t="inlineStr">
        <is>
          <t>No</t>
        </is>
      </c>
      <c r="N3203" s="1" t="inlineStr">
        <is>
          <t>Database</t>
        </is>
      </c>
      <c r="O32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03" s="11" t="inlineStr">
        <is>
          <t>To Do</t>
        </is>
      </c>
    </row>
    <row r="3204" ht="15.75" customHeight="1" s="12">
      <c r="A3204" s="1" t="n">
        <v>1364</v>
      </c>
      <c r="B3204" s="3">
        <f>HYPERLINK("https://leetcode.com/problems/number-of-trusted-contacts-of-a-customer/", "Number of Trusted Contacts of a Customer")</f>
        <v/>
      </c>
      <c r="C3204" s="1" t="n">
        <v>95</v>
      </c>
      <c r="D3204" s="1" t="n">
        <v>403</v>
      </c>
      <c r="E3204" s="4">
        <f>IF(INDEX(C:C, ROW())+INDEX(D:D, ROW())=0, 0, INDEX(C:C, ROW())/(INDEX(C:C, ROW())+INDEX(D:D, ROW())))</f>
        <v/>
      </c>
      <c r="F3204" s="1" t="inlineStr">
        <is>
          <t>Database</t>
        </is>
      </c>
      <c r="G3204" s="1" t="inlineStr">
        <is>
          <t>Medium</t>
        </is>
      </c>
      <c r="H3204" s="1" t="n">
        <v>25143</v>
      </c>
      <c r="I3204" s="1" t="n">
        <v>33639</v>
      </c>
      <c r="J3204" s="9" t="n">
        <v>0.747</v>
      </c>
      <c r="K3204" s="1" t="inlineStr">
        <is>
          <t>No</t>
        </is>
      </c>
      <c r="L3204" s="1" t="inlineStr">
        <is>
          <t>Yes</t>
        </is>
      </c>
      <c r="M3204" s="1" t="inlineStr">
        <is>
          <t>No</t>
        </is>
      </c>
      <c r="N3204" s="1" t="inlineStr">
        <is>
          <t>Database</t>
        </is>
      </c>
      <c r="O32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04" s="11" t="inlineStr">
        <is>
          <t>To Do</t>
        </is>
      </c>
    </row>
    <row r="3205" ht="15.75" customHeight="1" s="12">
      <c r="A3205" s="1" t="n">
        <v>1810</v>
      </c>
      <c r="B3205" s="3">
        <f>HYPERLINK("https://leetcode.com/problems/minimum-path-cost-in-a-hidden-grid/", "Minimum Path Cost in a Hidden Grid")</f>
        <v/>
      </c>
      <c r="C3205" s="1" t="n">
        <v>95</v>
      </c>
      <c r="D3205" s="1" t="n">
        <v>33</v>
      </c>
      <c r="E3205" s="4">
        <f>IF(INDEX(C:C, ROW())+INDEX(D:D, ROW())=0, 0, INDEX(C:C, ROW())/(INDEX(C:C, ROW())+INDEX(D:D, ROW())))</f>
        <v/>
      </c>
      <c r="F3205" s="1" t="inlineStr">
        <is>
          <t>Array, Depth-First Search, Breadth-First Search, Graph Theory, Heap (Priority Queue), Matrix, Interactive, Shortest Path</t>
        </is>
      </c>
      <c r="G3205" s="1" t="inlineStr">
        <is>
          <t>Medium</t>
        </is>
      </c>
      <c r="H3205" s="1" t="n">
        <v>5560</v>
      </c>
      <c r="I3205" s="1" t="n">
        <v>9452</v>
      </c>
      <c r="J3205" s="9" t="n">
        <v>0.588</v>
      </c>
      <c r="K3205" s="1" t="inlineStr">
        <is>
          <t>No</t>
        </is>
      </c>
      <c r="L3205" s="1" t="inlineStr">
        <is>
          <t>No</t>
        </is>
      </c>
      <c r="M3205" s="1" t="inlineStr">
        <is>
          <t>No</t>
        </is>
      </c>
      <c r="N3205" s="1" t="inlineStr">
        <is>
          <t>Algorithms</t>
        </is>
      </c>
      <c r="O32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05" s="11" t="inlineStr">
        <is>
          <t>To Do</t>
        </is>
      </c>
    </row>
    <row r="3206" ht="15.75" customHeight="1" s="12">
      <c r="A3206" s="1" t="n">
        <v>2388</v>
      </c>
      <c r="B3206" s="3">
        <f>HYPERLINK("https://leetcode.com/problems/change-null-values-in-a-table-to-the-previous-value/", "Change Null Values in a Table to the Previous Value")</f>
        <v/>
      </c>
      <c r="C3206" s="1" t="n">
        <v>95</v>
      </c>
      <c r="D3206" s="1" t="n">
        <v>31</v>
      </c>
      <c r="E3206" s="4">
        <f>IF(INDEX(C:C, ROW())+INDEX(D:D, ROW())=0, 0, INDEX(C:C, ROW())/(INDEX(C:C, ROW())+INDEX(D:D, ROW())))</f>
        <v/>
      </c>
      <c r="F3206" s="1" t="inlineStr">
        <is>
          <t>Database</t>
        </is>
      </c>
      <c r="G3206" s="1" t="inlineStr">
        <is>
          <t>Medium</t>
        </is>
      </c>
      <c r="H3206" s="1" t="n">
        <v>6850</v>
      </c>
      <c r="I3206" s="1" t="n">
        <v>13314</v>
      </c>
      <c r="J3206" s="9" t="n">
        <v>0.514</v>
      </c>
      <c r="K3206" s="1" t="inlineStr">
        <is>
          <t>No</t>
        </is>
      </c>
      <c r="L3206" s="1" t="inlineStr">
        <is>
          <t>No</t>
        </is>
      </c>
      <c r="M3206" s="1" t="inlineStr">
        <is>
          <t>No</t>
        </is>
      </c>
      <c r="N3206" s="1" t="inlineStr">
        <is>
          <t>Database</t>
        </is>
      </c>
      <c r="O32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06" s="11" t="inlineStr">
        <is>
          <t>To Do</t>
        </is>
      </c>
    </row>
    <row r="3207" ht="15.75" customHeight="1" s="12">
      <c r="A3207" s="1" t="n">
        <v>3545</v>
      </c>
      <c r="B3207" s="3">
        <f>HYPERLINK("https://leetcode.com/problems/minimum-deletions-for-at-most-k-distinct-characters/", "Minimum Deletions for At Most K Distinct Characters")</f>
        <v/>
      </c>
      <c r="C3207" s="1" t="n">
        <v>95</v>
      </c>
      <c r="D3207" s="1" t="n">
        <v>6</v>
      </c>
      <c r="E3207" s="4">
        <f>IF(INDEX(C:C, ROW())+INDEX(D:D, ROW())=0, 0, INDEX(C:C, ROW())/(INDEX(C:C, ROW())+INDEX(D:D, ROW())))</f>
        <v/>
      </c>
      <c r="F3207" s="1" t="inlineStr">
        <is>
          <t>Hash Table, String, Greedy, Sorting, Counting</t>
        </is>
      </c>
      <c r="G3207" s="1" t="inlineStr">
        <is>
          <t>Easy</t>
        </is>
      </c>
      <c r="H3207" s="1" t="n">
        <v>43084</v>
      </c>
      <c r="I3207" s="1" t="n">
        <v>58915</v>
      </c>
      <c r="J3207" s="9" t="n">
        <v>0.731</v>
      </c>
      <c r="K3207" s="1" t="inlineStr">
        <is>
          <t>Yes</t>
        </is>
      </c>
      <c r="L3207" s="1" t="inlineStr">
        <is>
          <t>No</t>
        </is>
      </c>
      <c r="M3207" s="1" t="inlineStr">
        <is>
          <t>No</t>
        </is>
      </c>
      <c r="N3207" s="1" t="inlineStr">
        <is>
          <t>Algorithms</t>
        </is>
      </c>
      <c r="O32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07" s="13" t="inlineStr">
        <is>
          <t>Done</t>
        </is>
      </c>
    </row>
    <row r="3208" ht="15.75" customHeight="1" s="12">
      <c r="A3208" s="1" t="n">
        <v>3790</v>
      </c>
      <c r="B3208" s="3">
        <f>HYPERLINK("https://leetcode.com/problems/smallest-all-ones-multiple/", "Smallest All-Ones Multiple")</f>
        <v/>
      </c>
      <c r="C3208" s="1" t="n">
        <v>95</v>
      </c>
      <c r="D3208" s="1" t="n">
        <v>6</v>
      </c>
      <c r="E3208" s="4">
        <f>IF(INDEX(C:C, ROW())+INDEX(D:D, ROW())=0, 0, INDEX(C:C, ROW())/(INDEX(C:C, ROW())+INDEX(D:D, ROW())))</f>
        <v/>
      </c>
      <c r="F3208" s="1" t="inlineStr">
        <is>
          <t>Hash Table, Math</t>
        </is>
      </c>
      <c r="G3208" s="1" t="inlineStr">
        <is>
          <t>Medium</t>
        </is>
      </c>
      <c r="H3208" s="1" t="n">
        <v>27219</v>
      </c>
      <c r="I3208" s="1" t="n">
        <v>57880</v>
      </c>
      <c r="J3208" s="9" t="n">
        <v>0.47</v>
      </c>
      <c r="K3208" s="1" t="inlineStr">
        <is>
          <t>Yes</t>
        </is>
      </c>
      <c r="L3208" s="1" t="inlineStr">
        <is>
          <t>No</t>
        </is>
      </c>
      <c r="M3208" s="1" t="inlineStr">
        <is>
          <t>No</t>
        </is>
      </c>
      <c r="N3208" s="1" t="inlineStr">
        <is>
          <t>Algorithms</t>
        </is>
      </c>
      <c r="O32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08" s="11" t="inlineStr">
        <is>
          <t>To Do</t>
        </is>
      </c>
    </row>
    <row r="3209" ht="15.75" customHeight="1" s="12">
      <c r="A3209" s="1" t="n">
        <v>2174</v>
      </c>
      <c r="B3209" s="3">
        <f>HYPERLINK("https://leetcode.com/problems/remove-all-ones-with-row-and-column-flips-ii/", "Remove All Ones With Row and Column Flips II")</f>
        <v/>
      </c>
      <c r="C3209" s="1" t="n">
        <v>94</v>
      </c>
      <c r="D3209" s="1" t="n">
        <v>24</v>
      </c>
      <c r="E3209" s="4">
        <f>IF(INDEX(C:C, ROW())+INDEX(D:D, ROW())=0, 0, INDEX(C:C, ROW())/(INDEX(C:C, ROW())+INDEX(D:D, ROW())))</f>
        <v/>
      </c>
      <c r="F3209" s="1" t="inlineStr">
        <is>
          <t>Array, Bit Manipulation, Breadth-First Search, Matrix</t>
        </is>
      </c>
      <c r="G3209" s="1" t="inlineStr">
        <is>
          <t>Medium</t>
        </is>
      </c>
      <c r="H3209" s="1" t="n">
        <v>5709</v>
      </c>
      <c r="I3209" s="1" t="n">
        <v>8475</v>
      </c>
      <c r="J3209" s="9" t="n">
        <v>0.674</v>
      </c>
      <c r="K3209" s="1" t="inlineStr">
        <is>
          <t>No</t>
        </is>
      </c>
      <c r="L3209" s="1" t="inlineStr">
        <is>
          <t>No</t>
        </is>
      </c>
      <c r="M3209" s="1" t="inlineStr">
        <is>
          <t>No</t>
        </is>
      </c>
      <c r="N3209" s="1" t="inlineStr">
        <is>
          <t>Algorithms</t>
        </is>
      </c>
      <c r="O32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09" s="11" t="inlineStr">
        <is>
          <t>To Do</t>
        </is>
      </c>
    </row>
    <row r="3210" ht="15.75" customHeight="1" s="12">
      <c r="A3210" s="1" t="n">
        <v>2263</v>
      </c>
      <c r="B3210" s="3">
        <f>HYPERLINK("https://leetcode.com/problems/make-array-non-decreasing-or-non-increasing/", "Make Array Non-decreasing or Non-increasing")</f>
        <v/>
      </c>
      <c r="C3210" s="1" t="n">
        <v>94</v>
      </c>
      <c r="D3210" s="1" t="n">
        <v>13</v>
      </c>
      <c r="E3210" s="4">
        <f>IF(INDEX(C:C, ROW())+INDEX(D:D, ROW())=0, 0, INDEX(C:C, ROW())/(INDEX(C:C, ROW())+INDEX(D:D, ROW())))</f>
        <v/>
      </c>
      <c r="F3210" s="1" t="inlineStr">
        <is>
          <t>Array, Dynamic Programming, Greedy, Heap (Priority Queue)</t>
        </is>
      </c>
      <c r="G3210" s="1" t="inlineStr">
        <is>
          <t>Hard</t>
        </is>
      </c>
      <c r="H3210" s="1" t="n">
        <v>4807</v>
      </c>
      <c r="I3210" s="1" t="n">
        <v>7335</v>
      </c>
      <c r="J3210" s="9" t="n">
        <v>0.655</v>
      </c>
      <c r="K3210" s="1" t="inlineStr">
        <is>
          <t>No</t>
        </is>
      </c>
      <c r="L3210" s="1" t="inlineStr">
        <is>
          <t>No</t>
        </is>
      </c>
      <c r="M3210" s="1" t="inlineStr">
        <is>
          <t>No</t>
        </is>
      </c>
      <c r="N3210" s="1" t="inlineStr">
        <is>
          <t>Algorithms</t>
        </is>
      </c>
      <c r="O32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10" s="11" t="inlineStr">
        <is>
          <t>To Do</t>
        </is>
      </c>
    </row>
    <row r="3211" ht="15.75" customHeight="1" s="12">
      <c r="A3211" s="1" t="n">
        <v>3127</v>
      </c>
      <c r="B3211" s="3">
        <f>HYPERLINK("https://leetcode.com/problems/make-a-square-with-the-same-color/", "Make a Square with the Same Color")</f>
        <v/>
      </c>
      <c r="C3211" s="1" t="n">
        <v>94</v>
      </c>
      <c r="D3211" s="1" t="n">
        <v>12</v>
      </c>
      <c r="E3211" s="4">
        <f>IF(INDEX(C:C, ROW())+INDEX(D:D, ROW())=0, 0, INDEX(C:C, ROW())/(INDEX(C:C, ROW())+INDEX(D:D, ROW())))</f>
        <v/>
      </c>
      <c r="F3211" s="1" t="inlineStr">
        <is>
          <t>Array, Matrix, Enumeration</t>
        </is>
      </c>
      <c r="G3211" s="1" t="inlineStr">
        <is>
          <t>Easy</t>
        </is>
      </c>
      <c r="H3211" s="1" t="n">
        <v>34389</v>
      </c>
      <c r="I3211" s="1" t="n">
        <v>64695</v>
      </c>
      <c r="J3211" s="9" t="n">
        <v>0.532</v>
      </c>
      <c r="K3211" s="1" t="inlineStr">
        <is>
          <t>Yes</t>
        </is>
      </c>
      <c r="L3211" s="1" t="inlineStr">
        <is>
          <t>No</t>
        </is>
      </c>
      <c r="M3211" s="1" t="inlineStr">
        <is>
          <t>No</t>
        </is>
      </c>
      <c r="N3211" s="1" t="inlineStr">
        <is>
          <t>Algorithms</t>
        </is>
      </c>
      <c r="O32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11" s="13" t="inlineStr">
        <is>
          <t>Done</t>
        </is>
      </c>
    </row>
    <row r="3212" ht="15.75" customHeight="1" s="12">
      <c r="A3212" s="1" t="n">
        <v>3332</v>
      </c>
      <c r="B3212" s="3">
        <f>HYPERLINK("https://leetcode.com/problems/maximum-points-tourist-can-earn/", "Maximum Points Tourist Can Earn")</f>
        <v/>
      </c>
      <c r="C3212" s="1" t="n">
        <v>94</v>
      </c>
      <c r="D3212" s="1" t="n">
        <v>15</v>
      </c>
      <c r="E3212" s="4">
        <f>IF(INDEX(C:C, ROW())+INDEX(D:D, ROW())=0, 0, INDEX(C:C, ROW())/(INDEX(C:C, ROW())+INDEX(D:D, ROW())))</f>
        <v/>
      </c>
      <c r="F3212" s="1" t="inlineStr">
        <is>
          <t>Array, Dynamic Programming, Matrix</t>
        </is>
      </c>
      <c r="G3212" s="1" t="inlineStr">
        <is>
          <t>Medium</t>
        </is>
      </c>
      <c r="H3212" s="1" t="n">
        <v>15427</v>
      </c>
      <c r="I3212" s="1" t="n">
        <v>32418</v>
      </c>
      <c r="J3212" s="9" t="n">
        <v>0.476</v>
      </c>
      <c r="K3212" s="1" t="inlineStr">
        <is>
          <t>Yes</t>
        </is>
      </c>
      <c r="L3212" s="1" t="inlineStr">
        <is>
          <t>No</t>
        </is>
      </c>
      <c r="M3212" s="1" t="inlineStr">
        <is>
          <t>No</t>
        </is>
      </c>
      <c r="N3212" s="1" t="inlineStr">
        <is>
          <t>Algorithms</t>
        </is>
      </c>
      <c r="O32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12" s="11" t="inlineStr">
        <is>
          <t>To Do</t>
        </is>
      </c>
    </row>
    <row r="3213" ht="15.75" customHeight="1" s="12">
      <c r="A3213" s="1" t="n">
        <v>3587</v>
      </c>
      <c r="B3213" s="3">
        <f>HYPERLINK("https://leetcode.com/problems/minimum-adjacent-swaps-to-alternate-parity/", "Minimum Adjacent Swaps to Alternate Parity")</f>
        <v/>
      </c>
      <c r="C3213" s="1" t="n">
        <v>94</v>
      </c>
      <c r="D3213" s="1" t="n">
        <v>16</v>
      </c>
      <c r="E3213" s="4">
        <f>IF(INDEX(C:C, ROW())+INDEX(D:D, ROW())=0, 0, INDEX(C:C, ROW())/(INDEX(C:C, ROW())+INDEX(D:D, ROW())))</f>
        <v/>
      </c>
      <c r="F3213" s="1" t="inlineStr">
        <is>
          <t>Array, Greedy</t>
        </is>
      </c>
      <c r="G3213" s="1" t="inlineStr">
        <is>
          <t>Medium</t>
        </is>
      </c>
      <c r="H3213" s="1" t="n">
        <v>20844</v>
      </c>
      <c r="I3213" s="1" t="n">
        <v>49197</v>
      </c>
      <c r="J3213" s="9" t="n">
        <v>0.424</v>
      </c>
      <c r="K3213" s="1" t="inlineStr">
        <is>
          <t>Yes</t>
        </is>
      </c>
      <c r="L3213" s="1" t="inlineStr">
        <is>
          <t>No</t>
        </is>
      </c>
      <c r="M3213" s="1" t="inlineStr">
        <is>
          <t>No</t>
        </is>
      </c>
      <c r="N3213" s="1" t="inlineStr">
        <is>
          <t>Algorithms</t>
        </is>
      </c>
      <c r="O32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13" s="11" t="inlineStr">
        <is>
          <t>To Do</t>
        </is>
      </c>
    </row>
    <row r="3214" ht="15.75" customHeight="1" s="12">
      <c r="A3214" s="1" t="n">
        <v>533</v>
      </c>
      <c r="B3214" s="3">
        <f>HYPERLINK("https://leetcode.com/problems/lonely-pixel-ii/", "Lonely Pixel II")</f>
        <v/>
      </c>
      <c r="C3214" s="1" t="n">
        <v>93</v>
      </c>
      <c r="D3214" s="1" t="n">
        <v>788</v>
      </c>
      <c r="E3214" s="4">
        <f>IF(INDEX(C:C, ROW())+INDEX(D:D, ROW())=0, 0, INDEX(C:C, ROW())/(INDEX(C:C, ROW())+INDEX(D:D, ROW())))</f>
        <v/>
      </c>
      <c r="F3214" s="1" t="inlineStr">
        <is>
          <t>Array, Hash Table, Matrix</t>
        </is>
      </c>
      <c r="G3214" s="1" t="inlineStr">
        <is>
          <t>Medium</t>
        </is>
      </c>
      <c r="H3214" s="1" t="n">
        <v>14396</v>
      </c>
      <c r="I3214" s="1" t="n">
        <v>29453</v>
      </c>
      <c r="J3214" s="9" t="n">
        <v>0.489</v>
      </c>
      <c r="K3214" s="1" t="inlineStr">
        <is>
          <t>No</t>
        </is>
      </c>
      <c r="L3214" s="1" t="inlineStr">
        <is>
          <t>No</t>
        </is>
      </c>
      <c r="M3214" s="1" t="inlineStr">
        <is>
          <t>No</t>
        </is>
      </c>
      <c r="N3214" s="1" t="inlineStr">
        <is>
          <t>Algorithms</t>
        </is>
      </c>
      <c r="O32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14" s="11" t="inlineStr">
        <is>
          <t>To Do</t>
        </is>
      </c>
    </row>
    <row r="3215" ht="15.75" customHeight="1" s="12">
      <c r="A3215" s="1" t="n">
        <v>1181</v>
      </c>
      <c r="B3215" s="3">
        <f>HYPERLINK("https://leetcode.com/problems/before-and-after-puzzle/", "Before and After Puzzle")</f>
        <v/>
      </c>
      <c r="C3215" s="1" t="n">
        <v>93</v>
      </c>
      <c r="D3215" s="1" t="n">
        <v>158</v>
      </c>
      <c r="E3215" s="4">
        <f>IF(INDEX(C:C, ROW())+INDEX(D:D, ROW())=0, 0, INDEX(C:C, ROW())/(INDEX(C:C, ROW())+INDEX(D:D, ROW())))</f>
        <v/>
      </c>
      <c r="F3215" s="1" t="inlineStr">
        <is>
          <t>Array, Hash Table, String, Sorting</t>
        </is>
      </c>
      <c r="G3215" s="1" t="inlineStr">
        <is>
          <t>Medium</t>
        </is>
      </c>
      <c r="H3215" s="1" t="n">
        <v>13098</v>
      </c>
      <c r="I3215" s="1" t="n">
        <v>25257</v>
      </c>
      <c r="J3215" s="9" t="n">
        <v>0.519</v>
      </c>
      <c r="K3215" s="1" t="inlineStr">
        <is>
          <t>No</t>
        </is>
      </c>
      <c r="L3215" s="1" t="inlineStr">
        <is>
          <t>Yes</t>
        </is>
      </c>
      <c r="M3215" s="1" t="inlineStr">
        <is>
          <t>No</t>
        </is>
      </c>
      <c r="N3215" s="1" t="inlineStr">
        <is>
          <t>Algorithms</t>
        </is>
      </c>
      <c r="O32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15" s="11" t="inlineStr">
        <is>
          <t>To Do</t>
        </is>
      </c>
    </row>
    <row r="3216" ht="15.75" customHeight="1" s="12">
      <c r="A3216" s="1" t="n">
        <v>1543</v>
      </c>
      <c r="B3216" s="3">
        <f>HYPERLINK("https://leetcode.com/problems/fix-product-name-format/", "Fix Product Name Format")</f>
        <v/>
      </c>
      <c r="C3216" s="1" t="n">
        <v>93</v>
      </c>
      <c r="D3216" s="1" t="n">
        <v>45</v>
      </c>
      <c r="E3216" s="4">
        <f>IF(INDEX(C:C, ROW())+INDEX(D:D, ROW())=0, 0, INDEX(C:C, ROW())/(INDEX(C:C, ROW())+INDEX(D:D, ROW())))</f>
        <v/>
      </c>
      <c r="F3216" s="1" t="inlineStr">
        <is>
          <t>Database</t>
        </is>
      </c>
      <c r="G3216" s="1" t="inlineStr">
        <is>
          <t>Easy</t>
        </is>
      </c>
      <c r="H3216" s="1" t="n">
        <v>24044</v>
      </c>
      <c r="I3216" s="1" t="n">
        <v>40864</v>
      </c>
      <c r="J3216" s="9" t="n">
        <v>0.588</v>
      </c>
      <c r="K3216" s="1" t="inlineStr">
        <is>
          <t>No</t>
        </is>
      </c>
      <c r="L3216" s="1" t="inlineStr">
        <is>
          <t>No</t>
        </is>
      </c>
      <c r="M3216" s="1" t="inlineStr">
        <is>
          <t>No</t>
        </is>
      </c>
      <c r="N3216" s="1" t="inlineStr">
        <is>
          <t>Database</t>
        </is>
      </c>
      <c r="O32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16" s="11" t="inlineStr">
        <is>
          <t>To Do</t>
        </is>
      </c>
    </row>
    <row r="3217" ht="15.75" customHeight="1" s="12">
      <c r="A3217" s="1" t="n">
        <v>1620</v>
      </c>
      <c r="B3217" s="3">
        <f>HYPERLINK("https://leetcode.com/problems/coordinate-with-maximum-network-quality/", "Coordinate With Maximum Network Quality")</f>
        <v/>
      </c>
      <c r="C3217" s="1" t="n">
        <v>93</v>
      </c>
      <c r="D3217" s="1" t="n">
        <v>276</v>
      </c>
      <c r="E3217" s="4">
        <f>IF(INDEX(C:C, ROW())+INDEX(D:D, ROW())=0, 0, INDEX(C:C, ROW())/(INDEX(C:C, ROW())+INDEX(D:D, ROW())))</f>
        <v/>
      </c>
      <c r="F3217" s="1" t="inlineStr">
        <is>
          <t>Array, Enumeration</t>
        </is>
      </c>
      <c r="G3217" s="1" t="inlineStr">
        <is>
          <t>Medium</t>
        </is>
      </c>
      <c r="H3217" s="1" t="n">
        <v>11712</v>
      </c>
      <c r="I3217" s="1" t="n">
        <v>29621</v>
      </c>
      <c r="J3217" s="9" t="n">
        <v>0.395</v>
      </c>
      <c r="K3217" s="1" t="inlineStr">
        <is>
          <t>Yes</t>
        </is>
      </c>
      <c r="L3217" s="1" t="inlineStr">
        <is>
          <t>No</t>
        </is>
      </c>
      <c r="M3217" s="1" t="inlineStr">
        <is>
          <t>No</t>
        </is>
      </c>
      <c r="N3217" s="1" t="inlineStr">
        <is>
          <t>Algorithms</t>
        </is>
      </c>
      <c r="O32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17" s="11" t="inlineStr">
        <is>
          <t>To Do</t>
        </is>
      </c>
    </row>
    <row r="3218" ht="15.75" customHeight="1" s="12">
      <c r="A3218" s="1" t="n">
        <v>1892</v>
      </c>
      <c r="B3218" s="3">
        <f>HYPERLINK("https://leetcode.com/problems/page-recommendations-ii/", "Page Recommendations II")</f>
        <v/>
      </c>
      <c r="C3218" s="1" t="n">
        <v>93</v>
      </c>
      <c r="D3218" s="1" t="n">
        <v>24</v>
      </c>
      <c r="E3218" s="4">
        <f>IF(INDEX(C:C, ROW())+INDEX(D:D, ROW())=0, 0, INDEX(C:C, ROW())/(INDEX(C:C, ROW())+INDEX(D:D, ROW())))</f>
        <v/>
      </c>
      <c r="F3218" s="1" t="inlineStr">
        <is>
          <t>Database</t>
        </is>
      </c>
      <c r="G3218" s="1" t="inlineStr">
        <is>
          <t>Hard</t>
        </is>
      </c>
      <c r="H3218" s="1" t="n">
        <v>10600</v>
      </c>
      <c r="I3218" s="1" t="n">
        <v>23197</v>
      </c>
      <c r="J3218" s="9" t="n">
        <v>0.457</v>
      </c>
      <c r="K3218" s="1" t="inlineStr">
        <is>
          <t>No</t>
        </is>
      </c>
      <c r="L3218" s="1" t="inlineStr">
        <is>
          <t>No</t>
        </is>
      </c>
      <c r="M3218" s="1" t="inlineStr">
        <is>
          <t>No</t>
        </is>
      </c>
      <c r="N3218" s="1" t="inlineStr">
        <is>
          <t>Database</t>
        </is>
      </c>
      <c r="O32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18" s="11" t="inlineStr">
        <is>
          <t>To Do</t>
        </is>
      </c>
    </row>
    <row r="3219" ht="15.75" customHeight="1" s="12">
      <c r="A3219" s="1" t="n">
        <v>3523</v>
      </c>
      <c r="B3219" s="3">
        <f>HYPERLINK("https://leetcode.com/problems/make-array-non-decreasing/", "Make Array Non-decreasing")</f>
        <v/>
      </c>
      <c r="C3219" s="1" t="n">
        <v>93</v>
      </c>
      <c r="D3219" s="1" t="n">
        <v>9</v>
      </c>
      <c r="E3219" s="4">
        <f>IF(INDEX(C:C, ROW())+INDEX(D:D, ROW())=0, 0, INDEX(C:C, ROW())/(INDEX(C:C, ROW())+INDEX(D:D, ROW())))</f>
        <v/>
      </c>
      <c r="F3219" s="1" t="inlineStr">
        <is>
          <t>Array, Stack, Greedy, Monotonic Stack</t>
        </is>
      </c>
      <c r="G3219" s="1" t="inlineStr">
        <is>
          <t>Medium</t>
        </is>
      </c>
      <c r="H3219" s="1" t="n">
        <v>33147</v>
      </c>
      <c r="I3219" s="1" t="n">
        <v>58018</v>
      </c>
      <c r="J3219" s="9" t="n">
        <v>0.571</v>
      </c>
      <c r="K3219" s="1" t="inlineStr">
        <is>
          <t>Yes</t>
        </is>
      </c>
      <c r="L3219" s="1" t="inlineStr">
        <is>
          <t>No</t>
        </is>
      </c>
      <c r="M3219" s="1" t="inlineStr">
        <is>
          <t>No</t>
        </is>
      </c>
      <c r="N3219" s="1" t="inlineStr">
        <is>
          <t>Algorithms</t>
        </is>
      </c>
      <c r="O32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19" s="11" t="inlineStr">
        <is>
          <t>To Do</t>
        </is>
      </c>
    </row>
    <row r="3220" ht="15.75" customHeight="1" s="12">
      <c r="A3220" s="1" t="n">
        <v>3561</v>
      </c>
      <c r="B3220" s="3">
        <f>HYPERLINK("https://leetcode.com/problems/resulting-string-after-adjacent-removals/", "Resulting String After Adjacent Removals")</f>
        <v/>
      </c>
      <c r="C3220" s="1" t="n">
        <v>93</v>
      </c>
      <c r="D3220" s="1" t="n">
        <v>3</v>
      </c>
      <c r="E3220" s="4">
        <f>IF(INDEX(C:C, ROW())+INDEX(D:D, ROW())=0, 0, INDEX(C:C, ROW())/(INDEX(C:C, ROW())+INDEX(D:D, ROW())))</f>
        <v/>
      </c>
      <c r="F3220" s="1" t="inlineStr">
        <is>
          <t>String, Stack, Simulation</t>
        </is>
      </c>
      <c r="G3220" s="1" t="inlineStr">
        <is>
          <t>Medium</t>
        </is>
      </c>
      <c r="H3220" s="1" t="n">
        <v>32922</v>
      </c>
      <c r="I3220" s="1" t="n">
        <v>57925</v>
      </c>
      <c r="J3220" s="9" t="n">
        <v>0.5679999999999999</v>
      </c>
      <c r="K3220" s="1" t="inlineStr">
        <is>
          <t>Yes</t>
        </is>
      </c>
      <c r="L3220" s="1" t="inlineStr">
        <is>
          <t>No</t>
        </is>
      </c>
      <c r="M3220" s="1" t="inlineStr">
        <is>
          <t>No</t>
        </is>
      </c>
      <c r="N3220" s="1" t="inlineStr">
        <is>
          <t>Algorithms</t>
        </is>
      </c>
      <c r="O32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20" s="11" t="inlineStr">
        <is>
          <t>To Do</t>
        </is>
      </c>
    </row>
    <row r="3221" ht="15.75" customHeight="1" s="12">
      <c r="A3221" s="1" t="n">
        <v>3834</v>
      </c>
      <c r="B3221" s="3">
        <f>HYPERLINK("https://leetcode.com/problems/merge-adjacent-equal-elements/", "Merge Adjacent Equal Elements")</f>
        <v/>
      </c>
      <c r="C3221" s="1" t="n">
        <v>93</v>
      </c>
      <c r="D3221" s="1" t="n">
        <v>2</v>
      </c>
      <c r="E3221" s="4">
        <f>IF(INDEX(C:C, ROW())+INDEX(D:D, ROW())=0, 0, INDEX(C:C, ROW())/(INDEX(C:C, ROW())+INDEX(D:D, ROW())))</f>
        <v/>
      </c>
      <c r="F3221" s="1" t="inlineStr">
        <is>
          <t>Array, Stack, Simulation</t>
        </is>
      </c>
      <c r="G3221" s="1" t="inlineStr">
        <is>
          <t>Medium</t>
        </is>
      </c>
      <c r="H3221" s="1" t="n">
        <v>44715</v>
      </c>
      <c r="I3221" s="1" t="n">
        <v>105648</v>
      </c>
      <c r="J3221" s="9" t="n">
        <v>0.423</v>
      </c>
      <c r="K3221" s="1" t="inlineStr">
        <is>
          <t>Yes</t>
        </is>
      </c>
      <c r="L3221" s="1" t="inlineStr">
        <is>
          <t>No</t>
        </is>
      </c>
      <c r="M3221" s="1" t="inlineStr">
        <is>
          <t>No</t>
        </is>
      </c>
      <c r="N3221" s="1" t="inlineStr">
        <is>
          <t>Algorithms</t>
        </is>
      </c>
      <c r="O32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21" s="11" t="inlineStr">
        <is>
          <t>To Do</t>
        </is>
      </c>
    </row>
    <row r="3222" ht="15.75" customHeight="1" s="12">
      <c r="A3222" s="1" t="n">
        <v>1495</v>
      </c>
      <c r="B3222" s="3">
        <f>HYPERLINK("https://leetcode.com/problems/friendly-movies-streamed-last-month/", "Friendly Movies Streamed Last Month")</f>
        <v/>
      </c>
      <c r="C3222" s="1" t="n">
        <v>92</v>
      </c>
      <c r="D3222" s="1" t="n">
        <v>43</v>
      </c>
      <c r="E3222" s="4">
        <f>IF(INDEX(C:C, ROW())+INDEX(D:D, ROW())=0, 0, INDEX(C:C, ROW())/(INDEX(C:C, ROW())+INDEX(D:D, ROW())))</f>
        <v/>
      </c>
      <c r="F3222" s="1" t="inlineStr">
        <is>
          <t>Database</t>
        </is>
      </c>
      <c r="G3222" s="1" t="inlineStr">
        <is>
          <t>Easy</t>
        </is>
      </c>
      <c r="H3222" s="1" t="n">
        <v>40614</v>
      </c>
      <c r="I3222" s="1" t="n">
        <v>83030</v>
      </c>
      <c r="J3222" s="9" t="n">
        <v>0.489</v>
      </c>
      <c r="K3222" s="1" t="inlineStr">
        <is>
          <t>No</t>
        </is>
      </c>
      <c r="L3222" s="1" t="inlineStr">
        <is>
          <t>Yes</t>
        </is>
      </c>
      <c r="M3222" s="1" t="inlineStr">
        <is>
          <t>No</t>
        </is>
      </c>
      <c r="N3222" s="1" t="inlineStr">
        <is>
          <t>Database</t>
        </is>
      </c>
      <c r="O32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22" s="11" t="inlineStr">
        <is>
          <t>To Do</t>
        </is>
      </c>
    </row>
    <row r="3223" ht="15.75" customHeight="1" s="12">
      <c r="A3223" s="1" t="n">
        <v>1772</v>
      </c>
      <c r="B3223" s="3">
        <f>HYPERLINK("https://leetcode.com/problems/sort-features-by-popularity/", "Sort Features by Popularity")</f>
        <v/>
      </c>
      <c r="C3223" s="1" t="n">
        <v>92</v>
      </c>
      <c r="D3223" s="1" t="n">
        <v>43</v>
      </c>
      <c r="E3223" s="4">
        <f>IF(INDEX(C:C, ROW())+INDEX(D:D, ROW())=0, 0, INDEX(C:C, ROW())/(INDEX(C:C, ROW())+INDEX(D:D, ROW())))</f>
        <v/>
      </c>
      <c r="F3223" s="1" t="inlineStr">
        <is>
          <t>Array, Hash Table, String, Sorting</t>
        </is>
      </c>
      <c r="G3223" s="1" t="inlineStr">
        <is>
          <t>Medium</t>
        </is>
      </c>
      <c r="H3223" s="1" t="n">
        <v>7491</v>
      </c>
      <c r="I3223" s="1" t="n">
        <v>11268</v>
      </c>
      <c r="J3223" s="9" t="n">
        <v>0.665</v>
      </c>
      <c r="K3223" s="1" t="inlineStr">
        <is>
          <t>No</t>
        </is>
      </c>
      <c r="L3223" s="1" t="inlineStr">
        <is>
          <t>No</t>
        </is>
      </c>
      <c r="M3223" s="1" t="inlineStr">
        <is>
          <t>No</t>
        </is>
      </c>
      <c r="N3223" s="1" t="inlineStr">
        <is>
          <t>Algorithms</t>
        </is>
      </c>
      <c r="O32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23" s="11" t="inlineStr">
        <is>
          <t>To Do</t>
        </is>
      </c>
    </row>
    <row r="3224" ht="15.75" customHeight="1" s="12">
      <c r="A3224" s="1" t="n">
        <v>3693</v>
      </c>
      <c r="B3224" s="3">
        <f>HYPERLINK("https://leetcode.com/problems/climbing-stairs-ii/", "Climbing Stairs II")</f>
        <v/>
      </c>
      <c r="C3224" s="1" t="n">
        <v>92</v>
      </c>
      <c r="D3224" s="1" t="n">
        <v>11</v>
      </c>
      <c r="E3224" s="4">
        <f>IF(INDEX(C:C, ROW())+INDEX(D:D, ROW())=0, 0, INDEX(C:C, ROW())/(INDEX(C:C, ROW())+INDEX(D:D, ROW())))</f>
        <v/>
      </c>
      <c r="F3224" s="1" t="inlineStr">
        <is>
          <t>Array, Dynamic Programming</t>
        </is>
      </c>
      <c r="G3224" s="1" t="inlineStr">
        <is>
          <t>Medium</t>
        </is>
      </c>
      <c r="H3224" s="1" t="n">
        <v>30603</v>
      </c>
      <c r="I3224" s="1" t="n">
        <v>47747</v>
      </c>
      <c r="J3224" s="9" t="n">
        <v>0.641</v>
      </c>
      <c r="K3224" s="1" t="inlineStr">
        <is>
          <t>Yes</t>
        </is>
      </c>
      <c r="L3224" s="1" t="inlineStr">
        <is>
          <t>No</t>
        </is>
      </c>
      <c r="M3224" s="1" t="inlineStr">
        <is>
          <t>No</t>
        </is>
      </c>
      <c r="N3224" s="1" t="inlineStr">
        <is>
          <t>Algorithms</t>
        </is>
      </c>
      <c r="O32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24" s="11" t="inlineStr">
        <is>
          <t>To Do</t>
        </is>
      </c>
    </row>
    <row r="3225" ht="15.75" customHeight="1" s="12">
      <c r="A3225" s="1" t="n">
        <v>3784</v>
      </c>
      <c r="B3225" s="3">
        <f>HYPERLINK("https://leetcode.com/problems/minimum-deletion-cost-to-make-all-characters-equal/", "Minimum Deletion Cost to Make All Characters Equal")</f>
        <v/>
      </c>
      <c r="C3225" s="1" t="n">
        <v>92</v>
      </c>
      <c r="D3225" s="1" t="n">
        <v>9</v>
      </c>
      <c r="E3225" s="4">
        <f>IF(INDEX(C:C, ROW())+INDEX(D:D, ROW())=0, 0, INDEX(C:C, ROW())/(INDEX(C:C, ROW())+INDEX(D:D, ROW())))</f>
        <v/>
      </c>
      <c r="F3225" s="1" t="inlineStr">
        <is>
          <t>Array, Hash Table, String, Enumeration</t>
        </is>
      </c>
      <c r="G3225" s="1" t="inlineStr">
        <is>
          <t>Medium</t>
        </is>
      </c>
      <c r="H3225" s="1" t="n">
        <v>36503</v>
      </c>
      <c r="I3225" s="1" t="n">
        <v>66193</v>
      </c>
      <c r="J3225" s="9" t="n">
        <v>0.551</v>
      </c>
      <c r="K3225" s="1" t="inlineStr">
        <is>
          <t>Yes</t>
        </is>
      </c>
      <c r="L3225" s="1" t="inlineStr">
        <is>
          <t>No</t>
        </is>
      </c>
      <c r="M3225" s="1" t="inlineStr">
        <is>
          <t>No</t>
        </is>
      </c>
      <c r="N3225" s="1" t="inlineStr">
        <is>
          <t>Algorithms</t>
        </is>
      </c>
      <c r="O32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25" s="11" t="inlineStr">
        <is>
          <t>To Do</t>
        </is>
      </c>
    </row>
    <row r="3226" ht="15.75" customHeight="1" s="12">
      <c r="A3226" s="1" t="n">
        <v>3811</v>
      </c>
      <c r="B3226" s="3">
        <f>HYPERLINK("https://leetcode.com/problems/number-of-alternating-xor-partitions/", "Number of Alternating XOR Partitions")</f>
        <v/>
      </c>
      <c r="C3226" s="1" t="n">
        <v>92</v>
      </c>
      <c r="D3226" s="1" t="n">
        <v>9</v>
      </c>
      <c r="E3226" s="4">
        <f>IF(INDEX(C:C, ROW())+INDEX(D:D, ROW())=0, 0, INDEX(C:C, ROW())/(INDEX(C:C, ROW())+INDEX(D:D, ROW())))</f>
        <v/>
      </c>
      <c r="F3226" s="1" t="inlineStr">
        <is>
          <t>Array, Hash Table, Dynamic Programming, Bit Manipulation</t>
        </is>
      </c>
      <c r="G3226" s="1" t="inlineStr">
        <is>
          <t>Medium</t>
        </is>
      </c>
      <c r="H3226" s="1" t="n">
        <v>8788</v>
      </c>
      <c r="I3226" s="1" t="n">
        <v>32479</v>
      </c>
      <c r="J3226" s="9" t="n">
        <v>0.271</v>
      </c>
      <c r="K3226" s="1" t="inlineStr">
        <is>
          <t>Yes</t>
        </is>
      </c>
      <c r="L3226" s="1" t="inlineStr">
        <is>
          <t>No</t>
        </is>
      </c>
      <c r="M3226" s="1" t="inlineStr">
        <is>
          <t>No</t>
        </is>
      </c>
      <c r="N3226" s="1" t="inlineStr">
        <is>
          <t>Algorithms</t>
        </is>
      </c>
      <c r="O32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26" s="11" t="inlineStr">
        <is>
          <t>To Do</t>
        </is>
      </c>
    </row>
    <row r="3227" ht="15.75" customHeight="1" s="12">
      <c r="A3227" s="1" t="n">
        <v>3850</v>
      </c>
      <c r="B3227" s="3">
        <f>HYPERLINK("https://leetcode.com/problems/count-sequences-to-k/", "Count Sequences to K")</f>
        <v/>
      </c>
      <c r="C3227" s="1" t="n">
        <v>92</v>
      </c>
      <c r="D3227" s="1" t="n">
        <v>7</v>
      </c>
      <c r="E3227" s="4">
        <f>IF(INDEX(C:C, ROW())+INDEX(D:D, ROW())=0, 0, INDEX(C:C, ROW())/(INDEX(C:C, ROW())+INDEX(D:D, ROW())))</f>
        <v/>
      </c>
      <c r="F3227" s="1" t="inlineStr">
        <is>
          <t>Array, Math, Dynamic Programming, Memoization, Number Theory</t>
        </is>
      </c>
      <c r="G3227" s="1" t="inlineStr">
        <is>
          <t>Hard</t>
        </is>
      </c>
      <c r="H3227" s="1" t="n">
        <v>15431</v>
      </c>
      <c r="I3227" s="1" t="n">
        <v>42908</v>
      </c>
      <c r="J3227" s="9" t="n">
        <v>0.36</v>
      </c>
      <c r="K3227" s="1" t="inlineStr">
        <is>
          <t>Yes</t>
        </is>
      </c>
      <c r="L3227" s="1" t="inlineStr">
        <is>
          <t>No</t>
        </is>
      </c>
      <c r="M3227" s="1" t="inlineStr">
        <is>
          <t>No</t>
        </is>
      </c>
      <c r="N3227" s="1" t="inlineStr">
        <is>
          <t>Algorithms</t>
        </is>
      </c>
      <c r="O32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27" s="11" t="inlineStr">
        <is>
          <t>To Do</t>
        </is>
      </c>
    </row>
    <row r="3228" ht="15.75" customHeight="1" s="12">
      <c r="A3228" s="1" t="n">
        <v>3862</v>
      </c>
      <c r="B3228" s="3">
        <f>HYPERLINK("https://leetcode.com/problems/find-the-smallest-balanced-index/", "Find the Smallest Balanced Index")</f>
        <v/>
      </c>
      <c r="C3228" s="1" t="n">
        <v>92</v>
      </c>
      <c r="D3228" s="1" t="n">
        <v>18</v>
      </c>
      <c r="E3228" s="4">
        <f>IF(INDEX(C:C, ROW())+INDEX(D:D, ROW())=0, 0, INDEX(C:C, ROW())/(INDEX(C:C, ROW())+INDEX(D:D, ROW())))</f>
        <v/>
      </c>
      <c r="F3228" s="1" t="inlineStr">
        <is>
          <t>Array, Prefix Sum</t>
        </is>
      </c>
      <c r="G3228" s="1" t="inlineStr">
        <is>
          <t>Medium</t>
        </is>
      </c>
      <c r="H3228" s="1" t="n">
        <v>36789</v>
      </c>
      <c r="I3228" s="1" t="n">
        <v>190985</v>
      </c>
      <c r="J3228" s="9" t="n">
        <v>0.193</v>
      </c>
      <c r="K3228" s="1" t="inlineStr">
        <is>
          <t>Yes</t>
        </is>
      </c>
      <c r="L3228" s="1" t="inlineStr">
        <is>
          <t>No</t>
        </is>
      </c>
      <c r="M3228" s="1" t="inlineStr">
        <is>
          <t>No</t>
        </is>
      </c>
      <c r="N3228" s="1" t="inlineStr">
        <is>
          <t>Algorithms</t>
        </is>
      </c>
      <c r="O32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28" s="11" t="inlineStr">
        <is>
          <t>To Do</t>
        </is>
      </c>
    </row>
    <row r="3229" ht="15.75" customHeight="1" s="12">
      <c r="A3229" s="1" t="n">
        <v>3877</v>
      </c>
      <c r="B3229" s="3">
        <f>HYPERLINK("https://leetcode.com/problems/minimum-removals-to-achieve-target-xor/", "Minimum Removals to Achieve Target XOR")</f>
        <v/>
      </c>
      <c r="C3229" s="1" t="n">
        <v>92</v>
      </c>
      <c r="D3229" s="1" t="n">
        <v>4</v>
      </c>
      <c r="E3229" s="4">
        <f>IF(INDEX(C:C, ROW())+INDEX(D:D, ROW())=0, 0, INDEX(C:C, ROW())/(INDEX(C:C, ROW())+INDEX(D:D, ROW())))</f>
        <v/>
      </c>
      <c r="F3229" s="1" t="inlineStr">
        <is>
          <t>Array, Dynamic Programming, Bit Manipulation</t>
        </is>
      </c>
      <c r="G3229" s="1" t="inlineStr">
        <is>
          <t>Medium</t>
        </is>
      </c>
      <c r="H3229" s="1" t="n">
        <v>21526</v>
      </c>
      <c r="I3229" s="1" t="n">
        <v>51584</v>
      </c>
      <c r="J3229" s="9" t="n">
        <v>0.417</v>
      </c>
      <c r="K3229" s="1" t="inlineStr">
        <is>
          <t>Yes</t>
        </is>
      </c>
      <c r="L3229" s="1" t="inlineStr">
        <is>
          <t>No</t>
        </is>
      </c>
      <c r="M3229" s="1" t="inlineStr">
        <is>
          <t>No</t>
        </is>
      </c>
      <c r="N3229" s="1" t="inlineStr">
        <is>
          <t>Algorithms</t>
        </is>
      </c>
      <c r="O32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29" s="11" t="inlineStr">
        <is>
          <t>To Do</t>
        </is>
      </c>
    </row>
    <row r="3230" ht="15.75" customHeight="1" s="12">
      <c r="A3230" s="1" t="n">
        <v>1715</v>
      </c>
      <c r="B3230" s="3">
        <f>HYPERLINK("https://leetcode.com/problems/count-apples-and-oranges/", "Count Apples and Oranges")</f>
        <v/>
      </c>
      <c r="C3230" s="1" t="n">
        <v>91</v>
      </c>
      <c r="D3230" s="1" t="n">
        <v>22</v>
      </c>
      <c r="E3230" s="4">
        <f>IF(INDEX(C:C, ROW())+INDEX(D:D, ROW())=0, 0, INDEX(C:C, ROW())/(INDEX(C:C, ROW())+INDEX(D:D, ROW())))</f>
        <v/>
      </c>
      <c r="F3230" s="1" t="inlineStr">
        <is>
          <t>Database</t>
        </is>
      </c>
      <c r="G3230" s="1" t="inlineStr">
        <is>
          <t>Medium</t>
        </is>
      </c>
      <c r="H3230" s="1" t="n">
        <v>19371</v>
      </c>
      <c r="I3230" s="1" t="n">
        <v>25543</v>
      </c>
      <c r="J3230" s="9" t="n">
        <v>0.758</v>
      </c>
      <c r="K3230" s="1" t="inlineStr">
        <is>
          <t>No</t>
        </is>
      </c>
      <c r="L3230" s="1" t="inlineStr">
        <is>
          <t>No</t>
        </is>
      </c>
      <c r="M3230" s="1" t="inlineStr">
        <is>
          <t>No</t>
        </is>
      </c>
      <c r="N3230" s="1" t="inlineStr">
        <is>
          <t>Database</t>
        </is>
      </c>
      <c r="O32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30" s="11" t="inlineStr">
        <is>
          <t>To Do</t>
        </is>
      </c>
    </row>
    <row r="3231" ht="15.75" customHeight="1" s="12">
      <c r="A3231" s="1" t="n">
        <v>2117</v>
      </c>
      <c r="B3231" s="3">
        <f>HYPERLINK("https://leetcode.com/problems/abbreviating-the-product-of-a-range/", "Abbreviating the Product of a Range")</f>
        <v/>
      </c>
      <c r="C3231" s="1" t="n">
        <v>91</v>
      </c>
      <c r="D3231" s="1" t="n">
        <v>162</v>
      </c>
      <c r="E3231" s="4">
        <f>IF(INDEX(C:C, ROW())+INDEX(D:D, ROW())=0, 0, INDEX(C:C, ROW())/(INDEX(C:C, ROW())+INDEX(D:D, ROW())))</f>
        <v/>
      </c>
      <c r="F3231" s="1" t="inlineStr">
        <is>
          <t>Math, Number Theory</t>
        </is>
      </c>
      <c r="G3231" s="1" t="inlineStr">
        <is>
          <t>Hard</t>
        </is>
      </c>
      <c r="H3231" s="1" t="n">
        <v>4808</v>
      </c>
      <c r="I3231" s="1" t="n">
        <v>19376</v>
      </c>
      <c r="J3231" s="9" t="n">
        <v>0.248</v>
      </c>
      <c r="K3231" s="1" t="inlineStr">
        <is>
          <t>Yes</t>
        </is>
      </c>
      <c r="L3231" s="1" t="inlineStr">
        <is>
          <t>No</t>
        </is>
      </c>
      <c r="M3231" s="1" t="inlineStr">
        <is>
          <t>No</t>
        </is>
      </c>
      <c r="N3231" s="1" t="inlineStr">
        <is>
          <t>Algorithms</t>
        </is>
      </c>
      <c r="O32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31" s="11" t="inlineStr">
        <is>
          <t>To Do</t>
        </is>
      </c>
    </row>
    <row r="3232" ht="15.75" customHeight="1" s="12">
      <c r="A3232" s="1" t="n">
        <v>2888</v>
      </c>
      <c r="B3232" s="3">
        <f>HYPERLINK("https://leetcode.com/problems/reshape-data-concatenate/", "Reshape Data: Concatenate")</f>
        <v/>
      </c>
      <c r="C3232" s="1" t="n">
        <v>91</v>
      </c>
      <c r="D3232" s="1" t="n">
        <v>7</v>
      </c>
      <c r="E3232" s="4">
        <f>IF(INDEX(C:C, ROW())+INDEX(D:D, ROW())=0, 0, INDEX(C:C, ROW())/(INDEX(C:C, ROW())+INDEX(D:D, ROW())))</f>
        <v/>
      </c>
      <c r="F3232" s="2" t="n"/>
      <c r="G3232" s="1" t="inlineStr">
        <is>
          <t>Easy</t>
        </is>
      </c>
      <c r="H3232" s="1" t="n">
        <v>124157</v>
      </c>
      <c r="I3232" s="1" t="n">
        <v>137332</v>
      </c>
      <c r="J3232" s="9" t="n">
        <v>0.904</v>
      </c>
      <c r="K3232" s="1" t="inlineStr">
        <is>
          <t>Yes</t>
        </is>
      </c>
      <c r="L3232" s="1" t="inlineStr">
        <is>
          <t>Yes</t>
        </is>
      </c>
      <c r="M3232" s="1" t="inlineStr">
        <is>
          <t>No</t>
        </is>
      </c>
      <c r="N3232" s="1" t="inlineStr">
        <is>
          <t>pandas</t>
        </is>
      </c>
      <c r="O32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32" s="13" t="inlineStr">
        <is>
          <t>Done</t>
        </is>
      </c>
    </row>
    <row r="3233" ht="15.75" customHeight="1" s="12">
      <c r="A3233" s="1" t="n">
        <v>3017</v>
      </c>
      <c r="B3233" s="3">
        <f>HYPERLINK("https://leetcode.com/problems/count-the-number-of-houses-at-a-certain-distance-ii/", "Count the Number of Houses at a Certain Distance II")</f>
        <v/>
      </c>
      <c r="C3233" s="1" t="n">
        <v>91</v>
      </c>
      <c r="D3233" s="1" t="n">
        <v>27</v>
      </c>
      <c r="E3233" s="4">
        <f>IF(INDEX(C:C, ROW())+INDEX(D:D, ROW())=0, 0, INDEX(C:C, ROW())/(INDEX(C:C, ROW())+INDEX(D:D, ROW())))</f>
        <v/>
      </c>
      <c r="F3233" s="1" t="inlineStr">
        <is>
          <t>Graph Theory, Prefix Sum</t>
        </is>
      </c>
      <c r="G3233" s="1" t="inlineStr">
        <is>
          <t>Hard</t>
        </is>
      </c>
      <c r="H3233" s="1" t="n">
        <v>4424</v>
      </c>
      <c r="I3233" s="1" t="n">
        <v>18690</v>
      </c>
      <c r="J3233" s="9" t="n">
        <v>0.237</v>
      </c>
      <c r="K3233" s="1" t="inlineStr">
        <is>
          <t>Yes</t>
        </is>
      </c>
      <c r="L3233" s="1" t="inlineStr">
        <is>
          <t>No</t>
        </is>
      </c>
      <c r="M3233" s="1" t="inlineStr">
        <is>
          <t>No</t>
        </is>
      </c>
      <c r="N3233" s="1" t="inlineStr">
        <is>
          <t>Algorithms</t>
        </is>
      </c>
      <c r="O32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33" s="11" t="inlineStr">
        <is>
          <t>To Do</t>
        </is>
      </c>
    </row>
    <row r="3234" ht="15.75" customHeight="1" s="12">
      <c r="A3234" s="1" t="n">
        <v>3030</v>
      </c>
      <c r="B3234" s="3">
        <f>HYPERLINK("https://leetcode.com/problems/find-the-grid-of-region-average/", "Find the Grid of Region Average")</f>
        <v/>
      </c>
      <c r="C3234" s="1" t="n">
        <v>91</v>
      </c>
      <c r="D3234" s="1" t="n">
        <v>136</v>
      </c>
      <c r="E3234" s="4">
        <f>IF(INDEX(C:C, ROW())+INDEX(D:D, ROW())=0, 0, INDEX(C:C, ROW())/(INDEX(C:C, ROW())+INDEX(D:D, ROW())))</f>
        <v/>
      </c>
      <c r="F3234" s="1" t="inlineStr">
        <is>
          <t>Array, Matrix</t>
        </is>
      </c>
      <c r="G3234" s="1" t="inlineStr">
        <is>
          <t>Medium</t>
        </is>
      </c>
      <c r="H3234" s="1" t="n">
        <v>12179</v>
      </c>
      <c r="I3234" s="1" t="n">
        <v>28026</v>
      </c>
      <c r="J3234" s="9" t="n">
        <v>0.435</v>
      </c>
      <c r="K3234" s="1" t="inlineStr">
        <is>
          <t>Yes</t>
        </is>
      </c>
      <c r="L3234" s="1" t="inlineStr">
        <is>
          <t>No</t>
        </is>
      </c>
      <c r="M3234" s="1" t="inlineStr">
        <is>
          <t>No</t>
        </is>
      </c>
      <c r="N3234" s="1" t="inlineStr">
        <is>
          <t>Algorithms</t>
        </is>
      </c>
      <c r="O32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34" s="11" t="inlineStr">
        <is>
          <t>To Do</t>
        </is>
      </c>
    </row>
    <row r="3235" ht="15.75" customHeight="1" s="12">
      <c r="A3235" s="1" t="n">
        <v>3393</v>
      </c>
      <c r="B3235" s="3">
        <f>HYPERLINK("https://leetcode.com/problems/count-paths-with-the-given-xor-value/", "Count Paths With the Given XOR Value")</f>
        <v/>
      </c>
      <c r="C3235" s="1" t="n">
        <v>91</v>
      </c>
      <c r="D3235" s="1" t="n">
        <v>8</v>
      </c>
      <c r="E3235" s="4">
        <f>IF(INDEX(C:C, ROW())+INDEX(D:D, ROW())=0, 0, INDEX(C:C, ROW())/(INDEX(C:C, ROW())+INDEX(D:D, ROW())))</f>
        <v/>
      </c>
      <c r="F3235" s="1" t="inlineStr">
        <is>
          <t>Array, Dynamic Programming, Bit Manipulation, Matrix</t>
        </is>
      </c>
      <c r="G3235" s="1" t="inlineStr">
        <is>
          <t>Medium</t>
        </is>
      </c>
      <c r="H3235" s="1" t="n">
        <v>21493</v>
      </c>
      <c r="I3235" s="1" t="n">
        <v>52890</v>
      </c>
      <c r="J3235" s="9" t="n">
        <v>0.406</v>
      </c>
      <c r="K3235" s="1" t="inlineStr">
        <is>
          <t>Yes</t>
        </is>
      </c>
      <c r="L3235" s="1" t="inlineStr">
        <is>
          <t>No</t>
        </is>
      </c>
      <c r="M3235" s="1" t="inlineStr">
        <is>
          <t>No</t>
        </is>
      </c>
      <c r="N3235" s="1" t="inlineStr">
        <is>
          <t>Algorithms</t>
        </is>
      </c>
      <c r="O32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35" s="11" t="inlineStr">
        <is>
          <t>To Do</t>
        </is>
      </c>
    </row>
    <row r="3236" ht="15.75" customHeight="1" s="12">
      <c r="A3236" s="1" t="n">
        <v>3504</v>
      </c>
      <c r="B3236" s="3">
        <f>HYPERLINK("https://leetcode.com/problems/longest-palindrome-after-substring-concatenation-ii/", "Longest Palindrome After Substring Concatenation II")</f>
        <v/>
      </c>
      <c r="C3236" s="1" t="n">
        <v>91</v>
      </c>
      <c r="D3236" s="1" t="n">
        <v>6</v>
      </c>
      <c r="E3236" s="4">
        <f>IF(INDEX(C:C, ROW())+INDEX(D:D, ROW())=0, 0, INDEX(C:C, ROW())/(INDEX(C:C, ROW())+INDEX(D:D, ROW())))</f>
        <v/>
      </c>
      <c r="F3236" s="1" t="inlineStr">
        <is>
          <t>Two Pointers, String, Dynamic Programming</t>
        </is>
      </c>
      <c r="G3236" s="1" t="inlineStr">
        <is>
          <t>Hard</t>
        </is>
      </c>
      <c r="H3236" s="1" t="n">
        <v>6684</v>
      </c>
      <c r="I3236" s="1" t="n">
        <v>37197</v>
      </c>
      <c r="J3236" s="9" t="n">
        <v>0.18</v>
      </c>
      <c r="K3236" s="1" t="inlineStr">
        <is>
          <t>Yes</t>
        </is>
      </c>
      <c r="L3236" s="1" t="inlineStr">
        <is>
          <t>No</t>
        </is>
      </c>
      <c r="M3236" s="1" t="inlineStr">
        <is>
          <t>No</t>
        </is>
      </c>
      <c r="N3236" s="1" t="inlineStr">
        <is>
          <t>Algorithms</t>
        </is>
      </c>
      <c r="O32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36" s="11" t="inlineStr">
        <is>
          <t>To Do</t>
        </is>
      </c>
    </row>
    <row r="3237" ht="15.75" customHeight="1" s="12">
      <c r="A3237" s="1" t="n">
        <v>2229</v>
      </c>
      <c r="B3237" s="3">
        <f>HYPERLINK("https://leetcode.com/problems/check-if-an-array-is-consecutive/", "Check if an Array Is Consecutive")</f>
        <v/>
      </c>
      <c r="C3237" s="1" t="n">
        <v>90</v>
      </c>
      <c r="D3237" s="1" t="n">
        <v>11</v>
      </c>
      <c r="E3237" s="4">
        <f>IF(INDEX(C:C, ROW())+INDEX(D:D, ROW())=0, 0, INDEX(C:C, ROW())/(INDEX(C:C, ROW())+INDEX(D:D, ROW())))</f>
        <v/>
      </c>
      <c r="F3237" s="1" t="inlineStr">
        <is>
          <t>Array, Hash Table, Sorting</t>
        </is>
      </c>
      <c r="G3237" s="1" t="inlineStr">
        <is>
          <t>Easy</t>
        </is>
      </c>
      <c r="H3237" s="1" t="n">
        <v>7982</v>
      </c>
      <c r="I3237" s="1" t="n">
        <v>12842</v>
      </c>
      <c r="J3237" s="9" t="n">
        <v>0.622</v>
      </c>
      <c r="K3237" s="1" t="inlineStr">
        <is>
          <t>No</t>
        </is>
      </c>
      <c r="L3237" s="1" t="inlineStr">
        <is>
          <t>No</t>
        </is>
      </c>
      <c r="M3237" s="1" t="inlineStr">
        <is>
          <t>No</t>
        </is>
      </c>
      <c r="N3237" s="1" t="inlineStr">
        <is>
          <t>Algorithms</t>
        </is>
      </c>
      <c r="O32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37" s="11" t="inlineStr">
        <is>
          <t>To Do</t>
        </is>
      </c>
    </row>
    <row r="3238" ht="15.75" customHeight="1" s="12">
      <c r="A3238" s="1" t="n">
        <v>2308</v>
      </c>
      <c r="B3238" s="3">
        <f>HYPERLINK("https://leetcode.com/problems/arrange-table-by-gender/", "Arrange Table by Gender")</f>
        <v/>
      </c>
      <c r="C3238" s="1" t="n">
        <v>90</v>
      </c>
      <c r="D3238" s="1" t="n">
        <v>15</v>
      </c>
      <c r="E3238" s="4">
        <f>IF(INDEX(C:C, ROW())+INDEX(D:D, ROW())=0, 0, INDEX(C:C, ROW())/(INDEX(C:C, ROW())+INDEX(D:D, ROW())))</f>
        <v/>
      </c>
      <c r="F3238" s="1" t="inlineStr">
        <is>
          <t>Database</t>
        </is>
      </c>
      <c r="G3238" s="1" t="inlineStr">
        <is>
          <t>Medium</t>
        </is>
      </c>
      <c r="H3238" s="1" t="n">
        <v>8646</v>
      </c>
      <c r="I3238" s="1" t="n">
        <v>12191</v>
      </c>
      <c r="J3238" s="9" t="n">
        <v>0.709</v>
      </c>
      <c r="K3238" s="1" t="inlineStr">
        <is>
          <t>No</t>
        </is>
      </c>
      <c r="L3238" s="1" t="inlineStr">
        <is>
          <t>No</t>
        </is>
      </c>
      <c r="M3238" s="1" t="inlineStr">
        <is>
          <t>No</t>
        </is>
      </c>
      <c r="N3238" s="1" t="inlineStr">
        <is>
          <t>Database</t>
        </is>
      </c>
      <c r="O32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38" s="11" t="inlineStr">
        <is>
          <t>To Do</t>
        </is>
      </c>
    </row>
    <row r="3239" ht="15.75" customHeight="1" s="12">
      <c r="A3239" s="1" t="n">
        <v>2886</v>
      </c>
      <c r="B3239" s="3">
        <f>HYPERLINK("https://leetcode.com/problems/change-data-type/", "Change Data Type")</f>
        <v/>
      </c>
      <c r="C3239" s="1" t="n">
        <v>90</v>
      </c>
      <c r="D3239" s="1" t="n">
        <v>9</v>
      </c>
      <c r="E3239" s="4">
        <f>IF(INDEX(C:C, ROW())+INDEX(D:D, ROW())=0, 0, INDEX(C:C, ROW())/(INDEX(C:C, ROW())+INDEX(D:D, ROW())))</f>
        <v/>
      </c>
      <c r="F3239" s="2" t="n"/>
      <c r="G3239" s="1" t="inlineStr">
        <is>
          <t>Easy</t>
        </is>
      </c>
      <c r="H3239" s="1" t="n">
        <v>123374</v>
      </c>
      <c r="I3239" s="1" t="n">
        <v>141337</v>
      </c>
      <c r="J3239" s="9" t="n">
        <v>0.873</v>
      </c>
      <c r="K3239" s="1" t="inlineStr">
        <is>
          <t>Yes</t>
        </is>
      </c>
      <c r="L3239" s="1" t="inlineStr">
        <is>
          <t>Yes</t>
        </is>
      </c>
      <c r="M3239" s="1" t="inlineStr">
        <is>
          <t>No</t>
        </is>
      </c>
      <c r="N3239" s="1" t="inlineStr">
        <is>
          <t>pandas</t>
        </is>
      </c>
      <c r="O32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39" s="13" t="inlineStr">
        <is>
          <t>Done</t>
        </is>
      </c>
    </row>
    <row r="3240" ht="15.75" customHeight="1" s="12">
      <c r="A3240" s="1" t="n">
        <v>2887</v>
      </c>
      <c r="B3240" s="3">
        <f>HYPERLINK("https://leetcode.com/problems/fill-missing-data/", "Fill Missing Data")</f>
        <v/>
      </c>
      <c r="C3240" s="1" t="n">
        <v>90</v>
      </c>
      <c r="D3240" s="1" t="n">
        <v>3</v>
      </c>
      <c r="E3240" s="4">
        <f>IF(INDEX(C:C, ROW())+INDEX(D:D, ROW())=0, 0, INDEX(C:C, ROW())/(INDEX(C:C, ROW())+INDEX(D:D, ROW())))</f>
        <v/>
      </c>
      <c r="F3240" s="2" t="n"/>
      <c r="G3240" s="1" t="inlineStr">
        <is>
          <t>Easy</t>
        </is>
      </c>
      <c r="H3240" s="1" t="n">
        <v>117796</v>
      </c>
      <c r="I3240" s="1" t="n">
        <v>162551</v>
      </c>
      <c r="J3240" s="9" t="n">
        <v>0.725</v>
      </c>
      <c r="K3240" s="1" t="inlineStr">
        <is>
          <t>Yes</t>
        </is>
      </c>
      <c r="L3240" s="1" t="inlineStr">
        <is>
          <t>Yes</t>
        </is>
      </c>
      <c r="M3240" s="1" t="inlineStr">
        <is>
          <t>No</t>
        </is>
      </c>
      <c r="N3240" s="1" t="inlineStr">
        <is>
          <t>pandas</t>
        </is>
      </c>
      <c r="O32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40" s="13" t="inlineStr">
        <is>
          <t>Done</t>
        </is>
      </c>
    </row>
    <row r="3241" ht="15.75" customHeight="1" s="12">
      <c r="A3241" s="1" t="n">
        <v>3298</v>
      </c>
      <c r="B3241" s="3">
        <f>HYPERLINK("https://leetcode.com/problems/count-substrings-that-can-be-rearranged-to-contain-a-string-ii/", "Count Substrings That Can Be Rearranged to Contain a String II")</f>
        <v/>
      </c>
      <c r="C3241" s="1" t="n">
        <v>90</v>
      </c>
      <c r="D3241" s="1" t="n">
        <v>6</v>
      </c>
      <c r="E3241" s="4">
        <f>IF(INDEX(C:C, ROW())+INDEX(D:D, ROW())=0, 0, INDEX(C:C, ROW())/(INDEX(C:C, ROW())+INDEX(D:D, ROW())))</f>
        <v/>
      </c>
      <c r="F3241" s="1" t="inlineStr">
        <is>
          <t>Hash Table, String, Sliding Window</t>
        </is>
      </c>
      <c r="G3241" s="1" t="inlineStr">
        <is>
          <t>Hard</t>
        </is>
      </c>
      <c r="H3241" s="1" t="n">
        <v>17449</v>
      </c>
      <c r="I3241" s="1" t="n">
        <v>31108</v>
      </c>
      <c r="J3241" s="9" t="n">
        <v>0.5610000000000001</v>
      </c>
      <c r="K3241" s="1" t="inlineStr">
        <is>
          <t>Yes</t>
        </is>
      </c>
      <c r="L3241" s="1" t="inlineStr">
        <is>
          <t>No</t>
        </is>
      </c>
      <c r="M3241" s="1" t="inlineStr">
        <is>
          <t>No</t>
        </is>
      </c>
      <c r="N3241" s="1" t="inlineStr">
        <is>
          <t>Algorithms</t>
        </is>
      </c>
      <c r="O32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41" s="11" t="inlineStr">
        <is>
          <t>To Do</t>
        </is>
      </c>
    </row>
    <row r="3242" ht="15.75" customHeight="1" s="12">
      <c r="A3242" s="1" t="n">
        <v>3589</v>
      </c>
      <c r="B3242" s="3">
        <f>HYPERLINK("https://leetcode.com/problems/count-prime-gap-balanced-subarrays/", "Count Prime-Gap Balanced Subarrays")</f>
        <v/>
      </c>
      <c r="C3242" s="1" t="n">
        <v>90</v>
      </c>
      <c r="D3242" s="1" t="n">
        <v>8</v>
      </c>
      <c r="E3242" s="4">
        <f>IF(INDEX(C:C, ROW())+INDEX(D:D, ROW())=0, 0, INDEX(C:C, ROW())/(INDEX(C:C, ROW())+INDEX(D:D, ROW())))</f>
        <v/>
      </c>
      <c r="F3242" s="1" t="inlineStr">
        <is>
          <t>Array, Math, Queue, Sliding Window, Number Theory, Monotonic Queue</t>
        </is>
      </c>
      <c r="G3242" s="1" t="inlineStr">
        <is>
          <t>Medium</t>
        </is>
      </c>
      <c r="H3242" s="1" t="n">
        <v>7475</v>
      </c>
      <c r="I3242" s="1" t="n">
        <v>32395</v>
      </c>
      <c r="J3242" s="9" t="n">
        <v>0.231</v>
      </c>
      <c r="K3242" s="1" t="inlineStr">
        <is>
          <t>Yes</t>
        </is>
      </c>
      <c r="L3242" s="1" t="inlineStr">
        <is>
          <t>No</t>
        </is>
      </c>
      <c r="M3242" s="1" t="inlineStr">
        <is>
          <t>No</t>
        </is>
      </c>
      <c r="N3242" s="1" t="inlineStr">
        <is>
          <t>Algorithms</t>
        </is>
      </c>
      <c r="O32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42" s="11" t="inlineStr">
        <is>
          <t>To Do</t>
        </is>
      </c>
    </row>
    <row r="3243" ht="15.75" customHeight="1" s="12">
      <c r="A3243" s="1" t="n">
        <v>3820</v>
      </c>
      <c r="B3243" s="3">
        <f>HYPERLINK("https://leetcode.com/problems/pythagorean-distance-nodes-in-a-tree/", "Pythagorean Distance Nodes in a Tree")</f>
        <v/>
      </c>
      <c r="C3243" s="1" t="n">
        <v>90</v>
      </c>
      <c r="D3243" s="1" t="n">
        <v>4</v>
      </c>
      <c r="E3243" s="4">
        <f>IF(INDEX(C:C, ROW())+INDEX(D:D, ROW())=0, 0, INDEX(C:C, ROW())/(INDEX(C:C, ROW())+INDEX(D:D, ROW())))</f>
        <v/>
      </c>
      <c r="F3243" s="1" t="inlineStr">
        <is>
          <t>Tree, Breadth-First Search</t>
        </is>
      </c>
      <c r="G3243" s="1" t="inlineStr">
        <is>
          <t>Medium</t>
        </is>
      </c>
      <c r="H3243" s="1" t="n">
        <v>21368</v>
      </c>
      <c r="I3243" s="1" t="n">
        <v>36875</v>
      </c>
      <c r="J3243" s="9" t="n">
        <v>0.579</v>
      </c>
      <c r="K3243" s="1" t="inlineStr">
        <is>
          <t>Yes</t>
        </is>
      </c>
      <c r="L3243" s="1" t="inlineStr">
        <is>
          <t>No</t>
        </is>
      </c>
      <c r="M3243" s="1" t="inlineStr">
        <is>
          <t>No</t>
        </is>
      </c>
      <c r="N3243" s="1" t="inlineStr">
        <is>
          <t>Algorithms</t>
        </is>
      </c>
      <c r="O32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43" s="11" t="inlineStr">
        <is>
          <t>To Do</t>
        </is>
      </c>
    </row>
    <row r="3244" ht="15.75" customHeight="1" s="12">
      <c r="A3244" s="1" t="n">
        <v>2237</v>
      </c>
      <c r="B3244" s="3">
        <f>HYPERLINK("https://leetcode.com/problems/count-positions-on-street-with-required-brightness/", "Count Positions on Street With Required Brightness")</f>
        <v/>
      </c>
      <c r="C3244" s="1" t="n">
        <v>89</v>
      </c>
      <c r="D3244" s="1" t="n">
        <v>6</v>
      </c>
      <c r="E3244" s="4">
        <f>IF(INDEX(C:C, ROW())+INDEX(D:D, ROW())=0, 0, INDEX(C:C, ROW())/(INDEX(C:C, ROW())+INDEX(D:D, ROW())))</f>
        <v/>
      </c>
      <c r="F3244" s="1" t="inlineStr">
        <is>
          <t>Array, Prefix Sum</t>
        </is>
      </c>
      <c r="G3244" s="1" t="inlineStr">
        <is>
          <t>Medium</t>
        </is>
      </c>
      <c r="H3244" s="1" t="n">
        <v>5160</v>
      </c>
      <c r="I3244" s="1" t="n">
        <v>8187</v>
      </c>
      <c r="J3244" s="9" t="n">
        <v>0.63</v>
      </c>
      <c r="K3244" s="1" t="inlineStr">
        <is>
          <t>No</t>
        </is>
      </c>
      <c r="L3244" s="1" t="inlineStr">
        <is>
          <t>No</t>
        </is>
      </c>
      <c r="M3244" s="1" t="inlineStr">
        <is>
          <t>No</t>
        </is>
      </c>
      <c r="N3244" s="1" t="inlineStr">
        <is>
          <t>Algorithms</t>
        </is>
      </c>
      <c r="O32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44" s="11" t="inlineStr">
        <is>
          <t>To Do</t>
        </is>
      </c>
    </row>
    <row r="3245" ht="15.75" customHeight="1" s="12">
      <c r="A3245" s="1" t="n">
        <v>2387</v>
      </c>
      <c r="B3245" s="3">
        <f>HYPERLINK("https://leetcode.com/problems/median-of-a-row-wise-sorted-matrix/", "Median of a Row Wise Sorted Matrix")</f>
        <v/>
      </c>
      <c r="C3245" s="1" t="n">
        <v>89</v>
      </c>
      <c r="D3245" s="1" t="n">
        <v>9</v>
      </c>
      <c r="E3245" s="4">
        <f>IF(INDEX(C:C, ROW())+INDEX(D:D, ROW())=0, 0, INDEX(C:C, ROW())/(INDEX(C:C, ROW())+INDEX(D:D, ROW())))</f>
        <v/>
      </c>
      <c r="F3245" s="1" t="inlineStr">
        <is>
          <t>Array, Binary Search, Matrix</t>
        </is>
      </c>
      <c r="G3245" s="1" t="inlineStr">
        <is>
          <t>Medium</t>
        </is>
      </c>
      <c r="H3245" s="1" t="n">
        <v>6078</v>
      </c>
      <c r="I3245" s="1" t="n">
        <v>8563</v>
      </c>
      <c r="J3245" s="9" t="n">
        <v>0.71</v>
      </c>
      <c r="K3245" s="1" t="inlineStr">
        <is>
          <t>No</t>
        </is>
      </c>
      <c r="L3245" s="1" t="inlineStr">
        <is>
          <t>No</t>
        </is>
      </c>
      <c r="M3245" s="1" t="inlineStr">
        <is>
          <t>No</t>
        </is>
      </c>
      <c r="N3245" s="1" t="inlineStr">
        <is>
          <t>Algorithms</t>
        </is>
      </c>
      <c r="O32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45" s="11" t="inlineStr">
        <is>
          <t>To Do</t>
        </is>
      </c>
    </row>
    <row r="3246" ht="15.75" customHeight="1" s="12">
      <c r="A3246" s="1" t="n">
        <v>3096</v>
      </c>
      <c r="B3246" s="3">
        <f>HYPERLINK("https://leetcode.com/problems/minimum-levels-to-gain-more-points/", "Minimum Levels to Gain More Points")</f>
        <v/>
      </c>
      <c r="C3246" s="1" t="n">
        <v>89</v>
      </c>
      <c r="D3246" s="1" t="n">
        <v>32</v>
      </c>
      <c r="E3246" s="4">
        <f>IF(INDEX(C:C, ROW())+INDEX(D:D, ROW())=0, 0, INDEX(C:C, ROW())/(INDEX(C:C, ROW())+INDEX(D:D, ROW())))</f>
        <v/>
      </c>
      <c r="F3246" s="1" t="inlineStr">
        <is>
          <t>Array, Prefix Sum</t>
        </is>
      </c>
      <c r="G3246" s="1" t="inlineStr">
        <is>
          <t>Medium</t>
        </is>
      </c>
      <c r="H3246" s="1" t="n">
        <v>27751</v>
      </c>
      <c r="I3246" s="1" t="n">
        <v>68830</v>
      </c>
      <c r="J3246" s="9" t="n">
        <v>0.403</v>
      </c>
      <c r="K3246" s="1" t="inlineStr">
        <is>
          <t>Yes</t>
        </is>
      </c>
      <c r="L3246" s="1" t="inlineStr">
        <is>
          <t>No</t>
        </is>
      </c>
      <c r="M3246" s="1" t="inlineStr">
        <is>
          <t>No</t>
        </is>
      </c>
      <c r="N3246" s="1" t="inlineStr">
        <is>
          <t>Algorithms</t>
        </is>
      </c>
      <c r="O32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46" s="11" t="inlineStr">
        <is>
          <t>To Do</t>
        </is>
      </c>
    </row>
    <row r="3247" ht="15.75" customHeight="1" s="12">
      <c r="A3247" s="1" t="n">
        <v>3287</v>
      </c>
      <c r="B3247" s="3">
        <f>HYPERLINK("https://leetcode.com/problems/find-the-maximum-sequence-value-of-array/", "Find the Maximum Sequence Value of Array")</f>
        <v/>
      </c>
      <c r="C3247" s="1" t="n">
        <v>89</v>
      </c>
      <c r="D3247" s="1" t="n">
        <v>9</v>
      </c>
      <c r="E3247" s="4">
        <f>IF(INDEX(C:C, ROW())+INDEX(D:D, ROW())=0, 0, INDEX(C:C, ROW())/(INDEX(C:C, ROW())+INDEX(D:D, ROW())))</f>
        <v/>
      </c>
      <c r="F3247" s="1" t="inlineStr">
        <is>
          <t>Array, Dynamic Programming, Bit Manipulation</t>
        </is>
      </c>
      <c r="G3247" s="1" t="inlineStr">
        <is>
          <t>Hard</t>
        </is>
      </c>
      <c r="H3247" s="1" t="n">
        <v>5984</v>
      </c>
      <c r="I3247" s="1" t="n">
        <v>27809</v>
      </c>
      <c r="J3247" s="9" t="n">
        <v>0.215</v>
      </c>
      <c r="K3247" s="1" t="inlineStr">
        <is>
          <t>Yes</t>
        </is>
      </c>
      <c r="L3247" s="1" t="inlineStr">
        <is>
          <t>No</t>
        </is>
      </c>
      <c r="M3247" s="1" t="inlineStr">
        <is>
          <t>No</t>
        </is>
      </c>
      <c r="N3247" s="1" t="inlineStr">
        <is>
          <t>Algorithms</t>
        </is>
      </c>
      <c r="O32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47" s="11" t="inlineStr">
        <is>
          <t>To Do</t>
        </is>
      </c>
    </row>
    <row r="3248" ht="15.75" customHeight="1" s="12">
      <c r="A3248" s="1" t="n">
        <v>3521</v>
      </c>
      <c r="B3248" s="3">
        <f>HYPERLINK("https://leetcode.com/problems/find-product-recommendation-pairs/", "Find Product Recommendation Pairs")</f>
        <v/>
      </c>
      <c r="C3248" s="1" t="n">
        <v>89</v>
      </c>
      <c r="D3248" s="1" t="n">
        <v>5</v>
      </c>
      <c r="E3248" s="4">
        <f>IF(INDEX(C:C, ROW())+INDEX(D:D, ROW())=0, 0, INDEX(C:C, ROW())/(INDEX(C:C, ROW())+INDEX(D:D, ROW())))</f>
        <v/>
      </c>
      <c r="F3248" s="1" t="inlineStr">
        <is>
          <t>Database</t>
        </is>
      </c>
      <c r="G3248" s="1" t="inlineStr">
        <is>
          <t>Medium</t>
        </is>
      </c>
      <c r="H3248" s="1" t="n">
        <v>15954</v>
      </c>
      <c r="I3248" s="1" t="n">
        <v>25793</v>
      </c>
      <c r="J3248" s="9" t="n">
        <v>0.619</v>
      </c>
      <c r="K3248" s="1" t="inlineStr">
        <is>
          <t>Yes</t>
        </is>
      </c>
      <c r="L3248" s="1" t="inlineStr">
        <is>
          <t>No</t>
        </is>
      </c>
      <c r="M3248" s="1" t="inlineStr">
        <is>
          <t>No</t>
        </is>
      </c>
      <c r="N3248" s="1" t="inlineStr">
        <is>
          <t>Database</t>
        </is>
      </c>
      <c r="O32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48" s="11" t="inlineStr">
        <is>
          <t>To Do</t>
        </is>
      </c>
    </row>
    <row r="3249" ht="15.75" customHeight="1" s="12">
      <c r="A3249" s="1" t="n">
        <v>3566</v>
      </c>
      <c r="B3249" s="3">
        <f>HYPERLINK("https://leetcode.com/problems/partition-array-into-two-equal-product-subsets/", "Partition Array into Two Equal Product Subsets")</f>
        <v/>
      </c>
      <c r="C3249" s="1" t="n">
        <v>89</v>
      </c>
      <c r="D3249" s="1" t="n">
        <v>21</v>
      </c>
      <c r="E3249" s="4">
        <f>IF(INDEX(C:C, ROW())+INDEX(D:D, ROW())=0, 0, INDEX(C:C, ROW())/(INDEX(C:C, ROW())+INDEX(D:D, ROW())))</f>
        <v/>
      </c>
      <c r="F3249" s="1" t="inlineStr">
        <is>
          <t>Array, Bit Manipulation, Recursion, Enumeration</t>
        </is>
      </c>
      <c r="G3249" s="1" t="inlineStr">
        <is>
          <t>Medium</t>
        </is>
      </c>
      <c r="H3249" s="1" t="n">
        <v>34903</v>
      </c>
      <c r="I3249" s="1" t="n">
        <v>99289</v>
      </c>
      <c r="J3249" s="9" t="n">
        <v>0.352</v>
      </c>
      <c r="K3249" s="1" t="inlineStr">
        <is>
          <t>Yes</t>
        </is>
      </c>
      <c r="L3249" s="1" t="inlineStr">
        <is>
          <t>No</t>
        </is>
      </c>
      <c r="M3249" s="1" t="inlineStr">
        <is>
          <t>No</t>
        </is>
      </c>
      <c r="N3249" s="1" t="inlineStr">
        <is>
          <t>Algorithms</t>
        </is>
      </c>
      <c r="O32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49" s="11" t="inlineStr">
        <is>
          <t>To Do</t>
        </is>
      </c>
    </row>
    <row r="3250" ht="15.75" customHeight="1" s="12">
      <c r="A3250" s="1" t="n">
        <v>3724</v>
      </c>
      <c r="B3250" s="3">
        <f>HYPERLINK("https://leetcode.com/problems/minimum-operations-to-transform-array/", "Minimum Operations to Transform Array")</f>
        <v/>
      </c>
      <c r="C3250" s="1" t="n">
        <v>89</v>
      </c>
      <c r="D3250" s="1" t="n">
        <v>7</v>
      </c>
      <c r="E3250" s="4">
        <f>IF(INDEX(C:C, ROW())+INDEX(D:D, ROW())=0, 0, INDEX(C:C, ROW())/(INDEX(C:C, ROW())+INDEX(D:D, ROW())))</f>
        <v/>
      </c>
      <c r="F3250" s="1" t="inlineStr">
        <is>
          <t>Array, Greedy</t>
        </is>
      </c>
      <c r="G3250" s="1" t="inlineStr">
        <is>
          <t>Medium</t>
        </is>
      </c>
      <c r="H3250" s="1" t="n">
        <v>14367</v>
      </c>
      <c r="I3250" s="1" t="n">
        <v>36068</v>
      </c>
      <c r="J3250" s="9" t="n">
        <v>0.398</v>
      </c>
      <c r="K3250" s="1" t="inlineStr">
        <is>
          <t>Yes</t>
        </is>
      </c>
      <c r="L3250" s="1" t="inlineStr">
        <is>
          <t>No</t>
        </is>
      </c>
      <c r="M3250" s="1" t="inlineStr">
        <is>
          <t>No</t>
        </is>
      </c>
      <c r="N3250" s="1" t="inlineStr">
        <is>
          <t>Algorithms</t>
        </is>
      </c>
      <c r="O32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50" s="11" t="inlineStr">
        <is>
          <t>To Do</t>
        </is>
      </c>
    </row>
    <row r="3251" ht="15.75" customHeight="1" s="12">
      <c r="A3251" s="1" t="n">
        <v>2254</v>
      </c>
      <c r="B3251" s="3">
        <f>HYPERLINK("https://leetcode.com/problems/design-video-sharing-platform/", "Design Video Sharing Platform")</f>
        <v/>
      </c>
      <c r="C3251" s="1" t="n">
        <v>88</v>
      </c>
      <c r="D3251" s="1" t="n">
        <v>15</v>
      </c>
      <c r="E3251" s="4">
        <f>IF(INDEX(C:C, ROW())+INDEX(D:D, ROW())=0, 0, INDEX(C:C, ROW())/(INDEX(C:C, ROW())+INDEX(D:D, ROW())))</f>
        <v/>
      </c>
      <c r="F3251" s="1" t="inlineStr">
        <is>
          <t>Hash Table, Design, Heap (Priority Queue)</t>
        </is>
      </c>
      <c r="G3251" s="1" t="inlineStr">
        <is>
          <t>Hard</t>
        </is>
      </c>
      <c r="H3251" s="1" t="n">
        <v>5654</v>
      </c>
      <c r="I3251" s="1" t="n">
        <v>8817</v>
      </c>
      <c r="J3251" s="9" t="n">
        <v>0.641</v>
      </c>
      <c r="K3251" s="1" t="inlineStr">
        <is>
          <t>No</t>
        </is>
      </c>
      <c r="L3251" s="1" t="inlineStr">
        <is>
          <t>No</t>
        </is>
      </c>
      <c r="M3251" s="1" t="inlineStr">
        <is>
          <t>No</t>
        </is>
      </c>
      <c r="N3251" s="1" t="inlineStr">
        <is>
          <t>Algorithms</t>
        </is>
      </c>
      <c r="O32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51" s="11" t="inlineStr">
        <is>
          <t>To Do</t>
        </is>
      </c>
    </row>
    <row r="3252" ht="15.75" customHeight="1" s="12">
      <c r="A3252" s="1" t="n">
        <v>3334</v>
      </c>
      <c r="B3252" s="3">
        <f>HYPERLINK("https://leetcode.com/problems/find-the-maximum-factor-score-of-array/", "Find the Maximum Factor Score of Array")</f>
        <v/>
      </c>
      <c r="C3252" s="1" t="n">
        <v>88</v>
      </c>
      <c r="D3252" s="1" t="n">
        <v>13</v>
      </c>
      <c r="E3252" s="4">
        <f>IF(INDEX(C:C, ROW())+INDEX(D:D, ROW())=0, 0, INDEX(C:C, ROW())/(INDEX(C:C, ROW())+INDEX(D:D, ROW())))</f>
        <v/>
      </c>
      <c r="F3252" s="1" t="inlineStr">
        <is>
          <t>Array, Math, Number Theory</t>
        </is>
      </c>
      <c r="G3252" s="1" t="inlineStr">
        <is>
          <t>Medium</t>
        </is>
      </c>
      <c r="H3252" s="1" t="n">
        <v>24230</v>
      </c>
      <c r="I3252" s="1" t="n">
        <v>59028</v>
      </c>
      <c r="J3252" s="9" t="n">
        <v>0.41</v>
      </c>
      <c r="K3252" s="1" t="inlineStr">
        <is>
          <t>Yes</t>
        </is>
      </c>
      <c r="L3252" s="1" t="inlineStr">
        <is>
          <t>No</t>
        </is>
      </c>
      <c r="M3252" s="1" t="inlineStr">
        <is>
          <t>No</t>
        </is>
      </c>
      <c r="N3252" s="1" t="inlineStr">
        <is>
          <t>Algorithms</t>
        </is>
      </c>
      <c r="O32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52" s="11" t="inlineStr">
        <is>
          <t>To Do</t>
        </is>
      </c>
    </row>
    <row r="3253" ht="15.75" customHeight="1" s="12">
      <c r="A3253" s="1" t="n">
        <v>3336</v>
      </c>
      <c r="B3253" s="3">
        <f>HYPERLINK("https://leetcode.com/problems/find-the-number-of-subsequences-with-equal-gcd/", "Find the Number of Subsequences With Equal GCD")</f>
        <v/>
      </c>
      <c r="C3253" s="1" t="n">
        <v>88</v>
      </c>
      <c r="D3253" s="1" t="n">
        <v>9</v>
      </c>
      <c r="E3253" s="4">
        <f>IF(INDEX(C:C, ROW())+INDEX(D:D, ROW())=0, 0, INDEX(C:C, ROW())/(INDEX(C:C, ROW())+INDEX(D:D, ROW())))</f>
        <v/>
      </c>
      <c r="F3253" s="1" t="inlineStr">
        <is>
          <t>Array, Math, Dynamic Programming, Number Theory</t>
        </is>
      </c>
      <c r="G3253" s="1" t="inlineStr">
        <is>
          <t>Hard</t>
        </is>
      </c>
      <c r="H3253" s="1" t="n">
        <v>7912</v>
      </c>
      <c r="I3253" s="1" t="n">
        <v>25042</v>
      </c>
      <c r="J3253" s="9" t="n">
        <v>0.316</v>
      </c>
      <c r="K3253" s="1" t="inlineStr">
        <is>
          <t>Yes</t>
        </is>
      </c>
      <c r="L3253" s="1" t="inlineStr">
        <is>
          <t>No</t>
        </is>
      </c>
      <c r="M3253" s="1" t="inlineStr">
        <is>
          <t>No</t>
        </is>
      </c>
      <c r="N3253" s="1" t="inlineStr">
        <is>
          <t>Algorithms</t>
        </is>
      </c>
      <c r="O32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53" s="11" t="inlineStr">
        <is>
          <t>To Do</t>
        </is>
      </c>
    </row>
    <row r="3254" ht="15.75" customHeight="1" s="12">
      <c r="A3254" s="1" t="n">
        <v>3365</v>
      </c>
      <c r="B3254" s="3">
        <f>HYPERLINK("https://leetcode.com/problems/rearrange-k-substrings-to-form-target-string/", "Rearrange K Substrings to Form Target String")</f>
        <v/>
      </c>
      <c r="C3254" s="1" t="n">
        <v>88</v>
      </c>
      <c r="D3254" s="1" t="n">
        <v>7</v>
      </c>
      <c r="E3254" s="4">
        <f>IF(INDEX(C:C, ROW())+INDEX(D:D, ROW())=0, 0, INDEX(C:C, ROW())/(INDEX(C:C, ROW())+INDEX(D:D, ROW())))</f>
        <v/>
      </c>
      <c r="F3254" s="1" t="inlineStr">
        <is>
          <t>Hash Table, String, Sorting</t>
        </is>
      </c>
      <c r="G3254" s="1" t="inlineStr">
        <is>
          <t>Medium</t>
        </is>
      </c>
      <c r="H3254" s="1" t="n">
        <v>28091</v>
      </c>
      <c r="I3254" s="1" t="n">
        <v>49479</v>
      </c>
      <c r="J3254" s="9" t="n">
        <v>0.5679999999999999</v>
      </c>
      <c r="K3254" s="1" t="inlineStr">
        <is>
          <t>Yes</t>
        </is>
      </c>
      <c r="L3254" s="1" t="inlineStr">
        <is>
          <t>No</t>
        </is>
      </c>
      <c r="M3254" s="1" t="inlineStr">
        <is>
          <t>No</t>
        </is>
      </c>
      <c r="N3254" s="1" t="inlineStr">
        <is>
          <t>Algorithms</t>
        </is>
      </c>
      <c r="O32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54" s="11" t="inlineStr">
        <is>
          <t>To Do</t>
        </is>
      </c>
    </row>
    <row r="3255" ht="15.75" customHeight="1" s="12">
      <c r="A3255" s="1" t="n">
        <v>3424</v>
      </c>
      <c r="B3255" s="3">
        <f>HYPERLINK("https://leetcode.com/problems/minimum-cost-to-make-arrays-identical/", "Minimum Cost to Make Arrays Identical")</f>
        <v/>
      </c>
      <c r="C3255" s="1" t="n">
        <v>87</v>
      </c>
      <c r="D3255" s="1" t="n">
        <v>13</v>
      </c>
      <c r="E3255" s="4">
        <f>IF(INDEX(C:C, ROW())+INDEX(D:D, ROW())=0, 0, INDEX(C:C, ROW())/(INDEX(C:C, ROW())+INDEX(D:D, ROW())))</f>
        <v/>
      </c>
      <c r="F3255" s="1" t="inlineStr">
        <is>
          <t>Array, Greedy, Sorting</t>
        </is>
      </c>
      <c r="G3255" s="1" t="inlineStr">
        <is>
          <t>Medium</t>
        </is>
      </c>
      <c r="H3255" s="1" t="n">
        <v>25370</v>
      </c>
      <c r="I3255" s="1" t="n">
        <v>67068</v>
      </c>
      <c r="J3255" s="9" t="n">
        <v>0.378</v>
      </c>
      <c r="K3255" s="1" t="inlineStr">
        <is>
          <t>Yes</t>
        </is>
      </c>
      <c r="L3255" s="1" t="inlineStr">
        <is>
          <t>No</t>
        </is>
      </c>
      <c r="M3255" s="1" t="inlineStr">
        <is>
          <t>No</t>
        </is>
      </c>
      <c r="N3255" s="1" t="inlineStr">
        <is>
          <t>Algorithms</t>
        </is>
      </c>
      <c r="O32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55" s="11" t="inlineStr">
        <is>
          <t>To Do</t>
        </is>
      </c>
    </row>
    <row r="3256" ht="15.75" customHeight="1" s="12">
      <c r="A3256" s="1" t="n">
        <v>3438</v>
      </c>
      <c r="B3256" s="3">
        <f>HYPERLINK("https://leetcode.com/problems/find-valid-pair-of-adjacent-digits-in-string/", "Find Valid Pair of Adjacent Digits in String")</f>
        <v/>
      </c>
      <c r="C3256" s="1" t="n">
        <v>87</v>
      </c>
      <c r="D3256" s="1" t="n">
        <v>8</v>
      </c>
      <c r="E3256" s="4">
        <f>IF(INDEX(C:C, ROW())+INDEX(D:D, ROW())=0, 0, INDEX(C:C, ROW())/(INDEX(C:C, ROW())+INDEX(D:D, ROW())))</f>
        <v/>
      </c>
      <c r="F3256" s="1" t="inlineStr">
        <is>
          <t>Hash Table, String, Counting</t>
        </is>
      </c>
      <c r="G3256" s="1" t="inlineStr">
        <is>
          <t>Easy</t>
        </is>
      </c>
      <c r="H3256" s="1" t="n">
        <v>47819</v>
      </c>
      <c r="I3256" s="1" t="n">
        <v>78560</v>
      </c>
      <c r="J3256" s="9" t="n">
        <v>0.609</v>
      </c>
      <c r="K3256" s="1" t="inlineStr">
        <is>
          <t>Yes</t>
        </is>
      </c>
      <c r="L3256" s="1" t="inlineStr">
        <is>
          <t>No</t>
        </is>
      </c>
      <c r="M3256" s="1" t="inlineStr">
        <is>
          <t>No</t>
        </is>
      </c>
      <c r="N3256" s="1" t="inlineStr">
        <is>
          <t>Algorithms</t>
        </is>
      </c>
      <c r="O32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56" s="13" t="inlineStr">
        <is>
          <t>Done</t>
        </is>
      </c>
    </row>
    <row r="3257" ht="15.75" customHeight="1" s="12">
      <c r="A3257" s="1" t="n">
        <v>3444</v>
      </c>
      <c r="B3257" s="3">
        <f>HYPERLINK("https://leetcode.com/problems/minimum-increments-for-target-multiples-in-an-array/", "Minimum Increments for Target Multiples in an Array")</f>
        <v/>
      </c>
      <c r="C3257" s="1" t="n">
        <v>87</v>
      </c>
      <c r="D3257" s="1" t="n">
        <v>7</v>
      </c>
      <c r="E3257" s="4">
        <f>IF(INDEX(C:C, ROW())+INDEX(D:D, ROW())=0, 0, INDEX(C:C, ROW())/(INDEX(C:C, ROW())+INDEX(D:D, ROW())))</f>
        <v/>
      </c>
      <c r="F3257" s="1" t="inlineStr">
        <is>
          <t>Array, Math, Dynamic Programming, Bit Manipulation, Number Theory, Bitmask</t>
        </is>
      </c>
      <c r="G3257" s="1" t="inlineStr">
        <is>
          <t>Hard</t>
        </is>
      </c>
      <c r="H3257" s="1" t="n">
        <v>6727</v>
      </c>
      <c r="I3257" s="1" t="n">
        <v>24322</v>
      </c>
      <c r="J3257" s="9" t="n">
        <v>0.277</v>
      </c>
      <c r="K3257" s="1" t="inlineStr">
        <is>
          <t>Yes</t>
        </is>
      </c>
      <c r="L3257" s="1" t="inlineStr">
        <is>
          <t>No</t>
        </is>
      </c>
      <c r="M3257" s="1" t="inlineStr">
        <is>
          <t>No</t>
        </is>
      </c>
      <c r="N3257" s="1" t="inlineStr">
        <is>
          <t>Algorithms</t>
        </is>
      </c>
      <c r="O32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57" s="11" t="inlineStr">
        <is>
          <t>To Do</t>
        </is>
      </c>
    </row>
    <row r="3258" ht="15.75" customHeight="1" s="12">
      <c r="A3258" s="1" t="n">
        <v>3543</v>
      </c>
      <c r="B3258" s="3">
        <f>HYPERLINK("https://leetcode.com/problems/maximum-weighted-k-edge-path/", "Maximum Weighted K-Edge Path")</f>
        <v/>
      </c>
      <c r="C3258" s="1" t="n">
        <v>87</v>
      </c>
      <c r="D3258" s="1" t="n">
        <v>10</v>
      </c>
      <c r="E3258" s="4">
        <f>IF(INDEX(C:C, ROW())+INDEX(D:D, ROW())=0, 0, INDEX(C:C, ROW())/(INDEX(C:C, ROW())+INDEX(D:D, ROW())))</f>
        <v/>
      </c>
      <c r="F3258" s="1" t="inlineStr">
        <is>
          <t>Hash Table, Dynamic Programming, Graph Theory</t>
        </is>
      </c>
      <c r="G3258" s="1" t="inlineStr">
        <is>
          <t>Medium</t>
        </is>
      </c>
      <c r="H3258" s="1" t="n">
        <v>9706</v>
      </c>
      <c r="I3258" s="1" t="n">
        <v>48445</v>
      </c>
      <c r="J3258" s="9" t="n">
        <v>0.2</v>
      </c>
      <c r="K3258" s="1" t="inlineStr">
        <is>
          <t>Yes</t>
        </is>
      </c>
      <c r="L3258" s="1" t="inlineStr">
        <is>
          <t>No</t>
        </is>
      </c>
      <c r="M3258" s="1" t="inlineStr">
        <is>
          <t>No</t>
        </is>
      </c>
      <c r="N3258" s="1" t="inlineStr">
        <is>
          <t>Algorithms</t>
        </is>
      </c>
      <c r="O32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58" s="11" t="inlineStr">
        <is>
          <t>To Do</t>
        </is>
      </c>
    </row>
    <row r="3259" ht="15.75" customHeight="1" s="12">
      <c r="A3259" s="1" t="n">
        <v>3686</v>
      </c>
      <c r="B3259" s="3">
        <f>HYPERLINK("https://leetcode.com/problems/number-of-stable-subsequences/", "Number of Stable Subsequences")</f>
        <v/>
      </c>
      <c r="C3259" s="1" t="n">
        <v>87</v>
      </c>
      <c r="D3259" s="1" t="n">
        <v>3</v>
      </c>
      <c r="E3259" s="4">
        <f>IF(INDEX(C:C, ROW())+INDEX(D:D, ROW())=0, 0, INDEX(C:C, ROW())/(INDEX(C:C, ROW())+INDEX(D:D, ROW())))</f>
        <v/>
      </c>
      <c r="F3259" s="1" t="inlineStr">
        <is>
          <t>Array, Dynamic Programming</t>
        </is>
      </c>
      <c r="G3259" s="1" t="inlineStr">
        <is>
          <t>Hard</t>
        </is>
      </c>
      <c r="H3259" s="1" t="n">
        <v>24643</v>
      </c>
      <c r="I3259" s="1" t="n">
        <v>40903</v>
      </c>
      <c r="J3259" s="9" t="n">
        <v>0.602</v>
      </c>
      <c r="K3259" s="1" t="inlineStr">
        <is>
          <t>Yes</t>
        </is>
      </c>
      <c r="L3259" s="1" t="inlineStr">
        <is>
          <t>No</t>
        </is>
      </c>
      <c r="M3259" s="1" t="inlineStr">
        <is>
          <t>No</t>
        </is>
      </c>
      <c r="N3259" s="1" t="inlineStr">
        <is>
          <t>Algorithms</t>
        </is>
      </c>
      <c r="O32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59" s="11" t="inlineStr">
        <is>
          <t>To Do</t>
        </is>
      </c>
    </row>
    <row r="3260" ht="15.75" customHeight="1" s="12">
      <c r="A3260" s="1" t="n">
        <v>2153</v>
      </c>
      <c r="B3260" s="3">
        <f>HYPERLINK("https://leetcode.com/problems/the-number-of-passengers-in-each-bus-ii/", "The Number of Passengers in Each Bus II")</f>
        <v/>
      </c>
      <c r="C3260" s="1" t="n">
        <v>86</v>
      </c>
      <c r="D3260" s="1" t="n">
        <v>29</v>
      </c>
      <c r="E3260" s="4">
        <f>IF(INDEX(C:C, ROW())+INDEX(D:D, ROW())=0, 0, INDEX(C:C, ROW())/(INDEX(C:C, ROW())+INDEX(D:D, ROW())))</f>
        <v/>
      </c>
      <c r="F3260" s="1" t="inlineStr">
        <is>
          <t>Database</t>
        </is>
      </c>
      <c r="G3260" s="1" t="inlineStr">
        <is>
          <t>Hard</t>
        </is>
      </c>
      <c r="H3260" s="1" t="n">
        <v>3997</v>
      </c>
      <c r="I3260" s="1" t="n">
        <v>9899</v>
      </c>
      <c r="J3260" s="9" t="n">
        <v>0.404</v>
      </c>
      <c r="K3260" s="1" t="inlineStr">
        <is>
          <t>No</t>
        </is>
      </c>
      <c r="L3260" s="1" t="inlineStr">
        <is>
          <t>Yes</t>
        </is>
      </c>
      <c r="M3260" s="1" t="inlineStr">
        <is>
          <t>No</t>
        </is>
      </c>
      <c r="N3260" s="1" t="inlineStr">
        <is>
          <t>Database</t>
        </is>
      </c>
      <c r="O32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60" s="11" t="inlineStr">
        <is>
          <t>To Do</t>
        </is>
      </c>
    </row>
    <row r="3261" ht="15.75" customHeight="1" s="12">
      <c r="A3261" s="1" t="n">
        <v>2955</v>
      </c>
      <c r="B3261" s="3">
        <f>HYPERLINK("https://leetcode.com/problems/number-of-same-end-substrings/", "Number of Same-End Substrings")</f>
        <v/>
      </c>
      <c r="C3261" s="1" t="n">
        <v>86</v>
      </c>
      <c r="D3261" s="1" t="n">
        <v>18</v>
      </c>
      <c r="E3261" s="4">
        <f>IF(INDEX(C:C, ROW())+INDEX(D:D, ROW())=0, 0, INDEX(C:C, ROW())/(INDEX(C:C, ROW())+INDEX(D:D, ROW())))</f>
        <v/>
      </c>
      <c r="F3261" s="1" t="inlineStr">
        <is>
          <t>Array, Hash Table, String, Counting, Prefix Sum</t>
        </is>
      </c>
      <c r="G3261" s="1" t="inlineStr">
        <is>
          <t>Medium</t>
        </is>
      </c>
      <c r="H3261" s="1" t="n">
        <v>8988</v>
      </c>
      <c r="I3261" s="1" t="n">
        <v>14587</v>
      </c>
      <c r="J3261" s="9" t="n">
        <v>0.616</v>
      </c>
      <c r="K3261" s="1" t="inlineStr">
        <is>
          <t>No</t>
        </is>
      </c>
      <c r="L3261" s="1" t="inlineStr">
        <is>
          <t>Yes</t>
        </is>
      </c>
      <c r="M3261" s="1" t="inlineStr">
        <is>
          <t>No</t>
        </is>
      </c>
      <c r="N3261" s="1" t="inlineStr">
        <is>
          <t>Algorithms</t>
        </is>
      </c>
      <c r="O32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61" s="11" t="inlineStr">
        <is>
          <t>To Do</t>
        </is>
      </c>
    </row>
    <row r="3262" ht="15.75" customHeight="1" s="12">
      <c r="A3262" s="1" t="n">
        <v>3292</v>
      </c>
      <c r="B3262" s="3">
        <f>HYPERLINK("https://leetcode.com/problems/minimum-number-of-valid-strings-to-form-target-ii/", "Minimum Number of Valid Strings to Form Target II")</f>
        <v/>
      </c>
      <c r="C3262" s="1" t="n">
        <v>86</v>
      </c>
      <c r="D3262" s="1" t="n">
        <v>10</v>
      </c>
      <c r="E3262" s="4">
        <f>IF(INDEX(C:C, ROW())+INDEX(D:D, ROW())=0, 0, INDEX(C:C, ROW())/(INDEX(C:C, ROW())+INDEX(D:D, ROW())))</f>
        <v/>
      </c>
      <c r="F3262" s="1" t="inlineStr">
        <is>
          <t>Array, String, Binary Search, Dynamic Programming, Greedy, Segment Tree, Rolling Hash, String Matching, Hash Function</t>
        </is>
      </c>
      <c r="G3262" s="1" t="inlineStr">
        <is>
          <t>Hard</t>
        </is>
      </c>
      <c r="H3262" s="1" t="n">
        <v>5628</v>
      </c>
      <c r="I3262" s="1" t="n">
        <v>27409</v>
      </c>
      <c r="J3262" s="9" t="n">
        <v>0.205</v>
      </c>
      <c r="K3262" s="1" t="inlineStr">
        <is>
          <t>Yes</t>
        </is>
      </c>
      <c r="L3262" s="1" t="inlineStr">
        <is>
          <t>No</t>
        </is>
      </c>
      <c r="M3262" s="1" t="inlineStr">
        <is>
          <t>No</t>
        </is>
      </c>
      <c r="N3262" s="1" t="inlineStr">
        <is>
          <t>Algorithms</t>
        </is>
      </c>
      <c r="O32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62" s="11" t="inlineStr">
        <is>
          <t>To Do</t>
        </is>
      </c>
    </row>
    <row r="3263" ht="15.75" customHeight="1" s="12">
      <c r="A3263" s="1" t="n">
        <v>3417</v>
      </c>
      <c r="B3263" s="3">
        <f>HYPERLINK("https://leetcode.com/problems/zigzag-grid-traversal-with-skip/", "Zigzag Grid Traversal With Skip")</f>
        <v/>
      </c>
      <c r="C3263" s="1" t="n">
        <v>86</v>
      </c>
      <c r="D3263" s="1" t="n">
        <v>11</v>
      </c>
      <c r="E3263" s="4">
        <f>IF(INDEX(C:C, ROW())+INDEX(D:D, ROW())=0, 0, INDEX(C:C, ROW())/(INDEX(C:C, ROW())+INDEX(D:D, ROW())))</f>
        <v/>
      </c>
      <c r="F3263" s="1" t="inlineStr">
        <is>
          <t>Array, Matrix, Simulation</t>
        </is>
      </c>
      <c r="G3263" s="1" t="inlineStr">
        <is>
          <t>Easy</t>
        </is>
      </c>
      <c r="H3263" s="1" t="n">
        <v>39034</v>
      </c>
      <c r="I3263" s="1" t="n">
        <v>59889</v>
      </c>
      <c r="J3263" s="9" t="n">
        <v>0.652</v>
      </c>
      <c r="K3263" s="1" t="inlineStr">
        <is>
          <t>Yes</t>
        </is>
      </c>
      <c r="L3263" s="1" t="inlineStr">
        <is>
          <t>No</t>
        </is>
      </c>
      <c r="M3263" s="1" t="inlineStr">
        <is>
          <t>No</t>
        </is>
      </c>
      <c r="N3263" s="1" t="inlineStr">
        <is>
          <t>Algorithms</t>
        </is>
      </c>
      <c r="O32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63" s="13" t="inlineStr">
        <is>
          <t>Done</t>
        </is>
      </c>
    </row>
    <row r="3264" ht="15.75" customHeight="1" s="12">
      <c r="A3264" s="1" t="n">
        <v>3498</v>
      </c>
      <c r="B3264" s="3">
        <f>HYPERLINK("https://leetcode.com/problems/reverse-degree-of-a-string/", "Reverse Degree of a String")</f>
        <v/>
      </c>
      <c r="C3264" s="1" t="n">
        <v>86</v>
      </c>
      <c r="D3264" s="1" t="n">
        <v>5</v>
      </c>
      <c r="E3264" s="4">
        <f>IF(INDEX(C:C, ROW())+INDEX(D:D, ROW())=0, 0, INDEX(C:C, ROW())/(INDEX(C:C, ROW())+INDEX(D:D, ROW())))</f>
        <v/>
      </c>
      <c r="F3264" s="1" t="inlineStr">
        <is>
          <t>String, Simulation</t>
        </is>
      </c>
      <c r="G3264" s="1" t="inlineStr">
        <is>
          <t>Easy</t>
        </is>
      </c>
      <c r="H3264" s="1" t="n">
        <v>68040</v>
      </c>
      <c r="I3264" s="1" t="n">
        <v>76709</v>
      </c>
      <c r="J3264" s="9" t="n">
        <v>0.887</v>
      </c>
      <c r="K3264" s="1" t="inlineStr">
        <is>
          <t>Yes</t>
        </is>
      </c>
      <c r="L3264" s="1" t="inlineStr">
        <is>
          <t>No</t>
        </is>
      </c>
      <c r="M3264" s="1" t="inlineStr">
        <is>
          <t>No</t>
        </is>
      </c>
      <c r="N3264" s="1" t="inlineStr">
        <is>
          <t>Algorithms</t>
        </is>
      </c>
      <c r="O32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64" s="13" t="inlineStr">
        <is>
          <t>Done</t>
        </is>
      </c>
    </row>
    <row r="3265" ht="15.75" customHeight="1" s="12">
      <c r="A3265" s="1" t="n">
        <v>3524</v>
      </c>
      <c r="B3265" s="3">
        <f>HYPERLINK("https://leetcode.com/problems/find-x-value-of-array-i/", "Find X Value of Array I")</f>
        <v/>
      </c>
      <c r="C3265" s="1" t="n">
        <v>86</v>
      </c>
      <c r="D3265" s="1" t="n">
        <v>31</v>
      </c>
      <c r="E3265" s="4">
        <f>IF(INDEX(C:C, ROW())+INDEX(D:D, ROW())=0, 0, INDEX(C:C, ROW())/(INDEX(C:C, ROW())+INDEX(D:D, ROW())))</f>
        <v/>
      </c>
      <c r="F3265" s="1" t="inlineStr">
        <is>
          <t>Array, Math, Dynamic Programming</t>
        </is>
      </c>
      <c r="G3265" s="1" t="inlineStr">
        <is>
          <t>Medium</t>
        </is>
      </c>
      <c r="H3265" s="1" t="n">
        <v>11458</v>
      </c>
      <c r="I3265" s="1" t="n">
        <v>30578</v>
      </c>
      <c r="J3265" s="9" t="n">
        <v>0.375</v>
      </c>
      <c r="K3265" s="1" t="inlineStr">
        <is>
          <t>Yes</t>
        </is>
      </c>
      <c r="L3265" s="1" t="inlineStr">
        <is>
          <t>No</t>
        </is>
      </c>
      <c r="M3265" s="1" t="inlineStr">
        <is>
          <t>No</t>
        </is>
      </c>
      <c r="N3265" s="1" t="inlineStr">
        <is>
          <t>Algorithms</t>
        </is>
      </c>
      <c r="O32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65" s="11" t="inlineStr">
        <is>
          <t>To Do</t>
        </is>
      </c>
    </row>
    <row r="3266" ht="15.75" customHeight="1" s="12">
      <c r="A3266" s="1" t="n">
        <v>3598</v>
      </c>
      <c r="B3266" s="3">
        <f>HYPERLINK("https://leetcode.com/problems/longest-common-prefix-between-adjacent-strings-after-removals/", "Longest Common Prefix Between Adjacent Strings After Removals")</f>
        <v/>
      </c>
      <c r="C3266" s="1" t="n">
        <v>86</v>
      </c>
      <c r="D3266" s="1" t="n">
        <v>5</v>
      </c>
      <c r="E3266" s="4">
        <f>IF(INDEX(C:C, ROW())+INDEX(D:D, ROW())=0, 0, INDEX(C:C, ROW())/(INDEX(C:C, ROW())+INDEX(D:D, ROW())))</f>
        <v/>
      </c>
      <c r="F3266" s="1" t="inlineStr">
        <is>
          <t>Array, String</t>
        </is>
      </c>
      <c r="G3266" s="1" t="inlineStr">
        <is>
          <t>Medium</t>
        </is>
      </c>
      <c r="H3266" s="1" t="n">
        <v>19292</v>
      </c>
      <c r="I3266" s="1" t="n">
        <v>59315</v>
      </c>
      <c r="J3266" s="9" t="n">
        <v>0.325</v>
      </c>
      <c r="K3266" s="1" t="inlineStr">
        <is>
          <t>Yes</t>
        </is>
      </c>
      <c r="L3266" s="1" t="inlineStr">
        <is>
          <t>No</t>
        </is>
      </c>
      <c r="M3266" s="1" t="inlineStr">
        <is>
          <t>No</t>
        </is>
      </c>
      <c r="N3266" s="1" t="inlineStr">
        <is>
          <t>Algorithms</t>
        </is>
      </c>
      <c r="O32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66" s="11" t="inlineStr">
        <is>
          <t>To Do</t>
        </is>
      </c>
    </row>
    <row r="3267" ht="15.75" customHeight="1" s="12">
      <c r="A3267" s="1" t="n">
        <v>3665</v>
      </c>
      <c r="B3267" s="3">
        <f>HYPERLINK("https://leetcode.com/problems/twisted-mirror-path-count/", "Twisted Mirror Path Count")</f>
        <v/>
      </c>
      <c r="C3267" s="1" t="n">
        <v>86</v>
      </c>
      <c r="D3267" s="1" t="n">
        <v>5</v>
      </c>
      <c r="E3267" s="4">
        <f>IF(INDEX(C:C, ROW())+INDEX(D:D, ROW())=0, 0, INDEX(C:C, ROW())/(INDEX(C:C, ROW())+INDEX(D:D, ROW())))</f>
        <v/>
      </c>
      <c r="F3267" s="1" t="inlineStr">
        <is>
          <t>Array, Dynamic Programming, Matrix</t>
        </is>
      </c>
      <c r="G3267" s="1" t="inlineStr">
        <is>
          <t>Medium</t>
        </is>
      </c>
      <c r="H3267" s="1" t="n">
        <v>14916</v>
      </c>
      <c r="I3267" s="1" t="n">
        <v>30903</v>
      </c>
      <c r="J3267" s="9" t="n">
        <v>0.483</v>
      </c>
      <c r="K3267" s="1" t="inlineStr">
        <is>
          <t>Yes</t>
        </is>
      </c>
      <c r="L3267" s="1" t="inlineStr">
        <is>
          <t>No</t>
        </is>
      </c>
      <c r="M3267" s="1" t="inlineStr">
        <is>
          <t>No</t>
        </is>
      </c>
      <c r="N3267" s="1" t="inlineStr">
        <is>
          <t>Algorithms</t>
        </is>
      </c>
      <c r="O32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67" s="11" t="inlineStr">
        <is>
          <t>To Do</t>
        </is>
      </c>
    </row>
    <row r="3268" ht="15.75" customHeight="1" s="12">
      <c r="A3268" s="1" t="n">
        <v>3859</v>
      </c>
      <c r="B3268" s="3">
        <f>HYPERLINK("https://leetcode.com/problems/count-subarrays-with-k-distinct-integers/", "Count Subarrays With K Distinct Integers")</f>
        <v/>
      </c>
      <c r="C3268" s="1" t="n">
        <v>86</v>
      </c>
      <c r="D3268" s="1" t="n">
        <v>2</v>
      </c>
      <c r="E3268" s="4">
        <f>IF(INDEX(C:C, ROW())+INDEX(D:D, ROW())=0, 0, INDEX(C:C, ROW())/(INDEX(C:C, ROW())+INDEX(D:D, ROW())))</f>
        <v/>
      </c>
      <c r="F3268" s="1" t="inlineStr">
        <is>
          <t>Array, Hash Table, Sliding Window, Counting</t>
        </is>
      </c>
      <c r="G3268" s="1" t="inlineStr">
        <is>
          <t>Hard</t>
        </is>
      </c>
      <c r="H3268" s="1" t="n">
        <v>7097</v>
      </c>
      <c r="I3268" s="1" t="n">
        <v>35596</v>
      </c>
      <c r="J3268" s="9" t="n">
        <v>0.199</v>
      </c>
      <c r="K3268" s="1" t="inlineStr">
        <is>
          <t>Yes</t>
        </is>
      </c>
      <c r="L3268" s="1" t="inlineStr">
        <is>
          <t>No</t>
        </is>
      </c>
      <c r="M3268" s="1" t="inlineStr">
        <is>
          <t>No</t>
        </is>
      </c>
      <c r="N3268" s="1" t="inlineStr">
        <is>
          <t>Algorithms</t>
        </is>
      </c>
      <c r="O32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68" s="11" t="inlineStr">
        <is>
          <t>To Do</t>
        </is>
      </c>
    </row>
    <row r="3269" ht="15.75" customHeight="1" s="12">
      <c r="A3269" s="1" t="n">
        <v>3905</v>
      </c>
      <c r="B3269" s="3">
        <f>HYPERLINK("https://leetcode.com/problems/multi-source-flood-fill/", "Multi Source Flood Fill")</f>
        <v/>
      </c>
      <c r="C3269" s="1" t="n">
        <v>86</v>
      </c>
      <c r="D3269" s="1" t="n">
        <v>3</v>
      </c>
      <c r="E3269" s="4">
        <f>IF(INDEX(C:C, ROW())+INDEX(D:D, ROW())=0, 0, INDEX(C:C, ROW())/(INDEX(C:C, ROW())+INDEX(D:D, ROW())))</f>
        <v/>
      </c>
      <c r="F3269" s="1" t="inlineStr">
        <is>
          <t>Array, Breadth-First Search, Matrix</t>
        </is>
      </c>
      <c r="G3269" s="1" t="inlineStr">
        <is>
          <t>Medium</t>
        </is>
      </c>
      <c r="H3269" s="1" t="n">
        <v>23401</v>
      </c>
      <c r="I3269" s="1" t="n">
        <v>41891</v>
      </c>
      <c r="J3269" s="9" t="n">
        <v>0.5590000000000001</v>
      </c>
      <c r="K3269" s="1" t="inlineStr">
        <is>
          <t>Yes</t>
        </is>
      </c>
      <c r="L3269" s="1" t="inlineStr">
        <is>
          <t>No</t>
        </is>
      </c>
      <c r="M3269" s="1" t="inlineStr">
        <is>
          <t>No</t>
        </is>
      </c>
      <c r="N3269" s="1" t="inlineStr">
        <is>
          <t>Algorithms</t>
        </is>
      </c>
      <c r="O32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69" s="11" t="inlineStr">
        <is>
          <t>To Do</t>
        </is>
      </c>
    </row>
    <row r="3270" ht="15.75" customHeight="1" s="12">
      <c r="A3270" s="1" t="n">
        <v>1069</v>
      </c>
      <c r="B3270" s="3">
        <f>HYPERLINK("https://leetcode.com/problems/product-sales-analysis-ii/", "Product Sales Analysis II")</f>
        <v/>
      </c>
      <c r="C3270" s="1" t="n">
        <v>85</v>
      </c>
      <c r="D3270" s="1" t="n">
        <v>182</v>
      </c>
      <c r="E3270" s="4">
        <f>IF(INDEX(C:C, ROW())+INDEX(D:D, ROW())=0, 0, INDEX(C:C, ROW())/(INDEX(C:C, ROW())+INDEX(D:D, ROW())))</f>
        <v/>
      </c>
      <c r="F3270" s="1" t="inlineStr">
        <is>
          <t>Database</t>
        </is>
      </c>
      <c r="G3270" s="1" t="inlineStr">
        <is>
          <t>Easy</t>
        </is>
      </c>
      <c r="H3270" s="1" t="n">
        <v>62541</v>
      </c>
      <c r="I3270" s="1" t="n">
        <v>75662</v>
      </c>
      <c r="J3270" s="9" t="n">
        <v>0.827</v>
      </c>
      <c r="K3270" s="1" t="inlineStr">
        <is>
          <t>No</t>
        </is>
      </c>
      <c r="L3270" s="1" t="inlineStr">
        <is>
          <t>Yes</t>
        </is>
      </c>
      <c r="M3270" s="1" t="inlineStr">
        <is>
          <t>No</t>
        </is>
      </c>
      <c r="N3270" s="1" t="inlineStr">
        <is>
          <t>Database</t>
        </is>
      </c>
      <c r="O32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70" s="11" t="inlineStr">
        <is>
          <t>To Do</t>
        </is>
      </c>
    </row>
    <row r="3271" ht="15.75" customHeight="1" s="12">
      <c r="A3271" s="1" t="n">
        <v>3420</v>
      </c>
      <c r="B3271" s="3">
        <f>HYPERLINK("https://leetcode.com/problems/count-non-decreasing-subarrays-after-k-operations/", "Count Non-Decreasing Subarrays After K Operations")</f>
        <v/>
      </c>
      <c r="C3271" s="1" t="n">
        <v>85</v>
      </c>
      <c r="D3271" s="1" t="n">
        <v>4</v>
      </c>
      <c r="E3271" s="4">
        <f>IF(INDEX(C:C, ROW())+INDEX(D:D, ROW())=0, 0, INDEX(C:C, ROW())/(INDEX(C:C, ROW())+INDEX(D:D, ROW())))</f>
        <v/>
      </c>
      <c r="F3271" s="1" t="inlineStr">
        <is>
          <t>Array, Stack, Segment Tree, Queue, Sliding Window, Monotonic Stack, Monotonic Queue</t>
        </is>
      </c>
      <c r="G3271" s="1" t="inlineStr">
        <is>
          <t>Hard</t>
        </is>
      </c>
      <c r="H3271" s="1" t="n">
        <v>4302</v>
      </c>
      <c r="I3271" s="1" t="n">
        <v>17709</v>
      </c>
      <c r="J3271" s="9" t="n">
        <v>0.243</v>
      </c>
      <c r="K3271" s="1" t="inlineStr">
        <is>
          <t>Yes</t>
        </is>
      </c>
      <c r="L3271" s="1" t="inlineStr">
        <is>
          <t>No</t>
        </is>
      </c>
      <c r="M3271" s="1" t="inlineStr">
        <is>
          <t>No</t>
        </is>
      </c>
      <c r="N3271" s="1" t="inlineStr">
        <is>
          <t>Algorithms</t>
        </is>
      </c>
      <c r="O32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71" s="11" t="inlineStr">
        <is>
          <t>To Do</t>
        </is>
      </c>
    </row>
    <row r="3272" ht="15.75" customHeight="1" s="12">
      <c r="A3272" s="1" t="n">
        <v>3500</v>
      </c>
      <c r="B3272" s="3">
        <f>HYPERLINK("https://leetcode.com/problems/minimum-cost-to-divide-array-into-subarrays/", "Minimum Cost to Divide Array Into Subarrays")</f>
        <v/>
      </c>
      <c r="C3272" s="1" t="n">
        <v>85</v>
      </c>
      <c r="D3272" s="1" t="n">
        <v>11</v>
      </c>
      <c r="E3272" s="4">
        <f>IF(INDEX(C:C, ROW())+INDEX(D:D, ROW())=0, 0, INDEX(C:C, ROW())/(INDEX(C:C, ROW())+INDEX(D:D, ROW())))</f>
        <v/>
      </c>
      <c r="F3272" s="1" t="inlineStr">
        <is>
          <t>Array, Dynamic Programming, Prefix Sum</t>
        </is>
      </c>
      <c r="G3272" s="1" t="inlineStr">
        <is>
          <t>Hard</t>
        </is>
      </c>
      <c r="H3272" s="1" t="n">
        <v>5080</v>
      </c>
      <c r="I3272" s="1" t="n">
        <v>18126</v>
      </c>
      <c r="J3272" s="9" t="n">
        <v>0.28</v>
      </c>
      <c r="K3272" s="1" t="inlineStr">
        <is>
          <t>Yes</t>
        </is>
      </c>
      <c r="L3272" s="1" t="inlineStr">
        <is>
          <t>No</t>
        </is>
      </c>
      <c r="M3272" s="1" t="inlineStr">
        <is>
          <t>No</t>
        </is>
      </c>
      <c r="N3272" s="1" t="inlineStr">
        <is>
          <t>Algorithms</t>
        </is>
      </c>
      <c r="O32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72" s="11" t="inlineStr">
        <is>
          <t>To Do</t>
        </is>
      </c>
    </row>
    <row r="3273" ht="15.75" customHeight="1" s="12">
      <c r="A3273" s="1" t="n">
        <v>3517</v>
      </c>
      <c r="B3273" s="3">
        <f>HYPERLINK("https://leetcode.com/problems/smallest-palindromic-rearrangement-i/", "Smallest Palindromic Rearrangement I")</f>
        <v/>
      </c>
      <c r="C3273" s="1" t="n">
        <v>85</v>
      </c>
      <c r="D3273" s="1" t="n">
        <v>3</v>
      </c>
      <c r="E3273" s="4">
        <f>IF(INDEX(C:C, ROW())+INDEX(D:D, ROW())=0, 0, INDEX(C:C, ROW())/(INDEX(C:C, ROW())+INDEX(D:D, ROW())))</f>
        <v/>
      </c>
      <c r="F3273" s="1" t="inlineStr">
        <is>
          <t>String, Sorting, Counting Sort</t>
        </is>
      </c>
      <c r="G3273" s="1" t="inlineStr">
        <is>
          <t>Medium</t>
        </is>
      </c>
      <c r="H3273" s="1" t="n">
        <v>35503</v>
      </c>
      <c r="I3273" s="1" t="n">
        <v>55742</v>
      </c>
      <c r="J3273" s="9" t="n">
        <v>0.637</v>
      </c>
      <c r="K3273" s="1" t="inlineStr">
        <is>
          <t>Yes</t>
        </is>
      </c>
      <c r="L3273" s="1" t="inlineStr">
        <is>
          <t>No</t>
        </is>
      </c>
      <c r="M3273" s="1" t="inlineStr">
        <is>
          <t>No</t>
        </is>
      </c>
      <c r="N3273" s="1" t="inlineStr">
        <is>
          <t>Algorithms</t>
        </is>
      </c>
      <c r="O32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73" s="11" t="inlineStr">
        <is>
          <t>To Do</t>
        </is>
      </c>
    </row>
    <row r="3274" ht="15.75" customHeight="1" s="12">
      <c r="A3274" s="1" t="n">
        <v>3699</v>
      </c>
      <c r="B3274" s="3">
        <f>HYPERLINK("https://leetcode.com/problems/number-of-zigzag-arrays-i/", "Number of ZigZag Arrays I")</f>
        <v/>
      </c>
      <c r="C3274" s="1" t="n">
        <v>85</v>
      </c>
      <c r="D3274" s="1" t="n">
        <v>7</v>
      </c>
      <c r="E3274" s="4">
        <f>IF(INDEX(C:C, ROW())+INDEX(D:D, ROW())=0, 0, INDEX(C:C, ROW())/(INDEX(C:C, ROW())+INDEX(D:D, ROW())))</f>
        <v/>
      </c>
      <c r="F3274" s="1" t="inlineStr">
        <is>
          <t>Dynamic Programming, Prefix Sum</t>
        </is>
      </c>
      <c r="G3274" s="1" t="inlineStr">
        <is>
          <t>Hard</t>
        </is>
      </c>
      <c r="H3274" s="1" t="n">
        <v>16145</v>
      </c>
      <c r="I3274" s="1" t="n">
        <v>48819</v>
      </c>
      <c r="J3274" s="9" t="n">
        <v>0.331</v>
      </c>
      <c r="K3274" s="1" t="inlineStr">
        <is>
          <t>Yes</t>
        </is>
      </c>
      <c r="L3274" s="1" t="inlineStr">
        <is>
          <t>No</t>
        </is>
      </c>
      <c r="M3274" s="1" t="inlineStr">
        <is>
          <t>No</t>
        </is>
      </c>
      <c r="N3274" s="1" t="inlineStr">
        <is>
          <t>Algorithms</t>
        </is>
      </c>
      <c r="O32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74" s="11" t="inlineStr">
        <is>
          <t>To Do</t>
        </is>
      </c>
    </row>
    <row r="3275" ht="15.75" customHeight="1" s="12">
      <c r="A3275" s="1" t="n">
        <v>3815</v>
      </c>
      <c r="B3275" s="3">
        <f>HYPERLINK("https://leetcode.com/problems/design-auction-system/", "Design Auction System")</f>
        <v/>
      </c>
      <c r="C3275" s="1" t="n">
        <v>85</v>
      </c>
      <c r="D3275" s="1" t="n">
        <v>7</v>
      </c>
      <c r="E3275" s="4">
        <f>IF(INDEX(C:C, ROW())+INDEX(D:D, ROW())=0, 0, INDEX(C:C, ROW())/(INDEX(C:C, ROW())+INDEX(D:D, ROW())))</f>
        <v/>
      </c>
      <c r="F3275" s="1" t="inlineStr">
        <is>
          <t>Hash Table, Design, Heap (Priority Queue), Ordered Set</t>
        </is>
      </c>
      <c r="G3275" s="1" t="inlineStr">
        <is>
          <t>Medium</t>
        </is>
      </c>
      <c r="H3275" s="1" t="n">
        <v>16080</v>
      </c>
      <c r="I3275" s="1" t="n">
        <v>38143</v>
      </c>
      <c r="J3275" s="9" t="n">
        <v>0.422</v>
      </c>
      <c r="K3275" s="1" t="inlineStr">
        <is>
          <t>Yes</t>
        </is>
      </c>
      <c r="L3275" s="1" t="inlineStr">
        <is>
          <t>No</t>
        </is>
      </c>
      <c r="M3275" s="1" t="inlineStr">
        <is>
          <t>No</t>
        </is>
      </c>
      <c r="N3275" s="1" t="inlineStr">
        <is>
          <t>Algorithms</t>
        </is>
      </c>
      <c r="O32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75" s="11" t="inlineStr">
        <is>
          <t>To Do</t>
        </is>
      </c>
    </row>
    <row r="3276" ht="15.75" customHeight="1" s="12">
      <c r="A3276" s="1" t="n">
        <v>3049</v>
      </c>
      <c r="B3276" s="3">
        <f>HYPERLINK("https://leetcode.com/problems/earliest-second-to-mark-indices-ii/", "Earliest Second to Mark Indices II")</f>
        <v/>
      </c>
      <c r="C3276" s="1" t="n">
        <v>84</v>
      </c>
      <c r="D3276" s="1" t="n">
        <v>21</v>
      </c>
      <c r="E3276" s="4">
        <f>IF(INDEX(C:C, ROW())+INDEX(D:D, ROW())=0, 0, INDEX(C:C, ROW())/(INDEX(C:C, ROW())+INDEX(D:D, ROW())))</f>
        <v/>
      </c>
      <c r="F3276" s="1" t="inlineStr">
        <is>
          <t>Array, Binary Search, Greedy, Heap (Priority Queue)</t>
        </is>
      </c>
      <c r="G3276" s="1" t="inlineStr">
        <is>
          <t>Hard</t>
        </is>
      </c>
      <c r="H3276" s="1" t="n">
        <v>4040</v>
      </c>
      <c r="I3276" s="1" t="n">
        <v>17856</v>
      </c>
      <c r="J3276" s="9" t="n">
        <v>0.226</v>
      </c>
      <c r="K3276" s="1" t="inlineStr">
        <is>
          <t>Yes</t>
        </is>
      </c>
      <c r="L3276" s="1" t="inlineStr">
        <is>
          <t>No</t>
        </is>
      </c>
      <c r="M3276" s="1" t="inlineStr">
        <is>
          <t>No</t>
        </is>
      </c>
      <c r="N3276" s="1" t="inlineStr">
        <is>
          <t>Algorithms</t>
        </is>
      </c>
      <c r="O32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76" s="11" t="inlineStr">
        <is>
          <t>To Do</t>
        </is>
      </c>
    </row>
    <row r="3277" ht="15.75" customHeight="1" s="12">
      <c r="A3277" s="1" t="n">
        <v>3378</v>
      </c>
      <c r="B3277" s="3">
        <f>HYPERLINK("https://leetcode.com/problems/count-connected-components-in-lcm-graph/", "Count Connected Components in LCM Graph")</f>
        <v/>
      </c>
      <c r="C3277" s="1" t="n">
        <v>84</v>
      </c>
      <c r="D3277" s="1" t="n">
        <v>2</v>
      </c>
      <c r="E3277" s="4">
        <f>IF(INDEX(C:C, ROW())+INDEX(D:D, ROW())=0, 0, INDEX(C:C, ROW())/(INDEX(C:C, ROW())+INDEX(D:D, ROW())))</f>
        <v/>
      </c>
      <c r="F3277" s="1" t="inlineStr">
        <is>
          <t>Array, Hash Table, Math, Union-Find, Number Theory</t>
        </is>
      </c>
      <c r="G3277" s="1" t="inlineStr">
        <is>
          <t>Hard</t>
        </is>
      </c>
      <c r="H3277" s="1" t="n">
        <v>5565</v>
      </c>
      <c r="I3277" s="1" t="n">
        <v>17921</v>
      </c>
      <c r="J3277" s="9" t="n">
        <v>0.311</v>
      </c>
      <c r="K3277" s="1" t="inlineStr">
        <is>
          <t>Yes</t>
        </is>
      </c>
      <c r="L3277" s="1" t="inlineStr">
        <is>
          <t>No</t>
        </is>
      </c>
      <c r="M3277" s="1" t="inlineStr">
        <is>
          <t>No</t>
        </is>
      </c>
      <c r="N3277" s="1" t="inlineStr">
        <is>
          <t>Algorithms</t>
        </is>
      </c>
      <c r="O32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77" s="11" t="inlineStr">
        <is>
          <t>To Do</t>
        </is>
      </c>
    </row>
    <row r="3278" ht="15.75" customHeight="1" s="12">
      <c r="A3278" s="1" t="n">
        <v>3503</v>
      </c>
      <c r="B3278" s="3">
        <f>HYPERLINK("https://leetcode.com/problems/longest-palindrome-after-substring-concatenation-i/", "Longest Palindrome After Substring Concatenation I")</f>
        <v/>
      </c>
      <c r="C3278" s="1" t="n">
        <v>84</v>
      </c>
      <c r="D3278" s="1" t="n">
        <v>6</v>
      </c>
      <c r="E3278" s="4">
        <f>IF(INDEX(C:C, ROW())+INDEX(D:D, ROW())=0, 0, INDEX(C:C, ROW())/(INDEX(C:C, ROW())+INDEX(D:D, ROW())))</f>
        <v/>
      </c>
      <c r="F3278" s="1" t="inlineStr">
        <is>
          <t>Two Pointers, String, Dynamic Programming, Enumeration</t>
        </is>
      </c>
      <c r="G3278" s="1" t="inlineStr">
        <is>
          <t>Medium</t>
        </is>
      </c>
      <c r="H3278" s="1" t="n">
        <v>22328</v>
      </c>
      <c r="I3278" s="1" t="n">
        <v>50920</v>
      </c>
      <c r="J3278" s="9" t="n">
        <v>0.438</v>
      </c>
      <c r="K3278" s="1" t="inlineStr">
        <is>
          <t>Yes</t>
        </is>
      </c>
      <c r="L3278" s="1" t="inlineStr">
        <is>
          <t>No</t>
        </is>
      </c>
      <c r="M3278" s="1" t="inlineStr">
        <is>
          <t>No</t>
        </is>
      </c>
      <c r="N3278" s="1" t="inlineStr">
        <is>
          <t>Algorithms</t>
        </is>
      </c>
      <c r="O32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78" s="11" t="inlineStr">
        <is>
          <t>To Do</t>
        </is>
      </c>
    </row>
    <row r="3279" ht="15.75" customHeight="1" s="12">
      <c r="A3279" s="1" t="n">
        <v>3679</v>
      </c>
      <c r="B3279" s="3">
        <f>HYPERLINK("https://leetcode.com/problems/minimum-discards-to-balance-inventory/", " Minimum Discards to Balance Inventory")</f>
        <v/>
      </c>
      <c r="C3279" s="1" t="n">
        <v>84</v>
      </c>
      <c r="D3279" s="1" t="n">
        <v>18</v>
      </c>
      <c r="E3279" s="4">
        <f>IF(INDEX(C:C, ROW())+INDEX(D:D, ROW())=0, 0, INDEX(C:C, ROW())/(INDEX(C:C, ROW())+INDEX(D:D, ROW())))</f>
        <v/>
      </c>
      <c r="F3279" s="1" t="inlineStr">
        <is>
          <t>Array, Hash Table, Sliding Window, Simulation, Counting</t>
        </is>
      </c>
      <c r="G3279" s="1" t="inlineStr">
        <is>
          <t>Medium</t>
        </is>
      </c>
      <c r="H3279" s="1" t="n">
        <v>20132</v>
      </c>
      <c r="I3279" s="1" t="n">
        <v>57358</v>
      </c>
      <c r="J3279" s="9" t="n">
        <v>0.351</v>
      </c>
      <c r="K3279" s="1" t="inlineStr">
        <is>
          <t>Yes</t>
        </is>
      </c>
      <c r="L3279" s="1" t="inlineStr">
        <is>
          <t>No</t>
        </is>
      </c>
      <c r="M3279" s="1" t="inlineStr">
        <is>
          <t>No</t>
        </is>
      </c>
      <c r="N3279" s="1" t="inlineStr">
        <is>
          <t>Algorithms</t>
        </is>
      </c>
      <c r="O32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79" s="11" t="inlineStr">
        <is>
          <t>To Do</t>
        </is>
      </c>
    </row>
    <row r="3280" ht="15.75" customHeight="1" s="12">
      <c r="A3280" s="1" t="n">
        <v>3795</v>
      </c>
      <c r="B3280" s="3">
        <f>HYPERLINK("https://leetcode.com/problems/minimum-subarray-length-with-distinct-sum-at-least-k/", "Minimum Subarray Length With Distinct Sum At Least K")</f>
        <v/>
      </c>
      <c r="C3280" s="1" t="n">
        <v>84</v>
      </c>
      <c r="D3280" s="1" t="n">
        <v>9</v>
      </c>
      <c r="E3280" s="4">
        <f>IF(INDEX(C:C, ROW())+INDEX(D:D, ROW())=0, 0, INDEX(C:C, ROW())/(INDEX(C:C, ROW())+INDEX(D:D, ROW())))</f>
        <v/>
      </c>
      <c r="F3280" s="1" t="inlineStr">
        <is>
          <t>Array, Hash Table, Sliding Window</t>
        </is>
      </c>
      <c r="G3280" s="1" t="inlineStr">
        <is>
          <t>Medium</t>
        </is>
      </c>
      <c r="H3280" s="1" t="n">
        <v>29715</v>
      </c>
      <c r="I3280" s="1" t="n">
        <v>93340</v>
      </c>
      <c r="J3280" s="9" t="n">
        <v>0.318</v>
      </c>
      <c r="K3280" s="1" t="inlineStr">
        <is>
          <t>Yes</t>
        </is>
      </c>
      <c r="L3280" s="1" t="inlineStr">
        <is>
          <t>No</t>
        </is>
      </c>
      <c r="M3280" s="1" t="inlineStr">
        <is>
          <t>No</t>
        </is>
      </c>
      <c r="N3280" s="1" t="inlineStr">
        <is>
          <t>Algorithms</t>
        </is>
      </c>
      <c r="O32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80" s="11" t="inlineStr">
        <is>
          <t>To Do</t>
        </is>
      </c>
    </row>
    <row r="3281" ht="15.75" customHeight="1" s="12">
      <c r="A3281" s="1" t="n">
        <v>1988</v>
      </c>
      <c r="B3281" s="3">
        <f>HYPERLINK("https://leetcode.com/problems/find-cutoff-score-for-each-school/", "Find Cutoff Score for Each School")</f>
        <v/>
      </c>
      <c r="C3281" s="1" t="n">
        <v>83</v>
      </c>
      <c r="D3281" s="1" t="n">
        <v>162</v>
      </c>
      <c r="E3281" s="4">
        <f>IF(INDEX(C:C, ROW())+INDEX(D:D, ROW())=0, 0, INDEX(C:C, ROW())/(INDEX(C:C, ROW())+INDEX(D:D, ROW())))</f>
        <v/>
      </c>
      <c r="F3281" s="1" t="inlineStr">
        <is>
          <t>Database</t>
        </is>
      </c>
      <c r="G3281" s="1" t="inlineStr">
        <is>
          <t>Medium</t>
        </is>
      </c>
      <c r="H3281" s="1" t="n">
        <v>14134</v>
      </c>
      <c r="I3281" s="1" t="n">
        <v>21068</v>
      </c>
      <c r="J3281" s="9" t="n">
        <v>0.671</v>
      </c>
      <c r="K3281" s="1" t="inlineStr">
        <is>
          <t>No</t>
        </is>
      </c>
      <c r="L3281" s="1" t="inlineStr">
        <is>
          <t>Yes</t>
        </is>
      </c>
      <c r="M3281" s="1" t="inlineStr">
        <is>
          <t>No</t>
        </is>
      </c>
      <c r="N3281" s="1" t="inlineStr">
        <is>
          <t>Database</t>
        </is>
      </c>
      <c r="O32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81" s="11" t="inlineStr">
        <is>
          <t>To Do</t>
        </is>
      </c>
    </row>
    <row r="3282" ht="15.75" customHeight="1" s="12">
      <c r="A3282" s="1" t="n">
        <v>2885</v>
      </c>
      <c r="B3282" s="3">
        <f>HYPERLINK("https://leetcode.com/problems/rename-columns/", "Rename Columns")</f>
        <v/>
      </c>
      <c r="C3282" s="1" t="n">
        <v>83</v>
      </c>
      <c r="D3282" s="1" t="n">
        <v>3</v>
      </c>
      <c r="E3282" s="4">
        <f>IF(INDEX(C:C, ROW())+INDEX(D:D, ROW())=0, 0, INDEX(C:C, ROW())/(INDEX(C:C, ROW())+INDEX(D:D, ROW())))</f>
        <v/>
      </c>
      <c r="F3282" s="2" t="n"/>
      <c r="G3282" s="1" t="inlineStr">
        <is>
          <t>Easy</t>
        </is>
      </c>
      <c r="H3282" s="1" t="n">
        <v>125196</v>
      </c>
      <c r="I3282" s="1" t="n">
        <v>146903</v>
      </c>
      <c r="J3282" s="9" t="n">
        <v>0.852</v>
      </c>
      <c r="K3282" s="1" t="inlineStr">
        <is>
          <t>Yes</t>
        </is>
      </c>
      <c r="L3282" s="1" t="inlineStr">
        <is>
          <t>Yes</t>
        </is>
      </c>
      <c r="M3282" s="1" t="inlineStr">
        <is>
          <t>No</t>
        </is>
      </c>
      <c r="N3282" s="1" t="inlineStr">
        <is>
          <t>pandas</t>
        </is>
      </c>
      <c r="O32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82" s="13" t="inlineStr">
        <is>
          <t>Done</t>
        </is>
      </c>
    </row>
    <row r="3283" ht="15.75" customHeight="1" s="12">
      <c r="A3283" s="1" t="n">
        <v>3239</v>
      </c>
      <c r="B3283" s="3">
        <f>HYPERLINK("https://leetcode.com/problems/minimum-number-of-flips-to-make-binary-grid-palindromic-i/", "Minimum Number of Flips to Make Binary Grid Palindromic I")</f>
        <v/>
      </c>
      <c r="C3283" s="1" t="n">
        <v>83</v>
      </c>
      <c r="D3283" s="1" t="n">
        <v>10</v>
      </c>
      <c r="E3283" s="4">
        <f>IF(INDEX(C:C, ROW())+INDEX(D:D, ROW())=0, 0, INDEX(C:C, ROW())/(INDEX(C:C, ROW())+INDEX(D:D, ROW())))</f>
        <v/>
      </c>
      <c r="F3283" s="1" t="inlineStr">
        <is>
          <t>Array, Two Pointers, Matrix</t>
        </is>
      </c>
      <c r="G3283" s="1" t="inlineStr">
        <is>
          <t>Medium</t>
        </is>
      </c>
      <c r="H3283" s="1" t="n">
        <v>39067</v>
      </c>
      <c r="I3283" s="1" t="n">
        <v>52180</v>
      </c>
      <c r="J3283" s="9" t="n">
        <v>0.749</v>
      </c>
      <c r="K3283" s="1" t="inlineStr">
        <is>
          <t>Yes</t>
        </is>
      </c>
      <c r="L3283" s="1" t="inlineStr">
        <is>
          <t>No</t>
        </is>
      </c>
      <c r="M3283" s="1" t="inlineStr">
        <is>
          <t>No</t>
        </is>
      </c>
      <c r="N3283" s="1" t="inlineStr">
        <is>
          <t>Algorithms</t>
        </is>
      </c>
      <c r="O32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83" s="11" t="inlineStr">
        <is>
          <t>To Do</t>
        </is>
      </c>
    </row>
    <row r="3284" ht="15.75" customHeight="1" s="12">
      <c r="A3284" s="1" t="n">
        <v>3430</v>
      </c>
      <c r="B3284" s="3">
        <f>HYPERLINK("https://leetcode.com/problems/maximum-and-minimum-sums-of-at-most-size-k-subarrays/", "Maximum and Minimum Sums of at Most Size K Subarrays")</f>
        <v/>
      </c>
      <c r="C3284" s="1" t="n">
        <v>83</v>
      </c>
      <c r="D3284" s="1" t="n">
        <v>9</v>
      </c>
      <c r="E3284" s="4">
        <f>IF(INDEX(C:C, ROW())+INDEX(D:D, ROW())=0, 0, INDEX(C:C, ROW())/(INDEX(C:C, ROW())+INDEX(D:D, ROW())))</f>
        <v/>
      </c>
      <c r="F3284" s="1" t="inlineStr">
        <is>
          <t>Array, Math, Stack, Monotonic Stack</t>
        </is>
      </c>
      <c r="G3284" s="1" t="inlineStr">
        <is>
          <t>Hard</t>
        </is>
      </c>
      <c r="H3284" s="1" t="n">
        <v>4507</v>
      </c>
      <c r="I3284" s="1" t="n">
        <v>17615</v>
      </c>
      <c r="J3284" s="9" t="n">
        <v>0.256</v>
      </c>
      <c r="K3284" s="1" t="inlineStr">
        <is>
          <t>Yes</t>
        </is>
      </c>
      <c r="L3284" s="1" t="inlineStr">
        <is>
          <t>No</t>
        </is>
      </c>
      <c r="M3284" s="1" t="inlineStr">
        <is>
          <t>No</t>
        </is>
      </c>
      <c r="N3284" s="1" t="inlineStr">
        <is>
          <t>Algorithms</t>
        </is>
      </c>
      <c r="O32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84" s="11" t="inlineStr">
        <is>
          <t>To Do</t>
        </is>
      </c>
    </row>
    <row r="3285" ht="15.75" customHeight="1" s="12">
      <c r="A3285" s="1" t="n">
        <v>3854</v>
      </c>
      <c r="B3285" s="3">
        <f>HYPERLINK("https://leetcode.com/problems/minimum-operations-to-make-array-parity-alternating/", "Minimum Operations to Make Array Parity Alternating")</f>
        <v/>
      </c>
      <c r="C3285" s="1" t="n">
        <v>83</v>
      </c>
      <c r="D3285" s="1" t="n">
        <v>13</v>
      </c>
      <c r="E3285" s="4">
        <f>IF(INDEX(C:C, ROW())+INDEX(D:D, ROW())=0, 0, INDEX(C:C, ROW())/(INDEX(C:C, ROW())+INDEX(D:D, ROW())))</f>
        <v/>
      </c>
      <c r="F3285" s="1" t="inlineStr">
        <is>
          <t>Array, Greedy</t>
        </is>
      </c>
      <c r="G3285" s="1" t="inlineStr">
        <is>
          <t>Medium</t>
        </is>
      </c>
      <c r="H3285" s="1" t="n">
        <v>8188</v>
      </c>
      <c r="I3285" s="1" t="n">
        <v>48222</v>
      </c>
      <c r="J3285" s="9" t="n">
        <v>0.17</v>
      </c>
      <c r="K3285" s="1" t="inlineStr">
        <is>
          <t>Yes</t>
        </is>
      </c>
      <c r="L3285" s="1" t="inlineStr">
        <is>
          <t>No</t>
        </is>
      </c>
      <c r="M3285" s="1" t="inlineStr">
        <is>
          <t>No</t>
        </is>
      </c>
      <c r="N3285" s="1" t="inlineStr">
        <is>
          <t>Algorithms</t>
        </is>
      </c>
      <c r="O32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85" s="11" t="inlineStr">
        <is>
          <t>To Do</t>
        </is>
      </c>
    </row>
    <row r="3286" ht="15.75" customHeight="1" s="12">
      <c r="A3286" s="1" t="n">
        <v>3886</v>
      </c>
      <c r="B3286" s="3">
        <f>HYPERLINK("https://leetcode.com/problems/sum-of-sortable-integers/", "Sum of Sortable Integers")</f>
        <v/>
      </c>
      <c r="C3286" s="1" t="n">
        <v>83</v>
      </c>
      <c r="D3286" s="1" t="n">
        <v>4</v>
      </c>
      <c r="E3286" s="4">
        <f>IF(INDEX(C:C, ROW())+INDEX(D:D, ROW())=0, 0, INDEX(C:C, ROW())/(INDEX(C:C, ROW())+INDEX(D:D, ROW())))</f>
        <v/>
      </c>
      <c r="F3286" s="1" t="inlineStr">
        <is>
          <t>Array, Math, Sorting, Enumeration</t>
        </is>
      </c>
      <c r="G3286" s="1" t="inlineStr">
        <is>
          <t>Hard</t>
        </is>
      </c>
      <c r="H3286" s="1" t="n">
        <v>11880</v>
      </c>
      <c r="I3286" s="1" t="n">
        <v>37999</v>
      </c>
      <c r="J3286" s="9" t="n">
        <v>0.313</v>
      </c>
      <c r="K3286" s="1" t="inlineStr">
        <is>
          <t>Yes</t>
        </is>
      </c>
      <c r="L3286" s="1" t="inlineStr">
        <is>
          <t>No</t>
        </is>
      </c>
      <c r="M3286" s="1" t="inlineStr">
        <is>
          <t>No</t>
        </is>
      </c>
      <c r="N3286" s="1" t="inlineStr">
        <is>
          <t>Algorithms</t>
        </is>
      </c>
      <c r="O32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86" s="11" t="inlineStr">
        <is>
          <t>To Do</t>
        </is>
      </c>
    </row>
    <row r="3287" ht="15.75" customHeight="1" s="12">
      <c r="A3287" s="1" t="n">
        <v>1256</v>
      </c>
      <c r="B3287" s="3">
        <f>HYPERLINK("https://leetcode.com/problems/encode-number/", "Encode Number")</f>
        <v/>
      </c>
      <c r="C3287" s="1" t="n">
        <v>82</v>
      </c>
      <c r="D3287" s="1" t="n">
        <v>258</v>
      </c>
      <c r="E3287" s="4">
        <f>IF(INDEX(C:C, ROW())+INDEX(D:D, ROW())=0, 0, INDEX(C:C, ROW())/(INDEX(C:C, ROW())+INDEX(D:D, ROW())))</f>
        <v/>
      </c>
      <c r="F3287" s="1" t="inlineStr">
        <is>
          <t>Math, String, Bit Manipulation</t>
        </is>
      </c>
      <c r="G3287" s="1" t="inlineStr">
        <is>
          <t>Medium</t>
        </is>
      </c>
      <c r="H3287" s="1" t="n">
        <v>8708</v>
      </c>
      <c r="I3287" s="1" t="n">
        <v>12384</v>
      </c>
      <c r="J3287" s="9" t="n">
        <v>0.703</v>
      </c>
      <c r="K3287" s="1" t="inlineStr">
        <is>
          <t>No</t>
        </is>
      </c>
      <c r="L3287" s="1" t="inlineStr">
        <is>
          <t>No</t>
        </is>
      </c>
      <c r="M3287" s="1" t="inlineStr">
        <is>
          <t>No</t>
        </is>
      </c>
      <c r="N3287" s="1" t="inlineStr">
        <is>
          <t>Algorithms</t>
        </is>
      </c>
      <c r="O32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87" s="11" t="inlineStr">
        <is>
          <t>To Do</t>
        </is>
      </c>
    </row>
    <row r="3288" ht="15.75" customHeight="1" s="12">
      <c r="A3288" s="1" t="n">
        <v>1565</v>
      </c>
      <c r="B3288" s="3">
        <f>HYPERLINK("https://leetcode.com/problems/unique-orders-and-customers-per-month/", "Unique Orders and Customers Per Month")</f>
        <v/>
      </c>
      <c r="C3288" s="1" t="n">
        <v>82</v>
      </c>
      <c r="D3288" s="1" t="n">
        <v>47</v>
      </c>
      <c r="E3288" s="4">
        <f>IF(INDEX(C:C, ROW())+INDEX(D:D, ROW())=0, 0, INDEX(C:C, ROW())/(INDEX(C:C, ROW())+INDEX(D:D, ROW())))</f>
        <v/>
      </c>
      <c r="F3288" s="1" t="inlineStr">
        <is>
          <t>Database</t>
        </is>
      </c>
      <c r="G3288" s="1" t="inlineStr">
        <is>
          <t>Easy</t>
        </is>
      </c>
      <c r="H3288" s="1" t="n">
        <v>26105</v>
      </c>
      <c r="I3288" s="1" t="n">
        <v>31853</v>
      </c>
      <c r="J3288" s="9" t="n">
        <v>0.82</v>
      </c>
      <c r="K3288" s="1" t="inlineStr">
        <is>
          <t>No</t>
        </is>
      </c>
      <c r="L3288" s="1" t="inlineStr">
        <is>
          <t>No</t>
        </is>
      </c>
      <c r="M3288" s="1" t="inlineStr">
        <is>
          <t>No</t>
        </is>
      </c>
      <c r="N3288" s="1" t="inlineStr">
        <is>
          <t>Database</t>
        </is>
      </c>
      <c r="O32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88" s="11" t="inlineStr">
        <is>
          <t>To Do</t>
        </is>
      </c>
    </row>
    <row r="3289" ht="15.75" customHeight="1" s="12">
      <c r="A3289" s="1" t="n">
        <v>1788</v>
      </c>
      <c r="B3289" s="3">
        <f>HYPERLINK("https://leetcode.com/problems/maximize-the-beauty-of-the-garden/", "Maximize the Beauty of the Garden")</f>
        <v/>
      </c>
      <c r="C3289" s="1" t="n">
        <v>82</v>
      </c>
      <c r="D3289" s="1" t="n">
        <v>6</v>
      </c>
      <c r="E3289" s="4">
        <f>IF(INDEX(C:C, ROW())+INDEX(D:D, ROW())=0, 0, INDEX(C:C, ROW())/(INDEX(C:C, ROW())+INDEX(D:D, ROW())))</f>
        <v/>
      </c>
      <c r="F3289" s="1" t="inlineStr">
        <is>
          <t>Array, Hash Table, Greedy, Prefix Sum</t>
        </is>
      </c>
      <c r="G3289" s="1" t="inlineStr">
        <is>
          <t>Hard</t>
        </is>
      </c>
      <c r="H3289" s="1" t="n">
        <v>2803</v>
      </c>
      <c r="I3289" s="1" t="n">
        <v>4321</v>
      </c>
      <c r="J3289" s="9" t="n">
        <v>0.649</v>
      </c>
      <c r="K3289" s="1" t="inlineStr">
        <is>
          <t>No</t>
        </is>
      </c>
      <c r="L3289" s="1" t="inlineStr">
        <is>
          <t>No</t>
        </is>
      </c>
      <c r="M3289" s="1" t="inlineStr">
        <is>
          <t>No</t>
        </is>
      </c>
      <c r="N3289" s="1" t="inlineStr">
        <is>
          <t>Algorithms</t>
        </is>
      </c>
      <c r="O32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89" s="11" t="inlineStr">
        <is>
          <t>To Do</t>
        </is>
      </c>
    </row>
    <row r="3290" ht="15.75" customHeight="1" s="12">
      <c r="A3290" s="1" t="n">
        <v>3638</v>
      </c>
      <c r="B3290" s="3">
        <f>HYPERLINK("https://leetcode.com/problems/maximum-balanced-shipments/", "Maximum Balanced Shipments")</f>
        <v/>
      </c>
      <c r="C3290" s="1" t="n">
        <v>82</v>
      </c>
      <c r="D3290" s="1" t="n">
        <v>11</v>
      </c>
      <c r="E3290" s="4">
        <f>IF(INDEX(C:C, ROW())+INDEX(D:D, ROW())=0, 0, INDEX(C:C, ROW())/(INDEX(C:C, ROW())+INDEX(D:D, ROW())))</f>
        <v/>
      </c>
      <c r="F3290" s="1" t="inlineStr">
        <is>
          <t>Array, Dynamic Programming, Stack, Greedy, Monotonic Stack</t>
        </is>
      </c>
      <c r="G3290" s="1" t="inlineStr">
        <is>
          <t>Medium</t>
        </is>
      </c>
      <c r="H3290" s="1" t="n">
        <v>52789</v>
      </c>
      <c r="I3290" s="1" t="n">
        <v>85970</v>
      </c>
      <c r="J3290" s="9" t="n">
        <v>0.614</v>
      </c>
      <c r="K3290" s="1" t="inlineStr">
        <is>
          <t>Yes</t>
        </is>
      </c>
      <c r="L3290" s="1" t="inlineStr">
        <is>
          <t>No</t>
        </is>
      </c>
      <c r="M3290" s="1" t="inlineStr">
        <is>
          <t>No</t>
        </is>
      </c>
      <c r="N3290" s="1" t="inlineStr">
        <is>
          <t>Algorithms</t>
        </is>
      </c>
      <c r="O32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90" s="11" t="inlineStr">
        <is>
          <t>To Do</t>
        </is>
      </c>
    </row>
    <row r="3291" ht="15.75" customHeight="1" s="12">
      <c r="A3291" s="1" t="n">
        <v>3677</v>
      </c>
      <c r="B3291" s="3">
        <f>HYPERLINK("https://leetcode.com/problems/count-binary-palindromic-numbers/", "Count Binary Palindromic Numbers")</f>
        <v/>
      </c>
      <c r="C3291" s="1" t="n">
        <v>82</v>
      </c>
      <c r="D3291" s="1" t="n">
        <v>3</v>
      </c>
      <c r="E3291" s="4">
        <f>IF(INDEX(C:C, ROW())+INDEX(D:D, ROW())=0, 0, INDEX(C:C, ROW())/(INDEX(C:C, ROW())+INDEX(D:D, ROW())))</f>
        <v/>
      </c>
      <c r="F3291" s="1" t="inlineStr">
        <is>
          <t>Math, Bit Manipulation</t>
        </is>
      </c>
      <c r="G3291" s="1" t="inlineStr">
        <is>
          <t>Hard</t>
        </is>
      </c>
      <c r="H3291" s="1" t="n">
        <v>16045</v>
      </c>
      <c r="I3291" s="1" t="n">
        <v>47477</v>
      </c>
      <c r="J3291" s="9" t="n">
        <v>0.338</v>
      </c>
      <c r="K3291" s="1" t="inlineStr">
        <is>
          <t>Yes</t>
        </is>
      </c>
      <c r="L3291" s="1" t="inlineStr">
        <is>
          <t>No</t>
        </is>
      </c>
      <c r="M3291" s="1" t="inlineStr">
        <is>
          <t>No</t>
        </is>
      </c>
      <c r="N3291" s="1" t="inlineStr">
        <is>
          <t>Algorithms</t>
        </is>
      </c>
      <c r="O32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91" s="11" t="inlineStr">
        <is>
          <t>To Do</t>
        </is>
      </c>
    </row>
    <row r="3292" ht="15.75" customHeight="1" s="12">
      <c r="A3292" s="1" t="n">
        <v>3796</v>
      </c>
      <c r="B3292" s="3">
        <f>HYPERLINK("https://leetcode.com/problems/find-maximum-value-in-a-constrained-sequence/", "Find Maximum Value in a Constrained Sequence")</f>
        <v/>
      </c>
      <c r="C3292" s="1" t="n">
        <v>82</v>
      </c>
      <c r="D3292" s="1" t="n">
        <v>10</v>
      </c>
      <c r="E3292" s="4">
        <f>IF(INDEX(C:C, ROW())+INDEX(D:D, ROW())=0, 0, INDEX(C:C, ROW())/(INDEX(C:C, ROW())+INDEX(D:D, ROW())))</f>
        <v/>
      </c>
      <c r="F3292" s="1" t="inlineStr">
        <is>
          <t>Array, Greedy</t>
        </is>
      </c>
      <c r="G3292" s="1" t="inlineStr">
        <is>
          <t>Medium</t>
        </is>
      </c>
      <c r="H3292" s="1" t="n">
        <v>13353</v>
      </c>
      <c r="I3292" s="1" t="n">
        <v>21510</v>
      </c>
      <c r="J3292" s="9" t="n">
        <v>0.621</v>
      </c>
      <c r="K3292" s="1" t="inlineStr">
        <is>
          <t>Yes</t>
        </is>
      </c>
      <c r="L3292" s="1" t="inlineStr">
        <is>
          <t>No</t>
        </is>
      </c>
      <c r="M3292" s="1" t="inlineStr">
        <is>
          <t>No</t>
        </is>
      </c>
      <c r="N3292" s="1" t="inlineStr">
        <is>
          <t>Algorithms</t>
        </is>
      </c>
      <c r="O32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92" s="11" t="inlineStr">
        <is>
          <t>To Do</t>
        </is>
      </c>
    </row>
    <row r="3293" ht="15.75" customHeight="1" s="12">
      <c r="A3293" s="1" t="n">
        <v>1966</v>
      </c>
      <c r="B3293" s="3">
        <f>HYPERLINK("https://leetcode.com/problems/binary-searchable-numbers-in-an-unsorted-array/", "Binary Searchable Numbers in an Unsorted Array")</f>
        <v/>
      </c>
      <c r="C3293" s="1" t="n">
        <v>81</v>
      </c>
      <c r="D3293" s="1" t="n">
        <v>13</v>
      </c>
      <c r="E3293" s="4">
        <f>IF(INDEX(C:C, ROW())+INDEX(D:D, ROW())=0, 0, INDEX(C:C, ROW())/(INDEX(C:C, ROW())+INDEX(D:D, ROW())))</f>
        <v/>
      </c>
      <c r="F3293" s="1" t="inlineStr">
        <is>
          <t>Array, Binary Search, Stack, Monotonic Stack</t>
        </is>
      </c>
      <c r="G3293" s="1" t="inlineStr">
        <is>
          <t>Medium</t>
        </is>
      </c>
      <c r="H3293" s="1" t="n">
        <v>3941</v>
      </c>
      <c r="I3293" s="1" t="n">
        <v>6192</v>
      </c>
      <c r="J3293" s="9" t="n">
        <v>0.636</v>
      </c>
      <c r="K3293" s="1" t="inlineStr">
        <is>
          <t>No</t>
        </is>
      </c>
      <c r="L3293" s="1" t="inlineStr">
        <is>
          <t>No</t>
        </is>
      </c>
      <c r="M3293" s="1" t="inlineStr">
        <is>
          <t>No</t>
        </is>
      </c>
      <c r="N3293" s="1" t="inlineStr">
        <is>
          <t>Algorithms</t>
        </is>
      </c>
      <c r="O32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93" s="11" t="inlineStr">
        <is>
          <t>To Do</t>
        </is>
      </c>
    </row>
    <row r="3294" ht="15.75" customHeight="1" s="12">
      <c r="A3294" s="1" t="n">
        <v>2408</v>
      </c>
      <c r="B3294" s="3">
        <f>HYPERLINK("https://leetcode.com/problems/design-sql/", "Design SQL")</f>
        <v/>
      </c>
      <c r="C3294" s="1" t="n">
        <v>81</v>
      </c>
      <c r="D3294" s="1" t="n">
        <v>107</v>
      </c>
      <c r="E3294" s="4">
        <f>IF(INDEX(C:C, ROW())+INDEX(D:D, ROW())=0, 0, INDEX(C:C, ROW())/(INDEX(C:C, ROW())+INDEX(D:D, ROW())))</f>
        <v/>
      </c>
      <c r="F3294" s="1" t="inlineStr">
        <is>
          <t>Array, Hash Table, String, Design</t>
        </is>
      </c>
      <c r="G3294" s="1" t="inlineStr">
        <is>
          <t>Medium</t>
        </is>
      </c>
      <c r="H3294" s="1" t="n">
        <v>20845</v>
      </c>
      <c r="I3294" s="1" t="n">
        <v>32375</v>
      </c>
      <c r="J3294" s="9" t="n">
        <v>0.644</v>
      </c>
      <c r="K3294" s="1" t="inlineStr">
        <is>
          <t>No</t>
        </is>
      </c>
      <c r="L3294" s="1" t="inlineStr">
        <is>
          <t>No</t>
        </is>
      </c>
      <c r="M3294" s="1" t="inlineStr">
        <is>
          <t>No</t>
        </is>
      </c>
      <c r="N3294" s="1" t="inlineStr">
        <is>
          <t>Algorithms</t>
        </is>
      </c>
      <c r="O32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94" s="11" t="inlineStr">
        <is>
          <t>To Do</t>
        </is>
      </c>
    </row>
    <row r="3295" ht="15.75" customHeight="1" s="12">
      <c r="A3295" s="1" t="n">
        <v>2445</v>
      </c>
      <c r="B3295" s="3">
        <f>HYPERLINK("https://leetcode.com/problems/number-of-nodes-with-value-one/", "Number of Nodes With Value One")</f>
        <v/>
      </c>
      <c r="C3295" s="1" t="n">
        <v>81</v>
      </c>
      <c r="D3295" s="1" t="n">
        <v>10</v>
      </c>
      <c r="E3295" s="4">
        <f>IF(INDEX(C:C, ROW())+INDEX(D:D, ROW())=0, 0, INDEX(C:C, ROW())/(INDEX(C:C, ROW())+INDEX(D:D, ROW())))</f>
        <v/>
      </c>
      <c r="F3295" s="1" t="inlineStr">
        <is>
          <t>Array, Tree, Depth-First Search, Breadth-First Search, Binary Tree</t>
        </is>
      </c>
      <c r="G3295" s="1" t="inlineStr">
        <is>
          <t>Medium</t>
        </is>
      </c>
      <c r="H3295" s="1" t="n">
        <v>2933</v>
      </c>
      <c r="I3295" s="1" t="n">
        <v>4441</v>
      </c>
      <c r="J3295" s="9" t="n">
        <v>0.66</v>
      </c>
      <c r="K3295" s="1" t="inlineStr">
        <is>
          <t>No</t>
        </is>
      </c>
      <c r="L3295" s="1" t="inlineStr">
        <is>
          <t>No</t>
        </is>
      </c>
      <c r="M3295" s="1" t="inlineStr">
        <is>
          <t>No</t>
        </is>
      </c>
      <c r="N3295" s="1" t="inlineStr">
        <is>
          <t>Algorithms</t>
        </is>
      </c>
      <c r="O32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95" s="11" t="inlineStr">
        <is>
          <t>To Do</t>
        </is>
      </c>
    </row>
    <row r="3296" ht="15.75" customHeight="1" s="12">
      <c r="A3296" s="1" t="n">
        <v>3267</v>
      </c>
      <c r="B3296" s="3">
        <f>HYPERLINK("https://leetcode.com/problems/count-almost-equal-pairs-ii/", "Count Almost Equal Pairs II")</f>
        <v/>
      </c>
      <c r="C3296" s="1" t="n">
        <v>81</v>
      </c>
      <c r="D3296" s="1" t="n">
        <v>24</v>
      </c>
      <c r="E3296" s="4">
        <f>IF(INDEX(C:C, ROW())+INDEX(D:D, ROW())=0, 0, INDEX(C:C, ROW())/(INDEX(C:C, ROW())+INDEX(D:D, ROW())))</f>
        <v/>
      </c>
      <c r="F3296" s="1" t="inlineStr">
        <is>
          <t>Array, Hash Table, Sorting, Counting, Enumeration</t>
        </is>
      </c>
      <c r="G3296" s="1" t="inlineStr">
        <is>
          <t>Hard</t>
        </is>
      </c>
      <c r="H3296" s="1" t="n">
        <v>9266</v>
      </c>
      <c r="I3296" s="1" t="n">
        <v>34050</v>
      </c>
      <c r="J3296" s="9" t="n">
        <v>0.272</v>
      </c>
      <c r="K3296" s="1" t="inlineStr">
        <is>
          <t>Yes</t>
        </is>
      </c>
      <c r="L3296" s="1" t="inlineStr">
        <is>
          <t>No</t>
        </is>
      </c>
      <c r="M3296" s="1" t="inlineStr">
        <is>
          <t>No</t>
        </is>
      </c>
      <c r="N3296" s="1" t="inlineStr">
        <is>
          <t>Algorithms</t>
        </is>
      </c>
      <c r="O32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96" s="11" t="inlineStr">
        <is>
          <t>To Do</t>
        </is>
      </c>
    </row>
    <row r="3297" ht="15.75" customHeight="1" s="12">
      <c r="A3297" s="1" t="n">
        <v>3311</v>
      </c>
      <c r="B3297" s="3">
        <f>HYPERLINK("https://leetcode.com/problems/construct-2d-grid-matching-graph-layout/", "Construct 2D Grid Matching Graph Layout")</f>
        <v/>
      </c>
      <c r="C3297" s="1" t="n">
        <v>81</v>
      </c>
      <c r="D3297" s="1" t="n">
        <v>12</v>
      </c>
      <c r="E3297" s="4">
        <f>IF(INDEX(C:C, ROW())+INDEX(D:D, ROW())=0, 0, INDEX(C:C, ROW())/(INDEX(C:C, ROW())+INDEX(D:D, ROW())))</f>
        <v/>
      </c>
      <c r="F3297" s="1" t="inlineStr">
        <is>
          <t>Array, Hash Table, Graph Theory, Matrix</t>
        </is>
      </c>
      <c r="G3297" s="1" t="inlineStr">
        <is>
          <t>Hard</t>
        </is>
      </c>
      <c r="H3297" s="1" t="n">
        <v>4573</v>
      </c>
      <c r="I3297" s="1" t="n">
        <v>15389</v>
      </c>
      <c r="J3297" s="9" t="n">
        <v>0.297</v>
      </c>
      <c r="K3297" s="1" t="inlineStr">
        <is>
          <t>Yes</t>
        </is>
      </c>
      <c r="L3297" s="1" t="inlineStr">
        <is>
          <t>No</t>
        </is>
      </c>
      <c r="M3297" s="1" t="inlineStr">
        <is>
          <t>No</t>
        </is>
      </c>
      <c r="N3297" s="1" t="inlineStr">
        <is>
          <t>Algorithms</t>
        </is>
      </c>
      <c r="O32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97" s="11" t="inlineStr">
        <is>
          <t>To Do</t>
        </is>
      </c>
    </row>
    <row r="3298" ht="15.75" customHeight="1" s="12">
      <c r="A3298" s="1" t="n">
        <v>3452</v>
      </c>
      <c r="B3298" s="3">
        <f>HYPERLINK("https://leetcode.com/problems/sum-of-good-numbers/", "Sum of Good Numbers")</f>
        <v/>
      </c>
      <c r="C3298" s="1" t="n">
        <v>81</v>
      </c>
      <c r="D3298" s="1" t="n">
        <v>31</v>
      </c>
      <c r="E3298" s="4">
        <f>IF(INDEX(C:C, ROW())+INDEX(D:D, ROW())=0, 0, INDEX(C:C, ROW())/(INDEX(C:C, ROW())+INDEX(D:D, ROW())))</f>
        <v/>
      </c>
      <c r="F3298" s="1" t="inlineStr">
        <is>
          <t>Array</t>
        </is>
      </c>
      <c r="G3298" s="1" t="inlineStr">
        <is>
          <t>Easy</t>
        </is>
      </c>
      <c r="H3298" s="1" t="n">
        <v>52790</v>
      </c>
      <c r="I3298" s="1" t="n">
        <v>75739</v>
      </c>
      <c r="J3298" s="9" t="n">
        <v>0.697</v>
      </c>
      <c r="K3298" s="1" t="inlineStr">
        <is>
          <t>Yes</t>
        </is>
      </c>
      <c r="L3298" s="1" t="inlineStr">
        <is>
          <t>No</t>
        </is>
      </c>
      <c r="M3298" s="1" t="inlineStr">
        <is>
          <t>No</t>
        </is>
      </c>
      <c r="N3298" s="1" t="inlineStr">
        <is>
          <t>Algorithms</t>
        </is>
      </c>
      <c r="O32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98" s="13" t="inlineStr">
        <is>
          <t>Done</t>
        </is>
      </c>
    </row>
    <row r="3299" ht="15.75" customHeight="1" s="12">
      <c r="A3299" s="1" t="n">
        <v>3627</v>
      </c>
      <c r="B3299" s="3">
        <f>HYPERLINK("https://leetcode.com/problems/maximum-median-sum-of-subsequences-of-size-3/", "Maximum Median Sum of Subsequences of Size 3")</f>
        <v/>
      </c>
      <c r="C3299" s="1" t="n">
        <v>81</v>
      </c>
      <c r="D3299" s="1" t="n">
        <v>3</v>
      </c>
      <c r="E3299" s="4">
        <f>IF(INDEX(C:C, ROW())+INDEX(D:D, ROW())=0, 0, INDEX(C:C, ROW())/(INDEX(C:C, ROW())+INDEX(D:D, ROW())))</f>
        <v/>
      </c>
      <c r="F3299" s="1" t="inlineStr">
        <is>
          <t>Array, Math, Greedy, Sorting, Game Theory</t>
        </is>
      </c>
      <c r="G3299" s="1" t="inlineStr">
        <is>
          <t>Medium</t>
        </is>
      </c>
      <c r="H3299" s="1" t="n">
        <v>63061</v>
      </c>
      <c r="I3299" s="1" t="n">
        <v>96877</v>
      </c>
      <c r="J3299" s="9" t="n">
        <v>0.651</v>
      </c>
      <c r="K3299" s="1" t="inlineStr">
        <is>
          <t>Yes</t>
        </is>
      </c>
      <c r="L3299" s="1" t="inlineStr">
        <is>
          <t>No</t>
        </is>
      </c>
      <c r="M3299" s="1" t="inlineStr">
        <is>
          <t>No</t>
        </is>
      </c>
      <c r="N3299" s="1" t="inlineStr">
        <is>
          <t>Algorithms</t>
        </is>
      </c>
      <c r="O32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299" s="11" t="inlineStr">
        <is>
          <t>To Do</t>
        </is>
      </c>
    </row>
    <row r="3300" ht="15.75" customHeight="1" s="12">
      <c r="A3300" s="1" t="n">
        <v>3645</v>
      </c>
      <c r="B3300" s="3">
        <f>HYPERLINK("https://leetcode.com/problems/maximum-total-from-optimal-activation-order/", "Maximum Total from Optimal Activation Order")</f>
        <v/>
      </c>
      <c r="C3300" s="1" t="n">
        <v>81</v>
      </c>
      <c r="D3300" s="1" t="n">
        <v>52</v>
      </c>
      <c r="E3300" s="4">
        <f>IF(INDEX(C:C, ROW())+INDEX(D:D, ROW())=0, 0, INDEX(C:C, ROW())/(INDEX(C:C, ROW())+INDEX(D:D, ROW())))</f>
        <v/>
      </c>
      <c r="F3300" s="1" t="inlineStr">
        <is>
          <t>Array, Two Pointers, Greedy, Sorting, Heap (Priority Queue)</t>
        </is>
      </c>
      <c r="G3300" s="1" t="inlineStr">
        <is>
          <t>Medium</t>
        </is>
      </c>
      <c r="H3300" s="1" t="n">
        <v>17820</v>
      </c>
      <c r="I3300" s="1" t="n">
        <v>53580</v>
      </c>
      <c r="J3300" s="9" t="n">
        <v>0.333</v>
      </c>
      <c r="K3300" s="1" t="inlineStr">
        <is>
          <t>Yes</t>
        </is>
      </c>
      <c r="L3300" s="1" t="inlineStr">
        <is>
          <t>No</t>
        </is>
      </c>
      <c r="M3300" s="1" t="inlineStr">
        <is>
          <t>No</t>
        </is>
      </c>
      <c r="N3300" s="1" t="inlineStr">
        <is>
          <t>Algorithms</t>
        </is>
      </c>
      <c r="O33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00" s="11" t="inlineStr">
        <is>
          <t>To Do</t>
        </is>
      </c>
    </row>
    <row r="3301" ht="15.75" customHeight="1" s="12">
      <c r="A3301" s="1" t="n">
        <v>3691</v>
      </c>
      <c r="B3301" s="3">
        <f>HYPERLINK("https://leetcode.com/problems/maximum-total-subarray-value-ii/", "Maximum Total Subarray Value II")</f>
        <v/>
      </c>
      <c r="C3301" s="1" t="n">
        <v>81</v>
      </c>
      <c r="D3301" s="1" t="n">
        <v>4</v>
      </c>
      <c r="E3301" s="4">
        <f>IF(INDEX(C:C, ROW())+INDEX(D:D, ROW())=0, 0, INDEX(C:C, ROW())/(INDEX(C:C, ROW())+INDEX(D:D, ROW())))</f>
        <v/>
      </c>
      <c r="F3301" s="1" t="inlineStr">
        <is>
          <t>Array, Greedy, Segment Tree, Heap (Priority Queue)</t>
        </is>
      </c>
      <c r="G3301" s="1" t="inlineStr">
        <is>
          <t>Hard</t>
        </is>
      </c>
      <c r="H3301" s="1" t="n">
        <v>12053</v>
      </c>
      <c r="I3301" s="1" t="n">
        <v>53922</v>
      </c>
      <c r="J3301" s="9" t="n">
        <v>0.224</v>
      </c>
      <c r="K3301" s="1" t="inlineStr">
        <is>
          <t>Yes</t>
        </is>
      </c>
      <c r="L3301" s="1" t="inlineStr">
        <is>
          <t>No</t>
        </is>
      </c>
      <c r="M3301" s="1" t="inlineStr">
        <is>
          <t>No</t>
        </is>
      </c>
      <c r="N3301" s="1" t="inlineStr">
        <is>
          <t>Algorithms</t>
        </is>
      </c>
      <c r="O33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01" s="11" t="inlineStr">
        <is>
          <t>To Do</t>
        </is>
      </c>
    </row>
    <row r="3302" ht="15.75" customHeight="1" s="12">
      <c r="A3302" s="1" t="n">
        <v>3760</v>
      </c>
      <c r="B3302" s="3">
        <f>HYPERLINK("https://leetcode.com/problems/maximum-substrings-with-distinct-start/", "Maximum Substrings With Distinct Start")</f>
        <v/>
      </c>
      <c r="C3302" s="1" t="n">
        <v>81</v>
      </c>
      <c r="D3302" s="1" t="n">
        <v>16</v>
      </c>
      <c r="E3302" s="4">
        <f>IF(INDEX(C:C, ROW())+INDEX(D:D, ROW())=0, 0, INDEX(C:C, ROW())/(INDEX(C:C, ROW())+INDEX(D:D, ROW())))</f>
        <v/>
      </c>
      <c r="F3302" s="1" t="inlineStr">
        <is>
          <t>Hash Table, String</t>
        </is>
      </c>
      <c r="G3302" s="1" t="inlineStr">
        <is>
          <t>Medium</t>
        </is>
      </c>
      <c r="H3302" s="1" t="n">
        <v>55855</v>
      </c>
      <c r="I3302" s="1" t="n">
        <v>61103</v>
      </c>
      <c r="J3302" s="9" t="n">
        <v>0.914</v>
      </c>
      <c r="K3302" s="1" t="inlineStr">
        <is>
          <t>Yes</t>
        </is>
      </c>
      <c r="L3302" s="1" t="inlineStr">
        <is>
          <t>No</t>
        </is>
      </c>
      <c r="M3302" s="1" t="inlineStr">
        <is>
          <t>No</t>
        </is>
      </c>
      <c r="N3302" s="1" t="inlineStr">
        <is>
          <t>Algorithms</t>
        </is>
      </c>
      <c r="O33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02" s="11" t="inlineStr">
        <is>
          <t>To Do</t>
        </is>
      </c>
    </row>
    <row r="3303" ht="15.75" customHeight="1" s="12">
      <c r="A3303" s="1" t="n">
        <v>555</v>
      </c>
      <c r="B3303" s="3">
        <f>HYPERLINK("https://leetcode.com/problems/split-concatenated-strings/", "Split Concatenated Strings")</f>
        <v/>
      </c>
      <c r="C3303" s="1" t="n">
        <v>80</v>
      </c>
      <c r="D3303" s="1" t="n">
        <v>265</v>
      </c>
      <c r="E3303" s="4">
        <f>IF(INDEX(C:C, ROW())+INDEX(D:D, ROW())=0, 0, INDEX(C:C, ROW())/(INDEX(C:C, ROW())+INDEX(D:D, ROW())))</f>
        <v/>
      </c>
      <c r="F3303" s="1" t="inlineStr">
        <is>
          <t>Array, String, Greedy</t>
        </is>
      </c>
      <c r="G3303" s="1" t="inlineStr">
        <is>
          <t>Medium</t>
        </is>
      </c>
      <c r="H3303" s="1" t="n">
        <v>7550</v>
      </c>
      <c r="I3303" s="1" t="n">
        <v>17335</v>
      </c>
      <c r="J3303" s="9" t="n">
        <v>0.436</v>
      </c>
      <c r="K3303" s="1" t="inlineStr">
        <is>
          <t>No</t>
        </is>
      </c>
      <c r="L3303" s="1" t="inlineStr">
        <is>
          <t>No</t>
        </is>
      </c>
      <c r="M3303" s="1" t="inlineStr">
        <is>
          <t>No</t>
        </is>
      </c>
      <c r="N3303" s="1" t="inlineStr">
        <is>
          <t>Algorithms</t>
        </is>
      </c>
      <c r="O33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03" s="11" t="inlineStr">
        <is>
          <t>To Do</t>
        </is>
      </c>
    </row>
    <row r="3304" ht="15.75" customHeight="1" s="12">
      <c r="A3304" s="1" t="n">
        <v>1271</v>
      </c>
      <c r="B3304" s="3">
        <f>HYPERLINK("https://leetcode.com/problems/hexspeak/", "Hexspeak")</f>
        <v/>
      </c>
      <c r="C3304" s="1" t="n">
        <v>80</v>
      </c>
      <c r="D3304" s="1" t="n">
        <v>127</v>
      </c>
      <c r="E3304" s="4">
        <f>IF(INDEX(C:C, ROW())+INDEX(D:D, ROW())=0, 0, INDEX(C:C, ROW())/(INDEX(C:C, ROW())+INDEX(D:D, ROW())))</f>
        <v/>
      </c>
      <c r="F3304" s="1" t="inlineStr">
        <is>
          <t>Math, String</t>
        </is>
      </c>
      <c r="G3304" s="1" t="inlineStr">
        <is>
          <t>Easy</t>
        </is>
      </c>
      <c r="H3304" s="1" t="n">
        <v>13118</v>
      </c>
      <c r="I3304" s="1" t="n">
        <v>22477</v>
      </c>
      <c r="J3304" s="9" t="n">
        <v>0.584</v>
      </c>
      <c r="K3304" s="1" t="inlineStr">
        <is>
          <t>No</t>
        </is>
      </c>
      <c r="L3304" s="1" t="inlineStr">
        <is>
          <t>No</t>
        </is>
      </c>
      <c r="M3304" s="1" t="inlineStr">
        <is>
          <t>No</t>
        </is>
      </c>
      <c r="N3304" s="1" t="inlineStr">
        <is>
          <t>Algorithms</t>
        </is>
      </c>
      <c r="O33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04" s="11" t="inlineStr">
        <is>
          <t>To Do</t>
        </is>
      </c>
    </row>
    <row r="3305" ht="15.75" customHeight="1" s="12">
      <c r="A3305" s="1" t="n">
        <v>2832</v>
      </c>
      <c r="B3305" s="3">
        <f>HYPERLINK("https://leetcode.com/problems/maximal-range-that-each-element-is-maximum-in-it/", "Maximal Range That Each Element Is Maximum in It")</f>
        <v/>
      </c>
      <c r="C3305" s="1" t="n">
        <v>80</v>
      </c>
      <c r="D3305" s="1" t="n">
        <v>8</v>
      </c>
      <c r="E3305" s="4">
        <f>IF(INDEX(C:C, ROW())+INDEX(D:D, ROW())=0, 0, INDEX(C:C, ROW())/(INDEX(C:C, ROW())+INDEX(D:D, ROW())))</f>
        <v/>
      </c>
      <c r="F3305" s="1" t="inlineStr">
        <is>
          <t>Array, Stack, Monotonic Stack</t>
        </is>
      </c>
      <c r="G3305" s="1" t="inlineStr">
        <is>
          <t>Medium</t>
        </is>
      </c>
      <c r="H3305" s="1" t="n">
        <v>6414</v>
      </c>
      <c r="I3305" s="1" t="n">
        <v>8507</v>
      </c>
      <c r="J3305" s="9" t="n">
        <v>0.754</v>
      </c>
      <c r="K3305" s="1" t="inlineStr">
        <is>
          <t>No</t>
        </is>
      </c>
      <c r="L3305" s="1" t="inlineStr">
        <is>
          <t>Yes</t>
        </is>
      </c>
      <c r="M3305" s="1" t="inlineStr">
        <is>
          <t>No</t>
        </is>
      </c>
      <c r="N3305" s="1" t="inlineStr">
        <is>
          <t>Algorithms</t>
        </is>
      </c>
      <c r="O33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05" s="11" t="inlineStr">
        <is>
          <t>To Do</t>
        </is>
      </c>
    </row>
    <row r="3306" ht="15.75" customHeight="1" s="12">
      <c r="A3306" s="1" t="n">
        <v>3380</v>
      </c>
      <c r="B3306" s="3">
        <f>HYPERLINK("https://leetcode.com/problems/maximum-area-rectangle-with-point-constraints-i/", "Maximum Area Rectangle With Point Constraints I")</f>
        <v/>
      </c>
      <c r="C3306" s="1" t="n">
        <v>80</v>
      </c>
      <c r="D3306" s="1" t="n">
        <v>20</v>
      </c>
      <c r="E3306" s="4">
        <f>IF(INDEX(C:C, ROW())+INDEX(D:D, ROW())=0, 0, INDEX(C:C, ROW())/(INDEX(C:C, ROW())+INDEX(D:D, ROW())))</f>
        <v/>
      </c>
      <c r="F3306" s="1" t="inlineStr">
        <is>
          <t>Array, Math, Binary Indexed Tree, Segment Tree, Geometry, Sorting, Enumeration</t>
        </is>
      </c>
      <c r="G3306" s="1" t="inlineStr">
        <is>
          <t>Medium</t>
        </is>
      </c>
      <c r="H3306" s="1" t="n">
        <v>16070</v>
      </c>
      <c r="I3306" s="1" t="n">
        <v>31089</v>
      </c>
      <c r="J3306" s="9" t="n">
        <v>0.517</v>
      </c>
      <c r="K3306" s="1" t="inlineStr">
        <is>
          <t>Yes</t>
        </is>
      </c>
      <c r="L3306" s="1" t="inlineStr">
        <is>
          <t>No</t>
        </is>
      </c>
      <c r="M3306" s="1" t="inlineStr">
        <is>
          <t>No</t>
        </is>
      </c>
      <c r="N3306" s="1" t="inlineStr">
        <is>
          <t>Algorithms</t>
        </is>
      </c>
      <c r="O33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06" s="11" t="inlineStr">
        <is>
          <t>To Do</t>
        </is>
      </c>
    </row>
    <row r="3307" ht="15.75" customHeight="1" s="12">
      <c r="A3307" s="1" t="n">
        <v>3557</v>
      </c>
      <c r="B3307" s="3">
        <f>HYPERLINK("https://leetcode.com/problems/find-maximum-number-of-non-intersecting-substrings/", "Find Maximum Number of Non Intersecting Substrings")</f>
        <v/>
      </c>
      <c r="C3307" s="1" t="n">
        <v>80</v>
      </c>
      <c r="D3307" s="1" t="n">
        <v>3</v>
      </c>
      <c r="E3307" s="4">
        <f>IF(INDEX(C:C, ROW())+INDEX(D:D, ROW())=0, 0, INDEX(C:C, ROW())/(INDEX(C:C, ROW())+INDEX(D:D, ROW())))</f>
        <v/>
      </c>
      <c r="F3307" s="1" t="inlineStr">
        <is>
          <t>Hash Table, String, Dynamic Programming, Greedy</t>
        </is>
      </c>
      <c r="G3307" s="1" t="inlineStr">
        <is>
          <t>Medium</t>
        </is>
      </c>
      <c r="H3307" s="1" t="n">
        <v>16371</v>
      </c>
      <c r="I3307" s="1" t="n">
        <v>53315</v>
      </c>
      <c r="J3307" s="9" t="n">
        <v>0.307</v>
      </c>
      <c r="K3307" s="1" t="inlineStr">
        <is>
          <t>Yes</t>
        </is>
      </c>
      <c r="L3307" s="1" t="inlineStr">
        <is>
          <t>No</t>
        </is>
      </c>
      <c r="M3307" s="1" t="inlineStr">
        <is>
          <t>No</t>
        </is>
      </c>
      <c r="N3307" s="1" t="inlineStr">
        <is>
          <t>Algorithms</t>
        </is>
      </c>
      <c r="O33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07" s="11" t="inlineStr">
        <is>
          <t>To Do</t>
        </is>
      </c>
    </row>
    <row r="3308" ht="15.75" customHeight="1" s="12">
      <c r="A3308" s="1" t="n">
        <v>3710</v>
      </c>
      <c r="B3308" s="3">
        <f>HYPERLINK("https://leetcode.com/problems/maximum-partition-factor/", "Maximum Partition Factor")</f>
        <v/>
      </c>
      <c r="C3308" s="1" t="n">
        <v>80</v>
      </c>
      <c r="D3308" s="1" t="n">
        <v>7</v>
      </c>
      <c r="E3308" s="4">
        <f>IF(INDEX(C:C, ROW())+INDEX(D:D, ROW())=0, 0, INDEX(C:C, ROW())/(INDEX(C:C, ROW())+INDEX(D:D, ROW())))</f>
        <v/>
      </c>
      <c r="F3308" s="1" t="inlineStr">
        <is>
          <t>Array, Binary Search, Depth-First Search, Breadth-First Search, Union-Find, Graph Theory</t>
        </is>
      </c>
      <c r="G3308" s="1" t="inlineStr">
        <is>
          <t>Hard</t>
        </is>
      </c>
      <c r="H3308" s="1" t="n">
        <v>6894</v>
      </c>
      <c r="I3308" s="1" t="n">
        <v>21782</v>
      </c>
      <c r="J3308" s="9" t="n">
        <v>0.316</v>
      </c>
      <c r="K3308" s="1" t="inlineStr">
        <is>
          <t>Yes</t>
        </is>
      </c>
      <c r="L3308" s="1" t="inlineStr">
        <is>
          <t>No</t>
        </is>
      </c>
      <c r="M3308" s="1" t="inlineStr">
        <is>
          <t>No</t>
        </is>
      </c>
      <c r="N3308" s="1" t="inlineStr">
        <is>
          <t>Algorithms</t>
        </is>
      </c>
      <c r="O33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08" s="11" t="inlineStr">
        <is>
          <t>To Do</t>
        </is>
      </c>
    </row>
    <row r="3309" ht="15.75" customHeight="1" s="12">
      <c r="A3309" s="1" t="n">
        <v>3731</v>
      </c>
      <c r="B3309" s="3">
        <f>HYPERLINK("https://leetcode.com/problems/find-missing-elements/", "Find Missing Elements")</f>
        <v/>
      </c>
      <c r="C3309" s="1" t="n">
        <v>80</v>
      </c>
      <c r="D3309" s="1" t="n">
        <v>4</v>
      </c>
      <c r="E3309" s="4">
        <f>IF(INDEX(C:C, ROW())+INDEX(D:D, ROW())=0, 0, INDEX(C:C, ROW())/(INDEX(C:C, ROW())+INDEX(D:D, ROW())))</f>
        <v/>
      </c>
      <c r="F3309" s="1" t="inlineStr">
        <is>
          <t>Array, Hash Table, Sorting</t>
        </is>
      </c>
      <c r="G3309" s="1" t="inlineStr">
        <is>
          <t>Easy</t>
        </is>
      </c>
      <c r="H3309" s="1" t="n">
        <v>64483</v>
      </c>
      <c r="I3309" s="1" t="n">
        <v>77633</v>
      </c>
      <c r="J3309" s="9" t="n">
        <v>0.831</v>
      </c>
      <c r="K3309" s="1" t="inlineStr">
        <is>
          <t>Yes</t>
        </is>
      </c>
      <c r="L3309" s="1" t="inlineStr">
        <is>
          <t>No</t>
        </is>
      </c>
      <c r="M3309" s="1" t="inlineStr">
        <is>
          <t>No</t>
        </is>
      </c>
      <c r="N3309" s="1" t="inlineStr">
        <is>
          <t>Algorithms</t>
        </is>
      </c>
      <c r="O33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09" s="13" t="inlineStr">
        <is>
          <t>Done</t>
        </is>
      </c>
    </row>
    <row r="3310" ht="15.75" customHeight="1" s="12">
      <c r="A3310" s="1" t="n">
        <v>3781</v>
      </c>
      <c r="B3310" s="3">
        <f>HYPERLINK("https://leetcode.com/problems/maximum-score-after-binary-swaps/", "Maximum Score After Binary Swaps")</f>
        <v/>
      </c>
      <c r="C3310" s="1" t="n">
        <v>80</v>
      </c>
      <c r="D3310" s="1" t="n">
        <v>2</v>
      </c>
      <c r="E3310" s="4">
        <f>IF(INDEX(C:C, ROW())+INDEX(D:D, ROW())=0, 0, INDEX(C:C, ROW())/(INDEX(C:C, ROW())+INDEX(D:D, ROW())))</f>
        <v/>
      </c>
      <c r="F3310" s="1" t="inlineStr">
        <is>
          <t>Array, String, Greedy, Heap (Priority Queue)</t>
        </is>
      </c>
      <c r="G3310" s="1" t="inlineStr">
        <is>
          <t>Medium</t>
        </is>
      </c>
      <c r="H3310" s="1" t="n">
        <v>14518</v>
      </c>
      <c r="I3310" s="1" t="n">
        <v>41275</v>
      </c>
      <c r="J3310" s="9" t="n">
        <v>0.352</v>
      </c>
      <c r="K3310" s="1" t="inlineStr">
        <is>
          <t>Yes</t>
        </is>
      </c>
      <c r="L3310" s="1" t="inlineStr">
        <is>
          <t>No</t>
        </is>
      </c>
      <c r="M3310" s="1" t="inlineStr">
        <is>
          <t>No</t>
        </is>
      </c>
      <c r="N3310" s="1" t="inlineStr">
        <is>
          <t>Algorithms</t>
        </is>
      </c>
      <c r="O33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10" s="11" t="inlineStr">
        <is>
          <t>To Do</t>
        </is>
      </c>
    </row>
    <row r="3311" ht="15.75" customHeight="1" s="12">
      <c r="A3311" s="1" t="n">
        <v>3840</v>
      </c>
      <c r="B3311" s="3">
        <f>HYPERLINK("https://leetcode.com/problems/house-robber-v/", "House Robber V")</f>
        <v/>
      </c>
      <c r="C3311" s="1" t="n">
        <v>80</v>
      </c>
      <c r="D3311" s="1" t="n">
        <v>2</v>
      </c>
      <c r="E3311" s="4">
        <f>IF(INDEX(C:C, ROW())+INDEX(D:D, ROW())=0, 0, INDEX(C:C, ROW())/(INDEX(C:C, ROW())+INDEX(D:D, ROW())))</f>
        <v/>
      </c>
      <c r="F3311" s="1" t="inlineStr">
        <is>
          <t>Array, Dynamic Programming</t>
        </is>
      </c>
      <c r="G3311" s="1" t="inlineStr">
        <is>
          <t>Medium</t>
        </is>
      </c>
      <c r="H3311" s="1" t="n">
        <v>31172</v>
      </c>
      <c r="I3311" s="1" t="n">
        <v>57805</v>
      </c>
      <c r="J3311" s="9" t="n">
        <v>0.539</v>
      </c>
      <c r="K3311" s="1" t="inlineStr">
        <is>
          <t>Yes</t>
        </is>
      </c>
      <c r="L3311" s="1" t="inlineStr">
        <is>
          <t>No</t>
        </is>
      </c>
      <c r="M3311" s="1" t="inlineStr">
        <is>
          <t>No</t>
        </is>
      </c>
      <c r="N3311" s="1" t="inlineStr">
        <is>
          <t>Algorithms</t>
        </is>
      </c>
      <c r="O33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11" s="11" t="inlineStr">
        <is>
          <t>To Do</t>
        </is>
      </c>
    </row>
    <row r="3312" ht="15.75" customHeight="1" s="12">
      <c r="A3312" s="1" t="n">
        <v>1867</v>
      </c>
      <c r="B3312" s="3">
        <f>HYPERLINK("https://leetcode.com/problems/orders-with-maximum-quantity-above-average/", "Orders With Maximum Quantity Above Average")</f>
        <v/>
      </c>
      <c r="C3312" s="1" t="n">
        <v>79</v>
      </c>
      <c r="D3312" s="1" t="n">
        <v>283</v>
      </c>
      <c r="E3312" s="4">
        <f>IF(INDEX(C:C, ROW())+INDEX(D:D, ROW())=0, 0, INDEX(C:C, ROW())/(INDEX(C:C, ROW())+INDEX(D:D, ROW())))</f>
        <v/>
      </c>
      <c r="F3312" s="1" t="inlineStr">
        <is>
          <t>Database</t>
        </is>
      </c>
      <c r="G3312" s="1" t="inlineStr">
        <is>
          <t>Medium</t>
        </is>
      </c>
      <c r="H3312" s="1" t="n">
        <v>19672</v>
      </c>
      <c r="I3312" s="1" t="n">
        <v>27850</v>
      </c>
      <c r="J3312" s="9" t="n">
        <v>0.706</v>
      </c>
      <c r="K3312" s="1" t="inlineStr">
        <is>
          <t>No</t>
        </is>
      </c>
      <c r="L3312" s="1" t="inlineStr">
        <is>
          <t>No</t>
        </is>
      </c>
      <c r="M3312" s="1" t="inlineStr">
        <is>
          <t>No</t>
        </is>
      </c>
      <c r="N3312" s="1" t="inlineStr">
        <is>
          <t>Database</t>
        </is>
      </c>
      <c r="O33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12" s="11" t="inlineStr">
        <is>
          <t>To Do</t>
        </is>
      </c>
    </row>
    <row r="3313" ht="15.75" customHeight="1" s="12">
      <c r="A3313" s="1" t="n">
        <v>2159</v>
      </c>
      <c r="B3313" s="3">
        <f>HYPERLINK("https://leetcode.com/problems/order-two-columns-independently/", "Order Two Columns Independently")</f>
        <v/>
      </c>
      <c r="C3313" s="1" t="n">
        <v>79</v>
      </c>
      <c r="D3313" s="1" t="n">
        <v>19</v>
      </c>
      <c r="E3313" s="4">
        <f>IF(INDEX(C:C, ROW())+INDEX(D:D, ROW())=0, 0, INDEX(C:C, ROW())/(INDEX(C:C, ROW())+INDEX(D:D, ROW())))</f>
        <v/>
      </c>
      <c r="F3313" s="1" t="inlineStr">
        <is>
          <t>Database</t>
        </is>
      </c>
      <c r="G3313" s="1" t="inlineStr">
        <is>
          <t>Medium</t>
        </is>
      </c>
      <c r="H3313" s="1" t="n">
        <v>10939</v>
      </c>
      <c r="I3313" s="1" t="n">
        <v>17712</v>
      </c>
      <c r="J3313" s="9" t="n">
        <v>0.618</v>
      </c>
      <c r="K3313" s="1" t="inlineStr">
        <is>
          <t>No</t>
        </is>
      </c>
      <c r="L3313" s="1" t="inlineStr">
        <is>
          <t>No</t>
        </is>
      </c>
      <c r="M3313" s="1" t="inlineStr">
        <is>
          <t>No</t>
        </is>
      </c>
      <c r="N3313" s="1" t="inlineStr">
        <is>
          <t>Database</t>
        </is>
      </c>
      <c r="O33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13" s="11" t="inlineStr">
        <is>
          <t>To Do</t>
        </is>
      </c>
    </row>
    <row r="3314" ht="15.75" customHeight="1" s="12">
      <c r="A3314" s="1" t="n">
        <v>3327</v>
      </c>
      <c r="B3314" s="3">
        <f>HYPERLINK("https://leetcode.com/problems/check-if-dfs-strings-are-palindromes/", "Check if DFS Strings Are Palindromes")</f>
        <v/>
      </c>
      <c r="C3314" s="1" t="n">
        <v>79</v>
      </c>
      <c r="D3314" s="1" t="n">
        <v>14</v>
      </c>
      <c r="E3314" s="4">
        <f>IF(INDEX(C:C, ROW())+INDEX(D:D, ROW())=0, 0, INDEX(C:C, ROW())/(INDEX(C:C, ROW())+INDEX(D:D, ROW())))</f>
        <v/>
      </c>
      <c r="F3314" s="1" t="inlineStr">
        <is>
          <t>Array, Hash Table, String, Tree, Depth-First Search, Hash Function</t>
        </is>
      </c>
      <c r="G3314" s="1" t="inlineStr">
        <is>
          <t>Hard</t>
        </is>
      </c>
      <c r="H3314" s="1" t="n">
        <v>6974</v>
      </c>
      <c r="I3314" s="1" t="n">
        <v>34036</v>
      </c>
      <c r="J3314" s="9" t="n">
        <v>0.205</v>
      </c>
      <c r="K3314" s="1" t="inlineStr">
        <is>
          <t>Yes</t>
        </is>
      </c>
      <c r="L3314" s="1" t="inlineStr">
        <is>
          <t>No</t>
        </is>
      </c>
      <c r="M3314" s="1" t="inlineStr">
        <is>
          <t>No</t>
        </is>
      </c>
      <c r="N3314" s="1" t="inlineStr">
        <is>
          <t>Algorithms</t>
        </is>
      </c>
      <c r="O33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14" s="11" t="inlineStr">
        <is>
          <t>To Do</t>
        </is>
      </c>
    </row>
    <row r="3315" ht="15.75" customHeight="1" s="12">
      <c r="A3315" s="1" t="n">
        <v>3386</v>
      </c>
      <c r="B3315" s="3">
        <f>HYPERLINK("https://leetcode.com/problems/button-with-longest-push-time/", "Button with Longest Push Time")</f>
        <v/>
      </c>
      <c r="C3315" s="1" t="n">
        <v>79</v>
      </c>
      <c r="D3315" s="1" t="n">
        <v>74</v>
      </c>
      <c r="E3315" s="4">
        <f>IF(INDEX(C:C, ROW())+INDEX(D:D, ROW())=0, 0, INDEX(C:C, ROW())/(INDEX(C:C, ROW())+INDEX(D:D, ROW())))</f>
        <v/>
      </c>
      <c r="F3315" s="1" t="inlineStr">
        <is>
          <t>Array</t>
        </is>
      </c>
      <c r="G3315" s="1" t="inlineStr">
        <is>
          <t>Easy</t>
        </is>
      </c>
      <c r="H3315" s="1" t="n">
        <v>36623</v>
      </c>
      <c r="I3315" s="1" t="n">
        <v>89151</v>
      </c>
      <c r="J3315" s="9" t="n">
        <v>0.411</v>
      </c>
      <c r="K3315" s="1" t="inlineStr">
        <is>
          <t>Yes</t>
        </is>
      </c>
      <c r="L3315" s="1" t="inlineStr">
        <is>
          <t>No</t>
        </is>
      </c>
      <c r="M3315" s="1" t="inlineStr">
        <is>
          <t>No</t>
        </is>
      </c>
      <c r="N3315" s="1" t="inlineStr">
        <is>
          <t>Algorithms</t>
        </is>
      </c>
      <c r="O33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15" s="13" t="inlineStr">
        <is>
          <t>Done</t>
        </is>
      </c>
    </row>
    <row r="3316" ht="15.75" customHeight="1" s="12">
      <c r="A3316" s="1" t="n">
        <v>3732</v>
      </c>
      <c r="B3316" s="3">
        <f>HYPERLINK("https://leetcode.com/problems/maximum-product-of-three-elements-after-one-replacement/", "Maximum Product of Three Elements After One Replacement")</f>
        <v/>
      </c>
      <c r="C3316" s="1" t="n">
        <v>79</v>
      </c>
      <c r="D3316" s="1" t="n">
        <v>8</v>
      </c>
      <c r="E3316" s="4">
        <f>IF(INDEX(C:C, ROW())+INDEX(D:D, ROW())=0, 0, INDEX(C:C, ROW())/(INDEX(C:C, ROW())+INDEX(D:D, ROW())))</f>
        <v/>
      </c>
      <c r="F3316" s="1" t="inlineStr">
        <is>
          <t>Array, Math, Greedy, Sorting</t>
        </is>
      </c>
      <c r="G3316" s="1" t="inlineStr">
        <is>
          <t>Medium</t>
        </is>
      </c>
      <c r="H3316" s="1" t="n">
        <v>31772</v>
      </c>
      <c r="I3316" s="1" t="n">
        <v>66933</v>
      </c>
      <c r="J3316" s="9" t="n">
        <v>0.475</v>
      </c>
      <c r="K3316" s="1" t="inlineStr">
        <is>
          <t>Yes</t>
        </is>
      </c>
      <c r="L3316" s="1" t="inlineStr">
        <is>
          <t>No</t>
        </is>
      </c>
      <c r="M3316" s="1" t="inlineStr">
        <is>
          <t>No</t>
        </is>
      </c>
      <c r="N3316" s="1" t="inlineStr">
        <is>
          <t>Algorithms</t>
        </is>
      </c>
      <c r="O33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16" s="11" t="inlineStr">
        <is>
          <t>To Do</t>
        </is>
      </c>
    </row>
    <row r="3317" ht="15.75" customHeight="1" s="12">
      <c r="A3317" s="1" t="n">
        <v>1279</v>
      </c>
      <c r="B3317" s="3">
        <f>HYPERLINK("https://leetcode.com/problems/traffic-light-controlled-intersection/", "Traffic Light Controlled Intersection")</f>
        <v/>
      </c>
      <c r="C3317" s="1" t="n">
        <v>78</v>
      </c>
      <c r="D3317" s="1" t="n">
        <v>369</v>
      </c>
      <c r="E3317" s="4">
        <f>IF(INDEX(C:C, ROW())+INDEX(D:D, ROW())=0, 0, INDEX(C:C, ROW())/(INDEX(C:C, ROW())+INDEX(D:D, ROW())))</f>
        <v/>
      </c>
      <c r="F3317" s="1" t="inlineStr">
        <is>
          <t>Concurrency</t>
        </is>
      </c>
      <c r="G3317" s="1" t="inlineStr">
        <is>
          <t>Easy</t>
        </is>
      </c>
      <c r="H3317" s="1" t="n">
        <v>21425</v>
      </c>
      <c r="I3317" s="1" t="n">
        <v>29371</v>
      </c>
      <c r="J3317" s="9" t="n">
        <v>0.729</v>
      </c>
      <c r="K3317" s="1" t="inlineStr">
        <is>
          <t>No</t>
        </is>
      </c>
      <c r="L3317" s="1" t="inlineStr">
        <is>
          <t>No</t>
        </is>
      </c>
      <c r="M3317" s="1" t="inlineStr">
        <is>
          <t>No</t>
        </is>
      </c>
      <c r="N3317" s="1" t="inlineStr">
        <is>
          <t>Concurrency</t>
        </is>
      </c>
      <c r="O33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17" s="11" t="inlineStr">
        <is>
          <t>To Do</t>
        </is>
      </c>
    </row>
    <row r="3318" ht="15.75" customHeight="1" s="12">
      <c r="A3318" s="1" t="n">
        <v>1692</v>
      </c>
      <c r="B3318" s="3">
        <f>HYPERLINK("https://leetcode.com/problems/count-ways-to-distribute-candies/", "Count Ways to Distribute Candies")</f>
        <v/>
      </c>
      <c r="C3318" s="1" t="n">
        <v>78</v>
      </c>
      <c r="D3318" s="1" t="n">
        <v>9</v>
      </c>
      <c r="E3318" s="4">
        <f>IF(INDEX(C:C, ROW())+INDEX(D:D, ROW())=0, 0, INDEX(C:C, ROW())/(INDEX(C:C, ROW())+INDEX(D:D, ROW())))</f>
        <v/>
      </c>
      <c r="F3318" s="1" t="inlineStr">
        <is>
          <t>Dynamic Programming</t>
        </is>
      </c>
      <c r="G3318" s="1" t="inlineStr">
        <is>
          <t>Hard</t>
        </is>
      </c>
      <c r="H3318" s="1" t="n">
        <v>3149</v>
      </c>
      <c r="I3318" s="1" t="n">
        <v>4932</v>
      </c>
      <c r="J3318" s="9" t="n">
        <v>0.638</v>
      </c>
      <c r="K3318" s="1" t="inlineStr">
        <is>
          <t>No</t>
        </is>
      </c>
      <c r="L3318" s="1" t="inlineStr">
        <is>
          <t>No</t>
        </is>
      </c>
      <c r="M3318" s="1" t="inlineStr">
        <is>
          <t>No</t>
        </is>
      </c>
      <c r="N3318" s="1" t="inlineStr">
        <is>
          <t>Algorithms</t>
        </is>
      </c>
      <c r="O33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18" s="11" t="inlineStr">
        <is>
          <t>To Do</t>
        </is>
      </c>
    </row>
    <row r="3319" ht="15.75" customHeight="1" s="12">
      <c r="A3319" s="1" t="n">
        <v>1875</v>
      </c>
      <c r="B3319" s="3">
        <f>HYPERLINK("https://leetcode.com/problems/group-employees-of-the-same-salary/", "Group Employees of the Same Salary")</f>
        <v/>
      </c>
      <c r="C3319" s="1" t="n">
        <v>78</v>
      </c>
      <c r="D3319" s="1" t="n">
        <v>6</v>
      </c>
      <c r="E3319" s="4">
        <f>IF(INDEX(C:C, ROW())+INDEX(D:D, ROW())=0, 0, INDEX(C:C, ROW())/(INDEX(C:C, ROW())+INDEX(D:D, ROW())))</f>
        <v/>
      </c>
      <c r="F3319" s="1" t="inlineStr">
        <is>
          <t>Database</t>
        </is>
      </c>
      <c r="G3319" s="1" t="inlineStr">
        <is>
          <t>Medium</t>
        </is>
      </c>
      <c r="H3319" s="1" t="n">
        <v>15488</v>
      </c>
      <c r="I3319" s="1" t="n">
        <v>23679</v>
      </c>
      <c r="J3319" s="9" t="n">
        <v>0.654</v>
      </c>
      <c r="K3319" s="1" t="inlineStr">
        <is>
          <t>No</t>
        </is>
      </c>
      <c r="L3319" s="1" t="inlineStr">
        <is>
          <t>No</t>
        </is>
      </c>
      <c r="M3319" s="1" t="inlineStr">
        <is>
          <t>No</t>
        </is>
      </c>
      <c r="N3319" s="1" t="inlineStr">
        <is>
          <t>Database</t>
        </is>
      </c>
      <c r="O33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19" s="11" t="inlineStr">
        <is>
          <t>To Do</t>
        </is>
      </c>
    </row>
    <row r="3320" ht="15.75" customHeight="1" s="12">
      <c r="A3320" s="1" t="n">
        <v>3448</v>
      </c>
      <c r="B3320" s="3">
        <f>HYPERLINK("https://leetcode.com/problems/count-substrings-divisible-by-last-digit/", "Count Substrings Divisible By Last Digit")</f>
        <v/>
      </c>
      <c r="C3320" s="1" t="n">
        <v>78</v>
      </c>
      <c r="D3320" s="1" t="n">
        <v>8</v>
      </c>
      <c r="E3320" s="4">
        <f>IF(INDEX(C:C, ROW())+INDEX(D:D, ROW())=0, 0, INDEX(C:C, ROW())/(INDEX(C:C, ROW())+INDEX(D:D, ROW())))</f>
        <v/>
      </c>
      <c r="F3320" s="1" t="inlineStr">
        <is>
          <t>String, Dynamic Programming</t>
        </is>
      </c>
      <c r="G3320" s="1" t="inlineStr">
        <is>
          <t>Hard</t>
        </is>
      </c>
      <c r="H3320" s="1" t="n">
        <v>6240</v>
      </c>
      <c r="I3320" s="1" t="n">
        <v>26755</v>
      </c>
      <c r="J3320" s="9" t="n">
        <v>0.233</v>
      </c>
      <c r="K3320" s="1" t="inlineStr">
        <is>
          <t>Yes</t>
        </is>
      </c>
      <c r="L3320" s="1" t="inlineStr">
        <is>
          <t>No</t>
        </is>
      </c>
      <c r="M3320" s="1" t="inlineStr">
        <is>
          <t>No</t>
        </is>
      </c>
      <c r="N3320" s="1" t="inlineStr">
        <is>
          <t>Algorithms</t>
        </is>
      </c>
      <c r="O33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20" s="11" t="inlineStr">
        <is>
          <t>To Do</t>
        </is>
      </c>
    </row>
    <row r="3321" ht="15.75" customHeight="1" s="12">
      <c r="A3321" s="1" t="n">
        <v>3853</v>
      </c>
      <c r="B3321" s="3">
        <f>HYPERLINK("https://leetcode.com/problems/merge-close-characters/", "Merge Close Characters")</f>
        <v/>
      </c>
      <c r="C3321" s="1" t="n">
        <v>78</v>
      </c>
      <c r="D3321" s="1" t="n">
        <v>12</v>
      </c>
      <c r="E3321" s="4">
        <f>IF(INDEX(C:C, ROW())+INDEX(D:D, ROW())=0, 0, INDEX(C:C, ROW())/(INDEX(C:C, ROW())+INDEX(D:D, ROW())))</f>
        <v/>
      </c>
      <c r="F3321" s="1" t="inlineStr">
        <is>
          <t>Hash Table, String</t>
        </is>
      </c>
      <c r="G3321" s="1" t="inlineStr">
        <is>
          <t>Medium</t>
        </is>
      </c>
      <c r="H3321" s="1" t="n">
        <v>28525</v>
      </c>
      <c r="I3321" s="1" t="n">
        <v>52197</v>
      </c>
      <c r="J3321" s="9" t="n">
        <v>0.546</v>
      </c>
      <c r="K3321" s="1" t="inlineStr">
        <is>
          <t>Yes</t>
        </is>
      </c>
      <c r="L3321" s="1" t="inlineStr">
        <is>
          <t>No</t>
        </is>
      </c>
      <c r="M3321" s="1" t="inlineStr">
        <is>
          <t>No</t>
        </is>
      </c>
      <c r="N3321" s="1" t="inlineStr">
        <is>
          <t>Algorithms</t>
        </is>
      </c>
      <c r="O33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21" s="11" t="inlineStr">
        <is>
          <t>To Do</t>
        </is>
      </c>
    </row>
    <row r="3322" ht="15.75" customHeight="1" s="12">
      <c r="A3322" s="1" t="n">
        <v>3878</v>
      </c>
      <c r="B3322" s="3">
        <f>HYPERLINK("https://leetcode.com/problems/count-good-subarrays/", "Count Good Subarrays")</f>
        <v/>
      </c>
      <c r="C3322" s="1" t="n">
        <v>78</v>
      </c>
      <c r="D3322" s="1" t="n">
        <v>2</v>
      </c>
      <c r="E3322" s="4">
        <f>IF(INDEX(C:C, ROW())+INDEX(D:D, ROW())=0, 0, INDEX(C:C, ROW())/(INDEX(C:C, ROW())+INDEX(D:D, ROW())))</f>
        <v/>
      </c>
      <c r="F3322" s="1" t="inlineStr">
        <is>
          <t>Array, Stack, Bit Manipulation, Monotonic Stack</t>
        </is>
      </c>
      <c r="G3322" s="1" t="inlineStr">
        <is>
          <t>Hard</t>
        </is>
      </c>
      <c r="H3322" s="1" t="n">
        <v>6617</v>
      </c>
      <c r="I3322" s="1" t="n">
        <v>26944</v>
      </c>
      <c r="J3322" s="9" t="n">
        <v>0.246</v>
      </c>
      <c r="K3322" s="1" t="inlineStr">
        <is>
          <t>Yes</t>
        </is>
      </c>
      <c r="L3322" s="1" t="inlineStr">
        <is>
          <t>No</t>
        </is>
      </c>
      <c r="M3322" s="1" t="inlineStr">
        <is>
          <t>No</t>
        </is>
      </c>
      <c r="N3322" s="1" t="inlineStr">
        <is>
          <t>Algorithms</t>
        </is>
      </c>
      <c r="O33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22" s="11" t="inlineStr">
        <is>
          <t>To Do</t>
        </is>
      </c>
    </row>
    <row r="3323" ht="15.75" customHeight="1" s="12">
      <c r="A3323" s="1" t="n">
        <v>2056</v>
      </c>
      <c r="B3323" s="3">
        <f>HYPERLINK("https://leetcode.com/problems/number-of-valid-move-combinations-on-chessboard/", "Number of Valid Move Combinations On Chessboard")</f>
        <v/>
      </c>
      <c r="C3323" s="1" t="n">
        <v>77</v>
      </c>
      <c r="D3323" s="1" t="n">
        <v>298</v>
      </c>
      <c r="E3323" s="4">
        <f>IF(INDEX(C:C, ROW())+INDEX(D:D, ROW())=0, 0, INDEX(C:C, ROW())/(INDEX(C:C, ROW())+INDEX(D:D, ROW())))</f>
        <v/>
      </c>
      <c r="F3323" s="1" t="inlineStr">
        <is>
          <t>Array, String, Backtracking, Simulation</t>
        </is>
      </c>
      <c r="G3323" s="1" t="inlineStr">
        <is>
          <t>Hard</t>
        </is>
      </c>
      <c r="H3323" s="1" t="n">
        <v>5808</v>
      </c>
      <c r="I3323" s="1" t="n">
        <v>11920</v>
      </c>
      <c r="J3323" s="9" t="n">
        <v>0.487</v>
      </c>
      <c r="K3323" s="1" t="inlineStr">
        <is>
          <t>Yes</t>
        </is>
      </c>
      <c r="L3323" s="1" t="inlineStr">
        <is>
          <t>No</t>
        </is>
      </c>
      <c r="M3323" s="1" t="inlineStr">
        <is>
          <t>No</t>
        </is>
      </c>
      <c r="N3323" s="1" t="inlineStr">
        <is>
          <t>Algorithms</t>
        </is>
      </c>
      <c r="O33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23" s="11" t="inlineStr">
        <is>
          <t>To Do</t>
        </is>
      </c>
    </row>
    <row r="3324" ht="15.75" customHeight="1" s="12">
      <c r="A3324" s="1" t="n">
        <v>2152</v>
      </c>
      <c r="B3324" s="3">
        <f>HYPERLINK("https://leetcode.com/problems/minimum-number-of-lines-to-cover-points/", "Minimum Number of Lines to Cover Points")</f>
        <v/>
      </c>
      <c r="C3324" s="1" t="n">
        <v>77</v>
      </c>
      <c r="D3324" s="1" t="n">
        <v>14</v>
      </c>
      <c r="E3324" s="4">
        <f>IF(INDEX(C:C, ROW())+INDEX(D:D, ROW())=0, 0, INDEX(C:C, ROW())/(INDEX(C:C, ROW())+INDEX(D:D, ROW())))</f>
        <v/>
      </c>
      <c r="F3324" s="1" t="inlineStr">
        <is>
          <t>Array, Hash Table, Math, Dynamic Programming, Backtracking, Bit Manipulation, Geometry, Bitmask</t>
        </is>
      </c>
      <c r="G3324" s="1" t="inlineStr">
        <is>
          <t>Medium</t>
        </is>
      </c>
      <c r="H3324" s="1" t="n">
        <v>2868</v>
      </c>
      <c r="I3324" s="1" t="n">
        <v>6528</v>
      </c>
      <c r="J3324" s="9" t="n">
        <v>0.439</v>
      </c>
      <c r="K3324" s="1" t="inlineStr">
        <is>
          <t>No</t>
        </is>
      </c>
      <c r="L3324" s="1" t="inlineStr">
        <is>
          <t>No</t>
        </is>
      </c>
      <c r="M3324" s="1" t="inlineStr">
        <is>
          <t>No</t>
        </is>
      </c>
      <c r="N3324" s="1" t="inlineStr">
        <is>
          <t>Algorithms</t>
        </is>
      </c>
      <c r="O33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24" s="11" t="inlineStr">
        <is>
          <t>To Do</t>
        </is>
      </c>
    </row>
    <row r="3325" ht="15.75" customHeight="1" s="12">
      <c r="A3325" s="1" t="n">
        <v>3317</v>
      </c>
      <c r="B3325" s="3">
        <f>HYPERLINK("https://leetcode.com/problems/find-the-number-of-possible-ways-for-an-event/", "Find the Number of Possible Ways for an Event")</f>
        <v/>
      </c>
      <c r="C3325" s="1" t="n">
        <v>77</v>
      </c>
      <c r="D3325" s="1" t="n">
        <v>15</v>
      </c>
      <c r="E3325" s="4">
        <f>IF(INDEX(C:C, ROW())+INDEX(D:D, ROW())=0, 0, INDEX(C:C, ROW())/(INDEX(C:C, ROW())+INDEX(D:D, ROW())))</f>
        <v/>
      </c>
      <c r="F3325" s="1" t="inlineStr">
        <is>
          <t>Math, Dynamic Programming, Combinatorics</t>
        </is>
      </c>
      <c r="G3325" s="1" t="inlineStr">
        <is>
          <t>Hard</t>
        </is>
      </c>
      <c r="H3325" s="1" t="n">
        <v>5375</v>
      </c>
      <c r="I3325" s="1" t="n">
        <v>15344</v>
      </c>
      <c r="J3325" s="9" t="n">
        <v>0.35</v>
      </c>
      <c r="K3325" s="1" t="inlineStr">
        <is>
          <t>Yes</t>
        </is>
      </c>
      <c r="L3325" s="1" t="inlineStr">
        <is>
          <t>No</t>
        </is>
      </c>
      <c r="M3325" s="1" t="inlineStr">
        <is>
          <t>No</t>
        </is>
      </c>
      <c r="N3325" s="1" t="inlineStr">
        <is>
          <t>Algorithms</t>
        </is>
      </c>
      <c r="O33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25" s="11" t="inlineStr">
        <is>
          <t>To Do</t>
        </is>
      </c>
    </row>
    <row r="3326" ht="15.75" customHeight="1" s="12">
      <c r="A3326" s="1" t="n">
        <v>3389</v>
      </c>
      <c r="B3326" s="3">
        <f>HYPERLINK("https://leetcode.com/problems/minimum-operations-to-make-character-frequencies-equal/", "Minimum Operations to Make Character Frequencies Equal")</f>
        <v/>
      </c>
      <c r="C3326" s="1" t="n">
        <v>77</v>
      </c>
      <c r="D3326" s="1" t="n">
        <v>2</v>
      </c>
      <c r="E3326" s="4">
        <f>IF(INDEX(C:C, ROW())+INDEX(D:D, ROW())=0, 0, INDEX(C:C, ROW())/(INDEX(C:C, ROW())+INDEX(D:D, ROW())))</f>
        <v/>
      </c>
      <c r="F3326" s="1" t="inlineStr">
        <is>
          <t>Hash Table, String, Dynamic Programming, Counting, Enumeration</t>
        </is>
      </c>
      <c r="G3326" s="1" t="inlineStr">
        <is>
          <t>Hard</t>
        </is>
      </c>
      <c r="H3326" s="1" t="n">
        <v>4708</v>
      </c>
      <c r="I3326" s="1" t="n">
        <v>17824</v>
      </c>
      <c r="J3326" s="9" t="n">
        <v>0.264</v>
      </c>
      <c r="K3326" s="1" t="inlineStr">
        <is>
          <t>Yes</t>
        </is>
      </c>
      <c r="L3326" s="1" t="inlineStr">
        <is>
          <t>No</t>
        </is>
      </c>
      <c r="M3326" s="1" t="inlineStr">
        <is>
          <t>No</t>
        </is>
      </c>
      <c r="N3326" s="1" t="inlineStr">
        <is>
          <t>Algorithms</t>
        </is>
      </c>
      <c r="O33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26" s="11" t="inlineStr">
        <is>
          <t>To Do</t>
        </is>
      </c>
    </row>
    <row r="3327" ht="15.75" customHeight="1" s="12">
      <c r="A3327" s="1" t="n">
        <v>3806</v>
      </c>
      <c r="B3327" s="3">
        <f>HYPERLINK("https://leetcode.com/problems/maximum-bitwise-and-after-increment-operations/", "Maximum Bitwise AND After Increment Operations")</f>
        <v/>
      </c>
      <c r="C3327" s="1" t="n">
        <v>77</v>
      </c>
      <c r="D3327" s="1" t="n">
        <v>3</v>
      </c>
      <c r="E3327" s="4">
        <f>IF(INDEX(C:C, ROW())+INDEX(D:D, ROW())=0, 0, INDEX(C:C, ROW())/(INDEX(C:C, ROW())+INDEX(D:D, ROW())))</f>
        <v/>
      </c>
      <c r="F3327" s="1" t="inlineStr">
        <is>
          <t>Array, Greedy, Bit Manipulation, Sorting</t>
        </is>
      </c>
      <c r="G3327" s="1" t="inlineStr">
        <is>
          <t>Hard</t>
        </is>
      </c>
      <c r="H3327" s="1" t="n">
        <v>6819</v>
      </c>
      <c r="I3327" s="1" t="n">
        <v>21514</v>
      </c>
      <c r="J3327" s="9" t="n">
        <v>0.317</v>
      </c>
      <c r="K3327" s="1" t="inlineStr">
        <is>
          <t>Yes</t>
        </is>
      </c>
      <c r="L3327" s="1" t="inlineStr">
        <is>
          <t>No</t>
        </is>
      </c>
      <c r="M3327" s="1" t="inlineStr">
        <is>
          <t>No</t>
        </is>
      </c>
      <c r="N3327" s="1" t="inlineStr">
        <is>
          <t>Algorithms</t>
        </is>
      </c>
      <c r="O33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27" s="11" t="inlineStr">
        <is>
          <t>To Do</t>
        </is>
      </c>
    </row>
    <row r="3328" ht="15.75" customHeight="1" s="12">
      <c r="A3328" s="1" t="n">
        <v>3843</v>
      </c>
      <c r="B3328" s="3">
        <f>HYPERLINK("https://leetcode.com/problems/first-element-with-unique-frequency/", "First Element with Unique Frequency")</f>
        <v/>
      </c>
      <c r="C3328" s="1" t="n">
        <v>77</v>
      </c>
      <c r="D3328" s="1" t="n">
        <v>6</v>
      </c>
      <c r="E3328" s="4">
        <f>IF(INDEX(C:C, ROW())+INDEX(D:D, ROW())=0, 0, INDEX(C:C, ROW())/(INDEX(C:C, ROW())+INDEX(D:D, ROW())))</f>
        <v/>
      </c>
      <c r="F3328" s="1" t="inlineStr">
        <is>
          <t>Array, Hash Table, Counting</t>
        </is>
      </c>
      <c r="G3328" s="1" t="inlineStr">
        <is>
          <t>Medium</t>
        </is>
      </c>
      <c r="H3328" s="1" t="n">
        <v>49025</v>
      </c>
      <c r="I3328" s="1" t="n">
        <v>69974</v>
      </c>
      <c r="J3328" s="9" t="n">
        <v>0.701</v>
      </c>
      <c r="K3328" s="1" t="inlineStr">
        <is>
          <t>Yes</t>
        </is>
      </c>
      <c r="L3328" s="1" t="inlineStr">
        <is>
          <t>No</t>
        </is>
      </c>
      <c r="M3328" s="1" t="inlineStr">
        <is>
          <t>No</t>
        </is>
      </c>
      <c r="N3328" s="1" t="inlineStr">
        <is>
          <t>Algorithms</t>
        </is>
      </c>
      <c r="O33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28" s="11" t="inlineStr">
        <is>
          <t>To Do</t>
        </is>
      </c>
    </row>
    <row r="3329" ht="15.75" customHeight="1" s="12">
      <c r="A3329" s="1" t="n">
        <v>1623</v>
      </c>
      <c r="B3329" s="3">
        <f>HYPERLINK("https://leetcode.com/problems/all-valid-triplets-that-can-represent-a-country/", "All Valid Triplets That Can Represent a Country")</f>
        <v/>
      </c>
      <c r="C3329" s="1" t="n">
        <v>76</v>
      </c>
      <c r="D3329" s="1" t="n">
        <v>144</v>
      </c>
      <c r="E3329" s="4">
        <f>IF(INDEX(C:C, ROW())+INDEX(D:D, ROW())=0, 0, INDEX(C:C, ROW())/(INDEX(C:C, ROW())+INDEX(D:D, ROW())))</f>
        <v/>
      </c>
      <c r="F3329" s="1" t="inlineStr">
        <is>
          <t>Database</t>
        </is>
      </c>
      <c r="G3329" s="1" t="inlineStr">
        <is>
          <t>Easy</t>
        </is>
      </c>
      <c r="H3329" s="1" t="n">
        <v>23413</v>
      </c>
      <c r="I3329" s="1" t="n">
        <v>28930</v>
      </c>
      <c r="J3329" s="9" t="n">
        <v>0.8090000000000001</v>
      </c>
      <c r="K3329" s="1" t="inlineStr">
        <is>
          <t>No</t>
        </is>
      </c>
      <c r="L3329" s="1" t="inlineStr">
        <is>
          <t>No</t>
        </is>
      </c>
      <c r="M3329" s="1" t="inlineStr">
        <is>
          <t>No</t>
        </is>
      </c>
      <c r="N3329" s="1" t="inlineStr">
        <is>
          <t>Database</t>
        </is>
      </c>
      <c r="O33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29" s="11" t="inlineStr">
        <is>
          <t>To Do</t>
        </is>
      </c>
    </row>
    <row r="3330" ht="15.75" customHeight="1" s="12">
      <c r="A3330" s="1" t="n">
        <v>1989</v>
      </c>
      <c r="B3330" s="3">
        <f>HYPERLINK("https://leetcode.com/problems/maximum-number-of-people-that-can-be-caught-in-tag/", "Maximum Number of People That Can Be Caught in Tag")</f>
        <v/>
      </c>
      <c r="C3330" s="1" t="n">
        <v>76</v>
      </c>
      <c r="D3330" s="1" t="n">
        <v>11</v>
      </c>
      <c r="E3330" s="4">
        <f>IF(INDEX(C:C, ROW())+INDEX(D:D, ROW())=0, 0, INDEX(C:C, ROW())/(INDEX(C:C, ROW())+INDEX(D:D, ROW())))</f>
        <v/>
      </c>
      <c r="F3330" s="1" t="inlineStr">
        <is>
          <t>Array, Two Pointers, Greedy</t>
        </is>
      </c>
      <c r="G3330" s="1" t="inlineStr">
        <is>
          <t>Medium</t>
        </is>
      </c>
      <c r="H3330" s="1" t="n">
        <v>2819</v>
      </c>
      <c r="I3330" s="1" t="n">
        <v>5704</v>
      </c>
      <c r="J3330" s="9" t="n">
        <v>0.494</v>
      </c>
      <c r="K3330" s="1" t="inlineStr">
        <is>
          <t>No</t>
        </is>
      </c>
      <c r="L3330" s="1" t="inlineStr">
        <is>
          <t>No</t>
        </is>
      </c>
      <c r="M3330" s="1" t="inlineStr">
        <is>
          <t>No</t>
        </is>
      </c>
      <c r="N3330" s="1" t="inlineStr">
        <is>
          <t>Algorithms</t>
        </is>
      </c>
      <c r="O33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30" s="11" t="inlineStr">
        <is>
          <t>To Do</t>
        </is>
      </c>
    </row>
    <row r="3331" ht="15.75" customHeight="1" s="12">
      <c r="A3331" s="1" t="n">
        <v>3303</v>
      </c>
      <c r="B3331" s="3">
        <f>HYPERLINK("https://leetcode.com/problems/find-the-occurrence-of-first-almost-equal-substring/", "Find the Occurrence of First Almost Equal Substring")</f>
        <v/>
      </c>
      <c r="C3331" s="1" t="n">
        <v>76</v>
      </c>
      <c r="D3331" s="1" t="n">
        <v>9</v>
      </c>
      <c r="E3331" s="4">
        <f>IF(INDEX(C:C, ROW())+INDEX(D:D, ROW())=0, 0, INDEX(C:C, ROW())/(INDEX(C:C, ROW())+INDEX(D:D, ROW())))</f>
        <v/>
      </c>
      <c r="F3331" s="1" t="inlineStr">
        <is>
          <t>String, String Matching</t>
        </is>
      </c>
      <c r="G3331" s="1" t="inlineStr">
        <is>
          <t>Hard</t>
        </is>
      </c>
      <c r="H3331" s="1" t="n">
        <v>5566</v>
      </c>
      <c r="I3331" s="1" t="n">
        <v>35756</v>
      </c>
      <c r="J3331" s="9" t="n">
        <v>0.156</v>
      </c>
      <c r="K3331" s="1" t="inlineStr">
        <is>
          <t>Yes</t>
        </is>
      </c>
      <c r="L3331" s="1" t="inlineStr">
        <is>
          <t>No</t>
        </is>
      </c>
      <c r="M3331" s="1" t="inlineStr">
        <is>
          <t>No</t>
        </is>
      </c>
      <c r="N3331" s="1" t="inlineStr">
        <is>
          <t>Algorithms</t>
        </is>
      </c>
      <c r="O33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31" s="11" t="inlineStr">
        <is>
          <t>To Do</t>
        </is>
      </c>
    </row>
    <row r="3332" ht="15.75" customHeight="1" s="12">
      <c r="A3332" s="1" t="n">
        <v>3759</v>
      </c>
      <c r="B3332" s="3">
        <f>HYPERLINK("https://leetcode.com/problems/count-elements-with-at-least-k-greater-values/", "Count Elements With at Least K Greater Values")</f>
        <v/>
      </c>
      <c r="C3332" s="1" t="n">
        <v>76</v>
      </c>
      <c r="D3332" s="1" t="n">
        <v>7</v>
      </c>
      <c r="E3332" s="4">
        <f>IF(INDEX(C:C, ROW())+INDEX(D:D, ROW())=0, 0, INDEX(C:C, ROW())/(INDEX(C:C, ROW())+INDEX(D:D, ROW())))</f>
        <v/>
      </c>
      <c r="F3332" s="1" t="inlineStr">
        <is>
          <t>Array, Binary Search, Divide and Conquer, Sorting, Quickselect</t>
        </is>
      </c>
      <c r="G3332" s="1" t="inlineStr">
        <is>
          <t>Medium</t>
        </is>
      </c>
      <c r="H3332" s="1" t="n">
        <v>32297</v>
      </c>
      <c r="I3332" s="1" t="n">
        <v>102508</v>
      </c>
      <c r="J3332" s="9" t="n">
        <v>0.315</v>
      </c>
      <c r="K3332" s="1" t="inlineStr">
        <is>
          <t>Yes</t>
        </is>
      </c>
      <c r="L3332" s="1" t="inlineStr">
        <is>
          <t>No</t>
        </is>
      </c>
      <c r="M3332" s="1" t="inlineStr">
        <is>
          <t>No</t>
        </is>
      </c>
      <c r="N3332" s="1" t="inlineStr">
        <is>
          <t>Algorithms</t>
        </is>
      </c>
      <c r="O33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32" s="11" t="inlineStr">
        <is>
          <t>To Do</t>
        </is>
      </c>
    </row>
    <row r="3333" ht="15.75" customHeight="1" s="12">
      <c r="A3333" s="1" t="n">
        <v>3804</v>
      </c>
      <c r="B3333" s="3">
        <f>HYPERLINK("https://leetcode.com/problems/number-of-centered-subarrays/", "Number of Centered Subarrays")</f>
        <v/>
      </c>
      <c r="C3333" s="1" t="n">
        <v>76</v>
      </c>
      <c r="D3333" s="1" t="n">
        <v>1</v>
      </c>
      <c r="E3333" s="4">
        <f>IF(INDEX(C:C, ROW())+INDEX(D:D, ROW())=0, 0, INDEX(C:C, ROW())/(INDEX(C:C, ROW())+INDEX(D:D, ROW())))</f>
        <v/>
      </c>
      <c r="F3333" s="1" t="inlineStr">
        <is>
          <t>Array, Hash Table, Enumeration</t>
        </is>
      </c>
      <c r="G3333" s="1" t="inlineStr">
        <is>
          <t>Medium</t>
        </is>
      </c>
      <c r="H3333" s="1" t="n">
        <v>38135</v>
      </c>
      <c r="I3333" s="1" t="n">
        <v>56813</v>
      </c>
      <c r="J3333" s="9" t="n">
        <v>0.671</v>
      </c>
      <c r="K3333" s="1" t="inlineStr">
        <is>
          <t>Yes</t>
        </is>
      </c>
      <c r="L3333" s="1" t="inlineStr">
        <is>
          <t>No</t>
        </is>
      </c>
      <c r="M3333" s="1" t="inlineStr">
        <is>
          <t>No</t>
        </is>
      </c>
      <c r="N3333" s="1" t="inlineStr">
        <is>
          <t>Algorithms</t>
        </is>
      </c>
      <c r="O33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33" s="11" t="inlineStr">
        <is>
          <t>To Do</t>
        </is>
      </c>
    </row>
    <row r="3334" ht="15.75" customHeight="1" s="12">
      <c r="A3334" s="1" t="n">
        <v>3819</v>
      </c>
      <c r="B3334" s="3">
        <f>HYPERLINK("https://leetcode.com/problems/rotate-non-negative-elements/", "Rotate Non Negative Elements")</f>
        <v/>
      </c>
      <c r="C3334" s="1" t="n">
        <v>76</v>
      </c>
      <c r="D3334" s="1" t="n">
        <v>10</v>
      </c>
      <c r="E3334" s="4">
        <f>IF(INDEX(C:C, ROW())+INDEX(D:D, ROW())=0, 0, INDEX(C:C, ROW())/(INDEX(C:C, ROW())+INDEX(D:D, ROW())))</f>
        <v/>
      </c>
      <c r="F3334" s="1" t="inlineStr">
        <is>
          <t>Array, Simulation</t>
        </is>
      </c>
      <c r="G3334" s="1" t="inlineStr">
        <is>
          <t>Medium</t>
        </is>
      </c>
      <c r="H3334" s="1" t="n">
        <v>42787</v>
      </c>
      <c r="I3334" s="1" t="n">
        <v>89120</v>
      </c>
      <c r="J3334" s="9" t="n">
        <v>0.48</v>
      </c>
      <c r="K3334" s="1" t="inlineStr">
        <is>
          <t>Yes</t>
        </is>
      </c>
      <c r="L3334" s="1" t="inlineStr">
        <is>
          <t>No</t>
        </is>
      </c>
      <c r="M3334" s="1" t="inlineStr">
        <is>
          <t>No</t>
        </is>
      </c>
      <c r="N3334" s="1" t="inlineStr">
        <is>
          <t>Algorithms</t>
        </is>
      </c>
      <c r="O33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34" s="11" t="inlineStr">
        <is>
          <t>To Do</t>
        </is>
      </c>
    </row>
    <row r="3335" ht="15.75" customHeight="1" s="12">
      <c r="A3335" s="1" t="n">
        <v>3887</v>
      </c>
      <c r="B3335" s="3">
        <f>HYPERLINK("https://leetcode.com/problems/incremental-even-weighted-cycle-queries/", "Incremental Even-Weighted Cycle Queries")</f>
        <v/>
      </c>
      <c r="C3335" s="1" t="n">
        <v>75</v>
      </c>
      <c r="D3335" s="1" t="n">
        <v>4</v>
      </c>
      <c r="E3335" s="4">
        <f>IF(INDEX(C:C, ROW())+INDEX(D:D, ROW())=0, 0, INDEX(C:C, ROW())/(INDEX(C:C, ROW())+INDEX(D:D, ROW())))</f>
        <v/>
      </c>
      <c r="F3335" s="1" t="inlineStr">
        <is>
          <t>Union-Find, Graph Theory</t>
        </is>
      </c>
      <c r="G3335" s="1" t="inlineStr">
        <is>
          <t>Hard</t>
        </is>
      </c>
      <c r="H3335" s="1" t="n">
        <v>7601</v>
      </c>
      <c r="I3335" s="1" t="n">
        <v>14774</v>
      </c>
      <c r="J3335" s="9" t="n">
        <v>0.514</v>
      </c>
      <c r="K3335" s="1" t="inlineStr">
        <is>
          <t>Yes</t>
        </is>
      </c>
      <c r="L3335" s="1" t="inlineStr">
        <is>
          <t>No</t>
        </is>
      </c>
      <c r="M3335" s="1" t="inlineStr">
        <is>
          <t>No</t>
        </is>
      </c>
      <c r="N3335" s="1" t="inlineStr">
        <is>
          <t>Algorithms</t>
        </is>
      </c>
      <c r="O33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35" s="11" t="inlineStr">
        <is>
          <t>To Do</t>
        </is>
      </c>
    </row>
    <row r="3336" ht="15.75" customHeight="1" s="12">
      <c r="A3336" s="1" t="n">
        <v>2066</v>
      </c>
      <c r="B3336" s="3">
        <f>HYPERLINK("https://leetcode.com/problems/account-balance/", "Account Balance")</f>
        <v/>
      </c>
      <c r="C3336" s="1" t="n">
        <v>74</v>
      </c>
      <c r="D3336" s="1" t="n">
        <v>2</v>
      </c>
      <c r="E3336" s="4">
        <f>IF(INDEX(C:C, ROW())+INDEX(D:D, ROW())=0, 0, INDEX(C:C, ROW())/(INDEX(C:C, ROW())+INDEX(D:D, ROW())))</f>
        <v/>
      </c>
      <c r="F3336" s="1" t="inlineStr">
        <is>
          <t>Database</t>
        </is>
      </c>
      <c r="G3336" s="1" t="inlineStr">
        <is>
          <t>Medium</t>
        </is>
      </c>
      <c r="H3336" s="1" t="n">
        <v>12956</v>
      </c>
      <c r="I3336" s="1" t="n">
        <v>15863</v>
      </c>
      <c r="J3336" s="9" t="n">
        <v>0.8169999999999999</v>
      </c>
      <c r="K3336" s="1" t="inlineStr">
        <is>
          <t>No</t>
        </is>
      </c>
      <c r="L3336" s="1" t="inlineStr">
        <is>
          <t>No</t>
        </is>
      </c>
      <c r="M3336" s="1" t="inlineStr">
        <is>
          <t>No</t>
        </is>
      </c>
      <c r="N3336" s="1" t="inlineStr">
        <is>
          <t>Database</t>
        </is>
      </c>
      <c r="O33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36" s="11" t="inlineStr">
        <is>
          <t>To Do</t>
        </is>
      </c>
    </row>
    <row r="3337" ht="15.75" customHeight="1" s="12">
      <c r="A3337" s="1" t="n">
        <v>2838</v>
      </c>
      <c r="B3337" s="3">
        <f>HYPERLINK("https://leetcode.com/problems/maximum-coins-heroes-can-collect/", "Maximum Coins Heroes Can Collect")</f>
        <v/>
      </c>
      <c r="C3337" s="1" t="n">
        <v>74</v>
      </c>
      <c r="D3337" s="1" t="n">
        <v>7</v>
      </c>
      <c r="E3337" s="4">
        <f>IF(INDEX(C:C, ROW())+INDEX(D:D, ROW())=0, 0, INDEX(C:C, ROW())/(INDEX(C:C, ROW())+INDEX(D:D, ROW())))</f>
        <v/>
      </c>
      <c r="F3337" s="1" t="inlineStr">
        <is>
          <t>Array, Two Pointers, Binary Search, Sorting, Prefix Sum</t>
        </is>
      </c>
      <c r="G3337" s="1" t="inlineStr">
        <is>
          <t>Medium</t>
        </is>
      </c>
      <c r="H3337" s="1" t="n">
        <v>7127</v>
      </c>
      <c r="I3337" s="1" t="n">
        <v>10370</v>
      </c>
      <c r="J3337" s="9" t="n">
        <v>0.6870000000000001</v>
      </c>
      <c r="K3337" s="1" t="inlineStr">
        <is>
          <t>No</t>
        </is>
      </c>
      <c r="L3337" s="1" t="inlineStr">
        <is>
          <t>Yes</t>
        </is>
      </c>
      <c r="M3337" s="1" t="inlineStr">
        <is>
          <t>No</t>
        </is>
      </c>
      <c r="N3337" s="1" t="inlineStr">
        <is>
          <t>Algorithms</t>
        </is>
      </c>
      <c r="O33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37" s="11" t="inlineStr">
        <is>
          <t>To Do</t>
        </is>
      </c>
    </row>
    <row r="3338" ht="15.75" customHeight="1" s="12">
      <c r="A3338" s="1" t="n">
        <v>3220</v>
      </c>
      <c r="B3338" s="3">
        <f>HYPERLINK("https://leetcode.com/problems/odd-and-even-transactions/", "Odd and Even Transactions")</f>
        <v/>
      </c>
      <c r="C3338" s="1" t="n">
        <v>74</v>
      </c>
      <c r="D3338" s="1" t="n">
        <v>40</v>
      </c>
      <c r="E3338" s="4">
        <f>IF(INDEX(C:C, ROW())+INDEX(D:D, ROW())=0, 0, INDEX(C:C, ROW())/(INDEX(C:C, ROW())+INDEX(D:D, ROW())))</f>
        <v/>
      </c>
      <c r="F3338" s="1" t="inlineStr">
        <is>
          <t>Database</t>
        </is>
      </c>
      <c r="G3338" s="1" t="inlineStr">
        <is>
          <t>Medium</t>
        </is>
      </c>
      <c r="H3338" s="1" t="n">
        <v>36707</v>
      </c>
      <c r="I3338" s="1" t="n">
        <v>53766</v>
      </c>
      <c r="J3338" s="9" t="n">
        <v>0.6830000000000001</v>
      </c>
      <c r="K3338" s="1" t="inlineStr">
        <is>
          <t>Yes</t>
        </is>
      </c>
      <c r="L3338" s="1" t="inlineStr">
        <is>
          <t>No</t>
        </is>
      </c>
      <c r="M3338" s="1" t="inlineStr">
        <is>
          <t>No</t>
        </is>
      </c>
      <c r="N3338" s="1" t="inlineStr">
        <is>
          <t>Database</t>
        </is>
      </c>
      <c r="O33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38" s="11" t="inlineStr">
        <is>
          <t>To Do</t>
        </is>
      </c>
    </row>
    <row r="3339" ht="15.75" customHeight="1" s="12">
      <c r="A3339" s="1" t="n">
        <v>3603</v>
      </c>
      <c r="B3339" s="3">
        <f>HYPERLINK("https://leetcode.com/problems/minimum-cost-path-with-alternating-directions-ii/", "Minimum Cost Path with Alternating Directions II")</f>
        <v/>
      </c>
      <c r="C3339" s="1" t="n">
        <v>74</v>
      </c>
      <c r="D3339" s="1" t="n">
        <v>12</v>
      </c>
      <c r="E3339" s="4">
        <f>IF(INDEX(C:C, ROW())+INDEX(D:D, ROW())=0, 0, INDEX(C:C, ROW())/(INDEX(C:C, ROW())+INDEX(D:D, ROW())))</f>
        <v/>
      </c>
      <c r="F3339" s="1" t="inlineStr">
        <is>
          <t>Array, Dynamic Programming, Matrix</t>
        </is>
      </c>
      <c r="G3339" s="1" t="inlineStr">
        <is>
          <t>Medium</t>
        </is>
      </c>
      <c r="H3339" s="1" t="n">
        <v>19208</v>
      </c>
      <c r="I3339" s="1" t="n">
        <v>42872</v>
      </c>
      <c r="J3339" s="9" t="n">
        <v>0.448</v>
      </c>
      <c r="K3339" s="1" t="inlineStr">
        <is>
          <t>Yes</t>
        </is>
      </c>
      <c r="L3339" s="1" t="inlineStr">
        <is>
          <t>No</t>
        </is>
      </c>
      <c r="M3339" s="1" t="inlineStr">
        <is>
          <t>No</t>
        </is>
      </c>
      <c r="N3339" s="1" t="inlineStr">
        <is>
          <t>Algorithms</t>
        </is>
      </c>
      <c r="O33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39" s="11" t="inlineStr">
        <is>
          <t>To Do</t>
        </is>
      </c>
    </row>
    <row r="3340" ht="15.75" customHeight="1" s="12">
      <c r="A3340" s="1" t="n">
        <v>3675</v>
      </c>
      <c r="B3340" s="3">
        <f>HYPERLINK("https://leetcode.com/problems/minimum-operations-to-transform-string/", "Minimum Operations to Transform String")</f>
        <v/>
      </c>
      <c r="C3340" s="1" t="n">
        <v>74</v>
      </c>
      <c r="D3340" s="1" t="n">
        <v>7</v>
      </c>
      <c r="E3340" s="4">
        <f>IF(INDEX(C:C, ROW())+INDEX(D:D, ROW())=0, 0, INDEX(C:C, ROW())/(INDEX(C:C, ROW())+INDEX(D:D, ROW())))</f>
        <v/>
      </c>
      <c r="F3340" s="1" t="inlineStr">
        <is>
          <t>String, Greedy</t>
        </is>
      </c>
      <c r="G3340" s="1" t="inlineStr">
        <is>
          <t>Medium</t>
        </is>
      </c>
      <c r="H3340" s="1" t="n">
        <v>51234</v>
      </c>
      <c r="I3340" s="1" t="n">
        <v>82702</v>
      </c>
      <c r="J3340" s="9" t="n">
        <v>0.62</v>
      </c>
      <c r="K3340" s="1" t="inlineStr">
        <is>
          <t>Yes</t>
        </is>
      </c>
      <c r="L3340" s="1" t="inlineStr">
        <is>
          <t>No</t>
        </is>
      </c>
      <c r="M3340" s="1" t="inlineStr">
        <is>
          <t>No</t>
        </is>
      </c>
      <c r="N3340" s="1" t="inlineStr">
        <is>
          <t>Algorithms</t>
        </is>
      </c>
      <c r="O33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40" s="11" t="inlineStr">
        <is>
          <t>To Do</t>
        </is>
      </c>
    </row>
    <row r="3341" ht="15.75" customHeight="1" s="12">
      <c r="A3341" s="1" t="n">
        <v>3767</v>
      </c>
      <c r="B3341" s="3">
        <f>HYPERLINK("https://leetcode.com/problems/maximize-points-after-choosing-k-tasks/", "Maximize Points After Choosing K Tasks")</f>
        <v/>
      </c>
      <c r="C3341" s="1" t="n">
        <v>74</v>
      </c>
      <c r="D3341" s="1" t="n">
        <v>5</v>
      </c>
      <c r="E3341" s="4">
        <f>IF(INDEX(C:C, ROW())+INDEX(D:D, ROW())=0, 0, INDEX(C:C, ROW())/(INDEX(C:C, ROW())+INDEX(D:D, ROW())))</f>
        <v/>
      </c>
      <c r="F3341" s="1" t="inlineStr">
        <is>
          <t>Array, Greedy, Sorting, Heap (Priority Queue)</t>
        </is>
      </c>
      <c r="G3341" s="1" t="inlineStr">
        <is>
          <t>Medium</t>
        </is>
      </c>
      <c r="H3341" s="1" t="n">
        <v>16659</v>
      </c>
      <c r="I3341" s="1" t="n">
        <v>27768</v>
      </c>
      <c r="J3341" s="9" t="n">
        <v>0.6</v>
      </c>
      <c r="K3341" s="1" t="inlineStr">
        <is>
          <t>Yes</t>
        </is>
      </c>
      <c r="L3341" s="1" t="inlineStr">
        <is>
          <t>No</t>
        </is>
      </c>
      <c r="M3341" s="1" t="inlineStr">
        <is>
          <t>No</t>
        </is>
      </c>
      <c r="N3341" s="1" t="inlineStr">
        <is>
          <t>Algorithms</t>
        </is>
      </c>
      <c r="O33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41" s="11" t="inlineStr">
        <is>
          <t>To Do</t>
        </is>
      </c>
    </row>
    <row r="3342" ht="15.75" customHeight="1" s="12">
      <c r="A3342" s="1" t="n">
        <v>2112</v>
      </c>
      <c r="B3342" s="3">
        <f>HYPERLINK("https://leetcode.com/problems/the-airport-with-the-most-traffic/", "The Airport With the Most Traffic")</f>
        <v/>
      </c>
      <c r="C3342" s="1" t="n">
        <v>73</v>
      </c>
      <c r="D3342" s="1" t="n">
        <v>8</v>
      </c>
      <c r="E3342" s="4">
        <f>IF(INDEX(C:C, ROW())+INDEX(D:D, ROW())=0, 0, INDEX(C:C, ROW())/(INDEX(C:C, ROW())+INDEX(D:D, ROW())))</f>
        <v/>
      </c>
      <c r="F3342" s="1" t="inlineStr">
        <is>
          <t>Database</t>
        </is>
      </c>
      <c r="G3342" s="1" t="inlineStr">
        <is>
          <t>Medium</t>
        </is>
      </c>
      <c r="H3342" s="1" t="n">
        <v>12118</v>
      </c>
      <c r="I3342" s="1" t="n">
        <v>16902</v>
      </c>
      <c r="J3342" s="9" t="n">
        <v>0.717</v>
      </c>
      <c r="K3342" s="1" t="inlineStr">
        <is>
          <t>No</t>
        </is>
      </c>
      <c r="L3342" s="1" t="inlineStr">
        <is>
          <t>No</t>
        </is>
      </c>
      <c r="M3342" s="1" t="inlineStr">
        <is>
          <t>No</t>
        </is>
      </c>
      <c r="N3342" s="1" t="inlineStr">
        <is>
          <t>Database</t>
        </is>
      </c>
      <c r="O33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42" s="11" t="inlineStr">
        <is>
          <t>To Do</t>
        </is>
      </c>
    </row>
    <row r="3343" ht="15.75" customHeight="1" s="12">
      <c r="A3343" s="1" t="n">
        <v>2238</v>
      </c>
      <c r="B3343" s="3">
        <f>HYPERLINK("https://leetcode.com/problems/number-of-times-a-driver-was-a-passenger/", "Number of Times a Driver Was a Passenger")</f>
        <v/>
      </c>
      <c r="C3343" s="1" t="n">
        <v>73</v>
      </c>
      <c r="D3343" s="1" t="n">
        <v>6</v>
      </c>
      <c r="E3343" s="4">
        <f>IF(INDEX(C:C, ROW())+INDEX(D:D, ROW())=0, 0, INDEX(C:C, ROW())/(INDEX(C:C, ROW())+INDEX(D:D, ROW())))</f>
        <v/>
      </c>
      <c r="F3343" s="1" t="inlineStr">
        <is>
          <t>Database</t>
        </is>
      </c>
      <c r="G3343" s="1" t="inlineStr">
        <is>
          <t>Medium</t>
        </is>
      </c>
      <c r="H3343" s="1" t="n">
        <v>11409</v>
      </c>
      <c r="I3343" s="1" t="n">
        <v>15891</v>
      </c>
      <c r="J3343" s="9" t="n">
        <v>0.718</v>
      </c>
      <c r="K3343" s="1" t="inlineStr">
        <is>
          <t>No</t>
        </is>
      </c>
      <c r="L3343" s="1" t="inlineStr">
        <is>
          <t>No</t>
        </is>
      </c>
      <c r="M3343" s="1" t="inlineStr">
        <is>
          <t>No</t>
        </is>
      </c>
      <c r="N3343" s="1" t="inlineStr">
        <is>
          <t>Database</t>
        </is>
      </c>
      <c r="O33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43" s="11" t="inlineStr">
        <is>
          <t>To Do</t>
        </is>
      </c>
    </row>
    <row r="3344" ht="15.75" customHeight="1" s="12">
      <c r="A3344" s="1" t="n">
        <v>2650</v>
      </c>
      <c r="B3344" s="3">
        <f>HYPERLINK("https://leetcode.com/problems/design-cancellable-function/", "Design Cancellable Function")</f>
        <v/>
      </c>
      <c r="C3344" s="1" t="n">
        <v>73</v>
      </c>
      <c r="D3344" s="1" t="n">
        <v>21</v>
      </c>
      <c r="E3344" s="4">
        <f>IF(INDEX(C:C, ROW())+INDEX(D:D, ROW())=0, 0, INDEX(C:C, ROW())/(INDEX(C:C, ROW())+INDEX(D:D, ROW())))</f>
        <v/>
      </c>
      <c r="F3344" s="2" t="n"/>
      <c r="G3344" s="1" t="inlineStr">
        <is>
          <t>Hard</t>
        </is>
      </c>
      <c r="H3344" s="1" t="n">
        <v>4947</v>
      </c>
      <c r="I3344" s="1" t="n">
        <v>8648</v>
      </c>
      <c r="J3344" s="9" t="n">
        <v>0.572</v>
      </c>
      <c r="K3344" s="1" t="inlineStr">
        <is>
          <t>Yes</t>
        </is>
      </c>
      <c r="L3344" s="1" t="inlineStr">
        <is>
          <t>No</t>
        </is>
      </c>
      <c r="M3344" s="1" t="inlineStr">
        <is>
          <t>No</t>
        </is>
      </c>
      <c r="N3344" s="1" t="inlineStr">
        <is>
          <t>JavaScript</t>
        </is>
      </c>
      <c r="O33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44" s="11" t="inlineStr">
        <is>
          <t>To Do</t>
        </is>
      </c>
    </row>
    <row r="3345" ht="15.75" customHeight="1" s="12">
      <c r="A3345" s="1" t="n">
        <v>3345</v>
      </c>
      <c r="B3345" s="3">
        <f>HYPERLINK("https://leetcode.com/problems/smallest-divisible-digit-product-i/", "Smallest Divisible Digit Product I")</f>
        <v/>
      </c>
      <c r="C3345" s="1" t="n">
        <v>73</v>
      </c>
      <c r="D3345" s="1" t="n">
        <v>12</v>
      </c>
      <c r="E3345" s="4">
        <f>IF(INDEX(C:C, ROW())+INDEX(D:D, ROW())=0, 0, INDEX(C:C, ROW())/(INDEX(C:C, ROW())+INDEX(D:D, ROW())))</f>
        <v/>
      </c>
      <c r="F3345" s="1" t="inlineStr">
        <is>
          <t>Math, Enumeration</t>
        </is>
      </c>
      <c r="G3345" s="1" t="inlineStr">
        <is>
          <t>Easy</t>
        </is>
      </c>
      <c r="H3345" s="1" t="n">
        <v>39447</v>
      </c>
      <c r="I3345" s="1" t="n">
        <v>61276</v>
      </c>
      <c r="J3345" s="9" t="n">
        <v>0.644</v>
      </c>
      <c r="K3345" s="1" t="inlineStr">
        <is>
          <t>Yes</t>
        </is>
      </c>
      <c r="L3345" s="1" t="inlineStr">
        <is>
          <t>No</t>
        </is>
      </c>
      <c r="M3345" s="1" t="inlineStr">
        <is>
          <t>No</t>
        </is>
      </c>
      <c r="N3345" s="1" t="inlineStr">
        <is>
          <t>Algorithms</t>
        </is>
      </c>
      <c r="O33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45" s="13" t="inlineStr">
        <is>
          <t>Done</t>
        </is>
      </c>
    </row>
    <row r="3346" ht="15.75" customHeight="1" s="12">
      <c r="A3346" s="1" t="n">
        <v>3518</v>
      </c>
      <c r="B3346" s="3">
        <f>HYPERLINK("https://leetcode.com/problems/smallest-palindromic-rearrangement-ii/", "Smallest Palindromic Rearrangement II")</f>
        <v/>
      </c>
      <c r="C3346" s="1" t="n">
        <v>73</v>
      </c>
      <c r="D3346" s="1" t="n">
        <v>7</v>
      </c>
      <c r="E3346" s="4">
        <f>IF(INDEX(C:C, ROW())+INDEX(D:D, ROW())=0, 0, INDEX(C:C, ROW())/(INDEX(C:C, ROW())+INDEX(D:D, ROW())))</f>
        <v/>
      </c>
      <c r="F3346" s="1" t="inlineStr">
        <is>
          <t>Hash Table, Math, String, Combinatorics, Counting</t>
        </is>
      </c>
      <c r="G3346" s="1" t="inlineStr">
        <is>
          <t>Hard</t>
        </is>
      </c>
      <c r="H3346" s="1" t="n">
        <v>6152</v>
      </c>
      <c r="I3346" s="1" t="n">
        <v>42272</v>
      </c>
      <c r="J3346" s="9" t="n">
        <v>0.146</v>
      </c>
      <c r="K3346" s="1" t="inlineStr">
        <is>
          <t>Yes</t>
        </is>
      </c>
      <c r="L3346" s="1" t="inlineStr">
        <is>
          <t>No</t>
        </is>
      </c>
      <c r="M3346" s="1" t="inlineStr">
        <is>
          <t>No</t>
        </is>
      </c>
      <c r="N3346" s="1" t="inlineStr">
        <is>
          <t>Algorithms</t>
        </is>
      </c>
      <c r="O33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46" s="11" t="inlineStr">
        <is>
          <t>To Do</t>
        </is>
      </c>
    </row>
    <row r="3347" ht="15.75" customHeight="1" s="12">
      <c r="A3347" s="1" t="n">
        <v>3550</v>
      </c>
      <c r="B3347" s="3">
        <f>HYPERLINK("https://leetcode.com/problems/smallest-index-with-digit-sum-equal-to-index/", "Smallest Index With Digit Sum Equal to Index")</f>
        <v/>
      </c>
      <c r="C3347" s="1" t="n">
        <v>73</v>
      </c>
      <c r="D3347" s="1" t="n">
        <v>3</v>
      </c>
      <c r="E3347" s="4">
        <f>IF(INDEX(C:C, ROW())+INDEX(D:D, ROW())=0, 0, INDEX(C:C, ROW())/(INDEX(C:C, ROW())+INDEX(D:D, ROW())))</f>
        <v/>
      </c>
      <c r="F3347" s="1" t="inlineStr">
        <is>
          <t>Array, Math</t>
        </is>
      </c>
      <c r="G3347" s="1" t="inlineStr">
        <is>
          <t>Easy</t>
        </is>
      </c>
      <c r="H3347" s="1" t="n">
        <v>55710</v>
      </c>
      <c r="I3347" s="1" t="n">
        <v>69459</v>
      </c>
      <c r="J3347" s="9" t="n">
        <v>0.802</v>
      </c>
      <c r="K3347" s="1" t="inlineStr">
        <is>
          <t>Yes</t>
        </is>
      </c>
      <c r="L3347" s="1" t="inlineStr">
        <is>
          <t>No</t>
        </is>
      </c>
      <c r="M3347" s="1" t="inlineStr">
        <is>
          <t>No</t>
        </is>
      </c>
      <c r="N3347" s="1" t="inlineStr">
        <is>
          <t>Algorithms</t>
        </is>
      </c>
      <c r="O33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47" s="13" t="inlineStr">
        <is>
          <t>Done</t>
        </is>
      </c>
    </row>
    <row r="3348" ht="15.75" customHeight="1" s="12">
      <c r="A3348" s="1" t="n">
        <v>3635</v>
      </c>
      <c r="B3348" s="3">
        <f>HYPERLINK("https://leetcode.com/problems/earliest-finish-time-for-land-and-water-rides-ii/", "Earliest Finish Time for Land and Water Rides II")</f>
        <v/>
      </c>
      <c r="C3348" s="1" t="n">
        <v>73</v>
      </c>
      <c r="D3348" s="1" t="n">
        <v>3</v>
      </c>
      <c r="E3348" s="4">
        <f>IF(INDEX(C:C, ROW())+INDEX(D:D, ROW())=0, 0, INDEX(C:C, ROW())/(INDEX(C:C, ROW())+INDEX(D:D, ROW())))</f>
        <v/>
      </c>
      <c r="F3348" s="1" t="inlineStr">
        <is>
          <t>Array, Two Pointers, Binary Search, Greedy, Sorting</t>
        </is>
      </c>
      <c r="G3348" s="1" t="inlineStr">
        <is>
          <t>Medium</t>
        </is>
      </c>
      <c r="H3348" s="1" t="n">
        <v>13149</v>
      </c>
      <c r="I3348" s="1" t="n">
        <v>37255</v>
      </c>
      <c r="J3348" s="9" t="n">
        <v>0.353</v>
      </c>
      <c r="K3348" s="1" t="inlineStr">
        <is>
          <t>Yes</t>
        </is>
      </c>
      <c r="L3348" s="1" t="inlineStr">
        <is>
          <t>No</t>
        </is>
      </c>
      <c r="M3348" s="1" t="inlineStr">
        <is>
          <t>No</t>
        </is>
      </c>
      <c r="N3348" s="1" t="inlineStr">
        <is>
          <t>Algorithms</t>
        </is>
      </c>
      <c r="O33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48" s="11" t="inlineStr">
        <is>
          <t>To Do</t>
        </is>
      </c>
    </row>
    <row r="3349" ht="15.75" customHeight="1" s="12">
      <c r="A3349" s="1" t="n">
        <v>3885</v>
      </c>
      <c r="B3349" s="3">
        <f>HYPERLINK("https://leetcode.com/problems/design-event-manager/", "Design Event Manager")</f>
        <v/>
      </c>
      <c r="C3349" s="1" t="n">
        <v>73</v>
      </c>
      <c r="D3349" s="1" t="n">
        <v>5</v>
      </c>
      <c r="E3349" s="4">
        <f>IF(INDEX(C:C, ROW())+INDEX(D:D, ROW())=0, 0, INDEX(C:C, ROW())/(INDEX(C:C, ROW())+INDEX(D:D, ROW())))</f>
        <v/>
      </c>
      <c r="F3349" s="1" t="inlineStr">
        <is>
          <t>Array, Hash Table, Design, Heap (Priority Queue), Ordered Set</t>
        </is>
      </c>
      <c r="G3349" s="1" t="inlineStr">
        <is>
          <t>Medium</t>
        </is>
      </c>
      <c r="H3349" s="1" t="n">
        <v>28781</v>
      </c>
      <c r="I3349" s="1" t="n">
        <v>56619</v>
      </c>
      <c r="J3349" s="9" t="n">
        <v>0.508</v>
      </c>
      <c r="K3349" s="1" t="inlineStr">
        <is>
          <t>Yes</t>
        </is>
      </c>
      <c r="L3349" s="1" t="inlineStr">
        <is>
          <t>No</t>
        </is>
      </c>
      <c r="M3349" s="1" t="inlineStr">
        <is>
          <t>No</t>
        </is>
      </c>
      <c r="N3349" s="1" t="inlineStr">
        <is>
          <t>Algorithms</t>
        </is>
      </c>
      <c r="O33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49" s="11" t="inlineStr">
        <is>
          <t>To Do</t>
        </is>
      </c>
    </row>
    <row r="3350" ht="15.75" customHeight="1" s="12">
      <c r="A3350" s="1" t="n">
        <v>1826</v>
      </c>
      <c r="B3350" s="3">
        <f>HYPERLINK("https://leetcode.com/problems/faulty-sensor/", "Faulty Sensor")</f>
        <v/>
      </c>
      <c r="C3350" s="1" t="n">
        <v>72</v>
      </c>
      <c r="D3350" s="1" t="n">
        <v>85</v>
      </c>
      <c r="E3350" s="4">
        <f>IF(INDEX(C:C, ROW())+INDEX(D:D, ROW())=0, 0, INDEX(C:C, ROW())/(INDEX(C:C, ROW())+INDEX(D:D, ROW())))</f>
        <v/>
      </c>
      <c r="F3350" s="1" t="inlineStr">
        <is>
          <t>Array, Two Pointers</t>
        </is>
      </c>
      <c r="G3350" s="1" t="inlineStr">
        <is>
          <t>Easy</t>
        </is>
      </c>
      <c r="H3350" s="1" t="n">
        <v>7059</v>
      </c>
      <c r="I3350" s="1" t="n">
        <v>13976</v>
      </c>
      <c r="J3350" s="9" t="n">
        <v>0.505</v>
      </c>
      <c r="K3350" s="1" t="inlineStr">
        <is>
          <t>No</t>
        </is>
      </c>
      <c r="L3350" s="1" t="inlineStr">
        <is>
          <t>No</t>
        </is>
      </c>
      <c r="M3350" s="1" t="inlineStr">
        <is>
          <t>No</t>
        </is>
      </c>
      <c r="N3350" s="1" t="inlineStr">
        <is>
          <t>Algorithms</t>
        </is>
      </c>
      <c r="O33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50" s="11" t="inlineStr">
        <is>
          <t>To Do</t>
        </is>
      </c>
    </row>
    <row r="3351" ht="15.75" customHeight="1" s="12">
      <c r="A3351" s="1" t="n">
        <v>2219</v>
      </c>
      <c r="B3351" s="3">
        <f>HYPERLINK("https://leetcode.com/problems/maximum-sum-score-of-array/", "Maximum Sum Score of Array")</f>
        <v/>
      </c>
      <c r="C3351" s="1" t="n">
        <v>72</v>
      </c>
      <c r="D3351" s="1" t="n">
        <v>19</v>
      </c>
      <c r="E3351" s="4">
        <f>IF(INDEX(C:C, ROW())+INDEX(D:D, ROW())=0, 0, INDEX(C:C, ROW())/(INDEX(C:C, ROW())+INDEX(D:D, ROW())))</f>
        <v/>
      </c>
      <c r="F3351" s="1" t="inlineStr">
        <is>
          <t>Array, Prefix Sum</t>
        </is>
      </c>
      <c r="G3351" s="1" t="inlineStr">
        <is>
          <t>Medium</t>
        </is>
      </c>
      <c r="H3351" s="1" t="n">
        <v>5868</v>
      </c>
      <c r="I3351" s="1" t="n">
        <v>9371</v>
      </c>
      <c r="J3351" s="9" t="n">
        <v>0.626</v>
      </c>
      <c r="K3351" s="1" t="inlineStr">
        <is>
          <t>No</t>
        </is>
      </c>
      <c r="L3351" s="1" t="inlineStr">
        <is>
          <t>No</t>
        </is>
      </c>
      <c r="M3351" s="1" t="inlineStr">
        <is>
          <t>No</t>
        </is>
      </c>
      <c r="N3351" s="1" t="inlineStr">
        <is>
          <t>Algorithms</t>
        </is>
      </c>
      <c r="O33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51" s="11" t="inlineStr">
        <is>
          <t>To Do</t>
        </is>
      </c>
    </row>
    <row r="3352" ht="15.75" customHeight="1" s="12">
      <c r="A3352" s="1" t="n">
        <v>3582</v>
      </c>
      <c r="B3352" s="3">
        <f>HYPERLINK("https://leetcode.com/problems/generate-tag-for-video-caption/", "Generate Tag for Video Caption")</f>
        <v/>
      </c>
      <c r="C3352" s="1" t="n">
        <v>72</v>
      </c>
      <c r="D3352" s="1" t="n">
        <v>30</v>
      </c>
      <c r="E3352" s="4">
        <f>IF(INDEX(C:C, ROW())+INDEX(D:D, ROW())=0, 0, INDEX(C:C, ROW())/(INDEX(C:C, ROW())+INDEX(D:D, ROW())))</f>
        <v/>
      </c>
      <c r="F3352" s="1" t="inlineStr">
        <is>
          <t>String, Simulation</t>
        </is>
      </c>
      <c r="G3352" s="1" t="inlineStr">
        <is>
          <t>Easy</t>
        </is>
      </c>
      <c r="H3352" s="1" t="n">
        <v>43722</v>
      </c>
      <c r="I3352" s="1" t="n">
        <v>134669</v>
      </c>
      <c r="J3352" s="9" t="n">
        <v>0.325</v>
      </c>
      <c r="K3352" s="1" t="inlineStr">
        <is>
          <t>Yes</t>
        </is>
      </c>
      <c r="L3352" s="1" t="inlineStr">
        <is>
          <t>No</t>
        </is>
      </c>
      <c r="M3352" s="1" t="inlineStr">
        <is>
          <t>No</t>
        </is>
      </c>
      <c r="N3352" s="1" t="inlineStr">
        <is>
          <t>Algorithms</t>
        </is>
      </c>
      <c r="O33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52" s="13" t="inlineStr">
        <is>
          <t>Done</t>
        </is>
      </c>
    </row>
    <row r="3353" ht="15.75" customHeight="1" s="12">
      <c r="A3353" s="1" t="n">
        <v>3585</v>
      </c>
      <c r="B3353" s="3">
        <f>HYPERLINK("https://leetcode.com/problems/find-weighted-median-node-in-tree/", "Find Weighted Median Node in Tree")</f>
        <v/>
      </c>
      <c r="C3353" s="1" t="n">
        <v>72</v>
      </c>
      <c r="D3353" s="1" t="n">
        <v>6</v>
      </c>
      <c r="E3353" s="4">
        <f>IF(INDEX(C:C, ROW())+INDEX(D:D, ROW())=0, 0, INDEX(C:C, ROW())/(INDEX(C:C, ROW())+INDEX(D:D, ROW())))</f>
        <v/>
      </c>
      <c r="F3353" s="1" t="inlineStr">
        <is>
          <t>Array, Binary Search, Dynamic Programming, Bit Manipulation, Tree, Depth-First Search</t>
        </is>
      </c>
      <c r="G3353" s="1" t="inlineStr">
        <is>
          <t>Hard</t>
        </is>
      </c>
      <c r="H3353" s="1" t="n">
        <v>4598</v>
      </c>
      <c r="I3353" s="1" t="n">
        <v>17305</v>
      </c>
      <c r="J3353" s="9" t="n">
        <v>0.266</v>
      </c>
      <c r="K3353" s="1" t="inlineStr">
        <is>
          <t>Yes</t>
        </is>
      </c>
      <c r="L3353" s="1" t="inlineStr">
        <is>
          <t>No</t>
        </is>
      </c>
      <c r="M3353" s="1" t="inlineStr">
        <is>
          <t>No</t>
        </is>
      </c>
      <c r="N3353" s="1" t="inlineStr">
        <is>
          <t>Algorithms</t>
        </is>
      </c>
      <c r="O33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53" s="11" t="inlineStr">
        <is>
          <t>To Do</t>
        </is>
      </c>
    </row>
    <row r="3354" ht="15.75" customHeight="1" s="12">
      <c r="A3354" s="1" t="n">
        <v>3597</v>
      </c>
      <c r="B3354" s="3">
        <f>HYPERLINK("https://leetcode.com/problems/partition-string/", "Partition String ")</f>
        <v/>
      </c>
      <c r="C3354" s="1" t="n">
        <v>72</v>
      </c>
      <c r="D3354" s="1" t="n">
        <v>8</v>
      </c>
      <c r="E3354" s="4">
        <f>IF(INDEX(C:C, ROW())+INDEX(D:D, ROW())=0, 0, INDEX(C:C, ROW())/(INDEX(C:C, ROW())+INDEX(D:D, ROW())))</f>
        <v/>
      </c>
      <c r="F3354" s="1" t="inlineStr">
        <is>
          <t>Hash Table, String, Trie, Simulation</t>
        </is>
      </c>
      <c r="G3354" s="1" t="inlineStr">
        <is>
          <t>Medium</t>
        </is>
      </c>
      <c r="H3354" s="1" t="n">
        <v>39278</v>
      </c>
      <c r="I3354" s="1" t="n">
        <v>66500</v>
      </c>
      <c r="J3354" s="9" t="n">
        <v>0.591</v>
      </c>
      <c r="K3354" s="1" t="inlineStr">
        <is>
          <t>Yes</t>
        </is>
      </c>
      <c r="L3354" s="1" t="inlineStr">
        <is>
          <t>No</t>
        </is>
      </c>
      <c r="M3354" s="1" t="inlineStr">
        <is>
          <t>No</t>
        </is>
      </c>
      <c r="N3354" s="1" t="inlineStr">
        <is>
          <t>Algorithms</t>
        </is>
      </c>
      <c r="O33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54" s="11" t="inlineStr">
        <is>
          <t>To Do</t>
        </is>
      </c>
    </row>
    <row r="3355" ht="15.75" customHeight="1" s="12">
      <c r="A3355" s="1" t="n">
        <v>3633</v>
      </c>
      <c r="B3355" s="3">
        <f>HYPERLINK("https://leetcode.com/problems/earliest-finish-time-for-land-and-water-rides-i/", "Earliest Finish Time for Land and Water Rides I")</f>
        <v/>
      </c>
      <c r="C3355" s="1" t="n">
        <v>72</v>
      </c>
      <c r="D3355" s="1" t="n">
        <v>18</v>
      </c>
      <c r="E3355" s="4">
        <f>IF(INDEX(C:C, ROW())+INDEX(D:D, ROW())=0, 0, INDEX(C:C, ROW())/(INDEX(C:C, ROW())+INDEX(D:D, ROW())))</f>
        <v/>
      </c>
      <c r="F3355" s="1" t="inlineStr">
        <is>
          <t>Array, Two Pointers, Binary Search, Greedy, Sorting</t>
        </is>
      </c>
      <c r="G3355" s="1" t="inlineStr">
        <is>
          <t>Easy</t>
        </is>
      </c>
      <c r="H3355" s="1" t="n">
        <v>33781</v>
      </c>
      <c r="I3355" s="1" t="n">
        <v>54430</v>
      </c>
      <c r="J3355" s="9" t="n">
        <v>0.621</v>
      </c>
      <c r="K3355" s="1" t="inlineStr">
        <is>
          <t>Yes</t>
        </is>
      </c>
      <c r="L3355" s="1" t="inlineStr">
        <is>
          <t>No</t>
        </is>
      </c>
      <c r="M3355" s="1" t="inlineStr">
        <is>
          <t>No</t>
        </is>
      </c>
      <c r="N3355" s="1" t="inlineStr">
        <is>
          <t>Algorithms</t>
        </is>
      </c>
      <c r="O33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55" s="13" t="inlineStr">
        <is>
          <t>Done</t>
        </is>
      </c>
    </row>
    <row r="3356" ht="15.75" customHeight="1" s="12">
      <c r="A3356" s="1" t="n">
        <v>3756</v>
      </c>
      <c r="B3356" s="3">
        <f>HYPERLINK("https://leetcode.com/problems/concatenate-non-zero-digits-and-multiply-by-sum-ii/", "Concatenate Non-Zero Digits and Multiply by Sum II")</f>
        <v/>
      </c>
      <c r="C3356" s="1" t="n">
        <v>72</v>
      </c>
      <c r="D3356" s="1" t="n">
        <v>12</v>
      </c>
      <c r="E3356" s="4">
        <f>IF(INDEX(C:C, ROW())+INDEX(D:D, ROW())=0, 0, INDEX(C:C, ROW())/(INDEX(C:C, ROW())+INDEX(D:D, ROW())))</f>
        <v/>
      </c>
      <c r="F3356" s="1" t="inlineStr">
        <is>
          <t>Math, String, Prefix Sum</t>
        </is>
      </c>
      <c r="G3356" s="1" t="inlineStr">
        <is>
          <t>Medium</t>
        </is>
      </c>
      <c r="H3356" s="1" t="n">
        <v>10574</v>
      </c>
      <c r="I3356" s="1" t="n">
        <v>43283</v>
      </c>
      <c r="J3356" s="9" t="n">
        <v>0.244</v>
      </c>
      <c r="K3356" s="1" t="inlineStr">
        <is>
          <t>Yes</t>
        </is>
      </c>
      <c r="L3356" s="1" t="inlineStr">
        <is>
          <t>No</t>
        </is>
      </c>
      <c r="M3356" s="1" t="inlineStr">
        <is>
          <t>No</t>
        </is>
      </c>
      <c r="N3356" s="1" t="inlineStr">
        <is>
          <t>Algorithms</t>
        </is>
      </c>
      <c r="O33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56" s="11" t="inlineStr">
        <is>
          <t>To Do</t>
        </is>
      </c>
    </row>
    <row r="3357" ht="15.75" customHeight="1" s="12">
      <c r="A3357" s="1" t="n">
        <v>3830</v>
      </c>
      <c r="B3357" s="3">
        <f>HYPERLINK("https://leetcode.com/problems/longest-alternating-subarray-after-removing-at-most-one-element/", "Longest Alternating Subarray After Removing At Most One Element")</f>
        <v/>
      </c>
      <c r="C3357" s="1" t="n">
        <v>72</v>
      </c>
      <c r="D3357" s="1" t="n">
        <v>1</v>
      </c>
      <c r="E3357" s="4">
        <f>IF(INDEX(C:C, ROW())+INDEX(D:D, ROW())=0, 0, INDEX(C:C, ROW())/(INDEX(C:C, ROW())+INDEX(D:D, ROW())))</f>
        <v/>
      </c>
      <c r="F3357" s="1" t="inlineStr">
        <is>
          <t>Array, Dynamic Programming, Enumeration</t>
        </is>
      </c>
      <c r="G3357" s="1" t="inlineStr">
        <is>
          <t>Hard</t>
        </is>
      </c>
      <c r="H3357" s="1" t="n">
        <v>8077</v>
      </c>
      <c r="I3357" s="1" t="n">
        <v>26074</v>
      </c>
      <c r="J3357" s="9" t="n">
        <v>0.31</v>
      </c>
      <c r="K3357" s="1" t="inlineStr">
        <is>
          <t>Yes</t>
        </is>
      </c>
      <c r="L3357" s="1" t="inlineStr">
        <is>
          <t>No</t>
        </is>
      </c>
      <c r="M3357" s="1" t="inlineStr">
        <is>
          <t>No</t>
        </is>
      </c>
      <c r="N3357" s="1" t="inlineStr">
        <is>
          <t>Algorithms</t>
        </is>
      </c>
      <c r="O33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57" s="11" t="inlineStr">
        <is>
          <t>To Do</t>
        </is>
      </c>
    </row>
    <row r="3358" ht="15.75" customHeight="1" s="12">
      <c r="A3358" s="1" t="n">
        <v>3876</v>
      </c>
      <c r="B3358" s="3">
        <f>HYPERLINK("https://leetcode.com/problems/construct-uniform-parity-array-ii/", "Construct Uniform Parity Array II")</f>
        <v/>
      </c>
      <c r="C3358" s="1" t="n">
        <v>72</v>
      </c>
      <c r="D3358" s="1" t="n">
        <v>7</v>
      </c>
      <c r="E3358" s="4">
        <f>IF(INDEX(C:C, ROW())+INDEX(D:D, ROW())=0, 0, INDEX(C:C, ROW())/(INDEX(C:C, ROW())+INDEX(D:D, ROW())))</f>
        <v/>
      </c>
      <c r="F3358" s="1" t="inlineStr">
        <is>
          <t>Array, Math</t>
        </is>
      </c>
      <c r="G3358" s="1" t="inlineStr">
        <is>
          <t>Medium</t>
        </is>
      </c>
      <c r="H3358" s="1" t="n">
        <v>37266</v>
      </c>
      <c r="I3358" s="1" t="n">
        <v>74722</v>
      </c>
      <c r="J3358" s="9" t="n">
        <v>0.499</v>
      </c>
      <c r="K3358" s="1" t="inlineStr">
        <is>
          <t>Yes</t>
        </is>
      </c>
      <c r="L3358" s="1" t="inlineStr">
        <is>
          <t>No</t>
        </is>
      </c>
      <c r="M3358" s="1" t="inlineStr">
        <is>
          <t>No</t>
        </is>
      </c>
      <c r="N3358" s="1" t="inlineStr">
        <is>
          <t>Algorithms</t>
        </is>
      </c>
      <c r="O33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58" s="11" t="inlineStr">
        <is>
          <t>To Do</t>
        </is>
      </c>
    </row>
    <row r="3359" ht="15.75" customHeight="1" s="12">
      <c r="A3359" s="1" t="n">
        <v>2072</v>
      </c>
      <c r="B3359" s="3">
        <f>HYPERLINK("https://leetcode.com/problems/the-winner-university/", "The Winner University")</f>
        <v/>
      </c>
      <c r="C3359" s="1" t="n">
        <v>71</v>
      </c>
      <c r="D3359" s="1" t="n">
        <v>3</v>
      </c>
      <c r="E3359" s="4">
        <f>IF(INDEX(C:C, ROW())+INDEX(D:D, ROW())=0, 0, INDEX(C:C, ROW())/(INDEX(C:C, ROW())+INDEX(D:D, ROW())))</f>
        <v/>
      </c>
      <c r="F3359" s="1" t="inlineStr">
        <is>
          <t>Database</t>
        </is>
      </c>
      <c r="G3359" s="1" t="inlineStr">
        <is>
          <t>Easy</t>
        </is>
      </c>
      <c r="H3359" s="1" t="n">
        <v>15002</v>
      </c>
      <c r="I3359" s="1" t="n">
        <v>19849</v>
      </c>
      <c r="J3359" s="9" t="n">
        <v>0.756</v>
      </c>
      <c r="K3359" s="1" t="inlineStr">
        <is>
          <t>No</t>
        </is>
      </c>
      <c r="L3359" s="1" t="inlineStr">
        <is>
          <t>Yes</t>
        </is>
      </c>
      <c r="M3359" s="1" t="inlineStr">
        <is>
          <t>No</t>
        </is>
      </c>
      <c r="N3359" s="1" t="inlineStr">
        <is>
          <t>Database</t>
        </is>
      </c>
      <c r="O33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59" s="11" t="inlineStr">
        <is>
          <t>To Do</t>
        </is>
      </c>
    </row>
    <row r="3360" ht="15.75" customHeight="1" s="12">
      <c r="A3360" s="1" t="n">
        <v>3360</v>
      </c>
      <c r="B3360" s="3">
        <f>HYPERLINK("https://leetcode.com/problems/stone-removal-game/", "Stone Removal Game")</f>
        <v/>
      </c>
      <c r="C3360" s="1" t="n">
        <v>71</v>
      </c>
      <c r="D3360" s="1" t="n">
        <v>5</v>
      </c>
      <c r="E3360" s="4">
        <f>IF(INDEX(C:C, ROW())+INDEX(D:D, ROW())=0, 0, INDEX(C:C, ROW())/(INDEX(C:C, ROW())+INDEX(D:D, ROW())))</f>
        <v/>
      </c>
      <c r="F3360" s="1" t="inlineStr">
        <is>
          <t>Math, Simulation</t>
        </is>
      </c>
      <c r="G3360" s="1" t="inlineStr">
        <is>
          <t>Easy</t>
        </is>
      </c>
      <c r="H3360" s="1" t="n">
        <v>33673</v>
      </c>
      <c r="I3360" s="1" t="n">
        <v>79253</v>
      </c>
      <c r="J3360" s="9" t="n">
        <v>0.425</v>
      </c>
      <c r="K3360" s="1" t="inlineStr">
        <is>
          <t>Yes</t>
        </is>
      </c>
      <c r="L3360" s="1" t="inlineStr">
        <is>
          <t>No</t>
        </is>
      </c>
      <c r="M3360" s="1" t="inlineStr">
        <is>
          <t>No</t>
        </is>
      </c>
      <c r="N3360" s="1" t="inlineStr">
        <is>
          <t>Algorithms</t>
        </is>
      </c>
      <c r="O33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60" s="13" t="inlineStr">
        <is>
          <t>Done</t>
        </is>
      </c>
    </row>
    <row r="3361" ht="15.75" customHeight="1" s="12">
      <c r="A3361" s="1" t="n">
        <v>3497</v>
      </c>
      <c r="B3361" s="3">
        <f>HYPERLINK("https://leetcode.com/problems/analyze-subscription-conversion/", "Analyze Subscription Conversion ")</f>
        <v/>
      </c>
      <c r="C3361" s="1" t="n">
        <v>71</v>
      </c>
      <c r="D3361" s="1" t="n">
        <v>6</v>
      </c>
      <c r="E3361" s="4">
        <f>IF(INDEX(C:C, ROW())+INDEX(D:D, ROW())=0, 0, INDEX(C:C, ROW())/(INDEX(C:C, ROW())+INDEX(D:D, ROW())))</f>
        <v/>
      </c>
      <c r="F3361" s="1" t="inlineStr">
        <is>
          <t>Database</t>
        </is>
      </c>
      <c r="G3361" s="1" t="inlineStr">
        <is>
          <t>Medium</t>
        </is>
      </c>
      <c r="H3361" s="1" t="n">
        <v>23428</v>
      </c>
      <c r="I3361" s="1" t="n">
        <v>31495</v>
      </c>
      <c r="J3361" s="9" t="n">
        <v>0.744</v>
      </c>
      <c r="K3361" s="1" t="inlineStr">
        <is>
          <t>Yes</t>
        </is>
      </c>
      <c r="L3361" s="1" t="inlineStr">
        <is>
          <t>No</t>
        </is>
      </c>
      <c r="M3361" s="1" t="inlineStr">
        <is>
          <t>No</t>
        </is>
      </c>
      <c r="N3361" s="1" t="inlineStr">
        <is>
          <t>Database</t>
        </is>
      </c>
      <c r="O33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61" s="11" t="inlineStr">
        <is>
          <t>To Do</t>
        </is>
      </c>
    </row>
    <row r="3362" ht="15.75" customHeight="1" s="12">
      <c r="A3362" s="1" t="n">
        <v>3499</v>
      </c>
      <c r="B3362" s="3">
        <f>HYPERLINK("https://leetcode.com/problems/maximize-active-section-with-trade-i/", "Maximize Active Section with Trade I")</f>
        <v/>
      </c>
      <c r="C3362" s="1" t="n">
        <v>71</v>
      </c>
      <c r="D3362" s="1" t="n">
        <v>28</v>
      </c>
      <c r="E3362" s="4">
        <f>IF(INDEX(C:C, ROW())+INDEX(D:D, ROW())=0, 0, INDEX(C:C, ROW())/(INDEX(C:C, ROW())+INDEX(D:D, ROW())))</f>
        <v/>
      </c>
      <c r="F3362" s="1" t="inlineStr">
        <is>
          <t>String, Enumeration</t>
        </is>
      </c>
      <c r="G3362" s="1" t="inlineStr">
        <is>
          <t>Medium</t>
        </is>
      </c>
      <c r="H3362" s="1" t="n">
        <v>14157</v>
      </c>
      <c r="I3362" s="1" t="n">
        <v>44939</v>
      </c>
      <c r="J3362" s="9" t="n">
        <v>0.315</v>
      </c>
      <c r="K3362" s="1" t="inlineStr">
        <is>
          <t>Yes</t>
        </is>
      </c>
      <c r="L3362" s="1" t="inlineStr">
        <is>
          <t>No</t>
        </is>
      </c>
      <c r="M3362" s="1" t="inlineStr">
        <is>
          <t>No</t>
        </is>
      </c>
      <c r="N3362" s="1" t="inlineStr">
        <is>
          <t>Algorithms</t>
        </is>
      </c>
      <c r="O33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62" s="11" t="inlineStr">
        <is>
          <t>To Do</t>
        </is>
      </c>
    </row>
    <row r="3363" ht="15.75" customHeight="1" s="12">
      <c r="A3363" s="1" t="n">
        <v>3591</v>
      </c>
      <c r="B3363" s="3">
        <f>HYPERLINK("https://leetcode.com/problems/check-if-any-element-has-prime-frequency/", "Check if Any Element Has Prime Frequency")</f>
        <v/>
      </c>
      <c r="C3363" s="1" t="n">
        <v>71</v>
      </c>
      <c r="D3363" s="1" t="n">
        <v>2</v>
      </c>
      <c r="E3363" s="4">
        <f>IF(INDEX(C:C, ROW())+INDEX(D:D, ROW())=0, 0, INDEX(C:C, ROW())/(INDEX(C:C, ROW())+INDEX(D:D, ROW())))</f>
        <v/>
      </c>
      <c r="F3363" s="1" t="inlineStr">
        <is>
          <t>Array, Hash Table, Math, Counting, Number Theory</t>
        </is>
      </c>
      <c r="G3363" s="1" t="inlineStr">
        <is>
          <t>Easy</t>
        </is>
      </c>
      <c r="H3363" s="1" t="n">
        <v>54460</v>
      </c>
      <c r="I3363" s="1" t="n">
        <v>87127</v>
      </c>
      <c r="J3363" s="9" t="n">
        <v>0.625</v>
      </c>
      <c r="K3363" s="1" t="inlineStr">
        <is>
          <t>Yes</t>
        </is>
      </c>
      <c r="L3363" s="1" t="inlineStr">
        <is>
          <t>No</t>
        </is>
      </c>
      <c r="M3363" s="1" t="inlineStr">
        <is>
          <t>No</t>
        </is>
      </c>
      <c r="N3363" s="1" t="inlineStr">
        <is>
          <t>Algorithms</t>
        </is>
      </c>
      <c r="O33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63" s="13" t="inlineStr">
        <is>
          <t>Done</t>
        </is>
      </c>
    </row>
    <row r="3364" ht="15.75" customHeight="1" s="12">
      <c r="A3364" s="1" t="n">
        <v>3727</v>
      </c>
      <c r="B3364" s="3">
        <f>HYPERLINK("https://leetcode.com/problems/maximum-alternating-sum-of-squares/", "Maximum Alternating Sum of Squares")</f>
        <v/>
      </c>
      <c r="C3364" s="1" t="n">
        <v>71</v>
      </c>
      <c r="D3364" s="1" t="n">
        <v>1</v>
      </c>
      <c r="E3364" s="4">
        <f>IF(INDEX(C:C, ROW())+INDEX(D:D, ROW())=0, 0, INDEX(C:C, ROW())/(INDEX(C:C, ROW())+INDEX(D:D, ROW())))</f>
        <v/>
      </c>
      <c r="F3364" s="1" t="inlineStr">
        <is>
          <t>Array, Greedy, Sorting</t>
        </is>
      </c>
      <c r="G3364" s="1" t="inlineStr">
        <is>
          <t>Medium</t>
        </is>
      </c>
      <c r="H3364" s="1" t="n">
        <v>33940</v>
      </c>
      <c r="I3364" s="1" t="n">
        <v>55219</v>
      </c>
      <c r="J3364" s="9" t="n">
        <v>0.615</v>
      </c>
      <c r="K3364" s="1" t="inlineStr">
        <is>
          <t>Yes</t>
        </is>
      </c>
      <c r="L3364" s="1" t="inlineStr">
        <is>
          <t>No</t>
        </is>
      </c>
      <c r="M3364" s="1" t="inlineStr">
        <is>
          <t>No</t>
        </is>
      </c>
      <c r="N3364" s="1" t="inlineStr">
        <is>
          <t>Algorithms</t>
        </is>
      </c>
      <c r="O33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64" s="11" t="inlineStr">
        <is>
          <t>To Do</t>
        </is>
      </c>
    </row>
    <row r="3365" ht="15.75" customHeight="1" s="12">
      <c r="A3365" s="1" t="n">
        <v>3786</v>
      </c>
      <c r="B3365" s="3">
        <f>HYPERLINK("https://leetcode.com/problems/total-sum-of-interaction-cost-in-tree-groups/", "Total Sum of Interaction Cost in Tree Groups")</f>
        <v/>
      </c>
      <c r="C3365" s="1" t="n">
        <v>71</v>
      </c>
      <c r="D3365" s="1" t="n">
        <v>4</v>
      </c>
      <c r="E3365" s="4">
        <f>IF(INDEX(C:C, ROW())+INDEX(D:D, ROW())=0, 0, INDEX(C:C, ROW())/(INDEX(C:C, ROW())+INDEX(D:D, ROW())))</f>
        <v/>
      </c>
      <c r="F3365" s="1" t="inlineStr">
        <is>
          <t>Array, Tree, Depth-First Search</t>
        </is>
      </c>
      <c r="G3365" s="1" t="inlineStr">
        <is>
          <t>Hard</t>
        </is>
      </c>
      <c r="H3365" s="1" t="n">
        <v>7442</v>
      </c>
      <c r="I3365" s="1" t="n">
        <v>13756</v>
      </c>
      <c r="J3365" s="9" t="n">
        <v>0.541</v>
      </c>
      <c r="K3365" s="1" t="inlineStr">
        <is>
          <t>Yes</t>
        </is>
      </c>
      <c r="L3365" s="1" t="inlineStr">
        <is>
          <t>No</t>
        </is>
      </c>
      <c r="M3365" s="1" t="inlineStr">
        <is>
          <t>No</t>
        </is>
      </c>
      <c r="N3365" s="1" t="inlineStr">
        <is>
          <t>Algorithms</t>
        </is>
      </c>
      <c r="O33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65" s="11" t="inlineStr">
        <is>
          <t>To Do</t>
        </is>
      </c>
    </row>
    <row r="3366" ht="15.75" customHeight="1" s="12">
      <c r="A3366" s="1" t="n">
        <v>3788</v>
      </c>
      <c r="B3366" s="3">
        <f>HYPERLINK("https://leetcode.com/problems/maximum-score-of-a-split/", "Maximum Score of a Split")</f>
        <v/>
      </c>
      <c r="C3366" s="1" t="n">
        <v>71</v>
      </c>
      <c r="D3366" s="1" t="n">
        <v>7</v>
      </c>
      <c r="E3366" s="4">
        <f>IF(INDEX(C:C, ROW())+INDEX(D:D, ROW())=0, 0, INDEX(C:C, ROW())/(INDEX(C:C, ROW())+INDEX(D:D, ROW())))</f>
        <v/>
      </c>
      <c r="F3366" s="1" t="inlineStr">
        <is>
          <t>Array, Prefix Sum</t>
        </is>
      </c>
      <c r="G3366" s="1" t="inlineStr">
        <is>
          <t>Medium</t>
        </is>
      </c>
      <c r="H3366" s="1" t="n">
        <v>38413</v>
      </c>
      <c r="I3366" s="1" t="n">
        <v>74063</v>
      </c>
      <c r="J3366" s="9" t="n">
        <v>0.519</v>
      </c>
      <c r="K3366" s="1" t="inlineStr">
        <is>
          <t>Yes</t>
        </is>
      </c>
      <c r="L3366" s="1" t="inlineStr">
        <is>
          <t>No</t>
        </is>
      </c>
      <c r="M3366" s="1" t="inlineStr">
        <is>
          <t>No</t>
        </is>
      </c>
      <c r="N3366" s="1" t="inlineStr">
        <is>
          <t>Algorithms</t>
        </is>
      </c>
      <c r="O33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66" s="11" t="inlineStr">
        <is>
          <t>To Do</t>
        </is>
      </c>
    </row>
    <row r="3367" ht="15.75" customHeight="1" s="12">
      <c r="A3367" s="1" t="n">
        <v>3564</v>
      </c>
      <c r="B3367" s="3">
        <f>HYPERLINK("https://leetcode.com/problems/seasonal-sales-analysis/", "Seasonal Sales Analysis")</f>
        <v/>
      </c>
      <c r="C3367" s="1" t="n">
        <v>70</v>
      </c>
      <c r="D3367" s="1" t="n">
        <v>4</v>
      </c>
      <c r="E3367" s="4">
        <f>IF(INDEX(C:C, ROW())+INDEX(D:D, ROW())=0, 0, INDEX(C:C, ROW())/(INDEX(C:C, ROW())+INDEX(D:D, ROW())))</f>
        <v/>
      </c>
      <c r="F3367" s="1" t="inlineStr">
        <is>
          <t>Database</t>
        </is>
      </c>
      <c r="G3367" s="1" t="inlineStr">
        <is>
          <t>Medium</t>
        </is>
      </c>
      <c r="H3367" s="1" t="n">
        <v>15121</v>
      </c>
      <c r="I3367" s="1" t="n">
        <v>24263</v>
      </c>
      <c r="J3367" s="9" t="n">
        <v>0.623</v>
      </c>
      <c r="K3367" s="1" t="inlineStr">
        <is>
          <t>Yes</t>
        </is>
      </c>
      <c r="L3367" s="1" t="inlineStr">
        <is>
          <t>No</t>
        </is>
      </c>
      <c r="M3367" s="1" t="inlineStr">
        <is>
          <t>No</t>
        </is>
      </c>
      <c r="N3367" s="1" t="inlineStr">
        <is>
          <t>Database</t>
        </is>
      </c>
      <c r="O33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67" s="11" t="inlineStr">
        <is>
          <t>To Do</t>
        </is>
      </c>
    </row>
    <row r="3368" ht="15.75" customHeight="1" s="12">
      <c r="A3368" s="1" t="n">
        <v>3572</v>
      </c>
      <c r="B3368" s="3">
        <f>HYPERLINK("https://leetcode.com/problems/maximize-ysum-by-picking-a-triplet-of-distinct-xvalues/", "Maximize Y‑Sum by Picking a Triplet of Distinct X‑Values")</f>
        <v/>
      </c>
      <c r="C3368" s="1" t="n">
        <v>70</v>
      </c>
      <c r="D3368" s="1" t="n">
        <v>2</v>
      </c>
      <c r="E3368" s="4">
        <f>IF(INDEX(C:C, ROW())+INDEX(D:D, ROW())=0, 0, INDEX(C:C, ROW())/(INDEX(C:C, ROW())+INDEX(D:D, ROW())))</f>
        <v/>
      </c>
      <c r="F3368" s="1" t="inlineStr">
        <is>
          <t>Array, Hash Table, Greedy, Sorting, Heap (Priority Queue)</t>
        </is>
      </c>
      <c r="G3368" s="1" t="inlineStr">
        <is>
          <t>Medium</t>
        </is>
      </c>
      <c r="H3368" s="1" t="n">
        <v>31195</v>
      </c>
      <c r="I3368" s="1" t="n">
        <v>49201</v>
      </c>
      <c r="J3368" s="9" t="n">
        <v>0.634</v>
      </c>
      <c r="K3368" s="1" t="inlineStr">
        <is>
          <t>Yes</t>
        </is>
      </c>
      <c r="L3368" s="1" t="inlineStr">
        <is>
          <t>No</t>
        </is>
      </c>
      <c r="M3368" s="1" t="inlineStr">
        <is>
          <t>No</t>
        </is>
      </c>
      <c r="N3368" s="1" t="inlineStr">
        <is>
          <t>Algorithms</t>
        </is>
      </c>
      <c r="O33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68" s="11" t="inlineStr">
        <is>
          <t>To Do</t>
        </is>
      </c>
    </row>
    <row r="3369" ht="15.75" customHeight="1" s="12">
      <c r="A3369" s="1" t="n">
        <v>3836</v>
      </c>
      <c r="B3369" s="3">
        <f>HYPERLINK("https://leetcode.com/problems/maximum-score-using-exactly-k-pairs/", "Maximum Score Using Exactly K Pairs")</f>
        <v/>
      </c>
      <c r="C3369" s="1" t="n">
        <v>70</v>
      </c>
      <c r="D3369" s="1" t="n">
        <v>4</v>
      </c>
      <c r="E3369" s="4">
        <f>IF(INDEX(C:C, ROW())+INDEX(D:D, ROW())=0, 0, INDEX(C:C, ROW())/(INDEX(C:C, ROW())+INDEX(D:D, ROW())))</f>
        <v/>
      </c>
      <c r="F3369" s="1" t="inlineStr">
        <is>
          <t>Array, Dynamic Programming</t>
        </is>
      </c>
      <c r="G3369" s="1" t="inlineStr">
        <is>
          <t>Hard</t>
        </is>
      </c>
      <c r="H3369" s="1" t="n">
        <v>14670</v>
      </c>
      <c r="I3369" s="1" t="n">
        <v>35333</v>
      </c>
      <c r="J3369" s="9" t="n">
        <v>0.415</v>
      </c>
      <c r="K3369" s="1" t="inlineStr">
        <is>
          <t>Yes</t>
        </is>
      </c>
      <c r="L3369" s="1" t="inlineStr">
        <is>
          <t>No</t>
        </is>
      </c>
      <c r="M3369" s="1" t="inlineStr">
        <is>
          <t>No</t>
        </is>
      </c>
      <c r="N3369" s="1" t="inlineStr">
        <is>
          <t>Algorithms</t>
        </is>
      </c>
      <c r="O33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69" s="11" t="inlineStr">
        <is>
          <t>To Do</t>
        </is>
      </c>
    </row>
    <row r="3370" ht="15.75" customHeight="1" s="12">
      <c r="A3370" s="1" t="n">
        <v>1666</v>
      </c>
      <c r="B3370" s="3">
        <f>HYPERLINK("https://leetcode.com/problems/change-the-root-of-a-binary-tree/", "Change the Root of a Binary Tree")</f>
        <v/>
      </c>
      <c r="C3370" s="1" t="n">
        <v>69</v>
      </c>
      <c r="D3370" s="1" t="n">
        <v>201</v>
      </c>
      <c r="E3370" s="4">
        <f>IF(INDEX(C:C, ROW())+INDEX(D:D, ROW())=0, 0, INDEX(C:C, ROW())/(INDEX(C:C, ROW())+INDEX(D:D, ROW())))</f>
        <v/>
      </c>
      <c r="F3370" s="1" t="inlineStr">
        <is>
          <t>Tree, Depth-First Search, Binary Tree</t>
        </is>
      </c>
      <c r="G3370" s="1" t="inlineStr">
        <is>
          <t>Medium</t>
        </is>
      </c>
      <c r="H3370" s="1" t="n">
        <v>5975</v>
      </c>
      <c r="I3370" s="1" t="n">
        <v>7952</v>
      </c>
      <c r="J3370" s="9" t="n">
        <v>0.751</v>
      </c>
      <c r="K3370" s="1" t="inlineStr">
        <is>
          <t>No</t>
        </is>
      </c>
      <c r="L3370" s="1" t="inlineStr">
        <is>
          <t>No</t>
        </is>
      </c>
      <c r="M3370" s="1" t="inlineStr">
        <is>
          <t>No</t>
        </is>
      </c>
      <c r="N3370" s="1" t="inlineStr">
        <is>
          <t>Algorithms</t>
        </is>
      </c>
      <c r="O33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70" s="11" t="inlineStr">
        <is>
          <t>To Do</t>
        </is>
      </c>
    </row>
    <row r="3371" ht="15.75" customHeight="1" s="12">
      <c r="A3371" s="1" t="n">
        <v>1853</v>
      </c>
      <c r="B3371" s="3">
        <f>HYPERLINK("https://leetcode.com/problems/convert-date-format/", "Convert Date Format")</f>
        <v/>
      </c>
      <c r="C3371" s="1" t="n">
        <v>69</v>
      </c>
      <c r="D3371" s="1" t="n">
        <v>42</v>
      </c>
      <c r="E3371" s="4">
        <f>IF(INDEX(C:C, ROW())+INDEX(D:D, ROW())=0, 0, INDEX(C:C, ROW())/(INDEX(C:C, ROW())+INDEX(D:D, ROW())))</f>
        <v/>
      </c>
      <c r="F3371" s="1" t="inlineStr">
        <is>
          <t>Database</t>
        </is>
      </c>
      <c r="G3371" s="1" t="inlineStr">
        <is>
          <t>Easy</t>
        </is>
      </c>
      <c r="H3371" s="1" t="n">
        <v>16121</v>
      </c>
      <c r="I3371" s="1" t="n">
        <v>18972</v>
      </c>
      <c r="J3371" s="9" t="n">
        <v>0.85</v>
      </c>
      <c r="K3371" s="1" t="inlineStr">
        <is>
          <t>No</t>
        </is>
      </c>
      <c r="L3371" s="1" t="inlineStr">
        <is>
          <t>No</t>
        </is>
      </c>
      <c r="M3371" s="1" t="inlineStr">
        <is>
          <t>No</t>
        </is>
      </c>
      <c r="N3371" s="1" t="inlineStr">
        <is>
          <t>Database</t>
        </is>
      </c>
      <c r="O33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71" s="11" t="inlineStr">
        <is>
          <t>To Do</t>
        </is>
      </c>
    </row>
    <row r="3372" ht="15.75" customHeight="1" s="12">
      <c r="A3372" s="1" t="n">
        <v>1917</v>
      </c>
      <c r="B3372" s="3">
        <f>HYPERLINK("https://leetcode.com/problems/leetcodify-friends-recommendations/", "Leetcodify Friends Recommendations")</f>
        <v/>
      </c>
      <c r="C3372" s="1" t="n">
        <v>69</v>
      </c>
      <c r="D3372" s="1" t="n">
        <v>61</v>
      </c>
      <c r="E3372" s="4">
        <f>IF(INDEX(C:C, ROW())+INDEX(D:D, ROW())=0, 0, INDEX(C:C, ROW())/(INDEX(C:C, ROW())+INDEX(D:D, ROW())))</f>
        <v/>
      </c>
      <c r="F3372" s="1" t="inlineStr">
        <is>
          <t>Database</t>
        </is>
      </c>
      <c r="G3372" s="1" t="inlineStr">
        <is>
          <t>Hard</t>
        </is>
      </c>
      <c r="H3372" s="1" t="n">
        <v>9004</v>
      </c>
      <c r="I3372" s="1" t="n">
        <v>31365</v>
      </c>
      <c r="J3372" s="9" t="n">
        <v>0.287</v>
      </c>
      <c r="K3372" s="1" t="inlineStr">
        <is>
          <t>No</t>
        </is>
      </c>
      <c r="L3372" s="1" t="inlineStr">
        <is>
          <t>No</t>
        </is>
      </c>
      <c r="M3372" s="1" t="inlineStr">
        <is>
          <t>No</t>
        </is>
      </c>
      <c r="N3372" s="1" t="inlineStr">
        <is>
          <t>Database</t>
        </is>
      </c>
      <c r="O33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72" s="11" t="inlineStr">
        <is>
          <t>To Do</t>
        </is>
      </c>
    </row>
    <row r="3373" ht="15.75" customHeight="1" s="12">
      <c r="A3373" s="1" t="n">
        <v>2189</v>
      </c>
      <c r="B3373" s="3">
        <f>HYPERLINK("https://leetcode.com/problems/number-of-ways-to-build-house-of-cards/", "Number of Ways to Build House of Cards")</f>
        <v/>
      </c>
      <c r="C3373" s="1" t="n">
        <v>69</v>
      </c>
      <c r="D3373" s="1" t="n">
        <v>18</v>
      </c>
      <c r="E3373" s="4">
        <f>IF(INDEX(C:C, ROW())+INDEX(D:D, ROW())=0, 0, INDEX(C:C, ROW())/(INDEX(C:C, ROW())+INDEX(D:D, ROW())))</f>
        <v/>
      </c>
      <c r="F3373" s="1" t="inlineStr">
        <is>
          <t>Math, Dynamic Programming</t>
        </is>
      </c>
      <c r="G3373" s="1" t="inlineStr">
        <is>
          <t>Medium</t>
        </is>
      </c>
      <c r="H3373" s="1" t="n">
        <v>3857</v>
      </c>
      <c r="I3373" s="1" t="n">
        <v>6144</v>
      </c>
      <c r="J3373" s="9" t="n">
        <v>0.628</v>
      </c>
      <c r="K3373" s="1" t="inlineStr">
        <is>
          <t>No</t>
        </is>
      </c>
      <c r="L3373" s="1" t="inlineStr">
        <is>
          <t>No</t>
        </is>
      </c>
      <c r="M3373" s="1" t="inlineStr">
        <is>
          <t>No</t>
        </is>
      </c>
      <c r="N3373" s="1" t="inlineStr">
        <is>
          <t>Algorithms</t>
        </is>
      </c>
      <c r="O33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73" s="11" t="inlineStr">
        <is>
          <t>To Do</t>
        </is>
      </c>
    </row>
    <row r="3374" ht="15.75" customHeight="1" s="12">
      <c r="A3374" s="1" t="n">
        <v>2323</v>
      </c>
      <c r="B3374" s="3">
        <f>HYPERLINK("https://leetcode.com/problems/find-minimum-time-to-finish-all-jobs-ii/", "Find Minimum Time to Finish All Jobs II")</f>
        <v/>
      </c>
      <c r="C3374" s="1" t="n">
        <v>69</v>
      </c>
      <c r="D3374" s="1" t="n">
        <v>19</v>
      </c>
      <c r="E3374" s="4">
        <f>IF(INDEX(C:C, ROW())+INDEX(D:D, ROW())=0, 0, INDEX(C:C, ROW())/(INDEX(C:C, ROW())+INDEX(D:D, ROW())))</f>
        <v/>
      </c>
      <c r="F3374" s="1" t="inlineStr">
        <is>
          <t>Array, Greedy, Sorting</t>
        </is>
      </c>
      <c r="G3374" s="1" t="inlineStr">
        <is>
          <t>Medium</t>
        </is>
      </c>
      <c r="H3374" s="1" t="n">
        <v>12706</v>
      </c>
      <c r="I3374" s="1" t="n">
        <v>19227</v>
      </c>
      <c r="J3374" s="9" t="n">
        <v>0.661</v>
      </c>
      <c r="K3374" s="1" t="inlineStr">
        <is>
          <t>No</t>
        </is>
      </c>
      <c r="L3374" s="1" t="inlineStr">
        <is>
          <t>No</t>
        </is>
      </c>
      <c r="M3374" s="1" t="inlineStr">
        <is>
          <t>No</t>
        </is>
      </c>
      <c r="N3374" s="1" t="inlineStr">
        <is>
          <t>Algorithms</t>
        </is>
      </c>
      <c r="O33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74" s="11" t="inlineStr">
        <is>
          <t>To Do</t>
        </is>
      </c>
    </row>
    <row r="3375" ht="15.75" customHeight="1" s="12">
      <c r="A3375" s="1" t="n">
        <v>3502</v>
      </c>
      <c r="B3375" s="3">
        <f>HYPERLINK("https://leetcode.com/problems/minimum-cost-to-reach-every-position/", "Minimum Cost to Reach Every Position")</f>
        <v/>
      </c>
      <c r="C3375" s="1" t="n">
        <v>69</v>
      </c>
      <c r="D3375" s="1" t="n">
        <v>83</v>
      </c>
      <c r="E3375" s="4">
        <f>IF(INDEX(C:C, ROW())+INDEX(D:D, ROW())=0, 0, INDEX(C:C, ROW())/(INDEX(C:C, ROW())+INDEX(D:D, ROW())))</f>
        <v/>
      </c>
      <c r="F3375" s="1" t="inlineStr">
        <is>
          <t>Array</t>
        </is>
      </c>
      <c r="G3375" s="1" t="inlineStr">
        <is>
          <t>Easy</t>
        </is>
      </c>
      <c r="H3375" s="1" t="n">
        <v>40971</v>
      </c>
      <c r="I3375" s="1" t="n">
        <v>49168</v>
      </c>
      <c r="J3375" s="9" t="n">
        <v>0.833</v>
      </c>
      <c r="K3375" s="1" t="inlineStr">
        <is>
          <t>Yes</t>
        </is>
      </c>
      <c r="L3375" s="1" t="inlineStr">
        <is>
          <t>No</t>
        </is>
      </c>
      <c r="M3375" s="1" t="inlineStr">
        <is>
          <t>No</t>
        </is>
      </c>
      <c r="N3375" s="1" t="inlineStr">
        <is>
          <t>Algorithms</t>
        </is>
      </c>
      <c r="O33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75" s="13" t="inlineStr">
        <is>
          <t>Done</t>
        </is>
      </c>
    </row>
    <row r="3376" ht="15.75" customHeight="1" s="12">
      <c r="A3376" s="1" t="n">
        <v>3536</v>
      </c>
      <c r="B3376" s="3">
        <f>HYPERLINK("https://leetcode.com/problems/maximum-product-of-two-digits/", "Maximum Product of Two Digits")</f>
        <v/>
      </c>
      <c r="C3376" s="1" t="n">
        <v>69</v>
      </c>
      <c r="D3376" s="1" t="n">
        <v>3</v>
      </c>
      <c r="E3376" s="4">
        <f>IF(INDEX(C:C, ROW())+INDEX(D:D, ROW())=0, 0, INDEX(C:C, ROW())/(INDEX(C:C, ROW())+INDEX(D:D, ROW())))</f>
        <v/>
      </c>
      <c r="F3376" s="1" t="inlineStr">
        <is>
          <t>Math, Sorting</t>
        </is>
      </c>
      <c r="G3376" s="1" t="inlineStr">
        <is>
          <t>Easy</t>
        </is>
      </c>
      <c r="H3376" s="1" t="n">
        <v>49654</v>
      </c>
      <c r="I3376" s="1" t="n">
        <v>71573</v>
      </c>
      <c r="J3376" s="9" t="n">
        <v>0.694</v>
      </c>
      <c r="K3376" s="1" t="inlineStr">
        <is>
          <t>Yes</t>
        </is>
      </c>
      <c r="L3376" s="1" t="inlineStr">
        <is>
          <t>No</t>
        </is>
      </c>
      <c r="M3376" s="1" t="inlineStr">
        <is>
          <t>No</t>
        </is>
      </c>
      <c r="N3376" s="1" t="inlineStr">
        <is>
          <t>Algorithms</t>
        </is>
      </c>
      <c r="O33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76" s="13" t="inlineStr">
        <is>
          <t>Done</t>
        </is>
      </c>
    </row>
    <row r="3377" ht="15.75" customHeight="1" s="12">
      <c r="A3377" s="1" t="n">
        <v>3538</v>
      </c>
      <c r="B3377" s="3">
        <f>HYPERLINK("https://leetcode.com/problems/merge-operations-for-minimum-travel-time/", "Merge Operations for Minimum Travel Time")</f>
        <v/>
      </c>
      <c r="C3377" s="1" t="n">
        <v>69</v>
      </c>
      <c r="D3377" s="1" t="n">
        <v>10</v>
      </c>
      <c r="E3377" s="4">
        <f>IF(INDEX(C:C, ROW())+INDEX(D:D, ROW())=0, 0, INDEX(C:C, ROW())/(INDEX(C:C, ROW())+INDEX(D:D, ROW())))</f>
        <v/>
      </c>
      <c r="F3377" s="1" t="inlineStr">
        <is>
          <t>Array, Dynamic Programming, Prefix Sum</t>
        </is>
      </c>
      <c r="G3377" s="1" t="inlineStr">
        <is>
          <t>Hard</t>
        </is>
      </c>
      <c r="H3377" s="1" t="n">
        <v>5022</v>
      </c>
      <c r="I3377" s="1" t="n">
        <v>16203</v>
      </c>
      <c r="J3377" s="9" t="n">
        <v>0.31</v>
      </c>
      <c r="K3377" s="1" t="inlineStr">
        <is>
          <t>Yes</t>
        </is>
      </c>
      <c r="L3377" s="1" t="inlineStr">
        <is>
          <t>No</t>
        </is>
      </c>
      <c r="M3377" s="1" t="inlineStr">
        <is>
          <t>No</t>
        </is>
      </c>
      <c r="N3377" s="1" t="inlineStr">
        <is>
          <t>Algorithms</t>
        </is>
      </c>
      <c r="O33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77" s="11" t="inlineStr">
        <is>
          <t>To Do</t>
        </is>
      </c>
    </row>
    <row r="3378" ht="15.75" customHeight="1" s="12">
      <c r="A3378" s="1" t="n">
        <v>3715</v>
      </c>
      <c r="B3378" s="3">
        <f>HYPERLINK("https://leetcode.com/problems/sum-of-perfect-square-ancestors/", "Sum of Perfect Square Ancestors")</f>
        <v/>
      </c>
      <c r="C3378" s="1" t="n">
        <v>69</v>
      </c>
      <c r="D3378" s="1" t="n">
        <v>3</v>
      </c>
      <c r="E3378" s="4">
        <f>IF(INDEX(C:C, ROW())+INDEX(D:D, ROW())=0, 0, INDEX(C:C, ROW())/(INDEX(C:C, ROW())+INDEX(D:D, ROW())))</f>
        <v/>
      </c>
      <c r="F3378" s="1" t="inlineStr">
        <is>
          <t>Array, Hash Table, Math, Tree, Depth-First Search, Counting, Number Theory</t>
        </is>
      </c>
      <c r="G3378" s="1" t="inlineStr">
        <is>
          <t>Hard</t>
        </is>
      </c>
      <c r="H3378" s="1" t="n">
        <v>7266</v>
      </c>
      <c r="I3378" s="1" t="n">
        <v>17068</v>
      </c>
      <c r="J3378" s="9" t="n">
        <v>0.426</v>
      </c>
      <c r="K3378" s="1" t="inlineStr">
        <is>
          <t>Yes</t>
        </is>
      </c>
      <c r="L3378" s="1" t="inlineStr">
        <is>
          <t>No</t>
        </is>
      </c>
      <c r="M3378" s="1" t="inlineStr">
        <is>
          <t>No</t>
        </is>
      </c>
      <c r="N3378" s="1" t="inlineStr">
        <is>
          <t>Algorithms</t>
        </is>
      </c>
      <c r="O33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78" s="11" t="inlineStr">
        <is>
          <t>To Do</t>
        </is>
      </c>
    </row>
    <row r="3379" ht="15.75" customHeight="1" s="12">
      <c r="A3379" s="1" t="n">
        <v>3821</v>
      </c>
      <c r="B3379" s="3">
        <f>HYPERLINK("https://leetcode.com/problems/find-nth-smallest-integer-with-k-one-bits/", "Find Nth Smallest Integer With K One Bits")</f>
        <v/>
      </c>
      <c r="C3379" s="1" t="n">
        <v>69</v>
      </c>
      <c r="D3379" s="1" t="n">
        <v>2</v>
      </c>
      <c r="E3379" s="4">
        <f>IF(INDEX(C:C, ROW())+INDEX(D:D, ROW())=0, 0, INDEX(C:C, ROW())/(INDEX(C:C, ROW())+INDEX(D:D, ROW())))</f>
        <v/>
      </c>
      <c r="F3379" s="1" t="inlineStr">
        <is>
          <t>Math, Bit Manipulation, Combinatorics</t>
        </is>
      </c>
      <c r="G3379" s="1" t="inlineStr">
        <is>
          <t>Hard</t>
        </is>
      </c>
      <c r="H3379" s="1" t="n">
        <v>9735</v>
      </c>
      <c r="I3379" s="1" t="n">
        <v>27948</v>
      </c>
      <c r="J3379" s="9" t="n">
        <v>0.348</v>
      </c>
      <c r="K3379" s="1" t="inlineStr">
        <is>
          <t>Yes</t>
        </is>
      </c>
      <c r="L3379" s="1" t="inlineStr">
        <is>
          <t>No</t>
        </is>
      </c>
      <c r="M3379" s="1" t="inlineStr">
        <is>
          <t>No</t>
        </is>
      </c>
      <c r="N3379" s="1" t="inlineStr">
        <is>
          <t>Algorithms</t>
        </is>
      </c>
      <c r="O33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79" s="11" t="inlineStr">
        <is>
          <t>To Do</t>
        </is>
      </c>
    </row>
    <row r="3380" ht="15.75" customHeight="1" s="12">
      <c r="A3380" s="1" t="n">
        <v>3873</v>
      </c>
      <c r="B3380" s="3">
        <f>HYPERLINK("https://leetcode.com/problems/maximum-points-activated-with-one-addition/", "Maximum Points Activated with One Addition")</f>
        <v/>
      </c>
      <c r="C3380" s="1" t="n">
        <v>69</v>
      </c>
      <c r="D3380" s="1" t="n">
        <v>1</v>
      </c>
      <c r="E3380" s="4">
        <f>IF(INDEX(C:C, ROW())+INDEX(D:D, ROW())=0, 0, INDEX(C:C, ROW())/(INDEX(C:C, ROW())+INDEX(D:D, ROW())))</f>
        <v/>
      </c>
      <c r="F3380" s="1" t="inlineStr">
        <is>
          <t>Array, Hash Table, Union-Find</t>
        </is>
      </c>
      <c r="G3380" s="1" t="inlineStr">
        <is>
          <t>Hard</t>
        </is>
      </c>
      <c r="H3380" s="1" t="n">
        <v>7753</v>
      </c>
      <c r="I3380" s="1" t="n">
        <v>17688</v>
      </c>
      <c r="J3380" s="9" t="n">
        <v>0.438</v>
      </c>
      <c r="K3380" s="1" t="inlineStr">
        <is>
          <t>Yes</t>
        </is>
      </c>
      <c r="L3380" s="1" t="inlineStr">
        <is>
          <t>No</t>
        </is>
      </c>
      <c r="M3380" s="1" t="inlineStr">
        <is>
          <t>No</t>
        </is>
      </c>
      <c r="N3380" s="1" t="inlineStr">
        <is>
          <t>Algorithms</t>
        </is>
      </c>
      <c r="O33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80" s="11" t="inlineStr">
        <is>
          <t>To Do</t>
        </is>
      </c>
    </row>
    <row r="3381" ht="15.75" customHeight="1" s="12">
      <c r="A3381" s="1" t="n">
        <v>734</v>
      </c>
      <c r="B3381" s="3">
        <f>HYPERLINK("https://leetcode.com/problems/sentence-similarity/", "Sentence Similarity")</f>
        <v/>
      </c>
      <c r="C3381" s="1" t="n">
        <v>68</v>
      </c>
      <c r="D3381" s="1" t="n">
        <v>73</v>
      </c>
      <c r="E3381" s="4">
        <f>IF(INDEX(C:C, ROW())+INDEX(D:D, ROW())=0, 0, INDEX(C:C, ROW())/(INDEX(C:C, ROW())+INDEX(D:D, ROW())))</f>
        <v/>
      </c>
      <c r="F3381" s="1" t="inlineStr">
        <is>
          <t>Array, Hash Table, String</t>
        </is>
      </c>
      <c r="G3381" s="1" t="inlineStr">
        <is>
          <t>Easy</t>
        </is>
      </c>
      <c r="H3381" s="1" t="n">
        <v>75905</v>
      </c>
      <c r="I3381" s="1" t="n">
        <v>169294</v>
      </c>
      <c r="J3381" s="9" t="n">
        <v>0.448</v>
      </c>
      <c r="K3381" s="1" t="inlineStr">
        <is>
          <t>No</t>
        </is>
      </c>
      <c r="L3381" s="1" t="inlineStr">
        <is>
          <t>Yes</t>
        </is>
      </c>
      <c r="M3381" s="1" t="inlineStr">
        <is>
          <t>No</t>
        </is>
      </c>
      <c r="N3381" s="1" t="inlineStr">
        <is>
          <t>Algorithms</t>
        </is>
      </c>
      <c r="O33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81" s="11" t="inlineStr">
        <is>
          <t>To Do</t>
        </is>
      </c>
    </row>
    <row r="3382" ht="15.75" customHeight="1" s="12">
      <c r="A3382" s="1" t="n">
        <v>2228</v>
      </c>
      <c r="B3382" s="3">
        <f>HYPERLINK("https://leetcode.com/problems/users-with-two-purchases-within-seven-days/", "Users With Two Purchases Within Seven Days")</f>
        <v/>
      </c>
      <c r="C3382" s="1" t="n">
        <v>68</v>
      </c>
      <c r="D3382" s="1" t="n">
        <v>11</v>
      </c>
      <c r="E3382" s="4">
        <f>IF(INDEX(C:C, ROW())+INDEX(D:D, ROW())=0, 0, INDEX(C:C, ROW())/(INDEX(C:C, ROW())+INDEX(D:D, ROW())))</f>
        <v/>
      </c>
      <c r="F3382" s="1" t="inlineStr">
        <is>
          <t>Database</t>
        </is>
      </c>
      <c r="G3382" s="1" t="inlineStr">
        <is>
          <t>Medium</t>
        </is>
      </c>
      <c r="H3382" s="1" t="n">
        <v>12241</v>
      </c>
      <c r="I3382" s="1" t="n">
        <v>26074</v>
      </c>
      <c r="J3382" s="9" t="n">
        <v>0.469</v>
      </c>
      <c r="K3382" s="1" t="inlineStr">
        <is>
          <t>No</t>
        </is>
      </c>
      <c r="L3382" s="1" t="inlineStr">
        <is>
          <t>No</t>
        </is>
      </c>
      <c r="M3382" s="1" t="inlineStr">
        <is>
          <t>No</t>
        </is>
      </c>
      <c r="N3382" s="1" t="inlineStr">
        <is>
          <t>Database</t>
        </is>
      </c>
      <c r="O33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82" s="11" t="inlineStr">
        <is>
          <t>To Do</t>
        </is>
      </c>
    </row>
    <row r="3383" ht="15.75" customHeight="1" s="12">
      <c r="A3383" s="1" t="n">
        <v>2307</v>
      </c>
      <c r="B3383" s="3">
        <f>HYPERLINK("https://leetcode.com/problems/check-for-contradictions-in-equations/", "Check for Contradictions in Equations")</f>
        <v/>
      </c>
      <c r="C3383" s="1" t="n">
        <v>68</v>
      </c>
      <c r="D3383" s="1" t="n">
        <v>27</v>
      </c>
      <c r="E3383" s="4">
        <f>IF(INDEX(C:C, ROW())+INDEX(D:D, ROW())=0, 0, INDEX(C:C, ROW())/(INDEX(C:C, ROW())+INDEX(D:D, ROW())))</f>
        <v/>
      </c>
      <c r="F3383" s="1" t="inlineStr">
        <is>
          <t>Array, String, Depth-First Search, Union-Find, Graph Theory</t>
        </is>
      </c>
      <c r="G3383" s="1" t="inlineStr">
        <is>
          <t>Hard</t>
        </is>
      </c>
      <c r="H3383" s="1" t="n">
        <v>5297</v>
      </c>
      <c r="I3383" s="1" t="n">
        <v>12072</v>
      </c>
      <c r="J3383" s="9" t="n">
        <v>0.439</v>
      </c>
      <c r="K3383" s="1" t="inlineStr">
        <is>
          <t>No</t>
        </is>
      </c>
      <c r="L3383" s="1" t="inlineStr">
        <is>
          <t>No</t>
        </is>
      </c>
      <c r="M3383" s="1" t="inlineStr">
        <is>
          <t>No</t>
        </is>
      </c>
      <c r="N3383" s="1" t="inlineStr">
        <is>
          <t>Algorithms</t>
        </is>
      </c>
      <c r="O33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83" s="11" t="inlineStr">
        <is>
          <t>To Do</t>
        </is>
      </c>
    </row>
    <row r="3384" ht="15.75" customHeight="1" s="12">
      <c r="A3384" s="1" t="n">
        <v>3361</v>
      </c>
      <c r="B3384" s="3">
        <f>HYPERLINK("https://leetcode.com/problems/shift-distance-between-two-strings/", "Shift Distance Between Two Strings")</f>
        <v/>
      </c>
      <c r="C3384" s="1" t="n">
        <v>68</v>
      </c>
      <c r="D3384" s="1" t="n">
        <v>46</v>
      </c>
      <c r="E3384" s="4">
        <f>IF(INDEX(C:C, ROW())+INDEX(D:D, ROW())=0, 0, INDEX(C:C, ROW())/(INDEX(C:C, ROW())+INDEX(D:D, ROW())))</f>
        <v/>
      </c>
      <c r="F3384" s="1" t="inlineStr">
        <is>
          <t>Array, String, Prefix Sum</t>
        </is>
      </c>
      <c r="G3384" s="1" t="inlineStr">
        <is>
          <t>Medium</t>
        </is>
      </c>
      <c r="H3384" s="1" t="n">
        <v>17506</v>
      </c>
      <c r="I3384" s="1" t="n">
        <v>32701</v>
      </c>
      <c r="J3384" s="9" t="n">
        <v>0.535</v>
      </c>
      <c r="K3384" s="1" t="inlineStr">
        <is>
          <t>Yes</t>
        </is>
      </c>
      <c r="L3384" s="1" t="inlineStr">
        <is>
          <t>No</t>
        </is>
      </c>
      <c r="M3384" s="1" t="inlineStr">
        <is>
          <t>No</t>
        </is>
      </c>
      <c r="N3384" s="1" t="inlineStr">
        <is>
          <t>Algorithms</t>
        </is>
      </c>
      <c r="O33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84" s="11" t="inlineStr">
        <is>
          <t>To Do</t>
        </is>
      </c>
    </row>
    <row r="3385" ht="15.75" customHeight="1" s="12">
      <c r="A3385" s="1" t="n">
        <v>3402</v>
      </c>
      <c r="B3385" s="3">
        <f>HYPERLINK("https://leetcode.com/problems/minimum-operations-to-make-columns-strictly-increasing/", "Minimum Operations to Make Columns Strictly Increasing")</f>
        <v/>
      </c>
      <c r="C3385" s="1" t="n">
        <v>68</v>
      </c>
      <c r="D3385" s="1" t="n">
        <v>5</v>
      </c>
      <c r="E3385" s="4">
        <f>IF(INDEX(C:C, ROW())+INDEX(D:D, ROW())=0, 0, INDEX(C:C, ROW())/(INDEX(C:C, ROW())+INDEX(D:D, ROW())))</f>
        <v/>
      </c>
      <c r="F3385" s="1" t="inlineStr">
        <is>
          <t>Array, Greedy, Matrix</t>
        </is>
      </c>
      <c r="G3385" s="1" t="inlineStr">
        <is>
          <t>Easy</t>
        </is>
      </c>
      <c r="H3385" s="1" t="n">
        <v>38290</v>
      </c>
      <c r="I3385" s="1" t="n">
        <v>52681</v>
      </c>
      <c r="J3385" s="9" t="n">
        <v>0.727</v>
      </c>
      <c r="K3385" s="1" t="inlineStr">
        <is>
          <t>Yes</t>
        </is>
      </c>
      <c r="L3385" s="1" t="inlineStr">
        <is>
          <t>No</t>
        </is>
      </c>
      <c r="M3385" s="1" t="inlineStr">
        <is>
          <t>No</t>
        </is>
      </c>
      <c r="N3385" s="1" t="inlineStr">
        <is>
          <t>Algorithms</t>
        </is>
      </c>
      <c r="O33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85" s="13" t="inlineStr">
        <is>
          <t>Done</t>
        </is>
      </c>
    </row>
    <row r="3386" ht="15.75" customHeight="1" s="12">
      <c r="A3386" s="1" t="n">
        <v>3752</v>
      </c>
      <c r="B3386" s="3">
        <f>HYPERLINK("https://leetcode.com/problems/lexicographically-smallest-negated-permutation-that-sums-to-target/", "Lexicographically Smallest Negated Permutation that Sums to Target")</f>
        <v/>
      </c>
      <c r="C3386" s="1" t="n">
        <v>68</v>
      </c>
      <c r="D3386" s="1" t="n">
        <v>7</v>
      </c>
      <c r="E3386" s="4">
        <f>IF(INDEX(C:C, ROW())+INDEX(D:D, ROW())=0, 0, INDEX(C:C, ROW())/(INDEX(C:C, ROW())+INDEX(D:D, ROW())))</f>
        <v/>
      </c>
      <c r="F3386" s="1" t="inlineStr">
        <is>
          <t>Array, Math, Two Pointers, Greedy, Sorting</t>
        </is>
      </c>
      <c r="G3386" s="1" t="inlineStr">
        <is>
          <t>Medium</t>
        </is>
      </c>
      <c r="H3386" s="1" t="n">
        <v>13399</v>
      </c>
      <c r="I3386" s="1" t="n">
        <v>42995</v>
      </c>
      <c r="J3386" s="9" t="n">
        <v>0.312</v>
      </c>
      <c r="K3386" s="1" t="inlineStr">
        <is>
          <t>Yes</t>
        </is>
      </c>
      <c r="L3386" s="1" t="inlineStr">
        <is>
          <t>No</t>
        </is>
      </c>
      <c r="M3386" s="1" t="inlineStr">
        <is>
          <t>No</t>
        </is>
      </c>
      <c r="N3386" s="1" t="inlineStr">
        <is>
          <t>Algorithms</t>
        </is>
      </c>
      <c r="O33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86" s="11" t="inlineStr">
        <is>
          <t>To Do</t>
        </is>
      </c>
    </row>
    <row r="3387" ht="15.75" customHeight="1" s="12">
      <c r="A3387" s="1" t="n">
        <v>3789</v>
      </c>
      <c r="B3387" s="3">
        <f>HYPERLINK("https://leetcode.com/problems/minimum-cost-to-acquire-required-items/", "Minimum Cost to Acquire Required Items")</f>
        <v/>
      </c>
      <c r="C3387" s="1" t="n">
        <v>68</v>
      </c>
      <c r="D3387" s="1" t="n">
        <v>5</v>
      </c>
      <c r="E3387" s="4">
        <f>IF(INDEX(C:C, ROW())+INDEX(D:D, ROW())=0, 0, INDEX(C:C, ROW())/(INDEX(C:C, ROW())+INDEX(D:D, ROW())))</f>
        <v/>
      </c>
      <c r="F3387" s="1" t="inlineStr">
        <is>
          <t>Math, Greedy</t>
        </is>
      </c>
      <c r="G3387" s="1" t="inlineStr">
        <is>
          <t>Medium</t>
        </is>
      </c>
      <c r="H3387" s="1" t="n">
        <v>24146</v>
      </c>
      <c r="I3387" s="1" t="n">
        <v>69071</v>
      </c>
      <c r="J3387" s="9" t="n">
        <v>0.35</v>
      </c>
      <c r="K3387" s="1" t="inlineStr">
        <is>
          <t>Yes</t>
        </is>
      </c>
      <c r="L3387" s="1" t="inlineStr">
        <is>
          <t>No</t>
        </is>
      </c>
      <c r="M3387" s="1" t="inlineStr">
        <is>
          <t>No</t>
        </is>
      </c>
      <c r="N3387" s="1" t="inlineStr">
        <is>
          <t>Algorithms</t>
        </is>
      </c>
      <c r="O33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87" s="11" t="inlineStr">
        <is>
          <t>To Do</t>
        </is>
      </c>
    </row>
    <row r="3388" ht="15.75" customHeight="1" s="12">
      <c r="A3388" s="1" t="n">
        <v>3798</v>
      </c>
      <c r="B3388" s="3">
        <f>HYPERLINK("https://leetcode.com/problems/largest-even-number/", "Largest Even Number")</f>
        <v/>
      </c>
      <c r="C3388" s="1" t="n">
        <v>68</v>
      </c>
      <c r="D3388" s="1" t="n">
        <v>1</v>
      </c>
      <c r="E3388" s="4">
        <f>IF(INDEX(C:C, ROW())+INDEX(D:D, ROW())=0, 0, INDEX(C:C, ROW())/(INDEX(C:C, ROW())+INDEX(D:D, ROW())))</f>
        <v/>
      </c>
      <c r="F3388" s="1" t="inlineStr">
        <is>
          <t>String</t>
        </is>
      </c>
      <c r="G3388" s="1" t="inlineStr">
        <is>
          <t>Easy</t>
        </is>
      </c>
      <c r="H3388" s="1" t="n">
        <v>45939</v>
      </c>
      <c r="I3388" s="1" t="n">
        <v>66225</v>
      </c>
      <c r="J3388" s="9" t="n">
        <v>0.694</v>
      </c>
      <c r="K3388" s="1" t="inlineStr">
        <is>
          <t>Yes</t>
        </is>
      </c>
      <c r="L3388" s="1" t="inlineStr">
        <is>
          <t>No</t>
        </is>
      </c>
      <c r="M3388" s="1" t="inlineStr">
        <is>
          <t>No</t>
        </is>
      </c>
      <c r="N3388" s="1" t="inlineStr">
        <is>
          <t>Algorithms</t>
        </is>
      </c>
      <c r="O33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88" s="13" t="inlineStr">
        <is>
          <t>Done</t>
        </is>
      </c>
    </row>
    <row r="3389" ht="15.75" customHeight="1" s="12">
      <c r="A3389" s="1" t="n">
        <v>3845</v>
      </c>
      <c r="B3389" s="3">
        <f>HYPERLINK("https://leetcode.com/problems/maximum-subarray-xor-with-bounded-range/", "Maximum Subarray XOR with Bounded Range")</f>
        <v/>
      </c>
      <c r="C3389" s="1" t="n">
        <v>68</v>
      </c>
      <c r="D3389" s="1" t="n">
        <v>2</v>
      </c>
      <c r="E3389" s="4">
        <f>IF(INDEX(C:C, ROW())+INDEX(D:D, ROW())=0, 0, INDEX(C:C, ROW())/(INDEX(C:C, ROW())+INDEX(D:D, ROW())))</f>
        <v/>
      </c>
      <c r="F3389" s="1" t="inlineStr">
        <is>
          <t>Array, Bit Manipulation, Trie, Queue, Sliding Window, Prefix Sum, Monotonic Queue</t>
        </is>
      </c>
      <c r="G3389" s="1" t="inlineStr">
        <is>
          <t>Hard</t>
        </is>
      </c>
      <c r="H3389" s="1" t="n">
        <v>5172</v>
      </c>
      <c r="I3389" s="1" t="n">
        <v>16040</v>
      </c>
      <c r="J3389" s="9" t="n">
        <v>0.322</v>
      </c>
      <c r="K3389" s="1" t="inlineStr">
        <is>
          <t>Yes</t>
        </is>
      </c>
      <c r="L3389" s="1" t="inlineStr">
        <is>
          <t>No</t>
        </is>
      </c>
      <c r="M3389" s="1" t="inlineStr">
        <is>
          <t>No</t>
        </is>
      </c>
      <c r="N3389" s="1" t="inlineStr">
        <is>
          <t>Algorithms</t>
        </is>
      </c>
      <c r="O33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89" s="11" t="inlineStr">
        <is>
          <t>To Do</t>
        </is>
      </c>
    </row>
    <row r="3390" ht="15.75" customHeight="1" s="12">
      <c r="A3390" s="1" t="n">
        <v>3897</v>
      </c>
      <c r="B3390" s="3">
        <f>HYPERLINK("https://leetcode.com/problems/maximum-value-of-concatenated-binary-segments/", "Maximum Value of Concatenated Binary Segments")</f>
        <v/>
      </c>
      <c r="C3390" s="1" t="n">
        <v>68</v>
      </c>
      <c r="D3390" s="1" t="n">
        <v>2</v>
      </c>
      <c r="E3390" s="4">
        <f>IF(INDEX(C:C, ROW())+INDEX(D:D, ROW())=0, 0, INDEX(C:C, ROW())/(INDEX(C:C, ROW())+INDEX(D:D, ROW())))</f>
        <v/>
      </c>
      <c r="F3390" s="2" t="n"/>
      <c r="G3390" s="1" t="inlineStr">
        <is>
          <t>Hard</t>
        </is>
      </c>
      <c r="H3390" s="1" t="n">
        <v>12754</v>
      </c>
      <c r="I3390" s="1" t="n">
        <v>47761</v>
      </c>
      <c r="J3390" s="9" t="n">
        <v>0.267</v>
      </c>
      <c r="K3390" s="1" t="inlineStr">
        <is>
          <t>Yes</t>
        </is>
      </c>
      <c r="L3390" s="1" t="inlineStr">
        <is>
          <t>No</t>
        </is>
      </c>
      <c r="M3390" s="1" t="inlineStr">
        <is>
          <t>No</t>
        </is>
      </c>
      <c r="N3390" s="1" t="inlineStr">
        <is>
          <t>Algorithms</t>
        </is>
      </c>
      <c r="O33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90" s="11" t="inlineStr">
        <is>
          <t>To Do</t>
        </is>
      </c>
    </row>
    <row r="3391" ht="15.75" customHeight="1" s="12">
      <c r="A3391" s="1" t="n">
        <v>1939</v>
      </c>
      <c r="B3391" s="3">
        <f>HYPERLINK("https://leetcode.com/problems/users-that-actively-request-confirmation-messages/", "Users That Actively Request Confirmation Messages")</f>
        <v/>
      </c>
      <c r="C3391" s="1" t="n">
        <v>67</v>
      </c>
      <c r="D3391" s="1" t="n">
        <v>49</v>
      </c>
      <c r="E3391" s="4">
        <f>IF(INDEX(C:C, ROW())+INDEX(D:D, ROW())=0, 0, INDEX(C:C, ROW())/(INDEX(C:C, ROW())+INDEX(D:D, ROW())))</f>
        <v/>
      </c>
      <c r="F3391" s="1" t="inlineStr">
        <is>
          <t>Database</t>
        </is>
      </c>
      <c r="G3391" s="1" t="inlineStr">
        <is>
          <t>Easy</t>
        </is>
      </c>
      <c r="H3391" s="1" t="n">
        <v>14610</v>
      </c>
      <c r="I3391" s="1" t="n">
        <v>25694</v>
      </c>
      <c r="J3391" s="9" t="n">
        <v>0.569</v>
      </c>
      <c r="K3391" s="1" t="inlineStr">
        <is>
          <t>No</t>
        </is>
      </c>
      <c r="L3391" s="1" t="inlineStr">
        <is>
          <t>No</t>
        </is>
      </c>
      <c r="M3391" s="1" t="inlineStr">
        <is>
          <t>No</t>
        </is>
      </c>
      <c r="N3391" s="1" t="inlineStr">
        <is>
          <t>Database</t>
        </is>
      </c>
      <c r="O33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91" s="11" t="inlineStr">
        <is>
          <t>To Do</t>
        </is>
      </c>
    </row>
    <row r="3392" ht="15.75" customHeight="1" s="12">
      <c r="A3392" s="1" t="n">
        <v>3456</v>
      </c>
      <c r="B3392" s="3">
        <f>HYPERLINK("https://leetcode.com/problems/find-special-substring-of-length-k/", "Find Special Substring of Length K")</f>
        <v/>
      </c>
      <c r="C3392" s="1" t="n">
        <v>67</v>
      </c>
      <c r="D3392" s="1" t="n">
        <v>10</v>
      </c>
      <c r="E3392" s="4">
        <f>IF(INDEX(C:C, ROW())+INDEX(D:D, ROW())=0, 0, INDEX(C:C, ROW())/(INDEX(C:C, ROW())+INDEX(D:D, ROW())))</f>
        <v/>
      </c>
      <c r="F3392" s="1" t="inlineStr">
        <is>
          <t>String</t>
        </is>
      </c>
      <c r="G3392" s="1" t="inlineStr">
        <is>
          <t>Easy</t>
        </is>
      </c>
      <c r="H3392" s="1" t="n">
        <v>42194</v>
      </c>
      <c r="I3392" s="1" t="n">
        <v>119995</v>
      </c>
      <c r="J3392" s="9" t="n">
        <v>0.352</v>
      </c>
      <c r="K3392" s="1" t="inlineStr">
        <is>
          <t>Yes</t>
        </is>
      </c>
      <c r="L3392" s="1" t="inlineStr">
        <is>
          <t>No</t>
        </is>
      </c>
      <c r="M3392" s="1" t="inlineStr">
        <is>
          <t>No</t>
        </is>
      </c>
      <c r="N3392" s="1" t="inlineStr">
        <is>
          <t>Algorithms</t>
        </is>
      </c>
      <c r="O33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92" s="13" t="inlineStr">
        <is>
          <t>Done</t>
        </is>
      </c>
    </row>
    <row r="3393" ht="15.75" customHeight="1" s="12">
      <c r="A3393" s="1" t="n">
        <v>3619</v>
      </c>
      <c r="B3393" s="3">
        <f>HYPERLINK("https://leetcode.com/problems/count-islands-with-total-value-divisible-by-k/", "Count Islands With Total Value Divisible by K")</f>
        <v/>
      </c>
      <c r="C3393" s="1" t="n">
        <v>67</v>
      </c>
      <c r="D3393" s="1" t="n">
        <v>1</v>
      </c>
      <c r="E3393" s="4">
        <f>IF(INDEX(C:C, ROW())+INDEX(D:D, ROW())=0, 0, INDEX(C:C, ROW())/(INDEX(C:C, ROW())+INDEX(D:D, ROW())))</f>
        <v/>
      </c>
      <c r="F3393" s="1" t="inlineStr">
        <is>
          <t>Array, Depth-First Search, Breadth-First Search, Union-Find, Matrix</t>
        </is>
      </c>
      <c r="G3393" s="1" t="inlineStr">
        <is>
          <t>Medium</t>
        </is>
      </c>
      <c r="H3393" s="1" t="n">
        <v>31352</v>
      </c>
      <c r="I3393" s="1" t="n">
        <v>55700</v>
      </c>
      <c r="J3393" s="9" t="n">
        <v>0.5629999999999999</v>
      </c>
      <c r="K3393" s="1" t="inlineStr">
        <is>
          <t>Yes</t>
        </is>
      </c>
      <c r="L3393" s="1" t="inlineStr">
        <is>
          <t>No</t>
        </is>
      </c>
      <c r="M3393" s="1" t="inlineStr">
        <is>
          <t>No</t>
        </is>
      </c>
      <c r="N3393" s="1" t="inlineStr">
        <is>
          <t>Algorithms</t>
        </is>
      </c>
      <c r="O33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93" s="11" t="inlineStr">
        <is>
          <t>To Do</t>
        </is>
      </c>
    </row>
    <row r="3394" ht="15.75" customHeight="1" s="12">
      <c r="A3394" s="1" t="n">
        <v>3646</v>
      </c>
      <c r="B3394" s="3">
        <f>HYPERLINK("https://leetcode.com/problems/next-special-palindrome-number/", "Next Special Palindrome Number")</f>
        <v/>
      </c>
      <c r="C3394" s="1" t="n">
        <v>67</v>
      </c>
      <c r="D3394" s="1" t="n">
        <v>5</v>
      </c>
      <c r="E3394" s="4">
        <f>IF(INDEX(C:C, ROW())+INDEX(D:D, ROW())=0, 0, INDEX(C:C, ROW())/(INDEX(C:C, ROW())+INDEX(D:D, ROW())))</f>
        <v/>
      </c>
      <c r="F3394" s="1" t="inlineStr">
        <is>
          <t>Backtracking, Bit Manipulation</t>
        </is>
      </c>
      <c r="G3394" s="1" t="inlineStr">
        <is>
          <t>Hard</t>
        </is>
      </c>
      <c r="H3394" s="1" t="n">
        <v>11947</v>
      </c>
      <c r="I3394" s="1" t="n">
        <v>42581</v>
      </c>
      <c r="J3394" s="9" t="n">
        <v>0.281</v>
      </c>
      <c r="K3394" s="1" t="inlineStr">
        <is>
          <t>Yes</t>
        </is>
      </c>
      <c r="L3394" s="1" t="inlineStr">
        <is>
          <t>No</t>
        </is>
      </c>
      <c r="M3394" s="1" t="inlineStr">
        <is>
          <t>No</t>
        </is>
      </c>
      <c r="N3394" s="1" t="inlineStr">
        <is>
          <t>Algorithms</t>
        </is>
      </c>
      <c r="O33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94" s="11" t="inlineStr">
        <is>
          <t>To Do</t>
        </is>
      </c>
    </row>
    <row r="3395" ht="15.75" customHeight="1" s="12">
      <c r="A3395" s="1" t="n">
        <v>3701</v>
      </c>
      <c r="B3395" s="3">
        <f>HYPERLINK("https://leetcode.com/problems/compute-alternating-sum/", "Compute Alternating Sum")</f>
        <v/>
      </c>
      <c r="C3395" s="1" t="n">
        <v>67</v>
      </c>
      <c r="D3395" s="1" t="n">
        <v>2</v>
      </c>
      <c r="E3395" s="4">
        <f>IF(INDEX(C:C, ROW())+INDEX(D:D, ROW())=0, 0, INDEX(C:C, ROW())/(INDEX(C:C, ROW())+INDEX(D:D, ROW())))</f>
        <v/>
      </c>
      <c r="F3395" s="1" t="inlineStr">
        <is>
          <t>Array, Simulation</t>
        </is>
      </c>
      <c r="G3395" s="1" t="inlineStr">
        <is>
          <t>Easy</t>
        </is>
      </c>
      <c r="H3395" s="1" t="n">
        <v>75264</v>
      </c>
      <c r="I3395" s="1" t="n">
        <v>83634</v>
      </c>
      <c r="J3395" s="9" t="n">
        <v>0.9</v>
      </c>
      <c r="K3395" s="1" t="inlineStr">
        <is>
          <t>Yes</t>
        </is>
      </c>
      <c r="L3395" s="1" t="inlineStr">
        <is>
          <t>No</t>
        </is>
      </c>
      <c r="M3395" s="1" t="inlineStr">
        <is>
          <t>No</t>
        </is>
      </c>
      <c r="N3395" s="1" t="inlineStr">
        <is>
          <t>Algorithms</t>
        </is>
      </c>
      <c r="O33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95" s="13" t="inlineStr">
        <is>
          <t>Done</t>
        </is>
      </c>
    </row>
    <row r="3396" ht="15.75" customHeight="1" s="12">
      <c r="A3396" s="1" t="n">
        <v>1821</v>
      </c>
      <c r="B3396" s="3">
        <f>HYPERLINK("https://leetcode.com/problems/find-customers-with-positive-revenue-this-year/", "Find Customers With Positive Revenue this Year")</f>
        <v/>
      </c>
      <c r="C3396" s="1" t="n">
        <v>66</v>
      </c>
      <c r="D3396" s="1" t="n">
        <v>26</v>
      </c>
      <c r="E3396" s="4">
        <f>IF(INDEX(C:C, ROW())+INDEX(D:D, ROW())=0, 0, INDEX(C:C, ROW())/(INDEX(C:C, ROW())+INDEX(D:D, ROW())))</f>
        <v/>
      </c>
      <c r="F3396" s="1" t="inlineStr">
        <is>
          <t>Database</t>
        </is>
      </c>
      <c r="G3396" s="1" t="inlineStr">
        <is>
          <t>Easy</t>
        </is>
      </c>
      <c r="H3396" s="1" t="n">
        <v>37332</v>
      </c>
      <c r="I3396" s="1" t="n">
        <v>42565</v>
      </c>
      <c r="J3396" s="9" t="n">
        <v>0.877</v>
      </c>
      <c r="K3396" s="1" t="inlineStr">
        <is>
          <t>No</t>
        </is>
      </c>
      <c r="L3396" s="1" t="inlineStr">
        <is>
          <t>No</t>
        </is>
      </c>
      <c r="M3396" s="1" t="inlineStr">
        <is>
          <t>No</t>
        </is>
      </c>
      <c r="N3396" s="1" t="inlineStr">
        <is>
          <t>Database</t>
        </is>
      </c>
      <c r="O33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96" s="11" t="inlineStr">
        <is>
          <t>To Do</t>
        </is>
      </c>
    </row>
    <row r="3397" ht="15.75" customHeight="1" s="12">
      <c r="A3397" s="1" t="n">
        <v>2113</v>
      </c>
      <c r="B3397" s="3">
        <f>HYPERLINK("https://leetcode.com/problems/elements-in-array-after-removing-and-replacing-elements/", "Elements in Array After Removing and Replacing Elements")</f>
        <v/>
      </c>
      <c r="C3397" s="1" t="n">
        <v>66</v>
      </c>
      <c r="D3397" s="1" t="n">
        <v>9</v>
      </c>
      <c r="E3397" s="4">
        <f>IF(INDEX(C:C, ROW())+INDEX(D:D, ROW())=0, 0, INDEX(C:C, ROW())/(INDEX(C:C, ROW())+INDEX(D:D, ROW())))</f>
        <v/>
      </c>
      <c r="F3397" s="1" t="inlineStr">
        <is>
          <t>Array</t>
        </is>
      </c>
      <c r="G3397" s="1" t="inlineStr">
        <is>
          <t>Medium</t>
        </is>
      </c>
      <c r="H3397" s="1" t="n">
        <v>2474</v>
      </c>
      <c r="I3397" s="1" t="n">
        <v>3526</v>
      </c>
      <c r="J3397" s="9" t="n">
        <v>0.702</v>
      </c>
      <c r="K3397" s="1" t="inlineStr">
        <is>
          <t>No</t>
        </is>
      </c>
      <c r="L3397" s="1" t="inlineStr">
        <is>
          <t>No</t>
        </is>
      </c>
      <c r="M3397" s="1" t="inlineStr">
        <is>
          <t>No</t>
        </is>
      </c>
      <c r="N3397" s="1" t="inlineStr">
        <is>
          <t>Algorithms</t>
        </is>
      </c>
      <c r="O33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97" s="11" t="inlineStr">
        <is>
          <t>To Do</t>
        </is>
      </c>
    </row>
    <row r="3398" ht="15.75" customHeight="1" s="12">
      <c r="A3398" s="1" t="n">
        <v>2282</v>
      </c>
      <c r="B3398" s="3">
        <f>HYPERLINK("https://leetcode.com/problems/number-of-people-that-can-be-seen-in-a-grid/", "Number of People That Can Be Seen in a Grid")</f>
        <v/>
      </c>
      <c r="C3398" s="1" t="n">
        <v>66</v>
      </c>
      <c r="D3398" s="1" t="n">
        <v>34</v>
      </c>
      <c r="E3398" s="4">
        <f>IF(INDEX(C:C, ROW())+INDEX(D:D, ROW())=0, 0, INDEX(C:C, ROW())/(INDEX(C:C, ROW())+INDEX(D:D, ROW())))</f>
        <v/>
      </c>
      <c r="F3398" s="1" t="inlineStr">
        <is>
          <t>Array, Stack, Matrix, Monotonic Stack</t>
        </is>
      </c>
      <c r="G3398" s="1" t="inlineStr">
        <is>
          <t>Medium</t>
        </is>
      </c>
      <c r="H3398" s="1" t="n">
        <v>2679</v>
      </c>
      <c r="I3398" s="1" t="n">
        <v>5636</v>
      </c>
      <c r="J3398" s="9" t="n">
        <v>0.475</v>
      </c>
      <c r="K3398" s="1" t="inlineStr">
        <is>
          <t>No</t>
        </is>
      </c>
      <c r="L3398" s="1" t="inlineStr">
        <is>
          <t>No</t>
        </is>
      </c>
      <c r="M3398" s="1" t="inlineStr">
        <is>
          <t>No</t>
        </is>
      </c>
      <c r="N3398" s="1" t="inlineStr">
        <is>
          <t>Algorithms</t>
        </is>
      </c>
      <c r="O33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98" s="11" t="inlineStr">
        <is>
          <t>To Do</t>
        </is>
      </c>
    </row>
    <row r="3399" ht="15.75" customHeight="1" s="12">
      <c r="A3399" s="1" t="n">
        <v>3482</v>
      </c>
      <c r="B3399" s="3">
        <f>HYPERLINK("https://leetcode.com/problems/analyze-organization-hierarchy/", "Analyze Organization Hierarchy")</f>
        <v/>
      </c>
      <c r="C3399" s="1" t="n">
        <v>66</v>
      </c>
      <c r="D3399" s="1" t="n">
        <v>3</v>
      </c>
      <c r="E3399" s="4">
        <f>IF(INDEX(C:C, ROW())+INDEX(D:D, ROW())=0, 0, INDEX(C:C, ROW())/(INDEX(C:C, ROW())+INDEX(D:D, ROW())))</f>
        <v/>
      </c>
      <c r="F3399" s="1" t="inlineStr">
        <is>
          <t>Database</t>
        </is>
      </c>
      <c r="G3399" s="1" t="inlineStr">
        <is>
          <t>Hard</t>
        </is>
      </c>
      <c r="H3399" s="1" t="n">
        <v>9649</v>
      </c>
      <c r="I3399" s="1" t="n">
        <v>16003</v>
      </c>
      <c r="J3399" s="9" t="n">
        <v>0.603</v>
      </c>
      <c r="K3399" s="1" t="inlineStr">
        <is>
          <t>Yes</t>
        </is>
      </c>
      <c r="L3399" s="1" t="inlineStr">
        <is>
          <t>No</t>
        </is>
      </c>
      <c r="M3399" s="1" t="inlineStr">
        <is>
          <t>No</t>
        </is>
      </c>
      <c r="N3399" s="1" t="inlineStr">
        <is>
          <t>Database</t>
        </is>
      </c>
      <c r="O33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399" s="11" t="inlineStr">
        <is>
          <t>To Do</t>
        </is>
      </c>
    </row>
    <row r="3400" ht="15.75" customHeight="1" s="12">
      <c r="A3400" s="1" t="n">
        <v>3694</v>
      </c>
      <c r="B3400" s="3">
        <f>HYPERLINK("https://leetcode.com/problems/distinct-points-reachable-after-substring-removal/", "Distinct Points Reachable After Substring Removal")</f>
        <v/>
      </c>
      <c r="C3400" s="1" t="n">
        <v>66</v>
      </c>
      <c r="D3400" s="1" t="n">
        <v>1</v>
      </c>
      <c r="E3400" s="4">
        <f>IF(INDEX(C:C, ROW())+INDEX(D:D, ROW())=0, 0, INDEX(C:C, ROW())/(INDEX(C:C, ROW())+INDEX(D:D, ROW())))</f>
        <v/>
      </c>
      <c r="F3400" s="1" t="inlineStr">
        <is>
          <t>Hash Table, String, Sliding Window, Prefix Sum</t>
        </is>
      </c>
      <c r="G3400" s="1" t="inlineStr">
        <is>
          <t>Medium</t>
        </is>
      </c>
      <c r="H3400" s="1" t="n">
        <v>16578</v>
      </c>
      <c r="I3400" s="1" t="n">
        <v>30707</v>
      </c>
      <c r="J3400" s="9" t="n">
        <v>0.54</v>
      </c>
      <c r="K3400" s="1" t="inlineStr">
        <is>
          <t>Yes</t>
        </is>
      </c>
      <c r="L3400" s="1" t="inlineStr">
        <is>
          <t>No</t>
        </is>
      </c>
      <c r="M3400" s="1" t="inlineStr">
        <is>
          <t>No</t>
        </is>
      </c>
      <c r="N3400" s="1" t="inlineStr">
        <is>
          <t>Algorithms</t>
        </is>
      </c>
      <c r="O34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00" s="11" t="inlineStr">
        <is>
          <t>To Do</t>
        </is>
      </c>
    </row>
    <row r="3401" ht="15.75" customHeight="1" s="12">
      <c r="A3401" s="1" t="n">
        <v>3824</v>
      </c>
      <c r="B3401" s="3">
        <f>HYPERLINK("https://leetcode.com/problems/minimum-k-to-reduce-array-within-limit/", "Minimum K to Reduce Array Within Limit")</f>
        <v/>
      </c>
      <c r="C3401" s="1" t="n">
        <v>66</v>
      </c>
      <c r="D3401" s="1" t="n">
        <v>3</v>
      </c>
      <c r="E3401" s="4">
        <f>IF(INDEX(C:C, ROW())+INDEX(D:D, ROW())=0, 0, INDEX(C:C, ROW())/(INDEX(C:C, ROW())+INDEX(D:D, ROW())))</f>
        <v/>
      </c>
      <c r="F3401" s="1" t="inlineStr">
        <is>
          <t>Array, Binary Search</t>
        </is>
      </c>
      <c r="G3401" s="1" t="inlineStr">
        <is>
          <t>Medium</t>
        </is>
      </c>
      <c r="H3401" s="1" t="n">
        <v>47075</v>
      </c>
      <c r="I3401" s="1" t="n">
        <v>114591</v>
      </c>
      <c r="J3401" s="9" t="n">
        <v>0.411</v>
      </c>
      <c r="K3401" s="1" t="inlineStr">
        <is>
          <t>Yes</t>
        </is>
      </c>
      <c r="L3401" s="1" t="inlineStr">
        <is>
          <t>No</t>
        </is>
      </c>
      <c r="M3401" s="1" t="inlineStr">
        <is>
          <t>No</t>
        </is>
      </c>
      <c r="N3401" s="1" t="inlineStr">
        <is>
          <t>Algorithms</t>
        </is>
      </c>
      <c r="O34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01" s="11" t="inlineStr">
        <is>
          <t>To Do</t>
        </is>
      </c>
    </row>
    <row r="3402" ht="15.75" customHeight="1" s="12">
      <c r="A3402" s="1" t="n">
        <v>3868</v>
      </c>
      <c r="B3402" s="3">
        <f>HYPERLINK("https://leetcode.com/problems/minimum-cost-to-equalize-arrays-using-swaps/", "Minimum Cost to Equalize Arrays Using Swaps")</f>
        <v/>
      </c>
      <c r="C3402" s="1" t="n">
        <v>66</v>
      </c>
      <c r="D3402" s="1" t="n">
        <v>2</v>
      </c>
      <c r="E3402" s="4">
        <f>IF(INDEX(C:C, ROW())+INDEX(D:D, ROW())=0, 0, INDEX(C:C, ROW())/(INDEX(C:C, ROW())+INDEX(D:D, ROW())))</f>
        <v/>
      </c>
      <c r="F3402" s="1" t="inlineStr">
        <is>
          <t>Array, Hash Table, Greedy, Counting</t>
        </is>
      </c>
      <c r="G3402" s="1" t="inlineStr">
        <is>
          <t>Medium</t>
        </is>
      </c>
      <c r="H3402" s="1" t="n">
        <v>24702</v>
      </c>
      <c r="I3402" s="1" t="n">
        <v>50927</v>
      </c>
      <c r="J3402" s="9" t="n">
        <v>0.485</v>
      </c>
      <c r="K3402" s="1" t="inlineStr">
        <is>
          <t>Yes</t>
        </is>
      </c>
      <c r="L3402" s="1" t="inlineStr">
        <is>
          <t>No</t>
        </is>
      </c>
      <c r="M3402" s="1" t="inlineStr">
        <is>
          <t>No</t>
        </is>
      </c>
      <c r="N3402" s="1" t="inlineStr">
        <is>
          <t>Algorithms</t>
        </is>
      </c>
      <c r="O34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02" s="11" t="inlineStr">
        <is>
          <t>To Do</t>
        </is>
      </c>
    </row>
    <row r="3403" ht="15.75" customHeight="1" s="12">
      <c r="A3403" s="1" t="n">
        <v>2292</v>
      </c>
      <c r="B3403" s="3">
        <f>HYPERLINK("https://leetcode.com/problems/products-with-three-or-more-orders-in-two-consecutive-years/", "Products With Three or More Orders in Two Consecutive Years")</f>
        <v/>
      </c>
      <c r="C3403" s="1" t="n">
        <v>65</v>
      </c>
      <c r="D3403" s="1" t="n">
        <v>29</v>
      </c>
      <c r="E3403" s="4">
        <f>IF(INDEX(C:C, ROW())+INDEX(D:D, ROW())=0, 0, INDEX(C:C, ROW())/(INDEX(C:C, ROW())+INDEX(D:D, ROW())))</f>
        <v/>
      </c>
      <c r="F3403" s="1" t="inlineStr">
        <is>
          <t>Database</t>
        </is>
      </c>
      <c r="G3403" s="1" t="inlineStr">
        <is>
          <t>Medium</t>
        </is>
      </c>
      <c r="H3403" s="1" t="n">
        <v>10743</v>
      </c>
      <c r="I3403" s="1" t="n">
        <v>26401</v>
      </c>
      <c r="J3403" s="9" t="n">
        <v>0.407</v>
      </c>
      <c r="K3403" s="1" t="inlineStr">
        <is>
          <t>No</t>
        </is>
      </c>
      <c r="L3403" s="1" t="inlineStr">
        <is>
          <t>No</t>
        </is>
      </c>
      <c r="M3403" s="1" t="inlineStr">
        <is>
          <t>No</t>
        </is>
      </c>
      <c r="N3403" s="1" t="inlineStr">
        <is>
          <t>Database</t>
        </is>
      </c>
      <c r="O34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03" s="11" t="inlineStr">
        <is>
          <t>To Do</t>
        </is>
      </c>
    </row>
    <row r="3404" ht="15.75" customHeight="1" s="12">
      <c r="A3404" s="1" t="n">
        <v>3492</v>
      </c>
      <c r="B3404" s="3">
        <f>HYPERLINK("https://leetcode.com/problems/maximum-containers-on-a-ship/", "Maximum Containers on a Ship")</f>
        <v/>
      </c>
      <c r="C3404" s="1" t="n">
        <v>65</v>
      </c>
      <c r="D3404" s="1" t="n">
        <v>13</v>
      </c>
      <c r="E3404" s="4">
        <f>IF(INDEX(C:C, ROW())+INDEX(D:D, ROW())=0, 0, INDEX(C:C, ROW())/(INDEX(C:C, ROW())+INDEX(D:D, ROW())))</f>
        <v/>
      </c>
      <c r="F3404" s="1" t="inlineStr">
        <is>
          <t>Math</t>
        </is>
      </c>
      <c r="G3404" s="1" t="inlineStr">
        <is>
          <t>Easy</t>
        </is>
      </c>
      <c r="H3404" s="1" t="n">
        <v>50979</v>
      </c>
      <c r="I3404" s="1" t="n">
        <v>67687</v>
      </c>
      <c r="J3404" s="9" t="n">
        <v>0.753</v>
      </c>
      <c r="K3404" s="1" t="inlineStr">
        <is>
          <t>Yes</t>
        </is>
      </c>
      <c r="L3404" s="1" t="inlineStr">
        <is>
          <t>No</t>
        </is>
      </c>
      <c r="M3404" s="1" t="inlineStr">
        <is>
          <t>No</t>
        </is>
      </c>
      <c r="N3404" s="1" t="inlineStr">
        <is>
          <t>Algorithms</t>
        </is>
      </c>
      <c r="O34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04" s="13" t="inlineStr">
        <is>
          <t>Done</t>
        </is>
      </c>
    </row>
    <row r="3405" ht="15.75" customHeight="1" s="12">
      <c r="A3405" s="1" t="n">
        <v>3678</v>
      </c>
      <c r="B3405" s="3">
        <f>HYPERLINK("https://leetcode.com/problems/smallest-absent-positive-greater-than-average/", "Smallest Absent Positive Greater Than Average")</f>
        <v/>
      </c>
      <c r="C3405" s="1" t="n">
        <v>65</v>
      </c>
      <c r="D3405" s="1" t="n">
        <v>5</v>
      </c>
      <c r="E3405" s="4">
        <f>IF(INDEX(C:C, ROW())+INDEX(D:D, ROW())=0, 0, INDEX(C:C, ROW())/(INDEX(C:C, ROW())+INDEX(D:D, ROW())))</f>
        <v/>
      </c>
      <c r="F3405" s="1" t="inlineStr">
        <is>
          <t>Array, Hash Table</t>
        </is>
      </c>
      <c r="G3405" s="1" t="inlineStr">
        <is>
          <t>Easy</t>
        </is>
      </c>
      <c r="H3405" s="1" t="n">
        <v>37565</v>
      </c>
      <c r="I3405" s="1" t="n">
        <v>109479</v>
      </c>
      <c r="J3405" s="9" t="n">
        <v>0.343</v>
      </c>
      <c r="K3405" s="1" t="inlineStr">
        <is>
          <t>Yes</t>
        </is>
      </c>
      <c r="L3405" s="1" t="inlineStr">
        <is>
          <t>No</t>
        </is>
      </c>
      <c r="M3405" s="1" t="inlineStr">
        <is>
          <t>No</t>
        </is>
      </c>
      <c r="N3405" s="1" t="inlineStr">
        <is>
          <t>Algorithms</t>
        </is>
      </c>
      <c r="O34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05" s="13" t="inlineStr">
        <is>
          <t>Done</t>
        </is>
      </c>
    </row>
    <row r="3406" ht="15.75" customHeight="1" s="12">
      <c r="A3406" s="1" t="n">
        <v>3725</v>
      </c>
      <c r="B3406" s="3">
        <f>HYPERLINK("https://leetcode.com/problems/count-ways-to-choose-coprime-integers-from-rows/", "Count Ways to Choose Coprime Integers from Rows")</f>
        <v/>
      </c>
      <c r="C3406" s="1" t="n">
        <v>65</v>
      </c>
      <c r="D3406" s="1" t="n">
        <v>4</v>
      </c>
      <c r="E3406" s="4">
        <f>IF(INDEX(C:C, ROW())+INDEX(D:D, ROW())=0, 0, INDEX(C:C, ROW())/(INDEX(C:C, ROW())+INDEX(D:D, ROW())))</f>
        <v/>
      </c>
      <c r="F3406" s="1" t="inlineStr">
        <is>
          <t>Array, Math, Dynamic Programming, Matrix, Combinatorics, Number Theory</t>
        </is>
      </c>
      <c r="G3406" s="1" t="inlineStr">
        <is>
          <t>Hard</t>
        </is>
      </c>
      <c r="H3406" s="1" t="n">
        <v>9679</v>
      </c>
      <c r="I3406" s="1" t="n">
        <v>19965</v>
      </c>
      <c r="J3406" s="9" t="n">
        <v>0.485</v>
      </c>
      <c r="K3406" s="1" t="inlineStr">
        <is>
          <t>Yes</t>
        </is>
      </c>
      <c r="L3406" s="1" t="inlineStr">
        <is>
          <t>No</t>
        </is>
      </c>
      <c r="M3406" s="1" t="inlineStr">
        <is>
          <t>No</t>
        </is>
      </c>
      <c r="N3406" s="1" t="inlineStr">
        <is>
          <t>Algorithms</t>
        </is>
      </c>
      <c r="O34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06" s="11" t="inlineStr">
        <is>
          <t>To Do</t>
        </is>
      </c>
    </row>
    <row r="3407" ht="15.75" customHeight="1" s="12">
      <c r="A3407" s="1" t="n">
        <v>3739</v>
      </c>
      <c r="B3407" s="3">
        <f>HYPERLINK("https://leetcode.com/problems/count-subarrays-with-majority-element-ii/", "Count Subarrays With Majority Element II")</f>
        <v/>
      </c>
      <c r="C3407" s="1" t="n">
        <v>65</v>
      </c>
      <c r="D3407" s="1" t="n">
        <v>3</v>
      </c>
      <c r="E3407" s="4">
        <f>IF(INDEX(C:C, ROW())+INDEX(D:D, ROW())=0, 0, INDEX(C:C, ROW())/(INDEX(C:C, ROW())+INDEX(D:D, ROW())))</f>
        <v/>
      </c>
      <c r="F3407" s="1" t="inlineStr">
        <is>
          <t>Array, Hash Table, Divide and Conquer, Segment Tree, Merge Sort, Prefix Sum</t>
        </is>
      </c>
      <c r="G3407" s="1" t="inlineStr">
        <is>
          <t>Hard</t>
        </is>
      </c>
      <c r="H3407" s="1" t="n">
        <v>7357</v>
      </c>
      <c r="I3407" s="1" t="n">
        <v>16178</v>
      </c>
      <c r="J3407" s="9" t="n">
        <v>0.455</v>
      </c>
      <c r="K3407" s="1" t="inlineStr">
        <is>
          <t>Yes</t>
        </is>
      </c>
      <c r="L3407" s="1" t="inlineStr">
        <is>
          <t>No</t>
        </is>
      </c>
      <c r="M3407" s="1" t="inlineStr">
        <is>
          <t>No</t>
        </is>
      </c>
      <c r="N3407" s="1" t="inlineStr">
        <is>
          <t>Algorithms</t>
        </is>
      </c>
      <c r="O34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07" s="11" t="inlineStr">
        <is>
          <t>To Do</t>
        </is>
      </c>
    </row>
    <row r="3408" ht="15.75" customHeight="1" s="12">
      <c r="A3408" s="1" t="n">
        <v>3748</v>
      </c>
      <c r="B3408" s="3">
        <f>HYPERLINK("https://leetcode.com/problems/count-stable-subarrays/", "Count Stable Subarrays")</f>
        <v/>
      </c>
      <c r="C3408" s="1" t="n">
        <v>65</v>
      </c>
      <c r="D3408" s="1" t="n">
        <v>2</v>
      </c>
      <c r="E3408" s="4">
        <f>IF(INDEX(C:C, ROW())+INDEX(D:D, ROW())=0, 0, INDEX(C:C, ROW())/(INDEX(C:C, ROW())+INDEX(D:D, ROW())))</f>
        <v/>
      </c>
      <c r="F3408" s="1" t="inlineStr">
        <is>
          <t>Array, Binary Search, Prefix Sum</t>
        </is>
      </c>
      <c r="G3408" s="1" t="inlineStr">
        <is>
          <t>Hard</t>
        </is>
      </c>
      <c r="H3408" s="1" t="n">
        <v>6152</v>
      </c>
      <c r="I3408" s="1" t="n">
        <v>18889</v>
      </c>
      <c r="J3408" s="9" t="n">
        <v>0.326</v>
      </c>
      <c r="K3408" s="1" t="inlineStr">
        <is>
          <t>Yes</t>
        </is>
      </c>
      <c r="L3408" s="1" t="inlineStr">
        <is>
          <t>No</t>
        </is>
      </c>
      <c r="M3408" s="1" t="inlineStr">
        <is>
          <t>No</t>
        </is>
      </c>
      <c r="N3408" s="1" t="inlineStr">
        <is>
          <t>Algorithms</t>
        </is>
      </c>
      <c r="O34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08" s="11" t="inlineStr">
        <is>
          <t>To Do</t>
        </is>
      </c>
    </row>
    <row r="3409" ht="15.75" customHeight="1" s="12">
      <c r="A3409" s="1" t="n">
        <v>3803</v>
      </c>
      <c r="B3409" s="3">
        <f>HYPERLINK("https://leetcode.com/problems/count-residue-prefixes/", "Count Residue Prefixes")</f>
        <v/>
      </c>
      <c r="C3409" s="1" t="n">
        <v>65</v>
      </c>
      <c r="D3409" s="1" t="n">
        <v>1</v>
      </c>
      <c r="E3409" s="4">
        <f>IF(INDEX(C:C, ROW())+INDEX(D:D, ROW())=0, 0, INDEX(C:C, ROW())/(INDEX(C:C, ROW())+INDEX(D:D, ROW())))</f>
        <v/>
      </c>
      <c r="F3409" s="1" t="inlineStr">
        <is>
          <t>Hash Table, String</t>
        </is>
      </c>
      <c r="G3409" s="1" t="inlineStr">
        <is>
          <t>Easy</t>
        </is>
      </c>
      <c r="H3409" s="1" t="n">
        <v>46683</v>
      </c>
      <c r="I3409" s="1" t="n">
        <v>71154</v>
      </c>
      <c r="J3409" s="9" t="n">
        <v>0.656</v>
      </c>
      <c r="K3409" s="1" t="inlineStr">
        <is>
          <t>Yes</t>
        </is>
      </c>
      <c r="L3409" s="1" t="inlineStr">
        <is>
          <t>No</t>
        </is>
      </c>
      <c r="M3409" s="1" t="inlineStr">
        <is>
          <t>No</t>
        </is>
      </c>
      <c r="N3409" s="1" t="inlineStr">
        <is>
          <t>Algorithms</t>
        </is>
      </c>
      <c r="O34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09" s="13" t="inlineStr">
        <is>
          <t>Done</t>
        </is>
      </c>
    </row>
    <row r="3410" ht="15.75" customHeight="1" s="12">
      <c r="A3410" s="1" t="n">
        <v>1645</v>
      </c>
      <c r="B3410" s="3">
        <f>HYPERLINK("https://leetcode.com/problems/hopper-company-queries-ii/", "Hopper Company Queries II")</f>
        <v/>
      </c>
      <c r="C3410" s="1" t="n">
        <v>64</v>
      </c>
      <c r="D3410" s="1" t="n">
        <v>18</v>
      </c>
      <c r="E3410" s="4">
        <f>IF(INDEX(C:C, ROW())+INDEX(D:D, ROW())=0, 0, INDEX(C:C, ROW())/(INDEX(C:C, ROW())+INDEX(D:D, ROW())))</f>
        <v/>
      </c>
      <c r="F3410" s="1" t="inlineStr">
        <is>
          <t>Database</t>
        </is>
      </c>
      <c r="G3410" s="1" t="inlineStr">
        <is>
          <t>Hard</t>
        </is>
      </c>
      <c r="H3410" s="1" t="n">
        <v>8630</v>
      </c>
      <c r="I3410" s="1" t="n">
        <v>21625</v>
      </c>
      <c r="J3410" s="9" t="n">
        <v>0.399</v>
      </c>
      <c r="K3410" s="1" t="inlineStr">
        <is>
          <t>No</t>
        </is>
      </c>
      <c r="L3410" s="1" t="inlineStr">
        <is>
          <t>No</t>
        </is>
      </c>
      <c r="M3410" s="1" t="inlineStr">
        <is>
          <t>No</t>
        </is>
      </c>
      <c r="N3410" s="1" t="inlineStr">
        <is>
          <t>Database</t>
        </is>
      </c>
      <c r="O34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10" s="11" t="inlineStr">
        <is>
          <t>To Do</t>
        </is>
      </c>
    </row>
    <row r="3411" ht="15.75" customHeight="1" s="12">
      <c r="A3411" s="1" t="n">
        <v>2051</v>
      </c>
      <c r="B3411" s="3">
        <f>HYPERLINK("https://leetcode.com/problems/the-category-of-each-member-in-the-store/", "The Category of Each Member in the Store")</f>
        <v/>
      </c>
      <c r="C3411" s="1" t="n">
        <v>64</v>
      </c>
      <c r="D3411" s="1" t="n">
        <v>8</v>
      </c>
      <c r="E3411" s="4">
        <f>IF(INDEX(C:C, ROW())+INDEX(D:D, ROW())=0, 0, INDEX(C:C, ROW())/(INDEX(C:C, ROW())+INDEX(D:D, ROW())))</f>
        <v/>
      </c>
      <c r="F3411" s="1" t="inlineStr">
        <is>
          <t>Database</t>
        </is>
      </c>
      <c r="G3411" s="1" t="inlineStr">
        <is>
          <t>Medium</t>
        </is>
      </c>
      <c r="H3411" s="1" t="n">
        <v>10943</v>
      </c>
      <c r="I3411" s="1" t="n">
        <v>15519</v>
      </c>
      <c r="J3411" s="9" t="n">
        <v>0.705</v>
      </c>
      <c r="K3411" s="1" t="inlineStr">
        <is>
          <t>No</t>
        </is>
      </c>
      <c r="L3411" s="1" t="inlineStr">
        <is>
          <t>No</t>
        </is>
      </c>
      <c r="M3411" s="1" t="inlineStr">
        <is>
          <t>No</t>
        </is>
      </c>
      <c r="N3411" s="1" t="inlineStr">
        <is>
          <t>Database</t>
        </is>
      </c>
      <c r="O34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11" s="11" t="inlineStr">
        <is>
          <t>To Do</t>
        </is>
      </c>
    </row>
    <row r="3412" ht="15.75" customHeight="1" s="12">
      <c r="A3412" s="1" t="n">
        <v>2802</v>
      </c>
      <c r="B3412" s="3">
        <f>HYPERLINK("https://leetcode.com/problems/find-the-k-th-lucky-number/", "Find The K-th Lucky Number")</f>
        <v/>
      </c>
      <c r="C3412" s="1" t="n">
        <v>64</v>
      </c>
      <c r="D3412" s="1" t="n">
        <v>15</v>
      </c>
      <c r="E3412" s="4">
        <f>IF(INDEX(C:C, ROW())+INDEX(D:D, ROW())=0, 0, INDEX(C:C, ROW())/(INDEX(C:C, ROW())+INDEX(D:D, ROW())))</f>
        <v/>
      </c>
      <c r="F3412" s="1" t="inlineStr">
        <is>
          <t>Math, String, Bit Manipulation</t>
        </is>
      </c>
      <c r="G3412" s="1" t="inlineStr">
        <is>
          <t>Medium</t>
        </is>
      </c>
      <c r="H3412" s="1" t="n">
        <v>6340</v>
      </c>
      <c r="I3412" s="1" t="n">
        <v>8344</v>
      </c>
      <c r="J3412" s="9" t="n">
        <v>0.76</v>
      </c>
      <c r="K3412" s="1" t="inlineStr">
        <is>
          <t>No</t>
        </is>
      </c>
      <c r="L3412" s="1" t="inlineStr">
        <is>
          <t>Yes</t>
        </is>
      </c>
      <c r="M3412" s="1" t="inlineStr">
        <is>
          <t>No</t>
        </is>
      </c>
      <c r="N3412" s="1" t="inlineStr">
        <is>
          <t>Algorithms</t>
        </is>
      </c>
      <c r="O34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12" s="11" t="inlineStr">
        <is>
          <t>To Do</t>
        </is>
      </c>
    </row>
    <row r="3413" ht="15.75" customHeight="1" s="12">
      <c r="A3413" s="1" t="n">
        <v>3352</v>
      </c>
      <c r="B3413" s="3">
        <f>HYPERLINK("https://leetcode.com/problems/count-k-reducible-numbers-less-than-n/", "Count K-Reducible Numbers Less Than N")</f>
        <v/>
      </c>
      <c r="C3413" s="1" t="n">
        <v>64</v>
      </c>
      <c r="D3413" s="1" t="n">
        <v>3</v>
      </c>
      <c r="E3413" s="4">
        <f>IF(INDEX(C:C, ROW())+INDEX(D:D, ROW())=0, 0, INDEX(C:C, ROW())/(INDEX(C:C, ROW())+INDEX(D:D, ROW())))</f>
        <v/>
      </c>
      <c r="F3413" s="1" t="inlineStr">
        <is>
          <t>Math, String, Dynamic Programming, Combinatorics</t>
        </is>
      </c>
      <c r="G3413" s="1" t="inlineStr">
        <is>
          <t>Hard</t>
        </is>
      </c>
      <c r="H3413" s="1" t="n">
        <v>4660</v>
      </c>
      <c r="I3413" s="1" t="n">
        <v>16630</v>
      </c>
      <c r="J3413" s="9" t="n">
        <v>0.28</v>
      </c>
      <c r="K3413" s="1" t="inlineStr">
        <is>
          <t>Yes</t>
        </is>
      </c>
      <c r="L3413" s="1" t="inlineStr">
        <is>
          <t>No</t>
        </is>
      </c>
      <c r="M3413" s="1" t="inlineStr">
        <is>
          <t>No</t>
        </is>
      </c>
      <c r="N3413" s="1" t="inlineStr">
        <is>
          <t>Algorithms</t>
        </is>
      </c>
      <c r="O34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13" s="11" t="inlineStr">
        <is>
          <t>To Do</t>
        </is>
      </c>
    </row>
    <row r="3414" ht="15.75" customHeight="1" s="12">
      <c r="A3414" s="1" t="n">
        <v>3357</v>
      </c>
      <c r="B3414" s="3">
        <f>HYPERLINK("https://leetcode.com/problems/minimize-the-maximum-adjacent-element-difference/", "Minimize the Maximum Adjacent Element Difference")</f>
        <v/>
      </c>
      <c r="C3414" s="1" t="n">
        <v>64</v>
      </c>
      <c r="D3414" s="1" t="n">
        <v>14</v>
      </c>
      <c r="E3414" s="4">
        <f>IF(INDEX(C:C, ROW())+INDEX(D:D, ROW())=0, 0, INDEX(C:C, ROW())/(INDEX(C:C, ROW())+INDEX(D:D, ROW())))</f>
        <v/>
      </c>
      <c r="F3414" s="1" t="inlineStr">
        <is>
          <t>Array, Binary Search, Greedy</t>
        </is>
      </c>
      <c r="G3414" s="1" t="inlineStr">
        <is>
          <t>Hard</t>
        </is>
      </c>
      <c r="H3414" s="1" t="n">
        <v>3679</v>
      </c>
      <c r="I3414" s="1" t="n">
        <v>18676</v>
      </c>
      <c r="J3414" s="9" t="n">
        <v>0.197</v>
      </c>
      <c r="K3414" s="1" t="inlineStr">
        <is>
          <t>Yes</t>
        </is>
      </c>
      <c r="L3414" s="1" t="inlineStr">
        <is>
          <t>No</t>
        </is>
      </c>
      <c r="M3414" s="1" t="inlineStr">
        <is>
          <t>No</t>
        </is>
      </c>
      <c r="N3414" s="1" t="inlineStr">
        <is>
          <t>Algorithms</t>
        </is>
      </c>
      <c r="O34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14" s="11" t="inlineStr">
        <is>
          <t>To Do</t>
        </is>
      </c>
    </row>
    <row r="3415" ht="15.75" customHeight="1" s="12">
      <c r="A3415" s="1" t="n">
        <v>3436</v>
      </c>
      <c r="B3415" s="3">
        <f>HYPERLINK("https://leetcode.com/problems/find-valid-emails/", "Find Valid Emails")</f>
        <v/>
      </c>
      <c r="C3415" s="1" t="n">
        <v>64</v>
      </c>
      <c r="D3415" s="1" t="n">
        <v>9</v>
      </c>
      <c r="E3415" s="4">
        <f>IF(INDEX(C:C, ROW())+INDEX(D:D, ROW())=0, 0, INDEX(C:C, ROW())/(INDEX(C:C, ROW())+INDEX(D:D, ROW())))</f>
        <v/>
      </c>
      <c r="F3415" s="1" t="inlineStr">
        <is>
          <t>Database</t>
        </is>
      </c>
      <c r="G3415" s="1" t="inlineStr">
        <is>
          <t>Easy</t>
        </is>
      </c>
      <c r="H3415" s="1" t="n">
        <v>29940</v>
      </c>
      <c r="I3415" s="1" t="n">
        <v>68234</v>
      </c>
      <c r="J3415" s="9" t="n">
        <v>0.439</v>
      </c>
      <c r="K3415" s="1" t="inlineStr">
        <is>
          <t>Yes</t>
        </is>
      </c>
      <c r="L3415" s="1" t="inlineStr">
        <is>
          <t>No</t>
        </is>
      </c>
      <c r="M3415" s="1" t="inlineStr">
        <is>
          <t>No</t>
        </is>
      </c>
      <c r="N3415" s="1" t="inlineStr">
        <is>
          <t>Database</t>
        </is>
      </c>
      <c r="O34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15" s="13" t="inlineStr">
        <is>
          <t>Done</t>
        </is>
      </c>
    </row>
    <row r="3416" ht="15.75" customHeight="1" s="12">
      <c r="A3416" s="1" t="n">
        <v>3505</v>
      </c>
      <c r="B3416" s="3">
        <f>HYPERLINK("https://leetcode.com/problems/minimum-operations-to-make-elements-within-k-subarrays-equal/", "Minimum Operations to Make Elements Within K Subarrays Equal")</f>
        <v/>
      </c>
      <c r="C3416" s="1" t="n">
        <v>64</v>
      </c>
      <c r="D3416" s="1" t="n">
        <v>3</v>
      </c>
      <c r="E3416" s="4">
        <f>IF(INDEX(C:C, ROW())+INDEX(D:D, ROW())=0, 0, INDEX(C:C, ROW())/(INDEX(C:C, ROW())+INDEX(D:D, ROW())))</f>
        <v/>
      </c>
      <c r="F3416" s="1" t="inlineStr">
        <is>
          <t>Array, Hash Table, Math, Dynamic Programming, Sliding Window, Heap (Priority Queue)</t>
        </is>
      </c>
      <c r="G3416" s="1" t="inlineStr">
        <is>
          <t>Hard</t>
        </is>
      </c>
      <c r="H3416" s="1" t="n">
        <v>4407</v>
      </c>
      <c r="I3416" s="1" t="n">
        <v>15607</v>
      </c>
      <c r="J3416" s="9" t="n">
        <v>0.282</v>
      </c>
      <c r="K3416" s="1" t="inlineStr">
        <is>
          <t>Yes</t>
        </is>
      </c>
      <c r="L3416" s="1" t="inlineStr">
        <is>
          <t>No</t>
        </is>
      </c>
      <c r="M3416" s="1" t="inlineStr">
        <is>
          <t>No</t>
        </is>
      </c>
      <c r="N3416" s="1" t="inlineStr">
        <is>
          <t>Algorithms</t>
        </is>
      </c>
      <c r="O34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16" s="11" t="inlineStr">
        <is>
          <t>To Do</t>
        </is>
      </c>
    </row>
    <row r="3417" ht="15.75" customHeight="1" s="12">
      <c r="A3417" s="1" t="n">
        <v>3681</v>
      </c>
      <c r="B3417" s="3">
        <f>HYPERLINK("https://leetcode.com/problems/maximum-xor-of-subsequences/", "Maximum XOR of Subsequences")</f>
        <v/>
      </c>
      <c r="C3417" s="1" t="n">
        <v>64</v>
      </c>
      <c r="D3417" s="1" t="n">
        <v>10</v>
      </c>
      <c r="E3417" s="4">
        <f>IF(INDEX(C:C, ROW())+INDEX(D:D, ROW())=0, 0, INDEX(C:C, ROW())/(INDEX(C:C, ROW())+INDEX(D:D, ROW())))</f>
        <v/>
      </c>
      <c r="F3417" s="1" t="inlineStr">
        <is>
          <t>Array, Math, Greedy, Bit Manipulation</t>
        </is>
      </c>
      <c r="G3417" s="1" t="inlineStr">
        <is>
          <t>Hard</t>
        </is>
      </c>
      <c r="H3417" s="1" t="n">
        <v>7736</v>
      </c>
      <c r="I3417" s="1" t="n">
        <v>15091</v>
      </c>
      <c r="J3417" s="9" t="n">
        <v>0.513</v>
      </c>
      <c r="K3417" s="1" t="inlineStr">
        <is>
          <t>Yes</t>
        </is>
      </c>
      <c r="L3417" s="1" t="inlineStr">
        <is>
          <t>No</t>
        </is>
      </c>
      <c r="M3417" s="1" t="inlineStr">
        <is>
          <t>No</t>
        </is>
      </c>
      <c r="N3417" s="1" t="inlineStr">
        <is>
          <t>Algorithms</t>
        </is>
      </c>
      <c r="O34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17" s="11" t="inlineStr">
        <is>
          <t>To Do</t>
        </is>
      </c>
    </row>
    <row r="3418" ht="15.75" customHeight="1" s="12">
      <c r="A3418" s="1" t="n">
        <v>3770</v>
      </c>
      <c r="B3418" s="3">
        <f>HYPERLINK("https://leetcode.com/problems/largest-prime-from-consecutive-prime-sum/", "Largest Prime from Consecutive Prime Sum")</f>
        <v/>
      </c>
      <c r="C3418" s="1" t="n">
        <v>64</v>
      </c>
      <c r="D3418" s="1" t="n">
        <v>4</v>
      </c>
      <c r="E3418" s="4">
        <f>IF(INDEX(C:C, ROW())+INDEX(D:D, ROW())=0, 0, INDEX(C:C, ROW())/(INDEX(C:C, ROW())+INDEX(D:D, ROW())))</f>
        <v/>
      </c>
      <c r="F3418" s="1" t="inlineStr">
        <is>
          <t>Array, Math, Number Theory</t>
        </is>
      </c>
      <c r="G3418" s="1" t="inlineStr">
        <is>
          <t>Medium</t>
        </is>
      </c>
      <c r="H3418" s="1" t="n">
        <v>25113</v>
      </c>
      <c r="I3418" s="1" t="n">
        <v>64168</v>
      </c>
      <c r="J3418" s="9" t="n">
        <v>0.391</v>
      </c>
      <c r="K3418" s="1" t="inlineStr">
        <is>
          <t>Yes</t>
        </is>
      </c>
      <c r="L3418" s="1" t="inlineStr">
        <is>
          <t>No</t>
        </is>
      </c>
      <c r="M3418" s="1" t="inlineStr">
        <is>
          <t>No</t>
        </is>
      </c>
      <c r="N3418" s="1" t="inlineStr">
        <is>
          <t>Algorithms</t>
        </is>
      </c>
      <c r="O34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18" s="11" t="inlineStr">
        <is>
          <t>To Do</t>
        </is>
      </c>
    </row>
    <row r="3419" ht="15.75" customHeight="1" s="12">
      <c r="A3419" s="1" t="n">
        <v>3919</v>
      </c>
      <c r="B3419" s="3">
        <f>HYPERLINK("https://leetcode.com/problems/minimum-cost-to-move-between-indices/", "Minimum Cost to Move Between Indices")</f>
        <v/>
      </c>
      <c r="C3419" s="1" t="n">
        <v>64</v>
      </c>
      <c r="D3419" s="1" t="n">
        <v>4</v>
      </c>
      <c r="E3419" s="4">
        <f>IF(INDEX(C:C, ROW())+INDEX(D:D, ROW())=0, 0, INDEX(C:C, ROW())/(INDEX(C:C, ROW())+INDEX(D:D, ROW())))</f>
        <v/>
      </c>
      <c r="F3419" s="2" t="n"/>
      <c r="G3419" s="1" t="inlineStr">
        <is>
          <t>Medium</t>
        </is>
      </c>
      <c r="H3419" s="1" t="n">
        <v>12849</v>
      </c>
      <c r="I3419" s="1" t="n">
        <v>25733</v>
      </c>
      <c r="J3419" s="9" t="n">
        <v>0.499</v>
      </c>
      <c r="K3419" s="1" t="inlineStr">
        <is>
          <t>Yes</t>
        </is>
      </c>
      <c r="L3419" s="1" t="inlineStr">
        <is>
          <t>No</t>
        </is>
      </c>
      <c r="M3419" s="1" t="inlineStr">
        <is>
          <t>No</t>
        </is>
      </c>
      <c r="N3419" s="1" t="inlineStr">
        <is>
          <t>Algorithms</t>
        </is>
      </c>
      <c r="O34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19" s="11" t="inlineStr">
        <is>
          <t>To Do</t>
        </is>
      </c>
    </row>
    <row r="3420" ht="15.75" customHeight="1" s="12">
      <c r="A3420" s="1" t="n">
        <v>2247</v>
      </c>
      <c r="B3420" s="3">
        <f>HYPERLINK("https://leetcode.com/problems/maximum-cost-of-trip-with-k-highways/", "Maximum Cost of Trip With K Highways")</f>
        <v/>
      </c>
      <c r="C3420" s="1" t="n">
        <v>63</v>
      </c>
      <c r="D3420" s="1" t="n">
        <v>0</v>
      </c>
      <c r="E3420" s="4">
        <f>IF(INDEX(C:C, ROW())+INDEX(D:D, ROW())=0, 0, INDEX(C:C, ROW())/(INDEX(C:C, ROW())+INDEX(D:D, ROW())))</f>
        <v/>
      </c>
      <c r="F3420" s="1" t="inlineStr">
        <is>
          <t>Dynamic Programming, Bit Manipulation, Graph Theory, Bitmask</t>
        </is>
      </c>
      <c r="G3420" s="1" t="inlineStr">
        <is>
          <t>Hard</t>
        </is>
      </c>
      <c r="H3420" s="1" t="n">
        <v>2420</v>
      </c>
      <c r="I3420" s="1" t="n">
        <v>4736</v>
      </c>
      <c r="J3420" s="9" t="n">
        <v>0.511</v>
      </c>
      <c r="K3420" s="1" t="inlineStr">
        <is>
          <t>No</t>
        </is>
      </c>
      <c r="L3420" s="1" t="inlineStr">
        <is>
          <t>No</t>
        </is>
      </c>
      <c r="M3420" s="1" t="inlineStr">
        <is>
          <t>No</t>
        </is>
      </c>
      <c r="N3420" s="1" t="inlineStr">
        <is>
          <t>Algorithms</t>
        </is>
      </c>
      <c r="O34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20" s="11" t="inlineStr">
        <is>
          <t>To Do</t>
        </is>
      </c>
    </row>
    <row r="3421" ht="15.75" customHeight="1" s="12">
      <c r="A3421" s="1" t="n">
        <v>2459</v>
      </c>
      <c r="B3421" s="3">
        <f>HYPERLINK("https://leetcode.com/problems/sort-array-by-moving-items-to-empty-space/", "Sort Array by Moving Items to Empty Space")</f>
        <v/>
      </c>
      <c r="C3421" s="1" t="n">
        <v>63</v>
      </c>
      <c r="D3421" s="1" t="n">
        <v>2</v>
      </c>
      <c r="E3421" s="4">
        <f>IF(INDEX(C:C, ROW())+INDEX(D:D, ROW())=0, 0, INDEX(C:C, ROW())/(INDEX(C:C, ROW())+INDEX(D:D, ROW())))</f>
        <v/>
      </c>
      <c r="F3421" s="1" t="inlineStr">
        <is>
          <t>Array, Hash Table, Sorting</t>
        </is>
      </c>
      <c r="G3421" s="1" t="inlineStr">
        <is>
          <t>Hard</t>
        </is>
      </c>
      <c r="H3421" s="1" t="n">
        <v>2987</v>
      </c>
      <c r="I3421" s="1" t="n">
        <v>6548</v>
      </c>
      <c r="J3421" s="9" t="n">
        <v>0.456</v>
      </c>
      <c r="K3421" s="1" t="inlineStr">
        <is>
          <t>No</t>
        </is>
      </c>
      <c r="L3421" s="1" t="inlineStr">
        <is>
          <t>No</t>
        </is>
      </c>
      <c r="M3421" s="1" t="inlineStr">
        <is>
          <t>No</t>
        </is>
      </c>
      <c r="N3421" s="1" t="inlineStr">
        <is>
          <t>Algorithms</t>
        </is>
      </c>
      <c r="O34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21" s="11" t="inlineStr">
        <is>
          <t>To Do</t>
        </is>
      </c>
    </row>
    <row r="3422" ht="15.75" customHeight="1" s="12">
      <c r="A3422" s="1" t="n">
        <v>3245</v>
      </c>
      <c r="B3422" s="3">
        <f>HYPERLINK("https://leetcode.com/problems/alternating-groups-iii/", "Alternating Groups III")</f>
        <v/>
      </c>
      <c r="C3422" s="1" t="n">
        <v>63</v>
      </c>
      <c r="D3422" s="1" t="n">
        <v>10</v>
      </c>
      <c r="E3422" s="4">
        <f>IF(INDEX(C:C, ROW())+INDEX(D:D, ROW())=0, 0, INDEX(C:C, ROW())/(INDEX(C:C, ROW())+INDEX(D:D, ROW())))</f>
        <v/>
      </c>
      <c r="F3422" s="1" t="inlineStr">
        <is>
          <t>Array, Binary Indexed Tree, Ordered Set</t>
        </is>
      </c>
      <c r="G3422" s="1" t="inlineStr">
        <is>
          <t>Hard</t>
        </is>
      </c>
      <c r="H3422" s="1" t="n">
        <v>2938</v>
      </c>
      <c r="I3422" s="1" t="n">
        <v>15306</v>
      </c>
      <c r="J3422" s="9" t="n">
        <v>0.192</v>
      </c>
      <c r="K3422" s="1" t="inlineStr">
        <is>
          <t>Yes</t>
        </is>
      </c>
      <c r="L3422" s="1" t="inlineStr">
        <is>
          <t>No</t>
        </is>
      </c>
      <c r="M3422" s="1" t="inlineStr">
        <is>
          <t>No</t>
        </is>
      </c>
      <c r="N3422" s="1" t="inlineStr">
        <is>
          <t>Algorithms</t>
        </is>
      </c>
      <c r="O34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22" s="11" t="inlineStr">
        <is>
          <t>To Do</t>
        </is>
      </c>
    </row>
    <row r="3423" ht="15.75" customHeight="1" s="12">
      <c r="A3423" s="1" t="n">
        <v>3485</v>
      </c>
      <c r="B3423" s="3">
        <f>HYPERLINK("https://leetcode.com/problems/longest-common-prefix-of-k-strings-after-removal/", "Longest Common Prefix of K Strings After Removal")</f>
        <v/>
      </c>
      <c r="C3423" s="1" t="n">
        <v>63</v>
      </c>
      <c r="D3423" s="1" t="n">
        <v>5</v>
      </c>
      <c r="E3423" s="4">
        <f>IF(INDEX(C:C, ROW())+INDEX(D:D, ROW())=0, 0, INDEX(C:C, ROW())/(INDEX(C:C, ROW())+INDEX(D:D, ROW())))</f>
        <v/>
      </c>
      <c r="F3423" s="1" t="inlineStr">
        <is>
          <t>Array, String, Trie</t>
        </is>
      </c>
      <c r="G3423" s="1" t="inlineStr">
        <is>
          <t>Hard</t>
        </is>
      </c>
      <c r="H3423" s="1" t="n">
        <v>6552</v>
      </c>
      <c r="I3423" s="1" t="n">
        <v>27414</v>
      </c>
      <c r="J3423" s="9" t="n">
        <v>0.239</v>
      </c>
      <c r="K3423" s="1" t="inlineStr">
        <is>
          <t>Yes</t>
        </is>
      </c>
      <c r="L3423" s="1" t="inlineStr">
        <is>
          <t>No</t>
        </is>
      </c>
      <c r="M3423" s="1" t="inlineStr">
        <is>
          <t>No</t>
        </is>
      </c>
      <c r="N3423" s="1" t="inlineStr">
        <is>
          <t>Algorithms</t>
        </is>
      </c>
      <c r="O34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23" s="11" t="inlineStr">
        <is>
          <t>To Do</t>
        </is>
      </c>
    </row>
    <row r="3424" ht="15.75" customHeight="1" s="12">
      <c r="A3424" s="1" t="n">
        <v>3515</v>
      </c>
      <c r="B3424" s="3">
        <f>HYPERLINK("https://leetcode.com/problems/shortest-path-in-a-weighted-tree/", "Shortest Path in a Weighted Tree")</f>
        <v/>
      </c>
      <c r="C3424" s="1" t="n">
        <v>63</v>
      </c>
      <c r="D3424" s="1" t="n">
        <v>2</v>
      </c>
      <c r="E3424" s="4">
        <f>IF(INDEX(C:C, ROW())+INDEX(D:D, ROW())=0, 0, INDEX(C:C, ROW())/(INDEX(C:C, ROW())+INDEX(D:D, ROW())))</f>
        <v/>
      </c>
      <c r="F3424" s="1" t="inlineStr">
        <is>
          <t>Array, Tree, Depth-First Search, Binary Indexed Tree, Segment Tree</t>
        </is>
      </c>
      <c r="G3424" s="1" t="inlineStr">
        <is>
          <t>Hard</t>
        </is>
      </c>
      <c r="H3424" s="1" t="n">
        <v>7246</v>
      </c>
      <c r="I3424" s="1" t="n">
        <v>17139</v>
      </c>
      <c r="J3424" s="9" t="n">
        <v>0.423</v>
      </c>
      <c r="K3424" s="1" t="inlineStr">
        <is>
          <t>Yes</t>
        </is>
      </c>
      <c r="L3424" s="1" t="inlineStr">
        <is>
          <t>No</t>
        </is>
      </c>
      <c r="M3424" s="1" t="inlineStr">
        <is>
          <t>No</t>
        </is>
      </c>
      <c r="N3424" s="1" t="inlineStr">
        <is>
          <t>Algorithms</t>
        </is>
      </c>
      <c r="O34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24" s="11" t="inlineStr">
        <is>
          <t>To Do</t>
        </is>
      </c>
    </row>
    <row r="3425" ht="15.75" customHeight="1" s="12">
      <c r="A3425" s="1" t="n">
        <v>3570</v>
      </c>
      <c r="B3425" s="3">
        <f>HYPERLINK("https://leetcode.com/problems/find-books-with-no-available-copies/", "Find Books with No Available Copies")</f>
        <v/>
      </c>
      <c r="C3425" s="1" t="n">
        <v>63</v>
      </c>
      <c r="D3425" s="1" t="n">
        <v>15</v>
      </c>
      <c r="E3425" s="4">
        <f>IF(INDEX(C:C, ROW())+INDEX(D:D, ROW())=0, 0, INDEX(C:C, ROW())/(INDEX(C:C, ROW())+INDEX(D:D, ROW())))</f>
        <v/>
      </c>
      <c r="F3425" s="1" t="inlineStr">
        <is>
          <t>Database</t>
        </is>
      </c>
      <c r="G3425" s="1" t="inlineStr">
        <is>
          <t>Easy</t>
        </is>
      </c>
      <c r="H3425" s="1" t="n">
        <v>22114</v>
      </c>
      <c r="I3425" s="1" t="n">
        <v>40907</v>
      </c>
      <c r="J3425" s="9" t="n">
        <v>0.541</v>
      </c>
      <c r="K3425" s="1" t="inlineStr">
        <is>
          <t>Yes</t>
        </is>
      </c>
      <c r="L3425" s="1" t="inlineStr">
        <is>
          <t>No</t>
        </is>
      </c>
      <c r="M3425" s="1" t="inlineStr">
        <is>
          <t>No</t>
        </is>
      </c>
      <c r="N3425" s="1" t="inlineStr">
        <is>
          <t>Database</t>
        </is>
      </c>
      <c r="O34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25" s="13" t="inlineStr">
        <is>
          <t>Done</t>
        </is>
      </c>
    </row>
    <row r="3426" ht="15.75" customHeight="1" s="12">
      <c r="A3426" s="1" t="n">
        <v>3723</v>
      </c>
      <c r="B3426" s="3">
        <f>HYPERLINK("https://leetcode.com/problems/maximize-sum-of-squares-of-digits/", "Maximize Sum of Squares of Digits")</f>
        <v/>
      </c>
      <c r="C3426" s="1" t="n">
        <v>63</v>
      </c>
      <c r="D3426" s="1" t="n">
        <v>2</v>
      </c>
      <c r="E3426" s="4">
        <f>IF(INDEX(C:C, ROW())+INDEX(D:D, ROW())=0, 0, INDEX(C:C, ROW())/(INDEX(C:C, ROW())+INDEX(D:D, ROW())))</f>
        <v/>
      </c>
      <c r="F3426" s="1" t="inlineStr">
        <is>
          <t>Math, Greedy</t>
        </is>
      </c>
      <c r="G3426" s="1" t="inlineStr">
        <is>
          <t>Medium</t>
        </is>
      </c>
      <c r="H3426" s="1" t="n">
        <v>23318</v>
      </c>
      <c r="I3426" s="1" t="n">
        <v>39550</v>
      </c>
      <c r="J3426" s="9" t="n">
        <v>0.59</v>
      </c>
      <c r="K3426" s="1" t="inlineStr">
        <is>
          <t>Yes</t>
        </is>
      </c>
      <c r="L3426" s="1" t="inlineStr">
        <is>
          <t>No</t>
        </is>
      </c>
      <c r="M3426" s="1" t="inlineStr">
        <is>
          <t>No</t>
        </is>
      </c>
      <c r="N3426" s="1" t="inlineStr">
        <is>
          <t>Algorithms</t>
        </is>
      </c>
      <c r="O34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26" s="11" t="inlineStr">
        <is>
          <t>To Do</t>
        </is>
      </c>
    </row>
    <row r="3427" ht="15.75" customHeight="1" s="12">
      <c r="A3427" s="1" t="n">
        <v>3780</v>
      </c>
      <c r="B3427" s="3">
        <f>HYPERLINK("https://leetcode.com/problems/maximum-sum-of-three-numbers-divisible-by-three/", "Maximum Sum of Three Numbers Divisible by Three")</f>
        <v/>
      </c>
      <c r="C3427" s="1" t="n">
        <v>63</v>
      </c>
      <c r="D3427" s="1" t="n">
        <v>1</v>
      </c>
      <c r="E3427" s="4">
        <f>IF(INDEX(C:C, ROW())+INDEX(D:D, ROW())=0, 0, INDEX(C:C, ROW())/(INDEX(C:C, ROW())+INDEX(D:D, ROW())))</f>
        <v/>
      </c>
      <c r="F3427" s="1" t="inlineStr">
        <is>
          <t>Array, Greedy, Sorting, Heap (Priority Queue)</t>
        </is>
      </c>
      <c r="G3427" s="1" t="inlineStr">
        <is>
          <t>Medium</t>
        </is>
      </c>
      <c r="H3427" s="1" t="n">
        <v>22811</v>
      </c>
      <c r="I3427" s="1" t="n">
        <v>47829</v>
      </c>
      <c r="J3427" s="9" t="n">
        <v>0.477</v>
      </c>
      <c r="K3427" s="1" t="inlineStr">
        <is>
          <t>Yes</t>
        </is>
      </c>
      <c r="L3427" s="1" t="inlineStr">
        <is>
          <t>No</t>
        </is>
      </c>
      <c r="M3427" s="1" t="inlineStr">
        <is>
          <t>No</t>
        </is>
      </c>
      <c r="N3427" s="1" t="inlineStr">
        <is>
          <t>Algorithms</t>
        </is>
      </c>
      <c r="O34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27" s="11" t="inlineStr">
        <is>
          <t>To Do</t>
        </is>
      </c>
    </row>
    <row r="3428" ht="15.75" customHeight="1" s="12">
      <c r="A3428" s="1" t="n">
        <v>3145</v>
      </c>
      <c r="B3428" s="3">
        <f>HYPERLINK("https://leetcode.com/problems/find-products-of-elements-of-big-array/", "Find Products of Elements of Big Array")</f>
        <v/>
      </c>
      <c r="C3428" s="1" t="n">
        <v>62</v>
      </c>
      <c r="D3428" s="1" t="n">
        <v>18</v>
      </c>
      <c r="E3428" s="4">
        <f>IF(INDEX(C:C, ROW())+INDEX(D:D, ROW())=0, 0, INDEX(C:C, ROW())/(INDEX(C:C, ROW())+INDEX(D:D, ROW())))</f>
        <v/>
      </c>
      <c r="F3428" s="1" t="inlineStr">
        <is>
          <t>Array, Binary Search, Bit Manipulation</t>
        </is>
      </c>
      <c r="G3428" s="1" t="inlineStr">
        <is>
          <t>Hard</t>
        </is>
      </c>
      <c r="H3428" s="1" t="n">
        <v>3162</v>
      </c>
      <c r="I3428" s="1" t="n">
        <v>12833</v>
      </c>
      <c r="J3428" s="9" t="n">
        <v>0.246</v>
      </c>
      <c r="K3428" s="1" t="inlineStr">
        <is>
          <t>Yes</t>
        </is>
      </c>
      <c r="L3428" s="1" t="inlineStr">
        <is>
          <t>No</t>
        </is>
      </c>
      <c r="M3428" s="1" t="inlineStr">
        <is>
          <t>No</t>
        </is>
      </c>
      <c r="N3428" s="1" t="inlineStr">
        <is>
          <t>Algorithms</t>
        </is>
      </c>
      <c r="O34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28" s="11" t="inlineStr">
        <is>
          <t>To Do</t>
        </is>
      </c>
    </row>
    <row r="3429" ht="15.75" customHeight="1" s="12">
      <c r="A3429" s="1" t="n">
        <v>3410</v>
      </c>
      <c r="B3429" s="3">
        <f>HYPERLINK("https://leetcode.com/problems/maximize-subarray-sum-after-removing-all-occurrences-of-one-element/", "Maximize Subarray Sum After Removing All Occurrences of One Element")</f>
        <v/>
      </c>
      <c r="C3429" s="1" t="n">
        <v>62</v>
      </c>
      <c r="D3429" s="1" t="n">
        <v>5</v>
      </c>
      <c r="E3429" s="4">
        <f>IF(INDEX(C:C, ROW())+INDEX(D:D, ROW())=0, 0, INDEX(C:C, ROW())/(INDEX(C:C, ROW())+INDEX(D:D, ROW())))</f>
        <v/>
      </c>
      <c r="F3429" s="1" t="inlineStr">
        <is>
          <t>Array, Dynamic Programming, Segment Tree</t>
        </is>
      </c>
      <c r="G3429" s="1" t="inlineStr">
        <is>
          <t>Hard</t>
        </is>
      </c>
      <c r="H3429" s="1" t="n">
        <v>4179</v>
      </c>
      <c r="I3429" s="1" t="n">
        <v>18084</v>
      </c>
      <c r="J3429" s="9" t="n">
        <v>0.231</v>
      </c>
      <c r="K3429" s="1" t="inlineStr">
        <is>
          <t>Yes</t>
        </is>
      </c>
      <c r="L3429" s="1" t="inlineStr">
        <is>
          <t>No</t>
        </is>
      </c>
      <c r="M3429" s="1" t="inlineStr">
        <is>
          <t>No</t>
        </is>
      </c>
      <c r="N3429" s="1" t="inlineStr">
        <is>
          <t>Algorithms</t>
        </is>
      </c>
      <c r="O34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29" s="11" t="inlineStr">
        <is>
          <t>To Do</t>
        </is>
      </c>
    </row>
    <row r="3430" ht="15.75" customHeight="1" s="12">
      <c r="A3430" s="1" t="n">
        <v>3529</v>
      </c>
      <c r="B3430" s="3">
        <f>HYPERLINK("https://leetcode.com/problems/count-cells-in-overlapping-horizontal-and-vertical-substrings/", "Count Cells in Overlapping Horizontal and Vertical Substrings")</f>
        <v/>
      </c>
      <c r="C3430" s="1" t="n">
        <v>62</v>
      </c>
      <c r="D3430" s="1" t="n">
        <v>15</v>
      </c>
      <c r="E3430" s="4">
        <f>IF(INDEX(C:C, ROW())+INDEX(D:D, ROW())=0, 0, INDEX(C:C, ROW())/(INDEX(C:C, ROW())+INDEX(D:D, ROW())))</f>
        <v/>
      </c>
      <c r="F3430" s="1" t="inlineStr">
        <is>
          <t>Array, String, Rolling Hash, String Matching, Matrix, Hash Function</t>
        </is>
      </c>
      <c r="G3430" s="1" t="inlineStr">
        <is>
          <t>Medium</t>
        </is>
      </c>
      <c r="H3430" s="1" t="n">
        <v>7636</v>
      </c>
      <c r="I3430" s="1" t="n">
        <v>27940</v>
      </c>
      <c r="J3430" s="9" t="n">
        <v>0.273</v>
      </c>
      <c r="K3430" s="1" t="inlineStr">
        <is>
          <t>Yes</t>
        </is>
      </c>
      <c r="L3430" s="1" t="inlineStr">
        <is>
          <t>No</t>
        </is>
      </c>
      <c r="M3430" s="1" t="inlineStr">
        <is>
          <t>No</t>
        </is>
      </c>
      <c r="N3430" s="1" t="inlineStr">
        <is>
          <t>Algorithms</t>
        </is>
      </c>
      <c r="O34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30" s="11" t="inlineStr">
        <is>
          <t>To Do</t>
        </is>
      </c>
    </row>
    <row r="3431" ht="15.75" customHeight="1" s="12">
      <c r="A3431" s="1" t="n">
        <v>3530</v>
      </c>
      <c r="B3431" s="3">
        <f>HYPERLINK("https://leetcode.com/problems/maximum-profit-from-valid-topological-order-in-dag/", "Maximum Profit from Valid Topological Order in DAG")</f>
        <v/>
      </c>
      <c r="C3431" s="1" t="n">
        <v>62</v>
      </c>
      <c r="D3431" s="1" t="n">
        <v>5</v>
      </c>
      <c r="E3431" s="4">
        <f>IF(INDEX(C:C, ROW())+INDEX(D:D, ROW())=0, 0, INDEX(C:C, ROW())/(INDEX(C:C, ROW())+INDEX(D:D, ROW())))</f>
        <v/>
      </c>
      <c r="F3431" s="1" t="inlineStr">
        <is>
          <t>Array, Dynamic Programming, Bit Manipulation, Graph Theory, Topological Sort, Bitmask</t>
        </is>
      </c>
      <c r="G3431" s="1" t="inlineStr">
        <is>
          <t>Hard</t>
        </is>
      </c>
      <c r="H3431" s="1" t="n">
        <v>6116</v>
      </c>
      <c r="I3431" s="1" t="n">
        <v>20201</v>
      </c>
      <c r="J3431" s="9" t="n">
        <v>0.303</v>
      </c>
      <c r="K3431" s="1" t="inlineStr">
        <is>
          <t>Yes</t>
        </is>
      </c>
      <c r="L3431" s="1" t="inlineStr">
        <is>
          <t>No</t>
        </is>
      </c>
      <c r="M3431" s="1" t="inlineStr">
        <is>
          <t>No</t>
        </is>
      </c>
      <c r="N3431" s="1" t="inlineStr">
        <is>
          <t>Algorithms</t>
        </is>
      </c>
      <c r="O34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31" s="11" t="inlineStr">
        <is>
          <t>To Do</t>
        </is>
      </c>
    </row>
    <row r="3432" ht="15.75" customHeight="1" s="12">
      <c r="A3432" s="1" t="n">
        <v>3558</v>
      </c>
      <c r="B3432" s="3">
        <f>HYPERLINK("https://leetcode.com/problems/number-of-ways-to-assign-edge-weights-i/", "Number of Ways to Assign Edge Weights I")</f>
        <v/>
      </c>
      <c r="C3432" s="1" t="n">
        <v>62</v>
      </c>
      <c r="D3432" s="1" t="n">
        <v>6</v>
      </c>
      <c r="E3432" s="4">
        <f>IF(INDEX(C:C, ROW())+INDEX(D:D, ROW())=0, 0, INDEX(C:C, ROW())/(INDEX(C:C, ROW())+INDEX(D:D, ROW())))</f>
        <v/>
      </c>
      <c r="F3432" s="1" t="inlineStr">
        <is>
          <t>Math, Tree, Depth-First Search</t>
        </is>
      </c>
      <c r="G3432" s="1" t="inlineStr">
        <is>
          <t>Medium</t>
        </is>
      </c>
      <c r="H3432" s="1" t="n">
        <v>13818</v>
      </c>
      <c r="I3432" s="1" t="n">
        <v>25955</v>
      </c>
      <c r="J3432" s="9" t="n">
        <v>0.532</v>
      </c>
      <c r="K3432" s="1" t="inlineStr">
        <is>
          <t>Yes</t>
        </is>
      </c>
      <c r="L3432" s="1" t="inlineStr">
        <is>
          <t>No</t>
        </is>
      </c>
      <c r="M3432" s="1" t="inlineStr">
        <is>
          <t>No</t>
        </is>
      </c>
      <c r="N3432" s="1" t="inlineStr">
        <is>
          <t>Algorithms</t>
        </is>
      </c>
      <c r="O34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32" s="11" t="inlineStr">
        <is>
          <t>To Do</t>
        </is>
      </c>
    </row>
    <row r="3433" ht="15.75" customHeight="1" s="12">
      <c r="A3433" s="1" t="n">
        <v>1421</v>
      </c>
      <c r="B3433" s="3">
        <f>HYPERLINK("https://leetcode.com/problems/npv-queries/", "NPV Queries")</f>
        <v/>
      </c>
      <c r="C3433" s="1" t="n">
        <v>61</v>
      </c>
      <c r="D3433" s="1" t="n">
        <v>297</v>
      </c>
      <c r="E3433" s="4">
        <f>IF(INDEX(C:C, ROW())+INDEX(D:D, ROW())=0, 0, INDEX(C:C, ROW())/(INDEX(C:C, ROW())+INDEX(D:D, ROW())))</f>
        <v/>
      </c>
      <c r="F3433" s="1" t="inlineStr">
        <is>
          <t>Database</t>
        </is>
      </c>
      <c r="G3433" s="1" t="inlineStr">
        <is>
          <t>Easy</t>
        </is>
      </c>
      <c r="H3433" s="1" t="n">
        <v>31648</v>
      </c>
      <c r="I3433" s="1" t="n">
        <v>38184</v>
      </c>
      <c r="J3433" s="9" t="n">
        <v>0.829</v>
      </c>
      <c r="K3433" s="1" t="inlineStr">
        <is>
          <t>No</t>
        </is>
      </c>
      <c r="L3433" s="1" t="inlineStr">
        <is>
          <t>Yes</t>
        </is>
      </c>
      <c r="M3433" s="1" t="inlineStr">
        <is>
          <t>No</t>
        </is>
      </c>
      <c r="N3433" s="1" t="inlineStr">
        <is>
          <t>Database</t>
        </is>
      </c>
      <c r="O34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33" s="11" t="inlineStr">
        <is>
          <t>To Do</t>
        </is>
      </c>
    </row>
    <row r="3434" ht="15.75" customHeight="1" s="12">
      <c r="A3434" s="1" t="n">
        <v>1919</v>
      </c>
      <c r="B3434" s="3">
        <f>HYPERLINK("https://leetcode.com/problems/leetcodify-similar-friends/", "Leetcodify Similar Friends")</f>
        <v/>
      </c>
      <c r="C3434" s="1" t="n">
        <v>61</v>
      </c>
      <c r="D3434" s="1" t="n">
        <v>6</v>
      </c>
      <c r="E3434" s="4">
        <f>IF(INDEX(C:C, ROW())+INDEX(D:D, ROW())=0, 0, INDEX(C:C, ROW())/(INDEX(C:C, ROW())+INDEX(D:D, ROW())))</f>
        <v/>
      </c>
      <c r="F3434" s="1" t="inlineStr">
        <is>
          <t>Database</t>
        </is>
      </c>
      <c r="G3434" s="1" t="inlineStr">
        <is>
          <t>Hard</t>
        </is>
      </c>
      <c r="H3434" s="1" t="n">
        <v>7859</v>
      </c>
      <c r="I3434" s="1" t="n">
        <v>18160</v>
      </c>
      <c r="J3434" s="9" t="n">
        <v>0.433</v>
      </c>
      <c r="K3434" s="1" t="inlineStr">
        <is>
          <t>No</t>
        </is>
      </c>
      <c r="L3434" s="1" t="inlineStr">
        <is>
          <t>No</t>
        </is>
      </c>
      <c r="M3434" s="1" t="inlineStr">
        <is>
          <t>No</t>
        </is>
      </c>
      <c r="N3434" s="1" t="inlineStr">
        <is>
          <t>Database</t>
        </is>
      </c>
      <c r="O34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34" s="11" t="inlineStr">
        <is>
          <t>To Do</t>
        </is>
      </c>
    </row>
    <row r="3435" ht="15.75" customHeight="1" s="12">
      <c r="A3435" s="1" t="n">
        <v>1933</v>
      </c>
      <c r="B3435" s="3">
        <f>HYPERLINK("https://leetcode.com/problems/check-if-string-is-decomposable-into-value-equal-substrings/", "Check if String Is Decomposable Into Value-Equal Substrings")</f>
        <v/>
      </c>
      <c r="C3435" s="1" t="n">
        <v>61</v>
      </c>
      <c r="D3435" s="1" t="n">
        <v>15</v>
      </c>
      <c r="E3435" s="4">
        <f>IF(INDEX(C:C, ROW())+INDEX(D:D, ROW())=0, 0, INDEX(C:C, ROW())/(INDEX(C:C, ROW())+INDEX(D:D, ROW())))</f>
        <v/>
      </c>
      <c r="F3435" s="1" t="inlineStr">
        <is>
          <t>String</t>
        </is>
      </c>
      <c r="G3435" s="1" t="inlineStr">
        <is>
          <t>Easy</t>
        </is>
      </c>
      <c r="H3435" s="1" t="n">
        <v>4805</v>
      </c>
      <c r="I3435" s="1" t="n">
        <v>9415</v>
      </c>
      <c r="J3435" s="9" t="n">
        <v>0.51</v>
      </c>
      <c r="K3435" s="1" t="inlineStr">
        <is>
          <t>No</t>
        </is>
      </c>
      <c r="L3435" s="1" t="inlineStr">
        <is>
          <t>No</t>
        </is>
      </c>
      <c r="M3435" s="1" t="inlineStr">
        <is>
          <t>No</t>
        </is>
      </c>
      <c r="N3435" s="1" t="inlineStr">
        <is>
          <t>Algorithms</t>
        </is>
      </c>
      <c r="O34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35" s="11" t="inlineStr">
        <is>
          <t>To Do</t>
        </is>
      </c>
    </row>
    <row r="3436" ht="15.75" customHeight="1" s="12">
      <c r="A3436" s="1" t="n">
        <v>2324</v>
      </c>
      <c r="B3436" s="3">
        <f>HYPERLINK("https://leetcode.com/problems/product-sales-analysis-iv/", "Product Sales Analysis IV")</f>
        <v/>
      </c>
      <c r="C3436" s="1" t="n">
        <v>61</v>
      </c>
      <c r="D3436" s="1" t="n">
        <v>1</v>
      </c>
      <c r="E3436" s="4">
        <f>IF(INDEX(C:C, ROW())+INDEX(D:D, ROW())=0, 0, INDEX(C:C, ROW())/(INDEX(C:C, ROW())+INDEX(D:D, ROW())))</f>
        <v/>
      </c>
      <c r="F3436" s="1" t="inlineStr">
        <is>
          <t>Database</t>
        </is>
      </c>
      <c r="G3436" s="1" t="inlineStr">
        <is>
          <t>Medium</t>
        </is>
      </c>
      <c r="H3436" s="1" t="n">
        <v>11500</v>
      </c>
      <c r="I3436" s="1" t="n">
        <v>15102</v>
      </c>
      <c r="J3436" s="9" t="n">
        <v>0.761</v>
      </c>
      <c r="K3436" s="1" t="inlineStr">
        <is>
          <t>No</t>
        </is>
      </c>
      <c r="L3436" s="1" t="inlineStr">
        <is>
          <t>No</t>
        </is>
      </c>
      <c r="M3436" s="1" t="inlineStr">
        <is>
          <t>No</t>
        </is>
      </c>
      <c r="N3436" s="1" t="inlineStr">
        <is>
          <t>Database</t>
        </is>
      </c>
      <c r="O34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36" s="11" t="inlineStr">
        <is>
          <t>To Do</t>
        </is>
      </c>
    </row>
    <row r="3437" ht="15.75" customHeight="1" s="12">
      <c r="A3437" s="1" t="n">
        <v>3086</v>
      </c>
      <c r="B3437" s="3">
        <f>HYPERLINK("https://leetcode.com/problems/minimum-moves-to-pick-k-ones/", "Minimum Moves to Pick K Ones")</f>
        <v/>
      </c>
      <c r="C3437" s="1" t="n">
        <v>61</v>
      </c>
      <c r="D3437" s="1" t="n">
        <v>54</v>
      </c>
      <c r="E3437" s="4">
        <f>IF(INDEX(C:C, ROW())+INDEX(D:D, ROW())=0, 0, INDEX(C:C, ROW())/(INDEX(C:C, ROW())+INDEX(D:D, ROW())))</f>
        <v/>
      </c>
      <c r="F3437" s="1" t="inlineStr">
        <is>
          <t>Array, Greedy, Sliding Window, Prefix Sum</t>
        </is>
      </c>
      <c r="G3437" s="1" t="inlineStr">
        <is>
          <t>Hard</t>
        </is>
      </c>
      <c r="H3437" s="1" t="n">
        <v>4321</v>
      </c>
      <c r="I3437" s="1" t="n">
        <v>20193</v>
      </c>
      <c r="J3437" s="9" t="n">
        <v>0.214</v>
      </c>
      <c r="K3437" s="1" t="inlineStr">
        <is>
          <t>Yes</t>
        </is>
      </c>
      <c r="L3437" s="1" t="inlineStr">
        <is>
          <t>No</t>
        </is>
      </c>
      <c r="M3437" s="1" t="inlineStr">
        <is>
          <t>No</t>
        </is>
      </c>
      <c r="N3437" s="1" t="inlineStr">
        <is>
          <t>Algorithms</t>
        </is>
      </c>
      <c r="O34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37" s="11" t="inlineStr">
        <is>
          <t>To Do</t>
        </is>
      </c>
    </row>
    <row r="3438" ht="15.75" customHeight="1" s="12">
      <c r="A3438" s="1" t="n">
        <v>3189</v>
      </c>
      <c r="B3438" s="3">
        <f>HYPERLINK("https://leetcode.com/problems/minimum-moves-to-get-a-peaceful-board/", "Minimum Moves to Get a Peaceful Board")</f>
        <v/>
      </c>
      <c r="C3438" s="1" t="n">
        <v>61</v>
      </c>
      <c r="D3438" s="1" t="n">
        <v>13</v>
      </c>
      <c r="E3438" s="4">
        <f>IF(INDEX(C:C, ROW())+INDEX(D:D, ROW())=0, 0, INDEX(C:C, ROW())/(INDEX(C:C, ROW())+INDEX(D:D, ROW())))</f>
        <v/>
      </c>
      <c r="F3438" s="1" t="inlineStr">
        <is>
          <t>Array, Greedy, Sorting, Counting Sort</t>
        </is>
      </c>
      <c r="G3438" s="1" t="inlineStr">
        <is>
          <t>Medium</t>
        </is>
      </c>
      <c r="H3438" s="1" t="n">
        <v>4806</v>
      </c>
      <c r="I3438" s="1" t="n">
        <v>6339</v>
      </c>
      <c r="J3438" s="9" t="n">
        <v>0.758</v>
      </c>
      <c r="K3438" s="1" t="inlineStr">
        <is>
          <t>No</t>
        </is>
      </c>
      <c r="L3438" s="1" t="inlineStr">
        <is>
          <t>Yes</t>
        </is>
      </c>
      <c r="M3438" s="1" t="inlineStr">
        <is>
          <t>No</t>
        </is>
      </c>
      <c r="N3438" s="1" t="inlineStr">
        <is>
          <t>Algorithms</t>
        </is>
      </c>
      <c r="O34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38" s="11" t="inlineStr">
        <is>
          <t>To Do</t>
        </is>
      </c>
    </row>
    <row r="3439" ht="15.75" customHeight="1" s="12">
      <c r="A3439" s="1" t="n">
        <v>3257</v>
      </c>
      <c r="B3439" s="3">
        <f>HYPERLINK("https://leetcode.com/problems/maximum-value-sum-by-placing-three-rooks-ii/", "Maximum Value Sum by Placing Three Rooks II")</f>
        <v/>
      </c>
      <c r="C3439" s="1" t="n">
        <v>61</v>
      </c>
      <c r="D3439" s="1" t="n">
        <v>9</v>
      </c>
      <c r="E3439" s="4">
        <f>IF(INDEX(C:C, ROW())+INDEX(D:D, ROW())=0, 0, INDEX(C:C, ROW())/(INDEX(C:C, ROW())+INDEX(D:D, ROW())))</f>
        <v/>
      </c>
      <c r="F3439" s="1" t="inlineStr">
        <is>
          <t>Array, Dynamic Programming, Matrix, Enumeration</t>
        </is>
      </c>
      <c r="G3439" s="1" t="inlineStr">
        <is>
          <t>Hard</t>
        </is>
      </c>
      <c r="H3439" s="1" t="n">
        <v>5601</v>
      </c>
      <c r="I3439" s="1" t="n">
        <v>20837</v>
      </c>
      <c r="J3439" s="9" t="n">
        <v>0.269</v>
      </c>
      <c r="K3439" s="1" t="inlineStr">
        <is>
          <t>Yes</t>
        </is>
      </c>
      <c r="L3439" s="1" t="inlineStr">
        <is>
          <t>No</t>
        </is>
      </c>
      <c r="M3439" s="1" t="inlineStr">
        <is>
          <t>No</t>
        </is>
      </c>
      <c r="N3439" s="1" t="inlineStr">
        <is>
          <t>Algorithms</t>
        </is>
      </c>
      <c r="O34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39" s="11" t="inlineStr">
        <is>
          <t>To Do</t>
        </is>
      </c>
    </row>
    <row r="3440" ht="15.75" customHeight="1" s="12">
      <c r="A3440" s="1" t="n">
        <v>3475</v>
      </c>
      <c r="B3440" s="3">
        <f>HYPERLINK("https://leetcode.com/problems/dna-pattern-recognition/", "DNA Pattern Recognition ")</f>
        <v/>
      </c>
      <c r="C3440" s="1" t="n">
        <v>61</v>
      </c>
      <c r="D3440" s="1" t="n">
        <v>7</v>
      </c>
      <c r="E3440" s="4">
        <f>IF(INDEX(C:C, ROW())+INDEX(D:D, ROW())=0, 0, INDEX(C:C, ROW())/(INDEX(C:C, ROW())+INDEX(D:D, ROW())))</f>
        <v/>
      </c>
      <c r="F3440" s="1" t="inlineStr">
        <is>
          <t>Database</t>
        </is>
      </c>
      <c r="G3440" s="1" t="inlineStr">
        <is>
          <t>Medium</t>
        </is>
      </c>
      <c r="H3440" s="1" t="n">
        <v>24463</v>
      </c>
      <c r="I3440" s="1" t="n">
        <v>28822</v>
      </c>
      <c r="J3440" s="9" t="n">
        <v>0.849</v>
      </c>
      <c r="K3440" s="1" t="inlineStr">
        <is>
          <t>Yes</t>
        </is>
      </c>
      <c r="L3440" s="1" t="inlineStr">
        <is>
          <t>No</t>
        </is>
      </c>
      <c r="M3440" s="1" t="inlineStr">
        <is>
          <t>No</t>
        </is>
      </c>
      <c r="N3440" s="1" t="inlineStr">
        <is>
          <t>Database</t>
        </is>
      </c>
      <c r="O34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40" s="11" t="inlineStr">
        <is>
          <t>To Do</t>
        </is>
      </c>
    </row>
    <row r="3441" ht="15.75" customHeight="1" s="12">
      <c r="A3441" s="1" t="n">
        <v>3481</v>
      </c>
      <c r="B3441" s="3">
        <f>HYPERLINK("https://leetcode.com/problems/apply-substitutions/", "Apply Substitutions")</f>
        <v/>
      </c>
      <c r="C3441" s="1" t="n">
        <v>61</v>
      </c>
      <c r="D3441" s="1" t="n">
        <v>5</v>
      </c>
      <c r="E3441" s="4">
        <f>IF(INDEX(C:C, ROW())+INDEX(D:D, ROW())=0, 0, INDEX(C:C, ROW())/(INDEX(C:C, ROW())+INDEX(D:D, ROW())))</f>
        <v/>
      </c>
      <c r="F3441" s="1" t="inlineStr">
        <is>
          <t>Array, Hash Table, String, Depth-First Search, Breadth-First Search, Graph Theory, Topological Sort</t>
        </is>
      </c>
      <c r="G3441" s="1" t="inlineStr">
        <is>
          <t>Medium</t>
        </is>
      </c>
      <c r="H3441" s="1" t="n">
        <v>15108</v>
      </c>
      <c r="I3441" s="1" t="n">
        <v>19525</v>
      </c>
      <c r="J3441" s="9" t="n">
        <v>0.774</v>
      </c>
      <c r="K3441" s="1" t="inlineStr">
        <is>
          <t>No</t>
        </is>
      </c>
      <c r="L3441" s="1" t="inlineStr">
        <is>
          <t>No</t>
        </is>
      </c>
      <c r="M3441" s="1" t="inlineStr">
        <is>
          <t>No</t>
        </is>
      </c>
      <c r="N3441" s="1" t="inlineStr">
        <is>
          <t>Algorithms</t>
        </is>
      </c>
      <c r="O34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41" s="11" t="inlineStr">
        <is>
          <t>To Do</t>
        </is>
      </c>
    </row>
    <row r="3442" ht="15.75" customHeight="1" s="12">
      <c r="A3442" s="1" t="n">
        <v>3560</v>
      </c>
      <c r="B3442" s="3">
        <f>HYPERLINK("https://leetcode.com/problems/find-minimum-log-transportation-cost/", "Find Minimum Log Transportation Cost")</f>
        <v/>
      </c>
      <c r="C3442" s="1" t="n">
        <v>61</v>
      </c>
      <c r="D3442" s="1" t="n">
        <v>17</v>
      </c>
      <c r="E3442" s="4">
        <f>IF(INDEX(C:C, ROW())+INDEX(D:D, ROW())=0, 0, INDEX(C:C, ROW())/(INDEX(C:C, ROW())+INDEX(D:D, ROW())))</f>
        <v/>
      </c>
      <c r="F3442" s="1" t="inlineStr">
        <is>
          <t>Math</t>
        </is>
      </c>
      <c r="G3442" s="1" t="inlineStr">
        <is>
          <t>Easy</t>
        </is>
      </c>
      <c r="H3442" s="1" t="n">
        <v>35855</v>
      </c>
      <c r="I3442" s="1" t="n">
        <v>84711</v>
      </c>
      <c r="J3442" s="9" t="n">
        <v>0.423</v>
      </c>
      <c r="K3442" s="1" t="inlineStr">
        <is>
          <t>Yes</t>
        </is>
      </c>
      <c r="L3442" s="1" t="inlineStr">
        <is>
          <t>No</t>
        </is>
      </c>
      <c r="M3442" s="1" t="inlineStr">
        <is>
          <t>No</t>
        </is>
      </c>
      <c r="N3442" s="1" t="inlineStr">
        <is>
          <t>Algorithms</t>
        </is>
      </c>
      <c r="O34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42" s="13" t="inlineStr">
        <is>
          <t>Done</t>
        </is>
      </c>
    </row>
    <row r="3443" ht="15.75" customHeight="1" s="12">
      <c r="A3443" s="1" t="n">
        <v>3729</v>
      </c>
      <c r="B3443" s="3">
        <f>HYPERLINK("https://leetcode.com/problems/count-distinct-subarrays-divisible-by-k-in-sorted-array/", "Count Distinct Subarrays Divisible by K in Sorted Array")</f>
        <v/>
      </c>
      <c r="C3443" s="1" t="n">
        <v>61</v>
      </c>
      <c r="D3443" s="1" t="n">
        <v>3</v>
      </c>
      <c r="E3443" s="4">
        <f>IF(INDEX(C:C, ROW())+INDEX(D:D, ROW())=0, 0, INDEX(C:C, ROW())/(INDEX(C:C, ROW())+INDEX(D:D, ROW())))</f>
        <v/>
      </c>
      <c r="F3443" s="1" t="inlineStr">
        <is>
          <t>Array, Hash Table, Prefix Sum</t>
        </is>
      </c>
      <c r="G3443" s="1" t="inlineStr">
        <is>
          <t>Hard</t>
        </is>
      </c>
      <c r="H3443" s="1" t="n">
        <v>6068</v>
      </c>
      <c r="I3443" s="1" t="n">
        <v>21801</v>
      </c>
      <c r="J3443" s="9" t="n">
        <v>0.278</v>
      </c>
      <c r="K3443" s="1" t="inlineStr">
        <is>
          <t>Yes</t>
        </is>
      </c>
      <c r="L3443" s="1" t="inlineStr">
        <is>
          <t>No</t>
        </is>
      </c>
      <c r="M3443" s="1" t="inlineStr">
        <is>
          <t>No</t>
        </is>
      </c>
      <c r="N3443" s="1" t="inlineStr">
        <is>
          <t>Algorithms</t>
        </is>
      </c>
      <c r="O34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43" s="11" t="inlineStr">
        <is>
          <t>To Do</t>
        </is>
      </c>
    </row>
    <row r="3444" ht="15.75" customHeight="1" s="12">
      <c r="A3444" s="1" t="n">
        <v>3848</v>
      </c>
      <c r="B3444" s="3">
        <f>HYPERLINK("https://leetcode.com/problems/check-digitorial-permutation/", "Check Digitorial Permutation")</f>
        <v/>
      </c>
      <c r="C3444" s="1" t="n">
        <v>61</v>
      </c>
      <c r="D3444" s="1" t="n">
        <v>2</v>
      </c>
      <c r="E3444" s="4">
        <f>IF(INDEX(C:C, ROW())+INDEX(D:D, ROW())=0, 0, INDEX(C:C, ROW())/(INDEX(C:C, ROW())+INDEX(D:D, ROW())))</f>
        <v/>
      </c>
      <c r="F3444" s="1" t="inlineStr">
        <is>
          <t>Math, Counting</t>
        </is>
      </c>
      <c r="G3444" s="1" t="inlineStr">
        <is>
          <t>Medium</t>
        </is>
      </c>
      <c r="H3444" s="1" t="n">
        <v>42146</v>
      </c>
      <c r="I3444" s="1" t="n">
        <v>90311</v>
      </c>
      <c r="J3444" s="9" t="n">
        <v>0.467</v>
      </c>
      <c r="K3444" s="1" t="inlineStr">
        <is>
          <t>Yes</t>
        </is>
      </c>
      <c r="L3444" s="1" t="inlineStr">
        <is>
          <t>No</t>
        </is>
      </c>
      <c r="M3444" s="1" t="inlineStr">
        <is>
          <t>No</t>
        </is>
      </c>
      <c r="N3444" s="1" t="inlineStr">
        <is>
          <t>Algorithms</t>
        </is>
      </c>
      <c r="O34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44" s="11" t="inlineStr">
        <is>
          <t>To Do</t>
        </is>
      </c>
    </row>
    <row r="3445" ht="15.75" customHeight="1" s="12">
      <c r="A3445" s="1" t="n">
        <v>2378</v>
      </c>
      <c r="B3445" s="3">
        <f>HYPERLINK("https://leetcode.com/problems/choose-edges-to-maximize-score-in-a-tree/", "Choose Edges to Maximize Score in a Tree")</f>
        <v/>
      </c>
      <c r="C3445" s="1" t="n">
        <v>60</v>
      </c>
      <c r="D3445" s="1" t="n">
        <v>13</v>
      </c>
      <c r="E3445" s="4">
        <f>IF(INDEX(C:C, ROW())+INDEX(D:D, ROW())=0, 0, INDEX(C:C, ROW())/(INDEX(C:C, ROW())+INDEX(D:D, ROW())))</f>
        <v/>
      </c>
      <c r="F3445" s="1" t="inlineStr">
        <is>
          <t>Dynamic Programming, Tree, Depth-First Search</t>
        </is>
      </c>
      <c r="G3445" s="1" t="inlineStr">
        <is>
          <t>Medium</t>
        </is>
      </c>
      <c r="H3445" s="1" t="n">
        <v>2171</v>
      </c>
      <c r="I3445" s="1" t="n">
        <v>3828</v>
      </c>
      <c r="J3445" s="9" t="n">
        <v>0.5669999999999999</v>
      </c>
      <c r="K3445" s="1" t="inlineStr">
        <is>
          <t>No</t>
        </is>
      </c>
      <c r="L3445" s="1" t="inlineStr">
        <is>
          <t>No</t>
        </is>
      </c>
      <c r="M3445" s="1" t="inlineStr">
        <is>
          <t>No</t>
        </is>
      </c>
      <c r="N3445" s="1" t="inlineStr">
        <is>
          <t>Algorithms</t>
        </is>
      </c>
      <c r="O34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45" s="11" t="inlineStr">
        <is>
          <t>To Do</t>
        </is>
      </c>
    </row>
    <row r="3446" ht="15.75" customHeight="1" s="12">
      <c r="A3446" s="1" t="n">
        <v>2728</v>
      </c>
      <c r="B3446" s="3">
        <f>HYPERLINK("https://leetcode.com/problems/count-houses-in-a-circular-street/", "Count Houses in a Circular Street")</f>
        <v/>
      </c>
      <c r="C3446" s="1" t="n">
        <v>60</v>
      </c>
      <c r="D3446" s="1" t="n">
        <v>12</v>
      </c>
      <c r="E3446" s="4">
        <f>IF(INDEX(C:C, ROW())+INDEX(D:D, ROW())=0, 0, INDEX(C:C, ROW())/(INDEX(C:C, ROW())+INDEX(D:D, ROW())))</f>
        <v/>
      </c>
      <c r="F3446" s="1" t="inlineStr">
        <is>
          <t>Array, Interactive</t>
        </is>
      </c>
      <c r="G3446" s="1" t="inlineStr">
        <is>
          <t>Easy</t>
        </is>
      </c>
      <c r="H3446" s="1" t="n">
        <v>3357</v>
      </c>
      <c r="I3446" s="1" t="n">
        <v>3902</v>
      </c>
      <c r="J3446" s="9" t="n">
        <v>0.86</v>
      </c>
      <c r="K3446" s="1" t="inlineStr">
        <is>
          <t>No</t>
        </is>
      </c>
      <c r="L3446" s="1" t="inlineStr">
        <is>
          <t>No</t>
        </is>
      </c>
      <c r="M3446" s="1" t="inlineStr">
        <is>
          <t>No</t>
        </is>
      </c>
      <c r="N3446" s="1" t="inlineStr">
        <is>
          <t>Algorithms</t>
        </is>
      </c>
      <c r="O34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46" s="11" t="inlineStr">
        <is>
          <t>To Do</t>
        </is>
      </c>
    </row>
    <row r="3447" ht="15.75" customHeight="1" s="12">
      <c r="A3447" s="1" t="n">
        <v>3586</v>
      </c>
      <c r="B3447" s="3">
        <f>HYPERLINK("https://leetcode.com/problems/find-covid-recovery-patients/", "Find COVID Recovery Patients")</f>
        <v/>
      </c>
      <c r="C3447" s="1" t="n">
        <v>60</v>
      </c>
      <c r="D3447" s="1" t="n">
        <v>9</v>
      </c>
      <c r="E3447" s="4">
        <f>IF(INDEX(C:C, ROW())+INDEX(D:D, ROW())=0, 0, INDEX(C:C, ROW())/(INDEX(C:C, ROW())+INDEX(D:D, ROW())))</f>
        <v/>
      </c>
      <c r="F3447" s="1" t="inlineStr">
        <is>
          <t>Database</t>
        </is>
      </c>
      <c r="G3447" s="1" t="inlineStr">
        <is>
          <t>Medium</t>
        </is>
      </c>
      <c r="H3447" s="1" t="n">
        <v>13259</v>
      </c>
      <c r="I3447" s="1" t="n">
        <v>31397</v>
      </c>
      <c r="J3447" s="9" t="n">
        <v>0.422</v>
      </c>
      <c r="K3447" s="1" t="inlineStr">
        <is>
          <t>Yes</t>
        </is>
      </c>
      <c r="L3447" s="1" t="inlineStr">
        <is>
          <t>No</t>
        </is>
      </c>
      <c r="M3447" s="1" t="inlineStr">
        <is>
          <t>No</t>
        </is>
      </c>
      <c r="N3447" s="1" t="inlineStr">
        <is>
          <t>Database</t>
        </is>
      </c>
      <c r="O34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47" s="11" t="inlineStr">
        <is>
          <t>To Do</t>
        </is>
      </c>
    </row>
    <row r="3448" ht="15.75" customHeight="1" s="12">
      <c r="A3448" s="1" t="n">
        <v>3674</v>
      </c>
      <c r="B3448" s="3">
        <f>HYPERLINK("https://leetcode.com/problems/minimum-operations-to-equalize-array/", "Minimum Operations to Equalize Array")</f>
        <v/>
      </c>
      <c r="C3448" s="1" t="n">
        <v>60</v>
      </c>
      <c r="D3448" s="1" t="n">
        <v>12</v>
      </c>
      <c r="E3448" s="4">
        <f>IF(INDEX(C:C, ROW())+INDEX(D:D, ROW())=0, 0, INDEX(C:C, ROW())/(INDEX(C:C, ROW())+INDEX(D:D, ROW())))</f>
        <v/>
      </c>
      <c r="F3448" s="1" t="inlineStr">
        <is>
          <t>Array, Bit Manipulation, Brainteaser</t>
        </is>
      </c>
      <c r="G3448" s="1" t="inlineStr">
        <is>
          <t>Easy</t>
        </is>
      </c>
      <c r="H3448" s="1" t="n">
        <v>55178</v>
      </c>
      <c r="I3448" s="1" t="n">
        <v>91367</v>
      </c>
      <c r="J3448" s="9" t="n">
        <v>0.604</v>
      </c>
      <c r="K3448" s="1" t="inlineStr">
        <is>
          <t>Yes</t>
        </is>
      </c>
      <c r="L3448" s="1" t="inlineStr">
        <is>
          <t>No</t>
        </is>
      </c>
      <c r="M3448" s="1" t="inlineStr">
        <is>
          <t>No</t>
        </is>
      </c>
      <c r="N3448" s="1" t="inlineStr">
        <is>
          <t>Algorithms</t>
        </is>
      </c>
      <c r="O34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48" s="13" t="inlineStr">
        <is>
          <t>Done</t>
        </is>
      </c>
    </row>
    <row r="3449" ht="15.75" customHeight="1" s="12">
      <c r="A3449" s="1" t="n">
        <v>3695</v>
      </c>
      <c r="B3449" s="3">
        <f>HYPERLINK("https://leetcode.com/problems/maximize-alternating-sum-using-swaps/", "Maximize Alternating Sum Using Swaps")</f>
        <v/>
      </c>
      <c r="C3449" s="1" t="n">
        <v>60</v>
      </c>
      <c r="D3449" s="1" t="n">
        <v>4</v>
      </c>
      <c r="E3449" s="4">
        <f>IF(INDEX(C:C, ROW())+INDEX(D:D, ROW())=0, 0, INDEX(C:C, ROW())/(INDEX(C:C, ROW())+INDEX(D:D, ROW())))</f>
        <v/>
      </c>
      <c r="F3449" s="1" t="inlineStr">
        <is>
          <t>Array, Greedy, Union-Find, Sorting</t>
        </is>
      </c>
      <c r="G3449" s="1" t="inlineStr">
        <is>
          <t>Hard</t>
        </is>
      </c>
      <c r="H3449" s="1" t="n">
        <v>9316</v>
      </c>
      <c r="I3449" s="1" t="n">
        <v>14432</v>
      </c>
      <c r="J3449" s="9" t="n">
        <v>0.646</v>
      </c>
      <c r="K3449" s="1" t="inlineStr">
        <is>
          <t>Yes</t>
        </is>
      </c>
      <c r="L3449" s="1" t="inlineStr">
        <is>
          <t>No</t>
        </is>
      </c>
      <c r="M3449" s="1" t="inlineStr">
        <is>
          <t>No</t>
        </is>
      </c>
      <c r="N3449" s="1" t="inlineStr">
        <is>
          <t>Algorithms</t>
        </is>
      </c>
      <c r="O34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49" s="11" t="inlineStr">
        <is>
          <t>To Do</t>
        </is>
      </c>
    </row>
    <row r="3450" ht="15.75" customHeight="1" s="12">
      <c r="A3450" s="1" t="n">
        <v>3709</v>
      </c>
      <c r="B3450" s="3">
        <f>HYPERLINK("https://leetcode.com/problems/design-exam-scores-tracker/", "Design Exam Scores Tracker")</f>
        <v/>
      </c>
      <c r="C3450" s="1" t="n">
        <v>60</v>
      </c>
      <c r="D3450" s="1" t="n">
        <v>1</v>
      </c>
      <c r="E3450" s="4">
        <f>IF(INDEX(C:C, ROW())+INDEX(D:D, ROW())=0, 0, INDEX(C:C, ROW())/(INDEX(C:C, ROW())+INDEX(D:D, ROW())))</f>
        <v/>
      </c>
      <c r="F3450" s="1" t="inlineStr">
        <is>
          <t>Array, Binary Search, Design, Prefix Sum</t>
        </is>
      </c>
      <c r="G3450" s="1" t="inlineStr">
        <is>
          <t>Medium</t>
        </is>
      </c>
      <c r="H3450" s="1" t="n">
        <v>19434</v>
      </c>
      <c r="I3450" s="1" t="n">
        <v>44054</v>
      </c>
      <c r="J3450" s="9" t="n">
        <v>0.441</v>
      </c>
      <c r="K3450" s="1" t="inlineStr">
        <is>
          <t>Yes</t>
        </is>
      </c>
      <c r="L3450" s="1" t="inlineStr">
        <is>
          <t>No</t>
        </is>
      </c>
      <c r="M3450" s="1" t="inlineStr">
        <is>
          <t>No</t>
        </is>
      </c>
      <c r="N3450" s="1" t="inlineStr">
        <is>
          <t>Algorithms</t>
        </is>
      </c>
      <c r="O34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50" s="11" t="inlineStr">
        <is>
          <t>To Do</t>
        </is>
      </c>
    </row>
    <row r="3451" ht="15.75" customHeight="1" s="12">
      <c r="A3451" s="1" t="n">
        <v>3718</v>
      </c>
      <c r="B3451" s="3">
        <f>HYPERLINK("https://leetcode.com/problems/smallest-missing-multiple-of-k/", "Smallest Missing Multiple of K")</f>
        <v/>
      </c>
      <c r="C3451" s="1" t="n">
        <v>60</v>
      </c>
      <c r="D3451" s="1" t="n">
        <v>4</v>
      </c>
      <c r="E3451" s="4">
        <f>IF(INDEX(C:C, ROW())+INDEX(D:D, ROW())=0, 0, INDEX(C:C, ROW())/(INDEX(C:C, ROW())+INDEX(D:D, ROW())))</f>
        <v/>
      </c>
      <c r="F3451" s="1" t="inlineStr">
        <is>
          <t>Array, Hash Table</t>
        </is>
      </c>
      <c r="G3451" s="1" t="inlineStr">
        <is>
          <t>Easy</t>
        </is>
      </c>
      <c r="H3451" s="1" t="n">
        <v>48102</v>
      </c>
      <c r="I3451" s="1" t="n">
        <v>76117</v>
      </c>
      <c r="J3451" s="9" t="n">
        <v>0.632</v>
      </c>
      <c r="K3451" s="1" t="inlineStr">
        <is>
          <t>Yes</t>
        </is>
      </c>
      <c r="L3451" s="1" t="inlineStr">
        <is>
          <t>No</t>
        </is>
      </c>
      <c r="M3451" s="1" t="inlineStr">
        <is>
          <t>No</t>
        </is>
      </c>
      <c r="N3451" s="1" t="inlineStr">
        <is>
          <t>Algorithms</t>
        </is>
      </c>
      <c r="O34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51" s="13" t="inlineStr">
        <is>
          <t>Done</t>
        </is>
      </c>
    </row>
    <row r="3452" ht="15.75" customHeight="1" s="12">
      <c r="A3452" s="1" t="n">
        <v>3746</v>
      </c>
      <c r="B3452" s="3">
        <f>HYPERLINK("https://leetcode.com/problems/minimum-string-length-after-balanced-removals/", "Minimum String Length After Balanced Removals")</f>
        <v/>
      </c>
      <c r="C3452" s="1" t="n">
        <v>60</v>
      </c>
      <c r="D3452" s="1" t="n">
        <v>8</v>
      </c>
      <c r="E3452" s="4">
        <f>IF(INDEX(C:C, ROW())+INDEX(D:D, ROW())=0, 0, INDEX(C:C, ROW())/(INDEX(C:C, ROW())+INDEX(D:D, ROW())))</f>
        <v/>
      </c>
      <c r="F3452" s="1" t="inlineStr">
        <is>
          <t>String, Stack, Counting</t>
        </is>
      </c>
      <c r="G3452" s="1" t="inlineStr">
        <is>
          <t>Medium</t>
        </is>
      </c>
      <c r="H3452" s="1" t="n">
        <v>40521</v>
      </c>
      <c r="I3452" s="1" t="n">
        <v>51706</v>
      </c>
      <c r="J3452" s="9" t="n">
        <v>0.784</v>
      </c>
      <c r="K3452" s="1" t="inlineStr">
        <is>
          <t>Yes</t>
        </is>
      </c>
      <c r="L3452" s="1" t="inlineStr">
        <is>
          <t>No</t>
        </is>
      </c>
      <c r="M3452" s="1" t="inlineStr">
        <is>
          <t>No</t>
        </is>
      </c>
      <c r="N3452" s="1" t="inlineStr">
        <is>
          <t>Algorithms</t>
        </is>
      </c>
      <c r="O34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52" s="11" t="inlineStr">
        <is>
          <t>To Do</t>
        </is>
      </c>
    </row>
    <row r="3453" ht="15.75" customHeight="1" s="12">
      <c r="A3453" s="1" t="n">
        <v>3842</v>
      </c>
      <c r="B3453" s="3">
        <f>HYPERLINK("https://leetcode.com/problems/toggle-light-bulbs/", "Toggle Light Bulbs")</f>
        <v/>
      </c>
      <c r="C3453" s="1" t="n">
        <v>60</v>
      </c>
      <c r="D3453" s="1" t="n">
        <v>2</v>
      </c>
      <c r="E3453" s="4">
        <f>IF(INDEX(C:C, ROW())+INDEX(D:D, ROW())=0, 0, INDEX(C:C, ROW())/(INDEX(C:C, ROW())+INDEX(D:D, ROW())))</f>
        <v/>
      </c>
      <c r="F3453" s="1" t="inlineStr">
        <is>
          <t>Array, Hash Table, Sorting, Simulation</t>
        </is>
      </c>
      <c r="G3453" s="1" t="inlineStr">
        <is>
          <t>Easy</t>
        </is>
      </c>
      <c r="H3453" s="1" t="n">
        <v>59999</v>
      </c>
      <c r="I3453" s="1" t="n">
        <v>83415</v>
      </c>
      <c r="J3453" s="9" t="n">
        <v>0.719</v>
      </c>
      <c r="K3453" s="1" t="inlineStr">
        <is>
          <t>Yes</t>
        </is>
      </c>
      <c r="L3453" s="1" t="inlineStr">
        <is>
          <t>No</t>
        </is>
      </c>
      <c r="M3453" s="1" t="inlineStr">
        <is>
          <t>No</t>
        </is>
      </c>
      <c r="N3453" s="1" t="inlineStr">
        <is>
          <t>Algorithms</t>
        </is>
      </c>
      <c r="O34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53" s="13" t="inlineStr">
        <is>
          <t>Done</t>
        </is>
      </c>
    </row>
    <row r="3454" ht="15.75" customHeight="1" s="12">
      <c r="A3454" s="1" t="n">
        <v>3875</v>
      </c>
      <c r="B3454" s="3">
        <f>HYPERLINK("https://leetcode.com/problems/construct-uniform-parity-array-i/", "Construct Uniform Parity Array I")</f>
        <v/>
      </c>
      <c r="C3454" s="1" t="n">
        <v>60</v>
      </c>
      <c r="D3454" s="1" t="n">
        <v>18</v>
      </c>
      <c r="E3454" s="4">
        <f>IF(INDEX(C:C, ROW())+INDEX(D:D, ROW())=0, 0, INDEX(C:C, ROW())/(INDEX(C:C, ROW())+INDEX(D:D, ROW())))</f>
        <v/>
      </c>
      <c r="F3454" s="1" t="inlineStr">
        <is>
          <t>Array, Math</t>
        </is>
      </c>
      <c r="G3454" s="1" t="inlineStr">
        <is>
          <t>Easy</t>
        </is>
      </c>
      <c r="H3454" s="1" t="n">
        <v>53165</v>
      </c>
      <c r="I3454" s="1" t="n">
        <v>69664</v>
      </c>
      <c r="J3454" s="9" t="n">
        <v>0.763</v>
      </c>
      <c r="K3454" s="1" t="inlineStr">
        <is>
          <t>Yes</t>
        </is>
      </c>
      <c r="L3454" s="1" t="inlineStr">
        <is>
          <t>No</t>
        </is>
      </c>
      <c r="M3454" s="1" t="inlineStr">
        <is>
          <t>No</t>
        </is>
      </c>
      <c r="N3454" s="1" t="inlineStr">
        <is>
          <t>Algorithms</t>
        </is>
      </c>
      <c r="O34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54" s="13" t="inlineStr">
        <is>
          <t>Done</t>
        </is>
      </c>
    </row>
    <row r="3455" ht="15.75" customHeight="1" s="12">
      <c r="A3455" s="1" t="n">
        <v>3881</v>
      </c>
      <c r="B3455" s="3">
        <f>HYPERLINK("https://leetcode.com/problems/direction-assignments-with-exactly-k-visible-people/", "Direction Assignments with Exactly K Visible People")</f>
        <v/>
      </c>
      <c r="C3455" s="1" t="n">
        <v>60</v>
      </c>
      <c r="D3455" s="1" t="n">
        <v>18</v>
      </c>
      <c r="E3455" s="4">
        <f>IF(INDEX(C:C, ROW())+INDEX(D:D, ROW())=0, 0, INDEX(C:C, ROW())/(INDEX(C:C, ROW())+INDEX(D:D, ROW())))</f>
        <v/>
      </c>
      <c r="F3455" s="1" t="inlineStr">
        <is>
          <t>Math, Combinatorics</t>
        </is>
      </c>
      <c r="G3455" s="1" t="inlineStr">
        <is>
          <t>Medium</t>
        </is>
      </c>
      <c r="H3455" s="1" t="n">
        <v>15328</v>
      </c>
      <c r="I3455" s="1" t="n">
        <v>42195</v>
      </c>
      <c r="J3455" s="9" t="n">
        <v>0.363</v>
      </c>
      <c r="K3455" s="1" t="inlineStr">
        <is>
          <t>Yes</t>
        </is>
      </c>
      <c r="L3455" s="1" t="inlineStr">
        <is>
          <t>No</t>
        </is>
      </c>
      <c r="M3455" s="1" t="inlineStr">
        <is>
          <t>No</t>
        </is>
      </c>
      <c r="N3455" s="1" t="inlineStr">
        <is>
          <t>Algorithms</t>
        </is>
      </c>
      <c r="O34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55" s="11" t="inlineStr">
        <is>
          <t>To Do</t>
        </is>
      </c>
    </row>
    <row r="3456" ht="15.75" customHeight="1" s="12">
      <c r="A3456" s="1" t="n">
        <v>2737</v>
      </c>
      <c r="B3456" s="3">
        <f>HYPERLINK("https://leetcode.com/problems/find-the-closest-marked-node/", "Find the Closest Marked Node")</f>
        <v/>
      </c>
      <c r="C3456" s="1" t="n">
        <v>59</v>
      </c>
      <c r="D3456" s="1" t="n">
        <v>6</v>
      </c>
      <c r="E3456" s="4">
        <f>IF(INDEX(C:C, ROW())+INDEX(D:D, ROW())=0, 0, INDEX(C:C, ROW())/(INDEX(C:C, ROW())+INDEX(D:D, ROW())))</f>
        <v/>
      </c>
      <c r="F3456" s="1" t="inlineStr">
        <is>
          <t>Array, Graph Theory, Heap (Priority Queue), Shortest Path</t>
        </is>
      </c>
      <c r="G3456" s="1" t="inlineStr">
        <is>
          <t>Medium</t>
        </is>
      </c>
      <c r="H3456" s="1" t="n">
        <v>7414</v>
      </c>
      <c r="I3456" s="1" t="n">
        <v>11332</v>
      </c>
      <c r="J3456" s="9" t="n">
        <v>0.654</v>
      </c>
      <c r="K3456" s="1" t="inlineStr">
        <is>
          <t>No</t>
        </is>
      </c>
      <c r="L3456" s="1" t="inlineStr">
        <is>
          <t>Yes</t>
        </is>
      </c>
      <c r="M3456" s="1" t="inlineStr">
        <is>
          <t>No</t>
        </is>
      </c>
      <c r="N3456" s="1" t="inlineStr">
        <is>
          <t>Algorithms</t>
        </is>
      </c>
      <c r="O34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56" s="11" t="inlineStr">
        <is>
          <t>To Do</t>
        </is>
      </c>
    </row>
    <row r="3457" ht="15.75" customHeight="1" s="12">
      <c r="A3457" s="1" t="n">
        <v>2852</v>
      </c>
      <c r="B3457" s="3">
        <f>HYPERLINK("https://leetcode.com/problems/sum-of-remoteness-of-all-cells/", "Sum of Remoteness of All Cells")</f>
        <v/>
      </c>
      <c r="C3457" s="1" t="n">
        <v>59</v>
      </c>
      <c r="D3457" s="1" t="n">
        <v>16</v>
      </c>
      <c r="E3457" s="4">
        <f>IF(INDEX(C:C, ROW())+INDEX(D:D, ROW())=0, 0, INDEX(C:C, ROW())/(INDEX(C:C, ROW())+INDEX(D:D, ROW())))</f>
        <v/>
      </c>
      <c r="F3457" s="1" t="inlineStr">
        <is>
          <t>Array, Hash Table, Depth-First Search, Breadth-First Search, Union-Find, Matrix</t>
        </is>
      </c>
      <c r="G3457" s="1" t="inlineStr">
        <is>
          <t>Medium</t>
        </is>
      </c>
      <c r="H3457" s="1" t="n">
        <v>6554</v>
      </c>
      <c r="I3457" s="1" t="n">
        <v>9271</v>
      </c>
      <c r="J3457" s="9" t="n">
        <v>0.707</v>
      </c>
      <c r="K3457" s="1" t="inlineStr">
        <is>
          <t>No</t>
        </is>
      </c>
      <c r="L3457" s="1" t="inlineStr">
        <is>
          <t>Yes</t>
        </is>
      </c>
      <c r="M3457" s="1" t="inlineStr">
        <is>
          <t>No</t>
        </is>
      </c>
      <c r="N3457" s="1" t="inlineStr">
        <is>
          <t>Algorithms</t>
        </is>
      </c>
      <c r="O34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57" s="11" t="inlineStr">
        <is>
          <t>To Do</t>
        </is>
      </c>
    </row>
    <row r="3458" ht="15.75" customHeight="1" s="12">
      <c r="A3458" s="1" t="n">
        <v>3348</v>
      </c>
      <c r="B3458" s="3">
        <f>HYPERLINK("https://leetcode.com/problems/smallest-divisible-digit-product-ii/", "Smallest Divisible Digit Product II")</f>
        <v/>
      </c>
      <c r="C3458" s="1" t="n">
        <v>59</v>
      </c>
      <c r="D3458" s="1" t="n">
        <v>18</v>
      </c>
      <c r="E3458" s="4">
        <f>IF(INDEX(C:C, ROW())+INDEX(D:D, ROW())=0, 0, INDEX(C:C, ROW())/(INDEX(C:C, ROW())+INDEX(D:D, ROW())))</f>
        <v/>
      </c>
      <c r="F3458" s="1" t="inlineStr">
        <is>
          <t>Math, String, Backtracking, Greedy, Number Theory</t>
        </is>
      </c>
      <c r="G3458" s="1" t="inlineStr">
        <is>
          <t>Hard</t>
        </is>
      </c>
      <c r="H3458" s="1" t="n">
        <v>4908</v>
      </c>
      <c r="I3458" s="1" t="n">
        <v>33558</v>
      </c>
      <c r="J3458" s="9" t="n">
        <v>0.146</v>
      </c>
      <c r="K3458" s="1" t="inlineStr">
        <is>
          <t>Yes</t>
        </is>
      </c>
      <c r="L3458" s="1" t="inlineStr">
        <is>
          <t>No</t>
        </is>
      </c>
      <c r="M3458" s="1" t="inlineStr">
        <is>
          <t>No</t>
        </is>
      </c>
      <c r="N3458" s="1" t="inlineStr">
        <is>
          <t>Algorithms</t>
        </is>
      </c>
      <c r="O34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58" s="11" t="inlineStr">
        <is>
          <t>To Do</t>
        </is>
      </c>
    </row>
    <row r="3459" ht="15.75" customHeight="1" s="12">
      <c r="A3459" s="1" t="n">
        <v>3465</v>
      </c>
      <c r="B3459" s="3">
        <f>HYPERLINK("https://leetcode.com/problems/find-products-with-valid-serial-numbers/", "Find Products with Valid Serial Numbers")</f>
        <v/>
      </c>
      <c r="C3459" s="1" t="n">
        <v>59</v>
      </c>
      <c r="D3459" s="1" t="n">
        <v>28</v>
      </c>
      <c r="E3459" s="4">
        <f>IF(INDEX(C:C, ROW())+INDEX(D:D, ROW())=0, 0, INDEX(C:C, ROW())/(INDEX(C:C, ROW())+INDEX(D:D, ROW())))</f>
        <v/>
      </c>
      <c r="F3459" s="1" t="inlineStr">
        <is>
          <t>Database</t>
        </is>
      </c>
      <c r="G3459" s="1" t="inlineStr">
        <is>
          <t>Easy</t>
        </is>
      </c>
      <c r="H3459" s="1" t="n">
        <v>21213</v>
      </c>
      <c r="I3459" s="1" t="n">
        <v>70813</v>
      </c>
      <c r="J3459" s="9" t="n">
        <v>0.3</v>
      </c>
      <c r="K3459" s="1" t="inlineStr">
        <is>
          <t>Yes</t>
        </is>
      </c>
      <c r="L3459" s="1" t="inlineStr">
        <is>
          <t>No</t>
        </is>
      </c>
      <c r="M3459" s="1" t="inlineStr">
        <is>
          <t>No</t>
        </is>
      </c>
      <c r="N3459" s="1" t="inlineStr">
        <is>
          <t>Database</t>
        </is>
      </c>
      <c r="O34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59" s="13" t="inlineStr">
        <is>
          <t>Done</t>
        </is>
      </c>
    </row>
    <row r="3460" ht="15.75" customHeight="1" s="12">
      <c r="A3460" s="1" t="n">
        <v>3527</v>
      </c>
      <c r="B3460" s="3">
        <f>HYPERLINK("https://leetcode.com/problems/find-the-most-common-response/", "Find the Most Common Response")</f>
        <v/>
      </c>
      <c r="C3460" s="1" t="n">
        <v>59</v>
      </c>
      <c r="D3460" s="1" t="n">
        <v>7</v>
      </c>
      <c r="E3460" s="4">
        <f>IF(INDEX(C:C, ROW())+INDEX(D:D, ROW())=0, 0, INDEX(C:C, ROW())/(INDEX(C:C, ROW())+INDEX(D:D, ROW())))</f>
        <v/>
      </c>
      <c r="F3460" s="1" t="inlineStr">
        <is>
          <t>Array, Hash Table, String, Counting</t>
        </is>
      </c>
      <c r="G3460" s="1" t="inlineStr">
        <is>
          <t>Medium</t>
        </is>
      </c>
      <c r="H3460" s="1" t="n">
        <v>37860</v>
      </c>
      <c r="I3460" s="1" t="n">
        <v>50553</v>
      </c>
      <c r="J3460" s="9" t="n">
        <v>0.749</v>
      </c>
      <c r="K3460" s="1" t="inlineStr">
        <is>
          <t>Yes</t>
        </is>
      </c>
      <c r="L3460" s="1" t="inlineStr">
        <is>
          <t>No</t>
        </is>
      </c>
      <c r="M3460" s="1" t="inlineStr">
        <is>
          <t>No</t>
        </is>
      </c>
      <c r="N3460" s="1" t="inlineStr">
        <is>
          <t>Algorithms</t>
        </is>
      </c>
      <c r="O34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60" s="11" t="inlineStr">
        <is>
          <t>To Do</t>
        </is>
      </c>
    </row>
    <row r="3461" ht="15.75" customHeight="1" s="12">
      <c r="A3461" s="1" t="n">
        <v>3857</v>
      </c>
      <c r="B3461" s="3">
        <f>HYPERLINK("https://leetcode.com/problems/minimum-cost-to-split-into-ones/", "Minimum Cost to Split into Ones")</f>
        <v/>
      </c>
      <c r="C3461" s="1" t="n">
        <v>59</v>
      </c>
      <c r="D3461" s="1" t="n">
        <v>9</v>
      </c>
      <c r="E3461" s="4">
        <f>IF(INDEX(C:C, ROW())+INDEX(D:D, ROW())=0, 0, INDEX(C:C, ROW())/(INDEX(C:C, ROW())+INDEX(D:D, ROW())))</f>
        <v/>
      </c>
      <c r="F3461" s="1" t="inlineStr">
        <is>
          <t>Math, Dynamic Programming</t>
        </is>
      </c>
      <c r="G3461" s="1" t="inlineStr">
        <is>
          <t>Medium</t>
        </is>
      </c>
      <c r="H3461" s="1" t="n">
        <v>48613</v>
      </c>
      <c r="I3461" s="1" t="n">
        <v>58430</v>
      </c>
      <c r="J3461" s="9" t="n">
        <v>0.832</v>
      </c>
      <c r="K3461" s="1" t="inlineStr">
        <is>
          <t>Yes</t>
        </is>
      </c>
      <c r="L3461" s="1" t="inlineStr">
        <is>
          <t>No</t>
        </is>
      </c>
      <c r="M3461" s="1" t="inlineStr">
        <is>
          <t>No</t>
        </is>
      </c>
      <c r="N3461" s="1" t="inlineStr">
        <is>
          <t>Algorithms</t>
        </is>
      </c>
      <c r="O34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61" s="11" t="inlineStr">
        <is>
          <t>To Do</t>
        </is>
      </c>
    </row>
    <row r="3462" ht="15.75" customHeight="1" s="12">
      <c r="A3462" s="1" t="n">
        <v>3896</v>
      </c>
      <c r="B3462" s="3">
        <f>HYPERLINK("https://leetcode.com/problems/minimum-operations-to-transform-array-into-alternating-prime/", "Minimum Operations to Transform Array into Alternating Prime")</f>
        <v/>
      </c>
      <c r="C3462" s="1" t="n">
        <v>59</v>
      </c>
      <c r="D3462" s="1" t="n">
        <v>4</v>
      </c>
      <c r="E3462" s="4">
        <f>IF(INDEX(C:C, ROW())+INDEX(D:D, ROW())=0, 0, INDEX(C:C, ROW())/(INDEX(C:C, ROW())+INDEX(D:D, ROW())))</f>
        <v/>
      </c>
      <c r="F3462" s="2" t="n"/>
      <c r="G3462" s="1" t="inlineStr">
        <is>
          <t>Medium</t>
        </is>
      </c>
      <c r="H3462" s="1" t="n">
        <v>32472</v>
      </c>
      <c r="I3462" s="1" t="n">
        <v>61227</v>
      </c>
      <c r="J3462" s="9" t="n">
        <v>0.53</v>
      </c>
      <c r="K3462" s="1" t="inlineStr">
        <is>
          <t>Yes</t>
        </is>
      </c>
      <c r="L3462" s="1" t="inlineStr">
        <is>
          <t>No</t>
        </is>
      </c>
      <c r="M3462" s="1" t="inlineStr">
        <is>
          <t>No</t>
        </is>
      </c>
      <c r="N3462" s="1" t="inlineStr">
        <is>
          <t>Algorithms</t>
        </is>
      </c>
      <c r="O34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62" s="11" t="inlineStr">
        <is>
          <t>To Do</t>
        </is>
      </c>
    </row>
    <row r="3463" ht="15.75" customHeight="1" s="12">
      <c r="A3463" s="1" t="n">
        <v>2041</v>
      </c>
      <c r="B3463" s="3">
        <f>HYPERLINK("https://leetcode.com/problems/accepted-candidates-from-the-interviews/", "Accepted Candidates From the Interviews")</f>
        <v/>
      </c>
      <c r="C3463" s="1" t="n">
        <v>58</v>
      </c>
      <c r="D3463" s="1" t="n">
        <v>28</v>
      </c>
      <c r="E3463" s="4">
        <f>IF(INDEX(C:C, ROW())+INDEX(D:D, ROW())=0, 0, INDEX(C:C, ROW())/(INDEX(C:C, ROW())+INDEX(D:D, ROW())))</f>
        <v/>
      </c>
      <c r="F3463" s="1" t="inlineStr">
        <is>
          <t>Database</t>
        </is>
      </c>
      <c r="G3463" s="1" t="inlineStr">
        <is>
          <t>Medium</t>
        </is>
      </c>
      <c r="H3463" s="1" t="n">
        <v>16587</v>
      </c>
      <c r="I3463" s="1" t="n">
        <v>21132</v>
      </c>
      <c r="J3463" s="9" t="n">
        <v>0.785</v>
      </c>
      <c r="K3463" s="1" t="inlineStr">
        <is>
          <t>No</t>
        </is>
      </c>
      <c r="L3463" s="1" t="inlineStr">
        <is>
          <t>Yes</t>
        </is>
      </c>
      <c r="M3463" s="1" t="inlineStr">
        <is>
          <t>No</t>
        </is>
      </c>
      <c r="N3463" s="1" t="inlineStr">
        <is>
          <t>Database</t>
        </is>
      </c>
      <c r="O34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63" s="11" t="inlineStr">
        <is>
          <t>To Do</t>
        </is>
      </c>
    </row>
    <row r="3464" ht="15.75" customHeight="1" s="12">
      <c r="A3464" s="1" t="n">
        <v>2314</v>
      </c>
      <c r="B3464" s="3">
        <f>HYPERLINK("https://leetcode.com/problems/the-first-day-of-the-maximum-recorded-degree-in-each-city/", "The First Day of the Maximum Recorded Degree in Each City")</f>
        <v/>
      </c>
      <c r="C3464" s="1" t="n">
        <v>58</v>
      </c>
      <c r="D3464" s="1" t="n">
        <v>2</v>
      </c>
      <c r="E3464" s="4">
        <f>IF(INDEX(C:C, ROW())+INDEX(D:D, ROW())=0, 0, INDEX(C:C, ROW())/(INDEX(C:C, ROW())+INDEX(D:D, ROW())))</f>
        <v/>
      </c>
      <c r="F3464" s="1" t="inlineStr">
        <is>
          <t>Database</t>
        </is>
      </c>
      <c r="G3464" s="1" t="inlineStr">
        <is>
          <t>Medium</t>
        </is>
      </c>
      <c r="H3464" s="1" t="n">
        <v>8541</v>
      </c>
      <c r="I3464" s="1" t="n">
        <v>11613</v>
      </c>
      <c r="J3464" s="9" t="n">
        <v>0.735</v>
      </c>
      <c r="K3464" s="1" t="inlineStr">
        <is>
          <t>No</t>
        </is>
      </c>
      <c r="L3464" s="1" t="inlineStr">
        <is>
          <t>No</t>
        </is>
      </c>
      <c r="M3464" s="1" t="inlineStr">
        <is>
          <t>No</t>
        </is>
      </c>
      <c r="N3464" s="1" t="inlineStr">
        <is>
          <t>Database</t>
        </is>
      </c>
      <c r="O34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64" s="11" t="inlineStr">
        <is>
          <t>To Do</t>
        </is>
      </c>
    </row>
    <row r="3465" ht="15.75" customHeight="1" s="12">
      <c r="A3465" s="1" t="n">
        <v>2533</v>
      </c>
      <c r="B3465" s="3">
        <f>HYPERLINK("https://leetcode.com/problems/number-of-good-binary-strings/", "Number of Good Binary Strings")</f>
        <v/>
      </c>
      <c r="C3465" s="1" t="n">
        <v>58</v>
      </c>
      <c r="D3465" s="1" t="n">
        <v>23</v>
      </c>
      <c r="E3465" s="4">
        <f>IF(INDEX(C:C, ROW())+INDEX(D:D, ROW())=0, 0, INDEX(C:C, ROW())/(INDEX(C:C, ROW())+INDEX(D:D, ROW())))</f>
        <v/>
      </c>
      <c r="F3465" s="1" t="inlineStr">
        <is>
          <t>Dynamic Programming</t>
        </is>
      </c>
      <c r="G3465" s="1" t="inlineStr">
        <is>
          <t>Medium</t>
        </is>
      </c>
      <c r="H3465" s="1" t="n">
        <v>7777</v>
      </c>
      <c r="I3465" s="1" t="n">
        <v>14696</v>
      </c>
      <c r="J3465" s="9" t="n">
        <v>0.529</v>
      </c>
      <c r="K3465" s="1" t="inlineStr">
        <is>
          <t>No</t>
        </is>
      </c>
      <c r="L3465" s="1" t="inlineStr">
        <is>
          <t>No</t>
        </is>
      </c>
      <c r="M3465" s="1" t="inlineStr">
        <is>
          <t>No</t>
        </is>
      </c>
      <c r="N3465" s="1" t="inlineStr">
        <is>
          <t>Algorithms</t>
        </is>
      </c>
      <c r="O34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65" s="11" t="inlineStr">
        <is>
          <t>To Do</t>
        </is>
      </c>
    </row>
    <row r="3466" ht="15.75" customHeight="1" s="12">
      <c r="A3466" s="1" t="n">
        <v>3509</v>
      </c>
      <c r="B3466" s="3">
        <f>HYPERLINK("https://leetcode.com/problems/maximum-product-of-subsequences-with-an-alternating-sum-equal-to-k/", "Maximum Product of Subsequences With an Alternating Sum Equal to K")</f>
        <v/>
      </c>
      <c r="C3466" s="1" t="n">
        <v>58</v>
      </c>
      <c r="D3466" s="1" t="n">
        <v>6</v>
      </c>
      <c r="E3466" s="4">
        <f>IF(INDEX(C:C, ROW())+INDEX(D:D, ROW())=0, 0, INDEX(C:C, ROW())/(INDEX(C:C, ROW())+INDEX(D:D, ROW())))</f>
        <v/>
      </c>
      <c r="F3466" s="1" t="inlineStr">
        <is>
          <t>Array, Hash Table, Dynamic Programming</t>
        </is>
      </c>
      <c r="G3466" s="1" t="inlineStr">
        <is>
          <t>Hard</t>
        </is>
      </c>
      <c r="H3466" s="1" t="n">
        <v>6173</v>
      </c>
      <c r="I3466" s="1" t="n">
        <v>46770</v>
      </c>
      <c r="J3466" s="9" t="n">
        <v>0.132</v>
      </c>
      <c r="K3466" s="1" t="inlineStr">
        <is>
          <t>Yes</t>
        </is>
      </c>
      <c r="L3466" s="1" t="inlineStr">
        <is>
          <t>No</t>
        </is>
      </c>
      <c r="M3466" s="1" t="inlineStr">
        <is>
          <t>No</t>
        </is>
      </c>
      <c r="N3466" s="1" t="inlineStr">
        <is>
          <t>Algorithms</t>
        </is>
      </c>
      <c r="O34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66" s="11" t="inlineStr">
        <is>
          <t>To Do</t>
        </is>
      </c>
    </row>
    <row r="3467" ht="15.75" customHeight="1" s="12">
      <c r="A3467" s="1" t="n">
        <v>3559</v>
      </c>
      <c r="B3467" s="3">
        <f>HYPERLINK("https://leetcode.com/problems/number-of-ways-to-assign-edge-weights-ii/", "Number of Ways to Assign Edge Weights II")</f>
        <v/>
      </c>
      <c r="C3467" s="1" t="n">
        <v>58</v>
      </c>
      <c r="D3467" s="1" t="n">
        <v>1</v>
      </c>
      <c r="E3467" s="4">
        <f>IF(INDEX(C:C, ROW())+INDEX(D:D, ROW())=0, 0, INDEX(C:C, ROW())/(INDEX(C:C, ROW())+INDEX(D:D, ROW())))</f>
        <v/>
      </c>
      <c r="F3467" s="1" t="inlineStr">
        <is>
          <t>Array, Math, Dynamic Programming, Bit Manipulation, Tree, Depth-First Search</t>
        </is>
      </c>
      <c r="G3467" s="1" t="inlineStr">
        <is>
          <t>Hard</t>
        </is>
      </c>
      <c r="H3467" s="1" t="n">
        <v>6914</v>
      </c>
      <c r="I3467" s="1" t="n">
        <v>11623</v>
      </c>
      <c r="J3467" s="9" t="n">
        <v>0.595</v>
      </c>
      <c r="K3467" s="1" t="inlineStr">
        <is>
          <t>Yes</t>
        </is>
      </c>
      <c r="L3467" s="1" t="inlineStr">
        <is>
          <t>No</t>
        </is>
      </c>
      <c r="M3467" s="1" t="inlineStr">
        <is>
          <t>No</t>
        </is>
      </c>
      <c r="N3467" s="1" t="inlineStr">
        <is>
          <t>Algorithms</t>
        </is>
      </c>
      <c r="O34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67" s="11" t="inlineStr">
        <is>
          <t>To Do</t>
        </is>
      </c>
    </row>
    <row r="3468" ht="15.75" customHeight="1" s="12">
      <c r="A3468" s="1" t="n">
        <v>3612</v>
      </c>
      <c r="B3468" s="3">
        <f>HYPERLINK("https://leetcode.com/problems/process-string-with-special-operations-i/", "Process String with Special Operations I")</f>
        <v/>
      </c>
      <c r="C3468" s="1" t="n">
        <v>58</v>
      </c>
      <c r="D3468" s="1" t="n">
        <v>11</v>
      </c>
      <c r="E3468" s="4">
        <f>IF(INDEX(C:C, ROW())+INDEX(D:D, ROW())=0, 0, INDEX(C:C, ROW())/(INDEX(C:C, ROW())+INDEX(D:D, ROW())))</f>
        <v/>
      </c>
      <c r="F3468" s="1" t="inlineStr">
        <is>
          <t>String, Simulation</t>
        </is>
      </c>
      <c r="G3468" s="1" t="inlineStr">
        <is>
          <t>Medium</t>
        </is>
      </c>
      <c r="H3468" s="1" t="n">
        <v>48601</v>
      </c>
      <c r="I3468" s="1" t="n">
        <v>74719</v>
      </c>
      <c r="J3468" s="9" t="n">
        <v>0.65</v>
      </c>
      <c r="K3468" s="1" t="inlineStr">
        <is>
          <t>Yes</t>
        </is>
      </c>
      <c r="L3468" s="1" t="inlineStr">
        <is>
          <t>No</t>
        </is>
      </c>
      <c r="M3468" s="1" t="inlineStr">
        <is>
          <t>No</t>
        </is>
      </c>
      <c r="N3468" s="1" t="inlineStr">
        <is>
          <t>Algorithms</t>
        </is>
      </c>
      <c r="O34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68" s="11" t="inlineStr">
        <is>
          <t>To Do</t>
        </is>
      </c>
    </row>
    <row r="3469" ht="15.75" customHeight="1" s="12">
      <c r="A3469" s="1" t="n">
        <v>3615</v>
      </c>
      <c r="B3469" s="3">
        <f>HYPERLINK("https://leetcode.com/problems/longest-palindromic-path-in-graph/", "Longest Palindromic Path in Graph")</f>
        <v/>
      </c>
      <c r="C3469" s="1" t="n">
        <v>58</v>
      </c>
      <c r="D3469" s="1" t="n">
        <v>5</v>
      </c>
      <c r="E3469" s="4">
        <f>IF(INDEX(C:C, ROW())+INDEX(D:D, ROW())=0, 0, INDEX(C:C, ROW())/(INDEX(C:C, ROW())+INDEX(D:D, ROW())))</f>
        <v/>
      </c>
      <c r="F3469" s="1" t="inlineStr">
        <is>
          <t>String, Dynamic Programming, Bit Manipulation, Graph Theory, Bitmask</t>
        </is>
      </c>
      <c r="G3469" s="1" t="inlineStr">
        <is>
          <t>Hard</t>
        </is>
      </c>
      <c r="H3469" s="1" t="n">
        <v>7407</v>
      </c>
      <c r="I3469" s="1" t="n">
        <v>33412</v>
      </c>
      <c r="J3469" s="9" t="n">
        <v>0.222</v>
      </c>
      <c r="K3469" s="1" t="inlineStr">
        <is>
          <t>Yes</t>
        </is>
      </c>
      <c r="L3469" s="1" t="inlineStr">
        <is>
          <t>No</t>
        </is>
      </c>
      <c r="M3469" s="1" t="inlineStr">
        <is>
          <t>No</t>
        </is>
      </c>
      <c r="N3469" s="1" t="inlineStr">
        <is>
          <t>Algorithms</t>
        </is>
      </c>
      <c r="O34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69" s="11" t="inlineStr">
        <is>
          <t>To Do</t>
        </is>
      </c>
    </row>
    <row r="3470" ht="15.75" customHeight="1" s="12">
      <c r="A3470" s="1" t="n">
        <v>3712</v>
      </c>
      <c r="B3470" s="3">
        <f>HYPERLINK("https://leetcode.com/problems/sum-of-elements-with-frequency-divisible-by-k/", "Sum of Elements With Frequency Divisible by K")</f>
        <v/>
      </c>
      <c r="C3470" s="1" t="n">
        <v>58</v>
      </c>
      <c r="D3470" s="1" t="n">
        <v>3</v>
      </c>
      <c r="E3470" s="4">
        <f>IF(INDEX(C:C, ROW())+INDEX(D:D, ROW())=0, 0, INDEX(C:C, ROW())/(INDEX(C:C, ROW())+INDEX(D:D, ROW())))</f>
        <v/>
      </c>
      <c r="F3470" s="1" t="inlineStr">
        <is>
          <t>Array, Hash Table, Counting</t>
        </is>
      </c>
      <c r="G3470" s="1" t="inlineStr">
        <is>
          <t>Easy</t>
        </is>
      </c>
      <c r="H3470" s="1" t="n">
        <v>52790</v>
      </c>
      <c r="I3470" s="1" t="n">
        <v>67759</v>
      </c>
      <c r="J3470" s="9" t="n">
        <v>0.779</v>
      </c>
      <c r="K3470" s="1" t="inlineStr">
        <is>
          <t>Yes</t>
        </is>
      </c>
      <c r="L3470" s="1" t="inlineStr">
        <is>
          <t>No</t>
        </is>
      </c>
      <c r="M3470" s="1" t="inlineStr">
        <is>
          <t>No</t>
        </is>
      </c>
      <c r="N3470" s="1" t="inlineStr">
        <is>
          <t>Algorithms</t>
        </is>
      </c>
      <c r="O34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70" s="13" t="inlineStr">
        <is>
          <t>Done</t>
        </is>
      </c>
    </row>
    <row r="3471" ht="15.75" customHeight="1" s="12">
      <c r="A3471" s="1" t="n">
        <v>3737</v>
      </c>
      <c r="B3471" s="3">
        <f>HYPERLINK("https://leetcode.com/problems/count-subarrays-with-majority-element-i/", "Count Subarrays With Majority Element I")</f>
        <v/>
      </c>
      <c r="C3471" s="1" t="n">
        <v>58</v>
      </c>
      <c r="D3471" s="1" t="n">
        <v>6</v>
      </c>
      <c r="E3471" s="4">
        <f>IF(INDEX(C:C, ROW())+INDEX(D:D, ROW())=0, 0, INDEX(C:C, ROW())/(INDEX(C:C, ROW())+INDEX(D:D, ROW())))</f>
        <v/>
      </c>
      <c r="F3471" s="1" t="inlineStr">
        <is>
          <t>Array, Hash Table, Divide and Conquer, Segment Tree, Merge Sort, Counting, Prefix Sum</t>
        </is>
      </c>
      <c r="G3471" s="1" t="inlineStr">
        <is>
          <t>Medium</t>
        </is>
      </c>
      <c r="H3471" s="1" t="n">
        <v>27202</v>
      </c>
      <c r="I3471" s="1" t="n">
        <v>41457</v>
      </c>
      <c r="J3471" s="9" t="n">
        <v>0.656</v>
      </c>
      <c r="K3471" s="1" t="inlineStr">
        <is>
          <t>Yes</t>
        </is>
      </c>
      <c r="L3471" s="1" t="inlineStr">
        <is>
          <t>No</t>
        </is>
      </c>
      <c r="M3471" s="1" t="inlineStr">
        <is>
          <t>No</t>
        </is>
      </c>
      <c r="N3471" s="1" t="inlineStr">
        <is>
          <t>Algorithms</t>
        </is>
      </c>
      <c r="O34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71" s="11" t="inlineStr">
        <is>
          <t>To Do</t>
        </is>
      </c>
    </row>
    <row r="3472" ht="15.75" customHeight="1" s="12">
      <c r="A3472" s="1" t="n">
        <v>3810</v>
      </c>
      <c r="B3472" s="3">
        <f>HYPERLINK("https://leetcode.com/problems/minimum-operations-to-reach-target-array/", "Minimum Operations to Reach Target Array")</f>
        <v/>
      </c>
      <c r="C3472" s="1" t="n">
        <v>58</v>
      </c>
      <c r="D3472" s="1" t="n">
        <v>22</v>
      </c>
      <c r="E3472" s="4">
        <f>IF(INDEX(C:C, ROW())+INDEX(D:D, ROW())=0, 0, INDEX(C:C, ROW())/(INDEX(C:C, ROW())+INDEX(D:D, ROW())))</f>
        <v/>
      </c>
      <c r="F3472" s="1" t="inlineStr">
        <is>
          <t>Array, Hash Table, Greedy</t>
        </is>
      </c>
      <c r="G3472" s="1" t="inlineStr">
        <is>
          <t>Medium</t>
        </is>
      </c>
      <c r="H3472" s="1" t="n">
        <v>25337</v>
      </c>
      <c r="I3472" s="1" t="n">
        <v>39869</v>
      </c>
      <c r="J3472" s="9" t="n">
        <v>0.636</v>
      </c>
      <c r="K3472" s="1" t="inlineStr">
        <is>
          <t>Yes</t>
        </is>
      </c>
      <c r="L3472" s="1" t="inlineStr">
        <is>
          <t>No</t>
        </is>
      </c>
      <c r="M3472" s="1" t="inlineStr">
        <is>
          <t>No</t>
        </is>
      </c>
      <c r="N3472" s="1" t="inlineStr">
        <is>
          <t>Algorithms</t>
        </is>
      </c>
      <c r="O34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72" s="11" t="inlineStr">
        <is>
          <t>To Do</t>
        </is>
      </c>
    </row>
    <row r="3473" ht="15.75" customHeight="1" s="12">
      <c r="A3473" s="1" t="n">
        <v>3869</v>
      </c>
      <c r="B3473" s="3">
        <f>HYPERLINK("https://leetcode.com/problems/count-fancy-numbers-in-a-range/", "Count Fancy Numbers in a Range")</f>
        <v/>
      </c>
      <c r="C3473" s="1" t="n">
        <v>58</v>
      </c>
      <c r="D3473" s="1" t="n">
        <v>2</v>
      </c>
      <c r="E3473" s="4">
        <f>IF(INDEX(C:C, ROW())+INDEX(D:D, ROW())=0, 0, INDEX(C:C, ROW())/(INDEX(C:C, ROW())+INDEX(D:D, ROW())))</f>
        <v/>
      </c>
      <c r="F3473" s="1" t="inlineStr">
        <is>
          <t>Math, Dynamic Programming</t>
        </is>
      </c>
      <c r="G3473" s="1" t="inlineStr">
        <is>
          <t>Hard</t>
        </is>
      </c>
      <c r="H3473" s="1" t="n">
        <v>4934</v>
      </c>
      <c r="I3473" s="1" t="n">
        <v>18786</v>
      </c>
      <c r="J3473" s="9" t="n">
        <v>0.263</v>
      </c>
      <c r="K3473" s="1" t="inlineStr">
        <is>
          <t>Yes</t>
        </is>
      </c>
      <c r="L3473" s="1" t="inlineStr">
        <is>
          <t>No</t>
        </is>
      </c>
      <c r="M3473" s="1" t="inlineStr">
        <is>
          <t>No</t>
        </is>
      </c>
      <c r="N3473" s="1" t="inlineStr">
        <is>
          <t>Algorithms</t>
        </is>
      </c>
      <c r="O34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73" s="11" t="inlineStr">
        <is>
          <t>To Do</t>
        </is>
      </c>
    </row>
    <row r="3474" ht="15.75" customHeight="1" s="12">
      <c r="A3474" s="1" t="n">
        <v>2664</v>
      </c>
      <c r="B3474" s="3">
        <f>HYPERLINK("https://leetcode.com/problems/the-knights-tour/", "The Knight’s Tour")</f>
        <v/>
      </c>
      <c r="C3474" s="1" t="n">
        <v>57</v>
      </c>
      <c r="D3474" s="1" t="n">
        <v>16</v>
      </c>
      <c r="E3474" s="4">
        <f>IF(INDEX(C:C, ROW())+INDEX(D:D, ROW())=0, 0, INDEX(C:C, ROW())/(INDEX(C:C, ROW())+INDEX(D:D, ROW())))</f>
        <v/>
      </c>
      <c r="F3474" s="1" t="inlineStr">
        <is>
          <t>Array, Backtracking, Matrix</t>
        </is>
      </c>
      <c r="G3474" s="1" t="inlineStr">
        <is>
          <t>Medium</t>
        </is>
      </c>
      <c r="H3474" s="1" t="n">
        <v>6793</v>
      </c>
      <c r="I3474" s="1" t="n">
        <v>9343</v>
      </c>
      <c r="J3474" s="9" t="n">
        <v>0.727</v>
      </c>
      <c r="K3474" s="1" t="inlineStr">
        <is>
          <t>No</t>
        </is>
      </c>
      <c r="L3474" s="1" t="inlineStr">
        <is>
          <t>Yes</t>
        </is>
      </c>
      <c r="M3474" s="1" t="inlineStr">
        <is>
          <t>No</t>
        </is>
      </c>
      <c r="N3474" s="1" t="inlineStr">
        <is>
          <t>Algorithms</t>
        </is>
      </c>
      <c r="O34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74" s="11" t="inlineStr">
        <is>
          <t>To Do</t>
        </is>
      </c>
    </row>
    <row r="3475" ht="15.75" customHeight="1" s="12">
      <c r="A3475" s="1" t="n">
        <v>3519</v>
      </c>
      <c r="B3475" s="3">
        <f>HYPERLINK("https://leetcode.com/problems/count-numbers-with-non-decreasing-digits/", "Count Numbers with Non-Decreasing Digits ")</f>
        <v/>
      </c>
      <c r="C3475" s="1" t="n">
        <v>57</v>
      </c>
      <c r="D3475" s="1" t="n">
        <v>3</v>
      </c>
      <c r="E3475" s="4">
        <f>IF(INDEX(C:C, ROW())+INDEX(D:D, ROW())=0, 0, INDEX(C:C, ROW())/(INDEX(C:C, ROW())+INDEX(D:D, ROW())))</f>
        <v/>
      </c>
      <c r="F3475" s="1" t="inlineStr">
        <is>
          <t>Math, String, Dynamic Programming</t>
        </is>
      </c>
      <c r="G3475" s="1" t="inlineStr">
        <is>
          <t>Hard</t>
        </is>
      </c>
      <c r="H3475" s="1" t="n">
        <v>6915</v>
      </c>
      <c r="I3475" s="1" t="n">
        <v>17851</v>
      </c>
      <c r="J3475" s="9" t="n">
        <v>0.387</v>
      </c>
      <c r="K3475" s="1" t="inlineStr">
        <is>
          <t>Yes</t>
        </is>
      </c>
      <c r="L3475" s="1" t="inlineStr">
        <is>
          <t>No</t>
        </is>
      </c>
      <c r="M3475" s="1" t="inlineStr">
        <is>
          <t>No</t>
        </is>
      </c>
      <c r="N3475" s="1" t="inlineStr">
        <is>
          <t>Algorithms</t>
        </is>
      </c>
      <c r="O34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75" s="11" t="inlineStr">
        <is>
          <t>To Do</t>
        </is>
      </c>
    </row>
    <row r="3476" ht="15.75" customHeight="1" s="12">
      <c r="A3476" s="1" t="n">
        <v>3556</v>
      </c>
      <c r="B3476" s="3">
        <f>HYPERLINK("https://leetcode.com/problems/sum-of-largest-prime-substrings/", "Sum of Largest Prime Substrings")</f>
        <v/>
      </c>
      <c r="C3476" s="1" t="n">
        <v>57</v>
      </c>
      <c r="D3476" s="1" t="n">
        <v>11</v>
      </c>
      <c r="E3476" s="4">
        <f>IF(INDEX(C:C, ROW())+INDEX(D:D, ROW())=0, 0, INDEX(C:C, ROW())/(INDEX(C:C, ROW())+INDEX(D:D, ROW())))</f>
        <v/>
      </c>
      <c r="F3476" s="1" t="inlineStr">
        <is>
          <t>Hash Table, Math, String, Sorting, Number Theory</t>
        </is>
      </c>
      <c r="G3476" s="1" t="inlineStr">
        <is>
          <t>Medium</t>
        </is>
      </c>
      <c r="H3476" s="1" t="n">
        <v>24971</v>
      </c>
      <c r="I3476" s="1" t="n">
        <v>65747</v>
      </c>
      <c r="J3476" s="9" t="n">
        <v>0.38</v>
      </c>
      <c r="K3476" s="1" t="inlineStr">
        <is>
          <t>Yes</t>
        </is>
      </c>
      <c r="L3476" s="1" t="inlineStr">
        <is>
          <t>No</t>
        </is>
      </c>
      <c r="M3476" s="1" t="inlineStr">
        <is>
          <t>No</t>
        </is>
      </c>
      <c r="N3476" s="1" t="inlineStr">
        <is>
          <t>Algorithms</t>
        </is>
      </c>
      <c r="O34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76" s="11" t="inlineStr">
        <is>
          <t>To Do</t>
        </is>
      </c>
    </row>
    <row r="3477" ht="15.75" customHeight="1" s="12">
      <c r="A3477" s="1" t="n">
        <v>3609</v>
      </c>
      <c r="B3477" s="3">
        <f>HYPERLINK("https://leetcode.com/problems/minimum-moves-to-reach-target-in-grid/", "Minimum Moves to Reach Target in Grid")</f>
        <v/>
      </c>
      <c r="C3477" s="1" t="n">
        <v>57</v>
      </c>
      <c r="D3477" s="1" t="n">
        <v>3</v>
      </c>
      <c r="E3477" s="4">
        <f>IF(INDEX(C:C, ROW())+INDEX(D:D, ROW())=0, 0, INDEX(C:C, ROW())/(INDEX(C:C, ROW())+INDEX(D:D, ROW())))</f>
        <v/>
      </c>
      <c r="F3477" s="1" t="inlineStr">
        <is>
          <t>Math</t>
        </is>
      </c>
      <c r="G3477" s="1" t="inlineStr">
        <is>
          <t>Hard</t>
        </is>
      </c>
      <c r="H3477" s="1" t="n">
        <v>5278</v>
      </c>
      <c r="I3477" s="1" t="n">
        <v>34923</v>
      </c>
      <c r="J3477" s="9" t="n">
        <v>0.151</v>
      </c>
      <c r="K3477" s="1" t="inlineStr">
        <is>
          <t>Yes</t>
        </is>
      </c>
      <c r="L3477" s="1" t="inlineStr">
        <is>
          <t>No</t>
        </is>
      </c>
      <c r="M3477" s="1" t="inlineStr">
        <is>
          <t>No</t>
        </is>
      </c>
      <c r="N3477" s="1" t="inlineStr">
        <is>
          <t>Algorithms</t>
        </is>
      </c>
      <c r="O34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77" s="11" t="inlineStr">
        <is>
          <t>To Do</t>
        </is>
      </c>
    </row>
    <row r="3478" ht="15.75" customHeight="1" s="12">
      <c r="A3478" s="1" t="n">
        <v>3769</v>
      </c>
      <c r="B3478" s="3">
        <f>HYPERLINK("https://leetcode.com/problems/sort-integers-by-binary-reflection/", "Sort Integers by Binary Reflection")</f>
        <v/>
      </c>
      <c r="C3478" s="1" t="n">
        <v>57</v>
      </c>
      <c r="D3478" s="1" t="n">
        <v>5</v>
      </c>
      <c r="E3478" s="4">
        <f>IF(INDEX(C:C, ROW())+INDEX(D:D, ROW())=0, 0, INDEX(C:C, ROW())/(INDEX(C:C, ROW())+INDEX(D:D, ROW())))</f>
        <v/>
      </c>
      <c r="F3478" s="1" t="inlineStr">
        <is>
          <t>Array, Sorting</t>
        </is>
      </c>
      <c r="G3478" s="1" t="inlineStr">
        <is>
          <t>Easy</t>
        </is>
      </c>
      <c r="H3478" s="1" t="n">
        <v>30816</v>
      </c>
      <c r="I3478" s="1" t="n">
        <v>50484</v>
      </c>
      <c r="J3478" s="9" t="n">
        <v>0.61</v>
      </c>
      <c r="K3478" s="1" t="inlineStr">
        <is>
          <t>Yes</t>
        </is>
      </c>
      <c r="L3478" s="1" t="inlineStr">
        <is>
          <t>No</t>
        </is>
      </c>
      <c r="M3478" s="1" t="inlineStr">
        <is>
          <t>No</t>
        </is>
      </c>
      <c r="N3478" s="1" t="inlineStr">
        <is>
          <t>Algorithms</t>
        </is>
      </c>
      <c r="O34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78" s="13" t="inlineStr">
        <is>
          <t>Done</t>
        </is>
      </c>
    </row>
    <row r="3479" ht="15.75" customHeight="1" s="12">
      <c r="A3479" s="1" t="n">
        <v>3775</v>
      </c>
      <c r="B3479" s="3">
        <f>HYPERLINK("https://leetcode.com/problems/reverse-words-with-same-vowel-count/", "Reverse Words With Same Vowel Count")</f>
        <v/>
      </c>
      <c r="C3479" s="1" t="n">
        <v>57</v>
      </c>
      <c r="D3479" s="1" t="n">
        <v>8</v>
      </c>
      <c r="E3479" s="4">
        <f>IF(INDEX(C:C, ROW())+INDEX(D:D, ROW())=0, 0, INDEX(C:C, ROW())/(INDEX(C:C, ROW())+INDEX(D:D, ROW())))</f>
        <v/>
      </c>
      <c r="F3479" s="1" t="inlineStr">
        <is>
          <t>Two Pointers, String, Simulation</t>
        </is>
      </c>
      <c r="G3479" s="1" t="inlineStr">
        <is>
          <t>Medium</t>
        </is>
      </c>
      <c r="H3479" s="1" t="n">
        <v>36577</v>
      </c>
      <c r="I3479" s="1" t="n">
        <v>54750</v>
      </c>
      <c r="J3479" s="9" t="n">
        <v>0.668</v>
      </c>
      <c r="K3479" s="1" t="inlineStr">
        <is>
          <t>Yes</t>
        </is>
      </c>
      <c r="L3479" s="1" t="inlineStr">
        <is>
          <t>No</t>
        </is>
      </c>
      <c r="M3479" s="1" t="inlineStr">
        <is>
          <t>No</t>
        </is>
      </c>
      <c r="N3479" s="1" t="inlineStr">
        <is>
          <t>Algorithms</t>
        </is>
      </c>
      <c r="O34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79" s="11" t="inlineStr">
        <is>
          <t>To Do</t>
        </is>
      </c>
    </row>
    <row r="3480" ht="15.75" customHeight="1" s="12">
      <c r="A3480" s="1" t="n">
        <v>3799</v>
      </c>
      <c r="B3480" s="3">
        <f>HYPERLINK("https://leetcode.com/problems/word-squares-ii/", "Word Squares II")</f>
        <v/>
      </c>
      <c r="C3480" s="1" t="n">
        <v>57</v>
      </c>
      <c r="D3480" s="1" t="n">
        <v>27</v>
      </c>
      <c r="E3480" s="4">
        <f>IF(INDEX(C:C, ROW())+INDEX(D:D, ROW())=0, 0, INDEX(C:C, ROW())/(INDEX(C:C, ROW())+INDEX(D:D, ROW())))</f>
        <v/>
      </c>
      <c r="F3480" s="1" t="inlineStr">
        <is>
          <t>Array, String, Backtracking, Sorting, Enumeration</t>
        </is>
      </c>
      <c r="G3480" s="1" t="inlineStr">
        <is>
          <t>Medium</t>
        </is>
      </c>
      <c r="H3480" s="1" t="n">
        <v>19396</v>
      </c>
      <c r="I3480" s="1" t="n">
        <v>35231</v>
      </c>
      <c r="J3480" s="9" t="n">
        <v>0.551</v>
      </c>
      <c r="K3480" s="1" t="inlineStr">
        <is>
          <t>Yes</t>
        </is>
      </c>
      <c r="L3480" s="1" t="inlineStr">
        <is>
          <t>No</t>
        </is>
      </c>
      <c r="M3480" s="1" t="inlineStr">
        <is>
          <t>No</t>
        </is>
      </c>
      <c r="N3480" s="1" t="inlineStr">
        <is>
          <t>Algorithms</t>
        </is>
      </c>
      <c r="O34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80" s="11" t="inlineStr">
        <is>
          <t>To Do</t>
        </is>
      </c>
    </row>
    <row r="3481" ht="15.75" customHeight="1" s="12">
      <c r="A3481" s="1" t="n">
        <v>3809</v>
      </c>
      <c r="B3481" s="3">
        <f>HYPERLINK("https://leetcode.com/problems/best-reachable-tower/", "Best Reachable Tower")</f>
        <v/>
      </c>
      <c r="C3481" s="1" t="n">
        <v>57</v>
      </c>
      <c r="D3481" s="1" t="n">
        <v>6</v>
      </c>
      <c r="E3481" s="4">
        <f>IF(INDEX(C:C, ROW())+INDEX(D:D, ROW())=0, 0, INDEX(C:C, ROW())/(INDEX(C:C, ROW())+INDEX(D:D, ROW())))</f>
        <v/>
      </c>
      <c r="F3481" s="1" t="inlineStr">
        <is>
          <t>Array</t>
        </is>
      </c>
      <c r="G3481" s="1" t="inlineStr">
        <is>
          <t>Medium</t>
        </is>
      </c>
      <c r="H3481" s="1" t="n">
        <v>31875</v>
      </c>
      <c r="I3481" s="1" t="n">
        <v>56989</v>
      </c>
      <c r="J3481" s="9" t="n">
        <v>0.5590000000000001</v>
      </c>
      <c r="K3481" s="1" t="inlineStr">
        <is>
          <t>Yes</t>
        </is>
      </c>
      <c r="L3481" s="1" t="inlineStr">
        <is>
          <t>No</t>
        </is>
      </c>
      <c r="M3481" s="1" t="inlineStr">
        <is>
          <t>No</t>
        </is>
      </c>
      <c r="N3481" s="1" t="inlineStr">
        <is>
          <t>Algorithms</t>
        </is>
      </c>
      <c r="O34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81" s="11" t="inlineStr">
        <is>
          <t>To Do</t>
        </is>
      </c>
    </row>
    <row r="3482" ht="15.75" customHeight="1" s="12">
      <c r="A3482" s="1" t="n">
        <v>3871</v>
      </c>
      <c r="B3482" s="3">
        <f>HYPERLINK("https://leetcode.com/problems/count-commas-in-range-ii/", "Count Commas in Range II")</f>
        <v/>
      </c>
      <c r="C3482" s="1" t="n">
        <v>57</v>
      </c>
      <c r="D3482" s="1" t="n">
        <v>6</v>
      </c>
      <c r="E3482" s="4">
        <f>IF(INDEX(C:C, ROW())+INDEX(D:D, ROW())=0, 0, INDEX(C:C, ROW())/(INDEX(C:C, ROW())+INDEX(D:D, ROW())))</f>
        <v/>
      </c>
      <c r="F3482" s="1" t="inlineStr">
        <is>
          <t>Math</t>
        </is>
      </c>
      <c r="G3482" s="1" t="inlineStr">
        <is>
          <t>Medium</t>
        </is>
      </c>
      <c r="H3482" s="1" t="n">
        <v>41622</v>
      </c>
      <c r="I3482" s="1" t="n">
        <v>101723</v>
      </c>
      <c r="J3482" s="9" t="n">
        <v>0.409</v>
      </c>
      <c r="K3482" s="1" t="inlineStr">
        <is>
          <t>Yes</t>
        </is>
      </c>
      <c r="L3482" s="1" t="inlineStr">
        <is>
          <t>No</t>
        </is>
      </c>
      <c r="M3482" s="1" t="inlineStr">
        <is>
          <t>No</t>
        </is>
      </c>
      <c r="N3482" s="1" t="inlineStr">
        <is>
          <t>Algorithms</t>
        </is>
      </c>
      <c r="O34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82" s="11" t="inlineStr">
        <is>
          <t>To Do</t>
        </is>
      </c>
    </row>
    <row r="3483" ht="15.75" customHeight="1" s="12">
      <c r="A3483" s="1" t="n">
        <v>2026</v>
      </c>
      <c r="B3483" s="3">
        <f>HYPERLINK("https://leetcode.com/problems/low-quality-problems/", "Low-Quality Problems")</f>
        <v/>
      </c>
      <c r="C3483" s="1" t="n">
        <v>56</v>
      </c>
      <c r="D3483" s="1" t="n">
        <v>12</v>
      </c>
      <c r="E3483" s="4">
        <f>IF(INDEX(C:C, ROW())+INDEX(D:D, ROW())=0, 0, INDEX(C:C, ROW())/(INDEX(C:C, ROW())+INDEX(D:D, ROW())))</f>
        <v/>
      </c>
      <c r="F3483" s="1" t="inlineStr">
        <is>
          <t>Database</t>
        </is>
      </c>
      <c r="G3483" s="1" t="inlineStr">
        <is>
          <t>Easy</t>
        </is>
      </c>
      <c r="H3483" s="1" t="n">
        <v>15834</v>
      </c>
      <c r="I3483" s="1" t="n">
        <v>18821</v>
      </c>
      <c r="J3483" s="9" t="n">
        <v>0.841</v>
      </c>
      <c r="K3483" s="1" t="inlineStr">
        <is>
          <t>No</t>
        </is>
      </c>
      <c r="L3483" s="1" t="inlineStr">
        <is>
          <t>No</t>
        </is>
      </c>
      <c r="M3483" s="1" t="inlineStr">
        <is>
          <t>No</t>
        </is>
      </c>
      <c r="N3483" s="1" t="inlineStr">
        <is>
          <t>Database</t>
        </is>
      </c>
      <c r="O34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83" s="11" t="inlineStr">
        <is>
          <t>To Do</t>
        </is>
      </c>
    </row>
    <row r="3484" ht="15.75" customHeight="1" s="12">
      <c r="A3484" s="1" t="n">
        <v>2431</v>
      </c>
      <c r="B3484" s="3">
        <f>HYPERLINK("https://leetcode.com/problems/maximize-total-tastiness-of-purchased-fruits/", "Maximize Total Tastiness of Purchased Fruits")</f>
        <v/>
      </c>
      <c r="C3484" s="1" t="n">
        <v>56</v>
      </c>
      <c r="D3484" s="1" t="n">
        <v>2</v>
      </c>
      <c r="E3484" s="4">
        <f>IF(INDEX(C:C, ROW())+INDEX(D:D, ROW())=0, 0, INDEX(C:C, ROW())/(INDEX(C:C, ROW())+INDEX(D:D, ROW())))</f>
        <v/>
      </c>
      <c r="F3484" s="1" t="inlineStr">
        <is>
          <t>Array, Dynamic Programming</t>
        </is>
      </c>
      <c r="G3484" s="1" t="inlineStr">
        <is>
          <t>Medium</t>
        </is>
      </c>
      <c r="H3484" s="1" t="n">
        <v>4040</v>
      </c>
      <c r="I3484" s="1" t="n">
        <v>6255</v>
      </c>
      <c r="J3484" s="9" t="n">
        <v>0.646</v>
      </c>
      <c r="K3484" s="1" t="inlineStr">
        <is>
          <t>No</t>
        </is>
      </c>
      <c r="L3484" s="1" t="inlineStr">
        <is>
          <t>No</t>
        </is>
      </c>
      <c r="M3484" s="1" t="inlineStr">
        <is>
          <t>No</t>
        </is>
      </c>
      <c r="N3484" s="1" t="inlineStr">
        <is>
          <t>Algorithms</t>
        </is>
      </c>
      <c r="O34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84" s="11" t="inlineStr">
        <is>
          <t>To Do</t>
        </is>
      </c>
    </row>
    <row r="3485" ht="15.75" customHeight="1" s="12">
      <c r="A3485" s="1" t="n">
        <v>2494</v>
      </c>
      <c r="B3485" s="3">
        <f>HYPERLINK("https://leetcode.com/problems/merge-overlapping-events-in-the-same-hall/", "Merge Overlapping Events in the Same Hall")</f>
        <v/>
      </c>
      <c r="C3485" s="1" t="n">
        <v>56</v>
      </c>
      <c r="D3485" s="1" t="n">
        <v>8</v>
      </c>
      <c r="E3485" s="4">
        <f>IF(INDEX(C:C, ROW())+INDEX(D:D, ROW())=0, 0, INDEX(C:C, ROW())/(INDEX(C:C, ROW())+INDEX(D:D, ROW())))</f>
        <v/>
      </c>
      <c r="F3485" s="1" t="inlineStr">
        <is>
          <t>Database</t>
        </is>
      </c>
      <c r="G3485" s="1" t="inlineStr">
        <is>
          <t>Hard</t>
        </is>
      </c>
      <c r="H3485" s="1" t="n">
        <v>3210</v>
      </c>
      <c r="I3485" s="1" t="n">
        <v>8569</v>
      </c>
      <c r="J3485" s="9" t="n">
        <v>0.375</v>
      </c>
      <c r="K3485" s="1" t="inlineStr">
        <is>
          <t>No</t>
        </is>
      </c>
      <c r="L3485" s="1" t="inlineStr">
        <is>
          <t>No</t>
        </is>
      </c>
      <c r="M3485" s="1" t="inlineStr">
        <is>
          <t>No</t>
        </is>
      </c>
      <c r="N3485" s="1" t="inlineStr">
        <is>
          <t>Database</t>
        </is>
      </c>
      <c r="O34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85" s="11" t="inlineStr">
        <is>
          <t>To Do</t>
        </is>
      </c>
    </row>
    <row r="3486" ht="15.75" customHeight="1" s="12">
      <c r="A3486" s="1" t="n">
        <v>3414</v>
      </c>
      <c r="B3486" s="3">
        <f>HYPERLINK("https://leetcode.com/problems/maximum-score-of-non-overlapping-intervals/", "Maximum Score of Non-overlapping Intervals")</f>
        <v/>
      </c>
      <c r="C3486" s="1" t="n">
        <v>56</v>
      </c>
      <c r="D3486" s="1" t="n">
        <v>7</v>
      </c>
      <c r="E3486" s="4">
        <f>IF(INDEX(C:C, ROW())+INDEX(D:D, ROW())=0, 0, INDEX(C:C, ROW())/(INDEX(C:C, ROW())+INDEX(D:D, ROW())))</f>
        <v/>
      </c>
      <c r="F3486" s="1" t="inlineStr">
        <is>
          <t>Array, Binary Search, Dynamic Programming, Sorting</t>
        </is>
      </c>
      <c r="G3486" s="1" t="inlineStr">
        <is>
          <t>Hard</t>
        </is>
      </c>
      <c r="H3486" s="1" t="n">
        <v>4391</v>
      </c>
      <c r="I3486" s="1" t="n">
        <v>13953</v>
      </c>
      <c r="J3486" s="9" t="n">
        <v>0.315</v>
      </c>
      <c r="K3486" s="1" t="inlineStr">
        <is>
          <t>Yes</t>
        </is>
      </c>
      <c r="L3486" s="1" t="inlineStr">
        <is>
          <t>No</t>
        </is>
      </c>
      <c r="M3486" s="1" t="inlineStr">
        <is>
          <t>No</t>
        </is>
      </c>
      <c r="N3486" s="1" t="inlineStr">
        <is>
          <t>Algorithms</t>
        </is>
      </c>
      <c r="O34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86" s="11" t="inlineStr">
        <is>
          <t>To Do</t>
        </is>
      </c>
    </row>
    <row r="3487" ht="15.75" customHeight="1" s="12">
      <c r="A3487" s="1" t="n">
        <v>3618</v>
      </c>
      <c r="B3487" s="3">
        <f>HYPERLINK("https://leetcode.com/problems/split-array-by-prime-indices/", "Split Array by Prime Indices")</f>
        <v/>
      </c>
      <c r="C3487" s="1" t="n">
        <v>56</v>
      </c>
      <c r="D3487" s="1" t="n">
        <v>3</v>
      </c>
      <c r="E3487" s="4">
        <f>IF(INDEX(C:C, ROW())+INDEX(D:D, ROW())=0, 0, INDEX(C:C, ROW())/(INDEX(C:C, ROW())+INDEX(D:D, ROW())))</f>
        <v/>
      </c>
      <c r="F3487" s="1" t="inlineStr">
        <is>
          <t>Array, Math, Number Theory</t>
        </is>
      </c>
      <c r="G3487" s="1" t="inlineStr">
        <is>
          <t>Medium</t>
        </is>
      </c>
      <c r="H3487" s="1" t="n">
        <v>37512</v>
      </c>
      <c r="I3487" s="1" t="n">
        <v>75893</v>
      </c>
      <c r="J3487" s="9" t="n">
        <v>0.494</v>
      </c>
      <c r="K3487" s="1" t="inlineStr">
        <is>
          <t>Yes</t>
        </is>
      </c>
      <c r="L3487" s="1" t="inlineStr">
        <is>
          <t>No</t>
        </is>
      </c>
      <c r="M3487" s="1" t="inlineStr">
        <is>
          <t>No</t>
        </is>
      </c>
      <c r="N3487" s="1" t="inlineStr">
        <is>
          <t>Algorithms</t>
        </is>
      </c>
      <c r="O34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87" s="11" t="inlineStr">
        <is>
          <t>To Do</t>
        </is>
      </c>
    </row>
    <row r="3488" ht="15.75" customHeight="1" s="12">
      <c r="A3488" s="1" t="n">
        <v>3684</v>
      </c>
      <c r="B3488" s="3">
        <f>HYPERLINK("https://leetcode.com/problems/maximize-sum-of-at-most-k-distinct-elements/", "Maximize Sum of At Most K Distinct Elements")</f>
        <v/>
      </c>
      <c r="C3488" s="1" t="n">
        <v>56</v>
      </c>
      <c r="D3488" s="1" t="n">
        <v>4</v>
      </c>
      <c r="E3488" s="4">
        <f>IF(INDEX(C:C, ROW())+INDEX(D:D, ROW())=0, 0, INDEX(C:C, ROW())/(INDEX(C:C, ROW())+INDEX(D:D, ROW())))</f>
        <v/>
      </c>
      <c r="F3488" s="1" t="inlineStr">
        <is>
          <t>Array, Hash Table, Greedy, Sorting</t>
        </is>
      </c>
      <c r="G3488" s="1" t="inlineStr">
        <is>
          <t>Easy</t>
        </is>
      </c>
      <c r="H3488" s="1" t="n">
        <v>64389</v>
      </c>
      <c r="I3488" s="1" t="n">
        <v>83646</v>
      </c>
      <c r="J3488" s="9" t="n">
        <v>0.77</v>
      </c>
      <c r="K3488" s="1" t="inlineStr">
        <is>
          <t>Yes</t>
        </is>
      </c>
      <c r="L3488" s="1" t="inlineStr">
        <is>
          <t>No</t>
        </is>
      </c>
      <c r="M3488" s="1" t="inlineStr">
        <is>
          <t>No</t>
        </is>
      </c>
      <c r="N3488" s="1" t="inlineStr">
        <is>
          <t>Algorithms</t>
        </is>
      </c>
      <c r="O34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88" s="13" t="inlineStr">
        <is>
          <t>Done</t>
        </is>
      </c>
    </row>
    <row r="3489" ht="15.75" customHeight="1" s="12">
      <c r="A3489" s="1" t="n">
        <v>3823</v>
      </c>
      <c r="B3489" s="3">
        <f>HYPERLINK("https://leetcode.com/problems/reverse-letters-then-special-characters-in-a-string/", "Reverse Letters Then Special Characters in a String")</f>
        <v/>
      </c>
      <c r="C3489" s="1" t="n">
        <v>56</v>
      </c>
      <c r="D3489" s="1" t="n">
        <v>4</v>
      </c>
      <c r="E3489" s="4">
        <f>IF(INDEX(C:C, ROW())+INDEX(D:D, ROW())=0, 0, INDEX(C:C, ROW())/(INDEX(C:C, ROW())+INDEX(D:D, ROW())))</f>
        <v/>
      </c>
      <c r="F3489" s="1" t="inlineStr">
        <is>
          <t>Two Pointers, String, Simulation</t>
        </is>
      </c>
      <c r="G3489" s="1" t="inlineStr">
        <is>
          <t>Easy</t>
        </is>
      </c>
      <c r="H3489" s="1" t="n">
        <v>53627</v>
      </c>
      <c r="I3489" s="1" t="n">
        <v>65386</v>
      </c>
      <c r="J3489" s="9" t="n">
        <v>0.82</v>
      </c>
      <c r="K3489" s="1" t="inlineStr">
        <is>
          <t>Yes</t>
        </is>
      </c>
      <c r="L3489" s="1" t="inlineStr">
        <is>
          <t>No</t>
        </is>
      </c>
      <c r="M3489" s="1" t="inlineStr">
        <is>
          <t>No</t>
        </is>
      </c>
      <c r="N3489" s="1" t="inlineStr">
        <is>
          <t>Algorithms</t>
        </is>
      </c>
      <c r="O34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89" s="13" t="inlineStr">
        <is>
          <t>Done</t>
        </is>
      </c>
    </row>
    <row r="3490" ht="15.75" customHeight="1" s="12">
      <c r="A3490" s="1" t="n">
        <v>3841</v>
      </c>
      <c r="B3490" s="3">
        <f>HYPERLINK("https://leetcode.com/problems/palindromic-path-queries-in-a-tree/", "Palindromic Path Queries in a Tree")</f>
        <v/>
      </c>
      <c r="C3490" s="1" t="n">
        <v>56</v>
      </c>
      <c r="D3490" s="1" t="n">
        <v>2</v>
      </c>
      <c r="E3490" s="4">
        <f>IF(INDEX(C:C, ROW())+INDEX(D:D, ROW())=0, 0, INDEX(C:C, ROW())/(INDEX(C:C, ROW())+INDEX(D:D, ROW())))</f>
        <v/>
      </c>
      <c r="F3490" s="1" t="inlineStr">
        <is>
          <t>Array, String, Divide and Conquer, Tree, Segment Tree</t>
        </is>
      </c>
      <c r="G3490" s="1" t="inlineStr">
        <is>
          <t>Hard</t>
        </is>
      </c>
      <c r="H3490" s="1" t="n">
        <v>3767</v>
      </c>
      <c r="I3490" s="1" t="n">
        <v>10544</v>
      </c>
      <c r="J3490" s="9" t="n">
        <v>0.357</v>
      </c>
      <c r="K3490" s="1" t="inlineStr">
        <is>
          <t>Yes</t>
        </is>
      </c>
      <c r="L3490" s="1" t="inlineStr">
        <is>
          <t>No</t>
        </is>
      </c>
      <c r="M3490" s="1" t="inlineStr">
        <is>
          <t>No</t>
        </is>
      </c>
      <c r="N3490" s="1" t="inlineStr">
        <is>
          <t>Algorithms</t>
        </is>
      </c>
      <c r="O34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90" s="11" t="inlineStr">
        <is>
          <t>To Do</t>
        </is>
      </c>
    </row>
    <row r="3491" ht="15.75" customHeight="1" s="12">
      <c r="A3491" s="1" t="n">
        <v>3882</v>
      </c>
      <c r="B3491" s="3">
        <f>HYPERLINK("https://leetcode.com/problems/minimum-xor-path-in-a-grid/", "Minimum XOR Path in a Grid")</f>
        <v/>
      </c>
      <c r="C3491" s="1" t="n">
        <v>56</v>
      </c>
      <c r="D3491" s="1" t="n">
        <v>5</v>
      </c>
      <c r="E3491" s="4">
        <f>IF(INDEX(C:C, ROW())+INDEX(D:D, ROW())=0, 0, INDEX(C:C, ROW())/(INDEX(C:C, ROW())+INDEX(D:D, ROW())))</f>
        <v/>
      </c>
      <c r="F3491" s="1" t="inlineStr">
        <is>
          <t>Array, Dynamic Programming, Bit Manipulation, Matrix</t>
        </is>
      </c>
      <c r="G3491" s="1" t="inlineStr">
        <is>
          <t>Medium</t>
        </is>
      </c>
      <c r="H3491" s="1" t="n">
        <v>15899</v>
      </c>
      <c r="I3491" s="1" t="n">
        <v>40165</v>
      </c>
      <c r="J3491" s="9" t="n">
        <v>0.396</v>
      </c>
      <c r="K3491" s="1" t="inlineStr">
        <is>
          <t>Yes</t>
        </is>
      </c>
      <c r="L3491" s="1" t="inlineStr">
        <is>
          <t>No</t>
        </is>
      </c>
      <c r="M3491" s="1" t="inlineStr">
        <is>
          <t>No</t>
        </is>
      </c>
      <c r="N3491" s="1" t="inlineStr">
        <is>
          <t>Algorithms</t>
        </is>
      </c>
      <c r="O34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91" s="11" t="inlineStr">
        <is>
          <t>To Do</t>
        </is>
      </c>
    </row>
    <row r="3492" ht="15.75" customHeight="1" s="12">
      <c r="A3492" s="1" t="n">
        <v>2015</v>
      </c>
      <c r="B3492" s="3">
        <f>HYPERLINK("https://leetcode.com/problems/average-height-of-buildings-in-each-segment/", "Average Height of Buildings in Each Segment")</f>
        <v/>
      </c>
      <c r="C3492" s="1" t="n">
        <v>55</v>
      </c>
      <c r="D3492" s="1" t="n">
        <v>29</v>
      </c>
      <c r="E3492" s="4">
        <f>IF(INDEX(C:C, ROW())+INDEX(D:D, ROW())=0, 0, INDEX(C:C, ROW())/(INDEX(C:C, ROW())+INDEX(D:D, ROW())))</f>
        <v/>
      </c>
      <c r="F3492" s="1" t="inlineStr">
        <is>
          <t>Array, Sorting, Heap (Priority Queue), Prefix Sum</t>
        </is>
      </c>
      <c r="G3492" s="1" t="inlineStr">
        <is>
          <t>Medium</t>
        </is>
      </c>
      <c r="H3492" s="1" t="n">
        <v>2754</v>
      </c>
      <c r="I3492" s="1" t="n">
        <v>4702</v>
      </c>
      <c r="J3492" s="9" t="n">
        <v>0.586</v>
      </c>
      <c r="K3492" s="1" t="inlineStr">
        <is>
          <t>No</t>
        </is>
      </c>
      <c r="L3492" s="1" t="inlineStr">
        <is>
          <t>No</t>
        </is>
      </c>
      <c r="M3492" s="1" t="inlineStr">
        <is>
          <t>No</t>
        </is>
      </c>
      <c r="N3492" s="1" t="inlineStr">
        <is>
          <t>Algorithms</t>
        </is>
      </c>
      <c r="O34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92" s="11" t="inlineStr">
        <is>
          <t>To Do</t>
        </is>
      </c>
    </row>
    <row r="3493" ht="15.75" customHeight="1" s="12">
      <c r="A3493" s="1" t="n">
        <v>2489</v>
      </c>
      <c r="B3493" s="3">
        <f>HYPERLINK("https://leetcode.com/problems/number-of-substrings-with-fixed-ratio/", "Number of Substrings With Fixed Ratio")</f>
        <v/>
      </c>
      <c r="C3493" s="1" t="n">
        <v>55</v>
      </c>
      <c r="D3493" s="1" t="n">
        <v>3</v>
      </c>
      <c r="E3493" s="4">
        <f>IF(INDEX(C:C, ROW())+INDEX(D:D, ROW())=0, 0, INDEX(C:C, ROW())/(INDEX(C:C, ROW())+INDEX(D:D, ROW())))</f>
        <v/>
      </c>
      <c r="F3493" s="1" t="inlineStr">
        <is>
          <t>Hash Table, Math, String, Prefix Sum</t>
        </is>
      </c>
      <c r="G3493" s="1" t="inlineStr">
        <is>
          <t>Medium</t>
        </is>
      </c>
      <c r="H3493" s="1" t="n">
        <v>1728</v>
      </c>
      <c r="I3493" s="1" t="n">
        <v>3033</v>
      </c>
      <c r="J3493" s="9" t="n">
        <v>0.57</v>
      </c>
      <c r="K3493" s="1" t="inlineStr">
        <is>
          <t>No</t>
        </is>
      </c>
      <c r="L3493" s="1" t="inlineStr">
        <is>
          <t>No</t>
        </is>
      </c>
      <c r="M3493" s="1" t="inlineStr">
        <is>
          <t>No</t>
        </is>
      </c>
      <c r="N3493" s="1" t="inlineStr">
        <is>
          <t>Algorithms</t>
        </is>
      </c>
      <c r="O34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93" s="11" t="inlineStr">
        <is>
          <t>To Do</t>
        </is>
      </c>
    </row>
    <row r="3494" ht="15.75" customHeight="1" s="12">
      <c r="A3494" s="1" t="n">
        <v>2505</v>
      </c>
      <c r="B3494" s="3">
        <f>HYPERLINK("https://leetcode.com/problems/bitwise-or-of-all-subsequence-sums/", "Bitwise OR of All Subsequence Sums")</f>
        <v/>
      </c>
      <c r="C3494" s="1" t="n">
        <v>55</v>
      </c>
      <c r="D3494" s="1" t="n">
        <v>17</v>
      </c>
      <c r="E3494" s="4">
        <f>IF(INDEX(C:C, ROW())+INDEX(D:D, ROW())=0, 0, INDEX(C:C, ROW())/(INDEX(C:C, ROW())+INDEX(D:D, ROW())))</f>
        <v/>
      </c>
      <c r="F3494" s="1" t="inlineStr">
        <is>
          <t>Array, Math, Bit Manipulation, Brainteaser, Prefix Sum</t>
        </is>
      </c>
      <c r="G3494" s="1" t="inlineStr">
        <is>
          <t>Medium</t>
        </is>
      </c>
      <c r="H3494" s="1" t="n">
        <v>4460</v>
      </c>
      <c r="I3494" s="1" t="n">
        <v>6965</v>
      </c>
      <c r="J3494" s="9" t="n">
        <v>0.64</v>
      </c>
      <c r="K3494" s="1" t="inlineStr">
        <is>
          <t>No</t>
        </is>
      </c>
      <c r="L3494" s="1" t="inlineStr">
        <is>
          <t>No</t>
        </is>
      </c>
      <c r="M3494" s="1" t="inlineStr">
        <is>
          <t>No</t>
        </is>
      </c>
      <c r="N3494" s="1" t="inlineStr">
        <is>
          <t>Algorithms</t>
        </is>
      </c>
      <c r="O34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94" s="11" t="inlineStr">
        <is>
          <t>To Do</t>
        </is>
      </c>
    </row>
    <row r="3495" ht="15.75" customHeight="1" s="12">
      <c r="A3495" s="1" t="n">
        <v>3547</v>
      </c>
      <c r="B3495" s="3">
        <f>HYPERLINK("https://leetcode.com/problems/maximum-sum-of-edge-values-in-a-graph/", "Maximum Sum of Edge Values in a Graph")</f>
        <v/>
      </c>
      <c r="C3495" s="1" t="n">
        <v>55</v>
      </c>
      <c r="D3495" s="1" t="n">
        <v>32</v>
      </c>
      <c r="E3495" s="4">
        <f>IF(INDEX(C:C, ROW())+INDEX(D:D, ROW())=0, 0, INDEX(C:C, ROW())/(INDEX(C:C, ROW())+INDEX(D:D, ROW())))</f>
        <v/>
      </c>
      <c r="F3495" s="1" t="inlineStr">
        <is>
          <t>Math, Greedy, Graph Theory</t>
        </is>
      </c>
      <c r="G3495" s="1" t="inlineStr">
        <is>
          <t>Hard</t>
        </is>
      </c>
      <c r="H3495" s="1" t="n">
        <v>6888</v>
      </c>
      <c r="I3495" s="1" t="n">
        <v>18923</v>
      </c>
      <c r="J3495" s="9" t="n">
        <v>0.364</v>
      </c>
      <c r="K3495" s="1" t="inlineStr">
        <is>
          <t>Yes</t>
        </is>
      </c>
      <c r="L3495" s="1" t="inlineStr">
        <is>
          <t>No</t>
        </is>
      </c>
      <c r="M3495" s="1" t="inlineStr">
        <is>
          <t>No</t>
        </is>
      </c>
      <c r="N3495" s="1" t="inlineStr">
        <is>
          <t>Algorithms</t>
        </is>
      </c>
      <c r="O34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95" s="11" t="inlineStr">
        <is>
          <t>To Do</t>
        </is>
      </c>
    </row>
    <row r="3496" ht="15.75" customHeight="1" s="12">
      <c r="A3496" s="1" t="n">
        <v>3575</v>
      </c>
      <c r="B3496" s="3">
        <f>HYPERLINK("https://leetcode.com/problems/maximum-good-subtree-score/", "Maximum Good Subtree Score")</f>
        <v/>
      </c>
      <c r="C3496" s="1" t="n">
        <v>55</v>
      </c>
      <c r="D3496" s="1" t="n">
        <v>8</v>
      </c>
      <c r="E3496" s="4">
        <f>IF(INDEX(C:C, ROW())+INDEX(D:D, ROW())=0, 0, INDEX(C:C, ROW())/(INDEX(C:C, ROW())+INDEX(D:D, ROW())))</f>
        <v/>
      </c>
      <c r="F3496" s="1" t="inlineStr">
        <is>
          <t>Array, Dynamic Programming, Bit Manipulation, Tree, Depth-First Search, Bitmask</t>
        </is>
      </c>
      <c r="G3496" s="1" t="inlineStr">
        <is>
          <t>Hard</t>
        </is>
      </c>
      <c r="H3496" s="1" t="n">
        <v>4814</v>
      </c>
      <c r="I3496" s="1" t="n">
        <v>10602</v>
      </c>
      <c r="J3496" s="9" t="n">
        <v>0.454</v>
      </c>
      <c r="K3496" s="1" t="inlineStr">
        <is>
          <t>Yes</t>
        </is>
      </c>
      <c r="L3496" s="1" t="inlineStr">
        <is>
          <t>No</t>
        </is>
      </c>
      <c r="M3496" s="1" t="inlineStr">
        <is>
          <t>No</t>
        </is>
      </c>
      <c r="N3496" s="1" t="inlineStr">
        <is>
          <t>Algorithms</t>
        </is>
      </c>
      <c r="O34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96" s="11" t="inlineStr">
        <is>
          <t>To Do</t>
        </is>
      </c>
    </row>
    <row r="3497" ht="15.75" customHeight="1" s="12">
      <c r="A3497" s="1" t="n">
        <v>3622</v>
      </c>
      <c r="B3497" s="3">
        <f>HYPERLINK("https://leetcode.com/problems/check-divisibility-by-digit-sum-and-product/", "Check Divisibility by Digit Sum and Product")</f>
        <v/>
      </c>
      <c r="C3497" s="1" t="n">
        <v>55</v>
      </c>
      <c r="D3497" s="1" t="n">
        <v>0</v>
      </c>
      <c r="E3497" s="4">
        <f>IF(INDEX(C:C, ROW())+INDEX(D:D, ROW())=0, 0, INDEX(C:C, ROW())/(INDEX(C:C, ROW())+INDEX(D:D, ROW())))</f>
        <v/>
      </c>
      <c r="F3497" s="1" t="inlineStr">
        <is>
          <t>Math</t>
        </is>
      </c>
      <c r="G3497" s="1" t="inlineStr">
        <is>
          <t>Easy</t>
        </is>
      </c>
      <c r="H3497" s="1" t="n">
        <v>73510</v>
      </c>
      <c r="I3497" s="1" t="n">
        <v>105644</v>
      </c>
      <c r="J3497" s="9" t="n">
        <v>0.696</v>
      </c>
      <c r="K3497" s="1" t="inlineStr">
        <is>
          <t>Yes</t>
        </is>
      </c>
      <c r="L3497" s="1" t="inlineStr">
        <is>
          <t>No</t>
        </is>
      </c>
      <c r="M3497" s="1" t="inlineStr">
        <is>
          <t>No</t>
        </is>
      </c>
      <c r="N3497" s="1" t="inlineStr">
        <is>
          <t>Algorithms</t>
        </is>
      </c>
      <c r="O34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97" s="13" t="inlineStr">
        <is>
          <t>Done</t>
        </is>
      </c>
    </row>
    <row r="3498" ht="15.75" customHeight="1" s="12">
      <c r="A3498" s="1" t="n">
        <v>3692</v>
      </c>
      <c r="B3498" s="3">
        <f>HYPERLINK("https://leetcode.com/problems/majority-frequency-characters/", "Majority Frequency Characters")</f>
        <v/>
      </c>
      <c r="C3498" s="1" t="n">
        <v>55</v>
      </c>
      <c r="D3498" s="1" t="n">
        <v>15</v>
      </c>
      <c r="E3498" s="4">
        <f>IF(INDEX(C:C, ROW())+INDEX(D:D, ROW())=0, 0, INDEX(C:C, ROW())/(INDEX(C:C, ROW())+INDEX(D:D, ROW())))</f>
        <v/>
      </c>
      <c r="F3498" s="1" t="inlineStr">
        <is>
          <t>Hash Table, String, Counting</t>
        </is>
      </c>
      <c r="G3498" s="1" t="inlineStr">
        <is>
          <t>Easy</t>
        </is>
      </c>
      <c r="H3498" s="1" t="n">
        <v>30741</v>
      </c>
      <c r="I3498" s="1" t="n">
        <v>45800</v>
      </c>
      <c r="J3498" s="9" t="n">
        <v>0.671</v>
      </c>
      <c r="K3498" s="1" t="inlineStr">
        <is>
          <t>Yes</t>
        </is>
      </c>
      <c r="L3498" s="1" t="inlineStr">
        <is>
          <t>No</t>
        </is>
      </c>
      <c r="M3498" s="1" t="inlineStr">
        <is>
          <t>No</t>
        </is>
      </c>
      <c r="N3498" s="1" t="inlineStr">
        <is>
          <t>Algorithms</t>
        </is>
      </c>
      <c r="O34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98" s="13" t="inlineStr">
        <is>
          <t>Done</t>
        </is>
      </c>
    </row>
    <row r="3499" ht="15.75" customHeight="1" s="12">
      <c r="A3499" s="1" t="n">
        <v>3818</v>
      </c>
      <c r="B3499" s="3">
        <f>HYPERLINK("https://leetcode.com/problems/minimum-prefix-removal-to-make-array-strictly-increasing/", "Minimum Prefix Removal to Make Array Strictly Increasing")</f>
        <v/>
      </c>
      <c r="C3499" s="1" t="n">
        <v>55</v>
      </c>
      <c r="D3499" s="1" t="n">
        <v>7</v>
      </c>
      <c r="E3499" s="4">
        <f>IF(INDEX(C:C, ROW())+INDEX(D:D, ROW())=0, 0, INDEX(C:C, ROW())/(INDEX(C:C, ROW())+INDEX(D:D, ROW())))</f>
        <v/>
      </c>
      <c r="F3499" s="1" t="inlineStr">
        <is>
          <t>Array</t>
        </is>
      </c>
      <c r="G3499" s="1" t="inlineStr">
        <is>
          <t>Medium</t>
        </is>
      </c>
      <c r="H3499" s="1" t="n">
        <v>51869</v>
      </c>
      <c r="I3499" s="1" t="n">
        <v>70202</v>
      </c>
      <c r="J3499" s="9" t="n">
        <v>0.739</v>
      </c>
      <c r="K3499" s="1" t="inlineStr">
        <is>
          <t>Yes</t>
        </is>
      </c>
      <c r="L3499" s="1" t="inlineStr">
        <is>
          <t>No</t>
        </is>
      </c>
      <c r="M3499" s="1" t="inlineStr">
        <is>
          <t>No</t>
        </is>
      </c>
      <c r="N3499" s="1" t="inlineStr">
        <is>
          <t>Algorithms</t>
        </is>
      </c>
      <c r="O34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499" s="11" t="inlineStr">
        <is>
          <t>To Do</t>
        </is>
      </c>
    </row>
    <row r="3500" ht="15.75" customHeight="1" s="12">
      <c r="A3500" s="1" t="n">
        <v>3829</v>
      </c>
      <c r="B3500" s="3">
        <f>HYPERLINK("https://leetcode.com/problems/design-ride-sharing-system/", "Design Ride Sharing System")</f>
        <v/>
      </c>
      <c r="C3500" s="1" t="n">
        <v>55</v>
      </c>
      <c r="D3500" s="1" t="n">
        <v>5</v>
      </c>
      <c r="E3500" s="4">
        <f>IF(INDEX(C:C, ROW())+INDEX(D:D, ROW())=0, 0, INDEX(C:C, ROW())/(INDEX(C:C, ROW())+INDEX(D:D, ROW())))</f>
        <v/>
      </c>
      <c r="F3500" s="1" t="inlineStr">
        <is>
          <t>Hash Table, Design, Queue, Data Stream</t>
        </is>
      </c>
      <c r="G3500" s="1" t="inlineStr">
        <is>
          <t>Medium</t>
        </is>
      </c>
      <c r="H3500" s="1" t="n">
        <v>29317</v>
      </c>
      <c r="I3500" s="1" t="n">
        <v>46295</v>
      </c>
      <c r="J3500" s="9" t="n">
        <v>0.633</v>
      </c>
      <c r="K3500" s="1" t="inlineStr">
        <is>
          <t>Yes</t>
        </is>
      </c>
      <c r="L3500" s="1" t="inlineStr">
        <is>
          <t>No</t>
        </is>
      </c>
      <c r="M3500" s="1" t="inlineStr">
        <is>
          <t>No</t>
        </is>
      </c>
      <c r="N3500" s="1" t="inlineStr">
        <is>
          <t>Algorithms</t>
        </is>
      </c>
      <c r="O35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00" s="11" t="inlineStr">
        <is>
          <t>To Do</t>
        </is>
      </c>
    </row>
    <row r="3501" ht="15.75" customHeight="1" s="12">
      <c r="A3501" s="1" t="n">
        <v>1500</v>
      </c>
      <c r="B3501" s="3">
        <f>HYPERLINK("https://leetcode.com/problems/design-a-file-sharing-system/", "Design a File Sharing System")</f>
        <v/>
      </c>
      <c r="C3501" s="1" t="n">
        <v>54</v>
      </c>
      <c r="D3501" s="1" t="n">
        <v>132</v>
      </c>
      <c r="E3501" s="4">
        <f>IF(INDEX(C:C, ROW())+INDEX(D:D, ROW())=0, 0, INDEX(C:C, ROW())/(INDEX(C:C, ROW())+INDEX(D:D, ROW())))</f>
        <v/>
      </c>
      <c r="F3501" s="1" t="inlineStr">
        <is>
          <t>Hash Table, Design, Sorting, Heap (Priority Queue), Data Stream</t>
        </is>
      </c>
      <c r="G3501" s="1" t="inlineStr">
        <is>
          <t>Medium</t>
        </is>
      </c>
      <c r="H3501" s="1" t="n">
        <v>6844</v>
      </c>
      <c r="I3501" s="1" t="n">
        <v>16397</v>
      </c>
      <c r="J3501" s="9" t="n">
        <v>0.417</v>
      </c>
      <c r="K3501" s="1" t="inlineStr">
        <is>
          <t>No</t>
        </is>
      </c>
      <c r="L3501" s="1" t="inlineStr">
        <is>
          <t>No</t>
        </is>
      </c>
      <c r="M3501" s="1" t="inlineStr">
        <is>
          <t>No</t>
        </is>
      </c>
      <c r="N3501" s="1" t="inlineStr">
        <is>
          <t>Algorithms</t>
        </is>
      </c>
      <c r="O35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01" s="11" t="inlineStr">
        <is>
          <t>To Do</t>
        </is>
      </c>
    </row>
    <row r="3502" ht="15.75" customHeight="1" s="12">
      <c r="A3502" s="1" t="n">
        <v>2123</v>
      </c>
      <c r="B3502" s="3">
        <f>HYPERLINK("https://leetcode.com/problems/minimum-operations-to-remove-adjacent-ones-in-matrix/", "Minimum Operations to Remove Adjacent Ones in Matrix")</f>
        <v/>
      </c>
      <c r="C3502" s="1" t="n">
        <v>54</v>
      </c>
      <c r="D3502" s="1" t="n">
        <v>13</v>
      </c>
      <c r="E3502" s="4">
        <f>IF(INDEX(C:C, ROW())+INDEX(D:D, ROW())=0, 0, INDEX(C:C, ROW())/(INDEX(C:C, ROW())+INDEX(D:D, ROW())))</f>
        <v/>
      </c>
      <c r="F3502" s="1" t="inlineStr">
        <is>
          <t>Array, Graph Theory, Matrix</t>
        </is>
      </c>
      <c r="G3502" s="1" t="inlineStr">
        <is>
          <t>Hard</t>
        </is>
      </c>
      <c r="H3502" s="1" t="n">
        <v>1332</v>
      </c>
      <c r="I3502" s="1" t="n">
        <v>3089</v>
      </c>
      <c r="J3502" s="9" t="n">
        <v>0.431</v>
      </c>
      <c r="K3502" s="1" t="inlineStr">
        <is>
          <t>No</t>
        </is>
      </c>
      <c r="L3502" s="1" t="inlineStr">
        <is>
          <t>No</t>
        </is>
      </c>
      <c r="M3502" s="1" t="inlineStr">
        <is>
          <t>No</t>
        </is>
      </c>
      <c r="N3502" s="1" t="inlineStr">
        <is>
          <t>Algorithms</t>
        </is>
      </c>
      <c r="O35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02" s="11" t="inlineStr">
        <is>
          <t>To Do</t>
        </is>
      </c>
    </row>
    <row r="3503" ht="15.75" customHeight="1" s="12">
      <c r="A3503" s="1" t="n">
        <v>2495</v>
      </c>
      <c r="B3503" s="3">
        <f>HYPERLINK("https://leetcode.com/problems/number-of-subarrays-having-even-product/", "Number of Subarrays Having Even Product")</f>
        <v/>
      </c>
      <c r="C3503" s="1" t="n">
        <v>54</v>
      </c>
      <c r="D3503" s="1" t="n">
        <v>5</v>
      </c>
      <c r="E3503" s="4">
        <f>IF(INDEX(C:C, ROW())+INDEX(D:D, ROW())=0, 0, INDEX(C:C, ROW())/(INDEX(C:C, ROW())+INDEX(D:D, ROW())))</f>
        <v/>
      </c>
      <c r="F3503" s="1" t="inlineStr">
        <is>
          <t>Array, Math, Dynamic Programming</t>
        </is>
      </c>
      <c r="G3503" s="1" t="inlineStr">
        <is>
          <t>Medium</t>
        </is>
      </c>
      <c r="H3503" s="1" t="n">
        <v>2828</v>
      </c>
      <c r="I3503" s="1" t="n">
        <v>4476</v>
      </c>
      <c r="J3503" s="9" t="n">
        <v>0.632</v>
      </c>
      <c r="K3503" s="1" t="inlineStr">
        <is>
          <t>No</t>
        </is>
      </c>
      <c r="L3503" s="1" t="inlineStr">
        <is>
          <t>No</t>
        </is>
      </c>
      <c r="M3503" s="1" t="inlineStr">
        <is>
          <t>No</t>
        </is>
      </c>
      <c r="N3503" s="1" t="inlineStr">
        <is>
          <t>Algorithms</t>
        </is>
      </c>
      <c r="O35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03" s="11" t="inlineStr">
        <is>
          <t>To Do</t>
        </is>
      </c>
    </row>
    <row r="3504" ht="15.75" customHeight="1" s="12">
      <c r="A3504" s="1" t="n">
        <v>3490</v>
      </c>
      <c r="B3504" s="3">
        <f>HYPERLINK("https://leetcode.com/problems/count-beautiful-numbers/", "Count Beautiful Numbers")</f>
        <v/>
      </c>
      <c r="C3504" s="1" t="n">
        <v>54</v>
      </c>
      <c r="D3504" s="1" t="n">
        <v>3</v>
      </c>
      <c r="E3504" s="4">
        <f>IF(INDEX(C:C, ROW())+INDEX(D:D, ROW())=0, 0, INDEX(C:C, ROW())/(INDEX(C:C, ROW())+INDEX(D:D, ROW())))</f>
        <v/>
      </c>
      <c r="F3504" s="1" t="inlineStr">
        <is>
          <t>Dynamic Programming</t>
        </is>
      </c>
      <c r="G3504" s="1" t="inlineStr">
        <is>
          <t>Hard</t>
        </is>
      </c>
      <c r="H3504" s="1" t="n">
        <v>5595</v>
      </c>
      <c r="I3504" s="1" t="n">
        <v>23482</v>
      </c>
      <c r="J3504" s="9" t="n">
        <v>0.238</v>
      </c>
      <c r="K3504" s="1" t="inlineStr">
        <is>
          <t>Yes</t>
        </is>
      </c>
      <c r="L3504" s="1" t="inlineStr">
        <is>
          <t>No</t>
        </is>
      </c>
      <c r="M3504" s="1" t="inlineStr">
        <is>
          <t>No</t>
        </is>
      </c>
      <c r="N3504" s="1" t="inlineStr">
        <is>
          <t>Algorithms</t>
        </is>
      </c>
      <c r="O35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04" s="11" t="inlineStr">
        <is>
          <t>To Do</t>
        </is>
      </c>
    </row>
    <row r="3505" ht="15.75" customHeight="1" s="12">
      <c r="A3505" s="1" t="n">
        <v>3553</v>
      </c>
      <c r="B3505" s="3">
        <f>HYPERLINK("https://leetcode.com/problems/minimum-weighted-subgraph-with-the-required-paths-ii/", "Minimum Weighted Subgraph With the Required Paths II")</f>
        <v/>
      </c>
      <c r="C3505" s="1" t="n">
        <v>54</v>
      </c>
      <c r="D3505" s="1" t="n">
        <v>4</v>
      </c>
      <c r="E3505" s="4">
        <f>IF(INDEX(C:C, ROW())+INDEX(D:D, ROW())=0, 0, INDEX(C:C, ROW())/(INDEX(C:C, ROW())+INDEX(D:D, ROW())))</f>
        <v/>
      </c>
      <c r="F3505" s="1" t="inlineStr">
        <is>
          <t>Array, Dynamic Programming, Bit Manipulation, Tree, Depth-First Search</t>
        </is>
      </c>
      <c r="G3505" s="1" t="inlineStr">
        <is>
          <t>Hard</t>
        </is>
      </c>
      <c r="H3505" s="1" t="n">
        <v>4678</v>
      </c>
      <c r="I3505" s="1" t="n">
        <v>9357</v>
      </c>
      <c r="J3505" s="9" t="n">
        <v>0.5</v>
      </c>
      <c r="K3505" s="1" t="inlineStr">
        <is>
          <t>Yes</t>
        </is>
      </c>
      <c r="L3505" s="1" t="inlineStr">
        <is>
          <t>No</t>
        </is>
      </c>
      <c r="M3505" s="1" t="inlineStr">
        <is>
          <t>No</t>
        </is>
      </c>
      <c r="N3505" s="1" t="inlineStr">
        <is>
          <t>Algorithms</t>
        </is>
      </c>
      <c r="O35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05" s="11" t="inlineStr">
        <is>
          <t>To Do</t>
        </is>
      </c>
    </row>
    <row r="3506" ht="15.75" customHeight="1" s="12">
      <c r="A3506" s="1" t="n">
        <v>3689</v>
      </c>
      <c r="B3506" s="3">
        <f>HYPERLINK("https://leetcode.com/problems/maximum-total-subarray-value-i/", "Maximum Total Subarray Value I")</f>
        <v/>
      </c>
      <c r="C3506" s="1" t="n">
        <v>54</v>
      </c>
      <c r="D3506" s="1" t="n">
        <v>21</v>
      </c>
      <c r="E3506" s="4">
        <f>IF(INDEX(C:C, ROW())+INDEX(D:D, ROW())=0, 0, INDEX(C:C, ROW())/(INDEX(C:C, ROW())+INDEX(D:D, ROW())))</f>
        <v/>
      </c>
      <c r="F3506" s="1" t="inlineStr">
        <is>
          <t>Array, Greedy</t>
        </is>
      </c>
      <c r="G3506" s="1" t="inlineStr">
        <is>
          <t>Medium</t>
        </is>
      </c>
      <c r="H3506" s="1" t="n">
        <v>53903</v>
      </c>
      <c r="I3506" s="1" t="n">
        <v>83675</v>
      </c>
      <c r="J3506" s="9" t="n">
        <v>0.644</v>
      </c>
      <c r="K3506" s="1" t="inlineStr">
        <is>
          <t>Yes</t>
        </is>
      </c>
      <c r="L3506" s="1" t="inlineStr">
        <is>
          <t>No</t>
        </is>
      </c>
      <c r="M3506" s="1" t="inlineStr">
        <is>
          <t>No</t>
        </is>
      </c>
      <c r="N3506" s="1" t="inlineStr">
        <is>
          <t>Algorithms</t>
        </is>
      </c>
      <c r="O35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06" s="11" t="inlineStr">
        <is>
          <t>To Do</t>
        </is>
      </c>
    </row>
    <row r="3507" ht="15.75" customHeight="1" s="12">
      <c r="A3507" s="1" t="n">
        <v>3704</v>
      </c>
      <c r="B3507" s="3">
        <f>HYPERLINK("https://leetcode.com/problems/count-no-zero-pairs-that-sum-to-n/", "Count No-Zero Pairs That Sum to N")</f>
        <v/>
      </c>
      <c r="C3507" s="1" t="n">
        <v>54</v>
      </c>
      <c r="D3507" s="1" t="n">
        <v>3</v>
      </c>
      <c r="E3507" s="4">
        <f>IF(INDEX(C:C, ROW())+INDEX(D:D, ROW())=0, 0, INDEX(C:C, ROW())/(INDEX(C:C, ROW())+INDEX(D:D, ROW())))</f>
        <v/>
      </c>
      <c r="F3507" s="1" t="inlineStr">
        <is>
          <t>Math, Dynamic Programming</t>
        </is>
      </c>
      <c r="G3507" s="1" t="inlineStr">
        <is>
          <t>Hard</t>
        </is>
      </c>
      <c r="H3507" s="1" t="n">
        <v>5335</v>
      </c>
      <c r="I3507" s="1" t="n">
        <v>36531</v>
      </c>
      <c r="J3507" s="9" t="n">
        <v>0.146</v>
      </c>
      <c r="K3507" s="1" t="inlineStr">
        <is>
          <t>Yes</t>
        </is>
      </c>
      <c r="L3507" s="1" t="inlineStr">
        <is>
          <t>No</t>
        </is>
      </c>
      <c r="M3507" s="1" t="inlineStr">
        <is>
          <t>No</t>
        </is>
      </c>
      <c r="N3507" s="1" t="inlineStr">
        <is>
          <t>Algorithms</t>
        </is>
      </c>
      <c r="O35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07" s="11" t="inlineStr">
        <is>
          <t>To Do</t>
        </is>
      </c>
    </row>
    <row r="3508" ht="15.75" customHeight="1" s="12">
      <c r="A3508" s="1" t="n">
        <v>3708</v>
      </c>
      <c r="B3508" s="3">
        <f>HYPERLINK("https://leetcode.com/problems/longest-fibonacci-subarray/", "Longest Fibonacci Subarray")</f>
        <v/>
      </c>
      <c r="C3508" s="1" t="n">
        <v>54</v>
      </c>
      <c r="D3508" s="1" t="n">
        <v>2</v>
      </c>
      <c r="E3508" s="4">
        <f>IF(INDEX(C:C, ROW())+INDEX(D:D, ROW())=0, 0, INDEX(C:C, ROW())/(INDEX(C:C, ROW())+INDEX(D:D, ROW())))</f>
        <v/>
      </c>
      <c r="F3508" s="1" t="inlineStr">
        <is>
          <t>Array</t>
        </is>
      </c>
      <c r="G3508" s="1" t="inlineStr">
        <is>
          <t>Medium</t>
        </is>
      </c>
      <c r="H3508" s="1" t="n">
        <v>33183</v>
      </c>
      <c r="I3508" s="1" t="n">
        <v>47734</v>
      </c>
      <c r="J3508" s="9" t="n">
        <v>0.695</v>
      </c>
      <c r="K3508" s="1" t="inlineStr">
        <is>
          <t>Yes</t>
        </is>
      </c>
      <c r="L3508" s="1" t="inlineStr">
        <is>
          <t>No</t>
        </is>
      </c>
      <c r="M3508" s="1" t="inlineStr">
        <is>
          <t>No</t>
        </is>
      </c>
      <c r="N3508" s="1" t="inlineStr">
        <is>
          <t>Algorithms</t>
        </is>
      </c>
      <c r="O35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08" s="11" t="inlineStr">
        <is>
          <t>To Do</t>
        </is>
      </c>
    </row>
    <row r="3509" ht="15.75" customHeight="1" s="12">
      <c r="A3509" s="1" t="n">
        <v>3827</v>
      </c>
      <c r="B3509" s="3">
        <f>HYPERLINK("https://leetcode.com/problems/count-monobit-integers/", "Count Monobit Integers")</f>
        <v/>
      </c>
      <c r="C3509" s="1" t="n">
        <v>54</v>
      </c>
      <c r="D3509" s="1" t="n">
        <v>1</v>
      </c>
      <c r="E3509" s="4">
        <f>IF(INDEX(C:C, ROW())+INDEX(D:D, ROW())=0, 0, INDEX(C:C, ROW())/(INDEX(C:C, ROW())+INDEX(D:D, ROW())))</f>
        <v/>
      </c>
      <c r="F3509" s="1" t="inlineStr">
        <is>
          <t>Bit Manipulation, Enumeration</t>
        </is>
      </c>
      <c r="G3509" s="1" t="inlineStr">
        <is>
          <t>Easy</t>
        </is>
      </c>
      <c r="H3509" s="1" t="n">
        <v>52315</v>
      </c>
      <c r="I3509" s="1" t="n">
        <v>78782</v>
      </c>
      <c r="J3509" s="9" t="n">
        <v>0.664</v>
      </c>
      <c r="K3509" s="1" t="inlineStr">
        <is>
          <t>Yes</t>
        </is>
      </c>
      <c r="L3509" s="1" t="inlineStr">
        <is>
          <t>No</t>
        </is>
      </c>
      <c r="M3509" s="1" t="inlineStr">
        <is>
          <t>No</t>
        </is>
      </c>
      <c r="N3509" s="1" t="inlineStr">
        <is>
          <t>Algorithms</t>
        </is>
      </c>
      <c r="O35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09" s="13" t="inlineStr">
        <is>
          <t>Done</t>
        </is>
      </c>
    </row>
    <row r="3510" ht="15.75" customHeight="1" s="12">
      <c r="A3510" s="1" t="n">
        <v>3864</v>
      </c>
      <c r="B3510" s="3">
        <f>HYPERLINK("https://leetcode.com/problems/minimum-cost-to-partition-a-binary-string/", "Minimum Cost to Partition a Binary String")</f>
        <v/>
      </c>
      <c r="C3510" s="1" t="n">
        <v>54</v>
      </c>
      <c r="D3510" s="1" t="n">
        <v>11</v>
      </c>
      <c r="E3510" s="4">
        <f>IF(INDEX(C:C, ROW())+INDEX(D:D, ROW())=0, 0, INDEX(C:C, ROW())/(INDEX(C:C, ROW())+INDEX(D:D, ROW())))</f>
        <v/>
      </c>
      <c r="F3510" s="1" t="inlineStr">
        <is>
          <t>String, Divide and Conquer, Prefix Sum</t>
        </is>
      </c>
      <c r="G3510" s="1" t="inlineStr">
        <is>
          <t>Hard</t>
        </is>
      </c>
      <c r="H3510" s="1" t="n">
        <v>11325</v>
      </c>
      <c r="I3510" s="1" t="n">
        <v>21634</v>
      </c>
      <c r="J3510" s="9" t="n">
        <v>0.523</v>
      </c>
      <c r="K3510" s="1" t="inlineStr">
        <is>
          <t>Yes</t>
        </is>
      </c>
      <c r="L3510" s="1" t="inlineStr">
        <is>
          <t>No</t>
        </is>
      </c>
      <c r="M3510" s="1" t="inlineStr">
        <is>
          <t>No</t>
        </is>
      </c>
      <c r="N3510" s="1" t="inlineStr">
        <is>
          <t>Algorithms</t>
        </is>
      </c>
      <c r="O35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10" s="11" t="inlineStr">
        <is>
          <t>To Do</t>
        </is>
      </c>
    </row>
    <row r="3511" ht="15.75" customHeight="1" s="12">
      <c r="A3511" s="1" t="n">
        <v>3906</v>
      </c>
      <c r="B3511" s="3">
        <f>HYPERLINK("https://leetcode.com/problems/count-good-integers-on-a-grid-path/", "Count Good Integers on a Grid Path")</f>
        <v/>
      </c>
      <c r="C3511" s="1" t="n">
        <v>54</v>
      </c>
      <c r="D3511" s="1" t="n">
        <v>3</v>
      </c>
      <c r="E3511" s="4">
        <f>IF(INDEX(C:C, ROW())+INDEX(D:D, ROW())=0, 0, INDEX(C:C, ROW())/(INDEX(C:C, ROW())+INDEX(D:D, ROW())))</f>
        <v/>
      </c>
      <c r="F3511" s="1" t="inlineStr">
        <is>
          <t>Dynamic Programming</t>
        </is>
      </c>
      <c r="G3511" s="1" t="inlineStr">
        <is>
          <t>Hard</t>
        </is>
      </c>
      <c r="H3511" s="1" t="n">
        <v>6865</v>
      </c>
      <c r="I3511" s="1" t="n">
        <v>14132</v>
      </c>
      <c r="J3511" s="9" t="n">
        <v>0.486</v>
      </c>
      <c r="K3511" s="1" t="inlineStr">
        <is>
          <t>Yes</t>
        </is>
      </c>
      <c r="L3511" s="1" t="inlineStr">
        <is>
          <t>No</t>
        </is>
      </c>
      <c r="M3511" s="1" t="inlineStr">
        <is>
          <t>No</t>
        </is>
      </c>
      <c r="N3511" s="1" t="inlineStr">
        <is>
          <t>Algorithms</t>
        </is>
      </c>
      <c r="O35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11" s="11" t="inlineStr">
        <is>
          <t>To Do</t>
        </is>
      </c>
    </row>
    <row r="3512" ht="15.75" customHeight="1" s="12">
      <c r="A3512" s="1" t="n">
        <v>2298</v>
      </c>
      <c r="B3512" s="3">
        <f>HYPERLINK("https://leetcode.com/problems/tasks-count-in-the-weekend/", "Tasks Count in the Weekend")</f>
        <v/>
      </c>
      <c r="C3512" s="1" t="n">
        <v>53</v>
      </c>
      <c r="D3512" s="1" t="n">
        <v>10</v>
      </c>
      <c r="E3512" s="4">
        <f>IF(INDEX(C:C, ROW())+INDEX(D:D, ROW())=0, 0, INDEX(C:C, ROW())/(INDEX(C:C, ROW())+INDEX(D:D, ROW())))</f>
        <v/>
      </c>
      <c r="F3512" s="1" t="inlineStr">
        <is>
          <t>Database</t>
        </is>
      </c>
      <c r="G3512" s="1" t="inlineStr">
        <is>
          <t>Medium</t>
        </is>
      </c>
      <c r="H3512" s="1" t="n">
        <v>9330</v>
      </c>
      <c r="I3512" s="1" t="n">
        <v>11401</v>
      </c>
      <c r="J3512" s="9" t="n">
        <v>0.8179999999999999</v>
      </c>
      <c r="K3512" s="1" t="inlineStr">
        <is>
          <t>No</t>
        </is>
      </c>
      <c r="L3512" s="1" t="inlineStr">
        <is>
          <t>No</t>
        </is>
      </c>
      <c r="M3512" s="1" t="inlineStr">
        <is>
          <t>No</t>
        </is>
      </c>
      <c r="N3512" s="1" t="inlineStr">
        <is>
          <t>Database</t>
        </is>
      </c>
      <c r="O35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12" s="11" t="inlineStr">
        <is>
          <t>To Do</t>
        </is>
      </c>
    </row>
    <row r="3513" ht="15.75" customHeight="1" s="12">
      <c r="A3513" s="1" t="n">
        <v>2701</v>
      </c>
      <c r="B3513" s="3">
        <f>HYPERLINK("https://leetcode.com/problems/consecutive-transactions-with-increasing-amounts/", "Consecutive Transactions with Increasing Amounts")</f>
        <v/>
      </c>
      <c r="C3513" s="1" t="n">
        <v>53</v>
      </c>
      <c r="D3513" s="1" t="n">
        <v>6</v>
      </c>
      <c r="E3513" s="4">
        <f>IF(INDEX(C:C, ROW())+INDEX(D:D, ROW())=0, 0, INDEX(C:C, ROW())/(INDEX(C:C, ROW())+INDEX(D:D, ROW())))</f>
        <v/>
      </c>
      <c r="F3513" s="1" t="inlineStr">
        <is>
          <t>Database</t>
        </is>
      </c>
      <c r="G3513" s="1" t="inlineStr">
        <is>
          <t>Hard</t>
        </is>
      </c>
      <c r="H3513" s="1" t="n">
        <v>5680</v>
      </c>
      <c r="I3513" s="1" t="n">
        <v>16265</v>
      </c>
      <c r="J3513" s="9" t="n">
        <v>0.349</v>
      </c>
      <c r="K3513" s="1" t="inlineStr">
        <is>
          <t>No</t>
        </is>
      </c>
      <c r="L3513" s="1" t="inlineStr">
        <is>
          <t>Yes</t>
        </is>
      </c>
      <c r="M3513" s="1" t="inlineStr">
        <is>
          <t>No</t>
        </is>
      </c>
      <c r="N3513" s="1" t="inlineStr">
        <is>
          <t>Database</t>
        </is>
      </c>
      <c r="O35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13" s="11" t="inlineStr">
        <is>
          <t>To Do</t>
        </is>
      </c>
    </row>
    <row r="3514" ht="15.75" customHeight="1" s="12">
      <c r="A3514" s="1" t="n">
        <v>3588</v>
      </c>
      <c r="B3514" s="3">
        <f>HYPERLINK("https://leetcode.com/problems/find-maximum-area-of-a-triangle/", "Find Maximum Area of a Triangle")</f>
        <v/>
      </c>
      <c r="C3514" s="1" t="n">
        <v>53</v>
      </c>
      <c r="D3514" s="1" t="n">
        <v>13</v>
      </c>
      <c r="E3514" s="4">
        <f>IF(INDEX(C:C, ROW())+INDEX(D:D, ROW())=0, 0, INDEX(C:C, ROW())/(INDEX(C:C, ROW())+INDEX(D:D, ROW())))</f>
        <v/>
      </c>
      <c r="F3514" s="1" t="inlineStr">
        <is>
          <t>Array, Hash Table, Math, Greedy, Geometry, Enumeration</t>
        </is>
      </c>
      <c r="G3514" s="1" t="inlineStr">
        <is>
          <t>Medium</t>
        </is>
      </c>
      <c r="H3514" s="1" t="n">
        <v>12159</v>
      </c>
      <c r="I3514" s="1" t="n">
        <v>41310</v>
      </c>
      <c r="J3514" s="9" t="n">
        <v>0.294</v>
      </c>
      <c r="K3514" s="1" t="inlineStr">
        <is>
          <t>Yes</t>
        </is>
      </c>
      <c r="L3514" s="1" t="inlineStr">
        <is>
          <t>No</t>
        </is>
      </c>
      <c r="M3514" s="1" t="inlineStr">
        <is>
          <t>No</t>
        </is>
      </c>
      <c r="N3514" s="1" t="inlineStr">
        <is>
          <t>Algorithms</t>
        </is>
      </c>
      <c r="O35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14" s="11" t="inlineStr">
        <is>
          <t>To Do</t>
        </is>
      </c>
    </row>
    <row r="3515" ht="15.75" customHeight="1" s="12">
      <c r="A3515" s="1" t="n">
        <v>3621</v>
      </c>
      <c r="B3515" s="3">
        <f>HYPERLINK("https://leetcode.com/problems/number-of-integers-with-popcount-depth-equal-to-k-i/", "Number of Integers With Popcount-Depth Equal to K I")</f>
        <v/>
      </c>
      <c r="C3515" s="1" t="n">
        <v>53</v>
      </c>
      <c r="D3515" s="1" t="n">
        <v>5</v>
      </c>
      <c r="E3515" s="4">
        <f>IF(INDEX(C:C, ROW())+INDEX(D:D, ROW())=0, 0, INDEX(C:C, ROW())/(INDEX(C:C, ROW())+INDEX(D:D, ROW())))</f>
        <v/>
      </c>
      <c r="F3515" s="1" t="inlineStr">
        <is>
          <t>Math, Dynamic Programming, Bit Manipulation, Combinatorics</t>
        </is>
      </c>
      <c r="G3515" s="1" t="inlineStr">
        <is>
          <t>Hard</t>
        </is>
      </c>
      <c r="H3515" s="1" t="n">
        <v>4707</v>
      </c>
      <c r="I3515" s="1" t="n">
        <v>20785</v>
      </c>
      <c r="J3515" s="9" t="n">
        <v>0.226</v>
      </c>
      <c r="K3515" s="1" t="inlineStr">
        <is>
          <t>Yes</t>
        </is>
      </c>
      <c r="L3515" s="1" t="inlineStr">
        <is>
          <t>No</t>
        </is>
      </c>
      <c r="M3515" s="1" t="inlineStr">
        <is>
          <t>No</t>
        </is>
      </c>
      <c r="N3515" s="1" t="inlineStr">
        <is>
          <t>Algorithms</t>
        </is>
      </c>
      <c r="O35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15" s="11" t="inlineStr">
        <is>
          <t>To Do</t>
        </is>
      </c>
    </row>
    <row r="3516" ht="15.75" customHeight="1" s="12">
      <c r="A3516" s="1" t="n">
        <v>3642</v>
      </c>
      <c r="B3516" s="3">
        <f>HYPERLINK("https://leetcode.com/problems/find-books-with-polarized-opinions/", "Find Books with Polarized Opinions")</f>
        <v/>
      </c>
      <c r="C3516" s="1" t="n">
        <v>53</v>
      </c>
      <c r="D3516" s="1" t="n">
        <v>12</v>
      </c>
      <c r="E3516" s="4">
        <f>IF(INDEX(C:C, ROW())+INDEX(D:D, ROW())=0, 0, INDEX(C:C, ROW())/(INDEX(C:C, ROW())+INDEX(D:D, ROW())))</f>
        <v/>
      </c>
      <c r="F3516" s="2" t="n"/>
      <c r="G3516" s="1" t="inlineStr">
        <is>
          <t>Medium</t>
        </is>
      </c>
      <c r="H3516" s="1" t="n">
        <v>10326</v>
      </c>
      <c r="I3516" s="1" t="n">
        <v>24241</v>
      </c>
      <c r="J3516" s="9" t="n">
        <v>0.426</v>
      </c>
      <c r="K3516" s="1" t="inlineStr">
        <is>
          <t>Yes</t>
        </is>
      </c>
      <c r="L3516" s="1" t="inlineStr">
        <is>
          <t>No</t>
        </is>
      </c>
      <c r="M3516" s="1" t="inlineStr">
        <is>
          <t>No</t>
        </is>
      </c>
      <c r="N3516" s="1" t="inlineStr">
        <is>
          <t>Database</t>
        </is>
      </c>
      <c r="O35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16" s="11" t="inlineStr">
        <is>
          <t>To Do</t>
        </is>
      </c>
    </row>
    <row r="3517" ht="15.75" customHeight="1" s="12">
      <c r="A3517" s="1" t="n">
        <v>3663</v>
      </c>
      <c r="B3517" s="3">
        <f>HYPERLINK("https://leetcode.com/problems/find-the-least-frequent-digit/", "Find The Least Frequent Digit")</f>
        <v/>
      </c>
      <c r="C3517" s="1" t="n">
        <v>53</v>
      </c>
      <c r="D3517" s="1" t="n">
        <v>2</v>
      </c>
      <c r="E3517" s="4">
        <f>IF(INDEX(C:C, ROW())+INDEX(D:D, ROW())=0, 0, INDEX(C:C, ROW())/(INDEX(C:C, ROW())+INDEX(D:D, ROW())))</f>
        <v/>
      </c>
      <c r="F3517" s="1" t="inlineStr">
        <is>
          <t>Array, Hash Table, Math, Counting</t>
        </is>
      </c>
      <c r="G3517" s="1" t="inlineStr">
        <is>
          <t>Easy</t>
        </is>
      </c>
      <c r="H3517" s="1" t="n">
        <v>44193</v>
      </c>
      <c r="I3517" s="1" t="n">
        <v>63370</v>
      </c>
      <c r="J3517" s="9" t="n">
        <v>0.697</v>
      </c>
      <c r="K3517" s="1" t="inlineStr">
        <is>
          <t>Yes</t>
        </is>
      </c>
      <c r="L3517" s="1" t="inlineStr">
        <is>
          <t>No</t>
        </is>
      </c>
      <c r="M3517" s="1" t="inlineStr">
        <is>
          <t>No</t>
        </is>
      </c>
      <c r="N3517" s="1" t="inlineStr">
        <is>
          <t>Algorithms</t>
        </is>
      </c>
      <c r="O35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17" s="13" t="inlineStr">
        <is>
          <t>Done</t>
        </is>
      </c>
    </row>
    <row r="3518" ht="15.75" customHeight="1" s="12">
      <c r="A3518" s="1" t="n">
        <v>3766</v>
      </c>
      <c r="B3518" s="3">
        <f>HYPERLINK("https://leetcode.com/problems/minimum-operations-to-make-binary-palindrome/", "Minimum Operations to Make Binary Palindrome")</f>
        <v/>
      </c>
      <c r="C3518" s="1" t="n">
        <v>53</v>
      </c>
      <c r="D3518" s="1" t="n">
        <v>10</v>
      </c>
      <c r="E3518" s="4">
        <f>IF(INDEX(C:C, ROW())+INDEX(D:D, ROW())=0, 0, INDEX(C:C, ROW())/(INDEX(C:C, ROW())+INDEX(D:D, ROW())))</f>
        <v/>
      </c>
      <c r="F3518" s="1" t="inlineStr">
        <is>
          <t>Array, Two Pointers, Binary Search, Bit Manipulation</t>
        </is>
      </c>
      <c r="G3518" s="1" t="inlineStr">
        <is>
          <t>Medium</t>
        </is>
      </c>
      <c r="H3518" s="1" t="n">
        <v>17375</v>
      </c>
      <c r="I3518" s="1" t="n">
        <v>33467</v>
      </c>
      <c r="J3518" s="9" t="n">
        <v>0.519</v>
      </c>
      <c r="K3518" s="1" t="inlineStr">
        <is>
          <t>Yes</t>
        </is>
      </c>
      <c r="L3518" s="1" t="inlineStr">
        <is>
          <t>No</t>
        </is>
      </c>
      <c r="M3518" s="1" t="inlineStr">
        <is>
          <t>No</t>
        </is>
      </c>
      <c r="N3518" s="1" t="inlineStr">
        <is>
          <t>Algorithms</t>
        </is>
      </c>
      <c r="O35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18" s="11" t="inlineStr">
        <is>
          <t>To Do</t>
        </is>
      </c>
    </row>
    <row r="3519" ht="15.75" customHeight="1" s="12">
      <c r="A3519" s="1" t="n">
        <v>3772</v>
      </c>
      <c r="B3519" s="3">
        <f>HYPERLINK("https://leetcode.com/problems/maximum-subgraph-score-in-a-tree/", "Maximum Subgraph Score in a Tree")</f>
        <v/>
      </c>
      <c r="C3519" s="1" t="n">
        <v>53</v>
      </c>
      <c r="D3519" s="1" t="n">
        <v>3</v>
      </c>
      <c r="E3519" s="4">
        <f>IF(INDEX(C:C, ROW())+INDEX(D:D, ROW())=0, 0, INDEX(C:C, ROW())/(INDEX(C:C, ROW())+INDEX(D:D, ROW())))</f>
        <v/>
      </c>
      <c r="F3519" s="1" t="inlineStr">
        <is>
          <t>Array, Dynamic Programming, Tree, Depth-First Search</t>
        </is>
      </c>
      <c r="G3519" s="1" t="inlineStr">
        <is>
          <t>Hard</t>
        </is>
      </c>
      <c r="H3519" s="1" t="n">
        <v>5810</v>
      </c>
      <c r="I3519" s="1" t="n">
        <v>8231</v>
      </c>
      <c r="J3519" s="9" t="n">
        <v>0.706</v>
      </c>
      <c r="K3519" s="1" t="inlineStr">
        <is>
          <t>Yes</t>
        </is>
      </c>
      <c r="L3519" s="1" t="inlineStr">
        <is>
          <t>No</t>
        </is>
      </c>
      <c r="M3519" s="1" t="inlineStr">
        <is>
          <t>No</t>
        </is>
      </c>
      <c r="N3519" s="1" t="inlineStr">
        <is>
          <t>Algorithms</t>
        </is>
      </c>
      <c r="O35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19" s="11" t="inlineStr">
        <is>
          <t>To Do</t>
        </is>
      </c>
    </row>
    <row r="3520" ht="15.75" customHeight="1" s="12">
      <c r="A3520" s="1" t="n">
        <v>3833</v>
      </c>
      <c r="B3520" s="3">
        <f>HYPERLINK("https://leetcode.com/problems/count-dominant-indices/", "Count Dominant Indices")</f>
        <v/>
      </c>
      <c r="C3520" s="1" t="n">
        <v>53</v>
      </c>
      <c r="D3520" s="1" t="n">
        <v>1</v>
      </c>
      <c r="E3520" s="4">
        <f>IF(INDEX(C:C, ROW())+INDEX(D:D, ROW())=0, 0, INDEX(C:C, ROW())/(INDEX(C:C, ROW())+INDEX(D:D, ROW())))</f>
        <v/>
      </c>
      <c r="F3520" s="1" t="inlineStr">
        <is>
          <t>Array, Enumeration</t>
        </is>
      </c>
      <c r="G3520" s="1" t="inlineStr">
        <is>
          <t>Easy</t>
        </is>
      </c>
      <c r="H3520" s="1" t="n">
        <v>56907</v>
      </c>
      <c r="I3520" s="1" t="n">
        <v>86274</v>
      </c>
      <c r="J3520" s="9" t="n">
        <v>0.66</v>
      </c>
      <c r="K3520" s="1" t="inlineStr">
        <is>
          <t>Yes</t>
        </is>
      </c>
      <c r="L3520" s="1" t="inlineStr">
        <is>
          <t>No</t>
        </is>
      </c>
      <c r="M3520" s="1" t="inlineStr">
        <is>
          <t>No</t>
        </is>
      </c>
      <c r="N3520" s="1" t="inlineStr">
        <is>
          <t>Algorithms</t>
        </is>
      </c>
      <c r="O35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20" s="13" t="inlineStr">
        <is>
          <t>Done</t>
        </is>
      </c>
    </row>
    <row r="3521" ht="15.75" customHeight="1" s="12">
      <c r="A3521" s="1" t="n">
        <v>3861</v>
      </c>
      <c r="B3521" s="3">
        <f>HYPERLINK("https://leetcode.com/problems/minimum-capacity-box/", "Minimum Capacity Box")</f>
        <v/>
      </c>
      <c r="C3521" s="1" t="n">
        <v>53</v>
      </c>
      <c r="D3521" s="1" t="n">
        <v>2</v>
      </c>
      <c r="E3521" s="4">
        <f>IF(INDEX(C:C, ROW())+INDEX(D:D, ROW())=0, 0, INDEX(C:C, ROW())/(INDEX(C:C, ROW())+INDEX(D:D, ROW())))</f>
        <v/>
      </c>
      <c r="F3521" s="1" t="inlineStr">
        <is>
          <t>Array</t>
        </is>
      </c>
      <c r="G3521" s="1" t="inlineStr">
        <is>
          <t>Easy</t>
        </is>
      </c>
      <c r="H3521" s="1" t="n">
        <v>53908</v>
      </c>
      <c r="I3521" s="1" t="n">
        <v>74264</v>
      </c>
      <c r="J3521" s="9" t="n">
        <v>0.726</v>
      </c>
      <c r="K3521" s="1" t="inlineStr">
        <is>
          <t>Yes</t>
        </is>
      </c>
      <c r="L3521" s="1" t="inlineStr">
        <is>
          <t>No</t>
        </is>
      </c>
      <c r="M3521" s="1" t="inlineStr">
        <is>
          <t>No</t>
        </is>
      </c>
      <c r="N3521" s="1" t="inlineStr">
        <is>
          <t>Algorithms</t>
        </is>
      </c>
      <c r="O35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21" s="13" t="inlineStr">
        <is>
          <t>Done</t>
        </is>
      </c>
    </row>
    <row r="3522" ht="15.75" customHeight="1" s="12">
      <c r="A3522" s="1" t="n">
        <v>3534</v>
      </c>
      <c r="B3522" s="3">
        <f>HYPERLINK("https://leetcode.com/problems/path-existence-queries-in-a-graph-ii/", "Path Existence Queries in a Graph II")</f>
        <v/>
      </c>
      <c r="C3522" s="1" t="n">
        <v>52</v>
      </c>
      <c r="D3522" s="1" t="n">
        <v>2</v>
      </c>
      <c r="E3522" s="4">
        <f>IF(INDEX(C:C, ROW())+INDEX(D:D, ROW())=0, 0, INDEX(C:C, ROW())/(INDEX(C:C, ROW())+INDEX(D:D, ROW())))</f>
        <v/>
      </c>
      <c r="F3522" s="1" t="inlineStr">
        <is>
          <t>Array, Two Pointers, Binary Search, Dynamic Programming, Greedy, Bit Manipulation, Graph Theory, Sorting</t>
        </is>
      </c>
      <c r="G3522" s="1" t="inlineStr">
        <is>
          <t>Hard</t>
        </is>
      </c>
      <c r="H3522" s="1" t="n">
        <v>4379</v>
      </c>
      <c r="I3522" s="1" t="n">
        <v>16450</v>
      </c>
      <c r="J3522" s="9" t="n">
        <v>0.266</v>
      </c>
      <c r="K3522" s="1" t="inlineStr">
        <is>
          <t>Yes</t>
        </is>
      </c>
      <c r="L3522" s="1" t="inlineStr">
        <is>
          <t>No</t>
        </is>
      </c>
      <c r="M3522" s="1" t="inlineStr">
        <is>
          <t>No</t>
        </is>
      </c>
      <c r="N3522" s="1" t="inlineStr">
        <is>
          <t>Algorithms</t>
        </is>
      </c>
      <c r="O35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22" s="11" t="inlineStr">
        <is>
          <t>To Do</t>
        </is>
      </c>
    </row>
    <row r="3523" ht="15.75" customHeight="1" s="12">
      <c r="A3523" s="1" t="n">
        <v>3563</v>
      </c>
      <c r="B3523" s="3">
        <f>HYPERLINK("https://leetcode.com/problems/lexicographically-smallest-string-after-adjacent-removals/", "Lexicographically Smallest String After Adjacent Removals")</f>
        <v/>
      </c>
      <c r="C3523" s="1" t="n">
        <v>52</v>
      </c>
      <c r="D3523" s="1" t="n">
        <v>4</v>
      </c>
      <c r="E3523" s="4">
        <f>IF(INDEX(C:C, ROW())+INDEX(D:D, ROW())=0, 0, INDEX(C:C, ROW())/(INDEX(C:C, ROW())+INDEX(D:D, ROW())))</f>
        <v/>
      </c>
      <c r="F3523" s="1" t="inlineStr">
        <is>
          <t>String, Dynamic Programming</t>
        </is>
      </c>
      <c r="G3523" s="1" t="inlineStr">
        <is>
          <t>Hard</t>
        </is>
      </c>
      <c r="H3523" s="1" t="n">
        <v>4106</v>
      </c>
      <c r="I3523" s="1" t="n">
        <v>23438</v>
      </c>
      <c r="J3523" s="9" t="n">
        <v>0.175</v>
      </c>
      <c r="K3523" s="1" t="inlineStr">
        <is>
          <t>Yes</t>
        </is>
      </c>
      <c r="L3523" s="1" t="inlineStr">
        <is>
          <t>No</t>
        </is>
      </c>
      <c r="M3523" s="1" t="inlineStr">
        <is>
          <t>No</t>
        </is>
      </c>
      <c r="N3523" s="1" t="inlineStr">
        <is>
          <t>Algorithms</t>
        </is>
      </c>
      <c r="O35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23" s="11" t="inlineStr">
        <is>
          <t>To Do</t>
        </is>
      </c>
    </row>
    <row r="3524" ht="15.75" customHeight="1" s="12">
      <c r="A3524" s="1" t="n">
        <v>3602</v>
      </c>
      <c r="B3524" s="3">
        <f>HYPERLINK("https://leetcode.com/problems/hexadecimal-and-hexatrigesimal-conversion/", "Hexadecimal and Hexatrigesimal Conversion")</f>
        <v/>
      </c>
      <c r="C3524" s="1" t="n">
        <v>52</v>
      </c>
      <c r="D3524" s="1" t="n">
        <v>0</v>
      </c>
      <c r="E3524" s="4">
        <f>IF(INDEX(C:C, ROW())+INDEX(D:D, ROW())=0, 0, INDEX(C:C, ROW())/(INDEX(C:C, ROW())+INDEX(D:D, ROW())))</f>
        <v/>
      </c>
      <c r="F3524" s="1" t="inlineStr">
        <is>
          <t>Math, String</t>
        </is>
      </c>
      <c r="G3524" s="1" t="inlineStr">
        <is>
          <t>Easy</t>
        </is>
      </c>
      <c r="H3524" s="1" t="n">
        <v>30829</v>
      </c>
      <c r="I3524" s="1" t="n">
        <v>38117</v>
      </c>
      <c r="J3524" s="9" t="n">
        <v>0.8090000000000001</v>
      </c>
      <c r="K3524" s="1" t="inlineStr">
        <is>
          <t>Yes</t>
        </is>
      </c>
      <c r="L3524" s="1" t="inlineStr">
        <is>
          <t>No</t>
        </is>
      </c>
      <c r="M3524" s="1" t="inlineStr">
        <is>
          <t>No</t>
        </is>
      </c>
      <c r="N3524" s="1" t="inlineStr">
        <is>
          <t>Algorithms</t>
        </is>
      </c>
      <c r="O35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24" s="13" t="inlineStr">
        <is>
          <t>Done</t>
        </is>
      </c>
    </row>
    <row r="3525" ht="15.75" customHeight="1" s="12">
      <c r="A3525" s="1" t="n">
        <v>3648</v>
      </c>
      <c r="B3525" s="3">
        <f>HYPERLINK("https://leetcode.com/problems/minimum-sensors-to-cover-grid/", "Minimum Sensors to Cover Grid")</f>
        <v/>
      </c>
      <c r="C3525" s="1" t="n">
        <v>52</v>
      </c>
      <c r="D3525" s="1" t="n">
        <v>9</v>
      </c>
      <c r="E3525" s="4">
        <f>IF(INDEX(C:C, ROW())+INDEX(D:D, ROW())=0, 0, INDEX(C:C, ROW())/(INDEX(C:C, ROW())+INDEX(D:D, ROW())))</f>
        <v/>
      </c>
      <c r="F3525" s="1" t="inlineStr">
        <is>
          <t>Math</t>
        </is>
      </c>
      <c r="G3525" s="1" t="inlineStr">
        <is>
          <t>Medium</t>
        </is>
      </c>
      <c r="H3525" s="1" t="n">
        <v>29489</v>
      </c>
      <c r="I3525" s="1" t="n">
        <v>42889</v>
      </c>
      <c r="J3525" s="9" t="n">
        <v>0.6879999999999999</v>
      </c>
      <c r="K3525" s="1" t="inlineStr">
        <is>
          <t>Yes</t>
        </is>
      </c>
      <c r="L3525" s="1" t="inlineStr">
        <is>
          <t>No</t>
        </is>
      </c>
      <c r="M3525" s="1" t="inlineStr">
        <is>
          <t>No</t>
        </is>
      </c>
      <c r="N3525" s="1" t="inlineStr">
        <is>
          <t>Algorithms</t>
        </is>
      </c>
      <c r="O35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25" s="11" t="inlineStr">
        <is>
          <t>To Do</t>
        </is>
      </c>
    </row>
    <row r="3526" ht="15.75" customHeight="1" s="12">
      <c r="A3526" s="1" t="n">
        <v>3743</v>
      </c>
      <c r="B3526" s="3">
        <f>HYPERLINK("https://leetcode.com/problems/maximize-cyclic-partition-score/", "Maximize Cyclic Partition Score")</f>
        <v/>
      </c>
      <c r="C3526" s="1" t="n">
        <v>52</v>
      </c>
      <c r="D3526" s="1" t="n">
        <v>7</v>
      </c>
      <c r="E3526" s="4">
        <f>IF(INDEX(C:C, ROW())+INDEX(D:D, ROW())=0, 0, INDEX(C:C, ROW())/(INDEX(C:C, ROW())+INDEX(D:D, ROW())))</f>
        <v/>
      </c>
      <c r="F3526" s="1" t="inlineStr">
        <is>
          <t>Array, Dynamic Programming</t>
        </is>
      </c>
      <c r="G3526" s="1" t="inlineStr">
        <is>
          <t>Hard</t>
        </is>
      </c>
      <c r="H3526" s="1" t="n">
        <v>3251</v>
      </c>
      <c r="I3526" s="1" t="n">
        <v>23866</v>
      </c>
      <c r="J3526" s="9" t="n">
        <v>0.136</v>
      </c>
      <c r="K3526" s="1" t="inlineStr">
        <is>
          <t>Yes</t>
        </is>
      </c>
      <c r="L3526" s="1" t="inlineStr">
        <is>
          <t>No</t>
        </is>
      </c>
      <c r="M3526" s="1" t="inlineStr">
        <is>
          <t>No</t>
        </is>
      </c>
      <c r="N3526" s="1" t="inlineStr">
        <is>
          <t>Algorithms</t>
        </is>
      </c>
      <c r="O35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26" s="11" t="inlineStr">
        <is>
          <t>To Do</t>
        </is>
      </c>
    </row>
    <row r="3527" ht="15.75" customHeight="1" s="12">
      <c r="A3527" s="1" t="n">
        <v>3745</v>
      </c>
      <c r="B3527" s="3">
        <f>HYPERLINK("https://leetcode.com/problems/maximize-expression-of-three-elements/", "Maximize Expression of Three Elements")</f>
        <v/>
      </c>
      <c r="C3527" s="1" t="n">
        <v>52</v>
      </c>
      <c r="D3527" s="1" t="n">
        <v>1</v>
      </c>
      <c r="E3527" s="4">
        <f>IF(INDEX(C:C, ROW())+INDEX(D:D, ROW())=0, 0, INDEX(C:C, ROW())/(INDEX(C:C, ROW())+INDEX(D:D, ROW())))</f>
        <v/>
      </c>
      <c r="F3527" s="1" t="inlineStr">
        <is>
          <t>Array, Greedy, Sorting, Enumeration</t>
        </is>
      </c>
      <c r="G3527" s="1" t="inlineStr">
        <is>
          <t>Easy</t>
        </is>
      </c>
      <c r="H3527" s="1" t="n">
        <v>46256</v>
      </c>
      <c r="I3527" s="1" t="n">
        <v>63673</v>
      </c>
      <c r="J3527" s="9" t="n">
        <v>0.726</v>
      </c>
      <c r="K3527" s="1" t="inlineStr">
        <is>
          <t>Yes</t>
        </is>
      </c>
      <c r="L3527" s="1" t="inlineStr">
        <is>
          <t>No</t>
        </is>
      </c>
      <c r="M3527" s="1" t="inlineStr">
        <is>
          <t>No</t>
        </is>
      </c>
      <c r="N3527" s="1" t="inlineStr">
        <is>
          <t>Algorithms</t>
        </is>
      </c>
      <c r="O35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27" s="13" t="inlineStr">
        <is>
          <t>Done</t>
        </is>
      </c>
    </row>
    <row r="3528" ht="15.75" customHeight="1" s="12">
      <c r="A3528" s="1" t="n">
        <v>3777</v>
      </c>
      <c r="B3528" s="3">
        <f>HYPERLINK("https://leetcode.com/problems/minimum-deletions-to-make-alternating-substring/", "Minimum Deletions to Make Alternating Substring")</f>
        <v/>
      </c>
      <c r="C3528" s="1" t="n">
        <v>52</v>
      </c>
      <c r="D3528" s="1" t="n">
        <v>1</v>
      </c>
      <c r="E3528" s="4">
        <f>IF(INDEX(C:C, ROW())+INDEX(D:D, ROW())=0, 0, INDEX(C:C, ROW())/(INDEX(C:C, ROW())+INDEX(D:D, ROW())))</f>
        <v/>
      </c>
      <c r="F3528" s="1" t="inlineStr">
        <is>
          <t>String, Segment Tree</t>
        </is>
      </c>
      <c r="G3528" s="1" t="inlineStr">
        <is>
          <t>Hard</t>
        </is>
      </c>
      <c r="H3528" s="1" t="n">
        <v>6042</v>
      </c>
      <c r="I3528" s="1" t="n">
        <v>13388</v>
      </c>
      <c r="J3528" s="9" t="n">
        <v>0.451</v>
      </c>
      <c r="K3528" s="1" t="inlineStr">
        <is>
          <t>Yes</t>
        </is>
      </c>
      <c r="L3528" s="1" t="inlineStr">
        <is>
          <t>No</t>
        </is>
      </c>
      <c r="M3528" s="1" t="inlineStr">
        <is>
          <t>No</t>
        </is>
      </c>
      <c r="N3528" s="1" t="inlineStr">
        <is>
          <t>Algorithms</t>
        </is>
      </c>
      <c r="O35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28" s="11" t="inlineStr">
        <is>
          <t>To Do</t>
        </is>
      </c>
    </row>
    <row r="3529" ht="15.75" customHeight="1" s="12">
      <c r="A3529" s="1" t="n">
        <v>3813</v>
      </c>
      <c r="B3529" s="3">
        <f>HYPERLINK("https://leetcode.com/problems/vowel-consonant-score/", "Vowel-Consonant Score")</f>
        <v/>
      </c>
      <c r="C3529" s="1" t="n">
        <v>52</v>
      </c>
      <c r="D3529" s="1" t="n">
        <v>4</v>
      </c>
      <c r="E3529" s="4">
        <f>IF(INDEX(C:C, ROW())+INDEX(D:D, ROW())=0, 0, INDEX(C:C, ROW())/(INDEX(C:C, ROW())+INDEX(D:D, ROW())))</f>
        <v/>
      </c>
      <c r="F3529" s="1" t="inlineStr">
        <is>
          <t>String, Simulation</t>
        </is>
      </c>
      <c r="G3529" s="1" t="inlineStr">
        <is>
          <t>Easy</t>
        </is>
      </c>
      <c r="H3529" s="1" t="n">
        <v>49335</v>
      </c>
      <c r="I3529" s="1" t="n">
        <v>91488</v>
      </c>
      <c r="J3529" s="9" t="n">
        <v>0.539</v>
      </c>
      <c r="K3529" s="1" t="inlineStr">
        <is>
          <t>Yes</t>
        </is>
      </c>
      <c r="L3529" s="1" t="inlineStr">
        <is>
          <t>No</t>
        </is>
      </c>
      <c r="M3529" s="1" t="inlineStr">
        <is>
          <t>No</t>
        </is>
      </c>
      <c r="N3529" s="1" t="inlineStr">
        <is>
          <t>Algorithms</t>
        </is>
      </c>
      <c r="O35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29" s="13" t="inlineStr">
        <is>
          <t>Done</t>
        </is>
      </c>
    </row>
    <row r="3530" ht="15.75" customHeight="1" s="12">
      <c r="A3530" s="1" t="n">
        <v>3826</v>
      </c>
      <c r="B3530" s="3">
        <f>HYPERLINK("https://leetcode.com/problems/minimum-partition-score/", "Minimum Partition Score")</f>
        <v/>
      </c>
      <c r="C3530" s="1" t="n">
        <v>52</v>
      </c>
      <c r="D3530" s="1" t="n">
        <v>3</v>
      </c>
      <c r="E3530" s="4">
        <f>IF(INDEX(C:C, ROW())+INDEX(D:D, ROW())=0, 0, INDEX(C:C, ROW())/(INDEX(C:C, ROW())+INDEX(D:D, ROW())))</f>
        <v/>
      </c>
      <c r="F3530" s="1" t="inlineStr">
        <is>
          <t>Array, Divide and Conquer, Dynamic Programming, Queue, Prefix Sum, Monotonic Queue</t>
        </is>
      </c>
      <c r="G3530" s="1" t="inlineStr">
        <is>
          <t>Hard</t>
        </is>
      </c>
      <c r="H3530" s="1" t="n">
        <v>6819</v>
      </c>
      <c r="I3530" s="1" t="n">
        <v>20128</v>
      </c>
      <c r="J3530" s="9" t="n">
        <v>0.339</v>
      </c>
      <c r="K3530" s="1" t="inlineStr">
        <is>
          <t>Yes</t>
        </is>
      </c>
      <c r="L3530" s="1" t="inlineStr">
        <is>
          <t>No</t>
        </is>
      </c>
      <c r="M3530" s="1" t="inlineStr">
        <is>
          <t>No</t>
        </is>
      </c>
      <c r="N3530" s="1" t="inlineStr">
        <is>
          <t>Algorithms</t>
        </is>
      </c>
      <c r="O35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30" s="11" t="inlineStr">
        <is>
          <t>To Do</t>
        </is>
      </c>
    </row>
    <row r="3531" ht="15.75" customHeight="1" s="12">
      <c r="A3531" s="1" t="n">
        <v>2403</v>
      </c>
      <c r="B3531" s="3">
        <f>HYPERLINK("https://leetcode.com/problems/minimum-time-to-kill-all-monsters/", "Minimum Time to Kill All Monsters")</f>
        <v/>
      </c>
      <c r="C3531" s="1" t="n">
        <v>51</v>
      </c>
      <c r="D3531" s="1" t="n">
        <v>5</v>
      </c>
      <c r="E3531" s="4">
        <f>IF(INDEX(C:C, ROW())+INDEX(D:D, ROW())=0, 0, INDEX(C:C, ROW())/(INDEX(C:C, ROW())+INDEX(D:D, ROW())))</f>
        <v/>
      </c>
      <c r="F3531" s="1" t="inlineStr">
        <is>
          <t>Array, Dynamic Programming, Bit Manipulation, Bitmask</t>
        </is>
      </c>
      <c r="G3531" s="1" t="inlineStr">
        <is>
          <t>Hard</t>
        </is>
      </c>
      <c r="H3531" s="1" t="n">
        <v>1900</v>
      </c>
      <c r="I3531" s="1" t="n">
        <v>3302</v>
      </c>
      <c r="J3531" s="9" t="n">
        <v>0.575</v>
      </c>
      <c r="K3531" s="1" t="inlineStr">
        <is>
          <t>No</t>
        </is>
      </c>
      <c r="L3531" s="1" t="inlineStr">
        <is>
          <t>No</t>
        </is>
      </c>
      <c r="M3531" s="1" t="inlineStr">
        <is>
          <t>No</t>
        </is>
      </c>
      <c r="N3531" s="1" t="inlineStr">
        <is>
          <t>Algorithms</t>
        </is>
      </c>
      <c r="O35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31" s="11" t="inlineStr">
        <is>
          <t>To Do</t>
        </is>
      </c>
    </row>
    <row r="3532" ht="15.75" customHeight="1" s="12">
      <c r="A3532" s="1" t="n">
        <v>3449</v>
      </c>
      <c r="B3532" s="3">
        <f>HYPERLINK("https://leetcode.com/problems/maximize-the-minimum-game-score/", "Maximize the Minimum Game Score")</f>
        <v/>
      </c>
      <c r="C3532" s="1" t="n">
        <v>51</v>
      </c>
      <c r="D3532" s="1" t="n">
        <v>6</v>
      </c>
      <c r="E3532" s="4">
        <f>IF(INDEX(C:C, ROW())+INDEX(D:D, ROW())=0, 0, INDEX(C:C, ROW())/(INDEX(C:C, ROW())+INDEX(D:D, ROW())))</f>
        <v/>
      </c>
      <c r="F3532" s="1" t="inlineStr">
        <is>
          <t>Array, Binary Search, Greedy</t>
        </is>
      </c>
      <c r="G3532" s="1" t="inlineStr">
        <is>
          <t>Hard</t>
        </is>
      </c>
      <c r="H3532" s="1" t="n">
        <v>4328</v>
      </c>
      <c r="I3532" s="1" t="n">
        <v>16425</v>
      </c>
      <c r="J3532" s="9" t="n">
        <v>0.264</v>
      </c>
      <c r="K3532" s="1" t="inlineStr">
        <is>
          <t>Yes</t>
        </is>
      </c>
      <c r="L3532" s="1" t="inlineStr">
        <is>
          <t>No</t>
        </is>
      </c>
      <c r="M3532" s="1" t="inlineStr">
        <is>
          <t>No</t>
        </is>
      </c>
      <c r="N3532" s="1" t="inlineStr">
        <is>
          <t>Algorithms</t>
        </is>
      </c>
      <c r="O35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32" s="11" t="inlineStr">
        <is>
          <t>To Do</t>
        </is>
      </c>
    </row>
    <row r="3533" ht="15.75" customHeight="1" s="12">
      <c r="A3533" s="1" t="n">
        <v>3580</v>
      </c>
      <c r="B3533" s="3">
        <f>HYPERLINK("https://leetcode.com/problems/find-consistently-improving-employees/", "Find Consistently Improving Employees")</f>
        <v/>
      </c>
      <c r="C3533" s="1" t="n">
        <v>51</v>
      </c>
      <c r="D3533" s="1" t="n">
        <v>2</v>
      </c>
      <c r="E3533" s="4">
        <f>IF(INDEX(C:C, ROW())+INDEX(D:D, ROW())=0, 0, INDEX(C:C, ROW())/(INDEX(C:C, ROW())+INDEX(D:D, ROW())))</f>
        <v/>
      </c>
      <c r="F3533" s="1" t="inlineStr">
        <is>
          <t>Database</t>
        </is>
      </c>
      <c r="G3533" s="1" t="inlineStr">
        <is>
          <t>Medium</t>
        </is>
      </c>
      <c r="H3533" s="1" t="n">
        <v>12899</v>
      </c>
      <c r="I3533" s="1" t="n">
        <v>22906</v>
      </c>
      <c r="J3533" s="9" t="n">
        <v>0.5629999999999999</v>
      </c>
      <c r="K3533" s="1" t="inlineStr">
        <is>
          <t>Yes</t>
        </is>
      </c>
      <c r="L3533" s="1" t="inlineStr">
        <is>
          <t>No</t>
        </is>
      </c>
      <c r="M3533" s="1" t="inlineStr">
        <is>
          <t>No</t>
        </is>
      </c>
      <c r="N3533" s="1" t="inlineStr">
        <is>
          <t>Database</t>
        </is>
      </c>
      <c r="O35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33" s="11" t="inlineStr">
        <is>
          <t>To Do</t>
        </is>
      </c>
    </row>
    <row r="3534" ht="15.75" customHeight="1" s="12">
      <c r="A3534" s="1" t="n">
        <v>2604</v>
      </c>
      <c r="B3534" s="3">
        <f>HYPERLINK("https://leetcode.com/problems/minimum-time-to-eat-all-grains/", "Minimum Time to Eat All Grains")</f>
        <v/>
      </c>
      <c r="C3534" s="1" t="n">
        <v>50</v>
      </c>
      <c r="D3534" s="1" t="n">
        <v>4</v>
      </c>
      <c r="E3534" s="4">
        <f>IF(INDEX(C:C, ROW())+INDEX(D:D, ROW())=0, 0, INDEX(C:C, ROW())/(INDEX(C:C, ROW())+INDEX(D:D, ROW())))</f>
        <v/>
      </c>
      <c r="F3534" s="1" t="inlineStr">
        <is>
          <t>Array, Two Pointers, Binary Search, Sorting</t>
        </is>
      </c>
      <c r="G3534" s="1" t="inlineStr">
        <is>
          <t>Hard</t>
        </is>
      </c>
      <c r="H3534" s="1" t="n">
        <v>2271</v>
      </c>
      <c r="I3534" s="1" t="n">
        <v>5576</v>
      </c>
      <c r="J3534" s="9" t="n">
        <v>0.407</v>
      </c>
      <c r="K3534" s="1" t="inlineStr">
        <is>
          <t>No</t>
        </is>
      </c>
      <c r="L3534" s="1" t="inlineStr">
        <is>
          <t>No</t>
        </is>
      </c>
      <c r="M3534" s="1" t="inlineStr">
        <is>
          <t>No</t>
        </is>
      </c>
      <c r="N3534" s="1" t="inlineStr">
        <is>
          <t>Algorithms</t>
        </is>
      </c>
      <c r="O35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34" s="11" t="inlineStr">
        <is>
          <t>To Do</t>
        </is>
      </c>
    </row>
    <row r="3535" ht="15.75" customHeight="1" s="12">
      <c r="A3535" s="1" t="n">
        <v>2702</v>
      </c>
      <c r="B3535" s="3">
        <f>HYPERLINK("https://leetcode.com/problems/minimum-operations-to-make-numbers-non-positive/", "Minimum Operations to Make Numbers Non-positive")</f>
        <v/>
      </c>
      <c r="C3535" s="1" t="n">
        <v>50</v>
      </c>
      <c r="D3535" s="1" t="n">
        <v>5</v>
      </c>
      <c r="E3535" s="4">
        <f>IF(INDEX(C:C, ROW())+INDEX(D:D, ROW())=0, 0, INDEX(C:C, ROW())/(INDEX(C:C, ROW())+INDEX(D:D, ROW())))</f>
        <v/>
      </c>
      <c r="F3535" s="1" t="inlineStr">
        <is>
          <t>Array, Binary Search</t>
        </is>
      </c>
      <c r="G3535" s="1" t="inlineStr">
        <is>
          <t>Hard</t>
        </is>
      </c>
      <c r="H3535" s="1" t="n">
        <v>6347</v>
      </c>
      <c r="I3535" s="1" t="n">
        <v>14403</v>
      </c>
      <c r="J3535" s="9" t="n">
        <v>0.441</v>
      </c>
      <c r="K3535" s="1" t="inlineStr">
        <is>
          <t>No</t>
        </is>
      </c>
      <c r="L3535" s="1" t="inlineStr">
        <is>
          <t>No</t>
        </is>
      </c>
      <c r="M3535" s="1" t="inlineStr">
        <is>
          <t>No</t>
        </is>
      </c>
      <c r="N3535" s="1" t="inlineStr">
        <is>
          <t>Algorithms</t>
        </is>
      </c>
      <c r="O35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35" s="11" t="inlineStr">
        <is>
          <t>To Do</t>
        </is>
      </c>
    </row>
    <row r="3536" ht="15.75" customHeight="1" s="12">
      <c r="A3536" s="1" t="n">
        <v>3513</v>
      </c>
      <c r="B3536" s="3">
        <f>HYPERLINK("https://leetcode.com/problems/number-of-unique-xor-triplets-i/", "Number of Unique XOR Triplets I")</f>
        <v/>
      </c>
      <c r="C3536" s="1" t="n">
        <v>50</v>
      </c>
      <c r="D3536" s="1" t="n">
        <v>11</v>
      </c>
      <c r="E3536" s="4">
        <f>IF(INDEX(C:C, ROW())+INDEX(D:D, ROW())=0, 0, INDEX(C:C, ROW())/(INDEX(C:C, ROW())+INDEX(D:D, ROW())))</f>
        <v/>
      </c>
      <c r="F3536" s="1" t="inlineStr">
        <is>
          <t>Array, Math, Bit Manipulation</t>
        </is>
      </c>
      <c r="G3536" s="1" t="inlineStr">
        <is>
          <t>Medium</t>
        </is>
      </c>
      <c r="H3536" s="1" t="n">
        <v>16225</v>
      </c>
      <c r="I3536" s="1" t="n">
        <v>60825</v>
      </c>
      <c r="J3536" s="9" t="n">
        <v>0.267</v>
      </c>
      <c r="K3536" s="1" t="inlineStr">
        <is>
          <t>Yes</t>
        </is>
      </c>
      <c r="L3536" s="1" t="inlineStr">
        <is>
          <t>No</t>
        </is>
      </c>
      <c r="M3536" s="1" t="inlineStr">
        <is>
          <t>No</t>
        </is>
      </c>
      <c r="N3536" s="1" t="inlineStr">
        <is>
          <t>Algorithms</t>
        </is>
      </c>
      <c r="O35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36" s="11" t="inlineStr">
        <is>
          <t>To Do</t>
        </is>
      </c>
    </row>
    <row r="3537" ht="15.75" customHeight="1" s="12">
      <c r="A3537" s="1" t="n">
        <v>3680</v>
      </c>
      <c r="B3537" s="3">
        <f>HYPERLINK("https://leetcode.com/problems/generate-schedule/", "Generate Schedule")</f>
        <v/>
      </c>
      <c r="C3537" s="1" t="n">
        <v>50</v>
      </c>
      <c r="D3537" s="1" t="n">
        <v>25</v>
      </c>
      <c r="E3537" s="4">
        <f>IF(INDEX(C:C, ROW())+INDEX(D:D, ROW())=0, 0, INDEX(C:C, ROW())/(INDEX(C:C, ROW())+INDEX(D:D, ROW())))</f>
        <v/>
      </c>
      <c r="F3537" s="1" t="inlineStr">
        <is>
          <t>Array, Math, Greedy</t>
        </is>
      </c>
      <c r="G3537" s="1" t="inlineStr">
        <is>
          <t>Medium</t>
        </is>
      </c>
      <c r="H3537" s="1" t="n">
        <v>4767</v>
      </c>
      <c r="I3537" s="1" t="n">
        <v>19436</v>
      </c>
      <c r="J3537" s="9" t="n">
        <v>0.245</v>
      </c>
      <c r="K3537" s="1" t="inlineStr">
        <is>
          <t>Yes</t>
        </is>
      </c>
      <c r="L3537" s="1" t="inlineStr">
        <is>
          <t>No</t>
        </is>
      </c>
      <c r="M3537" s="1" t="inlineStr">
        <is>
          <t>No</t>
        </is>
      </c>
      <c r="N3537" s="1" t="inlineStr">
        <is>
          <t>Algorithms</t>
        </is>
      </c>
      <c r="O35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37" s="11" t="inlineStr">
        <is>
          <t>To Do</t>
        </is>
      </c>
    </row>
    <row r="3538" ht="15.75" customHeight="1" s="12">
      <c r="A3538" s="1" t="n">
        <v>3697</v>
      </c>
      <c r="B3538" s="3">
        <f>HYPERLINK("https://leetcode.com/problems/compute-decimal-representation/", "Compute Decimal Representation")</f>
        <v/>
      </c>
      <c r="C3538" s="1" t="n">
        <v>50</v>
      </c>
      <c r="D3538" s="1" t="n">
        <v>2</v>
      </c>
      <c r="E3538" s="4">
        <f>IF(INDEX(C:C, ROW())+INDEX(D:D, ROW())=0, 0, INDEX(C:C, ROW())/(INDEX(C:C, ROW())+INDEX(D:D, ROW())))</f>
        <v/>
      </c>
      <c r="F3538" s="1" t="inlineStr">
        <is>
          <t>Array, Math</t>
        </is>
      </c>
      <c r="G3538" s="1" t="inlineStr">
        <is>
          <t>Easy</t>
        </is>
      </c>
      <c r="H3538" s="1" t="n">
        <v>61580</v>
      </c>
      <c r="I3538" s="1" t="n">
        <v>95039</v>
      </c>
      <c r="J3538" s="9" t="n">
        <v>0.648</v>
      </c>
      <c r="K3538" s="1" t="inlineStr">
        <is>
          <t>Yes</t>
        </is>
      </c>
      <c r="L3538" s="1" t="inlineStr">
        <is>
          <t>No</t>
        </is>
      </c>
      <c r="M3538" s="1" t="inlineStr">
        <is>
          <t>No</t>
        </is>
      </c>
      <c r="N3538" s="1" t="inlineStr">
        <is>
          <t>Algorithms</t>
        </is>
      </c>
      <c r="O35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38" s="13" t="inlineStr">
        <is>
          <t>Done</t>
        </is>
      </c>
    </row>
    <row r="3539" ht="15.75" customHeight="1" s="12">
      <c r="A3539" s="1" t="n">
        <v>3762</v>
      </c>
      <c r="B3539" s="3">
        <f>HYPERLINK("https://leetcode.com/problems/minimum-operations-to-equalize-subarrays/", "Minimum Operations to Equalize Subarrays")</f>
        <v/>
      </c>
      <c r="C3539" s="1" t="n">
        <v>50</v>
      </c>
      <c r="D3539" s="1" t="n">
        <v>3</v>
      </c>
      <c r="E3539" s="4">
        <f>IF(INDEX(C:C, ROW())+INDEX(D:D, ROW())=0, 0, INDEX(C:C, ROW())/(INDEX(C:C, ROW())+INDEX(D:D, ROW())))</f>
        <v/>
      </c>
      <c r="F3539" s="1" t="inlineStr">
        <is>
          <t>Array, Math, Binary Search, Segment Tree</t>
        </is>
      </c>
      <c r="G3539" s="1" t="inlineStr">
        <is>
          <t>Hard</t>
        </is>
      </c>
      <c r="H3539" s="1" t="n">
        <v>3132</v>
      </c>
      <c r="I3539" s="1" t="n">
        <v>15640</v>
      </c>
      <c r="J3539" s="9" t="n">
        <v>0.2</v>
      </c>
      <c r="K3539" s="1" t="inlineStr">
        <is>
          <t>Yes</t>
        </is>
      </c>
      <c r="L3539" s="1" t="inlineStr">
        <is>
          <t>No</t>
        </is>
      </c>
      <c r="M3539" s="1" t="inlineStr">
        <is>
          <t>No</t>
        </is>
      </c>
      <c r="N3539" s="1" t="inlineStr">
        <is>
          <t>Algorithms</t>
        </is>
      </c>
      <c r="O35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39" s="11" t="inlineStr">
        <is>
          <t>To Do</t>
        </is>
      </c>
    </row>
    <row r="3540" ht="15.75" customHeight="1" s="12">
      <c r="A3540" s="1" t="n">
        <v>3765</v>
      </c>
      <c r="B3540" s="3">
        <f>HYPERLINK("https://leetcode.com/problems/complete-prime-number/", "Complete Prime Number")</f>
        <v/>
      </c>
      <c r="C3540" s="1" t="n">
        <v>50</v>
      </c>
      <c r="D3540" s="1" t="n">
        <v>4</v>
      </c>
      <c r="E3540" s="4">
        <f>IF(INDEX(C:C, ROW())+INDEX(D:D, ROW())=0, 0, INDEX(C:C, ROW())/(INDEX(C:C, ROW())+INDEX(D:D, ROW())))</f>
        <v/>
      </c>
      <c r="F3540" s="1" t="inlineStr">
        <is>
          <t>Math, Enumeration, Number Theory</t>
        </is>
      </c>
      <c r="G3540" s="1" t="inlineStr">
        <is>
          <t>Medium</t>
        </is>
      </c>
      <c r="H3540" s="1" t="n">
        <v>27840</v>
      </c>
      <c r="I3540" s="1" t="n">
        <v>75644</v>
      </c>
      <c r="J3540" s="9" t="n">
        <v>0.368</v>
      </c>
      <c r="K3540" s="1" t="inlineStr">
        <is>
          <t>Yes</t>
        </is>
      </c>
      <c r="L3540" s="1" t="inlineStr">
        <is>
          <t>No</t>
        </is>
      </c>
      <c r="M3540" s="1" t="inlineStr">
        <is>
          <t>No</t>
        </is>
      </c>
      <c r="N3540" s="1" t="inlineStr">
        <is>
          <t>Algorithms</t>
        </is>
      </c>
      <c r="O35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40" s="11" t="inlineStr">
        <is>
          <t>To Do</t>
        </is>
      </c>
    </row>
    <row r="3541" ht="15.75" customHeight="1" s="12">
      <c r="A3541" s="1" t="n">
        <v>3768</v>
      </c>
      <c r="B3541" s="3">
        <f>HYPERLINK("https://leetcode.com/problems/minimum-inversion-count-in-subarrays-of-fixed-length/", "Minimum Inversion Count in Subarrays of Fixed Length")</f>
        <v/>
      </c>
      <c r="C3541" s="1" t="n">
        <v>50</v>
      </c>
      <c r="D3541" s="1" t="n">
        <v>4</v>
      </c>
      <c r="E3541" s="4">
        <f>IF(INDEX(C:C, ROW())+INDEX(D:D, ROW())=0, 0, INDEX(C:C, ROW())/(INDEX(C:C, ROW())+INDEX(D:D, ROW())))</f>
        <v/>
      </c>
      <c r="F3541" s="1" t="inlineStr">
        <is>
          <t>Array, Segment Tree, Sliding Window</t>
        </is>
      </c>
      <c r="G3541" s="1" t="inlineStr">
        <is>
          <t>Hard</t>
        </is>
      </c>
      <c r="H3541" s="1" t="n">
        <v>5079</v>
      </c>
      <c r="I3541" s="1" t="n">
        <v>11888</v>
      </c>
      <c r="J3541" s="9" t="n">
        <v>0.427</v>
      </c>
      <c r="K3541" s="1" t="inlineStr">
        <is>
          <t>Yes</t>
        </is>
      </c>
      <c r="L3541" s="1" t="inlineStr">
        <is>
          <t>No</t>
        </is>
      </c>
      <c r="M3541" s="1" t="inlineStr">
        <is>
          <t>No</t>
        </is>
      </c>
      <c r="N3541" s="1" t="inlineStr">
        <is>
          <t>Algorithms</t>
        </is>
      </c>
      <c r="O35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41" s="11" t="inlineStr">
        <is>
          <t>To Do</t>
        </is>
      </c>
    </row>
    <row r="3542" ht="15.75" customHeight="1" s="12">
      <c r="A3542" s="1" t="n">
        <v>2199</v>
      </c>
      <c r="B3542" s="3">
        <f>HYPERLINK("https://leetcode.com/problems/finding-the-topic-of-each-post/", "Finding the Topic of Each Post")</f>
        <v/>
      </c>
      <c r="C3542" s="1" t="n">
        <v>49</v>
      </c>
      <c r="D3542" s="1" t="n">
        <v>15</v>
      </c>
      <c r="E3542" s="4">
        <f>IF(INDEX(C:C, ROW())+INDEX(D:D, ROW())=0, 0, INDEX(C:C, ROW())/(INDEX(C:C, ROW())+INDEX(D:D, ROW())))</f>
        <v/>
      </c>
      <c r="F3542" s="1" t="inlineStr">
        <is>
          <t>Database</t>
        </is>
      </c>
      <c r="G3542" s="1" t="inlineStr">
        <is>
          <t>Hard</t>
        </is>
      </c>
      <c r="H3542" s="1" t="n">
        <v>5443</v>
      </c>
      <c r="I3542" s="1" t="n">
        <v>10798</v>
      </c>
      <c r="J3542" s="9" t="n">
        <v>0.504</v>
      </c>
      <c r="K3542" s="1" t="inlineStr">
        <is>
          <t>No</t>
        </is>
      </c>
      <c r="L3542" s="1" t="inlineStr">
        <is>
          <t>No</t>
        </is>
      </c>
      <c r="M3542" s="1" t="inlineStr">
        <is>
          <t>No</t>
        </is>
      </c>
      <c r="N3542" s="1" t="inlineStr">
        <is>
          <t>Database</t>
        </is>
      </c>
      <c r="O35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42" s="11" t="inlineStr">
        <is>
          <t>To Do</t>
        </is>
      </c>
    </row>
    <row r="3543" ht="15.75" customHeight="1" s="12">
      <c r="A3543" s="1" t="n">
        <v>2339</v>
      </c>
      <c r="B3543" s="3">
        <f>HYPERLINK("https://leetcode.com/problems/all-the-matches-of-the-league/", "All the Matches of the League")</f>
        <v/>
      </c>
      <c r="C3543" s="1" t="n">
        <v>49</v>
      </c>
      <c r="D3543" s="1" t="n">
        <v>4</v>
      </c>
      <c r="E3543" s="4">
        <f>IF(INDEX(C:C, ROW())+INDEX(D:D, ROW())=0, 0, INDEX(C:C, ROW())/(INDEX(C:C, ROW())+INDEX(D:D, ROW())))</f>
        <v/>
      </c>
      <c r="F3543" s="1" t="inlineStr">
        <is>
          <t>Database</t>
        </is>
      </c>
      <c r="G3543" s="1" t="inlineStr">
        <is>
          <t>Easy</t>
        </is>
      </c>
      <c r="H3543" s="1" t="n">
        <v>11654</v>
      </c>
      <c r="I3543" s="1" t="n">
        <v>13154</v>
      </c>
      <c r="J3543" s="9" t="n">
        <v>0.886</v>
      </c>
      <c r="K3543" s="1" t="inlineStr">
        <is>
          <t>No</t>
        </is>
      </c>
      <c r="L3543" s="1" t="inlineStr">
        <is>
          <t>No</t>
        </is>
      </c>
      <c r="M3543" s="1" t="inlineStr">
        <is>
          <t>No</t>
        </is>
      </c>
      <c r="N3543" s="1" t="inlineStr">
        <is>
          <t>Database</t>
        </is>
      </c>
      <c r="O35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43" s="11" t="inlineStr">
        <is>
          <t>To Do</t>
        </is>
      </c>
    </row>
    <row r="3544" ht="15.75" customHeight="1" s="12">
      <c r="A3544" s="1" t="n">
        <v>3063</v>
      </c>
      <c r="B3544" s="3">
        <f>HYPERLINK("https://leetcode.com/problems/linked-list-frequency/", "Linked List Frequency")</f>
        <v/>
      </c>
      <c r="C3544" s="1" t="n">
        <v>49</v>
      </c>
      <c r="D3544" s="1" t="n">
        <v>21</v>
      </c>
      <c r="E3544" s="4">
        <f>IF(INDEX(C:C, ROW())+INDEX(D:D, ROW())=0, 0, INDEX(C:C, ROW())/(INDEX(C:C, ROW())+INDEX(D:D, ROW())))</f>
        <v/>
      </c>
      <c r="F3544" s="1" t="inlineStr">
        <is>
          <t>Hash Table, Linked List, Counting</t>
        </is>
      </c>
      <c r="G3544" s="1" t="inlineStr">
        <is>
          <t>Easy</t>
        </is>
      </c>
      <c r="H3544" s="1" t="n">
        <v>15105</v>
      </c>
      <c r="I3544" s="1" t="n">
        <v>17682</v>
      </c>
      <c r="J3544" s="9" t="n">
        <v>0.854</v>
      </c>
      <c r="K3544" s="1" t="inlineStr">
        <is>
          <t>No</t>
        </is>
      </c>
      <c r="L3544" s="1" t="inlineStr">
        <is>
          <t>Yes</t>
        </is>
      </c>
      <c r="M3544" s="1" t="inlineStr">
        <is>
          <t>No</t>
        </is>
      </c>
      <c r="N3544" s="1" t="inlineStr">
        <is>
          <t>Algorithms</t>
        </is>
      </c>
      <c r="O35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44" s="11" t="inlineStr">
        <is>
          <t>To Do</t>
        </is>
      </c>
    </row>
    <row r="3545" ht="15.75" customHeight="1" s="12">
      <c r="A3545" s="1" t="n">
        <v>3683</v>
      </c>
      <c r="B3545" s="3">
        <f>HYPERLINK("https://leetcode.com/problems/earliest-time-to-finish-one-task/", "Earliest Time to Finish One Task")</f>
        <v/>
      </c>
      <c r="C3545" s="1" t="n">
        <v>49</v>
      </c>
      <c r="D3545" s="1" t="n">
        <v>3</v>
      </c>
      <c r="E3545" s="4">
        <f>IF(INDEX(C:C, ROW())+INDEX(D:D, ROW())=0, 0, INDEX(C:C, ROW())/(INDEX(C:C, ROW())+INDEX(D:D, ROW())))</f>
        <v/>
      </c>
      <c r="F3545" s="1" t="inlineStr">
        <is>
          <t>Array</t>
        </is>
      </c>
      <c r="G3545" s="1" t="inlineStr">
        <is>
          <t>Easy</t>
        </is>
      </c>
      <c r="H3545" s="1" t="n">
        <v>72083</v>
      </c>
      <c r="I3545" s="1" t="n">
        <v>85204</v>
      </c>
      <c r="J3545" s="9" t="n">
        <v>0.846</v>
      </c>
      <c r="K3545" s="1" t="inlineStr">
        <is>
          <t>Yes</t>
        </is>
      </c>
      <c r="L3545" s="1" t="inlineStr">
        <is>
          <t>No</t>
        </is>
      </c>
      <c r="M3545" s="1" t="inlineStr">
        <is>
          <t>No</t>
        </is>
      </c>
      <c r="N3545" s="1" t="inlineStr">
        <is>
          <t>Algorithms</t>
        </is>
      </c>
      <c r="O35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45" s="13" t="inlineStr">
        <is>
          <t>Done</t>
        </is>
      </c>
    </row>
    <row r="3546" ht="15.75" customHeight="1" s="12">
      <c r="A3546" s="1" t="n">
        <v>3751</v>
      </c>
      <c r="B3546" s="3">
        <f>HYPERLINK("https://leetcode.com/problems/total-waviness-of-numbers-in-range-i/", "Total Waviness of Numbers in Range I")</f>
        <v/>
      </c>
      <c r="C3546" s="1" t="n">
        <v>49</v>
      </c>
      <c r="D3546" s="1" t="n">
        <v>3</v>
      </c>
      <c r="E3546" s="4">
        <f>IF(INDEX(C:C, ROW())+INDEX(D:D, ROW())=0, 0, INDEX(C:C, ROW())/(INDEX(C:C, ROW())+INDEX(D:D, ROW())))</f>
        <v/>
      </c>
      <c r="F3546" s="1" t="inlineStr">
        <is>
          <t>Math, Dynamic Programming, Enumeration</t>
        </is>
      </c>
      <c r="G3546" s="1" t="inlineStr">
        <is>
          <t>Medium</t>
        </is>
      </c>
      <c r="H3546" s="1" t="n">
        <v>27013</v>
      </c>
      <c r="I3546" s="1" t="n">
        <v>33433</v>
      </c>
      <c r="J3546" s="9" t="n">
        <v>0.8080000000000001</v>
      </c>
      <c r="K3546" s="1" t="inlineStr">
        <is>
          <t>Yes</t>
        </is>
      </c>
      <c r="L3546" s="1" t="inlineStr">
        <is>
          <t>No</t>
        </is>
      </c>
      <c r="M3546" s="1" t="inlineStr">
        <is>
          <t>No</t>
        </is>
      </c>
      <c r="N3546" s="1" t="inlineStr">
        <is>
          <t>Algorithms</t>
        </is>
      </c>
      <c r="O35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46" s="11" t="inlineStr">
        <is>
          <t>To Do</t>
        </is>
      </c>
    </row>
    <row r="3547" ht="15.75" customHeight="1" s="12">
      <c r="A3547" s="1" t="n">
        <v>3839</v>
      </c>
      <c r="B3547" s="3">
        <f>HYPERLINK("https://leetcode.com/problems/number-of-prefix-connected-groups/", "Number of Prefix Connected Groups")</f>
        <v/>
      </c>
      <c r="C3547" s="1" t="n">
        <v>49</v>
      </c>
      <c r="D3547" s="1" t="n">
        <v>4</v>
      </c>
      <c r="E3547" s="4">
        <f>IF(INDEX(C:C, ROW())+INDEX(D:D, ROW())=0, 0, INDEX(C:C, ROW())/(INDEX(C:C, ROW())+INDEX(D:D, ROW())))</f>
        <v/>
      </c>
      <c r="F3547" s="1" t="inlineStr">
        <is>
          <t>Array, Hash Table, String, Counting</t>
        </is>
      </c>
      <c r="G3547" s="1" t="inlineStr">
        <is>
          <t>Medium</t>
        </is>
      </c>
      <c r="H3547" s="1" t="n">
        <v>38828</v>
      </c>
      <c r="I3547" s="1" t="n">
        <v>64049</v>
      </c>
      <c r="J3547" s="9" t="n">
        <v>0.606</v>
      </c>
      <c r="K3547" s="1" t="inlineStr">
        <is>
          <t>Yes</t>
        </is>
      </c>
      <c r="L3547" s="1" t="inlineStr">
        <is>
          <t>No</t>
        </is>
      </c>
      <c r="M3547" s="1" t="inlineStr">
        <is>
          <t>No</t>
        </is>
      </c>
      <c r="N3547" s="1" t="inlineStr">
        <is>
          <t>Algorithms</t>
        </is>
      </c>
      <c r="O35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47" s="11" t="inlineStr">
        <is>
          <t>To Do</t>
        </is>
      </c>
    </row>
    <row r="3548" ht="15.75" customHeight="1" s="12">
      <c r="A3548" s="1" t="n">
        <v>1794</v>
      </c>
      <c r="B3548" s="3">
        <f>HYPERLINK("https://leetcode.com/problems/count-pairs-of-equal-substrings-with-minimum-difference/", "Count Pairs of Equal Substrings With Minimum Difference")</f>
        <v/>
      </c>
      <c r="C3548" s="1" t="n">
        <v>48</v>
      </c>
      <c r="D3548" s="1" t="n">
        <v>62</v>
      </c>
      <c r="E3548" s="4">
        <f>IF(INDEX(C:C, ROW())+INDEX(D:D, ROW())=0, 0, INDEX(C:C, ROW())/(INDEX(C:C, ROW())+INDEX(D:D, ROW())))</f>
        <v/>
      </c>
      <c r="F3548" s="1" t="inlineStr">
        <is>
          <t>Hash Table, String, Greedy</t>
        </is>
      </c>
      <c r="G3548" s="1" t="inlineStr">
        <is>
          <t>Medium</t>
        </is>
      </c>
      <c r="H3548" s="1" t="n">
        <v>2493</v>
      </c>
      <c r="I3548" s="1" t="n">
        <v>3892</v>
      </c>
      <c r="J3548" s="9" t="n">
        <v>0.641</v>
      </c>
      <c r="K3548" s="1" t="inlineStr">
        <is>
          <t>No</t>
        </is>
      </c>
      <c r="L3548" s="1" t="inlineStr">
        <is>
          <t>No</t>
        </is>
      </c>
      <c r="M3548" s="1" t="inlineStr">
        <is>
          <t>No</t>
        </is>
      </c>
      <c r="N3548" s="1" t="inlineStr">
        <is>
          <t>Algorithms</t>
        </is>
      </c>
      <c r="O35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48" s="11" t="inlineStr">
        <is>
          <t>To Do</t>
        </is>
      </c>
    </row>
    <row r="3549" ht="15.75" customHeight="1" s="12">
      <c r="A3549" s="1" t="n">
        <v>2175</v>
      </c>
      <c r="B3549" s="3">
        <f>HYPERLINK("https://leetcode.com/problems/the-change-in-global-rankings/", "The Change in Global Rankings")</f>
        <v/>
      </c>
      <c r="C3549" s="1" t="n">
        <v>48</v>
      </c>
      <c r="D3549" s="1" t="n">
        <v>19</v>
      </c>
      <c r="E3549" s="4">
        <f>IF(INDEX(C:C, ROW())+INDEX(D:D, ROW())=0, 0, INDEX(C:C, ROW())/(INDEX(C:C, ROW())+INDEX(D:D, ROW())))</f>
        <v/>
      </c>
      <c r="F3549" s="1" t="inlineStr">
        <is>
          <t>Database</t>
        </is>
      </c>
      <c r="G3549" s="1" t="inlineStr">
        <is>
          <t>Medium</t>
        </is>
      </c>
      <c r="H3549" s="1" t="n">
        <v>9085</v>
      </c>
      <c r="I3549" s="1" t="n">
        <v>14859</v>
      </c>
      <c r="J3549" s="9" t="n">
        <v>0.611</v>
      </c>
      <c r="K3549" s="1" t="inlineStr">
        <is>
          <t>No</t>
        </is>
      </c>
      <c r="L3549" s="1" t="inlineStr">
        <is>
          <t>No</t>
        </is>
      </c>
      <c r="M3549" s="1" t="inlineStr">
        <is>
          <t>No</t>
        </is>
      </c>
      <c r="N3549" s="1" t="inlineStr">
        <is>
          <t>Database</t>
        </is>
      </c>
      <c r="O35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49" s="11" t="inlineStr">
        <is>
          <t>To Do</t>
        </is>
      </c>
    </row>
    <row r="3550" ht="15.75" customHeight="1" s="12">
      <c r="A3550" s="1" t="n">
        <v>2590</v>
      </c>
      <c r="B3550" s="3">
        <f>HYPERLINK("https://leetcode.com/problems/design-a-todo-list/", "Design a Todo List")</f>
        <v/>
      </c>
      <c r="C3550" s="1" t="n">
        <v>48</v>
      </c>
      <c r="D3550" s="1" t="n">
        <v>15</v>
      </c>
      <c r="E3550" s="4">
        <f>IF(INDEX(C:C, ROW())+INDEX(D:D, ROW())=0, 0, INDEX(C:C, ROW())/(INDEX(C:C, ROW())+INDEX(D:D, ROW())))</f>
        <v/>
      </c>
      <c r="F3550" s="1" t="inlineStr">
        <is>
          <t>Array, Hash Table, String, Design, Sorting</t>
        </is>
      </c>
      <c r="G3550" s="1" t="inlineStr">
        <is>
          <t>Medium</t>
        </is>
      </c>
      <c r="H3550" s="1" t="n">
        <v>4336</v>
      </c>
      <c r="I3550" s="1" t="n">
        <v>7287</v>
      </c>
      <c r="J3550" s="9" t="n">
        <v>0.595</v>
      </c>
      <c r="K3550" s="1" t="inlineStr">
        <is>
          <t>No</t>
        </is>
      </c>
      <c r="L3550" s="1" t="inlineStr">
        <is>
          <t>No</t>
        </is>
      </c>
      <c r="M3550" s="1" t="inlineStr">
        <is>
          <t>No</t>
        </is>
      </c>
      <c r="N3550" s="1" t="inlineStr">
        <is>
          <t>Algorithms</t>
        </is>
      </c>
      <c r="O35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50" s="11" t="inlineStr">
        <is>
          <t>To Do</t>
        </is>
      </c>
    </row>
    <row r="3551" ht="15.75" customHeight="1" s="12">
      <c r="A3551" s="1" t="n">
        <v>3382</v>
      </c>
      <c r="B3551" s="3">
        <f>HYPERLINK("https://leetcode.com/problems/maximum-area-rectangle-with-point-constraints-ii/", "Maximum Area Rectangle With Point Constraints II")</f>
        <v/>
      </c>
      <c r="C3551" s="1" t="n">
        <v>48</v>
      </c>
      <c r="D3551" s="1" t="n">
        <v>9</v>
      </c>
      <c r="E3551" s="4">
        <f>IF(INDEX(C:C, ROW())+INDEX(D:D, ROW())=0, 0, INDEX(C:C, ROW())/(INDEX(C:C, ROW())+INDEX(D:D, ROW())))</f>
        <v/>
      </c>
      <c r="F3551" s="1" t="inlineStr">
        <is>
          <t>Array, Math, Binary Indexed Tree, Segment Tree, Geometry, Sorting</t>
        </is>
      </c>
      <c r="G3551" s="1" t="inlineStr">
        <is>
          <t>Hard</t>
        </is>
      </c>
      <c r="H3551" s="1" t="n">
        <v>3204</v>
      </c>
      <c r="I3551" s="1" t="n">
        <v>13344</v>
      </c>
      <c r="J3551" s="9" t="n">
        <v>0.24</v>
      </c>
      <c r="K3551" s="1" t="inlineStr">
        <is>
          <t>Yes</t>
        </is>
      </c>
      <c r="L3551" s="1" t="inlineStr">
        <is>
          <t>No</t>
        </is>
      </c>
      <c r="M3551" s="1" t="inlineStr">
        <is>
          <t>No</t>
        </is>
      </c>
      <c r="N3551" s="1" t="inlineStr">
        <is>
          <t>Algorithms</t>
        </is>
      </c>
      <c r="O35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51" s="11" t="inlineStr">
        <is>
          <t>To Do</t>
        </is>
      </c>
    </row>
    <row r="3552" ht="15.75" customHeight="1" s="12">
      <c r="A3552" s="1" t="n">
        <v>3533</v>
      </c>
      <c r="B3552" s="3">
        <f>HYPERLINK("https://leetcode.com/problems/concatenated-divisibility/", "Concatenated Divisibility")</f>
        <v/>
      </c>
      <c r="C3552" s="1" t="n">
        <v>48</v>
      </c>
      <c r="D3552" s="1" t="n">
        <v>7</v>
      </c>
      <c r="E3552" s="4">
        <f>IF(INDEX(C:C, ROW())+INDEX(D:D, ROW())=0, 0, INDEX(C:C, ROW())/(INDEX(C:C, ROW())+INDEX(D:D, ROW())))</f>
        <v/>
      </c>
      <c r="F3552" s="1" t="inlineStr">
        <is>
          <t>Array, Dynamic Programming, Bit Manipulation, Bitmask</t>
        </is>
      </c>
      <c r="G3552" s="1" t="inlineStr">
        <is>
          <t>Hard</t>
        </is>
      </c>
      <c r="H3552" s="1" t="n">
        <v>6248</v>
      </c>
      <c r="I3552" s="1" t="n">
        <v>20241</v>
      </c>
      <c r="J3552" s="9" t="n">
        <v>0.309</v>
      </c>
      <c r="K3552" s="1" t="inlineStr">
        <is>
          <t>Yes</t>
        </is>
      </c>
      <c r="L3552" s="1" t="inlineStr">
        <is>
          <t>No</t>
        </is>
      </c>
      <c r="M3552" s="1" t="inlineStr">
        <is>
          <t>No</t>
        </is>
      </c>
      <c r="N3552" s="1" t="inlineStr">
        <is>
          <t>Algorithms</t>
        </is>
      </c>
      <c r="O35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52" s="11" t="inlineStr">
        <is>
          <t>To Do</t>
        </is>
      </c>
    </row>
    <row r="3553" ht="15.75" customHeight="1" s="12">
      <c r="A3553" s="1" t="n">
        <v>3574</v>
      </c>
      <c r="B3553" s="3">
        <f>HYPERLINK("https://leetcode.com/problems/maximize-subarray-gcd-score/", "Maximize Subarray GCD Score")</f>
        <v/>
      </c>
      <c r="C3553" s="1" t="n">
        <v>48</v>
      </c>
      <c r="D3553" s="1" t="n">
        <v>4</v>
      </c>
      <c r="E3553" s="4">
        <f>IF(INDEX(C:C, ROW())+INDEX(D:D, ROW())=0, 0, INDEX(C:C, ROW())/(INDEX(C:C, ROW())+INDEX(D:D, ROW())))</f>
        <v/>
      </c>
      <c r="F3553" s="1" t="inlineStr">
        <is>
          <t>Array, Math, Enumeration, Number Theory</t>
        </is>
      </c>
      <c r="G3553" s="1" t="inlineStr">
        <is>
          <t>Hard</t>
        </is>
      </c>
      <c r="H3553" s="1" t="n">
        <v>6268</v>
      </c>
      <c r="I3553" s="1" t="n">
        <v>25076</v>
      </c>
      <c r="J3553" s="9" t="n">
        <v>0.25</v>
      </c>
      <c r="K3553" s="1" t="inlineStr">
        <is>
          <t>Yes</t>
        </is>
      </c>
      <c r="L3553" s="1" t="inlineStr">
        <is>
          <t>No</t>
        </is>
      </c>
      <c r="M3553" s="1" t="inlineStr">
        <is>
          <t>No</t>
        </is>
      </c>
      <c r="N3553" s="1" t="inlineStr">
        <is>
          <t>Algorithms</t>
        </is>
      </c>
      <c r="O35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53" s="11" t="inlineStr">
        <is>
          <t>To Do</t>
        </is>
      </c>
    </row>
    <row r="3554" ht="15.75" customHeight="1" s="12">
      <c r="A3554" s="1" t="n">
        <v>3794</v>
      </c>
      <c r="B3554" s="3">
        <f>HYPERLINK("https://leetcode.com/problems/reverse-string-prefix/", "Reverse String Prefix")</f>
        <v/>
      </c>
      <c r="C3554" s="1" t="n">
        <v>48</v>
      </c>
      <c r="D3554" s="1" t="n">
        <v>1</v>
      </c>
      <c r="E3554" s="4">
        <f>IF(INDEX(C:C, ROW())+INDEX(D:D, ROW())=0, 0, INDEX(C:C, ROW())/(INDEX(C:C, ROW())+INDEX(D:D, ROW())))</f>
        <v/>
      </c>
      <c r="F3554" s="1" t="inlineStr">
        <is>
          <t>Two Pointers, String</t>
        </is>
      </c>
      <c r="G3554" s="1" t="inlineStr">
        <is>
          <t>Easy</t>
        </is>
      </c>
      <c r="H3554" s="1" t="n">
        <v>63046</v>
      </c>
      <c r="I3554" s="1" t="n">
        <v>70464</v>
      </c>
      <c r="J3554" s="9" t="n">
        <v>0.895</v>
      </c>
      <c r="K3554" s="1" t="inlineStr">
        <is>
          <t>Yes</t>
        </is>
      </c>
      <c r="L3554" s="1" t="inlineStr">
        <is>
          <t>No</t>
        </is>
      </c>
      <c r="M3554" s="1" t="inlineStr">
        <is>
          <t>No</t>
        </is>
      </c>
      <c r="N3554" s="1" t="inlineStr">
        <is>
          <t>Algorithms</t>
        </is>
      </c>
      <c r="O35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54" s="13" t="inlineStr">
        <is>
          <t>Done</t>
        </is>
      </c>
    </row>
    <row r="3555" ht="15.75" customHeight="1" s="12">
      <c r="A3555" s="1" t="n">
        <v>3849</v>
      </c>
      <c r="B3555" s="3">
        <f>HYPERLINK("https://leetcode.com/problems/maximum-bitwise-xor-after-rearrangement/", "Maximum Bitwise XOR After Rearrangement")</f>
        <v/>
      </c>
      <c r="C3555" s="1" t="n">
        <v>48</v>
      </c>
      <c r="D3555" s="1" t="n">
        <v>2</v>
      </c>
      <c r="E3555" s="4">
        <f>IF(INDEX(C:C, ROW())+INDEX(D:D, ROW())=0, 0, INDEX(C:C, ROW())/(INDEX(C:C, ROW())+INDEX(D:D, ROW())))</f>
        <v/>
      </c>
      <c r="F3555" s="1" t="inlineStr">
        <is>
          <t>String, Greedy, Bit Manipulation</t>
        </is>
      </c>
      <c r="G3555" s="1" t="inlineStr">
        <is>
          <t>Medium</t>
        </is>
      </c>
      <c r="H3555" s="1" t="n">
        <v>32769</v>
      </c>
      <c r="I3555" s="1" t="n">
        <v>46022</v>
      </c>
      <c r="J3555" s="9" t="n">
        <v>0.712</v>
      </c>
      <c r="K3555" s="1" t="inlineStr">
        <is>
          <t>Yes</t>
        </is>
      </c>
      <c r="L3555" s="1" t="inlineStr">
        <is>
          <t>No</t>
        </is>
      </c>
      <c r="M3555" s="1" t="inlineStr">
        <is>
          <t>No</t>
        </is>
      </c>
      <c r="N3555" s="1" t="inlineStr">
        <is>
          <t>Algorithms</t>
        </is>
      </c>
      <c r="O35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55" s="11" t="inlineStr">
        <is>
          <t>To Do</t>
        </is>
      </c>
    </row>
    <row r="3556" ht="15.75" customHeight="1" s="12">
      <c r="A3556" s="1" t="n">
        <v>3890</v>
      </c>
      <c r="B3556" s="3">
        <f>HYPERLINK("https://leetcode.com/problems/integers-with-multiple-sum-of-two-cubes/", "Integers With Multiple Sum of Two Cubes")</f>
        <v/>
      </c>
      <c r="C3556" s="1" t="n">
        <v>48</v>
      </c>
      <c r="D3556" s="1" t="n">
        <v>3</v>
      </c>
      <c r="E3556" s="4">
        <f>IF(INDEX(C:C, ROW())+INDEX(D:D, ROW())=0, 0, INDEX(C:C, ROW())/(INDEX(C:C, ROW())+INDEX(D:D, ROW())))</f>
        <v/>
      </c>
      <c r="F3556" s="1" t="inlineStr">
        <is>
          <t>Hash Table, Sorting, Counting, Enumeration</t>
        </is>
      </c>
      <c r="G3556" s="1" t="inlineStr">
        <is>
          <t>Medium</t>
        </is>
      </c>
      <c r="H3556" s="1" t="n">
        <v>31464</v>
      </c>
      <c r="I3556" s="1" t="n">
        <v>56522</v>
      </c>
      <c r="J3556" s="9" t="n">
        <v>0.5570000000000001</v>
      </c>
      <c r="K3556" s="1" t="inlineStr">
        <is>
          <t>Yes</t>
        </is>
      </c>
      <c r="L3556" s="1" t="inlineStr">
        <is>
          <t>No</t>
        </is>
      </c>
      <c r="M3556" s="1" t="inlineStr">
        <is>
          <t>No</t>
        </is>
      </c>
      <c r="N3556" s="1" t="inlineStr">
        <is>
          <t>Algorithms</t>
        </is>
      </c>
      <c r="O35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56" s="11" t="inlineStr">
        <is>
          <t>To Do</t>
        </is>
      </c>
    </row>
    <row r="3557" ht="15.75" customHeight="1" s="12">
      <c r="A3557" s="1" t="n">
        <v>3914</v>
      </c>
      <c r="B3557" s="3">
        <f>HYPERLINK("https://leetcode.com/problems/minimum-operations-to-make-array-non-decreasing/", "Minimum Operations to Make Array Non Decreasing")</f>
        <v/>
      </c>
      <c r="C3557" s="1" t="n">
        <v>48</v>
      </c>
      <c r="D3557" s="1" t="n">
        <v>2</v>
      </c>
      <c r="E3557" s="4">
        <f>IF(INDEX(C:C, ROW())+INDEX(D:D, ROW())=0, 0, INDEX(C:C, ROW())/(INDEX(C:C, ROW())+INDEX(D:D, ROW())))</f>
        <v/>
      </c>
      <c r="F3557" s="2" t="n"/>
      <c r="G3557" s="1" t="inlineStr">
        <is>
          <t>Medium</t>
        </is>
      </c>
      <c r="H3557" s="1" t="n">
        <v>20038</v>
      </c>
      <c r="I3557" s="1" t="n">
        <v>36695</v>
      </c>
      <c r="J3557" s="9" t="n">
        <v>0.546</v>
      </c>
      <c r="K3557" s="1" t="inlineStr">
        <is>
          <t>Yes</t>
        </is>
      </c>
      <c r="L3557" s="1" t="inlineStr">
        <is>
          <t>No</t>
        </is>
      </c>
      <c r="M3557" s="1" t="inlineStr">
        <is>
          <t>No</t>
        </is>
      </c>
      <c r="N3557" s="1" t="inlineStr">
        <is>
          <t>Algorithms</t>
        </is>
      </c>
      <c r="O35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57" s="11" t="inlineStr">
        <is>
          <t>To Do</t>
        </is>
      </c>
    </row>
    <row r="3558" ht="15.75" customHeight="1" s="12">
      <c r="A3558" s="1" t="n">
        <v>1118</v>
      </c>
      <c r="B3558" s="3">
        <f>HYPERLINK("https://leetcode.com/problems/number-of-days-in-a-month/", "Number of Days in a Month")</f>
        <v/>
      </c>
      <c r="C3558" s="1" t="n">
        <v>47</v>
      </c>
      <c r="D3558" s="1" t="n">
        <v>180</v>
      </c>
      <c r="E3558" s="4">
        <f>IF(INDEX(C:C, ROW())+INDEX(D:D, ROW())=0, 0, INDEX(C:C, ROW())/(INDEX(C:C, ROW())+INDEX(D:D, ROW())))</f>
        <v/>
      </c>
      <c r="F3558" s="1" t="inlineStr">
        <is>
          <t>Math</t>
        </is>
      </c>
      <c r="G3558" s="1" t="inlineStr">
        <is>
          <t>Easy</t>
        </is>
      </c>
      <c r="H3558" s="1" t="n">
        <v>9741</v>
      </c>
      <c r="I3558" s="1" t="n">
        <v>16418</v>
      </c>
      <c r="J3558" s="9" t="n">
        <v>0.593</v>
      </c>
      <c r="K3558" s="1" t="inlineStr">
        <is>
          <t>No</t>
        </is>
      </c>
      <c r="L3558" s="1" t="inlineStr">
        <is>
          <t>No</t>
        </is>
      </c>
      <c r="M3558" s="1" t="inlineStr">
        <is>
          <t>No</t>
        </is>
      </c>
      <c r="N3558" s="1" t="inlineStr">
        <is>
          <t>Algorithms</t>
        </is>
      </c>
      <c r="O35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58" s="11" t="inlineStr">
        <is>
          <t>To Do</t>
        </is>
      </c>
    </row>
    <row r="3559" ht="15.75" customHeight="1" s="12">
      <c r="A3559" s="1" t="n">
        <v>3455</v>
      </c>
      <c r="B3559" s="3">
        <f>HYPERLINK("https://leetcode.com/problems/shortest-matching-substring/", "Shortest Matching Substring")</f>
        <v/>
      </c>
      <c r="C3559" s="1" t="n">
        <v>47</v>
      </c>
      <c r="D3559" s="1" t="n">
        <v>3</v>
      </c>
      <c r="E3559" s="4">
        <f>IF(INDEX(C:C, ROW())+INDEX(D:D, ROW())=0, 0, INDEX(C:C, ROW())/(INDEX(C:C, ROW())+INDEX(D:D, ROW())))</f>
        <v/>
      </c>
      <c r="F3559" s="1" t="inlineStr">
        <is>
          <t>Two Pointers, String, Binary Search, String Matching</t>
        </is>
      </c>
      <c r="G3559" s="1" t="inlineStr">
        <is>
          <t>Hard</t>
        </is>
      </c>
      <c r="H3559" s="1" t="n">
        <v>6548</v>
      </c>
      <c r="I3559" s="1" t="n">
        <v>27124</v>
      </c>
      <c r="J3559" s="9" t="n">
        <v>0.241</v>
      </c>
      <c r="K3559" s="1" t="inlineStr">
        <is>
          <t>Yes</t>
        </is>
      </c>
      <c r="L3559" s="1" t="inlineStr">
        <is>
          <t>No</t>
        </is>
      </c>
      <c r="M3559" s="1" t="inlineStr">
        <is>
          <t>No</t>
        </is>
      </c>
      <c r="N3559" s="1" t="inlineStr">
        <is>
          <t>Algorithms</t>
        </is>
      </c>
      <c r="O35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59" s="11" t="inlineStr">
        <is>
          <t>To Do</t>
        </is>
      </c>
    </row>
    <row r="3560" ht="15.75" customHeight="1" s="12">
      <c r="A3560" s="1" t="n">
        <v>3522</v>
      </c>
      <c r="B3560" s="3">
        <f>HYPERLINK("https://leetcode.com/problems/calculate-score-after-performing-instructions/", "Calculate Score After Performing Instructions")</f>
        <v/>
      </c>
      <c r="C3560" s="1" t="n">
        <v>47</v>
      </c>
      <c r="D3560" s="1" t="n">
        <v>10</v>
      </c>
      <c r="E3560" s="4">
        <f>IF(INDEX(C:C, ROW())+INDEX(D:D, ROW())=0, 0, INDEX(C:C, ROW())/(INDEX(C:C, ROW())+INDEX(D:D, ROW())))</f>
        <v/>
      </c>
      <c r="F3560" s="1" t="inlineStr">
        <is>
          <t>Array, Hash Table, String, Simulation</t>
        </is>
      </c>
      <c r="G3560" s="1" t="inlineStr">
        <is>
          <t>Medium</t>
        </is>
      </c>
      <c r="H3560" s="1" t="n">
        <v>40647</v>
      </c>
      <c r="I3560" s="1" t="n">
        <v>71223</v>
      </c>
      <c r="J3560" s="9" t="n">
        <v>0.571</v>
      </c>
      <c r="K3560" s="1" t="inlineStr">
        <is>
          <t>Yes</t>
        </is>
      </c>
      <c r="L3560" s="1" t="inlineStr">
        <is>
          <t>No</t>
        </is>
      </c>
      <c r="M3560" s="1" t="inlineStr">
        <is>
          <t>No</t>
        </is>
      </c>
      <c r="N3560" s="1" t="inlineStr">
        <is>
          <t>Algorithms</t>
        </is>
      </c>
      <c r="O35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60" s="11" t="inlineStr">
        <is>
          <t>To Do</t>
        </is>
      </c>
    </row>
    <row r="3561" ht="15.75" customHeight="1" s="12">
      <c r="A3561" s="1" t="n">
        <v>3626</v>
      </c>
      <c r="B3561" s="3">
        <f>HYPERLINK("https://leetcode.com/problems/find-stores-with-inventory-imbalance/", "Find Stores with Inventory Imbalance")</f>
        <v/>
      </c>
      <c r="C3561" s="1" t="n">
        <v>47</v>
      </c>
      <c r="D3561" s="1" t="n">
        <v>9</v>
      </c>
      <c r="E3561" s="4">
        <f>IF(INDEX(C:C, ROW())+INDEX(D:D, ROW())=0, 0, INDEX(C:C, ROW())/(INDEX(C:C, ROW())+INDEX(D:D, ROW())))</f>
        <v/>
      </c>
      <c r="F3561" s="2" t="n"/>
      <c r="G3561" s="1" t="inlineStr">
        <is>
          <t>Medium</t>
        </is>
      </c>
      <c r="H3561" s="1" t="n">
        <v>8558</v>
      </c>
      <c r="I3561" s="1" t="n">
        <v>17617</v>
      </c>
      <c r="J3561" s="9" t="n">
        <v>0.486</v>
      </c>
      <c r="K3561" s="1" t="inlineStr">
        <is>
          <t>Yes</t>
        </is>
      </c>
      <c r="L3561" s="1" t="inlineStr">
        <is>
          <t>No</t>
        </is>
      </c>
      <c r="M3561" s="1" t="inlineStr">
        <is>
          <t>No</t>
        </is>
      </c>
      <c r="N3561" s="1" t="inlineStr">
        <is>
          <t>Database</t>
        </is>
      </c>
      <c r="O35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61" s="11" t="inlineStr">
        <is>
          <t>To Do</t>
        </is>
      </c>
    </row>
    <row r="3562" ht="15.75" customHeight="1" s="12">
      <c r="A3562" s="1" t="n">
        <v>3779</v>
      </c>
      <c r="B3562" s="3">
        <f>HYPERLINK("https://leetcode.com/problems/minimum-number-of-operations-to-have-distinct-elements/", "Minimum Number of Operations to Have Distinct Elements")</f>
        <v/>
      </c>
      <c r="C3562" s="1" t="n">
        <v>47</v>
      </c>
      <c r="D3562" s="1" t="n">
        <v>2</v>
      </c>
      <c r="E3562" s="4">
        <f>IF(INDEX(C:C, ROW())+INDEX(D:D, ROW())=0, 0, INDEX(C:C, ROW())/(INDEX(C:C, ROW())+INDEX(D:D, ROW())))</f>
        <v/>
      </c>
      <c r="F3562" s="1" t="inlineStr">
        <is>
          <t>Array, Hash Table</t>
        </is>
      </c>
      <c r="G3562" s="1" t="inlineStr">
        <is>
          <t>Medium</t>
        </is>
      </c>
      <c r="H3562" s="1" t="n">
        <v>28153</v>
      </c>
      <c r="I3562" s="1" t="n">
        <v>66564</v>
      </c>
      <c r="J3562" s="9" t="n">
        <v>0.423</v>
      </c>
      <c r="K3562" s="1" t="inlineStr">
        <is>
          <t>Yes</t>
        </is>
      </c>
      <c r="L3562" s="1" t="inlineStr">
        <is>
          <t>No</t>
        </is>
      </c>
      <c r="M3562" s="1" t="inlineStr">
        <is>
          <t>No</t>
        </is>
      </c>
      <c r="N3562" s="1" t="inlineStr">
        <is>
          <t>Algorithms</t>
        </is>
      </c>
      <c r="O35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62" s="11" t="inlineStr">
        <is>
          <t>To Do</t>
        </is>
      </c>
    </row>
    <row r="3563" ht="15.75" customHeight="1" s="12">
      <c r="A3563" s="1" t="n">
        <v>3855</v>
      </c>
      <c r="B3563" s="3">
        <f>HYPERLINK("https://leetcode.com/problems/sum-of-k-digit-numbers-in-a-range/", "Sum of K-Digit Numbers in a Range")</f>
        <v/>
      </c>
      <c r="C3563" s="1" t="n">
        <v>47</v>
      </c>
      <c r="D3563" s="1" t="n">
        <v>3</v>
      </c>
      <c r="E3563" s="4">
        <f>IF(INDEX(C:C, ROW())+INDEX(D:D, ROW())=0, 0, INDEX(C:C, ROW())/(INDEX(C:C, ROW())+INDEX(D:D, ROW())))</f>
        <v/>
      </c>
      <c r="F3563" s="1" t="inlineStr">
        <is>
          <t>Math, Divide and Conquer, Combinatorics, Number Theory</t>
        </is>
      </c>
      <c r="G3563" s="1" t="inlineStr">
        <is>
          <t>Hard</t>
        </is>
      </c>
      <c r="H3563" s="1" t="n">
        <v>6773</v>
      </c>
      <c r="I3563" s="1" t="n">
        <v>13369</v>
      </c>
      <c r="J3563" s="9" t="n">
        <v>0.507</v>
      </c>
      <c r="K3563" s="1" t="inlineStr">
        <is>
          <t>Yes</t>
        </is>
      </c>
      <c r="L3563" s="1" t="inlineStr">
        <is>
          <t>No</t>
        </is>
      </c>
      <c r="M3563" s="1" t="inlineStr">
        <is>
          <t>No</t>
        </is>
      </c>
      <c r="N3563" s="1" t="inlineStr">
        <is>
          <t>Algorithms</t>
        </is>
      </c>
      <c r="O35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63" s="11" t="inlineStr">
        <is>
          <t>To Do</t>
        </is>
      </c>
    </row>
    <row r="3564" ht="15.75" customHeight="1" s="12">
      <c r="A3564" s="1" t="n">
        <v>3913</v>
      </c>
      <c r="B3564" s="3">
        <f>HYPERLINK("https://leetcode.com/problems/sort-vowels-by-frequency/", "Sort Vowels by Frequency")</f>
        <v/>
      </c>
      <c r="C3564" s="1" t="n">
        <v>47</v>
      </c>
      <c r="D3564" s="1" t="n">
        <v>4</v>
      </c>
      <c r="E3564" s="4">
        <f>IF(INDEX(C:C, ROW())+INDEX(D:D, ROW())=0, 0, INDEX(C:C, ROW())/(INDEX(C:C, ROW())+INDEX(D:D, ROW())))</f>
        <v/>
      </c>
      <c r="F3564" s="2" t="n"/>
      <c r="G3564" s="1" t="inlineStr">
        <is>
          <t>Medium</t>
        </is>
      </c>
      <c r="H3564" s="1" t="n">
        <v>24034</v>
      </c>
      <c r="I3564" s="1" t="n">
        <v>38354</v>
      </c>
      <c r="J3564" s="9" t="n">
        <v>0.627</v>
      </c>
      <c r="K3564" s="1" t="inlineStr">
        <is>
          <t>Yes</t>
        </is>
      </c>
      <c r="L3564" s="1" t="inlineStr">
        <is>
          <t>No</t>
        </is>
      </c>
      <c r="M3564" s="1" t="inlineStr">
        <is>
          <t>No</t>
        </is>
      </c>
      <c r="N3564" s="1" t="inlineStr">
        <is>
          <t>Algorithms</t>
        </is>
      </c>
      <c r="O35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64" s="11" t="inlineStr">
        <is>
          <t>To Do</t>
        </is>
      </c>
    </row>
    <row r="3565" ht="15.75" customHeight="1" s="12">
      <c r="A3565" s="1" t="n">
        <v>2474</v>
      </c>
      <c r="B3565" s="3">
        <f>HYPERLINK("https://leetcode.com/problems/customers-with-strictly-increasing-purchases/", "Customers With Strictly Increasing Purchases")</f>
        <v/>
      </c>
      <c r="C3565" s="1" t="n">
        <v>46</v>
      </c>
      <c r="D3565" s="1" t="n">
        <v>6</v>
      </c>
      <c r="E3565" s="4">
        <f>IF(INDEX(C:C, ROW())+INDEX(D:D, ROW())=0, 0, INDEX(C:C, ROW())/(INDEX(C:C, ROW())+INDEX(D:D, ROW())))</f>
        <v/>
      </c>
      <c r="F3565" s="1" t="inlineStr">
        <is>
          <t>Database</t>
        </is>
      </c>
      <c r="G3565" s="1" t="inlineStr">
        <is>
          <t>Hard</t>
        </is>
      </c>
      <c r="H3565" s="1" t="n">
        <v>6062</v>
      </c>
      <c r="I3565" s="1" t="n">
        <v>12049</v>
      </c>
      <c r="J3565" s="9" t="n">
        <v>0.503</v>
      </c>
      <c r="K3565" s="1" t="inlineStr">
        <is>
          <t>No</t>
        </is>
      </c>
      <c r="L3565" s="1" t="inlineStr">
        <is>
          <t>No</t>
        </is>
      </c>
      <c r="M3565" s="1" t="inlineStr">
        <is>
          <t>No</t>
        </is>
      </c>
      <c r="N3565" s="1" t="inlineStr">
        <is>
          <t>Database</t>
        </is>
      </c>
      <c r="O35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65" s="11" t="inlineStr">
        <is>
          <t>To Do</t>
        </is>
      </c>
    </row>
    <row r="3566" ht="15.75" customHeight="1" s="12">
      <c r="A3566" s="1" t="n">
        <v>2674</v>
      </c>
      <c r="B3566" s="3">
        <f>HYPERLINK("https://leetcode.com/problems/split-a-circular-linked-list/", "Split a Circular Linked List")</f>
        <v/>
      </c>
      <c r="C3566" s="1" t="n">
        <v>46</v>
      </c>
      <c r="D3566" s="1" t="n">
        <v>7</v>
      </c>
      <c r="E3566" s="4">
        <f>IF(INDEX(C:C, ROW())+INDEX(D:D, ROW())=0, 0, INDEX(C:C, ROW())/(INDEX(C:C, ROW())+INDEX(D:D, ROW())))</f>
        <v/>
      </c>
      <c r="F3566" s="1" t="inlineStr">
        <is>
          <t>Linked List, Two Pointers</t>
        </is>
      </c>
      <c r="G3566" s="1" t="inlineStr">
        <is>
          <t>Medium</t>
        </is>
      </c>
      <c r="H3566" s="1" t="n">
        <v>3390</v>
      </c>
      <c r="I3566" s="1" t="n">
        <v>4371</v>
      </c>
      <c r="J3566" s="9" t="n">
        <v>0.776</v>
      </c>
      <c r="K3566" s="1" t="inlineStr">
        <is>
          <t>No</t>
        </is>
      </c>
      <c r="L3566" s="1" t="inlineStr">
        <is>
          <t>No</t>
        </is>
      </c>
      <c r="M3566" s="1" t="inlineStr">
        <is>
          <t>No</t>
        </is>
      </c>
      <c r="N3566" s="1" t="inlineStr">
        <is>
          <t>Algorithms</t>
        </is>
      </c>
      <c r="O35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66" s="11" t="inlineStr">
        <is>
          <t>To Do</t>
        </is>
      </c>
    </row>
    <row r="3567" ht="15.75" customHeight="1" s="12">
      <c r="A3567" s="1" t="n">
        <v>3544</v>
      </c>
      <c r="B3567" s="3">
        <f>HYPERLINK("https://leetcode.com/problems/subtree-inversion-sum/", "Subtree Inversion Sum")</f>
        <v/>
      </c>
      <c r="C3567" s="1" t="n">
        <v>46</v>
      </c>
      <c r="D3567" s="1" t="n">
        <v>7</v>
      </c>
      <c r="E3567" s="4">
        <f>IF(INDEX(C:C, ROW())+INDEX(D:D, ROW())=0, 0, INDEX(C:C, ROW())/(INDEX(C:C, ROW())+INDEX(D:D, ROW())))</f>
        <v/>
      </c>
      <c r="F3567" s="1" t="inlineStr">
        <is>
          <t>Array, Dynamic Programming, Tree, Depth-First Search</t>
        </is>
      </c>
      <c r="G3567" s="1" t="inlineStr">
        <is>
          <t>Hard</t>
        </is>
      </c>
      <c r="H3567" s="1" t="n">
        <v>4389</v>
      </c>
      <c r="I3567" s="1" t="n">
        <v>9955</v>
      </c>
      <c r="J3567" s="9" t="n">
        <v>0.441</v>
      </c>
      <c r="K3567" s="1" t="inlineStr">
        <is>
          <t>Yes</t>
        </is>
      </c>
      <c r="L3567" s="1" t="inlineStr">
        <is>
          <t>No</t>
        </is>
      </c>
      <c r="M3567" s="1" t="inlineStr">
        <is>
          <t>No</t>
        </is>
      </c>
      <c r="N3567" s="1" t="inlineStr">
        <is>
          <t>Algorithms</t>
        </is>
      </c>
      <c r="O35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67" s="11" t="inlineStr">
        <is>
          <t>To Do</t>
        </is>
      </c>
    </row>
    <row r="3568" ht="15.75" customHeight="1" s="12">
      <c r="A3568" s="1" t="n">
        <v>3579</v>
      </c>
      <c r="B3568" s="3">
        <f>HYPERLINK("https://leetcode.com/problems/minimum-steps-to-convert-string-with-operations/", "Minimum Steps to Convert String with Operations")</f>
        <v/>
      </c>
      <c r="C3568" s="1" t="n">
        <v>46</v>
      </c>
      <c r="D3568" s="1" t="n">
        <v>3</v>
      </c>
      <c r="E3568" s="4">
        <f>IF(INDEX(C:C, ROW())+INDEX(D:D, ROW())=0, 0, INDEX(C:C, ROW())/(INDEX(C:C, ROW())+INDEX(D:D, ROW())))</f>
        <v/>
      </c>
      <c r="F3568" s="1" t="inlineStr">
        <is>
          <t>String, Dynamic Programming</t>
        </is>
      </c>
      <c r="G3568" s="1" t="inlineStr">
        <is>
          <t>Hard</t>
        </is>
      </c>
      <c r="H3568" s="1" t="n">
        <v>4414</v>
      </c>
      <c r="I3568" s="1" t="n">
        <v>10134</v>
      </c>
      <c r="J3568" s="9" t="n">
        <v>0.436</v>
      </c>
      <c r="K3568" s="1" t="inlineStr">
        <is>
          <t>Yes</t>
        </is>
      </c>
      <c r="L3568" s="1" t="inlineStr">
        <is>
          <t>No</t>
        </is>
      </c>
      <c r="M3568" s="1" t="inlineStr">
        <is>
          <t>No</t>
        </is>
      </c>
      <c r="N3568" s="1" t="inlineStr">
        <is>
          <t>Algorithms</t>
        </is>
      </c>
      <c r="O35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68" s="11" t="inlineStr">
        <is>
          <t>To Do</t>
        </is>
      </c>
    </row>
    <row r="3569" ht="15.75" customHeight="1" s="12">
      <c r="A3569" s="1" t="n">
        <v>3611</v>
      </c>
      <c r="B3569" s="3">
        <f>HYPERLINK("https://leetcode.com/problems/find-overbooked-employees/", "Find Overbooked Employees")</f>
        <v/>
      </c>
      <c r="C3569" s="1" t="n">
        <v>46</v>
      </c>
      <c r="D3569" s="1" t="n">
        <v>10</v>
      </c>
      <c r="E3569" s="4">
        <f>IF(INDEX(C:C, ROW())+INDEX(D:D, ROW())=0, 0, INDEX(C:C, ROW())/(INDEX(C:C, ROW())+INDEX(D:D, ROW())))</f>
        <v/>
      </c>
      <c r="F3569" s="1" t="inlineStr">
        <is>
          <t>Database</t>
        </is>
      </c>
      <c r="G3569" s="1" t="inlineStr">
        <is>
          <t>Medium</t>
        </is>
      </c>
      <c r="H3569" s="1" t="n">
        <v>10806</v>
      </c>
      <c r="I3569" s="1" t="n">
        <v>24474</v>
      </c>
      <c r="J3569" s="9" t="n">
        <v>0.442</v>
      </c>
      <c r="K3569" s="1" t="inlineStr">
        <is>
          <t>Yes</t>
        </is>
      </c>
      <c r="L3569" s="1" t="inlineStr">
        <is>
          <t>No</t>
        </is>
      </c>
      <c r="M3569" s="1" t="inlineStr">
        <is>
          <t>No</t>
        </is>
      </c>
      <c r="N3569" s="1" t="inlineStr">
        <is>
          <t>Database</t>
        </is>
      </c>
      <c r="O35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69" s="11" t="inlineStr">
        <is>
          <t>To Do</t>
        </is>
      </c>
    </row>
    <row r="3570" ht="15.75" customHeight="1" s="12">
      <c r="A3570" s="1" t="n">
        <v>3726</v>
      </c>
      <c r="B3570" s="3">
        <f>HYPERLINK("https://leetcode.com/problems/remove-zeros-in-decimal-representation/", "Remove Zeros in Decimal Representation")</f>
        <v/>
      </c>
      <c r="C3570" s="1" t="n">
        <v>46</v>
      </c>
      <c r="D3570" s="1" t="n">
        <v>2</v>
      </c>
      <c r="E3570" s="4">
        <f>IF(INDEX(C:C, ROW())+INDEX(D:D, ROW())=0, 0, INDEX(C:C, ROW())/(INDEX(C:C, ROW())+INDEX(D:D, ROW())))</f>
        <v/>
      </c>
      <c r="F3570" s="1" t="inlineStr">
        <is>
          <t>Math, Simulation</t>
        </is>
      </c>
      <c r="G3570" s="1" t="inlineStr">
        <is>
          <t>Easy</t>
        </is>
      </c>
      <c r="H3570" s="1" t="n">
        <v>51834</v>
      </c>
      <c r="I3570" s="1" t="n">
        <v>67855</v>
      </c>
      <c r="J3570" s="9" t="n">
        <v>0.764</v>
      </c>
      <c r="K3570" s="1" t="inlineStr">
        <is>
          <t>Yes</t>
        </is>
      </c>
      <c r="L3570" s="1" t="inlineStr">
        <is>
          <t>No</t>
        </is>
      </c>
      <c r="M3570" s="1" t="inlineStr">
        <is>
          <t>No</t>
        </is>
      </c>
      <c r="N3570" s="1" t="inlineStr">
        <is>
          <t>Algorithms</t>
        </is>
      </c>
      <c r="O35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70" s="13" t="inlineStr">
        <is>
          <t>Done</t>
        </is>
      </c>
    </row>
    <row r="3571" ht="15.75" customHeight="1" s="12">
      <c r="A3571" s="1" t="n">
        <v>3791</v>
      </c>
      <c r="B3571" s="3">
        <f>HYPERLINK("https://leetcode.com/problems/number-of-balanced-integers-in-a-range/", "Number of Balanced Integers in a Range")</f>
        <v/>
      </c>
      <c r="C3571" s="1" t="n">
        <v>46</v>
      </c>
      <c r="D3571" s="1" t="n">
        <v>3</v>
      </c>
      <c r="E3571" s="4">
        <f>IF(INDEX(C:C, ROW())+INDEX(D:D, ROW())=0, 0, INDEX(C:C, ROW())/(INDEX(C:C, ROW())+INDEX(D:D, ROW())))</f>
        <v/>
      </c>
      <c r="F3571" s="1" t="inlineStr">
        <is>
          <t>Dynamic Programming</t>
        </is>
      </c>
      <c r="G3571" s="1" t="inlineStr">
        <is>
          <t>Hard</t>
        </is>
      </c>
      <c r="H3571" s="1" t="n">
        <v>7894</v>
      </c>
      <c r="I3571" s="1" t="n">
        <v>22193</v>
      </c>
      <c r="J3571" s="9" t="n">
        <v>0.356</v>
      </c>
      <c r="K3571" s="1" t="inlineStr">
        <is>
          <t>Yes</t>
        </is>
      </c>
      <c r="L3571" s="1" t="inlineStr">
        <is>
          <t>No</t>
        </is>
      </c>
      <c r="M3571" s="1" t="inlineStr">
        <is>
          <t>No</t>
        </is>
      </c>
      <c r="N3571" s="1" t="inlineStr">
        <is>
          <t>Algorithms</t>
        </is>
      </c>
      <c r="O35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71" s="11" t="inlineStr">
        <is>
          <t>To Do</t>
        </is>
      </c>
    </row>
    <row r="3572" ht="15.75" customHeight="1" s="12">
      <c r="A3572" s="1" t="n">
        <v>3801</v>
      </c>
      <c r="B3572" s="3">
        <f>HYPERLINK("https://leetcode.com/problems/minimum-cost-to-merge-sorted-lists/", "Minimum Cost to Merge Sorted Lists")</f>
        <v/>
      </c>
      <c r="C3572" s="1" t="n">
        <v>46</v>
      </c>
      <c r="D3572" s="1" t="n">
        <v>5</v>
      </c>
      <c r="E3572" s="4">
        <f>IF(INDEX(C:C, ROW())+INDEX(D:D, ROW())=0, 0, INDEX(C:C, ROW())/(INDEX(C:C, ROW())+INDEX(D:D, ROW())))</f>
        <v/>
      </c>
      <c r="F3572" s="1" t="inlineStr">
        <is>
          <t>Array, Two Pointers, Binary Search, Dynamic Programming, Bit Manipulation</t>
        </is>
      </c>
      <c r="G3572" s="1" t="inlineStr">
        <is>
          <t>Hard</t>
        </is>
      </c>
      <c r="H3572" s="1" t="n">
        <v>4200</v>
      </c>
      <c r="I3572" s="1" t="n">
        <v>12154</v>
      </c>
      <c r="J3572" s="9" t="n">
        <v>0.346</v>
      </c>
      <c r="K3572" s="1" t="inlineStr">
        <is>
          <t>Yes</t>
        </is>
      </c>
      <c r="L3572" s="1" t="inlineStr">
        <is>
          <t>No</t>
        </is>
      </c>
      <c r="M3572" s="1" t="inlineStr">
        <is>
          <t>No</t>
        </is>
      </c>
      <c r="N3572" s="1" t="inlineStr">
        <is>
          <t>Algorithms</t>
        </is>
      </c>
      <c r="O35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72" s="11" t="inlineStr">
        <is>
          <t>To Do</t>
        </is>
      </c>
    </row>
    <row r="3573" ht="15.75" customHeight="1" s="12">
      <c r="A3573" s="1" t="n">
        <v>3847</v>
      </c>
      <c r="B3573" s="3">
        <f>HYPERLINK("https://leetcode.com/problems/find-the-score-difference-in-a-game/", "Find the Score Difference in a Game")</f>
        <v/>
      </c>
      <c r="C3573" s="1" t="n">
        <v>46</v>
      </c>
      <c r="D3573" s="1" t="n">
        <v>4</v>
      </c>
      <c r="E3573" s="4">
        <f>IF(INDEX(C:C, ROW())+INDEX(D:D, ROW())=0, 0, INDEX(C:C, ROW())/(INDEX(C:C, ROW())+INDEX(D:D, ROW())))</f>
        <v/>
      </c>
      <c r="F3573" s="1" t="inlineStr">
        <is>
          <t>Array, Simulation</t>
        </is>
      </c>
      <c r="G3573" s="1" t="inlineStr">
        <is>
          <t>Medium</t>
        </is>
      </c>
      <c r="H3573" s="1" t="n">
        <v>52071</v>
      </c>
      <c r="I3573" s="1" t="n">
        <v>72002</v>
      </c>
      <c r="J3573" s="9" t="n">
        <v>0.723</v>
      </c>
      <c r="K3573" s="1" t="inlineStr">
        <is>
          <t>Yes</t>
        </is>
      </c>
      <c r="L3573" s="1" t="inlineStr">
        <is>
          <t>No</t>
        </is>
      </c>
      <c r="M3573" s="1" t="inlineStr">
        <is>
          <t>No</t>
        </is>
      </c>
      <c r="N3573" s="1" t="inlineStr">
        <is>
          <t>Algorithms</t>
        </is>
      </c>
      <c r="O35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73" s="11" t="inlineStr">
        <is>
          <t>To Do</t>
        </is>
      </c>
    </row>
    <row r="3574" ht="15.75" customHeight="1" s="12">
      <c r="A3574" s="1" t="n">
        <v>3889</v>
      </c>
      <c r="B3574" s="3">
        <f>HYPERLINK("https://leetcode.com/problems/mirror-frequency-distance/", "Mirror Frequency Distance")</f>
        <v/>
      </c>
      <c r="C3574" s="1" t="n">
        <v>46</v>
      </c>
      <c r="D3574" s="1" t="n">
        <v>8</v>
      </c>
      <c r="E3574" s="4">
        <f>IF(INDEX(C:C, ROW())+INDEX(D:D, ROW())=0, 0, INDEX(C:C, ROW())/(INDEX(C:C, ROW())+INDEX(D:D, ROW())))</f>
        <v/>
      </c>
      <c r="F3574" s="1" t="inlineStr">
        <is>
          <t>Hash Table, String, Counting</t>
        </is>
      </c>
      <c r="G3574" s="1" t="inlineStr">
        <is>
          <t>Medium</t>
        </is>
      </c>
      <c r="H3574" s="1" t="n">
        <v>41827</v>
      </c>
      <c r="I3574" s="1" t="n">
        <v>68761</v>
      </c>
      <c r="J3574" s="9" t="n">
        <v>0.608</v>
      </c>
      <c r="K3574" s="1" t="inlineStr">
        <is>
          <t>Yes</t>
        </is>
      </c>
      <c r="L3574" s="1" t="inlineStr">
        <is>
          <t>No</t>
        </is>
      </c>
      <c r="M3574" s="1" t="inlineStr">
        <is>
          <t>No</t>
        </is>
      </c>
      <c r="N3574" s="1" t="inlineStr">
        <is>
          <t>Algorithms</t>
        </is>
      </c>
      <c r="O35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74" s="11" t="inlineStr">
        <is>
          <t>To Do</t>
        </is>
      </c>
    </row>
    <row r="3575" ht="15.75" customHeight="1" s="12">
      <c r="A3575" s="1" t="n">
        <v>2052</v>
      </c>
      <c r="B3575" s="3">
        <f>HYPERLINK("https://leetcode.com/problems/minimum-cost-to-separate-sentence-into-rows/", "Minimum Cost to Separate Sentence Into Rows")</f>
        <v/>
      </c>
      <c r="C3575" s="1" t="n">
        <v>45</v>
      </c>
      <c r="D3575" s="1" t="n">
        <v>14</v>
      </c>
      <c r="E3575" s="4">
        <f>IF(INDEX(C:C, ROW())+INDEX(D:D, ROW())=0, 0, INDEX(C:C, ROW())/(INDEX(C:C, ROW())+INDEX(D:D, ROW())))</f>
        <v/>
      </c>
      <c r="F3575" s="1" t="inlineStr">
        <is>
          <t>String, Dynamic Programming</t>
        </is>
      </c>
      <c r="G3575" s="1" t="inlineStr">
        <is>
          <t>Medium</t>
        </is>
      </c>
      <c r="H3575" s="1" t="n">
        <v>2494</v>
      </c>
      <c r="I3575" s="1" t="n">
        <v>4883</v>
      </c>
      <c r="J3575" s="9" t="n">
        <v>0.511</v>
      </c>
      <c r="K3575" s="1" t="inlineStr">
        <is>
          <t>No</t>
        </is>
      </c>
      <c r="L3575" s="1" t="inlineStr">
        <is>
          <t>No</t>
        </is>
      </c>
      <c r="M3575" s="1" t="inlineStr">
        <is>
          <t>No</t>
        </is>
      </c>
      <c r="N3575" s="1" t="inlineStr">
        <is>
          <t>Algorithms</t>
        </is>
      </c>
      <c r="O35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75" s="11" t="inlineStr">
        <is>
          <t>To Do</t>
        </is>
      </c>
    </row>
    <row r="3576" ht="15.75" customHeight="1" s="12">
      <c r="A3576" s="1" t="n">
        <v>2436</v>
      </c>
      <c r="B3576" s="3">
        <f>HYPERLINK("https://leetcode.com/problems/minimum-split-into-subarrays-with-gcd-greater-than-one/", "Minimum Split Into Subarrays With GCD Greater Than One")</f>
        <v/>
      </c>
      <c r="C3576" s="1" t="n">
        <v>45</v>
      </c>
      <c r="D3576" s="1" t="n">
        <v>11</v>
      </c>
      <c r="E3576" s="4">
        <f>IF(INDEX(C:C, ROW())+INDEX(D:D, ROW())=0, 0, INDEX(C:C, ROW())/(INDEX(C:C, ROW())+INDEX(D:D, ROW())))</f>
        <v/>
      </c>
      <c r="F3576" s="1" t="inlineStr">
        <is>
          <t>Array, Math, Dynamic Programming, Greedy, Number Theory</t>
        </is>
      </c>
      <c r="G3576" s="1" t="inlineStr">
        <is>
          <t>Medium</t>
        </is>
      </c>
      <c r="H3576" s="1" t="n">
        <v>2934</v>
      </c>
      <c r="I3576" s="1" t="n">
        <v>4177</v>
      </c>
      <c r="J3576" s="9" t="n">
        <v>0.702</v>
      </c>
      <c r="K3576" s="1" t="inlineStr">
        <is>
          <t>No</t>
        </is>
      </c>
      <c r="L3576" s="1" t="inlineStr">
        <is>
          <t>No</t>
        </is>
      </c>
      <c r="M3576" s="1" t="inlineStr">
        <is>
          <t>No</t>
        </is>
      </c>
      <c r="N3576" s="1" t="inlineStr">
        <is>
          <t>Algorithms</t>
        </is>
      </c>
      <c r="O35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76" s="11" t="inlineStr">
        <is>
          <t>To Do</t>
        </is>
      </c>
    </row>
    <row r="3577" ht="15.75" customHeight="1" s="12">
      <c r="A3577" s="1" t="n">
        <v>3657</v>
      </c>
      <c r="B3577" s="3">
        <f>HYPERLINK("https://leetcode.com/problems/find-loyal-customers/", "Find Loyal Customers")</f>
        <v/>
      </c>
      <c r="C3577" s="1" t="n">
        <v>45</v>
      </c>
      <c r="D3577" s="1" t="n">
        <v>1</v>
      </c>
      <c r="E3577" s="4">
        <f>IF(INDEX(C:C, ROW())+INDEX(D:D, ROW())=0, 0, INDEX(C:C, ROW())/(INDEX(C:C, ROW())+INDEX(D:D, ROW())))</f>
        <v/>
      </c>
      <c r="F3577" s="2" t="n"/>
      <c r="G3577" s="1" t="inlineStr">
        <is>
          <t>Medium</t>
        </is>
      </c>
      <c r="H3577" s="1" t="n">
        <v>11362</v>
      </c>
      <c r="I3577" s="1" t="n">
        <v>18690</v>
      </c>
      <c r="J3577" s="9" t="n">
        <v>0.608</v>
      </c>
      <c r="K3577" s="1" t="inlineStr">
        <is>
          <t>Yes</t>
        </is>
      </c>
      <c r="L3577" s="1" t="inlineStr">
        <is>
          <t>No</t>
        </is>
      </c>
      <c r="M3577" s="1" t="inlineStr">
        <is>
          <t>No</t>
        </is>
      </c>
      <c r="N3577" s="1" t="inlineStr">
        <is>
          <t>Database</t>
        </is>
      </c>
      <c r="O35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77" s="11" t="inlineStr">
        <is>
          <t>To Do</t>
        </is>
      </c>
    </row>
    <row r="3578" ht="15.75" customHeight="1" s="12">
      <c r="A3578" s="1" t="n">
        <v>3883</v>
      </c>
      <c r="B3578" s="3">
        <f>HYPERLINK("https://leetcode.com/problems/count-non-decreasing-arrays-with-given-digit-sums/", "Count Non Decreasing Arrays With Given Digit Sums")</f>
        <v/>
      </c>
      <c r="C3578" s="1" t="n">
        <v>45</v>
      </c>
      <c r="D3578" s="1" t="n">
        <v>2</v>
      </c>
      <c r="E3578" s="4">
        <f>IF(INDEX(C:C, ROW())+INDEX(D:D, ROW())=0, 0, INDEX(C:C, ROW())/(INDEX(C:C, ROW())+INDEX(D:D, ROW())))</f>
        <v/>
      </c>
      <c r="F3578" s="1" t="inlineStr">
        <is>
          <t>Array, Dynamic Programming, Prefix Sum</t>
        </is>
      </c>
      <c r="G3578" s="1" t="inlineStr">
        <is>
          <t>Hard</t>
        </is>
      </c>
      <c r="H3578" s="1" t="n">
        <v>6195</v>
      </c>
      <c r="I3578" s="1" t="n">
        <v>14775</v>
      </c>
      <c r="J3578" s="9" t="n">
        <v>0.419</v>
      </c>
      <c r="K3578" s="1" t="inlineStr">
        <is>
          <t>Yes</t>
        </is>
      </c>
      <c r="L3578" s="1" t="inlineStr">
        <is>
          <t>No</t>
        </is>
      </c>
      <c r="M3578" s="1" t="inlineStr">
        <is>
          <t>No</t>
        </is>
      </c>
      <c r="N3578" s="1" t="inlineStr">
        <is>
          <t>Algorithms</t>
        </is>
      </c>
      <c r="O35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78" s="11" t="inlineStr">
        <is>
          <t>To Do</t>
        </is>
      </c>
    </row>
    <row r="3579" ht="15.75" customHeight="1" s="12">
      <c r="A3579" s="1" t="n">
        <v>3399</v>
      </c>
      <c r="B3579" s="3">
        <f>HYPERLINK("https://leetcode.com/problems/smallest-substring-with-identical-characters-ii/", "Smallest Substring With Identical Characters II")</f>
        <v/>
      </c>
      <c r="C3579" s="1" t="n">
        <v>44</v>
      </c>
      <c r="D3579" s="1" t="n">
        <v>3</v>
      </c>
      <c r="E3579" s="4">
        <f>IF(INDEX(C:C, ROW())+INDEX(D:D, ROW())=0, 0, INDEX(C:C, ROW())/(INDEX(C:C, ROW())+INDEX(D:D, ROW())))</f>
        <v/>
      </c>
      <c r="F3579" s="1" t="inlineStr">
        <is>
          <t>String, Binary Search</t>
        </is>
      </c>
      <c r="G3579" s="1" t="inlineStr">
        <is>
          <t>Hard</t>
        </is>
      </c>
      <c r="H3579" s="1" t="n">
        <v>7045</v>
      </c>
      <c r="I3579" s="1" t="n">
        <v>17525</v>
      </c>
      <c r="J3579" s="9" t="n">
        <v>0.402</v>
      </c>
      <c r="K3579" s="1" t="inlineStr">
        <is>
          <t>Yes</t>
        </is>
      </c>
      <c r="L3579" s="1" t="inlineStr">
        <is>
          <t>No</t>
        </is>
      </c>
      <c r="M3579" s="1" t="inlineStr">
        <is>
          <t>No</t>
        </is>
      </c>
      <c r="N3579" s="1" t="inlineStr">
        <is>
          <t>Algorithms</t>
        </is>
      </c>
      <c r="O35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79" s="11" t="inlineStr">
        <is>
          <t>To Do</t>
        </is>
      </c>
    </row>
    <row r="3580" ht="15.75" customHeight="1" s="12">
      <c r="A3580" s="1" t="n">
        <v>3514</v>
      </c>
      <c r="B3580" s="3">
        <f>HYPERLINK("https://leetcode.com/problems/number-of-unique-xor-triplets-ii/", "Number of Unique XOR Triplets II")</f>
        <v/>
      </c>
      <c r="C3580" s="1" t="n">
        <v>44</v>
      </c>
      <c r="D3580" s="1" t="n">
        <v>10</v>
      </c>
      <c r="E3580" s="4">
        <f>IF(INDEX(C:C, ROW())+INDEX(D:D, ROW())=0, 0, INDEX(C:C, ROW())/(INDEX(C:C, ROW())+INDEX(D:D, ROW())))</f>
        <v/>
      </c>
      <c r="F3580" s="1" t="inlineStr">
        <is>
          <t>Array, Math, Bit Manipulation, Enumeration</t>
        </is>
      </c>
      <c r="G3580" s="1" t="inlineStr">
        <is>
          <t>Medium</t>
        </is>
      </c>
      <c r="H3580" s="1" t="n">
        <v>14553</v>
      </c>
      <c r="I3580" s="1" t="n">
        <v>44747</v>
      </c>
      <c r="J3580" s="9" t="n">
        <v>0.325</v>
      </c>
      <c r="K3580" s="1" t="inlineStr">
        <is>
          <t>Yes</t>
        </is>
      </c>
      <c r="L3580" s="1" t="inlineStr">
        <is>
          <t>No</t>
        </is>
      </c>
      <c r="M3580" s="1" t="inlineStr">
        <is>
          <t>No</t>
        </is>
      </c>
      <c r="N3580" s="1" t="inlineStr">
        <is>
          <t>Algorithms</t>
        </is>
      </c>
      <c r="O35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80" s="11" t="inlineStr">
        <is>
          <t>To Do</t>
        </is>
      </c>
    </row>
    <row r="3581" ht="15.75" customHeight="1" s="12">
      <c r="A3581" s="1" t="n">
        <v>3812</v>
      </c>
      <c r="B3581" s="3">
        <f>HYPERLINK("https://leetcode.com/problems/minimum-edge-toggles-on-a-tree/", "Minimum Edge Toggles on a Tree")</f>
        <v/>
      </c>
      <c r="C3581" s="1" t="n">
        <v>44</v>
      </c>
      <c r="D3581" s="1" t="n">
        <v>5</v>
      </c>
      <c r="E3581" s="4">
        <f>IF(INDEX(C:C, ROW())+INDEX(D:D, ROW())=0, 0, INDEX(C:C, ROW())/(INDEX(C:C, ROW())+INDEX(D:D, ROW())))</f>
        <v/>
      </c>
      <c r="F3581" s="1" t="inlineStr">
        <is>
          <t>Tree, Depth-First Search, Graph Theory, Topological Sort, Sorting</t>
        </is>
      </c>
      <c r="G3581" s="1" t="inlineStr">
        <is>
          <t>Hard</t>
        </is>
      </c>
      <c r="H3581" s="1" t="n">
        <v>6096</v>
      </c>
      <c r="I3581" s="1" t="n">
        <v>8855</v>
      </c>
      <c r="J3581" s="9" t="n">
        <v>0.6879999999999999</v>
      </c>
      <c r="K3581" s="1" t="inlineStr">
        <is>
          <t>Yes</t>
        </is>
      </c>
      <c r="L3581" s="1" t="inlineStr">
        <is>
          <t>No</t>
        </is>
      </c>
      <c r="M3581" s="1" t="inlineStr">
        <is>
          <t>No</t>
        </is>
      </c>
      <c r="N3581" s="1" t="inlineStr">
        <is>
          <t>Algorithms</t>
        </is>
      </c>
      <c r="O35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81" s="11" t="inlineStr">
        <is>
          <t>To Do</t>
        </is>
      </c>
    </row>
    <row r="3582" ht="15.75" customHeight="1" s="12">
      <c r="A3582" s="1" t="n">
        <v>3816</v>
      </c>
      <c r="B3582" s="3">
        <f>HYPERLINK("https://leetcode.com/problems/lexicographically-smallest-string-after-deleting-duplicate-characters/", "Lexicographically Smallest String After Deleting Duplicate Characters")</f>
        <v/>
      </c>
      <c r="C3582" s="1" t="n">
        <v>43</v>
      </c>
      <c r="D3582" s="1" t="n">
        <v>4</v>
      </c>
      <c r="E3582" s="4">
        <f>IF(INDEX(C:C, ROW())+INDEX(D:D, ROW())=0, 0, INDEX(C:C, ROW())/(INDEX(C:C, ROW())+INDEX(D:D, ROW())))</f>
        <v/>
      </c>
      <c r="F3582" s="1" t="inlineStr">
        <is>
          <t>Hash Table, String, Stack, Greedy, Monotonic Stack</t>
        </is>
      </c>
      <c r="G3582" s="1" t="inlineStr">
        <is>
          <t>Hard</t>
        </is>
      </c>
      <c r="H3582" s="1" t="n">
        <v>5544</v>
      </c>
      <c r="I3582" s="1" t="n">
        <v>27656</v>
      </c>
      <c r="J3582" s="9" t="n">
        <v>0.2</v>
      </c>
      <c r="K3582" s="1" t="inlineStr">
        <is>
          <t>Yes</t>
        </is>
      </c>
      <c r="L3582" s="1" t="inlineStr">
        <is>
          <t>No</t>
        </is>
      </c>
      <c r="M3582" s="1" t="inlineStr">
        <is>
          <t>No</t>
        </is>
      </c>
      <c r="N3582" s="1" t="inlineStr">
        <is>
          <t>Algorithms</t>
        </is>
      </c>
      <c r="O35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82" s="11" t="inlineStr">
        <is>
          <t>To Do</t>
        </is>
      </c>
    </row>
    <row r="3583" ht="15.75" customHeight="1" s="12">
      <c r="A3583" s="1" t="n">
        <v>3870</v>
      </c>
      <c r="B3583" s="3">
        <f>HYPERLINK("https://leetcode.com/problems/count-commas-in-range/", "Count Commas in Range")</f>
        <v/>
      </c>
      <c r="C3583" s="1" t="n">
        <v>43</v>
      </c>
      <c r="D3583" s="1" t="n">
        <v>4</v>
      </c>
      <c r="E3583" s="4">
        <f>IF(INDEX(C:C, ROW())+INDEX(D:D, ROW())=0, 0, INDEX(C:C, ROW())/(INDEX(C:C, ROW())+INDEX(D:D, ROW())))</f>
        <v/>
      </c>
      <c r="F3583" s="1" t="inlineStr">
        <is>
          <t>Math</t>
        </is>
      </c>
      <c r="G3583" s="1" t="inlineStr">
        <is>
          <t>Easy</t>
        </is>
      </c>
      <c r="H3583" s="1" t="n">
        <v>57340</v>
      </c>
      <c r="I3583" s="1" t="n">
        <v>83234</v>
      </c>
      <c r="J3583" s="9" t="n">
        <v>0.6889999999999999</v>
      </c>
      <c r="K3583" s="1" t="inlineStr">
        <is>
          <t>Yes</t>
        </is>
      </c>
      <c r="L3583" s="1" t="inlineStr">
        <is>
          <t>No</t>
        </is>
      </c>
      <c r="M3583" s="1" t="inlineStr">
        <is>
          <t>No</t>
        </is>
      </c>
      <c r="N3583" s="1" t="inlineStr">
        <is>
          <t>Algorithms</t>
        </is>
      </c>
      <c r="O35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83" s="13" t="inlineStr">
        <is>
          <t>Done</t>
        </is>
      </c>
    </row>
    <row r="3584" ht="15.75" customHeight="1" s="12">
      <c r="A3584" s="1" t="n">
        <v>2548</v>
      </c>
      <c r="B3584" s="3">
        <f>HYPERLINK("https://leetcode.com/problems/maximum-price-to-fill-a-bag/", "Maximum Price to Fill a Bag")</f>
        <v/>
      </c>
      <c r="C3584" s="1" t="n">
        <v>42</v>
      </c>
      <c r="D3584" s="1" t="n">
        <v>9</v>
      </c>
      <c r="E3584" s="4">
        <f>IF(INDEX(C:C, ROW())+INDEX(D:D, ROW())=0, 0, INDEX(C:C, ROW())/(INDEX(C:C, ROW())+INDEX(D:D, ROW())))</f>
        <v/>
      </c>
      <c r="F3584" s="1" t="inlineStr">
        <is>
          <t>Array, Greedy, Sorting</t>
        </is>
      </c>
      <c r="G3584" s="1" t="inlineStr">
        <is>
          <t>Medium</t>
        </is>
      </c>
      <c r="H3584" s="1" t="n">
        <v>1979</v>
      </c>
      <c r="I3584" s="1" t="n">
        <v>3065</v>
      </c>
      <c r="J3584" s="9" t="n">
        <v>0.646</v>
      </c>
      <c r="K3584" s="1" t="inlineStr">
        <is>
          <t>No</t>
        </is>
      </c>
      <c r="L3584" s="1" t="inlineStr">
        <is>
          <t>No</t>
        </is>
      </c>
      <c r="M3584" s="1" t="inlineStr">
        <is>
          <t>No</t>
        </is>
      </c>
      <c r="N3584" s="1" t="inlineStr">
        <is>
          <t>Algorithms</t>
        </is>
      </c>
      <c r="O35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84" s="11" t="inlineStr">
        <is>
          <t>To Do</t>
        </is>
      </c>
    </row>
    <row r="3585" ht="15.75" customHeight="1" s="12">
      <c r="A3585" s="1" t="n">
        <v>2557</v>
      </c>
      <c r="B3585" s="3">
        <f>HYPERLINK("https://leetcode.com/problems/maximum-number-of-integers-to-choose-from-a-range-ii/", "Maximum Number of Integers to Choose From a Range II")</f>
        <v/>
      </c>
      <c r="C3585" s="1" t="n">
        <v>42</v>
      </c>
      <c r="D3585" s="1" t="n">
        <v>26</v>
      </c>
      <c r="E3585" s="4">
        <f>IF(INDEX(C:C, ROW())+INDEX(D:D, ROW())=0, 0, INDEX(C:C, ROW())/(INDEX(C:C, ROW())+INDEX(D:D, ROW())))</f>
        <v/>
      </c>
      <c r="F3585" s="1" t="inlineStr">
        <is>
          <t>Array, Binary Search, Greedy, Sorting</t>
        </is>
      </c>
      <c r="G3585" s="1" t="inlineStr">
        <is>
          <t>Medium</t>
        </is>
      </c>
      <c r="H3585" s="1" t="n">
        <v>2901</v>
      </c>
      <c r="I3585" s="1" t="n">
        <v>8326</v>
      </c>
      <c r="J3585" s="9" t="n">
        <v>0.348</v>
      </c>
      <c r="K3585" s="1" t="inlineStr">
        <is>
          <t>No</t>
        </is>
      </c>
      <c r="L3585" s="1" t="inlineStr">
        <is>
          <t>No</t>
        </is>
      </c>
      <c r="M3585" s="1" t="inlineStr">
        <is>
          <t>No</t>
        </is>
      </c>
      <c r="N3585" s="1" t="inlineStr">
        <is>
          <t>Algorithms</t>
        </is>
      </c>
      <c r="O35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85" s="11" t="inlineStr">
        <is>
          <t>To Do</t>
        </is>
      </c>
    </row>
    <row r="3586" ht="15.75" customHeight="1" s="12">
      <c r="A3586" s="1" t="n">
        <v>3441</v>
      </c>
      <c r="B3586" s="3">
        <f>HYPERLINK("https://leetcode.com/problems/minimum-cost-good-caption/", "Minimum Cost Good Caption")</f>
        <v/>
      </c>
      <c r="C3586" s="1" t="n">
        <v>42</v>
      </c>
      <c r="D3586" s="1" t="n">
        <v>7</v>
      </c>
      <c r="E3586" s="4">
        <f>IF(INDEX(C:C, ROW())+INDEX(D:D, ROW())=0, 0, INDEX(C:C, ROW())/(INDEX(C:C, ROW())+INDEX(D:D, ROW())))</f>
        <v/>
      </c>
      <c r="F3586" s="1" t="inlineStr">
        <is>
          <t>String, Dynamic Programming</t>
        </is>
      </c>
      <c r="G3586" s="1" t="inlineStr">
        <is>
          <t>Hard</t>
        </is>
      </c>
      <c r="H3586" s="1" t="n">
        <v>3886</v>
      </c>
      <c r="I3586" s="1" t="n">
        <v>18591</v>
      </c>
      <c r="J3586" s="9" t="n">
        <v>0.209</v>
      </c>
      <c r="K3586" s="1" t="inlineStr">
        <is>
          <t>Yes</t>
        </is>
      </c>
      <c r="L3586" s="1" t="inlineStr">
        <is>
          <t>No</t>
        </is>
      </c>
      <c r="M3586" s="1" t="inlineStr">
        <is>
          <t>No</t>
        </is>
      </c>
      <c r="N3586" s="1" t="inlineStr">
        <is>
          <t>Algorithms</t>
        </is>
      </c>
      <c r="O35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86" s="11" t="inlineStr">
        <is>
          <t>To Do</t>
        </is>
      </c>
    </row>
    <row r="3587" ht="15.75" customHeight="1" s="12">
      <c r="A3587" s="1" t="n">
        <v>3528</v>
      </c>
      <c r="B3587" s="3">
        <f>HYPERLINK("https://leetcode.com/problems/unit-conversion-i/", "Unit Conversion I")</f>
        <v/>
      </c>
      <c r="C3587" s="1" t="n">
        <v>42</v>
      </c>
      <c r="D3587" s="1" t="n">
        <v>21</v>
      </c>
      <c r="E3587" s="4">
        <f>IF(INDEX(C:C, ROW())+INDEX(D:D, ROW())=0, 0, INDEX(C:C, ROW())/(INDEX(C:C, ROW())+INDEX(D:D, ROW())))</f>
        <v/>
      </c>
      <c r="F3587" s="1" t="inlineStr">
        <is>
          <t>Depth-First Search, Breadth-First Search, Graph Theory</t>
        </is>
      </c>
      <c r="G3587" s="1" t="inlineStr">
        <is>
          <t>Medium</t>
        </is>
      </c>
      <c r="H3587" s="1" t="n">
        <v>20112</v>
      </c>
      <c r="I3587" s="1" t="n">
        <v>37168</v>
      </c>
      <c r="J3587" s="9" t="n">
        <v>0.541</v>
      </c>
      <c r="K3587" s="1" t="inlineStr">
        <is>
          <t>Yes</t>
        </is>
      </c>
      <c r="L3587" s="1" t="inlineStr">
        <is>
          <t>No</t>
        </is>
      </c>
      <c r="M3587" s="1" t="inlineStr">
        <is>
          <t>No</t>
        </is>
      </c>
      <c r="N3587" s="1" t="inlineStr">
        <is>
          <t>Algorithms</t>
        </is>
      </c>
      <c r="O35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87" s="11" t="inlineStr">
        <is>
          <t>To Do</t>
        </is>
      </c>
    </row>
    <row r="3588" ht="15.75" customHeight="1" s="12">
      <c r="A3588" s="1" t="n">
        <v>3601</v>
      </c>
      <c r="B3588" s="3">
        <f>HYPERLINK("https://leetcode.com/problems/find-drivers-with-improved-fuel-efficiency/", "Find Drivers with Improved Fuel Efficiency")</f>
        <v/>
      </c>
      <c r="C3588" s="1" t="n">
        <v>42</v>
      </c>
      <c r="D3588" s="1" t="n">
        <v>7</v>
      </c>
      <c r="E3588" s="4">
        <f>IF(INDEX(C:C, ROW())+INDEX(D:D, ROW())=0, 0, INDEX(C:C, ROW())/(INDEX(C:C, ROW())+INDEX(D:D, ROW())))</f>
        <v/>
      </c>
      <c r="F3588" s="1" t="inlineStr">
        <is>
          <t>Database</t>
        </is>
      </c>
      <c r="G3588" s="1" t="inlineStr">
        <is>
          <t>Medium</t>
        </is>
      </c>
      <c r="H3588" s="1" t="n">
        <v>10555</v>
      </c>
      <c r="I3588" s="1" t="n">
        <v>22723</v>
      </c>
      <c r="J3588" s="9" t="n">
        <v>0.465</v>
      </c>
      <c r="K3588" s="1" t="inlineStr">
        <is>
          <t>Yes</t>
        </is>
      </c>
      <c r="L3588" s="1" t="inlineStr">
        <is>
          <t>No</t>
        </is>
      </c>
      <c r="M3588" s="1" t="inlineStr">
        <is>
          <t>No</t>
        </is>
      </c>
      <c r="N3588" s="1" t="inlineStr">
        <is>
          <t>Database</t>
        </is>
      </c>
      <c r="O35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88" s="11" t="inlineStr">
        <is>
          <t>To Do</t>
        </is>
      </c>
    </row>
    <row r="3589" ht="15.75" customHeight="1" s="12">
      <c r="A3589" s="1" t="n">
        <v>3754</v>
      </c>
      <c r="B3589" s="3">
        <f>HYPERLINK("https://leetcode.com/problems/concatenate-non-zero-digits-and-multiply-by-sum-i/", "Concatenate Non-Zero Digits and Multiply by Sum I")</f>
        <v/>
      </c>
      <c r="C3589" s="1" t="n">
        <v>42</v>
      </c>
      <c r="D3589" s="1" t="n">
        <v>0</v>
      </c>
      <c r="E3589" s="4">
        <f>IF(INDEX(C:C, ROW())+INDEX(D:D, ROW())=0, 0, INDEX(C:C, ROW())/(INDEX(C:C, ROW())+INDEX(D:D, ROW())))</f>
        <v/>
      </c>
      <c r="F3589" s="1" t="inlineStr">
        <is>
          <t>Math</t>
        </is>
      </c>
      <c r="G3589" s="1" t="inlineStr">
        <is>
          <t>Easy</t>
        </is>
      </c>
      <c r="H3589" s="1" t="n">
        <v>40714</v>
      </c>
      <c r="I3589" s="1" t="n">
        <v>72887</v>
      </c>
      <c r="J3589" s="9" t="n">
        <v>0.5590000000000001</v>
      </c>
      <c r="K3589" s="1" t="inlineStr">
        <is>
          <t>Yes</t>
        </is>
      </c>
      <c r="L3589" s="1" t="inlineStr">
        <is>
          <t>No</t>
        </is>
      </c>
      <c r="M3589" s="1" t="inlineStr">
        <is>
          <t>No</t>
        </is>
      </c>
      <c r="N3589" s="1" t="inlineStr">
        <is>
          <t>Algorithms</t>
        </is>
      </c>
      <c r="O35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89" s="13" t="inlineStr">
        <is>
          <t>Done</t>
        </is>
      </c>
    </row>
    <row r="3590" ht="15.75" customHeight="1" s="12">
      <c r="A3590" s="1" t="n">
        <v>3797</v>
      </c>
      <c r="B3590" s="3">
        <f>HYPERLINK("https://leetcode.com/problems/count-routes-to-climb-a-rectangular-grid/", "Count Routes to Climb a Rectangular Grid")</f>
        <v/>
      </c>
      <c r="C3590" s="1" t="n">
        <v>42</v>
      </c>
      <c r="D3590" s="1" t="n">
        <v>1</v>
      </c>
      <c r="E3590" s="4">
        <f>IF(INDEX(C:C, ROW())+INDEX(D:D, ROW())=0, 0, INDEX(C:C, ROW())/(INDEX(C:C, ROW())+INDEX(D:D, ROW())))</f>
        <v/>
      </c>
      <c r="F3590" s="1" t="inlineStr">
        <is>
          <t>Array, Dynamic Programming, Matrix, Prefix Sum</t>
        </is>
      </c>
      <c r="G3590" s="1" t="inlineStr">
        <is>
          <t>Hard</t>
        </is>
      </c>
      <c r="H3590" s="1" t="n">
        <v>3782</v>
      </c>
      <c r="I3590" s="1" t="n">
        <v>15349</v>
      </c>
      <c r="J3590" s="9" t="n">
        <v>0.246</v>
      </c>
      <c r="K3590" s="1" t="inlineStr">
        <is>
          <t>Yes</t>
        </is>
      </c>
      <c r="L3590" s="1" t="inlineStr">
        <is>
          <t>No</t>
        </is>
      </c>
      <c r="M3590" s="1" t="inlineStr">
        <is>
          <t>No</t>
        </is>
      </c>
      <c r="N3590" s="1" t="inlineStr">
        <is>
          <t>Algorithms</t>
        </is>
      </c>
      <c r="O35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90" s="11" t="inlineStr">
        <is>
          <t>To Do</t>
        </is>
      </c>
    </row>
    <row r="3591" ht="15.75" customHeight="1" s="12">
      <c r="A3591" s="1" t="n">
        <v>3838</v>
      </c>
      <c r="B3591" s="3">
        <f>HYPERLINK("https://leetcode.com/problems/weighted-word-mapping/", "Weighted Word Mapping")</f>
        <v/>
      </c>
      <c r="C3591" s="1" t="n">
        <v>42</v>
      </c>
      <c r="D3591" s="1" t="n">
        <v>2</v>
      </c>
      <c r="E3591" s="4">
        <f>IF(INDEX(C:C, ROW())+INDEX(D:D, ROW())=0, 0, INDEX(C:C, ROW())/(INDEX(C:C, ROW())+INDEX(D:D, ROW())))</f>
        <v/>
      </c>
      <c r="F3591" s="1" t="inlineStr">
        <is>
          <t>Array, String, Simulation</t>
        </is>
      </c>
      <c r="G3591" s="1" t="inlineStr">
        <is>
          <t>Easy</t>
        </is>
      </c>
      <c r="H3591" s="1" t="n">
        <v>49024</v>
      </c>
      <c r="I3591" s="1" t="n">
        <v>57224</v>
      </c>
      <c r="J3591" s="9" t="n">
        <v>0.857</v>
      </c>
      <c r="K3591" s="1" t="inlineStr">
        <is>
          <t>Yes</t>
        </is>
      </c>
      <c r="L3591" s="1" t="inlineStr">
        <is>
          <t>No</t>
        </is>
      </c>
      <c r="M3591" s="1" t="inlineStr">
        <is>
          <t>No</t>
        </is>
      </c>
      <c r="N3591" s="1" t="inlineStr">
        <is>
          <t>Algorithms</t>
        </is>
      </c>
      <c r="O35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91" s="13" t="inlineStr">
        <is>
          <t>Done</t>
        </is>
      </c>
    </row>
    <row r="3592" ht="15.75" customHeight="1" s="12">
      <c r="A3592" s="1" t="n">
        <v>3892</v>
      </c>
      <c r="B3592" s="3">
        <f>HYPERLINK("https://leetcode.com/problems/minimum-operations-to-achieve-at-least-k-peaks/", "Minimum Operations to Achieve At Least K Peaks")</f>
        <v/>
      </c>
      <c r="C3592" s="1" t="n">
        <v>42</v>
      </c>
      <c r="D3592" s="1" t="n">
        <v>6</v>
      </c>
      <c r="E3592" s="4">
        <f>IF(INDEX(C:C, ROW())+INDEX(D:D, ROW())=0, 0, INDEX(C:C, ROW())/(INDEX(C:C, ROW())+INDEX(D:D, ROW())))</f>
        <v/>
      </c>
      <c r="F3592" s="1" t="inlineStr">
        <is>
          <t>Array, Dynamic Programming</t>
        </is>
      </c>
      <c r="G3592" s="1" t="inlineStr">
        <is>
          <t>Hard</t>
        </is>
      </c>
      <c r="H3592" s="1" t="n">
        <v>6931</v>
      </c>
      <c r="I3592" s="1" t="n">
        <v>22898</v>
      </c>
      <c r="J3592" s="9" t="n">
        <v>0.303</v>
      </c>
      <c r="K3592" s="1" t="inlineStr">
        <is>
          <t>Yes</t>
        </is>
      </c>
      <c r="L3592" s="1" t="inlineStr">
        <is>
          <t>No</t>
        </is>
      </c>
      <c r="M3592" s="1" t="inlineStr">
        <is>
          <t>No</t>
        </is>
      </c>
      <c r="N3592" s="1" t="inlineStr">
        <is>
          <t>Algorithms</t>
        </is>
      </c>
      <c r="O35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92" s="11" t="inlineStr">
        <is>
          <t>To Do</t>
        </is>
      </c>
    </row>
    <row r="3593" ht="15.75" customHeight="1" s="12">
      <c r="A3593" s="1" t="n">
        <v>2010</v>
      </c>
      <c r="B3593" s="3">
        <f>HYPERLINK("https://leetcode.com/problems/the-number-of-seniors-and-juniors-to-join-the-company-ii/", "The Number of Seniors and Juniors to Join the Company II")</f>
        <v/>
      </c>
      <c r="C3593" s="1" t="n">
        <v>41</v>
      </c>
      <c r="D3593" s="1" t="n">
        <v>10</v>
      </c>
      <c r="E3593" s="4">
        <f>IF(INDEX(C:C, ROW())+INDEX(D:D, ROW())=0, 0, INDEX(C:C, ROW())/(INDEX(C:C, ROW())+INDEX(D:D, ROW())))</f>
        <v/>
      </c>
      <c r="F3593" s="1" t="inlineStr">
        <is>
          <t>Database</t>
        </is>
      </c>
      <c r="G3593" s="1" t="inlineStr">
        <is>
          <t>Hard</t>
        </is>
      </c>
      <c r="H3593" s="1" t="n">
        <v>7439</v>
      </c>
      <c r="I3593" s="1" t="n">
        <v>11255</v>
      </c>
      <c r="J3593" s="9" t="n">
        <v>0.661</v>
      </c>
      <c r="K3593" s="1" t="inlineStr">
        <is>
          <t>No</t>
        </is>
      </c>
      <c r="L3593" s="1" t="inlineStr">
        <is>
          <t>No</t>
        </is>
      </c>
      <c r="M3593" s="1" t="inlineStr">
        <is>
          <t>No</t>
        </is>
      </c>
      <c r="N3593" s="1" t="inlineStr">
        <is>
          <t>Database</t>
        </is>
      </c>
      <c r="O35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93" s="11" t="inlineStr">
        <is>
          <t>To Do</t>
        </is>
      </c>
    </row>
    <row r="3594" ht="15.75" customHeight="1" s="12">
      <c r="A3594" s="1" t="n">
        <v>2143</v>
      </c>
      <c r="B3594" s="3">
        <f>HYPERLINK("https://leetcode.com/problems/choose-numbers-from-two-arrays-in-range/", "Choose Numbers From Two Arrays in Range")</f>
        <v/>
      </c>
      <c r="C3594" s="1" t="n">
        <v>41</v>
      </c>
      <c r="D3594" s="1" t="n">
        <v>5</v>
      </c>
      <c r="E3594" s="4">
        <f>IF(INDEX(C:C, ROW())+INDEX(D:D, ROW())=0, 0, INDEX(C:C, ROW())/(INDEX(C:C, ROW())+INDEX(D:D, ROW())))</f>
        <v/>
      </c>
      <c r="F3594" s="1" t="inlineStr">
        <is>
          <t>Array, Dynamic Programming</t>
        </is>
      </c>
      <c r="G3594" s="1" t="inlineStr">
        <is>
          <t>Hard</t>
        </is>
      </c>
      <c r="H3594" s="1" t="n">
        <v>1388</v>
      </c>
      <c r="I3594" s="1" t="n">
        <v>2627</v>
      </c>
      <c r="J3594" s="9" t="n">
        <v>0.528</v>
      </c>
      <c r="K3594" s="1" t="inlineStr">
        <is>
          <t>No</t>
        </is>
      </c>
      <c r="L3594" s="1" t="inlineStr">
        <is>
          <t>No</t>
        </is>
      </c>
      <c r="M3594" s="1" t="inlineStr">
        <is>
          <t>No</t>
        </is>
      </c>
      <c r="N3594" s="1" t="inlineStr">
        <is>
          <t>Algorithms</t>
        </is>
      </c>
      <c r="O35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94" s="11" t="inlineStr">
        <is>
          <t>To Do</t>
        </is>
      </c>
    </row>
    <row r="3595" ht="15.75" customHeight="1" s="12">
      <c r="A3595" s="1" t="n">
        <v>2372</v>
      </c>
      <c r="B3595" s="3">
        <f>HYPERLINK("https://leetcode.com/problems/calculate-the-influence-of-each-salesperson/", "Calculate the Influence of Each Salesperson")</f>
        <v/>
      </c>
      <c r="C3595" s="1" t="n">
        <v>41</v>
      </c>
      <c r="D3595" s="1" t="n">
        <v>4</v>
      </c>
      <c r="E3595" s="4">
        <f>IF(INDEX(C:C, ROW())+INDEX(D:D, ROW())=0, 0, INDEX(C:C, ROW())/(INDEX(C:C, ROW())+INDEX(D:D, ROW())))</f>
        <v/>
      </c>
      <c r="F3595" s="1" t="inlineStr">
        <is>
          <t>Database</t>
        </is>
      </c>
      <c r="G3595" s="1" t="inlineStr">
        <is>
          <t>Medium</t>
        </is>
      </c>
      <c r="H3595" s="1" t="n">
        <v>8140</v>
      </c>
      <c r="I3595" s="1" t="n">
        <v>9702</v>
      </c>
      <c r="J3595" s="9" t="n">
        <v>0.839</v>
      </c>
      <c r="K3595" s="1" t="inlineStr">
        <is>
          <t>No</t>
        </is>
      </c>
      <c r="L3595" s="1" t="inlineStr">
        <is>
          <t>No</t>
        </is>
      </c>
      <c r="M3595" s="1" t="inlineStr">
        <is>
          <t>No</t>
        </is>
      </c>
      <c r="N3595" s="1" t="inlineStr">
        <is>
          <t>Database</t>
        </is>
      </c>
      <c r="O35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95" s="11" t="inlineStr">
        <is>
          <t>To Do</t>
        </is>
      </c>
    </row>
    <row r="3596" ht="15.75" customHeight="1" s="12">
      <c r="A3596" s="1" t="n">
        <v>2464</v>
      </c>
      <c r="B3596" s="3">
        <f>HYPERLINK("https://leetcode.com/problems/minimum-subarrays-in-a-valid-split/", "Minimum Subarrays in a Valid Split")</f>
        <v/>
      </c>
      <c r="C3596" s="1" t="n">
        <v>41</v>
      </c>
      <c r="D3596" s="1" t="n">
        <v>9</v>
      </c>
      <c r="E3596" s="4">
        <f>IF(INDEX(C:C, ROW())+INDEX(D:D, ROW())=0, 0, INDEX(C:C, ROW())/(INDEX(C:C, ROW())+INDEX(D:D, ROW())))</f>
        <v/>
      </c>
      <c r="F3596" s="1" t="inlineStr">
        <is>
          <t>Array, Math, Dynamic Programming, Number Theory</t>
        </is>
      </c>
      <c r="G3596" s="1" t="inlineStr">
        <is>
          <t>Medium</t>
        </is>
      </c>
      <c r="H3596" s="1" t="n">
        <v>3556</v>
      </c>
      <c r="I3596" s="1" t="n">
        <v>5493</v>
      </c>
      <c r="J3596" s="9" t="n">
        <v>0.647</v>
      </c>
      <c r="K3596" s="1" t="inlineStr">
        <is>
          <t>No</t>
        </is>
      </c>
      <c r="L3596" s="1" t="inlineStr">
        <is>
          <t>Yes</t>
        </is>
      </c>
      <c r="M3596" s="1" t="inlineStr">
        <is>
          <t>No</t>
        </is>
      </c>
      <c r="N3596" s="1" t="inlineStr">
        <is>
          <t>Algorithms</t>
        </is>
      </c>
      <c r="O35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96" s="11" t="inlineStr">
        <is>
          <t>To Do</t>
        </is>
      </c>
    </row>
    <row r="3597" ht="15.75" customHeight="1" s="12">
      <c r="A3597" s="1" t="n">
        <v>2689</v>
      </c>
      <c r="B3597" s="3">
        <f>HYPERLINK("https://leetcode.com/problems/extract-kth-character-from-the-rope-tree/", "Extract Kth Character From The Rope Tree")</f>
        <v/>
      </c>
      <c r="C3597" s="1" t="n">
        <v>41</v>
      </c>
      <c r="D3597" s="1" t="n">
        <v>29</v>
      </c>
      <c r="E3597" s="4">
        <f>IF(INDEX(C:C, ROW())+INDEX(D:D, ROW())=0, 0, INDEX(C:C, ROW())/(INDEX(C:C, ROW())+INDEX(D:D, ROW())))</f>
        <v/>
      </c>
      <c r="F3597" s="1" t="inlineStr">
        <is>
          <t>Tree, Depth-First Search, Binary Tree</t>
        </is>
      </c>
      <c r="G3597" s="1" t="inlineStr">
        <is>
          <t>Easy</t>
        </is>
      </c>
      <c r="H3597" s="1" t="n">
        <v>4929</v>
      </c>
      <c r="I3597" s="1" t="n">
        <v>6716</v>
      </c>
      <c r="J3597" s="9" t="n">
        <v>0.734</v>
      </c>
      <c r="K3597" s="1" t="inlineStr">
        <is>
          <t>No</t>
        </is>
      </c>
      <c r="L3597" s="1" t="inlineStr">
        <is>
          <t>No</t>
        </is>
      </c>
      <c r="M3597" s="1" t="inlineStr">
        <is>
          <t>No</t>
        </is>
      </c>
      <c r="N3597" s="1" t="inlineStr">
        <is>
          <t>Algorithms</t>
        </is>
      </c>
      <c r="O35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97" s="11" t="inlineStr">
        <is>
          <t>To Do</t>
        </is>
      </c>
    </row>
    <row r="3598" ht="15.75" customHeight="1" s="12">
      <c r="A3598" s="1" t="n">
        <v>2714</v>
      </c>
      <c r="B3598" s="3">
        <f>HYPERLINK("https://leetcode.com/problems/find-shortest-path-with-k-hops/", "Find Shortest Path with K Hops")</f>
        <v/>
      </c>
      <c r="C3598" s="1" t="n">
        <v>41</v>
      </c>
      <c r="D3598" s="1" t="n">
        <v>1</v>
      </c>
      <c r="E3598" s="4">
        <f>IF(INDEX(C:C, ROW())+INDEX(D:D, ROW())=0, 0, INDEX(C:C, ROW())/(INDEX(C:C, ROW())+INDEX(D:D, ROW())))</f>
        <v/>
      </c>
      <c r="F3598" s="1" t="inlineStr">
        <is>
          <t>Graph Theory, Heap (Priority Queue), Shortest Path</t>
        </is>
      </c>
      <c r="G3598" s="1" t="inlineStr">
        <is>
          <t>Hard</t>
        </is>
      </c>
      <c r="H3598" s="1" t="n">
        <v>2401</v>
      </c>
      <c r="I3598" s="1" t="n">
        <v>3491</v>
      </c>
      <c r="J3598" s="9" t="n">
        <v>0.6879999999999999</v>
      </c>
      <c r="K3598" s="1" t="inlineStr">
        <is>
          <t>No</t>
        </is>
      </c>
      <c r="L3598" s="1" t="inlineStr">
        <is>
          <t>No</t>
        </is>
      </c>
      <c r="M3598" s="1" t="inlineStr">
        <is>
          <t>No</t>
        </is>
      </c>
      <c r="N3598" s="1" t="inlineStr">
        <is>
          <t>Algorithms</t>
        </is>
      </c>
      <c r="O35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98" s="11" t="inlineStr">
        <is>
          <t>To Do</t>
        </is>
      </c>
    </row>
    <row r="3599" ht="15.75" customHeight="1" s="12">
      <c r="A3599" s="1" t="n">
        <v>3426</v>
      </c>
      <c r="B3599" s="3">
        <f>HYPERLINK("https://leetcode.com/problems/manhattan-distances-of-all-arrangements-of-pieces/", "Manhattan Distances of All Arrangements of Pieces")</f>
        <v/>
      </c>
      <c r="C3599" s="1" t="n">
        <v>41</v>
      </c>
      <c r="D3599" s="1" t="n">
        <v>11</v>
      </c>
      <c r="E3599" s="4">
        <f>IF(INDEX(C:C, ROW())+INDEX(D:D, ROW())=0, 0, INDEX(C:C, ROW())/(INDEX(C:C, ROW())+INDEX(D:D, ROW())))</f>
        <v/>
      </c>
      <c r="F3599" s="1" t="inlineStr">
        <is>
          <t>Math, Combinatorics</t>
        </is>
      </c>
      <c r="G3599" s="1" t="inlineStr">
        <is>
          <t>Hard</t>
        </is>
      </c>
      <c r="H3599" s="1" t="n">
        <v>3959</v>
      </c>
      <c r="I3599" s="1" t="n">
        <v>11209</v>
      </c>
      <c r="J3599" s="9" t="n">
        <v>0.353</v>
      </c>
      <c r="K3599" s="1" t="inlineStr">
        <is>
          <t>Yes</t>
        </is>
      </c>
      <c r="L3599" s="1" t="inlineStr">
        <is>
          <t>No</t>
        </is>
      </c>
      <c r="M3599" s="1" t="inlineStr">
        <is>
          <t>No</t>
        </is>
      </c>
      <c r="N3599" s="1" t="inlineStr">
        <is>
          <t>Algorithms</t>
        </is>
      </c>
      <c r="O35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599" s="11" t="inlineStr">
        <is>
          <t>To Do</t>
        </is>
      </c>
    </row>
    <row r="3600" ht="15.75" customHeight="1" s="12">
      <c r="A3600" s="1" t="n">
        <v>3594</v>
      </c>
      <c r="B3600" s="3">
        <f>HYPERLINK("https://leetcode.com/problems/minimum-time-to-transport-all-individuals/", "Minimum Time to Transport All Individuals")</f>
        <v/>
      </c>
      <c r="C3600" s="1" t="n">
        <v>41</v>
      </c>
      <c r="D3600" s="1" t="n">
        <v>6</v>
      </c>
      <c r="E3600" s="4">
        <f>IF(INDEX(C:C, ROW())+INDEX(D:D, ROW())=0, 0, INDEX(C:C, ROW())/(INDEX(C:C, ROW())+INDEX(D:D, ROW())))</f>
        <v/>
      </c>
      <c r="F3600" s="1" t="inlineStr">
        <is>
          <t>Array, Bit Manipulation, Graph Theory, Heap (Priority Queue), Shortest Path, Bitmask</t>
        </is>
      </c>
      <c r="G3600" s="1" t="inlineStr">
        <is>
          <t>Hard</t>
        </is>
      </c>
      <c r="H3600" s="1" t="n">
        <v>3513</v>
      </c>
      <c r="I3600" s="1" t="n">
        <v>12391</v>
      </c>
      <c r="J3600" s="9" t="n">
        <v>0.284</v>
      </c>
      <c r="K3600" s="1" t="inlineStr">
        <is>
          <t>Yes</t>
        </is>
      </c>
      <c r="L3600" s="1" t="inlineStr">
        <is>
          <t>No</t>
        </is>
      </c>
      <c r="M3600" s="1" t="inlineStr">
        <is>
          <t>No</t>
        </is>
      </c>
      <c r="N3600" s="1" t="inlineStr">
        <is>
          <t>Algorithms</t>
        </is>
      </c>
      <c r="O36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00" s="11" t="inlineStr">
        <is>
          <t>To Do</t>
        </is>
      </c>
    </row>
    <row r="3601" ht="15.75" customHeight="1" s="12">
      <c r="A3601" s="1" t="n">
        <v>3605</v>
      </c>
      <c r="B3601" s="3">
        <f>HYPERLINK("https://leetcode.com/problems/minimum-stability-factor-of-array/", "Minimum Stability Factor of Array")</f>
        <v/>
      </c>
      <c r="C3601" s="1" t="n">
        <v>41</v>
      </c>
      <c r="D3601" s="1" t="n">
        <v>2</v>
      </c>
      <c r="E3601" s="4">
        <f>IF(INDEX(C:C, ROW())+INDEX(D:D, ROW())=0, 0, INDEX(C:C, ROW())/(INDEX(C:C, ROW())+INDEX(D:D, ROW())))</f>
        <v/>
      </c>
      <c r="F3601" s="1" t="inlineStr">
        <is>
          <t>Array, Math, Binary Search, Greedy, Segment Tree, Number Theory</t>
        </is>
      </c>
      <c r="G3601" s="1" t="inlineStr">
        <is>
          <t>Hard</t>
        </is>
      </c>
      <c r="H3601" s="1" t="n">
        <v>4121</v>
      </c>
      <c r="I3601" s="1" t="n">
        <v>20034</v>
      </c>
      <c r="J3601" s="9" t="n">
        <v>0.206</v>
      </c>
      <c r="K3601" s="1" t="inlineStr">
        <is>
          <t>Yes</t>
        </is>
      </c>
      <c r="L3601" s="1" t="inlineStr">
        <is>
          <t>No</t>
        </is>
      </c>
      <c r="M3601" s="1" t="inlineStr">
        <is>
          <t>No</t>
        </is>
      </c>
      <c r="N3601" s="1" t="inlineStr">
        <is>
          <t>Algorithms</t>
        </is>
      </c>
      <c r="O36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01" s="11" t="inlineStr">
        <is>
          <t>To Do</t>
        </is>
      </c>
    </row>
    <row r="3602" ht="15.75" customHeight="1" s="12">
      <c r="A3602" s="1" t="n">
        <v>3636</v>
      </c>
      <c r="B3602" s="3">
        <f>HYPERLINK("https://leetcode.com/problems/threshold-majority-queries/", "Threshold Majority Queries")</f>
        <v/>
      </c>
      <c r="C3602" s="1" t="n">
        <v>41</v>
      </c>
      <c r="D3602" s="1" t="n">
        <v>10</v>
      </c>
      <c r="E3602" s="4">
        <f>IF(INDEX(C:C, ROW())+INDEX(D:D, ROW())=0, 0, INDEX(C:C, ROW())/(INDEX(C:C, ROW())+INDEX(D:D, ROW())))</f>
        <v/>
      </c>
      <c r="F3602" s="1" t="inlineStr">
        <is>
          <t>Array, Hash Table, Binary Search, Divide and Conquer, Counting, Prefix Sum</t>
        </is>
      </c>
      <c r="G3602" s="1" t="inlineStr">
        <is>
          <t>Hard</t>
        </is>
      </c>
      <c r="H3602" s="1" t="n">
        <v>4732</v>
      </c>
      <c r="I3602" s="1" t="n">
        <v>21602</v>
      </c>
      <c r="J3602" s="9" t="n">
        <v>0.219</v>
      </c>
      <c r="K3602" s="1" t="inlineStr">
        <is>
          <t>Yes</t>
        </is>
      </c>
      <c r="L3602" s="1" t="inlineStr">
        <is>
          <t>No</t>
        </is>
      </c>
      <c r="M3602" s="1" t="inlineStr">
        <is>
          <t>No</t>
        </is>
      </c>
      <c r="N3602" s="1" t="inlineStr">
        <is>
          <t>Algorithms</t>
        </is>
      </c>
      <c r="O36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02" s="11" t="inlineStr">
        <is>
          <t>To Do</t>
        </is>
      </c>
    </row>
    <row r="3603" ht="15.75" customHeight="1" s="12">
      <c r="A3603" s="1" t="n">
        <v>3688</v>
      </c>
      <c r="B3603" s="3">
        <f>HYPERLINK("https://leetcode.com/problems/bitwise-or-of-even-numbers-in-an-array/", "Bitwise OR of Even Numbers in an Array")</f>
        <v/>
      </c>
      <c r="C3603" s="1" t="n">
        <v>41</v>
      </c>
      <c r="D3603" s="1" t="n">
        <v>4</v>
      </c>
      <c r="E3603" s="4">
        <f>IF(INDEX(C:C, ROW())+INDEX(D:D, ROW())=0, 0, INDEX(C:C, ROW())/(INDEX(C:C, ROW())+INDEX(D:D, ROW())))</f>
        <v/>
      </c>
      <c r="F3603" s="1" t="inlineStr">
        <is>
          <t>Array, Bit Manipulation, Simulation</t>
        </is>
      </c>
      <c r="G3603" s="1" t="inlineStr">
        <is>
          <t>Easy</t>
        </is>
      </c>
      <c r="H3603" s="1" t="n">
        <v>73459</v>
      </c>
      <c r="I3603" s="1" t="n">
        <v>86384</v>
      </c>
      <c r="J3603" s="9" t="n">
        <v>0.85</v>
      </c>
      <c r="K3603" s="1" t="inlineStr">
        <is>
          <t>Yes</t>
        </is>
      </c>
      <c r="L3603" s="1" t="inlineStr">
        <is>
          <t>No</t>
        </is>
      </c>
      <c r="M3603" s="1" t="inlineStr">
        <is>
          <t>No</t>
        </is>
      </c>
      <c r="N3603" s="1" t="inlineStr">
        <is>
          <t>Algorithms</t>
        </is>
      </c>
      <c r="O36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03" s="13" t="inlineStr">
        <is>
          <t>Done</t>
        </is>
      </c>
    </row>
    <row r="3604" ht="15.75" customHeight="1" s="12">
      <c r="A3604" s="1" t="n">
        <v>3707</v>
      </c>
      <c r="B3604" s="3">
        <f>HYPERLINK("https://leetcode.com/problems/equal-score-substrings/", "Equal Score Substrings")</f>
        <v/>
      </c>
      <c r="C3604" s="1" t="n">
        <v>41</v>
      </c>
      <c r="D3604" s="1" t="n">
        <v>3</v>
      </c>
      <c r="E3604" s="4">
        <f>IF(INDEX(C:C, ROW())+INDEX(D:D, ROW())=0, 0, INDEX(C:C, ROW())/(INDEX(C:C, ROW())+INDEX(D:D, ROW())))</f>
        <v/>
      </c>
      <c r="F3604" s="1" t="inlineStr">
        <is>
          <t>String, Prefix Sum</t>
        </is>
      </c>
      <c r="G3604" s="1" t="inlineStr">
        <is>
          <t>Easy</t>
        </is>
      </c>
      <c r="H3604" s="1" t="n">
        <v>37510</v>
      </c>
      <c r="I3604" s="1" t="n">
        <v>66075</v>
      </c>
      <c r="J3604" s="9" t="n">
        <v>0.5679999999999999</v>
      </c>
      <c r="K3604" s="1" t="inlineStr">
        <is>
          <t>Yes</t>
        </is>
      </c>
      <c r="L3604" s="1" t="inlineStr">
        <is>
          <t>No</t>
        </is>
      </c>
      <c r="M3604" s="1" t="inlineStr">
        <is>
          <t>No</t>
        </is>
      </c>
      <c r="N3604" s="1" t="inlineStr">
        <is>
          <t>Algorithms</t>
        </is>
      </c>
      <c r="O36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04" s="13" t="inlineStr">
        <is>
          <t>Done</t>
        </is>
      </c>
    </row>
    <row r="3605" ht="15.75" customHeight="1" s="12">
      <c r="A3605" s="1" t="n">
        <v>3866</v>
      </c>
      <c r="B3605" s="3">
        <f>HYPERLINK("https://leetcode.com/problems/first-unique-even-element/", "First Unique Even Element")</f>
        <v/>
      </c>
      <c r="C3605" s="1" t="n">
        <v>41</v>
      </c>
      <c r="D3605" s="1" t="n">
        <v>0</v>
      </c>
      <c r="E3605" s="4">
        <f>IF(INDEX(C:C, ROW())+INDEX(D:D, ROW())=0, 0, INDEX(C:C, ROW())/(INDEX(C:C, ROW())+INDEX(D:D, ROW())))</f>
        <v/>
      </c>
      <c r="F3605" s="1" t="inlineStr">
        <is>
          <t>Array, Hash Table, Counting</t>
        </is>
      </c>
      <c r="G3605" s="1" t="inlineStr">
        <is>
          <t>Easy</t>
        </is>
      </c>
      <c r="H3605" s="1" t="n">
        <v>46232</v>
      </c>
      <c r="I3605" s="1" t="n">
        <v>69727</v>
      </c>
      <c r="J3605" s="9" t="n">
        <v>0.663</v>
      </c>
      <c r="K3605" s="1" t="inlineStr">
        <is>
          <t>Yes</t>
        </is>
      </c>
      <c r="L3605" s="1" t="inlineStr">
        <is>
          <t>No</t>
        </is>
      </c>
      <c r="M3605" s="1" t="inlineStr">
        <is>
          <t>No</t>
        </is>
      </c>
      <c r="N3605" s="1" t="inlineStr">
        <is>
          <t>Algorithms</t>
        </is>
      </c>
      <c r="O36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05" s="13" t="inlineStr">
        <is>
          <t>Done</t>
        </is>
      </c>
    </row>
    <row r="3606" ht="15.75" customHeight="1" s="12">
      <c r="A3606" s="1" t="n">
        <v>3901</v>
      </c>
      <c r="B3606" s="3">
        <f>HYPERLINK("https://leetcode.com/problems/good-subsequence-queries/", "Good Subsequence Queries")</f>
        <v/>
      </c>
      <c r="C3606" s="1" t="n">
        <v>41</v>
      </c>
      <c r="D3606" s="1" t="n">
        <v>1</v>
      </c>
      <c r="E3606" s="4">
        <f>IF(INDEX(C:C, ROW())+INDEX(D:D, ROW())=0, 0, INDEX(C:C, ROW())/(INDEX(C:C, ROW())+INDEX(D:D, ROW())))</f>
        <v/>
      </c>
      <c r="F3606" s="2" t="n"/>
      <c r="G3606" s="1" t="inlineStr">
        <is>
          <t>Hard</t>
        </is>
      </c>
      <c r="H3606" s="1" t="n">
        <v>2976</v>
      </c>
      <c r="I3606" s="1" t="n">
        <v>15542</v>
      </c>
      <c r="J3606" s="9" t="n">
        <v>0.191</v>
      </c>
      <c r="K3606" s="1" t="inlineStr">
        <is>
          <t>Yes</t>
        </is>
      </c>
      <c r="L3606" s="1" t="inlineStr">
        <is>
          <t>No</t>
        </is>
      </c>
      <c r="M3606" s="1" t="inlineStr">
        <is>
          <t>No</t>
        </is>
      </c>
      <c r="N3606" s="1" t="inlineStr">
        <is>
          <t>Algorithms</t>
        </is>
      </c>
      <c r="O36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06" s="11" t="inlineStr">
        <is>
          <t>To Do</t>
        </is>
      </c>
    </row>
    <row r="3607" ht="15.75" customHeight="1" s="12">
      <c r="A3607" s="1" t="n">
        <v>3920</v>
      </c>
      <c r="B3607" s="3">
        <f>HYPERLINK("https://leetcode.com/problems/maximize-fixed-points-after-deletions/", "Maximize Fixed Points After Deletions")</f>
        <v/>
      </c>
      <c r="C3607" s="1" t="n">
        <v>41</v>
      </c>
      <c r="D3607" s="1" t="n">
        <v>1</v>
      </c>
      <c r="E3607" s="4">
        <f>IF(INDEX(C:C, ROW())+INDEX(D:D, ROW())=0, 0, INDEX(C:C, ROW())/(INDEX(C:C, ROW())+INDEX(D:D, ROW())))</f>
        <v/>
      </c>
      <c r="F3607" s="2" t="n"/>
      <c r="G3607" s="1" t="inlineStr">
        <is>
          <t>Hard</t>
        </is>
      </c>
      <c r="H3607" s="1" t="n">
        <v>4247</v>
      </c>
      <c r="I3607" s="1" t="n">
        <v>24115</v>
      </c>
      <c r="J3607" s="9" t="n">
        <v>0.176</v>
      </c>
      <c r="K3607" s="1" t="inlineStr">
        <is>
          <t>Yes</t>
        </is>
      </c>
      <c r="L3607" s="1" t="inlineStr">
        <is>
          <t>No</t>
        </is>
      </c>
      <c r="M3607" s="1" t="inlineStr">
        <is>
          <t>No</t>
        </is>
      </c>
      <c r="N3607" s="1" t="inlineStr">
        <is>
          <t>Algorithms</t>
        </is>
      </c>
      <c r="O36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07" s="11" t="inlineStr">
        <is>
          <t>To Do</t>
        </is>
      </c>
    </row>
    <row r="3608" ht="15.75" customHeight="1" s="12">
      <c r="A3608" s="1" t="n">
        <v>1677</v>
      </c>
      <c r="B3608" s="3">
        <f>HYPERLINK("https://leetcode.com/problems/products-worth-over-invoices/", "Product's Worth Over Invoices")</f>
        <v/>
      </c>
      <c r="C3608" s="1" t="n">
        <v>40</v>
      </c>
      <c r="D3608" s="1" t="n">
        <v>136</v>
      </c>
      <c r="E3608" s="4">
        <f>IF(INDEX(C:C, ROW())+INDEX(D:D, ROW())=0, 0, INDEX(C:C, ROW())/(INDEX(C:C, ROW())+INDEX(D:D, ROW())))</f>
        <v/>
      </c>
      <c r="F3608" s="1" t="inlineStr">
        <is>
          <t>Database</t>
        </is>
      </c>
      <c r="G3608" s="1" t="inlineStr">
        <is>
          <t>Easy</t>
        </is>
      </c>
      <c r="H3608" s="1" t="n">
        <v>20527</v>
      </c>
      <c r="I3608" s="1" t="n">
        <v>53162</v>
      </c>
      <c r="J3608" s="9" t="n">
        <v>0.386</v>
      </c>
      <c r="K3608" s="1" t="inlineStr">
        <is>
          <t>No</t>
        </is>
      </c>
      <c r="L3608" s="1" t="inlineStr">
        <is>
          <t>No</t>
        </is>
      </c>
      <c r="M3608" s="1" t="inlineStr">
        <is>
          <t>No</t>
        </is>
      </c>
      <c r="N3608" s="1" t="inlineStr">
        <is>
          <t>Database</t>
        </is>
      </c>
      <c r="O36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08" s="11" t="inlineStr">
        <is>
          <t>To Do</t>
        </is>
      </c>
    </row>
    <row r="3609" ht="15.75" customHeight="1" s="12">
      <c r="A3609" s="1" t="n">
        <v>2377</v>
      </c>
      <c r="B3609" s="3">
        <f>HYPERLINK("https://leetcode.com/problems/sort-the-olympic-table/", "Sort the Olympic Table")</f>
        <v/>
      </c>
      <c r="C3609" s="1" t="n">
        <v>40</v>
      </c>
      <c r="D3609" s="1" t="n">
        <v>4</v>
      </c>
      <c r="E3609" s="4">
        <f>IF(INDEX(C:C, ROW())+INDEX(D:D, ROW())=0, 0, INDEX(C:C, ROW())/(INDEX(C:C, ROW())+INDEX(D:D, ROW())))</f>
        <v/>
      </c>
      <c r="F3609" s="1" t="inlineStr">
        <is>
          <t>Database</t>
        </is>
      </c>
      <c r="G3609" s="1" t="inlineStr">
        <is>
          <t>Easy</t>
        </is>
      </c>
      <c r="H3609" s="1" t="n">
        <v>9077</v>
      </c>
      <c r="I3609" s="1" t="n">
        <v>11429</v>
      </c>
      <c r="J3609" s="9" t="n">
        <v>0.794</v>
      </c>
      <c r="K3609" s="1" t="inlineStr">
        <is>
          <t>No</t>
        </is>
      </c>
      <c r="L3609" s="1" t="inlineStr">
        <is>
          <t>No</t>
        </is>
      </c>
      <c r="M3609" s="1" t="inlineStr">
        <is>
          <t>No</t>
        </is>
      </c>
      <c r="N3609" s="1" t="inlineStr">
        <is>
          <t>Database</t>
        </is>
      </c>
      <c r="O36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09" s="11" t="inlineStr">
        <is>
          <t>To Do</t>
        </is>
      </c>
    </row>
    <row r="3610" ht="15.75" customHeight="1" s="12">
      <c r="A3610" s="1" t="n">
        <v>2539</v>
      </c>
      <c r="B3610" s="3">
        <f>HYPERLINK("https://leetcode.com/problems/count-the-number-of-good-subsequences/", "Count the Number of Good Subsequences")</f>
        <v/>
      </c>
      <c r="C3610" s="1" t="n">
        <v>40</v>
      </c>
      <c r="D3610" s="1" t="n">
        <v>82</v>
      </c>
      <c r="E3610" s="4">
        <f>IF(INDEX(C:C, ROW())+INDEX(D:D, ROW())=0, 0, INDEX(C:C, ROW())/(INDEX(C:C, ROW())+INDEX(D:D, ROW())))</f>
        <v/>
      </c>
      <c r="F3610" s="1" t="inlineStr">
        <is>
          <t>Hash Table, Math, String, Combinatorics, Counting</t>
        </is>
      </c>
      <c r="G3610" s="1" t="inlineStr">
        <is>
          <t>Medium</t>
        </is>
      </c>
      <c r="H3610" s="1" t="n">
        <v>4049</v>
      </c>
      <c r="I3610" s="1" t="n">
        <v>8404</v>
      </c>
      <c r="J3610" s="9" t="n">
        <v>0.482</v>
      </c>
      <c r="K3610" s="1" t="inlineStr">
        <is>
          <t>No</t>
        </is>
      </c>
      <c r="L3610" s="1" t="inlineStr">
        <is>
          <t>No</t>
        </is>
      </c>
      <c r="M3610" s="1" t="inlineStr">
        <is>
          <t>No</t>
        </is>
      </c>
      <c r="N3610" s="1" t="inlineStr">
        <is>
          <t>Algorithms</t>
        </is>
      </c>
      <c r="O36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10" s="11" t="inlineStr">
        <is>
          <t>To Do</t>
        </is>
      </c>
    </row>
    <row r="3611" ht="15.75" customHeight="1" s="12">
      <c r="A3611" s="1" t="n">
        <v>3734</v>
      </c>
      <c r="B3611" s="3">
        <f>HYPERLINK("https://leetcode.com/problems/lexicographically-smallest-palindromic-permutation-greater-than-target/", "Lexicographically Smallest Palindromic Permutation Greater Than Target")</f>
        <v/>
      </c>
      <c r="C3611" s="1" t="n">
        <v>40</v>
      </c>
      <c r="D3611" s="1" t="n">
        <v>5</v>
      </c>
      <c r="E3611" s="4">
        <f>IF(INDEX(C:C, ROW())+INDEX(D:D, ROW())=0, 0, INDEX(C:C, ROW())/(INDEX(C:C, ROW())+INDEX(D:D, ROW())))</f>
        <v/>
      </c>
      <c r="F3611" s="1" t="inlineStr">
        <is>
          <t>Two Pointers, String, Enumeration</t>
        </is>
      </c>
      <c r="G3611" s="1" t="inlineStr">
        <is>
          <t>Hard</t>
        </is>
      </c>
      <c r="H3611" s="1" t="n">
        <v>5108</v>
      </c>
      <c r="I3611" s="1" t="n">
        <v>20309</v>
      </c>
      <c r="J3611" s="9" t="n">
        <v>0.252</v>
      </c>
      <c r="K3611" s="1" t="inlineStr">
        <is>
          <t>Yes</t>
        </is>
      </c>
      <c r="L3611" s="1" t="inlineStr">
        <is>
          <t>No</t>
        </is>
      </c>
      <c r="M3611" s="1" t="inlineStr">
        <is>
          <t>No</t>
        </is>
      </c>
      <c r="N3611" s="1" t="inlineStr">
        <is>
          <t>Algorithms</t>
        </is>
      </c>
      <c r="O36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11" s="11" t="inlineStr">
        <is>
          <t>To Do</t>
        </is>
      </c>
    </row>
    <row r="3612" ht="15.75" customHeight="1" s="12">
      <c r="A3612" s="1" t="n">
        <v>3774</v>
      </c>
      <c r="B3612" s="3">
        <f>HYPERLINK("https://leetcode.com/problems/absolute-difference-between-maximum-and-minimum-k-elements/", "Absolute Difference Between Maximum and Minimum K Elements")</f>
        <v/>
      </c>
      <c r="C3612" s="1" t="n">
        <v>40</v>
      </c>
      <c r="D3612" s="1" t="n">
        <v>2</v>
      </c>
      <c r="E3612" s="4">
        <f>IF(INDEX(C:C, ROW())+INDEX(D:D, ROW())=0, 0, INDEX(C:C, ROW())/(INDEX(C:C, ROW())+INDEX(D:D, ROW())))</f>
        <v/>
      </c>
      <c r="F3612" s="1" t="inlineStr">
        <is>
          <t>Array, Sorting</t>
        </is>
      </c>
      <c r="G3612" s="1" t="inlineStr">
        <is>
          <t>Easy</t>
        </is>
      </c>
      <c r="H3612" s="1" t="n">
        <v>47056</v>
      </c>
      <c r="I3612" s="1" t="n">
        <v>62280</v>
      </c>
      <c r="J3612" s="9" t="n">
        <v>0.756</v>
      </c>
      <c r="K3612" s="1" t="inlineStr">
        <is>
          <t>Yes</t>
        </is>
      </c>
      <c r="L3612" s="1" t="inlineStr">
        <is>
          <t>No</t>
        </is>
      </c>
      <c r="M3612" s="1" t="inlineStr">
        <is>
          <t>No</t>
        </is>
      </c>
      <c r="N3612" s="1" t="inlineStr">
        <is>
          <t>Algorithms</t>
        </is>
      </c>
      <c r="O36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12" s="13" t="inlineStr">
        <is>
          <t>Done</t>
        </is>
      </c>
    </row>
    <row r="3613" ht="15.75" customHeight="1" s="12">
      <c r="A3613" s="1" t="n">
        <v>2450</v>
      </c>
      <c r="B3613" s="3">
        <f>HYPERLINK("https://leetcode.com/problems/number-of-distinct-binary-strings-after-applying-operations/", "Number of Distinct Binary Strings After Applying Operations")</f>
        <v/>
      </c>
      <c r="C3613" s="1" t="n">
        <v>39</v>
      </c>
      <c r="D3613" s="1" t="n">
        <v>9</v>
      </c>
      <c r="E3613" s="4">
        <f>IF(INDEX(C:C, ROW())+INDEX(D:D, ROW())=0, 0, INDEX(C:C, ROW())/(INDEX(C:C, ROW())+INDEX(D:D, ROW())))</f>
        <v/>
      </c>
      <c r="F3613" s="1" t="inlineStr">
        <is>
          <t>Math, String</t>
        </is>
      </c>
      <c r="G3613" s="1" t="inlineStr">
        <is>
          <t>Medium</t>
        </is>
      </c>
      <c r="H3613" s="1" t="n">
        <v>1378</v>
      </c>
      <c r="I3613" s="1" t="n">
        <v>2153</v>
      </c>
      <c r="J3613" s="9" t="n">
        <v>0.64</v>
      </c>
      <c r="K3613" s="1" t="inlineStr">
        <is>
          <t>No</t>
        </is>
      </c>
      <c r="L3613" s="1" t="inlineStr">
        <is>
          <t>No</t>
        </is>
      </c>
      <c r="M3613" s="1" t="inlineStr">
        <is>
          <t>No</t>
        </is>
      </c>
      <c r="N3613" s="1" t="inlineStr">
        <is>
          <t>Algorithms</t>
        </is>
      </c>
      <c r="O36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13" s="11" t="inlineStr">
        <is>
          <t>To Do</t>
        </is>
      </c>
    </row>
    <row r="3614" ht="15.75" customHeight="1" s="12">
      <c r="A3614" s="1" t="n">
        <v>3451</v>
      </c>
      <c r="B3614" s="3">
        <f>HYPERLINK("https://leetcode.com/problems/find-invalid-ip-addresses/", "Find Invalid IP Addresses")</f>
        <v/>
      </c>
      <c r="C3614" s="1" t="n">
        <v>39</v>
      </c>
      <c r="D3614" s="1" t="n">
        <v>8</v>
      </c>
      <c r="E3614" s="4">
        <f>IF(INDEX(C:C, ROW())+INDEX(D:D, ROW())=0, 0, INDEX(C:C, ROW())/(INDEX(C:C, ROW())+INDEX(D:D, ROW())))</f>
        <v/>
      </c>
      <c r="F3614" s="1" t="inlineStr">
        <is>
          <t>Database</t>
        </is>
      </c>
      <c r="G3614" s="1" t="inlineStr">
        <is>
          <t>Hard</t>
        </is>
      </c>
      <c r="H3614" s="1" t="n">
        <v>12259</v>
      </c>
      <c r="I3614" s="1" t="n">
        <v>23585</v>
      </c>
      <c r="J3614" s="9" t="n">
        <v>0.52</v>
      </c>
      <c r="K3614" s="1" t="inlineStr">
        <is>
          <t>Yes</t>
        </is>
      </c>
      <c r="L3614" s="1" t="inlineStr">
        <is>
          <t>No</t>
        </is>
      </c>
      <c r="M3614" s="1" t="inlineStr">
        <is>
          <t>No</t>
        </is>
      </c>
      <c r="N3614" s="1" t="inlineStr">
        <is>
          <t>Database</t>
        </is>
      </c>
      <c r="O36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14" s="11" t="inlineStr">
        <is>
          <t>To Do</t>
        </is>
      </c>
    </row>
    <row r="3615" ht="15.75" customHeight="1" s="12">
      <c r="A3615" s="1" t="n">
        <v>3736</v>
      </c>
      <c r="B3615" s="3">
        <f>HYPERLINK("https://leetcode.com/problems/minimum-moves-to-equal-array-elements-iii/", "Minimum Moves to Equal Array Elements III")</f>
        <v/>
      </c>
      <c r="C3615" s="1" t="n">
        <v>39</v>
      </c>
      <c r="D3615" s="1" t="n">
        <v>2</v>
      </c>
      <c r="E3615" s="4">
        <f>IF(INDEX(C:C, ROW())+INDEX(D:D, ROW())=0, 0, INDEX(C:C, ROW())/(INDEX(C:C, ROW())+INDEX(D:D, ROW())))</f>
        <v/>
      </c>
      <c r="F3615" s="1" t="inlineStr">
        <is>
          <t>Array, Math</t>
        </is>
      </c>
      <c r="G3615" s="1" t="inlineStr">
        <is>
          <t>Easy</t>
        </is>
      </c>
      <c r="H3615" s="1" t="n">
        <v>38079</v>
      </c>
      <c r="I3615" s="1" t="n">
        <v>46594</v>
      </c>
      <c r="J3615" s="9" t="n">
        <v>0.8169999999999999</v>
      </c>
      <c r="K3615" s="1" t="inlineStr">
        <is>
          <t>Yes</t>
        </is>
      </c>
      <c r="L3615" s="1" t="inlineStr">
        <is>
          <t>No</t>
        </is>
      </c>
      <c r="M3615" s="1" t="inlineStr">
        <is>
          <t>No</t>
        </is>
      </c>
      <c r="N3615" s="1" t="inlineStr">
        <is>
          <t>Algorithms</t>
        </is>
      </c>
      <c r="O36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15" s="13" t="inlineStr">
        <is>
          <t>Done</t>
        </is>
      </c>
    </row>
    <row r="3616" ht="15.75" customHeight="1" s="12">
      <c r="A3616" s="1" t="n">
        <v>3753</v>
      </c>
      <c r="B3616" s="3">
        <f>HYPERLINK("https://leetcode.com/problems/total-waviness-of-numbers-in-range-ii/", "Total Waviness of Numbers in Range II")</f>
        <v/>
      </c>
      <c r="C3616" s="1" t="n">
        <v>39</v>
      </c>
      <c r="D3616" s="1" t="n">
        <v>2</v>
      </c>
      <c r="E3616" s="4">
        <f>IF(INDEX(C:C, ROW())+INDEX(D:D, ROW())=0, 0, INDEX(C:C, ROW())/(INDEX(C:C, ROW())+INDEX(D:D, ROW())))</f>
        <v/>
      </c>
      <c r="F3616" s="1" t="inlineStr">
        <is>
          <t>Math, Dynamic Programming</t>
        </is>
      </c>
      <c r="G3616" s="1" t="inlineStr">
        <is>
          <t>Hard</t>
        </is>
      </c>
      <c r="H3616" s="1" t="n">
        <v>4065</v>
      </c>
      <c r="I3616" s="1" t="n">
        <v>15684</v>
      </c>
      <c r="J3616" s="9" t="n">
        <v>0.259</v>
      </c>
      <c r="K3616" s="1" t="inlineStr">
        <is>
          <t>Yes</t>
        </is>
      </c>
      <c r="L3616" s="1" t="inlineStr">
        <is>
          <t>No</t>
        </is>
      </c>
      <c r="M3616" s="1" t="inlineStr">
        <is>
          <t>No</t>
        </is>
      </c>
      <c r="N3616" s="1" t="inlineStr">
        <is>
          <t>Algorithms</t>
        </is>
      </c>
      <c r="O36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16" s="11" t="inlineStr">
        <is>
          <t>To Do</t>
        </is>
      </c>
    </row>
    <row r="3617" ht="15.75" customHeight="1" s="12">
      <c r="A3617" s="1" t="n">
        <v>3782</v>
      </c>
      <c r="B3617" s="3">
        <f>HYPERLINK("https://leetcode.com/problems/last-remaining-integer-after-alternating-deletion-operations/", "Last Remaining Integer After Alternating Deletion Operations")</f>
        <v/>
      </c>
      <c r="C3617" s="1" t="n">
        <v>39</v>
      </c>
      <c r="D3617" s="1" t="n">
        <v>4</v>
      </c>
      <c r="E3617" s="4">
        <f>IF(INDEX(C:C, ROW())+INDEX(D:D, ROW())=0, 0, INDEX(C:C, ROW())/(INDEX(C:C, ROW())+INDEX(D:D, ROW())))</f>
        <v/>
      </c>
      <c r="F3617" s="1" t="inlineStr">
        <is>
          <t>Math, Recursion</t>
        </is>
      </c>
      <c r="G3617" s="1" t="inlineStr">
        <is>
          <t>Hard</t>
        </is>
      </c>
      <c r="H3617" s="1" t="n">
        <v>7828</v>
      </c>
      <c r="I3617" s="1" t="n">
        <v>16105</v>
      </c>
      <c r="J3617" s="9" t="n">
        <v>0.486</v>
      </c>
      <c r="K3617" s="1" t="inlineStr">
        <is>
          <t>Yes</t>
        </is>
      </c>
      <c r="L3617" s="1" t="inlineStr">
        <is>
          <t>No</t>
        </is>
      </c>
      <c r="M3617" s="1" t="inlineStr">
        <is>
          <t>No</t>
        </is>
      </c>
      <c r="N3617" s="1" t="inlineStr">
        <is>
          <t>Algorithms</t>
        </is>
      </c>
      <c r="O36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17" s="11" t="inlineStr">
        <is>
          <t>To Do</t>
        </is>
      </c>
    </row>
    <row r="3618" ht="15.75" customHeight="1" s="12">
      <c r="A3618" s="1" t="n">
        <v>3617</v>
      </c>
      <c r="B3618" s="3">
        <f>HYPERLINK("https://leetcode.com/problems/find-students-with-study-spiral-pattern/", "Find Students with Study Spiral Pattern")</f>
        <v/>
      </c>
      <c r="C3618" s="1" t="n">
        <v>38</v>
      </c>
      <c r="D3618" s="1" t="n">
        <v>13</v>
      </c>
      <c r="E3618" s="4">
        <f>IF(INDEX(C:C, ROW())+INDEX(D:D, ROW())=0, 0, INDEX(C:C, ROW())/(INDEX(C:C, ROW())+INDEX(D:D, ROW())))</f>
        <v/>
      </c>
      <c r="F3618" s="2" t="n"/>
      <c r="G3618" s="1" t="inlineStr">
        <is>
          <t>Hard</t>
        </is>
      </c>
      <c r="H3618" s="1" t="n">
        <v>3994</v>
      </c>
      <c r="I3618" s="1" t="n">
        <v>13382</v>
      </c>
      <c r="J3618" s="9" t="n">
        <v>0.298</v>
      </c>
      <c r="K3618" s="1" t="inlineStr">
        <is>
          <t>Yes</t>
        </is>
      </c>
      <c r="L3618" s="1" t="inlineStr">
        <is>
          <t>No</t>
        </is>
      </c>
      <c r="M3618" s="1" t="inlineStr">
        <is>
          <t>No</t>
        </is>
      </c>
      <c r="N3618" s="1" t="inlineStr">
        <is>
          <t>Database</t>
        </is>
      </c>
      <c r="O36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18" s="11" t="inlineStr">
        <is>
          <t>To Do</t>
        </is>
      </c>
    </row>
    <row r="3619" ht="15.75" customHeight="1" s="12">
      <c r="A3619" s="1" t="n">
        <v>3032</v>
      </c>
      <c r="B3619" s="3">
        <f>HYPERLINK("https://leetcode.com/problems/count-numbers-with-unique-digits-ii/", "Count Numbers With Unique Digits II")</f>
        <v/>
      </c>
      <c r="C3619" s="1" t="n">
        <v>37</v>
      </c>
      <c r="D3619" s="1" t="n">
        <v>4</v>
      </c>
      <c r="E3619" s="4">
        <f>IF(INDEX(C:C, ROW())+INDEX(D:D, ROW())=0, 0, INDEX(C:C, ROW())/(INDEX(C:C, ROW())+INDEX(D:D, ROW())))</f>
        <v/>
      </c>
      <c r="F3619" s="1" t="inlineStr">
        <is>
          <t>Hash Table, Math, Dynamic Programming</t>
        </is>
      </c>
      <c r="G3619" s="1" t="inlineStr">
        <is>
          <t>Easy</t>
        </is>
      </c>
      <c r="H3619" s="1" t="n">
        <v>8515</v>
      </c>
      <c r="I3619" s="1" t="n">
        <v>9768</v>
      </c>
      <c r="J3619" s="9" t="n">
        <v>0.872</v>
      </c>
      <c r="K3619" s="1" t="inlineStr">
        <is>
          <t>No</t>
        </is>
      </c>
      <c r="L3619" s="1" t="inlineStr">
        <is>
          <t>No</t>
        </is>
      </c>
      <c r="M3619" s="1" t="inlineStr">
        <is>
          <t>No</t>
        </is>
      </c>
      <c r="N3619" s="1" t="inlineStr">
        <is>
          <t>Algorithms</t>
        </is>
      </c>
      <c r="O36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19" s="11" t="inlineStr">
        <is>
          <t>To Do</t>
        </is>
      </c>
    </row>
    <row r="3620" ht="15.75" customHeight="1" s="12">
      <c r="A3620" s="1" t="n">
        <v>3722</v>
      </c>
      <c r="B3620" s="3">
        <f>HYPERLINK("https://leetcode.com/problems/lexicographically-smallest-string-after-reverse/", "Lexicographically Smallest String After Reverse")</f>
        <v/>
      </c>
      <c r="C3620" s="1" t="n">
        <v>37</v>
      </c>
      <c r="D3620" s="1" t="n">
        <v>7</v>
      </c>
      <c r="E3620" s="4">
        <f>IF(INDEX(C:C, ROW())+INDEX(D:D, ROW())=0, 0, INDEX(C:C, ROW())/(INDEX(C:C, ROW())+INDEX(D:D, ROW())))</f>
        <v/>
      </c>
      <c r="F3620" s="1" t="inlineStr">
        <is>
          <t>Two Pointers, Binary Search, Enumeration</t>
        </is>
      </c>
      <c r="G3620" s="1" t="inlineStr">
        <is>
          <t>Medium</t>
        </is>
      </c>
      <c r="H3620" s="1" t="n">
        <v>25114</v>
      </c>
      <c r="I3620" s="1" t="n">
        <v>45853</v>
      </c>
      <c r="J3620" s="9" t="n">
        <v>0.548</v>
      </c>
      <c r="K3620" s="1" t="inlineStr">
        <is>
          <t>Yes</t>
        </is>
      </c>
      <c r="L3620" s="1" t="inlineStr">
        <is>
          <t>No</t>
        </is>
      </c>
      <c r="M3620" s="1" t="inlineStr">
        <is>
          <t>No</t>
        </is>
      </c>
      <c r="N3620" s="1" t="inlineStr">
        <is>
          <t>Algorithms</t>
        </is>
      </c>
      <c r="O36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20" s="11" t="inlineStr">
        <is>
          <t>To Do</t>
        </is>
      </c>
    </row>
    <row r="3621" ht="15.75" customHeight="1" s="12">
      <c r="A3621" s="1" t="n">
        <v>3750</v>
      </c>
      <c r="B3621" s="3">
        <f>HYPERLINK("https://leetcode.com/problems/minimum-number-of-flips-to-reverse-binary-string/", "Minimum Number of Flips to Reverse Binary String")</f>
        <v/>
      </c>
      <c r="C3621" s="1" t="n">
        <v>37</v>
      </c>
      <c r="D3621" s="1" t="n">
        <v>0</v>
      </c>
      <c r="E3621" s="4">
        <f>IF(INDEX(C:C, ROW())+INDEX(D:D, ROW())=0, 0, INDEX(C:C, ROW())/(INDEX(C:C, ROW())+INDEX(D:D, ROW())))</f>
        <v/>
      </c>
      <c r="F3621" s="1" t="inlineStr">
        <is>
          <t>Math, Two Pointers, String, Bit Manipulation</t>
        </is>
      </c>
      <c r="G3621" s="1" t="inlineStr">
        <is>
          <t>Easy</t>
        </is>
      </c>
      <c r="H3621" s="1" t="n">
        <v>32716</v>
      </c>
      <c r="I3621" s="1" t="n">
        <v>42815</v>
      </c>
      <c r="J3621" s="9" t="n">
        <v>0.764</v>
      </c>
      <c r="K3621" s="1" t="inlineStr">
        <is>
          <t>Yes</t>
        </is>
      </c>
      <c r="L3621" s="1" t="inlineStr">
        <is>
          <t>No</t>
        </is>
      </c>
      <c r="M3621" s="1" t="inlineStr">
        <is>
          <t>No</t>
        </is>
      </c>
      <c r="N3621" s="1" t="inlineStr">
        <is>
          <t>Algorithms</t>
        </is>
      </c>
      <c r="O36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21" s="13" t="inlineStr">
        <is>
          <t>Done</t>
        </is>
      </c>
    </row>
    <row r="3622" ht="15.75" customHeight="1" s="12">
      <c r="A3622" s="1" t="n">
        <v>3856</v>
      </c>
      <c r="B3622" s="3">
        <f>HYPERLINK("https://leetcode.com/problems/trim-trailing-vowels/", "Trim Trailing Vowels")</f>
        <v/>
      </c>
      <c r="C3622" s="1" t="n">
        <v>37</v>
      </c>
      <c r="D3622" s="1" t="n">
        <v>0</v>
      </c>
      <c r="E3622" s="4">
        <f>IF(INDEX(C:C, ROW())+INDEX(D:D, ROW())=0, 0, INDEX(C:C, ROW())/(INDEX(C:C, ROW())+INDEX(D:D, ROW())))</f>
        <v/>
      </c>
      <c r="F3622" s="1" t="inlineStr">
        <is>
          <t>String</t>
        </is>
      </c>
      <c r="G3622" s="1" t="inlineStr">
        <is>
          <t>Easy</t>
        </is>
      </c>
      <c r="H3622" s="1" t="n">
        <v>56005</v>
      </c>
      <c r="I3622" s="1" t="n">
        <v>72402</v>
      </c>
      <c r="J3622" s="9" t="n">
        <v>0.774</v>
      </c>
      <c r="K3622" s="1" t="inlineStr">
        <is>
          <t>Yes</t>
        </is>
      </c>
      <c r="L3622" s="1" t="inlineStr">
        <is>
          <t>No</t>
        </is>
      </c>
      <c r="M3622" s="1" t="inlineStr">
        <is>
          <t>No</t>
        </is>
      </c>
      <c r="N3622" s="1" t="inlineStr">
        <is>
          <t>Algorithms</t>
        </is>
      </c>
      <c r="O36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22" s="13" t="inlineStr">
        <is>
          <t>Done</t>
        </is>
      </c>
    </row>
    <row r="3623" ht="15.75" customHeight="1" s="12">
      <c r="A3623" s="1" t="n">
        <v>2764</v>
      </c>
      <c r="B3623" s="3">
        <f>HYPERLINK("https://leetcode.com/problems/is-array-a-preorder-of-some-binary-tree/", "Is Array a Preorder of Some ‌Binary Tree")</f>
        <v/>
      </c>
      <c r="C3623" s="1" t="n">
        <v>36</v>
      </c>
      <c r="D3623" s="1" t="n">
        <v>5</v>
      </c>
      <c r="E3623" s="4">
        <f>IF(INDEX(C:C, ROW())+INDEX(D:D, ROW())=0, 0, INDEX(C:C, ROW())/(INDEX(C:C, ROW())+INDEX(D:D, ROW())))</f>
        <v/>
      </c>
      <c r="F3623" s="1" t="inlineStr">
        <is>
          <t>Stack, Tree, Depth-First Search, Binary Tree</t>
        </is>
      </c>
      <c r="G3623" s="1" t="inlineStr">
        <is>
          <t>Medium</t>
        </is>
      </c>
      <c r="H3623" s="1" t="n">
        <v>1979</v>
      </c>
      <c r="I3623" s="1" t="n">
        <v>2916</v>
      </c>
      <c r="J3623" s="9" t="n">
        <v>0.679</v>
      </c>
      <c r="K3623" s="1" t="inlineStr">
        <is>
          <t>No</t>
        </is>
      </c>
      <c r="L3623" s="1" t="inlineStr">
        <is>
          <t>No</t>
        </is>
      </c>
      <c r="M3623" s="1" t="inlineStr">
        <is>
          <t>No</t>
        </is>
      </c>
      <c r="N3623" s="1" t="inlineStr">
        <is>
          <t>Algorithms</t>
        </is>
      </c>
      <c r="O36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23" s="11" t="inlineStr">
        <is>
          <t>To Do</t>
        </is>
      </c>
    </row>
    <row r="3624" ht="15.75" customHeight="1" s="12">
      <c r="A3624" s="1" t="n">
        <v>3624</v>
      </c>
      <c r="B3624" s="3">
        <f>HYPERLINK("https://leetcode.com/problems/number-of-integers-with-popcount-depth-equal-to-k-ii/", "Number of Integers With Popcount-Depth Equal to K II")</f>
        <v/>
      </c>
      <c r="C3624" s="1" t="n">
        <v>36</v>
      </c>
      <c r="D3624" s="1" t="n">
        <v>9</v>
      </c>
      <c r="E3624" s="4">
        <f>IF(INDEX(C:C, ROW())+INDEX(D:D, ROW())=0, 0, INDEX(C:C, ROW())/(INDEX(C:C, ROW())+INDEX(D:D, ROW())))</f>
        <v/>
      </c>
      <c r="F3624" s="1" t="inlineStr">
        <is>
          <t>Array, Divide and Conquer, Binary Indexed Tree, Segment Tree</t>
        </is>
      </c>
      <c r="G3624" s="1" t="inlineStr">
        <is>
          <t>Hard</t>
        </is>
      </c>
      <c r="H3624" s="1" t="n">
        <v>20355</v>
      </c>
      <c r="I3624" s="1" t="n">
        <v>34209</v>
      </c>
      <c r="J3624" s="9" t="n">
        <v>0.595</v>
      </c>
      <c r="K3624" s="1" t="inlineStr">
        <is>
          <t>Yes</t>
        </is>
      </c>
      <c r="L3624" s="1" t="inlineStr">
        <is>
          <t>No</t>
        </is>
      </c>
      <c r="M3624" s="1" t="inlineStr">
        <is>
          <t>No</t>
        </is>
      </c>
      <c r="N3624" s="1" t="inlineStr">
        <is>
          <t>Algorithms</t>
        </is>
      </c>
      <c r="O36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24" s="11" t="inlineStr">
        <is>
          <t>To Do</t>
        </is>
      </c>
    </row>
    <row r="3625" ht="15.75" customHeight="1" s="12">
      <c r="A3625" s="1" t="n">
        <v>3671</v>
      </c>
      <c r="B3625" s="3">
        <f>HYPERLINK("https://leetcode.com/problems/sum-of-beautiful-subsequences/", "Sum of Beautiful Subsequences")</f>
        <v/>
      </c>
      <c r="C3625" s="1" t="n">
        <v>36</v>
      </c>
      <c r="D3625" s="1" t="n">
        <v>5</v>
      </c>
      <c r="E3625" s="4">
        <f>IF(INDEX(C:C, ROW())+INDEX(D:D, ROW())=0, 0, INDEX(C:C, ROW())/(INDEX(C:C, ROW())+INDEX(D:D, ROW())))</f>
        <v/>
      </c>
      <c r="F3625" s="1" t="inlineStr">
        <is>
          <t>Array, Math, Binary Indexed Tree, Number Theory</t>
        </is>
      </c>
      <c r="G3625" s="1" t="inlineStr">
        <is>
          <t>Hard</t>
        </is>
      </c>
      <c r="H3625" s="1" t="n">
        <v>9123</v>
      </c>
      <c r="I3625" s="1" t="n">
        <v>28924</v>
      </c>
      <c r="J3625" s="9" t="n">
        <v>0.315</v>
      </c>
      <c r="K3625" s="1" t="inlineStr">
        <is>
          <t>Yes</t>
        </is>
      </c>
      <c r="L3625" s="1" t="inlineStr">
        <is>
          <t>No</t>
        </is>
      </c>
      <c r="M3625" s="1" t="inlineStr">
        <is>
          <t>No</t>
        </is>
      </c>
      <c r="N3625" s="1" t="inlineStr">
        <is>
          <t>Algorithms</t>
        </is>
      </c>
      <c r="O36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25" s="11" t="inlineStr">
        <is>
          <t>To Do</t>
        </is>
      </c>
    </row>
    <row r="3626" ht="15.75" customHeight="1" s="12">
      <c r="A3626" s="1" t="n">
        <v>3895</v>
      </c>
      <c r="B3626" s="3">
        <f>HYPERLINK("https://leetcode.com/problems/count-digit-appearances/", "Count Digit Appearances")</f>
        <v/>
      </c>
      <c r="C3626" s="1" t="n">
        <v>36</v>
      </c>
      <c r="D3626" s="1" t="n">
        <v>4</v>
      </c>
      <c r="E3626" s="4">
        <f>IF(INDEX(C:C, ROW())+INDEX(D:D, ROW())=0, 0, INDEX(C:C, ROW())/(INDEX(C:C, ROW())+INDEX(D:D, ROW())))</f>
        <v/>
      </c>
      <c r="F3626" s="2" t="n"/>
      <c r="G3626" s="1" t="inlineStr">
        <is>
          <t>Medium</t>
        </is>
      </c>
      <c r="H3626" s="1" t="n">
        <v>40098</v>
      </c>
      <c r="I3626" s="1" t="n">
        <v>46336</v>
      </c>
      <c r="J3626" s="9" t="n">
        <v>0.865</v>
      </c>
      <c r="K3626" s="1" t="inlineStr">
        <is>
          <t>Yes</t>
        </is>
      </c>
      <c r="L3626" s="1" t="inlineStr">
        <is>
          <t>No</t>
        </is>
      </c>
      <c r="M3626" s="1" t="inlineStr">
        <is>
          <t>No</t>
        </is>
      </c>
      <c r="N3626" s="1" t="inlineStr">
        <is>
          <t>Algorithms</t>
        </is>
      </c>
      <c r="O36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26" s="11" t="inlineStr">
        <is>
          <t>To Do</t>
        </is>
      </c>
    </row>
    <row r="3627" ht="15.75" customHeight="1" s="12">
      <c r="A3627" s="1" t="n">
        <v>3898</v>
      </c>
      <c r="B3627" s="3">
        <f>HYPERLINK("https://leetcode.com/problems/find-the-degree-of-each-vertex/", "Find the Degree of Each Vertex")</f>
        <v/>
      </c>
      <c r="C3627" s="1" t="n">
        <v>36</v>
      </c>
      <c r="D3627" s="1" t="n">
        <v>0</v>
      </c>
      <c r="E3627" s="4">
        <f>IF(INDEX(C:C, ROW())+INDEX(D:D, ROW())=0, 0, INDEX(C:C, ROW())/(INDEX(C:C, ROW())+INDEX(D:D, ROW())))</f>
        <v/>
      </c>
      <c r="F3627" s="2" t="n"/>
      <c r="G3627" s="1" t="inlineStr">
        <is>
          <t>Easy</t>
        </is>
      </c>
      <c r="H3627" s="1" t="n">
        <v>46357</v>
      </c>
      <c r="I3627" s="1" t="n">
        <v>49983</v>
      </c>
      <c r="J3627" s="9" t="n">
        <v>0.927</v>
      </c>
      <c r="K3627" s="1" t="inlineStr">
        <is>
          <t>Yes</t>
        </is>
      </c>
      <c r="L3627" s="1" t="inlineStr">
        <is>
          <t>No</t>
        </is>
      </c>
      <c r="M3627" s="1" t="inlineStr">
        <is>
          <t>No</t>
        </is>
      </c>
      <c r="N3627" s="1" t="inlineStr">
        <is>
          <t>Algorithms</t>
        </is>
      </c>
      <c r="O36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27" s="13" t="inlineStr">
        <is>
          <t>Done</t>
        </is>
      </c>
    </row>
    <row r="3628" ht="15.75" customHeight="1" s="12">
      <c r="A3628" s="1" t="n">
        <v>3910</v>
      </c>
      <c r="B3628" s="3">
        <f>HYPERLINK("https://leetcode.com/problems/count-connected-subgraphs-with-even-node-sum/", "Count Connected Subgraphs with Even Node Sum")</f>
        <v/>
      </c>
      <c r="C3628" s="1" t="n">
        <v>36</v>
      </c>
      <c r="D3628" s="1" t="n">
        <v>2</v>
      </c>
      <c r="E3628" s="4">
        <f>IF(INDEX(C:C, ROW())+INDEX(D:D, ROW())=0, 0, INDEX(C:C, ROW())/(INDEX(C:C, ROW())+INDEX(D:D, ROW())))</f>
        <v/>
      </c>
      <c r="F3628" s="2" t="n"/>
      <c r="G3628" s="1" t="inlineStr">
        <is>
          <t>Hard</t>
        </is>
      </c>
      <c r="H3628" s="1" t="n">
        <v>7459</v>
      </c>
      <c r="I3628" s="1" t="n">
        <v>12114</v>
      </c>
      <c r="J3628" s="9" t="n">
        <v>0.616</v>
      </c>
      <c r="K3628" s="1" t="inlineStr">
        <is>
          <t>Yes</t>
        </is>
      </c>
      <c r="L3628" s="1" t="inlineStr">
        <is>
          <t>No</t>
        </is>
      </c>
      <c r="M3628" s="1" t="inlineStr">
        <is>
          <t>No</t>
        </is>
      </c>
      <c r="N3628" s="1" t="inlineStr">
        <is>
          <t>Algorithms</t>
        </is>
      </c>
      <c r="O36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28" s="11" t="inlineStr">
        <is>
          <t>To Do</t>
        </is>
      </c>
    </row>
    <row r="3629" ht="15.75" customHeight="1" s="12">
      <c r="A3629" s="1" t="n">
        <v>2329</v>
      </c>
      <c r="B3629" s="3">
        <f>HYPERLINK("https://leetcode.com/problems/product-sales-analysis-v/", "Product Sales Analysis V")</f>
        <v/>
      </c>
      <c r="C3629" s="1" t="n">
        <v>35</v>
      </c>
      <c r="D3629" s="1" t="n">
        <v>7</v>
      </c>
      <c r="E3629" s="4">
        <f>IF(INDEX(C:C, ROW())+INDEX(D:D, ROW())=0, 0, INDEX(C:C, ROW())/(INDEX(C:C, ROW())+INDEX(D:D, ROW())))</f>
        <v/>
      </c>
      <c r="F3629" s="1" t="inlineStr">
        <is>
          <t>Database</t>
        </is>
      </c>
      <c r="G3629" s="1" t="inlineStr">
        <is>
          <t>Easy</t>
        </is>
      </c>
      <c r="H3629" s="1" t="n">
        <v>10775</v>
      </c>
      <c r="I3629" s="1" t="n">
        <v>15193</v>
      </c>
      <c r="J3629" s="9" t="n">
        <v>0.709</v>
      </c>
      <c r="K3629" s="1" t="inlineStr">
        <is>
          <t>No</t>
        </is>
      </c>
      <c r="L3629" s="1" t="inlineStr">
        <is>
          <t>No</t>
        </is>
      </c>
      <c r="M3629" s="1" t="inlineStr">
        <is>
          <t>No</t>
        </is>
      </c>
      <c r="N3629" s="1" t="inlineStr">
        <is>
          <t>Database</t>
        </is>
      </c>
      <c r="O36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29" s="11" t="inlineStr">
        <is>
          <t>To Do</t>
        </is>
      </c>
    </row>
    <row r="3630" ht="15.75" customHeight="1" s="12">
      <c r="A3630" s="1" t="n">
        <v>2362</v>
      </c>
      <c r="B3630" s="3">
        <f>HYPERLINK("https://leetcode.com/problems/generate-the-invoice/", "Generate the Invoice")</f>
        <v/>
      </c>
      <c r="C3630" s="1" t="n">
        <v>35</v>
      </c>
      <c r="D3630" s="1" t="n">
        <v>30</v>
      </c>
      <c r="E3630" s="4">
        <f>IF(INDEX(C:C, ROW())+INDEX(D:D, ROW())=0, 0, INDEX(C:C, ROW())/(INDEX(C:C, ROW())+INDEX(D:D, ROW())))</f>
        <v/>
      </c>
      <c r="F3630" s="1" t="inlineStr">
        <is>
          <t>Database</t>
        </is>
      </c>
      <c r="G3630" s="1" t="inlineStr">
        <is>
          <t>Hard</t>
        </is>
      </c>
      <c r="H3630" s="1" t="n">
        <v>5623</v>
      </c>
      <c r="I3630" s="1" t="n">
        <v>7387</v>
      </c>
      <c r="J3630" s="9" t="n">
        <v>0.761</v>
      </c>
      <c r="K3630" s="1" t="inlineStr">
        <is>
          <t>No</t>
        </is>
      </c>
      <c r="L3630" s="1" t="inlineStr">
        <is>
          <t>No</t>
        </is>
      </c>
      <c r="M3630" s="1" t="inlineStr">
        <is>
          <t>No</t>
        </is>
      </c>
      <c r="N3630" s="1" t="inlineStr">
        <is>
          <t>Database</t>
        </is>
      </c>
      <c r="O36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30" s="11" t="inlineStr">
        <is>
          <t>To Do</t>
        </is>
      </c>
    </row>
    <row r="3631" ht="15.75" customHeight="1" s="12">
      <c r="A3631" s="1" t="n">
        <v>2782</v>
      </c>
      <c r="B3631" s="3">
        <f>HYPERLINK("https://leetcode.com/problems/number-of-unique-categories/", "Number of Unique Categories")</f>
        <v/>
      </c>
      <c r="C3631" s="1" t="n">
        <v>35</v>
      </c>
      <c r="D3631" s="1" t="n">
        <v>4</v>
      </c>
      <c r="E3631" s="4">
        <f>IF(INDEX(C:C, ROW())+INDEX(D:D, ROW())=0, 0, INDEX(C:C, ROW())/(INDEX(C:C, ROW())+INDEX(D:D, ROW())))</f>
        <v/>
      </c>
      <c r="F3631" s="1" t="inlineStr">
        <is>
          <t>Union-Find, Interactive, Counting</t>
        </is>
      </c>
      <c r="G3631" s="1" t="inlineStr">
        <is>
          <t>Medium</t>
        </is>
      </c>
      <c r="H3631" s="1" t="n">
        <v>3562</v>
      </c>
      <c r="I3631" s="1" t="n">
        <v>4257</v>
      </c>
      <c r="J3631" s="9" t="n">
        <v>0.837</v>
      </c>
      <c r="K3631" s="1" t="inlineStr">
        <is>
          <t>No</t>
        </is>
      </c>
      <c r="L3631" s="1" t="inlineStr">
        <is>
          <t>Yes</t>
        </is>
      </c>
      <c r="M3631" s="1" t="inlineStr">
        <is>
          <t>No</t>
        </is>
      </c>
      <c r="N3631" s="1" t="inlineStr">
        <is>
          <t>Algorithms</t>
        </is>
      </c>
      <c r="O36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31" s="11" t="inlineStr">
        <is>
          <t>To Do</t>
        </is>
      </c>
    </row>
    <row r="3632" ht="15.75" customHeight="1" s="12">
      <c r="A3632" s="1" t="n">
        <v>3554</v>
      </c>
      <c r="B3632" s="3">
        <f>HYPERLINK("https://leetcode.com/problems/find-category-recommendation-pairs/", "Find Category Recommendation Pairs")</f>
        <v/>
      </c>
      <c r="C3632" s="1" t="n">
        <v>35</v>
      </c>
      <c r="D3632" s="1" t="n">
        <v>6</v>
      </c>
      <c r="E3632" s="4">
        <f>IF(INDEX(C:C, ROW())+INDEX(D:D, ROW())=0, 0, INDEX(C:C, ROW())/(INDEX(C:C, ROW())+INDEX(D:D, ROW())))</f>
        <v/>
      </c>
      <c r="F3632" s="1" t="inlineStr">
        <is>
          <t>Database</t>
        </is>
      </c>
      <c r="G3632" s="1" t="inlineStr">
        <is>
          <t>Hard</t>
        </is>
      </c>
      <c r="H3632" s="1" t="n">
        <v>10556</v>
      </c>
      <c r="I3632" s="1" t="n">
        <v>16683</v>
      </c>
      <c r="J3632" s="9" t="n">
        <v>0.633</v>
      </c>
      <c r="K3632" s="1" t="inlineStr">
        <is>
          <t>Yes</t>
        </is>
      </c>
      <c r="L3632" s="1" t="inlineStr">
        <is>
          <t>No</t>
        </is>
      </c>
      <c r="M3632" s="1" t="inlineStr">
        <is>
          <t>No</t>
        </is>
      </c>
      <c r="N3632" s="1" t="inlineStr">
        <is>
          <t>Database</t>
        </is>
      </c>
      <c r="O36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32" s="11" t="inlineStr">
        <is>
          <t>To Do</t>
        </is>
      </c>
    </row>
    <row r="3633" ht="15.75" customHeight="1" s="12">
      <c r="A3633" s="1" t="n">
        <v>3705</v>
      </c>
      <c r="B3633" s="3">
        <f>HYPERLINK("https://leetcode.com/problems/find-golden-hour-customers/", "Find Golden Hour Customers")</f>
        <v/>
      </c>
      <c r="C3633" s="1" t="n">
        <v>35</v>
      </c>
      <c r="D3633" s="1" t="n">
        <v>3</v>
      </c>
      <c r="E3633" s="4">
        <f>IF(INDEX(C:C, ROW())+INDEX(D:D, ROW())=0, 0, INDEX(C:C, ROW())/(INDEX(C:C, ROW())+INDEX(D:D, ROW())))</f>
        <v/>
      </c>
      <c r="F3633" s="2" t="n"/>
      <c r="G3633" s="1" t="inlineStr">
        <is>
          <t>Medium</t>
        </is>
      </c>
      <c r="H3633" s="1" t="n">
        <v>7092</v>
      </c>
      <c r="I3633" s="1" t="n">
        <v>20626</v>
      </c>
      <c r="J3633" s="9" t="n">
        <v>0.344</v>
      </c>
      <c r="K3633" s="1" t="inlineStr">
        <is>
          <t>Yes</t>
        </is>
      </c>
      <c r="L3633" s="1" t="inlineStr">
        <is>
          <t>No</t>
        </is>
      </c>
      <c r="M3633" s="1" t="inlineStr">
        <is>
          <t>No</t>
        </is>
      </c>
      <c r="N3633" s="1" t="inlineStr">
        <is>
          <t>Database</t>
        </is>
      </c>
      <c r="O36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33" s="11" t="inlineStr">
        <is>
          <t>To Do</t>
        </is>
      </c>
    </row>
    <row r="3634" ht="15.75" customHeight="1" s="12">
      <c r="A3634" s="1" t="n">
        <v>3903</v>
      </c>
      <c r="B3634" s="3">
        <f>HYPERLINK("https://leetcode.com/problems/smallest-stable-index-i/", "Smallest Stable Index I")</f>
        <v/>
      </c>
      <c r="C3634" s="1" t="n">
        <v>35</v>
      </c>
      <c r="D3634" s="1" t="n">
        <v>0</v>
      </c>
      <c r="E3634" s="4">
        <f>IF(INDEX(C:C, ROW())+INDEX(D:D, ROW())=0, 0, INDEX(C:C, ROW())/(INDEX(C:C, ROW())+INDEX(D:D, ROW())))</f>
        <v/>
      </c>
      <c r="F3634" s="1" t="inlineStr">
        <is>
          <t>Array, Prefix Sum</t>
        </is>
      </c>
      <c r="G3634" s="1" t="inlineStr">
        <is>
          <t>Easy</t>
        </is>
      </c>
      <c r="H3634" s="1" t="n">
        <v>41906</v>
      </c>
      <c r="I3634" s="1" t="n">
        <v>61442</v>
      </c>
      <c r="J3634" s="9" t="n">
        <v>0.6820000000000001</v>
      </c>
      <c r="K3634" s="1" t="inlineStr">
        <is>
          <t>Yes</t>
        </is>
      </c>
      <c r="L3634" s="1" t="inlineStr">
        <is>
          <t>No</t>
        </is>
      </c>
      <c r="M3634" s="1" t="inlineStr">
        <is>
          <t>No</t>
        </is>
      </c>
      <c r="N3634" s="1" t="inlineStr">
        <is>
          <t>Algorithms</t>
        </is>
      </c>
      <c r="O36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34" s="13" t="inlineStr">
        <is>
          <t>Done</t>
        </is>
      </c>
    </row>
    <row r="3635" ht="15.75" customHeight="1" s="12">
      <c r="A3635" s="1" t="n">
        <v>1516</v>
      </c>
      <c r="B3635" s="3">
        <f>HYPERLINK("https://leetcode.com/problems/move-sub-tree-of-n-ary-tree/", "Move Sub-Tree of N-Ary Tree")</f>
        <v/>
      </c>
      <c r="C3635" s="1" t="n">
        <v>34</v>
      </c>
      <c r="D3635" s="1" t="n">
        <v>67</v>
      </c>
      <c r="E3635" s="4">
        <f>IF(INDEX(C:C, ROW())+INDEX(D:D, ROW())=0, 0, INDEX(C:C, ROW())/(INDEX(C:C, ROW())+INDEX(D:D, ROW())))</f>
        <v/>
      </c>
      <c r="F3635" s="1" t="inlineStr">
        <is>
          <t>Tree, Depth-First Search</t>
        </is>
      </c>
      <c r="G3635" s="1" t="inlineStr">
        <is>
          <t>Hard</t>
        </is>
      </c>
      <c r="H3635" s="1" t="n">
        <v>2719</v>
      </c>
      <c r="I3635" s="1" t="n">
        <v>4547</v>
      </c>
      <c r="J3635" s="9" t="n">
        <v>0.598</v>
      </c>
      <c r="K3635" s="1" t="inlineStr">
        <is>
          <t>No</t>
        </is>
      </c>
      <c r="L3635" s="1" t="inlineStr">
        <is>
          <t>No</t>
        </is>
      </c>
      <c r="M3635" s="1" t="inlineStr">
        <is>
          <t>No</t>
        </is>
      </c>
      <c r="N3635" s="1" t="inlineStr">
        <is>
          <t>Algorithms</t>
        </is>
      </c>
      <c r="O36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35" s="11" t="inlineStr">
        <is>
          <t>To Do</t>
        </is>
      </c>
    </row>
    <row r="3636" ht="15.75" customHeight="1" s="12">
      <c r="A3636" s="1" t="n">
        <v>1651</v>
      </c>
      <c r="B3636" s="3">
        <f>HYPERLINK("https://leetcode.com/problems/hopper-company-queries-iii/", "Hopper Company Queries III")</f>
        <v/>
      </c>
      <c r="C3636" s="1" t="n">
        <v>34</v>
      </c>
      <c r="D3636" s="1" t="n">
        <v>64</v>
      </c>
      <c r="E3636" s="4">
        <f>IF(INDEX(C:C, ROW())+INDEX(D:D, ROW())=0, 0, INDEX(C:C, ROW())/(INDEX(C:C, ROW())+INDEX(D:D, ROW())))</f>
        <v/>
      </c>
      <c r="F3636" s="1" t="inlineStr">
        <is>
          <t>Database</t>
        </is>
      </c>
      <c r="G3636" s="1" t="inlineStr">
        <is>
          <t>Hard</t>
        </is>
      </c>
      <c r="H3636" s="1" t="n">
        <v>8804</v>
      </c>
      <c r="I3636" s="1" t="n">
        <v>13443</v>
      </c>
      <c r="J3636" s="9" t="n">
        <v>0.655</v>
      </c>
      <c r="K3636" s="1" t="inlineStr">
        <is>
          <t>No</t>
        </is>
      </c>
      <c r="L3636" s="1" t="inlineStr">
        <is>
          <t>No</t>
        </is>
      </c>
      <c r="M3636" s="1" t="inlineStr">
        <is>
          <t>No</t>
        </is>
      </c>
      <c r="N3636" s="1" t="inlineStr">
        <is>
          <t>Database</t>
        </is>
      </c>
      <c r="O36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36" s="11" t="inlineStr">
        <is>
          <t>To Do</t>
        </is>
      </c>
    </row>
    <row r="3637" ht="15.75" customHeight="1" s="12">
      <c r="A3637" s="1" t="n">
        <v>1714</v>
      </c>
      <c r="B3637" s="3">
        <f>HYPERLINK("https://leetcode.com/problems/sum-of-special-evenly-spaced-elements-in-array/", "Sum Of Special Evenly-Spaced Elements In Array")</f>
        <v/>
      </c>
      <c r="C3637" s="1" t="n">
        <v>34</v>
      </c>
      <c r="D3637" s="1" t="n">
        <v>27</v>
      </c>
      <c r="E3637" s="4">
        <f>IF(INDEX(C:C, ROW())+INDEX(D:D, ROW())=0, 0, INDEX(C:C, ROW())/(INDEX(C:C, ROW())+INDEX(D:D, ROW())))</f>
        <v/>
      </c>
      <c r="F3637" s="1" t="inlineStr">
        <is>
          <t>Array, Dynamic Programming</t>
        </is>
      </c>
      <c r="G3637" s="1" t="inlineStr">
        <is>
          <t>Hard</t>
        </is>
      </c>
      <c r="H3637" s="1" t="n">
        <v>1735</v>
      </c>
      <c r="I3637" s="1" t="n">
        <v>3476</v>
      </c>
      <c r="J3637" s="9" t="n">
        <v>0.499</v>
      </c>
      <c r="K3637" s="1" t="inlineStr">
        <is>
          <t>No</t>
        </is>
      </c>
      <c r="L3637" s="1" t="inlineStr">
        <is>
          <t>No</t>
        </is>
      </c>
      <c r="M3637" s="1" t="inlineStr">
        <is>
          <t>No</t>
        </is>
      </c>
      <c r="N3637" s="1" t="inlineStr">
        <is>
          <t>Algorithms</t>
        </is>
      </c>
      <c r="O36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37" s="11" t="inlineStr">
        <is>
          <t>To Do</t>
        </is>
      </c>
    </row>
    <row r="3638" ht="15.75" customHeight="1" s="12">
      <c r="A3638" s="1" t="n">
        <v>2252</v>
      </c>
      <c r="B3638" s="3">
        <f>HYPERLINK("https://leetcode.com/problems/dynamic-pivoting-of-a-table/", "Dynamic Pivoting of a Table")</f>
        <v/>
      </c>
      <c r="C3638" s="1" t="n">
        <v>34</v>
      </c>
      <c r="D3638" s="1" t="n">
        <v>10</v>
      </c>
      <c r="E3638" s="4">
        <f>IF(INDEX(C:C, ROW())+INDEX(D:D, ROW())=0, 0, INDEX(C:C, ROW())/(INDEX(C:C, ROW())+INDEX(D:D, ROW())))</f>
        <v/>
      </c>
      <c r="F3638" s="1" t="inlineStr">
        <is>
          <t>Database</t>
        </is>
      </c>
      <c r="G3638" s="1" t="inlineStr">
        <is>
          <t>Hard</t>
        </is>
      </c>
      <c r="H3638" s="1" t="n">
        <v>2233</v>
      </c>
      <c r="I3638" s="1" t="n">
        <v>3898</v>
      </c>
      <c r="J3638" s="9" t="n">
        <v>0.573</v>
      </c>
      <c r="K3638" s="1" t="inlineStr">
        <is>
          <t>No</t>
        </is>
      </c>
      <c r="L3638" s="1" t="inlineStr">
        <is>
          <t>No</t>
        </is>
      </c>
      <c r="M3638" s="1" t="inlineStr">
        <is>
          <t>No</t>
        </is>
      </c>
      <c r="N3638" s="1" t="inlineStr">
        <is>
          <t>Database</t>
        </is>
      </c>
      <c r="O36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38" s="11" t="inlineStr">
        <is>
          <t>To Do</t>
        </is>
      </c>
    </row>
    <row r="3639" ht="15.75" customHeight="1" s="12">
      <c r="A3639" s="1" t="n">
        <v>2964</v>
      </c>
      <c r="B3639" s="3">
        <f>HYPERLINK("https://leetcode.com/problems/number-of-divisible-triplet-sums/", "Number of Divisible Triplet Sums")</f>
        <v/>
      </c>
      <c r="C3639" s="1" t="n">
        <v>34</v>
      </c>
      <c r="D3639" s="1" t="n">
        <v>6</v>
      </c>
      <c r="E3639" s="4">
        <f>IF(INDEX(C:C, ROW())+INDEX(D:D, ROW())=0, 0, INDEX(C:C, ROW())/(INDEX(C:C, ROW())+INDEX(D:D, ROW())))</f>
        <v/>
      </c>
      <c r="F3639" s="1" t="inlineStr">
        <is>
          <t>Array, Hash Table</t>
        </is>
      </c>
      <c r="G3639" s="1" t="inlineStr">
        <is>
          <t>Medium</t>
        </is>
      </c>
      <c r="H3639" s="1" t="n">
        <v>9721</v>
      </c>
      <c r="I3639" s="1" t="n">
        <v>14391</v>
      </c>
      <c r="J3639" s="9" t="n">
        <v>0.675</v>
      </c>
      <c r="K3639" s="1" t="inlineStr">
        <is>
          <t>No</t>
        </is>
      </c>
      <c r="L3639" s="1" t="inlineStr">
        <is>
          <t>No</t>
        </is>
      </c>
      <c r="M3639" s="1" t="inlineStr">
        <is>
          <t>No</t>
        </is>
      </c>
      <c r="N3639" s="1" t="inlineStr">
        <is>
          <t>Algorithms</t>
        </is>
      </c>
      <c r="O36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39" s="11" t="inlineStr">
        <is>
          <t>To Do</t>
        </is>
      </c>
    </row>
    <row r="3640" ht="15.75" customHeight="1" s="12">
      <c r="A3640" s="1" t="n">
        <v>3486</v>
      </c>
      <c r="B3640" s="3">
        <f>HYPERLINK("https://leetcode.com/problems/longest-special-path-ii/", "Longest Special Path II")</f>
        <v/>
      </c>
      <c r="C3640" s="1" t="n">
        <v>34</v>
      </c>
      <c r="D3640" s="1" t="n">
        <v>6</v>
      </c>
      <c r="E3640" s="4">
        <f>IF(INDEX(C:C, ROW())+INDEX(D:D, ROW())=0, 0, INDEX(C:C, ROW())/(INDEX(C:C, ROW())+INDEX(D:D, ROW())))</f>
        <v/>
      </c>
      <c r="F3640" s="1" t="inlineStr">
        <is>
          <t>Array, Hash Table, Tree, Depth-First Search, Prefix Sum</t>
        </is>
      </c>
      <c r="G3640" s="1" t="inlineStr">
        <is>
          <t>Hard</t>
        </is>
      </c>
      <c r="H3640" s="1" t="n">
        <v>2620</v>
      </c>
      <c r="I3640" s="1" t="n">
        <v>13625</v>
      </c>
      <c r="J3640" s="9" t="n">
        <v>0.192</v>
      </c>
      <c r="K3640" s="1" t="inlineStr">
        <is>
          <t>Yes</t>
        </is>
      </c>
      <c r="L3640" s="1" t="inlineStr">
        <is>
          <t>No</t>
        </is>
      </c>
      <c r="M3640" s="1" t="inlineStr">
        <is>
          <t>No</t>
        </is>
      </c>
      <c r="N3640" s="1" t="inlineStr">
        <is>
          <t>Algorithms</t>
        </is>
      </c>
      <c r="O36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40" s="11" t="inlineStr">
        <is>
          <t>To Do</t>
        </is>
      </c>
    </row>
    <row r="3641" ht="15.75" customHeight="1" s="12">
      <c r="A3641" s="1" t="n">
        <v>2655</v>
      </c>
      <c r="B3641" s="3">
        <f>HYPERLINK("https://leetcode.com/problems/find-maximal-uncovered-ranges/", "Find Maximal Uncovered Ranges")</f>
        <v/>
      </c>
      <c r="C3641" s="1" t="n">
        <v>33</v>
      </c>
      <c r="D3641" s="1" t="n">
        <v>3</v>
      </c>
      <c r="E3641" s="4">
        <f>IF(INDEX(C:C, ROW())+INDEX(D:D, ROW())=0, 0, INDEX(C:C, ROW())/(INDEX(C:C, ROW())+INDEX(D:D, ROW())))</f>
        <v/>
      </c>
      <c r="F3641" s="1" t="inlineStr">
        <is>
          <t>Array, Sorting</t>
        </is>
      </c>
      <c r="G3641" s="1" t="inlineStr">
        <is>
          <t>Medium</t>
        </is>
      </c>
      <c r="H3641" s="1" t="n">
        <v>2272</v>
      </c>
      <c r="I3641" s="1" t="n">
        <v>4580</v>
      </c>
      <c r="J3641" s="9" t="n">
        <v>0.496</v>
      </c>
      <c r="K3641" s="1" t="inlineStr">
        <is>
          <t>No</t>
        </is>
      </c>
      <c r="L3641" s="1" t="inlineStr">
        <is>
          <t>No</t>
        </is>
      </c>
      <c r="M3641" s="1" t="inlineStr">
        <is>
          <t>No</t>
        </is>
      </c>
      <c r="N3641" s="1" t="inlineStr">
        <is>
          <t>Algorithms</t>
        </is>
      </c>
      <c r="O36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41" s="11" t="inlineStr">
        <is>
          <t>To Do</t>
        </is>
      </c>
    </row>
    <row r="3642" ht="15.75" customHeight="1" s="12">
      <c r="A3642" s="1" t="n">
        <v>3374</v>
      </c>
      <c r="B3642" s="3">
        <f>HYPERLINK("https://leetcode.com/problems/first-letter-capitalization-ii/", "First Letter Capitalization II")</f>
        <v/>
      </c>
      <c r="C3642" s="1" t="n">
        <v>33</v>
      </c>
      <c r="D3642" s="1" t="n">
        <v>18</v>
      </c>
      <c r="E3642" s="4">
        <f>IF(INDEX(C:C, ROW())+INDEX(D:D, ROW())=0, 0, INDEX(C:C, ROW())/(INDEX(C:C, ROW())+INDEX(D:D, ROW())))</f>
        <v/>
      </c>
      <c r="F3642" s="1" t="inlineStr">
        <is>
          <t>Database</t>
        </is>
      </c>
      <c r="G3642" s="1" t="inlineStr">
        <is>
          <t>Hard</t>
        </is>
      </c>
      <c r="H3642" s="1" t="n">
        <v>10003</v>
      </c>
      <c r="I3642" s="1" t="n">
        <v>20956</v>
      </c>
      <c r="J3642" s="9" t="n">
        <v>0.477</v>
      </c>
      <c r="K3642" s="1" t="inlineStr">
        <is>
          <t>Yes</t>
        </is>
      </c>
      <c r="L3642" s="1" t="inlineStr">
        <is>
          <t>No</t>
        </is>
      </c>
      <c r="M3642" s="1" t="inlineStr">
        <is>
          <t>No</t>
        </is>
      </c>
      <c r="N3642" s="1" t="inlineStr">
        <is>
          <t>Database</t>
        </is>
      </c>
      <c r="O36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42" s="11" t="inlineStr">
        <is>
          <t>To Do</t>
        </is>
      </c>
    </row>
    <row r="3643" ht="15.75" customHeight="1" s="12">
      <c r="A3643" s="1" t="n">
        <v>3808</v>
      </c>
      <c r="B3643" s="3">
        <f>HYPERLINK("https://leetcode.com/problems/find-emotionally-consistent-users/", "Find Emotionally Consistent Users")</f>
        <v/>
      </c>
      <c r="C3643" s="1" t="n">
        <v>33</v>
      </c>
      <c r="D3643" s="1" t="n">
        <v>1</v>
      </c>
      <c r="E3643" s="4">
        <f>IF(INDEX(C:C, ROW())+INDEX(D:D, ROW())=0, 0, INDEX(C:C, ROW())/(INDEX(C:C, ROW())+INDEX(D:D, ROW())))</f>
        <v/>
      </c>
      <c r="F3643" s="2" t="n"/>
      <c r="G3643" s="1" t="inlineStr">
        <is>
          <t>Medium</t>
        </is>
      </c>
      <c r="H3643" s="1" t="n">
        <v>5023</v>
      </c>
      <c r="I3643" s="1" t="n">
        <v>9752</v>
      </c>
      <c r="J3643" s="9" t="n">
        <v>0.515</v>
      </c>
      <c r="K3643" s="1" t="inlineStr">
        <is>
          <t>Yes</t>
        </is>
      </c>
      <c r="L3643" s="1" t="inlineStr">
        <is>
          <t>No</t>
        </is>
      </c>
      <c r="M3643" s="1" t="inlineStr">
        <is>
          <t>No</t>
        </is>
      </c>
      <c r="N3643" s="1" t="inlineStr">
        <is>
          <t>Database</t>
        </is>
      </c>
      <c r="O36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43" s="11" t="inlineStr">
        <is>
          <t>To Do</t>
        </is>
      </c>
    </row>
    <row r="3644" ht="15.75" customHeight="1" s="12">
      <c r="A3644" s="1" t="n">
        <v>1956</v>
      </c>
      <c r="B3644" s="3">
        <f>HYPERLINK("https://leetcode.com/problems/minimum-time-for-k-virus-variants-to-spread/", "Minimum Time For K Virus Variants to Spread")</f>
        <v/>
      </c>
      <c r="C3644" s="1" t="n">
        <v>32</v>
      </c>
      <c r="D3644" s="1" t="n">
        <v>7</v>
      </c>
      <c r="E3644" s="4">
        <f>IF(INDEX(C:C, ROW())+INDEX(D:D, ROW())=0, 0, INDEX(C:C, ROW())/(INDEX(C:C, ROW())+INDEX(D:D, ROW())))</f>
        <v/>
      </c>
      <c r="F3644" s="1" t="inlineStr">
        <is>
          <t>Array, Math, Binary Search, Geometry, Enumeration</t>
        </is>
      </c>
      <c r="G3644" s="1" t="inlineStr">
        <is>
          <t>Hard</t>
        </is>
      </c>
      <c r="H3644" s="1" t="n">
        <v>1370</v>
      </c>
      <c r="I3644" s="1" t="n">
        <v>2700</v>
      </c>
      <c r="J3644" s="9" t="n">
        <v>0.507</v>
      </c>
      <c r="K3644" s="1" t="inlineStr">
        <is>
          <t>No</t>
        </is>
      </c>
      <c r="L3644" s="1" t="inlineStr">
        <is>
          <t>No</t>
        </is>
      </c>
      <c r="M3644" s="1" t="inlineStr">
        <is>
          <t>No</t>
        </is>
      </c>
      <c r="N3644" s="1" t="inlineStr">
        <is>
          <t>Algorithms</t>
        </is>
      </c>
      <c r="O36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44" s="11" t="inlineStr">
        <is>
          <t>To Do</t>
        </is>
      </c>
    </row>
    <row r="3645" ht="15.75" customHeight="1" s="12">
      <c r="A3645" s="1" t="n">
        <v>1999</v>
      </c>
      <c r="B3645" s="3">
        <f>HYPERLINK("https://leetcode.com/problems/smallest-greater-multiple-made-of-two-digits/", "Smallest Greater Multiple Made of Two Digits")</f>
        <v/>
      </c>
      <c r="C3645" s="1" t="n">
        <v>32</v>
      </c>
      <c r="D3645" s="1" t="n">
        <v>11</v>
      </c>
      <c r="E3645" s="4">
        <f>IF(INDEX(C:C, ROW())+INDEX(D:D, ROW())=0, 0, INDEX(C:C, ROW())/(INDEX(C:C, ROW())+INDEX(D:D, ROW())))</f>
        <v/>
      </c>
      <c r="F3645" s="1" t="inlineStr">
        <is>
          <t>Math, Enumeration</t>
        </is>
      </c>
      <c r="G3645" s="1" t="inlineStr">
        <is>
          <t>Medium</t>
        </is>
      </c>
      <c r="H3645" s="1" t="n">
        <v>2658</v>
      </c>
      <c r="I3645" s="1" t="n">
        <v>5518</v>
      </c>
      <c r="J3645" s="9" t="n">
        <v>0.482</v>
      </c>
      <c r="K3645" s="1" t="inlineStr">
        <is>
          <t>No</t>
        </is>
      </c>
      <c r="L3645" s="1" t="inlineStr">
        <is>
          <t>No</t>
        </is>
      </c>
      <c r="M3645" s="1" t="inlineStr">
        <is>
          <t>No</t>
        </is>
      </c>
      <c r="N3645" s="1" t="inlineStr">
        <is>
          <t>Algorithms</t>
        </is>
      </c>
      <c r="O36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45" s="11" t="inlineStr">
        <is>
          <t>To Do</t>
        </is>
      </c>
    </row>
    <row r="3646" ht="15.75" customHeight="1" s="12">
      <c r="A3646" s="1" t="n">
        <v>2205</v>
      </c>
      <c r="B3646" s="3">
        <f>HYPERLINK("https://leetcode.com/problems/the-number-of-users-that-are-eligible-for-discount/", "The Number of Users That Are Eligible for Discount")</f>
        <v/>
      </c>
      <c r="C3646" s="1" t="n">
        <v>32</v>
      </c>
      <c r="D3646" s="1" t="n">
        <v>77</v>
      </c>
      <c r="E3646" s="4">
        <f>IF(INDEX(C:C, ROW())+INDEX(D:D, ROW())=0, 0, INDEX(C:C, ROW())/(INDEX(C:C, ROW())+INDEX(D:D, ROW())))</f>
        <v/>
      </c>
      <c r="F3646" s="1" t="inlineStr">
        <is>
          <t>Database</t>
        </is>
      </c>
      <c r="G3646" s="1" t="inlineStr">
        <is>
          <t>Easy</t>
        </is>
      </c>
      <c r="H3646" s="1" t="n">
        <v>8618</v>
      </c>
      <c r="I3646" s="1" t="n">
        <v>17020</v>
      </c>
      <c r="J3646" s="9" t="n">
        <v>0.506</v>
      </c>
      <c r="K3646" s="1" t="inlineStr">
        <is>
          <t>No</t>
        </is>
      </c>
      <c r="L3646" s="1" t="inlineStr">
        <is>
          <t>No</t>
        </is>
      </c>
      <c r="M3646" s="1" t="inlineStr">
        <is>
          <t>No</t>
        </is>
      </c>
      <c r="N3646" s="1" t="inlineStr">
        <is>
          <t>Database</t>
        </is>
      </c>
      <c r="O36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46" s="11" t="inlineStr">
        <is>
          <t>To Do</t>
        </is>
      </c>
    </row>
    <row r="3647" ht="15.75" customHeight="1" s="12">
      <c r="A3647" s="1" t="n">
        <v>2346</v>
      </c>
      <c r="B3647" s="3">
        <f>HYPERLINK("https://leetcode.com/problems/compute-the-rank-as-a-percentage/", "Compute the Rank as a Percentage")</f>
        <v/>
      </c>
      <c r="C3647" s="1" t="n">
        <v>32</v>
      </c>
      <c r="D3647" s="1" t="n">
        <v>79</v>
      </c>
      <c r="E3647" s="4">
        <f>IF(INDEX(C:C, ROW())+INDEX(D:D, ROW())=0, 0, INDEX(C:C, ROW())/(INDEX(C:C, ROW())+INDEX(D:D, ROW())))</f>
        <v/>
      </c>
      <c r="F3647" s="1" t="inlineStr">
        <is>
          <t>Database</t>
        </is>
      </c>
      <c r="G3647" s="1" t="inlineStr">
        <is>
          <t>Medium</t>
        </is>
      </c>
      <c r="H3647" s="1" t="n">
        <v>7501</v>
      </c>
      <c r="I3647" s="1" t="n">
        <v>22097</v>
      </c>
      <c r="J3647" s="9" t="n">
        <v>0.339</v>
      </c>
      <c r="K3647" s="1" t="inlineStr">
        <is>
          <t>No</t>
        </is>
      </c>
      <c r="L3647" s="1" t="inlineStr">
        <is>
          <t>No</t>
        </is>
      </c>
      <c r="M3647" s="1" t="inlineStr">
        <is>
          <t>No</t>
        </is>
      </c>
      <c r="N3647" s="1" t="inlineStr">
        <is>
          <t>Database</t>
        </is>
      </c>
      <c r="O36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47" s="11" t="inlineStr">
        <is>
          <t>To Do</t>
        </is>
      </c>
    </row>
    <row r="3648" ht="15.75" customHeight="1" s="12">
      <c r="A3648" s="1" t="n">
        <v>2479</v>
      </c>
      <c r="B3648" s="3">
        <f>HYPERLINK("https://leetcode.com/problems/maximum-xor-of-two-non-overlapping-subtrees/", "Maximum XOR of Two Non-Overlapping Subtrees")</f>
        <v/>
      </c>
      <c r="C3648" s="1" t="n">
        <v>32</v>
      </c>
      <c r="D3648" s="1" t="n">
        <v>5</v>
      </c>
      <c r="E3648" s="4">
        <f>IF(INDEX(C:C, ROW())+INDEX(D:D, ROW())=0, 0, INDEX(C:C, ROW())/(INDEX(C:C, ROW())+INDEX(D:D, ROW())))</f>
        <v/>
      </c>
      <c r="F3648" s="1" t="inlineStr">
        <is>
          <t>Tree, Depth-First Search, Graph Theory, Trie</t>
        </is>
      </c>
      <c r="G3648" s="1" t="inlineStr">
        <is>
          <t>Hard</t>
        </is>
      </c>
      <c r="H3648" s="1" t="n">
        <v>970</v>
      </c>
      <c r="I3648" s="1" t="n">
        <v>1870</v>
      </c>
      <c r="J3648" s="9" t="n">
        <v>0.519</v>
      </c>
      <c r="K3648" s="1" t="inlineStr">
        <is>
          <t>No</t>
        </is>
      </c>
      <c r="L3648" s="1" t="inlineStr">
        <is>
          <t>No</t>
        </is>
      </c>
      <c r="M3648" s="1" t="inlineStr">
        <is>
          <t>No</t>
        </is>
      </c>
      <c r="N3648" s="1" t="inlineStr">
        <is>
          <t>Algorithms</t>
        </is>
      </c>
      <c r="O36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48" s="11" t="inlineStr">
        <is>
          <t>To Do</t>
        </is>
      </c>
    </row>
    <row r="3649" ht="15.75" customHeight="1" s="12">
      <c r="A3649" s="1" t="n">
        <v>2504</v>
      </c>
      <c r="B3649" s="3">
        <f>HYPERLINK("https://leetcode.com/problems/concatenate-the-name-and-the-profession/", "Concatenate the Name and the Profession")</f>
        <v/>
      </c>
      <c r="C3649" s="1" t="n">
        <v>32</v>
      </c>
      <c r="D3649" s="1" t="n">
        <v>4</v>
      </c>
      <c r="E3649" s="4">
        <f>IF(INDEX(C:C, ROW())+INDEX(D:D, ROW())=0, 0, INDEX(C:C, ROW())/(INDEX(C:C, ROW())+INDEX(D:D, ROW())))</f>
        <v/>
      </c>
      <c r="F3649" s="1" t="inlineStr">
        <is>
          <t>Database</t>
        </is>
      </c>
      <c r="G3649" s="1" t="inlineStr">
        <is>
          <t>Easy</t>
        </is>
      </c>
      <c r="H3649" s="1" t="n">
        <v>7200</v>
      </c>
      <c r="I3649" s="1" t="n">
        <v>8953</v>
      </c>
      <c r="J3649" s="9" t="n">
        <v>0.804</v>
      </c>
      <c r="K3649" s="1" t="inlineStr">
        <is>
          <t>No</t>
        </is>
      </c>
      <c r="L3649" s="1" t="inlineStr">
        <is>
          <t>No</t>
        </is>
      </c>
      <c r="M3649" s="1" t="inlineStr">
        <is>
          <t>No</t>
        </is>
      </c>
      <c r="N3649" s="1" t="inlineStr">
        <is>
          <t>Database</t>
        </is>
      </c>
      <c r="O36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49" s="11" t="inlineStr">
        <is>
          <t>To Do</t>
        </is>
      </c>
    </row>
    <row r="3650" ht="15.75" customHeight="1" s="12">
      <c r="A3650" s="1" t="n">
        <v>2690</v>
      </c>
      <c r="B3650" s="3">
        <f>HYPERLINK("https://leetcode.com/problems/infinite-method-object/", "Infinite Method Object")</f>
        <v/>
      </c>
      <c r="C3650" s="1" t="n">
        <v>32</v>
      </c>
      <c r="D3650" s="1" t="n">
        <v>9</v>
      </c>
      <c r="E3650" s="4">
        <f>IF(INDEX(C:C, ROW())+INDEX(D:D, ROW())=0, 0, INDEX(C:C, ROW())/(INDEX(C:C, ROW())+INDEX(D:D, ROW())))</f>
        <v/>
      </c>
      <c r="F3650" s="2" t="n"/>
      <c r="G3650" s="1" t="inlineStr">
        <is>
          <t>Easy</t>
        </is>
      </c>
      <c r="H3650" s="1" t="n">
        <v>2130</v>
      </c>
      <c r="I3650" s="1" t="n">
        <v>2292</v>
      </c>
      <c r="J3650" s="9" t="n">
        <v>0.929</v>
      </c>
      <c r="K3650" s="1" t="inlineStr">
        <is>
          <t>No</t>
        </is>
      </c>
      <c r="L3650" s="1" t="inlineStr">
        <is>
          <t>Yes</t>
        </is>
      </c>
      <c r="M3650" s="1" t="inlineStr">
        <is>
          <t>No</t>
        </is>
      </c>
      <c r="N3650" s="1" t="inlineStr">
        <is>
          <t>JavaScript</t>
        </is>
      </c>
      <c r="O36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50" s="11" t="inlineStr">
        <is>
          <t>To Do</t>
        </is>
      </c>
    </row>
    <row r="3651" ht="15.75" customHeight="1" s="12">
      <c r="A3651" s="1" t="n">
        <v>3062</v>
      </c>
      <c r="B3651" s="3">
        <f>HYPERLINK("https://leetcode.com/problems/winner-of-the-linked-list-game/", "Winner of the Linked List Game")</f>
        <v/>
      </c>
      <c r="C3651" s="1" t="n">
        <v>32</v>
      </c>
      <c r="D3651" s="1" t="n">
        <v>5</v>
      </c>
      <c r="E3651" s="4">
        <f>IF(INDEX(C:C, ROW())+INDEX(D:D, ROW())=0, 0, INDEX(C:C, ROW())/(INDEX(C:C, ROW())+INDEX(D:D, ROW())))</f>
        <v/>
      </c>
      <c r="F3651" s="1" t="inlineStr">
        <is>
          <t>Linked List</t>
        </is>
      </c>
      <c r="G3651" s="1" t="inlineStr">
        <is>
          <t>Easy</t>
        </is>
      </c>
      <c r="H3651" s="1" t="n">
        <v>12070</v>
      </c>
      <c r="I3651" s="1" t="n">
        <v>15557</v>
      </c>
      <c r="J3651" s="9" t="n">
        <v>0.776</v>
      </c>
      <c r="K3651" s="1" t="inlineStr">
        <is>
          <t>No</t>
        </is>
      </c>
      <c r="L3651" s="1" t="inlineStr">
        <is>
          <t>Yes</t>
        </is>
      </c>
      <c r="M3651" s="1" t="inlineStr">
        <is>
          <t>No</t>
        </is>
      </c>
      <c r="N3651" s="1" t="inlineStr">
        <is>
          <t>Algorithms</t>
        </is>
      </c>
      <c r="O36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51" s="11" t="inlineStr">
        <is>
          <t>To Do</t>
        </is>
      </c>
    </row>
    <row r="3652" ht="15.75" customHeight="1" s="12">
      <c r="A3652" s="1" t="n">
        <v>3630</v>
      </c>
      <c r="B3652" s="3">
        <f>HYPERLINK("https://leetcode.com/problems/partition-array-for-maximum-xor-and-and/", "Partition Array for Maximum XOR and AND")</f>
        <v/>
      </c>
      <c r="C3652" s="1" t="n">
        <v>32</v>
      </c>
      <c r="D3652" s="1" t="n">
        <v>8</v>
      </c>
      <c r="E3652" s="4">
        <f>IF(INDEX(C:C, ROW())+INDEX(D:D, ROW())=0, 0, INDEX(C:C, ROW())/(INDEX(C:C, ROW())+INDEX(D:D, ROW())))</f>
        <v/>
      </c>
      <c r="F3652" s="1" t="inlineStr">
        <is>
          <t>Array, Math, Greedy, Bit Manipulation, Enumeration</t>
        </is>
      </c>
      <c r="G3652" s="1" t="inlineStr">
        <is>
          <t>Hard</t>
        </is>
      </c>
      <c r="H3652" s="1" t="n">
        <v>7438</v>
      </c>
      <c r="I3652" s="1" t="n">
        <v>41961</v>
      </c>
      <c r="J3652" s="9" t="n">
        <v>0.177</v>
      </c>
      <c r="K3652" s="1" t="inlineStr">
        <is>
          <t>Yes</t>
        </is>
      </c>
      <c r="L3652" s="1" t="inlineStr">
        <is>
          <t>No</t>
        </is>
      </c>
      <c r="M3652" s="1" t="inlineStr">
        <is>
          <t>No</t>
        </is>
      </c>
      <c r="N3652" s="1" t="inlineStr">
        <is>
          <t>Algorithms</t>
        </is>
      </c>
      <c r="O36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52" s="11" t="inlineStr">
        <is>
          <t>To Do</t>
        </is>
      </c>
    </row>
    <row r="3653" ht="15.75" customHeight="1" s="12">
      <c r="A3653" s="1" t="n">
        <v>3673</v>
      </c>
      <c r="B3653" s="3">
        <f>HYPERLINK("https://leetcode.com/problems/find-zombie-sessions/", "Find Zombie Sessions")</f>
        <v/>
      </c>
      <c r="C3653" s="1" t="n">
        <v>32</v>
      </c>
      <c r="D3653" s="1" t="n">
        <v>3</v>
      </c>
      <c r="E3653" s="4">
        <f>IF(INDEX(C:C, ROW())+INDEX(D:D, ROW())=0, 0, INDEX(C:C, ROW())/(INDEX(C:C, ROW())+INDEX(D:D, ROW())))</f>
        <v/>
      </c>
      <c r="F3653" s="2" t="n"/>
      <c r="G3653" s="1" t="inlineStr">
        <is>
          <t>Hard</t>
        </is>
      </c>
      <c r="H3653" s="1" t="n">
        <v>6625</v>
      </c>
      <c r="I3653" s="1" t="n">
        <v>13531</v>
      </c>
      <c r="J3653" s="9" t="n">
        <v>0.49</v>
      </c>
      <c r="K3653" s="1" t="inlineStr">
        <is>
          <t>Yes</t>
        </is>
      </c>
      <c r="L3653" s="1" t="inlineStr">
        <is>
          <t>No</t>
        </is>
      </c>
      <c r="M3653" s="1" t="inlineStr">
        <is>
          <t>No</t>
        </is>
      </c>
      <c r="N3653" s="1" t="inlineStr">
        <is>
          <t>Database</t>
        </is>
      </c>
      <c r="O36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53" s="11" t="inlineStr">
        <is>
          <t>To Do</t>
        </is>
      </c>
    </row>
    <row r="3654" ht="15.75" customHeight="1" s="12">
      <c r="A3654" s="1" t="n">
        <v>3716</v>
      </c>
      <c r="B3654" s="3">
        <f>HYPERLINK("https://leetcode.com/problems/find-churn-risk-customers/", "Find Churn Risk Customers")</f>
        <v/>
      </c>
      <c r="C3654" s="1" t="n">
        <v>32</v>
      </c>
      <c r="D3654" s="1" t="n">
        <v>1</v>
      </c>
      <c r="E3654" s="4">
        <f>IF(INDEX(C:C, ROW())+INDEX(D:D, ROW())=0, 0, INDEX(C:C, ROW())/(INDEX(C:C, ROW())+INDEX(D:D, ROW())))</f>
        <v/>
      </c>
      <c r="F3654" s="2" t="n"/>
      <c r="G3654" s="1" t="inlineStr">
        <is>
          <t>Medium</t>
        </is>
      </c>
      <c r="H3654" s="1" t="n">
        <v>6628</v>
      </c>
      <c r="I3654" s="1" t="n">
        <v>14158</v>
      </c>
      <c r="J3654" s="9" t="n">
        <v>0.468</v>
      </c>
      <c r="K3654" s="1" t="inlineStr">
        <is>
          <t>Yes</t>
        </is>
      </c>
      <c r="L3654" s="1" t="inlineStr">
        <is>
          <t>No</t>
        </is>
      </c>
      <c r="M3654" s="1" t="inlineStr">
        <is>
          <t>No</t>
        </is>
      </c>
      <c r="N3654" s="1" t="inlineStr">
        <is>
          <t>Database</t>
        </is>
      </c>
      <c r="O36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54" s="11" t="inlineStr">
        <is>
          <t>To Do</t>
        </is>
      </c>
    </row>
    <row r="3655" ht="15.75" customHeight="1" s="12">
      <c r="A3655" s="1" t="n">
        <v>3852</v>
      </c>
      <c r="B3655" s="3">
        <f>HYPERLINK("https://leetcode.com/problems/smallest-pair-with-different-frequencies/", "Smallest Pair With Different Frequencies")</f>
        <v/>
      </c>
      <c r="C3655" s="1" t="n">
        <v>32</v>
      </c>
      <c r="D3655" s="1" t="n">
        <v>4</v>
      </c>
      <c r="E3655" s="4">
        <f>IF(INDEX(C:C, ROW())+INDEX(D:D, ROW())=0, 0, INDEX(C:C, ROW())/(INDEX(C:C, ROW())+INDEX(D:D, ROW())))</f>
        <v/>
      </c>
      <c r="F3655" s="1" t="inlineStr">
        <is>
          <t>Array, Hash Table, Counting</t>
        </is>
      </c>
      <c r="G3655" s="1" t="inlineStr">
        <is>
          <t>Easy</t>
        </is>
      </c>
      <c r="H3655" s="1" t="n">
        <v>37879</v>
      </c>
      <c r="I3655" s="1" t="n">
        <v>54536</v>
      </c>
      <c r="J3655" s="9" t="n">
        <v>0.695</v>
      </c>
      <c r="K3655" s="1" t="inlineStr">
        <is>
          <t>Yes</t>
        </is>
      </c>
      <c r="L3655" s="1" t="inlineStr">
        <is>
          <t>No</t>
        </is>
      </c>
      <c r="M3655" s="1" t="inlineStr">
        <is>
          <t>No</t>
        </is>
      </c>
      <c r="N3655" s="1" t="inlineStr">
        <is>
          <t>Algorithms</t>
        </is>
      </c>
      <c r="O36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55" s="13" t="inlineStr">
        <is>
          <t>Done</t>
        </is>
      </c>
    </row>
    <row r="3656" ht="15.75" customHeight="1" s="12">
      <c r="A3656" s="1" t="n">
        <v>3899</v>
      </c>
      <c r="B3656" s="3">
        <f>HYPERLINK("https://leetcode.com/problems/angles-of-a-triangle/", "Angles of a Triangle")</f>
        <v/>
      </c>
      <c r="C3656" s="1" t="n">
        <v>32</v>
      </c>
      <c r="D3656" s="1" t="n">
        <v>36</v>
      </c>
      <c r="E3656" s="4">
        <f>IF(INDEX(C:C, ROW())+INDEX(D:D, ROW())=0, 0, INDEX(C:C, ROW())/(INDEX(C:C, ROW())+INDEX(D:D, ROW())))</f>
        <v/>
      </c>
      <c r="F3656" s="2" t="n"/>
      <c r="G3656" s="1" t="inlineStr">
        <is>
          <t>Medium</t>
        </is>
      </c>
      <c r="H3656" s="1" t="n">
        <v>32899</v>
      </c>
      <c r="I3656" s="1" t="n">
        <v>53046</v>
      </c>
      <c r="J3656" s="9" t="n">
        <v>0.62</v>
      </c>
      <c r="K3656" s="1" t="inlineStr">
        <is>
          <t>Yes</t>
        </is>
      </c>
      <c r="L3656" s="1" t="inlineStr">
        <is>
          <t>No</t>
        </is>
      </c>
      <c r="M3656" s="1" t="inlineStr">
        <is>
          <t>No</t>
        </is>
      </c>
      <c r="N3656" s="1" t="inlineStr">
        <is>
          <t>Algorithms</t>
        </is>
      </c>
      <c r="O36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56" s="11" t="inlineStr">
        <is>
          <t>To Do</t>
        </is>
      </c>
    </row>
    <row r="3657" ht="15.75" customHeight="1" s="12">
      <c r="A3657" s="1" t="n">
        <v>3904</v>
      </c>
      <c r="B3657" s="3">
        <f>HYPERLINK("https://leetcode.com/problems/smallest-stable-index-ii/", "Smallest Stable Index II")</f>
        <v/>
      </c>
      <c r="C3657" s="1" t="n">
        <v>32</v>
      </c>
      <c r="D3657" s="1" t="n">
        <v>1</v>
      </c>
      <c r="E3657" s="4">
        <f>IF(INDEX(C:C, ROW())+INDEX(D:D, ROW())=0, 0, INDEX(C:C, ROW())/(INDEX(C:C, ROW())+INDEX(D:D, ROW())))</f>
        <v/>
      </c>
      <c r="F3657" s="1" t="inlineStr">
        <is>
          <t>Array, Prefix Sum</t>
        </is>
      </c>
      <c r="G3657" s="1" t="inlineStr">
        <is>
          <t>Medium</t>
        </is>
      </c>
      <c r="H3657" s="1" t="n">
        <v>36552</v>
      </c>
      <c r="I3657" s="1" t="n">
        <v>49573</v>
      </c>
      <c r="J3657" s="9" t="n">
        <v>0.737</v>
      </c>
      <c r="K3657" s="1" t="inlineStr">
        <is>
          <t>Yes</t>
        </is>
      </c>
      <c r="L3657" s="1" t="inlineStr">
        <is>
          <t>No</t>
        </is>
      </c>
      <c r="M3657" s="1" t="inlineStr">
        <is>
          <t>No</t>
        </is>
      </c>
      <c r="N3657" s="1" t="inlineStr">
        <is>
          <t>Algorithms</t>
        </is>
      </c>
      <c r="O36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57" s="11" t="inlineStr">
        <is>
          <t>To Do</t>
        </is>
      </c>
    </row>
    <row r="3658" ht="15.75" customHeight="1" s="12">
      <c r="A3658" s="1" t="n">
        <v>2394</v>
      </c>
      <c r="B3658" s="3">
        <f>HYPERLINK("https://leetcode.com/problems/employees-with-deductions/", "Employees With Deductions")</f>
        <v/>
      </c>
      <c r="C3658" s="1" t="n">
        <v>31</v>
      </c>
      <c r="D3658" s="1" t="n">
        <v>39</v>
      </c>
      <c r="E3658" s="4">
        <f>IF(INDEX(C:C, ROW())+INDEX(D:D, ROW())=0, 0, INDEX(C:C, ROW())/(INDEX(C:C, ROW())+INDEX(D:D, ROW())))</f>
        <v/>
      </c>
      <c r="F3658" s="1" t="inlineStr">
        <is>
          <t>Database</t>
        </is>
      </c>
      <c r="G3658" s="1" t="inlineStr">
        <is>
          <t>Medium</t>
        </is>
      </c>
      <c r="H3658" s="1" t="n">
        <v>7478</v>
      </c>
      <c r="I3658" s="1" t="n">
        <v>17464</v>
      </c>
      <c r="J3658" s="9" t="n">
        <v>0.428</v>
      </c>
      <c r="K3658" s="1" t="inlineStr">
        <is>
          <t>No</t>
        </is>
      </c>
      <c r="L3658" s="1" t="inlineStr">
        <is>
          <t>No</t>
        </is>
      </c>
      <c r="M3658" s="1" t="inlineStr">
        <is>
          <t>No</t>
        </is>
      </c>
      <c r="N3658" s="1" t="inlineStr">
        <is>
          <t>Database</t>
        </is>
      </c>
      <c r="O36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58" s="11" t="inlineStr">
        <is>
          <t>To Do</t>
        </is>
      </c>
    </row>
    <row r="3659" ht="15.75" customHeight="1" s="12">
      <c r="A3659" s="1" t="n">
        <v>2480</v>
      </c>
      <c r="B3659" s="3">
        <f>HYPERLINK("https://leetcode.com/problems/form-a-chemical-bond/", "Form a Chemical Bond")</f>
        <v/>
      </c>
      <c r="C3659" s="1" t="n">
        <v>31</v>
      </c>
      <c r="D3659" s="1" t="n">
        <v>11</v>
      </c>
      <c r="E3659" s="4">
        <f>IF(INDEX(C:C, ROW())+INDEX(D:D, ROW())=0, 0, INDEX(C:C, ROW())/(INDEX(C:C, ROW())+INDEX(D:D, ROW())))</f>
        <v/>
      </c>
      <c r="F3659" s="1" t="inlineStr">
        <is>
          <t>Database</t>
        </is>
      </c>
      <c r="G3659" s="1" t="inlineStr">
        <is>
          <t>Easy</t>
        </is>
      </c>
      <c r="H3659" s="1" t="n">
        <v>7456</v>
      </c>
      <c r="I3659" s="1" t="n">
        <v>9309</v>
      </c>
      <c r="J3659" s="9" t="n">
        <v>0.801</v>
      </c>
      <c r="K3659" s="1" t="inlineStr">
        <is>
          <t>No</t>
        </is>
      </c>
      <c r="L3659" s="1" t="inlineStr">
        <is>
          <t>No</t>
        </is>
      </c>
      <c r="M3659" s="1" t="inlineStr">
        <is>
          <t>No</t>
        </is>
      </c>
      <c r="N3659" s="1" t="inlineStr">
        <is>
          <t>Database</t>
        </is>
      </c>
      <c r="O36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59" s="11" t="inlineStr">
        <is>
          <t>To Do</t>
        </is>
      </c>
    </row>
    <row r="3660" ht="15.75" customHeight="1" s="12">
      <c r="A3660" s="1" t="n">
        <v>2950</v>
      </c>
      <c r="B3660" s="3">
        <f>HYPERLINK("https://leetcode.com/problems/number-of-divisible-substrings/", "Number of Divisible Substrings")</f>
        <v/>
      </c>
      <c r="C3660" s="1" t="n">
        <v>31</v>
      </c>
      <c r="D3660" s="1" t="n">
        <v>6</v>
      </c>
      <c r="E3660" s="4">
        <f>IF(INDEX(C:C, ROW())+INDEX(D:D, ROW())=0, 0, INDEX(C:C, ROW())/(INDEX(C:C, ROW())+INDEX(D:D, ROW())))</f>
        <v/>
      </c>
      <c r="F3660" s="1" t="inlineStr">
        <is>
          <t>Hash Table, String, Counting, Prefix Sum</t>
        </is>
      </c>
      <c r="G3660" s="1" t="inlineStr">
        <is>
          <t>Medium</t>
        </is>
      </c>
      <c r="H3660" s="1" t="n">
        <v>3697</v>
      </c>
      <c r="I3660" s="1" t="n">
        <v>4959</v>
      </c>
      <c r="J3660" s="9" t="n">
        <v>0.746</v>
      </c>
      <c r="K3660" s="1" t="inlineStr">
        <is>
          <t>No</t>
        </is>
      </c>
      <c r="L3660" s="1" t="inlineStr">
        <is>
          <t>No</t>
        </is>
      </c>
      <c r="M3660" s="1" t="inlineStr">
        <is>
          <t>No</t>
        </is>
      </c>
      <c r="N3660" s="1" t="inlineStr">
        <is>
          <t>Algorithms</t>
        </is>
      </c>
      <c r="O36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60" s="11" t="inlineStr">
        <is>
          <t>To Do</t>
        </is>
      </c>
    </row>
    <row r="3661" ht="15.75" customHeight="1" s="12">
      <c r="A3661" s="1" t="n">
        <v>3757</v>
      </c>
      <c r="B3661" s="3">
        <f>HYPERLINK("https://leetcode.com/problems/number-of-effective-subsequences/", "Number of Effective Subsequences")</f>
        <v/>
      </c>
      <c r="C3661" s="1" t="n">
        <v>31</v>
      </c>
      <c r="D3661" s="1" t="n">
        <v>2</v>
      </c>
      <c r="E3661" s="4">
        <f>IF(INDEX(C:C, ROW())+INDEX(D:D, ROW())=0, 0, INDEX(C:C, ROW())/(INDEX(C:C, ROW())+INDEX(D:D, ROW())))</f>
        <v/>
      </c>
      <c r="F3661" s="1" t="inlineStr">
        <is>
          <t>Array, Math, Dynamic Programming, Bit Manipulation, Combinatorics</t>
        </is>
      </c>
      <c r="G3661" s="1" t="inlineStr">
        <is>
          <t>Hard</t>
        </is>
      </c>
      <c r="H3661" s="1" t="n">
        <v>2893</v>
      </c>
      <c r="I3661" s="1" t="n">
        <v>9249</v>
      </c>
      <c r="J3661" s="9" t="n">
        <v>0.313</v>
      </c>
      <c r="K3661" s="1" t="inlineStr">
        <is>
          <t>Yes</t>
        </is>
      </c>
      <c r="L3661" s="1" t="inlineStr">
        <is>
          <t>No</t>
        </is>
      </c>
      <c r="M3661" s="1" t="inlineStr">
        <is>
          <t>No</t>
        </is>
      </c>
      <c r="N3661" s="1" t="inlineStr">
        <is>
          <t>Algorithms</t>
        </is>
      </c>
      <c r="O36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61" s="11" t="inlineStr">
        <is>
          <t>To Do</t>
        </is>
      </c>
    </row>
    <row r="3662" ht="15.75" customHeight="1" s="12">
      <c r="A3662" s="1" t="n">
        <v>3867</v>
      </c>
      <c r="B3662" s="3">
        <f>HYPERLINK("https://leetcode.com/problems/sum-of-gcd-of-formed-pairs/", "Sum of GCD of Formed Pairs")</f>
        <v/>
      </c>
      <c r="C3662" s="1" t="n">
        <v>31</v>
      </c>
      <c r="D3662" s="1" t="n">
        <v>9</v>
      </c>
      <c r="E3662" s="4">
        <f>IF(INDEX(C:C, ROW())+INDEX(D:D, ROW())=0, 0, INDEX(C:C, ROW())/(INDEX(C:C, ROW())+INDEX(D:D, ROW())))</f>
        <v/>
      </c>
      <c r="F3662" s="1" t="inlineStr">
        <is>
          <t>Array, Math, Two Pointers, Simulation, Number Theory</t>
        </is>
      </c>
      <c r="G3662" s="1" t="inlineStr">
        <is>
          <t>Medium</t>
        </is>
      </c>
      <c r="H3662" s="1" t="n">
        <v>30959</v>
      </c>
      <c r="I3662" s="1" t="n">
        <v>47097</v>
      </c>
      <c r="J3662" s="9" t="n">
        <v>0.657</v>
      </c>
      <c r="K3662" s="1" t="inlineStr">
        <is>
          <t>Yes</t>
        </is>
      </c>
      <c r="L3662" s="1" t="inlineStr">
        <is>
          <t>No</t>
        </is>
      </c>
      <c r="M3662" s="1" t="inlineStr">
        <is>
          <t>No</t>
        </is>
      </c>
      <c r="N3662" s="1" t="inlineStr">
        <is>
          <t>Algorithms</t>
        </is>
      </c>
      <c r="O36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62" s="11" t="inlineStr">
        <is>
          <t>To Do</t>
        </is>
      </c>
    </row>
    <row r="3663" ht="15.75" customHeight="1" s="12">
      <c r="A3663" s="1" t="n">
        <v>3880</v>
      </c>
      <c r="B3663" s="3">
        <f>HYPERLINK("https://leetcode.com/problems/minimum-absolute-difference-between-two-values/", "Minimum Absolute Difference Between Two Values")</f>
        <v/>
      </c>
      <c r="C3663" s="1" t="n">
        <v>31</v>
      </c>
      <c r="D3663" s="1" t="n">
        <v>0</v>
      </c>
      <c r="E3663" s="4">
        <f>IF(INDEX(C:C, ROW())+INDEX(D:D, ROW())=0, 0, INDEX(C:C, ROW())/(INDEX(C:C, ROW())+INDEX(D:D, ROW())))</f>
        <v/>
      </c>
      <c r="F3663" s="1" t="inlineStr">
        <is>
          <t>Array, Enumeration</t>
        </is>
      </c>
      <c r="G3663" s="1" t="inlineStr">
        <is>
          <t>Easy</t>
        </is>
      </c>
      <c r="H3663" s="1" t="n">
        <v>39374</v>
      </c>
      <c r="I3663" s="1" t="n">
        <v>59284</v>
      </c>
      <c r="J3663" s="9" t="n">
        <v>0.664</v>
      </c>
      <c r="K3663" s="1" t="inlineStr">
        <is>
          <t>Yes</t>
        </is>
      </c>
      <c r="L3663" s="1" t="inlineStr">
        <is>
          <t>No</t>
        </is>
      </c>
      <c r="M3663" s="1" t="inlineStr">
        <is>
          <t>No</t>
        </is>
      </c>
      <c r="N3663" s="1" t="inlineStr">
        <is>
          <t>Algorithms</t>
        </is>
      </c>
      <c r="O36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63" s="13" t="inlineStr">
        <is>
          <t>Done</t>
        </is>
      </c>
    </row>
    <row r="3664" ht="15.75" customHeight="1" s="12">
      <c r="A3664" s="1" t="n">
        <v>2854</v>
      </c>
      <c r="B3664" s="3">
        <f>HYPERLINK("https://leetcode.com/problems/rolling-average-steps/", "Rolling Average Steps")</f>
        <v/>
      </c>
      <c r="C3664" s="1" t="n">
        <v>30</v>
      </c>
      <c r="D3664" s="1" t="n">
        <v>3</v>
      </c>
      <c r="E3664" s="4">
        <f>IF(INDEX(C:C, ROW())+INDEX(D:D, ROW())=0, 0, INDEX(C:C, ROW())/(INDEX(C:C, ROW())+INDEX(D:D, ROW())))</f>
        <v/>
      </c>
      <c r="F3664" s="1" t="inlineStr">
        <is>
          <t>Database</t>
        </is>
      </c>
      <c r="G3664" s="1" t="inlineStr">
        <is>
          <t>Medium</t>
        </is>
      </c>
      <c r="H3664" s="1" t="n">
        <v>5547</v>
      </c>
      <c r="I3664" s="1" t="n">
        <v>8013</v>
      </c>
      <c r="J3664" s="9" t="n">
        <v>0.6919999999999999</v>
      </c>
      <c r="K3664" s="1" t="inlineStr">
        <is>
          <t>No</t>
        </is>
      </c>
      <c r="L3664" s="1" t="inlineStr">
        <is>
          <t>No</t>
        </is>
      </c>
      <c r="M3664" s="1" t="inlineStr">
        <is>
          <t>No</t>
        </is>
      </c>
      <c r="N3664" s="1" t="inlineStr">
        <is>
          <t>Database</t>
        </is>
      </c>
      <c r="O36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64" s="11" t="inlineStr">
        <is>
          <t>To Do</t>
        </is>
      </c>
    </row>
    <row r="3665" ht="15.75" customHeight="1" s="12">
      <c r="A3665" s="1" t="n">
        <v>3470</v>
      </c>
      <c r="B3665" s="3">
        <f>HYPERLINK("https://leetcode.com/problems/permutations-iv/", "Permutations IV")</f>
        <v/>
      </c>
      <c r="C3665" s="1" t="n">
        <v>30</v>
      </c>
      <c r="D3665" s="1" t="n">
        <v>4</v>
      </c>
      <c r="E3665" s="4">
        <f>IF(INDEX(C:C, ROW())+INDEX(D:D, ROW())=0, 0, INDEX(C:C, ROW())/(INDEX(C:C, ROW())+INDEX(D:D, ROW())))</f>
        <v/>
      </c>
      <c r="F3665" s="1" t="inlineStr">
        <is>
          <t>Array, Math, Combinatorics, Enumeration</t>
        </is>
      </c>
      <c r="G3665" s="1" t="inlineStr">
        <is>
          <t>Hard</t>
        </is>
      </c>
      <c r="H3665" s="1" t="n">
        <v>4428</v>
      </c>
      <c r="I3665" s="1" t="n">
        <v>12877</v>
      </c>
      <c r="J3665" s="9" t="n">
        <v>0.344</v>
      </c>
      <c r="K3665" s="1" t="inlineStr">
        <is>
          <t>Yes</t>
        </is>
      </c>
      <c r="L3665" s="1" t="inlineStr">
        <is>
          <t>No</t>
        </is>
      </c>
      <c r="M3665" s="1" t="inlineStr">
        <is>
          <t>No</t>
        </is>
      </c>
      <c r="N3665" s="1" t="inlineStr">
        <is>
          <t>Algorithms</t>
        </is>
      </c>
      <c r="O36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65" s="11" t="inlineStr">
        <is>
          <t>To Do</t>
        </is>
      </c>
    </row>
    <row r="3666" ht="15.75" customHeight="1" s="12">
      <c r="A3666" s="1" t="n">
        <v>3525</v>
      </c>
      <c r="B3666" s="3">
        <f>HYPERLINK("https://leetcode.com/problems/find-x-value-of-array-ii/", "Find X Value of Array II")</f>
        <v/>
      </c>
      <c r="C3666" s="1" t="n">
        <v>30</v>
      </c>
      <c r="D3666" s="1" t="n">
        <v>8</v>
      </c>
      <c r="E3666" s="4">
        <f>IF(INDEX(C:C, ROW())+INDEX(D:D, ROW())=0, 0, INDEX(C:C, ROW())/(INDEX(C:C, ROW())+INDEX(D:D, ROW())))</f>
        <v/>
      </c>
      <c r="F3666" s="1" t="inlineStr">
        <is>
          <t>Array, Math, Segment Tree</t>
        </is>
      </c>
      <c r="G3666" s="1" t="inlineStr">
        <is>
          <t>Hard</t>
        </is>
      </c>
      <c r="H3666" s="1" t="n">
        <v>3614</v>
      </c>
      <c r="I3666" s="1" t="n">
        <v>11588</v>
      </c>
      <c r="J3666" s="9" t="n">
        <v>0.312</v>
      </c>
      <c r="K3666" s="1" t="inlineStr">
        <is>
          <t>Yes</t>
        </is>
      </c>
      <c r="L3666" s="1" t="inlineStr">
        <is>
          <t>No</t>
        </is>
      </c>
      <c r="M3666" s="1" t="inlineStr">
        <is>
          <t>No</t>
        </is>
      </c>
      <c r="N3666" s="1" t="inlineStr">
        <is>
          <t>Algorithms</t>
        </is>
      </c>
      <c r="O36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66" s="11" t="inlineStr">
        <is>
          <t>To Do</t>
        </is>
      </c>
    </row>
    <row r="3667" ht="15.75" customHeight="1" s="12">
      <c r="A3667" s="1" t="n">
        <v>3884</v>
      </c>
      <c r="B3667" s="3">
        <f>HYPERLINK("https://leetcode.com/problems/first-matching-character-from-both-ends/", "First Matching Character From Both Ends")</f>
        <v/>
      </c>
      <c r="C3667" s="1" t="n">
        <v>30</v>
      </c>
      <c r="D3667" s="1" t="n">
        <v>0</v>
      </c>
      <c r="E3667" s="4">
        <f>IF(INDEX(C:C, ROW())+INDEX(D:D, ROW())=0, 0, INDEX(C:C, ROW())/(INDEX(C:C, ROW())+INDEX(D:D, ROW())))</f>
        <v/>
      </c>
      <c r="F3667" s="1" t="inlineStr">
        <is>
          <t>Two Pointers, String</t>
        </is>
      </c>
      <c r="G3667" s="1" t="inlineStr">
        <is>
          <t>Easy</t>
        </is>
      </c>
      <c r="H3667" s="1" t="n">
        <v>53547</v>
      </c>
      <c r="I3667" s="1" t="n">
        <v>65459</v>
      </c>
      <c r="J3667" s="9" t="n">
        <v>0.8179999999999999</v>
      </c>
      <c r="K3667" s="1" t="inlineStr">
        <is>
          <t>Yes</t>
        </is>
      </c>
      <c r="L3667" s="1" t="inlineStr">
        <is>
          <t>No</t>
        </is>
      </c>
      <c r="M3667" s="1" t="inlineStr">
        <is>
          <t>No</t>
        </is>
      </c>
      <c r="N3667" s="1" t="inlineStr">
        <is>
          <t>Algorithms</t>
        </is>
      </c>
      <c r="O36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67" s="13" t="inlineStr">
        <is>
          <t>Done</t>
        </is>
      </c>
    </row>
    <row r="3668" ht="15.75" customHeight="1" s="12">
      <c r="A3668" s="1" t="n">
        <v>2020</v>
      </c>
      <c r="B3668" s="3">
        <f>HYPERLINK("https://leetcode.com/problems/number-of-accounts-that-did-not-stream/", "Number of Accounts That Did Not Stream")</f>
        <v/>
      </c>
      <c r="C3668" s="1" t="n">
        <v>29</v>
      </c>
      <c r="D3668" s="1" t="n">
        <v>231</v>
      </c>
      <c r="E3668" s="4">
        <f>IF(INDEX(C:C, ROW())+INDEX(D:D, ROW())=0, 0, INDEX(C:C, ROW())/(INDEX(C:C, ROW())+INDEX(D:D, ROW())))</f>
        <v/>
      </c>
      <c r="F3668" s="1" t="inlineStr">
        <is>
          <t>Database</t>
        </is>
      </c>
      <c r="G3668" s="1" t="inlineStr">
        <is>
          <t>Medium</t>
        </is>
      </c>
      <c r="H3668" s="1" t="n">
        <v>14085</v>
      </c>
      <c r="I3668" s="1" t="n">
        <v>19540</v>
      </c>
      <c r="J3668" s="9" t="n">
        <v>0.721</v>
      </c>
      <c r="K3668" s="1" t="inlineStr">
        <is>
          <t>No</t>
        </is>
      </c>
      <c r="L3668" s="1" t="inlineStr">
        <is>
          <t>No</t>
        </is>
      </c>
      <c r="M3668" s="1" t="inlineStr">
        <is>
          <t>No</t>
        </is>
      </c>
      <c r="N3668" s="1" t="inlineStr">
        <is>
          <t>Database</t>
        </is>
      </c>
      <c r="O36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68" s="11" t="inlineStr">
        <is>
          <t>To Do</t>
        </is>
      </c>
    </row>
    <row r="3669" ht="15.75" customHeight="1" s="12">
      <c r="A3669" s="1" t="n">
        <v>2417</v>
      </c>
      <c r="B3669" s="3">
        <f>HYPERLINK("https://leetcode.com/problems/closest-fair-integer/", "Closest Fair Integer")</f>
        <v/>
      </c>
      <c r="C3669" s="1" t="n">
        <v>29</v>
      </c>
      <c r="D3669" s="1" t="n">
        <v>13</v>
      </c>
      <c r="E3669" s="4">
        <f>IF(INDEX(C:C, ROW())+INDEX(D:D, ROW())=0, 0, INDEX(C:C, ROW())/(INDEX(C:C, ROW())+INDEX(D:D, ROW())))</f>
        <v/>
      </c>
      <c r="F3669" s="1" t="inlineStr">
        <is>
          <t>Math, Enumeration</t>
        </is>
      </c>
      <c r="G3669" s="1" t="inlineStr">
        <is>
          <t>Medium</t>
        </is>
      </c>
      <c r="H3669" s="1" t="n">
        <v>1427</v>
      </c>
      <c r="I3669" s="1" t="n">
        <v>3216</v>
      </c>
      <c r="J3669" s="9" t="n">
        <v>0.444</v>
      </c>
      <c r="K3669" s="1" t="inlineStr">
        <is>
          <t>No</t>
        </is>
      </c>
      <c r="L3669" s="1" t="inlineStr">
        <is>
          <t>No</t>
        </is>
      </c>
      <c r="M3669" s="1" t="inlineStr">
        <is>
          <t>No</t>
        </is>
      </c>
      <c r="N3669" s="1" t="inlineStr">
        <is>
          <t>Algorithms</t>
        </is>
      </c>
      <c r="O36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69" s="11" t="inlineStr">
        <is>
          <t>To Do</t>
        </is>
      </c>
    </row>
    <row r="3670" ht="15.75" customHeight="1" s="12">
      <c r="A3670" s="1" t="n">
        <v>2738</v>
      </c>
      <c r="B3670" s="3">
        <f>HYPERLINK("https://leetcode.com/problems/count-occurrences-in-text/", "Count Occurrences in Text")</f>
        <v/>
      </c>
      <c r="C3670" s="1" t="n">
        <v>29</v>
      </c>
      <c r="D3670" s="1" t="n">
        <v>48</v>
      </c>
      <c r="E3670" s="4">
        <f>IF(INDEX(C:C, ROW())+INDEX(D:D, ROW())=0, 0, INDEX(C:C, ROW())/(INDEX(C:C, ROW())+INDEX(D:D, ROW())))</f>
        <v/>
      </c>
      <c r="F3670" s="1" t="inlineStr">
        <is>
          <t>Database</t>
        </is>
      </c>
      <c r="G3670" s="1" t="inlineStr">
        <is>
          <t>Medium</t>
        </is>
      </c>
      <c r="H3670" s="1" t="n">
        <v>11924</v>
      </c>
      <c r="I3670" s="1" t="n">
        <v>21887</v>
      </c>
      <c r="J3670" s="9" t="n">
        <v>0.545</v>
      </c>
      <c r="K3670" s="1" t="inlineStr">
        <is>
          <t>No</t>
        </is>
      </c>
      <c r="L3670" s="1" t="inlineStr">
        <is>
          <t>Yes</t>
        </is>
      </c>
      <c r="M3670" s="1" t="inlineStr">
        <is>
          <t>No</t>
        </is>
      </c>
      <c r="N3670" s="1" t="inlineStr">
        <is>
          <t>Database</t>
        </is>
      </c>
      <c r="O36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70" s="11" t="inlineStr">
        <is>
          <t>To Do</t>
        </is>
      </c>
    </row>
    <row r="3671" ht="15.75" customHeight="1" s="12">
      <c r="A3671" s="1" t="n">
        <v>2820</v>
      </c>
      <c r="B3671" s="3">
        <f>HYPERLINK("https://leetcode.com/problems/election-results/", "Election Results")</f>
        <v/>
      </c>
      <c r="C3671" s="1" t="n">
        <v>29</v>
      </c>
      <c r="D3671" s="1" t="n">
        <v>3</v>
      </c>
      <c r="E3671" s="4">
        <f>IF(INDEX(C:C, ROW())+INDEX(D:D, ROW())=0, 0, INDEX(C:C, ROW())/(INDEX(C:C, ROW())+INDEX(D:D, ROW())))</f>
        <v/>
      </c>
      <c r="F3671" s="2" t="n"/>
      <c r="G3671" s="1" t="inlineStr">
        <is>
          <t>Medium</t>
        </is>
      </c>
      <c r="H3671" s="1" t="n">
        <v>4368</v>
      </c>
      <c r="I3671" s="1" t="n">
        <v>6555</v>
      </c>
      <c r="J3671" s="9" t="n">
        <v>0.666</v>
      </c>
      <c r="K3671" s="1" t="inlineStr">
        <is>
          <t>No</t>
        </is>
      </c>
      <c r="L3671" s="1" t="inlineStr">
        <is>
          <t>No</t>
        </is>
      </c>
      <c r="M3671" s="1" t="inlineStr">
        <is>
          <t>No</t>
        </is>
      </c>
      <c r="N3671" s="1" t="inlineStr">
        <is>
          <t>Database</t>
        </is>
      </c>
      <c r="O36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71" s="11" t="inlineStr">
        <is>
          <t>To Do</t>
        </is>
      </c>
    </row>
    <row r="3672" ht="15.75" customHeight="1" s="12">
      <c r="A3672" s="1" t="n">
        <v>2892</v>
      </c>
      <c r="B3672" s="3">
        <f>HYPERLINK("https://leetcode.com/problems/minimizing-array-after-replacing-pairs-with-their-product/", "Minimizing Array After Replacing Pairs With Their Product")</f>
        <v/>
      </c>
      <c r="C3672" s="1" t="n">
        <v>29</v>
      </c>
      <c r="D3672" s="1" t="n">
        <v>1</v>
      </c>
      <c r="E3672" s="4">
        <f>IF(INDEX(C:C, ROW())+INDEX(D:D, ROW())=0, 0, INDEX(C:C, ROW())/(INDEX(C:C, ROW())+INDEX(D:D, ROW())))</f>
        <v/>
      </c>
      <c r="F3672" s="1" t="inlineStr">
        <is>
          <t>Array, Dynamic Programming, Greedy</t>
        </is>
      </c>
      <c r="G3672" s="1" t="inlineStr">
        <is>
          <t>Medium</t>
        </is>
      </c>
      <c r="H3672" s="1" t="n">
        <v>1844</v>
      </c>
      <c r="I3672" s="1" t="n">
        <v>4534</v>
      </c>
      <c r="J3672" s="9" t="n">
        <v>0.407</v>
      </c>
      <c r="K3672" s="1" t="inlineStr">
        <is>
          <t>No</t>
        </is>
      </c>
      <c r="L3672" s="1" t="inlineStr">
        <is>
          <t>No</t>
        </is>
      </c>
      <c r="M3672" s="1" t="inlineStr">
        <is>
          <t>No</t>
        </is>
      </c>
      <c r="N3672" s="1" t="inlineStr">
        <is>
          <t>Algorithms</t>
        </is>
      </c>
      <c r="O36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72" s="11" t="inlineStr">
        <is>
          <t>To Do</t>
        </is>
      </c>
    </row>
    <row r="3673" ht="15.75" customHeight="1" s="12">
      <c r="A3673" s="1" t="n">
        <v>3009</v>
      </c>
      <c r="B3673" s="3">
        <f>HYPERLINK("https://leetcode.com/problems/maximum-number-of-intersections-on-the-chart/", "Maximum Number of Intersections on the Chart")</f>
        <v/>
      </c>
      <c r="C3673" s="1" t="n">
        <v>29</v>
      </c>
      <c r="D3673" s="1" t="n">
        <v>5</v>
      </c>
      <c r="E3673" s="4">
        <f>IF(INDEX(C:C, ROW())+INDEX(D:D, ROW())=0, 0, INDEX(C:C, ROW())/(INDEX(C:C, ROW())+INDEX(D:D, ROW())))</f>
        <v/>
      </c>
      <c r="F3673" s="1" t="inlineStr">
        <is>
          <t>Array, Hash Table, Math, Binary Indexed Tree, Geometry, Sweep Line, Sorting</t>
        </is>
      </c>
      <c r="G3673" s="1" t="inlineStr">
        <is>
          <t>Hard</t>
        </is>
      </c>
      <c r="H3673" s="1" t="n">
        <v>4385</v>
      </c>
      <c r="I3673" s="1" t="n">
        <v>9716</v>
      </c>
      <c r="J3673" s="9" t="n">
        <v>0.451</v>
      </c>
      <c r="K3673" s="1" t="inlineStr">
        <is>
          <t>No</t>
        </is>
      </c>
      <c r="L3673" s="1" t="inlineStr">
        <is>
          <t>No</t>
        </is>
      </c>
      <c r="M3673" s="1" t="inlineStr">
        <is>
          <t>No</t>
        </is>
      </c>
      <c r="N3673" s="1" t="inlineStr">
        <is>
          <t>Algorithms</t>
        </is>
      </c>
      <c r="O36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73" s="11" t="inlineStr">
        <is>
          <t>To Do</t>
        </is>
      </c>
    </row>
    <row r="3674" ht="15.75" customHeight="1" s="12">
      <c r="A3674" s="1" t="n">
        <v>3590</v>
      </c>
      <c r="B3674" s="3">
        <f>HYPERLINK("https://leetcode.com/problems/kth-smallest-path-xor-sum/", "Kth Smallest Path XOR Sum")</f>
        <v/>
      </c>
      <c r="C3674" s="1" t="n">
        <v>29</v>
      </c>
      <c r="D3674" s="1" t="n">
        <v>11</v>
      </c>
      <c r="E3674" s="4">
        <f>IF(INDEX(C:C, ROW())+INDEX(D:D, ROW())=0, 0, INDEX(C:C, ROW())/(INDEX(C:C, ROW())+INDEX(D:D, ROW())))</f>
        <v/>
      </c>
      <c r="F3674" s="1" t="inlineStr">
        <is>
          <t>Array, Tree, Depth-First Search, Ordered Set</t>
        </is>
      </c>
      <c r="G3674" s="1" t="inlineStr">
        <is>
          <t>Hard</t>
        </is>
      </c>
      <c r="H3674" s="1" t="n">
        <v>2818</v>
      </c>
      <c r="I3674" s="1" t="n">
        <v>9499</v>
      </c>
      <c r="J3674" s="9" t="n">
        <v>0.297</v>
      </c>
      <c r="K3674" s="1" t="inlineStr">
        <is>
          <t>Yes</t>
        </is>
      </c>
      <c r="L3674" s="1" t="inlineStr">
        <is>
          <t>No</t>
        </is>
      </c>
      <c r="M3674" s="1" t="inlineStr">
        <is>
          <t>No</t>
        </is>
      </c>
      <c r="N3674" s="1" t="inlineStr">
        <is>
          <t>Algorithms</t>
        </is>
      </c>
      <c r="O36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74" s="11" t="inlineStr">
        <is>
          <t>To Do</t>
        </is>
      </c>
    </row>
    <row r="3675" ht="15.75" customHeight="1" s="12">
      <c r="A3675" s="1" t="n">
        <v>3764</v>
      </c>
      <c r="B3675" s="3">
        <f>HYPERLINK("https://leetcode.com/problems/most-common-course-pairs/", "Most Common Course Pairs")</f>
        <v/>
      </c>
      <c r="C3675" s="1" t="n">
        <v>29</v>
      </c>
      <c r="D3675" s="1" t="n">
        <v>1</v>
      </c>
      <c r="E3675" s="4">
        <f>IF(INDEX(C:C, ROW())+INDEX(D:D, ROW())=0, 0, INDEX(C:C, ROW())/(INDEX(C:C, ROW())+INDEX(D:D, ROW())))</f>
        <v/>
      </c>
      <c r="F3675" s="2" t="n"/>
      <c r="G3675" s="1" t="inlineStr">
        <is>
          <t>Hard</t>
        </is>
      </c>
      <c r="H3675" s="1" t="n">
        <v>3937</v>
      </c>
      <c r="I3675" s="1" t="n">
        <v>7774</v>
      </c>
      <c r="J3675" s="9" t="n">
        <v>0.506</v>
      </c>
      <c r="K3675" s="1" t="inlineStr">
        <is>
          <t>Yes</t>
        </is>
      </c>
      <c r="L3675" s="1" t="inlineStr">
        <is>
          <t>No</t>
        </is>
      </c>
      <c r="M3675" s="1" t="inlineStr">
        <is>
          <t>No</t>
        </is>
      </c>
      <c r="N3675" s="1" t="inlineStr">
        <is>
          <t>Database</t>
        </is>
      </c>
      <c r="O36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75" s="11" t="inlineStr">
        <is>
          <t>To Do</t>
        </is>
      </c>
    </row>
    <row r="3676" ht="15.75" customHeight="1" s="12">
      <c r="A3676" s="1" t="n">
        <v>2198</v>
      </c>
      <c r="B3676" s="3">
        <f>HYPERLINK("https://leetcode.com/problems/number-of-single-divisor-triplets/", "Number of Single Divisor Triplets")</f>
        <v/>
      </c>
      <c r="C3676" s="1" t="n">
        <v>28</v>
      </c>
      <c r="D3676" s="1" t="n">
        <v>12</v>
      </c>
      <c r="E3676" s="4">
        <f>IF(INDEX(C:C, ROW())+INDEX(D:D, ROW())=0, 0, INDEX(C:C, ROW())/(INDEX(C:C, ROW())+INDEX(D:D, ROW())))</f>
        <v/>
      </c>
      <c r="F3676" s="1" t="inlineStr">
        <is>
          <t>Array, Counting, Enumeration</t>
        </is>
      </c>
      <c r="G3676" s="1" t="inlineStr">
        <is>
          <t>Medium</t>
        </is>
      </c>
      <c r="H3676" s="1" t="n">
        <v>1581</v>
      </c>
      <c r="I3676" s="1" t="n">
        <v>2893</v>
      </c>
      <c r="J3676" s="9" t="n">
        <v>0.546</v>
      </c>
      <c r="K3676" s="1" t="inlineStr">
        <is>
          <t>No</t>
        </is>
      </c>
      <c r="L3676" s="1" t="inlineStr">
        <is>
          <t>No</t>
        </is>
      </c>
      <c r="M3676" s="1" t="inlineStr">
        <is>
          <t>No</t>
        </is>
      </c>
      <c r="N3676" s="1" t="inlineStr">
        <is>
          <t>Algorithms</t>
        </is>
      </c>
      <c r="O36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76" s="11" t="inlineStr">
        <is>
          <t>To Do</t>
        </is>
      </c>
    </row>
    <row r="3677" ht="15.75" customHeight="1" s="12">
      <c r="A3677" s="1" t="n">
        <v>3205</v>
      </c>
      <c r="B3677" s="3">
        <f>HYPERLINK("https://leetcode.com/problems/maximum-array-hopping-score-i/", "Maximum Array Hopping Score I")</f>
        <v/>
      </c>
      <c r="C3677" s="1" t="n">
        <v>28</v>
      </c>
      <c r="D3677" s="1" t="n">
        <v>1</v>
      </c>
      <c r="E3677" s="4">
        <f>IF(INDEX(C:C, ROW())+INDEX(D:D, ROW())=0, 0, INDEX(C:C, ROW())/(INDEX(C:C, ROW())+INDEX(D:D, ROW())))</f>
        <v/>
      </c>
      <c r="F3677" s="1" t="inlineStr">
        <is>
          <t>Array, Dynamic Programming, Stack, Greedy, Monotonic Stack</t>
        </is>
      </c>
      <c r="G3677" s="1" t="inlineStr">
        <is>
          <t>Medium</t>
        </is>
      </c>
      <c r="H3677" s="1" t="n">
        <v>2658</v>
      </c>
      <c r="I3677" s="1" t="n">
        <v>3458</v>
      </c>
      <c r="J3677" s="9" t="n">
        <v>0.769</v>
      </c>
      <c r="K3677" s="1" t="inlineStr">
        <is>
          <t>No</t>
        </is>
      </c>
      <c r="L3677" s="1" t="inlineStr">
        <is>
          <t>No</t>
        </is>
      </c>
      <c r="M3677" s="1" t="inlineStr">
        <is>
          <t>No</t>
        </is>
      </c>
      <c r="N3677" s="1" t="inlineStr">
        <is>
          <t>Algorithms</t>
        </is>
      </c>
      <c r="O36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77" s="11" t="inlineStr">
        <is>
          <t>To Do</t>
        </is>
      </c>
    </row>
    <row r="3678" ht="15.75" customHeight="1" s="12">
      <c r="A3678" s="1" t="n">
        <v>3435</v>
      </c>
      <c r="B3678" s="3">
        <f>HYPERLINK("https://leetcode.com/problems/frequencies-of-shortest-supersequences/", "Frequencies of Shortest Supersequences")</f>
        <v/>
      </c>
      <c r="C3678" s="1" t="n">
        <v>28</v>
      </c>
      <c r="D3678" s="1" t="n">
        <v>8</v>
      </c>
      <c r="E3678" s="4">
        <f>IF(INDEX(C:C, ROW())+INDEX(D:D, ROW())=0, 0, INDEX(C:C, ROW())/(INDEX(C:C, ROW())+INDEX(D:D, ROW())))</f>
        <v/>
      </c>
      <c r="F3678" s="1" t="inlineStr">
        <is>
          <t>Array, String, Bit Manipulation, Graph Theory, Topological Sort, Enumeration</t>
        </is>
      </c>
      <c r="G3678" s="1" t="inlineStr">
        <is>
          <t>Hard</t>
        </is>
      </c>
      <c r="H3678" s="1" t="n">
        <v>2996</v>
      </c>
      <c r="I3678" s="1" t="n">
        <v>13413</v>
      </c>
      <c r="J3678" s="9" t="n">
        <v>0.223</v>
      </c>
      <c r="K3678" s="1" t="inlineStr">
        <is>
          <t>Yes</t>
        </is>
      </c>
      <c r="L3678" s="1" t="inlineStr">
        <is>
          <t>No</t>
        </is>
      </c>
      <c r="M3678" s="1" t="inlineStr">
        <is>
          <t>No</t>
        </is>
      </c>
      <c r="N3678" s="1" t="inlineStr">
        <is>
          <t>Algorithms</t>
        </is>
      </c>
      <c r="O36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78" s="11" t="inlineStr">
        <is>
          <t>To Do</t>
        </is>
      </c>
    </row>
    <row r="3679" ht="15.75" customHeight="1" s="12">
      <c r="A3679" s="1" t="n">
        <v>3501</v>
      </c>
      <c r="B3679" s="3">
        <f>HYPERLINK("https://leetcode.com/problems/maximize-active-section-with-trade-ii/", "Maximize Active Section with Trade II")</f>
        <v/>
      </c>
      <c r="C3679" s="1" t="n">
        <v>28</v>
      </c>
      <c r="D3679" s="1" t="n">
        <v>10</v>
      </c>
      <c r="E3679" s="4">
        <f>IF(INDEX(C:C, ROW())+INDEX(D:D, ROW())=0, 0, INDEX(C:C, ROW())/(INDEX(C:C, ROW())+INDEX(D:D, ROW())))</f>
        <v/>
      </c>
      <c r="F3679" s="1" t="inlineStr">
        <is>
          <t>Array, String, Binary Search, Segment Tree</t>
        </is>
      </c>
      <c r="G3679" s="1" t="inlineStr">
        <is>
          <t>Hard</t>
        </is>
      </c>
      <c r="H3679" s="1" t="n">
        <v>1833</v>
      </c>
      <c r="I3679" s="1" t="n">
        <v>8723</v>
      </c>
      <c r="J3679" s="9" t="n">
        <v>0.21</v>
      </c>
      <c r="K3679" s="1" t="inlineStr">
        <is>
          <t>Yes</t>
        </is>
      </c>
      <c r="L3679" s="1" t="inlineStr">
        <is>
          <t>No</t>
        </is>
      </c>
      <c r="M3679" s="1" t="inlineStr">
        <is>
          <t>No</t>
        </is>
      </c>
      <c r="N3679" s="1" t="inlineStr">
        <is>
          <t>Algorithms</t>
        </is>
      </c>
      <c r="O36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79" s="11" t="inlineStr">
        <is>
          <t>To Do</t>
        </is>
      </c>
    </row>
    <row r="3680" ht="15.75" customHeight="1" s="12">
      <c r="A3680" s="1" t="n">
        <v>3700</v>
      </c>
      <c r="B3680" s="3">
        <f>HYPERLINK("https://leetcode.com/problems/number-of-zigzag-arrays-ii/", "Number of ZigZag Arrays II")</f>
        <v/>
      </c>
      <c r="C3680" s="1" t="n">
        <v>28</v>
      </c>
      <c r="D3680" s="1" t="n">
        <v>4</v>
      </c>
      <c r="E3680" s="4">
        <f>IF(INDEX(C:C, ROW())+INDEX(D:D, ROW())=0, 0, INDEX(C:C, ROW())/(INDEX(C:C, ROW())+INDEX(D:D, ROW())))</f>
        <v/>
      </c>
      <c r="F3680" s="1" t="inlineStr">
        <is>
          <t>Math, Dynamic Programming</t>
        </is>
      </c>
      <c r="G3680" s="1" t="inlineStr">
        <is>
          <t>Hard</t>
        </is>
      </c>
      <c r="H3680" s="1" t="n">
        <v>14834</v>
      </c>
      <c r="I3680" s="1" t="n">
        <v>25788</v>
      </c>
      <c r="J3680" s="9" t="n">
        <v>0.575</v>
      </c>
      <c r="K3680" s="1" t="inlineStr">
        <is>
          <t>Yes</t>
        </is>
      </c>
      <c r="L3680" s="1" t="inlineStr">
        <is>
          <t>No</t>
        </is>
      </c>
      <c r="M3680" s="1" t="inlineStr">
        <is>
          <t>No</t>
        </is>
      </c>
      <c r="N3680" s="1" t="inlineStr">
        <is>
          <t>Algorithms</t>
        </is>
      </c>
      <c r="O36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80" s="11" t="inlineStr">
        <is>
          <t>To Do</t>
        </is>
      </c>
    </row>
    <row r="3681" ht="15.75" customHeight="1" s="12">
      <c r="A3681" s="1" t="n">
        <v>3793</v>
      </c>
      <c r="B3681" s="3">
        <f>HYPERLINK("https://leetcode.com/problems/find-users-with-high-token-usage/", "Find Users with High Token Usage")</f>
        <v/>
      </c>
      <c r="C3681" s="1" t="n">
        <v>28</v>
      </c>
      <c r="D3681" s="1" t="n">
        <v>3</v>
      </c>
      <c r="E3681" s="4">
        <f>IF(INDEX(C:C, ROW())+INDEX(D:D, ROW())=0, 0, INDEX(C:C, ROW())/(INDEX(C:C, ROW())+INDEX(D:D, ROW())))</f>
        <v/>
      </c>
      <c r="F3681" s="2" t="n"/>
      <c r="G3681" s="1" t="inlineStr">
        <is>
          <t>Easy</t>
        </is>
      </c>
      <c r="H3681" s="1" t="n">
        <v>10078</v>
      </c>
      <c r="I3681" s="1" t="n">
        <v>17754</v>
      </c>
      <c r="J3681" s="9" t="n">
        <v>0.5679999999999999</v>
      </c>
      <c r="K3681" s="1" t="inlineStr">
        <is>
          <t>Yes</t>
        </is>
      </c>
      <c r="L3681" s="1" t="inlineStr">
        <is>
          <t>No</t>
        </is>
      </c>
      <c r="M3681" s="1" t="inlineStr">
        <is>
          <t>No</t>
        </is>
      </c>
      <c r="N3681" s="1" t="inlineStr">
        <is>
          <t>Database</t>
        </is>
      </c>
      <c r="O36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81" s="13" t="inlineStr">
        <is>
          <t>Done</t>
        </is>
      </c>
    </row>
    <row r="3682" ht="15.75" customHeight="1" s="12">
      <c r="A3682" s="1" t="n">
        <v>1990</v>
      </c>
      <c r="B3682" s="3">
        <f>HYPERLINK("https://leetcode.com/problems/count-the-number-of-experiments/", "Count the Number of Experiments")</f>
        <v/>
      </c>
      <c r="C3682" s="1" t="n">
        <v>27</v>
      </c>
      <c r="D3682" s="1" t="n">
        <v>203</v>
      </c>
      <c r="E3682" s="4">
        <f>IF(INDEX(C:C, ROW())+INDEX(D:D, ROW())=0, 0, INDEX(C:C, ROW())/(INDEX(C:C, ROW())+INDEX(D:D, ROW())))</f>
        <v/>
      </c>
      <c r="F3682" s="1" t="inlineStr">
        <is>
          <t>Database</t>
        </is>
      </c>
      <c r="G3682" s="1" t="inlineStr">
        <is>
          <t>Medium</t>
        </is>
      </c>
      <c r="H3682" s="1" t="n">
        <v>9934</v>
      </c>
      <c r="I3682" s="1" t="n">
        <v>20312</v>
      </c>
      <c r="J3682" s="9" t="n">
        <v>0.489</v>
      </c>
      <c r="K3682" s="1" t="inlineStr">
        <is>
          <t>No</t>
        </is>
      </c>
      <c r="L3682" s="1" t="inlineStr">
        <is>
          <t>No</t>
        </is>
      </c>
      <c r="M3682" s="1" t="inlineStr">
        <is>
          <t>No</t>
        </is>
      </c>
      <c r="N3682" s="1" t="inlineStr">
        <is>
          <t>Database</t>
        </is>
      </c>
      <c r="O36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82" s="11" t="inlineStr">
        <is>
          <t>To Do</t>
        </is>
      </c>
    </row>
    <row r="3683" ht="15.75" customHeight="1" s="12">
      <c r="A3683" s="1" t="n">
        <v>2688</v>
      </c>
      <c r="B3683" s="3">
        <f>HYPERLINK("https://leetcode.com/problems/find-active-users/", "Find Active Users")</f>
        <v/>
      </c>
      <c r="C3683" s="1" t="n">
        <v>27</v>
      </c>
      <c r="D3683" s="1" t="n">
        <v>8</v>
      </c>
      <c r="E3683" s="4">
        <f>IF(INDEX(C:C, ROW())+INDEX(D:D, ROW())=0, 0, INDEX(C:C, ROW())/(INDEX(C:C, ROW())+INDEX(D:D, ROW())))</f>
        <v/>
      </c>
      <c r="F3683" s="1" t="inlineStr">
        <is>
          <t>Database</t>
        </is>
      </c>
      <c r="G3683" s="1" t="inlineStr">
        <is>
          <t>Medium</t>
        </is>
      </c>
      <c r="H3683" s="1" t="n">
        <v>6120</v>
      </c>
      <c r="I3683" s="1" t="n">
        <v>13581</v>
      </c>
      <c r="J3683" s="9" t="n">
        <v>0.451</v>
      </c>
      <c r="K3683" s="1" t="inlineStr">
        <is>
          <t>No</t>
        </is>
      </c>
      <c r="L3683" s="1" t="inlineStr">
        <is>
          <t>No</t>
        </is>
      </c>
      <c r="M3683" s="1" t="inlineStr">
        <is>
          <t>No</t>
        </is>
      </c>
      <c r="N3683" s="1" t="inlineStr">
        <is>
          <t>Database</t>
        </is>
      </c>
      <c r="O36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83" s="11" t="inlineStr">
        <is>
          <t>To Do</t>
        </is>
      </c>
    </row>
    <row r="3684" ht="15.75" customHeight="1" s="12">
      <c r="A3684" s="1" t="n">
        <v>2753</v>
      </c>
      <c r="B3684" s="3">
        <f>HYPERLINK("https://leetcode.com/problems/count-houses-in-a-circular-street-ii/", "Count Houses in a Circular Street II")</f>
        <v/>
      </c>
      <c r="C3684" s="1" t="n">
        <v>27</v>
      </c>
      <c r="D3684" s="1" t="n">
        <v>3</v>
      </c>
      <c r="E3684" s="4">
        <f>IF(INDEX(C:C, ROW())+INDEX(D:D, ROW())=0, 0, INDEX(C:C, ROW())/(INDEX(C:C, ROW())+INDEX(D:D, ROW())))</f>
        <v/>
      </c>
      <c r="F3684" s="2" t="n"/>
      <c r="G3684" s="1" t="inlineStr">
        <is>
          <t>Hard</t>
        </is>
      </c>
      <c r="H3684" s="1" t="n">
        <v>952</v>
      </c>
      <c r="I3684" s="1" t="n">
        <v>1540</v>
      </c>
      <c r="J3684" s="9" t="n">
        <v>0.618</v>
      </c>
      <c r="K3684" s="1" t="inlineStr">
        <is>
          <t>No</t>
        </is>
      </c>
      <c r="L3684" s="1" t="inlineStr">
        <is>
          <t>Yes</t>
        </is>
      </c>
      <c r="M3684" s="1" t="inlineStr">
        <is>
          <t>No</t>
        </is>
      </c>
      <c r="N3684" s="1" t="inlineStr">
        <is>
          <t>Algorithms</t>
        </is>
      </c>
      <c r="O36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84" s="11" t="inlineStr">
        <is>
          <t>To Do</t>
        </is>
      </c>
    </row>
    <row r="3685" ht="15.75" customHeight="1" s="12">
      <c r="A3685" s="1" t="n">
        <v>2796</v>
      </c>
      <c r="B3685" s="3">
        <f>HYPERLINK("https://leetcode.com/problems/repeat-string/", "Repeat String")</f>
        <v/>
      </c>
      <c r="C3685" s="1" t="n">
        <v>26</v>
      </c>
      <c r="D3685" s="1" t="n">
        <v>2</v>
      </c>
      <c r="E3685" s="4">
        <f>IF(INDEX(C:C, ROW())+INDEX(D:D, ROW())=0, 0, INDEX(C:C, ROW())/(INDEX(C:C, ROW())+INDEX(D:D, ROW())))</f>
        <v/>
      </c>
      <c r="F3685" s="2" t="n"/>
      <c r="G3685" s="1" t="inlineStr">
        <is>
          <t>Easy</t>
        </is>
      </c>
      <c r="H3685" s="1" t="n">
        <v>3889</v>
      </c>
      <c r="I3685" s="1" t="n">
        <v>4178</v>
      </c>
      <c r="J3685" s="9" t="n">
        <v>0.931</v>
      </c>
      <c r="K3685" s="1" t="inlineStr">
        <is>
          <t>No</t>
        </is>
      </c>
      <c r="L3685" s="1" t="inlineStr">
        <is>
          <t>Yes</t>
        </is>
      </c>
      <c r="M3685" s="1" t="inlineStr">
        <is>
          <t>No</t>
        </is>
      </c>
      <c r="N3685" s="1" t="inlineStr">
        <is>
          <t>JavaScript</t>
        </is>
      </c>
      <c r="O36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85" s="11" t="inlineStr">
        <is>
          <t>To Do</t>
        </is>
      </c>
    </row>
    <row r="3686" ht="15.75" customHeight="1" s="12">
      <c r="A3686" s="1" t="n">
        <v>3569</v>
      </c>
      <c r="B3686" s="3">
        <f>HYPERLINK("https://leetcode.com/problems/maximize-count-of-distinct-primes-after-split/", "Maximize Count of Distinct Primes After Split")</f>
        <v/>
      </c>
      <c r="C3686" s="1" t="n">
        <v>26</v>
      </c>
      <c r="D3686" s="1" t="n">
        <v>7</v>
      </c>
      <c r="E3686" s="4">
        <f>IF(INDEX(C:C, ROW())+INDEX(D:D, ROW())=0, 0, INDEX(C:C, ROW())/(INDEX(C:C, ROW())+INDEX(D:D, ROW())))</f>
        <v/>
      </c>
      <c r="F3686" s="1" t="inlineStr">
        <is>
          <t>Array, Math, Segment Tree, Number Theory</t>
        </is>
      </c>
      <c r="G3686" s="1" t="inlineStr">
        <is>
          <t>Hard</t>
        </is>
      </c>
      <c r="H3686" s="1" t="n">
        <v>2931</v>
      </c>
      <c r="I3686" s="1" t="n">
        <v>15674</v>
      </c>
      <c r="J3686" s="9" t="n">
        <v>0.187</v>
      </c>
      <c r="K3686" s="1" t="inlineStr">
        <is>
          <t>Yes</t>
        </is>
      </c>
      <c r="L3686" s="1" t="inlineStr">
        <is>
          <t>No</t>
        </is>
      </c>
      <c r="M3686" s="1" t="inlineStr">
        <is>
          <t>No</t>
        </is>
      </c>
      <c r="N3686" s="1" t="inlineStr">
        <is>
          <t>Algorithms</t>
        </is>
      </c>
      <c r="O36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86" s="11" t="inlineStr">
        <is>
          <t>To Do</t>
        </is>
      </c>
    </row>
    <row r="3687" ht="15.75" customHeight="1" s="12">
      <c r="A3687" s="1" t="n">
        <v>3894</v>
      </c>
      <c r="B3687" s="3">
        <f>HYPERLINK("https://leetcode.com/problems/traffic-signal-color/", "Traffic Signal Color")</f>
        <v/>
      </c>
      <c r="C3687" s="1" t="n">
        <v>26</v>
      </c>
      <c r="D3687" s="1" t="n">
        <v>5</v>
      </c>
      <c r="E3687" s="4">
        <f>IF(INDEX(C:C, ROW())+INDEX(D:D, ROW())=0, 0, INDEX(C:C, ROW())/(INDEX(C:C, ROW())+INDEX(D:D, ROW())))</f>
        <v/>
      </c>
      <c r="F3687" s="2" t="n"/>
      <c r="G3687" s="1" t="inlineStr">
        <is>
          <t>Easy</t>
        </is>
      </c>
      <c r="H3687" s="1" t="n">
        <v>40547</v>
      </c>
      <c r="I3687" s="1" t="n">
        <v>48812</v>
      </c>
      <c r="J3687" s="9" t="n">
        <v>0.831</v>
      </c>
      <c r="K3687" s="1" t="inlineStr">
        <is>
          <t>Yes</t>
        </is>
      </c>
      <c r="L3687" s="1" t="inlineStr">
        <is>
          <t>No</t>
        </is>
      </c>
      <c r="M3687" s="1" t="inlineStr">
        <is>
          <t>No</t>
        </is>
      </c>
      <c r="N3687" s="1" t="inlineStr">
        <is>
          <t>Algorithms</t>
        </is>
      </c>
      <c r="O36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87" s="13" t="inlineStr">
        <is>
          <t>Done</t>
        </is>
      </c>
    </row>
    <row r="3688" ht="15.75" customHeight="1" s="12">
      <c r="A3688" s="1" t="n">
        <v>3912</v>
      </c>
      <c r="B3688" s="3">
        <f>HYPERLINK("https://leetcode.com/problems/valid-elements-in-an-array/", "Valid Elements in an Array")</f>
        <v/>
      </c>
      <c r="C3688" s="1" t="n">
        <v>26</v>
      </c>
      <c r="D3688" s="1" t="n">
        <v>1</v>
      </c>
      <c r="E3688" s="4">
        <f>IF(INDEX(C:C, ROW())+INDEX(D:D, ROW())=0, 0, INDEX(C:C, ROW())/(INDEX(C:C, ROW())+INDEX(D:D, ROW())))</f>
        <v/>
      </c>
      <c r="F3688" s="2" t="n"/>
      <c r="G3688" s="1" t="inlineStr">
        <is>
          <t>Easy</t>
        </is>
      </c>
      <c r="H3688" s="1" t="n">
        <v>34694</v>
      </c>
      <c r="I3688" s="1" t="n">
        <v>60914</v>
      </c>
      <c r="J3688" s="9" t="n">
        <v>0.57</v>
      </c>
      <c r="K3688" s="1" t="inlineStr">
        <is>
          <t>Yes</t>
        </is>
      </c>
      <c r="L3688" s="1" t="inlineStr">
        <is>
          <t>No</t>
        </is>
      </c>
      <c r="M3688" s="1" t="inlineStr">
        <is>
          <t>No</t>
        </is>
      </c>
      <c r="N3688" s="1" t="inlineStr">
        <is>
          <t>Algorithms</t>
        </is>
      </c>
      <c r="O36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88" s="13" t="inlineStr">
        <is>
          <t>Done</t>
        </is>
      </c>
    </row>
    <row r="3689" ht="15.75" customHeight="1" s="12">
      <c r="A3689" s="1" t="n">
        <v>2230</v>
      </c>
      <c r="B3689" s="3">
        <f>HYPERLINK("https://leetcode.com/problems/the-users-that-are-eligible-for-discount/", "The Users That Are Eligible for Discount")</f>
        <v/>
      </c>
      <c r="C3689" s="1" t="n">
        <v>25</v>
      </c>
      <c r="D3689" s="1" t="n">
        <v>45</v>
      </c>
      <c r="E3689" s="4">
        <f>IF(INDEX(C:C, ROW())+INDEX(D:D, ROW())=0, 0, INDEX(C:C, ROW())/(INDEX(C:C, ROW())+INDEX(D:D, ROW())))</f>
        <v/>
      </c>
      <c r="F3689" s="1" t="inlineStr">
        <is>
          <t>Database</t>
        </is>
      </c>
      <c r="G3689" s="1" t="inlineStr">
        <is>
          <t>Easy</t>
        </is>
      </c>
      <c r="H3689" s="1" t="n">
        <v>7622</v>
      </c>
      <c r="I3689" s="1" t="n">
        <v>14967</v>
      </c>
      <c r="J3689" s="9" t="n">
        <v>0.509</v>
      </c>
      <c r="K3689" s="1" t="inlineStr">
        <is>
          <t>No</t>
        </is>
      </c>
      <c r="L3689" s="1" t="inlineStr">
        <is>
          <t>No</t>
        </is>
      </c>
      <c r="M3689" s="1" t="inlineStr">
        <is>
          <t>No</t>
        </is>
      </c>
      <c r="N3689" s="1" t="inlineStr">
        <is>
          <t>Database</t>
        </is>
      </c>
      <c r="O36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89" s="11" t="inlineStr">
        <is>
          <t>To Do</t>
        </is>
      </c>
    </row>
    <row r="3690" ht="15.75" customHeight="1" s="12">
      <c r="A3690" s="1" t="n">
        <v>2524</v>
      </c>
      <c r="B3690" s="3">
        <f>HYPERLINK("https://leetcode.com/problems/maximum-frequency-score-of-a-subarray/", "Maximum Frequency Score of a Subarray")</f>
        <v/>
      </c>
      <c r="C3690" s="1" t="n">
        <v>25</v>
      </c>
      <c r="D3690" s="1" t="n">
        <v>7</v>
      </c>
      <c r="E3690" s="4">
        <f>IF(INDEX(C:C, ROW())+INDEX(D:D, ROW())=0, 0, INDEX(C:C, ROW())/(INDEX(C:C, ROW())+INDEX(D:D, ROW())))</f>
        <v/>
      </c>
      <c r="F3690" s="1" t="inlineStr">
        <is>
          <t>Array, Hash Table, Math, Stack, Sliding Window</t>
        </is>
      </c>
      <c r="G3690" s="1" t="inlineStr">
        <is>
          <t>Hard</t>
        </is>
      </c>
      <c r="H3690" s="1" t="n">
        <v>1683</v>
      </c>
      <c r="I3690" s="1" t="n">
        <v>4597</v>
      </c>
      <c r="J3690" s="9" t="n">
        <v>0.366</v>
      </c>
      <c r="K3690" s="1" t="inlineStr">
        <is>
          <t>No</t>
        </is>
      </c>
      <c r="L3690" s="1" t="inlineStr">
        <is>
          <t>No</t>
        </is>
      </c>
      <c r="M3690" s="1" t="inlineStr">
        <is>
          <t>No</t>
        </is>
      </c>
      <c r="N3690" s="1" t="inlineStr">
        <is>
          <t>Algorithms</t>
        </is>
      </c>
      <c r="O36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90" s="11" t="inlineStr">
        <is>
          <t>To Do</t>
        </is>
      </c>
    </row>
    <row r="3691" ht="15.75" customHeight="1" s="12">
      <c r="A3691" s="1" t="n">
        <v>2814</v>
      </c>
      <c r="B3691" s="3">
        <f>HYPERLINK("https://leetcode.com/problems/minimum-time-takes-to-reach-destination-without-drowning/", "Minimum Time Takes to Reach Destination Without Drowning")</f>
        <v/>
      </c>
      <c r="C3691" s="1" t="n">
        <v>25</v>
      </c>
      <c r="D3691" s="1" t="n">
        <v>2</v>
      </c>
      <c r="E3691" s="4">
        <f>IF(INDEX(C:C, ROW())+INDEX(D:D, ROW())=0, 0, INDEX(C:C, ROW())/(INDEX(C:C, ROW())+INDEX(D:D, ROW())))</f>
        <v/>
      </c>
      <c r="F3691" s="1" t="inlineStr">
        <is>
          <t>Array, Breadth-First Search, Matrix</t>
        </is>
      </c>
      <c r="G3691" s="1" t="inlineStr">
        <is>
          <t>Hard</t>
        </is>
      </c>
      <c r="H3691" s="1" t="n">
        <v>1590</v>
      </c>
      <c r="I3691" s="1" t="n">
        <v>2912</v>
      </c>
      <c r="J3691" s="9" t="n">
        <v>0.546</v>
      </c>
      <c r="K3691" s="1" t="inlineStr">
        <is>
          <t>No</t>
        </is>
      </c>
      <c r="L3691" s="1" t="inlineStr">
        <is>
          <t>No</t>
        </is>
      </c>
      <c r="M3691" s="1" t="inlineStr">
        <is>
          <t>No</t>
        </is>
      </c>
      <c r="N3691" s="1" t="inlineStr">
        <is>
          <t>Algorithms</t>
        </is>
      </c>
      <c r="O36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91" s="11" t="inlineStr">
        <is>
          <t>To Do</t>
        </is>
      </c>
    </row>
    <row r="3692" ht="15.75" customHeight="1" s="12">
      <c r="A3692" s="1" t="n">
        <v>2927</v>
      </c>
      <c r="B3692" s="3">
        <f>HYPERLINK("https://leetcode.com/problems/distribute-candies-among-children-iii/", "Distribute Candies Among Children III")</f>
        <v/>
      </c>
      <c r="C3692" s="1" t="n">
        <v>25</v>
      </c>
      <c r="D3692" s="1" t="n">
        <v>7</v>
      </c>
      <c r="E3692" s="4">
        <f>IF(INDEX(C:C, ROW())+INDEX(D:D, ROW())=0, 0, INDEX(C:C, ROW())/(INDEX(C:C, ROW())+INDEX(D:D, ROW())))</f>
        <v/>
      </c>
      <c r="F3692" s="1" t="inlineStr">
        <is>
          <t>Math, Combinatorics</t>
        </is>
      </c>
      <c r="G3692" s="1" t="inlineStr">
        <is>
          <t>Hard</t>
        </is>
      </c>
      <c r="H3692" s="1" t="n">
        <v>3035</v>
      </c>
      <c r="I3692" s="1" t="n">
        <v>5312</v>
      </c>
      <c r="J3692" s="9" t="n">
        <v>0.571</v>
      </c>
      <c r="K3692" s="1" t="inlineStr">
        <is>
          <t>No</t>
        </is>
      </c>
      <c r="L3692" s="1" t="inlineStr">
        <is>
          <t>Yes</t>
        </is>
      </c>
      <c r="M3692" s="1" t="inlineStr">
        <is>
          <t>No</t>
        </is>
      </c>
      <c r="N3692" s="1" t="inlineStr">
        <is>
          <t>Algorithms</t>
        </is>
      </c>
      <c r="O36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92" s="11" t="inlineStr">
        <is>
          <t>To Do</t>
        </is>
      </c>
    </row>
    <row r="3693" ht="15.75" customHeight="1" s="12">
      <c r="A3693" s="1" t="n">
        <v>3004</v>
      </c>
      <c r="B3693" s="3">
        <f>HYPERLINK("https://leetcode.com/problems/maximum-subtree-of-the-same-color/", "Maximum Subtree of the Same Color")</f>
        <v/>
      </c>
      <c r="C3693" s="1" t="n">
        <v>25</v>
      </c>
      <c r="D3693" s="1" t="n">
        <v>0</v>
      </c>
      <c r="E3693" s="4">
        <f>IF(INDEX(C:C, ROW())+INDEX(D:D, ROW())=0, 0, INDEX(C:C, ROW())/(INDEX(C:C, ROW())+INDEX(D:D, ROW())))</f>
        <v/>
      </c>
      <c r="F3693" s="1" t="inlineStr">
        <is>
          <t>Array, Dynamic Programming, Tree, Depth-First Search</t>
        </is>
      </c>
      <c r="G3693" s="1" t="inlineStr">
        <is>
          <t>Medium</t>
        </is>
      </c>
      <c r="H3693" s="1" t="n">
        <v>2489</v>
      </c>
      <c r="I3693" s="1" t="n">
        <v>4240</v>
      </c>
      <c r="J3693" s="9" t="n">
        <v>0.587</v>
      </c>
      <c r="K3693" s="1" t="inlineStr">
        <is>
          <t>No</t>
        </is>
      </c>
      <c r="L3693" s="1" t="inlineStr">
        <is>
          <t>No</t>
        </is>
      </c>
      <c r="M3693" s="1" t="inlineStr">
        <is>
          <t>No</t>
        </is>
      </c>
      <c r="N3693" s="1" t="inlineStr">
        <is>
          <t>Algorithms</t>
        </is>
      </c>
      <c r="O36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93" s="11" t="inlineStr">
        <is>
          <t>To Do</t>
        </is>
      </c>
    </row>
    <row r="3694" ht="15.75" customHeight="1" s="12">
      <c r="A3694" s="1" t="n">
        <v>2118</v>
      </c>
      <c r="B3694" s="3">
        <f>HYPERLINK("https://leetcode.com/problems/build-the-equation/", "Build the Equation")</f>
        <v/>
      </c>
      <c r="C3694" s="1" t="n">
        <v>24</v>
      </c>
      <c r="D3694" s="1" t="n">
        <v>38</v>
      </c>
      <c r="E3694" s="4">
        <f>IF(INDEX(C:C, ROW())+INDEX(D:D, ROW())=0, 0, INDEX(C:C, ROW())/(INDEX(C:C, ROW())+INDEX(D:D, ROW())))</f>
        <v/>
      </c>
      <c r="F3694" s="1" t="inlineStr">
        <is>
          <t>Database</t>
        </is>
      </c>
      <c r="G3694" s="1" t="inlineStr">
        <is>
          <t>Hard</t>
        </is>
      </c>
      <c r="H3694" s="1" t="n">
        <v>3792</v>
      </c>
      <c r="I3694" s="1" t="n">
        <v>6650</v>
      </c>
      <c r="J3694" s="9" t="n">
        <v>0.57</v>
      </c>
      <c r="K3694" s="1" t="inlineStr">
        <is>
          <t>No</t>
        </is>
      </c>
      <c r="L3694" s="1" t="inlineStr">
        <is>
          <t>No</t>
        </is>
      </c>
      <c r="M3694" s="1" t="inlineStr">
        <is>
          <t>No</t>
        </is>
      </c>
      <c r="N3694" s="1" t="inlineStr">
        <is>
          <t>Database</t>
        </is>
      </c>
      <c r="O36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94" s="11" t="inlineStr">
        <is>
          <t>To Do</t>
        </is>
      </c>
    </row>
    <row r="3695" ht="15.75" customHeight="1" s="12">
      <c r="A3695" s="1" t="n">
        <v>2792</v>
      </c>
      <c r="B3695" s="3">
        <f>HYPERLINK("https://leetcode.com/problems/count-nodes-that-are-great-enough/", "Count Nodes That Are Great Enough")</f>
        <v/>
      </c>
      <c r="C3695" s="1" t="n">
        <v>24</v>
      </c>
      <c r="D3695" s="1" t="n">
        <v>0</v>
      </c>
      <c r="E3695" s="4">
        <f>IF(INDEX(C:C, ROW())+INDEX(D:D, ROW())=0, 0, INDEX(C:C, ROW())/(INDEX(C:C, ROW())+INDEX(D:D, ROW())))</f>
        <v/>
      </c>
      <c r="F3695" s="1" t="inlineStr">
        <is>
          <t>Divide and Conquer, Tree, Depth-First Search, Binary Tree</t>
        </is>
      </c>
      <c r="G3695" s="1" t="inlineStr">
        <is>
          <t>Hard</t>
        </is>
      </c>
      <c r="H3695" s="1" t="n">
        <v>1437</v>
      </c>
      <c r="I3695" s="1" t="n">
        <v>2540</v>
      </c>
      <c r="J3695" s="9" t="n">
        <v>0.5659999999999999</v>
      </c>
      <c r="K3695" s="1" t="inlineStr">
        <is>
          <t>No</t>
        </is>
      </c>
      <c r="L3695" s="1" t="inlineStr">
        <is>
          <t>No</t>
        </is>
      </c>
      <c r="M3695" s="1" t="inlineStr">
        <is>
          <t>No</t>
        </is>
      </c>
      <c r="N3695" s="1" t="inlineStr">
        <is>
          <t>Algorithms</t>
        </is>
      </c>
      <c r="O36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95" s="11" t="inlineStr">
        <is>
          <t>To Do</t>
        </is>
      </c>
    </row>
    <row r="3696" ht="15.75" customHeight="1" s="12">
      <c r="A3696" s="1" t="n">
        <v>2936</v>
      </c>
      <c r="B3696" s="3">
        <f>HYPERLINK("https://leetcode.com/problems/number-of-equal-numbers-blocks/", "Number of Equal Numbers Blocks")</f>
        <v/>
      </c>
      <c r="C3696" s="1" t="n">
        <v>24</v>
      </c>
      <c r="D3696" s="1" t="n">
        <v>8</v>
      </c>
      <c r="E3696" s="4">
        <f>IF(INDEX(C:C, ROW())+INDEX(D:D, ROW())=0, 0, INDEX(C:C, ROW())/(INDEX(C:C, ROW())+INDEX(D:D, ROW())))</f>
        <v/>
      </c>
      <c r="F3696" s="1" t="inlineStr">
        <is>
          <t>Array, Binary Search, Interactive</t>
        </is>
      </c>
      <c r="G3696" s="1" t="inlineStr">
        <is>
          <t>Medium</t>
        </is>
      </c>
      <c r="H3696" s="1" t="n">
        <v>2456</v>
      </c>
      <c r="I3696" s="1" t="n">
        <v>3932</v>
      </c>
      <c r="J3696" s="9" t="n">
        <v>0.625</v>
      </c>
      <c r="K3696" s="1" t="inlineStr">
        <is>
          <t>No</t>
        </is>
      </c>
      <c r="L3696" s="1" t="inlineStr">
        <is>
          <t>No</t>
        </is>
      </c>
      <c r="M3696" s="1" t="inlineStr">
        <is>
          <t>No</t>
        </is>
      </c>
      <c r="N3696" s="1" t="inlineStr">
        <is>
          <t>Algorithms</t>
        </is>
      </c>
      <c r="O36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96" s="11" t="inlineStr">
        <is>
          <t>To Do</t>
        </is>
      </c>
    </row>
    <row r="3697" ht="15.75" customHeight="1" s="12">
      <c r="A3697" s="1" t="n">
        <v>2979</v>
      </c>
      <c r="B3697" s="3">
        <f>HYPERLINK("https://leetcode.com/problems/most-expensive-item-that-can-not-be-bought/", "Most Expensive Item That Can Not Be Bought")</f>
        <v/>
      </c>
      <c r="C3697" s="1" t="n">
        <v>24</v>
      </c>
      <c r="D3697" s="1" t="n">
        <v>28</v>
      </c>
      <c r="E3697" s="4">
        <f>IF(INDEX(C:C, ROW())+INDEX(D:D, ROW())=0, 0, INDEX(C:C, ROW())/(INDEX(C:C, ROW())+INDEX(D:D, ROW())))</f>
        <v/>
      </c>
      <c r="F3697" s="1" t="inlineStr">
        <is>
          <t>Math, Dynamic Programming, Number Theory</t>
        </is>
      </c>
      <c r="G3697" s="1" t="inlineStr">
        <is>
          <t>Medium</t>
        </is>
      </c>
      <c r="H3697" s="1" t="n">
        <v>6480</v>
      </c>
      <c r="I3697" s="1" t="n">
        <v>8076</v>
      </c>
      <c r="J3697" s="9" t="n">
        <v>0.802</v>
      </c>
      <c r="K3697" s="1" t="inlineStr">
        <is>
          <t>No</t>
        </is>
      </c>
      <c r="L3697" s="1" t="inlineStr">
        <is>
          <t>No</t>
        </is>
      </c>
      <c r="M3697" s="1" t="inlineStr">
        <is>
          <t>No</t>
        </is>
      </c>
      <c r="N3697" s="1" t="inlineStr">
        <is>
          <t>Algorithms</t>
        </is>
      </c>
      <c r="O36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97" s="11" t="inlineStr">
        <is>
          <t>To Do</t>
        </is>
      </c>
    </row>
    <row r="3698" ht="15.75" customHeight="1" s="12">
      <c r="A3698" s="1" t="n">
        <v>3173</v>
      </c>
      <c r="B3698" s="3">
        <f>HYPERLINK("https://leetcode.com/problems/bitwise-or-of-adjacent-elements/", "Bitwise OR of Adjacent Elements")</f>
        <v/>
      </c>
      <c r="C3698" s="1" t="n">
        <v>24</v>
      </c>
      <c r="D3698" s="1" t="n">
        <v>2</v>
      </c>
      <c r="E3698" s="4">
        <f>IF(INDEX(C:C, ROW())+INDEX(D:D, ROW())=0, 0, INDEX(C:C, ROW())/(INDEX(C:C, ROW())+INDEX(D:D, ROW())))</f>
        <v/>
      </c>
      <c r="F3698" s="1" t="inlineStr">
        <is>
          <t>Array, Bit Manipulation</t>
        </is>
      </c>
      <c r="G3698" s="1" t="inlineStr">
        <is>
          <t>Easy</t>
        </is>
      </c>
      <c r="H3698" s="1" t="n">
        <v>6638</v>
      </c>
      <c r="I3698" s="1" t="n">
        <v>7001</v>
      </c>
      <c r="J3698" s="9" t="n">
        <v>0.948</v>
      </c>
      <c r="K3698" s="1" t="inlineStr">
        <is>
          <t>No</t>
        </is>
      </c>
      <c r="L3698" s="1" t="inlineStr">
        <is>
          <t>No</t>
        </is>
      </c>
      <c r="M3698" s="1" t="inlineStr">
        <is>
          <t>No</t>
        </is>
      </c>
      <c r="N3698" s="1" t="inlineStr">
        <is>
          <t>Algorithms</t>
        </is>
      </c>
      <c r="O36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98" s="11" t="inlineStr">
        <is>
          <t>To Do</t>
        </is>
      </c>
    </row>
    <row r="3699" ht="15.75" customHeight="1" s="12">
      <c r="A3699" s="1" t="n">
        <v>3395</v>
      </c>
      <c r="B3699" s="3">
        <f>HYPERLINK("https://leetcode.com/problems/subsequences-with-a-unique-middle-mode-i/", "Subsequences with a Unique Middle Mode I")</f>
        <v/>
      </c>
      <c r="C3699" s="1" t="n">
        <v>24</v>
      </c>
      <c r="D3699" s="1" t="n">
        <v>25</v>
      </c>
      <c r="E3699" s="4">
        <f>IF(INDEX(C:C, ROW())+INDEX(D:D, ROW())=0, 0, INDEX(C:C, ROW())/(INDEX(C:C, ROW())+INDEX(D:D, ROW())))</f>
        <v/>
      </c>
      <c r="F3699" s="1" t="inlineStr">
        <is>
          <t>Array, Hash Table, Math, Combinatorics</t>
        </is>
      </c>
      <c r="G3699" s="1" t="inlineStr">
        <is>
          <t>Hard</t>
        </is>
      </c>
      <c r="H3699" s="1" t="n">
        <v>2780</v>
      </c>
      <c r="I3699" s="1" t="n">
        <v>13037</v>
      </c>
      <c r="J3699" s="9" t="n">
        <v>0.213</v>
      </c>
      <c r="K3699" s="1" t="inlineStr">
        <is>
          <t>Yes</t>
        </is>
      </c>
      <c r="L3699" s="1" t="inlineStr">
        <is>
          <t>No</t>
        </is>
      </c>
      <c r="M3699" s="1" t="inlineStr">
        <is>
          <t>No</t>
        </is>
      </c>
      <c r="N3699" s="1" t="inlineStr">
        <is>
          <t>Algorithms</t>
        </is>
      </c>
      <c r="O36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699" s="11" t="inlineStr">
        <is>
          <t>To Do</t>
        </is>
      </c>
    </row>
    <row r="3700" ht="15.75" customHeight="1" s="12">
      <c r="A3700" s="1" t="n">
        <v>3832</v>
      </c>
      <c r="B3700" s="3">
        <f>HYPERLINK("https://leetcode.com/problems/find-users-with-persistent-behavior-patterns/", "Find Users with Persistent Behavior Patterns")</f>
        <v/>
      </c>
      <c r="C3700" s="1" t="n">
        <v>24</v>
      </c>
      <c r="D3700" s="1" t="n">
        <v>2</v>
      </c>
      <c r="E3700" s="4">
        <f>IF(INDEX(C:C, ROW())+INDEX(D:D, ROW())=0, 0, INDEX(C:C, ROW())/(INDEX(C:C, ROW())+INDEX(D:D, ROW())))</f>
        <v/>
      </c>
      <c r="F3700" s="2" t="n"/>
      <c r="G3700" s="1" t="inlineStr">
        <is>
          <t>Hard</t>
        </is>
      </c>
      <c r="H3700" s="1" t="n">
        <v>3705</v>
      </c>
      <c r="I3700" s="1" t="n">
        <v>5767</v>
      </c>
      <c r="J3700" s="9" t="n">
        <v>0.642</v>
      </c>
      <c r="K3700" s="1" t="inlineStr">
        <is>
          <t>Yes</t>
        </is>
      </c>
      <c r="L3700" s="1" t="inlineStr">
        <is>
          <t>No</t>
        </is>
      </c>
      <c r="M3700" s="1" t="inlineStr">
        <is>
          <t>No</t>
        </is>
      </c>
      <c r="N3700" s="1" t="inlineStr">
        <is>
          <t>Database</t>
        </is>
      </c>
      <c r="O37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00" s="11" t="inlineStr">
        <is>
          <t>To Do</t>
        </is>
      </c>
    </row>
    <row r="3701" ht="15.75" customHeight="1" s="12">
      <c r="A3701" s="1" t="n">
        <v>3911</v>
      </c>
      <c r="B3701" s="3">
        <f>HYPERLINK("https://leetcode.com/problems/k-th-smallest-remaining-even-integer-in-subarray-queries/", "K-th Smallest Remaining Even Integer in Subarray Queries")</f>
        <v/>
      </c>
      <c r="C3701" s="1" t="n">
        <v>24</v>
      </c>
      <c r="D3701" s="1" t="n">
        <v>3</v>
      </c>
      <c r="E3701" s="4">
        <f>IF(INDEX(C:C, ROW())+INDEX(D:D, ROW())=0, 0, INDEX(C:C, ROW())/(INDEX(C:C, ROW())+INDEX(D:D, ROW())))</f>
        <v/>
      </c>
      <c r="F3701" s="2" t="n"/>
      <c r="G3701" s="1" t="inlineStr">
        <is>
          <t>Hard</t>
        </is>
      </c>
      <c r="H3701" s="1" t="n">
        <v>3830</v>
      </c>
      <c r="I3701" s="1" t="n">
        <v>13725</v>
      </c>
      <c r="J3701" s="9" t="n">
        <v>0.279</v>
      </c>
      <c r="K3701" s="1" t="inlineStr">
        <is>
          <t>Yes</t>
        </is>
      </c>
      <c r="L3701" s="1" t="inlineStr">
        <is>
          <t>No</t>
        </is>
      </c>
      <c r="M3701" s="1" t="inlineStr">
        <is>
          <t>No</t>
        </is>
      </c>
      <c r="N3701" s="1" t="inlineStr">
        <is>
          <t>Algorithms</t>
        </is>
      </c>
      <c r="O37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01" s="11" t="inlineStr">
        <is>
          <t>To Do</t>
        </is>
      </c>
    </row>
    <row r="3702" ht="15.75" customHeight="1" s="12">
      <c r="A3702" s="1" t="n">
        <v>2687</v>
      </c>
      <c r="B3702" s="3">
        <f>HYPERLINK("https://leetcode.com/problems/bikes-last-time-used/", "Bikes Last Time Used ")</f>
        <v/>
      </c>
      <c r="C3702" s="1" t="n">
        <v>23</v>
      </c>
      <c r="D3702" s="1" t="n">
        <v>3</v>
      </c>
      <c r="E3702" s="4">
        <f>IF(INDEX(C:C, ROW())+INDEX(D:D, ROW())=0, 0, INDEX(C:C, ROW())/(INDEX(C:C, ROW())+INDEX(D:D, ROW())))</f>
        <v/>
      </c>
      <c r="F3702" s="1" t="inlineStr">
        <is>
          <t>Database</t>
        </is>
      </c>
      <c r="G3702" s="1" t="inlineStr">
        <is>
          <t>Easy</t>
        </is>
      </c>
      <c r="H3702" s="1" t="n">
        <v>6565</v>
      </c>
      <c r="I3702" s="1" t="n">
        <v>8154</v>
      </c>
      <c r="J3702" s="9" t="n">
        <v>0.805</v>
      </c>
      <c r="K3702" s="1" t="inlineStr">
        <is>
          <t>No</t>
        </is>
      </c>
      <c r="L3702" s="1" t="inlineStr">
        <is>
          <t>No</t>
        </is>
      </c>
      <c r="M3702" s="1" t="inlineStr">
        <is>
          <t>No</t>
        </is>
      </c>
      <c r="N3702" s="1" t="inlineStr">
        <is>
          <t>Database</t>
        </is>
      </c>
      <c r="O37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02" s="11" t="inlineStr">
        <is>
          <t>To Do</t>
        </is>
      </c>
    </row>
    <row r="3703" ht="15.75" customHeight="1" s="12">
      <c r="A3703" s="1" t="n">
        <v>2774</v>
      </c>
      <c r="B3703" s="3">
        <f>HYPERLINK("https://leetcode.com/problems/array-upper-bound/", "Array Upper Bound")</f>
        <v/>
      </c>
      <c r="C3703" s="1" t="n">
        <v>23</v>
      </c>
      <c r="D3703" s="1" t="n">
        <v>2</v>
      </c>
      <c r="E3703" s="4">
        <f>IF(INDEX(C:C, ROW())+INDEX(D:D, ROW())=0, 0, INDEX(C:C, ROW())/(INDEX(C:C, ROW())+INDEX(D:D, ROW())))</f>
        <v/>
      </c>
      <c r="F3703" s="2" t="n"/>
      <c r="G3703" s="1" t="inlineStr">
        <is>
          <t>Easy</t>
        </is>
      </c>
      <c r="H3703" s="1" t="n">
        <v>2342</v>
      </c>
      <c r="I3703" s="1" t="n">
        <v>2840</v>
      </c>
      <c r="J3703" s="9" t="n">
        <v>0.825</v>
      </c>
      <c r="K3703" s="1" t="inlineStr">
        <is>
          <t>No</t>
        </is>
      </c>
      <c r="L3703" s="1" t="inlineStr">
        <is>
          <t>Yes</t>
        </is>
      </c>
      <c r="M3703" s="1" t="inlineStr">
        <is>
          <t>No</t>
        </is>
      </c>
      <c r="N3703" s="1" t="inlineStr">
        <is>
          <t>JavaScript</t>
        </is>
      </c>
      <c r="O37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03" s="11" t="inlineStr">
        <is>
          <t>To Do</t>
        </is>
      </c>
    </row>
    <row r="3704" ht="15.75" customHeight="1" s="12">
      <c r="A3704" s="1" t="n">
        <v>2893</v>
      </c>
      <c r="B3704" s="3">
        <f>HYPERLINK("https://leetcode.com/problems/calculate-orders-within-each-interval/", "Calculate Orders Within Each Interval")</f>
        <v/>
      </c>
      <c r="C3704" s="1" t="n">
        <v>23</v>
      </c>
      <c r="D3704" s="1" t="n">
        <v>3</v>
      </c>
      <c r="E3704" s="4">
        <f>IF(INDEX(C:C, ROW())+INDEX(D:D, ROW())=0, 0, INDEX(C:C, ROW())/(INDEX(C:C, ROW())+INDEX(D:D, ROW())))</f>
        <v/>
      </c>
      <c r="F3704" s="1" t="inlineStr">
        <is>
          <t>Database</t>
        </is>
      </c>
      <c r="G3704" s="1" t="inlineStr">
        <is>
          <t>Medium</t>
        </is>
      </c>
      <c r="H3704" s="1" t="n">
        <v>4303</v>
      </c>
      <c r="I3704" s="1" t="n">
        <v>6394</v>
      </c>
      <c r="J3704" s="9" t="n">
        <v>0.673</v>
      </c>
      <c r="K3704" s="1" t="inlineStr">
        <is>
          <t>No</t>
        </is>
      </c>
      <c r="L3704" s="1" t="inlineStr">
        <is>
          <t>No</t>
        </is>
      </c>
      <c r="M3704" s="1" t="inlineStr">
        <is>
          <t>No</t>
        </is>
      </c>
      <c r="N3704" s="1" t="inlineStr">
        <is>
          <t>Database</t>
        </is>
      </c>
      <c r="O37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04" s="11" t="inlineStr">
        <is>
          <t>To Do</t>
        </is>
      </c>
    </row>
    <row r="3705" ht="15.75" customHeight="1" s="12">
      <c r="A3705" s="1" t="n">
        <v>2898</v>
      </c>
      <c r="B3705" s="3">
        <f>HYPERLINK("https://leetcode.com/problems/maximum-linear-stock-score/", "Maximum Linear Stock Score")</f>
        <v/>
      </c>
      <c r="C3705" s="1" t="n">
        <v>23</v>
      </c>
      <c r="D3705" s="1" t="n">
        <v>5</v>
      </c>
      <c r="E3705" s="4">
        <f>IF(INDEX(C:C, ROW())+INDEX(D:D, ROW())=0, 0, INDEX(C:C, ROW())/(INDEX(C:C, ROW())+INDEX(D:D, ROW())))</f>
        <v/>
      </c>
      <c r="F3705" s="1" t="inlineStr">
        <is>
          <t>Array, Hash Table</t>
        </is>
      </c>
      <c r="G3705" s="1" t="inlineStr">
        <is>
          <t>Medium</t>
        </is>
      </c>
      <c r="H3705" s="1" t="n">
        <v>1375</v>
      </c>
      <c r="I3705" s="1" t="n">
        <v>2224</v>
      </c>
      <c r="J3705" s="9" t="n">
        <v>0.618</v>
      </c>
      <c r="K3705" s="1" t="inlineStr">
        <is>
          <t>No</t>
        </is>
      </c>
      <c r="L3705" s="1" t="inlineStr">
        <is>
          <t>No</t>
        </is>
      </c>
      <c r="M3705" s="1" t="inlineStr">
        <is>
          <t>No</t>
        </is>
      </c>
      <c r="N3705" s="1" t="inlineStr">
        <is>
          <t>Algorithms</t>
        </is>
      </c>
      <c r="O37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05" s="11" t="inlineStr">
        <is>
          <t>To Do</t>
        </is>
      </c>
    </row>
    <row r="3706" ht="15.75" customHeight="1" s="12">
      <c r="A3706" s="1" t="n">
        <v>2992</v>
      </c>
      <c r="B3706" s="3">
        <f>HYPERLINK("https://leetcode.com/problems/number-of-self-divisible-permutations/", "Number of Self-Divisible Permutations")</f>
        <v/>
      </c>
      <c r="C3706" s="1" t="n">
        <v>23</v>
      </c>
      <c r="D3706" s="1" t="n">
        <v>0</v>
      </c>
      <c r="E3706" s="4">
        <f>IF(INDEX(C:C, ROW())+INDEX(D:D, ROW())=0, 0, INDEX(C:C, ROW())/(INDEX(C:C, ROW())+INDEX(D:D, ROW())))</f>
        <v/>
      </c>
      <c r="F3706" s="1" t="inlineStr">
        <is>
          <t>Array, Math, Dynamic Programming, Backtracking, Bit Manipulation, Number Theory, Bitmask</t>
        </is>
      </c>
      <c r="G3706" s="1" t="inlineStr">
        <is>
          <t>Medium</t>
        </is>
      </c>
      <c r="H3706" s="1" t="n">
        <v>2269</v>
      </c>
      <c r="I3706" s="1" t="n">
        <v>3158</v>
      </c>
      <c r="J3706" s="9" t="n">
        <v>0.718</v>
      </c>
      <c r="K3706" s="1" t="inlineStr">
        <is>
          <t>No</t>
        </is>
      </c>
      <c r="L3706" s="1" t="inlineStr">
        <is>
          <t>No</t>
        </is>
      </c>
      <c r="M3706" s="1" t="inlineStr">
        <is>
          <t>No</t>
        </is>
      </c>
      <c r="N3706" s="1" t="inlineStr">
        <is>
          <t>Algorithms</t>
        </is>
      </c>
      <c r="O37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06" s="11" t="inlineStr">
        <is>
          <t>To Do</t>
        </is>
      </c>
    </row>
    <row r="3707" ht="15.75" customHeight="1" s="12">
      <c r="A3707" s="1" t="n">
        <v>2907</v>
      </c>
      <c r="B3707" s="3">
        <f>HYPERLINK("https://leetcode.com/problems/maximum-profitable-triplets-with-increasing-prices-i/", "Maximum Profitable Triplets With Increasing Prices I")</f>
        <v/>
      </c>
      <c r="C3707" s="1" t="n">
        <v>22</v>
      </c>
      <c r="D3707" s="1" t="n">
        <v>1</v>
      </c>
      <c r="E3707" s="4">
        <f>IF(INDEX(C:C, ROW())+INDEX(D:D, ROW())=0, 0, INDEX(C:C, ROW())/(INDEX(C:C, ROW())+INDEX(D:D, ROW())))</f>
        <v/>
      </c>
      <c r="F3707" s="1" t="inlineStr">
        <is>
          <t>Array, Binary Indexed Tree, Segment Tree</t>
        </is>
      </c>
      <c r="G3707" s="1" t="inlineStr">
        <is>
          <t>Medium</t>
        </is>
      </c>
      <c r="H3707" s="1" t="n">
        <v>1916</v>
      </c>
      <c r="I3707" s="1" t="n">
        <v>3429</v>
      </c>
      <c r="J3707" s="9" t="n">
        <v>0.5590000000000001</v>
      </c>
      <c r="K3707" s="1" t="inlineStr">
        <is>
          <t>No</t>
        </is>
      </c>
      <c r="L3707" s="1" t="inlineStr">
        <is>
          <t>No</t>
        </is>
      </c>
      <c r="M3707" s="1" t="inlineStr">
        <is>
          <t>No</t>
        </is>
      </c>
      <c r="N3707" s="1" t="inlineStr">
        <is>
          <t>Algorithms</t>
        </is>
      </c>
      <c r="O37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07" s="11" t="inlineStr">
        <is>
          <t>To Do</t>
        </is>
      </c>
    </row>
    <row r="3708" ht="15.75" customHeight="1" s="12">
      <c r="A3708" s="1" t="n">
        <v>3073</v>
      </c>
      <c r="B3708" s="3">
        <f>HYPERLINK("https://leetcode.com/problems/maximum-increasing-triplet-value/", "Maximum Increasing Triplet Value")</f>
        <v/>
      </c>
      <c r="C3708" s="1" t="n">
        <v>22</v>
      </c>
      <c r="D3708" s="1" t="n">
        <v>8</v>
      </c>
      <c r="E3708" s="4">
        <f>IF(INDEX(C:C, ROW())+INDEX(D:D, ROW())=0, 0, INDEX(C:C, ROW())/(INDEX(C:C, ROW())+INDEX(D:D, ROW())))</f>
        <v/>
      </c>
      <c r="F3708" s="1" t="inlineStr">
        <is>
          <t>Array, Ordered Set</t>
        </is>
      </c>
      <c r="G3708" s="1" t="inlineStr">
        <is>
          <t>Medium</t>
        </is>
      </c>
      <c r="H3708" s="1" t="n">
        <v>1404</v>
      </c>
      <c r="I3708" s="1" t="n">
        <v>3918</v>
      </c>
      <c r="J3708" s="9" t="n">
        <v>0.358</v>
      </c>
      <c r="K3708" s="1" t="inlineStr">
        <is>
          <t>No</t>
        </is>
      </c>
      <c r="L3708" s="1" t="inlineStr">
        <is>
          <t>No</t>
        </is>
      </c>
      <c r="M3708" s="1" t="inlineStr">
        <is>
          <t>No</t>
        </is>
      </c>
      <c r="N3708" s="1" t="inlineStr">
        <is>
          <t>Algorithms</t>
        </is>
      </c>
      <c r="O37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08" s="11" t="inlineStr">
        <is>
          <t>To Do</t>
        </is>
      </c>
    </row>
    <row r="3709" ht="15.75" customHeight="1" s="12">
      <c r="A3709" s="1" t="n">
        <v>3918</v>
      </c>
      <c r="B3709" s="3">
        <f>HYPERLINK("https://leetcode.com/problems/sum-of-primes-between-number-and-its-reverse/", "Sum of Primes Between Number and Its Reverse")</f>
        <v/>
      </c>
      <c r="C3709" s="1" t="n">
        <v>22</v>
      </c>
      <c r="D3709" s="1" t="n">
        <v>2</v>
      </c>
      <c r="E3709" s="4">
        <f>IF(INDEX(C:C, ROW())+INDEX(D:D, ROW())=0, 0, INDEX(C:C, ROW())/(INDEX(C:C, ROW())+INDEX(D:D, ROW())))</f>
        <v/>
      </c>
      <c r="F3709" s="2" t="n"/>
      <c r="G3709" s="1" t="inlineStr">
        <is>
          <t>Medium</t>
        </is>
      </c>
      <c r="H3709" s="1" t="n">
        <v>31847</v>
      </c>
      <c r="I3709" s="1" t="n">
        <v>42231</v>
      </c>
      <c r="J3709" s="9" t="n">
        <v>0.754</v>
      </c>
      <c r="K3709" s="1" t="inlineStr">
        <is>
          <t>Yes</t>
        </is>
      </c>
      <c r="L3709" s="1" t="inlineStr">
        <is>
          <t>No</t>
        </is>
      </c>
      <c r="M3709" s="1" t="inlineStr">
        <is>
          <t>No</t>
        </is>
      </c>
      <c r="N3709" s="1" t="inlineStr">
        <is>
          <t>Algorithms</t>
        </is>
      </c>
      <c r="O37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09" s="11" t="inlineStr">
        <is>
          <t>To Do</t>
        </is>
      </c>
    </row>
    <row r="3710" ht="15.75" customHeight="1" s="12">
      <c r="A3710" s="1" t="n">
        <v>2783</v>
      </c>
      <c r="B3710" s="3">
        <f>HYPERLINK("https://leetcode.com/problems/flight-occupancy-and-waitlist-analysis/", "Flight Occupancy and Waitlist Analysis")</f>
        <v/>
      </c>
      <c r="C3710" s="1" t="n">
        <v>21</v>
      </c>
      <c r="D3710" s="1" t="n">
        <v>8</v>
      </c>
      <c r="E3710" s="4">
        <f>IF(INDEX(C:C, ROW())+INDEX(D:D, ROW())=0, 0, INDEX(C:C, ROW())/(INDEX(C:C, ROW())+INDEX(D:D, ROW())))</f>
        <v/>
      </c>
      <c r="F3710" s="1" t="inlineStr">
        <is>
          <t>Database</t>
        </is>
      </c>
      <c r="G3710" s="1" t="inlineStr">
        <is>
          <t>Medium</t>
        </is>
      </c>
      <c r="H3710" s="1" t="n">
        <v>5064</v>
      </c>
      <c r="I3710" s="1" t="n">
        <v>13006</v>
      </c>
      <c r="J3710" s="9" t="n">
        <v>0.389</v>
      </c>
      <c r="K3710" s="1" t="inlineStr">
        <is>
          <t>No</t>
        </is>
      </c>
      <c r="L3710" s="1" t="inlineStr">
        <is>
          <t>Yes</t>
        </is>
      </c>
      <c r="M3710" s="1" t="inlineStr">
        <is>
          <t>No</t>
        </is>
      </c>
      <c r="N3710" s="1" t="inlineStr">
        <is>
          <t>Database</t>
        </is>
      </c>
      <c r="O37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10" s="11" t="inlineStr">
        <is>
          <t>To Do</t>
        </is>
      </c>
    </row>
    <row r="3711" ht="15.75" customHeight="1" s="12">
      <c r="A3711" s="1" t="n">
        <v>2847</v>
      </c>
      <c r="B3711" s="3">
        <f>HYPERLINK("https://leetcode.com/problems/smallest-number-with-given-digit-product/", "Smallest Number With Given Digit Product")</f>
        <v/>
      </c>
      <c r="C3711" s="1" t="n">
        <v>21</v>
      </c>
      <c r="D3711" s="1" t="n">
        <v>1</v>
      </c>
      <c r="E3711" s="4">
        <f>IF(INDEX(C:C, ROW())+INDEX(D:D, ROW())=0, 0, INDEX(C:C, ROW())/(INDEX(C:C, ROW())+INDEX(D:D, ROW())))</f>
        <v/>
      </c>
      <c r="F3711" s="1" t="inlineStr">
        <is>
          <t>Math, Greedy</t>
        </is>
      </c>
      <c r="G3711" s="1" t="inlineStr">
        <is>
          <t>Medium</t>
        </is>
      </c>
      <c r="H3711" s="1" t="n">
        <v>1413</v>
      </c>
      <c r="I3711" s="1" t="n">
        <v>3241</v>
      </c>
      <c r="J3711" s="9" t="n">
        <v>0.436</v>
      </c>
      <c r="K3711" s="1" t="inlineStr">
        <is>
          <t>No</t>
        </is>
      </c>
      <c r="L3711" s="1" t="inlineStr">
        <is>
          <t>No</t>
        </is>
      </c>
      <c r="M3711" s="1" t="inlineStr">
        <is>
          <t>No</t>
        </is>
      </c>
      <c r="N3711" s="1" t="inlineStr">
        <is>
          <t>Algorithms</t>
        </is>
      </c>
      <c r="O37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11" s="11" t="inlineStr">
        <is>
          <t>To Do</t>
        </is>
      </c>
    </row>
    <row r="3712" ht="15.75" customHeight="1" s="12">
      <c r="A3712" s="1" t="n">
        <v>2969</v>
      </c>
      <c r="B3712" s="3">
        <f>HYPERLINK("https://leetcode.com/problems/minimum-number-of-coins-for-fruits-ii/", "Minimum Number of Coins for Fruits II")</f>
        <v/>
      </c>
      <c r="C3712" s="1" t="n">
        <v>21</v>
      </c>
      <c r="D3712" s="1" t="n">
        <v>0</v>
      </c>
      <c r="E3712" s="4">
        <f>IF(INDEX(C:C, ROW())+INDEX(D:D, ROW())=0, 0, INDEX(C:C, ROW())/(INDEX(C:C, ROW())+INDEX(D:D, ROW())))</f>
        <v/>
      </c>
      <c r="F3712" s="1" t="inlineStr">
        <is>
          <t>Array, Dynamic Programming, Queue, Heap (Priority Queue), Monotonic Queue</t>
        </is>
      </c>
      <c r="G3712" s="1" t="inlineStr">
        <is>
          <t>Hard</t>
        </is>
      </c>
      <c r="H3712" s="1" t="n">
        <v>995</v>
      </c>
      <c r="I3712" s="1" t="n">
        <v>2095</v>
      </c>
      <c r="J3712" s="9" t="n">
        <v>0.475</v>
      </c>
      <c r="K3712" s="1" t="inlineStr">
        <is>
          <t>No</t>
        </is>
      </c>
      <c r="L3712" s="1" t="inlineStr">
        <is>
          <t>No</t>
        </is>
      </c>
      <c r="M3712" s="1" t="inlineStr">
        <is>
          <t>No</t>
        </is>
      </c>
      <c r="N3712" s="1" t="inlineStr">
        <is>
          <t>Algorithms</t>
        </is>
      </c>
      <c r="O37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12" s="11" t="inlineStr">
        <is>
          <t>To Do</t>
        </is>
      </c>
    </row>
    <row r="3713" ht="15.75" customHeight="1" s="12">
      <c r="A3713" s="1" t="n">
        <v>3119</v>
      </c>
      <c r="B3713" s="3">
        <f>HYPERLINK("https://leetcode.com/problems/maximum-number-of-potholes-that-can-be-fixed/", "Maximum Number of Potholes That Can Be Fixed")</f>
        <v/>
      </c>
      <c r="C3713" s="1" t="n">
        <v>21</v>
      </c>
      <c r="D3713" s="1" t="n">
        <v>3</v>
      </c>
      <c r="E3713" s="4">
        <f>IF(INDEX(C:C, ROW())+INDEX(D:D, ROW())=0, 0, INDEX(C:C, ROW())/(INDEX(C:C, ROW())+INDEX(D:D, ROW())))</f>
        <v/>
      </c>
      <c r="F3713" s="1" t="inlineStr">
        <is>
          <t>String, Greedy, Sorting</t>
        </is>
      </c>
      <c r="G3713" s="1" t="inlineStr">
        <is>
          <t>Medium</t>
        </is>
      </c>
      <c r="H3713" s="1" t="n">
        <v>4109</v>
      </c>
      <c r="I3713" s="1" t="n">
        <v>7687</v>
      </c>
      <c r="J3713" s="9" t="n">
        <v>0.535</v>
      </c>
      <c r="K3713" s="1" t="inlineStr">
        <is>
          <t>No</t>
        </is>
      </c>
      <c r="L3713" s="1" t="inlineStr">
        <is>
          <t>No</t>
        </is>
      </c>
      <c r="M3713" s="1" t="inlineStr">
        <is>
          <t>No</t>
        </is>
      </c>
      <c r="N3713" s="1" t="inlineStr">
        <is>
          <t>Algorithms</t>
        </is>
      </c>
      <c r="O37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13" s="11" t="inlineStr">
        <is>
          <t>To Do</t>
        </is>
      </c>
    </row>
    <row r="3714" ht="15.75" customHeight="1" s="12">
      <c r="A3714" s="1" t="n">
        <v>3155</v>
      </c>
      <c r="B3714" s="3">
        <f>HYPERLINK("https://leetcode.com/problems/maximum-number-of-upgradable-servers/", "Maximum Number of Upgradable Servers")</f>
        <v/>
      </c>
      <c r="C3714" s="1" t="n">
        <v>21</v>
      </c>
      <c r="D3714" s="1" t="n">
        <v>2</v>
      </c>
      <c r="E3714" s="4">
        <f>IF(INDEX(C:C, ROW())+INDEX(D:D, ROW())=0, 0, INDEX(C:C, ROW())/(INDEX(C:C, ROW())+INDEX(D:D, ROW())))</f>
        <v/>
      </c>
      <c r="F3714" s="1" t="inlineStr">
        <is>
          <t>Array, Math, Binary Search</t>
        </is>
      </c>
      <c r="G3714" s="1" t="inlineStr">
        <is>
          <t>Medium</t>
        </is>
      </c>
      <c r="H3714" s="1" t="n">
        <v>3444</v>
      </c>
      <c r="I3714" s="1" t="n">
        <v>7927</v>
      </c>
      <c r="J3714" s="9" t="n">
        <v>0.434</v>
      </c>
      <c r="K3714" s="1" t="inlineStr">
        <is>
          <t>No</t>
        </is>
      </c>
      <c r="L3714" s="1" t="inlineStr">
        <is>
          <t>No</t>
        </is>
      </c>
      <c r="M3714" s="1" t="inlineStr">
        <is>
          <t>No</t>
        </is>
      </c>
      <c r="N3714" s="1" t="inlineStr">
        <is>
          <t>Algorithms</t>
        </is>
      </c>
      <c r="O37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14" s="11" t="inlineStr">
        <is>
          <t>To Do</t>
        </is>
      </c>
    </row>
    <row r="3715" ht="15.75" customHeight="1" s="12">
      <c r="A3715" s="1" t="n">
        <v>3183</v>
      </c>
      <c r="B3715" s="3">
        <f>HYPERLINK("https://leetcode.com/problems/the-number-of-ways-to-make-the-sum/", "The Number of Ways to Make the Sum")</f>
        <v/>
      </c>
      <c r="C3715" s="1" t="n">
        <v>21</v>
      </c>
      <c r="D3715" s="1" t="n">
        <v>1</v>
      </c>
      <c r="E3715" s="4">
        <f>IF(INDEX(C:C, ROW())+INDEX(D:D, ROW())=0, 0, INDEX(C:C, ROW())/(INDEX(C:C, ROW())+INDEX(D:D, ROW())))</f>
        <v/>
      </c>
      <c r="F3715" s="1" t="inlineStr">
        <is>
          <t>Array, Dynamic Programming</t>
        </is>
      </c>
      <c r="G3715" s="1" t="inlineStr">
        <is>
          <t>Medium</t>
        </is>
      </c>
      <c r="H3715" s="1" t="n">
        <v>2017</v>
      </c>
      <c r="I3715" s="1" t="n">
        <v>3949</v>
      </c>
      <c r="J3715" s="9" t="n">
        <v>0.511</v>
      </c>
      <c r="K3715" s="1" t="inlineStr">
        <is>
          <t>No</t>
        </is>
      </c>
      <c r="L3715" s="1" t="inlineStr">
        <is>
          <t>No</t>
        </is>
      </c>
      <c r="M3715" s="1" t="inlineStr">
        <is>
          <t>No</t>
        </is>
      </c>
      <c r="N3715" s="1" t="inlineStr">
        <is>
          <t>Algorithms</t>
        </is>
      </c>
      <c r="O37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15" s="11" t="inlineStr">
        <is>
          <t>To Do</t>
        </is>
      </c>
    </row>
    <row r="3716" ht="15.75" customHeight="1" s="12">
      <c r="A3716" s="1" t="n">
        <v>3263</v>
      </c>
      <c r="B3716" s="3">
        <f>HYPERLINK("https://leetcode.com/problems/convert-doubly-linked-list-to-array-i/", "Convert Doubly Linked List to Array I")</f>
        <v/>
      </c>
      <c r="C3716" s="1" t="n">
        <v>21</v>
      </c>
      <c r="D3716" s="1" t="n">
        <v>6</v>
      </c>
      <c r="E3716" s="4">
        <f>IF(INDEX(C:C, ROW())+INDEX(D:D, ROW())=0, 0, INDEX(C:C, ROW())/(INDEX(C:C, ROW())+INDEX(D:D, ROW())))</f>
        <v/>
      </c>
      <c r="F3716" s="1" t="inlineStr">
        <is>
          <t>Array, Linked List, Doubly-Linked List</t>
        </is>
      </c>
      <c r="G3716" s="1" t="inlineStr">
        <is>
          <t>Easy</t>
        </is>
      </c>
      <c r="H3716" s="1" t="n">
        <v>9292</v>
      </c>
      <c r="I3716" s="1" t="n">
        <v>9786</v>
      </c>
      <c r="J3716" s="9" t="n">
        <v>0.95</v>
      </c>
      <c r="K3716" s="1" t="inlineStr">
        <is>
          <t>No</t>
        </is>
      </c>
      <c r="L3716" s="1" t="inlineStr">
        <is>
          <t>No</t>
        </is>
      </c>
      <c r="M3716" s="1" t="inlineStr">
        <is>
          <t>No</t>
        </is>
      </c>
      <c r="N3716" s="1" t="inlineStr">
        <is>
          <t>Algorithms</t>
        </is>
      </c>
      <c r="O37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16" s="11" t="inlineStr">
        <is>
          <t>To Do</t>
        </is>
      </c>
    </row>
    <row r="3717" ht="15.75" customHeight="1" s="12">
      <c r="A3717" s="1" t="n">
        <v>2253</v>
      </c>
      <c r="B3717" s="3">
        <f>HYPERLINK("https://leetcode.com/problems/dynamic-unpivoting-of-a-table/", "Dynamic Unpivoting of a Table")</f>
        <v/>
      </c>
      <c r="C3717" s="1" t="n">
        <v>20</v>
      </c>
      <c r="D3717" s="1" t="n">
        <v>13</v>
      </c>
      <c r="E3717" s="4">
        <f>IF(INDEX(C:C, ROW())+INDEX(D:D, ROW())=0, 0, INDEX(C:C, ROW())/(INDEX(C:C, ROW())+INDEX(D:D, ROW())))</f>
        <v/>
      </c>
      <c r="F3717" s="1" t="inlineStr">
        <is>
          <t>Database</t>
        </is>
      </c>
      <c r="G3717" s="1" t="inlineStr">
        <is>
          <t>Hard</t>
        </is>
      </c>
      <c r="H3717" s="1" t="n">
        <v>1493</v>
      </c>
      <c r="I3717" s="1" t="n">
        <v>2141</v>
      </c>
      <c r="J3717" s="9" t="n">
        <v>0.697</v>
      </c>
      <c r="K3717" s="1" t="inlineStr">
        <is>
          <t>No</t>
        </is>
      </c>
      <c r="L3717" s="1" t="inlineStr">
        <is>
          <t>No</t>
        </is>
      </c>
      <c r="M3717" s="1" t="inlineStr">
        <is>
          <t>No</t>
        </is>
      </c>
      <c r="N3717" s="1" t="inlineStr">
        <is>
          <t>Database</t>
        </is>
      </c>
      <c r="O37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17" s="11" t="inlineStr">
        <is>
          <t>To Do</t>
        </is>
      </c>
    </row>
    <row r="3718" ht="15.75" customHeight="1" s="12">
      <c r="A3718" s="1" t="n">
        <v>2668</v>
      </c>
      <c r="B3718" s="3">
        <f>HYPERLINK("https://leetcode.com/problems/find-latest-salaries/", "Find Latest Salaries")</f>
        <v/>
      </c>
      <c r="C3718" s="1" t="n">
        <v>20</v>
      </c>
      <c r="D3718" s="1" t="n">
        <v>18</v>
      </c>
      <c r="E3718" s="4">
        <f>IF(INDEX(C:C, ROW())+INDEX(D:D, ROW())=0, 0, INDEX(C:C, ROW())/(INDEX(C:C, ROW())+INDEX(D:D, ROW())))</f>
        <v/>
      </c>
      <c r="F3718" s="1" t="inlineStr">
        <is>
          <t>Database</t>
        </is>
      </c>
      <c r="G3718" s="1" t="inlineStr">
        <is>
          <t>Easy</t>
        </is>
      </c>
      <c r="H3718" s="1" t="n">
        <v>6896</v>
      </c>
      <c r="I3718" s="1" t="n">
        <v>9177</v>
      </c>
      <c r="J3718" s="9" t="n">
        <v>0.751</v>
      </c>
      <c r="K3718" s="1" t="inlineStr">
        <is>
          <t>No</t>
        </is>
      </c>
      <c r="L3718" s="1" t="inlineStr">
        <is>
          <t>Yes</t>
        </is>
      </c>
      <c r="M3718" s="1" t="inlineStr">
        <is>
          <t>No</t>
        </is>
      </c>
      <c r="N3718" s="1" t="inlineStr">
        <is>
          <t>Database</t>
        </is>
      </c>
      <c r="O37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18" s="11" t="inlineStr">
        <is>
          <t>To Do</t>
        </is>
      </c>
    </row>
    <row r="3719" ht="15.75" customHeight="1" s="12">
      <c r="A3719" s="1" t="n">
        <v>2803</v>
      </c>
      <c r="B3719" s="3">
        <f>HYPERLINK("https://leetcode.com/problems/factorial-generator/", "Factorial Generator")</f>
        <v/>
      </c>
      <c r="C3719" s="1" t="n">
        <v>20</v>
      </c>
      <c r="D3719" s="1" t="n">
        <v>1</v>
      </c>
      <c r="E3719" s="4">
        <f>IF(INDEX(C:C, ROW())+INDEX(D:D, ROW())=0, 0, INDEX(C:C, ROW())/(INDEX(C:C, ROW())+INDEX(D:D, ROW())))</f>
        <v/>
      </c>
      <c r="F3719" s="2" t="n"/>
      <c r="G3719" s="1" t="inlineStr">
        <is>
          <t>Easy</t>
        </is>
      </c>
      <c r="H3719" s="1" t="n">
        <v>1638</v>
      </c>
      <c r="I3719" s="1" t="n">
        <v>1915</v>
      </c>
      <c r="J3719" s="9" t="n">
        <v>0.855</v>
      </c>
      <c r="K3719" s="1" t="inlineStr">
        <is>
          <t>No</t>
        </is>
      </c>
      <c r="L3719" s="1" t="inlineStr">
        <is>
          <t>Yes</t>
        </is>
      </c>
      <c r="M3719" s="1" t="inlineStr">
        <is>
          <t>No</t>
        </is>
      </c>
      <c r="N3719" s="1" t="inlineStr">
        <is>
          <t>JavaScript</t>
        </is>
      </c>
      <c r="O37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19" s="11" t="inlineStr">
        <is>
          <t>To Do</t>
        </is>
      </c>
    </row>
    <row r="3720" ht="15.75" customHeight="1" s="12">
      <c r="A3720" s="1" t="n">
        <v>2922</v>
      </c>
      <c r="B3720" s="3">
        <f>HYPERLINK("https://leetcode.com/problems/market-analysis-iii/", "Market Analysis III")</f>
        <v/>
      </c>
      <c r="C3720" s="1" t="n">
        <v>20</v>
      </c>
      <c r="D3720" s="1" t="n">
        <v>6</v>
      </c>
      <c r="E3720" s="4">
        <f>IF(INDEX(C:C, ROW())+INDEX(D:D, ROW())=0, 0, INDEX(C:C, ROW())/(INDEX(C:C, ROW())+INDEX(D:D, ROW())))</f>
        <v/>
      </c>
      <c r="F3720" s="1" t="inlineStr">
        <is>
          <t>Database</t>
        </is>
      </c>
      <c r="G3720" s="1" t="inlineStr">
        <is>
          <t>Medium</t>
        </is>
      </c>
      <c r="H3720" s="1" t="n">
        <v>4161</v>
      </c>
      <c r="I3720" s="1" t="n">
        <v>9867</v>
      </c>
      <c r="J3720" s="9" t="n">
        <v>0.422</v>
      </c>
      <c r="K3720" s="1" t="inlineStr">
        <is>
          <t>No</t>
        </is>
      </c>
      <c r="L3720" s="1" t="inlineStr">
        <is>
          <t>No</t>
        </is>
      </c>
      <c r="M3720" s="1" t="inlineStr">
        <is>
          <t>No</t>
        </is>
      </c>
      <c r="N3720" s="1" t="inlineStr">
        <is>
          <t>Database</t>
        </is>
      </c>
      <c r="O37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20" s="11" t="inlineStr">
        <is>
          <t>To Do</t>
        </is>
      </c>
    </row>
    <row r="3721" ht="15.75" customHeight="1" s="12">
      <c r="A3721" s="1" t="n">
        <v>3058</v>
      </c>
      <c r="B3721" s="3">
        <f>HYPERLINK("https://leetcode.com/problems/friends-with-no-mutual-friends/", "Friends With No Mutual Friends")</f>
        <v/>
      </c>
      <c r="C3721" s="1" t="n">
        <v>20</v>
      </c>
      <c r="D3721" s="1" t="n">
        <v>3</v>
      </c>
      <c r="E3721" s="4">
        <f>IF(INDEX(C:C, ROW())+INDEX(D:D, ROW())=0, 0, INDEX(C:C, ROW())/(INDEX(C:C, ROW())+INDEX(D:D, ROW())))</f>
        <v/>
      </c>
      <c r="F3721" s="1" t="inlineStr">
        <is>
          <t>Database</t>
        </is>
      </c>
      <c r="G3721" s="1" t="inlineStr">
        <is>
          <t>Medium</t>
        </is>
      </c>
      <c r="H3721" s="1" t="n">
        <v>3130</v>
      </c>
      <c r="I3721" s="1" t="n">
        <v>6423</v>
      </c>
      <c r="J3721" s="9" t="n">
        <v>0.487</v>
      </c>
      <c r="K3721" s="1" t="inlineStr">
        <is>
          <t>No</t>
        </is>
      </c>
      <c r="L3721" s="1" t="inlineStr">
        <is>
          <t>No</t>
        </is>
      </c>
      <c r="M3721" s="1" t="inlineStr">
        <is>
          <t>No</t>
        </is>
      </c>
      <c r="N3721" s="1" t="inlineStr">
        <is>
          <t>Database</t>
        </is>
      </c>
      <c r="O37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21" s="11" t="inlineStr">
        <is>
          <t>To Do</t>
        </is>
      </c>
    </row>
    <row r="3722" ht="15.75" customHeight="1" s="12">
      <c r="A3722" s="1" t="n">
        <v>3909</v>
      </c>
      <c r="B3722" s="3">
        <f>HYPERLINK("https://leetcode.com/problems/compare-sums-of-bitonic-parts/", "Compare Sums of Bitonic Parts")</f>
        <v/>
      </c>
      <c r="C3722" s="1" t="n">
        <v>20</v>
      </c>
      <c r="D3722" s="1" t="n">
        <v>2</v>
      </c>
      <c r="E3722" s="4">
        <f>IF(INDEX(C:C, ROW())+INDEX(D:D, ROW())=0, 0, INDEX(C:C, ROW())/(INDEX(C:C, ROW())+INDEX(D:D, ROW())))</f>
        <v/>
      </c>
      <c r="F3722" s="2" t="n"/>
      <c r="G3722" s="1" t="inlineStr">
        <is>
          <t>Medium</t>
        </is>
      </c>
      <c r="H3722" s="1" t="n">
        <v>22528</v>
      </c>
      <c r="I3722" s="1" t="n">
        <v>42556</v>
      </c>
      <c r="J3722" s="9" t="n">
        <v>0.529</v>
      </c>
      <c r="K3722" s="1" t="inlineStr">
        <is>
          <t>Yes</t>
        </is>
      </c>
      <c r="L3722" s="1" t="inlineStr">
        <is>
          <t>No</t>
        </is>
      </c>
      <c r="M3722" s="1" t="inlineStr">
        <is>
          <t>No</t>
        </is>
      </c>
      <c r="N3722" s="1" t="inlineStr">
        <is>
          <t>Algorithms</t>
        </is>
      </c>
      <c r="O37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22" s="11" t="inlineStr">
        <is>
          <t>To Do</t>
        </is>
      </c>
    </row>
    <row r="3723" ht="15.75" customHeight="1" s="12">
      <c r="A3723" s="1" t="n">
        <v>2776</v>
      </c>
      <c r="B3723" s="3">
        <f>HYPERLINK("https://leetcode.com/problems/convert-callback-based-function-to-promise-based-function/", "Convert Callback Based Function to Promise Based Function")</f>
        <v/>
      </c>
      <c r="C3723" s="1" t="n">
        <v>19</v>
      </c>
      <c r="D3723" s="1" t="n">
        <v>12</v>
      </c>
      <c r="E3723" s="4">
        <f>IF(INDEX(C:C, ROW())+INDEX(D:D, ROW())=0, 0, INDEX(C:C, ROW())/(INDEX(C:C, ROW())+INDEX(D:D, ROW())))</f>
        <v/>
      </c>
      <c r="F3723" s="2" t="n"/>
      <c r="G3723" s="1" t="inlineStr">
        <is>
          <t>Medium</t>
        </is>
      </c>
      <c r="H3723" s="1" t="n">
        <v>1293</v>
      </c>
      <c r="I3723" s="1" t="n">
        <v>1426</v>
      </c>
      <c r="J3723" s="9" t="n">
        <v>0.907</v>
      </c>
      <c r="K3723" s="1" t="inlineStr">
        <is>
          <t>No</t>
        </is>
      </c>
      <c r="L3723" s="1" t="inlineStr">
        <is>
          <t>Yes</t>
        </is>
      </c>
      <c r="M3723" s="1" t="inlineStr">
        <is>
          <t>No</t>
        </is>
      </c>
      <c r="N3723" s="1" t="inlineStr">
        <is>
          <t>JavaScript</t>
        </is>
      </c>
      <c r="O37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23" s="11" t="inlineStr">
        <is>
          <t>To Do</t>
        </is>
      </c>
    </row>
    <row r="3724" ht="15.75" customHeight="1" s="12">
      <c r="A3724" s="1" t="n">
        <v>2853</v>
      </c>
      <c r="B3724" s="3">
        <f>HYPERLINK("https://leetcode.com/problems/highest-salaries-difference/", "Highest Salaries Difference")</f>
        <v/>
      </c>
      <c r="C3724" s="1" t="n">
        <v>19</v>
      </c>
      <c r="D3724" s="1" t="n">
        <v>1</v>
      </c>
      <c r="E3724" s="4">
        <f>IF(INDEX(C:C, ROW())+INDEX(D:D, ROW())=0, 0, INDEX(C:C, ROW())/(INDEX(C:C, ROW())+INDEX(D:D, ROW())))</f>
        <v/>
      </c>
      <c r="F3724" s="1" t="inlineStr">
        <is>
          <t>Database</t>
        </is>
      </c>
      <c r="G3724" s="1" t="inlineStr">
        <is>
          <t>Easy</t>
        </is>
      </c>
      <c r="H3724" s="1" t="n">
        <v>6158</v>
      </c>
      <c r="I3724" s="1" t="n">
        <v>8395</v>
      </c>
      <c r="J3724" s="9" t="n">
        <v>0.734</v>
      </c>
      <c r="K3724" s="1" t="inlineStr">
        <is>
          <t>No</t>
        </is>
      </c>
      <c r="L3724" s="1" t="inlineStr">
        <is>
          <t>No</t>
        </is>
      </c>
      <c r="M3724" s="1" t="inlineStr">
        <is>
          <t>No</t>
        </is>
      </c>
      <c r="N3724" s="1" t="inlineStr">
        <is>
          <t>Database</t>
        </is>
      </c>
      <c r="O37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24" s="11" t="inlineStr">
        <is>
          <t>To Do</t>
        </is>
      </c>
    </row>
    <row r="3725" ht="15.75" customHeight="1" s="12">
      <c r="A3725" s="1" t="n">
        <v>2912</v>
      </c>
      <c r="B3725" s="3">
        <f>HYPERLINK("https://leetcode.com/problems/number-of-ways-to-reach-destination-in-the-grid/", "Number of Ways to Reach Destination in the Grid")</f>
        <v/>
      </c>
      <c r="C3725" s="1" t="n">
        <v>19</v>
      </c>
      <c r="D3725" s="1" t="n">
        <v>5</v>
      </c>
      <c r="E3725" s="4">
        <f>IF(INDEX(C:C, ROW())+INDEX(D:D, ROW())=0, 0, INDEX(C:C, ROW())/(INDEX(C:C, ROW())+INDEX(D:D, ROW())))</f>
        <v/>
      </c>
      <c r="F3725" s="1" t="inlineStr">
        <is>
          <t>Math, Dynamic Programming, Combinatorics</t>
        </is>
      </c>
      <c r="G3725" s="1" t="inlineStr">
        <is>
          <t>Hard</t>
        </is>
      </c>
      <c r="H3725" s="1" t="n">
        <v>1190</v>
      </c>
      <c r="I3725" s="1" t="n">
        <v>2061</v>
      </c>
      <c r="J3725" s="9" t="n">
        <v>0.577</v>
      </c>
      <c r="K3725" s="1" t="inlineStr">
        <is>
          <t>No</t>
        </is>
      </c>
      <c r="L3725" s="1" t="inlineStr">
        <is>
          <t>No</t>
        </is>
      </c>
      <c r="M3725" s="1" t="inlineStr">
        <is>
          <t>No</t>
        </is>
      </c>
      <c r="N3725" s="1" t="inlineStr">
        <is>
          <t>Algorithms</t>
        </is>
      </c>
      <c r="O37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25" s="11" t="inlineStr">
        <is>
          <t>To Do</t>
        </is>
      </c>
    </row>
    <row r="3726" ht="15.75" customHeight="1" s="12">
      <c r="A3726" s="1" t="n">
        <v>2990</v>
      </c>
      <c r="B3726" s="3">
        <f>HYPERLINK("https://leetcode.com/problems/loan-types/", "Loan Types")</f>
        <v/>
      </c>
      <c r="C3726" s="1" t="n">
        <v>19</v>
      </c>
      <c r="D3726" s="1" t="n">
        <v>8</v>
      </c>
      <c r="E3726" s="4">
        <f>IF(INDEX(C:C, ROW())+INDEX(D:D, ROW())=0, 0, INDEX(C:C, ROW())/(INDEX(C:C, ROW())+INDEX(D:D, ROW())))</f>
        <v/>
      </c>
      <c r="F3726" s="1" t="inlineStr">
        <is>
          <t>Database</t>
        </is>
      </c>
      <c r="G3726" s="1" t="inlineStr">
        <is>
          <t>Easy</t>
        </is>
      </c>
      <c r="H3726" s="1" t="n">
        <v>6266</v>
      </c>
      <c r="I3726" s="1" t="n">
        <v>9780</v>
      </c>
      <c r="J3726" s="9" t="n">
        <v>0.641</v>
      </c>
      <c r="K3726" s="1" t="inlineStr">
        <is>
          <t>No</t>
        </is>
      </c>
      <c r="L3726" s="1" t="inlineStr">
        <is>
          <t>No</t>
        </is>
      </c>
      <c r="M3726" s="1" t="inlineStr">
        <is>
          <t>No</t>
        </is>
      </c>
      <c r="N3726" s="1" t="inlineStr">
        <is>
          <t>Database</t>
        </is>
      </c>
      <c r="O37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26" s="11" t="inlineStr">
        <is>
          <t>To Do</t>
        </is>
      </c>
    </row>
    <row r="3727" ht="15.75" customHeight="1" s="12">
      <c r="A3727" s="1" t="n">
        <v>3054</v>
      </c>
      <c r="B3727" s="3">
        <f>HYPERLINK("https://leetcode.com/problems/binary-tree-nodes/", "Binary Tree Nodes")</f>
        <v/>
      </c>
      <c r="C3727" s="1" t="n">
        <v>19</v>
      </c>
      <c r="D3727" s="1" t="n">
        <v>2</v>
      </c>
      <c r="E3727" s="4">
        <f>IF(INDEX(C:C, ROW())+INDEX(D:D, ROW())=0, 0, INDEX(C:C, ROW())/(INDEX(C:C, ROW())+INDEX(D:D, ROW())))</f>
        <v/>
      </c>
      <c r="F3727" s="1" t="inlineStr">
        <is>
          <t>Database</t>
        </is>
      </c>
      <c r="G3727" s="1" t="inlineStr">
        <is>
          <t>Medium</t>
        </is>
      </c>
      <c r="H3727" s="1" t="n">
        <v>3943</v>
      </c>
      <c r="I3727" s="1" t="n">
        <v>5010</v>
      </c>
      <c r="J3727" s="9" t="n">
        <v>0.787</v>
      </c>
      <c r="K3727" s="1" t="inlineStr">
        <is>
          <t>No</t>
        </is>
      </c>
      <c r="L3727" s="1" t="inlineStr">
        <is>
          <t>Yes</t>
        </is>
      </c>
      <c r="M3727" s="1" t="inlineStr">
        <is>
          <t>No</t>
        </is>
      </c>
      <c r="N3727" s="1" t="inlineStr">
        <is>
          <t>Database</t>
        </is>
      </c>
      <c r="O37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27" s="11" t="inlineStr">
        <is>
          <t>To Do</t>
        </is>
      </c>
    </row>
    <row r="3728" ht="15.75" customHeight="1" s="12">
      <c r="A3728" s="1" t="n">
        <v>3104</v>
      </c>
      <c r="B3728" s="3">
        <f>HYPERLINK("https://leetcode.com/problems/find-longest-self-contained-substring/", "Find Longest Self-Contained Substring")</f>
        <v/>
      </c>
      <c r="C3728" s="1" t="n">
        <v>19</v>
      </c>
      <c r="D3728" s="1" t="n">
        <v>6</v>
      </c>
      <c r="E3728" s="4">
        <f>IF(INDEX(C:C, ROW())+INDEX(D:D, ROW())=0, 0, INDEX(C:C, ROW())/(INDEX(C:C, ROW())+INDEX(D:D, ROW())))</f>
        <v/>
      </c>
      <c r="F3728" s="1" t="inlineStr">
        <is>
          <t>Hash Table, String, Sorting</t>
        </is>
      </c>
      <c r="G3728" s="1" t="inlineStr">
        <is>
          <t>Hard</t>
        </is>
      </c>
      <c r="H3728" s="1" t="n">
        <v>3028</v>
      </c>
      <c r="I3728" s="1" t="n">
        <v>5149</v>
      </c>
      <c r="J3728" s="9" t="n">
        <v>0.588</v>
      </c>
      <c r="K3728" s="1" t="inlineStr">
        <is>
          <t>No</t>
        </is>
      </c>
      <c r="L3728" s="1" t="inlineStr">
        <is>
          <t>No</t>
        </is>
      </c>
      <c r="M3728" s="1" t="inlineStr">
        <is>
          <t>No</t>
        </is>
      </c>
      <c r="N3728" s="1" t="inlineStr">
        <is>
          <t>Algorithms</t>
        </is>
      </c>
      <c r="O37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28" s="11" t="inlineStr">
        <is>
          <t>To Do</t>
        </is>
      </c>
    </row>
    <row r="3729" ht="15.75" customHeight="1" s="12">
      <c r="A3729" s="1" t="n">
        <v>3157</v>
      </c>
      <c r="B3729" s="3">
        <f>HYPERLINK("https://leetcode.com/problems/find-the-level-of-tree-with-minimum-sum/", "Find the Level of Tree with Minimum Sum")</f>
        <v/>
      </c>
      <c r="C3729" s="1" t="n">
        <v>19</v>
      </c>
      <c r="D3729" s="1" t="n">
        <v>3</v>
      </c>
      <c r="E3729" s="4">
        <f>IF(INDEX(C:C, ROW())+INDEX(D:D, ROW())=0, 0, INDEX(C:C, ROW())/(INDEX(C:C, ROW())+INDEX(D:D, ROW())))</f>
        <v/>
      </c>
      <c r="F3729" s="1" t="inlineStr">
        <is>
          <t>Tree, Depth-First Search, Breadth-First Search, Binary Tree</t>
        </is>
      </c>
      <c r="G3729" s="1" t="inlineStr">
        <is>
          <t>Medium</t>
        </is>
      </c>
      <c r="H3729" s="1" t="n">
        <v>3288</v>
      </c>
      <c r="I3729" s="1" t="n">
        <v>4740</v>
      </c>
      <c r="J3729" s="9" t="n">
        <v>0.694</v>
      </c>
      <c r="K3729" s="1" t="inlineStr">
        <is>
          <t>No</t>
        </is>
      </c>
      <c r="L3729" s="1" t="inlineStr">
        <is>
          <t>No</t>
        </is>
      </c>
      <c r="M3729" s="1" t="inlineStr">
        <is>
          <t>No</t>
        </is>
      </c>
      <c r="N3729" s="1" t="inlineStr">
        <is>
          <t>Algorithms</t>
        </is>
      </c>
      <c r="O37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29" s="11" t="inlineStr">
        <is>
          <t>To Do</t>
        </is>
      </c>
    </row>
    <row r="3730" ht="15.75" customHeight="1" s="12">
      <c r="A3730" s="1" t="n">
        <v>3167</v>
      </c>
      <c r="B3730" s="3">
        <f>HYPERLINK("https://leetcode.com/problems/better-compression-of-string/", "Better Compression of String")</f>
        <v/>
      </c>
      <c r="C3730" s="1" t="n">
        <v>19</v>
      </c>
      <c r="D3730" s="1" t="n">
        <v>4</v>
      </c>
      <c r="E3730" s="4">
        <f>IF(INDEX(C:C, ROW())+INDEX(D:D, ROW())=0, 0, INDEX(C:C, ROW())/(INDEX(C:C, ROW())+INDEX(D:D, ROW())))</f>
        <v/>
      </c>
      <c r="F3730" s="1" t="inlineStr">
        <is>
          <t>Hash Table, String, Sorting, Counting</t>
        </is>
      </c>
      <c r="G3730" s="1" t="inlineStr">
        <is>
          <t>Medium</t>
        </is>
      </c>
      <c r="H3730" s="1" t="n">
        <v>5900</v>
      </c>
      <c r="I3730" s="1" t="n">
        <v>7829</v>
      </c>
      <c r="J3730" s="9" t="n">
        <v>0.754</v>
      </c>
      <c r="K3730" s="1" t="inlineStr">
        <is>
          <t>No</t>
        </is>
      </c>
      <c r="L3730" s="1" t="inlineStr">
        <is>
          <t>No</t>
        </is>
      </c>
      <c r="M3730" s="1" t="inlineStr">
        <is>
          <t>No</t>
        </is>
      </c>
      <c r="N3730" s="1" t="inlineStr">
        <is>
          <t>Algorithms</t>
        </is>
      </c>
      <c r="O37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30" s="11" t="inlineStr">
        <is>
          <t>To Do</t>
        </is>
      </c>
    </row>
    <row r="3731" ht="15.75" customHeight="1" s="12">
      <c r="A3731" s="1" t="n">
        <v>3915</v>
      </c>
      <c r="B3731" s="3">
        <f>HYPERLINK("https://leetcode.com/problems/maximum-sum-of-alternating-subsequence-with-distance-at-least-k/", "Maximum Sum of Alternating Subsequence With Distance at Least K")</f>
        <v/>
      </c>
      <c r="C3731" s="1" t="n">
        <v>19</v>
      </c>
      <c r="D3731" s="1" t="n">
        <v>4</v>
      </c>
      <c r="E3731" s="4">
        <f>IF(INDEX(C:C, ROW())+INDEX(D:D, ROW())=0, 0, INDEX(C:C, ROW())/(INDEX(C:C, ROW())+INDEX(D:D, ROW())))</f>
        <v/>
      </c>
      <c r="F3731" s="2" t="n"/>
      <c r="G3731" s="1" t="inlineStr">
        <is>
          <t>Hard</t>
        </is>
      </c>
      <c r="H3731" s="1" t="n">
        <v>3708</v>
      </c>
      <c r="I3731" s="1" t="n">
        <v>11976</v>
      </c>
      <c r="J3731" s="9" t="n">
        <v>0.31</v>
      </c>
      <c r="K3731" s="1" t="inlineStr">
        <is>
          <t>Yes</t>
        </is>
      </c>
      <c r="L3731" s="1" t="inlineStr">
        <is>
          <t>No</t>
        </is>
      </c>
      <c r="M3731" s="1" t="inlineStr">
        <is>
          <t>No</t>
        </is>
      </c>
      <c r="N3731" s="1" t="inlineStr">
        <is>
          <t>Algorithms</t>
        </is>
      </c>
      <c r="O37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31" s="11" t="inlineStr">
        <is>
          <t>To Do</t>
        </is>
      </c>
    </row>
    <row r="3732" ht="15.75" customHeight="1" s="12">
      <c r="A3732" s="1" t="n">
        <v>3917</v>
      </c>
      <c r="B3732" s="3">
        <f>HYPERLINK("https://leetcode.com/problems/count-indices-with-opposite-parity/", "Count Indices With Opposite Parity")</f>
        <v/>
      </c>
      <c r="C3732" s="1" t="n">
        <v>19</v>
      </c>
      <c r="D3732" s="1" t="n">
        <v>0</v>
      </c>
      <c r="E3732" s="4">
        <f>IF(INDEX(C:C, ROW())+INDEX(D:D, ROW())=0, 0, INDEX(C:C, ROW())/(INDEX(C:C, ROW())+INDEX(D:D, ROW())))</f>
        <v/>
      </c>
      <c r="F3732" s="2" t="n"/>
      <c r="G3732" s="1" t="inlineStr">
        <is>
          <t>Easy</t>
        </is>
      </c>
      <c r="H3732" s="1" t="n">
        <v>33940</v>
      </c>
      <c r="I3732" s="1" t="n">
        <v>41663</v>
      </c>
      <c r="J3732" s="9" t="n">
        <v>0.8149999999999999</v>
      </c>
      <c r="K3732" s="1" t="inlineStr">
        <is>
          <t>Yes</t>
        </is>
      </c>
      <c r="L3732" s="1" t="inlineStr">
        <is>
          <t>No</t>
        </is>
      </c>
      <c r="M3732" s="1" t="inlineStr">
        <is>
          <t>No</t>
        </is>
      </c>
      <c r="N3732" s="1" t="inlineStr">
        <is>
          <t>Algorithms</t>
        </is>
      </c>
      <c r="O37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32" s="13" t="inlineStr">
        <is>
          <t>Done</t>
        </is>
      </c>
    </row>
    <row r="3733" ht="15.75" customHeight="1" s="12">
      <c r="A3733" s="1" t="n">
        <v>2613</v>
      </c>
      <c r="B3733" s="3">
        <f>HYPERLINK("https://leetcode.com/problems/beautiful-pairs/", "Beautiful Pairs")</f>
        <v/>
      </c>
      <c r="C3733" s="1" t="n">
        <v>18</v>
      </c>
      <c r="D3733" s="1" t="n">
        <v>3</v>
      </c>
      <c r="E3733" s="4">
        <f>IF(INDEX(C:C, ROW())+INDEX(D:D, ROW())=0, 0, INDEX(C:C, ROW())/(INDEX(C:C, ROW())+INDEX(D:D, ROW())))</f>
        <v/>
      </c>
      <c r="F3733" s="1" t="inlineStr">
        <is>
          <t>Array, Math, Divide and Conquer, Geometry, Sorting, Ordered Set</t>
        </is>
      </c>
      <c r="G3733" s="1" t="inlineStr">
        <is>
          <t>Hard</t>
        </is>
      </c>
      <c r="H3733" s="1" t="n">
        <v>1095</v>
      </c>
      <c r="I3733" s="1" t="n">
        <v>2238</v>
      </c>
      <c r="J3733" s="9" t="n">
        <v>0.489</v>
      </c>
      <c r="K3733" s="1" t="inlineStr">
        <is>
          <t>No</t>
        </is>
      </c>
      <c r="L3733" s="1" t="inlineStr">
        <is>
          <t>No</t>
        </is>
      </c>
      <c r="M3733" s="1" t="inlineStr">
        <is>
          <t>No</t>
        </is>
      </c>
      <c r="N3733" s="1" t="inlineStr">
        <is>
          <t>Algorithms</t>
        </is>
      </c>
      <c r="O37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33" s="11" t="inlineStr">
        <is>
          <t>To Do</t>
        </is>
      </c>
    </row>
    <row r="3734" ht="15.75" customHeight="1" s="12">
      <c r="A3734" s="1" t="n">
        <v>2773</v>
      </c>
      <c r="B3734" s="3">
        <f>HYPERLINK("https://leetcode.com/problems/height-of-special-binary-tree/", "Height of Special Binary Tree")</f>
        <v/>
      </c>
      <c r="C3734" s="1" t="n">
        <v>18</v>
      </c>
      <c r="D3734" s="1" t="n">
        <v>43</v>
      </c>
      <c r="E3734" s="4">
        <f>IF(INDEX(C:C, ROW())+INDEX(D:D, ROW())=0, 0, INDEX(C:C, ROW())/(INDEX(C:C, ROW())+INDEX(D:D, ROW())))</f>
        <v/>
      </c>
      <c r="F3734" s="1" t="inlineStr">
        <is>
          <t>Tree, Depth-First Search, Breadth-First Search, Binary Tree</t>
        </is>
      </c>
      <c r="G3734" s="1" t="inlineStr">
        <is>
          <t>Medium</t>
        </is>
      </c>
      <c r="H3734" s="1" t="n">
        <v>1461</v>
      </c>
      <c r="I3734" s="1" t="n">
        <v>1962</v>
      </c>
      <c r="J3734" s="9" t="n">
        <v>0.745</v>
      </c>
      <c r="K3734" s="1" t="inlineStr">
        <is>
          <t>No</t>
        </is>
      </c>
      <c r="L3734" s="1" t="inlineStr">
        <is>
          <t>No</t>
        </is>
      </c>
      <c r="M3734" s="1" t="inlineStr">
        <is>
          <t>No</t>
        </is>
      </c>
      <c r="N3734" s="1" t="inlineStr">
        <is>
          <t>Algorithms</t>
        </is>
      </c>
      <c r="O37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34" s="11" t="inlineStr">
        <is>
          <t>To Do</t>
        </is>
      </c>
    </row>
    <row r="3735" ht="15.75" customHeight="1" s="12">
      <c r="A3735" s="1" t="n">
        <v>2821</v>
      </c>
      <c r="B3735" s="3">
        <f>HYPERLINK("https://leetcode.com/problems/delay-the-resolution-of-each-promise/", "Delay the Resolution of Each Promise")</f>
        <v/>
      </c>
      <c r="C3735" s="1" t="n">
        <v>18</v>
      </c>
      <c r="D3735" s="1" t="n">
        <v>5</v>
      </c>
      <c r="E3735" s="4">
        <f>IF(INDEX(C:C, ROW())+INDEX(D:D, ROW())=0, 0, INDEX(C:C, ROW())/(INDEX(C:C, ROW())+INDEX(D:D, ROW())))</f>
        <v/>
      </c>
      <c r="F3735" s="2" t="n"/>
      <c r="G3735" s="1" t="inlineStr">
        <is>
          <t>Medium</t>
        </is>
      </c>
      <c r="H3735" s="1" t="n">
        <v>1107</v>
      </c>
      <c r="I3735" s="1" t="n">
        <v>1474</v>
      </c>
      <c r="J3735" s="9" t="n">
        <v>0.751</v>
      </c>
      <c r="K3735" s="1" t="inlineStr">
        <is>
          <t>No</t>
        </is>
      </c>
      <c r="L3735" s="1" t="inlineStr">
        <is>
          <t>Yes</t>
        </is>
      </c>
      <c r="M3735" s="1" t="inlineStr">
        <is>
          <t>No</t>
        </is>
      </c>
      <c r="N3735" s="1" t="inlineStr">
        <is>
          <t>JavaScript</t>
        </is>
      </c>
      <c r="O37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35" s="11" t="inlineStr">
        <is>
          <t>To Do</t>
        </is>
      </c>
    </row>
    <row r="3736" ht="15.75" customHeight="1" s="12">
      <c r="A3736" s="1" t="n">
        <v>2837</v>
      </c>
      <c r="B3736" s="3">
        <f>HYPERLINK("https://leetcode.com/problems/total-traveled-distance/", "Total Traveled Distance")</f>
        <v/>
      </c>
      <c r="C3736" s="1" t="n">
        <v>18</v>
      </c>
      <c r="D3736" s="1" t="n">
        <v>4</v>
      </c>
      <c r="E3736" s="4">
        <f>IF(INDEX(C:C, ROW())+INDEX(D:D, ROW())=0, 0, INDEX(C:C, ROW())/(INDEX(C:C, ROW())+INDEX(D:D, ROW())))</f>
        <v/>
      </c>
      <c r="F3736" s="1" t="inlineStr">
        <is>
          <t>Database</t>
        </is>
      </c>
      <c r="G3736" s="1" t="inlineStr">
        <is>
          <t>Easy</t>
        </is>
      </c>
      <c r="H3736" s="1" t="n">
        <v>5905</v>
      </c>
      <c r="I3736" s="1" t="n">
        <v>7668</v>
      </c>
      <c r="J3736" s="9" t="n">
        <v>0.77</v>
      </c>
      <c r="K3736" s="1" t="inlineStr">
        <is>
          <t>No</t>
        </is>
      </c>
      <c r="L3736" s="1" t="inlineStr">
        <is>
          <t>Yes</t>
        </is>
      </c>
      <c r="M3736" s="1" t="inlineStr">
        <is>
          <t>No</t>
        </is>
      </c>
      <c r="N3736" s="1" t="inlineStr">
        <is>
          <t>Database</t>
        </is>
      </c>
      <c r="O37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36" s="11" t="inlineStr">
        <is>
          <t>To Do</t>
        </is>
      </c>
    </row>
    <row r="3737" ht="15.75" customHeight="1" s="12">
      <c r="A3737" s="1" t="n">
        <v>3150</v>
      </c>
      <c r="B3737" s="3">
        <f>HYPERLINK("https://leetcode.com/problems/invalid-tweets-ii/", "Invalid Tweets II")</f>
        <v/>
      </c>
      <c r="C3737" s="1" t="n">
        <v>18</v>
      </c>
      <c r="D3737" s="1" t="n">
        <v>3</v>
      </c>
      <c r="E3737" s="4">
        <f>IF(INDEX(C:C, ROW())+INDEX(D:D, ROW())=0, 0, INDEX(C:C, ROW())/(INDEX(C:C, ROW())+INDEX(D:D, ROW())))</f>
        <v/>
      </c>
      <c r="F3737" s="1" t="inlineStr">
        <is>
          <t>Database</t>
        </is>
      </c>
      <c r="G3737" s="1" t="inlineStr">
        <is>
          <t>Easy</t>
        </is>
      </c>
      <c r="H3737" s="1" t="n">
        <v>4062</v>
      </c>
      <c r="I3737" s="1" t="n">
        <v>4781</v>
      </c>
      <c r="J3737" s="9" t="n">
        <v>0.85</v>
      </c>
      <c r="K3737" s="1" t="inlineStr">
        <is>
          <t>No</t>
        </is>
      </c>
      <c r="L3737" s="1" t="inlineStr">
        <is>
          <t>No</t>
        </is>
      </c>
      <c r="M3737" s="1" t="inlineStr">
        <is>
          <t>No</t>
        </is>
      </c>
      <c r="N3737" s="1" t="inlineStr">
        <is>
          <t>Database</t>
        </is>
      </c>
      <c r="O37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37" s="11" t="inlineStr">
        <is>
          <t>To Do</t>
        </is>
      </c>
    </row>
    <row r="3738" ht="15.75" customHeight="1" s="12">
      <c r="A3738" s="1" t="n">
        <v>3323</v>
      </c>
      <c r="B3738" s="3">
        <f>HYPERLINK("https://leetcode.com/problems/minimize-connected-groups-by-inserting-interval/", "Minimize Connected Groups by Inserting Interval")</f>
        <v/>
      </c>
      <c r="C3738" s="1" t="n">
        <v>18</v>
      </c>
      <c r="D3738" s="1" t="n">
        <v>3</v>
      </c>
      <c r="E3738" s="4">
        <f>IF(INDEX(C:C, ROW())+INDEX(D:D, ROW())=0, 0, INDEX(C:C, ROW())/(INDEX(C:C, ROW())+INDEX(D:D, ROW())))</f>
        <v/>
      </c>
      <c r="F3738" s="1" t="inlineStr">
        <is>
          <t>Array, Binary Search, Sliding Window, Sorting</t>
        </is>
      </c>
      <c r="G3738" s="1" t="inlineStr">
        <is>
          <t>Medium</t>
        </is>
      </c>
      <c r="H3738" s="1" t="n">
        <v>1470</v>
      </c>
      <c r="I3738" s="1" t="n">
        <v>2918</v>
      </c>
      <c r="J3738" s="9" t="n">
        <v>0.504</v>
      </c>
      <c r="K3738" s="1" t="inlineStr">
        <is>
          <t>No</t>
        </is>
      </c>
      <c r="L3738" s="1" t="inlineStr">
        <is>
          <t>No</t>
        </is>
      </c>
      <c r="M3738" s="1" t="inlineStr">
        <is>
          <t>No</t>
        </is>
      </c>
      <c r="N3738" s="1" t="inlineStr">
        <is>
          <t>Algorithms</t>
        </is>
      </c>
      <c r="O37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38" s="11" t="inlineStr">
        <is>
          <t>To Do</t>
        </is>
      </c>
    </row>
    <row r="3739" ht="15.75" customHeight="1" s="12">
      <c r="A3739" s="1" t="n">
        <v>3466</v>
      </c>
      <c r="B3739" s="3">
        <f>HYPERLINK("https://leetcode.com/problems/maximum-coin-collection/", "Maximum Coin Collection ")</f>
        <v/>
      </c>
      <c r="C3739" s="1" t="n">
        <v>18</v>
      </c>
      <c r="D3739" s="1" t="n">
        <v>10</v>
      </c>
      <c r="E3739" s="4">
        <f>IF(INDEX(C:C, ROW())+INDEX(D:D, ROW())=0, 0, INDEX(C:C, ROW())/(INDEX(C:C, ROW())+INDEX(D:D, ROW())))</f>
        <v/>
      </c>
      <c r="F3739" s="1" t="inlineStr">
        <is>
          <t>Array, Dynamic Programming</t>
        </is>
      </c>
      <c r="G3739" s="1" t="inlineStr">
        <is>
          <t>Medium</t>
        </is>
      </c>
      <c r="H3739" s="1" t="n">
        <v>2711</v>
      </c>
      <c r="I3739" s="1" t="n">
        <v>5118</v>
      </c>
      <c r="J3739" s="9" t="n">
        <v>0.53</v>
      </c>
      <c r="K3739" s="1" t="inlineStr">
        <is>
          <t>No</t>
        </is>
      </c>
      <c r="L3739" s="1" t="inlineStr">
        <is>
          <t>No</t>
        </is>
      </c>
      <c r="M3739" s="1" t="inlineStr">
        <is>
          <t>No</t>
        </is>
      </c>
      <c r="N3739" s="1" t="inlineStr">
        <is>
          <t>Algorithms</t>
        </is>
      </c>
      <c r="O37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39" s="11" t="inlineStr">
        <is>
          <t>To Do</t>
        </is>
      </c>
    </row>
    <row r="3740" ht="15.75" customHeight="1" s="12">
      <c r="A3740" s="1" t="n">
        <v>2669</v>
      </c>
      <c r="B3740" s="3">
        <f>HYPERLINK("https://leetcode.com/problems/count-artist-occurrences-on-spotify-ranking-list/", "Count Artist Occurrences On Spotify Ranking List")</f>
        <v/>
      </c>
      <c r="C3740" s="1" t="n">
        <v>17</v>
      </c>
      <c r="D3740" s="1" t="n">
        <v>2</v>
      </c>
      <c r="E3740" s="4">
        <f>IF(INDEX(C:C, ROW())+INDEX(D:D, ROW())=0, 0, INDEX(C:C, ROW())/(INDEX(C:C, ROW())+INDEX(D:D, ROW())))</f>
        <v/>
      </c>
      <c r="F3740" s="1" t="inlineStr">
        <is>
          <t>Database</t>
        </is>
      </c>
      <c r="G3740" s="1" t="inlineStr">
        <is>
          <t>Easy</t>
        </is>
      </c>
      <c r="H3740" s="1" t="n">
        <v>6172</v>
      </c>
      <c r="I3740" s="1" t="n">
        <v>8307</v>
      </c>
      <c r="J3740" s="9" t="n">
        <v>0.743</v>
      </c>
      <c r="K3740" s="1" t="inlineStr">
        <is>
          <t>No</t>
        </is>
      </c>
      <c r="L3740" s="1" t="inlineStr">
        <is>
          <t>No</t>
        </is>
      </c>
      <c r="M3740" s="1" t="inlineStr">
        <is>
          <t>No</t>
        </is>
      </c>
      <c r="N3740" s="1" t="inlineStr">
        <is>
          <t>Database</t>
        </is>
      </c>
      <c r="O37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40" s="11" t="inlineStr">
        <is>
          <t>To Do</t>
        </is>
      </c>
    </row>
    <row r="3741" ht="15.75" customHeight="1" s="12">
      <c r="A3741" s="1" t="n">
        <v>2692</v>
      </c>
      <c r="B3741" s="3">
        <f>HYPERLINK("https://leetcode.com/problems/make-object-immutable/", "Make Object Immutable")</f>
        <v/>
      </c>
      <c r="C3741" s="1" t="n">
        <v>17</v>
      </c>
      <c r="D3741" s="1" t="n">
        <v>1</v>
      </c>
      <c r="E3741" s="4">
        <f>IF(INDEX(C:C, ROW())+INDEX(D:D, ROW())=0, 0, INDEX(C:C, ROW())/(INDEX(C:C, ROW())+INDEX(D:D, ROW())))</f>
        <v/>
      </c>
      <c r="F3741" s="2" t="n"/>
      <c r="G3741" s="1" t="inlineStr">
        <is>
          <t>Medium</t>
        </is>
      </c>
      <c r="H3741" s="1" t="n">
        <v>751</v>
      </c>
      <c r="I3741" s="1" t="n">
        <v>1197</v>
      </c>
      <c r="J3741" s="9" t="n">
        <v>0.627</v>
      </c>
      <c r="K3741" s="1" t="inlineStr">
        <is>
          <t>No</t>
        </is>
      </c>
      <c r="L3741" s="1" t="inlineStr">
        <is>
          <t>Yes</t>
        </is>
      </c>
      <c r="M3741" s="1" t="inlineStr">
        <is>
          <t>No</t>
        </is>
      </c>
      <c r="N3741" s="1" t="inlineStr">
        <is>
          <t>JavaScript</t>
        </is>
      </c>
      <c r="O37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41" s="11" t="inlineStr">
        <is>
          <t>To Do</t>
        </is>
      </c>
    </row>
    <row r="3742" ht="15.75" customHeight="1" s="12">
      <c r="A3742" s="1" t="n">
        <v>2754</v>
      </c>
      <c r="B3742" s="3">
        <f>HYPERLINK("https://leetcode.com/problems/bind-function-to-context/", "Bind Function to Context")</f>
        <v/>
      </c>
      <c r="C3742" s="1" t="n">
        <v>17</v>
      </c>
      <c r="D3742" s="1" t="n">
        <v>0</v>
      </c>
      <c r="E3742" s="4">
        <f>IF(INDEX(C:C, ROW())+INDEX(D:D, ROW())=0, 0, INDEX(C:C, ROW())/(INDEX(C:C, ROW())+INDEX(D:D, ROW())))</f>
        <v/>
      </c>
      <c r="F3742" s="2" t="n"/>
      <c r="G3742" s="1" t="inlineStr">
        <is>
          <t>Medium</t>
        </is>
      </c>
      <c r="H3742" s="1" t="n">
        <v>1117</v>
      </c>
      <c r="I3742" s="1" t="n">
        <v>1282</v>
      </c>
      <c r="J3742" s="9" t="n">
        <v>0.871</v>
      </c>
      <c r="K3742" s="1" t="inlineStr">
        <is>
          <t>No</t>
        </is>
      </c>
      <c r="L3742" s="1" t="inlineStr">
        <is>
          <t>Yes</t>
        </is>
      </c>
      <c r="M3742" s="1" t="inlineStr">
        <is>
          <t>No</t>
        </is>
      </c>
      <c r="N3742" s="1" t="inlineStr">
        <is>
          <t>JavaScript</t>
        </is>
      </c>
      <c r="O37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42" s="11" t="inlineStr">
        <is>
          <t>To Do</t>
        </is>
      </c>
    </row>
    <row r="3743" ht="15.75" customHeight="1" s="12">
      <c r="A3743" s="1" t="n">
        <v>2759</v>
      </c>
      <c r="B3743" s="3">
        <f>HYPERLINK("https://leetcode.com/problems/convert-json-string-to-object/", "Convert JSON String to Object")</f>
        <v/>
      </c>
      <c r="C3743" s="1" t="n">
        <v>17</v>
      </c>
      <c r="D3743" s="1" t="n">
        <v>4</v>
      </c>
      <c r="E3743" s="4">
        <f>IF(INDEX(C:C, ROW())+INDEX(D:D, ROW())=0, 0, INDEX(C:C, ROW())/(INDEX(C:C, ROW())+INDEX(D:D, ROW())))</f>
        <v/>
      </c>
      <c r="F3743" s="2" t="n"/>
      <c r="G3743" s="1" t="inlineStr">
        <is>
          <t>Hard</t>
        </is>
      </c>
      <c r="H3743" s="1" t="n">
        <v>951</v>
      </c>
      <c r="I3743" s="1" t="n">
        <v>1537</v>
      </c>
      <c r="J3743" s="9" t="n">
        <v>0.619</v>
      </c>
      <c r="K3743" s="1" t="inlineStr">
        <is>
          <t>No</t>
        </is>
      </c>
      <c r="L3743" s="1" t="inlineStr">
        <is>
          <t>Yes</t>
        </is>
      </c>
      <c r="M3743" s="1" t="inlineStr">
        <is>
          <t>No</t>
        </is>
      </c>
      <c r="N3743" s="1" t="inlineStr">
        <is>
          <t>JavaScript</t>
        </is>
      </c>
      <c r="O37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43" s="11" t="inlineStr">
        <is>
          <t>To Do</t>
        </is>
      </c>
    </row>
    <row r="3744" ht="15.75" customHeight="1" s="12">
      <c r="A3744" s="1" t="n">
        <v>2805</v>
      </c>
      <c r="B3744" s="3">
        <f>HYPERLINK("https://leetcode.com/problems/custom-interval/", "Custom Interval")</f>
        <v/>
      </c>
      <c r="C3744" s="1" t="n">
        <v>17</v>
      </c>
      <c r="D3744" s="1" t="n">
        <v>8</v>
      </c>
      <c r="E3744" s="4">
        <f>IF(INDEX(C:C, ROW())+INDEX(D:D, ROW())=0, 0, INDEX(C:C, ROW())/(INDEX(C:C, ROW())+INDEX(D:D, ROW())))</f>
        <v/>
      </c>
      <c r="F3744" s="2" t="n"/>
      <c r="G3744" s="1" t="inlineStr">
        <is>
          <t>Medium</t>
        </is>
      </c>
      <c r="H3744" s="1" t="n">
        <v>789</v>
      </c>
      <c r="I3744" s="1" t="n">
        <v>925</v>
      </c>
      <c r="J3744" s="9" t="n">
        <v>0.853</v>
      </c>
      <c r="K3744" s="1" t="inlineStr">
        <is>
          <t>No</t>
        </is>
      </c>
      <c r="L3744" s="1" t="inlineStr">
        <is>
          <t>Yes</t>
        </is>
      </c>
      <c r="M3744" s="1" t="inlineStr">
        <is>
          <t>No</t>
        </is>
      </c>
      <c r="N3744" s="1" t="inlineStr">
        <is>
          <t>JavaScript</t>
        </is>
      </c>
      <c r="O37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44" s="11" t="inlineStr">
        <is>
          <t>To Do</t>
        </is>
      </c>
    </row>
    <row r="3745" ht="15.75" customHeight="1" s="12">
      <c r="A3745" s="1" t="n">
        <v>2819</v>
      </c>
      <c r="B3745" s="3">
        <f>HYPERLINK("https://leetcode.com/problems/minimum-relative-loss-after-buying-chocolates/", "Minimum Relative Loss After Buying Chocolates")</f>
        <v/>
      </c>
      <c r="C3745" s="1" t="n">
        <v>17</v>
      </c>
      <c r="D3745" s="1" t="n">
        <v>3</v>
      </c>
      <c r="E3745" s="4">
        <f>IF(INDEX(C:C, ROW())+INDEX(D:D, ROW())=0, 0, INDEX(C:C, ROW())/(INDEX(C:C, ROW())+INDEX(D:D, ROW())))</f>
        <v/>
      </c>
      <c r="F3745" s="1" t="inlineStr">
        <is>
          <t>Array, Binary Search, Sorting, Prefix Sum</t>
        </is>
      </c>
      <c r="G3745" s="1" t="inlineStr">
        <is>
          <t>Hard</t>
        </is>
      </c>
      <c r="H3745" s="1" t="n">
        <v>712</v>
      </c>
      <c r="I3745" s="1" t="n">
        <v>1538</v>
      </c>
      <c r="J3745" s="9" t="n">
        <v>0.463</v>
      </c>
      <c r="K3745" s="1" t="inlineStr">
        <is>
          <t>No</t>
        </is>
      </c>
      <c r="L3745" s="1" t="inlineStr">
        <is>
          <t>No</t>
        </is>
      </c>
      <c r="M3745" s="1" t="inlineStr">
        <is>
          <t>No</t>
        </is>
      </c>
      <c r="N3745" s="1" t="inlineStr">
        <is>
          <t>Algorithms</t>
        </is>
      </c>
      <c r="O37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45" s="11" t="inlineStr">
        <is>
          <t>To Do</t>
        </is>
      </c>
    </row>
    <row r="3746" ht="15.75" customHeight="1" s="12">
      <c r="A3746" s="1" t="n">
        <v>2822</v>
      </c>
      <c r="B3746" s="3">
        <f>HYPERLINK("https://leetcode.com/problems/inversion-of-object/", "Inversion of Object")</f>
        <v/>
      </c>
      <c r="C3746" s="1" t="n">
        <v>17</v>
      </c>
      <c r="D3746" s="1" t="n">
        <v>1</v>
      </c>
      <c r="E3746" s="4">
        <f>IF(INDEX(C:C, ROW())+INDEX(D:D, ROW())=0, 0, INDEX(C:C, ROW())/(INDEX(C:C, ROW())+INDEX(D:D, ROW())))</f>
        <v/>
      </c>
      <c r="F3746" s="2" t="n"/>
      <c r="G3746" s="1" t="inlineStr">
        <is>
          <t>Easy</t>
        </is>
      </c>
      <c r="H3746" s="1" t="n">
        <v>1530</v>
      </c>
      <c r="I3746" s="1" t="n">
        <v>2475</v>
      </c>
      <c r="J3746" s="9" t="n">
        <v>0.618</v>
      </c>
      <c r="K3746" s="1" t="inlineStr">
        <is>
          <t>No</t>
        </is>
      </c>
      <c r="L3746" s="1" t="inlineStr">
        <is>
          <t>No</t>
        </is>
      </c>
      <c r="M3746" s="1" t="inlineStr">
        <is>
          <t>No</t>
        </is>
      </c>
      <c r="N3746" s="1" t="inlineStr">
        <is>
          <t>JavaScript</t>
        </is>
      </c>
      <c r="O37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46" s="11" t="inlineStr">
        <is>
          <t>To Do</t>
        </is>
      </c>
    </row>
    <row r="3747" ht="15.75" customHeight="1" s="12">
      <c r="A3747" s="1" t="n">
        <v>2823</v>
      </c>
      <c r="B3747" s="3">
        <f>HYPERLINK("https://leetcode.com/problems/deep-object-filter/", "Deep Object Filter")</f>
        <v/>
      </c>
      <c r="C3747" s="1" t="n">
        <v>17</v>
      </c>
      <c r="D3747" s="1" t="n">
        <v>3</v>
      </c>
      <c r="E3747" s="4">
        <f>IF(INDEX(C:C, ROW())+INDEX(D:D, ROW())=0, 0, INDEX(C:C, ROW())/(INDEX(C:C, ROW())+INDEX(D:D, ROW())))</f>
        <v/>
      </c>
      <c r="F3747" s="2" t="n"/>
      <c r="G3747" s="1" t="inlineStr">
        <is>
          <t>Medium</t>
        </is>
      </c>
      <c r="H3747" s="1" t="n">
        <v>767</v>
      </c>
      <c r="I3747" s="1" t="n">
        <v>1339</v>
      </c>
      <c r="J3747" s="9" t="n">
        <v>0.573</v>
      </c>
      <c r="K3747" s="1" t="inlineStr">
        <is>
          <t>No</t>
        </is>
      </c>
      <c r="L3747" s="1" t="inlineStr">
        <is>
          <t>Yes</t>
        </is>
      </c>
      <c r="M3747" s="1" t="inlineStr">
        <is>
          <t>No</t>
        </is>
      </c>
      <c r="N3747" s="1" t="inlineStr">
        <is>
          <t>JavaScript</t>
        </is>
      </c>
      <c r="O37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47" s="11" t="inlineStr">
        <is>
          <t>To Do</t>
        </is>
      </c>
    </row>
    <row r="3748" ht="15.75" customHeight="1" s="12">
      <c r="A3748" s="1" t="n">
        <v>2941</v>
      </c>
      <c r="B3748" s="3">
        <f>HYPERLINK("https://leetcode.com/problems/maximum-gcd-sum-of-a-subarray/", "Maximum GCD-Sum of a Subarray")</f>
        <v/>
      </c>
      <c r="C3748" s="1" t="n">
        <v>17</v>
      </c>
      <c r="D3748" s="1" t="n">
        <v>3</v>
      </c>
      <c r="E3748" s="4">
        <f>IF(INDEX(C:C, ROW())+INDEX(D:D, ROW())=0, 0, INDEX(C:C, ROW())/(INDEX(C:C, ROW())+INDEX(D:D, ROW())))</f>
        <v/>
      </c>
      <c r="F3748" s="1" t="inlineStr">
        <is>
          <t>Array, Math, Binary Search, Number Theory</t>
        </is>
      </c>
      <c r="G3748" s="1" t="inlineStr">
        <is>
          <t>Hard</t>
        </is>
      </c>
      <c r="H3748" s="1" t="n">
        <v>694</v>
      </c>
      <c r="I3748" s="1" t="n">
        <v>1807</v>
      </c>
      <c r="J3748" s="9" t="n">
        <v>0.384</v>
      </c>
      <c r="K3748" s="1" t="inlineStr">
        <is>
          <t>No</t>
        </is>
      </c>
      <c r="L3748" s="1" t="inlineStr">
        <is>
          <t>No</t>
        </is>
      </c>
      <c r="M3748" s="1" t="inlineStr">
        <is>
          <t>No</t>
        </is>
      </c>
      <c r="N3748" s="1" t="inlineStr">
        <is>
          <t>Algorithms</t>
        </is>
      </c>
      <c r="O37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48" s="11" t="inlineStr">
        <is>
          <t>To Do</t>
        </is>
      </c>
    </row>
    <row r="3749" ht="15.75" customHeight="1" s="12">
      <c r="A3749" s="1" t="n">
        <v>3050</v>
      </c>
      <c r="B3749" s="3">
        <f>HYPERLINK("https://leetcode.com/problems/pizza-toppings-cost-analysis/", "Pizza Toppings Cost Analysis")</f>
        <v/>
      </c>
      <c r="C3749" s="1" t="n">
        <v>17</v>
      </c>
      <c r="D3749" s="1" t="n">
        <v>1</v>
      </c>
      <c r="E3749" s="4">
        <f>IF(INDEX(C:C, ROW())+INDEX(D:D, ROW())=0, 0, INDEX(C:C, ROW())/(INDEX(C:C, ROW())+INDEX(D:D, ROW())))</f>
        <v/>
      </c>
      <c r="F3749" s="1" t="inlineStr">
        <is>
          <t>Database</t>
        </is>
      </c>
      <c r="G3749" s="1" t="inlineStr">
        <is>
          <t>Medium</t>
        </is>
      </c>
      <c r="H3749" s="1" t="n">
        <v>3843</v>
      </c>
      <c r="I3749" s="1" t="n">
        <v>5568</v>
      </c>
      <c r="J3749" s="9" t="n">
        <v>0.6899999999999999</v>
      </c>
      <c r="K3749" s="1" t="inlineStr">
        <is>
          <t>No</t>
        </is>
      </c>
      <c r="L3749" s="1" t="inlineStr">
        <is>
          <t>No</t>
        </is>
      </c>
      <c r="M3749" s="1" t="inlineStr">
        <is>
          <t>No</t>
        </is>
      </c>
      <c r="N3749" s="1" t="inlineStr">
        <is>
          <t>Database</t>
        </is>
      </c>
      <c r="O37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49" s="11" t="inlineStr">
        <is>
          <t>To Do</t>
        </is>
      </c>
    </row>
    <row r="3750" ht="15.75" customHeight="1" s="12">
      <c r="A3750" s="1" t="n">
        <v>3215</v>
      </c>
      <c r="B3750" s="3">
        <f>HYPERLINK("https://leetcode.com/problems/count-triplets-with-even-xor-set-bits-ii/", "Count Triplets with Even XOR Set Bits II")</f>
        <v/>
      </c>
      <c r="C3750" s="1" t="n">
        <v>17</v>
      </c>
      <c r="D3750" s="1" t="n">
        <v>3</v>
      </c>
      <c r="E3750" s="4">
        <f>IF(INDEX(C:C, ROW())+INDEX(D:D, ROW())=0, 0, INDEX(C:C, ROW())/(INDEX(C:C, ROW())+INDEX(D:D, ROW())))</f>
        <v/>
      </c>
      <c r="F3750" s="1" t="inlineStr">
        <is>
          <t>Array, Bit Manipulation</t>
        </is>
      </c>
      <c r="G3750" s="1" t="inlineStr">
        <is>
          <t>Medium</t>
        </is>
      </c>
      <c r="H3750" s="1" t="n">
        <v>817</v>
      </c>
      <c r="I3750" s="1" t="n">
        <v>1330</v>
      </c>
      <c r="J3750" s="9" t="n">
        <v>0.614</v>
      </c>
      <c r="K3750" s="1" t="inlineStr">
        <is>
          <t>No</t>
        </is>
      </c>
      <c r="L3750" s="1" t="inlineStr">
        <is>
          <t>No</t>
        </is>
      </c>
      <c r="M3750" s="1" t="inlineStr">
        <is>
          <t>No</t>
        </is>
      </c>
      <c r="N3750" s="1" t="inlineStr">
        <is>
          <t>Algorithms</t>
        </is>
      </c>
      <c r="O37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50" s="11" t="inlineStr">
        <is>
          <t>To Do</t>
        </is>
      </c>
    </row>
    <row r="3751" ht="15.75" customHeight="1" s="12">
      <c r="A3751" s="1" t="n">
        <v>3221</v>
      </c>
      <c r="B3751" s="3">
        <f>HYPERLINK("https://leetcode.com/problems/maximum-array-hopping-score-ii/", "Maximum Array Hopping Score II")</f>
        <v/>
      </c>
      <c r="C3751" s="1" t="n">
        <v>17</v>
      </c>
      <c r="D3751" s="1" t="n">
        <v>3</v>
      </c>
      <c r="E3751" s="4">
        <f>IF(INDEX(C:C, ROW())+INDEX(D:D, ROW())=0, 0, INDEX(C:C, ROW())/(INDEX(C:C, ROW())+INDEX(D:D, ROW())))</f>
        <v/>
      </c>
      <c r="F3751" s="1" t="inlineStr">
        <is>
          <t>Array, Stack, Greedy, Monotonic Stack</t>
        </is>
      </c>
      <c r="G3751" s="1" t="inlineStr">
        <is>
          <t>Medium</t>
        </is>
      </c>
      <c r="H3751" s="1" t="n">
        <v>1163</v>
      </c>
      <c r="I3751" s="1" t="n">
        <v>1948</v>
      </c>
      <c r="J3751" s="9" t="n">
        <v>0.597</v>
      </c>
      <c r="K3751" s="1" t="inlineStr">
        <is>
          <t>No</t>
        </is>
      </c>
      <c r="L3751" s="1" t="inlineStr">
        <is>
          <t>No</t>
        </is>
      </c>
      <c r="M3751" s="1" t="inlineStr">
        <is>
          <t>No</t>
        </is>
      </c>
      <c r="N3751" s="1" t="inlineStr">
        <is>
          <t>Algorithms</t>
        </is>
      </c>
      <c r="O37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51" s="11" t="inlineStr">
        <is>
          <t>To Do</t>
        </is>
      </c>
    </row>
    <row r="3752" ht="15.75" customHeight="1" s="12">
      <c r="A3752" s="1" t="n">
        <v>3437</v>
      </c>
      <c r="B3752" s="3">
        <f>HYPERLINK("https://leetcode.com/problems/permutations-iii/", "Permutations III")</f>
        <v/>
      </c>
      <c r="C3752" s="1" t="n">
        <v>17</v>
      </c>
      <c r="D3752" s="1" t="n">
        <v>2</v>
      </c>
      <c r="E3752" s="4">
        <f>IF(INDEX(C:C, ROW())+INDEX(D:D, ROW())=0, 0, INDEX(C:C, ROW())/(INDEX(C:C, ROW())+INDEX(D:D, ROW())))</f>
        <v/>
      </c>
      <c r="F3752" s="1" t="inlineStr">
        <is>
          <t>Array, Backtracking</t>
        </is>
      </c>
      <c r="G3752" s="1" t="inlineStr">
        <is>
          <t>Medium</t>
        </is>
      </c>
      <c r="H3752" s="1" t="n">
        <v>3195</v>
      </c>
      <c r="I3752" s="1" t="n">
        <v>3679</v>
      </c>
      <c r="J3752" s="9" t="n">
        <v>0.868</v>
      </c>
      <c r="K3752" s="1" t="inlineStr">
        <is>
          <t>No</t>
        </is>
      </c>
      <c r="L3752" s="1" t="inlineStr">
        <is>
          <t>No</t>
        </is>
      </c>
      <c r="M3752" s="1" t="inlineStr">
        <is>
          <t>No</t>
        </is>
      </c>
      <c r="N3752" s="1" t="inlineStr">
        <is>
          <t>Algorithms</t>
        </is>
      </c>
      <c r="O37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52" s="11" t="inlineStr">
        <is>
          <t>To Do</t>
        </is>
      </c>
    </row>
    <row r="3753" ht="15.75" customHeight="1" s="12">
      <c r="A3753" s="1" t="n">
        <v>2005</v>
      </c>
      <c r="B3753" s="3">
        <f>HYPERLINK("https://leetcode.com/problems/subtree-removal-game-with-fibonacci-tree/", "Subtree Removal Game with Fibonacci Tree")</f>
        <v/>
      </c>
      <c r="C3753" s="1" t="n">
        <v>16</v>
      </c>
      <c r="D3753" s="1" t="n">
        <v>50</v>
      </c>
      <c r="E3753" s="4">
        <f>IF(INDEX(C:C, ROW())+INDEX(D:D, ROW())=0, 0, INDEX(C:C, ROW())/(INDEX(C:C, ROW())+INDEX(D:D, ROW())))</f>
        <v/>
      </c>
      <c r="F3753" s="1" t="inlineStr">
        <is>
          <t>Math, Dynamic Programming, Tree, Binary Tree, Game Theory</t>
        </is>
      </c>
      <c r="G3753" s="1" t="inlineStr">
        <is>
          <t>Hard</t>
        </is>
      </c>
      <c r="H3753" s="1" t="n">
        <v>927</v>
      </c>
      <c r="I3753" s="1" t="n">
        <v>1612</v>
      </c>
      <c r="J3753" s="9" t="n">
        <v>0.575</v>
      </c>
      <c r="K3753" s="1" t="inlineStr">
        <is>
          <t>No</t>
        </is>
      </c>
      <c r="L3753" s="1" t="inlineStr">
        <is>
          <t>No</t>
        </is>
      </c>
      <c r="M3753" s="1" t="inlineStr">
        <is>
          <t>No</t>
        </is>
      </c>
      <c r="N3753" s="1" t="inlineStr">
        <is>
          <t>Algorithms</t>
        </is>
      </c>
      <c r="O37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53" s="11" t="inlineStr">
        <is>
          <t>To Do</t>
        </is>
      </c>
    </row>
    <row r="3754" ht="15.75" customHeight="1" s="12">
      <c r="A3754" s="1" t="n">
        <v>2686</v>
      </c>
      <c r="B3754" s="3">
        <f>HYPERLINK("https://leetcode.com/problems/immediate-food-delivery-iii/", "Immediate Food Delivery III")</f>
        <v/>
      </c>
      <c r="C3754" s="1" t="n">
        <v>16</v>
      </c>
      <c r="D3754" s="1" t="n">
        <v>1</v>
      </c>
      <c r="E3754" s="4">
        <f>IF(INDEX(C:C, ROW())+INDEX(D:D, ROW())=0, 0, INDEX(C:C, ROW())/(INDEX(C:C, ROW())+INDEX(D:D, ROW())))</f>
        <v/>
      </c>
      <c r="F3754" s="1" t="inlineStr">
        <is>
          <t>Database</t>
        </is>
      </c>
      <c r="G3754" s="1" t="inlineStr">
        <is>
          <t>Medium</t>
        </is>
      </c>
      <c r="H3754" s="1" t="n">
        <v>5925</v>
      </c>
      <c r="I3754" s="1" t="n">
        <v>8417</v>
      </c>
      <c r="J3754" s="9" t="n">
        <v>0.704</v>
      </c>
      <c r="K3754" s="1" t="inlineStr">
        <is>
          <t>No</t>
        </is>
      </c>
      <c r="L3754" s="1" t="inlineStr">
        <is>
          <t>No</t>
        </is>
      </c>
      <c r="M3754" s="1" t="inlineStr">
        <is>
          <t>No</t>
        </is>
      </c>
      <c r="N3754" s="1" t="inlineStr">
        <is>
          <t>Database</t>
        </is>
      </c>
      <c r="O37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54" s="11" t="inlineStr">
        <is>
          <t>To Do</t>
        </is>
      </c>
    </row>
    <row r="3755" ht="15.75" customHeight="1" s="12">
      <c r="A3755" s="1" t="n">
        <v>2752</v>
      </c>
      <c r="B3755" s="3">
        <f>HYPERLINK("https://leetcode.com/problems/customers-with-maximum-number-of-transactions-on-consecutive-days/", "Customers with Maximum Number of Transactions on Consecutive Days")</f>
        <v/>
      </c>
      <c r="C3755" s="1" t="n">
        <v>16</v>
      </c>
      <c r="D3755" s="1" t="n">
        <v>35</v>
      </c>
      <c r="E3755" s="4">
        <f>IF(INDEX(C:C, ROW())+INDEX(D:D, ROW())=0, 0, INDEX(C:C, ROW())/(INDEX(C:C, ROW())+INDEX(D:D, ROW())))</f>
        <v/>
      </c>
      <c r="F3755" s="1" t="inlineStr">
        <is>
          <t>Database</t>
        </is>
      </c>
      <c r="G3755" s="1" t="inlineStr">
        <is>
          <t>Hard</t>
        </is>
      </c>
      <c r="H3755" s="1" t="n">
        <v>3217</v>
      </c>
      <c r="I3755" s="1" t="n">
        <v>7583</v>
      </c>
      <c r="J3755" s="9" t="n">
        <v>0.424</v>
      </c>
      <c r="K3755" s="1" t="inlineStr">
        <is>
          <t>No</t>
        </is>
      </c>
      <c r="L3755" s="1" t="inlineStr">
        <is>
          <t>No</t>
        </is>
      </c>
      <c r="M3755" s="1" t="inlineStr">
        <is>
          <t>No</t>
        </is>
      </c>
      <c r="N3755" s="1" t="inlineStr">
        <is>
          <t>Database</t>
        </is>
      </c>
      <c r="O37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55" s="11" t="inlineStr">
        <is>
          <t>To Do</t>
        </is>
      </c>
    </row>
    <row r="3756" ht="15.75" customHeight="1" s="12">
      <c r="A3756" s="1" t="n">
        <v>2795</v>
      </c>
      <c r="B3756" s="3">
        <f>HYPERLINK("https://leetcode.com/problems/parallel-execution-of-promises-for-individual-results-retrieval/", "Parallel Execution of Promises for Individual Results Retrieval")</f>
        <v/>
      </c>
      <c r="C3756" s="1" t="n">
        <v>16</v>
      </c>
      <c r="D3756" s="1" t="n">
        <v>5</v>
      </c>
      <c r="E3756" s="4">
        <f>IF(INDEX(C:C, ROW())+INDEX(D:D, ROW())=0, 0, INDEX(C:C, ROW())/(INDEX(C:C, ROW())+INDEX(D:D, ROW())))</f>
        <v/>
      </c>
      <c r="F3756" s="2" t="n"/>
      <c r="G3756" s="1" t="inlineStr">
        <is>
          <t>Medium</t>
        </is>
      </c>
      <c r="H3756" s="1" t="n">
        <v>1112</v>
      </c>
      <c r="I3756" s="1" t="n">
        <v>1271</v>
      </c>
      <c r="J3756" s="9" t="n">
        <v>0.875</v>
      </c>
      <c r="K3756" s="1" t="inlineStr">
        <is>
          <t>No</t>
        </is>
      </c>
      <c r="L3756" s="1" t="inlineStr">
        <is>
          <t>Yes</t>
        </is>
      </c>
      <c r="M3756" s="1" t="inlineStr">
        <is>
          <t>No</t>
        </is>
      </c>
      <c r="N3756" s="1" t="inlineStr">
        <is>
          <t>JavaScript</t>
        </is>
      </c>
      <c r="O37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56" s="11" t="inlineStr">
        <is>
          <t>To Do</t>
        </is>
      </c>
    </row>
    <row r="3757" ht="15.75" customHeight="1" s="12">
      <c r="A3757" s="1" t="n">
        <v>2986</v>
      </c>
      <c r="B3757" s="3">
        <f>HYPERLINK("https://leetcode.com/problems/find-third-transaction/", "Find Third Transaction")</f>
        <v/>
      </c>
      <c r="C3757" s="1" t="n">
        <v>16</v>
      </c>
      <c r="D3757" s="1" t="n">
        <v>9</v>
      </c>
      <c r="E3757" s="4">
        <f>IF(INDEX(C:C, ROW())+INDEX(D:D, ROW())=0, 0, INDEX(C:C, ROW())/(INDEX(C:C, ROW())+INDEX(D:D, ROW())))</f>
        <v/>
      </c>
      <c r="F3757" s="1" t="inlineStr">
        <is>
          <t>Database</t>
        </is>
      </c>
      <c r="G3757" s="1" t="inlineStr">
        <is>
          <t>Medium</t>
        </is>
      </c>
      <c r="H3757" s="1" t="n">
        <v>4467</v>
      </c>
      <c r="I3757" s="1" t="n">
        <v>8274</v>
      </c>
      <c r="J3757" s="9" t="n">
        <v>0.54</v>
      </c>
      <c r="K3757" s="1" t="inlineStr">
        <is>
          <t>No</t>
        </is>
      </c>
      <c r="L3757" s="1" t="inlineStr">
        <is>
          <t>No</t>
        </is>
      </c>
      <c r="M3757" s="1" t="inlineStr">
        <is>
          <t>No</t>
        </is>
      </c>
      <c r="N3757" s="1" t="inlineStr">
        <is>
          <t>Database</t>
        </is>
      </c>
      <c r="O37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57" s="11" t="inlineStr">
        <is>
          <t>To Do</t>
        </is>
      </c>
    </row>
    <row r="3758" ht="15.75" customHeight="1" s="12">
      <c r="A3758" s="1" t="n">
        <v>3109</v>
      </c>
      <c r="B3758" s="3">
        <f>HYPERLINK("https://leetcode.com/problems/find-the-index-of-permutation/", "Find the Index of Permutation")</f>
        <v/>
      </c>
      <c r="C3758" s="1" t="n">
        <v>16</v>
      </c>
      <c r="D3758" s="1" t="n">
        <v>5</v>
      </c>
      <c r="E3758" s="4">
        <f>IF(INDEX(C:C, ROW())+INDEX(D:D, ROW())=0, 0, INDEX(C:C, ROW())/(INDEX(C:C, ROW())+INDEX(D:D, ROW())))</f>
        <v/>
      </c>
      <c r="F3758" s="1" t="inlineStr">
        <is>
          <t>Array, Binary Search, Divide and Conquer, Binary Indexed Tree, Segment Tree, Merge Sort, Ordered Set</t>
        </is>
      </c>
      <c r="G3758" s="1" t="inlineStr">
        <is>
          <t>Medium</t>
        </is>
      </c>
      <c r="H3758" s="1" t="n">
        <v>877</v>
      </c>
      <c r="I3758" s="1" t="n">
        <v>2401</v>
      </c>
      <c r="J3758" s="9" t="n">
        <v>0.365</v>
      </c>
      <c r="K3758" s="1" t="inlineStr">
        <is>
          <t>No</t>
        </is>
      </c>
      <c r="L3758" s="1" t="inlineStr">
        <is>
          <t>No</t>
        </is>
      </c>
      <c r="M3758" s="1" t="inlineStr">
        <is>
          <t>No</t>
        </is>
      </c>
      <c r="N3758" s="1" t="inlineStr">
        <is>
          <t>Algorithms</t>
        </is>
      </c>
      <c r="O37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58" s="11" t="inlineStr">
        <is>
          <t>To Do</t>
        </is>
      </c>
    </row>
    <row r="3759" ht="15.75" customHeight="1" s="12">
      <c r="A3759" s="1" t="n">
        <v>3135</v>
      </c>
      <c r="B3759" s="3">
        <f>HYPERLINK("https://leetcode.com/problems/equalize-strings-by-adding-or-removing-characters-at-ends/", "Equalize Strings by Adding or Removing Characters at Ends")</f>
        <v/>
      </c>
      <c r="C3759" s="1" t="n">
        <v>16</v>
      </c>
      <c r="D3759" s="1" t="n">
        <v>2</v>
      </c>
      <c r="E3759" s="4">
        <f>IF(INDEX(C:C, ROW())+INDEX(D:D, ROW())=0, 0, INDEX(C:C, ROW())/(INDEX(C:C, ROW())+INDEX(D:D, ROW())))</f>
        <v/>
      </c>
      <c r="F3759" s="1" t="inlineStr">
        <is>
          <t>String, Binary Search, Dynamic Programming, Sliding Window, Hash Function</t>
        </is>
      </c>
      <c r="G3759" s="1" t="inlineStr">
        <is>
          <t>Medium</t>
        </is>
      </c>
      <c r="H3759" s="1" t="n">
        <v>1469</v>
      </c>
      <c r="I3759" s="1" t="n">
        <v>2615</v>
      </c>
      <c r="J3759" s="9" t="n">
        <v>0.5620000000000001</v>
      </c>
      <c r="K3759" s="1" t="inlineStr">
        <is>
          <t>No</t>
        </is>
      </c>
      <c r="L3759" s="1" t="inlineStr">
        <is>
          <t>No</t>
        </is>
      </c>
      <c r="M3759" s="1" t="inlineStr">
        <is>
          <t>No</t>
        </is>
      </c>
      <c r="N3759" s="1" t="inlineStr">
        <is>
          <t>Algorithms</t>
        </is>
      </c>
      <c r="O37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59" s="11" t="inlineStr">
        <is>
          <t>To Do</t>
        </is>
      </c>
    </row>
    <row r="3760" ht="15.75" customHeight="1" s="12">
      <c r="A3760" s="1" t="n">
        <v>3182</v>
      </c>
      <c r="B3760" s="3">
        <f>HYPERLINK("https://leetcode.com/problems/find-top-scoring-students/", "Find Top Scoring Students")</f>
        <v/>
      </c>
      <c r="C3760" s="1" t="n">
        <v>16</v>
      </c>
      <c r="D3760" s="1" t="n">
        <v>3</v>
      </c>
      <c r="E3760" s="4">
        <f>IF(INDEX(C:C, ROW())+INDEX(D:D, ROW())=0, 0, INDEX(C:C, ROW())/(INDEX(C:C, ROW())+INDEX(D:D, ROW())))</f>
        <v/>
      </c>
      <c r="F3760" s="1" t="inlineStr">
        <is>
          <t>Database</t>
        </is>
      </c>
      <c r="G3760" s="1" t="inlineStr">
        <is>
          <t>Medium</t>
        </is>
      </c>
      <c r="H3760" s="1" t="n">
        <v>3066</v>
      </c>
      <c r="I3760" s="1" t="n">
        <v>6132</v>
      </c>
      <c r="J3760" s="9" t="n">
        <v>0.5</v>
      </c>
      <c r="K3760" s="1" t="inlineStr">
        <is>
          <t>No</t>
        </is>
      </c>
      <c r="L3760" s="1" t="inlineStr">
        <is>
          <t>No</t>
        </is>
      </c>
      <c r="M3760" s="1" t="inlineStr">
        <is>
          <t>No</t>
        </is>
      </c>
      <c r="N3760" s="1" t="inlineStr">
        <is>
          <t>Database</t>
        </is>
      </c>
      <c r="O37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60" s="11" t="inlineStr">
        <is>
          <t>To Do</t>
        </is>
      </c>
    </row>
    <row r="3761" ht="15.75" customHeight="1" s="12">
      <c r="A3761" s="1" t="n">
        <v>3610</v>
      </c>
      <c r="B3761" s="3">
        <f>HYPERLINK("https://leetcode.com/problems/minimum-number-of-primes-to-sum-to-target/", "Minimum Number of Primes to Sum to Target")</f>
        <v/>
      </c>
      <c r="C3761" s="1" t="n">
        <v>16</v>
      </c>
      <c r="D3761" s="1" t="n">
        <v>1</v>
      </c>
      <c r="E3761" s="4">
        <f>IF(INDEX(C:C, ROW())+INDEX(D:D, ROW())=0, 0, INDEX(C:C, ROW())/(INDEX(C:C, ROW())+INDEX(D:D, ROW())))</f>
        <v/>
      </c>
      <c r="F3761" s="1" t="inlineStr">
        <is>
          <t>Array, Math, Dynamic Programming, Number Theory</t>
        </is>
      </c>
      <c r="G3761" s="1" t="inlineStr">
        <is>
          <t>Medium</t>
        </is>
      </c>
      <c r="H3761" s="1" t="n">
        <v>3437</v>
      </c>
      <c r="I3761" s="1" t="n">
        <v>5738</v>
      </c>
      <c r="J3761" s="9" t="n">
        <v>0.599</v>
      </c>
      <c r="K3761" s="1" t="inlineStr">
        <is>
          <t>No</t>
        </is>
      </c>
      <c r="L3761" s="1" t="inlineStr">
        <is>
          <t>No</t>
        </is>
      </c>
      <c r="M3761" s="1" t="inlineStr">
        <is>
          <t>No</t>
        </is>
      </c>
      <c r="N3761" s="1" t="inlineStr">
        <is>
          <t>Algorithms</t>
        </is>
      </c>
      <c r="O37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61" s="11" t="inlineStr">
        <is>
          <t>To Do</t>
        </is>
      </c>
    </row>
    <row r="3762" ht="15.75" customHeight="1" s="12">
      <c r="A3762" s="1" t="n">
        <v>1924</v>
      </c>
      <c r="B3762" s="3">
        <f>HYPERLINK("https://leetcode.com/problems/erect-the-fence-ii/", "Erect the Fence II")</f>
        <v/>
      </c>
      <c r="C3762" s="1" t="n">
        <v>15</v>
      </c>
      <c r="D3762" s="1" t="n">
        <v>44</v>
      </c>
      <c r="E3762" s="4">
        <f>IF(INDEX(C:C, ROW())+INDEX(D:D, ROW())=0, 0, INDEX(C:C, ROW())/(INDEX(C:C, ROW())+INDEX(D:D, ROW())))</f>
        <v/>
      </c>
      <c r="F3762" s="1" t="inlineStr">
        <is>
          <t>Array, Math, Geometry</t>
        </is>
      </c>
      <c r="G3762" s="1" t="inlineStr">
        <is>
          <t>Hard</t>
        </is>
      </c>
      <c r="H3762" s="1" t="n">
        <v>1009</v>
      </c>
      <c r="I3762" s="1" t="n">
        <v>1971</v>
      </c>
      <c r="J3762" s="9" t="n">
        <v>0.512</v>
      </c>
      <c r="K3762" s="1" t="inlineStr">
        <is>
          <t>No</t>
        </is>
      </c>
      <c r="L3762" s="1" t="inlineStr">
        <is>
          <t>No</t>
        </is>
      </c>
      <c r="M3762" s="1" t="inlineStr">
        <is>
          <t>No</t>
        </is>
      </c>
      <c r="N3762" s="1" t="inlineStr">
        <is>
          <t>Algorithms</t>
        </is>
      </c>
      <c r="O37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62" s="11" t="inlineStr">
        <is>
          <t>To Do</t>
        </is>
      </c>
    </row>
    <row r="3763" ht="15.75" customHeight="1" s="12">
      <c r="A3763" s="1" t="n">
        <v>2755</v>
      </c>
      <c r="B3763" s="3">
        <f>HYPERLINK("https://leetcode.com/problems/deep-merge-of-two-objects/", "Deep Merge of Two Objects")</f>
        <v/>
      </c>
      <c r="C3763" s="1" t="n">
        <v>15</v>
      </c>
      <c r="D3763" s="1" t="n">
        <v>4</v>
      </c>
      <c r="E3763" s="4">
        <f>IF(INDEX(C:C, ROW())+INDEX(D:D, ROW())=0, 0, INDEX(C:C, ROW())/(INDEX(C:C, ROW())+INDEX(D:D, ROW())))</f>
        <v/>
      </c>
      <c r="F3763" s="2" t="n"/>
      <c r="G3763" s="1" t="inlineStr">
        <is>
          <t>Medium</t>
        </is>
      </c>
      <c r="H3763" s="1" t="n">
        <v>932</v>
      </c>
      <c r="I3763" s="1" t="n">
        <v>1435</v>
      </c>
      <c r="J3763" s="9" t="n">
        <v>0.649</v>
      </c>
      <c r="K3763" s="1" t="inlineStr">
        <is>
          <t>No</t>
        </is>
      </c>
      <c r="L3763" s="1" t="inlineStr">
        <is>
          <t>Yes</t>
        </is>
      </c>
      <c r="M3763" s="1" t="inlineStr">
        <is>
          <t>No</t>
        </is>
      </c>
      <c r="N3763" s="1" t="inlineStr">
        <is>
          <t>JavaScript</t>
        </is>
      </c>
      <c r="O37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63" s="11" t="inlineStr">
        <is>
          <t>To Do</t>
        </is>
      </c>
    </row>
    <row r="3764" ht="15.75" customHeight="1" s="12">
      <c r="A3764" s="1" t="n">
        <v>2756</v>
      </c>
      <c r="B3764" s="3">
        <f>HYPERLINK("https://leetcode.com/problems/query-batching/", "Query Batching")</f>
        <v/>
      </c>
      <c r="C3764" s="1" t="n">
        <v>15</v>
      </c>
      <c r="D3764" s="1" t="n">
        <v>5</v>
      </c>
      <c r="E3764" s="4">
        <f>IF(INDEX(C:C, ROW())+INDEX(D:D, ROW())=0, 0, INDEX(C:C, ROW())/(INDEX(C:C, ROW())+INDEX(D:D, ROW())))</f>
        <v/>
      </c>
      <c r="F3764" s="2" t="n"/>
      <c r="G3764" s="1" t="inlineStr">
        <is>
          <t>Hard</t>
        </is>
      </c>
      <c r="H3764" s="1" t="n">
        <v>552</v>
      </c>
      <c r="I3764" s="1" t="n">
        <v>810</v>
      </c>
      <c r="J3764" s="9" t="n">
        <v>0.681</v>
      </c>
      <c r="K3764" s="1" t="inlineStr">
        <is>
          <t>No</t>
        </is>
      </c>
      <c r="L3764" s="1" t="inlineStr">
        <is>
          <t>Yes</t>
        </is>
      </c>
      <c r="M3764" s="1" t="inlineStr">
        <is>
          <t>No</t>
        </is>
      </c>
      <c r="N3764" s="1" t="inlineStr">
        <is>
          <t>JavaScript</t>
        </is>
      </c>
      <c r="O37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64" s="11" t="inlineStr">
        <is>
          <t>To Do</t>
        </is>
      </c>
    </row>
    <row r="3765" ht="15.75" customHeight="1" s="12">
      <c r="A3765" s="1" t="n">
        <v>2775</v>
      </c>
      <c r="B3765" s="3">
        <f>HYPERLINK("https://leetcode.com/problems/undefined-to-null/", "Undefined to Null")</f>
        <v/>
      </c>
      <c r="C3765" s="1" t="n">
        <v>15</v>
      </c>
      <c r="D3765" s="1" t="n">
        <v>1</v>
      </c>
      <c r="E3765" s="4">
        <f>IF(INDEX(C:C, ROW())+INDEX(D:D, ROW())=0, 0, INDEX(C:C, ROW())/(INDEX(C:C, ROW())+INDEX(D:D, ROW())))</f>
        <v/>
      </c>
      <c r="F3765" s="2" t="n"/>
      <c r="G3765" s="1" t="inlineStr">
        <is>
          <t>Medium</t>
        </is>
      </c>
      <c r="H3765" s="1" t="n">
        <v>1025</v>
      </c>
      <c r="I3765" s="1" t="n">
        <v>1416</v>
      </c>
      <c r="J3765" s="9" t="n">
        <v>0.724</v>
      </c>
      <c r="K3765" s="1" t="inlineStr">
        <is>
          <t>No</t>
        </is>
      </c>
      <c r="L3765" s="1" t="inlineStr">
        <is>
          <t>Yes</t>
        </is>
      </c>
      <c r="M3765" s="1" t="inlineStr">
        <is>
          <t>No</t>
        </is>
      </c>
      <c r="N3765" s="1" t="inlineStr">
        <is>
          <t>JavaScript</t>
        </is>
      </c>
      <c r="O37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65" s="11" t="inlineStr">
        <is>
          <t>To Do</t>
        </is>
      </c>
    </row>
    <row r="3766" ht="15.75" customHeight="1" s="12">
      <c r="A3766" s="1" t="n">
        <v>2978</v>
      </c>
      <c r="B3766" s="3">
        <f>HYPERLINK("https://leetcode.com/problems/symmetric-coordinates/", "Symmetric Coordinates")</f>
        <v/>
      </c>
      <c r="C3766" s="1" t="n">
        <v>15</v>
      </c>
      <c r="D3766" s="1" t="n">
        <v>3</v>
      </c>
      <c r="E3766" s="4">
        <f>IF(INDEX(C:C, ROW())+INDEX(D:D, ROW())=0, 0, INDEX(C:C, ROW())/(INDEX(C:C, ROW())+INDEX(D:D, ROW())))</f>
        <v/>
      </c>
      <c r="F3766" s="1" t="inlineStr">
        <is>
          <t>Database</t>
        </is>
      </c>
      <c r="G3766" s="1" t="inlineStr">
        <is>
          <t>Medium</t>
        </is>
      </c>
      <c r="H3766" s="1" t="n">
        <v>3145</v>
      </c>
      <c r="I3766" s="1" t="n">
        <v>7683</v>
      </c>
      <c r="J3766" s="9" t="n">
        <v>0.409</v>
      </c>
      <c r="K3766" s="1" t="inlineStr">
        <is>
          <t>No</t>
        </is>
      </c>
      <c r="L3766" s="1" t="inlineStr">
        <is>
          <t>No</t>
        </is>
      </c>
      <c r="M3766" s="1" t="inlineStr">
        <is>
          <t>No</t>
        </is>
      </c>
      <c r="N3766" s="1" t="inlineStr">
        <is>
          <t>Database</t>
        </is>
      </c>
      <c r="O37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66" s="11" t="inlineStr">
        <is>
          <t>To Do</t>
        </is>
      </c>
    </row>
    <row r="3767" ht="15.75" customHeight="1" s="12">
      <c r="A3767" s="1" t="n">
        <v>2989</v>
      </c>
      <c r="B3767" s="3">
        <f>HYPERLINK("https://leetcode.com/problems/class-performance/", "Class Performance")</f>
        <v/>
      </c>
      <c r="C3767" s="1" t="n">
        <v>15</v>
      </c>
      <c r="D3767" s="1" t="n">
        <v>3</v>
      </c>
      <c r="E3767" s="4">
        <f>IF(INDEX(C:C, ROW())+INDEX(D:D, ROW())=0, 0, INDEX(C:C, ROW())/(INDEX(C:C, ROW())+INDEX(D:D, ROW())))</f>
        <v/>
      </c>
      <c r="F3767" s="1" t="inlineStr">
        <is>
          <t>Database</t>
        </is>
      </c>
      <c r="G3767" s="1" t="inlineStr">
        <is>
          <t>Medium</t>
        </is>
      </c>
      <c r="H3767" s="1" t="n">
        <v>6031</v>
      </c>
      <c r="I3767" s="1" t="n">
        <v>6792</v>
      </c>
      <c r="J3767" s="9" t="n">
        <v>0.888</v>
      </c>
      <c r="K3767" s="1" t="inlineStr">
        <is>
          <t>No</t>
        </is>
      </c>
      <c r="L3767" s="1" t="inlineStr">
        <is>
          <t>No</t>
        </is>
      </c>
      <c r="M3767" s="1" t="inlineStr">
        <is>
          <t>No</t>
        </is>
      </c>
      <c r="N3767" s="1" t="inlineStr">
        <is>
          <t>Database</t>
        </is>
      </c>
      <c r="O37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67" s="11" t="inlineStr">
        <is>
          <t>To Do</t>
        </is>
      </c>
    </row>
    <row r="3768" ht="15.75" customHeight="1" s="12">
      <c r="A3768" s="1" t="n">
        <v>2993</v>
      </c>
      <c r="B3768" s="3">
        <f>HYPERLINK("https://leetcode.com/problems/friday-purchases-i/", "Friday Purchases I")</f>
        <v/>
      </c>
      <c r="C3768" s="1" t="n">
        <v>15</v>
      </c>
      <c r="D3768" s="1" t="n">
        <v>4</v>
      </c>
      <c r="E3768" s="4">
        <f>IF(INDEX(C:C, ROW())+INDEX(D:D, ROW())=0, 0, INDEX(C:C, ROW())/(INDEX(C:C, ROW())+INDEX(D:D, ROW())))</f>
        <v/>
      </c>
      <c r="F3768" s="1" t="inlineStr">
        <is>
          <t>Database</t>
        </is>
      </c>
      <c r="G3768" s="1" t="inlineStr">
        <is>
          <t>Medium</t>
        </is>
      </c>
      <c r="H3768" s="1" t="n">
        <v>4218</v>
      </c>
      <c r="I3768" s="1" t="n">
        <v>5235</v>
      </c>
      <c r="J3768" s="9" t="n">
        <v>0.806</v>
      </c>
      <c r="K3768" s="1" t="inlineStr">
        <is>
          <t>No</t>
        </is>
      </c>
      <c r="L3768" s="1" t="inlineStr">
        <is>
          <t>No</t>
        </is>
      </c>
      <c r="M3768" s="1" t="inlineStr">
        <is>
          <t>No</t>
        </is>
      </c>
      <c r="N3768" s="1" t="inlineStr">
        <is>
          <t>Database</t>
        </is>
      </c>
      <c r="O37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68" s="11" t="inlineStr">
        <is>
          <t>To Do</t>
        </is>
      </c>
    </row>
    <row r="3769" ht="15.75" customHeight="1" s="12">
      <c r="A3769" s="1" t="n">
        <v>3023</v>
      </c>
      <c r="B3769" s="3">
        <f>HYPERLINK("https://leetcode.com/problems/find-pattern-in-infinite-stream-i/", "Find Pattern in Infinite Stream I")</f>
        <v/>
      </c>
      <c r="C3769" s="1" t="n">
        <v>15</v>
      </c>
      <c r="D3769" s="1" t="n">
        <v>2</v>
      </c>
      <c r="E3769" s="4">
        <f>IF(INDEX(C:C, ROW())+INDEX(D:D, ROW())=0, 0, INDEX(C:C, ROW())/(INDEX(C:C, ROW())+INDEX(D:D, ROW())))</f>
        <v/>
      </c>
      <c r="F3769" s="1" t="inlineStr">
        <is>
          <t>Array, Sliding Window, Rolling Hash, String Matching, Interactive, Hash Function</t>
        </is>
      </c>
      <c r="G3769" s="1" t="inlineStr">
        <is>
          <t>Medium</t>
        </is>
      </c>
      <c r="H3769" s="1" t="n">
        <v>1996</v>
      </c>
      <c r="I3769" s="1" t="n">
        <v>3488</v>
      </c>
      <c r="J3769" s="9" t="n">
        <v>0.572</v>
      </c>
      <c r="K3769" s="1" t="inlineStr">
        <is>
          <t>No</t>
        </is>
      </c>
      <c r="L3769" s="1" t="inlineStr">
        <is>
          <t>No</t>
        </is>
      </c>
      <c r="M3769" s="1" t="inlineStr">
        <is>
          <t>No</t>
        </is>
      </c>
      <c r="N3769" s="1" t="inlineStr">
        <is>
          <t>Algorithms</t>
        </is>
      </c>
      <c r="O37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69" s="11" t="inlineStr">
        <is>
          <t>To Do</t>
        </is>
      </c>
    </row>
    <row r="3770" ht="15.75" customHeight="1" s="12">
      <c r="A3770" s="1" t="n">
        <v>3051</v>
      </c>
      <c r="B3770" s="3">
        <f>HYPERLINK("https://leetcode.com/problems/find-candidates-for-data-scientist-position/", "Find Candidates for Data Scientist Position")</f>
        <v/>
      </c>
      <c r="C3770" s="1" t="n">
        <v>15</v>
      </c>
      <c r="D3770" s="1" t="n">
        <v>0</v>
      </c>
      <c r="E3770" s="4">
        <f>IF(INDEX(C:C, ROW())+INDEX(D:D, ROW())=0, 0, INDEX(C:C, ROW())/(INDEX(C:C, ROW())+INDEX(D:D, ROW())))</f>
        <v/>
      </c>
      <c r="F3770" s="1" t="inlineStr">
        <is>
          <t>Database</t>
        </is>
      </c>
      <c r="G3770" s="1" t="inlineStr">
        <is>
          <t>Easy</t>
        </is>
      </c>
      <c r="H3770" s="1" t="n">
        <v>5657</v>
      </c>
      <c r="I3770" s="1" t="n">
        <v>7516</v>
      </c>
      <c r="J3770" s="9" t="n">
        <v>0.753</v>
      </c>
      <c r="K3770" s="1" t="inlineStr">
        <is>
          <t>No</t>
        </is>
      </c>
      <c r="L3770" s="1" t="inlineStr">
        <is>
          <t>No</t>
        </is>
      </c>
      <c r="M3770" s="1" t="inlineStr">
        <is>
          <t>No</t>
        </is>
      </c>
      <c r="N3770" s="1" t="inlineStr">
        <is>
          <t>Database</t>
        </is>
      </c>
      <c r="O37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70" s="11" t="inlineStr">
        <is>
          <t>To Do</t>
        </is>
      </c>
    </row>
    <row r="3771" ht="15.75" customHeight="1" s="12">
      <c r="A3771" s="1" t="n">
        <v>3094</v>
      </c>
      <c r="B3771" s="3">
        <f>HYPERLINK("https://leetcode.com/problems/guess-the-number-using-bitwise-questions-ii/", "Guess the Number Using Bitwise Questions II")</f>
        <v/>
      </c>
      <c r="C3771" s="1" t="n">
        <v>15</v>
      </c>
      <c r="D3771" s="1" t="n">
        <v>4</v>
      </c>
      <c r="E3771" s="4">
        <f>IF(INDEX(C:C, ROW())+INDEX(D:D, ROW())=0, 0, INDEX(C:C, ROW())/(INDEX(C:C, ROW())+INDEX(D:D, ROW())))</f>
        <v/>
      </c>
      <c r="F3771" s="1" t="inlineStr">
        <is>
          <t>Bit Manipulation, Interactive</t>
        </is>
      </c>
      <c r="G3771" s="1" t="inlineStr">
        <is>
          <t>Medium</t>
        </is>
      </c>
      <c r="H3771" s="1" t="n">
        <v>1099</v>
      </c>
      <c r="I3771" s="1" t="n">
        <v>1324</v>
      </c>
      <c r="J3771" s="9" t="n">
        <v>0.83</v>
      </c>
      <c r="K3771" s="1" t="inlineStr">
        <is>
          <t>No</t>
        </is>
      </c>
      <c r="L3771" s="1" t="inlineStr">
        <is>
          <t>No</t>
        </is>
      </c>
      <c r="M3771" s="1" t="inlineStr">
        <is>
          <t>No</t>
        </is>
      </c>
      <c r="N3771" s="1" t="inlineStr">
        <is>
          <t>Algorithms</t>
        </is>
      </c>
      <c r="O37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71" s="11" t="inlineStr">
        <is>
          <t>To Do</t>
        </is>
      </c>
    </row>
    <row r="3772" ht="15.75" customHeight="1" s="12">
      <c r="A3772" s="1" t="n">
        <v>3141</v>
      </c>
      <c r="B3772" s="3">
        <f>HYPERLINK("https://leetcode.com/problems/maximum-hamming-distances/", "Maximum Hamming Distances")</f>
        <v/>
      </c>
      <c r="C3772" s="1" t="n">
        <v>15</v>
      </c>
      <c r="D3772" s="1" t="n">
        <v>2</v>
      </c>
      <c r="E3772" s="4">
        <f>IF(INDEX(C:C, ROW())+INDEX(D:D, ROW())=0, 0, INDEX(C:C, ROW())/(INDEX(C:C, ROW())+INDEX(D:D, ROW())))</f>
        <v/>
      </c>
      <c r="F3772" s="1" t="inlineStr">
        <is>
          <t>Array, Bit Manipulation, Breadth-First Search</t>
        </is>
      </c>
      <c r="G3772" s="1" t="inlineStr">
        <is>
          <t>Hard</t>
        </is>
      </c>
      <c r="H3772" s="1" t="n">
        <v>652</v>
      </c>
      <c r="I3772" s="1" t="n">
        <v>1319</v>
      </c>
      <c r="J3772" s="9" t="n">
        <v>0.494</v>
      </c>
      <c r="K3772" s="1" t="inlineStr">
        <is>
          <t>No</t>
        </is>
      </c>
      <c r="L3772" s="1" t="inlineStr">
        <is>
          <t>No</t>
        </is>
      </c>
      <c r="M3772" s="1" t="inlineStr">
        <is>
          <t>No</t>
        </is>
      </c>
      <c r="N3772" s="1" t="inlineStr">
        <is>
          <t>Algorithms</t>
        </is>
      </c>
      <c r="O37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72" s="11" t="inlineStr">
        <is>
          <t>To Do</t>
        </is>
      </c>
    </row>
    <row r="3773" ht="15.75" customHeight="1" s="12">
      <c r="A3773" s="1" t="n">
        <v>3237</v>
      </c>
      <c r="B3773" s="3">
        <f>HYPERLINK("https://leetcode.com/problems/alt-and-tab-simulation/", "Alt and Tab Simulation")</f>
        <v/>
      </c>
      <c r="C3773" s="1" t="n">
        <v>15</v>
      </c>
      <c r="D3773" s="1" t="n">
        <v>6</v>
      </c>
      <c r="E3773" s="4">
        <f>IF(INDEX(C:C, ROW())+INDEX(D:D, ROW())=0, 0, INDEX(C:C, ROW())/(INDEX(C:C, ROW())+INDEX(D:D, ROW())))</f>
        <v/>
      </c>
      <c r="F3773" s="1" t="inlineStr">
        <is>
          <t>Array, Hash Table, Simulation</t>
        </is>
      </c>
      <c r="G3773" s="1" t="inlineStr">
        <is>
          <t>Medium</t>
        </is>
      </c>
      <c r="H3773" s="1" t="n">
        <v>1242</v>
      </c>
      <c r="I3773" s="1" t="n">
        <v>2350</v>
      </c>
      <c r="J3773" s="9" t="n">
        <v>0.529</v>
      </c>
      <c r="K3773" s="1" t="inlineStr">
        <is>
          <t>No</t>
        </is>
      </c>
      <c r="L3773" s="1" t="inlineStr">
        <is>
          <t>No</t>
        </is>
      </c>
      <c r="M3773" s="1" t="inlineStr">
        <is>
          <t>No</t>
        </is>
      </c>
      <c r="N3773" s="1" t="inlineStr">
        <is>
          <t>Algorithms</t>
        </is>
      </c>
      <c r="O37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73" s="11" t="inlineStr">
        <is>
          <t>To Do</t>
        </is>
      </c>
    </row>
    <row r="3774" ht="15.75" customHeight="1" s="12">
      <c r="A3774" s="1" t="n">
        <v>3369</v>
      </c>
      <c r="B3774" s="3">
        <f>HYPERLINK("https://leetcode.com/problems/design-an-array-statistics-tracker/", "Design an Array Statistics Tracker ")</f>
        <v/>
      </c>
      <c r="C3774" s="1" t="n">
        <v>15</v>
      </c>
      <c r="D3774" s="1" t="n">
        <v>2</v>
      </c>
      <c r="E3774" s="4">
        <f>IF(INDEX(C:C, ROW())+INDEX(D:D, ROW())=0, 0, INDEX(C:C, ROW())/(INDEX(C:C, ROW())+INDEX(D:D, ROW())))</f>
        <v/>
      </c>
      <c r="F3774" s="1" t="inlineStr">
        <is>
          <t>Hash Table, Binary Search, Design, Queue, Heap (Priority Queue), Data Stream, Ordered Set</t>
        </is>
      </c>
      <c r="G3774" s="1" t="inlineStr">
        <is>
          <t>Hard</t>
        </is>
      </c>
      <c r="H3774" s="1" t="n">
        <v>1450</v>
      </c>
      <c r="I3774" s="1" t="n">
        <v>4062</v>
      </c>
      <c r="J3774" s="9" t="n">
        <v>0.357</v>
      </c>
      <c r="K3774" s="1" t="inlineStr">
        <is>
          <t>No</t>
        </is>
      </c>
      <c r="L3774" s="1" t="inlineStr">
        <is>
          <t>No</t>
        </is>
      </c>
      <c r="M3774" s="1" t="inlineStr">
        <is>
          <t>No</t>
        </is>
      </c>
      <c r="N3774" s="1" t="inlineStr">
        <is>
          <t>Algorithms</t>
        </is>
      </c>
      <c r="O37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74" s="11" t="inlineStr">
        <is>
          <t>To Do</t>
        </is>
      </c>
    </row>
    <row r="3775" ht="15.75" customHeight="1" s="12">
      <c r="A3775" s="1" t="n">
        <v>3400</v>
      </c>
      <c r="B3775" s="3">
        <f>HYPERLINK("https://leetcode.com/problems/maximum-number-of-matching-indices-after-right-shifts/", "Maximum Number of Matching Indices After Right Shifts")</f>
        <v/>
      </c>
      <c r="C3775" s="1" t="n">
        <v>15</v>
      </c>
      <c r="D3775" s="1" t="n">
        <v>1</v>
      </c>
      <c r="E3775" s="4">
        <f>IF(INDEX(C:C, ROW())+INDEX(D:D, ROW())=0, 0, INDEX(C:C, ROW())/(INDEX(C:C, ROW())+INDEX(D:D, ROW())))</f>
        <v/>
      </c>
      <c r="F3775" s="1" t="inlineStr">
        <is>
          <t>Array, Two Pointers, Simulation</t>
        </is>
      </c>
      <c r="G3775" s="1" t="inlineStr">
        <is>
          <t>Medium</t>
        </is>
      </c>
      <c r="H3775" s="1" t="n">
        <v>1659</v>
      </c>
      <c r="I3775" s="1" t="n">
        <v>1955</v>
      </c>
      <c r="J3775" s="9" t="n">
        <v>0.849</v>
      </c>
      <c r="K3775" s="1" t="inlineStr">
        <is>
          <t>No</t>
        </is>
      </c>
      <c r="L3775" s="1" t="inlineStr">
        <is>
          <t>No</t>
        </is>
      </c>
      <c r="M3775" s="1" t="inlineStr">
        <is>
          <t>No</t>
        </is>
      </c>
      <c r="N3775" s="1" t="inlineStr">
        <is>
          <t>Algorithms</t>
        </is>
      </c>
      <c r="O37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75" s="11" t="inlineStr">
        <is>
          <t>To Do</t>
        </is>
      </c>
    </row>
    <row r="3776" ht="15.75" customHeight="1" s="12">
      <c r="A3776" s="1" t="n">
        <v>3450</v>
      </c>
      <c r="B3776" s="3">
        <f>HYPERLINK("https://leetcode.com/problems/maximum-students-on-a-single-bench/", "Maximum Students on a Single Bench")</f>
        <v/>
      </c>
      <c r="C3776" s="1" t="n">
        <v>15</v>
      </c>
      <c r="D3776" s="1" t="n">
        <v>1</v>
      </c>
      <c r="E3776" s="4">
        <f>IF(INDEX(C:C, ROW())+INDEX(D:D, ROW())=0, 0, INDEX(C:C, ROW())/(INDEX(C:C, ROW())+INDEX(D:D, ROW())))</f>
        <v/>
      </c>
      <c r="F3776" s="1" t="inlineStr">
        <is>
          <t>Array, Hash Table</t>
        </is>
      </c>
      <c r="G3776" s="1" t="inlineStr">
        <is>
          <t>Easy</t>
        </is>
      </c>
      <c r="H3776" s="1" t="n">
        <v>2277</v>
      </c>
      <c r="I3776" s="1" t="n">
        <v>2584</v>
      </c>
      <c r="J3776" s="9" t="n">
        <v>0.881</v>
      </c>
      <c r="K3776" s="1" t="inlineStr">
        <is>
          <t>No</t>
        </is>
      </c>
      <c r="L3776" s="1" t="inlineStr">
        <is>
          <t>No</t>
        </is>
      </c>
      <c r="M3776" s="1" t="inlineStr">
        <is>
          <t>No</t>
        </is>
      </c>
      <c r="N3776" s="1" t="inlineStr">
        <is>
          <t>Algorithms</t>
        </is>
      </c>
      <c r="O37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76" s="11" t="inlineStr">
        <is>
          <t>To Do</t>
        </is>
      </c>
    </row>
    <row r="3777" ht="15.75" customHeight="1" s="12">
      <c r="A3777" s="1" t="n">
        <v>2720</v>
      </c>
      <c r="B3777" s="3">
        <f>HYPERLINK("https://leetcode.com/problems/popularity-percentage/", "Popularity Percentage")</f>
        <v/>
      </c>
      <c r="C3777" s="1" t="n">
        <v>14</v>
      </c>
      <c r="D3777" s="1" t="n">
        <v>9</v>
      </c>
      <c r="E3777" s="4">
        <f>IF(INDEX(C:C, ROW())+INDEX(D:D, ROW())=0, 0, INDEX(C:C, ROW())/(INDEX(C:C, ROW())+INDEX(D:D, ROW())))</f>
        <v/>
      </c>
      <c r="F3777" s="1" t="inlineStr">
        <is>
          <t>Database</t>
        </is>
      </c>
      <c r="G3777" s="1" t="inlineStr">
        <is>
          <t>Hard</t>
        </is>
      </c>
      <c r="H3777" s="1" t="n">
        <v>4012</v>
      </c>
      <c r="I3777" s="1" t="n">
        <v>7510</v>
      </c>
      <c r="J3777" s="9" t="n">
        <v>0.534</v>
      </c>
      <c r="K3777" s="1" t="inlineStr">
        <is>
          <t>No</t>
        </is>
      </c>
      <c r="L3777" s="1" t="inlineStr">
        <is>
          <t>Yes</t>
        </is>
      </c>
      <c r="M3777" s="1" t="inlineStr">
        <is>
          <t>No</t>
        </is>
      </c>
      <c r="N3777" s="1" t="inlineStr">
        <is>
          <t>Database</t>
        </is>
      </c>
      <c r="O37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77" s="11" t="inlineStr">
        <is>
          <t>To Do</t>
        </is>
      </c>
    </row>
    <row r="3778" ht="15.75" customHeight="1" s="12">
      <c r="A3778" s="1" t="n">
        <v>2985</v>
      </c>
      <c r="B3778" s="3">
        <f>HYPERLINK("https://leetcode.com/problems/calculate-compressed-mean/", "Calculate Compressed Mean")</f>
        <v/>
      </c>
      <c r="C3778" s="1" t="n">
        <v>14</v>
      </c>
      <c r="D3778" s="1" t="n">
        <v>6</v>
      </c>
      <c r="E3778" s="4">
        <f>IF(INDEX(C:C, ROW())+INDEX(D:D, ROW())=0, 0, INDEX(C:C, ROW())/(INDEX(C:C, ROW())+INDEX(D:D, ROW())))</f>
        <v/>
      </c>
      <c r="F3778" s="1" t="inlineStr">
        <is>
          <t>Database</t>
        </is>
      </c>
      <c r="G3778" s="1" t="inlineStr">
        <is>
          <t>Easy</t>
        </is>
      </c>
      <c r="H3778" s="1" t="n">
        <v>5814</v>
      </c>
      <c r="I3778" s="1" t="n">
        <v>6735</v>
      </c>
      <c r="J3778" s="9" t="n">
        <v>0.863</v>
      </c>
      <c r="K3778" s="1" t="inlineStr">
        <is>
          <t>No</t>
        </is>
      </c>
      <c r="L3778" s="1" t="inlineStr">
        <is>
          <t>No</t>
        </is>
      </c>
      <c r="M3778" s="1" t="inlineStr">
        <is>
          <t>No</t>
        </is>
      </c>
      <c r="N3778" s="1" t="inlineStr">
        <is>
          <t>Database</t>
        </is>
      </c>
      <c r="O37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78" s="11" t="inlineStr">
        <is>
          <t>To Do</t>
        </is>
      </c>
    </row>
    <row r="3779" ht="15.75" customHeight="1" s="12">
      <c r="A3779" s="1" t="n">
        <v>2991</v>
      </c>
      <c r="B3779" s="3">
        <f>HYPERLINK("https://leetcode.com/problems/top-three-wineries/", "Top Three Wineries ")</f>
        <v/>
      </c>
      <c r="C3779" s="1" t="n">
        <v>14</v>
      </c>
      <c r="D3779" s="1" t="n">
        <v>8</v>
      </c>
      <c r="E3779" s="4">
        <f>IF(INDEX(C:C, ROW())+INDEX(D:D, ROW())=0, 0, INDEX(C:C, ROW())/(INDEX(C:C, ROW())+INDEX(D:D, ROW())))</f>
        <v/>
      </c>
      <c r="F3779" s="1" t="inlineStr">
        <is>
          <t>Database</t>
        </is>
      </c>
      <c r="G3779" s="1" t="inlineStr">
        <is>
          <t>Hard</t>
        </is>
      </c>
      <c r="H3779" s="1" t="n">
        <v>3713</v>
      </c>
      <c r="I3779" s="1" t="n">
        <v>6850</v>
      </c>
      <c r="J3779" s="9" t="n">
        <v>0.542</v>
      </c>
      <c r="K3779" s="1" t="inlineStr">
        <is>
          <t>No</t>
        </is>
      </c>
      <c r="L3779" s="1" t="inlineStr">
        <is>
          <t>No</t>
        </is>
      </c>
      <c r="M3779" s="1" t="inlineStr">
        <is>
          <t>No</t>
        </is>
      </c>
      <c r="N3779" s="1" t="inlineStr">
        <is>
          <t>Database</t>
        </is>
      </c>
      <c r="O37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79" s="11" t="inlineStr">
        <is>
          <t>To Do</t>
        </is>
      </c>
    </row>
    <row r="3780" ht="15.75" customHeight="1" s="12">
      <c r="A3780" s="1" t="n">
        <v>2994</v>
      </c>
      <c r="B3780" s="3">
        <f>HYPERLINK("https://leetcode.com/problems/friday-purchases-ii/", "Friday Purchases II ")</f>
        <v/>
      </c>
      <c r="C3780" s="1" t="n">
        <v>14</v>
      </c>
      <c r="D3780" s="1" t="n">
        <v>4</v>
      </c>
      <c r="E3780" s="4">
        <f>IF(INDEX(C:C, ROW())+INDEX(D:D, ROW())=0, 0, INDEX(C:C, ROW())/(INDEX(C:C, ROW())+INDEX(D:D, ROW())))</f>
        <v/>
      </c>
      <c r="F3780" s="1" t="inlineStr">
        <is>
          <t>Database</t>
        </is>
      </c>
      <c r="G3780" s="1" t="inlineStr">
        <is>
          <t>Hard</t>
        </is>
      </c>
      <c r="H3780" s="1" t="n">
        <v>2670</v>
      </c>
      <c r="I3780" s="1" t="n">
        <v>3587</v>
      </c>
      <c r="J3780" s="9" t="n">
        <v>0.744</v>
      </c>
      <c r="K3780" s="1" t="inlineStr">
        <is>
          <t>No</t>
        </is>
      </c>
      <c r="L3780" s="1" t="inlineStr">
        <is>
          <t>No</t>
        </is>
      </c>
      <c r="M3780" s="1" t="inlineStr">
        <is>
          <t>No</t>
        </is>
      </c>
      <c r="N3780" s="1" t="inlineStr">
        <is>
          <t>Database</t>
        </is>
      </c>
      <c r="O37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80" s="11" t="inlineStr">
        <is>
          <t>To Do</t>
        </is>
      </c>
    </row>
    <row r="3781" ht="15.75" customHeight="1" s="12">
      <c r="A3781" s="1" t="n">
        <v>3061</v>
      </c>
      <c r="B3781" s="3">
        <f>HYPERLINK("https://leetcode.com/problems/calculate-trapping-rain-water/", "Calculate Trapping Rain Water")</f>
        <v/>
      </c>
      <c r="C3781" s="1" t="n">
        <v>14</v>
      </c>
      <c r="D3781" s="1" t="n">
        <v>6</v>
      </c>
      <c r="E3781" s="4">
        <f>IF(INDEX(C:C, ROW())+INDEX(D:D, ROW())=0, 0, INDEX(C:C, ROW())/(INDEX(C:C, ROW())+INDEX(D:D, ROW())))</f>
        <v/>
      </c>
      <c r="F3781" s="1" t="inlineStr">
        <is>
          <t>Database</t>
        </is>
      </c>
      <c r="G3781" s="1" t="inlineStr">
        <is>
          <t>Hard</t>
        </is>
      </c>
      <c r="H3781" s="1" t="n">
        <v>1728</v>
      </c>
      <c r="I3781" s="1" t="n">
        <v>2108</v>
      </c>
      <c r="J3781" s="9" t="n">
        <v>0.82</v>
      </c>
      <c r="K3781" s="1" t="inlineStr">
        <is>
          <t>No</t>
        </is>
      </c>
      <c r="L3781" s="1" t="inlineStr">
        <is>
          <t>No</t>
        </is>
      </c>
      <c r="M3781" s="1" t="inlineStr">
        <is>
          <t>No</t>
        </is>
      </c>
      <c r="N3781" s="1" t="inlineStr">
        <is>
          <t>Database</t>
        </is>
      </c>
      <c r="O37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81" s="11" t="inlineStr">
        <is>
          <t>To Do</t>
        </is>
      </c>
    </row>
    <row r="3782" ht="15.75" customHeight="1" s="12">
      <c r="A3782" s="1" t="n">
        <v>3166</v>
      </c>
      <c r="B3782" s="3">
        <f>HYPERLINK("https://leetcode.com/problems/calculate-parking-fees-and-duration/", "Calculate Parking Fees and Duration")</f>
        <v/>
      </c>
      <c r="C3782" s="1" t="n">
        <v>14</v>
      </c>
      <c r="D3782" s="1" t="n">
        <v>5</v>
      </c>
      <c r="E3782" s="4">
        <f>IF(INDEX(C:C, ROW())+INDEX(D:D, ROW())=0, 0, INDEX(C:C, ROW())/(INDEX(C:C, ROW())+INDEX(D:D, ROW())))</f>
        <v/>
      </c>
      <c r="F3782" s="1" t="inlineStr">
        <is>
          <t>Database</t>
        </is>
      </c>
      <c r="G3782" s="1" t="inlineStr">
        <is>
          <t>Medium</t>
        </is>
      </c>
      <c r="H3782" s="1" t="n">
        <v>2721</v>
      </c>
      <c r="I3782" s="1" t="n">
        <v>5116</v>
      </c>
      <c r="J3782" s="9" t="n">
        <v>0.532</v>
      </c>
      <c r="K3782" s="1" t="inlineStr">
        <is>
          <t>No</t>
        </is>
      </c>
      <c r="L3782" s="1" t="inlineStr">
        <is>
          <t>No</t>
        </is>
      </c>
      <c r="M3782" s="1" t="inlineStr">
        <is>
          <t>No</t>
        </is>
      </c>
      <c r="N3782" s="1" t="inlineStr">
        <is>
          <t>Database</t>
        </is>
      </c>
      <c r="O37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82" s="11" t="inlineStr">
        <is>
          <t>To Do</t>
        </is>
      </c>
    </row>
    <row r="3783" ht="15.75" customHeight="1" s="12">
      <c r="A3783" s="1" t="n">
        <v>3353</v>
      </c>
      <c r="B3783" s="3">
        <f>HYPERLINK("https://leetcode.com/problems/minimum-total-operations/", "Minimum Total Operations")</f>
        <v/>
      </c>
      <c r="C3783" s="1" t="n">
        <v>14</v>
      </c>
      <c r="D3783" s="1" t="n">
        <v>1</v>
      </c>
      <c r="E3783" s="4">
        <f>IF(INDEX(C:C, ROW())+INDEX(D:D, ROW())=0, 0, INDEX(C:C, ROW())/(INDEX(C:C, ROW())+INDEX(D:D, ROW())))</f>
        <v/>
      </c>
      <c r="F3783" s="1" t="inlineStr">
        <is>
          <t>Array</t>
        </is>
      </c>
      <c r="G3783" s="1" t="inlineStr">
        <is>
          <t>Easy</t>
        </is>
      </c>
      <c r="H3783" s="1" t="n">
        <v>1398</v>
      </c>
      <c r="I3783" s="1" t="n">
        <v>2190</v>
      </c>
      <c r="J3783" s="9" t="n">
        <v>0.638</v>
      </c>
      <c r="K3783" s="1" t="inlineStr">
        <is>
          <t>No</t>
        </is>
      </c>
      <c r="L3783" s="1" t="inlineStr">
        <is>
          <t>No</t>
        </is>
      </c>
      <c r="M3783" s="1" t="inlineStr">
        <is>
          <t>No</t>
        </is>
      </c>
      <c r="N3783" s="1" t="inlineStr">
        <is>
          <t>Algorithms</t>
        </is>
      </c>
      <c r="O37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83" s="11" t="inlineStr">
        <is>
          <t>To Do</t>
        </is>
      </c>
    </row>
    <row r="3784" ht="15.75" customHeight="1" s="12">
      <c r="A3784" s="1" t="n">
        <v>2758</v>
      </c>
      <c r="B3784" s="3">
        <f>HYPERLINK("https://leetcode.com/problems/next-day/", "Next Day")</f>
        <v/>
      </c>
      <c r="C3784" s="1" t="n">
        <v>13</v>
      </c>
      <c r="D3784" s="1" t="n">
        <v>1</v>
      </c>
      <c r="E3784" s="4">
        <f>IF(INDEX(C:C, ROW())+INDEX(D:D, ROW())=0, 0, INDEX(C:C, ROW())/(INDEX(C:C, ROW())+INDEX(D:D, ROW())))</f>
        <v/>
      </c>
      <c r="F3784" s="2" t="n"/>
      <c r="G3784" s="1" t="inlineStr">
        <is>
          <t>Easy</t>
        </is>
      </c>
      <c r="H3784" s="1" t="n">
        <v>1626</v>
      </c>
      <c r="I3784" s="1" t="n">
        <v>1902</v>
      </c>
      <c r="J3784" s="9" t="n">
        <v>0.855</v>
      </c>
      <c r="K3784" s="1" t="inlineStr">
        <is>
          <t>No</t>
        </is>
      </c>
      <c r="L3784" s="1" t="inlineStr">
        <is>
          <t>Yes</t>
        </is>
      </c>
      <c r="M3784" s="1" t="inlineStr">
        <is>
          <t>No</t>
        </is>
      </c>
      <c r="N3784" s="1" t="inlineStr">
        <is>
          <t>JavaScript</t>
        </is>
      </c>
      <c r="O37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84" s="11" t="inlineStr">
        <is>
          <t>To Do</t>
        </is>
      </c>
    </row>
    <row r="3785" ht="15.75" customHeight="1" s="12">
      <c r="A3785" s="1" t="n">
        <v>2793</v>
      </c>
      <c r="B3785" s="3">
        <f>HYPERLINK("https://leetcode.com/problems/status-of-flight-tickets/", "Status of Flight Tickets")</f>
        <v/>
      </c>
      <c r="C3785" s="1" t="n">
        <v>13</v>
      </c>
      <c r="D3785" s="1" t="n">
        <v>21</v>
      </c>
      <c r="E3785" s="4">
        <f>IF(INDEX(C:C, ROW())+INDEX(D:D, ROW())=0, 0, INDEX(C:C, ROW())/(INDEX(C:C, ROW())+INDEX(D:D, ROW())))</f>
        <v/>
      </c>
      <c r="F3785" s="2" t="n"/>
      <c r="G3785" s="1" t="inlineStr">
        <is>
          <t>Hard</t>
        </is>
      </c>
      <c r="H3785" s="1" t="n">
        <v>3559</v>
      </c>
      <c r="I3785" s="1" t="n">
        <v>4501</v>
      </c>
      <c r="J3785" s="9" t="n">
        <v>0.791</v>
      </c>
      <c r="K3785" s="1" t="inlineStr">
        <is>
          <t>No</t>
        </is>
      </c>
      <c r="L3785" s="1" t="inlineStr">
        <is>
          <t>No</t>
        </is>
      </c>
      <c r="M3785" s="1" t="inlineStr">
        <is>
          <t>No</t>
        </is>
      </c>
      <c r="N3785" s="1" t="inlineStr">
        <is>
          <t>Database</t>
        </is>
      </c>
      <c r="O37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85" s="11" t="inlineStr">
        <is>
          <t>To Do</t>
        </is>
      </c>
    </row>
    <row r="3786" ht="15.75" customHeight="1" s="12">
      <c r="A3786" s="1" t="n">
        <v>3059</v>
      </c>
      <c r="B3786" s="3">
        <f>HYPERLINK("https://leetcode.com/problems/find-all-unique-email-domains/", "Find All Unique Email Domains")</f>
        <v/>
      </c>
      <c r="C3786" s="1" t="n">
        <v>13</v>
      </c>
      <c r="D3786" s="1" t="n">
        <v>8</v>
      </c>
      <c r="E3786" s="4">
        <f>IF(INDEX(C:C, ROW())+INDEX(D:D, ROW())=0, 0, INDEX(C:C, ROW())/(INDEX(C:C, ROW())+INDEX(D:D, ROW())))</f>
        <v/>
      </c>
      <c r="F3786" s="1" t="inlineStr">
        <is>
          <t>Database</t>
        </is>
      </c>
      <c r="G3786" s="1" t="inlineStr">
        <is>
          <t>Easy</t>
        </is>
      </c>
      <c r="H3786" s="1" t="n">
        <v>4336</v>
      </c>
      <c r="I3786" s="1" t="n">
        <v>6187</v>
      </c>
      <c r="J3786" s="9" t="n">
        <v>0.701</v>
      </c>
      <c r="K3786" s="1" t="inlineStr">
        <is>
          <t>No</t>
        </is>
      </c>
      <c r="L3786" s="1" t="inlineStr">
        <is>
          <t>Yes</t>
        </is>
      </c>
      <c r="M3786" s="1" t="inlineStr">
        <is>
          <t>No</t>
        </is>
      </c>
      <c r="N3786" s="1" t="inlineStr">
        <is>
          <t>Database</t>
        </is>
      </c>
      <c r="O37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86" s="11" t="inlineStr">
        <is>
          <t>To Do</t>
        </is>
      </c>
    </row>
    <row r="3787" ht="15.75" customHeight="1" s="12">
      <c r="A3787" s="1" t="n">
        <v>3140</v>
      </c>
      <c r="B3787" s="3">
        <f>HYPERLINK("https://leetcode.com/problems/consecutive-available-seats-ii/", "Consecutive Available Seats II")</f>
        <v/>
      </c>
      <c r="C3787" s="1" t="n">
        <v>13</v>
      </c>
      <c r="D3787" s="1" t="n">
        <v>2</v>
      </c>
      <c r="E3787" s="4">
        <f>IF(INDEX(C:C, ROW())+INDEX(D:D, ROW())=0, 0, INDEX(C:C, ROW())/(INDEX(C:C, ROW())+INDEX(D:D, ROW())))</f>
        <v/>
      </c>
      <c r="F3787" s="1" t="inlineStr">
        <is>
          <t>Database</t>
        </is>
      </c>
      <c r="G3787" s="1" t="inlineStr">
        <is>
          <t>Medium</t>
        </is>
      </c>
      <c r="H3787" s="1" t="n">
        <v>2930</v>
      </c>
      <c r="I3787" s="1" t="n">
        <v>5280</v>
      </c>
      <c r="J3787" s="9" t="n">
        <v>0.555</v>
      </c>
      <c r="K3787" s="1" t="inlineStr">
        <is>
          <t>No</t>
        </is>
      </c>
      <c r="L3787" s="1" t="inlineStr">
        <is>
          <t>No</t>
        </is>
      </c>
      <c r="M3787" s="1" t="inlineStr">
        <is>
          <t>No</t>
        </is>
      </c>
      <c r="N3787" s="1" t="inlineStr">
        <is>
          <t>Database</t>
        </is>
      </c>
      <c r="O37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87" s="11" t="inlineStr">
        <is>
          <t>To Do</t>
        </is>
      </c>
    </row>
    <row r="3788" ht="15.75" customHeight="1" s="12">
      <c r="A3788" s="1" t="n">
        <v>3156</v>
      </c>
      <c r="B3788" s="3">
        <f>HYPERLINK("https://leetcode.com/problems/employee-task-duration-and-concurrent-tasks/", "Employee Task Duration and Concurrent Tasks")</f>
        <v/>
      </c>
      <c r="C3788" s="1" t="n">
        <v>13</v>
      </c>
      <c r="D3788" s="1" t="n">
        <v>2</v>
      </c>
      <c r="E3788" s="4">
        <f>IF(INDEX(C:C, ROW())+INDEX(D:D, ROW())=0, 0, INDEX(C:C, ROW())/(INDEX(C:C, ROW())+INDEX(D:D, ROW())))</f>
        <v/>
      </c>
      <c r="F3788" s="1" t="inlineStr">
        <is>
          <t>Database</t>
        </is>
      </c>
      <c r="G3788" s="1" t="inlineStr">
        <is>
          <t>Hard</t>
        </is>
      </c>
      <c r="H3788" s="1" t="n">
        <v>1693</v>
      </c>
      <c r="I3788" s="1" t="n">
        <v>4217</v>
      </c>
      <c r="J3788" s="9" t="n">
        <v>0.401</v>
      </c>
      <c r="K3788" s="1" t="inlineStr">
        <is>
          <t>No</t>
        </is>
      </c>
      <c r="L3788" s="1" t="inlineStr">
        <is>
          <t>No</t>
        </is>
      </c>
      <c r="M3788" s="1" t="inlineStr">
        <is>
          <t>No</t>
        </is>
      </c>
      <c r="N3788" s="1" t="inlineStr">
        <is>
          <t>Database</t>
        </is>
      </c>
      <c r="O37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88" s="11" t="inlineStr">
        <is>
          <t>To Do</t>
        </is>
      </c>
    </row>
    <row r="3789" ht="15.75" customHeight="1" s="12">
      <c r="A3789" s="1" t="n">
        <v>3247</v>
      </c>
      <c r="B3789" s="3">
        <f>HYPERLINK("https://leetcode.com/problems/number-of-subsequences-with-odd-sum/", "Number of Subsequences with Odd Sum")</f>
        <v/>
      </c>
      <c r="C3789" s="1" t="n">
        <v>13</v>
      </c>
      <c r="D3789" s="1" t="n">
        <v>2</v>
      </c>
      <c r="E3789" s="4">
        <f>IF(INDEX(C:C, ROW())+INDEX(D:D, ROW())=0, 0, INDEX(C:C, ROW())/(INDEX(C:C, ROW())+INDEX(D:D, ROW())))</f>
        <v/>
      </c>
      <c r="F3789" s="1" t="inlineStr">
        <is>
          <t>Array, Math, Dynamic Programming, Combinatorics</t>
        </is>
      </c>
      <c r="G3789" s="1" t="inlineStr">
        <is>
          <t>Medium</t>
        </is>
      </c>
      <c r="H3789" s="1" t="n">
        <v>1094</v>
      </c>
      <c r="I3789" s="1" t="n">
        <v>2318</v>
      </c>
      <c r="J3789" s="9" t="n">
        <v>0.472</v>
      </c>
      <c r="K3789" s="1" t="inlineStr">
        <is>
          <t>No</t>
        </is>
      </c>
      <c r="L3789" s="1" t="inlineStr">
        <is>
          <t>No</t>
        </is>
      </c>
      <c r="M3789" s="1" t="inlineStr">
        <is>
          <t>No</t>
        </is>
      </c>
      <c r="N3789" s="1" t="inlineStr">
        <is>
          <t>Algorithms</t>
        </is>
      </c>
      <c r="O37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89" s="11" t="inlineStr">
        <is>
          <t>To Do</t>
        </is>
      </c>
    </row>
    <row r="3790" ht="15.75" customHeight="1" s="12">
      <c r="A3790" s="1" t="n">
        <v>3338</v>
      </c>
      <c r="B3790" s="3">
        <f>HYPERLINK("https://leetcode.com/problems/second-highest-salary-ii/", "Second Highest Salary II")</f>
        <v/>
      </c>
      <c r="C3790" s="1" t="n">
        <v>13</v>
      </c>
      <c r="D3790" s="1" t="n">
        <v>0</v>
      </c>
      <c r="E3790" s="4">
        <f>IF(INDEX(C:C, ROW())+INDEX(D:D, ROW())=0, 0, INDEX(C:C, ROW())/(INDEX(C:C, ROW())+INDEX(D:D, ROW())))</f>
        <v/>
      </c>
      <c r="F3790" s="1" t="inlineStr">
        <is>
          <t>Database</t>
        </is>
      </c>
      <c r="G3790" s="1" t="inlineStr">
        <is>
          <t>Medium</t>
        </is>
      </c>
      <c r="H3790" s="1" t="n">
        <v>3072</v>
      </c>
      <c r="I3790" s="1" t="n">
        <v>3553</v>
      </c>
      <c r="J3790" s="9" t="n">
        <v>0.865</v>
      </c>
      <c r="K3790" s="1" t="inlineStr">
        <is>
          <t>No</t>
        </is>
      </c>
      <c r="L3790" s="1" t="inlineStr">
        <is>
          <t>No</t>
        </is>
      </c>
      <c r="M3790" s="1" t="inlineStr">
        <is>
          <t>No</t>
        </is>
      </c>
      <c r="N3790" s="1" t="inlineStr">
        <is>
          <t>Database</t>
        </is>
      </c>
      <c r="O37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90" s="11" t="inlineStr">
        <is>
          <t>To Do</t>
        </is>
      </c>
    </row>
    <row r="3791" ht="15.75" customHeight="1" s="12">
      <c r="A3791" s="1" t="n">
        <v>3908</v>
      </c>
      <c r="B3791" s="3">
        <f>HYPERLINK("https://leetcode.com/problems/valid-digit-number/", "Valid Digit Number")</f>
        <v/>
      </c>
      <c r="C3791" s="1" t="n">
        <v>13</v>
      </c>
      <c r="D3791" s="1" t="n">
        <v>0</v>
      </c>
      <c r="E3791" s="4">
        <f>IF(INDEX(C:C, ROW())+INDEX(D:D, ROW())=0, 0, INDEX(C:C, ROW())/(INDEX(C:C, ROW())+INDEX(D:D, ROW())))</f>
        <v/>
      </c>
      <c r="F3791" s="2" t="n"/>
      <c r="G3791" s="1" t="inlineStr">
        <is>
          <t>Easy</t>
        </is>
      </c>
      <c r="H3791" s="1" t="n">
        <v>25192</v>
      </c>
      <c r="I3791" s="1" t="n">
        <v>35988</v>
      </c>
      <c r="J3791" s="9" t="n">
        <v>0.7</v>
      </c>
      <c r="K3791" s="1" t="inlineStr">
        <is>
          <t>Yes</t>
        </is>
      </c>
      <c r="L3791" s="1" t="inlineStr">
        <is>
          <t>No</t>
        </is>
      </c>
      <c r="M3791" s="1" t="inlineStr">
        <is>
          <t>No</t>
        </is>
      </c>
      <c r="N3791" s="1" t="inlineStr">
        <is>
          <t>Algorithms</t>
        </is>
      </c>
      <c r="O37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91" s="13" t="inlineStr">
        <is>
          <t>Done</t>
        </is>
      </c>
    </row>
    <row r="3792" ht="15.75" customHeight="1" s="12">
      <c r="A3792" s="1" t="n">
        <v>2984</v>
      </c>
      <c r="B3792" s="3">
        <f>HYPERLINK("https://leetcode.com/problems/find-peak-calling-hours-for-each-city/", "Find Peak Calling Hours for Each City")</f>
        <v/>
      </c>
      <c r="C3792" s="1" t="n">
        <v>12</v>
      </c>
      <c r="D3792" s="1" t="n">
        <v>5</v>
      </c>
      <c r="E3792" s="4">
        <f>IF(INDEX(C:C, ROW())+INDEX(D:D, ROW())=0, 0, INDEX(C:C, ROW())/(INDEX(C:C, ROW())+INDEX(D:D, ROW())))</f>
        <v/>
      </c>
      <c r="F3792" s="1" t="inlineStr">
        <is>
          <t>Database</t>
        </is>
      </c>
      <c r="G3792" s="1" t="inlineStr">
        <is>
          <t>Medium</t>
        </is>
      </c>
      <c r="H3792" s="1" t="n">
        <v>4048</v>
      </c>
      <c r="I3792" s="1" t="n">
        <v>6543</v>
      </c>
      <c r="J3792" s="9" t="n">
        <v>0.619</v>
      </c>
      <c r="K3792" s="1" t="inlineStr">
        <is>
          <t>No</t>
        </is>
      </c>
      <c r="L3792" s="1" t="inlineStr">
        <is>
          <t>No</t>
        </is>
      </c>
      <c r="M3792" s="1" t="inlineStr">
        <is>
          <t>No</t>
        </is>
      </c>
      <c r="N3792" s="1" t="inlineStr">
        <is>
          <t>Database</t>
        </is>
      </c>
      <c r="O37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92" s="11" t="inlineStr">
        <is>
          <t>To Do</t>
        </is>
      </c>
    </row>
    <row r="3793" ht="15.75" customHeight="1" s="12">
      <c r="A3793" s="1" t="n">
        <v>3064</v>
      </c>
      <c r="B3793" s="3">
        <f>HYPERLINK("https://leetcode.com/problems/guess-the-number-using-bitwise-questions-i/", "Guess the Number Using Bitwise Questions I")</f>
        <v/>
      </c>
      <c r="C3793" s="1" t="n">
        <v>12</v>
      </c>
      <c r="D3793" s="1" t="n">
        <v>11</v>
      </c>
      <c r="E3793" s="4">
        <f>IF(INDEX(C:C, ROW())+INDEX(D:D, ROW())=0, 0, INDEX(C:C, ROW())/(INDEX(C:C, ROW())+INDEX(D:D, ROW())))</f>
        <v/>
      </c>
      <c r="F3793" s="1" t="inlineStr">
        <is>
          <t>Bit Manipulation, Interactive</t>
        </is>
      </c>
      <c r="G3793" s="1" t="inlineStr">
        <is>
          <t>Medium</t>
        </is>
      </c>
      <c r="H3793" s="1" t="n">
        <v>2348</v>
      </c>
      <c r="I3793" s="1" t="n">
        <v>2638</v>
      </c>
      <c r="J3793" s="9" t="n">
        <v>0.89</v>
      </c>
      <c r="K3793" s="1" t="inlineStr">
        <is>
          <t>No</t>
        </is>
      </c>
      <c r="L3793" s="1" t="inlineStr">
        <is>
          <t>No</t>
        </is>
      </c>
      <c r="M3793" s="1" t="inlineStr">
        <is>
          <t>No</t>
        </is>
      </c>
      <c r="N3793" s="1" t="inlineStr">
        <is>
          <t>Algorithms</t>
        </is>
      </c>
      <c r="O37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93" s="11" t="inlineStr">
        <is>
          <t>To Do</t>
        </is>
      </c>
    </row>
    <row r="3794" ht="15.75" customHeight="1" s="12">
      <c r="A3794" s="1" t="n">
        <v>3125</v>
      </c>
      <c r="B3794" s="3">
        <f>HYPERLINK("https://leetcode.com/problems/maximum-number-that-makes-result-of-bitwise-and-zero/", "Maximum Number That Makes Result of Bitwise AND Zero")</f>
        <v/>
      </c>
      <c r="C3794" s="1" t="n">
        <v>12</v>
      </c>
      <c r="D3794" s="1" t="n">
        <v>2</v>
      </c>
      <c r="E3794" s="4">
        <f>IF(INDEX(C:C, ROW())+INDEX(D:D, ROW())=0, 0, INDEX(C:C, ROW())/(INDEX(C:C, ROW())+INDEX(D:D, ROW())))</f>
        <v/>
      </c>
      <c r="F3794" s="1" t="inlineStr">
        <is>
          <t>String, Greedy, Sorting</t>
        </is>
      </c>
      <c r="G3794" s="1" t="inlineStr">
        <is>
          <t>Medium</t>
        </is>
      </c>
      <c r="H3794" s="1" t="n">
        <v>1349</v>
      </c>
      <c r="I3794" s="1" t="n">
        <v>1929</v>
      </c>
      <c r="J3794" s="9" t="n">
        <v>0.699</v>
      </c>
      <c r="K3794" s="1" t="inlineStr">
        <is>
          <t>No</t>
        </is>
      </c>
      <c r="L3794" s="1" t="inlineStr">
        <is>
          <t>No</t>
        </is>
      </c>
      <c r="M3794" s="1" t="inlineStr">
        <is>
          <t>No</t>
        </is>
      </c>
      <c r="N3794" s="1" t="inlineStr">
        <is>
          <t>Algorithms</t>
        </is>
      </c>
      <c r="O37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94" s="11" t="inlineStr">
        <is>
          <t>To Do</t>
        </is>
      </c>
    </row>
    <row r="3795" ht="15.75" customHeight="1" s="12">
      <c r="A3795" s="1" t="n">
        <v>3246</v>
      </c>
      <c r="B3795" s="3">
        <f>HYPERLINK("https://leetcode.com/problems/premier-league-table-ranking/", "Premier League Table Ranking")</f>
        <v/>
      </c>
      <c r="C3795" s="1" t="n">
        <v>12</v>
      </c>
      <c r="D3795" s="1" t="n">
        <v>0</v>
      </c>
      <c r="E3795" s="4">
        <f>IF(INDEX(C:C, ROW())+INDEX(D:D, ROW())=0, 0, INDEX(C:C, ROW())/(INDEX(C:C, ROW())+INDEX(D:D, ROW())))</f>
        <v/>
      </c>
      <c r="F3795" s="1" t="inlineStr">
        <is>
          <t>Database</t>
        </is>
      </c>
      <c r="G3795" s="1" t="inlineStr">
        <is>
          <t>Easy</t>
        </is>
      </c>
      <c r="H3795" s="1" t="n">
        <v>3804</v>
      </c>
      <c r="I3795" s="1" t="n">
        <v>4845</v>
      </c>
      <c r="J3795" s="9" t="n">
        <v>0.785</v>
      </c>
      <c r="K3795" s="1" t="inlineStr">
        <is>
          <t>No</t>
        </is>
      </c>
      <c r="L3795" s="1" t="inlineStr">
        <is>
          <t>No</t>
        </is>
      </c>
      <c r="M3795" s="1" t="inlineStr">
        <is>
          <t>No</t>
        </is>
      </c>
      <c r="N3795" s="1" t="inlineStr">
        <is>
          <t>Database</t>
        </is>
      </c>
      <c r="O37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95" s="11" t="inlineStr">
        <is>
          <t>To Do</t>
        </is>
      </c>
    </row>
    <row r="3796" ht="15.75" customHeight="1" s="12">
      <c r="A3796" s="1" t="n">
        <v>3269</v>
      </c>
      <c r="B3796" s="3">
        <f>HYPERLINK("https://leetcode.com/problems/constructing-two-increasing-arrays/", "Constructing Two Increasing Arrays")</f>
        <v/>
      </c>
      <c r="C3796" s="1" t="n">
        <v>12</v>
      </c>
      <c r="D3796" s="1" t="n">
        <v>1</v>
      </c>
      <c r="E3796" s="4">
        <f>IF(INDEX(C:C, ROW())+INDEX(D:D, ROW())=0, 0, INDEX(C:C, ROW())/(INDEX(C:C, ROW())+INDEX(D:D, ROW())))</f>
        <v/>
      </c>
      <c r="F3796" s="1" t="inlineStr">
        <is>
          <t>Array, Dynamic Programming</t>
        </is>
      </c>
      <c r="G3796" s="1" t="inlineStr">
        <is>
          <t>Hard</t>
        </is>
      </c>
      <c r="H3796" s="1" t="n">
        <v>522</v>
      </c>
      <c r="I3796" s="1" t="n">
        <v>843</v>
      </c>
      <c r="J3796" s="9" t="n">
        <v>0.619</v>
      </c>
      <c r="K3796" s="1" t="inlineStr">
        <is>
          <t>No</t>
        </is>
      </c>
      <c r="L3796" s="1" t="inlineStr">
        <is>
          <t>No</t>
        </is>
      </c>
      <c r="M3796" s="1" t="inlineStr">
        <is>
          <t>No</t>
        </is>
      </c>
      <c r="N3796" s="1" t="inlineStr">
        <is>
          <t>Algorithms</t>
        </is>
      </c>
      <c r="O37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96" s="11" t="inlineStr">
        <is>
          <t>To Do</t>
        </is>
      </c>
    </row>
    <row r="3797" ht="15.75" customHeight="1" s="12">
      <c r="A3797" s="1" t="n">
        <v>3278</v>
      </c>
      <c r="B3797" s="3">
        <f>HYPERLINK("https://leetcode.com/problems/find-candidates-for-data-scientist-position-ii/", "Find Candidates for Data Scientist Position II")</f>
        <v/>
      </c>
      <c r="C3797" s="1" t="n">
        <v>12</v>
      </c>
      <c r="D3797" s="1" t="n">
        <v>5</v>
      </c>
      <c r="E3797" s="4">
        <f>IF(INDEX(C:C, ROW())+INDEX(D:D, ROW())=0, 0, INDEX(C:C, ROW())/(INDEX(C:C, ROW())+INDEX(D:D, ROW())))</f>
        <v/>
      </c>
      <c r="F3797" s="1" t="inlineStr">
        <is>
          <t>Database</t>
        </is>
      </c>
      <c r="G3797" s="1" t="inlineStr">
        <is>
          <t>Medium</t>
        </is>
      </c>
      <c r="H3797" s="1" t="n">
        <v>2232</v>
      </c>
      <c r="I3797" s="1" t="n">
        <v>5205</v>
      </c>
      <c r="J3797" s="9" t="n">
        <v>0.429</v>
      </c>
      <c r="K3797" s="1" t="inlineStr">
        <is>
          <t>No</t>
        </is>
      </c>
      <c r="L3797" s="1" t="inlineStr">
        <is>
          <t>No</t>
        </is>
      </c>
      <c r="M3797" s="1" t="inlineStr">
        <is>
          <t>No</t>
        </is>
      </c>
      <c r="N3797" s="1" t="inlineStr">
        <is>
          <t>Database</t>
        </is>
      </c>
      <c r="O37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97" s="11" t="inlineStr">
        <is>
          <t>To Do</t>
        </is>
      </c>
    </row>
    <row r="3798" ht="15.75" customHeight="1" s="12">
      <c r="A3798" s="1" t="n">
        <v>3284</v>
      </c>
      <c r="B3798" s="3">
        <f>HYPERLINK("https://leetcode.com/problems/sum-of-consecutive-subarrays/", "Sum of Consecutive Subarrays")</f>
        <v/>
      </c>
      <c r="C3798" s="1" t="n">
        <v>12</v>
      </c>
      <c r="D3798" s="1" t="n">
        <v>3</v>
      </c>
      <c r="E3798" s="4">
        <f>IF(INDEX(C:C, ROW())+INDEX(D:D, ROW())=0, 0, INDEX(C:C, ROW())/(INDEX(C:C, ROW())+INDEX(D:D, ROW())))</f>
        <v/>
      </c>
      <c r="F3798" s="1" t="inlineStr">
        <is>
          <t>Array, Two Pointers, Dynamic Programming</t>
        </is>
      </c>
      <c r="G3798" s="1" t="inlineStr">
        <is>
          <t>Medium</t>
        </is>
      </c>
      <c r="H3798" s="1" t="n">
        <v>887</v>
      </c>
      <c r="I3798" s="1" t="n">
        <v>2078</v>
      </c>
      <c r="J3798" s="9" t="n">
        <v>0.427</v>
      </c>
      <c r="K3798" s="1" t="inlineStr">
        <is>
          <t>No</t>
        </is>
      </c>
      <c r="L3798" s="1" t="inlineStr">
        <is>
          <t>No</t>
        </is>
      </c>
      <c r="M3798" s="1" t="inlineStr">
        <is>
          <t>No</t>
        </is>
      </c>
      <c r="N3798" s="1" t="inlineStr">
        <is>
          <t>Algorithms</t>
        </is>
      </c>
      <c r="O37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98" s="11" t="inlineStr">
        <is>
          <t>To Do</t>
        </is>
      </c>
    </row>
    <row r="3799" ht="15.75" customHeight="1" s="12">
      <c r="A3799" s="1" t="n">
        <v>2647</v>
      </c>
      <c r="B3799" s="3">
        <f>HYPERLINK("https://leetcode.com/problems/color-the-triangle-red/", "Color the Triangle Red")</f>
        <v/>
      </c>
      <c r="C3799" s="1" t="n">
        <v>11</v>
      </c>
      <c r="D3799" s="1" t="n">
        <v>19</v>
      </c>
      <c r="E3799" s="4">
        <f>IF(INDEX(C:C, ROW())+INDEX(D:D, ROW())=0, 0, INDEX(C:C, ROW())/(INDEX(C:C, ROW())+INDEX(D:D, ROW())))</f>
        <v/>
      </c>
      <c r="F3799" s="1" t="inlineStr">
        <is>
          <t>Array, Math</t>
        </is>
      </c>
      <c r="G3799" s="1" t="inlineStr">
        <is>
          <t>Hard</t>
        </is>
      </c>
      <c r="H3799" s="1" t="n">
        <v>475</v>
      </c>
      <c r="I3799" s="1" t="n">
        <v>806</v>
      </c>
      <c r="J3799" s="9" t="n">
        <v>0.589</v>
      </c>
      <c r="K3799" s="1" t="inlineStr">
        <is>
          <t>No</t>
        </is>
      </c>
      <c r="L3799" s="1" t="inlineStr">
        <is>
          <t>No</t>
        </is>
      </c>
      <c r="M3799" s="1" t="inlineStr">
        <is>
          <t>No</t>
        </is>
      </c>
      <c r="N3799" s="1" t="inlineStr">
        <is>
          <t>Algorithms</t>
        </is>
      </c>
      <c r="O37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799" s="11" t="inlineStr">
        <is>
          <t>To Do</t>
        </is>
      </c>
    </row>
    <row r="3800" ht="15.75" customHeight="1" s="12">
      <c r="A3800" s="1" t="n">
        <v>2691</v>
      </c>
      <c r="B3800" s="3">
        <f>HYPERLINK("https://leetcode.com/problems/immutability-helper/", "Immutability Helper")</f>
        <v/>
      </c>
      <c r="C3800" s="1" t="n">
        <v>11</v>
      </c>
      <c r="D3800" s="1" t="n">
        <v>8</v>
      </c>
      <c r="E3800" s="4">
        <f>IF(INDEX(C:C, ROW())+INDEX(D:D, ROW())=0, 0, INDEX(C:C, ROW())/(INDEX(C:C, ROW())+INDEX(D:D, ROW())))</f>
        <v/>
      </c>
      <c r="F3800" s="2" t="n"/>
      <c r="G3800" s="1" t="inlineStr">
        <is>
          <t>Hard</t>
        </is>
      </c>
      <c r="H3800" s="1" t="n">
        <v>400</v>
      </c>
      <c r="I3800" s="1" t="n">
        <v>1004</v>
      </c>
      <c r="J3800" s="9" t="n">
        <v>0.398</v>
      </c>
      <c r="K3800" s="1" t="inlineStr">
        <is>
          <t>No</t>
        </is>
      </c>
      <c r="L3800" s="1" t="inlineStr">
        <is>
          <t>No</t>
        </is>
      </c>
      <c r="M3800" s="1" t="inlineStr">
        <is>
          <t>No</t>
        </is>
      </c>
      <c r="N3800" s="1" t="inlineStr">
        <is>
          <t>JavaScript</t>
        </is>
      </c>
      <c r="O38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00" s="11" t="inlineStr">
        <is>
          <t>To Do</t>
        </is>
      </c>
    </row>
    <row r="3801" ht="15.75" customHeight="1" s="12">
      <c r="A3801" s="1" t="n">
        <v>2757</v>
      </c>
      <c r="B3801" s="3">
        <f>HYPERLINK("https://leetcode.com/problems/generate-circular-array-values/", "Generate Circular Array Values")</f>
        <v/>
      </c>
      <c r="C3801" s="1" t="n">
        <v>11</v>
      </c>
      <c r="D3801" s="1" t="n">
        <v>2</v>
      </c>
      <c r="E3801" s="4">
        <f>IF(INDEX(C:C, ROW())+INDEX(D:D, ROW())=0, 0, INDEX(C:C, ROW())/(INDEX(C:C, ROW())+INDEX(D:D, ROW())))</f>
        <v/>
      </c>
      <c r="F3801" s="2" t="n"/>
      <c r="G3801" s="1" t="inlineStr">
        <is>
          <t>Medium</t>
        </is>
      </c>
      <c r="H3801" s="1" t="n">
        <v>715</v>
      </c>
      <c r="I3801" s="1" t="n">
        <v>947</v>
      </c>
      <c r="J3801" s="9" t="n">
        <v>0.755</v>
      </c>
      <c r="K3801" s="1" t="inlineStr">
        <is>
          <t>No</t>
        </is>
      </c>
      <c r="L3801" s="1" t="inlineStr">
        <is>
          <t>Yes</t>
        </is>
      </c>
      <c r="M3801" s="1" t="inlineStr">
        <is>
          <t>No</t>
        </is>
      </c>
      <c r="N3801" s="1" t="inlineStr">
        <is>
          <t>JavaScript</t>
        </is>
      </c>
      <c r="O38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01" s="11" t="inlineStr">
        <is>
          <t>To Do</t>
        </is>
      </c>
    </row>
    <row r="3802" ht="15.75" customHeight="1" s="12">
      <c r="A3802" s="1" t="n">
        <v>2777</v>
      </c>
      <c r="B3802" s="3">
        <f>HYPERLINK("https://leetcode.com/problems/date-range-generator/", "Date Range Generator")</f>
        <v/>
      </c>
      <c r="C3802" s="1" t="n">
        <v>11</v>
      </c>
      <c r="D3802" s="1" t="n">
        <v>2</v>
      </c>
      <c r="E3802" s="4">
        <f>IF(INDEX(C:C, ROW())+INDEX(D:D, ROW())=0, 0, INDEX(C:C, ROW())/(INDEX(C:C, ROW())+INDEX(D:D, ROW())))</f>
        <v/>
      </c>
      <c r="F3802" s="2" t="n"/>
      <c r="G3802" s="1" t="inlineStr">
        <is>
          <t>Medium</t>
        </is>
      </c>
      <c r="H3802" s="1" t="n">
        <v>732</v>
      </c>
      <c r="I3802" s="1" t="n">
        <v>884</v>
      </c>
      <c r="J3802" s="9" t="n">
        <v>0.828</v>
      </c>
      <c r="K3802" s="1" t="inlineStr">
        <is>
          <t>No</t>
        </is>
      </c>
      <c r="L3802" s="1" t="inlineStr">
        <is>
          <t>Yes</t>
        </is>
      </c>
      <c r="M3802" s="1" t="inlineStr">
        <is>
          <t>No</t>
        </is>
      </c>
      <c r="N3802" s="1" t="inlineStr">
        <is>
          <t>JavaScript</t>
        </is>
      </c>
      <c r="O38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02" s="11" t="inlineStr">
        <is>
          <t>To Do</t>
        </is>
      </c>
    </row>
    <row r="3803" ht="15.75" customHeight="1" s="12">
      <c r="A3803" s="1" t="n">
        <v>2794</v>
      </c>
      <c r="B3803" s="3">
        <f>HYPERLINK("https://leetcode.com/problems/create-object-from-two-arrays/", "Create Object from Two Arrays")</f>
        <v/>
      </c>
      <c r="C3803" s="1" t="n">
        <v>11</v>
      </c>
      <c r="D3803" s="1" t="n">
        <v>3</v>
      </c>
      <c r="E3803" s="4">
        <f>IF(INDEX(C:C, ROW())+INDEX(D:D, ROW())=0, 0, INDEX(C:C, ROW())/(INDEX(C:C, ROW())+INDEX(D:D, ROW())))</f>
        <v/>
      </c>
      <c r="F3803" s="2" t="n"/>
      <c r="G3803" s="1" t="inlineStr">
        <is>
          <t>Easy</t>
        </is>
      </c>
      <c r="H3803" s="1" t="n">
        <v>1829</v>
      </c>
      <c r="I3803" s="1" t="n">
        <v>2815</v>
      </c>
      <c r="J3803" s="9" t="n">
        <v>0.65</v>
      </c>
      <c r="K3803" s="1" t="inlineStr">
        <is>
          <t>No</t>
        </is>
      </c>
      <c r="L3803" s="1" t="inlineStr">
        <is>
          <t>Yes</t>
        </is>
      </c>
      <c r="M3803" s="1" t="inlineStr">
        <is>
          <t>No</t>
        </is>
      </c>
      <c r="N3803" s="1" t="inlineStr">
        <is>
          <t>JavaScript</t>
        </is>
      </c>
      <c r="O38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03" s="11" t="inlineStr">
        <is>
          <t>To Do</t>
        </is>
      </c>
    </row>
    <row r="3804" ht="15.75" customHeight="1" s="12">
      <c r="A3804" s="1" t="n">
        <v>2797</v>
      </c>
      <c r="B3804" s="3">
        <f>HYPERLINK("https://leetcode.com/problems/partial-function-with-placeholders/", "Partial Function with Placeholders")</f>
        <v/>
      </c>
      <c r="C3804" s="1" t="n">
        <v>11</v>
      </c>
      <c r="D3804" s="1" t="n">
        <v>4</v>
      </c>
      <c r="E3804" s="4">
        <f>IF(INDEX(C:C, ROW())+INDEX(D:D, ROW())=0, 0, INDEX(C:C, ROW())/(INDEX(C:C, ROW())+INDEX(D:D, ROW())))</f>
        <v/>
      </c>
      <c r="F3804" s="2" t="n"/>
      <c r="G3804" s="1" t="inlineStr">
        <is>
          <t>Easy</t>
        </is>
      </c>
      <c r="H3804" s="1" t="n">
        <v>1774</v>
      </c>
      <c r="I3804" s="1" t="n">
        <v>1987</v>
      </c>
      <c r="J3804" s="9" t="n">
        <v>0.893</v>
      </c>
      <c r="K3804" s="1" t="inlineStr">
        <is>
          <t>No</t>
        </is>
      </c>
      <c r="L3804" s="1" t="inlineStr">
        <is>
          <t>No</t>
        </is>
      </c>
      <c r="M3804" s="1" t="inlineStr">
        <is>
          <t>No</t>
        </is>
      </c>
      <c r="N3804" s="1" t="inlineStr">
        <is>
          <t>JavaScript</t>
        </is>
      </c>
      <c r="O38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04" s="11" t="inlineStr">
        <is>
          <t>To Do</t>
        </is>
      </c>
    </row>
    <row r="3805" ht="15.75" customHeight="1" s="12">
      <c r="A3805" s="1" t="n">
        <v>2987</v>
      </c>
      <c r="B3805" s="3">
        <f>HYPERLINK("https://leetcode.com/problems/find-expensive-cities/", "Find Expensive Cities")</f>
        <v/>
      </c>
      <c r="C3805" s="1" t="n">
        <v>11</v>
      </c>
      <c r="D3805" s="1" t="n">
        <v>12</v>
      </c>
      <c r="E3805" s="4">
        <f>IF(INDEX(C:C, ROW())+INDEX(D:D, ROW())=0, 0, INDEX(C:C, ROW())/(INDEX(C:C, ROW())+INDEX(D:D, ROW())))</f>
        <v/>
      </c>
      <c r="F3805" s="1" t="inlineStr">
        <is>
          <t>Database</t>
        </is>
      </c>
      <c r="G3805" s="1" t="inlineStr">
        <is>
          <t>Easy</t>
        </is>
      </c>
      <c r="H3805" s="1" t="n">
        <v>5964</v>
      </c>
      <c r="I3805" s="1" t="n">
        <v>7732</v>
      </c>
      <c r="J3805" s="9" t="n">
        <v>0.771</v>
      </c>
      <c r="K3805" s="1" t="inlineStr">
        <is>
          <t>No</t>
        </is>
      </c>
      <c r="L3805" s="1" t="inlineStr">
        <is>
          <t>No</t>
        </is>
      </c>
      <c r="M3805" s="1" t="inlineStr">
        <is>
          <t>No</t>
        </is>
      </c>
      <c r="N3805" s="1" t="inlineStr">
        <is>
          <t>Database</t>
        </is>
      </c>
      <c r="O38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05" s="11" t="inlineStr">
        <is>
          <t>To Do</t>
        </is>
      </c>
    </row>
    <row r="3806" ht="15.75" customHeight="1" s="12">
      <c r="A3806" s="1" t="n">
        <v>3078</v>
      </c>
      <c r="B3806" s="3">
        <f>HYPERLINK("https://leetcode.com/problems/match-alphanumerical-pattern-in-matrix-i/", "Match Alphanumerical Pattern in Matrix I")</f>
        <v/>
      </c>
      <c r="C3806" s="1" t="n">
        <v>11</v>
      </c>
      <c r="D3806" s="1" t="n">
        <v>5</v>
      </c>
      <c r="E3806" s="4">
        <f>IF(INDEX(C:C, ROW())+INDEX(D:D, ROW())=0, 0, INDEX(C:C, ROW())/(INDEX(C:C, ROW())+INDEX(D:D, ROW())))</f>
        <v/>
      </c>
      <c r="F3806" s="1" t="inlineStr">
        <is>
          <t>Array, Hash Table, String, Matrix</t>
        </is>
      </c>
      <c r="G3806" s="1" t="inlineStr">
        <is>
          <t>Medium</t>
        </is>
      </c>
      <c r="H3806" s="1" t="n">
        <v>1326</v>
      </c>
      <c r="I3806" s="1" t="n">
        <v>2049</v>
      </c>
      <c r="J3806" s="9" t="n">
        <v>0.647</v>
      </c>
      <c r="K3806" s="1" t="inlineStr">
        <is>
          <t>No</t>
        </is>
      </c>
      <c r="L3806" s="1" t="inlineStr">
        <is>
          <t>No</t>
        </is>
      </c>
      <c r="M3806" s="1" t="inlineStr">
        <is>
          <t>No</t>
        </is>
      </c>
      <c r="N3806" s="1" t="inlineStr">
        <is>
          <t>Algorithms</t>
        </is>
      </c>
      <c r="O38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06" s="11" t="inlineStr">
        <is>
          <t>To Do</t>
        </is>
      </c>
    </row>
    <row r="3807" ht="15.75" customHeight="1" s="12">
      <c r="A3807" s="1" t="n">
        <v>3089</v>
      </c>
      <c r="B3807" s="3">
        <f>HYPERLINK("https://leetcode.com/problems/find-bursty-behavior/", "Find Bursty Behavior")</f>
        <v/>
      </c>
      <c r="C3807" s="1" t="n">
        <v>11</v>
      </c>
      <c r="D3807" s="1" t="n">
        <v>21</v>
      </c>
      <c r="E3807" s="4">
        <f>IF(INDEX(C:C, ROW())+INDEX(D:D, ROW())=0, 0, INDEX(C:C, ROW())/(INDEX(C:C, ROW())+INDEX(D:D, ROW())))</f>
        <v/>
      </c>
      <c r="F3807" s="1" t="inlineStr">
        <is>
          <t>Database</t>
        </is>
      </c>
      <c r="G3807" s="1" t="inlineStr">
        <is>
          <t>Medium</t>
        </is>
      </c>
      <c r="H3807" s="1" t="n">
        <v>2505</v>
      </c>
      <c r="I3807" s="1" t="n">
        <v>6588</v>
      </c>
      <c r="J3807" s="9" t="n">
        <v>0.38</v>
      </c>
      <c r="K3807" s="1" t="inlineStr">
        <is>
          <t>No</t>
        </is>
      </c>
      <c r="L3807" s="1" t="inlineStr">
        <is>
          <t>No</t>
        </is>
      </c>
      <c r="M3807" s="1" t="inlineStr">
        <is>
          <t>No</t>
        </is>
      </c>
      <c r="N3807" s="1" t="inlineStr">
        <is>
          <t>Database</t>
        </is>
      </c>
      <c r="O38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07" s="11" t="inlineStr">
        <is>
          <t>To Do</t>
        </is>
      </c>
    </row>
    <row r="3808" ht="15.75" customHeight="1" s="12">
      <c r="A3808" s="1" t="n">
        <v>3103</v>
      </c>
      <c r="B3808" s="3">
        <f>HYPERLINK("https://leetcode.com/problems/find-trending-hashtags-ii/", "Find Trending Hashtags II ")</f>
        <v/>
      </c>
      <c r="C3808" s="1" t="n">
        <v>11</v>
      </c>
      <c r="D3808" s="1" t="n">
        <v>2</v>
      </c>
      <c r="E3808" s="4">
        <f>IF(INDEX(C:C, ROW())+INDEX(D:D, ROW())=0, 0, INDEX(C:C, ROW())/(INDEX(C:C, ROW())+INDEX(D:D, ROW())))</f>
        <v/>
      </c>
      <c r="F3808" s="1" t="inlineStr">
        <is>
          <t>Database</t>
        </is>
      </c>
      <c r="G3808" s="1" t="inlineStr">
        <is>
          <t>Hard</t>
        </is>
      </c>
      <c r="H3808" s="1" t="n">
        <v>1630</v>
      </c>
      <c r="I3808" s="1" t="n">
        <v>2440</v>
      </c>
      <c r="J3808" s="9" t="n">
        <v>0.668</v>
      </c>
      <c r="K3808" s="1" t="inlineStr">
        <is>
          <t>No</t>
        </is>
      </c>
      <c r="L3808" s="1" t="inlineStr">
        <is>
          <t>No</t>
        </is>
      </c>
      <c r="M3808" s="1" t="inlineStr">
        <is>
          <t>No</t>
        </is>
      </c>
      <c r="N3808" s="1" t="inlineStr">
        <is>
          <t>Database</t>
        </is>
      </c>
      <c r="O38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08" s="11" t="inlineStr">
        <is>
          <t>To Do</t>
        </is>
      </c>
    </row>
    <row r="3809" ht="15.75" customHeight="1" s="12">
      <c r="A3809" s="1" t="n">
        <v>3172</v>
      </c>
      <c r="B3809" s="3">
        <f>HYPERLINK("https://leetcode.com/problems/second-day-verification/", "Second Day Verification")</f>
        <v/>
      </c>
      <c r="C3809" s="1" t="n">
        <v>11</v>
      </c>
      <c r="D3809" s="1" t="n">
        <v>1</v>
      </c>
      <c r="E3809" s="4">
        <f>IF(INDEX(C:C, ROW())+INDEX(D:D, ROW())=0, 0, INDEX(C:C, ROW())/(INDEX(C:C, ROW())+INDEX(D:D, ROW())))</f>
        <v/>
      </c>
      <c r="F3809" s="1" t="inlineStr">
        <is>
          <t>Database</t>
        </is>
      </c>
      <c r="G3809" s="1" t="inlineStr">
        <is>
          <t>Easy</t>
        </is>
      </c>
      <c r="H3809" s="1" t="n">
        <v>3859</v>
      </c>
      <c r="I3809" s="1" t="n">
        <v>5764</v>
      </c>
      <c r="J3809" s="9" t="n">
        <v>0.67</v>
      </c>
      <c r="K3809" s="1" t="inlineStr">
        <is>
          <t>No</t>
        </is>
      </c>
      <c r="L3809" s="1" t="inlineStr">
        <is>
          <t>No</t>
        </is>
      </c>
      <c r="M3809" s="1" t="inlineStr">
        <is>
          <t>No</t>
        </is>
      </c>
      <c r="N3809" s="1" t="inlineStr">
        <is>
          <t>Database</t>
        </is>
      </c>
      <c r="O38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09" s="11" t="inlineStr">
        <is>
          <t>To Do</t>
        </is>
      </c>
    </row>
    <row r="3810" ht="15.75" customHeight="1" s="12">
      <c r="A3810" s="1" t="n">
        <v>3252</v>
      </c>
      <c r="B3810" s="3">
        <f>HYPERLINK("https://leetcode.com/problems/premier-league-table-ranking-ii/", "Premier League Table Ranking II")</f>
        <v/>
      </c>
      <c r="C3810" s="1" t="n">
        <v>11</v>
      </c>
      <c r="D3810" s="1" t="n">
        <v>11</v>
      </c>
      <c r="E3810" s="4">
        <f>IF(INDEX(C:C, ROW())+INDEX(D:D, ROW())=0, 0, INDEX(C:C, ROW())/(INDEX(C:C, ROW())+INDEX(D:D, ROW())))</f>
        <v/>
      </c>
      <c r="F3810" s="1" t="inlineStr">
        <is>
          <t>Database</t>
        </is>
      </c>
      <c r="G3810" s="1" t="inlineStr">
        <is>
          <t>Medium</t>
        </is>
      </c>
      <c r="H3810" s="1" t="n">
        <v>2087</v>
      </c>
      <c r="I3810" s="1" t="n">
        <v>3737</v>
      </c>
      <c r="J3810" s="9" t="n">
        <v>0.5580000000000001</v>
      </c>
      <c r="K3810" s="1" t="inlineStr">
        <is>
          <t>No</t>
        </is>
      </c>
      <c r="L3810" s="1" t="inlineStr">
        <is>
          <t>No</t>
        </is>
      </c>
      <c r="M3810" s="1" t="inlineStr">
        <is>
          <t>No</t>
        </is>
      </c>
      <c r="N3810" s="1" t="inlineStr">
        <is>
          <t>Database</t>
        </is>
      </c>
      <c r="O38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10" s="11" t="inlineStr">
        <is>
          <t>To Do</t>
        </is>
      </c>
    </row>
    <row r="3811" ht="15.75" customHeight="1" s="12">
      <c r="A3811" s="1" t="n">
        <v>3253</v>
      </c>
      <c r="B3811" s="3">
        <f>HYPERLINK("https://leetcode.com/problems/construct-string-with-minimum-cost-easy/", "Construct String with Minimum Cost (Easy)")</f>
        <v/>
      </c>
      <c r="C3811" s="1" t="n">
        <v>11</v>
      </c>
      <c r="D3811" s="1" t="n">
        <v>2</v>
      </c>
      <c r="E3811" s="4">
        <f>IF(INDEX(C:C, ROW())+INDEX(D:D, ROW())=0, 0, INDEX(C:C, ROW())/(INDEX(C:C, ROW())+INDEX(D:D, ROW())))</f>
        <v/>
      </c>
      <c r="F3811" s="2" t="n"/>
      <c r="G3811" s="1" t="inlineStr">
        <is>
          <t>Medium</t>
        </is>
      </c>
      <c r="H3811" s="1" t="n">
        <v>818</v>
      </c>
      <c r="I3811" s="1" t="n">
        <v>1388</v>
      </c>
      <c r="J3811" s="9" t="n">
        <v>0.589</v>
      </c>
      <c r="K3811" s="1" t="inlineStr">
        <is>
          <t>No</t>
        </is>
      </c>
      <c r="L3811" s="1" t="inlineStr">
        <is>
          <t>No</t>
        </is>
      </c>
      <c r="M3811" s="1" t="inlineStr">
        <is>
          <t>No</t>
        </is>
      </c>
      <c r="N3811" s="1" t="inlineStr">
        <is>
          <t>Algorithms</t>
        </is>
      </c>
      <c r="O38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11" s="11" t="inlineStr">
        <is>
          <t>To Do</t>
        </is>
      </c>
    </row>
    <row r="3812" ht="15.75" customHeight="1" s="12">
      <c r="A3812" s="1" t="n">
        <v>3262</v>
      </c>
      <c r="B3812" s="3">
        <f>HYPERLINK("https://leetcode.com/problems/find-overlapping-shifts/", "Find Overlapping Shifts")</f>
        <v/>
      </c>
      <c r="C3812" s="1" t="n">
        <v>11</v>
      </c>
      <c r="D3812" s="1" t="n">
        <v>5</v>
      </c>
      <c r="E3812" s="4">
        <f>IF(INDEX(C:C, ROW())+INDEX(D:D, ROW())=0, 0, INDEX(C:C, ROW())/(INDEX(C:C, ROW())+INDEX(D:D, ROW())))</f>
        <v/>
      </c>
      <c r="F3812" s="1" t="inlineStr">
        <is>
          <t>Database</t>
        </is>
      </c>
      <c r="G3812" s="1" t="inlineStr">
        <is>
          <t>Medium</t>
        </is>
      </c>
      <c r="H3812" s="1" t="n">
        <v>2530</v>
      </c>
      <c r="I3812" s="1" t="n">
        <v>4336</v>
      </c>
      <c r="J3812" s="9" t="n">
        <v>0.583</v>
      </c>
      <c r="K3812" s="1" t="inlineStr">
        <is>
          <t>No</t>
        </is>
      </c>
      <c r="L3812" s="1" t="inlineStr">
        <is>
          <t>No</t>
        </is>
      </c>
      <c r="M3812" s="1" t="inlineStr">
        <is>
          <t>No</t>
        </is>
      </c>
      <c r="N3812" s="1" t="inlineStr">
        <is>
          <t>Database</t>
        </is>
      </c>
      <c r="O38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12" s="11" t="inlineStr">
        <is>
          <t>To Do</t>
        </is>
      </c>
    </row>
    <row r="3813" ht="15.75" customHeight="1" s="12">
      <c r="A3813" s="1" t="n">
        <v>3328</v>
      </c>
      <c r="B3813" s="3">
        <f>HYPERLINK("https://leetcode.com/problems/find-cities-in-each-state-ii/", "Find Cities in Each State II")</f>
        <v/>
      </c>
      <c r="C3813" s="1" t="n">
        <v>11</v>
      </c>
      <c r="D3813" s="1" t="n">
        <v>2</v>
      </c>
      <c r="E3813" s="4">
        <f>IF(INDEX(C:C, ROW())+INDEX(D:D, ROW())=0, 0, INDEX(C:C, ROW())/(INDEX(C:C, ROW())+INDEX(D:D, ROW())))</f>
        <v/>
      </c>
      <c r="F3813" s="1" t="inlineStr">
        <is>
          <t>Database</t>
        </is>
      </c>
      <c r="G3813" s="1" t="inlineStr">
        <is>
          <t>Medium</t>
        </is>
      </c>
      <c r="H3813" s="1" t="n">
        <v>2175</v>
      </c>
      <c r="I3813" s="1" t="n">
        <v>3180</v>
      </c>
      <c r="J3813" s="9" t="n">
        <v>0.6840000000000001</v>
      </c>
      <c r="K3813" s="1" t="inlineStr">
        <is>
          <t>No</t>
        </is>
      </c>
      <c r="L3813" s="1" t="inlineStr">
        <is>
          <t>No</t>
        </is>
      </c>
      <c r="M3813" s="1" t="inlineStr">
        <is>
          <t>No</t>
        </is>
      </c>
      <c r="N3813" s="1" t="inlineStr">
        <is>
          <t>Database</t>
        </is>
      </c>
      <c r="O38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13" s="11" t="inlineStr">
        <is>
          <t>To Do</t>
        </is>
      </c>
    </row>
    <row r="3814" ht="15.75" customHeight="1" s="12">
      <c r="A3814" s="1" t="n">
        <v>3491</v>
      </c>
      <c r="B3814" s="3">
        <f>HYPERLINK("https://leetcode.com/problems/phone-number-prefix/", "Phone Number Prefix")</f>
        <v/>
      </c>
      <c r="C3814" s="1" t="n">
        <v>11</v>
      </c>
      <c r="D3814" s="1" t="n">
        <v>1</v>
      </c>
      <c r="E3814" s="4">
        <f>IF(INDEX(C:C, ROW())+INDEX(D:D, ROW())=0, 0, INDEX(C:C, ROW())/(INDEX(C:C, ROW())+INDEX(D:D, ROW())))</f>
        <v/>
      </c>
      <c r="F3814" s="1" t="inlineStr">
        <is>
          <t>Array, String, Trie, Sorting</t>
        </is>
      </c>
      <c r="G3814" s="1" t="inlineStr">
        <is>
          <t>Easy</t>
        </is>
      </c>
      <c r="H3814" s="1" t="n">
        <v>1916</v>
      </c>
      <c r="I3814" s="1" t="n">
        <v>2727</v>
      </c>
      <c r="J3814" s="9" t="n">
        <v>0.703</v>
      </c>
      <c r="K3814" s="1" t="inlineStr">
        <is>
          <t>No</t>
        </is>
      </c>
      <c r="L3814" s="1" t="inlineStr">
        <is>
          <t>No</t>
        </is>
      </c>
      <c r="M3814" s="1" t="inlineStr">
        <is>
          <t>No</t>
        </is>
      </c>
      <c r="N3814" s="1" t="inlineStr">
        <is>
          <t>Algorithms</t>
        </is>
      </c>
      <c r="O38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14" s="11" t="inlineStr">
        <is>
          <t>To Do</t>
        </is>
      </c>
    </row>
    <row r="3815" ht="15.75" customHeight="1" s="12">
      <c r="A3815" s="1" t="n">
        <v>3496</v>
      </c>
      <c r="B3815" s="3">
        <f>HYPERLINK("https://leetcode.com/problems/maximize-score-after-pair-deletions/", "Maximize Score After Pair Deletions")</f>
        <v/>
      </c>
      <c r="C3815" s="1" t="n">
        <v>11</v>
      </c>
      <c r="D3815" s="1" t="n">
        <v>4</v>
      </c>
      <c r="E3815" s="4">
        <f>IF(INDEX(C:C, ROW())+INDEX(D:D, ROW())=0, 0, INDEX(C:C, ROW())/(INDEX(C:C, ROW())+INDEX(D:D, ROW())))</f>
        <v/>
      </c>
      <c r="F3815" s="1" t="inlineStr">
        <is>
          <t>Array, Greedy</t>
        </is>
      </c>
      <c r="G3815" s="1" t="inlineStr">
        <is>
          <t>Medium</t>
        </is>
      </c>
      <c r="H3815" s="1" t="n">
        <v>1231</v>
      </c>
      <c r="I3815" s="1" t="n">
        <v>2341</v>
      </c>
      <c r="J3815" s="9" t="n">
        <v>0.526</v>
      </c>
      <c r="K3815" s="1" t="inlineStr">
        <is>
          <t>No</t>
        </is>
      </c>
      <c r="L3815" s="1" t="inlineStr">
        <is>
          <t>No</t>
        </is>
      </c>
      <c r="M3815" s="1" t="inlineStr">
        <is>
          <t>No</t>
        </is>
      </c>
      <c r="N3815" s="1" t="inlineStr">
        <is>
          <t>Algorithms</t>
        </is>
      </c>
      <c r="O38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15" s="11" t="inlineStr">
        <is>
          <t>To Do</t>
        </is>
      </c>
    </row>
    <row r="3816" ht="15.75" customHeight="1" s="12">
      <c r="A3816" s="1" t="n">
        <v>2868</v>
      </c>
      <c r="B3816" s="3">
        <f>HYPERLINK("https://leetcode.com/problems/the-wording-game/", "The Wording Game")</f>
        <v/>
      </c>
      <c r="C3816" s="1" t="n">
        <v>10</v>
      </c>
      <c r="D3816" s="1" t="n">
        <v>6</v>
      </c>
      <c r="E3816" s="4">
        <f>IF(INDEX(C:C, ROW())+INDEX(D:D, ROW())=0, 0, INDEX(C:C, ROW())/(INDEX(C:C, ROW())+INDEX(D:D, ROW())))</f>
        <v/>
      </c>
      <c r="F3816" s="1" t="inlineStr">
        <is>
          <t>Array, Math, Two Pointers, String, Greedy, Game Theory</t>
        </is>
      </c>
      <c r="G3816" s="1" t="inlineStr">
        <is>
          <t>Hard</t>
        </is>
      </c>
      <c r="H3816" s="1" t="n">
        <v>793</v>
      </c>
      <c r="I3816" s="1" t="n">
        <v>1419</v>
      </c>
      <c r="J3816" s="9" t="n">
        <v>0.5590000000000001</v>
      </c>
      <c r="K3816" s="1" t="inlineStr">
        <is>
          <t>No</t>
        </is>
      </c>
      <c r="L3816" s="1" t="inlineStr">
        <is>
          <t>No</t>
        </is>
      </c>
      <c r="M3816" s="1" t="inlineStr">
        <is>
          <t>No</t>
        </is>
      </c>
      <c r="N3816" s="1" t="inlineStr">
        <is>
          <t>Algorithms</t>
        </is>
      </c>
      <c r="O38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16" s="11" t="inlineStr">
        <is>
          <t>To Do</t>
        </is>
      </c>
    </row>
    <row r="3817" ht="15.75" customHeight="1" s="12">
      <c r="A3817" s="1" t="n">
        <v>2995</v>
      </c>
      <c r="B3817" s="3">
        <f>HYPERLINK("https://leetcode.com/problems/viewers-turned-streamers/", "Viewers Turned Streamers")</f>
        <v/>
      </c>
      <c r="C3817" s="1" t="n">
        <v>10</v>
      </c>
      <c r="D3817" s="1" t="n">
        <v>6</v>
      </c>
      <c r="E3817" s="4">
        <f>IF(INDEX(C:C, ROW())+INDEX(D:D, ROW())=0, 0, INDEX(C:C, ROW())/(INDEX(C:C, ROW())+INDEX(D:D, ROW())))</f>
        <v/>
      </c>
      <c r="F3817" s="1" t="inlineStr">
        <is>
          <t>Database</t>
        </is>
      </c>
      <c r="G3817" s="1" t="inlineStr">
        <is>
          <t>Hard</t>
        </is>
      </c>
      <c r="H3817" s="1" t="n">
        <v>4400</v>
      </c>
      <c r="I3817" s="1" t="n">
        <v>10279</v>
      </c>
      <c r="J3817" s="9" t="n">
        <v>0.428</v>
      </c>
      <c r="K3817" s="1" t="inlineStr">
        <is>
          <t>No</t>
        </is>
      </c>
      <c r="L3817" s="1" t="inlineStr">
        <is>
          <t>No</t>
        </is>
      </c>
      <c r="M3817" s="1" t="inlineStr">
        <is>
          <t>No</t>
        </is>
      </c>
      <c r="N3817" s="1" t="inlineStr">
        <is>
          <t>Database</t>
        </is>
      </c>
      <c r="O38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17" s="11" t="inlineStr">
        <is>
          <t>To Do</t>
        </is>
      </c>
    </row>
    <row r="3818" ht="15.75" customHeight="1" s="12">
      <c r="A3818" s="1" t="n">
        <v>3055</v>
      </c>
      <c r="B3818" s="3">
        <f>HYPERLINK("https://leetcode.com/problems/top-percentile-fraud/", "Top Percentile Fraud")</f>
        <v/>
      </c>
      <c r="C3818" s="1" t="n">
        <v>10</v>
      </c>
      <c r="D3818" s="1" t="n">
        <v>6</v>
      </c>
      <c r="E3818" s="4">
        <f>IF(INDEX(C:C, ROW())+INDEX(D:D, ROW())=0, 0, INDEX(C:C, ROW())/(INDEX(C:C, ROW())+INDEX(D:D, ROW())))</f>
        <v/>
      </c>
      <c r="F3818" s="1" t="inlineStr">
        <is>
          <t>Database</t>
        </is>
      </c>
      <c r="G3818" s="1" t="inlineStr">
        <is>
          <t>Medium</t>
        </is>
      </c>
      <c r="H3818" s="1" t="n">
        <v>3372</v>
      </c>
      <c r="I3818" s="1" t="n">
        <v>5849</v>
      </c>
      <c r="J3818" s="9" t="n">
        <v>0.577</v>
      </c>
      <c r="K3818" s="1" t="inlineStr">
        <is>
          <t>No</t>
        </is>
      </c>
      <c r="L3818" s="1" t="inlineStr">
        <is>
          <t>No</t>
        </is>
      </c>
      <c r="M3818" s="1" t="inlineStr">
        <is>
          <t>No</t>
        </is>
      </c>
      <c r="N3818" s="1" t="inlineStr">
        <is>
          <t>Database</t>
        </is>
      </c>
      <c r="O38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18" s="11" t="inlineStr">
        <is>
          <t>To Do</t>
        </is>
      </c>
    </row>
    <row r="3819" ht="15.75" customHeight="1" s="12">
      <c r="A3819" s="1" t="n">
        <v>3126</v>
      </c>
      <c r="B3819" s="3">
        <f>HYPERLINK("https://leetcode.com/problems/server-utilization-time/", "Server Utilization Time")</f>
        <v/>
      </c>
      <c r="C3819" s="1" t="n">
        <v>10</v>
      </c>
      <c r="D3819" s="1" t="n">
        <v>16</v>
      </c>
      <c r="E3819" s="4">
        <f>IF(INDEX(C:C, ROW())+INDEX(D:D, ROW())=0, 0, INDEX(C:C, ROW())/(INDEX(C:C, ROW())+INDEX(D:D, ROW())))</f>
        <v/>
      </c>
      <c r="F3819" s="1" t="inlineStr">
        <is>
          <t>Database</t>
        </is>
      </c>
      <c r="G3819" s="1" t="inlineStr">
        <is>
          <t>Medium</t>
        </is>
      </c>
      <c r="H3819" s="1" t="n">
        <v>2900</v>
      </c>
      <c r="I3819" s="1" t="n">
        <v>4765</v>
      </c>
      <c r="J3819" s="9" t="n">
        <v>0.609</v>
      </c>
      <c r="K3819" s="1" t="inlineStr">
        <is>
          <t>No</t>
        </is>
      </c>
      <c r="L3819" s="1" t="inlineStr">
        <is>
          <t>No</t>
        </is>
      </c>
      <c r="M3819" s="1" t="inlineStr">
        <is>
          <t>No</t>
        </is>
      </c>
      <c r="N3819" s="1" t="inlineStr">
        <is>
          <t>Database</t>
        </is>
      </c>
      <c r="O38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19" s="11" t="inlineStr">
        <is>
          <t>To Do</t>
        </is>
      </c>
    </row>
    <row r="3820" ht="15.75" customHeight="1" s="12">
      <c r="A3820" s="1" t="n">
        <v>3293</v>
      </c>
      <c r="B3820" s="3">
        <f>HYPERLINK("https://leetcode.com/problems/calculate-product-final-price/", "Calculate Product Final Price")</f>
        <v/>
      </c>
      <c r="C3820" s="1" t="n">
        <v>10</v>
      </c>
      <c r="D3820" s="1" t="n">
        <v>1</v>
      </c>
      <c r="E3820" s="4">
        <f>IF(INDEX(C:C, ROW())+INDEX(D:D, ROW())=0, 0, INDEX(C:C, ROW())/(INDEX(C:C, ROW())+INDEX(D:D, ROW())))</f>
        <v/>
      </c>
      <c r="F3820" s="1" t="inlineStr">
        <is>
          <t>Database</t>
        </is>
      </c>
      <c r="G3820" s="1" t="inlineStr">
        <is>
          <t>Medium</t>
        </is>
      </c>
      <c r="H3820" s="1" t="n">
        <v>2905</v>
      </c>
      <c r="I3820" s="1" t="n">
        <v>3673</v>
      </c>
      <c r="J3820" s="9" t="n">
        <v>0.791</v>
      </c>
      <c r="K3820" s="1" t="inlineStr">
        <is>
          <t>No</t>
        </is>
      </c>
      <c r="L3820" s="1" t="inlineStr">
        <is>
          <t>No</t>
        </is>
      </c>
      <c r="M3820" s="1" t="inlineStr">
        <is>
          <t>No</t>
        </is>
      </c>
      <c r="N3820" s="1" t="inlineStr">
        <is>
          <t>Database</t>
        </is>
      </c>
      <c r="O38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20" s="11" t="inlineStr">
        <is>
          <t>To Do</t>
        </is>
      </c>
    </row>
    <row r="3821" ht="15.75" customHeight="1" s="12">
      <c r="A3821" s="1" t="n">
        <v>3294</v>
      </c>
      <c r="B3821" s="3">
        <f>HYPERLINK("https://leetcode.com/problems/convert-doubly-linked-list-to-array-ii/", "Convert Doubly Linked List to Array II")</f>
        <v/>
      </c>
      <c r="C3821" s="1" t="n">
        <v>10</v>
      </c>
      <c r="D3821" s="1" t="n">
        <v>5</v>
      </c>
      <c r="E3821" s="4">
        <f>IF(INDEX(C:C, ROW())+INDEX(D:D, ROW())=0, 0, INDEX(C:C, ROW())/(INDEX(C:C, ROW())+INDEX(D:D, ROW())))</f>
        <v/>
      </c>
      <c r="F3821" s="1" t="inlineStr">
        <is>
          <t>Array, Linked List, Doubly-Linked List</t>
        </is>
      </c>
      <c r="G3821" s="1" t="inlineStr">
        <is>
          <t>Medium</t>
        </is>
      </c>
      <c r="H3821" s="1" t="n">
        <v>3507</v>
      </c>
      <c r="I3821" s="1" t="n">
        <v>4249</v>
      </c>
      <c r="J3821" s="9" t="n">
        <v>0.825</v>
      </c>
      <c r="K3821" s="1" t="inlineStr">
        <is>
          <t>No</t>
        </is>
      </c>
      <c r="L3821" s="1" t="inlineStr">
        <is>
          <t>No</t>
        </is>
      </c>
      <c r="M3821" s="1" t="inlineStr">
        <is>
          <t>No</t>
        </is>
      </c>
      <c r="N3821" s="1" t="inlineStr">
        <is>
          <t>Algorithms</t>
        </is>
      </c>
      <c r="O38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21" s="11" t="inlineStr">
        <is>
          <t>To Do</t>
        </is>
      </c>
    </row>
    <row r="3822" ht="15.75" customHeight="1" s="12">
      <c r="A3822" s="1" t="n">
        <v>3476</v>
      </c>
      <c r="B3822" s="3">
        <f>HYPERLINK("https://leetcode.com/problems/maximize-profit-from-task-assignment/", "Maximize Profit from Task Assignment")</f>
        <v/>
      </c>
      <c r="C3822" s="1" t="n">
        <v>10</v>
      </c>
      <c r="D3822" s="1" t="n">
        <v>2</v>
      </c>
      <c r="E3822" s="4">
        <f>IF(INDEX(C:C, ROW())+INDEX(D:D, ROW())=0, 0, INDEX(C:C, ROW())/(INDEX(C:C, ROW())+INDEX(D:D, ROW())))</f>
        <v/>
      </c>
      <c r="F3822" s="1" t="inlineStr">
        <is>
          <t>Array, Greedy, Sorting, Heap (Priority Queue)</t>
        </is>
      </c>
      <c r="G3822" s="1" t="inlineStr">
        <is>
          <t>Medium</t>
        </is>
      </c>
      <c r="H3822" s="1" t="n">
        <v>1058</v>
      </c>
      <c r="I3822" s="1" t="n">
        <v>1619</v>
      </c>
      <c r="J3822" s="9" t="n">
        <v>0.653</v>
      </c>
      <c r="K3822" s="1" t="inlineStr">
        <is>
          <t>No</t>
        </is>
      </c>
      <c r="L3822" s="1" t="inlineStr">
        <is>
          <t>No</t>
        </is>
      </c>
      <c r="M3822" s="1" t="inlineStr">
        <is>
          <t>No</t>
        </is>
      </c>
      <c r="N3822" s="1" t="inlineStr">
        <is>
          <t>Algorithms</t>
        </is>
      </c>
      <c r="O38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22" s="11" t="inlineStr">
        <is>
          <t>To Do</t>
        </is>
      </c>
    </row>
    <row r="3823" ht="15.75" customHeight="1" s="12">
      <c r="A3823" s="1" t="n">
        <v>3596</v>
      </c>
      <c r="B3823" s="3">
        <f>HYPERLINK("https://leetcode.com/problems/minimum-cost-path-with-alternating-directions-i/", "Minimum Cost Path with Alternating Directions I")</f>
        <v/>
      </c>
      <c r="C3823" s="1" t="n">
        <v>10</v>
      </c>
      <c r="D3823" s="1" t="n">
        <v>8</v>
      </c>
      <c r="E3823" s="4">
        <f>IF(INDEX(C:C, ROW())+INDEX(D:D, ROW())=0, 0, INDEX(C:C, ROW())/(INDEX(C:C, ROW())+INDEX(D:D, ROW())))</f>
        <v/>
      </c>
      <c r="F3823" s="1" t="inlineStr">
        <is>
          <t>Math, Brainteaser</t>
        </is>
      </c>
      <c r="G3823" s="1" t="inlineStr">
        <is>
          <t>Medium</t>
        </is>
      </c>
      <c r="H3823" s="1" t="n">
        <v>466</v>
      </c>
      <c r="I3823" s="1" t="n">
        <v>660</v>
      </c>
      <c r="J3823" s="9" t="n">
        <v>0.706</v>
      </c>
      <c r="K3823" s="1" t="inlineStr">
        <is>
          <t>No</t>
        </is>
      </c>
      <c r="L3823" s="1" t="inlineStr">
        <is>
          <t>No</t>
        </is>
      </c>
      <c r="M3823" s="1" t="inlineStr">
        <is>
          <t>No</t>
        </is>
      </c>
      <c r="N3823" s="1" t="inlineStr">
        <is>
          <t>Algorithms</t>
        </is>
      </c>
      <c r="O38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23" s="11" t="inlineStr">
        <is>
          <t>To Do</t>
        </is>
      </c>
    </row>
    <row r="3824" ht="15.75" customHeight="1" s="12">
      <c r="A3824" s="1" t="n">
        <v>3711</v>
      </c>
      <c r="B3824" s="3">
        <f>HYPERLINK("https://leetcode.com/problems/maximum-transactions-without-negative-balance/", "Maximum Transactions Without Negative Balance")</f>
        <v/>
      </c>
      <c r="C3824" s="1" t="n">
        <v>10</v>
      </c>
      <c r="D3824" s="1" t="n">
        <v>1</v>
      </c>
      <c r="E3824" s="4">
        <f>IF(INDEX(C:C, ROW())+INDEX(D:D, ROW())=0, 0, INDEX(C:C, ROW())/(INDEX(C:C, ROW())+INDEX(D:D, ROW())))</f>
        <v/>
      </c>
      <c r="F3824" s="1" t="inlineStr">
        <is>
          <t>Array, Greedy, Heap (Priority Queue)</t>
        </is>
      </c>
      <c r="G3824" s="1" t="inlineStr">
        <is>
          <t>Medium</t>
        </is>
      </c>
      <c r="H3824" s="1" t="n">
        <v>728</v>
      </c>
      <c r="I3824" s="1" t="n">
        <v>1571</v>
      </c>
      <c r="J3824" s="9" t="n">
        <v>0.463</v>
      </c>
      <c r="K3824" s="1" t="inlineStr">
        <is>
          <t>No</t>
        </is>
      </c>
      <c r="L3824" s="1" t="inlineStr">
        <is>
          <t>No</t>
        </is>
      </c>
      <c r="M3824" s="1" t="inlineStr">
        <is>
          <t>No</t>
        </is>
      </c>
      <c r="N3824" s="1" t="inlineStr">
        <is>
          <t>Algorithms</t>
        </is>
      </c>
      <c r="O38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24" s="11" t="inlineStr">
        <is>
          <t>To Do</t>
        </is>
      </c>
    </row>
    <row r="3825" ht="15.75" customHeight="1" s="12">
      <c r="A3825" s="1" t="n">
        <v>2804</v>
      </c>
      <c r="B3825" s="3">
        <f>HYPERLINK("https://leetcode.com/problems/array-prototype-foreach/", "Array Prototype ForEach")</f>
        <v/>
      </c>
      <c r="C3825" s="1" t="n">
        <v>9</v>
      </c>
      <c r="D3825" s="1" t="n">
        <v>10</v>
      </c>
      <c r="E3825" s="4">
        <f>IF(INDEX(C:C, ROW())+INDEX(D:D, ROW())=0, 0, INDEX(C:C, ROW())/(INDEX(C:C, ROW())+INDEX(D:D, ROW())))</f>
        <v/>
      </c>
      <c r="F3825" s="2" t="n"/>
      <c r="G3825" s="1" t="inlineStr">
        <is>
          <t>Easy</t>
        </is>
      </c>
      <c r="H3825" s="1" t="n">
        <v>1613</v>
      </c>
      <c r="I3825" s="1" t="n">
        <v>1793</v>
      </c>
      <c r="J3825" s="9" t="n">
        <v>0.9</v>
      </c>
      <c r="K3825" s="1" t="inlineStr">
        <is>
          <t>No</t>
        </is>
      </c>
      <c r="L3825" s="1" t="inlineStr">
        <is>
          <t>Yes</t>
        </is>
      </c>
      <c r="M3825" s="1" t="inlineStr">
        <is>
          <t>No</t>
        </is>
      </c>
      <c r="N3825" s="1" t="inlineStr">
        <is>
          <t>JavaScript</t>
        </is>
      </c>
      <c r="O38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25" s="11" t="inlineStr">
        <is>
          <t>To Do</t>
        </is>
      </c>
    </row>
    <row r="3826" ht="15.75" customHeight="1" s="12">
      <c r="A3826" s="1" t="n">
        <v>3053</v>
      </c>
      <c r="B3826" s="3">
        <f>HYPERLINK("https://leetcode.com/problems/classifying-triangles-by-lengths/", "Classifying Triangles by Lengths")</f>
        <v/>
      </c>
      <c r="C3826" s="1" t="n">
        <v>9</v>
      </c>
      <c r="D3826" s="1" t="n">
        <v>1</v>
      </c>
      <c r="E3826" s="4">
        <f>IF(INDEX(C:C, ROW())+INDEX(D:D, ROW())=0, 0, INDEX(C:C, ROW())/(INDEX(C:C, ROW())+INDEX(D:D, ROW())))</f>
        <v/>
      </c>
      <c r="F3826" s="1" t="inlineStr">
        <is>
          <t>Database</t>
        </is>
      </c>
      <c r="G3826" s="1" t="inlineStr">
        <is>
          <t>Easy</t>
        </is>
      </c>
      <c r="H3826" s="1" t="n">
        <v>4020</v>
      </c>
      <c r="I3826" s="1" t="n">
        <v>7825</v>
      </c>
      <c r="J3826" s="9" t="n">
        <v>0.514</v>
      </c>
      <c r="K3826" s="1" t="inlineStr">
        <is>
          <t>No</t>
        </is>
      </c>
      <c r="L3826" s="1" t="inlineStr">
        <is>
          <t>Yes</t>
        </is>
      </c>
      <c r="M3826" s="1" t="inlineStr">
        <is>
          <t>No</t>
        </is>
      </c>
      <c r="N3826" s="1" t="inlineStr">
        <is>
          <t>Database</t>
        </is>
      </c>
      <c r="O38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26" s="11" t="inlineStr">
        <is>
          <t>To Do</t>
        </is>
      </c>
    </row>
    <row r="3827" ht="15.75" customHeight="1" s="12">
      <c r="A3827" s="1" t="n">
        <v>3198</v>
      </c>
      <c r="B3827" s="3">
        <f>HYPERLINK("https://leetcode.com/problems/find-cities-in-each-state/", "Find Cities in Each State")</f>
        <v/>
      </c>
      <c r="C3827" s="1" t="n">
        <v>9</v>
      </c>
      <c r="D3827" s="1" t="n">
        <v>2</v>
      </c>
      <c r="E3827" s="4">
        <f>IF(INDEX(C:C, ROW())+INDEX(D:D, ROW())=0, 0, INDEX(C:C, ROW())/(INDEX(C:C, ROW())+INDEX(D:D, ROW())))</f>
        <v/>
      </c>
      <c r="F3827" s="1" t="inlineStr">
        <is>
          <t>Database</t>
        </is>
      </c>
      <c r="G3827" s="1" t="inlineStr">
        <is>
          <t>Easy</t>
        </is>
      </c>
      <c r="H3827" s="1" t="n">
        <v>3912</v>
      </c>
      <c r="I3827" s="1" t="n">
        <v>4939</v>
      </c>
      <c r="J3827" s="9" t="n">
        <v>0.792</v>
      </c>
      <c r="K3827" s="1" t="inlineStr">
        <is>
          <t>No</t>
        </is>
      </c>
      <c r="L3827" s="1" t="inlineStr">
        <is>
          <t>No</t>
        </is>
      </c>
      <c r="M3827" s="1" t="inlineStr">
        <is>
          <t>No</t>
        </is>
      </c>
      <c r="N3827" s="1" t="inlineStr">
        <is>
          <t>Database</t>
        </is>
      </c>
      <c r="O38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27" s="11" t="inlineStr">
        <is>
          <t>To Do</t>
        </is>
      </c>
    </row>
    <row r="3828" ht="15.75" customHeight="1" s="12">
      <c r="A3828" s="1" t="n">
        <v>3199</v>
      </c>
      <c r="B3828" s="3">
        <f>HYPERLINK("https://leetcode.com/problems/count-triplets-with-even-xor-set-bits-i/", "Count Triplets with Even XOR Set Bits I")</f>
        <v/>
      </c>
      <c r="C3828" s="1" t="n">
        <v>9</v>
      </c>
      <c r="D3828" s="1" t="n">
        <v>4</v>
      </c>
      <c r="E3828" s="4">
        <f>IF(INDEX(C:C, ROW())+INDEX(D:D, ROW())=0, 0, INDEX(C:C, ROW())/(INDEX(C:C, ROW())+INDEX(D:D, ROW())))</f>
        <v/>
      </c>
      <c r="F3828" s="1" t="inlineStr">
        <is>
          <t>Array, Bit Manipulation</t>
        </is>
      </c>
      <c r="G3828" s="1" t="inlineStr">
        <is>
          <t>Easy</t>
        </is>
      </c>
      <c r="H3828" s="1" t="n">
        <v>1909</v>
      </c>
      <c r="I3828" s="1" t="n">
        <v>2293</v>
      </c>
      <c r="J3828" s="9" t="n">
        <v>0.833</v>
      </c>
      <c r="K3828" s="1" t="inlineStr">
        <is>
          <t>No</t>
        </is>
      </c>
      <c r="L3828" s="1" t="inlineStr">
        <is>
          <t>No</t>
        </is>
      </c>
      <c r="M3828" s="1" t="inlineStr">
        <is>
          <t>No</t>
        </is>
      </c>
      <c r="N3828" s="1" t="inlineStr">
        <is>
          <t>Algorithms</t>
        </is>
      </c>
      <c r="O38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28" s="11" t="inlineStr">
        <is>
          <t>To Do</t>
        </is>
      </c>
    </row>
    <row r="3829" ht="15.75" customHeight="1" s="12">
      <c r="A3829" s="1" t="n">
        <v>3204</v>
      </c>
      <c r="B3829" s="3">
        <f>HYPERLINK("https://leetcode.com/problems/bitwise-user-permissions-analysis/", "Bitwise User Permissions Analysis")</f>
        <v/>
      </c>
      <c r="C3829" s="1" t="n">
        <v>9</v>
      </c>
      <c r="D3829" s="1" t="n">
        <v>3</v>
      </c>
      <c r="E3829" s="4">
        <f>IF(INDEX(C:C, ROW())+INDEX(D:D, ROW())=0, 0, INDEX(C:C, ROW())/(INDEX(C:C, ROW())+INDEX(D:D, ROW())))</f>
        <v/>
      </c>
      <c r="F3829" s="1" t="inlineStr">
        <is>
          <t>Database</t>
        </is>
      </c>
      <c r="G3829" s="1" t="inlineStr">
        <is>
          <t>Medium</t>
        </is>
      </c>
      <c r="H3829" s="1" t="n">
        <v>2149</v>
      </c>
      <c r="I3829" s="1" t="n">
        <v>2315</v>
      </c>
      <c r="J3829" s="9" t="n">
        <v>0.928</v>
      </c>
      <c r="K3829" s="1" t="inlineStr">
        <is>
          <t>No</t>
        </is>
      </c>
      <c r="L3829" s="1" t="inlineStr">
        <is>
          <t>No</t>
        </is>
      </c>
      <c r="M3829" s="1" t="inlineStr">
        <is>
          <t>No</t>
        </is>
      </c>
      <c r="N3829" s="1" t="inlineStr">
        <is>
          <t>Database</t>
        </is>
      </c>
      <c r="O38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29" s="11" t="inlineStr">
        <is>
          <t>To Do</t>
        </is>
      </c>
    </row>
    <row r="3830" ht="15.75" customHeight="1" s="12">
      <c r="A3830" s="1" t="n">
        <v>3230</v>
      </c>
      <c r="B3830" s="3">
        <f>HYPERLINK("https://leetcode.com/problems/customer-purchasing-behavior-analysis/", "Customer Purchasing Behavior Analysis")</f>
        <v/>
      </c>
      <c r="C3830" s="1" t="n">
        <v>9</v>
      </c>
      <c r="D3830" s="1" t="n">
        <v>4</v>
      </c>
      <c r="E3830" s="4">
        <f>IF(INDEX(C:C, ROW())+INDEX(D:D, ROW())=0, 0, INDEX(C:C, ROW())/(INDEX(C:C, ROW())+INDEX(D:D, ROW())))</f>
        <v/>
      </c>
      <c r="F3830" s="1" t="inlineStr">
        <is>
          <t>Database</t>
        </is>
      </c>
      <c r="G3830" s="1" t="inlineStr">
        <is>
          <t>Medium</t>
        </is>
      </c>
      <c r="H3830" s="1" t="n">
        <v>2998</v>
      </c>
      <c r="I3830" s="1" t="n">
        <v>8172</v>
      </c>
      <c r="J3830" s="9" t="n">
        <v>0.367</v>
      </c>
      <c r="K3830" s="1" t="inlineStr">
        <is>
          <t>No</t>
        </is>
      </c>
      <c r="L3830" s="1" t="inlineStr">
        <is>
          <t>No</t>
        </is>
      </c>
      <c r="M3830" s="1" t="inlineStr">
        <is>
          <t>No</t>
        </is>
      </c>
      <c r="N3830" s="1" t="inlineStr">
        <is>
          <t>Database</t>
        </is>
      </c>
      <c r="O38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30" s="11" t="inlineStr">
        <is>
          <t>To Do</t>
        </is>
      </c>
    </row>
    <row r="3831" ht="15.75" customHeight="1" s="12">
      <c r="A3831" s="1" t="n">
        <v>3358</v>
      </c>
      <c r="B3831" s="3">
        <f>HYPERLINK("https://leetcode.com/problems/books-with-null-ratings/", "Books with NULL Ratings")</f>
        <v/>
      </c>
      <c r="C3831" s="1" t="n">
        <v>9</v>
      </c>
      <c r="D3831" s="1" t="n">
        <v>0</v>
      </c>
      <c r="E3831" s="4">
        <f>IF(INDEX(C:C, ROW())+INDEX(D:D, ROW())=0, 0, INDEX(C:C, ROW())/(INDEX(C:C, ROW())+INDEX(D:D, ROW())))</f>
        <v/>
      </c>
      <c r="F3831" s="1" t="inlineStr">
        <is>
          <t>Database</t>
        </is>
      </c>
      <c r="G3831" s="1" t="inlineStr">
        <is>
          <t>Easy</t>
        </is>
      </c>
      <c r="H3831" s="1" t="n">
        <v>3721</v>
      </c>
      <c r="I3831" s="1" t="n">
        <v>4495</v>
      </c>
      <c r="J3831" s="9" t="n">
        <v>0.828</v>
      </c>
      <c r="K3831" s="1" t="inlineStr">
        <is>
          <t>No</t>
        </is>
      </c>
      <c r="L3831" s="1" t="inlineStr">
        <is>
          <t>No</t>
        </is>
      </c>
      <c r="M3831" s="1" t="inlineStr">
        <is>
          <t>No</t>
        </is>
      </c>
      <c r="N3831" s="1" t="inlineStr">
        <is>
          <t>Database</t>
        </is>
      </c>
      <c r="O38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31" s="11" t="inlineStr">
        <is>
          <t>To Do</t>
        </is>
      </c>
    </row>
    <row r="3832" ht="15.75" customHeight="1" s="12">
      <c r="A3832" s="1" t="n">
        <v>3383</v>
      </c>
      <c r="B3832" s="3">
        <f>HYPERLINK("https://leetcode.com/problems/minimum-runes-to-add-to-cast-spell/", "Minimum Runes to Add to Cast Spell")</f>
        <v/>
      </c>
      <c r="C3832" s="1" t="n">
        <v>9</v>
      </c>
      <c r="D3832" s="1" t="n">
        <v>2</v>
      </c>
      <c r="E3832" s="4">
        <f>IF(INDEX(C:C, ROW())+INDEX(D:D, ROW())=0, 0, INDEX(C:C, ROW())/(INDEX(C:C, ROW())+INDEX(D:D, ROW())))</f>
        <v/>
      </c>
      <c r="F3832" s="1" t="inlineStr">
        <is>
          <t>Array, Depth-First Search, Breadth-First Search, Union-Find, Graph Theory, Topological Sort</t>
        </is>
      </c>
      <c r="G3832" s="1" t="inlineStr">
        <is>
          <t>Hard</t>
        </is>
      </c>
      <c r="H3832" s="1" t="n">
        <v>800</v>
      </c>
      <c r="I3832" s="1" t="n">
        <v>1787</v>
      </c>
      <c r="J3832" s="9" t="n">
        <v>0.448</v>
      </c>
      <c r="K3832" s="1" t="inlineStr">
        <is>
          <t>No</t>
        </is>
      </c>
      <c r="L3832" s="1" t="inlineStr">
        <is>
          <t>No</t>
        </is>
      </c>
      <c r="M3832" s="1" t="inlineStr">
        <is>
          <t>No</t>
        </is>
      </c>
      <c r="N3832" s="1" t="inlineStr">
        <is>
          <t>Algorithms</t>
        </is>
      </c>
      <c r="O38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32" s="11" t="inlineStr">
        <is>
          <t>To Do</t>
        </is>
      </c>
    </row>
    <row r="3833" ht="15.75" customHeight="1" s="12">
      <c r="A3833" s="1" t="n">
        <v>3391</v>
      </c>
      <c r="B3833" s="3">
        <f>HYPERLINK("https://leetcode.com/problems/design-a-3d-binary-matrix-with-efficient-layer-tracking/", "Design a 3D Binary Matrix with Efficient Layer Tracking")</f>
        <v/>
      </c>
      <c r="C3833" s="1" t="n">
        <v>9</v>
      </c>
      <c r="D3833" s="1" t="n">
        <v>1</v>
      </c>
      <c r="E3833" s="4">
        <f>IF(INDEX(C:C, ROW())+INDEX(D:D, ROW())=0, 0, INDEX(C:C, ROW())/(INDEX(C:C, ROW())+INDEX(D:D, ROW())))</f>
        <v/>
      </c>
      <c r="F3833" s="1" t="inlineStr">
        <is>
          <t>Array, Hash Table, Design, Heap (Priority Queue), Matrix, Ordered Set</t>
        </is>
      </c>
      <c r="G3833" s="1" t="inlineStr">
        <is>
          <t>Medium</t>
        </is>
      </c>
      <c r="H3833" s="1" t="n">
        <v>1162</v>
      </c>
      <c r="I3833" s="1" t="n">
        <v>1755</v>
      </c>
      <c r="J3833" s="9" t="n">
        <v>0.662</v>
      </c>
      <c r="K3833" s="1" t="inlineStr">
        <is>
          <t>No</t>
        </is>
      </c>
      <c r="L3833" s="1" t="inlineStr">
        <is>
          <t>No</t>
        </is>
      </c>
      <c r="M3833" s="1" t="inlineStr">
        <is>
          <t>No</t>
        </is>
      </c>
      <c r="N3833" s="1" t="inlineStr">
        <is>
          <t>Algorithms</t>
        </is>
      </c>
      <c r="O38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33" s="11" t="inlineStr">
        <is>
          <t>To Do</t>
        </is>
      </c>
    </row>
    <row r="3834" ht="15.75" customHeight="1" s="12">
      <c r="A3834" s="1" t="n">
        <v>3422</v>
      </c>
      <c r="B3834" s="3">
        <f>HYPERLINK("https://leetcode.com/problems/minimum-operations-to-make-subarray-elements-equal/", "Minimum Operations to Make Subarray Elements Equal")</f>
        <v/>
      </c>
      <c r="C3834" s="1" t="n">
        <v>9</v>
      </c>
      <c r="D3834" s="1" t="n">
        <v>5</v>
      </c>
      <c r="E3834" s="4">
        <f>IF(INDEX(C:C, ROW())+INDEX(D:D, ROW())=0, 0, INDEX(C:C, ROW())/(INDEX(C:C, ROW())+INDEX(D:D, ROW())))</f>
        <v/>
      </c>
      <c r="F3834" s="1" t="inlineStr">
        <is>
          <t>Array, Hash Table, Math, Sliding Window, Heap (Priority Queue)</t>
        </is>
      </c>
      <c r="G3834" s="1" t="inlineStr">
        <is>
          <t>Medium</t>
        </is>
      </c>
      <c r="H3834" s="1" t="n">
        <v>735</v>
      </c>
      <c r="I3834" s="1" t="n">
        <v>1586</v>
      </c>
      <c r="J3834" s="9" t="n">
        <v>0.463</v>
      </c>
      <c r="K3834" s="1" t="inlineStr">
        <is>
          <t>No</t>
        </is>
      </c>
      <c r="L3834" s="1" t="inlineStr">
        <is>
          <t>No</t>
        </is>
      </c>
      <c r="M3834" s="1" t="inlineStr">
        <is>
          <t>No</t>
        </is>
      </c>
      <c r="N3834" s="1" t="inlineStr">
        <is>
          <t>Algorithms</t>
        </is>
      </c>
      <c r="O38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34" s="11" t="inlineStr">
        <is>
          <t>To Do</t>
        </is>
      </c>
    </row>
    <row r="3835" ht="15.75" customHeight="1" s="12">
      <c r="A3835" s="1" t="n">
        <v>3595</v>
      </c>
      <c r="B3835" s="3">
        <f>HYPERLINK("https://leetcode.com/problems/once-twice/", "Once Twice")</f>
        <v/>
      </c>
      <c r="C3835" s="1" t="n">
        <v>9</v>
      </c>
      <c r="D3835" s="1" t="n">
        <v>3</v>
      </c>
      <c r="E3835" s="4">
        <f>IF(INDEX(C:C, ROW())+INDEX(D:D, ROW())=0, 0, INDEX(C:C, ROW())/(INDEX(C:C, ROW())+INDEX(D:D, ROW())))</f>
        <v/>
      </c>
      <c r="F3835" s="1" t="inlineStr">
        <is>
          <t>Array, Bit Manipulation</t>
        </is>
      </c>
      <c r="G3835" s="1" t="inlineStr">
        <is>
          <t>Medium</t>
        </is>
      </c>
      <c r="H3835" s="1" t="n">
        <v>673</v>
      </c>
      <c r="I3835" s="1" t="n">
        <v>888</v>
      </c>
      <c r="J3835" s="9" t="n">
        <v>0.758</v>
      </c>
      <c r="K3835" s="1" t="inlineStr">
        <is>
          <t>No</t>
        </is>
      </c>
      <c r="L3835" s="1" t="inlineStr">
        <is>
          <t>No</t>
        </is>
      </c>
      <c r="M3835" s="1" t="inlineStr">
        <is>
          <t>No</t>
        </is>
      </c>
      <c r="N3835" s="1" t="inlineStr">
        <is>
          <t>Algorithms</t>
        </is>
      </c>
      <c r="O38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35" s="11" t="inlineStr">
        <is>
          <t>To Do</t>
        </is>
      </c>
    </row>
    <row r="3836" ht="15.75" customHeight="1" s="12">
      <c r="A3836" s="1" t="n">
        <v>3662</v>
      </c>
      <c r="B3836" s="3">
        <f>HYPERLINK("https://leetcode.com/problems/filter-characters-by-frequency/", "Filter Characters by Frequency")</f>
        <v/>
      </c>
      <c r="C3836" s="1" t="n">
        <v>9</v>
      </c>
      <c r="D3836" s="1" t="n">
        <v>0</v>
      </c>
      <c r="E3836" s="4">
        <f>IF(INDEX(C:C, ROW())+INDEX(D:D, ROW())=0, 0, INDEX(C:C, ROW())/(INDEX(C:C, ROW())+INDEX(D:D, ROW())))</f>
        <v/>
      </c>
      <c r="F3836" s="1" t="inlineStr">
        <is>
          <t>Hash Table, String, Counting</t>
        </is>
      </c>
      <c r="G3836" s="1" t="inlineStr">
        <is>
          <t>Easy</t>
        </is>
      </c>
      <c r="H3836" s="1" t="n">
        <v>1462</v>
      </c>
      <c r="I3836" s="1" t="n">
        <v>1699</v>
      </c>
      <c r="J3836" s="9" t="n">
        <v>0.861</v>
      </c>
      <c r="K3836" s="1" t="inlineStr">
        <is>
          <t>No</t>
        </is>
      </c>
      <c r="L3836" s="1" t="inlineStr">
        <is>
          <t>No</t>
        </is>
      </c>
      <c r="M3836" s="1" t="inlineStr">
        <is>
          <t>No</t>
        </is>
      </c>
      <c r="N3836" s="1" t="inlineStr">
        <is>
          <t>Algorithms</t>
        </is>
      </c>
      <c r="O38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36" s="11" t="inlineStr">
        <is>
          <t>To Do</t>
        </is>
      </c>
    </row>
    <row r="3837" ht="15.75" customHeight="1" s="12">
      <c r="A3837" s="1" t="n">
        <v>3763</v>
      </c>
      <c r="B3837" s="3">
        <f>HYPERLINK("https://leetcode.com/problems/maximum-total-sum-with-threshold-constraints/", "Maximum Total Sum with Threshold Constraints")</f>
        <v/>
      </c>
      <c r="C3837" s="1" t="n">
        <v>9</v>
      </c>
      <c r="D3837" s="1" t="n">
        <v>1</v>
      </c>
      <c r="E3837" s="4">
        <f>IF(INDEX(C:C, ROW())+INDEX(D:D, ROW())=0, 0, INDEX(C:C, ROW())/(INDEX(C:C, ROW())+INDEX(D:D, ROW())))</f>
        <v/>
      </c>
      <c r="F3837" s="1" t="inlineStr">
        <is>
          <t>Array, Greedy, Sorting, Heap (Priority Queue)</t>
        </is>
      </c>
      <c r="G3837" s="1" t="inlineStr">
        <is>
          <t>Medium</t>
        </is>
      </c>
      <c r="H3837" s="1" t="n">
        <v>679</v>
      </c>
      <c r="I3837" s="1" t="n">
        <v>825</v>
      </c>
      <c r="J3837" s="9" t="n">
        <v>0.823</v>
      </c>
      <c r="K3837" s="1" t="inlineStr">
        <is>
          <t>No</t>
        </is>
      </c>
      <c r="L3837" s="1" t="inlineStr">
        <is>
          <t>No</t>
        </is>
      </c>
      <c r="M3837" s="1" t="inlineStr">
        <is>
          <t>No</t>
        </is>
      </c>
      <c r="N3837" s="1" t="inlineStr">
        <is>
          <t>Algorithms</t>
        </is>
      </c>
      <c r="O38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37" s="11" t="inlineStr">
        <is>
          <t>To Do</t>
        </is>
      </c>
    </row>
    <row r="3838" ht="15.75" customHeight="1" s="12">
      <c r="A3838" s="1" t="n">
        <v>2921</v>
      </c>
      <c r="B3838" s="3">
        <f>HYPERLINK("https://leetcode.com/problems/maximum-profitable-triplets-with-increasing-prices-ii/", "Maximum Profitable Triplets With Increasing Prices II")</f>
        <v/>
      </c>
      <c r="C3838" s="1" t="n">
        <v>8</v>
      </c>
      <c r="D3838" s="1" t="n">
        <v>1</v>
      </c>
      <c r="E3838" s="4">
        <f>IF(INDEX(C:C, ROW())+INDEX(D:D, ROW())=0, 0, INDEX(C:C, ROW())/(INDEX(C:C, ROW())+INDEX(D:D, ROW())))</f>
        <v/>
      </c>
      <c r="F3838" s="1" t="inlineStr">
        <is>
          <t>Array, Binary Indexed Tree, Segment Tree</t>
        </is>
      </c>
      <c r="G3838" s="1" t="inlineStr">
        <is>
          <t>Hard</t>
        </is>
      </c>
      <c r="H3838" s="1" t="n">
        <v>785</v>
      </c>
      <c r="I3838" s="1" t="n">
        <v>1714</v>
      </c>
      <c r="J3838" s="9" t="n">
        <v>0.458</v>
      </c>
      <c r="K3838" s="1" t="inlineStr">
        <is>
          <t>No</t>
        </is>
      </c>
      <c r="L3838" s="1" t="inlineStr">
        <is>
          <t>No</t>
        </is>
      </c>
      <c r="M3838" s="1" t="inlineStr">
        <is>
          <t>No</t>
        </is>
      </c>
      <c r="N3838" s="1" t="inlineStr">
        <is>
          <t>Algorithms</t>
        </is>
      </c>
      <c r="O38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38" s="11" t="inlineStr">
        <is>
          <t>To Do</t>
        </is>
      </c>
    </row>
    <row r="3839" ht="15.75" customHeight="1" s="12">
      <c r="A3839" s="1" t="n">
        <v>2988</v>
      </c>
      <c r="B3839" s="3">
        <f>HYPERLINK("https://leetcode.com/problems/manager-of-the-largest-department/", "Manager of the Largest Department")</f>
        <v/>
      </c>
      <c r="C3839" s="1" t="n">
        <v>8</v>
      </c>
      <c r="D3839" s="1" t="n">
        <v>1</v>
      </c>
      <c r="E3839" s="4">
        <f>IF(INDEX(C:C, ROW())+INDEX(D:D, ROW())=0, 0, INDEX(C:C, ROW())/(INDEX(C:C, ROW())+INDEX(D:D, ROW())))</f>
        <v/>
      </c>
      <c r="F3839" s="1" t="inlineStr">
        <is>
          <t>Database</t>
        </is>
      </c>
      <c r="G3839" s="1" t="inlineStr">
        <is>
          <t>Medium</t>
        </is>
      </c>
      <c r="H3839" s="1" t="n">
        <v>4684</v>
      </c>
      <c r="I3839" s="1" t="n">
        <v>5783</v>
      </c>
      <c r="J3839" s="9" t="n">
        <v>0.8100000000000001</v>
      </c>
      <c r="K3839" s="1" t="inlineStr">
        <is>
          <t>No</t>
        </is>
      </c>
      <c r="L3839" s="1" t="inlineStr">
        <is>
          <t>No</t>
        </is>
      </c>
      <c r="M3839" s="1" t="inlineStr">
        <is>
          <t>No</t>
        </is>
      </c>
      <c r="N3839" s="1" t="inlineStr">
        <is>
          <t>Database</t>
        </is>
      </c>
      <c r="O38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39" s="11" t="inlineStr">
        <is>
          <t>To Do</t>
        </is>
      </c>
    </row>
    <row r="3840" ht="15.75" customHeight="1" s="12">
      <c r="A3840" s="1" t="n">
        <v>3087</v>
      </c>
      <c r="B3840" s="3">
        <f>HYPERLINK("https://leetcode.com/problems/find-trending-hashtags/", "Find Trending Hashtags")</f>
        <v/>
      </c>
      <c r="C3840" s="1" t="n">
        <v>8</v>
      </c>
      <c r="D3840" s="1" t="n">
        <v>6</v>
      </c>
      <c r="E3840" s="4">
        <f>IF(INDEX(C:C, ROW())+INDEX(D:D, ROW())=0, 0, INDEX(C:C, ROW())/(INDEX(C:C, ROW())+INDEX(D:D, ROW())))</f>
        <v/>
      </c>
      <c r="F3840" s="1" t="inlineStr">
        <is>
          <t>Database</t>
        </is>
      </c>
      <c r="G3840" s="1" t="inlineStr">
        <is>
          <t>Medium</t>
        </is>
      </c>
      <c r="H3840" s="1" t="n">
        <v>2826</v>
      </c>
      <c r="I3840" s="1" t="n">
        <v>4606</v>
      </c>
      <c r="J3840" s="9" t="n">
        <v>0.614</v>
      </c>
      <c r="K3840" s="1" t="inlineStr">
        <is>
          <t>No</t>
        </is>
      </c>
      <c r="L3840" s="1" t="inlineStr">
        <is>
          <t>No</t>
        </is>
      </c>
      <c r="M3840" s="1" t="inlineStr">
        <is>
          <t>No</t>
        </is>
      </c>
      <c r="N3840" s="1" t="inlineStr">
        <is>
          <t>Database</t>
        </is>
      </c>
      <c r="O38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40" s="11" t="inlineStr">
        <is>
          <t>To Do</t>
        </is>
      </c>
    </row>
    <row r="3841" ht="15.75" customHeight="1" s="12">
      <c r="A3841" s="1" t="n">
        <v>3088</v>
      </c>
      <c r="B3841" s="3">
        <f>HYPERLINK("https://leetcode.com/problems/make-string-anti-palindrome/", "Make String Anti-palindrome")</f>
        <v/>
      </c>
      <c r="C3841" s="1" t="n">
        <v>8</v>
      </c>
      <c r="D3841" s="1" t="n">
        <v>2</v>
      </c>
      <c r="E3841" s="4">
        <f>IF(INDEX(C:C, ROW())+INDEX(D:D, ROW())=0, 0, INDEX(C:C, ROW())/(INDEX(C:C, ROW())+INDEX(D:D, ROW())))</f>
        <v/>
      </c>
      <c r="F3841" s="1" t="inlineStr">
        <is>
          <t>String, Greedy, Sorting, Counting Sort</t>
        </is>
      </c>
      <c r="G3841" s="1" t="inlineStr">
        <is>
          <t>Hard</t>
        </is>
      </c>
      <c r="H3841" s="1" t="n">
        <v>962</v>
      </c>
      <c r="I3841" s="1" t="n">
        <v>2087</v>
      </c>
      <c r="J3841" s="9" t="n">
        <v>0.461</v>
      </c>
      <c r="K3841" s="1" t="inlineStr">
        <is>
          <t>No</t>
        </is>
      </c>
      <c r="L3841" s="1" t="inlineStr">
        <is>
          <t>No</t>
        </is>
      </c>
      <c r="M3841" s="1" t="inlineStr">
        <is>
          <t>No</t>
        </is>
      </c>
      <c r="N3841" s="1" t="inlineStr">
        <is>
          <t>Algorithms</t>
        </is>
      </c>
      <c r="O38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41" s="11" t="inlineStr">
        <is>
          <t>To Do</t>
        </is>
      </c>
    </row>
    <row r="3842" ht="15.75" customHeight="1" s="12">
      <c r="A3842" s="1" t="n">
        <v>3188</v>
      </c>
      <c r="B3842" s="3">
        <f>HYPERLINK("https://leetcode.com/problems/find-top-scoring-students-ii/", "Find Top Scoring Students II")</f>
        <v/>
      </c>
      <c r="C3842" s="1" t="n">
        <v>8</v>
      </c>
      <c r="D3842" s="1" t="n">
        <v>8</v>
      </c>
      <c r="E3842" s="4">
        <f>IF(INDEX(C:C, ROW())+INDEX(D:D, ROW())=0, 0, INDEX(C:C, ROW())/(INDEX(C:C, ROW())+INDEX(D:D, ROW())))</f>
        <v/>
      </c>
      <c r="F3842" s="1" t="inlineStr">
        <is>
          <t>Database</t>
        </is>
      </c>
      <c r="G3842" s="1" t="inlineStr">
        <is>
          <t>Hard</t>
        </is>
      </c>
      <c r="H3842" s="1" t="n">
        <v>2353</v>
      </c>
      <c r="I3842" s="1" t="n">
        <v>5917</v>
      </c>
      <c r="J3842" s="9" t="n">
        <v>0.398</v>
      </c>
      <c r="K3842" s="1" t="inlineStr">
        <is>
          <t>No</t>
        </is>
      </c>
      <c r="L3842" s="1" t="inlineStr">
        <is>
          <t>No</t>
        </is>
      </c>
      <c r="M3842" s="1" t="inlineStr">
        <is>
          <t>No</t>
        </is>
      </c>
      <c r="N3842" s="1" t="inlineStr">
        <is>
          <t>Database</t>
        </is>
      </c>
      <c r="O38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42" s="11" t="inlineStr">
        <is>
          <t>To Do</t>
        </is>
      </c>
    </row>
    <row r="3843" ht="15.75" customHeight="1" s="12">
      <c r="A3843" s="1" t="n">
        <v>3231</v>
      </c>
      <c r="B3843" s="3">
        <f>HYPERLINK("https://leetcode.com/problems/minimum-number-of-increasing-subsequence-to-be-removed/", "Minimum Number of Increasing Subsequence to Be Removed")</f>
        <v/>
      </c>
      <c r="C3843" s="1" t="n">
        <v>8</v>
      </c>
      <c r="D3843" s="1" t="n">
        <v>1</v>
      </c>
      <c r="E3843" s="4">
        <f>IF(INDEX(C:C, ROW())+INDEX(D:D, ROW())=0, 0, INDEX(C:C, ROW())/(INDEX(C:C, ROW())+INDEX(D:D, ROW())))</f>
        <v/>
      </c>
      <c r="F3843" s="1" t="inlineStr">
        <is>
          <t>Array, Binary Search</t>
        </is>
      </c>
      <c r="G3843" s="1" t="inlineStr">
        <is>
          <t>Hard</t>
        </is>
      </c>
      <c r="H3843" s="1" t="n">
        <v>626</v>
      </c>
      <c r="I3843" s="1" t="n">
        <v>1332</v>
      </c>
      <c r="J3843" s="9" t="n">
        <v>0.47</v>
      </c>
      <c r="K3843" s="1" t="inlineStr">
        <is>
          <t>No</t>
        </is>
      </c>
      <c r="L3843" s="1" t="inlineStr">
        <is>
          <t>No</t>
        </is>
      </c>
      <c r="M3843" s="1" t="inlineStr">
        <is>
          <t>No</t>
        </is>
      </c>
      <c r="N3843" s="1" t="inlineStr">
        <is>
          <t>Algorithms</t>
        </is>
      </c>
      <c r="O38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43" s="11" t="inlineStr">
        <is>
          <t>To Do</t>
        </is>
      </c>
    </row>
    <row r="3844" ht="15.75" customHeight="1" s="12">
      <c r="A3844" s="1" t="n">
        <v>3329</v>
      </c>
      <c r="B3844" s="3">
        <f>HYPERLINK("https://leetcode.com/problems/count-substrings-with-k-frequency-characters-ii/", "Count Substrings With K-Frequency Characters II")</f>
        <v/>
      </c>
      <c r="C3844" s="1" t="n">
        <v>8</v>
      </c>
      <c r="D3844" s="1" t="n">
        <v>1</v>
      </c>
      <c r="E3844" s="4">
        <f>IF(INDEX(C:C, ROW())+INDEX(D:D, ROW())=0, 0, INDEX(C:C, ROW())/(INDEX(C:C, ROW())+INDEX(D:D, ROW())))</f>
        <v/>
      </c>
      <c r="F3844" s="1" t="inlineStr">
        <is>
          <t>Hash Table, String, Sliding Window</t>
        </is>
      </c>
      <c r="G3844" s="1" t="inlineStr">
        <is>
          <t>Hard</t>
        </is>
      </c>
      <c r="H3844" s="1" t="n">
        <v>991</v>
      </c>
      <c r="I3844" s="1" t="n">
        <v>1429</v>
      </c>
      <c r="J3844" s="9" t="n">
        <v>0.6929999999999999</v>
      </c>
      <c r="K3844" s="1" t="inlineStr">
        <is>
          <t>No</t>
        </is>
      </c>
      <c r="L3844" s="1" t="inlineStr">
        <is>
          <t>No</t>
        </is>
      </c>
      <c r="M3844" s="1" t="inlineStr">
        <is>
          <t>No</t>
        </is>
      </c>
      <c r="N3844" s="1" t="inlineStr">
        <is>
          <t>Algorithms</t>
        </is>
      </c>
      <c r="O38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44" s="11" t="inlineStr">
        <is>
          <t>To Do</t>
        </is>
      </c>
    </row>
    <row r="3845" ht="15.75" customHeight="1" s="12">
      <c r="A3845" s="1" t="n">
        <v>3344</v>
      </c>
      <c r="B3845" s="3">
        <f>HYPERLINK("https://leetcode.com/problems/maximum-sized-array/", "Maximum Sized Array")</f>
        <v/>
      </c>
      <c r="C3845" s="1" t="n">
        <v>8</v>
      </c>
      <c r="D3845" s="1" t="n">
        <v>3</v>
      </c>
      <c r="E3845" s="4">
        <f>IF(INDEX(C:C, ROW())+INDEX(D:D, ROW())=0, 0, INDEX(C:C, ROW())/(INDEX(C:C, ROW())+INDEX(D:D, ROW())))</f>
        <v/>
      </c>
      <c r="F3845" s="1" t="inlineStr">
        <is>
          <t>Binary Search, Bit Manipulation</t>
        </is>
      </c>
      <c r="G3845" s="1" t="inlineStr">
        <is>
          <t>Medium</t>
        </is>
      </c>
      <c r="H3845" s="1" t="n">
        <v>632</v>
      </c>
      <c r="I3845" s="1" t="n">
        <v>1227</v>
      </c>
      <c r="J3845" s="9" t="n">
        <v>0.515</v>
      </c>
      <c r="K3845" s="1" t="inlineStr">
        <is>
          <t>No</t>
        </is>
      </c>
      <c r="L3845" s="1" t="inlineStr">
        <is>
          <t>No</t>
        </is>
      </c>
      <c r="M3845" s="1" t="inlineStr">
        <is>
          <t>No</t>
        </is>
      </c>
      <c r="N3845" s="1" t="inlineStr">
        <is>
          <t>Algorithms</t>
        </is>
      </c>
      <c r="O38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45" s="11" t="inlineStr">
        <is>
          <t>To Do</t>
        </is>
      </c>
    </row>
    <row r="3846" ht="15.75" customHeight="1" s="12">
      <c r="A3846" s="1" t="n">
        <v>3460</v>
      </c>
      <c r="B3846" s="3">
        <f>HYPERLINK("https://leetcode.com/problems/longest-common-prefix-after-at-most-one-removal/", "Longest Common Prefix After at Most One Removal")</f>
        <v/>
      </c>
      <c r="C3846" s="1" t="n">
        <v>8</v>
      </c>
      <c r="D3846" s="1" t="n">
        <v>1</v>
      </c>
      <c r="E3846" s="4">
        <f>IF(INDEX(C:C, ROW())+INDEX(D:D, ROW())=0, 0, INDEX(C:C, ROW())/(INDEX(C:C, ROW())+INDEX(D:D, ROW())))</f>
        <v/>
      </c>
      <c r="F3846" s="1" t="inlineStr">
        <is>
          <t>Two Pointers, String</t>
        </is>
      </c>
      <c r="G3846" s="1" t="inlineStr">
        <is>
          <t>Medium</t>
        </is>
      </c>
      <c r="H3846" s="1" t="n">
        <v>1228</v>
      </c>
      <c r="I3846" s="1" t="n">
        <v>1822</v>
      </c>
      <c r="J3846" s="9" t="n">
        <v>0.674</v>
      </c>
      <c r="K3846" s="1" t="inlineStr">
        <is>
          <t>No</t>
        </is>
      </c>
      <c r="L3846" s="1" t="inlineStr">
        <is>
          <t>No</t>
        </is>
      </c>
      <c r="M3846" s="1" t="inlineStr">
        <is>
          <t>No</t>
        </is>
      </c>
      <c r="N3846" s="1" t="inlineStr">
        <is>
          <t>Algorithms</t>
        </is>
      </c>
      <c r="O38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46" s="11" t="inlineStr">
        <is>
          <t>To Do</t>
        </is>
      </c>
    </row>
    <row r="3847" ht="15.75" customHeight="1" s="12">
      <c r="A3847" s="1" t="n">
        <v>3571</v>
      </c>
      <c r="B3847" s="3">
        <f>HYPERLINK("https://leetcode.com/problems/find-the-shortest-superstring-ii/", "Find the Shortest Superstring II")</f>
        <v/>
      </c>
      <c r="C3847" s="1" t="n">
        <v>8</v>
      </c>
      <c r="D3847" s="1" t="n">
        <v>2</v>
      </c>
      <c r="E3847" s="4">
        <f>IF(INDEX(C:C, ROW())+INDEX(D:D, ROW())=0, 0, INDEX(C:C, ROW())/(INDEX(C:C, ROW())+INDEX(D:D, ROW())))</f>
        <v/>
      </c>
      <c r="F3847" s="1" t="inlineStr">
        <is>
          <t>String</t>
        </is>
      </c>
      <c r="G3847" s="1" t="inlineStr">
        <is>
          <t>Easy</t>
        </is>
      </c>
      <c r="H3847" s="1" t="n">
        <v>798</v>
      </c>
      <c r="I3847" s="1" t="n">
        <v>1641</v>
      </c>
      <c r="J3847" s="9" t="n">
        <v>0.486</v>
      </c>
      <c r="K3847" s="1" t="inlineStr">
        <is>
          <t>No</t>
        </is>
      </c>
      <c r="L3847" s="1" t="inlineStr">
        <is>
          <t>No</t>
        </is>
      </c>
      <c r="M3847" s="1" t="inlineStr">
        <is>
          <t>No</t>
        </is>
      </c>
      <c r="N3847" s="1" t="inlineStr">
        <is>
          <t>Algorithms</t>
        </is>
      </c>
      <c r="O38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47" s="11" t="inlineStr">
        <is>
          <t>To Do</t>
        </is>
      </c>
    </row>
    <row r="3848" ht="15.75" customHeight="1" s="12">
      <c r="A3848" s="1" t="n">
        <v>3581</v>
      </c>
      <c r="B3848" s="3">
        <f>HYPERLINK("https://leetcode.com/problems/count-odd-letters-from-number/", "Count Odd Letters from Number")</f>
        <v/>
      </c>
      <c r="C3848" s="1" t="n">
        <v>8</v>
      </c>
      <c r="D3848" s="1" t="n">
        <v>2</v>
      </c>
      <c r="E3848" s="4">
        <f>IF(INDEX(C:C, ROW())+INDEX(D:D, ROW())=0, 0, INDEX(C:C, ROW())/(INDEX(C:C, ROW())+INDEX(D:D, ROW())))</f>
        <v/>
      </c>
      <c r="F3848" s="1" t="inlineStr">
        <is>
          <t>Hash Table, String, Simulation, Counting</t>
        </is>
      </c>
      <c r="G3848" s="1" t="inlineStr">
        <is>
          <t>Easy</t>
        </is>
      </c>
      <c r="H3848" s="1" t="n">
        <v>1426</v>
      </c>
      <c r="I3848" s="1" t="n">
        <v>1686</v>
      </c>
      <c r="J3848" s="9" t="n">
        <v>0.846</v>
      </c>
      <c r="K3848" s="1" t="inlineStr">
        <is>
          <t>No</t>
        </is>
      </c>
      <c r="L3848" s="1" t="inlineStr">
        <is>
          <t>No</t>
        </is>
      </c>
      <c r="M3848" s="1" t="inlineStr">
        <is>
          <t>No</t>
        </is>
      </c>
      <c r="N3848" s="1" t="inlineStr">
        <is>
          <t>Algorithms</t>
        </is>
      </c>
      <c r="O38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48" s="11" t="inlineStr">
        <is>
          <t>To Do</t>
        </is>
      </c>
    </row>
    <row r="3849" ht="15.75" customHeight="1" s="12">
      <c r="A3849" s="1" t="n">
        <v>3656</v>
      </c>
      <c r="B3849" s="3">
        <f>HYPERLINK("https://leetcode.com/problems/determine-if-a-simple-graph-exists/", "Determine if a Simple Graph Exists")</f>
        <v/>
      </c>
      <c r="C3849" s="1" t="n">
        <v>8</v>
      </c>
      <c r="D3849" s="1" t="n">
        <v>7</v>
      </c>
      <c r="E3849" s="4">
        <f>IF(INDEX(C:C, ROW())+INDEX(D:D, ROW())=0, 0, INDEX(C:C, ROW())/(INDEX(C:C, ROW())+INDEX(D:D, ROW())))</f>
        <v/>
      </c>
      <c r="F3849" s="1" t="inlineStr">
        <is>
          <t>Array, Binary Search, Graph Theory, Sorting, Prefix Sum</t>
        </is>
      </c>
      <c r="G3849" s="1" t="inlineStr">
        <is>
          <t>Medium</t>
        </is>
      </c>
      <c r="H3849" s="1" t="n">
        <v>413</v>
      </c>
      <c r="I3849" s="1" t="n">
        <v>860</v>
      </c>
      <c r="J3849" s="9" t="n">
        <v>0.48</v>
      </c>
      <c r="K3849" s="1" t="inlineStr">
        <is>
          <t>No</t>
        </is>
      </c>
      <c r="L3849" s="1" t="inlineStr">
        <is>
          <t>No</t>
        </is>
      </c>
      <c r="M3849" s="1" t="inlineStr">
        <is>
          <t>No</t>
        </is>
      </c>
      <c r="N3849" s="1" t="inlineStr">
        <is>
          <t>Algorithms</t>
        </is>
      </c>
      <c r="O38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49" s="11" t="inlineStr">
        <is>
          <t>To Do</t>
        </is>
      </c>
    </row>
    <row r="3850" ht="15.75" customHeight="1" s="12">
      <c r="A3850" s="1" t="n">
        <v>3717</v>
      </c>
      <c r="B3850" s="3">
        <f>HYPERLINK("https://leetcode.com/problems/minimum-operations-to-make-the-array-beautiful/", "Minimum Operations to Make the Array Beautiful")</f>
        <v/>
      </c>
      <c r="C3850" s="1" t="n">
        <v>8</v>
      </c>
      <c r="D3850" s="1" t="n">
        <v>2</v>
      </c>
      <c r="E3850" s="4">
        <f>IF(INDEX(C:C, ROW())+INDEX(D:D, ROW())=0, 0, INDEX(C:C, ROW())/(INDEX(C:C, ROW())+INDEX(D:D, ROW())))</f>
        <v/>
      </c>
      <c r="F3850" s="1" t="inlineStr">
        <is>
          <t>Array, Dynamic Programming</t>
        </is>
      </c>
      <c r="G3850" s="1" t="inlineStr">
        <is>
          <t>Medium</t>
        </is>
      </c>
      <c r="H3850" s="1" t="n">
        <v>338</v>
      </c>
      <c r="I3850" s="1" t="n">
        <v>896</v>
      </c>
      <c r="J3850" s="9" t="n">
        <v>0.377</v>
      </c>
      <c r="K3850" s="1" t="inlineStr">
        <is>
          <t>No</t>
        </is>
      </c>
      <c r="L3850" s="1" t="inlineStr">
        <is>
          <t>No</t>
        </is>
      </c>
      <c r="M3850" s="1" t="inlineStr">
        <is>
          <t>No</t>
        </is>
      </c>
      <c r="N3850" s="1" t="inlineStr">
        <is>
          <t>Algorithms</t>
        </is>
      </c>
      <c r="O38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50" s="11" t="inlineStr">
        <is>
          <t>To Do</t>
        </is>
      </c>
    </row>
    <row r="3851" ht="15.75" customHeight="1" s="12">
      <c r="A3851" s="1" t="n">
        <v>3822</v>
      </c>
      <c r="B3851" s="3">
        <f>HYPERLINK("https://leetcode.com/problems/design-order-management-system/", "Design Order Management System")</f>
        <v/>
      </c>
      <c r="C3851" s="1" t="n">
        <v>8</v>
      </c>
      <c r="D3851" s="1" t="n">
        <v>1</v>
      </c>
      <c r="E3851" s="4">
        <f>IF(INDEX(C:C, ROW())+INDEX(D:D, ROW())=0, 0, INDEX(C:C, ROW())/(INDEX(C:C, ROW())+INDEX(D:D, ROW())))</f>
        <v/>
      </c>
      <c r="F3851" s="1" t="inlineStr">
        <is>
          <t>Hash Table, Design</t>
        </is>
      </c>
      <c r="G3851" s="1" t="inlineStr">
        <is>
          <t>Medium</t>
        </is>
      </c>
      <c r="H3851" s="1" t="n">
        <v>1140</v>
      </c>
      <c r="I3851" s="1" t="n">
        <v>1443</v>
      </c>
      <c r="J3851" s="9" t="n">
        <v>0.79</v>
      </c>
      <c r="K3851" s="1" t="inlineStr">
        <is>
          <t>No</t>
        </is>
      </c>
      <c r="L3851" s="1" t="inlineStr">
        <is>
          <t>No</t>
        </is>
      </c>
      <c r="M3851" s="1" t="inlineStr">
        <is>
          <t>No</t>
        </is>
      </c>
      <c r="N3851" s="1" t="inlineStr">
        <is>
          <t>Algorithms</t>
        </is>
      </c>
      <c r="O38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51" s="11" t="inlineStr">
        <is>
          <t>To Do</t>
        </is>
      </c>
    </row>
    <row r="3852" ht="15.75" customHeight="1" s="12">
      <c r="A3852" s="1" t="n">
        <v>3018</v>
      </c>
      <c r="B3852" s="3">
        <f>HYPERLINK("https://leetcode.com/problems/maximum-number-of-removal-queries-that-can-be-processed-i/", "Maximum Number of Removal Queries That Can Be Processed I")</f>
        <v/>
      </c>
      <c r="C3852" s="1" t="n">
        <v>7</v>
      </c>
      <c r="D3852" s="1" t="n">
        <v>3</v>
      </c>
      <c r="E3852" s="4">
        <f>IF(INDEX(C:C, ROW())+INDEX(D:D, ROW())=0, 0, INDEX(C:C, ROW())/(INDEX(C:C, ROW())+INDEX(D:D, ROW())))</f>
        <v/>
      </c>
      <c r="F3852" s="1" t="inlineStr">
        <is>
          <t>Array, Dynamic Programming</t>
        </is>
      </c>
      <c r="G3852" s="1" t="inlineStr">
        <is>
          <t>Hard</t>
        </is>
      </c>
      <c r="H3852" s="1" t="n">
        <v>668</v>
      </c>
      <c r="I3852" s="1" t="n">
        <v>1493</v>
      </c>
      <c r="J3852" s="9" t="n">
        <v>0.447</v>
      </c>
      <c r="K3852" s="1" t="inlineStr">
        <is>
          <t>No</t>
        </is>
      </c>
      <c r="L3852" s="1" t="inlineStr">
        <is>
          <t>No</t>
        </is>
      </c>
      <c r="M3852" s="1" t="inlineStr">
        <is>
          <t>No</t>
        </is>
      </c>
      <c r="N3852" s="1" t="inlineStr">
        <is>
          <t>Algorithms</t>
        </is>
      </c>
      <c r="O38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52" s="11" t="inlineStr">
        <is>
          <t>To Do</t>
        </is>
      </c>
    </row>
    <row r="3853" ht="15.75" customHeight="1" s="12">
      <c r="A3853" s="1" t="n">
        <v>3037</v>
      </c>
      <c r="B3853" s="3">
        <f>HYPERLINK("https://leetcode.com/problems/find-pattern-in-infinite-stream-ii/", "Find Pattern in Infinite Stream II")</f>
        <v/>
      </c>
      <c r="C3853" s="1" t="n">
        <v>7</v>
      </c>
      <c r="D3853" s="1" t="n">
        <v>3</v>
      </c>
      <c r="E3853" s="4">
        <f>IF(INDEX(C:C, ROW())+INDEX(D:D, ROW())=0, 0, INDEX(C:C, ROW())/(INDEX(C:C, ROW())+INDEX(D:D, ROW())))</f>
        <v/>
      </c>
      <c r="F3853" s="1" t="inlineStr">
        <is>
          <t>Array, Sliding Window, Rolling Hash, String Matching, Interactive, Hash Function</t>
        </is>
      </c>
      <c r="G3853" s="1" t="inlineStr">
        <is>
          <t>Hard</t>
        </is>
      </c>
      <c r="H3853" s="1" t="n">
        <v>1417</v>
      </c>
      <c r="I3853" s="1" t="n">
        <v>2105</v>
      </c>
      <c r="J3853" s="9" t="n">
        <v>0.673</v>
      </c>
      <c r="K3853" s="1" t="inlineStr">
        <is>
          <t>No</t>
        </is>
      </c>
      <c r="L3853" s="1" t="inlineStr">
        <is>
          <t>No</t>
        </is>
      </c>
      <c r="M3853" s="1" t="inlineStr">
        <is>
          <t>No</t>
        </is>
      </c>
      <c r="N3853" s="1" t="inlineStr">
        <is>
          <t>Algorithms</t>
        </is>
      </c>
      <c r="O38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53" s="11" t="inlineStr">
        <is>
          <t>To Do</t>
        </is>
      </c>
    </row>
    <row r="3854" ht="15.75" customHeight="1" s="12">
      <c r="A3854" s="1" t="n">
        <v>3052</v>
      </c>
      <c r="B3854" s="3">
        <f>HYPERLINK("https://leetcode.com/problems/maximize-items/", "Maximize Items")</f>
        <v/>
      </c>
      <c r="C3854" s="1" t="n">
        <v>7</v>
      </c>
      <c r="D3854" s="1" t="n">
        <v>12</v>
      </c>
      <c r="E3854" s="4">
        <f>IF(INDEX(C:C, ROW())+INDEX(D:D, ROW())=0, 0, INDEX(C:C, ROW())/(INDEX(C:C, ROW())+INDEX(D:D, ROW())))</f>
        <v/>
      </c>
      <c r="F3854" s="1" t="inlineStr">
        <is>
          <t>Database</t>
        </is>
      </c>
      <c r="G3854" s="1" t="inlineStr">
        <is>
          <t>Hard</t>
        </is>
      </c>
      <c r="H3854" s="1" t="n">
        <v>2093</v>
      </c>
      <c r="I3854" s="1" t="n">
        <v>2801</v>
      </c>
      <c r="J3854" s="9" t="n">
        <v>0.747</v>
      </c>
      <c r="K3854" s="1" t="inlineStr">
        <is>
          <t>No</t>
        </is>
      </c>
      <c r="L3854" s="1" t="inlineStr">
        <is>
          <t>No</t>
        </is>
      </c>
      <c r="M3854" s="1" t="inlineStr">
        <is>
          <t>No</t>
        </is>
      </c>
      <c r="N3854" s="1" t="inlineStr">
        <is>
          <t>Database</t>
        </is>
      </c>
      <c r="O38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54" s="11" t="inlineStr">
        <is>
          <t>To Do</t>
        </is>
      </c>
    </row>
    <row r="3855" ht="15.75" customHeight="1" s="12">
      <c r="A3855" s="1" t="n">
        <v>3124</v>
      </c>
      <c r="B3855" s="3">
        <f>HYPERLINK("https://leetcode.com/problems/find-longest-calls/", "Find Longest Calls")</f>
        <v/>
      </c>
      <c r="C3855" s="1" t="n">
        <v>7</v>
      </c>
      <c r="D3855" s="1" t="n">
        <v>5</v>
      </c>
      <c r="E3855" s="4">
        <f>IF(INDEX(C:C, ROW())+INDEX(D:D, ROW())=0, 0, INDEX(C:C, ROW())/(INDEX(C:C, ROW())+INDEX(D:D, ROW())))</f>
        <v/>
      </c>
      <c r="F3855" s="1" t="inlineStr">
        <is>
          <t>Database</t>
        </is>
      </c>
      <c r="G3855" s="1" t="inlineStr">
        <is>
          <t>Medium</t>
        </is>
      </c>
      <c r="H3855" s="1" t="n">
        <v>3083</v>
      </c>
      <c r="I3855" s="1" t="n">
        <v>4823</v>
      </c>
      <c r="J3855" s="9" t="n">
        <v>0.639</v>
      </c>
      <c r="K3855" s="1" t="inlineStr">
        <is>
          <t>No</t>
        </is>
      </c>
      <c r="L3855" s="1" t="inlineStr">
        <is>
          <t>No</t>
        </is>
      </c>
      <c r="M3855" s="1" t="inlineStr">
        <is>
          <t>No</t>
        </is>
      </c>
      <c r="N3855" s="1" t="inlineStr">
        <is>
          <t>Database</t>
        </is>
      </c>
      <c r="O38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55" s="11" t="inlineStr">
        <is>
          <t>To Do</t>
        </is>
      </c>
    </row>
    <row r="3856" ht="15.75" customHeight="1" s="12">
      <c r="A3856" s="1" t="n">
        <v>3268</v>
      </c>
      <c r="B3856" s="3">
        <f>HYPERLINK("https://leetcode.com/problems/find-overlapping-shifts-ii/", "Find Overlapping Shifts II")</f>
        <v/>
      </c>
      <c r="C3856" s="1" t="n">
        <v>7</v>
      </c>
      <c r="D3856" s="1" t="n">
        <v>7</v>
      </c>
      <c r="E3856" s="4">
        <f>IF(INDEX(C:C, ROW())+INDEX(D:D, ROW())=0, 0, INDEX(C:C, ROW())/(INDEX(C:C, ROW())+INDEX(D:D, ROW())))</f>
        <v/>
      </c>
      <c r="F3856" s="1" t="inlineStr">
        <is>
          <t>Database</t>
        </is>
      </c>
      <c r="G3856" s="1" t="inlineStr">
        <is>
          <t>Hard</t>
        </is>
      </c>
      <c r="H3856" s="1" t="n">
        <v>1308</v>
      </c>
      <c r="I3856" s="1" t="n">
        <v>2343</v>
      </c>
      <c r="J3856" s="9" t="n">
        <v>0.5580000000000001</v>
      </c>
      <c r="K3856" s="1" t="inlineStr">
        <is>
          <t>No</t>
        </is>
      </c>
      <c r="L3856" s="1" t="inlineStr">
        <is>
          <t>No</t>
        </is>
      </c>
      <c r="M3856" s="1" t="inlineStr">
        <is>
          <t>No</t>
        </is>
      </c>
      <c r="N3856" s="1" t="inlineStr">
        <is>
          <t>Database</t>
        </is>
      </c>
      <c r="O38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56" s="11" t="inlineStr">
        <is>
          <t>To Do</t>
        </is>
      </c>
    </row>
    <row r="3857" ht="15.75" customHeight="1" s="12">
      <c r="A3857" s="1" t="n">
        <v>3299</v>
      </c>
      <c r="B3857" s="3">
        <f>HYPERLINK("https://leetcode.com/problems/sum-of-consecutive-subsequences/", "Sum of Consecutive Subsequences")</f>
        <v/>
      </c>
      <c r="C3857" s="1" t="n">
        <v>7</v>
      </c>
      <c r="D3857" s="1" t="n">
        <v>1</v>
      </c>
      <c r="E3857" s="4">
        <f>IF(INDEX(C:C, ROW())+INDEX(D:D, ROW())=0, 0, INDEX(C:C, ROW())/(INDEX(C:C, ROW())+INDEX(D:D, ROW())))</f>
        <v/>
      </c>
      <c r="F3857" s="1" t="inlineStr">
        <is>
          <t>Array, Hash Table, Dynamic Programming</t>
        </is>
      </c>
      <c r="G3857" s="1" t="inlineStr">
        <is>
          <t>Hard</t>
        </is>
      </c>
      <c r="H3857" s="1" t="n">
        <v>549</v>
      </c>
      <c r="I3857" s="1" t="n">
        <v>1255</v>
      </c>
      <c r="J3857" s="9" t="n">
        <v>0.437</v>
      </c>
      <c r="K3857" s="1" t="inlineStr">
        <is>
          <t>No</t>
        </is>
      </c>
      <c r="L3857" s="1" t="inlineStr">
        <is>
          <t>No</t>
        </is>
      </c>
      <c r="M3857" s="1" t="inlineStr">
        <is>
          <t>No</t>
        </is>
      </c>
      <c r="N3857" s="1" t="inlineStr">
        <is>
          <t>Algorithms</t>
        </is>
      </c>
      <c r="O38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57" s="11" t="inlineStr">
        <is>
          <t>To Do</t>
        </is>
      </c>
    </row>
    <row r="3858" ht="15.75" customHeight="1" s="12">
      <c r="A3858" s="1" t="n">
        <v>3308</v>
      </c>
      <c r="B3858" s="3">
        <f>HYPERLINK("https://leetcode.com/problems/find-top-performing-driver/", "Find Top Performing Driver")</f>
        <v/>
      </c>
      <c r="C3858" s="1" t="n">
        <v>7</v>
      </c>
      <c r="D3858" s="1" t="n">
        <v>2</v>
      </c>
      <c r="E3858" s="4">
        <f>IF(INDEX(C:C, ROW())+INDEX(D:D, ROW())=0, 0, INDEX(C:C, ROW())/(INDEX(C:C, ROW())+INDEX(D:D, ROW())))</f>
        <v/>
      </c>
      <c r="F3858" s="1" t="inlineStr">
        <is>
          <t>Database</t>
        </is>
      </c>
      <c r="G3858" s="1" t="inlineStr">
        <is>
          <t>Medium</t>
        </is>
      </c>
      <c r="H3858" s="1" t="n">
        <v>2593</v>
      </c>
      <c r="I3858" s="1" t="n">
        <v>5267</v>
      </c>
      <c r="J3858" s="9" t="n">
        <v>0.492</v>
      </c>
      <c r="K3858" s="1" t="inlineStr">
        <is>
          <t>No</t>
        </is>
      </c>
      <c r="L3858" s="1" t="inlineStr">
        <is>
          <t>No</t>
        </is>
      </c>
      <c r="M3858" s="1" t="inlineStr">
        <is>
          <t>No</t>
        </is>
      </c>
      <c r="N3858" s="1" t="inlineStr">
        <is>
          <t>Database</t>
        </is>
      </c>
      <c r="O38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58" s="11" t="inlineStr">
        <is>
          <t>To Do</t>
        </is>
      </c>
    </row>
    <row r="3859" ht="15.75" customHeight="1" s="12">
      <c r="A3859" s="1" t="n">
        <v>3313</v>
      </c>
      <c r="B3859" s="3">
        <f>HYPERLINK("https://leetcode.com/problems/find-the-last-marked-nodes-in-tree/", "Find the Last Marked Nodes in Tree")</f>
        <v/>
      </c>
      <c r="C3859" s="1" t="n">
        <v>7</v>
      </c>
      <c r="D3859" s="1" t="n">
        <v>1</v>
      </c>
      <c r="E3859" s="4">
        <f>IF(INDEX(C:C, ROW())+INDEX(D:D, ROW())=0, 0, INDEX(C:C, ROW())/(INDEX(C:C, ROW())+INDEX(D:D, ROW())))</f>
        <v/>
      </c>
      <c r="F3859" s="1" t="inlineStr">
        <is>
          <t>Tree, Depth-First Search</t>
        </is>
      </c>
      <c r="G3859" s="1" t="inlineStr">
        <is>
          <t>Hard</t>
        </is>
      </c>
      <c r="H3859" s="1" t="n">
        <v>656</v>
      </c>
      <c r="I3859" s="1" t="n">
        <v>1164</v>
      </c>
      <c r="J3859" s="9" t="n">
        <v>0.5639999999999999</v>
      </c>
      <c r="K3859" s="1" t="inlineStr">
        <is>
          <t>No</t>
        </is>
      </c>
      <c r="L3859" s="1" t="inlineStr">
        <is>
          <t>No</t>
        </is>
      </c>
      <c r="M3859" s="1" t="inlineStr">
        <is>
          <t>No</t>
        </is>
      </c>
      <c r="N3859" s="1" t="inlineStr">
        <is>
          <t>Algorithms</t>
        </is>
      </c>
      <c r="O38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59" s="11" t="inlineStr">
        <is>
          <t>To Do</t>
        </is>
      </c>
    </row>
    <row r="3860" ht="15.75" customHeight="1" s="12">
      <c r="A3860" s="1" t="n">
        <v>3359</v>
      </c>
      <c r="B3860" s="3">
        <f>HYPERLINK("https://leetcode.com/problems/find-sorted-submatrices-with-maximum-element-at-most-k/", "Find Sorted Submatrices With Maximum Element at Most K")</f>
        <v/>
      </c>
      <c r="C3860" s="1" t="n">
        <v>7</v>
      </c>
      <c r="D3860" s="1" t="n">
        <v>3</v>
      </c>
      <c r="E3860" s="4">
        <f>IF(INDEX(C:C, ROW())+INDEX(D:D, ROW())=0, 0, INDEX(C:C, ROW())/(INDEX(C:C, ROW())+INDEX(D:D, ROW())))</f>
        <v/>
      </c>
      <c r="F3860" s="1" t="inlineStr">
        <is>
          <t>Array, Stack, Matrix, Monotonic Stack</t>
        </is>
      </c>
      <c r="G3860" s="1" t="inlineStr">
        <is>
          <t>Hard</t>
        </is>
      </c>
      <c r="H3860" s="1" t="n">
        <v>435</v>
      </c>
      <c r="I3860" s="1" t="n">
        <v>852</v>
      </c>
      <c r="J3860" s="9" t="n">
        <v>0.511</v>
      </c>
      <c r="K3860" s="1" t="inlineStr">
        <is>
          <t>No</t>
        </is>
      </c>
      <c r="L3860" s="1" t="inlineStr">
        <is>
          <t>No</t>
        </is>
      </c>
      <c r="M3860" s="1" t="inlineStr">
        <is>
          <t>No</t>
        </is>
      </c>
      <c r="N3860" s="1" t="inlineStr">
        <is>
          <t>Algorithms</t>
        </is>
      </c>
      <c r="O38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60" s="11" t="inlineStr">
        <is>
          <t>To Do</t>
        </is>
      </c>
    </row>
    <row r="3861" ht="15.75" customHeight="1" s="12">
      <c r="A3861" s="1" t="n">
        <v>3406</v>
      </c>
      <c r="B3861" s="3">
        <f>HYPERLINK("https://leetcode.com/problems/find-the-lexicographically-largest-string-from-the-box-ii/", "Find the Lexicographically Largest String From the Box II")</f>
        <v/>
      </c>
      <c r="C3861" s="1" t="n">
        <v>7</v>
      </c>
      <c r="D3861" s="1" t="n">
        <v>1</v>
      </c>
      <c r="E3861" s="4">
        <f>IF(INDEX(C:C, ROW())+INDEX(D:D, ROW())=0, 0, INDEX(C:C, ROW())/(INDEX(C:C, ROW())+INDEX(D:D, ROW())))</f>
        <v/>
      </c>
      <c r="F3861" s="1" t="inlineStr">
        <is>
          <t>Two Pointers, String</t>
        </is>
      </c>
      <c r="G3861" s="1" t="inlineStr">
        <is>
          <t>Hard</t>
        </is>
      </c>
      <c r="H3861" s="1" t="n">
        <v>676</v>
      </c>
      <c r="I3861" s="1" t="n">
        <v>1375</v>
      </c>
      <c r="J3861" s="9" t="n">
        <v>0.492</v>
      </c>
      <c r="K3861" s="1" t="inlineStr">
        <is>
          <t>No</t>
        </is>
      </c>
      <c r="L3861" s="1" t="inlineStr">
        <is>
          <t>No</t>
        </is>
      </c>
      <c r="M3861" s="1" t="inlineStr">
        <is>
          <t>No</t>
        </is>
      </c>
      <c r="N3861" s="1" t="inlineStr">
        <is>
          <t>Algorithms</t>
        </is>
      </c>
      <c r="O38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61" s="11" t="inlineStr">
        <is>
          <t>To Do</t>
        </is>
      </c>
    </row>
    <row r="3862" ht="15.75" customHeight="1" s="12">
      <c r="A3862" s="1" t="n">
        <v>3511</v>
      </c>
      <c r="B3862" s="3">
        <f>HYPERLINK("https://leetcode.com/problems/make-a-positive-array/", "Make a Positive Array")</f>
        <v/>
      </c>
      <c r="C3862" s="1" t="n">
        <v>7</v>
      </c>
      <c r="D3862" s="1" t="n">
        <v>7</v>
      </c>
      <c r="E3862" s="4">
        <f>IF(INDEX(C:C, ROW())+INDEX(D:D, ROW())=0, 0, INDEX(C:C, ROW())/(INDEX(C:C, ROW())+INDEX(D:D, ROW())))</f>
        <v/>
      </c>
      <c r="F3862" s="1" t="inlineStr">
        <is>
          <t>Array, Greedy, Prefix Sum</t>
        </is>
      </c>
      <c r="G3862" s="1" t="inlineStr">
        <is>
          <t>Medium</t>
        </is>
      </c>
      <c r="H3862" s="1" t="n">
        <v>758</v>
      </c>
      <c r="I3862" s="1" t="n">
        <v>2119</v>
      </c>
      <c r="J3862" s="9" t="n">
        <v>0.358</v>
      </c>
      <c r="K3862" s="1" t="inlineStr">
        <is>
          <t>No</t>
        </is>
      </c>
      <c r="L3862" s="1" t="inlineStr">
        <is>
          <t>No</t>
        </is>
      </c>
      <c r="M3862" s="1" t="inlineStr">
        <is>
          <t>No</t>
        </is>
      </c>
      <c r="N3862" s="1" t="inlineStr">
        <is>
          <t>Algorithms</t>
        </is>
      </c>
      <c r="O38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62" s="11" t="inlineStr">
        <is>
          <t>To Do</t>
        </is>
      </c>
    </row>
    <row r="3863" ht="15.75" customHeight="1" s="12">
      <c r="A3863" s="1" t="n">
        <v>3540</v>
      </c>
      <c r="B3863" s="3">
        <f>HYPERLINK("https://leetcode.com/problems/minimum-time-to-visit-all-houses/", "Minimum Time to Visit All Houses")</f>
        <v/>
      </c>
      <c r="C3863" s="1" t="n">
        <v>7</v>
      </c>
      <c r="D3863" s="1" t="n">
        <v>2</v>
      </c>
      <c r="E3863" s="4">
        <f>IF(INDEX(C:C, ROW())+INDEX(D:D, ROW())=0, 0, INDEX(C:C, ROW())/(INDEX(C:C, ROW())+INDEX(D:D, ROW())))</f>
        <v/>
      </c>
      <c r="F3863" s="1" t="inlineStr">
        <is>
          <t>Array, Prefix Sum</t>
        </is>
      </c>
      <c r="G3863" s="1" t="inlineStr">
        <is>
          <t>Medium</t>
        </is>
      </c>
      <c r="H3863" s="1" t="n">
        <v>1225</v>
      </c>
      <c r="I3863" s="1" t="n">
        <v>1775</v>
      </c>
      <c r="J3863" s="9" t="n">
        <v>0.6899999999999999</v>
      </c>
      <c r="K3863" s="1" t="inlineStr">
        <is>
          <t>No</t>
        </is>
      </c>
      <c r="L3863" s="1" t="inlineStr">
        <is>
          <t>No</t>
        </is>
      </c>
      <c r="M3863" s="1" t="inlineStr">
        <is>
          <t>No</t>
        </is>
      </c>
      <c r="N3863" s="1" t="inlineStr">
        <is>
          <t>Algorithms</t>
        </is>
      </c>
      <c r="O38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63" s="11" t="inlineStr">
        <is>
          <t>To Do</t>
        </is>
      </c>
    </row>
    <row r="3864" ht="15.75" customHeight="1" s="12">
      <c r="A3864" s="1" t="n">
        <v>3555</v>
      </c>
      <c r="B3864" s="3">
        <f>HYPERLINK("https://leetcode.com/problems/smallest-subarray-to-sort-in-every-sliding-window/", "Smallest Subarray to Sort in Every Sliding Window")</f>
        <v/>
      </c>
      <c r="C3864" s="1" t="n">
        <v>7</v>
      </c>
      <c r="D3864" s="1" t="n">
        <v>1</v>
      </c>
      <c r="E3864" s="4">
        <f>IF(INDEX(C:C, ROW())+INDEX(D:D, ROW())=0, 0, INDEX(C:C, ROW())/(INDEX(C:C, ROW())+INDEX(D:D, ROW())))</f>
        <v/>
      </c>
      <c r="F3864" s="1" t="inlineStr">
        <is>
          <t>Array, Two Pointers, Stack, Greedy, Sorting, Monotonic Stack</t>
        </is>
      </c>
      <c r="G3864" s="1" t="inlineStr">
        <is>
          <t>Medium</t>
        </is>
      </c>
      <c r="H3864" s="1" t="n">
        <v>775</v>
      </c>
      <c r="I3864" s="1" t="n">
        <v>1334</v>
      </c>
      <c r="J3864" s="9" t="n">
        <v>0.581</v>
      </c>
      <c r="K3864" s="1" t="inlineStr">
        <is>
          <t>No</t>
        </is>
      </c>
      <c r="L3864" s="1" t="inlineStr">
        <is>
          <t>No</t>
        </is>
      </c>
      <c r="M3864" s="1" t="inlineStr">
        <is>
          <t>No</t>
        </is>
      </c>
      <c r="N3864" s="1" t="inlineStr">
        <is>
          <t>Algorithms</t>
        </is>
      </c>
      <c r="O38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64" s="11" t="inlineStr">
        <is>
          <t>To Do</t>
        </is>
      </c>
    </row>
    <row r="3865" ht="15.75" customHeight="1" s="12">
      <c r="A3865" s="1" t="n">
        <v>3667</v>
      </c>
      <c r="B3865" s="3">
        <f>HYPERLINK("https://leetcode.com/problems/sort-array-by-absolute-value/", "Sort Array By Absolute Value")</f>
        <v/>
      </c>
      <c r="C3865" s="1" t="n">
        <v>7</v>
      </c>
      <c r="D3865" s="1" t="n">
        <v>0</v>
      </c>
      <c r="E3865" s="4">
        <f>IF(INDEX(C:C, ROW())+INDEX(D:D, ROW())=0, 0, INDEX(C:C, ROW())/(INDEX(C:C, ROW())+INDEX(D:D, ROW())))</f>
        <v/>
      </c>
      <c r="F3865" s="1" t="inlineStr">
        <is>
          <t>Array, Math, Two Pointers, Sorting</t>
        </is>
      </c>
      <c r="G3865" s="1" t="inlineStr">
        <is>
          <t>Easy</t>
        </is>
      </c>
      <c r="H3865" s="1" t="n">
        <v>1587</v>
      </c>
      <c r="I3865" s="1" t="n">
        <v>1839</v>
      </c>
      <c r="J3865" s="9" t="n">
        <v>0.863</v>
      </c>
      <c r="K3865" s="1" t="inlineStr">
        <is>
          <t>No</t>
        </is>
      </c>
      <c r="L3865" s="1" t="inlineStr">
        <is>
          <t>No</t>
        </is>
      </c>
      <c r="M3865" s="1" t="inlineStr">
        <is>
          <t>No</t>
        </is>
      </c>
      <c r="N3865" s="1" t="inlineStr">
        <is>
          <t>Algorithms</t>
        </is>
      </c>
      <c r="O38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65" s="11" t="inlineStr">
        <is>
          <t>To Do</t>
        </is>
      </c>
    </row>
    <row r="3866" ht="15.75" customHeight="1" s="12">
      <c r="A3866" s="1" t="n">
        <v>3672</v>
      </c>
      <c r="B3866" s="3">
        <f>HYPERLINK("https://leetcode.com/problems/sum-of-weighted-modes-in-subarrays/", "Sum of Weighted Modes in Subarrays")</f>
        <v/>
      </c>
      <c r="C3866" s="1" t="n">
        <v>7</v>
      </c>
      <c r="D3866" s="1" t="n">
        <v>1</v>
      </c>
      <c r="E3866" s="4">
        <f>IF(INDEX(C:C, ROW())+INDEX(D:D, ROW())=0, 0, INDEX(C:C, ROW())/(INDEX(C:C, ROW())+INDEX(D:D, ROW())))</f>
        <v/>
      </c>
      <c r="F3866" s="1" t="inlineStr">
        <is>
          <t>Array, Hash Table, Sliding Window, Counting, Ordered Set</t>
        </is>
      </c>
      <c r="G3866" s="1" t="inlineStr">
        <is>
          <t>Medium</t>
        </is>
      </c>
      <c r="H3866" s="1" t="n">
        <v>497</v>
      </c>
      <c r="I3866" s="1" t="n">
        <v>917</v>
      </c>
      <c r="J3866" s="9" t="n">
        <v>0.542</v>
      </c>
      <c r="K3866" s="1" t="inlineStr">
        <is>
          <t>No</t>
        </is>
      </c>
      <c r="L3866" s="1" t="inlineStr">
        <is>
          <t>No</t>
        </is>
      </c>
      <c r="M3866" s="1" t="inlineStr">
        <is>
          <t>No</t>
        </is>
      </c>
      <c r="N3866" s="1" t="inlineStr">
        <is>
          <t>Algorithms</t>
        </is>
      </c>
      <c r="O38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66" s="11" t="inlineStr">
        <is>
          <t>To Do</t>
        </is>
      </c>
    </row>
    <row r="3867" ht="15.75" customHeight="1" s="12">
      <c r="A3867" s="1" t="n">
        <v>3118</v>
      </c>
      <c r="B3867" s="3">
        <f>HYPERLINK("https://leetcode.com/problems/friday-purchase-iii/", "Friday Purchase III ")</f>
        <v/>
      </c>
      <c r="C3867" s="1" t="n">
        <v>6</v>
      </c>
      <c r="D3867" s="1" t="n">
        <v>7</v>
      </c>
      <c r="E3867" s="4">
        <f>IF(INDEX(C:C, ROW())+INDEX(D:D, ROW())=0, 0, INDEX(C:C, ROW())/(INDEX(C:C, ROW())+INDEX(D:D, ROW())))</f>
        <v/>
      </c>
      <c r="F3867" s="1" t="inlineStr">
        <is>
          <t>Database</t>
        </is>
      </c>
      <c r="G3867" s="1" t="inlineStr">
        <is>
          <t>Medium</t>
        </is>
      </c>
      <c r="H3867" s="1" t="n">
        <v>2461</v>
      </c>
      <c r="I3867" s="1" t="n">
        <v>4446</v>
      </c>
      <c r="J3867" s="9" t="n">
        <v>0.554</v>
      </c>
      <c r="K3867" s="1" t="inlineStr">
        <is>
          <t>No</t>
        </is>
      </c>
      <c r="L3867" s="1" t="inlineStr">
        <is>
          <t>No</t>
        </is>
      </c>
      <c r="M3867" s="1" t="inlineStr">
        <is>
          <t>No</t>
        </is>
      </c>
      <c r="N3867" s="1" t="inlineStr">
        <is>
          <t>Database</t>
        </is>
      </c>
      <c r="O38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67" s="11" t="inlineStr">
        <is>
          <t>To Do</t>
        </is>
      </c>
    </row>
    <row r="3868" ht="15.75" customHeight="1" s="12">
      <c r="A3868" s="1" t="n">
        <v>3236</v>
      </c>
      <c r="B3868" s="3">
        <f>HYPERLINK("https://leetcode.com/problems/ceo-subordinate-hierarchy/", "CEO Subordinate Hierarchy")</f>
        <v/>
      </c>
      <c r="C3868" s="1" t="n">
        <v>6</v>
      </c>
      <c r="D3868" s="1" t="n">
        <v>0</v>
      </c>
      <c r="E3868" s="4">
        <f>IF(INDEX(C:C, ROW())+INDEX(D:D, ROW())=0, 0, INDEX(C:C, ROW())/(INDEX(C:C, ROW())+INDEX(D:D, ROW())))</f>
        <v/>
      </c>
      <c r="F3868" s="1" t="inlineStr">
        <is>
          <t>Database</t>
        </is>
      </c>
      <c r="G3868" s="1" t="inlineStr">
        <is>
          <t>Hard</t>
        </is>
      </c>
      <c r="H3868" s="1" t="n">
        <v>1560</v>
      </c>
      <c r="I3868" s="1" t="n">
        <v>2238</v>
      </c>
      <c r="J3868" s="9" t="n">
        <v>0.697</v>
      </c>
      <c r="K3868" s="1" t="inlineStr">
        <is>
          <t>No</t>
        </is>
      </c>
      <c r="L3868" s="1" t="inlineStr">
        <is>
          <t>No</t>
        </is>
      </c>
      <c r="M3868" s="1" t="inlineStr">
        <is>
          <t>No</t>
        </is>
      </c>
      <c r="N3868" s="1" t="inlineStr">
        <is>
          <t>Database</t>
        </is>
      </c>
      <c r="O38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68" s="11" t="inlineStr">
        <is>
          <t>To Do</t>
        </is>
      </c>
    </row>
    <row r="3869" ht="15.75" customHeight="1" s="12">
      <c r="A3869" s="1" t="n">
        <v>3339</v>
      </c>
      <c r="B3869" s="3">
        <f>HYPERLINK("https://leetcode.com/problems/find-the-number-of-k-even-arrays/", "Find the Number of K-Even Arrays")</f>
        <v/>
      </c>
      <c r="C3869" s="1" t="n">
        <v>6</v>
      </c>
      <c r="D3869" s="1" t="n">
        <v>3</v>
      </c>
      <c r="E3869" s="4">
        <f>IF(INDEX(C:C, ROW())+INDEX(D:D, ROW())=0, 0, INDEX(C:C, ROW())/(INDEX(C:C, ROW())+INDEX(D:D, ROW())))</f>
        <v/>
      </c>
      <c r="F3869" s="1" t="inlineStr">
        <is>
          <t>Dynamic Programming</t>
        </is>
      </c>
      <c r="G3869" s="1" t="inlineStr">
        <is>
          <t>Medium</t>
        </is>
      </c>
      <c r="H3869" s="1" t="n">
        <v>641</v>
      </c>
      <c r="I3869" s="1" t="n">
        <v>1044</v>
      </c>
      <c r="J3869" s="9" t="n">
        <v>0.614</v>
      </c>
      <c r="K3869" s="1" t="inlineStr">
        <is>
          <t>No</t>
        </is>
      </c>
      <c r="L3869" s="1" t="inlineStr">
        <is>
          <t>No</t>
        </is>
      </c>
      <c r="M3869" s="1" t="inlineStr">
        <is>
          <t>No</t>
        </is>
      </c>
      <c r="N3869" s="1" t="inlineStr">
        <is>
          <t>Algorithms</t>
        </is>
      </c>
      <c r="O38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69" s="11" t="inlineStr">
        <is>
          <t>To Do</t>
        </is>
      </c>
    </row>
    <row r="3870" ht="15.75" customHeight="1" s="12">
      <c r="A3870" s="1" t="n">
        <v>3368</v>
      </c>
      <c r="B3870" s="3">
        <f>HYPERLINK("https://leetcode.com/problems/first-letter-capitalization/", "First Letter Capitalization")</f>
        <v/>
      </c>
      <c r="C3870" s="1" t="n">
        <v>6</v>
      </c>
      <c r="D3870" s="1" t="n">
        <v>1</v>
      </c>
      <c r="E3870" s="4">
        <f>IF(INDEX(C:C, ROW())+INDEX(D:D, ROW())=0, 0, INDEX(C:C, ROW())/(INDEX(C:C, ROW())+INDEX(D:D, ROW())))</f>
        <v/>
      </c>
      <c r="F3870" s="1" t="inlineStr">
        <is>
          <t>Database</t>
        </is>
      </c>
      <c r="G3870" s="1" t="inlineStr">
        <is>
          <t>Hard</t>
        </is>
      </c>
      <c r="H3870" s="1" t="n">
        <v>1295</v>
      </c>
      <c r="I3870" s="1" t="n">
        <v>1488</v>
      </c>
      <c r="J3870" s="9" t="n">
        <v>0.87</v>
      </c>
      <c r="K3870" s="1" t="inlineStr">
        <is>
          <t>No</t>
        </is>
      </c>
      <c r="L3870" s="1" t="inlineStr">
        <is>
          <t>No</t>
        </is>
      </c>
      <c r="M3870" s="1" t="inlineStr">
        <is>
          <t>No</t>
        </is>
      </c>
      <c r="N3870" s="1" t="inlineStr">
        <is>
          <t>Database</t>
        </is>
      </c>
      <c r="O38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70" s="11" t="inlineStr">
        <is>
          <t>To Do</t>
        </is>
      </c>
    </row>
    <row r="3871" ht="15.75" customHeight="1" s="12">
      <c r="A3871" s="1" t="n">
        <v>3431</v>
      </c>
      <c r="B3871" s="3">
        <f>HYPERLINK("https://leetcode.com/problems/minimum-unlocked-indices-to-sort-nums/", "Minimum Unlocked Indices to Sort Nums")</f>
        <v/>
      </c>
      <c r="C3871" s="1" t="n">
        <v>6</v>
      </c>
      <c r="D3871" s="1" t="n">
        <v>3</v>
      </c>
      <c r="E3871" s="4">
        <f>IF(INDEX(C:C, ROW())+INDEX(D:D, ROW())=0, 0, INDEX(C:C, ROW())/(INDEX(C:C, ROW())+INDEX(D:D, ROW())))</f>
        <v/>
      </c>
      <c r="F3871" s="1" t="inlineStr">
        <is>
          <t>Array, Hash Table</t>
        </is>
      </c>
      <c r="G3871" s="1" t="inlineStr">
        <is>
          <t>Medium</t>
        </is>
      </c>
      <c r="H3871" s="1" t="n">
        <v>557</v>
      </c>
      <c r="I3871" s="1" t="n">
        <v>959</v>
      </c>
      <c r="J3871" s="9" t="n">
        <v>0.581</v>
      </c>
      <c r="K3871" s="1" t="inlineStr">
        <is>
          <t>No</t>
        </is>
      </c>
      <c r="L3871" s="1" t="inlineStr">
        <is>
          <t>No</t>
        </is>
      </c>
      <c r="M3871" s="1" t="inlineStr">
        <is>
          <t>No</t>
        </is>
      </c>
      <c r="N3871" s="1" t="inlineStr">
        <is>
          <t>Algorithms</t>
        </is>
      </c>
      <c r="O38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71" s="11" t="inlineStr">
        <is>
          <t>To Do</t>
        </is>
      </c>
    </row>
    <row r="3872" ht="15.75" customHeight="1" s="12">
      <c r="A3872" s="1" t="n">
        <v>3549</v>
      </c>
      <c r="B3872" s="3">
        <f>HYPERLINK("https://leetcode.com/problems/multiply-two-polynomials/", "Multiply Two Polynomials")</f>
        <v/>
      </c>
      <c r="C3872" s="1" t="n">
        <v>6</v>
      </c>
      <c r="D3872" s="1" t="n">
        <v>1</v>
      </c>
      <c r="E3872" s="4">
        <f>IF(INDEX(C:C, ROW())+INDEX(D:D, ROW())=0, 0, INDEX(C:C, ROW())/(INDEX(C:C, ROW())+INDEX(D:D, ROW())))</f>
        <v/>
      </c>
      <c r="F3872" s="1" t="inlineStr">
        <is>
          <t>Array, Math</t>
        </is>
      </c>
      <c r="G3872" s="1" t="inlineStr">
        <is>
          <t>Hard</t>
        </is>
      </c>
      <c r="H3872" s="1" t="n">
        <v>376</v>
      </c>
      <c r="I3872" s="1" t="n">
        <v>640</v>
      </c>
      <c r="J3872" s="9" t="n">
        <v>0.588</v>
      </c>
      <c r="K3872" s="1" t="inlineStr">
        <is>
          <t>No</t>
        </is>
      </c>
      <c r="L3872" s="1" t="inlineStr">
        <is>
          <t>No</t>
        </is>
      </c>
      <c r="M3872" s="1" t="inlineStr">
        <is>
          <t>No</t>
        </is>
      </c>
      <c r="N3872" s="1" t="inlineStr">
        <is>
          <t>Algorithms</t>
        </is>
      </c>
      <c r="O38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72" s="11" t="inlineStr">
        <is>
          <t>To Do</t>
        </is>
      </c>
    </row>
    <row r="3873" ht="15.75" customHeight="1" s="12">
      <c r="A3873" s="1" t="n">
        <v>3641</v>
      </c>
      <c r="B3873" s="3">
        <f>HYPERLINK("https://leetcode.com/problems/longest-semi-repeating-subarray/", "Longest Semi-Repeating Subarray")</f>
        <v/>
      </c>
      <c r="C3873" s="1" t="n">
        <v>6</v>
      </c>
      <c r="D3873" s="1" t="n">
        <v>1</v>
      </c>
      <c r="E3873" s="4">
        <f>IF(INDEX(C:C, ROW())+INDEX(D:D, ROW())=0, 0, INDEX(C:C, ROW())/(INDEX(C:C, ROW())+INDEX(D:D, ROW())))</f>
        <v/>
      </c>
      <c r="F3873" s="1" t="inlineStr">
        <is>
          <t>Array, Hash Table, Sliding Window</t>
        </is>
      </c>
      <c r="G3873" s="1" t="inlineStr">
        <is>
          <t>Medium</t>
        </is>
      </c>
      <c r="H3873" s="1" t="n">
        <v>1004</v>
      </c>
      <c r="I3873" s="1" t="n">
        <v>1551</v>
      </c>
      <c r="J3873" s="9" t="n">
        <v>0.647</v>
      </c>
      <c r="K3873" s="1" t="inlineStr">
        <is>
          <t>No</t>
        </is>
      </c>
      <c r="L3873" s="1" t="inlineStr">
        <is>
          <t>No</t>
        </is>
      </c>
      <c r="M3873" s="1" t="inlineStr">
        <is>
          <t>No</t>
        </is>
      </c>
      <c r="N3873" s="1" t="inlineStr">
        <is>
          <t>Algorithms</t>
        </is>
      </c>
      <c r="O38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73" s="11" t="inlineStr">
        <is>
          <t>To Do</t>
        </is>
      </c>
    </row>
    <row r="3874" ht="15.75" customHeight="1" s="12">
      <c r="A3874" s="1" t="n">
        <v>3647</v>
      </c>
      <c r="B3874" s="3">
        <f>HYPERLINK("https://leetcode.com/problems/maximum-weight-in-two-bags/", "Maximum Weight in Two Bags")</f>
        <v/>
      </c>
      <c r="C3874" s="1" t="n">
        <v>6</v>
      </c>
      <c r="D3874" s="1" t="n">
        <v>3</v>
      </c>
      <c r="E3874" s="4">
        <f>IF(INDEX(C:C, ROW())+INDEX(D:D, ROW())=0, 0, INDEX(C:C, ROW())/(INDEX(C:C, ROW())+INDEX(D:D, ROW())))</f>
        <v/>
      </c>
      <c r="F3874" s="1" t="inlineStr">
        <is>
          <t>Array, Dynamic Programming</t>
        </is>
      </c>
      <c r="G3874" s="1" t="inlineStr">
        <is>
          <t>Medium</t>
        </is>
      </c>
      <c r="H3874" s="1" t="n">
        <v>710</v>
      </c>
      <c r="I3874" s="1" t="n">
        <v>1221</v>
      </c>
      <c r="J3874" s="9" t="n">
        <v>0.581</v>
      </c>
      <c r="K3874" s="1" t="inlineStr">
        <is>
          <t>No</t>
        </is>
      </c>
      <c r="L3874" s="1" t="inlineStr">
        <is>
          <t>No</t>
        </is>
      </c>
      <c r="M3874" s="1" t="inlineStr">
        <is>
          <t>No</t>
        </is>
      </c>
      <c r="N3874" s="1" t="inlineStr">
        <is>
          <t>Algorithms</t>
        </is>
      </c>
      <c r="O38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74" s="11" t="inlineStr">
        <is>
          <t>To Do</t>
        </is>
      </c>
    </row>
    <row r="3875" ht="15.75" customHeight="1" s="12">
      <c r="A3875" s="1" t="n">
        <v>3682</v>
      </c>
      <c r="B3875" s="3">
        <f>HYPERLINK("https://leetcode.com/problems/minimum-index-sum-of-common-elements/", "Minimum Index Sum of Common Elements")</f>
        <v/>
      </c>
      <c r="C3875" s="1" t="n">
        <v>6</v>
      </c>
      <c r="D3875" s="1" t="n">
        <v>1</v>
      </c>
      <c r="E3875" s="4">
        <f>IF(INDEX(C:C, ROW())+INDEX(D:D, ROW())=0, 0, INDEX(C:C, ROW())/(INDEX(C:C, ROW())+INDEX(D:D, ROW())))</f>
        <v/>
      </c>
      <c r="F3875" s="1" t="inlineStr">
        <is>
          <t>Array, Hash Table</t>
        </is>
      </c>
      <c r="G3875" s="1" t="inlineStr">
        <is>
          <t>Medium</t>
        </is>
      </c>
      <c r="H3875" s="1" t="n">
        <v>739</v>
      </c>
      <c r="I3875" s="1" t="n">
        <v>954</v>
      </c>
      <c r="J3875" s="9" t="n">
        <v>0.775</v>
      </c>
      <c r="K3875" s="1" t="inlineStr">
        <is>
          <t>No</t>
        </is>
      </c>
      <c r="L3875" s="1" t="inlineStr">
        <is>
          <t>No</t>
        </is>
      </c>
      <c r="M3875" s="1" t="inlineStr">
        <is>
          <t>No</t>
        </is>
      </c>
      <c r="N3875" s="1" t="inlineStr">
        <is>
          <t>Algorithms</t>
        </is>
      </c>
      <c r="O38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75" s="11" t="inlineStr">
        <is>
          <t>To Do</t>
        </is>
      </c>
    </row>
    <row r="3876" ht="15.75" customHeight="1" s="12">
      <c r="A3876" s="1" t="n">
        <v>3696</v>
      </c>
      <c r="B3876" s="3">
        <f>HYPERLINK("https://leetcode.com/problems/maximum-distance-between-unequal-words-in-array-i/", "Maximum Distance Between Unequal Words in Array I")</f>
        <v/>
      </c>
      <c r="C3876" s="1" t="n">
        <v>6</v>
      </c>
      <c r="D3876" s="1" t="n">
        <v>1</v>
      </c>
      <c r="E3876" s="4">
        <f>IF(INDEX(C:C, ROW())+INDEX(D:D, ROW())=0, 0, INDEX(C:C, ROW())/(INDEX(C:C, ROW())+INDEX(D:D, ROW())))</f>
        <v/>
      </c>
      <c r="F3876" s="1" t="inlineStr">
        <is>
          <t>Array, String</t>
        </is>
      </c>
      <c r="G3876" s="1" t="inlineStr">
        <is>
          <t>Easy</t>
        </is>
      </c>
      <c r="H3876" s="1" t="n">
        <v>1077</v>
      </c>
      <c r="I3876" s="1" t="n">
        <v>1298</v>
      </c>
      <c r="J3876" s="9" t="n">
        <v>0.83</v>
      </c>
      <c r="K3876" s="1" t="inlineStr">
        <is>
          <t>No</t>
        </is>
      </c>
      <c r="L3876" s="1" t="inlineStr">
        <is>
          <t>No</t>
        </is>
      </c>
      <c r="M3876" s="1" t="inlineStr">
        <is>
          <t>No</t>
        </is>
      </c>
      <c r="N3876" s="1" t="inlineStr">
        <is>
          <t>Algorithms</t>
        </is>
      </c>
      <c r="O38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76" s="11" t="inlineStr">
        <is>
          <t>To Do</t>
        </is>
      </c>
    </row>
    <row r="3877" ht="15.75" customHeight="1" s="12">
      <c r="A3877" s="1" t="n">
        <v>3787</v>
      </c>
      <c r="B3877" s="3">
        <f>HYPERLINK("https://leetcode.com/problems/find-diameter-endpoints-of-a-tree/", "Find Diameter Endpoints of a Tree")</f>
        <v/>
      </c>
      <c r="C3877" s="1" t="n">
        <v>6</v>
      </c>
      <c r="D3877" s="1" t="n">
        <v>2</v>
      </c>
      <c r="E3877" s="4">
        <f>IF(INDEX(C:C, ROW())+INDEX(D:D, ROW())=0, 0, INDEX(C:C, ROW())/(INDEX(C:C, ROW())+INDEX(D:D, ROW())))</f>
        <v/>
      </c>
      <c r="F3877" s="1" t="inlineStr">
        <is>
          <t>Tree, Breadth-First Search, Graph Theory</t>
        </is>
      </c>
      <c r="G3877" s="1" t="inlineStr">
        <is>
          <t>Medium</t>
        </is>
      </c>
      <c r="H3877" s="1" t="n">
        <v>626</v>
      </c>
      <c r="I3877" s="1" t="n">
        <v>919</v>
      </c>
      <c r="J3877" s="9" t="n">
        <v>0.681</v>
      </c>
      <c r="K3877" s="1" t="inlineStr">
        <is>
          <t>No</t>
        </is>
      </c>
      <c r="L3877" s="1" t="inlineStr">
        <is>
          <t>No</t>
        </is>
      </c>
      <c r="M3877" s="1" t="inlineStr">
        <is>
          <t>No</t>
        </is>
      </c>
      <c r="N3877" s="1" t="inlineStr">
        <is>
          <t>Algorithms</t>
        </is>
      </c>
      <c r="O38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77" s="11" t="inlineStr">
        <is>
          <t>To Do</t>
        </is>
      </c>
    </row>
    <row r="3878" ht="15.75" customHeight="1" s="12">
      <c r="A3878" s="1" t="n">
        <v>3807</v>
      </c>
      <c r="B3878" s="3">
        <f>HYPERLINK("https://leetcode.com/problems/minimum-cost-to-repair-edges-to-traverse-a-graph/", "Minimum Cost to Repair Edges to Traverse a Graph")</f>
        <v/>
      </c>
      <c r="C3878" s="1" t="n">
        <v>6</v>
      </c>
      <c r="D3878" s="1" t="n">
        <v>1</v>
      </c>
      <c r="E3878" s="4">
        <f>IF(INDEX(C:C, ROW())+INDEX(D:D, ROW())=0, 0, INDEX(C:C, ROW())/(INDEX(C:C, ROW())+INDEX(D:D, ROW())))</f>
        <v/>
      </c>
      <c r="F3878" s="1" t="inlineStr">
        <is>
          <t>Binary Search, Breadth-First Search, Graph Theory</t>
        </is>
      </c>
      <c r="G3878" s="1" t="inlineStr">
        <is>
          <t>Medium</t>
        </is>
      </c>
      <c r="H3878" s="1" t="n">
        <v>519</v>
      </c>
      <c r="I3878" s="1" t="n">
        <v>933</v>
      </c>
      <c r="J3878" s="9" t="n">
        <v>0.556</v>
      </c>
      <c r="K3878" s="1" t="inlineStr">
        <is>
          <t>No</t>
        </is>
      </c>
      <c r="L3878" s="1" t="inlineStr">
        <is>
          <t>No</t>
        </is>
      </c>
      <c r="M3878" s="1" t="inlineStr">
        <is>
          <t>No</t>
        </is>
      </c>
      <c r="N3878" s="1" t="inlineStr">
        <is>
          <t>Algorithms</t>
        </is>
      </c>
      <c r="O38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78" s="11" t="inlineStr">
        <is>
          <t>To Do</t>
        </is>
      </c>
    </row>
    <row r="3879" ht="15.75" customHeight="1" s="12">
      <c r="A3879" s="1" t="n">
        <v>3860</v>
      </c>
      <c r="B3879" s="3">
        <f>HYPERLINK("https://leetcode.com/problems/unique-email-groups/", "Unique Email Groups")</f>
        <v/>
      </c>
      <c r="C3879" s="1" t="n">
        <v>6</v>
      </c>
      <c r="D3879" s="1" t="n">
        <v>2</v>
      </c>
      <c r="E3879" s="4">
        <f>IF(INDEX(C:C, ROW())+INDEX(D:D, ROW())=0, 0, INDEX(C:C, ROW())/(INDEX(C:C, ROW())+INDEX(D:D, ROW())))</f>
        <v/>
      </c>
      <c r="F3879" s="1" t="inlineStr">
        <is>
          <t>Array, Hash Table, String</t>
        </is>
      </c>
      <c r="G3879" s="1" t="inlineStr">
        <is>
          <t>Medium</t>
        </is>
      </c>
      <c r="H3879" s="1" t="n">
        <v>576</v>
      </c>
      <c r="I3879" s="1" t="n">
        <v>664</v>
      </c>
      <c r="J3879" s="9" t="n">
        <v>0.867</v>
      </c>
      <c r="K3879" s="1" t="inlineStr">
        <is>
          <t>No</t>
        </is>
      </c>
      <c r="L3879" s="1" t="inlineStr">
        <is>
          <t>No</t>
        </is>
      </c>
      <c r="M3879" s="1" t="inlineStr">
        <is>
          <t>No</t>
        </is>
      </c>
      <c r="N3879" s="1" t="inlineStr">
        <is>
          <t>Algorithms</t>
        </is>
      </c>
      <c r="O38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79" s="11" t="inlineStr">
        <is>
          <t>To Do</t>
        </is>
      </c>
    </row>
    <row r="3880" ht="15.75" customHeight="1" s="12">
      <c r="A3880" s="1" t="n">
        <v>3893</v>
      </c>
      <c r="B3880" s="3">
        <f>HYPERLINK("https://leetcode.com/problems/maximum-team-size-with-overlapping-intervals/", "Maximum Team Size with Overlapping Intervals")</f>
        <v/>
      </c>
      <c r="C3880" s="1" t="n">
        <v>6</v>
      </c>
      <c r="D3880" s="1" t="n">
        <v>1</v>
      </c>
      <c r="E3880" s="4">
        <f>IF(INDEX(C:C, ROW())+INDEX(D:D, ROW())=0, 0, INDEX(C:C, ROW())/(INDEX(C:C, ROW())+INDEX(D:D, ROW())))</f>
        <v/>
      </c>
      <c r="F3880" s="2" t="n"/>
      <c r="G3880" s="1" t="inlineStr">
        <is>
          <t>Medium</t>
        </is>
      </c>
      <c r="H3880" s="1" t="n">
        <v>300</v>
      </c>
      <c r="I3880" s="1" t="n">
        <v>552</v>
      </c>
      <c r="J3880" s="9" t="n">
        <v>0.543</v>
      </c>
      <c r="K3880" s="1" t="inlineStr">
        <is>
          <t>No</t>
        </is>
      </c>
      <c r="L3880" s="1" t="inlineStr">
        <is>
          <t>No</t>
        </is>
      </c>
      <c r="M3880" s="1" t="inlineStr">
        <is>
          <t>No</t>
        </is>
      </c>
      <c r="N3880" s="1" t="inlineStr">
        <is>
          <t>Algorithms</t>
        </is>
      </c>
      <c r="O38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80" s="11" t="inlineStr">
        <is>
          <t>To Do</t>
        </is>
      </c>
    </row>
    <row r="3881" ht="15.75" customHeight="1" s="12">
      <c r="A3881" s="1" t="n">
        <v>3057</v>
      </c>
      <c r="B3881" s="3">
        <f>HYPERLINK("https://leetcode.com/problems/employees-project-allocation/", "Employees Project Allocation")</f>
        <v/>
      </c>
      <c r="C3881" s="1" t="n">
        <v>5</v>
      </c>
      <c r="D3881" s="1" t="n">
        <v>4</v>
      </c>
      <c r="E3881" s="4">
        <f>IF(INDEX(C:C, ROW())+INDEX(D:D, ROW())=0, 0, INDEX(C:C, ROW())/(INDEX(C:C, ROW())+INDEX(D:D, ROW())))</f>
        <v/>
      </c>
      <c r="F3881" s="1" t="inlineStr">
        <is>
          <t>Database</t>
        </is>
      </c>
      <c r="G3881" s="1" t="inlineStr">
        <is>
          <t>Hard</t>
        </is>
      </c>
      <c r="H3881" s="1" t="n">
        <v>2521</v>
      </c>
      <c r="I3881" s="1" t="n">
        <v>3726</v>
      </c>
      <c r="J3881" s="9" t="n">
        <v>0.677</v>
      </c>
      <c r="K3881" s="1" t="inlineStr">
        <is>
          <t>No</t>
        </is>
      </c>
      <c r="L3881" s="1" t="inlineStr">
        <is>
          <t>No</t>
        </is>
      </c>
      <c r="M3881" s="1" t="inlineStr">
        <is>
          <t>No</t>
        </is>
      </c>
      <c r="N3881" s="1" t="inlineStr">
        <is>
          <t>Database</t>
        </is>
      </c>
      <c r="O38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81" s="11" t="inlineStr">
        <is>
          <t>To Do</t>
        </is>
      </c>
    </row>
    <row r="3882" ht="15.75" customHeight="1" s="12">
      <c r="A3882" s="1" t="n">
        <v>3060</v>
      </c>
      <c r="B3882" s="3">
        <f>HYPERLINK("https://leetcode.com/problems/user-activities-within-time-bounds/", "User Activities within Time Bounds")</f>
        <v/>
      </c>
      <c r="C3882" s="1" t="n">
        <v>5</v>
      </c>
      <c r="D3882" s="1" t="n">
        <v>20</v>
      </c>
      <c r="E3882" s="4">
        <f>IF(INDEX(C:C, ROW())+INDEX(D:D, ROW())=0, 0, INDEX(C:C, ROW())/(INDEX(C:C, ROW())+INDEX(D:D, ROW())))</f>
        <v/>
      </c>
      <c r="F3882" s="1" t="inlineStr">
        <is>
          <t>Database</t>
        </is>
      </c>
      <c r="G3882" s="1" t="inlineStr">
        <is>
          <t>Hard</t>
        </is>
      </c>
      <c r="H3882" s="1" t="n">
        <v>2435</v>
      </c>
      <c r="I3882" s="1" t="n">
        <v>5863</v>
      </c>
      <c r="J3882" s="9" t="n">
        <v>0.415</v>
      </c>
      <c r="K3882" s="1" t="inlineStr">
        <is>
          <t>No</t>
        </is>
      </c>
      <c r="L3882" s="1" t="inlineStr">
        <is>
          <t>Yes</t>
        </is>
      </c>
      <c r="M3882" s="1" t="inlineStr">
        <is>
          <t>No</t>
        </is>
      </c>
      <c r="N3882" s="1" t="inlineStr">
        <is>
          <t>Database</t>
        </is>
      </c>
      <c r="O38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82" s="11" t="inlineStr">
        <is>
          <t>To Do</t>
        </is>
      </c>
    </row>
    <row r="3883" ht="15.75" customHeight="1" s="12">
      <c r="A3883" s="1" t="n">
        <v>3214</v>
      </c>
      <c r="B3883" s="3">
        <f>HYPERLINK("https://leetcode.com/problems/year-on-year-growth-rate/", "Year on Year Growth Rate")</f>
        <v/>
      </c>
      <c r="C3883" s="1" t="n">
        <v>5</v>
      </c>
      <c r="D3883" s="1" t="n">
        <v>1</v>
      </c>
      <c r="E3883" s="4">
        <f>IF(INDEX(C:C, ROW())+INDEX(D:D, ROW())=0, 0, INDEX(C:C, ROW())/(INDEX(C:C, ROW())+INDEX(D:D, ROW())))</f>
        <v/>
      </c>
      <c r="F3883" s="1" t="inlineStr">
        <is>
          <t>Database</t>
        </is>
      </c>
      <c r="G3883" s="1" t="inlineStr">
        <is>
          <t>Hard</t>
        </is>
      </c>
      <c r="H3883" s="1" t="n">
        <v>3666</v>
      </c>
      <c r="I3883" s="1" t="n">
        <v>7143</v>
      </c>
      <c r="J3883" s="9" t="n">
        <v>0.513</v>
      </c>
      <c r="K3883" s="1" t="inlineStr">
        <is>
          <t>No</t>
        </is>
      </c>
      <c r="L3883" s="1" t="inlineStr">
        <is>
          <t>No</t>
        </is>
      </c>
      <c r="M3883" s="1" t="inlineStr">
        <is>
          <t>No</t>
        </is>
      </c>
      <c r="N3883" s="1" t="inlineStr">
        <is>
          <t>Database</t>
        </is>
      </c>
      <c r="O38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83" s="11" t="inlineStr">
        <is>
          <t>To Do</t>
        </is>
      </c>
    </row>
    <row r="3884" ht="15.75" customHeight="1" s="12">
      <c r="A3884" s="1" t="n">
        <v>3279</v>
      </c>
      <c r="B3884" s="3">
        <f>HYPERLINK("https://leetcode.com/problems/maximum-total-area-occupied-by-pistons/", "Maximum Total Area Occupied by Pistons")</f>
        <v/>
      </c>
      <c r="C3884" s="1" t="n">
        <v>5</v>
      </c>
      <c r="D3884" s="1" t="n">
        <v>3</v>
      </c>
      <c r="E3884" s="4">
        <f>IF(INDEX(C:C, ROW())+INDEX(D:D, ROW())=0, 0, INDEX(C:C, ROW())/(INDEX(C:C, ROW())+INDEX(D:D, ROW())))</f>
        <v/>
      </c>
      <c r="F3884" s="1" t="inlineStr">
        <is>
          <t>Array, Hash Table, String, Simulation, Counting, Prefix Sum</t>
        </is>
      </c>
      <c r="G3884" s="1" t="inlineStr">
        <is>
          <t>Hard</t>
        </is>
      </c>
      <c r="H3884" s="1" t="n">
        <v>520</v>
      </c>
      <c r="I3884" s="1" t="n">
        <v>1287</v>
      </c>
      <c r="J3884" s="9" t="n">
        <v>0.404</v>
      </c>
      <c r="K3884" s="1" t="inlineStr">
        <is>
          <t>No</t>
        </is>
      </c>
      <c r="L3884" s="1" t="inlineStr">
        <is>
          <t>No</t>
        </is>
      </c>
      <c r="M3884" s="1" t="inlineStr">
        <is>
          <t>No</t>
        </is>
      </c>
      <c r="N3884" s="1" t="inlineStr">
        <is>
          <t>Algorithms</t>
        </is>
      </c>
      <c r="O38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84" s="11" t="inlineStr">
        <is>
          <t>To Do</t>
        </is>
      </c>
    </row>
    <row r="3885" ht="15.75" customHeight="1" s="12">
      <c r="A3885" s="1" t="n">
        <v>3385</v>
      </c>
      <c r="B3885" s="3">
        <f>HYPERLINK("https://leetcode.com/problems/minimum-time-to-break-locks-ii/", "Minimum Time to Break Locks II")</f>
        <v/>
      </c>
      <c r="C3885" s="1" t="n">
        <v>5</v>
      </c>
      <c r="D3885" s="1" t="n">
        <v>1</v>
      </c>
      <c r="E3885" s="4">
        <f>IF(INDEX(C:C, ROW())+INDEX(D:D, ROW())=0, 0, INDEX(C:C, ROW())/(INDEX(C:C, ROW())+INDEX(D:D, ROW())))</f>
        <v/>
      </c>
      <c r="F3885" s="1" t="inlineStr">
        <is>
          <t>Array, Breadth-First Search, Graph Theory</t>
        </is>
      </c>
      <c r="G3885" s="1" t="inlineStr">
        <is>
          <t>Hard</t>
        </is>
      </c>
      <c r="H3885" s="1" t="n">
        <v>355</v>
      </c>
      <c r="I3885" s="1" t="n">
        <v>788</v>
      </c>
      <c r="J3885" s="9" t="n">
        <v>0.451</v>
      </c>
      <c r="K3885" s="1" t="inlineStr">
        <is>
          <t>No</t>
        </is>
      </c>
      <c r="L3885" s="1" t="inlineStr">
        <is>
          <t>No</t>
        </is>
      </c>
      <c r="M3885" s="1" t="inlineStr">
        <is>
          <t>No</t>
        </is>
      </c>
      <c r="N3885" s="1" t="inlineStr">
        <is>
          <t>Algorithms</t>
        </is>
      </c>
      <c r="O38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85" s="11" t="inlineStr">
        <is>
          <t>To Do</t>
        </is>
      </c>
    </row>
    <row r="3886" ht="15.75" customHeight="1" s="12">
      <c r="A3886" s="1" t="n">
        <v>3535</v>
      </c>
      <c r="B3886" s="3">
        <f>HYPERLINK("https://leetcode.com/problems/unit-conversion-ii/", "Unit Conversion II")</f>
        <v/>
      </c>
      <c r="C3886" s="1" t="n">
        <v>5</v>
      </c>
      <c r="D3886" s="1" t="n">
        <v>8</v>
      </c>
      <c r="E3886" s="4">
        <f>IF(INDEX(C:C, ROW())+INDEX(D:D, ROW())=0, 0, INDEX(C:C, ROW())/(INDEX(C:C, ROW())+INDEX(D:D, ROW())))</f>
        <v/>
      </c>
      <c r="F3886" s="1" t="inlineStr">
        <is>
          <t>Array, Math, Depth-First Search, Breadth-First Search, Graph Theory</t>
        </is>
      </c>
      <c r="G3886" s="1" t="inlineStr">
        <is>
          <t>Medium</t>
        </is>
      </c>
      <c r="H3886" s="1" t="n">
        <v>609</v>
      </c>
      <c r="I3886" s="1" t="n">
        <v>916</v>
      </c>
      <c r="J3886" s="9" t="n">
        <v>0.665</v>
      </c>
      <c r="K3886" s="1" t="inlineStr">
        <is>
          <t>No</t>
        </is>
      </c>
      <c r="L3886" s="1" t="inlineStr">
        <is>
          <t>No</t>
        </is>
      </c>
      <c r="M3886" s="1" t="inlineStr">
        <is>
          <t>No</t>
        </is>
      </c>
      <c r="N3886" s="1" t="inlineStr">
        <is>
          <t>Algorithms</t>
        </is>
      </c>
      <c r="O38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86" s="11" t="inlineStr">
        <is>
          <t>To Do</t>
        </is>
      </c>
    </row>
    <row r="3887" ht="15.75" customHeight="1" s="12">
      <c r="A3887" s="1" t="n">
        <v>3565</v>
      </c>
      <c r="B3887" s="3">
        <f>HYPERLINK("https://leetcode.com/problems/sequential-grid-path-cover/", "Sequential Grid Path Cover")</f>
        <v/>
      </c>
      <c r="C3887" s="1" t="n">
        <v>5</v>
      </c>
      <c r="D3887" s="1" t="n">
        <v>1</v>
      </c>
      <c r="E3887" s="4">
        <f>IF(INDEX(C:C, ROW())+INDEX(D:D, ROW())=0, 0, INDEX(C:C, ROW())/(INDEX(C:C, ROW())+INDEX(D:D, ROW())))</f>
        <v/>
      </c>
      <c r="F3887" s="1" t="inlineStr">
        <is>
          <t>Array, Recursion, Matrix</t>
        </is>
      </c>
      <c r="G3887" s="1" t="inlineStr">
        <is>
          <t>Medium</t>
        </is>
      </c>
      <c r="H3887" s="1" t="n">
        <v>671</v>
      </c>
      <c r="I3887" s="1" t="n">
        <v>1110</v>
      </c>
      <c r="J3887" s="9" t="n">
        <v>0.605</v>
      </c>
      <c r="K3887" s="1" t="inlineStr">
        <is>
          <t>No</t>
        </is>
      </c>
      <c r="L3887" s="1" t="inlineStr">
        <is>
          <t>No</t>
        </is>
      </c>
      <c r="M3887" s="1" t="inlineStr">
        <is>
          <t>No</t>
        </is>
      </c>
      <c r="N3887" s="1" t="inlineStr">
        <is>
          <t>Algorithms</t>
        </is>
      </c>
      <c r="O38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87" s="11" t="inlineStr">
        <is>
          <t>To Do</t>
        </is>
      </c>
    </row>
    <row r="3888" ht="15.75" customHeight="1" s="12">
      <c r="A3888" s="1" t="n">
        <v>3616</v>
      </c>
      <c r="B3888" s="3">
        <f>HYPERLINK("https://leetcode.com/problems/number-of-student-replacements/", "Number of Student Replacements")</f>
        <v/>
      </c>
      <c r="C3888" s="1" t="n">
        <v>5</v>
      </c>
      <c r="D3888" s="1" t="n">
        <v>3</v>
      </c>
      <c r="E3888" s="4">
        <f>IF(INDEX(C:C, ROW())+INDEX(D:D, ROW())=0, 0, INDEX(C:C, ROW())/(INDEX(C:C, ROW())+INDEX(D:D, ROW())))</f>
        <v/>
      </c>
      <c r="F3888" s="1" t="inlineStr">
        <is>
          <t>Array, Simulation</t>
        </is>
      </c>
      <c r="G3888" s="1" t="inlineStr">
        <is>
          <t>Medium</t>
        </is>
      </c>
      <c r="H3888" s="1" t="n">
        <v>1005</v>
      </c>
      <c r="I3888" s="1" t="n">
        <v>1170</v>
      </c>
      <c r="J3888" s="9" t="n">
        <v>0.859</v>
      </c>
      <c r="K3888" s="1" t="inlineStr">
        <is>
          <t>No</t>
        </is>
      </c>
      <c r="L3888" s="1" t="inlineStr">
        <is>
          <t>No</t>
        </is>
      </c>
      <c r="M3888" s="1" t="inlineStr">
        <is>
          <t>No</t>
        </is>
      </c>
      <c r="N3888" s="1" t="inlineStr">
        <is>
          <t>Algorithms</t>
        </is>
      </c>
      <c r="O38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88" s="11" t="inlineStr">
        <is>
          <t>To Do</t>
        </is>
      </c>
    </row>
    <row r="3889" ht="15.75" customHeight="1" s="12">
      <c r="A3889" s="1" t="n">
        <v>3631</v>
      </c>
      <c r="B3889" s="3">
        <f>HYPERLINK("https://leetcode.com/problems/sort-threats-by-severity-and-exploitability/", "Sort Threats by Severity and Exploitability")</f>
        <v/>
      </c>
      <c r="C3889" s="1" t="n">
        <v>5</v>
      </c>
      <c r="D3889" s="1" t="n">
        <v>1</v>
      </c>
      <c r="E3889" s="4">
        <f>IF(INDEX(C:C, ROW())+INDEX(D:D, ROW())=0, 0, INDEX(C:C, ROW())/(INDEX(C:C, ROW())+INDEX(D:D, ROW())))</f>
        <v/>
      </c>
      <c r="F3889" s="1" t="inlineStr">
        <is>
          <t>Array, Sorting</t>
        </is>
      </c>
      <c r="G3889" s="1" t="inlineStr">
        <is>
          <t>Medium</t>
        </is>
      </c>
      <c r="H3889" s="1" t="n">
        <v>589</v>
      </c>
      <c r="I3889" s="1" t="n">
        <v>918</v>
      </c>
      <c r="J3889" s="9" t="n">
        <v>0.642</v>
      </c>
      <c r="K3889" s="1" t="inlineStr">
        <is>
          <t>No</t>
        </is>
      </c>
      <c r="L3889" s="1" t="inlineStr">
        <is>
          <t>No</t>
        </is>
      </c>
      <c r="M3889" s="1" t="inlineStr">
        <is>
          <t>No</t>
        </is>
      </c>
      <c r="N3889" s="1" t="inlineStr">
        <is>
          <t>Algorithms</t>
        </is>
      </c>
      <c r="O38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89" s="11" t="inlineStr">
        <is>
          <t>To Do</t>
        </is>
      </c>
    </row>
    <row r="3890" ht="15.75" customHeight="1" s="12">
      <c r="A3890" s="1" t="n">
        <v>3687</v>
      </c>
      <c r="B3890" s="3">
        <f>HYPERLINK("https://leetcode.com/problems/library-late-fee-calculator/", "Library Late Fee Calculator")</f>
        <v/>
      </c>
      <c r="C3890" s="1" t="n">
        <v>5</v>
      </c>
      <c r="D3890" s="1" t="n">
        <v>3</v>
      </c>
      <c r="E3890" s="4">
        <f>IF(INDEX(C:C, ROW())+INDEX(D:D, ROW())=0, 0, INDEX(C:C, ROW())/(INDEX(C:C, ROW())+INDEX(D:D, ROW())))</f>
        <v/>
      </c>
      <c r="F3890" s="1" t="inlineStr">
        <is>
          <t>Array, Simulation</t>
        </is>
      </c>
      <c r="G3890" s="1" t="inlineStr">
        <is>
          <t>Easy</t>
        </is>
      </c>
      <c r="H3890" s="1" t="n">
        <v>2090</v>
      </c>
      <c r="I3890" s="1" t="n">
        <v>2219</v>
      </c>
      <c r="J3890" s="9" t="n">
        <v>0.9419999999999999</v>
      </c>
      <c r="K3890" s="1" t="inlineStr">
        <is>
          <t>No</t>
        </is>
      </c>
      <c r="L3890" s="1" t="inlineStr">
        <is>
          <t>No</t>
        </is>
      </c>
      <c r="M3890" s="1" t="inlineStr">
        <is>
          <t>No</t>
        </is>
      </c>
      <c r="N3890" s="1" t="inlineStr">
        <is>
          <t>Algorithms</t>
        </is>
      </c>
      <c r="O38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90" s="11" t="inlineStr">
        <is>
          <t>To Do</t>
        </is>
      </c>
    </row>
    <row r="3891" ht="15.75" customHeight="1" s="12">
      <c r="A3891" s="1" t="n">
        <v>3706</v>
      </c>
      <c r="B3891" s="3">
        <f>HYPERLINK("https://leetcode.com/problems/maximum-distance-between-unequal-words-in-array-ii/", "Maximum Distance Between Unequal Words in Array II")</f>
        <v/>
      </c>
      <c r="C3891" s="1" t="n">
        <v>5</v>
      </c>
      <c r="D3891" s="1" t="n">
        <v>2</v>
      </c>
      <c r="E3891" s="4">
        <f>IF(INDEX(C:C, ROW())+INDEX(D:D, ROW())=0, 0, INDEX(C:C, ROW())/(INDEX(C:C, ROW())+INDEX(D:D, ROW())))</f>
        <v/>
      </c>
      <c r="F3891" s="1" t="inlineStr">
        <is>
          <t>Array, String</t>
        </is>
      </c>
      <c r="G3891" s="1" t="inlineStr">
        <is>
          <t>Medium</t>
        </is>
      </c>
      <c r="H3891" s="1" t="n">
        <v>608</v>
      </c>
      <c r="I3891" s="1" t="n">
        <v>839</v>
      </c>
      <c r="J3891" s="9" t="n">
        <v>0.725</v>
      </c>
      <c r="K3891" s="1" t="inlineStr">
        <is>
          <t>No</t>
        </is>
      </c>
      <c r="L3891" s="1" t="inlineStr">
        <is>
          <t>No</t>
        </is>
      </c>
      <c r="M3891" s="1" t="inlineStr">
        <is>
          <t>No</t>
        </is>
      </c>
      <c r="N3891" s="1" t="inlineStr">
        <is>
          <t>Algorithms</t>
        </is>
      </c>
      <c r="O38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91" s="11" t="inlineStr">
        <is>
          <t>To Do</t>
        </is>
      </c>
    </row>
    <row r="3892" ht="15.75" customHeight="1" s="12">
      <c r="A3892" s="1" t="n">
        <v>3730</v>
      </c>
      <c r="B3892" s="3">
        <f>HYPERLINK("https://leetcode.com/problems/maximum-calories-burnt-from-jumps/", "Maximum Calories Burnt from Jumps")</f>
        <v/>
      </c>
      <c r="C3892" s="1" t="n">
        <v>5</v>
      </c>
      <c r="D3892" s="1" t="n">
        <v>1</v>
      </c>
      <c r="E3892" s="4">
        <f>IF(INDEX(C:C, ROW())+INDEX(D:D, ROW())=0, 0, INDEX(C:C, ROW())/(INDEX(C:C, ROW())+INDEX(D:D, ROW())))</f>
        <v/>
      </c>
      <c r="F3892" s="1" t="inlineStr">
        <is>
          <t>Array, Two Pointers, Greedy, Sorting</t>
        </is>
      </c>
      <c r="G3892" s="1" t="inlineStr">
        <is>
          <t>Medium</t>
        </is>
      </c>
      <c r="H3892" s="1" t="n">
        <v>755</v>
      </c>
      <c r="I3892" s="1" t="n">
        <v>1043</v>
      </c>
      <c r="J3892" s="9" t="n">
        <v>0.724</v>
      </c>
      <c r="K3892" s="1" t="inlineStr">
        <is>
          <t>No</t>
        </is>
      </c>
      <c r="L3892" s="1" t="inlineStr">
        <is>
          <t>No</t>
        </is>
      </c>
      <c r="M3892" s="1" t="inlineStr">
        <is>
          <t>No</t>
        </is>
      </c>
      <c r="N3892" s="1" t="inlineStr">
        <is>
          <t>Algorithms</t>
        </is>
      </c>
      <c r="O38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92" s="11" t="inlineStr">
        <is>
          <t>To Do</t>
        </is>
      </c>
    </row>
    <row r="3893" ht="15.75" customHeight="1" s="12">
      <c r="A3893" s="1" t="n">
        <v>3744</v>
      </c>
      <c r="B3893" s="3">
        <f>HYPERLINK("https://leetcode.com/problems/find-kth-character-in-expanded-string/", "Find Kth Character in Expanded String")</f>
        <v/>
      </c>
      <c r="C3893" s="1" t="n">
        <v>5</v>
      </c>
      <c r="D3893" s="1" t="n">
        <v>3</v>
      </c>
      <c r="E3893" s="4">
        <f>IF(INDEX(C:C, ROW())+INDEX(D:D, ROW())=0, 0, INDEX(C:C, ROW())/(INDEX(C:C, ROW())+INDEX(D:D, ROW())))</f>
        <v/>
      </c>
      <c r="F3893" s="1" t="inlineStr">
        <is>
          <t>String</t>
        </is>
      </c>
      <c r="G3893" s="1" t="inlineStr">
        <is>
          <t>Medium</t>
        </is>
      </c>
      <c r="H3893" s="1" t="n">
        <v>520</v>
      </c>
      <c r="I3893" s="1" t="n">
        <v>913</v>
      </c>
      <c r="J3893" s="9" t="n">
        <v>0.57</v>
      </c>
      <c r="K3893" s="1" t="inlineStr">
        <is>
          <t>No</t>
        </is>
      </c>
      <c r="L3893" s="1" t="inlineStr">
        <is>
          <t>No</t>
        </is>
      </c>
      <c r="M3893" s="1" t="inlineStr">
        <is>
          <t>No</t>
        </is>
      </c>
      <c r="N3893" s="1" t="inlineStr">
        <is>
          <t>Algorithms</t>
        </is>
      </c>
      <c r="O38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93" s="11" t="inlineStr">
        <is>
          <t>To Do</t>
        </is>
      </c>
    </row>
    <row r="3894" ht="15.75" customHeight="1" s="12">
      <c r="A3894" s="1" t="n">
        <v>3831</v>
      </c>
      <c r="B3894" s="3">
        <f>HYPERLINK("https://leetcode.com/problems/median-of-a-binary-search-tree-level/", "Median of a Binary Search Tree Level")</f>
        <v/>
      </c>
      <c r="C3894" s="1" t="n">
        <v>5</v>
      </c>
      <c r="D3894" s="1" t="n">
        <v>1</v>
      </c>
      <c r="E3894" s="4">
        <f>IF(INDEX(C:C, ROW())+INDEX(D:D, ROW())=0, 0, INDEX(C:C, ROW())/(INDEX(C:C, ROW())+INDEX(D:D, ROW())))</f>
        <v/>
      </c>
      <c r="F3894" s="1" t="inlineStr">
        <is>
          <t>Tree, Depth-First Search, Breadth-First Search, Binary Search Tree, Binary Tree</t>
        </is>
      </c>
      <c r="G3894" s="1" t="inlineStr">
        <is>
          <t>Medium</t>
        </is>
      </c>
      <c r="H3894" s="1" t="n">
        <v>999</v>
      </c>
      <c r="I3894" s="1" t="n">
        <v>1134</v>
      </c>
      <c r="J3894" s="9" t="n">
        <v>0.881</v>
      </c>
      <c r="K3894" s="1" t="inlineStr">
        <is>
          <t>No</t>
        </is>
      </c>
      <c r="L3894" s="1" t="inlineStr">
        <is>
          <t>No</t>
        </is>
      </c>
      <c r="M3894" s="1" t="inlineStr">
        <is>
          <t>No</t>
        </is>
      </c>
      <c r="N3894" s="1" t="inlineStr">
        <is>
          <t>Algorithms</t>
        </is>
      </c>
      <c r="O38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94" s="11" t="inlineStr">
        <is>
          <t>To Do</t>
        </is>
      </c>
    </row>
    <row r="3895" ht="15.75" customHeight="1" s="12">
      <c r="A3895" s="1" t="n">
        <v>3837</v>
      </c>
      <c r="B3895" s="3">
        <f>HYPERLINK("https://leetcode.com/problems/delayed-count-of-equal-elements/", "Delayed Count of Equal Elements")</f>
        <v/>
      </c>
      <c r="C3895" s="1" t="n">
        <v>5</v>
      </c>
      <c r="D3895" s="1" t="n">
        <v>2</v>
      </c>
      <c r="E3895" s="4">
        <f>IF(INDEX(C:C, ROW())+INDEX(D:D, ROW())=0, 0, INDEX(C:C, ROW())/(INDEX(C:C, ROW())+INDEX(D:D, ROW())))</f>
        <v/>
      </c>
      <c r="F3895" s="1" t="inlineStr">
        <is>
          <t>Array, Hash Table, Counting</t>
        </is>
      </c>
      <c r="G3895" s="1" t="inlineStr">
        <is>
          <t>Medium</t>
        </is>
      </c>
      <c r="H3895" s="1" t="n">
        <v>450</v>
      </c>
      <c r="I3895" s="1" t="n">
        <v>565</v>
      </c>
      <c r="J3895" s="9" t="n">
        <v>0.796</v>
      </c>
      <c r="K3895" s="1" t="inlineStr">
        <is>
          <t>No</t>
        </is>
      </c>
      <c r="L3895" s="1" t="inlineStr">
        <is>
          <t>No</t>
        </is>
      </c>
      <c r="M3895" s="1" t="inlineStr">
        <is>
          <t>No</t>
        </is>
      </c>
      <c r="N3895" s="1" t="inlineStr">
        <is>
          <t>Algorithms</t>
        </is>
      </c>
      <c r="O38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95" s="11" t="inlineStr">
        <is>
          <t>To Do</t>
        </is>
      </c>
    </row>
    <row r="3896" ht="15.75" customHeight="1" s="12">
      <c r="A3896" s="1" t="n">
        <v>3851</v>
      </c>
      <c r="B3896" s="3">
        <f>HYPERLINK("https://leetcode.com/problems/maximum-requests-without-violating-the-limit/", "Maximum Requests Without Violating the Limit")</f>
        <v/>
      </c>
      <c r="C3896" s="1" t="n">
        <v>5</v>
      </c>
      <c r="D3896" s="1" t="n">
        <v>2</v>
      </c>
      <c r="E3896" s="4">
        <f>IF(INDEX(C:C, ROW())+INDEX(D:D, ROW())=0, 0, INDEX(C:C, ROW())/(INDEX(C:C, ROW())+INDEX(D:D, ROW())))</f>
        <v/>
      </c>
      <c r="F3896" s="1" t="inlineStr">
        <is>
          <t>Array, Hash Table, Greedy, Sliding Window, Sorting</t>
        </is>
      </c>
      <c r="G3896" s="1" t="inlineStr">
        <is>
          <t>Medium</t>
        </is>
      </c>
      <c r="H3896" s="1" t="n">
        <v>418</v>
      </c>
      <c r="I3896" s="1" t="n">
        <v>645</v>
      </c>
      <c r="J3896" s="9" t="n">
        <v>0.648</v>
      </c>
      <c r="K3896" s="1" t="inlineStr">
        <is>
          <t>No</t>
        </is>
      </c>
      <c r="L3896" s="1" t="inlineStr">
        <is>
          <t>No</t>
        </is>
      </c>
      <c r="M3896" s="1" t="inlineStr">
        <is>
          <t>No</t>
        </is>
      </c>
      <c r="N3896" s="1" t="inlineStr">
        <is>
          <t>Algorithms</t>
        </is>
      </c>
      <c r="O38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96" s="11" t="inlineStr">
        <is>
          <t>To Do</t>
        </is>
      </c>
    </row>
    <row r="3897" ht="15.75" customHeight="1" s="12">
      <c r="A3897" s="1" t="n">
        <v>3902</v>
      </c>
      <c r="B3897" s="3">
        <f>HYPERLINK("https://leetcode.com/problems/zigzag-level-sum-of-binary-tree/", "Zigzag Level Sum of Binary Tree")</f>
        <v/>
      </c>
      <c r="C3897" s="1" t="n">
        <v>5</v>
      </c>
      <c r="D3897" s="1" t="n">
        <v>2</v>
      </c>
      <c r="E3897" s="4">
        <f>IF(INDEX(C:C, ROW())+INDEX(D:D, ROW())=0, 0, INDEX(C:C, ROW())/(INDEX(C:C, ROW())+INDEX(D:D, ROW())))</f>
        <v/>
      </c>
      <c r="F3897" s="1" t="inlineStr">
        <is>
          <t>Tree, Breadth-First Search, Binary Tree</t>
        </is>
      </c>
      <c r="G3897" s="1" t="inlineStr">
        <is>
          <t>Medium</t>
        </is>
      </c>
      <c r="H3897" s="1" t="n">
        <v>334</v>
      </c>
      <c r="I3897" s="1" t="n">
        <v>457</v>
      </c>
      <c r="J3897" s="9" t="n">
        <v>0.731</v>
      </c>
      <c r="K3897" s="1" t="inlineStr">
        <is>
          <t>No</t>
        </is>
      </c>
      <c r="L3897" s="1" t="inlineStr">
        <is>
          <t>No</t>
        </is>
      </c>
      <c r="M3897" s="1" t="inlineStr">
        <is>
          <t>No</t>
        </is>
      </c>
      <c r="N3897" s="1" t="inlineStr">
        <is>
          <t>Algorithms</t>
        </is>
      </c>
      <c r="O38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97" s="11" t="inlineStr">
        <is>
          <t>To Do</t>
        </is>
      </c>
    </row>
    <row r="3898" ht="15.75" customHeight="1" s="12">
      <c r="A3898" s="1" t="n">
        <v>3056</v>
      </c>
      <c r="B3898" s="3">
        <f>HYPERLINK("https://leetcode.com/problems/snaps-analysis/", "Snaps Analysis")</f>
        <v/>
      </c>
      <c r="C3898" s="1" t="n">
        <v>4</v>
      </c>
      <c r="D3898" s="1" t="n">
        <v>2</v>
      </c>
      <c r="E3898" s="4">
        <f>IF(INDEX(C:C, ROW())+INDEX(D:D, ROW())=0, 0, INDEX(C:C, ROW())/(INDEX(C:C, ROW())+INDEX(D:D, ROW())))</f>
        <v/>
      </c>
      <c r="F3898" s="1" t="inlineStr">
        <is>
          <t>Database</t>
        </is>
      </c>
      <c r="G3898" s="1" t="inlineStr">
        <is>
          <t>Medium</t>
        </is>
      </c>
      <c r="H3898" s="1" t="n">
        <v>3550</v>
      </c>
      <c r="I3898" s="1" t="n">
        <v>6020</v>
      </c>
      <c r="J3898" s="9" t="n">
        <v>0.59</v>
      </c>
      <c r="K3898" s="1" t="inlineStr">
        <is>
          <t>No</t>
        </is>
      </c>
      <c r="L3898" s="1" t="inlineStr">
        <is>
          <t>No</t>
        </is>
      </c>
      <c r="M3898" s="1" t="inlineStr">
        <is>
          <t>No</t>
        </is>
      </c>
      <c r="N3898" s="1" t="inlineStr">
        <is>
          <t>Database</t>
        </is>
      </c>
      <c r="O38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98" s="11" t="inlineStr">
        <is>
          <t>To Do</t>
        </is>
      </c>
    </row>
    <row r="3899" ht="15.75" customHeight="1" s="12">
      <c r="A3899" s="1" t="n">
        <v>3322</v>
      </c>
      <c r="B3899" s="3">
        <f>HYPERLINK("https://leetcode.com/problems/premier-league-table-ranking-iii/", "Premier League Table Ranking III")</f>
        <v/>
      </c>
      <c r="C3899" s="1" t="n">
        <v>4</v>
      </c>
      <c r="D3899" s="1" t="n">
        <v>0</v>
      </c>
      <c r="E3899" s="4">
        <f>IF(INDEX(C:C, ROW())+INDEX(D:D, ROW())=0, 0, INDEX(C:C, ROW())/(INDEX(C:C, ROW())+INDEX(D:D, ROW())))</f>
        <v/>
      </c>
      <c r="F3899" s="1" t="inlineStr">
        <is>
          <t>Database</t>
        </is>
      </c>
      <c r="G3899" s="1" t="inlineStr">
        <is>
          <t>Medium</t>
        </is>
      </c>
      <c r="H3899" s="1" t="n">
        <v>2113</v>
      </c>
      <c r="I3899" s="1" t="n">
        <v>2976</v>
      </c>
      <c r="J3899" s="9" t="n">
        <v>0.71</v>
      </c>
      <c r="K3899" s="1" t="inlineStr">
        <is>
          <t>No</t>
        </is>
      </c>
      <c r="L3899" s="1" t="inlineStr">
        <is>
          <t>No</t>
        </is>
      </c>
      <c r="M3899" s="1" t="inlineStr">
        <is>
          <t>No</t>
        </is>
      </c>
      <c r="N3899" s="1" t="inlineStr">
        <is>
          <t>Database</t>
        </is>
      </c>
      <c r="O38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899" s="11" t="inlineStr">
        <is>
          <t>To Do</t>
        </is>
      </c>
    </row>
    <row r="3900" ht="15.75" customHeight="1" s="12">
      <c r="A3900" s="1" t="n">
        <v>3384</v>
      </c>
      <c r="B3900" s="3">
        <f>HYPERLINK("https://leetcode.com/problems/team-dominance-by-pass-success/", "Team Dominance by Pass Success")</f>
        <v/>
      </c>
      <c r="C3900" s="1" t="n">
        <v>4</v>
      </c>
      <c r="D3900" s="1" t="n">
        <v>0</v>
      </c>
      <c r="E3900" s="4">
        <f>IF(INDEX(C:C, ROW())+INDEX(D:D, ROW())=0, 0, INDEX(C:C, ROW())/(INDEX(C:C, ROW())+INDEX(D:D, ROW())))</f>
        <v/>
      </c>
      <c r="F3900" s="1" t="inlineStr">
        <is>
          <t>Database</t>
        </is>
      </c>
      <c r="G3900" s="1" t="inlineStr">
        <is>
          <t>Hard</t>
        </is>
      </c>
      <c r="H3900" s="1" t="n">
        <v>1488</v>
      </c>
      <c r="I3900" s="1" t="n">
        <v>2062</v>
      </c>
      <c r="J3900" s="9" t="n">
        <v>0.722</v>
      </c>
      <c r="K3900" s="1" t="inlineStr">
        <is>
          <t>No</t>
        </is>
      </c>
      <c r="L3900" s="1" t="inlineStr">
        <is>
          <t>No</t>
        </is>
      </c>
      <c r="M3900" s="1" t="inlineStr">
        <is>
          <t>No</t>
        </is>
      </c>
      <c r="N3900" s="1" t="inlineStr">
        <is>
          <t>Database</t>
        </is>
      </c>
      <c r="O39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900" s="11" t="inlineStr">
        <is>
          <t>To Do</t>
        </is>
      </c>
    </row>
    <row r="3901" ht="15.75" customHeight="1" s="12">
      <c r="A3901" s="1" t="n">
        <v>3415</v>
      </c>
      <c r="B3901" s="3">
        <f>HYPERLINK("https://leetcode.com/problems/find-products-with-three-consecutive-digits/", "Find Products with Three Consecutive Digits ")</f>
        <v/>
      </c>
      <c r="C3901" s="1" t="n">
        <v>4</v>
      </c>
      <c r="D3901" s="1" t="n">
        <v>3</v>
      </c>
      <c r="E3901" s="4">
        <f>IF(INDEX(C:C, ROW())+INDEX(D:D, ROW())=0, 0, INDEX(C:C, ROW())/(INDEX(C:C, ROW())+INDEX(D:D, ROW())))</f>
        <v/>
      </c>
      <c r="F3901" s="1" t="inlineStr">
        <is>
          <t>Database</t>
        </is>
      </c>
      <c r="G3901" s="1" t="inlineStr">
        <is>
          <t>Easy</t>
        </is>
      </c>
      <c r="H3901" s="1" t="n">
        <v>2183</v>
      </c>
      <c r="I3901" s="1" t="n">
        <v>2715</v>
      </c>
      <c r="J3901" s="9" t="n">
        <v>0.804</v>
      </c>
      <c r="K3901" s="1" t="inlineStr">
        <is>
          <t>No</t>
        </is>
      </c>
      <c r="L3901" s="1" t="inlineStr">
        <is>
          <t>No</t>
        </is>
      </c>
      <c r="M3901" s="1" t="inlineStr">
        <is>
          <t>No</t>
        </is>
      </c>
      <c r="N3901" s="1" t="inlineStr">
        <is>
          <t>Database</t>
        </is>
      </c>
      <c r="O39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901" s="11" t="inlineStr">
        <is>
          <t>To Do</t>
        </is>
      </c>
    </row>
    <row r="3902" ht="15.75" customHeight="1" s="12">
      <c r="A3902" s="1" t="n">
        <v>3506</v>
      </c>
      <c r="B3902" s="3">
        <f>HYPERLINK("https://leetcode.com/problems/find-time-required-to-eliminate-bacterial-strains/", "Find Time Required to Eliminate Bacterial Strains")</f>
        <v/>
      </c>
      <c r="C3902" s="1" t="n">
        <v>4</v>
      </c>
      <c r="D3902" s="1" t="n">
        <v>1</v>
      </c>
      <c r="E3902" s="4">
        <f>IF(INDEX(C:C, ROW())+INDEX(D:D, ROW())=0, 0, INDEX(C:C, ROW())/(INDEX(C:C, ROW())+INDEX(D:D, ROW())))</f>
        <v/>
      </c>
      <c r="F3902" s="1" t="inlineStr">
        <is>
          <t>Array, Math, Greedy, Heap (Priority Queue)</t>
        </is>
      </c>
      <c r="G3902" s="1" t="inlineStr">
        <is>
          <t>Hard</t>
        </is>
      </c>
      <c r="H3902" s="1" t="n">
        <v>535</v>
      </c>
      <c r="I3902" s="1" t="n">
        <v>871</v>
      </c>
      <c r="J3902" s="9" t="n">
        <v>0.614</v>
      </c>
      <c r="K3902" s="1" t="inlineStr">
        <is>
          <t>No</t>
        </is>
      </c>
      <c r="L3902" s="1" t="inlineStr">
        <is>
          <t>No</t>
        </is>
      </c>
      <c r="M3902" s="1" t="inlineStr">
        <is>
          <t>No</t>
        </is>
      </c>
      <c r="N3902" s="1" t="inlineStr">
        <is>
          <t>Algorithms</t>
        </is>
      </c>
      <c r="O39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902" s="11" t="inlineStr">
        <is>
          <t>To Do</t>
        </is>
      </c>
    </row>
    <row r="3903" ht="15.75" customHeight="1" s="12">
      <c r="A3903" s="1" t="n">
        <v>3632</v>
      </c>
      <c r="B3903" s="3">
        <f>HYPERLINK("https://leetcode.com/problems/subarrays-with-xor-at-least-k/", "Subarrays with XOR at Least K")</f>
        <v/>
      </c>
      <c r="C3903" s="1" t="n">
        <v>4</v>
      </c>
      <c r="D3903" s="1" t="n">
        <v>2</v>
      </c>
      <c r="E3903" s="4">
        <f>IF(INDEX(C:C, ROW())+INDEX(D:D, ROW())=0, 0, INDEX(C:C, ROW())/(INDEX(C:C, ROW())+INDEX(D:D, ROW())))</f>
        <v/>
      </c>
      <c r="F3903" s="1" t="inlineStr">
        <is>
          <t>Array, Bit Manipulation, Trie, Prefix Sum</t>
        </is>
      </c>
      <c r="G3903" s="1" t="inlineStr">
        <is>
          <t>Hard</t>
        </is>
      </c>
      <c r="H3903" s="1" t="n">
        <v>273</v>
      </c>
      <c r="I3903" s="1" t="n">
        <v>639</v>
      </c>
      <c r="J3903" s="9" t="n">
        <v>0.427</v>
      </c>
      <c r="K3903" s="1" t="inlineStr">
        <is>
          <t>No</t>
        </is>
      </c>
      <c r="L3903" s="1" t="inlineStr">
        <is>
          <t>No</t>
        </is>
      </c>
      <c r="M3903" s="1" t="inlineStr">
        <is>
          <t>No</t>
        </is>
      </c>
      <c r="N3903" s="1" t="inlineStr">
        <is>
          <t>Algorithms</t>
        </is>
      </c>
      <c r="O39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903" s="11" t="inlineStr">
        <is>
          <t>To Do</t>
        </is>
      </c>
    </row>
    <row r="3904" ht="15.75" customHeight="1" s="12">
      <c r="A3904" s="1" t="n">
        <v>3749</v>
      </c>
      <c r="B3904" s="3">
        <f>HYPERLINK("https://leetcode.com/problems/evaluate-valid-expressions/", "Evaluate Valid Expressions")</f>
        <v/>
      </c>
      <c r="C3904" s="1" t="n">
        <v>4</v>
      </c>
      <c r="D3904" s="1" t="n">
        <v>1</v>
      </c>
      <c r="E3904" s="4">
        <f>IF(INDEX(C:C, ROW())+INDEX(D:D, ROW())=0, 0, INDEX(C:C, ROW())/(INDEX(C:C, ROW())+INDEX(D:D, ROW())))</f>
        <v/>
      </c>
      <c r="F3904" s="1" t="inlineStr">
        <is>
          <t>Hash Table, Math, String, Divide and Conquer, Stack</t>
        </is>
      </c>
      <c r="G3904" s="1" t="inlineStr">
        <is>
          <t>Hard</t>
        </is>
      </c>
      <c r="H3904" s="1" t="n">
        <v>472</v>
      </c>
      <c r="I3904" s="1" t="n">
        <v>667</v>
      </c>
      <c r="J3904" s="9" t="n">
        <v>0.708</v>
      </c>
      <c r="K3904" s="1" t="inlineStr">
        <is>
          <t>No</t>
        </is>
      </c>
      <c r="L3904" s="1" t="inlineStr">
        <is>
          <t>No</t>
        </is>
      </c>
      <c r="M3904" s="1" t="inlineStr">
        <is>
          <t>No</t>
        </is>
      </c>
      <c r="N3904" s="1" t="inlineStr">
        <is>
          <t>Algorithms</t>
        </is>
      </c>
      <c r="O39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904" s="11" t="inlineStr">
        <is>
          <t>To Do</t>
        </is>
      </c>
    </row>
    <row r="3905" ht="15.75" customHeight="1" s="12">
      <c r="A3905" s="1" t="n">
        <v>3758</v>
      </c>
      <c r="B3905" s="3">
        <f>HYPERLINK("https://leetcode.com/problems/convert-number-words-to-digits/", "Convert Number Words to Digits")</f>
        <v/>
      </c>
      <c r="C3905" s="1" t="n">
        <v>4</v>
      </c>
      <c r="D3905" s="1" t="n">
        <v>1</v>
      </c>
      <c r="E3905" s="4">
        <f>IF(INDEX(C:C, ROW())+INDEX(D:D, ROW())=0, 0, INDEX(C:C, ROW())/(INDEX(C:C, ROW())+INDEX(D:D, ROW())))</f>
        <v/>
      </c>
      <c r="F3905" s="1" t="inlineStr">
        <is>
          <t>String, Trie</t>
        </is>
      </c>
      <c r="G3905" s="1" t="inlineStr">
        <is>
          <t>Medium</t>
        </is>
      </c>
      <c r="H3905" s="1" t="n">
        <v>548</v>
      </c>
      <c r="I3905" s="1" t="n">
        <v>782</v>
      </c>
      <c r="J3905" s="9" t="n">
        <v>0.701</v>
      </c>
      <c r="K3905" s="1" t="inlineStr">
        <is>
          <t>No</t>
        </is>
      </c>
      <c r="L3905" s="1" t="inlineStr">
        <is>
          <t>No</t>
        </is>
      </c>
      <c r="M3905" s="1" t="inlineStr">
        <is>
          <t>No</t>
        </is>
      </c>
      <c r="N3905" s="1" t="inlineStr">
        <is>
          <t>Algorithms</t>
        </is>
      </c>
      <c r="O39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905" s="11" t="inlineStr">
        <is>
          <t>To Do</t>
        </is>
      </c>
    </row>
    <row r="3906" ht="15.75" customHeight="1" s="12">
      <c r="A3906" s="1" t="n">
        <v>3792</v>
      </c>
      <c r="B3906" s="3">
        <f>HYPERLINK("https://leetcode.com/problems/sum-of-increasing-product-blocks/", "Sum of Increasing Product Blocks")</f>
        <v/>
      </c>
      <c r="C3906" s="1" t="n">
        <v>4</v>
      </c>
      <c r="D3906" s="1" t="n">
        <v>1</v>
      </c>
      <c r="E3906" s="4">
        <f>IF(INDEX(C:C, ROW())+INDEX(D:D, ROW())=0, 0, INDEX(C:C, ROW())/(INDEX(C:C, ROW())+INDEX(D:D, ROW())))</f>
        <v/>
      </c>
      <c r="F3906" s="1" t="inlineStr">
        <is>
          <t>Math, Simulation</t>
        </is>
      </c>
      <c r="G3906" s="1" t="inlineStr">
        <is>
          <t>Medium</t>
        </is>
      </c>
      <c r="H3906" s="1" t="n">
        <v>498</v>
      </c>
      <c r="I3906" s="1" t="n">
        <v>730</v>
      </c>
      <c r="J3906" s="9" t="n">
        <v>0.6820000000000001</v>
      </c>
      <c r="K3906" s="1" t="inlineStr">
        <is>
          <t>No</t>
        </is>
      </c>
      <c r="L3906" s="1" t="inlineStr">
        <is>
          <t>No</t>
        </is>
      </c>
      <c r="M3906" s="1" t="inlineStr">
        <is>
          <t>No</t>
        </is>
      </c>
      <c r="N3906" s="1" t="inlineStr">
        <is>
          <t>Algorithms</t>
        </is>
      </c>
      <c r="O39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906" s="11" t="inlineStr">
        <is>
          <t>To Do</t>
        </is>
      </c>
    </row>
    <row r="3907" ht="15.75" customHeight="1" s="12">
      <c r="A3907" s="1" t="n">
        <v>3802</v>
      </c>
      <c r="B3907" s="3">
        <f>HYPERLINK("https://leetcode.com/problems/number-of-ways-to-paint-sheets/", "Number of Ways to Paint Sheets")</f>
        <v/>
      </c>
      <c r="C3907" s="1" t="n">
        <v>4</v>
      </c>
      <c r="D3907" s="1" t="n">
        <v>2</v>
      </c>
      <c r="E3907" s="4">
        <f>IF(INDEX(C:C, ROW())+INDEX(D:D, ROW())=0, 0, INDEX(C:C, ROW())/(INDEX(C:C, ROW())+INDEX(D:D, ROW())))</f>
        <v/>
      </c>
      <c r="F3907" s="2" t="n"/>
      <c r="G3907" s="1" t="inlineStr">
        <is>
          <t>Hard</t>
        </is>
      </c>
      <c r="H3907" s="1" t="n">
        <v>436</v>
      </c>
      <c r="I3907" s="1" t="n">
        <v>652</v>
      </c>
      <c r="J3907" s="9" t="n">
        <v>0.669</v>
      </c>
      <c r="K3907" s="1" t="inlineStr">
        <is>
          <t>No</t>
        </is>
      </c>
      <c r="L3907" s="1" t="inlineStr">
        <is>
          <t>No</t>
        </is>
      </c>
      <c r="M3907" s="1" t="inlineStr">
        <is>
          <t>No</t>
        </is>
      </c>
      <c r="N3907" s="1" t="inlineStr">
        <is>
          <t>Algorithms</t>
        </is>
      </c>
      <c r="O39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907" s="11" t="inlineStr">
        <is>
          <t>To Do</t>
        </is>
      </c>
    </row>
    <row r="3908" ht="15.75" customHeight="1" s="12">
      <c r="A3908" s="1" t="n">
        <v>3846</v>
      </c>
      <c r="B3908" s="3">
        <f>HYPERLINK("https://leetcode.com/problems/total-distance-to-type-a-string-using-one-finger/", "Total Distance to Type a String Using One Finger")</f>
        <v/>
      </c>
      <c r="C3908" s="1" t="n">
        <v>4</v>
      </c>
      <c r="D3908" s="1" t="n">
        <v>2</v>
      </c>
      <c r="E3908" s="4">
        <f>IF(INDEX(C:C, ROW())+INDEX(D:D, ROW())=0, 0, INDEX(C:C, ROW())/(INDEX(C:C, ROW())+INDEX(D:D, ROW())))</f>
        <v/>
      </c>
      <c r="F3908" s="1" t="inlineStr">
        <is>
          <t>Hash Table, String</t>
        </is>
      </c>
      <c r="G3908" s="1" t="inlineStr">
        <is>
          <t>Medium</t>
        </is>
      </c>
      <c r="H3908" s="1" t="n">
        <v>688</v>
      </c>
      <c r="I3908" s="1" t="n">
        <v>757</v>
      </c>
      <c r="J3908" s="9" t="n">
        <v>0.909</v>
      </c>
      <c r="K3908" s="1" t="inlineStr">
        <is>
          <t>No</t>
        </is>
      </c>
      <c r="L3908" s="1" t="inlineStr">
        <is>
          <t>No</t>
        </is>
      </c>
      <c r="M3908" s="1" t="inlineStr">
        <is>
          <t>No</t>
        </is>
      </c>
      <c r="N3908" s="1" t="inlineStr">
        <is>
          <t>Algorithms</t>
        </is>
      </c>
      <c r="O39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908" s="11" t="inlineStr">
        <is>
          <t>To Do</t>
        </is>
      </c>
    </row>
    <row r="3909" ht="15.75" customHeight="1" s="12">
      <c r="A3909" s="1" t="n">
        <v>3865</v>
      </c>
      <c r="B3909" s="3">
        <f>HYPERLINK("https://leetcode.com/problems/reverse-k-subarrays/", "Reverse K Subarrays")</f>
        <v/>
      </c>
      <c r="C3909" s="1" t="n">
        <v>4</v>
      </c>
      <c r="D3909" s="1" t="n">
        <v>2</v>
      </c>
      <c r="E3909" s="4">
        <f>IF(INDEX(C:C, ROW())+INDEX(D:D, ROW())=0, 0, INDEX(C:C, ROW())/(INDEX(C:C, ROW())+INDEX(D:D, ROW())))</f>
        <v/>
      </c>
      <c r="F3909" s="1" t="inlineStr">
        <is>
          <t>Array, Two Pointers</t>
        </is>
      </c>
      <c r="G3909" s="1" t="inlineStr">
        <is>
          <t>Medium</t>
        </is>
      </c>
      <c r="H3909" s="1" t="n">
        <v>706</v>
      </c>
      <c r="I3909" s="1" t="n">
        <v>789</v>
      </c>
      <c r="J3909" s="9" t="n">
        <v>0.895</v>
      </c>
      <c r="K3909" s="1" t="inlineStr">
        <is>
          <t>No</t>
        </is>
      </c>
      <c r="L3909" s="1" t="inlineStr">
        <is>
          <t>No</t>
        </is>
      </c>
      <c r="M3909" s="1" t="inlineStr">
        <is>
          <t>No</t>
        </is>
      </c>
      <c r="N3909" s="1" t="inlineStr">
        <is>
          <t>Algorithms</t>
        </is>
      </c>
      <c r="O39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909" s="11" t="inlineStr">
        <is>
          <t>To Do</t>
        </is>
      </c>
    </row>
    <row r="3910" ht="15.75" customHeight="1" s="12">
      <c r="A3910" s="1" t="n">
        <v>3390</v>
      </c>
      <c r="B3910" s="3">
        <f>HYPERLINK("https://leetcode.com/problems/longest-team-pass-streak/", "Longest Team Pass Streak")</f>
        <v/>
      </c>
      <c r="C3910" s="1" t="n">
        <v>3</v>
      </c>
      <c r="D3910" s="1" t="n">
        <v>10</v>
      </c>
      <c r="E3910" s="4">
        <f>IF(INDEX(C:C, ROW())+INDEX(D:D, ROW())=0, 0, INDEX(C:C, ROW())/(INDEX(C:C, ROW())+INDEX(D:D, ROW())))</f>
        <v/>
      </c>
      <c r="F3910" s="1" t="inlineStr">
        <is>
          <t>Database</t>
        </is>
      </c>
      <c r="G3910" s="1" t="inlineStr">
        <is>
          <t>Hard</t>
        </is>
      </c>
      <c r="H3910" s="1" t="n">
        <v>1012</v>
      </c>
      <c r="I3910" s="1" t="n">
        <v>2524</v>
      </c>
      <c r="J3910" s="9" t="n">
        <v>0.401</v>
      </c>
      <c r="K3910" s="1" t="inlineStr">
        <is>
          <t>No</t>
        </is>
      </c>
      <c r="L3910" s="1" t="inlineStr">
        <is>
          <t>No</t>
        </is>
      </c>
      <c r="M3910" s="1" t="inlineStr">
        <is>
          <t>No</t>
        </is>
      </c>
      <c r="N3910" s="1" t="inlineStr">
        <is>
          <t>Database</t>
        </is>
      </c>
      <c r="O39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910" s="11" t="inlineStr">
        <is>
          <t>To Do</t>
        </is>
      </c>
    </row>
    <row r="3911" ht="15.75" customHeight="1" s="12">
      <c r="A3911" s="1" t="n">
        <v>3401</v>
      </c>
      <c r="B3911" s="3">
        <f>HYPERLINK("https://leetcode.com/problems/find-circular-gift-exchange-chains/", "Find Circular Gift Exchange Chains")</f>
        <v/>
      </c>
      <c r="C3911" s="1" t="n">
        <v>3</v>
      </c>
      <c r="D3911" s="1" t="n">
        <v>3</v>
      </c>
      <c r="E3911" s="4">
        <f>IF(INDEX(C:C, ROW())+INDEX(D:D, ROW())=0, 0, INDEX(C:C, ROW())/(INDEX(C:C, ROW())+INDEX(D:D, ROW())))</f>
        <v/>
      </c>
      <c r="F3911" s="1" t="inlineStr">
        <is>
          <t>Database</t>
        </is>
      </c>
      <c r="G3911" s="1" t="inlineStr">
        <is>
          <t>Hard</t>
        </is>
      </c>
      <c r="H3911" s="1" t="n">
        <v>874</v>
      </c>
      <c r="I3911" s="1" t="n">
        <v>1706</v>
      </c>
      <c r="J3911" s="9" t="n">
        <v>0.512</v>
      </c>
      <c r="K3911" s="1" t="inlineStr">
        <is>
          <t>No</t>
        </is>
      </c>
      <c r="L3911" s="1" t="inlineStr">
        <is>
          <t>No</t>
        </is>
      </c>
      <c r="M3911" s="1" t="inlineStr">
        <is>
          <t>No</t>
        </is>
      </c>
      <c r="N3911" s="1" t="inlineStr">
        <is>
          <t>Database</t>
        </is>
      </c>
      <c r="O39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911" s="11" t="inlineStr">
        <is>
          <t>To Do</t>
        </is>
      </c>
    </row>
    <row r="3912" ht="15.75" customHeight="1" s="12">
      <c r="A3912" s="1" t="n">
        <v>3520</v>
      </c>
      <c r="B3912" s="3">
        <f>HYPERLINK("https://leetcode.com/problems/minimum-threshold-for-inversion-pairs-count/", "Minimum Threshold for Inversion Pairs Count")</f>
        <v/>
      </c>
      <c r="C3912" s="1" t="n">
        <v>3</v>
      </c>
      <c r="D3912" s="1" t="n">
        <v>1</v>
      </c>
      <c r="E3912" s="4">
        <f>IF(INDEX(C:C, ROW())+INDEX(D:D, ROW())=0, 0, INDEX(C:C, ROW())/(INDEX(C:C, ROW())+INDEX(D:D, ROW())))</f>
        <v/>
      </c>
      <c r="F3912" s="1" t="inlineStr">
        <is>
          <t>Array, Binary Search, Divide and Conquer, Binary Indexed Tree, Segment Tree, Merge Sort</t>
        </is>
      </c>
      <c r="G3912" s="1" t="inlineStr">
        <is>
          <t>Medium</t>
        </is>
      </c>
      <c r="H3912" s="1" t="n">
        <v>685</v>
      </c>
      <c r="I3912" s="1" t="n">
        <v>1245</v>
      </c>
      <c r="J3912" s="9" t="n">
        <v>0.55</v>
      </c>
      <c r="K3912" s="1" t="inlineStr">
        <is>
          <t>No</t>
        </is>
      </c>
      <c r="L3912" s="1" t="inlineStr">
        <is>
          <t>No</t>
        </is>
      </c>
      <c r="M3912" s="1" t="inlineStr">
        <is>
          <t>No</t>
        </is>
      </c>
      <c r="N3912" s="1" t="inlineStr">
        <is>
          <t>Algorithms</t>
        </is>
      </c>
      <c r="O39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912" s="11" t="inlineStr">
        <is>
          <t>To Do</t>
        </is>
      </c>
    </row>
    <row r="3913" ht="15.75" customHeight="1" s="12">
      <c r="A3913" s="1" t="n">
        <v>3526</v>
      </c>
      <c r="B3913" s="3">
        <f>HYPERLINK("https://leetcode.com/problems/range-xor-queries-with-subarray-reversals/", "Range XOR Queries with Subarray Reversals")</f>
        <v/>
      </c>
      <c r="C3913" s="1" t="n">
        <v>3</v>
      </c>
      <c r="D3913" s="1" t="n">
        <v>2</v>
      </c>
      <c r="E3913" s="4">
        <f>IF(INDEX(C:C, ROW())+INDEX(D:D, ROW())=0, 0, INDEX(C:C, ROW())/(INDEX(C:C, ROW())+INDEX(D:D, ROW())))</f>
        <v/>
      </c>
      <c r="F3913" s="1" t="inlineStr">
        <is>
          <t>Array, Tree, Binary Tree</t>
        </is>
      </c>
      <c r="G3913" s="1" t="inlineStr">
        <is>
          <t>Hard</t>
        </is>
      </c>
      <c r="H3913" s="1" t="n">
        <v>404</v>
      </c>
      <c r="I3913" s="1" t="n">
        <v>645</v>
      </c>
      <c r="J3913" s="9" t="n">
        <v>0.626</v>
      </c>
      <c r="K3913" s="1" t="inlineStr">
        <is>
          <t>No</t>
        </is>
      </c>
      <c r="L3913" s="1" t="inlineStr">
        <is>
          <t>No</t>
        </is>
      </c>
      <c r="M3913" s="1" t="inlineStr">
        <is>
          <t>No</t>
        </is>
      </c>
      <c r="N3913" s="1" t="inlineStr">
        <is>
          <t>Algorithms</t>
        </is>
      </c>
      <c r="O39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913" s="11" t="inlineStr">
        <is>
          <t>To Do</t>
        </is>
      </c>
    </row>
    <row r="3914" ht="15.75" customHeight="1" s="12">
      <c r="A3914" s="1" t="n">
        <v>3773</v>
      </c>
      <c r="B3914" s="3">
        <f>HYPERLINK("https://leetcode.com/problems/maximum-number-of-equal-length-runs/", "Maximum Number of Equal Length Runs")</f>
        <v/>
      </c>
      <c r="C3914" s="1" t="n">
        <v>3</v>
      </c>
      <c r="D3914" s="1" t="n">
        <v>3</v>
      </c>
      <c r="E3914" s="4">
        <f>IF(INDEX(C:C, ROW())+INDEX(D:D, ROW())=0, 0, INDEX(C:C, ROW())/(INDEX(C:C, ROW())+INDEX(D:D, ROW())))</f>
        <v/>
      </c>
      <c r="F3914" s="1" t="inlineStr">
        <is>
          <t>Hash Table, String, Counting</t>
        </is>
      </c>
      <c r="G3914" s="1" t="inlineStr">
        <is>
          <t>Medium</t>
        </is>
      </c>
      <c r="H3914" s="1" t="n">
        <v>710</v>
      </c>
      <c r="I3914" s="1" t="n">
        <v>841</v>
      </c>
      <c r="J3914" s="9" t="n">
        <v>0.844</v>
      </c>
      <c r="K3914" s="1" t="inlineStr">
        <is>
          <t>No</t>
        </is>
      </c>
      <c r="L3914" s="1" t="inlineStr">
        <is>
          <t>No</t>
        </is>
      </c>
      <c r="M3914" s="1" t="inlineStr">
        <is>
          <t>No</t>
        </is>
      </c>
      <c r="N3914" s="1" t="inlineStr">
        <is>
          <t>Algorithms</t>
        </is>
      </c>
      <c r="O39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914" s="11" t="inlineStr">
        <is>
          <t>To Do</t>
        </is>
      </c>
    </row>
    <row r="3915" ht="15.75" customHeight="1" s="12">
      <c r="A3915" s="1" t="n">
        <v>3778</v>
      </c>
      <c r="B3915" s="3">
        <f>HYPERLINK("https://leetcode.com/problems/minimum-distance-excluding-one-maximum-weighted-edge/", "Minimum Distance Excluding One Maximum Weighted Edge")</f>
        <v/>
      </c>
      <c r="C3915" s="1" t="n">
        <v>3</v>
      </c>
      <c r="D3915" s="1" t="n">
        <v>3</v>
      </c>
      <c r="E3915" s="4">
        <f>IF(INDEX(C:C, ROW())+INDEX(D:D, ROW())=0, 0, INDEX(C:C, ROW())/(INDEX(C:C, ROW())+INDEX(D:D, ROW())))</f>
        <v/>
      </c>
      <c r="F3915" s="2" t="n"/>
      <c r="G3915" s="1" t="inlineStr">
        <is>
          <t>Medium</t>
        </is>
      </c>
      <c r="H3915" s="1" t="n">
        <v>308</v>
      </c>
      <c r="I3915" s="1" t="n">
        <v>681</v>
      </c>
      <c r="J3915" s="9" t="n">
        <v>0.452</v>
      </c>
      <c r="K3915" s="1" t="inlineStr">
        <is>
          <t>No</t>
        </is>
      </c>
      <c r="L3915" s="1" t="inlineStr">
        <is>
          <t>No</t>
        </is>
      </c>
      <c r="M3915" s="1" t="inlineStr">
        <is>
          <t>No</t>
        </is>
      </c>
      <c r="N3915" s="1" t="inlineStr">
        <is>
          <t>Algorithms</t>
        </is>
      </c>
      <c r="O39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915" s="11" t="inlineStr">
        <is>
          <t>To Do</t>
        </is>
      </c>
    </row>
    <row r="3916" ht="15.75" customHeight="1" s="12">
      <c r="A3916" s="1" t="n">
        <v>3817</v>
      </c>
      <c r="B3916" s="3">
        <f>HYPERLINK("https://leetcode.com/problems/good-indices-in-a-digit-string/", "Good Indices in a Digit String")</f>
        <v/>
      </c>
      <c r="C3916" s="1" t="n">
        <v>3</v>
      </c>
      <c r="D3916" s="1" t="n">
        <v>1</v>
      </c>
      <c r="E3916" s="4">
        <f>IF(INDEX(C:C, ROW())+INDEX(D:D, ROW())=0, 0, INDEX(C:C, ROW())/(INDEX(C:C, ROW())+INDEX(D:D, ROW())))</f>
        <v/>
      </c>
      <c r="F3916" s="1" t="inlineStr">
        <is>
          <t>Math, String</t>
        </is>
      </c>
      <c r="G3916" s="1" t="inlineStr">
        <is>
          <t>Medium</t>
        </is>
      </c>
      <c r="H3916" s="1" t="n">
        <v>684</v>
      </c>
      <c r="I3916" s="1" t="n">
        <v>774</v>
      </c>
      <c r="J3916" s="9" t="n">
        <v>0.884</v>
      </c>
      <c r="K3916" s="1" t="inlineStr">
        <is>
          <t>No</t>
        </is>
      </c>
      <c r="L3916" s="1" t="inlineStr">
        <is>
          <t>No</t>
        </is>
      </c>
      <c r="M3916" s="1" t="inlineStr">
        <is>
          <t>No</t>
        </is>
      </c>
      <c r="N3916" s="1" t="inlineStr">
        <is>
          <t>Algorithms</t>
        </is>
      </c>
      <c r="O39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916" s="11" t="inlineStr">
        <is>
          <t>To Do</t>
        </is>
      </c>
    </row>
    <row r="3917" ht="15.75" customHeight="1" s="12">
      <c r="A3917" s="1" t="n">
        <v>3879</v>
      </c>
      <c r="B3917" s="3">
        <f>HYPERLINK("https://leetcode.com/problems/maximum-distinct-path-sum-in-a-binary-tree/", "Maximum Distinct Path Sum in a Binary Tree")</f>
        <v/>
      </c>
      <c r="C3917" s="1" t="n">
        <v>3</v>
      </c>
      <c r="D3917" s="1" t="n">
        <v>2</v>
      </c>
      <c r="E3917" s="4">
        <f>IF(INDEX(C:C, ROW())+INDEX(D:D, ROW())=0, 0, INDEX(C:C, ROW())/(INDEX(C:C, ROW())+INDEX(D:D, ROW())))</f>
        <v/>
      </c>
      <c r="F3917" s="1" t="inlineStr">
        <is>
          <t>Hash Table, Tree, Depth-First Search, Binary Tree</t>
        </is>
      </c>
      <c r="G3917" s="1" t="inlineStr">
        <is>
          <t>Medium</t>
        </is>
      </c>
      <c r="H3917" s="1" t="n">
        <v>332</v>
      </c>
      <c r="I3917" s="1" t="n">
        <v>588</v>
      </c>
      <c r="J3917" s="9" t="n">
        <v>0.5649999999999999</v>
      </c>
      <c r="K3917" s="1" t="inlineStr">
        <is>
          <t>No</t>
        </is>
      </c>
      <c r="L3917" s="1" t="inlineStr">
        <is>
          <t>No</t>
        </is>
      </c>
      <c r="M3917" s="1" t="inlineStr">
        <is>
          <t>No</t>
        </is>
      </c>
      <c r="N3917" s="1" t="inlineStr">
        <is>
          <t>Algorithms</t>
        </is>
      </c>
      <c r="O39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917" s="11" t="inlineStr">
        <is>
          <t>To Do</t>
        </is>
      </c>
    </row>
    <row r="3918" ht="15.75" customHeight="1" s="12">
      <c r="A3918" s="1" t="n">
        <v>3416</v>
      </c>
      <c r="B3918" s="3">
        <f>HYPERLINK("https://leetcode.com/problems/subsequences-with-a-unique-middle-mode-ii/", "Subsequences with a Unique Middle Mode II")</f>
        <v/>
      </c>
      <c r="C3918" s="1" t="n">
        <v>2</v>
      </c>
      <c r="D3918" s="1" t="n">
        <v>2</v>
      </c>
      <c r="E3918" s="4">
        <f>IF(INDEX(C:C, ROW())+INDEX(D:D, ROW())=0, 0, INDEX(C:C, ROW())/(INDEX(C:C, ROW())+INDEX(D:D, ROW())))</f>
        <v/>
      </c>
      <c r="F3918" s="1" t="inlineStr">
        <is>
          <t>Array, Hash Table, Math, Combinatorics</t>
        </is>
      </c>
      <c r="G3918" s="1" t="inlineStr">
        <is>
          <t>Hard</t>
        </is>
      </c>
      <c r="H3918" s="1" t="n">
        <v>249</v>
      </c>
      <c r="I3918" s="1" t="n">
        <v>1714</v>
      </c>
      <c r="J3918" s="9" t="n">
        <v>0.145</v>
      </c>
      <c r="K3918" s="1" t="inlineStr">
        <is>
          <t>No</t>
        </is>
      </c>
      <c r="L3918" s="1" t="inlineStr">
        <is>
          <t>No</t>
        </is>
      </c>
      <c r="M3918" s="1" t="inlineStr">
        <is>
          <t>No</t>
        </is>
      </c>
      <c r="N3918" s="1" t="inlineStr">
        <is>
          <t>Algorithms</t>
        </is>
      </c>
      <c r="O39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918" s="11" t="inlineStr">
        <is>
          <t>To Do</t>
        </is>
      </c>
    </row>
    <row r="3919" ht="15.75" customHeight="1" s="12">
      <c r="A3919" s="1" t="n">
        <v>3735</v>
      </c>
      <c r="B3919" s="3">
        <f>HYPERLINK("https://leetcode.com/problems/lexicographically-smallest-string-after-reverse-ii/", "Lexicographically Smallest String After Reverse II")</f>
        <v/>
      </c>
      <c r="C3919" s="1" t="n">
        <v>2</v>
      </c>
      <c r="D3919" s="1" t="n">
        <v>1</v>
      </c>
      <c r="E3919" s="4">
        <f>IF(INDEX(C:C, ROW())+INDEX(D:D, ROW())=0, 0, INDEX(C:C, ROW())/(INDEX(C:C, ROW())+INDEX(D:D, ROW())))</f>
        <v/>
      </c>
      <c r="F3919" s="1" t="inlineStr">
        <is>
          <t>String, Binary Search, Rolling Hash, Suffix Array, Hash Function</t>
        </is>
      </c>
      <c r="G3919" s="1" t="inlineStr">
        <is>
          <t>Hard</t>
        </is>
      </c>
      <c r="H3919" s="1" t="n">
        <v>311</v>
      </c>
      <c r="I3919" s="1" t="n">
        <v>673</v>
      </c>
      <c r="J3919" s="9" t="n">
        <v>0.462</v>
      </c>
      <c r="K3919" s="1" t="inlineStr">
        <is>
          <t>No</t>
        </is>
      </c>
      <c r="L3919" s="1" t="inlineStr">
        <is>
          <t>No</t>
        </is>
      </c>
      <c r="M3919" s="1" t="inlineStr">
        <is>
          <t>No</t>
        </is>
      </c>
      <c r="N3919" s="1" t="inlineStr">
        <is>
          <t>Algorithms</t>
        </is>
      </c>
      <c r="O39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919" s="11" t="inlineStr">
        <is>
          <t>To Do</t>
        </is>
      </c>
    </row>
    <row r="3920" ht="15.75" customHeight="1" s="12">
      <c r="A3920" s="1" t="n">
        <v>3916</v>
      </c>
      <c r="B3920" s="3">
        <f>HYPERLINK("https://leetcode.com/problems/number-of-zigzag-arrays-iii/", "Number of ZigZag Arrays III")</f>
        <v/>
      </c>
      <c r="C3920" s="1" t="n">
        <v>2</v>
      </c>
      <c r="D3920" s="1" t="n">
        <v>1</v>
      </c>
      <c r="E3920" s="4">
        <f>IF(INDEX(C:C, ROW())+INDEX(D:D, ROW())=0, 0, INDEX(C:C, ROW())/(INDEX(C:C, ROW())+INDEX(D:D, ROW())))</f>
        <v/>
      </c>
      <c r="F3920" s="2" t="n"/>
      <c r="G3920" s="1" t="inlineStr">
        <is>
          <t>Hard</t>
        </is>
      </c>
      <c r="H3920" s="1" t="n">
        <v>180</v>
      </c>
      <c r="I3920" s="1" t="n">
        <v>271</v>
      </c>
      <c r="J3920" s="9" t="n">
        <v>0.664</v>
      </c>
      <c r="K3920" s="1" t="inlineStr">
        <is>
          <t>No</t>
        </is>
      </c>
      <c r="L3920" s="1" t="inlineStr">
        <is>
          <t>No</t>
        </is>
      </c>
      <c r="M3920" s="1" t="inlineStr">
        <is>
          <t>No</t>
        </is>
      </c>
      <c r="N3920" s="1" t="inlineStr">
        <is>
          <t>Algorithms</t>
        </is>
      </c>
      <c r="O39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920" s="11" t="inlineStr">
        <is>
          <t>To Do</t>
        </is>
      </c>
    </row>
    <row r="3921" ht="15.75" customHeight="1" s="12">
      <c r="A3921" s="1" t="n">
        <v>3874</v>
      </c>
      <c r="B3921" s="3">
        <f>HYPERLINK("https://leetcode.com/problems/valid-subarrays-with-exactly-one-peak/", "Valid Subarrays With Exactly One Peak")</f>
        <v/>
      </c>
      <c r="C3921" s="1" t="n">
        <v>1</v>
      </c>
      <c r="D3921" s="1" t="n">
        <v>1</v>
      </c>
      <c r="E3921" s="4">
        <f>IF(INDEX(C:C, ROW())+INDEX(D:D, ROW())=0, 0, INDEX(C:C, ROW())/(INDEX(C:C, ROW())+INDEX(D:D, ROW())))</f>
        <v/>
      </c>
      <c r="F3921" s="1" t="inlineStr">
        <is>
          <t>Array, Math</t>
        </is>
      </c>
      <c r="G3921" s="1" t="inlineStr">
        <is>
          <t>Medium</t>
        </is>
      </c>
      <c r="H3921" s="1" t="n">
        <v>374</v>
      </c>
      <c r="I3921" s="1" t="n">
        <v>540</v>
      </c>
      <c r="J3921" s="9" t="n">
        <v>0.6929999999999999</v>
      </c>
      <c r="K3921" s="1" t="inlineStr">
        <is>
          <t>No</t>
        </is>
      </c>
      <c r="L3921" s="1" t="inlineStr">
        <is>
          <t>No</t>
        </is>
      </c>
      <c r="M3921" s="1" t="inlineStr">
        <is>
          <t>No</t>
        </is>
      </c>
      <c r="N3921" s="1" t="inlineStr">
        <is>
          <t>Algorithms</t>
        </is>
      </c>
      <c r="O39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921" s="11" t="inlineStr">
        <is>
          <t>To Do</t>
        </is>
      </c>
    </row>
    <row r="3922" ht="15.75" customHeight="1" s="12">
      <c r="A3922" s="1" t="n">
        <v>3888</v>
      </c>
      <c r="B3922" s="3">
        <f>HYPERLINK("https://leetcode.com/problems/minimum-operations-to-make-all-grid-elements-equal/", "Minimum Operations to Make All Grid Elements Equal")</f>
        <v/>
      </c>
      <c r="C3922" s="1" t="n">
        <v>1</v>
      </c>
      <c r="D3922" s="1" t="n">
        <v>1</v>
      </c>
      <c r="E3922" s="4">
        <f>IF(INDEX(C:C, ROW())+INDEX(D:D, ROW())=0, 0, INDEX(C:C, ROW())/(INDEX(C:C, ROW())+INDEX(D:D, ROW())))</f>
        <v/>
      </c>
      <c r="F3922" s="1" t="inlineStr">
        <is>
          <t>Array, Math, Matrix, Prefix Sum</t>
        </is>
      </c>
      <c r="G3922" s="1" t="inlineStr">
        <is>
          <t>Hard</t>
        </is>
      </c>
      <c r="H3922" s="1" t="n">
        <v>314</v>
      </c>
      <c r="I3922" s="1" t="n">
        <v>507</v>
      </c>
      <c r="J3922" s="9" t="n">
        <v>0.619</v>
      </c>
      <c r="K3922" s="1" t="inlineStr">
        <is>
          <t>No</t>
        </is>
      </c>
      <c r="L3922" s="1" t="inlineStr">
        <is>
          <t>No</t>
        </is>
      </c>
      <c r="M3922" s="1" t="inlineStr">
        <is>
          <t>No</t>
        </is>
      </c>
      <c r="N3922" s="1" t="inlineStr">
        <is>
          <t>Algorithms</t>
        </is>
      </c>
      <c r="O39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922" s="11" t="inlineStr">
        <is>
          <t>To Do</t>
        </is>
      </c>
    </row>
    <row r="3923" ht="15.75" customHeight="1" s="12">
      <c r="A3923" s="1" t="n">
        <v>3907</v>
      </c>
      <c r="B3923" s="3">
        <f>HYPERLINK("https://leetcode.com/problems/count-smaller-elements-with-opposite-parity/", "Count Smaller Elements With Opposite Parity")</f>
        <v/>
      </c>
      <c r="C3923" s="1" t="n">
        <v>1</v>
      </c>
      <c r="D3923" s="1" t="n">
        <v>1</v>
      </c>
      <c r="E3923" s="4">
        <f>IF(INDEX(C:C, ROW())+INDEX(D:D, ROW())=0, 0, INDEX(C:C, ROW())/(INDEX(C:C, ROW())+INDEX(D:D, ROW())))</f>
        <v/>
      </c>
      <c r="F3923" s="2" t="n"/>
      <c r="G3923" s="1" t="inlineStr">
        <is>
          <t>Medium</t>
        </is>
      </c>
      <c r="H3923" s="1" t="n">
        <v>232</v>
      </c>
      <c r="I3923" s="1" t="n">
        <v>317</v>
      </c>
      <c r="J3923" s="9" t="n">
        <v>0.732</v>
      </c>
      <c r="K3923" s="1" t="inlineStr">
        <is>
          <t>No</t>
        </is>
      </c>
      <c r="L3923" s="1" t="inlineStr">
        <is>
          <t>No</t>
        </is>
      </c>
      <c r="M3923" s="1" t="inlineStr">
        <is>
          <t>No</t>
        </is>
      </c>
      <c r="N3923" s="1" t="inlineStr">
        <is>
          <t>Algorithms</t>
        </is>
      </c>
      <c r="O39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  <c r="P3923" s="11" t="inlineStr">
        <is>
          <t>To Do</t>
        </is>
      </c>
    </row>
  </sheetData>
  <autoFilter ref="$A$2:$N$4">
    <sortState ref="A2:N4">
      <sortCondition descending="1" ref="C2:C4"/>
    </sortState>
  </autoFilter>
  <conditionalFormatting sqref="F1:O3923">
    <cfRule type="cellIs" priority="1" operator="equal" dxfId="0" stopIfTrue="1">
      <formula>"Hard"</formula>
    </cfRule>
    <cfRule type="cellIs" priority="2" operator="equal" dxfId="1" stopIfTrue="1">
      <formula>"Medium"</formula>
    </cfRule>
    <cfRule type="cellIs" priority="3" operator="equal" dxfId="2" stopIfTrue="1">
      <formula>"Easy"</formula>
    </cfRule>
  </conditionalFormatting>
  <conditionalFormatting sqref="L1:O3923">
    <cfRule type="cellIs" priority="4" operator="equal" dxfId="0" stopIfTrue="1">
      <formula>"No"</formula>
    </cfRule>
    <cfRule type="cellIs" priority="5" operator="equal" dxfId="2" stopIfTrue="1">
      <formula>"Yes"</formula>
    </cfRule>
  </conditionalFormatting>
  <conditionalFormatting sqref="K1:O3923">
    <cfRule type="cellIs" priority="6" operator="equal" dxfId="0" stopIfTrue="1">
      <formula>"No"</formula>
    </cfRule>
    <cfRule type="cellIs" priority="7" operator="equal" dxfId="2" stopIfTrue="1">
      <formula>"Yes"</formula>
    </cfRule>
  </conditionalFormatting>
  <conditionalFormatting sqref="J1:O3923">
    <cfRule type="cellIs" priority="8" operator="equal" dxfId="0" stopIfTrue="1">
      <formula>"No"</formula>
    </cfRule>
    <cfRule type="cellIs" priority="9" operator="equal" dxfId="2" stopIfTrue="1">
      <formula>"Yes"</formula>
    </cfRule>
  </conditionalFormatting>
  <dataValidations count="2">
    <dataValidation sqref="O2" showDropDown="0" showInputMessage="0" showErrorMessage="1" allowBlank="1" type="list">
      <formula1>"English,Traditional Chinese,Simplified Chinese,Hindi,Spanish,Arabic,Bengali,Portuguese,Russian,Japanese,German,French,Italian,Korean,Vietnamese,Turkish,Persian,Polish,Dutch,Thai,Swedish,Norwegian,Finnish,Danish,Hebrew,Indonesian,Malay,Greek,Czech,Romanian"&amp;",Hungarian,Slovak,Ukrainian"</formula1>
    </dataValidation>
    <dataValidation sqref="O1" showDropDown="0" showInputMessage="0" showErrorMessage="1" allowBlank="1" type="list">
      <formula1>"Python,JavaScript,Java,C++,C#,Go,Ruby,Swift,Kotlin,Rust,PHP,TypeScript,Scala,Haskell,Objective-C,Perl,Lua,R,Dart"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O3815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" customHeight="1"/>
  <cols>
    <col width="6.38" customWidth="1" style="12" min="1" max="1"/>
    <col width="27.63" customWidth="1" style="12" min="2" max="2"/>
    <col width="11.38" customWidth="1" style="12" min="3" max="4"/>
    <col width="12.63" customWidth="1" style="12" min="5" max="5"/>
    <col width="22.63" customWidth="1" style="12" min="6" max="6"/>
    <col width="12.63" customWidth="1" style="12" min="7" max="7"/>
    <col width="17.63" customWidth="1" style="12" min="8" max="9"/>
    <col width="12.63" customWidth="1" style="12" min="10" max="14"/>
    <col width="25.13" customWidth="1" style="12" min="15" max="15"/>
  </cols>
  <sheetData>
    <row r="1" ht="15.75" customHeight="1" s="12">
      <c r="A1" s="1" t="inlineStr">
        <is>
          <t>🧩 Total Problems: 3812</t>
        </is>
      </c>
      <c r="B1" s="2" t="n"/>
      <c r="C1" s="2" t="n"/>
      <c r="D1" s="3">
        <f>HYPERLINK("https://github.com/noworneverev/leetcode-api", "⭐ Star me on GitHub")</f>
        <v/>
      </c>
      <c r="E1" s="4" t="n"/>
      <c r="F1" s="2" t="n"/>
      <c r="G1" s="2" t="n"/>
      <c r="H1" s="2" t="n"/>
      <c r="I1" s="2" t="n"/>
      <c r="J1" s="2" t="n"/>
      <c r="K1" s="2" t="n"/>
      <c r="L1" s="2" t="n"/>
      <c r="M1" s="2" t="n"/>
      <c r="N1" s="5" t="inlineStr">
        <is>
          <t>Choose the Programming Language for the Prompt</t>
        </is>
      </c>
      <c r="O1" s="1" t="inlineStr">
        <is>
          <t>Python</t>
        </is>
      </c>
    </row>
    <row r="2" ht="15.75" customHeight="1" s="12">
      <c r="A2" s="1" t="inlineStr">
        <is>
          <t>🕰️ Last Updated: 2026-01-17 18:41 CET</t>
        </is>
      </c>
      <c r="B2" s="2" t="n"/>
      <c r="C2" s="2" t="n"/>
      <c r="D2" s="3">
        <f>HYPERLINK("https://www.linkedin.com/in/yan-ying-liao/", "🦙 Follow/Connect with me on LinkedIn")</f>
        <v/>
      </c>
      <c r="E2" s="4" t="n"/>
      <c r="F2" s="2" t="n"/>
      <c r="G2" s="2" t="n"/>
      <c r="H2" s="2" t="n"/>
      <c r="I2" s="2" t="n"/>
      <c r="J2" s="2" t="n"/>
      <c r="K2" s="2" t="n"/>
      <c r="L2" s="2" t="n"/>
      <c r="M2" s="2" t="n"/>
      <c r="N2" s="5" t="inlineStr">
        <is>
          <t>Choose the Language for the Answer</t>
        </is>
      </c>
      <c r="O2" s="1" t="inlineStr">
        <is>
          <t>English</t>
        </is>
      </c>
    </row>
    <row r="3" ht="15.75" customHeight="1" s="12">
      <c r="A3" s="6" t="inlineStr">
        <is>
          <t>ID</t>
        </is>
      </c>
      <c r="B3" s="6" t="inlineStr">
        <is>
          <t>Problem Name</t>
        </is>
      </c>
      <c r="C3" s="6" t="inlineStr">
        <is>
          <t>Likes</t>
        </is>
      </c>
      <c r="D3" s="6" t="inlineStr">
        <is>
          <t>Dislikes</t>
        </is>
      </c>
      <c r="E3" s="7" t="inlineStr">
        <is>
          <t>Like
Ratio</t>
        </is>
      </c>
      <c r="F3" s="6" t="inlineStr">
        <is>
          <t>Topics</t>
        </is>
      </c>
      <c r="G3" s="6" t="inlineStr">
        <is>
          <t>Difficulty</t>
        </is>
      </c>
      <c r="H3" s="6" t="inlineStr">
        <is>
          <t>Accepted</t>
        </is>
      </c>
      <c r="I3" s="6" t="inlineStr">
        <is>
          <t>Submissions</t>
        </is>
      </c>
      <c r="J3" s="6" t="inlineStr">
        <is>
          <t>Accept
Rate</t>
        </is>
      </c>
      <c r="K3" s="6" t="inlineStr">
        <is>
          <t>Free?</t>
        </is>
      </c>
      <c r="L3" s="6" t="inlineStr">
        <is>
          <t>Solution?</t>
        </is>
      </c>
      <c r="M3" s="6" t="inlineStr">
        <is>
          <t>Video
Solution?</t>
        </is>
      </c>
      <c r="N3" s="6" t="inlineStr">
        <is>
          <t>Category</t>
        </is>
      </c>
      <c r="O3" s="6" t="inlineStr">
        <is>
          <t>LLM Prompt</t>
        </is>
      </c>
    </row>
    <row r="4" ht="15.75" customHeight="1" s="12">
      <c r="A4" s="1" t="n">
        <v>1</v>
      </c>
      <c r="B4" s="3">
        <f>HYPERLINK("https://leetcode.com/problems/two-sum/", "Two Sum")</f>
        <v/>
      </c>
      <c r="C4" s="1" t="n">
        <v>66758</v>
      </c>
      <c r="D4" s="1" t="n">
        <v>2484</v>
      </c>
      <c r="E4" s="4">
        <f>IF(INDEX(C:C, ROW())+INDEX(D:D, ROW())=0, 0, INDEX(C:C, ROW())/(INDEX(C:C, ROW())+INDEX(D:D, ROW())))</f>
        <v/>
      </c>
      <c r="F4" s="1" t="inlineStr">
        <is>
          <t>Array, Hash Table</t>
        </is>
      </c>
      <c r="G4" s="1" t="inlineStr">
        <is>
          <t>Easy</t>
        </is>
      </c>
      <c r="H4" s="1" t="n">
        <v>20247382</v>
      </c>
      <c r="I4" s="1" t="n">
        <v>35615119</v>
      </c>
      <c r="J4" s="9" t="n">
        <v>0.569</v>
      </c>
      <c r="K4" s="1" t="inlineStr">
        <is>
          <t>Yes</t>
        </is>
      </c>
      <c r="L4" s="1" t="inlineStr">
        <is>
          <t>Yes</t>
        </is>
      </c>
      <c r="M4" s="1" t="inlineStr">
        <is>
          <t>Yes</t>
        </is>
      </c>
      <c r="N4" s="1" t="inlineStr">
        <is>
          <t>Algorithms</t>
        </is>
      </c>
      <c r="O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" ht="15.75" customHeight="1" s="12">
      <c r="A5" s="1" t="n">
        <v>3</v>
      </c>
      <c r="B5" s="3">
        <f>HYPERLINK("https://leetcode.com/problems/longest-substring-without-repeating-characters/", "Longest Substring Without Repeating Characters")</f>
        <v/>
      </c>
      <c r="C5" s="1" t="n">
        <v>44099</v>
      </c>
      <c r="D5" s="1" t="n">
        <v>2161</v>
      </c>
      <c r="E5" s="4">
        <f>IF(INDEX(C:C, ROW())+INDEX(D:D, ROW())=0, 0, INDEX(C:C, ROW())/(INDEX(C:C, ROW())+INDEX(D:D, ROW())))</f>
        <v/>
      </c>
      <c r="F5" s="1" t="inlineStr">
        <is>
          <t>Hash Table, String, Sliding Window</t>
        </is>
      </c>
      <c r="G5" s="1" t="inlineStr">
        <is>
          <t>Medium</t>
        </is>
      </c>
      <c r="H5" s="1" t="n">
        <v>8782782</v>
      </c>
      <c r="I5" s="1" t="n">
        <v>22976320</v>
      </c>
      <c r="J5" s="9" t="n">
        <v>0.382</v>
      </c>
      <c r="K5" s="1" t="inlineStr">
        <is>
          <t>Yes</t>
        </is>
      </c>
      <c r="L5" s="1" t="inlineStr">
        <is>
          <t>Yes</t>
        </is>
      </c>
      <c r="M5" s="1" t="inlineStr">
        <is>
          <t>Yes</t>
        </is>
      </c>
      <c r="N5" s="1" t="inlineStr">
        <is>
          <t>Algorithms</t>
        </is>
      </c>
      <c r="O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" ht="15.75" customHeight="1" s="12">
      <c r="A6" s="1" t="n">
        <v>53</v>
      </c>
      <c r="B6" s="3">
        <f>HYPERLINK("https://leetcode.com/problems/maximum-subarray/", "Maximum Subarray")</f>
        <v/>
      </c>
      <c r="C6" s="1" t="n">
        <v>37261</v>
      </c>
      <c r="D6" s="1" t="n">
        <v>1580</v>
      </c>
      <c r="E6" s="4">
        <f>IF(INDEX(C:C, ROW())+INDEX(D:D, ROW())=0, 0, INDEX(C:C, ROW())/(INDEX(C:C, ROW())+INDEX(D:D, ROW())))</f>
        <v/>
      </c>
      <c r="F6" s="1" t="inlineStr">
        <is>
          <t>Array, Divide and Conquer, Dynamic Programming</t>
        </is>
      </c>
      <c r="G6" s="1" t="inlineStr">
        <is>
          <t>Medium</t>
        </is>
      </c>
      <c r="H6" s="1" t="n">
        <v>5730370</v>
      </c>
      <c r="I6" s="1" t="n">
        <v>10848630</v>
      </c>
      <c r="J6" s="9" t="n">
        <v>0.528</v>
      </c>
      <c r="K6" s="1" t="inlineStr">
        <is>
          <t>Yes</t>
        </is>
      </c>
      <c r="L6" s="1" t="inlineStr">
        <is>
          <t>Yes</t>
        </is>
      </c>
      <c r="M6" s="1" t="inlineStr">
        <is>
          <t>Yes</t>
        </is>
      </c>
      <c r="N6" s="1" t="inlineStr">
        <is>
          <t>Algorithms</t>
        </is>
      </c>
      <c r="O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" ht="15.75" customHeight="1" s="12">
      <c r="A7" s="1" t="n">
        <v>2</v>
      </c>
      <c r="B7" s="3">
        <f>HYPERLINK("https://leetcode.com/problems/add-two-numbers/", "Add Two Numbers")</f>
        <v/>
      </c>
      <c r="C7" s="1" t="n">
        <v>35933</v>
      </c>
      <c r="D7" s="1" t="n">
        <v>7123</v>
      </c>
      <c r="E7" s="4">
        <f>IF(INDEX(C:C, ROW())+INDEX(D:D, ROW())=0, 0, INDEX(C:C, ROW())/(INDEX(C:C, ROW())+INDEX(D:D, ROW())))</f>
        <v/>
      </c>
      <c r="F7" s="1" t="inlineStr">
        <is>
          <t>Linked List, Math, Recursion</t>
        </is>
      </c>
      <c r="G7" s="1" t="inlineStr">
        <is>
          <t>Medium</t>
        </is>
      </c>
      <c r="H7" s="1" t="n">
        <v>6617816</v>
      </c>
      <c r="I7" s="1" t="n">
        <v>13883238</v>
      </c>
      <c r="J7" s="9" t="n">
        <v>0.477</v>
      </c>
      <c r="K7" s="1" t="inlineStr">
        <is>
          <t>Yes</t>
        </is>
      </c>
      <c r="L7" s="1" t="inlineStr">
        <is>
          <t>Yes</t>
        </is>
      </c>
      <c r="M7" s="1" t="inlineStr">
        <is>
          <t>Yes</t>
        </is>
      </c>
      <c r="N7" s="1" t="inlineStr">
        <is>
          <t>Algorithms</t>
        </is>
      </c>
      <c r="O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" ht="15.75" customHeight="1" s="12">
      <c r="A8" s="1" t="n">
        <v>42</v>
      </c>
      <c r="B8" s="3">
        <f>HYPERLINK("https://leetcode.com/problems/trapping-rain-water/", "Trapping Rain Water")</f>
        <v/>
      </c>
      <c r="C8" s="1" t="n">
        <v>35776</v>
      </c>
      <c r="D8" s="1" t="n">
        <v>672</v>
      </c>
      <c r="E8" s="4">
        <f>IF(INDEX(C:C, ROW())+INDEX(D:D, ROW())=0, 0, INDEX(C:C, ROW())/(INDEX(C:C, ROW())+INDEX(D:D, ROW())))</f>
        <v/>
      </c>
      <c r="F8" s="1" t="inlineStr">
        <is>
          <t>Array, Two Pointers, Dynamic Programming, Stack, Monotonic Stack</t>
        </is>
      </c>
      <c r="G8" s="1" t="inlineStr">
        <is>
          <t>Hard</t>
        </is>
      </c>
      <c r="H8" s="1" t="n">
        <v>3305733</v>
      </c>
      <c r="I8" s="1" t="n">
        <v>4969741</v>
      </c>
      <c r="J8" s="9" t="n">
        <v>0.665</v>
      </c>
      <c r="K8" s="1" t="inlineStr">
        <is>
          <t>Yes</t>
        </is>
      </c>
      <c r="L8" s="1" t="inlineStr">
        <is>
          <t>Yes</t>
        </is>
      </c>
      <c r="M8" s="1" t="inlineStr">
        <is>
          <t>No</t>
        </is>
      </c>
      <c r="N8" s="1" t="inlineStr">
        <is>
          <t>Algorithms</t>
        </is>
      </c>
      <c r="O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" ht="15.75" customHeight="1" s="12">
      <c r="A9" s="1" t="n">
        <v>121</v>
      </c>
      <c r="B9" s="3">
        <f>HYPERLINK("https://leetcode.com/problems/best-time-to-buy-and-sell-stock/", "Best Time to Buy and Sell Stock")</f>
        <v/>
      </c>
      <c r="C9" s="1" t="n">
        <v>34990</v>
      </c>
      <c r="D9" s="1" t="n">
        <v>1390</v>
      </c>
      <c r="E9" s="4">
        <f>IF(INDEX(C:C, ROW())+INDEX(D:D, ROW())=0, 0, INDEX(C:C, ROW())/(INDEX(C:C, ROW())+INDEX(D:D, ROW())))</f>
        <v/>
      </c>
      <c r="F9" s="1" t="inlineStr">
        <is>
          <t>Array, Dynamic Programming</t>
        </is>
      </c>
      <c r="G9" s="1" t="inlineStr">
        <is>
          <t>Easy</t>
        </is>
      </c>
      <c r="H9" s="1" t="n">
        <v>7460036</v>
      </c>
      <c r="I9" s="1" t="n">
        <v>13271209</v>
      </c>
      <c r="J9" s="9" t="n">
        <v>0.5620000000000001</v>
      </c>
      <c r="K9" s="1" t="inlineStr">
        <is>
          <t>Yes</t>
        </is>
      </c>
      <c r="L9" s="1" t="inlineStr">
        <is>
          <t>Yes</t>
        </is>
      </c>
      <c r="M9" s="1" t="inlineStr">
        <is>
          <t>Yes</t>
        </is>
      </c>
      <c r="N9" s="1" t="inlineStr">
        <is>
          <t>Algorithms</t>
        </is>
      </c>
      <c r="O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" ht="15.75" customHeight="1" s="12">
      <c r="A10" s="1" t="n">
        <v>15</v>
      </c>
      <c r="B10" s="3">
        <f>HYPERLINK("https://leetcode.com/problems/3sum/", "3Sum")</f>
        <v/>
      </c>
      <c r="C10" s="1" t="n">
        <v>34849</v>
      </c>
      <c r="D10" s="1" t="n">
        <v>3236</v>
      </c>
      <c r="E10" s="4">
        <f>IF(INDEX(C:C, ROW())+INDEX(D:D, ROW())=0, 0, INDEX(C:C, ROW())/(INDEX(C:C, ROW())+INDEX(D:D, ROW())))</f>
        <v/>
      </c>
      <c r="F10" s="1" t="inlineStr">
        <is>
          <t>Array, Two Pointers, Sorting</t>
        </is>
      </c>
      <c r="G10" s="1" t="inlineStr">
        <is>
          <t>Medium</t>
        </is>
      </c>
      <c r="H10" s="1" t="n">
        <v>5534340</v>
      </c>
      <c r="I10" s="1" t="n">
        <v>14440076</v>
      </c>
      <c r="J10" s="9" t="n">
        <v>0.383</v>
      </c>
      <c r="K10" s="1" t="inlineStr">
        <is>
          <t>Yes</t>
        </is>
      </c>
      <c r="L10" s="1" t="inlineStr">
        <is>
          <t>Yes</t>
        </is>
      </c>
      <c r="M10" s="1" t="inlineStr">
        <is>
          <t>Yes</t>
        </is>
      </c>
      <c r="N10" s="1" t="inlineStr">
        <is>
          <t>Algorithms</t>
        </is>
      </c>
      <c r="O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" ht="15.75" customHeight="1" s="12">
      <c r="A11" s="1" t="n">
        <v>11</v>
      </c>
      <c r="B11" s="3">
        <f>HYPERLINK("https://leetcode.com/problems/container-with-most-water/", "Container With Most Water")</f>
        <v/>
      </c>
      <c r="C11" s="1" t="n">
        <v>33460</v>
      </c>
      <c r="D11" s="1" t="n">
        <v>2150</v>
      </c>
      <c r="E11" s="4">
        <f>IF(INDEX(C:C, ROW())+INDEX(D:D, ROW())=0, 0, INDEX(C:C, ROW())/(INDEX(C:C, ROW())+INDEX(D:D, ROW())))</f>
        <v/>
      </c>
      <c r="F11" s="1" t="inlineStr">
        <is>
          <t>Array, Two Pointers, Greedy</t>
        </is>
      </c>
      <c r="G11" s="1" t="inlineStr">
        <is>
          <t>Medium</t>
        </is>
      </c>
      <c r="H11" s="1" t="n">
        <v>4945287</v>
      </c>
      <c r="I11" s="1" t="n">
        <v>8343285</v>
      </c>
      <c r="J11" s="9" t="n">
        <v>0.593</v>
      </c>
      <c r="K11" s="1" t="inlineStr">
        <is>
          <t>Yes</t>
        </is>
      </c>
      <c r="L11" s="1" t="inlineStr">
        <is>
          <t>Yes</t>
        </is>
      </c>
      <c r="M11" s="1" t="inlineStr">
        <is>
          <t>Yes</t>
        </is>
      </c>
      <c r="N11" s="1" t="inlineStr">
        <is>
          <t>Algorithms</t>
        </is>
      </c>
      <c r="O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" ht="15.75" customHeight="1" s="12">
      <c r="A12" s="1" t="n">
        <v>5</v>
      </c>
      <c r="B12" s="3">
        <f>HYPERLINK("https://leetcode.com/problems/longest-palindromic-substring/", "Longest Palindromic Substring")</f>
        <v/>
      </c>
      <c r="C12" s="1" t="n">
        <v>32117</v>
      </c>
      <c r="D12" s="1" t="n">
        <v>1976</v>
      </c>
      <c r="E12" s="4">
        <f>IF(INDEX(C:C, ROW())+INDEX(D:D, ROW())=0, 0, INDEX(C:C, ROW())/(INDEX(C:C, ROW())+INDEX(D:D, ROW())))</f>
        <v/>
      </c>
      <c r="F12" s="1" t="inlineStr">
        <is>
          <t>Two Pointers, String, Dynamic Programming</t>
        </is>
      </c>
      <c r="G12" s="1" t="inlineStr">
        <is>
          <t>Medium</t>
        </is>
      </c>
      <c r="H12" s="1" t="n">
        <v>4442235</v>
      </c>
      <c r="I12" s="1" t="n">
        <v>11985958</v>
      </c>
      <c r="J12" s="9" t="n">
        <v>0.371</v>
      </c>
      <c r="K12" s="1" t="inlineStr">
        <is>
          <t>Yes</t>
        </is>
      </c>
      <c r="L12" s="1" t="inlineStr">
        <is>
          <t>Yes</t>
        </is>
      </c>
      <c r="M12" s="1" t="inlineStr">
        <is>
          <t>Yes</t>
        </is>
      </c>
      <c r="N12" s="1" t="inlineStr">
        <is>
          <t>Algorithms</t>
        </is>
      </c>
      <c r="O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" ht="15.75" customHeight="1" s="12">
      <c r="A13" s="1" t="n">
        <v>4</v>
      </c>
      <c r="B13" s="3">
        <f>HYPERLINK("https://leetcode.com/problems/median-of-two-sorted-arrays/", "Median of Two Sorted Arrays")</f>
        <v/>
      </c>
      <c r="C13" s="1" t="n">
        <v>31576</v>
      </c>
      <c r="D13" s="1" t="n">
        <v>3536</v>
      </c>
      <c r="E13" s="4">
        <f>IF(INDEX(C:C, ROW())+INDEX(D:D, ROW())=0, 0, INDEX(C:C, ROW())/(INDEX(C:C, ROW())+INDEX(D:D, ROW())))</f>
        <v/>
      </c>
      <c r="F13" s="1" t="inlineStr">
        <is>
          <t>Array, Binary Search, Divide and Conquer</t>
        </is>
      </c>
      <c r="G13" s="1" t="inlineStr">
        <is>
          <t>Hard</t>
        </is>
      </c>
      <c r="H13" s="1" t="n">
        <v>3971142</v>
      </c>
      <c r="I13" s="1" t="n">
        <v>8708546</v>
      </c>
      <c r="J13" s="9" t="n">
        <v>0.456</v>
      </c>
      <c r="K13" s="1" t="inlineStr">
        <is>
          <t>Yes</t>
        </is>
      </c>
      <c r="L13" s="1" t="inlineStr">
        <is>
          <t>Yes</t>
        </is>
      </c>
      <c r="M13" s="1" t="inlineStr">
        <is>
          <t>Yes</t>
        </is>
      </c>
      <c r="N13" s="1" t="inlineStr">
        <is>
          <t>Algorithms</t>
        </is>
      </c>
      <c r="O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" ht="15.75" customHeight="1" s="12">
      <c r="A14" s="1" t="n">
        <v>33</v>
      </c>
      <c r="B14" s="3">
        <f>HYPERLINK("https://leetcode.com/problems/search-in-rotated-sorted-array/", "Search in Rotated Sorted Array")</f>
        <v/>
      </c>
      <c r="C14" s="1" t="n">
        <v>29458</v>
      </c>
      <c r="D14" s="1" t="n">
        <v>1783</v>
      </c>
      <c r="E14" s="4">
        <f>IF(INDEX(C:C, ROW())+INDEX(D:D, ROW())=0, 0, INDEX(C:C, ROW())/(INDEX(C:C, ROW())+INDEX(D:D, ROW())))</f>
        <v/>
      </c>
      <c r="F14" s="1" t="inlineStr">
        <is>
          <t>Array, Binary Search</t>
        </is>
      </c>
      <c r="G14" s="1" t="inlineStr">
        <is>
          <t>Medium</t>
        </is>
      </c>
      <c r="H14" s="1" t="n">
        <v>4157031</v>
      </c>
      <c r="I14" s="1" t="n">
        <v>9468569</v>
      </c>
      <c r="J14" s="9" t="n">
        <v>0.439</v>
      </c>
      <c r="K14" s="1" t="inlineStr">
        <is>
          <t>Yes</t>
        </is>
      </c>
      <c r="L14" s="1" t="inlineStr">
        <is>
          <t>Yes</t>
        </is>
      </c>
      <c r="M14" s="1" t="inlineStr">
        <is>
          <t>No</t>
        </is>
      </c>
      <c r="N14" s="1" t="inlineStr">
        <is>
          <t>Algorithms</t>
        </is>
      </c>
      <c r="O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" ht="15.75" customHeight="1" s="12">
      <c r="A15" s="1" t="n">
        <v>20</v>
      </c>
      <c r="B15" s="3">
        <f>HYPERLINK("https://leetcode.com/problems/valid-parentheses/", "Valid Parentheses")</f>
        <v/>
      </c>
      <c r="C15" s="1" t="n">
        <v>27298</v>
      </c>
      <c r="D15" s="1" t="n">
        <v>1976</v>
      </c>
      <c r="E15" s="4">
        <f>IF(INDEX(C:C, ROW())+INDEX(D:D, ROW())=0, 0, INDEX(C:C, ROW())/(INDEX(C:C, ROW())+INDEX(D:D, ROW())))</f>
        <v/>
      </c>
      <c r="F15" s="1" t="inlineStr">
        <is>
          <t>String, Stack</t>
        </is>
      </c>
      <c r="G15" s="1" t="inlineStr">
        <is>
          <t>Easy</t>
        </is>
      </c>
      <c r="H15" s="1" t="n">
        <v>7063192</v>
      </c>
      <c r="I15" s="1" t="n">
        <v>16246835</v>
      </c>
      <c r="J15" s="9" t="n">
        <v>0.435</v>
      </c>
      <c r="K15" s="1" t="inlineStr">
        <is>
          <t>Yes</t>
        </is>
      </c>
      <c r="L15" s="1" t="inlineStr">
        <is>
          <t>Yes</t>
        </is>
      </c>
      <c r="M15" s="1" t="inlineStr">
        <is>
          <t>Yes</t>
        </is>
      </c>
      <c r="N15" s="1" t="inlineStr">
        <is>
          <t>Algorithms</t>
        </is>
      </c>
      <c r="O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" ht="15.75" customHeight="1" s="12">
      <c r="A16" s="1" t="n">
        <v>238</v>
      </c>
      <c r="B16" s="3">
        <f>HYPERLINK("https://leetcode.com/problems/product-of-array-except-self/", "Product of Array Except Self")</f>
        <v/>
      </c>
      <c r="C16" s="1" t="n">
        <v>25442</v>
      </c>
      <c r="D16" s="1" t="n">
        <v>1665</v>
      </c>
      <c r="E16" s="4">
        <f>IF(INDEX(C:C, ROW())+INDEX(D:D, ROW())=0, 0, INDEX(C:C, ROW())/(INDEX(C:C, ROW())+INDEX(D:D, ROW())))</f>
        <v/>
      </c>
      <c r="F16" s="1" t="inlineStr">
        <is>
          <t>Array, Prefix Sum</t>
        </is>
      </c>
      <c r="G16" s="1" t="inlineStr">
        <is>
          <t>Medium</t>
        </is>
      </c>
      <c r="H16" s="1" t="n">
        <v>4238963</v>
      </c>
      <c r="I16" s="1" t="n">
        <v>6193298</v>
      </c>
      <c r="J16" s="9" t="n">
        <v>0.6840000000000001</v>
      </c>
      <c r="K16" s="1" t="inlineStr">
        <is>
          <t>Yes</t>
        </is>
      </c>
      <c r="L16" s="1" t="inlineStr">
        <is>
          <t>Yes</t>
        </is>
      </c>
      <c r="M16" s="1" t="inlineStr">
        <is>
          <t>Yes</t>
        </is>
      </c>
      <c r="N16" s="1" t="inlineStr">
        <is>
          <t>Algorithms</t>
        </is>
      </c>
      <c r="O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" ht="15.75" customHeight="1" s="12">
      <c r="A17" s="1" t="n">
        <v>287</v>
      </c>
      <c r="B17" s="3">
        <f>HYPERLINK("https://leetcode.com/problems/find-the-duplicate-number/", "Find the Duplicate Number")</f>
        <v/>
      </c>
      <c r="C17" s="1" t="n">
        <v>25164</v>
      </c>
      <c r="D17" s="1" t="n">
        <v>5674</v>
      </c>
      <c r="E17" s="4">
        <f>IF(INDEX(C:C, ROW())+INDEX(D:D, ROW())=0, 0, INDEX(C:C, ROW())/(INDEX(C:C, ROW())+INDEX(D:D, ROW())))</f>
        <v/>
      </c>
      <c r="F17" s="1" t="inlineStr">
        <is>
          <t>Array, Two Pointers, Binary Search, Bit Manipulation</t>
        </is>
      </c>
      <c r="G17" s="1" t="inlineStr">
        <is>
          <t>Medium</t>
        </is>
      </c>
      <c r="H17" s="1" t="n">
        <v>2431253</v>
      </c>
      <c r="I17" s="1" t="n">
        <v>3810297</v>
      </c>
      <c r="J17" s="9" t="n">
        <v>0.638</v>
      </c>
      <c r="K17" s="1" t="inlineStr">
        <is>
          <t>Yes</t>
        </is>
      </c>
      <c r="L17" s="1" t="inlineStr">
        <is>
          <t>Yes</t>
        </is>
      </c>
      <c r="M17" s="1" t="inlineStr">
        <is>
          <t>No</t>
        </is>
      </c>
      <c r="N17" s="1" t="inlineStr">
        <is>
          <t>Algorithms</t>
        </is>
      </c>
      <c r="O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" ht="15.75" customHeight="1" s="12">
      <c r="A18" s="1" t="n">
        <v>200</v>
      </c>
      <c r="B18" s="3">
        <f>HYPERLINK("https://leetcode.com/problems/number-of-islands/", "Number of Islands")</f>
        <v/>
      </c>
      <c r="C18" s="1" t="n">
        <v>24642</v>
      </c>
      <c r="D18" s="1" t="n">
        <v>604</v>
      </c>
      <c r="E18" s="4">
        <f>IF(INDEX(C:C, ROW())+INDEX(D:D, ROW())=0, 0, INDEX(C:C, ROW())/(INDEX(C:C, ROW())+INDEX(D:D, ROW())))</f>
        <v/>
      </c>
      <c r="F18" s="1" t="inlineStr">
        <is>
          <t>Array, Depth-First Search, Breadth-First Search, Union-Find, Matrix</t>
        </is>
      </c>
      <c r="G18" s="1" t="inlineStr">
        <is>
          <t>Medium</t>
        </is>
      </c>
      <c r="H18" s="1" t="n">
        <v>3907468</v>
      </c>
      <c r="I18" s="1" t="n">
        <v>6145891</v>
      </c>
      <c r="J18" s="9" t="n">
        <v>0.636</v>
      </c>
      <c r="K18" s="1" t="inlineStr">
        <is>
          <t>Yes</t>
        </is>
      </c>
      <c r="L18" s="1" t="inlineStr">
        <is>
          <t>Yes</t>
        </is>
      </c>
      <c r="M18" s="1" t="inlineStr">
        <is>
          <t>Yes</t>
        </is>
      </c>
      <c r="N18" s="1" t="inlineStr">
        <is>
          <t>Algorithms</t>
        </is>
      </c>
      <c r="O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" ht="15.75" customHeight="1" s="12">
      <c r="A19" s="1" t="n">
        <v>560</v>
      </c>
      <c r="B19" s="3">
        <f>HYPERLINK("https://leetcode.com/problems/subarray-sum-equals-k/", "Subarray Sum Equals K")</f>
        <v/>
      </c>
      <c r="C19" s="1" t="n">
        <v>24557</v>
      </c>
      <c r="D19" s="1" t="n">
        <v>828</v>
      </c>
      <c r="E19" s="4">
        <f>IF(INDEX(C:C, ROW())+INDEX(D:D, ROW())=0, 0, INDEX(C:C, ROW())/(INDEX(C:C, ROW())+INDEX(D:D, ROW())))</f>
        <v/>
      </c>
      <c r="F19" s="1" t="inlineStr">
        <is>
          <t>Array, Hash Table, Prefix Sum</t>
        </is>
      </c>
      <c r="G19" s="1" t="inlineStr">
        <is>
          <t>Medium</t>
        </is>
      </c>
      <c r="H19" s="1" t="n">
        <v>2201399</v>
      </c>
      <c r="I19" s="1" t="n">
        <v>4728953</v>
      </c>
      <c r="J19" s="9" t="n">
        <v>0.466</v>
      </c>
      <c r="K19" s="1" t="inlineStr">
        <is>
          <t>Yes</t>
        </is>
      </c>
      <c r="L19" s="1" t="inlineStr">
        <is>
          <t>Yes</t>
        </is>
      </c>
      <c r="M19" s="1" t="inlineStr">
        <is>
          <t>Yes</t>
        </is>
      </c>
      <c r="N19" s="1" t="inlineStr">
        <is>
          <t>Algorithms</t>
        </is>
      </c>
      <c r="O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" ht="15.75" customHeight="1" s="12">
      <c r="A20" s="1" t="n">
        <v>21</v>
      </c>
      <c r="B20" s="3">
        <f>HYPERLINK("https://leetcode.com/problems/merge-two-sorted-lists/", "Merge Two Sorted Lists")</f>
        <v/>
      </c>
      <c r="C20" s="1" t="n">
        <v>24548</v>
      </c>
      <c r="D20" s="1" t="n">
        <v>2411</v>
      </c>
      <c r="E20" s="4">
        <f>IF(INDEX(C:C, ROW())+INDEX(D:D, ROW())=0, 0, INDEX(C:C, ROW())/(INDEX(C:C, ROW())+INDEX(D:D, ROW())))</f>
        <v/>
      </c>
      <c r="F20" s="1" t="inlineStr">
        <is>
          <t>Linked List, Recursion</t>
        </is>
      </c>
      <c r="G20" s="1" t="inlineStr">
        <is>
          <t>Easy</t>
        </is>
      </c>
      <c r="H20" s="1" t="n">
        <v>5927751</v>
      </c>
      <c r="I20" s="1" t="n">
        <v>8749993</v>
      </c>
      <c r="J20" s="9" t="n">
        <v>0.677</v>
      </c>
      <c r="K20" s="1" t="inlineStr">
        <is>
          <t>Yes</t>
        </is>
      </c>
      <c r="L20" s="1" t="inlineStr">
        <is>
          <t>Yes</t>
        </is>
      </c>
      <c r="M20" s="1" t="inlineStr">
        <is>
          <t>Yes</t>
        </is>
      </c>
      <c r="N20" s="1" t="inlineStr">
        <is>
          <t>Algorithms</t>
        </is>
      </c>
      <c r="O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" ht="15.75" customHeight="1" s="12">
      <c r="A21" s="1" t="n">
        <v>56</v>
      </c>
      <c r="B21" s="3">
        <f>HYPERLINK("https://leetcode.com/problems/merge-intervals/", "Merge Intervals")</f>
        <v/>
      </c>
      <c r="C21" s="1" t="n">
        <v>24297</v>
      </c>
      <c r="D21" s="1" t="n">
        <v>893</v>
      </c>
      <c r="E21" s="4">
        <f>IF(INDEX(C:C, ROW())+INDEX(D:D, ROW())=0, 0, INDEX(C:C, ROW())/(INDEX(C:C, ROW())+INDEX(D:D, ROW())))</f>
        <v/>
      </c>
      <c r="F21" s="1" t="inlineStr">
        <is>
          <t>Array, Sorting</t>
        </is>
      </c>
      <c r="G21" s="1" t="inlineStr">
        <is>
          <t>Medium</t>
        </is>
      </c>
      <c r="H21" s="1" t="n">
        <v>3733513</v>
      </c>
      <c r="I21" s="1" t="n">
        <v>7339728</v>
      </c>
      <c r="J21" s="9" t="n">
        <v>0.509</v>
      </c>
      <c r="K21" s="1" t="inlineStr">
        <is>
          <t>Yes</t>
        </is>
      </c>
      <c r="L21" s="1" t="inlineStr">
        <is>
          <t>Yes</t>
        </is>
      </c>
      <c r="M21" s="1" t="inlineStr">
        <is>
          <t>Yes</t>
        </is>
      </c>
      <c r="N21" s="1" t="inlineStr">
        <is>
          <t>Algorithms</t>
        </is>
      </c>
      <c r="O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" ht="15.75" customHeight="1" s="12">
      <c r="A22" s="1" t="n">
        <v>70</v>
      </c>
      <c r="B22" s="3">
        <f>HYPERLINK("https://leetcode.com/problems/climbing-stairs/", "Climbing Stairs")</f>
        <v/>
      </c>
      <c r="C22" s="1" t="n">
        <v>24145</v>
      </c>
      <c r="D22" s="1" t="n">
        <v>1022</v>
      </c>
      <c r="E22" s="4">
        <f>IF(INDEX(C:C, ROW())+INDEX(D:D, ROW())=0, 0, INDEX(C:C, ROW())/(INDEX(C:C, ROW())+INDEX(D:D, ROW())))</f>
        <v/>
      </c>
      <c r="F22" s="1" t="inlineStr">
        <is>
          <t>Math, Dynamic Programming, Memoization</t>
        </is>
      </c>
      <c r="G22" s="1" t="inlineStr">
        <is>
          <t>Easy</t>
        </is>
      </c>
      <c r="H22" s="1" t="n">
        <v>4830722</v>
      </c>
      <c r="I22" s="1" t="n">
        <v>8971549</v>
      </c>
      <c r="J22" s="9" t="n">
        <v>0.538</v>
      </c>
      <c r="K22" s="1" t="inlineStr">
        <is>
          <t>Yes</t>
        </is>
      </c>
      <c r="L22" s="1" t="inlineStr">
        <is>
          <t>Yes</t>
        </is>
      </c>
      <c r="M22" s="1" t="inlineStr">
        <is>
          <t>No</t>
        </is>
      </c>
      <c r="N22" s="1" t="inlineStr">
        <is>
          <t>Algorithms</t>
        </is>
      </c>
      <c r="O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" ht="15.75" customHeight="1" s="12">
      <c r="A23" s="1" t="n">
        <v>206</v>
      </c>
      <c r="B23" s="3">
        <f>HYPERLINK("https://leetcode.com/problems/reverse-linked-list/", "Reverse Linked List")</f>
        <v/>
      </c>
      <c r="C23" s="1" t="n">
        <v>24116</v>
      </c>
      <c r="D23" s="1" t="n">
        <v>564</v>
      </c>
      <c r="E23" s="4">
        <f>IF(INDEX(C:C, ROW())+INDEX(D:D, ROW())=0, 0, INDEX(C:C, ROW())/(INDEX(C:C, ROW())+INDEX(D:D, ROW())))</f>
        <v/>
      </c>
      <c r="F23" s="1" t="inlineStr">
        <is>
          <t>Linked List, Recursion</t>
        </is>
      </c>
      <c r="G23" s="1" t="inlineStr">
        <is>
          <t>Easy</t>
        </is>
      </c>
      <c r="H23" s="1" t="n">
        <v>5967589</v>
      </c>
      <c r="I23" s="1" t="n">
        <v>7449966</v>
      </c>
      <c r="J23" s="9" t="n">
        <v>0.801</v>
      </c>
      <c r="K23" s="1" t="inlineStr">
        <is>
          <t>Yes</t>
        </is>
      </c>
      <c r="L23" s="1" t="inlineStr">
        <is>
          <t>Yes</t>
        </is>
      </c>
      <c r="M23" s="1" t="inlineStr">
        <is>
          <t>Yes</t>
        </is>
      </c>
      <c r="N23" s="1" t="inlineStr">
        <is>
          <t>Algorithms</t>
        </is>
      </c>
      <c r="O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" ht="15.75" customHeight="1" s="12">
      <c r="A24" s="1" t="n">
        <v>198</v>
      </c>
      <c r="B24" s="3">
        <f>HYPERLINK("https://leetcode.com/problems/house-robber/", "House Robber")</f>
        <v/>
      </c>
      <c r="C24" s="1" t="n">
        <v>23162</v>
      </c>
      <c r="D24" s="1" t="n">
        <v>502</v>
      </c>
      <c r="E24" s="4">
        <f>IF(INDEX(C:C, ROW())+INDEX(D:D, ROW())=0, 0, INDEX(C:C, ROW())/(INDEX(C:C, ROW())+INDEX(D:D, ROW())))</f>
        <v/>
      </c>
      <c r="F24" s="1" t="inlineStr">
        <is>
          <t>Array, Dynamic Programming</t>
        </is>
      </c>
      <c r="G24" s="1" t="inlineStr">
        <is>
          <t>Medium</t>
        </is>
      </c>
      <c r="H24" s="1" t="n">
        <v>3340459</v>
      </c>
      <c r="I24" s="1" t="n">
        <v>6322246</v>
      </c>
      <c r="J24" s="9" t="n">
        <v>0.528</v>
      </c>
      <c r="K24" s="1" t="inlineStr">
        <is>
          <t>Yes</t>
        </is>
      </c>
      <c r="L24" s="1" t="inlineStr">
        <is>
          <t>Yes</t>
        </is>
      </c>
      <c r="M24" s="1" t="inlineStr">
        <is>
          <t>No</t>
        </is>
      </c>
      <c r="N24" s="1" t="inlineStr">
        <is>
          <t>Algorithms</t>
        </is>
      </c>
      <c r="O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" ht="15.75" customHeight="1" s="12">
      <c r="A25" s="1" t="n">
        <v>22</v>
      </c>
      <c r="B25" s="3">
        <f>HYPERLINK("https://leetcode.com/problems/generate-parentheses/", "Generate Parentheses")</f>
        <v/>
      </c>
      <c r="C25" s="1" t="n">
        <v>22999</v>
      </c>
      <c r="D25" s="1" t="n">
        <v>1067</v>
      </c>
      <c r="E25" s="4">
        <f>IF(INDEX(C:C, ROW())+INDEX(D:D, ROW())=0, 0, INDEX(C:C, ROW())/(INDEX(C:C, ROW())+INDEX(D:D, ROW())))</f>
        <v/>
      </c>
      <c r="F25" s="1" t="inlineStr">
        <is>
          <t>String, Dynamic Programming, Backtracking</t>
        </is>
      </c>
      <c r="G25" s="1" t="inlineStr">
        <is>
          <t>Medium</t>
        </is>
      </c>
      <c r="H25" s="1" t="n">
        <v>2714685</v>
      </c>
      <c r="I25" s="1" t="n">
        <v>3476358</v>
      </c>
      <c r="J25" s="9" t="n">
        <v>0.781</v>
      </c>
      <c r="K25" s="1" t="inlineStr">
        <is>
          <t>Yes</t>
        </is>
      </c>
      <c r="L25" s="1" t="inlineStr">
        <is>
          <t>Yes</t>
        </is>
      </c>
      <c r="M25" s="1" t="inlineStr">
        <is>
          <t>Yes</t>
        </is>
      </c>
      <c r="N25" s="1" t="inlineStr">
        <is>
          <t>Algorithms</t>
        </is>
      </c>
      <c r="O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" ht="15.75" customHeight="1" s="12">
      <c r="A26" s="1" t="n">
        <v>34</v>
      </c>
      <c r="B26" s="3">
        <f>HYPERLINK("https://leetcode.com/problems/find-first-and-last-position-of-element-in-sorted-array/", "Find First and Last Position of Element in Sorted Array")</f>
        <v/>
      </c>
      <c r="C26" s="1" t="n">
        <v>22897</v>
      </c>
      <c r="D26" s="1" t="n">
        <v>623</v>
      </c>
      <c r="E26" s="4">
        <f>IF(INDEX(C:C, ROW())+INDEX(D:D, ROW())=0, 0, INDEX(C:C, ROW())/(INDEX(C:C, ROW())+INDEX(D:D, ROW())))</f>
        <v/>
      </c>
      <c r="F26" s="1" t="inlineStr">
        <is>
          <t>Array, Binary Search</t>
        </is>
      </c>
      <c r="G26" s="1" t="inlineStr">
        <is>
          <t>Medium</t>
        </is>
      </c>
      <c r="H26" s="1" t="n">
        <v>3102079</v>
      </c>
      <c r="I26" s="1" t="n">
        <v>6450791</v>
      </c>
      <c r="J26" s="9" t="n">
        <v>0.481</v>
      </c>
      <c r="K26" s="1" t="inlineStr">
        <is>
          <t>Yes</t>
        </is>
      </c>
      <c r="L26" s="1" t="inlineStr">
        <is>
          <t>Yes</t>
        </is>
      </c>
      <c r="M26" s="1" t="inlineStr">
        <is>
          <t>No</t>
        </is>
      </c>
      <c r="N26" s="1" t="inlineStr">
        <is>
          <t>Algorithms</t>
        </is>
      </c>
      <c r="O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" ht="15.75" customHeight="1" s="12">
      <c r="A27" s="1" t="n">
        <v>146</v>
      </c>
      <c r="B27" s="3">
        <f>HYPERLINK("https://leetcode.com/problems/lru-cache/", "LRU Cache")</f>
        <v/>
      </c>
      <c r="C27" s="1" t="n">
        <v>22789</v>
      </c>
      <c r="D27" s="1" t="n">
        <v>1206</v>
      </c>
      <c r="E27" s="4">
        <f>IF(INDEX(C:C, ROW())+INDEX(D:D, ROW())=0, 0, INDEX(C:C, ROW())/(INDEX(C:C, ROW())+INDEX(D:D, ROW())))</f>
        <v/>
      </c>
      <c r="F27" s="1" t="inlineStr">
        <is>
          <t>Hash Table, Linked List, Design, Doubly-Linked List</t>
        </is>
      </c>
      <c r="G27" s="1" t="inlineStr">
        <is>
          <t>Medium</t>
        </is>
      </c>
      <c r="H27" s="1" t="n">
        <v>2427783</v>
      </c>
      <c r="I27" s="1" t="n">
        <v>5209986</v>
      </c>
      <c r="J27" s="9" t="n">
        <v>0.466</v>
      </c>
      <c r="K27" s="1" t="inlineStr">
        <is>
          <t>Yes</t>
        </is>
      </c>
      <c r="L27" s="1" t="inlineStr">
        <is>
          <t>Yes</t>
        </is>
      </c>
      <c r="M27" s="1" t="inlineStr">
        <is>
          <t>No</t>
        </is>
      </c>
      <c r="N27" s="1" t="inlineStr">
        <is>
          <t>Algorithms</t>
        </is>
      </c>
      <c r="O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" ht="15.75" customHeight="1" s="12">
      <c r="A28" s="1" t="n">
        <v>300</v>
      </c>
      <c r="B28" s="3">
        <f>HYPERLINK("https://leetcode.com/problems/longest-increasing-subsequence/", "Longest Increasing Subsequence")</f>
        <v/>
      </c>
      <c r="C28" s="1" t="n">
        <v>22552</v>
      </c>
      <c r="D28" s="1" t="n">
        <v>506</v>
      </c>
      <c r="E28" s="4">
        <f>IF(INDEX(C:C, ROW())+INDEX(D:D, ROW())=0, 0, INDEX(C:C, ROW())/(INDEX(C:C, ROW())+INDEX(D:D, ROW())))</f>
        <v/>
      </c>
      <c r="F28" s="1" t="inlineStr">
        <is>
          <t>Array, Binary Search, Dynamic Programming</t>
        </is>
      </c>
      <c r="G28" s="1" t="inlineStr">
        <is>
          <t>Medium</t>
        </is>
      </c>
      <c r="H28" s="1" t="n">
        <v>2493793</v>
      </c>
      <c r="I28" s="1" t="n">
        <v>4234865</v>
      </c>
      <c r="J28" s="9" t="n">
        <v>0.589</v>
      </c>
      <c r="K28" s="1" t="inlineStr">
        <is>
          <t>Yes</t>
        </is>
      </c>
      <c r="L28" s="1" t="inlineStr">
        <is>
          <t>Yes</t>
        </is>
      </c>
      <c r="M28" s="1" t="inlineStr">
        <is>
          <t>No</t>
        </is>
      </c>
      <c r="N28" s="1" t="inlineStr">
        <is>
          <t>Algorithms</t>
        </is>
      </c>
      <c r="O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" ht="15.75" customHeight="1" s="12">
      <c r="A29" s="1" t="n">
        <v>128</v>
      </c>
      <c r="B29" s="3">
        <f>HYPERLINK("https://leetcode.com/problems/longest-consecutive-sequence/", "Longest Consecutive Sequence")</f>
        <v/>
      </c>
      <c r="C29" s="1" t="n">
        <v>22523</v>
      </c>
      <c r="D29" s="1" t="n">
        <v>1222</v>
      </c>
      <c r="E29" s="4">
        <f>IF(INDEX(C:C, ROW())+INDEX(D:D, ROW())=0, 0, INDEX(C:C, ROW())/(INDEX(C:C, ROW())+INDEX(D:D, ROW())))</f>
        <v/>
      </c>
      <c r="F29" s="1" t="inlineStr">
        <is>
          <t>Array, Hash Table, Union-Find</t>
        </is>
      </c>
      <c r="G29" s="1" t="inlineStr">
        <is>
          <t>Medium</t>
        </is>
      </c>
      <c r="H29" s="1" t="n">
        <v>3071427</v>
      </c>
      <c r="I29" s="1" t="n">
        <v>6538799</v>
      </c>
      <c r="J29" s="9" t="n">
        <v>0.47</v>
      </c>
      <c r="K29" s="1" t="inlineStr">
        <is>
          <t>Yes</t>
        </is>
      </c>
      <c r="L29" s="1" t="inlineStr">
        <is>
          <t>Yes</t>
        </is>
      </c>
      <c r="M29" s="1" t="inlineStr">
        <is>
          <t>No</t>
        </is>
      </c>
      <c r="N29" s="1" t="inlineStr">
        <is>
          <t>Algorithms</t>
        </is>
      </c>
      <c r="O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" ht="15.75" customHeight="1" s="12">
      <c r="A30" s="1" t="n">
        <v>169</v>
      </c>
      <c r="B30" s="3">
        <f>HYPERLINK("https://leetcode.com/problems/majority-element/", "Majority Element")</f>
        <v/>
      </c>
      <c r="C30" s="1" t="n">
        <v>22297</v>
      </c>
      <c r="D30" s="1" t="n">
        <v>792</v>
      </c>
      <c r="E30" s="4">
        <f>IF(INDEX(C:C, ROW())+INDEX(D:D, ROW())=0, 0, INDEX(C:C, ROW())/(INDEX(C:C, ROW())+INDEX(D:D, ROW())))</f>
        <v/>
      </c>
      <c r="F30" s="1" t="inlineStr">
        <is>
          <t>Array, Hash Table, Divide and Conquer, Sorting, Counting</t>
        </is>
      </c>
      <c r="G30" s="1" t="inlineStr">
        <is>
          <t>Easy</t>
        </is>
      </c>
      <c r="H30" s="1" t="n">
        <v>5091502</v>
      </c>
      <c r="I30" s="1" t="n">
        <v>7709967</v>
      </c>
      <c r="J30" s="9" t="n">
        <v>0.66</v>
      </c>
      <c r="K30" s="1" t="inlineStr">
        <is>
          <t>Yes</t>
        </is>
      </c>
      <c r="L30" s="1" t="inlineStr">
        <is>
          <t>Yes</t>
        </is>
      </c>
      <c r="M30" s="1" t="inlineStr">
        <is>
          <t>No</t>
        </is>
      </c>
      <c r="N30" s="1" t="inlineStr">
        <is>
          <t>Algorithms</t>
        </is>
      </c>
      <c r="O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" ht="15.75" customHeight="1" s="12">
      <c r="A31" s="1" t="n">
        <v>49</v>
      </c>
      <c r="B31" s="3">
        <f>HYPERLINK("https://leetcode.com/problems/group-anagrams/", "Group Anagrams")</f>
        <v/>
      </c>
      <c r="C31" s="1" t="n">
        <v>21670</v>
      </c>
      <c r="D31" s="1" t="n">
        <v>742</v>
      </c>
      <c r="E31" s="4">
        <f>IF(INDEX(C:C, ROW())+INDEX(D:D, ROW())=0, 0, INDEX(C:C, ROW())/(INDEX(C:C, ROW())+INDEX(D:D, ROW())))</f>
        <v/>
      </c>
      <c r="F31" s="1" t="inlineStr">
        <is>
          <t>Array, Hash Table, String, Sorting</t>
        </is>
      </c>
      <c r="G31" s="1" t="inlineStr">
        <is>
          <t>Medium</t>
        </is>
      </c>
      <c r="H31" s="1" t="n">
        <v>4423600</v>
      </c>
      <c r="I31" s="1" t="n">
        <v>6145993</v>
      </c>
      <c r="J31" s="9" t="n">
        <v>0.72</v>
      </c>
      <c r="K31" s="1" t="inlineStr">
        <is>
          <t>Yes</t>
        </is>
      </c>
      <c r="L31" s="1" t="inlineStr">
        <is>
          <t>Yes</t>
        </is>
      </c>
      <c r="M31" s="1" t="inlineStr">
        <is>
          <t>Yes</t>
        </is>
      </c>
      <c r="N31" s="1" t="inlineStr">
        <is>
          <t>Algorithms</t>
        </is>
      </c>
      <c r="O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" ht="15.75" customHeight="1" s="12">
      <c r="A32" s="1" t="n">
        <v>55</v>
      </c>
      <c r="B32" s="3">
        <f>HYPERLINK("https://leetcode.com/problems/jump-game/", "Jump Game")</f>
        <v/>
      </c>
      <c r="C32" s="1" t="n">
        <v>21451</v>
      </c>
      <c r="D32" s="1" t="n">
        <v>1470</v>
      </c>
      <c r="E32" s="4">
        <f>IF(INDEX(C:C, ROW())+INDEX(D:D, ROW())=0, 0, INDEX(C:C, ROW())/(INDEX(C:C, ROW())+INDEX(D:D, ROW())))</f>
        <v/>
      </c>
      <c r="F32" s="1" t="inlineStr">
        <is>
          <t>Array, Dynamic Programming, Greedy</t>
        </is>
      </c>
      <c r="G32" s="1" t="inlineStr">
        <is>
          <t>Medium</t>
        </is>
      </c>
      <c r="H32" s="1" t="n">
        <v>3008440</v>
      </c>
      <c r="I32" s="1" t="n">
        <v>7461204</v>
      </c>
      <c r="J32" s="9" t="n">
        <v>0.403</v>
      </c>
      <c r="K32" s="1" t="inlineStr">
        <is>
          <t>Yes</t>
        </is>
      </c>
      <c r="L32" s="1" t="inlineStr">
        <is>
          <t>Yes</t>
        </is>
      </c>
      <c r="M32" s="1" t="inlineStr">
        <is>
          <t>No</t>
        </is>
      </c>
      <c r="N32" s="1" t="inlineStr">
        <is>
          <t>Algorithms</t>
        </is>
      </c>
      <c r="O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" ht="15.75" customHeight="1" s="12">
      <c r="A33" s="1" t="n">
        <v>75</v>
      </c>
      <c r="B33" s="3">
        <f>HYPERLINK("https://leetcode.com/problems/sort-colors/", "Sort Colors")</f>
        <v/>
      </c>
      <c r="C33" s="1" t="n">
        <v>21178</v>
      </c>
      <c r="D33" s="1" t="n">
        <v>753</v>
      </c>
      <c r="E33" s="4">
        <f>IF(INDEX(C:C, ROW())+INDEX(D:D, ROW())=0, 0, INDEX(C:C, ROW())/(INDEX(C:C, ROW())+INDEX(D:D, ROW())))</f>
        <v/>
      </c>
      <c r="F33" s="1" t="inlineStr">
        <is>
          <t>Array, Two Pointers, Sorting</t>
        </is>
      </c>
      <c r="G33" s="1" t="inlineStr">
        <is>
          <t>Medium</t>
        </is>
      </c>
      <c r="H33" s="1" t="n">
        <v>3470495</v>
      </c>
      <c r="I33" s="1" t="n">
        <v>5037341</v>
      </c>
      <c r="J33" s="9" t="n">
        <v>0.6889999999999999</v>
      </c>
      <c r="K33" s="1" t="inlineStr">
        <is>
          <t>Yes</t>
        </is>
      </c>
      <c r="L33" s="1" t="inlineStr">
        <is>
          <t>Yes</t>
        </is>
      </c>
      <c r="M33" s="1" t="inlineStr">
        <is>
          <t>No</t>
        </is>
      </c>
      <c r="N33" s="1" t="inlineStr">
        <is>
          <t>Algorithms</t>
        </is>
      </c>
      <c r="O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" ht="15.75" customHeight="1" s="12">
      <c r="A34" s="1" t="n">
        <v>23</v>
      </c>
      <c r="B34" s="3">
        <f>HYPERLINK("https://leetcode.com/problems/merge-k-sorted-lists/", "Merge k Sorted Lists")</f>
        <v/>
      </c>
      <c r="C34" s="1" t="n">
        <v>21056</v>
      </c>
      <c r="D34" s="1" t="n">
        <v>783</v>
      </c>
      <c r="E34" s="4">
        <f>IF(INDEX(C:C, ROW())+INDEX(D:D, ROW())=0, 0, INDEX(C:C, ROW())/(INDEX(C:C, ROW())+INDEX(D:D, ROW())))</f>
        <v/>
      </c>
      <c r="F34" s="1" t="inlineStr">
        <is>
          <t>Linked List, Divide and Conquer, Heap (Priority Queue), Merge Sort</t>
        </is>
      </c>
      <c r="G34" s="1" t="inlineStr">
        <is>
          <t>Hard</t>
        </is>
      </c>
      <c r="H34" s="1" t="n">
        <v>2822665</v>
      </c>
      <c r="I34" s="1" t="n">
        <v>4821154</v>
      </c>
      <c r="J34" s="9" t="n">
        <v>0.585</v>
      </c>
      <c r="K34" s="1" t="inlineStr">
        <is>
          <t>Yes</t>
        </is>
      </c>
      <c r="L34" s="1" t="inlineStr">
        <is>
          <t>Yes</t>
        </is>
      </c>
      <c r="M34" s="1" t="inlineStr">
        <is>
          <t>Yes</t>
        </is>
      </c>
      <c r="N34" s="1" t="inlineStr">
        <is>
          <t>Algorithms</t>
        </is>
      </c>
      <c r="O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" ht="15.75" customHeight="1" s="12">
      <c r="A35" s="1" t="n">
        <v>31</v>
      </c>
      <c r="B35" s="3">
        <f>HYPERLINK("https://leetcode.com/problems/next-permutation/", "Next Permutation")</f>
        <v/>
      </c>
      <c r="C35" s="1" t="n">
        <v>21010</v>
      </c>
      <c r="D35" s="1" t="n">
        <v>5077</v>
      </c>
      <c r="E35" s="4">
        <f>IF(INDEX(C:C, ROW())+INDEX(D:D, ROW())=0, 0, INDEX(C:C, ROW())/(INDEX(C:C, ROW())+INDEX(D:D, ROW())))</f>
        <v/>
      </c>
      <c r="F35" s="1" t="inlineStr">
        <is>
          <t>Array, Two Pointers</t>
        </is>
      </c>
      <c r="G35" s="1" t="inlineStr">
        <is>
          <t>Medium</t>
        </is>
      </c>
      <c r="H35" s="1" t="n">
        <v>2128314</v>
      </c>
      <c r="I35" s="1" t="n">
        <v>4784474</v>
      </c>
      <c r="J35" s="9" t="n">
        <v>0.445</v>
      </c>
      <c r="K35" s="1" t="inlineStr">
        <is>
          <t>Yes</t>
        </is>
      </c>
      <c r="L35" s="1" t="inlineStr">
        <is>
          <t>Yes</t>
        </is>
      </c>
      <c r="M35" s="1" t="inlineStr">
        <is>
          <t>Yes</t>
        </is>
      </c>
      <c r="N35" s="1" t="inlineStr">
        <is>
          <t>Algorithms</t>
        </is>
      </c>
      <c r="O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" ht="15.75" customHeight="1" s="12">
      <c r="A36" s="1" t="n">
        <v>19</v>
      </c>
      <c r="B36" s="3">
        <f>HYPERLINK("https://leetcode.com/problems/remove-nth-node-from-end-of-list/", "Remove Nth Node From End of List")</f>
        <v/>
      </c>
      <c r="C36" s="1" t="n">
        <v>20943</v>
      </c>
      <c r="D36" s="1" t="n">
        <v>886</v>
      </c>
      <c r="E36" s="4">
        <f>IF(INDEX(C:C, ROW())+INDEX(D:D, ROW())=0, 0, INDEX(C:C, ROW())/(INDEX(C:C, ROW())+INDEX(D:D, ROW())))</f>
        <v/>
      </c>
      <c r="F36" s="1" t="inlineStr">
        <is>
          <t>Linked List, Two Pointers</t>
        </is>
      </c>
      <c r="G36" s="1" t="inlineStr">
        <is>
          <t>Medium</t>
        </is>
      </c>
      <c r="H36" s="1" t="n">
        <v>3969631</v>
      </c>
      <c r="I36" s="1" t="n">
        <v>7832034</v>
      </c>
      <c r="J36" s="9" t="n">
        <v>0.507</v>
      </c>
      <c r="K36" s="1" t="inlineStr">
        <is>
          <t>Yes</t>
        </is>
      </c>
      <c r="L36" s="1" t="inlineStr">
        <is>
          <t>Yes</t>
        </is>
      </c>
      <c r="M36" s="1" t="inlineStr">
        <is>
          <t>Yes</t>
        </is>
      </c>
      <c r="N36" s="1" t="inlineStr">
        <is>
          <t>Algorithms</t>
        </is>
      </c>
      <c r="O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" ht="15.75" customHeight="1" s="12">
      <c r="A37" s="1" t="n">
        <v>14</v>
      </c>
      <c r="B37" s="3">
        <f>HYPERLINK("https://leetcode.com/problems/longest-common-prefix/", "Longest Common Prefix")</f>
        <v/>
      </c>
      <c r="C37" s="1" t="n">
        <v>20775</v>
      </c>
      <c r="D37" s="1" t="n">
        <v>4878</v>
      </c>
      <c r="E37" s="4">
        <f>IF(INDEX(C:C, ROW())+INDEX(D:D, ROW())=0, 0, INDEX(C:C, ROW())/(INDEX(C:C, ROW())+INDEX(D:D, ROW())))</f>
        <v/>
      </c>
      <c r="F37" s="1" t="inlineStr">
        <is>
          <t>Array, String, Trie</t>
        </is>
      </c>
      <c r="G37" s="1" t="inlineStr">
        <is>
          <t>Easy</t>
        </is>
      </c>
      <c r="H37" s="1" t="n">
        <v>5369213</v>
      </c>
      <c r="I37" s="1" t="n">
        <v>11464136</v>
      </c>
      <c r="J37" s="9" t="n">
        <v>0.468</v>
      </c>
      <c r="K37" s="1" t="inlineStr">
        <is>
          <t>Yes</t>
        </is>
      </c>
      <c r="L37" s="1" t="inlineStr">
        <is>
          <t>Yes</t>
        </is>
      </c>
      <c r="M37" s="1" t="inlineStr">
        <is>
          <t>Yes</t>
        </is>
      </c>
      <c r="N37" s="1" t="inlineStr">
        <is>
          <t>Algorithms</t>
        </is>
      </c>
      <c r="O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8" ht="15.75" customHeight="1" s="12">
      <c r="A38" s="1" t="n">
        <v>322</v>
      </c>
      <c r="B38" s="3">
        <f>HYPERLINK("https://leetcode.com/problems/coin-change/", "Coin Change")</f>
        <v/>
      </c>
      <c r="C38" s="1" t="n">
        <v>20697</v>
      </c>
      <c r="D38" s="1" t="n">
        <v>531</v>
      </c>
      <c r="E38" s="4">
        <f>IF(INDEX(C:C, ROW())+INDEX(D:D, ROW())=0, 0, INDEX(C:C, ROW())/(INDEX(C:C, ROW())+INDEX(D:D, ROW())))</f>
        <v/>
      </c>
      <c r="F38" s="1" t="inlineStr">
        <is>
          <t>Array, Dynamic Programming, Breadth-First Search</t>
        </is>
      </c>
      <c r="G38" s="1" t="inlineStr">
        <is>
          <t>Medium</t>
        </is>
      </c>
      <c r="H38" s="1" t="n">
        <v>2688822</v>
      </c>
      <c r="I38" s="1" t="n">
        <v>5630030</v>
      </c>
      <c r="J38" s="9" t="n">
        <v>0.478</v>
      </c>
      <c r="K38" s="1" t="inlineStr">
        <is>
          <t>Yes</t>
        </is>
      </c>
      <c r="L38" s="1" t="inlineStr">
        <is>
          <t>Yes</t>
        </is>
      </c>
      <c r="M38" s="1" t="inlineStr">
        <is>
          <t>Yes</t>
        </is>
      </c>
      <c r="N38" s="1" t="inlineStr">
        <is>
          <t>Algorithms</t>
        </is>
      </c>
      <c r="O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9" ht="15.75" customHeight="1" s="12">
      <c r="A39" s="1" t="n">
        <v>39</v>
      </c>
      <c r="B39" s="3">
        <f>HYPERLINK("https://leetcode.com/problems/combination-sum/", "Combination Sum")</f>
        <v/>
      </c>
      <c r="C39" s="1" t="n">
        <v>20694</v>
      </c>
      <c r="D39" s="1" t="n">
        <v>525</v>
      </c>
      <c r="E39" s="4">
        <f>IF(INDEX(C:C, ROW())+INDEX(D:D, ROW())=0, 0, INDEX(C:C, ROW())/(INDEX(C:C, ROW())+INDEX(D:D, ROW())))</f>
        <v/>
      </c>
      <c r="F39" s="1" t="inlineStr">
        <is>
          <t>Array, Backtracking</t>
        </is>
      </c>
      <c r="G39" s="1" t="inlineStr">
        <is>
          <t>Medium</t>
        </is>
      </c>
      <c r="H39" s="1" t="n">
        <v>2943753</v>
      </c>
      <c r="I39" s="1" t="n">
        <v>3879964</v>
      </c>
      <c r="J39" s="9" t="n">
        <v>0.759</v>
      </c>
      <c r="K39" s="1" t="inlineStr">
        <is>
          <t>Yes</t>
        </is>
      </c>
      <c r="L39" s="1" t="inlineStr">
        <is>
          <t>Yes</t>
        </is>
      </c>
      <c r="M39" s="1" t="inlineStr">
        <is>
          <t>Yes</t>
        </is>
      </c>
      <c r="N39" s="1" t="inlineStr">
        <is>
          <t>Algorithms</t>
        </is>
      </c>
      <c r="O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0" ht="15.75" customHeight="1" s="12">
      <c r="A40" s="1" t="n">
        <v>17</v>
      </c>
      <c r="B40" s="3">
        <f>HYPERLINK("https://leetcode.com/problems/letter-combinations-of-a-phone-number/", "Letter Combinations of a Phone Number")</f>
        <v/>
      </c>
      <c r="C40" s="1" t="n">
        <v>20635</v>
      </c>
      <c r="D40" s="1" t="n">
        <v>1118</v>
      </c>
      <c r="E40" s="4">
        <f>IF(INDEX(C:C, ROW())+INDEX(D:D, ROW())=0, 0, INDEX(C:C, ROW())/(INDEX(C:C, ROW())+INDEX(D:D, ROW())))</f>
        <v/>
      </c>
      <c r="F40" s="1" t="inlineStr">
        <is>
          <t>Hash Table, String, Backtracking</t>
        </is>
      </c>
      <c r="G40" s="1" t="inlineStr">
        <is>
          <t>Medium</t>
        </is>
      </c>
      <c r="H40" s="1" t="n">
        <v>2861876</v>
      </c>
      <c r="I40" s="1" t="n">
        <v>4387340</v>
      </c>
      <c r="J40" s="9" t="n">
        <v>0.652</v>
      </c>
      <c r="K40" s="1" t="inlineStr">
        <is>
          <t>Yes</t>
        </is>
      </c>
      <c r="L40" s="1" t="inlineStr">
        <is>
          <t>Yes</t>
        </is>
      </c>
      <c r="M40" s="1" t="inlineStr">
        <is>
          <t>No</t>
        </is>
      </c>
      <c r="N40" s="1" t="inlineStr">
        <is>
          <t>Algorithms</t>
        </is>
      </c>
      <c r="O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1" ht="15.75" customHeight="1" s="12">
      <c r="A41" s="1" t="n">
        <v>46</v>
      </c>
      <c r="B41" s="3">
        <f>HYPERLINK("https://leetcode.com/problems/permutations/", "Permutations")</f>
        <v/>
      </c>
      <c r="C41" s="1" t="n">
        <v>20633</v>
      </c>
      <c r="D41" s="1" t="n">
        <v>379</v>
      </c>
      <c r="E41" s="4">
        <f>IF(INDEX(C:C, ROW())+INDEX(D:D, ROW())=0, 0, INDEX(C:C, ROW())/(INDEX(C:C, ROW())+INDEX(D:D, ROW())))</f>
        <v/>
      </c>
      <c r="F41" s="1" t="inlineStr">
        <is>
          <t>Array, Backtracking</t>
        </is>
      </c>
      <c r="G41" s="1" t="inlineStr">
        <is>
          <t>Medium</t>
        </is>
      </c>
      <c r="H41" s="1" t="n">
        <v>2927833</v>
      </c>
      <c r="I41" s="1" t="n">
        <v>3592968</v>
      </c>
      <c r="J41" s="9" t="n">
        <v>0.8149999999999999</v>
      </c>
      <c r="K41" s="1" t="inlineStr">
        <is>
          <t>Yes</t>
        </is>
      </c>
      <c r="L41" s="1" t="inlineStr">
        <is>
          <t>Yes</t>
        </is>
      </c>
      <c r="M41" s="1" t="inlineStr">
        <is>
          <t>No</t>
        </is>
      </c>
      <c r="N41" s="1" t="inlineStr">
        <is>
          <t>Algorithms</t>
        </is>
      </c>
      <c r="O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2" ht="15.75" customHeight="1" s="12">
      <c r="A42" s="1" t="n">
        <v>189</v>
      </c>
      <c r="B42" s="3">
        <f>HYPERLINK("https://leetcode.com/problems/rotate-array/", "Rotate Array")</f>
        <v/>
      </c>
      <c r="C42" s="1" t="n">
        <v>20611</v>
      </c>
      <c r="D42" s="1" t="n">
        <v>2166</v>
      </c>
      <c r="E42" s="4">
        <f>IF(INDEX(C:C, ROW())+INDEX(D:D, ROW())=0, 0, INDEX(C:C, ROW())/(INDEX(C:C, ROW())+INDEX(D:D, ROW())))</f>
        <v/>
      </c>
      <c r="F42" s="1" t="inlineStr">
        <is>
          <t>Array, Math, Two Pointers</t>
        </is>
      </c>
      <c r="G42" s="1" t="inlineStr">
        <is>
          <t>Medium</t>
        </is>
      </c>
      <c r="H42" s="1" t="n">
        <v>3682940</v>
      </c>
      <c r="I42" s="1" t="n">
        <v>8325345</v>
      </c>
      <c r="J42" s="9" t="n">
        <v>0.442</v>
      </c>
      <c r="K42" s="1" t="inlineStr">
        <is>
          <t>Yes</t>
        </is>
      </c>
      <c r="L42" s="1" t="inlineStr">
        <is>
          <t>Yes</t>
        </is>
      </c>
      <c r="M42" s="1" t="inlineStr">
        <is>
          <t>No</t>
        </is>
      </c>
      <c r="N42" s="1" t="inlineStr">
        <is>
          <t>Algorithms</t>
        </is>
      </c>
      <c r="O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3" ht="15.75" customHeight="1" s="12">
      <c r="A43" s="1" t="n">
        <v>152</v>
      </c>
      <c r="B43" s="3">
        <f>HYPERLINK("https://leetcode.com/problems/maximum-product-subarray/", "Maximum Product Subarray")</f>
        <v/>
      </c>
      <c r="C43" s="1" t="n">
        <v>20153</v>
      </c>
      <c r="D43" s="1" t="n">
        <v>815</v>
      </c>
      <c r="E43" s="4">
        <f>IF(INDEX(C:C, ROW())+INDEX(D:D, ROW())=0, 0, INDEX(C:C, ROW())/(INDEX(C:C, ROW())+INDEX(D:D, ROW())))</f>
        <v/>
      </c>
      <c r="F43" s="1" t="inlineStr">
        <is>
          <t>Array, Dynamic Programming</t>
        </is>
      </c>
      <c r="G43" s="1" t="inlineStr">
        <is>
          <t>Medium</t>
        </is>
      </c>
      <c r="H43" s="1" t="n">
        <v>1898342</v>
      </c>
      <c r="I43" s="1" t="n">
        <v>5299061</v>
      </c>
      <c r="J43" s="9" t="n">
        <v>0.358</v>
      </c>
      <c r="K43" s="1" t="inlineStr">
        <is>
          <t>Yes</t>
        </is>
      </c>
      <c r="L43" s="1" t="inlineStr">
        <is>
          <t>Yes</t>
        </is>
      </c>
      <c r="M43" s="1" t="inlineStr">
        <is>
          <t>No</t>
        </is>
      </c>
      <c r="N43" s="1" t="inlineStr">
        <is>
          <t>Algorithms</t>
        </is>
      </c>
      <c r="O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4" ht="15.75" customHeight="1" s="12">
      <c r="A44" s="1" t="n">
        <v>239</v>
      </c>
      <c r="B44" s="3">
        <f>HYPERLINK("https://leetcode.com/problems/sliding-window-maximum/", "Sliding Window Maximum")</f>
        <v/>
      </c>
      <c r="C44" s="1" t="n">
        <v>20082</v>
      </c>
      <c r="D44" s="1" t="n">
        <v>818</v>
      </c>
      <c r="E44" s="4">
        <f>IF(INDEX(C:C, ROW())+INDEX(D:D, ROW())=0, 0, INDEX(C:C, ROW())/(INDEX(C:C, ROW())+INDEX(D:D, ROW())))</f>
        <v/>
      </c>
      <c r="F44" s="1" t="inlineStr">
        <is>
          <t>Array, Queue, Sliding Window, Heap (Priority Queue), Monotonic Queue</t>
        </is>
      </c>
      <c r="G44" s="1" t="inlineStr">
        <is>
          <t>Hard</t>
        </is>
      </c>
      <c r="H44" s="1" t="n">
        <v>1554176</v>
      </c>
      <c r="I44" s="1" t="n">
        <v>3217534</v>
      </c>
      <c r="J44" s="9" t="n">
        <v>0.483</v>
      </c>
      <c r="K44" s="1" t="inlineStr">
        <is>
          <t>Yes</t>
        </is>
      </c>
      <c r="L44" s="1" t="inlineStr">
        <is>
          <t>Yes</t>
        </is>
      </c>
      <c r="M44" s="1" t="inlineStr">
        <is>
          <t>No</t>
        </is>
      </c>
      <c r="N44" s="1" t="inlineStr">
        <is>
          <t>Algorithms</t>
        </is>
      </c>
      <c r="O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5" ht="15.75" customHeight="1" s="12">
      <c r="A45" s="1" t="n">
        <v>76</v>
      </c>
      <c r="B45" s="3">
        <f>HYPERLINK("https://leetcode.com/problems/minimum-window-substring/", "Minimum Window Substring")</f>
        <v/>
      </c>
      <c r="C45" s="1" t="n">
        <v>19819</v>
      </c>
      <c r="D45" s="1" t="n">
        <v>838</v>
      </c>
      <c r="E45" s="4">
        <f>IF(INDEX(C:C, ROW())+INDEX(D:D, ROW())=0, 0, INDEX(C:C, ROW())/(INDEX(C:C, ROW())+INDEX(D:D, ROW())))</f>
        <v/>
      </c>
      <c r="F45" s="1" t="inlineStr">
        <is>
          <t>Hash Table, String, Sliding Window</t>
        </is>
      </c>
      <c r="G45" s="1" t="inlineStr">
        <is>
          <t>Hard</t>
        </is>
      </c>
      <c r="H45" s="1" t="n">
        <v>2019651</v>
      </c>
      <c r="I45" s="1" t="n">
        <v>4325931</v>
      </c>
      <c r="J45" s="9" t="n">
        <v>0.467</v>
      </c>
      <c r="K45" s="1" t="inlineStr">
        <is>
          <t>Yes</t>
        </is>
      </c>
      <c r="L45" s="1" t="inlineStr">
        <is>
          <t>Yes</t>
        </is>
      </c>
      <c r="M45" s="1" t="inlineStr">
        <is>
          <t>No</t>
        </is>
      </c>
      <c r="N45" s="1" t="inlineStr">
        <is>
          <t>Algorithms</t>
        </is>
      </c>
      <c r="O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6" ht="15.75" customHeight="1" s="12">
      <c r="A46" s="1" t="n">
        <v>48</v>
      </c>
      <c r="B46" s="3">
        <f>HYPERLINK("https://leetcode.com/problems/rotate-image/", "Rotate Image")</f>
        <v/>
      </c>
      <c r="C46" s="1" t="n">
        <v>19593</v>
      </c>
      <c r="D46" s="1" t="n">
        <v>946</v>
      </c>
      <c r="E46" s="4">
        <f>IF(INDEX(C:C, ROW())+INDEX(D:D, ROW())=0, 0, INDEX(C:C, ROW())/(INDEX(C:C, ROW())+INDEX(D:D, ROW())))</f>
        <v/>
      </c>
      <c r="F46" s="1" t="inlineStr">
        <is>
          <t>Array, Math, Matrix</t>
        </is>
      </c>
      <c r="G46" s="1" t="inlineStr">
        <is>
          <t>Medium</t>
        </is>
      </c>
      <c r="H46" s="1" t="n">
        <v>2655651</v>
      </c>
      <c r="I46" s="1" t="n">
        <v>3356059</v>
      </c>
      <c r="J46" s="9" t="n">
        <v>0.791</v>
      </c>
      <c r="K46" s="1" t="inlineStr">
        <is>
          <t>Yes</t>
        </is>
      </c>
      <c r="L46" s="1" t="inlineStr">
        <is>
          <t>Yes</t>
        </is>
      </c>
      <c r="M46" s="1" t="inlineStr">
        <is>
          <t>No</t>
        </is>
      </c>
      <c r="N46" s="1" t="inlineStr">
        <is>
          <t>Algorithms</t>
        </is>
      </c>
      <c r="O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7" ht="15.75" customHeight="1" s="12">
      <c r="A47" s="1" t="n">
        <v>84</v>
      </c>
      <c r="B47" s="3">
        <f>HYPERLINK("https://leetcode.com/problems/largest-rectangle-in-histogram/", "Largest Rectangle in Histogram")</f>
        <v/>
      </c>
      <c r="C47" s="1" t="n">
        <v>19260</v>
      </c>
      <c r="D47" s="1" t="n">
        <v>373</v>
      </c>
      <c r="E47" s="4">
        <f>IF(INDEX(C:C, ROW())+INDEX(D:D, ROW())=0, 0, INDEX(C:C, ROW())/(INDEX(C:C, ROW())+INDEX(D:D, ROW())))</f>
        <v/>
      </c>
      <c r="F47" s="1" t="inlineStr">
        <is>
          <t>Array, Stack, Monotonic Stack</t>
        </is>
      </c>
      <c r="G47" s="1" t="inlineStr">
        <is>
          <t>Hard</t>
        </is>
      </c>
      <c r="H47" s="1" t="n">
        <v>1437188</v>
      </c>
      <c r="I47" s="1" t="n">
        <v>2929268</v>
      </c>
      <c r="J47" s="9" t="n">
        <v>0.491</v>
      </c>
      <c r="K47" s="1" t="inlineStr">
        <is>
          <t>Yes</t>
        </is>
      </c>
      <c r="L47" s="1" t="inlineStr">
        <is>
          <t>Yes</t>
        </is>
      </c>
      <c r="M47" s="1" t="inlineStr">
        <is>
          <t>Yes</t>
        </is>
      </c>
      <c r="N47" s="1" t="inlineStr">
        <is>
          <t>Algorithms</t>
        </is>
      </c>
      <c r="O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8" ht="15.75" customHeight="1" s="12">
      <c r="A48" s="1" t="n">
        <v>347</v>
      </c>
      <c r="B48" s="3">
        <f>HYPERLINK("https://leetcode.com/problems/top-k-frequent-elements/", "Top K Frequent Elements")</f>
        <v/>
      </c>
      <c r="C48" s="1" t="n">
        <v>19159</v>
      </c>
      <c r="D48" s="1" t="n">
        <v>846</v>
      </c>
      <c r="E48" s="4">
        <f>IF(INDEX(C:C, ROW())+INDEX(D:D, ROW())=0, 0, INDEX(C:C, ROW())/(INDEX(C:C, ROW())+INDEX(D:D, ROW())))</f>
        <v/>
      </c>
      <c r="F48" s="1" t="inlineStr">
        <is>
          <t>Array, Hash Table, Divide and Conquer, Sorting, Heap (Priority Queue), Bucket Sort, Counting, Quickselect</t>
        </is>
      </c>
      <c r="G48" s="1" t="inlineStr">
        <is>
          <t>Medium</t>
        </is>
      </c>
      <c r="H48" s="1" t="n">
        <v>3328131</v>
      </c>
      <c r="I48" s="1" t="n">
        <v>5074198</v>
      </c>
      <c r="J48" s="9" t="n">
        <v>0.656</v>
      </c>
      <c r="K48" s="1" t="inlineStr">
        <is>
          <t>Yes</t>
        </is>
      </c>
      <c r="L48" s="1" t="inlineStr">
        <is>
          <t>Yes</t>
        </is>
      </c>
      <c r="M48" s="1" t="inlineStr">
        <is>
          <t>Yes</t>
        </is>
      </c>
      <c r="N48" s="1" t="inlineStr">
        <is>
          <t>Algorithms</t>
        </is>
      </c>
      <c r="O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9" ht="15.75" customHeight="1" s="12">
      <c r="A49" s="1" t="n">
        <v>283</v>
      </c>
      <c r="B49" s="3">
        <f>HYPERLINK("https://leetcode.com/problems/move-zeroes/", "Move Zeroes")</f>
        <v/>
      </c>
      <c r="C49" s="1" t="n">
        <v>18982</v>
      </c>
      <c r="D49" s="1" t="n">
        <v>569</v>
      </c>
      <c r="E49" s="4">
        <f>IF(INDEX(C:C, ROW())+INDEX(D:D, ROW())=0, 0, INDEX(C:C, ROW())/(INDEX(C:C, ROW())+INDEX(D:D, ROW())))</f>
        <v/>
      </c>
      <c r="F49" s="1" t="inlineStr">
        <is>
          <t>Array, Two Pointers</t>
        </is>
      </c>
      <c r="G49" s="1" t="inlineStr">
        <is>
          <t>Easy</t>
        </is>
      </c>
      <c r="H49" s="1" t="n">
        <v>4756259</v>
      </c>
      <c r="I49" s="1" t="n">
        <v>7503190</v>
      </c>
      <c r="J49" s="9" t="n">
        <v>0.634</v>
      </c>
      <c r="K49" s="1" t="inlineStr">
        <is>
          <t>Yes</t>
        </is>
      </c>
      <c r="L49" s="1" t="inlineStr">
        <is>
          <t>Yes</t>
        </is>
      </c>
      <c r="M49" s="1" t="inlineStr">
        <is>
          <t>Yes</t>
        </is>
      </c>
      <c r="N49" s="1" t="inlineStr">
        <is>
          <t>Algorithms</t>
        </is>
      </c>
      <c r="O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0" ht="15.75" customHeight="1" s="12">
      <c r="A50" s="1" t="n">
        <v>78</v>
      </c>
      <c r="B50" s="3">
        <f>HYPERLINK("https://leetcode.com/problems/subsets/", "Subsets")</f>
        <v/>
      </c>
      <c r="C50" s="1" t="n">
        <v>18963</v>
      </c>
      <c r="D50" s="1" t="n">
        <v>334</v>
      </c>
      <c r="E50" s="4">
        <f>IF(INDEX(C:C, ROW())+INDEX(D:D, ROW())=0, 0, INDEX(C:C, ROW())/(INDEX(C:C, ROW())+INDEX(D:D, ROW())))</f>
        <v/>
      </c>
      <c r="F50" s="1" t="inlineStr">
        <is>
          <t>Array, Backtracking, Bit Manipulation</t>
        </is>
      </c>
      <c r="G50" s="1" t="inlineStr">
        <is>
          <t>Medium</t>
        </is>
      </c>
      <c r="H50" s="1" t="n">
        <v>2872862</v>
      </c>
      <c r="I50" s="1" t="n">
        <v>3509135</v>
      </c>
      <c r="J50" s="9" t="n">
        <v>0.819</v>
      </c>
      <c r="K50" s="1" t="inlineStr">
        <is>
          <t>Yes</t>
        </is>
      </c>
      <c r="L50" s="1" t="inlineStr">
        <is>
          <t>Yes</t>
        </is>
      </c>
      <c r="M50" s="1" t="inlineStr">
        <is>
          <t>Yes</t>
        </is>
      </c>
      <c r="N50" s="1" t="inlineStr">
        <is>
          <t>Algorithms</t>
        </is>
      </c>
      <c r="O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1" ht="15.75" customHeight="1" s="12">
      <c r="A51" s="1" t="n">
        <v>215</v>
      </c>
      <c r="B51" s="3">
        <f>HYPERLINK("https://leetcode.com/problems/kth-largest-element-in-an-array/", "Kth Largest Element in an Array")</f>
        <v/>
      </c>
      <c r="C51" s="1" t="n">
        <v>18535</v>
      </c>
      <c r="D51" s="1" t="n">
        <v>968</v>
      </c>
      <c r="E51" s="4">
        <f>IF(INDEX(C:C, ROW())+INDEX(D:D, ROW())=0, 0, INDEX(C:C, ROW())/(INDEX(C:C, ROW())+INDEX(D:D, ROW())))</f>
        <v/>
      </c>
      <c r="F51" s="1" t="inlineStr">
        <is>
          <t>Array, Divide and Conquer, Sorting, Heap (Priority Queue), Quickselect</t>
        </is>
      </c>
      <c r="G51" s="1" t="inlineStr">
        <is>
          <t>Medium</t>
        </is>
      </c>
      <c r="H51" s="1" t="n">
        <v>3422648</v>
      </c>
      <c r="I51" s="1" t="n">
        <v>4983080</v>
      </c>
      <c r="J51" s="9" t="n">
        <v>0.6870000000000001</v>
      </c>
      <c r="K51" s="1" t="inlineStr">
        <is>
          <t>Yes</t>
        </is>
      </c>
      <c r="L51" s="1" t="inlineStr">
        <is>
          <t>Yes</t>
        </is>
      </c>
      <c r="M51" s="1" t="inlineStr">
        <is>
          <t>Yes</t>
        </is>
      </c>
      <c r="N51" s="1" t="inlineStr">
        <is>
          <t>Algorithms</t>
        </is>
      </c>
      <c r="O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2" ht="15.75" customHeight="1" s="12">
      <c r="A52" s="1" t="n">
        <v>139</v>
      </c>
      <c r="B52" s="3">
        <f>HYPERLINK("https://leetcode.com/problems/word-break/", "Word Break")</f>
        <v/>
      </c>
      <c r="C52" s="1" t="n">
        <v>18509</v>
      </c>
      <c r="D52" s="1" t="n">
        <v>890</v>
      </c>
      <c r="E52" s="4">
        <f>IF(INDEX(C:C, ROW())+INDEX(D:D, ROW())=0, 0, INDEX(C:C, ROW())/(INDEX(C:C, ROW())+INDEX(D:D, ROW())))</f>
        <v/>
      </c>
      <c r="F52" s="1" t="inlineStr">
        <is>
          <t>Array, Hash Table, String, Dynamic Programming, Trie, Memoization</t>
        </is>
      </c>
      <c r="G52" s="1" t="inlineStr">
        <is>
          <t>Medium</t>
        </is>
      </c>
      <c r="H52" s="1" t="n">
        <v>2283786</v>
      </c>
      <c r="I52" s="1" t="n">
        <v>4659677</v>
      </c>
      <c r="J52" s="9" t="n">
        <v>0.49</v>
      </c>
      <c r="K52" s="1" t="inlineStr">
        <is>
          <t>Yes</t>
        </is>
      </c>
      <c r="L52" s="1" t="inlineStr">
        <is>
          <t>Yes</t>
        </is>
      </c>
      <c r="M52" s="1" t="inlineStr">
        <is>
          <t>Yes</t>
        </is>
      </c>
      <c r="N52" s="1" t="inlineStr">
        <is>
          <t>Algorithms</t>
        </is>
      </c>
      <c r="O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3" ht="15.75" customHeight="1" s="12">
      <c r="A53" s="1" t="n">
        <v>136</v>
      </c>
      <c r="B53" s="3">
        <f>HYPERLINK("https://leetcode.com/problems/single-number/", "Single Number")</f>
        <v/>
      </c>
      <c r="C53" s="1" t="n">
        <v>18501</v>
      </c>
      <c r="D53" s="1" t="n">
        <v>879</v>
      </c>
      <c r="E53" s="4">
        <f>IF(INDEX(C:C, ROW())+INDEX(D:D, ROW())=0, 0, INDEX(C:C, ROW())/(INDEX(C:C, ROW())+INDEX(D:D, ROW())))</f>
        <v/>
      </c>
      <c r="F53" s="1" t="inlineStr">
        <is>
          <t>Array, Bit Manipulation</t>
        </is>
      </c>
      <c r="G53" s="1" t="inlineStr">
        <is>
          <t>Easy</t>
        </is>
      </c>
      <c r="H53" s="1" t="n">
        <v>4285845</v>
      </c>
      <c r="I53" s="1" t="n">
        <v>5557061</v>
      </c>
      <c r="J53" s="9" t="n">
        <v>0.771</v>
      </c>
      <c r="K53" s="1" t="inlineStr">
        <is>
          <t>Yes</t>
        </is>
      </c>
      <c r="L53" s="1" t="inlineStr">
        <is>
          <t>Yes</t>
        </is>
      </c>
      <c r="M53" s="1" t="inlineStr">
        <is>
          <t>No</t>
        </is>
      </c>
      <c r="N53" s="1" t="inlineStr">
        <is>
          <t>Algorithms</t>
        </is>
      </c>
      <c r="O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4" ht="15.75" customHeight="1" s="12">
      <c r="A54" s="1" t="n">
        <v>35</v>
      </c>
      <c r="B54" s="3">
        <f>HYPERLINK("https://leetcode.com/problems/search-insert-position/", "Search Insert Position")</f>
        <v/>
      </c>
      <c r="C54" s="1" t="n">
        <v>18434</v>
      </c>
      <c r="D54" s="1" t="n">
        <v>876</v>
      </c>
      <c r="E54" s="4">
        <f>IF(INDEX(C:C, ROW())+INDEX(D:D, ROW())=0, 0, INDEX(C:C, ROW())/(INDEX(C:C, ROW())+INDEX(D:D, ROW())))</f>
        <v/>
      </c>
      <c r="F54" s="1" t="inlineStr">
        <is>
          <t>Array, Binary Search</t>
        </is>
      </c>
      <c r="G54" s="1" t="inlineStr">
        <is>
          <t>Easy</t>
        </is>
      </c>
      <c r="H54" s="1" t="n">
        <v>4432514</v>
      </c>
      <c r="I54" s="1" t="n">
        <v>8794653</v>
      </c>
      <c r="J54" s="9" t="n">
        <v>0.504</v>
      </c>
      <c r="K54" s="1" t="inlineStr">
        <is>
          <t>Yes</t>
        </is>
      </c>
      <c r="L54" s="1" t="inlineStr">
        <is>
          <t>Yes</t>
        </is>
      </c>
      <c r="M54" s="1" t="inlineStr">
        <is>
          <t>Yes</t>
        </is>
      </c>
      <c r="N54" s="1" t="inlineStr">
        <is>
          <t>Algorithms</t>
        </is>
      </c>
      <c r="O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5" ht="15.75" customHeight="1" s="12">
      <c r="A55" s="1" t="n">
        <v>88</v>
      </c>
      <c r="B55" s="3">
        <f>HYPERLINK("https://leetcode.com/problems/merge-sorted-array/", "Merge Sorted Array")</f>
        <v/>
      </c>
      <c r="C55" s="1" t="n">
        <v>18432</v>
      </c>
      <c r="D55" s="1" t="n">
        <v>2577</v>
      </c>
      <c r="E55" s="4">
        <f>IF(INDEX(C:C, ROW())+INDEX(D:D, ROW())=0, 0, INDEX(C:C, ROW())/(INDEX(C:C, ROW())+INDEX(D:D, ROW())))</f>
        <v/>
      </c>
      <c r="F55" s="1" t="inlineStr">
        <is>
          <t>Array, Two Pointers, Sorting</t>
        </is>
      </c>
      <c r="G55" s="1" t="inlineStr">
        <is>
          <t>Easy</t>
        </is>
      </c>
      <c r="H55" s="1" t="n">
        <v>5330022</v>
      </c>
      <c r="I55" s="1" t="n">
        <v>9846564</v>
      </c>
      <c r="J55" s="9" t="n">
        <v>0.541</v>
      </c>
      <c r="K55" s="1" t="inlineStr">
        <is>
          <t>Yes</t>
        </is>
      </c>
      <c r="L55" s="1" t="inlineStr">
        <is>
          <t>Yes</t>
        </is>
      </c>
      <c r="M55" s="1" t="inlineStr">
        <is>
          <t>Yes</t>
        </is>
      </c>
      <c r="N55" s="1" t="inlineStr">
        <is>
          <t>Algorithms</t>
        </is>
      </c>
      <c r="O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6" ht="15.75" customHeight="1" s="12">
      <c r="A56" s="1" t="n">
        <v>26</v>
      </c>
      <c r="B56" s="3">
        <f>HYPERLINK("https://leetcode.com/problems/remove-duplicates-from-sorted-array/", "Remove Duplicates from Sorted Array")</f>
        <v/>
      </c>
      <c r="C56" s="1" t="n">
        <v>18422</v>
      </c>
      <c r="D56" s="1" t="n">
        <v>20378</v>
      </c>
      <c r="E56" s="4">
        <f>IF(INDEX(C:C, ROW())+INDEX(D:D, ROW())=0, 0, INDEX(C:C, ROW())/(INDEX(C:C, ROW())+INDEX(D:D, ROW())))</f>
        <v/>
      </c>
      <c r="F56" s="1" t="inlineStr">
        <is>
          <t>Array, Two Pointers</t>
        </is>
      </c>
      <c r="G56" s="1" t="inlineStr">
        <is>
          <t>Easy</t>
        </is>
      </c>
      <c r="H56" s="1" t="n">
        <v>7316187</v>
      </c>
      <c r="I56" s="1" t="n">
        <v>11810976</v>
      </c>
      <c r="J56" s="9" t="n">
        <v>0.619</v>
      </c>
      <c r="K56" s="1" t="inlineStr">
        <is>
          <t>Yes</t>
        </is>
      </c>
      <c r="L56" s="1" t="inlineStr">
        <is>
          <t>Yes</t>
        </is>
      </c>
      <c r="M56" s="1" t="inlineStr">
        <is>
          <t>Yes</t>
        </is>
      </c>
      <c r="N56" s="1" t="inlineStr">
        <is>
          <t>Algorithms</t>
        </is>
      </c>
      <c r="O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7" ht="15.75" customHeight="1" s="12">
      <c r="A57" s="1" t="n">
        <v>236</v>
      </c>
      <c r="B57" s="3">
        <f>HYPERLINK("https://leetcode.com/problems/lowest-common-ancestor-of-a-binary-tree/", "Lowest Common Ancestor of a Binary Tree")</f>
        <v/>
      </c>
      <c r="C57" s="1" t="n">
        <v>18399</v>
      </c>
      <c r="D57" s="1" t="n">
        <v>484</v>
      </c>
      <c r="E57" s="4">
        <f>IF(INDEX(C:C, ROW())+INDEX(D:D, ROW())=0, 0, INDEX(C:C, ROW())/(INDEX(C:C, ROW())+INDEX(D:D, ROW())))</f>
        <v/>
      </c>
      <c r="F57" s="1" t="inlineStr">
        <is>
          <t>Tree, Depth-First Search, Binary Tree</t>
        </is>
      </c>
      <c r="G57" s="1" t="inlineStr">
        <is>
          <t>Medium</t>
        </is>
      </c>
      <c r="H57" s="1" t="n">
        <v>2456056</v>
      </c>
      <c r="I57" s="1" t="n">
        <v>3587328</v>
      </c>
      <c r="J57" s="9" t="n">
        <v>0.6850000000000001</v>
      </c>
      <c r="K57" s="1" t="inlineStr">
        <is>
          <t>Yes</t>
        </is>
      </c>
      <c r="L57" s="1" t="inlineStr">
        <is>
          <t>Yes</t>
        </is>
      </c>
      <c r="M57" s="1" t="inlineStr">
        <is>
          <t>No</t>
        </is>
      </c>
      <c r="N57" s="1" t="inlineStr">
        <is>
          <t>Algorithms</t>
        </is>
      </c>
      <c r="O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8" ht="15.75" customHeight="1" s="12">
      <c r="A58" s="1" t="n">
        <v>124</v>
      </c>
      <c r="B58" s="3">
        <f>HYPERLINK("https://leetcode.com/problems/binary-tree-maximum-path-sum/", "Binary Tree Maximum Path Sum")</f>
        <v/>
      </c>
      <c r="C58" s="1" t="n">
        <v>18234</v>
      </c>
      <c r="D58" s="1" t="n">
        <v>784</v>
      </c>
      <c r="E58" s="4">
        <f>IF(INDEX(C:C, ROW())+INDEX(D:D, ROW())=0, 0, INDEX(C:C, ROW())/(INDEX(C:C, ROW())+INDEX(D:D, ROW())))</f>
        <v/>
      </c>
      <c r="F58" s="1" t="inlineStr">
        <is>
          <t>Dynamic Programming, Tree, Depth-First Search, Binary Tree</t>
        </is>
      </c>
      <c r="G58" s="1" t="inlineStr">
        <is>
          <t>Hard</t>
        </is>
      </c>
      <c r="H58" s="1" t="n">
        <v>1802788</v>
      </c>
      <c r="I58" s="1" t="n">
        <v>4302682</v>
      </c>
      <c r="J58" s="9" t="n">
        <v>0.419</v>
      </c>
      <c r="K58" s="1" t="inlineStr">
        <is>
          <t>Yes</t>
        </is>
      </c>
      <c r="L58" s="1" t="inlineStr">
        <is>
          <t>Yes</t>
        </is>
      </c>
      <c r="M58" s="1" t="inlineStr">
        <is>
          <t>No</t>
        </is>
      </c>
      <c r="N58" s="1" t="inlineStr">
        <is>
          <t>Algorithms</t>
        </is>
      </c>
      <c r="O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9" ht="15.75" customHeight="1" s="12">
      <c r="A59" s="1" t="n">
        <v>98</v>
      </c>
      <c r="B59" s="3">
        <f>HYPERLINK("https://leetcode.com/problems/validate-binary-search-tree/", "Validate Binary Search Tree")</f>
        <v/>
      </c>
      <c r="C59" s="1" t="n">
        <v>18176</v>
      </c>
      <c r="D59" s="1" t="n">
        <v>1441</v>
      </c>
      <c r="E59" s="4">
        <f>IF(INDEX(C:C, ROW())+INDEX(D:D, ROW())=0, 0, INDEX(C:C, ROW())/(INDEX(C:C, ROW())+INDEX(D:D, ROW())))</f>
        <v/>
      </c>
      <c r="F59" s="1" t="inlineStr">
        <is>
          <t>Tree, Depth-First Search, Binary Search Tree, Binary Tree</t>
        </is>
      </c>
      <c r="G59" s="1" t="inlineStr">
        <is>
          <t>Medium</t>
        </is>
      </c>
      <c r="H59" s="1" t="n">
        <v>3180470</v>
      </c>
      <c r="I59" s="1" t="n">
        <v>9036245</v>
      </c>
      <c r="J59" s="9" t="n">
        <v>0.352</v>
      </c>
      <c r="K59" s="1" t="inlineStr">
        <is>
          <t>Yes</t>
        </is>
      </c>
      <c r="L59" s="1" t="inlineStr">
        <is>
          <t>Yes</t>
        </is>
      </c>
      <c r="M59" s="1" t="inlineStr">
        <is>
          <t>Yes</t>
        </is>
      </c>
      <c r="N59" s="1" t="inlineStr">
        <is>
          <t>Algorithms</t>
        </is>
      </c>
      <c r="O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0" ht="15.75" customHeight="1" s="12">
      <c r="A60" s="1" t="n">
        <v>62</v>
      </c>
      <c r="B60" s="3">
        <f>HYPERLINK("https://leetcode.com/problems/unique-paths/", "Unique Paths")</f>
        <v/>
      </c>
      <c r="C60" s="1" t="n">
        <v>18160</v>
      </c>
      <c r="D60" s="1" t="n">
        <v>491</v>
      </c>
      <c r="E60" s="4">
        <f>IF(INDEX(C:C, ROW())+INDEX(D:D, ROW())=0, 0, INDEX(C:C, ROW())/(INDEX(C:C, ROW())+INDEX(D:D, ROW())))</f>
        <v/>
      </c>
      <c r="F60" s="1" t="inlineStr">
        <is>
          <t>Math, Dynamic Programming, Combinatorics</t>
        </is>
      </c>
      <c r="G60" s="1" t="inlineStr">
        <is>
          <t>Medium</t>
        </is>
      </c>
      <c r="H60" s="1" t="n">
        <v>2672558</v>
      </c>
      <c r="I60" s="1" t="n">
        <v>4022274</v>
      </c>
      <c r="J60" s="9" t="n">
        <v>0.664</v>
      </c>
      <c r="K60" s="1" t="inlineStr">
        <is>
          <t>Yes</t>
        </is>
      </c>
      <c r="L60" s="1" t="inlineStr">
        <is>
          <t>Yes</t>
        </is>
      </c>
      <c r="M60" s="1" t="inlineStr">
        <is>
          <t>No</t>
        </is>
      </c>
      <c r="N60" s="1" t="inlineStr">
        <is>
          <t>Algorithms</t>
        </is>
      </c>
      <c r="O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1" ht="15.75" customHeight="1" s="12">
      <c r="A61" s="1" t="n">
        <v>41</v>
      </c>
      <c r="B61" s="3">
        <f>HYPERLINK("https://leetcode.com/problems/first-missing-positive/", "First Missing Positive")</f>
        <v/>
      </c>
      <c r="C61" s="1" t="n">
        <v>18155</v>
      </c>
      <c r="D61" s="1" t="n">
        <v>1972</v>
      </c>
      <c r="E61" s="4">
        <f>IF(INDEX(C:C, ROW())+INDEX(D:D, ROW())=0, 0, INDEX(C:C, ROW())/(INDEX(C:C, ROW())+INDEX(D:D, ROW())))</f>
        <v/>
      </c>
      <c r="F61" s="1" t="inlineStr">
        <is>
          <t>Array, Hash Table</t>
        </is>
      </c>
      <c r="G61" s="1" t="inlineStr">
        <is>
          <t>Hard</t>
        </is>
      </c>
      <c r="H61" s="1" t="n">
        <v>1658722</v>
      </c>
      <c r="I61" s="1" t="n">
        <v>3930429</v>
      </c>
      <c r="J61" s="9" t="n">
        <v>0.422</v>
      </c>
      <c r="K61" s="1" t="inlineStr">
        <is>
          <t>Yes</t>
        </is>
      </c>
      <c r="L61" s="1" t="inlineStr">
        <is>
          <t>Yes</t>
        </is>
      </c>
      <c r="M61" s="1" t="inlineStr">
        <is>
          <t>No</t>
        </is>
      </c>
      <c r="N61" s="1" t="inlineStr">
        <is>
          <t>Algorithms</t>
        </is>
      </c>
      <c r="O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2" ht="15.75" customHeight="1" s="12">
      <c r="A62" s="1" t="n">
        <v>234</v>
      </c>
      <c r="B62" s="3">
        <f>HYPERLINK("https://leetcode.com/problems/palindrome-linked-list/", "Palindrome Linked List")</f>
        <v/>
      </c>
      <c r="C62" s="1" t="n">
        <v>18085</v>
      </c>
      <c r="D62" s="1" t="n">
        <v>969</v>
      </c>
      <c r="E62" s="4">
        <f>IF(INDEX(C:C, ROW())+INDEX(D:D, ROW())=0, 0, INDEX(C:C, ROW())/(INDEX(C:C, ROW())+INDEX(D:D, ROW())))</f>
        <v/>
      </c>
      <c r="F62" s="1" t="inlineStr">
        <is>
          <t>Linked List, Two Pointers, Stack, Recursion</t>
        </is>
      </c>
      <c r="G62" s="1" t="inlineStr">
        <is>
          <t>Easy</t>
        </is>
      </c>
      <c r="H62" s="1" t="n">
        <v>2738896</v>
      </c>
      <c r="I62" s="1" t="n">
        <v>4791716</v>
      </c>
      <c r="J62" s="9" t="n">
        <v>0.572</v>
      </c>
      <c r="K62" s="1" t="inlineStr">
        <is>
          <t>Yes</t>
        </is>
      </c>
      <c r="L62" s="1" t="inlineStr">
        <is>
          <t>Yes</t>
        </is>
      </c>
      <c r="M62" s="1" t="inlineStr">
        <is>
          <t>Yes</t>
        </is>
      </c>
      <c r="N62" s="1" t="inlineStr">
        <is>
          <t>Algorithms</t>
        </is>
      </c>
      <c r="O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3" ht="15.75" customHeight="1" s="12">
      <c r="A63" s="1" t="n">
        <v>207</v>
      </c>
      <c r="B63" s="3">
        <f>HYPERLINK("https://leetcode.com/problems/course-schedule/", "Course Schedule")</f>
        <v/>
      </c>
      <c r="C63" s="1" t="n">
        <v>17736</v>
      </c>
      <c r="D63" s="1" t="n">
        <v>856</v>
      </c>
      <c r="E63" s="4">
        <f>IF(INDEX(C:C, ROW())+INDEX(D:D, ROW())=0, 0, INDEX(C:C, ROW())/(INDEX(C:C, ROW())+INDEX(D:D, ROW())))</f>
        <v/>
      </c>
      <c r="F63" s="1" t="inlineStr">
        <is>
          <t>Depth-First Search, Breadth-First Search, Graph Theory, Topological Sort</t>
        </is>
      </c>
      <c r="G63" s="1" t="inlineStr">
        <is>
          <t>Medium</t>
        </is>
      </c>
      <c r="H63" s="1" t="n">
        <v>2419924</v>
      </c>
      <c r="I63" s="1" t="n">
        <v>4784390</v>
      </c>
      <c r="J63" s="9" t="n">
        <v>0.506</v>
      </c>
      <c r="K63" s="1" t="inlineStr">
        <is>
          <t>Yes</t>
        </is>
      </c>
      <c r="L63" s="1" t="inlineStr">
        <is>
          <t>Yes</t>
        </is>
      </c>
      <c r="M63" s="1" t="inlineStr">
        <is>
          <t>No</t>
        </is>
      </c>
      <c r="N63" s="1" t="inlineStr">
        <is>
          <t>Algorithms</t>
        </is>
      </c>
      <c r="O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4" ht="15.75" customHeight="1" s="12">
      <c r="A64" s="1" t="n">
        <v>74</v>
      </c>
      <c r="B64" s="3">
        <f>HYPERLINK("https://leetcode.com/problems/search-a-2d-matrix/", "Search a 2D Matrix")</f>
        <v/>
      </c>
      <c r="C64" s="1" t="n">
        <v>17614</v>
      </c>
      <c r="D64" s="1" t="n">
        <v>476</v>
      </c>
      <c r="E64" s="4">
        <f>IF(INDEX(C:C, ROW())+INDEX(D:D, ROW())=0, 0, INDEX(C:C, ROW())/(INDEX(C:C, ROW())+INDEX(D:D, ROW())))</f>
        <v/>
      </c>
      <c r="F64" s="1" t="inlineStr">
        <is>
          <t>Array, Binary Search, Matrix</t>
        </is>
      </c>
      <c r="G64" s="1" t="inlineStr">
        <is>
          <t>Medium</t>
        </is>
      </c>
      <c r="H64" s="1" t="n">
        <v>2718971</v>
      </c>
      <c r="I64" s="1" t="n">
        <v>5098252</v>
      </c>
      <c r="J64" s="9" t="n">
        <v>0.533</v>
      </c>
      <c r="K64" s="1" t="inlineStr">
        <is>
          <t>Yes</t>
        </is>
      </c>
      <c r="L64" s="1" t="inlineStr">
        <is>
          <t>Yes</t>
        </is>
      </c>
      <c r="M64" s="1" t="inlineStr">
        <is>
          <t>No</t>
        </is>
      </c>
      <c r="N64" s="1" t="inlineStr">
        <is>
          <t>Algorithms</t>
        </is>
      </c>
      <c r="O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5" ht="15.75" customHeight="1" s="12">
      <c r="A65" s="1" t="n">
        <v>79</v>
      </c>
      <c r="B65" s="3">
        <f>HYPERLINK("https://leetcode.com/problems/word-search/", "Word Search")</f>
        <v/>
      </c>
      <c r="C65" s="1" t="n">
        <v>17434</v>
      </c>
      <c r="D65" s="1" t="n">
        <v>746</v>
      </c>
      <c r="E65" s="4">
        <f>IF(INDEX(C:C, ROW())+INDEX(D:D, ROW())=0, 0, INDEX(C:C, ROW())/(INDEX(C:C, ROW())+INDEX(D:D, ROW())))</f>
        <v/>
      </c>
      <c r="F65" s="1" t="inlineStr">
        <is>
          <t>Array, String, Backtracking, Depth-First Search, Matrix</t>
        </is>
      </c>
      <c r="G65" s="1" t="inlineStr">
        <is>
          <t>Medium</t>
        </is>
      </c>
      <c r="H65" s="1" t="n">
        <v>2372171</v>
      </c>
      <c r="I65" s="1" t="n">
        <v>5089899</v>
      </c>
      <c r="J65" s="9" t="n">
        <v>0.466</v>
      </c>
      <c r="K65" s="1" t="inlineStr">
        <is>
          <t>Yes</t>
        </is>
      </c>
      <c r="L65" s="1" t="inlineStr">
        <is>
          <t>Yes</t>
        </is>
      </c>
      <c r="M65" s="1" t="inlineStr">
        <is>
          <t>No</t>
        </is>
      </c>
      <c r="N65" s="1" t="inlineStr">
        <is>
          <t>Algorithms</t>
        </is>
      </c>
      <c r="O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6" ht="15.75" customHeight="1" s="12">
      <c r="A66" s="1" t="n">
        <v>13</v>
      </c>
      <c r="B66" s="3">
        <f>HYPERLINK("https://leetcode.com/problems/roman-to-integer/", "Roman to Integer")</f>
        <v/>
      </c>
      <c r="C66" s="1" t="n">
        <v>17258</v>
      </c>
      <c r="D66" s="1" t="n">
        <v>1197</v>
      </c>
      <c r="E66" s="4">
        <f>IF(INDEX(C:C, ROW())+INDEX(D:D, ROW())=0, 0, INDEX(C:C, ROW())/(INDEX(C:C, ROW())+INDEX(D:D, ROW())))</f>
        <v/>
      </c>
      <c r="F66" s="1" t="inlineStr">
        <is>
          <t>Hash Table, Math, String</t>
        </is>
      </c>
      <c r="G66" s="1" t="inlineStr">
        <is>
          <t>Easy</t>
        </is>
      </c>
      <c r="H66" s="1" t="n">
        <v>5545500</v>
      </c>
      <c r="I66" s="1" t="n">
        <v>8397661</v>
      </c>
      <c r="J66" s="9" t="n">
        <v>0.66</v>
      </c>
      <c r="K66" s="1" t="inlineStr">
        <is>
          <t>Yes</t>
        </is>
      </c>
      <c r="L66" s="1" t="inlineStr">
        <is>
          <t>Yes</t>
        </is>
      </c>
      <c r="M66" s="1" t="inlineStr">
        <is>
          <t>Yes</t>
        </is>
      </c>
      <c r="N66" s="1" t="inlineStr">
        <is>
          <t>Algorithms</t>
        </is>
      </c>
      <c r="O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7" ht="15.75" customHeight="1" s="12">
      <c r="A67" s="1" t="n">
        <v>141</v>
      </c>
      <c r="B67" s="3">
        <f>HYPERLINK("https://leetcode.com/problems/linked-list-cycle/", "Linked List Cycle")</f>
        <v/>
      </c>
      <c r="C67" s="1" t="n">
        <v>17244</v>
      </c>
      <c r="D67" s="1" t="n">
        <v>1564</v>
      </c>
      <c r="E67" s="4">
        <f>IF(INDEX(C:C, ROW())+INDEX(D:D, ROW())=0, 0, INDEX(C:C, ROW())/(INDEX(C:C, ROW())+INDEX(D:D, ROW())))</f>
        <v/>
      </c>
      <c r="F67" s="1" t="inlineStr">
        <is>
          <t>Hash Table, Linked List, Two Pointers</t>
        </is>
      </c>
      <c r="G67" s="1" t="inlineStr">
        <is>
          <t>Easy</t>
        </is>
      </c>
      <c r="H67" s="1" t="n">
        <v>4588104</v>
      </c>
      <c r="I67" s="1" t="n">
        <v>8546841</v>
      </c>
      <c r="J67" s="9" t="n">
        <v>0.537</v>
      </c>
      <c r="K67" s="1" t="inlineStr">
        <is>
          <t>Yes</t>
        </is>
      </c>
      <c r="L67" s="1" t="inlineStr">
        <is>
          <t>Yes</t>
        </is>
      </c>
      <c r="M67" s="1" t="inlineStr">
        <is>
          <t>Yes</t>
        </is>
      </c>
      <c r="N67" s="1" t="inlineStr">
        <is>
          <t>Algorithms</t>
        </is>
      </c>
      <c r="O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8" ht="15.75" customHeight="1" s="12">
      <c r="A68" s="1" t="n">
        <v>54</v>
      </c>
      <c r="B68" s="3">
        <f>HYPERLINK("https://leetcode.com/problems/spiral-matrix/", "Spiral Matrix")</f>
        <v/>
      </c>
      <c r="C68" s="1" t="n">
        <v>17088</v>
      </c>
      <c r="D68" s="1" t="n">
        <v>1535</v>
      </c>
      <c r="E68" s="4">
        <f>IF(INDEX(C:C, ROW())+INDEX(D:D, ROW())=0, 0, INDEX(C:C, ROW())/(INDEX(C:C, ROW())+INDEX(D:D, ROW())))</f>
        <v/>
      </c>
      <c r="F68" s="1" t="inlineStr">
        <is>
          <t>Array, Matrix, Simulation</t>
        </is>
      </c>
      <c r="G68" s="1" t="inlineStr">
        <is>
          <t>Medium</t>
        </is>
      </c>
      <c r="H68" s="1" t="n">
        <v>2240887</v>
      </c>
      <c r="I68" s="1" t="n">
        <v>4015168</v>
      </c>
      <c r="J68" s="9" t="n">
        <v>0.5580000000000001</v>
      </c>
      <c r="K68" s="1" t="inlineStr">
        <is>
          <t>Yes</t>
        </is>
      </c>
      <c r="L68" s="1" t="inlineStr">
        <is>
          <t>Yes</t>
        </is>
      </c>
      <c r="M68" s="1" t="inlineStr">
        <is>
          <t>No</t>
        </is>
      </c>
      <c r="N68" s="1" t="inlineStr">
        <is>
          <t>Algorithms</t>
        </is>
      </c>
      <c r="O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9" ht="15.75" customHeight="1" s="12">
      <c r="A69" s="1" t="n">
        <v>73</v>
      </c>
      <c r="B69" s="3">
        <f>HYPERLINK("https://leetcode.com/problems/set-matrix-zeroes/", "Set Matrix Zeroes")</f>
        <v/>
      </c>
      <c r="C69" s="1" t="n">
        <v>16825</v>
      </c>
      <c r="D69" s="1" t="n">
        <v>848</v>
      </c>
      <c r="E69" s="4">
        <f>IF(INDEX(C:C, ROW())+INDEX(D:D, ROW())=0, 0, INDEX(C:C, ROW())/(INDEX(C:C, ROW())+INDEX(D:D, ROW())))</f>
        <v/>
      </c>
      <c r="F69" s="1" t="inlineStr">
        <is>
          <t>Array, Hash Table, Matrix</t>
        </is>
      </c>
      <c r="G69" s="1" t="inlineStr">
        <is>
          <t>Medium</t>
        </is>
      </c>
      <c r="H69" s="1" t="n">
        <v>2424518</v>
      </c>
      <c r="I69" s="1" t="n">
        <v>3899086</v>
      </c>
      <c r="J69" s="9" t="n">
        <v>0.622</v>
      </c>
      <c r="K69" s="1" t="inlineStr">
        <is>
          <t>Yes</t>
        </is>
      </c>
      <c r="L69" s="1" t="inlineStr">
        <is>
          <t>Yes</t>
        </is>
      </c>
      <c r="M69" s="1" t="inlineStr">
        <is>
          <t>No</t>
        </is>
      </c>
      <c r="N69" s="1" t="inlineStr">
        <is>
          <t>Algorithms</t>
        </is>
      </c>
      <c r="O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0" ht="15.75" customHeight="1" s="12">
      <c r="A70" s="1" t="n">
        <v>102</v>
      </c>
      <c r="B70" s="3">
        <f>HYPERLINK("https://leetcode.com/problems/binary-tree-level-order-traversal/", "Binary Tree Level Order Traversal")</f>
        <v/>
      </c>
      <c r="C70" s="1" t="n">
        <v>16821</v>
      </c>
      <c r="D70" s="1" t="n">
        <v>366</v>
      </c>
      <c r="E70" s="4">
        <f>IF(INDEX(C:C, ROW())+INDEX(D:D, ROW())=0, 0, INDEX(C:C, ROW())/(INDEX(C:C, ROW())+INDEX(D:D, ROW())))</f>
        <v/>
      </c>
      <c r="F70" s="1" t="inlineStr">
        <is>
          <t>Tree, Breadth-First Search, Binary Tree</t>
        </is>
      </c>
      <c r="G70" s="1" t="inlineStr">
        <is>
          <t>Medium</t>
        </is>
      </c>
      <c r="H70" s="1" t="n">
        <v>3216900</v>
      </c>
      <c r="I70" s="1" t="n">
        <v>4471635</v>
      </c>
      <c r="J70" s="9" t="n">
        <v>0.719</v>
      </c>
      <c r="K70" s="1" t="inlineStr">
        <is>
          <t>Yes</t>
        </is>
      </c>
      <c r="L70" s="1" t="inlineStr">
        <is>
          <t>Yes</t>
        </is>
      </c>
      <c r="M70" s="1" t="inlineStr">
        <is>
          <t>No</t>
        </is>
      </c>
      <c r="N70" s="1" t="inlineStr">
        <is>
          <t>Algorithms</t>
        </is>
      </c>
      <c r="O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1" ht="15.75" customHeight="1" s="12">
      <c r="A71" s="1" t="n">
        <v>101</v>
      </c>
      <c r="B71" s="3">
        <f>HYPERLINK("https://leetcode.com/problems/symmetric-tree/", "Symmetric Tree")</f>
        <v/>
      </c>
      <c r="C71" s="1" t="n">
        <v>16649</v>
      </c>
      <c r="D71" s="1" t="n">
        <v>448</v>
      </c>
      <c r="E71" s="4">
        <f>IF(INDEX(C:C, ROW())+INDEX(D:D, ROW())=0, 0, INDEX(C:C, ROW())/(INDEX(C:C, ROW())+INDEX(D:D, ROW())))</f>
        <v/>
      </c>
      <c r="F71" s="1" t="inlineStr">
        <is>
          <t>Tree, Depth-First Search, Breadth-First Search, Binary Tree</t>
        </is>
      </c>
      <c r="G71" s="1" t="inlineStr">
        <is>
          <t>Easy</t>
        </is>
      </c>
      <c r="H71" s="1" t="n">
        <v>2738770</v>
      </c>
      <c r="I71" s="1" t="n">
        <v>4527231</v>
      </c>
      <c r="J71" s="9" t="n">
        <v>0.605</v>
      </c>
      <c r="K71" s="1" t="inlineStr">
        <is>
          <t>Yes</t>
        </is>
      </c>
      <c r="L71" s="1" t="inlineStr">
        <is>
          <t>Yes</t>
        </is>
      </c>
      <c r="M71" s="1" t="inlineStr">
        <is>
          <t>Yes</t>
        </is>
      </c>
      <c r="N71" s="1" t="inlineStr">
        <is>
          <t>Algorithms</t>
        </is>
      </c>
      <c r="O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2" ht="15.75" customHeight="1" s="12">
      <c r="A72" s="1" t="n">
        <v>105</v>
      </c>
      <c r="B72" s="3">
        <f>HYPERLINK("https://leetcode.com/problems/construct-binary-tree-from-preorder-and-inorder-traversal/", "Construct Binary Tree from Preorder and Inorder Traversal")</f>
        <v/>
      </c>
      <c r="C72" s="1" t="n">
        <v>16467</v>
      </c>
      <c r="D72" s="1" t="n">
        <v>612</v>
      </c>
      <c r="E72" s="4">
        <f>IF(INDEX(C:C, ROW())+INDEX(D:D, ROW())=0, 0, INDEX(C:C, ROW())/(INDEX(C:C, ROW())+INDEX(D:D, ROW())))</f>
        <v/>
      </c>
      <c r="F72" s="1" t="inlineStr">
        <is>
          <t>Array, Hash Table, Divide and Conquer, Tree, Binary Tree</t>
        </is>
      </c>
      <c r="G72" s="1" t="inlineStr">
        <is>
          <t>Medium</t>
        </is>
      </c>
      <c r="H72" s="1" t="n">
        <v>1774936</v>
      </c>
      <c r="I72" s="1" t="n">
        <v>2605194</v>
      </c>
      <c r="J72" s="9" t="n">
        <v>0.681</v>
      </c>
      <c r="K72" s="1" t="inlineStr">
        <is>
          <t>Yes</t>
        </is>
      </c>
      <c r="L72" s="1" t="inlineStr">
        <is>
          <t>Yes</t>
        </is>
      </c>
      <c r="M72" s="1" t="inlineStr">
        <is>
          <t>No</t>
        </is>
      </c>
      <c r="N72" s="1" t="inlineStr">
        <is>
          <t>Algorithms</t>
        </is>
      </c>
      <c r="O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3" ht="15.75" customHeight="1" s="12">
      <c r="A73" s="1" t="n">
        <v>160</v>
      </c>
      <c r="B73" s="3">
        <f>HYPERLINK("https://leetcode.com/problems/intersection-of-two-linked-lists/", "Intersection of Two Linked Lists")</f>
        <v/>
      </c>
      <c r="C73" s="1" t="n">
        <v>16384</v>
      </c>
      <c r="D73" s="1" t="n">
        <v>1482</v>
      </c>
      <c r="E73" s="4">
        <f>IF(INDEX(C:C, ROW())+INDEX(D:D, ROW())=0, 0, INDEX(C:C, ROW())/(INDEX(C:C, ROW())+INDEX(D:D, ROW())))</f>
        <v/>
      </c>
      <c r="F73" s="1" t="inlineStr">
        <is>
          <t>Hash Table, Linked List, Two Pointers</t>
        </is>
      </c>
      <c r="G73" s="1" t="inlineStr">
        <is>
          <t>Easy</t>
        </is>
      </c>
      <c r="H73" s="1" t="n">
        <v>2258079</v>
      </c>
      <c r="I73" s="1" t="n">
        <v>3590475</v>
      </c>
      <c r="J73" s="9" t="n">
        <v>0.629</v>
      </c>
      <c r="K73" s="1" t="inlineStr">
        <is>
          <t>Yes</t>
        </is>
      </c>
      <c r="L73" s="1" t="inlineStr">
        <is>
          <t>Yes</t>
        </is>
      </c>
      <c r="M73" s="1" t="inlineStr">
        <is>
          <t>Yes</t>
        </is>
      </c>
      <c r="N73" s="1" t="inlineStr">
        <is>
          <t>Algorithms</t>
        </is>
      </c>
      <c r="O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4" ht="15.75" customHeight="1" s="12">
      <c r="A74" s="1" t="n">
        <v>45</v>
      </c>
      <c r="B74" s="3">
        <f>HYPERLINK("https://leetcode.com/problems/jump-game-ii/", "Jump Game II")</f>
        <v/>
      </c>
      <c r="C74" s="1" t="n">
        <v>16261</v>
      </c>
      <c r="D74" s="1" t="n">
        <v>696</v>
      </c>
      <c r="E74" s="4">
        <f>IF(INDEX(C:C, ROW())+INDEX(D:D, ROW())=0, 0, INDEX(C:C, ROW())/(INDEX(C:C, ROW())+INDEX(D:D, ROW())))</f>
        <v/>
      </c>
      <c r="F74" s="1" t="inlineStr">
        <is>
          <t>Array, Dynamic Programming, Greedy</t>
        </is>
      </c>
      <c r="G74" s="1" t="inlineStr">
        <is>
          <t>Medium</t>
        </is>
      </c>
      <c r="H74" s="1" t="n">
        <v>2008785</v>
      </c>
      <c r="I74" s="1" t="n">
        <v>4746910</v>
      </c>
      <c r="J74" s="9" t="n">
        <v>0.423</v>
      </c>
      <c r="K74" s="1" t="inlineStr">
        <is>
          <t>Yes</t>
        </is>
      </c>
      <c r="L74" s="1" t="inlineStr">
        <is>
          <t>Yes</t>
        </is>
      </c>
      <c r="M74" s="1" t="inlineStr">
        <is>
          <t>No</t>
        </is>
      </c>
      <c r="N74" s="1" t="inlineStr">
        <is>
          <t>Algorithms</t>
        </is>
      </c>
      <c r="O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5" ht="15.75" customHeight="1" s="12">
      <c r="A75" s="1" t="n">
        <v>72</v>
      </c>
      <c r="B75" s="3">
        <f>HYPERLINK("https://leetcode.com/problems/edit-distance/", "Edit Distance")</f>
        <v/>
      </c>
      <c r="C75" s="1" t="n">
        <v>16238</v>
      </c>
      <c r="D75" s="1" t="n">
        <v>319</v>
      </c>
      <c r="E75" s="4">
        <f>IF(INDEX(C:C, ROW())+INDEX(D:D, ROW())=0, 0, INDEX(C:C, ROW())/(INDEX(C:C, ROW())+INDEX(D:D, ROW())))</f>
        <v/>
      </c>
      <c r="F75" s="1" t="inlineStr">
        <is>
          <t>String, Dynamic Programming</t>
        </is>
      </c>
      <c r="G75" s="1" t="inlineStr">
        <is>
          <t>Medium</t>
        </is>
      </c>
      <c r="H75" s="1" t="n">
        <v>1360788</v>
      </c>
      <c r="I75" s="1" t="n">
        <v>2269483</v>
      </c>
      <c r="J75" s="9" t="n">
        <v>0.6</v>
      </c>
      <c r="K75" s="1" t="inlineStr">
        <is>
          <t>Yes</t>
        </is>
      </c>
      <c r="L75" s="1" t="inlineStr">
        <is>
          <t>Yes</t>
        </is>
      </c>
      <c r="M75" s="1" t="inlineStr">
        <is>
          <t>No</t>
        </is>
      </c>
      <c r="N75" s="1" t="inlineStr">
        <is>
          <t>Algorithms</t>
        </is>
      </c>
      <c r="O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6" ht="15.75" customHeight="1" s="12">
      <c r="A76" s="1" t="n">
        <v>155</v>
      </c>
      <c r="B76" s="3">
        <f>HYPERLINK("https://leetcode.com/problems/min-stack/", "Min Stack")</f>
        <v/>
      </c>
      <c r="C76" s="1" t="n">
        <v>15756</v>
      </c>
      <c r="D76" s="1" t="n">
        <v>985</v>
      </c>
      <c r="E76" s="4">
        <f>IF(INDEX(C:C, ROW())+INDEX(D:D, ROW())=0, 0, INDEX(C:C, ROW())/(INDEX(C:C, ROW())+INDEX(D:D, ROW())))</f>
        <v/>
      </c>
      <c r="F76" s="1" t="inlineStr">
        <is>
          <t>Stack, Design</t>
        </is>
      </c>
      <c r="G76" s="1" t="inlineStr">
        <is>
          <t>Medium</t>
        </is>
      </c>
      <c r="H76" s="1" t="n">
        <v>2549167</v>
      </c>
      <c r="I76" s="1" t="n">
        <v>4431663</v>
      </c>
      <c r="J76" s="9" t="n">
        <v>0.575</v>
      </c>
      <c r="K76" s="1" t="inlineStr">
        <is>
          <t>Yes</t>
        </is>
      </c>
      <c r="L76" s="1" t="inlineStr">
        <is>
          <t>Yes</t>
        </is>
      </c>
      <c r="M76" s="1" t="inlineStr">
        <is>
          <t>No</t>
        </is>
      </c>
      <c r="N76" s="1" t="inlineStr">
        <is>
          <t>Algorithms</t>
        </is>
      </c>
      <c r="O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7" ht="15.75" customHeight="1" s="12">
      <c r="A77" s="1" t="n">
        <v>543</v>
      </c>
      <c r="B77" s="3">
        <f>HYPERLINK("https://leetcode.com/problems/diameter-of-binary-tree/", "Diameter of Binary Tree")</f>
        <v/>
      </c>
      <c r="C77" s="1" t="n">
        <v>15419</v>
      </c>
      <c r="D77" s="1" t="n">
        <v>1221</v>
      </c>
      <c r="E77" s="4">
        <f>IF(INDEX(C:C, ROW())+INDEX(D:D, ROW())=0, 0, INDEX(C:C, ROW())/(INDEX(C:C, ROW())+INDEX(D:D, ROW())))</f>
        <v/>
      </c>
      <c r="F77" s="1" t="inlineStr">
        <is>
          <t>Tree, Depth-First Search, Binary Tree</t>
        </is>
      </c>
      <c r="G77" s="1" t="inlineStr">
        <is>
          <t>Easy</t>
        </is>
      </c>
      <c r="H77" s="1" t="n">
        <v>2353161</v>
      </c>
      <c r="I77" s="1" t="n">
        <v>3629805</v>
      </c>
      <c r="J77" s="9" t="n">
        <v>0.648</v>
      </c>
      <c r="K77" s="1" t="inlineStr">
        <is>
          <t>Yes</t>
        </is>
      </c>
      <c r="L77" s="1" t="inlineStr">
        <is>
          <t>Yes</t>
        </is>
      </c>
      <c r="M77" s="1" t="inlineStr">
        <is>
          <t>No</t>
        </is>
      </c>
      <c r="N77" s="1" t="inlineStr">
        <is>
          <t>Algorithms</t>
        </is>
      </c>
      <c r="O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8" ht="15.75" customHeight="1" s="12">
      <c r="A78" s="1" t="n">
        <v>25</v>
      </c>
      <c r="B78" s="3">
        <f>HYPERLINK("https://leetcode.com/problems/reverse-nodes-in-k-group/", "Reverse Nodes in k-Group")</f>
        <v/>
      </c>
      <c r="C78" s="1" t="n">
        <v>15412</v>
      </c>
      <c r="D78" s="1" t="n">
        <v>795</v>
      </c>
      <c r="E78" s="4">
        <f>IF(INDEX(C:C, ROW())+INDEX(D:D, ROW())=0, 0, INDEX(C:C, ROW())/(INDEX(C:C, ROW())+INDEX(D:D, ROW())))</f>
        <v/>
      </c>
      <c r="F78" s="1" t="inlineStr">
        <is>
          <t>Linked List, Recursion</t>
        </is>
      </c>
      <c r="G78" s="1" t="inlineStr">
        <is>
          <t>Hard</t>
        </is>
      </c>
      <c r="H78" s="1" t="n">
        <v>1433818</v>
      </c>
      <c r="I78" s="1" t="n">
        <v>2206559</v>
      </c>
      <c r="J78" s="9" t="n">
        <v>0.65</v>
      </c>
      <c r="K78" s="1" t="inlineStr">
        <is>
          <t>Yes</t>
        </is>
      </c>
      <c r="L78" s="1" t="inlineStr">
        <is>
          <t>Yes</t>
        </is>
      </c>
      <c r="M78" s="1" t="inlineStr">
        <is>
          <t>No</t>
        </is>
      </c>
      <c r="N78" s="1" t="inlineStr">
        <is>
          <t>Algorithms</t>
        </is>
      </c>
      <c r="O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9" ht="15.75" customHeight="1" s="12">
      <c r="A79" s="1" t="n">
        <v>9</v>
      </c>
      <c r="B79" s="3">
        <f>HYPERLINK("https://leetcode.com/problems/palindrome-number/", "Palindrome Number")</f>
        <v/>
      </c>
      <c r="C79" s="1" t="n">
        <v>15411</v>
      </c>
      <c r="D79" s="1" t="n">
        <v>2901</v>
      </c>
      <c r="E79" s="4">
        <f>IF(INDEX(C:C, ROW())+INDEX(D:D, ROW())=0, 0, INDEX(C:C, ROW())/(INDEX(C:C, ROW())+INDEX(D:D, ROW())))</f>
        <v/>
      </c>
      <c r="F79" s="1" t="inlineStr">
        <is>
          <t>Math</t>
        </is>
      </c>
      <c r="G79" s="1" t="inlineStr">
        <is>
          <t>Easy</t>
        </is>
      </c>
      <c r="H79" s="1" t="n">
        <v>7557733</v>
      </c>
      <c r="I79" s="1" t="n">
        <v>12576946</v>
      </c>
      <c r="J79" s="9" t="n">
        <v>0.601</v>
      </c>
      <c r="K79" s="1" t="inlineStr">
        <is>
          <t>Yes</t>
        </is>
      </c>
      <c r="L79" s="1" t="inlineStr">
        <is>
          <t>Yes</t>
        </is>
      </c>
      <c r="M79" s="1" t="inlineStr">
        <is>
          <t>Yes</t>
        </is>
      </c>
      <c r="N79" s="1" t="inlineStr">
        <is>
          <t>Algorithms</t>
        </is>
      </c>
      <c r="O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0" ht="15.75" customHeight="1" s="12">
      <c r="A80" s="1" t="n">
        <v>138</v>
      </c>
      <c r="B80" s="3">
        <f>HYPERLINK("https://leetcode.com/problems/copy-list-with-random-pointer/", "Copy List with Random Pointer")</f>
        <v/>
      </c>
      <c r="C80" s="1" t="n">
        <v>15338</v>
      </c>
      <c r="D80" s="1" t="n">
        <v>1664</v>
      </c>
      <c r="E80" s="4">
        <f>IF(INDEX(C:C, ROW())+INDEX(D:D, ROW())=0, 0, INDEX(C:C, ROW())/(INDEX(C:C, ROW())+INDEX(D:D, ROW())))</f>
        <v/>
      </c>
      <c r="F80" s="1" t="inlineStr">
        <is>
          <t>Hash Table, Linked List</t>
        </is>
      </c>
      <c r="G80" s="1" t="inlineStr">
        <is>
          <t>Medium</t>
        </is>
      </c>
      <c r="H80" s="1" t="n">
        <v>1816859</v>
      </c>
      <c r="I80" s="1" t="n">
        <v>2923672</v>
      </c>
      <c r="J80" s="9" t="n">
        <v>0.621</v>
      </c>
      <c r="K80" s="1" t="inlineStr">
        <is>
          <t>Yes</t>
        </is>
      </c>
      <c r="L80" s="1" t="inlineStr">
        <is>
          <t>Yes</t>
        </is>
      </c>
      <c r="M80" s="1" t="inlineStr">
        <is>
          <t>No</t>
        </is>
      </c>
      <c r="N80" s="1" t="inlineStr">
        <is>
          <t>Algorithms</t>
        </is>
      </c>
      <c r="O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1" ht="15.75" customHeight="1" s="12">
      <c r="A81" s="1" t="n">
        <v>122</v>
      </c>
      <c r="B81" s="3">
        <f>HYPERLINK("https://leetcode.com/problems/best-time-to-buy-and-sell-stock-ii/", "Best Time to Buy and Sell Stock II")</f>
        <v/>
      </c>
      <c r="C81" s="1" t="n">
        <v>15169</v>
      </c>
      <c r="D81" s="1" t="n">
        <v>2805</v>
      </c>
      <c r="E81" s="4">
        <f>IF(INDEX(C:C, ROW())+INDEX(D:D, ROW())=0, 0, INDEX(C:C, ROW())/(INDEX(C:C, ROW())+INDEX(D:D, ROW())))</f>
        <v/>
      </c>
      <c r="F81" s="1" t="inlineStr">
        <is>
          <t>Array, Dynamic Programming, Greedy</t>
        </is>
      </c>
      <c r="G81" s="1" t="inlineStr">
        <is>
          <t>Medium</t>
        </is>
      </c>
      <c r="H81" s="1" t="n">
        <v>2875677</v>
      </c>
      <c r="I81" s="1" t="n">
        <v>4076144</v>
      </c>
      <c r="J81" s="9" t="n">
        <v>0.705</v>
      </c>
      <c r="K81" s="1" t="inlineStr">
        <is>
          <t>Yes</t>
        </is>
      </c>
      <c r="L81" s="1" t="inlineStr">
        <is>
          <t>Yes</t>
        </is>
      </c>
      <c r="M81" s="1" t="inlineStr">
        <is>
          <t>Yes</t>
        </is>
      </c>
      <c r="N81" s="1" t="inlineStr">
        <is>
          <t>Algorithms</t>
        </is>
      </c>
      <c r="O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2" ht="15.75" customHeight="1" s="12">
      <c r="A82" s="1" t="n">
        <v>7</v>
      </c>
      <c r="B82" s="3">
        <f>HYPERLINK("https://leetcode.com/problems/reverse-integer/", "Reverse Integer")</f>
        <v/>
      </c>
      <c r="C82" s="1" t="n">
        <v>15145</v>
      </c>
      <c r="D82" s="1" t="n">
        <v>13946</v>
      </c>
      <c r="E82" s="4">
        <f>IF(INDEX(C:C, ROW())+INDEX(D:D, ROW())=0, 0, INDEX(C:C, ROW())/(INDEX(C:C, ROW())+INDEX(D:D, ROW())))</f>
        <v/>
      </c>
      <c r="F82" s="1" t="inlineStr">
        <is>
          <t>Math</t>
        </is>
      </c>
      <c r="G82" s="1" t="inlineStr">
        <is>
          <t>Medium</t>
        </is>
      </c>
      <c r="H82" s="1" t="n">
        <v>4689807</v>
      </c>
      <c r="I82" s="1" t="n">
        <v>14979208</v>
      </c>
      <c r="J82" s="9" t="n">
        <v>0.313</v>
      </c>
      <c r="K82" s="1" t="inlineStr">
        <is>
          <t>Yes</t>
        </is>
      </c>
      <c r="L82" s="1" t="inlineStr">
        <is>
          <t>Yes</t>
        </is>
      </c>
      <c r="M82" s="1" t="inlineStr">
        <is>
          <t>Yes</t>
        </is>
      </c>
      <c r="N82" s="1" t="inlineStr">
        <is>
          <t>Algorithms</t>
        </is>
      </c>
      <c r="O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3" ht="15.75" customHeight="1" s="12">
      <c r="A83" s="1" t="n">
        <v>226</v>
      </c>
      <c r="B83" s="3">
        <f>HYPERLINK("https://leetcode.com/problems/invert-binary-tree/", "Invert Binary Tree")</f>
        <v/>
      </c>
      <c r="C83" s="1" t="n">
        <v>15063</v>
      </c>
      <c r="D83" s="1" t="n">
        <v>251</v>
      </c>
      <c r="E83" s="4">
        <f>IF(INDEX(C:C, ROW())+INDEX(D:D, ROW())=0, 0, INDEX(C:C, ROW())/(INDEX(C:C, ROW())+INDEX(D:D, ROW())))</f>
        <v/>
      </c>
      <c r="F83" s="1" t="inlineStr">
        <is>
          <t>Tree, Depth-First Search, Breadth-First Search, Binary Tree</t>
        </is>
      </c>
      <c r="G83" s="1" t="inlineStr">
        <is>
          <t>Easy</t>
        </is>
      </c>
      <c r="H83" s="1" t="n">
        <v>2898076</v>
      </c>
      <c r="I83" s="1" t="n">
        <v>3635996</v>
      </c>
      <c r="J83" s="9" t="n">
        <v>0.797</v>
      </c>
      <c r="K83" s="1" t="inlineStr">
        <is>
          <t>Yes</t>
        </is>
      </c>
      <c r="L83" s="1" t="inlineStr">
        <is>
          <t>Yes</t>
        </is>
      </c>
      <c r="M83" s="1" t="inlineStr">
        <is>
          <t>Yes</t>
        </is>
      </c>
      <c r="N83" s="1" t="inlineStr">
        <is>
          <t>Algorithms</t>
        </is>
      </c>
      <c r="O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4" ht="15.75" customHeight="1" s="12">
      <c r="A84" s="1" t="n">
        <v>153</v>
      </c>
      <c r="B84" s="3">
        <f>HYPERLINK("https://leetcode.com/problems/find-minimum-in-rotated-sorted-array/", "Find Minimum in Rotated Sorted Array")</f>
        <v/>
      </c>
      <c r="C84" s="1" t="n">
        <v>14980</v>
      </c>
      <c r="D84" s="1" t="n">
        <v>653</v>
      </c>
      <c r="E84" s="4">
        <f>IF(INDEX(C:C, ROW())+INDEX(D:D, ROW())=0, 0, INDEX(C:C, ROW())/(INDEX(C:C, ROW())+INDEX(D:D, ROW())))</f>
        <v/>
      </c>
      <c r="F84" s="1" t="inlineStr">
        <is>
          <t>Array, Binary Search</t>
        </is>
      </c>
      <c r="G84" s="1" t="inlineStr">
        <is>
          <t>Medium</t>
        </is>
      </c>
      <c r="H84" s="1" t="n">
        <v>2822131</v>
      </c>
      <c r="I84" s="1" t="n">
        <v>5264784</v>
      </c>
      <c r="J84" s="9" t="n">
        <v>0.536</v>
      </c>
      <c r="K84" s="1" t="inlineStr">
        <is>
          <t>Yes</t>
        </is>
      </c>
      <c r="L84" s="1" t="inlineStr">
        <is>
          <t>Yes</t>
        </is>
      </c>
      <c r="M84" s="1" t="inlineStr">
        <is>
          <t>No</t>
        </is>
      </c>
      <c r="N84" s="1" t="inlineStr">
        <is>
          <t>Algorithms</t>
        </is>
      </c>
      <c r="O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5" ht="15.75" customHeight="1" s="12">
      <c r="A85" s="1" t="n">
        <v>142</v>
      </c>
      <c r="B85" s="3">
        <f>HYPERLINK("https://leetcode.com/problems/linked-list-cycle-ii/", "Linked List Cycle II")</f>
        <v/>
      </c>
      <c r="C85" s="1" t="n">
        <v>14961</v>
      </c>
      <c r="D85" s="1" t="n">
        <v>1077</v>
      </c>
      <c r="E85" s="4">
        <f>IF(INDEX(C:C, ROW())+INDEX(D:D, ROW())=0, 0, INDEX(C:C, ROW())/(INDEX(C:C, ROW())+INDEX(D:D, ROW())))</f>
        <v/>
      </c>
      <c r="F85" s="1" t="inlineStr">
        <is>
          <t>Hash Table, Linked List, Two Pointers</t>
        </is>
      </c>
      <c r="G85" s="1" t="inlineStr">
        <is>
          <t>Medium</t>
        </is>
      </c>
      <c r="H85" s="1" t="n">
        <v>1893691</v>
      </c>
      <c r="I85" s="1" t="n">
        <v>3329067</v>
      </c>
      <c r="J85" s="9" t="n">
        <v>0.569</v>
      </c>
      <c r="K85" s="1" t="inlineStr">
        <is>
          <t>Yes</t>
        </is>
      </c>
      <c r="L85" s="1" t="inlineStr">
        <is>
          <t>Yes</t>
        </is>
      </c>
      <c r="M85" s="1" t="inlineStr">
        <is>
          <t>No</t>
        </is>
      </c>
      <c r="N85" s="1" t="inlineStr">
        <is>
          <t>Algorithms</t>
        </is>
      </c>
      <c r="O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6" ht="15.75" customHeight="1" s="12">
      <c r="A86" s="1" t="n">
        <v>1143</v>
      </c>
      <c r="B86" s="3">
        <f>HYPERLINK("https://leetcode.com/problems/longest-common-subsequence/", "Longest Common Subsequence")</f>
        <v/>
      </c>
      <c r="C86" s="1" t="n">
        <v>14895</v>
      </c>
      <c r="D86" s="1" t="n">
        <v>239</v>
      </c>
      <c r="E86" s="4">
        <f>IF(INDEX(C:C, ROW())+INDEX(D:D, ROW())=0, 0, INDEX(C:C, ROW())/(INDEX(C:C, ROW())+INDEX(D:D, ROW())))</f>
        <v/>
      </c>
      <c r="F86" s="1" t="inlineStr">
        <is>
          <t>String, Dynamic Programming</t>
        </is>
      </c>
      <c r="G86" s="1" t="inlineStr">
        <is>
          <t>Medium</t>
        </is>
      </c>
      <c r="H86" s="1" t="n">
        <v>1730584</v>
      </c>
      <c r="I86" s="1" t="n">
        <v>2944136</v>
      </c>
      <c r="J86" s="9" t="n">
        <v>0.588</v>
      </c>
      <c r="K86" s="1" t="inlineStr">
        <is>
          <t>Yes</t>
        </is>
      </c>
      <c r="L86" s="1" t="inlineStr">
        <is>
          <t>Yes</t>
        </is>
      </c>
      <c r="M86" s="1" t="inlineStr">
        <is>
          <t>No</t>
        </is>
      </c>
      <c r="N86" s="1" t="inlineStr">
        <is>
          <t>Algorithms</t>
        </is>
      </c>
      <c r="O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7" ht="15.75" customHeight="1" s="12">
      <c r="A87" s="1" t="n">
        <v>994</v>
      </c>
      <c r="B87" s="3">
        <f>HYPERLINK("https://leetcode.com/problems/rotting-oranges/", "Rotting Oranges")</f>
        <v/>
      </c>
      <c r="C87" s="1" t="n">
        <v>14838</v>
      </c>
      <c r="D87" s="1" t="n">
        <v>470</v>
      </c>
      <c r="E87" s="4">
        <f>IF(INDEX(C:C, ROW())+INDEX(D:D, ROW())=0, 0, INDEX(C:C, ROW())/(INDEX(C:C, ROW())+INDEX(D:D, ROW())))</f>
        <v/>
      </c>
      <c r="F87" s="1" t="inlineStr">
        <is>
          <t>Array, Breadth-First Search, Matrix</t>
        </is>
      </c>
      <c r="G87" s="1" t="inlineStr">
        <is>
          <t>Medium</t>
        </is>
      </c>
      <c r="H87" s="1" t="n">
        <v>1511260</v>
      </c>
      <c r="I87" s="1" t="n">
        <v>2609967</v>
      </c>
      <c r="J87" s="9" t="n">
        <v>0.579</v>
      </c>
      <c r="K87" s="1" t="inlineStr">
        <is>
          <t>Yes</t>
        </is>
      </c>
      <c r="L87" s="1" t="inlineStr">
        <is>
          <t>Yes</t>
        </is>
      </c>
      <c r="M87" s="1" t="inlineStr">
        <is>
          <t>No</t>
        </is>
      </c>
      <c r="N87" s="1" t="inlineStr">
        <is>
          <t>Algorithms</t>
        </is>
      </c>
      <c r="O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8" ht="15.75" customHeight="1" s="12">
      <c r="A88" s="1" t="n">
        <v>118</v>
      </c>
      <c r="B88" s="3">
        <f>HYPERLINK("https://leetcode.com/problems/pascals-triangle/", "Pascal's Triangle")</f>
        <v/>
      </c>
      <c r="C88" s="1" t="n">
        <v>14761</v>
      </c>
      <c r="D88" s="1" t="n">
        <v>559</v>
      </c>
      <c r="E88" s="4">
        <f>IF(INDEX(C:C, ROW())+INDEX(D:D, ROW())=0, 0, INDEX(C:C, ROW())/(INDEX(C:C, ROW())+INDEX(D:D, ROW())))</f>
        <v/>
      </c>
      <c r="F88" s="1" t="inlineStr">
        <is>
          <t>Array, Dynamic Programming</t>
        </is>
      </c>
      <c r="G88" s="1" t="inlineStr">
        <is>
          <t>Easy</t>
        </is>
      </c>
      <c r="H88" s="1" t="n">
        <v>2539851</v>
      </c>
      <c r="I88" s="1" t="n">
        <v>3234166</v>
      </c>
      <c r="J88" s="9" t="n">
        <v>0.785</v>
      </c>
      <c r="K88" s="1" t="inlineStr">
        <is>
          <t>Yes</t>
        </is>
      </c>
      <c r="L88" s="1" t="inlineStr">
        <is>
          <t>Yes</t>
        </is>
      </c>
      <c r="M88" s="1" t="inlineStr">
        <is>
          <t>Yes</t>
        </is>
      </c>
      <c r="N88" s="1" t="inlineStr">
        <is>
          <t>Algorithms</t>
        </is>
      </c>
      <c r="O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9" ht="15.75" customHeight="1" s="12">
      <c r="A89" s="1" t="n">
        <v>94</v>
      </c>
      <c r="B89" s="3">
        <f>HYPERLINK("https://leetcode.com/problems/binary-tree-inorder-traversal/", "Binary Tree Inorder Traversal")</f>
        <v/>
      </c>
      <c r="C89" s="1" t="n">
        <v>14714</v>
      </c>
      <c r="D89" s="1" t="n">
        <v>882</v>
      </c>
      <c r="E89" s="4">
        <f>IF(INDEX(C:C, ROW())+INDEX(D:D, ROW())=0, 0, INDEX(C:C, ROW())/(INDEX(C:C, ROW())+INDEX(D:D, ROW())))</f>
        <v/>
      </c>
      <c r="F89" s="1" t="inlineStr">
        <is>
          <t>Stack, Tree, Depth-First Search, Binary Tree</t>
        </is>
      </c>
      <c r="G89" s="1" t="inlineStr">
        <is>
          <t>Easy</t>
        </is>
      </c>
      <c r="H89" s="1" t="n">
        <v>3515579</v>
      </c>
      <c r="I89" s="1" t="n">
        <v>4419159</v>
      </c>
      <c r="J89" s="9" t="n">
        <v>0.796</v>
      </c>
      <c r="K89" s="1" t="inlineStr">
        <is>
          <t>Yes</t>
        </is>
      </c>
      <c r="L89" s="1" t="inlineStr">
        <is>
          <t>Yes</t>
        </is>
      </c>
      <c r="M89" s="1" t="inlineStr">
        <is>
          <t>No</t>
        </is>
      </c>
      <c r="N89" s="1" t="inlineStr">
        <is>
          <t>Algorithms</t>
        </is>
      </c>
      <c r="O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0" ht="15.75" customHeight="1" s="12">
      <c r="A90" s="1" t="n">
        <v>739</v>
      </c>
      <c r="B90" s="3">
        <f>HYPERLINK("https://leetcode.com/problems/daily-temperatures/", "Daily Temperatures")</f>
        <v/>
      </c>
      <c r="C90" s="1" t="n">
        <v>14459</v>
      </c>
      <c r="D90" s="1" t="n">
        <v>364</v>
      </c>
      <c r="E90" s="4">
        <f>IF(INDEX(C:C, ROW())+INDEX(D:D, ROW())=0, 0, INDEX(C:C, ROW())/(INDEX(C:C, ROW())+INDEX(D:D, ROW())))</f>
        <v/>
      </c>
      <c r="F90" s="1" t="inlineStr">
        <is>
          <t>Array, Stack, Monotonic Stack</t>
        </is>
      </c>
      <c r="G90" s="1" t="inlineStr">
        <is>
          <t>Medium</t>
        </is>
      </c>
      <c r="H90" s="1" t="n">
        <v>1567564</v>
      </c>
      <c r="I90" s="1" t="n">
        <v>2300229</v>
      </c>
      <c r="J90" s="9" t="n">
        <v>0.681</v>
      </c>
      <c r="K90" s="1" t="inlineStr">
        <is>
          <t>Yes</t>
        </is>
      </c>
      <c r="L90" s="1" t="inlineStr">
        <is>
          <t>Yes</t>
        </is>
      </c>
      <c r="M90" s="1" t="inlineStr">
        <is>
          <t>No</t>
        </is>
      </c>
      <c r="N90" s="1" t="inlineStr">
        <is>
          <t>Algorithms</t>
        </is>
      </c>
      <c r="O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1" ht="15.75" customHeight="1" s="12">
      <c r="A91" s="1" t="n">
        <v>162</v>
      </c>
      <c r="B91" s="3">
        <f>HYPERLINK("https://leetcode.com/problems/find-peak-element/", "Find Peak Element")</f>
        <v/>
      </c>
      <c r="C91" s="1" t="n">
        <v>14279</v>
      </c>
      <c r="D91" s="1" t="n">
        <v>4932</v>
      </c>
      <c r="E91" s="4">
        <f>IF(INDEX(C:C, ROW())+INDEX(D:D, ROW())=0, 0, INDEX(C:C, ROW())/(INDEX(C:C, ROW())+INDEX(D:D, ROW())))</f>
        <v/>
      </c>
      <c r="F91" s="1" t="inlineStr">
        <is>
          <t>Array, Binary Search</t>
        </is>
      </c>
      <c r="G91" s="1" t="inlineStr">
        <is>
          <t>Medium</t>
        </is>
      </c>
      <c r="H91" s="1" t="n">
        <v>2263643</v>
      </c>
      <c r="I91" s="1" t="n">
        <v>4842453</v>
      </c>
      <c r="J91" s="9" t="n">
        <v>0.467</v>
      </c>
      <c r="K91" s="1" t="inlineStr">
        <is>
          <t>Yes</t>
        </is>
      </c>
      <c r="L91" s="1" t="inlineStr">
        <is>
          <t>Yes</t>
        </is>
      </c>
      <c r="M91" s="1" t="inlineStr">
        <is>
          <t>Yes</t>
        </is>
      </c>
      <c r="N91" s="1" t="inlineStr">
        <is>
          <t>Algorithms</t>
        </is>
      </c>
      <c r="O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2" ht="15.75" customHeight="1" s="12">
      <c r="A92" s="1" t="n">
        <v>104</v>
      </c>
      <c r="B92" s="3">
        <f>HYPERLINK("https://leetcode.com/problems/maximum-depth-of-binary-tree/", "Maximum Depth of Binary Tree")</f>
        <v/>
      </c>
      <c r="C92" s="1" t="n">
        <v>14113</v>
      </c>
      <c r="D92" s="1" t="n">
        <v>282</v>
      </c>
      <c r="E92" s="4">
        <f>IF(INDEX(C:C, ROW())+INDEX(D:D, ROW())=0, 0, INDEX(C:C, ROW())/(INDEX(C:C, ROW())+INDEX(D:D, ROW())))</f>
        <v/>
      </c>
      <c r="F92" s="1" t="inlineStr">
        <is>
          <t>Tree, Depth-First Search, Breadth-First Search, Binary Tree</t>
        </is>
      </c>
      <c r="G92" s="1" t="inlineStr">
        <is>
          <t>Easy</t>
        </is>
      </c>
      <c r="H92" s="1" t="n">
        <v>4522813</v>
      </c>
      <c r="I92" s="1" t="n">
        <v>5813562</v>
      </c>
      <c r="J92" s="9" t="n">
        <v>0.778</v>
      </c>
      <c r="K92" s="1" t="inlineStr">
        <is>
          <t>Yes</t>
        </is>
      </c>
      <c r="L92" s="1" t="inlineStr">
        <is>
          <t>Yes</t>
        </is>
      </c>
      <c r="M92" s="1" t="inlineStr">
        <is>
          <t>Yes</t>
        </is>
      </c>
      <c r="N92" s="1" t="inlineStr">
        <is>
          <t>Algorithms</t>
        </is>
      </c>
      <c r="O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3" ht="15.75" customHeight="1" s="12">
      <c r="A93" s="1" t="n">
        <v>131</v>
      </c>
      <c r="B93" s="3">
        <f>HYPERLINK("https://leetcode.com/problems/palindrome-partitioning/", "Palindrome Partitioning")</f>
        <v/>
      </c>
      <c r="C93" s="1" t="n">
        <v>14099</v>
      </c>
      <c r="D93" s="1" t="n">
        <v>567</v>
      </c>
      <c r="E93" s="4">
        <f>IF(INDEX(C:C, ROW())+INDEX(D:D, ROW())=0, 0, INDEX(C:C, ROW())/(INDEX(C:C, ROW())+INDEX(D:D, ROW())))</f>
        <v/>
      </c>
      <c r="F93" s="1" t="inlineStr">
        <is>
          <t>String, Dynamic Programming, Backtracking</t>
        </is>
      </c>
      <c r="G93" s="1" t="inlineStr">
        <is>
          <t>Medium</t>
        </is>
      </c>
      <c r="H93" s="1" t="n">
        <v>1278545</v>
      </c>
      <c r="I93" s="1" t="n">
        <v>1739428</v>
      </c>
      <c r="J93" s="9" t="n">
        <v>0.735</v>
      </c>
      <c r="K93" s="1" t="inlineStr">
        <is>
          <t>Yes</t>
        </is>
      </c>
      <c r="L93" s="1" t="inlineStr">
        <is>
          <t>Yes</t>
        </is>
      </c>
      <c r="M93" s="1" t="inlineStr">
        <is>
          <t>No</t>
        </is>
      </c>
      <c r="N93" s="1" t="inlineStr">
        <is>
          <t>Algorithms</t>
        </is>
      </c>
      <c r="O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4" ht="15.75" customHeight="1" s="12">
      <c r="A94" s="1" t="n">
        <v>209</v>
      </c>
      <c r="B94" s="3">
        <f>HYPERLINK("https://leetcode.com/problems/minimum-size-subarray-sum/", "Minimum Size Subarray Sum")</f>
        <v/>
      </c>
      <c r="C94" s="1" t="n">
        <v>14095</v>
      </c>
      <c r="D94" s="1" t="n">
        <v>529</v>
      </c>
      <c r="E94" s="4">
        <f>IF(INDEX(C:C, ROW())+INDEX(D:D, ROW())=0, 0, INDEX(C:C, ROW())/(INDEX(C:C, ROW())+INDEX(D:D, ROW())))</f>
        <v/>
      </c>
      <c r="F94" s="1" t="inlineStr">
        <is>
          <t>Array, Binary Search, Sliding Window, Prefix Sum</t>
        </is>
      </c>
      <c r="G94" s="1" t="inlineStr">
        <is>
          <t>Medium</t>
        </is>
      </c>
      <c r="H94" s="1" t="n">
        <v>1725128</v>
      </c>
      <c r="I94" s="1" t="n">
        <v>3403902</v>
      </c>
      <c r="J94" s="9" t="n">
        <v>0.507</v>
      </c>
      <c r="K94" s="1" t="inlineStr">
        <is>
          <t>Yes</t>
        </is>
      </c>
      <c r="L94" s="1" t="inlineStr">
        <is>
          <t>Yes</t>
        </is>
      </c>
      <c r="M94" s="1" t="inlineStr">
        <is>
          <t>No</t>
        </is>
      </c>
      <c r="N94" s="1" t="inlineStr">
        <is>
          <t>Algorithms</t>
        </is>
      </c>
      <c r="O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5" ht="15.75" customHeight="1" s="12">
      <c r="A95" s="1" t="n">
        <v>51</v>
      </c>
      <c r="B95" s="3">
        <f>HYPERLINK("https://leetcode.com/problems/n-queens/", "N-Queens")</f>
        <v/>
      </c>
      <c r="C95" s="1" t="n">
        <v>14053</v>
      </c>
      <c r="D95" s="1" t="n">
        <v>341</v>
      </c>
      <c r="E95" s="4">
        <f>IF(INDEX(C:C, ROW())+INDEX(D:D, ROW())=0, 0, INDEX(C:C, ROW())/(INDEX(C:C, ROW())+INDEX(D:D, ROW())))</f>
        <v/>
      </c>
      <c r="F95" s="1" t="inlineStr">
        <is>
          <t>Array, Backtracking</t>
        </is>
      </c>
      <c r="G95" s="1" t="inlineStr">
        <is>
          <t>Hard</t>
        </is>
      </c>
      <c r="H95" s="1" t="n">
        <v>1179863</v>
      </c>
      <c r="I95" s="1" t="n">
        <v>1580027</v>
      </c>
      <c r="J95" s="9" t="n">
        <v>0.747</v>
      </c>
      <c r="K95" s="1" t="inlineStr">
        <is>
          <t>Yes</t>
        </is>
      </c>
      <c r="L95" s="1" t="inlineStr">
        <is>
          <t>Yes</t>
        </is>
      </c>
      <c r="M95" s="1" t="inlineStr">
        <is>
          <t>No</t>
        </is>
      </c>
      <c r="N95" s="1" t="inlineStr">
        <is>
          <t>Algorithms</t>
        </is>
      </c>
      <c r="O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6" ht="15.75" customHeight="1" s="12">
      <c r="A96" s="1" t="n">
        <v>268</v>
      </c>
      <c r="B96" s="3">
        <f>HYPERLINK("https://leetcode.com/problems/missing-number/", "Missing Number")</f>
        <v/>
      </c>
      <c r="C96" s="1" t="n">
        <v>14004</v>
      </c>
      <c r="D96" s="1" t="n">
        <v>3458</v>
      </c>
      <c r="E96" s="4">
        <f>IF(INDEX(C:C, ROW())+INDEX(D:D, ROW())=0, 0, INDEX(C:C, ROW())/(INDEX(C:C, ROW())+INDEX(D:D, ROW())))</f>
        <v/>
      </c>
      <c r="F96" s="1" t="inlineStr">
        <is>
          <t>Array, Hash Table, Math, Binary Search, Bit Manipulation, Sorting</t>
        </is>
      </c>
      <c r="G96" s="1" t="inlineStr">
        <is>
          <t>Easy</t>
        </is>
      </c>
      <c r="H96" s="1" t="n">
        <v>3641137</v>
      </c>
      <c r="I96" s="1" t="n">
        <v>5100102</v>
      </c>
      <c r="J96" s="9" t="n">
        <v>0.714</v>
      </c>
      <c r="K96" s="1" t="inlineStr">
        <is>
          <t>Yes</t>
        </is>
      </c>
      <c r="L96" s="1" t="inlineStr">
        <is>
          <t>Yes</t>
        </is>
      </c>
      <c r="M96" s="1" t="inlineStr">
        <is>
          <t>Yes</t>
        </is>
      </c>
      <c r="N96" s="1" t="inlineStr">
        <is>
          <t>Algorithms</t>
        </is>
      </c>
      <c r="O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7" ht="15.75" customHeight="1" s="12">
      <c r="A97" s="1" t="n">
        <v>242</v>
      </c>
      <c r="B97" s="3">
        <f>HYPERLINK("https://leetcode.com/problems/valid-anagram/", "Valid Anagram")</f>
        <v/>
      </c>
      <c r="C97" s="1" t="n">
        <v>13980</v>
      </c>
      <c r="D97" s="1" t="n">
        <v>461</v>
      </c>
      <c r="E97" s="4">
        <f>IF(INDEX(C:C, ROW())+INDEX(D:D, ROW())=0, 0, INDEX(C:C, ROW())/(INDEX(C:C, ROW())+INDEX(D:D, ROW())))</f>
        <v/>
      </c>
      <c r="F97" s="1" t="inlineStr">
        <is>
          <t>Hash Table, String, Sorting</t>
        </is>
      </c>
      <c r="G97" s="1" t="inlineStr">
        <is>
          <t>Easy</t>
        </is>
      </c>
      <c r="H97" s="1" t="n">
        <v>5692813</v>
      </c>
      <c r="I97" s="1" t="n">
        <v>8421620</v>
      </c>
      <c r="J97" s="9" t="n">
        <v>0.676</v>
      </c>
      <c r="K97" s="1" t="inlineStr">
        <is>
          <t>Yes</t>
        </is>
      </c>
      <c r="L97" s="1" t="inlineStr">
        <is>
          <t>Yes</t>
        </is>
      </c>
      <c r="M97" s="1" t="inlineStr">
        <is>
          <t>Yes</t>
        </is>
      </c>
      <c r="N97" s="1" t="inlineStr">
        <is>
          <t>Algorithms</t>
        </is>
      </c>
      <c r="O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8" ht="15.75" customHeight="1" s="12">
      <c r="A98" s="1" t="n">
        <v>394</v>
      </c>
      <c r="B98" s="3">
        <f>HYPERLINK("https://leetcode.com/problems/decode-string/", "Decode String")</f>
        <v/>
      </c>
      <c r="C98" s="1" t="n">
        <v>13831</v>
      </c>
      <c r="D98" s="1" t="n">
        <v>689</v>
      </c>
      <c r="E98" s="4">
        <f>IF(INDEX(C:C, ROW())+INDEX(D:D, ROW())=0, 0, INDEX(C:C, ROW())/(INDEX(C:C, ROW())+INDEX(D:D, ROW())))</f>
        <v/>
      </c>
      <c r="F98" s="1" t="inlineStr">
        <is>
          <t>String, Stack, Recursion</t>
        </is>
      </c>
      <c r="G98" s="1" t="inlineStr">
        <is>
          <t>Medium</t>
        </is>
      </c>
      <c r="H98" s="1" t="n">
        <v>1140264</v>
      </c>
      <c r="I98" s="1" t="n">
        <v>1836369</v>
      </c>
      <c r="J98" s="9" t="n">
        <v>0.621</v>
      </c>
      <c r="K98" s="1" t="inlineStr">
        <is>
          <t>Yes</t>
        </is>
      </c>
      <c r="L98" s="1" t="inlineStr">
        <is>
          <t>Yes</t>
        </is>
      </c>
      <c r="M98" s="1" t="inlineStr">
        <is>
          <t>No</t>
        </is>
      </c>
      <c r="N98" s="1" t="inlineStr">
        <is>
          <t>Algorithms</t>
        </is>
      </c>
      <c r="O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9" ht="15.75" customHeight="1" s="12">
      <c r="A99" s="1" t="n">
        <v>416</v>
      </c>
      <c r="B99" s="3">
        <f>HYPERLINK("https://leetcode.com/problems/partition-equal-subset-sum/", "Partition Equal Subset Sum")</f>
        <v/>
      </c>
      <c r="C99" s="1" t="n">
        <v>13693</v>
      </c>
      <c r="D99" s="1" t="n">
        <v>297</v>
      </c>
      <c r="E99" s="4">
        <f>IF(INDEX(C:C, ROW())+INDEX(D:D, ROW())=0, 0, INDEX(C:C, ROW())/(INDEX(C:C, ROW())+INDEX(D:D, ROW())))</f>
        <v/>
      </c>
      <c r="F99" s="1" t="inlineStr">
        <is>
          <t>Array, Dynamic Programming</t>
        </is>
      </c>
      <c r="G99" s="1" t="inlineStr">
        <is>
          <t>Medium</t>
        </is>
      </c>
      <c r="H99" s="1" t="n">
        <v>1420635</v>
      </c>
      <c r="I99" s="1" t="n">
        <v>2892911</v>
      </c>
      <c r="J99" s="9" t="n">
        <v>0.491</v>
      </c>
      <c r="K99" s="1" t="inlineStr">
        <is>
          <t>Yes</t>
        </is>
      </c>
      <c r="L99" s="1" t="inlineStr">
        <is>
          <t>Yes</t>
        </is>
      </c>
      <c r="M99" s="1" t="inlineStr">
        <is>
          <t>Yes</t>
        </is>
      </c>
      <c r="N99" s="1" t="inlineStr">
        <is>
          <t>Algorithms</t>
        </is>
      </c>
      <c r="O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0" ht="15.75" customHeight="1" s="12">
      <c r="A100" s="1" t="n">
        <v>217</v>
      </c>
      <c r="B100" s="3">
        <f>HYPERLINK("https://leetcode.com/problems/contains-duplicate/", "Contains Duplicate")</f>
        <v/>
      </c>
      <c r="C100" s="1" t="n">
        <v>13647</v>
      </c>
      <c r="D100" s="1" t="n">
        <v>1352</v>
      </c>
      <c r="E100" s="4">
        <f>IF(INDEX(C:C, ROW())+INDEX(D:D, ROW())=0, 0, INDEX(C:C, ROW())/(INDEX(C:C, ROW())+INDEX(D:D, ROW())))</f>
        <v/>
      </c>
      <c r="F100" s="1" t="inlineStr">
        <is>
          <t>Array, Hash Table, Sorting</t>
        </is>
      </c>
      <c r="G100" s="1" t="inlineStr">
        <is>
          <t>Easy</t>
        </is>
      </c>
      <c r="H100" s="1" t="n">
        <v>5980440</v>
      </c>
      <c r="I100" s="1" t="n">
        <v>9352699</v>
      </c>
      <c r="J100" s="9" t="n">
        <v>0.639</v>
      </c>
      <c r="K100" s="1" t="inlineStr">
        <is>
          <t>Yes</t>
        </is>
      </c>
      <c r="L100" s="1" t="inlineStr">
        <is>
          <t>Yes</t>
        </is>
      </c>
      <c r="M100" s="1" t="inlineStr">
        <is>
          <t>No</t>
        </is>
      </c>
      <c r="N100" s="1" t="inlineStr">
        <is>
          <t>Algorithms</t>
        </is>
      </c>
      <c r="O1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1" ht="15.75" customHeight="1" s="12">
      <c r="A101" s="1" t="n">
        <v>64</v>
      </c>
      <c r="B101" s="3">
        <f>HYPERLINK("https://leetcode.com/problems/minimum-path-sum/", "Minimum Path Sum")</f>
        <v/>
      </c>
      <c r="C101" s="1" t="n">
        <v>13529</v>
      </c>
      <c r="D101" s="1" t="n">
        <v>196</v>
      </c>
      <c r="E101" s="4">
        <f>IF(INDEX(C:C, ROW())+INDEX(D:D, ROW())=0, 0, INDEX(C:C, ROW())/(INDEX(C:C, ROW())+INDEX(D:D, ROW())))</f>
        <v/>
      </c>
      <c r="F101" s="1" t="inlineStr">
        <is>
          <t>Array, Dynamic Programming, Matrix</t>
        </is>
      </c>
      <c r="G101" s="1" t="inlineStr">
        <is>
          <t>Medium</t>
        </is>
      </c>
      <c r="H101" s="1" t="n">
        <v>1745344</v>
      </c>
      <c r="I101" s="1" t="n">
        <v>2580603</v>
      </c>
      <c r="J101" s="9" t="n">
        <v>0.676</v>
      </c>
      <c r="K101" s="1" t="inlineStr">
        <is>
          <t>Yes</t>
        </is>
      </c>
      <c r="L101" s="1" t="inlineStr">
        <is>
          <t>Yes</t>
        </is>
      </c>
      <c r="M101" s="1" t="inlineStr">
        <is>
          <t>No</t>
        </is>
      </c>
      <c r="N101" s="1" t="inlineStr">
        <is>
          <t>Algorithms</t>
        </is>
      </c>
      <c r="O1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2" ht="15.75" customHeight="1" s="12">
      <c r="A102" s="1" t="n">
        <v>114</v>
      </c>
      <c r="B102" s="3">
        <f>HYPERLINK("https://leetcode.com/problems/flatten-binary-tree-to-linked-list/", "Flatten Binary Tree to Linked List")</f>
        <v/>
      </c>
      <c r="C102" s="1" t="n">
        <v>13510</v>
      </c>
      <c r="D102" s="1" t="n">
        <v>598</v>
      </c>
      <c r="E102" s="4">
        <f>IF(INDEX(C:C, ROW())+INDEX(D:D, ROW())=0, 0, INDEX(C:C, ROW())/(INDEX(C:C, ROW())+INDEX(D:D, ROW())))</f>
        <v/>
      </c>
      <c r="F102" s="1" t="inlineStr">
        <is>
          <t>Linked List, Stack, Tree, Depth-First Search, Binary Tree</t>
        </is>
      </c>
      <c r="G102" s="1" t="inlineStr">
        <is>
          <t>Medium</t>
        </is>
      </c>
      <c r="H102" s="1" t="n">
        <v>1331792</v>
      </c>
      <c r="I102" s="1" t="n">
        <v>1903743</v>
      </c>
      <c r="J102" s="9" t="n">
        <v>0.7</v>
      </c>
      <c r="K102" s="1" t="inlineStr">
        <is>
          <t>Yes</t>
        </is>
      </c>
      <c r="L102" s="1" t="inlineStr">
        <is>
          <t>Yes</t>
        </is>
      </c>
      <c r="M102" s="1" t="inlineStr">
        <is>
          <t>No</t>
        </is>
      </c>
      <c r="N102" s="1" t="inlineStr">
        <is>
          <t>Algorithms</t>
        </is>
      </c>
      <c r="O1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3" ht="15.75" customHeight="1" s="12">
      <c r="A103" s="1" t="n">
        <v>127</v>
      </c>
      <c r="B103" s="3">
        <f>HYPERLINK("https://leetcode.com/problems/word-ladder/", "Word Ladder")</f>
        <v/>
      </c>
      <c r="C103" s="1" t="n">
        <v>13334</v>
      </c>
      <c r="D103" s="1" t="n">
        <v>1958</v>
      </c>
      <c r="E103" s="4">
        <f>IF(INDEX(C:C, ROW())+INDEX(D:D, ROW())=0, 0, INDEX(C:C, ROW())/(INDEX(C:C, ROW())+INDEX(D:D, ROW())))</f>
        <v/>
      </c>
      <c r="F103" s="1" t="inlineStr">
        <is>
          <t>Hash Table, String, Breadth-First Search</t>
        </is>
      </c>
      <c r="G103" s="1" t="inlineStr">
        <is>
          <t>Hard</t>
        </is>
      </c>
      <c r="H103" s="1" t="n">
        <v>1536360</v>
      </c>
      <c r="I103" s="1" t="n">
        <v>3443930</v>
      </c>
      <c r="J103" s="9" t="n">
        <v>0.446</v>
      </c>
      <c r="K103" s="1" t="inlineStr">
        <is>
          <t>Yes</t>
        </is>
      </c>
      <c r="L103" s="1" t="inlineStr">
        <is>
          <t>Yes</t>
        </is>
      </c>
      <c r="M103" s="1" t="inlineStr">
        <is>
          <t>Yes</t>
        </is>
      </c>
      <c r="N103" s="1" t="inlineStr">
        <is>
          <t>Algorithms</t>
        </is>
      </c>
      <c r="O1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4" ht="15.75" customHeight="1" s="12">
      <c r="A104" s="1" t="n">
        <v>134</v>
      </c>
      <c r="B104" s="3">
        <f>HYPERLINK("https://leetcode.com/problems/gas-station/", "Gas Station")</f>
        <v/>
      </c>
      <c r="C104" s="1" t="n">
        <v>13316</v>
      </c>
      <c r="D104" s="1" t="n">
        <v>1366</v>
      </c>
      <c r="E104" s="4">
        <f>IF(INDEX(C:C, ROW())+INDEX(D:D, ROW())=0, 0, INDEX(C:C, ROW())/(INDEX(C:C, ROW())+INDEX(D:D, ROW())))</f>
        <v/>
      </c>
      <c r="F104" s="1" t="inlineStr">
        <is>
          <t>Array, Greedy</t>
        </is>
      </c>
      <c r="G104" s="1" t="inlineStr">
        <is>
          <t>Medium</t>
        </is>
      </c>
      <c r="H104" s="1" t="n">
        <v>1269503</v>
      </c>
      <c r="I104" s="1" t="n">
        <v>2681772</v>
      </c>
      <c r="J104" s="9" t="n">
        <v>0.473</v>
      </c>
      <c r="K104" s="1" t="inlineStr">
        <is>
          <t>Yes</t>
        </is>
      </c>
      <c r="L104" s="1" t="inlineStr">
        <is>
          <t>Yes</t>
        </is>
      </c>
      <c r="M104" s="1" t="inlineStr">
        <is>
          <t>No</t>
        </is>
      </c>
      <c r="N104" s="1" t="inlineStr">
        <is>
          <t>Algorithms</t>
        </is>
      </c>
      <c r="O1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5" ht="15.75" customHeight="1" s="12">
      <c r="A105" s="1" t="n">
        <v>199</v>
      </c>
      <c r="B105" s="3">
        <f>HYPERLINK("https://leetcode.com/problems/binary-tree-right-side-view/", "Binary Tree Right Side View")</f>
        <v/>
      </c>
      <c r="C105" s="1" t="n">
        <v>13250</v>
      </c>
      <c r="D105" s="1" t="n">
        <v>1082</v>
      </c>
      <c r="E105" s="4">
        <f>IF(INDEX(C:C, ROW())+INDEX(D:D, ROW())=0, 0, INDEX(C:C, ROW())/(INDEX(C:C, ROW())+INDEX(D:D, ROW())))</f>
        <v/>
      </c>
      <c r="F105" s="1" t="inlineStr">
        <is>
          <t>Tree, Depth-First Search, Breadth-First Search, Binary Tree</t>
        </is>
      </c>
      <c r="G105" s="1" t="inlineStr">
        <is>
          <t>Medium</t>
        </is>
      </c>
      <c r="H105" s="1" t="n">
        <v>2101630</v>
      </c>
      <c r="I105" s="1" t="n">
        <v>3039731</v>
      </c>
      <c r="J105" s="9" t="n">
        <v>0.6909999999999999</v>
      </c>
      <c r="K105" s="1" t="inlineStr">
        <is>
          <t>Yes</t>
        </is>
      </c>
      <c r="L105" s="1" t="inlineStr">
        <is>
          <t>Yes</t>
        </is>
      </c>
      <c r="M105" s="1" t="inlineStr">
        <is>
          <t>Yes</t>
        </is>
      </c>
      <c r="N105" s="1" t="inlineStr">
        <is>
          <t>Algorithms</t>
        </is>
      </c>
      <c r="O1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6" ht="15.75" customHeight="1" s="12">
      <c r="A106" s="1" t="n">
        <v>875</v>
      </c>
      <c r="B106" s="3">
        <f>HYPERLINK("https://leetcode.com/problems/koko-eating-bananas/", "Koko Eating Bananas")</f>
        <v/>
      </c>
      <c r="C106" s="1" t="n">
        <v>13248</v>
      </c>
      <c r="D106" s="1" t="n">
        <v>888</v>
      </c>
      <c r="E106" s="4">
        <f>IF(INDEX(C:C, ROW())+INDEX(D:D, ROW())=0, 0, INDEX(C:C, ROW())/(INDEX(C:C, ROW())+INDEX(D:D, ROW())))</f>
        <v/>
      </c>
      <c r="F106" s="1" t="inlineStr">
        <is>
          <t>Array, Binary Search</t>
        </is>
      </c>
      <c r="G106" s="1" t="inlineStr">
        <is>
          <t>Medium</t>
        </is>
      </c>
      <c r="H106" s="1" t="n">
        <v>1421975</v>
      </c>
      <c r="I106" s="1" t="n">
        <v>2871306</v>
      </c>
      <c r="J106" s="9" t="n">
        <v>0.495</v>
      </c>
      <c r="K106" s="1" t="inlineStr">
        <is>
          <t>Yes</t>
        </is>
      </c>
      <c r="L106" s="1" t="inlineStr">
        <is>
          <t>Yes</t>
        </is>
      </c>
      <c r="M106" s="1" t="inlineStr">
        <is>
          <t>No</t>
        </is>
      </c>
      <c r="N106" s="1" t="inlineStr">
        <is>
          <t>Algorithms</t>
        </is>
      </c>
      <c r="O1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7" ht="15.75" customHeight="1" s="12">
      <c r="A107" s="1" t="n">
        <v>704</v>
      </c>
      <c r="B107" s="3">
        <f>HYPERLINK("https://leetcode.com/problems/binary-search/", "Binary Search")</f>
        <v/>
      </c>
      <c r="C107" s="1" t="n">
        <v>13238</v>
      </c>
      <c r="D107" s="1" t="n">
        <v>296</v>
      </c>
      <c r="E107" s="4">
        <f>IF(INDEX(C:C, ROW())+INDEX(D:D, ROW())=0, 0, INDEX(C:C, ROW())/(INDEX(C:C, ROW())+INDEX(D:D, ROW())))</f>
        <v/>
      </c>
      <c r="F107" s="1" t="inlineStr">
        <is>
          <t>Array, Binary Search</t>
        </is>
      </c>
      <c r="G107" s="1" t="inlineStr">
        <is>
          <t>Easy</t>
        </is>
      </c>
      <c r="H107" s="1" t="n">
        <v>3656564</v>
      </c>
      <c r="I107" s="1" t="n">
        <v>6060749</v>
      </c>
      <c r="J107" s="9" t="n">
        <v>0.603</v>
      </c>
      <c r="K107" s="1" t="inlineStr">
        <is>
          <t>Yes</t>
        </is>
      </c>
      <c r="L107" s="1" t="inlineStr">
        <is>
          <t>Yes</t>
        </is>
      </c>
      <c r="M107" s="1" t="inlineStr">
        <is>
          <t>No</t>
        </is>
      </c>
      <c r="N107" s="1" t="inlineStr">
        <is>
          <t>Algorithms</t>
        </is>
      </c>
      <c r="O1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8" ht="15.75" customHeight="1" s="12">
      <c r="A108" s="1" t="n">
        <v>167</v>
      </c>
      <c r="B108" s="3">
        <f>HYPERLINK("https://leetcode.com/problems/two-sum-ii-input-array-is-sorted/", "Two Sum II - Input Array Is Sorted")</f>
        <v/>
      </c>
      <c r="C108" s="1" t="n">
        <v>13230</v>
      </c>
      <c r="D108" s="1" t="n">
        <v>1516</v>
      </c>
      <c r="E108" s="4">
        <f>IF(INDEX(C:C, ROW())+INDEX(D:D, ROW())=0, 0, INDEX(C:C, ROW())/(INDEX(C:C, ROW())+INDEX(D:D, ROW())))</f>
        <v/>
      </c>
      <c r="F108" s="1" t="inlineStr">
        <is>
          <t>Array, Two Pointers, Binary Search</t>
        </is>
      </c>
      <c r="G108" s="1" t="inlineStr">
        <is>
          <t>Medium</t>
        </is>
      </c>
      <c r="H108" s="1" t="n">
        <v>3147777</v>
      </c>
      <c r="I108" s="1" t="n">
        <v>4887560</v>
      </c>
      <c r="J108" s="9" t="n">
        <v>0.644</v>
      </c>
      <c r="K108" s="1" t="inlineStr">
        <is>
          <t>Yes</t>
        </is>
      </c>
      <c r="L108" s="1" t="inlineStr">
        <is>
          <t>Yes</t>
        </is>
      </c>
      <c r="M108" s="1" t="inlineStr">
        <is>
          <t>No</t>
        </is>
      </c>
      <c r="N108" s="1" t="inlineStr">
        <is>
          <t>Algorithms</t>
        </is>
      </c>
      <c r="O1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9" ht="15.75" customHeight="1" s="12">
      <c r="A109" s="1" t="n">
        <v>32</v>
      </c>
      <c r="B109" s="3">
        <f>HYPERLINK("https://leetcode.com/problems/longest-valid-parentheses/", "Longest Valid Parentheses")</f>
        <v/>
      </c>
      <c r="C109" s="1" t="n">
        <v>13177</v>
      </c>
      <c r="D109" s="1" t="n">
        <v>460</v>
      </c>
      <c r="E109" s="4">
        <f>IF(INDEX(C:C, ROW())+INDEX(D:D, ROW())=0, 0, INDEX(C:C, ROW())/(INDEX(C:C, ROW())+INDEX(D:D, ROW())))</f>
        <v/>
      </c>
      <c r="F109" s="1" t="inlineStr">
        <is>
          <t>String, Dynamic Programming, Stack</t>
        </is>
      </c>
      <c r="G109" s="1" t="inlineStr">
        <is>
          <t>Hard</t>
        </is>
      </c>
      <c r="H109" s="1" t="n">
        <v>1032649</v>
      </c>
      <c r="I109" s="1" t="n">
        <v>2736120</v>
      </c>
      <c r="J109" s="9" t="n">
        <v>0.377</v>
      </c>
      <c r="K109" s="1" t="inlineStr">
        <is>
          <t>Yes</t>
        </is>
      </c>
      <c r="L109" s="1" t="inlineStr">
        <is>
          <t>Yes</t>
        </is>
      </c>
      <c r="M109" s="1" t="inlineStr">
        <is>
          <t>No</t>
        </is>
      </c>
      <c r="N109" s="1" t="inlineStr">
        <is>
          <t>Algorithms</t>
        </is>
      </c>
      <c r="O1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0" ht="15.75" customHeight="1" s="12">
      <c r="A110" s="1" t="n">
        <v>10</v>
      </c>
      <c r="B110" s="3">
        <f>HYPERLINK("https://leetcode.com/problems/regular-expression-matching/", "Regular Expression Matching")</f>
        <v/>
      </c>
      <c r="C110" s="1" t="n">
        <v>13173</v>
      </c>
      <c r="D110" s="1" t="n">
        <v>2374</v>
      </c>
      <c r="E110" s="4">
        <f>IF(INDEX(C:C, ROW())+INDEX(D:D, ROW())=0, 0, INDEX(C:C, ROW())/(INDEX(C:C, ROW())+INDEX(D:D, ROW())))</f>
        <v/>
      </c>
      <c r="F110" s="1" t="inlineStr">
        <is>
          <t>String, Dynamic Programming, Recursion</t>
        </is>
      </c>
      <c r="G110" s="1" t="inlineStr">
        <is>
          <t>Hard</t>
        </is>
      </c>
      <c r="H110" s="1" t="n">
        <v>1311102</v>
      </c>
      <c r="I110" s="1" t="n">
        <v>4338090</v>
      </c>
      <c r="J110" s="9" t="n">
        <v>0.302</v>
      </c>
      <c r="K110" s="1" t="inlineStr">
        <is>
          <t>Yes</t>
        </is>
      </c>
      <c r="L110" s="1" t="inlineStr">
        <is>
          <t>Yes</t>
        </is>
      </c>
      <c r="M110" s="1" t="inlineStr">
        <is>
          <t>No</t>
        </is>
      </c>
      <c r="N110" s="1" t="inlineStr">
        <is>
          <t>Algorithms</t>
        </is>
      </c>
      <c r="O1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1" ht="15.75" customHeight="1" s="12">
      <c r="A111" s="1" t="n">
        <v>438</v>
      </c>
      <c r="B111" s="3">
        <f>HYPERLINK("https://leetcode.com/problems/find-all-anagrams-in-a-string/", "Find All Anagrams in a String")</f>
        <v/>
      </c>
      <c r="C111" s="1" t="n">
        <v>13068</v>
      </c>
      <c r="D111" s="1" t="n">
        <v>372</v>
      </c>
      <c r="E111" s="4">
        <f>IF(INDEX(C:C, ROW())+INDEX(D:D, ROW())=0, 0, INDEX(C:C, ROW())/(INDEX(C:C, ROW())+INDEX(D:D, ROW())))</f>
        <v/>
      </c>
      <c r="F111" s="1" t="inlineStr">
        <is>
          <t>Hash Table, String, Sliding Window</t>
        </is>
      </c>
      <c r="G111" s="1" t="inlineStr">
        <is>
          <t>Medium</t>
        </is>
      </c>
      <c r="H111" s="1" t="n">
        <v>1135465</v>
      </c>
      <c r="I111" s="1" t="n">
        <v>2139089</v>
      </c>
      <c r="J111" s="9" t="n">
        <v>0.531</v>
      </c>
      <c r="K111" s="1" t="inlineStr">
        <is>
          <t>Yes</t>
        </is>
      </c>
      <c r="L111" s="1" t="inlineStr">
        <is>
          <t>Yes</t>
        </is>
      </c>
      <c r="M111" s="1" t="inlineStr">
        <is>
          <t>No</t>
        </is>
      </c>
      <c r="N111" s="1" t="inlineStr">
        <is>
          <t>Algorithms</t>
        </is>
      </c>
      <c r="O1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2" ht="15.75" customHeight="1" s="12">
      <c r="A112" s="1" t="n">
        <v>876</v>
      </c>
      <c r="B112" s="3">
        <f>HYPERLINK("https://leetcode.com/problems/middle-of-the-linked-list/", "Middle of the Linked List")</f>
        <v/>
      </c>
      <c r="C112" s="1" t="n">
        <v>13044</v>
      </c>
      <c r="D112" s="1" t="n">
        <v>435</v>
      </c>
      <c r="E112" s="4">
        <f>IF(INDEX(C:C, ROW())+INDEX(D:D, ROW())=0, 0, INDEX(C:C, ROW())/(INDEX(C:C, ROW())+INDEX(D:D, ROW())))</f>
        <v/>
      </c>
      <c r="F112" s="1" t="inlineStr">
        <is>
          <t>Linked List, Two Pointers</t>
        </is>
      </c>
      <c r="G112" s="1" t="inlineStr">
        <is>
          <t>Easy</t>
        </is>
      </c>
      <c r="H112" s="1" t="n">
        <v>2847213</v>
      </c>
      <c r="I112" s="1" t="n">
        <v>3497426</v>
      </c>
      <c r="J112" s="9" t="n">
        <v>0.8139999999999999</v>
      </c>
      <c r="K112" s="1" t="inlineStr">
        <is>
          <t>Yes</t>
        </is>
      </c>
      <c r="L112" s="1" t="inlineStr">
        <is>
          <t>Yes</t>
        </is>
      </c>
      <c r="M112" s="1" t="inlineStr">
        <is>
          <t>Yes</t>
        </is>
      </c>
      <c r="N112" s="1" t="inlineStr">
        <is>
          <t>Algorithms</t>
        </is>
      </c>
      <c r="O1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3" ht="15.75" customHeight="1" s="12">
      <c r="A113" s="1" t="n">
        <v>295</v>
      </c>
      <c r="B113" s="3">
        <f>HYPERLINK("https://leetcode.com/problems/find-median-from-data-stream/", "Find Median from Data Stream")</f>
        <v/>
      </c>
      <c r="C113" s="1" t="n">
        <v>13038</v>
      </c>
      <c r="D113" s="1" t="n">
        <v>281</v>
      </c>
      <c r="E113" s="4">
        <f>IF(INDEX(C:C, ROW())+INDEX(D:D, ROW())=0, 0, INDEX(C:C, ROW())/(INDEX(C:C, ROW())+INDEX(D:D, ROW())))</f>
        <v/>
      </c>
      <c r="F113" s="1" t="inlineStr">
        <is>
          <t>Two Pointers, Design, Sorting, Heap (Priority Queue), Data Stream</t>
        </is>
      </c>
      <c r="G113" s="1" t="inlineStr">
        <is>
          <t>Hard</t>
        </is>
      </c>
      <c r="H113" s="1" t="n">
        <v>1150219</v>
      </c>
      <c r="I113" s="1" t="n">
        <v>2128614</v>
      </c>
      <c r="J113" s="9" t="n">
        <v>0.54</v>
      </c>
      <c r="K113" s="1" t="inlineStr">
        <is>
          <t>Yes</t>
        </is>
      </c>
      <c r="L113" s="1" t="inlineStr">
        <is>
          <t>Yes</t>
        </is>
      </c>
      <c r="M113" s="1" t="inlineStr">
        <is>
          <t>No</t>
        </is>
      </c>
      <c r="N113" s="1" t="inlineStr">
        <is>
          <t>Algorithms</t>
        </is>
      </c>
      <c r="O1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4" ht="15.75" customHeight="1" s="12">
      <c r="A114" s="1" t="n">
        <v>24</v>
      </c>
      <c r="B114" s="3">
        <f>HYPERLINK("https://leetcode.com/problems/swap-nodes-in-pairs/", "Swap Nodes in Pairs")</f>
        <v/>
      </c>
      <c r="C114" s="1" t="n">
        <v>12972</v>
      </c>
      <c r="D114" s="1" t="n">
        <v>504</v>
      </c>
      <c r="E114" s="4">
        <f>IF(INDEX(C:C, ROW())+INDEX(D:D, ROW())=0, 0, INDEX(C:C, ROW())/(INDEX(C:C, ROW())+INDEX(D:D, ROW())))</f>
        <v/>
      </c>
      <c r="F114" s="1" t="inlineStr">
        <is>
          <t>Linked List, Recursion</t>
        </is>
      </c>
      <c r="G114" s="1" t="inlineStr">
        <is>
          <t>Medium</t>
        </is>
      </c>
      <c r="H114" s="1" t="n">
        <v>1822622</v>
      </c>
      <c r="I114" s="1" t="n">
        <v>2654153</v>
      </c>
      <c r="J114" s="9" t="n">
        <v>0.6870000000000001</v>
      </c>
      <c r="K114" s="1" t="inlineStr">
        <is>
          <t>Yes</t>
        </is>
      </c>
      <c r="L114" s="1" t="inlineStr">
        <is>
          <t>Yes</t>
        </is>
      </c>
      <c r="M114" s="1" t="inlineStr">
        <is>
          <t>No</t>
        </is>
      </c>
      <c r="N114" s="1" t="inlineStr">
        <is>
          <t>Algorithms</t>
        </is>
      </c>
      <c r="O1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5" ht="15.75" customHeight="1" s="12">
      <c r="A115" s="1" t="n">
        <v>240</v>
      </c>
      <c r="B115" s="3">
        <f>HYPERLINK("https://leetcode.com/problems/search-a-2d-matrix-ii/", "Search a 2D Matrix II")</f>
        <v/>
      </c>
      <c r="C115" s="1" t="n">
        <v>12959</v>
      </c>
      <c r="D115" s="1" t="n">
        <v>229</v>
      </c>
      <c r="E115" s="4">
        <f>IF(INDEX(C:C, ROW())+INDEX(D:D, ROW())=0, 0, INDEX(C:C, ROW())/(INDEX(C:C, ROW())+INDEX(D:D, ROW())))</f>
        <v/>
      </c>
      <c r="F115" s="1" t="inlineStr">
        <is>
          <t>Array, Binary Search, Divide and Conquer, Matrix</t>
        </is>
      </c>
      <c r="G115" s="1" t="inlineStr">
        <is>
          <t>Medium</t>
        </is>
      </c>
      <c r="H115" s="1" t="n">
        <v>1301405</v>
      </c>
      <c r="I115" s="1" t="n">
        <v>2300790</v>
      </c>
      <c r="J115" s="9" t="n">
        <v>0.5659999999999999</v>
      </c>
      <c r="K115" s="1" t="inlineStr">
        <is>
          <t>Yes</t>
        </is>
      </c>
      <c r="L115" s="1" t="inlineStr">
        <is>
          <t>Yes</t>
        </is>
      </c>
      <c r="M115" s="1" t="inlineStr">
        <is>
          <t>Yes</t>
        </is>
      </c>
      <c r="N115" s="1" t="inlineStr">
        <is>
          <t>Algorithms</t>
        </is>
      </c>
      <c r="O1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6" ht="15.75" customHeight="1" s="12">
      <c r="A116" s="1" t="n">
        <v>148</v>
      </c>
      <c r="B116" s="3">
        <f>HYPERLINK("https://leetcode.com/problems/sort-list/", "Sort List")</f>
        <v/>
      </c>
      <c r="C116" s="1" t="n">
        <v>12862</v>
      </c>
      <c r="D116" s="1" t="n">
        <v>412</v>
      </c>
      <c r="E116" s="4">
        <f>IF(INDEX(C:C, ROW())+INDEX(D:D, ROW())=0, 0, INDEX(C:C, ROW())/(INDEX(C:C, ROW())+INDEX(D:D, ROW())))</f>
        <v/>
      </c>
      <c r="F116" s="1" t="inlineStr">
        <is>
          <t>Linked List, Two Pointers, Divide and Conquer, Sorting, Merge Sort</t>
        </is>
      </c>
      <c r="G116" s="1" t="inlineStr">
        <is>
          <t>Medium</t>
        </is>
      </c>
      <c r="H116" s="1" t="n">
        <v>1201666</v>
      </c>
      <c r="I116" s="1" t="n">
        <v>1890821</v>
      </c>
      <c r="J116" s="9" t="n">
        <v>0.636</v>
      </c>
      <c r="K116" s="1" t="inlineStr">
        <is>
          <t>Yes</t>
        </is>
      </c>
      <c r="L116" s="1" t="inlineStr">
        <is>
          <t>Yes</t>
        </is>
      </c>
      <c r="M116" s="1" t="inlineStr">
        <is>
          <t>No</t>
        </is>
      </c>
      <c r="N116" s="1" t="inlineStr">
        <is>
          <t>Algorithms</t>
        </is>
      </c>
      <c r="O1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7" ht="15.75" customHeight="1" s="12">
      <c r="A117" s="1" t="n">
        <v>567</v>
      </c>
      <c r="B117" s="3">
        <f>HYPERLINK("https://leetcode.com/problems/permutation-in-string/", "Permutation in String")</f>
        <v/>
      </c>
      <c r="C117" s="1" t="n">
        <v>12795</v>
      </c>
      <c r="D117" s="1" t="n">
        <v>515</v>
      </c>
      <c r="E117" s="4">
        <f>IF(INDEX(C:C, ROW())+INDEX(D:D, ROW())=0, 0, INDEX(C:C, ROW())/(INDEX(C:C, ROW())+INDEX(D:D, ROW())))</f>
        <v/>
      </c>
      <c r="F117" s="1" t="inlineStr">
        <is>
          <t>Hash Table, Two Pointers, String, Sliding Window</t>
        </is>
      </c>
      <c r="G117" s="1" t="inlineStr">
        <is>
          <t>Medium</t>
        </is>
      </c>
      <c r="H117" s="1" t="n">
        <v>1397017</v>
      </c>
      <c r="I117" s="1" t="n">
        <v>2897020</v>
      </c>
      <c r="J117" s="9" t="n">
        <v>0.482</v>
      </c>
      <c r="K117" s="1" t="inlineStr">
        <is>
          <t>Yes</t>
        </is>
      </c>
      <c r="L117" s="1" t="inlineStr">
        <is>
          <t>Yes</t>
        </is>
      </c>
      <c r="M117" s="1" t="inlineStr">
        <is>
          <t>No</t>
        </is>
      </c>
      <c r="N117" s="1" t="inlineStr">
        <is>
          <t>Algorithms</t>
        </is>
      </c>
      <c r="O1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8" ht="15.75" customHeight="1" s="12">
      <c r="A118" s="1" t="n">
        <v>92</v>
      </c>
      <c r="B118" s="3">
        <f>HYPERLINK("https://leetcode.com/problems/reverse-linked-list-ii/", "Reverse Linked List II")</f>
        <v/>
      </c>
      <c r="C118" s="1" t="n">
        <v>12770</v>
      </c>
      <c r="D118" s="1" t="n">
        <v>773</v>
      </c>
      <c r="E118" s="4">
        <f>IF(INDEX(C:C, ROW())+INDEX(D:D, ROW())=0, 0, INDEX(C:C, ROW())/(INDEX(C:C, ROW())+INDEX(D:D, ROW())))</f>
        <v/>
      </c>
      <c r="F118" s="1" t="inlineStr">
        <is>
          <t>Linked List</t>
        </is>
      </c>
      <c r="G118" s="1" t="inlineStr">
        <is>
          <t>Medium</t>
        </is>
      </c>
      <c r="H118" s="1" t="n">
        <v>1241105</v>
      </c>
      <c r="I118" s="1" t="n">
        <v>2444460</v>
      </c>
      <c r="J118" s="9" t="n">
        <v>0.508</v>
      </c>
      <c r="K118" s="1" t="inlineStr">
        <is>
          <t>Yes</t>
        </is>
      </c>
      <c r="L118" s="1" t="inlineStr">
        <is>
          <t>Yes</t>
        </is>
      </c>
      <c r="M118" s="1" t="inlineStr">
        <is>
          <t>Yes</t>
        </is>
      </c>
      <c r="N118" s="1" t="inlineStr">
        <is>
          <t>Algorithms</t>
        </is>
      </c>
      <c r="O1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9" ht="15.75" customHeight="1" s="12">
      <c r="A119" s="1" t="n">
        <v>540</v>
      </c>
      <c r="B119" s="3">
        <f>HYPERLINK("https://leetcode.com/problems/single-element-in-a-sorted-array/", "Single Element in a Sorted Array")</f>
        <v/>
      </c>
      <c r="C119" s="1" t="n">
        <v>12762</v>
      </c>
      <c r="D119" s="1" t="n">
        <v>237</v>
      </c>
      <c r="E119" s="4">
        <f>IF(INDEX(C:C, ROW())+INDEX(D:D, ROW())=0, 0, INDEX(C:C, ROW())/(INDEX(C:C, ROW())+INDEX(D:D, ROW())))</f>
        <v/>
      </c>
      <c r="F119" s="1" t="inlineStr">
        <is>
          <t>Array, Binary Search</t>
        </is>
      </c>
      <c r="G119" s="1" t="inlineStr">
        <is>
          <t>Medium</t>
        </is>
      </c>
      <c r="H119" s="1" t="n">
        <v>1121083</v>
      </c>
      <c r="I119" s="1" t="n">
        <v>1894427</v>
      </c>
      <c r="J119" s="9" t="n">
        <v>0.592</v>
      </c>
      <c r="K119" s="1" t="inlineStr">
        <is>
          <t>Yes</t>
        </is>
      </c>
      <c r="L119" s="1" t="inlineStr">
        <is>
          <t>Yes</t>
        </is>
      </c>
      <c r="M119" s="1" t="inlineStr">
        <is>
          <t>No</t>
        </is>
      </c>
      <c r="N119" s="1" t="inlineStr">
        <is>
          <t>Algorithms</t>
        </is>
      </c>
      <c r="O1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0" ht="15.75" customHeight="1" s="12">
      <c r="A120" s="1" t="n">
        <v>91</v>
      </c>
      <c r="B120" s="3">
        <f>HYPERLINK("https://leetcode.com/problems/decode-ways/", "Decode Ways")</f>
        <v/>
      </c>
      <c r="C120" s="1" t="n">
        <v>12756</v>
      </c>
      <c r="D120" s="1" t="n">
        <v>4608</v>
      </c>
      <c r="E120" s="4">
        <f>IF(INDEX(C:C, ROW())+INDEX(D:D, ROW())=0, 0, INDEX(C:C, ROW())/(INDEX(C:C, ROW())+INDEX(D:D, ROW())))</f>
        <v/>
      </c>
      <c r="F120" s="1" t="inlineStr">
        <is>
          <t>String, Dynamic Programming</t>
        </is>
      </c>
      <c r="G120" s="1" t="inlineStr">
        <is>
          <t>Medium</t>
        </is>
      </c>
      <c r="H120" s="1" t="n">
        <v>1595621</v>
      </c>
      <c r="I120" s="1" t="n">
        <v>4259662</v>
      </c>
      <c r="J120" s="9" t="n">
        <v>0.375</v>
      </c>
      <c r="K120" s="1" t="inlineStr">
        <is>
          <t>Yes</t>
        </is>
      </c>
      <c r="L120" s="1" t="inlineStr">
        <is>
          <t>Yes</t>
        </is>
      </c>
      <c r="M120" s="1" t="inlineStr">
        <is>
          <t>Yes</t>
        </is>
      </c>
      <c r="N120" s="1" t="inlineStr">
        <is>
          <t>Algorithms</t>
        </is>
      </c>
      <c r="O1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1" ht="15.75" customHeight="1" s="12">
      <c r="A121" s="1" t="n">
        <v>100</v>
      </c>
      <c r="B121" s="3">
        <f>HYPERLINK("https://leetcode.com/problems/same-tree/", "Same Tree")</f>
        <v/>
      </c>
      <c r="C121" s="1" t="n">
        <v>12709</v>
      </c>
      <c r="D121" s="1" t="n">
        <v>291</v>
      </c>
      <c r="E121" s="4">
        <f>IF(INDEX(C:C, ROW())+INDEX(D:D, ROW())=0, 0, INDEX(C:C, ROW())/(INDEX(C:C, ROW())+INDEX(D:D, ROW())))</f>
        <v/>
      </c>
      <c r="F121" s="1" t="inlineStr">
        <is>
          <t>Tree, Depth-First Search, Breadth-First Search, Binary Tree</t>
        </is>
      </c>
      <c r="G121" s="1" t="inlineStr">
        <is>
          <t>Easy</t>
        </is>
      </c>
      <c r="H121" s="1" t="n">
        <v>3217896</v>
      </c>
      <c r="I121" s="1" t="n">
        <v>4845994</v>
      </c>
      <c r="J121" s="9" t="n">
        <v>0.664</v>
      </c>
      <c r="K121" s="1" t="inlineStr">
        <is>
          <t>Yes</t>
        </is>
      </c>
      <c r="L121" s="1" t="inlineStr">
        <is>
          <t>Yes</t>
        </is>
      </c>
      <c r="M121" s="1" t="inlineStr">
        <is>
          <t>Yes</t>
        </is>
      </c>
      <c r="N121" s="1" t="inlineStr">
        <is>
          <t>Algorithms</t>
        </is>
      </c>
      <c r="O1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2" ht="15.75" customHeight="1" s="12">
      <c r="A122" s="1" t="n">
        <v>424</v>
      </c>
      <c r="B122" s="3">
        <f>HYPERLINK("https://leetcode.com/problems/longest-repeating-character-replacement/", "Longest Repeating Character Replacement")</f>
        <v/>
      </c>
      <c r="C122" s="1" t="n">
        <v>12692</v>
      </c>
      <c r="D122" s="1" t="n">
        <v>733</v>
      </c>
      <c r="E122" s="4">
        <f>IF(INDEX(C:C, ROW())+INDEX(D:D, ROW())=0, 0, INDEX(C:C, ROW())/(INDEX(C:C, ROW())+INDEX(D:D, ROW())))</f>
        <v/>
      </c>
      <c r="F122" s="1" t="inlineStr">
        <is>
          <t>Hash Table, String, Sliding Window</t>
        </is>
      </c>
      <c r="G122" s="1" t="inlineStr">
        <is>
          <t>Medium</t>
        </is>
      </c>
      <c r="H122" s="1" t="n">
        <v>1403358</v>
      </c>
      <c r="I122" s="1" t="n">
        <v>2388407</v>
      </c>
      <c r="J122" s="9" t="n">
        <v>0.588</v>
      </c>
      <c r="K122" s="1" t="inlineStr">
        <is>
          <t>Yes</t>
        </is>
      </c>
      <c r="L122" s="1" t="inlineStr">
        <is>
          <t>Yes</t>
        </is>
      </c>
      <c r="M122" s="1" t="inlineStr">
        <is>
          <t>No</t>
        </is>
      </c>
      <c r="N122" s="1" t="inlineStr">
        <is>
          <t>Algorithms</t>
        </is>
      </c>
      <c r="O1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3" ht="15.75" customHeight="1" s="12">
      <c r="A123" s="1" t="n">
        <v>18</v>
      </c>
      <c r="B123" s="3">
        <f>HYPERLINK("https://leetcode.com/problems/4sum/", "4Sum")</f>
        <v/>
      </c>
      <c r="C123" s="1" t="n">
        <v>12663</v>
      </c>
      <c r="D123" s="1" t="n">
        <v>1525</v>
      </c>
      <c r="E123" s="4">
        <f>IF(INDEX(C:C, ROW())+INDEX(D:D, ROW())=0, 0, INDEX(C:C, ROW())/(INDEX(C:C, ROW())+INDEX(D:D, ROW())))</f>
        <v/>
      </c>
      <c r="F123" s="1" t="inlineStr">
        <is>
          <t>Array, Two Pointers, Sorting</t>
        </is>
      </c>
      <c r="G123" s="1" t="inlineStr">
        <is>
          <t>Medium</t>
        </is>
      </c>
      <c r="H123" s="1" t="n">
        <v>1551165</v>
      </c>
      <c r="I123" s="1" t="n">
        <v>3908505</v>
      </c>
      <c r="J123" s="9" t="n">
        <v>0.397</v>
      </c>
      <c r="K123" s="1" t="inlineStr">
        <is>
          <t>Yes</t>
        </is>
      </c>
      <c r="L123" s="1" t="inlineStr">
        <is>
          <t>Yes</t>
        </is>
      </c>
      <c r="M123" s="1" t="inlineStr">
        <is>
          <t>No</t>
        </is>
      </c>
      <c r="N123" s="1" t="inlineStr">
        <is>
          <t>Algorithms</t>
        </is>
      </c>
      <c r="O1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4" ht="15.75" customHeight="1" s="12">
      <c r="A124" s="1" t="n">
        <v>230</v>
      </c>
      <c r="B124" s="3">
        <f>HYPERLINK("https://leetcode.com/problems/kth-smallest-element-in-a-bst/", "Kth Smallest Element in a BST")</f>
        <v/>
      </c>
      <c r="C124" s="1" t="n">
        <v>12562</v>
      </c>
      <c r="D124" s="1" t="n">
        <v>256</v>
      </c>
      <c r="E124" s="4">
        <f>IF(INDEX(C:C, ROW())+INDEX(D:D, ROW())=0, 0, INDEX(C:C, ROW())/(INDEX(C:C, ROW())+INDEX(D:D, ROW())))</f>
        <v/>
      </c>
      <c r="F124" s="1" t="inlineStr">
        <is>
          <t>Tree, Depth-First Search, Binary Search Tree, Binary Tree</t>
        </is>
      </c>
      <c r="G124" s="1" t="inlineStr">
        <is>
          <t>Medium</t>
        </is>
      </c>
      <c r="H124" s="1" t="n">
        <v>2130055</v>
      </c>
      <c r="I124" s="1" t="n">
        <v>2791196</v>
      </c>
      <c r="J124" s="9" t="n">
        <v>0.763</v>
      </c>
      <c r="K124" s="1" t="inlineStr">
        <is>
          <t>Yes</t>
        </is>
      </c>
      <c r="L124" s="1" t="inlineStr">
        <is>
          <t>Yes</t>
        </is>
      </c>
      <c r="M124" s="1" t="inlineStr">
        <is>
          <t>No</t>
        </is>
      </c>
      <c r="N124" s="1" t="inlineStr">
        <is>
          <t>Algorithms</t>
        </is>
      </c>
      <c r="O1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5" ht="15.75" customHeight="1" s="12">
      <c r="A125" s="1" t="n">
        <v>208</v>
      </c>
      <c r="B125" s="3">
        <f>HYPERLINK("https://leetcode.com/problems/implement-trie-prefix-tree/", "Implement Trie (Prefix Tree)")</f>
        <v/>
      </c>
      <c r="C125" s="1" t="n">
        <v>12338</v>
      </c>
      <c r="D125" s="1" t="n">
        <v>160</v>
      </c>
      <c r="E125" s="4">
        <f>IF(INDEX(C:C, ROW())+INDEX(D:D, ROW())=0, 0, INDEX(C:C, ROW())/(INDEX(C:C, ROW())+INDEX(D:D, ROW())))</f>
        <v/>
      </c>
      <c r="F125" s="1" t="inlineStr">
        <is>
          <t>Hash Table, String, Design, Trie</t>
        </is>
      </c>
      <c r="G125" s="1" t="inlineStr">
        <is>
          <t>Medium</t>
        </is>
      </c>
      <c r="H125" s="1" t="n">
        <v>1474094</v>
      </c>
      <c r="I125" s="1" t="n">
        <v>2136095</v>
      </c>
      <c r="J125" s="9" t="n">
        <v>0.6899999999999999</v>
      </c>
      <c r="K125" s="1" t="inlineStr">
        <is>
          <t>Yes</t>
        </is>
      </c>
      <c r="L125" s="1" t="inlineStr">
        <is>
          <t>Yes</t>
        </is>
      </c>
      <c r="M125" s="1" t="inlineStr">
        <is>
          <t>No</t>
        </is>
      </c>
      <c r="N125" s="1" t="inlineStr">
        <is>
          <t>Algorithms</t>
        </is>
      </c>
      <c r="O1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6" ht="15.75" customHeight="1" s="12">
      <c r="A126" s="1" t="n">
        <v>143</v>
      </c>
      <c r="B126" s="3">
        <f>HYPERLINK("https://leetcode.com/problems/reorder-list/", "Reorder List")</f>
        <v/>
      </c>
      <c r="C126" s="1" t="n">
        <v>12323</v>
      </c>
      <c r="D126" s="1" t="n">
        <v>501</v>
      </c>
      <c r="E126" s="4">
        <f>IF(INDEX(C:C, ROW())+INDEX(D:D, ROW())=0, 0, INDEX(C:C, ROW())/(INDEX(C:C, ROW())+INDEX(D:D, ROW())))</f>
        <v/>
      </c>
      <c r="F126" s="1" t="inlineStr">
        <is>
          <t>Linked List, Two Pointers, Stack, Recursion</t>
        </is>
      </c>
      <c r="G126" s="1" t="inlineStr">
        <is>
          <t>Medium</t>
        </is>
      </c>
      <c r="H126" s="1" t="n">
        <v>1421164</v>
      </c>
      <c r="I126" s="1" t="n">
        <v>2212040</v>
      </c>
      <c r="J126" s="9" t="n">
        <v>0.642</v>
      </c>
      <c r="K126" s="1" t="inlineStr">
        <is>
          <t>Yes</t>
        </is>
      </c>
      <c r="L126" s="1" t="inlineStr">
        <is>
          <t>Yes</t>
        </is>
      </c>
      <c r="M126" s="1" t="inlineStr">
        <is>
          <t>No</t>
        </is>
      </c>
      <c r="N126" s="1" t="inlineStr">
        <is>
          <t>Algorithms</t>
        </is>
      </c>
      <c r="O1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7" ht="15.75" customHeight="1" s="12">
      <c r="A127" s="1" t="n">
        <v>36</v>
      </c>
      <c r="B127" s="3">
        <f>HYPERLINK("https://leetcode.com/problems/valid-sudoku/", "Valid Sudoku")</f>
        <v/>
      </c>
      <c r="C127" s="1" t="n">
        <v>12305</v>
      </c>
      <c r="D127" s="1" t="n">
        <v>1253</v>
      </c>
      <c r="E127" s="4">
        <f>IF(INDEX(C:C, ROW())+INDEX(D:D, ROW())=0, 0, INDEX(C:C, ROW())/(INDEX(C:C, ROW())+INDEX(D:D, ROW())))</f>
        <v/>
      </c>
      <c r="F127" s="1" t="inlineStr">
        <is>
          <t>Array, Hash Table, Matrix</t>
        </is>
      </c>
      <c r="G127" s="1" t="inlineStr">
        <is>
          <t>Medium</t>
        </is>
      </c>
      <c r="H127" s="1" t="n">
        <v>2365817</v>
      </c>
      <c r="I127" s="1" t="n">
        <v>3697964</v>
      </c>
      <c r="J127" s="9" t="n">
        <v>0.64</v>
      </c>
      <c r="K127" s="1" t="inlineStr">
        <is>
          <t>Yes</t>
        </is>
      </c>
      <c r="L127" s="1" t="inlineStr">
        <is>
          <t>Yes</t>
        </is>
      </c>
      <c r="M127" s="1" t="inlineStr">
        <is>
          <t>No</t>
        </is>
      </c>
      <c r="N127" s="1" t="inlineStr">
        <is>
          <t>Algorithms</t>
        </is>
      </c>
      <c r="O1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8" ht="15.75" customHeight="1" s="12">
      <c r="A128" s="1" t="n">
        <v>746</v>
      </c>
      <c r="B128" s="3">
        <f>HYPERLINK("https://leetcode.com/problems/min-cost-climbing-stairs/", "Min Cost Climbing Stairs")</f>
        <v/>
      </c>
      <c r="C128" s="1" t="n">
        <v>12266</v>
      </c>
      <c r="D128" s="1" t="n">
        <v>1879</v>
      </c>
      <c r="E128" s="4">
        <f>IF(INDEX(C:C, ROW())+INDEX(D:D, ROW())=0, 0, INDEX(C:C, ROW())/(INDEX(C:C, ROW())+INDEX(D:D, ROW())))</f>
        <v/>
      </c>
      <c r="F128" s="1" t="inlineStr">
        <is>
          <t>Array, Dynamic Programming</t>
        </is>
      </c>
      <c r="G128" s="1" t="inlineStr">
        <is>
          <t>Easy</t>
        </is>
      </c>
      <c r="H128" s="1" t="n">
        <v>1670458</v>
      </c>
      <c r="I128" s="1" t="n">
        <v>2460208</v>
      </c>
      <c r="J128" s="9" t="n">
        <v>0.679</v>
      </c>
      <c r="K128" s="1" t="inlineStr">
        <is>
          <t>Yes</t>
        </is>
      </c>
      <c r="L128" s="1" t="inlineStr">
        <is>
          <t>Yes</t>
        </is>
      </c>
      <c r="M128" s="1" t="inlineStr">
        <is>
          <t>No</t>
        </is>
      </c>
      <c r="N128" s="1" t="inlineStr">
        <is>
          <t>Algorithms</t>
        </is>
      </c>
      <c r="O1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9" ht="15.75" customHeight="1" s="12">
      <c r="A129" s="1" t="n">
        <v>494</v>
      </c>
      <c r="B129" s="3">
        <f>HYPERLINK("https://leetcode.com/problems/target-sum/", "Target Sum")</f>
        <v/>
      </c>
      <c r="C129" s="1" t="n">
        <v>12254</v>
      </c>
      <c r="D129" s="1" t="n">
        <v>412</v>
      </c>
      <c r="E129" s="4">
        <f>IF(INDEX(C:C, ROW())+INDEX(D:D, ROW())=0, 0, INDEX(C:C, ROW())/(INDEX(C:C, ROW())+INDEX(D:D, ROW())))</f>
        <v/>
      </c>
      <c r="F129" s="1" t="inlineStr">
        <is>
          <t>Array, Dynamic Programming, Backtracking</t>
        </is>
      </c>
      <c r="G129" s="1" t="inlineStr">
        <is>
          <t>Medium</t>
        </is>
      </c>
      <c r="H129" s="1" t="n">
        <v>1026835</v>
      </c>
      <c r="I129" s="1" t="n">
        <v>1987028</v>
      </c>
      <c r="J129" s="9" t="n">
        <v>0.517</v>
      </c>
      <c r="K129" s="1" t="inlineStr">
        <is>
          <t>Yes</t>
        </is>
      </c>
      <c r="L129" s="1" t="inlineStr">
        <is>
          <t>Yes</t>
        </is>
      </c>
      <c r="M129" s="1" t="inlineStr">
        <is>
          <t>No</t>
        </is>
      </c>
      <c r="N129" s="1" t="inlineStr">
        <is>
          <t>Algorithms</t>
        </is>
      </c>
      <c r="O1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0" ht="15.75" customHeight="1" s="12">
      <c r="A130" s="1" t="n">
        <v>235</v>
      </c>
      <c r="B130" s="3">
        <f>HYPERLINK("https://leetcode.com/problems/lowest-common-ancestor-of-a-binary-search-tree/", "Lowest Common Ancestor of a Binary Search Tree")</f>
        <v/>
      </c>
      <c r="C130" s="1" t="n">
        <v>12140</v>
      </c>
      <c r="D130" s="1" t="n">
        <v>353</v>
      </c>
      <c r="E130" s="4">
        <f>IF(INDEX(C:C, ROW())+INDEX(D:D, ROW())=0, 0, INDEX(C:C, ROW())/(INDEX(C:C, ROW())+INDEX(D:D, ROW())))</f>
        <v/>
      </c>
      <c r="F130" s="1" t="inlineStr">
        <is>
          <t>Tree, Depth-First Search, Binary Search Tree, Binary Tree</t>
        </is>
      </c>
      <c r="G130" s="1" t="inlineStr">
        <is>
          <t>Medium</t>
        </is>
      </c>
      <c r="H130" s="1" t="n">
        <v>2150668</v>
      </c>
      <c r="I130" s="1" t="n">
        <v>3080295</v>
      </c>
      <c r="J130" s="9" t="n">
        <v>0.698</v>
      </c>
      <c r="K130" s="1" t="inlineStr">
        <is>
          <t>Yes</t>
        </is>
      </c>
      <c r="L130" s="1" t="inlineStr">
        <is>
          <t>Yes</t>
        </is>
      </c>
      <c r="M130" s="1" t="inlineStr">
        <is>
          <t>No</t>
        </is>
      </c>
      <c r="N130" s="1" t="inlineStr">
        <is>
          <t>Algorithms</t>
        </is>
      </c>
      <c r="O1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1" ht="15.75" customHeight="1" s="12">
      <c r="A131" s="1" t="n">
        <v>40</v>
      </c>
      <c r="B131" s="3">
        <f>HYPERLINK("https://leetcode.com/problems/combination-sum-ii/", "Combination Sum II")</f>
        <v/>
      </c>
      <c r="C131" s="1" t="n">
        <v>12074</v>
      </c>
      <c r="D131" s="1" t="n">
        <v>377</v>
      </c>
      <c r="E131" s="4">
        <f>IF(INDEX(C:C, ROW())+INDEX(D:D, ROW())=0, 0, INDEX(C:C, ROW())/(INDEX(C:C, ROW())+INDEX(D:D, ROW())))</f>
        <v/>
      </c>
      <c r="F131" s="1" t="inlineStr">
        <is>
          <t>Array, Backtracking</t>
        </is>
      </c>
      <c r="G131" s="1" t="inlineStr">
        <is>
          <t>Medium</t>
        </is>
      </c>
      <c r="H131" s="1" t="n">
        <v>1603120</v>
      </c>
      <c r="I131" s="1" t="n">
        <v>2728300</v>
      </c>
      <c r="J131" s="9" t="n">
        <v>0.588</v>
      </c>
      <c r="K131" s="1" t="inlineStr">
        <is>
          <t>Yes</t>
        </is>
      </c>
      <c r="L131" s="1" t="inlineStr">
        <is>
          <t>Yes</t>
        </is>
      </c>
      <c r="M131" s="1" t="inlineStr">
        <is>
          <t>No</t>
        </is>
      </c>
      <c r="N131" s="1" t="inlineStr">
        <is>
          <t>Algorithms</t>
        </is>
      </c>
      <c r="O1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2" ht="15.75" customHeight="1" s="12">
      <c r="A132" s="1" t="n">
        <v>863</v>
      </c>
      <c r="B132" s="3">
        <f>HYPERLINK("https://leetcode.com/problems/all-nodes-distance-k-in-binary-tree/", "All Nodes Distance K in Binary Tree")</f>
        <v/>
      </c>
      <c r="C132" s="1" t="n">
        <v>12005</v>
      </c>
      <c r="D132" s="1" t="n">
        <v>273</v>
      </c>
      <c r="E132" s="4">
        <f>IF(INDEX(C:C, ROW())+INDEX(D:D, ROW())=0, 0, INDEX(C:C, ROW())/(INDEX(C:C, ROW())+INDEX(D:D, ROW())))</f>
        <v/>
      </c>
      <c r="F132" s="1" t="inlineStr">
        <is>
          <t>Hash Table, Tree, Depth-First Search, Breadth-First Search, Binary Tree</t>
        </is>
      </c>
      <c r="G132" s="1" t="inlineStr">
        <is>
          <t>Medium</t>
        </is>
      </c>
      <c r="H132" s="1" t="n">
        <v>663471</v>
      </c>
      <c r="I132" s="1" t="n">
        <v>985763</v>
      </c>
      <c r="J132" s="9" t="n">
        <v>0.673</v>
      </c>
      <c r="K132" s="1" t="inlineStr">
        <is>
          <t>Yes</t>
        </is>
      </c>
      <c r="L132" s="1" t="inlineStr">
        <is>
          <t>Yes</t>
        </is>
      </c>
      <c r="M132" s="1" t="inlineStr">
        <is>
          <t>No</t>
        </is>
      </c>
      <c r="N132" s="1" t="inlineStr">
        <is>
          <t>Algorithms</t>
        </is>
      </c>
      <c r="O1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3" ht="15.75" customHeight="1" s="12">
      <c r="A133" s="1" t="n">
        <v>85</v>
      </c>
      <c r="B133" s="3">
        <f>HYPERLINK("https://leetcode.com/problems/maximal-rectangle/", "Maximal Rectangle")</f>
        <v/>
      </c>
      <c r="C133" s="1" t="n">
        <v>11945</v>
      </c>
      <c r="D133" s="1" t="n">
        <v>224</v>
      </c>
      <c r="E133" s="4">
        <f>IF(INDEX(C:C, ROW())+INDEX(D:D, ROW())=0, 0, INDEX(C:C, ROW())/(INDEX(C:C, ROW())+INDEX(D:D, ROW())))</f>
        <v/>
      </c>
      <c r="F133" s="1" t="inlineStr">
        <is>
          <t>Array, Dynamic Programming, Stack, Matrix, Monotonic Stack</t>
        </is>
      </c>
      <c r="G133" s="1" t="inlineStr">
        <is>
          <t>Hard</t>
        </is>
      </c>
      <c r="H133" s="1" t="n">
        <v>760836</v>
      </c>
      <c r="I133" s="1" t="n">
        <v>1316622</v>
      </c>
      <c r="J133" s="9" t="n">
        <v>0.578</v>
      </c>
      <c r="K133" s="1" t="inlineStr">
        <is>
          <t>Yes</t>
        </is>
      </c>
      <c r="L133" s="1" t="inlineStr">
        <is>
          <t>Yes</t>
        </is>
      </c>
      <c r="M133" s="1" t="inlineStr">
        <is>
          <t>No</t>
        </is>
      </c>
      <c r="N133" s="1" t="inlineStr">
        <is>
          <t>Algorithms</t>
        </is>
      </c>
      <c r="O1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4" ht="15.75" customHeight="1" s="12">
      <c r="A134" s="1" t="n">
        <v>103</v>
      </c>
      <c r="B134" s="3">
        <f>HYPERLINK("https://leetcode.com/problems/binary-tree-zigzag-level-order-traversal/", "Binary Tree Zigzag Level Order Traversal")</f>
        <v/>
      </c>
      <c r="C134" s="1" t="n">
        <v>11883</v>
      </c>
      <c r="D134" s="1" t="n">
        <v>349</v>
      </c>
      <c r="E134" s="4">
        <f>IF(INDEX(C:C, ROW())+INDEX(D:D, ROW())=0, 0, INDEX(C:C, ROW())/(INDEX(C:C, ROW())+INDEX(D:D, ROW())))</f>
        <v/>
      </c>
      <c r="F134" s="1" t="inlineStr">
        <is>
          <t>Tree, Breadth-First Search, Binary Tree</t>
        </is>
      </c>
      <c r="G134" s="1" t="inlineStr">
        <is>
          <t>Medium</t>
        </is>
      </c>
      <c r="H134" s="1" t="n">
        <v>1684170</v>
      </c>
      <c r="I134" s="1" t="n">
        <v>2675660</v>
      </c>
      <c r="J134" s="9" t="n">
        <v>0.629</v>
      </c>
      <c r="K134" s="1" t="inlineStr">
        <is>
          <t>Yes</t>
        </is>
      </c>
      <c r="L134" s="1" t="inlineStr">
        <is>
          <t>Yes</t>
        </is>
      </c>
      <c r="M134" s="1" t="inlineStr">
        <is>
          <t>No</t>
        </is>
      </c>
      <c r="N134" s="1" t="inlineStr">
        <is>
          <t>Algorithms</t>
        </is>
      </c>
      <c r="O1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5" ht="15.75" customHeight="1" s="12">
      <c r="A135" s="1" t="n">
        <v>110</v>
      </c>
      <c r="B135" s="3">
        <f>HYPERLINK("https://leetcode.com/problems/balanced-binary-tree/", "Balanced Binary Tree")</f>
        <v/>
      </c>
      <c r="C135" s="1" t="n">
        <v>11838</v>
      </c>
      <c r="D135" s="1" t="n">
        <v>820</v>
      </c>
      <c r="E135" s="4">
        <f>IF(INDEX(C:C, ROW())+INDEX(D:D, ROW())=0, 0, INDEX(C:C, ROW())/(INDEX(C:C, ROW())+INDEX(D:D, ROW())))</f>
        <v/>
      </c>
      <c r="F135" s="1" t="inlineStr">
        <is>
          <t>Tree, Depth-First Search, Binary Tree</t>
        </is>
      </c>
      <c r="G135" s="1" t="inlineStr">
        <is>
          <t>Easy</t>
        </is>
      </c>
      <c r="H135" s="1" t="n">
        <v>2239329</v>
      </c>
      <c r="I135" s="1" t="n">
        <v>3939620</v>
      </c>
      <c r="J135" s="9" t="n">
        <v>0.5679999999999999</v>
      </c>
      <c r="K135" s="1" t="inlineStr">
        <is>
          <t>Yes</t>
        </is>
      </c>
      <c r="L135" s="1" t="inlineStr">
        <is>
          <t>Yes</t>
        </is>
      </c>
      <c r="M135" s="1" t="inlineStr">
        <is>
          <t>No</t>
        </is>
      </c>
      <c r="N135" s="1" t="inlineStr">
        <is>
          <t>Algorithms</t>
        </is>
      </c>
      <c r="O1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6" ht="15.75" customHeight="1" s="12">
      <c r="A136" s="1" t="n">
        <v>338</v>
      </c>
      <c r="B136" s="3">
        <f>HYPERLINK("https://leetcode.com/problems/counting-bits/", "Counting Bits")</f>
        <v/>
      </c>
      <c r="C136" s="1" t="n">
        <v>11836</v>
      </c>
      <c r="D136" s="1" t="n">
        <v>605</v>
      </c>
      <c r="E136" s="4">
        <f>IF(INDEX(C:C, ROW())+INDEX(D:D, ROW())=0, 0, INDEX(C:C, ROW())/(INDEX(C:C, ROW())+INDEX(D:D, ROW())))</f>
        <v/>
      </c>
      <c r="F136" s="1" t="inlineStr">
        <is>
          <t>Dynamic Programming, Bit Manipulation</t>
        </is>
      </c>
      <c r="G136" s="1" t="inlineStr">
        <is>
          <t>Easy</t>
        </is>
      </c>
      <c r="H136" s="1" t="n">
        <v>1541226</v>
      </c>
      <c r="I136" s="1" t="n">
        <v>1919834</v>
      </c>
      <c r="J136" s="9" t="n">
        <v>0.803</v>
      </c>
      <c r="K136" s="1" t="inlineStr">
        <is>
          <t>Yes</t>
        </is>
      </c>
      <c r="L136" s="1" t="inlineStr">
        <is>
          <t>Yes</t>
        </is>
      </c>
      <c r="M136" s="1" t="inlineStr">
        <is>
          <t>No</t>
        </is>
      </c>
      <c r="N136" s="1" t="inlineStr">
        <is>
          <t>Algorithms</t>
        </is>
      </c>
      <c r="O1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7" ht="15.75" customHeight="1" s="12">
      <c r="A137" s="1" t="n">
        <v>437</v>
      </c>
      <c r="B137" s="3">
        <f>HYPERLINK("https://leetcode.com/problems/path-sum-iii/", "Path Sum III")</f>
        <v/>
      </c>
      <c r="C137" s="1" t="n">
        <v>11819</v>
      </c>
      <c r="D137" s="1" t="n">
        <v>569</v>
      </c>
      <c r="E137" s="4">
        <f>IF(INDEX(C:C, ROW())+INDEX(D:D, ROW())=0, 0, INDEX(C:C, ROW())/(INDEX(C:C, ROW())+INDEX(D:D, ROW())))</f>
        <v/>
      </c>
      <c r="F137" s="1" t="inlineStr">
        <is>
          <t>Tree, Depth-First Search, Binary Tree</t>
        </is>
      </c>
      <c r="G137" s="1" t="inlineStr">
        <is>
          <t>Medium</t>
        </is>
      </c>
      <c r="H137" s="1" t="n">
        <v>762827</v>
      </c>
      <c r="I137" s="1" t="n">
        <v>1649234</v>
      </c>
      <c r="J137" s="9" t="n">
        <v>0.463</v>
      </c>
      <c r="K137" s="1" t="inlineStr">
        <is>
          <t>Yes</t>
        </is>
      </c>
      <c r="L137" s="1" t="inlineStr">
        <is>
          <t>Yes</t>
        </is>
      </c>
      <c r="M137" s="1" t="inlineStr">
        <is>
          <t>No</t>
        </is>
      </c>
      <c r="N137" s="1" t="inlineStr">
        <is>
          <t>Algorithms</t>
        </is>
      </c>
      <c r="O1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8" ht="15.75" customHeight="1" s="12">
      <c r="A138" s="1" t="n">
        <v>210</v>
      </c>
      <c r="B138" s="3">
        <f>HYPERLINK("https://leetcode.com/problems/course-schedule-ii/", "Course Schedule II")</f>
        <v/>
      </c>
      <c r="C138" s="1" t="n">
        <v>11809</v>
      </c>
      <c r="D138" s="1" t="n">
        <v>376</v>
      </c>
      <c r="E138" s="4">
        <f>IF(INDEX(C:C, ROW())+INDEX(D:D, ROW())=0, 0, INDEX(C:C, ROW())/(INDEX(C:C, ROW())+INDEX(D:D, ROW())))</f>
        <v/>
      </c>
      <c r="F138" s="1" t="inlineStr">
        <is>
          <t>Depth-First Search, Breadth-First Search, Graph Theory, Topological Sort</t>
        </is>
      </c>
      <c r="G138" s="1" t="inlineStr">
        <is>
          <t>Medium</t>
        </is>
      </c>
      <c r="H138" s="1" t="n">
        <v>1600592</v>
      </c>
      <c r="I138" s="1" t="n">
        <v>2922304</v>
      </c>
      <c r="J138" s="9" t="n">
        <v>0.548</v>
      </c>
      <c r="K138" s="1" t="inlineStr">
        <is>
          <t>Yes</t>
        </is>
      </c>
      <c r="L138" s="1" t="inlineStr">
        <is>
          <t>Yes</t>
        </is>
      </c>
      <c r="M138" s="1" t="inlineStr">
        <is>
          <t>Yes</t>
        </is>
      </c>
      <c r="N138" s="1" t="inlineStr">
        <is>
          <t>Algorithms</t>
        </is>
      </c>
      <c r="O1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9" ht="15.75" customHeight="1" s="12">
      <c r="A139" s="1" t="n">
        <v>108</v>
      </c>
      <c r="B139" s="3">
        <f>HYPERLINK("https://leetcode.com/problems/convert-sorted-array-to-binary-search-tree/", "Convert Sorted Array to Binary Search Tree")</f>
        <v/>
      </c>
      <c r="C139" s="1" t="n">
        <v>11796</v>
      </c>
      <c r="D139" s="1" t="n">
        <v>636</v>
      </c>
      <c r="E139" s="4">
        <f>IF(INDEX(C:C, ROW())+INDEX(D:D, ROW())=0, 0, INDEX(C:C, ROW())/(INDEX(C:C, ROW())+INDEX(D:D, ROW())))</f>
        <v/>
      </c>
      <c r="F139" s="1" t="inlineStr">
        <is>
          <t>Array, Divide and Conquer, Tree, Binary Search Tree, Binary Tree</t>
        </is>
      </c>
      <c r="G139" s="1" t="inlineStr">
        <is>
          <t>Easy</t>
        </is>
      </c>
      <c r="H139" s="1" t="n">
        <v>1648072</v>
      </c>
      <c r="I139" s="1" t="n">
        <v>2196669</v>
      </c>
      <c r="J139" s="9" t="n">
        <v>0.75</v>
      </c>
      <c r="K139" s="1" t="inlineStr">
        <is>
          <t>Yes</t>
        </is>
      </c>
      <c r="L139" s="1" t="inlineStr">
        <is>
          <t>Yes</t>
        </is>
      </c>
      <c r="M139" s="1" t="inlineStr">
        <is>
          <t>Yes</t>
        </is>
      </c>
      <c r="N139" s="1" t="inlineStr">
        <is>
          <t>Algorithms</t>
        </is>
      </c>
      <c r="O1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0" ht="15.75" customHeight="1" s="12">
      <c r="A140" s="1" t="n">
        <v>279</v>
      </c>
      <c r="B140" s="3">
        <f>HYPERLINK("https://leetcode.com/problems/perfect-squares/", "Perfect Squares")</f>
        <v/>
      </c>
      <c r="C140" s="1" t="n">
        <v>11763</v>
      </c>
      <c r="D140" s="1" t="n">
        <v>491</v>
      </c>
      <c r="E140" s="4">
        <f>IF(INDEX(C:C, ROW())+INDEX(D:D, ROW())=0, 0, INDEX(C:C, ROW())/(INDEX(C:C, ROW())+INDEX(D:D, ROW())))</f>
        <v/>
      </c>
      <c r="F140" s="1" t="inlineStr">
        <is>
          <t>Math, Dynamic Programming, Breadth-First Search</t>
        </is>
      </c>
      <c r="G140" s="1" t="inlineStr">
        <is>
          <t>Medium</t>
        </is>
      </c>
      <c r="H140" s="1" t="n">
        <v>1028587</v>
      </c>
      <c r="I140" s="1" t="n">
        <v>1829677</v>
      </c>
      <c r="J140" s="9" t="n">
        <v>0.5620000000000001</v>
      </c>
      <c r="K140" s="1" t="inlineStr">
        <is>
          <t>Yes</t>
        </is>
      </c>
      <c r="L140" s="1" t="inlineStr">
        <is>
          <t>Yes</t>
        </is>
      </c>
      <c r="M140" s="1" t="inlineStr">
        <is>
          <t>No</t>
        </is>
      </c>
      <c r="N140" s="1" t="inlineStr">
        <is>
          <t>Algorithms</t>
        </is>
      </c>
      <c r="O1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1" ht="15.75" customHeight="1" s="12">
      <c r="A141" s="1" t="n">
        <v>202</v>
      </c>
      <c r="B141" s="3">
        <f>HYPERLINK("https://leetcode.com/problems/happy-number/", "Happy Number")</f>
        <v/>
      </c>
      <c r="C141" s="1" t="n">
        <v>11730</v>
      </c>
      <c r="D141" s="1" t="n">
        <v>1623</v>
      </c>
      <c r="E141" s="4">
        <f>IF(INDEX(C:C, ROW())+INDEX(D:D, ROW())=0, 0, INDEX(C:C, ROW())/(INDEX(C:C, ROW())+INDEX(D:D, ROW())))</f>
        <v/>
      </c>
      <c r="F141" s="1" t="inlineStr">
        <is>
          <t>Hash Table, Math, Two Pointers</t>
        </is>
      </c>
      <c r="G141" s="1" t="inlineStr">
        <is>
          <t>Easy</t>
        </is>
      </c>
      <c r="H141" s="1" t="n">
        <v>2139282</v>
      </c>
      <c r="I141" s="1" t="n">
        <v>3621616</v>
      </c>
      <c r="J141" s="9" t="n">
        <v>0.591</v>
      </c>
      <c r="K141" s="1" t="inlineStr">
        <is>
          <t>Yes</t>
        </is>
      </c>
      <c r="L141" s="1" t="inlineStr">
        <is>
          <t>Yes</t>
        </is>
      </c>
      <c r="M141" s="1" t="inlineStr">
        <is>
          <t>No</t>
        </is>
      </c>
      <c r="N141" s="1" t="inlineStr">
        <is>
          <t>Algorithms</t>
        </is>
      </c>
      <c r="O1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2" ht="15.75" customHeight="1" s="12">
      <c r="A142" s="1" t="n">
        <v>57</v>
      </c>
      <c r="B142" s="3">
        <f>HYPERLINK("https://leetcode.com/problems/insert-interval/", "Insert Interval")</f>
        <v/>
      </c>
      <c r="C142" s="1" t="n">
        <v>11660</v>
      </c>
      <c r="D142" s="1" t="n">
        <v>908</v>
      </c>
      <c r="E142" s="4">
        <f>IF(INDEX(C:C, ROW())+INDEX(D:D, ROW())=0, 0, INDEX(C:C, ROW())/(INDEX(C:C, ROW())+INDEX(D:D, ROW())))</f>
        <v/>
      </c>
      <c r="F142" s="1" t="inlineStr">
        <is>
          <t>Array</t>
        </is>
      </c>
      <c r="G142" s="1" t="inlineStr">
        <is>
          <t>Medium</t>
        </is>
      </c>
      <c r="H142" s="1" t="n">
        <v>1668874</v>
      </c>
      <c r="I142" s="1" t="n">
        <v>3745039</v>
      </c>
      <c r="J142" s="9" t="n">
        <v>0.446</v>
      </c>
      <c r="K142" s="1" t="inlineStr">
        <is>
          <t>Yes</t>
        </is>
      </c>
      <c r="L142" s="1" t="inlineStr">
        <is>
          <t>Yes</t>
        </is>
      </c>
      <c r="M142" s="1" t="inlineStr">
        <is>
          <t>No</t>
        </is>
      </c>
      <c r="N142" s="1" t="inlineStr">
        <is>
          <t>Algorithms</t>
        </is>
      </c>
      <c r="O1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3" ht="15.75" customHeight="1" s="12">
      <c r="A143" s="1" t="n">
        <v>621</v>
      </c>
      <c r="B143" s="3">
        <f>HYPERLINK("https://leetcode.com/problems/task-scheduler/", "Task Scheduler")</f>
        <v/>
      </c>
      <c r="C143" s="1" t="n">
        <v>11644</v>
      </c>
      <c r="D143" s="1" t="n">
        <v>2200</v>
      </c>
      <c r="E143" s="4">
        <f>IF(INDEX(C:C, ROW())+INDEX(D:D, ROW())=0, 0, INDEX(C:C, ROW())/(INDEX(C:C, ROW())+INDEX(D:D, ROW())))</f>
        <v/>
      </c>
      <c r="F143" s="1" t="inlineStr">
        <is>
          <t>Array, Hash Table, Greedy, Sorting, Heap (Priority Queue), Counting</t>
        </is>
      </c>
      <c r="G143" s="1" t="inlineStr">
        <is>
          <t>Medium</t>
        </is>
      </c>
      <c r="H143" s="1" t="n">
        <v>910158</v>
      </c>
      <c r="I143" s="1" t="n">
        <v>1457023</v>
      </c>
      <c r="J143" s="9" t="n">
        <v>0.625</v>
      </c>
      <c r="K143" s="1" t="inlineStr">
        <is>
          <t>Yes</t>
        </is>
      </c>
      <c r="L143" s="1" t="inlineStr">
        <is>
          <t>Yes</t>
        </is>
      </c>
      <c r="M143" s="1" t="inlineStr">
        <is>
          <t>No</t>
        </is>
      </c>
      <c r="N143" s="1" t="inlineStr">
        <is>
          <t>Algorithms</t>
        </is>
      </c>
      <c r="O1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4" ht="15.75" customHeight="1" s="12">
      <c r="A144" s="1" t="n">
        <v>66</v>
      </c>
      <c r="B144" s="3">
        <f>HYPERLINK("https://leetcode.com/problems/plus-one/", "Plus One")</f>
        <v/>
      </c>
      <c r="C144" s="1" t="n">
        <v>11547</v>
      </c>
      <c r="D144" s="1" t="n">
        <v>5586</v>
      </c>
      <c r="E144" s="4">
        <f>IF(INDEX(C:C, ROW())+INDEX(D:D, ROW())=0, 0, INDEX(C:C, ROW())/(INDEX(C:C, ROW())+INDEX(D:D, ROW())))</f>
        <v/>
      </c>
      <c r="F144" s="1" t="inlineStr">
        <is>
          <t>Array, Math</t>
        </is>
      </c>
      <c r="G144" s="1" t="inlineStr">
        <is>
          <t>Easy</t>
        </is>
      </c>
      <c r="H144" s="1" t="n">
        <v>3512420</v>
      </c>
      <c r="I144" s="1" t="n">
        <v>7125024</v>
      </c>
      <c r="J144" s="9" t="n">
        <v>0.493</v>
      </c>
      <c r="K144" s="1" t="inlineStr">
        <is>
          <t>Yes</t>
        </is>
      </c>
      <c r="L144" s="1" t="inlineStr">
        <is>
          <t>Yes</t>
        </is>
      </c>
      <c r="M144" s="1" t="inlineStr">
        <is>
          <t>No</t>
        </is>
      </c>
      <c r="N144" s="1" t="inlineStr">
        <is>
          <t>Algorithms</t>
        </is>
      </c>
      <c r="O1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5" ht="15.75" customHeight="1" s="12">
      <c r="A145" s="1" t="n">
        <v>16</v>
      </c>
      <c r="B145" s="3">
        <f>HYPERLINK("https://leetcode.com/problems/3sum-closest/", "3Sum Closest")</f>
        <v/>
      </c>
      <c r="C145" s="1" t="n">
        <v>11459</v>
      </c>
      <c r="D145" s="1" t="n">
        <v>615</v>
      </c>
      <c r="E145" s="4">
        <f>IF(INDEX(C:C, ROW())+INDEX(D:D, ROW())=0, 0, INDEX(C:C, ROW())/(INDEX(C:C, ROW())+INDEX(D:D, ROW())))</f>
        <v/>
      </c>
      <c r="F145" s="1" t="inlineStr">
        <is>
          <t>Array, Two Pointers, Sorting</t>
        </is>
      </c>
      <c r="G145" s="1" t="inlineStr">
        <is>
          <t>Medium</t>
        </is>
      </c>
      <c r="H145" s="1" t="n">
        <v>1711021</v>
      </c>
      <c r="I145" s="1" t="n">
        <v>3578112</v>
      </c>
      <c r="J145" s="9" t="n">
        <v>0.478</v>
      </c>
      <c r="K145" s="1" t="inlineStr">
        <is>
          <t>Yes</t>
        </is>
      </c>
      <c r="L145" s="1" t="inlineStr">
        <is>
          <t>Yes</t>
        </is>
      </c>
      <c r="M145" s="1" t="inlineStr">
        <is>
          <t>Yes</t>
        </is>
      </c>
      <c r="N145" s="1" t="inlineStr">
        <is>
          <t>Algorithms</t>
        </is>
      </c>
      <c r="O1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6" ht="15.75" customHeight="1" s="12">
      <c r="A146" s="1" t="n">
        <v>50</v>
      </c>
      <c r="B146" s="3">
        <f>HYPERLINK("https://leetcode.com/problems/powx-n/", "Pow(x, n)")</f>
        <v/>
      </c>
      <c r="C146" s="1" t="n">
        <v>11431</v>
      </c>
      <c r="D146" s="1" t="n">
        <v>10482</v>
      </c>
      <c r="E146" s="4">
        <f>IF(INDEX(C:C, ROW())+INDEX(D:D, ROW())=0, 0, INDEX(C:C, ROW())/(INDEX(C:C, ROW())+INDEX(D:D, ROW())))</f>
        <v/>
      </c>
      <c r="F146" s="1" t="inlineStr">
        <is>
          <t>Math, Recursion</t>
        </is>
      </c>
      <c r="G146" s="1" t="inlineStr">
        <is>
          <t>Medium</t>
        </is>
      </c>
      <c r="H146" s="1" t="n">
        <v>2557043</v>
      </c>
      <c r="I146" s="1" t="n">
        <v>6717413</v>
      </c>
      <c r="J146" s="9" t="n">
        <v>0.381</v>
      </c>
      <c r="K146" s="1" t="inlineStr">
        <is>
          <t>Yes</t>
        </is>
      </c>
      <c r="L146" s="1" t="inlineStr">
        <is>
          <t>Yes</t>
        </is>
      </c>
      <c r="M146" s="1" t="inlineStr">
        <is>
          <t>No</t>
        </is>
      </c>
      <c r="N146" s="1" t="inlineStr">
        <is>
          <t>Algorithms</t>
        </is>
      </c>
      <c r="O1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7" ht="15.75" customHeight="1" s="12">
      <c r="A147" s="1" t="n">
        <v>647</v>
      </c>
      <c r="B147" s="3">
        <f>HYPERLINK("https://leetcode.com/problems/palindromic-substrings/", "Palindromic Substrings")</f>
        <v/>
      </c>
      <c r="C147" s="1" t="n">
        <v>11416</v>
      </c>
      <c r="D147" s="1" t="n">
        <v>256</v>
      </c>
      <c r="E147" s="4">
        <f>IF(INDEX(C:C, ROW())+INDEX(D:D, ROW())=0, 0, INDEX(C:C, ROW())/(INDEX(C:C, ROW())+INDEX(D:D, ROW())))</f>
        <v/>
      </c>
      <c r="F147" s="1" t="inlineStr">
        <is>
          <t>Two Pointers, String, Dynamic Programming</t>
        </is>
      </c>
      <c r="G147" s="1" t="inlineStr">
        <is>
          <t>Medium</t>
        </is>
      </c>
      <c r="H147" s="1" t="n">
        <v>1126643</v>
      </c>
      <c r="I147" s="1" t="n">
        <v>1555887</v>
      </c>
      <c r="J147" s="9" t="n">
        <v>0.724</v>
      </c>
      <c r="K147" s="1" t="inlineStr">
        <is>
          <t>Yes</t>
        </is>
      </c>
      <c r="L147" s="1" t="inlineStr">
        <is>
          <t>Yes</t>
        </is>
      </c>
      <c r="M147" s="1" t="inlineStr">
        <is>
          <t>No</t>
        </is>
      </c>
      <c r="N147" s="1" t="inlineStr">
        <is>
          <t>Algorithms</t>
        </is>
      </c>
      <c r="O1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8" ht="15.75" customHeight="1" s="12">
      <c r="A148" s="1" t="n">
        <v>328</v>
      </c>
      <c r="B148" s="3">
        <f>HYPERLINK("https://leetcode.com/problems/odd-even-linked-list/", "Odd Even Linked List")</f>
        <v/>
      </c>
      <c r="C148" s="1" t="n">
        <v>11299</v>
      </c>
      <c r="D148" s="1" t="n">
        <v>584</v>
      </c>
      <c r="E148" s="4">
        <f>IF(INDEX(C:C, ROW())+INDEX(D:D, ROW())=0, 0, INDEX(C:C, ROW())/(INDEX(C:C, ROW())+INDEX(D:D, ROW())))</f>
        <v/>
      </c>
      <c r="F148" s="1" t="inlineStr">
        <is>
          <t>Linked List</t>
        </is>
      </c>
      <c r="G148" s="1" t="inlineStr">
        <is>
          <t>Medium</t>
        </is>
      </c>
      <c r="H148" s="1" t="n">
        <v>1408577</v>
      </c>
      <c r="I148" s="1" t="n">
        <v>2263868</v>
      </c>
      <c r="J148" s="9" t="n">
        <v>0.622</v>
      </c>
      <c r="K148" s="1" t="inlineStr">
        <is>
          <t>Yes</t>
        </is>
      </c>
      <c r="L148" s="1" t="inlineStr">
        <is>
          <t>Yes</t>
        </is>
      </c>
      <c r="M148" s="1" t="inlineStr">
        <is>
          <t>No</t>
        </is>
      </c>
      <c r="N148" s="1" t="inlineStr">
        <is>
          <t>Algorithms</t>
        </is>
      </c>
      <c r="O1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9" ht="15.75" customHeight="1" s="12">
      <c r="A149" s="1" t="n">
        <v>125</v>
      </c>
      <c r="B149" s="3">
        <f>HYPERLINK("https://leetcode.com/problems/valid-palindrome/", "Valid Palindrome")</f>
        <v/>
      </c>
      <c r="C149" s="1" t="n">
        <v>11248</v>
      </c>
      <c r="D149" s="1" t="n">
        <v>8619</v>
      </c>
      <c r="E149" s="4">
        <f>IF(INDEX(C:C, ROW())+INDEX(D:D, ROW())=0, 0, INDEX(C:C, ROW())/(INDEX(C:C, ROW())+INDEX(D:D, ROW())))</f>
        <v/>
      </c>
      <c r="F149" s="1" t="inlineStr">
        <is>
          <t>Two Pointers, String</t>
        </is>
      </c>
      <c r="G149" s="1" t="inlineStr">
        <is>
          <t>Easy</t>
        </is>
      </c>
      <c r="H149" s="1" t="n">
        <v>5037479</v>
      </c>
      <c r="I149" s="1" t="n">
        <v>9597580</v>
      </c>
      <c r="J149" s="9" t="n">
        <v>0.525</v>
      </c>
      <c r="K149" s="1" t="inlineStr">
        <is>
          <t>Yes</t>
        </is>
      </c>
      <c r="L149" s="1" t="inlineStr">
        <is>
          <t>Yes</t>
        </is>
      </c>
      <c r="M149" s="1" t="inlineStr">
        <is>
          <t>No</t>
        </is>
      </c>
      <c r="N149" s="1" t="inlineStr">
        <is>
          <t>Algorithms</t>
        </is>
      </c>
      <c r="O1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0" ht="15.75" customHeight="1" s="12">
      <c r="A150" s="1" t="n">
        <v>763</v>
      </c>
      <c r="B150" s="3">
        <f>HYPERLINK("https://leetcode.com/problems/partition-labels/", "Partition Labels")</f>
        <v/>
      </c>
      <c r="C150" s="1" t="n">
        <v>11168</v>
      </c>
      <c r="D150" s="1" t="n">
        <v>440</v>
      </c>
      <c r="E150" s="4">
        <f>IF(INDEX(C:C, ROW())+INDEX(D:D, ROW())=0, 0, INDEX(C:C, ROW())/(INDEX(C:C, ROW())+INDEX(D:D, ROW())))</f>
        <v/>
      </c>
      <c r="F150" s="1" t="inlineStr">
        <is>
          <t>Hash Table, Two Pointers, String, Greedy</t>
        </is>
      </c>
      <c r="G150" s="1" t="inlineStr">
        <is>
          <t>Medium</t>
        </is>
      </c>
      <c r="H150" s="1" t="n">
        <v>771243</v>
      </c>
      <c r="I150" s="1" t="n">
        <v>943419</v>
      </c>
      <c r="J150" s="9" t="n">
        <v>0.8169999999999999</v>
      </c>
      <c r="K150" s="1" t="inlineStr">
        <is>
          <t>Yes</t>
        </is>
      </c>
      <c r="L150" s="1" t="inlineStr">
        <is>
          <t>Yes</t>
        </is>
      </c>
      <c r="M150" s="1" t="inlineStr">
        <is>
          <t>No</t>
        </is>
      </c>
      <c r="N150" s="1" t="inlineStr">
        <is>
          <t>Algorithms</t>
        </is>
      </c>
      <c r="O1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1" ht="15.75" customHeight="1" s="12">
      <c r="A151" s="1" t="n">
        <v>410</v>
      </c>
      <c r="B151" s="3">
        <f>HYPERLINK("https://leetcode.com/problems/split-array-largest-sum/", "Split Array Largest Sum")</f>
        <v/>
      </c>
      <c r="C151" s="1" t="n">
        <v>11139</v>
      </c>
      <c r="D151" s="1" t="n">
        <v>267</v>
      </c>
      <c r="E151" s="4">
        <f>IF(INDEX(C:C, ROW())+INDEX(D:D, ROW())=0, 0, INDEX(C:C, ROW())/(INDEX(C:C, ROW())+INDEX(D:D, ROW())))</f>
        <v/>
      </c>
      <c r="F151" s="1" t="inlineStr">
        <is>
          <t>Array, Binary Search, Dynamic Programming, Greedy, Prefix Sum</t>
        </is>
      </c>
      <c r="G151" s="1" t="inlineStr">
        <is>
          <t>Hard</t>
        </is>
      </c>
      <c r="H151" s="1" t="n">
        <v>582114</v>
      </c>
      <c r="I151" s="1" t="n">
        <v>977210</v>
      </c>
      <c r="J151" s="9" t="n">
        <v>0.596</v>
      </c>
      <c r="K151" s="1" t="inlineStr">
        <is>
          <t>Yes</t>
        </is>
      </c>
      <c r="L151" s="1" t="inlineStr">
        <is>
          <t>Yes</t>
        </is>
      </c>
      <c r="M151" s="1" t="inlineStr">
        <is>
          <t>No</t>
        </is>
      </c>
      <c r="N151" s="1" t="inlineStr">
        <is>
          <t>Algorithms</t>
        </is>
      </c>
      <c r="O1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2" ht="15.75" customHeight="1" s="12">
      <c r="A152" s="1" t="n">
        <v>787</v>
      </c>
      <c r="B152" s="3">
        <f>HYPERLINK("https://leetcode.com/problems/cheapest-flights-within-k-stops/", "Cheapest Flights Within K Stops")</f>
        <v/>
      </c>
      <c r="C152" s="1" t="n">
        <v>11068</v>
      </c>
      <c r="D152" s="1" t="n">
        <v>466</v>
      </c>
      <c r="E152" s="4">
        <f>IF(INDEX(C:C, ROW())+INDEX(D:D, ROW())=0, 0, INDEX(C:C, ROW())/(INDEX(C:C, ROW())+INDEX(D:D, ROW())))</f>
        <v/>
      </c>
      <c r="F152" s="1" t="inlineStr">
        <is>
          <t>Dynamic Programming, Depth-First Search, Breadth-First Search, Graph Theory, Heap (Priority Queue), Shortest Path</t>
        </is>
      </c>
      <c r="G152" s="1" t="inlineStr">
        <is>
          <t>Medium</t>
        </is>
      </c>
      <c r="H152" s="1" t="n">
        <v>856501</v>
      </c>
      <c r="I152" s="1" t="n">
        <v>2078727</v>
      </c>
      <c r="J152" s="9" t="n">
        <v>0.412</v>
      </c>
      <c r="K152" s="1" t="inlineStr">
        <is>
          <t>Yes</t>
        </is>
      </c>
      <c r="L152" s="1" t="inlineStr">
        <is>
          <t>Yes</t>
        </is>
      </c>
      <c r="M152" s="1" t="inlineStr">
        <is>
          <t>No</t>
        </is>
      </c>
      <c r="N152" s="1" t="inlineStr">
        <is>
          <t>Algorithms</t>
        </is>
      </c>
      <c r="O1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3" ht="15.75" customHeight="1" s="12">
      <c r="A153" s="1" t="n">
        <v>61</v>
      </c>
      <c r="B153" s="3">
        <f>HYPERLINK("https://leetcode.com/problems/rotate-list/", "Rotate List")</f>
        <v/>
      </c>
      <c r="C153" s="1" t="n">
        <v>11059</v>
      </c>
      <c r="D153" s="1" t="n">
        <v>1538</v>
      </c>
      <c r="E153" s="4">
        <f>IF(INDEX(C:C, ROW())+INDEX(D:D, ROW())=0, 0, INDEX(C:C, ROW())/(INDEX(C:C, ROW())+INDEX(D:D, ROW())))</f>
        <v/>
      </c>
      <c r="F153" s="1" t="inlineStr">
        <is>
          <t>Linked List, Two Pointers</t>
        </is>
      </c>
      <c r="G153" s="1" t="inlineStr">
        <is>
          <t>Medium</t>
        </is>
      </c>
      <c r="H153" s="1" t="n">
        <v>1503129</v>
      </c>
      <c r="I153" s="1" t="n">
        <v>3667677</v>
      </c>
      <c r="J153" s="9" t="n">
        <v>0.41</v>
      </c>
      <c r="K153" s="1" t="inlineStr">
        <is>
          <t>Yes</t>
        </is>
      </c>
      <c r="L153" s="1" t="inlineStr">
        <is>
          <t>Yes</t>
        </is>
      </c>
      <c r="M153" s="1" t="inlineStr">
        <is>
          <t>No</t>
        </is>
      </c>
      <c r="N153" s="1" t="inlineStr">
        <is>
          <t>Algorithms</t>
        </is>
      </c>
      <c r="O1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4" ht="15.75" customHeight="1" s="12">
      <c r="A154" s="1" t="n">
        <v>442</v>
      </c>
      <c r="B154" s="3">
        <f>HYPERLINK("https://leetcode.com/problems/find-all-duplicates-in-an-array/", "Find All Duplicates in an Array")</f>
        <v/>
      </c>
      <c r="C154" s="1" t="n">
        <v>11048</v>
      </c>
      <c r="D154" s="1" t="n">
        <v>441</v>
      </c>
      <c r="E154" s="4">
        <f>IF(INDEX(C:C, ROW())+INDEX(D:D, ROW())=0, 0, INDEX(C:C, ROW())/(INDEX(C:C, ROW())+INDEX(D:D, ROW())))</f>
        <v/>
      </c>
      <c r="F154" s="1" t="inlineStr">
        <is>
          <t>Array, Hash Table, Sorting</t>
        </is>
      </c>
      <c r="G154" s="1" t="inlineStr">
        <is>
          <t>Medium</t>
        </is>
      </c>
      <c r="H154" s="1" t="n">
        <v>996683</v>
      </c>
      <c r="I154" s="1" t="n">
        <v>1298803</v>
      </c>
      <c r="J154" s="9" t="n">
        <v>0.767</v>
      </c>
      <c r="K154" s="1" t="inlineStr">
        <is>
          <t>Yes</t>
        </is>
      </c>
      <c r="L154" s="1" t="inlineStr">
        <is>
          <t>Yes</t>
        </is>
      </c>
      <c r="M154" s="1" t="inlineStr">
        <is>
          <t>No</t>
        </is>
      </c>
      <c r="N154" s="1" t="inlineStr">
        <is>
          <t>Algorithms</t>
        </is>
      </c>
      <c r="O1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5" ht="15.75" customHeight="1" s="12">
      <c r="A155" s="1" t="n">
        <v>297</v>
      </c>
      <c r="B155" s="3">
        <f>HYPERLINK("https://leetcode.com/problems/serialize-and-deserialize-binary-tree/", "Serialize and Deserialize Binary Tree")</f>
        <v/>
      </c>
      <c r="C155" s="1" t="n">
        <v>11026</v>
      </c>
      <c r="D155" s="1" t="n">
        <v>431</v>
      </c>
      <c r="E155" s="4">
        <f>IF(INDEX(C:C, ROW())+INDEX(D:D, ROW())=0, 0, INDEX(C:C, ROW())/(INDEX(C:C, ROW())+INDEX(D:D, ROW())))</f>
        <v/>
      </c>
      <c r="F155" s="1" t="inlineStr">
        <is>
          <t>String, Tree, Depth-First Search, Breadth-First Search, Design, Binary Tree</t>
        </is>
      </c>
      <c r="G155" s="1" t="inlineStr">
        <is>
          <t>Hard</t>
        </is>
      </c>
      <c r="H155" s="1" t="n">
        <v>1150348</v>
      </c>
      <c r="I155" s="1" t="n">
        <v>1912428</v>
      </c>
      <c r="J155" s="9" t="n">
        <v>0.602</v>
      </c>
      <c r="K155" s="1" t="inlineStr">
        <is>
          <t>Yes</t>
        </is>
      </c>
      <c r="L155" s="1" t="inlineStr">
        <is>
          <t>Yes</t>
        </is>
      </c>
      <c r="M155" s="1" t="inlineStr">
        <is>
          <t>No</t>
        </is>
      </c>
      <c r="N155" s="1" t="inlineStr">
        <is>
          <t>Algorithms</t>
        </is>
      </c>
      <c r="O1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6" ht="15.75" customHeight="1" s="12">
      <c r="A156" s="1" t="n">
        <v>547</v>
      </c>
      <c r="B156" s="3">
        <f>HYPERLINK("https://leetcode.com/problems/number-of-provinces/", "Number of Provinces")</f>
        <v/>
      </c>
      <c r="C156" s="1" t="n">
        <v>10958</v>
      </c>
      <c r="D156" s="1" t="n">
        <v>416</v>
      </c>
      <c r="E156" s="4">
        <f>IF(INDEX(C:C, ROW())+INDEX(D:D, ROW())=0, 0, INDEX(C:C, ROW())/(INDEX(C:C, ROW())+INDEX(D:D, ROW())))</f>
        <v/>
      </c>
      <c r="F156" s="1" t="inlineStr">
        <is>
          <t>Depth-First Search, Breadth-First Search, Union-Find, Graph Theory</t>
        </is>
      </c>
      <c r="G156" s="1" t="inlineStr">
        <is>
          <t>Medium</t>
        </is>
      </c>
      <c r="H156" s="1" t="n">
        <v>1431986</v>
      </c>
      <c r="I156" s="1" t="n">
        <v>2051483</v>
      </c>
      <c r="J156" s="9" t="n">
        <v>0.698</v>
      </c>
      <c r="K156" s="1" t="inlineStr">
        <is>
          <t>Yes</t>
        </is>
      </c>
      <c r="L156" s="1" t="inlineStr">
        <is>
          <t>Yes</t>
        </is>
      </c>
      <c r="M156" s="1" t="inlineStr">
        <is>
          <t>No</t>
        </is>
      </c>
      <c r="N156" s="1" t="inlineStr">
        <is>
          <t>Algorithms</t>
        </is>
      </c>
      <c r="O1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7" ht="15.75" customHeight="1" s="12">
      <c r="A157" s="1" t="n">
        <v>96</v>
      </c>
      <c r="B157" s="3">
        <f>HYPERLINK("https://leetcode.com/problems/unique-binary-search-trees/", "Unique Binary Search Trees")</f>
        <v/>
      </c>
      <c r="C157" s="1" t="n">
        <v>10939</v>
      </c>
      <c r="D157" s="1" t="n">
        <v>444</v>
      </c>
      <c r="E157" s="4">
        <f>IF(INDEX(C:C, ROW())+INDEX(D:D, ROW())=0, 0, INDEX(C:C, ROW())/(INDEX(C:C, ROW())+INDEX(D:D, ROW())))</f>
        <v/>
      </c>
      <c r="F157" s="1" t="inlineStr">
        <is>
          <t>Math, Dynamic Programming, Tree, Binary Search Tree, Binary Tree</t>
        </is>
      </c>
      <c r="G157" s="1" t="inlineStr">
        <is>
          <t>Medium</t>
        </is>
      </c>
      <c r="H157" s="1" t="n">
        <v>830584</v>
      </c>
      <c r="I157" s="1" t="n">
        <v>1315001</v>
      </c>
      <c r="J157" s="9" t="n">
        <v>0.632</v>
      </c>
      <c r="K157" s="1" t="inlineStr">
        <is>
          <t>Yes</t>
        </is>
      </c>
      <c r="L157" s="1" t="inlineStr">
        <is>
          <t>Yes</t>
        </is>
      </c>
      <c r="M157" s="1" t="inlineStr">
        <is>
          <t>No</t>
        </is>
      </c>
      <c r="N157" s="1" t="inlineStr">
        <is>
          <t>Algorithms</t>
        </is>
      </c>
      <c r="O1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8" ht="15.75" customHeight="1" s="12">
      <c r="A158" s="1" t="n">
        <v>37</v>
      </c>
      <c r="B158" s="3">
        <f>HYPERLINK("https://leetcode.com/problems/sudoku-solver/", "Sudoku Solver")</f>
        <v/>
      </c>
      <c r="C158" s="1" t="n">
        <v>10934</v>
      </c>
      <c r="D158" s="1" t="n">
        <v>337</v>
      </c>
      <c r="E158" s="4">
        <f>IF(INDEX(C:C, ROW())+INDEX(D:D, ROW())=0, 0, INDEX(C:C, ROW())/(INDEX(C:C, ROW())+INDEX(D:D, ROW())))</f>
        <v/>
      </c>
      <c r="F158" s="1" t="inlineStr">
        <is>
          <t>Array, Hash Table, Backtracking, Matrix</t>
        </is>
      </c>
      <c r="G158" s="1" t="inlineStr">
        <is>
          <t>Hard</t>
        </is>
      </c>
      <c r="H158" s="1" t="n">
        <v>973878</v>
      </c>
      <c r="I158" s="1" t="n">
        <v>1489871</v>
      </c>
      <c r="J158" s="9" t="n">
        <v>0.654</v>
      </c>
      <c r="K158" s="1" t="inlineStr">
        <is>
          <t>Yes</t>
        </is>
      </c>
      <c r="L158" s="1" t="inlineStr">
        <is>
          <t>Yes</t>
        </is>
      </c>
      <c r="M158" s="1" t="inlineStr">
        <is>
          <t>No</t>
        </is>
      </c>
      <c r="N158" s="1" t="inlineStr">
        <is>
          <t>Algorithms</t>
        </is>
      </c>
      <c r="O1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9" ht="15.75" customHeight="1" s="12">
      <c r="A159" s="1" t="n">
        <v>221</v>
      </c>
      <c r="B159" s="3">
        <f>HYPERLINK("https://leetcode.com/problems/maximal-square/", "Maximal Square")</f>
        <v/>
      </c>
      <c r="C159" s="1" t="n">
        <v>10931</v>
      </c>
      <c r="D159" s="1" t="n">
        <v>258</v>
      </c>
      <c r="E159" s="4">
        <f>IF(INDEX(C:C, ROW())+INDEX(D:D, ROW())=0, 0, INDEX(C:C, ROW())/(INDEX(C:C, ROW())+INDEX(D:D, ROW())))</f>
        <v/>
      </c>
      <c r="F159" s="1" t="inlineStr">
        <is>
          <t>Array, Dynamic Programming, Matrix</t>
        </is>
      </c>
      <c r="G159" s="1" t="inlineStr">
        <is>
          <t>Medium</t>
        </is>
      </c>
      <c r="H159" s="1" t="n">
        <v>897638</v>
      </c>
      <c r="I159" s="1" t="n">
        <v>1801093</v>
      </c>
      <c r="J159" s="9" t="n">
        <v>0.498</v>
      </c>
      <c r="K159" s="1" t="inlineStr">
        <is>
          <t>Yes</t>
        </is>
      </c>
      <c r="L159" s="1" t="inlineStr">
        <is>
          <t>Yes</t>
        </is>
      </c>
      <c r="M159" s="1" t="inlineStr">
        <is>
          <t>No</t>
        </is>
      </c>
      <c r="N159" s="1" t="inlineStr">
        <is>
          <t>Algorithms</t>
        </is>
      </c>
      <c r="O1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0" ht="15.75" customHeight="1" s="12">
      <c r="A160" s="1" t="n">
        <v>213</v>
      </c>
      <c r="B160" s="3">
        <f>HYPERLINK("https://leetcode.com/problems/house-robber-ii/", "House Robber II")</f>
        <v/>
      </c>
      <c r="C160" s="1" t="n">
        <v>10920</v>
      </c>
      <c r="D160" s="1" t="n">
        <v>187</v>
      </c>
      <c r="E160" s="4">
        <f>IF(INDEX(C:C, ROW())+INDEX(D:D, ROW())=0, 0, INDEX(C:C, ROW())/(INDEX(C:C, ROW())+INDEX(D:D, ROW())))</f>
        <v/>
      </c>
      <c r="F160" s="1" t="inlineStr">
        <is>
          <t>Array, Dynamic Programming</t>
        </is>
      </c>
      <c r="G160" s="1" t="inlineStr">
        <is>
          <t>Medium</t>
        </is>
      </c>
      <c r="H160" s="1" t="n">
        <v>1177383</v>
      </c>
      <c r="I160" s="1" t="n">
        <v>2648346</v>
      </c>
      <c r="J160" s="9" t="n">
        <v>0.445</v>
      </c>
      <c r="K160" s="1" t="inlineStr">
        <is>
          <t>Yes</t>
        </is>
      </c>
      <c r="L160" s="1" t="inlineStr">
        <is>
          <t>Yes</t>
        </is>
      </c>
      <c r="M160" s="1" t="inlineStr">
        <is>
          <t>No</t>
        </is>
      </c>
      <c r="N160" s="1" t="inlineStr">
        <is>
          <t>Algorithms</t>
        </is>
      </c>
      <c r="O1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1" ht="15.75" customHeight="1" s="12">
      <c r="A161" s="1" t="n">
        <v>229</v>
      </c>
      <c r="B161" s="3">
        <f>HYPERLINK("https://leetcode.com/problems/majority-element-ii/", "Majority Element II")</f>
        <v/>
      </c>
      <c r="C161" s="1" t="n">
        <v>10852</v>
      </c>
      <c r="D161" s="1" t="n">
        <v>489</v>
      </c>
      <c r="E161" s="4">
        <f>IF(INDEX(C:C, ROW())+INDEX(D:D, ROW())=0, 0, INDEX(C:C, ROW())/(INDEX(C:C, ROW())+INDEX(D:D, ROW())))</f>
        <v/>
      </c>
      <c r="F161" s="1" t="inlineStr">
        <is>
          <t>Array, Hash Table, Sorting, Counting</t>
        </is>
      </c>
      <c r="G161" s="1" t="inlineStr">
        <is>
          <t>Medium</t>
        </is>
      </c>
      <c r="H161" s="1" t="n">
        <v>1175130</v>
      </c>
      <c r="I161" s="1" t="n">
        <v>2113873</v>
      </c>
      <c r="J161" s="9" t="n">
        <v>0.556</v>
      </c>
      <c r="K161" s="1" t="inlineStr">
        <is>
          <t>Yes</t>
        </is>
      </c>
      <c r="L161" s="1" t="inlineStr">
        <is>
          <t>Yes</t>
        </is>
      </c>
      <c r="M161" s="1" t="inlineStr">
        <is>
          <t>No</t>
        </is>
      </c>
      <c r="N161" s="1" t="inlineStr">
        <is>
          <t>Algorithms</t>
        </is>
      </c>
      <c r="O1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2" ht="15.75" customHeight="1" s="12">
      <c r="A162" s="1" t="n">
        <v>1011</v>
      </c>
      <c r="B162" s="3">
        <f>HYPERLINK("https://leetcode.com/problems/capacity-to-ship-packages-within-d-days/", "Capacity To Ship Packages Within D Days")</f>
        <v/>
      </c>
      <c r="C162" s="1" t="n">
        <v>10797</v>
      </c>
      <c r="D162" s="1" t="n">
        <v>279</v>
      </c>
      <c r="E162" s="4">
        <f>IF(INDEX(C:C, ROW())+INDEX(D:D, ROW())=0, 0, INDEX(C:C, ROW())/(INDEX(C:C, ROW())+INDEX(D:D, ROW())))</f>
        <v/>
      </c>
      <c r="F162" s="1" t="inlineStr">
        <is>
          <t>Array, Binary Search</t>
        </is>
      </c>
      <c r="G162" s="1" t="inlineStr">
        <is>
          <t>Medium</t>
        </is>
      </c>
      <c r="H162" s="1" t="n">
        <v>700384</v>
      </c>
      <c r="I162" s="1" t="n">
        <v>955535</v>
      </c>
      <c r="J162" s="9" t="n">
        <v>0.733</v>
      </c>
      <c r="K162" s="1" t="inlineStr">
        <is>
          <t>Yes</t>
        </is>
      </c>
      <c r="L162" s="1" t="inlineStr">
        <is>
          <t>Yes</t>
        </is>
      </c>
      <c r="M162" s="1" t="inlineStr">
        <is>
          <t>No</t>
        </is>
      </c>
      <c r="N162" s="1" t="inlineStr">
        <is>
          <t>Algorithms</t>
        </is>
      </c>
      <c r="O1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3" ht="15.75" customHeight="1" s="12">
      <c r="A163" s="1" t="n">
        <v>90</v>
      </c>
      <c r="B163" s="3">
        <f>HYPERLINK("https://leetcode.com/problems/subsets-ii/", "Subsets II")</f>
        <v/>
      </c>
      <c r="C163" s="1" t="n">
        <v>10774</v>
      </c>
      <c r="D163" s="1" t="n">
        <v>403</v>
      </c>
      <c r="E163" s="4">
        <f>IF(INDEX(C:C, ROW())+INDEX(D:D, ROW())=0, 0, INDEX(C:C, ROW())/(INDEX(C:C, ROW())+INDEX(D:D, ROW())))</f>
        <v/>
      </c>
      <c r="F163" s="1" t="inlineStr">
        <is>
          <t>Array, Backtracking, Bit Manipulation</t>
        </is>
      </c>
      <c r="G163" s="1" t="inlineStr">
        <is>
          <t>Medium</t>
        </is>
      </c>
      <c r="H163" s="1" t="n">
        <v>1405380</v>
      </c>
      <c r="I163" s="1" t="n">
        <v>2316246</v>
      </c>
      <c r="J163" s="9" t="n">
        <v>0.607</v>
      </c>
      <c r="K163" s="1" t="inlineStr">
        <is>
          <t>Yes</t>
        </is>
      </c>
      <c r="L163" s="1" t="inlineStr">
        <is>
          <t>Yes</t>
        </is>
      </c>
      <c r="M163" s="1" t="inlineStr">
        <is>
          <t>No</t>
        </is>
      </c>
      <c r="N163" s="1" t="inlineStr">
        <is>
          <t>Algorithms</t>
        </is>
      </c>
      <c r="O1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4" ht="15.75" customHeight="1" s="12">
      <c r="A164" s="1" t="n">
        <v>120</v>
      </c>
      <c r="B164" s="3">
        <f>HYPERLINK("https://leetcode.com/problems/triangle/", "Triangle")</f>
        <v/>
      </c>
      <c r="C164" s="1" t="n">
        <v>10743</v>
      </c>
      <c r="D164" s="1" t="n">
        <v>607</v>
      </c>
      <c r="E164" s="4">
        <f>IF(INDEX(C:C, ROW())+INDEX(D:D, ROW())=0, 0, INDEX(C:C, ROW())/(INDEX(C:C, ROW())+INDEX(D:D, ROW())))</f>
        <v/>
      </c>
      <c r="F164" s="1" t="inlineStr">
        <is>
          <t>Array, Dynamic Programming</t>
        </is>
      </c>
      <c r="G164" s="1" t="inlineStr">
        <is>
          <t>Medium</t>
        </is>
      </c>
      <c r="H164" s="1" t="n">
        <v>1232670</v>
      </c>
      <c r="I164" s="1" t="n">
        <v>2059917</v>
      </c>
      <c r="J164" s="9" t="n">
        <v>0.598</v>
      </c>
      <c r="K164" s="1" t="inlineStr">
        <is>
          <t>Yes</t>
        </is>
      </c>
      <c r="L164" s="1" t="inlineStr">
        <is>
          <t>Yes</t>
        </is>
      </c>
      <c r="M164" s="1" t="inlineStr">
        <is>
          <t>No</t>
        </is>
      </c>
      <c r="N164" s="1" t="inlineStr">
        <is>
          <t>Algorithms</t>
        </is>
      </c>
      <c r="O1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5" ht="15.75" customHeight="1" s="12">
      <c r="A165" s="1" t="n">
        <v>392</v>
      </c>
      <c r="B165" s="3">
        <f>HYPERLINK("https://leetcode.com/problems/is-subsequence/", "Is Subsequence")</f>
        <v/>
      </c>
      <c r="C165" s="1" t="n">
        <v>10685</v>
      </c>
      <c r="D165" s="1" t="n">
        <v>612</v>
      </c>
      <c r="E165" s="4">
        <f>IF(INDEX(C:C, ROW())+INDEX(D:D, ROW())=0, 0, INDEX(C:C, ROW())/(INDEX(C:C, ROW())+INDEX(D:D, ROW())))</f>
        <v/>
      </c>
      <c r="F165" s="1" t="inlineStr">
        <is>
          <t>Two Pointers, String, Dynamic Programming</t>
        </is>
      </c>
      <c r="G165" s="1" t="inlineStr">
        <is>
          <t>Easy</t>
        </is>
      </c>
      <c r="H165" s="1" t="n">
        <v>2355242</v>
      </c>
      <c r="I165" s="1" t="n">
        <v>4829750</v>
      </c>
      <c r="J165" s="9" t="n">
        <v>0.488</v>
      </c>
      <c r="K165" s="1" t="inlineStr">
        <is>
          <t>Yes</t>
        </is>
      </c>
      <c r="L165" s="1" t="inlineStr">
        <is>
          <t>Yes</t>
        </is>
      </c>
      <c r="M165" s="1" t="inlineStr">
        <is>
          <t>No</t>
        </is>
      </c>
      <c r="N165" s="1" t="inlineStr">
        <is>
          <t>Algorithms</t>
        </is>
      </c>
      <c r="O1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6" ht="15.75" customHeight="1" s="12">
      <c r="A166" s="1" t="n">
        <v>542</v>
      </c>
      <c r="B166" s="3">
        <f>HYPERLINK("https://leetcode.com/problems/01-matrix/", "01 Matrix")</f>
        <v/>
      </c>
      <c r="C166" s="1" t="n">
        <v>10595</v>
      </c>
      <c r="D166" s="1" t="n">
        <v>448</v>
      </c>
      <c r="E166" s="4">
        <f>IF(INDEX(C:C, ROW())+INDEX(D:D, ROW())=0, 0, INDEX(C:C, ROW())/(INDEX(C:C, ROW())+INDEX(D:D, ROW())))</f>
        <v/>
      </c>
      <c r="F166" s="1" t="inlineStr">
        <is>
          <t>Array, Dynamic Programming, Breadth-First Search, Matrix</t>
        </is>
      </c>
      <c r="G166" s="1" t="inlineStr">
        <is>
          <t>Medium</t>
        </is>
      </c>
      <c r="H166" s="1" t="n">
        <v>852948</v>
      </c>
      <c r="I166" s="1" t="n">
        <v>1607058</v>
      </c>
      <c r="J166" s="9" t="n">
        <v>0.531</v>
      </c>
      <c r="K166" s="1" t="inlineStr">
        <is>
          <t>Yes</t>
        </is>
      </c>
      <c r="L166" s="1" t="inlineStr">
        <is>
          <t>Yes</t>
        </is>
      </c>
      <c r="M166" s="1" t="inlineStr">
        <is>
          <t>No</t>
        </is>
      </c>
      <c r="N166" s="1" t="inlineStr">
        <is>
          <t>Algorithms</t>
        </is>
      </c>
      <c r="O1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7" ht="15.75" customHeight="1" s="12">
      <c r="A167" s="1" t="n">
        <v>112</v>
      </c>
      <c r="B167" s="3">
        <f>HYPERLINK("https://leetcode.com/problems/path-sum/", "Path Sum")</f>
        <v/>
      </c>
      <c r="C167" s="1" t="n">
        <v>10574</v>
      </c>
      <c r="D167" s="1" t="n">
        <v>1209</v>
      </c>
      <c r="E167" s="4">
        <f>IF(INDEX(C:C, ROW())+INDEX(D:D, ROW())=0, 0, INDEX(C:C, ROW())/(INDEX(C:C, ROW())+INDEX(D:D, ROW())))</f>
        <v/>
      </c>
      <c r="F167" s="1" t="inlineStr">
        <is>
          <t>Tree, Depth-First Search, Breadth-First Search, Binary Tree</t>
        </is>
      </c>
      <c r="G167" s="1" t="inlineStr">
        <is>
          <t>Easy</t>
        </is>
      </c>
      <c r="H167" s="1" t="n">
        <v>2034190</v>
      </c>
      <c r="I167" s="1" t="n">
        <v>3754378</v>
      </c>
      <c r="J167" s="9" t="n">
        <v>0.542</v>
      </c>
      <c r="K167" s="1" t="inlineStr">
        <is>
          <t>Yes</t>
        </is>
      </c>
      <c r="L167" s="1" t="inlineStr">
        <is>
          <t>Yes</t>
        </is>
      </c>
      <c r="M167" s="1" t="inlineStr">
        <is>
          <t>No</t>
        </is>
      </c>
      <c r="N167" s="1" t="inlineStr">
        <is>
          <t>Algorithms</t>
        </is>
      </c>
      <c r="O1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8" ht="15.75" customHeight="1" s="12">
      <c r="A168" s="1" t="n">
        <v>695</v>
      </c>
      <c r="B168" s="3">
        <f>HYPERLINK("https://leetcode.com/problems/max-area-of-island/", "Max Area of Island")</f>
        <v/>
      </c>
      <c r="C168" s="1" t="n">
        <v>10542</v>
      </c>
      <c r="D168" s="1" t="n">
        <v>220</v>
      </c>
      <c r="E168" s="4">
        <f>IF(INDEX(C:C, ROW())+INDEX(D:D, ROW())=0, 0, INDEX(C:C, ROW())/(INDEX(C:C, ROW())+INDEX(D:D, ROW())))</f>
        <v/>
      </c>
      <c r="F168" s="1" t="inlineStr">
        <is>
          <t>Array, Depth-First Search, Breadth-First Search, Union-Find, Matrix</t>
        </is>
      </c>
      <c r="G168" s="1" t="inlineStr">
        <is>
          <t>Medium</t>
        </is>
      </c>
      <c r="H168" s="1" t="n">
        <v>1184897</v>
      </c>
      <c r="I168" s="1" t="n">
        <v>1608286</v>
      </c>
      <c r="J168" s="9" t="n">
        <v>0.737</v>
      </c>
      <c r="K168" s="1" t="inlineStr">
        <is>
          <t>Yes</t>
        </is>
      </c>
      <c r="L168" s="1" t="inlineStr">
        <is>
          <t>Yes</t>
        </is>
      </c>
      <c r="M168" s="1" t="inlineStr">
        <is>
          <t>No</t>
        </is>
      </c>
      <c r="N168" s="1" t="inlineStr">
        <is>
          <t>Algorithms</t>
        </is>
      </c>
      <c r="O1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9" ht="15.75" customHeight="1" s="12">
      <c r="A169" s="1" t="n">
        <v>123</v>
      </c>
      <c r="B169" s="3">
        <f>HYPERLINK("https://leetcode.com/problems/best-time-to-buy-and-sell-stock-iii/", "Best Time to Buy and Sell Stock III")</f>
        <v/>
      </c>
      <c r="C169" s="1" t="n">
        <v>10486</v>
      </c>
      <c r="D169" s="1" t="n">
        <v>221</v>
      </c>
      <c r="E169" s="4">
        <f>IF(INDEX(C:C, ROW())+INDEX(D:D, ROW())=0, 0, INDEX(C:C, ROW())/(INDEX(C:C, ROW())+INDEX(D:D, ROW())))</f>
        <v/>
      </c>
      <c r="F169" s="1" t="inlineStr">
        <is>
          <t>Array, Dynamic Programming</t>
        </is>
      </c>
      <c r="G169" s="1" t="inlineStr">
        <is>
          <t>Hard</t>
        </is>
      </c>
      <c r="H169" s="1" t="n">
        <v>908673</v>
      </c>
      <c r="I169" s="1" t="n">
        <v>1717823</v>
      </c>
      <c r="J169" s="9" t="n">
        <v>0.529</v>
      </c>
      <c r="K169" s="1" t="inlineStr">
        <is>
          <t>Yes</t>
        </is>
      </c>
      <c r="L169" s="1" t="inlineStr">
        <is>
          <t>Yes</t>
        </is>
      </c>
      <c r="M169" s="1" t="inlineStr">
        <is>
          <t>No</t>
        </is>
      </c>
      <c r="N169" s="1" t="inlineStr">
        <is>
          <t>Algorithms</t>
        </is>
      </c>
      <c r="O1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0" ht="15.75" customHeight="1" s="12">
      <c r="A170" s="1" t="n">
        <v>378</v>
      </c>
      <c r="B170" s="3">
        <f>HYPERLINK("https://leetcode.com/problems/kth-smallest-element-in-a-sorted-matrix/", "Kth Smallest Element in a Sorted Matrix")</f>
        <v/>
      </c>
      <c r="C170" s="1" t="n">
        <v>10478</v>
      </c>
      <c r="D170" s="1" t="n">
        <v>391</v>
      </c>
      <c r="E170" s="4">
        <f>IF(INDEX(C:C, ROW())+INDEX(D:D, ROW())=0, 0, INDEX(C:C, ROW())/(INDEX(C:C, ROW())+INDEX(D:D, ROW())))</f>
        <v/>
      </c>
      <c r="F170" s="1" t="inlineStr">
        <is>
          <t>Array, Binary Search, Sorting, Heap (Priority Queue), Matrix</t>
        </is>
      </c>
      <c r="G170" s="1" t="inlineStr">
        <is>
          <t>Medium</t>
        </is>
      </c>
      <c r="H170" s="1" t="n">
        <v>777511</v>
      </c>
      <c r="I170" s="1" t="n">
        <v>1210989</v>
      </c>
      <c r="J170" s="9" t="n">
        <v>0.642</v>
      </c>
      <c r="K170" s="1" t="inlineStr">
        <is>
          <t>Yes</t>
        </is>
      </c>
      <c r="L170" s="1" t="inlineStr">
        <is>
          <t>Yes</t>
        </is>
      </c>
      <c r="M170" s="1" t="inlineStr">
        <is>
          <t>No</t>
        </is>
      </c>
      <c r="N170" s="1" t="inlineStr">
        <is>
          <t>Algorithms</t>
        </is>
      </c>
      <c r="O1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1" ht="15.75" customHeight="1" s="12">
      <c r="A171" s="1" t="n">
        <v>133</v>
      </c>
      <c r="B171" s="3">
        <f>HYPERLINK("https://leetcode.com/problems/clone-graph/", "Clone Graph")</f>
        <v/>
      </c>
      <c r="C171" s="1" t="n">
        <v>10473</v>
      </c>
      <c r="D171" s="1" t="n">
        <v>4163</v>
      </c>
      <c r="E171" s="4">
        <f>IF(INDEX(C:C, ROW())+INDEX(D:D, ROW())=0, 0, INDEX(C:C, ROW())/(INDEX(C:C, ROW())+INDEX(D:D, ROW())))</f>
        <v/>
      </c>
      <c r="F171" s="1" t="inlineStr">
        <is>
          <t>Hash Table, Depth-First Search, Breadth-First Search, Graph Theory</t>
        </is>
      </c>
      <c r="G171" s="1" t="inlineStr">
        <is>
          <t>Medium</t>
        </is>
      </c>
      <c r="H171" s="1" t="n">
        <v>1808145</v>
      </c>
      <c r="I171" s="1" t="n">
        <v>2808752</v>
      </c>
      <c r="J171" s="9" t="n">
        <v>0.644</v>
      </c>
      <c r="K171" s="1" t="inlineStr">
        <is>
          <t>Yes</t>
        </is>
      </c>
      <c r="L171" s="1" t="inlineStr">
        <is>
          <t>Yes</t>
        </is>
      </c>
      <c r="M171" s="1" t="inlineStr">
        <is>
          <t>No</t>
        </is>
      </c>
      <c r="N171" s="1" t="inlineStr">
        <is>
          <t>Algorithms</t>
        </is>
      </c>
      <c r="O1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2" ht="15.75" customHeight="1" s="12">
      <c r="A172" s="1" t="n">
        <v>402</v>
      </c>
      <c r="B172" s="3">
        <f>HYPERLINK("https://leetcode.com/problems/remove-k-digits/", "Remove K Digits")</f>
        <v/>
      </c>
      <c r="C172" s="1" t="n">
        <v>10440</v>
      </c>
      <c r="D172" s="1" t="n">
        <v>544</v>
      </c>
      <c r="E172" s="4">
        <f>IF(INDEX(C:C, ROW())+INDEX(D:D, ROW())=0, 0, INDEX(C:C, ROW())/(INDEX(C:C, ROW())+INDEX(D:D, ROW())))</f>
        <v/>
      </c>
      <c r="F172" s="1" t="inlineStr">
        <is>
          <t>String, Stack, Greedy, Monotonic Stack</t>
        </is>
      </c>
      <c r="G172" s="1" t="inlineStr">
        <is>
          <t>Medium</t>
        </is>
      </c>
      <c r="H172" s="1" t="n">
        <v>690486</v>
      </c>
      <c r="I172" s="1" t="n">
        <v>1910666</v>
      </c>
      <c r="J172" s="9" t="n">
        <v>0.361</v>
      </c>
      <c r="K172" s="1" t="inlineStr">
        <is>
          <t>Yes</t>
        </is>
      </c>
      <c r="L172" s="1" t="inlineStr">
        <is>
          <t>Yes</t>
        </is>
      </c>
      <c r="M172" s="1" t="inlineStr">
        <is>
          <t>No</t>
        </is>
      </c>
      <c r="N172" s="1" t="inlineStr">
        <is>
          <t>Algorithms</t>
        </is>
      </c>
      <c r="O1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3" ht="15.75" customHeight="1" s="12">
      <c r="A173" s="1" t="n">
        <v>67</v>
      </c>
      <c r="B173" s="3">
        <f>HYPERLINK("https://leetcode.com/problems/add-binary/", "Add Binary")</f>
        <v/>
      </c>
      <c r="C173" s="1" t="n">
        <v>10359</v>
      </c>
      <c r="D173" s="1" t="n">
        <v>1090</v>
      </c>
      <c r="E173" s="4">
        <f>IF(INDEX(C:C, ROW())+INDEX(D:D, ROW())=0, 0, INDEX(C:C, ROW())/(INDEX(C:C, ROW())+INDEX(D:D, ROW())))</f>
        <v/>
      </c>
      <c r="F173" s="1" t="inlineStr">
        <is>
          <t>Math, String, Bit Manipulation, Simulation</t>
        </is>
      </c>
      <c r="G173" s="1" t="inlineStr">
        <is>
          <t>Easy</t>
        </is>
      </c>
      <c r="H173" s="1" t="n">
        <v>2118607</v>
      </c>
      <c r="I173" s="1" t="n">
        <v>3736734</v>
      </c>
      <c r="J173" s="9" t="n">
        <v>0.5669999999999999</v>
      </c>
      <c r="K173" s="1" t="inlineStr">
        <is>
          <t>Yes</t>
        </is>
      </c>
      <c r="L173" s="1" t="inlineStr">
        <is>
          <t>Yes</t>
        </is>
      </c>
      <c r="M173" s="1" t="inlineStr">
        <is>
          <t>No</t>
        </is>
      </c>
      <c r="N173" s="1" t="inlineStr">
        <is>
          <t>Algorithms</t>
        </is>
      </c>
      <c r="O1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4" ht="15.75" customHeight="1" s="12">
      <c r="A174" s="1" t="n">
        <v>116</v>
      </c>
      <c r="B174" s="3">
        <f>HYPERLINK("https://leetcode.com/problems/populating-next-right-pointers-in-each-node/", "Populating Next Right Pointers in Each Node")</f>
        <v/>
      </c>
      <c r="C174" s="1" t="n">
        <v>10346</v>
      </c>
      <c r="D174" s="1" t="n">
        <v>326</v>
      </c>
      <c r="E174" s="4">
        <f>IF(INDEX(C:C, ROW())+INDEX(D:D, ROW())=0, 0, INDEX(C:C, ROW())/(INDEX(C:C, ROW())+INDEX(D:D, ROW())))</f>
        <v/>
      </c>
      <c r="F174" s="1" t="inlineStr">
        <is>
          <t>Linked List, Tree, Depth-First Search, Breadth-First Search, Binary Tree</t>
        </is>
      </c>
      <c r="G174" s="1" t="inlineStr">
        <is>
          <t>Medium</t>
        </is>
      </c>
      <c r="H174" s="1" t="n">
        <v>1299919</v>
      </c>
      <c r="I174" s="1" t="n">
        <v>1950197</v>
      </c>
      <c r="J174" s="9" t="n">
        <v>0.667</v>
      </c>
      <c r="K174" s="1" t="inlineStr">
        <is>
          <t>Yes</t>
        </is>
      </c>
      <c r="L174" s="1" t="inlineStr">
        <is>
          <t>Yes</t>
        </is>
      </c>
      <c r="M174" s="1" t="inlineStr">
        <is>
          <t>No</t>
        </is>
      </c>
      <c r="N174" s="1" t="inlineStr">
        <is>
          <t>Algorithms</t>
        </is>
      </c>
      <c r="O1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5" ht="15.75" customHeight="1" s="12">
      <c r="A175" s="1" t="n">
        <v>205</v>
      </c>
      <c r="B175" s="3">
        <f>HYPERLINK("https://leetcode.com/problems/isomorphic-strings/", "Isomorphic Strings")</f>
        <v/>
      </c>
      <c r="C175" s="1" t="n">
        <v>10332</v>
      </c>
      <c r="D175" s="1" t="n">
        <v>2268</v>
      </c>
      <c r="E175" s="4">
        <f>IF(INDEX(C:C, ROW())+INDEX(D:D, ROW())=0, 0, INDEX(C:C, ROW())/(INDEX(C:C, ROW())+INDEX(D:D, ROW())))</f>
        <v/>
      </c>
      <c r="F175" s="1" t="inlineStr">
        <is>
          <t>Hash Table, String</t>
        </is>
      </c>
      <c r="G175" s="1" t="inlineStr">
        <is>
          <t>Easy</t>
        </is>
      </c>
      <c r="H175" s="1" t="n">
        <v>2046013</v>
      </c>
      <c r="I175" s="1" t="n">
        <v>4277054</v>
      </c>
      <c r="J175" s="9" t="n">
        <v>0.478</v>
      </c>
      <c r="K175" s="1" t="inlineStr">
        <is>
          <t>Yes</t>
        </is>
      </c>
      <c r="L175" s="1" t="inlineStr">
        <is>
          <t>Yes</t>
        </is>
      </c>
      <c r="M175" s="1" t="inlineStr">
        <is>
          <t>No</t>
        </is>
      </c>
      <c r="N175" s="1" t="inlineStr">
        <is>
          <t>Algorithms</t>
        </is>
      </c>
      <c r="O1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6" ht="15.75" customHeight="1" s="12">
      <c r="A176" s="1" t="n">
        <v>516</v>
      </c>
      <c r="B176" s="3">
        <f>HYPERLINK("https://leetcode.com/problems/longest-palindromic-subsequence/", "Longest Palindromic Subsequence")</f>
        <v/>
      </c>
      <c r="C176" s="1" t="n">
        <v>10276</v>
      </c>
      <c r="D176" s="1" t="n">
        <v>343</v>
      </c>
      <c r="E176" s="4">
        <f>IF(INDEX(C:C, ROW())+INDEX(D:D, ROW())=0, 0, INDEX(C:C, ROW())/(INDEX(C:C, ROW())+INDEX(D:D, ROW())))</f>
        <v/>
      </c>
      <c r="F176" s="1" t="inlineStr">
        <is>
          <t>String, Dynamic Programming</t>
        </is>
      </c>
      <c r="G176" s="1" t="inlineStr">
        <is>
          <t>Medium</t>
        </is>
      </c>
      <c r="H176" s="1" t="n">
        <v>721136</v>
      </c>
      <c r="I176" s="1" t="n">
        <v>1109955</v>
      </c>
      <c r="J176" s="9" t="n">
        <v>0.65</v>
      </c>
      <c r="K176" s="1" t="inlineStr">
        <is>
          <t>Yes</t>
        </is>
      </c>
      <c r="L176" s="1" t="inlineStr">
        <is>
          <t>Yes</t>
        </is>
      </c>
      <c r="M176" s="1" t="inlineStr">
        <is>
          <t>No</t>
        </is>
      </c>
      <c r="N176" s="1" t="inlineStr">
        <is>
          <t>Algorithms</t>
        </is>
      </c>
      <c r="O1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7" ht="15.75" customHeight="1" s="12">
      <c r="A177" s="1" t="n">
        <v>450</v>
      </c>
      <c r="B177" s="3">
        <f>HYPERLINK("https://leetcode.com/problems/delete-node-in-a-bst/", "Delete Node in a BST")</f>
        <v/>
      </c>
      <c r="C177" s="1" t="n">
        <v>10271</v>
      </c>
      <c r="D177" s="1" t="n">
        <v>380</v>
      </c>
      <c r="E177" s="4">
        <f>IF(INDEX(C:C, ROW())+INDEX(D:D, ROW())=0, 0, INDEX(C:C, ROW())/(INDEX(C:C, ROW())+INDEX(D:D, ROW())))</f>
        <v/>
      </c>
      <c r="F177" s="1" t="inlineStr">
        <is>
          <t>Tree, Binary Search Tree, Binary Tree</t>
        </is>
      </c>
      <c r="G177" s="1" t="inlineStr">
        <is>
          <t>Medium</t>
        </is>
      </c>
      <c r="H177" s="1" t="n">
        <v>813250</v>
      </c>
      <c r="I177" s="1" t="n">
        <v>1505984</v>
      </c>
      <c r="J177" s="9" t="n">
        <v>0.54</v>
      </c>
      <c r="K177" s="1" t="inlineStr">
        <is>
          <t>Yes</t>
        </is>
      </c>
      <c r="L177" s="1" t="inlineStr">
        <is>
          <t>Yes</t>
        </is>
      </c>
      <c r="M177" s="1" t="inlineStr">
        <is>
          <t>No</t>
        </is>
      </c>
      <c r="N177" s="1" t="inlineStr">
        <is>
          <t>Algorithms</t>
        </is>
      </c>
      <c r="O1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8" ht="15.75" customHeight="1" s="12">
      <c r="A178" s="1" t="n">
        <v>151</v>
      </c>
      <c r="B178" s="3">
        <f>HYPERLINK("https://leetcode.com/problems/reverse-words-in-a-string/", "Reverse Words in a String")</f>
        <v/>
      </c>
      <c r="C178" s="1" t="n">
        <v>10250</v>
      </c>
      <c r="D178" s="1" t="n">
        <v>5523</v>
      </c>
      <c r="E178" s="4">
        <f>IF(INDEX(C:C, ROW())+INDEX(D:D, ROW())=0, 0, INDEX(C:C, ROW())/(INDEX(C:C, ROW())+INDEX(D:D, ROW())))</f>
        <v/>
      </c>
      <c r="F178" s="1" t="inlineStr">
        <is>
          <t>Two Pointers, String</t>
        </is>
      </c>
      <c r="G178" s="1" t="inlineStr">
        <is>
          <t>Medium</t>
        </is>
      </c>
      <c r="H178" s="1" t="n">
        <v>2801420</v>
      </c>
      <c r="I178" s="1" t="n">
        <v>5092514</v>
      </c>
      <c r="J178" s="9" t="n">
        <v>0.55</v>
      </c>
      <c r="K178" s="1" t="inlineStr">
        <is>
          <t>Yes</t>
        </is>
      </c>
      <c r="L178" s="1" t="inlineStr">
        <is>
          <t>Yes</t>
        </is>
      </c>
      <c r="M178" s="1" t="inlineStr">
        <is>
          <t>No</t>
        </is>
      </c>
      <c r="N178" s="1" t="inlineStr">
        <is>
          <t>Algorithms</t>
        </is>
      </c>
      <c r="O1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9" ht="15.75" customHeight="1" s="12">
      <c r="A179" s="1" t="n">
        <v>448</v>
      </c>
      <c r="B179" s="3">
        <f>HYPERLINK("https://leetcode.com/problems/find-all-numbers-disappeared-in-an-array/", "Find All Numbers Disappeared in an Array")</f>
        <v/>
      </c>
      <c r="C179" s="1" t="n">
        <v>10198</v>
      </c>
      <c r="D179" s="1" t="n">
        <v>542</v>
      </c>
      <c r="E179" s="4">
        <f>IF(INDEX(C:C, ROW())+INDEX(D:D, ROW())=0, 0, INDEX(C:C, ROW())/(INDEX(C:C, ROW())+INDEX(D:D, ROW())))</f>
        <v/>
      </c>
      <c r="F179" s="1" t="inlineStr">
        <is>
          <t>Array, Hash Table</t>
        </is>
      </c>
      <c r="G179" s="1" t="inlineStr">
        <is>
          <t>Easy</t>
        </is>
      </c>
      <c r="H179" s="1" t="n">
        <v>1275375</v>
      </c>
      <c r="I179" s="1" t="n">
        <v>2007745</v>
      </c>
      <c r="J179" s="9" t="n">
        <v>0.635</v>
      </c>
      <c r="K179" s="1" t="inlineStr">
        <is>
          <t>Yes</t>
        </is>
      </c>
      <c r="L179" s="1" t="inlineStr">
        <is>
          <t>Yes</t>
        </is>
      </c>
      <c r="M179" s="1" t="inlineStr">
        <is>
          <t>No</t>
        </is>
      </c>
      <c r="N179" s="1" t="inlineStr">
        <is>
          <t>Algorithms</t>
        </is>
      </c>
      <c r="O1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0" ht="15.75" customHeight="1" s="12">
      <c r="A180" s="1" t="n">
        <v>1004</v>
      </c>
      <c r="B180" s="3">
        <f>HYPERLINK("https://leetcode.com/problems/max-consecutive-ones-iii/", "Max Consecutive Ones III")</f>
        <v/>
      </c>
      <c r="C180" s="1" t="n">
        <v>10197</v>
      </c>
      <c r="D180" s="1" t="n">
        <v>178</v>
      </c>
      <c r="E180" s="4">
        <f>IF(INDEX(C:C, ROW())+INDEX(D:D, ROW())=0, 0, INDEX(C:C, ROW())/(INDEX(C:C, ROW())+INDEX(D:D, ROW())))</f>
        <v/>
      </c>
      <c r="F180" s="1" t="inlineStr">
        <is>
          <t>Array, Binary Search, Sliding Window, Prefix Sum</t>
        </is>
      </c>
      <c r="G180" s="1" t="inlineStr">
        <is>
          <t>Medium</t>
        </is>
      </c>
      <c r="H180" s="1" t="n">
        <v>1270219</v>
      </c>
      <c r="I180" s="1" t="n">
        <v>1894056</v>
      </c>
      <c r="J180" s="9" t="n">
        <v>0.671</v>
      </c>
      <c r="K180" s="1" t="inlineStr">
        <is>
          <t>Yes</t>
        </is>
      </c>
      <c r="L180" s="1" t="inlineStr">
        <is>
          <t>Yes</t>
        </is>
      </c>
      <c r="M180" s="1" t="inlineStr">
        <is>
          <t>No</t>
        </is>
      </c>
      <c r="N180" s="1" t="inlineStr">
        <is>
          <t>Algorithms</t>
        </is>
      </c>
      <c r="O1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1" ht="15.75" customHeight="1" s="12">
      <c r="A181" s="1" t="n">
        <v>518</v>
      </c>
      <c r="B181" s="3">
        <f>HYPERLINK("https://leetcode.com/problems/coin-change-ii/", "Coin Change II")</f>
        <v/>
      </c>
      <c r="C181" s="1" t="n">
        <v>10132</v>
      </c>
      <c r="D181" s="1" t="n">
        <v>237</v>
      </c>
      <c r="E181" s="4">
        <f>IF(INDEX(C:C, ROW())+INDEX(D:D, ROW())=0, 0, INDEX(C:C, ROW())/(INDEX(C:C, ROW())+INDEX(D:D, ROW())))</f>
        <v/>
      </c>
      <c r="F181" s="1" t="inlineStr">
        <is>
          <t>Array, Dynamic Programming</t>
        </is>
      </c>
      <c r="G181" s="1" t="inlineStr">
        <is>
          <t>Medium</t>
        </is>
      </c>
      <c r="H181" s="1" t="n">
        <v>944263</v>
      </c>
      <c r="I181" s="1" t="n">
        <v>1556609</v>
      </c>
      <c r="J181" s="9" t="n">
        <v>0.607</v>
      </c>
      <c r="K181" s="1" t="inlineStr">
        <is>
          <t>Yes</t>
        </is>
      </c>
      <c r="L181" s="1" t="inlineStr">
        <is>
          <t>Yes</t>
        </is>
      </c>
      <c r="M181" s="1" t="inlineStr">
        <is>
          <t>No</t>
        </is>
      </c>
      <c r="N181" s="1" t="inlineStr">
        <is>
          <t>Algorithms</t>
        </is>
      </c>
      <c r="O1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2" ht="15.75" customHeight="1" s="12">
      <c r="A182" s="1" t="n">
        <v>399</v>
      </c>
      <c r="B182" s="3">
        <f>HYPERLINK("https://leetcode.com/problems/evaluate-division/", "Evaluate Division")</f>
        <v/>
      </c>
      <c r="C182" s="1" t="n">
        <v>10114</v>
      </c>
      <c r="D182" s="1" t="n">
        <v>1085</v>
      </c>
      <c r="E182" s="4">
        <f>IF(INDEX(C:C, ROW())+INDEX(D:D, ROW())=0, 0, INDEX(C:C, ROW())/(INDEX(C:C, ROW())+INDEX(D:D, ROW())))</f>
        <v/>
      </c>
      <c r="F182" s="1" t="inlineStr">
        <is>
          <t>Array, String, Depth-First Search, Breadth-First Search, Union-Find, Graph Theory, Shortest Path</t>
        </is>
      </c>
      <c r="G182" s="1" t="inlineStr">
        <is>
          <t>Medium</t>
        </is>
      </c>
      <c r="H182" s="1" t="n">
        <v>678618</v>
      </c>
      <c r="I182" s="1" t="n">
        <v>1062382</v>
      </c>
      <c r="J182" s="9" t="n">
        <v>0.639</v>
      </c>
      <c r="K182" s="1" t="inlineStr">
        <is>
          <t>Yes</t>
        </is>
      </c>
      <c r="L182" s="1" t="inlineStr">
        <is>
          <t>Yes</t>
        </is>
      </c>
      <c r="M182" s="1" t="inlineStr">
        <is>
          <t>No</t>
        </is>
      </c>
      <c r="N182" s="1" t="inlineStr">
        <is>
          <t>Algorithms</t>
        </is>
      </c>
      <c r="O1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3" ht="15.75" customHeight="1" s="12">
      <c r="A183" s="1" t="n">
        <v>212</v>
      </c>
      <c r="B183" s="3">
        <f>HYPERLINK("https://leetcode.com/problems/word-search-ii/", "Word Search II")</f>
        <v/>
      </c>
      <c r="C183" s="1" t="n">
        <v>10085</v>
      </c>
      <c r="D183" s="1" t="n">
        <v>506</v>
      </c>
      <c r="E183" s="4">
        <f>IF(INDEX(C:C, ROW())+INDEX(D:D, ROW())=0, 0, INDEX(C:C, ROW())/(INDEX(C:C, ROW())+INDEX(D:D, ROW())))</f>
        <v/>
      </c>
      <c r="F183" s="1" t="inlineStr">
        <is>
          <t>Array, String, Backtracking, Trie, Matrix</t>
        </is>
      </c>
      <c r="G183" s="1" t="inlineStr">
        <is>
          <t>Hard</t>
        </is>
      </c>
      <c r="H183" s="1" t="n">
        <v>869890</v>
      </c>
      <c r="I183" s="1" t="n">
        <v>2290180</v>
      </c>
      <c r="J183" s="9" t="n">
        <v>0.38</v>
      </c>
      <c r="K183" s="1" t="inlineStr">
        <is>
          <t>Yes</t>
        </is>
      </c>
      <c r="L183" s="1" t="inlineStr">
        <is>
          <t>Yes</t>
        </is>
      </c>
      <c r="M183" s="1" t="inlineStr">
        <is>
          <t>Yes</t>
        </is>
      </c>
      <c r="N183" s="1" t="inlineStr">
        <is>
          <t>Algorithms</t>
        </is>
      </c>
      <c r="O1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4" ht="15.75" customHeight="1" s="12">
      <c r="A184" s="1" t="n">
        <v>977</v>
      </c>
      <c r="B184" s="3">
        <f>HYPERLINK("https://leetcode.com/problems/squares-of-a-sorted-array/", "Squares of a Sorted Array")</f>
        <v/>
      </c>
      <c r="C184" s="1" t="n">
        <v>10059</v>
      </c>
      <c r="D184" s="1" t="n">
        <v>269</v>
      </c>
      <c r="E184" s="4">
        <f>IF(INDEX(C:C, ROW())+INDEX(D:D, ROW())=0, 0, INDEX(C:C, ROW())/(INDEX(C:C, ROW())+INDEX(D:D, ROW())))</f>
        <v/>
      </c>
      <c r="F184" s="1" t="inlineStr">
        <is>
          <t>Array, Two Pointers, Sorting</t>
        </is>
      </c>
      <c r="G184" s="1" t="inlineStr">
        <is>
          <t>Easy</t>
        </is>
      </c>
      <c r="H184" s="1" t="n">
        <v>2480955</v>
      </c>
      <c r="I184" s="1" t="n">
        <v>3376763</v>
      </c>
      <c r="J184" s="9" t="n">
        <v>0.735</v>
      </c>
      <c r="K184" s="1" t="inlineStr">
        <is>
          <t>Yes</t>
        </is>
      </c>
      <c r="L184" s="1" t="inlineStr">
        <is>
          <t>Yes</t>
        </is>
      </c>
      <c r="M184" s="1" t="inlineStr">
        <is>
          <t>Yes</t>
        </is>
      </c>
      <c r="N184" s="1" t="inlineStr">
        <is>
          <t>Algorithms</t>
        </is>
      </c>
      <c r="O1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5" ht="15.75" customHeight="1" s="12">
      <c r="A185" s="1" t="n">
        <v>309</v>
      </c>
      <c r="B185" s="3">
        <f>HYPERLINK("https://leetcode.com/problems/best-time-to-buy-and-sell-stock-with-cooldown/", "Best Time to Buy and Sell Stock with Cooldown")</f>
        <v/>
      </c>
      <c r="C185" s="1" t="n">
        <v>9990</v>
      </c>
      <c r="D185" s="1" t="n">
        <v>348</v>
      </c>
      <c r="E185" s="4">
        <f>IF(INDEX(C:C, ROW())+INDEX(D:D, ROW())=0, 0, INDEX(C:C, ROW())/(INDEX(C:C, ROW())+INDEX(D:D, ROW())))</f>
        <v/>
      </c>
      <c r="F185" s="1" t="inlineStr">
        <is>
          <t>Array, Dynamic Programming</t>
        </is>
      </c>
      <c r="G185" s="1" t="inlineStr">
        <is>
          <t>Medium</t>
        </is>
      </c>
      <c r="H185" s="1" t="n">
        <v>731279</v>
      </c>
      <c r="I185" s="1" t="n">
        <v>1187967</v>
      </c>
      <c r="J185" s="9" t="n">
        <v>0.616</v>
      </c>
      <c r="K185" s="1" t="inlineStr">
        <is>
          <t>Yes</t>
        </is>
      </c>
      <c r="L185" s="1" t="inlineStr">
        <is>
          <t>Yes</t>
        </is>
      </c>
      <c r="M185" s="1" t="inlineStr">
        <is>
          <t>No</t>
        </is>
      </c>
      <c r="N185" s="1" t="inlineStr">
        <is>
          <t>Algorithms</t>
        </is>
      </c>
      <c r="O1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6" ht="15.75" customHeight="1" s="12">
      <c r="A186" s="1" t="n">
        <v>380</v>
      </c>
      <c r="B186" s="3">
        <f>HYPERLINK("https://leetcode.com/problems/insert-delete-getrandom-o1/", "Insert Delete GetRandom O(1)")</f>
        <v/>
      </c>
      <c r="C186" s="1" t="n">
        <v>9882</v>
      </c>
      <c r="D186" s="1" t="n">
        <v>695</v>
      </c>
      <c r="E186" s="4">
        <f>IF(INDEX(C:C, ROW())+INDEX(D:D, ROW())=0, 0, INDEX(C:C, ROW())/(INDEX(C:C, ROW())+INDEX(D:D, ROW())))</f>
        <v/>
      </c>
      <c r="F186" s="1" t="inlineStr">
        <is>
          <t>Array, Hash Table, Math, Design, Randomized</t>
        </is>
      </c>
      <c r="G186" s="1" t="inlineStr">
        <is>
          <t>Medium</t>
        </is>
      </c>
      <c r="H186" s="1" t="n">
        <v>1309641</v>
      </c>
      <c r="I186" s="1" t="n">
        <v>2371784</v>
      </c>
      <c r="J186" s="9" t="n">
        <v>0.552</v>
      </c>
      <c r="K186" s="1" t="inlineStr">
        <is>
          <t>Yes</t>
        </is>
      </c>
      <c r="L186" s="1" t="inlineStr">
        <is>
          <t>Yes</t>
        </is>
      </c>
      <c r="M186" s="1" t="inlineStr">
        <is>
          <t>No</t>
        </is>
      </c>
      <c r="N186" s="1" t="inlineStr">
        <is>
          <t>Algorithms</t>
        </is>
      </c>
      <c r="O1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7" ht="15.75" customHeight="1" s="12">
      <c r="A187" s="1" t="n">
        <v>130</v>
      </c>
      <c r="B187" s="3">
        <f>HYPERLINK("https://leetcode.com/problems/surrounded-regions/", "Surrounded Regions")</f>
        <v/>
      </c>
      <c r="C187" s="1" t="n">
        <v>9740</v>
      </c>
      <c r="D187" s="1" t="n">
        <v>2207</v>
      </c>
      <c r="E187" s="4">
        <f>IF(INDEX(C:C, ROW())+INDEX(D:D, ROW())=0, 0, INDEX(C:C, ROW())/(INDEX(C:C, ROW())+INDEX(D:D, ROW())))</f>
        <v/>
      </c>
      <c r="F187" s="1" t="inlineStr">
        <is>
          <t>Array, Depth-First Search, Breadth-First Search, Union-Find, Matrix</t>
        </is>
      </c>
      <c r="G187" s="1" t="inlineStr">
        <is>
          <t>Medium</t>
        </is>
      </c>
      <c r="H187" s="1" t="n">
        <v>1120548</v>
      </c>
      <c r="I187" s="1" t="n">
        <v>2517978</v>
      </c>
      <c r="J187" s="9" t="n">
        <v>0.445</v>
      </c>
      <c r="K187" s="1" t="inlineStr">
        <is>
          <t>Yes</t>
        </is>
      </c>
      <c r="L187" s="1" t="inlineStr">
        <is>
          <t>Yes</t>
        </is>
      </c>
      <c r="M187" s="1" t="inlineStr">
        <is>
          <t>No</t>
        </is>
      </c>
      <c r="N187" s="1" t="inlineStr">
        <is>
          <t>Algorithms</t>
        </is>
      </c>
      <c r="O1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8" ht="15.75" customHeight="1" s="12">
      <c r="A188" s="1" t="n">
        <v>83</v>
      </c>
      <c r="B188" s="3">
        <f>HYPERLINK("https://leetcode.com/problems/remove-duplicates-from-sorted-list/", "Remove Duplicates from Sorted List")</f>
        <v/>
      </c>
      <c r="C188" s="1" t="n">
        <v>9699</v>
      </c>
      <c r="D188" s="1" t="n">
        <v>358</v>
      </c>
      <c r="E188" s="4">
        <f>IF(INDEX(C:C, ROW())+INDEX(D:D, ROW())=0, 0, INDEX(C:C, ROW())/(INDEX(C:C, ROW())+INDEX(D:D, ROW())))</f>
        <v/>
      </c>
      <c r="F188" s="1" t="inlineStr">
        <is>
          <t>Linked List</t>
        </is>
      </c>
      <c r="G188" s="1" t="inlineStr">
        <is>
          <t>Easy</t>
        </is>
      </c>
      <c r="H188" s="1" t="n">
        <v>2230202</v>
      </c>
      <c r="I188" s="1" t="n">
        <v>3979728</v>
      </c>
      <c r="J188" s="9" t="n">
        <v>0.5600000000000001</v>
      </c>
      <c r="K188" s="1" t="inlineStr">
        <is>
          <t>Yes</t>
        </is>
      </c>
      <c r="L188" s="1" t="inlineStr">
        <is>
          <t>Yes</t>
        </is>
      </c>
      <c r="M188" s="1" t="inlineStr">
        <is>
          <t>Yes</t>
        </is>
      </c>
      <c r="N188" s="1" t="inlineStr">
        <is>
          <t>Algorithms</t>
        </is>
      </c>
      <c r="O1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9" ht="15.75" customHeight="1" s="12">
      <c r="A189" s="1" t="n">
        <v>312</v>
      </c>
      <c r="B189" s="3">
        <f>HYPERLINK("https://leetcode.com/problems/burst-balloons/", "Burst Balloons")</f>
        <v/>
      </c>
      <c r="C189" s="1" t="n">
        <v>9687</v>
      </c>
      <c r="D189" s="1" t="n">
        <v>285</v>
      </c>
      <c r="E189" s="4">
        <f>IF(INDEX(C:C, ROW())+INDEX(D:D, ROW())=0, 0, INDEX(C:C, ROW())/(INDEX(C:C, ROW())+INDEX(D:D, ROW())))</f>
        <v/>
      </c>
      <c r="F189" s="1" t="inlineStr">
        <is>
          <t>Array, Dynamic Programming</t>
        </is>
      </c>
      <c r="G189" s="1" t="inlineStr">
        <is>
          <t>Hard</t>
        </is>
      </c>
      <c r="H189" s="1" t="n">
        <v>418820</v>
      </c>
      <c r="I189" s="1" t="n">
        <v>667334</v>
      </c>
      <c r="J189" s="9" t="n">
        <v>0.628</v>
      </c>
      <c r="K189" s="1" t="inlineStr">
        <is>
          <t>Yes</t>
        </is>
      </c>
      <c r="L189" s="1" t="inlineStr">
        <is>
          <t>Yes</t>
        </is>
      </c>
      <c r="M189" s="1" t="inlineStr">
        <is>
          <t>No</t>
        </is>
      </c>
      <c r="N189" s="1" t="inlineStr">
        <is>
          <t>Algorithms</t>
        </is>
      </c>
      <c r="O1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0" ht="15.75" customHeight="1" s="12">
      <c r="A190" s="1" t="n">
        <v>387</v>
      </c>
      <c r="B190" s="3">
        <f>HYPERLINK("https://leetcode.com/problems/first-unique-character-in-a-string/", "First Unique Character in a String")</f>
        <v/>
      </c>
      <c r="C190" s="1" t="n">
        <v>9642</v>
      </c>
      <c r="D190" s="1" t="n">
        <v>329</v>
      </c>
      <c r="E190" s="4">
        <f>IF(INDEX(C:C, ROW())+INDEX(D:D, ROW())=0, 0, INDEX(C:C, ROW())/(INDEX(C:C, ROW())+INDEX(D:D, ROW())))</f>
        <v/>
      </c>
      <c r="F190" s="1" t="inlineStr">
        <is>
          <t>Hash Table, String, Queue, Counting</t>
        </is>
      </c>
      <c r="G190" s="1" t="inlineStr">
        <is>
          <t>Easy</t>
        </is>
      </c>
      <c r="H190" s="1" t="n">
        <v>2252697</v>
      </c>
      <c r="I190" s="1" t="n">
        <v>3479470</v>
      </c>
      <c r="J190" s="9" t="n">
        <v>0.647</v>
      </c>
      <c r="K190" s="1" t="inlineStr">
        <is>
          <t>Yes</t>
        </is>
      </c>
      <c r="L190" s="1" t="inlineStr">
        <is>
          <t>Yes</t>
        </is>
      </c>
      <c r="M190" s="1" t="inlineStr">
        <is>
          <t>Yes</t>
        </is>
      </c>
      <c r="N190" s="1" t="inlineStr">
        <is>
          <t>Algorithms</t>
        </is>
      </c>
      <c r="O1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1" ht="15.75" customHeight="1" s="12">
      <c r="A191" s="1" t="n">
        <v>662</v>
      </c>
      <c r="B191" s="3">
        <f>HYPERLINK("https://leetcode.com/problems/maximum-width-of-binary-tree/", "Maximum Width of Binary Tree")</f>
        <v/>
      </c>
      <c r="C191" s="1" t="n">
        <v>9607</v>
      </c>
      <c r="D191" s="1" t="n">
        <v>1309</v>
      </c>
      <c r="E191" s="4">
        <f>IF(INDEX(C:C, ROW())+INDEX(D:D, ROW())=0, 0, INDEX(C:C, ROW())/(INDEX(C:C, ROW())+INDEX(D:D, ROW())))</f>
        <v/>
      </c>
      <c r="F191" s="1" t="inlineStr">
        <is>
          <t>Tree, Depth-First Search, Breadth-First Search, Binary Tree</t>
        </is>
      </c>
      <c r="G191" s="1" t="inlineStr">
        <is>
          <t>Medium</t>
        </is>
      </c>
      <c r="H191" s="1" t="n">
        <v>562979</v>
      </c>
      <c r="I191" s="1" t="n">
        <v>1248006</v>
      </c>
      <c r="J191" s="9" t="n">
        <v>0.451</v>
      </c>
      <c r="K191" s="1" t="inlineStr">
        <is>
          <t>Yes</t>
        </is>
      </c>
      <c r="L191" s="1" t="inlineStr">
        <is>
          <t>Yes</t>
        </is>
      </c>
      <c r="M191" s="1" t="inlineStr">
        <is>
          <t>No</t>
        </is>
      </c>
      <c r="N191" s="1" t="inlineStr">
        <is>
          <t>Algorithms</t>
        </is>
      </c>
      <c r="O1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2" ht="15.75" customHeight="1" s="12">
      <c r="A192" s="1" t="n">
        <v>63</v>
      </c>
      <c r="B192" s="3">
        <f>HYPERLINK("https://leetcode.com/problems/unique-paths-ii/", "Unique Paths II")</f>
        <v/>
      </c>
      <c r="C192" s="1" t="n">
        <v>9585</v>
      </c>
      <c r="D192" s="1" t="n">
        <v>555</v>
      </c>
      <c r="E192" s="4">
        <f>IF(INDEX(C:C, ROW())+INDEX(D:D, ROW())=0, 0, INDEX(C:C, ROW())/(INDEX(C:C, ROW())+INDEX(D:D, ROW())))</f>
        <v/>
      </c>
      <c r="F192" s="1" t="inlineStr">
        <is>
          <t>Array, Dynamic Programming, Matrix</t>
        </is>
      </c>
      <c r="G192" s="1" t="inlineStr">
        <is>
          <t>Medium</t>
        </is>
      </c>
      <c r="H192" s="1" t="n">
        <v>1400584</v>
      </c>
      <c r="I192" s="1" t="n">
        <v>3183329</v>
      </c>
      <c r="J192" s="9" t="n">
        <v>0.44</v>
      </c>
      <c r="K192" s="1" t="inlineStr">
        <is>
          <t>Yes</t>
        </is>
      </c>
      <c r="L192" s="1" t="inlineStr">
        <is>
          <t>Yes</t>
        </is>
      </c>
      <c r="M192" s="1" t="inlineStr">
        <is>
          <t>No</t>
        </is>
      </c>
      <c r="N192" s="1" t="inlineStr">
        <is>
          <t>Algorithms</t>
        </is>
      </c>
      <c r="O1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3" ht="15.75" customHeight="1" s="12">
      <c r="A193" s="1" t="n">
        <v>496</v>
      </c>
      <c r="B193" s="3">
        <f>HYPERLINK("https://leetcode.com/problems/next-greater-element-i/", "Next Greater Element I")</f>
        <v/>
      </c>
      <c r="C193" s="1" t="n">
        <v>9584</v>
      </c>
      <c r="D193" s="1" t="n">
        <v>1068</v>
      </c>
      <c r="E193" s="4">
        <f>IF(INDEX(C:C, ROW())+INDEX(D:D, ROW())=0, 0, INDEX(C:C, ROW())/(INDEX(C:C, ROW())+INDEX(D:D, ROW())))</f>
        <v/>
      </c>
      <c r="F193" s="1" t="inlineStr">
        <is>
          <t>Array, Hash Table, Stack, Monotonic Stack</t>
        </is>
      </c>
      <c r="G193" s="1" t="inlineStr">
        <is>
          <t>Easy</t>
        </is>
      </c>
      <c r="H193" s="1" t="n">
        <v>1293842</v>
      </c>
      <c r="I193" s="1" t="n">
        <v>1712807</v>
      </c>
      <c r="J193" s="9" t="n">
        <v>0.755</v>
      </c>
      <c r="K193" s="1" t="inlineStr">
        <is>
          <t>Yes</t>
        </is>
      </c>
      <c r="L193" s="1" t="inlineStr">
        <is>
          <t>Yes</t>
        </is>
      </c>
      <c r="M193" s="1" t="inlineStr">
        <is>
          <t>No</t>
        </is>
      </c>
      <c r="N193" s="1" t="inlineStr">
        <is>
          <t>Algorithms</t>
        </is>
      </c>
      <c r="O1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4" ht="15.75" customHeight="1" s="12">
      <c r="A194" s="1" t="n">
        <v>82</v>
      </c>
      <c r="B194" s="3">
        <f>HYPERLINK("https://leetcode.com/problems/remove-duplicates-from-sorted-list-ii/", "Remove Duplicates from Sorted List II")</f>
        <v/>
      </c>
      <c r="C194" s="1" t="n">
        <v>9569</v>
      </c>
      <c r="D194" s="1" t="n">
        <v>278</v>
      </c>
      <c r="E194" s="4">
        <f>IF(INDEX(C:C, ROW())+INDEX(D:D, ROW())=0, 0, INDEX(C:C, ROW())/(INDEX(C:C, ROW())+INDEX(D:D, ROW())))</f>
        <v/>
      </c>
      <c r="F194" s="1" t="inlineStr">
        <is>
          <t>Linked List, Two Pointers</t>
        </is>
      </c>
      <c r="G194" s="1" t="inlineStr">
        <is>
          <t>Medium</t>
        </is>
      </c>
      <c r="H194" s="1" t="n">
        <v>1043181</v>
      </c>
      <c r="I194" s="1" t="n">
        <v>2041163</v>
      </c>
      <c r="J194" s="9" t="n">
        <v>0.511</v>
      </c>
      <c r="K194" s="1" t="inlineStr">
        <is>
          <t>Yes</t>
        </is>
      </c>
      <c r="L194" s="1" t="inlineStr">
        <is>
          <t>Yes</t>
        </is>
      </c>
      <c r="M194" s="1" t="inlineStr">
        <is>
          <t>No</t>
        </is>
      </c>
      <c r="N194" s="1" t="inlineStr">
        <is>
          <t>Algorithms</t>
        </is>
      </c>
      <c r="O1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5" ht="15.75" customHeight="1" s="12">
      <c r="A195" s="1" t="n">
        <v>81</v>
      </c>
      <c r="B195" s="3">
        <f>HYPERLINK("https://leetcode.com/problems/search-in-rotated-sorted-array-ii/", "Search in Rotated Sorted Array II")</f>
        <v/>
      </c>
      <c r="C195" s="1" t="n">
        <v>9485</v>
      </c>
      <c r="D195" s="1" t="n">
        <v>1114</v>
      </c>
      <c r="E195" s="4">
        <f>IF(INDEX(C:C, ROW())+INDEX(D:D, ROW())=0, 0, INDEX(C:C, ROW())/(INDEX(C:C, ROW())+INDEX(D:D, ROW())))</f>
        <v/>
      </c>
      <c r="F195" s="1" t="inlineStr">
        <is>
          <t>Array, Binary Search</t>
        </is>
      </c>
      <c r="G195" s="1" t="inlineStr">
        <is>
          <t>Medium</t>
        </is>
      </c>
      <c r="H195" s="1" t="n">
        <v>1152162</v>
      </c>
      <c r="I195" s="1" t="n">
        <v>2911332</v>
      </c>
      <c r="J195" s="9" t="n">
        <v>0.396</v>
      </c>
      <c r="K195" s="1" t="inlineStr">
        <is>
          <t>Yes</t>
        </is>
      </c>
      <c r="L195" s="1" t="inlineStr">
        <is>
          <t>Yes</t>
        </is>
      </c>
      <c r="M195" s="1" t="inlineStr">
        <is>
          <t>No</t>
        </is>
      </c>
      <c r="N195" s="1" t="inlineStr">
        <is>
          <t>Algorithms</t>
        </is>
      </c>
      <c r="O1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6" ht="15.75" customHeight="1" s="12">
      <c r="A196" s="1" t="n">
        <v>69</v>
      </c>
      <c r="B196" s="3">
        <f>HYPERLINK("https://leetcode.com/problems/sqrtx/", "Sqrt(x)")</f>
        <v/>
      </c>
      <c r="C196" s="1" t="n">
        <v>9476</v>
      </c>
      <c r="D196" s="1" t="n">
        <v>4628</v>
      </c>
      <c r="E196" s="4">
        <f>IF(INDEX(C:C, ROW())+INDEX(D:D, ROW())=0, 0, INDEX(C:C, ROW())/(INDEX(C:C, ROW())+INDEX(D:D, ROW())))</f>
        <v/>
      </c>
      <c r="F196" s="1" t="inlineStr">
        <is>
          <t>Math, Binary Search</t>
        </is>
      </c>
      <c r="G196" s="1" t="inlineStr">
        <is>
          <t>Easy</t>
        </is>
      </c>
      <c r="H196" s="1" t="n">
        <v>2984159</v>
      </c>
      <c r="I196" s="1" t="n">
        <v>7237910</v>
      </c>
      <c r="J196" s="9" t="n">
        <v>0.412</v>
      </c>
      <c r="K196" s="1" t="inlineStr">
        <is>
          <t>Yes</t>
        </is>
      </c>
      <c r="L196" s="1" t="inlineStr">
        <is>
          <t>Yes</t>
        </is>
      </c>
      <c r="M196" s="1" t="inlineStr">
        <is>
          <t>Yes</t>
        </is>
      </c>
      <c r="N196" s="1" t="inlineStr">
        <is>
          <t>Algorithms</t>
        </is>
      </c>
      <c r="O1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7" ht="15.75" customHeight="1" s="12">
      <c r="A197" s="1" t="n">
        <v>329</v>
      </c>
      <c r="B197" s="3">
        <f>HYPERLINK("https://leetcode.com/problems/longest-increasing-path-in-a-matrix/", "Longest Increasing Path in a Matrix")</f>
        <v/>
      </c>
      <c r="C197" s="1" t="n">
        <v>9446</v>
      </c>
      <c r="D197" s="1" t="n">
        <v>146</v>
      </c>
      <c r="E197" s="4">
        <f>IF(INDEX(C:C, ROW())+INDEX(D:D, ROW())=0, 0, INDEX(C:C, ROW())/(INDEX(C:C, ROW())+INDEX(D:D, ROW())))</f>
        <v/>
      </c>
      <c r="F197" s="1" t="inlineStr">
        <is>
          <t>Array, Dynamic Programming, Depth-First Search, Breadth-First Search, Graph Theory, Topological Sort, Memoization, Matrix</t>
        </is>
      </c>
      <c r="G197" s="1" t="inlineStr">
        <is>
          <t>Hard</t>
        </is>
      </c>
      <c r="H197" s="1" t="n">
        <v>690830</v>
      </c>
      <c r="I197" s="1" t="n">
        <v>1229590</v>
      </c>
      <c r="J197" s="9" t="n">
        <v>0.5620000000000001</v>
      </c>
      <c r="K197" s="1" t="inlineStr">
        <is>
          <t>Yes</t>
        </is>
      </c>
      <c r="L197" s="1" t="inlineStr">
        <is>
          <t>Yes</t>
        </is>
      </c>
      <c r="M197" s="1" t="inlineStr">
        <is>
          <t>No</t>
        </is>
      </c>
      <c r="N197" s="1" t="inlineStr">
        <is>
          <t>Algorithms</t>
        </is>
      </c>
      <c r="O1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8" ht="15.75" customHeight="1" s="12">
      <c r="A198" s="1" t="n">
        <v>344</v>
      </c>
      <c r="B198" s="3">
        <f>HYPERLINK("https://leetcode.com/problems/reverse-string/", "Reverse String")</f>
        <v/>
      </c>
      <c r="C198" s="1" t="n">
        <v>9408</v>
      </c>
      <c r="D198" s="1" t="n">
        <v>1213</v>
      </c>
      <c r="E198" s="4">
        <f>IF(INDEX(C:C, ROW())+INDEX(D:D, ROW())=0, 0, INDEX(C:C, ROW())/(INDEX(C:C, ROW())+INDEX(D:D, ROW())))</f>
        <v/>
      </c>
      <c r="F198" s="1" t="inlineStr">
        <is>
          <t>Two Pointers, String</t>
        </is>
      </c>
      <c r="G198" s="1" t="inlineStr">
        <is>
          <t>Easy</t>
        </is>
      </c>
      <c r="H198" s="1" t="n">
        <v>3610703</v>
      </c>
      <c r="I198" s="1" t="n">
        <v>4491245</v>
      </c>
      <c r="J198" s="9" t="n">
        <v>0.804</v>
      </c>
      <c r="K198" s="1" t="inlineStr">
        <is>
          <t>Yes</t>
        </is>
      </c>
      <c r="L198" s="1" t="inlineStr">
        <is>
          <t>Yes</t>
        </is>
      </c>
      <c r="M198" s="1" t="inlineStr">
        <is>
          <t>Yes</t>
        </is>
      </c>
      <c r="N198" s="1" t="inlineStr">
        <is>
          <t>Algorithms</t>
        </is>
      </c>
      <c r="O1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9" ht="15.75" customHeight="1" s="12">
      <c r="A199" s="1" t="n">
        <v>222</v>
      </c>
      <c r="B199" s="3">
        <f>HYPERLINK("https://leetcode.com/problems/count-complete-tree-nodes/", "Count Complete Tree Nodes")</f>
        <v/>
      </c>
      <c r="C199" s="1" t="n">
        <v>9390</v>
      </c>
      <c r="D199" s="1" t="n">
        <v>605</v>
      </c>
      <c r="E199" s="4">
        <f>IF(INDEX(C:C, ROW())+INDEX(D:D, ROW())=0, 0, INDEX(C:C, ROW())/(INDEX(C:C, ROW())+INDEX(D:D, ROW())))</f>
        <v/>
      </c>
      <c r="F199" s="1" t="inlineStr">
        <is>
          <t>Binary Search, Bit Manipulation, Tree, Binary Tree</t>
        </is>
      </c>
      <c r="G199" s="1" t="inlineStr">
        <is>
          <t>Easy</t>
        </is>
      </c>
      <c r="H199" s="1" t="n">
        <v>1106377</v>
      </c>
      <c r="I199" s="1" t="n">
        <v>1542363</v>
      </c>
      <c r="J199" s="9" t="n">
        <v>0.717</v>
      </c>
      <c r="K199" s="1" t="inlineStr">
        <is>
          <t>Yes</t>
        </is>
      </c>
      <c r="L199" s="1" t="inlineStr">
        <is>
          <t>Yes</t>
        </is>
      </c>
      <c r="M199" s="1" t="inlineStr">
        <is>
          <t>No</t>
        </is>
      </c>
      <c r="N199" s="1" t="inlineStr">
        <is>
          <t>Algorithms</t>
        </is>
      </c>
      <c r="O1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0" ht="15.75" customHeight="1" s="12">
      <c r="A200" s="1" t="n">
        <v>179</v>
      </c>
      <c r="B200" s="3">
        <f>HYPERLINK("https://leetcode.com/problems/largest-number/", "Largest Number")</f>
        <v/>
      </c>
      <c r="C200" s="1" t="n">
        <v>9358</v>
      </c>
      <c r="D200" s="1" t="n">
        <v>797</v>
      </c>
      <c r="E200" s="4">
        <f>IF(INDEX(C:C, ROW())+INDEX(D:D, ROW())=0, 0, INDEX(C:C, ROW())/(INDEX(C:C, ROW())+INDEX(D:D, ROW())))</f>
        <v/>
      </c>
      <c r="F200" s="1" t="inlineStr">
        <is>
          <t>Array, String, Greedy, Sorting</t>
        </is>
      </c>
      <c r="G200" s="1" t="inlineStr">
        <is>
          <t>Medium</t>
        </is>
      </c>
      <c r="H200" s="1" t="n">
        <v>789243</v>
      </c>
      <c r="I200" s="1" t="n">
        <v>1864803</v>
      </c>
      <c r="J200" s="9" t="n">
        <v>0.423</v>
      </c>
      <c r="K200" s="1" t="inlineStr">
        <is>
          <t>Yes</t>
        </is>
      </c>
      <c r="L200" s="1" t="inlineStr">
        <is>
          <t>Yes</t>
        </is>
      </c>
      <c r="M200" s="1" t="inlineStr">
        <is>
          <t>No</t>
        </is>
      </c>
      <c r="N200" s="1" t="inlineStr">
        <is>
          <t>Algorithms</t>
        </is>
      </c>
      <c r="O2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1" ht="15.75" customHeight="1" s="12">
      <c r="A201" s="1" t="n">
        <v>733</v>
      </c>
      <c r="B201" s="3">
        <f>HYPERLINK("https://leetcode.com/problems/flood-fill/", "Flood Fill")</f>
        <v/>
      </c>
      <c r="C201" s="1" t="n">
        <v>9334</v>
      </c>
      <c r="D201" s="1" t="n">
        <v>947</v>
      </c>
      <c r="E201" s="4">
        <f>IF(INDEX(C:C, ROW())+INDEX(D:D, ROW())=0, 0, INDEX(C:C, ROW())/(INDEX(C:C, ROW())+INDEX(D:D, ROW())))</f>
        <v/>
      </c>
      <c r="F201" s="1" t="inlineStr">
        <is>
          <t>Array, Depth-First Search, Breadth-First Search, Matrix</t>
        </is>
      </c>
      <c r="G201" s="1" t="inlineStr">
        <is>
          <t>Easy</t>
        </is>
      </c>
      <c r="H201" s="1" t="n">
        <v>1325267</v>
      </c>
      <c r="I201" s="1" t="n">
        <v>1958690</v>
      </c>
      <c r="J201" s="9" t="n">
        <v>0.677</v>
      </c>
      <c r="K201" s="1" t="inlineStr">
        <is>
          <t>Yes</t>
        </is>
      </c>
      <c r="L201" s="1" t="inlineStr">
        <is>
          <t>Yes</t>
        </is>
      </c>
      <c r="M201" s="1" t="inlineStr">
        <is>
          <t>No</t>
        </is>
      </c>
      <c r="N201" s="1" t="inlineStr">
        <is>
          <t>Algorithms</t>
        </is>
      </c>
      <c r="O2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2" ht="15.75" customHeight="1" s="12">
      <c r="A202" s="1" t="n">
        <v>316</v>
      </c>
      <c r="B202" s="3">
        <f>HYPERLINK("https://leetcode.com/problems/remove-duplicate-letters/", "Remove Duplicate Letters")</f>
        <v/>
      </c>
      <c r="C202" s="1" t="n">
        <v>9217</v>
      </c>
      <c r="D202" s="1" t="n">
        <v>696</v>
      </c>
      <c r="E202" s="4">
        <f>IF(INDEX(C:C, ROW())+INDEX(D:D, ROW())=0, 0, INDEX(C:C, ROW())/(INDEX(C:C, ROW())+INDEX(D:D, ROW())))</f>
        <v/>
      </c>
      <c r="F202" s="1" t="inlineStr">
        <is>
          <t>String, Stack, Greedy, Monotonic Stack</t>
        </is>
      </c>
      <c r="G202" s="1" t="inlineStr">
        <is>
          <t>Medium</t>
        </is>
      </c>
      <c r="H202" s="1" t="n">
        <v>426138</v>
      </c>
      <c r="I202" s="1" t="n">
        <v>810602</v>
      </c>
      <c r="J202" s="9" t="n">
        <v>0.526</v>
      </c>
      <c r="K202" s="1" t="inlineStr">
        <is>
          <t>Yes</t>
        </is>
      </c>
      <c r="L202" s="1" t="inlineStr">
        <is>
          <t>Yes</t>
        </is>
      </c>
      <c r="M202" s="1" t="inlineStr">
        <is>
          <t>No</t>
        </is>
      </c>
      <c r="N202" s="1" t="inlineStr">
        <is>
          <t>Algorithms</t>
        </is>
      </c>
      <c r="O2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3" ht="15.75" customHeight="1" s="12">
      <c r="A203" s="1" t="n">
        <v>135</v>
      </c>
      <c r="B203" s="3">
        <f>HYPERLINK("https://leetcode.com/problems/candy/", "Candy")</f>
        <v/>
      </c>
      <c r="C203" s="1" t="n">
        <v>9203</v>
      </c>
      <c r="D203" s="1" t="n">
        <v>840</v>
      </c>
      <c r="E203" s="4">
        <f>IF(INDEX(C:C, ROW())+INDEX(D:D, ROW())=0, 0, INDEX(C:C, ROW())/(INDEX(C:C, ROW())+INDEX(D:D, ROW())))</f>
        <v/>
      </c>
      <c r="F203" s="1" t="inlineStr">
        <is>
          <t>Array, Greedy</t>
        </is>
      </c>
      <c r="G203" s="1" t="inlineStr">
        <is>
          <t>Hard</t>
        </is>
      </c>
      <c r="H203" s="1" t="n">
        <v>980744</v>
      </c>
      <c r="I203" s="1" t="n">
        <v>2053770</v>
      </c>
      <c r="J203" s="9" t="n">
        <v>0.478</v>
      </c>
      <c r="K203" s="1" t="inlineStr">
        <is>
          <t>Yes</t>
        </is>
      </c>
      <c r="L203" s="1" t="inlineStr">
        <is>
          <t>Yes</t>
        </is>
      </c>
      <c r="M203" s="1" t="inlineStr">
        <is>
          <t>No</t>
        </is>
      </c>
      <c r="N203" s="1" t="inlineStr">
        <is>
          <t>Algorithms</t>
        </is>
      </c>
      <c r="O2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4" ht="15.75" customHeight="1" s="12">
      <c r="A204" s="1" t="n">
        <v>315</v>
      </c>
      <c r="B204" s="3">
        <f>HYPERLINK("https://leetcode.com/problems/count-of-smaller-numbers-after-self/", "Count of Smaller Numbers After Self")</f>
        <v/>
      </c>
      <c r="C204" s="1" t="n">
        <v>9193</v>
      </c>
      <c r="D204" s="1" t="n">
        <v>252</v>
      </c>
      <c r="E204" s="4">
        <f>IF(INDEX(C:C, ROW())+INDEX(D:D, ROW())=0, 0, INDEX(C:C, ROW())/(INDEX(C:C, ROW())+INDEX(D:D, ROW())))</f>
        <v/>
      </c>
      <c r="F204" s="1" t="inlineStr">
        <is>
          <t>Array, Binary Search, Divide and Conquer, Binary Indexed Tree, Segment Tree, Merge Sort, Ordered Set</t>
        </is>
      </c>
      <c r="G204" s="1" t="inlineStr">
        <is>
          <t>Hard</t>
        </is>
      </c>
      <c r="H204" s="1" t="n">
        <v>377428</v>
      </c>
      <c r="I204" s="1" t="n">
        <v>873335</v>
      </c>
      <c r="J204" s="9" t="n">
        <v>0.432</v>
      </c>
      <c r="K204" s="1" t="inlineStr">
        <is>
          <t>Yes</t>
        </is>
      </c>
      <c r="L204" s="1" t="inlineStr">
        <is>
          <t>Yes</t>
        </is>
      </c>
      <c r="M204" s="1" t="inlineStr">
        <is>
          <t>No</t>
        </is>
      </c>
      <c r="N204" s="1" t="inlineStr">
        <is>
          <t>Algorithms</t>
        </is>
      </c>
      <c r="O2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5" ht="15.75" customHeight="1" s="12">
      <c r="A205" s="1" t="n">
        <v>509</v>
      </c>
      <c r="B205" s="3">
        <f>HYPERLINK("https://leetcode.com/problems/fibonacci-number/", "Fibonacci Number")</f>
        <v/>
      </c>
      <c r="C205" s="1" t="n">
        <v>9185</v>
      </c>
      <c r="D205" s="1" t="n">
        <v>407</v>
      </c>
      <c r="E205" s="4">
        <f>IF(INDEX(C:C, ROW())+INDEX(D:D, ROW())=0, 0, INDEX(C:C, ROW())/(INDEX(C:C, ROW())+INDEX(D:D, ROW())))</f>
        <v/>
      </c>
      <c r="F205" s="1" t="inlineStr">
        <is>
          <t>Math, Dynamic Programming, Recursion, Memoization</t>
        </is>
      </c>
      <c r="G205" s="1" t="inlineStr">
        <is>
          <t>Easy</t>
        </is>
      </c>
      <c r="H205" s="1" t="n">
        <v>2849430</v>
      </c>
      <c r="I205" s="1" t="n">
        <v>3865869</v>
      </c>
      <c r="J205" s="9" t="n">
        <v>0.737</v>
      </c>
      <c r="K205" s="1" t="inlineStr">
        <is>
          <t>Yes</t>
        </is>
      </c>
      <c r="L205" s="1" t="inlineStr">
        <is>
          <t>Yes</t>
        </is>
      </c>
      <c r="M205" s="1" t="inlineStr">
        <is>
          <t>No</t>
        </is>
      </c>
      <c r="N205" s="1" t="inlineStr">
        <is>
          <t>Algorithms</t>
        </is>
      </c>
      <c r="O2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6" ht="15.75" customHeight="1" s="12">
      <c r="A206" s="1" t="n">
        <v>735</v>
      </c>
      <c r="B206" s="3">
        <f>HYPERLINK("https://leetcode.com/problems/asteroid-collision/", "Asteroid Collision")</f>
        <v/>
      </c>
      <c r="C206" s="1" t="n">
        <v>9176</v>
      </c>
      <c r="D206" s="1" t="n">
        <v>1293</v>
      </c>
      <c r="E206" s="4">
        <f>IF(INDEX(C:C, ROW())+INDEX(D:D, ROW())=0, 0, INDEX(C:C, ROW())/(INDEX(C:C, ROW())+INDEX(D:D, ROW())))</f>
        <v/>
      </c>
      <c r="F206" s="1" t="inlineStr">
        <is>
          <t>Array, Stack, Simulation</t>
        </is>
      </c>
      <c r="G206" s="1" t="inlineStr">
        <is>
          <t>Medium</t>
        </is>
      </c>
      <c r="H206" s="1" t="n">
        <v>945800</v>
      </c>
      <c r="I206" s="1" t="n">
        <v>2022451</v>
      </c>
      <c r="J206" s="9" t="n">
        <v>0.468</v>
      </c>
      <c r="K206" s="1" t="inlineStr">
        <is>
          <t>Yes</t>
        </is>
      </c>
      <c r="L206" s="1" t="inlineStr">
        <is>
          <t>Yes</t>
        </is>
      </c>
      <c r="M206" s="1" t="inlineStr">
        <is>
          <t>No</t>
        </is>
      </c>
      <c r="N206" s="1" t="inlineStr">
        <is>
          <t>Algorithms</t>
        </is>
      </c>
      <c r="O2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7" ht="15.75" customHeight="1" s="12">
      <c r="A207" s="1" t="n">
        <v>173</v>
      </c>
      <c r="B207" s="3">
        <f>HYPERLINK("https://leetcode.com/problems/binary-search-tree-iterator/", "Binary Search Tree Iterator")</f>
        <v/>
      </c>
      <c r="C207" s="1" t="n">
        <v>9151</v>
      </c>
      <c r="D207" s="1" t="n">
        <v>577</v>
      </c>
      <c r="E207" s="4">
        <f>IF(INDEX(C:C, ROW())+INDEX(D:D, ROW())=0, 0, INDEX(C:C, ROW())/(INDEX(C:C, ROW())+INDEX(D:D, ROW())))</f>
        <v/>
      </c>
      <c r="F207" s="1" t="inlineStr">
        <is>
          <t>Stack, Tree, Design, Binary Search Tree, Binary Tree, Iterator</t>
        </is>
      </c>
      <c r="G207" s="1" t="inlineStr">
        <is>
          <t>Medium</t>
        </is>
      </c>
      <c r="H207" s="1" t="n">
        <v>1055724</v>
      </c>
      <c r="I207" s="1" t="n">
        <v>1389776</v>
      </c>
      <c r="J207" s="9" t="n">
        <v>0.76</v>
      </c>
      <c r="K207" s="1" t="inlineStr">
        <is>
          <t>Yes</t>
        </is>
      </c>
      <c r="L207" s="1" t="inlineStr">
        <is>
          <t>Yes</t>
        </is>
      </c>
      <c r="M207" s="1" t="inlineStr">
        <is>
          <t>No</t>
        </is>
      </c>
      <c r="N207" s="1" t="inlineStr">
        <is>
          <t>Algorithms</t>
        </is>
      </c>
      <c r="O2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8" ht="15.75" customHeight="1" s="12">
      <c r="A208" s="1" t="n">
        <v>767</v>
      </c>
      <c r="B208" s="3">
        <f>HYPERLINK("https://leetcode.com/problems/reorganize-string/", "Reorganize String")</f>
        <v/>
      </c>
      <c r="C208" s="1" t="n">
        <v>9143</v>
      </c>
      <c r="D208" s="1" t="n">
        <v>285</v>
      </c>
      <c r="E208" s="4">
        <f>IF(INDEX(C:C, ROW())+INDEX(D:D, ROW())=0, 0, INDEX(C:C, ROW())/(INDEX(C:C, ROW())+INDEX(D:D, ROW())))</f>
        <v/>
      </c>
      <c r="F208" s="1" t="inlineStr">
        <is>
          <t>Hash Table, String, Greedy, Sorting, Heap (Priority Queue), Counting</t>
        </is>
      </c>
      <c r="G208" s="1" t="inlineStr">
        <is>
          <t>Medium</t>
        </is>
      </c>
      <c r="H208" s="1" t="n">
        <v>574135</v>
      </c>
      <c r="I208" s="1" t="n">
        <v>1011959</v>
      </c>
      <c r="J208" s="9" t="n">
        <v>0.5669999999999999</v>
      </c>
      <c r="K208" s="1" t="inlineStr">
        <is>
          <t>Yes</t>
        </is>
      </c>
      <c r="L208" s="1" t="inlineStr">
        <is>
          <t>Yes</t>
        </is>
      </c>
      <c r="M208" s="1" t="inlineStr">
        <is>
          <t>No</t>
        </is>
      </c>
      <c r="N208" s="1" t="inlineStr">
        <is>
          <t>Algorithms</t>
        </is>
      </c>
      <c r="O2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9" ht="15.75" customHeight="1" s="12">
      <c r="A209" s="1" t="n">
        <v>6</v>
      </c>
      <c r="B209" s="3">
        <f>HYPERLINK("https://leetcode.com/problems/zigzag-conversion/", "Zigzag Conversion")</f>
        <v/>
      </c>
      <c r="C209" s="1" t="n">
        <v>9137</v>
      </c>
      <c r="D209" s="1" t="n">
        <v>15787</v>
      </c>
      <c r="E209" s="4">
        <f>IF(INDEX(C:C, ROW())+INDEX(D:D, ROW())=0, 0, INDEX(C:C, ROW())/(INDEX(C:C, ROW())+INDEX(D:D, ROW())))</f>
        <v/>
      </c>
      <c r="F209" s="1" t="inlineStr">
        <is>
          <t>String</t>
        </is>
      </c>
      <c r="G209" s="1" t="inlineStr">
        <is>
          <t>Medium</t>
        </is>
      </c>
      <c r="H209" s="1" t="n">
        <v>2060053</v>
      </c>
      <c r="I209" s="1" t="n">
        <v>3869975</v>
      </c>
      <c r="J209" s="9" t="n">
        <v>0.532</v>
      </c>
      <c r="K209" s="1" t="inlineStr">
        <is>
          <t>Yes</t>
        </is>
      </c>
      <c r="L209" s="1" t="inlineStr">
        <is>
          <t>Yes</t>
        </is>
      </c>
      <c r="M209" s="1" t="inlineStr">
        <is>
          <t>Yes</t>
        </is>
      </c>
      <c r="N209" s="1" t="inlineStr">
        <is>
          <t>Algorithms</t>
        </is>
      </c>
      <c r="O2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0" ht="15.75" customHeight="1" s="12">
      <c r="A210" s="1" t="n">
        <v>785</v>
      </c>
      <c r="B210" s="3">
        <f>HYPERLINK("https://leetcode.com/problems/is-graph-bipartite/", "Is Graph Bipartite?")</f>
        <v/>
      </c>
      <c r="C210" s="1" t="n">
        <v>9128</v>
      </c>
      <c r="D210" s="1" t="n">
        <v>416</v>
      </c>
      <c r="E210" s="4">
        <f>IF(INDEX(C:C, ROW())+INDEX(D:D, ROW())=0, 0, INDEX(C:C, ROW())/(INDEX(C:C, ROW())+INDEX(D:D, ROW())))</f>
        <v/>
      </c>
      <c r="F210" s="1" t="inlineStr">
        <is>
          <t>Depth-First Search, Breadth-First Search, Union-Find, Graph Theory</t>
        </is>
      </c>
      <c r="G210" s="1" t="inlineStr">
        <is>
          <t>Medium</t>
        </is>
      </c>
      <c r="H210" s="1" t="n">
        <v>829438</v>
      </c>
      <c r="I210" s="1" t="n">
        <v>1411917</v>
      </c>
      <c r="J210" s="9" t="n">
        <v>0.587</v>
      </c>
      <c r="K210" s="1" t="inlineStr">
        <is>
          <t>Yes</t>
        </is>
      </c>
      <c r="L210" s="1" t="inlineStr">
        <is>
          <t>Yes</t>
        </is>
      </c>
      <c r="M210" s="1" t="inlineStr">
        <is>
          <t>Yes</t>
        </is>
      </c>
      <c r="N210" s="1" t="inlineStr">
        <is>
          <t>Algorithms</t>
        </is>
      </c>
      <c r="O2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1" ht="15.75" customHeight="1" s="12">
      <c r="A211" s="1" t="n">
        <v>724</v>
      </c>
      <c r="B211" s="3">
        <f>HYPERLINK("https://leetcode.com/problems/find-pivot-index/", "Find Pivot Index")</f>
        <v/>
      </c>
      <c r="C211" s="1" t="n">
        <v>9123</v>
      </c>
      <c r="D211" s="1" t="n">
        <v>922</v>
      </c>
      <c r="E211" s="4">
        <f>IF(INDEX(C:C, ROW())+INDEX(D:D, ROW())=0, 0, INDEX(C:C, ROW())/(INDEX(C:C, ROW())+INDEX(D:D, ROW())))</f>
        <v/>
      </c>
      <c r="F211" s="1" t="inlineStr">
        <is>
          <t>Array, Prefix Sum</t>
        </is>
      </c>
      <c r="G211" s="1" t="inlineStr">
        <is>
          <t>Easy</t>
        </is>
      </c>
      <c r="H211" s="1" t="n">
        <v>1569078</v>
      </c>
      <c r="I211" s="1" t="n">
        <v>2539393</v>
      </c>
      <c r="J211" s="9" t="n">
        <v>0.618</v>
      </c>
      <c r="K211" s="1" t="inlineStr">
        <is>
          <t>Yes</t>
        </is>
      </c>
      <c r="L211" s="1" t="inlineStr">
        <is>
          <t>Yes</t>
        </is>
      </c>
      <c r="M211" s="1" t="inlineStr">
        <is>
          <t>No</t>
        </is>
      </c>
      <c r="N211" s="1" t="inlineStr">
        <is>
          <t>Algorithms</t>
        </is>
      </c>
      <c r="O2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2" ht="15.75" customHeight="1" s="12">
      <c r="A212" s="1" t="n">
        <v>451</v>
      </c>
      <c r="B212" s="3">
        <f>HYPERLINK("https://leetcode.com/problems/sort-characters-by-frequency/", "Sort Characters By Frequency")</f>
        <v/>
      </c>
      <c r="C212" s="1" t="n">
        <v>9108</v>
      </c>
      <c r="D212" s="1" t="n">
        <v>332</v>
      </c>
      <c r="E212" s="4">
        <f>IF(INDEX(C:C, ROW())+INDEX(D:D, ROW())=0, 0, INDEX(C:C, ROW())/(INDEX(C:C, ROW())+INDEX(D:D, ROW())))</f>
        <v/>
      </c>
      <c r="F212" s="1" t="inlineStr">
        <is>
          <t>Hash Table, String, Sorting, Heap (Priority Queue), Bucket Sort, Counting</t>
        </is>
      </c>
      <c r="G212" s="1" t="inlineStr">
        <is>
          <t>Medium</t>
        </is>
      </c>
      <c r="H212" s="1" t="n">
        <v>1052155</v>
      </c>
      <c r="I212" s="1" t="n">
        <v>1403111</v>
      </c>
      <c r="J212" s="9" t="n">
        <v>0.75</v>
      </c>
      <c r="K212" s="1" t="inlineStr">
        <is>
          <t>Yes</t>
        </is>
      </c>
      <c r="L212" s="1" t="inlineStr">
        <is>
          <t>Yes</t>
        </is>
      </c>
      <c r="M212" s="1" t="inlineStr">
        <is>
          <t>No</t>
        </is>
      </c>
      <c r="N212" s="1" t="inlineStr">
        <is>
          <t>Algorithms</t>
        </is>
      </c>
      <c r="O2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3" ht="15.75" customHeight="1" s="12">
      <c r="A213" s="1" t="n">
        <v>907</v>
      </c>
      <c r="B213" s="3">
        <f>HYPERLINK("https://leetcode.com/problems/sum-of-subarray-minimums/", "Sum of Subarray Minimums")</f>
        <v/>
      </c>
      <c r="C213" s="1" t="n">
        <v>9072</v>
      </c>
      <c r="D213" s="1" t="n">
        <v>720</v>
      </c>
      <c r="E213" s="4">
        <f>IF(INDEX(C:C, ROW())+INDEX(D:D, ROW())=0, 0, INDEX(C:C, ROW())/(INDEX(C:C, ROW())+INDEX(D:D, ROW())))</f>
        <v/>
      </c>
      <c r="F213" s="1" t="inlineStr">
        <is>
          <t>Array, Dynamic Programming, Stack, Monotonic Stack</t>
        </is>
      </c>
      <c r="G213" s="1" t="inlineStr">
        <is>
          <t>Medium</t>
        </is>
      </c>
      <c r="H213" s="1" t="n">
        <v>415183</v>
      </c>
      <c r="I213" s="1" t="n">
        <v>1087554</v>
      </c>
      <c r="J213" s="9" t="n">
        <v>0.382</v>
      </c>
      <c r="K213" s="1" t="inlineStr">
        <is>
          <t>Yes</t>
        </is>
      </c>
      <c r="L213" s="1" t="inlineStr">
        <is>
          <t>Yes</t>
        </is>
      </c>
      <c r="M213" s="1" t="inlineStr">
        <is>
          <t>No</t>
        </is>
      </c>
      <c r="N213" s="1" t="inlineStr">
        <is>
          <t>Algorithms</t>
        </is>
      </c>
      <c r="O2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4" ht="15.75" customHeight="1" s="12">
      <c r="A214" s="1" t="n">
        <v>47</v>
      </c>
      <c r="B214" s="3">
        <f>HYPERLINK("https://leetcode.com/problems/permutations-ii/", "Permutations II")</f>
        <v/>
      </c>
      <c r="C214" s="1" t="n">
        <v>9057</v>
      </c>
      <c r="D214" s="1" t="n">
        <v>161</v>
      </c>
      <c r="E214" s="4">
        <f>IF(INDEX(C:C, ROW())+INDEX(D:D, ROW())=0, 0, INDEX(C:C, ROW())/(INDEX(C:C, ROW())+INDEX(D:D, ROW())))</f>
        <v/>
      </c>
      <c r="F214" s="1" t="inlineStr">
        <is>
          <t>Array, Backtracking, Sorting</t>
        </is>
      </c>
      <c r="G214" s="1" t="inlineStr">
        <is>
          <t>Medium</t>
        </is>
      </c>
      <c r="H214" s="1" t="n">
        <v>1229019</v>
      </c>
      <c r="I214" s="1" t="n">
        <v>1958139</v>
      </c>
      <c r="J214" s="9" t="n">
        <v>0.628</v>
      </c>
      <c r="K214" s="1" t="inlineStr">
        <is>
          <t>Yes</t>
        </is>
      </c>
      <c r="L214" s="1" t="inlineStr">
        <is>
          <t>Yes</t>
        </is>
      </c>
      <c r="M214" s="1" t="inlineStr">
        <is>
          <t>No</t>
        </is>
      </c>
      <c r="N214" s="1" t="inlineStr">
        <is>
          <t>Algorithms</t>
        </is>
      </c>
      <c r="O2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5" ht="15.75" customHeight="1" s="12">
      <c r="A215" s="1" t="n">
        <v>617</v>
      </c>
      <c r="B215" s="3">
        <f>HYPERLINK("https://leetcode.com/problems/merge-two-binary-trees/", "Merge Two Binary Trees")</f>
        <v/>
      </c>
      <c r="C215" s="1" t="n">
        <v>9049</v>
      </c>
      <c r="D215" s="1" t="n">
        <v>319</v>
      </c>
      <c r="E215" s="4">
        <f>IF(INDEX(C:C, ROW())+INDEX(D:D, ROW())=0, 0, INDEX(C:C, ROW())/(INDEX(C:C, ROW())+INDEX(D:D, ROW())))</f>
        <v/>
      </c>
      <c r="F215" s="1" t="inlineStr">
        <is>
          <t>Tree, Depth-First Search, Breadth-First Search, Binary Tree</t>
        </is>
      </c>
      <c r="G215" s="1" t="inlineStr">
        <is>
          <t>Easy</t>
        </is>
      </c>
      <c r="H215" s="1" t="n">
        <v>882085</v>
      </c>
      <c r="I215" s="1" t="n">
        <v>1117379</v>
      </c>
      <c r="J215" s="9" t="n">
        <v>0.789</v>
      </c>
      <c r="K215" s="1" t="inlineStr">
        <is>
          <t>Yes</t>
        </is>
      </c>
      <c r="L215" s="1" t="inlineStr">
        <is>
          <t>Yes</t>
        </is>
      </c>
      <c r="M215" s="1" t="inlineStr">
        <is>
          <t>No</t>
        </is>
      </c>
      <c r="N215" s="1" t="inlineStr">
        <is>
          <t>Algorithms</t>
        </is>
      </c>
      <c r="O2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6" ht="15.75" customHeight="1" s="12">
      <c r="A216" s="1" t="n">
        <v>337</v>
      </c>
      <c r="B216" s="3">
        <f>HYPERLINK("https://leetcode.com/problems/house-robber-iii/", "House Robber III")</f>
        <v/>
      </c>
      <c r="C216" s="1" t="n">
        <v>9043</v>
      </c>
      <c r="D216" s="1" t="n">
        <v>157</v>
      </c>
      <c r="E216" s="4">
        <f>IF(INDEX(C:C, ROW())+INDEX(D:D, ROW())=0, 0, INDEX(C:C, ROW())/(INDEX(C:C, ROW())+INDEX(D:D, ROW())))</f>
        <v/>
      </c>
      <c r="F216" s="1" t="inlineStr">
        <is>
          <t>Dynamic Programming, Tree, Depth-First Search, Binary Tree</t>
        </is>
      </c>
      <c r="G216" s="1" t="inlineStr">
        <is>
          <t>Medium</t>
        </is>
      </c>
      <c r="H216" s="1" t="n">
        <v>485462</v>
      </c>
      <c r="I216" s="1" t="n">
        <v>874011</v>
      </c>
      <c r="J216" s="9" t="n">
        <v>0.555</v>
      </c>
      <c r="K216" s="1" t="inlineStr">
        <is>
          <t>Yes</t>
        </is>
      </c>
      <c r="L216" s="1" t="inlineStr">
        <is>
          <t>Yes</t>
        </is>
      </c>
      <c r="M216" s="1" t="inlineStr">
        <is>
          <t>No</t>
        </is>
      </c>
      <c r="N216" s="1" t="inlineStr">
        <is>
          <t>Algorithms</t>
        </is>
      </c>
      <c r="O2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7" ht="15.75" customHeight="1" s="12">
      <c r="A217" s="1" t="n">
        <v>44</v>
      </c>
      <c r="B217" s="3">
        <f>HYPERLINK("https://leetcode.com/problems/wildcard-matching/", "Wildcard Matching")</f>
        <v/>
      </c>
      <c r="C217" s="1" t="n">
        <v>9034</v>
      </c>
      <c r="D217" s="1" t="n">
        <v>410</v>
      </c>
      <c r="E217" s="4">
        <f>IF(INDEX(C:C, ROW())+INDEX(D:D, ROW())=0, 0, INDEX(C:C, ROW())/(INDEX(C:C, ROW())+INDEX(D:D, ROW())))</f>
        <v/>
      </c>
      <c r="F217" s="1" t="inlineStr">
        <is>
          <t>String, Dynamic Programming, Greedy, Recursion</t>
        </is>
      </c>
      <c r="G217" s="1" t="inlineStr">
        <is>
          <t>Hard</t>
        </is>
      </c>
      <c r="H217" s="1" t="n">
        <v>823116</v>
      </c>
      <c r="I217" s="1" t="n">
        <v>2642332</v>
      </c>
      <c r="J217" s="9" t="n">
        <v>0.312</v>
      </c>
      <c r="K217" s="1" t="inlineStr">
        <is>
          <t>Yes</t>
        </is>
      </c>
      <c r="L217" s="1" t="inlineStr">
        <is>
          <t>Yes</t>
        </is>
      </c>
      <c r="M217" s="1" t="inlineStr">
        <is>
          <t>No</t>
        </is>
      </c>
      <c r="N217" s="1" t="inlineStr">
        <is>
          <t>Algorithms</t>
        </is>
      </c>
      <c r="O2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8" ht="15.75" customHeight="1" s="12">
      <c r="A218" s="1" t="n">
        <v>435</v>
      </c>
      <c r="B218" s="3">
        <f>HYPERLINK("https://leetcode.com/problems/non-overlapping-intervals/", "Non-overlapping Intervals")</f>
        <v/>
      </c>
      <c r="C218" s="1" t="n">
        <v>9011</v>
      </c>
      <c r="D218" s="1" t="n">
        <v>251</v>
      </c>
      <c r="E218" s="4">
        <f>IF(INDEX(C:C, ROW())+INDEX(D:D, ROW())=0, 0, INDEX(C:C, ROW())/(INDEX(C:C, ROW())+INDEX(D:D, ROW())))</f>
        <v/>
      </c>
      <c r="F218" s="1" t="inlineStr">
        <is>
          <t>Array, Dynamic Programming, Greedy, Sorting</t>
        </is>
      </c>
      <c r="G218" s="1" t="inlineStr">
        <is>
          <t>Medium</t>
        </is>
      </c>
      <c r="H218" s="1" t="n">
        <v>939585</v>
      </c>
      <c r="I218" s="1" t="n">
        <v>1662800</v>
      </c>
      <c r="J218" s="9" t="n">
        <v>0.5649999999999999</v>
      </c>
      <c r="K218" s="1" t="inlineStr">
        <is>
          <t>Yes</t>
        </is>
      </c>
      <c r="L218" s="1" t="inlineStr">
        <is>
          <t>Yes</t>
        </is>
      </c>
      <c r="M218" s="1" t="inlineStr">
        <is>
          <t>No</t>
        </is>
      </c>
      <c r="N218" s="1" t="inlineStr">
        <is>
          <t>Algorithms</t>
        </is>
      </c>
      <c r="O2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9" ht="15.75" customHeight="1" s="12">
      <c r="A219" s="1" t="n">
        <v>503</v>
      </c>
      <c r="B219" s="3">
        <f>HYPERLINK("https://leetcode.com/problems/next-greater-element-ii/", "Next Greater Element II")</f>
        <v/>
      </c>
      <c r="C219" s="1" t="n">
        <v>8989</v>
      </c>
      <c r="D219" s="1" t="n">
        <v>234</v>
      </c>
      <c r="E219" s="4">
        <f>IF(INDEX(C:C, ROW())+INDEX(D:D, ROW())=0, 0, INDEX(C:C, ROW())/(INDEX(C:C, ROW())+INDEX(D:D, ROW())))</f>
        <v/>
      </c>
      <c r="F219" s="1" t="inlineStr">
        <is>
          <t>Array, Stack, Monotonic Stack</t>
        </is>
      </c>
      <c r="G219" s="1" t="inlineStr">
        <is>
          <t>Medium</t>
        </is>
      </c>
      <c r="H219" s="1" t="n">
        <v>725961</v>
      </c>
      <c r="I219" s="1" t="n">
        <v>1072783</v>
      </c>
      <c r="J219" s="9" t="n">
        <v>0.677</v>
      </c>
      <c r="K219" s="1" t="inlineStr">
        <is>
          <t>Yes</t>
        </is>
      </c>
      <c r="L219" s="1" t="inlineStr">
        <is>
          <t>Yes</t>
        </is>
      </c>
      <c r="M219" s="1" t="inlineStr">
        <is>
          <t>No</t>
        </is>
      </c>
      <c r="N219" s="1" t="inlineStr">
        <is>
          <t>Algorithms</t>
        </is>
      </c>
      <c r="O2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0" ht="15.75" customHeight="1" s="12">
      <c r="A220" s="1" t="n">
        <v>973</v>
      </c>
      <c r="B220" s="3">
        <f>HYPERLINK("https://leetcode.com/problems/k-closest-points-to-origin/", "K Closest Points to Origin")</f>
        <v/>
      </c>
      <c r="C220" s="1" t="n">
        <v>8984</v>
      </c>
      <c r="D220" s="1" t="n">
        <v>337</v>
      </c>
      <c r="E220" s="4">
        <f>IF(INDEX(C:C, ROW())+INDEX(D:D, ROW())=0, 0, INDEX(C:C, ROW())/(INDEX(C:C, ROW())+INDEX(D:D, ROW())))</f>
        <v/>
      </c>
      <c r="F220" s="1" t="inlineStr">
        <is>
          <t>Array, Math, Divide and Conquer, Geometry, Sorting, Heap (Priority Queue), Quickselect</t>
        </is>
      </c>
      <c r="G220" s="1" t="inlineStr">
        <is>
          <t>Medium</t>
        </is>
      </c>
      <c r="H220" s="1" t="n">
        <v>1660339</v>
      </c>
      <c r="I220" s="1" t="n">
        <v>2419688</v>
      </c>
      <c r="J220" s="9" t="n">
        <v>0.6860000000000001</v>
      </c>
      <c r="K220" s="1" t="inlineStr">
        <is>
          <t>Yes</t>
        </is>
      </c>
      <c r="L220" s="1" t="inlineStr">
        <is>
          <t>Yes</t>
        </is>
      </c>
      <c r="M220" s="1" t="inlineStr">
        <is>
          <t>Yes</t>
        </is>
      </c>
      <c r="N220" s="1" t="inlineStr">
        <is>
          <t>Algorithms</t>
        </is>
      </c>
      <c r="O2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1" ht="15.75" customHeight="1" s="12">
      <c r="A221" s="1" t="n">
        <v>658</v>
      </c>
      <c r="B221" s="3">
        <f>HYPERLINK("https://leetcode.com/problems/find-k-closest-elements/", "Find K Closest Elements")</f>
        <v/>
      </c>
      <c r="C221" s="1" t="n">
        <v>8947</v>
      </c>
      <c r="D221" s="1" t="n">
        <v>890</v>
      </c>
      <c r="E221" s="4">
        <f>IF(INDEX(C:C, ROW())+INDEX(D:D, ROW())=0, 0, INDEX(C:C, ROW())/(INDEX(C:C, ROW())+INDEX(D:D, ROW())))</f>
        <v/>
      </c>
      <c r="F221" s="1" t="inlineStr">
        <is>
          <t>Array, Two Pointers, Binary Search, Sliding Window, Sorting, Heap (Priority Queue)</t>
        </is>
      </c>
      <c r="G221" s="1" t="inlineStr">
        <is>
          <t>Medium</t>
        </is>
      </c>
      <c r="H221" s="1" t="n">
        <v>781033</v>
      </c>
      <c r="I221" s="1" t="n">
        <v>1583847</v>
      </c>
      <c r="J221" s="9" t="n">
        <v>0.493</v>
      </c>
      <c r="K221" s="1" t="inlineStr">
        <is>
          <t>Yes</t>
        </is>
      </c>
      <c r="L221" s="1" t="inlineStr">
        <is>
          <t>Yes</t>
        </is>
      </c>
      <c r="M221" s="1" t="inlineStr">
        <is>
          <t>No</t>
        </is>
      </c>
      <c r="N221" s="1" t="inlineStr">
        <is>
          <t>Algorithms</t>
        </is>
      </c>
      <c r="O2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2" ht="15.75" customHeight="1" s="12">
      <c r="A222" s="1" t="n">
        <v>203</v>
      </c>
      <c r="B222" s="3">
        <f>HYPERLINK("https://leetcode.com/problems/remove-linked-list-elements/", "Remove Linked List Elements")</f>
        <v/>
      </c>
      <c r="C222" s="1" t="n">
        <v>8934</v>
      </c>
      <c r="D222" s="1" t="n">
        <v>285</v>
      </c>
      <c r="E222" s="4">
        <f>IF(INDEX(C:C, ROW())+INDEX(D:D, ROW())=0, 0, INDEX(C:C, ROW())/(INDEX(C:C, ROW())+INDEX(D:D, ROW())))</f>
        <v/>
      </c>
      <c r="F222" s="1" t="inlineStr">
        <is>
          <t>Linked List, Recursion</t>
        </is>
      </c>
      <c r="G222" s="1" t="inlineStr">
        <is>
          <t>Easy</t>
        </is>
      </c>
      <c r="H222" s="1" t="n">
        <v>1525398</v>
      </c>
      <c r="I222" s="1" t="n">
        <v>2847949</v>
      </c>
      <c r="J222" s="9" t="n">
        <v>0.536</v>
      </c>
      <c r="K222" s="1" t="inlineStr">
        <is>
          <t>Yes</t>
        </is>
      </c>
      <c r="L222" s="1" t="inlineStr">
        <is>
          <t>Yes</t>
        </is>
      </c>
      <c r="M222" s="1" t="inlineStr">
        <is>
          <t>No</t>
        </is>
      </c>
      <c r="N222" s="1" t="inlineStr">
        <is>
          <t>Algorithms</t>
        </is>
      </c>
      <c r="O2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3" ht="15.75" customHeight="1" s="12">
      <c r="A223" s="1" t="n">
        <v>278</v>
      </c>
      <c r="B223" s="3">
        <f>HYPERLINK("https://leetcode.com/problems/first-bad-version/", "First Bad Version")</f>
        <v/>
      </c>
      <c r="C223" s="1" t="n">
        <v>8930</v>
      </c>
      <c r="D223" s="1" t="n">
        <v>3427</v>
      </c>
      <c r="E223" s="4">
        <f>IF(INDEX(C:C, ROW())+INDEX(D:D, ROW())=0, 0, INDEX(C:C, ROW())/(INDEX(C:C, ROW())+INDEX(D:D, ROW())))</f>
        <v/>
      </c>
      <c r="F223" s="1" t="inlineStr">
        <is>
          <t>Binary Search, Interactive</t>
        </is>
      </c>
      <c r="G223" s="1" t="inlineStr">
        <is>
          <t>Easy</t>
        </is>
      </c>
      <c r="H223" s="1" t="n">
        <v>2087830</v>
      </c>
      <c r="I223" s="1" t="n">
        <v>4473572</v>
      </c>
      <c r="J223" s="9" t="n">
        <v>0.467</v>
      </c>
      <c r="K223" s="1" t="inlineStr">
        <is>
          <t>Yes</t>
        </is>
      </c>
      <c r="L223" s="1" t="inlineStr">
        <is>
          <t>Yes</t>
        </is>
      </c>
      <c r="M223" s="1" t="inlineStr">
        <is>
          <t>Yes</t>
        </is>
      </c>
      <c r="N223" s="1" t="inlineStr">
        <is>
          <t>Algorithms</t>
        </is>
      </c>
      <c r="O2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4" ht="15.75" customHeight="1" s="12">
      <c r="A224" s="1" t="n">
        <v>680</v>
      </c>
      <c r="B224" s="3">
        <f>HYPERLINK("https://leetcode.com/problems/valid-palindrome-ii/", "Valid Palindrome II")</f>
        <v/>
      </c>
      <c r="C224" s="1" t="n">
        <v>8873</v>
      </c>
      <c r="D224" s="1" t="n">
        <v>507</v>
      </c>
      <c r="E224" s="4">
        <f>IF(INDEX(C:C, ROW())+INDEX(D:D, ROW())=0, 0, INDEX(C:C, ROW())/(INDEX(C:C, ROW())+INDEX(D:D, ROW())))</f>
        <v/>
      </c>
      <c r="F224" s="1" t="inlineStr">
        <is>
          <t>Two Pointers, String, Greedy</t>
        </is>
      </c>
      <c r="G224" s="1" t="inlineStr">
        <is>
          <t>Easy</t>
        </is>
      </c>
      <c r="H224" s="1" t="n">
        <v>1087593</v>
      </c>
      <c r="I224" s="1" t="n">
        <v>2481800</v>
      </c>
      <c r="J224" s="9" t="n">
        <v>0.438</v>
      </c>
      <c r="K224" s="1" t="inlineStr">
        <is>
          <t>Yes</t>
        </is>
      </c>
      <c r="L224" s="1" t="inlineStr">
        <is>
          <t>Yes</t>
        </is>
      </c>
      <c r="M224" s="1" t="inlineStr">
        <is>
          <t>No</t>
        </is>
      </c>
      <c r="N224" s="1" t="inlineStr">
        <is>
          <t>Algorithms</t>
        </is>
      </c>
      <c r="O2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5" ht="15.75" customHeight="1" s="12">
      <c r="A225" s="1" t="n">
        <v>310</v>
      </c>
      <c r="B225" s="3">
        <f>HYPERLINK("https://leetcode.com/problems/minimum-height-trees/", "Minimum Height Trees")</f>
        <v/>
      </c>
      <c r="C225" s="1" t="n">
        <v>8845</v>
      </c>
      <c r="D225" s="1" t="n">
        <v>414</v>
      </c>
      <c r="E225" s="4">
        <f>IF(INDEX(C:C, ROW())+INDEX(D:D, ROW())=0, 0, INDEX(C:C, ROW())/(INDEX(C:C, ROW())+INDEX(D:D, ROW())))</f>
        <v/>
      </c>
      <c r="F225" s="1" t="inlineStr">
        <is>
          <t>Depth-First Search, Breadth-First Search, Graph Theory, Topological Sort</t>
        </is>
      </c>
      <c r="G225" s="1" t="inlineStr">
        <is>
          <t>Medium</t>
        </is>
      </c>
      <c r="H225" s="1" t="n">
        <v>469260</v>
      </c>
      <c r="I225" s="1" t="n">
        <v>1108076</v>
      </c>
      <c r="J225" s="9" t="n">
        <v>0.423</v>
      </c>
      <c r="K225" s="1" t="inlineStr">
        <is>
          <t>Yes</t>
        </is>
      </c>
      <c r="L225" s="1" t="inlineStr">
        <is>
          <t>Yes</t>
        </is>
      </c>
      <c r="M225" s="1" t="inlineStr">
        <is>
          <t>No</t>
        </is>
      </c>
      <c r="N225" s="1" t="inlineStr">
        <is>
          <t>Algorithms</t>
        </is>
      </c>
      <c r="O2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6" ht="15.75" customHeight="1" s="12">
      <c r="A226" s="1" t="n">
        <v>77</v>
      </c>
      <c r="B226" s="3">
        <f>HYPERLINK("https://leetcode.com/problems/combinations/", "Combinations")</f>
        <v/>
      </c>
      <c r="C226" s="1" t="n">
        <v>8830</v>
      </c>
      <c r="D226" s="1" t="n">
        <v>250</v>
      </c>
      <c r="E226" s="4">
        <f>IF(INDEX(C:C, ROW())+INDEX(D:D, ROW())=0, 0, INDEX(C:C, ROW())/(INDEX(C:C, ROW())+INDEX(D:D, ROW())))</f>
        <v/>
      </c>
      <c r="F226" s="1" t="inlineStr">
        <is>
          <t>Backtracking</t>
        </is>
      </c>
      <c r="G226" s="1" t="inlineStr">
        <is>
          <t>Medium</t>
        </is>
      </c>
      <c r="H226" s="1" t="n">
        <v>1265263</v>
      </c>
      <c r="I226" s="1" t="n">
        <v>1709822</v>
      </c>
      <c r="J226" s="9" t="n">
        <v>0.74</v>
      </c>
      <c r="K226" s="1" t="inlineStr">
        <is>
          <t>Yes</t>
        </is>
      </c>
      <c r="L226" s="1" t="inlineStr">
        <is>
          <t>Yes</t>
        </is>
      </c>
      <c r="M226" s="1" t="inlineStr">
        <is>
          <t>No</t>
        </is>
      </c>
      <c r="N226" s="1" t="inlineStr">
        <is>
          <t>Algorithms</t>
        </is>
      </c>
      <c r="O2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7" ht="15.75" customHeight="1" s="12">
      <c r="A227" s="1" t="n">
        <v>572</v>
      </c>
      <c r="B227" s="3">
        <f>HYPERLINK("https://leetcode.com/problems/subtree-of-another-tree/", "Subtree of Another Tree")</f>
        <v/>
      </c>
      <c r="C227" s="1" t="n">
        <v>8810</v>
      </c>
      <c r="D227" s="1" t="n">
        <v>594</v>
      </c>
      <c r="E227" s="4">
        <f>IF(INDEX(C:C, ROW())+INDEX(D:D, ROW())=0, 0, INDEX(C:C, ROW())/(INDEX(C:C, ROW())+INDEX(D:D, ROW())))</f>
        <v/>
      </c>
      <c r="F227" s="1" t="inlineStr">
        <is>
          <t>Tree, Depth-First Search, String Matching, Binary Tree, Hash Function</t>
        </is>
      </c>
      <c r="G227" s="1" t="inlineStr">
        <is>
          <t>Easy</t>
        </is>
      </c>
      <c r="H227" s="1" t="n">
        <v>1201213</v>
      </c>
      <c r="I227" s="1" t="n">
        <v>2353149</v>
      </c>
      <c r="J227" s="9" t="n">
        <v>0.51</v>
      </c>
      <c r="K227" s="1" t="inlineStr">
        <is>
          <t>Yes</t>
        </is>
      </c>
      <c r="L227" s="1" t="inlineStr">
        <is>
          <t>Yes</t>
        </is>
      </c>
      <c r="M227" s="1" t="inlineStr">
        <is>
          <t>No</t>
        </is>
      </c>
      <c r="N227" s="1" t="inlineStr">
        <is>
          <t>Algorithms</t>
        </is>
      </c>
      <c r="O2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8" ht="15.75" customHeight="1" s="12">
      <c r="A228" s="1" t="n">
        <v>334</v>
      </c>
      <c r="B228" s="3">
        <f>HYPERLINK("https://leetcode.com/problems/increasing-triplet-subsequence/", "Increasing Triplet Subsequence")</f>
        <v/>
      </c>
      <c r="C228" s="1" t="n">
        <v>8787</v>
      </c>
      <c r="D228" s="1" t="n">
        <v>688</v>
      </c>
      <c r="E228" s="4">
        <f>IF(INDEX(C:C, ROW())+INDEX(D:D, ROW())=0, 0, INDEX(C:C, ROW())/(INDEX(C:C, ROW())+INDEX(D:D, ROW())))</f>
        <v/>
      </c>
      <c r="F228" s="1" t="inlineStr">
        <is>
          <t>Array, Greedy</t>
        </is>
      </c>
      <c r="G228" s="1" t="inlineStr">
        <is>
          <t>Medium</t>
        </is>
      </c>
      <c r="H228" s="1" t="n">
        <v>889820</v>
      </c>
      <c r="I228" s="1" t="n">
        <v>2271063</v>
      </c>
      <c r="J228" s="9" t="n">
        <v>0.392</v>
      </c>
      <c r="K228" s="1" t="inlineStr">
        <is>
          <t>Yes</t>
        </is>
      </c>
      <c r="L228" s="1" t="inlineStr">
        <is>
          <t>Yes</t>
        </is>
      </c>
      <c r="M228" s="1" t="inlineStr">
        <is>
          <t>No</t>
        </is>
      </c>
      <c r="N228" s="1" t="inlineStr">
        <is>
          <t>Algorithms</t>
        </is>
      </c>
      <c r="O2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9" ht="15.75" customHeight="1" s="12">
      <c r="A229" s="1" t="n">
        <v>97</v>
      </c>
      <c r="B229" s="3">
        <f>HYPERLINK("https://leetcode.com/problems/interleaving-string/", "Interleaving String")</f>
        <v/>
      </c>
      <c r="C229" s="1" t="n">
        <v>8782</v>
      </c>
      <c r="D229" s="1" t="n">
        <v>549</v>
      </c>
      <c r="E229" s="4">
        <f>IF(INDEX(C:C, ROW())+INDEX(D:D, ROW())=0, 0, INDEX(C:C, ROW())/(INDEX(C:C, ROW())+INDEX(D:D, ROW())))</f>
        <v/>
      </c>
      <c r="F229" s="1" t="inlineStr">
        <is>
          <t>String, Dynamic Programming</t>
        </is>
      </c>
      <c r="G229" s="1" t="inlineStr">
        <is>
          <t>Medium</t>
        </is>
      </c>
      <c r="H229" s="1" t="n">
        <v>743720</v>
      </c>
      <c r="I229" s="1" t="n">
        <v>1717434</v>
      </c>
      <c r="J229" s="9" t="n">
        <v>0.433</v>
      </c>
      <c r="K229" s="1" t="inlineStr">
        <is>
          <t>Yes</t>
        </is>
      </c>
      <c r="L229" s="1" t="inlineStr">
        <is>
          <t>Yes</t>
        </is>
      </c>
      <c r="M229" s="1" t="inlineStr">
        <is>
          <t>No</t>
        </is>
      </c>
      <c r="N229" s="1" t="inlineStr">
        <is>
          <t>Algorithms</t>
        </is>
      </c>
      <c r="O2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0" ht="15.75" customHeight="1" s="12">
      <c r="A230" s="1" t="n">
        <v>144</v>
      </c>
      <c r="B230" s="3">
        <f>HYPERLINK("https://leetcode.com/problems/binary-tree-preorder-traversal/", "Binary Tree Preorder Traversal")</f>
        <v/>
      </c>
      <c r="C230" s="1" t="n">
        <v>8766</v>
      </c>
      <c r="D230" s="1" t="n">
        <v>233</v>
      </c>
      <c r="E230" s="4">
        <f>IF(INDEX(C:C, ROW())+INDEX(D:D, ROW())=0, 0, INDEX(C:C, ROW())/(INDEX(C:C, ROW())+INDEX(D:D, ROW())))</f>
        <v/>
      </c>
      <c r="F230" s="1" t="inlineStr">
        <is>
          <t>Stack, Tree, Depth-First Search, Binary Tree</t>
        </is>
      </c>
      <c r="G230" s="1" t="inlineStr">
        <is>
          <t>Easy</t>
        </is>
      </c>
      <c r="H230" s="1" t="n">
        <v>2309209</v>
      </c>
      <c r="I230" s="1" t="n">
        <v>3083668</v>
      </c>
      <c r="J230" s="9" t="n">
        <v>0.749</v>
      </c>
      <c r="K230" s="1" t="inlineStr">
        <is>
          <t>Yes</t>
        </is>
      </c>
      <c r="L230" s="1" t="inlineStr">
        <is>
          <t>Yes</t>
        </is>
      </c>
      <c r="M230" s="1" t="inlineStr">
        <is>
          <t>No</t>
        </is>
      </c>
      <c r="N230" s="1" t="inlineStr">
        <is>
          <t>Algorithms</t>
        </is>
      </c>
      <c r="O2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1" ht="15.75" customHeight="1" s="12">
      <c r="A231" s="1" t="n">
        <v>983</v>
      </c>
      <c r="B231" s="3">
        <f>HYPERLINK("https://leetcode.com/problems/minimum-cost-for-tickets/", "Minimum Cost For Tickets")</f>
        <v/>
      </c>
      <c r="C231" s="1" t="n">
        <v>8759</v>
      </c>
      <c r="D231" s="1" t="n">
        <v>189</v>
      </c>
      <c r="E231" s="4">
        <f>IF(INDEX(C:C, ROW())+INDEX(D:D, ROW())=0, 0, INDEX(C:C, ROW())/(INDEX(C:C, ROW())+INDEX(D:D, ROW())))</f>
        <v/>
      </c>
      <c r="F231" s="1" t="inlineStr">
        <is>
          <t>Array, Dynamic Programming</t>
        </is>
      </c>
      <c r="G231" s="1" t="inlineStr">
        <is>
          <t>Medium</t>
        </is>
      </c>
      <c r="H231" s="1" t="n">
        <v>461379</v>
      </c>
      <c r="I231" s="1" t="n">
        <v>684506</v>
      </c>
      <c r="J231" s="9" t="n">
        <v>0.674</v>
      </c>
      <c r="K231" s="1" t="inlineStr">
        <is>
          <t>Yes</t>
        </is>
      </c>
      <c r="L231" s="1" t="inlineStr">
        <is>
          <t>Yes</t>
        </is>
      </c>
      <c r="M231" s="1" t="inlineStr">
        <is>
          <t>No</t>
        </is>
      </c>
      <c r="N231" s="1" t="inlineStr">
        <is>
          <t>Algorithms</t>
        </is>
      </c>
      <c r="O2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2" ht="15.75" customHeight="1" s="12">
      <c r="A232" s="1" t="n">
        <v>204</v>
      </c>
      <c r="B232" s="3">
        <f>HYPERLINK("https://leetcode.com/problems/count-primes/", "Count Primes")</f>
        <v/>
      </c>
      <c r="C232" s="1" t="n">
        <v>8704</v>
      </c>
      <c r="D232" s="1" t="n">
        <v>1570</v>
      </c>
      <c r="E232" s="4">
        <f>IF(INDEX(C:C, ROW())+INDEX(D:D, ROW())=0, 0, INDEX(C:C, ROW())/(INDEX(C:C, ROW())+INDEX(D:D, ROW())))</f>
        <v/>
      </c>
      <c r="F232" s="1" t="inlineStr">
        <is>
          <t>Array, Math, Enumeration, Number Theory</t>
        </is>
      </c>
      <c r="G232" s="1" t="inlineStr">
        <is>
          <t>Medium</t>
        </is>
      </c>
      <c r="H232" s="1" t="n">
        <v>1202522</v>
      </c>
      <c r="I232" s="1" t="n">
        <v>3374777</v>
      </c>
      <c r="J232" s="9" t="n">
        <v>0.356</v>
      </c>
      <c r="K232" s="1" t="inlineStr">
        <is>
          <t>Yes</t>
        </is>
      </c>
      <c r="L232" s="1" t="inlineStr">
        <is>
          <t>Yes</t>
        </is>
      </c>
      <c r="M232" s="1" t="inlineStr">
        <is>
          <t>No</t>
        </is>
      </c>
      <c r="N232" s="1" t="inlineStr">
        <is>
          <t>Algorithms</t>
        </is>
      </c>
      <c r="O2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3" ht="15.75" customHeight="1" s="12">
      <c r="A233" s="1" t="n">
        <v>525</v>
      </c>
      <c r="B233" s="3">
        <f>HYPERLINK("https://leetcode.com/problems/contiguous-array/", "Contiguous Array")</f>
        <v/>
      </c>
      <c r="C233" s="1" t="n">
        <v>8662</v>
      </c>
      <c r="D233" s="1" t="n">
        <v>441</v>
      </c>
      <c r="E233" s="4">
        <f>IF(INDEX(C:C, ROW())+INDEX(D:D, ROW())=0, 0, INDEX(C:C, ROW())/(INDEX(C:C, ROW())+INDEX(D:D, ROW())))</f>
        <v/>
      </c>
      <c r="F233" s="1" t="inlineStr">
        <is>
          <t>Array, Hash Table, Prefix Sum</t>
        </is>
      </c>
      <c r="G233" s="1" t="inlineStr">
        <is>
          <t>Medium</t>
        </is>
      </c>
      <c r="H233" s="1" t="n">
        <v>631333</v>
      </c>
      <c r="I233" s="1" t="n">
        <v>1250776</v>
      </c>
      <c r="J233" s="9" t="n">
        <v>0.505</v>
      </c>
      <c r="K233" s="1" t="inlineStr">
        <is>
          <t>Yes</t>
        </is>
      </c>
      <c r="L233" s="1" t="inlineStr">
        <is>
          <t>Yes</t>
        </is>
      </c>
      <c r="M233" s="1" t="inlineStr">
        <is>
          <t>No</t>
        </is>
      </c>
      <c r="N233" s="1" t="inlineStr">
        <is>
          <t>Algorithms</t>
        </is>
      </c>
      <c r="O2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4" ht="15.75" customHeight="1" s="12">
      <c r="A234" s="1" t="n">
        <v>1480</v>
      </c>
      <c r="B234" s="3">
        <f>HYPERLINK("https://leetcode.com/problems/running-sum-of-1d-array/", "Running Sum of 1d Array")</f>
        <v/>
      </c>
      <c r="C234" s="1" t="n">
        <v>8625</v>
      </c>
      <c r="D234" s="1" t="n">
        <v>367</v>
      </c>
      <c r="E234" s="4">
        <f>IF(INDEX(C:C, ROW())+INDEX(D:D, ROW())=0, 0, INDEX(C:C, ROW())/(INDEX(C:C, ROW())+INDEX(D:D, ROW())))</f>
        <v/>
      </c>
      <c r="F234" s="1" t="inlineStr">
        <is>
          <t>Array, Prefix Sum</t>
        </is>
      </c>
      <c r="G234" s="1" t="inlineStr">
        <is>
          <t>Easy</t>
        </is>
      </c>
      <c r="H234" s="1" t="n">
        <v>2277548</v>
      </c>
      <c r="I234" s="1" t="n">
        <v>2621916</v>
      </c>
      <c r="J234" s="9" t="n">
        <v>0.869</v>
      </c>
      <c r="K234" s="1" t="inlineStr">
        <is>
          <t>Yes</t>
        </is>
      </c>
      <c r="L234" s="1" t="inlineStr">
        <is>
          <t>Yes</t>
        </is>
      </c>
      <c r="M234" s="1" t="inlineStr">
        <is>
          <t>Yes</t>
        </is>
      </c>
      <c r="N234" s="1" t="inlineStr">
        <is>
          <t>Algorithms</t>
        </is>
      </c>
      <c r="O2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5" ht="15.75" customHeight="1" s="12">
      <c r="A235" s="1" t="n">
        <v>106</v>
      </c>
      <c r="B235" s="3">
        <f>HYPERLINK("https://leetcode.com/problems/construct-binary-tree-from-inorder-and-postorder-traversal/", "Construct Binary Tree from Inorder and Postorder Traversal")</f>
        <v/>
      </c>
      <c r="C235" s="1" t="n">
        <v>8621</v>
      </c>
      <c r="D235" s="1" t="n">
        <v>154</v>
      </c>
      <c r="E235" s="4">
        <f>IF(INDEX(C:C, ROW())+INDEX(D:D, ROW())=0, 0, INDEX(C:C, ROW())/(INDEX(C:C, ROW())+INDEX(D:D, ROW())))</f>
        <v/>
      </c>
      <c r="F235" s="1" t="inlineStr">
        <is>
          <t>Array, Hash Table, Divide and Conquer, Tree, Binary Tree</t>
        </is>
      </c>
      <c r="G235" s="1" t="inlineStr">
        <is>
          <t>Medium</t>
        </is>
      </c>
      <c r="H235" s="1" t="n">
        <v>907105</v>
      </c>
      <c r="I235" s="1" t="n">
        <v>1338620</v>
      </c>
      <c r="J235" s="9" t="n">
        <v>0.678</v>
      </c>
      <c r="K235" s="1" t="inlineStr">
        <is>
          <t>Yes</t>
        </is>
      </c>
      <c r="L235" s="1" t="inlineStr">
        <is>
          <t>Yes</t>
        </is>
      </c>
      <c r="M235" s="1" t="inlineStr">
        <is>
          <t>No</t>
        </is>
      </c>
      <c r="N235" s="1" t="inlineStr">
        <is>
          <t>Algorithms</t>
        </is>
      </c>
      <c r="O2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6" ht="15.75" customHeight="1" s="12">
      <c r="A236" s="1" t="n">
        <v>417</v>
      </c>
      <c r="B236" s="3">
        <f>HYPERLINK("https://leetcode.com/problems/pacific-atlantic-water-flow/", "Pacific Atlantic Water Flow")</f>
        <v/>
      </c>
      <c r="C236" s="1" t="n">
        <v>8610</v>
      </c>
      <c r="D236" s="1" t="n">
        <v>1799</v>
      </c>
      <c r="E236" s="4">
        <f>IF(INDEX(C:C, ROW())+INDEX(D:D, ROW())=0, 0, INDEX(C:C, ROW())/(INDEX(C:C, ROW())+INDEX(D:D, ROW())))</f>
        <v/>
      </c>
      <c r="F236" s="1" t="inlineStr">
        <is>
          <t>Array, Depth-First Search, Breadth-First Search, Matrix</t>
        </is>
      </c>
      <c r="G236" s="1" t="inlineStr">
        <is>
          <t>Medium</t>
        </is>
      </c>
      <c r="H236" s="1" t="n">
        <v>767404</v>
      </c>
      <c r="I236" s="1" t="n">
        <v>1270313</v>
      </c>
      <c r="J236" s="9" t="n">
        <v>0.604</v>
      </c>
      <c r="K236" s="1" t="inlineStr">
        <is>
          <t>Yes</t>
        </is>
      </c>
      <c r="L236" s="1" t="inlineStr">
        <is>
          <t>Yes</t>
        </is>
      </c>
      <c r="M236" s="1" t="inlineStr">
        <is>
          <t>No</t>
        </is>
      </c>
      <c r="N236" s="1" t="inlineStr">
        <is>
          <t>Algorithms</t>
        </is>
      </c>
      <c r="O2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7" ht="15.75" customHeight="1" s="12">
      <c r="A237" s="1" t="n">
        <v>129</v>
      </c>
      <c r="B237" s="3">
        <f>HYPERLINK("https://leetcode.com/problems/sum-root-to-leaf-numbers/", "Sum Root to Leaf Numbers")</f>
        <v/>
      </c>
      <c r="C237" s="1" t="n">
        <v>8580</v>
      </c>
      <c r="D237" s="1" t="n">
        <v>157</v>
      </c>
      <c r="E237" s="4">
        <f>IF(INDEX(C:C, ROW())+INDEX(D:D, ROW())=0, 0, INDEX(C:C, ROW())/(INDEX(C:C, ROW())+INDEX(D:D, ROW())))</f>
        <v/>
      </c>
      <c r="F237" s="1" t="inlineStr">
        <is>
          <t>Tree, Depth-First Search, Binary Tree</t>
        </is>
      </c>
      <c r="G237" s="1" t="inlineStr">
        <is>
          <t>Medium</t>
        </is>
      </c>
      <c r="H237" s="1" t="n">
        <v>1224284</v>
      </c>
      <c r="I237" s="1" t="n">
        <v>1763741</v>
      </c>
      <c r="J237" s="9" t="n">
        <v>0.694</v>
      </c>
      <c r="K237" s="1" t="inlineStr">
        <is>
          <t>Yes</t>
        </is>
      </c>
      <c r="L237" s="1" t="inlineStr">
        <is>
          <t>Yes</t>
        </is>
      </c>
      <c r="M237" s="1" t="inlineStr">
        <is>
          <t>No</t>
        </is>
      </c>
      <c r="N237" s="1" t="inlineStr">
        <is>
          <t>Algorithms</t>
        </is>
      </c>
      <c r="O2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8" ht="15.75" customHeight="1" s="12">
      <c r="A238" s="1" t="n">
        <v>137</v>
      </c>
      <c r="B238" s="3">
        <f>HYPERLINK("https://leetcode.com/problems/single-number-ii/", "Single Number II")</f>
        <v/>
      </c>
      <c r="C238" s="1" t="n">
        <v>8566</v>
      </c>
      <c r="D238" s="1" t="n">
        <v>746</v>
      </c>
      <c r="E238" s="4">
        <f>IF(INDEX(C:C, ROW())+INDEX(D:D, ROW())=0, 0, INDEX(C:C, ROW())/(INDEX(C:C, ROW())+INDEX(D:D, ROW())))</f>
        <v/>
      </c>
      <c r="F238" s="1" t="inlineStr">
        <is>
          <t>Array, Bit Manipulation</t>
        </is>
      </c>
      <c r="G238" s="1" t="inlineStr">
        <is>
          <t>Medium</t>
        </is>
      </c>
      <c r="H238" s="1" t="n">
        <v>839269</v>
      </c>
      <c r="I238" s="1" t="n">
        <v>1262563</v>
      </c>
      <c r="J238" s="9" t="n">
        <v>0.665</v>
      </c>
      <c r="K238" s="1" t="inlineStr">
        <is>
          <t>Yes</t>
        </is>
      </c>
      <c r="L238" s="1" t="inlineStr">
        <is>
          <t>Yes</t>
        </is>
      </c>
      <c r="M238" s="1" t="inlineStr">
        <is>
          <t>No</t>
        </is>
      </c>
      <c r="N238" s="1" t="inlineStr">
        <is>
          <t>Algorithms</t>
        </is>
      </c>
      <c r="O2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9" ht="15.75" customHeight="1" s="12">
      <c r="A239" s="1" t="n">
        <v>113</v>
      </c>
      <c r="B239" s="3">
        <f>HYPERLINK("https://leetcode.com/problems/path-sum-ii/", "Path Sum II")</f>
        <v/>
      </c>
      <c r="C239" s="1" t="n">
        <v>8551</v>
      </c>
      <c r="D239" s="1" t="n">
        <v>170</v>
      </c>
      <c r="E239" s="4">
        <f>IF(INDEX(C:C, ROW())+INDEX(D:D, ROW())=0, 0, INDEX(C:C, ROW())/(INDEX(C:C, ROW())+INDEX(D:D, ROW())))</f>
        <v/>
      </c>
      <c r="F239" s="1" t="inlineStr">
        <is>
          <t>Backtracking, Tree, Depth-First Search, Binary Tree</t>
        </is>
      </c>
      <c r="G239" s="1" t="inlineStr">
        <is>
          <t>Medium</t>
        </is>
      </c>
      <c r="H239" s="1" t="n">
        <v>1123333</v>
      </c>
      <c r="I239" s="1" t="n">
        <v>1824776</v>
      </c>
      <c r="J239" s="9" t="n">
        <v>0.616</v>
      </c>
      <c r="K239" s="1" t="inlineStr">
        <is>
          <t>Yes</t>
        </is>
      </c>
      <c r="L239" s="1" t="inlineStr">
        <is>
          <t>Yes</t>
        </is>
      </c>
      <c r="M239" s="1" t="inlineStr">
        <is>
          <t>No</t>
        </is>
      </c>
      <c r="N239" s="1" t="inlineStr">
        <is>
          <t>Algorithms</t>
        </is>
      </c>
      <c r="O2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0" ht="15.75" customHeight="1" s="12">
      <c r="A240" s="1" t="n">
        <v>150</v>
      </c>
      <c r="B240" s="3">
        <f>HYPERLINK("https://leetcode.com/problems/evaluate-reverse-polish-notation/", "Evaluate Reverse Polish Notation")</f>
        <v/>
      </c>
      <c r="C240" s="1" t="n">
        <v>8539</v>
      </c>
      <c r="D240" s="1" t="n">
        <v>1176</v>
      </c>
      <c r="E240" s="4">
        <f>IF(INDEX(C:C, ROW())+INDEX(D:D, ROW())=0, 0, INDEX(C:C, ROW())/(INDEX(C:C, ROW())+INDEX(D:D, ROW())))</f>
        <v/>
      </c>
      <c r="F240" s="1" t="inlineStr">
        <is>
          <t>Array, Math, Stack</t>
        </is>
      </c>
      <c r="G240" s="1" t="inlineStr">
        <is>
          <t>Medium</t>
        </is>
      </c>
      <c r="H240" s="1" t="n">
        <v>1621356</v>
      </c>
      <c r="I240" s="1" t="n">
        <v>2860780</v>
      </c>
      <c r="J240" s="9" t="n">
        <v>0.5669999999999999</v>
      </c>
      <c r="K240" s="1" t="inlineStr">
        <is>
          <t>Yes</t>
        </is>
      </c>
      <c r="L240" s="1" t="inlineStr">
        <is>
          <t>Yes</t>
        </is>
      </c>
      <c r="M240" s="1" t="inlineStr">
        <is>
          <t>No</t>
        </is>
      </c>
      <c r="N240" s="1" t="inlineStr">
        <is>
          <t>Algorithms</t>
        </is>
      </c>
      <c r="O2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1" ht="15.75" customHeight="1" s="12">
      <c r="A241" s="1" t="n">
        <v>987</v>
      </c>
      <c r="B241" s="3">
        <f>HYPERLINK("https://leetcode.com/problems/vertical-order-traversal-of-a-binary-tree/", "Vertical Order Traversal of a Binary Tree")</f>
        <v/>
      </c>
      <c r="C241" s="1" t="n">
        <v>8524</v>
      </c>
      <c r="D241" s="1" t="n">
        <v>4390</v>
      </c>
      <c r="E241" s="4">
        <f>IF(INDEX(C:C, ROW())+INDEX(D:D, ROW())=0, 0, INDEX(C:C, ROW())/(INDEX(C:C, ROW())+INDEX(D:D, ROW())))</f>
        <v/>
      </c>
      <c r="F241" s="1" t="inlineStr">
        <is>
          <t>Hash Table, Tree, Depth-First Search, Breadth-First Search, Sorting, Binary Tree</t>
        </is>
      </c>
      <c r="G241" s="1" t="inlineStr">
        <is>
          <t>Hard</t>
        </is>
      </c>
      <c r="H241" s="1" t="n">
        <v>681774</v>
      </c>
      <c r="I241" s="1" t="n">
        <v>1286860</v>
      </c>
      <c r="J241" s="9" t="n">
        <v>0.53</v>
      </c>
      <c r="K241" s="1" t="inlineStr">
        <is>
          <t>Yes</t>
        </is>
      </c>
      <c r="L241" s="1" t="inlineStr">
        <is>
          <t>Yes</t>
        </is>
      </c>
      <c r="M241" s="1" t="inlineStr">
        <is>
          <t>Yes</t>
        </is>
      </c>
      <c r="N241" s="1" t="inlineStr">
        <is>
          <t>Algorithms</t>
        </is>
      </c>
      <c r="O2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2" ht="15.75" customHeight="1" s="12">
      <c r="A242" s="1" t="n">
        <v>99</v>
      </c>
      <c r="B242" s="3">
        <f>HYPERLINK("https://leetcode.com/problems/recover-binary-search-tree/", "Recover Binary Search Tree")</f>
        <v/>
      </c>
      <c r="C242" s="1" t="n">
        <v>8519</v>
      </c>
      <c r="D242" s="1" t="n">
        <v>287</v>
      </c>
      <c r="E242" s="4">
        <f>IF(INDEX(C:C, ROW())+INDEX(D:D, ROW())=0, 0, INDEX(C:C, ROW())/(INDEX(C:C, ROW())+INDEX(D:D, ROW())))</f>
        <v/>
      </c>
      <c r="F242" s="1" t="inlineStr">
        <is>
          <t>Tree, Depth-First Search, Binary Search Tree, Binary Tree</t>
        </is>
      </c>
      <c r="G242" s="1" t="inlineStr">
        <is>
          <t>Medium</t>
        </is>
      </c>
      <c r="H242" s="1" t="n">
        <v>625525</v>
      </c>
      <c r="I242" s="1" t="n">
        <v>1070566</v>
      </c>
      <c r="J242" s="9" t="n">
        <v>0.584</v>
      </c>
      <c r="K242" s="1" t="inlineStr">
        <is>
          <t>Yes</t>
        </is>
      </c>
      <c r="L242" s="1" t="inlineStr">
        <is>
          <t>Yes</t>
        </is>
      </c>
      <c r="M242" s="1" t="inlineStr">
        <is>
          <t>No</t>
        </is>
      </c>
      <c r="N242" s="1" t="inlineStr">
        <is>
          <t>Algorithms</t>
        </is>
      </c>
      <c r="O2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3" ht="15.75" customHeight="1" s="12">
      <c r="A243" s="1" t="n">
        <v>232</v>
      </c>
      <c r="B243" s="3">
        <f>HYPERLINK("https://leetcode.com/problems/implement-queue-using-stacks/", "Implement Queue using Stacks")</f>
        <v/>
      </c>
      <c r="C243" s="1" t="n">
        <v>8492</v>
      </c>
      <c r="D243" s="1" t="n">
        <v>481</v>
      </c>
      <c r="E243" s="4">
        <f>IF(INDEX(C:C, ROW())+INDEX(D:D, ROW())=0, 0, INDEX(C:C, ROW())/(INDEX(C:C, ROW())+INDEX(D:D, ROW())))</f>
        <v/>
      </c>
      <c r="F243" s="1" t="inlineStr">
        <is>
          <t>Stack, Design, Queue</t>
        </is>
      </c>
      <c r="G243" s="1" t="inlineStr">
        <is>
          <t>Easy</t>
        </is>
      </c>
      <c r="H243" s="1" t="n">
        <v>1384708</v>
      </c>
      <c r="I243" s="1" t="n">
        <v>2003766</v>
      </c>
      <c r="J243" s="9" t="n">
        <v>0.6909999999999999</v>
      </c>
      <c r="K243" s="1" t="inlineStr">
        <is>
          <t>Yes</t>
        </is>
      </c>
      <c r="L243" s="1" t="inlineStr">
        <is>
          <t>Yes</t>
        </is>
      </c>
      <c r="M243" s="1" t="inlineStr">
        <is>
          <t>No</t>
        </is>
      </c>
      <c r="N243" s="1" t="inlineStr">
        <is>
          <t>Algorithms</t>
        </is>
      </c>
      <c r="O2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4" ht="15.75" customHeight="1" s="12">
      <c r="A244" s="1" t="n">
        <v>852</v>
      </c>
      <c r="B244" s="3">
        <f>HYPERLINK("https://leetcode.com/problems/peak-index-in-a-mountain-array/", "Peak Index in a Mountain Array")</f>
        <v/>
      </c>
      <c r="C244" s="1" t="n">
        <v>8387</v>
      </c>
      <c r="D244" s="1" t="n">
        <v>1949</v>
      </c>
      <c r="E244" s="4">
        <f>IF(INDEX(C:C, ROW())+INDEX(D:D, ROW())=0, 0, INDEX(C:C, ROW())/(INDEX(C:C, ROW())+INDEX(D:D, ROW())))</f>
        <v/>
      </c>
      <c r="F244" s="1" t="inlineStr">
        <is>
          <t>Array, Binary Search</t>
        </is>
      </c>
      <c r="G244" s="1" t="inlineStr">
        <is>
          <t>Medium</t>
        </is>
      </c>
      <c r="H244" s="1" t="n">
        <v>1136092</v>
      </c>
      <c r="I244" s="1" t="n">
        <v>1695416</v>
      </c>
      <c r="J244" s="9" t="n">
        <v>0.67</v>
      </c>
      <c r="K244" s="1" t="inlineStr">
        <is>
          <t>Yes</t>
        </is>
      </c>
      <c r="L244" s="1" t="inlineStr">
        <is>
          <t>Yes</t>
        </is>
      </c>
      <c r="M244" s="1" t="inlineStr">
        <is>
          <t>No</t>
        </is>
      </c>
      <c r="N244" s="1" t="inlineStr">
        <is>
          <t>Algorithms</t>
        </is>
      </c>
      <c r="O2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5" ht="15.75" customHeight="1" s="12">
      <c r="A245" s="1" t="n">
        <v>12</v>
      </c>
      <c r="B245" s="3">
        <f>HYPERLINK("https://leetcode.com/problems/integer-to-roman/", "Integer to Roman")</f>
        <v/>
      </c>
      <c r="C245" s="1" t="n">
        <v>8383</v>
      </c>
      <c r="D245" s="1" t="n">
        <v>5709</v>
      </c>
      <c r="E245" s="4">
        <f>IF(INDEX(C:C, ROW())+INDEX(D:D, ROW())=0, 0, INDEX(C:C, ROW())/(INDEX(C:C, ROW())+INDEX(D:D, ROW())))</f>
        <v/>
      </c>
      <c r="F245" s="1" t="inlineStr">
        <is>
          <t>Hash Table, Math, String</t>
        </is>
      </c>
      <c r="G245" s="1" t="inlineStr">
        <is>
          <t>Medium</t>
        </is>
      </c>
      <c r="H245" s="1" t="n">
        <v>2003176</v>
      </c>
      <c r="I245" s="1" t="n">
        <v>2854997</v>
      </c>
      <c r="J245" s="9" t="n">
        <v>0.702</v>
      </c>
      <c r="K245" s="1" t="inlineStr">
        <is>
          <t>Yes</t>
        </is>
      </c>
      <c r="L245" s="1" t="inlineStr">
        <is>
          <t>Yes</t>
        </is>
      </c>
      <c r="M245" s="1" t="inlineStr">
        <is>
          <t>Yes</t>
        </is>
      </c>
      <c r="N245" s="1" t="inlineStr">
        <is>
          <t>Algorithms</t>
        </is>
      </c>
      <c r="O2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6" ht="15.75" customHeight="1" s="12">
      <c r="A246" s="1" t="n">
        <v>743</v>
      </c>
      <c r="B246" s="3">
        <f>HYPERLINK("https://leetcode.com/problems/network-delay-time/", "Network Delay Time")</f>
        <v/>
      </c>
      <c r="C246" s="1" t="n">
        <v>8276</v>
      </c>
      <c r="D246" s="1" t="n">
        <v>389</v>
      </c>
      <c r="E246" s="4">
        <f>IF(INDEX(C:C, ROW())+INDEX(D:D, ROW())=0, 0, INDEX(C:C, ROW())/(INDEX(C:C, ROW())+INDEX(D:D, ROW())))</f>
        <v/>
      </c>
      <c r="F246" s="1" t="inlineStr">
        <is>
          <t>Depth-First Search, Breadth-First Search, Graph Theory, Heap (Priority Queue), Shortest Path</t>
        </is>
      </c>
      <c r="G246" s="1" t="inlineStr">
        <is>
          <t>Medium</t>
        </is>
      </c>
      <c r="H246" s="1" t="n">
        <v>809875</v>
      </c>
      <c r="I246" s="1" t="n">
        <v>1363473</v>
      </c>
      <c r="J246" s="9" t="n">
        <v>0.594</v>
      </c>
      <c r="K246" s="1" t="inlineStr">
        <is>
          <t>Yes</t>
        </is>
      </c>
      <c r="L246" s="1" t="inlineStr">
        <is>
          <t>Yes</t>
        </is>
      </c>
      <c r="M246" s="1" t="inlineStr">
        <is>
          <t>No</t>
        </is>
      </c>
      <c r="N246" s="1" t="inlineStr">
        <is>
          <t>Algorithms</t>
        </is>
      </c>
      <c r="O2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7" ht="15.75" customHeight="1" s="12">
      <c r="A247" s="1" t="n">
        <v>350</v>
      </c>
      <c r="B247" s="3">
        <f>HYPERLINK("https://leetcode.com/problems/intersection-of-two-arrays-ii/", "Intersection of Two Arrays II")</f>
        <v/>
      </c>
      <c r="C247" s="1" t="n">
        <v>8123</v>
      </c>
      <c r="D247" s="1" t="n">
        <v>1009</v>
      </c>
      <c r="E247" s="4">
        <f>IF(INDEX(C:C, ROW())+INDEX(D:D, ROW())=0, 0, INDEX(C:C, ROW())/(INDEX(C:C, ROW())+INDEX(D:D, ROW())))</f>
        <v/>
      </c>
      <c r="F247" s="1" t="inlineStr">
        <is>
          <t>Array, Hash Table, Two Pointers, Binary Search, Sorting</t>
        </is>
      </c>
      <c r="G247" s="1" t="inlineStr">
        <is>
          <t>Easy</t>
        </is>
      </c>
      <c r="H247" s="1" t="n">
        <v>1680552</v>
      </c>
      <c r="I247" s="1" t="n">
        <v>2822438</v>
      </c>
      <c r="J247" s="9" t="n">
        <v>0.595</v>
      </c>
      <c r="K247" s="1" t="inlineStr">
        <is>
          <t>Yes</t>
        </is>
      </c>
      <c r="L247" s="1" t="inlineStr">
        <is>
          <t>Yes</t>
        </is>
      </c>
      <c r="M247" s="1" t="inlineStr">
        <is>
          <t>No</t>
        </is>
      </c>
      <c r="N247" s="1" t="inlineStr">
        <is>
          <t>Algorithms</t>
        </is>
      </c>
      <c r="O2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8" ht="15.75" customHeight="1" s="12">
      <c r="A248" s="1" t="n">
        <v>80</v>
      </c>
      <c r="B248" s="3">
        <f>HYPERLINK("https://leetcode.com/problems/remove-duplicates-from-sorted-array-ii/", "Remove Duplicates from Sorted Array II")</f>
        <v/>
      </c>
      <c r="C248" s="1" t="n">
        <v>8093</v>
      </c>
      <c r="D248" s="1" t="n">
        <v>1506</v>
      </c>
      <c r="E248" s="4">
        <f>IF(INDEX(C:C, ROW())+INDEX(D:D, ROW())=0, 0, INDEX(C:C, ROW())/(INDEX(C:C, ROW())+INDEX(D:D, ROW())))</f>
        <v/>
      </c>
      <c r="F248" s="1" t="inlineStr">
        <is>
          <t>Array, Two Pointers</t>
        </is>
      </c>
      <c r="G248" s="1" t="inlineStr">
        <is>
          <t>Medium</t>
        </is>
      </c>
      <c r="H248" s="1" t="n">
        <v>1812531</v>
      </c>
      <c r="I248" s="1" t="n">
        <v>2828819</v>
      </c>
      <c r="J248" s="9" t="n">
        <v>0.641</v>
      </c>
      <c r="K248" s="1" t="inlineStr">
        <is>
          <t>Yes</t>
        </is>
      </c>
      <c r="L248" s="1" t="inlineStr">
        <is>
          <t>Yes</t>
        </is>
      </c>
      <c r="M248" s="1" t="inlineStr">
        <is>
          <t>No</t>
        </is>
      </c>
      <c r="N248" s="1" t="inlineStr">
        <is>
          <t>Algorithms</t>
        </is>
      </c>
      <c r="O2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9" ht="15.75" customHeight="1" s="12">
      <c r="A249" s="1" t="n">
        <v>211</v>
      </c>
      <c r="B249" s="3">
        <f>HYPERLINK("https://leetcode.com/problems/design-add-and-search-words-data-structure/", "Design Add and Search Words Data Structure")</f>
        <v/>
      </c>
      <c r="C249" s="1" t="n">
        <v>8034</v>
      </c>
      <c r="D249" s="1" t="n">
        <v>490</v>
      </c>
      <c r="E249" s="4">
        <f>IF(INDEX(C:C, ROW())+INDEX(D:D, ROW())=0, 0, INDEX(C:C, ROW())/(INDEX(C:C, ROW())+INDEX(D:D, ROW())))</f>
        <v/>
      </c>
      <c r="F249" s="1" t="inlineStr">
        <is>
          <t>String, Depth-First Search, Design, Trie</t>
        </is>
      </c>
      <c r="G249" s="1" t="inlineStr">
        <is>
          <t>Medium</t>
        </is>
      </c>
      <c r="H249" s="1" t="n">
        <v>852494</v>
      </c>
      <c r="I249" s="1" t="n">
        <v>1776158</v>
      </c>
      <c r="J249" s="9" t="n">
        <v>0.48</v>
      </c>
      <c r="K249" s="1" t="inlineStr">
        <is>
          <t>Yes</t>
        </is>
      </c>
      <c r="L249" s="1" t="inlineStr">
        <is>
          <t>Yes</t>
        </is>
      </c>
      <c r="M249" s="1" t="inlineStr">
        <is>
          <t>No</t>
        </is>
      </c>
      <c r="N249" s="1" t="inlineStr">
        <is>
          <t>Algorithms</t>
        </is>
      </c>
      <c r="O2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0" ht="15.75" customHeight="1" s="12">
      <c r="A250" s="1" t="n">
        <v>452</v>
      </c>
      <c r="B250" s="3">
        <f>HYPERLINK("https://leetcode.com/problems/minimum-number-of-arrows-to-burst-balloons/", "Minimum Number of Arrows to Burst Balloons")</f>
        <v/>
      </c>
      <c r="C250" s="1" t="n">
        <v>8010</v>
      </c>
      <c r="D250" s="1" t="n">
        <v>266</v>
      </c>
      <c r="E250" s="4">
        <f>IF(INDEX(C:C, ROW())+INDEX(D:D, ROW())=0, 0, INDEX(C:C, ROW())/(INDEX(C:C, ROW())+INDEX(D:D, ROW())))</f>
        <v/>
      </c>
      <c r="F250" s="1" t="inlineStr">
        <is>
          <t>Array, Greedy, Sorting</t>
        </is>
      </c>
      <c r="G250" s="1" t="inlineStr">
        <is>
          <t>Medium</t>
        </is>
      </c>
      <c r="H250" s="1" t="n">
        <v>747783</v>
      </c>
      <c r="I250" s="1" t="n">
        <v>1224532</v>
      </c>
      <c r="J250" s="9" t="n">
        <v>0.611</v>
      </c>
      <c r="K250" s="1" t="inlineStr">
        <is>
          <t>Yes</t>
        </is>
      </c>
      <c r="L250" s="1" t="inlineStr">
        <is>
          <t>Yes</t>
        </is>
      </c>
      <c r="M250" s="1" t="inlineStr">
        <is>
          <t>No</t>
        </is>
      </c>
      <c r="N250" s="1" t="inlineStr">
        <is>
          <t>Algorithms</t>
        </is>
      </c>
      <c r="O2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1" ht="15.75" customHeight="1" s="12">
      <c r="A251" s="1" t="n">
        <v>581</v>
      </c>
      <c r="B251" s="3">
        <f>HYPERLINK("https://leetcode.com/problems/shortest-unsorted-continuous-subarray/", "Shortest Unsorted Continuous Subarray")</f>
        <v/>
      </c>
      <c r="C251" s="1" t="n">
        <v>7989</v>
      </c>
      <c r="D251" s="1" t="n">
        <v>274</v>
      </c>
      <c r="E251" s="4">
        <f>IF(INDEX(C:C, ROW())+INDEX(D:D, ROW())=0, 0, INDEX(C:C, ROW())/(INDEX(C:C, ROW())+INDEX(D:D, ROW())))</f>
        <v/>
      </c>
      <c r="F251" s="1" t="inlineStr">
        <is>
          <t>Array, Two Pointers, Stack, Greedy, Sorting, Monotonic Stack</t>
        </is>
      </c>
      <c r="G251" s="1" t="inlineStr">
        <is>
          <t>Medium</t>
        </is>
      </c>
      <c r="H251" s="1" t="n">
        <v>381094</v>
      </c>
      <c r="I251" s="1" t="n">
        <v>1005951</v>
      </c>
      <c r="J251" s="9" t="n">
        <v>0.379</v>
      </c>
      <c r="K251" s="1" t="inlineStr">
        <is>
          <t>Yes</t>
        </is>
      </c>
      <c r="L251" s="1" t="inlineStr">
        <is>
          <t>Yes</t>
        </is>
      </c>
      <c r="M251" s="1" t="inlineStr">
        <is>
          <t>No</t>
        </is>
      </c>
      <c r="N251" s="1" t="inlineStr">
        <is>
          <t>Algorithms</t>
        </is>
      </c>
      <c r="O2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2" ht="15.75" customHeight="1" s="12">
      <c r="A252" s="1" t="n">
        <v>692</v>
      </c>
      <c r="B252" s="3">
        <f>HYPERLINK("https://leetcode.com/problems/top-k-frequent-words/", "Top K Frequent Words")</f>
        <v/>
      </c>
      <c r="C252" s="1" t="n">
        <v>7977</v>
      </c>
      <c r="D252" s="1" t="n">
        <v>372</v>
      </c>
      <c r="E252" s="4">
        <f>IF(INDEX(C:C, ROW())+INDEX(D:D, ROW())=0, 0, INDEX(C:C, ROW())/(INDEX(C:C, ROW())+INDEX(D:D, ROW())))</f>
        <v/>
      </c>
      <c r="F252" s="1" t="inlineStr">
        <is>
          <t>Array, Hash Table, String, Trie, Sorting, Heap (Priority Queue), Bucket Sort, Counting</t>
        </is>
      </c>
      <c r="G252" s="1" t="inlineStr">
        <is>
          <t>Medium</t>
        </is>
      </c>
      <c r="H252" s="1" t="n">
        <v>761491</v>
      </c>
      <c r="I252" s="1" t="n">
        <v>1272058</v>
      </c>
      <c r="J252" s="9" t="n">
        <v>0.599</v>
      </c>
      <c r="K252" s="1" t="inlineStr">
        <is>
          <t>Yes</t>
        </is>
      </c>
      <c r="L252" s="1" t="inlineStr">
        <is>
          <t>Yes</t>
        </is>
      </c>
      <c r="M252" s="1" t="inlineStr">
        <is>
          <t>No</t>
        </is>
      </c>
      <c r="N252" s="1" t="inlineStr">
        <is>
          <t>Algorithms</t>
        </is>
      </c>
      <c r="O2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3" ht="15.75" customHeight="1" s="12">
      <c r="A253" s="1" t="n">
        <v>86</v>
      </c>
      <c r="B253" s="3">
        <f>HYPERLINK("https://leetcode.com/problems/partition-list/", "Partition List")</f>
        <v/>
      </c>
      <c r="C253" s="1" t="n">
        <v>7960</v>
      </c>
      <c r="D253" s="1" t="n">
        <v>978</v>
      </c>
      <c r="E253" s="4">
        <f>IF(INDEX(C:C, ROW())+INDEX(D:D, ROW())=0, 0, INDEX(C:C, ROW())/(INDEX(C:C, ROW())+INDEX(D:D, ROW())))</f>
        <v/>
      </c>
      <c r="F253" s="1" t="inlineStr">
        <is>
          <t>Linked List, Two Pointers</t>
        </is>
      </c>
      <c r="G253" s="1" t="inlineStr">
        <is>
          <t>Medium</t>
        </is>
      </c>
      <c r="H253" s="1" t="n">
        <v>862118</v>
      </c>
      <c r="I253" s="1" t="n">
        <v>1428247</v>
      </c>
      <c r="J253" s="9" t="n">
        <v>0.604</v>
      </c>
      <c r="K253" s="1" t="inlineStr">
        <is>
          <t>Yes</t>
        </is>
      </c>
      <c r="L253" s="1" t="inlineStr">
        <is>
          <t>Yes</t>
        </is>
      </c>
      <c r="M253" s="1" t="inlineStr">
        <is>
          <t>No</t>
        </is>
      </c>
      <c r="N253" s="1" t="inlineStr">
        <is>
          <t>Algorithms</t>
        </is>
      </c>
      <c r="O2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4" ht="15.75" customHeight="1" s="12">
      <c r="A254" s="1" t="n">
        <v>188</v>
      </c>
      <c r="B254" s="3">
        <f>HYPERLINK("https://leetcode.com/problems/best-time-to-buy-and-sell-stock-iv/", "Best Time to Buy and Sell Stock IV")</f>
        <v/>
      </c>
      <c r="C254" s="1" t="n">
        <v>7951</v>
      </c>
      <c r="D254" s="1" t="n">
        <v>223</v>
      </c>
      <c r="E254" s="4">
        <f>IF(INDEX(C:C, ROW())+INDEX(D:D, ROW())=0, 0, INDEX(C:C, ROW())/(INDEX(C:C, ROW())+INDEX(D:D, ROW())))</f>
        <v/>
      </c>
      <c r="F254" s="1" t="inlineStr">
        <is>
          <t>Array, Dynamic Programming</t>
        </is>
      </c>
      <c r="G254" s="1" t="inlineStr">
        <is>
          <t>Hard</t>
        </is>
      </c>
      <c r="H254" s="1" t="n">
        <v>681097</v>
      </c>
      <c r="I254" s="1" t="n">
        <v>1383515</v>
      </c>
      <c r="J254" s="9" t="n">
        <v>0.492</v>
      </c>
      <c r="K254" s="1" t="inlineStr">
        <is>
          <t>Yes</t>
        </is>
      </c>
      <c r="L254" s="1" t="inlineStr">
        <is>
          <t>Yes</t>
        </is>
      </c>
      <c r="M254" s="1" t="inlineStr">
        <is>
          <t>No</t>
        </is>
      </c>
      <c r="N254" s="1" t="inlineStr">
        <is>
          <t>Algorithms</t>
        </is>
      </c>
      <c r="O2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5" ht="15.75" customHeight="1" s="12">
      <c r="A255" s="1" t="n">
        <v>95</v>
      </c>
      <c r="B255" s="3">
        <f>HYPERLINK("https://leetcode.com/problems/unique-binary-search-trees-ii/", "Unique Binary Search Trees II")</f>
        <v/>
      </c>
      <c r="C255" s="1" t="n">
        <v>7914</v>
      </c>
      <c r="D255" s="1" t="n">
        <v>581</v>
      </c>
      <c r="E255" s="4">
        <f>IF(INDEX(C:C, ROW())+INDEX(D:D, ROW())=0, 0, INDEX(C:C, ROW())/(INDEX(C:C, ROW())+INDEX(D:D, ROW())))</f>
        <v/>
      </c>
      <c r="F255" s="1" t="inlineStr">
        <is>
          <t>Dynamic Programming, Backtracking, Tree, Binary Search Tree, Binary Tree</t>
        </is>
      </c>
      <c r="G255" s="1" t="inlineStr">
        <is>
          <t>Medium</t>
        </is>
      </c>
      <c r="H255" s="1" t="n">
        <v>557347</v>
      </c>
      <c r="I255" s="1" t="n">
        <v>903630</v>
      </c>
      <c r="J255" s="9" t="n">
        <v>0.617</v>
      </c>
      <c r="K255" s="1" t="inlineStr">
        <is>
          <t>Yes</t>
        </is>
      </c>
      <c r="L255" s="1" t="inlineStr">
        <is>
          <t>Yes</t>
        </is>
      </c>
      <c r="M255" s="1" t="inlineStr">
        <is>
          <t>No</t>
        </is>
      </c>
      <c r="N255" s="1" t="inlineStr">
        <is>
          <t>Algorithms</t>
        </is>
      </c>
      <c r="O2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6" ht="15.75" customHeight="1" s="12">
      <c r="A256" s="1" t="n">
        <v>740</v>
      </c>
      <c r="B256" s="3">
        <f>HYPERLINK("https://leetcode.com/problems/delete-and-earn/", "Delete and Earn")</f>
        <v/>
      </c>
      <c r="C256" s="1" t="n">
        <v>7914</v>
      </c>
      <c r="D256" s="1" t="n">
        <v>402</v>
      </c>
      <c r="E256" s="4">
        <f>IF(INDEX(C:C, ROW())+INDEX(D:D, ROW())=0, 0, INDEX(C:C, ROW())/(INDEX(C:C, ROW())+INDEX(D:D, ROW())))</f>
        <v/>
      </c>
      <c r="F256" s="1" t="inlineStr">
        <is>
          <t>Array, Hash Table, Dynamic Programming</t>
        </is>
      </c>
      <c r="G256" s="1" t="inlineStr">
        <is>
          <t>Medium</t>
        </is>
      </c>
      <c r="H256" s="1" t="n">
        <v>434288</v>
      </c>
      <c r="I256" s="1" t="n">
        <v>761612</v>
      </c>
      <c r="J256" s="9" t="n">
        <v>0.57</v>
      </c>
      <c r="K256" s="1" t="inlineStr">
        <is>
          <t>Yes</t>
        </is>
      </c>
      <c r="L256" s="1" t="inlineStr">
        <is>
          <t>Yes</t>
        </is>
      </c>
      <c r="M256" s="1" t="inlineStr">
        <is>
          <t>No</t>
        </is>
      </c>
      <c r="N256" s="1" t="inlineStr">
        <is>
          <t>Algorithms</t>
        </is>
      </c>
      <c r="O2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7" ht="15.75" customHeight="1" s="12">
      <c r="A257" s="1" t="n">
        <v>290</v>
      </c>
      <c r="B257" s="3">
        <f>HYPERLINK("https://leetcode.com/problems/word-pattern/", "Word Pattern")</f>
        <v/>
      </c>
      <c r="C257" s="1" t="n">
        <v>7893</v>
      </c>
      <c r="D257" s="1" t="n">
        <v>1134</v>
      </c>
      <c r="E257" s="4">
        <f>IF(INDEX(C:C, ROW())+INDEX(D:D, ROW())=0, 0, INDEX(C:C, ROW())/(INDEX(C:C, ROW())+INDEX(D:D, ROW())))</f>
        <v/>
      </c>
      <c r="F257" s="1" t="inlineStr">
        <is>
          <t>Hash Table, String</t>
        </is>
      </c>
      <c r="G257" s="1" t="inlineStr">
        <is>
          <t>Easy</t>
        </is>
      </c>
      <c r="H257" s="1" t="n">
        <v>1057341</v>
      </c>
      <c r="I257" s="1" t="n">
        <v>2421346</v>
      </c>
      <c r="J257" s="9" t="n">
        <v>0.437</v>
      </c>
      <c r="K257" s="1" t="inlineStr">
        <is>
          <t>Yes</t>
        </is>
      </c>
      <c r="L257" s="1" t="inlineStr">
        <is>
          <t>Yes</t>
        </is>
      </c>
      <c r="M257" s="1" t="inlineStr">
        <is>
          <t>No</t>
        </is>
      </c>
      <c r="N257" s="1" t="inlineStr">
        <is>
          <t>Algorithms</t>
        </is>
      </c>
      <c r="O2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8" ht="15.75" customHeight="1" s="12">
      <c r="A258" s="1" t="n">
        <v>844</v>
      </c>
      <c r="B258" s="3">
        <f>HYPERLINK("https://leetcode.com/problems/backspace-string-compare/", "Backspace String Compare")</f>
        <v/>
      </c>
      <c r="C258" s="1" t="n">
        <v>7884</v>
      </c>
      <c r="D258" s="1" t="n">
        <v>380</v>
      </c>
      <c r="E258" s="4">
        <f>IF(INDEX(C:C, ROW())+INDEX(D:D, ROW())=0, 0, INDEX(C:C, ROW())/(INDEX(C:C, ROW())+INDEX(D:D, ROW())))</f>
        <v/>
      </c>
      <c r="F258" s="1" t="inlineStr">
        <is>
          <t>Two Pointers, String, Stack, Simulation</t>
        </is>
      </c>
      <c r="G258" s="1" t="inlineStr">
        <is>
          <t>Easy</t>
        </is>
      </c>
      <c r="H258" s="1" t="n">
        <v>1011666</v>
      </c>
      <c r="I258" s="1" t="n">
        <v>2035141</v>
      </c>
      <c r="J258" s="9" t="n">
        <v>0.497</v>
      </c>
      <c r="K258" s="1" t="inlineStr">
        <is>
          <t>Yes</t>
        </is>
      </c>
      <c r="L258" s="1" t="inlineStr">
        <is>
          <t>Yes</t>
        </is>
      </c>
      <c r="M258" s="1" t="inlineStr">
        <is>
          <t>No</t>
        </is>
      </c>
      <c r="N258" s="1" t="inlineStr">
        <is>
          <t>Algorithms</t>
        </is>
      </c>
      <c r="O2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9" ht="15.75" customHeight="1" s="12">
      <c r="A259" s="1" t="n">
        <v>231</v>
      </c>
      <c r="B259" s="3">
        <f>HYPERLINK("https://leetcode.com/problems/power-of-two/", "Power of Two")</f>
        <v/>
      </c>
      <c r="C259" s="1" t="n">
        <v>7880</v>
      </c>
      <c r="D259" s="1" t="n">
        <v>495</v>
      </c>
      <c r="E259" s="4">
        <f>IF(INDEX(C:C, ROW())+INDEX(D:D, ROW())=0, 0, INDEX(C:C, ROW())/(INDEX(C:C, ROW())+INDEX(D:D, ROW())))</f>
        <v/>
      </c>
      <c r="F259" s="1" t="inlineStr">
        <is>
          <t>Math, Bit Manipulation, Recursion</t>
        </is>
      </c>
      <c r="G259" s="1" t="inlineStr">
        <is>
          <t>Easy</t>
        </is>
      </c>
      <c r="H259" s="1" t="n">
        <v>2086452</v>
      </c>
      <c r="I259" s="1" t="n">
        <v>4197992</v>
      </c>
      <c r="J259" s="9" t="n">
        <v>0.497</v>
      </c>
      <c r="K259" s="1" t="inlineStr">
        <is>
          <t>Yes</t>
        </is>
      </c>
      <c r="L259" s="1" t="inlineStr">
        <is>
          <t>Yes</t>
        </is>
      </c>
      <c r="M259" s="1" t="inlineStr">
        <is>
          <t>No</t>
        </is>
      </c>
      <c r="N259" s="1" t="inlineStr">
        <is>
          <t>Algorithms</t>
        </is>
      </c>
      <c r="O2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0" ht="15.75" customHeight="1" s="12">
      <c r="A260" s="1" t="n">
        <v>109</v>
      </c>
      <c r="B260" s="3">
        <f>HYPERLINK("https://leetcode.com/problems/convert-sorted-list-to-binary-search-tree/", "Convert Sorted List to Binary Search Tree")</f>
        <v/>
      </c>
      <c r="C260" s="1" t="n">
        <v>7831</v>
      </c>
      <c r="D260" s="1" t="n">
        <v>173</v>
      </c>
      <c r="E260" s="4">
        <f>IF(INDEX(C:C, ROW())+INDEX(D:D, ROW())=0, 0, INDEX(C:C, ROW())/(INDEX(C:C, ROW())+INDEX(D:D, ROW())))</f>
        <v/>
      </c>
      <c r="F260" s="1" t="inlineStr">
        <is>
          <t>Linked List, Divide and Conquer, Tree, Binary Search Tree, Binary Tree</t>
        </is>
      </c>
      <c r="G260" s="1" t="inlineStr">
        <is>
          <t>Medium</t>
        </is>
      </c>
      <c r="H260" s="1" t="n">
        <v>658725</v>
      </c>
      <c r="I260" s="1" t="n">
        <v>1002302</v>
      </c>
      <c r="J260" s="9" t="n">
        <v>0.657</v>
      </c>
      <c r="K260" s="1" t="inlineStr">
        <is>
          <t>Yes</t>
        </is>
      </c>
      <c r="L260" s="1" t="inlineStr">
        <is>
          <t>Yes</t>
        </is>
      </c>
      <c r="M260" s="1" t="inlineStr">
        <is>
          <t>Yes</t>
        </is>
      </c>
      <c r="N260" s="1" t="inlineStr">
        <is>
          <t>Algorithms</t>
        </is>
      </c>
      <c r="O2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1" ht="15.75" customHeight="1" s="12">
      <c r="A261" s="1" t="n">
        <v>1539</v>
      </c>
      <c r="B261" s="3">
        <f>HYPERLINK("https://leetcode.com/problems/kth-missing-positive-number/", "Kth Missing Positive Number")</f>
        <v/>
      </c>
      <c r="C261" s="1" t="n">
        <v>7814</v>
      </c>
      <c r="D261" s="1" t="n">
        <v>568</v>
      </c>
      <c r="E261" s="4">
        <f>IF(INDEX(C:C, ROW())+INDEX(D:D, ROW())=0, 0, INDEX(C:C, ROW())/(INDEX(C:C, ROW())+INDEX(D:D, ROW())))</f>
        <v/>
      </c>
      <c r="F261" s="1" t="inlineStr">
        <is>
          <t>Array, Binary Search</t>
        </is>
      </c>
      <c r="G261" s="1" t="inlineStr">
        <is>
          <t>Easy</t>
        </is>
      </c>
      <c r="H261" s="1" t="n">
        <v>786026</v>
      </c>
      <c r="I261" s="1" t="n">
        <v>1245928</v>
      </c>
      <c r="J261" s="9" t="n">
        <v>0.631</v>
      </c>
      <c r="K261" s="1" t="inlineStr">
        <is>
          <t>Yes</t>
        </is>
      </c>
      <c r="L261" s="1" t="inlineStr">
        <is>
          <t>Yes</t>
        </is>
      </c>
      <c r="M261" s="1" t="inlineStr">
        <is>
          <t>No</t>
        </is>
      </c>
      <c r="N261" s="1" t="inlineStr">
        <is>
          <t>Algorithms</t>
        </is>
      </c>
      <c r="O2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2" ht="15.75" customHeight="1" s="12">
      <c r="A262" s="1" t="n">
        <v>111</v>
      </c>
      <c r="B262" s="3">
        <f>HYPERLINK("https://leetcode.com/problems/minimum-depth-of-binary-tree/", "Minimum Depth of Binary Tree")</f>
        <v/>
      </c>
      <c r="C262" s="1" t="n">
        <v>7775</v>
      </c>
      <c r="D262" s="1" t="n">
        <v>1361</v>
      </c>
      <c r="E262" s="4">
        <f>IF(INDEX(C:C, ROW())+INDEX(D:D, ROW())=0, 0, INDEX(C:C, ROW())/(INDEX(C:C, ROW())+INDEX(D:D, ROW())))</f>
        <v/>
      </c>
      <c r="F262" s="1" t="inlineStr">
        <is>
          <t>Tree, Depth-First Search, Breadth-First Search, Binary Tree</t>
        </is>
      </c>
      <c r="G262" s="1" t="inlineStr">
        <is>
          <t>Easy</t>
        </is>
      </c>
      <c r="H262" s="1" t="n">
        <v>1595036</v>
      </c>
      <c r="I262" s="1" t="n">
        <v>3063223</v>
      </c>
      <c r="J262" s="9" t="n">
        <v>0.521</v>
      </c>
      <c r="K262" s="1" t="inlineStr">
        <is>
          <t>Yes</t>
        </is>
      </c>
      <c r="L262" s="1" t="inlineStr">
        <is>
          <t>Yes</t>
        </is>
      </c>
      <c r="M262" s="1" t="inlineStr">
        <is>
          <t>No</t>
        </is>
      </c>
      <c r="N262" s="1" t="inlineStr">
        <is>
          <t>Algorithms</t>
        </is>
      </c>
      <c r="O2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3" ht="15.75" customHeight="1" s="12">
      <c r="A263" s="1" t="n">
        <v>974</v>
      </c>
      <c r="B263" s="3">
        <f>HYPERLINK("https://leetcode.com/problems/subarray-sums-divisible-by-k/", "Subarray Sums Divisible by K")</f>
        <v/>
      </c>
      <c r="C263" s="1" t="n">
        <v>7768</v>
      </c>
      <c r="D263" s="1" t="n">
        <v>344</v>
      </c>
      <c r="E263" s="4">
        <f>IF(INDEX(C:C, ROW())+INDEX(D:D, ROW())=0, 0, INDEX(C:C, ROW())/(INDEX(C:C, ROW())+INDEX(D:D, ROW())))</f>
        <v/>
      </c>
      <c r="F263" s="1" t="inlineStr">
        <is>
          <t>Array, Hash Table, Prefix Sum</t>
        </is>
      </c>
      <c r="G263" s="1" t="inlineStr">
        <is>
          <t>Medium</t>
        </is>
      </c>
      <c r="H263" s="1" t="n">
        <v>456556</v>
      </c>
      <c r="I263" s="1" t="n">
        <v>816365</v>
      </c>
      <c r="J263" s="9" t="n">
        <v>0.5590000000000001</v>
      </c>
      <c r="K263" s="1" t="inlineStr">
        <is>
          <t>Yes</t>
        </is>
      </c>
      <c r="L263" s="1" t="inlineStr">
        <is>
          <t>Yes</t>
        </is>
      </c>
      <c r="M263" s="1" t="inlineStr">
        <is>
          <t>No</t>
        </is>
      </c>
      <c r="N263" s="1" t="inlineStr">
        <is>
          <t>Algorithms</t>
        </is>
      </c>
      <c r="O2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4" ht="15.75" customHeight="1" s="12">
      <c r="A264" s="1" t="n">
        <v>1048</v>
      </c>
      <c r="B264" s="3">
        <f>HYPERLINK("https://leetcode.com/problems/longest-string-chain/", "Longest String Chain")</f>
        <v/>
      </c>
      <c r="C264" s="1" t="n">
        <v>7746</v>
      </c>
      <c r="D264" s="1" t="n">
        <v>272</v>
      </c>
      <c r="E264" s="4">
        <f>IF(INDEX(C:C, ROW())+INDEX(D:D, ROW())=0, 0, INDEX(C:C, ROW())/(INDEX(C:C, ROW())+INDEX(D:D, ROW())))</f>
        <v/>
      </c>
      <c r="F264" s="1" t="inlineStr">
        <is>
          <t>Array, Hash Table, Two Pointers, String, Dynamic Programming, Sorting</t>
        </is>
      </c>
      <c r="G264" s="1" t="inlineStr">
        <is>
          <t>Medium</t>
        </is>
      </c>
      <c r="H264" s="1" t="n">
        <v>509706</v>
      </c>
      <c r="I264" s="1" t="n">
        <v>812683</v>
      </c>
      <c r="J264" s="9" t="n">
        <v>0.627</v>
      </c>
      <c r="K264" s="1" t="inlineStr">
        <is>
          <t>Yes</t>
        </is>
      </c>
      <c r="L264" s="1" t="inlineStr">
        <is>
          <t>Yes</t>
        </is>
      </c>
      <c r="M264" s="1" t="inlineStr">
        <is>
          <t>No</t>
        </is>
      </c>
      <c r="N264" s="1" t="inlineStr">
        <is>
          <t>Algorithms</t>
        </is>
      </c>
      <c r="O2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5" ht="15.75" customHeight="1" s="12">
      <c r="A265" s="1" t="n">
        <v>377</v>
      </c>
      <c r="B265" s="3">
        <f>HYPERLINK("https://leetcode.com/problems/combination-sum-iv/", "Combination Sum IV")</f>
        <v/>
      </c>
      <c r="C265" s="1" t="n">
        <v>7736</v>
      </c>
      <c r="D265" s="1" t="n">
        <v>699</v>
      </c>
      <c r="E265" s="4">
        <f>IF(INDEX(C:C, ROW())+INDEX(D:D, ROW())=0, 0, INDEX(C:C, ROW())/(INDEX(C:C, ROW())+INDEX(D:D, ROW())))</f>
        <v/>
      </c>
      <c r="F265" s="1" t="inlineStr">
        <is>
          <t>Array, Dynamic Programming</t>
        </is>
      </c>
      <c r="G265" s="1" t="inlineStr">
        <is>
          <t>Medium</t>
        </is>
      </c>
      <c r="H265" s="1" t="n">
        <v>588458</v>
      </c>
      <c r="I265" s="1" t="n">
        <v>1071228</v>
      </c>
      <c r="J265" s="9" t="n">
        <v>0.549</v>
      </c>
      <c r="K265" s="1" t="inlineStr">
        <is>
          <t>Yes</t>
        </is>
      </c>
      <c r="L265" s="1" t="inlineStr">
        <is>
          <t>Yes</t>
        </is>
      </c>
      <c r="M265" s="1" t="inlineStr">
        <is>
          <t>No</t>
        </is>
      </c>
      <c r="N265" s="1" t="inlineStr">
        <is>
          <t>Algorithms</t>
        </is>
      </c>
      <c r="O2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6" ht="15.75" customHeight="1" s="12">
      <c r="A266" s="1" t="n">
        <v>145</v>
      </c>
      <c r="B266" s="3">
        <f>HYPERLINK("https://leetcode.com/problems/binary-tree-postorder-traversal/", "Binary Tree Postorder Traversal")</f>
        <v/>
      </c>
      <c r="C266" s="1" t="n">
        <v>7690</v>
      </c>
      <c r="D266" s="1" t="n">
        <v>222</v>
      </c>
      <c r="E266" s="4">
        <f>IF(INDEX(C:C, ROW())+INDEX(D:D, ROW())=0, 0, INDEX(C:C, ROW())/(INDEX(C:C, ROW())+INDEX(D:D, ROW())))</f>
        <v/>
      </c>
      <c r="F266" s="1" t="inlineStr">
        <is>
          <t>Stack, Tree, Depth-First Search, Binary Tree</t>
        </is>
      </c>
      <c r="G266" s="1" t="inlineStr">
        <is>
          <t>Easy</t>
        </is>
      </c>
      <c r="H266" s="1" t="n">
        <v>1860437</v>
      </c>
      <c r="I266" s="1" t="n">
        <v>2405652</v>
      </c>
      <c r="J266" s="9" t="n">
        <v>0.773</v>
      </c>
      <c r="K266" s="1" t="inlineStr">
        <is>
          <t>Yes</t>
        </is>
      </c>
      <c r="L266" s="1" t="inlineStr">
        <is>
          <t>Yes</t>
        </is>
      </c>
      <c r="M266" s="1" t="inlineStr">
        <is>
          <t>No</t>
        </is>
      </c>
      <c r="N266" s="1" t="inlineStr">
        <is>
          <t>Algorithms</t>
        </is>
      </c>
      <c r="O2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7" ht="15.75" customHeight="1" s="12">
      <c r="A267" s="1" t="n">
        <v>43</v>
      </c>
      <c r="B267" s="3">
        <f>HYPERLINK("https://leetcode.com/problems/multiply-strings/", "Multiply Strings")</f>
        <v/>
      </c>
      <c r="C267" s="1" t="n">
        <v>7651</v>
      </c>
      <c r="D267" s="1" t="n">
        <v>3655</v>
      </c>
      <c r="E267" s="4">
        <f>IF(INDEX(C:C, ROW())+INDEX(D:D, ROW())=0, 0, INDEX(C:C, ROW())/(INDEX(C:C, ROW())+INDEX(D:D, ROW())))</f>
        <v/>
      </c>
      <c r="F267" s="1" t="inlineStr">
        <is>
          <t>Math, String, Simulation</t>
        </is>
      </c>
      <c r="G267" s="1" t="inlineStr">
        <is>
          <t>Medium</t>
        </is>
      </c>
      <c r="H267" s="1" t="n">
        <v>1098058</v>
      </c>
      <c r="I267" s="1" t="n">
        <v>2531706</v>
      </c>
      <c r="J267" s="9" t="n">
        <v>0.434</v>
      </c>
      <c r="K267" s="1" t="inlineStr">
        <is>
          <t>Yes</t>
        </is>
      </c>
      <c r="L267" s="1" t="inlineStr">
        <is>
          <t>Yes</t>
        </is>
      </c>
      <c r="M267" s="1" t="inlineStr">
        <is>
          <t>No</t>
        </is>
      </c>
      <c r="N267" s="1" t="inlineStr">
        <is>
          <t>Algorithms</t>
        </is>
      </c>
      <c r="O2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8" ht="15.75" customHeight="1" s="12">
      <c r="A268" s="1" t="n">
        <v>797</v>
      </c>
      <c r="B268" s="3">
        <f>HYPERLINK("https://leetcode.com/problems/all-paths-from-source-to-target/", "All Paths From Source to Target")</f>
        <v/>
      </c>
      <c r="C268" s="1" t="n">
        <v>7592</v>
      </c>
      <c r="D268" s="1" t="n">
        <v>152</v>
      </c>
      <c r="E268" s="4">
        <f>IF(INDEX(C:C, ROW())+INDEX(D:D, ROW())=0, 0, INDEX(C:C, ROW())/(INDEX(C:C, ROW())+INDEX(D:D, ROW())))</f>
        <v/>
      </c>
      <c r="F268" s="1" t="inlineStr">
        <is>
          <t>Backtracking, Depth-First Search, Breadth-First Search, Graph Theory</t>
        </is>
      </c>
      <c r="G268" s="1" t="inlineStr">
        <is>
          <t>Medium</t>
        </is>
      </c>
      <c r="H268" s="1" t="n">
        <v>665993</v>
      </c>
      <c r="I268" s="1" t="n">
        <v>797963</v>
      </c>
      <c r="J268" s="9" t="n">
        <v>0.835</v>
      </c>
      <c r="K268" s="1" t="inlineStr">
        <is>
          <t>Yes</t>
        </is>
      </c>
      <c r="L268" s="1" t="inlineStr">
        <is>
          <t>Yes</t>
        </is>
      </c>
      <c r="M268" s="1" t="inlineStr">
        <is>
          <t>No</t>
        </is>
      </c>
      <c r="N268" s="1" t="inlineStr">
        <is>
          <t>Algorithms</t>
        </is>
      </c>
      <c r="O2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9" ht="15.75" customHeight="1" s="12">
      <c r="A269" s="1" t="n">
        <v>721</v>
      </c>
      <c r="B269" s="3">
        <f>HYPERLINK("https://leetcode.com/problems/accounts-merge/", "Accounts Merge")</f>
        <v/>
      </c>
      <c r="C269" s="1" t="n">
        <v>7586</v>
      </c>
      <c r="D269" s="1" t="n">
        <v>1294</v>
      </c>
      <c r="E269" s="4">
        <f>IF(INDEX(C:C, ROW())+INDEX(D:D, ROW())=0, 0, INDEX(C:C, ROW())/(INDEX(C:C, ROW())+INDEX(D:D, ROW())))</f>
        <v/>
      </c>
      <c r="F269" s="1" t="inlineStr">
        <is>
          <t>Array, Hash Table, String, Depth-First Search, Breadth-First Search, Union-Find, Sorting</t>
        </is>
      </c>
      <c r="G269" s="1" t="inlineStr">
        <is>
          <t>Medium</t>
        </is>
      </c>
      <c r="H269" s="1" t="n">
        <v>594071</v>
      </c>
      <c r="I269" s="1" t="n">
        <v>977938</v>
      </c>
      <c r="J269" s="9" t="n">
        <v>0.607</v>
      </c>
      <c r="K269" s="1" t="inlineStr">
        <is>
          <t>Yes</t>
        </is>
      </c>
      <c r="L269" s="1" t="inlineStr">
        <is>
          <t>Yes</t>
        </is>
      </c>
      <c r="M269" s="1" t="inlineStr">
        <is>
          <t>No</t>
        </is>
      </c>
      <c r="N269" s="1" t="inlineStr">
        <is>
          <t>Algorithms</t>
        </is>
      </c>
      <c r="O2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0" ht="15.75" customHeight="1" s="12">
      <c r="A270" s="1" t="n">
        <v>714</v>
      </c>
      <c r="B270" s="3">
        <f>HYPERLINK("https://leetcode.com/problems/best-time-to-buy-and-sell-stock-with-transaction-fee/", "Best Time to Buy and Sell Stock with Transaction Fee")</f>
        <v/>
      </c>
      <c r="C270" s="1" t="n">
        <v>7577</v>
      </c>
      <c r="D270" s="1" t="n">
        <v>234</v>
      </c>
      <c r="E270" s="4">
        <f>IF(INDEX(C:C, ROW())+INDEX(D:D, ROW())=0, 0, INDEX(C:C, ROW())/(INDEX(C:C, ROW())+INDEX(D:D, ROW())))</f>
        <v/>
      </c>
      <c r="F270" s="1" t="inlineStr">
        <is>
          <t>Array, Dynamic Programming, Greedy</t>
        </is>
      </c>
      <c r="G270" s="1" t="inlineStr">
        <is>
          <t>Medium</t>
        </is>
      </c>
      <c r="H270" s="1" t="n">
        <v>549981</v>
      </c>
      <c r="I270" s="1" t="n">
        <v>768618</v>
      </c>
      <c r="J270" s="9" t="n">
        <v>0.716</v>
      </c>
      <c r="K270" s="1" t="inlineStr">
        <is>
          <t>Yes</t>
        </is>
      </c>
      <c r="L270" s="1" t="inlineStr">
        <is>
          <t>Yes</t>
        </is>
      </c>
      <c r="M270" s="1" t="inlineStr">
        <is>
          <t>No</t>
        </is>
      </c>
      <c r="N270" s="1" t="inlineStr">
        <is>
          <t>Algorithms</t>
        </is>
      </c>
      <c r="O2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1" ht="15.75" customHeight="1" s="12">
      <c r="A271" s="1" t="n">
        <v>456</v>
      </c>
      <c r="B271" s="3">
        <f>HYPERLINK("https://leetcode.com/problems/132-pattern/", "132 Pattern")</f>
        <v/>
      </c>
      <c r="C271" s="1" t="n">
        <v>7575</v>
      </c>
      <c r="D271" s="1" t="n">
        <v>467</v>
      </c>
      <c r="E271" s="4">
        <f>IF(INDEX(C:C, ROW())+INDEX(D:D, ROW())=0, 0, INDEX(C:C, ROW())/(INDEX(C:C, ROW())+INDEX(D:D, ROW())))</f>
        <v/>
      </c>
      <c r="F271" s="1" t="inlineStr">
        <is>
          <t>Array, Binary Search, Stack, Monotonic Stack, Ordered Set</t>
        </is>
      </c>
      <c r="G271" s="1" t="inlineStr">
        <is>
          <t>Medium</t>
        </is>
      </c>
      <c r="H271" s="1" t="n">
        <v>314317</v>
      </c>
      <c r="I271" s="1" t="n">
        <v>912513</v>
      </c>
      <c r="J271" s="9" t="n">
        <v>0.344</v>
      </c>
      <c r="K271" s="1" t="inlineStr">
        <is>
          <t>Yes</t>
        </is>
      </c>
      <c r="L271" s="1" t="inlineStr">
        <is>
          <t>Yes</t>
        </is>
      </c>
      <c r="M271" s="1" t="inlineStr">
        <is>
          <t>Yes</t>
        </is>
      </c>
      <c r="N271" s="1" t="inlineStr">
        <is>
          <t>Algorithms</t>
        </is>
      </c>
      <c r="O2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2" ht="15.75" customHeight="1" s="12">
      <c r="A272" s="1" t="n">
        <v>140</v>
      </c>
      <c r="B272" s="3">
        <f>HYPERLINK("https://leetcode.com/problems/word-break-ii/", "Word Break II")</f>
        <v/>
      </c>
      <c r="C272" s="1" t="n">
        <v>7518</v>
      </c>
      <c r="D272" s="1" t="n">
        <v>545</v>
      </c>
      <c r="E272" s="4">
        <f>IF(INDEX(C:C, ROW())+INDEX(D:D, ROW())=0, 0, INDEX(C:C, ROW())/(INDEX(C:C, ROW())+INDEX(D:D, ROW())))</f>
        <v/>
      </c>
      <c r="F272" s="1" t="inlineStr">
        <is>
          <t>Array, Hash Table, String, Dynamic Programming, Backtracking, Trie, Memoization</t>
        </is>
      </c>
      <c r="G272" s="1" t="inlineStr">
        <is>
          <t>Hard</t>
        </is>
      </c>
      <c r="H272" s="1" t="n">
        <v>796275</v>
      </c>
      <c r="I272" s="1" t="n">
        <v>1450747</v>
      </c>
      <c r="J272" s="9" t="n">
        <v>0.549</v>
      </c>
      <c r="K272" s="1" t="inlineStr">
        <is>
          <t>Yes</t>
        </is>
      </c>
      <c r="L272" s="1" t="inlineStr">
        <is>
          <t>Yes</t>
        </is>
      </c>
      <c r="M272" s="1" t="inlineStr">
        <is>
          <t>No</t>
        </is>
      </c>
      <c r="N272" s="1" t="inlineStr">
        <is>
          <t>Algorithms</t>
        </is>
      </c>
      <c r="O2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3" ht="15.75" customHeight="1" s="12">
      <c r="A273" s="1" t="n">
        <v>698</v>
      </c>
      <c r="B273" s="3">
        <f>HYPERLINK("https://leetcode.com/problems/partition-to-k-equal-sum-subsets/", "Partition to K Equal Sum Subsets")</f>
        <v/>
      </c>
      <c r="C273" s="1" t="n">
        <v>7497</v>
      </c>
      <c r="D273" s="1" t="n">
        <v>552</v>
      </c>
      <c r="E273" s="4">
        <f>IF(INDEX(C:C, ROW())+INDEX(D:D, ROW())=0, 0, INDEX(C:C, ROW())/(INDEX(C:C, ROW())+INDEX(D:D, ROW())))</f>
        <v/>
      </c>
      <c r="F273" s="1" t="inlineStr">
        <is>
          <t>Array, Dynamic Programming, Backtracking, Bit Manipulation, Memoization, Bitmask DP</t>
        </is>
      </c>
      <c r="G273" s="1" t="inlineStr">
        <is>
          <t>Medium</t>
        </is>
      </c>
      <c r="H273" s="1" t="n">
        <v>332105</v>
      </c>
      <c r="I273" s="1" t="n">
        <v>866059</v>
      </c>
      <c r="J273" s="9" t="n">
        <v>0.383</v>
      </c>
      <c r="K273" s="1" t="inlineStr">
        <is>
          <t>Yes</t>
        </is>
      </c>
      <c r="L273" s="1" t="inlineStr">
        <is>
          <t>Yes</t>
        </is>
      </c>
      <c r="M273" s="1" t="inlineStr">
        <is>
          <t>No</t>
        </is>
      </c>
      <c r="N273" s="1" t="inlineStr">
        <is>
          <t>Algorithms</t>
        </is>
      </c>
      <c r="O2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4" ht="15.75" customHeight="1" s="12">
      <c r="A274" s="1" t="n">
        <v>713</v>
      </c>
      <c r="B274" s="3">
        <f>HYPERLINK("https://leetcode.com/problems/subarray-product-less-than-k/", "Subarray Product Less Than K")</f>
        <v/>
      </c>
      <c r="C274" s="1" t="n">
        <v>7410</v>
      </c>
      <c r="D274" s="1" t="n">
        <v>234</v>
      </c>
      <c r="E274" s="4">
        <f>IF(INDEX(C:C, ROW())+INDEX(D:D, ROW())=0, 0, INDEX(C:C, ROW())/(INDEX(C:C, ROW())+INDEX(D:D, ROW())))</f>
        <v/>
      </c>
      <c r="F274" s="1" t="inlineStr">
        <is>
          <t>Array, Binary Search, Sliding Window, Prefix Sum</t>
        </is>
      </c>
      <c r="G274" s="1" t="inlineStr">
        <is>
          <t>Medium</t>
        </is>
      </c>
      <c r="H274" s="1" t="n">
        <v>567762</v>
      </c>
      <c r="I274" s="1" t="n">
        <v>1057819</v>
      </c>
      <c r="J274" s="9" t="n">
        <v>0.537</v>
      </c>
      <c r="K274" s="1" t="inlineStr">
        <is>
          <t>Yes</t>
        </is>
      </c>
      <c r="L274" s="1" t="inlineStr">
        <is>
          <t>Yes</t>
        </is>
      </c>
      <c r="M274" s="1" t="inlineStr">
        <is>
          <t>No</t>
        </is>
      </c>
      <c r="N274" s="1" t="inlineStr">
        <is>
          <t>Algorithms</t>
        </is>
      </c>
      <c r="O2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5" ht="15.75" customHeight="1" s="12">
      <c r="A275" s="1" t="n">
        <v>28</v>
      </c>
      <c r="B275" s="3">
        <f>HYPERLINK("https://leetcode.com/problems/find-the-index-of-the-first-occurrence-in-a-string/", "Find the Index of the First Occurrence in a String")</f>
        <v/>
      </c>
      <c r="C275" s="1" t="n">
        <v>7381</v>
      </c>
      <c r="D275" s="1" t="n">
        <v>560</v>
      </c>
      <c r="E275" s="4">
        <f>IF(INDEX(C:C, ROW())+INDEX(D:D, ROW())=0, 0, INDEX(C:C, ROW())/(INDEX(C:C, ROW())+INDEX(D:D, ROW())))</f>
        <v/>
      </c>
      <c r="F275" s="1" t="inlineStr">
        <is>
          <t>Two Pointers, String, String Matching</t>
        </is>
      </c>
      <c r="G275" s="1" t="inlineStr">
        <is>
          <t>Easy</t>
        </is>
      </c>
      <c r="H275" s="1" t="n">
        <v>3826253</v>
      </c>
      <c r="I275" s="1" t="n">
        <v>8307183</v>
      </c>
      <c r="J275" s="9" t="n">
        <v>0.461</v>
      </c>
      <c r="K275" s="1" t="inlineStr">
        <is>
          <t>Yes</t>
        </is>
      </c>
      <c r="L275" s="1" t="inlineStr">
        <is>
          <t>Yes</t>
        </is>
      </c>
      <c r="M275" s="1" t="inlineStr">
        <is>
          <t>Yes</t>
        </is>
      </c>
      <c r="N275" s="1" t="inlineStr">
        <is>
          <t>Algorithms</t>
        </is>
      </c>
      <c r="O2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6" ht="15.75" customHeight="1" s="12">
      <c r="A276" s="1" t="n">
        <v>1249</v>
      </c>
      <c r="B276" s="3">
        <f>HYPERLINK("https://leetcode.com/problems/minimum-remove-to-make-valid-parentheses/", "Minimum Remove to Make Valid Parentheses")</f>
        <v/>
      </c>
      <c r="C276" s="1" t="n">
        <v>7333</v>
      </c>
      <c r="D276" s="1" t="n">
        <v>163</v>
      </c>
      <c r="E276" s="4">
        <f>IF(INDEX(C:C, ROW())+INDEX(D:D, ROW())=0, 0, INDEX(C:C, ROW())/(INDEX(C:C, ROW())+INDEX(D:D, ROW())))</f>
        <v/>
      </c>
      <c r="F276" s="1" t="inlineStr">
        <is>
          <t>String, Stack</t>
        </is>
      </c>
      <c r="G276" s="1" t="inlineStr">
        <is>
          <t>Medium</t>
        </is>
      </c>
      <c r="H276" s="1" t="n">
        <v>1026022</v>
      </c>
      <c r="I276" s="1" t="n">
        <v>1441209</v>
      </c>
      <c r="J276" s="9" t="n">
        <v>0.712</v>
      </c>
      <c r="K276" s="1" t="inlineStr">
        <is>
          <t>Yes</t>
        </is>
      </c>
      <c r="L276" s="1" t="inlineStr">
        <is>
          <t>Yes</t>
        </is>
      </c>
      <c r="M276" s="1" t="inlineStr">
        <is>
          <t>No</t>
        </is>
      </c>
      <c r="N276" s="1" t="inlineStr">
        <is>
          <t>Algorithms</t>
        </is>
      </c>
      <c r="O2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7" ht="15.75" customHeight="1" s="12">
      <c r="A277" s="1" t="n">
        <v>1091</v>
      </c>
      <c r="B277" s="3">
        <f>HYPERLINK("https://leetcode.com/problems/shortest-path-in-binary-matrix/", "Shortest Path in Binary Matrix")</f>
        <v/>
      </c>
      <c r="C277" s="1" t="n">
        <v>7327</v>
      </c>
      <c r="D277" s="1" t="n">
        <v>272</v>
      </c>
      <c r="E277" s="4">
        <f>IF(INDEX(C:C, ROW())+INDEX(D:D, ROW())=0, 0, INDEX(C:C, ROW())/(INDEX(C:C, ROW())+INDEX(D:D, ROW())))</f>
        <v/>
      </c>
      <c r="F277" s="1" t="inlineStr">
        <is>
          <t>Array, Breadth-First Search, Matrix</t>
        </is>
      </c>
      <c r="G277" s="1" t="inlineStr">
        <is>
          <t>Medium</t>
        </is>
      </c>
      <c r="H277" s="1" t="n">
        <v>797502</v>
      </c>
      <c r="I277" s="1" t="n">
        <v>1565710</v>
      </c>
      <c r="J277" s="9" t="n">
        <v>0.509</v>
      </c>
      <c r="K277" s="1" t="inlineStr">
        <is>
          <t>Yes</t>
        </is>
      </c>
      <c r="L277" s="1" t="inlineStr">
        <is>
          <t>Yes</t>
        </is>
      </c>
      <c r="M277" s="1" t="inlineStr">
        <is>
          <t>No</t>
        </is>
      </c>
      <c r="N277" s="1" t="inlineStr">
        <is>
          <t>Algorithms</t>
        </is>
      </c>
      <c r="O2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8" ht="15.75" customHeight="1" s="12">
      <c r="A278" s="1" t="n">
        <v>115</v>
      </c>
      <c r="B278" s="3">
        <f>HYPERLINK("https://leetcode.com/problems/distinct-subsequences/", "Distinct Subsequences")</f>
        <v/>
      </c>
      <c r="C278" s="1" t="n">
        <v>7321</v>
      </c>
      <c r="D278" s="1" t="n">
        <v>319</v>
      </c>
      <c r="E278" s="4">
        <f>IF(INDEX(C:C, ROW())+INDEX(D:D, ROW())=0, 0, INDEX(C:C, ROW())/(INDEX(C:C, ROW())+INDEX(D:D, ROW())))</f>
        <v/>
      </c>
      <c r="F278" s="1" t="inlineStr">
        <is>
          <t>String, Dynamic Programming</t>
        </is>
      </c>
      <c r="G278" s="1" t="inlineStr">
        <is>
          <t>Hard</t>
        </is>
      </c>
      <c r="H278" s="1" t="n">
        <v>648516</v>
      </c>
      <c r="I278" s="1" t="n">
        <v>1263620</v>
      </c>
      <c r="J278" s="9" t="n">
        <v>0.513</v>
      </c>
      <c r="K278" s="1" t="inlineStr">
        <is>
          <t>Yes</t>
        </is>
      </c>
      <c r="L278" s="1" t="inlineStr">
        <is>
          <t>Yes</t>
        </is>
      </c>
      <c r="M278" s="1" t="inlineStr">
        <is>
          <t>No</t>
        </is>
      </c>
      <c r="N278" s="1" t="inlineStr">
        <is>
          <t>Algorithms</t>
        </is>
      </c>
      <c r="O2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9" ht="15.75" customHeight="1" s="12">
      <c r="A279" s="1" t="n">
        <v>219</v>
      </c>
      <c r="B279" s="3">
        <f>HYPERLINK("https://leetcode.com/problems/contains-duplicate-ii/", "Contains Duplicate II")</f>
        <v/>
      </c>
      <c r="C279" s="1" t="n">
        <v>7296</v>
      </c>
      <c r="D279" s="1" t="n">
        <v>3299</v>
      </c>
      <c r="E279" s="4">
        <f>IF(INDEX(C:C, ROW())+INDEX(D:D, ROW())=0, 0, INDEX(C:C, ROW())/(INDEX(C:C, ROW())+INDEX(D:D, ROW())))</f>
        <v/>
      </c>
      <c r="F279" s="1" t="inlineStr">
        <is>
          <t>Array, Hash Table, Sliding Window</t>
        </is>
      </c>
      <c r="G279" s="1" t="inlineStr">
        <is>
          <t>Easy</t>
        </is>
      </c>
      <c r="H279" s="1" t="n">
        <v>1636239</v>
      </c>
      <c r="I279" s="1" t="n">
        <v>3240260</v>
      </c>
      <c r="J279" s="9" t="n">
        <v>0.505</v>
      </c>
      <c r="K279" s="1" t="inlineStr">
        <is>
          <t>Yes</t>
        </is>
      </c>
      <c r="L279" s="1" t="inlineStr">
        <is>
          <t>Yes</t>
        </is>
      </c>
      <c r="M279" s="1" t="inlineStr">
        <is>
          <t>No</t>
        </is>
      </c>
      <c r="N279" s="1" t="inlineStr">
        <is>
          <t>Algorithms</t>
        </is>
      </c>
      <c r="O2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0" ht="15.75" customHeight="1" s="12">
      <c r="A280" s="1" t="n">
        <v>605</v>
      </c>
      <c r="B280" s="3">
        <f>HYPERLINK("https://leetcode.com/problems/can-place-flowers/", "Can Place Flowers")</f>
        <v/>
      </c>
      <c r="C280" s="1" t="n">
        <v>7295</v>
      </c>
      <c r="D280" s="1" t="n">
        <v>1310</v>
      </c>
      <c r="E280" s="4">
        <f>IF(INDEX(C:C, ROW())+INDEX(D:D, ROW())=0, 0, INDEX(C:C, ROW())/(INDEX(C:C, ROW())+INDEX(D:D, ROW())))</f>
        <v/>
      </c>
      <c r="F280" s="1" t="inlineStr">
        <is>
          <t>Array, Greedy</t>
        </is>
      </c>
      <c r="G280" s="1" t="inlineStr">
        <is>
          <t>Easy</t>
        </is>
      </c>
      <c r="H280" s="1" t="n">
        <v>1331068</v>
      </c>
      <c r="I280" s="1" t="n">
        <v>4586523</v>
      </c>
      <c r="J280" s="9" t="n">
        <v>0.29</v>
      </c>
      <c r="K280" s="1" t="inlineStr">
        <is>
          <t>Yes</t>
        </is>
      </c>
      <c r="L280" s="1" t="inlineStr">
        <is>
          <t>Yes</t>
        </is>
      </c>
      <c r="M280" s="1" t="inlineStr">
        <is>
          <t>No</t>
        </is>
      </c>
      <c r="N280" s="1" t="inlineStr">
        <is>
          <t>Algorithms</t>
        </is>
      </c>
      <c r="O2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1" ht="15.75" customHeight="1" s="12">
      <c r="A281" s="1" t="n">
        <v>1235</v>
      </c>
      <c r="B281" s="3">
        <f>HYPERLINK("https://leetcode.com/problems/maximum-profit-in-job-scheduling/", "Maximum Profit in Job Scheduling")</f>
        <v/>
      </c>
      <c r="C281" s="1" t="n">
        <v>7251</v>
      </c>
      <c r="D281" s="1" t="n">
        <v>121</v>
      </c>
      <c r="E281" s="4">
        <f>IF(INDEX(C:C, ROW())+INDEX(D:D, ROW())=0, 0, INDEX(C:C, ROW())/(INDEX(C:C, ROW())+INDEX(D:D, ROW())))</f>
        <v/>
      </c>
      <c r="F281" s="1" t="inlineStr">
        <is>
          <t>Array, Binary Search, Dynamic Programming, Sorting</t>
        </is>
      </c>
      <c r="G281" s="1" t="inlineStr">
        <is>
          <t>Hard</t>
        </is>
      </c>
      <c r="H281" s="1" t="n">
        <v>403683</v>
      </c>
      <c r="I281" s="1" t="n">
        <v>739542</v>
      </c>
      <c r="J281" s="9" t="n">
        <v>0.546</v>
      </c>
      <c r="K281" s="1" t="inlineStr">
        <is>
          <t>Yes</t>
        </is>
      </c>
      <c r="L281" s="1" t="inlineStr">
        <is>
          <t>Yes</t>
        </is>
      </c>
      <c r="M281" s="1" t="inlineStr">
        <is>
          <t>No</t>
        </is>
      </c>
      <c r="N281" s="1" t="inlineStr">
        <is>
          <t>Algorithms</t>
        </is>
      </c>
      <c r="O2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2" ht="15.75" customHeight="1" s="12">
      <c r="A282" s="1" t="n">
        <v>673</v>
      </c>
      <c r="B282" s="3">
        <f>HYPERLINK("https://leetcode.com/problems/number-of-longest-increasing-subsequence/", "Number of Longest Increasing Subsequence")</f>
        <v/>
      </c>
      <c r="C282" s="1" t="n">
        <v>7247</v>
      </c>
      <c r="D282" s="1" t="n">
        <v>285</v>
      </c>
      <c r="E282" s="4">
        <f>IF(INDEX(C:C, ROW())+INDEX(D:D, ROW())=0, 0, INDEX(C:C, ROW())/(INDEX(C:C, ROW())+INDEX(D:D, ROW())))</f>
        <v/>
      </c>
      <c r="F282" s="1" t="inlineStr">
        <is>
          <t>Array, Dynamic Programming, Binary Indexed Tree, Segment Tree</t>
        </is>
      </c>
      <c r="G282" s="1" t="inlineStr">
        <is>
          <t>Medium</t>
        </is>
      </c>
      <c r="H282" s="1" t="n">
        <v>320324</v>
      </c>
      <c r="I282" s="1" t="n">
        <v>626611</v>
      </c>
      <c r="J282" s="9" t="n">
        <v>0.511</v>
      </c>
      <c r="K282" s="1" t="inlineStr">
        <is>
          <t>Yes</t>
        </is>
      </c>
      <c r="L282" s="1" t="inlineStr">
        <is>
          <t>Yes</t>
        </is>
      </c>
      <c r="M282" s="1" t="inlineStr">
        <is>
          <t>No</t>
        </is>
      </c>
      <c r="N282" s="1" t="inlineStr">
        <is>
          <t>Algorithms</t>
        </is>
      </c>
      <c r="O2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3" ht="15.75" customHeight="1" s="12">
      <c r="A283" s="1" t="n">
        <v>463</v>
      </c>
      <c r="B283" s="3">
        <f>HYPERLINK("https://leetcode.com/problems/island-perimeter/", "Island Perimeter")</f>
        <v/>
      </c>
      <c r="C283" s="1" t="n">
        <v>7239</v>
      </c>
      <c r="D283" s="1" t="n">
        <v>419</v>
      </c>
      <c r="E283" s="4">
        <f>IF(INDEX(C:C, ROW())+INDEX(D:D, ROW())=0, 0, INDEX(C:C, ROW())/(INDEX(C:C, ROW())+INDEX(D:D, ROW())))</f>
        <v/>
      </c>
      <c r="F283" s="1" t="inlineStr">
        <is>
          <t>Array, Depth-First Search, Breadth-First Search, Matrix</t>
        </is>
      </c>
      <c r="G283" s="1" t="inlineStr">
        <is>
          <t>Easy</t>
        </is>
      </c>
      <c r="H283" s="1" t="n">
        <v>795933</v>
      </c>
      <c r="I283" s="1" t="n">
        <v>1073751</v>
      </c>
      <c r="J283" s="9" t="n">
        <v>0.741</v>
      </c>
      <c r="K283" s="1" t="inlineStr">
        <is>
          <t>Yes</t>
        </is>
      </c>
      <c r="L283" s="1" t="inlineStr">
        <is>
          <t>Yes</t>
        </is>
      </c>
      <c r="M283" s="1" t="inlineStr">
        <is>
          <t>No</t>
        </is>
      </c>
      <c r="N283" s="1" t="inlineStr">
        <is>
          <t>Algorithms</t>
        </is>
      </c>
      <c r="O2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4" ht="15.75" customHeight="1" s="12">
      <c r="A284" s="1" t="n">
        <v>406</v>
      </c>
      <c r="B284" s="3">
        <f>HYPERLINK("https://leetcode.com/problems/queue-reconstruction-by-height/", "Queue Reconstruction by Height")</f>
        <v/>
      </c>
      <c r="C284" s="1" t="n">
        <v>7228</v>
      </c>
      <c r="D284" s="1" t="n">
        <v>752</v>
      </c>
      <c r="E284" s="4">
        <f>IF(INDEX(C:C, ROW())+INDEX(D:D, ROW())=0, 0, INDEX(C:C, ROW())/(INDEX(C:C, ROW())+INDEX(D:D, ROW())))</f>
        <v/>
      </c>
      <c r="F284" s="1" t="inlineStr">
        <is>
          <t>Array, Binary Indexed Tree, Segment Tree, Sorting</t>
        </is>
      </c>
      <c r="G284" s="1" t="inlineStr">
        <is>
          <t>Medium</t>
        </is>
      </c>
      <c r="H284" s="1" t="n">
        <v>338722</v>
      </c>
      <c r="I284" s="1" t="n">
        <v>454455</v>
      </c>
      <c r="J284" s="9" t="n">
        <v>0.745</v>
      </c>
      <c r="K284" s="1" t="inlineStr">
        <is>
          <t>Yes</t>
        </is>
      </c>
      <c r="L284" s="1" t="inlineStr">
        <is>
          <t>Yes</t>
        </is>
      </c>
      <c r="M284" s="1" t="inlineStr">
        <is>
          <t>No</t>
        </is>
      </c>
      <c r="N284" s="1" t="inlineStr">
        <is>
          <t>Algorithms</t>
        </is>
      </c>
      <c r="O2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5" ht="15.75" customHeight="1" s="12">
      <c r="A285" s="1" t="n">
        <v>653</v>
      </c>
      <c r="B285" s="3">
        <f>HYPERLINK("https://leetcode.com/problems/two-sum-iv-input-is-a-bst/", "Two Sum IV - Input is a BST")</f>
        <v/>
      </c>
      <c r="C285" s="1" t="n">
        <v>7225</v>
      </c>
      <c r="D285" s="1" t="n">
        <v>290</v>
      </c>
      <c r="E285" s="4">
        <f>IF(INDEX(C:C, ROW())+INDEX(D:D, ROW())=0, 0, INDEX(C:C, ROW())/(INDEX(C:C, ROW())+INDEX(D:D, ROW())))</f>
        <v/>
      </c>
      <c r="F285" s="1" t="inlineStr">
        <is>
          <t>Hash Table, Two Pointers, Tree, Depth-First Search, Breadth-First Search, Binary Search Tree, Binary Tree</t>
        </is>
      </c>
      <c r="G285" s="1" t="inlineStr">
        <is>
          <t>Easy</t>
        </is>
      </c>
      <c r="H285" s="1" t="n">
        <v>733127</v>
      </c>
      <c r="I285" s="1" t="n">
        <v>1165279</v>
      </c>
      <c r="J285" s="9" t="n">
        <v>0.629</v>
      </c>
      <c r="K285" s="1" t="inlineStr">
        <is>
          <t>Yes</t>
        </is>
      </c>
      <c r="L285" s="1" t="inlineStr">
        <is>
          <t>Yes</t>
        </is>
      </c>
      <c r="M285" s="1" t="inlineStr">
        <is>
          <t>No</t>
        </is>
      </c>
      <c r="N285" s="1" t="inlineStr">
        <is>
          <t>Algorithms</t>
        </is>
      </c>
      <c r="O2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6" ht="15.75" customHeight="1" s="12">
      <c r="A286" s="1" t="n">
        <v>918</v>
      </c>
      <c r="B286" s="3">
        <f>HYPERLINK("https://leetcode.com/problems/maximum-sum-circular-subarray/", "Maximum Sum Circular Subarray")</f>
        <v/>
      </c>
      <c r="C286" s="1" t="n">
        <v>7225</v>
      </c>
      <c r="D286" s="1" t="n">
        <v>337</v>
      </c>
      <c r="E286" s="4">
        <f>IF(INDEX(C:C, ROW())+INDEX(D:D, ROW())=0, 0, INDEX(C:C, ROW())/(INDEX(C:C, ROW())+INDEX(D:D, ROW())))</f>
        <v/>
      </c>
      <c r="F286" s="1" t="inlineStr">
        <is>
          <t>Array, Divide and Conquer, Dynamic Programming, Queue, Monotonic Queue</t>
        </is>
      </c>
      <c r="G286" s="1" t="inlineStr">
        <is>
          <t>Medium</t>
        </is>
      </c>
      <c r="H286" s="1" t="n">
        <v>389323</v>
      </c>
      <c r="I286" s="1" t="n">
        <v>793774</v>
      </c>
      <c r="J286" s="9" t="n">
        <v>0.49</v>
      </c>
      <c r="K286" s="1" t="inlineStr">
        <is>
          <t>Yes</t>
        </is>
      </c>
      <c r="L286" s="1" t="inlineStr">
        <is>
          <t>Yes</t>
        </is>
      </c>
      <c r="M286" s="1" t="inlineStr">
        <is>
          <t>No</t>
        </is>
      </c>
      <c r="N286" s="1" t="inlineStr">
        <is>
          <t>Algorithms</t>
        </is>
      </c>
      <c r="O2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7" ht="15.75" customHeight="1" s="12">
      <c r="A287" s="1" t="n">
        <v>253</v>
      </c>
      <c r="B287" s="3">
        <f>HYPERLINK("https://leetcode.com/problems/meeting-rooms-ii/", "Meeting Rooms II")</f>
        <v/>
      </c>
      <c r="C287" s="1" t="n">
        <v>7224</v>
      </c>
      <c r="D287" s="1" t="n">
        <v>175</v>
      </c>
      <c r="E287" s="4">
        <f>IF(INDEX(C:C, ROW())+INDEX(D:D, ROW())=0, 0, INDEX(C:C, ROW())/(INDEX(C:C, ROW())+INDEX(D:D, ROW())))</f>
        <v/>
      </c>
      <c r="F287" s="1" t="inlineStr">
        <is>
          <t>Array, Two Pointers, Greedy, Sorting, Heap (Priority Queue), Prefix Sum</t>
        </is>
      </c>
      <c r="G287" s="1" t="inlineStr">
        <is>
          <t>Medium</t>
        </is>
      </c>
      <c r="H287" s="1" t="n">
        <v>1134123</v>
      </c>
      <c r="I287" s="1" t="n">
        <v>2161216</v>
      </c>
      <c r="J287" s="9" t="n">
        <v>0.525</v>
      </c>
      <c r="K287" s="1" t="inlineStr">
        <is>
          <t>No</t>
        </is>
      </c>
      <c r="L287" s="1" t="inlineStr">
        <is>
          <t>Yes</t>
        </is>
      </c>
      <c r="M287" s="1" t="inlineStr">
        <is>
          <t>Yes</t>
        </is>
      </c>
      <c r="N287" s="1" t="inlineStr">
        <is>
          <t>Algorithms</t>
        </is>
      </c>
      <c r="O2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8" ht="15.75" customHeight="1" s="12">
      <c r="A288" s="1" t="n">
        <v>938</v>
      </c>
      <c r="B288" s="3">
        <f>HYPERLINK("https://leetcode.com/problems/range-sum-of-bst/", "Range Sum of BST")</f>
        <v/>
      </c>
      <c r="C288" s="1" t="n">
        <v>7221</v>
      </c>
      <c r="D288" s="1" t="n">
        <v>389</v>
      </c>
      <c r="E288" s="4">
        <f>IF(INDEX(C:C, ROW())+INDEX(D:D, ROW())=0, 0, INDEX(C:C, ROW())/(INDEX(C:C, ROW())+INDEX(D:D, ROW())))</f>
        <v/>
      </c>
      <c r="F288" s="1" t="inlineStr">
        <is>
          <t>Tree, Depth-First Search, Binary Search Tree, Binary Tree</t>
        </is>
      </c>
      <c r="G288" s="1" t="inlineStr">
        <is>
          <t>Easy</t>
        </is>
      </c>
      <c r="H288" s="1" t="n">
        <v>1322886</v>
      </c>
      <c r="I288" s="1" t="n">
        <v>1510927</v>
      </c>
      <c r="J288" s="9" t="n">
        <v>0.876</v>
      </c>
      <c r="K288" s="1" t="inlineStr">
        <is>
          <t>Yes</t>
        </is>
      </c>
      <c r="L288" s="1" t="inlineStr">
        <is>
          <t>Yes</t>
        </is>
      </c>
      <c r="M288" s="1" t="inlineStr">
        <is>
          <t>Yes</t>
        </is>
      </c>
      <c r="N288" s="1" t="inlineStr">
        <is>
          <t>Algorithms</t>
        </is>
      </c>
      <c r="O2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9" ht="15.75" customHeight="1" s="12">
      <c r="A289" s="1" t="n">
        <v>60</v>
      </c>
      <c r="B289" s="3">
        <f>HYPERLINK("https://leetcode.com/problems/permutation-sequence/", "Permutation Sequence")</f>
        <v/>
      </c>
      <c r="C289" s="1" t="n">
        <v>7178</v>
      </c>
      <c r="D289" s="1" t="n">
        <v>502</v>
      </c>
      <c r="E289" s="4">
        <f>IF(INDEX(C:C, ROW())+INDEX(D:D, ROW())=0, 0, INDEX(C:C, ROW())/(INDEX(C:C, ROW())+INDEX(D:D, ROW())))</f>
        <v/>
      </c>
      <c r="F289" s="1" t="inlineStr">
        <is>
          <t>Math, Recursion</t>
        </is>
      </c>
      <c r="G289" s="1" t="inlineStr">
        <is>
          <t>Hard</t>
        </is>
      </c>
      <c r="H289" s="1" t="n">
        <v>541458</v>
      </c>
      <c r="I289" s="1" t="n">
        <v>1045488</v>
      </c>
      <c r="J289" s="9" t="n">
        <v>0.518</v>
      </c>
      <c r="K289" s="1" t="inlineStr">
        <is>
          <t>Yes</t>
        </is>
      </c>
      <c r="L289" s="1" t="inlineStr">
        <is>
          <t>Yes</t>
        </is>
      </c>
      <c r="M289" s="1" t="inlineStr">
        <is>
          <t>No</t>
        </is>
      </c>
      <c r="N289" s="1" t="inlineStr">
        <is>
          <t>Algorithms</t>
        </is>
      </c>
      <c r="O2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0" ht="15.75" customHeight="1" s="12">
      <c r="A290" s="1" t="n">
        <v>257</v>
      </c>
      <c r="B290" s="3">
        <f>HYPERLINK("https://leetcode.com/problems/binary-tree-paths/", "Binary Tree Paths")</f>
        <v/>
      </c>
      <c r="C290" s="1" t="n">
        <v>7161</v>
      </c>
      <c r="D290" s="1" t="n">
        <v>341</v>
      </c>
      <c r="E290" s="4">
        <f>IF(INDEX(C:C, ROW())+INDEX(D:D, ROW())=0, 0, INDEX(C:C, ROW())/(INDEX(C:C, ROW())+INDEX(D:D, ROW())))</f>
        <v/>
      </c>
      <c r="F290" s="1" t="inlineStr">
        <is>
          <t>String, Backtracking, Tree, Depth-First Search, Binary Tree</t>
        </is>
      </c>
      <c r="G290" s="1" t="inlineStr">
        <is>
          <t>Easy</t>
        </is>
      </c>
      <c r="H290" s="1" t="n">
        <v>970561</v>
      </c>
      <c r="I290" s="1" t="n">
        <v>1428617</v>
      </c>
      <c r="J290" s="9" t="n">
        <v>0.679</v>
      </c>
      <c r="K290" s="1" t="inlineStr">
        <is>
          <t>Yes</t>
        </is>
      </c>
      <c r="L290" s="1" t="inlineStr">
        <is>
          <t>Yes</t>
        </is>
      </c>
      <c r="M290" s="1" t="inlineStr">
        <is>
          <t>No</t>
        </is>
      </c>
      <c r="N290" s="1" t="inlineStr">
        <is>
          <t>Algorithms</t>
        </is>
      </c>
      <c r="O2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1" ht="15.75" customHeight="1" s="12">
      <c r="A291" s="1" t="n">
        <v>901</v>
      </c>
      <c r="B291" s="3">
        <f>HYPERLINK("https://leetcode.com/problems/online-stock-span/", "Online Stock Span")</f>
        <v/>
      </c>
      <c r="C291" s="1" t="n">
        <v>7129</v>
      </c>
      <c r="D291" s="1" t="n">
        <v>492</v>
      </c>
      <c r="E291" s="4">
        <f>IF(INDEX(C:C, ROW())+INDEX(D:D, ROW())=0, 0, INDEX(C:C, ROW())/(INDEX(C:C, ROW())+INDEX(D:D, ROW())))</f>
        <v/>
      </c>
      <c r="F291" s="1" t="inlineStr">
        <is>
          <t>Stack, Design, Monotonic Stack, Data Stream</t>
        </is>
      </c>
      <c r="G291" s="1" t="inlineStr">
        <is>
          <t>Medium</t>
        </is>
      </c>
      <c r="H291" s="1" t="n">
        <v>554544</v>
      </c>
      <c r="I291" s="1" t="n">
        <v>809592</v>
      </c>
      <c r="J291" s="9" t="n">
        <v>0.6850000000000001</v>
      </c>
      <c r="K291" s="1" t="inlineStr">
        <is>
          <t>Yes</t>
        </is>
      </c>
      <c r="L291" s="1" t="inlineStr">
        <is>
          <t>Yes</t>
        </is>
      </c>
      <c r="M291" s="1" t="inlineStr">
        <is>
          <t>No</t>
        </is>
      </c>
      <c r="N291" s="1" t="inlineStr">
        <is>
          <t>Algorithms</t>
        </is>
      </c>
      <c r="O2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2" ht="15.75" customHeight="1" s="12">
      <c r="A292" s="1" t="n">
        <v>912</v>
      </c>
      <c r="B292" s="3">
        <f>HYPERLINK("https://leetcode.com/problems/sort-an-array/", "Sort an Array")</f>
        <v/>
      </c>
      <c r="C292" s="1" t="n">
        <v>7102</v>
      </c>
      <c r="D292" s="1" t="n">
        <v>837</v>
      </c>
      <c r="E292" s="4">
        <f>IF(INDEX(C:C, ROW())+INDEX(D:D, ROW())=0, 0, INDEX(C:C, ROW())/(INDEX(C:C, ROW())+INDEX(D:D, ROW())))</f>
        <v/>
      </c>
      <c r="F292" s="1" t="inlineStr">
        <is>
          <t>Array, Divide and Conquer, Sorting, Heap (Priority Queue), Merge Sort, Bucket Sort, Radix Sort, Counting Sort</t>
        </is>
      </c>
      <c r="G292" s="1" t="inlineStr">
        <is>
          <t>Medium</t>
        </is>
      </c>
      <c r="H292" s="1" t="n">
        <v>1053185</v>
      </c>
      <c r="I292" s="1" t="n">
        <v>1881874</v>
      </c>
      <c r="J292" s="9" t="n">
        <v>0.5600000000000001</v>
      </c>
      <c r="K292" s="1" t="inlineStr">
        <is>
          <t>Yes</t>
        </is>
      </c>
      <c r="L292" s="1" t="inlineStr">
        <is>
          <t>Yes</t>
        </is>
      </c>
      <c r="M292" s="1" t="inlineStr">
        <is>
          <t>No</t>
        </is>
      </c>
      <c r="N292" s="1" t="inlineStr">
        <is>
          <t>Algorithms</t>
        </is>
      </c>
      <c r="O2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3" ht="15.75" customHeight="1" s="12">
      <c r="A293" s="1" t="n">
        <v>684</v>
      </c>
      <c r="B293" s="3">
        <f>HYPERLINK("https://leetcode.com/problems/redundant-connection/", "Redundant Connection")</f>
        <v/>
      </c>
      <c r="C293" s="1" t="n">
        <v>7092</v>
      </c>
      <c r="D293" s="1" t="n">
        <v>450</v>
      </c>
      <c r="E293" s="4">
        <f>IF(INDEX(C:C, ROW())+INDEX(D:D, ROW())=0, 0, INDEX(C:C, ROW())/(INDEX(C:C, ROW())+INDEX(D:D, ROW())))</f>
        <v/>
      </c>
      <c r="F293" s="1" t="inlineStr">
        <is>
          <t>Depth-First Search, Breadth-First Search, Union-Find, Graph Theory</t>
        </is>
      </c>
      <c r="G293" s="1" t="inlineStr">
        <is>
          <t>Medium</t>
        </is>
      </c>
      <c r="H293" s="1" t="n">
        <v>614710</v>
      </c>
      <c r="I293" s="1" t="n">
        <v>915829</v>
      </c>
      <c r="J293" s="9" t="n">
        <v>0.671</v>
      </c>
      <c r="K293" s="1" t="inlineStr">
        <is>
          <t>Yes</t>
        </is>
      </c>
      <c r="L293" s="1" t="inlineStr">
        <is>
          <t>Yes</t>
        </is>
      </c>
      <c r="M293" s="1" t="inlineStr">
        <is>
          <t>No</t>
        </is>
      </c>
      <c r="N293" s="1" t="inlineStr">
        <is>
          <t>Algorithms</t>
        </is>
      </c>
      <c r="O2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4" ht="15.75" customHeight="1" s="12">
      <c r="A294" s="1" t="n">
        <v>191</v>
      </c>
      <c r="B294" s="3">
        <f>HYPERLINK("https://leetcode.com/problems/number-of-1-bits/", "Number of 1 Bits")</f>
        <v/>
      </c>
      <c r="C294" s="1" t="n">
        <v>7081</v>
      </c>
      <c r="D294" s="1" t="n">
        <v>1364</v>
      </c>
      <c r="E294" s="4">
        <f>IF(INDEX(C:C, ROW())+INDEX(D:D, ROW())=0, 0, INDEX(C:C, ROW())/(INDEX(C:C, ROW())+INDEX(D:D, ROW())))</f>
        <v/>
      </c>
      <c r="F294" s="1" t="inlineStr">
        <is>
          <t>Divide and Conquer, Bit Manipulation</t>
        </is>
      </c>
      <c r="G294" s="1" t="inlineStr">
        <is>
          <t>Easy</t>
        </is>
      </c>
      <c r="H294" s="1" t="n">
        <v>2014834</v>
      </c>
      <c r="I294" s="1" t="n">
        <v>2650016</v>
      </c>
      <c r="J294" s="9" t="n">
        <v>0.76</v>
      </c>
      <c r="K294" s="1" t="inlineStr">
        <is>
          <t>Yes</t>
        </is>
      </c>
      <c r="L294" s="1" t="inlineStr">
        <is>
          <t>Yes</t>
        </is>
      </c>
      <c r="M294" s="1" t="inlineStr">
        <is>
          <t>No</t>
        </is>
      </c>
      <c r="N294" s="1" t="inlineStr">
        <is>
          <t>Algorithms</t>
        </is>
      </c>
      <c r="O2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5" ht="15.75" customHeight="1" s="12">
      <c r="A295" s="1" t="n">
        <v>718</v>
      </c>
      <c r="B295" s="3">
        <f>HYPERLINK("https://leetcode.com/problems/maximum-length-of-repeated-subarray/", "Maximum Length of Repeated Subarray")</f>
        <v/>
      </c>
      <c r="C295" s="1" t="n">
        <v>7043</v>
      </c>
      <c r="D295" s="1" t="n">
        <v>180</v>
      </c>
      <c r="E295" s="4">
        <f>IF(INDEX(C:C, ROW())+INDEX(D:D, ROW())=0, 0, INDEX(C:C, ROW())/(INDEX(C:C, ROW())+INDEX(D:D, ROW())))</f>
        <v/>
      </c>
      <c r="F295" s="1" t="inlineStr">
        <is>
          <t>Array, Binary Search, Dynamic Programming, Sliding Window, Rolling Hash, Hash Function</t>
        </is>
      </c>
      <c r="G295" s="1" t="inlineStr">
        <is>
          <t>Medium</t>
        </is>
      </c>
      <c r="H295" s="1" t="n">
        <v>356547</v>
      </c>
      <c r="I295" s="1" t="n">
        <v>696238</v>
      </c>
      <c r="J295" s="9" t="n">
        <v>0.512</v>
      </c>
      <c r="K295" s="1" t="inlineStr">
        <is>
          <t>Yes</t>
        </is>
      </c>
      <c r="L295" s="1" t="inlineStr">
        <is>
          <t>Yes</t>
        </is>
      </c>
      <c r="M295" s="1" t="inlineStr">
        <is>
          <t>No</t>
        </is>
      </c>
      <c r="N295" s="1" t="inlineStr">
        <is>
          <t>Algorithms</t>
        </is>
      </c>
      <c r="O2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6" ht="15.75" customHeight="1" s="12">
      <c r="A296" s="1" t="n">
        <v>1047</v>
      </c>
      <c r="B296" s="3">
        <f>HYPERLINK("https://leetcode.com/problems/remove-all-adjacent-duplicates-in-string/", "Remove All Adjacent Duplicates In String")</f>
        <v/>
      </c>
      <c r="C296" s="1" t="n">
        <v>7013</v>
      </c>
      <c r="D296" s="1" t="n">
        <v>273</v>
      </c>
      <c r="E296" s="4">
        <f>IF(INDEX(C:C, ROW())+INDEX(D:D, ROW())=0, 0, INDEX(C:C, ROW())/(INDEX(C:C, ROW())+INDEX(D:D, ROW())))</f>
        <v/>
      </c>
      <c r="F296" s="1" t="inlineStr">
        <is>
          <t>String, Stack</t>
        </is>
      </c>
      <c r="G296" s="1" t="inlineStr">
        <is>
          <t>Easy</t>
        </is>
      </c>
      <c r="H296" s="1" t="n">
        <v>821663</v>
      </c>
      <c r="I296" s="1" t="n">
        <v>1132166</v>
      </c>
      <c r="J296" s="9" t="n">
        <v>0.726</v>
      </c>
      <c r="K296" s="1" t="inlineStr">
        <is>
          <t>Yes</t>
        </is>
      </c>
      <c r="L296" s="1" t="inlineStr">
        <is>
          <t>Yes</t>
        </is>
      </c>
      <c r="M296" s="1" t="inlineStr">
        <is>
          <t>No</t>
        </is>
      </c>
      <c r="N296" s="1" t="inlineStr">
        <is>
          <t>Algorithms</t>
        </is>
      </c>
      <c r="O2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7" ht="15.75" customHeight="1" s="12">
      <c r="A297" s="1" t="n">
        <v>1423</v>
      </c>
      <c r="B297" s="3">
        <f>HYPERLINK("https://leetcode.com/problems/maximum-points-you-can-obtain-from-cards/", "Maximum Points You Can Obtain from Cards")</f>
        <v/>
      </c>
      <c r="C297" s="1" t="n">
        <v>6971</v>
      </c>
      <c r="D297" s="1" t="n">
        <v>316</v>
      </c>
      <c r="E297" s="4">
        <f>IF(INDEX(C:C, ROW())+INDEX(D:D, ROW())=0, 0, INDEX(C:C, ROW())/(INDEX(C:C, ROW())+INDEX(D:D, ROW())))</f>
        <v/>
      </c>
      <c r="F297" s="1" t="inlineStr">
        <is>
          <t>Array, Sliding Window, Prefix Sum</t>
        </is>
      </c>
      <c r="G297" s="1" t="inlineStr">
        <is>
          <t>Medium</t>
        </is>
      </c>
      <c r="H297" s="1" t="n">
        <v>479466</v>
      </c>
      <c r="I297" s="1" t="n">
        <v>840679</v>
      </c>
      <c r="J297" s="9" t="n">
        <v>0.57</v>
      </c>
      <c r="K297" s="1" t="inlineStr">
        <is>
          <t>Yes</t>
        </is>
      </c>
      <c r="L297" s="1" t="inlineStr">
        <is>
          <t>Yes</t>
        </is>
      </c>
      <c r="M297" s="1" t="inlineStr">
        <is>
          <t>No</t>
        </is>
      </c>
      <c r="N297" s="1" t="inlineStr">
        <is>
          <t>Algorithms</t>
        </is>
      </c>
      <c r="O2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8" ht="15.75" customHeight="1" s="12">
      <c r="A298" s="1" t="n">
        <v>931</v>
      </c>
      <c r="B298" s="3">
        <f>HYPERLINK("https://leetcode.com/problems/minimum-falling-path-sum/", "Minimum Falling Path Sum")</f>
        <v/>
      </c>
      <c r="C298" s="1" t="n">
        <v>6931</v>
      </c>
      <c r="D298" s="1" t="n">
        <v>171</v>
      </c>
      <c r="E298" s="4">
        <f>IF(INDEX(C:C, ROW())+INDEX(D:D, ROW())=0, 0, INDEX(C:C, ROW())/(INDEX(C:C, ROW())+INDEX(D:D, ROW())))</f>
        <v/>
      </c>
      <c r="F298" s="1" t="inlineStr">
        <is>
          <t>Array, Dynamic Programming, Matrix</t>
        </is>
      </c>
      <c r="G298" s="1" t="inlineStr">
        <is>
          <t>Medium</t>
        </is>
      </c>
      <c r="H298" s="1" t="n">
        <v>635467</v>
      </c>
      <c r="I298" s="1" t="n">
        <v>1045269</v>
      </c>
      <c r="J298" s="9" t="n">
        <v>0.608</v>
      </c>
      <c r="K298" s="1" t="inlineStr">
        <is>
          <t>Yes</t>
        </is>
      </c>
      <c r="L298" s="1" t="inlineStr">
        <is>
          <t>Yes</t>
        </is>
      </c>
      <c r="M298" s="1" t="inlineStr">
        <is>
          <t>No</t>
        </is>
      </c>
      <c r="N298" s="1" t="inlineStr">
        <is>
          <t>Algorithms</t>
        </is>
      </c>
      <c r="O2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9" ht="15.75" customHeight="1" s="12">
      <c r="A299" s="1" t="n">
        <v>802</v>
      </c>
      <c r="B299" s="3">
        <f>HYPERLINK("https://leetcode.com/problems/find-eventual-safe-states/", "Find Eventual Safe States")</f>
        <v/>
      </c>
      <c r="C299" s="1" t="n">
        <v>6919</v>
      </c>
      <c r="D299" s="1" t="n">
        <v>523</v>
      </c>
      <c r="E299" s="4">
        <f>IF(INDEX(C:C, ROW())+INDEX(D:D, ROW())=0, 0, INDEX(C:C, ROW())/(INDEX(C:C, ROW())+INDEX(D:D, ROW())))</f>
        <v/>
      </c>
      <c r="F299" s="1" t="inlineStr">
        <is>
          <t>Depth-First Search, Breadth-First Search, Graph Theory, Topological Sort</t>
        </is>
      </c>
      <c r="G299" s="1" t="inlineStr">
        <is>
          <t>Medium</t>
        </is>
      </c>
      <c r="H299" s="1" t="n">
        <v>535760</v>
      </c>
      <c r="I299" s="1" t="n">
        <v>764496</v>
      </c>
      <c r="J299" s="9" t="n">
        <v>0.701</v>
      </c>
      <c r="K299" s="1" t="inlineStr">
        <is>
          <t>Yes</t>
        </is>
      </c>
      <c r="L299" s="1" t="inlineStr">
        <is>
          <t>Yes</t>
        </is>
      </c>
      <c r="M299" s="1" t="inlineStr">
        <is>
          <t>No</t>
        </is>
      </c>
      <c r="N299" s="1" t="inlineStr">
        <is>
          <t>Algorithms</t>
        </is>
      </c>
      <c r="O2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0" ht="15.75" customHeight="1" s="12">
      <c r="A300" s="1" t="n">
        <v>997</v>
      </c>
      <c r="B300" s="3">
        <f>HYPERLINK("https://leetcode.com/problems/find-the-town-judge/", "Find the Town Judge")</f>
        <v/>
      </c>
      <c r="C300" s="1" t="n">
        <v>6918</v>
      </c>
      <c r="D300" s="1" t="n">
        <v>629</v>
      </c>
      <c r="E300" s="4">
        <f>IF(INDEX(C:C, ROW())+INDEX(D:D, ROW())=0, 0, INDEX(C:C, ROW())/(INDEX(C:C, ROW())+INDEX(D:D, ROW())))</f>
        <v/>
      </c>
      <c r="F300" s="1" t="inlineStr">
        <is>
          <t>Array, Hash Table, Graph Theory</t>
        </is>
      </c>
      <c r="G300" s="1" t="inlineStr">
        <is>
          <t>Easy</t>
        </is>
      </c>
      <c r="H300" s="1" t="n">
        <v>726517</v>
      </c>
      <c r="I300" s="1" t="n">
        <v>1440375</v>
      </c>
      <c r="J300" s="9" t="n">
        <v>0.504</v>
      </c>
      <c r="K300" s="1" t="inlineStr">
        <is>
          <t>Yes</t>
        </is>
      </c>
      <c r="L300" s="1" t="inlineStr">
        <is>
          <t>Yes</t>
        </is>
      </c>
      <c r="M300" s="1" t="inlineStr">
        <is>
          <t>No</t>
        </is>
      </c>
      <c r="N300" s="1" t="inlineStr">
        <is>
          <t>Algorithms</t>
        </is>
      </c>
      <c r="O3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1" ht="15.75" customHeight="1" s="12">
      <c r="A301" s="1" t="n">
        <v>493</v>
      </c>
      <c r="B301" s="3">
        <f>HYPERLINK("https://leetcode.com/problems/reverse-pairs/", "Reverse Pairs")</f>
        <v/>
      </c>
      <c r="C301" s="1" t="n">
        <v>6897</v>
      </c>
      <c r="D301" s="1" t="n">
        <v>295</v>
      </c>
      <c r="E301" s="4">
        <f>IF(INDEX(C:C, ROW())+INDEX(D:D, ROW())=0, 0, INDEX(C:C, ROW())/(INDEX(C:C, ROW())+INDEX(D:D, ROW())))</f>
        <v/>
      </c>
      <c r="F301" s="1" t="inlineStr">
        <is>
          <t>Array, Binary Search, Divide and Conquer, Binary Indexed Tree, Segment Tree, Merge Sort, Ordered Set</t>
        </is>
      </c>
      <c r="G301" s="1" t="inlineStr">
        <is>
          <t>Hard</t>
        </is>
      </c>
      <c r="H301" s="1" t="n">
        <v>332483</v>
      </c>
      <c r="I301" s="1" t="n">
        <v>993156</v>
      </c>
      <c r="J301" s="9" t="n">
        <v>0.335</v>
      </c>
      <c r="K301" s="1" t="inlineStr">
        <is>
          <t>Yes</t>
        </is>
      </c>
      <c r="L301" s="1" t="inlineStr">
        <is>
          <t>Yes</t>
        </is>
      </c>
      <c r="M301" s="1" t="inlineStr">
        <is>
          <t>No</t>
        </is>
      </c>
      <c r="N301" s="1" t="inlineStr">
        <is>
          <t>Algorithms</t>
        </is>
      </c>
      <c r="O3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2" ht="15.75" customHeight="1" s="12">
      <c r="A302" s="1" t="n">
        <v>678</v>
      </c>
      <c r="B302" s="3">
        <f>HYPERLINK("https://leetcode.com/problems/valid-parenthesis-string/", "Valid Parenthesis String")</f>
        <v/>
      </c>
      <c r="C302" s="1" t="n">
        <v>6890</v>
      </c>
      <c r="D302" s="1" t="n">
        <v>219</v>
      </c>
      <c r="E302" s="4">
        <f>IF(INDEX(C:C, ROW())+INDEX(D:D, ROW())=0, 0, INDEX(C:C, ROW())/(INDEX(C:C, ROW())+INDEX(D:D, ROW())))</f>
        <v/>
      </c>
      <c r="F302" s="1" t="inlineStr">
        <is>
          <t>String, Dynamic Programming, Stack, Greedy</t>
        </is>
      </c>
      <c r="G302" s="1" t="inlineStr">
        <is>
          <t>Medium</t>
        </is>
      </c>
      <c r="H302" s="1" t="n">
        <v>558351</v>
      </c>
      <c r="I302" s="1" t="n">
        <v>1406651</v>
      </c>
      <c r="J302" s="9" t="n">
        <v>0.397</v>
      </c>
      <c r="K302" s="1" t="inlineStr">
        <is>
          <t>Yes</t>
        </is>
      </c>
      <c r="L302" s="1" t="inlineStr">
        <is>
          <t>Yes</t>
        </is>
      </c>
      <c r="M302" s="1" t="inlineStr">
        <is>
          <t>No</t>
        </is>
      </c>
      <c r="N302" s="1" t="inlineStr">
        <is>
          <t>Algorithms</t>
        </is>
      </c>
      <c r="O3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3" ht="15.75" customHeight="1" s="12">
      <c r="A303" s="1" t="n">
        <v>224</v>
      </c>
      <c r="B303" s="3">
        <f>HYPERLINK("https://leetcode.com/problems/basic-calculator/", "Basic Calculator")</f>
        <v/>
      </c>
      <c r="C303" s="1" t="n">
        <v>6885</v>
      </c>
      <c r="D303" s="1" t="n">
        <v>552</v>
      </c>
      <c r="E303" s="4">
        <f>IF(INDEX(C:C, ROW())+INDEX(D:D, ROW())=0, 0, INDEX(C:C, ROW())/(INDEX(C:C, ROW())+INDEX(D:D, ROW())))</f>
        <v/>
      </c>
      <c r="F303" s="1" t="inlineStr">
        <is>
          <t>Math, String, Stack, Recursion</t>
        </is>
      </c>
      <c r="G303" s="1" t="inlineStr">
        <is>
          <t>Hard</t>
        </is>
      </c>
      <c r="H303" s="1" t="n">
        <v>668602</v>
      </c>
      <c r="I303" s="1" t="n">
        <v>1440689</v>
      </c>
      <c r="J303" s="9" t="n">
        <v>0.464</v>
      </c>
      <c r="K303" s="1" t="inlineStr">
        <is>
          <t>Yes</t>
        </is>
      </c>
      <c r="L303" s="1" t="inlineStr">
        <is>
          <t>Yes</t>
        </is>
      </c>
      <c r="M303" s="1" t="inlineStr">
        <is>
          <t>No</t>
        </is>
      </c>
      <c r="N303" s="1" t="inlineStr">
        <is>
          <t>Algorithms</t>
        </is>
      </c>
      <c r="O3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4" ht="15.75" customHeight="1" s="12">
      <c r="A304" s="1" t="n">
        <v>523</v>
      </c>
      <c r="B304" s="3">
        <f>HYPERLINK("https://leetcode.com/problems/continuous-subarray-sum/", "Continuous Subarray Sum")</f>
        <v/>
      </c>
      <c r="C304" s="1" t="n">
        <v>6855</v>
      </c>
      <c r="D304" s="1" t="n">
        <v>714</v>
      </c>
      <c r="E304" s="4">
        <f>IF(INDEX(C:C, ROW())+INDEX(D:D, ROW())=0, 0, INDEX(C:C, ROW())/(INDEX(C:C, ROW())+INDEX(D:D, ROW())))</f>
        <v/>
      </c>
      <c r="F304" s="1" t="inlineStr">
        <is>
          <t>Array, Hash Table, Math, Prefix Sum</t>
        </is>
      </c>
      <c r="G304" s="1" t="inlineStr">
        <is>
          <t>Medium</t>
        </is>
      </c>
      <c r="H304" s="1" t="n">
        <v>740378</v>
      </c>
      <c r="I304" s="1" t="n">
        <v>2376590</v>
      </c>
      <c r="J304" s="9" t="n">
        <v>0.312</v>
      </c>
      <c r="K304" s="1" t="inlineStr">
        <is>
          <t>Yes</t>
        </is>
      </c>
      <c r="L304" s="1" t="inlineStr">
        <is>
          <t>Yes</t>
        </is>
      </c>
      <c r="M304" s="1" t="inlineStr">
        <is>
          <t>No</t>
        </is>
      </c>
      <c r="N304" s="1" t="inlineStr">
        <is>
          <t>Algorithms</t>
        </is>
      </c>
      <c r="O3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5" ht="15.75" customHeight="1" s="12">
      <c r="A305" s="1" t="n">
        <v>373</v>
      </c>
      <c r="B305" s="3">
        <f>HYPERLINK("https://leetcode.com/problems/find-k-pairs-with-smallest-sums/", "Find K Pairs with Smallest Sums")</f>
        <v/>
      </c>
      <c r="C305" s="1" t="n">
        <v>6853</v>
      </c>
      <c r="D305" s="1" t="n">
        <v>494</v>
      </c>
      <c r="E305" s="4">
        <f>IF(INDEX(C:C, ROW())+INDEX(D:D, ROW())=0, 0, INDEX(C:C, ROW())/(INDEX(C:C, ROW())+INDEX(D:D, ROW())))</f>
        <v/>
      </c>
      <c r="F305" s="1" t="inlineStr">
        <is>
          <t>Array, Heap (Priority Queue)</t>
        </is>
      </c>
      <c r="G305" s="1" t="inlineStr">
        <is>
          <t>Medium</t>
        </is>
      </c>
      <c r="H305" s="1" t="n">
        <v>429888</v>
      </c>
      <c r="I305" s="1" t="n">
        <v>1038174</v>
      </c>
      <c r="J305" s="9" t="n">
        <v>0.414</v>
      </c>
      <c r="K305" s="1" t="inlineStr">
        <is>
          <t>Yes</t>
        </is>
      </c>
      <c r="L305" s="1" t="inlineStr">
        <is>
          <t>Yes</t>
        </is>
      </c>
      <c r="M305" s="1" t="inlineStr">
        <is>
          <t>No</t>
        </is>
      </c>
      <c r="N305" s="1" t="inlineStr">
        <is>
          <t>Algorithms</t>
        </is>
      </c>
      <c r="O3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6" ht="15.75" customHeight="1" s="12">
      <c r="A306" s="1" t="n">
        <v>59</v>
      </c>
      <c r="B306" s="3">
        <f>HYPERLINK("https://leetcode.com/problems/spiral-matrix-ii/", "Spiral Matrix II")</f>
        <v/>
      </c>
      <c r="C306" s="1" t="n">
        <v>6848</v>
      </c>
      <c r="D306" s="1" t="n">
        <v>283</v>
      </c>
      <c r="E306" s="4">
        <f>IF(INDEX(C:C, ROW())+INDEX(D:D, ROW())=0, 0, INDEX(C:C, ROW())/(INDEX(C:C, ROW())+INDEX(D:D, ROW())))</f>
        <v/>
      </c>
      <c r="F306" s="1" t="inlineStr">
        <is>
          <t>Array, Matrix, Simulation</t>
        </is>
      </c>
      <c r="G306" s="1" t="inlineStr">
        <is>
          <t>Medium</t>
        </is>
      </c>
      <c r="H306" s="1" t="n">
        <v>766914</v>
      </c>
      <c r="I306" s="1" t="n">
        <v>1029857</v>
      </c>
      <c r="J306" s="9" t="n">
        <v>0.745</v>
      </c>
      <c r="K306" s="1" t="inlineStr">
        <is>
          <t>Yes</t>
        </is>
      </c>
      <c r="L306" s="1" t="inlineStr">
        <is>
          <t>Yes</t>
        </is>
      </c>
      <c r="M306" s="1" t="inlineStr">
        <is>
          <t>No</t>
        </is>
      </c>
      <c r="N306" s="1" t="inlineStr">
        <is>
          <t>Algorithms</t>
        </is>
      </c>
      <c r="O3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7" ht="15.75" customHeight="1" s="12">
      <c r="A307" s="1" t="n">
        <v>881</v>
      </c>
      <c r="B307" s="3">
        <f>HYPERLINK("https://leetcode.com/problems/boats-to-save-people/", "Boats to Save People")</f>
        <v/>
      </c>
      <c r="C307" s="1" t="n">
        <v>6840</v>
      </c>
      <c r="D307" s="1" t="n">
        <v>176</v>
      </c>
      <c r="E307" s="4">
        <f>IF(INDEX(C:C, ROW())+INDEX(D:D, ROW())=0, 0, INDEX(C:C, ROW())/(INDEX(C:C, ROW())+INDEX(D:D, ROW())))</f>
        <v/>
      </c>
      <c r="F307" s="1" t="inlineStr">
        <is>
          <t>Array, Two Pointers, Greedy, Sorting</t>
        </is>
      </c>
      <c r="G307" s="1" t="inlineStr">
        <is>
          <t>Medium</t>
        </is>
      </c>
      <c r="H307" s="1" t="n">
        <v>533043</v>
      </c>
      <c r="I307" s="1" t="n">
        <v>871740</v>
      </c>
      <c r="J307" s="9" t="n">
        <v>0.611</v>
      </c>
      <c r="K307" s="1" t="inlineStr">
        <is>
          <t>Yes</t>
        </is>
      </c>
      <c r="L307" s="1" t="inlineStr">
        <is>
          <t>Yes</t>
        </is>
      </c>
      <c r="M307" s="1" t="inlineStr">
        <is>
          <t>No</t>
        </is>
      </c>
      <c r="N307" s="1" t="inlineStr">
        <is>
          <t>Algorithms</t>
        </is>
      </c>
      <c r="O3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8" ht="15.75" customHeight="1" s="12">
      <c r="A308" s="1" t="n">
        <v>225</v>
      </c>
      <c r="B308" s="3">
        <f>HYPERLINK("https://leetcode.com/problems/implement-stack-using-queues/", "Implement Stack using Queues")</f>
        <v/>
      </c>
      <c r="C308" s="1" t="n">
        <v>6831</v>
      </c>
      <c r="D308" s="1" t="n">
        <v>1278</v>
      </c>
      <c r="E308" s="4">
        <f>IF(INDEX(C:C, ROW())+INDEX(D:D, ROW())=0, 0, INDEX(C:C, ROW())/(INDEX(C:C, ROW())+INDEX(D:D, ROW())))</f>
        <v/>
      </c>
      <c r="F308" s="1" t="inlineStr">
        <is>
          <t>Stack, Design, Queue</t>
        </is>
      </c>
      <c r="G308" s="1" t="inlineStr">
        <is>
          <t>Easy</t>
        </is>
      </c>
      <c r="H308" s="1" t="n">
        <v>1071941</v>
      </c>
      <c r="I308" s="1" t="n">
        <v>1553220</v>
      </c>
      <c r="J308" s="9" t="n">
        <v>0.6899999999999999</v>
      </c>
      <c r="K308" s="1" t="inlineStr">
        <is>
          <t>Yes</t>
        </is>
      </c>
      <c r="L308" s="1" t="inlineStr">
        <is>
          <t>Yes</t>
        </is>
      </c>
      <c r="M308" s="1" t="inlineStr">
        <is>
          <t>No</t>
        </is>
      </c>
      <c r="N308" s="1" t="inlineStr">
        <is>
          <t>Algorithms</t>
        </is>
      </c>
      <c r="O3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9" ht="15.75" customHeight="1" s="12">
      <c r="A309" s="1" t="n">
        <v>264</v>
      </c>
      <c r="B309" s="3">
        <f>HYPERLINK("https://leetcode.com/problems/ugly-number-ii/", "Ugly Number II")</f>
        <v/>
      </c>
      <c r="C309" s="1" t="n">
        <v>6825</v>
      </c>
      <c r="D309" s="1" t="n">
        <v>439</v>
      </c>
      <c r="E309" s="4">
        <f>IF(INDEX(C:C, ROW())+INDEX(D:D, ROW())=0, 0, INDEX(C:C, ROW())/(INDEX(C:C, ROW())+INDEX(D:D, ROW())))</f>
        <v/>
      </c>
      <c r="F309" s="1" t="inlineStr">
        <is>
          <t>Hash Table, Math, Dynamic Programming, Heap (Priority Queue)</t>
        </is>
      </c>
      <c r="G309" s="1" t="inlineStr">
        <is>
          <t>Medium</t>
        </is>
      </c>
      <c r="H309" s="1" t="n">
        <v>522987</v>
      </c>
      <c r="I309" s="1" t="n">
        <v>1057570</v>
      </c>
      <c r="J309" s="9" t="n">
        <v>0.495</v>
      </c>
      <c r="K309" s="1" t="inlineStr">
        <is>
          <t>Yes</t>
        </is>
      </c>
      <c r="L309" s="1" t="inlineStr">
        <is>
          <t>Yes</t>
        </is>
      </c>
      <c r="M309" s="1" t="inlineStr">
        <is>
          <t>No</t>
        </is>
      </c>
      <c r="N309" s="1" t="inlineStr">
        <is>
          <t>Algorithms</t>
        </is>
      </c>
      <c r="O3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0" ht="15.75" customHeight="1" s="12">
      <c r="A310" s="1" t="n">
        <v>992</v>
      </c>
      <c r="B310" s="3">
        <f>HYPERLINK("https://leetcode.com/problems/subarrays-with-k-different-integers/", "Subarrays with K Different Integers")</f>
        <v/>
      </c>
      <c r="C310" s="1" t="n">
        <v>6816</v>
      </c>
      <c r="D310" s="1" t="n">
        <v>117</v>
      </c>
      <c r="E310" s="4">
        <f>IF(INDEX(C:C, ROW())+INDEX(D:D, ROW())=0, 0, INDEX(C:C, ROW())/(INDEX(C:C, ROW())+INDEX(D:D, ROW())))</f>
        <v/>
      </c>
      <c r="F310" s="1" t="inlineStr">
        <is>
          <t>Array, Hash Table, Sliding Window, Counting</t>
        </is>
      </c>
      <c r="G310" s="1" t="inlineStr">
        <is>
          <t>Hard</t>
        </is>
      </c>
      <c r="H310" s="1" t="n">
        <v>363811</v>
      </c>
      <c r="I310" s="1" t="n">
        <v>540389</v>
      </c>
      <c r="J310" s="9" t="n">
        <v>0.673</v>
      </c>
      <c r="K310" s="1" t="inlineStr">
        <is>
          <t>Yes</t>
        </is>
      </c>
      <c r="L310" s="1" t="inlineStr">
        <is>
          <t>Yes</t>
        </is>
      </c>
      <c r="M310" s="1" t="inlineStr">
        <is>
          <t>No</t>
        </is>
      </c>
      <c r="N310" s="1" t="inlineStr">
        <is>
          <t>Algorithms</t>
        </is>
      </c>
      <c r="O3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1" ht="15.75" customHeight="1" s="12">
      <c r="A311" s="1" t="n">
        <v>459</v>
      </c>
      <c r="B311" s="3">
        <f>HYPERLINK("https://leetcode.com/problems/repeated-substring-pattern/", "Repeated Substring Pattern")</f>
        <v/>
      </c>
      <c r="C311" s="1" t="n">
        <v>6805</v>
      </c>
      <c r="D311" s="1" t="n">
        <v>563</v>
      </c>
      <c r="E311" s="4">
        <f>IF(INDEX(C:C, ROW())+INDEX(D:D, ROW())=0, 0, INDEX(C:C, ROW())/(INDEX(C:C, ROW())+INDEX(D:D, ROW())))</f>
        <v/>
      </c>
      <c r="F311" s="1" t="inlineStr">
        <is>
          <t>String, String Matching</t>
        </is>
      </c>
      <c r="G311" s="1" t="inlineStr">
        <is>
          <t>Easy</t>
        </is>
      </c>
      <c r="H311" s="1" t="n">
        <v>584671</v>
      </c>
      <c r="I311" s="1" t="n">
        <v>1226330</v>
      </c>
      <c r="J311" s="9" t="n">
        <v>0.477</v>
      </c>
      <c r="K311" s="1" t="inlineStr">
        <is>
          <t>Yes</t>
        </is>
      </c>
      <c r="L311" s="1" t="inlineStr">
        <is>
          <t>Yes</t>
        </is>
      </c>
      <c r="M311" s="1" t="inlineStr">
        <is>
          <t>No</t>
        </is>
      </c>
      <c r="N311" s="1" t="inlineStr">
        <is>
          <t>Algorithms</t>
        </is>
      </c>
      <c r="O3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2" ht="15.75" customHeight="1" s="12">
      <c r="A312" s="1" t="n">
        <v>368</v>
      </c>
      <c r="B312" s="3">
        <f>HYPERLINK("https://leetcode.com/problems/largest-divisible-subset/", "Largest Divisible Subset")</f>
        <v/>
      </c>
      <c r="C312" s="1" t="n">
        <v>6802</v>
      </c>
      <c r="D312" s="1" t="n">
        <v>327</v>
      </c>
      <c r="E312" s="4">
        <f>IF(INDEX(C:C, ROW())+INDEX(D:D, ROW())=0, 0, INDEX(C:C, ROW())/(INDEX(C:C, ROW())+INDEX(D:D, ROW())))</f>
        <v/>
      </c>
      <c r="F312" s="1" t="inlineStr">
        <is>
          <t>Array, Math, Dynamic Programming, Sorting</t>
        </is>
      </c>
      <c r="G312" s="1" t="inlineStr">
        <is>
          <t>Medium</t>
        </is>
      </c>
      <c r="H312" s="1" t="n">
        <v>484520</v>
      </c>
      <c r="I312" s="1" t="n">
        <v>982962</v>
      </c>
      <c r="J312" s="9" t="n">
        <v>0.493</v>
      </c>
      <c r="K312" s="1" t="inlineStr">
        <is>
          <t>Yes</t>
        </is>
      </c>
      <c r="L312" s="1" t="inlineStr">
        <is>
          <t>Yes</t>
        </is>
      </c>
      <c r="M312" s="1" t="inlineStr">
        <is>
          <t>No</t>
        </is>
      </c>
      <c r="N312" s="1" t="inlineStr">
        <is>
          <t>Algorithms</t>
        </is>
      </c>
      <c r="O3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3" ht="15.75" customHeight="1" s="12">
      <c r="A313" s="1" t="n">
        <v>349</v>
      </c>
      <c r="B313" s="3">
        <f>HYPERLINK("https://leetcode.com/problems/intersection-of-two-arrays/", "Intersection of Two Arrays")</f>
        <v/>
      </c>
      <c r="C313" s="1" t="n">
        <v>6786</v>
      </c>
      <c r="D313" s="1" t="n">
        <v>2341</v>
      </c>
      <c r="E313" s="4">
        <f>IF(INDEX(C:C, ROW())+INDEX(D:D, ROW())=0, 0, INDEX(C:C, ROW())/(INDEX(C:C, ROW())+INDEX(D:D, ROW())))</f>
        <v/>
      </c>
      <c r="F313" s="1" t="inlineStr">
        <is>
          <t>Array, Hash Table, Two Pointers, Binary Search, Sorting</t>
        </is>
      </c>
      <c r="G313" s="1" t="inlineStr">
        <is>
          <t>Easy</t>
        </is>
      </c>
      <c r="H313" s="1" t="n">
        <v>1747571</v>
      </c>
      <c r="I313" s="1" t="n">
        <v>2260404</v>
      </c>
      <c r="J313" s="9" t="n">
        <v>0.773</v>
      </c>
      <c r="K313" s="1" t="inlineStr">
        <is>
          <t>Yes</t>
        </is>
      </c>
      <c r="L313" s="1" t="inlineStr">
        <is>
          <t>Yes</t>
        </is>
      </c>
      <c r="M313" s="1" t="inlineStr">
        <is>
          <t>No</t>
        </is>
      </c>
      <c r="N313" s="1" t="inlineStr">
        <is>
          <t>Algorithms</t>
        </is>
      </c>
      <c r="O3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4" ht="15.75" customHeight="1" s="12">
      <c r="A314" s="1" t="n">
        <v>289</v>
      </c>
      <c r="B314" s="3">
        <f>HYPERLINK("https://leetcode.com/problems/game-of-life/", "Game of Life")</f>
        <v/>
      </c>
      <c r="C314" s="1" t="n">
        <v>6772</v>
      </c>
      <c r="D314" s="1" t="n">
        <v>613</v>
      </c>
      <c r="E314" s="4">
        <f>IF(INDEX(C:C, ROW())+INDEX(D:D, ROW())=0, 0, INDEX(C:C, ROW())/(INDEX(C:C, ROW())+INDEX(D:D, ROW())))</f>
        <v/>
      </c>
      <c r="F314" s="1" t="inlineStr">
        <is>
          <t>Array, Matrix, Simulation</t>
        </is>
      </c>
      <c r="G314" s="1" t="inlineStr">
        <is>
          <t>Medium</t>
        </is>
      </c>
      <c r="H314" s="1" t="n">
        <v>616960</v>
      </c>
      <c r="I314" s="1" t="n">
        <v>854359</v>
      </c>
      <c r="J314" s="9" t="n">
        <v>0.722</v>
      </c>
      <c r="K314" s="1" t="inlineStr">
        <is>
          <t>Yes</t>
        </is>
      </c>
      <c r="L314" s="1" t="inlineStr">
        <is>
          <t>Yes</t>
        </is>
      </c>
      <c r="M314" s="1" t="inlineStr">
        <is>
          <t>Yes</t>
        </is>
      </c>
      <c r="N314" s="1" t="inlineStr">
        <is>
          <t>Algorithms</t>
        </is>
      </c>
      <c r="O3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5" ht="15.75" customHeight="1" s="12">
      <c r="A315" s="1" t="n">
        <v>260</v>
      </c>
      <c r="B315" s="3">
        <f>HYPERLINK("https://leetcode.com/problems/single-number-iii/", "Single Number III")</f>
        <v/>
      </c>
      <c r="C315" s="1" t="n">
        <v>6744</v>
      </c>
      <c r="D315" s="1" t="n">
        <v>276</v>
      </c>
      <c r="E315" s="4">
        <f>IF(INDEX(C:C, ROW())+INDEX(D:D, ROW())=0, 0, INDEX(C:C, ROW())/(INDEX(C:C, ROW())+INDEX(D:D, ROW())))</f>
        <v/>
      </c>
      <c r="F315" s="1" t="inlineStr">
        <is>
          <t>Array, Bit Manipulation</t>
        </is>
      </c>
      <c r="G315" s="1" t="inlineStr">
        <is>
          <t>Medium</t>
        </is>
      </c>
      <c r="H315" s="1" t="n">
        <v>573780</v>
      </c>
      <c r="I315" s="1" t="n">
        <v>814645</v>
      </c>
      <c r="J315" s="9" t="n">
        <v>0.704</v>
      </c>
      <c r="K315" s="1" t="inlineStr">
        <is>
          <t>Yes</t>
        </is>
      </c>
      <c r="L315" s="1" t="inlineStr">
        <is>
          <t>Yes</t>
        </is>
      </c>
      <c r="M315" s="1" t="inlineStr">
        <is>
          <t>No</t>
        </is>
      </c>
      <c r="N315" s="1" t="inlineStr">
        <is>
          <t>Algorithms</t>
        </is>
      </c>
      <c r="O3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6" ht="15.75" customHeight="1" s="12">
      <c r="A316" s="1" t="n">
        <v>1631</v>
      </c>
      <c r="B316" s="3">
        <f>HYPERLINK("https://leetcode.com/problems/path-with-minimum-effort/", "Path With Minimum Effort")</f>
        <v/>
      </c>
      <c r="C316" s="1" t="n">
        <v>6718</v>
      </c>
      <c r="D316" s="1" t="n">
        <v>235</v>
      </c>
      <c r="E316" s="4">
        <f>IF(INDEX(C:C, ROW())+INDEX(D:D, ROW())=0, 0, INDEX(C:C, ROW())/(INDEX(C:C, ROW())+INDEX(D:D, ROW())))</f>
        <v/>
      </c>
      <c r="F316" s="1" t="inlineStr">
        <is>
          <t>Array, Binary Search, Depth-First Search, Breadth-First Search, Union-Find, Heap (Priority Queue), Matrix</t>
        </is>
      </c>
      <c r="G316" s="1" t="inlineStr">
        <is>
          <t>Medium</t>
        </is>
      </c>
      <c r="H316" s="1" t="n">
        <v>425639</v>
      </c>
      <c r="I316" s="1" t="n">
        <v>679984</v>
      </c>
      <c r="J316" s="9" t="n">
        <v>0.626</v>
      </c>
      <c r="K316" s="1" t="inlineStr">
        <is>
          <t>Yes</t>
        </is>
      </c>
      <c r="L316" s="1" t="inlineStr">
        <is>
          <t>Yes</t>
        </is>
      </c>
      <c r="M316" s="1" t="inlineStr">
        <is>
          <t>No</t>
        </is>
      </c>
      <c r="N316" s="1" t="inlineStr">
        <is>
          <t>Algorithms</t>
        </is>
      </c>
      <c r="O3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7" ht="15.75" customHeight="1" s="12">
      <c r="A317" s="1" t="n">
        <v>1008</v>
      </c>
      <c r="B317" s="3">
        <f>HYPERLINK("https://leetcode.com/problems/construct-binary-search-tree-from-preorder-traversal/", "Construct Binary Search Tree from Preorder Traversal")</f>
        <v/>
      </c>
      <c r="C317" s="1" t="n">
        <v>6703</v>
      </c>
      <c r="D317" s="1" t="n">
        <v>93</v>
      </c>
      <c r="E317" s="4">
        <f>IF(INDEX(C:C, ROW())+INDEX(D:D, ROW())=0, 0, INDEX(C:C, ROW())/(INDEX(C:C, ROW())+INDEX(D:D, ROW())))</f>
        <v/>
      </c>
      <c r="F317" s="1" t="inlineStr">
        <is>
          <t>Array, Stack, Tree, Binary Search Tree, Monotonic Stack, Binary Tree</t>
        </is>
      </c>
      <c r="G317" s="1" t="inlineStr">
        <is>
          <t>Medium</t>
        </is>
      </c>
      <c r="H317" s="1" t="n">
        <v>519720</v>
      </c>
      <c r="I317" s="1" t="n">
        <v>618824</v>
      </c>
      <c r="J317" s="9" t="n">
        <v>0.84</v>
      </c>
      <c r="K317" s="1" t="inlineStr">
        <is>
          <t>Yes</t>
        </is>
      </c>
      <c r="L317" s="1" t="inlineStr">
        <is>
          <t>Yes</t>
        </is>
      </c>
      <c r="M317" s="1" t="inlineStr">
        <is>
          <t>No</t>
        </is>
      </c>
      <c r="N317" s="1" t="inlineStr">
        <is>
          <t>Algorithms</t>
        </is>
      </c>
      <c r="O3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8" ht="15.75" customHeight="1" s="12">
      <c r="A318" s="1" t="n">
        <v>485</v>
      </c>
      <c r="B318" s="3">
        <f>HYPERLINK("https://leetcode.com/problems/max-consecutive-ones/", "Max Consecutive Ones")</f>
        <v/>
      </c>
      <c r="C318" s="1" t="n">
        <v>6681</v>
      </c>
      <c r="D318" s="1" t="n">
        <v>490</v>
      </c>
      <c r="E318" s="4">
        <f>IF(INDEX(C:C, ROW())+INDEX(D:D, ROW())=0, 0, INDEX(C:C, ROW())/(INDEX(C:C, ROW())+INDEX(D:D, ROW())))</f>
        <v/>
      </c>
      <c r="F318" s="1" t="inlineStr">
        <is>
          <t>Array</t>
        </is>
      </c>
      <c r="G318" s="1" t="inlineStr">
        <is>
          <t>Easy</t>
        </is>
      </c>
      <c r="H318" s="1" t="n">
        <v>2053088</v>
      </c>
      <c r="I318" s="1" t="n">
        <v>3194221</v>
      </c>
      <c r="J318" s="9" t="n">
        <v>0.643</v>
      </c>
      <c r="K318" s="1" t="inlineStr">
        <is>
          <t>Yes</t>
        </is>
      </c>
      <c r="L318" s="1" t="inlineStr">
        <is>
          <t>Yes</t>
        </is>
      </c>
      <c r="M318" s="1" t="inlineStr">
        <is>
          <t>No</t>
        </is>
      </c>
      <c r="N318" s="1" t="inlineStr">
        <is>
          <t>Algorithms</t>
        </is>
      </c>
      <c r="O3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9" ht="15.75" customHeight="1" s="12">
      <c r="A319" s="1" t="n">
        <v>395</v>
      </c>
      <c r="B319" s="3">
        <f>HYPERLINK("https://leetcode.com/problems/longest-substring-with-at-least-k-repeating-characters/", "Longest Substring with At Least K Repeating Characters")</f>
        <v/>
      </c>
      <c r="C319" s="1" t="n">
        <v>6659</v>
      </c>
      <c r="D319" s="1" t="n">
        <v>563</v>
      </c>
      <c r="E319" s="4">
        <f>IF(INDEX(C:C, ROW())+INDEX(D:D, ROW())=0, 0, INDEX(C:C, ROW())/(INDEX(C:C, ROW())+INDEX(D:D, ROW())))</f>
        <v/>
      </c>
      <c r="F319" s="1" t="inlineStr">
        <is>
          <t>Hash Table, String, Divide and Conquer, Sliding Window</t>
        </is>
      </c>
      <c r="G319" s="1" t="inlineStr">
        <is>
          <t>Medium</t>
        </is>
      </c>
      <c r="H319" s="1" t="n">
        <v>286457</v>
      </c>
      <c r="I319" s="1" t="n">
        <v>623847</v>
      </c>
      <c r="J319" s="9" t="n">
        <v>0.459</v>
      </c>
      <c r="K319" s="1" t="inlineStr">
        <is>
          <t>Yes</t>
        </is>
      </c>
      <c r="L319" s="1" t="inlineStr">
        <is>
          <t>Yes</t>
        </is>
      </c>
      <c r="M319" s="1" t="inlineStr">
        <is>
          <t>No</t>
        </is>
      </c>
      <c r="N319" s="1" t="inlineStr">
        <is>
          <t>Algorithms</t>
        </is>
      </c>
      <c r="O3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0" ht="15.75" customHeight="1" s="12">
      <c r="A320" s="1" t="n">
        <v>1192</v>
      </c>
      <c r="B320" s="3">
        <f>HYPERLINK("https://leetcode.com/problems/critical-connections-in-a-network/", "Critical Connections in a Network")</f>
        <v/>
      </c>
      <c r="C320" s="1" t="n">
        <v>6653</v>
      </c>
      <c r="D320" s="1" t="n">
        <v>192</v>
      </c>
      <c r="E320" s="4">
        <f>IF(INDEX(C:C, ROW())+INDEX(D:D, ROW())=0, 0, INDEX(C:C, ROW())/(INDEX(C:C, ROW())+INDEX(D:D, ROW())))</f>
        <v/>
      </c>
      <c r="F320" s="1" t="inlineStr">
        <is>
          <t>Depth-First Search, Graph Theory, Biconnected Component</t>
        </is>
      </c>
      <c r="G320" s="1" t="inlineStr">
        <is>
          <t>Hard</t>
        </is>
      </c>
      <c r="H320" s="1" t="n">
        <v>309523</v>
      </c>
      <c r="I320" s="1" t="n">
        <v>523753</v>
      </c>
      <c r="J320" s="9" t="n">
        <v>0.591</v>
      </c>
      <c r="K320" s="1" t="inlineStr">
        <is>
          <t>Yes</t>
        </is>
      </c>
      <c r="L320" s="1" t="inlineStr">
        <is>
          <t>Yes</t>
        </is>
      </c>
      <c r="M320" s="1" t="inlineStr">
        <is>
          <t>No</t>
        </is>
      </c>
      <c r="N320" s="1" t="inlineStr">
        <is>
          <t>Algorithms</t>
        </is>
      </c>
      <c r="O3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1" ht="15.75" customHeight="1" s="12">
      <c r="A321" s="1" t="n">
        <v>841</v>
      </c>
      <c r="B321" s="3">
        <f>HYPERLINK("https://leetcode.com/problems/keys-and-rooms/", "Keys and Rooms")</f>
        <v/>
      </c>
      <c r="C321" s="1" t="n">
        <v>6616</v>
      </c>
      <c r="D321" s="1" t="n">
        <v>299</v>
      </c>
      <c r="E321" s="4">
        <f>IF(INDEX(C:C, ROW())+INDEX(D:D, ROW())=0, 0, INDEX(C:C, ROW())/(INDEX(C:C, ROW())+INDEX(D:D, ROW())))</f>
        <v/>
      </c>
      <c r="F321" s="1" t="inlineStr">
        <is>
          <t>Depth-First Search, Breadth-First Search, Graph Theory</t>
        </is>
      </c>
      <c r="G321" s="1" t="inlineStr">
        <is>
          <t>Medium</t>
        </is>
      </c>
      <c r="H321" s="1" t="n">
        <v>654685</v>
      </c>
      <c r="I321" s="1" t="n">
        <v>868640</v>
      </c>
      <c r="J321" s="9" t="n">
        <v>0.754</v>
      </c>
      <c r="K321" s="1" t="inlineStr">
        <is>
          <t>Yes</t>
        </is>
      </c>
      <c r="L321" s="1" t="inlineStr">
        <is>
          <t>Yes</t>
        </is>
      </c>
      <c r="M321" s="1" t="inlineStr">
        <is>
          <t>No</t>
        </is>
      </c>
      <c r="N321" s="1" t="inlineStr">
        <is>
          <t>Algorithms</t>
        </is>
      </c>
      <c r="O3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2" ht="15.75" customHeight="1" s="12">
      <c r="A322" s="1" t="n">
        <v>1046</v>
      </c>
      <c r="B322" s="3">
        <f>HYPERLINK("https://leetcode.com/problems/last-stone-weight/", "Last Stone Weight")</f>
        <v/>
      </c>
      <c r="C322" s="1" t="n">
        <v>6569</v>
      </c>
      <c r="D322" s="1" t="n">
        <v>154</v>
      </c>
      <c r="E322" s="4">
        <f>IF(INDEX(C:C, ROW())+INDEX(D:D, ROW())=0, 0, INDEX(C:C, ROW())/(INDEX(C:C, ROW())+INDEX(D:D, ROW())))</f>
        <v/>
      </c>
      <c r="F322" s="1" t="inlineStr">
        <is>
          <t>Array, Heap (Priority Queue)</t>
        </is>
      </c>
      <c r="G322" s="1" t="inlineStr">
        <is>
          <t>Easy</t>
        </is>
      </c>
      <c r="H322" s="1" t="n">
        <v>878293</v>
      </c>
      <c r="I322" s="1" t="n">
        <v>1325790</v>
      </c>
      <c r="J322" s="9" t="n">
        <v>0.662</v>
      </c>
      <c r="K322" s="1" t="inlineStr">
        <is>
          <t>Yes</t>
        </is>
      </c>
      <c r="L322" s="1" t="inlineStr">
        <is>
          <t>Yes</t>
        </is>
      </c>
      <c r="M322" s="1" t="inlineStr">
        <is>
          <t>No</t>
        </is>
      </c>
      <c r="N322" s="1" t="inlineStr">
        <is>
          <t>Algorithms</t>
        </is>
      </c>
      <c r="O3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3" ht="15.75" customHeight="1" s="12">
      <c r="A323" s="1" t="n">
        <v>216</v>
      </c>
      <c r="B323" s="3">
        <f>HYPERLINK("https://leetcode.com/problems/combination-sum-iii/", "Combination Sum III")</f>
        <v/>
      </c>
      <c r="C323" s="1" t="n">
        <v>6566</v>
      </c>
      <c r="D323" s="1" t="n">
        <v>122</v>
      </c>
      <c r="E323" s="4">
        <f>IF(INDEX(C:C, ROW())+INDEX(D:D, ROW())=0, 0, INDEX(C:C, ROW())/(INDEX(C:C, ROW())+INDEX(D:D, ROW())))</f>
        <v/>
      </c>
      <c r="F323" s="1" t="inlineStr">
        <is>
          <t>Array, Backtracking</t>
        </is>
      </c>
      <c r="G323" s="1" t="inlineStr">
        <is>
          <t>Medium</t>
        </is>
      </c>
      <c r="H323" s="1" t="n">
        <v>761294</v>
      </c>
      <c r="I323" s="1" t="n">
        <v>1045954</v>
      </c>
      <c r="J323" s="9" t="n">
        <v>0.728</v>
      </c>
      <c r="K323" s="1" t="inlineStr">
        <is>
          <t>Yes</t>
        </is>
      </c>
      <c r="L323" s="1" t="inlineStr">
        <is>
          <t>Yes</t>
        </is>
      </c>
      <c r="M323" s="1" t="inlineStr">
        <is>
          <t>No</t>
        </is>
      </c>
      <c r="N323" s="1" t="inlineStr">
        <is>
          <t>Algorithms</t>
        </is>
      </c>
      <c r="O3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4" ht="15.75" customHeight="1" s="12">
      <c r="A324" s="1" t="n">
        <v>227</v>
      </c>
      <c r="B324" s="3">
        <f>HYPERLINK("https://leetcode.com/problems/basic-calculator-ii/", "Basic Calculator II")</f>
        <v/>
      </c>
      <c r="C324" s="1" t="n">
        <v>6557</v>
      </c>
      <c r="D324" s="1" t="n">
        <v>949</v>
      </c>
      <c r="E324" s="4">
        <f>IF(INDEX(C:C, ROW())+INDEX(D:D, ROW())=0, 0, INDEX(C:C, ROW())/(INDEX(C:C, ROW())+INDEX(D:D, ROW())))</f>
        <v/>
      </c>
      <c r="F324" s="1" t="inlineStr">
        <is>
          <t>Math, String, Stack</t>
        </is>
      </c>
      <c r="G324" s="1" t="inlineStr">
        <is>
          <t>Medium</t>
        </is>
      </c>
      <c r="H324" s="1" t="n">
        <v>918195</v>
      </c>
      <c r="I324" s="1" t="n">
        <v>1972937</v>
      </c>
      <c r="J324" s="9" t="n">
        <v>0.465</v>
      </c>
      <c r="K324" s="1" t="inlineStr">
        <is>
          <t>Yes</t>
        </is>
      </c>
      <c r="L324" s="1" t="inlineStr">
        <is>
          <t>Yes</t>
        </is>
      </c>
      <c r="M324" s="1" t="inlineStr">
        <is>
          <t>No</t>
        </is>
      </c>
      <c r="N324" s="1" t="inlineStr">
        <is>
          <t>Algorithms</t>
        </is>
      </c>
      <c r="O3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5" ht="15.75" customHeight="1" s="12">
      <c r="A325" s="1" t="n">
        <v>126</v>
      </c>
      <c r="B325" s="3">
        <f>HYPERLINK("https://leetcode.com/problems/word-ladder-ii/", "Word Ladder II")</f>
        <v/>
      </c>
      <c r="C325" s="1" t="n">
        <v>6503</v>
      </c>
      <c r="D325" s="1" t="n">
        <v>828</v>
      </c>
      <c r="E325" s="4">
        <f>IF(INDEX(C:C, ROW())+INDEX(D:D, ROW())=0, 0, INDEX(C:C, ROW())/(INDEX(C:C, ROW())+INDEX(D:D, ROW())))</f>
        <v/>
      </c>
      <c r="F325" s="1" t="inlineStr">
        <is>
          <t>Hash Table, String, Backtracking, Breadth-First Search</t>
        </is>
      </c>
      <c r="G325" s="1" t="inlineStr">
        <is>
          <t>Hard</t>
        </is>
      </c>
      <c r="H325" s="1" t="n">
        <v>446152</v>
      </c>
      <c r="I325" s="1" t="n">
        <v>1625639</v>
      </c>
      <c r="J325" s="9" t="n">
        <v>0.274</v>
      </c>
      <c r="K325" s="1" t="inlineStr">
        <is>
          <t>Yes</t>
        </is>
      </c>
      <c r="L325" s="1" t="inlineStr">
        <is>
          <t>Yes</t>
        </is>
      </c>
      <c r="M325" s="1" t="inlineStr">
        <is>
          <t>No</t>
        </is>
      </c>
      <c r="N325" s="1" t="inlineStr">
        <is>
          <t>Algorithms</t>
        </is>
      </c>
      <c r="O3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6" ht="15.75" customHeight="1" s="12">
      <c r="A326" s="1" t="n">
        <v>700</v>
      </c>
      <c r="B326" s="3">
        <f>HYPERLINK("https://leetcode.com/problems/search-in-a-binary-search-tree/", "Search in a Binary Search Tree")</f>
        <v/>
      </c>
      <c r="C326" s="1" t="n">
        <v>6486</v>
      </c>
      <c r="D326" s="1" t="n">
        <v>217</v>
      </c>
      <c r="E326" s="4">
        <f>IF(INDEX(C:C, ROW())+INDEX(D:D, ROW())=0, 0, INDEX(C:C, ROW())/(INDEX(C:C, ROW())+INDEX(D:D, ROW())))</f>
        <v/>
      </c>
      <c r="F326" s="1" t="inlineStr">
        <is>
          <t>Tree, Binary Search Tree, Binary Tree</t>
        </is>
      </c>
      <c r="G326" s="1" t="inlineStr">
        <is>
          <t>Easy</t>
        </is>
      </c>
      <c r="H326" s="1" t="n">
        <v>1311831</v>
      </c>
      <c r="I326" s="1" t="n">
        <v>1592850</v>
      </c>
      <c r="J326" s="9" t="n">
        <v>0.824</v>
      </c>
      <c r="K326" s="1" t="inlineStr">
        <is>
          <t>Yes</t>
        </is>
      </c>
      <c r="L326" s="1" t="inlineStr">
        <is>
          <t>Yes</t>
        </is>
      </c>
      <c r="M326" s="1" t="inlineStr">
        <is>
          <t>No</t>
        </is>
      </c>
      <c r="N326" s="1" t="inlineStr">
        <is>
          <t>Algorithms</t>
        </is>
      </c>
      <c r="O3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7" ht="15.75" customHeight="1" s="12">
      <c r="A327" s="1" t="n">
        <v>71</v>
      </c>
      <c r="B327" s="3">
        <f>HYPERLINK("https://leetcode.com/problems/simplify-path/", "Simplify Path")</f>
        <v/>
      </c>
      <c r="C327" s="1" t="n">
        <v>6437</v>
      </c>
      <c r="D327" s="1" t="n">
        <v>1396</v>
      </c>
      <c r="E327" s="4">
        <f>IF(INDEX(C:C, ROW())+INDEX(D:D, ROW())=0, 0, INDEX(C:C, ROW())/(INDEX(C:C, ROW())+INDEX(D:D, ROW())))</f>
        <v/>
      </c>
      <c r="F327" s="1" t="inlineStr">
        <is>
          <t>String, Stack</t>
        </is>
      </c>
      <c r="G327" s="1" t="inlineStr">
        <is>
          <t>Medium</t>
        </is>
      </c>
      <c r="H327" s="1" t="n">
        <v>1254603</v>
      </c>
      <c r="I327" s="1" t="n">
        <v>2522800</v>
      </c>
      <c r="J327" s="9" t="n">
        <v>0.497</v>
      </c>
      <c r="K327" s="1" t="inlineStr">
        <is>
          <t>Yes</t>
        </is>
      </c>
      <c r="L327" s="1" t="inlineStr">
        <is>
          <t>Yes</t>
        </is>
      </c>
      <c r="M327" s="1" t="inlineStr">
        <is>
          <t>Yes</t>
        </is>
      </c>
      <c r="N327" s="1" t="inlineStr">
        <is>
          <t>Algorithms</t>
        </is>
      </c>
      <c r="O3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8" ht="15.75" customHeight="1" s="12">
      <c r="A328" s="1" t="n">
        <v>354</v>
      </c>
      <c r="B328" s="3">
        <f>HYPERLINK("https://leetcode.com/problems/russian-doll-envelopes/", "Russian Doll Envelopes")</f>
        <v/>
      </c>
      <c r="C328" s="1" t="n">
        <v>6422</v>
      </c>
      <c r="D328" s="1" t="n">
        <v>168</v>
      </c>
      <c r="E328" s="4">
        <f>IF(INDEX(C:C, ROW())+INDEX(D:D, ROW())=0, 0, INDEX(C:C, ROW())/(INDEX(C:C, ROW())+INDEX(D:D, ROW())))</f>
        <v/>
      </c>
      <c r="F328" s="1" t="inlineStr">
        <is>
          <t>Array, Binary Search, Dynamic Programming, Sorting</t>
        </is>
      </c>
      <c r="G328" s="1" t="inlineStr">
        <is>
          <t>Hard</t>
        </is>
      </c>
      <c r="H328" s="1" t="n">
        <v>282858</v>
      </c>
      <c r="I328" s="1" t="n">
        <v>751105</v>
      </c>
      <c r="J328" s="9" t="n">
        <v>0.377</v>
      </c>
      <c r="K328" s="1" t="inlineStr">
        <is>
          <t>Yes</t>
        </is>
      </c>
      <c r="L328" s="1" t="inlineStr">
        <is>
          <t>Yes</t>
        </is>
      </c>
      <c r="M328" s="1" t="inlineStr">
        <is>
          <t>No</t>
        </is>
      </c>
      <c r="N328" s="1" t="inlineStr">
        <is>
          <t>Algorithms</t>
        </is>
      </c>
      <c r="O3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9" ht="15.75" customHeight="1" s="12">
      <c r="A329" s="1" t="n">
        <v>947</v>
      </c>
      <c r="B329" s="3">
        <f>HYPERLINK("https://leetcode.com/problems/most-stones-removed-with-same-row-or-column/", "Most Stones Removed with Same Row or Column")</f>
        <v/>
      </c>
      <c r="C329" s="1" t="n">
        <v>6374</v>
      </c>
      <c r="D329" s="1" t="n">
        <v>706</v>
      </c>
      <c r="E329" s="4">
        <f>IF(INDEX(C:C, ROW())+INDEX(D:D, ROW())=0, 0, INDEX(C:C, ROW())/(INDEX(C:C, ROW())+INDEX(D:D, ROW())))</f>
        <v/>
      </c>
      <c r="F329" s="1" t="inlineStr">
        <is>
          <t>Hash Table, Depth-First Search, Union-Find, Graph Theory</t>
        </is>
      </c>
      <c r="G329" s="1" t="inlineStr">
        <is>
          <t>Medium</t>
        </is>
      </c>
      <c r="H329" s="1" t="n">
        <v>386164</v>
      </c>
      <c r="I329" s="1" t="n">
        <v>616374</v>
      </c>
      <c r="J329" s="9" t="n">
        <v>0.627</v>
      </c>
      <c r="K329" s="1" t="inlineStr">
        <is>
          <t>Yes</t>
        </is>
      </c>
      <c r="L329" s="1" t="inlineStr">
        <is>
          <t>Yes</t>
        </is>
      </c>
      <c r="M329" s="1" t="inlineStr">
        <is>
          <t>No</t>
        </is>
      </c>
      <c r="N329" s="1" t="inlineStr">
        <is>
          <t>Algorithms</t>
        </is>
      </c>
      <c r="O3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0" ht="15.75" customHeight="1" s="12">
      <c r="A330" s="1" t="n">
        <v>701</v>
      </c>
      <c r="B330" s="3">
        <f>HYPERLINK("https://leetcode.com/problems/insert-into-a-binary-search-tree/", "Insert into a Binary Search Tree")</f>
        <v/>
      </c>
      <c r="C330" s="1" t="n">
        <v>6367</v>
      </c>
      <c r="D330" s="1" t="n">
        <v>187</v>
      </c>
      <c r="E330" s="4">
        <f>IF(INDEX(C:C, ROW())+INDEX(D:D, ROW())=0, 0, INDEX(C:C, ROW())/(INDEX(C:C, ROW())+INDEX(D:D, ROW())))</f>
        <v/>
      </c>
      <c r="F330" s="1" t="inlineStr">
        <is>
          <t>Tree, Binary Search Tree, Binary Tree</t>
        </is>
      </c>
      <c r="G330" s="1" t="inlineStr">
        <is>
          <t>Medium</t>
        </is>
      </c>
      <c r="H330" s="1" t="n">
        <v>811073</v>
      </c>
      <c r="I330" s="1" t="n">
        <v>1106330</v>
      </c>
      <c r="J330" s="9" t="n">
        <v>0.733</v>
      </c>
      <c r="K330" s="1" t="inlineStr">
        <is>
          <t>Yes</t>
        </is>
      </c>
      <c r="L330" s="1" t="inlineStr">
        <is>
          <t>Yes</t>
        </is>
      </c>
      <c r="M330" s="1" t="inlineStr">
        <is>
          <t>No</t>
        </is>
      </c>
      <c r="N330" s="1" t="inlineStr">
        <is>
          <t>Algorithms</t>
        </is>
      </c>
      <c r="O3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1" ht="15.75" customHeight="1" s="12">
      <c r="A331" s="1" t="n">
        <v>703</v>
      </c>
      <c r="B331" s="3">
        <f>HYPERLINK("https://leetcode.com/problems/kth-largest-element-in-a-stream/", "Kth Largest Element in a Stream")</f>
        <v/>
      </c>
      <c r="C331" s="1" t="n">
        <v>6353</v>
      </c>
      <c r="D331" s="1" t="n">
        <v>4046</v>
      </c>
      <c r="E331" s="4">
        <f>IF(INDEX(C:C, ROW())+INDEX(D:D, ROW())=0, 0, INDEX(C:C, ROW())/(INDEX(C:C, ROW())+INDEX(D:D, ROW())))</f>
        <v/>
      </c>
      <c r="F331" s="1" t="inlineStr">
        <is>
          <t>Tree, Design, Binary Search Tree, Heap (Priority Queue), Binary Tree, Data Stream</t>
        </is>
      </c>
      <c r="G331" s="1" t="inlineStr">
        <is>
          <t>Easy</t>
        </is>
      </c>
      <c r="H331" s="1" t="n">
        <v>933519</v>
      </c>
      <c r="I331" s="1" t="n">
        <v>1541139</v>
      </c>
      <c r="J331" s="9" t="n">
        <v>0.606</v>
      </c>
      <c r="K331" s="1" t="inlineStr">
        <is>
          <t>Yes</t>
        </is>
      </c>
      <c r="L331" s="1" t="inlineStr">
        <is>
          <t>Yes</t>
        </is>
      </c>
      <c r="M331" s="1" t="inlineStr">
        <is>
          <t>No</t>
        </is>
      </c>
      <c r="N331" s="1" t="inlineStr">
        <is>
          <t>Algorithms</t>
        </is>
      </c>
      <c r="O3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2" ht="15.75" customHeight="1" s="12">
      <c r="A332" s="1" t="n">
        <v>409</v>
      </c>
      <c r="B332" s="3">
        <f>HYPERLINK("https://leetcode.com/problems/longest-palindrome/", "Longest Palindrome")</f>
        <v/>
      </c>
      <c r="C332" s="1" t="n">
        <v>6311</v>
      </c>
      <c r="D332" s="1" t="n">
        <v>444</v>
      </c>
      <c r="E332" s="4">
        <f>IF(INDEX(C:C, ROW())+INDEX(D:D, ROW())=0, 0, INDEX(C:C, ROW())/(INDEX(C:C, ROW())+INDEX(D:D, ROW())))</f>
        <v/>
      </c>
      <c r="F332" s="1" t="inlineStr">
        <is>
          <t>Hash Table, String, Greedy</t>
        </is>
      </c>
      <c r="G332" s="1" t="inlineStr">
        <is>
          <t>Easy</t>
        </is>
      </c>
      <c r="H332" s="1" t="n">
        <v>1012282</v>
      </c>
      <c r="I332" s="1" t="n">
        <v>1814848</v>
      </c>
      <c r="J332" s="9" t="n">
        <v>0.5580000000000001</v>
      </c>
      <c r="K332" s="1" t="inlineStr">
        <is>
          <t>Yes</t>
        </is>
      </c>
      <c r="L332" s="1" t="inlineStr">
        <is>
          <t>Yes</t>
        </is>
      </c>
      <c r="M332" s="1" t="inlineStr">
        <is>
          <t>No</t>
        </is>
      </c>
      <c r="N332" s="1" t="inlineStr">
        <is>
          <t>Algorithms</t>
        </is>
      </c>
      <c r="O3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3" ht="15.75" customHeight="1" s="12">
      <c r="A333" s="1" t="n">
        <v>241</v>
      </c>
      <c r="B333" s="3">
        <f>HYPERLINK("https://leetcode.com/problems/different-ways-to-add-parentheses/", "Different Ways to Add Parentheses")</f>
        <v/>
      </c>
      <c r="C333" s="1" t="n">
        <v>6292</v>
      </c>
      <c r="D333" s="1" t="n">
        <v>398</v>
      </c>
      <c r="E333" s="4">
        <f>IF(INDEX(C:C, ROW())+INDEX(D:D, ROW())=0, 0, INDEX(C:C, ROW())/(INDEX(C:C, ROW())+INDEX(D:D, ROW())))</f>
        <v/>
      </c>
      <c r="F333" s="1" t="inlineStr">
        <is>
          <t>Math, String, Dynamic Programming, Recursion, Memoization</t>
        </is>
      </c>
      <c r="G333" s="1" t="inlineStr">
        <is>
          <t>Medium</t>
        </is>
      </c>
      <c r="H333" s="1" t="n">
        <v>369204</v>
      </c>
      <c r="I333" s="1" t="n">
        <v>506040</v>
      </c>
      <c r="J333" s="9" t="n">
        <v>0.73</v>
      </c>
      <c r="K333" s="1" t="inlineStr">
        <is>
          <t>Yes</t>
        </is>
      </c>
      <c r="L333" s="1" t="inlineStr">
        <is>
          <t>Yes</t>
        </is>
      </c>
      <c r="M333" s="1" t="inlineStr">
        <is>
          <t>No</t>
        </is>
      </c>
      <c r="N333" s="1" t="inlineStr">
        <is>
          <t>Algorithms</t>
        </is>
      </c>
      <c r="O3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4" ht="15.75" customHeight="1" s="12">
      <c r="A334" s="1" t="n">
        <v>1448</v>
      </c>
      <c r="B334" s="3">
        <f>HYPERLINK("https://leetcode.com/problems/count-good-nodes-in-binary-tree/", "Count Good Nodes in Binary Tree")</f>
        <v/>
      </c>
      <c r="C334" s="1" t="n">
        <v>6290</v>
      </c>
      <c r="D334" s="1" t="n">
        <v>209</v>
      </c>
      <c r="E334" s="4">
        <f>IF(INDEX(C:C, ROW())+INDEX(D:D, ROW())=0, 0, INDEX(C:C, ROW())/(INDEX(C:C, ROW())+INDEX(D:D, ROW())))</f>
        <v/>
      </c>
      <c r="F334" s="1" t="inlineStr">
        <is>
          <t>Tree, Depth-First Search, Breadth-First Search, Binary Tree</t>
        </is>
      </c>
      <c r="G334" s="1" t="inlineStr">
        <is>
          <t>Medium</t>
        </is>
      </c>
      <c r="H334" s="1" t="n">
        <v>832334</v>
      </c>
      <c r="I334" s="1" t="n">
        <v>1128948</v>
      </c>
      <c r="J334" s="9" t="n">
        <v>0.737</v>
      </c>
      <c r="K334" s="1" t="inlineStr">
        <is>
          <t>Yes</t>
        </is>
      </c>
      <c r="L334" s="1" t="inlineStr">
        <is>
          <t>Yes</t>
        </is>
      </c>
      <c r="M334" s="1" t="inlineStr">
        <is>
          <t>Yes</t>
        </is>
      </c>
      <c r="N334" s="1" t="inlineStr">
        <is>
          <t>Algorithms</t>
        </is>
      </c>
      <c r="O3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5" ht="15.75" customHeight="1" s="12">
      <c r="A335" s="1" t="n">
        <v>332</v>
      </c>
      <c r="B335" s="3">
        <f>HYPERLINK("https://leetcode.com/problems/reconstruct-itinerary/", "Reconstruct Itinerary")</f>
        <v/>
      </c>
      <c r="C335" s="1" t="n">
        <v>6281</v>
      </c>
      <c r="D335" s="1" t="n">
        <v>1923</v>
      </c>
      <c r="E335" s="4">
        <f>IF(INDEX(C:C, ROW())+INDEX(D:D, ROW())=0, 0, INDEX(C:C, ROW())/(INDEX(C:C, ROW())+INDEX(D:D, ROW())))</f>
        <v/>
      </c>
      <c r="F335" s="1" t="inlineStr">
        <is>
          <t>Depth-First Search, Graph Theory, Eulerian Circuit</t>
        </is>
      </c>
      <c r="G335" s="1" t="inlineStr">
        <is>
          <t>Hard</t>
        </is>
      </c>
      <c r="H335" s="1" t="n">
        <v>533795</v>
      </c>
      <c r="I335" s="1" t="n">
        <v>1209203</v>
      </c>
      <c r="J335" s="9" t="n">
        <v>0.441</v>
      </c>
      <c r="K335" s="1" t="inlineStr">
        <is>
          <t>Yes</t>
        </is>
      </c>
      <c r="L335" s="1" t="inlineStr">
        <is>
          <t>No</t>
        </is>
      </c>
      <c r="M335" s="1" t="inlineStr">
        <is>
          <t>No</t>
        </is>
      </c>
      <c r="N335" s="1" t="inlineStr">
        <is>
          <t>Algorithms</t>
        </is>
      </c>
      <c r="O3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6" ht="15.75" customHeight="1" s="12">
      <c r="A336" s="1" t="n">
        <v>1470</v>
      </c>
      <c r="B336" s="3">
        <f>HYPERLINK("https://leetcode.com/problems/shuffle-the-array/", "Shuffle the Array")</f>
        <v/>
      </c>
      <c r="C336" s="1" t="n">
        <v>6270</v>
      </c>
      <c r="D336" s="1" t="n">
        <v>345</v>
      </c>
      <c r="E336" s="4">
        <f>IF(INDEX(C:C, ROW())+INDEX(D:D, ROW())=0, 0, INDEX(C:C, ROW())/(INDEX(C:C, ROW())+INDEX(D:D, ROW())))</f>
        <v/>
      </c>
      <c r="F336" s="1" t="inlineStr">
        <is>
          <t>Array</t>
        </is>
      </c>
      <c r="G336" s="1" t="inlineStr">
        <is>
          <t>Easy</t>
        </is>
      </c>
      <c r="H336" s="1" t="n">
        <v>958211</v>
      </c>
      <c r="I336" s="1" t="n">
        <v>1076656</v>
      </c>
      <c r="J336" s="9" t="n">
        <v>0.89</v>
      </c>
      <c r="K336" s="1" t="inlineStr">
        <is>
          <t>Yes</t>
        </is>
      </c>
      <c r="L336" s="1" t="inlineStr">
        <is>
          <t>Yes</t>
        </is>
      </c>
      <c r="M336" s="1" t="inlineStr">
        <is>
          <t>No</t>
        </is>
      </c>
      <c r="N336" s="1" t="inlineStr">
        <is>
          <t>Algorithms</t>
        </is>
      </c>
      <c r="O3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7" ht="15.75" customHeight="1" s="12">
      <c r="A337" s="1" t="n">
        <v>460</v>
      </c>
      <c r="B337" s="3">
        <f>HYPERLINK("https://leetcode.com/problems/lfu-cache/", "LFU Cache")</f>
        <v/>
      </c>
      <c r="C337" s="1" t="n">
        <v>6266</v>
      </c>
      <c r="D337" s="1" t="n">
        <v>352</v>
      </c>
      <c r="E337" s="4">
        <f>IF(INDEX(C:C, ROW())+INDEX(D:D, ROW())=0, 0, INDEX(C:C, ROW())/(INDEX(C:C, ROW())+INDEX(D:D, ROW())))</f>
        <v/>
      </c>
      <c r="F337" s="1" t="inlineStr">
        <is>
          <t>Hash Table, Linked List, Design, Doubly-Linked List</t>
        </is>
      </c>
      <c r="G337" s="1" t="inlineStr">
        <is>
          <t>Hard</t>
        </is>
      </c>
      <c r="H337" s="1" t="n">
        <v>356821</v>
      </c>
      <c r="I337" s="1" t="n">
        <v>739040</v>
      </c>
      <c r="J337" s="9" t="n">
        <v>0.483</v>
      </c>
      <c r="K337" s="1" t="inlineStr">
        <is>
          <t>Yes</t>
        </is>
      </c>
      <c r="L337" s="1" t="inlineStr">
        <is>
          <t>Yes</t>
        </is>
      </c>
      <c r="M337" s="1" t="inlineStr">
        <is>
          <t>No</t>
        </is>
      </c>
      <c r="N337" s="1" t="inlineStr">
        <is>
          <t>Algorithms</t>
        </is>
      </c>
      <c r="O3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8" ht="15.75" customHeight="1" s="12">
      <c r="A338" s="1" t="n">
        <v>58</v>
      </c>
      <c r="B338" s="3">
        <f>HYPERLINK("https://leetcode.com/problems/length-of-last-word/", "Length of Last Word")</f>
        <v/>
      </c>
      <c r="C338" s="1" t="n">
        <v>6244</v>
      </c>
      <c r="D338" s="1" t="n">
        <v>350</v>
      </c>
      <c r="E338" s="4">
        <f>IF(INDEX(C:C, ROW())+INDEX(D:D, ROW())=0, 0, INDEX(C:C, ROW())/(INDEX(C:C, ROW())+INDEX(D:D, ROW())))</f>
        <v/>
      </c>
      <c r="F338" s="1" t="inlineStr">
        <is>
          <t>String</t>
        </is>
      </c>
      <c r="G338" s="1" t="inlineStr">
        <is>
          <t>Easy</t>
        </is>
      </c>
      <c r="H338" s="1" t="n">
        <v>3199588</v>
      </c>
      <c r="I338" s="1" t="n">
        <v>5518410</v>
      </c>
      <c r="J338" s="9" t="n">
        <v>0.58</v>
      </c>
      <c r="K338" s="1" t="inlineStr">
        <is>
          <t>Yes</t>
        </is>
      </c>
      <c r="L338" s="1" t="inlineStr">
        <is>
          <t>Yes</t>
        </is>
      </c>
      <c r="M338" s="1" t="inlineStr">
        <is>
          <t>No</t>
        </is>
      </c>
      <c r="N338" s="1" t="inlineStr">
        <is>
          <t>Algorithms</t>
        </is>
      </c>
      <c r="O3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9" ht="15.75" customHeight="1" s="12">
      <c r="A339" s="1" t="n">
        <v>174</v>
      </c>
      <c r="B339" s="3">
        <f>HYPERLINK("https://leetcode.com/problems/dungeon-game/", "Dungeon Game")</f>
        <v/>
      </c>
      <c r="C339" s="1" t="n">
        <v>6210</v>
      </c>
      <c r="D339" s="1" t="n">
        <v>118</v>
      </c>
      <c r="E339" s="4">
        <f>IF(INDEX(C:C, ROW())+INDEX(D:D, ROW())=0, 0, INDEX(C:C, ROW())/(INDEX(C:C, ROW())+INDEX(D:D, ROW())))</f>
        <v/>
      </c>
      <c r="F339" s="1" t="inlineStr">
        <is>
          <t>Array, Dynamic Programming, Matrix</t>
        </is>
      </c>
      <c r="G339" s="1" t="inlineStr">
        <is>
          <t>Hard</t>
        </is>
      </c>
      <c r="H339" s="1" t="n">
        <v>288408</v>
      </c>
      <c r="I339" s="1" t="n">
        <v>709170</v>
      </c>
      <c r="J339" s="9" t="n">
        <v>0.407</v>
      </c>
      <c r="K339" s="1" t="inlineStr">
        <is>
          <t>Yes</t>
        </is>
      </c>
      <c r="L339" s="1" t="inlineStr">
        <is>
          <t>Yes</t>
        </is>
      </c>
      <c r="M339" s="1" t="inlineStr">
        <is>
          <t>No</t>
        </is>
      </c>
      <c r="N339" s="1" t="inlineStr">
        <is>
          <t>Algorithms</t>
        </is>
      </c>
      <c r="O3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0" ht="15.75" customHeight="1" s="12">
      <c r="A340" s="1" t="n">
        <v>237</v>
      </c>
      <c r="B340" s="3">
        <f>HYPERLINK("https://leetcode.com/problems/delete-node-in-a-linked-list/", "Delete Node in a Linked List")</f>
        <v/>
      </c>
      <c r="C340" s="1" t="n">
        <v>6189</v>
      </c>
      <c r="D340" s="1" t="n">
        <v>1764</v>
      </c>
      <c r="E340" s="4">
        <f>IF(INDEX(C:C, ROW())+INDEX(D:D, ROW())=0, 0, INDEX(C:C, ROW())/(INDEX(C:C, ROW())+INDEX(D:D, ROW())))</f>
        <v/>
      </c>
      <c r="F340" s="1" t="inlineStr">
        <is>
          <t>Linked List</t>
        </is>
      </c>
      <c r="G340" s="1" t="inlineStr">
        <is>
          <t>Medium</t>
        </is>
      </c>
      <c r="H340" s="1" t="n">
        <v>1936456</v>
      </c>
      <c r="I340" s="1" t="n">
        <v>2321655</v>
      </c>
      <c r="J340" s="9" t="n">
        <v>0.834</v>
      </c>
      <c r="K340" s="1" t="inlineStr">
        <is>
          <t>Yes</t>
        </is>
      </c>
      <c r="L340" s="1" t="inlineStr">
        <is>
          <t>Yes</t>
        </is>
      </c>
      <c r="M340" s="1" t="inlineStr">
        <is>
          <t>No</t>
        </is>
      </c>
      <c r="N340" s="1" t="inlineStr">
        <is>
          <t>Algorithms</t>
        </is>
      </c>
      <c r="O3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1" ht="15.75" customHeight="1" s="12">
      <c r="A341" s="1" t="n">
        <v>1642</v>
      </c>
      <c r="B341" s="3">
        <f>HYPERLINK("https://leetcode.com/problems/furthest-building-you-can-reach/", "Furthest Building You Can Reach")</f>
        <v/>
      </c>
      <c r="C341" s="1" t="n">
        <v>6187</v>
      </c>
      <c r="D341" s="1" t="n">
        <v>149</v>
      </c>
      <c r="E341" s="4">
        <f>IF(INDEX(C:C, ROW())+INDEX(D:D, ROW())=0, 0, INDEX(C:C, ROW())/(INDEX(C:C, ROW())+INDEX(D:D, ROW())))</f>
        <v/>
      </c>
      <c r="F341" s="1" t="inlineStr">
        <is>
          <t>Array, Greedy, Heap (Priority Queue)</t>
        </is>
      </c>
      <c r="G341" s="1" t="inlineStr">
        <is>
          <t>Medium</t>
        </is>
      </c>
      <c r="H341" s="1" t="n">
        <v>265239</v>
      </c>
      <c r="I341" s="1" t="n">
        <v>523655</v>
      </c>
      <c r="J341" s="9" t="n">
        <v>0.507</v>
      </c>
      <c r="K341" s="1" t="inlineStr">
        <is>
          <t>Yes</t>
        </is>
      </c>
      <c r="L341" s="1" t="inlineStr">
        <is>
          <t>Yes</t>
        </is>
      </c>
      <c r="M341" s="1" t="inlineStr">
        <is>
          <t>No</t>
        </is>
      </c>
      <c r="N341" s="1" t="inlineStr">
        <is>
          <t>Algorithms</t>
        </is>
      </c>
      <c r="O3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2" ht="15.75" customHeight="1" s="12">
      <c r="A342" s="1" t="n">
        <v>218</v>
      </c>
      <c r="B342" s="3">
        <f>HYPERLINK("https://leetcode.com/problems/the-skyline-problem/", "The Skyline Problem")</f>
        <v/>
      </c>
      <c r="C342" s="1" t="n">
        <v>6185</v>
      </c>
      <c r="D342" s="1" t="n">
        <v>283</v>
      </c>
      <c r="E342" s="4">
        <f>IF(INDEX(C:C, ROW())+INDEX(D:D, ROW())=0, 0, INDEX(C:C, ROW())/(INDEX(C:C, ROW())+INDEX(D:D, ROW())))</f>
        <v/>
      </c>
      <c r="F342" s="1" t="inlineStr">
        <is>
          <t>Array, Divide and Conquer, Binary Indexed Tree, Segment Tree, Sweep Line, Sorting, Heap (Priority Queue), Ordered Set</t>
        </is>
      </c>
      <c r="G342" s="1" t="inlineStr">
        <is>
          <t>Hard</t>
        </is>
      </c>
      <c r="H342" s="1" t="n">
        <v>342065</v>
      </c>
      <c r="I342" s="1" t="n">
        <v>763285</v>
      </c>
      <c r="J342" s="9" t="n">
        <v>0.448</v>
      </c>
      <c r="K342" s="1" t="inlineStr">
        <is>
          <t>Yes</t>
        </is>
      </c>
      <c r="L342" s="1" t="inlineStr">
        <is>
          <t>Yes</t>
        </is>
      </c>
      <c r="M342" s="1" t="inlineStr">
        <is>
          <t>No</t>
        </is>
      </c>
      <c r="N342" s="1" t="inlineStr">
        <is>
          <t>Algorithms</t>
        </is>
      </c>
      <c r="O3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3" ht="15.75" customHeight="1" s="12">
      <c r="A343" s="1" t="n">
        <v>557</v>
      </c>
      <c r="B343" s="3">
        <f>HYPERLINK("https://leetcode.com/problems/reverse-words-in-a-string-iii/", "Reverse Words in a String III")</f>
        <v/>
      </c>
      <c r="C343" s="1" t="n">
        <v>6167</v>
      </c>
      <c r="D343" s="1" t="n">
        <v>254</v>
      </c>
      <c r="E343" s="4">
        <f>IF(INDEX(C:C, ROW())+INDEX(D:D, ROW())=0, 0, INDEX(C:C, ROW())/(INDEX(C:C, ROW())+INDEX(D:D, ROW())))</f>
        <v/>
      </c>
      <c r="F343" s="1" t="inlineStr">
        <is>
          <t>Two Pointers, String</t>
        </is>
      </c>
      <c r="G343" s="1" t="inlineStr">
        <is>
          <t>Easy</t>
        </is>
      </c>
      <c r="H343" s="1" t="n">
        <v>1098512</v>
      </c>
      <c r="I343" s="1" t="n">
        <v>1309565</v>
      </c>
      <c r="J343" s="9" t="n">
        <v>0.839</v>
      </c>
      <c r="K343" s="1" t="inlineStr">
        <is>
          <t>Yes</t>
        </is>
      </c>
      <c r="L343" s="1" t="inlineStr">
        <is>
          <t>Yes</t>
        </is>
      </c>
      <c r="M343" s="1" t="inlineStr">
        <is>
          <t>No</t>
        </is>
      </c>
      <c r="N343" s="1" t="inlineStr">
        <is>
          <t>Algorithms</t>
        </is>
      </c>
      <c r="O3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4" ht="15.75" customHeight="1" s="12">
      <c r="A344" s="1" t="n">
        <v>117</v>
      </c>
      <c r="B344" s="3">
        <f>HYPERLINK("https://leetcode.com/problems/populating-next-right-pointers-in-each-node-ii/", "Populating Next Right Pointers in Each Node II")</f>
        <v/>
      </c>
      <c r="C344" s="1" t="n">
        <v>6163</v>
      </c>
      <c r="D344" s="1" t="n">
        <v>341</v>
      </c>
      <c r="E344" s="4">
        <f>IF(INDEX(C:C, ROW())+INDEX(D:D, ROW())=0, 0, INDEX(C:C, ROW())/(INDEX(C:C, ROW())+INDEX(D:D, ROW())))</f>
        <v/>
      </c>
      <c r="F344" s="1" t="inlineStr">
        <is>
          <t>Linked List, Tree, Depth-First Search, Breadth-First Search, Binary Tree</t>
        </is>
      </c>
      <c r="G344" s="1" t="inlineStr">
        <is>
          <t>Medium</t>
        </is>
      </c>
      <c r="H344" s="1" t="n">
        <v>816498</v>
      </c>
      <c r="I344" s="1" t="n">
        <v>1435123</v>
      </c>
      <c r="J344" s="9" t="n">
        <v>0.569</v>
      </c>
      <c r="K344" s="1" t="inlineStr">
        <is>
          <t>Yes</t>
        </is>
      </c>
      <c r="L344" s="1" t="inlineStr">
        <is>
          <t>Yes</t>
        </is>
      </c>
      <c r="M344" s="1" t="inlineStr">
        <is>
          <t>No</t>
        </is>
      </c>
      <c r="N344" s="1" t="inlineStr">
        <is>
          <t>Algorithms</t>
        </is>
      </c>
      <c r="O3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5" ht="15.75" customHeight="1" s="12">
      <c r="A345" s="1" t="n">
        <v>445</v>
      </c>
      <c r="B345" s="3">
        <f>HYPERLINK("https://leetcode.com/problems/add-two-numbers-ii/", "Add Two Numbers II")</f>
        <v/>
      </c>
      <c r="C345" s="1" t="n">
        <v>6140</v>
      </c>
      <c r="D345" s="1" t="n">
        <v>302</v>
      </c>
      <c r="E345" s="4">
        <f>IF(INDEX(C:C, ROW())+INDEX(D:D, ROW())=0, 0, INDEX(C:C, ROW())/(INDEX(C:C, ROW())+INDEX(D:D, ROW())))</f>
        <v/>
      </c>
      <c r="F345" s="1" t="inlineStr">
        <is>
          <t>Linked List, Math, Stack</t>
        </is>
      </c>
      <c r="G345" s="1" t="inlineStr">
        <is>
          <t>Medium</t>
        </is>
      </c>
      <c r="H345" s="1" t="n">
        <v>562862</v>
      </c>
      <c r="I345" s="1" t="n">
        <v>903922</v>
      </c>
      <c r="J345" s="9" t="n">
        <v>0.623</v>
      </c>
      <c r="K345" s="1" t="inlineStr">
        <is>
          <t>Yes</t>
        </is>
      </c>
      <c r="L345" s="1" t="inlineStr">
        <is>
          <t>Yes</t>
        </is>
      </c>
      <c r="M345" s="1" t="inlineStr">
        <is>
          <t>No</t>
        </is>
      </c>
      <c r="N345" s="1" t="inlineStr">
        <is>
          <t>Algorithms</t>
        </is>
      </c>
      <c r="O3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6" ht="15.75" customHeight="1" s="12">
      <c r="A346" s="1" t="n">
        <v>486</v>
      </c>
      <c r="B346" s="3">
        <f>HYPERLINK("https://leetcode.com/problems/predict-the-winner/", "Predict the Winner")</f>
        <v/>
      </c>
      <c r="C346" s="1" t="n">
        <v>6131</v>
      </c>
      <c r="D346" s="1" t="n">
        <v>293</v>
      </c>
      <c r="E346" s="4">
        <f>IF(INDEX(C:C, ROW())+INDEX(D:D, ROW())=0, 0, INDEX(C:C, ROW())/(INDEX(C:C, ROW())+INDEX(D:D, ROW())))</f>
        <v/>
      </c>
      <c r="F346" s="1" t="inlineStr">
        <is>
          <t>Array, Math, Dynamic Programming, Recursion, Game Theory</t>
        </is>
      </c>
      <c r="G346" s="1" t="inlineStr">
        <is>
          <t>Medium</t>
        </is>
      </c>
      <c r="H346" s="1" t="n">
        <v>282761</v>
      </c>
      <c r="I346" s="1" t="n">
        <v>504545</v>
      </c>
      <c r="J346" s="9" t="n">
        <v>0.5600000000000001</v>
      </c>
      <c r="K346" s="1" t="inlineStr">
        <is>
          <t>Yes</t>
        </is>
      </c>
      <c r="L346" s="1" t="inlineStr">
        <is>
          <t>Yes</t>
        </is>
      </c>
      <c r="M346" s="1" t="inlineStr">
        <is>
          <t>Yes</t>
        </is>
      </c>
      <c r="N346" s="1" t="inlineStr">
        <is>
          <t>Algorithms</t>
        </is>
      </c>
      <c r="O3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7" ht="15.75" customHeight="1" s="12">
      <c r="A347" s="1" t="n">
        <v>583</v>
      </c>
      <c r="B347" s="3">
        <f>HYPERLINK("https://leetcode.com/problems/delete-operation-for-two-strings/", "Delete Operation for Two Strings")</f>
        <v/>
      </c>
      <c r="C347" s="1" t="n">
        <v>6120</v>
      </c>
      <c r="D347" s="1" t="n">
        <v>93</v>
      </c>
      <c r="E347" s="4">
        <f>IF(INDEX(C:C, ROW())+INDEX(D:D, ROW())=0, 0, INDEX(C:C, ROW())/(INDEX(C:C, ROW())+INDEX(D:D, ROW())))</f>
        <v/>
      </c>
      <c r="F347" s="1" t="inlineStr">
        <is>
          <t>String, Dynamic Programming</t>
        </is>
      </c>
      <c r="G347" s="1" t="inlineStr">
        <is>
          <t>Medium</t>
        </is>
      </c>
      <c r="H347" s="1" t="n">
        <v>370641</v>
      </c>
      <c r="I347" s="1" t="n">
        <v>569535</v>
      </c>
      <c r="J347" s="9" t="n">
        <v>0.651</v>
      </c>
      <c r="K347" s="1" t="inlineStr">
        <is>
          <t>Yes</t>
        </is>
      </c>
      <c r="L347" s="1" t="inlineStr">
        <is>
          <t>Yes</t>
        </is>
      </c>
      <c r="M347" s="1" t="inlineStr">
        <is>
          <t>No</t>
        </is>
      </c>
      <c r="N347" s="1" t="inlineStr">
        <is>
          <t>Algorithms</t>
        </is>
      </c>
      <c r="O3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8" ht="15.75" customHeight="1" s="12">
      <c r="A348" s="1" t="n">
        <v>652</v>
      </c>
      <c r="B348" s="3">
        <f>HYPERLINK("https://leetcode.com/problems/find-duplicate-subtrees/", "Find Duplicate Subtrees")</f>
        <v/>
      </c>
      <c r="C348" s="1" t="n">
        <v>6090</v>
      </c>
      <c r="D348" s="1" t="n">
        <v>502</v>
      </c>
      <c r="E348" s="4">
        <f>IF(INDEX(C:C, ROW())+INDEX(D:D, ROW())=0, 0, INDEX(C:C, ROW())/(INDEX(C:C, ROW())+INDEX(D:D, ROW())))</f>
        <v/>
      </c>
      <c r="F348" s="1" t="inlineStr">
        <is>
          <t>Hash Table, Tree, Depth-First Search, Binary Tree</t>
        </is>
      </c>
      <c r="G348" s="1" t="inlineStr">
        <is>
          <t>Medium</t>
        </is>
      </c>
      <c r="H348" s="1" t="n">
        <v>308970</v>
      </c>
      <c r="I348" s="1" t="n">
        <v>510634</v>
      </c>
      <c r="J348" s="9" t="n">
        <v>0.605</v>
      </c>
      <c r="K348" s="1" t="inlineStr">
        <is>
          <t>Yes</t>
        </is>
      </c>
      <c r="L348" s="1" t="inlineStr">
        <is>
          <t>Yes</t>
        </is>
      </c>
      <c r="M348" s="1" t="inlineStr">
        <is>
          <t>No</t>
        </is>
      </c>
      <c r="N348" s="1" t="inlineStr">
        <is>
          <t>Algorithms</t>
        </is>
      </c>
      <c r="O3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9" ht="15.75" customHeight="1" s="12">
      <c r="A349" s="1" t="n">
        <v>946</v>
      </c>
      <c r="B349" s="3">
        <f>HYPERLINK("https://leetcode.com/problems/validate-stack-sequences/", "Validate Stack Sequences")</f>
        <v/>
      </c>
      <c r="C349" s="1" t="n">
        <v>6087</v>
      </c>
      <c r="D349" s="1" t="n">
        <v>129</v>
      </c>
      <c r="E349" s="4">
        <f>IF(INDEX(C:C, ROW())+INDEX(D:D, ROW())=0, 0, INDEX(C:C, ROW())/(INDEX(C:C, ROW())+INDEX(D:D, ROW())))</f>
        <v/>
      </c>
      <c r="F349" s="1" t="inlineStr">
        <is>
          <t>Array, Stack, Simulation</t>
        </is>
      </c>
      <c r="G349" s="1" t="inlineStr">
        <is>
          <t>Medium</t>
        </is>
      </c>
      <c r="H349" s="1" t="n">
        <v>361753</v>
      </c>
      <c r="I349" s="1" t="n">
        <v>516452</v>
      </c>
      <c r="J349" s="9" t="n">
        <v>0.7</v>
      </c>
      <c r="K349" s="1" t="inlineStr">
        <is>
          <t>Yes</t>
        </is>
      </c>
      <c r="L349" s="1" t="inlineStr">
        <is>
          <t>Yes</t>
        </is>
      </c>
      <c r="M349" s="1" t="inlineStr">
        <is>
          <t>No</t>
        </is>
      </c>
      <c r="N349" s="1" t="inlineStr">
        <is>
          <t>Algorithms</t>
        </is>
      </c>
      <c r="O3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0" ht="15.75" customHeight="1" s="12">
      <c r="A350" s="1" t="n">
        <v>669</v>
      </c>
      <c r="B350" s="3">
        <f>HYPERLINK("https://leetcode.com/problems/trim-a-binary-search-tree/", "Trim a Binary Search Tree")</f>
        <v/>
      </c>
      <c r="C350" s="1" t="n">
        <v>6071</v>
      </c>
      <c r="D350" s="1" t="n">
        <v>265</v>
      </c>
      <c r="E350" s="4">
        <f>IF(INDEX(C:C, ROW())+INDEX(D:D, ROW())=0, 0, INDEX(C:C, ROW())/(INDEX(C:C, ROW())+INDEX(D:D, ROW())))</f>
        <v/>
      </c>
      <c r="F350" s="1" t="inlineStr">
        <is>
          <t>Tree, Depth-First Search, Binary Search Tree, Binary Tree</t>
        </is>
      </c>
      <c r="G350" s="1" t="inlineStr">
        <is>
          <t>Medium</t>
        </is>
      </c>
      <c r="H350" s="1" t="n">
        <v>338506</v>
      </c>
      <c r="I350" s="1" t="n">
        <v>509047</v>
      </c>
      <c r="J350" s="9" t="n">
        <v>0.665</v>
      </c>
      <c r="K350" s="1" t="inlineStr">
        <is>
          <t>Yes</t>
        </is>
      </c>
      <c r="L350" s="1" t="inlineStr">
        <is>
          <t>Yes</t>
        </is>
      </c>
      <c r="M350" s="1" t="inlineStr">
        <is>
          <t>Yes</t>
        </is>
      </c>
      <c r="N350" s="1" t="inlineStr">
        <is>
          <t>Algorithms</t>
        </is>
      </c>
      <c r="O3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1" ht="15.75" customHeight="1" s="12">
      <c r="A351" s="1" t="n">
        <v>443</v>
      </c>
      <c r="B351" s="3">
        <f>HYPERLINK("https://leetcode.com/problems/string-compression/", "String Compression")</f>
        <v/>
      </c>
      <c r="C351" s="1" t="n">
        <v>6068</v>
      </c>
      <c r="D351" s="1" t="n">
        <v>8806</v>
      </c>
      <c r="E351" s="4">
        <f>IF(INDEX(C:C, ROW())+INDEX(D:D, ROW())=0, 0, INDEX(C:C, ROW())/(INDEX(C:C, ROW())+INDEX(D:D, ROW())))</f>
        <v/>
      </c>
      <c r="F351" s="1" t="inlineStr">
        <is>
          <t>Two Pointers, String</t>
        </is>
      </c>
      <c r="G351" s="1" t="inlineStr">
        <is>
          <t>Medium</t>
        </is>
      </c>
      <c r="H351" s="1" t="n">
        <v>1006929</v>
      </c>
      <c r="I351" s="1" t="n">
        <v>1697372</v>
      </c>
      <c r="J351" s="9" t="n">
        <v>0.593</v>
      </c>
      <c r="K351" s="1" t="inlineStr">
        <is>
          <t>Yes</t>
        </is>
      </c>
      <c r="L351" s="1" t="inlineStr">
        <is>
          <t>Yes</t>
        </is>
      </c>
      <c r="M351" s="1" t="inlineStr">
        <is>
          <t>No</t>
        </is>
      </c>
      <c r="N351" s="1" t="inlineStr">
        <is>
          <t>Algorithms</t>
        </is>
      </c>
      <c r="O3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2" ht="15.75" customHeight="1" s="12">
      <c r="A352" s="1" t="n">
        <v>301</v>
      </c>
      <c r="B352" s="3">
        <f>HYPERLINK("https://leetcode.com/problems/remove-invalid-parentheses/", "Remove Invalid Parentheses")</f>
        <v/>
      </c>
      <c r="C352" s="1" t="n">
        <v>6049</v>
      </c>
      <c r="D352" s="1" t="n">
        <v>300</v>
      </c>
      <c r="E352" s="4">
        <f>IF(INDEX(C:C, ROW())+INDEX(D:D, ROW())=0, 0, INDEX(C:C, ROW())/(INDEX(C:C, ROW())+INDEX(D:D, ROW())))</f>
        <v/>
      </c>
      <c r="F352" s="1" t="inlineStr">
        <is>
          <t>String, Backtracking, Breadth-First Search</t>
        </is>
      </c>
      <c r="G352" s="1" t="inlineStr">
        <is>
          <t>Hard</t>
        </is>
      </c>
      <c r="H352" s="1" t="n">
        <v>497664</v>
      </c>
      <c r="I352" s="1" t="n">
        <v>1001656</v>
      </c>
      <c r="J352" s="9" t="n">
        <v>0.497</v>
      </c>
      <c r="K352" s="1" t="inlineStr">
        <is>
          <t>Yes</t>
        </is>
      </c>
      <c r="L352" s="1" t="inlineStr">
        <is>
          <t>Yes</t>
        </is>
      </c>
      <c r="M352" s="1" t="inlineStr">
        <is>
          <t>No</t>
        </is>
      </c>
      <c r="N352" s="1" t="inlineStr">
        <is>
          <t>Algorithms</t>
        </is>
      </c>
      <c r="O3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3" ht="15.75" customHeight="1" s="12">
      <c r="A353" s="1" t="n">
        <v>474</v>
      </c>
      <c r="B353" s="3">
        <f>HYPERLINK("https://leetcode.com/problems/ones-and-zeroes/", "Ones and Zeroes")</f>
        <v/>
      </c>
      <c r="C353" s="1" t="n">
        <v>6046</v>
      </c>
      <c r="D353" s="1" t="n">
        <v>507</v>
      </c>
      <c r="E353" s="4">
        <f>IF(INDEX(C:C, ROW())+INDEX(D:D, ROW())=0, 0, INDEX(C:C, ROW())/(INDEX(C:C, ROW())+INDEX(D:D, ROW())))</f>
        <v/>
      </c>
      <c r="F353" s="1" t="inlineStr">
        <is>
          <t>Array, String, Dynamic Programming</t>
        </is>
      </c>
      <c r="G353" s="1" t="inlineStr">
        <is>
          <t>Medium</t>
        </is>
      </c>
      <c r="H353" s="1" t="n">
        <v>338512</v>
      </c>
      <c r="I353" s="1" t="n">
        <v>639335</v>
      </c>
      <c r="J353" s="9" t="n">
        <v>0.529</v>
      </c>
      <c r="K353" s="1" t="inlineStr">
        <is>
          <t>Yes</t>
        </is>
      </c>
      <c r="L353" s="1" t="inlineStr">
        <is>
          <t>Yes</t>
        </is>
      </c>
      <c r="M353" s="1" t="inlineStr">
        <is>
          <t>No</t>
        </is>
      </c>
      <c r="N353" s="1" t="inlineStr">
        <is>
          <t>Algorithms</t>
        </is>
      </c>
      <c r="O3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4" ht="15.75" customHeight="1" s="12">
      <c r="A354" s="1" t="n">
        <v>979</v>
      </c>
      <c r="B354" s="3">
        <f>HYPERLINK("https://leetcode.com/problems/distribute-coins-in-binary-tree/", "Distribute Coins in Binary Tree")</f>
        <v/>
      </c>
      <c r="C354" s="1" t="n">
        <v>6043</v>
      </c>
      <c r="D354" s="1" t="n">
        <v>249</v>
      </c>
      <c r="E354" s="4">
        <f>IF(INDEX(C:C, ROW())+INDEX(D:D, ROW())=0, 0, INDEX(C:C, ROW())/(INDEX(C:C, ROW())+INDEX(D:D, ROW())))</f>
        <v/>
      </c>
      <c r="F354" s="1" t="inlineStr">
        <is>
          <t>Tree, Depth-First Search, Binary Tree</t>
        </is>
      </c>
      <c r="G354" s="1" t="inlineStr">
        <is>
          <t>Medium</t>
        </is>
      </c>
      <c r="H354" s="1" t="n">
        <v>221966</v>
      </c>
      <c r="I354" s="1" t="n">
        <v>287433</v>
      </c>
      <c r="J354" s="9" t="n">
        <v>0.772</v>
      </c>
      <c r="K354" s="1" t="inlineStr">
        <is>
          <t>Yes</t>
        </is>
      </c>
      <c r="L354" s="1" t="inlineStr">
        <is>
          <t>Yes</t>
        </is>
      </c>
      <c r="M354" s="1" t="inlineStr">
        <is>
          <t>No</t>
        </is>
      </c>
      <c r="N354" s="1" t="inlineStr">
        <is>
          <t>Algorithms</t>
        </is>
      </c>
      <c r="O3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5" ht="15.75" customHeight="1" s="12">
      <c r="A355" s="1" t="n">
        <v>1209</v>
      </c>
      <c r="B355" s="3">
        <f>HYPERLINK("https://leetcode.com/problems/remove-all-adjacent-duplicates-in-string-ii/", "Remove All Adjacent Duplicates in String II")</f>
        <v/>
      </c>
      <c r="C355" s="1" t="n">
        <v>6040</v>
      </c>
      <c r="D355" s="1" t="n">
        <v>124</v>
      </c>
      <c r="E355" s="4">
        <f>IF(INDEX(C:C, ROW())+INDEX(D:D, ROW())=0, 0, INDEX(C:C, ROW())/(INDEX(C:C, ROW())+INDEX(D:D, ROW())))</f>
        <v/>
      </c>
      <c r="F355" s="1" t="inlineStr">
        <is>
          <t>String, Stack</t>
        </is>
      </c>
      <c r="G355" s="1" t="inlineStr">
        <is>
          <t>Medium</t>
        </is>
      </c>
      <c r="H355" s="1" t="n">
        <v>406502</v>
      </c>
      <c r="I355" s="1" t="n">
        <v>669672</v>
      </c>
      <c r="J355" s="9" t="n">
        <v>0.607</v>
      </c>
      <c r="K355" s="1" t="inlineStr">
        <is>
          <t>Yes</t>
        </is>
      </c>
      <c r="L355" s="1" t="inlineStr">
        <is>
          <t>Yes</t>
        </is>
      </c>
      <c r="M355" s="1" t="inlineStr">
        <is>
          <t>No</t>
        </is>
      </c>
      <c r="N355" s="1" t="inlineStr">
        <is>
          <t>Algorithms</t>
        </is>
      </c>
      <c r="O3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6" ht="15.75" customHeight="1" s="12">
      <c r="A356" s="1" t="n">
        <v>904</v>
      </c>
      <c r="B356" s="3">
        <f>HYPERLINK("https://leetcode.com/problems/fruit-into-baskets/", "Fruit Into Baskets")</f>
        <v/>
      </c>
      <c r="C356" s="1" t="n">
        <v>6016</v>
      </c>
      <c r="D356" s="1" t="n">
        <v>551</v>
      </c>
      <c r="E356" s="4">
        <f>IF(INDEX(C:C, ROW())+INDEX(D:D, ROW())=0, 0, INDEX(C:C, ROW())/(INDEX(C:C, ROW())+INDEX(D:D, ROW())))</f>
        <v/>
      </c>
      <c r="F356" s="1" t="inlineStr">
        <is>
          <t>Array, Hash Table, Sliding Window</t>
        </is>
      </c>
      <c r="G356" s="1" t="inlineStr">
        <is>
          <t>Medium</t>
        </is>
      </c>
      <c r="H356" s="1" t="n">
        <v>759176</v>
      </c>
      <c r="I356" s="1" t="n">
        <v>1511996</v>
      </c>
      <c r="J356" s="9" t="n">
        <v>0.502</v>
      </c>
      <c r="K356" s="1" t="inlineStr">
        <is>
          <t>Yes</t>
        </is>
      </c>
      <c r="L356" s="1" t="inlineStr">
        <is>
          <t>Yes</t>
        </is>
      </c>
      <c r="M356" s="1" t="inlineStr">
        <is>
          <t>No</t>
        </is>
      </c>
      <c r="N356" s="1" t="inlineStr">
        <is>
          <t>Algorithms</t>
        </is>
      </c>
      <c r="O3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7" ht="15.75" customHeight="1" s="12">
      <c r="A357" s="1" t="n">
        <v>168</v>
      </c>
      <c r="B357" s="3">
        <f>HYPERLINK("https://leetcode.com/problems/excel-sheet-column-title/", "Excel Sheet Column Title")</f>
        <v/>
      </c>
      <c r="C357" s="1" t="n">
        <v>6006</v>
      </c>
      <c r="D357" s="1" t="n">
        <v>908</v>
      </c>
      <c r="E357" s="4">
        <f>IF(INDEX(C:C, ROW())+INDEX(D:D, ROW())=0, 0, INDEX(C:C, ROW())/(INDEX(C:C, ROW())+INDEX(D:D, ROW())))</f>
        <v/>
      </c>
      <c r="F357" s="1" t="inlineStr">
        <is>
          <t>Math, String</t>
        </is>
      </c>
      <c r="G357" s="1" t="inlineStr">
        <is>
          <t>Easy</t>
        </is>
      </c>
      <c r="H357" s="1" t="n">
        <v>705739</v>
      </c>
      <c r="I357" s="1" t="n">
        <v>1554881</v>
      </c>
      <c r="J357" s="9" t="n">
        <v>0.454</v>
      </c>
      <c r="K357" s="1" t="inlineStr">
        <is>
          <t>Yes</t>
        </is>
      </c>
      <c r="L357" s="1" t="inlineStr">
        <is>
          <t>Yes</t>
        </is>
      </c>
      <c r="M357" s="1" t="inlineStr">
        <is>
          <t>No</t>
        </is>
      </c>
      <c r="N357" s="1" t="inlineStr">
        <is>
          <t>Algorithms</t>
        </is>
      </c>
      <c r="O3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8" ht="15.75" customHeight="1" s="12">
      <c r="A358" s="1" t="n">
        <v>8</v>
      </c>
      <c r="B358" s="3">
        <f>HYPERLINK("https://leetcode.com/problems/string-to-integer-atoi/", "String to Integer (atoi)")</f>
        <v/>
      </c>
      <c r="C358" s="1" t="n">
        <v>6001</v>
      </c>
      <c r="D358" s="1" t="n">
        <v>15393</v>
      </c>
      <c r="E358" s="4">
        <f>IF(INDEX(C:C, ROW())+INDEX(D:D, ROW())=0, 0, INDEX(C:C, ROW())/(INDEX(C:C, ROW())+INDEX(D:D, ROW())))</f>
        <v/>
      </c>
      <c r="F358" s="1" t="inlineStr">
        <is>
          <t>String</t>
        </is>
      </c>
      <c r="G358" s="1" t="inlineStr">
        <is>
          <t>Medium</t>
        </is>
      </c>
      <c r="H358" s="1" t="n">
        <v>2292079</v>
      </c>
      <c r="I358" s="1" t="n">
        <v>11255802</v>
      </c>
      <c r="J358" s="9" t="n">
        <v>0.204</v>
      </c>
      <c r="K358" s="1" t="inlineStr">
        <is>
          <t>Yes</t>
        </is>
      </c>
      <c r="L358" s="1" t="inlineStr">
        <is>
          <t>Yes</t>
        </is>
      </c>
      <c r="M358" s="1" t="inlineStr">
        <is>
          <t>No</t>
        </is>
      </c>
      <c r="N358" s="1" t="inlineStr">
        <is>
          <t>Algorithms</t>
        </is>
      </c>
      <c r="O3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9" ht="15.75" customHeight="1" s="12">
      <c r="A359" s="1" t="n">
        <v>29</v>
      </c>
      <c r="B359" s="3">
        <f>HYPERLINK("https://leetcode.com/problems/divide-two-integers/", "Divide Two Integers")</f>
        <v/>
      </c>
      <c r="C359" s="1" t="n">
        <v>5993</v>
      </c>
      <c r="D359" s="1" t="n">
        <v>15245</v>
      </c>
      <c r="E359" s="4">
        <f>IF(INDEX(C:C, ROW())+INDEX(D:D, ROW())=0, 0, INDEX(C:C, ROW())/(INDEX(C:C, ROW())+INDEX(D:D, ROW())))</f>
        <v/>
      </c>
      <c r="F359" s="1" t="inlineStr">
        <is>
          <t>Math, Bit Manipulation</t>
        </is>
      </c>
      <c r="G359" s="1" t="inlineStr">
        <is>
          <t>Medium</t>
        </is>
      </c>
      <c r="H359" s="1" t="n">
        <v>1089866</v>
      </c>
      <c r="I359" s="1" t="n">
        <v>5669997</v>
      </c>
      <c r="J359" s="9" t="n">
        <v>0.192</v>
      </c>
      <c r="K359" s="1" t="inlineStr">
        <is>
          <t>Yes</t>
        </is>
      </c>
      <c r="L359" s="1" t="inlineStr">
        <is>
          <t>Yes</t>
        </is>
      </c>
      <c r="M359" s="1" t="inlineStr">
        <is>
          <t>No</t>
        </is>
      </c>
      <c r="N359" s="1" t="inlineStr">
        <is>
          <t>Algorithms</t>
        </is>
      </c>
      <c r="O3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0" ht="15.75" customHeight="1" s="12">
      <c r="A360" s="1" t="n">
        <v>1071</v>
      </c>
      <c r="B360" s="3">
        <f>HYPERLINK("https://leetcode.com/problems/greatest-common-divisor-of-strings/", "Greatest Common Divisor of Strings")</f>
        <v/>
      </c>
      <c r="C360" s="1" t="n">
        <v>5954</v>
      </c>
      <c r="D360" s="1" t="n">
        <v>1651</v>
      </c>
      <c r="E360" s="4">
        <f>IF(INDEX(C:C, ROW())+INDEX(D:D, ROW())=0, 0, INDEX(C:C, ROW())/(INDEX(C:C, ROW())+INDEX(D:D, ROW())))</f>
        <v/>
      </c>
      <c r="F360" s="1" t="inlineStr">
        <is>
          <t>Math, String</t>
        </is>
      </c>
      <c r="G360" s="1" t="inlineStr">
        <is>
          <t>Easy</t>
        </is>
      </c>
      <c r="H360" s="1" t="n">
        <v>904303</v>
      </c>
      <c r="I360" s="1" t="n">
        <v>1699439</v>
      </c>
      <c r="J360" s="9" t="n">
        <v>0.532</v>
      </c>
      <c r="K360" s="1" t="inlineStr">
        <is>
          <t>Yes</t>
        </is>
      </c>
      <c r="L360" s="1" t="inlineStr">
        <is>
          <t>Yes</t>
        </is>
      </c>
      <c r="M360" s="1" t="inlineStr">
        <is>
          <t>No</t>
        </is>
      </c>
      <c r="N360" s="1" t="inlineStr">
        <is>
          <t>Algorithms</t>
        </is>
      </c>
      <c r="O3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1" ht="15.75" customHeight="1" s="12">
      <c r="A361" s="1" t="n">
        <v>403</v>
      </c>
      <c r="B361" s="3">
        <f>HYPERLINK("https://leetcode.com/problems/frog-jump/", "Frog Jump")</f>
        <v/>
      </c>
      <c r="C361" s="1" t="n">
        <v>5948</v>
      </c>
      <c r="D361" s="1" t="n">
        <v>275</v>
      </c>
      <c r="E361" s="4">
        <f>IF(INDEX(C:C, ROW())+INDEX(D:D, ROW())=0, 0, INDEX(C:C, ROW())/(INDEX(C:C, ROW())+INDEX(D:D, ROW())))</f>
        <v/>
      </c>
      <c r="F361" s="1" t="inlineStr">
        <is>
          <t>Array, Dynamic Programming</t>
        </is>
      </c>
      <c r="G361" s="1" t="inlineStr">
        <is>
          <t>Hard</t>
        </is>
      </c>
      <c r="H361" s="1" t="n">
        <v>327953</v>
      </c>
      <c r="I361" s="1" t="n">
        <v>697250</v>
      </c>
      <c r="J361" s="9" t="n">
        <v>0.47</v>
      </c>
      <c r="K361" s="1" t="inlineStr">
        <is>
          <t>Yes</t>
        </is>
      </c>
      <c r="L361" s="1" t="inlineStr">
        <is>
          <t>Yes</t>
        </is>
      </c>
      <c r="M361" s="1" t="inlineStr">
        <is>
          <t>No</t>
        </is>
      </c>
      <c r="N361" s="1" t="inlineStr">
        <is>
          <t>Algorithms</t>
        </is>
      </c>
      <c r="O3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2" ht="15.75" customHeight="1" s="12">
      <c r="A362" s="1" t="n">
        <v>834</v>
      </c>
      <c r="B362" s="3">
        <f>HYPERLINK("https://leetcode.com/problems/sum-of-distances-in-tree/", "Sum of Distances in Tree")</f>
        <v/>
      </c>
      <c r="C362" s="1" t="n">
        <v>5928</v>
      </c>
      <c r="D362" s="1" t="n">
        <v>139</v>
      </c>
      <c r="E362" s="4">
        <f>IF(INDEX(C:C, ROW())+INDEX(D:D, ROW())=0, 0, INDEX(C:C, ROW())/(INDEX(C:C, ROW())+INDEX(D:D, ROW())))</f>
        <v/>
      </c>
      <c r="F362" s="1" t="inlineStr">
        <is>
          <t>Dynamic Programming, Tree, Depth-First Search, Graph Theory</t>
        </is>
      </c>
      <c r="G362" s="1" t="inlineStr">
        <is>
          <t>Hard</t>
        </is>
      </c>
      <c r="H362" s="1" t="n">
        <v>179267</v>
      </c>
      <c r="I362" s="1" t="n">
        <v>273740</v>
      </c>
      <c r="J362" s="9" t="n">
        <v>0.655</v>
      </c>
      <c r="K362" s="1" t="inlineStr">
        <is>
          <t>Yes</t>
        </is>
      </c>
      <c r="L362" s="1" t="inlineStr">
        <is>
          <t>Yes</t>
        </is>
      </c>
      <c r="M362" s="1" t="inlineStr">
        <is>
          <t>No</t>
        </is>
      </c>
      <c r="N362" s="1" t="inlineStr">
        <is>
          <t>Algorithms</t>
        </is>
      </c>
      <c r="O3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3" ht="15.75" customHeight="1" s="12">
      <c r="A363" s="1" t="n">
        <v>1365</v>
      </c>
      <c r="B363" s="3">
        <f>HYPERLINK("https://leetcode.com/problems/how-many-numbers-are-smaller-than-the-current-number/", "How Many Numbers Are Smaller Than the Current Number")</f>
        <v/>
      </c>
      <c r="C363" s="1" t="n">
        <v>5926</v>
      </c>
      <c r="D363" s="1" t="n">
        <v>157</v>
      </c>
      <c r="E363" s="4">
        <f>IF(INDEX(C:C, ROW())+INDEX(D:D, ROW())=0, 0, INDEX(C:C, ROW())/(INDEX(C:C, ROW())+INDEX(D:D, ROW())))</f>
        <v/>
      </c>
      <c r="F363" s="1" t="inlineStr">
        <is>
          <t>Array, Hash Table, Sorting, Counting Sort</t>
        </is>
      </c>
      <c r="G363" s="1" t="inlineStr">
        <is>
          <t>Easy</t>
        </is>
      </c>
      <c r="H363" s="1" t="n">
        <v>803773</v>
      </c>
      <c r="I363" s="1" t="n">
        <v>919252</v>
      </c>
      <c r="J363" s="9" t="n">
        <v>0.874</v>
      </c>
      <c r="K363" s="1" t="inlineStr">
        <is>
          <t>Yes</t>
        </is>
      </c>
      <c r="L363" s="1" t="inlineStr">
        <is>
          <t>No</t>
        </is>
      </c>
      <c r="M363" s="1" t="inlineStr">
        <is>
          <t>No</t>
        </is>
      </c>
      <c r="N363" s="1" t="inlineStr">
        <is>
          <t>Algorithms</t>
        </is>
      </c>
      <c r="O3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4" ht="15.75" customHeight="1" s="12">
      <c r="A364" s="1" t="n">
        <v>1277</v>
      </c>
      <c r="B364" s="3">
        <f>HYPERLINK("https://leetcode.com/problems/count-square-submatrices-with-all-ones/", "Count Square Submatrices with All Ones")</f>
        <v/>
      </c>
      <c r="C364" s="1" t="n">
        <v>5919</v>
      </c>
      <c r="D364" s="1" t="n">
        <v>114</v>
      </c>
      <c r="E364" s="4">
        <f>IF(INDEX(C:C, ROW())+INDEX(D:D, ROW())=0, 0, INDEX(C:C, ROW())/(INDEX(C:C, ROW())+INDEX(D:D, ROW())))</f>
        <v/>
      </c>
      <c r="F364" s="1" t="inlineStr">
        <is>
          <t>Array, Dynamic Programming, Matrix</t>
        </is>
      </c>
      <c r="G364" s="1" t="inlineStr">
        <is>
          <t>Medium</t>
        </is>
      </c>
      <c r="H364" s="1" t="n">
        <v>469654</v>
      </c>
      <c r="I364" s="1" t="n">
        <v>582370</v>
      </c>
      <c r="J364" s="9" t="n">
        <v>0.806</v>
      </c>
      <c r="K364" s="1" t="inlineStr">
        <is>
          <t>Yes</t>
        </is>
      </c>
      <c r="L364" s="1" t="inlineStr">
        <is>
          <t>Yes</t>
        </is>
      </c>
      <c r="M364" s="1" t="inlineStr">
        <is>
          <t>No</t>
        </is>
      </c>
      <c r="N364" s="1" t="inlineStr">
        <is>
          <t>Algorithms</t>
        </is>
      </c>
      <c r="O3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5" ht="15.75" customHeight="1" s="12">
      <c r="A365" s="1" t="n">
        <v>986</v>
      </c>
      <c r="B365" s="3">
        <f>HYPERLINK("https://leetcode.com/problems/interval-list-intersections/", "Interval List Intersections")</f>
        <v/>
      </c>
      <c r="C365" s="1" t="n">
        <v>5885</v>
      </c>
      <c r="D365" s="1" t="n">
        <v>128</v>
      </c>
      <c r="E365" s="4">
        <f>IF(INDEX(C:C, ROW())+INDEX(D:D, ROW())=0, 0, INDEX(C:C, ROW())/(INDEX(C:C, ROW())+INDEX(D:D, ROW())))</f>
        <v/>
      </c>
      <c r="F365" s="1" t="inlineStr">
        <is>
          <t>Array, Two Pointers, Sweep Line</t>
        </is>
      </c>
      <c r="G365" s="1" t="inlineStr">
        <is>
          <t>Medium</t>
        </is>
      </c>
      <c r="H365" s="1" t="n">
        <v>553475</v>
      </c>
      <c r="I365" s="1" t="n">
        <v>759309</v>
      </c>
      <c r="J365" s="9" t="n">
        <v>0.729</v>
      </c>
      <c r="K365" s="1" t="inlineStr">
        <is>
          <t>Yes</t>
        </is>
      </c>
      <c r="L365" s="1" t="inlineStr">
        <is>
          <t>Yes</t>
        </is>
      </c>
      <c r="M365" s="1" t="inlineStr">
        <is>
          <t>No</t>
        </is>
      </c>
      <c r="N365" s="1" t="inlineStr">
        <is>
          <t>Algorithms</t>
        </is>
      </c>
      <c r="O3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6" ht="15.75" customHeight="1" s="12">
      <c r="A366" s="1" t="n">
        <v>421</v>
      </c>
      <c r="B366" s="3">
        <f>HYPERLINK("https://leetcode.com/problems/maximum-xor-of-two-numbers-in-an-array/", "Maximum XOR of Two Numbers in an Array")</f>
        <v/>
      </c>
      <c r="C366" s="1" t="n">
        <v>5883</v>
      </c>
      <c r="D366" s="1" t="n">
        <v>419</v>
      </c>
      <c r="E366" s="4">
        <f>IF(INDEX(C:C, ROW())+INDEX(D:D, ROW())=0, 0, INDEX(C:C, ROW())/(INDEX(C:C, ROW())+INDEX(D:D, ROW())))</f>
        <v/>
      </c>
      <c r="F366" s="1" t="inlineStr">
        <is>
          <t>Array, Hash Table, Bit Manipulation, Trie</t>
        </is>
      </c>
      <c r="G366" s="1" t="inlineStr">
        <is>
          <t>Medium</t>
        </is>
      </c>
      <c r="H366" s="1" t="n">
        <v>212779</v>
      </c>
      <c r="I366" s="1" t="n">
        <v>398360</v>
      </c>
      <c r="J366" s="9" t="n">
        <v>0.534</v>
      </c>
      <c r="K366" s="1" t="inlineStr">
        <is>
          <t>Yes</t>
        </is>
      </c>
      <c r="L366" s="1" t="inlineStr">
        <is>
          <t>Yes</t>
        </is>
      </c>
      <c r="M366" s="1" t="inlineStr">
        <is>
          <t>No</t>
        </is>
      </c>
      <c r="N366" s="1" t="inlineStr">
        <is>
          <t>Algorithms</t>
        </is>
      </c>
      <c r="O3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7" ht="15.75" customHeight="1" s="12">
      <c r="A367" s="1" t="n">
        <v>132</v>
      </c>
      <c r="B367" s="3">
        <f>HYPERLINK("https://leetcode.com/problems/palindrome-partitioning-ii/", "Palindrome Partitioning II")</f>
        <v/>
      </c>
      <c r="C367" s="1" t="n">
        <v>5881</v>
      </c>
      <c r="D367" s="1" t="n">
        <v>156</v>
      </c>
      <c r="E367" s="4">
        <f>IF(INDEX(C:C, ROW())+INDEX(D:D, ROW())=0, 0, INDEX(C:C, ROW())/(INDEX(C:C, ROW())+INDEX(D:D, ROW())))</f>
        <v/>
      </c>
      <c r="F367" s="1" t="inlineStr">
        <is>
          <t>String, Dynamic Programming</t>
        </is>
      </c>
      <c r="G367" s="1" t="inlineStr">
        <is>
          <t>Hard</t>
        </is>
      </c>
      <c r="H367" s="1" t="n">
        <v>388517</v>
      </c>
      <c r="I367" s="1" t="n">
        <v>1067354</v>
      </c>
      <c r="J367" s="9" t="n">
        <v>0.364</v>
      </c>
      <c r="K367" s="1" t="inlineStr">
        <is>
          <t>Yes</t>
        </is>
      </c>
      <c r="L367" s="1" t="inlineStr">
        <is>
          <t>Yes</t>
        </is>
      </c>
      <c r="M367" s="1" t="inlineStr">
        <is>
          <t>No</t>
        </is>
      </c>
      <c r="N367" s="1" t="inlineStr">
        <is>
          <t>Algorithms</t>
        </is>
      </c>
      <c r="O3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8" ht="15.75" customHeight="1" s="12">
      <c r="A368" s="1" t="n">
        <v>1092</v>
      </c>
      <c r="B368" s="3">
        <f>HYPERLINK("https://leetcode.com/problems/shortest-common-supersequence/", "Shortest Common Supersequence ")</f>
        <v/>
      </c>
      <c r="C368" s="1" t="n">
        <v>5864</v>
      </c>
      <c r="D368" s="1" t="n">
        <v>101</v>
      </c>
      <c r="E368" s="4">
        <f>IF(INDEX(C:C, ROW())+INDEX(D:D, ROW())=0, 0, INDEX(C:C, ROW())/(INDEX(C:C, ROW())+INDEX(D:D, ROW())))</f>
        <v/>
      </c>
      <c r="F368" s="1" t="inlineStr">
        <is>
          <t>String, Dynamic Programming</t>
        </is>
      </c>
      <c r="G368" s="1" t="inlineStr">
        <is>
          <t>Hard</t>
        </is>
      </c>
      <c r="H368" s="1" t="n">
        <v>295548</v>
      </c>
      <c r="I368" s="1" t="n">
        <v>479045</v>
      </c>
      <c r="J368" s="9" t="n">
        <v>0.617</v>
      </c>
      <c r="K368" s="1" t="inlineStr">
        <is>
          <t>Yes</t>
        </is>
      </c>
      <c r="L368" s="1" t="inlineStr">
        <is>
          <t>Yes</t>
        </is>
      </c>
      <c r="M368" s="1" t="inlineStr">
        <is>
          <t>No</t>
        </is>
      </c>
      <c r="N368" s="1" t="inlineStr">
        <is>
          <t>Algorithms</t>
        </is>
      </c>
      <c r="O3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9" ht="15.75" customHeight="1" s="12">
      <c r="A369" s="1" t="n">
        <v>665</v>
      </c>
      <c r="B369" s="3">
        <f>HYPERLINK("https://leetcode.com/problems/non-decreasing-array/", "Non-decreasing Array")</f>
        <v/>
      </c>
      <c r="C369" s="1" t="n">
        <v>5847</v>
      </c>
      <c r="D369" s="1" t="n">
        <v>787</v>
      </c>
      <c r="E369" s="4">
        <f>IF(INDEX(C:C, ROW())+INDEX(D:D, ROW())=0, 0, INDEX(C:C, ROW())/(INDEX(C:C, ROW())+INDEX(D:D, ROW())))</f>
        <v/>
      </c>
      <c r="F369" s="1" t="inlineStr">
        <is>
          <t>Array</t>
        </is>
      </c>
      <c r="G369" s="1" t="inlineStr">
        <is>
          <t>Medium</t>
        </is>
      </c>
      <c r="H369" s="1" t="n">
        <v>290370</v>
      </c>
      <c r="I369" s="1" t="n">
        <v>1146642</v>
      </c>
      <c r="J369" s="9" t="n">
        <v>0.253</v>
      </c>
      <c r="K369" s="1" t="inlineStr">
        <is>
          <t>Yes</t>
        </is>
      </c>
      <c r="L369" s="1" t="inlineStr">
        <is>
          <t>Yes</t>
        </is>
      </c>
      <c r="M369" s="1" t="inlineStr">
        <is>
          <t>No</t>
        </is>
      </c>
      <c r="N369" s="1" t="inlineStr">
        <is>
          <t>Algorithms</t>
        </is>
      </c>
      <c r="O3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0" ht="15.75" customHeight="1" s="12">
      <c r="A370" s="1" t="n">
        <v>1512</v>
      </c>
      <c r="B370" s="3">
        <f>HYPERLINK("https://leetcode.com/problems/number-of-good-pairs/", "Number of Good Pairs")</f>
        <v/>
      </c>
      <c r="C370" s="1" t="n">
        <v>5820</v>
      </c>
      <c r="D370" s="1" t="n">
        <v>283</v>
      </c>
      <c r="E370" s="4">
        <f>IF(INDEX(C:C, ROW())+INDEX(D:D, ROW())=0, 0, INDEX(C:C, ROW())/(INDEX(C:C, ROW())+INDEX(D:D, ROW())))</f>
        <v/>
      </c>
      <c r="F370" s="1" t="inlineStr">
        <is>
          <t>Array, Hash Table, Math, Counting</t>
        </is>
      </c>
      <c r="G370" s="1" t="inlineStr">
        <is>
          <t>Easy</t>
        </is>
      </c>
      <c r="H370" s="1" t="n">
        <v>1013883</v>
      </c>
      <c r="I370" s="1" t="n">
        <v>1129949</v>
      </c>
      <c r="J370" s="9" t="n">
        <v>0.897</v>
      </c>
      <c r="K370" s="1" t="inlineStr">
        <is>
          <t>Yes</t>
        </is>
      </c>
      <c r="L370" s="1" t="inlineStr">
        <is>
          <t>Yes</t>
        </is>
      </c>
      <c r="M370" s="1" t="inlineStr">
        <is>
          <t>No</t>
        </is>
      </c>
      <c r="N370" s="1" t="inlineStr">
        <is>
          <t>Algorithms</t>
        </is>
      </c>
      <c r="O3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1" ht="15.75" customHeight="1" s="12">
      <c r="A371" s="1" t="n">
        <v>792</v>
      </c>
      <c r="B371" s="3">
        <f>HYPERLINK("https://leetcode.com/problems/number-of-matching-subsequences/", "Number of Matching Subsequences")</f>
        <v/>
      </c>
      <c r="C371" s="1" t="n">
        <v>5774</v>
      </c>
      <c r="D371" s="1" t="n">
        <v>244</v>
      </c>
      <c r="E371" s="4">
        <f>IF(INDEX(C:C, ROW())+INDEX(D:D, ROW())=0, 0, INDEX(C:C, ROW())/(INDEX(C:C, ROW())+INDEX(D:D, ROW())))</f>
        <v/>
      </c>
      <c r="F371" s="1" t="inlineStr">
        <is>
          <t>Array, Hash Table, String, Binary Search, Dynamic Programming, Trie, Sorting</t>
        </is>
      </c>
      <c r="G371" s="1" t="inlineStr">
        <is>
          <t>Medium</t>
        </is>
      </c>
      <c r="H371" s="1" t="n">
        <v>269410</v>
      </c>
      <c r="I371" s="1" t="n">
        <v>532011</v>
      </c>
      <c r="J371" s="9" t="n">
        <v>0.506</v>
      </c>
      <c r="K371" s="1" t="inlineStr">
        <is>
          <t>Yes</t>
        </is>
      </c>
      <c r="L371" s="1" t="inlineStr">
        <is>
          <t>Yes</t>
        </is>
      </c>
      <c r="M371" s="1" t="inlineStr">
        <is>
          <t>No</t>
        </is>
      </c>
      <c r="N371" s="1" t="inlineStr">
        <is>
          <t>Algorithms</t>
        </is>
      </c>
      <c r="O3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2" ht="15.75" customHeight="1" s="12">
      <c r="A372" s="1" t="n">
        <v>404</v>
      </c>
      <c r="B372" s="3">
        <f>HYPERLINK("https://leetcode.com/problems/sum-of-left-leaves/", "Sum of Left Leaves")</f>
        <v/>
      </c>
      <c r="C372" s="1" t="n">
        <v>5760</v>
      </c>
      <c r="D372" s="1" t="n">
        <v>321</v>
      </c>
      <c r="E372" s="4">
        <f>IF(INDEX(C:C, ROW())+INDEX(D:D, ROW())=0, 0, INDEX(C:C, ROW())/(INDEX(C:C, ROW())+INDEX(D:D, ROW())))</f>
        <v/>
      </c>
      <c r="F372" s="1" t="inlineStr">
        <is>
          <t>Tree, Depth-First Search, Breadth-First Search, Binary Tree</t>
        </is>
      </c>
      <c r="G372" s="1" t="inlineStr">
        <is>
          <t>Easy</t>
        </is>
      </c>
      <c r="H372" s="1" t="n">
        <v>767314</v>
      </c>
      <c r="I372" s="1" t="n">
        <v>1232276</v>
      </c>
      <c r="J372" s="9" t="n">
        <v>0.623</v>
      </c>
      <c r="K372" s="1" t="inlineStr">
        <is>
          <t>Yes</t>
        </is>
      </c>
      <c r="L372" s="1" t="inlineStr">
        <is>
          <t>Yes</t>
        </is>
      </c>
      <c r="M372" s="1" t="inlineStr">
        <is>
          <t>No</t>
        </is>
      </c>
      <c r="N372" s="1" t="inlineStr">
        <is>
          <t>Algorithms</t>
        </is>
      </c>
      <c r="O3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3" ht="15.75" customHeight="1" s="12">
      <c r="A373" s="1" t="n">
        <v>934</v>
      </c>
      <c r="B373" s="3">
        <f>HYPERLINK("https://leetcode.com/problems/shortest-bridge/", "Shortest Bridge")</f>
        <v/>
      </c>
      <c r="C373" s="1" t="n">
        <v>5736</v>
      </c>
      <c r="D373" s="1" t="n">
        <v>220</v>
      </c>
      <c r="E373" s="4">
        <f>IF(INDEX(C:C, ROW())+INDEX(D:D, ROW())=0, 0, INDEX(C:C, ROW())/(INDEX(C:C, ROW())+INDEX(D:D, ROW())))</f>
        <v/>
      </c>
      <c r="F373" s="1" t="inlineStr">
        <is>
          <t>Array, Depth-First Search, Breadth-First Search, Matrix</t>
        </is>
      </c>
      <c r="G373" s="1" t="inlineStr">
        <is>
          <t>Medium</t>
        </is>
      </c>
      <c r="H373" s="1" t="n">
        <v>267667</v>
      </c>
      <c r="I373" s="1" t="n">
        <v>452440</v>
      </c>
      <c r="J373" s="9" t="n">
        <v>0.592</v>
      </c>
      <c r="K373" s="1" t="inlineStr">
        <is>
          <t>Yes</t>
        </is>
      </c>
      <c r="L373" s="1" t="inlineStr">
        <is>
          <t>Yes</t>
        </is>
      </c>
      <c r="M373" s="1" t="inlineStr">
        <is>
          <t>No</t>
        </is>
      </c>
      <c r="N373" s="1" t="inlineStr">
        <is>
          <t>Algorithms</t>
        </is>
      </c>
      <c r="O3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4" ht="15.75" customHeight="1" s="12">
      <c r="A374" s="1" t="n">
        <v>1658</v>
      </c>
      <c r="B374" s="3">
        <f>HYPERLINK("https://leetcode.com/problems/minimum-operations-to-reduce-x-to-zero/", "Minimum Operations to Reduce X to Zero")</f>
        <v/>
      </c>
      <c r="C374" s="1" t="n">
        <v>5728</v>
      </c>
      <c r="D374" s="1" t="n">
        <v>126</v>
      </c>
      <c r="E374" s="4">
        <f>IF(INDEX(C:C, ROW())+INDEX(D:D, ROW())=0, 0, INDEX(C:C, ROW())/(INDEX(C:C, ROW())+INDEX(D:D, ROW())))</f>
        <v/>
      </c>
      <c r="F374" s="1" t="inlineStr">
        <is>
          <t>Array, Hash Table, Binary Search, Sliding Window, Prefix Sum</t>
        </is>
      </c>
      <c r="G374" s="1" t="inlineStr">
        <is>
          <t>Medium</t>
        </is>
      </c>
      <c r="H374" s="1" t="n">
        <v>226409</v>
      </c>
      <c r="I374" s="1" t="n">
        <v>560964</v>
      </c>
      <c r="J374" s="9" t="n">
        <v>0.404</v>
      </c>
      <c r="K374" s="1" t="inlineStr">
        <is>
          <t>Yes</t>
        </is>
      </c>
      <c r="L374" s="1" t="inlineStr">
        <is>
          <t>Yes</t>
        </is>
      </c>
      <c r="M374" s="1" t="inlineStr">
        <is>
          <t>No</t>
        </is>
      </c>
      <c r="N374" s="1" t="inlineStr">
        <is>
          <t>Algorithms</t>
        </is>
      </c>
      <c r="O3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5" ht="15.75" customHeight="1" s="12">
      <c r="A375" s="1" t="n">
        <v>1721</v>
      </c>
      <c r="B375" s="3">
        <f>HYPERLINK("https://leetcode.com/problems/swapping-nodes-in-a-linked-list/", "Swapping Nodes in a Linked List")</f>
        <v/>
      </c>
      <c r="C375" s="1" t="n">
        <v>5694</v>
      </c>
      <c r="D375" s="1" t="n">
        <v>206</v>
      </c>
      <c r="E375" s="4">
        <f>IF(INDEX(C:C, ROW())+INDEX(D:D, ROW())=0, 0, INDEX(C:C, ROW())/(INDEX(C:C, ROW())+INDEX(D:D, ROW())))</f>
        <v/>
      </c>
      <c r="F375" s="1" t="inlineStr">
        <is>
          <t>Linked List, Two Pointers</t>
        </is>
      </c>
      <c r="G375" s="1" t="inlineStr">
        <is>
          <t>Medium</t>
        </is>
      </c>
      <c r="H375" s="1" t="n">
        <v>443966</v>
      </c>
      <c r="I375" s="1" t="n">
        <v>642363</v>
      </c>
      <c r="J375" s="9" t="n">
        <v>0.6909999999999999</v>
      </c>
      <c r="K375" s="1" t="inlineStr">
        <is>
          <t>Yes</t>
        </is>
      </c>
      <c r="L375" s="1" t="inlineStr">
        <is>
          <t>Yes</t>
        </is>
      </c>
      <c r="M375" s="1" t="inlineStr">
        <is>
          <t>No</t>
        </is>
      </c>
      <c r="N375" s="1" t="inlineStr">
        <is>
          <t>Algorithms</t>
        </is>
      </c>
      <c r="O3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6" ht="15.75" customHeight="1" s="12">
      <c r="A376" s="1" t="n">
        <v>905</v>
      </c>
      <c r="B376" s="3">
        <f>HYPERLINK("https://leetcode.com/problems/sort-array-by-parity/", "Sort Array By Parity")</f>
        <v/>
      </c>
      <c r="C376" s="1" t="n">
        <v>5647</v>
      </c>
      <c r="D376" s="1" t="n">
        <v>156</v>
      </c>
      <c r="E376" s="4">
        <f>IF(INDEX(C:C, ROW())+INDEX(D:D, ROW())=0, 0, INDEX(C:C, ROW())/(INDEX(C:C, ROW())+INDEX(D:D, ROW())))</f>
        <v/>
      </c>
      <c r="F376" s="1" t="inlineStr">
        <is>
          <t>Array, Two Pointers, Sorting</t>
        </is>
      </c>
      <c r="G376" s="1" t="inlineStr">
        <is>
          <t>Easy</t>
        </is>
      </c>
      <c r="H376" s="1" t="n">
        <v>980071</v>
      </c>
      <c r="I376" s="1" t="n">
        <v>1282704</v>
      </c>
      <c r="J376" s="9" t="n">
        <v>0.764</v>
      </c>
      <c r="K376" s="1" t="inlineStr">
        <is>
          <t>Yes</t>
        </is>
      </c>
      <c r="L376" s="1" t="inlineStr">
        <is>
          <t>Yes</t>
        </is>
      </c>
      <c r="M376" s="1" t="inlineStr">
        <is>
          <t>No</t>
        </is>
      </c>
      <c r="N376" s="1" t="inlineStr">
        <is>
          <t>Algorithms</t>
        </is>
      </c>
      <c r="O3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7" ht="15.75" customHeight="1" s="12">
      <c r="A377" s="1" t="n">
        <v>1838</v>
      </c>
      <c r="B377" s="3">
        <f>HYPERLINK("https://leetcode.com/problems/frequency-of-the-most-frequent-element/", "Frequency of the Most Frequent Element")</f>
        <v/>
      </c>
      <c r="C377" s="1" t="n">
        <v>5636</v>
      </c>
      <c r="D377" s="1" t="n">
        <v>300</v>
      </c>
      <c r="E377" s="4">
        <f>IF(INDEX(C:C, ROW())+INDEX(D:D, ROW())=0, 0, INDEX(C:C, ROW())/(INDEX(C:C, ROW())+INDEX(D:D, ROW())))</f>
        <v/>
      </c>
      <c r="F377" s="1" t="inlineStr">
        <is>
          <t>Array, Binary Search, Greedy, Sliding Window, Sorting, Prefix Sum</t>
        </is>
      </c>
      <c r="G377" s="1" t="inlineStr">
        <is>
          <t>Medium</t>
        </is>
      </c>
      <c r="H377" s="1" t="n">
        <v>253907</v>
      </c>
      <c r="I377" s="1" t="n">
        <v>570072</v>
      </c>
      <c r="J377" s="9" t="n">
        <v>0.445</v>
      </c>
      <c r="K377" s="1" t="inlineStr">
        <is>
          <t>Yes</t>
        </is>
      </c>
      <c r="L377" s="1" t="inlineStr">
        <is>
          <t>Yes</t>
        </is>
      </c>
      <c r="M377" s="1" t="inlineStr">
        <is>
          <t>No</t>
        </is>
      </c>
      <c r="N377" s="1" t="inlineStr">
        <is>
          <t>Algorithms</t>
        </is>
      </c>
      <c r="O3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8" ht="15.75" customHeight="1" s="12">
      <c r="A378" s="1" t="n">
        <v>968</v>
      </c>
      <c r="B378" s="3">
        <f>HYPERLINK("https://leetcode.com/problems/binary-tree-cameras/", "Binary Tree Cameras")</f>
        <v/>
      </c>
      <c r="C378" s="1" t="n">
        <v>5623</v>
      </c>
      <c r="D378" s="1" t="n">
        <v>89</v>
      </c>
      <c r="E378" s="4">
        <f>IF(INDEX(C:C, ROW())+INDEX(D:D, ROW())=0, 0, INDEX(C:C, ROW())/(INDEX(C:C, ROW())+INDEX(D:D, ROW())))</f>
        <v/>
      </c>
      <c r="F378" s="1" t="inlineStr">
        <is>
          <t>Dynamic Programming, Tree, Depth-First Search, Binary Tree</t>
        </is>
      </c>
      <c r="G378" s="1" t="inlineStr">
        <is>
          <t>Hard</t>
        </is>
      </c>
      <c r="H378" s="1" t="n">
        <v>180203</v>
      </c>
      <c r="I378" s="1" t="n">
        <v>378626</v>
      </c>
      <c r="J378" s="9" t="n">
        <v>0.476</v>
      </c>
      <c r="K378" s="1" t="inlineStr">
        <is>
          <t>Yes</t>
        </is>
      </c>
      <c r="L378" s="1" t="inlineStr">
        <is>
          <t>Yes</t>
        </is>
      </c>
      <c r="M378" s="1" t="inlineStr">
        <is>
          <t>No</t>
        </is>
      </c>
      <c r="N378" s="1" t="inlineStr">
        <is>
          <t>Algorithms</t>
        </is>
      </c>
      <c r="O3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9" ht="15.75" customHeight="1" s="12">
      <c r="A379" s="1" t="n">
        <v>413</v>
      </c>
      <c r="B379" s="3">
        <f>HYPERLINK("https://leetcode.com/problems/arithmetic-slices/", "Arithmetic Slices")</f>
        <v/>
      </c>
      <c r="C379" s="1" t="n">
        <v>5610</v>
      </c>
      <c r="D379" s="1" t="n">
        <v>305</v>
      </c>
      <c r="E379" s="4">
        <f>IF(INDEX(C:C, ROW())+INDEX(D:D, ROW())=0, 0, INDEX(C:C, ROW())/(INDEX(C:C, ROW())+INDEX(D:D, ROW())))</f>
        <v/>
      </c>
      <c r="F379" s="1" t="inlineStr">
        <is>
          <t>Array, Dynamic Programming, Sliding Window</t>
        </is>
      </c>
      <c r="G379" s="1" t="inlineStr">
        <is>
          <t>Medium</t>
        </is>
      </c>
      <c r="H379" s="1" t="n">
        <v>358635</v>
      </c>
      <c r="I379" s="1" t="n">
        <v>553349</v>
      </c>
      <c r="J379" s="9" t="n">
        <v>0.648</v>
      </c>
      <c r="K379" s="1" t="inlineStr">
        <is>
          <t>Yes</t>
        </is>
      </c>
      <c r="L379" s="1" t="inlineStr">
        <is>
          <t>Yes</t>
        </is>
      </c>
      <c r="M379" s="1" t="inlineStr">
        <is>
          <t>No</t>
        </is>
      </c>
      <c r="N379" s="1" t="inlineStr">
        <is>
          <t>Algorithms</t>
        </is>
      </c>
      <c r="O3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80" ht="15.75" customHeight="1" s="12">
      <c r="A380" s="1" t="n">
        <v>93</v>
      </c>
      <c r="B380" s="3">
        <f>HYPERLINK("https://leetcode.com/problems/restore-ip-addresses/", "Restore IP Addresses")</f>
        <v/>
      </c>
      <c r="C380" s="1" t="n">
        <v>5595</v>
      </c>
      <c r="D380" s="1" t="n">
        <v>818</v>
      </c>
      <c r="E380" s="4">
        <f>IF(INDEX(C:C, ROW())+INDEX(D:D, ROW())=0, 0, INDEX(C:C, ROW())/(INDEX(C:C, ROW())+INDEX(D:D, ROW())))</f>
        <v/>
      </c>
      <c r="F380" s="1" t="inlineStr">
        <is>
          <t>String, Backtracking</t>
        </is>
      </c>
      <c r="G380" s="1" t="inlineStr">
        <is>
          <t>Medium</t>
        </is>
      </c>
      <c r="H380" s="1" t="n">
        <v>597289</v>
      </c>
      <c r="I380" s="1" t="n">
        <v>1086318</v>
      </c>
      <c r="J380" s="9" t="n">
        <v>0.55</v>
      </c>
      <c r="K380" s="1" t="inlineStr">
        <is>
          <t>Yes</t>
        </is>
      </c>
      <c r="L380" s="1" t="inlineStr">
        <is>
          <t>Yes</t>
        </is>
      </c>
      <c r="M380" s="1" t="inlineStr">
        <is>
          <t>No</t>
        </is>
      </c>
      <c r="N380" s="1" t="inlineStr">
        <is>
          <t>Algorithms</t>
        </is>
      </c>
      <c r="O3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81" ht="15.75" customHeight="1" s="12">
      <c r="A381" s="1" t="n">
        <v>383</v>
      </c>
      <c r="B381" s="3">
        <f>HYPERLINK("https://leetcode.com/problems/ransom-note/", "Ransom Note")</f>
        <v/>
      </c>
      <c r="C381" s="1" t="n">
        <v>5594</v>
      </c>
      <c r="D381" s="1" t="n">
        <v>541</v>
      </c>
      <c r="E381" s="4">
        <f>IF(INDEX(C:C, ROW())+INDEX(D:D, ROW())=0, 0, INDEX(C:C, ROW())/(INDEX(C:C, ROW())+INDEX(D:D, ROW())))</f>
        <v/>
      </c>
      <c r="F381" s="1" t="inlineStr">
        <is>
          <t>Hash Table, String, Counting</t>
        </is>
      </c>
      <c r="G381" s="1" t="inlineStr">
        <is>
          <t>Easy</t>
        </is>
      </c>
      <c r="H381" s="1" t="n">
        <v>1849327</v>
      </c>
      <c r="I381" s="1" t="n">
        <v>2825422</v>
      </c>
      <c r="J381" s="9" t="n">
        <v>0.655</v>
      </c>
      <c r="K381" s="1" t="inlineStr">
        <is>
          <t>Yes</t>
        </is>
      </c>
      <c r="L381" s="1" t="inlineStr">
        <is>
          <t>Yes</t>
        </is>
      </c>
      <c r="M381" s="1" t="inlineStr">
        <is>
          <t>Yes</t>
        </is>
      </c>
      <c r="N381" s="1" t="inlineStr">
        <is>
          <t>Algorithms</t>
        </is>
      </c>
      <c r="O3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82" ht="15.75" customHeight="1" s="12">
      <c r="A382" s="1" t="n">
        <v>856</v>
      </c>
      <c r="B382" s="3">
        <f>HYPERLINK("https://leetcode.com/problems/score-of-parentheses/", "Score of Parentheses")</f>
        <v/>
      </c>
      <c r="C382" s="1" t="n">
        <v>5594</v>
      </c>
      <c r="D382" s="1" t="n">
        <v>235</v>
      </c>
      <c r="E382" s="4">
        <f>IF(INDEX(C:C, ROW())+INDEX(D:D, ROW())=0, 0, INDEX(C:C, ROW())/(INDEX(C:C, ROW())+INDEX(D:D, ROW())))</f>
        <v/>
      </c>
      <c r="F382" s="1" t="inlineStr">
        <is>
          <t>String, Stack</t>
        </is>
      </c>
      <c r="G382" s="1" t="inlineStr">
        <is>
          <t>Medium</t>
        </is>
      </c>
      <c r="H382" s="1" t="n">
        <v>217495</v>
      </c>
      <c r="I382" s="1" t="n">
        <v>341558</v>
      </c>
      <c r="J382" s="9" t="n">
        <v>0.637</v>
      </c>
      <c r="K382" s="1" t="inlineStr">
        <is>
          <t>Yes</t>
        </is>
      </c>
      <c r="L382" s="1" t="inlineStr">
        <is>
          <t>Yes</t>
        </is>
      </c>
      <c r="M382" s="1" t="inlineStr">
        <is>
          <t>No</t>
        </is>
      </c>
      <c r="N382" s="1" t="inlineStr">
        <is>
          <t>Algorithms</t>
        </is>
      </c>
      <c r="O3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83" ht="15.75" customHeight="1" s="12">
      <c r="A383" s="1" t="n">
        <v>190</v>
      </c>
      <c r="B383" s="3">
        <f>HYPERLINK("https://leetcode.com/problems/reverse-bits/", "Reverse Bits")</f>
        <v/>
      </c>
      <c r="C383" s="1" t="n">
        <v>5578</v>
      </c>
      <c r="D383" s="1" t="n">
        <v>1643</v>
      </c>
      <c r="E383" s="4">
        <f>IF(INDEX(C:C, ROW())+INDEX(D:D, ROW())=0, 0, INDEX(C:C, ROW())/(INDEX(C:C, ROW())+INDEX(D:D, ROW())))</f>
        <v/>
      </c>
      <c r="F383" s="1" t="inlineStr">
        <is>
          <t>Divide and Conquer, Bit Manipulation</t>
        </is>
      </c>
      <c r="G383" s="1" t="inlineStr">
        <is>
          <t>Easy</t>
        </is>
      </c>
      <c r="H383" s="1" t="n">
        <v>1152482</v>
      </c>
      <c r="I383" s="1" t="n">
        <v>1758932</v>
      </c>
      <c r="J383" s="9" t="n">
        <v>0.655</v>
      </c>
      <c r="K383" s="1" t="inlineStr">
        <is>
          <t>Yes</t>
        </is>
      </c>
      <c r="L383" s="1" t="inlineStr">
        <is>
          <t>Yes</t>
        </is>
      </c>
      <c r="M383" s="1" t="inlineStr">
        <is>
          <t>No</t>
        </is>
      </c>
      <c r="N383" s="1" t="inlineStr">
        <is>
          <t>Algorithms</t>
        </is>
      </c>
      <c r="O3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84" ht="15.75" customHeight="1" s="12">
      <c r="A384" s="1" t="n">
        <v>1482</v>
      </c>
      <c r="B384" s="3">
        <f>HYPERLINK("https://leetcode.com/problems/minimum-number-of-days-to-make-m-bouquets/", "Minimum Number of Days to Make m Bouquets")</f>
        <v/>
      </c>
      <c r="C384" s="1" t="n">
        <v>5557</v>
      </c>
      <c r="D384" s="1" t="n">
        <v>313</v>
      </c>
      <c r="E384" s="4">
        <f>IF(INDEX(C:C, ROW())+INDEX(D:D, ROW())=0, 0, INDEX(C:C, ROW())/(INDEX(C:C, ROW())+INDEX(D:D, ROW())))</f>
        <v/>
      </c>
      <c r="F384" s="1" t="inlineStr">
        <is>
          <t>Array, Binary Search</t>
        </is>
      </c>
      <c r="G384" s="1" t="inlineStr">
        <is>
          <t>Medium</t>
        </is>
      </c>
      <c r="H384" s="1" t="n">
        <v>466266</v>
      </c>
      <c r="I384" s="1" t="n">
        <v>831631</v>
      </c>
      <c r="J384" s="9" t="n">
        <v>0.5610000000000001</v>
      </c>
      <c r="K384" s="1" t="inlineStr">
        <is>
          <t>Yes</t>
        </is>
      </c>
      <c r="L384" s="1" t="inlineStr">
        <is>
          <t>Yes</t>
        </is>
      </c>
      <c r="M384" s="1" t="inlineStr">
        <is>
          <t>No</t>
        </is>
      </c>
      <c r="N384" s="1" t="inlineStr">
        <is>
          <t>Algorithms</t>
        </is>
      </c>
      <c r="O3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85" ht="15.75" customHeight="1" s="12">
      <c r="A385" s="1" t="n">
        <v>1319</v>
      </c>
      <c r="B385" s="3">
        <f>HYPERLINK("https://leetcode.com/problems/number-of-operations-to-make-network-connected/", "Number of Operations to Make Network Connected")</f>
        <v/>
      </c>
      <c r="C385" s="1" t="n">
        <v>5548</v>
      </c>
      <c r="D385" s="1" t="n">
        <v>83</v>
      </c>
      <c r="E385" s="4">
        <f>IF(INDEX(C:C, ROW())+INDEX(D:D, ROW())=0, 0, INDEX(C:C, ROW())/(INDEX(C:C, ROW())+INDEX(D:D, ROW())))</f>
        <v/>
      </c>
      <c r="F385" s="1" t="inlineStr">
        <is>
          <t>Depth-First Search, Breadth-First Search, Union-Find, Graph Theory</t>
        </is>
      </c>
      <c r="G385" s="1" t="inlineStr">
        <is>
          <t>Medium</t>
        </is>
      </c>
      <c r="H385" s="1" t="n">
        <v>340189</v>
      </c>
      <c r="I385" s="1" t="n">
        <v>515747</v>
      </c>
      <c r="J385" s="9" t="n">
        <v>0.66</v>
      </c>
      <c r="K385" s="1" t="inlineStr">
        <is>
          <t>Yes</t>
        </is>
      </c>
      <c r="L385" s="1" t="inlineStr">
        <is>
          <t>Yes</t>
        </is>
      </c>
      <c r="M385" s="1" t="inlineStr">
        <is>
          <t>No</t>
        </is>
      </c>
      <c r="N385" s="1" t="inlineStr">
        <is>
          <t>Algorithms</t>
        </is>
      </c>
      <c r="O3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86" ht="15.75" customHeight="1" s="12">
      <c r="A386" s="1" t="n">
        <v>1584</v>
      </c>
      <c r="B386" s="3">
        <f>HYPERLINK("https://leetcode.com/problems/min-cost-to-connect-all-points/", "Min Cost to Connect All Points")</f>
        <v/>
      </c>
      <c r="C386" s="1" t="n">
        <v>5541</v>
      </c>
      <c r="D386" s="1" t="n">
        <v>144</v>
      </c>
      <c r="E386" s="4">
        <f>IF(INDEX(C:C, ROW())+INDEX(D:D, ROW())=0, 0, INDEX(C:C, ROW())/(INDEX(C:C, ROW())+INDEX(D:D, ROW())))</f>
        <v/>
      </c>
      <c r="F386" s="1" t="inlineStr">
        <is>
          <t>Array, Union-Find, Graph Theory, Minimum Spanning Tree</t>
        </is>
      </c>
      <c r="G386" s="1" t="inlineStr">
        <is>
          <t>Medium</t>
        </is>
      </c>
      <c r="H386" s="1" t="n">
        <v>439715</v>
      </c>
      <c r="I386" s="1" t="n">
        <v>626780</v>
      </c>
      <c r="J386" s="9" t="n">
        <v>0.702</v>
      </c>
      <c r="K386" s="1" t="inlineStr">
        <is>
          <t>Yes</t>
        </is>
      </c>
      <c r="L386" s="1" t="inlineStr">
        <is>
          <t>Yes</t>
        </is>
      </c>
      <c r="M386" s="1" t="inlineStr">
        <is>
          <t>No</t>
        </is>
      </c>
      <c r="N386" s="1" t="inlineStr">
        <is>
          <t>Algorithms</t>
        </is>
      </c>
      <c r="O3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87" ht="15.75" customHeight="1" s="12">
      <c r="A387" s="1" t="n">
        <v>637</v>
      </c>
      <c r="B387" s="3">
        <f>HYPERLINK("https://leetcode.com/problems/average-of-levels-in-binary-tree/", "Average of Levels in Binary Tree")</f>
        <v/>
      </c>
      <c r="C387" s="1" t="n">
        <v>5536</v>
      </c>
      <c r="D387" s="1" t="n">
        <v>351</v>
      </c>
      <c r="E387" s="4">
        <f>IF(INDEX(C:C, ROW())+INDEX(D:D, ROW())=0, 0, INDEX(C:C, ROW())/(INDEX(C:C, ROW())+INDEX(D:D, ROW())))</f>
        <v/>
      </c>
      <c r="F387" s="1" t="inlineStr">
        <is>
          <t>Tree, Depth-First Search, Breadth-First Search, Binary Tree</t>
        </is>
      </c>
      <c r="G387" s="1" t="inlineStr">
        <is>
          <t>Easy</t>
        </is>
      </c>
      <c r="H387" s="1" t="n">
        <v>716952</v>
      </c>
      <c r="I387" s="1" t="n">
        <v>960476</v>
      </c>
      <c r="J387" s="9" t="n">
        <v>0.746</v>
      </c>
      <c r="K387" s="1" t="inlineStr">
        <is>
          <t>Yes</t>
        </is>
      </c>
      <c r="L387" s="1" t="inlineStr">
        <is>
          <t>Yes</t>
        </is>
      </c>
      <c r="M387" s="1" t="inlineStr">
        <is>
          <t>No</t>
        </is>
      </c>
      <c r="N387" s="1" t="inlineStr">
        <is>
          <t>Algorithms</t>
        </is>
      </c>
      <c r="O3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88" ht="15.75" customHeight="1" s="12">
      <c r="A388" s="1" t="n">
        <v>1312</v>
      </c>
      <c r="B388" s="3">
        <f>HYPERLINK("https://leetcode.com/problems/minimum-insertion-steps-to-make-a-string-palindrome/", "Minimum Insertion Steps to Make a String Palindrome")</f>
        <v/>
      </c>
      <c r="C388" s="1" t="n">
        <v>5530</v>
      </c>
      <c r="D388" s="1" t="n">
        <v>75</v>
      </c>
      <c r="E388" s="4">
        <f>IF(INDEX(C:C, ROW())+INDEX(D:D, ROW())=0, 0, INDEX(C:C, ROW())/(INDEX(C:C, ROW())+INDEX(D:D, ROW())))</f>
        <v/>
      </c>
      <c r="F388" s="1" t="inlineStr">
        <is>
          <t>String, Dynamic Programming</t>
        </is>
      </c>
      <c r="G388" s="1" t="inlineStr">
        <is>
          <t>Hard</t>
        </is>
      </c>
      <c r="H388" s="1" t="n">
        <v>291108</v>
      </c>
      <c r="I388" s="1" t="n">
        <v>395980</v>
      </c>
      <c r="J388" s="9" t="n">
        <v>0.735</v>
      </c>
      <c r="K388" s="1" t="inlineStr">
        <is>
          <t>Yes</t>
        </is>
      </c>
      <c r="L388" s="1" t="inlineStr">
        <is>
          <t>Yes</t>
        </is>
      </c>
      <c r="M388" s="1" t="inlineStr">
        <is>
          <t>No</t>
        </is>
      </c>
      <c r="N388" s="1" t="inlineStr">
        <is>
          <t>Algorithms</t>
        </is>
      </c>
      <c r="O3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89" ht="15.75" customHeight="1" s="12">
      <c r="A389" s="1" t="n">
        <v>1207</v>
      </c>
      <c r="B389" s="3">
        <f>HYPERLINK("https://leetcode.com/problems/unique-number-of-occurrences/", "Unique Number of Occurrences")</f>
        <v/>
      </c>
      <c r="C389" s="1" t="n">
        <v>5510</v>
      </c>
      <c r="D389" s="1" t="n">
        <v>154</v>
      </c>
      <c r="E389" s="4">
        <f>IF(INDEX(C:C, ROW())+INDEX(D:D, ROW())=0, 0, INDEX(C:C, ROW())/(INDEX(C:C, ROW())+INDEX(D:D, ROW())))</f>
        <v/>
      </c>
      <c r="F389" s="1" t="inlineStr">
        <is>
          <t>Array, Hash Table</t>
        </is>
      </c>
      <c r="G389" s="1" t="inlineStr">
        <is>
          <t>Easy</t>
        </is>
      </c>
      <c r="H389" s="1" t="n">
        <v>941651</v>
      </c>
      <c r="I389" s="1" t="n">
        <v>1198258</v>
      </c>
      <c r="J389" s="9" t="n">
        <v>0.786</v>
      </c>
      <c r="K389" s="1" t="inlineStr">
        <is>
          <t>Yes</t>
        </is>
      </c>
      <c r="L389" s="1" t="inlineStr">
        <is>
          <t>Yes</t>
        </is>
      </c>
      <c r="M389" s="1" t="inlineStr">
        <is>
          <t>Yes</t>
        </is>
      </c>
      <c r="N389" s="1" t="inlineStr">
        <is>
          <t>Algorithms</t>
        </is>
      </c>
      <c r="O3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90" ht="15.75" customHeight="1" s="12">
      <c r="A390" s="1" t="n">
        <v>1351</v>
      </c>
      <c r="B390" s="3">
        <f>HYPERLINK("https://leetcode.com/problems/count-negative-numbers-in-a-sorted-matrix/", "Count Negative Numbers in a Sorted Matrix")</f>
        <v/>
      </c>
      <c r="C390" s="1" t="n">
        <v>5457</v>
      </c>
      <c r="D390" s="1" t="n">
        <v>146</v>
      </c>
      <c r="E390" s="4">
        <f>IF(INDEX(C:C, ROW())+INDEX(D:D, ROW())=0, 0, INDEX(C:C, ROW())/(INDEX(C:C, ROW())+INDEX(D:D, ROW())))</f>
        <v/>
      </c>
      <c r="F390" s="1" t="inlineStr">
        <is>
          <t>Array, Binary Search, Matrix</t>
        </is>
      </c>
      <c r="G390" s="1" t="inlineStr">
        <is>
          <t>Easy</t>
        </is>
      </c>
      <c r="H390" s="1" t="n">
        <v>641200</v>
      </c>
      <c r="I390" s="1" t="n">
        <v>806802</v>
      </c>
      <c r="J390" s="9" t="n">
        <v>0.795</v>
      </c>
      <c r="K390" s="1" t="inlineStr">
        <is>
          <t>Yes</t>
        </is>
      </c>
      <c r="L390" s="1" t="inlineStr">
        <is>
          <t>Yes</t>
        </is>
      </c>
      <c r="M390" s="1" t="inlineStr">
        <is>
          <t>No</t>
        </is>
      </c>
      <c r="N390" s="1" t="inlineStr">
        <is>
          <t>Algorithms</t>
        </is>
      </c>
      <c r="O3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91" ht="15.75" customHeight="1" s="12">
      <c r="A391" s="1" t="n">
        <v>980</v>
      </c>
      <c r="B391" s="3">
        <f>HYPERLINK("https://leetcode.com/problems/unique-paths-iii/", "Unique Paths III")</f>
        <v/>
      </c>
      <c r="C391" s="1" t="n">
        <v>5454</v>
      </c>
      <c r="D391" s="1" t="n">
        <v>197</v>
      </c>
      <c r="E391" s="4">
        <f>IF(INDEX(C:C, ROW())+INDEX(D:D, ROW())=0, 0, INDEX(C:C, ROW())/(INDEX(C:C, ROW())+INDEX(D:D, ROW())))</f>
        <v/>
      </c>
      <c r="F391" s="1" t="inlineStr">
        <is>
          <t>Array, Backtracking, Bit Manipulation, Matrix</t>
        </is>
      </c>
      <c r="G391" s="1" t="inlineStr">
        <is>
          <t>Hard</t>
        </is>
      </c>
      <c r="H391" s="1" t="n">
        <v>250785</v>
      </c>
      <c r="I391" s="1" t="n">
        <v>303271</v>
      </c>
      <c r="J391" s="9" t="n">
        <v>0.827</v>
      </c>
      <c r="K391" s="1" t="inlineStr">
        <is>
          <t>Yes</t>
        </is>
      </c>
      <c r="L391" s="1" t="inlineStr">
        <is>
          <t>Yes</t>
        </is>
      </c>
      <c r="M391" s="1" t="inlineStr">
        <is>
          <t>No</t>
        </is>
      </c>
      <c r="N391" s="1" t="inlineStr">
        <is>
          <t>Algorithms</t>
        </is>
      </c>
      <c r="O3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92" ht="15.75" customHeight="1" s="12">
      <c r="A392" s="1" t="n">
        <v>771</v>
      </c>
      <c r="B392" s="3">
        <f>HYPERLINK("https://leetcode.com/problems/jewels-and-stones/", "Jewels and Stones")</f>
        <v/>
      </c>
      <c r="C392" s="1" t="n">
        <v>5414</v>
      </c>
      <c r="D392" s="1" t="n">
        <v>630</v>
      </c>
      <c r="E392" s="4">
        <f>IF(INDEX(C:C, ROW())+INDEX(D:D, ROW())=0, 0, INDEX(C:C, ROW())/(INDEX(C:C, ROW())+INDEX(D:D, ROW())))</f>
        <v/>
      </c>
      <c r="F392" s="1" t="inlineStr">
        <is>
          <t>Hash Table, String</t>
        </is>
      </c>
      <c r="G392" s="1" t="inlineStr">
        <is>
          <t>Easy</t>
        </is>
      </c>
      <c r="H392" s="1" t="n">
        <v>1329132</v>
      </c>
      <c r="I392" s="1" t="n">
        <v>1485906</v>
      </c>
      <c r="J392" s="9" t="n">
        <v>0.894</v>
      </c>
      <c r="K392" s="1" t="inlineStr">
        <is>
          <t>Yes</t>
        </is>
      </c>
      <c r="L392" s="1" t="inlineStr">
        <is>
          <t>Yes</t>
        </is>
      </c>
      <c r="M392" s="1" t="inlineStr">
        <is>
          <t>No</t>
        </is>
      </c>
      <c r="N392" s="1" t="inlineStr">
        <is>
          <t>Algorithms</t>
        </is>
      </c>
      <c r="O3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93" ht="15.75" customHeight="1" s="12">
      <c r="A393" s="1" t="n">
        <v>430</v>
      </c>
      <c r="B393" s="3">
        <f>HYPERLINK("https://leetcode.com/problems/flatten-a-multilevel-doubly-linked-list/", "Flatten a Multilevel Doubly Linked List")</f>
        <v/>
      </c>
      <c r="C393" s="1" t="n">
        <v>5409</v>
      </c>
      <c r="D393" s="1" t="n">
        <v>346</v>
      </c>
      <c r="E393" s="4">
        <f>IF(INDEX(C:C, ROW())+INDEX(D:D, ROW())=0, 0, INDEX(C:C, ROW())/(INDEX(C:C, ROW())+INDEX(D:D, ROW())))</f>
        <v/>
      </c>
      <c r="F393" s="1" t="inlineStr">
        <is>
          <t>Linked List, Depth-First Search, Doubly-Linked List</t>
        </is>
      </c>
      <c r="G393" s="1" t="inlineStr">
        <is>
          <t>Medium</t>
        </is>
      </c>
      <c r="H393" s="1" t="n">
        <v>419864</v>
      </c>
      <c r="I393" s="1" t="n">
        <v>673143</v>
      </c>
      <c r="J393" s="9" t="n">
        <v>0.624</v>
      </c>
      <c r="K393" s="1" t="inlineStr">
        <is>
          <t>Yes</t>
        </is>
      </c>
      <c r="L393" s="1" t="inlineStr">
        <is>
          <t>Yes</t>
        </is>
      </c>
      <c r="M393" s="1" t="inlineStr">
        <is>
          <t>No</t>
        </is>
      </c>
      <c r="N393" s="1" t="inlineStr">
        <is>
          <t>Algorithms</t>
        </is>
      </c>
      <c r="O3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94" ht="15.75" customHeight="1" s="12">
      <c r="A394" s="1" t="n">
        <v>415</v>
      </c>
      <c r="B394" s="3">
        <f>HYPERLINK("https://leetcode.com/problems/add-strings/", "Add Strings")</f>
        <v/>
      </c>
      <c r="C394" s="1" t="n">
        <v>5407</v>
      </c>
      <c r="D394" s="1" t="n">
        <v>829</v>
      </c>
      <c r="E394" s="4">
        <f>IF(INDEX(C:C, ROW())+INDEX(D:D, ROW())=0, 0, INDEX(C:C, ROW())/(INDEX(C:C, ROW())+INDEX(D:D, ROW())))</f>
        <v/>
      </c>
      <c r="F394" s="1" t="inlineStr">
        <is>
          <t>Math, String, Simulation</t>
        </is>
      </c>
      <c r="G394" s="1" t="inlineStr">
        <is>
          <t>Easy</t>
        </is>
      </c>
      <c r="H394" s="1" t="n">
        <v>905338</v>
      </c>
      <c r="I394" s="1" t="n">
        <v>1738761</v>
      </c>
      <c r="J394" s="9" t="n">
        <v>0.521</v>
      </c>
      <c r="K394" s="1" t="inlineStr">
        <is>
          <t>Yes</t>
        </is>
      </c>
      <c r="L394" s="1" t="inlineStr">
        <is>
          <t>Yes</t>
        </is>
      </c>
      <c r="M394" s="1" t="inlineStr">
        <is>
          <t>No</t>
        </is>
      </c>
      <c r="N394" s="1" t="inlineStr">
        <is>
          <t>Algorithms</t>
        </is>
      </c>
      <c r="O3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95" ht="15.75" customHeight="1" s="12">
      <c r="A395" s="1" t="n">
        <v>389</v>
      </c>
      <c r="B395" s="3">
        <f>HYPERLINK("https://leetcode.com/problems/find-the-difference/", "Find the Difference")</f>
        <v/>
      </c>
      <c r="C395" s="1" t="n">
        <v>5406</v>
      </c>
      <c r="D395" s="1" t="n">
        <v>510</v>
      </c>
      <c r="E395" s="4">
        <f>IF(INDEX(C:C, ROW())+INDEX(D:D, ROW())=0, 0, INDEX(C:C, ROW())/(INDEX(C:C, ROW())+INDEX(D:D, ROW())))</f>
        <v/>
      </c>
      <c r="F395" s="1" t="inlineStr">
        <is>
          <t>Hash Table, String, Bit Manipulation, Sorting</t>
        </is>
      </c>
      <c r="G395" s="1" t="inlineStr">
        <is>
          <t>Easy</t>
        </is>
      </c>
      <c r="H395" s="1" t="n">
        <v>1033211</v>
      </c>
      <c r="I395" s="1" t="n">
        <v>1721692</v>
      </c>
      <c r="J395" s="9" t="n">
        <v>0.6</v>
      </c>
      <c r="K395" s="1" t="inlineStr">
        <is>
          <t>Yes</t>
        </is>
      </c>
      <c r="L395" s="1" t="inlineStr">
        <is>
          <t>Yes</t>
        </is>
      </c>
      <c r="M395" s="1" t="inlineStr">
        <is>
          <t>No</t>
        </is>
      </c>
      <c r="N395" s="1" t="inlineStr">
        <is>
          <t>Algorithms</t>
        </is>
      </c>
      <c r="O3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96" ht="15.75" customHeight="1" s="12">
      <c r="A396" s="1" t="n">
        <v>654</v>
      </c>
      <c r="B396" s="3">
        <f>HYPERLINK("https://leetcode.com/problems/maximum-binary-tree/", "Maximum Binary Tree")</f>
        <v/>
      </c>
      <c r="C396" s="1" t="n">
        <v>5404</v>
      </c>
      <c r="D396" s="1" t="n">
        <v>350</v>
      </c>
      <c r="E396" s="4">
        <f>IF(INDEX(C:C, ROW())+INDEX(D:D, ROW())=0, 0, INDEX(C:C, ROW())/(INDEX(C:C, ROW())+INDEX(D:D, ROW())))</f>
        <v/>
      </c>
      <c r="F396" s="1" t="inlineStr">
        <is>
          <t>Array, Divide and Conquer, Stack, Tree, Monotonic Stack, Binary Tree</t>
        </is>
      </c>
      <c r="G396" s="1" t="inlineStr">
        <is>
          <t>Medium</t>
        </is>
      </c>
      <c r="H396" s="1" t="n">
        <v>353441</v>
      </c>
      <c r="I396" s="1" t="n">
        <v>409871</v>
      </c>
      <c r="J396" s="9" t="n">
        <v>0.862</v>
      </c>
      <c r="K396" s="1" t="inlineStr">
        <is>
          <t>Yes</t>
        </is>
      </c>
      <c r="L396" s="1" t="inlineStr">
        <is>
          <t>Yes</t>
        </is>
      </c>
      <c r="M396" s="1" t="inlineStr">
        <is>
          <t>No</t>
        </is>
      </c>
      <c r="N396" s="1" t="inlineStr">
        <is>
          <t>Algorithms</t>
        </is>
      </c>
      <c r="O3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97" ht="15.75" customHeight="1" s="12">
      <c r="A397" s="1" t="n">
        <v>538</v>
      </c>
      <c r="B397" s="3">
        <f>HYPERLINK("https://leetcode.com/problems/convert-bst-to-greater-tree/", "Convert BST to Greater Tree")</f>
        <v/>
      </c>
      <c r="C397" s="1" t="n">
        <v>5395</v>
      </c>
      <c r="D397" s="1" t="n">
        <v>183</v>
      </c>
      <c r="E397" s="4">
        <f>IF(INDEX(C:C, ROW())+INDEX(D:D, ROW())=0, 0, INDEX(C:C, ROW())/(INDEX(C:C, ROW())+INDEX(D:D, ROW())))</f>
        <v/>
      </c>
      <c r="F397" s="1" t="inlineStr">
        <is>
          <t>Tree, Depth-First Search, Binary Search Tree, Binary Tree</t>
        </is>
      </c>
      <c r="G397" s="1" t="inlineStr">
        <is>
          <t>Medium</t>
        </is>
      </c>
      <c r="H397" s="1" t="n">
        <v>347229</v>
      </c>
      <c r="I397" s="1" t="n">
        <v>487572</v>
      </c>
      <c r="J397" s="9" t="n">
        <v>0.712</v>
      </c>
      <c r="K397" s="1" t="inlineStr">
        <is>
          <t>Yes</t>
        </is>
      </c>
      <c r="L397" s="1" t="inlineStr">
        <is>
          <t>Yes</t>
        </is>
      </c>
      <c r="M397" s="1" t="inlineStr">
        <is>
          <t>No</t>
        </is>
      </c>
      <c r="N397" s="1" t="inlineStr">
        <is>
          <t>Algorithms</t>
        </is>
      </c>
      <c r="O3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98" ht="15.75" customHeight="1" s="12">
      <c r="A398" s="1" t="n">
        <v>258</v>
      </c>
      <c r="B398" s="3">
        <f>HYPERLINK("https://leetcode.com/problems/add-digits/", "Add Digits")</f>
        <v/>
      </c>
      <c r="C398" s="1" t="n">
        <v>5394</v>
      </c>
      <c r="D398" s="1" t="n">
        <v>1975</v>
      </c>
      <c r="E398" s="4">
        <f>IF(INDEX(C:C, ROW())+INDEX(D:D, ROW())=0, 0, INDEX(C:C, ROW())/(INDEX(C:C, ROW())+INDEX(D:D, ROW())))</f>
        <v/>
      </c>
      <c r="F398" s="1" t="inlineStr">
        <is>
          <t>Math, Simulation, Number Theory</t>
        </is>
      </c>
      <c r="G398" s="1" t="inlineStr">
        <is>
          <t>Easy</t>
        </is>
      </c>
      <c r="H398" s="1" t="n">
        <v>1138944</v>
      </c>
      <c r="I398" s="1" t="n">
        <v>1662729</v>
      </c>
      <c r="J398" s="9" t="n">
        <v>0.6850000000000001</v>
      </c>
      <c r="K398" s="1" t="inlineStr">
        <is>
          <t>Yes</t>
        </is>
      </c>
      <c r="L398" s="1" t="inlineStr">
        <is>
          <t>Yes</t>
        </is>
      </c>
      <c r="M398" s="1" t="inlineStr">
        <is>
          <t>No</t>
        </is>
      </c>
      <c r="N398" s="1" t="inlineStr">
        <is>
          <t>Algorithms</t>
        </is>
      </c>
      <c r="O3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99" ht="15.75" customHeight="1" s="12">
      <c r="A399" s="1" t="n">
        <v>706</v>
      </c>
      <c r="B399" s="3">
        <f>HYPERLINK("https://leetcode.com/problems/design-hashmap/", "Design HashMap")</f>
        <v/>
      </c>
      <c r="C399" s="1" t="n">
        <v>5388</v>
      </c>
      <c r="D399" s="1" t="n">
        <v>496</v>
      </c>
      <c r="E399" s="4">
        <f>IF(INDEX(C:C, ROW())+INDEX(D:D, ROW())=0, 0, INDEX(C:C, ROW())/(INDEX(C:C, ROW())+INDEX(D:D, ROW())))</f>
        <v/>
      </c>
      <c r="F399" s="1" t="inlineStr">
        <is>
          <t>Array, Hash Table, Linked List, Design, Hash Function</t>
        </is>
      </c>
      <c r="G399" s="1" t="inlineStr">
        <is>
          <t>Easy</t>
        </is>
      </c>
      <c r="H399" s="1" t="n">
        <v>737543</v>
      </c>
      <c r="I399" s="1" t="n">
        <v>1112719</v>
      </c>
      <c r="J399" s="9" t="n">
        <v>0.663</v>
      </c>
      <c r="K399" s="1" t="inlineStr">
        <is>
          <t>Yes</t>
        </is>
      </c>
      <c r="L399" s="1" t="inlineStr">
        <is>
          <t>Yes</t>
        </is>
      </c>
      <c r="M399" s="1" t="inlineStr">
        <is>
          <t>No</t>
        </is>
      </c>
      <c r="N399" s="1" t="inlineStr">
        <is>
          <t>Algorithms</t>
        </is>
      </c>
      <c r="O3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00" ht="15.75" customHeight="1" s="12">
      <c r="A400" s="1" t="n">
        <v>343</v>
      </c>
      <c r="B400" s="3">
        <f>HYPERLINK("https://leetcode.com/problems/integer-break/", "Integer Break")</f>
        <v/>
      </c>
      <c r="C400" s="1" t="n">
        <v>5343</v>
      </c>
      <c r="D400" s="1" t="n">
        <v>465</v>
      </c>
      <c r="E400" s="4">
        <f>IF(INDEX(C:C, ROW())+INDEX(D:D, ROW())=0, 0, INDEX(C:C, ROW())/(INDEX(C:C, ROW())+INDEX(D:D, ROW())))</f>
        <v/>
      </c>
      <c r="F400" s="1" t="inlineStr">
        <is>
          <t>Math, Dynamic Programming</t>
        </is>
      </c>
      <c r="G400" s="1" t="inlineStr">
        <is>
          <t>Medium</t>
        </is>
      </c>
      <c r="H400" s="1" t="n">
        <v>425601</v>
      </c>
      <c r="I400" s="1" t="n">
        <v>689262</v>
      </c>
      <c r="J400" s="9" t="n">
        <v>0.617</v>
      </c>
      <c r="K400" s="1" t="inlineStr">
        <is>
          <t>Yes</t>
        </is>
      </c>
      <c r="L400" s="1" t="inlineStr">
        <is>
          <t>Yes</t>
        </is>
      </c>
      <c r="M400" s="1" t="inlineStr">
        <is>
          <t>No</t>
        </is>
      </c>
      <c r="N400" s="1" t="inlineStr">
        <is>
          <t>Algorithms</t>
        </is>
      </c>
      <c r="O4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01" ht="15.75" customHeight="1" s="12">
      <c r="A401" s="1" t="n">
        <v>304</v>
      </c>
      <c r="B401" s="3">
        <f>HYPERLINK("https://leetcode.com/problems/range-sum-query-2d-immutable/", "Range Sum Query 2D - Immutable")</f>
        <v/>
      </c>
      <c r="C401" s="1" t="n">
        <v>5328</v>
      </c>
      <c r="D401" s="1" t="n">
        <v>369</v>
      </c>
      <c r="E401" s="4">
        <f>IF(INDEX(C:C, ROW())+INDEX(D:D, ROW())=0, 0, INDEX(C:C, ROW())/(INDEX(C:C, ROW())+INDEX(D:D, ROW())))</f>
        <v/>
      </c>
      <c r="F401" s="1" t="inlineStr">
        <is>
          <t>Array, Design, Matrix, Prefix Sum</t>
        </is>
      </c>
      <c r="G401" s="1" t="inlineStr">
        <is>
          <t>Medium</t>
        </is>
      </c>
      <c r="H401" s="1" t="n">
        <v>460675</v>
      </c>
      <c r="I401" s="1" t="n">
        <v>799532</v>
      </c>
      <c r="J401" s="9" t="n">
        <v>0.576</v>
      </c>
      <c r="K401" s="1" t="inlineStr">
        <is>
          <t>Yes</t>
        </is>
      </c>
      <c r="L401" s="1" t="inlineStr">
        <is>
          <t>Yes</t>
        </is>
      </c>
      <c r="M401" s="1" t="inlineStr">
        <is>
          <t>Yes</t>
        </is>
      </c>
      <c r="N401" s="1" t="inlineStr">
        <is>
          <t>Algorithms</t>
        </is>
      </c>
      <c r="O4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02" ht="15.75" customHeight="1" s="12">
      <c r="A402" s="1" t="n">
        <v>1248</v>
      </c>
      <c r="B402" s="3">
        <f>HYPERLINK("https://leetcode.com/problems/count-number-of-nice-subarrays/", "Count Number of Nice Subarrays")</f>
        <v/>
      </c>
      <c r="C402" s="1" t="n">
        <v>5311</v>
      </c>
      <c r="D402" s="1" t="n">
        <v>141</v>
      </c>
      <c r="E402" s="4">
        <f>IF(INDEX(C:C, ROW())+INDEX(D:D, ROW())=0, 0, INDEX(C:C, ROW())/(INDEX(C:C, ROW())+INDEX(D:D, ROW())))</f>
        <v/>
      </c>
      <c r="F402" s="1" t="inlineStr">
        <is>
          <t>Array, Hash Table, Math, Sliding Window, Prefix Sum</t>
        </is>
      </c>
      <c r="G402" s="1" t="inlineStr">
        <is>
          <t>Medium</t>
        </is>
      </c>
      <c r="H402" s="1" t="n">
        <v>449382</v>
      </c>
      <c r="I402" s="1" t="n">
        <v>602444</v>
      </c>
      <c r="J402" s="9" t="n">
        <v>0.746</v>
      </c>
      <c r="K402" s="1" t="inlineStr">
        <is>
          <t>Yes</t>
        </is>
      </c>
      <c r="L402" s="1" t="inlineStr">
        <is>
          <t>Yes</t>
        </is>
      </c>
      <c r="M402" s="1" t="inlineStr">
        <is>
          <t>No</t>
        </is>
      </c>
      <c r="N402" s="1" t="inlineStr">
        <is>
          <t>Algorithms</t>
        </is>
      </c>
      <c r="O4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03" ht="15.75" customHeight="1" s="12">
      <c r="A403" s="1" t="n">
        <v>1155</v>
      </c>
      <c r="B403" s="3">
        <f>HYPERLINK("https://leetcode.com/problems/number-of-dice-rolls-with-target-sum/", "Number of Dice Rolls With Target Sum")</f>
        <v/>
      </c>
      <c r="C403" s="1" t="n">
        <v>5301</v>
      </c>
      <c r="D403" s="1" t="n">
        <v>185</v>
      </c>
      <c r="E403" s="4">
        <f>IF(INDEX(C:C, ROW())+INDEX(D:D, ROW())=0, 0, INDEX(C:C, ROW())/(INDEX(C:C, ROW())+INDEX(D:D, ROW())))</f>
        <v/>
      </c>
      <c r="F403" s="1" t="inlineStr">
        <is>
          <t>Dynamic Programming</t>
        </is>
      </c>
      <c r="G403" s="1" t="inlineStr">
        <is>
          <t>Medium</t>
        </is>
      </c>
      <c r="H403" s="1" t="n">
        <v>345050</v>
      </c>
      <c r="I403" s="1" t="n">
        <v>555591</v>
      </c>
      <c r="J403" s="9" t="n">
        <v>0.621</v>
      </c>
      <c r="K403" s="1" t="inlineStr">
        <is>
          <t>Yes</t>
        </is>
      </c>
      <c r="L403" s="1" t="inlineStr">
        <is>
          <t>Yes</t>
        </is>
      </c>
      <c r="M403" s="1" t="inlineStr">
        <is>
          <t>No</t>
        </is>
      </c>
      <c r="N403" s="1" t="inlineStr">
        <is>
          <t>Algorithms</t>
        </is>
      </c>
      <c r="O4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04" ht="15.75" customHeight="1" s="12">
      <c r="A404" s="1" t="n">
        <v>645</v>
      </c>
      <c r="B404" s="3">
        <f>HYPERLINK("https://leetcode.com/problems/set-mismatch/", "Set Mismatch")</f>
        <v/>
      </c>
      <c r="C404" s="1" t="n">
        <v>5297</v>
      </c>
      <c r="D404" s="1" t="n">
        <v>1300</v>
      </c>
      <c r="E404" s="4">
        <f>IF(INDEX(C:C, ROW())+INDEX(D:D, ROW())=0, 0, INDEX(C:C, ROW())/(INDEX(C:C, ROW())+INDEX(D:D, ROW())))</f>
        <v/>
      </c>
      <c r="F404" s="1" t="inlineStr">
        <is>
          <t>Array, Hash Table, Bit Manipulation, Sorting</t>
        </is>
      </c>
      <c r="G404" s="1" t="inlineStr">
        <is>
          <t>Easy</t>
        </is>
      </c>
      <c r="H404" s="1" t="n">
        <v>653355</v>
      </c>
      <c r="I404" s="1" t="n">
        <v>1465242</v>
      </c>
      <c r="J404" s="9" t="n">
        <v>0.446</v>
      </c>
      <c r="K404" s="1" t="inlineStr">
        <is>
          <t>Yes</t>
        </is>
      </c>
      <c r="L404" s="1" t="inlineStr">
        <is>
          <t>Yes</t>
        </is>
      </c>
      <c r="M404" s="1" t="inlineStr">
        <is>
          <t>No</t>
        </is>
      </c>
      <c r="N404" s="1" t="inlineStr">
        <is>
          <t>Algorithms</t>
        </is>
      </c>
      <c r="O4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05" ht="15.75" customHeight="1" s="12">
      <c r="A405" s="1" t="n">
        <v>376</v>
      </c>
      <c r="B405" s="3">
        <f>HYPERLINK("https://leetcode.com/problems/wiggle-subsequence/", "Wiggle Subsequence")</f>
        <v/>
      </c>
      <c r="C405" s="1" t="n">
        <v>5288</v>
      </c>
      <c r="D405" s="1" t="n">
        <v>168</v>
      </c>
      <c r="E405" s="4">
        <f>IF(INDEX(C:C, ROW())+INDEX(D:D, ROW())=0, 0, INDEX(C:C, ROW())/(INDEX(C:C, ROW())+INDEX(D:D, ROW())))</f>
        <v/>
      </c>
      <c r="F405" s="1" t="inlineStr">
        <is>
          <t>Array, Dynamic Programming, Greedy</t>
        </is>
      </c>
      <c r="G405" s="1" t="inlineStr">
        <is>
          <t>Medium</t>
        </is>
      </c>
      <c r="H405" s="1" t="n">
        <v>286547</v>
      </c>
      <c r="I405" s="1" t="n">
        <v>582494</v>
      </c>
      <c r="J405" s="9" t="n">
        <v>0.492</v>
      </c>
      <c r="K405" s="1" t="inlineStr">
        <is>
          <t>Yes</t>
        </is>
      </c>
      <c r="L405" s="1" t="inlineStr">
        <is>
          <t>Yes</t>
        </is>
      </c>
      <c r="M405" s="1" t="inlineStr">
        <is>
          <t>No</t>
        </is>
      </c>
      <c r="N405" s="1" t="inlineStr">
        <is>
          <t>Algorithms</t>
        </is>
      </c>
      <c r="O4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06" ht="15.75" customHeight="1" s="12">
      <c r="A406" s="1" t="n">
        <v>345</v>
      </c>
      <c r="B406" s="3">
        <f>HYPERLINK("https://leetcode.com/problems/reverse-vowels-of-a-string/", "Reverse Vowels of a String")</f>
        <v/>
      </c>
      <c r="C406" s="1" t="n">
        <v>5267</v>
      </c>
      <c r="D406" s="1" t="n">
        <v>2850</v>
      </c>
      <c r="E406" s="4">
        <f>IF(INDEX(C:C, ROW())+INDEX(D:D, ROW())=0, 0, INDEX(C:C, ROW())/(INDEX(C:C, ROW())+INDEX(D:D, ROW())))</f>
        <v/>
      </c>
      <c r="F406" s="1" t="inlineStr">
        <is>
          <t>Two Pointers, String</t>
        </is>
      </c>
      <c r="G406" s="1" t="inlineStr">
        <is>
          <t>Easy</t>
        </is>
      </c>
      <c r="H406" s="1" t="n">
        <v>1496192</v>
      </c>
      <c r="I406" s="1" t="n">
        <v>2482544</v>
      </c>
      <c r="J406" s="9" t="n">
        <v>0.603</v>
      </c>
      <c r="K406" s="1" t="inlineStr">
        <is>
          <t>Yes</t>
        </is>
      </c>
      <c r="L406" s="1" t="inlineStr">
        <is>
          <t>Yes</t>
        </is>
      </c>
      <c r="M406" s="1" t="inlineStr">
        <is>
          <t>Yes</t>
        </is>
      </c>
      <c r="N406" s="1" t="inlineStr">
        <is>
          <t>Algorithms</t>
        </is>
      </c>
      <c r="O4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07" ht="15.75" customHeight="1" s="12">
      <c r="A407" s="1" t="n">
        <v>119</v>
      </c>
      <c r="B407" s="3">
        <f>HYPERLINK("https://leetcode.com/problems/pascals-triangle-ii/", "Pascal's Triangle II")</f>
        <v/>
      </c>
      <c r="C407" s="1" t="n">
        <v>5248</v>
      </c>
      <c r="D407" s="1" t="n">
        <v>366</v>
      </c>
      <c r="E407" s="4">
        <f>IF(INDEX(C:C, ROW())+INDEX(D:D, ROW())=0, 0, INDEX(C:C, ROW())/(INDEX(C:C, ROW())+INDEX(D:D, ROW())))</f>
        <v/>
      </c>
      <c r="F407" s="1" t="inlineStr">
        <is>
          <t>Array, Dynamic Programming</t>
        </is>
      </c>
      <c r="G407" s="1" t="inlineStr">
        <is>
          <t>Easy</t>
        </is>
      </c>
      <c r="H407" s="1" t="n">
        <v>1170534</v>
      </c>
      <c r="I407" s="1" t="n">
        <v>1748539</v>
      </c>
      <c r="J407" s="9" t="n">
        <v>0.669</v>
      </c>
      <c r="K407" s="1" t="inlineStr">
        <is>
          <t>Yes</t>
        </is>
      </c>
      <c r="L407" s="1" t="inlineStr">
        <is>
          <t>Yes</t>
        </is>
      </c>
      <c r="M407" s="1" t="inlineStr">
        <is>
          <t>No</t>
        </is>
      </c>
      <c r="N407" s="1" t="inlineStr">
        <is>
          <t>Algorithms</t>
        </is>
      </c>
      <c r="O4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08" ht="15.75" customHeight="1" s="12">
      <c r="A408" s="1" t="n">
        <v>894</v>
      </c>
      <c r="B408" s="3">
        <f>HYPERLINK("https://leetcode.com/problems/all-possible-full-binary-trees/", "All Possible Full Binary Trees")</f>
        <v/>
      </c>
      <c r="C408" s="1" t="n">
        <v>5226</v>
      </c>
      <c r="D408" s="1" t="n">
        <v>367</v>
      </c>
      <c r="E408" s="4">
        <f>IF(INDEX(C:C, ROW())+INDEX(D:D, ROW())=0, 0, INDEX(C:C, ROW())/(INDEX(C:C, ROW())+INDEX(D:D, ROW())))</f>
        <v/>
      </c>
      <c r="F408" s="1" t="inlineStr">
        <is>
          <t>Dynamic Programming, Tree, Recursion, Memoization, Binary Tree</t>
        </is>
      </c>
      <c r="G408" s="1" t="inlineStr">
        <is>
          <t>Medium</t>
        </is>
      </c>
      <c r="H408" s="1" t="n">
        <v>210881</v>
      </c>
      <c r="I408" s="1" t="n">
        <v>254847</v>
      </c>
      <c r="J408" s="9" t="n">
        <v>0.827</v>
      </c>
      <c r="K408" s="1" t="inlineStr">
        <is>
          <t>Yes</t>
        </is>
      </c>
      <c r="L408" s="1" t="inlineStr">
        <is>
          <t>Yes</t>
        </is>
      </c>
      <c r="M408" s="1" t="inlineStr">
        <is>
          <t>No</t>
        </is>
      </c>
      <c r="N408" s="1" t="inlineStr">
        <is>
          <t>Algorithms</t>
        </is>
      </c>
      <c r="O4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09" ht="15.75" customHeight="1" s="12">
      <c r="A409" s="1" t="n">
        <v>981</v>
      </c>
      <c r="B409" s="3">
        <f>HYPERLINK("https://leetcode.com/problems/time-based-key-value-store/", "Time Based Key-Value Store")</f>
        <v/>
      </c>
      <c r="C409" s="1" t="n">
        <v>5206</v>
      </c>
      <c r="D409" s="1" t="n">
        <v>716</v>
      </c>
      <c r="E409" s="4">
        <f>IF(INDEX(C:C, ROW())+INDEX(D:D, ROW())=0, 0, INDEX(C:C, ROW())/(INDEX(C:C, ROW())+INDEX(D:D, ROW())))</f>
        <v/>
      </c>
      <c r="F409" s="1" t="inlineStr">
        <is>
          <t>Hash Table, String, Binary Search, Design</t>
        </is>
      </c>
      <c r="G409" s="1" t="inlineStr">
        <is>
          <t>Medium</t>
        </is>
      </c>
      <c r="H409" s="1" t="n">
        <v>689712</v>
      </c>
      <c r="I409" s="1" t="n">
        <v>1389029</v>
      </c>
      <c r="J409" s="9" t="n">
        <v>0.497</v>
      </c>
      <c r="K409" s="1" t="inlineStr">
        <is>
          <t>Yes</t>
        </is>
      </c>
      <c r="L409" s="1" t="inlineStr">
        <is>
          <t>Yes</t>
        </is>
      </c>
      <c r="M409" s="1" t="inlineStr">
        <is>
          <t>No</t>
        </is>
      </c>
      <c r="N409" s="1" t="inlineStr">
        <is>
          <t>Algorithms</t>
        </is>
      </c>
      <c r="O4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10" ht="15.75" customHeight="1" s="12">
      <c r="A410" s="1" t="n">
        <v>862</v>
      </c>
      <c r="B410" s="3">
        <f>HYPERLINK("https://leetcode.com/problems/shortest-subarray-with-sum-at-least-k/", "Shortest Subarray with Sum at Least K")</f>
        <v/>
      </c>
      <c r="C410" s="1" t="n">
        <v>5140</v>
      </c>
      <c r="D410" s="1" t="n">
        <v>143</v>
      </c>
      <c r="E410" s="4">
        <f>IF(INDEX(C:C, ROW())+INDEX(D:D, ROW())=0, 0, INDEX(C:C, ROW())/(INDEX(C:C, ROW())+INDEX(D:D, ROW())))</f>
        <v/>
      </c>
      <c r="F410" s="1" t="inlineStr">
        <is>
          <t>Array, Binary Search, Queue, Sliding Window, Heap (Priority Queue), Prefix Sum, Monotonic Queue</t>
        </is>
      </c>
      <c r="G410" s="1" t="inlineStr">
        <is>
          <t>Hard</t>
        </is>
      </c>
      <c r="H410" s="1" t="n">
        <v>203449</v>
      </c>
      <c r="I410" s="1" t="n">
        <v>625388</v>
      </c>
      <c r="J410" s="9" t="n">
        <v>0.325</v>
      </c>
      <c r="K410" s="1" t="inlineStr">
        <is>
          <t>Yes</t>
        </is>
      </c>
      <c r="L410" s="1" t="inlineStr">
        <is>
          <t>Yes</t>
        </is>
      </c>
      <c r="M410" s="1" t="inlineStr">
        <is>
          <t>No</t>
        </is>
      </c>
      <c r="N410" s="1" t="inlineStr">
        <is>
          <t>Algorithms</t>
        </is>
      </c>
      <c r="O4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11" ht="15.75" customHeight="1" s="12">
      <c r="A411" s="1" t="n">
        <v>107</v>
      </c>
      <c r="B411" s="3">
        <f>HYPERLINK("https://leetcode.com/problems/binary-tree-level-order-traversal-ii/", "Binary Tree Level Order Traversal II")</f>
        <v/>
      </c>
      <c r="C411" s="1" t="n">
        <v>5126</v>
      </c>
      <c r="D411" s="1" t="n">
        <v>333</v>
      </c>
      <c r="E411" s="4">
        <f>IF(INDEX(C:C, ROW())+INDEX(D:D, ROW())=0, 0, INDEX(C:C, ROW())/(INDEX(C:C, ROW())+INDEX(D:D, ROW())))</f>
        <v/>
      </c>
      <c r="F411" s="1" t="inlineStr">
        <is>
          <t>Tree, Breadth-First Search, Binary Tree</t>
        </is>
      </c>
      <c r="G411" s="1" t="inlineStr">
        <is>
          <t>Medium</t>
        </is>
      </c>
      <c r="H411" s="1" t="n">
        <v>799815</v>
      </c>
      <c r="I411" s="1" t="n">
        <v>1186807</v>
      </c>
      <c r="J411" s="9" t="n">
        <v>0.674</v>
      </c>
      <c r="K411" s="1" t="inlineStr">
        <is>
          <t>Yes</t>
        </is>
      </c>
      <c r="L411" s="1" t="inlineStr">
        <is>
          <t>Yes</t>
        </is>
      </c>
      <c r="M411" s="1" t="inlineStr">
        <is>
          <t>No</t>
        </is>
      </c>
      <c r="N411" s="1" t="inlineStr">
        <is>
          <t>Algorithms</t>
        </is>
      </c>
      <c r="O4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12" ht="15.75" customHeight="1" s="12">
      <c r="A412" s="1" t="n">
        <v>1268</v>
      </c>
      <c r="B412" s="3">
        <f>HYPERLINK("https://leetcode.com/problems/search-suggestions-system/", "Search Suggestions System")</f>
        <v/>
      </c>
      <c r="C412" s="1" t="n">
        <v>5093</v>
      </c>
      <c r="D412" s="1" t="n">
        <v>261</v>
      </c>
      <c r="E412" s="4">
        <f>IF(INDEX(C:C, ROW())+INDEX(D:D, ROW())=0, 0, INDEX(C:C, ROW())/(INDEX(C:C, ROW())+INDEX(D:D, ROW())))</f>
        <v/>
      </c>
      <c r="F412" s="1" t="inlineStr">
        <is>
          <t>Array, String, Binary Search, Trie, Sorting, Heap (Priority Queue)</t>
        </is>
      </c>
      <c r="G412" s="1" t="inlineStr">
        <is>
          <t>Medium</t>
        </is>
      </c>
      <c r="H412" s="1" t="n">
        <v>427966</v>
      </c>
      <c r="I412" s="1" t="n">
        <v>657103</v>
      </c>
      <c r="J412" s="9" t="n">
        <v>0.651</v>
      </c>
      <c r="K412" s="1" t="inlineStr">
        <is>
          <t>Yes</t>
        </is>
      </c>
      <c r="L412" s="1" t="inlineStr">
        <is>
          <t>Yes</t>
        </is>
      </c>
      <c r="M412" s="1" t="inlineStr">
        <is>
          <t>No</t>
        </is>
      </c>
      <c r="N412" s="1" t="inlineStr">
        <is>
          <t>Algorithms</t>
        </is>
      </c>
      <c r="O4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13" ht="15.75" customHeight="1" s="12">
      <c r="A413" s="1" t="n">
        <v>752</v>
      </c>
      <c r="B413" s="3">
        <f>HYPERLINK("https://leetcode.com/problems/open-the-lock/", "Open the Lock")</f>
        <v/>
      </c>
      <c r="C413" s="1" t="n">
        <v>5082</v>
      </c>
      <c r="D413" s="1" t="n">
        <v>233</v>
      </c>
      <c r="E413" s="4">
        <f>IF(INDEX(C:C, ROW())+INDEX(D:D, ROW())=0, 0, INDEX(C:C, ROW())/(INDEX(C:C, ROW())+INDEX(D:D, ROW())))</f>
        <v/>
      </c>
      <c r="F413" s="1" t="inlineStr">
        <is>
          <t>Array, Hash Table, String, Breadth-First Search</t>
        </is>
      </c>
      <c r="G413" s="1" t="inlineStr">
        <is>
          <t>Medium</t>
        </is>
      </c>
      <c r="H413" s="1" t="n">
        <v>390415</v>
      </c>
      <c r="I413" s="1" t="n">
        <v>639477</v>
      </c>
      <c r="J413" s="9" t="n">
        <v>0.611</v>
      </c>
      <c r="K413" s="1" t="inlineStr">
        <is>
          <t>Yes</t>
        </is>
      </c>
      <c r="L413" s="1" t="inlineStr">
        <is>
          <t>Yes</t>
        </is>
      </c>
      <c r="M413" s="1" t="inlineStr">
        <is>
          <t>No</t>
        </is>
      </c>
      <c r="N413" s="1" t="inlineStr">
        <is>
          <t>Algorithms</t>
        </is>
      </c>
      <c r="O4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14" ht="15.75" customHeight="1" s="12">
      <c r="A414" s="1" t="n">
        <v>307</v>
      </c>
      <c r="B414" s="3">
        <f>HYPERLINK("https://leetcode.com/problems/range-sum-query-mutable/", "Range Sum Query - Mutable")</f>
        <v/>
      </c>
      <c r="C414" s="1" t="n">
        <v>5078</v>
      </c>
      <c r="D414" s="1" t="n">
        <v>268</v>
      </c>
      <c r="E414" s="4">
        <f>IF(INDEX(C:C, ROW())+INDEX(D:D, ROW())=0, 0, INDEX(C:C, ROW())/(INDEX(C:C, ROW())+INDEX(D:D, ROW())))</f>
        <v/>
      </c>
      <c r="F414" s="1" t="inlineStr">
        <is>
          <t>Array, Divide and Conquer, Design, Binary Indexed Tree, Segment Tree</t>
        </is>
      </c>
      <c r="G414" s="1" t="inlineStr">
        <is>
          <t>Medium</t>
        </is>
      </c>
      <c r="H414" s="1" t="n">
        <v>331768</v>
      </c>
      <c r="I414" s="1" t="n">
        <v>782610</v>
      </c>
      <c r="J414" s="9" t="n">
        <v>0.424</v>
      </c>
      <c r="K414" s="1" t="inlineStr">
        <is>
          <t>Yes</t>
        </is>
      </c>
      <c r="L414" s="1" t="inlineStr">
        <is>
          <t>Yes</t>
        </is>
      </c>
      <c r="M414" s="1" t="inlineStr">
        <is>
          <t>No</t>
        </is>
      </c>
      <c r="N414" s="1" t="inlineStr">
        <is>
          <t>Algorithms</t>
        </is>
      </c>
      <c r="O4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15" ht="15.75" customHeight="1" s="12">
      <c r="A415" s="1" t="n">
        <v>1026</v>
      </c>
      <c r="B415" s="3">
        <f>HYPERLINK("https://leetcode.com/problems/maximum-difference-between-node-and-ancestor/", "Maximum Difference Between Node and Ancestor")</f>
        <v/>
      </c>
      <c r="C415" s="1" t="n">
        <v>5078</v>
      </c>
      <c r="D415" s="1" t="n">
        <v>170</v>
      </c>
      <c r="E415" s="4">
        <f>IF(INDEX(C:C, ROW())+INDEX(D:D, ROW())=0, 0, INDEX(C:C, ROW())/(INDEX(C:C, ROW())+INDEX(D:D, ROW())))</f>
        <v/>
      </c>
      <c r="F415" s="1" t="inlineStr">
        <is>
          <t>Tree, Depth-First Search, Binary Tree</t>
        </is>
      </c>
      <c r="G415" s="1" t="inlineStr">
        <is>
          <t>Medium</t>
        </is>
      </c>
      <c r="H415" s="1" t="n">
        <v>376967</v>
      </c>
      <c r="I415" s="1" t="n">
        <v>482641</v>
      </c>
      <c r="J415" s="9" t="n">
        <v>0.781</v>
      </c>
      <c r="K415" s="1" t="inlineStr">
        <is>
          <t>Yes</t>
        </is>
      </c>
      <c r="L415" s="1" t="inlineStr">
        <is>
          <t>Yes</t>
        </is>
      </c>
      <c r="M415" s="1" t="inlineStr">
        <is>
          <t>No</t>
        </is>
      </c>
      <c r="N415" s="1" t="inlineStr">
        <is>
          <t>Algorithms</t>
        </is>
      </c>
      <c r="O4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16" ht="15.75" customHeight="1" s="12">
      <c r="A416" s="1" t="n">
        <v>454</v>
      </c>
      <c r="B416" s="3">
        <f>HYPERLINK("https://leetcode.com/problems/4sum-ii/", "4Sum II")</f>
        <v/>
      </c>
      <c r="C416" s="1" t="n">
        <v>5065</v>
      </c>
      <c r="D416" s="1" t="n">
        <v>151</v>
      </c>
      <c r="E416" s="4">
        <f>IF(INDEX(C:C, ROW())+INDEX(D:D, ROW())=0, 0, INDEX(C:C, ROW())/(INDEX(C:C, ROW())+INDEX(D:D, ROW())))</f>
        <v/>
      </c>
      <c r="F416" s="1" t="inlineStr">
        <is>
          <t>Array, Hash Table</t>
        </is>
      </c>
      <c r="G416" s="1" t="inlineStr">
        <is>
          <t>Medium</t>
        </is>
      </c>
      <c r="H416" s="1" t="n">
        <v>378051</v>
      </c>
      <c r="I416" s="1" t="n">
        <v>654067</v>
      </c>
      <c r="J416" s="9" t="n">
        <v>0.578</v>
      </c>
      <c r="K416" s="1" t="inlineStr">
        <is>
          <t>Yes</t>
        </is>
      </c>
      <c r="L416" s="1" t="inlineStr">
        <is>
          <t>Yes</t>
        </is>
      </c>
      <c r="M416" s="1" t="inlineStr">
        <is>
          <t>No</t>
        </is>
      </c>
      <c r="N416" s="1" t="inlineStr">
        <is>
          <t>Algorithms</t>
        </is>
      </c>
      <c r="O4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17" ht="15.75" customHeight="1" s="12">
      <c r="A417" s="1" t="n">
        <v>171</v>
      </c>
      <c r="B417" s="3">
        <f>HYPERLINK("https://leetcode.com/problems/excel-sheet-column-number/", "Excel Sheet Column Number")</f>
        <v/>
      </c>
      <c r="C417" s="1" t="n">
        <v>5061</v>
      </c>
      <c r="D417" s="1" t="n">
        <v>396</v>
      </c>
      <c r="E417" s="4">
        <f>IF(INDEX(C:C, ROW())+INDEX(D:D, ROW())=0, 0, INDEX(C:C, ROW())/(INDEX(C:C, ROW())+INDEX(D:D, ROW())))</f>
        <v/>
      </c>
      <c r="F417" s="1" t="inlineStr">
        <is>
          <t>Math, String</t>
        </is>
      </c>
      <c r="G417" s="1" t="inlineStr">
        <is>
          <t>Easy</t>
        </is>
      </c>
      <c r="H417" s="1" t="n">
        <v>868904</v>
      </c>
      <c r="I417" s="1" t="n">
        <v>1296035</v>
      </c>
      <c r="J417" s="9" t="n">
        <v>0.67</v>
      </c>
      <c r="K417" s="1" t="inlineStr">
        <is>
          <t>Yes</t>
        </is>
      </c>
      <c r="L417" s="1" t="inlineStr">
        <is>
          <t>Yes</t>
        </is>
      </c>
      <c r="M417" s="1" t="inlineStr">
        <is>
          <t>No</t>
        </is>
      </c>
      <c r="N417" s="1" t="inlineStr">
        <is>
          <t>Algorithms</t>
        </is>
      </c>
      <c r="O4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18" ht="15.75" customHeight="1" s="12">
      <c r="A418" s="1" t="n">
        <v>953</v>
      </c>
      <c r="B418" s="3">
        <f>HYPERLINK("https://leetcode.com/problems/verifying-an-alien-dictionary/", "Verifying an Alien Dictionary")</f>
        <v/>
      </c>
      <c r="C418" s="1" t="n">
        <v>5057</v>
      </c>
      <c r="D418" s="1" t="n">
        <v>1680</v>
      </c>
      <c r="E418" s="4">
        <f>IF(INDEX(C:C, ROW())+INDEX(D:D, ROW())=0, 0, INDEX(C:C, ROW())/(INDEX(C:C, ROW())+INDEX(D:D, ROW())))</f>
        <v/>
      </c>
      <c r="F418" s="1" t="inlineStr">
        <is>
          <t>Array, Hash Table, String</t>
        </is>
      </c>
      <c r="G418" s="1" t="inlineStr">
        <is>
          <t>Easy</t>
        </is>
      </c>
      <c r="H418" s="1" t="n">
        <v>573620</v>
      </c>
      <c r="I418" s="1" t="n">
        <v>1027711</v>
      </c>
      <c r="J418" s="9" t="n">
        <v>0.5580000000000001</v>
      </c>
      <c r="K418" s="1" t="inlineStr">
        <is>
          <t>Yes</t>
        </is>
      </c>
      <c r="L418" s="1" t="inlineStr">
        <is>
          <t>Yes</t>
        </is>
      </c>
      <c r="M418" s="1" t="inlineStr">
        <is>
          <t>No</t>
        </is>
      </c>
      <c r="N418" s="1" t="inlineStr">
        <is>
          <t>Algorithms</t>
        </is>
      </c>
      <c r="O4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19" ht="15.75" customHeight="1" s="12">
      <c r="A419" s="1" t="n">
        <v>341</v>
      </c>
      <c r="B419" s="3">
        <f>HYPERLINK("https://leetcode.com/problems/flatten-nested-list-iterator/", "Flatten Nested List Iterator")</f>
        <v/>
      </c>
      <c r="C419" s="1" t="n">
        <v>5049</v>
      </c>
      <c r="D419" s="1" t="n">
        <v>1794</v>
      </c>
      <c r="E419" s="4">
        <f>IF(INDEX(C:C, ROW())+INDEX(D:D, ROW())=0, 0, INDEX(C:C, ROW())/(INDEX(C:C, ROW())+INDEX(D:D, ROW())))</f>
        <v/>
      </c>
      <c r="F419" s="1" t="inlineStr">
        <is>
          <t>Stack, Tree, Depth-First Search, Design, Queue, Iterator</t>
        </is>
      </c>
      <c r="G419" s="1" t="inlineStr">
        <is>
          <t>Medium</t>
        </is>
      </c>
      <c r="H419" s="1" t="n">
        <v>525502</v>
      </c>
      <c r="I419" s="1" t="n">
        <v>801763</v>
      </c>
      <c r="J419" s="9" t="n">
        <v>0.655</v>
      </c>
      <c r="K419" s="1" t="inlineStr">
        <is>
          <t>Yes</t>
        </is>
      </c>
      <c r="L419" s="1" t="inlineStr">
        <is>
          <t>Yes</t>
        </is>
      </c>
      <c r="M419" s="1" t="inlineStr">
        <is>
          <t>No</t>
        </is>
      </c>
      <c r="N419" s="1" t="inlineStr">
        <is>
          <t>Algorithms</t>
        </is>
      </c>
      <c r="O4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20" ht="15.75" customHeight="1" s="12">
      <c r="A420" s="1" t="n">
        <v>1647</v>
      </c>
      <c r="B420" s="3">
        <f>HYPERLINK("https://leetcode.com/problems/minimum-deletions-to-make-character-frequencies-unique/", "Minimum Deletions to Make Character Frequencies Unique")</f>
        <v/>
      </c>
      <c r="C420" s="1" t="n">
        <v>5045</v>
      </c>
      <c r="D420" s="1" t="n">
        <v>76</v>
      </c>
      <c r="E420" s="4">
        <f>IF(INDEX(C:C, ROW())+INDEX(D:D, ROW())=0, 0, INDEX(C:C, ROW())/(INDEX(C:C, ROW())+INDEX(D:D, ROW())))</f>
        <v/>
      </c>
      <c r="F420" s="1" t="inlineStr">
        <is>
          <t>Hash Table, String, Greedy, Sorting</t>
        </is>
      </c>
      <c r="G420" s="1" t="inlineStr">
        <is>
          <t>Medium</t>
        </is>
      </c>
      <c r="H420" s="1" t="n">
        <v>297367</v>
      </c>
      <c r="I420" s="1" t="n">
        <v>484119</v>
      </c>
      <c r="J420" s="9" t="n">
        <v>0.614</v>
      </c>
      <c r="K420" s="1" t="inlineStr">
        <is>
          <t>Yes</t>
        </is>
      </c>
      <c r="L420" s="1" t="inlineStr">
        <is>
          <t>Yes</t>
        </is>
      </c>
      <c r="M420" s="1" t="inlineStr">
        <is>
          <t>No</t>
        </is>
      </c>
      <c r="N420" s="1" t="inlineStr">
        <is>
          <t>Algorithms</t>
        </is>
      </c>
      <c r="O4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21" ht="15.75" customHeight="1" s="12">
      <c r="A421" s="1" t="n">
        <v>154</v>
      </c>
      <c r="B421" s="3">
        <f>HYPERLINK("https://leetcode.com/problems/find-minimum-in-rotated-sorted-array-ii/", "Find Minimum in Rotated Sorted Array II")</f>
        <v/>
      </c>
      <c r="C421" s="1" t="n">
        <v>5033</v>
      </c>
      <c r="D421" s="1" t="n">
        <v>516</v>
      </c>
      <c r="E421" s="4">
        <f>IF(INDEX(C:C, ROW())+INDEX(D:D, ROW())=0, 0, INDEX(C:C, ROW())/(INDEX(C:C, ROW())+INDEX(D:D, ROW())))</f>
        <v/>
      </c>
      <c r="F421" s="1" t="inlineStr">
        <is>
          <t>Array, Binary Search</t>
        </is>
      </c>
      <c r="G421" s="1" t="inlineStr">
        <is>
          <t>Hard</t>
        </is>
      </c>
      <c r="H421" s="1" t="n">
        <v>586981</v>
      </c>
      <c r="I421" s="1" t="n">
        <v>1318642</v>
      </c>
      <c r="J421" s="9" t="n">
        <v>0.445</v>
      </c>
      <c r="K421" s="1" t="inlineStr">
        <is>
          <t>Yes</t>
        </is>
      </c>
      <c r="L421" s="1" t="inlineStr">
        <is>
          <t>Yes</t>
        </is>
      </c>
      <c r="M421" s="1" t="inlineStr">
        <is>
          <t>No</t>
        </is>
      </c>
      <c r="N421" s="1" t="inlineStr">
        <is>
          <t>Algorithms</t>
        </is>
      </c>
      <c r="O4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22" ht="15.75" customHeight="1" s="12">
      <c r="A422" s="1" t="n">
        <v>38</v>
      </c>
      <c r="B422" s="3">
        <f>HYPERLINK("https://leetcode.com/problems/count-and-say/", "Count and Say")</f>
        <v/>
      </c>
      <c r="C422" s="1" t="n">
        <v>5024</v>
      </c>
      <c r="D422" s="1" t="n">
        <v>9016</v>
      </c>
      <c r="E422" s="4">
        <f>IF(INDEX(C:C, ROW())+INDEX(D:D, ROW())=0, 0, INDEX(C:C, ROW())/(INDEX(C:C, ROW())+INDEX(D:D, ROW())))</f>
        <v/>
      </c>
      <c r="F422" s="1" t="inlineStr">
        <is>
          <t>String</t>
        </is>
      </c>
      <c r="G422" s="1" t="inlineStr">
        <is>
          <t>Medium</t>
        </is>
      </c>
      <c r="H422" s="1" t="n">
        <v>1353655</v>
      </c>
      <c r="I422" s="1" t="n">
        <v>2181440</v>
      </c>
      <c r="J422" s="9" t="n">
        <v>0.621</v>
      </c>
      <c r="K422" s="1" t="inlineStr">
        <is>
          <t>Yes</t>
        </is>
      </c>
      <c r="L422" s="1" t="inlineStr">
        <is>
          <t>Yes</t>
        </is>
      </c>
      <c r="M422" s="1" t="inlineStr">
        <is>
          <t>No</t>
        </is>
      </c>
      <c r="N422" s="1" t="inlineStr">
        <is>
          <t>Algorithms</t>
        </is>
      </c>
      <c r="O4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23" ht="15.75" customHeight="1" s="12">
      <c r="A423" s="1" t="n">
        <v>1043</v>
      </c>
      <c r="B423" s="3">
        <f>HYPERLINK("https://leetcode.com/problems/partition-array-for-maximum-sum/", "Partition Array for Maximum Sum")</f>
        <v/>
      </c>
      <c r="C423" s="1" t="n">
        <v>5018</v>
      </c>
      <c r="D423" s="1" t="n">
        <v>439</v>
      </c>
      <c r="E423" s="4">
        <f>IF(INDEX(C:C, ROW())+INDEX(D:D, ROW())=0, 0, INDEX(C:C, ROW())/(INDEX(C:C, ROW())+INDEX(D:D, ROW())))</f>
        <v/>
      </c>
      <c r="F423" s="1" t="inlineStr">
        <is>
          <t>Array, Dynamic Programming</t>
        </is>
      </c>
      <c r="G423" s="1" t="inlineStr">
        <is>
          <t>Medium</t>
        </is>
      </c>
      <c r="H423" s="1" t="n">
        <v>256349</v>
      </c>
      <c r="I423" s="1" t="n">
        <v>331673</v>
      </c>
      <c r="J423" s="9" t="n">
        <v>0.773</v>
      </c>
      <c r="K423" s="1" t="inlineStr">
        <is>
          <t>Yes</t>
        </is>
      </c>
      <c r="L423" s="1" t="inlineStr">
        <is>
          <t>Yes</t>
        </is>
      </c>
      <c r="M423" s="1" t="inlineStr">
        <is>
          <t>No</t>
        </is>
      </c>
      <c r="N423" s="1" t="inlineStr">
        <is>
          <t>Algorithms</t>
        </is>
      </c>
      <c r="O4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24" ht="15.75" customHeight="1" s="12">
      <c r="A424" s="1" t="n">
        <v>407</v>
      </c>
      <c r="B424" s="3">
        <f>HYPERLINK("https://leetcode.com/problems/trapping-rain-water-ii/", "Trapping Rain Water II")</f>
        <v/>
      </c>
      <c r="C424" s="1" t="n">
        <v>4977</v>
      </c>
      <c r="D424" s="1" t="n">
        <v>169</v>
      </c>
      <c r="E424" s="4">
        <f>IF(INDEX(C:C, ROW())+INDEX(D:D, ROW())=0, 0, INDEX(C:C, ROW())/(INDEX(C:C, ROW())+INDEX(D:D, ROW())))</f>
        <v/>
      </c>
      <c r="F424" s="1" t="inlineStr">
        <is>
          <t>Array, Breadth-First Search, Heap (Priority Queue), Matrix</t>
        </is>
      </c>
      <c r="G424" s="1" t="inlineStr">
        <is>
          <t>Hard</t>
        </is>
      </c>
      <c r="H424" s="1" t="n">
        <v>260984</v>
      </c>
      <c r="I424" s="1" t="n">
        <v>408206</v>
      </c>
      <c r="J424" s="9" t="n">
        <v>0.639</v>
      </c>
      <c r="K424" s="1" t="inlineStr">
        <is>
          <t>Yes</t>
        </is>
      </c>
      <c r="L424" s="1" t="inlineStr">
        <is>
          <t>Yes</t>
        </is>
      </c>
      <c r="M424" s="1" t="inlineStr">
        <is>
          <t>No</t>
        </is>
      </c>
      <c r="N424" s="1" t="inlineStr">
        <is>
          <t>Algorithms</t>
        </is>
      </c>
      <c r="O4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25" ht="15.75" customHeight="1" s="12">
      <c r="A425" s="1" t="n">
        <v>827</v>
      </c>
      <c r="B425" s="3">
        <f>HYPERLINK("https://leetcode.com/problems/making-a-large-island/", "Making A Large Island")</f>
        <v/>
      </c>
      <c r="C425" s="1" t="n">
        <v>4976</v>
      </c>
      <c r="D425" s="1" t="n">
        <v>99</v>
      </c>
      <c r="E425" s="4">
        <f>IF(INDEX(C:C, ROW())+INDEX(D:D, ROW())=0, 0, INDEX(C:C, ROW())/(INDEX(C:C, ROW())+INDEX(D:D, ROW())))</f>
        <v/>
      </c>
      <c r="F425" s="1" t="inlineStr">
        <is>
          <t>Array, Depth-First Search, Breadth-First Search, Union-Find, Matrix</t>
        </is>
      </c>
      <c r="G425" s="1" t="inlineStr">
        <is>
          <t>Hard</t>
        </is>
      </c>
      <c r="H425" s="1" t="n">
        <v>403290</v>
      </c>
      <c r="I425" s="1" t="n">
        <v>718778</v>
      </c>
      <c r="J425" s="9" t="n">
        <v>0.5610000000000001</v>
      </c>
      <c r="K425" s="1" t="inlineStr">
        <is>
          <t>Yes</t>
        </is>
      </c>
      <c r="L425" s="1" t="inlineStr">
        <is>
          <t>Yes</t>
        </is>
      </c>
      <c r="M425" s="1" t="inlineStr">
        <is>
          <t>No</t>
        </is>
      </c>
      <c r="N425" s="1" t="inlineStr">
        <is>
          <t>Algorithms</t>
        </is>
      </c>
      <c r="O4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26" ht="15.75" customHeight="1" s="12">
      <c r="A426" s="1" t="n">
        <v>1431</v>
      </c>
      <c r="B426" s="3">
        <f>HYPERLINK("https://leetcode.com/problems/kids-with-the-greatest-number-of-candies/", "Kids With the Greatest Number of Candies")</f>
        <v/>
      </c>
      <c r="C426" s="1" t="n">
        <v>4915</v>
      </c>
      <c r="D426" s="1" t="n">
        <v>631</v>
      </c>
      <c r="E426" s="4">
        <f>IF(INDEX(C:C, ROW())+INDEX(D:D, ROW())=0, 0, INDEX(C:C, ROW())/(INDEX(C:C, ROW())+INDEX(D:D, ROW())))</f>
        <v/>
      </c>
      <c r="F426" s="1" t="inlineStr">
        <is>
          <t>Array</t>
        </is>
      </c>
      <c r="G426" s="1" t="inlineStr">
        <is>
          <t>Easy</t>
        </is>
      </c>
      <c r="H426" s="1" t="n">
        <v>1442118</v>
      </c>
      <c r="I426" s="1" t="n">
        <v>1638000</v>
      </c>
      <c r="J426" s="9" t="n">
        <v>0.88</v>
      </c>
      <c r="K426" s="1" t="inlineStr">
        <is>
          <t>Yes</t>
        </is>
      </c>
      <c r="L426" s="1" t="inlineStr">
        <is>
          <t>Yes</t>
        </is>
      </c>
      <c r="M426" s="1" t="inlineStr">
        <is>
          <t>No</t>
        </is>
      </c>
      <c r="N426" s="1" t="inlineStr">
        <is>
          <t>Algorithms</t>
        </is>
      </c>
      <c r="O4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27" ht="15.75" customHeight="1" s="12">
      <c r="A427" s="1" t="n">
        <v>921</v>
      </c>
      <c r="B427" s="3">
        <f>HYPERLINK("https://leetcode.com/problems/minimum-add-to-make-parentheses-valid/", "Minimum Add to Make Parentheses Valid")</f>
        <v/>
      </c>
      <c r="C427" s="1" t="n">
        <v>4909</v>
      </c>
      <c r="D427" s="1" t="n">
        <v>247</v>
      </c>
      <c r="E427" s="4">
        <f>IF(INDEX(C:C, ROW())+INDEX(D:D, ROW())=0, 0, INDEX(C:C, ROW())/(INDEX(C:C, ROW())+INDEX(D:D, ROW())))</f>
        <v/>
      </c>
      <c r="F427" s="1" t="inlineStr">
        <is>
          <t>String, Stack, Greedy</t>
        </is>
      </c>
      <c r="G427" s="1" t="inlineStr">
        <is>
          <t>Medium</t>
        </is>
      </c>
      <c r="H427" s="1" t="n">
        <v>680471</v>
      </c>
      <c r="I427" s="1" t="n">
        <v>913501</v>
      </c>
      <c r="J427" s="9" t="n">
        <v>0.745</v>
      </c>
      <c r="K427" s="1" t="inlineStr">
        <is>
          <t>Yes</t>
        </is>
      </c>
      <c r="L427" s="1" t="inlineStr">
        <is>
          <t>Yes</t>
        </is>
      </c>
      <c r="M427" s="1" t="inlineStr">
        <is>
          <t>No</t>
        </is>
      </c>
      <c r="N427" s="1" t="inlineStr">
        <is>
          <t>Algorithms</t>
        </is>
      </c>
      <c r="O4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28" ht="15.75" customHeight="1" s="12">
      <c r="A428" s="1" t="n">
        <v>895</v>
      </c>
      <c r="B428" s="3">
        <f>HYPERLINK("https://leetcode.com/problems/maximum-frequency-stack/", "Maximum Frequency Stack")</f>
        <v/>
      </c>
      <c r="C428" s="1" t="n">
        <v>4907</v>
      </c>
      <c r="D428" s="1" t="n">
        <v>77</v>
      </c>
      <c r="E428" s="4">
        <f>IF(INDEX(C:C, ROW())+INDEX(D:D, ROW())=0, 0, INDEX(C:C, ROW())/(INDEX(C:C, ROW())+INDEX(D:D, ROW())))</f>
        <v/>
      </c>
      <c r="F428" s="1" t="inlineStr">
        <is>
          <t>Hash Table, Stack, Design, Ordered Set</t>
        </is>
      </c>
      <c r="G428" s="1" t="inlineStr">
        <is>
          <t>Hard</t>
        </is>
      </c>
      <c r="H428" s="1" t="n">
        <v>217999</v>
      </c>
      <c r="I428" s="1" t="n">
        <v>327530</v>
      </c>
      <c r="J428" s="9" t="n">
        <v>0.666</v>
      </c>
      <c r="K428" s="1" t="inlineStr">
        <is>
          <t>Yes</t>
        </is>
      </c>
      <c r="L428" s="1" t="inlineStr">
        <is>
          <t>Yes</t>
        </is>
      </c>
      <c r="M428" s="1" t="inlineStr">
        <is>
          <t>No</t>
        </is>
      </c>
      <c r="N428" s="1" t="inlineStr">
        <is>
          <t>Algorithms</t>
        </is>
      </c>
      <c r="O4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29" ht="15.75" customHeight="1" s="12">
      <c r="A429" s="1" t="n">
        <v>886</v>
      </c>
      <c r="B429" s="3">
        <f>HYPERLINK("https://leetcode.com/problems/possible-bipartition/", "Possible Bipartition")</f>
        <v/>
      </c>
      <c r="C429" s="1" t="n">
        <v>4892</v>
      </c>
      <c r="D429" s="1" t="n">
        <v>119</v>
      </c>
      <c r="E429" s="4">
        <f>IF(INDEX(C:C, ROW())+INDEX(D:D, ROW())=0, 0, INDEX(C:C, ROW())/(INDEX(C:C, ROW())+INDEX(D:D, ROW())))</f>
        <v/>
      </c>
      <c r="F429" s="1" t="inlineStr">
        <is>
          <t>Depth-First Search, Breadth-First Search, Union-Find, Graph Theory</t>
        </is>
      </c>
      <c r="G429" s="1" t="inlineStr">
        <is>
          <t>Medium</t>
        </is>
      </c>
      <c r="H429" s="1" t="n">
        <v>258091</v>
      </c>
      <c r="I429" s="1" t="n">
        <v>494121</v>
      </c>
      <c r="J429" s="9" t="n">
        <v>0.522</v>
      </c>
      <c r="K429" s="1" t="inlineStr">
        <is>
          <t>Yes</t>
        </is>
      </c>
      <c r="L429" s="1" t="inlineStr">
        <is>
          <t>Yes</t>
        </is>
      </c>
      <c r="M429" s="1" t="inlineStr">
        <is>
          <t>No</t>
        </is>
      </c>
      <c r="N429" s="1" t="inlineStr">
        <is>
          <t>Algorithms</t>
        </is>
      </c>
      <c r="O4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30" ht="15.75" customHeight="1" s="12">
      <c r="A430" s="1" t="n">
        <v>1027</v>
      </c>
      <c r="B430" s="3">
        <f>HYPERLINK("https://leetcode.com/problems/longest-arithmetic-subsequence/", "Longest Arithmetic Subsequence")</f>
        <v/>
      </c>
      <c r="C430" s="1" t="n">
        <v>4890</v>
      </c>
      <c r="D430" s="1" t="n">
        <v>219</v>
      </c>
      <c r="E430" s="4">
        <f>IF(INDEX(C:C, ROW())+INDEX(D:D, ROW())=0, 0, INDEX(C:C, ROW())/(INDEX(C:C, ROW())+INDEX(D:D, ROW())))</f>
        <v/>
      </c>
      <c r="F430" s="1" t="inlineStr">
        <is>
          <t>Array, Hash Table, Binary Search, Dynamic Programming</t>
        </is>
      </c>
      <c r="G430" s="1" t="inlineStr">
        <is>
          <t>Medium</t>
        </is>
      </c>
      <c r="H430" s="1" t="n">
        <v>208067</v>
      </c>
      <c r="I430" s="1" t="n">
        <v>417712</v>
      </c>
      <c r="J430" s="9" t="n">
        <v>0.498</v>
      </c>
      <c r="K430" s="1" t="inlineStr">
        <is>
          <t>Yes</t>
        </is>
      </c>
      <c r="L430" s="1" t="inlineStr">
        <is>
          <t>Yes</t>
        </is>
      </c>
      <c r="M430" s="1" t="inlineStr">
        <is>
          <t>No</t>
        </is>
      </c>
      <c r="N430" s="1" t="inlineStr">
        <is>
          <t>Algorithms</t>
        </is>
      </c>
      <c r="O4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31" ht="15.75" customHeight="1" s="12">
      <c r="A431" s="1" t="n">
        <v>646</v>
      </c>
      <c r="B431" s="3">
        <f>HYPERLINK("https://leetcode.com/problems/maximum-length-of-pair-chain/", "Maximum Length of Pair Chain")</f>
        <v/>
      </c>
      <c r="C431" s="1" t="n">
        <v>4871</v>
      </c>
      <c r="D431" s="1" t="n">
        <v>137</v>
      </c>
      <c r="E431" s="4">
        <f>IF(INDEX(C:C, ROW())+INDEX(D:D, ROW())=0, 0, INDEX(C:C, ROW())/(INDEX(C:C, ROW())+INDEX(D:D, ROW())))</f>
        <v/>
      </c>
      <c r="F431" s="1" t="inlineStr">
        <is>
          <t>Array, Dynamic Programming, Greedy, Sorting</t>
        </is>
      </c>
      <c r="G431" s="1" t="inlineStr">
        <is>
          <t>Medium</t>
        </is>
      </c>
      <c r="H431" s="1" t="n">
        <v>302976</v>
      </c>
      <c r="I431" s="1" t="n">
        <v>493022</v>
      </c>
      <c r="J431" s="9" t="n">
        <v>0.615</v>
      </c>
      <c r="K431" s="1" t="inlineStr">
        <is>
          <t>Yes</t>
        </is>
      </c>
      <c r="L431" s="1" t="inlineStr">
        <is>
          <t>Yes</t>
        </is>
      </c>
      <c r="M431" s="1" t="inlineStr">
        <is>
          <t>No</t>
        </is>
      </c>
      <c r="N431" s="1" t="inlineStr">
        <is>
          <t>Algorithms</t>
        </is>
      </c>
      <c r="O4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32" ht="15.75" customHeight="1" s="12">
      <c r="A432" s="1" t="n">
        <v>455</v>
      </c>
      <c r="B432" s="3">
        <f>HYPERLINK("https://leetcode.com/problems/assign-cookies/", "Assign Cookies")</f>
        <v/>
      </c>
      <c r="C432" s="1" t="n">
        <v>4862</v>
      </c>
      <c r="D432" s="1" t="n">
        <v>448</v>
      </c>
      <c r="E432" s="4">
        <f>IF(INDEX(C:C, ROW())+INDEX(D:D, ROW())=0, 0, INDEX(C:C, ROW())/(INDEX(C:C, ROW())+INDEX(D:D, ROW())))</f>
        <v/>
      </c>
      <c r="F432" s="1" t="inlineStr">
        <is>
          <t>Array, Two Pointers, Greedy, Sorting</t>
        </is>
      </c>
      <c r="G432" s="1" t="inlineStr">
        <is>
          <t>Easy</t>
        </is>
      </c>
      <c r="H432" s="1" t="n">
        <v>863970</v>
      </c>
      <c r="I432" s="1" t="n">
        <v>1583310</v>
      </c>
      <c r="J432" s="9" t="n">
        <v>0.546</v>
      </c>
      <c r="K432" s="1" t="inlineStr">
        <is>
          <t>Yes</t>
        </is>
      </c>
      <c r="L432" s="1" t="inlineStr">
        <is>
          <t>Yes</t>
        </is>
      </c>
      <c r="M432" s="1" t="inlineStr">
        <is>
          <t>No</t>
        </is>
      </c>
      <c r="N432" s="1" t="inlineStr">
        <is>
          <t>Algorithms</t>
        </is>
      </c>
      <c r="O4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33" ht="15.75" customHeight="1" s="12">
      <c r="A433" s="1" t="n">
        <v>1029</v>
      </c>
      <c r="B433" s="3">
        <f>HYPERLINK("https://leetcode.com/problems/two-city-scheduling/", "Two City Scheduling")</f>
        <v/>
      </c>
      <c r="C433" s="1" t="n">
        <v>4861</v>
      </c>
      <c r="D433" s="1" t="n">
        <v>365</v>
      </c>
      <c r="E433" s="4">
        <f>IF(INDEX(C:C, ROW())+INDEX(D:D, ROW())=0, 0, INDEX(C:C, ROW())/(INDEX(C:C, ROW())+INDEX(D:D, ROW())))</f>
        <v/>
      </c>
      <c r="F433" s="1" t="inlineStr">
        <is>
          <t>Array, Greedy, Sorting</t>
        </is>
      </c>
      <c r="G433" s="1" t="inlineStr">
        <is>
          <t>Medium</t>
        </is>
      </c>
      <c r="H433" s="1" t="n">
        <v>281003</v>
      </c>
      <c r="I433" s="1" t="n">
        <v>411697</v>
      </c>
      <c r="J433" s="9" t="n">
        <v>0.6830000000000001</v>
      </c>
      <c r="K433" s="1" t="inlineStr">
        <is>
          <t>Yes</t>
        </is>
      </c>
      <c r="L433" s="1" t="inlineStr">
        <is>
          <t>Yes</t>
        </is>
      </c>
      <c r="M433" s="1" t="inlineStr">
        <is>
          <t>No</t>
        </is>
      </c>
      <c r="N433" s="1" t="inlineStr">
        <is>
          <t>Algorithms</t>
        </is>
      </c>
      <c r="O4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34" ht="15.75" customHeight="1" s="12">
      <c r="A434" s="1" t="n">
        <v>871</v>
      </c>
      <c r="B434" s="3">
        <f>HYPERLINK("https://leetcode.com/problems/minimum-number-of-refueling-stops/", "Minimum Number of Refueling Stops")</f>
        <v/>
      </c>
      <c r="C434" s="1" t="n">
        <v>4849</v>
      </c>
      <c r="D434" s="1" t="n">
        <v>93</v>
      </c>
      <c r="E434" s="4">
        <f>IF(INDEX(C:C, ROW())+INDEX(D:D, ROW())=0, 0, INDEX(C:C, ROW())/(INDEX(C:C, ROW())+INDEX(D:D, ROW())))</f>
        <v/>
      </c>
      <c r="F434" s="1" t="inlineStr">
        <is>
          <t>Array, Dynamic Programming, Greedy, Heap (Priority Queue)</t>
        </is>
      </c>
      <c r="G434" s="1" t="inlineStr">
        <is>
          <t>Hard</t>
        </is>
      </c>
      <c r="H434" s="1" t="n">
        <v>160743</v>
      </c>
      <c r="I434" s="1" t="n">
        <v>391787</v>
      </c>
      <c r="J434" s="9" t="n">
        <v>0.41</v>
      </c>
      <c r="K434" s="1" t="inlineStr">
        <is>
          <t>Yes</t>
        </is>
      </c>
      <c r="L434" s="1" t="inlineStr">
        <is>
          <t>Yes</t>
        </is>
      </c>
      <c r="M434" s="1" t="inlineStr">
        <is>
          <t>No</t>
        </is>
      </c>
      <c r="N434" s="1" t="inlineStr">
        <is>
          <t>Algorithms</t>
        </is>
      </c>
      <c r="O4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35" ht="15.75" customHeight="1" s="12">
      <c r="A435" s="1" t="n">
        <v>2095</v>
      </c>
      <c r="B435" s="3">
        <f>HYPERLINK("https://leetcode.com/problems/delete-the-middle-node-of-a-linked-list/", "Delete the Middle Node of a Linked List")</f>
        <v/>
      </c>
      <c r="C435" s="1" t="n">
        <v>4847</v>
      </c>
      <c r="D435" s="1" t="n">
        <v>105</v>
      </c>
      <c r="E435" s="4">
        <f>IF(INDEX(C:C, ROW())+INDEX(D:D, ROW())=0, 0, INDEX(C:C, ROW())/(INDEX(C:C, ROW())+INDEX(D:D, ROW())))</f>
        <v/>
      </c>
      <c r="F435" s="1" t="inlineStr">
        <is>
          <t>Linked List, Two Pointers</t>
        </is>
      </c>
      <c r="G435" s="1" t="inlineStr">
        <is>
          <t>Medium</t>
        </is>
      </c>
      <c r="H435" s="1" t="n">
        <v>872518</v>
      </c>
      <c r="I435" s="1" t="n">
        <v>1467233</v>
      </c>
      <c r="J435" s="9" t="n">
        <v>0.595</v>
      </c>
      <c r="K435" s="1" t="inlineStr">
        <is>
          <t>Yes</t>
        </is>
      </c>
      <c r="L435" s="1" t="inlineStr">
        <is>
          <t>Yes</t>
        </is>
      </c>
      <c r="M435" s="1" t="inlineStr">
        <is>
          <t>No</t>
        </is>
      </c>
      <c r="N435" s="1" t="inlineStr">
        <is>
          <t>Algorithms</t>
        </is>
      </c>
      <c r="O4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36" ht="15.75" customHeight="1" s="12">
      <c r="A436" s="1" t="n">
        <v>744</v>
      </c>
      <c r="B436" s="3">
        <f>HYPERLINK("https://leetcode.com/problems/find-smallest-letter-greater-than-target/", "Find Smallest Letter Greater Than Target")</f>
        <v/>
      </c>
      <c r="C436" s="1" t="n">
        <v>4837</v>
      </c>
      <c r="D436" s="1" t="n">
        <v>2222</v>
      </c>
      <c r="E436" s="4">
        <f>IF(INDEX(C:C, ROW())+INDEX(D:D, ROW())=0, 0, INDEX(C:C, ROW())/(INDEX(C:C, ROW())+INDEX(D:D, ROW())))</f>
        <v/>
      </c>
      <c r="F436" s="1" t="inlineStr">
        <is>
          <t>Array, Binary Search</t>
        </is>
      </c>
      <c r="G436" s="1" t="inlineStr">
        <is>
          <t>Easy</t>
        </is>
      </c>
      <c r="H436" s="1" t="n">
        <v>670633</v>
      </c>
      <c r="I436" s="1" t="n">
        <v>1216802</v>
      </c>
      <c r="J436" s="9" t="n">
        <v>0.551</v>
      </c>
      <c r="K436" s="1" t="inlineStr">
        <is>
          <t>Yes</t>
        </is>
      </c>
      <c r="L436" s="1" t="inlineStr">
        <is>
          <t>Yes</t>
        </is>
      </c>
      <c r="M436" s="1" t="inlineStr">
        <is>
          <t>No</t>
        </is>
      </c>
      <c r="N436" s="1" t="inlineStr">
        <is>
          <t>Algorithms</t>
        </is>
      </c>
      <c r="O4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37" ht="15.75" customHeight="1" s="12">
      <c r="A437" s="1" t="n">
        <v>1302</v>
      </c>
      <c r="B437" s="3">
        <f>HYPERLINK("https://leetcode.com/problems/deepest-leaves-sum/", "Deepest Leaves Sum")</f>
        <v/>
      </c>
      <c r="C437" s="1" t="n">
        <v>4819</v>
      </c>
      <c r="D437" s="1" t="n">
        <v>126</v>
      </c>
      <c r="E437" s="4">
        <f>IF(INDEX(C:C, ROW())+INDEX(D:D, ROW())=0, 0, INDEX(C:C, ROW())/(INDEX(C:C, ROW())+INDEX(D:D, ROW())))</f>
        <v/>
      </c>
      <c r="F437" s="1" t="inlineStr">
        <is>
          <t>Tree, Depth-First Search, Breadth-First Search, Binary Tree</t>
        </is>
      </c>
      <c r="G437" s="1" t="inlineStr">
        <is>
          <t>Medium</t>
        </is>
      </c>
      <c r="H437" s="1" t="n">
        <v>396302</v>
      </c>
      <c r="I437" s="1" t="n">
        <v>458329</v>
      </c>
      <c r="J437" s="9" t="n">
        <v>0.865</v>
      </c>
      <c r="K437" s="1" t="inlineStr">
        <is>
          <t>Yes</t>
        </is>
      </c>
      <c r="L437" s="1" t="inlineStr">
        <is>
          <t>Yes</t>
        </is>
      </c>
      <c r="M437" s="1" t="inlineStr">
        <is>
          <t>No</t>
        </is>
      </c>
      <c r="N437" s="1" t="inlineStr">
        <is>
          <t>Algorithms</t>
        </is>
      </c>
      <c r="O4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38" ht="15.75" customHeight="1" s="12">
      <c r="A438" s="1" t="n">
        <v>784</v>
      </c>
      <c r="B438" s="3">
        <f>HYPERLINK("https://leetcode.com/problems/letter-case-permutation/", "Letter Case Permutation")</f>
        <v/>
      </c>
      <c r="C438" s="1" t="n">
        <v>4818</v>
      </c>
      <c r="D438" s="1" t="n">
        <v>159</v>
      </c>
      <c r="E438" s="4">
        <f>IF(INDEX(C:C, ROW())+INDEX(D:D, ROW())=0, 0, INDEX(C:C, ROW())/(INDEX(C:C, ROW())+INDEX(D:D, ROW())))</f>
        <v/>
      </c>
      <c r="F438" s="1" t="inlineStr">
        <is>
          <t>String, Backtracking, Bit Manipulation</t>
        </is>
      </c>
      <c r="G438" s="1" t="inlineStr">
        <is>
          <t>Medium</t>
        </is>
      </c>
      <c r="H438" s="1" t="n">
        <v>363150</v>
      </c>
      <c r="I438" s="1" t="n">
        <v>480189</v>
      </c>
      <c r="J438" s="9" t="n">
        <v>0.756</v>
      </c>
      <c r="K438" s="1" t="inlineStr">
        <is>
          <t>Yes</t>
        </is>
      </c>
      <c r="L438" s="1" t="inlineStr">
        <is>
          <t>Yes</t>
        </is>
      </c>
      <c r="M438" s="1" t="inlineStr">
        <is>
          <t>No</t>
        </is>
      </c>
      <c r="N438" s="1" t="inlineStr">
        <is>
          <t>Algorithms</t>
        </is>
      </c>
      <c r="O4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39" ht="15.75" customHeight="1" s="12">
      <c r="A439" s="1" t="n">
        <v>1768</v>
      </c>
      <c r="B439" s="3">
        <f>HYPERLINK("https://leetcode.com/problems/merge-strings-alternately/", "Merge Strings Alternately")</f>
        <v/>
      </c>
      <c r="C439" s="1" t="n">
        <v>4817</v>
      </c>
      <c r="D439" s="1" t="n">
        <v>140</v>
      </c>
      <c r="E439" s="4">
        <f>IF(INDEX(C:C, ROW())+INDEX(D:D, ROW())=0, 0, INDEX(C:C, ROW())/(INDEX(C:C, ROW())+INDEX(D:D, ROW())))</f>
        <v/>
      </c>
      <c r="F439" s="1" t="inlineStr">
        <is>
          <t>Two Pointers, String</t>
        </is>
      </c>
      <c r="G439" s="1" t="inlineStr">
        <is>
          <t>Easy</t>
        </is>
      </c>
      <c r="H439" s="1" t="n">
        <v>1941470</v>
      </c>
      <c r="I439" s="1" t="n">
        <v>2365508</v>
      </c>
      <c r="J439" s="9" t="n">
        <v>0.821</v>
      </c>
      <c r="K439" s="1" t="inlineStr">
        <is>
          <t>Yes</t>
        </is>
      </c>
      <c r="L439" s="1" t="inlineStr">
        <is>
          <t>Yes</t>
        </is>
      </c>
      <c r="M439" s="1" t="inlineStr">
        <is>
          <t>Yes</t>
        </is>
      </c>
      <c r="N439" s="1" t="inlineStr">
        <is>
          <t>Algorithms</t>
        </is>
      </c>
      <c r="O4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40" ht="15.75" customHeight="1" s="12">
      <c r="A440" s="1" t="n">
        <v>1672</v>
      </c>
      <c r="B440" s="3">
        <f>HYPERLINK("https://leetcode.com/problems/richest-customer-wealth/", "Richest Customer Wealth")</f>
        <v/>
      </c>
      <c r="C440" s="1" t="n">
        <v>4803</v>
      </c>
      <c r="D440" s="1" t="n">
        <v>385</v>
      </c>
      <c r="E440" s="4">
        <f>IF(INDEX(C:C, ROW())+INDEX(D:D, ROW())=0, 0, INDEX(C:C, ROW())/(INDEX(C:C, ROW())+INDEX(D:D, ROW())))</f>
        <v/>
      </c>
      <c r="F440" s="1" t="inlineStr">
        <is>
          <t>Array, Matrix</t>
        </is>
      </c>
      <c r="G440" s="1" t="inlineStr">
        <is>
          <t>Easy</t>
        </is>
      </c>
      <c r="H440" s="1" t="n">
        <v>1177662</v>
      </c>
      <c r="I440" s="1" t="n">
        <v>1328901</v>
      </c>
      <c r="J440" s="9" t="n">
        <v>0.886</v>
      </c>
      <c r="K440" s="1" t="inlineStr">
        <is>
          <t>Yes</t>
        </is>
      </c>
      <c r="L440" s="1" t="inlineStr">
        <is>
          <t>Yes</t>
        </is>
      </c>
      <c r="M440" s="1" t="inlineStr">
        <is>
          <t>Yes</t>
        </is>
      </c>
      <c r="N440" s="1" t="inlineStr">
        <is>
          <t>Algorithms</t>
        </is>
      </c>
      <c r="O4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41" ht="15.75" customHeight="1" s="12">
      <c r="A441" s="1" t="n">
        <v>729</v>
      </c>
      <c r="B441" s="3">
        <f>HYPERLINK("https://leetcode.com/problems/my-calendar-i/", "My Calendar I")</f>
        <v/>
      </c>
      <c r="C441" s="1" t="n">
        <v>4794</v>
      </c>
      <c r="D441" s="1" t="n">
        <v>136</v>
      </c>
      <c r="E441" s="4">
        <f>IF(INDEX(C:C, ROW())+INDEX(D:D, ROW())=0, 0, INDEX(C:C, ROW())/(INDEX(C:C, ROW())+INDEX(D:D, ROW())))</f>
        <v/>
      </c>
      <c r="F441" s="1" t="inlineStr">
        <is>
          <t>Array, Binary Search, Design, Segment Tree, Ordered Set</t>
        </is>
      </c>
      <c r="G441" s="1" t="inlineStr">
        <is>
          <t>Medium</t>
        </is>
      </c>
      <c r="H441" s="1" t="n">
        <v>449595</v>
      </c>
      <c r="I441" s="1" t="n">
        <v>772132</v>
      </c>
      <c r="J441" s="9" t="n">
        <v>0.582</v>
      </c>
      <c r="K441" s="1" t="inlineStr">
        <is>
          <t>Yes</t>
        </is>
      </c>
      <c r="L441" s="1" t="inlineStr">
        <is>
          <t>Yes</t>
        </is>
      </c>
      <c r="M441" s="1" t="inlineStr">
        <is>
          <t>No</t>
        </is>
      </c>
      <c r="N441" s="1" t="inlineStr">
        <is>
          <t>Algorithms</t>
        </is>
      </c>
      <c r="O4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42" ht="15.75" customHeight="1" s="12">
      <c r="A442" s="1" t="n">
        <v>1293</v>
      </c>
      <c r="B442" s="3">
        <f>HYPERLINK("https://leetcode.com/problems/shortest-path-in-a-grid-with-obstacles-elimination/", "Shortest Path in a Grid with Obstacles Elimination")</f>
        <v/>
      </c>
      <c r="C442" s="1" t="n">
        <v>4792</v>
      </c>
      <c r="D442" s="1" t="n">
        <v>90</v>
      </c>
      <c r="E442" s="4">
        <f>IF(INDEX(C:C, ROW())+INDEX(D:D, ROW())=0, 0, INDEX(C:C, ROW())/(INDEX(C:C, ROW())+INDEX(D:D, ROW())))</f>
        <v/>
      </c>
      <c r="F442" s="1" t="inlineStr">
        <is>
          <t>Array, Breadth-First Search, Matrix</t>
        </is>
      </c>
      <c r="G442" s="1" t="inlineStr">
        <is>
          <t>Hard</t>
        </is>
      </c>
      <c r="H442" s="1" t="n">
        <v>264147</v>
      </c>
      <c r="I442" s="1" t="n">
        <v>574197</v>
      </c>
      <c r="J442" s="9" t="n">
        <v>0.46</v>
      </c>
      <c r="K442" s="1" t="inlineStr">
        <is>
          <t>Yes</t>
        </is>
      </c>
      <c r="L442" s="1" t="inlineStr">
        <is>
          <t>Yes</t>
        </is>
      </c>
      <c r="M442" s="1" t="inlineStr">
        <is>
          <t>No</t>
        </is>
      </c>
      <c r="N442" s="1" t="inlineStr">
        <is>
          <t>Algorithms</t>
        </is>
      </c>
      <c r="O4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43" ht="15.75" customHeight="1" s="12">
      <c r="A443" s="1" t="n">
        <v>1094</v>
      </c>
      <c r="B443" s="3">
        <f>HYPERLINK("https://leetcode.com/problems/car-pooling/", "Car Pooling")</f>
        <v/>
      </c>
      <c r="C443" s="1" t="n">
        <v>4786</v>
      </c>
      <c r="D443" s="1" t="n">
        <v>122</v>
      </c>
      <c r="E443" s="4">
        <f>IF(INDEX(C:C, ROW())+INDEX(D:D, ROW())=0, 0, INDEX(C:C, ROW())/(INDEX(C:C, ROW())+INDEX(D:D, ROW())))</f>
        <v/>
      </c>
      <c r="F443" s="1" t="inlineStr">
        <is>
          <t>Array, Sorting, Heap (Priority Queue), Simulation, Prefix Sum</t>
        </is>
      </c>
      <c r="G443" s="1" t="inlineStr">
        <is>
          <t>Medium</t>
        </is>
      </c>
      <c r="H443" s="1" t="n">
        <v>306352</v>
      </c>
      <c r="I443" s="1" t="n">
        <v>545680</v>
      </c>
      <c r="J443" s="9" t="n">
        <v>0.5610000000000001</v>
      </c>
      <c r="K443" s="1" t="inlineStr">
        <is>
          <t>Yes</t>
        </is>
      </c>
      <c r="L443" s="1" t="inlineStr">
        <is>
          <t>Yes</t>
        </is>
      </c>
      <c r="M443" s="1" t="inlineStr">
        <is>
          <t>No</t>
        </is>
      </c>
      <c r="N443" s="1" t="inlineStr">
        <is>
          <t>Algorithms</t>
        </is>
      </c>
      <c r="O4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44" ht="15.75" customHeight="1" s="12">
      <c r="A444" s="1" t="n">
        <v>27</v>
      </c>
      <c r="B444" s="3">
        <f>HYPERLINK("https://leetcode.com/problems/remove-element/", "Remove Element")</f>
        <v/>
      </c>
      <c r="C444" s="1" t="n">
        <v>4784</v>
      </c>
      <c r="D444" s="1" t="n">
        <v>5226</v>
      </c>
      <c r="E444" s="4">
        <f>IF(INDEX(C:C, ROW())+INDEX(D:D, ROW())=0, 0, INDEX(C:C, ROW())/(INDEX(C:C, ROW())+INDEX(D:D, ROW())))</f>
        <v/>
      </c>
      <c r="F444" s="1" t="inlineStr">
        <is>
          <t>Array, Two Pointers</t>
        </is>
      </c>
      <c r="G444" s="1" t="inlineStr">
        <is>
          <t>Easy</t>
        </is>
      </c>
      <c r="H444" s="1" t="n">
        <v>4896924</v>
      </c>
      <c r="I444" s="1" t="n">
        <v>8010677</v>
      </c>
      <c r="J444" s="9" t="n">
        <v>0.611</v>
      </c>
      <c r="K444" s="1" t="inlineStr">
        <is>
          <t>Yes</t>
        </is>
      </c>
      <c r="L444" s="1" t="inlineStr">
        <is>
          <t>Yes</t>
        </is>
      </c>
      <c r="M444" s="1" t="inlineStr">
        <is>
          <t>Yes</t>
        </is>
      </c>
      <c r="N444" s="1" t="inlineStr">
        <is>
          <t>Algorithms</t>
        </is>
      </c>
      <c r="O4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45" ht="15.75" customHeight="1" s="12">
      <c r="A445" s="1" t="n">
        <v>1547</v>
      </c>
      <c r="B445" s="3">
        <f>HYPERLINK("https://leetcode.com/problems/minimum-cost-to-cut-a-stick/", "Minimum Cost to Cut a Stick")</f>
        <v/>
      </c>
      <c r="C445" s="1" t="n">
        <v>4776</v>
      </c>
      <c r="D445" s="1" t="n">
        <v>157</v>
      </c>
      <c r="E445" s="4">
        <f>IF(INDEX(C:C, ROW())+INDEX(D:D, ROW())=0, 0, INDEX(C:C, ROW())/(INDEX(C:C, ROW())+INDEX(D:D, ROW())))</f>
        <v/>
      </c>
      <c r="F445" s="1" t="inlineStr">
        <is>
          <t>Array, Dynamic Programming, Sorting</t>
        </is>
      </c>
      <c r="G445" s="1" t="inlineStr">
        <is>
          <t>Hard</t>
        </is>
      </c>
      <c r="H445" s="1" t="n">
        <v>213662</v>
      </c>
      <c r="I445" s="1" t="n">
        <v>340873</v>
      </c>
      <c r="J445" s="9" t="n">
        <v>0.627</v>
      </c>
      <c r="K445" s="1" t="inlineStr">
        <is>
          <t>Yes</t>
        </is>
      </c>
      <c r="L445" s="1" t="inlineStr">
        <is>
          <t>Yes</t>
        </is>
      </c>
      <c r="M445" s="1" t="inlineStr">
        <is>
          <t>No</t>
        </is>
      </c>
      <c r="N445" s="1" t="inlineStr">
        <is>
          <t>Algorithms</t>
        </is>
      </c>
      <c r="O4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46" ht="15.75" customHeight="1" s="12">
      <c r="A446" s="1" t="n">
        <v>1110</v>
      </c>
      <c r="B446" s="3">
        <f>HYPERLINK("https://leetcode.com/problems/delete-nodes-and-return-forest/", "Delete Nodes And Return Forest")</f>
        <v/>
      </c>
      <c r="C446" s="1" t="n">
        <v>4775</v>
      </c>
      <c r="D446" s="1" t="n">
        <v>144</v>
      </c>
      <c r="E446" s="4">
        <f>IF(INDEX(C:C, ROW())+INDEX(D:D, ROW())=0, 0, INDEX(C:C, ROW())/(INDEX(C:C, ROW())+INDEX(D:D, ROW())))</f>
        <v/>
      </c>
      <c r="F446" s="1" t="inlineStr">
        <is>
          <t>Array, Hash Table, Tree, Depth-First Search, Binary Tree</t>
        </is>
      </c>
      <c r="G446" s="1" t="inlineStr">
        <is>
          <t>Medium</t>
        </is>
      </c>
      <c r="H446" s="1" t="n">
        <v>386678</v>
      </c>
      <c r="I446" s="1" t="n">
        <v>533708</v>
      </c>
      <c r="J446" s="9" t="n">
        <v>0.725</v>
      </c>
      <c r="K446" s="1" t="inlineStr">
        <is>
          <t>Yes</t>
        </is>
      </c>
      <c r="L446" s="1" t="inlineStr">
        <is>
          <t>Yes</t>
        </is>
      </c>
      <c r="M446" s="1" t="inlineStr">
        <is>
          <t>No</t>
        </is>
      </c>
      <c r="N446" s="1" t="inlineStr">
        <is>
          <t>Algorithms</t>
        </is>
      </c>
      <c r="O4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47" ht="15.75" customHeight="1" s="12">
      <c r="A447" s="1" t="n">
        <v>1137</v>
      </c>
      <c r="B447" s="3">
        <f>HYPERLINK("https://leetcode.com/problems/n-th-tribonacci-number/", "N-th Tribonacci Number")</f>
        <v/>
      </c>
      <c r="C447" s="1" t="n">
        <v>4775</v>
      </c>
      <c r="D447" s="1" t="n">
        <v>211</v>
      </c>
      <c r="E447" s="4">
        <f>IF(INDEX(C:C, ROW())+INDEX(D:D, ROW())=0, 0, INDEX(C:C, ROW())/(INDEX(C:C, ROW())+INDEX(D:D, ROW())))</f>
        <v/>
      </c>
      <c r="F447" s="1" t="inlineStr">
        <is>
          <t>Math, Dynamic Programming, Memoization</t>
        </is>
      </c>
      <c r="G447" s="1" t="inlineStr">
        <is>
          <t>Easy</t>
        </is>
      </c>
      <c r="H447" s="1" t="n">
        <v>1043277</v>
      </c>
      <c r="I447" s="1" t="n">
        <v>1647198</v>
      </c>
      <c r="J447" s="9" t="n">
        <v>0.633</v>
      </c>
      <c r="K447" s="1" t="inlineStr">
        <is>
          <t>Yes</t>
        </is>
      </c>
      <c r="L447" s="1" t="inlineStr">
        <is>
          <t>Yes</t>
        </is>
      </c>
      <c r="M447" s="1" t="inlineStr">
        <is>
          <t>No</t>
        </is>
      </c>
      <c r="N447" s="1" t="inlineStr">
        <is>
          <t>Algorithms</t>
        </is>
      </c>
      <c r="O4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48" ht="15.75" customHeight="1" s="12">
      <c r="A448" s="1" t="n">
        <v>1752</v>
      </c>
      <c r="B448" s="3">
        <f>HYPERLINK("https://leetcode.com/problems/check-if-array-is-sorted-and-rotated/", "Check if Array Is Sorted and Rotated")</f>
        <v/>
      </c>
      <c r="C448" s="1" t="n">
        <v>4774</v>
      </c>
      <c r="D448" s="1" t="n">
        <v>280</v>
      </c>
      <c r="E448" s="4">
        <f>IF(INDEX(C:C, ROW())+INDEX(D:D, ROW())=0, 0, INDEX(C:C, ROW())/(INDEX(C:C, ROW())+INDEX(D:D, ROW())))</f>
        <v/>
      </c>
      <c r="F448" s="1" t="inlineStr">
        <is>
          <t>Array</t>
        </is>
      </c>
      <c r="G448" s="1" t="inlineStr">
        <is>
          <t>Easy</t>
        </is>
      </c>
      <c r="H448" s="1" t="n">
        <v>787362</v>
      </c>
      <c r="I448" s="1" t="n">
        <v>1416377</v>
      </c>
      <c r="J448" s="9" t="n">
        <v>0.556</v>
      </c>
      <c r="K448" s="1" t="inlineStr">
        <is>
          <t>Yes</t>
        </is>
      </c>
      <c r="L448" s="1" t="inlineStr">
        <is>
          <t>Yes</t>
        </is>
      </c>
      <c r="M448" s="1" t="inlineStr">
        <is>
          <t>No</t>
        </is>
      </c>
      <c r="N448" s="1" t="inlineStr">
        <is>
          <t>Algorithms</t>
        </is>
      </c>
      <c r="O4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49" ht="15.75" customHeight="1" s="12">
      <c r="A449" s="1" t="n">
        <v>1493</v>
      </c>
      <c r="B449" s="3">
        <f>HYPERLINK("https://leetcode.com/problems/longest-subarray-of-1s-after-deleting-one-element/", "Longest Subarray of 1's After Deleting One Element")</f>
        <v/>
      </c>
      <c r="C449" s="1" t="n">
        <v>4745</v>
      </c>
      <c r="D449" s="1" t="n">
        <v>109</v>
      </c>
      <c r="E449" s="4">
        <f>IF(INDEX(C:C, ROW())+INDEX(D:D, ROW())=0, 0, INDEX(C:C, ROW())/(INDEX(C:C, ROW())+INDEX(D:D, ROW())))</f>
        <v/>
      </c>
      <c r="F449" s="1" t="inlineStr">
        <is>
          <t>Array, Dynamic Programming, Sliding Window</t>
        </is>
      </c>
      <c r="G449" s="1" t="inlineStr">
        <is>
          <t>Medium</t>
        </is>
      </c>
      <c r="H449" s="1" t="n">
        <v>609489</v>
      </c>
      <c r="I449" s="1" t="n">
        <v>858516</v>
      </c>
      <c r="J449" s="9" t="n">
        <v>0.71</v>
      </c>
      <c r="K449" s="1" t="inlineStr">
        <is>
          <t>Yes</t>
        </is>
      </c>
      <c r="L449" s="1" t="inlineStr">
        <is>
          <t>Yes</t>
        </is>
      </c>
      <c r="M449" s="1" t="inlineStr">
        <is>
          <t>No</t>
        </is>
      </c>
      <c r="N449" s="1" t="inlineStr">
        <is>
          <t>Algorithms</t>
        </is>
      </c>
      <c r="O4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50" ht="15.75" customHeight="1" s="12">
      <c r="A450" s="1" t="n">
        <v>796</v>
      </c>
      <c r="B450" s="3">
        <f>HYPERLINK("https://leetcode.com/problems/rotate-string/", "Rotate String")</f>
        <v/>
      </c>
      <c r="C450" s="1" t="n">
        <v>4744</v>
      </c>
      <c r="D450" s="1" t="n">
        <v>415</v>
      </c>
      <c r="E450" s="4">
        <f>IF(INDEX(C:C, ROW())+INDEX(D:D, ROW())=0, 0, INDEX(C:C, ROW())/(INDEX(C:C, ROW())+INDEX(D:D, ROW())))</f>
        <v/>
      </c>
      <c r="F450" s="1" t="inlineStr">
        <is>
          <t>String, String Matching</t>
        </is>
      </c>
      <c r="G450" s="1" t="inlineStr">
        <is>
          <t>Easy</t>
        </is>
      </c>
      <c r="H450" s="1" t="n">
        <v>751281</v>
      </c>
      <c r="I450" s="1" t="n">
        <v>1157397</v>
      </c>
      <c r="J450" s="9" t="n">
        <v>0.649</v>
      </c>
      <c r="K450" s="1" t="inlineStr">
        <is>
          <t>Yes</t>
        </is>
      </c>
      <c r="L450" s="1" t="inlineStr">
        <is>
          <t>Yes</t>
        </is>
      </c>
      <c r="M450" s="1" t="inlineStr">
        <is>
          <t>No</t>
        </is>
      </c>
      <c r="N450" s="1" t="inlineStr">
        <is>
          <t>Algorithms</t>
        </is>
      </c>
      <c r="O4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51" ht="15.75" customHeight="1" s="12">
      <c r="A451" s="1" t="n">
        <v>1254</v>
      </c>
      <c r="B451" s="3">
        <f>HYPERLINK("https://leetcode.com/problems/number-of-closed-islands/", "Number of Closed Islands")</f>
        <v/>
      </c>
      <c r="C451" s="1" t="n">
        <v>4741</v>
      </c>
      <c r="D451" s="1" t="n">
        <v>188</v>
      </c>
      <c r="E451" s="4">
        <f>IF(INDEX(C:C, ROW())+INDEX(D:D, ROW())=0, 0, INDEX(C:C, ROW())/(INDEX(C:C, ROW())+INDEX(D:D, ROW())))</f>
        <v/>
      </c>
      <c r="F451" s="1" t="inlineStr">
        <is>
          <t>Array, Depth-First Search, Breadth-First Search, Union-Find, Matrix</t>
        </is>
      </c>
      <c r="G451" s="1" t="inlineStr">
        <is>
          <t>Medium</t>
        </is>
      </c>
      <c r="H451" s="1" t="n">
        <v>272415</v>
      </c>
      <c r="I451" s="1" t="n">
        <v>406860</v>
      </c>
      <c r="J451" s="9" t="n">
        <v>0.67</v>
      </c>
      <c r="K451" s="1" t="inlineStr">
        <is>
          <t>Yes</t>
        </is>
      </c>
      <c r="L451" s="1" t="inlineStr">
        <is>
          <t>Yes</t>
        </is>
      </c>
      <c r="M451" s="1" t="inlineStr">
        <is>
          <t>No</t>
        </is>
      </c>
      <c r="N451" s="1" t="inlineStr">
        <is>
          <t>Algorithms</t>
        </is>
      </c>
      <c r="O4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52" ht="15.75" customHeight="1" s="12">
      <c r="A452" s="1" t="n">
        <v>930</v>
      </c>
      <c r="B452" s="3">
        <f>HYPERLINK("https://leetcode.com/problems/binary-subarrays-with-sum/", "Binary Subarrays With Sum")</f>
        <v/>
      </c>
      <c r="C452" s="1" t="n">
        <v>4716</v>
      </c>
      <c r="D452" s="1" t="n">
        <v>161</v>
      </c>
      <c r="E452" s="4">
        <f>IF(INDEX(C:C, ROW())+INDEX(D:D, ROW())=0, 0, INDEX(C:C, ROW())/(INDEX(C:C, ROW())+INDEX(D:D, ROW())))</f>
        <v/>
      </c>
      <c r="F452" s="1" t="inlineStr">
        <is>
          <t>Array, Hash Table, Sliding Window, Prefix Sum</t>
        </is>
      </c>
      <c r="G452" s="1" t="inlineStr">
        <is>
          <t>Medium</t>
        </is>
      </c>
      <c r="H452" s="1" t="n">
        <v>469815</v>
      </c>
      <c r="I452" s="1" t="n">
        <v>692076</v>
      </c>
      <c r="J452" s="9" t="n">
        <v>0.679</v>
      </c>
      <c r="K452" s="1" t="inlineStr">
        <is>
          <t>Yes</t>
        </is>
      </c>
      <c r="L452" s="1" t="inlineStr">
        <is>
          <t>Yes</t>
        </is>
      </c>
      <c r="M452" s="1" t="inlineStr">
        <is>
          <t>No</t>
        </is>
      </c>
      <c r="N452" s="1" t="inlineStr">
        <is>
          <t>Algorithms</t>
        </is>
      </c>
      <c r="O4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53" ht="15.75" customHeight="1" s="12">
      <c r="A453" s="1" t="n">
        <v>530</v>
      </c>
      <c r="B453" s="3">
        <f>HYPERLINK("https://leetcode.com/problems/minimum-absolute-difference-in-bst/", "Minimum Absolute Difference in BST")</f>
        <v/>
      </c>
      <c r="C453" s="1" t="n">
        <v>4714</v>
      </c>
      <c r="D453" s="1" t="n">
        <v>270</v>
      </c>
      <c r="E453" s="4">
        <f>IF(INDEX(C:C, ROW())+INDEX(D:D, ROW())=0, 0, INDEX(C:C, ROW())/(INDEX(C:C, ROW())+INDEX(D:D, ROW())))</f>
        <v/>
      </c>
      <c r="F453" s="1" t="inlineStr">
        <is>
          <t>Tree, Depth-First Search, Breadth-First Search, Binary Search Tree, Binary Tree</t>
        </is>
      </c>
      <c r="G453" s="1" t="inlineStr">
        <is>
          <t>Easy</t>
        </is>
      </c>
      <c r="H453" s="1" t="n">
        <v>585787</v>
      </c>
      <c r="I453" s="1" t="n">
        <v>990455</v>
      </c>
      <c r="J453" s="9" t="n">
        <v>0.591</v>
      </c>
      <c r="K453" s="1" t="inlineStr">
        <is>
          <t>Yes</t>
        </is>
      </c>
      <c r="L453" s="1" t="inlineStr">
        <is>
          <t>Yes</t>
        </is>
      </c>
      <c r="M453" s="1" t="inlineStr">
        <is>
          <t>No</t>
        </is>
      </c>
      <c r="N453" s="1" t="inlineStr">
        <is>
          <t>Algorithms</t>
        </is>
      </c>
      <c r="O4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54" ht="15.75" customHeight="1" s="12">
      <c r="A454" s="1" t="n">
        <v>725</v>
      </c>
      <c r="B454" s="3">
        <f>HYPERLINK("https://leetcode.com/problems/split-linked-list-in-parts/", "Split Linked List in Parts")</f>
        <v/>
      </c>
      <c r="C454" s="1" t="n">
        <v>4689</v>
      </c>
      <c r="D454" s="1" t="n">
        <v>373</v>
      </c>
      <c r="E454" s="4">
        <f>IF(INDEX(C:C, ROW())+INDEX(D:D, ROW())=0, 0, INDEX(C:C, ROW())/(INDEX(C:C, ROW())+INDEX(D:D, ROW())))</f>
        <v/>
      </c>
      <c r="F454" s="1" t="inlineStr">
        <is>
          <t>Linked List</t>
        </is>
      </c>
      <c r="G454" s="1" t="inlineStr">
        <is>
          <t>Medium</t>
        </is>
      </c>
      <c r="H454" s="1" t="n">
        <v>349343</v>
      </c>
      <c r="I454" s="1" t="n">
        <v>495857</v>
      </c>
      <c r="J454" s="9" t="n">
        <v>0.705</v>
      </c>
      <c r="K454" s="1" t="inlineStr">
        <is>
          <t>Yes</t>
        </is>
      </c>
      <c r="L454" s="1" t="inlineStr">
        <is>
          <t>Yes</t>
        </is>
      </c>
      <c r="M454" s="1" t="inlineStr">
        <is>
          <t>No</t>
        </is>
      </c>
      <c r="N454" s="1" t="inlineStr">
        <is>
          <t>Algorithms</t>
        </is>
      </c>
      <c r="O4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55" ht="15.75" customHeight="1" s="12">
      <c r="A455" s="1" t="n">
        <v>269</v>
      </c>
      <c r="B455" s="3">
        <f>HYPERLINK("https://leetcode.com/problems/alien-dictionary/", "Alien Dictionary")</f>
        <v/>
      </c>
      <c r="C455" s="1" t="n">
        <v>4661</v>
      </c>
      <c r="D455" s="1" t="n">
        <v>1037</v>
      </c>
      <c r="E455" s="4">
        <f>IF(INDEX(C:C, ROW())+INDEX(D:D, ROW())=0, 0, INDEX(C:C, ROW())/(INDEX(C:C, ROW())+INDEX(D:D, ROW())))</f>
        <v/>
      </c>
      <c r="F455" s="1" t="inlineStr">
        <is>
          <t>Array, String, Depth-First Search, Breadth-First Search, Graph Theory, Topological Sort</t>
        </is>
      </c>
      <c r="G455" s="1" t="inlineStr">
        <is>
          <t>Hard</t>
        </is>
      </c>
      <c r="H455" s="1" t="n">
        <v>474279</v>
      </c>
      <c r="I455" s="1" t="n">
        <v>1281441</v>
      </c>
      <c r="J455" s="9" t="n">
        <v>0.37</v>
      </c>
      <c r="K455" s="1" t="inlineStr">
        <is>
          <t>No</t>
        </is>
      </c>
      <c r="L455" s="1" t="inlineStr">
        <is>
          <t>Yes</t>
        </is>
      </c>
      <c r="M455" s="1" t="inlineStr">
        <is>
          <t>No</t>
        </is>
      </c>
      <c r="N455" s="1" t="inlineStr">
        <is>
          <t>Algorithms</t>
        </is>
      </c>
      <c r="O4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56" ht="15.75" customHeight="1" s="12">
      <c r="A456" s="1" t="n">
        <v>1290</v>
      </c>
      <c r="B456" s="3">
        <f>HYPERLINK("https://leetcode.com/problems/convert-binary-number-in-a-linked-list-to-integer/", "Convert Binary Number in a Linked List to Integer")</f>
        <v/>
      </c>
      <c r="C456" s="1" t="n">
        <v>4658</v>
      </c>
      <c r="D456" s="1" t="n">
        <v>177</v>
      </c>
      <c r="E456" s="4">
        <f>IF(INDEX(C:C, ROW())+INDEX(D:D, ROW())=0, 0, INDEX(C:C, ROW())/(INDEX(C:C, ROW())+INDEX(D:D, ROW())))</f>
        <v/>
      </c>
      <c r="F456" s="1" t="inlineStr">
        <is>
          <t>Linked List, Math</t>
        </is>
      </c>
      <c r="G456" s="1" t="inlineStr">
        <is>
          <t>Easy</t>
        </is>
      </c>
      <c r="H456" s="1" t="n">
        <v>710010</v>
      </c>
      <c r="I456" s="1" t="n">
        <v>862580</v>
      </c>
      <c r="J456" s="9" t="n">
        <v>0.823</v>
      </c>
      <c r="K456" s="1" t="inlineStr">
        <is>
          <t>Yes</t>
        </is>
      </c>
      <c r="L456" s="1" t="inlineStr">
        <is>
          <t>Yes</t>
        </is>
      </c>
      <c r="M456" s="1" t="inlineStr">
        <is>
          <t>No</t>
        </is>
      </c>
      <c r="N456" s="1" t="inlineStr">
        <is>
          <t>Algorithms</t>
        </is>
      </c>
      <c r="O4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57" ht="15.75" customHeight="1" s="12">
      <c r="A457" s="1" t="n">
        <v>814</v>
      </c>
      <c r="B457" s="3">
        <f>HYPERLINK("https://leetcode.com/problems/binary-tree-pruning/", "Binary Tree Pruning")</f>
        <v/>
      </c>
      <c r="C457" s="1" t="n">
        <v>4654</v>
      </c>
      <c r="D457" s="1" t="n">
        <v>122</v>
      </c>
      <c r="E457" s="4">
        <f>IF(INDEX(C:C, ROW())+INDEX(D:D, ROW())=0, 0, INDEX(C:C, ROW())/(INDEX(C:C, ROW())+INDEX(D:D, ROW())))</f>
        <v/>
      </c>
      <c r="F457" s="1" t="inlineStr">
        <is>
          <t>Tree, Depth-First Search, Binary Tree</t>
        </is>
      </c>
      <c r="G457" s="1" t="inlineStr">
        <is>
          <t>Medium</t>
        </is>
      </c>
      <c r="H457" s="1" t="n">
        <v>281379</v>
      </c>
      <c r="I457" s="1" t="n">
        <v>388582</v>
      </c>
      <c r="J457" s="9" t="n">
        <v>0.724</v>
      </c>
      <c r="K457" s="1" t="inlineStr">
        <is>
          <t>Yes</t>
        </is>
      </c>
      <c r="L457" s="1" t="inlineStr">
        <is>
          <t>Yes</t>
        </is>
      </c>
      <c r="M457" s="1" t="inlineStr">
        <is>
          <t>No</t>
        </is>
      </c>
      <c r="N457" s="1" t="inlineStr">
        <is>
          <t>Algorithms</t>
        </is>
      </c>
      <c r="O4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58" ht="15.75" customHeight="1" s="12">
      <c r="A458" s="1" t="n">
        <v>815</v>
      </c>
      <c r="B458" s="3">
        <f>HYPERLINK("https://leetcode.com/problems/bus-routes/", "Bus Routes")</f>
        <v/>
      </c>
      <c r="C458" s="1" t="n">
        <v>4632</v>
      </c>
      <c r="D458" s="1" t="n">
        <v>134</v>
      </c>
      <c r="E458" s="4">
        <f>IF(INDEX(C:C, ROW())+INDEX(D:D, ROW())=0, 0, INDEX(C:C, ROW())/(INDEX(C:C, ROW())+INDEX(D:D, ROW())))</f>
        <v/>
      </c>
      <c r="F458" s="1" t="inlineStr">
        <is>
          <t>Array, Hash Table, Breadth-First Search</t>
        </is>
      </c>
      <c r="G458" s="1" t="inlineStr">
        <is>
          <t>Hard</t>
        </is>
      </c>
      <c r="H458" s="1" t="n">
        <v>273653</v>
      </c>
      <c r="I458" s="1" t="n">
        <v>581800</v>
      </c>
      <c r="J458" s="9" t="n">
        <v>0.47</v>
      </c>
      <c r="K458" s="1" t="inlineStr">
        <is>
          <t>Yes</t>
        </is>
      </c>
      <c r="L458" s="1" t="inlineStr">
        <is>
          <t>Yes</t>
        </is>
      </c>
      <c r="M458" s="1" t="inlineStr">
        <is>
          <t>No</t>
        </is>
      </c>
      <c r="N458" s="1" t="inlineStr">
        <is>
          <t>Algorithms</t>
        </is>
      </c>
      <c r="O4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59" ht="15.75" customHeight="1" s="12">
      <c r="A459" s="1" t="n">
        <v>741</v>
      </c>
      <c r="B459" s="3">
        <f>HYPERLINK("https://leetcode.com/problems/cherry-pickup/", "Cherry Pickup")</f>
        <v/>
      </c>
      <c r="C459" s="1" t="n">
        <v>4630</v>
      </c>
      <c r="D459" s="1" t="n">
        <v>170</v>
      </c>
      <c r="E459" s="4">
        <f>IF(INDEX(C:C, ROW())+INDEX(D:D, ROW())=0, 0, INDEX(C:C, ROW())/(INDEX(C:C, ROW())+INDEX(D:D, ROW())))</f>
        <v/>
      </c>
      <c r="F459" s="1" t="inlineStr">
        <is>
          <t>Array, Dynamic Programming, Matrix</t>
        </is>
      </c>
      <c r="G459" s="1" t="inlineStr">
        <is>
          <t>Hard</t>
        </is>
      </c>
      <c r="H459" s="1" t="n">
        <v>107348</v>
      </c>
      <c r="I459" s="1" t="n">
        <v>275761</v>
      </c>
      <c r="J459" s="9" t="n">
        <v>0.389</v>
      </c>
      <c r="K459" s="1" t="inlineStr">
        <is>
          <t>Yes</t>
        </is>
      </c>
      <c r="L459" s="1" t="inlineStr">
        <is>
          <t>Yes</t>
        </is>
      </c>
      <c r="M459" s="1" t="inlineStr">
        <is>
          <t>No</t>
        </is>
      </c>
      <c r="N459" s="1" t="inlineStr">
        <is>
          <t>Algorithms</t>
        </is>
      </c>
      <c r="O4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60" ht="15.75" customHeight="1" s="12">
      <c r="A460" s="1" t="n">
        <v>1498</v>
      </c>
      <c r="B460" s="3">
        <f>HYPERLINK("https://leetcode.com/problems/number-of-subsequences-that-satisfy-the-given-sum-condition/", "Number of Subsequences That Satisfy the Given Sum Condition")</f>
        <v/>
      </c>
      <c r="C460" s="1" t="n">
        <v>4628</v>
      </c>
      <c r="D460" s="1" t="n">
        <v>435</v>
      </c>
      <c r="E460" s="4">
        <f>IF(INDEX(C:C, ROW())+INDEX(D:D, ROW())=0, 0, INDEX(C:C, ROW())/(INDEX(C:C, ROW())+INDEX(D:D, ROW())))</f>
        <v/>
      </c>
      <c r="F460" s="1" t="inlineStr">
        <is>
          <t>Array, Two Pointers, Binary Search, Sorting</t>
        </is>
      </c>
      <c r="G460" s="1" t="inlineStr">
        <is>
          <t>Medium</t>
        </is>
      </c>
      <c r="H460" s="1" t="n">
        <v>245466</v>
      </c>
      <c r="I460" s="1" t="n">
        <v>497769</v>
      </c>
      <c r="J460" s="9" t="n">
        <v>0.493</v>
      </c>
      <c r="K460" s="1" t="inlineStr">
        <is>
          <t>Yes</t>
        </is>
      </c>
      <c r="L460" s="1" t="inlineStr">
        <is>
          <t>Yes</t>
        </is>
      </c>
      <c r="M460" s="1" t="inlineStr">
        <is>
          <t>No</t>
        </is>
      </c>
      <c r="N460" s="1" t="inlineStr">
        <is>
          <t>Algorithms</t>
        </is>
      </c>
      <c r="O4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61" ht="15.75" customHeight="1" s="12">
      <c r="A461" s="1" t="n">
        <v>371</v>
      </c>
      <c r="B461" s="3">
        <f>HYPERLINK("https://leetcode.com/problems/sum-of-two-integers/", "Sum of Two Integers")</f>
        <v/>
      </c>
      <c r="C461" s="1" t="n">
        <v>4624</v>
      </c>
      <c r="D461" s="1" t="n">
        <v>5837</v>
      </c>
      <c r="E461" s="4">
        <f>IF(INDEX(C:C, ROW())+INDEX(D:D, ROW())=0, 0, INDEX(C:C, ROW())/(INDEX(C:C, ROW())+INDEX(D:D, ROW())))</f>
        <v/>
      </c>
      <c r="F461" s="1" t="inlineStr">
        <is>
          <t>Math, Bit Manipulation</t>
        </is>
      </c>
      <c r="G461" s="1" t="inlineStr">
        <is>
          <t>Medium</t>
        </is>
      </c>
      <c r="H461" s="1" t="n">
        <v>664566</v>
      </c>
      <c r="I461" s="1" t="n">
        <v>1212443</v>
      </c>
      <c r="J461" s="9" t="n">
        <v>0.548</v>
      </c>
      <c r="K461" s="1" t="inlineStr">
        <is>
          <t>Yes</t>
        </is>
      </c>
      <c r="L461" s="1" t="inlineStr">
        <is>
          <t>Yes</t>
        </is>
      </c>
      <c r="M461" s="1" t="inlineStr">
        <is>
          <t>No</t>
        </is>
      </c>
      <c r="N461" s="1" t="inlineStr">
        <is>
          <t>Algorithms</t>
        </is>
      </c>
      <c r="O4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62" ht="15.75" customHeight="1" s="12">
      <c r="A462" s="1" t="n">
        <v>336</v>
      </c>
      <c r="B462" s="3">
        <f>HYPERLINK("https://leetcode.com/problems/palindrome-pairs/", "Palindrome Pairs")</f>
        <v/>
      </c>
      <c r="C462" s="1" t="n">
        <v>4619</v>
      </c>
      <c r="D462" s="1" t="n">
        <v>475</v>
      </c>
      <c r="E462" s="4">
        <f>IF(INDEX(C:C, ROW())+INDEX(D:D, ROW())=0, 0, INDEX(C:C, ROW())/(INDEX(C:C, ROW())+INDEX(D:D, ROW())))</f>
        <v/>
      </c>
      <c r="F462" s="1" t="inlineStr">
        <is>
          <t>Array, Hash Table, String, Trie</t>
        </is>
      </c>
      <c r="G462" s="1" t="inlineStr">
        <is>
          <t>Hard</t>
        </is>
      </c>
      <c r="H462" s="1" t="n">
        <v>236348</v>
      </c>
      <c r="I462" s="1" t="n">
        <v>641230</v>
      </c>
      <c r="J462" s="9" t="n">
        <v>0.369</v>
      </c>
      <c r="K462" s="1" t="inlineStr">
        <is>
          <t>Yes</t>
        </is>
      </c>
      <c r="L462" s="1" t="inlineStr">
        <is>
          <t>Yes</t>
        </is>
      </c>
      <c r="M462" s="1" t="inlineStr">
        <is>
          <t>No</t>
        </is>
      </c>
      <c r="N462" s="1" t="inlineStr">
        <is>
          <t>Algorithms</t>
        </is>
      </c>
      <c r="O4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63" ht="15.75" customHeight="1" s="12">
      <c r="A463" s="1" t="n">
        <v>367</v>
      </c>
      <c r="B463" s="3">
        <f>HYPERLINK("https://leetcode.com/problems/valid-perfect-square/", "Valid Perfect Square")</f>
        <v/>
      </c>
      <c r="C463" s="1" t="n">
        <v>4609</v>
      </c>
      <c r="D463" s="1" t="n">
        <v>334</v>
      </c>
      <c r="E463" s="4">
        <f>IF(INDEX(C:C, ROW())+INDEX(D:D, ROW())=0, 0, INDEX(C:C, ROW())/(INDEX(C:C, ROW())+INDEX(D:D, ROW())))</f>
        <v/>
      </c>
      <c r="F463" s="1" t="inlineStr">
        <is>
          <t>Math, Binary Search</t>
        </is>
      </c>
      <c r="G463" s="1" t="inlineStr">
        <is>
          <t>Easy</t>
        </is>
      </c>
      <c r="H463" s="1" t="n">
        <v>871938</v>
      </c>
      <c r="I463" s="1" t="n">
        <v>1953901</v>
      </c>
      <c r="J463" s="9" t="n">
        <v>0.446</v>
      </c>
      <c r="K463" s="1" t="inlineStr">
        <is>
          <t>Yes</t>
        </is>
      </c>
      <c r="L463" s="1" t="inlineStr">
        <is>
          <t>Yes</t>
        </is>
      </c>
      <c r="M463" s="1" t="inlineStr">
        <is>
          <t>No</t>
        </is>
      </c>
      <c r="N463" s="1" t="inlineStr">
        <is>
          <t>Algorithms</t>
        </is>
      </c>
      <c r="O4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64" ht="15.75" customHeight="1" s="12">
      <c r="A464" s="1" t="n">
        <v>1466</v>
      </c>
      <c r="B464" s="3">
        <f>HYPERLINK("https://leetcode.com/problems/reorder-routes-to-make-all-paths-lead-to-the-city-zero/", "Reorder Routes to Make All Paths Lead to the City Zero")</f>
        <v/>
      </c>
      <c r="C464" s="1" t="n">
        <v>4601</v>
      </c>
      <c r="D464" s="1" t="n">
        <v>147</v>
      </c>
      <c r="E464" s="4">
        <f>IF(INDEX(C:C, ROW())+INDEX(D:D, ROW())=0, 0, INDEX(C:C, ROW())/(INDEX(C:C, ROW())+INDEX(D:D, ROW())))</f>
        <v/>
      </c>
      <c r="F464" s="1" t="inlineStr">
        <is>
          <t>Depth-First Search, Breadth-First Search, Graph Theory</t>
        </is>
      </c>
      <c r="G464" s="1" t="inlineStr">
        <is>
          <t>Medium</t>
        </is>
      </c>
      <c r="H464" s="1" t="n">
        <v>305326</v>
      </c>
      <c r="I464" s="1" t="n">
        <v>465995</v>
      </c>
      <c r="J464" s="9" t="n">
        <v>0.655</v>
      </c>
      <c r="K464" s="1" t="inlineStr">
        <is>
          <t>Yes</t>
        </is>
      </c>
      <c r="L464" s="1" t="inlineStr">
        <is>
          <t>Yes</t>
        </is>
      </c>
      <c r="M464" s="1" t="inlineStr">
        <is>
          <t>No</t>
        </is>
      </c>
      <c r="N464" s="1" t="inlineStr">
        <is>
          <t>Algorithms</t>
        </is>
      </c>
      <c r="O4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65" ht="15.75" customHeight="1" s="12">
      <c r="A465" s="1" t="n">
        <v>847</v>
      </c>
      <c r="B465" s="3">
        <f>HYPERLINK("https://leetcode.com/problems/shortest-path-visiting-all-nodes/", "Shortest Path Visiting All Nodes")</f>
        <v/>
      </c>
      <c r="C465" s="1" t="n">
        <v>4590</v>
      </c>
      <c r="D465" s="1" t="n">
        <v>181</v>
      </c>
      <c r="E465" s="4">
        <f>IF(INDEX(C:C, ROW())+INDEX(D:D, ROW())=0, 0, INDEX(C:C, ROW())/(INDEX(C:C, ROW())+INDEX(D:D, ROW())))</f>
        <v/>
      </c>
      <c r="F465" s="1" t="inlineStr">
        <is>
          <t>Dynamic Programming, Bit Manipulation, Breadth-First Search, Graph Theory, Bitmask DP</t>
        </is>
      </c>
      <c r="G465" s="1" t="inlineStr">
        <is>
          <t>Hard</t>
        </is>
      </c>
      <c r="H465" s="1" t="n">
        <v>146230</v>
      </c>
      <c r="I465" s="1" t="n">
        <v>222491</v>
      </c>
      <c r="J465" s="9" t="n">
        <v>0.657</v>
      </c>
      <c r="K465" s="1" t="inlineStr">
        <is>
          <t>Yes</t>
        </is>
      </c>
      <c r="L465" s="1" t="inlineStr">
        <is>
          <t>Yes</t>
        </is>
      </c>
      <c r="M465" s="1" t="inlineStr">
        <is>
          <t>No</t>
        </is>
      </c>
      <c r="N465" s="1" t="inlineStr">
        <is>
          <t>Algorithms</t>
        </is>
      </c>
      <c r="O4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66" ht="15.75" customHeight="1" s="12">
      <c r="A466" s="1" t="n">
        <v>355</v>
      </c>
      <c r="B466" s="3">
        <f>HYPERLINK("https://leetcode.com/problems/design-twitter/", "Design Twitter")</f>
        <v/>
      </c>
      <c r="C466" s="1" t="n">
        <v>4588</v>
      </c>
      <c r="D466" s="1" t="n">
        <v>655</v>
      </c>
      <c r="E466" s="4">
        <f>IF(INDEX(C:C, ROW())+INDEX(D:D, ROW())=0, 0, INDEX(C:C, ROW())/(INDEX(C:C, ROW())+INDEX(D:D, ROW())))</f>
        <v/>
      </c>
      <c r="F466" s="1" t="inlineStr">
        <is>
          <t>Hash Table, Linked List, Design, Heap (Priority Queue)</t>
        </is>
      </c>
      <c r="G466" s="1" t="inlineStr">
        <is>
          <t>Medium</t>
        </is>
      </c>
      <c r="H466" s="1" t="n">
        <v>315945</v>
      </c>
      <c r="I466" s="1" t="n">
        <v>718415</v>
      </c>
      <c r="J466" s="9" t="n">
        <v>0.44</v>
      </c>
      <c r="K466" s="1" t="inlineStr">
        <is>
          <t>Yes</t>
        </is>
      </c>
      <c r="L466" s="1" t="inlineStr">
        <is>
          <t>No</t>
        </is>
      </c>
      <c r="M466" s="1" t="inlineStr">
        <is>
          <t>No</t>
        </is>
      </c>
      <c r="N466" s="1" t="inlineStr">
        <is>
          <t>Algorithms</t>
        </is>
      </c>
      <c r="O4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67" ht="15.75" customHeight="1" s="12">
      <c r="A467" s="1" t="n">
        <v>659</v>
      </c>
      <c r="B467" s="3">
        <f>HYPERLINK("https://leetcode.com/problems/split-array-into-consecutive-subsequences/", "Split Array into Consecutive Subsequences")</f>
        <v/>
      </c>
      <c r="C467" s="1" t="n">
        <v>4563</v>
      </c>
      <c r="D467" s="1" t="n">
        <v>814</v>
      </c>
      <c r="E467" s="4">
        <f>IF(INDEX(C:C, ROW())+INDEX(D:D, ROW())=0, 0, INDEX(C:C, ROW())/(INDEX(C:C, ROW())+INDEX(D:D, ROW())))</f>
        <v/>
      </c>
      <c r="F467" s="1" t="inlineStr">
        <is>
          <t>Array, Hash Table, Greedy, Heap (Priority Queue)</t>
        </is>
      </c>
      <c r="G467" s="1" t="inlineStr">
        <is>
          <t>Medium</t>
        </is>
      </c>
      <c r="H467" s="1" t="n">
        <v>146024</v>
      </c>
      <c r="I467" s="1" t="n">
        <v>281068</v>
      </c>
      <c r="J467" s="9" t="n">
        <v>0.52</v>
      </c>
      <c r="K467" s="1" t="inlineStr">
        <is>
          <t>Yes</t>
        </is>
      </c>
      <c r="L467" s="1" t="inlineStr">
        <is>
          <t>Yes</t>
        </is>
      </c>
      <c r="M467" s="1" t="inlineStr">
        <is>
          <t>No</t>
        </is>
      </c>
      <c r="N467" s="1" t="inlineStr">
        <is>
          <t>Algorithms</t>
        </is>
      </c>
      <c r="O4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68" ht="15.75" customHeight="1" s="12">
      <c r="A468" s="1" t="n">
        <v>1020</v>
      </c>
      <c r="B468" s="3">
        <f>HYPERLINK("https://leetcode.com/problems/number-of-enclaves/", "Number of Enclaves")</f>
        <v/>
      </c>
      <c r="C468" s="1" t="n">
        <v>4559</v>
      </c>
      <c r="D468" s="1" t="n">
        <v>89</v>
      </c>
      <c r="E468" s="4">
        <f>IF(INDEX(C:C, ROW())+INDEX(D:D, ROW())=0, 0, INDEX(C:C, ROW())/(INDEX(C:C, ROW())+INDEX(D:D, ROW())))</f>
        <v/>
      </c>
      <c r="F468" s="1" t="inlineStr">
        <is>
          <t>Array, Depth-First Search, Breadth-First Search, Union-Find, Matrix</t>
        </is>
      </c>
      <c r="G468" s="1" t="inlineStr">
        <is>
          <t>Medium</t>
        </is>
      </c>
      <c r="H468" s="1" t="n">
        <v>387336</v>
      </c>
      <c r="I468" s="1" t="n">
        <v>542642</v>
      </c>
      <c r="J468" s="9" t="n">
        <v>0.714</v>
      </c>
      <c r="K468" s="1" t="inlineStr">
        <is>
          <t>Yes</t>
        </is>
      </c>
      <c r="L468" s="1" t="inlineStr">
        <is>
          <t>Yes</t>
        </is>
      </c>
      <c r="M468" s="1" t="inlineStr">
        <is>
          <t>No</t>
        </is>
      </c>
      <c r="N468" s="1" t="inlineStr">
        <is>
          <t>Algorithms</t>
        </is>
      </c>
      <c r="O4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69" ht="15.75" customHeight="1" s="12">
      <c r="A469" s="1" t="n">
        <v>926</v>
      </c>
      <c r="B469" s="3">
        <f>HYPERLINK("https://leetcode.com/problems/flip-string-to-monotone-increasing/", "Flip String to Monotone Increasing")</f>
        <v/>
      </c>
      <c r="C469" s="1" t="n">
        <v>4558</v>
      </c>
      <c r="D469" s="1" t="n">
        <v>184</v>
      </c>
      <c r="E469" s="4">
        <f>IF(INDEX(C:C, ROW())+INDEX(D:D, ROW())=0, 0, INDEX(C:C, ROW())/(INDEX(C:C, ROW())+INDEX(D:D, ROW())))</f>
        <v/>
      </c>
      <c r="F469" s="1" t="inlineStr">
        <is>
          <t>String, Dynamic Programming</t>
        </is>
      </c>
      <c r="G469" s="1" t="inlineStr">
        <is>
          <t>Medium</t>
        </is>
      </c>
      <c r="H469" s="1" t="n">
        <v>212912</v>
      </c>
      <c r="I469" s="1" t="n">
        <v>344699</v>
      </c>
      <c r="J469" s="9" t="n">
        <v>0.618</v>
      </c>
      <c r="K469" s="1" t="inlineStr">
        <is>
          <t>Yes</t>
        </is>
      </c>
      <c r="L469" s="1" t="inlineStr">
        <is>
          <t>Yes</t>
        </is>
      </c>
      <c r="M469" s="1" t="inlineStr">
        <is>
          <t>No</t>
        </is>
      </c>
      <c r="N469" s="1" t="inlineStr">
        <is>
          <t>Algorithms</t>
        </is>
      </c>
      <c r="O4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70" ht="15.75" customHeight="1" s="12">
      <c r="A470" s="1" t="n">
        <v>1239</v>
      </c>
      <c r="B470" s="3">
        <f>HYPERLINK("https://leetcode.com/problems/maximum-length-of-a-concatenated-string-with-unique-characters/", "Maximum Length of a Concatenated String with Unique Characters")</f>
        <v/>
      </c>
      <c r="C470" s="1" t="n">
        <v>4552</v>
      </c>
      <c r="D470" s="1" t="n">
        <v>339</v>
      </c>
      <c r="E470" s="4">
        <f>IF(INDEX(C:C, ROW())+INDEX(D:D, ROW())=0, 0, INDEX(C:C, ROW())/(INDEX(C:C, ROW())+INDEX(D:D, ROW())))</f>
        <v/>
      </c>
      <c r="F470" s="1" t="inlineStr">
        <is>
          <t>Array, String, Backtracking, Bit Manipulation</t>
        </is>
      </c>
      <c r="G470" s="1" t="inlineStr">
        <is>
          <t>Medium</t>
        </is>
      </c>
      <c r="H470" s="1" t="n">
        <v>317772</v>
      </c>
      <c r="I470" s="1" t="n">
        <v>582427</v>
      </c>
      <c r="J470" s="9" t="n">
        <v>0.546</v>
      </c>
      <c r="K470" s="1" t="inlineStr">
        <is>
          <t>Yes</t>
        </is>
      </c>
      <c r="L470" s="1" t="inlineStr">
        <is>
          <t>Yes</t>
        </is>
      </c>
      <c r="M470" s="1" t="inlineStr">
        <is>
          <t>Yes</t>
        </is>
      </c>
      <c r="N470" s="1" t="inlineStr">
        <is>
          <t>Algorithms</t>
        </is>
      </c>
      <c r="O4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71" ht="15.75" customHeight="1" s="12">
      <c r="A471" s="1" t="n">
        <v>214</v>
      </c>
      <c r="B471" s="3">
        <f>HYPERLINK("https://leetcode.com/problems/shortest-palindrome/", "Shortest Palindrome")</f>
        <v/>
      </c>
      <c r="C471" s="1" t="n">
        <v>4531</v>
      </c>
      <c r="D471" s="1" t="n">
        <v>292</v>
      </c>
      <c r="E471" s="4">
        <f>IF(INDEX(C:C, ROW())+INDEX(D:D, ROW())=0, 0, INDEX(C:C, ROW())/(INDEX(C:C, ROW())+INDEX(D:D, ROW())))</f>
        <v/>
      </c>
      <c r="F471" s="1" t="inlineStr">
        <is>
          <t>String, Rolling Hash, String Matching, Hash Function</t>
        </is>
      </c>
      <c r="G471" s="1" t="inlineStr">
        <is>
          <t>Hard</t>
        </is>
      </c>
      <c r="H471" s="1" t="n">
        <v>339325</v>
      </c>
      <c r="I471" s="1" t="n">
        <v>815170</v>
      </c>
      <c r="J471" s="9" t="n">
        <v>0.416</v>
      </c>
      <c r="K471" s="1" t="inlineStr">
        <is>
          <t>Yes</t>
        </is>
      </c>
      <c r="L471" s="1" t="inlineStr">
        <is>
          <t>Yes</t>
        </is>
      </c>
      <c r="M471" s="1" t="inlineStr">
        <is>
          <t>No</t>
        </is>
      </c>
      <c r="N471" s="1" t="inlineStr">
        <is>
          <t>Algorithms</t>
        </is>
      </c>
      <c r="O4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72" ht="15.75" customHeight="1" s="12">
      <c r="A472" s="1" t="n">
        <v>1038</v>
      </c>
      <c r="B472" s="3">
        <f>HYPERLINK("https://leetcode.com/problems/binary-search-tree-to-greater-sum-tree/", "Binary Search Tree to Greater Sum Tree")</f>
        <v/>
      </c>
      <c r="C472" s="1" t="n">
        <v>4529</v>
      </c>
      <c r="D472" s="1" t="n">
        <v>169</v>
      </c>
      <c r="E472" s="4">
        <f>IF(INDEX(C:C, ROW())+INDEX(D:D, ROW())=0, 0, INDEX(C:C, ROW())/(INDEX(C:C, ROW())+INDEX(D:D, ROW())))</f>
        <v/>
      </c>
      <c r="F472" s="1" t="inlineStr">
        <is>
          <t>Tree, Depth-First Search, Binary Search Tree, Binary Tree</t>
        </is>
      </c>
      <c r="G472" s="1" t="inlineStr">
        <is>
          <t>Medium</t>
        </is>
      </c>
      <c r="H472" s="1" t="n">
        <v>335466</v>
      </c>
      <c r="I472" s="1" t="n">
        <v>379722</v>
      </c>
      <c r="J472" s="9" t="n">
        <v>0.883</v>
      </c>
      <c r="K472" s="1" t="inlineStr">
        <is>
          <t>Yes</t>
        </is>
      </c>
      <c r="L472" s="1" t="inlineStr">
        <is>
          <t>Yes</t>
        </is>
      </c>
      <c r="M472" s="1" t="inlineStr">
        <is>
          <t>No</t>
        </is>
      </c>
      <c r="N472" s="1" t="inlineStr">
        <is>
          <t>Algorithms</t>
        </is>
      </c>
      <c r="O4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73" ht="15.75" customHeight="1" s="12">
      <c r="A473" s="1" t="n">
        <v>778</v>
      </c>
      <c r="B473" s="3">
        <f>HYPERLINK("https://leetcode.com/problems/swim-in-rising-water/", "Swim in Rising Water")</f>
        <v/>
      </c>
      <c r="C473" s="1" t="n">
        <v>4528</v>
      </c>
      <c r="D473" s="1" t="n">
        <v>315</v>
      </c>
      <c r="E473" s="4">
        <f>IF(INDEX(C:C, ROW())+INDEX(D:D, ROW())=0, 0, INDEX(C:C, ROW())/(INDEX(C:C, ROW())+INDEX(D:D, ROW())))</f>
        <v/>
      </c>
      <c r="F473" s="1" t="inlineStr">
        <is>
          <t>Array, Binary Search, Depth-First Search, Breadth-First Search, Union-Find, Heap (Priority Queue), Matrix</t>
        </is>
      </c>
      <c r="G473" s="1" t="inlineStr">
        <is>
          <t>Hard</t>
        </is>
      </c>
      <c r="H473" s="1" t="n">
        <v>353108</v>
      </c>
      <c r="I473" s="1" t="n">
        <v>523374</v>
      </c>
      <c r="J473" s="9" t="n">
        <v>0.675</v>
      </c>
      <c r="K473" s="1" t="inlineStr">
        <is>
          <t>Yes</t>
        </is>
      </c>
      <c r="L473" s="1" t="inlineStr">
        <is>
          <t>Yes</t>
        </is>
      </c>
      <c r="M473" s="1" t="inlineStr">
        <is>
          <t>No</t>
        </is>
      </c>
      <c r="N473" s="1" t="inlineStr">
        <is>
          <t>Algorithms</t>
        </is>
      </c>
      <c r="O4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74" ht="15.75" customHeight="1" s="12">
      <c r="A474" s="1" t="n">
        <v>958</v>
      </c>
      <c r="B474" s="3">
        <f>HYPERLINK("https://leetcode.com/problems/check-completeness-of-a-binary-tree/", "Check Completeness of a Binary Tree")</f>
        <v/>
      </c>
      <c r="C474" s="1" t="n">
        <v>4519</v>
      </c>
      <c r="D474" s="1" t="n">
        <v>62</v>
      </c>
      <c r="E474" s="4">
        <f>IF(INDEX(C:C, ROW())+INDEX(D:D, ROW())=0, 0, INDEX(C:C, ROW())/(INDEX(C:C, ROW())+INDEX(D:D, ROW())))</f>
        <v/>
      </c>
      <c r="F474" s="1" t="inlineStr">
        <is>
          <t>Tree, Breadth-First Search, Binary Tree</t>
        </is>
      </c>
      <c r="G474" s="1" t="inlineStr">
        <is>
          <t>Medium</t>
        </is>
      </c>
      <c r="H474" s="1" t="n">
        <v>311524</v>
      </c>
      <c r="I474" s="1" t="n">
        <v>529217</v>
      </c>
      <c r="J474" s="9" t="n">
        <v>0.589</v>
      </c>
      <c r="K474" s="1" t="inlineStr">
        <is>
          <t>Yes</t>
        </is>
      </c>
      <c r="L474" s="1" t="inlineStr">
        <is>
          <t>Yes</t>
        </is>
      </c>
      <c r="M474" s="1" t="inlineStr">
        <is>
          <t>No</t>
        </is>
      </c>
      <c r="N474" s="1" t="inlineStr">
        <is>
          <t>Algorithms</t>
        </is>
      </c>
      <c r="O4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75" ht="15.75" customHeight="1" s="12">
      <c r="A475" s="1" t="n">
        <v>712</v>
      </c>
      <c r="B475" s="3">
        <f>HYPERLINK("https://leetcode.com/problems/minimum-ascii-delete-sum-for-two-strings/", "Minimum ASCII Delete Sum for Two Strings")</f>
        <v/>
      </c>
      <c r="C475" s="1" t="n">
        <v>4517</v>
      </c>
      <c r="D475" s="1" t="n">
        <v>128</v>
      </c>
      <c r="E475" s="4">
        <f>IF(INDEX(C:C, ROW())+INDEX(D:D, ROW())=0, 0, INDEX(C:C, ROW())/(INDEX(C:C, ROW())+INDEX(D:D, ROW())))</f>
        <v/>
      </c>
      <c r="F475" s="1" t="inlineStr">
        <is>
          <t>String, Dynamic Programming</t>
        </is>
      </c>
      <c r="G475" s="1" t="inlineStr">
        <is>
          <t>Medium</t>
        </is>
      </c>
      <c r="H475" s="1" t="n">
        <v>268796</v>
      </c>
      <c r="I475" s="1" t="n">
        <v>379675</v>
      </c>
      <c r="J475" s="9" t="n">
        <v>0.708</v>
      </c>
      <c r="K475" s="1" t="inlineStr">
        <is>
          <t>Yes</t>
        </is>
      </c>
      <c r="L475" s="1" t="inlineStr">
        <is>
          <t>Yes</t>
        </is>
      </c>
      <c r="M475" s="1" t="inlineStr">
        <is>
          <t>No</t>
        </is>
      </c>
      <c r="N475" s="1" t="inlineStr">
        <is>
          <t>Algorithms</t>
        </is>
      </c>
      <c r="O4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76" ht="15.75" customHeight="1" s="12">
      <c r="A476" s="1" t="n">
        <v>628</v>
      </c>
      <c r="B476" s="3">
        <f>HYPERLINK("https://leetcode.com/problems/maximum-product-of-three-numbers/", "Maximum Product of Three Numbers")</f>
        <v/>
      </c>
      <c r="C476" s="1" t="n">
        <v>4497</v>
      </c>
      <c r="D476" s="1" t="n">
        <v>713</v>
      </c>
      <c r="E476" s="4">
        <f>IF(INDEX(C:C, ROW())+INDEX(D:D, ROW())=0, 0, INDEX(C:C, ROW())/(INDEX(C:C, ROW())+INDEX(D:D, ROW())))</f>
        <v/>
      </c>
      <c r="F476" s="1" t="inlineStr">
        <is>
          <t>Array, Math, Sorting</t>
        </is>
      </c>
      <c r="G476" s="1" t="inlineStr">
        <is>
          <t>Easy</t>
        </is>
      </c>
      <c r="H476" s="1" t="n">
        <v>465014</v>
      </c>
      <c r="I476" s="1" t="n">
        <v>1018621</v>
      </c>
      <c r="J476" s="9" t="n">
        <v>0.457</v>
      </c>
      <c r="K476" s="1" t="inlineStr">
        <is>
          <t>Yes</t>
        </is>
      </c>
      <c r="L476" s="1" t="inlineStr">
        <is>
          <t>Yes</t>
        </is>
      </c>
      <c r="M476" s="1" t="inlineStr">
        <is>
          <t>No</t>
        </is>
      </c>
      <c r="N476" s="1" t="inlineStr">
        <is>
          <t>Algorithms</t>
        </is>
      </c>
      <c r="O4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77" ht="15.75" customHeight="1" s="12">
      <c r="A477" s="1" t="n">
        <v>1002</v>
      </c>
      <c r="B477" s="3">
        <f>HYPERLINK("https://leetcode.com/problems/find-common-characters/", "Find Common Characters")</f>
        <v/>
      </c>
      <c r="C477" s="1" t="n">
        <v>4488</v>
      </c>
      <c r="D477" s="1" t="n">
        <v>435</v>
      </c>
      <c r="E477" s="4">
        <f>IF(INDEX(C:C, ROW())+INDEX(D:D, ROW())=0, 0, INDEX(C:C, ROW())/(INDEX(C:C, ROW())+INDEX(D:D, ROW())))</f>
        <v/>
      </c>
      <c r="F477" s="1" t="inlineStr">
        <is>
          <t>Array, Hash Table, String</t>
        </is>
      </c>
      <c r="G477" s="1" t="inlineStr">
        <is>
          <t>Easy</t>
        </is>
      </c>
      <c r="H477" s="1" t="n">
        <v>420952</v>
      </c>
      <c r="I477" s="1" t="n">
        <v>564054</v>
      </c>
      <c r="J477" s="9" t="n">
        <v>0.746</v>
      </c>
      <c r="K477" s="1" t="inlineStr">
        <is>
          <t>Yes</t>
        </is>
      </c>
      <c r="L477" s="1" t="inlineStr">
        <is>
          <t>Yes</t>
        </is>
      </c>
      <c r="M477" s="1" t="inlineStr">
        <is>
          <t>No</t>
        </is>
      </c>
      <c r="N477" s="1" t="inlineStr">
        <is>
          <t>Algorithms</t>
        </is>
      </c>
      <c r="O4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78" ht="15.75" customHeight="1" s="12">
      <c r="A478" s="1" t="n">
        <v>228</v>
      </c>
      <c r="B478" s="3">
        <f>HYPERLINK("https://leetcode.com/problems/summary-ranges/", "Summary Ranges")</f>
        <v/>
      </c>
      <c r="C478" s="1" t="n">
        <v>4482</v>
      </c>
      <c r="D478" s="1" t="n">
        <v>2365</v>
      </c>
      <c r="E478" s="4">
        <f>IF(INDEX(C:C, ROW())+INDEX(D:D, ROW())=0, 0, INDEX(C:C, ROW())/(INDEX(C:C, ROW())+INDEX(D:D, ROW())))</f>
        <v/>
      </c>
      <c r="F478" s="1" t="inlineStr">
        <is>
          <t>Array</t>
        </is>
      </c>
      <c r="G478" s="1" t="inlineStr">
        <is>
          <t>Easy</t>
        </is>
      </c>
      <c r="H478" s="1" t="n">
        <v>896783</v>
      </c>
      <c r="I478" s="1" t="n">
        <v>1667108</v>
      </c>
      <c r="J478" s="9" t="n">
        <v>0.538</v>
      </c>
      <c r="K478" s="1" t="inlineStr">
        <is>
          <t>Yes</t>
        </is>
      </c>
      <c r="L478" s="1" t="inlineStr">
        <is>
          <t>Yes</t>
        </is>
      </c>
      <c r="M478" s="1" t="inlineStr">
        <is>
          <t>No</t>
        </is>
      </c>
      <c r="N478" s="1" t="inlineStr">
        <is>
          <t>Algorithms</t>
        </is>
      </c>
      <c r="O4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79" ht="15.75" customHeight="1" s="12">
      <c r="A479" s="1" t="n">
        <v>149</v>
      </c>
      <c r="B479" s="3">
        <f>HYPERLINK("https://leetcode.com/problems/max-points-on-a-line/", "Max Points on a Line")</f>
        <v/>
      </c>
      <c r="C479" s="1" t="n">
        <v>4474</v>
      </c>
      <c r="D479" s="1" t="n">
        <v>579</v>
      </c>
      <c r="E479" s="4">
        <f>IF(INDEX(C:C, ROW())+INDEX(D:D, ROW())=0, 0, INDEX(C:C, ROW())/(INDEX(C:C, ROW())+INDEX(D:D, ROW())))</f>
        <v/>
      </c>
      <c r="F479" s="1" t="inlineStr">
        <is>
          <t>Array, Hash Table, Math, Geometry</t>
        </is>
      </c>
      <c r="G479" s="1" t="inlineStr">
        <is>
          <t>Hard</t>
        </is>
      </c>
      <c r="H479" s="1" t="n">
        <v>505683</v>
      </c>
      <c r="I479" s="1" t="n">
        <v>1681788</v>
      </c>
      <c r="J479" s="9" t="n">
        <v>0.301</v>
      </c>
      <c r="K479" s="1" t="inlineStr">
        <is>
          <t>Yes</t>
        </is>
      </c>
      <c r="L479" s="1" t="inlineStr">
        <is>
          <t>Yes</t>
        </is>
      </c>
      <c r="M479" s="1" t="inlineStr">
        <is>
          <t>No</t>
        </is>
      </c>
      <c r="N479" s="1" t="inlineStr">
        <is>
          <t>Algorithms</t>
        </is>
      </c>
      <c r="O4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80" ht="15.75" customHeight="1" s="12">
      <c r="A480" s="1" t="n">
        <v>68</v>
      </c>
      <c r="B480" s="3">
        <f>HYPERLINK("https://leetcode.com/problems/text-justification/", "Text Justification")</f>
        <v/>
      </c>
      <c r="C480" s="1" t="n">
        <v>4470</v>
      </c>
      <c r="D480" s="1" t="n">
        <v>5316</v>
      </c>
      <c r="E480" s="4">
        <f>IF(INDEX(C:C, ROW())+INDEX(D:D, ROW())=0, 0, INDEX(C:C, ROW())/(INDEX(C:C, ROW())+INDEX(D:D, ROW())))</f>
        <v/>
      </c>
      <c r="F480" s="1" t="inlineStr">
        <is>
          <t>Array, String, Simulation</t>
        </is>
      </c>
      <c r="G480" s="1" t="inlineStr">
        <is>
          <t>Hard</t>
        </is>
      </c>
      <c r="H480" s="1" t="n">
        <v>617491</v>
      </c>
      <c r="I480" s="1" t="n">
        <v>1232076</v>
      </c>
      <c r="J480" s="9" t="n">
        <v>0.501</v>
      </c>
      <c r="K480" s="1" t="inlineStr">
        <is>
          <t>Yes</t>
        </is>
      </c>
      <c r="L480" s="1" t="inlineStr">
        <is>
          <t>Yes</t>
        </is>
      </c>
      <c r="M480" s="1" t="inlineStr">
        <is>
          <t>No</t>
        </is>
      </c>
      <c r="N480" s="1" t="inlineStr">
        <is>
          <t>Algorithms</t>
        </is>
      </c>
      <c r="O4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81" ht="15.75" customHeight="1" s="12">
      <c r="A481" s="1" t="n">
        <v>897</v>
      </c>
      <c r="B481" s="3">
        <f>HYPERLINK("https://leetcode.com/problems/increasing-order-search-tree/", "Increasing Order Search Tree")</f>
        <v/>
      </c>
      <c r="C481" s="1" t="n">
        <v>4469</v>
      </c>
      <c r="D481" s="1" t="n">
        <v>684</v>
      </c>
      <c r="E481" s="4">
        <f>IF(INDEX(C:C, ROW())+INDEX(D:D, ROW())=0, 0, INDEX(C:C, ROW())/(INDEX(C:C, ROW())+INDEX(D:D, ROW())))</f>
        <v/>
      </c>
      <c r="F481" s="1" t="inlineStr">
        <is>
          <t>Stack, Tree, Depth-First Search, Binary Search Tree, Binary Tree</t>
        </is>
      </c>
      <c r="G481" s="1" t="inlineStr">
        <is>
          <t>Easy</t>
        </is>
      </c>
      <c r="H481" s="1" t="n">
        <v>331355</v>
      </c>
      <c r="I481" s="1" t="n">
        <v>419962</v>
      </c>
      <c r="J481" s="9" t="n">
        <v>0.789</v>
      </c>
      <c r="K481" s="1" t="inlineStr">
        <is>
          <t>Yes</t>
        </is>
      </c>
      <c r="L481" s="1" t="inlineStr">
        <is>
          <t>Yes</t>
        </is>
      </c>
      <c r="M481" s="1" t="inlineStr">
        <is>
          <t>No</t>
        </is>
      </c>
      <c r="N481" s="1" t="inlineStr">
        <is>
          <t>Algorithms</t>
        </is>
      </c>
      <c r="O4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82" ht="15.75" customHeight="1" s="12">
      <c r="A482" s="1" t="n">
        <v>1438</v>
      </c>
      <c r="B482" s="3">
        <f>HYPERLINK("https://leetcode.com/problems/longest-continuous-subarray-with-absolute-diff-less-than-or-equal-to-limit/", "Longest Continuous Subarray With Absolute Diff Less Than or Equal to Limit")</f>
        <v/>
      </c>
      <c r="C482" s="1" t="n">
        <v>4450</v>
      </c>
      <c r="D482" s="1" t="n">
        <v>221</v>
      </c>
      <c r="E482" s="4">
        <f>IF(INDEX(C:C, ROW())+INDEX(D:D, ROW())=0, 0, INDEX(C:C, ROW())/(INDEX(C:C, ROW())+INDEX(D:D, ROW())))</f>
        <v/>
      </c>
      <c r="F482" s="1" t="inlineStr">
        <is>
          <t>Array, Queue, Sliding Window, Heap (Priority Queue), Ordered Set, Monotonic Queue</t>
        </is>
      </c>
      <c r="G482" s="1" t="inlineStr">
        <is>
          <t>Medium</t>
        </is>
      </c>
      <c r="H482" s="1" t="n">
        <v>298193</v>
      </c>
      <c r="I482" s="1" t="n">
        <v>521364</v>
      </c>
      <c r="J482" s="9" t="n">
        <v>0.572</v>
      </c>
      <c r="K482" s="1" t="inlineStr">
        <is>
          <t>Yes</t>
        </is>
      </c>
      <c r="L482" s="1" t="inlineStr">
        <is>
          <t>Yes</t>
        </is>
      </c>
      <c r="M482" s="1" t="inlineStr">
        <is>
          <t>No</t>
        </is>
      </c>
      <c r="N482" s="1" t="inlineStr">
        <is>
          <t>Algorithms</t>
        </is>
      </c>
      <c r="O4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83" ht="15.75" customHeight="1" s="12">
      <c r="A483" s="1" t="n">
        <v>687</v>
      </c>
      <c r="B483" s="3">
        <f>HYPERLINK("https://leetcode.com/problems/longest-univalue-path/", "Longest Univalue Path")</f>
        <v/>
      </c>
      <c r="C483" s="1" t="n">
        <v>4430</v>
      </c>
      <c r="D483" s="1" t="n">
        <v>679</v>
      </c>
      <c r="E483" s="4">
        <f>IF(INDEX(C:C, ROW())+INDEX(D:D, ROW())=0, 0, INDEX(C:C, ROW())/(INDEX(C:C, ROW())+INDEX(D:D, ROW())))</f>
        <v/>
      </c>
      <c r="F483" s="1" t="inlineStr">
        <is>
          <t>Tree, Depth-First Search, Binary Tree</t>
        </is>
      </c>
      <c r="G483" s="1" t="inlineStr">
        <is>
          <t>Medium</t>
        </is>
      </c>
      <c r="H483" s="1" t="n">
        <v>217406</v>
      </c>
      <c r="I483" s="1" t="n">
        <v>501253</v>
      </c>
      <c r="J483" s="9" t="n">
        <v>0.434</v>
      </c>
      <c r="K483" s="1" t="inlineStr">
        <is>
          <t>Yes</t>
        </is>
      </c>
      <c r="L483" s="1" t="inlineStr">
        <is>
          <t>Yes</t>
        </is>
      </c>
      <c r="M483" s="1" t="inlineStr">
        <is>
          <t>No</t>
        </is>
      </c>
      <c r="N483" s="1" t="inlineStr">
        <is>
          <t>Algorithms</t>
        </is>
      </c>
      <c r="O4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84" ht="15.75" customHeight="1" s="12">
      <c r="A484" s="1" t="n">
        <v>342</v>
      </c>
      <c r="B484" s="3">
        <f>HYPERLINK("https://leetcode.com/problems/power-of-four/", "Power of Four")</f>
        <v/>
      </c>
      <c r="C484" s="1" t="n">
        <v>4421</v>
      </c>
      <c r="D484" s="1" t="n">
        <v>417</v>
      </c>
      <c r="E484" s="4">
        <f>IF(INDEX(C:C, ROW())+INDEX(D:D, ROW())=0, 0, INDEX(C:C, ROW())/(INDEX(C:C, ROW())+INDEX(D:D, ROW())))</f>
        <v/>
      </c>
      <c r="F484" s="1" t="inlineStr">
        <is>
          <t>Math, Bit Manipulation, Recursion</t>
        </is>
      </c>
      <c r="G484" s="1" t="inlineStr">
        <is>
          <t>Easy</t>
        </is>
      </c>
      <c r="H484" s="1" t="n">
        <v>1050790</v>
      </c>
      <c r="I484" s="1" t="n">
        <v>2036956</v>
      </c>
      <c r="J484" s="9" t="n">
        <v>0.516</v>
      </c>
      <c r="K484" s="1" t="inlineStr">
        <is>
          <t>Yes</t>
        </is>
      </c>
      <c r="L484" s="1" t="inlineStr">
        <is>
          <t>Yes</t>
        </is>
      </c>
      <c r="M484" s="1" t="inlineStr">
        <is>
          <t>No</t>
        </is>
      </c>
      <c r="N484" s="1" t="inlineStr">
        <is>
          <t>Algorithms</t>
        </is>
      </c>
      <c r="O4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85" ht="15.75" customHeight="1" s="12">
      <c r="A485" s="1" t="n">
        <v>1463</v>
      </c>
      <c r="B485" s="3">
        <f>HYPERLINK("https://leetcode.com/problems/cherry-pickup-ii/", "Cherry Pickup II")</f>
        <v/>
      </c>
      <c r="C485" s="1" t="n">
        <v>4421</v>
      </c>
      <c r="D485" s="1" t="n">
        <v>54</v>
      </c>
      <c r="E485" s="4">
        <f>IF(INDEX(C:C, ROW())+INDEX(D:D, ROW())=0, 0, INDEX(C:C, ROW())/(INDEX(C:C, ROW())+INDEX(D:D, ROW())))</f>
        <v/>
      </c>
      <c r="F485" s="1" t="inlineStr">
        <is>
          <t>Array, Dynamic Programming, Matrix</t>
        </is>
      </c>
      <c r="G485" s="1" t="inlineStr">
        <is>
          <t>Hard</t>
        </is>
      </c>
      <c r="H485" s="1" t="n">
        <v>224500</v>
      </c>
      <c r="I485" s="1" t="n">
        <v>310824</v>
      </c>
      <c r="J485" s="9" t="n">
        <v>0.722</v>
      </c>
      <c r="K485" s="1" t="inlineStr">
        <is>
          <t>Yes</t>
        </is>
      </c>
      <c r="L485" s="1" t="inlineStr">
        <is>
          <t>Yes</t>
        </is>
      </c>
      <c r="M485" s="1" t="inlineStr">
        <is>
          <t>No</t>
        </is>
      </c>
      <c r="N485" s="1" t="inlineStr">
        <is>
          <t>Algorithms</t>
        </is>
      </c>
      <c r="O4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86" ht="15.75" customHeight="1" s="12">
      <c r="A486" s="1" t="n">
        <v>1130</v>
      </c>
      <c r="B486" s="3">
        <f>HYPERLINK("https://leetcode.com/problems/minimum-cost-tree-from-leaf-values/", "Minimum Cost Tree From Leaf Values")</f>
        <v/>
      </c>
      <c r="C486" s="1" t="n">
        <v>4419</v>
      </c>
      <c r="D486" s="1" t="n">
        <v>280</v>
      </c>
      <c r="E486" s="4">
        <f>IF(INDEX(C:C, ROW())+INDEX(D:D, ROW())=0, 0, INDEX(C:C, ROW())/(INDEX(C:C, ROW())+INDEX(D:D, ROW())))</f>
        <v/>
      </c>
      <c r="F486" s="1" t="inlineStr">
        <is>
          <t>Array, Dynamic Programming, Stack, Greedy, Monotonic Stack</t>
        </is>
      </c>
      <c r="G486" s="1" t="inlineStr">
        <is>
          <t>Medium</t>
        </is>
      </c>
      <c r="H486" s="1" t="n">
        <v>118645</v>
      </c>
      <c r="I486" s="1" t="n">
        <v>175076</v>
      </c>
      <c r="J486" s="9" t="n">
        <v>0.678</v>
      </c>
      <c r="K486" s="1" t="inlineStr">
        <is>
          <t>Yes</t>
        </is>
      </c>
      <c r="L486" s="1" t="inlineStr">
        <is>
          <t>No</t>
        </is>
      </c>
      <c r="M486" s="1" t="inlineStr">
        <is>
          <t>No</t>
        </is>
      </c>
      <c r="N486" s="1" t="inlineStr">
        <is>
          <t>Algorithms</t>
        </is>
      </c>
      <c r="O4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87" ht="15.75" customHeight="1" s="12">
      <c r="A487" s="1" t="n">
        <v>611</v>
      </c>
      <c r="B487" s="3">
        <f>HYPERLINK("https://leetcode.com/problems/valid-triangle-number/", "Valid Triangle Number")</f>
        <v/>
      </c>
      <c r="C487" s="1" t="n">
        <v>4410</v>
      </c>
      <c r="D487" s="1" t="n">
        <v>256</v>
      </c>
      <c r="E487" s="4">
        <f>IF(INDEX(C:C, ROW())+INDEX(D:D, ROW())=0, 0, INDEX(C:C, ROW())/(INDEX(C:C, ROW())+INDEX(D:D, ROW())))</f>
        <v/>
      </c>
      <c r="F487" s="1" t="inlineStr">
        <is>
          <t>Array, Two Pointers, Binary Search, Greedy, Sorting</t>
        </is>
      </c>
      <c r="G487" s="1" t="inlineStr">
        <is>
          <t>Medium</t>
        </is>
      </c>
      <c r="H487" s="1" t="n">
        <v>354096</v>
      </c>
      <c r="I487" s="1" t="n">
        <v>625925</v>
      </c>
      <c r="J487" s="9" t="n">
        <v>0.5659999999999999</v>
      </c>
      <c r="K487" s="1" t="inlineStr">
        <is>
          <t>Yes</t>
        </is>
      </c>
      <c r="L487" s="1" t="inlineStr">
        <is>
          <t>Yes</t>
        </is>
      </c>
      <c r="M487" s="1" t="inlineStr">
        <is>
          <t>No</t>
        </is>
      </c>
      <c r="N487" s="1" t="inlineStr">
        <is>
          <t>Algorithms</t>
        </is>
      </c>
      <c r="O4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88" ht="15.75" customHeight="1" s="12">
      <c r="A488" s="1" t="n">
        <v>650</v>
      </c>
      <c r="B488" s="3">
        <f>HYPERLINK("https://leetcode.com/problems/2-keys-keyboard/", "2 Keys Keyboard")</f>
        <v/>
      </c>
      <c r="C488" s="1" t="n">
        <v>4390</v>
      </c>
      <c r="D488" s="1" t="n">
        <v>247</v>
      </c>
      <c r="E488" s="4">
        <f>IF(INDEX(C:C, ROW())+INDEX(D:D, ROW())=0, 0, INDEX(C:C, ROW())/(INDEX(C:C, ROW())+INDEX(D:D, ROW())))</f>
        <v/>
      </c>
      <c r="F488" s="1" t="inlineStr">
        <is>
          <t>Math, Dynamic Programming</t>
        </is>
      </c>
      <c r="G488" s="1" t="inlineStr">
        <is>
          <t>Medium</t>
        </is>
      </c>
      <c r="H488" s="1" t="n">
        <v>291930</v>
      </c>
      <c r="I488" s="1" t="n">
        <v>492640</v>
      </c>
      <c r="J488" s="9" t="n">
        <v>0.593</v>
      </c>
      <c r="K488" s="1" t="inlineStr">
        <is>
          <t>Yes</t>
        </is>
      </c>
      <c r="L488" s="1" t="inlineStr">
        <is>
          <t>Yes</t>
        </is>
      </c>
      <c r="M488" s="1" t="inlineStr">
        <is>
          <t>No</t>
        </is>
      </c>
      <c r="N488" s="1" t="inlineStr">
        <is>
          <t>Algorithms</t>
        </is>
      </c>
      <c r="O4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89" ht="15.75" customHeight="1" s="12">
      <c r="A489" s="1" t="n">
        <v>1358</v>
      </c>
      <c r="B489" s="3">
        <f>HYPERLINK("https://leetcode.com/problems/number-of-substrings-containing-all-three-characters/", "Number of Substrings Containing All Three Characters")</f>
        <v/>
      </c>
      <c r="C489" s="1" t="n">
        <v>4354</v>
      </c>
      <c r="D489" s="1" t="n">
        <v>81</v>
      </c>
      <c r="E489" s="4">
        <f>IF(INDEX(C:C, ROW())+INDEX(D:D, ROW())=0, 0, INDEX(C:C, ROW())/(INDEX(C:C, ROW())+INDEX(D:D, ROW())))</f>
        <v/>
      </c>
      <c r="F489" s="1" t="inlineStr">
        <is>
          <t>Hash Table, String, Sliding Window</t>
        </is>
      </c>
      <c r="G489" s="1" t="inlineStr">
        <is>
          <t>Medium</t>
        </is>
      </c>
      <c r="H489" s="1" t="n">
        <v>414891</v>
      </c>
      <c r="I489" s="1" t="n">
        <v>565043</v>
      </c>
      <c r="J489" s="9" t="n">
        <v>0.734</v>
      </c>
      <c r="K489" s="1" t="inlineStr">
        <is>
          <t>Yes</t>
        </is>
      </c>
      <c r="L489" s="1" t="inlineStr">
        <is>
          <t>Yes</t>
        </is>
      </c>
      <c r="M489" s="1" t="inlineStr">
        <is>
          <t>No</t>
        </is>
      </c>
      <c r="N489" s="1" t="inlineStr">
        <is>
          <t>Algorithms</t>
        </is>
      </c>
      <c r="O4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90" ht="15.75" customHeight="1" s="12">
      <c r="A490" s="1" t="n">
        <v>632</v>
      </c>
      <c r="B490" s="3">
        <f>HYPERLINK("https://leetcode.com/problems/smallest-range-covering-elements-from-k-lists/", "Smallest Range Covering Elements from K Lists")</f>
        <v/>
      </c>
      <c r="C490" s="1" t="n">
        <v>4352</v>
      </c>
      <c r="D490" s="1" t="n">
        <v>101</v>
      </c>
      <c r="E490" s="4">
        <f>IF(INDEX(C:C, ROW())+INDEX(D:D, ROW())=0, 0, INDEX(C:C, ROW())/(INDEX(C:C, ROW())+INDEX(D:D, ROW())))</f>
        <v/>
      </c>
      <c r="F490" s="1" t="inlineStr">
        <is>
          <t>Array, Hash Table, Greedy, Sliding Window, Sorting, Heap (Priority Queue)</t>
        </is>
      </c>
      <c r="G490" s="1" t="inlineStr">
        <is>
          <t>Hard</t>
        </is>
      </c>
      <c r="H490" s="1" t="n">
        <v>236146</v>
      </c>
      <c r="I490" s="1" t="n">
        <v>337480</v>
      </c>
      <c r="J490" s="9" t="n">
        <v>0.7</v>
      </c>
      <c r="K490" s="1" t="inlineStr">
        <is>
          <t>Yes</t>
        </is>
      </c>
      <c r="L490" s="1" t="inlineStr">
        <is>
          <t>Yes</t>
        </is>
      </c>
      <c r="M490" s="1" t="inlineStr">
        <is>
          <t>No</t>
        </is>
      </c>
      <c r="N490" s="1" t="inlineStr">
        <is>
          <t>Algorithms</t>
        </is>
      </c>
      <c r="O4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91" ht="15.75" customHeight="1" s="12">
      <c r="A491" s="1" t="n">
        <v>872</v>
      </c>
      <c r="B491" s="3">
        <f>HYPERLINK("https://leetcode.com/problems/leaf-similar-trees/", "Leaf-Similar Trees")</f>
        <v/>
      </c>
      <c r="C491" s="1" t="n">
        <v>4348</v>
      </c>
      <c r="D491" s="1" t="n">
        <v>124</v>
      </c>
      <c r="E491" s="4">
        <f>IF(INDEX(C:C, ROW())+INDEX(D:D, ROW())=0, 0, INDEX(C:C, ROW())/(INDEX(C:C, ROW())+INDEX(D:D, ROW())))</f>
        <v/>
      </c>
      <c r="F491" s="1" t="inlineStr">
        <is>
          <t>Tree, Depth-First Search, Binary Tree</t>
        </is>
      </c>
      <c r="G491" s="1" t="inlineStr">
        <is>
          <t>Easy</t>
        </is>
      </c>
      <c r="H491" s="1" t="n">
        <v>659942</v>
      </c>
      <c r="I491" s="1" t="n">
        <v>940495</v>
      </c>
      <c r="J491" s="9" t="n">
        <v>0.702</v>
      </c>
      <c r="K491" s="1" t="inlineStr">
        <is>
          <t>Yes</t>
        </is>
      </c>
      <c r="L491" s="1" t="inlineStr">
        <is>
          <t>Yes</t>
        </is>
      </c>
      <c r="M491" s="1" t="inlineStr">
        <is>
          <t>No</t>
        </is>
      </c>
      <c r="N491" s="1" t="inlineStr">
        <is>
          <t>Algorithms</t>
        </is>
      </c>
      <c r="O4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92" ht="15.75" customHeight="1" s="12">
      <c r="A492" s="1" t="n">
        <v>1010</v>
      </c>
      <c r="B492" s="3">
        <f>HYPERLINK("https://leetcode.com/problems/pairs-of-songs-with-total-durations-divisible-by-60/", "Pairs of Songs With Total Durations Divisible by 60")</f>
        <v/>
      </c>
      <c r="C492" s="1" t="n">
        <v>4324</v>
      </c>
      <c r="D492" s="1" t="n">
        <v>182</v>
      </c>
      <c r="E492" s="4">
        <f>IF(INDEX(C:C, ROW())+INDEX(D:D, ROW())=0, 0, INDEX(C:C, ROW())/(INDEX(C:C, ROW())+INDEX(D:D, ROW())))</f>
        <v/>
      </c>
      <c r="F492" s="1" t="inlineStr">
        <is>
          <t>Array, Hash Table, Counting</t>
        </is>
      </c>
      <c r="G492" s="1" t="inlineStr">
        <is>
          <t>Medium</t>
        </is>
      </c>
      <c r="H492" s="1" t="n">
        <v>321632</v>
      </c>
      <c r="I492" s="1" t="n">
        <v>602359</v>
      </c>
      <c r="J492" s="9" t="n">
        <v>0.534</v>
      </c>
      <c r="K492" s="1" t="inlineStr">
        <is>
          <t>Yes</t>
        </is>
      </c>
      <c r="L492" s="1" t="inlineStr">
        <is>
          <t>Yes</t>
        </is>
      </c>
      <c r="M492" s="1" t="inlineStr">
        <is>
          <t>Yes</t>
        </is>
      </c>
      <c r="N492" s="1" t="inlineStr">
        <is>
          <t>Algorithms</t>
        </is>
      </c>
      <c r="O4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93" ht="15.75" customHeight="1" s="12">
      <c r="A493" s="1" t="n">
        <v>1578</v>
      </c>
      <c r="B493" s="3">
        <f>HYPERLINK("https://leetcode.com/problems/minimum-time-to-make-rope-colorful/", "Minimum Time to Make Rope Colorful")</f>
        <v/>
      </c>
      <c r="C493" s="1" t="n">
        <v>4324</v>
      </c>
      <c r="D493" s="1" t="n">
        <v>156</v>
      </c>
      <c r="E493" s="4">
        <f>IF(INDEX(C:C, ROW())+INDEX(D:D, ROW())=0, 0, INDEX(C:C, ROW())/(INDEX(C:C, ROW())+INDEX(D:D, ROW())))</f>
        <v/>
      </c>
      <c r="F493" s="1" t="inlineStr">
        <is>
          <t>Array, String, Dynamic Programming, Greedy</t>
        </is>
      </c>
      <c r="G493" s="1" t="inlineStr">
        <is>
          <t>Medium</t>
        </is>
      </c>
      <c r="H493" s="1" t="n">
        <v>403851</v>
      </c>
      <c r="I493" s="1" t="n">
        <v>619042</v>
      </c>
      <c r="J493" s="9" t="n">
        <v>0.652</v>
      </c>
      <c r="K493" s="1" t="inlineStr">
        <is>
          <t>Yes</t>
        </is>
      </c>
      <c r="L493" s="1" t="inlineStr">
        <is>
          <t>Yes</t>
        </is>
      </c>
      <c r="M493" s="1" t="inlineStr">
        <is>
          <t>No</t>
        </is>
      </c>
      <c r="N493" s="1" t="inlineStr">
        <is>
          <t>Algorithms</t>
        </is>
      </c>
      <c r="O4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94" ht="15.75" customHeight="1" s="12">
      <c r="A494" s="1" t="n">
        <v>1306</v>
      </c>
      <c r="B494" s="3">
        <f>HYPERLINK("https://leetcode.com/problems/jump-game-iii/", "Jump Game III")</f>
        <v/>
      </c>
      <c r="C494" s="1" t="n">
        <v>4322</v>
      </c>
      <c r="D494" s="1" t="n">
        <v>117</v>
      </c>
      <c r="E494" s="4">
        <f>IF(INDEX(C:C, ROW())+INDEX(D:D, ROW())=0, 0, INDEX(C:C, ROW())/(INDEX(C:C, ROW())+INDEX(D:D, ROW())))</f>
        <v/>
      </c>
      <c r="F494" s="1" t="inlineStr">
        <is>
          <t>Array, Depth-First Search, Breadth-First Search</t>
        </is>
      </c>
      <c r="G494" s="1" t="inlineStr">
        <is>
          <t>Medium</t>
        </is>
      </c>
      <c r="H494" s="1" t="n">
        <v>292005</v>
      </c>
      <c r="I494" s="1" t="n">
        <v>438344</v>
      </c>
      <c r="J494" s="9" t="n">
        <v>0.666</v>
      </c>
      <c r="K494" s="1" t="inlineStr">
        <is>
          <t>Yes</t>
        </is>
      </c>
      <c r="L494" s="1" t="inlineStr">
        <is>
          <t>Yes</t>
        </is>
      </c>
      <c r="M494" s="1" t="inlineStr">
        <is>
          <t>Yes</t>
        </is>
      </c>
      <c r="N494" s="1" t="inlineStr">
        <is>
          <t>Algorithms</t>
        </is>
      </c>
      <c r="O4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95" ht="15.75" customHeight="1" s="12">
      <c r="A495" s="1" t="n">
        <v>1337</v>
      </c>
      <c r="B495" s="3">
        <f>HYPERLINK("https://leetcode.com/problems/the-k-weakest-rows-in-a-matrix/", "The K Weakest Rows in a Matrix")</f>
        <v/>
      </c>
      <c r="C495" s="1" t="n">
        <v>4322</v>
      </c>
      <c r="D495" s="1" t="n">
        <v>242</v>
      </c>
      <c r="E495" s="4">
        <f>IF(INDEX(C:C, ROW())+INDEX(D:D, ROW())=0, 0, INDEX(C:C, ROW())/(INDEX(C:C, ROW())+INDEX(D:D, ROW())))</f>
        <v/>
      </c>
      <c r="F495" s="1" t="inlineStr">
        <is>
          <t>Array, Binary Search, Sorting, Heap (Priority Queue), Matrix</t>
        </is>
      </c>
      <c r="G495" s="1" t="inlineStr">
        <is>
          <t>Easy</t>
        </is>
      </c>
      <c r="H495" s="1" t="n">
        <v>415188</v>
      </c>
      <c r="I495" s="1" t="n">
        <v>559332</v>
      </c>
      <c r="J495" s="9" t="n">
        <v>0.742</v>
      </c>
      <c r="K495" s="1" t="inlineStr">
        <is>
          <t>Yes</t>
        </is>
      </c>
      <c r="L495" s="1" t="inlineStr">
        <is>
          <t>Yes</t>
        </is>
      </c>
      <c r="M495" s="1" t="inlineStr">
        <is>
          <t>No</t>
        </is>
      </c>
      <c r="N495" s="1" t="inlineStr">
        <is>
          <t>Algorithms</t>
        </is>
      </c>
      <c r="O4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96" ht="15.75" customHeight="1" s="12">
      <c r="A496" s="1" t="n">
        <v>993</v>
      </c>
      <c r="B496" s="3">
        <f>HYPERLINK("https://leetcode.com/problems/cousins-in-binary-tree/", "Cousins in Binary Tree")</f>
        <v/>
      </c>
      <c r="C496" s="1" t="n">
        <v>4297</v>
      </c>
      <c r="D496" s="1" t="n">
        <v>232</v>
      </c>
      <c r="E496" s="4">
        <f>IF(INDEX(C:C, ROW())+INDEX(D:D, ROW())=0, 0, INDEX(C:C, ROW())/(INDEX(C:C, ROW())+INDEX(D:D, ROW())))</f>
        <v/>
      </c>
      <c r="F496" s="1" t="inlineStr">
        <is>
          <t>Tree, Depth-First Search, Breadth-First Search, Binary Tree</t>
        </is>
      </c>
      <c r="G496" s="1" t="inlineStr">
        <is>
          <t>Easy</t>
        </is>
      </c>
      <c r="H496" s="1" t="n">
        <v>342644</v>
      </c>
      <c r="I496" s="1" t="n">
        <v>581272</v>
      </c>
      <c r="J496" s="9" t="n">
        <v>0.589</v>
      </c>
      <c r="K496" s="1" t="inlineStr">
        <is>
          <t>Yes</t>
        </is>
      </c>
      <c r="L496" s="1" t="inlineStr">
        <is>
          <t>Yes</t>
        </is>
      </c>
      <c r="M496" s="1" t="inlineStr">
        <is>
          <t>No</t>
        </is>
      </c>
      <c r="N496" s="1" t="inlineStr">
        <is>
          <t>Algorithms</t>
        </is>
      </c>
      <c r="O4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97" ht="15.75" customHeight="1" s="12">
      <c r="A497" s="1" t="n">
        <v>498</v>
      </c>
      <c r="B497" s="3">
        <f>HYPERLINK("https://leetcode.com/problems/diagonal-traverse/", "Diagonal Traverse")</f>
        <v/>
      </c>
      <c r="C497" s="1" t="n">
        <v>4283</v>
      </c>
      <c r="D497" s="1" t="n">
        <v>781</v>
      </c>
      <c r="E497" s="4">
        <f>IF(INDEX(C:C, ROW())+INDEX(D:D, ROW())=0, 0, INDEX(C:C, ROW())/(INDEX(C:C, ROW())+INDEX(D:D, ROW())))</f>
        <v/>
      </c>
      <c r="F497" s="1" t="inlineStr">
        <is>
          <t>Array, Matrix, Simulation</t>
        </is>
      </c>
      <c r="G497" s="1" t="inlineStr">
        <is>
          <t>Medium</t>
        </is>
      </c>
      <c r="H497" s="1" t="n">
        <v>545122</v>
      </c>
      <c r="I497" s="1" t="n">
        <v>814668</v>
      </c>
      <c r="J497" s="9" t="n">
        <v>0.669</v>
      </c>
      <c r="K497" s="1" t="inlineStr">
        <is>
          <t>Yes</t>
        </is>
      </c>
      <c r="L497" s="1" t="inlineStr">
        <is>
          <t>Yes</t>
        </is>
      </c>
      <c r="M497" s="1" t="inlineStr">
        <is>
          <t>No</t>
        </is>
      </c>
      <c r="N497" s="1" t="inlineStr">
        <is>
          <t>Algorithms</t>
        </is>
      </c>
      <c r="O4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98" ht="15.75" customHeight="1" s="12">
      <c r="A498" s="1" t="n">
        <v>441</v>
      </c>
      <c r="B498" s="3">
        <f>HYPERLINK("https://leetcode.com/problems/arranging-coins/", "Arranging Coins")</f>
        <v/>
      </c>
      <c r="C498" s="1" t="n">
        <v>4281</v>
      </c>
      <c r="D498" s="1" t="n">
        <v>1373</v>
      </c>
      <c r="E498" s="4">
        <f>IF(INDEX(C:C, ROW())+INDEX(D:D, ROW())=0, 0, INDEX(C:C, ROW())/(INDEX(C:C, ROW())+INDEX(D:D, ROW())))</f>
        <v/>
      </c>
      <c r="F498" s="1" t="inlineStr">
        <is>
          <t>Math, Binary Search</t>
        </is>
      </c>
      <c r="G498" s="1" t="inlineStr">
        <is>
          <t>Easy</t>
        </is>
      </c>
      <c r="H498" s="1" t="n">
        <v>592527</v>
      </c>
      <c r="I498" s="1" t="n">
        <v>1238420</v>
      </c>
      <c r="J498" s="9" t="n">
        <v>0.478</v>
      </c>
      <c r="K498" s="1" t="inlineStr">
        <is>
          <t>Yes</t>
        </is>
      </c>
      <c r="L498" s="1" t="inlineStr">
        <is>
          <t>Yes</t>
        </is>
      </c>
      <c r="M498" s="1" t="inlineStr">
        <is>
          <t>No</t>
        </is>
      </c>
      <c r="N498" s="1" t="inlineStr">
        <is>
          <t>Algorithms</t>
        </is>
      </c>
      <c r="O4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499" ht="15.75" customHeight="1" s="12">
      <c r="A499" s="1" t="n">
        <v>670</v>
      </c>
      <c r="B499" s="3">
        <f>HYPERLINK("https://leetcode.com/problems/maximum-swap/", "Maximum Swap")</f>
        <v/>
      </c>
      <c r="C499" s="1" t="n">
        <v>4273</v>
      </c>
      <c r="D499" s="1" t="n">
        <v>274</v>
      </c>
      <c r="E499" s="4">
        <f>IF(INDEX(C:C, ROW())+INDEX(D:D, ROW())=0, 0, INDEX(C:C, ROW())/(INDEX(C:C, ROW())+INDEX(D:D, ROW())))</f>
        <v/>
      </c>
      <c r="F499" s="1" t="inlineStr">
        <is>
          <t>Math, Greedy</t>
        </is>
      </c>
      <c r="G499" s="1" t="inlineStr">
        <is>
          <t>Medium</t>
        </is>
      </c>
      <c r="H499" s="1" t="n">
        <v>505734</v>
      </c>
      <c r="I499" s="1" t="n">
        <v>973977</v>
      </c>
      <c r="J499" s="9" t="n">
        <v>0.519</v>
      </c>
      <c r="K499" s="1" t="inlineStr">
        <is>
          <t>Yes</t>
        </is>
      </c>
      <c r="L499" s="1" t="inlineStr">
        <is>
          <t>Yes</t>
        </is>
      </c>
      <c r="M499" s="1" t="inlineStr">
        <is>
          <t>No</t>
        </is>
      </c>
      <c r="N499" s="1" t="inlineStr">
        <is>
          <t>Algorithms</t>
        </is>
      </c>
      <c r="O4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00" ht="15.75" customHeight="1" s="12">
      <c r="A500" s="1" t="n">
        <v>1162</v>
      </c>
      <c r="B500" s="3">
        <f>HYPERLINK("https://leetcode.com/problems/as-far-from-land-as-possible/", "As Far from Land as Possible")</f>
        <v/>
      </c>
      <c r="C500" s="1" t="n">
        <v>4257</v>
      </c>
      <c r="D500" s="1" t="n">
        <v>113</v>
      </c>
      <c r="E500" s="4">
        <f>IF(INDEX(C:C, ROW())+INDEX(D:D, ROW())=0, 0, INDEX(C:C, ROW())/(INDEX(C:C, ROW())+INDEX(D:D, ROW())))</f>
        <v/>
      </c>
      <c r="F500" s="1" t="inlineStr">
        <is>
          <t>Array, Dynamic Programming, Breadth-First Search, Matrix</t>
        </is>
      </c>
      <c r="G500" s="1" t="inlineStr">
        <is>
          <t>Medium</t>
        </is>
      </c>
      <c r="H500" s="1" t="n">
        <v>179578</v>
      </c>
      <c r="I500" s="1" t="n">
        <v>344637</v>
      </c>
      <c r="J500" s="9" t="n">
        <v>0.521</v>
      </c>
      <c r="K500" s="1" t="inlineStr">
        <is>
          <t>Yes</t>
        </is>
      </c>
      <c r="L500" s="1" t="inlineStr">
        <is>
          <t>Yes</t>
        </is>
      </c>
      <c r="M500" s="1" t="inlineStr">
        <is>
          <t>No</t>
        </is>
      </c>
      <c r="N500" s="1" t="inlineStr">
        <is>
          <t>Algorithms</t>
        </is>
      </c>
      <c r="O5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01" ht="15.75" customHeight="1" s="12">
      <c r="A501" s="1" t="n">
        <v>1971</v>
      </c>
      <c r="B501" s="3">
        <f>HYPERLINK("https://leetcode.com/problems/find-if-path-exists-in-graph/", "Find if Path Exists in Graph")</f>
        <v/>
      </c>
      <c r="C501" s="1" t="n">
        <v>4251</v>
      </c>
      <c r="D501" s="1" t="n">
        <v>249</v>
      </c>
      <c r="E501" s="4">
        <f>IF(INDEX(C:C, ROW())+INDEX(D:D, ROW())=0, 0, INDEX(C:C, ROW())/(INDEX(C:C, ROW())+INDEX(D:D, ROW())))</f>
        <v/>
      </c>
      <c r="F501" s="1" t="inlineStr">
        <is>
          <t>Depth-First Search, Breadth-First Search, Union-Find, Graph Theory</t>
        </is>
      </c>
      <c r="G501" s="1" t="inlineStr">
        <is>
          <t>Easy</t>
        </is>
      </c>
      <c r="H501" s="1" t="n">
        <v>644929</v>
      </c>
      <c r="I501" s="1" t="n">
        <v>1181459</v>
      </c>
      <c r="J501" s="9" t="n">
        <v>0.546</v>
      </c>
      <c r="K501" s="1" t="inlineStr">
        <is>
          <t>Yes</t>
        </is>
      </c>
      <c r="L501" s="1" t="inlineStr">
        <is>
          <t>Yes</t>
        </is>
      </c>
      <c r="M501" s="1" t="inlineStr">
        <is>
          <t>No</t>
        </is>
      </c>
      <c r="N501" s="1" t="inlineStr">
        <is>
          <t>Algorithms</t>
        </is>
      </c>
      <c r="O5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02" ht="15.75" customHeight="1" s="12">
      <c r="A502" s="1" t="n">
        <v>1376</v>
      </c>
      <c r="B502" s="3">
        <f>HYPERLINK("https://leetcode.com/problems/time-needed-to-inform-all-employees/", "Time Needed to Inform All Employees")</f>
        <v/>
      </c>
      <c r="C502" s="1" t="n">
        <v>4242</v>
      </c>
      <c r="D502" s="1" t="n">
        <v>323</v>
      </c>
      <c r="E502" s="4">
        <f>IF(INDEX(C:C, ROW())+INDEX(D:D, ROW())=0, 0, INDEX(C:C, ROW())/(INDEX(C:C, ROW())+INDEX(D:D, ROW())))</f>
        <v/>
      </c>
      <c r="F502" s="1" t="inlineStr">
        <is>
          <t>Tree, Depth-First Search, Breadth-First Search</t>
        </is>
      </c>
      <c r="G502" s="1" t="inlineStr">
        <is>
          <t>Medium</t>
        </is>
      </c>
      <c r="H502" s="1" t="n">
        <v>254262</v>
      </c>
      <c r="I502" s="1" t="n">
        <v>420946</v>
      </c>
      <c r="J502" s="9" t="n">
        <v>0.604</v>
      </c>
      <c r="K502" s="1" t="inlineStr">
        <is>
          <t>Yes</t>
        </is>
      </c>
      <c r="L502" s="1" t="inlineStr">
        <is>
          <t>Yes</t>
        </is>
      </c>
      <c r="M502" s="1" t="inlineStr">
        <is>
          <t>No</t>
        </is>
      </c>
      <c r="N502" s="1" t="inlineStr">
        <is>
          <t>Algorithms</t>
        </is>
      </c>
      <c r="O5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03" ht="15.75" customHeight="1" s="12">
      <c r="A503" s="1" t="n">
        <v>201</v>
      </c>
      <c r="B503" s="3">
        <f>HYPERLINK("https://leetcode.com/problems/bitwise-and-of-numbers-range/", "Bitwise AND of Numbers Range")</f>
        <v/>
      </c>
      <c r="C503" s="1" t="n">
        <v>4240</v>
      </c>
      <c r="D503" s="1" t="n">
        <v>318</v>
      </c>
      <c r="E503" s="4">
        <f>IF(INDEX(C:C, ROW())+INDEX(D:D, ROW())=0, 0, INDEX(C:C, ROW())/(INDEX(C:C, ROW())+INDEX(D:D, ROW())))</f>
        <v/>
      </c>
      <c r="F503" s="1" t="inlineStr">
        <is>
          <t>Bit Manipulation</t>
        </is>
      </c>
      <c r="G503" s="1" t="inlineStr">
        <is>
          <t>Medium</t>
        </is>
      </c>
      <c r="H503" s="1" t="n">
        <v>495993</v>
      </c>
      <c r="I503" s="1" t="n">
        <v>1022098</v>
      </c>
      <c r="J503" s="9" t="n">
        <v>0.485</v>
      </c>
      <c r="K503" s="1" t="inlineStr">
        <is>
          <t>Yes</t>
        </is>
      </c>
      <c r="L503" s="1" t="inlineStr">
        <is>
          <t>Yes</t>
        </is>
      </c>
      <c r="M503" s="1" t="inlineStr">
        <is>
          <t>No</t>
        </is>
      </c>
      <c r="N503" s="1" t="inlineStr">
        <is>
          <t>Algorithms</t>
        </is>
      </c>
      <c r="O5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04" ht="15.75" customHeight="1" s="12">
      <c r="A504" s="1" t="n">
        <v>643</v>
      </c>
      <c r="B504" s="3">
        <f>HYPERLINK("https://leetcode.com/problems/maximum-average-subarray-i/", "Maximum Average Subarray I")</f>
        <v/>
      </c>
      <c r="C504" s="1" t="n">
        <v>4234</v>
      </c>
      <c r="D504" s="1" t="n">
        <v>380</v>
      </c>
      <c r="E504" s="4">
        <f>IF(INDEX(C:C, ROW())+INDEX(D:D, ROW())=0, 0, INDEX(C:C, ROW())/(INDEX(C:C, ROW())+INDEX(D:D, ROW())))</f>
        <v/>
      </c>
      <c r="F504" s="1" t="inlineStr">
        <is>
          <t>Array, Sliding Window</t>
        </is>
      </c>
      <c r="G504" s="1" t="inlineStr">
        <is>
          <t>Easy</t>
        </is>
      </c>
      <c r="H504" s="1" t="n">
        <v>1064918</v>
      </c>
      <c r="I504" s="1" t="n">
        <v>2279528</v>
      </c>
      <c r="J504" s="9" t="n">
        <v>0.467</v>
      </c>
      <c r="K504" s="1" t="inlineStr">
        <is>
          <t>Yes</t>
        </is>
      </c>
      <c r="L504" s="1" t="inlineStr">
        <is>
          <t>Yes</t>
        </is>
      </c>
      <c r="M504" s="1" t="inlineStr">
        <is>
          <t>No</t>
        </is>
      </c>
      <c r="N504" s="1" t="inlineStr">
        <is>
          <t>Algorithms</t>
        </is>
      </c>
      <c r="O5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05" ht="15.75" customHeight="1" s="12">
      <c r="A505" s="1" t="n">
        <v>1342</v>
      </c>
      <c r="B505" s="3">
        <f>HYPERLINK("https://leetcode.com/problems/number-of-steps-to-reduce-a-number-to-zero/", "Number of Steps to Reduce a Number to Zero")</f>
        <v/>
      </c>
      <c r="C505" s="1" t="n">
        <v>4230</v>
      </c>
      <c r="D505" s="1" t="n">
        <v>179</v>
      </c>
      <c r="E505" s="4">
        <f>IF(INDEX(C:C, ROW())+INDEX(D:D, ROW())=0, 0, INDEX(C:C, ROW())/(INDEX(C:C, ROW())+INDEX(D:D, ROW())))</f>
        <v/>
      </c>
      <c r="F505" s="1" t="inlineStr">
        <is>
          <t>Math, Bit Manipulation</t>
        </is>
      </c>
      <c r="G505" s="1" t="inlineStr">
        <is>
          <t>Easy</t>
        </is>
      </c>
      <c r="H505" s="1" t="n">
        <v>884356</v>
      </c>
      <c r="I505" s="1" t="n">
        <v>1031595</v>
      </c>
      <c r="J505" s="9" t="n">
        <v>0.857</v>
      </c>
      <c r="K505" s="1" t="inlineStr">
        <is>
          <t>Yes</t>
        </is>
      </c>
      <c r="L505" s="1" t="inlineStr">
        <is>
          <t>Yes</t>
        </is>
      </c>
      <c r="M505" s="1" t="inlineStr">
        <is>
          <t>Yes</t>
        </is>
      </c>
      <c r="N505" s="1" t="inlineStr">
        <is>
          <t>Algorithms</t>
        </is>
      </c>
      <c r="O5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06" ht="15.75" customHeight="1" s="12">
      <c r="A506" s="1" t="n">
        <v>52</v>
      </c>
      <c r="B506" s="3">
        <f>HYPERLINK("https://leetcode.com/problems/n-queens-ii/", "N-Queens II")</f>
        <v/>
      </c>
      <c r="C506" s="1" t="n">
        <v>4228</v>
      </c>
      <c r="D506" s="1" t="n">
        <v>282</v>
      </c>
      <c r="E506" s="4">
        <f>IF(INDEX(C:C, ROW())+INDEX(D:D, ROW())=0, 0, INDEX(C:C, ROW())/(INDEX(C:C, ROW())+INDEX(D:D, ROW())))</f>
        <v/>
      </c>
      <c r="F506" s="1" t="inlineStr">
        <is>
          <t>Backtracking</t>
        </is>
      </c>
      <c r="G506" s="1" t="inlineStr">
        <is>
          <t>Hard</t>
        </is>
      </c>
      <c r="H506" s="1" t="n">
        <v>564467</v>
      </c>
      <c r="I506" s="1" t="n">
        <v>724131</v>
      </c>
      <c r="J506" s="9" t="n">
        <v>0.78</v>
      </c>
      <c r="K506" s="1" t="inlineStr">
        <is>
          <t>Yes</t>
        </is>
      </c>
      <c r="L506" s="1" t="inlineStr">
        <is>
          <t>Yes</t>
        </is>
      </c>
      <c r="M506" s="1" t="inlineStr">
        <is>
          <t>No</t>
        </is>
      </c>
      <c r="N506" s="1" t="inlineStr">
        <is>
          <t>Algorithms</t>
        </is>
      </c>
      <c r="O5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07" ht="15.75" customHeight="1" s="12">
      <c r="A507" s="1" t="n">
        <v>853</v>
      </c>
      <c r="B507" s="3">
        <f>HYPERLINK("https://leetcode.com/problems/car-fleet/", "Car Fleet")</f>
        <v/>
      </c>
      <c r="C507" s="1" t="n">
        <v>4211</v>
      </c>
      <c r="D507" s="1" t="n">
        <v>1200</v>
      </c>
      <c r="E507" s="4">
        <f>IF(INDEX(C:C, ROW())+INDEX(D:D, ROW())=0, 0, INDEX(C:C, ROW())/(INDEX(C:C, ROW())+INDEX(D:D, ROW())))</f>
        <v/>
      </c>
      <c r="F507" s="1" t="inlineStr">
        <is>
          <t>Array, Stack, Sorting, Monotonic Stack</t>
        </is>
      </c>
      <c r="G507" s="1" t="inlineStr">
        <is>
          <t>Medium</t>
        </is>
      </c>
      <c r="H507" s="1" t="n">
        <v>453592</v>
      </c>
      <c r="I507" s="1" t="n">
        <v>831909</v>
      </c>
      <c r="J507" s="9" t="n">
        <v>0.545</v>
      </c>
      <c r="K507" s="1" t="inlineStr">
        <is>
          <t>Yes</t>
        </is>
      </c>
      <c r="L507" s="1" t="inlineStr">
        <is>
          <t>Yes</t>
        </is>
      </c>
      <c r="M507" s="1" t="inlineStr">
        <is>
          <t>No</t>
        </is>
      </c>
      <c r="N507" s="1" t="inlineStr">
        <is>
          <t>Algorithms</t>
        </is>
      </c>
      <c r="O5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08" ht="15.75" customHeight="1" s="12">
      <c r="A508" s="1" t="n">
        <v>374</v>
      </c>
      <c r="B508" s="3">
        <f>HYPERLINK("https://leetcode.com/problems/guess-number-higher-or-lower/", "Guess Number Higher or Lower")</f>
        <v/>
      </c>
      <c r="C508" s="1" t="n">
        <v>4194</v>
      </c>
      <c r="D508" s="1" t="n">
        <v>676</v>
      </c>
      <c r="E508" s="4">
        <f>IF(INDEX(C:C, ROW())+INDEX(D:D, ROW())=0, 0, INDEX(C:C, ROW())/(INDEX(C:C, ROW())+INDEX(D:D, ROW())))</f>
        <v/>
      </c>
      <c r="F508" s="1" t="inlineStr">
        <is>
          <t>Binary Search, Interactive</t>
        </is>
      </c>
      <c r="G508" s="1" t="inlineStr">
        <is>
          <t>Easy</t>
        </is>
      </c>
      <c r="H508" s="1" t="n">
        <v>962758</v>
      </c>
      <c r="I508" s="1" t="n">
        <v>1692890</v>
      </c>
      <c r="J508" s="9" t="n">
        <v>0.569</v>
      </c>
      <c r="K508" s="1" t="inlineStr">
        <is>
          <t>Yes</t>
        </is>
      </c>
      <c r="L508" s="1" t="inlineStr">
        <is>
          <t>Yes</t>
        </is>
      </c>
      <c r="M508" s="1" t="inlineStr">
        <is>
          <t>Yes</t>
        </is>
      </c>
      <c r="N508" s="1" t="inlineStr">
        <is>
          <t>Algorithms</t>
        </is>
      </c>
      <c r="O5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09" ht="15.75" customHeight="1" s="12">
      <c r="A509" s="1" t="n">
        <v>175</v>
      </c>
      <c r="B509" s="3">
        <f>HYPERLINK("https://leetcode.com/problems/combine-two-tables/", "Combine Two Tables")</f>
        <v/>
      </c>
      <c r="C509" s="1" t="n">
        <v>4186</v>
      </c>
      <c r="D509" s="1" t="n">
        <v>252</v>
      </c>
      <c r="E509" s="4">
        <f>IF(INDEX(C:C, ROW())+INDEX(D:D, ROW())=0, 0, INDEX(C:C, ROW())/(INDEX(C:C, ROW())+INDEX(D:D, ROW())))</f>
        <v/>
      </c>
      <c r="F509" s="1" t="inlineStr">
        <is>
          <t>Database</t>
        </is>
      </c>
      <c r="G509" s="1" t="inlineStr">
        <is>
          <t>Easy</t>
        </is>
      </c>
      <c r="H509" s="1" t="n">
        <v>1636940</v>
      </c>
      <c r="I509" s="1" t="n">
        <v>2071337</v>
      </c>
      <c r="J509" s="9" t="n">
        <v>0.79</v>
      </c>
      <c r="K509" s="1" t="inlineStr">
        <is>
          <t>Yes</t>
        </is>
      </c>
      <c r="L509" s="1" t="inlineStr">
        <is>
          <t>Yes</t>
        </is>
      </c>
      <c r="M509" s="1" t="inlineStr">
        <is>
          <t>No</t>
        </is>
      </c>
      <c r="N509" s="1" t="inlineStr">
        <is>
          <t>Database</t>
        </is>
      </c>
      <c r="O5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10" ht="15.75" customHeight="1" s="12">
      <c r="A510" s="1" t="n">
        <v>696</v>
      </c>
      <c r="B510" s="3">
        <f>HYPERLINK("https://leetcode.com/problems/count-binary-substrings/", "Count Binary Substrings")</f>
        <v/>
      </c>
      <c r="C510" s="1" t="n">
        <v>4173</v>
      </c>
      <c r="D510" s="1" t="n">
        <v>915</v>
      </c>
      <c r="E510" s="4">
        <f>IF(INDEX(C:C, ROW())+INDEX(D:D, ROW())=0, 0, INDEX(C:C, ROW())/(INDEX(C:C, ROW())+INDEX(D:D, ROW())))</f>
        <v/>
      </c>
      <c r="F510" s="1" t="inlineStr">
        <is>
          <t>Two Pointers, String</t>
        </is>
      </c>
      <c r="G510" s="1" t="inlineStr">
        <is>
          <t>Easy</t>
        </is>
      </c>
      <c r="H510" s="1" t="n">
        <v>252188</v>
      </c>
      <c r="I510" s="1" t="n">
        <v>379879</v>
      </c>
      <c r="J510" s="9" t="n">
        <v>0.664</v>
      </c>
      <c r="K510" s="1" t="inlineStr">
        <is>
          <t>Yes</t>
        </is>
      </c>
      <c r="L510" s="1" t="inlineStr">
        <is>
          <t>Yes</t>
        </is>
      </c>
      <c r="M510" s="1" t="inlineStr">
        <is>
          <t>No</t>
        </is>
      </c>
      <c r="N510" s="1" t="inlineStr">
        <is>
          <t>Algorithms</t>
        </is>
      </c>
      <c r="O5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11" ht="15.75" customHeight="1" s="12">
      <c r="A511" s="1" t="n">
        <v>176</v>
      </c>
      <c r="B511" s="3">
        <f>HYPERLINK("https://leetcode.com/problems/second-highest-salary/", "Second Highest Salary")</f>
        <v/>
      </c>
      <c r="C511" s="1" t="n">
        <v>4138</v>
      </c>
      <c r="D511" s="1" t="n">
        <v>1010</v>
      </c>
      <c r="E511" s="4">
        <f>IF(INDEX(C:C, ROW())+INDEX(D:D, ROW())=0, 0, INDEX(C:C, ROW())/(INDEX(C:C, ROW())+INDEX(D:D, ROW())))</f>
        <v/>
      </c>
      <c r="F511" s="1" t="inlineStr">
        <is>
          <t>Database</t>
        </is>
      </c>
      <c r="G511" s="1" t="inlineStr">
        <is>
          <t>Medium</t>
        </is>
      </c>
      <c r="H511" s="1" t="n">
        <v>1417662</v>
      </c>
      <c r="I511" s="1" t="n">
        <v>3083079</v>
      </c>
      <c r="J511" s="9" t="n">
        <v>0.46</v>
      </c>
      <c r="K511" s="1" t="inlineStr">
        <is>
          <t>Yes</t>
        </is>
      </c>
      <c r="L511" s="1" t="inlineStr">
        <is>
          <t>Yes</t>
        </is>
      </c>
      <c r="M511" s="1" t="inlineStr">
        <is>
          <t>No</t>
        </is>
      </c>
      <c r="N511" s="1" t="inlineStr">
        <is>
          <t>Database</t>
        </is>
      </c>
      <c r="O5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12" ht="15.75" customHeight="1" s="12">
      <c r="A512" s="1" t="n">
        <v>867</v>
      </c>
      <c r="B512" s="3">
        <f>HYPERLINK("https://leetcode.com/problems/transpose-matrix/", "Transpose Matrix")</f>
        <v/>
      </c>
      <c r="C512" s="1" t="n">
        <v>4133</v>
      </c>
      <c r="D512" s="1" t="n">
        <v>456</v>
      </c>
      <c r="E512" s="4">
        <f>IF(INDEX(C:C, ROW())+INDEX(D:D, ROW())=0, 0, INDEX(C:C, ROW())/(INDEX(C:C, ROW())+INDEX(D:D, ROW())))</f>
        <v/>
      </c>
      <c r="F512" s="1" t="inlineStr">
        <is>
          <t>Array, Matrix, Simulation</t>
        </is>
      </c>
      <c r="G512" s="1" t="inlineStr">
        <is>
          <t>Easy</t>
        </is>
      </c>
      <c r="H512" s="1" t="n">
        <v>560651</v>
      </c>
      <c r="I512" s="1" t="n">
        <v>742196</v>
      </c>
      <c r="J512" s="9" t="n">
        <v>0.755</v>
      </c>
      <c r="K512" s="1" t="inlineStr">
        <is>
          <t>Yes</t>
        </is>
      </c>
      <c r="L512" s="1" t="inlineStr">
        <is>
          <t>Yes</t>
        </is>
      </c>
      <c r="M512" s="1" t="inlineStr">
        <is>
          <t>No</t>
        </is>
      </c>
      <c r="N512" s="1" t="inlineStr">
        <is>
          <t>Algorithms</t>
        </is>
      </c>
      <c r="O5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13" ht="15.75" customHeight="1" s="12">
      <c r="A513" s="1" t="n">
        <v>532</v>
      </c>
      <c r="B513" s="3">
        <f>HYPERLINK("https://leetcode.com/problems/k-diff-pairs-in-an-array/", "K-diff Pairs in an Array")</f>
        <v/>
      </c>
      <c r="C513" s="1" t="n">
        <v>4129</v>
      </c>
      <c r="D513" s="1" t="n">
        <v>2287</v>
      </c>
      <c r="E513" s="4">
        <f>IF(INDEX(C:C, ROW())+INDEX(D:D, ROW())=0, 0, INDEX(C:C, ROW())/(INDEX(C:C, ROW())+INDEX(D:D, ROW())))</f>
        <v/>
      </c>
      <c r="F513" s="1" t="inlineStr">
        <is>
          <t>Array, Hash Table, Two Pointers, Binary Search, Sorting</t>
        </is>
      </c>
      <c r="G513" s="1" t="inlineStr">
        <is>
          <t>Medium</t>
        </is>
      </c>
      <c r="H513" s="1" t="n">
        <v>416472</v>
      </c>
      <c r="I513" s="1" t="n">
        <v>915746</v>
      </c>
      <c r="J513" s="9" t="n">
        <v>0.455</v>
      </c>
      <c r="K513" s="1" t="inlineStr">
        <is>
          <t>Yes</t>
        </is>
      </c>
      <c r="L513" s="1" t="inlineStr">
        <is>
          <t>Yes</t>
        </is>
      </c>
      <c r="M513" s="1" t="inlineStr">
        <is>
          <t>No</t>
        </is>
      </c>
      <c r="N513" s="1" t="inlineStr">
        <is>
          <t>Algorithms</t>
        </is>
      </c>
      <c r="O5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14" ht="15.75" customHeight="1" s="12">
      <c r="A514" s="1" t="n">
        <v>502</v>
      </c>
      <c r="B514" s="3">
        <f>HYPERLINK("https://leetcode.com/problems/ipo/", "IPO")</f>
        <v/>
      </c>
      <c r="C514" s="1" t="n">
        <v>4128</v>
      </c>
      <c r="D514" s="1" t="n">
        <v>280</v>
      </c>
      <c r="E514" s="4">
        <f>IF(INDEX(C:C, ROW())+INDEX(D:D, ROW())=0, 0, INDEX(C:C, ROW())/(INDEX(C:C, ROW())+INDEX(D:D, ROW())))</f>
        <v/>
      </c>
      <c r="F514" s="1" t="inlineStr">
        <is>
          <t>Array, Greedy, Sorting, Heap (Priority Queue)</t>
        </is>
      </c>
      <c r="G514" s="1" t="inlineStr">
        <is>
          <t>Hard</t>
        </is>
      </c>
      <c r="H514" s="1" t="n">
        <v>301105</v>
      </c>
      <c r="I514" s="1" t="n">
        <v>565234</v>
      </c>
      <c r="J514" s="9" t="n">
        <v>0.533</v>
      </c>
      <c r="K514" s="1" t="inlineStr">
        <is>
          <t>Yes</t>
        </is>
      </c>
      <c r="L514" s="1" t="inlineStr">
        <is>
          <t>Yes</t>
        </is>
      </c>
      <c r="M514" s="1" t="inlineStr">
        <is>
          <t>No</t>
        </is>
      </c>
      <c r="N514" s="1" t="inlineStr">
        <is>
          <t>Algorithms</t>
        </is>
      </c>
      <c r="O5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15" ht="15.75" customHeight="1" s="12">
      <c r="A515" s="1" t="n">
        <v>790</v>
      </c>
      <c r="B515" s="3">
        <f>HYPERLINK("https://leetcode.com/problems/domino-and-tromino-tiling/", "Domino and Tromino Tiling")</f>
        <v/>
      </c>
      <c r="C515" s="1" t="n">
        <v>4122</v>
      </c>
      <c r="D515" s="1" t="n">
        <v>1314</v>
      </c>
      <c r="E515" s="4">
        <f>IF(INDEX(C:C, ROW())+INDEX(D:D, ROW())=0, 0, INDEX(C:C, ROW())/(INDEX(C:C, ROW())+INDEX(D:D, ROW())))</f>
        <v/>
      </c>
      <c r="F515" s="1" t="inlineStr">
        <is>
          <t>Dynamic Programming</t>
        </is>
      </c>
      <c r="G515" s="1" t="inlineStr">
        <is>
          <t>Medium</t>
        </is>
      </c>
      <c r="H515" s="1" t="n">
        <v>274371</v>
      </c>
      <c r="I515" s="1" t="n">
        <v>532646</v>
      </c>
      <c r="J515" s="9" t="n">
        <v>0.515</v>
      </c>
      <c r="K515" s="1" t="inlineStr">
        <is>
          <t>Yes</t>
        </is>
      </c>
      <c r="L515" s="1" t="inlineStr">
        <is>
          <t>Yes</t>
        </is>
      </c>
      <c r="M515" s="1" t="inlineStr">
        <is>
          <t>Yes</t>
        </is>
      </c>
      <c r="N515" s="1" t="inlineStr">
        <is>
          <t>Algorithms</t>
        </is>
      </c>
      <c r="O5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16" ht="15.75" customHeight="1" s="12">
      <c r="A516" s="1" t="n">
        <v>515</v>
      </c>
      <c r="B516" s="3">
        <f>HYPERLINK("https://leetcode.com/problems/find-largest-value-in-each-tree-row/", "Find Largest Value in Each Tree Row")</f>
        <v/>
      </c>
      <c r="C516" s="1" t="n">
        <v>4114</v>
      </c>
      <c r="D516" s="1" t="n">
        <v>130</v>
      </c>
      <c r="E516" s="4">
        <f>IF(INDEX(C:C, ROW())+INDEX(D:D, ROW())=0, 0, INDEX(C:C, ROW())/(INDEX(C:C, ROW())+INDEX(D:D, ROW())))</f>
        <v/>
      </c>
      <c r="F516" s="1" t="inlineStr">
        <is>
          <t>Tree, Depth-First Search, Breadth-First Search, Binary Tree</t>
        </is>
      </c>
      <c r="G516" s="1" t="inlineStr">
        <is>
          <t>Medium</t>
        </is>
      </c>
      <c r="H516" s="1" t="n">
        <v>509164</v>
      </c>
      <c r="I516" s="1" t="n">
        <v>768266</v>
      </c>
      <c r="J516" s="9" t="n">
        <v>0.663</v>
      </c>
      <c r="K516" s="1" t="inlineStr">
        <is>
          <t>Yes</t>
        </is>
      </c>
      <c r="L516" s="1" t="inlineStr">
        <is>
          <t>Yes</t>
        </is>
      </c>
      <c r="M516" s="1" t="inlineStr">
        <is>
          <t>No</t>
        </is>
      </c>
      <c r="N516" s="1" t="inlineStr">
        <is>
          <t>Algorithms</t>
        </is>
      </c>
      <c r="O5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17" ht="15.75" customHeight="1" s="12">
      <c r="A517" s="1" t="n">
        <v>779</v>
      </c>
      <c r="B517" s="3">
        <f>HYPERLINK("https://leetcode.com/problems/k-th-symbol-in-grammar/", "K-th Symbol in Grammar")</f>
        <v/>
      </c>
      <c r="C517" s="1" t="n">
        <v>4108</v>
      </c>
      <c r="D517" s="1" t="n">
        <v>425</v>
      </c>
      <c r="E517" s="4">
        <f>IF(INDEX(C:C, ROW())+INDEX(D:D, ROW())=0, 0, INDEX(C:C, ROW())/(INDEX(C:C, ROW())+INDEX(D:D, ROW())))</f>
        <v/>
      </c>
      <c r="F517" s="1" t="inlineStr">
        <is>
          <t>Math, Bit Manipulation, Recursion</t>
        </is>
      </c>
      <c r="G517" s="1" t="inlineStr">
        <is>
          <t>Medium</t>
        </is>
      </c>
      <c r="H517" s="1" t="n">
        <v>250737</v>
      </c>
      <c r="I517" s="1" t="n">
        <v>522801</v>
      </c>
      <c r="J517" s="9" t="n">
        <v>0.48</v>
      </c>
      <c r="K517" s="1" t="inlineStr">
        <is>
          <t>Yes</t>
        </is>
      </c>
      <c r="L517" s="1" t="inlineStr">
        <is>
          <t>Yes</t>
        </is>
      </c>
      <c r="M517" s="1" t="inlineStr">
        <is>
          <t>No</t>
        </is>
      </c>
      <c r="N517" s="1" t="inlineStr">
        <is>
          <t>Algorithms</t>
        </is>
      </c>
      <c r="O5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18" ht="15.75" customHeight="1" s="12">
      <c r="A518" s="1" t="n">
        <v>1472</v>
      </c>
      <c r="B518" s="3">
        <f>HYPERLINK("https://leetcode.com/problems/design-browser-history/", "Design Browser History")</f>
        <v/>
      </c>
      <c r="C518" s="1" t="n">
        <v>4106</v>
      </c>
      <c r="D518" s="1" t="n">
        <v>267</v>
      </c>
      <c r="E518" s="4">
        <f>IF(INDEX(C:C, ROW())+INDEX(D:D, ROW())=0, 0, INDEX(C:C, ROW())/(INDEX(C:C, ROW())+INDEX(D:D, ROW())))</f>
        <v/>
      </c>
      <c r="F518" s="1" t="inlineStr">
        <is>
          <t>Array, Linked List, Stack, Design, Doubly-Linked List, Data Stream</t>
        </is>
      </c>
      <c r="G518" s="1" t="inlineStr">
        <is>
          <t>Medium</t>
        </is>
      </c>
      <c r="H518" s="1" t="n">
        <v>325595</v>
      </c>
      <c r="I518" s="1" t="n">
        <v>416674</v>
      </c>
      <c r="J518" s="9" t="n">
        <v>0.781</v>
      </c>
      <c r="K518" s="1" t="inlineStr">
        <is>
          <t>Yes</t>
        </is>
      </c>
      <c r="L518" s="1" t="inlineStr">
        <is>
          <t>Yes</t>
        </is>
      </c>
      <c r="M518" s="1" t="inlineStr">
        <is>
          <t>No</t>
        </is>
      </c>
      <c r="N518" s="1" t="inlineStr">
        <is>
          <t>Algorithms</t>
        </is>
      </c>
      <c r="O5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19" ht="15.75" customHeight="1" s="12">
      <c r="A519" s="1" t="n">
        <v>1161</v>
      </c>
      <c r="B519" s="3">
        <f>HYPERLINK("https://leetcode.com/problems/maximum-level-sum-of-a-binary-tree/", "Maximum Level Sum of a Binary Tree")</f>
        <v/>
      </c>
      <c r="C519" s="1" t="n">
        <v>4095</v>
      </c>
      <c r="D519" s="1" t="n">
        <v>116</v>
      </c>
      <c r="E519" s="4">
        <f>IF(INDEX(C:C, ROW())+INDEX(D:D, ROW())=0, 0, INDEX(C:C, ROW())/(INDEX(C:C, ROW())+INDEX(D:D, ROW())))</f>
        <v/>
      </c>
      <c r="F519" s="1" t="inlineStr">
        <is>
          <t>Tree, Depth-First Search, Breadth-First Search, Binary Tree</t>
        </is>
      </c>
      <c r="G519" s="1" t="inlineStr">
        <is>
          <t>Medium</t>
        </is>
      </c>
      <c r="H519" s="1" t="n">
        <v>550722</v>
      </c>
      <c r="I519" s="1" t="n">
        <v>787194</v>
      </c>
      <c r="J519" s="9" t="n">
        <v>0.7</v>
      </c>
      <c r="K519" s="1" t="inlineStr">
        <is>
          <t>Yes</t>
        </is>
      </c>
      <c r="L519" s="1" t="inlineStr">
        <is>
          <t>Yes</t>
        </is>
      </c>
      <c r="M519" s="1" t="inlineStr">
        <is>
          <t>No</t>
        </is>
      </c>
      <c r="N519" s="1" t="inlineStr">
        <is>
          <t>Algorithms</t>
        </is>
      </c>
      <c r="O5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20" ht="15.75" customHeight="1" s="12">
      <c r="A520" s="1" t="n">
        <v>501</v>
      </c>
      <c r="B520" s="3">
        <f>HYPERLINK("https://leetcode.com/problems/find-mode-in-binary-search-tree/", "Find Mode in Binary Search Tree")</f>
        <v/>
      </c>
      <c r="C520" s="1" t="n">
        <v>4091</v>
      </c>
      <c r="D520" s="1" t="n">
        <v>812</v>
      </c>
      <c r="E520" s="4">
        <f>IF(INDEX(C:C, ROW())+INDEX(D:D, ROW())=0, 0, INDEX(C:C, ROW())/(INDEX(C:C, ROW())+INDEX(D:D, ROW())))</f>
        <v/>
      </c>
      <c r="F520" s="1" t="inlineStr">
        <is>
          <t>Tree, Depth-First Search, Binary Search Tree, Binary Tree</t>
        </is>
      </c>
      <c r="G520" s="1" t="inlineStr">
        <is>
          <t>Easy</t>
        </is>
      </c>
      <c r="H520" s="1" t="n">
        <v>379779</v>
      </c>
      <c r="I520" s="1" t="n">
        <v>651118</v>
      </c>
      <c r="J520" s="9" t="n">
        <v>0.583</v>
      </c>
      <c r="K520" s="1" t="inlineStr">
        <is>
          <t>Yes</t>
        </is>
      </c>
      <c r="L520" s="1" t="inlineStr">
        <is>
          <t>Yes</t>
        </is>
      </c>
      <c r="M520" s="1" t="inlineStr">
        <is>
          <t>No</t>
        </is>
      </c>
      <c r="N520" s="1" t="inlineStr">
        <is>
          <t>Algorithms</t>
        </is>
      </c>
      <c r="O5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21" ht="15.75" customHeight="1" s="12">
      <c r="A521" s="1" t="n">
        <v>197</v>
      </c>
      <c r="B521" s="3">
        <f>HYPERLINK("https://leetcode.com/problems/rising-temperature/", "Rising Temperature")</f>
        <v/>
      </c>
      <c r="C521" s="1" t="n">
        <v>4089</v>
      </c>
      <c r="D521" s="1" t="n">
        <v>731</v>
      </c>
      <c r="E521" s="4">
        <f>IF(INDEX(C:C, ROW())+INDEX(D:D, ROW())=0, 0, INDEX(C:C, ROW())/(INDEX(C:C, ROW())+INDEX(D:D, ROW())))</f>
        <v/>
      </c>
      <c r="F521" s="1" t="inlineStr">
        <is>
          <t>Database</t>
        </is>
      </c>
      <c r="G521" s="1" t="inlineStr">
        <is>
          <t>Easy</t>
        </is>
      </c>
      <c r="H521" s="1" t="n">
        <v>1383183</v>
      </c>
      <c r="I521" s="1" t="n">
        <v>2716374</v>
      </c>
      <c r="J521" s="9" t="n">
        <v>0.509</v>
      </c>
      <c r="K521" s="1" t="inlineStr">
        <is>
          <t>Yes</t>
        </is>
      </c>
      <c r="L521" s="1" t="inlineStr">
        <is>
          <t>Yes</t>
        </is>
      </c>
      <c r="M521" s="1" t="inlineStr">
        <is>
          <t>No</t>
        </is>
      </c>
      <c r="N521" s="1" t="inlineStr">
        <is>
          <t>Database</t>
        </is>
      </c>
      <c r="O5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22" ht="15.75" customHeight="1" s="12">
      <c r="A522" s="1" t="n">
        <v>1657</v>
      </c>
      <c r="B522" s="3">
        <f>HYPERLINK("https://leetcode.com/problems/determine-if-two-strings-are-close/", "Determine if Two Strings Are Close")</f>
        <v/>
      </c>
      <c r="C522" s="1" t="n">
        <v>4082</v>
      </c>
      <c r="D522" s="1" t="n">
        <v>352</v>
      </c>
      <c r="E522" s="4">
        <f>IF(INDEX(C:C, ROW())+INDEX(D:D, ROW())=0, 0, INDEX(C:C, ROW())/(INDEX(C:C, ROW())+INDEX(D:D, ROW())))</f>
        <v/>
      </c>
      <c r="F522" s="1" t="inlineStr">
        <is>
          <t>Hash Table, String, Sorting, Counting</t>
        </is>
      </c>
      <c r="G522" s="1" t="inlineStr">
        <is>
          <t>Medium</t>
        </is>
      </c>
      <c r="H522" s="1" t="n">
        <v>544416</v>
      </c>
      <c r="I522" s="1" t="n">
        <v>1004253</v>
      </c>
      <c r="J522" s="9" t="n">
        <v>0.542</v>
      </c>
      <c r="K522" s="1" t="inlineStr">
        <is>
          <t>Yes</t>
        </is>
      </c>
      <c r="L522" s="1" t="inlineStr">
        <is>
          <t>Yes</t>
        </is>
      </c>
      <c r="M522" s="1" t="inlineStr">
        <is>
          <t>No</t>
        </is>
      </c>
      <c r="N522" s="1" t="inlineStr">
        <is>
          <t>Algorithms</t>
        </is>
      </c>
      <c r="O5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23" ht="15.75" customHeight="1" s="12">
      <c r="A523" s="1" t="n">
        <v>1823</v>
      </c>
      <c r="B523" s="3">
        <f>HYPERLINK("https://leetcode.com/problems/find-the-winner-of-the-circular-game/", "Find the Winner of the Circular Game")</f>
        <v/>
      </c>
      <c r="C523" s="1" t="n">
        <v>4065</v>
      </c>
      <c r="D523" s="1" t="n">
        <v>126</v>
      </c>
      <c r="E523" s="4">
        <f>IF(INDEX(C:C, ROW())+INDEX(D:D, ROW())=0, 0, INDEX(C:C, ROW())/(INDEX(C:C, ROW())+INDEX(D:D, ROW())))</f>
        <v/>
      </c>
      <c r="F523" s="1" t="inlineStr">
        <is>
          <t>Array, Math, Recursion, Queue, Simulation</t>
        </is>
      </c>
      <c r="G523" s="1" t="inlineStr">
        <is>
          <t>Medium</t>
        </is>
      </c>
      <c r="H523" s="1" t="n">
        <v>362888</v>
      </c>
      <c r="I523" s="1" t="n">
        <v>441533</v>
      </c>
      <c r="J523" s="9" t="n">
        <v>0.822</v>
      </c>
      <c r="K523" s="1" t="inlineStr">
        <is>
          <t>Yes</t>
        </is>
      </c>
      <c r="L523" s="1" t="inlineStr">
        <is>
          <t>Yes</t>
        </is>
      </c>
      <c r="M523" s="1" t="inlineStr">
        <is>
          <t>No</t>
        </is>
      </c>
      <c r="N523" s="1" t="inlineStr">
        <is>
          <t>Algorithms</t>
        </is>
      </c>
      <c r="O5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24" ht="15.75" customHeight="1" s="12">
      <c r="A524" s="1" t="n">
        <v>2149</v>
      </c>
      <c r="B524" s="3">
        <f>HYPERLINK("https://leetcode.com/problems/rearrange-array-elements-by-sign/", "Rearrange Array Elements by Sign")</f>
        <v/>
      </c>
      <c r="C524" s="1" t="n">
        <v>4055</v>
      </c>
      <c r="D524" s="1" t="n">
        <v>227</v>
      </c>
      <c r="E524" s="4">
        <f>IF(INDEX(C:C, ROW())+INDEX(D:D, ROW())=0, 0, INDEX(C:C, ROW())/(INDEX(C:C, ROW())+INDEX(D:D, ROW())))</f>
        <v/>
      </c>
      <c r="F524" s="1" t="inlineStr">
        <is>
          <t>Array, Two Pointers, Simulation</t>
        </is>
      </c>
      <c r="G524" s="1" t="inlineStr">
        <is>
          <t>Medium</t>
        </is>
      </c>
      <c r="H524" s="1" t="n">
        <v>773028</v>
      </c>
      <c r="I524" s="1" t="n">
        <v>914933</v>
      </c>
      <c r="J524" s="9" t="n">
        <v>0.845</v>
      </c>
      <c r="K524" s="1" t="inlineStr">
        <is>
          <t>Yes</t>
        </is>
      </c>
      <c r="L524" s="1" t="inlineStr">
        <is>
          <t>Yes</t>
        </is>
      </c>
      <c r="M524" s="1" t="inlineStr">
        <is>
          <t>No</t>
        </is>
      </c>
      <c r="N524" s="1" t="inlineStr">
        <is>
          <t>Algorithms</t>
        </is>
      </c>
      <c r="O5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25" ht="15.75" customHeight="1" s="12">
      <c r="A525" s="1" t="n">
        <v>472</v>
      </c>
      <c r="B525" s="3">
        <f>HYPERLINK("https://leetcode.com/problems/concatenated-words/", "Concatenated Words")</f>
        <v/>
      </c>
      <c r="C525" s="1" t="n">
        <v>4054</v>
      </c>
      <c r="D525" s="1" t="n">
        <v>292</v>
      </c>
      <c r="E525" s="4">
        <f>IF(INDEX(C:C, ROW())+INDEX(D:D, ROW())=0, 0, INDEX(C:C, ROW())/(INDEX(C:C, ROW())+INDEX(D:D, ROW())))</f>
        <v/>
      </c>
      <c r="F525" s="1" t="inlineStr">
        <is>
          <t>Array, String, Dynamic Programming, Depth-First Search, Trie, Sorting</t>
        </is>
      </c>
      <c r="G525" s="1" t="inlineStr">
        <is>
          <t>Hard</t>
        </is>
      </c>
      <c r="H525" s="1" t="n">
        <v>262862</v>
      </c>
      <c r="I525" s="1" t="n">
        <v>529195</v>
      </c>
      <c r="J525" s="9" t="n">
        <v>0.497</v>
      </c>
      <c r="K525" s="1" t="inlineStr">
        <is>
          <t>Yes</t>
        </is>
      </c>
      <c r="L525" s="1" t="inlineStr">
        <is>
          <t>Yes</t>
        </is>
      </c>
      <c r="M525" s="1" t="inlineStr">
        <is>
          <t>No</t>
        </is>
      </c>
      <c r="N525" s="1" t="inlineStr">
        <is>
          <t>Algorithms</t>
        </is>
      </c>
      <c r="O5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26" ht="15.75" customHeight="1" s="12">
      <c r="A526" s="1" t="n">
        <v>890</v>
      </c>
      <c r="B526" s="3">
        <f>HYPERLINK("https://leetcode.com/problems/find-and-replace-pattern/", "Find and Replace Pattern")</f>
        <v/>
      </c>
      <c r="C526" s="1" t="n">
        <v>4020</v>
      </c>
      <c r="D526" s="1" t="n">
        <v>174</v>
      </c>
      <c r="E526" s="4">
        <f>IF(INDEX(C:C, ROW())+INDEX(D:D, ROW())=0, 0, INDEX(C:C, ROW())/(INDEX(C:C, ROW())+INDEX(D:D, ROW())))</f>
        <v/>
      </c>
      <c r="F526" s="1" t="inlineStr">
        <is>
          <t>Array, Hash Table, String</t>
        </is>
      </c>
      <c r="G526" s="1" t="inlineStr">
        <is>
          <t>Medium</t>
        </is>
      </c>
      <c r="H526" s="1" t="n">
        <v>210922</v>
      </c>
      <c r="I526" s="1" t="n">
        <v>274174</v>
      </c>
      <c r="J526" s="9" t="n">
        <v>0.769</v>
      </c>
      <c r="K526" s="1" t="inlineStr">
        <is>
          <t>Yes</t>
        </is>
      </c>
      <c r="L526" s="1" t="inlineStr">
        <is>
          <t>Yes</t>
        </is>
      </c>
      <c r="M526" s="1" t="inlineStr">
        <is>
          <t>No</t>
        </is>
      </c>
      <c r="N526" s="1" t="inlineStr">
        <is>
          <t>Algorithms</t>
        </is>
      </c>
      <c r="O5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27" ht="15.75" customHeight="1" s="12">
      <c r="A527" s="1" t="n">
        <v>461</v>
      </c>
      <c r="B527" s="3">
        <f>HYPERLINK("https://leetcode.com/problems/hamming-distance/", "Hamming Distance")</f>
        <v/>
      </c>
      <c r="C527" s="1" t="n">
        <v>4014</v>
      </c>
      <c r="D527" s="1" t="n">
        <v>229</v>
      </c>
      <c r="E527" s="4">
        <f>IF(INDEX(C:C, ROW())+INDEX(D:D, ROW())=0, 0, INDEX(C:C, ROW())/(INDEX(C:C, ROW())+INDEX(D:D, ROW())))</f>
        <v/>
      </c>
      <c r="F527" s="1" t="inlineStr">
        <is>
          <t>Bit Manipulation</t>
        </is>
      </c>
      <c r="G527" s="1" t="inlineStr">
        <is>
          <t>Easy</t>
        </is>
      </c>
      <c r="H527" s="1" t="n">
        <v>672089</v>
      </c>
      <c r="I527" s="1" t="n">
        <v>878422</v>
      </c>
      <c r="J527" s="9" t="n">
        <v>0.765</v>
      </c>
      <c r="K527" s="1" t="inlineStr">
        <is>
          <t>Yes</t>
        </is>
      </c>
      <c r="L527" s="1" t="inlineStr">
        <is>
          <t>Yes</t>
        </is>
      </c>
      <c r="M527" s="1" t="inlineStr">
        <is>
          <t>No</t>
        </is>
      </c>
      <c r="N527" s="1" t="inlineStr">
        <is>
          <t>Algorithms</t>
        </is>
      </c>
      <c r="O5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28" ht="15.75" customHeight="1" s="12">
      <c r="A528" s="1" t="n">
        <v>1710</v>
      </c>
      <c r="B528" s="3">
        <f>HYPERLINK("https://leetcode.com/problems/maximum-units-on-a-truck/", "Maximum Units on a Truck")</f>
        <v/>
      </c>
      <c r="C528" s="1" t="n">
        <v>4006</v>
      </c>
      <c r="D528" s="1" t="n">
        <v>238</v>
      </c>
      <c r="E528" s="4">
        <f>IF(INDEX(C:C, ROW())+INDEX(D:D, ROW())=0, 0, INDEX(C:C, ROW())/(INDEX(C:C, ROW())+INDEX(D:D, ROW())))</f>
        <v/>
      </c>
      <c r="F528" s="1" t="inlineStr">
        <is>
          <t>Array, Greedy, Sorting</t>
        </is>
      </c>
      <c r="G528" s="1" t="inlineStr">
        <is>
          <t>Easy</t>
        </is>
      </c>
      <c r="H528" s="1" t="n">
        <v>377742</v>
      </c>
      <c r="I528" s="1" t="n">
        <v>506339</v>
      </c>
      <c r="J528" s="9" t="n">
        <v>0.746</v>
      </c>
      <c r="K528" s="1" t="inlineStr">
        <is>
          <t>Yes</t>
        </is>
      </c>
      <c r="L528" s="1" t="inlineStr">
        <is>
          <t>Yes</t>
        </is>
      </c>
      <c r="M528" s="1" t="inlineStr">
        <is>
          <t>No</t>
        </is>
      </c>
      <c r="N528" s="1" t="inlineStr">
        <is>
          <t>Algorithms</t>
        </is>
      </c>
      <c r="O5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29" ht="15.75" customHeight="1" s="12">
      <c r="A529" s="1" t="n">
        <v>688</v>
      </c>
      <c r="B529" s="3">
        <f>HYPERLINK("https://leetcode.com/problems/knight-probability-in-chessboard/", "Knight Probability in Chessboard")</f>
        <v/>
      </c>
      <c r="C529" s="1" t="n">
        <v>4005</v>
      </c>
      <c r="D529" s="1" t="n">
        <v>493</v>
      </c>
      <c r="E529" s="4">
        <f>IF(INDEX(C:C, ROW())+INDEX(D:D, ROW())=0, 0, INDEX(C:C, ROW())/(INDEX(C:C, ROW())+INDEX(D:D, ROW())))</f>
        <v/>
      </c>
      <c r="F529" s="1" t="inlineStr">
        <is>
          <t>Dynamic Programming</t>
        </is>
      </c>
      <c r="G529" s="1" t="inlineStr">
        <is>
          <t>Medium</t>
        </is>
      </c>
      <c r="H529" s="1" t="n">
        <v>181257</v>
      </c>
      <c r="I529" s="1" t="n">
        <v>318848</v>
      </c>
      <c r="J529" s="9" t="n">
        <v>0.5679999999999999</v>
      </c>
      <c r="K529" s="1" t="inlineStr">
        <is>
          <t>Yes</t>
        </is>
      </c>
      <c r="L529" s="1" t="inlineStr">
        <is>
          <t>Yes</t>
        </is>
      </c>
      <c r="M529" s="1" t="inlineStr">
        <is>
          <t>No</t>
        </is>
      </c>
      <c r="N529" s="1" t="inlineStr">
        <is>
          <t>Algorithms</t>
        </is>
      </c>
      <c r="O5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30" ht="15.75" customHeight="1" s="12">
      <c r="A530" s="1" t="n">
        <v>705</v>
      </c>
      <c r="B530" s="3">
        <f>HYPERLINK("https://leetcode.com/problems/design-hashset/", "Design HashSet")</f>
        <v/>
      </c>
      <c r="C530" s="1" t="n">
        <v>4004</v>
      </c>
      <c r="D530" s="1" t="n">
        <v>327</v>
      </c>
      <c r="E530" s="4">
        <f>IF(INDEX(C:C, ROW())+INDEX(D:D, ROW())=0, 0, INDEX(C:C, ROW())/(INDEX(C:C, ROW())+INDEX(D:D, ROW())))</f>
        <v/>
      </c>
      <c r="F530" s="1" t="inlineStr">
        <is>
          <t>Array, Hash Table, Linked List, Design, Hash Function</t>
        </is>
      </c>
      <c r="G530" s="1" t="inlineStr">
        <is>
          <t>Easy</t>
        </is>
      </c>
      <c r="H530" s="1" t="n">
        <v>548723</v>
      </c>
      <c r="I530" s="1" t="n">
        <v>811275</v>
      </c>
      <c r="J530" s="9" t="n">
        <v>0.676</v>
      </c>
      <c r="K530" s="1" t="inlineStr">
        <is>
          <t>Yes</t>
        </is>
      </c>
      <c r="L530" s="1" t="inlineStr">
        <is>
          <t>Yes</t>
        </is>
      </c>
      <c r="M530" s="1" t="inlineStr">
        <is>
          <t>No</t>
        </is>
      </c>
      <c r="N530" s="1" t="inlineStr">
        <is>
          <t>Algorithms</t>
        </is>
      </c>
      <c r="O5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31" ht="15.75" customHeight="1" s="12">
      <c r="A531" s="1" t="n">
        <v>473</v>
      </c>
      <c r="B531" s="3">
        <f>HYPERLINK("https://leetcode.com/problems/matchsticks-to-square/", "Matchsticks to Square")</f>
        <v/>
      </c>
      <c r="C531" s="1" t="n">
        <v>3998</v>
      </c>
      <c r="D531" s="1" t="n">
        <v>310</v>
      </c>
      <c r="E531" s="4">
        <f>IF(INDEX(C:C, ROW())+INDEX(D:D, ROW())=0, 0, INDEX(C:C, ROW())/(INDEX(C:C, ROW())+INDEX(D:D, ROW())))</f>
        <v/>
      </c>
      <c r="F531" s="1" t="inlineStr">
        <is>
          <t>Array, Dynamic Programming, Backtracking, Bit Manipulation, Bitmask DP</t>
        </is>
      </c>
      <c r="G531" s="1" t="inlineStr">
        <is>
          <t>Medium</t>
        </is>
      </c>
      <c r="H531" s="1" t="n">
        <v>207340</v>
      </c>
      <c r="I531" s="1" t="n">
        <v>499478</v>
      </c>
      <c r="J531" s="9" t="n">
        <v>0.415</v>
      </c>
      <c r="K531" s="1" t="inlineStr">
        <is>
          <t>Yes</t>
        </is>
      </c>
      <c r="L531" s="1" t="inlineStr">
        <is>
          <t>Yes</t>
        </is>
      </c>
      <c r="M531" s="1" t="inlineStr">
        <is>
          <t>No</t>
        </is>
      </c>
      <c r="N531" s="1" t="inlineStr">
        <is>
          <t>Algorithms</t>
        </is>
      </c>
      <c r="O5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32" ht="15.75" customHeight="1" s="12">
      <c r="A532" s="1" t="n">
        <v>990</v>
      </c>
      <c r="B532" s="3">
        <f>HYPERLINK("https://leetcode.com/problems/satisfiability-of-equality-equations/", "Satisfiability of Equality Equations")</f>
        <v/>
      </c>
      <c r="C532" s="1" t="n">
        <v>3993</v>
      </c>
      <c r="D532" s="1" t="n">
        <v>67</v>
      </c>
      <c r="E532" s="4">
        <f>IF(INDEX(C:C, ROW())+INDEX(D:D, ROW())=0, 0, INDEX(C:C, ROW())/(INDEX(C:C, ROW())+INDEX(D:D, ROW())))</f>
        <v/>
      </c>
      <c r="F532" s="1" t="inlineStr">
        <is>
          <t>Array, String, Union-Find, Graph Theory</t>
        </is>
      </c>
      <c r="G532" s="1" t="inlineStr">
        <is>
          <t>Medium</t>
        </is>
      </c>
      <c r="H532" s="1" t="n">
        <v>161599</v>
      </c>
      <c r="I532" s="1" t="n">
        <v>313884</v>
      </c>
      <c r="J532" s="9" t="n">
        <v>0.515</v>
      </c>
      <c r="K532" s="1" t="inlineStr">
        <is>
          <t>Yes</t>
        </is>
      </c>
      <c r="L532" s="1" t="inlineStr">
        <is>
          <t>Yes</t>
        </is>
      </c>
      <c r="M532" s="1" t="inlineStr">
        <is>
          <t>No</t>
        </is>
      </c>
      <c r="N532" s="1" t="inlineStr">
        <is>
          <t>Algorithms</t>
        </is>
      </c>
      <c r="O5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33" ht="15.75" customHeight="1" s="12">
      <c r="A533" s="1" t="n">
        <v>1920</v>
      </c>
      <c r="B533" s="3">
        <f>HYPERLINK("https://leetcode.com/problems/build-array-from-permutation/", "Build Array from Permutation")</f>
        <v/>
      </c>
      <c r="C533" s="1" t="n">
        <v>3989</v>
      </c>
      <c r="D533" s="1" t="n">
        <v>486</v>
      </c>
      <c r="E533" s="4">
        <f>IF(INDEX(C:C, ROW())+INDEX(D:D, ROW())=0, 0, INDEX(C:C, ROW())/(INDEX(C:C, ROW())+INDEX(D:D, ROW())))</f>
        <v/>
      </c>
      <c r="F533" s="1" t="inlineStr">
        <is>
          <t>Array, Simulation</t>
        </is>
      </c>
      <c r="G533" s="1" t="inlineStr">
        <is>
          <t>Easy</t>
        </is>
      </c>
      <c r="H533" s="1" t="n">
        <v>829556</v>
      </c>
      <c r="I533" s="1" t="n">
        <v>911005</v>
      </c>
      <c r="J533" s="9" t="n">
        <v>0.911</v>
      </c>
      <c r="K533" s="1" t="inlineStr">
        <is>
          <t>Yes</t>
        </is>
      </c>
      <c r="L533" s="1" t="inlineStr">
        <is>
          <t>Yes</t>
        </is>
      </c>
      <c r="M533" s="1" t="inlineStr">
        <is>
          <t>No</t>
        </is>
      </c>
      <c r="N533" s="1" t="inlineStr">
        <is>
          <t>Algorithms</t>
        </is>
      </c>
      <c r="O5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34" ht="15.75" customHeight="1" s="12">
      <c r="A534" s="1" t="n">
        <v>630</v>
      </c>
      <c r="B534" s="3">
        <f>HYPERLINK("https://leetcode.com/problems/course-schedule-iii/", "Course Schedule III")</f>
        <v/>
      </c>
      <c r="C534" s="1" t="n">
        <v>3986</v>
      </c>
      <c r="D534" s="1" t="n">
        <v>102</v>
      </c>
      <c r="E534" s="4">
        <f>IF(INDEX(C:C, ROW())+INDEX(D:D, ROW())=0, 0, INDEX(C:C, ROW())/(INDEX(C:C, ROW())+INDEX(D:D, ROW())))</f>
        <v/>
      </c>
      <c r="F534" s="1" t="inlineStr">
        <is>
          <t>Array, Greedy, Sorting, Heap (Priority Queue)</t>
        </is>
      </c>
      <c r="G534" s="1" t="inlineStr">
        <is>
          <t>Hard</t>
        </is>
      </c>
      <c r="H534" s="1" t="n">
        <v>135230</v>
      </c>
      <c r="I534" s="1" t="n">
        <v>327680</v>
      </c>
      <c r="J534" s="9" t="n">
        <v>0.413</v>
      </c>
      <c r="K534" s="1" t="inlineStr">
        <is>
          <t>Yes</t>
        </is>
      </c>
      <c r="L534" s="1" t="inlineStr">
        <is>
          <t>Yes</t>
        </is>
      </c>
      <c r="M534" s="1" t="inlineStr">
        <is>
          <t>No</t>
        </is>
      </c>
      <c r="N534" s="1" t="inlineStr">
        <is>
          <t>Algorithms</t>
        </is>
      </c>
      <c r="O5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35" ht="15.75" customHeight="1" s="12">
      <c r="A535" s="1" t="n">
        <v>513</v>
      </c>
      <c r="B535" s="3">
        <f>HYPERLINK("https://leetcode.com/problems/find-bottom-left-tree-value/", "Find Bottom Left Tree Value")</f>
        <v/>
      </c>
      <c r="C535" s="1" t="n">
        <v>3978</v>
      </c>
      <c r="D535" s="1" t="n">
        <v>300</v>
      </c>
      <c r="E535" s="4">
        <f>IF(INDEX(C:C, ROW())+INDEX(D:D, ROW())=0, 0, INDEX(C:C, ROW())/(INDEX(C:C, ROW())+INDEX(D:D, ROW())))</f>
        <v/>
      </c>
      <c r="F535" s="1" t="inlineStr">
        <is>
          <t>Tree, Depth-First Search, Breadth-First Search, Binary Tree</t>
        </is>
      </c>
      <c r="G535" s="1" t="inlineStr">
        <is>
          <t>Medium</t>
        </is>
      </c>
      <c r="H535" s="1" t="n">
        <v>431641</v>
      </c>
      <c r="I535" s="1" t="n">
        <v>598757</v>
      </c>
      <c r="J535" s="9" t="n">
        <v>0.721</v>
      </c>
      <c r="K535" s="1" t="inlineStr">
        <is>
          <t>Yes</t>
        </is>
      </c>
      <c r="L535" s="1" t="inlineStr">
        <is>
          <t>Yes</t>
        </is>
      </c>
      <c r="M535" s="1" t="inlineStr">
        <is>
          <t>No</t>
        </is>
      </c>
      <c r="N535" s="1" t="inlineStr">
        <is>
          <t>Algorithms</t>
        </is>
      </c>
      <c r="O5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36" ht="15.75" customHeight="1" s="12">
      <c r="A536" s="1" t="n">
        <v>576</v>
      </c>
      <c r="B536" s="3">
        <f>HYPERLINK("https://leetcode.com/problems/out-of-boundary-paths/", "Out of Boundary Paths")</f>
        <v/>
      </c>
      <c r="C536" s="1" t="n">
        <v>3978</v>
      </c>
      <c r="D536" s="1" t="n">
        <v>295</v>
      </c>
      <c r="E536" s="4">
        <f>IF(INDEX(C:C, ROW())+INDEX(D:D, ROW())=0, 0, INDEX(C:C, ROW())/(INDEX(C:C, ROW())+INDEX(D:D, ROW())))</f>
        <v/>
      </c>
      <c r="F536" s="1" t="inlineStr">
        <is>
          <t>Dynamic Programming</t>
        </is>
      </c>
      <c r="G536" s="1" t="inlineStr">
        <is>
          <t>Medium</t>
        </is>
      </c>
      <c r="H536" s="1" t="n">
        <v>226962</v>
      </c>
      <c r="I536" s="1" t="n">
        <v>469447</v>
      </c>
      <c r="J536" s="9" t="n">
        <v>0.483</v>
      </c>
      <c r="K536" s="1" t="inlineStr">
        <is>
          <t>Yes</t>
        </is>
      </c>
      <c r="L536" s="1" t="inlineStr">
        <is>
          <t>Yes</t>
        </is>
      </c>
      <c r="M536" s="1" t="inlineStr">
        <is>
          <t>No</t>
        </is>
      </c>
      <c r="N536" s="1" t="inlineStr">
        <is>
          <t>Algorithms</t>
        </is>
      </c>
      <c r="O5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37" ht="15.75" customHeight="1" s="12">
      <c r="A537" s="1" t="n">
        <v>959</v>
      </c>
      <c r="B537" s="3">
        <f>HYPERLINK("https://leetcode.com/problems/regions-cut-by-slashes/", "Regions Cut By Slashes")</f>
        <v/>
      </c>
      <c r="C537" s="1" t="n">
        <v>3976</v>
      </c>
      <c r="D537" s="1" t="n">
        <v>871</v>
      </c>
      <c r="E537" s="4">
        <f>IF(INDEX(C:C, ROW())+INDEX(D:D, ROW())=0, 0, INDEX(C:C, ROW())/(INDEX(C:C, ROW())+INDEX(D:D, ROW())))</f>
        <v/>
      </c>
      <c r="F537" s="1" t="inlineStr">
        <is>
          <t>Array, Hash Table, Depth-First Search, Breadth-First Search, Union-Find, Matrix</t>
        </is>
      </c>
      <c r="G537" s="1" t="inlineStr">
        <is>
          <t>Medium</t>
        </is>
      </c>
      <c r="H537" s="1" t="n">
        <v>149260</v>
      </c>
      <c r="I537" s="1" t="n">
        <v>192402</v>
      </c>
      <c r="J537" s="9" t="n">
        <v>0.776</v>
      </c>
      <c r="K537" s="1" t="inlineStr">
        <is>
          <t>Yes</t>
        </is>
      </c>
      <c r="L537" s="1" t="inlineStr">
        <is>
          <t>Yes</t>
        </is>
      </c>
      <c r="M537" s="1" t="inlineStr">
        <is>
          <t>No</t>
        </is>
      </c>
      <c r="N537" s="1" t="inlineStr">
        <is>
          <t>Algorithms</t>
        </is>
      </c>
      <c r="O5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38" ht="15.75" customHeight="1" s="12">
      <c r="A538" s="1" t="n">
        <v>1353</v>
      </c>
      <c r="B538" s="3">
        <f>HYPERLINK("https://leetcode.com/problems/maximum-number-of-events-that-can-be-attended/", "Maximum Number of Events That Can Be Attended")</f>
        <v/>
      </c>
      <c r="C538" s="1" t="n">
        <v>3962</v>
      </c>
      <c r="D538" s="1" t="n">
        <v>630</v>
      </c>
      <c r="E538" s="4">
        <f>IF(INDEX(C:C, ROW())+INDEX(D:D, ROW())=0, 0, INDEX(C:C, ROW())/(INDEX(C:C, ROW())+INDEX(D:D, ROW())))</f>
        <v/>
      </c>
      <c r="F538" s="1" t="inlineStr">
        <is>
          <t>Array, Greedy, Sorting, Heap (Priority Queue)</t>
        </is>
      </c>
      <c r="G538" s="1" t="inlineStr">
        <is>
          <t>Medium</t>
        </is>
      </c>
      <c r="H538" s="1" t="n">
        <v>220010</v>
      </c>
      <c r="I538" s="1" t="n">
        <v>566641</v>
      </c>
      <c r="J538" s="9" t="n">
        <v>0.388</v>
      </c>
      <c r="K538" s="1" t="inlineStr">
        <is>
          <t>Yes</t>
        </is>
      </c>
      <c r="L538" s="1" t="inlineStr">
        <is>
          <t>Yes</t>
        </is>
      </c>
      <c r="M538" s="1" t="inlineStr">
        <is>
          <t>No</t>
        </is>
      </c>
      <c r="N538" s="1" t="inlineStr">
        <is>
          <t>Algorithms</t>
        </is>
      </c>
      <c r="O5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39" ht="15.75" customHeight="1" s="12">
      <c r="A539" s="1" t="n">
        <v>1929</v>
      </c>
      <c r="B539" s="3">
        <f>HYPERLINK("https://leetcode.com/problems/concatenation-of-array/", "Concatenation of Array")</f>
        <v/>
      </c>
      <c r="C539" s="1" t="n">
        <v>3957</v>
      </c>
      <c r="D539" s="1" t="n">
        <v>439</v>
      </c>
      <c r="E539" s="4">
        <f>IF(INDEX(C:C, ROW())+INDEX(D:D, ROW())=0, 0, INDEX(C:C, ROW())/(INDEX(C:C, ROW())+INDEX(D:D, ROW())))</f>
        <v/>
      </c>
      <c r="F539" s="1" t="inlineStr">
        <is>
          <t>Array, Simulation</t>
        </is>
      </c>
      <c r="G539" s="1" t="inlineStr">
        <is>
          <t>Easy</t>
        </is>
      </c>
      <c r="H539" s="1" t="n">
        <v>1265557</v>
      </c>
      <c r="I539" s="1" t="n">
        <v>1396419</v>
      </c>
      <c r="J539" s="9" t="n">
        <v>0.906</v>
      </c>
      <c r="K539" s="1" t="inlineStr">
        <is>
          <t>Yes</t>
        </is>
      </c>
      <c r="L539" s="1" t="inlineStr">
        <is>
          <t>No</t>
        </is>
      </c>
      <c r="M539" s="1" t="inlineStr">
        <is>
          <t>No</t>
        </is>
      </c>
      <c r="N539" s="1" t="inlineStr">
        <is>
          <t>Algorithms</t>
        </is>
      </c>
      <c r="O5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40" ht="15.75" customHeight="1" s="12">
      <c r="A540" s="1" t="n">
        <v>1035</v>
      </c>
      <c r="B540" s="3">
        <f>HYPERLINK("https://leetcode.com/problems/uncrossed-lines/", "Uncrossed Lines")</f>
        <v/>
      </c>
      <c r="C540" s="1" t="n">
        <v>3955</v>
      </c>
      <c r="D540" s="1" t="n">
        <v>63</v>
      </c>
      <c r="E540" s="4">
        <f>IF(INDEX(C:C, ROW())+INDEX(D:D, ROW())=0, 0, INDEX(C:C, ROW())/(INDEX(C:C, ROW())+INDEX(D:D, ROW())))</f>
        <v/>
      </c>
      <c r="F540" s="1" t="inlineStr">
        <is>
          <t>Array, Dynamic Programming</t>
        </is>
      </c>
      <c r="G540" s="1" t="inlineStr">
        <is>
          <t>Medium</t>
        </is>
      </c>
      <c r="H540" s="1" t="n">
        <v>190887</v>
      </c>
      <c r="I540" s="1" t="n">
        <v>293968</v>
      </c>
      <c r="J540" s="9" t="n">
        <v>0.649</v>
      </c>
      <c r="K540" s="1" t="inlineStr">
        <is>
          <t>Yes</t>
        </is>
      </c>
      <c r="L540" s="1" t="inlineStr">
        <is>
          <t>Yes</t>
        </is>
      </c>
      <c r="M540" s="1" t="inlineStr">
        <is>
          <t>No</t>
        </is>
      </c>
      <c r="N540" s="1" t="inlineStr">
        <is>
          <t>Algorithms</t>
        </is>
      </c>
      <c r="O5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41" ht="15.75" customHeight="1" s="12">
      <c r="A541" s="1" t="n">
        <v>838</v>
      </c>
      <c r="B541" s="3">
        <f>HYPERLINK("https://leetcode.com/problems/push-dominoes/", "Push Dominoes")</f>
        <v/>
      </c>
      <c r="C541" s="1" t="n">
        <v>3945</v>
      </c>
      <c r="D541" s="1" t="n">
        <v>277</v>
      </c>
      <c r="E541" s="4">
        <f>IF(INDEX(C:C, ROW())+INDEX(D:D, ROW())=0, 0, INDEX(C:C, ROW())/(INDEX(C:C, ROW())+INDEX(D:D, ROW())))</f>
        <v/>
      </c>
      <c r="F541" s="1" t="inlineStr">
        <is>
          <t>Two Pointers, String, Dynamic Programming</t>
        </is>
      </c>
      <c r="G541" s="1" t="inlineStr">
        <is>
          <t>Medium</t>
        </is>
      </c>
      <c r="H541" s="1" t="n">
        <v>226711</v>
      </c>
      <c r="I541" s="1" t="n">
        <v>359726</v>
      </c>
      <c r="J541" s="9" t="n">
        <v>0.63</v>
      </c>
      <c r="K541" s="1" t="inlineStr">
        <is>
          <t>Yes</t>
        </is>
      </c>
      <c r="L541" s="1" t="inlineStr">
        <is>
          <t>Yes</t>
        </is>
      </c>
      <c r="M541" s="1" t="inlineStr">
        <is>
          <t>No</t>
        </is>
      </c>
      <c r="N541" s="1" t="inlineStr">
        <is>
          <t>Algorithms</t>
        </is>
      </c>
      <c r="O5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42" ht="15.75" customHeight="1" s="12">
      <c r="A542" s="1" t="n">
        <v>1641</v>
      </c>
      <c r="B542" s="3">
        <f>HYPERLINK("https://leetcode.com/problems/count-sorted-vowel-strings/", "Count Sorted Vowel Strings")</f>
        <v/>
      </c>
      <c r="C542" s="1" t="n">
        <v>3928</v>
      </c>
      <c r="D542" s="1" t="n">
        <v>93</v>
      </c>
      <c r="E542" s="4">
        <f>IF(INDEX(C:C, ROW())+INDEX(D:D, ROW())=0, 0, INDEX(C:C, ROW())/(INDEX(C:C, ROW())+INDEX(D:D, ROW())))</f>
        <v/>
      </c>
      <c r="F542" s="1" t="inlineStr">
        <is>
          <t>Math, Dynamic Programming, Combinatorics</t>
        </is>
      </c>
      <c r="G542" s="1" t="inlineStr">
        <is>
          <t>Medium</t>
        </is>
      </c>
      <c r="H542" s="1" t="n">
        <v>203695</v>
      </c>
      <c r="I542" s="1" t="n">
        <v>257332</v>
      </c>
      <c r="J542" s="9" t="n">
        <v>0.792</v>
      </c>
      <c r="K542" s="1" t="inlineStr">
        <is>
          <t>Yes</t>
        </is>
      </c>
      <c r="L542" s="1" t="inlineStr">
        <is>
          <t>Yes</t>
        </is>
      </c>
      <c r="M542" s="1" t="inlineStr">
        <is>
          <t>No</t>
        </is>
      </c>
      <c r="N542" s="1" t="inlineStr">
        <is>
          <t>Algorithms</t>
        </is>
      </c>
      <c r="O5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43" ht="15.75" customHeight="1" s="12">
      <c r="A543" s="1" t="n">
        <v>556</v>
      </c>
      <c r="B543" s="3">
        <f>HYPERLINK("https://leetcode.com/problems/next-greater-element-iii/", "Next Greater Element III")</f>
        <v/>
      </c>
      <c r="C543" s="1" t="n">
        <v>3916</v>
      </c>
      <c r="D543" s="1" t="n">
        <v>494</v>
      </c>
      <c r="E543" s="4">
        <f>IF(INDEX(C:C, ROW())+INDEX(D:D, ROW())=0, 0, INDEX(C:C, ROW())/(INDEX(C:C, ROW())+INDEX(D:D, ROW())))</f>
        <v/>
      </c>
      <c r="F543" s="1" t="inlineStr">
        <is>
          <t>Math, Two Pointers, String</t>
        </is>
      </c>
      <c r="G543" s="1" t="inlineStr">
        <is>
          <t>Medium</t>
        </is>
      </c>
      <c r="H543" s="1" t="n">
        <v>202941</v>
      </c>
      <c r="I543" s="1" t="n">
        <v>578920</v>
      </c>
      <c r="J543" s="9" t="n">
        <v>0.351</v>
      </c>
      <c r="K543" s="1" t="inlineStr">
        <is>
          <t>Yes</t>
        </is>
      </c>
      <c r="L543" s="1" t="inlineStr">
        <is>
          <t>Yes</t>
        </is>
      </c>
      <c r="M543" s="1" t="inlineStr">
        <is>
          <t>No</t>
        </is>
      </c>
      <c r="N543" s="1" t="inlineStr">
        <is>
          <t>Algorithms</t>
        </is>
      </c>
      <c r="O5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44" ht="15.75" customHeight="1" s="12">
      <c r="A544" s="1" t="n">
        <v>719</v>
      </c>
      <c r="B544" s="3">
        <f>HYPERLINK("https://leetcode.com/problems/find-k-th-smallest-pair-distance/", "Find K-th Smallest Pair Distance")</f>
        <v/>
      </c>
      <c r="C544" s="1" t="n">
        <v>3902</v>
      </c>
      <c r="D544" s="1" t="n">
        <v>125</v>
      </c>
      <c r="E544" s="4">
        <f>IF(INDEX(C:C, ROW())+INDEX(D:D, ROW())=0, 0, INDEX(C:C, ROW())/(INDEX(C:C, ROW())+INDEX(D:D, ROW())))</f>
        <v/>
      </c>
      <c r="F544" s="1" t="inlineStr">
        <is>
          <t>Array, Two Pointers, Binary Search, Sorting</t>
        </is>
      </c>
      <c r="G544" s="1" t="inlineStr">
        <is>
          <t>Hard</t>
        </is>
      </c>
      <c r="H544" s="1" t="n">
        <v>207901</v>
      </c>
      <c r="I544" s="1" t="n">
        <v>449654</v>
      </c>
      <c r="J544" s="9" t="n">
        <v>0.462</v>
      </c>
      <c r="K544" s="1" t="inlineStr">
        <is>
          <t>Yes</t>
        </is>
      </c>
      <c r="L544" s="1" t="inlineStr">
        <is>
          <t>Yes</t>
        </is>
      </c>
      <c r="M544" s="1" t="inlineStr">
        <is>
          <t>No</t>
        </is>
      </c>
      <c r="N544" s="1" t="inlineStr">
        <is>
          <t>Algorithms</t>
        </is>
      </c>
      <c r="O5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45" ht="15.75" customHeight="1" s="12">
      <c r="A545" s="1" t="n">
        <v>1146</v>
      </c>
      <c r="B545" s="3">
        <f>HYPERLINK("https://leetcode.com/problems/snapshot-array/", "Snapshot Array")</f>
        <v/>
      </c>
      <c r="C545" s="1" t="n">
        <v>3896</v>
      </c>
      <c r="D545" s="1" t="n">
        <v>537</v>
      </c>
      <c r="E545" s="4">
        <f>IF(INDEX(C:C, ROW())+INDEX(D:D, ROW())=0, 0, INDEX(C:C, ROW())/(INDEX(C:C, ROW())+INDEX(D:D, ROW())))</f>
        <v/>
      </c>
      <c r="F545" s="1" t="inlineStr">
        <is>
          <t>Array, Hash Table, Binary Search, Design</t>
        </is>
      </c>
      <c r="G545" s="1" t="inlineStr">
        <is>
          <t>Medium</t>
        </is>
      </c>
      <c r="H545" s="1" t="n">
        <v>268711</v>
      </c>
      <c r="I545" s="1" t="n">
        <v>732708</v>
      </c>
      <c r="J545" s="9" t="n">
        <v>0.367</v>
      </c>
      <c r="K545" s="1" t="inlineStr">
        <is>
          <t>Yes</t>
        </is>
      </c>
      <c r="L545" s="1" t="inlineStr">
        <is>
          <t>Yes</t>
        </is>
      </c>
      <c r="M545" s="1" t="inlineStr">
        <is>
          <t>No</t>
        </is>
      </c>
      <c r="N545" s="1" t="inlineStr">
        <is>
          <t>Algorithms</t>
        </is>
      </c>
      <c r="O5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46" ht="15.75" customHeight="1" s="12">
      <c r="A546" s="1" t="n">
        <v>1202</v>
      </c>
      <c r="B546" s="3">
        <f>HYPERLINK("https://leetcode.com/problems/smallest-string-with-swaps/", "Smallest String With Swaps")</f>
        <v/>
      </c>
      <c r="C546" s="1" t="n">
        <v>3885</v>
      </c>
      <c r="D546" s="1" t="n">
        <v>163</v>
      </c>
      <c r="E546" s="4">
        <f>IF(INDEX(C:C, ROW())+INDEX(D:D, ROW())=0, 0, INDEX(C:C, ROW())/(INDEX(C:C, ROW())+INDEX(D:D, ROW())))</f>
        <v/>
      </c>
      <c r="F546" s="1" t="inlineStr">
        <is>
          <t>Array, Hash Table, String, Depth-First Search, Breadth-First Search, Union-Find, Sorting</t>
        </is>
      </c>
      <c r="G546" s="1" t="inlineStr">
        <is>
          <t>Medium</t>
        </is>
      </c>
      <c r="H546" s="1" t="n">
        <v>143870</v>
      </c>
      <c r="I546" s="1" t="n">
        <v>238884</v>
      </c>
      <c r="J546" s="9" t="n">
        <v>0.602</v>
      </c>
      <c r="K546" s="1" t="inlineStr">
        <is>
          <t>Yes</t>
        </is>
      </c>
      <c r="L546" s="1" t="inlineStr">
        <is>
          <t>Yes</t>
        </is>
      </c>
      <c r="M546" s="1" t="inlineStr">
        <is>
          <t>No</t>
        </is>
      </c>
      <c r="N546" s="1" t="inlineStr">
        <is>
          <t>Algorithms</t>
        </is>
      </c>
      <c r="O5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47" ht="15.75" customHeight="1" s="12">
      <c r="A547" s="1" t="n">
        <v>2130</v>
      </c>
      <c r="B547" s="3">
        <f>HYPERLINK("https://leetcode.com/problems/maximum-twin-sum-of-a-linked-list/", "Maximum Twin Sum of a Linked List")</f>
        <v/>
      </c>
      <c r="C547" s="1" t="n">
        <v>3879</v>
      </c>
      <c r="D547" s="1" t="n">
        <v>121</v>
      </c>
      <c r="E547" s="4">
        <f>IF(INDEX(C:C, ROW())+INDEX(D:D, ROW())=0, 0, INDEX(C:C, ROW())/(INDEX(C:C, ROW())+INDEX(D:D, ROW())))</f>
        <v/>
      </c>
      <c r="F547" s="1" t="inlineStr">
        <is>
          <t>Linked List, Two Pointers, Stack</t>
        </is>
      </c>
      <c r="G547" s="1" t="inlineStr">
        <is>
          <t>Medium</t>
        </is>
      </c>
      <c r="H547" s="1" t="n">
        <v>477253</v>
      </c>
      <c r="I547" s="1" t="n">
        <v>584794</v>
      </c>
      <c r="J547" s="9" t="n">
        <v>0.8159999999999999</v>
      </c>
      <c r="K547" s="1" t="inlineStr">
        <is>
          <t>Yes</t>
        </is>
      </c>
      <c r="L547" s="1" t="inlineStr">
        <is>
          <t>Yes</t>
        </is>
      </c>
      <c r="M547" s="1" t="inlineStr">
        <is>
          <t>No</t>
        </is>
      </c>
      <c r="N547" s="1" t="inlineStr">
        <is>
          <t>Algorithms</t>
        </is>
      </c>
      <c r="O5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48" ht="15.75" customHeight="1" s="12">
      <c r="A548" s="1" t="n">
        <v>1074</v>
      </c>
      <c r="B548" s="3">
        <f>HYPERLINK("https://leetcode.com/problems/number-of-submatrices-that-sum-to-target/", "Number of Submatrices That Sum to Target")</f>
        <v/>
      </c>
      <c r="C548" s="1" t="n">
        <v>3875</v>
      </c>
      <c r="D548" s="1" t="n">
        <v>107</v>
      </c>
      <c r="E548" s="4">
        <f>IF(INDEX(C:C, ROW())+INDEX(D:D, ROW())=0, 0, INDEX(C:C, ROW())/(INDEX(C:C, ROW())+INDEX(D:D, ROW())))</f>
        <v/>
      </c>
      <c r="F548" s="1" t="inlineStr">
        <is>
          <t>Array, Hash Table, Matrix, Prefix Sum</t>
        </is>
      </c>
      <c r="G548" s="1" t="inlineStr">
        <is>
          <t>Hard</t>
        </is>
      </c>
      <c r="H548" s="1" t="n">
        <v>169225</v>
      </c>
      <c r="I548" s="1" t="n">
        <v>226969</v>
      </c>
      <c r="J548" s="9" t="n">
        <v>0.746</v>
      </c>
      <c r="K548" s="1" t="inlineStr">
        <is>
          <t>Yes</t>
        </is>
      </c>
      <c r="L548" s="1" t="inlineStr">
        <is>
          <t>Yes</t>
        </is>
      </c>
      <c r="M548" s="1" t="inlineStr">
        <is>
          <t>No</t>
        </is>
      </c>
      <c r="N548" s="1" t="inlineStr">
        <is>
          <t>Algorithms</t>
        </is>
      </c>
      <c r="O5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49" ht="15.75" customHeight="1" s="12">
      <c r="A549" s="1" t="n">
        <v>1456</v>
      </c>
      <c r="B549" s="3">
        <f>HYPERLINK("https://leetcode.com/problems/maximum-number-of-vowels-in-a-substring-of-given-length/", "Maximum Number of Vowels in a Substring of Given Length")</f>
        <v/>
      </c>
      <c r="C549" s="1" t="n">
        <v>3872</v>
      </c>
      <c r="D549" s="1" t="n">
        <v>151</v>
      </c>
      <c r="E549" s="4">
        <f>IF(INDEX(C:C, ROW())+INDEX(D:D, ROW())=0, 0, INDEX(C:C, ROW())/(INDEX(C:C, ROW())+INDEX(D:D, ROW())))</f>
        <v/>
      </c>
      <c r="F549" s="1" t="inlineStr">
        <is>
          <t>String, Sliding Window</t>
        </is>
      </c>
      <c r="G549" s="1" t="inlineStr">
        <is>
          <t>Medium</t>
        </is>
      </c>
      <c r="H549" s="1" t="n">
        <v>638681</v>
      </c>
      <c r="I549" s="1" t="n">
        <v>1041102</v>
      </c>
      <c r="J549" s="9" t="n">
        <v>0.613</v>
      </c>
      <c r="K549" s="1" t="inlineStr">
        <is>
          <t>Yes</t>
        </is>
      </c>
      <c r="L549" s="1" t="inlineStr">
        <is>
          <t>Yes</t>
        </is>
      </c>
      <c r="M549" s="1" t="inlineStr">
        <is>
          <t>No</t>
        </is>
      </c>
      <c r="N549" s="1" t="inlineStr">
        <is>
          <t>Algorithms</t>
        </is>
      </c>
      <c r="O5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50" ht="15.75" customHeight="1" s="12">
      <c r="A550" s="1" t="n">
        <v>1588</v>
      </c>
      <c r="B550" s="3">
        <f>HYPERLINK("https://leetcode.com/problems/sum-of-all-odd-length-subarrays/", "Sum of All Odd Length Subarrays")</f>
        <v/>
      </c>
      <c r="C550" s="1" t="n">
        <v>3867</v>
      </c>
      <c r="D550" s="1" t="n">
        <v>326</v>
      </c>
      <c r="E550" s="4">
        <f>IF(INDEX(C:C, ROW())+INDEX(D:D, ROW())=0, 0, INDEX(C:C, ROW())/(INDEX(C:C, ROW())+INDEX(D:D, ROW())))</f>
        <v/>
      </c>
      <c r="F550" s="1" t="inlineStr">
        <is>
          <t>Array, Math, Prefix Sum</t>
        </is>
      </c>
      <c r="G550" s="1" t="inlineStr">
        <is>
          <t>Easy</t>
        </is>
      </c>
      <c r="H550" s="1" t="n">
        <v>247083</v>
      </c>
      <c r="I550" s="1" t="n">
        <v>294894</v>
      </c>
      <c r="J550" s="9" t="n">
        <v>0.838</v>
      </c>
      <c r="K550" s="1" t="inlineStr">
        <is>
          <t>Yes</t>
        </is>
      </c>
      <c r="L550" s="1" t="inlineStr">
        <is>
          <t>Yes</t>
        </is>
      </c>
      <c r="M550" s="1" t="inlineStr">
        <is>
          <t>No</t>
        </is>
      </c>
      <c r="N550" s="1" t="inlineStr">
        <is>
          <t>Algorithms</t>
        </is>
      </c>
      <c r="O5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51" ht="15.75" customHeight="1" s="12">
      <c r="A551" s="1" t="n">
        <v>1514</v>
      </c>
      <c r="B551" s="3">
        <f>HYPERLINK("https://leetcode.com/problems/path-with-maximum-probability/", "Path with Maximum Probability")</f>
        <v/>
      </c>
      <c r="C551" s="1" t="n">
        <v>3861</v>
      </c>
      <c r="D551" s="1" t="n">
        <v>109</v>
      </c>
      <c r="E551" s="4">
        <f>IF(INDEX(C:C, ROW())+INDEX(D:D, ROW())=0, 0, INDEX(C:C, ROW())/(INDEX(C:C, ROW())+INDEX(D:D, ROW())))</f>
        <v/>
      </c>
      <c r="F551" s="1" t="inlineStr">
        <is>
          <t>Array, Graph Theory, Heap (Priority Queue), Shortest Path</t>
        </is>
      </c>
      <c r="G551" s="1" t="inlineStr">
        <is>
          <t>Medium</t>
        </is>
      </c>
      <c r="H551" s="1" t="n">
        <v>363165</v>
      </c>
      <c r="I551" s="1" t="n">
        <v>555184</v>
      </c>
      <c r="J551" s="9" t="n">
        <v>0.654</v>
      </c>
      <c r="K551" s="1" t="inlineStr">
        <is>
          <t>Yes</t>
        </is>
      </c>
      <c r="L551" s="1" t="inlineStr">
        <is>
          <t>Yes</t>
        </is>
      </c>
      <c r="M551" s="1" t="inlineStr">
        <is>
          <t>No</t>
        </is>
      </c>
      <c r="N551" s="1" t="inlineStr">
        <is>
          <t>Algorithms</t>
        </is>
      </c>
      <c r="O5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52" ht="15.75" customHeight="1" s="12">
      <c r="A552" s="1" t="n">
        <v>1345</v>
      </c>
      <c r="B552" s="3">
        <f>HYPERLINK("https://leetcode.com/problems/jump-game-iv/", "Jump Game IV")</f>
        <v/>
      </c>
      <c r="C552" s="1" t="n">
        <v>3857</v>
      </c>
      <c r="D552" s="1" t="n">
        <v>132</v>
      </c>
      <c r="E552" s="4">
        <f>IF(INDEX(C:C, ROW())+INDEX(D:D, ROW())=0, 0, INDEX(C:C, ROW())/(INDEX(C:C, ROW())+INDEX(D:D, ROW())))</f>
        <v/>
      </c>
      <c r="F552" s="1" t="inlineStr">
        <is>
          <t>Array, Hash Table, Breadth-First Search</t>
        </is>
      </c>
      <c r="G552" s="1" t="inlineStr">
        <is>
          <t>Hard</t>
        </is>
      </c>
      <c r="H552" s="1" t="n">
        <v>161183</v>
      </c>
      <c r="I552" s="1" t="n">
        <v>348862</v>
      </c>
      <c r="J552" s="9" t="n">
        <v>0.462</v>
      </c>
      <c r="K552" s="1" t="inlineStr">
        <is>
          <t>Yes</t>
        </is>
      </c>
      <c r="L552" s="1" t="inlineStr">
        <is>
          <t>Yes</t>
        </is>
      </c>
      <c r="M552" s="1" t="inlineStr">
        <is>
          <t>No</t>
        </is>
      </c>
      <c r="N552" s="1" t="inlineStr">
        <is>
          <t>Algorithms</t>
        </is>
      </c>
      <c r="O5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53" ht="15.75" customHeight="1" s="12">
      <c r="A553" s="1" t="n">
        <v>1557</v>
      </c>
      <c r="B553" s="3">
        <f>HYPERLINK("https://leetcode.com/problems/minimum-number-of-vertices-to-reach-all-nodes/", "Minimum Number of Vertices to Reach All Nodes")</f>
        <v/>
      </c>
      <c r="C553" s="1" t="n">
        <v>3855</v>
      </c>
      <c r="D553" s="1" t="n">
        <v>133</v>
      </c>
      <c r="E553" s="4">
        <f>IF(INDEX(C:C, ROW())+INDEX(D:D, ROW())=0, 0, INDEX(C:C, ROW())/(INDEX(C:C, ROW())+INDEX(D:D, ROW())))</f>
        <v/>
      </c>
      <c r="F553" s="1" t="inlineStr">
        <is>
          <t>Graph Theory</t>
        </is>
      </c>
      <c r="G553" s="1" t="inlineStr">
        <is>
          <t>Medium</t>
        </is>
      </c>
      <c r="H553" s="1" t="n">
        <v>225491</v>
      </c>
      <c r="I553" s="1" t="n">
        <v>276899</v>
      </c>
      <c r="J553" s="9" t="n">
        <v>0.8139999999999999</v>
      </c>
      <c r="K553" s="1" t="inlineStr">
        <is>
          <t>Yes</t>
        </is>
      </c>
      <c r="L553" s="1" t="inlineStr">
        <is>
          <t>Yes</t>
        </is>
      </c>
      <c r="M553" s="1" t="inlineStr">
        <is>
          <t>No</t>
        </is>
      </c>
      <c r="N553" s="1" t="inlineStr">
        <is>
          <t>Algorithms</t>
        </is>
      </c>
      <c r="O5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54" ht="15.75" customHeight="1" s="12">
      <c r="A554" s="1" t="n">
        <v>1041</v>
      </c>
      <c r="B554" s="3">
        <f>HYPERLINK("https://leetcode.com/problems/robot-bounded-in-circle/", "Robot Bounded In Circle")</f>
        <v/>
      </c>
      <c r="C554" s="1" t="n">
        <v>3851</v>
      </c>
      <c r="D554" s="1" t="n">
        <v>717</v>
      </c>
      <c r="E554" s="4">
        <f>IF(INDEX(C:C, ROW())+INDEX(D:D, ROW())=0, 0, INDEX(C:C, ROW())/(INDEX(C:C, ROW())+INDEX(D:D, ROW())))</f>
        <v/>
      </c>
      <c r="F554" s="1" t="inlineStr">
        <is>
          <t>Math, String, Simulation</t>
        </is>
      </c>
      <c r="G554" s="1" t="inlineStr">
        <is>
          <t>Medium</t>
        </is>
      </c>
      <c r="H554" s="1" t="n">
        <v>269423</v>
      </c>
      <c r="I554" s="1" t="n">
        <v>477520</v>
      </c>
      <c r="J554" s="9" t="n">
        <v>0.5639999999999999</v>
      </c>
      <c r="K554" s="1" t="inlineStr">
        <is>
          <t>Yes</t>
        </is>
      </c>
      <c r="L554" s="1" t="inlineStr">
        <is>
          <t>Yes</t>
        </is>
      </c>
      <c r="M554" s="1" t="inlineStr">
        <is>
          <t>No</t>
        </is>
      </c>
      <c r="N554" s="1" t="inlineStr">
        <is>
          <t>Algorithms</t>
        </is>
      </c>
      <c r="O5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55" ht="15.75" customHeight="1" s="12">
      <c r="A555" s="1" t="n">
        <v>1443</v>
      </c>
      <c r="B555" s="3">
        <f>HYPERLINK("https://leetcode.com/problems/minimum-time-to-collect-all-apples-in-a-tree/", "Minimum Time to Collect All Apples in a Tree")</f>
        <v/>
      </c>
      <c r="C555" s="1" t="n">
        <v>3834</v>
      </c>
      <c r="D555" s="1" t="n">
        <v>333</v>
      </c>
      <c r="E555" s="4">
        <f>IF(INDEX(C:C, ROW())+INDEX(D:D, ROW())=0, 0, INDEX(C:C, ROW())/(INDEX(C:C, ROW())+INDEX(D:D, ROW())))</f>
        <v/>
      </c>
      <c r="F555" s="1" t="inlineStr">
        <is>
          <t>Hash Table, Tree, Depth-First Search, Breadth-First Search</t>
        </is>
      </c>
      <c r="G555" s="1" t="inlineStr">
        <is>
          <t>Medium</t>
        </is>
      </c>
      <c r="H555" s="1" t="n">
        <v>152733</v>
      </c>
      <c r="I555" s="1" t="n">
        <v>240555</v>
      </c>
      <c r="J555" s="9" t="n">
        <v>0.635</v>
      </c>
      <c r="K555" s="1" t="inlineStr">
        <is>
          <t>Yes</t>
        </is>
      </c>
      <c r="L555" s="1" t="inlineStr">
        <is>
          <t>Yes</t>
        </is>
      </c>
      <c r="M555" s="1" t="inlineStr">
        <is>
          <t>No</t>
        </is>
      </c>
      <c r="N555" s="1" t="inlineStr">
        <is>
          <t>Algorithms</t>
        </is>
      </c>
      <c r="O5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56" ht="15.75" customHeight="1" s="12">
      <c r="A556" s="1" t="n">
        <v>1382</v>
      </c>
      <c r="B556" s="3">
        <f>HYPERLINK("https://leetcode.com/problems/balance-a-binary-search-tree/", "Balance a Binary Search Tree")</f>
        <v/>
      </c>
      <c r="C556" s="1" t="n">
        <v>3822</v>
      </c>
      <c r="D556" s="1" t="n">
        <v>96</v>
      </c>
      <c r="E556" s="4">
        <f>IF(INDEX(C:C, ROW())+INDEX(D:D, ROW())=0, 0, INDEX(C:C, ROW())/(INDEX(C:C, ROW())+INDEX(D:D, ROW())))</f>
        <v/>
      </c>
      <c r="F556" s="1" t="inlineStr">
        <is>
          <t>Divide and Conquer, Greedy, Tree, Depth-First Search, Binary Search Tree, Binary Tree</t>
        </is>
      </c>
      <c r="G556" s="1" t="inlineStr">
        <is>
          <t>Medium</t>
        </is>
      </c>
      <c r="H556" s="1" t="n">
        <v>301334</v>
      </c>
      <c r="I556" s="1" t="n">
        <v>355852</v>
      </c>
      <c r="J556" s="9" t="n">
        <v>0.847</v>
      </c>
      <c r="K556" s="1" t="inlineStr">
        <is>
          <t>Yes</t>
        </is>
      </c>
      <c r="L556" s="1" t="inlineStr">
        <is>
          <t>Yes</t>
        </is>
      </c>
      <c r="M556" s="1" t="inlineStr">
        <is>
          <t>No</t>
        </is>
      </c>
      <c r="N556" s="1" t="inlineStr">
        <is>
          <t>Algorithms</t>
        </is>
      </c>
      <c r="O5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57" ht="15.75" customHeight="1" s="12">
      <c r="A557" s="1" t="n">
        <v>273</v>
      </c>
      <c r="B557" s="3">
        <f>HYPERLINK("https://leetcode.com/problems/integer-to-english-words/", "Integer to English Words")</f>
        <v/>
      </c>
      <c r="C557" s="1" t="n">
        <v>3820</v>
      </c>
      <c r="D557" s="1" t="n">
        <v>6829</v>
      </c>
      <c r="E557" s="4">
        <f>IF(INDEX(C:C, ROW())+INDEX(D:D, ROW())=0, 0, INDEX(C:C, ROW())/(INDEX(C:C, ROW())+INDEX(D:D, ROW())))</f>
        <v/>
      </c>
      <c r="F557" s="1" t="inlineStr">
        <is>
          <t>Math, String, Recursion</t>
        </is>
      </c>
      <c r="G557" s="1" t="inlineStr">
        <is>
          <t>Hard</t>
        </is>
      </c>
      <c r="H557" s="1" t="n">
        <v>570366</v>
      </c>
      <c r="I557" s="1" t="n">
        <v>1640407</v>
      </c>
      <c r="J557" s="9" t="n">
        <v>0.348</v>
      </c>
      <c r="K557" s="1" t="inlineStr">
        <is>
          <t>Yes</t>
        </is>
      </c>
      <c r="L557" s="1" t="inlineStr">
        <is>
          <t>Yes</t>
        </is>
      </c>
      <c r="M557" s="1" t="inlineStr">
        <is>
          <t>No</t>
        </is>
      </c>
      <c r="N557" s="1" t="inlineStr">
        <is>
          <t>Algorithms</t>
        </is>
      </c>
      <c r="O5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58" ht="15.75" customHeight="1" s="12">
      <c r="A558" s="1" t="n">
        <v>791</v>
      </c>
      <c r="B558" s="3">
        <f>HYPERLINK("https://leetcode.com/problems/custom-sort-string/", "Custom Sort String")</f>
        <v/>
      </c>
      <c r="C558" s="1" t="n">
        <v>3814</v>
      </c>
      <c r="D558" s="1" t="n">
        <v>430</v>
      </c>
      <c r="E558" s="4">
        <f>IF(INDEX(C:C, ROW())+INDEX(D:D, ROW())=0, 0, INDEX(C:C, ROW())/(INDEX(C:C, ROW())+INDEX(D:D, ROW())))</f>
        <v/>
      </c>
      <c r="F558" s="1" t="inlineStr">
        <is>
          <t>Hash Table, String, Sorting</t>
        </is>
      </c>
      <c r="G558" s="1" t="inlineStr">
        <is>
          <t>Medium</t>
        </is>
      </c>
      <c r="H558" s="1" t="n">
        <v>569300</v>
      </c>
      <c r="I558" s="1" t="n">
        <v>787723</v>
      </c>
      <c r="J558" s="9" t="n">
        <v>0.723</v>
      </c>
      <c r="K558" s="1" t="inlineStr">
        <is>
          <t>Yes</t>
        </is>
      </c>
      <c r="L558" s="1" t="inlineStr">
        <is>
          <t>Yes</t>
        </is>
      </c>
      <c r="M558" s="1" t="inlineStr">
        <is>
          <t>No</t>
        </is>
      </c>
      <c r="N558" s="1" t="inlineStr">
        <is>
          <t>Algorithms</t>
        </is>
      </c>
      <c r="O5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59" ht="15.75" customHeight="1" s="12">
      <c r="A559" s="1" t="n">
        <v>887</v>
      </c>
      <c r="B559" s="3">
        <f>HYPERLINK("https://leetcode.com/problems/super-egg-drop/", "Super Egg Drop")</f>
        <v/>
      </c>
      <c r="C559" s="1" t="n">
        <v>3811</v>
      </c>
      <c r="D559" s="1" t="n">
        <v>206</v>
      </c>
      <c r="E559" s="4">
        <f>IF(INDEX(C:C, ROW())+INDEX(D:D, ROW())=0, 0, INDEX(C:C, ROW())/(INDEX(C:C, ROW())+INDEX(D:D, ROW())))</f>
        <v/>
      </c>
      <c r="F559" s="1" t="inlineStr">
        <is>
          <t>Math, Binary Search, Dynamic Programming</t>
        </is>
      </c>
      <c r="G559" s="1" t="inlineStr">
        <is>
          <t>Hard</t>
        </is>
      </c>
      <c r="H559" s="1" t="n">
        <v>95911</v>
      </c>
      <c r="I559" s="1" t="n">
        <v>322622</v>
      </c>
      <c r="J559" s="9" t="n">
        <v>0.297</v>
      </c>
      <c r="K559" s="1" t="inlineStr">
        <is>
          <t>Yes</t>
        </is>
      </c>
      <c r="L559" s="1" t="inlineStr">
        <is>
          <t>Yes</t>
        </is>
      </c>
      <c r="M559" s="1" t="inlineStr">
        <is>
          <t>No</t>
        </is>
      </c>
      <c r="N559" s="1" t="inlineStr">
        <is>
          <t>Algorithms</t>
        </is>
      </c>
      <c r="O5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60" ht="15.75" customHeight="1" s="12">
      <c r="A560" s="1" t="n">
        <v>491</v>
      </c>
      <c r="B560" s="3">
        <f>HYPERLINK("https://leetcode.com/problems/non-decreasing-subsequences/", "Non-decreasing Subsequences")</f>
        <v/>
      </c>
      <c r="C560" s="1" t="n">
        <v>3801</v>
      </c>
      <c r="D560" s="1" t="n">
        <v>237</v>
      </c>
      <c r="E560" s="4">
        <f>IF(INDEX(C:C, ROW())+INDEX(D:D, ROW())=0, 0, INDEX(C:C, ROW())/(INDEX(C:C, ROW())+INDEX(D:D, ROW())))</f>
        <v/>
      </c>
      <c r="F560" s="1" t="inlineStr">
        <is>
          <t>Array, Hash Table, Backtracking, Bit Manipulation</t>
        </is>
      </c>
      <c r="G560" s="1" t="inlineStr">
        <is>
          <t>Medium</t>
        </is>
      </c>
      <c r="H560" s="1" t="n">
        <v>204058</v>
      </c>
      <c r="I560" s="1" t="n">
        <v>327388</v>
      </c>
      <c r="J560" s="9" t="n">
        <v>0.623</v>
      </c>
      <c r="K560" s="1" t="inlineStr">
        <is>
          <t>Yes</t>
        </is>
      </c>
      <c r="L560" s="1" t="inlineStr">
        <is>
          <t>Yes</t>
        </is>
      </c>
      <c r="M560" s="1" t="inlineStr">
        <is>
          <t>No</t>
        </is>
      </c>
      <c r="N560" s="1" t="inlineStr">
        <is>
          <t>Algorithms</t>
        </is>
      </c>
      <c r="O5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61" ht="15.75" customHeight="1" s="12">
      <c r="A561" s="1" t="n">
        <v>1976</v>
      </c>
      <c r="B561" s="3">
        <f>HYPERLINK("https://leetcode.com/problems/number-of-ways-to-arrive-at-destination/", "Number of Ways to Arrive at Destination")</f>
        <v/>
      </c>
      <c r="C561" s="1" t="n">
        <v>3797</v>
      </c>
      <c r="D561" s="1" t="n">
        <v>221</v>
      </c>
      <c r="E561" s="4">
        <f>IF(INDEX(C:C, ROW())+INDEX(D:D, ROW())=0, 0, INDEX(C:C, ROW())/(INDEX(C:C, ROW())+INDEX(D:D, ROW())))</f>
        <v/>
      </c>
      <c r="F561" s="1" t="inlineStr">
        <is>
          <t>Dynamic Programming, Graph Theory, Topological Sort, Shortest Path</t>
        </is>
      </c>
      <c r="G561" s="1" t="inlineStr">
        <is>
          <t>Medium</t>
        </is>
      </c>
      <c r="H561" s="1" t="n">
        <v>239603</v>
      </c>
      <c r="I561" s="1" t="n">
        <v>642930</v>
      </c>
      <c r="J561" s="9" t="n">
        <v>0.373</v>
      </c>
      <c r="K561" s="1" t="inlineStr">
        <is>
          <t>Yes</t>
        </is>
      </c>
      <c r="L561" s="1" t="inlineStr">
        <is>
          <t>Yes</t>
        </is>
      </c>
      <c r="M561" s="1" t="inlineStr">
        <is>
          <t>No</t>
        </is>
      </c>
      <c r="N561" s="1" t="inlineStr">
        <is>
          <t>Algorithms</t>
        </is>
      </c>
      <c r="O5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62" ht="15.75" customHeight="1" s="12">
      <c r="A562" s="1" t="n">
        <v>622</v>
      </c>
      <c r="B562" s="3">
        <f>HYPERLINK("https://leetcode.com/problems/design-circular-queue/", "Design Circular Queue")</f>
        <v/>
      </c>
      <c r="C562" s="1" t="n">
        <v>3795</v>
      </c>
      <c r="D562" s="1" t="n">
        <v>345</v>
      </c>
      <c r="E562" s="4">
        <f>IF(INDEX(C:C, ROW())+INDEX(D:D, ROW())=0, 0, INDEX(C:C, ROW())/(INDEX(C:C, ROW())+INDEX(D:D, ROW())))</f>
        <v/>
      </c>
      <c r="F562" s="1" t="inlineStr">
        <is>
          <t>Array, Linked List, Design, Queue</t>
        </is>
      </c>
      <c r="G562" s="1" t="inlineStr">
        <is>
          <t>Medium</t>
        </is>
      </c>
      <c r="H562" s="1" t="n">
        <v>444134</v>
      </c>
      <c r="I562" s="1" t="n">
        <v>826580</v>
      </c>
      <c r="J562" s="9" t="n">
        <v>0.537</v>
      </c>
      <c r="K562" s="1" t="inlineStr">
        <is>
          <t>Yes</t>
        </is>
      </c>
      <c r="L562" s="1" t="inlineStr">
        <is>
          <t>Yes</t>
        </is>
      </c>
      <c r="M562" s="1" t="inlineStr">
        <is>
          <t>No</t>
        </is>
      </c>
      <c r="N562" s="1" t="inlineStr">
        <is>
          <t>Algorithms</t>
        </is>
      </c>
      <c r="O5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63" ht="15.75" customHeight="1" s="12">
      <c r="A563" s="1" t="n">
        <v>263</v>
      </c>
      <c r="B563" s="3">
        <f>HYPERLINK("https://leetcode.com/problems/ugly-number/", "Ugly Number")</f>
        <v/>
      </c>
      <c r="C563" s="1" t="n">
        <v>3780</v>
      </c>
      <c r="D563" s="1" t="n">
        <v>1785</v>
      </c>
      <c r="E563" s="4">
        <f>IF(INDEX(C:C, ROW())+INDEX(D:D, ROW())=0, 0, INDEX(C:C, ROW())/(INDEX(C:C, ROW())+INDEX(D:D, ROW())))</f>
        <v/>
      </c>
      <c r="F563" s="1" t="inlineStr">
        <is>
          <t>Math</t>
        </is>
      </c>
      <c r="G563" s="1" t="inlineStr">
        <is>
          <t>Easy</t>
        </is>
      </c>
      <c r="H563" s="1" t="n">
        <v>729049</v>
      </c>
      <c r="I563" s="1" t="n">
        <v>1695593</v>
      </c>
      <c r="J563" s="9" t="n">
        <v>0.43</v>
      </c>
      <c r="K563" s="1" t="inlineStr">
        <is>
          <t>Yes</t>
        </is>
      </c>
      <c r="L563" s="1" t="inlineStr">
        <is>
          <t>Yes</t>
        </is>
      </c>
      <c r="M563" s="1" t="inlineStr">
        <is>
          <t>No</t>
        </is>
      </c>
      <c r="N563" s="1" t="inlineStr">
        <is>
          <t>Algorithms</t>
        </is>
      </c>
      <c r="O5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64" ht="15.75" customHeight="1" s="12">
      <c r="A564" s="1" t="n">
        <v>1572</v>
      </c>
      <c r="B564" s="3">
        <f>HYPERLINK("https://leetcode.com/problems/matrix-diagonal-sum/", "Matrix Diagonal Sum")</f>
        <v/>
      </c>
      <c r="C564" s="1" t="n">
        <v>3761</v>
      </c>
      <c r="D564" s="1" t="n">
        <v>65</v>
      </c>
      <c r="E564" s="4">
        <f>IF(INDEX(C:C, ROW())+INDEX(D:D, ROW())=0, 0, INDEX(C:C, ROW())/(INDEX(C:C, ROW())+INDEX(D:D, ROW())))</f>
        <v/>
      </c>
      <c r="F564" s="1" t="inlineStr">
        <is>
          <t>Array, Matrix</t>
        </is>
      </c>
      <c r="G564" s="1" t="inlineStr">
        <is>
          <t>Easy</t>
        </is>
      </c>
      <c r="H564" s="1" t="n">
        <v>493681</v>
      </c>
      <c r="I564" s="1" t="n">
        <v>587362</v>
      </c>
      <c r="J564" s="9" t="n">
        <v>0.841</v>
      </c>
      <c r="K564" s="1" t="inlineStr">
        <is>
          <t>Yes</t>
        </is>
      </c>
      <c r="L564" s="1" t="inlineStr">
        <is>
          <t>Yes</t>
        </is>
      </c>
      <c r="M564" s="1" t="inlineStr">
        <is>
          <t>No</t>
        </is>
      </c>
      <c r="N564" s="1" t="inlineStr">
        <is>
          <t>Algorithms</t>
        </is>
      </c>
      <c r="O5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65" ht="15.75" customHeight="1" s="12">
      <c r="A565" s="1" t="n">
        <v>2444</v>
      </c>
      <c r="B565" s="3">
        <f>HYPERLINK("https://leetcode.com/problems/count-subarrays-with-fixed-bounds/", "Count Subarrays With Fixed Bounds")</f>
        <v/>
      </c>
      <c r="C565" s="1" t="n">
        <v>3744</v>
      </c>
      <c r="D565" s="1" t="n">
        <v>95</v>
      </c>
      <c r="E565" s="4">
        <f>IF(INDEX(C:C, ROW())+INDEX(D:D, ROW())=0, 0, INDEX(C:C, ROW())/(INDEX(C:C, ROW())+INDEX(D:D, ROW())))</f>
        <v/>
      </c>
      <c r="F565" s="1" t="inlineStr">
        <is>
          <t>Array, Queue, Sliding Window, Monotonic Queue</t>
        </is>
      </c>
      <c r="G565" s="1" t="inlineStr">
        <is>
          <t>Hard</t>
        </is>
      </c>
      <c r="H565" s="1" t="n">
        <v>231678</v>
      </c>
      <c r="I565" s="1" t="n">
        <v>334488</v>
      </c>
      <c r="J565" s="9" t="n">
        <v>0.6929999999999999</v>
      </c>
      <c r="K565" s="1" t="inlineStr">
        <is>
          <t>Yes</t>
        </is>
      </c>
      <c r="L565" s="1" t="inlineStr">
        <is>
          <t>Yes</t>
        </is>
      </c>
      <c r="M565" s="1" t="inlineStr">
        <is>
          <t>No</t>
        </is>
      </c>
      <c r="N565" s="1" t="inlineStr">
        <is>
          <t>Algorithms</t>
        </is>
      </c>
      <c r="O5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66" ht="15.75" customHeight="1" s="12">
      <c r="A566" s="1" t="n">
        <v>799</v>
      </c>
      <c r="B566" s="3">
        <f>HYPERLINK("https://leetcode.com/problems/champagne-tower/", "Champagne Tower")</f>
        <v/>
      </c>
      <c r="C566" s="1" t="n">
        <v>3743</v>
      </c>
      <c r="D566" s="1" t="n">
        <v>209</v>
      </c>
      <c r="E566" s="4">
        <f>IF(INDEX(C:C, ROW())+INDEX(D:D, ROW())=0, 0, INDEX(C:C, ROW())/(INDEX(C:C, ROW())+INDEX(D:D, ROW())))</f>
        <v/>
      </c>
      <c r="F566" s="1" t="inlineStr">
        <is>
          <t>Dynamic Programming</t>
        </is>
      </c>
      <c r="G566" s="1" t="inlineStr">
        <is>
          <t>Medium</t>
        </is>
      </c>
      <c r="H566" s="1" t="n">
        <v>167216</v>
      </c>
      <c r="I566" s="1" t="n">
        <v>285642</v>
      </c>
      <c r="J566" s="9" t="n">
        <v>0.585</v>
      </c>
      <c r="K566" s="1" t="inlineStr">
        <is>
          <t>Yes</t>
        </is>
      </c>
      <c r="L566" s="1" t="inlineStr">
        <is>
          <t>Yes</t>
        </is>
      </c>
      <c r="M566" s="1" t="inlineStr">
        <is>
          <t>No</t>
        </is>
      </c>
      <c r="N566" s="1" t="inlineStr">
        <is>
          <t>Algorithms</t>
        </is>
      </c>
      <c r="O5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67" ht="15.75" customHeight="1" s="12">
      <c r="A567" s="1" t="n">
        <v>282</v>
      </c>
      <c r="B567" s="3">
        <f>HYPERLINK("https://leetcode.com/problems/expression-add-operators/", "Expression Add Operators")</f>
        <v/>
      </c>
      <c r="C567" s="1" t="n">
        <v>3738</v>
      </c>
      <c r="D567" s="1" t="n">
        <v>717</v>
      </c>
      <c r="E567" s="4">
        <f>IF(INDEX(C:C, ROW())+INDEX(D:D, ROW())=0, 0, INDEX(C:C, ROW())/(INDEX(C:C, ROW())+INDEX(D:D, ROW())))</f>
        <v/>
      </c>
      <c r="F567" s="1" t="inlineStr">
        <is>
          <t>Math, String, Backtracking</t>
        </is>
      </c>
      <c r="G567" s="1" t="inlineStr">
        <is>
          <t>Hard</t>
        </is>
      </c>
      <c r="H567" s="1" t="n">
        <v>305166</v>
      </c>
      <c r="I567" s="1" t="n">
        <v>715714</v>
      </c>
      <c r="J567" s="9" t="n">
        <v>0.426</v>
      </c>
      <c r="K567" s="1" t="inlineStr">
        <is>
          <t>Yes</t>
        </is>
      </c>
      <c r="L567" s="1" t="inlineStr">
        <is>
          <t>Yes</t>
        </is>
      </c>
      <c r="M567" s="1" t="inlineStr">
        <is>
          <t>No</t>
        </is>
      </c>
      <c r="N567" s="1" t="inlineStr">
        <is>
          <t>Algorithms</t>
        </is>
      </c>
      <c r="O5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68" ht="15.75" customHeight="1" s="12">
      <c r="A568" s="1" t="n">
        <v>303</v>
      </c>
      <c r="B568" s="3">
        <f>HYPERLINK("https://leetcode.com/problems/range-sum-query-immutable/", "Range Sum Query - Immutable")</f>
        <v/>
      </c>
      <c r="C568" s="1" t="n">
        <v>3738</v>
      </c>
      <c r="D568" s="1" t="n">
        <v>2006</v>
      </c>
      <c r="E568" s="4">
        <f>IF(INDEX(C:C, ROW())+INDEX(D:D, ROW())=0, 0, INDEX(C:C, ROW())/(INDEX(C:C, ROW())+INDEX(D:D, ROW())))</f>
        <v/>
      </c>
      <c r="F568" s="1" t="inlineStr">
        <is>
          <t>Array, Design, Prefix Sum</t>
        </is>
      </c>
      <c r="G568" s="1" t="inlineStr">
        <is>
          <t>Easy</t>
        </is>
      </c>
      <c r="H568" s="1" t="n">
        <v>851578</v>
      </c>
      <c r="I568" s="1" t="n">
        <v>1201014</v>
      </c>
      <c r="J568" s="9" t="n">
        <v>0.709</v>
      </c>
      <c r="K568" s="1" t="inlineStr">
        <is>
          <t>Yes</t>
        </is>
      </c>
      <c r="L568" s="1" t="inlineStr">
        <is>
          <t>Yes</t>
        </is>
      </c>
      <c r="M568" s="1" t="inlineStr">
        <is>
          <t>Yes</t>
        </is>
      </c>
      <c r="N568" s="1" t="inlineStr">
        <is>
          <t>Algorithms</t>
        </is>
      </c>
      <c r="O5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69" ht="15.75" customHeight="1" s="12">
      <c r="A569" s="1" t="n">
        <v>429</v>
      </c>
      <c r="B569" s="3">
        <f>HYPERLINK("https://leetcode.com/problems/n-ary-tree-level-order-traversal/", "N-ary Tree Level Order Traversal")</f>
        <v/>
      </c>
      <c r="C569" s="1" t="n">
        <v>3737</v>
      </c>
      <c r="D569" s="1" t="n">
        <v>144</v>
      </c>
      <c r="E569" s="4">
        <f>IF(INDEX(C:C, ROW())+INDEX(D:D, ROW())=0, 0, INDEX(C:C, ROW())/(INDEX(C:C, ROW())+INDEX(D:D, ROW())))</f>
        <v/>
      </c>
      <c r="F569" s="1" t="inlineStr">
        <is>
          <t>Tree, Breadth-First Search</t>
        </is>
      </c>
      <c r="G569" s="1" t="inlineStr">
        <is>
          <t>Medium</t>
        </is>
      </c>
      <c r="H569" s="1" t="n">
        <v>358575</v>
      </c>
      <c r="I569" s="1" t="n">
        <v>502083</v>
      </c>
      <c r="J569" s="9" t="n">
        <v>0.714</v>
      </c>
      <c r="K569" s="1" t="inlineStr">
        <is>
          <t>Yes</t>
        </is>
      </c>
      <c r="L569" s="1" t="inlineStr">
        <is>
          <t>Yes</t>
        </is>
      </c>
      <c r="M569" s="1" t="inlineStr">
        <is>
          <t>No</t>
        </is>
      </c>
      <c r="N569" s="1" t="inlineStr">
        <is>
          <t>Algorithms</t>
        </is>
      </c>
      <c r="O5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70" ht="15.75" customHeight="1" s="12">
      <c r="A570" s="1" t="n">
        <v>1372</v>
      </c>
      <c r="B570" s="3">
        <f>HYPERLINK("https://leetcode.com/problems/longest-zigzag-path-in-a-binary-tree/", "Longest ZigZag Path in a Binary Tree")</f>
        <v/>
      </c>
      <c r="C570" s="1" t="n">
        <v>3731</v>
      </c>
      <c r="D570" s="1" t="n">
        <v>85</v>
      </c>
      <c r="E570" s="4">
        <f>IF(INDEX(C:C, ROW())+INDEX(D:D, ROW())=0, 0, INDEX(C:C, ROW())/(INDEX(C:C, ROW())+INDEX(D:D, ROW())))</f>
        <v/>
      </c>
      <c r="F570" s="1" t="inlineStr">
        <is>
          <t>Dynamic Programming, Tree, Depth-First Search, Binary Tree</t>
        </is>
      </c>
      <c r="G570" s="1" t="inlineStr">
        <is>
          <t>Medium</t>
        </is>
      </c>
      <c r="H570" s="1" t="n">
        <v>273227</v>
      </c>
      <c r="I570" s="1" t="n">
        <v>408311</v>
      </c>
      <c r="J570" s="9" t="n">
        <v>0.669</v>
      </c>
      <c r="K570" s="1" t="inlineStr">
        <is>
          <t>Yes</t>
        </is>
      </c>
      <c r="L570" s="1" t="inlineStr">
        <is>
          <t>Yes</t>
        </is>
      </c>
      <c r="M570" s="1" t="inlineStr">
        <is>
          <t>No</t>
        </is>
      </c>
      <c r="N570" s="1" t="inlineStr">
        <is>
          <t>Algorithms</t>
        </is>
      </c>
      <c r="O5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71" ht="15.75" customHeight="1" s="12">
      <c r="A571" s="1" t="n">
        <v>2035</v>
      </c>
      <c r="B571" s="3">
        <f>HYPERLINK("https://leetcode.com/problems/partition-array-into-two-arrays-to-minimize-sum-difference/", "Partition Array Into Two Arrays to Minimize Sum Difference")</f>
        <v/>
      </c>
      <c r="C571" s="1" t="n">
        <v>3711</v>
      </c>
      <c r="D571" s="1" t="n">
        <v>253</v>
      </c>
      <c r="E571" s="4">
        <f>IF(INDEX(C:C, ROW())+INDEX(D:D, ROW())=0, 0, INDEX(C:C, ROW())/(INDEX(C:C, ROW())+INDEX(D:D, ROW())))</f>
        <v/>
      </c>
      <c r="F571" s="1" t="inlineStr">
        <is>
          <t>Array, Two Pointers, Binary Search, Dynamic Programming, Bit Manipulation, Ordered Set, Bitmask DP</t>
        </is>
      </c>
      <c r="G571" s="1" t="inlineStr">
        <is>
          <t>Hard</t>
        </is>
      </c>
      <c r="H571" s="1" t="n">
        <v>54429</v>
      </c>
      <c r="I571" s="1" t="n">
        <v>238678</v>
      </c>
      <c r="J571" s="9" t="n">
        <v>0.228</v>
      </c>
      <c r="K571" s="1" t="inlineStr">
        <is>
          <t>Yes</t>
        </is>
      </c>
      <c r="L571" s="1" t="inlineStr">
        <is>
          <t>No</t>
        </is>
      </c>
      <c r="M571" s="1" t="inlineStr">
        <is>
          <t>No</t>
        </is>
      </c>
      <c r="N571" s="1" t="inlineStr">
        <is>
          <t>Algorithms</t>
        </is>
      </c>
      <c r="O5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72" ht="15.75" customHeight="1" s="12">
      <c r="A572" s="1" t="n">
        <v>766</v>
      </c>
      <c r="B572" s="3">
        <f>HYPERLINK("https://leetcode.com/problems/toeplitz-matrix/", "Toeplitz Matrix")</f>
        <v/>
      </c>
      <c r="C572" s="1" t="n">
        <v>3707</v>
      </c>
      <c r="D572" s="1" t="n">
        <v>179</v>
      </c>
      <c r="E572" s="4">
        <f>IF(INDEX(C:C, ROW())+INDEX(D:D, ROW())=0, 0, INDEX(C:C, ROW())/(INDEX(C:C, ROW())+INDEX(D:D, ROW())))</f>
        <v/>
      </c>
      <c r="F572" s="1" t="inlineStr">
        <is>
          <t>Array, Matrix</t>
        </is>
      </c>
      <c r="G572" s="1" t="inlineStr">
        <is>
          <t>Easy</t>
        </is>
      </c>
      <c r="H572" s="1" t="n">
        <v>438624</v>
      </c>
      <c r="I572" s="1" t="n">
        <v>630536</v>
      </c>
      <c r="J572" s="9" t="n">
        <v>0.696</v>
      </c>
      <c r="K572" s="1" t="inlineStr">
        <is>
          <t>Yes</t>
        </is>
      </c>
      <c r="L572" s="1" t="inlineStr">
        <is>
          <t>Yes</t>
        </is>
      </c>
      <c r="M572" s="1" t="inlineStr">
        <is>
          <t>No</t>
        </is>
      </c>
      <c r="N572" s="1" t="inlineStr">
        <is>
          <t>Algorithms</t>
        </is>
      </c>
      <c r="O5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73" ht="15.75" customHeight="1" s="12">
      <c r="A573" s="1" t="n">
        <v>1129</v>
      </c>
      <c r="B573" s="3">
        <f>HYPERLINK("https://leetcode.com/problems/shortest-path-with-alternating-colors/", "Shortest Path with Alternating Colors")</f>
        <v/>
      </c>
      <c r="C573" s="1" t="n">
        <v>3686</v>
      </c>
      <c r="D573" s="1" t="n">
        <v>202</v>
      </c>
      <c r="E573" s="4">
        <f>IF(INDEX(C:C, ROW())+INDEX(D:D, ROW())=0, 0, INDEX(C:C, ROW())/(INDEX(C:C, ROW())+INDEX(D:D, ROW())))</f>
        <v/>
      </c>
      <c r="F573" s="1" t="inlineStr">
        <is>
          <t>Breadth-First Search, Graph Theory</t>
        </is>
      </c>
      <c r="G573" s="1" t="inlineStr">
        <is>
          <t>Medium</t>
        </is>
      </c>
      <c r="H573" s="1" t="n">
        <v>147656</v>
      </c>
      <c r="I573" s="1" t="n">
        <v>310101</v>
      </c>
      <c r="J573" s="9" t="n">
        <v>0.476</v>
      </c>
      <c r="K573" s="1" t="inlineStr">
        <is>
          <t>Yes</t>
        </is>
      </c>
      <c r="L573" s="1" t="inlineStr">
        <is>
          <t>Yes</t>
        </is>
      </c>
      <c r="M573" s="1" t="inlineStr">
        <is>
          <t>No</t>
        </is>
      </c>
      <c r="N573" s="1" t="inlineStr">
        <is>
          <t>Algorithms</t>
        </is>
      </c>
      <c r="O5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74" ht="15.75" customHeight="1" s="12">
      <c r="A574" s="1" t="n">
        <v>832</v>
      </c>
      <c r="B574" s="3">
        <f>HYPERLINK("https://leetcode.com/problems/flipping-an-image/", "Flipping an Image")</f>
        <v/>
      </c>
      <c r="C574" s="1" t="n">
        <v>3684</v>
      </c>
      <c r="D574" s="1" t="n">
        <v>257</v>
      </c>
      <c r="E574" s="4">
        <f>IF(INDEX(C:C, ROW())+INDEX(D:D, ROW())=0, 0, INDEX(C:C, ROW())/(INDEX(C:C, ROW())+INDEX(D:D, ROW())))</f>
        <v/>
      </c>
      <c r="F574" s="1" t="inlineStr">
        <is>
          <t>Array, Two Pointers, Bit Manipulation, Matrix, Simulation</t>
        </is>
      </c>
      <c r="G574" s="1" t="inlineStr">
        <is>
          <t>Easy</t>
        </is>
      </c>
      <c r="H574" s="1" t="n">
        <v>538607</v>
      </c>
      <c r="I574" s="1" t="n">
        <v>645382</v>
      </c>
      <c r="J574" s="9" t="n">
        <v>0.835</v>
      </c>
      <c r="K574" s="1" t="inlineStr">
        <is>
          <t>Yes</t>
        </is>
      </c>
      <c r="L574" s="1" t="inlineStr">
        <is>
          <t>Yes</t>
        </is>
      </c>
      <c r="M574" s="1" t="inlineStr">
        <is>
          <t>No</t>
        </is>
      </c>
      <c r="N574" s="1" t="inlineStr">
        <is>
          <t>Algorithms</t>
        </is>
      </c>
      <c r="O5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75" ht="15.75" customHeight="1" s="12">
      <c r="A575" s="1" t="n">
        <v>566</v>
      </c>
      <c r="B575" s="3">
        <f>HYPERLINK("https://leetcode.com/problems/reshape-the-matrix/", "Reshape the Matrix")</f>
        <v/>
      </c>
      <c r="C575" s="1" t="n">
        <v>3682</v>
      </c>
      <c r="D575" s="1" t="n">
        <v>437</v>
      </c>
      <c r="E575" s="4">
        <f>IF(INDEX(C:C, ROW())+INDEX(D:D, ROW())=0, 0, INDEX(C:C, ROW())/(INDEX(C:C, ROW())+INDEX(D:D, ROW())))</f>
        <v/>
      </c>
      <c r="F575" s="1" t="inlineStr">
        <is>
          <t>Array, Matrix, Simulation</t>
        </is>
      </c>
      <c r="G575" s="1" t="inlineStr">
        <is>
          <t>Easy</t>
        </is>
      </c>
      <c r="H575" s="1" t="n">
        <v>455752</v>
      </c>
      <c r="I575" s="1" t="n">
        <v>705792</v>
      </c>
      <c r="J575" s="9" t="n">
        <v>0.646</v>
      </c>
      <c r="K575" s="1" t="inlineStr">
        <is>
          <t>Yes</t>
        </is>
      </c>
      <c r="L575" s="1" t="inlineStr">
        <is>
          <t>Yes</t>
        </is>
      </c>
      <c r="M575" s="1" t="inlineStr">
        <is>
          <t>No</t>
        </is>
      </c>
      <c r="N575" s="1" t="inlineStr">
        <is>
          <t>Algorithms</t>
        </is>
      </c>
      <c r="O5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76" ht="15.75" customHeight="1" s="12">
      <c r="A576" s="1" t="n">
        <v>950</v>
      </c>
      <c r="B576" s="3">
        <f>HYPERLINK("https://leetcode.com/problems/reveal-cards-in-increasing-order/", "Reveal Cards In Increasing Order")</f>
        <v/>
      </c>
      <c r="C576" s="1" t="n">
        <v>3673</v>
      </c>
      <c r="D576" s="1" t="n">
        <v>704</v>
      </c>
      <c r="E576" s="4">
        <f>IF(INDEX(C:C, ROW())+INDEX(D:D, ROW())=0, 0, INDEX(C:C, ROW())/(INDEX(C:C, ROW())+INDEX(D:D, ROW())))</f>
        <v/>
      </c>
      <c r="F576" s="1" t="inlineStr">
        <is>
          <t>Array, Queue, Sorting, Simulation</t>
        </is>
      </c>
      <c r="G576" s="1" t="inlineStr">
        <is>
          <t>Medium</t>
        </is>
      </c>
      <c r="H576" s="1" t="n">
        <v>229949</v>
      </c>
      <c r="I576" s="1" t="n">
        <v>275476</v>
      </c>
      <c r="J576" s="9" t="n">
        <v>0.835</v>
      </c>
      <c r="K576" s="1" t="inlineStr">
        <is>
          <t>Yes</t>
        </is>
      </c>
      <c r="L576" s="1" t="inlineStr">
        <is>
          <t>Yes</t>
        </is>
      </c>
      <c r="M576" s="1" t="inlineStr">
        <is>
          <t>No</t>
        </is>
      </c>
      <c r="N576" s="1" t="inlineStr">
        <is>
          <t>Algorithms</t>
        </is>
      </c>
      <c r="O5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77" ht="15.75" customHeight="1" s="12">
      <c r="A577" s="1" t="n">
        <v>1636</v>
      </c>
      <c r="B577" s="3">
        <f>HYPERLINK("https://leetcode.com/problems/sort-array-by-increasing-frequency/", "Sort Array by Increasing Frequency")</f>
        <v/>
      </c>
      <c r="C577" s="1" t="n">
        <v>3673</v>
      </c>
      <c r="D577" s="1" t="n">
        <v>177</v>
      </c>
      <c r="E577" s="4">
        <f>IF(INDEX(C:C, ROW())+INDEX(D:D, ROW())=0, 0, INDEX(C:C, ROW())/(INDEX(C:C, ROW())+INDEX(D:D, ROW())))</f>
        <v/>
      </c>
      <c r="F577" s="1" t="inlineStr">
        <is>
          <t>Array, Hash Table, Sorting</t>
        </is>
      </c>
      <c r="G577" s="1" t="inlineStr">
        <is>
          <t>Easy</t>
        </is>
      </c>
      <c r="H577" s="1" t="n">
        <v>336422</v>
      </c>
      <c r="I577" s="1" t="n">
        <v>417329</v>
      </c>
      <c r="J577" s="9" t="n">
        <v>0.806</v>
      </c>
      <c r="K577" s="1" t="inlineStr">
        <is>
          <t>Yes</t>
        </is>
      </c>
      <c r="L577" s="1" t="inlineStr">
        <is>
          <t>Yes</t>
        </is>
      </c>
      <c r="M577" s="1" t="inlineStr">
        <is>
          <t>No</t>
        </is>
      </c>
      <c r="N577" s="1" t="inlineStr">
        <is>
          <t>Algorithms</t>
        </is>
      </c>
      <c r="O5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78" ht="15.75" customHeight="1" s="12">
      <c r="A578" s="1" t="n">
        <v>783</v>
      </c>
      <c r="B578" s="3">
        <f>HYPERLINK("https://leetcode.com/problems/minimum-distance-between-bst-nodes/", "Minimum Distance Between BST Nodes")</f>
        <v/>
      </c>
      <c r="C578" s="1" t="n">
        <v>3665</v>
      </c>
      <c r="D578" s="1" t="n">
        <v>435</v>
      </c>
      <c r="E578" s="4">
        <f>IF(INDEX(C:C, ROW())+INDEX(D:D, ROW())=0, 0, INDEX(C:C, ROW())/(INDEX(C:C, ROW())+INDEX(D:D, ROW())))</f>
        <v/>
      </c>
      <c r="F578" s="1" t="inlineStr">
        <is>
          <t>Tree, Depth-First Search, Breadth-First Search, Binary Search Tree, Binary Tree</t>
        </is>
      </c>
      <c r="G578" s="1" t="inlineStr">
        <is>
          <t>Easy</t>
        </is>
      </c>
      <c r="H578" s="1" t="n">
        <v>315527</v>
      </c>
      <c r="I578" s="1" t="n">
        <v>517661</v>
      </c>
      <c r="J578" s="9" t="n">
        <v>0.61</v>
      </c>
      <c r="K578" s="1" t="inlineStr">
        <is>
          <t>Yes</t>
        </is>
      </c>
      <c r="L578" s="1" t="inlineStr">
        <is>
          <t>Yes</t>
        </is>
      </c>
      <c r="M578" s="1" t="inlineStr">
        <is>
          <t>No</t>
        </is>
      </c>
      <c r="N578" s="1" t="inlineStr">
        <is>
          <t>Algorithms</t>
        </is>
      </c>
      <c r="O5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79" ht="15.75" customHeight="1" s="12">
      <c r="A579" s="1" t="n">
        <v>326</v>
      </c>
      <c r="B579" s="3">
        <f>HYPERLINK("https://leetcode.com/problems/power-of-three/", "Power of Three")</f>
        <v/>
      </c>
      <c r="C579" s="1" t="n">
        <v>3664</v>
      </c>
      <c r="D579" s="1" t="n">
        <v>315</v>
      </c>
      <c r="E579" s="4">
        <f>IF(INDEX(C:C, ROW())+INDEX(D:D, ROW())=0, 0, INDEX(C:C, ROW())/(INDEX(C:C, ROW())+INDEX(D:D, ROW())))</f>
        <v/>
      </c>
      <c r="F579" s="1" t="inlineStr">
        <is>
          <t>Math, Recursion</t>
        </is>
      </c>
      <c r="G579" s="1" t="inlineStr">
        <is>
          <t>Easy</t>
        </is>
      </c>
      <c r="H579" s="1" t="n">
        <v>1321716</v>
      </c>
      <c r="I579" s="1" t="n">
        <v>2615316</v>
      </c>
      <c r="J579" s="9" t="n">
        <v>0.505</v>
      </c>
      <c r="K579" s="1" t="inlineStr">
        <is>
          <t>Yes</t>
        </is>
      </c>
      <c r="L579" s="1" t="inlineStr">
        <is>
          <t>Yes</t>
        </is>
      </c>
      <c r="M579" s="1" t="inlineStr">
        <is>
          <t>No</t>
        </is>
      </c>
      <c r="N579" s="1" t="inlineStr">
        <is>
          <t>Algorithms</t>
        </is>
      </c>
      <c r="O5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80" ht="15.75" customHeight="1" s="12">
      <c r="A580" s="1" t="n">
        <v>846</v>
      </c>
      <c r="B580" s="3">
        <f>HYPERLINK("https://leetcode.com/problems/hand-of-straights/", "Hand of Straights")</f>
        <v/>
      </c>
      <c r="C580" s="1" t="n">
        <v>3664</v>
      </c>
      <c r="D580" s="1" t="n">
        <v>292</v>
      </c>
      <c r="E580" s="4">
        <f>IF(INDEX(C:C, ROW())+INDEX(D:D, ROW())=0, 0, INDEX(C:C, ROW())/(INDEX(C:C, ROW())+INDEX(D:D, ROW())))</f>
        <v/>
      </c>
      <c r="F580" s="1" t="inlineStr">
        <is>
          <t>Array, Hash Table, Greedy, Sorting</t>
        </is>
      </c>
      <c r="G580" s="1" t="inlineStr">
        <is>
          <t>Medium</t>
        </is>
      </c>
      <c r="H580" s="1" t="n">
        <v>428093</v>
      </c>
      <c r="I580" s="1" t="n">
        <v>742100</v>
      </c>
      <c r="J580" s="9" t="n">
        <v>0.577</v>
      </c>
      <c r="K580" s="1" t="inlineStr">
        <is>
          <t>Yes</t>
        </is>
      </c>
      <c r="L580" s="1" t="inlineStr">
        <is>
          <t>Yes</t>
        </is>
      </c>
      <c r="M580" s="1" t="inlineStr">
        <is>
          <t>No</t>
        </is>
      </c>
      <c r="N580" s="1" t="inlineStr">
        <is>
          <t>Algorithms</t>
        </is>
      </c>
      <c r="O5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81" ht="15.75" customHeight="1" s="12">
      <c r="A581" s="1" t="n">
        <v>623</v>
      </c>
      <c r="B581" s="3">
        <f>HYPERLINK("https://leetcode.com/problems/add-one-row-to-tree/", "Add One Row to Tree")</f>
        <v/>
      </c>
      <c r="C581" s="1" t="n">
        <v>3658</v>
      </c>
      <c r="D581" s="1" t="n">
        <v>270</v>
      </c>
      <c r="E581" s="4">
        <f>IF(INDEX(C:C, ROW())+INDEX(D:D, ROW())=0, 0, INDEX(C:C, ROW())/(INDEX(C:C, ROW())+INDEX(D:D, ROW())))</f>
        <v/>
      </c>
      <c r="F581" s="1" t="inlineStr">
        <is>
          <t>Tree, Depth-First Search, Breadth-First Search, Binary Tree</t>
        </is>
      </c>
      <c r="G581" s="1" t="inlineStr">
        <is>
          <t>Medium</t>
        </is>
      </c>
      <c r="H581" s="1" t="n">
        <v>300113</v>
      </c>
      <c r="I581" s="1" t="n">
        <v>468172</v>
      </c>
      <c r="J581" s="9" t="n">
        <v>0.641</v>
      </c>
      <c r="K581" s="1" t="inlineStr">
        <is>
          <t>Yes</t>
        </is>
      </c>
      <c r="L581" s="1" t="inlineStr">
        <is>
          <t>Yes</t>
        </is>
      </c>
      <c r="M581" s="1" t="inlineStr">
        <is>
          <t>No</t>
        </is>
      </c>
      <c r="N581" s="1" t="inlineStr">
        <is>
          <t>Algorithms</t>
        </is>
      </c>
      <c r="O5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82" ht="15.75" customHeight="1" s="12">
      <c r="A582" s="1" t="n">
        <v>1021</v>
      </c>
      <c r="B582" s="3">
        <f>HYPERLINK("https://leetcode.com/problems/remove-outermost-parentheses/", "Remove Outermost Parentheses")</f>
        <v/>
      </c>
      <c r="C582" s="1" t="n">
        <v>3649</v>
      </c>
      <c r="D582" s="1" t="n">
        <v>1709</v>
      </c>
      <c r="E582" s="4">
        <f>IF(INDEX(C:C, ROW())+INDEX(D:D, ROW())=0, 0, INDEX(C:C, ROW())/(INDEX(C:C, ROW())+INDEX(D:D, ROW())))</f>
        <v/>
      </c>
      <c r="F582" s="1" t="inlineStr">
        <is>
          <t>String, Stack</t>
        </is>
      </c>
      <c r="G582" s="1" t="inlineStr">
        <is>
          <t>Easy</t>
        </is>
      </c>
      <c r="H582" s="1" t="n">
        <v>612294</v>
      </c>
      <c r="I582" s="1" t="n">
        <v>706307</v>
      </c>
      <c r="J582" s="9" t="n">
        <v>0.867</v>
      </c>
      <c r="K582" s="1" t="inlineStr">
        <is>
          <t>Yes</t>
        </is>
      </c>
      <c r="L582" s="1" t="inlineStr">
        <is>
          <t>No</t>
        </is>
      </c>
      <c r="M582" s="1" t="inlineStr">
        <is>
          <t>No</t>
        </is>
      </c>
      <c r="N582" s="1" t="inlineStr">
        <is>
          <t>Algorithms</t>
        </is>
      </c>
      <c r="O5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83" ht="15.75" customHeight="1" s="12">
      <c r="A583" s="1" t="n">
        <v>989</v>
      </c>
      <c r="B583" s="3">
        <f>HYPERLINK("https://leetcode.com/problems/add-to-array-form-of-integer/", "Add to Array-Form of Integer")</f>
        <v/>
      </c>
      <c r="C583" s="1" t="n">
        <v>3647</v>
      </c>
      <c r="D583" s="1" t="n">
        <v>315</v>
      </c>
      <c r="E583" s="4">
        <f>IF(INDEX(C:C, ROW())+INDEX(D:D, ROW())=0, 0, INDEX(C:C, ROW())/(INDEX(C:C, ROW())+INDEX(D:D, ROW())))</f>
        <v/>
      </c>
      <c r="F583" s="1" t="inlineStr">
        <is>
          <t>Array, Math</t>
        </is>
      </c>
      <c r="G583" s="1" t="inlineStr">
        <is>
          <t>Easy</t>
        </is>
      </c>
      <c r="H583" s="1" t="n">
        <v>328950</v>
      </c>
      <c r="I583" s="1" t="n">
        <v>725538</v>
      </c>
      <c r="J583" s="9" t="n">
        <v>0.453</v>
      </c>
      <c r="K583" s="1" t="inlineStr">
        <is>
          <t>Yes</t>
        </is>
      </c>
      <c r="L583" s="1" t="inlineStr">
        <is>
          <t>Yes</t>
        </is>
      </c>
      <c r="M583" s="1" t="inlineStr">
        <is>
          <t>No</t>
        </is>
      </c>
      <c r="N583" s="1" t="inlineStr">
        <is>
          <t>Algorithms</t>
        </is>
      </c>
      <c r="O5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84" ht="15.75" customHeight="1" s="12">
      <c r="A584" s="1" t="n">
        <v>769</v>
      </c>
      <c r="B584" s="3">
        <f>HYPERLINK("https://leetcode.com/problems/max-chunks-to-make-sorted/", "Max Chunks To Make Sorted")</f>
        <v/>
      </c>
      <c r="C584" s="1" t="n">
        <v>3634</v>
      </c>
      <c r="D584" s="1" t="n">
        <v>364</v>
      </c>
      <c r="E584" s="4">
        <f>IF(INDEX(C:C, ROW())+INDEX(D:D, ROW())=0, 0, INDEX(C:C, ROW())/(INDEX(C:C, ROW())+INDEX(D:D, ROW())))</f>
        <v/>
      </c>
      <c r="F584" s="1" t="inlineStr">
        <is>
          <t>Array, Stack, Greedy, Sorting, Monotonic Stack</t>
        </is>
      </c>
      <c r="G584" s="1" t="inlineStr">
        <is>
          <t>Medium</t>
        </is>
      </c>
      <c r="H584" s="1" t="n">
        <v>233526</v>
      </c>
      <c r="I584" s="1" t="n">
        <v>364118</v>
      </c>
      <c r="J584" s="9" t="n">
        <v>0.641</v>
      </c>
      <c r="K584" s="1" t="inlineStr">
        <is>
          <t>Yes</t>
        </is>
      </c>
      <c r="L584" s="1" t="inlineStr">
        <is>
          <t>Yes</t>
        </is>
      </c>
      <c r="M584" s="1" t="inlineStr">
        <is>
          <t>No</t>
        </is>
      </c>
      <c r="N584" s="1" t="inlineStr">
        <is>
          <t>Algorithms</t>
        </is>
      </c>
      <c r="O5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85" ht="15.75" customHeight="1" s="12">
      <c r="A585" s="1" t="n">
        <v>909</v>
      </c>
      <c r="B585" s="3">
        <f>HYPERLINK("https://leetcode.com/problems/snakes-and-ladders/", "Snakes and Ladders")</f>
        <v/>
      </c>
      <c r="C585" s="1" t="n">
        <v>3620</v>
      </c>
      <c r="D585" s="1" t="n">
        <v>1325</v>
      </c>
      <c r="E585" s="4">
        <f>IF(INDEX(C:C, ROW())+INDEX(D:D, ROW())=0, 0, INDEX(C:C, ROW())/(INDEX(C:C, ROW())+INDEX(D:D, ROW())))</f>
        <v/>
      </c>
      <c r="F585" s="1" t="inlineStr">
        <is>
          <t>Array, Breadth-First Search, Matrix</t>
        </is>
      </c>
      <c r="G585" s="1" t="inlineStr">
        <is>
          <t>Medium</t>
        </is>
      </c>
      <c r="H585" s="1" t="n">
        <v>351470</v>
      </c>
      <c r="I585" s="1" t="n">
        <v>732596</v>
      </c>
      <c r="J585" s="9" t="n">
        <v>0.48</v>
      </c>
      <c r="K585" s="1" t="inlineStr">
        <is>
          <t>Yes</t>
        </is>
      </c>
      <c r="L585" s="1" t="inlineStr">
        <is>
          <t>Yes</t>
        </is>
      </c>
      <c r="M585" s="1" t="inlineStr">
        <is>
          <t>No</t>
        </is>
      </c>
      <c r="N585" s="1" t="inlineStr">
        <is>
          <t>Algorithms</t>
        </is>
      </c>
      <c r="O5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86" ht="15.75" customHeight="1" s="12">
      <c r="A586" s="1" t="n">
        <v>318</v>
      </c>
      <c r="B586" s="3">
        <f>HYPERLINK("https://leetcode.com/problems/maximum-product-of-word-lengths/", "Maximum Product of Word Lengths")</f>
        <v/>
      </c>
      <c r="C586" s="1" t="n">
        <v>3612</v>
      </c>
      <c r="D586" s="1" t="n">
        <v>146</v>
      </c>
      <c r="E586" s="4">
        <f>IF(INDEX(C:C, ROW())+INDEX(D:D, ROW())=0, 0, INDEX(C:C, ROW())/(INDEX(C:C, ROW())+INDEX(D:D, ROW())))</f>
        <v/>
      </c>
      <c r="F586" s="1" t="inlineStr">
        <is>
          <t>Array, String, Bit Manipulation</t>
        </is>
      </c>
      <c r="G586" s="1" t="inlineStr">
        <is>
          <t>Medium</t>
        </is>
      </c>
      <c r="H586" s="1" t="n">
        <v>246947</v>
      </c>
      <c r="I586" s="1" t="n">
        <v>405101</v>
      </c>
      <c r="J586" s="9" t="n">
        <v>0.61</v>
      </c>
      <c r="K586" s="1" t="inlineStr">
        <is>
          <t>Yes</t>
        </is>
      </c>
      <c r="L586" s="1" t="inlineStr">
        <is>
          <t>Yes</t>
        </is>
      </c>
      <c r="M586" s="1" t="inlineStr">
        <is>
          <t>No</t>
        </is>
      </c>
      <c r="N586" s="1" t="inlineStr">
        <is>
          <t>Algorithms</t>
        </is>
      </c>
      <c r="O5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87" ht="15.75" customHeight="1" s="12">
      <c r="A587" s="1" t="n">
        <v>1326</v>
      </c>
      <c r="B587" s="3">
        <f>HYPERLINK("https://leetcode.com/problems/minimum-number-of-taps-to-open-to-water-a-garden/", "Minimum Number of Taps to Open to Water a Garden")</f>
        <v/>
      </c>
      <c r="C587" s="1" t="n">
        <v>3607</v>
      </c>
      <c r="D587" s="1" t="n">
        <v>197</v>
      </c>
      <c r="E587" s="4">
        <f>IF(INDEX(C:C, ROW())+INDEX(D:D, ROW())=0, 0, INDEX(C:C, ROW())/(INDEX(C:C, ROW())+INDEX(D:D, ROW())))</f>
        <v/>
      </c>
      <c r="F587" s="1" t="inlineStr">
        <is>
          <t>Array, Dynamic Programming, Greedy</t>
        </is>
      </c>
      <c r="G587" s="1" t="inlineStr">
        <is>
          <t>Hard</t>
        </is>
      </c>
      <c r="H587" s="1" t="n">
        <v>155793</v>
      </c>
      <c r="I587" s="1" t="n">
        <v>306617</v>
      </c>
      <c r="J587" s="9" t="n">
        <v>0.508</v>
      </c>
      <c r="K587" s="1" t="inlineStr">
        <is>
          <t>Yes</t>
        </is>
      </c>
      <c r="L587" s="1" t="inlineStr">
        <is>
          <t>Yes</t>
        </is>
      </c>
      <c r="M587" s="1" t="inlineStr">
        <is>
          <t>No</t>
        </is>
      </c>
      <c r="N587" s="1" t="inlineStr">
        <is>
          <t>Algorithms</t>
        </is>
      </c>
      <c r="O5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88" ht="15.75" customHeight="1" s="12">
      <c r="A588" s="1" t="n">
        <v>87</v>
      </c>
      <c r="B588" s="3">
        <f>HYPERLINK("https://leetcode.com/problems/scramble-string/", "Scramble String")</f>
        <v/>
      </c>
      <c r="C588" s="1" t="n">
        <v>3600</v>
      </c>
      <c r="D588" s="1" t="n">
        <v>1307</v>
      </c>
      <c r="E588" s="4">
        <f>IF(INDEX(C:C, ROW())+INDEX(D:D, ROW())=0, 0, INDEX(C:C, ROW())/(INDEX(C:C, ROW())+INDEX(D:D, ROW())))</f>
        <v/>
      </c>
      <c r="F588" s="1" t="inlineStr">
        <is>
          <t>String, Dynamic Programming</t>
        </is>
      </c>
      <c r="G588" s="1" t="inlineStr">
        <is>
          <t>Hard</t>
        </is>
      </c>
      <c r="H588" s="1" t="n">
        <v>299743</v>
      </c>
      <c r="I588" s="1" t="n">
        <v>686831</v>
      </c>
      <c r="J588" s="9" t="n">
        <v>0.436</v>
      </c>
      <c r="K588" s="1" t="inlineStr">
        <is>
          <t>Yes</t>
        </is>
      </c>
      <c r="L588" s="1" t="inlineStr">
        <is>
          <t>Yes</t>
        </is>
      </c>
      <c r="M588" s="1" t="inlineStr">
        <is>
          <t>No</t>
        </is>
      </c>
      <c r="N588" s="1" t="inlineStr">
        <is>
          <t>Algorithms</t>
        </is>
      </c>
      <c r="O5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89" ht="15.75" customHeight="1" s="12">
      <c r="A589" s="1" t="n">
        <v>449</v>
      </c>
      <c r="B589" s="3">
        <f>HYPERLINK("https://leetcode.com/problems/serialize-and-deserialize-bst/", "Serialize and Deserialize BST")</f>
        <v/>
      </c>
      <c r="C589" s="1" t="n">
        <v>3585</v>
      </c>
      <c r="D589" s="1" t="n">
        <v>180</v>
      </c>
      <c r="E589" s="4">
        <f>IF(INDEX(C:C, ROW())+INDEX(D:D, ROW())=0, 0, INDEX(C:C, ROW())/(INDEX(C:C, ROW())+INDEX(D:D, ROW())))</f>
        <v/>
      </c>
      <c r="F589" s="1" t="inlineStr">
        <is>
          <t>String, Tree, Depth-First Search, Breadth-First Search, Design, Binary Search Tree, Binary Tree</t>
        </is>
      </c>
      <c r="G589" s="1" t="inlineStr">
        <is>
          <t>Medium</t>
        </is>
      </c>
      <c r="H589" s="1" t="n">
        <v>269277</v>
      </c>
      <c r="I589" s="1" t="n">
        <v>454695</v>
      </c>
      <c r="J589" s="9" t="n">
        <v>0.592</v>
      </c>
      <c r="K589" s="1" t="inlineStr">
        <is>
          <t>Yes</t>
        </is>
      </c>
      <c r="L589" s="1" t="inlineStr">
        <is>
          <t>Yes</t>
        </is>
      </c>
      <c r="M589" s="1" t="inlineStr">
        <is>
          <t>No</t>
        </is>
      </c>
      <c r="N589" s="1" t="inlineStr">
        <is>
          <t>Algorithms</t>
        </is>
      </c>
      <c r="O5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90" ht="15.75" customHeight="1" s="12">
      <c r="A590" s="1" t="n">
        <v>187</v>
      </c>
      <c r="B590" s="3">
        <f>HYPERLINK("https://leetcode.com/problems/repeated-dna-sequences/", "Repeated DNA Sequences")</f>
        <v/>
      </c>
      <c r="C590" s="1" t="n">
        <v>3581</v>
      </c>
      <c r="D590" s="1" t="n">
        <v>567</v>
      </c>
      <c r="E590" s="4">
        <f>IF(INDEX(C:C, ROW())+INDEX(D:D, ROW())=0, 0, INDEX(C:C, ROW())/(INDEX(C:C, ROW())+INDEX(D:D, ROW())))</f>
        <v/>
      </c>
      <c r="F590" s="1" t="inlineStr">
        <is>
          <t>Hash Table, String, Bit Manipulation, Sliding Window, Rolling Hash, Hash Function</t>
        </is>
      </c>
      <c r="G590" s="1" t="inlineStr">
        <is>
          <t>Medium</t>
        </is>
      </c>
      <c r="H590" s="1" t="n">
        <v>506612</v>
      </c>
      <c r="I590" s="1" t="n">
        <v>962445</v>
      </c>
      <c r="J590" s="9" t="n">
        <v>0.526</v>
      </c>
      <c r="K590" s="1" t="inlineStr">
        <is>
          <t>Yes</t>
        </is>
      </c>
      <c r="L590" s="1" t="inlineStr">
        <is>
          <t>Yes</t>
        </is>
      </c>
      <c r="M590" s="1" t="inlineStr">
        <is>
          <t>No</t>
        </is>
      </c>
      <c r="N590" s="1" t="inlineStr">
        <is>
          <t>Algorithms</t>
        </is>
      </c>
      <c r="O5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91" ht="15.75" customHeight="1" s="12">
      <c r="A591" s="1" t="n">
        <v>1396</v>
      </c>
      <c r="B591" s="3">
        <f>HYPERLINK("https://leetcode.com/problems/design-underground-system/", "Design Underground System")</f>
        <v/>
      </c>
      <c r="C591" s="1" t="n">
        <v>3576</v>
      </c>
      <c r="D591" s="1" t="n">
        <v>178</v>
      </c>
      <c r="E591" s="4">
        <f>IF(INDEX(C:C, ROW())+INDEX(D:D, ROW())=0, 0, INDEX(C:C, ROW())/(INDEX(C:C, ROW())+INDEX(D:D, ROW())))</f>
        <v/>
      </c>
      <c r="F591" s="1" t="inlineStr">
        <is>
          <t>Hash Table, String, Design</t>
        </is>
      </c>
      <c r="G591" s="1" t="inlineStr">
        <is>
          <t>Medium</t>
        </is>
      </c>
      <c r="H591" s="1" t="n">
        <v>263618</v>
      </c>
      <c r="I591" s="1" t="n">
        <v>354660</v>
      </c>
      <c r="J591" s="9" t="n">
        <v>0.743</v>
      </c>
      <c r="K591" s="1" t="inlineStr">
        <is>
          <t>Yes</t>
        </is>
      </c>
      <c r="L591" s="1" t="inlineStr">
        <is>
          <t>Yes</t>
        </is>
      </c>
      <c r="M591" s="1" t="inlineStr">
        <is>
          <t>No</t>
        </is>
      </c>
      <c r="N591" s="1" t="inlineStr">
        <is>
          <t>Algorithms</t>
        </is>
      </c>
      <c r="O5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92" ht="15.75" customHeight="1" s="12">
      <c r="A592" s="1" t="n">
        <v>1335</v>
      </c>
      <c r="B592" s="3">
        <f>HYPERLINK("https://leetcode.com/problems/minimum-difficulty-of-a-job-schedule/", "Minimum Difficulty of a Job Schedule")</f>
        <v/>
      </c>
      <c r="C592" s="1" t="n">
        <v>3574</v>
      </c>
      <c r="D592" s="1" t="n">
        <v>331</v>
      </c>
      <c r="E592" s="4">
        <f>IF(INDEX(C:C, ROW())+INDEX(D:D, ROW())=0, 0, INDEX(C:C, ROW())/(INDEX(C:C, ROW())+INDEX(D:D, ROW())))</f>
        <v/>
      </c>
      <c r="F592" s="1" t="inlineStr">
        <is>
          <t>Array, Dynamic Programming</t>
        </is>
      </c>
      <c r="G592" s="1" t="inlineStr">
        <is>
          <t>Hard</t>
        </is>
      </c>
      <c r="H592" s="1" t="n">
        <v>223792</v>
      </c>
      <c r="I592" s="1" t="n">
        <v>374817</v>
      </c>
      <c r="J592" s="9" t="n">
        <v>0.597</v>
      </c>
      <c r="K592" s="1" t="inlineStr">
        <is>
          <t>Yes</t>
        </is>
      </c>
      <c r="L592" s="1" t="inlineStr">
        <is>
          <t>Yes</t>
        </is>
      </c>
      <c r="M592" s="1" t="inlineStr">
        <is>
          <t>No</t>
        </is>
      </c>
      <c r="N592" s="1" t="inlineStr">
        <is>
          <t>Algorithms</t>
        </is>
      </c>
      <c r="O5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93" ht="15.75" customHeight="1" s="12">
      <c r="A593" s="1" t="n">
        <v>520</v>
      </c>
      <c r="B593" s="3">
        <f>HYPERLINK("https://leetcode.com/problems/detect-capital/", "Detect Capital")</f>
        <v/>
      </c>
      <c r="C593" s="1" t="n">
        <v>3564</v>
      </c>
      <c r="D593" s="1" t="n">
        <v>469</v>
      </c>
      <c r="E593" s="4">
        <f>IF(INDEX(C:C, ROW())+INDEX(D:D, ROW())=0, 0, INDEX(C:C, ROW())/(INDEX(C:C, ROW())+INDEX(D:D, ROW())))</f>
        <v/>
      </c>
      <c r="F593" s="1" t="inlineStr">
        <is>
          <t>String</t>
        </is>
      </c>
      <c r="G593" s="1" t="inlineStr">
        <is>
          <t>Easy</t>
        </is>
      </c>
      <c r="H593" s="1" t="n">
        <v>530263</v>
      </c>
      <c r="I593" s="1" t="n">
        <v>940525</v>
      </c>
      <c r="J593" s="9" t="n">
        <v>0.5639999999999999</v>
      </c>
      <c r="K593" s="1" t="inlineStr">
        <is>
          <t>Yes</t>
        </is>
      </c>
      <c r="L593" s="1" t="inlineStr">
        <is>
          <t>Yes</t>
        </is>
      </c>
      <c r="M593" s="1" t="inlineStr">
        <is>
          <t>No</t>
        </is>
      </c>
      <c r="N593" s="1" t="inlineStr">
        <is>
          <t>Algorithms</t>
        </is>
      </c>
      <c r="O5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94" ht="15.75" customHeight="1" s="12">
      <c r="A594" s="1" t="n">
        <v>1329</v>
      </c>
      <c r="B594" s="3">
        <f>HYPERLINK("https://leetcode.com/problems/sort-the-matrix-diagonally/", "Sort the Matrix Diagonally")</f>
        <v/>
      </c>
      <c r="C594" s="1" t="n">
        <v>3562</v>
      </c>
      <c r="D594" s="1" t="n">
        <v>239</v>
      </c>
      <c r="E594" s="4">
        <f>IF(INDEX(C:C, ROW())+INDEX(D:D, ROW())=0, 0, INDEX(C:C, ROW())/(INDEX(C:C, ROW())+INDEX(D:D, ROW())))</f>
        <v/>
      </c>
      <c r="F594" s="1" t="inlineStr">
        <is>
          <t>Array, Sorting, Matrix</t>
        </is>
      </c>
      <c r="G594" s="1" t="inlineStr">
        <is>
          <t>Medium</t>
        </is>
      </c>
      <c r="H594" s="1" t="n">
        <v>193281</v>
      </c>
      <c r="I594" s="1" t="n">
        <v>232509</v>
      </c>
      <c r="J594" s="9" t="n">
        <v>0.831</v>
      </c>
      <c r="K594" s="1" t="inlineStr">
        <is>
          <t>Yes</t>
        </is>
      </c>
      <c r="L594" s="1" t="inlineStr">
        <is>
          <t>Yes</t>
        </is>
      </c>
      <c r="M594" s="1" t="inlineStr">
        <is>
          <t>Yes</t>
        </is>
      </c>
      <c r="N594" s="1" t="inlineStr">
        <is>
          <t>Algorithms</t>
        </is>
      </c>
      <c r="O5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95" ht="15.75" customHeight="1" s="12">
      <c r="A595" s="1" t="n">
        <v>1334</v>
      </c>
      <c r="B595" s="3">
        <f>HYPERLINK("https://leetcode.com/problems/find-the-city-with-the-smallest-number-of-neighbors-at-a-threshold-distance/", "Find the City With the Smallest Number of Neighbors at a Threshold Distance")</f>
        <v/>
      </c>
      <c r="C595" s="1" t="n">
        <v>3558</v>
      </c>
      <c r="D595" s="1" t="n">
        <v>154</v>
      </c>
      <c r="E595" s="4">
        <f>IF(INDEX(C:C, ROW())+INDEX(D:D, ROW())=0, 0, INDEX(C:C, ROW())/(INDEX(C:C, ROW())+INDEX(D:D, ROW())))</f>
        <v/>
      </c>
      <c r="F595" s="1" t="inlineStr">
        <is>
          <t>Dynamic Programming, Graph Theory, Shortest Path</t>
        </is>
      </c>
      <c r="G595" s="1" t="inlineStr">
        <is>
          <t>Medium</t>
        </is>
      </c>
      <c r="H595" s="1" t="n">
        <v>304447</v>
      </c>
      <c r="I595" s="1" t="n">
        <v>423593</v>
      </c>
      <c r="J595" s="9" t="n">
        <v>0.719</v>
      </c>
      <c r="K595" s="1" t="inlineStr">
        <is>
          <t>Yes</t>
        </is>
      </c>
      <c r="L595" s="1" t="inlineStr">
        <is>
          <t>Yes</t>
        </is>
      </c>
      <c r="M595" s="1" t="inlineStr">
        <is>
          <t>No</t>
        </is>
      </c>
      <c r="N595" s="1" t="inlineStr">
        <is>
          <t>Algorithms</t>
        </is>
      </c>
      <c r="O5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96" ht="15.75" customHeight="1" s="12">
      <c r="A596" s="1" t="n">
        <v>1339</v>
      </c>
      <c r="B596" s="3">
        <f>HYPERLINK("https://leetcode.com/problems/maximum-product-of-splitted-binary-tree/", "Maximum Product of Splitted Binary Tree")</f>
        <v/>
      </c>
      <c r="C596" s="1" t="n">
        <v>3558</v>
      </c>
      <c r="D596" s="1" t="n">
        <v>120</v>
      </c>
      <c r="E596" s="4">
        <f>IF(INDEX(C:C, ROW())+INDEX(D:D, ROW())=0, 0, INDEX(C:C, ROW())/(INDEX(C:C, ROW())+INDEX(D:D, ROW())))</f>
        <v/>
      </c>
      <c r="F596" s="1" t="inlineStr">
        <is>
          <t>Tree, Depth-First Search, Binary Tree</t>
        </is>
      </c>
      <c r="G596" s="1" t="inlineStr">
        <is>
          <t>Medium</t>
        </is>
      </c>
      <c r="H596" s="1" t="n">
        <v>249471</v>
      </c>
      <c r="I596" s="1" t="n">
        <v>449397</v>
      </c>
      <c r="J596" s="9" t="n">
        <v>0.555</v>
      </c>
      <c r="K596" s="1" t="inlineStr">
        <is>
          <t>Yes</t>
        </is>
      </c>
      <c r="L596" s="1" t="inlineStr">
        <is>
          <t>Yes</t>
        </is>
      </c>
      <c r="M596" s="1" t="inlineStr">
        <is>
          <t>No</t>
        </is>
      </c>
      <c r="N596" s="1" t="inlineStr">
        <is>
          <t>Algorithms</t>
        </is>
      </c>
      <c r="O5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97" ht="15.75" customHeight="1" s="12">
      <c r="A597" s="1" t="n">
        <v>363</v>
      </c>
      <c r="B597" s="3">
        <f>HYPERLINK("https://leetcode.com/problems/max-sum-of-rectangle-no-larger-than-k/", "Max Sum of Rectangle No Larger Than K")</f>
        <v/>
      </c>
      <c r="C597" s="1" t="n">
        <v>3557</v>
      </c>
      <c r="D597" s="1" t="n">
        <v>176</v>
      </c>
      <c r="E597" s="4">
        <f>IF(INDEX(C:C, ROW())+INDEX(D:D, ROW())=0, 0, INDEX(C:C, ROW())/(INDEX(C:C, ROW())+INDEX(D:D, ROW())))</f>
        <v/>
      </c>
      <c r="F597" s="1" t="inlineStr">
        <is>
          <t>Array, Binary Search, Matrix, Prefix Sum, Ordered Set</t>
        </is>
      </c>
      <c r="G597" s="1" t="inlineStr">
        <is>
          <t>Hard</t>
        </is>
      </c>
      <c r="H597" s="1" t="n">
        <v>140424</v>
      </c>
      <c r="I597" s="1" t="n">
        <v>310785</v>
      </c>
      <c r="J597" s="9" t="n">
        <v>0.452</v>
      </c>
      <c r="K597" s="1" t="inlineStr">
        <is>
          <t>Yes</t>
        </is>
      </c>
      <c r="L597" s="1" t="inlineStr">
        <is>
          <t>Yes</t>
        </is>
      </c>
      <c r="M597" s="1" t="inlineStr">
        <is>
          <t>No</t>
        </is>
      </c>
      <c r="N597" s="1" t="inlineStr">
        <is>
          <t>Algorithms</t>
        </is>
      </c>
      <c r="O5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98" ht="15.75" customHeight="1" s="12">
      <c r="A598" s="1" t="n">
        <v>1095</v>
      </c>
      <c r="B598" s="3">
        <f>HYPERLINK("https://leetcode.com/problems/find-in-mountain-array/", "Find in Mountain Array")</f>
        <v/>
      </c>
      <c r="C598" s="1" t="n">
        <v>3546</v>
      </c>
      <c r="D598" s="1" t="n">
        <v>152</v>
      </c>
      <c r="E598" s="4">
        <f>IF(INDEX(C:C, ROW())+INDEX(D:D, ROW())=0, 0, INDEX(C:C, ROW())/(INDEX(C:C, ROW())+INDEX(D:D, ROW())))</f>
        <v/>
      </c>
      <c r="F598" s="1" t="inlineStr">
        <is>
          <t>Array, Binary Search, Interactive</t>
        </is>
      </c>
      <c r="G598" s="1" t="inlineStr">
        <is>
          <t>Hard</t>
        </is>
      </c>
      <c r="H598" s="1" t="n">
        <v>189471</v>
      </c>
      <c r="I598" s="1" t="n">
        <v>463047</v>
      </c>
      <c r="J598" s="9" t="n">
        <v>0.409</v>
      </c>
      <c r="K598" s="1" t="inlineStr">
        <is>
          <t>Yes</t>
        </is>
      </c>
      <c r="L598" s="1" t="inlineStr">
        <is>
          <t>Yes</t>
        </is>
      </c>
      <c r="M598" s="1" t="inlineStr">
        <is>
          <t>No</t>
        </is>
      </c>
      <c r="N598" s="1" t="inlineStr">
        <is>
          <t>Algorithms</t>
        </is>
      </c>
      <c r="O5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599" ht="15.75" customHeight="1" s="12">
      <c r="A599" s="1" t="n">
        <v>1696</v>
      </c>
      <c r="B599" s="3">
        <f>HYPERLINK("https://leetcode.com/problems/jump-game-vi/", "Jump Game VI")</f>
        <v/>
      </c>
      <c r="C599" s="1" t="n">
        <v>3545</v>
      </c>
      <c r="D599" s="1" t="n">
        <v>125</v>
      </c>
      <c r="E599" s="4">
        <f>IF(INDEX(C:C, ROW())+INDEX(D:D, ROW())=0, 0, INDEX(C:C, ROW())/(INDEX(C:C, ROW())+INDEX(D:D, ROW())))</f>
        <v/>
      </c>
      <c r="F599" s="1" t="inlineStr">
        <is>
          <t>Array, Dynamic Programming, Queue, Heap (Priority Queue), Monotonic Queue</t>
        </is>
      </c>
      <c r="G599" s="1" t="inlineStr">
        <is>
          <t>Medium</t>
        </is>
      </c>
      <c r="H599" s="1" t="n">
        <v>125586</v>
      </c>
      <c r="I599" s="1" t="n">
        <v>271185</v>
      </c>
      <c r="J599" s="9" t="n">
        <v>0.463</v>
      </c>
      <c r="K599" s="1" t="inlineStr">
        <is>
          <t>Yes</t>
        </is>
      </c>
      <c r="L599" s="1" t="inlineStr">
        <is>
          <t>Yes</t>
        </is>
      </c>
      <c r="M599" s="1" t="inlineStr">
        <is>
          <t>No</t>
        </is>
      </c>
      <c r="N599" s="1" t="inlineStr">
        <is>
          <t>Algorithms</t>
        </is>
      </c>
      <c r="O5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00" ht="15.75" customHeight="1" s="12">
      <c r="A600" s="1" t="n">
        <v>164</v>
      </c>
      <c r="B600" s="3">
        <f>HYPERLINK("https://leetcode.com/problems/maximum-gap/", "Maximum Gap")</f>
        <v/>
      </c>
      <c r="C600" s="1" t="n">
        <v>3532</v>
      </c>
      <c r="D600" s="1" t="n">
        <v>437</v>
      </c>
      <c r="E600" s="4">
        <f>IF(INDEX(C:C, ROW())+INDEX(D:D, ROW())=0, 0, INDEX(C:C, ROW())/(INDEX(C:C, ROW())+INDEX(D:D, ROW())))</f>
        <v/>
      </c>
      <c r="F600" s="1" t="inlineStr">
        <is>
          <t>Array, Sorting, Bucket Sort, Radix Sort</t>
        </is>
      </c>
      <c r="G600" s="1" t="inlineStr">
        <is>
          <t>Medium</t>
        </is>
      </c>
      <c r="H600" s="1" t="n">
        <v>319858</v>
      </c>
      <c r="I600" s="1" t="n">
        <v>625864</v>
      </c>
      <c r="J600" s="9" t="n">
        <v>0.511</v>
      </c>
      <c r="K600" s="1" t="inlineStr">
        <is>
          <t>Yes</t>
        </is>
      </c>
      <c r="L600" s="1" t="inlineStr">
        <is>
          <t>Yes</t>
        </is>
      </c>
      <c r="M600" s="1" t="inlineStr">
        <is>
          <t>No</t>
        </is>
      </c>
      <c r="N600" s="1" t="inlineStr">
        <is>
          <t>Algorithms</t>
        </is>
      </c>
      <c r="O6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01" ht="15.75" customHeight="1" s="12">
      <c r="A601" s="1" t="n">
        <v>480</v>
      </c>
      <c r="B601" s="3">
        <f>HYPERLINK("https://leetcode.com/problems/sliding-window-median/", "Sliding Window Median")</f>
        <v/>
      </c>
      <c r="C601" s="1" t="n">
        <v>3531</v>
      </c>
      <c r="D601" s="1" t="n">
        <v>233</v>
      </c>
      <c r="E601" s="4">
        <f>IF(INDEX(C:C, ROW())+INDEX(D:D, ROW())=0, 0, INDEX(C:C, ROW())/(INDEX(C:C, ROW())+INDEX(D:D, ROW())))</f>
        <v/>
      </c>
      <c r="F601" s="1" t="inlineStr">
        <is>
          <t>Array, Hash Table, Sliding Window, Heap (Priority Queue)</t>
        </is>
      </c>
      <c r="G601" s="1" t="inlineStr">
        <is>
          <t>Hard</t>
        </is>
      </c>
      <c r="H601" s="1" t="n">
        <v>210379</v>
      </c>
      <c r="I601" s="1" t="n">
        <v>541210</v>
      </c>
      <c r="J601" s="9" t="n">
        <v>0.389</v>
      </c>
      <c r="K601" s="1" t="inlineStr">
        <is>
          <t>Yes</t>
        </is>
      </c>
      <c r="L601" s="1" t="inlineStr">
        <is>
          <t>Yes</t>
        </is>
      </c>
      <c r="M601" s="1" t="inlineStr">
        <is>
          <t>No</t>
        </is>
      </c>
      <c r="N601" s="1" t="inlineStr">
        <is>
          <t>Algorithms</t>
        </is>
      </c>
      <c r="O6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02" ht="15.75" customHeight="1" s="12">
      <c r="A602" s="1" t="n">
        <v>916</v>
      </c>
      <c r="B602" s="3">
        <f>HYPERLINK("https://leetcode.com/problems/word-subsets/", "Word Subsets")</f>
        <v/>
      </c>
      <c r="C602" s="1" t="n">
        <v>3529</v>
      </c>
      <c r="D602" s="1" t="n">
        <v>316</v>
      </c>
      <c r="E602" s="4">
        <f>IF(INDEX(C:C, ROW())+INDEX(D:D, ROW())=0, 0, INDEX(C:C, ROW())/(INDEX(C:C, ROW())+INDEX(D:D, ROW())))</f>
        <v/>
      </c>
      <c r="F602" s="1" t="inlineStr">
        <is>
          <t>Array, Hash Table, String</t>
        </is>
      </c>
      <c r="G602" s="1" t="inlineStr">
        <is>
          <t>Medium</t>
        </is>
      </c>
      <c r="H602" s="1" t="n">
        <v>263921</v>
      </c>
      <c r="I602" s="1" t="n">
        <v>472399</v>
      </c>
      <c r="J602" s="9" t="n">
        <v>0.5590000000000001</v>
      </c>
      <c r="K602" s="1" t="inlineStr">
        <is>
          <t>Yes</t>
        </is>
      </c>
      <c r="L602" s="1" t="inlineStr">
        <is>
          <t>Yes</t>
        </is>
      </c>
      <c r="M602" s="1" t="inlineStr">
        <is>
          <t>No</t>
        </is>
      </c>
      <c r="N602" s="1" t="inlineStr">
        <is>
          <t>Algorithms</t>
        </is>
      </c>
      <c r="O6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03" ht="15.75" customHeight="1" s="12">
      <c r="A603" s="1" t="n">
        <v>1679</v>
      </c>
      <c r="B603" s="3">
        <f>HYPERLINK("https://leetcode.com/problems/max-number-of-k-sum-pairs/", "Max Number of K-Sum Pairs")</f>
        <v/>
      </c>
      <c r="C603" s="1" t="n">
        <v>3513</v>
      </c>
      <c r="D603" s="1" t="n">
        <v>116</v>
      </c>
      <c r="E603" s="4">
        <f>IF(INDEX(C:C, ROW())+INDEX(D:D, ROW())=0, 0, INDEX(C:C, ROW())/(INDEX(C:C, ROW())+INDEX(D:D, ROW())))</f>
        <v/>
      </c>
      <c r="F603" s="1" t="inlineStr">
        <is>
          <t>Array, Hash Table, Two Pointers, Sorting</t>
        </is>
      </c>
      <c r="G603" s="1" t="inlineStr">
        <is>
          <t>Medium</t>
        </is>
      </c>
      <c r="H603" s="1" t="n">
        <v>570487</v>
      </c>
      <c r="I603" s="1" t="n">
        <v>1004714</v>
      </c>
      <c r="J603" s="9" t="n">
        <v>0.5679999999999999</v>
      </c>
      <c r="K603" s="1" t="inlineStr">
        <is>
          <t>Yes</t>
        </is>
      </c>
      <c r="L603" s="1" t="inlineStr">
        <is>
          <t>Yes</t>
        </is>
      </c>
      <c r="M603" s="1" t="inlineStr">
        <is>
          <t>No</t>
        </is>
      </c>
      <c r="N603" s="1" t="inlineStr">
        <is>
          <t>Algorithms</t>
        </is>
      </c>
      <c r="O6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04" ht="15.75" customHeight="1" s="12">
      <c r="A604" s="1" t="n">
        <v>1019</v>
      </c>
      <c r="B604" s="3">
        <f>HYPERLINK("https://leetcode.com/problems/next-greater-node-in-linked-list/", "Next Greater Node In Linked List")</f>
        <v/>
      </c>
      <c r="C604" s="1" t="n">
        <v>3509</v>
      </c>
      <c r="D604" s="1" t="n">
        <v>126</v>
      </c>
      <c r="E604" s="4">
        <f>IF(INDEX(C:C, ROW())+INDEX(D:D, ROW())=0, 0, INDEX(C:C, ROW())/(INDEX(C:C, ROW())+INDEX(D:D, ROW())))</f>
        <v/>
      </c>
      <c r="F604" s="1" t="inlineStr">
        <is>
          <t>Array, Linked List, Stack, Monotonic Stack</t>
        </is>
      </c>
      <c r="G604" s="1" t="inlineStr">
        <is>
          <t>Medium</t>
        </is>
      </c>
      <c r="H604" s="1" t="n">
        <v>213105</v>
      </c>
      <c r="I604" s="1" t="n">
        <v>334928</v>
      </c>
      <c r="J604" s="9" t="n">
        <v>0.636</v>
      </c>
      <c r="K604" s="1" t="inlineStr">
        <is>
          <t>Yes</t>
        </is>
      </c>
      <c r="L604" s="1" t="inlineStr">
        <is>
          <t>Yes</t>
        </is>
      </c>
      <c r="M604" s="1" t="inlineStr">
        <is>
          <t>No</t>
        </is>
      </c>
      <c r="N604" s="1" t="inlineStr">
        <is>
          <t>Algorithms</t>
        </is>
      </c>
      <c r="O6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05" ht="15.75" customHeight="1" s="12">
      <c r="A605" s="1" t="n">
        <v>462</v>
      </c>
      <c r="B605" s="3">
        <f>HYPERLINK("https://leetcode.com/problems/minimum-moves-to-equal-array-elements-ii/", "Minimum Moves to Equal Array Elements II")</f>
        <v/>
      </c>
      <c r="C605" s="1" t="n">
        <v>3506</v>
      </c>
      <c r="D605" s="1" t="n">
        <v>132</v>
      </c>
      <c r="E605" s="4">
        <f>IF(INDEX(C:C, ROW())+INDEX(D:D, ROW())=0, 0, INDEX(C:C, ROW())/(INDEX(C:C, ROW())+INDEX(D:D, ROW())))</f>
        <v/>
      </c>
      <c r="F605" s="1" t="inlineStr">
        <is>
          <t>Array, Math, Sorting</t>
        </is>
      </c>
      <c r="G605" s="1" t="inlineStr">
        <is>
          <t>Medium</t>
        </is>
      </c>
      <c r="H605" s="1" t="n">
        <v>218884</v>
      </c>
      <c r="I605" s="1" t="n">
        <v>356288</v>
      </c>
      <c r="J605" s="9" t="n">
        <v>0.614</v>
      </c>
      <c r="K605" s="1" t="inlineStr">
        <is>
          <t>Yes</t>
        </is>
      </c>
      <c r="L605" s="1" t="inlineStr">
        <is>
          <t>Yes</t>
        </is>
      </c>
      <c r="M605" s="1" t="inlineStr">
        <is>
          <t>No</t>
        </is>
      </c>
      <c r="N605" s="1" t="inlineStr">
        <is>
          <t>Algorithms</t>
        </is>
      </c>
      <c r="O6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06" ht="15.75" customHeight="1" s="12">
      <c r="A606" s="1" t="n">
        <v>877</v>
      </c>
      <c r="B606" s="3">
        <f>HYPERLINK("https://leetcode.com/problems/stone-game/", "Stone Game")</f>
        <v/>
      </c>
      <c r="C606" s="1" t="n">
        <v>3503</v>
      </c>
      <c r="D606" s="1" t="n">
        <v>2956</v>
      </c>
      <c r="E606" s="4">
        <f>IF(INDEX(C:C, ROW())+INDEX(D:D, ROW())=0, 0, INDEX(C:C, ROW())/(INDEX(C:C, ROW())+INDEX(D:D, ROW())))</f>
        <v/>
      </c>
      <c r="F606" s="1" t="inlineStr">
        <is>
          <t>Array, Math, Dynamic Programming, Game Theory</t>
        </is>
      </c>
      <c r="G606" s="1" t="inlineStr">
        <is>
          <t>Medium</t>
        </is>
      </c>
      <c r="H606" s="1" t="n">
        <v>315191</v>
      </c>
      <c r="I606" s="1" t="n">
        <v>435146</v>
      </c>
      <c r="J606" s="9" t="n">
        <v>0.724</v>
      </c>
      <c r="K606" s="1" t="inlineStr">
        <is>
          <t>Yes</t>
        </is>
      </c>
      <c r="L606" s="1" t="inlineStr">
        <is>
          <t>Yes</t>
        </is>
      </c>
      <c r="M606" s="1" t="inlineStr">
        <is>
          <t>No</t>
        </is>
      </c>
      <c r="N606" s="1" t="inlineStr">
        <is>
          <t>Algorithms</t>
        </is>
      </c>
      <c r="O6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07" ht="15.75" customHeight="1" s="12">
      <c r="A607" s="1" t="n">
        <v>1402</v>
      </c>
      <c r="B607" s="3">
        <f>HYPERLINK("https://leetcode.com/problems/reducing-dishes/", "Reducing Dishes")</f>
        <v/>
      </c>
      <c r="C607" s="1" t="n">
        <v>3497</v>
      </c>
      <c r="D607" s="1" t="n">
        <v>317</v>
      </c>
      <c r="E607" s="4">
        <f>IF(INDEX(C:C, ROW())+INDEX(D:D, ROW())=0, 0, INDEX(C:C, ROW())/(INDEX(C:C, ROW())+INDEX(D:D, ROW())))</f>
        <v/>
      </c>
      <c r="F607" s="1" t="inlineStr">
        <is>
          <t>Array, Dynamic Programming, Greedy, Sorting</t>
        </is>
      </c>
      <c r="G607" s="1" t="inlineStr">
        <is>
          <t>Hard</t>
        </is>
      </c>
      <c r="H607" s="1" t="n">
        <v>180693</v>
      </c>
      <c r="I607" s="1" t="n">
        <v>235958</v>
      </c>
      <c r="J607" s="9" t="n">
        <v>0.766</v>
      </c>
      <c r="K607" s="1" t="inlineStr">
        <is>
          <t>Yes</t>
        </is>
      </c>
      <c r="L607" s="1" t="inlineStr">
        <is>
          <t>Yes</t>
        </is>
      </c>
      <c r="M607" s="1" t="inlineStr">
        <is>
          <t>No</t>
        </is>
      </c>
      <c r="N607" s="1" t="inlineStr">
        <is>
          <t>Algorithms</t>
        </is>
      </c>
      <c r="O6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08" ht="15.75" customHeight="1" s="12">
      <c r="A608" s="1" t="n">
        <v>1283</v>
      </c>
      <c r="B608" s="3">
        <f>HYPERLINK("https://leetcode.com/problems/find-the-smallest-divisor-given-a-threshold/", "Find the Smallest Divisor Given a Threshold")</f>
        <v/>
      </c>
      <c r="C608" s="1" t="n">
        <v>3495</v>
      </c>
      <c r="D608" s="1" t="n">
        <v>225</v>
      </c>
      <c r="E608" s="4">
        <f>IF(INDEX(C:C, ROW())+INDEX(D:D, ROW())=0, 0, INDEX(C:C, ROW())/(INDEX(C:C, ROW())+INDEX(D:D, ROW())))</f>
        <v/>
      </c>
      <c r="F608" s="1" t="inlineStr">
        <is>
          <t>Array, Binary Search</t>
        </is>
      </c>
      <c r="G608" s="1" t="inlineStr">
        <is>
          <t>Medium</t>
        </is>
      </c>
      <c r="H608" s="1" t="n">
        <v>409889</v>
      </c>
      <c r="I608" s="1" t="n">
        <v>628469</v>
      </c>
      <c r="J608" s="9" t="n">
        <v>0.652</v>
      </c>
      <c r="K608" s="1" t="inlineStr">
        <is>
          <t>Yes</t>
        </is>
      </c>
      <c r="L608" s="1" t="inlineStr">
        <is>
          <t>Yes</t>
        </is>
      </c>
      <c r="M608" s="1" t="inlineStr">
        <is>
          <t>No</t>
        </is>
      </c>
      <c r="N608" s="1" t="inlineStr">
        <is>
          <t>Algorithms</t>
        </is>
      </c>
      <c r="O6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09" ht="15.75" customHeight="1" s="12">
      <c r="A609" s="1" t="n">
        <v>1171</v>
      </c>
      <c r="B609" s="3">
        <f>HYPERLINK("https://leetcode.com/problems/remove-zero-sum-consecutive-nodes-from-linked-list/", "Remove Zero Sum Consecutive Nodes from Linked List")</f>
        <v/>
      </c>
      <c r="C609" s="1" t="n">
        <v>3493</v>
      </c>
      <c r="D609" s="1" t="n">
        <v>225</v>
      </c>
      <c r="E609" s="4">
        <f>IF(INDEX(C:C, ROW())+INDEX(D:D, ROW())=0, 0, INDEX(C:C, ROW())/(INDEX(C:C, ROW())+INDEX(D:D, ROW())))</f>
        <v/>
      </c>
      <c r="F609" s="1" t="inlineStr">
        <is>
          <t>Hash Table, Linked List</t>
        </is>
      </c>
      <c r="G609" s="1" t="inlineStr">
        <is>
          <t>Medium</t>
        </is>
      </c>
      <c r="H609" s="1" t="n">
        <v>184642</v>
      </c>
      <c r="I609" s="1" t="n">
        <v>348016</v>
      </c>
      <c r="J609" s="9" t="n">
        <v>0.531</v>
      </c>
      <c r="K609" s="1" t="inlineStr">
        <is>
          <t>Yes</t>
        </is>
      </c>
      <c r="L609" s="1" t="inlineStr">
        <is>
          <t>Yes</t>
        </is>
      </c>
      <c r="M609" s="1" t="inlineStr">
        <is>
          <t>No</t>
        </is>
      </c>
      <c r="N609" s="1" t="inlineStr">
        <is>
          <t>Algorithms</t>
        </is>
      </c>
      <c r="O6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10" ht="15.75" customHeight="1" s="12">
      <c r="A610" s="1" t="n">
        <v>172</v>
      </c>
      <c r="B610" s="3">
        <f>HYPERLINK("https://leetcode.com/problems/factorial-trailing-zeroes/", "Factorial Trailing Zeroes")</f>
        <v/>
      </c>
      <c r="C610" s="1" t="n">
        <v>3488</v>
      </c>
      <c r="D610" s="1" t="n">
        <v>1988</v>
      </c>
      <c r="E610" s="4">
        <f>IF(INDEX(C:C, ROW())+INDEX(D:D, ROW())=0, 0, INDEX(C:C, ROW())/(INDEX(C:C, ROW())+INDEX(D:D, ROW())))</f>
        <v/>
      </c>
      <c r="F610" s="1" t="inlineStr">
        <is>
          <t>Math</t>
        </is>
      </c>
      <c r="G610" s="1" t="inlineStr">
        <is>
          <t>Medium</t>
        </is>
      </c>
      <c r="H610" s="1" t="n">
        <v>629370</v>
      </c>
      <c r="I610" s="1" t="n">
        <v>1370165</v>
      </c>
      <c r="J610" s="9" t="n">
        <v>0.459</v>
      </c>
      <c r="K610" s="1" t="inlineStr">
        <is>
          <t>Yes</t>
        </is>
      </c>
      <c r="L610" s="1" t="inlineStr">
        <is>
          <t>Yes</t>
        </is>
      </c>
      <c r="M610" s="1" t="inlineStr">
        <is>
          <t>No</t>
        </is>
      </c>
      <c r="N610" s="1" t="inlineStr">
        <is>
          <t>Algorithms</t>
        </is>
      </c>
      <c r="O6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11" ht="15.75" customHeight="1" s="12">
      <c r="A611" s="1" t="n">
        <v>446</v>
      </c>
      <c r="B611" s="3">
        <f>HYPERLINK("https://leetcode.com/problems/arithmetic-slices-ii-subsequence/", "Arithmetic Slices II - Subsequence")</f>
        <v/>
      </c>
      <c r="C611" s="1" t="n">
        <v>3488</v>
      </c>
      <c r="D611" s="1" t="n">
        <v>165</v>
      </c>
      <c r="E611" s="4">
        <f>IF(INDEX(C:C, ROW())+INDEX(D:D, ROW())=0, 0, INDEX(C:C, ROW())/(INDEX(C:C, ROW())+INDEX(D:D, ROW())))</f>
        <v/>
      </c>
      <c r="F611" s="1" t="inlineStr">
        <is>
          <t>Array, Dynamic Programming</t>
        </is>
      </c>
      <c r="G611" s="1" t="inlineStr">
        <is>
          <t>Hard</t>
        </is>
      </c>
      <c r="H611" s="1" t="n">
        <v>166325</v>
      </c>
      <c r="I611" s="1" t="n">
        <v>303074</v>
      </c>
      <c r="J611" s="9" t="n">
        <v>0.549</v>
      </c>
      <c r="K611" s="1" t="inlineStr">
        <is>
          <t>Yes</t>
        </is>
      </c>
      <c r="L611" s="1" t="inlineStr">
        <is>
          <t>Yes</t>
        </is>
      </c>
      <c r="M611" s="1" t="inlineStr">
        <is>
          <t>No</t>
        </is>
      </c>
      <c r="N611" s="1" t="inlineStr">
        <is>
          <t>Algorithms</t>
        </is>
      </c>
      <c r="O6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12" ht="15.75" customHeight="1" s="12">
      <c r="A612" s="1" t="n">
        <v>314</v>
      </c>
      <c r="B612" s="3">
        <f>HYPERLINK("https://leetcode.com/problems/binary-tree-vertical-order-traversal/", "Binary Tree Vertical Order Traversal")</f>
        <v/>
      </c>
      <c r="C612" s="1" t="n">
        <v>3462</v>
      </c>
      <c r="D612" s="1" t="n">
        <v>354</v>
      </c>
      <c r="E612" s="4">
        <f>IF(INDEX(C:C, ROW())+INDEX(D:D, ROW())=0, 0, INDEX(C:C, ROW())/(INDEX(C:C, ROW())+INDEX(D:D, ROW())))</f>
        <v/>
      </c>
      <c r="F612" s="1" t="inlineStr">
        <is>
          <t>Hash Table, Tree, Depth-First Search, Breadth-First Search, Sorting, Binary Tree</t>
        </is>
      </c>
      <c r="G612" s="1" t="inlineStr">
        <is>
          <t>Medium</t>
        </is>
      </c>
      <c r="H612" s="1" t="n">
        <v>587310</v>
      </c>
      <c r="I612" s="1" t="n">
        <v>1017918</v>
      </c>
      <c r="J612" s="9" t="n">
        <v>0.577</v>
      </c>
      <c r="K612" s="1" t="inlineStr">
        <is>
          <t>No</t>
        </is>
      </c>
      <c r="L612" s="1" t="inlineStr">
        <is>
          <t>Yes</t>
        </is>
      </c>
      <c r="M612" s="1" t="inlineStr">
        <is>
          <t>No</t>
        </is>
      </c>
      <c r="N612" s="1" t="inlineStr">
        <is>
          <t>Algorithms</t>
        </is>
      </c>
      <c r="O6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13" ht="15.75" customHeight="1" s="12">
      <c r="A613" s="1" t="n">
        <v>1834</v>
      </c>
      <c r="B613" s="3">
        <f>HYPERLINK("https://leetcode.com/problems/single-threaded-cpu/", "Single-Threaded CPU")</f>
        <v/>
      </c>
      <c r="C613" s="1" t="n">
        <v>3459</v>
      </c>
      <c r="D613" s="1" t="n">
        <v>288</v>
      </c>
      <c r="E613" s="4">
        <f>IF(INDEX(C:C, ROW())+INDEX(D:D, ROW())=0, 0, INDEX(C:C, ROW())/(INDEX(C:C, ROW())+INDEX(D:D, ROW())))</f>
        <v/>
      </c>
      <c r="F613" s="1" t="inlineStr">
        <is>
          <t>Array, Sorting, Heap (Priority Queue)</t>
        </is>
      </c>
      <c r="G613" s="1" t="inlineStr">
        <is>
          <t>Medium</t>
        </is>
      </c>
      <c r="H613" s="1" t="n">
        <v>147294</v>
      </c>
      <c r="I613" s="1" t="n">
        <v>312315</v>
      </c>
      <c r="J613" s="9" t="n">
        <v>0.472</v>
      </c>
      <c r="K613" s="1" t="inlineStr">
        <is>
          <t>Yes</t>
        </is>
      </c>
      <c r="L613" s="1" t="inlineStr">
        <is>
          <t>Yes</t>
        </is>
      </c>
      <c r="M613" s="1" t="inlineStr">
        <is>
          <t>No</t>
        </is>
      </c>
      <c r="N613" s="1" t="inlineStr">
        <is>
          <t>Algorithms</t>
        </is>
      </c>
      <c r="O6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14" ht="15.75" customHeight="1" s="12">
      <c r="A614" s="1" t="n">
        <v>414</v>
      </c>
      <c r="B614" s="3">
        <f>HYPERLINK("https://leetcode.com/problems/third-maximum-number/", "Third Maximum Number")</f>
        <v/>
      </c>
      <c r="C614" s="1" t="n">
        <v>3454</v>
      </c>
      <c r="D614" s="1" t="n">
        <v>3476</v>
      </c>
      <c r="E614" s="4">
        <f>IF(INDEX(C:C, ROW())+INDEX(D:D, ROW())=0, 0, INDEX(C:C, ROW())/(INDEX(C:C, ROW())+INDEX(D:D, ROW())))</f>
        <v/>
      </c>
      <c r="F614" s="1" t="inlineStr">
        <is>
          <t>Array, Sorting</t>
        </is>
      </c>
      <c r="G614" s="1" t="inlineStr">
        <is>
          <t>Easy</t>
        </is>
      </c>
      <c r="H614" s="1" t="n">
        <v>784647</v>
      </c>
      <c r="I614" s="1" t="n">
        <v>2036231</v>
      </c>
      <c r="J614" s="9" t="n">
        <v>0.385</v>
      </c>
      <c r="K614" s="1" t="inlineStr">
        <is>
          <t>Yes</t>
        </is>
      </c>
      <c r="L614" s="1" t="inlineStr">
        <is>
          <t>Yes</t>
        </is>
      </c>
      <c r="M614" s="1" t="inlineStr">
        <is>
          <t>No</t>
        </is>
      </c>
      <c r="N614" s="1" t="inlineStr">
        <is>
          <t>Algorithms</t>
        </is>
      </c>
      <c r="O6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15" ht="15.75" customHeight="1" s="12">
      <c r="A615" s="1" t="n">
        <v>261</v>
      </c>
      <c r="B615" s="3">
        <f>HYPERLINK("https://leetcode.com/problems/graph-valid-tree/", "Graph Valid Tree")</f>
        <v/>
      </c>
      <c r="C615" s="1" t="n">
        <v>3451</v>
      </c>
      <c r="D615" s="1" t="n">
        <v>115</v>
      </c>
      <c r="E615" s="4">
        <f>IF(INDEX(C:C, ROW())+INDEX(D:D, ROW())=0, 0, INDEX(C:C, ROW())/(INDEX(C:C, ROW())+INDEX(D:D, ROW())))</f>
        <v/>
      </c>
      <c r="F615" s="1" t="inlineStr">
        <is>
          <t>Depth-First Search, Breadth-First Search, Union-Find, Graph Theory</t>
        </is>
      </c>
      <c r="G615" s="1" t="inlineStr">
        <is>
          <t>Medium</t>
        </is>
      </c>
      <c r="H615" s="1" t="n">
        <v>517862</v>
      </c>
      <c r="I615" s="1" t="n">
        <v>1040831</v>
      </c>
      <c r="J615" s="9" t="n">
        <v>0.498</v>
      </c>
      <c r="K615" s="1" t="inlineStr">
        <is>
          <t>No</t>
        </is>
      </c>
      <c r="L615" s="1" t="inlineStr">
        <is>
          <t>Yes</t>
        </is>
      </c>
      <c r="M615" s="1" t="inlineStr">
        <is>
          <t>No</t>
        </is>
      </c>
      <c r="N615" s="1" t="inlineStr">
        <is>
          <t>Algorithms</t>
        </is>
      </c>
      <c r="O6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16" ht="15.75" customHeight="1" s="12">
      <c r="A616" s="1" t="n">
        <v>1022</v>
      </c>
      <c r="B616" s="3">
        <f>HYPERLINK("https://leetcode.com/problems/sum-of-root-to-leaf-binary-numbers/", "Sum of Root To Leaf Binary Numbers")</f>
        <v/>
      </c>
      <c r="C616" s="1" t="n">
        <v>3440</v>
      </c>
      <c r="D616" s="1" t="n">
        <v>196</v>
      </c>
      <c r="E616" s="4">
        <f>IF(INDEX(C:C, ROW())+INDEX(D:D, ROW())=0, 0, INDEX(C:C, ROW())/(INDEX(C:C, ROW())+INDEX(D:D, ROW())))</f>
        <v/>
      </c>
      <c r="F616" s="1" t="inlineStr">
        <is>
          <t>Tree, Depth-First Search, Binary Tree</t>
        </is>
      </c>
      <c r="G616" s="1" t="inlineStr">
        <is>
          <t>Easy</t>
        </is>
      </c>
      <c r="H616" s="1" t="n">
        <v>246018</v>
      </c>
      <c r="I616" s="1" t="n">
        <v>334101</v>
      </c>
      <c r="J616" s="9" t="n">
        <v>0.736</v>
      </c>
      <c r="K616" s="1" t="inlineStr">
        <is>
          <t>Yes</t>
        </is>
      </c>
      <c r="L616" s="1" t="inlineStr">
        <is>
          <t>Yes</t>
        </is>
      </c>
      <c r="M616" s="1" t="inlineStr">
        <is>
          <t>No</t>
        </is>
      </c>
      <c r="N616" s="1" t="inlineStr">
        <is>
          <t>Algorithms</t>
        </is>
      </c>
      <c r="O6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17" ht="15.75" customHeight="1" s="12">
      <c r="A617" s="1" t="n">
        <v>1395</v>
      </c>
      <c r="B617" s="3">
        <f>HYPERLINK("https://leetcode.com/problems/count-number-of-teams/", "Count Number of Teams")</f>
        <v/>
      </c>
      <c r="C617" s="1" t="n">
        <v>3439</v>
      </c>
      <c r="D617" s="1" t="n">
        <v>237</v>
      </c>
      <c r="E617" s="4">
        <f>IF(INDEX(C:C, ROW())+INDEX(D:D, ROW())=0, 0, INDEX(C:C, ROW())/(INDEX(C:C, ROW())+INDEX(D:D, ROW())))</f>
        <v/>
      </c>
      <c r="F617" s="1" t="inlineStr">
        <is>
          <t>Array, Dynamic Programming, Binary Indexed Tree, Segment Tree</t>
        </is>
      </c>
      <c r="G617" s="1" t="inlineStr">
        <is>
          <t>Medium</t>
        </is>
      </c>
      <c r="H617" s="1" t="n">
        <v>240917</v>
      </c>
      <c r="I617" s="1" t="n">
        <v>343524</v>
      </c>
      <c r="J617" s="9" t="n">
        <v>0.701</v>
      </c>
      <c r="K617" s="1" t="inlineStr">
        <is>
          <t>Yes</t>
        </is>
      </c>
      <c r="L617" s="1" t="inlineStr">
        <is>
          <t>Yes</t>
        </is>
      </c>
      <c r="M617" s="1" t="inlineStr">
        <is>
          <t>No</t>
        </is>
      </c>
      <c r="N617" s="1" t="inlineStr">
        <is>
          <t>Algorithms</t>
        </is>
      </c>
      <c r="O6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18" ht="15.75" customHeight="1" s="12">
      <c r="A618" s="1" t="n">
        <v>948</v>
      </c>
      <c r="B618" s="3">
        <f>HYPERLINK("https://leetcode.com/problems/bag-of-tokens/", "Bag of Tokens")</f>
        <v/>
      </c>
      <c r="C618" s="1" t="n">
        <v>3438</v>
      </c>
      <c r="D618" s="1" t="n">
        <v>546</v>
      </c>
      <c r="E618" s="4">
        <f>IF(INDEX(C:C, ROW())+INDEX(D:D, ROW())=0, 0, INDEX(C:C, ROW())/(INDEX(C:C, ROW())+INDEX(D:D, ROW())))</f>
        <v/>
      </c>
      <c r="F618" s="1" t="inlineStr">
        <is>
          <t>Array, Two Pointers, Greedy, Sorting</t>
        </is>
      </c>
      <c r="G618" s="1" t="inlineStr">
        <is>
          <t>Medium</t>
        </is>
      </c>
      <c r="H618" s="1" t="n">
        <v>260669</v>
      </c>
      <c r="I618" s="1" t="n">
        <v>438531</v>
      </c>
      <c r="J618" s="9" t="n">
        <v>0.594</v>
      </c>
      <c r="K618" s="1" t="inlineStr">
        <is>
          <t>Yes</t>
        </is>
      </c>
      <c r="L618" s="1" t="inlineStr">
        <is>
          <t>Yes</t>
        </is>
      </c>
      <c r="M618" s="1" t="inlineStr">
        <is>
          <t>No</t>
        </is>
      </c>
      <c r="N618" s="1" t="inlineStr">
        <is>
          <t>Algorithms</t>
        </is>
      </c>
      <c r="O6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19" ht="15.75" customHeight="1" s="12">
      <c r="A619" s="1" t="n">
        <v>1140</v>
      </c>
      <c r="B619" s="3">
        <f>HYPERLINK("https://leetcode.com/problems/stone-game-ii/", "Stone Game II")</f>
        <v/>
      </c>
      <c r="C619" s="1" t="n">
        <v>3428</v>
      </c>
      <c r="D619" s="1" t="n">
        <v>937</v>
      </c>
      <c r="E619" s="4">
        <f>IF(INDEX(C:C, ROW())+INDEX(D:D, ROW())=0, 0, INDEX(C:C, ROW())/(INDEX(C:C, ROW())+INDEX(D:D, ROW())))</f>
        <v/>
      </c>
      <c r="F619" s="1" t="inlineStr">
        <is>
          <t>Array, Math, Dynamic Programming, Prefix Sum, Game Theory</t>
        </is>
      </c>
      <c r="G619" s="1" t="inlineStr">
        <is>
          <t>Medium</t>
        </is>
      </c>
      <c r="H619" s="1" t="n">
        <v>194629</v>
      </c>
      <c r="I619" s="1" t="n">
        <v>266945</v>
      </c>
      <c r="J619" s="9" t="n">
        <v>0.729</v>
      </c>
      <c r="K619" s="1" t="inlineStr">
        <is>
          <t>Yes</t>
        </is>
      </c>
      <c r="L619" s="1" t="inlineStr">
        <is>
          <t>No</t>
        </is>
      </c>
      <c r="M619" s="1" t="inlineStr">
        <is>
          <t>No</t>
        </is>
      </c>
      <c r="N619" s="1" t="inlineStr">
        <is>
          <t>Algorithms</t>
        </is>
      </c>
      <c r="O6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20" ht="15.75" customHeight="1" s="12">
      <c r="A620" s="1" t="n">
        <v>1219</v>
      </c>
      <c r="B620" s="3">
        <f>HYPERLINK("https://leetcode.com/problems/path-with-maximum-gold/", "Path with Maximum Gold")</f>
        <v/>
      </c>
      <c r="C620" s="1" t="n">
        <v>3422</v>
      </c>
      <c r="D620" s="1" t="n">
        <v>104</v>
      </c>
      <c r="E620" s="4">
        <f>IF(INDEX(C:C, ROW())+INDEX(D:D, ROW())=0, 0, INDEX(C:C, ROW())/(INDEX(C:C, ROW())+INDEX(D:D, ROW())))</f>
        <v/>
      </c>
      <c r="F620" s="1" t="inlineStr">
        <is>
          <t>Array, Backtracking, Matrix</t>
        </is>
      </c>
      <c r="G620" s="1" t="inlineStr">
        <is>
          <t>Medium</t>
        </is>
      </c>
      <c r="H620" s="1" t="n">
        <v>249564</v>
      </c>
      <c r="I620" s="1" t="n">
        <v>365554</v>
      </c>
      <c r="J620" s="9" t="n">
        <v>0.6830000000000001</v>
      </c>
      <c r="K620" s="1" t="inlineStr">
        <is>
          <t>Yes</t>
        </is>
      </c>
      <c r="L620" s="1" t="inlineStr">
        <is>
          <t>Yes</t>
        </is>
      </c>
      <c r="M620" s="1" t="inlineStr">
        <is>
          <t>No</t>
        </is>
      </c>
      <c r="N620" s="1" t="inlineStr">
        <is>
          <t>Algorithms</t>
        </is>
      </c>
      <c r="O6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21" ht="15.75" customHeight="1" s="12">
      <c r="A621" s="1" t="n">
        <v>633</v>
      </c>
      <c r="B621" s="3">
        <f>HYPERLINK("https://leetcode.com/problems/sum-of-square-numbers/", "Sum of Square Numbers")</f>
        <v/>
      </c>
      <c r="C621" s="1" t="n">
        <v>3421</v>
      </c>
      <c r="D621" s="1" t="n">
        <v>618</v>
      </c>
      <c r="E621" s="4">
        <f>IF(INDEX(C:C, ROW())+INDEX(D:D, ROW())=0, 0, INDEX(C:C, ROW())/(INDEX(C:C, ROW())+INDEX(D:D, ROW())))</f>
        <v/>
      </c>
      <c r="F621" s="1" t="inlineStr">
        <is>
          <t>Math, Two Pointers, Binary Search</t>
        </is>
      </c>
      <c r="G621" s="1" t="inlineStr">
        <is>
          <t>Medium</t>
        </is>
      </c>
      <c r="H621" s="1" t="n">
        <v>425819</v>
      </c>
      <c r="I621" s="1" t="n">
        <v>1160676</v>
      </c>
      <c r="J621" s="9" t="n">
        <v>0.367</v>
      </c>
      <c r="K621" s="1" t="inlineStr">
        <is>
          <t>Yes</t>
        </is>
      </c>
      <c r="L621" s="1" t="inlineStr">
        <is>
          <t>Yes</t>
        </is>
      </c>
      <c r="M621" s="1" t="inlineStr">
        <is>
          <t>No</t>
        </is>
      </c>
      <c r="N621" s="1" t="inlineStr">
        <is>
          <t>Algorithms</t>
        </is>
      </c>
      <c r="O6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22" ht="15.75" customHeight="1" s="12">
      <c r="A622" s="1" t="n">
        <v>526</v>
      </c>
      <c r="B622" s="3">
        <f>HYPERLINK("https://leetcode.com/problems/beautiful-arrangement/", "Beautiful Arrangement")</f>
        <v/>
      </c>
      <c r="C622" s="1" t="n">
        <v>3387</v>
      </c>
      <c r="D622" s="1" t="n">
        <v>389</v>
      </c>
      <c r="E622" s="4">
        <f>IF(INDEX(C:C, ROW())+INDEX(D:D, ROW())=0, 0, INDEX(C:C, ROW())/(INDEX(C:C, ROW())+INDEX(D:D, ROW())))</f>
        <v/>
      </c>
      <c r="F622" s="1" t="inlineStr">
        <is>
          <t>Array, Dynamic Programming, Backtracking, Bit Manipulation, Bitmask DP</t>
        </is>
      </c>
      <c r="G622" s="1" t="inlineStr">
        <is>
          <t>Medium</t>
        </is>
      </c>
      <c r="H622" s="1" t="n">
        <v>211166</v>
      </c>
      <c r="I622" s="1" t="n">
        <v>326280</v>
      </c>
      <c r="J622" s="9" t="n">
        <v>0.647</v>
      </c>
      <c r="K622" s="1" t="inlineStr">
        <is>
          <t>Yes</t>
        </is>
      </c>
      <c r="L622" s="1" t="inlineStr">
        <is>
          <t>Yes</t>
        </is>
      </c>
      <c r="M622" s="1" t="inlineStr">
        <is>
          <t>No</t>
        </is>
      </c>
      <c r="N622" s="1" t="inlineStr">
        <is>
          <t>Algorithms</t>
        </is>
      </c>
      <c r="O6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23" ht="15.75" customHeight="1" s="12">
      <c r="A623" s="1" t="n">
        <v>1695</v>
      </c>
      <c r="B623" s="3">
        <f>HYPERLINK("https://leetcode.com/problems/maximum-erasure-value/", "Maximum Erasure Value")</f>
        <v/>
      </c>
      <c r="C623" s="1" t="n">
        <v>3387</v>
      </c>
      <c r="D623" s="1" t="n">
        <v>65</v>
      </c>
      <c r="E623" s="4">
        <f>IF(INDEX(C:C, ROW())+INDEX(D:D, ROW())=0, 0, INDEX(C:C, ROW())/(INDEX(C:C, ROW())+INDEX(D:D, ROW())))</f>
        <v/>
      </c>
      <c r="F623" s="1" t="inlineStr">
        <is>
          <t>Array, Hash Table, Sliding Window</t>
        </is>
      </c>
      <c r="G623" s="1" t="inlineStr">
        <is>
          <t>Medium</t>
        </is>
      </c>
      <c r="H623" s="1" t="n">
        <v>289521</v>
      </c>
      <c r="I623" s="1" t="n">
        <v>451856</v>
      </c>
      <c r="J623" s="9" t="n">
        <v>0.641</v>
      </c>
      <c r="K623" s="1" t="inlineStr">
        <is>
          <t>Yes</t>
        </is>
      </c>
      <c r="L623" s="1" t="inlineStr">
        <is>
          <t>Yes</t>
        </is>
      </c>
      <c r="M623" s="1" t="inlineStr">
        <is>
          <t>No</t>
        </is>
      </c>
      <c r="N623" s="1" t="inlineStr">
        <is>
          <t>Algorithms</t>
        </is>
      </c>
      <c r="O6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24" ht="15.75" customHeight="1" s="12">
      <c r="A624" s="1" t="n">
        <v>976</v>
      </c>
      <c r="B624" s="3">
        <f>HYPERLINK("https://leetcode.com/problems/largest-perimeter-triangle/", "Largest Perimeter Triangle")</f>
        <v/>
      </c>
      <c r="C624" s="1" t="n">
        <v>3381</v>
      </c>
      <c r="D624" s="1" t="n">
        <v>443</v>
      </c>
      <c r="E624" s="4">
        <f>IF(INDEX(C:C, ROW())+INDEX(D:D, ROW())=0, 0, INDEX(C:C, ROW())/(INDEX(C:C, ROW())+INDEX(D:D, ROW())))</f>
        <v/>
      </c>
      <c r="F624" s="1" t="inlineStr">
        <is>
          <t>Array, Math, Greedy, Sorting</t>
        </is>
      </c>
      <c r="G624" s="1" t="inlineStr">
        <is>
          <t>Easy</t>
        </is>
      </c>
      <c r="H624" s="1" t="n">
        <v>413469</v>
      </c>
      <c r="I624" s="1" t="n">
        <v>669296</v>
      </c>
      <c r="J624" s="9" t="n">
        <v>0.618</v>
      </c>
      <c r="K624" s="1" t="inlineStr">
        <is>
          <t>Yes</t>
        </is>
      </c>
      <c r="L624" s="1" t="inlineStr">
        <is>
          <t>Yes</t>
        </is>
      </c>
      <c r="M624" s="1" t="inlineStr">
        <is>
          <t>No</t>
        </is>
      </c>
      <c r="N624" s="1" t="inlineStr">
        <is>
          <t>Algorithms</t>
        </is>
      </c>
      <c r="O6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25" ht="15.75" customHeight="1" s="12">
      <c r="A625" s="1" t="n">
        <v>889</v>
      </c>
      <c r="B625" s="3">
        <f>HYPERLINK("https://leetcode.com/problems/construct-binary-tree-from-preorder-and-postorder-traversal/", "Construct Binary Tree from Preorder and Postorder Traversal")</f>
        <v/>
      </c>
      <c r="C625" s="1" t="n">
        <v>3379</v>
      </c>
      <c r="D625" s="1" t="n">
        <v>159</v>
      </c>
      <c r="E625" s="4">
        <f>IF(INDEX(C:C, ROW())+INDEX(D:D, ROW())=0, 0, INDEX(C:C, ROW())/(INDEX(C:C, ROW())+INDEX(D:D, ROW())))</f>
        <v/>
      </c>
      <c r="F625" s="1" t="inlineStr">
        <is>
          <t>Array, Hash Table, Divide and Conquer, Tree, Binary Tree</t>
        </is>
      </c>
      <c r="G625" s="1" t="inlineStr">
        <is>
          <t>Medium</t>
        </is>
      </c>
      <c r="H625" s="1" t="n">
        <v>215677</v>
      </c>
      <c r="I625" s="1" t="n">
        <v>276315</v>
      </c>
      <c r="J625" s="9" t="n">
        <v>0.781</v>
      </c>
      <c r="K625" s="1" t="inlineStr">
        <is>
          <t>Yes</t>
        </is>
      </c>
      <c r="L625" s="1" t="inlineStr">
        <is>
          <t>Yes</t>
        </is>
      </c>
      <c r="M625" s="1" t="inlineStr">
        <is>
          <t>No</t>
        </is>
      </c>
      <c r="N625" s="1" t="inlineStr">
        <is>
          <t>Algorithms</t>
        </is>
      </c>
      <c r="O6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26" ht="15.75" customHeight="1" s="12">
      <c r="A626" s="1" t="n">
        <v>147</v>
      </c>
      <c r="B626" s="3">
        <f>HYPERLINK("https://leetcode.com/problems/insertion-sort-list/", "Insertion Sort List")</f>
        <v/>
      </c>
      <c r="C626" s="1" t="n">
        <v>3367</v>
      </c>
      <c r="D626" s="1" t="n">
        <v>879</v>
      </c>
      <c r="E626" s="4">
        <f>IF(INDEX(C:C, ROW())+INDEX(D:D, ROW())=0, 0, INDEX(C:C, ROW())/(INDEX(C:C, ROW())+INDEX(D:D, ROW())))</f>
        <v/>
      </c>
      <c r="F626" s="1" t="inlineStr">
        <is>
          <t>Linked List, Sorting</t>
        </is>
      </c>
      <c r="G626" s="1" t="inlineStr">
        <is>
          <t>Medium</t>
        </is>
      </c>
      <c r="H626" s="1" t="n">
        <v>469795</v>
      </c>
      <c r="I626" s="1" t="n">
        <v>808028</v>
      </c>
      <c r="J626" s="9" t="n">
        <v>0.581</v>
      </c>
      <c r="K626" s="1" t="inlineStr">
        <is>
          <t>Yes</t>
        </is>
      </c>
      <c r="L626" s="1" t="inlineStr">
        <is>
          <t>Yes</t>
        </is>
      </c>
      <c r="M626" s="1" t="inlineStr">
        <is>
          <t>Yes</t>
        </is>
      </c>
      <c r="N626" s="1" t="inlineStr">
        <is>
          <t>Algorithms</t>
        </is>
      </c>
      <c r="O6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27" ht="15.75" customHeight="1" s="12">
      <c r="A627" s="1" t="n">
        <v>823</v>
      </c>
      <c r="B627" s="3">
        <f>HYPERLINK("https://leetcode.com/problems/binary-trees-with-factors/", "Binary Trees With Factors")</f>
        <v/>
      </c>
      <c r="C627" s="1" t="n">
        <v>3364</v>
      </c>
      <c r="D627" s="1" t="n">
        <v>261</v>
      </c>
      <c r="E627" s="4">
        <f>IF(INDEX(C:C, ROW())+INDEX(D:D, ROW())=0, 0, INDEX(C:C, ROW())/(INDEX(C:C, ROW())+INDEX(D:D, ROW())))</f>
        <v/>
      </c>
      <c r="F627" s="1" t="inlineStr">
        <is>
          <t>Array, Hash Table, Dynamic Programming, Sorting</t>
        </is>
      </c>
      <c r="G627" s="1" t="inlineStr">
        <is>
          <t>Medium</t>
        </is>
      </c>
      <c r="H627" s="1" t="n">
        <v>157923</v>
      </c>
      <c r="I627" s="1" t="n">
        <v>297766</v>
      </c>
      <c r="J627" s="9" t="n">
        <v>0.53</v>
      </c>
      <c r="K627" s="1" t="inlineStr">
        <is>
          <t>Yes</t>
        </is>
      </c>
      <c r="L627" s="1" t="inlineStr">
        <is>
          <t>Yes</t>
        </is>
      </c>
      <c r="M627" s="1" t="inlineStr">
        <is>
          <t>No</t>
        </is>
      </c>
      <c r="N627" s="1" t="inlineStr">
        <is>
          <t>Algorithms</t>
        </is>
      </c>
      <c r="O6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28" ht="15.75" customHeight="1" s="12">
      <c r="A628" s="1" t="n">
        <v>1218</v>
      </c>
      <c r="B628" s="3">
        <f>HYPERLINK("https://leetcode.com/problems/longest-arithmetic-subsequence-of-given-difference/", "Longest Arithmetic Subsequence of Given Difference")</f>
        <v/>
      </c>
      <c r="C628" s="1" t="n">
        <v>3364</v>
      </c>
      <c r="D628" s="1" t="n">
        <v>92</v>
      </c>
      <c r="E628" s="4">
        <f>IF(INDEX(C:C, ROW())+INDEX(D:D, ROW())=0, 0, INDEX(C:C, ROW())/(INDEX(C:C, ROW())+INDEX(D:D, ROW())))</f>
        <v/>
      </c>
      <c r="F628" s="1" t="inlineStr">
        <is>
          <t>Array, Hash Table, Dynamic Programming</t>
        </is>
      </c>
      <c r="G628" s="1" t="inlineStr">
        <is>
          <t>Medium</t>
        </is>
      </c>
      <c r="H628" s="1" t="n">
        <v>168699</v>
      </c>
      <c r="I628" s="1" t="n">
        <v>310434</v>
      </c>
      <c r="J628" s="9" t="n">
        <v>0.543</v>
      </c>
      <c r="K628" s="1" t="inlineStr">
        <is>
          <t>Yes</t>
        </is>
      </c>
      <c r="L628" s="1" t="inlineStr">
        <is>
          <t>Yes</t>
        </is>
      </c>
      <c r="M628" s="1" t="inlineStr">
        <is>
          <t>No</t>
        </is>
      </c>
      <c r="N628" s="1" t="inlineStr">
        <is>
          <t>Algorithms</t>
        </is>
      </c>
      <c r="O6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29" ht="15.75" customHeight="1" s="12">
      <c r="A629" s="1" t="n">
        <v>1338</v>
      </c>
      <c r="B629" s="3">
        <f>HYPERLINK("https://leetcode.com/problems/reduce-array-size-to-the-half/", "Reduce Array Size to The Half")</f>
        <v/>
      </c>
      <c r="C629" s="1" t="n">
        <v>3356</v>
      </c>
      <c r="D629" s="1" t="n">
        <v>153</v>
      </c>
      <c r="E629" s="4">
        <f>IF(INDEX(C:C, ROW())+INDEX(D:D, ROW())=0, 0, INDEX(C:C, ROW())/(INDEX(C:C, ROW())+INDEX(D:D, ROW())))</f>
        <v/>
      </c>
      <c r="F629" s="1" t="inlineStr">
        <is>
          <t>Array, Hash Table, Greedy, Sorting, Heap (Priority Queue)</t>
        </is>
      </c>
      <c r="G629" s="1" t="inlineStr">
        <is>
          <t>Medium</t>
        </is>
      </c>
      <c r="H629" s="1" t="n">
        <v>228397</v>
      </c>
      <c r="I629" s="1" t="n">
        <v>329526</v>
      </c>
      <c r="J629" s="9" t="n">
        <v>0.6929999999999999</v>
      </c>
      <c r="K629" s="1" t="inlineStr">
        <is>
          <t>Yes</t>
        </is>
      </c>
      <c r="L629" s="1" t="inlineStr">
        <is>
          <t>Yes</t>
        </is>
      </c>
      <c r="M629" s="1" t="inlineStr">
        <is>
          <t>No</t>
        </is>
      </c>
      <c r="N629" s="1" t="inlineStr">
        <is>
          <t>Algorithms</t>
        </is>
      </c>
      <c r="O6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30" ht="15.75" customHeight="1" s="12">
      <c r="A630" s="1" t="n">
        <v>1049</v>
      </c>
      <c r="B630" s="3">
        <f>HYPERLINK("https://leetcode.com/problems/last-stone-weight-ii/", "Last Stone Weight II")</f>
        <v/>
      </c>
      <c r="C630" s="1" t="n">
        <v>3353</v>
      </c>
      <c r="D630" s="1" t="n">
        <v>140</v>
      </c>
      <c r="E630" s="4">
        <f>IF(INDEX(C:C, ROW())+INDEX(D:D, ROW())=0, 0, INDEX(C:C, ROW())/(INDEX(C:C, ROW())+INDEX(D:D, ROW())))</f>
        <v/>
      </c>
      <c r="F630" s="1" t="inlineStr">
        <is>
          <t>Array, Dynamic Programming</t>
        </is>
      </c>
      <c r="G630" s="1" t="inlineStr">
        <is>
          <t>Medium</t>
        </is>
      </c>
      <c r="H630" s="1" t="n">
        <v>127607</v>
      </c>
      <c r="I630" s="1" t="n">
        <v>216074</v>
      </c>
      <c r="J630" s="9" t="n">
        <v>0.591</v>
      </c>
      <c r="K630" s="1" t="inlineStr">
        <is>
          <t>Yes</t>
        </is>
      </c>
      <c r="L630" s="1" t="inlineStr">
        <is>
          <t>No</t>
        </is>
      </c>
      <c r="M630" s="1" t="inlineStr">
        <is>
          <t>No</t>
        </is>
      </c>
      <c r="N630" s="1" t="inlineStr">
        <is>
          <t>Algorithms</t>
        </is>
      </c>
      <c r="O6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31" ht="15.75" customHeight="1" s="12">
      <c r="A631" s="1" t="n">
        <v>2101</v>
      </c>
      <c r="B631" s="3">
        <f>HYPERLINK("https://leetcode.com/problems/detonate-the-maximum-bombs/", "Detonate the Maximum Bombs")</f>
        <v/>
      </c>
      <c r="C631" s="1" t="n">
        <v>3351</v>
      </c>
      <c r="D631" s="1" t="n">
        <v>161</v>
      </c>
      <c r="E631" s="4">
        <f>IF(INDEX(C:C, ROW())+INDEX(D:D, ROW())=0, 0, INDEX(C:C, ROW())/(INDEX(C:C, ROW())+INDEX(D:D, ROW())))</f>
        <v/>
      </c>
      <c r="F631" s="1" t="inlineStr">
        <is>
          <t>Array, Math, Depth-First Search, Breadth-First Search, Graph Theory, Geometry</t>
        </is>
      </c>
      <c r="G631" s="1" t="inlineStr">
        <is>
          <t>Medium</t>
        </is>
      </c>
      <c r="H631" s="1" t="n">
        <v>171676</v>
      </c>
      <c r="I631" s="1" t="n">
        <v>344695</v>
      </c>
      <c r="J631" s="9" t="n">
        <v>0.498</v>
      </c>
      <c r="K631" s="1" t="inlineStr">
        <is>
          <t>Yes</t>
        </is>
      </c>
      <c r="L631" s="1" t="inlineStr">
        <is>
          <t>Yes</t>
        </is>
      </c>
      <c r="M631" s="1" t="inlineStr">
        <is>
          <t>No</t>
        </is>
      </c>
      <c r="N631" s="1" t="inlineStr">
        <is>
          <t>Algorithms</t>
        </is>
      </c>
      <c r="O6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32" ht="15.75" customHeight="1" s="12">
      <c r="A632" s="1" t="n">
        <v>860</v>
      </c>
      <c r="B632" s="3">
        <f>HYPERLINK("https://leetcode.com/problems/lemonade-change/", "Lemonade Change")</f>
        <v/>
      </c>
      <c r="C632" s="1" t="n">
        <v>3345</v>
      </c>
      <c r="D632" s="1" t="n">
        <v>214</v>
      </c>
      <c r="E632" s="4">
        <f>IF(INDEX(C:C, ROW())+INDEX(D:D, ROW())=0, 0, INDEX(C:C, ROW())/(INDEX(C:C, ROW())+INDEX(D:D, ROW())))</f>
        <v/>
      </c>
      <c r="F632" s="1" t="inlineStr">
        <is>
          <t>Array, Greedy</t>
        </is>
      </c>
      <c r="G632" s="1" t="inlineStr">
        <is>
          <t>Easy</t>
        </is>
      </c>
      <c r="H632" s="1" t="n">
        <v>545229</v>
      </c>
      <c r="I632" s="1" t="n">
        <v>926527</v>
      </c>
      <c r="J632" s="9" t="n">
        <v>0.588</v>
      </c>
      <c r="K632" s="1" t="inlineStr">
        <is>
          <t>Yes</t>
        </is>
      </c>
      <c r="L632" s="1" t="inlineStr">
        <is>
          <t>Yes</t>
        </is>
      </c>
      <c r="M632" s="1" t="inlineStr">
        <is>
          <t>No</t>
        </is>
      </c>
      <c r="N632" s="1" t="inlineStr">
        <is>
          <t>Algorithms</t>
        </is>
      </c>
      <c r="O6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33" ht="15.75" customHeight="1" s="12">
      <c r="A633" s="1" t="n">
        <v>1581</v>
      </c>
      <c r="B633" s="3">
        <f>HYPERLINK("https://leetcode.com/problems/customer-who-visited-but-did-not-make-any-transactions/", "Customer Who Visited but Did Not Make Any Transactions")</f>
        <v/>
      </c>
      <c r="C633" s="1" t="n">
        <v>3343</v>
      </c>
      <c r="D633" s="1" t="n">
        <v>443</v>
      </c>
      <c r="E633" s="4">
        <f>IF(INDEX(C:C, ROW())+INDEX(D:D, ROW())=0, 0, INDEX(C:C, ROW())/(INDEX(C:C, ROW())+INDEX(D:D, ROW())))</f>
        <v/>
      </c>
      <c r="F633" s="1" t="inlineStr">
        <is>
          <t>Database</t>
        </is>
      </c>
      <c r="G633" s="1" t="inlineStr">
        <is>
          <t>Easy</t>
        </is>
      </c>
      <c r="H633" s="1" t="n">
        <v>1071846</v>
      </c>
      <c r="I633" s="1" t="n">
        <v>1585628</v>
      </c>
      <c r="J633" s="9" t="n">
        <v>0.676</v>
      </c>
      <c r="K633" s="1" t="inlineStr">
        <is>
          <t>Yes</t>
        </is>
      </c>
      <c r="L633" s="1" t="inlineStr">
        <is>
          <t>Yes</t>
        </is>
      </c>
      <c r="M633" s="1" t="inlineStr">
        <is>
          <t>No</t>
        </is>
      </c>
      <c r="N633" s="1" t="inlineStr">
        <is>
          <t>Database</t>
        </is>
      </c>
      <c r="O6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34" ht="15.75" customHeight="1" s="12">
      <c r="A634" s="1" t="n">
        <v>859</v>
      </c>
      <c r="B634" s="3">
        <f>HYPERLINK("https://leetcode.com/problems/buddy-strings/", "Buddy Strings")</f>
        <v/>
      </c>
      <c r="C634" s="1" t="n">
        <v>3339</v>
      </c>
      <c r="D634" s="1" t="n">
        <v>1846</v>
      </c>
      <c r="E634" s="4">
        <f>IF(INDEX(C:C, ROW())+INDEX(D:D, ROW())=0, 0, INDEX(C:C, ROW())/(INDEX(C:C, ROW())+INDEX(D:D, ROW())))</f>
        <v/>
      </c>
      <c r="F634" s="1" t="inlineStr">
        <is>
          <t>Hash Table, String</t>
        </is>
      </c>
      <c r="G634" s="1" t="inlineStr">
        <is>
          <t>Easy</t>
        </is>
      </c>
      <c r="H634" s="1" t="n">
        <v>288823</v>
      </c>
      <c r="I634" s="1" t="n">
        <v>852236</v>
      </c>
      <c r="J634" s="9" t="n">
        <v>0.339</v>
      </c>
      <c r="K634" s="1" t="inlineStr">
        <is>
          <t>Yes</t>
        </is>
      </c>
      <c r="L634" s="1" t="inlineStr">
        <is>
          <t>Yes</t>
        </is>
      </c>
      <c r="M634" s="1" t="inlineStr">
        <is>
          <t>No</t>
        </is>
      </c>
      <c r="N634" s="1" t="inlineStr">
        <is>
          <t>Algorithms</t>
        </is>
      </c>
      <c r="O6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35" ht="15.75" customHeight="1" s="12">
      <c r="A635" s="1" t="n">
        <v>1457</v>
      </c>
      <c r="B635" s="3">
        <f>HYPERLINK("https://leetcode.com/problems/pseudo-palindromic-paths-in-a-binary-tree/", "Pseudo-Palindromic Paths in a Binary Tree")</f>
        <v/>
      </c>
      <c r="C635" s="1" t="n">
        <v>3332</v>
      </c>
      <c r="D635" s="1" t="n">
        <v>131</v>
      </c>
      <c r="E635" s="4">
        <f>IF(INDEX(C:C, ROW())+INDEX(D:D, ROW())=0, 0, INDEX(C:C, ROW())/(INDEX(C:C, ROW())+INDEX(D:D, ROW())))</f>
        <v/>
      </c>
      <c r="F635" s="1" t="inlineStr">
        <is>
          <t>Bit Manipulation, Tree, Depth-First Search, Breadth-First Search, Binary Tree</t>
        </is>
      </c>
      <c r="G635" s="1" t="inlineStr">
        <is>
          <t>Medium</t>
        </is>
      </c>
      <c r="H635" s="1" t="n">
        <v>234090</v>
      </c>
      <c r="I635" s="1" t="n">
        <v>342487</v>
      </c>
      <c r="J635" s="9" t="n">
        <v>0.6840000000000001</v>
      </c>
      <c r="K635" s="1" t="inlineStr">
        <is>
          <t>Yes</t>
        </is>
      </c>
      <c r="L635" s="1" t="inlineStr">
        <is>
          <t>Yes</t>
        </is>
      </c>
      <c r="M635" s="1" t="inlineStr">
        <is>
          <t>No</t>
        </is>
      </c>
      <c r="N635" s="1" t="inlineStr">
        <is>
          <t>Algorithms</t>
        </is>
      </c>
      <c r="O6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36" ht="15.75" customHeight="1" s="12">
      <c r="A636" s="1" t="n">
        <v>1122</v>
      </c>
      <c r="B636" s="3">
        <f>HYPERLINK("https://leetcode.com/problems/relative-sort-array/", "Relative Sort Array")</f>
        <v/>
      </c>
      <c r="C636" s="1" t="n">
        <v>3326</v>
      </c>
      <c r="D636" s="1" t="n">
        <v>197</v>
      </c>
      <c r="E636" s="4">
        <f>IF(INDEX(C:C, ROW())+INDEX(D:D, ROW())=0, 0, INDEX(C:C, ROW())/(INDEX(C:C, ROW())+INDEX(D:D, ROW())))</f>
        <v/>
      </c>
      <c r="F636" s="1" t="inlineStr">
        <is>
          <t>Array, Hash Table, Sorting, Counting Sort</t>
        </is>
      </c>
      <c r="G636" s="1" t="inlineStr">
        <is>
          <t>Easy</t>
        </is>
      </c>
      <c r="H636" s="1" t="n">
        <v>394016</v>
      </c>
      <c r="I636" s="1" t="n">
        <v>524845</v>
      </c>
      <c r="J636" s="9" t="n">
        <v>0.751</v>
      </c>
      <c r="K636" s="1" t="inlineStr">
        <is>
          <t>Yes</t>
        </is>
      </c>
      <c r="L636" s="1" t="inlineStr">
        <is>
          <t>Yes</t>
        </is>
      </c>
      <c r="M636" s="1" t="inlineStr">
        <is>
          <t>No</t>
        </is>
      </c>
      <c r="N636" s="1" t="inlineStr">
        <is>
          <t>Algorithms</t>
        </is>
      </c>
      <c r="O6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37" ht="15.75" customHeight="1" s="12">
      <c r="A637" s="1" t="n">
        <v>849</v>
      </c>
      <c r="B637" s="3">
        <f>HYPERLINK("https://leetcode.com/problems/maximize-distance-to-closest-person/", "Maximize Distance to Closest Person")</f>
        <v/>
      </c>
      <c r="C637" s="1" t="n">
        <v>3324</v>
      </c>
      <c r="D637" s="1" t="n">
        <v>202</v>
      </c>
      <c r="E637" s="4">
        <f>IF(INDEX(C:C, ROW())+INDEX(D:D, ROW())=0, 0, INDEX(C:C, ROW())/(INDEX(C:C, ROW())+INDEX(D:D, ROW())))</f>
        <v/>
      </c>
      <c r="F637" s="1" t="inlineStr">
        <is>
          <t>Array</t>
        </is>
      </c>
      <c r="G637" s="1" t="inlineStr">
        <is>
          <t>Medium</t>
        </is>
      </c>
      <c r="H637" s="1" t="n">
        <v>277597</v>
      </c>
      <c r="I637" s="1" t="n">
        <v>560583</v>
      </c>
      <c r="J637" s="9" t="n">
        <v>0.495</v>
      </c>
      <c r="K637" s="1" t="inlineStr">
        <is>
          <t>Yes</t>
        </is>
      </c>
      <c r="L637" s="1" t="inlineStr">
        <is>
          <t>Yes</t>
        </is>
      </c>
      <c r="M637" s="1" t="inlineStr">
        <is>
          <t>No</t>
        </is>
      </c>
      <c r="N637" s="1" t="inlineStr">
        <is>
          <t>Algorithms</t>
        </is>
      </c>
      <c r="O6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38" ht="15.75" customHeight="1" s="12">
      <c r="A638" s="1" t="n">
        <v>286</v>
      </c>
      <c r="B638" s="3">
        <f>HYPERLINK("https://leetcode.com/problems/walls-and-gates/", "Walls and Gates")</f>
        <v/>
      </c>
      <c r="C638" s="1" t="n">
        <v>3308</v>
      </c>
      <c r="D638" s="1" t="n">
        <v>72</v>
      </c>
      <c r="E638" s="4">
        <f>IF(INDEX(C:C, ROW())+INDEX(D:D, ROW())=0, 0, INDEX(C:C, ROW())/(INDEX(C:C, ROW())+INDEX(D:D, ROW())))</f>
        <v/>
      </c>
      <c r="F638" s="1" t="inlineStr">
        <is>
          <t>Array, Breadth-First Search, Matrix</t>
        </is>
      </c>
      <c r="G638" s="1" t="inlineStr">
        <is>
          <t>Medium</t>
        </is>
      </c>
      <c r="H638" s="1" t="n">
        <v>413883</v>
      </c>
      <c r="I638" s="1" t="n">
        <v>650842</v>
      </c>
      <c r="J638" s="9" t="n">
        <v>0.636</v>
      </c>
      <c r="K638" s="1" t="inlineStr">
        <is>
          <t>No</t>
        </is>
      </c>
      <c r="L638" s="1" t="inlineStr">
        <is>
          <t>Yes</t>
        </is>
      </c>
      <c r="M638" s="1" t="inlineStr">
        <is>
          <t>No</t>
        </is>
      </c>
      <c r="N638" s="1" t="inlineStr">
        <is>
          <t>Algorithms</t>
        </is>
      </c>
      <c r="O6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39" ht="15.75" customHeight="1" s="12">
      <c r="A639" s="1" t="n">
        <v>821</v>
      </c>
      <c r="B639" s="3">
        <f>HYPERLINK("https://leetcode.com/problems/shortest-distance-to-a-character/", "Shortest Distance to a Character")</f>
        <v/>
      </c>
      <c r="C639" s="1" t="n">
        <v>3307</v>
      </c>
      <c r="D639" s="1" t="n">
        <v>193</v>
      </c>
      <c r="E639" s="4">
        <f>IF(INDEX(C:C, ROW())+INDEX(D:D, ROW())=0, 0, INDEX(C:C, ROW())/(INDEX(C:C, ROW())+INDEX(D:D, ROW())))</f>
        <v/>
      </c>
      <c r="F639" s="1" t="inlineStr">
        <is>
          <t>Array, Two Pointers, String</t>
        </is>
      </c>
      <c r="G639" s="1" t="inlineStr">
        <is>
          <t>Easy</t>
        </is>
      </c>
      <c r="H639" s="1" t="n">
        <v>233442</v>
      </c>
      <c r="I639" s="1" t="n">
        <v>321669</v>
      </c>
      <c r="J639" s="9" t="n">
        <v>0.726</v>
      </c>
      <c r="K639" s="1" t="inlineStr">
        <is>
          <t>Yes</t>
        </is>
      </c>
      <c r="L639" s="1" t="inlineStr">
        <is>
          <t>Yes</t>
        </is>
      </c>
      <c r="M639" s="1" t="inlineStr">
        <is>
          <t>No</t>
        </is>
      </c>
      <c r="N639" s="1" t="inlineStr">
        <is>
          <t>Algorithms</t>
        </is>
      </c>
      <c r="O6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40" ht="15.75" customHeight="1" s="12">
      <c r="A640" s="1" t="n">
        <v>366</v>
      </c>
      <c r="B640" s="3">
        <f>HYPERLINK("https://leetcode.com/problems/find-leaves-of-binary-tree/", "Find Leaves of Binary Tree")</f>
        <v/>
      </c>
      <c r="C640" s="1" t="n">
        <v>3295</v>
      </c>
      <c r="D640" s="1" t="n">
        <v>64</v>
      </c>
      <c r="E640" s="4">
        <f>IF(INDEX(C:C, ROW())+INDEX(D:D, ROW())=0, 0, INDEX(C:C, ROW())/(INDEX(C:C, ROW())+INDEX(D:D, ROW())))</f>
        <v/>
      </c>
      <c r="F640" s="1" t="inlineStr">
        <is>
          <t>Tree, Depth-First Search, Binary Tree</t>
        </is>
      </c>
      <c r="G640" s="1" t="inlineStr">
        <is>
          <t>Medium</t>
        </is>
      </c>
      <c r="H640" s="1" t="n">
        <v>284507</v>
      </c>
      <c r="I640" s="1" t="n">
        <v>350321</v>
      </c>
      <c r="J640" s="9" t="n">
        <v>0.8120000000000001</v>
      </c>
      <c r="K640" s="1" t="inlineStr">
        <is>
          <t>No</t>
        </is>
      </c>
      <c r="L640" s="1" t="inlineStr">
        <is>
          <t>Yes</t>
        </is>
      </c>
      <c r="M640" s="1" t="inlineStr">
        <is>
          <t>Yes</t>
        </is>
      </c>
      <c r="N640" s="1" t="inlineStr">
        <is>
          <t>Algorithms</t>
        </is>
      </c>
      <c r="O6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41" ht="15.75" customHeight="1" s="12">
      <c r="A641" s="1" t="n">
        <v>1220</v>
      </c>
      <c r="B641" s="3">
        <f>HYPERLINK("https://leetcode.com/problems/count-vowels-permutation/", "Count Vowels Permutation")</f>
        <v/>
      </c>
      <c r="C641" s="1" t="n">
        <v>3295</v>
      </c>
      <c r="D641" s="1" t="n">
        <v>219</v>
      </c>
      <c r="E641" s="4">
        <f>IF(INDEX(C:C, ROW())+INDEX(D:D, ROW())=0, 0, INDEX(C:C, ROW())/(INDEX(C:C, ROW())+INDEX(D:D, ROW())))</f>
        <v/>
      </c>
      <c r="F641" s="1" t="inlineStr">
        <is>
          <t>Dynamic Programming</t>
        </is>
      </c>
      <c r="G641" s="1" t="inlineStr">
        <is>
          <t>Hard</t>
        </is>
      </c>
      <c r="H641" s="1" t="n">
        <v>181631</v>
      </c>
      <c r="I641" s="1" t="n">
        <v>295879</v>
      </c>
      <c r="J641" s="9" t="n">
        <v>0.614</v>
      </c>
      <c r="K641" s="1" t="inlineStr">
        <is>
          <t>Yes</t>
        </is>
      </c>
      <c r="L641" s="1" t="inlineStr">
        <is>
          <t>Yes</t>
        </is>
      </c>
      <c r="M641" s="1" t="inlineStr">
        <is>
          <t>No</t>
        </is>
      </c>
      <c r="N641" s="1" t="inlineStr">
        <is>
          <t>Algorithms</t>
        </is>
      </c>
      <c r="O6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42" ht="15.75" customHeight="1" s="12">
      <c r="A642" s="1" t="n">
        <v>1323</v>
      </c>
      <c r="B642" s="3">
        <f>HYPERLINK("https://leetcode.com/problems/maximum-69-number/", "Maximum 69 Number")</f>
        <v/>
      </c>
      <c r="C642" s="1" t="n">
        <v>3295</v>
      </c>
      <c r="D642" s="1" t="n">
        <v>240</v>
      </c>
      <c r="E642" s="4">
        <f>IF(INDEX(C:C, ROW())+INDEX(D:D, ROW())=0, 0, INDEX(C:C, ROW())/(INDEX(C:C, ROW())+INDEX(D:D, ROW())))</f>
        <v/>
      </c>
      <c r="F642" s="1" t="inlineStr">
        <is>
          <t>Math, Greedy</t>
        </is>
      </c>
      <c r="G642" s="1" t="inlineStr">
        <is>
          <t>Easy</t>
        </is>
      </c>
      <c r="H642" s="1" t="n">
        <v>477521</v>
      </c>
      <c r="I642" s="1" t="n">
        <v>565127</v>
      </c>
      <c r="J642" s="9" t="n">
        <v>0.845</v>
      </c>
      <c r="K642" s="1" t="inlineStr">
        <is>
          <t>Yes</t>
        </is>
      </c>
      <c r="L642" s="1" t="inlineStr">
        <is>
          <t>Yes</t>
        </is>
      </c>
      <c r="M642" s="1" t="inlineStr">
        <is>
          <t>No</t>
        </is>
      </c>
      <c r="N642" s="1" t="inlineStr">
        <is>
          <t>Algorithms</t>
        </is>
      </c>
      <c r="O6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43" ht="15.75" customHeight="1" s="12">
      <c r="A643" s="1" t="n">
        <v>595</v>
      </c>
      <c r="B643" s="3">
        <f>HYPERLINK("https://leetcode.com/problems/big-countries/", "Big Countries")</f>
        <v/>
      </c>
      <c r="C643" s="1" t="n">
        <v>3286</v>
      </c>
      <c r="D643" s="1" t="n">
        <v>1372</v>
      </c>
      <c r="E643" s="4">
        <f>IF(INDEX(C:C, ROW())+INDEX(D:D, ROW())=0, 0, INDEX(C:C, ROW())/(INDEX(C:C, ROW())+INDEX(D:D, ROW())))</f>
        <v/>
      </c>
      <c r="F643" s="1" t="inlineStr">
        <is>
          <t>Database</t>
        </is>
      </c>
      <c r="G643" s="1" t="inlineStr">
        <is>
          <t>Easy</t>
        </is>
      </c>
      <c r="H643" s="1" t="n">
        <v>2198741</v>
      </c>
      <c r="I643" s="1" t="n">
        <v>3216498</v>
      </c>
      <c r="J643" s="9" t="n">
        <v>0.6840000000000001</v>
      </c>
      <c r="K643" s="1" t="inlineStr">
        <is>
          <t>Yes</t>
        </is>
      </c>
      <c r="L643" s="1" t="inlineStr">
        <is>
          <t>Yes</t>
        </is>
      </c>
      <c r="M643" s="1" t="inlineStr">
        <is>
          <t>No</t>
        </is>
      </c>
      <c r="N643" s="1" t="inlineStr">
        <is>
          <t>Database</t>
        </is>
      </c>
      <c r="O6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44" ht="15.75" customHeight="1" s="12">
      <c r="A644" s="1" t="n">
        <v>1007</v>
      </c>
      <c r="B644" s="3">
        <f>HYPERLINK("https://leetcode.com/problems/minimum-domino-rotations-for-equal-row/", "Minimum Domino Rotations For Equal Row")</f>
        <v/>
      </c>
      <c r="C644" s="1" t="n">
        <v>3284</v>
      </c>
      <c r="D644" s="1" t="n">
        <v>271</v>
      </c>
      <c r="E644" s="4">
        <f>IF(INDEX(C:C, ROW())+INDEX(D:D, ROW())=0, 0, INDEX(C:C, ROW())/(INDEX(C:C, ROW())+INDEX(D:D, ROW())))</f>
        <v/>
      </c>
      <c r="F644" s="1" t="inlineStr">
        <is>
          <t>Array, Greedy</t>
        </is>
      </c>
      <c r="G644" s="1" t="inlineStr">
        <is>
          <t>Medium</t>
        </is>
      </c>
      <c r="H644" s="1" t="n">
        <v>318001</v>
      </c>
      <c r="I644" s="1" t="n">
        <v>562900</v>
      </c>
      <c r="J644" s="9" t="n">
        <v>0.5649999999999999</v>
      </c>
      <c r="K644" s="1" t="inlineStr">
        <is>
          <t>Yes</t>
        </is>
      </c>
      <c r="L644" s="1" t="inlineStr">
        <is>
          <t>Yes</t>
        </is>
      </c>
      <c r="M644" s="1" t="inlineStr">
        <is>
          <t>No</t>
        </is>
      </c>
      <c r="N644" s="1" t="inlineStr">
        <is>
          <t>Algorithms</t>
        </is>
      </c>
      <c r="O6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45" ht="15.75" customHeight="1" s="12">
      <c r="A645" s="1" t="n">
        <v>1014</v>
      </c>
      <c r="B645" s="3">
        <f>HYPERLINK("https://leetcode.com/problems/best-sightseeing-pair/", "Best Sightseeing Pair")</f>
        <v/>
      </c>
      <c r="C645" s="1" t="n">
        <v>3280</v>
      </c>
      <c r="D645" s="1" t="n">
        <v>77</v>
      </c>
      <c r="E645" s="4">
        <f>IF(INDEX(C:C, ROW())+INDEX(D:D, ROW())=0, 0, INDEX(C:C, ROW())/(INDEX(C:C, ROW())+INDEX(D:D, ROW())))</f>
        <v/>
      </c>
      <c r="F645" s="1" t="inlineStr">
        <is>
          <t>Array, Dynamic Programming</t>
        </is>
      </c>
      <c r="G645" s="1" t="inlineStr">
        <is>
          <t>Medium</t>
        </is>
      </c>
      <c r="H645" s="1" t="n">
        <v>216430</v>
      </c>
      <c r="I645" s="1" t="n">
        <v>345469</v>
      </c>
      <c r="J645" s="9" t="n">
        <v>0.626</v>
      </c>
      <c r="K645" s="1" t="inlineStr">
        <is>
          <t>Yes</t>
        </is>
      </c>
      <c r="L645" s="1" t="inlineStr">
        <is>
          <t>Yes</t>
        </is>
      </c>
      <c r="M645" s="1" t="inlineStr">
        <is>
          <t>No</t>
        </is>
      </c>
      <c r="N645" s="1" t="inlineStr">
        <is>
          <t>Algorithms</t>
        </is>
      </c>
      <c r="O6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46" ht="15.75" customHeight="1" s="12">
      <c r="A646" s="1" t="n">
        <v>412</v>
      </c>
      <c r="B646" s="3">
        <f>HYPERLINK("https://leetcode.com/problems/fizz-buzz/", "Fizz Buzz")</f>
        <v/>
      </c>
      <c r="C646" s="1" t="n">
        <v>3278</v>
      </c>
      <c r="D646" s="1" t="n">
        <v>450</v>
      </c>
      <c r="E646" s="4">
        <f>IF(INDEX(C:C, ROW())+INDEX(D:D, ROW())=0, 0, INDEX(C:C, ROW())/(INDEX(C:C, ROW())+INDEX(D:D, ROW())))</f>
        <v/>
      </c>
      <c r="F646" s="1" t="inlineStr">
        <is>
          <t>Math, String, Simulation</t>
        </is>
      </c>
      <c r="G646" s="1" t="inlineStr">
        <is>
          <t>Easy</t>
        </is>
      </c>
      <c r="H646" s="1" t="n">
        <v>1698020</v>
      </c>
      <c r="I646" s="1" t="n">
        <v>2260742</v>
      </c>
      <c r="J646" s="9" t="n">
        <v>0.751</v>
      </c>
      <c r="K646" s="1" t="inlineStr">
        <is>
          <t>Yes</t>
        </is>
      </c>
      <c r="L646" s="1" t="inlineStr">
        <is>
          <t>Yes</t>
        </is>
      </c>
      <c r="M646" s="1" t="inlineStr">
        <is>
          <t>Yes</t>
        </is>
      </c>
      <c r="N646" s="1" t="inlineStr">
        <is>
          <t>Algorithms</t>
        </is>
      </c>
      <c r="O6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47" ht="15.75" customHeight="1" s="12">
      <c r="A647" s="1" t="n">
        <v>433</v>
      </c>
      <c r="B647" s="3">
        <f>HYPERLINK("https://leetcode.com/problems/minimum-genetic-mutation/", "Minimum Genetic Mutation")</f>
        <v/>
      </c>
      <c r="C647" s="1" t="n">
        <v>3278</v>
      </c>
      <c r="D647" s="1" t="n">
        <v>344</v>
      </c>
      <c r="E647" s="4">
        <f>IF(INDEX(C:C, ROW())+INDEX(D:D, ROW())=0, 0, INDEX(C:C, ROW())/(INDEX(C:C, ROW())+INDEX(D:D, ROW())))</f>
        <v/>
      </c>
      <c r="F647" s="1" t="inlineStr">
        <is>
          <t>Hash Table, String, Breadth-First Search</t>
        </is>
      </c>
      <c r="G647" s="1" t="inlineStr">
        <is>
          <t>Medium</t>
        </is>
      </c>
      <c r="H647" s="1" t="n">
        <v>265602</v>
      </c>
      <c r="I647" s="1" t="n">
        <v>472110</v>
      </c>
      <c r="J647" s="9" t="n">
        <v>0.5629999999999999</v>
      </c>
      <c r="K647" s="1" t="inlineStr">
        <is>
          <t>Yes</t>
        </is>
      </c>
      <c r="L647" s="1" t="inlineStr">
        <is>
          <t>Yes</t>
        </is>
      </c>
      <c r="M647" s="1" t="inlineStr">
        <is>
          <t>No</t>
        </is>
      </c>
      <c r="N647" s="1" t="inlineStr">
        <is>
          <t>Algorithms</t>
        </is>
      </c>
      <c r="O6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48" ht="15.75" customHeight="1" s="12">
      <c r="A648" s="1" t="n">
        <v>682</v>
      </c>
      <c r="B648" s="3">
        <f>HYPERLINK("https://leetcode.com/problems/baseball-game/", "Baseball Game")</f>
        <v/>
      </c>
      <c r="C648" s="1" t="n">
        <v>3274</v>
      </c>
      <c r="D648" s="1" t="n">
        <v>1962</v>
      </c>
      <c r="E648" s="4">
        <f>IF(INDEX(C:C, ROW())+INDEX(D:D, ROW())=0, 0, INDEX(C:C, ROW())/(INDEX(C:C, ROW())+INDEX(D:D, ROW())))</f>
        <v/>
      </c>
      <c r="F648" s="1" t="inlineStr">
        <is>
          <t>Array, Stack, Simulation</t>
        </is>
      </c>
      <c r="G648" s="1" t="inlineStr">
        <is>
          <t>Easy</t>
        </is>
      </c>
      <c r="H648" s="1" t="n">
        <v>551538</v>
      </c>
      <c r="I648" s="1" t="n">
        <v>690520</v>
      </c>
      <c r="J648" s="9" t="n">
        <v>0.799</v>
      </c>
      <c r="K648" s="1" t="inlineStr">
        <is>
          <t>Yes</t>
        </is>
      </c>
      <c r="L648" s="1" t="inlineStr">
        <is>
          <t>Yes</t>
        </is>
      </c>
      <c r="M648" s="1" t="inlineStr">
        <is>
          <t>No</t>
        </is>
      </c>
      <c r="N648" s="1" t="inlineStr">
        <is>
          <t>Algorithms</t>
        </is>
      </c>
      <c r="O6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49" ht="15.75" customHeight="1" s="12">
      <c r="A649" s="1" t="n">
        <v>589</v>
      </c>
      <c r="B649" s="3">
        <f>HYPERLINK("https://leetcode.com/problems/n-ary-tree-preorder-traversal/", "N-ary Tree Preorder Traversal")</f>
        <v/>
      </c>
      <c r="C649" s="1" t="n">
        <v>3257</v>
      </c>
      <c r="D649" s="1" t="n">
        <v>204</v>
      </c>
      <c r="E649" s="4">
        <f>IF(INDEX(C:C, ROW())+INDEX(D:D, ROW())=0, 0, INDEX(C:C, ROW())/(INDEX(C:C, ROW())+INDEX(D:D, ROW())))</f>
        <v/>
      </c>
      <c r="F649" s="1" t="inlineStr">
        <is>
          <t>Stack, Tree, Depth-First Search</t>
        </is>
      </c>
      <c r="G649" s="1" t="inlineStr">
        <is>
          <t>Easy</t>
        </is>
      </c>
      <c r="H649" s="1" t="n">
        <v>488601</v>
      </c>
      <c r="I649" s="1" t="n">
        <v>638042</v>
      </c>
      <c r="J649" s="9" t="n">
        <v>0.766</v>
      </c>
      <c r="K649" s="1" t="inlineStr">
        <is>
          <t>Yes</t>
        </is>
      </c>
      <c r="L649" s="1" t="inlineStr">
        <is>
          <t>Yes</t>
        </is>
      </c>
      <c r="M649" s="1" t="inlineStr">
        <is>
          <t>No</t>
        </is>
      </c>
      <c r="N649" s="1" t="inlineStr">
        <is>
          <t>Algorithms</t>
        </is>
      </c>
      <c r="O6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50" ht="15.75" customHeight="1" s="12">
      <c r="A650" s="1" t="n">
        <v>1937</v>
      </c>
      <c r="B650" s="3">
        <f>HYPERLINK("https://leetcode.com/problems/maximum-number-of-points-with-cost/", "Maximum Number of Points with Cost")</f>
        <v/>
      </c>
      <c r="C650" s="1" t="n">
        <v>3252</v>
      </c>
      <c r="D650" s="1" t="n">
        <v>240</v>
      </c>
      <c r="E650" s="4">
        <f>IF(INDEX(C:C, ROW())+INDEX(D:D, ROW())=0, 0, INDEX(C:C, ROW())/(INDEX(C:C, ROW())+INDEX(D:D, ROW())))</f>
        <v/>
      </c>
      <c r="F650" s="1" t="inlineStr">
        <is>
          <t>Array, Dynamic Programming, Matrix</t>
        </is>
      </c>
      <c r="G650" s="1" t="inlineStr">
        <is>
          <t>Medium</t>
        </is>
      </c>
      <c r="H650" s="1" t="n">
        <v>156696</v>
      </c>
      <c r="I650" s="1" t="n">
        <v>374324</v>
      </c>
      <c r="J650" s="9" t="n">
        <v>0.419</v>
      </c>
      <c r="K650" s="1" t="inlineStr">
        <is>
          <t>Yes</t>
        </is>
      </c>
      <c r="L650" s="1" t="inlineStr">
        <is>
          <t>Yes</t>
        </is>
      </c>
      <c r="M650" s="1" t="inlineStr">
        <is>
          <t>No</t>
        </is>
      </c>
      <c r="N650" s="1" t="inlineStr">
        <is>
          <t>Algorithms</t>
        </is>
      </c>
      <c r="O6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51" ht="15.75" customHeight="1" s="12">
      <c r="A651" s="1" t="n">
        <v>896</v>
      </c>
      <c r="B651" s="3">
        <f>HYPERLINK("https://leetcode.com/problems/monotonic-array/", "Monotonic Array")</f>
        <v/>
      </c>
      <c r="C651" s="1" t="n">
        <v>3248</v>
      </c>
      <c r="D651" s="1" t="n">
        <v>105</v>
      </c>
      <c r="E651" s="4">
        <f>IF(INDEX(C:C, ROW())+INDEX(D:D, ROW())=0, 0, INDEX(C:C, ROW())/(INDEX(C:C, ROW())+INDEX(D:D, ROW())))</f>
        <v/>
      </c>
      <c r="F651" s="1" t="inlineStr">
        <is>
          <t>Array</t>
        </is>
      </c>
      <c r="G651" s="1" t="inlineStr">
        <is>
          <t>Easy</t>
        </is>
      </c>
      <c r="H651" s="1" t="n">
        <v>557749</v>
      </c>
      <c r="I651" s="1" t="n">
        <v>897578</v>
      </c>
      <c r="J651" s="9" t="n">
        <v>0.621</v>
      </c>
      <c r="K651" s="1" t="inlineStr">
        <is>
          <t>Yes</t>
        </is>
      </c>
      <c r="L651" s="1" t="inlineStr">
        <is>
          <t>Yes</t>
        </is>
      </c>
      <c r="M651" s="1" t="inlineStr">
        <is>
          <t>No</t>
        </is>
      </c>
      <c r="N651" s="1" t="inlineStr">
        <is>
          <t>Algorithms</t>
        </is>
      </c>
      <c r="O6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52" ht="15.75" customHeight="1" s="12">
      <c r="A652" s="1" t="n">
        <v>865</v>
      </c>
      <c r="B652" s="3">
        <f>HYPERLINK("https://leetcode.com/problems/smallest-subtree-with-all-the-deepest-nodes/", "Smallest Subtree with all the Deepest Nodes")</f>
        <v/>
      </c>
      <c r="C652" s="1" t="n">
        <v>3245</v>
      </c>
      <c r="D652" s="1" t="n">
        <v>401</v>
      </c>
      <c r="E652" s="4">
        <f>IF(INDEX(C:C, ROW())+INDEX(D:D, ROW())=0, 0, INDEX(C:C, ROW())/(INDEX(C:C, ROW())+INDEX(D:D, ROW())))</f>
        <v/>
      </c>
      <c r="F652" s="1" t="inlineStr">
        <is>
          <t>Hash Table, Tree, Depth-First Search, Breadth-First Search, Binary Tree</t>
        </is>
      </c>
      <c r="G652" s="1" t="inlineStr">
        <is>
          <t>Medium</t>
        </is>
      </c>
      <c r="H652" s="1" t="n">
        <v>265843</v>
      </c>
      <c r="I652" s="1" t="n">
        <v>343312</v>
      </c>
      <c r="J652" s="9" t="n">
        <v>0.774</v>
      </c>
      <c r="K652" s="1" t="inlineStr">
        <is>
          <t>Yes</t>
        </is>
      </c>
      <c r="L652" s="1" t="inlineStr">
        <is>
          <t>Yes</t>
        </is>
      </c>
      <c r="M652" s="1" t="inlineStr">
        <is>
          <t>No</t>
        </is>
      </c>
      <c r="N652" s="1" t="inlineStr">
        <is>
          <t>Algorithms</t>
        </is>
      </c>
      <c r="O6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53" ht="15.75" customHeight="1" s="12">
      <c r="A653" s="1" t="n">
        <v>1757</v>
      </c>
      <c r="B653" s="3">
        <f>HYPERLINK("https://leetcode.com/problems/recyclable-and-low-fat-products/", "Recyclable and Low Fat Products")</f>
        <v/>
      </c>
      <c r="C653" s="1" t="n">
        <v>3244</v>
      </c>
      <c r="D653" s="1" t="n">
        <v>129</v>
      </c>
      <c r="E653" s="4">
        <f>IF(INDEX(C:C, ROW())+INDEX(D:D, ROW())=0, 0, INDEX(C:C, ROW())/(INDEX(C:C, ROW())+INDEX(D:D, ROW())))</f>
        <v/>
      </c>
      <c r="F653" s="1" t="inlineStr">
        <is>
          <t>Database</t>
        </is>
      </c>
      <c r="G653" s="1" t="inlineStr">
        <is>
          <t>Easy</t>
        </is>
      </c>
      <c r="H653" s="1" t="n">
        <v>2249508</v>
      </c>
      <c r="I653" s="1" t="n">
        <v>2532638</v>
      </c>
      <c r="J653" s="9" t="n">
        <v>0.888</v>
      </c>
      <c r="K653" s="1" t="inlineStr">
        <is>
          <t>Yes</t>
        </is>
      </c>
      <c r="L653" s="1" t="inlineStr">
        <is>
          <t>Yes</t>
        </is>
      </c>
      <c r="M653" s="1" t="inlineStr">
        <is>
          <t>No</t>
        </is>
      </c>
      <c r="N653" s="1" t="inlineStr">
        <is>
          <t>Database</t>
        </is>
      </c>
      <c r="O6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54" ht="15.75" customHeight="1" s="12">
      <c r="A654" s="1" t="n">
        <v>697</v>
      </c>
      <c r="B654" s="3">
        <f>HYPERLINK("https://leetcode.com/problems/degree-of-an-array/", "Degree of an Array")</f>
        <v/>
      </c>
      <c r="C654" s="1" t="n">
        <v>3241</v>
      </c>
      <c r="D654" s="1" t="n">
        <v>1807</v>
      </c>
      <c r="E654" s="4">
        <f>IF(INDEX(C:C, ROW())+INDEX(D:D, ROW())=0, 0, INDEX(C:C, ROW())/(INDEX(C:C, ROW())+INDEX(D:D, ROW())))</f>
        <v/>
      </c>
      <c r="F654" s="1" t="inlineStr">
        <is>
          <t>Array, Hash Table</t>
        </is>
      </c>
      <c r="G654" s="1" t="inlineStr">
        <is>
          <t>Easy</t>
        </is>
      </c>
      <c r="H654" s="1" t="n">
        <v>269681</v>
      </c>
      <c r="I654" s="1" t="n">
        <v>464441</v>
      </c>
      <c r="J654" s="9" t="n">
        <v>0.581</v>
      </c>
      <c r="K654" s="1" t="inlineStr">
        <is>
          <t>Yes</t>
        </is>
      </c>
      <c r="L654" s="1" t="inlineStr">
        <is>
          <t>Yes</t>
        </is>
      </c>
      <c r="M654" s="1" t="inlineStr">
        <is>
          <t>No</t>
        </is>
      </c>
      <c r="N654" s="1" t="inlineStr">
        <is>
          <t>Algorithms</t>
        </is>
      </c>
      <c r="O6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55" ht="15.75" customHeight="1" s="12">
      <c r="A655" s="1" t="n">
        <v>2096</v>
      </c>
      <c r="B655" s="3">
        <f>HYPERLINK("https://leetcode.com/problems/step-by-step-directions-from-a-binary-tree-node-to-another/", "Step-By-Step Directions From a Binary Tree Node to Another")</f>
        <v/>
      </c>
      <c r="C655" s="1" t="n">
        <v>3235</v>
      </c>
      <c r="D655" s="1" t="n">
        <v>169</v>
      </c>
      <c r="E655" s="4">
        <f>IF(INDEX(C:C, ROW())+INDEX(D:D, ROW())=0, 0, INDEX(C:C, ROW())/(INDEX(C:C, ROW())+INDEX(D:D, ROW())))</f>
        <v/>
      </c>
      <c r="F655" s="1" t="inlineStr">
        <is>
          <t>String, Tree, Depth-First Search, Binary Tree</t>
        </is>
      </c>
      <c r="G655" s="1" t="inlineStr">
        <is>
          <t>Medium</t>
        </is>
      </c>
      <c r="H655" s="1" t="n">
        <v>233921</v>
      </c>
      <c r="I655" s="1" t="n">
        <v>414948</v>
      </c>
      <c r="J655" s="9" t="n">
        <v>0.5639999999999999</v>
      </c>
      <c r="K655" s="1" t="inlineStr">
        <is>
          <t>Yes</t>
        </is>
      </c>
      <c r="L655" s="1" t="inlineStr">
        <is>
          <t>Yes</t>
        </is>
      </c>
      <c r="M655" s="1" t="inlineStr">
        <is>
          <t>No</t>
        </is>
      </c>
      <c r="N655" s="1" t="inlineStr">
        <is>
          <t>Algorithms</t>
        </is>
      </c>
      <c r="O6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56" ht="15.75" customHeight="1" s="12">
      <c r="A656" s="1" t="n">
        <v>324</v>
      </c>
      <c r="B656" s="3">
        <f>HYPERLINK("https://leetcode.com/problems/wiggle-sort-ii/", "Wiggle Sort II")</f>
        <v/>
      </c>
      <c r="C656" s="1" t="n">
        <v>3231</v>
      </c>
      <c r="D656" s="1" t="n">
        <v>981</v>
      </c>
      <c r="E656" s="4">
        <f>IF(INDEX(C:C, ROW())+INDEX(D:D, ROW())=0, 0, INDEX(C:C, ROW())/(INDEX(C:C, ROW())+INDEX(D:D, ROW())))</f>
        <v/>
      </c>
      <c r="F656" s="1" t="inlineStr">
        <is>
          <t>Array, Divide and Conquer, Greedy, Sorting, Quickselect</t>
        </is>
      </c>
      <c r="G656" s="1" t="inlineStr">
        <is>
          <t>Medium</t>
        </is>
      </c>
      <c r="H656" s="1" t="n">
        <v>195792</v>
      </c>
      <c r="I656" s="1" t="n">
        <v>534786</v>
      </c>
      <c r="J656" s="9" t="n">
        <v>0.366</v>
      </c>
      <c r="K656" s="1" t="inlineStr">
        <is>
          <t>Yes</t>
        </is>
      </c>
      <c r="L656" s="1" t="inlineStr">
        <is>
          <t>No</t>
        </is>
      </c>
      <c r="M656" s="1" t="inlineStr">
        <is>
          <t>No</t>
        </is>
      </c>
      <c r="N656" s="1" t="inlineStr">
        <is>
          <t>Algorithms</t>
        </is>
      </c>
      <c r="O6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57" ht="15.75" customHeight="1" s="12">
      <c r="A657" s="1" t="n">
        <v>382</v>
      </c>
      <c r="B657" s="3">
        <f>HYPERLINK("https://leetcode.com/problems/linked-list-random-node/", "Linked List Random Node")</f>
        <v/>
      </c>
      <c r="C657" s="1" t="n">
        <v>3206</v>
      </c>
      <c r="D657" s="1" t="n">
        <v>721</v>
      </c>
      <c r="E657" s="4">
        <f>IF(INDEX(C:C, ROW())+INDEX(D:D, ROW())=0, 0, INDEX(C:C, ROW())/(INDEX(C:C, ROW())+INDEX(D:D, ROW())))</f>
        <v/>
      </c>
      <c r="F657" s="1" t="inlineStr">
        <is>
          <t>Linked List, Math, Reservoir Sampling, Randomized</t>
        </is>
      </c>
      <c r="G657" s="1" t="inlineStr">
        <is>
          <t>Medium</t>
        </is>
      </c>
      <c r="H657" s="1" t="n">
        <v>283210</v>
      </c>
      <c r="I657" s="1" t="n">
        <v>438626</v>
      </c>
      <c r="J657" s="9" t="n">
        <v>0.646</v>
      </c>
      <c r="K657" s="1" t="inlineStr">
        <is>
          <t>Yes</t>
        </is>
      </c>
      <c r="L657" s="1" t="inlineStr">
        <is>
          <t>Yes</t>
        </is>
      </c>
      <c r="M657" s="1" t="inlineStr">
        <is>
          <t>No</t>
        </is>
      </c>
      <c r="N657" s="1" t="inlineStr">
        <is>
          <t>Algorithms</t>
        </is>
      </c>
      <c r="O6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58" ht="15.75" customHeight="1" s="12">
      <c r="A658" s="1" t="n">
        <v>1544</v>
      </c>
      <c r="B658" s="3">
        <f>HYPERLINK("https://leetcode.com/problems/make-the-string-great/", "Make The String Great")</f>
        <v/>
      </c>
      <c r="C658" s="1" t="n">
        <v>3200</v>
      </c>
      <c r="D658" s="1" t="n">
        <v>182</v>
      </c>
      <c r="E658" s="4">
        <f>IF(INDEX(C:C, ROW())+INDEX(D:D, ROW())=0, 0, INDEX(C:C, ROW())/(INDEX(C:C, ROW())+INDEX(D:D, ROW())))</f>
        <v/>
      </c>
      <c r="F658" s="1" t="inlineStr">
        <is>
          <t>String, Stack</t>
        </is>
      </c>
      <c r="G658" s="1" t="inlineStr">
        <is>
          <t>Easy</t>
        </is>
      </c>
      <c r="H658" s="1" t="n">
        <v>393581</v>
      </c>
      <c r="I658" s="1" t="n">
        <v>575812</v>
      </c>
      <c r="J658" s="9" t="n">
        <v>0.6840000000000001</v>
      </c>
      <c r="K658" s="1" t="inlineStr">
        <is>
          <t>Yes</t>
        </is>
      </c>
      <c r="L658" s="1" t="inlineStr">
        <is>
          <t>Yes</t>
        </is>
      </c>
      <c r="M658" s="1" t="inlineStr">
        <is>
          <t>No</t>
        </is>
      </c>
      <c r="N658" s="1" t="inlineStr">
        <is>
          <t>Algorithms</t>
        </is>
      </c>
      <c r="O6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59" ht="15.75" customHeight="1" s="12">
      <c r="A659" s="1" t="n">
        <v>1732</v>
      </c>
      <c r="B659" s="3">
        <f>HYPERLINK("https://leetcode.com/problems/find-the-highest-altitude/", "Find the Highest Altitude")</f>
        <v/>
      </c>
      <c r="C659" s="1" t="n">
        <v>3198</v>
      </c>
      <c r="D659" s="1" t="n">
        <v>420</v>
      </c>
      <c r="E659" s="4">
        <f>IF(INDEX(C:C, ROW())+INDEX(D:D, ROW())=0, 0, INDEX(C:C, ROW())/(INDEX(C:C, ROW())+INDEX(D:D, ROW())))</f>
        <v/>
      </c>
      <c r="F659" s="1" t="inlineStr">
        <is>
          <t>Array, Prefix Sum</t>
        </is>
      </c>
      <c r="G659" s="1" t="inlineStr">
        <is>
          <t>Easy</t>
        </is>
      </c>
      <c r="H659" s="1" t="n">
        <v>681057</v>
      </c>
      <c r="I659" s="1" t="n">
        <v>812213</v>
      </c>
      <c r="J659" s="9" t="n">
        <v>0.839</v>
      </c>
      <c r="K659" s="1" t="inlineStr">
        <is>
          <t>Yes</t>
        </is>
      </c>
      <c r="L659" s="1" t="inlineStr">
        <is>
          <t>Yes</t>
        </is>
      </c>
      <c r="M659" s="1" t="inlineStr">
        <is>
          <t>No</t>
        </is>
      </c>
      <c r="N659" s="1" t="inlineStr">
        <is>
          <t>Algorithms</t>
        </is>
      </c>
      <c r="O6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60" ht="15.75" customHeight="1" s="12">
      <c r="A660" s="1" t="n">
        <v>1383</v>
      </c>
      <c r="B660" s="3">
        <f>HYPERLINK("https://leetcode.com/problems/maximum-performance-of-a-team/", "Maximum Performance of a Team")</f>
        <v/>
      </c>
      <c r="C660" s="1" t="n">
        <v>3196</v>
      </c>
      <c r="D660" s="1" t="n">
        <v>84</v>
      </c>
      <c r="E660" s="4">
        <f>IF(INDEX(C:C, ROW())+INDEX(D:D, ROW())=0, 0, INDEX(C:C, ROW())/(INDEX(C:C, ROW())+INDEX(D:D, ROW())))</f>
        <v/>
      </c>
      <c r="F660" s="1" t="inlineStr">
        <is>
          <t>Array, Greedy, Sorting, Heap (Priority Queue)</t>
        </is>
      </c>
      <c r="G660" s="1" t="inlineStr">
        <is>
          <t>Hard</t>
        </is>
      </c>
      <c r="H660" s="1" t="n">
        <v>108184</v>
      </c>
      <c r="I660" s="1" t="n">
        <v>226839</v>
      </c>
      <c r="J660" s="9" t="n">
        <v>0.477</v>
      </c>
      <c r="K660" s="1" t="inlineStr">
        <is>
          <t>Yes</t>
        </is>
      </c>
      <c r="L660" s="1" t="inlineStr">
        <is>
          <t>Yes</t>
        </is>
      </c>
      <c r="M660" s="1" t="inlineStr">
        <is>
          <t>No</t>
        </is>
      </c>
      <c r="N660" s="1" t="inlineStr">
        <is>
          <t>Algorithms</t>
        </is>
      </c>
      <c r="O6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61" ht="15.75" customHeight="1" s="12">
      <c r="A661" s="1" t="n">
        <v>476</v>
      </c>
      <c r="B661" s="3">
        <f>HYPERLINK("https://leetcode.com/problems/number-complement/", "Number Complement")</f>
        <v/>
      </c>
      <c r="C661" s="1" t="n">
        <v>3194</v>
      </c>
      <c r="D661" s="1" t="n">
        <v>145</v>
      </c>
      <c r="E661" s="4">
        <f>IF(INDEX(C:C, ROW())+INDEX(D:D, ROW())=0, 0, INDEX(C:C, ROW())/(INDEX(C:C, ROW())+INDEX(D:D, ROW())))</f>
        <v/>
      </c>
      <c r="F661" s="1" t="inlineStr">
        <is>
          <t>Bit Manipulation</t>
        </is>
      </c>
      <c r="G661" s="1" t="inlineStr">
        <is>
          <t>Easy</t>
        </is>
      </c>
      <c r="H661" s="1" t="n">
        <v>532631</v>
      </c>
      <c r="I661" s="1" t="n">
        <v>756153</v>
      </c>
      <c r="J661" s="9" t="n">
        <v>0.704</v>
      </c>
      <c r="K661" s="1" t="inlineStr">
        <is>
          <t>Yes</t>
        </is>
      </c>
      <c r="L661" s="1" t="inlineStr">
        <is>
          <t>Yes</t>
        </is>
      </c>
      <c r="M661" s="1" t="inlineStr">
        <is>
          <t>No</t>
        </is>
      </c>
      <c r="N661" s="1" t="inlineStr">
        <is>
          <t>Algorithms</t>
        </is>
      </c>
      <c r="O6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62" ht="15.75" customHeight="1" s="12">
      <c r="A662" s="1" t="n">
        <v>2385</v>
      </c>
      <c r="B662" s="3">
        <f>HYPERLINK("https://leetcode.com/problems/amount-of-time-for-binary-tree-to-be-infected/", "Amount of Time for Binary Tree to Be Infected")</f>
        <v/>
      </c>
      <c r="C662" s="1" t="n">
        <v>3188</v>
      </c>
      <c r="D662" s="1" t="n">
        <v>69</v>
      </c>
      <c r="E662" s="4">
        <f>IF(INDEX(C:C, ROW())+INDEX(D:D, ROW())=0, 0, INDEX(C:C, ROW())/(INDEX(C:C, ROW())+INDEX(D:D, ROW())))</f>
        <v/>
      </c>
      <c r="F662" s="1" t="inlineStr">
        <is>
          <t>Hash Table, Tree, Depth-First Search, Breadth-First Search, Binary Tree</t>
        </is>
      </c>
      <c r="G662" s="1" t="inlineStr">
        <is>
          <t>Medium</t>
        </is>
      </c>
      <c r="H662" s="1" t="n">
        <v>195685</v>
      </c>
      <c r="I662" s="1" t="n">
        <v>301276</v>
      </c>
      <c r="J662" s="9" t="n">
        <v>0.65</v>
      </c>
      <c r="K662" s="1" t="inlineStr">
        <is>
          <t>Yes</t>
        </is>
      </c>
      <c r="L662" s="1" t="inlineStr">
        <is>
          <t>Yes</t>
        </is>
      </c>
      <c r="M662" s="1" t="inlineStr">
        <is>
          <t>No</t>
        </is>
      </c>
      <c r="N662" s="1" t="inlineStr">
        <is>
          <t>Algorithms</t>
        </is>
      </c>
      <c r="O6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63" ht="15.75" customHeight="1" s="12">
      <c r="A663" s="1" t="n">
        <v>935</v>
      </c>
      <c r="B663" s="3">
        <f>HYPERLINK("https://leetcode.com/problems/knight-dialer/", "Knight Dialer")</f>
        <v/>
      </c>
      <c r="C663" s="1" t="n">
        <v>3187</v>
      </c>
      <c r="D663" s="1" t="n">
        <v>451</v>
      </c>
      <c r="E663" s="4">
        <f>IF(INDEX(C:C, ROW())+INDEX(D:D, ROW())=0, 0, INDEX(C:C, ROW())/(INDEX(C:C, ROW())+INDEX(D:D, ROW())))</f>
        <v/>
      </c>
      <c r="F663" s="1" t="inlineStr">
        <is>
          <t>Dynamic Programming</t>
        </is>
      </c>
      <c r="G663" s="1" t="inlineStr">
        <is>
          <t>Medium</t>
        </is>
      </c>
      <c r="H663" s="1" t="n">
        <v>197970</v>
      </c>
      <c r="I663" s="1" t="n">
        <v>321069</v>
      </c>
      <c r="J663" s="9" t="n">
        <v>0.617</v>
      </c>
      <c r="K663" s="1" t="inlineStr">
        <is>
          <t>Yes</t>
        </is>
      </c>
      <c r="L663" s="1" t="inlineStr">
        <is>
          <t>Yes</t>
        </is>
      </c>
      <c r="M663" s="1" t="inlineStr">
        <is>
          <t>No</t>
        </is>
      </c>
      <c r="N663" s="1" t="inlineStr">
        <is>
          <t>Algorithms</t>
        </is>
      </c>
      <c r="O6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64" ht="15.75" customHeight="1" s="12">
      <c r="A664" s="1" t="n">
        <v>2390</v>
      </c>
      <c r="B664" s="3">
        <f>HYPERLINK("https://leetcode.com/problems/removing-stars-from-a-string/", "Removing Stars From a String")</f>
        <v/>
      </c>
      <c r="C664" s="1" t="n">
        <v>3187</v>
      </c>
      <c r="D664" s="1" t="n">
        <v>232</v>
      </c>
      <c r="E664" s="4">
        <f>IF(INDEX(C:C, ROW())+INDEX(D:D, ROW())=0, 0, INDEX(C:C, ROW())/(INDEX(C:C, ROW())+INDEX(D:D, ROW())))</f>
        <v/>
      </c>
      <c r="F664" s="1" t="inlineStr">
        <is>
          <t>String, Stack, Simulation</t>
        </is>
      </c>
      <c r="G664" s="1" t="inlineStr">
        <is>
          <t>Medium</t>
        </is>
      </c>
      <c r="H664" s="1" t="n">
        <v>588737</v>
      </c>
      <c r="I664" s="1" t="n">
        <v>747210</v>
      </c>
      <c r="J664" s="9" t="n">
        <v>0.788</v>
      </c>
      <c r="K664" s="1" t="inlineStr">
        <is>
          <t>Yes</t>
        </is>
      </c>
      <c r="L664" s="1" t="inlineStr">
        <is>
          <t>Yes</t>
        </is>
      </c>
      <c r="M664" s="1" t="inlineStr">
        <is>
          <t>No</t>
        </is>
      </c>
      <c r="N664" s="1" t="inlineStr">
        <is>
          <t>Algorithms</t>
        </is>
      </c>
      <c r="O6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65" ht="15.75" customHeight="1" s="12">
      <c r="A665" s="1" t="n">
        <v>2300</v>
      </c>
      <c r="B665" s="3">
        <f>HYPERLINK("https://leetcode.com/problems/successful-pairs-of-spells-and-potions/", "Successful Pairs of Spells and Potions")</f>
        <v/>
      </c>
      <c r="C665" s="1" t="n">
        <v>3180</v>
      </c>
      <c r="D665" s="1" t="n">
        <v>105</v>
      </c>
      <c r="E665" s="4">
        <f>IF(INDEX(C:C, ROW())+INDEX(D:D, ROW())=0, 0, INDEX(C:C, ROW())/(INDEX(C:C, ROW())+INDEX(D:D, ROW())))</f>
        <v/>
      </c>
      <c r="F665" s="1" t="inlineStr">
        <is>
          <t>Array, Two Pointers, Binary Search, Sorting</t>
        </is>
      </c>
      <c r="G665" s="1" t="inlineStr">
        <is>
          <t>Medium</t>
        </is>
      </c>
      <c r="H665" s="1" t="n">
        <v>370884</v>
      </c>
      <c r="I665" s="1" t="n">
        <v>751386</v>
      </c>
      <c r="J665" s="9" t="n">
        <v>0.494</v>
      </c>
      <c r="K665" s="1" t="inlineStr">
        <is>
          <t>Yes</t>
        </is>
      </c>
      <c r="L665" s="1" t="inlineStr">
        <is>
          <t>Yes</t>
        </is>
      </c>
      <c r="M665" s="1" t="inlineStr">
        <is>
          <t>No</t>
        </is>
      </c>
      <c r="N665" s="1" t="inlineStr">
        <is>
          <t>Algorithms</t>
        </is>
      </c>
      <c r="O6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66" ht="15.75" customHeight="1" s="12">
      <c r="A666" s="1" t="n">
        <v>1305</v>
      </c>
      <c r="B666" s="3">
        <f>HYPERLINK("https://leetcode.com/problems/all-elements-in-two-binary-search-trees/", "All Elements in Two Binary Search Trees")</f>
        <v/>
      </c>
      <c r="C666" s="1" t="n">
        <v>3175</v>
      </c>
      <c r="D666" s="1" t="n">
        <v>98</v>
      </c>
      <c r="E666" s="4">
        <f>IF(INDEX(C:C, ROW())+INDEX(D:D, ROW())=0, 0, INDEX(C:C, ROW())/(INDEX(C:C, ROW())+INDEX(D:D, ROW())))</f>
        <v/>
      </c>
      <c r="F666" s="1" t="inlineStr">
        <is>
          <t>Tree, Depth-First Search, Binary Search Tree, Sorting, Binary Tree</t>
        </is>
      </c>
      <c r="G666" s="1" t="inlineStr">
        <is>
          <t>Medium</t>
        </is>
      </c>
      <c r="H666" s="1" t="n">
        <v>256459</v>
      </c>
      <c r="I666" s="1" t="n">
        <v>319819</v>
      </c>
      <c r="J666" s="9" t="n">
        <v>0.802</v>
      </c>
      <c r="K666" s="1" t="inlineStr">
        <is>
          <t>Yes</t>
        </is>
      </c>
      <c r="L666" s="1" t="inlineStr">
        <is>
          <t>Yes</t>
        </is>
      </c>
      <c r="M666" s="1" t="inlineStr">
        <is>
          <t>No</t>
        </is>
      </c>
      <c r="N666" s="1" t="inlineStr">
        <is>
          <t>Algorithms</t>
        </is>
      </c>
      <c r="O6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67" ht="15.75" customHeight="1" s="12">
      <c r="A667" s="1" t="n">
        <v>1706</v>
      </c>
      <c r="B667" s="3">
        <f>HYPERLINK("https://leetcode.com/problems/where-will-the-ball-fall/", "Where Will the Ball Fall")</f>
        <v/>
      </c>
      <c r="C667" s="1" t="n">
        <v>3172</v>
      </c>
      <c r="D667" s="1" t="n">
        <v>181</v>
      </c>
      <c r="E667" s="4">
        <f>IF(INDEX(C:C, ROW())+INDEX(D:D, ROW())=0, 0, INDEX(C:C, ROW())/(INDEX(C:C, ROW())+INDEX(D:D, ROW())))</f>
        <v/>
      </c>
      <c r="F667" s="1" t="inlineStr">
        <is>
          <t>Array, Matrix, Simulation</t>
        </is>
      </c>
      <c r="G667" s="1" t="inlineStr">
        <is>
          <t>Medium</t>
        </is>
      </c>
      <c r="H667" s="1" t="n">
        <v>148301</v>
      </c>
      <c r="I667" s="1" t="n">
        <v>205328</v>
      </c>
      <c r="J667" s="9" t="n">
        <v>0.722</v>
      </c>
      <c r="K667" s="1" t="inlineStr">
        <is>
          <t>Yes</t>
        </is>
      </c>
      <c r="L667" s="1" t="inlineStr">
        <is>
          <t>Yes</t>
        </is>
      </c>
      <c r="M667" s="1" t="inlineStr">
        <is>
          <t>No</t>
        </is>
      </c>
      <c r="N667" s="1" t="inlineStr">
        <is>
          <t>Algorithms</t>
        </is>
      </c>
      <c r="O6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68" ht="15.75" customHeight="1" s="12">
      <c r="A668" s="1" t="n">
        <v>1552</v>
      </c>
      <c r="B668" s="3">
        <f>HYPERLINK("https://leetcode.com/problems/magnetic-force-between-two-balls/", "Magnetic Force Between Two Balls")</f>
        <v/>
      </c>
      <c r="C668" s="1" t="n">
        <v>3160</v>
      </c>
      <c r="D668" s="1" t="n">
        <v>270</v>
      </c>
      <c r="E668" s="4">
        <f>IF(INDEX(C:C, ROW())+INDEX(D:D, ROW())=0, 0, INDEX(C:C, ROW())/(INDEX(C:C, ROW())+INDEX(D:D, ROW())))</f>
        <v/>
      </c>
      <c r="F668" s="1" t="inlineStr">
        <is>
          <t>Array, Binary Search, Sorting</t>
        </is>
      </c>
      <c r="G668" s="1" t="inlineStr">
        <is>
          <t>Medium</t>
        </is>
      </c>
      <c r="H668" s="1" t="n">
        <v>210958</v>
      </c>
      <c r="I668" s="1" t="n">
        <v>294007</v>
      </c>
      <c r="J668" s="9" t="n">
        <v>0.718</v>
      </c>
      <c r="K668" s="1" t="inlineStr">
        <is>
          <t>Yes</t>
        </is>
      </c>
      <c r="L668" s="1" t="inlineStr">
        <is>
          <t>Yes</t>
        </is>
      </c>
      <c r="M668" s="1" t="inlineStr">
        <is>
          <t>No</t>
        </is>
      </c>
      <c r="N668" s="1" t="inlineStr">
        <is>
          <t>Algorithms</t>
        </is>
      </c>
      <c r="O6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69" ht="15.75" customHeight="1" s="12">
      <c r="A669" s="1" t="n">
        <v>1282</v>
      </c>
      <c r="B669" s="3">
        <f>HYPERLINK("https://leetcode.com/problems/group-the-people-given-the-group-size-they-belong-to/", "Group the People Given the Group Size They Belong To")</f>
        <v/>
      </c>
      <c r="C669" s="1" t="n">
        <v>3142</v>
      </c>
      <c r="D669" s="1" t="n">
        <v>747</v>
      </c>
      <c r="E669" s="4">
        <f>IF(INDEX(C:C, ROW())+INDEX(D:D, ROW())=0, 0, INDEX(C:C, ROW())/(INDEX(C:C, ROW())+INDEX(D:D, ROW())))</f>
        <v/>
      </c>
      <c r="F669" s="1" t="inlineStr">
        <is>
          <t>Array, Hash Table, Greedy</t>
        </is>
      </c>
      <c r="G669" s="1" t="inlineStr">
        <is>
          <t>Medium</t>
        </is>
      </c>
      <c r="H669" s="1" t="n">
        <v>245602</v>
      </c>
      <c r="I669" s="1" t="n">
        <v>280702</v>
      </c>
      <c r="J669" s="9" t="n">
        <v>0.875</v>
      </c>
      <c r="K669" s="1" t="inlineStr">
        <is>
          <t>Yes</t>
        </is>
      </c>
      <c r="L669" s="1" t="inlineStr">
        <is>
          <t>Yes</t>
        </is>
      </c>
      <c r="M669" s="1" t="inlineStr">
        <is>
          <t>No</t>
        </is>
      </c>
      <c r="N669" s="1" t="inlineStr">
        <is>
          <t>Algorithms</t>
        </is>
      </c>
      <c r="O6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70" ht="15.75" customHeight="1" s="12">
      <c r="A670" s="1" t="n">
        <v>165</v>
      </c>
      <c r="B670" s="3">
        <f>HYPERLINK("https://leetcode.com/problems/compare-version-numbers/", "Compare Version Numbers")</f>
        <v/>
      </c>
      <c r="C670" s="1" t="n">
        <v>3141</v>
      </c>
      <c r="D670" s="1" t="n">
        <v>2795</v>
      </c>
      <c r="E670" s="4">
        <f>IF(INDEX(C:C, ROW())+INDEX(D:D, ROW())=0, 0, INDEX(C:C, ROW())/(INDEX(C:C, ROW())+INDEX(D:D, ROW())))</f>
        <v/>
      </c>
      <c r="F670" s="1" t="inlineStr">
        <is>
          <t>Two Pointers, String</t>
        </is>
      </c>
      <c r="G670" s="1" t="inlineStr">
        <is>
          <t>Medium</t>
        </is>
      </c>
      <c r="H670" s="1" t="n">
        <v>686837</v>
      </c>
      <c r="I670" s="1" t="n">
        <v>1494299</v>
      </c>
      <c r="J670" s="9" t="n">
        <v>0.46</v>
      </c>
      <c r="K670" s="1" t="inlineStr">
        <is>
          <t>Yes</t>
        </is>
      </c>
      <c r="L670" s="1" t="inlineStr">
        <is>
          <t>Yes</t>
        </is>
      </c>
      <c r="M670" s="1" t="inlineStr">
        <is>
          <t>No</t>
        </is>
      </c>
      <c r="N670" s="1" t="inlineStr">
        <is>
          <t>Algorithms</t>
        </is>
      </c>
      <c r="O6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71" ht="15.75" customHeight="1" s="12">
      <c r="A671" s="1" t="n">
        <v>1662</v>
      </c>
      <c r="B671" s="3">
        <f>HYPERLINK("https://leetcode.com/problems/check-if-two-string-arrays-are-equivalent/", "Check If Two String Arrays are Equivalent")</f>
        <v/>
      </c>
      <c r="C671" s="1" t="n">
        <v>3138</v>
      </c>
      <c r="D671" s="1" t="n">
        <v>205</v>
      </c>
      <c r="E671" s="4">
        <f>IF(INDEX(C:C, ROW())+INDEX(D:D, ROW())=0, 0, INDEX(C:C, ROW())/(INDEX(C:C, ROW())+INDEX(D:D, ROW())))</f>
        <v/>
      </c>
      <c r="F671" s="1" t="inlineStr">
        <is>
          <t>Array, String</t>
        </is>
      </c>
      <c r="G671" s="1" t="inlineStr">
        <is>
          <t>Easy</t>
        </is>
      </c>
      <c r="H671" s="1" t="n">
        <v>597079</v>
      </c>
      <c r="I671" s="1" t="n">
        <v>694289</v>
      </c>
      <c r="J671" s="9" t="n">
        <v>0.86</v>
      </c>
      <c r="K671" s="1" t="inlineStr">
        <is>
          <t>Yes</t>
        </is>
      </c>
      <c r="L671" s="1" t="inlineStr">
        <is>
          <t>Yes</t>
        </is>
      </c>
      <c r="M671" s="1" t="inlineStr">
        <is>
          <t>No</t>
        </is>
      </c>
      <c r="N671" s="1" t="inlineStr">
        <is>
          <t>Algorithms</t>
        </is>
      </c>
      <c r="O6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72" ht="15.75" customHeight="1" s="12">
      <c r="A672" s="1" t="n">
        <v>1079</v>
      </c>
      <c r="B672" s="3">
        <f>HYPERLINK("https://leetcode.com/problems/letter-tile-possibilities/", "Letter Tile Possibilities")</f>
        <v/>
      </c>
      <c r="C672" s="1" t="n">
        <v>3132</v>
      </c>
      <c r="D672" s="1" t="n">
        <v>88</v>
      </c>
      <c r="E672" s="4">
        <f>IF(INDEX(C:C, ROW())+INDEX(D:D, ROW())=0, 0, INDEX(C:C, ROW())/(INDEX(C:C, ROW())+INDEX(D:D, ROW())))</f>
        <v/>
      </c>
      <c r="F672" s="1" t="inlineStr">
        <is>
          <t>Hash Table, String, Backtracking, Counting</t>
        </is>
      </c>
      <c r="G672" s="1" t="inlineStr">
        <is>
          <t>Medium</t>
        </is>
      </c>
      <c r="H672" s="1" t="n">
        <v>251858</v>
      </c>
      <c r="I672" s="1" t="n">
        <v>301469</v>
      </c>
      <c r="J672" s="9" t="n">
        <v>0.835</v>
      </c>
      <c r="K672" s="1" t="inlineStr">
        <is>
          <t>Yes</t>
        </is>
      </c>
      <c r="L672" s="1" t="inlineStr">
        <is>
          <t>Yes</t>
        </is>
      </c>
      <c r="M672" s="1" t="inlineStr">
        <is>
          <t>No</t>
        </is>
      </c>
      <c r="N672" s="1" t="inlineStr">
        <is>
          <t>Algorithms</t>
        </is>
      </c>
      <c r="O6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73" ht="15.75" customHeight="1" s="12">
      <c r="A673" s="1" t="n">
        <v>2542</v>
      </c>
      <c r="B673" s="3">
        <f>HYPERLINK("https://leetcode.com/problems/maximum-subsequence-score/", "Maximum Subsequence Score")</f>
        <v/>
      </c>
      <c r="C673" s="1" t="n">
        <v>3121</v>
      </c>
      <c r="D673" s="1" t="n">
        <v>209</v>
      </c>
      <c r="E673" s="4">
        <f>IF(INDEX(C:C, ROW())+INDEX(D:D, ROW())=0, 0, INDEX(C:C, ROW())/(INDEX(C:C, ROW())+INDEX(D:D, ROW())))</f>
        <v/>
      </c>
      <c r="F673" s="1" t="inlineStr">
        <is>
          <t>Array, Greedy, Sorting, Heap (Priority Queue)</t>
        </is>
      </c>
      <c r="G673" s="1" t="inlineStr">
        <is>
          <t>Medium</t>
        </is>
      </c>
      <c r="H673" s="1" t="n">
        <v>146351</v>
      </c>
      <c r="I673" s="1" t="n">
        <v>268638</v>
      </c>
      <c r="J673" s="9" t="n">
        <v>0.545</v>
      </c>
      <c r="K673" s="1" t="inlineStr">
        <is>
          <t>Yes</t>
        </is>
      </c>
      <c r="L673" s="1" t="inlineStr">
        <is>
          <t>Yes</t>
        </is>
      </c>
      <c r="M673" s="1" t="inlineStr">
        <is>
          <t>No</t>
        </is>
      </c>
      <c r="N673" s="1" t="inlineStr">
        <is>
          <t>Algorithms</t>
        </is>
      </c>
      <c r="O6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74" ht="15.75" customHeight="1" s="12">
      <c r="A674" s="1" t="n">
        <v>386</v>
      </c>
      <c r="B674" s="3">
        <f>HYPERLINK("https://leetcode.com/problems/lexicographical-numbers/", "Lexicographical Numbers")</f>
        <v/>
      </c>
      <c r="C674" s="1" t="n">
        <v>3115</v>
      </c>
      <c r="D674" s="1" t="n">
        <v>214</v>
      </c>
      <c r="E674" s="4">
        <f>IF(INDEX(C:C, ROW())+INDEX(D:D, ROW())=0, 0, INDEX(C:C, ROW())/(INDEX(C:C, ROW())+INDEX(D:D, ROW())))</f>
        <v/>
      </c>
      <c r="F674" s="1" t="inlineStr">
        <is>
          <t>Depth-First Search, Trie</t>
        </is>
      </c>
      <c r="G674" s="1" t="inlineStr">
        <is>
          <t>Medium</t>
        </is>
      </c>
      <c r="H674" s="1" t="n">
        <v>378903</v>
      </c>
      <c r="I674" s="1" t="n">
        <v>497492</v>
      </c>
      <c r="J674" s="9" t="n">
        <v>0.762</v>
      </c>
      <c r="K674" s="1" t="inlineStr">
        <is>
          <t>Yes</t>
        </is>
      </c>
      <c r="L674" s="1" t="inlineStr">
        <is>
          <t>Yes</t>
        </is>
      </c>
      <c r="M674" s="1" t="inlineStr">
        <is>
          <t>No</t>
        </is>
      </c>
      <c r="N674" s="1" t="inlineStr">
        <is>
          <t>Algorithms</t>
        </is>
      </c>
      <c r="O6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75" ht="15.75" customHeight="1" s="12">
      <c r="A675" s="1" t="n">
        <v>941</v>
      </c>
      <c r="B675" s="3">
        <f>HYPERLINK("https://leetcode.com/problems/valid-mountain-array/", "Valid Mountain Array")</f>
        <v/>
      </c>
      <c r="C675" s="1" t="n">
        <v>3110</v>
      </c>
      <c r="D675" s="1" t="n">
        <v>202</v>
      </c>
      <c r="E675" s="4">
        <f>IF(INDEX(C:C, ROW())+INDEX(D:D, ROW())=0, 0, INDEX(C:C, ROW())/(INDEX(C:C, ROW())+INDEX(D:D, ROW())))</f>
        <v/>
      </c>
      <c r="F675" s="1" t="inlineStr">
        <is>
          <t>Array</t>
        </is>
      </c>
      <c r="G675" s="1" t="inlineStr">
        <is>
          <t>Easy</t>
        </is>
      </c>
      <c r="H675" s="1" t="n">
        <v>540237</v>
      </c>
      <c r="I675" s="1" t="n">
        <v>1551015</v>
      </c>
      <c r="J675" s="9" t="n">
        <v>0.348</v>
      </c>
      <c r="K675" s="1" t="inlineStr">
        <is>
          <t>Yes</t>
        </is>
      </c>
      <c r="L675" s="1" t="inlineStr">
        <is>
          <t>Yes</t>
        </is>
      </c>
      <c r="M675" s="1" t="inlineStr">
        <is>
          <t>No</t>
        </is>
      </c>
      <c r="N675" s="1" t="inlineStr">
        <is>
          <t>Algorithms</t>
        </is>
      </c>
      <c r="O6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76" ht="15.75" customHeight="1" s="12">
      <c r="A676" s="1" t="n">
        <v>1769</v>
      </c>
      <c r="B676" s="3">
        <f>HYPERLINK("https://leetcode.com/problems/minimum-number-of-operations-to-move-all-balls-to-each-box/", "Minimum Number of Operations to Move All Balls to Each Box")</f>
        <v/>
      </c>
      <c r="C676" s="1" t="n">
        <v>3104</v>
      </c>
      <c r="D676" s="1" t="n">
        <v>136</v>
      </c>
      <c r="E676" s="4">
        <f>IF(INDEX(C:C, ROW())+INDEX(D:D, ROW())=0, 0, INDEX(C:C, ROW())/(INDEX(C:C, ROW())+INDEX(D:D, ROW())))</f>
        <v/>
      </c>
      <c r="F676" s="1" t="inlineStr">
        <is>
          <t>Array, String, Prefix Sum</t>
        </is>
      </c>
      <c r="G676" s="1" t="inlineStr">
        <is>
          <t>Medium</t>
        </is>
      </c>
      <c r="H676" s="1" t="n">
        <v>329361</v>
      </c>
      <c r="I676" s="1" t="n">
        <v>365555</v>
      </c>
      <c r="J676" s="9" t="n">
        <v>0.901</v>
      </c>
      <c r="K676" s="1" t="inlineStr">
        <is>
          <t>Yes</t>
        </is>
      </c>
      <c r="L676" s="1" t="inlineStr">
        <is>
          <t>Yes</t>
        </is>
      </c>
      <c r="M676" s="1" t="inlineStr">
        <is>
          <t>No</t>
        </is>
      </c>
      <c r="N676" s="1" t="inlineStr">
        <is>
          <t>Algorithms</t>
        </is>
      </c>
      <c r="O6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77" ht="15.75" customHeight="1" s="12">
      <c r="A677" s="1" t="n">
        <v>1523</v>
      </c>
      <c r="B677" s="3">
        <f>HYPERLINK("https://leetcode.com/problems/count-odd-numbers-in-an-interval-range/", "Count Odd Numbers in an Interval Range")</f>
        <v/>
      </c>
      <c r="C677" s="1" t="n">
        <v>3100</v>
      </c>
      <c r="D677" s="1" t="n">
        <v>179</v>
      </c>
      <c r="E677" s="4">
        <f>IF(INDEX(C:C, ROW())+INDEX(D:D, ROW())=0, 0, INDEX(C:C, ROW())/(INDEX(C:C, ROW())+INDEX(D:D, ROW())))</f>
        <v/>
      </c>
      <c r="F677" s="1" t="inlineStr">
        <is>
          <t>Math</t>
        </is>
      </c>
      <c r="G677" s="1" t="inlineStr">
        <is>
          <t>Easy</t>
        </is>
      </c>
      <c r="H677" s="1" t="n">
        <v>530959</v>
      </c>
      <c r="I677" s="1" t="n">
        <v>977454</v>
      </c>
      <c r="J677" s="9" t="n">
        <v>0.543</v>
      </c>
      <c r="K677" s="1" t="inlineStr">
        <is>
          <t>Yes</t>
        </is>
      </c>
      <c r="L677" s="1" t="inlineStr">
        <is>
          <t>Yes</t>
        </is>
      </c>
      <c r="M677" s="1" t="inlineStr">
        <is>
          <t>No</t>
        </is>
      </c>
      <c r="N677" s="1" t="inlineStr">
        <is>
          <t>Algorithms</t>
        </is>
      </c>
      <c r="O6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78" ht="15.75" customHeight="1" s="12">
      <c r="A678" s="1" t="n">
        <v>648</v>
      </c>
      <c r="B678" s="3">
        <f>HYPERLINK("https://leetcode.com/problems/replace-words/", "Replace Words")</f>
        <v/>
      </c>
      <c r="C678" s="1" t="n">
        <v>3093</v>
      </c>
      <c r="D678" s="1" t="n">
        <v>219</v>
      </c>
      <c r="E678" s="4">
        <f>IF(INDEX(C:C, ROW())+INDEX(D:D, ROW())=0, 0, INDEX(C:C, ROW())/(INDEX(C:C, ROW())+INDEX(D:D, ROW())))</f>
        <v/>
      </c>
      <c r="F678" s="1" t="inlineStr">
        <is>
          <t>Array, Hash Table, String, Trie</t>
        </is>
      </c>
      <c r="G678" s="1" t="inlineStr">
        <is>
          <t>Medium</t>
        </is>
      </c>
      <c r="H678" s="1" t="n">
        <v>313133</v>
      </c>
      <c r="I678" s="1" t="n">
        <v>456528</v>
      </c>
      <c r="J678" s="9" t="n">
        <v>0.6860000000000001</v>
      </c>
      <c r="K678" s="1" t="inlineStr">
        <is>
          <t>Yes</t>
        </is>
      </c>
      <c r="L678" s="1" t="inlineStr">
        <is>
          <t>Yes</t>
        </is>
      </c>
      <c r="M678" s="1" t="inlineStr">
        <is>
          <t>No</t>
        </is>
      </c>
      <c r="N678" s="1" t="inlineStr">
        <is>
          <t>Algorithms</t>
        </is>
      </c>
      <c r="O6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79" ht="15.75" customHeight="1" s="12">
      <c r="A679" s="1" t="n">
        <v>1996</v>
      </c>
      <c r="B679" s="3">
        <f>HYPERLINK("https://leetcode.com/problems/the-number-of-weak-characters-in-the-game/", "The Number of Weak Characters in the Game")</f>
        <v/>
      </c>
      <c r="C679" s="1" t="n">
        <v>3092</v>
      </c>
      <c r="D679" s="1" t="n">
        <v>99</v>
      </c>
      <c r="E679" s="4">
        <f>IF(INDEX(C:C, ROW())+INDEX(D:D, ROW())=0, 0, INDEX(C:C, ROW())/(INDEX(C:C, ROW())+INDEX(D:D, ROW())))</f>
        <v/>
      </c>
      <c r="F679" s="1" t="inlineStr">
        <is>
          <t>Array, Stack, Greedy, Sorting, Monotonic Stack</t>
        </is>
      </c>
      <c r="G679" s="1" t="inlineStr">
        <is>
          <t>Medium</t>
        </is>
      </c>
      <c r="H679" s="1" t="n">
        <v>116575</v>
      </c>
      <c r="I679" s="1" t="n">
        <v>262383</v>
      </c>
      <c r="J679" s="9" t="n">
        <v>0.444</v>
      </c>
      <c r="K679" s="1" t="inlineStr">
        <is>
          <t>Yes</t>
        </is>
      </c>
      <c r="L679" s="1" t="inlineStr">
        <is>
          <t>Yes</t>
        </is>
      </c>
      <c r="M679" s="1" t="inlineStr">
        <is>
          <t>No</t>
        </is>
      </c>
      <c r="N679" s="1" t="inlineStr">
        <is>
          <t>Algorithms</t>
        </is>
      </c>
      <c r="O6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80" ht="15.75" customHeight="1" s="12">
      <c r="A680" s="1" t="n">
        <v>1359</v>
      </c>
      <c r="B680" s="3">
        <f>HYPERLINK("https://leetcode.com/problems/count-all-valid-pickup-and-delivery-options/", "Count All Valid Pickup and Delivery Options")</f>
        <v/>
      </c>
      <c r="C680" s="1" t="n">
        <v>3087</v>
      </c>
      <c r="D680" s="1" t="n">
        <v>233</v>
      </c>
      <c r="E680" s="4">
        <f>IF(INDEX(C:C, ROW())+INDEX(D:D, ROW())=0, 0, INDEX(C:C, ROW())/(INDEX(C:C, ROW())+INDEX(D:D, ROW())))</f>
        <v/>
      </c>
      <c r="F680" s="1" t="inlineStr">
        <is>
          <t>Math, Dynamic Programming, Combinatorics</t>
        </is>
      </c>
      <c r="G680" s="1" t="inlineStr">
        <is>
          <t>Hard</t>
        </is>
      </c>
      <c r="H680" s="1" t="n">
        <v>133311</v>
      </c>
      <c r="I680" s="1" t="n">
        <v>205488</v>
      </c>
      <c r="J680" s="9" t="n">
        <v>0.649</v>
      </c>
      <c r="K680" s="1" t="inlineStr">
        <is>
          <t>Yes</t>
        </is>
      </c>
      <c r="L680" s="1" t="inlineStr">
        <is>
          <t>Yes</t>
        </is>
      </c>
      <c r="M680" s="1" t="inlineStr">
        <is>
          <t>No</t>
        </is>
      </c>
      <c r="N680" s="1" t="inlineStr">
        <is>
          <t>Algorithms</t>
        </is>
      </c>
      <c r="O6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81" ht="15.75" customHeight="1" s="12">
      <c r="A681" s="1" t="n">
        <v>1675</v>
      </c>
      <c r="B681" s="3">
        <f>HYPERLINK("https://leetcode.com/problems/minimize-deviation-in-array/", "Minimize Deviation in Array")</f>
        <v/>
      </c>
      <c r="C681" s="1" t="n">
        <v>3085</v>
      </c>
      <c r="D681" s="1" t="n">
        <v>175</v>
      </c>
      <c r="E681" s="4">
        <f>IF(INDEX(C:C, ROW())+INDEX(D:D, ROW())=0, 0, INDEX(C:C, ROW())/(INDEX(C:C, ROW())+INDEX(D:D, ROW())))</f>
        <v/>
      </c>
      <c r="F681" s="1" t="inlineStr">
        <is>
          <t>Array, Greedy, Heap (Priority Queue), Ordered Set</t>
        </is>
      </c>
      <c r="G681" s="1" t="inlineStr">
        <is>
          <t>Hard</t>
        </is>
      </c>
      <c r="H681" s="1" t="n">
        <v>100130</v>
      </c>
      <c r="I681" s="1" t="n">
        <v>185533</v>
      </c>
      <c r="J681" s="9" t="n">
        <v>0.54</v>
      </c>
      <c r="K681" s="1" t="inlineStr">
        <is>
          <t>Yes</t>
        </is>
      </c>
      <c r="L681" s="1" t="inlineStr">
        <is>
          <t>Yes</t>
        </is>
      </c>
      <c r="M681" s="1" t="inlineStr">
        <is>
          <t>No</t>
        </is>
      </c>
      <c r="N681" s="1" t="inlineStr">
        <is>
          <t>Algorithms</t>
        </is>
      </c>
      <c r="O6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82" ht="15.75" customHeight="1" s="12">
      <c r="A682" s="1" t="n">
        <v>2187</v>
      </c>
      <c r="B682" s="3">
        <f>HYPERLINK("https://leetcode.com/problems/minimum-time-to-complete-trips/", "Minimum Time to Complete Trips")</f>
        <v/>
      </c>
      <c r="C682" s="1" t="n">
        <v>3064</v>
      </c>
      <c r="D682" s="1" t="n">
        <v>195</v>
      </c>
      <c r="E682" s="4">
        <f>IF(INDEX(C:C, ROW())+INDEX(D:D, ROW())=0, 0, INDEX(C:C, ROW())/(INDEX(C:C, ROW())+INDEX(D:D, ROW())))</f>
        <v/>
      </c>
      <c r="F682" s="1" t="inlineStr">
        <is>
          <t>Array, Binary Search</t>
        </is>
      </c>
      <c r="G682" s="1" t="inlineStr">
        <is>
          <t>Medium</t>
        </is>
      </c>
      <c r="H682" s="1" t="n">
        <v>148549</v>
      </c>
      <c r="I682" s="1" t="n">
        <v>376131</v>
      </c>
      <c r="J682" s="9" t="n">
        <v>0.395</v>
      </c>
      <c r="K682" s="1" t="inlineStr">
        <is>
          <t>Yes</t>
        </is>
      </c>
      <c r="L682" s="1" t="inlineStr">
        <is>
          <t>Yes</t>
        </is>
      </c>
      <c r="M682" s="1" t="inlineStr">
        <is>
          <t>No</t>
        </is>
      </c>
      <c r="N682" s="1" t="inlineStr">
        <is>
          <t>Algorithms</t>
        </is>
      </c>
      <c r="O6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83" ht="15.75" customHeight="1" s="12">
      <c r="A683" s="1" t="n">
        <v>2024</v>
      </c>
      <c r="B683" s="3">
        <f>HYPERLINK("https://leetcode.com/problems/maximize-the-confusion-of-an-exam/", "Maximize the Confusion of an Exam")</f>
        <v/>
      </c>
      <c r="C683" s="1" t="n">
        <v>3062</v>
      </c>
      <c r="D683" s="1" t="n">
        <v>54</v>
      </c>
      <c r="E683" s="4">
        <f>IF(INDEX(C:C, ROW())+INDEX(D:D, ROW())=0, 0, INDEX(C:C, ROW())/(INDEX(C:C, ROW())+INDEX(D:D, ROW())))</f>
        <v/>
      </c>
      <c r="F683" s="1" t="inlineStr">
        <is>
          <t>String, Binary Search, Sliding Window, Prefix Sum</t>
        </is>
      </c>
      <c r="G683" s="1" t="inlineStr">
        <is>
          <t>Medium</t>
        </is>
      </c>
      <c r="H683" s="1" t="n">
        <v>139300</v>
      </c>
      <c r="I683" s="1" t="n">
        <v>200368</v>
      </c>
      <c r="J683" s="9" t="n">
        <v>0.695</v>
      </c>
      <c r="K683" s="1" t="inlineStr">
        <is>
          <t>Yes</t>
        </is>
      </c>
      <c r="L683" s="1" t="inlineStr">
        <is>
          <t>Yes</t>
        </is>
      </c>
      <c r="M683" s="1" t="inlineStr">
        <is>
          <t>No</t>
        </is>
      </c>
      <c r="N683" s="1" t="inlineStr">
        <is>
          <t>Algorithms</t>
        </is>
      </c>
      <c r="O6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84" ht="15.75" customHeight="1" s="12">
      <c r="A684" s="1" t="n">
        <v>1626</v>
      </c>
      <c r="B684" s="3">
        <f>HYPERLINK("https://leetcode.com/problems/best-team-with-no-conflicts/", "Best Team With No Conflicts")</f>
        <v/>
      </c>
      <c r="C684" s="1" t="n">
        <v>3038</v>
      </c>
      <c r="D684" s="1" t="n">
        <v>97</v>
      </c>
      <c r="E684" s="4">
        <f>IF(INDEX(C:C, ROW())+INDEX(D:D, ROW())=0, 0, INDEX(C:C, ROW())/(INDEX(C:C, ROW())+INDEX(D:D, ROW())))</f>
        <v/>
      </c>
      <c r="F684" s="1" t="inlineStr">
        <is>
          <t>Array, Dynamic Programming, Sorting</t>
        </is>
      </c>
      <c r="G684" s="1" t="inlineStr">
        <is>
          <t>Medium</t>
        </is>
      </c>
      <c r="H684" s="1" t="n">
        <v>97042</v>
      </c>
      <c r="I684" s="1" t="n">
        <v>191977</v>
      </c>
      <c r="J684" s="9" t="n">
        <v>0.505</v>
      </c>
      <c r="K684" s="1" t="inlineStr">
        <is>
          <t>Yes</t>
        </is>
      </c>
      <c r="L684" s="1" t="inlineStr">
        <is>
          <t>Yes</t>
        </is>
      </c>
      <c r="M684" s="1" t="inlineStr">
        <is>
          <t>No</t>
        </is>
      </c>
      <c r="N684" s="1" t="inlineStr">
        <is>
          <t>Algorithms</t>
        </is>
      </c>
      <c r="O6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85" ht="15.75" customHeight="1" s="12">
      <c r="A685" s="1" t="n">
        <v>857</v>
      </c>
      <c r="B685" s="3">
        <f>HYPERLINK("https://leetcode.com/problems/minimum-cost-to-hire-k-workers/", "Minimum Cost to Hire K Workers")</f>
        <v/>
      </c>
      <c r="C685" s="1" t="n">
        <v>3037</v>
      </c>
      <c r="D685" s="1" t="n">
        <v>405</v>
      </c>
      <c r="E685" s="4">
        <f>IF(INDEX(C:C, ROW())+INDEX(D:D, ROW())=0, 0, INDEX(C:C, ROW())/(INDEX(C:C, ROW())+INDEX(D:D, ROW())))</f>
        <v/>
      </c>
      <c r="F685" s="1" t="inlineStr">
        <is>
          <t>Array, Greedy, Sorting, Heap (Priority Queue)</t>
        </is>
      </c>
      <c r="G685" s="1" t="inlineStr">
        <is>
          <t>Hard</t>
        </is>
      </c>
      <c r="H685" s="1" t="n">
        <v>156786</v>
      </c>
      <c r="I685" s="1" t="n">
        <v>246540</v>
      </c>
      <c r="J685" s="9" t="n">
        <v>0.636</v>
      </c>
      <c r="K685" s="1" t="inlineStr">
        <is>
          <t>Yes</t>
        </is>
      </c>
      <c r="L685" s="1" t="inlineStr">
        <is>
          <t>Yes</t>
        </is>
      </c>
      <c r="M685" s="1" t="inlineStr">
        <is>
          <t>No</t>
        </is>
      </c>
      <c r="N685" s="1" t="inlineStr">
        <is>
          <t>Algorithms</t>
        </is>
      </c>
      <c r="O6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86" ht="15.75" customHeight="1" s="12">
      <c r="A686" s="1" t="n">
        <v>181</v>
      </c>
      <c r="B686" s="3">
        <f>HYPERLINK("https://leetcode.com/problems/employees-earning-more-than-their-managers/", "Employees Earning More Than Their Managers")</f>
        <v/>
      </c>
      <c r="C686" s="1" t="n">
        <v>3032</v>
      </c>
      <c r="D686" s="1" t="n">
        <v>293</v>
      </c>
      <c r="E686" s="4">
        <f>IF(INDEX(C:C, ROW())+INDEX(D:D, ROW())=0, 0, INDEX(C:C, ROW())/(INDEX(C:C, ROW())+INDEX(D:D, ROW())))</f>
        <v/>
      </c>
      <c r="F686" s="1" t="inlineStr">
        <is>
          <t>Database</t>
        </is>
      </c>
      <c r="G686" s="1" t="inlineStr">
        <is>
          <t>Easy</t>
        </is>
      </c>
      <c r="H686" s="1" t="n">
        <v>1045416</v>
      </c>
      <c r="I686" s="1" t="n">
        <v>1438998</v>
      </c>
      <c r="J686" s="9" t="n">
        <v>0.726</v>
      </c>
      <c r="K686" s="1" t="inlineStr">
        <is>
          <t>Yes</t>
        </is>
      </c>
      <c r="L686" s="1" t="inlineStr">
        <is>
          <t>Yes</t>
        </is>
      </c>
      <c r="M686" s="1" t="inlineStr">
        <is>
          <t>No</t>
        </is>
      </c>
      <c r="N686" s="1" t="inlineStr">
        <is>
          <t>Database</t>
        </is>
      </c>
      <c r="O6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87" ht="15.75" customHeight="1" s="12">
      <c r="A687" s="1" t="n">
        <v>1367</v>
      </c>
      <c r="B687" s="3">
        <f>HYPERLINK("https://leetcode.com/problems/linked-list-in-binary-tree/", "Linked List in Binary Tree")</f>
        <v/>
      </c>
      <c r="C687" s="1" t="n">
        <v>3014</v>
      </c>
      <c r="D687" s="1" t="n">
        <v>90</v>
      </c>
      <c r="E687" s="4">
        <f>IF(INDEX(C:C, ROW())+INDEX(D:D, ROW())=0, 0, INDEX(C:C, ROW())/(INDEX(C:C, ROW())+INDEX(D:D, ROW())))</f>
        <v/>
      </c>
      <c r="F687" s="1" t="inlineStr">
        <is>
          <t>Linked List, Tree, Depth-First Search, Binary Tree</t>
        </is>
      </c>
      <c r="G687" s="1" t="inlineStr">
        <is>
          <t>Medium</t>
        </is>
      </c>
      <c r="H687" s="1" t="n">
        <v>206353</v>
      </c>
      <c r="I687" s="1" t="n">
        <v>397515</v>
      </c>
      <c r="J687" s="9" t="n">
        <v>0.519</v>
      </c>
      <c r="K687" s="1" t="inlineStr">
        <is>
          <t>Yes</t>
        </is>
      </c>
      <c r="L687" s="1" t="inlineStr">
        <is>
          <t>Yes</t>
        </is>
      </c>
      <c r="M687" s="1" t="inlineStr">
        <is>
          <t>No</t>
        </is>
      </c>
      <c r="N687" s="1" t="inlineStr">
        <is>
          <t>Algorithms</t>
        </is>
      </c>
      <c r="O6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88" ht="15.75" customHeight="1" s="12">
      <c r="A688" s="1" t="n">
        <v>707</v>
      </c>
      <c r="B688" s="3">
        <f>HYPERLINK("https://leetcode.com/problems/design-linked-list/", "Design Linked List")</f>
        <v/>
      </c>
      <c r="C688" s="1" t="n">
        <v>3005</v>
      </c>
      <c r="D688" s="1" t="n">
        <v>1678</v>
      </c>
      <c r="E688" s="4">
        <f>IF(INDEX(C:C, ROW())+INDEX(D:D, ROW())=0, 0, INDEX(C:C, ROW())/(INDEX(C:C, ROW())+INDEX(D:D, ROW())))</f>
        <v/>
      </c>
      <c r="F688" s="1" t="inlineStr">
        <is>
          <t>Linked List, Design</t>
        </is>
      </c>
      <c r="G688" s="1" t="inlineStr">
        <is>
          <t>Medium</t>
        </is>
      </c>
      <c r="H688" s="1" t="n">
        <v>463397</v>
      </c>
      <c r="I688" s="1" t="n">
        <v>1560025</v>
      </c>
      <c r="J688" s="9" t="n">
        <v>0.297</v>
      </c>
      <c r="K688" s="1" t="inlineStr">
        <is>
          <t>Yes</t>
        </is>
      </c>
      <c r="L688" s="1" t="inlineStr">
        <is>
          <t>Yes</t>
        </is>
      </c>
      <c r="M688" s="1" t="inlineStr">
        <is>
          <t>No</t>
        </is>
      </c>
      <c r="N688" s="1" t="inlineStr">
        <is>
          <t>Algorithms</t>
        </is>
      </c>
      <c r="O6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89" ht="15.75" customHeight="1" s="12">
      <c r="A689" s="1" t="n">
        <v>845</v>
      </c>
      <c r="B689" s="3">
        <f>HYPERLINK("https://leetcode.com/problems/longest-mountain-in-array/", "Longest Mountain in Array")</f>
        <v/>
      </c>
      <c r="C689" s="1" t="n">
        <v>3003</v>
      </c>
      <c r="D689" s="1" t="n">
        <v>91</v>
      </c>
      <c r="E689" s="4">
        <f>IF(INDEX(C:C, ROW())+INDEX(D:D, ROW())=0, 0, INDEX(C:C, ROW())/(INDEX(C:C, ROW())+INDEX(D:D, ROW())))</f>
        <v/>
      </c>
      <c r="F689" s="1" t="inlineStr">
        <is>
          <t>Array, Two Pointers, Dynamic Programming, Enumeration</t>
        </is>
      </c>
      <c r="G689" s="1" t="inlineStr">
        <is>
          <t>Medium</t>
        </is>
      </c>
      <c r="H689" s="1" t="n">
        <v>187298</v>
      </c>
      <c r="I689" s="1" t="n">
        <v>449839</v>
      </c>
      <c r="J689" s="9" t="n">
        <v>0.416</v>
      </c>
      <c r="K689" s="1" t="inlineStr">
        <is>
          <t>Yes</t>
        </is>
      </c>
      <c r="L689" s="1" t="inlineStr">
        <is>
          <t>Yes</t>
        </is>
      </c>
      <c r="M689" s="1" t="inlineStr">
        <is>
          <t>No</t>
        </is>
      </c>
      <c r="N689" s="1" t="inlineStr">
        <is>
          <t>Algorithms</t>
        </is>
      </c>
      <c r="O6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90" ht="15.75" customHeight="1" s="12">
      <c r="A690" s="1" t="n">
        <v>1832</v>
      </c>
      <c r="B690" s="3">
        <f>HYPERLINK("https://leetcode.com/problems/check-if-the-sentence-is-pangram/", "Check if the Sentence Is Pangram")</f>
        <v/>
      </c>
      <c r="C690" s="1" t="n">
        <v>2996</v>
      </c>
      <c r="D690" s="1" t="n">
        <v>66</v>
      </c>
      <c r="E690" s="4">
        <f>IF(INDEX(C:C, ROW())+INDEX(D:D, ROW())=0, 0, INDEX(C:C, ROW())/(INDEX(C:C, ROW())+INDEX(D:D, ROW())))</f>
        <v/>
      </c>
      <c r="F690" s="1" t="inlineStr">
        <is>
          <t>Hash Table, String</t>
        </is>
      </c>
      <c r="G690" s="1" t="inlineStr">
        <is>
          <t>Easy</t>
        </is>
      </c>
      <c r="H690" s="1" t="n">
        <v>515119</v>
      </c>
      <c r="I690" s="1" t="n">
        <v>612683</v>
      </c>
      <c r="J690" s="9" t="n">
        <v>0.841</v>
      </c>
      <c r="K690" s="1" t="inlineStr">
        <is>
          <t>Yes</t>
        </is>
      </c>
      <c r="L690" s="1" t="inlineStr">
        <is>
          <t>Yes</t>
        </is>
      </c>
      <c r="M690" s="1" t="inlineStr">
        <is>
          <t>No</t>
        </is>
      </c>
      <c r="N690" s="1" t="inlineStr">
        <is>
          <t>Algorithms</t>
        </is>
      </c>
      <c r="O6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91" ht="15.75" customHeight="1" s="12">
      <c r="A691" s="1" t="n">
        <v>277</v>
      </c>
      <c r="B691" s="3">
        <f>HYPERLINK("https://leetcode.com/problems/find-the-celebrity/", "Find the Celebrity")</f>
        <v/>
      </c>
      <c r="C691" s="1" t="n">
        <v>2989</v>
      </c>
      <c r="D691" s="1" t="n">
        <v>319</v>
      </c>
      <c r="E691" s="4">
        <f>IF(INDEX(C:C, ROW())+INDEX(D:D, ROW())=0, 0, INDEX(C:C, ROW())/(INDEX(C:C, ROW())+INDEX(D:D, ROW())))</f>
        <v/>
      </c>
      <c r="F691" s="1" t="inlineStr">
        <is>
          <t>Two Pointers, Graph Theory, Interactive</t>
        </is>
      </c>
      <c r="G691" s="1" t="inlineStr">
        <is>
          <t>Medium</t>
        </is>
      </c>
      <c r="H691" s="1" t="n">
        <v>318512</v>
      </c>
      <c r="I691" s="1" t="n">
        <v>652703</v>
      </c>
      <c r="J691" s="9" t="n">
        <v>0.488</v>
      </c>
      <c r="K691" s="1" t="inlineStr">
        <is>
          <t>No</t>
        </is>
      </c>
      <c r="L691" s="1" t="inlineStr">
        <is>
          <t>Yes</t>
        </is>
      </c>
      <c r="M691" s="1" t="inlineStr">
        <is>
          <t>Yes</t>
        </is>
      </c>
      <c r="N691" s="1" t="inlineStr">
        <is>
          <t>Algorithms</t>
        </is>
      </c>
      <c r="O6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92" ht="15.75" customHeight="1" s="12">
      <c r="A692" s="1" t="n">
        <v>183</v>
      </c>
      <c r="B692" s="3">
        <f>HYPERLINK("https://leetcode.com/problems/customers-who-never-order/", "Customers Who Never Order")</f>
        <v/>
      </c>
      <c r="C692" s="1" t="n">
        <v>2987</v>
      </c>
      <c r="D692" s="1" t="n">
        <v>153</v>
      </c>
      <c r="E692" s="4">
        <f>IF(INDEX(C:C, ROW())+INDEX(D:D, ROW())=0, 0, INDEX(C:C, ROW())/(INDEX(C:C, ROW())+INDEX(D:D, ROW())))</f>
        <v/>
      </c>
      <c r="F692" s="1" t="inlineStr">
        <is>
          <t>Database</t>
        </is>
      </c>
      <c r="G692" s="1" t="inlineStr">
        <is>
          <t>Easy</t>
        </is>
      </c>
      <c r="H692" s="1" t="n">
        <v>1214397</v>
      </c>
      <c r="I692" s="1" t="n">
        <v>1702469</v>
      </c>
      <c r="J692" s="9" t="n">
        <v>0.713</v>
      </c>
      <c r="K692" s="1" t="inlineStr">
        <is>
          <t>Yes</t>
        </is>
      </c>
      <c r="L692" s="1" t="inlineStr">
        <is>
          <t>Yes</t>
        </is>
      </c>
      <c r="M692" s="1" t="inlineStr">
        <is>
          <t>No</t>
        </is>
      </c>
      <c r="N692" s="1" t="inlineStr">
        <is>
          <t>Database</t>
        </is>
      </c>
      <c r="O6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93" ht="15.75" customHeight="1" s="12">
      <c r="A693" s="1" t="n">
        <v>2131</v>
      </c>
      <c r="B693" s="3">
        <f>HYPERLINK("https://leetcode.com/problems/longest-palindrome-by-concatenating-two-letter-words/", "Longest Palindrome by Concatenating Two Letter Words")</f>
        <v/>
      </c>
      <c r="C693" s="1" t="n">
        <v>2947</v>
      </c>
      <c r="D693" s="1" t="n">
        <v>79</v>
      </c>
      <c r="E693" s="4">
        <f>IF(INDEX(C:C, ROW())+INDEX(D:D, ROW())=0, 0, INDEX(C:C, ROW())/(INDEX(C:C, ROW())+INDEX(D:D, ROW())))</f>
        <v/>
      </c>
      <c r="F693" s="1" t="inlineStr">
        <is>
          <t>Array, Hash Table, String, Greedy, Counting</t>
        </is>
      </c>
      <c r="G693" s="1" t="inlineStr">
        <is>
          <t>Medium</t>
        </is>
      </c>
      <c r="H693" s="1" t="n">
        <v>240947</v>
      </c>
      <c r="I693" s="1" t="n">
        <v>449795</v>
      </c>
      <c r="J693" s="9" t="n">
        <v>0.536</v>
      </c>
      <c r="K693" s="1" t="inlineStr">
        <is>
          <t>Yes</t>
        </is>
      </c>
      <c r="L693" s="1" t="inlineStr">
        <is>
          <t>Yes</t>
        </is>
      </c>
      <c r="M693" s="1" t="inlineStr">
        <is>
          <t>No</t>
        </is>
      </c>
      <c r="N693" s="1" t="inlineStr">
        <is>
          <t>Algorithms</t>
        </is>
      </c>
      <c r="O6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94" ht="15.75" customHeight="1" s="12">
      <c r="A694" s="1" t="n">
        <v>2140</v>
      </c>
      <c r="B694" s="3">
        <f>HYPERLINK("https://leetcode.com/problems/solving-questions-with-brainpower/", "Solving Questions With Brainpower")</f>
        <v/>
      </c>
      <c r="C694" s="1" t="n">
        <v>2943</v>
      </c>
      <c r="D694" s="1" t="n">
        <v>86</v>
      </c>
      <c r="E694" s="4">
        <f>IF(INDEX(C:C, ROW())+INDEX(D:D, ROW())=0, 0, INDEX(C:C, ROW())/(INDEX(C:C, ROW())+INDEX(D:D, ROW())))</f>
        <v/>
      </c>
      <c r="F694" s="1" t="inlineStr">
        <is>
          <t>Array, Dynamic Programming</t>
        </is>
      </c>
      <c r="G694" s="1" t="inlineStr">
        <is>
          <t>Medium</t>
        </is>
      </c>
      <c r="H694" s="1" t="n">
        <v>252456</v>
      </c>
      <c r="I694" s="1" t="n">
        <v>419156</v>
      </c>
      <c r="J694" s="9" t="n">
        <v>0.602</v>
      </c>
      <c r="K694" s="1" t="inlineStr">
        <is>
          <t>Yes</t>
        </is>
      </c>
      <c r="L694" s="1" t="inlineStr">
        <is>
          <t>Yes</t>
        </is>
      </c>
      <c r="M694" s="1" t="inlineStr">
        <is>
          <t>No</t>
        </is>
      </c>
      <c r="N694" s="1" t="inlineStr">
        <is>
          <t>Algorithms</t>
        </is>
      </c>
      <c r="O6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95" ht="15.75" customHeight="1" s="12">
      <c r="A695" s="1" t="n">
        <v>801</v>
      </c>
      <c r="B695" s="3">
        <f>HYPERLINK("https://leetcode.com/problems/minimum-swaps-to-make-sequences-increasing/", "Minimum Swaps To Make Sequences Increasing")</f>
        <v/>
      </c>
      <c r="C695" s="1" t="n">
        <v>2937</v>
      </c>
      <c r="D695" s="1" t="n">
        <v>138</v>
      </c>
      <c r="E695" s="4">
        <f>IF(INDEX(C:C, ROW())+INDEX(D:D, ROW())=0, 0, INDEX(C:C, ROW())/(INDEX(C:C, ROW())+INDEX(D:D, ROW())))</f>
        <v/>
      </c>
      <c r="F695" s="1" t="inlineStr">
        <is>
          <t>Array, Dynamic Programming</t>
        </is>
      </c>
      <c r="G695" s="1" t="inlineStr">
        <is>
          <t>Hard</t>
        </is>
      </c>
      <c r="H695" s="1" t="n">
        <v>96123</v>
      </c>
      <c r="I695" s="1" t="n">
        <v>233102</v>
      </c>
      <c r="J695" s="9" t="n">
        <v>0.412</v>
      </c>
      <c r="K695" s="1" t="inlineStr">
        <is>
          <t>Yes</t>
        </is>
      </c>
      <c r="L695" s="1" t="inlineStr">
        <is>
          <t>Yes</t>
        </is>
      </c>
      <c r="M695" s="1" t="inlineStr">
        <is>
          <t>No</t>
        </is>
      </c>
      <c r="N695" s="1" t="inlineStr">
        <is>
          <t>Algorithms</t>
        </is>
      </c>
      <c r="O6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96" ht="15.75" customHeight="1" s="12">
      <c r="A696" s="1" t="n">
        <v>1190</v>
      </c>
      <c r="B696" s="3">
        <f>HYPERLINK("https://leetcode.com/problems/reverse-substrings-between-each-pair-of-parentheses/", "Reverse Substrings Between Each Pair of Parentheses")</f>
        <v/>
      </c>
      <c r="C696" s="1" t="n">
        <v>2934</v>
      </c>
      <c r="D696" s="1" t="n">
        <v>128</v>
      </c>
      <c r="E696" s="4">
        <f>IF(INDEX(C:C, ROW())+INDEX(D:D, ROW())=0, 0, INDEX(C:C, ROW())/(INDEX(C:C, ROW())+INDEX(D:D, ROW())))</f>
        <v/>
      </c>
      <c r="F696" s="1" t="inlineStr">
        <is>
          <t>String, Stack</t>
        </is>
      </c>
      <c r="G696" s="1" t="inlineStr">
        <is>
          <t>Medium</t>
        </is>
      </c>
      <c r="H696" s="1" t="n">
        <v>240934</v>
      </c>
      <c r="I696" s="1" t="n">
        <v>335155</v>
      </c>
      <c r="J696" s="9" t="n">
        <v>0.719</v>
      </c>
      <c r="K696" s="1" t="inlineStr">
        <is>
          <t>Yes</t>
        </is>
      </c>
      <c r="L696" s="1" t="inlineStr">
        <is>
          <t>Yes</t>
        </is>
      </c>
      <c r="M696" s="1" t="inlineStr">
        <is>
          <t>No</t>
        </is>
      </c>
      <c r="N696" s="1" t="inlineStr">
        <is>
          <t>Algorithms</t>
        </is>
      </c>
      <c r="O6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97" ht="15.75" customHeight="1" s="12">
      <c r="A697" s="1" t="n">
        <v>2104</v>
      </c>
      <c r="B697" s="3">
        <f>HYPERLINK("https://leetcode.com/problems/sum-of-subarray-ranges/", "Sum of Subarray Ranges")</f>
        <v/>
      </c>
      <c r="C697" s="1" t="n">
        <v>2932</v>
      </c>
      <c r="D697" s="1" t="n">
        <v>143</v>
      </c>
      <c r="E697" s="4">
        <f>IF(INDEX(C:C, ROW())+INDEX(D:D, ROW())=0, 0, INDEX(C:C, ROW())/(INDEX(C:C, ROW())+INDEX(D:D, ROW())))</f>
        <v/>
      </c>
      <c r="F697" s="1" t="inlineStr">
        <is>
          <t>Array, Stack, Monotonic Stack</t>
        </is>
      </c>
      <c r="G697" s="1" t="inlineStr">
        <is>
          <t>Medium</t>
        </is>
      </c>
      <c r="H697" s="1" t="n">
        <v>204031</v>
      </c>
      <c r="I697" s="1" t="n">
        <v>336969</v>
      </c>
      <c r="J697" s="9" t="n">
        <v>0.605</v>
      </c>
      <c r="K697" s="1" t="inlineStr">
        <is>
          <t>Yes</t>
        </is>
      </c>
      <c r="L697" s="1" t="inlineStr">
        <is>
          <t>Yes</t>
        </is>
      </c>
      <c r="M697" s="1" t="inlineStr">
        <is>
          <t>No</t>
        </is>
      </c>
      <c r="N697" s="1" t="inlineStr">
        <is>
          <t>Algorithms</t>
        </is>
      </c>
      <c r="O6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98" ht="15.75" customHeight="1" s="12">
      <c r="A698" s="1" t="n">
        <v>1373</v>
      </c>
      <c r="B698" s="3">
        <f>HYPERLINK("https://leetcode.com/problems/maximum-sum-bst-in-binary-tree/", "Maximum Sum BST in Binary Tree")</f>
        <v/>
      </c>
      <c r="C698" s="1" t="n">
        <v>2931</v>
      </c>
      <c r="D698" s="1" t="n">
        <v>198</v>
      </c>
      <c r="E698" s="4">
        <f>IF(INDEX(C:C, ROW())+INDEX(D:D, ROW())=0, 0, INDEX(C:C, ROW())/(INDEX(C:C, ROW())+INDEX(D:D, ROW())))</f>
        <v/>
      </c>
      <c r="F698" s="1" t="inlineStr">
        <is>
          <t>Dynamic Programming, Tree, Depth-First Search, Binary Search Tree, Binary Tree</t>
        </is>
      </c>
      <c r="G698" s="1" t="inlineStr">
        <is>
          <t>Hard</t>
        </is>
      </c>
      <c r="H698" s="1" t="n">
        <v>117344</v>
      </c>
      <c r="I698" s="1" t="n">
        <v>254610</v>
      </c>
      <c r="J698" s="9" t="n">
        <v>0.461</v>
      </c>
      <c r="K698" s="1" t="inlineStr">
        <is>
          <t>Yes</t>
        </is>
      </c>
      <c r="L698" s="1" t="inlineStr">
        <is>
          <t>No</t>
        </is>
      </c>
      <c r="M698" s="1" t="inlineStr">
        <is>
          <t>No</t>
        </is>
      </c>
      <c r="N698" s="1" t="inlineStr">
        <is>
          <t>Algorithms</t>
        </is>
      </c>
      <c r="O6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699" ht="15.75" customHeight="1" s="12">
      <c r="A699" s="1" t="n">
        <v>319</v>
      </c>
      <c r="B699" s="3">
        <f>HYPERLINK("https://leetcode.com/problems/bulb-switcher/", "Bulb Switcher")</f>
        <v/>
      </c>
      <c r="C699" s="1" t="n">
        <v>2921</v>
      </c>
      <c r="D699" s="1" t="n">
        <v>3224</v>
      </c>
      <c r="E699" s="4">
        <f>IF(INDEX(C:C, ROW())+INDEX(D:D, ROW())=0, 0, INDEX(C:C, ROW())/(INDEX(C:C, ROW())+INDEX(D:D, ROW())))</f>
        <v/>
      </c>
      <c r="F699" s="1" t="inlineStr">
        <is>
          <t>Math, Brainteaser</t>
        </is>
      </c>
      <c r="G699" s="1" t="inlineStr">
        <is>
          <t>Medium</t>
        </is>
      </c>
      <c r="H699" s="1" t="n">
        <v>292672</v>
      </c>
      <c r="I699" s="1" t="n">
        <v>529250</v>
      </c>
      <c r="J699" s="9" t="n">
        <v>0.553</v>
      </c>
      <c r="K699" s="1" t="inlineStr">
        <is>
          <t>Yes</t>
        </is>
      </c>
      <c r="L699" s="1" t="inlineStr">
        <is>
          <t>Yes</t>
        </is>
      </c>
      <c r="M699" s="1" t="inlineStr">
        <is>
          <t>No</t>
        </is>
      </c>
      <c r="N699" s="1" t="inlineStr">
        <is>
          <t>Algorithms</t>
        </is>
      </c>
      <c r="O6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00" ht="15.75" customHeight="1" s="12">
      <c r="A700" s="1" t="n">
        <v>1528</v>
      </c>
      <c r="B700" s="3">
        <f>HYPERLINK("https://leetcode.com/problems/shuffle-string/", "Shuffle String")</f>
        <v/>
      </c>
      <c r="C700" s="1" t="n">
        <v>2916</v>
      </c>
      <c r="D700" s="1" t="n">
        <v>540</v>
      </c>
      <c r="E700" s="4">
        <f>IF(INDEX(C:C, ROW())+INDEX(D:D, ROW())=0, 0, INDEX(C:C, ROW())/(INDEX(C:C, ROW())+INDEX(D:D, ROW())))</f>
        <v/>
      </c>
      <c r="F700" s="1" t="inlineStr">
        <is>
          <t>Array, String</t>
        </is>
      </c>
      <c r="G700" s="1" t="inlineStr">
        <is>
          <t>Easy</t>
        </is>
      </c>
      <c r="H700" s="1" t="n">
        <v>481144</v>
      </c>
      <c r="I700" s="1" t="n">
        <v>564018</v>
      </c>
      <c r="J700" s="9" t="n">
        <v>0.853</v>
      </c>
      <c r="K700" s="1" t="inlineStr">
        <is>
          <t>Yes</t>
        </is>
      </c>
      <c r="L700" s="1" t="inlineStr">
        <is>
          <t>No</t>
        </is>
      </c>
      <c r="M700" s="1" t="inlineStr">
        <is>
          <t>No</t>
        </is>
      </c>
      <c r="N700" s="1" t="inlineStr">
        <is>
          <t>Algorithms</t>
        </is>
      </c>
      <c r="O7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01" ht="15.75" customHeight="1" s="12">
      <c r="A701" s="1" t="n">
        <v>1291</v>
      </c>
      <c r="B701" s="3">
        <f>HYPERLINK("https://leetcode.com/problems/sequential-digits/", "Sequential Digits")</f>
        <v/>
      </c>
      <c r="C701" s="1" t="n">
        <v>2913</v>
      </c>
      <c r="D701" s="1" t="n">
        <v>178</v>
      </c>
      <c r="E701" s="4">
        <f>IF(INDEX(C:C, ROW())+INDEX(D:D, ROW())=0, 0, INDEX(C:C, ROW())/(INDEX(C:C, ROW())+INDEX(D:D, ROW())))</f>
        <v/>
      </c>
      <c r="F701" s="1" t="inlineStr">
        <is>
          <t>Enumeration</t>
        </is>
      </c>
      <c r="G701" s="1" t="inlineStr">
        <is>
          <t>Medium</t>
        </is>
      </c>
      <c r="H701" s="1" t="n">
        <v>233476</v>
      </c>
      <c r="I701" s="1" t="n">
        <v>357332</v>
      </c>
      <c r="J701" s="9" t="n">
        <v>0.653</v>
      </c>
      <c r="K701" s="1" t="inlineStr">
        <is>
          <t>Yes</t>
        </is>
      </c>
      <c r="L701" s="1" t="inlineStr">
        <is>
          <t>Yes</t>
        </is>
      </c>
      <c r="M701" s="1" t="inlineStr">
        <is>
          <t>No</t>
        </is>
      </c>
      <c r="N701" s="1" t="inlineStr">
        <is>
          <t>Algorithms</t>
        </is>
      </c>
      <c r="O7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02" ht="15.75" customHeight="1" s="12">
      <c r="A702" s="1" t="n">
        <v>340</v>
      </c>
      <c r="B702" s="3">
        <f>HYPERLINK("https://leetcode.com/problems/longest-substring-with-at-most-k-distinct-characters/", "Longest Substring with At Most K Distinct Characters")</f>
        <v/>
      </c>
      <c r="C702" s="1" t="n">
        <v>2898</v>
      </c>
      <c r="D702" s="1" t="n">
        <v>81</v>
      </c>
      <c r="E702" s="4">
        <f>IF(INDEX(C:C, ROW())+INDEX(D:D, ROW())=0, 0, INDEX(C:C, ROW())/(INDEX(C:C, ROW())+INDEX(D:D, ROW())))</f>
        <v/>
      </c>
      <c r="F702" s="1" t="inlineStr">
        <is>
          <t>Hash Table, String, Sliding Window</t>
        </is>
      </c>
      <c r="G702" s="1" t="inlineStr">
        <is>
          <t>Medium</t>
        </is>
      </c>
      <c r="H702" s="1" t="n">
        <v>393950</v>
      </c>
      <c r="I702" s="1" t="n">
        <v>790510</v>
      </c>
      <c r="J702" s="9" t="n">
        <v>0.498</v>
      </c>
      <c r="K702" s="1" t="inlineStr">
        <is>
          <t>No</t>
        </is>
      </c>
      <c r="L702" s="1" t="inlineStr">
        <is>
          <t>Yes</t>
        </is>
      </c>
      <c r="M702" s="1" t="inlineStr">
        <is>
          <t>Yes</t>
        </is>
      </c>
      <c r="N702" s="1" t="inlineStr">
        <is>
          <t>Algorithms</t>
        </is>
      </c>
      <c r="O7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03" ht="15.75" customHeight="1" s="12">
      <c r="A703" s="1" t="n">
        <v>2616</v>
      </c>
      <c r="B703" s="3">
        <f>HYPERLINK("https://leetcode.com/problems/minimize-the-maximum-difference-of-pairs/", "Minimize the Maximum Difference of Pairs")</f>
        <v/>
      </c>
      <c r="C703" s="1" t="n">
        <v>2898</v>
      </c>
      <c r="D703" s="1" t="n">
        <v>327</v>
      </c>
      <c r="E703" s="4">
        <f>IF(INDEX(C:C, ROW())+INDEX(D:D, ROW())=0, 0, INDEX(C:C, ROW())/(INDEX(C:C, ROW())+INDEX(D:D, ROW())))</f>
        <v/>
      </c>
      <c r="F703" s="1" t="inlineStr">
        <is>
          <t>Array, Binary Search, Dynamic Programming, Greedy, Sorting</t>
        </is>
      </c>
      <c r="G703" s="1" t="inlineStr">
        <is>
          <t>Medium</t>
        </is>
      </c>
      <c r="H703" s="1" t="n">
        <v>167448</v>
      </c>
      <c r="I703" s="1" t="n">
        <v>328778</v>
      </c>
      <c r="J703" s="9" t="n">
        <v>0.509</v>
      </c>
      <c r="K703" s="1" t="inlineStr">
        <is>
          <t>Yes</t>
        </is>
      </c>
      <c r="L703" s="1" t="inlineStr">
        <is>
          <t>Yes</t>
        </is>
      </c>
      <c r="M703" s="1" t="inlineStr">
        <is>
          <t>No</t>
        </is>
      </c>
      <c r="N703" s="1" t="inlineStr">
        <is>
          <t>Algorithms</t>
        </is>
      </c>
      <c r="O7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04" ht="15.75" customHeight="1" s="12">
      <c r="A704" s="1" t="n">
        <v>1295</v>
      </c>
      <c r="B704" s="3">
        <f>HYPERLINK("https://leetcode.com/problems/find-numbers-with-even-number-of-digits/", "Find Numbers with Even Number of Digits")</f>
        <v/>
      </c>
      <c r="C704" s="1" t="n">
        <v>2890</v>
      </c>
      <c r="D704" s="1" t="n">
        <v>148</v>
      </c>
      <c r="E704" s="4">
        <f>IF(INDEX(C:C, ROW())+INDEX(D:D, ROW())=0, 0, INDEX(C:C, ROW())/(INDEX(C:C, ROW())+INDEX(D:D, ROW())))</f>
        <v/>
      </c>
      <c r="F704" s="1" t="inlineStr">
        <is>
          <t>Array, Math</t>
        </is>
      </c>
      <c r="G704" s="1" t="inlineStr">
        <is>
          <t>Easy</t>
        </is>
      </c>
      <c r="H704" s="1" t="n">
        <v>1028726</v>
      </c>
      <c r="I704" s="1" t="n">
        <v>1292498</v>
      </c>
      <c r="J704" s="9" t="n">
        <v>0.796</v>
      </c>
      <c r="K704" s="1" t="inlineStr">
        <is>
          <t>Yes</t>
        </is>
      </c>
      <c r="L704" s="1" t="inlineStr">
        <is>
          <t>Yes</t>
        </is>
      </c>
      <c r="M704" s="1" t="inlineStr">
        <is>
          <t>No</t>
        </is>
      </c>
      <c r="N704" s="1" t="inlineStr">
        <is>
          <t>Algorithms</t>
        </is>
      </c>
      <c r="O7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05" ht="15.75" customHeight="1" s="12">
      <c r="A705" s="1" t="n">
        <v>1221</v>
      </c>
      <c r="B705" s="3">
        <f>HYPERLINK("https://leetcode.com/problems/split-a-string-in-balanced-strings/", "Split a String in Balanced Strings")</f>
        <v/>
      </c>
      <c r="C705" s="1" t="n">
        <v>2885</v>
      </c>
      <c r="D705" s="1" t="n">
        <v>957</v>
      </c>
      <c r="E705" s="4">
        <f>IF(INDEX(C:C, ROW())+INDEX(D:D, ROW())=0, 0, INDEX(C:C, ROW())/(INDEX(C:C, ROW())+INDEX(D:D, ROW())))</f>
        <v/>
      </c>
      <c r="F705" s="1" t="inlineStr">
        <is>
          <t>String, Greedy, Counting</t>
        </is>
      </c>
      <c r="G705" s="1" t="inlineStr">
        <is>
          <t>Easy</t>
        </is>
      </c>
      <c r="H705" s="1" t="n">
        <v>375279</v>
      </c>
      <c r="I705" s="1" t="n">
        <v>430378</v>
      </c>
      <c r="J705" s="9" t="n">
        <v>0.872</v>
      </c>
      <c r="K705" s="1" t="inlineStr">
        <is>
          <t>Yes</t>
        </is>
      </c>
      <c r="L705" s="1" t="inlineStr">
        <is>
          <t>No</t>
        </is>
      </c>
      <c r="M705" s="1" t="inlineStr">
        <is>
          <t>No</t>
        </is>
      </c>
      <c r="N705" s="1" t="inlineStr">
        <is>
          <t>Algorithms</t>
        </is>
      </c>
      <c r="O7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06" ht="15.75" customHeight="1" s="12">
      <c r="A706" s="1" t="n">
        <v>489</v>
      </c>
      <c r="B706" s="3">
        <f>HYPERLINK("https://leetcode.com/problems/robot-room-cleaner/", "Robot Room Cleaner")</f>
        <v/>
      </c>
      <c r="C706" s="1" t="n">
        <v>2883</v>
      </c>
      <c r="D706" s="1" t="n">
        <v>193</v>
      </c>
      <c r="E706" s="4">
        <f>IF(INDEX(C:C, ROW())+INDEX(D:D, ROW())=0, 0, INDEX(C:C, ROW())/(INDEX(C:C, ROW())+INDEX(D:D, ROW())))</f>
        <v/>
      </c>
      <c r="F706" s="1" t="inlineStr">
        <is>
          <t>Backtracking, Interactive</t>
        </is>
      </c>
      <c r="G706" s="1" t="inlineStr">
        <is>
          <t>Hard</t>
        </is>
      </c>
      <c r="H706" s="1" t="n">
        <v>206977</v>
      </c>
      <c r="I706" s="1" t="n">
        <v>265846</v>
      </c>
      <c r="J706" s="9" t="n">
        <v>0.779</v>
      </c>
      <c r="K706" s="1" t="inlineStr">
        <is>
          <t>No</t>
        </is>
      </c>
      <c r="L706" s="1" t="inlineStr">
        <is>
          <t>Yes</t>
        </is>
      </c>
      <c r="M706" s="1" t="inlineStr">
        <is>
          <t>No</t>
        </is>
      </c>
      <c r="N706" s="1" t="inlineStr">
        <is>
          <t>Algorithms</t>
        </is>
      </c>
      <c r="O7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07" ht="15.75" customHeight="1" s="12">
      <c r="A707" s="1" t="n">
        <v>1325</v>
      </c>
      <c r="B707" s="3">
        <f>HYPERLINK("https://leetcode.com/problems/delete-leaves-with-a-given-value/", "Delete Leaves With a Given Value")</f>
        <v/>
      </c>
      <c r="C707" s="1" t="n">
        <v>2877</v>
      </c>
      <c r="D707" s="1" t="n">
        <v>58</v>
      </c>
      <c r="E707" s="4">
        <f>IF(INDEX(C:C, ROW())+INDEX(D:D, ROW())=0, 0, INDEX(C:C, ROW())/(INDEX(C:C, ROW())+INDEX(D:D, ROW())))</f>
        <v/>
      </c>
      <c r="F707" s="1" t="inlineStr">
        <is>
          <t>Tree, Depth-First Search, Binary Tree</t>
        </is>
      </c>
      <c r="G707" s="1" t="inlineStr">
        <is>
          <t>Medium</t>
        </is>
      </c>
      <c r="H707" s="1" t="n">
        <v>249801</v>
      </c>
      <c r="I707" s="1" t="n">
        <v>323437</v>
      </c>
      <c r="J707" s="9" t="n">
        <v>0.772</v>
      </c>
      <c r="K707" s="1" t="inlineStr">
        <is>
          <t>Yes</t>
        </is>
      </c>
      <c r="L707" s="1" t="inlineStr">
        <is>
          <t>Yes</t>
        </is>
      </c>
      <c r="M707" s="1" t="inlineStr">
        <is>
          <t>No</t>
        </is>
      </c>
      <c r="N707" s="1" t="inlineStr">
        <is>
          <t>Algorithms</t>
        </is>
      </c>
      <c r="O7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08" ht="15.75" customHeight="1" s="12">
      <c r="A708" s="1" t="n">
        <v>951</v>
      </c>
      <c r="B708" s="3">
        <f>HYPERLINK("https://leetcode.com/problems/flip-equivalent-binary-trees/", "Flip Equivalent Binary Trees")</f>
        <v/>
      </c>
      <c r="C708" s="1" t="n">
        <v>2876</v>
      </c>
      <c r="D708" s="1" t="n">
        <v>122</v>
      </c>
      <c r="E708" s="4">
        <f>IF(INDEX(C:C, ROW())+INDEX(D:D, ROW())=0, 0, INDEX(C:C, ROW())/(INDEX(C:C, ROW())+INDEX(D:D, ROW())))</f>
        <v/>
      </c>
      <c r="F708" s="1" t="inlineStr">
        <is>
          <t>Tree, Depth-First Search, Binary Tree</t>
        </is>
      </c>
      <c r="G708" s="1" t="inlineStr">
        <is>
          <t>Medium</t>
        </is>
      </c>
      <c r="H708" s="1" t="n">
        <v>265035</v>
      </c>
      <c r="I708" s="1" t="n">
        <v>380890</v>
      </c>
      <c r="J708" s="9" t="n">
        <v>0.696</v>
      </c>
      <c r="K708" s="1" t="inlineStr">
        <is>
          <t>Yes</t>
        </is>
      </c>
      <c r="L708" s="1" t="inlineStr">
        <is>
          <t>Yes</t>
        </is>
      </c>
      <c r="M708" s="1" t="inlineStr">
        <is>
          <t>No</t>
        </is>
      </c>
      <c r="N708" s="1" t="inlineStr">
        <is>
          <t>Algorithms</t>
        </is>
      </c>
      <c r="O7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09" ht="15.75" customHeight="1" s="12">
      <c r="A709" s="1" t="n">
        <v>967</v>
      </c>
      <c r="B709" s="3">
        <f>HYPERLINK("https://leetcode.com/problems/numbers-with-same-consecutive-differences/", "Numbers With Same Consecutive Differences")</f>
        <v/>
      </c>
      <c r="C709" s="1" t="n">
        <v>2874</v>
      </c>
      <c r="D709" s="1" t="n">
        <v>200</v>
      </c>
      <c r="E709" s="4">
        <f>IF(INDEX(C:C, ROW())+INDEX(D:D, ROW())=0, 0, INDEX(C:C, ROW())/(INDEX(C:C, ROW())+INDEX(D:D, ROW())))</f>
        <v/>
      </c>
      <c r="F709" s="1" t="inlineStr">
        <is>
          <t>Backtracking, Breadth-First Search</t>
        </is>
      </c>
      <c r="G709" s="1" t="inlineStr">
        <is>
          <t>Medium</t>
        </is>
      </c>
      <c r="H709" s="1" t="n">
        <v>153844</v>
      </c>
      <c r="I709" s="1" t="n">
        <v>260476</v>
      </c>
      <c r="J709" s="9" t="n">
        <v>0.591</v>
      </c>
      <c r="K709" s="1" t="inlineStr">
        <is>
          <t>Yes</t>
        </is>
      </c>
      <c r="L709" s="1" t="inlineStr">
        <is>
          <t>Yes</t>
        </is>
      </c>
      <c r="M709" s="1" t="inlineStr">
        <is>
          <t>No</t>
        </is>
      </c>
      <c r="N709" s="1" t="inlineStr">
        <is>
          <t>Algorithms</t>
        </is>
      </c>
      <c r="O7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10" ht="15.75" customHeight="1" s="12">
      <c r="A710" s="1" t="n">
        <v>1280</v>
      </c>
      <c r="B710" s="3">
        <f>HYPERLINK("https://leetcode.com/problems/students-and-examinations/", "Students and Examinations")</f>
        <v/>
      </c>
      <c r="C710" s="1" t="n">
        <v>2874</v>
      </c>
      <c r="D710" s="1" t="n">
        <v>340</v>
      </c>
      <c r="E710" s="4">
        <f>IF(INDEX(C:C, ROW())+INDEX(D:D, ROW())=0, 0, INDEX(C:C, ROW())/(INDEX(C:C, ROW())+INDEX(D:D, ROW())))</f>
        <v/>
      </c>
      <c r="F710" s="1" t="inlineStr">
        <is>
          <t>Database</t>
        </is>
      </c>
      <c r="G710" s="1" t="inlineStr">
        <is>
          <t>Easy</t>
        </is>
      </c>
      <c r="H710" s="1" t="n">
        <v>682058</v>
      </c>
      <c r="I710" s="1" t="n">
        <v>1119959</v>
      </c>
      <c r="J710" s="9" t="n">
        <v>0.609</v>
      </c>
      <c r="K710" s="1" t="inlineStr">
        <is>
          <t>Yes</t>
        </is>
      </c>
      <c r="L710" s="1" t="inlineStr">
        <is>
          <t>Yes</t>
        </is>
      </c>
      <c r="M710" s="1" t="inlineStr">
        <is>
          <t>No</t>
        </is>
      </c>
      <c r="N710" s="1" t="inlineStr">
        <is>
          <t>Database</t>
        </is>
      </c>
      <c r="O7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11" ht="15.75" customHeight="1" s="12">
      <c r="A711" s="1" t="n">
        <v>1475</v>
      </c>
      <c r="B711" s="3">
        <f>HYPERLINK("https://leetcode.com/problems/final-prices-with-a-special-discount-in-a-shop/", "Final Prices With a Special Discount in a Shop")</f>
        <v/>
      </c>
      <c r="C711" s="1" t="n">
        <v>2869</v>
      </c>
      <c r="D711" s="1" t="n">
        <v>149</v>
      </c>
      <c r="E711" s="4">
        <f>IF(INDEX(C:C, ROW())+INDEX(D:D, ROW())=0, 0, INDEX(C:C, ROW())/(INDEX(C:C, ROW())+INDEX(D:D, ROW())))</f>
        <v/>
      </c>
      <c r="F711" s="1" t="inlineStr">
        <is>
          <t>Array, Stack, Monotonic Stack</t>
        </is>
      </c>
      <c r="G711" s="1" t="inlineStr">
        <is>
          <t>Easy</t>
        </is>
      </c>
      <c r="H711" s="1" t="n">
        <v>371411</v>
      </c>
      <c r="I711" s="1" t="n">
        <v>442951</v>
      </c>
      <c r="J711" s="9" t="n">
        <v>0.838</v>
      </c>
      <c r="K711" s="1" t="inlineStr">
        <is>
          <t>Yes</t>
        </is>
      </c>
      <c r="L711" s="1" t="inlineStr">
        <is>
          <t>Yes</t>
        </is>
      </c>
      <c r="M711" s="1" t="inlineStr">
        <is>
          <t>No</t>
        </is>
      </c>
      <c r="N711" s="1" t="inlineStr">
        <is>
          <t>Algorithms</t>
        </is>
      </c>
      <c r="O7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12" ht="15.75" customHeight="1" s="12">
      <c r="A712" s="1" t="n">
        <v>1061</v>
      </c>
      <c r="B712" s="3">
        <f>HYPERLINK("https://leetcode.com/problems/lexicographically-smallest-equivalent-string/", "Lexicographically Smallest Equivalent String")</f>
        <v/>
      </c>
      <c r="C712" s="1" t="n">
        <v>2867</v>
      </c>
      <c r="D712" s="1" t="n">
        <v>186</v>
      </c>
      <c r="E712" s="4">
        <f>IF(INDEX(C:C, ROW())+INDEX(D:D, ROW())=0, 0, INDEX(C:C, ROW())/(INDEX(C:C, ROW())+INDEX(D:D, ROW())))</f>
        <v/>
      </c>
      <c r="F712" s="1" t="inlineStr">
        <is>
          <t>String, Union-Find</t>
        </is>
      </c>
      <c r="G712" s="1" t="inlineStr">
        <is>
          <t>Medium</t>
        </is>
      </c>
      <c r="H712" s="1" t="n">
        <v>178586</v>
      </c>
      <c r="I712" s="1" t="n">
        <v>220049</v>
      </c>
      <c r="J712" s="9" t="n">
        <v>0.8120000000000001</v>
      </c>
      <c r="K712" s="1" t="inlineStr">
        <is>
          <t>Yes</t>
        </is>
      </c>
      <c r="L712" s="1" t="inlineStr">
        <is>
          <t>Yes</t>
        </is>
      </c>
      <c r="M712" s="1" t="inlineStr">
        <is>
          <t>No</t>
        </is>
      </c>
      <c r="N712" s="1" t="inlineStr">
        <is>
          <t>Algorithms</t>
        </is>
      </c>
      <c r="O7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13" ht="15.75" customHeight="1" s="12">
      <c r="A713" s="1" t="n">
        <v>559</v>
      </c>
      <c r="B713" s="3">
        <f>HYPERLINK("https://leetcode.com/problems/maximum-depth-of-n-ary-tree/", "Maximum Depth of N-ary Tree")</f>
        <v/>
      </c>
      <c r="C713" s="1" t="n">
        <v>2861</v>
      </c>
      <c r="D713" s="1" t="n">
        <v>97</v>
      </c>
      <c r="E713" s="4">
        <f>IF(INDEX(C:C, ROW())+INDEX(D:D, ROW())=0, 0, INDEX(C:C, ROW())/(INDEX(C:C, ROW())+INDEX(D:D, ROW())))</f>
        <v/>
      </c>
      <c r="F713" s="1" t="inlineStr">
        <is>
          <t>Tree, Depth-First Search, Breadth-First Search</t>
        </is>
      </c>
      <c r="G713" s="1" t="inlineStr">
        <is>
          <t>Easy</t>
        </is>
      </c>
      <c r="H713" s="1" t="n">
        <v>346768</v>
      </c>
      <c r="I713" s="1" t="n">
        <v>472588</v>
      </c>
      <c r="J713" s="9" t="n">
        <v>0.734</v>
      </c>
      <c r="K713" s="1" t="inlineStr">
        <is>
          <t>Yes</t>
        </is>
      </c>
      <c r="L713" s="1" t="inlineStr">
        <is>
          <t>Yes</t>
        </is>
      </c>
      <c r="M713" s="1" t="inlineStr">
        <is>
          <t>No</t>
        </is>
      </c>
      <c r="N713" s="1" t="inlineStr">
        <is>
          <t>Algorithms</t>
        </is>
      </c>
      <c r="O7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14" ht="15.75" customHeight="1" s="12">
      <c r="A714" s="1" t="n">
        <v>584</v>
      </c>
      <c r="B714" s="3">
        <f>HYPERLINK("https://leetcode.com/problems/find-customer-referee/", "Find Customer Referee")</f>
        <v/>
      </c>
      <c r="C714" s="1" t="n">
        <v>2861</v>
      </c>
      <c r="D714" s="1" t="n">
        <v>405</v>
      </c>
      <c r="E714" s="4">
        <f>IF(INDEX(C:C, ROW())+INDEX(D:D, ROW())=0, 0, INDEX(C:C, ROW())/(INDEX(C:C, ROW())+INDEX(D:D, ROW())))</f>
        <v/>
      </c>
      <c r="F714" s="1" t="inlineStr">
        <is>
          <t>Database</t>
        </is>
      </c>
      <c r="G714" s="1" t="inlineStr">
        <is>
          <t>Easy</t>
        </is>
      </c>
      <c r="H714" s="1" t="n">
        <v>1954156</v>
      </c>
      <c r="I714" s="1" t="n">
        <v>2698361</v>
      </c>
      <c r="J714" s="9" t="n">
        <v>0.724</v>
      </c>
      <c r="K714" s="1" t="inlineStr">
        <is>
          <t>Yes</t>
        </is>
      </c>
      <c r="L714" s="1" t="inlineStr">
        <is>
          <t>Yes</t>
        </is>
      </c>
      <c r="M714" s="1" t="inlineStr">
        <is>
          <t>No</t>
        </is>
      </c>
      <c r="N714" s="1" t="inlineStr">
        <is>
          <t>Database</t>
        </is>
      </c>
      <c r="O7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15" ht="15.75" customHeight="1" s="12">
      <c r="A715" s="1" t="n">
        <v>1930</v>
      </c>
      <c r="B715" s="3">
        <f>HYPERLINK("https://leetcode.com/problems/unique-length-3-palindromic-subsequences/", "Unique Length-3 Palindromic Subsequences")</f>
        <v/>
      </c>
      <c r="C715" s="1" t="n">
        <v>2853</v>
      </c>
      <c r="D715" s="1" t="n">
        <v>109</v>
      </c>
      <c r="E715" s="4">
        <f>IF(INDEX(C:C, ROW())+INDEX(D:D, ROW())=0, 0, INDEX(C:C, ROW())/(INDEX(C:C, ROW())+INDEX(D:D, ROW())))</f>
        <v/>
      </c>
      <c r="F715" s="1" t="inlineStr">
        <is>
          <t>Hash Table, String, Bit Manipulation, Prefix Sum</t>
        </is>
      </c>
      <c r="G715" s="1" t="inlineStr">
        <is>
          <t>Medium</t>
        </is>
      </c>
      <c r="H715" s="1" t="n">
        <v>364057</v>
      </c>
      <c r="I715" s="1" t="n">
        <v>493331</v>
      </c>
      <c r="J715" s="9" t="n">
        <v>0.738</v>
      </c>
      <c r="K715" s="1" t="inlineStr">
        <is>
          <t>Yes</t>
        </is>
      </c>
      <c r="L715" s="1" t="inlineStr">
        <is>
          <t>Yes</t>
        </is>
      </c>
      <c r="M715" s="1" t="inlineStr">
        <is>
          <t>No</t>
        </is>
      </c>
      <c r="N715" s="1" t="inlineStr">
        <is>
          <t>Algorithms</t>
        </is>
      </c>
      <c r="O7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16" ht="15.75" customHeight="1" s="12">
      <c r="A716" s="1" t="n">
        <v>686</v>
      </c>
      <c r="B716" s="3">
        <f>HYPERLINK("https://leetcode.com/problems/repeated-string-match/", "Repeated String Match")</f>
        <v/>
      </c>
      <c r="C716" s="1" t="n">
        <v>2852</v>
      </c>
      <c r="D716" s="1" t="n">
        <v>1007</v>
      </c>
      <c r="E716" s="4">
        <f>IF(INDEX(C:C, ROW())+INDEX(D:D, ROW())=0, 0, INDEX(C:C, ROW())/(INDEX(C:C, ROW())+INDEX(D:D, ROW())))</f>
        <v/>
      </c>
      <c r="F716" s="1" t="inlineStr">
        <is>
          <t>String, String Matching</t>
        </is>
      </c>
      <c r="G716" s="1" t="inlineStr">
        <is>
          <t>Medium</t>
        </is>
      </c>
      <c r="H716" s="1" t="n">
        <v>244063</v>
      </c>
      <c r="I716" s="1" t="n">
        <v>639820</v>
      </c>
      <c r="J716" s="9" t="n">
        <v>0.381</v>
      </c>
      <c r="K716" s="1" t="inlineStr">
        <is>
          <t>Yes</t>
        </is>
      </c>
      <c r="L716" s="1" t="inlineStr">
        <is>
          <t>Yes</t>
        </is>
      </c>
      <c r="M716" s="1" t="inlineStr">
        <is>
          <t>No</t>
        </is>
      </c>
      <c r="N716" s="1" t="inlineStr">
        <is>
          <t>Algorithms</t>
        </is>
      </c>
      <c r="O7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17" ht="15.75" customHeight="1" s="12">
      <c r="A717" s="1" t="n">
        <v>2244</v>
      </c>
      <c r="B717" s="3">
        <f>HYPERLINK("https://leetcode.com/problems/minimum-rounds-to-complete-all-tasks/", "Minimum Rounds to Complete All Tasks")</f>
        <v/>
      </c>
      <c r="C717" s="1" t="n">
        <v>2843</v>
      </c>
      <c r="D717" s="1" t="n">
        <v>85</v>
      </c>
      <c r="E717" s="4">
        <f>IF(INDEX(C:C, ROW())+INDEX(D:D, ROW())=0, 0, INDEX(C:C, ROW())/(INDEX(C:C, ROW())+INDEX(D:D, ROW())))</f>
        <v/>
      </c>
      <c r="F717" s="1" t="inlineStr">
        <is>
          <t>Array, Hash Table, Greedy, Counting</t>
        </is>
      </c>
      <c r="G717" s="1" t="inlineStr">
        <is>
          <t>Medium</t>
        </is>
      </c>
      <c r="H717" s="1" t="n">
        <v>170068</v>
      </c>
      <c r="I717" s="1" t="n">
        <v>269229</v>
      </c>
      <c r="J717" s="9" t="n">
        <v>0.632</v>
      </c>
      <c r="K717" s="1" t="inlineStr">
        <is>
          <t>Yes</t>
        </is>
      </c>
      <c r="L717" s="1" t="inlineStr">
        <is>
          <t>Yes</t>
        </is>
      </c>
      <c r="M717" s="1" t="inlineStr">
        <is>
          <t>No</t>
        </is>
      </c>
      <c r="N717" s="1" t="inlineStr">
        <is>
          <t>Algorithms</t>
        </is>
      </c>
      <c r="O7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18" ht="15.75" customHeight="1" s="12">
      <c r="A718" s="1" t="n">
        <v>1760</v>
      </c>
      <c r="B718" s="3">
        <f>HYPERLINK("https://leetcode.com/problems/minimum-limit-of-balls-in-a-bag/", "Minimum Limit of Balls in a Bag")</f>
        <v/>
      </c>
      <c r="C718" s="1" t="n">
        <v>2830</v>
      </c>
      <c r="D718" s="1" t="n">
        <v>105</v>
      </c>
      <c r="E718" s="4">
        <f>IF(INDEX(C:C, ROW())+INDEX(D:D, ROW())=0, 0, INDEX(C:C, ROW())/(INDEX(C:C, ROW())+INDEX(D:D, ROW())))</f>
        <v/>
      </c>
      <c r="F718" s="1" t="inlineStr">
        <is>
          <t>Array, Binary Search</t>
        </is>
      </c>
      <c r="G718" s="1" t="inlineStr">
        <is>
          <t>Medium</t>
        </is>
      </c>
      <c r="H718" s="1" t="n">
        <v>150003</v>
      </c>
      <c r="I718" s="1" t="n">
        <v>225123</v>
      </c>
      <c r="J718" s="9" t="n">
        <v>0.666</v>
      </c>
      <c r="K718" s="1" t="inlineStr">
        <is>
          <t>Yes</t>
        </is>
      </c>
      <c r="L718" s="1" t="inlineStr">
        <is>
          <t>Yes</t>
        </is>
      </c>
      <c r="M718" s="1" t="inlineStr">
        <is>
          <t>No</t>
        </is>
      </c>
      <c r="N718" s="1" t="inlineStr">
        <is>
          <t>Algorithms</t>
        </is>
      </c>
      <c r="O7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19" ht="15.75" customHeight="1" s="12">
      <c r="A719" s="1" t="n">
        <v>991</v>
      </c>
      <c r="B719" s="3">
        <f>HYPERLINK("https://leetcode.com/problems/broken-calculator/", "Broken Calculator")</f>
        <v/>
      </c>
      <c r="C719" s="1" t="n">
        <v>2828</v>
      </c>
      <c r="D719" s="1" t="n">
        <v>216</v>
      </c>
      <c r="E719" s="4">
        <f>IF(INDEX(C:C, ROW())+INDEX(D:D, ROW())=0, 0, INDEX(C:C, ROW())/(INDEX(C:C, ROW())+INDEX(D:D, ROW())))</f>
        <v/>
      </c>
      <c r="F719" s="1" t="inlineStr">
        <is>
          <t>Math, Greedy</t>
        </is>
      </c>
      <c r="G719" s="1" t="inlineStr">
        <is>
          <t>Medium</t>
        </is>
      </c>
      <c r="H719" s="1" t="n">
        <v>119802</v>
      </c>
      <c r="I719" s="1" t="n">
        <v>214778</v>
      </c>
      <c r="J719" s="9" t="n">
        <v>0.5580000000000001</v>
      </c>
      <c r="K719" s="1" t="inlineStr">
        <is>
          <t>Yes</t>
        </is>
      </c>
      <c r="L719" s="1" t="inlineStr">
        <is>
          <t>Yes</t>
        </is>
      </c>
      <c r="M719" s="1" t="inlineStr">
        <is>
          <t>No</t>
        </is>
      </c>
      <c r="N719" s="1" t="inlineStr">
        <is>
          <t>Algorithms</t>
        </is>
      </c>
      <c r="O7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20" ht="15.75" customHeight="1" s="12">
      <c r="A720" s="1" t="n">
        <v>1299</v>
      </c>
      <c r="B720" s="3">
        <f>HYPERLINK("https://leetcode.com/problems/replace-elements-with-greatest-element-on-right-side/", "Replace Elements with Greatest Element on Right Side")</f>
        <v/>
      </c>
      <c r="C720" s="1" t="n">
        <v>2828</v>
      </c>
      <c r="D720" s="1" t="n">
        <v>263</v>
      </c>
      <c r="E720" s="4">
        <f>IF(INDEX(C:C, ROW())+INDEX(D:D, ROW())=0, 0, INDEX(C:C, ROW())/(INDEX(C:C, ROW())+INDEX(D:D, ROW())))</f>
        <v/>
      </c>
      <c r="F720" s="1" t="inlineStr">
        <is>
          <t>Array</t>
        </is>
      </c>
      <c r="G720" s="1" t="inlineStr">
        <is>
          <t>Easy</t>
        </is>
      </c>
      <c r="H720" s="1" t="n">
        <v>516093</v>
      </c>
      <c r="I720" s="1" t="n">
        <v>718612</v>
      </c>
      <c r="J720" s="9" t="n">
        <v>0.718</v>
      </c>
      <c r="K720" s="1" t="inlineStr">
        <is>
          <t>Yes</t>
        </is>
      </c>
      <c r="L720" s="1" t="inlineStr">
        <is>
          <t>No</t>
        </is>
      </c>
      <c r="M720" s="1" t="inlineStr">
        <is>
          <t>No</t>
        </is>
      </c>
      <c r="N720" s="1" t="inlineStr">
        <is>
          <t>Algorithms</t>
        </is>
      </c>
      <c r="O7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21" ht="15.75" customHeight="1" s="12">
      <c r="A721" s="1" t="n">
        <v>962</v>
      </c>
      <c r="B721" s="3">
        <f>HYPERLINK("https://leetcode.com/problems/maximum-width-ramp/", "Maximum Width Ramp")</f>
        <v/>
      </c>
      <c r="C721" s="1" t="n">
        <v>2826</v>
      </c>
      <c r="D721" s="1" t="n">
        <v>96</v>
      </c>
      <c r="E721" s="4">
        <f>IF(INDEX(C:C, ROW())+INDEX(D:D, ROW())=0, 0, INDEX(C:C, ROW())/(INDEX(C:C, ROW())+INDEX(D:D, ROW())))</f>
        <v/>
      </c>
      <c r="F721" s="1" t="inlineStr">
        <is>
          <t>Array, Two Pointers, Stack, Monotonic Stack</t>
        </is>
      </c>
      <c r="G721" s="1" t="inlineStr">
        <is>
          <t>Medium</t>
        </is>
      </c>
      <c r="H721" s="1" t="n">
        <v>202774</v>
      </c>
      <c r="I721" s="1" t="n">
        <v>363173</v>
      </c>
      <c r="J721" s="9" t="n">
        <v>0.5580000000000001</v>
      </c>
      <c r="K721" s="1" t="inlineStr">
        <is>
          <t>Yes</t>
        </is>
      </c>
      <c r="L721" s="1" t="inlineStr">
        <is>
          <t>Yes</t>
        </is>
      </c>
      <c r="M721" s="1" t="inlineStr">
        <is>
          <t>No</t>
        </is>
      </c>
      <c r="N721" s="1" t="inlineStr">
        <is>
          <t>Algorithms</t>
        </is>
      </c>
      <c r="O7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22" ht="15.75" customHeight="1" s="12">
      <c r="A722" s="1" t="n">
        <v>1590</v>
      </c>
      <c r="B722" s="3">
        <f>HYPERLINK("https://leetcode.com/problems/make-sum-divisible-by-p/", "Make Sum Divisible by P")</f>
        <v/>
      </c>
      <c r="C722" s="1" t="n">
        <v>2825</v>
      </c>
      <c r="D722" s="1" t="n">
        <v>192</v>
      </c>
      <c r="E722" s="4">
        <f>IF(INDEX(C:C, ROW())+INDEX(D:D, ROW())=0, 0, INDEX(C:C, ROW())/(INDEX(C:C, ROW())+INDEX(D:D, ROW())))</f>
        <v/>
      </c>
      <c r="F722" s="1" t="inlineStr">
        <is>
          <t>Array, Hash Table, Prefix Sum</t>
        </is>
      </c>
      <c r="G722" s="1" t="inlineStr">
        <is>
          <t>Medium</t>
        </is>
      </c>
      <c r="H722" s="1" t="n">
        <v>218857</v>
      </c>
      <c r="I722" s="1" t="n">
        <v>513421</v>
      </c>
      <c r="J722" s="9" t="n">
        <v>0.426</v>
      </c>
      <c r="K722" s="1" t="inlineStr">
        <is>
          <t>Yes</t>
        </is>
      </c>
      <c r="L722" s="1" t="inlineStr">
        <is>
          <t>Yes</t>
        </is>
      </c>
      <c r="M722" s="1" t="inlineStr">
        <is>
          <t>No</t>
        </is>
      </c>
      <c r="N722" s="1" t="inlineStr">
        <is>
          <t>Algorithms</t>
        </is>
      </c>
      <c r="O7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23" ht="15.75" customHeight="1" s="12">
      <c r="A723" s="1" t="n">
        <v>1315</v>
      </c>
      <c r="B723" s="3">
        <f>HYPERLINK("https://leetcode.com/problems/sum-of-nodes-with-even-valued-grandparent/", "Sum of Nodes with Even-Valued Grandparent")</f>
        <v/>
      </c>
      <c r="C723" s="1" t="n">
        <v>2821</v>
      </c>
      <c r="D723" s="1" t="n">
        <v>79</v>
      </c>
      <c r="E723" s="4">
        <f>IF(INDEX(C:C, ROW())+INDEX(D:D, ROW())=0, 0, INDEX(C:C, ROW())/(INDEX(C:C, ROW())+INDEX(D:D, ROW())))</f>
        <v/>
      </c>
      <c r="F723" s="1" t="inlineStr">
        <is>
          <t>Tree, Depth-First Search, Breadth-First Search, Binary Tree</t>
        </is>
      </c>
      <c r="G723" s="1" t="inlineStr">
        <is>
          <t>Medium</t>
        </is>
      </c>
      <c r="H723" s="1" t="n">
        <v>180643</v>
      </c>
      <c r="I723" s="1" t="n">
        <v>210361</v>
      </c>
      <c r="J723" s="9" t="n">
        <v>0.859</v>
      </c>
      <c r="K723" s="1" t="inlineStr">
        <is>
          <t>Yes</t>
        </is>
      </c>
      <c r="L723" s="1" t="inlineStr">
        <is>
          <t>Yes</t>
        </is>
      </c>
      <c r="M723" s="1" t="inlineStr">
        <is>
          <t>No</t>
        </is>
      </c>
      <c r="N723" s="1" t="inlineStr">
        <is>
          <t>Algorithms</t>
        </is>
      </c>
      <c r="O7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24" ht="15.75" customHeight="1" s="12">
      <c r="A724" s="1" t="n">
        <v>464</v>
      </c>
      <c r="B724" s="3">
        <f>HYPERLINK("https://leetcode.com/problems/can-i-win/", "Can I Win")</f>
        <v/>
      </c>
      <c r="C724" s="1" t="n">
        <v>2816</v>
      </c>
      <c r="D724" s="1" t="n">
        <v>430</v>
      </c>
      <c r="E724" s="4">
        <f>IF(INDEX(C:C, ROW())+INDEX(D:D, ROW())=0, 0, INDEX(C:C, ROW())/(INDEX(C:C, ROW())+INDEX(D:D, ROW())))</f>
        <v/>
      </c>
      <c r="F724" s="1" t="inlineStr">
        <is>
          <t>Math, Dynamic Programming, Bit Manipulation, Memoization, Game Theory, Bitmask DP</t>
        </is>
      </c>
      <c r="G724" s="1" t="inlineStr">
        <is>
          <t>Medium</t>
        </is>
      </c>
      <c r="H724" s="1" t="n">
        <v>118910</v>
      </c>
      <c r="I724" s="1" t="n">
        <v>384013</v>
      </c>
      <c r="J724" s="9" t="n">
        <v>0.31</v>
      </c>
      <c r="K724" s="1" t="inlineStr">
        <is>
          <t>Yes</t>
        </is>
      </c>
      <c r="L724" s="1" t="inlineStr">
        <is>
          <t>No</t>
        </is>
      </c>
      <c r="M724" s="1" t="inlineStr">
        <is>
          <t>No</t>
        </is>
      </c>
      <c r="N724" s="1" t="inlineStr">
        <is>
          <t>Algorithms</t>
        </is>
      </c>
      <c r="O7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25" ht="15.75" customHeight="1" s="12">
      <c r="A725" s="1" t="n">
        <v>1089</v>
      </c>
      <c r="B725" s="3">
        <f>HYPERLINK("https://leetcode.com/problems/duplicate-zeros/", "Duplicate Zeros")</f>
        <v/>
      </c>
      <c r="C725" s="1" t="n">
        <v>2810</v>
      </c>
      <c r="D725" s="1" t="n">
        <v>792</v>
      </c>
      <c r="E725" s="4">
        <f>IF(INDEX(C:C, ROW())+INDEX(D:D, ROW())=0, 0, INDEX(C:C, ROW())/(INDEX(C:C, ROW())+INDEX(D:D, ROW())))</f>
        <v/>
      </c>
      <c r="F725" s="1" t="inlineStr">
        <is>
          <t>Array, Two Pointers</t>
        </is>
      </c>
      <c r="G725" s="1" t="inlineStr">
        <is>
          <t>Easy</t>
        </is>
      </c>
      <c r="H725" s="1" t="n">
        <v>533814</v>
      </c>
      <c r="I725" s="1" t="n">
        <v>1002626</v>
      </c>
      <c r="J725" s="9" t="n">
        <v>0.532</v>
      </c>
      <c r="K725" s="1" t="inlineStr">
        <is>
          <t>Yes</t>
        </is>
      </c>
      <c r="L725" s="1" t="inlineStr">
        <is>
          <t>Yes</t>
        </is>
      </c>
      <c r="M725" s="1" t="inlineStr">
        <is>
          <t>No</t>
        </is>
      </c>
      <c r="N725" s="1" t="inlineStr">
        <is>
          <t>Algorithms</t>
        </is>
      </c>
      <c r="O7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26" ht="15.75" customHeight="1" s="12">
      <c r="A726" s="1" t="n">
        <v>1347</v>
      </c>
      <c r="B726" s="3">
        <f>HYPERLINK("https://leetcode.com/problems/minimum-number-of-steps-to-make-two-strings-anagram/", "Minimum Number of Steps to Make Two Strings Anagram")</f>
        <v/>
      </c>
      <c r="C726" s="1" t="n">
        <v>2810</v>
      </c>
      <c r="D726" s="1" t="n">
        <v>121</v>
      </c>
      <c r="E726" s="4">
        <f>IF(INDEX(C:C, ROW())+INDEX(D:D, ROW())=0, 0, INDEX(C:C, ROW())/(INDEX(C:C, ROW())+INDEX(D:D, ROW())))</f>
        <v/>
      </c>
      <c r="F726" s="1" t="inlineStr">
        <is>
          <t>Hash Table, String, Counting</t>
        </is>
      </c>
      <c r="G726" s="1" t="inlineStr">
        <is>
          <t>Medium</t>
        </is>
      </c>
      <c r="H726" s="1" t="n">
        <v>329523</v>
      </c>
      <c r="I726" s="1" t="n">
        <v>399800</v>
      </c>
      <c r="J726" s="9" t="n">
        <v>0.824</v>
      </c>
      <c r="K726" s="1" t="inlineStr">
        <is>
          <t>Yes</t>
        </is>
      </c>
      <c r="L726" s="1" t="inlineStr">
        <is>
          <t>Yes</t>
        </is>
      </c>
      <c r="M726" s="1" t="inlineStr">
        <is>
          <t>No</t>
        </is>
      </c>
      <c r="N726" s="1" t="inlineStr">
        <is>
          <t>Algorithms</t>
        </is>
      </c>
      <c r="O7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27" ht="15.75" customHeight="1" s="12">
      <c r="A727" s="1" t="n">
        <v>453</v>
      </c>
      <c r="B727" s="3">
        <f>HYPERLINK("https://leetcode.com/problems/minimum-moves-to-equal-array-elements/", "Minimum Moves to Equal Array Elements")</f>
        <v/>
      </c>
      <c r="C727" s="1" t="n">
        <v>2804</v>
      </c>
      <c r="D727" s="1" t="n">
        <v>1914</v>
      </c>
      <c r="E727" s="4">
        <f>IF(INDEX(C:C, ROW())+INDEX(D:D, ROW())=0, 0, INDEX(C:C, ROW())/(INDEX(C:C, ROW())+INDEX(D:D, ROW())))</f>
        <v/>
      </c>
      <c r="F727" s="1" t="inlineStr">
        <is>
          <t>Array, Math</t>
        </is>
      </c>
      <c r="G727" s="1" t="inlineStr">
        <is>
          <t>Medium</t>
        </is>
      </c>
      <c r="H727" s="1" t="n">
        <v>213637</v>
      </c>
      <c r="I727" s="1" t="n">
        <v>365638</v>
      </c>
      <c r="J727" s="9" t="n">
        <v>0.584</v>
      </c>
      <c r="K727" s="1" t="inlineStr">
        <is>
          <t>Yes</t>
        </is>
      </c>
      <c r="L727" s="1" t="inlineStr">
        <is>
          <t>Yes</t>
        </is>
      </c>
      <c r="M727" s="1" t="inlineStr">
        <is>
          <t>No</t>
        </is>
      </c>
      <c r="N727" s="1" t="inlineStr">
        <is>
          <t>Algorithms</t>
        </is>
      </c>
      <c r="O7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28" ht="15.75" customHeight="1" s="12">
      <c r="A728" s="1" t="n">
        <v>2405</v>
      </c>
      <c r="B728" s="3">
        <f>HYPERLINK("https://leetcode.com/problems/optimal-partition-of-string/", "Optimal Partition of String")</f>
        <v/>
      </c>
      <c r="C728" s="1" t="n">
        <v>2804</v>
      </c>
      <c r="D728" s="1" t="n">
        <v>113</v>
      </c>
      <c r="E728" s="4">
        <f>IF(INDEX(C:C, ROW())+INDEX(D:D, ROW())=0, 0, INDEX(C:C, ROW())/(INDEX(C:C, ROW())+INDEX(D:D, ROW())))</f>
        <v/>
      </c>
      <c r="F728" s="1" t="inlineStr">
        <is>
          <t>Hash Table, String, Greedy</t>
        </is>
      </c>
      <c r="G728" s="1" t="inlineStr">
        <is>
          <t>Medium</t>
        </is>
      </c>
      <c r="H728" s="1" t="n">
        <v>271146</v>
      </c>
      <c r="I728" s="1" t="n">
        <v>346076</v>
      </c>
      <c r="J728" s="9" t="n">
        <v>0.783</v>
      </c>
      <c r="K728" s="1" t="inlineStr">
        <is>
          <t>Yes</t>
        </is>
      </c>
      <c r="L728" s="1" t="inlineStr">
        <is>
          <t>Yes</t>
        </is>
      </c>
      <c r="M728" s="1" t="inlineStr">
        <is>
          <t>No</t>
        </is>
      </c>
      <c r="N728" s="1" t="inlineStr">
        <is>
          <t>Algorithms</t>
        </is>
      </c>
      <c r="O7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29" ht="15.75" customHeight="1" s="12">
      <c r="A729" s="1" t="n">
        <v>1281</v>
      </c>
      <c r="B729" s="3">
        <f>HYPERLINK("https://leetcode.com/problems/subtract-the-product-and-sum-of-digits-of-an-integer/", "Subtract the Product and Sum of Digits of an Integer")</f>
        <v/>
      </c>
      <c r="C729" s="1" t="n">
        <v>2802</v>
      </c>
      <c r="D729" s="1" t="n">
        <v>251</v>
      </c>
      <c r="E729" s="4">
        <f>IF(INDEX(C:C, ROW())+INDEX(D:D, ROW())=0, 0, INDEX(C:C, ROW())/(INDEX(C:C, ROW())+INDEX(D:D, ROW())))</f>
        <v/>
      </c>
      <c r="F729" s="1" t="inlineStr">
        <is>
          <t>Math</t>
        </is>
      </c>
      <c r="G729" s="1" t="inlineStr">
        <is>
          <t>Easy</t>
        </is>
      </c>
      <c r="H729" s="1" t="n">
        <v>632388</v>
      </c>
      <c r="I729" s="1" t="n">
        <v>730678</v>
      </c>
      <c r="J729" s="9" t="n">
        <v>0.865</v>
      </c>
      <c r="K729" s="1" t="inlineStr">
        <is>
          <t>Yes</t>
        </is>
      </c>
      <c r="L729" s="1" t="inlineStr">
        <is>
          <t>No</t>
        </is>
      </c>
      <c r="M729" s="1" t="inlineStr">
        <is>
          <t>No</t>
        </is>
      </c>
      <c r="N729" s="1" t="inlineStr">
        <is>
          <t>Algorithms</t>
        </is>
      </c>
      <c r="O7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30" ht="15.75" customHeight="1" s="12">
      <c r="A730" s="1" t="n">
        <v>594</v>
      </c>
      <c r="B730" s="3">
        <f>HYPERLINK("https://leetcode.com/problems/longest-harmonious-subsequence/", "Longest Harmonious Subsequence")</f>
        <v/>
      </c>
      <c r="C730" s="1" t="n">
        <v>2800</v>
      </c>
      <c r="D730" s="1" t="n">
        <v>347</v>
      </c>
      <c r="E730" s="4">
        <f>IF(INDEX(C:C, ROW())+INDEX(D:D, ROW())=0, 0, INDEX(C:C, ROW())/(INDEX(C:C, ROW())+INDEX(D:D, ROW())))</f>
        <v/>
      </c>
      <c r="F730" s="1" t="inlineStr">
        <is>
          <t>Array, Hash Table, Sliding Window, Sorting, Counting</t>
        </is>
      </c>
      <c r="G730" s="1" t="inlineStr">
        <is>
          <t>Easy</t>
        </is>
      </c>
      <c r="H730" s="1" t="n">
        <v>368500</v>
      </c>
      <c r="I730" s="1" t="n">
        <v>573388</v>
      </c>
      <c r="J730" s="9" t="n">
        <v>0.643</v>
      </c>
      <c r="K730" s="1" t="inlineStr">
        <is>
          <t>Yes</t>
        </is>
      </c>
      <c r="L730" s="1" t="inlineStr">
        <is>
          <t>Yes</t>
        </is>
      </c>
      <c r="M730" s="1" t="inlineStr">
        <is>
          <t>No</t>
        </is>
      </c>
      <c r="N730" s="1" t="inlineStr">
        <is>
          <t>Algorithms</t>
        </is>
      </c>
      <c r="O7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31" ht="15.75" customHeight="1" s="12">
      <c r="A731" s="1" t="n">
        <v>323</v>
      </c>
      <c r="B731" s="3">
        <f>HYPERLINK("https://leetcode.com/problems/number-of-connected-components-in-an-undirected-graph/", "Number of Connected Components in an Undirected Graph")</f>
        <v/>
      </c>
      <c r="C731" s="1" t="n">
        <v>2797</v>
      </c>
      <c r="D731" s="1" t="n">
        <v>110</v>
      </c>
      <c r="E731" s="4">
        <f>IF(INDEX(C:C, ROW())+INDEX(D:D, ROW())=0, 0, INDEX(C:C, ROW())/(INDEX(C:C, ROW())+INDEX(D:D, ROW())))</f>
        <v/>
      </c>
      <c r="F731" s="1" t="inlineStr">
        <is>
          <t>Depth-First Search, Breadth-First Search, Union-Find, Graph Theory</t>
        </is>
      </c>
      <c r="G731" s="1" t="inlineStr">
        <is>
          <t>Medium</t>
        </is>
      </c>
      <c r="H731" s="1" t="n">
        <v>522445</v>
      </c>
      <c r="I731" s="1" t="n">
        <v>807566</v>
      </c>
      <c r="J731" s="9" t="n">
        <v>0.647</v>
      </c>
      <c r="K731" s="1" t="inlineStr">
        <is>
          <t>No</t>
        </is>
      </c>
      <c r="L731" s="1" t="inlineStr">
        <is>
          <t>Yes</t>
        </is>
      </c>
      <c r="M731" s="1" t="inlineStr">
        <is>
          <t>Yes</t>
        </is>
      </c>
      <c r="N731" s="1" t="inlineStr">
        <is>
          <t>Algorithms</t>
        </is>
      </c>
      <c r="O7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32" ht="15.75" customHeight="1" s="12">
      <c r="A732" s="1" t="n">
        <v>929</v>
      </c>
      <c r="B732" s="3">
        <f>HYPERLINK("https://leetcode.com/problems/unique-email-addresses/", "Unique Email Addresses")</f>
        <v/>
      </c>
      <c r="C732" s="1" t="n">
        <v>2794</v>
      </c>
      <c r="D732" s="1" t="n">
        <v>362</v>
      </c>
      <c r="E732" s="4">
        <f>IF(INDEX(C:C, ROW())+INDEX(D:D, ROW())=0, 0, INDEX(C:C, ROW())/(INDEX(C:C, ROW())+INDEX(D:D, ROW())))</f>
        <v/>
      </c>
      <c r="F732" s="1" t="inlineStr">
        <is>
          <t>Array, Hash Table, String</t>
        </is>
      </c>
      <c r="G732" s="1" t="inlineStr">
        <is>
          <t>Easy</t>
        </is>
      </c>
      <c r="H732" s="1" t="n">
        <v>568311</v>
      </c>
      <c r="I732" s="1" t="n">
        <v>838690</v>
      </c>
      <c r="J732" s="9" t="n">
        <v>0.678</v>
      </c>
      <c r="K732" s="1" t="inlineStr">
        <is>
          <t>Yes</t>
        </is>
      </c>
      <c r="L732" s="1" t="inlineStr">
        <is>
          <t>Yes</t>
        </is>
      </c>
      <c r="M732" s="1" t="inlineStr">
        <is>
          <t>No</t>
        </is>
      </c>
      <c r="N732" s="1" t="inlineStr">
        <is>
          <t>Algorithms</t>
        </is>
      </c>
      <c r="O7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33" ht="15.75" customHeight="1" s="12">
      <c r="A733" s="1" t="n">
        <v>922</v>
      </c>
      <c r="B733" s="3">
        <f>HYPERLINK("https://leetcode.com/problems/sort-array-by-parity-ii/", "Sort Array By Parity II")</f>
        <v/>
      </c>
      <c r="C733" s="1" t="n">
        <v>2789</v>
      </c>
      <c r="D733" s="1" t="n">
        <v>104</v>
      </c>
      <c r="E733" s="4">
        <f>IF(INDEX(C:C, ROW())+INDEX(D:D, ROW())=0, 0, INDEX(C:C, ROW())/(INDEX(C:C, ROW())+INDEX(D:D, ROW())))</f>
        <v/>
      </c>
      <c r="F733" s="1" t="inlineStr">
        <is>
          <t>Array, Two Pointers, Sorting</t>
        </is>
      </c>
      <c r="G733" s="1" t="inlineStr">
        <is>
          <t>Easy</t>
        </is>
      </c>
      <c r="H733" s="1" t="n">
        <v>330138</v>
      </c>
      <c r="I733" s="1" t="n">
        <v>464206</v>
      </c>
      <c r="J733" s="9" t="n">
        <v>0.711</v>
      </c>
      <c r="K733" s="1" t="inlineStr">
        <is>
          <t>Yes</t>
        </is>
      </c>
      <c r="L733" s="1" t="inlineStr">
        <is>
          <t>Yes</t>
        </is>
      </c>
      <c r="M733" s="1" t="inlineStr">
        <is>
          <t>Yes</t>
        </is>
      </c>
      <c r="N733" s="1" t="inlineStr">
        <is>
          <t>Algorithms</t>
        </is>
      </c>
      <c r="O7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34" ht="15.75" customHeight="1" s="12">
      <c r="A734" s="1" t="n">
        <v>1405</v>
      </c>
      <c r="B734" s="3">
        <f>HYPERLINK("https://leetcode.com/problems/longest-happy-string/", "Longest Happy String")</f>
        <v/>
      </c>
      <c r="C734" s="1" t="n">
        <v>2781</v>
      </c>
      <c r="D734" s="1" t="n">
        <v>319</v>
      </c>
      <c r="E734" s="4">
        <f>IF(INDEX(C:C, ROW())+INDEX(D:D, ROW())=0, 0, INDEX(C:C, ROW())/(INDEX(C:C, ROW())+INDEX(D:D, ROW())))</f>
        <v/>
      </c>
      <c r="F734" s="1" t="inlineStr">
        <is>
          <t>String, Greedy, Heap (Priority Queue)</t>
        </is>
      </c>
      <c r="G734" s="1" t="inlineStr">
        <is>
          <t>Medium</t>
        </is>
      </c>
      <c r="H734" s="1" t="n">
        <v>214217</v>
      </c>
      <c r="I734" s="1" t="n">
        <v>327108</v>
      </c>
      <c r="J734" s="9" t="n">
        <v>0.655</v>
      </c>
      <c r="K734" s="1" t="inlineStr">
        <is>
          <t>Yes</t>
        </is>
      </c>
      <c r="L734" s="1" t="inlineStr">
        <is>
          <t>Yes</t>
        </is>
      </c>
      <c r="M734" s="1" t="inlineStr">
        <is>
          <t>No</t>
        </is>
      </c>
      <c r="N734" s="1" t="inlineStr">
        <is>
          <t>Algorithms</t>
        </is>
      </c>
      <c r="O7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35" ht="15.75" customHeight="1" s="12">
      <c r="A735" s="1" t="n">
        <v>1614</v>
      </c>
      <c r="B735" s="3">
        <f>HYPERLINK("https://leetcode.com/problems/maximum-nesting-depth-of-the-parentheses/", "Maximum Nesting Depth of the Parentheses")</f>
        <v/>
      </c>
      <c r="C735" s="1" t="n">
        <v>2779</v>
      </c>
      <c r="D735" s="1" t="n">
        <v>523</v>
      </c>
      <c r="E735" s="4">
        <f>IF(INDEX(C:C, ROW())+INDEX(D:D, ROW())=0, 0, INDEX(C:C, ROW())/(INDEX(C:C, ROW())+INDEX(D:D, ROW())))</f>
        <v/>
      </c>
      <c r="F735" s="1" t="inlineStr">
        <is>
          <t>String, Stack</t>
        </is>
      </c>
      <c r="G735" s="1" t="inlineStr">
        <is>
          <t>Easy</t>
        </is>
      </c>
      <c r="H735" s="1" t="n">
        <v>521999</v>
      </c>
      <c r="I735" s="1" t="n">
        <v>616234</v>
      </c>
      <c r="J735" s="9" t="n">
        <v>0.847</v>
      </c>
      <c r="K735" s="1" t="inlineStr">
        <is>
          <t>Yes</t>
        </is>
      </c>
      <c r="L735" s="1" t="inlineStr">
        <is>
          <t>Yes</t>
        </is>
      </c>
      <c r="M735" s="1" t="inlineStr">
        <is>
          <t>No</t>
        </is>
      </c>
      <c r="N735" s="1" t="inlineStr">
        <is>
          <t>Algorithms</t>
        </is>
      </c>
      <c r="O7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36" ht="15.75" customHeight="1" s="12">
      <c r="A736" s="1" t="n">
        <v>2348</v>
      </c>
      <c r="B736" s="3">
        <f>HYPERLINK("https://leetcode.com/problems/number-of-zero-filled-subarrays/", "Number of Zero-Filled Subarrays")</f>
        <v/>
      </c>
      <c r="C736" s="1" t="n">
        <v>2775</v>
      </c>
      <c r="D736" s="1" t="n">
        <v>94</v>
      </c>
      <c r="E736" s="4">
        <f>IF(INDEX(C:C, ROW())+INDEX(D:D, ROW())=0, 0, INDEX(C:C, ROW())/(INDEX(C:C, ROW())+INDEX(D:D, ROW())))</f>
        <v/>
      </c>
      <c r="F736" s="1" t="inlineStr">
        <is>
          <t>Array, Math</t>
        </is>
      </c>
      <c r="G736" s="1" t="inlineStr">
        <is>
          <t>Medium</t>
        </is>
      </c>
      <c r="H736" s="1" t="n">
        <v>302902</v>
      </c>
      <c r="I736" s="1" t="n">
        <v>431717</v>
      </c>
      <c r="J736" s="9" t="n">
        <v>0.702</v>
      </c>
      <c r="K736" s="1" t="inlineStr">
        <is>
          <t>Yes</t>
        </is>
      </c>
      <c r="L736" s="1" t="inlineStr">
        <is>
          <t>Yes</t>
        </is>
      </c>
      <c r="M736" s="1" t="inlineStr">
        <is>
          <t>No</t>
        </is>
      </c>
      <c r="N736" s="1" t="inlineStr">
        <is>
          <t>Algorithms</t>
        </is>
      </c>
      <c r="O7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37" ht="15.75" customHeight="1" s="12">
      <c r="A737" s="1" t="n">
        <v>629</v>
      </c>
      <c r="B737" s="3">
        <f>HYPERLINK("https://leetcode.com/problems/k-inverse-pairs-array/", "K Inverse Pairs Array")</f>
        <v/>
      </c>
      <c r="C737" s="1" t="n">
        <v>2768</v>
      </c>
      <c r="D737" s="1" t="n">
        <v>331</v>
      </c>
      <c r="E737" s="4">
        <f>IF(INDEX(C:C, ROW())+INDEX(D:D, ROW())=0, 0, INDEX(C:C, ROW())/(INDEX(C:C, ROW())+INDEX(D:D, ROW())))</f>
        <v/>
      </c>
      <c r="F737" s="1" t="inlineStr">
        <is>
          <t>Dynamic Programming</t>
        </is>
      </c>
      <c r="G737" s="1" t="inlineStr">
        <is>
          <t>Hard</t>
        </is>
      </c>
      <c r="H737" s="1" t="n">
        <v>139010</v>
      </c>
      <c r="I737" s="1" t="n">
        <v>283940</v>
      </c>
      <c r="J737" s="9" t="n">
        <v>0.49</v>
      </c>
      <c r="K737" s="1" t="inlineStr">
        <is>
          <t>Yes</t>
        </is>
      </c>
      <c r="L737" s="1" t="inlineStr">
        <is>
          <t>Yes</t>
        </is>
      </c>
      <c r="M737" s="1" t="inlineStr">
        <is>
          <t>No</t>
        </is>
      </c>
      <c r="N737" s="1" t="inlineStr">
        <is>
          <t>Algorithms</t>
        </is>
      </c>
      <c r="O7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38" ht="15.75" customHeight="1" s="12">
      <c r="A738" s="1" t="n">
        <v>945</v>
      </c>
      <c r="B738" s="3">
        <f>HYPERLINK("https://leetcode.com/problems/minimum-increment-to-make-array-unique/", "Minimum Increment to Make Array Unique")</f>
        <v/>
      </c>
      <c r="C738" s="1" t="n">
        <v>2768</v>
      </c>
      <c r="D738" s="1" t="n">
        <v>84</v>
      </c>
      <c r="E738" s="4">
        <f>IF(INDEX(C:C, ROW())+INDEX(D:D, ROW())=0, 0, INDEX(C:C, ROW())/(INDEX(C:C, ROW())+INDEX(D:D, ROW())))</f>
        <v/>
      </c>
      <c r="F738" s="1" t="inlineStr">
        <is>
          <t>Array, Greedy, Sorting, Counting</t>
        </is>
      </c>
      <c r="G738" s="1" t="inlineStr">
        <is>
          <t>Medium</t>
        </is>
      </c>
      <c r="H738" s="1" t="n">
        <v>265822</v>
      </c>
      <c r="I738" s="1" t="n">
        <v>439118</v>
      </c>
      <c r="J738" s="9" t="n">
        <v>0.605</v>
      </c>
      <c r="K738" s="1" t="inlineStr">
        <is>
          <t>Yes</t>
        </is>
      </c>
      <c r="L738" s="1" t="inlineStr">
        <is>
          <t>Yes</t>
        </is>
      </c>
      <c r="M738" s="1" t="inlineStr">
        <is>
          <t>No</t>
        </is>
      </c>
      <c r="N738" s="1" t="inlineStr">
        <is>
          <t>Algorithms</t>
        </is>
      </c>
      <c r="O7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39" ht="15.75" customHeight="1" s="12">
      <c r="A739" s="1" t="n">
        <v>664</v>
      </c>
      <c r="B739" s="3">
        <f>HYPERLINK("https://leetcode.com/problems/strange-printer/", "Strange Printer")</f>
        <v/>
      </c>
      <c r="C739" s="1" t="n">
        <v>2759</v>
      </c>
      <c r="D739" s="1" t="n">
        <v>288</v>
      </c>
      <c r="E739" s="4">
        <f>IF(INDEX(C:C, ROW())+INDEX(D:D, ROW())=0, 0, INDEX(C:C, ROW())/(INDEX(C:C, ROW())+INDEX(D:D, ROW())))</f>
        <v/>
      </c>
      <c r="F739" s="1" t="inlineStr">
        <is>
          <t>String, Dynamic Programming</t>
        </is>
      </c>
      <c r="G739" s="1" t="inlineStr">
        <is>
          <t>Hard</t>
        </is>
      </c>
      <c r="H739" s="1" t="n">
        <v>158758</v>
      </c>
      <c r="I739" s="1" t="n">
        <v>260891</v>
      </c>
      <c r="J739" s="9" t="n">
        <v>0.609</v>
      </c>
      <c r="K739" s="1" t="inlineStr">
        <is>
          <t>Yes</t>
        </is>
      </c>
      <c r="L739" s="1" t="inlineStr">
        <is>
          <t>Yes</t>
        </is>
      </c>
      <c r="M739" s="1" t="inlineStr">
        <is>
          <t>No</t>
        </is>
      </c>
      <c r="N739" s="1" t="inlineStr">
        <is>
          <t>Algorithms</t>
        </is>
      </c>
      <c r="O7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40" ht="15.75" customHeight="1" s="12">
      <c r="A740" s="1" t="n">
        <v>590</v>
      </c>
      <c r="B740" s="3">
        <f>HYPERLINK("https://leetcode.com/problems/n-ary-tree-postorder-traversal/", "N-ary Tree Postorder Traversal")</f>
        <v/>
      </c>
      <c r="C740" s="1" t="n">
        <v>2750</v>
      </c>
      <c r="D740" s="1" t="n">
        <v>119</v>
      </c>
      <c r="E740" s="4">
        <f>IF(INDEX(C:C, ROW())+INDEX(D:D, ROW())=0, 0, INDEX(C:C, ROW())/(INDEX(C:C, ROW())+INDEX(D:D, ROW())))</f>
        <v/>
      </c>
      <c r="F740" s="1" t="inlineStr">
        <is>
          <t>Stack, Tree, Depth-First Search</t>
        </is>
      </c>
      <c r="G740" s="1" t="inlineStr">
        <is>
          <t>Easy</t>
        </is>
      </c>
      <c r="H740" s="1" t="n">
        <v>421957</v>
      </c>
      <c r="I740" s="1" t="n">
        <v>521354</v>
      </c>
      <c r="J740" s="9" t="n">
        <v>0.8090000000000001</v>
      </c>
      <c r="K740" s="1" t="inlineStr">
        <is>
          <t>Yes</t>
        </is>
      </c>
      <c r="L740" s="1" t="inlineStr">
        <is>
          <t>Yes</t>
        </is>
      </c>
      <c r="M740" s="1" t="inlineStr">
        <is>
          <t>No</t>
        </is>
      </c>
      <c r="N740" s="1" t="inlineStr">
        <is>
          <t>Algorithms</t>
        </is>
      </c>
      <c r="O7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41" ht="15.75" customHeight="1" s="12">
      <c r="A741" s="1" t="n">
        <v>1081</v>
      </c>
      <c r="B741" s="3">
        <f>HYPERLINK("https://leetcode.com/problems/smallest-subsequence-of-distinct-characters/", "Smallest Subsequence of Distinct Characters")</f>
        <v/>
      </c>
      <c r="C741" s="1" t="n">
        <v>2746</v>
      </c>
      <c r="D741" s="1" t="n">
        <v>199</v>
      </c>
      <c r="E741" s="4">
        <f>IF(INDEX(C:C, ROW())+INDEX(D:D, ROW())=0, 0, INDEX(C:C, ROW())/(INDEX(C:C, ROW())+INDEX(D:D, ROW())))</f>
        <v/>
      </c>
      <c r="F741" s="1" t="inlineStr">
        <is>
          <t>String, Stack, Greedy, Monotonic Stack</t>
        </is>
      </c>
      <c r="G741" s="1" t="inlineStr">
        <is>
          <t>Medium</t>
        </is>
      </c>
      <c r="H741" s="1" t="n">
        <v>92204</v>
      </c>
      <c r="I741" s="1" t="n">
        <v>146647</v>
      </c>
      <c r="J741" s="9" t="n">
        <v>0.629</v>
      </c>
      <c r="K741" s="1" t="inlineStr">
        <is>
          <t>Yes</t>
        </is>
      </c>
      <c r="L741" s="1" t="inlineStr">
        <is>
          <t>No</t>
        </is>
      </c>
      <c r="M741" s="1" t="inlineStr">
        <is>
          <t>No</t>
        </is>
      </c>
      <c r="N741" s="1" t="inlineStr">
        <is>
          <t>Algorithms</t>
        </is>
      </c>
      <c r="O7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42" ht="15.75" customHeight="1" s="12">
      <c r="A742" s="1" t="n">
        <v>649</v>
      </c>
      <c r="B742" s="3">
        <f>HYPERLINK("https://leetcode.com/problems/dota2-senate/", "Dota2 Senate")</f>
        <v/>
      </c>
      <c r="C742" s="1" t="n">
        <v>2740</v>
      </c>
      <c r="D742" s="1" t="n">
        <v>2070</v>
      </c>
      <c r="E742" s="4">
        <f>IF(INDEX(C:C, ROW())+INDEX(D:D, ROW())=0, 0, INDEX(C:C, ROW())/(INDEX(C:C, ROW())+INDEX(D:D, ROW())))</f>
        <v/>
      </c>
      <c r="F742" s="1" t="inlineStr">
        <is>
          <t>String, Greedy, Queue</t>
        </is>
      </c>
      <c r="G742" s="1" t="inlineStr">
        <is>
          <t>Medium</t>
        </is>
      </c>
      <c r="H742" s="1" t="n">
        <v>270626</v>
      </c>
      <c r="I742" s="1" t="n">
        <v>546770</v>
      </c>
      <c r="J742" s="9" t="n">
        <v>0.495</v>
      </c>
      <c r="K742" s="1" t="inlineStr">
        <is>
          <t>Yes</t>
        </is>
      </c>
      <c r="L742" s="1" t="inlineStr">
        <is>
          <t>Yes</t>
        </is>
      </c>
      <c r="M742" s="1" t="inlineStr">
        <is>
          <t>No</t>
        </is>
      </c>
      <c r="N742" s="1" t="inlineStr">
        <is>
          <t>Algorithms</t>
        </is>
      </c>
      <c r="O7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43" ht="15.75" customHeight="1" s="12">
      <c r="A743" s="1" t="n">
        <v>773</v>
      </c>
      <c r="B743" s="3">
        <f>HYPERLINK("https://leetcode.com/problems/sliding-puzzle/", "Sliding Puzzle")</f>
        <v/>
      </c>
      <c r="C743" s="1" t="n">
        <v>2729</v>
      </c>
      <c r="D743" s="1" t="n">
        <v>75</v>
      </c>
      <c r="E743" s="4">
        <f>IF(INDEX(C:C, ROW())+INDEX(D:D, ROW())=0, 0, INDEX(C:C, ROW())/(INDEX(C:C, ROW())+INDEX(D:D, ROW())))</f>
        <v/>
      </c>
      <c r="F743" s="1" t="inlineStr">
        <is>
          <t>Array, Dynamic Programming, Backtracking, Breadth-First Search, Memoization, Matrix</t>
        </is>
      </c>
      <c r="G743" s="1" t="inlineStr">
        <is>
          <t>Hard</t>
        </is>
      </c>
      <c r="H743" s="1" t="n">
        <v>188310</v>
      </c>
      <c r="I743" s="1" t="n">
        <v>256269</v>
      </c>
      <c r="J743" s="9" t="n">
        <v>0.735</v>
      </c>
      <c r="K743" s="1" t="inlineStr">
        <is>
          <t>Yes</t>
        </is>
      </c>
      <c r="L743" s="1" t="inlineStr">
        <is>
          <t>Yes</t>
        </is>
      </c>
      <c r="M743" s="1" t="inlineStr">
        <is>
          <t>No</t>
        </is>
      </c>
      <c r="N743" s="1" t="inlineStr">
        <is>
          <t>Algorithms</t>
        </is>
      </c>
      <c r="O7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44" ht="15.75" customHeight="1" s="12">
      <c r="A744" s="1" t="n">
        <v>426</v>
      </c>
      <c r="B744" s="3">
        <f>HYPERLINK("https://leetcode.com/problems/convert-binary-search-tree-to-sorted-doubly-linked-list/", "Convert Binary Search Tree to Sorted Doubly Linked List")</f>
        <v/>
      </c>
      <c r="C744" s="1" t="n">
        <v>2728</v>
      </c>
      <c r="D744" s="1" t="n">
        <v>243</v>
      </c>
      <c r="E744" s="4">
        <f>IF(INDEX(C:C, ROW())+INDEX(D:D, ROW())=0, 0, INDEX(C:C, ROW())/(INDEX(C:C, ROW())+INDEX(D:D, ROW())))</f>
        <v/>
      </c>
      <c r="F744" s="1" t="inlineStr">
        <is>
          <t>Linked List, Stack, Tree, Depth-First Search, Binary Search Tree, Binary Tree, Doubly-Linked List</t>
        </is>
      </c>
      <c r="G744" s="1" t="inlineStr">
        <is>
          <t>Medium</t>
        </is>
      </c>
      <c r="H744" s="1" t="n">
        <v>369591</v>
      </c>
      <c r="I744" s="1" t="n">
        <v>563146</v>
      </c>
      <c r="J744" s="9" t="n">
        <v>0.656</v>
      </c>
      <c r="K744" s="1" t="inlineStr">
        <is>
          <t>No</t>
        </is>
      </c>
      <c r="L744" s="1" t="inlineStr">
        <is>
          <t>Yes</t>
        </is>
      </c>
      <c r="M744" s="1" t="inlineStr">
        <is>
          <t>No</t>
        </is>
      </c>
      <c r="N744" s="1" t="inlineStr">
        <is>
          <t>Algorithms</t>
        </is>
      </c>
      <c r="O7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45" ht="15.75" customHeight="1" s="12">
      <c r="A745" s="1" t="n">
        <v>2305</v>
      </c>
      <c r="B745" s="3">
        <f>HYPERLINK("https://leetcode.com/problems/fair-distribution-of-cookies/", "Fair Distribution of Cookies")</f>
        <v/>
      </c>
      <c r="C745" s="1" t="n">
        <v>2720</v>
      </c>
      <c r="D745" s="1" t="n">
        <v>125</v>
      </c>
      <c r="E745" s="4">
        <f>IF(INDEX(C:C, ROW())+INDEX(D:D, ROW())=0, 0, INDEX(C:C, ROW())/(INDEX(C:C, ROW())+INDEX(D:D, ROW())))</f>
        <v/>
      </c>
      <c r="F745" s="1" t="inlineStr">
        <is>
          <t>Array, Dynamic Programming, Backtracking, Bit Manipulation, Bitmask DP</t>
        </is>
      </c>
      <c r="G745" s="1" t="inlineStr">
        <is>
          <t>Medium</t>
        </is>
      </c>
      <c r="H745" s="1" t="n">
        <v>117744</v>
      </c>
      <c r="I745" s="1" t="n">
        <v>168780</v>
      </c>
      <c r="J745" s="9" t="n">
        <v>0.698</v>
      </c>
      <c r="K745" s="1" t="inlineStr">
        <is>
          <t>Yes</t>
        </is>
      </c>
      <c r="L745" s="1" t="inlineStr">
        <is>
          <t>Yes</t>
        </is>
      </c>
      <c r="M745" s="1" t="inlineStr">
        <is>
          <t>No</t>
        </is>
      </c>
      <c r="N745" s="1" t="inlineStr">
        <is>
          <t>Algorithms</t>
        </is>
      </c>
      <c r="O7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46" ht="15.75" customHeight="1" s="12">
      <c r="A746" s="1" t="n">
        <v>1266</v>
      </c>
      <c r="B746" s="3">
        <f>HYPERLINK("https://leetcode.com/problems/minimum-time-visiting-all-points/", "Minimum Time Visiting All Points")</f>
        <v/>
      </c>
      <c r="C746" s="1" t="n">
        <v>2715</v>
      </c>
      <c r="D746" s="1" t="n">
        <v>270</v>
      </c>
      <c r="E746" s="4">
        <f>IF(INDEX(C:C, ROW())+INDEX(D:D, ROW())=0, 0, INDEX(C:C, ROW())/(INDEX(C:C, ROW())+INDEX(D:D, ROW())))</f>
        <v/>
      </c>
      <c r="F746" s="1" t="inlineStr">
        <is>
          <t>Array, Math, Geometry</t>
        </is>
      </c>
      <c r="G746" s="1" t="inlineStr">
        <is>
          <t>Easy</t>
        </is>
      </c>
      <c r="H746" s="1" t="n">
        <v>394563</v>
      </c>
      <c r="I746" s="1" t="n">
        <v>465539</v>
      </c>
      <c r="J746" s="9" t="n">
        <v>0.848</v>
      </c>
      <c r="K746" s="1" t="inlineStr">
        <is>
          <t>Yes</t>
        </is>
      </c>
      <c r="L746" s="1" t="inlineStr">
        <is>
          <t>Yes</t>
        </is>
      </c>
      <c r="M746" s="1" t="inlineStr">
        <is>
          <t>No</t>
        </is>
      </c>
      <c r="N746" s="1" t="inlineStr">
        <is>
          <t>Algorithms</t>
        </is>
      </c>
      <c r="O7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47" ht="15.75" customHeight="1" s="12">
      <c r="A747" s="1" t="n">
        <v>1802</v>
      </c>
      <c r="B747" s="3">
        <f>HYPERLINK("https://leetcode.com/problems/maximum-value-at-a-given-index-in-a-bounded-array/", "Maximum Value at a Given Index in a Bounded Array")</f>
        <v/>
      </c>
      <c r="C747" s="1" t="n">
        <v>2707</v>
      </c>
      <c r="D747" s="1" t="n">
        <v>476</v>
      </c>
      <c r="E747" s="4">
        <f>IF(INDEX(C:C, ROW())+INDEX(D:D, ROW())=0, 0, INDEX(C:C, ROW())/(INDEX(C:C, ROW())+INDEX(D:D, ROW())))</f>
        <v/>
      </c>
      <c r="F747" s="1" t="inlineStr">
        <is>
          <t>Math, Binary Search, Greedy</t>
        </is>
      </c>
      <c r="G747" s="1" t="inlineStr">
        <is>
          <t>Medium</t>
        </is>
      </c>
      <c r="H747" s="1" t="n">
        <v>86996</v>
      </c>
      <c r="I747" s="1" t="n">
        <v>223890</v>
      </c>
      <c r="J747" s="9" t="n">
        <v>0.389</v>
      </c>
      <c r="K747" s="1" t="inlineStr">
        <is>
          <t>Yes</t>
        </is>
      </c>
      <c r="L747" s="1" t="inlineStr">
        <is>
          <t>Yes</t>
        </is>
      </c>
      <c r="M747" s="1" t="inlineStr">
        <is>
          <t>No</t>
        </is>
      </c>
      <c r="N747" s="1" t="inlineStr">
        <is>
          <t>Algorithms</t>
        </is>
      </c>
      <c r="O7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48" ht="15.75" customHeight="1" s="12">
      <c r="A748" s="1" t="n">
        <v>1232</v>
      </c>
      <c r="B748" s="3">
        <f>HYPERLINK("https://leetcode.com/problems/check-if-it-is-a-straight-line/", "Check If It Is a Straight Line")</f>
        <v/>
      </c>
      <c r="C748" s="1" t="n">
        <v>2692</v>
      </c>
      <c r="D748" s="1" t="n">
        <v>295</v>
      </c>
      <c r="E748" s="4">
        <f>IF(INDEX(C:C, ROW())+INDEX(D:D, ROW())=0, 0, INDEX(C:C, ROW())/(INDEX(C:C, ROW())+INDEX(D:D, ROW())))</f>
        <v/>
      </c>
      <c r="F748" s="1" t="inlineStr">
        <is>
          <t>Array, Math, Geometry</t>
        </is>
      </c>
      <c r="G748" s="1" t="inlineStr">
        <is>
          <t>Easy</t>
        </is>
      </c>
      <c r="H748" s="1" t="n">
        <v>301213</v>
      </c>
      <c r="I748" s="1" t="n">
        <v>754383</v>
      </c>
      <c r="J748" s="9" t="n">
        <v>0.399</v>
      </c>
      <c r="K748" s="1" t="inlineStr">
        <is>
          <t>Yes</t>
        </is>
      </c>
      <c r="L748" s="1" t="inlineStr">
        <is>
          <t>Yes</t>
        </is>
      </c>
      <c r="M748" s="1" t="inlineStr">
        <is>
          <t>No</t>
        </is>
      </c>
      <c r="N748" s="1" t="inlineStr">
        <is>
          <t>Algorithms</t>
        </is>
      </c>
      <c r="O7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49" ht="15.75" customHeight="1" s="12">
      <c r="A749" s="1" t="n">
        <v>873</v>
      </c>
      <c r="B749" s="3">
        <f>HYPERLINK("https://leetcode.com/problems/length-of-longest-fibonacci-subsequence/", "Length of Longest Fibonacci Subsequence")</f>
        <v/>
      </c>
      <c r="C749" s="1" t="n">
        <v>2690</v>
      </c>
      <c r="D749" s="1" t="n">
        <v>109</v>
      </c>
      <c r="E749" s="4">
        <f>IF(INDEX(C:C, ROW())+INDEX(D:D, ROW())=0, 0, INDEX(C:C, ROW())/(INDEX(C:C, ROW())+INDEX(D:D, ROW())))</f>
        <v/>
      </c>
      <c r="F749" s="1" t="inlineStr">
        <is>
          <t>Array, Hash Table, Dynamic Programming</t>
        </is>
      </c>
      <c r="G749" s="1" t="inlineStr">
        <is>
          <t>Medium</t>
        </is>
      </c>
      <c r="H749" s="1" t="n">
        <v>190430</v>
      </c>
      <c r="I749" s="1" t="n">
        <v>330929</v>
      </c>
      <c r="J749" s="9" t="n">
        <v>0.575</v>
      </c>
      <c r="K749" s="1" t="inlineStr">
        <is>
          <t>Yes</t>
        </is>
      </c>
      <c r="L749" s="1" t="inlineStr">
        <is>
          <t>Yes</t>
        </is>
      </c>
      <c r="M749" s="1" t="inlineStr">
        <is>
          <t>No</t>
        </is>
      </c>
      <c r="N749" s="1" t="inlineStr">
        <is>
          <t>Algorithms</t>
        </is>
      </c>
      <c r="O7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50" ht="15.75" customHeight="1" s="12">
      <c r="A750" s="1" t="n">
        <v>1700</v>
      </c>
      <c r="B750" s="3">
        <f>HYPERLINK("https://leetcode.com/problems/number-of-students-unable-to-eat-lunch/", "Number of Students Unable to Eat Lunch")</f>
        <v/>
      </c>
      <c r="C750" s="1" t="n">
        <v>2676</v>
      </c>
      <c r="D750" s="1" t="n">
        <v>287</v>
      </c>
      <c r="E750" s="4">
        <f>IF(INDEX(C:C, ROW())+INDEX(D:D, ROW())=0, 0, INDEX(C:C, ROW())/(INDEX(C:C, ROW())+INDEX(D:D, ROW())))</f>
        <v/>
      </c>
      <c r="F750" s="1" t="inlineStr">
        <is>
          <t>Array, Stack, Queue, Simulation</t>
        </is>
      </c>
      <c r="G750" s="1" t="inlineStr">
        <is>
          <t>Easy</t>
        </is>
      </c>
      <c r="H750" s="1" t="n">
        <v>347232</v>
      </c>
      <c r="I750" s="1" t="n">
        <v>438295</v>
      </c>
      <c r="J750" s="9" t="n">
        <v>0.792</v>
      </c>
      <c r="K750" s="1" t="inlineStr">
        <is>
          <t>Yes</t>
        </is>
      </c>
      <c r="L750" s="1" t="inlineStr">
        <is>
          <t>Yes</t>
        </is>
      </c>
      <c r="M750" s="1" t="inlineStr">
        <is>
          <t>No</t>
        </is>
      </c>
      <c r="N750" s="1" t="inlineStr">
        <is>
          <t>Algorithms</t>
        </is>
      </c>
      <c r="O7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51" ht="15.75" customHeight="1" s="12">
      <c r="A751" s="1" t="n">
        <v>923</v>
      </c>
      <c r="B751" s="3">
        <f>HYPERLINK("https://leetcode.com/problems/3sum-with-multiplicity/", "3Sum With Multiplicity")</f>
        <v/>
      </c>
      <c r="C751" s="1" t="n">
        <v>2675</v>
      </c>
      <c r="D751" s="1" t="n">
        <v>329</v>
      </c>
      <c r="E751" s="4">
        <f>IF(INDEX(C:C, ROW())+INDEX(D:D, ROW())=0, 0, INDEX(C:C, ROW())/(INDEX(C:C, ROW())+INDEX(D:D, ROW())))</f>
        <v/>
      </c>
      <c r="F751" s="1" t="inlineStr">
        <is>
          <t>Array, Hash Table, Two Pointers, Sorting, Counting</t>
        </is>
      </c>
      <c r="G751" s="1" t="inlineStr">
        <is>
          <t>Medium</t>
        </is>
      </c>
      <c r="H751" s="1" t="n">
        <v>118556</v>
      </c>
      <c r="I751" s="1" t="n">
        <v>257126</v>
      </c>
      <c r="J751" s="9" t="n">
        <v>0.461</v>
      </c>
      <c r="K751" s="1" t="inlineStr">
        <is>
          <t>Yes</t>
        </is>
      </c>
      <c r="L751" s="1" t="inlineStr">
        <is>
          <t>Yes</t>
        </is>
      </c>
      <c r="M751" s="1" t="inlineStr">
        <is>
          <t>No</t>
        </is>
      </c>
      <c r="N751" s="1" t="inlineStr">
        <is>
          <t>Algorithms</t>
        </is>
      </c>
      <c r="O7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52" ht="15.75" customHeight="1" s="12">
      <c r="A752" s="1" t="n">
        <v>1579</v>
      </c>
      <c r="B752" s="3">
        <f>HYPERLINK("https://leetcode.com/problems/remove-max-number-of-edges-to-keep-graph-fully-traversable/", "Remove Max Number of Edges to Keep Graph Fully Traversable")</f>
        <v/>
      </c>
      <c r="C752" s="1" t="n">
        <v>2670</v>
      </c>
      <c r="D752" s="1" t="n">
        <v>46</v>
      </c>
      <c r="E752" s="4">
        <f>IF(INDEX(C:C, ROW())+INDEX(D:D, ROW())=0, 0, INDEX(C:C, ROW())/(INDEX(C:C, ROW())+INDEX(D:D, ROW())))</f>
        <v/>
      </c>
      <c r="F752" s="1" t="inlineStr">
        <is>
          <t>Union-Find, Graph Theory</t>
        </is>
      </c>
      <c r="G752" s="1" t="inlineStr">
        <is>
          <t>Hard</t>
        </is>
      </c>
      <c r="H752" s="1" t="n">
        <v>142471</v>
      </c>
      <c r="I752" s="1" t="n">
        <v>202834</v>
      </c>
      <c r="J752" s="9" t="n">
        <v>0.702</v>
      </c>
      <c r="K752" s="1" t="inlineStr">
        <is>
          <t>Yes</t>
        </is>
      </c>
      <c r="L752" s="1" t="inlineStr">
        <is>
          <t>Yes</t>
        </is>
      </c>
      <c r="M752" s="1" t="inlineStr">
        <is>
          <t>No</t>
        </is>
      </c>
      <c r="N752" s="1" t="inlineStr">
        <is>
          <t>Algorithms</t>
        </is>
      </c>
      <c r="O7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53" ht="15.75" customHeight="1" s="12">
      <c r="A753" s="1" t="n">
        <v>1863</v>
      </c>
      <c r="B753" s="3">
        <f>HYPERLINK("https://leetcode.com/problems/sum-of-all-subset-xor-totals/", "Sum of All Subset XOR Totals")</f>
        <v/>
      </c>
      <c r="C753" s="1" t="n">
        <v>2665</v>
      </c>
      <c r="D753" s="1" t="n">
        <v>349</v>
      </c>
      <c r="E753" s="4">
        <f>IF(INDEX(C:C, ROW())+INDEX(D:D, ROW())=0, 0, INDEX(C:C, ROW())/(INDEX(C:C, ROW())+INDEX(D:D, ROW())))</f>
        <v/>
      </c>
      <c r="F753" s="1" t="inlineStr">
        <is>
          <t>Array, Math, Backtracking, Bit Manipulation, Combinatorics, Enumeration</t>
        </is>
      </c>
      <c r="G753" s="1" t="inlineStr">
        <is>
          <t>Easy</t>
        </is>
      </c>
      <c r="H753" s="1" t="n">
        <v>346382</v>
      </c>
      <c r="I753" s="1" t="n">
        <v>384616</v>
      </c>
      <c r="J753" s="9" t="n">
        <v>0.901</v>
      </c>
      <c r="K753" s="1" t="inlineStr">
        <is>
          <t>Yes</t>
        </is>
      </c>
      <c r="L753" s="1" t="inlineStr">
        <is>
          <t>Yes</t>
        </is>
      </c>
      <c r="M753" s="1" t="inlineStr">
        <is>
          <t>No</t>
        </is>
      </c>
      <c r="N753" s="1" t="inlineStr">
        <is>
          <t>Algorithms</t>
        </is>
      </c>
      <c r="O7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54" ht="15.75" customHeight="1" s="12">
      <c r="A754" s="1" t="n">
        <v>1052</v>
      </c>
      <c r="B754" s="3">
        <f>HYPERLINK("https://leetcode.com/problems/grumpy-bookstore-owner/", "Grumpy Bookstore Owner")</f>
        <v/>
      </c>
      <c r="C754" s="1" t="n">
        <v>2663</v>
      </c>
      <c r="D754" s="1" t="n">
        <v>259</v>
      </c>
      <c r="E754" s="4">
        <f>IF(INDEX(C:C, ROW())+INDEX(D:D, ROW())=0, 0, INDEX(C:C, ROW())/(INDEX(C:C, ROW())+INDEX(D:D, ROW())))</f>
        <v/>
      </c>
      <c r="F754" s="1" t="inlineStr">
        <is>
          <t>Array, Sliding Window</t>
        </is>
      </c>
      <c r="G754" s="1" t="inlineStr">
        <is>
          <t>Medium</t>
        </is>
      </c>
      <c r="H754" s="1" t="n">
        <v>229945</v>
      </c>
      <c r="I754" s="1" t="n">
        <v>359605</v>
      </c>
      <c r="J754" s="9" t="n">
        <v>0.639</v>
      </c>
      <c r="K754" s="1" t="inlineStr">
        <is>
          <t>Yes</t>
        </is>
      </c>
      <c r="L754" s="1" t="inlineStr">
        <is>
          <t>Yes</t>
        </is>
      </c>
      <c r="M754" s="1" t="inlineStr">
        <is>
          <t>No</t>
        </is>
      </c>
      <c r="N754" s="1" t="inlineStr">
        <is>
          <t>Algorithms</t>
        </is>
      </c>
      <c r="O7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55" ht="15.75" customHeight="1" s="12">
      <c r="A755" s="1" t="n">
        <v>1105</v>
      </c>
      <c r="B755" s="3">
        <f>HYPERLINK("https://leetcode.com/problems/filling-bookcase-shelves/", "Filling Bookcase Shelves")</f>
        <v/>
      </c>
      <c r="C755" s="1" t="n">
        <v>2663</v>
      </c>
      <c r="D755" s="1" t="n">
        <v>266</v>
      </c>
      <c r="E755" s="4">
        <f>IF(INDEX(C:C, ROW())+INDEX(D:D, ROW())=0, 0, INDEX(C:C, ROW())/(INDEX(C:C, ROW())+INDEX(D:D, ROW())))</f>
        <v/>
      </c>
      <c r="F755" s="1" t="inlineStr">
        <is>
          <t>Array, Dynamic Programming</t>
        </is>
      </c>
      <c r="G755" s="1" t="inlineStr">
        <is>
          <t>Medium</t>
        </is>
      </c>
      <c r="H755" s="1" t="n">
        <v>156446</v>
      </c>
      <c r="I755" s="1" t="n">
        <v>227950</v>
      </c>
      <c r="J755" s="9" t="n">
        <v>0.6860000000000001</v>
      </c>
      <c r="K755" s="1" t="inlineStr">
        <is>
          <t>Yes</t>
        </is>
      </c>
      <c r="L755" s="1" t="inlineStr">
        <is>
          <t>Yes</t>
        </is>
      </c>
      <c r="M755" s="1" t="inlineStr">
        <is>
          <t>No</t>
        </is>
      </c>
      <c r="N755" s="1" t="inlineStr">
        <is>
          <t>Algorithms</t>
        </is>
      </c>
      <c r="O7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56" ht="15.75" customHeight="1" s="12">
      <c r="A756" s="1" t="n">
        <v>180</v>
      </c>
      <c r="B756" s="3">
        <f>HYPERLINK("https://leetcode.com/problems/consecutive-numbers/", "Consecutive Numbers")</f>
        <v/>
      </c>
      <c r="C756" s="1" t="n">
        <v>2658</v>
      </c>
      <c r="D756" s="1" t="n">
        <v>357</v>
      </c>
      <c r="E756" s="4">
        <f>IF(INDEX(C:C, ROW())+INDEX(D:D, ROW())=0, 0, INDEX(C:C, ROW())/(INDEX(C:C, ROW())+INDEX(D:D, ROW())))</f>
        <v/>
      </c>
      <c r="F756" s="1" t="inlineStr">
        <is>
          <t>Database</t>
        </is>
      </c>
      <c r="G756" s="1" t="inlineStr">
        <is>
          <t>Medium</t>
        </is>
      </c>
      <c r="H756" s="1" t="n">
        <v>702373</v>
      </c>
      <c r="I756" s="1" t="n">
        <v>1475313</v>
      </c>
      <c r="J756" s="9" t="n">
        <v>0.476</v>
      </c>
      <c r="K756" s="1" t="inlineStr">
        <is>
          <t>Yes</t>
        </is>
      </c>
      <c r="L756" s="1" t="inlineStr">
        <is>
          <t>Yes</t>
        </is>
      </c>
      <c r="M756" s="1" t="inlineStr">
        <is>
          <t>No</t>
        </is>
      </c>
      <c r="N756" s="1" t="inlineStr">
        <is>
          <t>Database</t>
        </is>
      </c>
      <c r="O7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57" ht="15.75" customHeight="1" s="12">
      <c r="A757" s="1" t="n">
        <v>554</v>
      </c>
      <c r="B757" s="3">
        <f>HYPERLINK("https://leetcode.com/problems/brick-wall/", "Brick Wall")</f>
        <v/>
      </c>
      <c r="C757" s="1" t="n">
        <v>2658</v>
      </c>
      <c r="D757" s="1" t="n">
        <v>184</v>
      </c>
      <c r="E757" s="4">
        <f>IF(INDEX(C:C, ROW())+INDEX(D:D, ROW())=0, 0, INDEX(C:C, ROW())/(INDEX(C:C, ROW())+INDEX(D:D, ROW())))</f>
        <v/>
      </c>
      <c r="F757" s="1" t="inlineStr">
        <is>
          <t>Array, Hash Table</t>
        </is>
      </c>
      <c r="G757" s="1" t="inlineStr">
        <is>
          <t>Medium</t>
        </is>
      </c>
      <c r="H757" s="1" t="n">
        <v>167742</v>
      </c>
      <c r="I757" s="1" t="n">
        <v>299741</v>
      </c>
      <c r="J757" s="9" t="n">
        <v>0.5600000000000001</v>
      </c>
      <c r="K757" s="1" t="inlineStr">
        <is>
          <t>Yes</t>
        </is>
      </c>
      <c r="L757" s="1" t="inlineStr">
        <is>
          <t>Yes</t>
        </is>
      </c>
      <c r="M757" s="1" t="inlineStr">
        <is>
          <t>Yes</t>
        </is>
      </c>
      <c r="N757" s="1" t="inlineStr">
        <is>
          <t>Algorithms</t>
        </is>
      </c>
      <c r="O7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58" ht="15.75" customHeight="1" s="12">
      <c r="A758" s="1" t="n">
        <v>1504</v>
      </c>
      <c r="B758" s="3">
        <f>HYPERLINK("https://leetcode.com/problems/count-submatrices-with-all-ones/", "Count Submatrices With All Ones")</f>
        <v/>
      </c>
      <c r="C758" s="1" t="n">
        <v>2658</v>
      </c>
      <c r="D758" s="1" t="n">
        <v>220</v>
      </c>
      <c r="E758" s="4">
        <f>IF(INDEX(C:C, ROW())+INDEX(D:D, ROW())=0, 0, INDEX(C:C, ROW())/(INDEX(C:C, ROW())+INDEX(D:D, ROW())))</f>
        <v/>
      </c>
      <c r="F758" s="1" t="inlineStr">
        <is>
          <t>Array, Dynamic Programming, Stack, Matrix, Monotonic Stack</t>
        </is>
      </c>
      <c r="G758" s="1" t="inlineStr">
        <is>
          <t>Medium</t>
        </is>
      </c>
      <c r="H758" s="1" t="n">
        <v>146160</v>
      </c>
      <c r="I758" s="1" t="n">
        <v>205592</v>
      </c>
      <c r="J758" s="9" t="n">
        <v>0.711</v>
      </c>
      <c r="K758" s="1" t="inlineStr">
        <is>
          <t>Yes</t>
        </is>
      </c>
      <c r="L758" s="1" t="inlineStr">
        <is>
          <t>Yes</t>
        </is>
      </c>
      <c r="M758" s="1" t="inlineStr">
        <is>
          <t>No</t>
        </is>
      </c>
      <c r="N758" s="1" t="inlineStr">
        <is>
          <t>Algorithms</t>
        </is>
      </c>
      <c r="O7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59" ht="15.75" customHeight="1" s="12">
      <c r="A759" s="1" t="n">
        <v>1031</v>
      </c>
      <c r="B759" s="3">
        <f>HYPERLINK("https://leetcode.com/problems/maximum-sum-of-two-non-overlapping-subarrays/", "Maximum Sum of Two Non-Overlapping Subarrays")</f>
        <v/>
      </c>
      <c r="C759" s="1" t="n">
        <v>2654</v>
      </c>
      <c r="D759" s="1" t="n">
        <v>88</v>
      </c>
      <c r="E759" s="4">
        <f>IF(INDEX(C:C, ROW())+INDEX(D:D, ROW())=0, 0, INDEX(C:C, ROW())/(INDEX(C:C, ROW())+INDEX(D:D, ROW())))</f>
        <v/>
      </c>
      <c r="F759" s="1" t="inlineStr">
        <is>
          <t>Array, Dynamic Programming, Sliding Window</t>
        </is>
      </c>
      <c r="G759" s="1" t="inlineStr">
        <is>
          <t>Medium</t>
        </is>
      </c>
      <c r="H759" s="1" t="n">
        <v>83098</v>
      </c>
      <c r="I759" s="1" t="n">
        <v>136911</v>
      </c>
      <c r="J759" s="9" t="n">
        <v>0.607</v>
      </c>
      <c r="K759" s="1" t="inlineStr">
        <is>
          <t>Yes</t>
        </is>
      </c>
      <c r="L759" s="1" t="inlineStr">
        <is>
          <t>No</t>
        </is>
      </c>
      <c r="M759" s="1" t="inlineStr">
        <is>
          <t>No</t>
        </is>
      </c>
      <c r="N759" s="1" t="inlineStr">
        <is>
          <t>Algorithms</t>
        </is>
      </c>
      <c r="O7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60" ht="15.75" customHeight="1" s="12">
      <c r="A760" s="1" t="n">
        <v>1123</v>
      </c>
      <c r="B760" s="3">
        <f>HYPERLINK("https://leetcode.com/problems/lowest-common-ancestor-of-deepest-leaves/", "Lowest Common Ancestor of Deepest Leaves")</f>
        <v/>
      </c>
      <c r="C760" s="1" t="n">
        <v>2651</v>
      </c>
      <c r="D760" s="1" t="n">
        <v>946</v>
      </c>
      <c r="E760" s="4">
        <f>IF(INDEX(C:C, ROW())+INDEX(D:D, ROW())=0, 0, INDEX(C:C, ROW())/(INDEX(C:C, ROW())+INDEX(D:D, ROW())))</f>
        <v/>
      </c>
      <c r="F760" s="1" t="inlineStr">
        <is>
          <t>Hash Table, Tree, Depth-First Search, Breadth-First Search, Binary Tree</t>
        </is>
      </c>
      <c r="G760" s="1" t="inlineStr">
        <is>
          <t>Medium</t>
        </is>
      </c>
      <c r="H760" s="1" t="n">
        <v>246955</v>
      </c>
      <c r="I760" s="1" t="n">
        <v>310986</v>
      </c>
      <c r="J760" s="9" t="n">
        <v>0.794</v>
      </c>
      <c r="K760" s="1" t="inlineStr">
        <is>
          <t>Yes</t>
        </is>
      </c>
      <c r="L760" s="1" t="inlineStr">
        <is>
          <t>Yes</t>
        </is>
      </c>
      <c r="M760" s="1" t="inlineStr">
        <is>
          <t>No</t>
        </is>
      </c>
      <c r="N760" s="1" t="inlineStr">
        <is>
          <t>Algorithms</t>
        </is>
      </c>
      <c r="O7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61" ht="15.75" customHeight="1" s="12">
      <c r="A761" s="1" t="n">
        <v>807</v>
      </c>
      <c r="B761" s="3">
        <f>HYPERLINK("https://leetcode.com/problems/max-increase-to-keep-city-skyline/", "Max Increase to Keep City Skyline")</f>
        <v/>
      </c>
      <c r="C761" s="1" t="n">
        <v>2648</v>
      </c>
      <c r="D761" s="1" t="n">
        <v>545</v>
      </c>
      <c r="E761" s="4">
        <f>IF(INDEX(C:C, ROW())+INDEX(D:D, ROW())=0, 0, INDEX(C:C, ROW())/(INDEX(C:C, ROW())+INDEX(D:D, ROW())))</f>
        <v/>
      </c>
      <c r="F761" s="1" t="inlineStr">
        <is>
          <t>Array, Greedy, Matrix</t>
        </is>
      </c>
      <c r="G761" s="1" t="inlineStr">
        <is>
          <t>Medium</t>
        </is>
      </c>
      <c r="H761" s="1" t="n">
        <v>184703</v>
      </c>
      <c r="I761" s="1" t="n">
        <v>213861</v>
      </c>
      <c r="J761" s="9" t="n">
        <v>0.864</v>
      </c>
      <c r="K761" s="1" t="inlineStr">
        <is>
          <t>Yes</t>
        </is>
      </c>
      <c r="L761" s="1" t="inlineStr">
        <is>
          <t>Yes</t>
        </is>
      </c>
      <c r="M761" s="1" t="inlineStr">
        <is>
          <t>No</t>
        </is>
      </c>
      <c r="N761" s="1" t="inlineStr">
        <is>
          <t>Algorithms</t>
        </is>
      </c>
      <c r="O7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62" ht="15.75" customHeight="1" s="12">
      <c r="A762" s="1" t="n">
        <v>285</v>
      </c>
      <c r="B762" s="3">
        <f>HYPERLINK("https://leetcode.com/problems/inorder-successor-in-bst/", "Inorder Successor in BST")</f>
        <v/>
      </c>
      <c r="C762" s="1" t="n">
        <v>2644</v>
      </c>
      <c r="D762" s="1" t="n">
        <v>94</v>
      </c>
      <c r="E762" s="4">
        <f>IF(INDEX(C:C, ROW())+INDEX(D:D, ROW())=0, 0, INDEX(C:C, ROW())/(INDEX(C:C, ROW())+INDEX(D:D, ROW())))</f>
        <v/>
      </c>
      <c r="F762" s="1" t="inlineStr">
        <is>
          <t>Tree, Depth-First Search, Binary Search Tree, Binary Tree</t>
        </is>
      </c>
      <c r="G762" s="1" t="inlineStr">
        <is>
          <t>Medium</t>
        </is>
      </c>
      <c r="H762" s="1" t="n">
        <v>368430</v>
      </c>
      <c r="I762" s="1" t="n">
        <v>721117</v>
      </c>
      <c r="J762" s="9" t="n">
        <v>0.511</v>
      </c>
      <c r="K762" s="1" t="inlineStr">
        <is>
          <t>No</t>
        </is>
      </c>
      <c r="L762" s="1" t="inlineStr">
        <is>
          <t>Yes</t>
        </is>
      </c>
      <c r="M762" s="1" t="inlineStr">
        <is>
          <t>No</t>
        </is>
      </c>
      <c r="N762" s="1" t="inlineStr">
        <is>
          <t>Algorithms</t>
        </is>
      </c>
      <c r="O7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63" ht="15.75" customHeight="1" s="12">
      <c r="A763" s="1" t="n">
        <v>2551</v>
      </c>
      <c r="B763" s="3">
        <f>HYPERLINK("https://leetcode.com/problems/put-marbles-in-bags/", "Put Marbles in Bags")</f>
        <v/>
      </c>
      <c r="C763" s="1" t="n">
        <v>2644</v>
      </c>
      <c r="D763" s="1" t="n">
        <v>124</v>
      </c>
      <c r="E763" s="4">
        <f>IF(INDEX(C:C, ROW())+INDEX(D:D, ROW())=0, 0, INDEX(C:C, ROW())/(INDEX(C:C, ROW())+INDEX(D:D, ROW())))</f>
        <v/>
      </c>
      <c r="F763" s="1" t="inlineStr">
        <is>
          <t>Array, Greedy, Sorting, Heap (Priority Queue)</t>
        </is>
      </c>
      <c r="G763" s="1" t="inlineStr">
        <is>
          <t>Hard</t>
        </is>
      </c>
      <c r="H763" s="1" t="n">
        <v>152582</v>
      </c>
      <c r="I763" s="1" t="n">
        <v>211285</v>
      </c>
      <c r="J763" s="9" t="n">
        <v>0.722</v>
      </c>
      <c r="K763" s="1" t="inlineStr">
        <is>
          <t>Yes</t>
        </is>
      </c>
      <c r="L763" s="1" t="inlineStr">
        <is>
          <t>Yes</t>
        </is>
      </c>
      <c r="M763" s="1" t="inlineStr">
        <is>
          <t>No</t>
        </is>
      </c>
      <c r="N763" s="1" t="inlineStr">
        <is>
          <t>Algorithms</t>
        </is>
      </c>
      <c r="O7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64" ht="15.75" customHeight="1" s="12">
      <c r="A764" s="1" t="n">
        <v>2115</v>
      </c>
      <c r="B764" s="3">
        <f>HYPERLINK("https://leetcode.com/problems/find-all-possible-recipes-from-given-supplies/", "Find All Possible Recipes from Given Supplies")</f>
        <v/>
      </c>
      <c r="C764" s="1" t="n">
        <v>2642</v>
      </c>
      <c r="D764" s="1" t="n">
        <v>141</v>
      </c>
      <c r="E764" s="4">
        <f>IF(INDEX(C:C, ROW())+INDEX(D:D, ROW())=0, 0, INDEX(C:C, ROW())/(INDEX(C:C, ROW())+INDEX(D:D, ROW())))</f>
        <v/>
      </c>
      <c r="F764" s="1" t="inlineStr">
        <is>
          <t>Array, Hash Table, String, Graph Theory, Topological Sort</t>
        </is>
      </c>
      <c r="G764" s="1" t="inlineStr">
        <is>
          <t>Medium</t>
        </is>
      </c>
      <c r="H764" s="1" t="n">
        <v>229533</v>
      </c>
      <c r="I764" s="1" t="n">
        <v>404644</v>
      </c>
      <c r="J764" s="9" t="n">
        <v>0.5669999999999999</v>
      </c>
      <c r="K764" s="1" t="inlineStr">
        <is>
          <t>Yes</t>
        </is>
      </c>
      <c r="L764" s="1" t="inlineStr">
        <is>
          <t>Yes</t>
        </is>
      </c>
      <c r="M764" s="1" t="inlineStr">
        <is>
          <t>No</t>
        </is>
      </c>
      <c r="N764" s="1" t="inlineStr">
        <is>
          <t>Algorithms</t>
        </is>
      </c>
      <c r="O7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65" ht="15.75" customHeight="1" s="12">
      <c r="A765" s="1" t="n">
        <v>1465</v>
      </c>
      <c r="B765" s="3">
        <f>HYPERLINK("https://leetcode.com/problems/maximum-area-of-a-piece-of-cake-after-horizontal-and-vertical-cuts/", "Maximum Area of a Piece of Cake After Horizontal and Vertical Cuts")</f>
        <v/>
      </c>
      <c r="C765" s="1" t="n">
        <v>2641</v>
      </c>
      <c r="D765" s="1" t="n">
        <v>353</v>
      </c>
      <c r="E765" s="4">
        <f>IF(INDEX(C:C, ROW())+INDEX(D:D, ROW())=0, 0, INDEX(C:C, ROW())/(INDEX(C:C, ROW())+INDEX(D:D, ROW())))</f>
        <v/>
      </c>
      <c r="F765" s="1" t="inlineStr">
        <is>
          <t>Array, Greedy, Sorting</t>
        </is>
      </c>
      <c r="G765" s="1" t="inlineStr">
        <is>
          <t>Medium</t>
        </is>
      </c>
      <c r="H765" s="1" t="n">
        <v>175334</v>
      </c>
      <c r="I765" s="1" t="n">
        <v>423896</v>
      </c>
      <c r="J765" s="9" t="n">
        <v>0.414</v>
      </c>
      <c r="K765" s="1" t="inlineStr">
        <is>
          <t>Yes</t>
        </is>
      </c>
      <c r="L765" s="1" t="inlineStr">
        <is>
          <t>Yes</t>
        </is>
      </c>
      <c r="M765" s="1" t="inlineStr">
        <is>
          <t>No</t>
        </is>
      </c>
      <c r="N765" s="1" t="inlineStr">
        <is>
          <t>Algorithms</t>
        </is>
      </c>
      <c r="O7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66" ht="15.75" customHeight="1" s="12">
      <c r="A766" s="1" t="n">
        <v>1905</v>
      </c>
      <c r="B766" s="3">
        <f>HYPERLINK("https://leetcode.com/problems/count-sub-islands/", "Count Sub Islands")</f>
        <v/>
      </c>
      <c r="C766" s="1" t="n">
        <v>2628</v>
      </c>
      <c r="D766" s="1" t="n">
        <v>91</v>
      </c>
      <c r="E766" s="4">
        <f>IF(INDEX(C:C, ROW())+INDEX(D:D, ROW())=0, 0, INDEX(C:C, ROW())/(INDEX(C:C, ROW())+INDEX(D:D, ROW())))</f>
        <v/>
      </c>
      <c r="F766" s="1" t="inlineStr">
        <is>
          <t>Array, Depth-First Search, Breadth-First Search, Union-Find, Matrix</t>
        </is>
      </c>
      <c r="G766" s="1" t="inlineStr">
        <is>
          <t>Medium</t>
        </is>
      </c>
      <c r="H766" s="1" t="n">
        <v>217122</v>
      </c>
      <c r="I766" s="1" t="n">
        <v>297671</v>
      </c>
      <c r="J766" s="9" t="n">
        <v>0.729</v>
      </c>
      <c r="K766" s="1" t="inlineStr">
        <is>
          <t>Yes</t>
        </is>
      </c>
      <c r="L766" s="1" t="inlineStr">
        <is>
          <t>Yes</t>
        </is>
      </c>
      <c r="M766" s="1" t="inlineStr">
        <is>
          <t>No</t>
        </is>
      </c>
      <c r="N766" s="1" t="inlineStr">
        <is>
          <t>Algorithms</t>
        </is>
      </c>
      <c r="O7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67" ht="15.75" customHeight="1" s="12">
      <c r="A767" s="1" t="n">
        <v>1901</v>
      </c>
      <c r="B767" s="3">
        <f>HYPERLINK("https://leetcode.com/problems/find-a-peak-element-ii/", "Find a Peak Element II")</f>
        <v/>
      </c>
      <c r="C767" s="1" t="n">
        <v>2626</v>
      </c>
      <c r="D767" s="1" t="n">
        <v>161</v>
      </c>
      <c r="E767" s="4">
        <f>IF(INDEX(C:C, ROW())+INDEX(D:D, ROW())=0, 0, INDEX(C:C, ROW())/(INDEX(C:C, ROW())+INDEX(D:D, ROW())))</f>
        <v/>
      </c>
      <c r="F767" s="1" t="inlineStr">
        <is>
          <t>Array, Binary Search, Matrix</t>
        </is>
      </c>
      <c r="G767" s="1" t="inlineStr">
        <is>
          <t>Medium</t>
        </is>
      </c>
      <c r="H767" s="1" t="n">
        <v>165294</v>
      </c>
      <c r="I767" s="1" t="n">
        <v>305008</v>
      </c>
      <c r="J767" s="9" t="n">
        <v>0.542</v>
      </c>
      <c r="K767" s="1" t="inlineStr">
        <is>
          <t>Yes</t>
        </is>
      </c>
      <c r="L767" s="1" t="inlineStr">
        <is>
          <t>No</t>
        </is>
      </c>
      <c r="M767" s="1" t="inlineStr">
        <is>
          <t>No</t>
        </is>
      </c>
      <c r="N767" s="1" t="inlineStr">
        <is>
          <t>Algorithms</t>
        </is>
      </c>
      <c r="O7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68" ht="15.75" customHeight="1" s="12">
      <c r="A768" s="1" t="n">
        <v>2707</v>
      </c>
      <c r="B768" s="3">
        <f>HYPERLINK("https://leetcode.com/problems/extra-characters-in-a-string/", "Extra Characters in a String")</f>
        <v/>
      </c>
      <c r="C768" s="1" t="n">
        <v>2620</v>
      </c>
      <c r="D768" s="1" t="n">
        <v>138</v>
      </c>
      <c r="E768" s="4">
        <f>IF(INDEX(C:C, ROW())+INDEX(D:D, ROW())=0, 0, INDEX(C:C, ROW())/(INDEX(C:C, ROW())+INDEX(D:D, ROW())))</f>
        <v/>
      </c>
      <c r="F768" s="1" t="inlineStr">
        <is>
          <t>Array, Hash Table, String, Dynamic Programming, Trie</t>
        </is>
      </c>
      <c r="G768" s="1" t="inlineStr">
        <is>
          <t>Medium</t>
        </is>
      </c>
      <c r="H768" s="1" t="n">
        <v>195834</v>
      </c>
      <c r="I768" s="1" t="n">
        <v>342276</v>
      </c>
      <c r="J768" s="9" t="n">
        <v>0.572</v>
      </c>
      <c r="K768" s="1" t="inlineStr">
        <is>
          <t>Yes</t>
        </is>
      </c>
      <c r="L768" s="1" t="inlineStr">
        <is>
          <t>Yes</t>
        </is>
      </c>
      <c r="M768" s="1" t="inlineStr">
        <is>
          <t>No</t>
        </is>
      </c>
      <c r="N768" s="1" t="inlineStr">
        <is>
          <t>Algorithms</t>
        </is>
      </c>
      <c r="O7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69" ht="15.75" customHeight="1" s="12">
      <c r="A769" s="1" t="n">
        <v>1000</v>
      </c>
      <c r="B769" s="3">
        <f>HYPERLINK("https://leetcode.com/problems/minimum-cost-to-merge-stones/", "Minimum Cost to Merge Stones")</f>
        <v/>
      </c>
      <c r="C769" s="1" t="n">
        <v>2619</v>
      </c>
      <c r="D769" s="1" t="n">
        <v>115</v>
      </c>
      <c r="E769" s="4">
        <f>IF(INDEX(C:C, ROW())+INDEX(D:D, ROW())=0, 0, INDEX(C:C, ROW())/(INDEX(C:C, ROW())+INDEX(D:D, ROW())))</f>
        <v/>
      </c>
      <c r="F769" s="1" t="inlineStr">
        <is>
          <t>Array, Dynamic Programming, Prefix Sum</t>
        </is>
      </c>
      <c r="G769" s="1" t="inlineStr">
        <is>
          <t>Hard</t>
        </is>
      </c>
      <c r="H769" s="1" t="n">
        <v>50112</v>
      </c>
      <c r="I769" s="1" t="n">
        <v>110360</v>
      </c>
      <c r="J769" s="9" t="n">
        <v>0.454</v>
      </c>
      <c r="K769" s="1" t="inlineStr">
        <is>
          <t>Yes</t>
        </is>
      </c>
      <c r="L769" s="1" t="inlineStr">
        <is>
          <t>No</t>
        </is>
      </c>
      <c r="M769" s="1" t="inlineStr">
        <is>
          <t>No</t>
        </is>
      </c>
      <c r="N769" s="1" t="inlineStr">
        <is>
          <t>Algorithms</t>
        </is>
      </c>
      <c r="O7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70" ht="15.75" customHeight="1" s="12">
      <c r="A770" s="1" t="n">
        <v>299</v>
      </c>
      <c r="B770" s="3">
        <f>HYPERLINK("https://leetcode.com/problems/bulls-and-cows/", "Bulls and Cows")</f>
        <v/>
      </c>
      <c r="C770" s="1" t="n">
        <v>2606</v>
      </c>
      <c r="D770" s="1" t="n">
        <v>1814</v>
      </c>
      <c r="E770" s="4">
        <f>IF(INDEX(C:C, ROW())+INDEX(D:D, ROW())=0, 0, INDEX(C:C, ROW())/(INDEX(C:C, ROW())+INDEX(D:D, ROW())))</f>
        <v/>
      </c>
      <c r="F770" s="1" t="inlineStr">
        <is>
          <t>Hash Table, String, Counting</t>
        </is>
      </c>
      <c r="G770" s="1" t="inlineStr">
        <is>
          <t>Medium</t>
        </is>
      </c>
      <c r="H770" s="1" t="n">
        <v>435451</v>
      </c>
      <c r="I770" s="1" t="n">
        <v>836547</v>
      </c>
      <c r="J770" s="9" t="n">
        <v>0.521</v>
      </c>
      <c r="K770" s="1" t="inlineStr">
        <is>
          <t>Yes</t>
        </is>
      </c>
      <c r="L770" s="1" t="inlineStr">
        <is>
          <t>Yes</t>
        </is>
      </c>
      <c r="M770" s="1" t="inlineStr">
        <is>
          <t>No</t>
        </is>
      </c>
      <c r="N770" s="1" t="inlineStr">
        <is>
          <t>Algorithms</t>
        </is>
      </c>
      <c r="O7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71" ht="15.75" customHeight="1" s="12">
      <c r="A771" s="1" t="n">
        <v>689</v>
      </c>
      <c r="B771" s="3">
        <f>HYPERLINK("https://leetcode.com/problems/maximum-sum-of-3-non-overlapping-subarrays/", "Maximum Sum of 3 Non-Overlapping Subarrays")</f>
        <v/>
      </c>
      <c r="C771" s="1" t="n">
        <v>2606</v>
      </c>
      <c r="D771" s="1" t="n">
        <v>159</v>
      </c>
      <c r="E771" s="4">
        <f>IF(INDEX(C:C, ROW())+INDEX(D:D, ROW())=0, 0, INDEX(C:C, ROW())/(INDEX(C:C, ROW())+INDEX(D:D, ROW())))</f>
        <v/>
      </c>
      <c r="F771" s="1" t="inlineStr">
        <is>
          <t>Array, Dynamic Programming, Sliding Window, Prefix Sum</t>
        </is>
      </c>
      <c r="G771" s="1" t="inlineStr">
        <is>
          <t>Hard</t>
        </is>
      </c>
      <c r="H771" s="1" t="n">
        <v>154012</v>
      </c>
      <c r="I771" s="1" t="n">
        <v>258202</v>
      </c>
      <c r="J771" s="9" t="n">
        <v>0.596</v>
      </c>
      <c r="K771" s="1" t="inlineStr">
        <is>
          <t>Yes</t>
        </is>
      </c>
      <c r="L771" s="1" t="inlineStr">
        <is>
          <t>Yes</t>
        </is>
      </c>
      <c r="M771" s="1" t="inlineStr">
        <is>
          <t>No</t>
        </is>
      </c>
      <c r="N771" s="1" t="inlineStr">
        <is>
          <t>Algorithms</t>
        </is>
      </c>
      <c r="O7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72" ht="15.75" customHeight="1" s="12">
      <c r="A772" s="1" t="n">
        <v>880</v>
      </c>
      <c r="B772" s="3">
        <f>HYPERLINK("https://leetcode.com/problems/decoded-string-at-index/", "Decoded String at Index")</f>
        <v/>
      </c>
      <c r="C772" s="1" t="n">
        <v>2605</v>
      </c>
      <c r="D772" s="1" t="n">
        <v>365</v>
      </c>
      <c r="E772" s="4">
        <f>IF(INDEX(C:C, ROW())+INDEX(D:D, ROW())=0, 0, INDEX(C:C, ROW())/(INDEX(C:C, ROW())+INDEX(D:D, ROW())))</f>
        <v/>
      </c>
      <c r="F772" s="1" t="inlineStr">
        <is>
          <t>String, Stack</t>
        </is>
      </c>
      <c r="G772" s="1" t="inlineStr">
        <is>
          <t>Medium</t>
        </is>
      </c>
      <c r="H772" s="1" t="n">
        <v>106953</v>
      </c>
      <c r="I772" s="1" t="n">
        <v>287456</v>
      </c>
      <c r="J772" s="9" t="n">
        <v>0.372</v>
      </c>
      <c r="K772" s="1" t="inlineStr">
        <is>
          <t>Yes</t>
        </is>
      </c>
      <c r="L772" s="1" t="inlineStr">
        <is>
          <t>Yes</t>
        </is>
      </c>
      <c r="M772" s="1" t="inlineStr">
        <is>
          <t>No</t>
        </is>
      </c>
      <c r="N772" s="1" t="inlineStr">
        <is>
          <t>Algorithms</t>
        </is>
      </c>
      <c r="O7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73" ht="15.75" customHeight="1" s="12">
      <c r="A773" s="1" t="n">
        <v>1464</v>
      </c>
      <c r="B773" s="3">
        <f>HYPERLINK("https://leetcode.com/problems/maximum-product-of-two-elements-in-an-array/", "Maximum Product of Two Elements in an Array")</f>
        <v/>
      </c>
      <c r="C773" s="1" t="n">
        <v>2605</v>
      </c>
      <c r="D773" s="1" t="n">
        <v>239</v>
      </c>
      <c r="E773" s="4">
        <f>IF(INDEX(C:C, ROW())+INDEX(D:D, ROW())=0, 0, INDEX(C:C, ROW())/(INDEX(C:C, ROW())+INDEX(D:D, ROW())))</f>
        <v/>
      </c>
      <c r="F773" s="1" t="inlineStr">
        <is>
          <t>Array, Sorting, Heap (Priority Queue)</t>
        </is>
      </c>
      <c r="G773" s="1" t="inlineStr">
        <is>
          <t>Easy</t>
        </is>
      </c>
      <c r="H773" s="1" t="n">
        <v>475582</v>
      </c>
      <c r="I773" s="1" t="n">
        <v>569602</v>
      </c>
      <c r="J773" s="9" t="n">
        <v>0.835</v>
      </c>
      <c r="K773" s="1" t="inlineStr">
        <is>
          <t>Yes</t>
        </is>
      </c>
      <c r="L773" s="1" t="inlineStr">
        <is>
          <t>Yes</t>
        </is>
      </c>
      <c r="M773" s="1" t="inlineStr">
        <is>
          <t>No</t>
        </is>
      </c>
      <c r="N773" s="1" t="inlineStr">
        <is>
          <t>Algorithms</t>
        </is>
      </c>
      <c r="O7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74" ht="15.75" customHeight="1" s="12">
      <c r="A774" s="1" t="n">
        <v>804</v>
      </c>
      <c r="B774" s="3">
        <f>HYPERLINK("https://leetcode.com/problems/unique-morse-code-words/", "Unique Morse Code Words")</f>
        <v/>
      </c>
      <c r="C774" s="1" t="n">
        <v>2604</v>
      </c>
      <c r="D774" s="1" t="n">
        <v>1552</v>
      </c>
      <c r="E774" s="4">
        <f>IF(INDEX(C:C, ROW())+INDEX(D:D, ROW())=0, 0, INDEX(C:C, ROW())/(INDEX(C:C, ROW())+INDEX(D:D, ROW())))</f>
        <v/>
      </c>
      <c r="F774" s="1" t="inlineStr">
        <is>
          <t>Array, Hash Table, String</t>
        </is>
      </c>
      <c r="G774" s="1" t="inlineStr">
        <is>
          <t>Easy</t>
        </is>
      </c>
      <c r="H774" s="1" t="n">
        <v>400497</v>
      </c>
      <c r="I774" s="1" t="n">
        <v>479594</v>
      </c>
      <c r="J774" s="9" t="n">
        <v>0.835</v>
      </c>
      <c r="K774" s="1" t="inlineStr">
        <is>
          <t>Yes</t>
        </is>
      </c>
      <c r="L774" s="1" t="inlineStr">
        <is>
          <t>Yes</t>
        </is>
      </c>
      <c r="M774" s="1" t="inlineStr">
        <is>
          <t>No</t>
        </is>
      </c>
      <c r="N774" s="1" t="inlineStr">
        <is>
          <t>Algorithms</t>
        </is>
      </c>
      <c r="O7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75" ht="15.75" customHeight="1" s="12">
      <c r="A775" s="1" t="n">
        <v>1497</v>
      </c>
      <c r="B775" s="3">
        <f>HYPERLINK("https://leetcode.com/problems/check-if-array-pairs-are-divisible-by-k/", "Check If Array Pairs Are Divisible by k")</f>
        <v/>
      </c>
      <c r="C775" s="1" t="n">
        <v>2603</v>
      </c>
      <c r="D775" s="1" t="n">
        <v>156</v>
      </c>
      <c r="E775" s="4">
        <f>IF(INDEX(C:C, ROW())+INDEX(D:D, ROW())=0, 0, INDEX(C:C, ROW())/(INDEX(C:C, ROW())+INDEX(D:D, ROW())))</f>
        <v/>
      </c>
      <c r="F775" s="1" t="inlineStr">
        <is>
          <t>Array, Hash Table, Counting</t>
        </is>
      </c>
      <c r="G775" s="1" t="inlineStr">
        <is>
          <t>Medium</t>
        </is>
      </c>
      <c r="H775" s="1" t="n">
        <v>205129</v>
      </c>
      <c r="I775" s="1" t="n">
        <v>444264</v>
      </c>
      <c r="J775" s="9" t="n">
        <v>0.462</v>
      </c>
      <c r="K775" s="1" t="inlineStr">
        <is>
          <t>Yes</t>
        </is>
      </c>
      <c r="L775" s="1" t="inlineStr">
        <is>
          <t>Yes</t>
        </is>
      </c>
      <c r="M775" s="1" t="inlineStr">
        <is>
          <t>No</t>
        </is>
      </c>
      <c r="N775" s="1" t="inlineStr">
        <is>
          <t>Algorithms</t>
        </is>
      </c>
      <c r="O7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76" ht="15.75" customHeight="1" s="12">
      <c r="A776" s="1" t="n">
        <v>1857</v>
      </c>
      <c r="B776" s="3">
        <f>HYPERLINK("https://leetcode.com/problems/largest-color-value-in-a-directed-graph/", "Largest Color Value in a Directed Graph")</f>
        <v/>
      </c>
      <c r="C776" s="1" t="n">
        <v>2601</v>
      </c>
      <c r="D776" s="1" t="n">
        <v>87</v>
      </c>
      <c r="E776" s="4">
        <f>IF(INDEX(C:C, ROW())+INDEX(D:D, ROW())=0, 0, INDEX(C:C, ROW())/(INDEX(C:C, ROW())+INDEX(D:D, ROW())))</f>
        <v/>
      </c>
      <c r="F776" s="1" t="inlineStr">
        <is>
          <t>Hash Table, Dynamic Programming, Graph Theory, Topological Sort, Memoization, Counting</t>
        </is>
      </c>
      <c r="G776" s="1" t="inlineStr">
        <is>
          <t>Hard</t>
        </is>
      </c>
      <c r="H776" s="1" t="n">
        <v>147269</v>
      </c>
      <c r="I776" s="1" t="n">
        <v>256805</v>
      </c>
      <c r="J776" s="9" t="n">
        <v>0.573</v>
      </c>
      <c r="K776" s="1" t="inlineStr">
        <is>
          <t>Yes</t>
        </is>
      </c>
      <c r="L776" s="1" t="inlineStr">
        <is>
          <t>Yes</t>
        </is>
      </c>
      <c r="M776" s="1" t="inlineStr">
        <is>
          <t>No</t>
        </is>
      </c>
      <c r="N776" s="1" t="inlineStr">
        <is>
          <t>Algorithms</t>
        </is>
      </c>
      <c r="O7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77" ht="15.75" customHeight="1" s="12">
      <c r="A777" s="1" t="n">
        <v>1926</v>
      </c>
      <c r="B777" s="3">
        <f>HYPERLINK("https://leetcode.com/problems/nearest-exit-from-entrance-in-maze/", "Nearest Exit from Entrance in Maze")</f>
        <v/>
      </c>
      <c r="C777" s="1" t="n">
        <v>2595</v>
      </c>
      <c r="D777" s="1" t="n">
        <v>126</v>
      </c>
      <c r="E777" s="4">
        <f>IF(INDEX(C:C, ROW())+INDEX(D:D, ROW())=0, 0, INDEX(C:C, ROW())/(INDEX(C:C, ROW())+INDEX(D:D, ROW())))</f>
        <v/>
      </c>
      <c r="F777" s="1" t="inlineStr">
        <is>
          <t>Array, Breadth-First Search, Matrix</t>
        </is>
      </c>
      <c r="G777" s="1" t="inlineStr">
        <is>
          <t>Medium</t>
        </is>
      </c>
      <c r="H777" s="1" t="n">
        <v>264573</v>
      </c>
      <c r="I777" s="1" t="n">
        <v>549210</v>
      </c>
      <c r="J777" s="9" t="n">
        <v>0.482</v>
      </c>
      <c r="K777" s="1" t="inlineStr">
        <is>
          <t>Yes</t>
        </is>
      </c>
      <c r="L777" s="1" t="inlineStr">
        <is>
          <t>Yes</t>
        </is>
      </c>
      <c r="M777" s="1" t="inlineStr">
        <is>
          <t>No</t>
        </is>
      </c>
      <c r="N777" s="1" t="inlineStr">
        <is>
          <t>Algorithms</t>
        </is>
      </c>
      <c r="O7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78" ht="15.75" customHeight="1" s="12">
      <c r="A778" s="1" t="n">
        <v>942</v>
      </c>
      <c r="B778" s="3">
        <f>HYPERLINK("https://leetcode.com/problems/di-string-match/", "DI String Match")</f>
        <v/>
      </c>
      <c r="C778" s="1" t="n">
        <v>2594</v>
      </c>
      <c r="D778" s="1" t="n">
        <v>1079</v>
      </c>
      <c r="E778" s="4">
        <f>IF(INDEX(C:C, ROW())+INDEX(D:D, ROW())=0, 0, INDEX(C:C, ROW())/(INDEX(C:C, ROW())+INDEX(D:D, ROW())))</f>
        <v/>
      </c>
      <c r="F778" s="1" t="inlineStr">
        <is>
          <t>Array, Two Pointers, String, Greedy</t>
        </is>
      </c>
      <c r="G778" s="1" t="inlineStr">
        <is>
          <t>Easy</t>
        </is>
      </c>
      <c r="H778" s="1" t="n">
        <v>201963</v>
      </c>
      <c r="I778" s="1" t="n">
        <v>249988</v>
      </c>
      <c r="J778" s="9" t="n">
        <v>0.8080000000000001</v>
      </c>
      <c r="K778" s="1" t="inlineStr">
        <is>
          <t>Yes</t>
        </is>
      </c>
      <c r="L778" s="1" t="inlineStr">
        <is>
          <t>Yes</t>
        </is>
      </c>
      <c r="M778" s="1" t="inlineStr">
        <is>
          <t>No</t>
        </is>
      </c>
      <c r="N778" s="1" t="inlineStr">
        <is>
          <t>Algorithms</t>
        </is>
      </c>
      <c r="O7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79" ht="15.75" customHeight="1" s="12">
      <c r="A779" s="1" t="n">
        <v>539</v>
      </c>
      <c r="B779" s="3">
        <f>HYPERLINK("https://leetcode.com/problems/minimum-time-difference/", "Minimum Time Difference")</f>
        <v/>
      </c>
      <c r="C779" s="1" t="n">
        <v>2593</v>
      </c>
      <c r="D779" s="1" t="n">
        <v>319</v>
      </c>
      <c r="E779" s="4">
        <f>IF(INDEX(C:C, ROW())+INDEX(D:D, ROW())=0, 0, INDEX(C:C, ROW())/(INDEX(C:C, ROW())+INDEX(D:D, ROW())))</f>
        <v/>
      </c>
      <c r="F779" s="1" t="inlineStr">
        <is>
          <t>Array, Math, String, Sorting</t>
        </is>
      </c>
      <c r="G779" s="1" t="inlineStr">
        <is>
          <t>Medium</t>
        </is>
      </c>
      <c r="H779" s="1" t="n">
        <v>342088</v>
      </c>
      <c r="I779" s="1" t="n">
        <v>547140</v>
      </c>
      <c r="J779" s="9" t="n">
        <v>0.625</v>
      </c>
      <c r="K779" s="1" t="inlineStr">
        <is>
          <t>Yes</t>
        </is>
      </c>
      <c r="L779" s="1" t="inlineStr">
        <is>
          <t>Yes</t>
        </is>
      </c>
      <c r="M779" s="1" t="inlineStr">
        <is>
          <t>No</t>
        </is>
      </c>
      <c r="N779" s="1" t="inlineStr">
        <is>
          <t>Algorithms</t>
        </is>
      </c>
      <c r="O7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80" ht="15.75" customHeight="1" s="12">
      <c r="A780" s="1" t="n">
        <v>2215</v>
      </c>
      <c r="B780" s="3">
        <f>HYPERLINK("https://leetcode.com/problems/find-the-difference-of-two-arrays/", "Find the Difference of Two Arrays")</f>
        <v/>
      </c>
      <c r="C780" s="1" t="n">
        <v>2592</v>
      </c>
      <c r="D780" s="1" t="n">
        <v>125</v>
      </c>
      <c r="E780" s="4">
        <f>IF(INDEX(C:C, ROW())+INDEX(D:D, ROW())=0, 0, INDEX(C:C, ROW())/(INDEX(C:C, ROW())+INDEX(D:D, ROW())))</f>
        <v/>
      </c>
      <c r="F780" s="1" t="inlineStr">
        <is>
          <t>Array, Hash Table</t>
        </is>
      </c>
      <c r="G780" s="1" t="inlineStr">
        <is>
          <t>Easy</t>
        </is>
      </c>
      <c r="H780" s="1" t="n">
        <v>613864</v>
      </c>
      <c r="I780" s="1" t="n">
        <v>755720</v>
      </c>
      <c r="J780" s="9" t="n">
        <v>0.8120000000000001</v>
      </c>
      <c r="K780" s="1" t="inlineStr">
        <is>
          <t>Yes</t>
        </is>
      </c>
      <c r="L780" s="1" t="inlineStr">
        <is>
          <t>Yes</t>
        </is>
      </c>
      <c r="M780" s="1" t="inlineStr">
        <is>
          <t>No</t>
        </is>
      </c>
      <c r="N780" s="1" t="inlineStr">
        <is>
          <t>Algorithms</t>
        </is>
      </c>
      <c r="O7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81" ht="15.75" customHeight="1" s="12">
      <c r="A781" s="1" t="n">
        <v>1770</v>
      </c>
      <c r="B781" s="3">
        <f>HYPERLINK("https://leetcode.com/problems/maximum-score-from-performing-multiplication-operations/", "Maximum Score from Performing Multiplication Operations")</f>
        <v/>
      </c>
      <c r="C781" s="1" t="n">
        <v>2590</v>
      </c>
      <c r="D781" s="1" t="n">
        <v>514</v>
      </c>
      <c r="E781" s="4">
        <f>IF(INDEX(C:C, ROW())+INDEX(D:D, ROW())=0, 0, INDEX(C:C, ROW())/(INDEX(C:C, ROW())+INDEX(D:D, ROW())))</f>
        <v/>
      </c>
      <c r="F781" s="1" t="inlineStr">
        <is>
          <t>Array, Dynamic Programming</t>
        </is>
      </c>
      <c r="G781" s="1" t="inlineStr">
        <is>
          <t>Hard</t>
        </is>
      </c>
      <c r="H781" s="1" t="n">
        <v>132911</v>
      </c>
      <c r="I781" s="1" t="n">
        <v>308967</v>
      </c>
      <c r="J781" s="9" t="n">
        <v>0.43</v>
      </c>
      <c r="K781" s="1" t="inlineStr">
        <is>
          <t>Yes</t>
        </is>
      </c>
      <c r="L781" s="1" t="inlineStr">
        <is>
          <t>Yes</t>
        </is>
      </c>
      <c r="M781" s="1" t="inlineStr">
        <is>
          <t>No</t>
        </is>
      </c>
      <c r="N781" s="1" t="inlineStr">
        <is>
          <t>Algorithms</t>
        </is>
      </c>
      <c r="O7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82" ht="15.75" customHeight="1" s="12">
      <c r="A782" s="1" t="n">
        <v>1009</v>
      </c>
      <c r="B782" s="3">
        <f>HYPERLINK("https://leetcode.com/problems/complement-of-base-10-integer/", "Complement of Base 10 Integer")</f>
        <v/>
      </c>
      <c r="C782" s="1" t="n">
        <v>2587</v>
      </c>
      <c r="D782" s="1" t="n">
        <v>123</v>
      </c>
      <c r="E782" s="4">
        <f>IF(INDEX(C:C, ROW())+INDEX(D:D, ROW())=0, 0, INDEX(C:C, ROW())/(INDEX(C:C, ROW())+INDEX(D:D, ROW())))</f>
        <v/>
      </c>
      <c r="F782" s="1" t="inlineStr">
        <is>
          <t>Bit Manipulation</t>
        </is>
      </c>
      <c r="G782" s="1" t="inlineStr">
        <is>
          <t>Easy</t>
        </is>
      </c>
      <c r="H782" s="1" t="n">
        <v>315733</v>
      </c>
      <c r="I782" s="1" t="n">
        <v>520665</v>
      </c>
      <c r="J782" s="9" t="n">
        <v>0.606</v>
      </c>
      <c r="K782" s="1" t="inlineStr">
        <is>
          <t>Yes</t>
        </is>
      </c>
      <c r="L782" s="1" t="inlineStr">
        <is>
          <t>Yes</t>
        </is>
      </c>
      <c r="M782" s="1" t="inlineStr">
        <is>
          <t>No</t>
        </is>
      </c>
      <c r="N782" s="1" t="inlineStr">
        <is>
          <t>Algorithms</t>
        </is>
      </c>
      <c r="O7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83" ht="15.75" customHeight="1" s="12">
      <c r="A783" s="1" t="n">
        <v>1356</v>
      </c>
      <c r="B783" s="3">
        <f>HYPERLINK("https://leetcode.com/problems/sort-integers-by-the-number-of-1-bits/", "Sort Integers by The Number of 1 Bits")</f>
        <v/>
      </c>
      <c r="C783" s="1" t="n">
        <v>2586</v>
      </c>
      <c r="D783" s="1" t="n">
        <v>128</v>
      </c>
      <c r="E783" s="4">
        <f>IF(INDEX(C:C, ROW())+INDEX(D:D, ROW())=0, 0, INDEX(C:C, ROW())/(INDEX(C:C, ROW())+INDEX(D:D, ROW())))</f>
        <v/>
      </c>
      <c r="F783" s="1" t="inlineStr">
        <is>
          <t>Array, Bit Manipulation, Sorting, Counting</t>
        </is>
      </c>
      <c r="G783" s="1" t="inlineStr">
        <is>
          <t>Easy</t>
        </is>
      </c>
      <c r="H783" s="1" t="n">
        <v>264987</v>
      </c>
      <c r="I783" s="1" t="n">
        <v>335674</v>
      </c>
      <c r="J783" s="9" t="n">
        <v>0.789</v>
      </c>
      <c r="K783" s="1" t="inlineStr">
        <is>
          <t>Yes</t>
        </is>
      </c>
      <c r="L783" s="1" t="inlineStr">
        <is>
          <t>Yes</t>
        </is>
      </c>
      <c r="M783" s="1" t="inlineStr">
        <is>
          <t>No</t>
        </is>
      </c>
      <c r="N783" s="1" t="inlineStr">
        <is>
          <t>Algorithms</t>
        </is>
      </c>
      <c r="O7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84" ht="15.75" customHeight="1" s="12">
      <c r="A784" s="1" t="n">
        <v>1910</v>
      </c>
      <c r="B784" s="3">
        <f>HYPERLINK("https://leetcode.com/problems/remove-all-occurrences-of-a-substring/", "Remove All Occurrences of a Substring")</f>
        <v/>
      </c>
      <c r="C784" s="1" t="n">
        <v>2580</v>
      </c>
      <c r="D784" s="1" t="n">
        <v>90</v>
      </c>
      <c r="E784" s="4">
        <f>IF(INDEX(C:C, ROW())+INDEX(D:D, ROW())=0, 0, INDEX(C:C, ROW())/(INDEX(C:C, ROW())+INDEX(D:D, ROW())))</f>
        <v/>
      </c>
      <c r="F784" s="1" t="inlineStr">
        <is>
          <t>String, Stack, Simulation</t>
        </is>
      </c>
      <c r="G784" s="1" t="inlineStr">
        <is>
          <t>Medium</t>
        </is>
      </c>
      <c r="H784" s="1" t="n">
        <v>384192</v>
      </c>
      <c r="I784" s="1" t="n">
        <v>490219</v>
      </c>
      <c r="J784" s="9" t="n">
        <v>0.784</v>
      </c>
      <c r="K784" s="1" t="inlineStr">
        <is>
          <t>Yes</t>
        </is>
      </c>
      <c r="L784" s="1" t="inlineStr">
        <is>
          <t>Yes</t>
        </is>
      </c>
      <c r="M784" s="1" t="inlineStr">
        <is>
          <t>No</t>
        </is>
      </c>
      <c r="N784" s="1" t="inlineStr">
        <is>
          <t>Algorithms</t>
        </is>
      </c>
      <c r="O7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85" ht="15.75" customHeight="1" s="12">
      <c r="A785" s="1" t="n">
        <v>657</v>
      </c>
      <c r="B785" s="3">
        <f>HYPERLINK("https://leetcode.com/problems/robot-return-to-origin/", "Robot Return to Origin")</f>
        <v/>
      </c>
      <c r="C785" s="1" t="n">
        <v>2576</v>
      </c>
      <c r="D785" s="1" t="n">
        <v>752</v>
      </c>
      <c r="E785" s="4">
        <f>IF(INDEX(C:C, ROW())+INDEX(D:D, ROW())=0, 0, INDEX(C:C, ROW())/(INDEX(C:C, ROW())+INDEX(D:D, ROW())))</f>
        <v/>
      </c>
      <c r="F785" s="1" t="inlineStr">
        <is>
          <t>String, Simulation</t>
        </is>
      </c>
      <c r="G785" s="1" t="inlineStr">
        <is>
          <t>Easy</t>
        </is>
      </c>
      <c r="H785" s="1" t="n">
        <v>533679</v>
      </c>
      <c r="I785" s="1" t="n">
        <v>697999</v>
      </c>
      <c r="J785" s="9" t="n">
        <v>0.765</v>
      </c>
      <c r="K785" s="1" t="inlineStr">
        <is>
          <t>Yes</t>
        </is>
      </c>
      <c r="L785" s="1" t="inlineStr">
        <is>
          <t>Yes</t>
        </is>
      </c>
      <c r="M785" s="1" t="inlineStr">
        <is>
          <t>No</t>
        </is>
      </c>
      <c r="N785" s="1" t="inlineStr">
        <is>
          <t>Algorithms</t>
        </is>
      </c>
      <c r="O7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86" ht="15.75" customHeight="1" s="12">
      <c r="A786" s="1" t="n">
        <v>1368</v>
      </c>
      <c r="B786" s="3">
        <f>HYPERLINK("https://leetcode.com/problems/minimum-cost-to-make-at-least-one-valid-path-in-a-grid/", "Minimum Cost to Make at Least One Valid Path in a Grid")</f>
        <v/>
      </c>
      <c r="C786" s="1" t="n">
        <v>2576</v>
      </c>
      <c r="D786" s="1" t="n">
        <v>35</v>
      </c>
      <c r="E786" s="4">
        <f>IF(INDEX(C:C, ROW())+INDEX(D:D, ROW())=0, 0, INDEX(C:C, ROW())/(INDEX(C:C, ROW())+INDEX(D:D, ROW())))</f>
        <v/>
      </c>
      <c r="F786" s="1" t="inlineStr">
        <is>
          <t>Array, Breadth-First Search, Graph Theory, Heap (Priority Queue), Matrix, Shortest Path</t>
        </is>
      </c>
      <c r="G786" s="1" t="inlineStr">
        <is>
          <t>Hard</t>
        </is>
      </c>
      <c r="H786" s="1" t="n">
        <v>161998</v>
      </c>
      <c r="I786" s="1" t="n">
        <v>228618</v>
      </c>
      <c r="J786" s="9" t="n">
        <v>0.709</v>
      </c>
      <c r="K786" s="1" t="inlineStr">
        <is>
          <t>Yes</t>
        </is>
      </c>
      <c r="L786" s="1" t="inlineStr">
        <is>
          <t>Yes</t>
        </is>
      </c>
      <c r="M786" s="1" t="inlineStr">
        <is>
          <t>No</t>
        </is>
      </c>
      <c r="N786" s="1" t="inlineStr">
        <is>
          <t>Algorithms</t>
        </is>
      </c>
      <c r="O7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87" ht="15.75" customHeight="1" s="12">
      <c r="A787" s="1" t="n">
        <v>2439</v>
      </c>
      <c r="B787" s="3">
        <f>HYPERLINK("https://leetcode.com/problems/minimize-maximum-of-array/", "Minimize Maximum of Array")</f>
        <v/>
      </c>
      <c r="C787" s="1" t="n">
        <v>2576</v>
      </c>
      <c r="D787" s="1" t="n">
        <v>641</v>
      </c>
      <c r="E787" s="4">
        <f>IF(INDEX(C:C, ROW())+INDEX(D:D, ROW())=0, 0, INDEX(C:C, ROW())/(INDEX(C:C, ROW())+INDEX(D:D, ROW())))</f>
        <v/>
      </c>
      <c r="F787" s="1" t="inlineStr">
        <is>
          <t>Array, Binary Search, Dynamic Programming, Greedy, Prefix Sum</t>
        </is>
      </c>
      <c r="G787" s="1" t="inlineStr">
        <is>
          <t>Medium</t>
        </is>
      </c>
      <c r="H787" s="1" t="n">
        <v>97358</v>
      </c>
      <c r="I787" s="1" t="n">
        <v>209544</v>
      </c>
      <c r="J787" s="9" t="n">
        <v>0.465</v>
      </c>
      <c r="K787" s="1" t="inlineStr">
        <is>
          <t>Yes</t>
        </is>
      </c>
      <c r="L787" s="1" t="inlineStr">
        <is>
          <t>Yes</t>
        </is>
      </c>
      <c r="M787" s="1" t="inlineStr">
        <is>
          <t>No</t>
        </is>
      </c>
      <c r="N787" s="1" t="inlineStr">
        <is>
          <t>Algorithms</t>
        </is>
      </c>
      <c r="O7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88" ht="15.75" customHeight="1" s="12">
      <c r="A788" s="1" t="n">
        <v>925</v>
      </c>
      <c r="B788" s="3">
        <f>HYPERLINK("https://leetcode.com/problems/long-pressed-name/", "Long Pressed Name")</f>
        <v/>
      </c>
      <c r="C788" s="1" t="n">
        <v>2575</v>
      </c>
      <c r="D788" s="1" t="n">
        <v>406</v>
      </c>
      <c r="E788" s="4">
        <f>IF(INDEX(C:C, ROW())+INDEX(D:D, ROW())=0, 0, INDEX(C:C, ROW())/(INDEX(C:C, ROW())+INDEX(D:D, ROW())))</f>
        <v/>
      </c>
      <c r="F788" s="1" t="inlineStr">
        <is>
          <t>Two Pointers, String</t>
        </is>
      </c>
      <c r="G788" s="1" t="inlineStr">
        <is>
          <t>Easy</t>
        </is>
      </c>
      <c r="H788" s="1" t="n">
        <v>185915</v>
      </c>
      <c r="I788" s="1" t="n">
        <v>568090</v>
      </c>
      <c r="J788" s="9" t="n">
        <v>0.327</v>
      </c>
      <c r="K788" s="1" t="inlineStr">
        <is>
          <t>Yes</t>
        </is>
      </c>
      <c r="L788" s="1" t="inlineStr">
        <is>
          <t>Yes</t>
        </is>
      </c>
      <c r="M788" s="1" t="inlineStr">
        <is>
          <t>No</t>
        </is>
      </c>
      <c r="N788" s="1" t="inlineStr">
        <is>
          <t>Algorithms</t>
        </is>
      </c>
      <c r="O7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89" ht="15.75" customHeight="1" s="12">
      <c r="A789" s="1" t="n">
        <v>166</v>
      </c>
      <c r="B789" s="3">
        <f>HYPERLINK("https://leetcode.com/problems/fraction-to-recurring-decimal/", "Fraction to Recurring Decimal")</f>
        <v/>
      </c>
      <c r="C789" s="1" t="n">
        <v>2569</v>
      </c>
      <c r="D789" s="1" t="n">
        <v>3858</v>
      </c>
      <c r="E789" s="4">
        <f>IF(INDEX(C:C, ROW())+INDEX(D:D, ROW())=0, 0, INDEX(C:C, ROW())/(INDEX(C:C, ROW())+INDEX(D:D, ROW())))</f>
        <v/>
      </c>
      <c r="F789" s="1" t="inlineStr">
        <is>
          <t>Hash Table, Math, String</t>
        </is>
      </c>
      <c r="G789" s="1" t="inlineStr">
        <is>
          <t>Medium</t>
        </is>
      </c>
      <c r="H789" s="1" t="n">
        <v>352079</v>
      </c>
      <c r="I789" s="1" t="n">
        <v>1157527</v>
      </c>
      <c r="J789" s="9" t="n">
        <v>0.304</v>
      </c>
      <c r="K789" s="1" t="inlineStr">
        <is>
          <t>Yes</t>
        </is>
      </c>
      <c r="L789" s="1" t="inlineStr">
        <is>
          <t>Yes</t>
        </is>
      </c>
      <c r="M789" s="1" t="inlineStr">
        <is>
          <t>No</t>
        </is>
      </c>
      <c r="N789" s="1" t="inlineStr">
        <is>
          <t>Algorithms</t>
        </is>
      </c>
      <c r="O7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90" ht="15.75" customHeight="1" s="12">
      <c r="A790" s="1" t="n">
        <v>1980</v>
      </c>
      <c r="B790" s="3">
        <f>HYPERLINK("https://leetcode.com/problems/find-unique-binary-string/", "Find Unique Binary String")</f>
        <v/>
      </c>
      <c r="C790" s="1" t="n">
        <v>2557</v>
      </c>
      <c r="D790" s="1" t="n">
        <v>89</v>
      </c>
      <c r="E790" s="4">
        <f>IF(INDEX(C:C, ROW())+INDEX(D:D, ROW())=0, 0, INDEX(C:C, ROW())/(INDEX(C:C, ROW())+INDEX(D:D, ROW())))</f>
        <v/>
      </c>
      <c r="F790" s="1" t="inlineStr">
        <is>
          <t>Array, Hash Table, String, Backtracking</t>
        </is>
      </c>
      <c r="G790" s="1" t="inlineStr">
        <is>
          <t>Medium</t>
        </is>
      </c>
      <c r="H790" s="1" t="n">
        <v>300746</v>
      </c>
      <c r="I790" s="1" t="n">
        <v>378675</v>
      </c>
      <c r="J790" s="9" t="n">
        <v>0.794</v>
      </c>
      <c r="K790" s="1" t="inlineStr">
        <is>
          <t>Yes</t>
        </is>
      </c>
      <c r="L790" s="1" t="inlineStr">
        <is>
          <t>Yes</t>
        </is>
      </c>
      <c r="M790" s="1" t="inlineStr">
        <is>
          <t>No</t>
        </is>
      </c>
      <c r="N790" s="1" t="inlineStr">
        <is>
          <t>Algorithms</t>
        </is>
      </c>
      <c r="O7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91" ht="15.75" customHeight="1" s="12">
      <c r="A791" s="1" t="n">
        <v>2007</v>
      </c>
      <c r="B791" s="3">
        <f>HYPERLINK("https://leetcode.com/problems/find-original-array-from-doubled-array/", "Find Original Array From Doubled Array")</f>
        <v/>
      </c>
      <c r="C791" s="1" t="n">
        <v>2555</v>
      </c>
      <c r="D791" s="1" t="n">
        <v>119</v>
      </c>
      <c r="E791" s="4">
        <f>IF(INDEX(C:C, ROW())+INDEX(D:D, ROW())=0, 0, INDEX(C:C, ROW())/(INDEX(C:C, ROW())+INDEX(D:D, ROW())))</f>
        <v/>
      </c>
      <c r="F791" s="1" t="inlineStr">
        <is>
          <t>Array, Hash Table, Greedy, Sorting</t>
        </is>
      </c>
      <c r="G791" s="1" t="inlineStr">
        <is>
          <t>Medium</t>
        </is>
      </c>
      <c r="H791" s="1" t="n">
        <v>152449</v>
      </c>
      <c r="I791" s="1" t="n">
        <v>374646</v>
      </c>
      <c r="J791" s="9" t="n">
        <v>0.407</v>
      </c>
      <c r="K791" s="1" t="inlineStr">
        <is>
          <t>Yes</t>
        </is>
      </c>
      <c r="L791" s="1" t="inlineStr">
        <is>
          <t>Yes</t>
        </is>
      </c>
      <c r="M791" s="1" t="inlineStr">
        <is>
          <t>No</t>
        </is>
      </c>
      <c r="N791" s="1" t="inlineStr">
        <is>
          <t>Algorithms</t>
        </is>
      </c>
      <c r="O7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92" ht="15.75" customHeight="1" s="12">
      <c r="A792" s="1" t="n">
        <v>1371</v>
      </c>
      <c r="B792" s="3">
        <f>HYPERLINK("https://leetcode.com/problems/find-the-longest-substring-containing-vowels-in-even-counts/", "Find the Longest Substring Containing Vowels in Even Counts")</f>
        <v/>
      </c>
      <c r="C792" s="1" t="n">
        <v>2549</v>
      </c>
      <c r="D792" s="1" t="n">
        <v>141</v>
      </c>
      <c r="E792" s="4">
        <f>IF(INDEX(C:C, ROW())+INDEX(D:D, ROW())=0, 0, INDEX(C:C, ROW())/(INDEX(C:C, ROW())+INDEX(D:D, ROW())))</f>
        <v/>
      </c>
      <c r="F792" s="1" t="inlineStr">
        <is>
          <t>Hash Table, String, Bit Manipulation, Prefix Sum</t>
        </is>
      </c>
      <c r="G792" s="1" t="inlineStr">
        <is>
          <t>Medium</t>
        </is>
      </c>
      <c r="H792" s="1" t="n">
        <v>139366</v>
      </c>
      <c r="I792" s="1" t="n">
        <v>184111</v>
      </c>
      <c r="J792" s="9" t="n">
        <v>0.757</v>
      </c>
      <c r="K792" s="1" t="inlineStr">
        <is>
          <t>Yes</t>
        </is>
      </c>
      <c r="L792" s="1" t="inlineStr">
        <is>
          <t>Yes</t>
        </is>
      </c>
      <c r="M792" s="1" t="inlineStr">
        <is>
          <t>No</t>
        </is>
      </c>
      <c r="N792" s="1" t="inlineStr">
        <is>
          <t>Algorithms</t>
        </is>
      </c>
      <c r="O7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93" ht="15.75" customHeight="1" s="12">
      <c r="A793" s="1" t="n">
        <v>1963</v>
      </c>
      <c r="B793" s="3">
        <f>HYPERLINK("https://leetcode.com/problems/minimum-number-of-swaps-to-make-the-string-balanced/", "Minimum Number of Swaps to Make the String Balanced")</f>
        <v/>
      </c>
      <c r="C793" s="1" t="n">
        <v>2547</v>
      </c>
      <c r="D793" s="1" t="n">
        <v>149</v>
      </c>
      <c r="E793" s="4">
        <f>IF(INDEX(C:C, ROW())+INDEX(D:D, ROW())=0, 0, INDEX(C:C, ROW())/(INDEX(C:C, ROW())+INDEX(D:D, ROW())))</f>
        <v/>
      </c>
      <c r="F793" s="1" t="inlineStr">
        <is>
          <t>Two Pointers, String, Stack, Greedy</t>
        </is>
      </c>
      <c r="G793" s="1" t="inlineStr">
        <is>
          <t>Medium</t>
        </is>
      </c>
      <c r="H793" s="1" t="n">
        <v>240265</v>
      </c>
      <c r="I793" s="1" t="n">
        <v>307617</v>
      </c>
      <c r="J793" s="9" t="n">
        <v>0.781</v>
      </c>
      <c r="K793" s="1" t="inlineStr">
        <is>
          <t>Yes</t>
        </is>
      </c>
      <c r="L793" s="1" t="inlineStr">
        <is>
          <t>Yes</t>
        </is>
      </c>
      <c r="M793" s="1" t="inlineStr">
        <is>
          <t>No</t>
        </is>
      </c>
      <c r="N793" s="1" t="inlineStr">
        <is>
          <t>Algorithms</t>
        </is>
      </c>
      <c r="O7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94" ht="15.75" customHeight="1" s="12">
      <c r="A794" s="1" t="n">
        <v>30</v>
      </c>
      <c r="B794" s="3">
        <f>HYPERLINK("https://leetcode.com/problems/substring-with-concatenation-of-all-words/", "Substring with Concatenation of All Words")</f>
        <v/>
      </c>
      <c r="C794" s="1" t="n">
        <v>2542</v>
      </c>
      <c r="D794" s="1" t="n">
        <v>416</v>
      </c>
      <c r="E794" s="4">
        <f>IF(INDEX(C:C, ROW())+INDEX(D:D, ROW())=0, 0, INDEX(C:C, ROW())/(INDEX(C:C, ROW())+INDEX(D:D, ROW())))</f>
        <v/>
      </c>
      <c r="F794" s="1" t="inlineStr">
        <is>
          <t>Hash Table, String, Sliding Window</t>
        </is>
      </c>
      <c r="G794" s="1" t="inlineStr">
        <is>
          <t>Hard</t>
        </is>
      </c>
      <c r="H794" s="1" t="n">
        <v>666403</v>
      </c>
      <c r="I794" s="1" t="n">
        <v>1972911</v>
      </c>
      <c r="J794" s="9" t="n">
        <v>0.338</v>
      </c>
      <c r="K794" s="1" t="inlineStr">
        <is>
          <t>Yes</t>
        </is>
      </c>
      <c r="L794" s="1" t="inlineStr">
        <is>
          <t>Yes</t>
        </is>
      </c>
      <c r="M794" s="1" t="inlineStr">
        <is>
          <t>Yes</t>
        </is>
      </c>
      <c r="N794" s="1" t="inlineStr">
        <is>
          <t>Algorithms</t>
        </is>
      </c>
      <c r="O7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95" ht="15.75" customHeight="1" s="12">
      <c r="A795" s="1" t="n">
        <v>1509</v>
      </c>
      <c r="B795" s="3">
        <f>HYPERLINK("https://leetcode.com/problems/minimum-difference-between-largest-and-smallest-value-in-three-moves/", "Minimum Difference Between Largest and Smallest Value in Three Moves")</f>
        <v/>
      </c>
      <c r="C795" s="1" t="n">
        <v>2542</v>
      </c>
      <c r="D795" s="1" t="n">
        <v>285</v>
      </c>
      <c r="E795" s="4">
        <f>IF(INDEX(C:C, ROW())+INDEX(D:D, ROW())=0, 0, INDEX(C:C, ROW())/(INDEX(C:C, ROW())+INDEX(D:D, ROW())))</f>
        <v/>
      </c>
      <c r="F795" s="1" t="inlineStr">
        <is>
          <t>Array, Greedy, Sorting</t>
        </is>
      </c>
      <c r="G795" s="1" t="inlineStr">
        <is>
          <t>Medium</t>
        </is>
      </c>
      <c r="H795" s="1" t="n">
        <v>249531</v>
      </c>
      <c r="I795" s="1" t="n">
        <v>421403</v>
      </c>
      <c r="J795" s="9" t="n">
        <v>0.592</v>
      </c>
      <c r="K795" s="1" t="inlineStr">
        <is>
          <t>Yes</t>
        </is>
      </c>
      <c r="L795" s="1" t="inlineStr">
        <is>
          <t>Yes</t>
        </is>
      </c>
      <c r="M795" s="1" t="inlineStr">
        <is>
          <t>No</t>
        </is>
      </c>
      <c r="N795" s="1" t="inlineStr">
        <is>
          <t>Algorithms</t>
        </is>
      </c>
      <c r="O7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96" ht="15.75" customHeight="1" s="12">
      <c r="A796" s="1" t="n">
        <v>869</v>
      </c>
      <c r="B796" s="3">
        <f>HYPERLINK("https://leetcode.com/problems/reordered-power-of-2/", "Reordered Power of 2")</f>
        <v/>
      </c>
      <c r="C796" s="1" t="n">
        <v>2540</v>
      </c>
      <c r="D796" s="1" t="n">
        <v>497</v>
      </c>
      <c r="E796" s="4">
        <f>IF(INDEX(C:C, ROW())+INDEX(D:D, ROW())=0, 0, INDEX(C:C, ROW())/(INDEX(C:C, ROW())+INDEX(D:D, ROW())))</f>
        <v/>
      </c>
      <c r="F796" s="1" t="inlineStr">
        <is>
          <t>Hash Table, Math, Sorting, Counting, Enumeration</t>
        </is>
      </c>
      <c r="G796" s="1" t="inlineStr">
        <is>
          <t>Medium</t>
        </is>
      </c>
      <c r="H796" s="1" t="n">
        <v>227151</v>
      </c>
      <c r="I796" s="1" t="n">
        <v>344024</v>
      </c>
      <c r="J796" s="9" t="n">
        <v>0.66</v>
      </c>
      <c r="K796" s="1" t="inlineStr">
        <is>
          <t>Yes</t>
        </is>
      </c>
      <c r="L796" s="1" t="inlineStr">
        <is>
          <t>Yes</t>
        </is>
      </c>
      <c r="M796" s="1" t="inlineStr">
        <is>
          <t>No</t>
        </is>
      </c>
      <c r="N796" s="1" t="inlineStr">
        <is>
          <t>Algorithms</t>
        </is>
      </c>
      <c r="O7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97" ht="15.75" customHeight="1" s="12">
      <c r="A797" s="1" t="n">
        <v>1751</v>
      </c>
      <c r="B797" s="3">
        <f>HYPERLINK("https://leetcode.com/problems/maximum-number-of-events-that-can-be-attended-ii/", "Maximum Number of Events That Can Be Attended II")</f>
        <v/>
      </c>
      <c r="C797" s="1" t="n">
        <v>2540</v>
      </c>
      <c r="D797" s="1" t="n">
        <v>53</v>
      </c>
      <c r="E797" s="4">
        <f>IF(INDEX(C:C, ROW())+INDEX(D:D, ROW())=0, 0, INDEX(C:C, ROW())/(INDEX(C:C, ROW())+INDEX(D:D, ROW())))</f>
        <v/>
      </c>
      <c r="F797" s="1" t="inlineStr">
        <is>
          <t>Array, Binary Search, Dynamic Programming, Sorting</t>
        </is>
      </c>
      <c r="G797" s="1" t="inlineStr">
        <is>
          <t>Hard</t>
        </is>
      </c>
      <c r="H797" s="1" t="n">
        <v>161617</v>
      </c>
      <c r="I797" s="1" t="n">
        <v>253903</v>
      </c>
      <c r="J797" s="9" t="n">
        <v>0.637</v>
      </c>
      <c r="K797" s="1" t="inlineStr">
        <is>
          <t>Yes</t>
        </is>
      </c>
      <c r="L797" s="1" t="inlineStr">
        <is>
          <t>Yes</t>
        </is>
      </c>
      <c r="M797" s="1" t="inlineStr">
        <is>
          <t>No</t>
        </is>
      </c>
      <c r="N797" s="1" t="inlineStr">
        <is>
          <t>Algorithms</t>
        </is>
      </c>
      <c r="O7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98" ht="15.75" customHeight="1" s="12">
      <c r="A798" s="1" t="n">
        <v>185</v>
      </c>
      <c r="B798" s="3">
        <f>HYPERLINK("https://leetcode.com/problems/department-top-three-salaries/", "Department Top Three Salaries")</f>
        <v/>
      </c>
      <c r="C798" s="1" t="n">
        <v>2526</v>
      </c>
      <c r="D798" s="1" t="n">
        <v>274</v>
      </c>
      <c r="E798" s="4">
        <f>IF(INDEX(C:C, ROW())+INDEX(D:D, ROW())=0, 0, INDEX(C:C, ROW())/(INDEX(C:C, ROW())+INDEX(D:D, ROW())))</f>
        <v/>
      </c>
      <c r="F798" s="1" t="inlineStr">
        <is>
          <t>Database</t>
        </is>
      </c>
      <c r="G798" s="1" t="inlineStr">
        <is>
          <t>Hard</t>
        </is>
      </c>
      <c r="H798" s="1" t="n">
        <v>606326</v>
      </c>
      <c r="I798" s="1" t="n">
        <v>1018114</v>
      </c>
      <c r="J798" s="9" t="n">
        <v>0.596</v>
      </c>
      <c r="K798" s="1" t="inlineStr">
        <is>
          <t>Yes</t>
        </is>
      </c>
      <c r="L798" s="1" t="inlineStr">
        <is>
          <t>Yes</t>
        </is>
      </c>
      <c r="M798" s="1" t="inlineStr">
        <is>
          <t>No</t>
        </is>
      </c>
      <c r="N798" s="1" t="inlineStr">
        <is>
          <t>Database</t>
        </is>
      </c>
      <c r="O7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799" ht="15.75" customHeight="1" s="12">
      <c r="A799" s="1" t="n">
        <v>826</v>
      </c>
      <c r="B799" s="3">
        <f>HYPERLINK("https://leetcode.com/problems/most-profit-assigning-work/", "Most Profit Assigning Work")</f>
        <v/>
      </c>
      <c r="C799" s="1" t="n">
        <v>2526</v>
      </c>
      <c r="D799" s="1" t="n">
        <v>173</v>
      </c>
      <c r="E799" s="4">
        <f>IF(INDEX(C:C, ROW())+INDEX(D:D, ROW())=0, 0, INDEX(C:C, ROW())/(INDEX(C:C, ROW())+INDEX(D:D, ROW())))</f>
        <v/>
      </c>
      <c r="F799" s="1" t="inlineStr">
        <is>
          <t>Array, Two Pointers, Binary Search, Greedy, Sorting</t>
        </is>
      </c>
      <c r="G799" s="1" t="inlineStr">
        <is>
          <t>Medium</t>
        </is>
      </c>
      <c r="H799" s="1" t="n">
        <v>240436</v>
      </c>
      <c r="I799" s="1" t="n">
        <v>428518</v>
      </c>
      <c r="J799" s="9" t="n">
        <v>0.5610000000000001</v>
      </c>
      <c r="K799" s="1" t="inlineStr">
        <is>
          <t>Yes</t>
        </is>
      </c>
      <c r="L799" s="1" t="inlineStr">
        <is>
          <t>Yes</t>
        </is>
      </c>
      <c r="M799" s="1" t="inlineStr">
        <is>
          <t>No</t>
        </is>
      </c>
      <c r="N799" s="1" t="inlineStr">
        <is>
          <t>Algorithms</t>
        </is>
      </c>
      <c r="O7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00" ht="15.75" customHeight="1" s="12">
      <c r="A800" s="1" t="n">
        <v>2360</v>
      </c>
      <c r="B800" s="3">
        <f>HYPERLINK("https://leetcode.com/problems/longest-cycle-in-a-graph/", "Longest Cycle in a Graph")</f>
        <v/>
      </c>
      <c r="C800" s="1" t="n">
        <v>2524</v>
      </c>
      <c r="D800" s="1" t="n">
        <v>51</v>
      </c>
      <c r="E800" s="4">
        <f>IF(INDEX(C:C, ROW())+INDEX(D:D, ROW())=0, 0, INDEX(C:C, ROW())/(INDEX(C:C, ROW())+INDEX(D:D, ROW())))</f>
        <v/>
      </c>
      <c r="F800" s="1" t="inlineStr">
        <is>
          <t>Depth-First Search, Breadth-First Search, Graph Theory, Topological Sort</t>
        </is>
      </c>
      <c r="G800" s="1" t="inlineStr">
        <is>
          <t>Hard</t>
        </is>
      </c>
      <c r="H800" s="1" t="n">
        <v>101614</v>
      </c>
      <c r="I800" s="1" t="n">
        <v>201913</v>
      </c>
      <c r="J800" s="9" t="n">
        <v>0.503</v>
      </c>
      <c r="K800" s="1" t="inlineStr">
        <is>
          <t>Yes</t>
        </is>
      </c>
      <c r="L800" s="1" t="inlineStr">
        <is>
          <t>Yes</t>
        </is>
      </c>
      <c r="M800" s="1" t="inlineStr">
        <is>
          <t>No</t>
        </is>
      </c>
      <c r="N800" s="1" t="inlineStr">
        <is>
          <t>Algorithms</t>
        </is>
      </c>
      <c r="O8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01" ht="15.75" customHeight="1" s="12">
      <c r="A801" s="1" t="n">
        <v>2246</v>
      </c>
      <c r="B801" s="3">
        <f>HYPERLINK("https://leetcode.com/problems/longest-path-with-different-adjacent-characters/", "Longest Path With Different Adjacent Characters")</f>
        <v/>
      </c>
      <c r="C801" s="1" t="n">
        <v>2522</v>
      </c>
      <c r="D801" s="1" t="n">
        <v>61</v>
      </c>
      <c r="E801" s="4">
        <f>IF(INDEX(C:C, ROW())+INDEX(D:D, ROW())=0, 0, INDEX(C:C, ROW())/(INDEX(C:C, ROW())+INDEX(D:D, ROW())))</f>
        <v/>
      </c>
      <c r="F801" s="1" t="inlineStr">
        <is>
          <t>Array, String, Tree, Depth-First Search, Graph Theory, Topological Sort</t>
        </is>
      </c>
      <c r="G801" s="1" t="inlineStr">
        <is>
          <t>Hard</t>
        </is>
      </c>
      <c r="H801" s="1" t="n">
        <v>90567</v>
      </c>
      <c r="I801" s="1" t="n">
        <v>167974</v>
      </c>
      <c r="J801" s="9" t="n">
        <v>0.539</v>
      </c>
      <c r="K801" s="1" t="inlineStr">
        <is>
          <t>Yes</t>
        </is>
      </c>
      <c r="L801" s="1" t="inlineStr">
        <is>
          <t>Yes</t>
        </is>
      </c>
      <c r="M801" s="1" t="inlineStr">
        <is>
          <t>No</t>
        </is>
      </c>
      <c r="N801" s="1" t="inlineStr">
        <is>
          <t>Algorithms</t>
        </is>
      </c>
      <c r="O8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02" ht="15.75" customHeight="1" s="12">
      <c r="A802" s="1" t="n">
        <v>1903</v>
      </c>
      <c r="B802" s="3">
        <f>HYPERLINK("https://leetcode.com/problems/largest-odd-number-in-string/", "Largest Odd Number in String")</f>
        <v/>
      </c>
      <c r="C802" s="1" t="n">
        <v>2521</v>
      </c>
      <c r="D802" s="1" t="n">
        <v>146</v>
      </c>
      <c r="E802" s="4">
        <f>IF(INDEX(C:C, ROW())+INDEX(D:D, ROW())=0, 0, INDEX(C:C, ROW())/(INDEX(C:C, ROW())+INDEX(D:D, ROW())))</f>
        <v/>
      </c>
      <c r="F802" s="1" t="inlineStr">
        <is>
          <t>Math, String, Greedy</t>
        </is>
      </c>
      <c r="G802" s="1" t="inlineStr">
        <is>
          <t>Easy</t>
        </is>
      </c>
      <c r="H802" s="1" t="n">
        <v>522178</v>
      </c>
      <c r="I802" s="1" t="n">
        <v>782853</v>
      </c>
      <c r="J802" s="9" t="n">
        <v>0.667</v>
      </c>
      <c r="K802" s="1" t="inlineStr">
        <is>
          <t>Yes</t>
        </is>
      </c>
      <c r="L802" s="1" t="inlineStr">
        <is>
          <t>Yes</t>
        </is>
      </c>
      <c r="M802" s="1" t="inlineStr">
        <is>
          <t>No</t>
        </is>
      </c>
      <c r="N802" s="1" t="inlineStr">
        <is>
          <t>Algorithms</t>
        </is>
      </c>
      <c r="O8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03" ht="15.75" customHeight="1" s="12">
      <c r="A803" s="1" t="n">
        <v>2448</v>
      </c>
      <c r="B803" s="3">
        <f>HYPERLINK("https://leetcode.com/problems/minimum-cost-to-make-array-equal/", "Minimum Cost to Make Array Equal")</f>
        <v/>
      </c>
      <c r="C803" s="1" t="n">
        <v>2513</v>
      </c>
      <c r="D803" s="1" t="n">
        <v>36</v>
      </c>
      <c r="E803" s="4">
        <f>IF(INDEX(C:C, ROW())+INDEX(D:D, ROW())=0, 0, INDEX(C:C, ROW())/(INDEX(C:C, ROW())+INDEX(D:D, ROW())))</f>
        <v/>
      </c>
      <c r="F803" s="1" t="inlineStr">
        <is>
          <t>Array, Binary Search, Greedy, Sorting, Prefix Sum</t>
        </is>
      </c>
      <c r="G803" s="1" t="inlineStr">
        <is>
          <t>Hard</t>
        </is>
      </c>
      <c r="H803" s="1" t="n">
        <v>76502</v>
      </c>
      <c r="I803" s="1" t="n">
        <v>163974</v>
      </c>
      <c r="J803" s="9" t="n">
        <v>0.467</v>
      </c>
      <c r="K803" s="1" t="inlineStr">
        <is>
          <t>Yes</t>
        </is>
      </c>
      <c r="L803" s="1" t="inlineStr">
        <is>
          <t>Yes</t>
        </is>
      </c>
      <c r="M803" s="1" t="inlineStr">
        <is>
          <t>No</t>
        </is>
      </c>
      <c r="N803" s="1" t="inlineStr">
        <is>
          <t>Algorithms</t>
        </is>
      </c>
      <c r="O8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04" ht="15.75" customHeight="1" s="12">
      <c r="A804" s="1" t="n">
        <v>1200</v>
      </c>
      <c r="B804" s="3">
        <f>HYPERLINK("https://leetcode.com/problems/minimum-absolute-difference/", "Minimum Absolute Difference")</f>
        <v/>
      </c>
      <c r="C804" s="1" t="n">
        <v>2510</v>
      </c>
      <c r="D804" s="1" t="n">
        <v>82</v>
      </c>
      <c r="E804" s="4">
        <f>IF(INDEX(C:C, ROW())+INDEX(D:D, ROW())=0, 0, INDEX(C:C, ROW())/(INDEX(C:C, ROW())+INDEX(D:D, ROW())))</f>
        <v/>
      </c>
      <c r="F804" s="1" t="inlineStr">
        <is>
          <t>Array, Sorting</t>
        </is>
      </c>
      <c r="G804" s="1" t="inlineStr">
        <is>
          <t>Easy</t>
        </is>
      </c>
      <c r="H804" s="1" t="n">
        <v>276677</v>
      </c>
      <c r="I804" s="1" t="n">
        <v>388631</v>
      </c>
      <c r="J804" s="9" t="n">
        <v>0.712</v>
      </c>
      <c r="K804" s="1" t="inlineStr">
        <is>
          <t>Yes</t>
        </is>
      </c>
      <c r="L804" s="1" t="inlineStr">
        <is>
          <t>Yes</t>
        </is>
      </c>
      <c r="M804" s="1" t="inlineStr">
        <is>
          <t>No</t>
        </is>
      </c>
      <c r="N804" s="1" t="inlineStr">
        <is>
          <t>Algorithms</t>
        </is>
      </c>
      <c r="O8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05" ht="15.75" customHeight="1" s="12">
      <c r="A805" s="1" t="n">
        <v>1531</v>
      </c>
      <c r="B805" s="3">
        <f>HYPERLINK("https://leetcode.com/problems/string-compression-ii/", "String Compression II")</f>
        <v/>
      </c>
      <c r="C805" s="1" t="n">
        <v>2507</v>
      </c>
      <c r="D805" s="1" t="n">
        <v>220</v>
      </c>
      <c r="E805" s="4">
        <f>IF(INDEX(C:C, ROW())+INDEX(D:D, ROW())=0, 0, INDEX(C:C, ROW())/(INDEX(C:C, ROW())+INDEX(D:D, ROW())))</f>
        <v/>
      </c>
      <c r="F805" s="1" t="inlineStr">
        <is>
          <t>String, Dynamic Programming</t>
        </is>
      </c>
      <c r="G805" s="1" t="inlineStr">
        <is>
          <t>Hard</t>
        </is>
      </c>
      <c r="H805" s="1" t="n">
        <v>105163</v>
      </c>
      <c r="I805" s="1" t="n">
        <v>201559</v>
      </c>
      <c r="J805" s="9" t="n">
        <v>0.522</v>
      </c>
      <c r="K805" s="1" t="inlineStr">
        <is>
          <t>Yes</t>
        </is>
      </c>
      <c r="L805" s="1" t="inlineStr">
        <is>
          <t>Yes</t>
        </is>
      </c>
      <c r="M805" s="1" t="inlineStr">
        <is>
          <t>No</t>
        </is>
      </c>
      <c r="N805" s="1" t="inlineStr">
        <is>
          <t>Algorithms</t>
        </is>
      </c>
      <c r="O8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06" ht="15.75" customHeight="1" s="12">
      <c r="A806" s="1" t="n">
        <v>685</v>
      </c>
      <c r="B806" s="3">
        <f>HYPERLINK("https://leetcode.com/problems/redundant-connection-ii/", "Redundant Connection II")</f>
        <v/>
      </c>
      <c r="C806" s="1" t="n">
        <v>2504</v>
      </c>
      <c r="D806" s="1" t="n">
        <v>329</v>
      </c>
      <c r="E806" s="4">
        <f>IF(INDEX(C:C, ROW())+INDEX(D:D, ROW())=0, 0, INDEX(C:C, ROW())/(INDEX(C:C, ROW())+INDEX(D:D, ROW())))</f>
        <v/>
      </c>
      <c r="F806" s="1" t="inlineStr">
        <is>
          <t>Depth-First Search, Breadth-First Search, Union-Find, Graph Theory</t>
        </is>
      </c>
      <c r="G806" s="1" t="inlineStr">
        <is>
          <t>Hard</t>
        </is>
      </c>
      <c r="H806" s="1" t="n">
        <v>88724</v>
      </c>
      <c r="I806" s="1" t="n">
        <v>247726</v>
      </c>
      <c r="J806" s="9" t="n">
        <v>0.358</v>
      </c>
      <c r="K806" s="1" t="inlineStr">
        <is>
          <t>Yes</t>
        </is>
      </c>
      <c r="L806" s="1" t="inlineStr">
        <is>
          <t>Yes</t>
        </is>
      </c>
      <c r="M806" s="1" t="inlineStr">
        <is>
          <t>No</t>
        </is>
      </c>
      <c r="N806" s="1" t="inlineStr">
        <is>
          <t>Algorithms</t>
        </is>
      </c>
      <c r="O8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07" ht="15.75" customHeight="1" s="12">
      <c r="A807" s="1" t="n">
        <v>1346</v>
      </c>
      <c r="B807" s="3">
        <f>HYPERLINK("https://leetcode.com/problems/check-if-n-and-its-double-exist/", "Check If N and Its Double Exist")</f>
        <v/>
      </c>
      <c r="C807" s="1" t="n">
        <v>2500</v>
      </c>
      <c r="D807" s="1" t="n">
        <v>255</v>
      </c>
      <c r="E807" s="4">
        <f>IF(INDEX(C:C, ROW())+INDEX(D:D, ROW())=0, 0, INDEX(C:C, ROW())/(INDEX(C:C, ROW())+INDEX(D:D, ROW())))</f>
        <v/>
      </c>
      <c r="F807" s="1" t="inlineStr">
        <is>
          <t>Array, Hash Table, Two Pointers, Binary Search, Sorting</t>
        </is>
      </c>
      <c r="G807" s="1" t="inlineStr">
        <is>
          <t>Easy</t>
        </is>
      </c>
      <c r="H807" s="1" t="n">
        <v>610506</v>
      </c>
      <c r="I807" s="1" t="n">
        <v>1469112</v>
      </c>
      <c r="J807" s="9" t="n">
        <v>0.416</v>
      </c>
      <c r="K807" s="1" t="inlineStr">
        <is>
          <t>Yes</t>
        </is>
      </c>
      <c r="L807" s="1" t="inlineStr">
        <is>
          <t>Yes</t>
        </is>
      </c>
      <c r="M807" s="1" t="inlineStr">
        <is>
          <t>No</t>
        </is>
      </c>
      <c r="N807" s="1" t="inlineStr">
        <is>
          <t>Algorithms</t>
        </is>
      </c>
      <c r="O8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08" ht="15.75" customHeight="1" s="12">
      <c r="A808" s="1" t="n">
        <v>89</v>
      </c>
      <c r="B808" s="3">
        <f>HYPERLINK("https://leetcode.com/problems/gray-code/", "Gray Code")</f>
        <v/>
      </c>
      <c r="C808" s="1" t="n">
        <v>2497</v>
      </c>
      <c r="D808" s="1" t="n">
        <v>2829</v>
      </c>
      <c r="E808" s="4">
        <f>IF(INDEX(C:C, ROW())+INDEX(D:D, ROW())=0, 0, INDEX(C:C, ROW())/(INDEX(C:C, ROW())+INDEX(D:D, ROW())))</f>
        <v/>
      </c>
      <c r="F808" s="1" t="inlineStr">
        <is>
          <t>Math, Backtracking, Bit Manipulation</t>
        </is>
      </c>
      <c r="G808" s="1" t="inlineStr">
        <is>
          <t>Medium</t>
        </is>
      </c>
      <c r="H808" s="1" t="n">
        <v>397710</v>
      </c>
      <c r="I808" s="1" t="n">
        <v>623779</v>
      </c>
      <c r="J808" s="9" t="n">
        <v>0.638</v>
      </c>
      <c r="K808" s="1" t="inlineStr">
        <is>
          <t>Yes</t>
        </is>
      </c>
      <c r="L808" s="1" t="inlineStr">
        <is>
          <t>Yes</t>
        </is>
      </c>
      <c r="M808" s="1" t="inlineStr">
        <is>
          <t>No</t>
        </is>
      </c>
      <c r="N808" s="1" t="inlineStr">
        <is>
          <t>Algorithms</t>
        </is>
      </c>
      <c r="O8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09" ht="15.75" customHeight="1" s="12">
      <c r="A809" s="1" t="n">
        <v>1530</v>
      </c>
      <c r="B809" s="3">
        <f>HYPERLINK("https://leetcode.com/problems/number-of-good-leaf-nodes-pairs/", "Number of Good Leaf Nodes Pairs")</f>
        <v/>
      </c>
      <c r="C809" s="1" t="n">
        <v>2495</v>
      </c>
      <c r="D809" s="1" t="n">
        <v>110</v>
      </c>
      <c r="E809" s="4">
        <f>IF(INDEX(C:C, ROW())+INDEX(D:D, ROW())=0, 0, INDEX(C:C, ROW())/(INDEX(C:C, ROW())+INDEX(D:D, ROW())))</f>
        <v/>
      </c>
      <c r="F809" s="1" t="inlineStr">
        <is>
          <t>Tree, Depth-First Search, Binary Tree</t>
        </is>
      </c>
      <c r="G809" s="1" t="inlineStr">
        <is>
          <t>Medium</t>
        </is>
      </c>
      <c r="H809" s="1" t="n">
        <v>160032</v>
      </c>
      <c r="I809" s="1" t="n">
        <v>222962</v>
      </c>
      <c r="J809" s="9" t="n">
        <v>0.718</v>
      </c>
      <c r="K809" s="1" t="inlineStr">
        <is>
          <t>Yes</t>
        </is>
      </c>
      <c r="L809" s="1" t="inlineStr">
        <is>
          <t>Yes</t>
        </is>
      </c>
      <c r="M809" s="1" t="inlineStr">
        <is>
          <t>No</t>
        </is>
      </c>
      <c r="N809" s="1" t="inlineStr">
        <is>
          <t>Algorithms</t>
        </is>
      </c>
      <c r="O8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10" ht="15.75" customHeight="1" s="12">
      <c r="A810" s="1" t="n">
        <v>1689</v>
      </c>
      <c r="B810" s="3">
        <f>HYPERLINK("https://leetcode.com/problems/partitioning-into-minimum-number-of-deci-binary-numbers/", "Partitioning Into Minimum Number Of Deci-Binary Numbers")</f>
        <v/>
      </c>
      <c r="C810" s="1" t="n">
        <v>2495</v>
      </c>
      <c r="D810" s="1" t="n">
        <v>1512</v>
      </c>
      <c r="E810" s="4">
        <f>IF(INDEX(C:C, ROW())+INDEX(D:D, ROW())=0, 0, INDEX(C:C, ROW())/(INDEX(C:C, ROW())+INDEX(D:D, ROW())))</f>
        <v/>
      </c>
      <c r="F810" s="1" t="inlineStr">
        <is>
          <t>String, Greedy</t>
        </is>
      </c>
      <c r="G810" s="1" t="inlineStr">
        <is>
          <t>Medium</t>
        </is>
      </c>
      <c r="H810" s="1" t="n">
        <v>252659</v>
      </c>
      <c r="I810" s="1" t="n">
        <v>284717</v>
      </c>
      <c r="J810" s="9" t="n">
        <v>0.887</v>
      </c>
      <c r="K810" s="1" t="inlineStr">
        <is>
          <t>Yes</t>
        </is>
      </c>
      <c r="L810" s="1" t="inlineStr">
        <is>
          <t>Yes</t>
        </is>
      </c>
      <c r="M810" s="1" t="inlineStr">
        <is>
          <t>No</t>
        </is>
      </c>
      <c r="N810" s="1" t="inlineStr">
        <is>
          <t>Algorithms</t>
        </is>
      </c>
      <c r="O8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11" ht="15.75" customHeight="1" s="12">
      <c r="A811" s="1" t="n">
        <v>1314</v>
      </c>
      <c r="B811" s="3">
        <f>HYPERLINK("https://leetcode.com/problems/matrix-block-sum/", "Matrix Block Sum")</f>
        <v/>
      </c>
      <c r="C811" s="1" t="n">
        <v>2491</v>
      </c>
      <c r="D811" s="1" t="n">
        <v>398</v>
      </c>
      <c r="E811" s="4">
        <f>IF(INDEX(C:C, ROW())+INDEX(D:D, ROW())=0, 0, INDEX(C:C, ROW())/(INDEX(C:C, ROW())+INDEX(D:D, ROW())))</f>
        <v/>
      </c>
      <c r="F811" s="1" t="inlineStr">
        <is>
          <t>Array, Matrix, Prefix Sum</t>
        </is>
      </c>
      <c r="G811" s="1" t="inlineStr">
        <is>
          <t>Medium</t>
        </is>
      </c>
      <c r="H811" s="1" t="n">
        <v>106362</v>
      </c>
      <c r="I811" s="1" t="n">
        <v>139486</v>
      </c>
      <c r="J811" s="9" t="n">
        <v>0.763</v>
      </c>
      <c r="K811" s="1" t="inlineStr">
        <is>
          <t>Yes</t>
        </is>
      </c>
      <c r="L811" s="1" t="inlineStr">
        <is>
          <t>No</t>
        </is>
      </c>
      <c r="M811" s="1" t="inlineStr">
        <is>
          <t>No</t>
        </is>
      </c>
      <c r="N811" s="1" t="inlineStr">
        <is>
          <t>Algorithms</t>
        </is>
      </c>
      <c r="O8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12" ht="15.75" customHeight="1" s="12">
      <c r="A812" s="1" t="n">
        <v>419</v>
      </c>
      <c r="B812" s="3">
        <f>HYPERLINK("https://leetcode.com/problems/battleships-in-a-board/", "Battleships in a Board")</f>
        <v/>
      </c>
      <c r="C812" s="1" t="n">
        <v>2487</v>
      </c>
      <c r="D812" s="1" t="n">
        <v>1024</v>
      </c>
      <c r="E812" s="4">
        <f>IF(INDEX(C:C, ROW())+INDEX(D:D, ROW())=0, 0, INDEX(C:C, ROW())/(INDEX(C:C, ROW())+INDEX(D:D, ROW())))</f>
        <v/>
      </c>
      <c r="F812" s="1" t="inlineStr">
        <is>
          <t>Array, Depth-First Search, Matrix</t>
        </is>
      </c>
      <c r="G812" s="1" t="inlineStr">
        <is>
          <t>Medium</t>
        </is>
      </c>
      <c r="H812" s="1" t="n">
        <v>270484</v>
      </c>
      <c r="I812" s="1" t="n">
        <v>350212</v>
      </c>
      <c r="J812" s="9" t="n">
        <v>0.772</v>
      </c>
      <c r="K812" s="1" t="inlineStr">
        <is>
          <t>Yes</t>
        </is>
      </c>
      <c r="L812" s="1" t="inlineStr">
        <is>
          <t>No</t>
        </is>
      </c>
      <c r="M812" s="1" t="inlineStr">
        <is>
          <t>No</t>
        </is>
      </c>
      <c r="N812" s="1" t="inlineStr">
        <is>
          <t>Algorithms</t>
        </is>
      </c>
      <c r="O8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13" ht="15.75" customHeight="1" s="12">
      <c r="A813" s="1" t="n">
        <v>837</v>
      </c>
      <c r="B813" s="3">
        <f>HYPERLINK("https://leetcode.com/problems/new-21-game/", "New 21 Game")</f>
        <v/>
      </c>
      <c r="C813" s="1" t="n">
        <v>2487</v>
      </c>
      <c r="D813" s="1" t="n">
        <v>2003</v>
      </c>
      <c r="E813" s="4">
        <f>IF(INDEX(C:C, ROW())+INDEX(D:D, ROW())=0, 0, INDEX(C:C, ROW())/(INDEX(C:C, ROW())+INDEX(D:D, ROW())))</f>
        <v/>
      </c>
      <c r="F813" s="1" t="inlineStr">
        <is>
          <t>Math, Dynamic Programming, Sliding Window, Probability and Statistics</t>
        </is>
      </c>
      <c r="G813" s="1" t="inlineStr">
        <is>
          <t>Medium</t>
        </is>
      </c>
      <c r="H813" s="1" t="n">
        <v>159347</v>
      </c>
      <c r="I813" s="1" t="n">
        <v>306384</v>
      </c>
      <c r="J813" s="9" t="n">
        <v>0.52</v>
      </c>
      <c r="K813" s="1" t="inlineStr">
        <is>
          <t>Yes</t>
        </is>
      </c>
      <c r="L813" s="1" t="inlineStr">
        <is>
          <t>Yes</t>
        </is>
      </c>
      <c r="M813" s="1" t="inlineStr">
        <is>
          <t>No</t>
        </is>
      </c>
      <c r="N813" s="1" t="inlineStr">
        <is>
          <t>Algorithms</t>
        </is>
      </c>
      <c r="O8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14" ht="15.75" customHeight="1" s="12">
      <c r="A814" s="1" t="n">
        <v>1567</v>
      </c>
      <c r="B814" s="3">
        <f>HYPERLINK("https://leetcode.com/problems/maximum-length-of-subarray-with-positive-product/", "Maximum Length of Subarray With Positive Product")</f>
        <v/>
      </c>
      <c r="C814" s="1" t="n">
        <v>2485</v>
      </c>
      <c r="D814" s="1" t="n">
        <v>78</v>
      </c>
      <c r="E814" s="4">
        <f>IF(INDEX(C:C, ROW())+INDEX(D:D, ROW())=0, 0, INDEX(C:C, ROW())/(INDEX(C:C, ROW())+INDEX(D:D, ROW())))</f>
        <v/>
      </c>
      <c r="F814" s="1" t="inlineStr">
        <is>
          <t>Array, Dynamic Programming, Greedy</t>
        </is>
      </c>
      <c r="G814" s="1" t="inlineStr">
        <is>
          <t>Medium</t>
        </is>
      </c>
      <c r="H814" s="1" t="n">
        <v>109368</v>
      </c>
      <c r="I814" s="1" t="n">
        <v>245273</v>
      </c>
      <c r="J814" s="9" t="n">
        <v>0.446</v>
      </c>
      <c r="K814" s="1" t="inlineStr">
        <is>
          <t>Yes</t>
        </is>
      </c>
      <c r="L814" s="1" t="inlineStr">
        <is>
          <t>No</t>
        </is>
      </c>
      <c r="M814" s="1" t="inlineStr">
        <is>
          <t>No</t>
        </is>
      </c>
      <c r="N814" s="1" t="inlineStr">
        <is>
          <t>Algorithms</t>
        </is>
      </c>
      <c r="O8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15" ht="15.75" customHeight="1" s="12">
      <c r="A815" s="1" t="n">
        <v>327</v>
      </c>
      <c r="B815" s="3">
        <f>HYPERLINK("https://leetcode.com/problems/count-of-range-sum/", "Count of Range Sum")</f>
        <v/>
      </c>
      <c r="C815" s="1" t="n">
        <v>2483</v>
      </c>
      <c r="D815" s="1" t="n">
        <v>262</v>
      </c>
      <c r="E815" s="4">
        <f>IF(INDEX(C:C, ROW())+INDEX(D:D, ROW())=0, 0, INDEX(C:C, ROW())/(INDEX(C:C, ROW())+INDEX(D:D, ROW())))</f>
        <v/>
      </c>
      <c r="F815" s="1" t="inlineStr">
        <is>
          <t>Array, Binary Search, Divide and Conquer, Binary Indexed Tree, Segment Tree, Merge Sort, Ordered Set</t>
        </is>
      </c>
      <c r="G815" s="1" t="inlineStr">
        <is>
          <t>Hard</t>
        </is>
      </c>
      <c r="H815" s="1" t="n">
        <v>99679</v>
      </c>
      <c r="I815" s="1" t="n">
        <v>261484</v>
      </c>
      <c r="J815" s="9" t="n">
        <v>0.381</v>
      </c>
      <c r="K815" s="1" t="inlineStr">
        <is>
          <t>Yes</t>
        </is>
      </c>
      <c r="L815" s="1" t="inlineStr">
        <is>
          <t>No</t>
        </is>
      </c>
      <c r="M815" s="1" t="inlineStr">
        <is>
          <t>No</t>
        </is>
      </c>
      <c r="N815" s="1" t="inlineStr">
        <is>
          <t>Algorithms</t>
        </is>
      </c>
      <c r="O8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16" ht="15.75" customHeight="1" s="12">
      <c r="A816" s="1" t="n">
        <v>2181</v>
      </c>
      <c r="B816" s="3">
        <f>HYPERLINK("https://leetcode.com/problems/merge-nodes-in-between-zeros/", "Merge Nodes in Between Zeros")</f>
        <v/>
      </c>
      <c r="C816" s="1" t="n">
        <v>2481</v>
      </c>
      <c r="D816" s="1" t="n">
        <v>52</v>
      </c>
      <c r="E816" s="4">
        <f>IF(INDEX(C:C, ROW())+INDEX(D:D, ROW())=0, 0, INDEX(C:C, ROW())/(INDEX(C:C, ROW())+INDEX(D:D, ROW())))</f>
        <v/>
      </c>
      <c r="F816" s="1" t="inlineStr">
        <is>
          <t>Linked List, Simulation</t>
        </is>
      </c>
      <c r="G816" s="1" t="inlineStr">
        <is>
          <t>Medium</t>
        </is>
      </c>
      <c r="H816" s="1" t="n">
        <v>335197</v>
      </c>
      <c r="I816" s="1" t="n">
        <v>373863</v>
      </c>
      <c r="J816" s="9" t="n">
        <v>0.897</v>
      </c>
      <c r="K816" s="1" t="inlineStr">
        <is>
          <t>Yes</t>
        </is>
      </c>
      <c r="L816" s="1" t="inlineStr">
        <is>
          <t>Yes</t>
        </is>
      </c>
      <c r="M816" s="1" t="inlineStr">
        <is>
          <t>No</t>
        </is>
      </c>
      <c r="N816" s="1" t="inlineStr">
        <is>
          <t>Algorithms</t>
        </is>
      </c>
      <c r="O8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17" ht="15.75" customHeight="1" s="12">
      <c r="A817" s="1" t="n">
        <v>1304</v>
      </c>
      <c r="B817" s="3">
        <f>HYPERLINK("https://leetcode.com/problems/find-n-unique-integers-sum-up-to-zero/", "Find N Unique Integers Sum up to Zero")</f>
        <v/>
      </c>
      <c r="C817" s="1" t="n">
        <v>2469</v>
      </c>
      <c r="D817" s="1" t="n">
        <v>620</v>
      </c>
      <c r="E817" s="4">
        <f>IF(INDEX(C:C, ROW())+INDEX(D:D, ROW())=0, 0, INDEX(C:C, ROW())/(INDEX(C:C, ROW())+INDEX(D:D, ROW())))</f>
        <v/>
      </c>
      <c r="F817" s="1" t="inlineStr">
        <is>
          <t>Array, Math</t>
        </is>
      </c>
      <c r="G817" s="1" t="inlineStr">
        <is>
          <t>Easy</t>
        </is>
      </c>
      <c r="H817" s="1" t="n">
        <v>389363</v>
      </c>
      <c r="I817" s="1" t="n">
        <v>496132</v>
      </c>
      <c r="J817" s="9" t="n">
        <v>0.785</v>
      </c>
      <c r="K817" s="1" t="inlineStr">
        <is>
          <t>Yes</t>
        </is>
      </c>
      <c r="L817" s="1" t="inlineStr">
        <is>
          <t>Yes</t>
        </is>
      </c>
      <c r="M817" s="1" t="inlineStr">
        <is>
          <t>No</t>
        </is>
      </c>
      <c r="N817" s="1" t="inlineStr">
        <is>
          <t>Algorithms</t>
        </is>
      </c>
      <c r="O8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18" ht="15.75" customHeight="1" s="12">
      <c r="A818" s="1" t="n">
        <v>765</v>
      </c>
      <c r="B818" s="3">
        <f>HYPERLINK("https://leetcode.com/problems/couples-holding-hands/", "Couples Holding Hands")</f>
        <v/>
      </c>
      <c r="C818" s="1" t="n">
        <v>2468</v>
      </c>
      <c r="D818" s="1" t="n">
        <v>129</v>
      </c>
      <c r="E818" s="4">
        <f>IF(INDEX(C:C, ROW())+INDEX(D:D, ROW())=0, 0, INDEX(C:C, ROW())/(INDEX(C:C, ROW())+INDEX(D:D, ROW())))</f>
        <v/>
      </c>
      <c r="F818" s="1" t="inlineStr">
        <is>
          <t>Greedy, Depth-First Search, Breadth-First Search, Union-Find, Graph Theory</t>
        </is>
      </c>
      <c r="G818" s="1" t="inlineStr">
        <is>
          <t>Hard</t>
        </is>
      </c>
      <c r="H818" s="1" t="n">
        <v>80511</v>
      </c>
      <c r="I818" s="1" t="n">
        <v>136300</v>
      </c>
      <c r="J818" s="9" t="n">
        <v>0.591</v>
      </c>
      <c r="K818" s="1" t="inlineStr">
        <is>
          <t>Yes</t>
        </is>
      </c>
      <c r="L818" s="1" t="inlineStr">
        <is>
          <t>Yes</t>
        </is>
      </c>
      <c r="M818" s="1" t="inlineStr">
        <is>
          <t>No</t>
        </is>
      </c>
      <c r="N818" s="1" t="inlineStr">
        <is>
          <t>Algorithms</t>
        </is>
      </c>
      <c r="O8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19" ht="15.75" customHeight="1" s="12">
      <c r="A819" s="1" t="n">
        <v>864</v>
      </c>
      <c r="B819" s="3">
        <f>HYPERLINK("https://leetcode.com/problems/shortest-path-to-get-all-keys/", "Shortest Path to Get All Keys")</f>
        <v/>
      </c>
      <c r="C819" s="1" t="n">
        <v>2468</v>
      </c>
      <c r="D819" s="1" t="n">
        <v>107</v>
      </c>
      <c r="E819" s="4">
        <f>IF(INDEX(C:C, ROW())+INDEX(D:D, ROW())=0, 0, INDEX(C:C, ROW())/(INDEX(C:C, ROW())+INDEX(D:D, ROW())))</f>
        <v/>
      </c>
      <c r="F819" s="1" t="inlineStr">
        <is>
          <t>Array, Bit Manipulation, Breadth-First Search, Matrix</t>
        </is>
      </c>
      <c r="G819" s="1" t="inlineStr">
        <is>
          <t>Hard</t>
        </is>
      </c>
      <c r="H819" s="1" t="n">
        <v>91926</v>
      </c>
      <c r="I819" s="1" t="n">
        <v>169413</v>
      </c>
      <c r="J819" s="9" t="n">
        <v>0.543</v>
      </c>
      <c r="K819" s="1" t="inlineStr">
        <is>
          <t>Yes</t>
        </is>
      </c>
      <c r="L819" s="1" t="inlineStr">
        <is>
          <t>Yes</t>
        </is>
      </c>
      <c r="M819" s="1" t="inlineStr">
        <is>
          <t>No</t>
        </is>
      </c>
      <c r="N819" s="1" t="inlineStr">
        <is>
          <t>Algorithms</t>
        </is>
      </c>
      <c r="O8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20" ht="15.75" customHeight="1" s="12">
      <c r="A820" s="1" t="n">
        <v>861</v>
      </c>
      <c r="B820" s="3">
        <f>HYPERLINK("https://leetcode.com/problems/score-after-flipping-matrix/", "Score After Flipping Matrix")</f>
        <v/>
      </c>
      <c r="C820" s="1" t="n">
        <v>2467</v>
      </c>
      <c r="D820" s="1" t="n">
        <v>225</v>
      </c>
      <c r="E820" s="4">
        <f>IF(INDEX(C:C, ROW())+INDEX(D:D, ROW())=0, 0, INDEX(C:C, ROW())/(INDEX(C:C, ROW())+INDEX(D:D, ROW())))</f>
        <v/>
      </c>
      <c r="F820" s="1" t="inlineStr">
        <is>
          <t>Array, Greedy, Bit Manipulation, Matrix</t>
        </is>
      </c>
      <c r="G820" s="1" t="inlineStr">
        <is>
          <t>Medium</t>
        </is>
      </c>
      <c r="H820" s="1" t="n">
        <v>164656</v>
      </c>
      <c r="I820" s="1" t="n">
        <v>205098</v>
      </c>
      <c r="J820" s="9" t="n">
        <v>0.803</v>
      </c>
      <c r="K820" s="1" t="inlineStr">
        <is>
          <t>Yes</t>
        </is>
      </c>
      <c r="L820" s="1" t="inlineStr">
        <is>
          <t>Yes</t>
        </is>
      </c>
      <c r="M820" s="1" t="inlineStr">
        <is>
          <t>No</t>
        </is>
      </c>
      <c r="N820" s="1" t="inlineStr">
        <is>
          <t>Algorithms</t>
        </is>
      </c>
      <c r="O8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21" ht="15.75" customHeight="1" s="12">
      <c r="A821" s="1" t="n">
        <v>2352</v>
      </c>
      <c r="B821" s="3">
        <f>HYPERLINK("https://leetcode.com/problems/equal-row-and-column-pairs/", "Equal Row and Column Pairs")</f>
        <v/>
      </c>
      <c r="C821" s="1" t="n">
        <v>2467</v>
      </c>
      <c r="D821" s="1" t="n">
        <v>190</v>
      </c>
      <c r="E821" s="4">
        <f>IF(INDEX(C:C, ROW())+INDEX(D:D, ROW())=0, 0, INDEX(C:C, ROW())/(INDEX(C:C, ROW())+INDEX(D:D, ROW())))</f>
        <v/>
      </c>
      <c r="F821" s="1" t="inlineStr">
        <is>
          <t>Array, Hash Table, Matrix, Simulation</t>
        </is>
      </c>
      <c r="G821" s="1" t="inlineStr">
        <is>
          <t>Medium</t>
        </is>
      </c>
      <c r="H821" s="1" t="n">
        <v>385457</v>
      </c>
      <c r="I821" s="1" t="n">
        <v>544943</v>
      </c>
      <c r="J821" s="9" t="n">
        <v>0.707</v>
      </c>
      <c r="K821" s="1" t="inlineStr">
        <is>
          <t>Yes</t>
        </is>
      </c>
      <c r="L821" s="1" t="inlineStr">
        <is>
          <t>Yes</t>
        </is>
      </c>
      <c r="M821" s="1" t="inlineStr">
        <is>
          <t>No</t>
        </is>
      </c>
      <c r="N821" s="1" t="inlineStr">
        <is>
          <t>Algorithms</t>
        </is>
      </c>
      <c r="O8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22" ht="15.75" customHeight="1" s="12">
      <c r="A822" s="1" t="n">
        <v>920</v>
      </c>
      <c r="B822" s="3">
        <f>HYPERLINK("https://leetcode.com/problems/number-of-music-playlists/", "Number of Music Playlists")</f>
        <v/>
      </c>
      <c r="C822" s="1" t="n">
        <v>2457</v>
      </c>
      <c r="D822" s="1" t="n">
        <v>205</v>
      </c>
      <c r="E822" s="4">
        <f>IF(INDEX(C:C, ROW())+INDEX(D:D, ROW())=0, 0, INDEX(C:C, ROW())/(INDEX(C:C, ROW())+INDEX(D:D, ROW())))</f>
        <v/>
      </c>
      <c r="F822" s="1" t="inlineStr">
        <is>
          <t>Math, Dynamic Programming, Combinatorics</t>
        </is>
      </c>
      <c r="G822" s="1" t="inlineStr">
        <is>
          <t>Hard</t>
        </is>
      </c>
      <c r="H822" s="1" t="n">
        <v>78046</v>
      </c>
      <c r="I822" s="1" t="n">
        <v>130068</v>
      </c>
      <c r="J822" s="9" t="n">
        <v>0.6</v>
      </c>
      <c r="K822" s="1" t="inlineStr">
        <is>
          <t>Yes</t>
        </is>
      </c>
      <c r="L822" s="1" t="inlineStr">
        <is>
          <t>Yes</t>
        </is>
      </c>
      <c r="M822" s="1" t="inlineStr">
        <is>
          <t>No</t>
        </is>
      </c>
      <c r="N822" s="1" t="inlineStr">
        <is>
          <t>Algorithms</t>
        </is>
      </c>
      <c r="O8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23" ht="15.75" customHeight="1" s="12">
      <c r="A823" s="1" t="n">
        <v>674</v>
      </c>
      <c r="B823" s="3">
        <f>HYPERLINK("https://leetcode.com/problems/longest-continuous-increasing-subsequence/", "Longest Continuous Increasing Subsequence")</f>
        <v/>
      </c>
      <c r="C823" s="1" t="n">
        <v>2453</v>
      </c>
      <c r="D823" s="1" t="n">
        <v>195</v>
      </c>
      <c r="E823" s="4">
        <f>IF(INDEX(C:C, ROW())+INDEX(D:D, ROW())=0, 0, INDEX(C:C, ROW())/(INDEX(C:C, ROW())+INDEX(D:D, ROW())))</f>
        <v/>
      </c>
      <c r="F823" s="1" t="inlineStr">
        <is>
          <t>Array</t>
        </is>
      </c>
      <c r="G823" s="1" t="inlineStr">
        <is>
          <t>Easy</t>
        </is>
      </c>
      <c r="H823" s="1" t="n">
        <v>337377</v>
      </c>
      <c r="I823" s="1" t="n">
        <v>652256</v>
      </c>
      <c r="J823" s="9" t="n">
        <v>0.517</v>
      </c>
      <c r="K823" s="1" t="inlineStr">
        <is>
          <t>Yes</t>
        </is>
      </c>
      <c r="L823" s="1" t="inlineStr">
        <is>
          <t>Yes</t>
        </is>
      </c>
      <c r="M823" s="1" t="inlineStr">
        <is>
          <t>No</t>
        </is>
      </c>
      <c r="N823" s="1" t="inlineStr">
        <is>
          <t>Algorithms</t>
        </is>
      </c>
      <c r="O8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24" ht="15.75" customHeight="1" s="12">
      <c r="A824" s="1" t="n">
        <v>839</v>
      </c>
      <c r="B824" s="3">
        <f>HYPERLINK("https://leetcode.com/problems/similar-string-groups/", "Similar String Groups")</f>
        <v/>
      </c>
      <c r="C824" s="1" t="n">
        <v>2453</v>
      </c>
      <c r="D824" s="1" t="n">
        <v>217</v>
      </c>
      <c r="E824" s="4">
        <f>IF(INDEX(C:C, ROW())+INDEX(D:D, ROW())=0, 0, INDEX(C:C, ROW())/(INDEX(C:C, ROW())+INDEX(D:D, ROW())))</f>
        <v/>
      </c>
      <c r="F824" s="1" t="inlineStr">
        <is>
          <t>Array, Hash Table, String, Depth-First Search, Breadth-First Search, Union-Find</t>
        </is>
      </c>
      <c r="G824" s="1" t="inlineStr">
        <is>
          <t>Hard</t>
        </is>
      </c>
      <c r="H824" s="1" t="n">
        <v>139294</v>
      </c>
      <c r="I824" s="1" t="n">
        <v>249097</v>
      </c>
      <c r="J824" s="9" t="n">
        <v>0.5590000000000001</v>
      </c>
      <c r="K824" s="1" t="inlineStr">
        <is>
          <t>Yes</t>
        </is>
      </c>
      <c r="L824" s="1" t="inlineStr">
        <is>
          <t>Yes</t>
        </is>
      </c>
      <c r="M824" s="1" t="inlineStr">
        <is>
          <t>No</t>
        </is>
      </c>
      <c r="N824" s="1" t="inlineStr">
        <is>
          <t>Algorithms</t>
        </is>
      </c>
      <c r="O8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25" ht="15.75" customHeight="1" s="12">
      <c r="A825" s="1" t="n">
        <v>956</v>
      </c>
      <c r="B825" s="3">
        <f>HYPERLINK("https://leetcode.com/problems/tallest-billboard/", "Tallest Billboard")</f>
        <v/>
      </c>
      <c r="C825" s="1" t="n">
        <v>2453</v>
      </c>
      <c r="D825" s="1" t="n">
        <v>61</v>
      </c>
      <c r="E825" s="4">
        <f>IF(INDEX(C:C, ROW())+INDEX(D:D, ROW())=0, 0, INDEX(C:C, ROW())/(INDEX(C:C, ROW())+INDEX(D:D, ROW())))</f>
        <v/>
      </c>
      <c r="F825" s="1" t="inlineStr">
        <is>
          <t>Array, Dynamic Programming</t>
        </is>
      </c>
      <c r="G825" s="1" t="inlineStr">
        <is>
          <t>Hard</t>
        </is>
      </c>
      <c r="H825" s="1" t="n">
        <v>68715</v>
      </c>
      <c r="I825" s="1" t="n">
        <v>132547</v>
      </c>
      <c r="J825" s="9" t="n">
        <v>0.518</v>
      </c>
      <c r="K825" s="1" t="inlineStr">
        <is>
          <t>Yes</t>
        </is>
      </c>
      <c r="L825" s="1" t="inlineStr">
        <is>
          <t>Yes</t>
        </is>
      </c>
      <c r="M825" s="1" t="inlineStr">
        <is>
          <t>No</t>
        </is>
      </c>
      <c r="N825" s="1" t="inlineStr">
        <is>
          <t>Algorithms</t>
        </is>
      </c>
      <c r="O8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26" ht="15.75" customHeight="1" s="12">
      <c r="A826" s="1" t="n">
        <v>1217</v>
      </c>
      <c r="B826" s="3">
        <f>HYPERLINK("https://leetcode.com/problems/minimum-cost-to-move-chips-to-the-same-position/", "Minimum Cost to Move Chips to The Same Position")</f>
        <v/>
      </c>
      <c r="C826" s="1" t="n">
        <v>2450</v>
      </c>
      <c r="D826" s="1" t="n">
        <v>349</v>
      </c>
      <c r="E826" s="4">
        <f>IF(INDEX(C:C, ROW())+INDEX(D:D, ROW())=0, 0, INDEX(C:C, ROW())/(INDEX(C:C, ROW())+INDEX(D:D, ROW())))</f>
        <v/>
      </c>
      <c r="F826" s="1" t="inlineStr">
        <is>
          <t>Array, Math, Greedy</t>
        </is>
      </c>
      <c r="G826" s="1" t="inlineStr">
        <is>
          <t>Easy</t>
        </is>
      </c>
      <c r="H826" s="1" t="n">
        <v>164792</v>
      </c>
      <c r="I826" s="1" t="n">
        <v>226691</v>
      </c>
      <c r="J826" s="9" t="n">
        <v>0.727</v>
      </c>
      <c r="K826" s="1" t="inlineStr">
        <is>
          <t>Yes</t>
        </is>
      </c>
      <c r="L826" s="1" t="inlineStr">
        <is>
          <t>Yes</t>
        </is>
      </c>
      <c r="M826" s="1" t="inlineStr">
        <is>
          <t>No</t>
        </is>
      </c>
      <c r="N826" s="1" t="inlineStr">
        <is>
          <t>Algorithms</t>
        </is>
      </c>
      <c r="O8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27" ht="15.75" customHeight="1" s="12">
      <c r="A827" s="1" t="n">
        <v>2402</v>
      </c>
      <c r="B827" s="3">
        <f>HYPERLINK("https://leetcode.com/problems/meeting-rooms-iii/", "Meeting Rooms III")</f>
        <v/>
      </c>
      <c r="C827" s="1" t="n">
        <v>2448</v>
      </c>
      <c r="D827" s="1" t="n">
        <v>139</v>
      </c>
      <c r="E827" s="4">
        <f>IF(INDEX(C:C, ROW())+INDEX(D:D, ROW())=0, 0, INDEX(C:C, ROW())/(INDEX(C:C, ROW())+INDEX(D:D, ROW())))</f>
        <v/>
      </c>
      <c r="F827" s="1" t="inlineStr">
        <is>
          <t>Array, Hash Table, Sorting, Heap (Priority Queue), Simulation</t>
        </is>
      </c>
      <c r="G827" s="1" t="inlineStr">
        <is>
          <t>Hard</t>
        </is>
      </c>
      <c r="H827" s="1" t="n">
        <v>287496</v>
      </c>
      <c r="I827" s="1" t="n">
        <v>556026</v>
      </c>
      <c r="J827" s="9" t="n">
        <v>0.517</v>
      </c>
      <c r="K827" s="1" t="inlineStr">
        <is>
          <t>Yes</t>
        </is>
      </c>
      <c r="L827" s="1" t="inlineStr">
        <is>
          <t>Yes</t>
        </is>
      </c>
      <c r="M827" s="1" t="inlineStr">
        <is>
          <t>No</t>
        </is>
      </c>
      <c r="N827" s="1" t="inlineStr">
        <is>
          <t>Algorithms</t>
        </is>
      </c>
      <c r="O8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28" ht="15.75" customHeight="1" s="12">
      <c r="A828" s="1" t="n">
        <v>1574</v>
      </c>
      <c r="B828" s="3">
        <f>HYPERLINK("https://leetcode.com/problems/shortest-subarray-to-be-removed-to-make-array-sorted/", "Shortest Subarray to be Removed to Make Array Sorted")</f>
        <v/>
      </c>
      <c r="C828" s="1" t="n">
        <v>2445</v>
      </c>
      <c r="D828" s="1" t="n">
        <v>161</v>
      </c>
      <c r="E828" s="4">
        <f>IF(INDEX(C:C, ROW())+INDEX(D:D, ROW())=0, 0, INDEX(C:C, ROW())/(INDEX(C:C, ROW())+INDEX(D:D, ROW())))</f>
        <v/>
      </c>
      <c r="F828" s="1" t="inlineStr">
        <is>
          <t>Array, Two Pointers, Binary Search, Stack, Monotonic Stack</t>
        </is>
      </c>
      <c r="G828" s="1" t="inlineStr">
        <is>
          <t>Medium</t>
        </is>
      </c>
      <c r="H828" s="1" t="n">
        <v>126009</v>
      </c>
      <c r="I828" s="1" t="n">
        <v>245627</v>
      </c>
      <c r="J828" s="9" t="n">
        <v>0.513</v>
      </c>
      <c r="K828" s="1" t="inlineStr">
        <is>
          <t>Yes</t>
        </is>
      </c>
      <c r="L828" s="1" t="inlineStr">
        <is>
          <t>Yes</t>
        </is>
      </c>
      <c r="M828" s="1" t="inlineStr">
        <is>
          <t>No</t>
        </is>
      </c>
      <c r="N828" s="1" t="inlineStr">
        <is>
          <t>Algorithms</t>
        </is>
      </c>
      <c r="O8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29" ht="15.75" customHeight="1" s="12">
      <c r="A829" s="1" t="n">
        <v>546</v>
      </c>
      <c r="B829" s="3">
        <f>HYPERLINK("https://leetcode.com/problems/remove-boxes/", "Remove Boxes")</f>
        <v/>
      </c>
      <c r="C829" s="1" t="n">
        <v>2444</v>
      </c>
      <c r="D829" s="1" t="n">
        <v>136</v>
      </c>
      <c r="E829" s="4">
        <f>IF(INDEX(C:C, ROW())+INDEX(D:D, ROW())=0, 0, INDEX(C:C, ROW())/(INDEX(C:C, ROW())+INDEX(D:D, ROW())))</f>
        <v/>
      </c>
      <c r="F829" s="1" t="inlineStr">
        <is>
          <t>Array, Dynamic Programming, Memoization</t>
        </is>
      </c>
      <c r="G829" s="1" t="inlineStr">
        <is>
          <t>Hard</t>
        </is>
      </c>
      <c r="H829" s="1" t="n">
        <v>60008</v>
      </c>
      <c r="I829" s="1" t="n">
        <v>121971</v>
      </c>
      <c r="J829" s="9" t="n">
        <v>0.492</v>
      </c>
      <c r="K829" s="1" t="inlineStr">
        <is>
          <t>Yes</t>
        </is>
      </c>
      <c r="L829" s="1" t="inlineStr">
        <is>
          <t>Yes</t>
        </is>
      </c>
      <c r="M829" s="1" t="inlineStr">
        <is>
          <t>No</t>
        </is>
      </c>
      <c r="N829" s="1" t="inlineStr">
        <is>
          <t>Algorithms</t>
        </is>
      </c>
      <c r="O8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30" ht="15.75" customHeight="1" s="12">
      <c r="A830" s="1" t="n">
        <v>331</v>
      </c>
      <c r="B830" s="3">
        <f>HYPERLINK("https://leetcode.com/problems/verify-preorder-serialization-of-a-binary-tree/", "Verify Preorder Serialization of a Binary Tree")</f>
        <v/>
      </c>
      <c r="C830" s="1" t="n">
        <v>2442</v>
      </c>
      <c r="D830" s="1" t="n">
        <v>132</v>
      </c>
      <c r="E830" s="4">
        <f>IF(INDEX(C:C, ROW())+INDEX(D:D, ROW())=0, 0, INDEX(C:C, ROW())/(INDEX(C:C, ROW())+INDEX(D:D, ROW())))</f>
        <v/>
      </c>
      <c r="F830" s="1" t="inlineStr">
        <is>
          <t>String, Stack, Tree, Binary Tree</t>
        </is>
      </c>
      <c r="G830" s="1" t="inlineStr">
        <is>
          <t>Medium</t>
        </is>
      </c>
      <c r="H830" s="1" t="n">
        <v>163949</v>
      </c>
      <c r="I830" s="1" t="n">
        <v>349356</v>
      </c>
      <c r="J830" s="9" t="n">
        <v>0.469</v>
      </c>
      <c r="K830" s="1" t="inlineStr">
        <is>
          <t>Yes</t>
        </is>
      </c>
      <c r="L830" s="1" t="inlineStr">
        <is>
          <t>Yes</t>
        </is>
      </c>
      <c r="M830" s="1" t="inlineStr">
        <is>
          <t>No</t>
        </is>
      </c>
      <c r="N830" s="1" t="inlineStr">
        <is>
          <t>Algorithms</t>
        </is>
      </c>
      <c r="O8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31" ht="15.75" customHeight="1" s="12">
      <c r="A831" s="1" t="n">
        <v>1615</v>
      </c>
      <c r="B831" s="3">
        <f>HYPERLINK("https://leetcode.com/problems/maximal-network-rank/", "Maximal Network Rank")</f>
        <v/>
      </c>
      <c r="C831" s="1" t="n">
        <v>2440</v>
      </c>
      <c r="D831" s="1" t="n">
        <v>389</v>
      </c>
      <c r="E831" s="4">
        <f>IF(INDEX(C:C, ROW())+INDEX(D:D, ROW())=0, 0, INDEX(C:C, ROW())/(INDEX(C:C, ROW())+INDEX(D:D, ROW())))</f>
        <v/>
      </c>
      <c r="F831" s="1" t="inlineStr">
        <is>
          <t>Graph Theory</t>
        </is>
      </c>
      <c r="G831" s="1" t="inlineStr">
        <is>
          <t>Medium</t>
        </is>
      </c>
      <c r="H831" s="1" t="n">
        <v>166684</v>
      </c>
      <c r="I831" s="1" t="n">
        <v>253256</v>
      </c>
      <c r="J831" s="9" t="n">
        <v>0.658</v>
      </c>
      <c r="K831" s="1" t="inlineStr">
        <is>
          <t>Yes</t>
        </is>
      </c>
      <c r="L831" s="1" t="inlineStr">
        <is>
          <t>Yes</t>
        </is>
      </c>
      <c r="M831" s="1" t="inlineStr">
        <is>
          <t>No</t>
        </is>
      </c>
      <c r="N831" s="1" t="inlineStr">
        <is>
          <t>Algorithms</t>
        </is>
      </c>
      <c r="O8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32" ht="15.75" customHeight="1" s="12">
      <c r="A832" s="1" t="n">
        <v>2483</v>
      </c>
      <c r="B832" s="3">
        <f>HYPERLINK("https://leetcode.com/problems/minimum-penalty-for-a-shop/", "Minimum Penalty for a Shop")</f>
        <v/>
      </c>
      <c r="C832" s="1" t="n">
        <v>2438</v>
      </c>
      <c r="D832" s="1" t="n">
        <v>134</v>
      </c>
      <c r="E832" s="4">
        <f>IF(INDEX(C:C, ROW())+INDEX(D:D, ROW())=0, 0, INDEX(C:C, ROW())/(INDEX(C:C, ROW())+INDEX(D:D, ROW())))</f>
        <v/>
      </c>
      <c r="F832" s="1" t="inlineStr">
        <is>
          <t>String, Prefix Sum</t>
        </is>
      </c>
      <c r="G832" s="1" t="inlineStr">
        <is>
          <t>Medium</t>
        </is>
      </c>
      <c r="H832" s="1" t="n">
        <v>228201</v>
      </c>
      <c r="I832" s="1" t="n">
        <v>320507</v>
      </c>
      <c r="J832" s="9" t="n">
        <v>0.712</v>
      </c>
      <c r="K832" s="1" t="inlineStr">
        <is>
          <t>Yes</t>
        </is>
      </c>
      <c r="L832" s="1" t="inlineStr">
        <is>
          <t>Yes</t>
        </is>
      </c>
      <c r="M832" s="1" t="inlineStr">
        <is>
          <t>Yes</t>
        </is>
      </c>
      <c r="N832" s="1" t="inlineStr">
        <is>
          <t>Algorithms</t>
        </is>
      </c>
      <c r="O8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33" ht="15.75" customHeight="1" s="12">
      <c r="A833" s="1" t="n">
        <v>178</v>
      </c>
      <c r="B833" s="3">
        <f>HYPERLINK("https://leetcode.com/problems/rank-scores/", "Rank Scores")</f>
        <v/>
      </c>
      <c r="C833" s="1" t="n">
        <v>2437</v>
      </c>
      <c r="D833" s="1" t="n">
        <v>300</v>
      </c>
      <c r="E833" s="4">
        <f>IF(INDEX(C:C, ROW())+INDEX(D:D, ROW())=0, 0, INDEX(C:C, ROW())/(INDEX(C:C, ROW())+INDEX(D:D, ROW())))</f>
        <v/>
      </c>
      <c r="F833" s="1" t="inlineStr">
        <is>
          <t>Database</t>
        </is>
      </c>
      <c r="G833" s="1" t="inlineStr">
        <is>
          <t>Medium</t>
        </is>
      </c>
      <c r="H833" s="1" t="n">
        <v>623000</v>
      </c>
      <c r="I833" s="1" t="n">
        <v>932123</v>
      </c>
      <c r="J833" s="9" t="n">
        <v>0.668</v>
      </c>
      <c r="K833" s="1" t="inlineStr">
        <is>
          <t>Yes</t>
        </is>
      </c>
      <c r="L833" s="1" t="inlineStr">
        <is>
          <t>Yes</t>
        </is>
      </c>
      <c r="M833" s="1" t="inlineStr">
        <is>
          <t>No</t>
        </is>
      </c>
      <c r="N833" s="1" t="inlineStr">
        <is>
          <t>Database</t>
        </is>
      </c>
      <c r="O8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34" ht="15.75" customHeight="1" s="12">
      <c r="A834" s="1" t="n">
        <v>1870</v>
      </c>
      <c r="B834" s="3">
        <f>HYPERLINK("https://leetcode.com/problems/minimum-speed-to-arrive-on-time/", "Minimum Speed to Arrive on Time")</f>
        <v/>
      </c>
      <c r="C834" s="1" t="n">
        <v>2437</v>
      </c>
      <c r="D834" s="1" t="n">
        <v>291</v>
      </c>
      <c r="E834" s="4">
        <f>IF(INDEX(C:C, ROW())+INDEX(D:D, ROW())=0, 0, INDEX(C:C, ROW())/(INDEX(C:C, ROW())+INDEX(D:D, ROW())))</f>
        <v/>
      </c>
      <c r="F834" s="1" t="inlineStr">
        <is>
          <t>Array, Binary Search</t>
        </is>
      </c>
      <c r="G834" s="1" t="inlineStr">
        <is>
          <t>Medium</t>
        </is>
      </c>
      <c r="H834" s="1" t="n">
        <v>123041</v>
      </c>
      <c r="I834" s="1" t="n">
        <v>258355</v>
      </c>
      <c r="J834" s="9" t="n">
        <v>0.476</v>
      </c>
      <c r="K834" s="1" t="inlineStr">
        <is>
          <t>Yes</t>
        </is>
      </c>
      <c r="L834" s="1" t="inlineStr">
        <is>
          <t>Yes</t>
        </is>
      </c>
      <c r="M834" s="1" t="inlineStr">
        <is>
          <t>No</t>
        </is>
      </c>
      <c r="N834" s="1" t="inlineStr">
        <is>
          <t>Algorithms</t>
        </is>
      </c>
      <c r="O8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35" ht="15.75" customHeight="1" s="12">
      <c r="A835" s="1" t="n">
        <v>795</v>
      </c>
      <c r="B835" s="3">
        <f>HYPERLINK("https://leetcode.com/problems/number-of-subarrays-with-bounded-maximum/", "Number of Subarrays with Bounded Maximum")</f>
        <v/>
      </c>
      <c r="C835" s="1" t="n">
        <v>2433</v>
      </c>
      <c r="D835" s="1" t="n">
        <v>134</v>
      </c>
      <c r="E835" s="4">
        <f>IF(INDEX(C:C, ROW())+INDEX(D:D, ROW())=0, 0, INDEX(C:C, ROW())/(INDEX(C:C, ROW())+INDEX(D:D, ROW())))</f>
        <v/>
      </c>
      <c r="F835" s="1" t="inlineStr">
        <is>
          <t>Array, Two Pointers</t>
        </is>
      </c>
      <c r="G835" s="1" t="inlineStr">
        <is>
          <t>Medium</t>
        </is>
      </c>
      <c r="H835" s="1" t="n">
        <v>87114</v>
      </c>
      <c r="I835" s="1" t="n">
        <v>159656</v>
      </c>
      <c r="J835" s="9" t="n">
        <v>0.546</v>
      </c>
      <c r="K835" s="1" t="inlineStr">
        <is>
          <t>Yes</t>
        </is>
      </c>
      <c r="L835" s="1" t="inlineStr">
        <is>
          <t>Yes</t>
        </is>
      </c>
      <c r="M835" s="1" t="inlineStr">
        <is>
          <t>No</t>
        </is>
      </c>
      <c r="N835" s="1" t="inlineStr">
        <is>
          <t>Algorithms</t>
        </is>
      </c>
      <c r="O8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36" ht="15.75" customHeight="1" s="12">
      <c r="A836" s="1" t="n">
        <v>2218</v>
      </c>
      <c r="B836" s="3">
        <f>HYPERLINK("https://leetcode.com/problems/maximum-value-of-k-coins-from-piles/", "Maximum Value of K Coins From Piles")</f>
        <v/>
      </c>
      <c r="C836" s="1" t="n">
        <v>2432</v>
      </c>
      <c r="D836" s="1" t="n">
        <v>38</v>
      </c>
      <c r="E836" s="4">
        <f>IF(INDEX(C:C, ROW())+INDEX(D:D, ROW())=0, 0, INDEX(C:C, ROW())/(INDEX(C:C, ROW())+INDEX(D:D, ROW())))</f>
        <v/>
      </c>
      <c r="F836" s="1" t="inlineStr">
        <is>
          <t>Array, Dynamic Programming, Prefix Sum</t>
        </is>
      </c>
      <c r="G836" s="1" t="inlineStr">
        <is>
          <t>Hard</t>
        </is>
      </c>
      <c r="H836" s="1" t="n">
        <v>80269</v>
      </c>
      <c r="I836" s="1" t="n">
        <v>132884</v>
      </c>
      <c r="J836" s="9" t="n">
        <v>0.604</v>
      </c>
      <c r="K836" s="1" t="inlineStr">
        <is>
          <t>Yes</t>
        </is>
      </c>
      <c r="L836" s="1" t="inlineStr">
        <is>
          <t>Yes</t>
        </is>
      </c>
      <c r="M836" s="1" t="inlineStr">
        <is>
          <t>No</t>
        </is>
      </c>
      <c r="N836" s="1" t="inlineStr">
        <is>
          <t>Algorithms</t>
        </is>
      </c>
      <c r="O8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37" ht="15.75" customHeight="1" s="12">
      <c r="A837" s="1" t="n">
        <v>2421</v>
      </c>
      <c r="B837" s="3">
        <f>HYPERLINK("https://leetcode.com/problems/number-of-good-paths/", "Number of Good Paths")</f>
        <v/>
      </c>
      <c r="C837" s="1" t="n">
        <v>2432</v>
      </c>
      <c r="D837" s="1" t="n">
        <v>113</v>
      </c>
      <c r="E837" s="4">
        <f>IF(INDEX(C:C, ROW())+INDEX(D:D, ROW())=0, 0, INDEX(C:C, ROW())/(INDEX(C:C, ROW())+INDEX(D:D, ROW())))</f>
        <v/>
      </c>
      <c r="F837" s="1" t="inlineStr">
        <is>
          <t>Array, Hash Table, Tree, Union-Find, Graph Theory, Sorting</t>
        </is>
      </c>
      <c r="G837" s="1" t="inlineStr">
        <is>
          <t>Hard</t>
        </is>
      </c>
      <c r="H837" s="1" t="n">
        <v>63980</v>
      </c>
      <c r="I837" s="1" t="n">
        <v>113815</v>
      </c>
      <c r="J837" s="9" t="n">
        <v>0.5620000000000001</v>
      </c>
      <c r="K837" s="1" t="inlineStr">
        <is>
          <t>Yes</t>
        </is>
      </c>
      <c r="L837" s="1" t="inlineStr">
        <is>
          <t>Yes</t>
        </is>
      </c>
      <c r="M837" s="1" t="inlineStr">
        <is>
          <t>No</t>
        </is>
      </c>
      <c r="N837" s="1" t="inlineStr">
        <is>
          <t>Algorithms</t>
        </is>
      </c>
      <c r="O8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38" ht="15.75" customHeight="1" s="12">
      <c r="A838" s="1" t="n">
        <v>1328</v>
      </c>
      <c r="B838" s="3">
        <f>HYPERLINK("https://leetcode.com/problems/break-a-palindrome/", "Break a Palindrome")</f>
        <v/>
      </c>
      <c r="C838" s="1" t="n">
        <v>2428</v>
      </c>
      <c r="D838" s="1" t="n">
        <v>754</v>
      </c>
      <c r="E838" s="4">
        <f>IF(INDEX(C:C, ROW())+INDEX(D:D, ROW())=0, 0, INDEX(C:C, ROW())/(INDEX(C:C, ROW())+INDEX(D:D, ROW())))</f>
        <v/>
      </c>
      <c r="F838" s="1" t="inlineStr">
        <is>
          <t>String, Greedy</t>
        </is>
      </c>
      <c r="G838" s="1" t="inlineStr">
        <is>
          <t>Medium</t>
        </is>
      </c>
      <c r="H838" s="1" t="n">
        <v>193292</v>
      </c>
      <c r="I838" s="1" t="n">
        <v>374547</v>
      </c>
      <c r="J838" s="9" t="n">
        <v>0.516</v>
      </c>
      <c r="K838" s="1" t="inlineStr">
        <is>
          <t>Yes</t>
        </is>
      </c>
      <c r="L838" s="1" t="inlineStr">
        <is>
          <t>Yes</t>
        </is>
      </c>
      <c r="M838" s="1" t="inlineStr">
        <is>
          <t>No</t>
        </is>
      </c>
      <c r="N838" s="1" t="inlineStr">
        <is>
          <t>Algorithms</t>
        </is>
      </c>
      <c r="O8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39" ht="15.75" customHeight="1" s="12">
      <c r="A839" s="1" t="n">
        <v>2141</v>
      </c>
      <c r="B839" s="3">
        <f>HYPERLINK("https://leetcode.com/problems/maximum-running-time-of-n-computers/", "Maximum Running Time of N Computers")</f>
        <v/>
      </c>
      <c r="C839" s="1" t="n">
        <v>2426</v>
      </c>
      <c r="D839" s="1" t="n">
        <v>71</v>
      </c>
      <c r="E839" s="4">
        <f>IF(INDEX(C:C, ROW())+INDEX(D:D, ROW())=0, 0, INDEX(C:C, ROW())/(INDEX(C:C, ROW())+INDEX(D:D, ROW())))</f>
        <v/>
      </c>
      <c r="F839" s="1" t="inlineStr">
        <is>
          <t>Array, Binary Search, Greedy, Sorting</t>
        </is>
      </c>
      <c r="G839" s="1" t="inlineStr">
        <is>
          <t>Hard</t>
        </is>
      </c>
      <c r="H839" s="1" t="n">
        <v>137219</v>
      </c>
      <c r="I839" s="1" t="n">
        <v>243132</v>
      </c>
      <c r="J839" s="9" t="n">
        <v>0.5639999999999999</v>
      </c>
      <c r="K839" s="1" t="inlineStr">
        <is>
          <t>Yes</t>
        </is>
      </c>
      <c r="L839" s="1" t="inlineStr">
        <is>
          <t>Yes</t>
        </is>
      </c>
      <c r="M839" s="1" t="inlineStr">
        <is>
          <t>No</t>
        </is>
      </c>
      <c r="N839" s="1" t="inlineStr">
        <is>
          <t>Algorithms</t>
        </is>
      </c>
      <c r="O8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40" ht="15.75" customHeight="1" s="12">
      <c r="A840" s="1" t="n">
        <v>330</v>
      </c>
      <c r="B840" s="3">
        <f>HYPERLINK("https://leetcode.com/problems/patching-array/", "Patching Array")</f>
        <v/>
      </c>
      <c r="C840" s="1" t="n">
        <v>2422</v>
      </c>
      <c r="D840" s="1" t="n">
        <v>202</v>
      </c>
      <c r="E840" s="4">
        <f>IF(INDEX(C:C, ROW())+INDEX(D:D, ROW())=0, 0, INDEX(C:C, ROW())/(INDEX(C:C, ROW())+INDEX(D:D, ROW())))</f>
        <v/>
      </c>
      <c r="F840" s="1" t="inlineStr">
        <is>
          <t>Array, Greedy</t>
        </is>
      </c>
      <c r="G840" s="1" t="inlineStr">
        <is>
          <t>Hard</t>
        </is>
      </c>
      <c r="H840" s="1" t="n">
        <v>179234</v>
      </c>
      <c r="I840" s="1" t="n">
        <v>331964</v>
      </c>
      <c r="J840" s="9" t="n">
        <v>0.54</v>
      </c>
      <c r="K840" s="1" t="inlineStr">
        <is>
          <t>Yes</t>
        </is>
      </c>
      <c r="L840" s="1" t="inlineStr">
        <is>
          <t>Yes</t>
        </is>
      </c>
      <c r="M840" s="1" t="inlineStr">
        <is>
          <t>No</t>
        </is>
      </c>
      <c r="N840" s="1" t="inlineStr">
        <is>
          <t>Algorithms</t>
        </is>
      </c>
      <c r="O8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41" ht="15.75" customHeight="1" s="12">
      <c r="A841" s="1" t="n">
        <v>917</v>
      </c>
      <c r="B841" s="3">
        <f>HYPERLINK("https://leetcode.com/problems/reverse-only-letters/", "Reverse Only Letters")</f>
        <v/>
      </c>
      <c r="C841" s="1" t="n">
        <v>2417</v>
      </c>
      <c r="D841" s="1" t="n">
        <v>85</v>
      </c>
      <c r="E841" s="4">
        <f>IF(INDEX(C:C, ROW())+INDEX(D:D, ROW())=0, 0, INDEX(C:C, ROW())/(INDEX(C:C, ROW())+INDEX(D:D, ROW())))</f>
        <v/>
      </c>
      <c r="F841" s="1" t="inlineStr">
        <is>
          <t>Two Pointers, String</t>
        </is>
      </c>
      <c r="G841" s="1" t="inlineStr">
        <is>
          <t>Easy</t>
        </is>
      </c>
      <c r="H841" s="1" t="n">
        <v>310867</v>
      </c>
      <c r="I841" s="1" t="n">
        <v>457600</v>
      </c>
      <c r="J841" s="9" t="n">
        <v>0.679</v>
      </c>
      <c r="K841" s="1" t="inlineStr">
        <is>
          <t>Yes</t>
        </is>
      </c>
      <c r="L841" s="1" t="inlineStr">
        <is>
          <t>Yes</t>
        </is>
      </c>
      <c r="M841" s="1" t="inlineStr">
        <is>
          <t>No</t>
        </is>
      </c>
      <c r="N841" s="1" t="inlineStr">
        <is>
          <t>Algorithms</t>
        </is>
      </c>
      <c r="O8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42" ht="15.75" customHeight="1" s="12">
      <c r="A842" s="1" t="n">
        <v>381</v>
      </c>
      <c r="B842" s="3">
        <f>HYPERLINK("https://leetcode.com/problems/insert-delete-getrandom-o1-duplicates-allowed/", "Insert Delete GetRandom O(1) - Duplicates allowed")</f>
        <v/>
      </c>
      <c r="C842" s="1" t="n">
        <v>2413</v>
      </c>
      <c r="D842" s="1" t="n">
        <v>159</v>
      </c>
      <c r="E842" s="4">
        <f>IF(INDEX(C:C, ROW())+INDEX(D:D, ROW())=0, 0, INDEX(C:C, ROW())/(INDEX(C:C, ROW())+INDEX(D:D, ROW())))</f>
        <v/>
      </c>
      <c r="F842" s="1" t="inlineStr">
        <is>
          <t>Array, Hash Table, Math, Design, Randomized</t>
        </is>
      </c>
      <c r="G842" s="1" t="inlineStr">
        <is>
          <t>Hard</t>
        </is>
      </c>
      <c r="H842" s="1" t="n">
        <v>181099</v>
      </c>
      <c r="I842" s="1" t="n">
        <v>498864</v>
      </c>
      <c r="J842" s="9" t="n">
        <v>0.363</v>
      </c>
      <c r="K842" s="1" t="inlineStr">
        <is>
          <t>Yes</t>
        </is>
      </c>
      <c r="L842" s="1" t="inlineStr">
        <is>
          <t>Yes</t>
        </is>
      </c>
      <c r="M842" s="1" t="inlineStr">
        <is>
          <t>No</t>
        </is>
      </c>
      <c r="N842" s="1" t="inlineStr">
        <is>
          <t>Algorithms</t>
        </is>
      </c>
      <c r="O8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43" ht="15.75" customHeight="1" s="12">
      <c r="A843" s="1" t="n">
        <v>1025</v>
      </c>
      <c r="B843" s="3">
        <f>HYPERLINK("https://leetcode.com/problems/divisor-game/", "Divisor Game")</f>
        <v/>
      </c>
      <c r="C843" s="1" t="n">
        <v>2409</v>
      </c>
      <c r="D843" s="1" t="n">
        <v>4204</v>
      </c>
      <c r="E843" s="4">
        <f>IF(INDEX(C:C, ROW())+INDEX(D:D, ROW())=0, 0, INDEX(C:C, ROW())/(INDEX(C:C, ROW())+INDEX(D:D, ROW())))</f>
        <v/>
      </c>
      <c r="F843" s="1" t="inlineStr">
        <is>
          <t>Math, Dynamic Programming, Brainteaser, Game Theory</t>
        </is>
      </c>
      <c r="G843" s="1" t="inlineStr">
        <is>
          <t>Easy</t>
        </is>
      </c>
      <c r="H843" s="1" t="n">
        <v>364043</v>
      </c>
      <c r="I843" s="1" t="n">
        <v>510163</v>
      </c>
      <c r="J843" s="9" t="n">
        <v>0.714</v>
      </c>
      <c r="K843" s="1" t="inlineStr">
        <is>
          <t>Yes</t>
        </is>
      </c>
      <c r="L843" s="1" t="inlineStr">
        <is>
          <t>No</t>
        </is>
      </c>
      <c r="M843" s="1" t="inlineStr">
        <is>
          <t>No</t>
        </is>
      </c>
      <c r="N843" s="1" t="inlineStr">
        <is>
          <t>Algorithms</t>
        </is>
      </c>
      <c r="O8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44" ht="15.75" customHeight="1" s="12">
      <c r="A844" s="1" t="n">
        <v>1262</v>
      </c>
      <c r="B844" s="3">
        <f>HYPERLINK("https://leetcode.com/problems/greatest-sum-divisible-by-three/", "Greatest Sum Divisible by Three")</f>
        <v/>
      </c>
      <c r="C844" s="1" t="n">
        <v>2403</v>
      </c>
      <c r="D844" s="1" t="n">
        <v>64</v>
      </c>
      <c r="E844" s="4">
        <f>IF(INDEX(C:C, ROW())+INDEX(D:D, ROW())=0, 0, INDEX(C:C, ROW())/(INDEX(C:C, ROW())+INDEX(D:D, ROW())))</f>
        <v/>
      </c>
      <c r="F844" s="1" t="inlineStr">
        <is>
          <t>Array, Dynamic Programming, Greedy, Sorting</t>
        </is>
      </c>
      <c r="G844" s="1" t="inlineStr">
        <is>
          <t>Medium</t>
        </is>
      </c>
      <c r="H844" s="1" t="n">
        <v>159523</v>
      </c>
      <c r="I844" s="1" t="n">
        <v>279447</v>
      </c>
      <c r="J844" s="9" t="n">
        <v>0.571</v>
      </c>
      <c r="K844" s="1" t="inlineStr">
        <is>
          <t>Yes</t>
        </is>
      </c>
      <c r="L844" s="1" t="inlineStr">
        <is>
          <t>Yes</t>
        </is>
      </c>
      <c r="M844" s="1" t="inlineStr">
        <is>
          <t>No</t>
        </is>
      </c>
      <c r="N844" s="1" t="inlineStr">
        <is>
          <t>Algorithms</t>
        </is>
      </c>
      <c r="O8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45" ht="15.75" customHeight="1" s="12">
      <c r="A845" s="1" t="n">
        <v>988</v>
      </c>
      <c r="B845" s="3">
        <f>HYPERLINK("https://leetcode.com/problems/smallest-string-starting-from-leaf/", "Smallest String Starting From Leaf")</f>
        <v/>
      </c>
      <c r="C845" s="1" t="n">
        <v>2400</v>
      </c>
      <c r="D845" s="1" t="n">
        <v>336</v>
      </c>
      <c r="E845" s="4">
        <f>IF(INDEX(C:C, ROW())+INDEX(D:D, ROW())=0, 0, INDEX(C:C, ROW())/(INDEX(C:C, ROW())+INDEX(D:D, ROW())))</f>
        <v/>
      </c>
      <c r="F845" s="1" t="inlineStr">
        <is>
          <t>String, Backtracking, Tree, Depth-First Search, Binary Tree</t>
        </is>
      </c>
      <c r="G845" s="1" t="inlineStr">
        <is>
          <t>Medium</t>
        </is>
      </c>
      <c r="H845" s="1" t="n">
        <v>217394</v>
      </c>
      <c r="I845" s="1" t="n">
        <v>355954</v>
      </c>
      <c r="J845" s="9" t="n">
        <v>0.611</v>
      </c>
      <c r="K845" s="1" t="inlineStr">
        <is>
          <t>Yes</t>
        </is>
      </c>
      <c r="L845" s="1" t="inlineStr">
        <is>
          <t>Yes</t>
        </is>
      </c>
      <c r="M845" s="1" t="inlineStr">
        <is>
          <t>No</t>
        </is>
      </c>
      <c r="N845" s="1" t="inlineStr">
        <is>
          <t>Algorithms</t>
        </is>
      </c>
      <c r="O8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46" ht="15.75" customHeight="1" s="12">
      <c r="A846" s="1" t="n">
        <v>182</v>
      </c>
      <c r="B846" s="3">
        <f>HYPERLINK("https://leetcode.com/problems/duplicate-emails/", "Duplicate Emails")</f>
        <v/>
      </c>
      <c r="C846" s="1" t="n">
        <v>2394</v>
      </c>
      <c r="D846" s="1" t="n">
        <v>84</v>
      </c>
      <c r="E846" s="4">
        <f>IF(INDEX(C:C, ROW())+INDEX(D:D, ROW())=0, 0, INDEX(C:C, ROW())/(INDEX(C:C, ROW())+INDEX(D:D, ROW())))</f>
        <v/>
      </c>
      <c r="F846" s="1" t="inlineStr">
        <is>
          <t>Database</t>
        </is>
      </c>
      <c r="G846" s="1" t="inlineStr">
        <is>
          <t>Easy</t>
        </is>
      </c>
      <c r="H846" s="1" t="n">
        <v>1061740</v>
      </c>
      <c r="I846" s="1" t="n">
        <v>1449487</v>
      </c>
      <c r="J846" s="9" t="n">
        <v>0.732</v>
      </c>
      <c r="K846" s="1" t="inlineStr">
        <is>
          <t>Yes</t>
        </is>
      </c>
      <c r="L846" s="1" t="inlineStr">
        <is>
          <t>Yes</t>
        </is>
      </c>
      <c r="M846" s="1" t="inlineStr">
        <is>
          <t>No</t>
        </is>
      </c>
      <c r="N846" s="1" t="inlineStr">
        <is>
          <t>Database</t>
        </is>
      </c>
      <c r="O8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47" ht="15.75" customHeight="1" s="12">
      <c r="A847" s="1" t="n">
        <v>1859</v>
      </c>
      <c r="B847" s="3">
        <f>HYPERLINK("https://leetcode.com/problems/sorting-the-sentence/", "Sorting the Sentence")</f>
        <v/>
      </c>
      <c r="C847" s="1" t="n">
        <v>2376</v>
      </c>
      <c r="D847" s="1" t="n">
        <v>81</v>
      </c>
      <c r="E847" s="4">
        <f>IF(INDEX(C:C, ROW())+INDEX(D:D, ROW())=0, 0, INDEX(C:C, ROW())/(INDEX(C:C, ROW())+INDEX(D:D, ROW())))</f>
        <v/>
      </c>
      <c r="F847" s="1" t="inlineStr">
        <is>
          <t>String, Sorting</t>
        </is>
      </c>
      <c r="G847" s="1" t="inlineStr">
        <is>
          <t>Easy</t>
        </is>
      </c>
      <c r="H847" s="1" t="n">
        <v>226793</v>
      </c>
      <c r="I847" s="1" t="n">
        <v>269970</v>
      </c>
      <c r="J847" s="9" t="n">
        <v>0.84</v>
      </c>
      <c r="K847" s="1" t="inlineStr">
        <is>
          <t>Yes</t>
        </is>
      </c>
      <c r="L847" s="1" t="inlineStr">
        <is>
          <t>No</t>
        </is>
      </c>
      <c r="M847" s="1" t="inlineStr">
        <is>
          <t>No</t>
        </is>
      </c>
      <c r="N847" s="1" t="inlineStr">
        <is>
          <t>Algorithms</t>
        </is>
      </c>
      <c r="O8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48" ht="15.75" customHeight="1" s="12">
      <c r="A848" s="1" t="n">
        <v>2487</v>
      </c>
      <c r="B848" s="3">
        <f>HYPERLINK("https://leetcode.com/problems/remove-nodes-from-linked-list/", "Remove Nodes From Linked List")</f>
        <v/>
      </c>
      <c r="C848" s="1" t="n">
        <v>2375</v>
      </c>
      <c r="D848" s="1" t="n">
        <v>86</v>
      </c>
      <c r="E848" s="4">
        <f>IF(INDEX(C:C, ROW())+INDEX(D:D, ROW())=0, 0, INDEX(C:C, ROW())/(INDEX(C:C, ROW())+INDEX(D:D, ROW())))</f>
        <v/>
      </c>
      <c r="F848" s="1" t="inlineStr">
        <is>
          <t>Linked List, Stack, Recursion, Monotonic Stack</t>
        </is>
      </c>
      <c r="G848" s="1" t="inlineStr">
        <is>
          <t>Medium</t>
        </is>
      </c>
      <c r="H848" s="1" t="n">
        <v>257869</v>
      </c>
      <c r="I848" s="1" t="n">
        <v>345044</v>
      </c>
      <c r="J848" s="9" t="n">
        <v>0.747</v>
      </c>
      <c r="K848" s="1" t="inlineStr">
        <is>
          <t>Yes</t>
        </is>
      </c>
      <c r="L848" s="1" t="inlineStr">
        <is>
          <t>Yes</t>
        </is>
      </c>
      <c r="M848" s="1" t="inlineStr">
        <is>
          <t>No</t>
        </is>
      </c>
      <c r="N848" s="1" t="inlineStr">
        <is>
          <t>Algorithms</t>
        </is>
      </c>
      <c r="O8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49" ht="15.75" customHeight="1" s="12">
      <c r="A849" s="1" t="n">
        <v>256</v>
      </c>
      <c r="B849" s="3">
        <f>HYPERLINK("https://leetcode.com/problems/paint-house/", "Paint House")</f>
        <v/>
      </c>
      <c r="C849" s="1" t="n">
        <v>2372</v>
      </c>
      <c r="D849" s="1" t="n">
        <v>134</v>
      </c>
      <c r="E849" s="4">
        <f>IF(INDEX(C:C, ROW())+INDEX(D:D, ROW())=0, 0, INDEX(C:C, ROW())/(INDEX(C:C, ROW())+INDEX(D:D, ROW())))</f>
        <v/>
      </c>
      <c r="F849" s="1" t="inlineStr">
        <is>
          <t>Array, Dynamic Programming</t>
        </is>
      </c>
      <c r="G849" s="1" t="inlineStr">
        <is>
          <t>Medium</t>
        </is>
      </c>
      <c r="H849" s="1" t="n">
        <v>241413</v>
      </c>
      <c r="I849" s="1" t="n">
        <v>376184</v>
      </c>
      <c r="J849" s="9" t="n">
        <v>0.642</v>
      </c>
      <c r="K849" s="1" t="inlineStr">
        <is>
          <t>No</t>
        </is>
      </c>
      <c r="L849" s="1" t="inlineStr">
        <is>
          <t>Yes</t>
        </is>
      </c>
      <c r="M849" s="1" t="inlineStr">
        <is>
          <t>No</t>
        </is>
      </c>
      <c r="N849" s="1" t="inlineStr">
        <is>
          <t>Algorithms</t>
        </is>
      </c>
      <c r="O8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50" ht="15.75" customHeight="1" s="12">
      <c r="A850" s="1" t="n">
        <v>1331</v>
      </c>
      <c r="B850" s="3">
        <f>HYPERLINK("https://leetcode.com/problems/rank-transform-of-an-array/", "Rank Transform of an Array")</f>
        <v/>
      </c>
      <c r="C850" s="1" t="n">
        <v>2366</v>
      </c>
      <c r="D850" s="1" t="n">
        <v>114</v>
      </c>
      <c r="E850" s="4">
        <f>IF(INDEX(C:C, ROW())+INDEX(D:D, ROW())=0, 0, INDEX(C:C, ROW())/(INDEX(C:C, ROW())+INDEX(D:D, ROW())))</f>
        <v/>
      </c>
      <c r="F850" s="1" t="inlineStr">
        <is>
          <t>Array, Hash Table, Sorting</t>
        </is>
      </c>
      <c r="G850" s="1" t="inlineStr">
        <is>
          <t>Easy</t>
        </is>
      </c>
      <c r="H850" s="1" t="n">
        <v>314404</v>
      </c>
      <c r="I850" s="1" t="n">
        <v>444229</v>
      </c>
      <c r="J850" s="9" t="n">
        <v>0.708</v>
      </c>
      <c r="K850" s="1" t="inlineStr">
        <is>
          <t>Yes</t>
        </is>
      </c>
      <c r="L850" s="1" t="inlineStr">
        <is>
          <t>Yes</t>
        </is>
      </c>
      <c r="M850" s="1" t="inlineStr">
        <is>
          <t>No</t>
        </is>
      </c>
      <c r="N850" s="1" t="inlineStr">
        <is>
          <t>Algorithms</t>
        </is>
      </c>
      <c r="O8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51" ht="15.75" customHeight="1" s="12">
      <c r="A851" s="1" t="n">
        <v>1970</v>
      </c>
      <c r="B851" s="3">
        <f>HYPERLINK("https://leetcode.com/problems/last-day-where-you-can-still-cross/", "Last Day Where You Can Still Cross")</f>
        <v/>
      </c>
      <c r="C851" s="1" t="n">
        <v>2366</v>
      </c>
      <c r="D851" s="1" t="n">
        <v>47</v>
      </c>
      <c r="E851" s="4">
        <f>IF(INDEX(C:C, ROW())+INDEX(D:D, ROW())=0, 0, INDEX(C:C, ROW())/(INDEX(C:C, ROW())+INDEX(D:D, ROW())))</f>
        <v/>
      </c>
      <c r="F851" s="1" t="inlineStr">
        <is>
          <t>Array, Binary Search, Depth-First Search, Breadth-First Search, Union-Find, Matrix</t>
        </is>
      </c>
      <c r="G851" s="1" t="inlineStr">
        <is>
          <t>Hard</t>
        </is>
      </c>
      <c r="H851" s="1" t="n">
        <v>127589</v>
      </c>
      <c r="I851" s="1" t="n">
        <v>185966</v>
      </c>
      <c r="J851" s="9" t="n">
        <v>0.6860000000000001</v>
      </c>
      <c r="K851" s="1" t="inlineStr">
        <is>
          <t>Yes</t>
        </is>
      </c>
      <c r="L851" s="1" t="inlineStr">
        <is>
          <t>Yes</t>
        </is>
      </c>
      <c r="M851" s="1" t="inlineStr">
        <is>
          <t>No</t>
        </is>
      </c>
      <c r="N851" s="1" t="inlineStr">
        <is>
          <t>Algorithms</t>
        </is>
      </c>
      <c r="O8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52" ht="15.75" customHeight="1" s="12">
      <c r="A852" s="1" t="n">
        <v>508</v>
      </c>
      <c r="B852" s="3">
        <f>HYPERLINK("https://leetcode.com/problems/most-frequent-subtree-sum/", "Most Frequent Subtree Sum")</f>
        <v/>
      </c>
      <c r="C852" s="1" t="n">
        <v>2364</v>
      </c>
      <c r="D852" s="1" t="n">
        <v>332</v>
      </c>
      <c r="E852" s="4">
        <f>IF(INDEX(C:C, ROW())+INDEX(D:D, ROW())=0, 0, INDEX(C:C, ROW())/(INDEX(C:C, ROW())+INDEX(D:D, ROW())))</f>
        <v/>
      </c>
      <c r="F852" s="1" t="inlineStr">
        <is>
          <t>Hash Table, Tree, Depth-First Search, Binary Tree</t>
        </is>
      </c>
      <c r="G852" s="1" t="inlineStr">
        <is>
          <t>Medium</t>
        </is>
      </c>
      <c r="H852" s="1" t="n">
        <v>171392</v>
      </c>
      <c r="I852" s="1" t="n">
        <v>249132</v>
      </c>
      <c r="J852" s="9" t="n">
        <v>0.6879999999999999</v>
      </c>
      <c r="K852" s="1" t="inlineStr">
        <is>
          <t>Yes</t>
        </is>
      </c>
      <c r="L852" s="1" t="inlineStr">
        <is>
          <t>Yes</t>
        </is>
      </c>
      <c r="M852" s="1" t="inlineStr">
        <is>
          <t>No</t>
        </is>
      </c>
      <c r="N852" s="1" t="inlineStr">
        <is>
          <t>Algorithms</t>
        </is>
      </c>
      <c r="O8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53" ht="15.75" customHeight="1" s="12">
      <c r="A853" s="1" t="n">
        <v>563</v>
      </c>
      <c r="B853" s="3">
        <f>HYPERLINK("https://leetcode.com/problems/binary-tree-tilt/", "Binary Tree Tilt")</f>
        <v/>
      </c>
      <c r="C853" s="1" t="n">
        <v>2364</v>
      </c>
      <c r="D853" s="1" t="n">
        <v>2253</v>
      </c>
      <c r="E853" s="4">
        <f>IF(INDEX(C:C, ROW())+INDEX(D:D, ROW())=0, 0, INDEX(C:C, ROW())/(INDEX(C:C, ROW())+INDEX(D:D, ROW())))</f>
        <v/>
      </c>
      <c r="F853" s="1" t="inlineStr">
        <is>
          <t>Tree, Depth-First Search, Binary Tree</t>
        </is>
      </c>
      <c r="G853" s="1" t="inlineStr">
        <is>
          <t>Easy</t>
        </is>
      </c>
      <c r="H853" s="1" t="n">
        <v>260242</v>
      </c>
      <c r="I853" s="1" t="n">
        <v>399345</v>
      </c>
      <c r="J853" s="9" t="n">
        <v>0.652</v>
      </c>
      <c r="K853" s="1" t="inlineStr">
        <is>
          <t>Yes</t>
        </is>
      </c>
      <c r="L853" s="1" t="inlineStr">
        <is>
          <t>Yes</t>
        </is>
      </c>
      <c r="M853" s="1" t="inlineStr">
        <is>
          <t>No</t>
        </is>
      </c>
      <c r="N853" s="1" t="inlineStr">
        <is>
          <t>Algorithms</t>
        </is>
      </c>
      <c r="O8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54" ht="15.75" customHeight="1" s="12">
      <c r="A854" s="1" t="n">
        <v>1289</v>
      </c>
      <c r="B854" s="3">
        <f>HYPERLINK("https://leetcode.com/problems/minimum-falling-path-sum-ii/", "Minimum Falling Path Sum II")</f>
        <v/>
      </c>
      <c r="C854" s="1" t="n">
        <v>2364</v>
      </c>
      <c r="D854" s="1" t="n">
        <v>124</v>
      </c>
      <c r="E854" s="4">
        <f>IF(INDEX(C:C, ROW())+INDEX(D:D, ROW())=0, 0, INDEX(C:C, ROW())/(INDEX(C:C, ROW())+INDEX(D:D, ROW())))</f>
        <v/>
      </c>
      <c r="F854" s="1" t="inlineStr">
        <is>
          <t>Array, Dynamic Programming, Matrix</t>
        </is>
      </c>
      <c r="G854" s="1" t="inlineStr">
        <is>
          <t>Hard</t>
        </is>
      </c>
      <c r="H854" s="1" t="n">
        <v>161737</v>
      </c>
      <c r="I854" s="1" t="n">
        <v>255458</v>
      </c>
      <c r="J854" s="9" t="n">
        <v>0.633</v>
      </c>
      <c r="K854" s="1" t="inlineStr">
        <is>
          <t>Yes</t>
        </is>
      </c>
      <c r="L854" s="1" t="inlineStr">
        <is>
          <t>Yes</t>
        </is>
      </c>
      <c r="M854" s="1" t="inlineStr">
        <is>
          <t>No</t>
        </is>
      </c>
      <c r="N854" s="1" t="inlineStr">
        <is>
          <t>Algorithms</t>
        </is>
      </c>
      <c r="O8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55" ht="15.75" customHeight="1" s="12">
      <c r="A855" s="1" t="n">
        <v>1519</v>
      </c>
      <c r="B855" s="3">
        <f>HYPERLINK("https://leetcode.com/problems/number-of-nodes-in-the-sub-tree-with-the-same-label/", "Number of Nodes in the Sub-Tree With the Same Label")</f>
        <v/>
      </c>
      <c r="C855" s="1" t="n">
        <v>2363</v>
      </c>
      <c r="D855" s="1" t="n">
        <v>811</v>
      </c>
      <c r="E855" s="4">
        <f>IF(INDEX(C:C, ROW())+INDEX(D:D, ROW())=0, 0, INDEX(C:C, ROW())/(INDEX(C:C, ROW())+INDEX(D:D, ROW())))</f>
        <v/>
      </c>
      <c r="F855" s="1" t="inlineStr">
        <is>
          <t>Hash Table, Tree, Depth-First Search, Breadth-First Search, Counting</t>
        </is>
      </c>
      <c r="G855" s="1" t="inlineStr">
        <is>
          <t>Medium</t>
        </is>
      </c>
      <c r="H855" s="1" t="n">
        <v>93006</v>
      </c>
      <c r="I855" s="1" t="n">
        <v>168186</v>
      </c>
      <c r="J855" s="9" t="n">
        <v>0.553</v>
      </c>
      <c r="K855" s="1" t="inlineStr">
        <is>
          <t>Yes</t>
        </is>
      </c>
      <c r="L855" s="1" t="inlineStr">
        <is>
          <t>Yes</t>
        </is>
      </c>
      <c r="M855" s="1" t="inlineStr">
        <is>
          <t>No</t>
        </is>
      </c>
      <c r="N855" s="1" t="inlineStr">
        <is>
          <t>Algorithms</t>
        </is>
      </c>
      <c r="O8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56" ht="15.75" customHeight="1" s="12">
      <c r="A856" s="1" t="n">
        <v>1381</v>
      </c>
      <c r="B856" s="3">
        <f>HYPERLINK("https://leetcode.com/problems/design-a-stack-with-increment-operation/", "Design a Stack With Increment Operation")</f>
        <v/>
      </c>
      <c r="C856" s="1" t="n">
        <v>2356</v>
      </c>
      <c r="D856" s="1" t="n">
        <v>111</v>
      </c>
      <c r="E856" s="4">
        <f>IF(INDEX(C:C, ROW())+INDEX(D:D, ROW())=0, 0, INDEX(C:C, ROW())/(INDEX(C:C, ROW())+INDEX(D:D, ROW())))</f>
        <v/>
      </c>
      <c r="F856" s="1" t="inlineStr">
        <is>
          <t>Array, Stack, Design</t>
        </is>
      </c>
      <c r="G856" s="1" t="inlineStr">
        <is>
          <t>Medium</t>
        </is>
      </c>
      <c r="H856" s="1" t="n">
        <v>255757</v>
      </c>
      <c r="I856" s="1" t="n">
        <v>319791</v>
      </c>
      <c r="J856" s="9" t="n">
        <v>0.8</v>
      </c>
      <c r="K856" s="1" t="inlineStr">
        <is>
          <t>Yes</t>
        </is>
      </c>
      <c r="L856" s="1" t="inlineStr">
        <is>
          <t>Yes</t>
        </is>
      </c>
      <c r="M856" s="1" t="inlineStr">
        <is>
          <t>No</t>
        </is>
      </c>
      <c r="N856" s="1" t="inlineStr">
        <is>
          <t>Algorithms</t>
        </is>
      </c>
      <c r="O8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57" ht="15.75" customHeight="1" s="12">
      <c r="A857" s="1" t="n">
        <v>552</v>
      </c>
      <c r="B857" s="3">
        <f>HYPERLINK("https://leetcode.com/problems/student-attendance-record-ii/", "Student Attendance Record II")</f>
        <v/>
      </c>
      <c r="C857" s="1" t="n">
        <v>2354</v>
      </c>
      <c r="D857" s="1" t="n">
        <v>290</v>
      </c>
      <c r="E857" s="4">
        <f>IF(INDEX(C:C, ROW())+INDEX(D:D, ROW())=0, 0, INDEX(C:C, ROW())/(INDEX(C:C, ROW())+INDEX(D:D, ROW())))</f>
        <v/>
      </c>
      <c r="F857" s="1" t="inlineStr">
        <is>
          <t>Dynamic Programming</t>
        </is>
      </c>
      <c r="G857" s="1" t="inlineStr">
        <is>
          <t>Hard</t>
        </is>
      </c>
      <c r="H857" s="1" t="n">
        <v>155835</v>
      </c>
      <c r="I857" s="1" t="n">
        <v>276750</v>
      </c>
      <c r="J857" s="9" t="n">
        <v>0.5629999999999999</v>
      </c>
      <c r="K857" s="1" t="inlineStr">
        <is>
          <t>Yes</t>
        </is>
      </c>
      <c r="L857" s="1" t="inlineStr">
        <is>
          <t>Yes</t>
        </is>
      </c>
      <c r="M857" s="1" t="inlineStr">
        <is>
          <t>No</t>
        </is>
      </c>
      <c r="N857" s="1" t="inlineStr">
        <is>
          <t>Algorithms</t>
        </is>
      </c>
      <c r="O8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58" ht="15.75" customHeight="1" s="12">
      <c r="A858" s="1" t="n">
        <v>1922</v>
      </c>
      <c r="B858" s="3">
        <f>HYPERLINK("https://leetcode.com/problems/count-good-numbers/", "Count Good Numbers")</f>
        <v/>
      </c>
      <c r="C858" s="1" t="n">
        <v>2353</v>
      </c>
      <c r="D858" s="1" t="n">
        <v>591</v>
      </c>
      <c r="E858" s="4">
        <f>IF(INDEX(C:C, ROW())+INDEX(D:D, ROW())=0, 0, INDEX(C:C, ROW())/(INDEX(C:C, ROW())+INDEX(D:D, ROW())))</f>
        <v/>
      </c>
      <c r="F858" s="1" t="inlineStr">
        <is>
          <t>Math, Recursion</t>
        </is>
      </c>
      <c r="G858" s="1" t="inlineStr">
        <is>
          <t>Medium</t>
        </is>
      </c>
      <c r="H858" s="1" t="n">
        <v>259912</v>
      </c>
      <c r="I858" s="1" t="n">
        <v>453824</v>
      </c>
      <c r="J858" s="9" t="n">
        <v>0.573</v>
      </c>
      <c r="K858" s="1" t="inlineStr">
        <is>
          <t>Yes</t>
        </is>
      </c>
      <c r="L858" s="1" t="inlineStr">
        <is>
          <t>Yes</t>
        </is>
      </c>
      <c r="M858" s="1" t="inlineStr">
        <is>
          <t>No</t>
        </is>
      </c>
      <c r="N858" s="1" t="inlineStr">
        <is>
          <t>Algorithms</t>
        </is>
      </c>
      <c r="O8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59" ht="15.75" customHeight="1" s="12">
      <c r="A859" s="1" t="n">
        <v>1661</v>
      </c>
      <c r="B859" s="3">
        <f>HYPERLINK("https://leetcode.com/problems/average-time-of-process-per-machine/", "Average Time of Process per Machine")</f>
        <v/>
      </c>
      <c r="C859" s="1" t="n">
        <v>2350</v>
      </c>
      <c r="D859" s="1" t="n">
        <v>235</v>
      </c>
      <c r="E859" s="4">
        <f>IF(INDEX(C:C, ROW())+INDEX(D:D, ROW())=0, 0, INDEX(C:C, ROW())/(INDEX(C:C, ROW())+INDEX(D:D, ROW())))</f>
        <v/>
      </c>
      <c r="F859" s="1" t="inlineStr">
        <is>
          <t>Database</t>
        </is>
      </c>
      <c r="G859" s="1" t="inlineStr">
        <is>
          <t>Easy</t>
        </is>
      </c>
      <c r="H859" s="1" t="n">
        <v>724282</v>
      </c>
      <c r="I859" s="1" t="n">
        <v>1079740</v>
      </c>
      <c r="J859" s="9" t="n">
        <v>0.671</v>
      </c>
      <c r="K859" s="1" t="inlineStr">
        <is>
          <t>Yes</t>
        </is>
      </c>
      <c r="L859" s="1" t="inlineStr">
        <is>
          <t>Yes</t>
        </is>
      </c>
      <c r="M859" s="1" t="inlineStr">
        <is>
          <t>No</t>
        </is>
      </c>
      <c r="N859" s="1" t="inlineStr">
        <is>
          <t>Database</t>
        </is>
      </c>
      <c r="O8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60" ht="15.75" customHeight="1" s="12">
      <c r="A860" s="1" t="n">
        <v>436</v>
      </c>
      <c r="B860" s="3">
        <f>HYPERLINK("https://leetcode.com/problems/find-right-interval/", "Find Right Interval")</f>
        <v/>
      </c>
      <c r="C860" s="1" t="n">
        <v>2347</v>
      </c>
      <c r="D860" s="1" t="n">
        <v>392</v>
      </c>
      <c r="E860" s="4">
        <f>IF(INDEX(C:C, ROW())+INDEX(D:D, ROW())=0, 0, INDEX(C:C, ROW())/(INDEX(C:C, ROW())+INDEX(D:D, ROW())))</f>
        <v/>
      </c>
      <c r="F860" s="1" t="inlineStr">
        <is>
          <t>Array, Binary Search, Sorting</t>
        </is>
      </c>
      <c r="G860" s="1" t="inlineStr">
        <is>
          <t>Medium</t>
        </is>
      </c>
      <c r="H860" s="1" t="n">
        <v>153829</v>
      </c>
      <c r="I860" s="1" t="n">
        <v>278834</v>
      </c>
      <c r="J860" s="9" t="n">
        <v>0.552</v>
      </c>
      <c r="K860" s="1" t="inlineStr">
        <is>
          <t>Yes</t>
        </is>
      </c>
      <c r="L860" s="1" t="inlineStr">
        <is>
          <t>No</t>
        </is>
      </c>
      <c r="M860" s="1" t="inlineStr">
        <is>
          <t>No</t>
        </is>
      </c>
      <c r="N860" s="1" t="inlineStr">
        <is>
          <t>Algorithms</t>
        </is>
      </c>
      <c r="O8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61" ht="15.75" customHeight="1" s="12">
      <c r="A861" s="1" t="n">
        <v>745</v>
      </c>
      <c r="B861" s="3">
        <f>HYPERLINK("https://leetcode.com/problems/prefix-and-suffix-search/", "Prefix and Suffix Search")</f>
        <v/>
      </c>
      <c r="C861" s="1" t="n">
        <v>2343</v>
      </c>
      <c r="D861" s="1" t="n">
        <v>498</v>
      </c>
      <c r="E861" s="4">
        <f>IF(INDEX(C:C, ROW())+INDEX(D:D, ROW())=0, 0, INDEX(C:C, ROW())/(INDEX(C:C, ROW())+INDEX(D:D, ROW())))</f>
        <v/>
      </c>
      <c r="F861" s="1" t="inlineStr">
        <is>
          <t>Array, Hash Table, String, Design, Trie</t>
        </is>
      </c>
      <c r="G861" s="1" t="inlineStr">
        <is>
          <t>Hard</t>
        </is>
      </c>
      <c r="H861" s="1" t="n">
        <v>108677</v>
      </c>
      <c r="I861" s="1" t="n">
        <v>266995</v>
      </c>
      <c r="J861" s="9" t="n">
        <v>0.407</v>
      </c>
      <c r="K861" s="1" t="inlineStr">
        <is>
          <t>Yes</t>
        </is>
      </c>
      <c r="L861" s="1" t="inlineStr">
        <is>
          <t>Yes</t>
        </is>
      </c>
      <c r="M861" s="1" t="inlineStr">
        <is>
          <t>No</t>
        </is>
      </c>
      <c r="N861" s="1" t="inlineStr">
        <is>
          <t>Algorithms</t>
        </is>
      </c>
      <c r="O8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62" ht="15.75" customHeight="1" s="12">
      <c r="A862" s="1" t="n">
        <v>2265</v>
      </c>
      <c r="B862" s="3">
        <f>HYPERLINK("https://leetcode.com/problems/count-nodes-equal-to-average-of-subtree/", "Count Nodes Equal to Average of Subtree")</f>
        <v/>
      </c>
      <c r="C862" s="1" t="n">
        <v>2343</v>
      </c>
      <c r="D862" s="1" t="n">
        <v>58</v>
      </c>
      <c r="E862" s="4">
        <f>IF(INDEX(C:C, ROW())+INDEX(D:D, ROW())=0, 0, INDEX(C:C, ROW())/(INDEX(C:C, ROW())+INDEX(D:D, ROW())))</f>
        <v/>
      </c>
      <c r="F862" s="1" t="inlineStr">
        <is>
          <t>Tree, Depth-First Search, Binary Tree</t>
        </is>
      </c>
      <c r="G862" s="1" t="inlineStr">
        <is>
          <t>Medium</t>
        </is>
      </c>
      <c r="H862" s="1" t="n">
        <v>193674</v>
      </c>
      <c r="I862" s="1" t="n">
        <v>223316</v>
      </c>
      <c r="J862" s="9" t="n">
        <v>0.867</v>
      </c>
      <c r="K862" s="1" t="inlineStr">
        <is>
          <t>Yes</t>
        </is>
      </c>
      <c r="L862" s="1" t="inlineStr">
        <is>
          <t>Yes</t>
        </is>
      </c>
      <c r="M862" s="1" t="inlineStr">
        <is>
          <t>No</t>
        </is>
      </c>
      <c r="N862" s="1" t="inlineStr">
        <is>
          <t>Algorithms</t>
        </is>
      </c>
      <c r="O8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63" ht="15.75" customHeight="1" s="12">
      <c r="A863" s="1" t="n">
        <v>184</v>
      </c>
      <c r="B863" s="3">
        <f>HYPERLINK("https://leetcode.com/problems/department-highest-salary/", "Department Highest Salary")</f>
        <v/>
      </c>
      <c r="C863" s="1" t="n">
        <v>2341</v>
      </c>
      <c r="D863" s="1" t="n">
        <v>207</v>
      </c>
      <c r="E863" s="4">
        <f>IF(INDEX(C:C, ROW())+INDEX(D:D, ROW())=0, 0, INDEX(C:C, ROW())/(INDEX(C:C, ROW())+INDEX(D:D, ROW())))</f>
        <v/>
      </c>
      <c r="F863" s="1" t="inlineStr">
        <is>
          <t>Database</t>
        </is>
      </c>
      <c r="G863" s="1" t="inlineStr">
        <is>
          <t>Medium</t>
        </is>
      </c>
      <c r="H863" s="1" t="n">
        <v>611856</v>
      </c>
      <c r="I863" s="1" t="n">
        <v>1075288</v>
      </c>
      <c r="J863" s="9" t="n">
        <v>0.569</v>
      </c>
      <c r="K863" s="1" t="inlineStr">
        <is>
          <t>Yes</t>
        </is>
      </c>
      <c r="L863" s="1" t="inlineStr">
        <is>
          <t>Yes</t>
        </is>
      </c>
      <c r="M863" s="1" t="inlineStr">
        <is>
          <t>No</t>
        </is>
      </c>
      <c r="N863" s="1" t="inlineStr">
        <is>
          <t>Database</t>
        </is>
      </c>
      <c r="O8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64" ht="15.75" customHeight="1" s="12">
      <c r="A864" s="1" t="n">
        <v>561</v>
      </c>
      <c r="B864" s="3">
        <f>HYPERLINK("https://leetcode.com/problems/array-partition/", "Array Partition")</f>
        <v/>
      </c>
      <c r="C864" s="1" t="n">
        <v>2337</v>
      </c>
      <c r="D864" s="1" t="n">
        <v>299</v>
      </c>
      <c r="E864" s="4">
        <f>IF(INDEX(C:C, ROW())+INDEX(D:D, ROW())=0, 0, INDEX(C:C, ROW())/(INDEX(C:C, ROW())+INDEX(D:D, ROW())))</f>
        <v/>
      </c>
      <c r="F864" s="1" t="inlineStr">
        <is>
          <t>Array, Greedy, Sorting, Counting Sort</t>
        </is>
      </c>
      <c r="G864" s="1" t="inlineStr">
        <is>
          <t>Easy</t>
        </is>
      </c>
      <c r="H864" s="1" t="n">
        <v>640393</v>
      </c>
      <c r="I864" s="1" t="n">
        <v>787668</v>
      </c>
      <c r="J864" s="9" t="n">
        <v>0.8129999999999999</v>
      </c>
      <c r="K864" s="1" t="inlineStr">
        <is>
          <t>Yes</t>
        </is>
      </c>
      <c r="L864" s="1" t="inlineStr">
        <is>
          <t>Yes</t>
        </is>
      </c>
      <c r="M864" s="1" t="inlineStr">
        <is>
          <t>No</t>
        </is>
      </c>
      <c r="N864" s="1" t="inlineStr">
        <is>
          <t>Algorithms</t>
        </is>
      </c>
      <c r="O8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65" ht="15.75" customHeight="1" s="12">
      <c r="A865" s="1" t="n">
        <v>1108</v>
      </c>
      <c r="B865" s="3">
        <f>HYPERLINK("https://leetcode.com/problems/defanging-an-ip-address/", "Defanging an IP Address")</f>
        <v/>
      </c>
      <c r="C865" s="1" t="n">
        <v>2336</v>
      </c>
      <c r="D865" s="1" t="n">
        <v>1781</v>
      </c>
      <c r="E865" s="4">
        <f>IF(INDEX(C:C, ROW())+INDEX(D:D, ROW())=0, 0, INDEX(C:C, ROW())/(INDEX(C:C, ROW())+INDEX(D:D, ROW())))</f>
        <v/>
      </c>
      <c r="F865" s="1" t="inlineStr">
        <is>
          <t>String</t>
        </is>
      </c>
      <c r="G865" s="1" t="inlineStr">
        <is>
          <t>Easy</t>
        </is>
      </c>
      <c r="H865" s="1" t="n">
        <v>825178</v>
      </c>
      <c r="I865" s="1" t="n">
        <v>917598</v>
      </c>
      <c r="J865" s="9" t="n">
        <v>0.899</v>
      </c>
      <c r="K865" s="1" t="inlineStr">
        <is>
          <t>Yes</t>
        </is>
      </c>
      <c r="L865" s="1" t="inlineStr">
        <is>
          <t>No</t>
        </is>
      </c>
      <c r="M865" s="1" t="inlineStr">
        <is>
          <t>No</t>
        </is>
      </c>
      <c r="N865" s="1" t="inlineStr">
        <is>
          <t>Algorithms</t>
        </is>
      </c>
      <c r="O8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66" ht="15.75" customHeight="1" s="12">
      <c r="A866" s="1" t="n">
        <v>1481</v>
      </c>
      <c r="B866" s="3">
        <f>HYPERLINK("https://leetcode.com/problems/least-number-of-unique-integers-after-k-removals/", "Least Number of Unique Integers after K Removals")</f>
        <v/>
      </c>
      <c r="C866" s="1" t="n">
        <v>2334</v>
      </c>
      <c r="D866" s="1" t="n">
        <v>234</v>
      </c>
      <c r="E866" s="4">
        <f>IF(INDEX(C:C, ROW())+INDEX(D:D, ROW())=0, 0, INDEX(C:C, ROW())/(INDEX(C:C, ROW())+INDEX(D:D, ROW())))</f>
        <v/>
      </c>
      <c r="F866" s="1" t="inlineStr">
        <is>
          <t>Array, Hash Table, Greedy, Sorting, Counting</t>
        </is>
      </c>
      <c r="G866" s="1" t="inlineStr">
        <is>
          <t>Medium</t>
        </is>
      </c>
      <c r="H866" s="1" t="n">
        <v>278277</v>
      </c>
      <c r="I866" s="1" t="n">
        <v>436824</v>
      </c>
      <c r="J866" s="9" t="n">
        <v>0.637</v>
      </c>
      <c r="K866" s="1" t="inlineStr">
        <is>
          <t>Yes</t>
        </is>
      </c>
      <c r="L866" s="1" t="inlineStr">
        <is>
          <t>Yes</t>
        </is>
      </c>
      <c r="M866" s="1" t="inlineStr">
        <is>
          <t>No</t>
        </is>
      </c>
      <c r="N866" s="1" t="inlineStr">
        <is>
          <t>Algorithms</t>
        </is>
      </c>
      <c r="O8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67" ht="15.75" customHeight="1" s="12">
      <c r="A867" s="1" t="n">
        <v>1187</v>
      </c>
      <c r="B867" s="3">
        <f>HYPERLINK("https://leetcode.com/problems/make-array-strictly-increasing/", "Make Array Strictly Increasing")</f>
        <v/>
      </c>
      <c r="C867" s="1" t="n">
        <v>2333</v>
      </c>
      <c r="D867" s="1" t="n">
        <v>51</v>
      </c>
      <c r="E867" s="4">
        <f>IF(INDEX(C:C, ROW())+INDEX(D:D, ROW())=0, 0, INDEX(C:C, ROW())/(INDEX(C:C, ROW())+INDEX(D:D, ROW())))</f>
        <v/>
      </c>
      <c r="F867" s="1" t="inlineStr">
        <is>
          <t>Array, Binary Search, Dynamic Programming, Sorting</t>
        </is>
      </c>
      <c r="G867" s="1" t="inlineStr">
        <is>
          <t>Hard</t>
        </is>
      </c>
      <c r="H867" s="1" t="n">
        <v>65955</v>
      </c>
      <c r="I867" s="1" t="n">
        <v>113913</v>
      </c>
      <c r="J867" s="9" t="n">
        <v>0.579</v>
      </c>
      <c r="K867" s="1" t="inlineStr">
        <is>
          <t>Yes</t>
        </is>
      </c>
      <c r="L867" s="1" t="inlineStr">
        <is>
          <t>Yes</t>
        </is>
      </c>
      <c r="M867" s="1" t="inlineStr">
        <is>
          <t>No</t>
        </is>
      </c>
      <c r="N867" s="1" t="inlineStr">
        <is>
          <t>Algorithms</t>
        </is>
      </c>
      <c r="O8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68" ht="15.75" customHeight="1" s="12">
      <c r="A868" s="1" t="n">
        <v>1044</v>
      </c>
      <c r="B868" s="3">
        <f>HYPERLINK("https://leetcode.com/problems/longest-duplicate-substring/", "Longest Duplicate Substring")</f>
        <v/>
      </c>
      <c r="C868" s="1" t="n">
        <v>2332</v>
      </c>
      <c r="D868" s="1" t="n">
        <v>397</v>
      </c>
      <c r="E868" s="4">
        <f>IF(INDEX(C:C, ROW())+INDEX(D:D, ROW())=0, 0, INDEX(C:C, ROW())/(INDEX(C:C, ROW())+INDEX(D:D, ROW())))</f>
        <v/>
      </c>
      <c r="F868" s="1" t="inlineStr">
        <is>
          <t>String, Binary Search, Sliding Window, Rolling Hash, Suffix Array, Hash Function</t>
        </is>
      </c>
      <c r="G868" s="1" t="inlineStr">
        <is>
          <t>Hard</t>
        </is>
      </c>
      <c r="H868" s="1" t="n">
        <v>82670</v>
      </c>
      <c r="I868" s="1" t="n">
        <v>266134</v>
      </c>
      <c r="J868" s="9" t="n">
        <v>0.311</v>
      </c>
      <c r="K868" s="1" t="inlineStr">
        <is>
          <t>Yes</t>
        </is>
      </c>
      <c r="L868" s="1" t="inlineStr">
        <is>
          <t>Yes</t>
        </is>
      </c>
      <c r="M868" s="1" t="inlineStr">
        <is>
          <t>No</t>
        </is>
      </c>
      <c r="N868" s="1" t="inlineStr">
        <is>
          <t>Algorithms</t>
        </is>
      </c>
      <c r="O8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69" ht="15.75" customHeight="1" s="12">
      <c r="A869" s="1" t="n">
        <v>475</v>
      </c>
      <c r="B869" s="3">
        <f>HYPERLINK("https://leetcode.com/problems/heaters/", "Heaters")</f>
        <v/>
      </c>
      <c r="C869" s="1" t="n">
        <v>2327</v>
      </c>
      <c r="D869" s="1" t="n">
        <v>1194</v>
      </c>
      <c r="E869" s="4">
        <f>IF(INDEX(C:C, ROW())+INDEX(D:D, ROW())=0, 0, INDEX(C:C, ROW())/(INDEX(C:C, ROW())+INDEX(D:D, ROW())))</f>
        <v/>
      </c>
      <c r="F869" s="1" t="inlineStr">
        <is>
          <t>Array, Two Pointers, Binary Search, Sorting</t>
        </is>
      </c>
      <c r="G869" s="1" t="inlineStr">
        <is>
          <t>Medium</t>
        </is>
      </c>
      <c r="H869" s="1" t="n">
        <v>160954</v>
      </c>
      <c r="I869" s="1" t="n">
        <v>391088</v>
      </c>
      <c r="J869" s="9" t="n">
        <v>0.412</v>
      </c>
      <c r="K869" s="1" t="inlineStr">
        <is>
          <t>Yes</t>
        </is>
      </c>
      <c r="L869" s="1" t="inlineStr">
        <is>
          <t>No</t>
        </is>
      </c>
      <c r="M869" s="1" t="inlineStr">
        <is>
          <t>No</t>
        </is>
      </c>
      <c r="N869" s="1" t="inlineStr">
        <is>
          <t>Algorithms</t>
        </is>
      </c>
      <c r="O8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70" ht="15.75" customHeight="1" s="12">
      <c r="A870" s="1" t="n">
        <v>694</v>
      </c>
      <c r="B870" s="3">
        <f>HYPERLINK("https://leetcode.com/problems/number-of-distinct-islands/", "Number of Distinct Islands")</f>
        <v/>
      </c>
      <c r="C870" s="1" t="n">
        <v>2327</v>
      </c>
      <c r="D870" s="1" t="n">
        <v>151</v>
      </c>
      <c r="E870" s="4">
        <f>IF(INDEX(C:C, ROW())+INDEX(D:D, ROW())=0, 0, INDEX(C:C, ROW())/(INDEX(C:C, ROW())+INDEX(D:D, ROW())))</f>
        <v/>
      </c>
      <c r="F870" s="1" t="inlineStr">
        <is>
          <t>Hash Table, Depth-First Search, Breadth-First Search, Union-Find, Hash Function</t>
        </is>
      </c>
      <c r="G870" s="1" t="inlineStr">
        <is>
          <t>Medium</t>
        </is>
      </c>
      <c r="H870" s="1" t="n">
        <v>203806</v>
      </c>
      <c r="I870" s="1" t="n">
        <v>325330</v>
      </c>
      <c r="J870" s="9" t="n">
        <v>0.626</v>
      </c>
      <c r="K870" s="1" t="inlineStr">
        <is>
          <t>No</t>
        </is>
      </c>
      <c r="L870" s="1" t="inlineStr">
        <is>
          <t>Yes</t>
        </is>
      </c>
      <c r="M870" s="1" t="inlineStr">
        <is>
          <t>Yes</t>
        </is>
      </c>
      <c r="N870" s="1" t="inlineStr">
        <is>
          <t>Algorithms</t>
        </is>
      </c>
      <c r="O8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71" ht="15.75" customHeight="1" s="12">
      <c r="A871" s="1" t="n">
        <v>1704</v>
      </c>
      <c r="B871" s="3">
        <f>HYPERLINK("https://leetcode.com/problems/determine-if-string-halves-are-alike/", "Determine if String Halves Are Alike")</f>
        <v/>
      </c>
      <c r="C871" s="1" t="n">
        <v>2327</v>
      </c>
      <c r="D871" s="1" t="n">
        <v>126</v>
      </c>
      <c r="E871" s="4">
        <f>IF(INDEX(C:C, ROW())+INDEX(D:D, ROW())=0, 0, INDEX(C:C, ROW())/(INDEX(C:C, ROW())+INDEX(D:D, ROW())))</f>
        <v/>
      </c>
      <c r="F871" s="1" t="inlineStr">
        <is>
          <t>String, Counting</t>
        </is>
      </c>
      <c r="G871" s="1" t="inlineStr">
        <is>
          <t>Easy</t>
        </is>
      </c>
      <c r="H871" s="1" t="n">
        <v>395594</v>
      </c>
      <c r="I871" s="1" t="n">
        <v>502460</v>
      </c>
      <c r="J871" s="9" t="n">
        <v>0.787</v>
      </c>
      <c r="K871" s="1" t="inlineStr">
        <is>
          <t>Yes</t>
        </is>
      </c>
      <c r="L871" s="1" t="inlineStr">
        <is>
          <t>Yes</t>
        </is>
      </c>
      <c r="M871" s="1" t="inlineStr">
        <is>
          <t>No</t>
        </is>
      </c>
      <c r="N871" s="1" t="inlineStr">
        <is>
          <t>Algorithms</t>
        </is>
      </c>
      <c r="O8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72" ht="15.75" customHeight="1" s="12">
      <c r="A872" s="1" t="n">
        <v>1608</v>
      </c>
      <c r="B872" s="3">
        <f>HYPERLINK("https://leetcode.com/problems/special-array-with-x-elements-greater-than-or-equal-x/", "Special Array With X Elements Greater Than or Equal X")</f>
        <v/>
      </c>
      <c r="C872" s="1" t="n">
        <v>2326</v>
      </c>
      <c r="D872" s="1" t="n">
        <v>465</v>
      </c>
      <c r="E872" s="4">
        <f>IF(INDEX(C:C, ROW())+INDEX(D:D, ROW())=0, 0, INDEX(C:C, ROW())/(INDEX(C:C, ROW())+INDEX(D:D, ROW())))</f>
        <v/>
      </c>
      <c r="F872" s="1" t="inlineStr">
        <is>
          <t>Array, Binary Search, Sorting</t>
        </is>
      </c>
      <c r="G872" s="1" t="inlineStr">
        <is>
          <t>Easy</t>
        </is>
      </c>
      <c r="H872" s="1" t="n">
        <v>229678</v>
      </c>
      <c r="I872" s="1" t="n">
        <v>344088</v>
      </c>
      <c r="J872" s="9" t="n">
        <v>0.667</v>
      </c>
      <c r="K872" s="1" t="inlineStr">
        <is>
          <t>Yes</t>
        </is>
      </c>
      <c r="L872" s="1" t="inlineStr">
        <is>
          <t>Yes</t>
        </is>
      </c>
      <c r="M872" s="1" t="inlineStr">
        <is>
          <t>No</t>
        </is>
      </c>
      <c r="N872" s="1" t="inlineStr">
        <is>
          <t>Algorithms</t>
        </is>
      </c>
      <c r="O8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73" ht="15.75" customHeight="1" s="12">
      <c r="A873" s="1" t="n">
        <v>1380</v>
      </c>
      <c r="B873" s="3">
        <f>HYPERLINK("https://leetcode.com/problems/lucky-numbers-in-a-matrix/", "Lucky Numbers in a Matrix")</f>
        <v/>
      </c>
      <c r="C873" s="1" t="n">
        <v>2325</v>
      </c>
      <c r="D873" s="1" t="n">
        <v>121</v>
      </c>
      <c r="E873" s="4">
        <f>IF(INDEX(C:C, ROW())+INDEX(D:D, ROW())=0, 0, INDEX(C:C, ROW())/(INDEX(C:C, ROW())+INDEX(D:D, ROW())))</f>
        <v/>
      </c>
      <c r="F873" s="1" t="inlineStr">
        <is>
          <t>Array, Matrix</t>
        </is>
      </c>
      <c r="G873" s="1" t="inlineStr">
        <is>
          <t>Easy</t>
        </is>
      </c>
      <c r="H873" s="1" t="n">
        <v>288560</v>
      </c>
      <c r="I873" s="1" t="n">
        <v>360978</v>
      </c>
      <c r="J873" s="9" t="n">
        <v>0.799</v>
      </c>
      <c r="K873" s="1" t="inlineStr">
        <is>
          <t>Yes</t>
        </is>
      </c>
      <c r="L873" s="1" t="inlineStr">
        <is>
          <t>Yes</t>
        </is>
      </c>
      <c r="M873" s="1" t="inlineStr">
        <is>
          <t>No</t>
        </is>
      </c>
      <c r="N873" s="1" t="inlineStr">
        <is>
          <t>Algorithms</t>
        </is>
      </c>
      <c r="O8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74" ht="15.75" customHeight="1" s="12">
      <c r="A874" s="1" t="n">
        <v>1461</v>
      </c>
      <c r="B874" s="3">
        <f>HYPERLINK("https://leetcode.com/problems/check-if-a-string-contains-all-binary-codes-of-size-k/", "Check If a String Contains All Binary Codes of Size K")</f>
        <v/>
      </c>
      <c r="C874" s="1" t="n">
        <v>2318</v>
      </c>
      <c r="D874" s="1" t="n">
        <v>100</v>
      </c>
      <c r="E874" s="4">
        <f>IF(INDEX(C:C, ROW())+INDEX(D:D, ROW())=0, 0, INDEX(C:C, ROW())/(INDEX(C:C, ROW())+INDEX(D:D, ROW())))</f>
        <v/>
      </c>
      <c r="F874" s="1" t="inlineStr">
        <is>
          <t>Hash Table, String, Bit Manipulation, Rolling Hash, Hash Function</t>
        </is>
      </c>
      <c r="G874" s="1" t="inlineStr">
        <is>
          <t>Medium</t>
        </is>
      </c>
      <c r="H874" s="1" t="n">
        <v>139378</v>
      </c>
      <c r="I874" s="1" t="n">
        <v>245097</v>
      </c>
      <c r="J874" s="9" t="n">
        <v>0.569</v>
      </c>
      <c r="K874" s="1" t="inlineStr">
        <is>
          <t>Yes</t>
        </is>
      </c>
      <c r="L874" s="1" t="inlineStr">
        <is>
          <t>Yes</t>
        </is>
      </c>
      <c r="M874" s="1" t="inlineStr">
        <is>
          <t>No</t>
        </is>
      </c>
      <c r="N874" s="1" t="inlineStr">
        <is>
          <t>Algorithms</t>
        </is>
      </c>
      <c r="O8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75" ht="15.75" customHeight="1" s="12">
      <c r="A875" s="1" t="n">
        <v>375</v>
      </c>
      <c r="B875" s="3">
        <f>HYPERLINK("https://leetcode.com/problems/guess-number-higher-or-lower-ii/", "Guess Number Higher or Lower II")</f>
        <v/>
      </c>
      <c r="C875" s="1" t="n">
        <v>2315</v>
      </c>
      <c r="D875" s="1" t="n">
        <v>2162</v>
      </c>
      <c r="E875" s="4">
        <f>IF(INDEX(C:C, ROW())+INDEX(D:D, ROW())=0, 0, INDEX(C:C, ROW())/(INDEX(C:C, ROW())+INDEX(D:D, ROW())))</f>
        <v/>
      </c>
      <c r="F875" s="1" t="inlineStr">
        <is>
          <t>Math, Dynamic Programming, Game Theory</t>
        </is>
      </c>
      <c r="G875" s="1" t="inlineStr">
        <is>
          <t>Medium</t>
        </is>
      </c>
      <c r="H875" s="1" t="n">
        <v>155782</v>
      </c>
      <c r="I875" s="1" t="n">
        <v>298014</v>
      </c>
      <c r="J875" s="9" t="n">
        <v>0.523</v>
      </c>
      <c r="K875" s="1" t="inlineStr">
        <is>
          <t>Yes</t>
        </is>
      </c>
      <c r="L875" s="1" t="inlineStr">
        <is>
          <t>Yes</t>
        </is>
      </c>
      <c r="M875" s="1" t="inlineStr">
        <is>
          <t>No</t>
        </is>
      </c>
      <c r="N875" s="1" t="inlineStr">
        <is>
          <t>Algorithms</t>
        </is>
      </c>
      <c r="O8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76" ht="15.75" customHeight="1" s="12">
      <c r="A876" s="1" t="n">
        <v>1039</v>
      </c>
      <c r="B876" s="3">
        <f>HYPERLINK("https://leetcode.com/problems/minimum-score-triangulation-of-polygon/", "Minimum Score Triangulation of Polygon")</f>
        <v/>
      </c>
      <c r="C876" s="1" t="n">
        <v>2312</v>
      </c>
      <c r="D876" s="1" t="n">
        <v>300</v>
      </c>
      <c r="E876" s="4">
        <f>IF(INDEX(C:C, ROW())+INDEX(D:D, ROW())=0, 0, INDEX(C:C, ROW())/(INDEX(C:C, ROW())+INDEX(D:D, ROW())))</f>
        <v/>
      </c>
      <c r="F876" s="1" t="inlineStr">
        <is>
          <t>Array, Dynamic Programming</t>
        </is>
      </c>
      <c r="G876" s="1" t="inlineStr">
        <is>
          <t>Medium</t>
        </is>
      </c>
      <c r="H876" s="1" t="n">
        <v>137543</v>
      </c>
      <c r="I876" s="1" t="n">
        <v>204347</v>
      </c>
      <c r="J876" s="9" t="n">
        <v>0.673</v>
      </c>
      <c r="K876" s="1" t="inlineStr">
        <is>
          <t>Yes</t>
        </is>
      </c>
      <c r="L876" s="1" t="inlineStr">
        <is>
          <t>Yes</t>
        </is>
      </c>
      <c r="M876" s="1" t="inlineStr">
        <is>
          <t>No</t>
        </is>
      </c>
      <c r="N876" s="1" t="inlineStr">
        <is>
          <t>Algorithms</t>
        </is>
      </c>
      <c r="O8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77" ht="15.75" customHeight="1" s="12">
      <c r="A877" s="1" t="n">
        <v>1288</v>
      </c>
      <c r="B877" s="3">
        <f>HYPERLINK("https://leetcode.com/problems/remove-covered-intervals/", "Remove Covered Intervals")</f>
        <v/>
      </c>
      <c r="C877" s="1" t="n">
        <v>2308</v>
      </c>
      <c r="D877" s="1" t="n">
        <v>60</v>
      </c>
      <c r="E877" s="4">
        <f>IF(INDEX(C:C, ROW())+INDEX(D:D, ROW())=0, 0, INDEX(C:C, ROW())/(INDEX(C:C, ROW())+INDEX(D:D, ROW())))</f>
        <v/>
      </c>
      <c r="F877" s="1" t="inlineStr">
        <is>
          <t>Array, Sorting</t>
        </is>
      </c>
      <c r="G877" s="1" t="inlineStr">
        <is>
          <t>Medium</t>
        </is>
      </c>
      <c r="H877" s="1" t="n">
        <v>139581</v>
      </c>
      <c r="I877" s="1" t="n">
        <v>248737</v>
      </c>
      <c r="J877" s="9" t="n">
        <v>0.5610000000000001</v>
      </c>
      <c r="K877" s="1" t="inlineStr">
        <is>
          <t>Yes</t>
        </is>
      </c>
      <c r="L877" s="1" t="inlineStr">
        <is>
          <t>Yes</t>
        </is>
      </c>
      <c r="M877" s="1" t="inlineStr">
        <is>
          <t>No</t>
        </is>
      </c>
      <c r="N877" s="1" t="inlineStr">
        <is>
          <t>Algorithms</t>
        </is>
      </c>
      <c r="O8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78" ht="15.75" customHeight="1" s="12">
      <c r="A878" s="1" t="n">
        <v>541</v>
      </c>
      <c r="B878" s="3">
        <f>HYPERLINK("https://leetcode.com/problems/reverse-string-ii/", "Reverse String II")</f>
        <v/>
      </c>
      <c r="C878" s="1" t="n">
        <v>2305</v>
      </c>
      <c r="D878" s="1" t="n">
        <v>4370</v>
      </c>
      <c r="E878" s="4">
        <f>IF(INDEX(C:C, ROW())+INDEX(D:D, ROW())=0, 0, INDEX(C:C, ROW())/(INDEX(C:C, ROW())+INDEX(D:D, ROW())))</f>
        <v/>
      </c>
      <c r="F878" s="1" t="inlineStr">
        <is>
          <t>Two Pointers, String</t>
        </is>
      </c>
      <c r="G878" s="1" t="inlineStr">
        <is>
          <t>Easy</t>
        </is>
      </c>
      <c r="H878" s="1" t="n">
        <v>361065</v>
      </c>
      <c r="I878" s="1" t="n">
        <v>679105</v>
      </c>
      <c r="J878" s="9" t="n">
        <v>0.532</v>
      </c>
      <c r="K878" s="1" t="inlineStr">
        <is>
          <t>Yes</t>
        </is>
      </c>
      <c r="L878" s="1" t="inlineStr">
        <is>
          <t>Yes</t>
        </is>
      </c>
      <c r="M878" s="1" t="inlineStr">
        <is>
          <t>No</t>
        </is>
      </c>
      <c r="N878" s="1" t="inlineStr">
        <is>
          <t>Algorithms</t>
        </is>
      </c>
      <c r="O8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79" ht="15.75" customHeight="1" s="12">
      <c r="A879" s="1" t="n">
        <v>2477</v>
      </c>
      <c r="B879" s="3">
        <f>HYPERLINK("https://leetcode.com/problems/minimum-fuel-cost-to-report-to-the-capital/", "Minimum Fuel Cost to Report to the Capital")</f>
        <v/>
      </c>
      <c r="C879" s="1" t="n">
        <v>2305</v>
      </c>
      <c r="D879" s="1" t="n">
        <v>96</v>
      </c>
      <c r="E879" s="4">
        <f>IF(INDEX(C:C, ROW())+INDEX(D:D, ROW())=0, 0, INDEX(C:C, ROW())/(INDEX(C:C, ROW())+INDEX(D:D, ROW())))</f>
        <v/>
      </c>
      <c r="F879" s="1" t="inlineStr">
        <is>
          <t>Tree, Depth-First Search, Breadth-First Search, Graph Theory</t>
        </is>
      </c>
      <c r="G879" s="1" t="inlineStr">
        <is>
          <t>Medium</t>
        </is>
      </c>
      <c r="H879" s="1" t="n">
        <v>84677</v>
      </c>
      <c r="I879" s="1" t="n">
        <v>131203</v>
      </c>
      <c r="J879" s="9" t="n">
        <v>0.645</v>
      </c>
      <c r="K879" s="1" t="inlineStr">
        <is>
          <t>Yes</t>
        </is>
      </c>
      <c r="L879" s="1" t="inlineStr">
        <is>
          <t>Yes</t>
        </is>
      </c>
      <c r="M879" s="1" t="inlineStr">
        <is>
          <t>No</t>
        </is>
      </c>
      <c r="N879" s="1" t="inlineStr">
        <is>
          <t>Algorithms</t>
        </is>
      </c>
      <c r="O8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80" ht="15.75" customHeight="1" s="12">
      <c r="A880" s="1" t="n">
        <v>1436</v>
      </c>
      <c r="B880" s="3">
        <f>HYPERLINK("https://leetcode.com/problems/destination-city/", "Destination City")</f>
        <v/>
      </c>
      <c r="C880" s="1" t="n">
        <v>2301</v>
      </c>
      <c r="D880" s="1" t="n">
        <v>107</v>
      </c>
      <c r="E880" s="4">
        <f>IF(INDEX(C:C, ROW())+INDEX(D:D, ROW())=0, 0, INDEX(C:C, ROW())/(INDEX(C:C, ROW())+INDEX(D:D, ROW())))</f>
        <v/>
      </c>
      <c r="F880" s="1" t="inlineStr">
        <is>
          <t>Array, Hash Table, String</t>
        </is>
      </c>
      <c r="G880" s="1" t="inlineStr">
        <is>
          <t>Easy</t>
        </is>
      </c>
      <c r="H880" s="1" t="n">
        <v>319471</v>
      </c>
      <c r="I880" s="1" t="n">
        <v>402053</v>
      </c>
      <c r="J880" s="9" t="n">
        <v>0.795</v>
      </c>
      <c r="K880" s="1" t="inlineStr">
        <is>
          <t>Yes</t>
        </is>
      </c>
      <c r="L880" s="1" t="inlineStr">
        <is>
          <t>Yes</t>
        </is>
      </c>
      <c r="M880" s="1" t="inlineStr">
        <is>
          <t>No</t>
        </is>
      </c>
      <c r="N880" s="1" t="inlineStr">
        <is>
          <t>Algorithms</t>
        </is>
      </c>
      <c r="O8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81" ht="15.75" customHeight="1" s="12">
      <c r="A881" s="1" t="n">
        <v>477</v>
      </c>
      <c r="B881" s="3">
        <f>HYPERLINK("https://leetcode.com/problems/total-hamming-distance/", "Total Hamming Distance")</f>
        <v/>
      </c>
      <c r="C881" s="1" t="n">
        <v>2297</v>
      </c>
      <c r="D881" s="1" t="n">
        <v>95</v>
      </c>
      <c r="E881" s="4">
        <f>IF(INDEX(C:C, ROW())+INDEX(D:D, ROW())=0, 0, INDEX(C:C, ROW())/(INDEX(C:C, ROW())+INDEX(D:D, ROW())))</f>
        <v/>
      </c>
      <c r="F881" s="1" t="inlineStr">
        <is>
          <t>Array, Math, Bit Manipulation</t>
        </is>
      </c>
      <c r="G881" s="1" t="inlineStr">
        <is>
          <t>Medium</t>
        </is>
      </c>
      <c r="H881" s="1" t="n">
        <v>131352</v>
      </c>
      <c r="I881" s="1" t="n">
        <v>240983</v>
      </c>
      <c r="J881" s="9" t="n">
        <v>0.545</v>
      </c>
      <c r="K881" s="1" t="inlineStr">
        <is>
          <t>Yes</t>
        </is>
      </c>
      <c r="L881" s="1" t="inlineStr">
        <is>
          <t>Yes</t>
        </is>
      </c>
      <c r="M881" s="1" t="inlineStr">
        <is>
          <t>No</t>
        </is>
      </c>
      <c r="N881" s="1" t="inlineStr">
        <is>
          <t>Algorithms</t>
        </is>
      </c>
      <c r="O8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82" ht="15.75" customHeight="1" s="12">
      <c r="A882" s="1" t="n">
        <v>1406</v>
      </c>
      <c r="B882" s="3">
        <f>HYPERLINK("https://leetcode.com/problems/stone-game-iii/", "Stone Game III")</f>
        <v/>
      </c>
      <c r="C882" s="1" t="n">
        <v>2297</v>
      </c>
      <c r="D882" s="1" t="n">
        <v>80</v>
      </c>
      <c r="E882" s="4">
        <f>IF(INDEX(C:C, ROW())+INDEX(D:D, ROW())=0, 0, INDEX(C:C, ROW())/(INDEX(C:C, ROW())+INDEX(D:D, ROW())))</f>
        <v/>
      </c>
      <c r="F882" s="1" t="inlineStr">
        <is>
          <t>Array, Math, Dynamic Programming, Game Theory</t>
        </is>
      </c>
      <c r="G882" s="1" t="inlineStr">
        <is>
          <t>Hard</t>
        </is>
      </c>
      <c r="H882" s="1" t="n">
        <v>108494</v>
      </c>
      <c r="I882" s="1" t="n">
        <v>171508</v>
      </c>
      <c r="J882" s="9" t="n">
        <v>0.633</v>
      </c>
      <c r="K882" s="1" t="inlineStr">
        <is>
          <t>Yes</t>
        </is>
      </c>
      <c r="L882" s="1" t="inlineStr">
        <is>
          <t>Yes</t>
        </is>
      </c>
      <c r="M882" s="1" t="inlineStr">
        <is>
          <t>No</t>
        </is>
      </c>
      <c r="N882" s="1" t="inlineStr">
        <is>
          <t>Algorithms</t>
        </is>
      </c>
      <c r="O8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83" ht="15.75" customHeight="1" s="12">
      <c r="A883" s="1" t="n">
        <v>1424</v>
      </c>
      <c r="B883" s="3">
        <f>HYPERLINK("https://leetcode.com/problems/diagonal-traverse-ii/", "Diagonal Traverse II")</f>
        <v/>
      </c>
      <c r="C883" s="1" t="n">
        <v>2296</v>
      </c>
      <c r="D883" s="1" t="n">
        <v>159</v>
      </c>
      <c r="E883" s="4">
        <f>IF(INDEX(C:C, ROW())+INDEX(D:D, ROW())=0, 0, INDEX(C:C, ROW())/(INDEX(C:C, ROW())+INDEX(D:D, ROW())))</f>
        <v/>
      </c>
      <c r="F883" s="1" t="inlineStr">
        <is>
          <t>Array, Sorting, Heap (Priority Queue)</t>
        </is>
      </c>
      <c r="G883" s="1" t="inlineStr">
        <is>
          <t>Medium</t>
        </is>
      </c>
      <c r="H883" s="1" t="n">
        <v>176523</v>
      </c>
      <c r="I883" s="1" t="n">
        <v>302822</v>
      </c>
      <c r="J883" s="9" t="n">
        <v>0.583</v>
      </c>
      <c r="K883" s="1" t="inlineStr">
        <is>
          <t>Yes</t>
        </is>
      </c>
      <c r="L883" s="1" t="inlineStr">
        <is>
          <t>Yes</t>
        </is>
      </c>
      <c r="M883" s="1" t="inlineStr">
        <is>
          <t>No</t>
        </is>
      </c>
      <c r="N883" s="1" t="inlineStr">
        <is>
          <t>Algorithms</t>
        </is>
      </c>
      <c r="O8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84" ht="15.75" customHeight="1" s="12">
      <c r="A884" s="1" t="n">
        <v>1028</v>
      </c>
      <c r="B884" s="3">
        <f>HYPERLINK("https://leetcode.com/problems/recover-a-tree-from-preorder-traversal/", "Recover a Tree From Preorder Traversal")</f>
        <v/>
      </c>
      <c r="C884" s="1" t="n">
        <v>2285</v>
      </c>
      <c r="D884" s="1" t="n">
        <v>69</v>
      </c>
      <c r="E884" s="4">
        <f>IF(INDEX(C:C, ROW())+INDEX(D:D, ROW())=0, 0, INDEX(C:C, ROW())/(INDEX(C:C, ROW())+INDEX(D:D, ROW())))</f>
        <v/>
      </c>
      <c r="F884" s="1" t="inlineStr">
        <is>
          <t>String, Tree, Depth-First Search, Binary Tree</t>
        </is>
      </c>
      <c r="G884" s="1" t="inlineStr">
        <is>
          <t>Hard</t>
        </is>
      </c>
      <c r="H884" s="1" t="n">
        <v>163340</v>
      </c>
      <c r="I884" s="1" t="n">
        <v>196296</v>
      </c>
      <c r="J884" s="9" t="n">
        <v>0.832</v>
      </c>
      <c r="K884" s="1" t="inlineStr">
        <is>
          <t>Yes</t>
        </is>
      </c>
      <c r="L884" s="1" t="inlineStr">
        <is>
          <t>Yes</t>
        </is>
      </c>
      <c r="M884" s="1" t="inlineStr">
        <is>
          <t>No</t>
        </is>
      </c>
      <c r="N884" s="1" t="inlineStr">
        <is>
          <t>Algorithms</t>
        </is>
      </c>
      <c r="O8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85" ht="15.75" customHeight="1" s="12">
      <c r="A885" s="1" t="n">
        <v>1822</v>
      </c>
      <c r="B885" s="3">
        <f>HYPERLINK("https://leetcode.com/problems/sign-of-the-product-of-an-array/", "Sign of the Product of an Array")</f>
        <v/>
      </c>
      <c r="C885" s="1" t="n">
        <v>2281</v>
      </c>
      <c r="D885" s="1" t="n">
        <v>227</v>
      </c>
      <c r="E885" s="4">
        <f>IF(INDEX(C:C, ROW())+INDEX(D:D, ROW())=0, 0, INDEX(C:C, ROW())/(INDEX(C:C, ROW())+INDEX(D:D, ROW())))</f>
        <v/>
      </c>
      <c r="F885" s="1" t="inlineStr">
        <is>
          <t>Array, Math</t>
        </is>
      </c>
      <c r="G885" s="1" t="inlineStr">
        <is>
          <t>Easy</t>
        </is>
      </c>
      <c r="H885" s="1" t="n">
        <v>425160</v>
      </c>
      <c r="I885" s="1" t="n">
        <v>655300</v>
      </c>
      <c r="J885" s="9" t="n">
        <v>0.649</v>
      </c>
      <c r="K885" s="1" t="inlineStr">
        <is>
          <t>Yes</t>
        </is>
      </c>
      <c r="L885" s="1" t="inlineStr">
        <is>
          <t>Yes</t>
        </is>
      </c>
      <c r="M885" s="1" t="inlineStr">
        <is>
          <t>No</t>
        </is>
      </c>
      <c r="N885" s="1" t="inlineStr">
        <is>
          <t>Algorithms</t>
        </is>
      </c>
      <c r="O8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86" ht="15.75" customHeight="1" s="12">
      <c r="A886" s="1" t="n">
        <v>1502</v>
      </c>
      <c r="B886" s="3">
        <f>HYPERLINK("https://leetcode.com/problems/can-make-arithmetic-progression-from-sequence/", "Can Make Arithmetic Progression From Sequence")</f>
        <v/>
      </c>
      <c r="C886" s="1" t="n">
        <v>2279</v>
      </c>
      <c r="D886" s="1" t="n">
        <v>119</v>
      </c>
      <c r="E886" s="4">
        <f>IF(INDEX(C:C, ROW())+INDEX(D:D, ROW())=0, 0, INDEX(C:C, ROW())/(INDEX(C:C, ROW())+INDEX(D:D, ROW())))</f>
        <v/>
      </c>
      <c r="F886" s="1" t="inlineStr">
        <is>
          <t>Array, Sorting</t>
        </is>
      </c>
      <c r="G886" s="1" t="inlineStr">
        <is>
          <t>Easy</t>
        </is>
      </c>
      <c r="H886" s="1" t="n">
        <v>313980</v>
      </c>
      <c r="I886" s="1" t="n">
        <v>452825</v>
      </c>
      <c r="J886" s="9" t="n">
        <v>0.6929999999999999</v>
      </c>
      <c r="K886" s="1" t="inlineStr">
        <is>
          <t>Yes</t>
        </is>
      </c>
      <c r="L886" s="1" t="inlineStr">
        <is>
          <t>Yes</t>
        </is>
      </c>
      <c r="M886" s="1" t="inlineStr">
        <is>
          <t>No</t>
        </is>
      </c>
      <c r="N886" s="1" t="inlineStr">
        <is>
          <t>Algorithms</t>
        </is>
      </c>
      <c r="O8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87" ht="15.75" customHeight="1" s="12">
      <c r="A887" s="1" t="n">
        <v>313</v>
      </c>
      <c r="B887" s="3">
        <f>HYPERLINK("https://leetcode.com/problems/super-ugly-number/", "Super Ugly Number")</f>
        <v/>
      </c>
      <c r="C887" s="1" t="n">
        <v>2275</v>
      </c>
      <c r="D887" s="1" t="n">
        <v>406</v>
      </c>
      <c r="E887" s="4">
        <f>IF(INDEX(C:C, ROW())+INDEX(D:D, ROW())=0, 0, INDEX(C:C, ROW())/(INDEX(C:C, ROW())+INDEX(D:D, ROW())))</f>
        <v/>
      </c>
      <c r="F887" s="1" t="inlineStr">
        <is>
          <t>Array, Math, Dynamic Programming</t>
        </is>
      </c>
      <c r="G887" s="1" t="inlineStr">
        <is>
          <t>Medium</t>
        </is>
      </c>
      <c r="H887" s="1" t="n">
        <v>155446</v>
      </c>
      <c r="I887" s="1" t="n">
        <v>338962</v>
      </c>
      <c r="J887" s="9" t="n">
        <v>0.459</v>
      </c>
      <c r="K887" s="1" t="inlineStr">
        <is>
          <t>Yes</t>
        </is>
      </c>
      <c r="L887" s="1" t="inlineStr">
        <is>
          <t>No</t>
        </is>
      </c>
      <c r="M887" s="1" t="inlineStr">
        <is>
          <t>No</t>
        </is>
      </c>
      <c r="N887" s="1" t="inlineStr">
        <is>
          <t>Algorithms</t>
        </is>
      </c>
      <c r="O8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88" ht="15.75" customHeight="1" s="12">
      <c r="A888" s="1" t="n">
        <v>565</v>
      </c>
      <c r="B888" s="3">
        <f>HYPERLINK("https://leetcode.com/problems/array-nesting/", "Array Nesting")</f>
        <v/>
      </c>
      <c r="C888" s="1" t="n">
        <v>2271</v>
      </c>
      <c r="D888" s="1" t="n">
        <v>159</v>
      </c>
      <c r="E888" s="4">
        <f>IF(INDEX(C:C, ROW())+INDEX(D:D, ROW())=0, 0, INDEX(C:C, ROW())/(INDEX(C:C, ROW())+INDEX(D:D, ROW())))</f>
        <v/>
      </c>
      <c r="F888" s="1" t="inlineStr">
        <is>
          <t>Array, Depth-First Search</t>
        </is>
      </c>
      <c r="G888" s="1" t="inlineStr">
        <is>
          <t>Medium</t>
        </is>
      </c>
      <c r="H888" s="1" t="n">
        <v>146281</v>
      </c>
      <c r="I888" s="1" t="n">
        <v>259419</v>
      </c>
      <c r="J888" s="9" t="n">
        <v>0.5639999999999999</v>
      </c>
      <c r="K888" s="1" t="inlineStr">
        <is>
          <t>Yes</t>
        </is>
      </c>
      <c r="L888" s="1" t="inlineStr">
        <is>
          <t>Yes</t>
        </is>
      </c>
      <c r="M888" s="1" t="inlineStr">
        <is>
          <t>No</t>
        </is>
      </c>
      <c r="N888" s="1" t="inlineStr">
        <is>
          <t>Algorithms</t>
        </is>
      </c>
      <c r="O8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89" ht="15.75" customHeight="1" s="12">
      <c r="A889" s="1" t="n">
        <v>1491</v>
      </c>
      <c r="B889" s="3">
        <f>HYPERLINK("https://leetcode.com/problems/average-salary-excluding-the-minimum-and-maximum-salary/", "Average Salary Excluding the Minimum and Maximum Salary")</f>
        <v/>
      </c>
      <c r="C889" s="1" t="n">
        <v>2268</v>
      </c>
      <c r="D889" s="1" t="n">
        <v>187</v>
      </c>
      <c r="E889" s="4">
        <f>IF(INDEX(C:C, ROW())+INDEX(D:D, ROW())=0, 0, INDEX(C:C, ROW())/(INDEX(C:C, ROW())+INDEX(D:D, ROW())))</f>
        <v/>
      </c>
      <c r="F889" s="1" t="inlineStr">
        <is>
          <t>Array, Sorting</t>
        </is>
      </c>
      <c r="G889" s="1" t="inlineStr">
        <is>
          <t>Easy</t>
        </is>
      </c>
      <c r="H889" s="1" t="n">
        <v>385519</v>
      </c>
      <c r="I889" s="1" t="n">
        <v>607240</v>
      </c>
      <c r="J889" s="9" t="n">
        <v>0.635</v>
      </c>
      <c r="K889" s="1" t="inlineStr">
        <is>
          <t>Yes</t>
        </is>
      </c>
      <c r="L889" s="1" t="inlineStr">
        <is>
          <t>Yes</t>
        </is>
      </c>
      <c r="M889" s="1" t="inlineStr">
        <is>
          <t>No</t>
        </is>
      </c>
      <c r="N889" s="1" t="inlineStr">
        <is>
          <t>Algorithms</t>
        </is>
      </c>
      <c r="O8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90" ht="15.75" customHeight="1" s="12">
      <c r="A890" s="1" t="n">
        <v>159</v>
      </c>
      <c r="B890" s="3">
        <f>HYPERLINK("https://leetcode.com/problems/longest-substring-with-at-most-two-distinct-characters/", "Longest Substring with At Most Two Distinct Characters")</f>
        <v/>
      </c>
      <c r="C890" s="1" t="n">
        <v>2267</v>
      </c>
      <c r="D890" s="1" t="n">
        <v>40</v>
      </c>
      <c r="E890" s="4">
        <f>IF(INDEX(C:C, ROW())+INDEX(D:D, ROW())=0, 0, INDEX(C:C, ROW())/(INDEX(C:C, ROW())+INDEX(D:D, ROW())))</f>
        <v/>
      </c>
      <c r="F890" s="1" t="inlineStr">
        <is>
          <t>Hash Table, String, Sliding Window</t>
        </is>
      </c>
      <c r="G890" s="1" t="inlineStr">
        <is>
          <t>Medium</t>
        </is>
      </c>
      <c r="H890" s="1" t="n">
        <v>298418</v>
      </c>
      <c r="I890" s="1" t="n">
        <v>524407</v>
      </c>
      <c r="J890" s="9" t="n">
        <v>0.569</v>
      </c>
      <c r="K890" s="1" t="inlineStr">
        <is>
          <t>No</t>
        </is>
      </c>
      <c r="L890" s="1" t="inlineStr">
        <is>
          <t>Yes</t>
        </is>
      </c>
      <c r="M890" s="1" t="inlineStr">
        <is>
          <t>Yes</t>
        </is>
      </c>
      <c r="N890" s="1" t="inlineStr">
        <is>
          <t>Algorithms</t>
        </is>
      </c>
      <c r="O8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91" ht="15.75" customHeight="1" s="12">
      <c r="A891" s="1" t="n">
        <v>1389</v>
      </c>
      <c r="B891" s="3">
        <f>HYPERLINK("https://leetcode.com/problems/create-target-array-in-the-given-order/", "Create Target Array in the Given Order")</f>
        <v/>
      </c>
      <c r="C891" s="1" t="n">
        <v>2266</v>
      </c>
      <c r="D891" s="1" t="n">
        <v>1911</v>
      </c>
      <c r="E891" s="4">
        <f>IF(INDEX(C:C, ROW())+INDEX(D:D, ROW())=0, 0, INDEX(C:C, ROW())/(INDEX(C:C, ROW())+INDEX(D:D, ROW())))</f>
        <v/>
      </c>
      <c r="F891" s="1" t="inlineStr">
        <is>
          <t>Array, Simulation</t>
        </is>
      </c>
      <c r="G891" s="1" t="inlineStr">
        <is>
          <t>Easy</t>
        </is>
      </c>
      <c r="H891" s="1" t="n">
        <v>307430</v>
      </c>
      <c r="I891" s="1" t="n">
        <v>355684</v>
      </c>
      <c r="J891" s="9" t="n">
        <v>0.864</v>
      </c>
      <c r="K891" s="1" t="inlineStr">
        <is>
          <t>Yes</t>
        </is>
      </c>
      <c r="L891" s="1" t="inlineStr">
        <is>
          <t>No</t>
        </is>
      </c>
      <c r="M891" s="1" t="inlineStr">
        <is>
          <t>No</t>
        </is>
      </c>
      <c r="N891" s="1" t="inlineStr">
        <is>
          <t>Algorithms</t>
        </is>
      </c>
      <c r="O8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92" ht="15.75" customHeight="1" s="12">
      <c r="A892" s="1" t="n">
        <v>1671</v>
      </c>
      <c r="B892" s="3">
        <f>HYPERLINK("https://leetcode.com/problems/minimum-number-of-removals-to-make-mountain-array/", "Minimum Number of Removals to Make Mountain Array")</f>
        <v/>
      </c>
      <c r="C892" s="1" t="n">
        <v>2266</v>
      </c>
      <c r="D892" s="1" t="n">
        <v>41</v>
      </c>
      <c r="E892" s="4">
        <f>IF(INDEX(C:C, ROW())+INDEX(D:D, ROW())=0, 0, INDEX(C:C, ROW())/(INDEX(C:C, ROW())+INDEX(D:D, ROW())))</f>
        <v/>
      </c>
      <c r="F892" s="1" t="inlineStr">
        <is>
          <t>Array, Binary Search, Dynamic Programming, Greedy</t>
        </is>
      </c>
      <c r="G892" s="1" t="inlineStr">
        <is>
          <t>Hard</t>
        </is>
      </c>
      <c r="H892" s="1" t="n">
        <v>120805</v>
      </c>
      <c r="I892" s="1" t="n">
        <v>220389</v>
      </c>
      <c r="J892" s="9" t="n">
        <v>0.548</v>
      </c>
      <c r="K892" s="1" t="inlineStr">
        <is>
          <t>Yes</t>
        </is>
      </c>
      <c r="L892" s="1" t="inlineStr">
        <is>
          <t>Yes</t>
        </is>
      </c>
      <c r="M892" s="1" t="inlineStr">
        <is>
          <t>No</t>
        </is>
      </c>
      <c r="N892" s="1" t="inlineStr">
        <is>
          <t>Algorithms</t>
        </is>
      </c>
      <c r="O8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93" ht="15.75" customHeight="1" s="12">
      <c r="A893" s="1" t="n">
        <v>1684</v>
      </c>
      <c r="B893" s="3">
        <f>HYPERLINK("https://leetcode.com/problems/count-the-number-of-consistent-strings/", "Count the Number of Consistent Strings")</f>
        <v/>
      </c>
      <c r="C893" s="1" t="n">
        <v>2263</v>
      </c>
      <c r="D893" s="1" t="n">
        <v>90</v>
      </c>
      <c r="E893" s="4">
        <f>IF(INDEX(C:C, ROW())+INDEX(D:D, ROW())=0, 0, INDEX(C:C, ROW())/(INDEX(C:C, ROW())+INDEX(D:D, ROW())))</f>
        <v/>
      </c>
      <c r="F893" s="1" t="inlineStr">
        <is>
          <t>Array, Hash Table, String, Bit Manipulation, Counting</t>
        </is>
      </c>
      <c r="G893" s="1" t="inlineStr">
        <is>
          <t>Easy</t>
        </is>
      </c>
      <c r="H893" s="1" t="n">
        <v>430705</v>
      </c>
      <c r="I893" s="1" t="n">
        <v>486940</v>
      </c>
      <c r="J893" s="9" t="n">
        <v>0.885</v>
      </c>
      <c r="K893" s="1" t="inlineStr">
        <is>
          <t>Yes</t>
        </is>
      </c>
      <c r="L893" s="1" t="inlineStr">
        <is>
          <t>Yes</t>
        </is>
      </c>
      <c r="M893" s="1" t="inlineStr">
        <is>
          <t>No</t>
        </is>
      </c>
      <c r="N893" s="1" t="inlineStr">
        <is>
          <t>Algorithms</t>
        </is>
      </c>
      <c r="O8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94" ht="15.75" customHeight="1" s="12">
      <c r="A894" s="1" t="n">
        <v>636</v>
      </c>
      <c r="B894" s="3">
        <f>HYPERLINK("https://leetcode.com/problems/exclusive-time-of-functions/", "Exclusive Time of Functions")</f>
        <v/>
      </c>
      <c r="C894" s="1" t="n">
        <v>2262</v>
      </c>
      <c r="D894" s="1" t="n">
        <v>2960</v>
      </c>
      <c r="E894" s="4">
        <f>IF(INDEX(C:C, ROW())+INDEX(D:D, ROW())=0, 0, INDEX(C:C, ROW())/(INDEX(C:C, ROW())+INDEX(D:D, ROW())))</f>
        <v/>
      </c>
      <c r="F894" s="1" t="inlineStr">
        <is>
          <t>Array, Stack</t>
        </is>
      </c>
      <c r="G894" s="1" t="inlineStr">
        <is>
          <t>Medium</t>
        </is>
      </c>
      <c r="H894" s="1" t="n">
        <v>327396</v>
      </c>
      <c r="I894" s="1" t="n">
        <v>496456</v>
      </c>
      <c r="J894" s="9" t="n">
        <v>0.659</v>
      </c>
      <c r="K894" s="1" t="inlineStr">
        <is>
          <t>Yes</t>
        </is>
      </c>
      <c r="L894" s="1" t="inlineStr">
        <is>
          <t>Yes</t>
        </is>
      </c>
      <c r="M894" s="1" t="inlineStr">
        <is>
          <t>No</t>
        </is>
      </c>
      <c r="N894" s="1" t="inlineStr">
        <is>
          <t>Algorithms</t>
        </is>
      </c>
      <c r="O8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95" ht="15.75" customHeight="1" s="12">
      <c r="A895" s="1" t="n">
        <v>1125</v>
      </c>
      <c r="B895" s="3">
        <f>HYPERLINK("https://leetcode.com/problems/smallest-sufficient-team/", "Smallest Sufficient Team")</f>
        <v/>
      </c>
      <c r="C895" s="1" t="n">
        <v>2262</v>
      </c>
      <c r="D895" s="1" t="n">
        <v>57</v>
      </c>
      <c r="E895" s="4">
        <f>IF(INDEX(C:C, ROW())+INDEX(D:D, ROW())=0, 0, INDEX(C:C, ROW())/(INDEX(C:C, ROW())+INDEX(D:D, ROW())))</f>
        <v/>
      </c>
      <c r="F895" s="1" t="inlineStr">
        <is>
          <t>Array, Dynamic Programming, Bit Manipulation, Bitmask DP</t>
        </is>
      </c>
      <c r="G895" s="1" t="inlineStr">
        <is>
          <t>Hard</t>
        </is>
      </c>
      <c r="H895" s="1" t="n">
        <v>71585</v>
      </c>
      <c r="I895" s="1" t="n">
        <v>129266</v>
      </c>
      <c r="J895" s="9" t="n">
        <v>0.554</v>
      </c>
      <c r="K895" s="1" t="inlineStr">
        <is>
          <t>Yes</t>
        </is>
      </c>
      <c r="L895" s="1" t="inlineStr">
        <is>
          <t>Yes</t>
        </is>
      </c>
      <c r="M895" s="1" t="inlineStr">
        <is>
          <t>No</t>
        </is>
      </c>
      <c r="N895" s="1" t="inlineStr">
        <is>
          <t>Algorithms</t>
        </is>
      </c>
      <c r="O8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96" ht="15.75" customHeight="1" s="12">
      <c r="A896" s="1" t="n">
        <v>668</v>
      </c>
      <c r="B896" s="3">
        <f>HYPERLINK("https://leetcode.com/problems/kth-smallest-number-in-multiplication-table/", "Kth Smallest Number in Multiplication Table")</f>
        <v/>
      </c>
      <c r="C896" s="1" t="n">
        <v>2257</v>
      </c>
      <c r="D896" s="1" t="n">
        <v>61</v>
      </c>
      <c r="E896" s="4">
        <f>IF(INDEX(C:C, ROW())+INDEX(D:D, ROW())=0, 0, INDEX(C:C, ROW())/(INDEX(C:C, ROW())+INDEX(D:D, ROW())))</f>
        <v/>
      </c>
      <c r="F896" s="1" t="inlineStr">
        <is>
          <t>Math, Binary Search</t>
        </is>
      </c>
      <c r="G896" s="1" t="inlineStr">
        <is>
          <t>Hard</t>
        </is>
      </c>
      <c r="H896" s="1" t="n">
        <v>81733</v>
      </c>
      <c r="I896" s="1" t="n">
        <v>152382</v>
      </c>
      <c r="J896" s="9" t="n">
        <v>0.536</v>
      </c>
      <c r="K896" s="1" t="inlineStr">
        <is>
          <t>Yes</t>
        </is>
      </c>
      <c r="L896" s="1" t="inlineStr">
        <is>
          <t>Yes</t>
        </is>
      </c>
      <c r="M896" s="1" t="inlineStr">
        <is>
          <t>No</t>
        </is>
      </c>
      <c r="N896" s="1" t="inlineStr">
        <is>
          <t>Algorithms</t>
        </is>
      </c>
      <c r="O8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97" ht="15.75" customHeight="1" s="12">
      <c r="A897" s="1" t="n">
        <v>177</v>
      </c>
      <c r="B897" s="3">
        <f>HYPERLINK("https://leetcode.com/problems/nth-highest-salary/", "Nth Highest Salary")</f>
        <v/>
      </c>
      <c r="C897" s="1" t="n">
        <v>2256</v>
      </c>
      <c r="D897" s="1" t="n">
        <v>1114</v>
      </c>
      <c r="E897" s="4">
        <f>IF(INDEX(C:C, ROW())+INDEX(D:D, ROW())=0, 0, INDEX(C:C, ROW())/(INDEX(C:C, ROW())+INDEX(D:D, ROW())))</f>
        <v/>
      </c>
      <c r="F897" s="1" t="inlineStr">
        <is>
          <t>Database</t>
        </is>
      </c>
      <c r="G897" s="1" t="inlineStr">
        <is>
          <t>Medium</t>
        </is>
      </c>
      <c r="H897" s="1" t="n">
        <v>611634</v>
      </c>
      <c r="I897" s="1" t="n">
        <v>1579736</v>
      </c>
      <c r="J897" s="9" t="n">
        <v>0.387</v>
      </c>
      <c r="K897" s="1" t="inlineStr">
        <is>
          <t>Yes</t>
        </is>
      </c>
      <c r="L897" s="1" t="inlineStr">
        <is>
          <t>Yes</t>
        </is>
      </c>
      <c r="M897" s="1" t="inlineStr">
        <is>
          <t>No</t>
        </is>
      </c>
      <c r="N897" s="1" t="inlineStr">
        <is>
          <t>Database</t>
        </is>
      </c>
      <c r="O8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98" ht="15.75" customHeight="1" s="12">
      <c r="A898" s="1" t="n">
        <v>528</v>
      </c>
      <c r="B898" s="3">
        <f>HYPERLINK("https://leetcode.com/problems/random-pick-with-weight/", "Random Pick with Weight")</f>
        <v/>
      </c>
      <c r="C898" s="1" t="n">
        <v>2256</v>
      </c>
      <c r="D898" s="1" t="n">
        <v>1046</v>
      </c>
      <c r="E898" s="4">
        <f>IF(INDEX(C:C, ROW())+INDEX(D:D, ROW())=0, 0, INDEX(C:C, ROW())/(INDEX(C:C, ROW())+INDEX(D:D, ROW())))</f>
        <v/>
      </c>
      <c r="F898" s="1" t="inlineStr">
        <is>
          <t>Array, Math, Binary Search, Prefix Sum, Randomized</t>
        </is>
      </c>
      <c r="G898" s="1" t="inlineStr">
        <is>
          <t>Medium</t>
        </is>
      </c>
      <c r="H898" s="1" t="n">
        <v>677940</v>
      </c>
      <c r="I898" s="1" t="n">
        <v>1388195</v>
      </c>
      <c r="J898" s="9" t="n">
        <v>0.488</v>
      </c>
      <c r="K898" s="1" t="inlineStr">
        <is>
          <t>Yes</t>
        </is>
      </c>
      <c r="L898" s="1" t="inlineStr">
        <is>
          <t>Yes</t>
        </is>
      </c>
      <c r="M898" s="1" t="inlineStr">
        <is>
          <t>No</t>
        </is>
      </c>
      <c r="N898" s="1" t="inlineStr">
        <is>
          <t>Algorithms</t>
        </is>
      </c>
      <c r="O8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899" ht="15.75" customHeight="1" s="12">
      <c r="A899" s="1" t="n">
        <v>2461</v>
      </c>
      <c r="B899" s="3">
        <f>HYPERLINK("https://leetcode.com/problems/maximum-sum-of-distinct-subarrays-with-length-k/", "Maximum Sum of Distinct Subarrays With Length K")</f>
        <v/>
      </c>
      <c r="C899" s="1" t="n">
        <v>2256</v>
      </c>
      <c r="D899" s="1" t="n">
        <v>48</v>
      </c>
      <c r="E899" s="4">
        <f>IF(INDEX(C:C, ROW())+INDEX(D:D, ROW())=0, 0, INDEX(C:C, ROW())/(INDEX(C:C, ROW())+INDEX(D:D, ROW())))</f>
        <v/>
      </c>
      <c r="F899" s="1" t="inlineStr">
        <is>
          <t>Array, Hash Table, Sliding Window</t>
        </is>
      </c>
      <c r="G899" s="1" t="inlineStr">
        <is>
          <t>Medium</t>
        </is>
      </c>
      <c r="H899" s="1" t="n">
        <v>245543</v>
      </c>
      <c r="I899" s="1" t="n">
        <v>574441</v>
      </c>
      <c r="J899" s="9" t="n">
        <v>0.427</v>
      </c>
      <c r="K899" s="1" t="inlineStr">
        <is>
          <t>Yes</t>
        </is>
      </c>
      <c r="L899" s="1" t="inlineStr">
        <is>
          <t>Yes</t>
        </is>
      </c>
      <c r="M899" s="1" t="inlineStr">
        <is>
          <t>No</t>
        </is>
      </c>
      <c r="N899" s="1" t="inlineStr">
        <is>
          <t>Algorithms</t>
        </is>
      </c>
      <c r="O8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00" ht="15.75" customHeight="1" s="12">
      <c r="A900" s="1" t="n">
        <v>2225</v>
      </c>
      <c r="B900" s="3">
        <f>HYPERLINK("https://leetcode.com/problems/find-players-with-zero-or-one-losses/", "Find Players With Zero or One Losses")</f>
        <v/>
      </c>
      <c r="C900" s="1" t="n">
        <v>2252</v>
      </c>
      <c r="D900" s="1" t="n">
        <v>158</v>
      </c>
      <c r="E900" s="4">
        <f>IF(INDEX(C:C, ROW())+INDEX(D:D, ROW())=0, 0, INDEX(C:C, ROW())/(INDEX(C:C, ROW())+INDEX(D:D, ROW())))</f>
        <v/>
      </c>
      <c r="F900" s="1" t="inlineStr">
        <is>
          <t>Array, Hash Table, Sorting, Counting</t>
        </is>
      </c>
      <c r="G900" s="1" t="inlineStr">
        <is>
          <t>Medium</t>
        </is>
      </c>
      <c r="H900" s="1" t="n">
        <v>306007</v>
      </c>
      <c r="I900" s="1" t="n">
        <v>422320</v>
      </c>
      <c r="J900" s="9" t="n">
        <v>0.725</v>
      </c>
      <c r="K900" s="1" t="inlineStr">
        <is>
          <t>Yes</t>
        </is>
      </c>
      <c r="L900" s="1" t="inlineStr">
        <is>
          <t>Yes</t>
        </is>
      </c>
      <c r="M900" s="1" t="inlineStr">
        <is>
          <t>No</t>
        </is>
      </c>
      <c r="N900" s="1" t="inlineStr">
        <is>
          <t>Algorithms</t>
        </is>
      </c>
      <c r="O9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01" ht="15.75" customHeight="1" s="12">
      <c r="A901" s="1" t="n">
        <v>731</v>
      </c>
      <c r="B901" s="3">
        <f>HYPERLINK("https://leetcode.com/problems/my-calendar-ii/", "My Calendar II")</f>
        <v/>
      </c>
      <c r="C901" s="1" t="n">
        <v>2249</v>
      </c>
      <c r="D901" s="1" t="n">
        <v>186</v>
      </c>
      <c r="E901" s="4">
        <f>IF(INDEX(C:C, ROW())+INDEX(D:D, ROW())=0, 0, INDEX(C:C, ROW())/(INDEX(C:C, ROW())+INDEX(D:D, ROW())))</f>
        <v/>
      </c>
      <c r="F901" s="1" t="inlineStr">
        <is>
          <t>Array, Binary Search, Design, Segment Tree, Prefix Sum, Ordered Set</t>
        </is>
      </c>
      <c r="G901" s="1" t="inlineStr">
        <is>
          <t>Medium</t>
        </is>
      </c>
      <c r="H901" s="1" t="n">
        <v>207229</v>
      </c>
      <c r="I901" s="1" t="n">
        <v>330500</v>
      </c>
      <c r="J901" s="9" t="n">
        <v>0.627</v>
      </c>
      <c r="K901" s="1" t="inlineStr">
        <is>
          <t>Yes</t>
        </is>
      </c>
      <c r="L901" s="1" t="inlineStr">
        <is>
          <t>Yes</t>
        </is>
      </c>
      <c r="M901" s="1" t="inlineStr">
        <is>
          <t>No</t>
        </is>
      </c>
      <c r="N901" s="1" t="inlineStr">
        <is>
          <t>Algorithms</t>
        </is>
      </c>
      <c r="O9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02" ht="15.75" customHeight="1" s="12">
      <c r="A902" s="1" t="n">
        <v>1833</v>
      </c>
      <c r="B902" s="3">
        <f>HYPERLINK("https://leetcode.com/problems/maximum-ice-cream-bars/", "Maximum Ice Cream Bars")</f>
        <v/>
      </c>
      <c r="C902" s="1" t="n">
        <v>2248</v>
      </c>
      <c r="D902" s="1" t="n">
        <v>679</v>
      </c>
      <c r="E902" s="4">
        <f>IF(INDEX(C:C, ROW())+INDEX(D:D, ROW())=0, 0, INDEX(C:C, ROW())/(INDEX(C:C, ROW())+INDEX(D:D, ROW())))</f>
        <v/>
      </c>
      <c r="F902" s="1" t="inlineStr">
        <is>
          <t>Array, Greedy, Sorting, Counting Sort</t>
        </is>
      </c>
      <c r="G902" s="1" t="inlineStr">
        <is>
          <t>Medium</t>
        </is>
      </c>
      <c r="H902" s="1" t="n">
        <v>185435</v>
      </c>
      <c r="I902" s="1" t="n">
        <v>250083</v>
      </c>
      <c r="J902" s="9" t="n">
        <v>0.741</v>
      </c>
      <c r="K902" s="1" t="inlineStr">
        <is>
          <t>Yes</t>
        </is>
      </c>
      <c r="L902" s="1" t="inlineStr">
        <is>
          <t>Yes</t>
        </is>
      </c>
      <c r="M902" s="1" t="inlineStr">
        <is>
          <t>No</t>
        </is>
      </c>
      <c r="N902" s="1" t="inlineStr">
        <is>
          <t>Algorithms</t>
        </is>
      </c>
      <c r="O9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03" ht="15.75" customHeight="1" s="12">
      <c r="A903" s="1" t="n">
        <v>1518</v>
      </c>
      <c r="B903" s="3">
        <f>HYPERLINK("https://leetcode.com/problems/water-bottles/", "Water Bottles")</f>
        <v/>
      </c>
      <c r="C903" s="1" t="n">
        <v>2247</v>
      </c>
      <c r="D903" s="1" t="n">
        <v>178</v>
      </c>
      <c r="E903" s="4">
        <f>IF(INDEX(C:C, ROW())+INDEX(D:D, ROW())=0, 0, INDEX(C:C, ROW())/(INDEX(C:C, ROW())+INDEX(D:D, ROW())))</f>
        <v/>
      </c>
      <c r="F903" s="1" t="inlineStr">
        <is>
          <t>Math, Simulation</t>
        </is>
      </c>
      <c r="G903" s="1" t="inlineStr">
        <is>
          <t>Easy</t>
        </is>
      </c>
      <c r="H903" s="1" t="n">
        <v>426339</v>
      </c>
      <c r="I903" s="1" t="n">
        <v>587223</v>
      </c>
      <c r="J903" s="9" t="n">
        <v>0.726</v>
      </c>
      <c r="K903" s="1" t="inlineStr">
        <is>
          <t>Yes</t>
        </is>
      </c>
      <c r="L903" s="1" t="inlineStr">
        <is>
          <t>Yes</t>
        </is>
      </c>
      <c r="M903" s="1" t="inlineStr">
        <is>
          <t>No</t>
        </is>
      </c>
      <c r="N903" s="1" t="inlineStr">
        <is>
          <t>Algorithms</t>
        </is>
      </c>
      <c r="O9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04" ht="15.75" customHeight="1" s="12">
      <c r="A904" s="1" t="n">
        <v>888</v>
      </c>
      <c r="B904" s="3">
        <f>HYPERLINK("https://leetcode.com/problems/fair-candy-swap/", "Fair Candy Swap")</f>
        <v/>
      </c>
      <c r="C904" s="1" t="n">
        <v>2246</v>
      </c>
      <c r="D904" s="1" t="n">
        <v>420</v>
      </c>
      <c r="E904" s="4">
        <f>IF(INDEX(C:C, ROW())+INDEX(D:D, ROW())=0, 0, INDEX(C:C, ROW())/(INDEX(C:C, ROW())+INDEX(D:D, ROW())))</f>
        <v/>
      </c>
      <c r="F904" s="1" t="inlineStr">
        <is>
          <t>Array, Hash Table, Binary Search, Sorting</t>
        </is>
      </c>
      <c r="G904" s="1" t="inlineStr">
        <is>
          <t>Easy</t>
        </is>
      </c>
      <c r="H904" s="1" t="n">
        <v>163339</v>
      </c>
      <c r="I904" s="1" t="n">
        <v>253892</v>
      </c>
      <c r="J904" s="9" t="n">
        <v>0.643</v>
      </c>
      <c r="K904" s="1" t="inlineStr">
        <is>
          <t>Yes</t>
        </is>
      </c>
      <c r="L904" s="1" t="inlineStr">
        <is>
          <t>Yes</t>
        </is>
      </c>
      <c r="M904" s="1" t="inlineStr">
        <is>
          <t>No</t>
        </is>
      </c>
      <c r="N904" s="1" t="inlineStr">
        <is>
          <t>Algorithms</t>
        </is>
      </c>
      <c r="O9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05" ht="15.75" customHeight="1" s="12">
      <c r="A905" s="1" t="n">
        <v>1669</v>
      </c>
      <c r="B905" s="3">
        <f>HYPERLINK("https://leetcode.com/problems/merge-in-between-linked-lists/", "Merge In Between Linked Lists")</f>
        <v/>
      </c>
      <c r="C905" s="1" t="n">
        <v>2246</v>
      </c>
      <c r="D905" s="1" t="n">
        <v>227</v>
      </c>
      <c r="E905" s="4">
        <f>IF(INDEX(C:C, ROW())+INDEX(D:D, ROW())=0, 0, INDEX(C:C, ROW())/(INDEX(C:C, ROW())+INDEX(D:D, ROW())))</f>
        <v/>
      </c>
      <c r="F905" s="1" t="inlineStr">
        <is>
          <t>Linked List</t>
        </is>
      </c>
      <c r="G905" s="1" t="inlineStr">
        <is>
          <t>Medium</t>
        </is>
      </c>
      <c r="H905" s="1" t="n">
        <v>269006</v>
      </c>
      <c r="I905" s="1" t="n">
        <v>324827</v>
      </c>
      <c r="J905" s="9" t="n">
        <v>0.828</v>
      </c>
      <c r="K905" s="1" t="inlineStr">
        <is>
          <t>Yes</t>
        </is>
      </c>
      <c r="L905" s="1" t="inlineStr">
        <is>
          <t>Yes</t>
        </is>
      </c>
      <c r="M905" s="1" t="inlineStr">
        <is>
          <t>No</t>
        </is>
      </c>
      <c r="N905" s="1" t="inlineStr">
        <is>
          <t>Algorithms</t>
        </is>
      </c>
      <c r="O9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06" ht="15.75" customHeight="1" s="12">
      <c r="A906" s="1" t="n">
        <v>1160</v>
      </c>
      <c r="B906" s="3">
        <f>HYPERLINK("https://leetcode.com/problems/find-words-that-can-be-formed-by-characters/", "Find Words That Can Be Formed by Characters")</f>
        <v/>
      </c>
      <c r="C906" s="1" t="n">
        <v>2243</v>
      </c>
      <c r="D906" s="1" t="n">
        <v>189</v>
      </c>
      <c r="E906" s="4">
        <f>IF(INDEX(C:C, ROW())+INDEX(D:D, ROW())=0, 0, INDEX(C:C, ROW())/(INDEX(C:C, ROW())+INDEX(D:D, ROW())))</f>
        <v/>
      </c>
      <c r="F906" s="1" t="inlineStr">
        <is>
          <t>Array, Hash Table, String, Counting</t>
        </is>
      </c>
      <c r="G906" s="1" t="inlineStr">
        <is>
          <t>Easy</t>
        </is>
      </c>
      <c r="H906" s="1" t="n">
        <v>323149</v>
      </c>
      <c r="I906" s="1" t="n">
        <v>452552</v>
      </c>
      <c r="J906" s="9" t="n">
        <v>0.714</v>
      </c>
      <c r="K906" s="1" t="inlineStr">
        <is>
          <t>Yes</t>
        </is>
      </c>
      <c r="L906" s="1" t="inlineStr">
        <is>
          <t>Yes</t>
        </is>
      </c>
      <c r="M906" s="1" t="inlineStr">
        <is>
          <t>No</t>
        </is>
      </c>
      <c r="N906" s="1" t="inlineStr">
        <is>
          <t>Algorithms</t>
        </is>
      </c>
      <c r="O9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07" ht="15.75" customHeight="1" s="12">
      <c r="A907" s="1" t="n">
        <v>1361</v>
      </c>
      <c r="B907" s="3">
        <f>HYPERLINK("https://leetcode.com/problems/validate-binary-tree-nodes/", "Validate Binary Tree Nodes")</f>
        <v/>
      </c>
      <c r="C907" s="1" t="n">
        <v>2243</v>
      </c>
      <c r="D907" s="1" t="n">
        <v>523</v>
      </c>
      <c r="E907" s="4">
        <f>IF(INDEX(C:C, ROW())+INDEX(D:D, ROW())=0, 0, INDEX(C:C, ROW())/(INDEX(C:C, ROW())+INDEX(D:D, ROW())))</f>
        <v/>
      </c>
      <c r="F907" s="1" t="inlineStr">
        <is>
          <t>Tree, Depth-First Search, Breadth-First Search, Union-Find, Graph Theory, Binary Tree</t>
        </is>
      </c>
      <c r="G907" s="1" t="inlineStr">
        <is>
          <t>Medium</t>
        </is>
      </c>
      <c r="H907" s="1" t="n">
        <v>133005</v>
      </c>
      <c r="I907" s="1" t="n">
        <v>302103</v>
      </c>
      <c r="J907" s="9" t="n">
        <v>0.44</v>
      </c>
      <c r="K907" s="1" t="inlineStr">
        <is>
          <t>Yes</t>
        </is>
      </c>
      <c r="L907" s="1" t="inlineStr">
        <is>
          <t>Yes</t>
        </is>
      </c>
      <c r="M907" s="1" t="inlineStr">
        <is>
          <t>No</t>
        </is>
      </c>
      <c r="N907" s="1" t="inlineStr">
        <is>
          <t>Algorithms</t>
        </is>
      </c>
      <c r="O9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08" ht="15.75" customHeight="1" s="12">
      <c r="A908" s="1" t="n">
        <v>2316</v>
      </c>
      <c r="B908" s="3">
        <f>HYPERLINK("https://leetcode.com/problems/count-unreachable-pairs-of-nodes-in-an-undirected-graph/", "Count Unreachable Pairs of Nodes in an Undirected Graph")</f>
        <v/>
      </c>
      <c r="C908" s="1" t="n">
        <v>2241</v>
      </c>
      <c r="D908" s="1" t="n">
        <v>55</v>
      </c>
      <c r="E908" s="4">
        <f>IF(INDEX(C:C, ROW())+INDEX(D:D, ROW())=0, 0, INDEX(C:C, ROW())/(INDEX(C:C, ROW())+INDEX(D:D, ROW())))</f>
        <v/>
      </c>
      <c r="F908" s="1" t="inlineStr">
        <is>
          <t>Depth-First Search, Breadth-First Search, Union-Find, Graph Theory</t>
        </is>
      </c>
      <c r="G908" s="1" t="inlineStr">
        <is>
          <t>Medium</t>
        </is>
      </c>
      <c r="H908" s="1" t="n">
        <v>115980</v>
      </c>
      <c r="I908" s="1" t="n">
        <v>233205</v>
      </c>
      <c r="J908" s="9" t="n">
        <v>0.497</v>
      </c>
      <c r="K908" s="1" t="inlineStr">
        <is>
          <t>Yes</t>
        </is>
      </c>
      <c r="L908" s="1" t="inlineStr">
        <is>
          <t>Yes</t>
        </is>
      </c>
      <c r="M908" s="1" t="inlineStr">
        <is>
          <t>No</t>
        </is>
      </c>
      <c r="N908" s="1" t="inlineStr">
        <is>
          <t>Algorithms</t>
        </is>
      </c>
      <c r="O9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09" ht="15.75" customHeight="1" s="12">
      <c r="A909" s="1" t="n">
        <v>828</v>
      </c>
      <c r="B909" s="3">
        <f>HYPERLINK("https://leetcode.com/problems/count-unique-characters-of-all-substrings-of-a-given-string/", "Count Unique Characters of All Substrings of a Given String")</f>
        <v/>
      </c>
      <c r="C909" s="1" t="n">
        <v>2240</v>
      </c>
      <c r="D909" s="1" t="n">
        <v>256</v>
      </c>
      <c r="E909" s="4">
        <f>IF(INDEX(C:C, ROW())+INDEX(D:D, ROW())=0, 0, INDEX(C:C, ROW())/(INDEX(C:C, ROW())+INDEX(D:D, ROW())))</f>
        <v/>
      </c>
      <c r="F909" s="1" t="inlineStr">
        <is>
          <t>Hash Table, String, Dynamic Programming</t>
        </is>
      </c>
      <c r="G909" s="1" t="inlineStr">
        <is>
          <t>Hard</t>
        </is>
      </c>
      <c r="H909" s="1" t="n">
        <v>82614</v>
      </c>
      <c r="I909" s="1" t="n">
        <v>154725</v>
      </c>
      <c r="J909" s="9" t="n">
        <v>0.534</v>
      </c>
      <c r="K909" s="1" t="inlineStr">
        <is>
          <t>Yes</t>
        </is>
      </c>
      <c r="L909" s="1" t="inlineStr">
        <is>
          <t>Yes</t>
        </is>
      </c>
      <c r="M909" s="1" t="inlineStr">
        <is>
          <t>No</t>
        </is>
      </c>
      <c r="N909" s="1" t="inlineStr">
        <is>
          <t>Algorithms</t>
        </is>
      </c>
      <c r="O9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10" ht="15.75" customHeight="1" s="12">
      <c r="A910" s="1" t="n">
        <v>1425</v>
      </c>
      <c r="B910" s="3">
        <f>HYPERLINK("https://leetcode.com/problems/constrained-subsequence-sum/", "Constrained Subsequence Sum")</f>
        <v/>
      </c>
      <c r="C910" s="1" t="n">
        <v>2228</v>
      </c>
      <c r="D910" s="1" t="n">
        <v>108</v>
      </c>
      <c r="E910" s="4">
        <f>IF(INDEX(C:C, ROW())+INDEX(D:D, ROW())=0, 0, INDEX(C:C, ROW())/(INDEX(C:C, ROW())+INDEX(D:D, ROW())))</f>
        <v/>
      </c>
      <c r="F910" s="1" t="inlineStr">
        <is>
          <t>Array, Dynamic Programming, Queue, Sliding Window, Heap (Priority Queue), Monotonic Queue</t>
        </is>
      </c>
      <c r="G910" s="1" t="inlineStr">
        <is>
          <t>Hard</t>
        </is>
      </c>
      <c r="H910" s="1" t="n">
        <v>90007</v>
      </c>
      <c r="I910" s="1" t="n">
        <v>159668</v>
      </c>
      <c r="J910" s="9" t="n">
        <v>0.5639999999999999</v>
      </c>
      <c r="K910" s="1" t="inlineStr">
        <is>
          <t>Yes</t>
        </is>
      </c>
      <c r="L910" s="1" t="inlineStr">
        <is>
          <t>Yes</t>
        </is>
      </c>
      <c r="M910" s="1" t="inlineStr">
        <is>
          <t>No</t>
        </is>
      </c>
      <c r="N910" s="1" t="inlineStr">
        <is>
          <t>Algorithms</t>
        </is>
      </c>
      <c r="O9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11" ht="15.75" customHeight="1" s="12">
      <c r="A911" s="1" t="n">
        <v>2125</v>
      </c>
      <c r="B911" s="3">
        <f>HYPERLINK("https://leetcode.com/problems/number-of-laser-beams-in-a-bank/", "Number of Laser Beams in a Bank")</f>
        <v/>
      </c>
      <c r="C911" s="1" t="n">
        <v>2219</v>
      </c>
      <c r="D911" s="1" t="n">
        <v>223</v>
      </c>
      <c r="E911" s="4">
        <f>IF(INDEX(C:C, ROW())+INDEX(D:D, ROW())=0, 0, INDEX(C:C, ROW())/(INDEX(C:C, ROW())+INDEX(D:D, ROW())))</f>
        <v/>
      </c>
      <c r="F911" s="1" t="inlineStr">
        <is>
          <t>Array, Math, String, Matrix</t>
        </is>
      </c>
      <c r="G911" s="1" t="inlineStr">
        <is>
          <t>Medium</t>
        </is>
      </c>
      <c r="H911" s="1" t="n">
        <v>343099</v>
      </c>
      <c r="I911" s="1" t="n">
        <v>394269</v>
      </c>
      <c r="J911" s="9" t="n">
        <v>0.87</v>
      </c>
      <c r="K911" s="1" t="inlineStr">
        <is>
          <t>Yes</t>
        </is>
      </c>
      <c r="L911" s="1" t="inlineStr">
        <is>
          <t>Yes</t>
        </is>
      </c>
      <c r="M911" s="1" t="inlineStr">
        <is>
          <t>No</t>
        </is>
      </c>
      <c r="N911" s="1" t="inlineStr">
        <is>
          <t>Algorithms</t>
        </is>
      </c>
      <c r="O9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12" ht="15.75" customHeight="1" s="12">
      <c r="A912" s="1" t="n">
        <v>432</v>
      </c>
      <c r="B912" s="3">
        <f>HYPERLINK("https://leetcode.com/problems/all-oone-data-structure/", "All O`one Data Structure")</f>
        <v/>
      </c>
      <c r="C912" s="1" t="n">
        <v>2212</v>
      </c>
      <c r="D912" s="1" t="n">
        <v>223</v>
      </c>
      <c r="E912" s="4">
        <f>IF(INDEX(C:C, ROW())+INDEX(D:D, ROW())=0, 0, INDEX(C:C, ROW())/(INDEX(C:C, ROW())+INDEX(D:D, ROW())))</f>
        <v/>
      </c>
      <c r="F912" s="1" t="inlineStr">
        <is>
          <t>Hash Table, Linked List, Design, Doubly-Linked List</t>
        </is>
      </c>
      <c r="G912" s="1" t="inlineStr">
        <is>
          <t>Hard</t>
        </is>
      </c>
      <c r="H912" s="1" t="n">
        <v>197926</v>
      </c>
      <c r="I912" s="1" t="n">
        <v>448543</v>
      </c>
      <c r="J912" s="9" t="n">
        <v>0.441</v>
      </c>
      <c r="K912" s="1" t="inlineStr">
        <is>
          <t>Yes</t>
        </is>
      </c>
      <c r="L912" s="1" t="inlineStr">
        <is>
          <t>Yes</t>
        </is>
      </c>
      <c r="M912" s="1" t="inlineStr">
        <is>
          <t>No</t>
        </is>
      </c>
      <c r="N912" s="1" t="inlineStr">
        <is>
          <t>Algorithms</t>
        </is>
      </c>
      <c r="O9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13" ht="15.75" customHeight="1" s="12">
      <c r="A913" s="1" t="n">
        <v>2466</v>
      </c>
      <c r="B913" s="3">
        <f>HYPERLINK("https://leetcode.com/problems/count-ways-to-build-good-strings/", "Count Ways To Build Good Strings")</f>
        <v/>
      </c>
      <c r="C913" s="1" t="n">
        <v>2211</v>
      </c>
      <c r="D913" s="1" t="n">
        <v>211</v>
      </c>
      <c r="E913" s="4">
        <f>IF(INDEX(C:C, ROW())+INDEX(D:D, ROW())=0, 0, INDEX(C:C, ROW())/(INDEX(C:C, ROW())+INDEX(D:D, ROW())))</f>
        <v/>
      </c>
      <c r="F913" s="1" t="inlineStr">
        <is>
          <t>Dynamic Programming</t>
        </is>
      </c>
      <c r="G913" s="1" t="inlineStr">
        <is>
          <t>Medium</t>
        </is>
      </c>
      <c r="H913" s="1" t="n">
        <v>178057</v>
      </c>
      <c r="I913" s="1" t="n">
        <v>301837</v>
      </c>
      <c r="J913" s="9" t="n">
        <v>0.59</v>
      </c>
      <c r="K913" s="1" t="inlineStr">
        <is>
          <t>Yes</t>
        </is>
      </c>
      <c r="L913" s="1" t="inlineStr">
        <is>
          <t>Yes</t>
        </is>
      </c>
      <c r="M913" s="1" t="inlineStr">
        <is>
          <t>No</t>
        </is>
      </c>
      <c r="N913" s="1" t="inlineStr">
        <is>
          <t>Algorithms</t>
        </is>
      </c>
      <c r="O9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14" ht="15.75" customHeight="1" s="12">
      <c r="A914" s="1" t="n">
        <v>690</v>
      </c>
      <c r="B914" s="3">
        <f>HYPERLINK("https://leetcode.com/problems/employee-importance/", "Employee Importance")</f>
        <v/>
      </c>
      <c r="C914" s="1" t="n">
        <v>2200</v>
      </c>
      <c r="D914" s="1" t="n">
        <v>1358</v>
      </c>
      <c r="E914" s="4">
        <f>IF(INDEX(C:C, ROW())+INDEX(D:D, ROW())=0, 0, INDEX(C:C, ROW())/(INDEX(C:C, ROW())+INDEX(D:D, ROW())))</f>
        <v/>
      </c>
      <c r="F914" s="1" t="inlineStr">
        <is>
          <t>Array, Hash Table, Tree, Depth-First Search, Breadth-First Search</t>
        </is>
      </c>
      <c r="G914" s="1" t="inlineStr">
        <is>
          <t>Medium</t>
        </is>
      </c>
      <c r="H914" s="1" t="n">
        <v>247879</v>
      </c>
      <c r="I914" s="1" t="n">
        <v>358311</v>
      </c>
      <c r="J914" s="9" t="n">
        <v>0.6919999999999999</v>
      </c>
      <c r="K914" s="1" t="inlineStr">
        <is>
          <t>Yes</t>
        </is>
      </c>
      <c r="L914" s="1" t="inlineStr">
        <is>
          <t>Yes</t>
        </is>
      </c>
      <c r="M914" s="1" t="inlineStr">
        <is>
          <t>No</t>
        </is>
      </c>
      <c r="N914" s="1" t="inlineStr">
        <is>
          <t>Algorithms</t>
        </is>
      </c>
      <c r="O9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15" ht="15.75" customHeight="1" s="12">
      <c r="A915" s="1" t="n">
        <v>813</v>
      </c>
      <c r="B915" s="3">
        <f>HYPERLINK("https://leetcode.com/problems/largest-sum-of-averages/", "Largest Sum of Averages")</f>
        <v/>
      </c>
      <c r="C915" s="1" t="n">
        <v>2194</v>
      </c>
      <c r="D915" s="1" t="n">
        <v>104</v>
      </c>
      <c r="E915" s="4">
        <f>IF(INDEX(C:C, ROW())+INDEX(D:D, ROW())=0, 0, INDEX(C:C, ROW())/(INDEX(C:C, ROW())+INDEX(D:D, ROW())))</f>
        <v/>
      </c>
      <c r="F915" s="1" t="inlineStr">
        <is>
          <t>Array, Dynamic Programming, Prefix Sum</t>
        </is>
      </c>
      <c r="G915" s="1" t="inlineStr">
        <is>
          <t>Medium</t>
        </is>
      </c>
      <c r="H915" s="1" t="n">
        <v>65216</v>
      </c>
      <c r="I915" s="1" t="n">
        <v>119238</v>
      </c>
      <c r="J915" s="9" t="n">
        <v>0.547</v>
      </c>
      <c r="K915" s="1" t="inlineStr">
        <is>
          <t>Yes</t>
        </is>
      </c>
      <c r="L915" s="1" t="inlineStr">
        <is>
          <t>Yes</t>
        </is>
      </c>
      <c r="M915" s="1" t="inlineStr">
        <is>
          <t>No</t>
        </is>
      </c>
      <c r="N915" s="1" t="inlineStr">
        <is>
          <t>Algorithms</t>
        </is>
      </c>
      <c r="O9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16" ht="15.75" customHeight="1" s="12">
      <c r="A916" s="1" t="n">
        <v>1605</v>
      </c>
      <c r="B916" s="3">
        <f>HYPERLINK("https://leetcode.com/problems/find-valid-matrix-given-row-and-column-sums/", "Find Valid Matrix Given Row and Column Sums")</f>
        <v/>
      </c>
      <c r="C916" s="1" t="n">
        <v>2192</v>
      </c>
      <c r="D916" s="1" t="n">
        <v>98</v>
      </c>
      <c r="E916" s="4">
        <f>IF(INDEX(C:C, ROW())+INDEX(D:D, ROW())=0, 0, INDEX(C:C, ROW())/(INDEX(C:C, ROW())+INDEX(D:D, ROW())))</f>
        <v/>
      </c>
      <c r="F916" s="1" t="inlineStr">
        <is>
          <t>Array, Greedy, Matrix</t>
        </is>
      </c>
      <c r="G916" s="1" t="inlineStr">
        <is>
          <t>Medium</t>
        </is>
      </c>
      <c r="H916" s="1" t="n">
        <v>159902</v>
      </c>
      <c r="I916" s="1" t="n">
        <v>193324</v>
      </c>
      <c r="J916" s="9" t="n">
        <v>0.827</v>
      </c>
      <c r="K916" s="1" t="inlineStr">
        <is>
          <t>Yes</t>
        </is>
      </c>
      <c r="L916" s="1" t="inlineStr">
        <is>
          <t>Yes</t>
        </is>
      </c>
      <c r="M916" s="1" t="inlineStr">
        <is>
          <t>No</t>
        </is>
      </c>
      <c r="N916" s="1" t="inlineStr">
        <is>
          <t>Algorithms</t>
        </is>
      </c>
      <c r="O9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17" ht="15.75" customHeight="1" s="12">
      <c r="A917" s="1" t="n">
        <v>1148</v>
      </c>
      <c r="B917" s="3">
        <f>HYPERLINK("https://leetcode.com/problems/article-views-i/", "Article Views I")</f>
        <v/>
      </c>
      <c r="C917" s="1" t="n">
        <v>2190</v>
      </c>
      <c r="D917" s="1" t="n">
        <v>133</v>
      </c>
      <c r="E917" s="4">
        <f>IF(INDEX(C:C, ROW())+INDEX(D:D, ROW())=0, 0, INDEX(C:C, ROW())/(INDEX(C:C, ROW())+INDEX(D:D, ROW())))</f>
        <v/>
      </c>
      <c r="F917" s="1" t="inlineStr">
        <is>
          <t>Database</t>
        </is>
      </c>
      <c r="G917" s="1" t="inlineStr">
        <is>
          <t>Easy</t>
        </is>
      </c>
      <c r="H917" s="1" t="n">
        <v>1514736</v>
      </c>
      <c r="I917" s="1" t="n">
        <v>1972568</v>
      </c>
      <c r="J917" s="9" t="n">
        <v>0.768</v>
      </c>
      <c r="K917" s="1" t="inlineStr">
        <is>
          <t>Yes</t>
        </is>
      </c>
      <c r="L917" s="1" t="inlineStr">
        <is>
          <t>Yes</t>
        </is>
      </c>
      <c r="M917" s="1" t="inlineStr">
        <is>
          <t>No</t>
        </is>
      </c>
      <c r="N917" s="1" t="inlineStr">
        <is>
          <t>Database</t>
        </is>
      </c>
      <c r="O9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18" ht="15.75" customHeight="1" s="12">
      <c r="A918" s="1" t="n">
        <v>937</v>
      </c>
      <c r="B918" s="3">
        <f>HYPERLINK("https://leetcode.com/problems/reorder-data-in-log-files/", "Reorder Data in Log Files")</f>
        <v/>
      </c>
      <c r="C918" s="1" t="n">
        <v>2188</v>
      </c>
      <c r="D918" s="1" t="n">
        <v>4418</v>
      </c>
      <c r="E918" s="4">
        <f>IF(INDEX(C:C, ROW())+INDEX(D:D, ROW())=0, 0, INDEX(C:C, ROW())/(INDEX(C:C, ROW())+INDEX(D:D, ROW())))</f>
        <v/>
      </c>
      <c r="F918" s="1" t="inlineStr">
        <is>
          <t>Array, String, Sorting</t>
        </is>
      </c>
      <c r="G918" s="1" t="inlineStr">
        <is>
          <t>Medium</t>
        </is>
      </c>
      <c r="H918" s="1" t="n">
        <v>406980</v>
      </c>
      <c r="I918" s="1" t="n">
        <v>715493</v>
      </c>
      <c r="J918" s="9" t="n">
        <v>0.569</v>
      </c>
      <c r="K918" s="1" t="inlineStr">
        <is>
          <t>Yes</t>
        </is>
      </c>
      <c r="L918" s="1" t="inlineStr">
        <is>
          <t>Yes</t>
        </is>
      </c>
      <c r="M918" s="1" t="inlineStr">
        <is>
          <t>No</t>
        </is>
      </c>
      <c r="N918" s="1" t="inlineStr">
        <is>
          <t>Algorithms</t>
        </is>
      </c>
      <c r="O9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19" ht="15.75" customHeight="1" s="12">
      <c r="A919" s="1" t="n">
        <v>1685</v>
      </c>
      <c r="B919" s="3">
        <f>HYPERLINK("https://leetcode.com/problems/sum-of-absolute-differences-in-a-sorted-array/", "Sum of Absolute Differences in a Sorted Array")</f>
        <v/>
      </c>
      <c r="C919" s="1" t="n">
        <v>2184</v>
      </c>
      <c r="D919" s="1" t="n">
        <v>82</v>
      </c>
      <c r="E919" s="4">
        <f>IF(INDEX(C:C, ROW())+INDEX(D:D, ROW())=0, 0, INDEX(C:C, ROW())/(INDEX(C:C, ROW())+INDEX(D:D, ROW())))</f>
        <v/>
      </c>
      <c r="F919" s="1" t="inlineStr">
        <is>
          <t>Array, Math, Prefix Sum</t>
        </is>
      </c>
      <c r="G919" s="1" t="inlineStr">
        <is>
          <t>Medium</t>
        </is>
      </c>
      <c r="H919" s="1" t="n">
        <v>128747</v>
      </c>
      <c r="I919" s="1" t="n">
        <v>189053</v>
      </c>
      <c r="J919" s="9" t="n">
        <v>0.681</v>
      </c>
      <c r="K919" s="1" t="inlineStr">
        <is>
          <t>Yes</t>
        </is>
      </c>
      <c r="L919" s="1" t="inlineStr">
        <is>
          <t>Yes</t>
        </is>
      </c>
      <c r="M919" s="1" t="inlineStr">
        <is>
          <t>No</t>
        </is>
      </c>
      <c r="N919" s="1" t="inlineStr">
        <is>
          <t>Algorithms</t>
        </is>
      </c>
      <c r="O9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20" ht="15.75" customHeight="1" s="12">
      <c r="A920" s="1" t="n">
        <v>1422</v>
      </c>
      <c r="B920" s="3">
        <f>HYPERLINK("https://leetcode.com/problems/maximum-score-after-splitting-a-string/", "Maximum Score After Splitting a String")</f>
        <v/>
      </c>
      <c r="C920" s="1" t="n">
        <v>2181</v>
      </c>
      <c r="D920" s="1" t="n">
        <v>91</v>
      </c>
      <c r="E920" s="4">
        <f>IF(INDEX(C:C, ROW())+INDEX(D:D, ROW())=0, 0, INDEX(C:C, ROW())/(INDEX(C:C, ROW())+INDEX(D:D, ROW())))</f>
        <v/>
      </c>
      <c r="F920" s="1" t="inlineStr">
        <is>
          <t>String, Prefix Sum</t>
        </is>
      </c>
      <c r="G920" s="1" t="inlineStr">
        <is>
          <t>Easy</t>
        </is>
      </c>
      <c r="H920" s="1" t="n">
        <v>367359</v>
      </c>
      <c r="I920" s="1" t="n">
        <v>564392</v>
      </c>
      <c r="J920" s="9" t="n">
        <v>0.651</v>
      </c>
      <c r="K920" s="1" t="inlineStr">
        <is>
          <t>Yes</t>
        </is>
      </c>
      <c r="L920" s="1" t="inlineStr">
        <is>
          <t>Yes</t>
        </is>
      </c>
      <c r="M920" s="1" t="inlineStr">
        <is>
          <t>No</t>
        </is>
      </c>
      <c r="N920" s="1" t="inlineStr">
        <is>
          <t>Algorithms</t>
        </is>
      </c>
      <c r="O9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21" ht="15.75" customHeight="1" s="12">
      <c r="A921" s="1" t="n">
        <v>642</v>
      </c>
      <c r="B921" s="3">
        <f>HYPERLINK("https://leetcode.com/problems/design-search-autocomplete-system/", "Design Search Autocomplete System")</f>
        <v/>
      </c>
      <c r="C921" s="1" t="n">
        <v>2176</v>
      </c>
      <c r="D921" s="1" t="n">
        <v>198</v>
      </c>
      <c r="E921" s="4">
        <f>IF(INDEX(C:C, ROW())+INDEX(D:D, ROW())=0, 0, INDEX(C:C, ROW())/(INDEX(C:C, ROW())+INDEX(D:D, ROW())))</f>
        <v/>
      </c>
      <c r="F921" s="1" t="inlineStr">
        <is>
          <t>String, Depth-First Search, Design, Trie, Sorting, Heap (Priority Queue), Data Stream</t>
        </is>
      </c>
      <c r="G921" s="1" t="inlineStr">
        <is>
          <t>Hard</t>
        </is>
      </c>
      <c r="H921" s="1" t="n">
        <v>163408</v>
      </c>
      <c r="I921" s="1" t="n">
        <v>329017</v>
      </c>
      <c r="J921" s="9" t="n">
        <v>0.497</v>
      </c>
      <c r="K921" s="1" t="inlineStr">
        <is>
          <t>No</t>
        </is>
      </c>
      <c r="L921" s="1" t="inlineStr">
        <is>
          <t>Yes</t>
        </is>
      </c>
      <c r="M921" s="1" t="inlineStr">
        <is>
          <t>No</t>
        </is>
      </c>
      <c r="N921" s="1" t="inlineStr">
        <is>
          <t>Algorithms</t>
        </is>
      </c>
      <c r="O9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22" ht="15.75" customHeight="1" s="12">
      <c r="A922" s="1" t="n">
        <v>1653</v>
      </c>
      <c r="B922" s="3">
        <f>HYPERLINK("https://leetcode.com/problems/minimum-deletions-to-make-string-balanced/", "Minimum Deletions to Make String Balanced")</f>
        <v/>
      </c>
      <c r="C922" s="1" t="n">
        <v>2172</v>
      </c>
      <c r="D922" s="1" t="n">
        <v>69</v>
      </c>
      <c r="E922" s="4">
        <f>IF(INDEX(C:C, ROW())+INDEX(D:D, ROW())=0, 0, INDEX(C:C, ROW())/(INDEX(C:C, ROW())+INDEX(D:D, ROW())))</f>
        <v/>
      </c>
      <c r="F922" s="1" t="inlineStr">
        <is>
          <t>String, Dynamic Programming, Stack</t>
        </is>
      </c>
      <c r="G922" s="1" t="inlineStr">
        <is>
          <t>Medium</t>
        </is>
      </c>
      <c r="H922" s="1" t="n">
        <v>178502</v>
      </c>
      <c r="I922" s="1" t="n">
        <v>272151</v>
      </c>
      <c r="J922" s="9" t="n">
        <v>0.656</v>
      </c>
      <c r="K922" s="1" t="inlineStr">
        <is>
          <t>Yes</t>
        </is>
      </c>
      <c r="L922" s="1" t="inlineStr">
        <is>
          <t>Yes</t>
        </is>
      </c>
      <c r="M922" s="1" t="inlineStr">
        <is>
          <t>No</t>
        </is>
      </c>
      <c r="N922" s="1" t="inlineStr">
        <is>
          <t>Algorithms</t>
        </is>
      </c>
      <c r="O9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23" ht="15.75" customHeight="1" s="12">
      <c r="A923" s="1" t="n">
        <v>1673</v>
      </c>
      <c r="B923" s="3">
        <f>HYPERLINK("https://leetcode.com/problems/find-the-most-competitive-subsequence/", "Find the Most Competitive Subsequence")</f>
        <v/>
      </c>
      <c r="C923" s="1" t="n">
        <v>2171</v>
      </c>
      <c r="D923" s="1" t="n">
        <v>105</v>
      </c>
      <c r="E923" s="4">
        <f>IF(INDEX(C:C, ROW())+INDEX(D:D, ROW())=0, 0, INDEX(C:C, ROW())/(INDEX(C:C, ROW())+INDEX(D:D, ROW())))</f>
        <v/>
      </c>
      <c r="F923" s="1" t="inlineStr">
        <is>
          <t>Array, Stack, Greedy, Monotonic Stack</t>
        </is>
      </c>
      <c r="G923" s="1" t="inlineStr">
        <is>
          <t>Medium</t>
        </is>
      </c>
      <c r="H923" s="1" t="n">
        <v>81060</v>
      </c>
      <c r="I923" s="1" t="n">
        <v>154289</v>
      </c>
      <c r="J923" s="9" t="n">
        <v>0.525</v>
      </c>
      <c r="K923" s="1" t="inlineStr">
        <is>
          <t>Yes</t>
        </is>
      </c>
      <c r="L923" s="1" t="inlineStr">
        <is>
          <t>Yes</t>
        </is>
      </c>
      <c r="M923" s="1" t="inlineStr">
        <is>
          <t>No</t>
        </is>
      </c>
      <c r="N923" s="1" t="inlineStr">
        <is>
          <t>Algorithms</t>
        </is>
      </c>
      <c r="O9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24" ht="15.75" customHeight="1" s="12">
      <c r="A924" s="1" t="n">
        <v>348</v>
      </c>
      <c r="B924" s="3">
        <f>HYPERLINK("https://leetcode.com/problems/design-tic-tac-toe/", "Design Tic-Tac-Toe")</f>
        <v/>
      </c>
      <c r="C924" s="1" t="n">
        <v>2165</v>
      </c>
      <c r="D924" s="1" t="n">
        <v>120</v>
      </c>
      <c r="E924" s="4">
        <f>IF(INDEX(C:C, ROW())+INDEX(D:D, ROW())=0, 0, INDEX(C:C, ROW())/(INDEX(C:C, ROW())+INDEX(D:D, ROW())))</f>
        <v/>
      </c>
      <c r="F924" s="1" t="inlineStr">
        <is>
          <t>Array, Hash Table, Design, Matrix, Simulation</t>
        </is>
      </c>
      <c r="G924" s="1" t="inlineStr">
        <is>
          <t>Medium</t>
        </is>
      </c>
      <c r="H924" s="1" t="n">
        <v>309193</v>
      </c>
      <c r="I924" s="1" t="n">
        <v>526566</v>
      </c>
      <c r="J924" s="9" t="n">
        <v>0.587</v>
      </c>
      <c r="K924" s="1" t="inlineStr">
        <is>
          <t>No</t>
        </is>
      </c>
      <c r="L924" s="1" t="inlineStr">
        <is>
          <t>Yes</t>
        </is>
      </c>
      <c r="M924" s="1" t="inlineStr">
        <is>
          <t>No</t>
        </is>
      </c>
      <c r="N924" s="1" t="inlineStr">
        <is>
          <t>Algorithms</t>
        </is>
      </c>
      <c r="O9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25" ht="15.75" customHeight="1" s="12">
      <c r="A925" s="1" t="n">
        <v>1352</v>
      </c>
      <c r="B925" s="3">
        <f>HYPERLINK("https://leetcode.com/problems/product-of-the-last-k-numbers/", "Product of the Last K Numbers")</f>
        <v/>
      </c>
      <c r="C925" s="1" t="n">
        <v>2144</v>
      </c>
      <c r="D925" s="1" t="n">
        <v>107</v>
      </c>
      <c r="E925" s="4">
        <f>IF(INDEX(C:C, ROW())+INDEX(D:D, ROW())=0, 0, INDEX(C:C, ROW())/(INDEX(C:C, ROW())+INDEX(D:D, ROW())))</f>
        <v/>
      </c>
      <c r="F925" s="1" t="inlineStr">
        <is>
          <t>Array, Math, Design, Data Stream, Prefix Sum</t>
        </is>
      </c>
      <c r="G925" s="1" t="inlineStr">
        <is>
          <t>Medium</t>
        </is>
      </c>
      <c r="H925" s="1" t="n">
        <v>257619</v>
      </c>
      <c r="I925" s="1" t="n">
        <v>409870</v>
      </c>
      <c r="J925" s="9" t="n">
        <v>0.629</v>
      </c>
      <c r="K925" s="1" t="inlineStr">
        <is>
          <t>Yes</t>
        </is>
      </c>
      <c r="L925" s="1" t="inlineStr">
        <is>
          <t>Yes</t>
        </is>
      </c>
      <c r="M925" s="1" t="inlineStr">
        <is>
          <t>No</t>
        </is>
      </c>
      <c r="N925" s="1" t="inlineStr">
        <is>
          <t>Algorithms</t>
        </is>
      </c>
      <c r="O9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26" ht="15.75" customHeight="1" s="12">
      <c r="A926" s="1" t="n">
        <v>1458</v>
      </c>
      <c r="B926" s="3">
        <f>HYPERLINK("https://leetcode.com/problems/max-dot-product-of-two-subsequences/", "Max Dot Product of Two Subsequences")</f>
        <v/>
      </c>
      <c r="C926" s="1" t="n">
        <v>2143</v>
      </c>
      <c r="D926" s="1" t="n">
        <v>51</v>
      </c>
      <c r="E926" s="4">
        <f>IF(INDEX(C:C, ROW())+INDEX(D:D, ROW())=0, 0, INDEX(C:C, ROW())/(INDEX(C:C, ROW())+INDEX(D:D, ROW())))</f>
        <v/>
      </c>
      <c r="F926" s="1" t="inlineStr">
        <is>
          <t>Array, Dynamic Programming</t>
        </is>
      </c>
      <c r="G926" s="1" t="inlineStr">
        <is>
          <t>Hard</t>
        </is>
      </c>
      <c r="H926" s="1" t="n">
        <v>180525</v>
      </c>
      <c r="I926" s="1" t="n">
        <v>260526</v>
      </c>
      <c r="J926" s="9" t="n">
        <v>0.6929999999999999</v>
      </c>
      <c r="K926" s="1" t="inlineStr">
        <is>
          <t>Yes</t>
        </is>
      </c>
      <c r="L926" s="1" t="inlineStr">
        <is>
          <t>Yes</t>
        </is>
      </c>
      <c r="M926" s="1" t="inlineStr">
        <is>
          <t>No</t>
        </is>
      </c>
      <c r="N926" s="1" t="inlineStr">
        <is>
          <t>Algorithms</t>
        </is>
      </c>
      <c r="O9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27" ht="15.75" customHeight="1" s="12">
      <c r="A927" s="1" t="n">
        <v>506</v>
      </c>
      <c r="B927" s="3">
        <f>HYPERLINK("https://leetcode.com/problems/relative-ranks/", "Relative Ranks")</f>
        <v/>
      </c>
      <c r="C927" s="1" t="n">
        <v>2140</v>
      </c>
      <c r="D927" s="1" t="n">
        <v>150</v>
      </c>
      <c r="E927" s="4">
        <f>IF(INDEX(C:C, ROW())+INDEX(D:D, ROW())=0, 0, INDEX(C:C, ROW())/(INDEX(C:C, ROW())+INDEX(D:D, ROW())))</f>
        <v/>
      </c>
      <c r="F927" s="1" t="inlineStr">
        <is>
          <t>Array, Sorting, Heap (Priority Queue)</t>
        </is>
      </c>
      <c r="G927" s="1" t="inlineStr">
        <is>
          <t>Easy</t>
        </is>
      </c>
      <c r="H927" s="1" t="n">
        <v>394376</v>
      </c>
      <c r="I927" s="1" t="n">
        <v>531307</v>
      </c>
      <c r="J927" s="9" t="n">
        <v>0.742</v>
      </c>
      <c r="K927" s="1" t="inlineStr">
        <is>
          <t>Yes</t>
        </is>
      </c>
      <c r="L927" s="1" t="inlineStr">
        <is>
          <t>Yes</t>
        </is>
      </c>
      <c r="M927" s="1" t="inlineStr">
        <is>
          <t>No</t>
        </is>
      </c>
      <c r="N927" s="1" t="inlineStr">
        <is>
          <t>Algorithms</t>
        </is>
      </c>
      <c r="O9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28" ht="15.75" customHeight="1" s="12">
      <c r="A928" s="1" t="n">
        <v>223</v>
      </c>
      <c r="B928" s="3">
        <f>HYPERLINK("https://leetcode.com/problems/rectangle-area/", "Rectangle Area")</f>
        <v/>
      </c>
      <c r="C928" s="1" t="n">
        <v>2138</v>
      </c>
      <c r="D928" s="1" t="n">
        <v>1665</v>
      </c>
      <c r="E928" s="4">
        <f>IF(INDEX(C:C, ROW())+INDEX(D:D, ROW())=0, 0, INDEX(C:C, ROW())/(INDEX(C:C, ROW())+INDEX(D:D, ROW())))</f>
        <v/>
      </c>
      <c r="F928" s="1" t="inlineStr">
        <is>
          <t>Math, Geometry</t>
        </is>
      </c>
      <c r="G928" s="1" t="inlineStr">
        <is>
          <t>Medium</t>
        </is>
      </c>
      <c r="H928" s="1" t="n">
        <v>274097</v>
      </c>
      <c r="I928" s="1" t="n">
        <v>562288</v>
      </c>
      <c r="J928" s="9" t="n">
        <v>0.487</v>
      </c>
      <c r="K928" s="1" t="inlineStr">
        <is>
          <t>Yes</t>
        </is>
      </c>
      <c r="L928" s="1" t="inlineStr">
        <is>
          <t>Yes</t>
        </is>
      </c>
      <c r="M928" s="1" t="inlineStr">
        <is>
          <t>No</t>
        </is>
      </c>
      <c r="N928" s="1" t="inlineStr">
        <is>
          <t>Algorithms</t>
        </is>
      </c>
      <c r="O9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29" ht="15.75" customHeight="1" s="12">
      <c r="A929" s="1" t="n">
        <v>1488</v>
      </c>
      <c r="B929" s="3">
        <f>HYPERLINK("https://leetcode.com/problems/avoid-flood-in-the-city/", "Avoid Flood in The City")</f>
        <v/>
      </c>
      <c r="C929" s="1" t="n">
        <v>2135</v>
      </c>
      <c r="D929" s="1" t="n">
        <v>609</v>
      </c>
      <c r="E929" s="4">
        <f>IF(INDEX(C:C, ROW())+INDEX(D:D, ROW())=0, 0, INDEX(C:C, ROW())/(INDEX(C:C, ROW())+INDEX(D:D, ROW())))</f>
        <v/>
      </c>
      <c r="F929" s="1" t="inlineStr">
        <is>
          <t>Array, Hash Table, Binary Search, Greedy, Heap (Priority Queue)</t>
        </is>
      </c>
      <c r="G929" s="1" t="inlineStr">
        <is>
          <t>Medium</t>
        </is>
      </c>
      <c r="H929" s="1" t="n">
        <v>130625</v>
      </c>
      <c r="I929" s="1" t="n">
        <v>335287</v>
      </c>
      <c r="J929" s="9" t="n">
        <v>0.39</v>
      </c>
      <c r="K929" s="1" t="inlineStr">
        <is>
          <t>Yes</t>
        </is>
      </c>
      <c r="L929" s="1" t="inlineStr">
        <is>
          <t>Yes</t>
        </is>
      </c>
      <c r="M929" s="1" t="inlineStr">
        <is>
          <t>No</t>
        </is>
      </c>
      <c r="N929" s="1" t="inlineStr">
        <is>
          <t>Algorithms</t>
        </is>
      </c>
      <c r="O9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30" ht="15.75" customHeight="1" s="12">
      <c r="A930" s="1" t="n">
        <v>985</v>
      </c>
      <c r="B930" s="3">
        <f>HYPERLINK("https://leetcode.com/problems/sum-of-even-numbers-after-queries/", "Sum of Even Numbers After Queries")</f>
        <v/>
      </c>
      <c r="C930" s="1" t="n">
        <v>2132</v>
      </c>
      <c r="D930" s="1" t="n">
        <v>323</v>
      </c>
      <c r="E930" s="4">
        <f>IF(INDEX(C:C, ROW())+INDEX(D:D, ROW())=0, 0, INDEX(C:C, ROW())/(INDEX(C:C, ROW())+INDEX(D:D, ROW())))</f>
        <v/>
      </c>
      <c r="F930" s="1" t="inlineStr">
        <is>
          <t>Array, Simulation</t>
        </is>
      </c>
      <c r="G930" s="1" t="inlineStr">
        <is>
          <t>Medium</t>
        </is>
      </c>
      <c r="H930" s="1" t="n">
        <v>153342</v>
      </c>
      <c r="I930" s="1" t="n">
        <v>223116</v>
      </c>
      <c r="J930" s="9" t="n">
        <v>0.6870000000000001</v>
      </c>
      <c r="K930" s="1" t="inlineStr">
        <is>
          <t>Yes</t>
        </is>
      </c>
      <c r="L930" s="1" t="inlineStr">
        <is>
          <t>Yes</t>
        </is>
      </c>
      <c r="M930" s="1" t="inlineStr">
        <is>
          <t>No</t>
        </is>
      </c>
      <c r="N930" s="1" t="inlineStr">
        <is>
          <t>Algorithms</t>
        </is>
      </c>
      <c r="O9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31" ht="15.75" customHeight="1" s="12">
      <c r="A931" s="1" t="n">
        <v>1944</v>
      </c>
      <c r="B931" s="3">
        <f>HYPERLINK("https://leetcode.com/problems/number-of-visible-people-in-a-queue/", "Number of Visible People in a Queue")</f>
        <v/>
      </c>
      <c r="C931" s="1" t="n">
        <v>2126</v>
      </c>
      <c r="D931" s="1" t="n">
        <v>65</v>
      </c>
      <c r="E931" s="4">
        <f>IF(INDEX(C:C, ROW())+INDEX(D:D, ROW())=0, 0, INDEX(C:C, ROW())/(INDEX(C:C, ROW())+INDEX(D:D, ROW())))</f>
        <v/>
      </c>
      <c r="F931" s="1" t="inlineStr">
        <is>
          <t>Array, Stack, Monotonic Stack</t>
        </is>
      </c>
      <c r="G931" s="1" t="inlineStr">
        <is>
          <t>Hard</t>
        </is>
      </c>
      <c r="H931" s="1" t="n">
        <v>110984</v>
      </c>
      <c r="I931" s="1" t="n">
        <v>153746</v>
      </c>
      <c r="J931" s="9" t="n">
        <v>0.722</v>
      </c>
      <c r="K931" s="1" t="inlineStr">
        <is>
          <t>Yes</t>
        </is>
      </c>
      <c r="L931" s="1" t="inlineStr">
        <is>
          <t>No</t>
        </is>
      </c>
      <c r="M931" s="1" t="inlineStr">
        <is>
          <t>No</t>
        </is>
      </c>
      <c r="N931" s="1" t="inlineStr">
        <is>
          <t>Algorithms</t>
        </is>
      </c>
      <c r="O9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32" ht="15.75" customHeight="1" s="12">
      <c r="A932" s="1" t="n">
        <v>362</v>
      </c>
      <c r="B932" s="3">
        <f>HYPERLINK("https://leetcode.com/problems/design-hit-counter/", "Design Hit Counter")</f>
        <v/>
      </c>
      <c r="C932" s="1" t="n">
        <v>2125</v>
      </c>
      <c r="D932" s="1" t="n">
        <v>253</v>
      </c>
      <c r="E932" s="4">
        <f>IF(INDEX(C:C, ROW())+INDEX(D:D, ROW())=0, 0, INDEX(C:C, ROW())/(INDEX(C:C, ROW())+INDEX(D:D, ROW())))</f>
        <v/>
      </c>
      <c r="F932" s="1" t="inlineStr">
        <is>
          <t>Array, Binary Search, Design, Queue, Data Stream</t>
        </is>
      </c>
      <c r="G932" s="1" t="inlineStr">
        <is>
          <t>Medium</t>
        </is>
      </c>
      <c r="H932" s="1" t="n">
        <v>315589</v>
      </c>
      <c r="I932" s="1" t="n">
        <v>454668</v>
      </c>
      <c r="J932" s="9" t="n">
        <v>0.694</v>
      </c>
      <c r="K932" s="1" t="inlineStr">
        <is>
          <t>No</t>
        </is>
      </c>
      <c r="L932" s="1" t="inlineStr">
        <is>
          <t>Yes</t>
        </is>
      </c>
      <c r="M932" s="1" t="inlineStr">
        <is>
          <t>No</t>
        </is>
      </c>
      <c r="N932" s="1" t="inlineStr">
        <is>
          <t>Algorithms</t>
        </is>
      </c>
      <c r="O9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33" ht="15.75" customHeight="1" s="12">
      <c r="A933" s="1" t="n">
        <v>1473</v>
      </c>
      <c r="B933" s="3">
        <f>HYPERLINK("https://leetcode.com/problems/paint-house-iii/", "Paint House III")</f>
        <v/>
      </c>
      <c r="C933" s="1" t="n">
        <v>2125</v>
      </c>
      <c r="D933" s="1" t="n">
        <v>156</v>
      </c>
      <c r="E933" s="4">
        <f>IF(INDEX(C:C, ROW())+INDEX(D:D, ROW())=0, 0, INDEX(C:C, ROW())/(INDEX(C:C, ROW())+INDEX(D:D, ROW())))</f>
        <v/>
      </c>
      <c r="F933" s="1" t="inlineStr">
        <is>
          <t>Array, Dynamic Programming</t>
        </is>
      </c>
      <c r="G933" s="1" t="inlineStr">
        <is>
          <t>Hard</t>
        </is>
      </c>
      <c r="H933" s="1" t="n">
        <v>71134</v>
      </c>
      <c r="I933" s="1" t="n">
        <v>116361</v>
      </c>
      <c r="J933" s="9" t="n">
        <v>0.611</v>
      </c>
      <c r="K933" s="1" t="inlineStr">
        <is>
          <t>Yes</t>
        </is>
      </c>
      <c r="L933" s="1" t="inlineStr">
        <is>
          <t>Yes</t>
        </is>
      </c>
      <c r="M933" s="1" t="inlineStr">
        <is>
          <t>No</t>
        </is>
      </c>
      <c r="N933" s="1" t="inlineStr">
        <is>
          <t>Algorithms</t>
        </is>
      </c>
      <c r="O9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34" ht="15.75" customHeight="1" s="12">
      <c r="A934" s="1" t="n">
        <v>786</v>
      </c>
      <c r="B934" s="3">
        <f>HYPERLINK("https://leetcode.com/problems/k-th-smallest-prime-fraction/", "K-th Smallest Prime Fraction")</f>
        <v/>
      </c>
      <c r="C934" s="1" t="n">
        <v>2124</v>
      </c>
      <c r="D934" s="1" t="n">
        <v>121</v>
      </c>
      <c r="E934" s="4">
        <f>IF(INDEX(C:C, ROW())+INDEX(D:D, ROW())=0, 0, INDEX(C:C, ROW())/(INDEX(C:C, ROW())+INDEX(D:D, ROW())))</f>
        <v/>
      </c>
      <c r="F934" s="1" t="inlineStr">
        <is>
          <t>Array, Two Pointers, Binary Search, Sorting, Heap (Priority Queue)</t>
        </is>
      </c>
      <c r="G934" s="1" t="inlineStr">
        <is>
          <t>Medium</t>
        </is>
      </c>
      <c r="H934" s="1" t="n">
        <v>168903</v>
      </c>
      <c r="I934" s="1" t="n">
        <v>245144</v>
      </c>
      <c r="J934" s="9" t="n">
        <v>0.6889999999999999</v>
      </c>
      <c r="K934" s="1" t="inlineStr">
        <is>
          <t>Yes</t>
        </is>
      </c>
      <c r="L934" s="1" t="inlineStr">
        <is>
          <t>Yes</t>
        </is>
      </c>
      <c r="M934" s="1" t="inlineStr">
        <is>
          <t>No</t>
        </is>
      </c>
      <c r="N934" s="1" t="inlineStr">
        <is>
          <t>Algorithms</t>
        </is>
      </c>
      <c r="O9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35" ht="15.75" customHeight="1" s="12">
      <c r="A935" s="1" t="n">
        <v>1318</v>
      </c>
      <c r="B935" s="3">
        <f>HYPERLINK("https://leetcode.com/problems/minimum-flips-to-make-a-or-b-equal-to-c/", "Minimum Flips to Make a OR b Equal to c")</f>
        <v/>
      </c>
      <c r="C935" s="1" t="n">
        <v>2124</v>
      </c>
      <c r="D935" s="1" t="n">
        <v>111</v>
      </c>
      <c r="E935" s="4">
        <f>IF(INDEX(C:C, ROW())+INDEX(D:D, ROW())=0, 0, INDEX(C:C, ROW())/(INDEX(C:C, ROW())+INDEX(D:D, ROW())))</f>
        <v/>
      </c>
      <c r="F935" s="1" t="inlineStr">
        <is>
          <t>Bit Manipulation</t>
        </is>
      </c>
      <c r="G935" s="1" t="inlineStr">
        <is>
          <t>Medium</t>
        </is>
      </c>
      <c r="H935" s="1" t="n">
        <v>189983</v>
      </c>
      <c r="I935" s="1" t="n">
        <v>264244</v>
      </c>
      <c r="J935" s="9" t="n">
        <v>0.719</v>
      </c>
      <c r="K935" s="1" t="inlineStr">
        <is>
          <t>Yes</t>
        </is>
      </c>
      <c r="L935" s="1" t="inlineStr">
        <is>
          <t>Yes</t>
        </is>
      </c>
      <c r="M935" s="1" t="inlineStr">
        <is>
          <t>No</t>
        </is>
      </c>
      <c r="N935" s="1" t="inlineStr">
        <is>
          <t>Algorithms</t>
        </is>
      </c>
      <c r="O9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36" ht="15.75" customHeight="1" s="12">
      <c r="A936" s="1" t="n">
        <v>325</v>
      </c>
      <c r="B936" s="3">
        <f>HYPERLINK("https://leetcode.com/problems/maximum-size-subarray-sum-equals-k/", "Maximum Size Subarray Sum Equals k")</f>
        <v/>
      </c>
      <c r="C936" s="1" t="n">
        <v>2122</v>
      </c>
      <c r="D936" s="1" t="n">
        <v>66</v>
      </c>
      <c r="E936" s="4">
        <f>IF(INDEX(C:C, ROW())+INDEX(D:D, ROW())=0, 0, INDEX(C:C, ROW())/(INDEX(C:C, ROW())+INDEX(D:D, ROW())))</f>
        <v/>
      </c>
      <c r="F936" s="1" t="inlineStr">
        <is>
          <t>Array, Hash Table, Prefix Sum</t>
        </is>
      </c>
      <c r="G936" s="1" t="inlineStr">
        <is>
          <t>Medium</t>
        </is>
      </c>
      <c r="H936" s="1" t="n">
        <v>218414</v>
      </c>
      <c r="I936" s="1" t="n">
        <v>430210</v>
      </c>
      <c r="J936" s="9" t="n">
        <v>0.508</v>
      </c>
      <c r="K936" s="1" t="inlineStr">
        <is>
          <t>No</t>
        </is>
      </c>
      <c r="L936" s="1" t="inlineStr">
        <is>
          <t>Yes</t>
        </is>
      </c>
      <c r="M936" s="1" t="inlineStr">
        <is>
          <t>No</t>
        </is>
      </c>
      <c r="N936" s="1" t="inlineStr">
        <is>
          <t>Algorithms</t>
        </is>
      </c>
      <c r="O9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37" ht="15.75" customHeight="1" s="12">
      <c r="A937" s="1" t="n">
        <v>1526</v>
      </c>
      <c r="B937" s="3">
        <f>HYPERLINK("https://leetcode.com/problems/minimum-number-of-increments-on-subarrays-to-form-a-target-array/", "Minimum Number of Increments on Subarrays to Form a Target Array")</f>
        <v/>
      </c>
      <c r="C937" s="1" t="n">
        <v>2122</v>
      </c>
      <c r="D937" s="1" t="n">
        <v>108</v>
      </c>
      <c r="E937" s="4">
        <f>IF(INDEX(C:C, ROW())+INDEX(D:D, ROW())=0, 0, INDEX(C:C, ROW())/(INDEX(C:C, ROW())+INDEX(D:D, ROW())))</f>
        <v/>
      </c>
      <c r="F937" s="1" t="inlineStr">
        <is>
          <t>Array, Dynamic Programming, Stack, Greedy, Monotonic Stack</t>
        </is>
      </c>
      <c r="G937" s="1" t="inlineStr">
        <is>
          <t>Hard</t>
        </is>
      </c>
      <c r="H937" s="1" t="n">
        <v>150216</v>
      </c>
      <c r="I937" s="1" t="n">
        <v>192369</v>
      </c>
      <c r="J937" s="9" t="n">
        <v>0.781</v>
      </c>
      <c r="K937" s="1" t="inlineStr">
        <is>
          <t>Yes</t>
        </is>
      </c>
      <c r="L937" s="1" t="inlineStr">
        <is>
          <t>Yes</t>
        </is>
      </c>
      <c r="M937" s="1" t="inlineStr">
        <is>
          <t>No</t>
        </is>
      </c>
      <c r="N937" s="1" t="inlineStr">
        <is>
          <t>Algorithms</t>
        </is>
      </c>
      <c r="O9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38" ht="15.75" customHeight="1" s="12">
      <c r="A938" s="1" t="n">
        <v>535</v>
      </c>
      <c r="B938" s="3">
        <f>HYPERLINK("https://leetcode.com/problems/encode-and-decode-tinyurl/", "Encode and Decode TinyURL")</f>
        <v/>
      </c>
      <c r="C938" s="1" t="n">
        <v>2119</v>
      </c>
      <c r="D938" s="1" t="n">
        <v>3816</v>
      </c>
      <c r="E938" s="4">
        <f>IF(INDEX(C:C, ROW())+INDEX(D:D, ROW())=0, 0, INDEX(C:C, ROW())/(INDEX(C:C, ROW())+INDEX(D:D, ROW())))</f>
        <v/>
      </c>
      <c r="F938" s="1" t="inlineStr">
        <is>
          <t>Hash Table, String, Design, Hash Function</t>
        </is>
      </c>
      <c r="G938" s="1" t="inlineStr">
        <is>
          <t>Medium</t>
        </is>
      </c>
      <c r="H938" s="1" t="n">
        <v>302572</v>
      </c>
      <c r="I938" s="1" t="n">
        <v>349557</v>
      </c>
      <c r="J938" s="9" t="n">
        <v>0.866</v>
      </c>
      <c r="K938" s="1" t="inlineStr">
        <is>
          <t>Yes</t>
        </is>
      </c>
      <c r="L938" s="1" t="inlineStr">
        <is>
          <t>Yes</t>
        </is>
      </c>
      <c r="M938" s="1" t="inlineStr">
        <is>
          <t>No</t>
        </is>
      </c>
      <c r="N938" s="1" t="inlineStr">
        <is>
          <t>Algorithms</t>
        </is>
      </c>
      <c r="O9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39" ht="15.75" customHeight="1" s="12">
      <c r="A939" s="1" t="n">
        <v>781</v>
      </c>
      <c r="B939" s="3">
        <f>HYPERLINK("https://leetcode.com/problems/rabbits-in-forest/", "Rabbits in Forest")</f>
        <v/>
      </c>
      <c r="C939" s="1" t="n">
        <v>2119</v>
      </c>
      <c r="D939" s="1" t="n">
        <v>986</v>
      </c>
      <c r="E939" s="4">
        <f>IF(INDEX(C:C, ROW())+INDEX(D:D, ROW())=0, 0, INDEX(C:C, ROW())/(INDEX(C:C, ROW())+INDEX(D:D, ROW())))</f>
        <v/>
      </c>
      <c r="F939" s="1" t="inlineStr">
        <is>
          <t>Array, Hash Table, Math, Greedy</t>
        </is>
      </c>
      <c r="G939" s="1" t="inlineStr">
        <is>
          <t>Medium</t>
        </is>
      </c>
      <c r="H939" s="1" t="n">
        <v>183300</v>
      </c>
      <c r="I939" s="1" t="n">
        <v>315735</v>
      </c>
      <c r="J939" s="9" t="n">
        <v>0.581</v>
      </c>
      <c r="K939" s="1" t="inlineStr">
        <is>
          <t>Yes</t>
        </is>
      </c>
      <c r="L939" s="1" t="inlineStr">
        <is>
          <t>Yes</t>
        </is>
      </c>
      <c r="M939" s="1" t="inlineStr">
        <is>
          <t>No</t>
        </is>
      </c>
      <c r="N939" s="1" t="inlineStr">
        <is>
          <t>Algorithms</t>
        </is>
      </c>
      <c r="O9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40" ht="15.75" customHeight="1" s="12">
      <c r="A940" s="1" t="n">
        <v>1525</v>
      </c>
      <c r="B940" s="3">
        <f>HYPERLINK("https://leetcode.com/problems/number-of-good-ways-to-split-a-string/", "Number of Good Ways to Split a String")</f>
        <v/>
      </c>
      <c r="C940" s="1" t="n">
        <v>2114</v>
      </c>
      <c r="D940" s="1" t="n">
        <v>54</v>
      </c>
      <c r="E940" s="4">
        <f>IF(INDEX(C:C, ROW())+INDEX(D:D, ROW())=0, 0, INDEX(C:C, ROW())/(INDEX(C:C, ROW())+INDEX(D:D, ROW())))</f>
        <v/>
      </c>
      <c r="F940" s="1" t="inlineStr">
        <is>
          <t>Hash Table, String, Dynamic Programming, Bit Manipulation</t>
        </is>
      </c>
      <c r="G940" s="1" t="inlineStr">
        <is>
          <t>Medium</t>
        </is>
      </c>
      <c r="H940" s="1" t="n">
        <v>122405</v>
      </c>
      <c r="I940" s="1" t="n">
        <v>178890</v>
      </c>
      <c r="J940" s="9" t="n">
        <v>0.6840000000000001</v>
      </c>
      <c r="K940" s="1" t="inlineStr">
        <is>
          <t>Yes</t>
        </is>
      </c>
      <c r="L940" s="1" t="inlineStr">
        <is>
          <t>No</t>
        </is>
      </c>
      <c r="M940" s="1" t="inlineStr">
        <is>
          <t>No</t>
        </is>
      </c>
      <c r="N940" s="1" t="inlineStr">
        <is>
          <t>Algorithms</t>
        </is>
      </c>
      <c r="O9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41" ht="15.75" customHeight="1" s="12">
      <c r="A941" s="1" t="n">
        <v>252</v>
      </c>
      <c r="B941" s="3">
        <f>HYPERLINK("https://leetcode.com/problems/meeting-rooms/", "Meeting Rooms")</f>
        <v/>
      </c>
      <c r="C941" s="1" t="n">
        <v>2111</v>
      </c>
      <c r="D941" s="1" t="n">
        <v>115</v>
      </c>
      <c r="E941" s="4">
        <f>IF(INDEX(C:C, ROW())+INDEX(D:D, ROW())=0, 0, INDEX(C:C, ROW())/(INDEX(C:C, ROW())+INDEX(D:D, ROW())))</f>
        <v/>
      </c>
      <c r="F941" s="1" t="inlineStr">
        <is>
          <t>Array, Sorting</t>
        </is>
      </c>
      <c r="G941" s="1" t="inlineStr">
        <is>
          <t>Easy</t>
        </is>
      </c>
      <c r="H941" s="1" t="n">
        <v>502986</v>
      </c>
      <c r="I941" s="1" t="n">
        <v>848799</v>
      </c>
      <c r="J941" s="9" t="n">
        <v>0.593</v>
      </c>
      <c r="K941" s="1" t="inlineStr">
        <is>
          <t>No</t>
        </is>
      </c>
      <c r="L941" s="1" t="inlineStr">
        <is>
          <t>Yes</t>
        </is>
      </c>
      <c r="M941" s="1" t="inlineStr">
        <is>
          <t>Yes</t>
        </is>
      </c>
      <c r="N941" s="1" t="inlineStr">
        <is>
          <t>Algorithms</t>
        </is>
      </c>
      <c r="O9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42" ht="15.75" customHeight="1" s="12">
      <c r="A942" s="1" t="n">
        <v>2389</v>
      </c>
      <c r="B942" s="3">
        <f>HYPERLINK("https://leetcode.com/problems/longest-subsequence-with-limited-sum/", "Longest Subsequence With Limited Sum")</f>
        <v/>
      </c>
      <c r="C942" s="1" t="n">
        <v>2111</v>
      </c>
      <c r="D942" s="1" t="n">
        <v>197</v>
      </c>
      <c r="E942" s="4">
        <f>IF(INDEX(C:C, ROW())+INDEX(D:D, ROW())=0, 0, INDEX(C:C, ROW())/(INDEX(C:C, ROW())+INDEX(D:D, ROW())))</f>
        <v/>
      </c>
      <c r="F942" s="1" t="inlineStr">
        <is>
          <t>Array, Binary Search, Greedy, Sorting, Prefix Sum</t>
        </is>
      </c>
      <c r="G942" s="1" t="inlineStr">
        <is>
          <t>Easy</t>
        </is>
      </c>
      <c r="H942" s="1" t="n">
        <v>158164</v>
      </c>
      <c r="I942" s="1" t="n">
        <v>215618</v>
      </c>
      <c r="J942" s="9" t="n">
        <v>0.734</v>
      </c>
      <c r="K942" s="1" t="inlineStr">
        <is>
          <t>Yes</t>
        </is>
      </c>
      <c r="L942" s="1" t="inlineStr">
        <is>
          <t>Yes</t>
        </is>
      </c>
      <c r="M942" s="1" t="inlineStr">
        <is>
          <t>No</t>
        </is>
      </c>
      <c r="N942" s="1" t="inlineStr">
        <is>
          <t>Algorithms</t>
        </is>
      </c>
      <c r="O9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43" ht="15.75" customHeight="1" s="12">
      <c r="A943" s="1" t="n">
        <v>321</v>
      </c>
      <c r="B943" s="3">
        <f>HYPERLINK("https://leetcode.com/problems/create-maximum-number/", "Create Maximum Number")</f>
        <v/>
      </c>
      <c r="C943" s="1" t="n">
        <v>2108</v>
      </c>
      <c r="D943" s="1" t="n">
        <v>374</v>
      </c>
      <c r="E943" s="4">
        <f>IF(INDEX(C:C, ROW())+INDEX(D:D, ROW())=0, 0, INDEX(C:C, ROW())/(INDEX(C:C, ROW())+INDEX(D:D, ROW())))</f>
        <v/>
      </c>
      <c r="F943" s="1" t="inlineStr">
        <is>
          <t>Array, Two Pointers, Stack, Greedy, Monotonic Stack</t>
        </is>
      </c>
      <c r="G943" s="1" t="inlineStr">
        <is>
          <t>Hard</t>
        </is>
      </c>
      <c r="H943" s="1" t="n">
        <v>81431</v>
      </c>
      <c r="I943" s="1" t="n">
        <v>237294</v>
      </c>
      <c r="J943" s="9" t="n">
        <v>0.343</v>
      </c>
      <c r="K943" s="1" t="inlineStr">
        <is>
          <t>Yes</t>
        </is>
      </c>
      <c r="L943" s="1" t="inlineStr">
        <is>
          <t>No</t>
        </is>
      </c>
      <c r="M943" s="1" t="inlineStr">
        <is>
          <t>No</t>
        </is>
      </c>
      <c r="N943" s="1" t="inlineStr">
        <is>
          <t>Algorithms</t>
        </is>
      </c>
      <c r="O9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44" ht="15.75" customHeight="1" s="12">
      <c r="A944" s="1" t="n">
        <v>975</v>
      </c>
      <c r="B944" s="3">
        <f>HYPERLINK("https://leetcode.com/problems/odd-even-jump/", "Odd Even Jump")</f>
        <v/>
      </c>
      <c r="C944" s="1" t="n">
        <v>2108</v>
      </c>
      <c r="D944" s="1" t="n">
        <v>531</v>
      </c>
      <c r="E944" s="4">
        <f>IF(INDEX(C:C, ROW())+INDEX(D:D, ROW())=0, 0, INDEX(C:C, ROW())/(INDEX(C:C, ROW())+INDEX(D:D, ROW())))</f>
        <v/>
      </c>
      <c r="F944" s="1" t="inlineStr">
        <is>
          <t>Array, Dynamic Programming, Stack, Sorting, Monotonic Stack, Ordered Set</t>
        </is>
      </c>
      <c r="G944" s="1" t="inlineStr">
        <is>
          <t>Hard</t>
        </is>
      </c>
      <c r="H944" s="1" t="n">
        <v>102088</v>
      </c>
      <c r="I944" s="1" t="n">
        <v>248904</v>
      </c>
      <c r="J944" s="9" t="n">
        <v>0.41</v>
      </c>
      <c r="K944" s="1" t="inlineStr">
        <is>
          <t>Yes</t>
        </is>
      </c>
      <c r="L944" s="1" t="inlineStr">
        <is>
          <t>Yes</t>
        </is>
      </c>
      <c r="M944" s="1" t="inlineStr">
        <is>
          <t>No</t>
        </is>
      </c>
      <c r="N944" s="1" t="inlineStr">
        <is>
          <t>Algorithms</t>
        </is>
      </c>
      <c r="O9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45" ht="15.75" customHeight="1" s="12">
      <c r="A945" s="1" t="n">
        <v>978</v>
      </c>
      <c r="B945" s="3">
        <f>HYPERLINK("https://leetcode.com/problems/longest-turbulent-subarray/", "Longest Turbulent Subarray")</f>
        <v/>
      </c>
      <c r="C945" s="1" t="n">
        <v>2100</v>
      </c>
      <c r="D945" s="1" t="n">
        <v>255</v>
      </c>
      <c r="E945" s="4">
        <f>IF(INDEX(C:C, ROW())+INDEX(D:D, ROW())=0, 0, INDEX(C:C, ROW())/(INDEX(C:C, ROW())+INDEX(D:D, ROW())))</f>
        <v/>
      </c>
      <c r="F945" s="1" t="inlineStr">
        <is>
          <t>Array, Dynamic Programming, Sliding Window</t>
        </is>
      </c>
      <c r="G945" s="1" t="inlineStr">
        <is>
          <t>Medium</t>
        </is>
      </c>
      <c r="H945" s="1" t="n">
        <v>133149</v>
      </c>
      <c r="I945" s="1" t="n">
        <v>273525</v>
      </c>
      <c r="J945" s="9" t="n">
        <v>0.487</v>
      </c>
      <c r="K945" s="1" t="inlineStr">
        <is>
          <t>Yes</t>
        </is>
      </c>
      <c r="L945" s="1" t="inlineStr">
        <is>
          <t>Yes</t>
        </is>
      </c>
      <c r="M945" s="1" t="inlineStr">
        <is>
          <t>No</t>
        </is>
      </c>
      <c r="N945" s="1" t="inlineStr">
        <is>
          <t>Algorithms</t>
        </is>
      </c>
      <c r="O9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46" ht="15.75" customHeight="1" s="12">
      <c r="A946" s="1" t="n">
        <v>1354</v>
      </c>
      <c r="B946" s="3">
        <f>HYPERLINK("https://leetcode.com/problems/construct-target-array-with-multiple-sums/", "Construct Target Array With Multiple Sums")</f>
        <v/>
      </c>
      <c r="C946" s="1" t="n">
        <v>2100</v>
      </c>
      <c r="D946" s="1" t="n">
        <v>175</v>
      </c>
      <c r="E946" s="4">
        <f>IF(INDEX(C:C, ROW())+INDEX(D:D, ROW())=0, 0, INDEX(C:C, ROW())/(INDEX(C:C, ROW())+INDEX(D:D, ROW())))</f>
        <v/>
      </c>
      <c r="F946" s="1" t="inlineStr">
        <is>
          <t>Array, Heap (Priority Queue)</t>
        </is>
      </c>
      <c r="G946" s="1" t="inlineStr">
        <is>
          <t>Hard</t>
        </is>
      </c>
      <c r="H946" s="1" t="n">
        <v>77389</v>
      </c>
      <c r="I946" s="1" t="n">
        <v>210992</v>
      </c>
      <c r="J946" s="9" t="n">
        <v>0.367</v>
      </c>
      <c r="K946" s="1" t="inlineStr">
        <is>
          <t>Yes</t>
        </is>
      </c>
      <c r="L946" s="1" t="inlineStr">
        <is>
          <t>Yes</t>
        </is>
      </c>
      <c r="M946" s="1" t="inlineStr">
        <is>
          <t>No</t>
        </is>
      </c>
      <c r="N946" s="1" t="inlineStr">
        <is>
          <t>Algorithms</t>
        </is>
      </c>
      <c r="O9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47" ht="15.75" customHeight="1" s="12">
      <c r="A947" s="1" t="n">
        <v>599</v>
      </c>
      <c r="B947" s="3">
        <f>HYPERLINK("https://leetcode.com/problems/minimum-index-sum-of-two-lists/", "Minimum Index Sum of Two Lists")</f>
        <v/>
      </c>
      <c r="C947" s="1" t="n">
        <v>2099</v>
      </c>
      <c r="D947" s="1" t="n">
        <v>416</v>
      </c>
      <c r="E947" s="4">
        <f>IF(INDEX(C:C, ROW())+INDEX(D:D, ROW())=0, 0, INDEX(C:C, ROW())/(INDEX(C:C, ROW())+INDEX(D:D, ROW())))</f>
        <v/>
      </c>
      <c r="F947" s="1" t="inlineStr">
        <is>
          <t>Array, Hash Table, String</t>
        </is>
      </c>
      <c r="G947" s="1" t="inlineStr">
        <is>
          <t>Easy</t>
        </is>
      </c>
      <c r="H947" s="1" t="n">
        <v>303613</v>
      </c>
      <c r="I947" s="1" t="n">
        <v>512768</v>
      </c>
      <c r="J947" s="9" t="n">
        <v>0.592</v>
      </c>
      <c r="K947" s="1" t="inlineStr">
        <is>
          <t>Yes</t>
        </is>
      </c>
      <c r="L947" s="1" t="inlineStr">
        <is>
          <t>Yes</t>
        </is>
      </c>
      <c r="M947" s="1" t="inlineStr">
        <is>
          <t>No</t>
        </is>
      </c>
      <c r="N947" s="1" t="inlineStr">
        <is>
          <t>Algorithms</t>
        </is>
      </c>
      <c r="O9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48" ht="15.75" customHeight="1" s="12">
      <c r="A948" s="1" t="n">
        <v>1462</v>
      </c>
      <c r="B948" s="3">
        <f>HYPERLINK("https://leetcode.com/problems/course-schedule-iv/", "Course Schedule IV")</f>
        <v/>
      </c>
      <c r="C948" s="1" t="n">
        <v>2099</v>
      </c>
      <c r="D948" s="1" t="n">
        <v>92</v>
      </c>
      <c r="E948" s="4">
        <f>IF(INDEX(C:C, ROW())+INDEX(D:D, ROW())=0, 0, INDEX(C:C, ROW())/(INDEX(C:C, ROW())+INDEX(D:D, ROW())))</f>
        <v/>
      </c>
      <c r="F948" s="1" t="inlineStr">
        <is>
          <t>Depth-First Search, Breadth-First Search, Graph Theory, Topological Sort</t>
        </is>
      </c>
      <c r="G948" s="1" t="inlineStr">
        <is>
          <t>Medium</t>
        </is>
      </c>
      <c r="H948" s="1" t="n">
        <v>196642</v>
      </c>
      <c r="I948" s="1" t="n">
        <v>329473</v>
      </c>
      <c r="J948" s="9" t="n">
        <v>0.597</v>
      </c>
      <c r="K948" s="1" t="inlineStr">
        <is>
          <t>Yes</t>
        </is>
      </c>
      <c r="L948" s="1" t="inlineStr">
        <is>
          <t>Yes</t>
        </is>
      </c>
      <c r="M948" s="1" t="inlineStr">
        <is>
          <t>No</t>
        </is>
      </c>
      <c r="N948" s="1" t="inlineStr">
        <is>
          <t>Algorithms</t>
        </is>
      </c>
      <c r="O9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49" ht="15.75" customHeight="1" s="12">
      <c r="A949" s="1" t="n">
        <v>2328</v>
      </c>
      <c r="B949" s="3">
        <f>HYPERLINK("https://leetcode.com/problems/number-of-increasing-paths-in-a-grid/", "Number of Increasing Paths in a Grid")</f>
        <v/>
      </c>
      <c r="C949" s="1" t="n">
        <v>2099</v>
      </c>
      <c r="D949" s="1" t="n">
        <v>45</v>
      </c>
      <c r="E949" s="4">
        <f>IF(INDEX(C:C, ROW())+INDEX(D:D, ROW())=0, 0, INDEX(C:C, ROW())/(INDEX(C:C, ROW())+INDEX(D:D, ROW())))</f>
        <v/>
      </c>
      <c r="F949" s="1" t="inlineStr">
        <is>
          <t>Array, Dynamic Programming, Depth-First Search, Breadth-First Search, Graph Theory, Topological Sort, Memoization, Matrix</t>
        </is>
      </c>
      <c r="G949" s="1" t="inlineStr">
        <is>
          <t>Hard</t>
        </is>
      </c>
      <c r="H949" s="1" t="n">
        <v>80748</v>
      </c>
      <c r="I949" s="1" t="n">
        <v>140604</v>
      </c>
      <c r="J949" s="9" t="n">
        <v>0.574</v>
      </c>
      <c r="K949" s="1" t="inlineStr">
        <is>
          <t>Yes</t>
        </is>
      </c>
      <c r="L949" s="1" t="inlineStr">
        <is>
          <t>Yes</t>
        </is>
      </c>
      <c r="M949" s="1" t="inlineStr">
        <is>
          <t>No</t>
        </is>
      </c>
      <c r="N949" s="1" t="inlineStr">
        <is>
          <t>Algorithms</t>
        </is>
      </c>
      <c r="O9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50" ht="15.75" customHeight="1" s="12">
      <c r="A950" s="1" t="n">
        <v>939</v>
      </c>
      <c r="B950" s="3">
        <f>HYPERLINK("https://leetcode.com/problems/minimum-area-rectangle/", "Minimum Area Rectangle")</f>
        <v/>
      </c>
      <c r="C950" s="1" t="n">
        <v>2094</v>
      </c>
      <c r="D950" s="1" t="n">
        <v>298</v>
      </c>
      <c r="E950" s="4">
        <f>IF(INDEX(C:C, ROW())+INDEX(D:D, ROW())=0, 0, INDEX(C:C, ROW())/(INDEX(C:C, ROW())+INDEX(D:D, ROW())))</f>
        <v/>
      </c>
      <c r="F950" s="1" t="inlineStr">
        <is>
          <t>Array, Hash Table, Math, Geometry, Sorting</t>
        </is>
      </c>
      <c r="G950" s="1" t="inlineStr">
        <is>
          <t>Medium</t>
        </is>
      </c>
      <c r="H950" s="1" t="n">
        <v>175151</v>
      </c>
      <c r="I950" s="1" t="n">
        <v>317020</v>
      </c>
      <c r="J950" s="9" t="n">
        <v>0.552</v>
      </c>
      <c r="K950" s="1" t="inlineStr">
        <is>
          <t>Yes</t>
        </is>
      </c>
      <c r="L950" s="1" t="inlineStr">
        <is>
          <t>Yes</t>
        </is>
      </c>
      <c r="M950" s="1" t="inlineStr">
        <is>
          <t>No</t>
        </is>
      </c>
      <c r="N950" s="1" t="inlineStr">
        <is>
          <t>Algorithms</t>
        </is>
      </c>
      <c r="O9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51" ht="15.75" customHeight="1" s="12">
      <c r="A951" s="1" t="n">
        <v>2359</v>
      </c>
      <c r="B951" s="3">
        <f>HYPERLINK("https://leetcode.com/problems/find-closest-node-to-given-two-nodes/", "Find Closest Node to Given Two Nodes")</f>
        <v/>
      </c>
      <c r="C951" s="1" t="n">
        <v>2091</v>
      </c>
      <c r="D951" s="1" t="n">
        <v>469</v>
      </c>
      <c r="E951" s="4">
        <f>IF(INDEX(C:C, ROW())+INDEX(D:D, ROW())=0, 0, INDEX(C:C, ROW())/(INDEX(C:C, ROW())+INDEX(D:D, ROW())))</f>
        <v/>
      </c>
      <c r="F951" s="1" t="inlineStr">
        <is>
          <t>Depth-First Search, Graph Theory</t>
        </is>
      </c>
      <c r="G951" s="1" t="inlineStr">
        <is>
          <t>Medium</t>
        </is>
      </c>
      <c r="H951" s="1" t="n">
        <v>166191</v>
      </c>
      <c r="I951" s="1" t="n">
        <v>314037</v>
      </c>
      <c r="J951" s="9" t="n">
        <v>0.529</v>
      </c>
      <c r="K951" s="1" t="inlineStr">
        <is>
          <t>Yes</t>
        </is>
      </c>
      <c r="L951" s="1" t="inlineStr">
        <is>
          <t>Yes</t>
        </is>
      </c>
      <c r="M951" s="1" t="inlineStr">
        <is>
          <t>No</t>
        </is>
      </c>
      <c r="N951" s="1" t="inlineStr">
        <is>
          <t>Algorithms</t>
        </is>
      </c>
      <c r="O9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52" ht="15.75" customHeight="1" s="12">
      <c r="A952" s="1" t="n">
        <v>1697</v>
      </c>
      <c r="B952" s="3">
        <f>HYPERLINK("https://leetcode.com/problems/checking-existence-of-edge-length-limited-paths/", "Checking Existence of Edge Length Limited Paths")</f>
        <v/>
      </c>
      <c r="C952" s="1" t="n">
        <v>2089</v>
      </c>
      <c r="D952" s="1" t="n">
        <v>48</v>
      </c>
      <c r="E952" s="4">
        <f>IF(INDEX(C:C, ROW())+INDEX(D:D, ROW())=0, 0, INDEX(C:C, ROW())/(INDEX(C:C, ROW())+INDEX(D:D, ROW())))</f>
        <v/>
      </c>
      <c r="F952" s="1" t="inlineStr">
        <is>
          <t>Array, Two Pointers, Union-Find, Graph Theory, Sorting</t>
        </is>
      </c>
      <c r="G952" s="1" t="inlineStr">
        <is>
          <t>Hard</t>
        </is>
      </c>
      <c r="H952" s="1" t="n">
        <v>59270</v>
      </c>
      <c r="I952" s="1" t="n">
        <v>93897</v>
      </c>
      <c r="J952" s="9" t="n">
        <v>0.631</v>
      </c>
      <c r="K952" s="1" t="inlineStr">
        <is>
          <t>Yes</t>
        </is>
      </c>
      <c r="L952" s="1" t="inlineStr">
        <is>
          <t>Yes</t>
        </is>
      </c>
      <c r="M952" s="1" t="inlineStr">
        <is>
          <t>No</t>
        </is>
      </c>
      <c r="N952" s="1" t="inlineStr">
        <is>
          <t>Algorithms</t>
        </is>
      </c>
      <c r="O9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53" ht="15.75" customHeight="1" s="12">
      <c r="A953" s="1" t="n">
        <v>1310</v>
      </c>
      <c r="B953" s="3">
        <f>HYPERLINK("https://leetcode.com/problems/xor-queries-of-a-subarray/", "XOR Queries of a Subarray")</f>
        <v/>
      </c>
      <c r="C953" s="1" t="n">
        <v>2085</v>
      </c>
      <c r="D953" s="1" t="n">
        <v>60</v>
      </c>
      <c r="E953" s="4">
        <f>IF(INDEX(C:C, ROW())+INDEX(D:D, ROW())=0, 0, INDEX(C:C, ROW())/(INDEX(C:C, ROW())+INDEX(D:D, ROW())))</f>
        <v/>
      </c>
      <c r="F953" s="1" t="inlineStr">
        <is>
          <t>Array, Bit Manipulation, Prefix Sum</t>
        </is>
      </c>
      <c r="G953" s="1" t="inlineStr">
        <is>
          <t>Medium</t>
        </is>
      </c>
      <c r="H953" s="1" t="n">
        <v>213641</v>
      </c>
      <c r="I953" s="1" t="n">
        <v>273272</v>
      </c>
      <c r="J953" s="9" t="n">
        <v>0.782</v>
      </c>
      <c r="K953" s="1" t="inlineStr">
        <is>
          <t>Yes</t>
        </is>
      </c>
      <c r="L953" s="1" t="inlineStr">
        <is>
          <t>Yes</t>
        </is>
      </c>
      <c r="M953" s="1" t="inlineStr">
        <is>
          <t>No</t>
        </is>
      </c>
      <c r="N953" s="1" t="inlineStr">
        <is>
          <t>Algorithms</t>
        </is>
      </c>
      <c r="O9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54" ht="15.75" customHeight="1" s="12">
      <c r="A954" s="1" t="n">
        <v>836</v>
      </c>
      <c r="B954" s="3">
        <f>HYPERLINK("https://leetcode.com/problems/rectangle-overlap/", "Rectangle Overlap")</f>
        <v/>
      </c>
      <c r="C954" s="1" t="n">
        <v>2081</v>
      </c>
      <c r="D954" s="1" t="n">
        <v>483</v>
      </c>
      <c r="E954" s="4">
        <f>IF(INDEX(C:C, ROW())+INDEX(D:D, ROW())=0, 0, INDEX(C:C, ROW())/(INDEX(C:C, ROW())+INDEX(D:D, ROW())))</f>
        <v/>
      </c>
      <c r="F954" s="1" t="inlineStr">
        <is>
          <t>Math, Geometry</t>
        </is>
      </c>
      <c r="G954" s="1" t="inlineStr">
        <is>
          <t>Easy</t>
        </is>
      </c>
      <c r="H954" s="1" t="n">
        <v>178046</v>
      </c>
      <c r="I954" s="1" t="n">
        <v>384510</v>
      </c>
      <c r="J954" s="9" t="n">
        <v>0.463</v>
      </c>
      <c r="K954" s="1" t="inlineStr">
        <is>
          <t>Yes</t>
        </is>
      </c>
      <c r="L954" s="1" t="inlineStr">
        <is>
          <t>Yes</t>
        </is>
      </c>
      <c r="M954" s="1" t="inlineStr">
        <is>
          <t>No</t>
        </is>
      </c>
      <c r="N954" s="1" t="inlineStr">
        <is>
          <t>Algorithms</t>
        </is>
      </c>
      <c r="O9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55" ht="15.75" customHeight="1" s="12">
      <c r="A955" s="1" t="n">
        <v>1877</v>
      </c>
      <c r="B955" s="3">
        <f>HYPERLINK("https://leetcode.com/problems/minimize-maximum-pair-sum-in-array/", "Minimize Maximum Pair Sum in Array")</f>
        <v/>
      </c>
      <c r="C955" s="1" t="n">
        <v>2078</v>
      </c>
      <c r="D955" s="1" t="n">
        <v>485</v>
      </c>
      <c r="E955" s="4">
        <f>IF(INDEX(C:C, ROW())+INDEX(D:D, ROW())=0, 0, INDEX(C:C, ROW())/(INDEX(C:C, ROW())+INDEX(D:D, ROW())))</f>
        <v/>
      </c>
      <c r="F955" s="1" t="inlineStr">
        <is>
          <t>Array, Two Pointers, Greedy, Sorting</t>
        </is>
      </c>
      <c r="G955" s="1" t="inlineStr">
        <is>
          <t>Medium</t>
        </is>
      </c>
      <c r="H955" s="1" t="n">
        <v>212448</v>
      </c>
      <c r="I955" s="1" t="n">
        <v>260284</v>
      </c>
      <c r="J955" s="9" t="n">
        <v>0.8159999999999999</v>
      </c>
      <c r="K955" s="1" t="inlineStr">
        <is>
          <t>Yes</t>
        </is>
      </c>
      <c r="L955" s="1" t="inlineStr">
        <is>
          <t>Yes</t>
        </is>
      </c>
      <c r="M955" s="1" t="inlineStr">
        <is>
          <t>No</t>
        </is>
      </c>
      <c r="N955" s="1" t="inlineStr">
        <is>
          <t>Algorithms</t>
        </is>
      </c>
      <c r="O9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56" ht="15.75" customHeight="1" s="12">
      <c r="A956" s="1" t="n">
        <v>529</v>
      </c>
      <c r="B956" s="3">
        <f>HYPERLINK("https://leetcode.com/problems/minesweeper/", "Minesweeper")</f>
        <v/>
      </c>
      <c r="C956" s="1" t="n">
        <v>2077</v>
      </c>
      <c r="D956" s="1" t="n">
        <v>1088</v>
      </c>
      <c r="E956" s="4">
        <f>IF(INDEX(C:C, ROW())+INDEX(D:D, ROW())=0, 0, INDEX(C:C, ROW())/(INDEX(C:C, ROW())+INDEX(D:D, ROW())))</f>
        <v/>
      </c>
      <c r="F956" s="1" t="inlineStr">
        <is>
          <t>Array, Depth-First Search, Breadth-First Search, Matrix</t>
        </is>
      </c>
      <c r="G956" s="1" t="inlineStr">
        <is>
          <t>Medium</t>
        </is>
      </c>
      <c r="H956" s="1" t="n">
        <v>200029</v>
      </c>
      <c r="I956" s="1" t="n">
        <v>291627</v>
      </c>
      <c r="J956" s="9" t="n">
        <v>0.6860000000000001</v>
      </c>
      <c r="K956" s="1" t="inlineStr">
        <is>
          <t>Yes</t>
        </is>
      </c>
      <c r="L956" s="1" t="inlineStr">
        <is>
          <t>No</t>
        </is>
      </c>
      <c r="M956" s="1" t="inlineStr">
        <is>
          <t>No</t>
        </is>
      </c>
      <c r="N956" s="1" t="inlineStr">
        <is>
          <t>Algorithms</t>
        </is>
      </c>
      <c r="O9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57" ht="15.75" customHeight="1" s="12">
      <c r="A957" s="1" t="n">
        <v>2366</v>
      </c>
      <c r="B957" s="3">
        <f>HYPERLINK("https://leetcode.com/problems/minimum-replacements-to-sort-the-array/", "Minimum Replacements to Sort the Array")</f>
        <v/>
      </c>
      <c r="C957" s="1" t="n">
        <v>2074</v>
      </c>
      <c r="D957" s="1" t="n">
        <v>69</v>
      </c>
      <c r="E957" s="4">
        <f>IF(INDEX(C:C, ROW())+INDEX(D:D, ROW())=0, 0, INDEX(C:C, ROW())/(INDEX(C:C, ROW())+INDEX(D:D, ROW())))</f>
        <v/>
      </c>
      <c r="F957" s="1" t="inlineStr">
        <is>
          <t>Array, Math, Greedy</t>
        </is>
      </c>
      <c r="G957" s="1" t="inlineStr">
        <is>
          <t>Hard</t>
        </is>
      </c>
      <c r="H957" s="1" t="n">
        <v>73529</v>
      </c>
      <c r="I957" s="1" t="n">
        <v>138280</v>
      </c>
      <c r="J957" s="9" t="n">
        <v>0.532</v>
      </c>
      <c r="K957" s="1" t="inlineStr">
        <is>
          <t>Yes</t>
        </is>
      </c>
      <c r="L957" s="1" t="inlineStr">
        <is>
          <t>Yes</t>
        </is>
      </c>
      <c r="M957" s="1" t="inlineStr">
        <is>
          <t>No</t>
        </is>
      </c>
      <c r="N957" s="1" t="inlineStr">
        <is>
          <t>Algorithms</t>
        </is>
      </c>
      <c r="O9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58" ht="15.75" customHeight="1" s="12">
      <c r="A958" s="1" t="n">
        <v>2134</v>
      </c>
      <c r="B958" s="3">
        <f>HYPERLINK("https://leetcode.com/problems/minimum-swaps-to-group-all-1s-together-ii/", "Minimum Swaps to Group All 1's Together II")</f>
        <v/>
      </c>
      <c r="C958" s="1" t="n">
        <v>2072</v>
      </c>
      <c r="D958" s="1" t="n">
        <v>42</v>
      </c>
      <c r="E958" s="4">
        <f>IF(INDEX(C:C, ROW())+INDEX(D:D, ROW())=0, 0, INDEX(C:C, ROW())/(INDEX(C:C, ROW())+INDEX(D:D, ROW())))</f>
        <v/>
      </c>
      <c r="F958" s="1" t="inlineStr">
        <is>
          <t>Array, Sliding Window</t>
        </is>
      </c>
      <c r="G958" s="1" t="inlineStr">
        <is>
          <t>Medium</t>
        </is>
      </c>
      <c r="H958" s="1" t="n">
        <v>173680</v>
      </c>
      <c r="I958" s="1" t="n">
        <v>264815</v>
      </c>
      <c r="J958" s="9" t="n">
        <v>0.656</v>
      </c>
      <c r="K958" s="1" t="inlineStr">
        <is>
          <t>Yes</t>
        </is>
      </c>
      <c r="L958" s="1" t="inlineStr">
        <is>
          <t>Yes</t>
        </is>
      </c>
      <c r="M958" s="1" t="inlineStr">
        <is>
          <t>No</t>
        </is>
      </c>
      <c r="N958" s="1" t="inlineStr">
        <is>
          <t>Algorithms</t>
        </is>
      </c>
      <c r="O9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59" ht="15.75" customHeight="1" s="12">
      <c r="A959" s="1" t="n">
        <v>720</v>
      </c>
      <c r="B959" s="3">
        <f>HYPERLINK("https://leetcode.com/problems/longest-word-in-dictionary/", "Longest Word in Dictionary")</f>
        <v/>
      </c>
      <c r="C959" s="1" t="n">
        <v>2069</v>
      </c>
      <c r="D959" s="1" t="n">
        <v>1505</v>
      </c>
      <c r="E959" s="4">
        <f>IF(INDEX(C:C, ROW())+INDEX(D:D, ROW())=0, 0, INDEX(C:C, ROW())/(INDEX(C:C, ROW())+INDEX(D:D, ROW())))</f>
        <v/>
      </c>
      <c r="F959" s="1" t="inlineStr">
        <is>
          <t>Array, Hash Table, String, Trie, Sorting</t>
        </is>
      </c>
      <c r="G959" s="1" t="inlineStr">
        <is>
          <t>Medium</t>
        </is>
      </c>
      <c r="H959" s="1" t="n">
        <v>186118</v>
      </c>
      <c r="I959" s="1" t="n">
        <v>342561</v>
      </c>
      <c r="J959" s="9" t="n">
        <v>0.543</v>
      </c>
      <c r="K959" s="1" t="inlineStr">
        <is>
          <t>Yes</t>
        </is>
      </c>
      <c r="L959" s="1" t="inlineStr">
        <is>
          <t>Yes</t>
        </is>
      </c>
      <c r="M959" s="1" t="inlineStr">
        <is>
          <t>No</t>
        </is>
      </c>
      <c r="N959" s="1" t="inlineStr">
        <is>
          <t>Algorithms</t>
        </is>
      </c>
      <c r="O9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60" ht="15.75" customHeight="1" s="12">
      <c r="A960" s="1" t="n">
        <v>2235</v>
      </c>
      <c r="B960" s="3">
        <f>HYPERLINK("https://leetcode.com/problems/add-two-integers/", "Add Two Integers")</f>
        <v/>
      </c>
      <c r="C960" s="1" t="n">
        <v>2068</v>
      </c>
      <c r="D960" s="1" t="n">
        <v>3219</v>
      </c>
      <c r="E960" s="4">
        <f>IF(INDEX(C:C, ROW())+INDEX(D:D, ROW())=0, 0, INDEX(C:C, ROW())/(INDEX(C:C, ROW())+INDEX(D:D, ROW())))</f>
        <v/>
      </c>
      <c r="F960" s="1" t="inlineStr">
        <is>
          <t>Math</t>
        </is>
      </c>
      <c r="G960" s="1" t="inlineStr">
        <is>
          <t>Easy</t>
        </is>
      </c>
      <c r="H960" s="1" t="n">
        <v>834088</v>
      </c>
      <c r="I960" s="1" t="n">
        <v>949247</v>
      </c>
      <c r="J960" s="9" t="n">
        <v>0.879</v>
      </c>
      <c r="K960" s="1" t="inlineStr">
        <is>
          <t>Yes</t>
        </is>
      </c>
      <c r="L960" s="1" t="inlineStr">
        <is>
          <t>No</t>
        </is>
      </c>
      <c r="M960" s="1" t="inlineStr">
        <is>
          <t>No</t>
        </is>
      </c>
      <c r="N960" s="1" t="inlineStr">
        <is>
          <t>Algorithms</t>
        </is>
      </c>
      <c r="O9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61" ht="15.75" customHeight="1" s="12">
      <c r="A961" s="1" t="n">
        <v>1483</v>
      </c>
      <c r="B961" s="3">
        <f>HYPERLINK("https://leetcode.com/problems/kth-ancestor-of-a-tree-node/", "Kth Ancestor of a Tree Node")</f>
        <v/>
      </c>
      <c r="C961" s="1" t="n">
        <v>2067</v>
      </c>
      <c r="D961" s="1" t="n">
        <v>123</v>
      </c>
      <c r="E961" s="4">
        <f>IF(INDEX(C:C, ROW())+INDEX(D:D, ROW())=0, 0, INDEX(C:C, ROW())/(INDEX(C:C, ROW())+INDEX(D:D, ROW())))</f>
        <v/>
      </c>
      <c r="F961" s="1" t="inlineStr">
        <is>
          <t>Binary Search, Dynamic Programming, Bit Manipulation, Tree, Depth-First Search, Breadth-First Search, Design</t>
        </is>
      </c>
      <c r="G961" s="1" t="inlineStr">
        <is>
          <t>Hard</t>
        </is>
      </c>
      <c r="H961" s="1" t="n">
        <v>49749</v>
      </c>
      <c r="I961" s="1" t="n">
        <v>134834</v>
      </c>
      <c r="J961" s="9" t="n">
        <v>0.369</v>
      </c>
      <c r="K961" s="1" t="inlineStr">
        <is>
          <t>Yes</t>
        </is>
      </c>
      <c r="L961" s="1" t="inlineStr">
        <is>
          <t>No</t>
        </is>
      </c>
      <c r="M961" s="1" t="inlineStr">
        <is>
          <t>No</t>
        </is>
      </c>
      <c r="N961" s="1" t="inlineStr">
        <is>
          <t>Algorithms</t>
        </is>
      </c>
      <c r="O9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62" ht="15.75" customHeight="1" s="12">
      <c r="A962" s="1" t="n">
        <v>2401</v>
      </c>
      <c r="B962" s="3">
        <f>HYPERLINK("https://leetcode.com/problems/longest-nice-subarray/", "Longest Nice Subarray")</f>
        <v/>
      </c>
      <c r="C962" s="1" t="n">
        <v>2067</v>
      </c>
      <c r="D962" s="1" t="n">
        <v>62</v>
      </c>
      <c r="E962" s="4">
        <f>IF(INDEX(C:C, ROW())+INDEX(D:D, ROW())=0, 0, INDEX(C:C, ROW())/(INDEX(C:C, ROW())+INDEX(D:D, ROW())))</f>
        <v/>
      </c>
      <c r="F962" s="1" t="inlineStr">
        <is>
          <t>Array, Bit Manipulation, Sliding Window</t>
        </is>
      </c>
      <c r="G962" s="1" t="inlineStr">
        <is>
          <t>Medium</t>
        </is>
      </c>
      <c r="H962" s="1" t="n">
        <v>173573</v>
      </c>
      <c r="I962" s="1" t="n">
        <v>267846</v>
      </c>
      <c r="J962" s="9" t="n">
        <v>0.648</v>
      </c>
      <c r="K962" s="1" t="inlineStr">
        <is>
          <t>Yes</t>
        </is>
      </c>
      <c r="L962" s="1" t="inlineStr">
        <is>
          <t>Yes</t>
        </is>
      </c>
      <c r="M962" s="1" t="inlineStr">
        <is>
          <t>No</t>
        </is>
      </c>
      <c r="N962" s="1" t="inlineStr">
        <is>
          <t>Algorithms</t>
        </is>
      </c>
      <c r="O9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63" ht="15.75" customHeight="1" s="12">
      <c r="A963" s="1" t="n">
        <v>2090</v>
      </c>
      <c r="B963" s="3">
        <f>HYPERLINK("https://leetcode.com/problems/k-radius-subarray-averages/", "K Radius Subarray Averages")</f>
        <v/>
      </c>
      <c r="C963" s="1" t="n">
        <v>2066</v>
      </c>
      <c r="D963" s="1" t="n">
        <v>103</v>
      </c>
      <c r="E963" s="4">
        <f>IF(INDEX(C:C, ROW())+INDEX(D:D, ROW())=0, 0, INDEX(C:C, ROW())/(INDEX(C:C, ROW())+INDEX(D:D, ROW())))</f>
        <v/>
      </c>
      <c r="F963" s="1" t="inlineStr">
        <is>
          <t>Array, Sliding Window</t>
        </is>
      </c>
      <c r="G963" s="1" t="inlineStr">
        <is>
          <t>Medium</t>
        </is>
      </c>
      <c r="H963" s="1" t="n">
        <v>188958</v>
      </c>
      <c r="I963" s="1" t="n">
        <v>411165</v>
      </c>
      <c r="J963" s="9" t="n">
        <v>0.46</v>
      </c>
      <c r="K963" s="1" t="inlineStr">
        <is>
          <t>Yes</t>
        </is>
      </c>
      <c r="L963" s="1" t="inlineStr">
        <is>
          <t>Yes</t>
        </is>
      </c>
      <c r="M963" s="1" t="inlineStr">
        <is>
          <t>No</t>
        </is>
      </c>
      <c r="N963" s="1" t="inlineStr">
        <is>
          <t>Algorithms</t>
        </is>
      </c>
      <c r="O9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64" ht="15.75" customHeight="1" s="12">
      <c r="A964" s="1" t="n">
        <v>2462</v>
      </c>
      <c r="B964" s="3">
        <f>HYPERLINK("https://leetcode.com/problems/total-cost-to-hire-k-workers/", "Total Cost to Hire K Workers")</f>
        <v/>
      </c>
      <c r="C964" s="1" t="n">
        <v>2066</v>
      </c>
      <c r="D964" s="1" t="n">
        <v>745</v>
      </c>
      <c r="E964" s="4">
        <f>IF(INDEX(C:C, ROW())+INDEX(D:D, ROW())=0, 0, INDEX(C:C, ROW())/(INDEX(C:C, ROW())+INDEX(D:D, ROW())))</f>
        <v/>
      </c>
      <c r="F964" s="1" t="inlineStr">
        <is>
          <t>Array, Two Pointers, Heap (Priority Queue), Simulation</t>
        </is>
      </c>
      <c r="G964" s="1" t="inlineStr">
        <is>
          <t>Medium</t>
        </is>
      </c>
      <c r="H964" s="1" t="n">
        <v>158644</v>
      </c>
      <c r="I964" s="1" t="n">
        <v>365067</v>
      </c>
      <c r="J964" s="9" t="n">
        <v>0.435</v>
      </c>
      <c r="K964" s="1" t="inlineStr">
        <is>
          <t>Yes</t>
        </is>
      </c>
      <c r="L964" s="1" t="inlineStr">
        <is>
          <t>Yes</t>
        </is>
      </c>
      <c r="M964" s="1" t="inlineStr">
        <is>
          <t>No</t>
        </is>
      </c>
      <c r="N964" s="1" t="inlineStr">
        <is>
          <t>Algorithms</t>
        </is>
      </c>
      <c r="O9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65" ht="15.75" customHeight="1" s="12">
      <c r="A965" s="1" t="n">
        <v>2369</v>
      </c>
      <c r="B965" s="3">
        <f>HYPERLINK("https://leetcode.com/problems/check-if-there-is-a-valid-partition-for-the-array/", "Check if There is a Valid Partition For The Array")</f>
        <v/>
      </c>
      <c r="C965" s="1" t="n">
        <v>2064</v>
      </c>
      <c r="D965" s="1" t="n">
        <v>207</v>
      </c>
      <c r="E965" s="4">
        <f>IF(INDEX(C:C, ROW())+INDEX(D:D, ROW())=0, 0, INDEX(C:C, ROW())/(INDEX(C:C, ROW())+INDEX(D:D, ROW())))</f>
        <v/>
      </c>
      <c r="F965" s="1" t="inlineStr">
        <is>
          <t>Array, Dynamic Programming</t>
        </is>
      </c>
      <c r="G965" s="1" t="inlineStr">
        <is>
          <t>Medium</t>
        </is>
      </c>
      <c r="H965" s="1" t="n">
        <v>99943</v>
      </c>
      <c r="I965" s="1" t="n">
        <v>191520</v>
      </c>
      <c r="J965" s="9" t="n">
        <v>0.522</v>
      </c>
      <c r="K965" s="1" t="inlineStr">
        <is>
          <t>Yes</t>
        </is>
      </c>
      <c r="L965" s="1" t="inlineStr">
        <is>
          <t>Yes</t>
        </is>
      </c>
      <c r="M965" s="1" t="inlineStr">
        <is>
          <t>No</t>
        </is>
      </c>
      <c r="N965" s="1" t="inlineStr">
        <is>
          <t>Algorithms</t>
        </is>
      </c>
      <c r="O9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66" ht="15.75" customHeight="1" s="12">
      <c r="A966" s="1" t="n">
        <v>732</v>
      </c>
      <c r="B966" s="3">
        <f>HYPERLINK("https://leetcode.com/problems/my-calendar-iii/", "My Calendar III")</f>
        <v/>
      </c>
      <c r="C966" s="1" t="n">
        <v>2057</v>
      </c>
      <c r="D966" s="1" t="n">
        <v>275</v>
      </c>
      <c r="E966" s="4">
        <f>IF(INDEX(C:C, ROW())+INDEX(D:D, ROW())=0, 0, INDEX(C:C, ROW())/(INDEX(C:C, ROW())+INDEX(D:D, ROW())))</f>
        <v/>
      </c>
      <c r="F966" s="1" t="inlineStr">
        <is>
          <t>Binary Search, Design, Segment Tree, Prefix Sum, Ordered Set</t>
        </is>
      </c>
      <c r="G966" s="1" t="inlineStr">
        <is>
          <t>Hard</t>
        </is>
      </c>
      <c r="H966" s="1" t="n">
        <v>107677</v>
      </c>
      <c r="I966" s="1" t="n">
        <v>151299</v>
      </c>
      <c r="J966" s="9" t="n">
        <v>0.712</v>
      </c>
      <c r="K966" s="1" t="inlineStr">
        <is>
          <t>Yes</t>
        </is>
      </c>
      <c r="L966" s="1" t="inlineStr">
        <is>
          <t>Yes</t>
        </is>
      </c>
      <c r="M966" s="1" t="inlineStr">
        <is>
          <t>No</t>
        </is>
      </c>
      <c r="N966" s="1" t="inlineStr">
        <is>
          <t>Algorithms</t>
        </is>
      </c>
      <c r="O9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67" ht="15.75" customHeight="1" s="12">
      <c r="A967" s="1" t="n">
        <v>1524</v>
      </c>
      <c r="B967" s="3">
        <f>HYPERLINK("https://leetcode.com/problems/number-of-sub-arrays-with-odd-sum/", "Number of Sub-arrays With Odd Sum")</f>
        <v/>
      </c>
      <c r="C967" s="1" t="n">
        <v>2057</v>
      </c>
      <c r="D967" s="1" t="n">
        <v>101</v>
      </c>
      <c r="E967" s="4">
        <f>IF(INDEX(C:C, ROW())+INDEX(D:D, ROW())=0, 0, INDEX(C:C, ROW())/(INDEX(C:C, ROW())+INDEX(D:D, ROW())))</f>
        <v/>
      </c>
      <c r="F967" s="1" t="inlineStr">
        <is>
          <t>Array, Math, Dynamic Programming, Prefix Sum</t>
        </is>
      </c>
      <c r="G967" s="1" t="inlineStr">
        <is>
          <t>Medium</t>
        </is>
      </c>
      <c r="H967" s="1" t="n">
        <v>173119</v>
      </c>
      <c r="I967" s="1" t="n">
        <v>310179</v>
      </c>
      <c r="J967" s="9" t="n">
        <v>0.5580000000000001</v>
      </c>
      <c r="K967" s="1" t="inlineStr">
        <is>
          <t>Yes</t>
        </is>
      </c>
      <c r="L967" s="1" t="inlineStr">
        <is>
          <t>Yes</t>
        </is>
      </c>
      <c r="M967" s="1" t="inlineStr">
        <is>
          <t>No</t>
        </is>
      </c>
      <c r="N967" s="1" t="inlineStr">
        <is>
          <t>Algorithms</t>
        </is>
      </c>
      <c r="O9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68" ht="15.75" customHeight="1" s="12">
      <c r="A968" s="1" t="n">
        <v>995</v>
      </c>
      <c r="B968" s="3">
        <f>HYPERLINK("https://leetcode.com/problems/minimum-number-of-k-consecutive-bit-flips/", "Minimum Number of K Consecutive Bit Flips")</f>
        <v/>
      </c>
      <c r="C968" s="1" t="n">
        <v>2051</v>
      </c>
      <c r="D968" s="1" t="n">
        <v>90</v>
      </c>
      <c r="E968" s="4">
        <f>IF(INDEX(C:C, ROW())+INDEX(D:D, ROW())=0, 0, INDEX(C:C, ROW())/(INDEX(C:C, ROW())+INDEX(D:D, ROW())))</f>
        <v/>
      </c>
      <c r="F968" s="1" t="inlineStr">
        <is>
          <t>Array, Bit Manipulation, Queue, Sliding Window, Prefix Sum</t>
        </is>
      </c>
      <c r="G968" s="1" t="inlineStr">
        <is>
          <t>Hard</t>
        </is>
      </c>
      <c r="H968" s="1" t="n">
        <v>140394</v>
      </c>
      <c r="I968" s="1" t="n">
        <v>225566</v>
      </c>
      <c r="J968" s="9" t="n">
        <v>0.622</v>
      </c>
      <c r="K968" s="1" t="inlineStr">
        <is>
          <t>Yes</t>
        </is>
      </c>
      <c r="L968" s="1" t="inlineStr">
        <is>
          <t>Yes</t>
        </is>
      </c>
      <c r="M968" s="1" t="inlineStr">
        <is>
          <t>No</t>
        </is>
      </c>
      <c r="N968" s="1" t="inlineStr">
        <is>
          <t>Algorithms</t>
        </is>
      </c>
      <c r="O9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69" ht="15.75" customHeight="1" s="12">
      <c r="A969" s="1" t="n">
        <v>944</v>
      </c>
      <c r="B969" s="3">
        <f>HYPERLINK("https://leetcode.com/problems/delete-columns-to-make-sorted/", "Delete Columns to Make Sorted")</f>
        <v/>
      </c>
      <c r="C969" s="1" t="n">
        <v>2050</v>
      </c>
      <c r="D969" s="1" t="n">
        <v>3011</v>
      </c>
      <c r="E969" s="4">
        <f>IF(INDEX(C:C, ROW())+INDEX(D:D, ROW())=0, 0, INDEX(C:C, ROW())/(INDEX(C:C, ROW())+INDEX(D:D, ROW())))</f>
        <v/>
      </c>
      <c r="F969" s="1" t="inlineStr">
        <is>
          <t>Array, String</t>
        </is>
      </c>
      <c r="G969" s="1" t="inlineStr">
        <is>
          <t>Easy</t>
        </is>
      </c>
      <c r="H969" s="1" t="n">
        <v>314262</v>
      </c>
      <c r="I969" s="1" t="n">
        <v>402817</v>
      </c>
      <c r="J969" s="9" t="n">
        <v>0.78</v>
      </c>
      <c r="K969" s="1" t="inlineStr">
        <is>
          <t>Yes</t>
        </is>
      </c>
      <c r="L969" s="1" t="inlineStr">
        <is>
          <t>Yes</t>
        </is>
      </c>
      <c r="M969" s="1" t="inlineStr">
        <is>
          <t>No</t>
        </is>
      </c>
      <c r="N969" s="1" t="inlineStr">
        <is>
          <t>Algorithms</t>
        </is>
      </c>
      <c r="O9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70" ht="15.75" customHeight="1" s="12">
      <c r="A970" s="1" t="n">
        <v>1639</v>
      </c>
      <c r="B970" s="3">
        <f>HYPERLINK("https://leetcode.com/problems/number-of-ways-to-form-a-target-string-given-a-dictionary/", "Number of Ways to Form a Target String Given a Dictionary")</f>
        <v/>
      </c>
      <c r="C970" s="1" t="n">
        <v>2050</v>
      </c>
      <c r="D970" s="1" t="n">
        <v>120</v>
      </c>
      <c r="E970" s="4">
        <f>IF(INDEX(C:C, ROW())+INDEX(D:D, ROW())=0, 0, INDEX(C:C, ROW())/(INDEX(C:C, ROW())+INDEX(D:D, ROW())))</f>
        <v/>
      </c>
      <c r="F970" s="1" t="inlineStr">
        <is>
          <t>Array, String, Dynamic Programming</t>
        </is>
      </c>
      <c r="G970" s="1" t="inlineStr">
        <is>
          <t>Hard</t>
        </is>
      </c>
      <c r="H970" s="1" t="n">
        <v>132457</v>
      </c>
      <c r="I970" s="1" t="n">
        <v>233680</v>
      </c>
      <c r="J970" s="9" t="n">
        <v>0.5669999999999999</v>
      </c>
      <c r="K970" s="1" t="inlineStr">
        <is>
          <t>Yes</t>
        </is>
      </c>
      <c r="L970" s="1" t="inlineStr">
        <is>
          <t>Yes</t>
        </is>
      </c>
      <c r="M970" s="1" t="inlineStr">
        <is>
          <t>No</t>
        </is>
      </c>
      <c r="N970" s="1" t="inlineStr">
        <is>
          <t>Algorithms</t>
        </is>
      </c>
      <c r="O9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71" ht="15.75" customHeight="1" s="12">
      <c r="A971" s="1" t="n">
        <v>1743</v>
      </c>
      <c r="B971" s="3">
        <f>HYPERLINK("https://leetcode.com/problems/restore-the-array-from-adjacent-pairs/", "Restore the Array From Adjacent Pairs")</f>
        <v/>
      </c>
      <c r="C971" s="1" t="n">
        <v>2044</v>
      </c>
      <c r="D971" s="1" t="n">
        <v>71</v>
      </c>
      <c r="E971" s="4">
        <f>IF(INDEX(C:C, ROW())+INDEX(D:D, ROW())=0, 0, INDEX(C:C, ROW())/(INDEX(C:C, ROW())+INDEX(D:D, ROW())))</f>
        <v/>
      </c>
      <c r="F971" s="1" t="inlineStr">
        <is>
          <t>Array, Hash Table, Depth-First Search</t>
        </is>
      </c>
      <c r="G971" s="1" t="inlineStr">
        <is>
          <t>Medium</t>
        </is>
      </c>
      <c r="H971" s="1" t="n">
        <v>123012</v>
      </c>
      <c r="I971" s="1" t="n">
        <v>163949</v>
      </c>
      <c r="J971" s="9" t="n">
        <v>0.75</v>
      </c>
      <c r="K971" s="1" t="inlineStr">
        <is>
          <t>Yes</t>
        </is>
      </c>
      <c r="L971" s="1" t="inlineStr">
        <is>
          <t>Yes</t>
        </is>
      </c>
      <c r="M971" s="1" t="inlineStr">
        <is>
          <t>No</t>
        </is>
      </c>
      <c r="N971" s="1" t="inlineStr">
        <is>
          <t>Algorithms</t>
        </is>
      </c>
      <c r="O9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72" ht="15.75" customHeight="1" s="12">
      <c r="A972" s="1" t="n">
        <v>1603</v>
      </c>
      <c r="B972" s="3">
        <f>HYPERLINK("https://leetcode.com/problems/design-parking-system/", "Design Parking System")</f>
        <v/>
      </c>
      <c r="C972" s="1" t="n">
        <v>2042</v>
      </c>
      <c r="D972" s="1" t="n">
        <v>455</v>
      </c>
      <c r="E972" s="4">
        <f>IF(INDEX(C:C, ROW())+INDEX(D:D, ROW())=0, 0, INDEX(C:C, ROW())/(INDEX(C:C, ROW())+INDEX(D:D, ROW())))</f>
        <v/>
      </c>
      <c r="F972" s="1" t="inlineStr">
        <is>
          <t>Design, Simulation, Counting</t>
        </is>
      </c>
      <c r="G972" s="1" t="inlineStr">
        <is>
          <t>Easy</t>
        </is>
      </c>
      <c r="H972" s="1" t="n">
        <v>345605</v>
      </c>
      <c r="I972" s="1" t="n">
        <v>396616</v>
      </c>
      <c r="J972" s="9" t="n">
        <v>0.871</v>
      </c>
      <c r="K972" s="1" t="inlineStr">
        <is>
          <t>Yes</t>
        </is>
      </c>
      <c r="L972" s="1" t="inlineStr">
        <is>
          <t>Yes</t>
        </is>
      </c>
      <c r="M972" s="1" t="inlineStr">
        <is>
          <t>No</t>
        </is>
      </c>
      <c r="N972" s="1" t="inlineStr">
        <is>
          <t>Algorithms</t>
        </is>
      </c>
      <c r="O9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73" ht="15.75" customHeight="1" s="12">
      <c r="A973" s="1" t="n">
        <v>1814</v>
      </c>
      <c r="B973" s="3">
        <f>HYPERLINK("https://leetcode.com/problems/count-nice-pairs-in-an-array/", "Count Nice Pairs in an Array")</f>
        <v/>
      </c>
      <c r="C973" s="1" t="n">
        <v>2026</v>
      </c>
      <c r="D973" s="1" t="n">
        <v>91</v>
      </c>
      <c r="E973" s="4">
        <f>IF(INDEX(C:C, ROW())+INDEX(D:D, ROW())=0, 0, INDEX(C:C, ROW())/(INDEX(C:C, ROW())+INDEX(D:D, ROW())))</f>
        <v/>
      </c>
      <c r="F973" s="1" t="inlineStr">
        <is>
          <t>Array, Hash Table, Math, Counting</t>
        </is>
      </c>
      <c r="G973" s="1" t="inlineStr">
        <is>
          <t>Medium</t>
        </is>
      </c>
      <c r="H973" s="1" t="n">
        <v>132021</v>
      </c>
      <c r="I973" s="1" t="n">
        <v>272461</v>
      </c>
      <c r="J973" s="9" t="n">
        <v>0.485</v>
      </c>
      <c r="K973" s="1" t="inlineStr">
        <is>
          <t>Yes</t>
        </is>
      </c>
      <c r="L973" s="1" t="inlineStr">
        <is>
          <t>Yes</t>
        </is>
      </c>
      <c r="M973" s="1" t="inlineStr">
        <is>
          <t>No</t>
        </is>
      </c>
      <c r="N973" s="1" t="inlineStr">
        <is>
          <t>Algorithms</t>
        </is>
      </c>
      <c r="O9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74" ht="15.75" customHeight="1" s="12">
      <c r="A974" s="1" t="n">
        <v>1773</v>
      </c>
      <c r="B974" s="3">
        <f>HYPERLINK("https://leetcode.com/problems/count-items-matching-a-rule/", "Count Items Matching a Rule")</f>
        <v/>
      </c>
      <c r="C974" s="1" t="n">
        <v>2025</v>
      </c>
      <c r="D974" s="1" t="n">
        <v>284</v>
      </c>
      <c r="E974" s="4">
        <f>IF(INDEX(C:C, ROW())+INDEX(D:D, ROW())=0, 0, INDEX(C:C, ROW())/(INDEX(C:C, ROW())+INDEX(D:D, ROW())))</f>
        <v/>
      </c>
      <c r="F974" s="1" t="inlineStr">
        <is>
          <t>Array, String</t>
        </is>
      </c>
      <c r="G974" s="1" t="inlineStr">
        <is>
          <t>Easy</t>
        </is>
      </c>
      <c r="H974" s="1" t="n">
        <v>278084</v>
      </c>
      <c r="I974" s="1" t="n">
        <v>326316</v>
      </c>
      <c r="J974" s="9" t="n">
        <v>0.852</v>
      </c>
      <c r="K974" s="1" t="inlineStr">
        <is>
          <t>Yes</t>
        </is>
      </c>
      <c r="L974" s="1" t="inlineStr">
        <is>
          <t>No</t>
        </is>
      </c>
      <c r="M974" s="1" t="inlineStr">
        <is>
          <t>No</t>
        </is>
      </c>
      <c r="N974" s="1" t="inlineStr">
        <is>
          <t>Algorithms</t>
        </is>
      </c>
      <c r="O9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75" ht="15.75" customHeight="1" s="12">
      <c r="A975" s="1" t="n">
        <v>709</v>
      </c>
      <c r="B975" s="3">
        <f>HYPERLINK("https://leetcode.com/problems/to-lower-case/", "To Lower Case")</f>
        <v/>
      </c>
      <c r="C975" s="1" t="n">
        <v>2016</v>
      </c>
      <c r="D975" s="1" t="n">
        <v>2796</v>
      </c>
      <c r="E975" s="4">
        <f>IF(INDEX(C:C, ROW())+INDEX(D:D, ROW())=0, 0, INDEX(C:C, ROW())/(INDEX(C:C, ROW())+INDEX(D:D, ROW())))</f>
        <v/>
      </c>
      <c r="F975" s="1" t="inlineStr">
        <is>
          <t>String</t>
        </is>
      </c>
      <c r="G975" s="1" t="inlineStr">
        <is>
          <t>Easy</t>
        </is>
      </c>
      <c r="H975" s="1" t="n">
        <v>696491</v>
      </c>
      <c r="I975" s="1" t="n">
        <v>823060</v>
      </c>
      <c r="J975" s="9" t="n">
        <v>0.846</v>
      </c>
      <c r="K975" s="1" t="inlineStr">
        <is>
          <t>Yes</t>
        </is>
      </c>
      <c r="L975" s="1" t="inlineStr">
        <is>
          <t>Yes</t>
        </is>
      </c>
      <c r="M975" s="1" t="inlineStr">
        <is>
          <t>No</t>
        </is>
      </c>
      <c r="N975" s="1" t="inlineStr">
        <is>
          <t>Algorithms</t>
        </is>
      </c>
      <c r="O9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76" ht="15.75" customHeight="1" s="12">
      <c r="A976" s="1" t="n">
        <v>1442</v>
      </c>
      <c r="B976" s="3">
        <f>HYPERLINK("https://leetcode.com/problems/count-triplets-that-can-form-two-arrays-of-equal-xor/", "Count Triplets That Can Form Two Arrays of Equal XOR")</f>
        <v/>
      </c>
      <c r="C976" s="1" t="n">
        <v>2016</v>
      </c>
      <c r="D976" s="1" t="n">
        <v>137</v>
      </c>
      <c r="E976" s="4">
        <f>IF(INDEX(C:C, ROW())+INDEX(D:D, ROW())=0, 0, INDEX(C:C, ROW())/(INDEX(C:C, ROW())+INDEX(D:D, ROW())))</f>
        <v/>
      </c>
      <c r="F976" s="1" t="inlineStr">
        <is>
          <t>Array, Hash Table, Math, Bit Manipulation, Prefix Sum</t>
        </is>
      </c>
      <c r="G976" s="1" t="inlineStr">
        <is>
          <t>Medium</t>
        </is>
      </c>
      <c r="H976" s="1" t="n">
        <v>139468</v>
      </c>
      <c r="I976" s="1" t="n">
        <v>164371</v>
      </c>
      <c r="J976" s="9" t="n">
        <v>0.848</v>
      </c>
      <c r="K976" s="1" t="inlineStr">
        <is>
          <t>Yes</t>
        </is>
      </c>
      <c r="L976" s="1" t="inlineStr">
        <is>
          <t>Yes</t>
        </is>
      </c>
      <c r="M976" s="1" t="inlineStr">
        <is>
          <t>No</t>
        </is>
      </c>
      <c r="N976" s="1" t="inlineStr">
        <is>
          <t>Algorithms</t>
        </is>
      </c>
      <c r="O9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77" ht="15.75" customHeight="1" s="12">
      <c r="A977" s="1" t="n">
        <v>2116</v>
      </c>
      <c r="B977" s="3">
        <f>HYPERLINK("https://leetcode.com/problems/check-if-a-parentheses-string-can-be-valid/", "Check if a Parentheses String Can Be Valid")</f>
        <v/>
      </c>
      <c r="C977" s="1" t="n">
        <v>2016</v>
      </c>
      <c r="D977" s="1" t="n">
        <v>133</v>
      </c>
      <c r="E977" s="4">
        <f>IF(INDEX(C:C, ROW())+INDEX(D:D, ROW())=0, 0, INDEX(C:C, ROW())/(INDEX(C:C, ROW())+INDEX(D:D, ROW())))</f>
        <v/>
      </c>
      <c r="F977" s="1" t="inlineStr">
        <is>
          <t>String, Stack, Greedy</t>
        </is>
      </c>
      <c r="G977" s="1" t="inlineStr">
        <is>
          <t>Medium</t>
        </is>
      </c>
      <c r="H977" s="1" t="n">
        <v>153983</v>
      </c>
      <c r="I977" s="1" t="n">
        <v>341996</v>
      </c>
      <c r="J977" s="9" t="n">
        <v>0.45</v>
      </c>
      <c r="K977" s="1" t="inlineStr">
        <is>
          <t>Yes</t>
        </is>
      </c>
      <c r="L977" s="1" t="inlineStr">
        <is>
          <t>Yes</t>
        </is>
      </c>
      <c r="M977" s="1" t="inlineStr">
        <is>
          <t>No</t>
        </is>
      </c>
      <c r="N977" s="1" t="inlineStr">
        <is>
          <t>Algorithms</t>
        </is>
      </c>
      <c r="O9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78" ht="15.75" customHeight="1" s="12">
      <c r="A978" s="1" t="n">
        <v>196</v>
      </c>
      <c r="B978" s="3">
        <f>HYPERLINK("https://leetcode.com/problems/delete-duplicate-emails/", "Delete Duplicate Emails")</f>
        <v/>
      </c>
      <c r="C978" s="1" t="n">
        <v>2012</v>
      </c>
      <c r="D978" s="1" t="n">
        <v>414</v>
      </c>
      <c r="E978" s="4">
        <f>IF(INDEX(C:C, ROW())+INDEX(D:D, ROW())=0, 0, INDEX(C:C, ROW())/(INDEX(C:C, ROW())+INDEX(D:D, ROW())))</f>
        <v/>
      </c>
      <c r="F978" s="1" t="inlineStr">
        <is>
          <t>Database</t>
        </is>
      </c>
      <c r="G978" s="1" t="inlineStr">
        <is>
          <t>Easy</t>
        </is>
      </c>
      <c r="H978" s="1" t="n">
        <v>893663</v>
      </c>
      <c r="I978" s="1" t="n">
        <v>1366254</v>
      </c>
      <c r="J978" s="9" t="n">
        <v>0.654</v>
      </c>
      <c r="K978" s="1" t="inlineStr">
        <is>
          <t>Yes</t>
        </is>
      </c>
      <c r="L978" s="1" t="inlineStr">
        <is>
          <t>Yes</t>
        </is>
      </c>
      <c r="M978" s="1" t="inlineStr">
        <is>
          <t>No</t>
        </is>
      </c>
      <c r="N978" s="1" t="inlineStr">
        <is>
          <t>Database</t>
        </is>
      </c>
      <c r="O9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79" ht="15.75" customHeight="1" s="12">
      <c r="A979" s="1" t="n">
        <v>818</v>
      </c>
      <c r="B979" s="3">
        <f>HYPERLINK("https://leetcode.com/problems/race-car/", "Race Car")</f>
        <v/>
      </c>
      <c r="C979" s="1" t="n">
        <v>2011</v>
      </c>
      <c r="D979" s="1" t="n">
        <v>190</v>
      </c>
      <c r="E979" s="4">
        <f>IF(INDEX(C:C, ROW())+INDEX(D:D, ROW())=0, 0, INDEX(C:C, ROW())/(INDEX(C:C, ROW())+INDEX(D:D, ROW())))</f>
        <v/>
      </c>
      <c r="F979" s="1" t="inlineStr">
        <is>
          <t>Dynamic Programming</t>
        </is>
      </c>
      <c r="G979" s="1" t="inlineStr">
        <is>
          <t>Hard</t>
        </is>
      </c>
      <c r="H979" s="1" t="n">
        <v>104215</v>
      </c>
      <c r="I979" s="1" t="n">
        <v>233951</v>
      </c>
      <c r="J979" s="9" t="n">
        <v>0.445</v>
      </c>
      <c r="K979" s="1" t="inlineStr">
        <is>
          <t>Yes</t>
        </is>
      </c>
      <c r="L979" s="1" t="inlineStr">
        <is>
          <t>Yes</t>
        </is>
      </c>
      <c r="M979" s="1" t="inlineStr">
        <is>
          <t>No</t>
        </is>
      </c>
      <c r="N979" s="1" t="inlineStr">
        <is>
          <t>Algorithms</t>
        </is>
      </c>
      <c r="O9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80" ht="15.75" customHeight="1" s="12">
      <c r="A980" s="1" t="n">
        <v>716</v>
      </c>
      <c r="B980" s="3">
        <f>HYPERLINK("https://leetcode.com/problems/max-stack/", "Max Stack")</f>
        <v/>
      </c>
      <c r="C980" s="1" t="n">
        <v>2008</v>
      </c>
      <c r="D980" s="1" t="n">
        <v>513</v>
      </c>
      <c r="E980" s="4">
        <f>IF(INDEX(C:C, ROW())+INDEX(D:D, ROW())=0, 0, INDEX(C:C, ROW())/(INDEX(C:C, ROW())+INDEX(D:D, ROW())))</f>
        <v/>
      </c>
      <c r="F980" s="1" t="inlineStr">
        <is>
          <t>Linked List, Stack, Design, Doubly-Linked List, Ordered Set</t>
        </is>
      </c>
      <c r="G980" s="1" t="inlineStr">
        <is>
          <t>Hard</t>
        </is>
      </c>
      <c r="H980" s="1" t="n">
        <v>180671</v>
      </c>
      <c r="I980" s="1" t="n">
        <v>394572</v>
      </c>
      <c r="J980" s="9" t="n">
        <v>0.458</v>
      </c>
      <c r="K980" s="1" t="inlineStr">
        <is>
          <t>No</t>
        </is>
      </c>
      <c r="L980" s="1" t="inlineStr">
        <is>
          <t>Yes</t>
        </is>
      </c>
      <c r="M980" s="1" t="inlineStr">
        <is>
          <t>No</t>
        </is>
      </c>
      <c r="N980" s="1" t="inlineStr">
        <is>
          <t>Algorithms</t>
        </is>
      </c>
      <c r="O9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81" ht="15.75" customHeight="1" s="12">
      <c r="A981" s="1" t="n">
        <v>2011</v>
      </c>
      <c r="B981" s="3">
        <f>HYPERLINK("https://leetcode.com/problems/final-value-of-variable-after-performing-operations/", "Final Value of Variable After Performing Operations")</f>
        <v/>
      </c>
      <c r="C981" s="1" t="n">
        <v>2004</v>
      </c>
      <c r="D981" s="1" t="n">
        <v>213</v>
      </c>
      <c r="E981" s="4">
        <f>IF(INDEX(C:C, ROW())+INDEX(D:D, ROW())=0, 0, INDEX(C:C, ROW())/(INDEX(C:C, ROW())+INDEX(D:D, ROW())))</f>
        <v/>
      </c>
      <c r="F981" s="1" t="inlineStr">
        <is>
          <t>Array, String, Simulation</t>
        </is>
      </c>
      <c r="G981" s="1" t="inlineStr">
        <is>
          <t>Easy</t>
        </is>
      </c>
      <c r="H981" s="1" t="n">
        <v>630623</v>
      </c>
      <c r="I981" s="1" t="n">
        <v>696330</v>
      </c>
      <c r="J981" s="9" t="n">
        <v>0.906</v>
      </c>
      <c r="K981" s="1" t="inlineStr">
        <is>
          <t>Yes</t>
        </is>
      </c>
      <c r="L981" s="1" t="inlineStr">
        <is>
          <t>Yes</t>
        </is>
      </c>
      <c r="M981" s="1" t="inlineStr">
        <is>
          <t>No</t>
        </is>
      </c>
      <c r="N981" s="1" t="inlineStr">
        <is>
          <t>Algorithms</t>
        </is>
      </c>
      <c r="O9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82" ht="15.75" customHeight="1" s="12">
      <c r="A982" s="1" t="n">
        <v>1186</v>
      </c>
      <c r="B982" s="3">
        <f>HYPERLINK("https://leetcode.com/problems/maximum-subarray-sum-with-one-deletion/", "Maximum Subarray Sum with One Deletion")</f>
        <v/>
      </c>
      <c r="C982" s="1" t="n">
        <v>2000</v>
      </c>
      <c r="D982" s="1" t="n">
        <v>80</v>
      </c>
      <c r="E982" s="4">
        <f>IF(INDEX(C:C, ROW())+INDEX(D:D, ROW())=0, 0, INDEX(C:C, ROW())/(INDEX(C:C, ROW())+INDEX(D:D, ROW())))</f>
        <v/>
      </c>
      <c r="F982" s="1" t="inlineStr">
        <is>
          <t>Array, Dynamic Programming</t>
        </is>
      </c>
      <c r="G982" s="1" t="inlineStr">
        <is>
          <t>Medium</t>
        </is>
      </c>
      <c r="H982" s="1" t="n">
        <v>71956</v>
      </c>
      <c r="I982" s="1" t="n">
        <v>155524</v>
      </c>
      <c r="J982" s="9" t="n">
        <v>0.463</v>
      </c>
      <c r="K982" s="1" t="inlineStr">
        <is>
          <t>Yes</t>
        </is>
      </c>
      <c r="L982" s="1" t="inlineStr">
        <is>
          <t>No</t>
        </is>
      </c>
      <c r="M982" s="1" t="inlineStr">
        <is>
          <t>No</t>
        </is>
      </c>
      <c r="N982" s="1" t="inlineStr">
        <is>
          <t>Algorithms</t>
        </is>
      </c>
      <c r="O9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83" ht="15.75" customHeight="1" s="12">
      <c r="A983" s="1" t="n">
        <v>2563</v>
      </c>
      <c r="B983" s="3">
        <f>HYPERLINK("https://leetcode.com/problems/count-the-number-of-fair-pairs/", "Count the Number of Fair Pairs")</f>
        <v/>
      </c>
      <c r="C983" s="1" t="n">
        <v>2000</v>
      </c>
      <c r="D983" s="1" t="n">
        <v>150</v>
      </c>
      <c r="E983" s="4">
        <f>IF(INDEX(C:C, ROW())+INDEX(D:D, ROW())=0, 0, INDEX(C:C, ROW())/(INDEX(C:C, ROW())+INDEX(D:D, ROW())))</f>
        <v/>
      </c>
      <c r="F983" s="1" t="inlineStr">
        <is>
          <t>Array, Two Pointers, Binary Search, Sorting</t>
        </is>
      </c>
      <c r="G983" s="1" t="inlineStr">
        <is>
          <t>Medium</t>
        </is>
      </c>
      <c r="H983" s="1" t="n">
        <v>235796</v>
      </c>
      <c r="I983" s="1" t="n">
        <v>447287</v>
      </c>
      <c r="J983" s="9" t="n">
        <v>0.527</v>
      </c>
      <c r="K983" s="1" t="inlineStr">
        <is>
          <t>Yes</t>
        </is>
      </c>
      <c r="L983" s="1" t="inlineStr">
        <is>
          <t>Yes</t>
        </is>
      </c>
      <c r="M983" s="1" t="inlineStr">
        <is>
          <t>No</t>
        </is>
      </c>
      <c r="N983" s="1" t="inlineStr">
        <is>
          <t>Algorithms</t>
        </is>
      </c>
      <c r="O9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84" ht="15.75" customHeight="1" s="12">
      <c r="A984" s="1" t="n">
        <v>730</v>
      </c>
      <c r="B984" s="3">
        <f>HYPERLINK("https://leetcode.com/problems/count-different-palindromic-subsequences/", "Count Different Palindromic Subsequences")</f>
        <v/>
      </c>
      <c r="C984" s="1" t="n">
        <v>1998</v>
      </c>
      <c r="D984" s="1" t="n">
        <v>103</v>
      </c>
      <c r="E984" s="4">
        <f>IF(INDEX(C:C, ROW())+INDEX(D:D, ROW())=0, 0, INDEX(C:C, ROW())/(INDEX(C:C, ROW())+INDEX(D:D, ROW())))</f>
        <v/>
      </c>
      <c r="F984" s="1" t="inlineStr">
        <is>
          <t>String, Dynamic Programming</t>
        </is>
      </c>
      <c r="G984" s="1" t="inlineStr">
        <is>
          <t>Hard</t>
        </is>
      </c>
      <c r="H984" s="1" t="n">
        <v>44366</v>
      </c>
      <c r="I984" s="1" t="n">
        <v>93632</v>
      </c>
      <c r="J984" s="9" t="n">
        <v>0.474</v>
      </c>
      <c r="K984" s="1" t="inlineStr">
        <is>
          <t>Yes</t>
        </is>
      </c>
      <c r="L984" s="1" t="inlineStr">
        <is>
          <t>Yes</t>
        </is>
      </c>
      <c r="M984" s="1" t="inlineStr">
        <is>
          <t>No</t>
        </is>
      </c>
      <c r="N984" s="1" t="inlineStr">
        <is>
          <t>Algorithms</t>
        </is>
      </c>
      <c r="O9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85" ht="15.75" customHeight="1" s="12">
      <c r="A985" s="1" t="n">
        <v>768</v>
      </c>
      <c r="B985" s="3">
        <f>HYPERLINK("https://leetcode.com/problems/max-chunks-to-make-sorted-ii/", "Max Chunks To Make Sorted II")</f>
        <v/>
      </c>
      <c r="C985" s="1" t="n">
        <v>1991</v>
      </c>
      <c r="D985" s="1" t="n">
        <v>63</v>
      </c>
      <c r="E985" s="4">
        <f>IF(INDEX(C:C, ROW())+INDEX(D:D, ROW())=0, 0, INDEX(C:C, ROW())/(INDEX(C:C, ROW())+INDEX(D:D, ROW())))</f>
        <v/>
      </c>
      <c r="F985" s="1" t="inlineStr">
        <is>
          <t>Array, Stack, Greedy, Sorting, Monotonic Stack</t>
        </is>
      </c>
      <c r="G985" s="1" t="inlineStr">
        <is>
          <t>Hard</t>
        </is>
      </c>
      <c r="H985" s="1" t="n">
        <v>84529</v>
      </c>
      <c r="I985" s="1" t="n">
        <v>154809</v>
      </c>
      <c r="J985" s="9" t="n">
        <v>0.546</v>
      </c>
      <c r="K985" s="1" t="inlineStr">
        <is>
          <t>Yes</t>
        </is>
      </c>
      <c r="L985" s="1" t="inlineStr">
        <is>
          <t>Yes</t>
        </is>
      </c>
      <c r="M985" s="1" t="inlineStr">
        <is>
          <t>No</t>
        </is>
      </c>
      <c r="N985" s="1" t="inlineStr">
        <is>
          <t>Algorithms</t>
        </is>
      </c>
      <c r="O9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86" ht="15.75" customHeight="1" s="12">
      <c r="A986" s="1" t="n">
        <v>1793</v>
      </c>
      <c r="B986" s="3">
        <f>HYPERLINK("https://leetcode.com/problems/maximum-score-of-a-good-subarray/", "Maximum Score of a Good Subarray")</f>
        <v/>
      </c>
      <c r="C986" s="1" t="n">
        <v>1991</v>
      </c>
      <c r="D986" s="1" t="n">
        <v>50</v>
      </c>
      <c r="E986" s="4">
        <f>IF(INDEX(C:C, ROW())+INDEX(D:D, ROW())=0, 0, INDEX(C:C, ROW())/(INDEX(C:C, ROW())+INDEX(D:D, ROW())))</f>
        <v/>
      </c>
      <c r="F986" s="1" t="inlineStr">
        <is>
          <t>Array, Two Pointers, Binary Search, Stack, Monotonic Stack</t>
        </is>
      </c>
      <c r="G986" s="1" t="inlineStr">
        <is>
          <t>Hard</t>
        </is>
      </c>
      <c r="H986" s="1" t="n">
        <v>87707</v>
      </c>
      <c r="I986" s="1" t="n">
        <v>136280</v>
      </c>
      <c r="J986" s="9" t="n">
        <v>0.644</v>
      </c>
      <c r="K986" s="1" t="inlineStr">
        <is>
          <t>Yes</t>
        </is>
      </c>
      <c r="L986" s="1" t="inlineStr">
        <is>
          <t>Yes</t>
        </is>
      </c>
      <c r="M986" s="1" t="inlineStr">
        <is>
          <t>No</t>
        </is>
      </c>
      <c r="N986" s="1" t="inlineStr">
        <is>
          <t>Algorithms</t>
        </is>
      </c>
      <c r="O9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87" ht="15.75" customHeight="1" s="12">
      <c r="A987" s="1" t="n">
        <v>671</v>
      </c>
      <c r="B987" s="3">
        <f>HYPERLINK("https://leetcode.com/problems/second-minimum-node-in-a-binary-tree/", "Second Minimum Node In a Binary Tree")</f>
        <v/>
      </c>
      <c r="C987" s="1" t="n">
        <v>1990</v>
      </c>
      <c r="D987" s="1" t="n">
        <v>1902</v>
      </c>
      <c r="E987" s="4">
        <f>IF(INDEX(C:C, ROW())+INDEX(D:D, ROW())=0, 0, INDEX(C:C, ROW())/(INDEX(C:C, ROW())+INDEX(D:D, ROW())))</f>
        <v/>
      </c>
      <c r="F987" s="1" t="inlineStr">
        <is>
          <t>Tree, Depth-First Search, Binary Tree</t>
        </is>
      </c>
      <c r="G987" s="1" t="inlineStr">
        <is>
          <t>Easy</t>
        </is>
      </c>
      <c r="H987" s="1" t="n">
        <v>237399</v>
      </c>
      <c r="I987" s="1" t="n">
        <v>517656</v>
      </c>
      <c r="J987" s="9" t="n">
        <v>0.459</v>
      </c>
      <c r="K987" s="1" t="inlineStr">
        <is>
          <t>Yes</t>
        </is>
      </c>
      <c r="L987" s="1" t="inlineStr">
        <is>
          <t>Yes</t>
        </is>
      </c>
      <c r="M987" s="1" t="inlineStr">
        <is>
          <t>No</t>
        </is>
      </c>
      <c r="N987" s="1" t="inlineStr">
        <is>
          <t>Algorithms</t>
        </is>
      </c>
      <c r="O9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88" ht="15.75" customHeight="1" s="12">
      <c r="A988" s="1" t="n">
        <v>317</v>
      </c>
      <c r="B988" s="3">
        <f>HYPERLINK("https://leetcode.com/problems/shortest-distance-from-all-buildings/", "Shortest Distance from All Buildings")</f>
        <v/>
      </c>
      <c r="C988" s="1" t="n">
        <v>1987</v>
      </c>
      <c r="D988" s="1" t="n">
        <v>343</v>
      </c>
      <c r="E988" s="4">
        <f>IF(INDEX(C:C, ROW())+INDEX(D:D, ROW())=0, 0, INDEX(C:C, ROW())/(INDEX(C:C, ROW())+INDEX(D:D, ROW())))</f>
        <v/>
      </c>
      <c r="F988" s="1" t="inlineStr">
        <is>
          <t>Array, Breadth-First Search, Matrix</t>
        </is>
      </c>
      <c r="G988" s="1" t="inlineStr">
        <is>
          <t>Hard</t>
        </is>
      </c>
      <c r="H988" s="1" t="n">
        <v>216486</v>
      </c>
      <c r="I988" s="1" t="n">
        <v>483198</v>
      </c>
      <c r="J988" s="9" t="n">
        <v>0.448</v>
      </c>
      <c r="K988" s="1" t="inlineStr">
        <is>
          <t>No</t>
        </is>
      </c>
      <c r="L988" s="1" t="inlineStr">
        <is>
          <t>Yes</t>
        </is>
      </c>
      <c r="M988" s="1" t="inlineStr">
        <is>
          <t>No</t>
        </is>
      </c>
      <c r="N988" s="1" t="inlineStr">
        <is>
          <t>Algorithms</t>
        </is>
      </c>
      <c r="O9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89" ht="15.75" customHeight="1" s="12">
      <c r="A989" s="1" t="n">
        <v>1489</v>
      </c>
      <c r="B989" s="3">
        <f>HYPERLINK("https://leetcode.com/problems/find-critical-and-pseudo-critical-edges-in-minimum-spanning-tree/", "Find Critical and Pseudo-Critical Edges in Minimum Spanning Tree")</f>
        <v/>
      </c>
      <c r="C989" s="1" t="n">
        <v>1985</v>
      </c>
      <c r="D989" s="1" t="n">
        <v>168</v>
      </c>
      <c r="E989" s="4">
        <f>IF(INDEX(C:C, ROW())+INDEX(D:D, ROW())=0, 0, INDEX(C:C, ROW())/(INDEX(C:C, ROW())+INDEX(D:D, ROW())))</f>
        <v/>
      </c>
      <c r="F989" s="1" t="inlineStr">
        <is>
          <t>Union-Find, Graph Theory, Sorting, Minimum Spanning Tree, Strongly Connected Component</t>
        </is>
      </c>
      <c r="G989" s="1" t="inlineStr">
        <is>
          <t>Hard</t>
        </is>
      </c>
      <c r="H989" s="1" t="n">
        <v>69655</v>
      </c>
      <c r="I989" s="1" t="n">
        <v>105122</v>
      </c>
      <c r="J989" s="9" t="n">
        <v>0.663</v>
      </c>
      <c r="K989" s="1" t="inlineStr">
        <is>
          <t>Yes</t>
        </is>
      </c>
      <c r="L989" s="1" t="inlineStr">
        <is>
          <t>Yes</t>
        </is>
      </c>
      <c r="M989" s="1" t="inlineStr">
        <is>
          <t>No</t>
        </is>
      </c>
      <c r="N989" s="1" t="inlineStr">
        <is>
          <t>Algorithms</t>
        </is>
      </c>
      <c r="O9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90" ht="15.75" customHeight="1" s="12">
      <c r="A990" s="1" t="n">
        <v>2009</v>
      </c>
      <c r="B990" s="3">
        <f>HYPERLINK("https://leetcode.com/problems/minimum-number-of-operations-to-make-array-continuous/", "Minimum Number of Operations to Make Array Continuous")</f>
        <v/>
      </c>
      <c r="C990" s="1" t="n">
        <v>1980</v>
      </c>
      <c r="D990" s="1" t="n">
        <v>53</v>
      </c>
      <c r="E990" s="4">
        <f>IF(INDEX(C:C, ROW())+INDEX(D:D, ROW())=0, 0, INDEX(C:C, ROW())/(INDEX(C:C, ROW())+INDEX(D:D, ROW())))</f>
        <v/>
      </c>
      <c r="F990" s="1" t="inlineStr">
        <is>
          <t>Array, Hash Table, Binary Search, Sliding Window</t>
        </is>
      </c>
      <c r="G990" s="1" t="inlineStr">
        <is>
          <t>Hard</t>
        </is>
      </c>
      <c r="H990" s="1" t="n">
        <v>85552</v>
      </c>
      <c r="I990" s="1" t="n">
        <v>164064</v>
      </c>
      <c r="J990" s="9" t="n">
        <v>0.521</v>
      </c>
      <c r="K990" s="1" t="inlineStr">
        <is>
          <t>Yes</t>
        </is>
      </c>
      <c r="L990" s="1" t="inlineStr">
        <is>
          <t>Yes</t>
        </is>
      </c>
      <c r="M990" s="1" t="inlineStr">
        <is>
          <t>No</t>
        </is>
      </c>
      <c r="N990" s="1" t="inlineStr">
        <is>
          <t>Algorithms</t>
        </is>
      </c>
      <c r="O9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91" ht="15.75" customHeight="1" s="12">
      <c r="A991" s="1" t="n">
        <v>1727</v>
      </c>
      <c r="B991" s="3">
        <f>HYPERLINK("https://leetcode.com/problems/largest-submatrix-with-rearrangements/", "Largest Submatrix With Rearrangements")</f>
        <v/>
      </c>
      <c r="C991" s="1" t="n">
        <v>1976</v>
      </c>
      <c r="D991" s="1" t="n">
        <v>107</v>
      </c>
      <c r="E991" s="4">
        <f>IF(INDEX(C:C, ROW())+INDEX(D:D, ROW())=0, 0, INDEX(C:C, ROW())/(INDEX(C:C, ROW())+INDEX(D:D, ROW())))</f>
        <v/>
      </c>
      <c r="F991" s="1" t="inlineStr">
        <is>
          <t>Array, Greedy, Sorting, Matrix</t>
        </is>
      </c>
      <c r="G991" s="1" t="inlineStr">
        <is>
          <t>Medium</t>
        </is>
      </c>
      <c r="H991" s="1" t="n">
        <v>78515</v>
      </c>
      <c r="I991" s="1" t="n">
        <v>104392</v>
      </c>
      <c r="J991" s="9" t="n">
        <v>0.752</v>
      </c>
      <c r="K991" s="1" t="inlineStr">
        <is>
          <t>Yes</t>
        </is>
      </c>
      <c r="L991" s="1" t="inlineStr">
        <is>
          <t>Yes</t>
        </is>
      </c>
      <c r="M991" s="1" t="inlineStr">
        <is>
          <t>No</t>
        </is>
      </c>
      <c r="N991" s="1" t="inlineStr">
        <is>
          <t>Algorithms</t>
        </is>
      </c>
      <c r="O9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92" ht="15.75" customHeight="1" s="12">
      <c r="A992" s="1" t="n">
        <v>965</v>
      </c>
      <c r="B992" s="3">
        <f>HYPERLINK("https://leetcode.com/problems/univalued-binary-tree/", "Univalued Binary Tree")</f>
        <v/>
      </c>
      <c r="C992" s="1" t="n">
        <v>1974</v>
      </c>
      <c r="D992" s="1" t="n">
        <v>68</v>
      </c>
      <c r="E992" s="4">
        <f>IF(INDEX(C:C, ROW())+INDEX(D:D, ROW())=0, 0, INDEX(C:C, ROW())/(INDEX(C:C, ROW())+INDEX(D:D, ROW())))</f>
        <v/>
      </c>
      <c r="F992" s="1" t="inlineStr">
        <is>
          <t>Tree, Depth-First Search, Breadth-First Search, Binary Tree</t>
        </is>
      </c>
      <c r="G992" s="1" t="inlineStr">
        <is>
          <t>Easy</t>
        </is>
      </c>
      <c r="H992" s="1" t="n">
        <v>267074</v>
      </c>
      <c r="I992" s="1" t="n">
        <v>367329</v>
      </c>
      <c r="J992" s="9" t="n">
        <v>0.727</v>
      </c>
      <c r="K992" s="1" t="inlineStr">
        <is>
          <t>Yes</t>
        </is>
      </c>
      <c r="L992" s="1" t="inlineStr">
        <is>
          <t>Yes</t>
        </is>
      </c>
      <c r="M992" s="1" t="inlineStr">
        <is>
          <t>No</t>
        </is>
      </c>
      <c r="N992" s="1" t="inlineStr">
        <is>
          <t>Algorithms</t>
        </is>
      </c>
      <c r="O9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93" ht="15.75" customHeight="1" s="12">
      <c r="A993" s="1" t="n">
        <v>305</v>
      </c>
      <c r="B993" s="3">
        <f>HYPERLINK("https://leetcode.com/problems/number-of-islands-ii/", "Number of Islands II")</f>
        <v/>
      </c>
      <c r="C993" s="1" t="n">
        <v>1973</v>
      </c>
      <c r="D993" s="1" t="n">
        <v>77</v>
      </c>
      <c r="E993" s="4">
        <f>IF(INDEX(C:C, ROW())+INDEX(D:D, ROW())=0, 0, INDEX(C:C, ROW())/(INDEX(C:C, ROW())+INDEX(D:D, ROW())))</f>
        <v/>
      </c>
      <c r="F993" s="1" t="inlineStr">
        <is>
          <t>Array, Hash Table, Union-Find</t>
        </is>
      </c>
      <c r="G993" s="1" t="inlineStr">
        <is>
          <t>Hard</t>
        </is>
      </c>
      <c r="H993" s="1" t="n">
        <v>174873</v>
      </c>
      <c r="I993" s="1" t="n">
        <v>433785</v>
      </c>
      <c r="J993" s="9" t="n">
        <v>0.403</v>
      </c>
      <c r="K993" s="1" t="inlineStr">
        <is>
          <t>No</t>
        </is>
      </c>
      <c r="L993" s="1" t="inlineStr">
        <is>
          <t>Yes</t>
        </is>
      </c>
      <c r="M993" s="1" t="inlineStr">
        <is>
          <t>No</t>
        </is>
      </c>
      <c r="N993" s="1" t="inlineStr">
        <is>
          <t>Algorithms</t>
        </is>
      </c>
      <c r="O9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94" ht="15.75" customHeight="1" s="12">
      <c r="A994" s="1" t="n">
        <v>1296</v>
      </c>
      <c r="B994" s="3">
        <f>HYPERLINK("https://leetcode.com/problems/divide-array-in-sets-of-k-consecutive-numbers/", "Divide Array in Sets of K Consecutive Numbers")</f>
        <v/>
      </c>
      <c r="C994" s="1" t="n">
        <v>1973</v>
      </c>
      <c r="D994" s="1" t="n">
        <v>117</v>
      </c>
      <c r="E994" s="4">
        <f>IF(INDEX(C:C, ROW())+INDEX(D:D, ROW())=0, 0, INDEX(C:C, ROW())/(INDEX(C:C, ROW())+INDEX(D:D, ROW())))</f>
        <v/>
      </c>
      <c r="F994" s="1" t="inlineStr">
        <is>
          <t>Array, Hash Table, Greedy, Sorting</t>
        </is>
      </c>
      <c r="G994" s="1" t="inlineStr">
        <is>
          <t>Medium</t>
        </is>
      </c>
      <c r="H994" s="1" t="n">
        <v>122937</v>
      </c>
      <c r="I994" s="1" t="n">
        <v>208222</v>
      </c>
      <c r="J994" s="9" t="n">
        <v>0.59</v>
      </c>
      <c r="K994" s="1" t="inlineStr">
        <is>
          <t>Yes</t>
        </is>
      </c>
      <c r="L994" s="1" t="inlineStr">
        <is>
          <t>No</t>
        </is>
      </c>
      <c r="M994" s="1" t="inlineStr">
        <is>
          <t>No</t>
        </is>
      </c>
      <c r="N994" s="1" t="inlineStr">
        <is>
          <t>Algorithms</t>
        </is>
      </c>
      <c r="O9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95" ht="15.75" customHeight="1" s="12">
      <c r="A995" s="1" t="n">
        <v>1561</v>
      </c>
      <c r="B995" s="3">
        <f>HYPERLINK("https://leetcode.com/problems/maximum-number-of-coins-you-can-get/", "Maximum Number of Coins You Can Get")</f>
        <v/>
      </c>
      <c r="C995" s="1" t="n">
        <v>1969</v>
      </c>
      <c r="D995" s="1" t="n">
        <v>223</v>
      </c>
      <c r="E995" s="4">
        <f>IF(INDEX(C:C, ROW())+INDEX(D:D, ROW())=0, 0, INDEX(C:C, ROW())/(INDEX(C:C, ROW())+INDEX(D:D, ROW())))</f>
        <v/>
      </c>
      <c r="F995" s="1" t="inlineStr">
        <is>
          <t>Array, Math, Greedy, Sorting, Game Theory</t>
        </is>
      </c>
      <c r="G995" s="1" t="inlineStr">
        <is>
          <t>Medium</t>
        </is>
      </c>
      <c r="H995" s="1" t="n">
        <v>194490</v>
      </c>
      <c r="I995" s="1" t="n">
        <v>229633</v>
      </c>
      <c r="J995" s="9" t="n">
        <v>0.847</v>
      </c>
      <c r="K995" s="1" t="inlineStr">
        <is>
          <t>Yes</t>
        </is>
      </c>
      <c r="L995" s="1" t="inlineStr">
        <is>
          <t>Yes</t>
        </is>
      </c>
      <c r="M995" s="1" t="inlineStr">
        <is>
          <t>No</t>
        </is>
      </c>
      <c r="N995" s="1" t="inlineStr">
        <is>
          <t>Algorithms</t>
        </is>
      </c>
      <c r="O9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96" ht="15.75" customHeight="1" s="12">
      <c r="A996" s="1" t="n">
        <v>1749</v>
      </c>
      <c r="B996" s="3">
        <f>HYPERLINK("https://leetcode.com/problems/maximum-absolute-sum-of-any-subarray/", "Maximum Absolute Sum of Any Subarray")</f>
        <v/>
      </c>
      <c r="C996" s="1" t="n">
        <v>1968</v>
      </c>
      <c r="D996" s="1" t="n">
        <v>45</v>
      </c>
      <c r="E996" s="4">
        <f>IF(INDEX(C:C, ROW())+INDEX(D:D, ROW())=0, 0, INDEX(C:C, ROW())/(INDEX(C:C, ROW())+INDEX(D:D, ROW())))</f>
        <v/>
      </c>
      <c r="F996" s="1" t="inlineStr">
        <is>
          <t>Array, Dynamic Programming</t>
        </is>
      </c>
      <c r="G996" s="1" t="inlineStr">
        <is>
          <t>Medium</t>
        </is>
      </c>
      <c r="H996" s="1" t="n">
        <v>181805</v>
      </c>
      <c r="I996" s="1" t="n">
        <v>255093</v>
      </c>
      <c r="J996" s="9" t="n">
        <v>0.713</v>
      </c>
      <c r="K996" s="1" t="inlineStr">
        <is>
          <t>Yes</t>
        </is>
      </c>
      <c r="L996" s="1" t="inlineStr">
        <is>
          <t>Yes</t>
        </is>
      </c>
      <c r="M996" s="1" t="inlineStr">
        <is>
          <t>No</t>
        </is>
      </c>
      <c r="N996" s="1" t="inlineStr">
        <is>
          <t>Algorithms</t>
        </is>
      </c>
      <c r="O9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97" ht="15.75" customHeight="1" s="12">
      <c r="A997" s="1" t="n">
        <v>726</v>
      </c>
      <c r="B997" s="3">
        <f>HYPERLINK("https://leetcode.com/problems/number-of-atoms/", "Number of Atoms")</f>
        <v/>
      </c>
      <c r="C997" s="1" t="n">
        <v>1967</v>
      </c>
      <c r="D997" s="1" t="n">
        <v>411</v>
      </c>
      <c r="E997" s="4">
        <f>IF(INDEX(C:C, ROW())+INDEX(D:D, ROW())=0, 0, INDEX(C:C, ROW())/(INDEX(C:C, ROW())+INDEX(D:D, ROW())))</f>
        <v/>
      </c>
      <c r="F997" s="1" t="inlineStr">
        <is>
          <t>Hash Table, String, Stack, Sorting</t>
        </is>
      </c>
      <c r="G997" s="1" t="inlineStr">
        <is>
          <t>Hard</t>
        </is>
      </c>
      <c r="H997" s="1" t="n">
        <v>159606</v>
      </c>
      <c r="I997" s="1" t="n">
        <v>245390</v>
      </c>
      <c r="J997" s="9" t="n">
        <v>0.65</v>
      </c>
      <c r="K997" s="1" t="inlineStr">
        <is>
          <t>Yes</t>
        </is>
      </c>
      <c r="L997" s="1" t="inlineStr">
        <is>
          <t>Yes</t>
        </is>
      </c>
      <c r="M997" s="1" t="inlineStr">
        <is>
          <t>No</t>
        </is>
      </c>
      <c r="N997" s="1" t="inlineStr">
        <is>
          <t>Algorithms</t>
        </is>
      </c>
      <c r="O9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98" ht="15.75" customHeight="1" s="12">
      <c r="A998" s="1" t="n">
        <v>1378</v>
      </c>
      <c r="B998" s="3">
        <f>HYPERLINK("https://leetcode.com/problems/replace-employee-id-with-the-unique-identifier/", "Replace Employee ID With The Unique Identifier")</f>
        <v/>
      </c>
      <c r="C998" s="1" t="n">
        <v>1965</v>
      </c>
      <c r="D998" s="1" t="n">
        <v>158</v>
      </c>
      <c r="E998" s="4">
        <f>IF(INDEX(C:C, ROW())+INDEX(D:D, ROW())=0, 0, INDEX(C:C, ROW())/(INDEX(C:C, ROW())+INDEX(D:D, ROW())))</f>
        <v/>
      </c>
      <c r="F998" s="1" t="inlineStr">
        <is>
          <t>Database</t>
        </is>
      </c>
      <c r="G998" s="1" t="inlineStr">
        <is>
          <t>Easy</t>
        </is>
      </c>
      <c r="H998" s="1" t="n">
        <v>1231377</v>
      </c>
      <c r="I998" s="1" t="n">
        <v>1474264</v>
      </c>
      <c r="J998" s="9" t="n">
        <v>0.835</v>
      </c>
      <c r="K998" s="1" t="inlineStr">
        <is>
          <t>Yes</t>
        </is>
      </c>
      <c r="L998" s="1" t="inlineStr">
        <is>
          <t>Yes</t>
        </is>
      </c>
      <c r="M998" s="1" t="inlineStr">
        <is>
          <t>No</t>
        </is>
      </c>
      <c r="N998" s="1" t="inlineStr">
        <is>
          <t>Database</t>
        </is>
      </c>
      <c r="O9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999" ht="15.75" customHeight="1" s="12">
      <c r="A999" s="1" t="n">
        <v>2306</v>
      </c>
      <c r="B999" s="3">
        <f>HYPERLINK("https://leetcode.com/problems/naming-a-company/", "Naming a Company")</f>
        <v/>
      </c>
      <c r="C999" s="1" t="n">
        <v>1964</v>
      </c>
      <c r="D999" s="1" t="n">
        <v>74</v>
      </c>
      <c r="E999" s="4">
        <f>IF(INDEX(C:C, ROW())+INDEX(D:D, ROW())=0, 0, INDEX(C:C, ROW())/(INDEX(C:C, ROW())+INDEX(D:D, ROW())))</f>
        <v/>
      </c>
      <c r="F999" s="1" t="inlineStr">
        <is>
          <t>Array, Hash Table, String, Bit Manipulation, Enumeration</t>
        </is>
      </c>
      <c r="G999" s="1" t="inlineStr">
        <is>
          <t>Hard</t>
        </is>
      </c>
      <c r="H999" s="1" t="n">
        <v>65025</v>
      </c>
      <c r="I999" s="1" t="n">
        <v>139980</v>
      </c>
      <c r="J999" s="9" t="n">
        <v>0.465</v>
      </c>
      <c r="K999" s="1" t="inlineStr">
        <is>
          <t>Yes</t>
        </is>
      </c>
      <c r="L999" s="1" t="inlineStr">
        <is>
          <t>Yes</t>
        </is>
      </c>
      <c r="M999" s="1" t="inlineStr">
        <is>
          <t>No</t>
        </is>
      </c>
      <c r="N999" s="1" t="inlineStr">
        <is>
          <t>Algorithms</t>
        </is>
      </c>
      <c r="O9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00" ht="15.75" customHeight="1" s="12">
      <c r="A1000" s="1" t="n">
        <v>292</v>
      </c>
      <c r="B1000" s="3">
        <f>HYPERLINK("https://leetcode.com/problems/nim-game/", "Nim Game")</f>
        <v/>
      </c>
      <c r="C1000" s="1" t="n">
        <v>1962</v>
      </c>
      <c r="D1000" s="1" t="n">
        <v>2745</v>
      </c>
      <c r="E1000" s="4">
        <f>IF(INDEX(C:C, ROW())+INDEX(D:D, ROW())=0, 0, INDEX(C:C, ROW())/(INDEX(C:C, ROW())+INDEX(D:D, ROW())))</f>
        <v/>
      </c>
      <c r="F1000" s="1" t="inlineStr">
        <is>
          <t>Math, Brainteaser, Game Theory</t>
        </is>
      </c>
      <c r="G1000" s="1" t="inlineStr">
        <is>
          <t>Easy</t>
        </is>
      </c>
      <c r="H1000" s="1" t="n">
        <v>514394</v>
      </c>
      <c r="I1000" s="1" t="n">
        <v>871722</v>
      </c>
      <c r="J1000" s="9" t="n">
        <v>0.59</v>
      </c>
      <c r="K1000" s="1" t="inlineStr">
        <is>
          <t>Yes</t>
        </is>
      </c>
      <c r="L1000" s="1" t="inlineStr">
        <is>
          <t>Yes</t>
        </is>
      </c>
      <c r="M1000" s="1" t="inlineStr">
        <is>
          <t>No</t>
        </is>
      </c>
      <c r="N1000" s="1" t="inlineStr">
        <is>
          <t>Algorithms</t>
        </is>
      </c>
      <c r="O10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01" ht="15.75" customHeight="1" s="12">
      <c r="A1001" s="1" t="n">
        <v>898</v>
      </c>
      <c r="B1001" s="3">
        <f>HYPERLINK("https://leetcode.com/problems/bitwise-ors-of-subarrays/", "Bitwise ORs of Subarrays")</f>
        <v/>
      </c>
      <c r="C1001" s="1" t="n">
        <v>1954</v>
      </c>
      <c r="D1001" s="1" t="n">
        <v>244</v>
      </c>
      <c r="E1001" s="4">
        <f>IF(INDEX(C:C, ROW())+INDEX(D:D, ROW())=0, 0, INDEX(C:C, ROW())/(INDEX(C:C, ROW())+INDEX(D:D, ROW())))</f>
        <v/>
      </c>
      <c r="F1001" s="1" t="inlineStr">
        <is>
          <t>Array, Dynamic Programming, Bit Manipulation</t>
        </is>
      </c>
      <c r="G1001" s="1" t="inlineStr">
        <is>
          <t>Medium</t>
        </is>
      </c>
      <c r="H1001" s="1" t="n">
        <v>131963</v>
      </c>
      <c r="I1001" s="1" t="n">
        <v>232618</v>
      </c>
      <c r="J1001" s="9" t="n">
        <v>0.5669999999999999</v>
      </c>
      <c r="K1001" s="1" t="inlineStr">
        <is>
          <t>Yes</t>
        </is>
      </c>
      <c r="L1001" s="1" t="inlineStr">
        <is>
          <t>Yes</t>
        </is>
      </c>
      <c r="M1001" s="1" t="inlineStr">
        <is>
          <t>No</t>
        </is>
      </c>
      <c r="N1001" s="1" t="inlineStr">
        <is>
          <t>Algorithms</t>
        </is>
      </c>
      <c r="O10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02" ht="15.75" customHeight="1" s="12">
      <c r="A1002" s="1" t="n">
        <v>1791</v>
      </c>
      <c r="B1002" s="3">
        <f>HYPERLINK("https://leetcode.com/problems/find-center-of-star-graph/", "Find Center of Star Graph")</f>
        <v/>
      </c>
      <c r="C1002" s="1" t="n">
        <v>1951</v>
      </c>
      <c r="D1002" s="1" t="n">
        <v>182</v>
      </c>
      <c r="E1002" s="4">
        <f>IF(INDEX(C:C, ROW())+INDEX(D:D, ROW())=0, 0, INDEX(C:C, ROW())/(INDEX(C:C, ROW())+INDEX(D:D, ROW())))</f>
        <v/>
      </c>
      <c r="F1002" s="1" t="inlineStr">
        <is>
          <t>Graph Theory</t>
        </is>
      </c>
      <c r="G1002" s="1" t="inlineStr">
        <is>
          <t>Easy</t>
        </is>
      </c>
      <c r="H1002" s="1" t="n">
        <v>426718</v>
      </c>
      <c r="I1002" s="1" t="n">
        <v>492268</v>
      </c>
      <c r="J1002" s="9" t="n">
        <v>0.867</v>
      </c>
      <c r="K1002" s="1" t="inlineStr">
        <is>
          <t>Yes</t>
        </is>
      </c>
      <c r="L1002" s="1" t="inlineStr">
        <is>
          <t>Yes</t>
        </is>
      </c>
      <c r="M1002" s="1" t="inlineStr">
        <is>
          <t>No</t>
        </is>
      </c>
      <c r="N1002" s="1" t="inlineStr">
        <is>
          <t>Algorithms</t>
        </is>
      </c>
      <c r="O10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03" ht="15.75" customHeight="1" s="12">
      <c r="A1003" s="1" t="n">
        <v>2353</v>
      </c>
      <c r="B1003" s="3">
        <f>HYPERLINK("https://leetcode.com/problems/design-a-food-rating-system/", "Design a Food Rating System")</f>
        <v/>
      </c>
      <c r="C1003" s="1" t="n">
        <v>1951</v>
      </c>
      <c r="D1003" s="1" t="n">
        <v>328</v>
      </c>
      <c r="E1003" s="4">
        <f>IF(INDEX(C:C, ROW())+INDEX(D:D, ROW())=0, 0, INDEX(C:C, ROW())/(INDEX(C:C, ROW())+INDEX(D:D, ROW())))</f>
        <v/>
      </c>
      <c r="F1003" s="1" t="inlineStr">
        <is>
          <t>Array, Hash Table, String, Design, Heap (Priority Queue), Ordered Set</t>
        </is>
      </c>
      <c r="G1003" s="1" t="inlineStr">
        <is>
          <t>Medium</t>
        </is>
      </c>
      <c r="H1003" s="1" t="n">
        <v>179226</v>
      </c>
      <c r="I1003" s="1" t="n">
        <v>339305</v>
      </c>
      <c r="J1003" s="9" t="n">
        <v>0.528</v>
      </c>
      <c r="K1003" s="1" t="inlineStr">
        <is>
          <t>Yes</t>
        </is>
      </c>
      <c r="L1003" s="1" t="inlineStr">
        <is>
          <t>Yes</t>
        </is>
      </c>
      <c r="M1003" s="1" t="inlineStr">
        <is>
          <t>No</t>
        </is>
      </c>
      <c r="N1003" s="1" t="inlineStr">
        <is>
          <t>Algorithms</t>
        </is>
      </c>
      <c r="O10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04" ht="15.75" customHeight="1" s="12">
      <c r="A1004" s="1" t="n">
        <v>759</v>
      </c>
      <c r="B1004" s="3">
        <f>HYPERLINK("https://leetcode.com/problems/employee-free-time/", "Employee Free Time")</f>
        <v/>
      </c>
      <c r="C1004" s="1" t="n">
        <v>1949</v>
      </c>
      <c r="D1004" s="1" t="n">
        <v>143</v>
      </c>
      <c r="E1004" s="4">
        <f>IF(INDEX(C:C, ROW())+INDEX(D:D, ROW())=0, 0, INDEX(C:C, ROW())/(INDEX(C:C, ROW())+INDEX(D:D, ROW())))</f>
        <v/>
      </c>
      <c r="F1004" s="1" t="inlineStr">
        <is>
          <t>Array, Sweep Line, Sorting, Heap (Priority Queue)</t>
        </is>
      </c>
      <c r="G1004" s="1" t="inlineStr">
        <is>
          <t>Hard</t>
        </is>
      </c>
      <c r="H1004" s="1" t="n">
        <v>174675</v>
      </c>
      <c r="I1004" s="1" t="n">
        <v>240212</v>
      </c>
      <c r="J1004" s="9" t="n">
        <v>0.727</v>
      </c>
      <c r="K1004" s="1" t="inlineStr">
        <is>
          <t>No</t>
        </is>
      </c>
      <c r="L1004" s="1" t="inlineStr">
        <is>
          <t>Yes</t>
        </is>
      </c>
      <c r="M1004" s="1" t="inlineStr">
        <is>
          <t>No</t>
        </is>
      </c>
      <c r="N1004" s="1" t="inlineStr">
        <is>
          <t>Algorithms</t>
        </is>
      </c>
      <c r="O10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05" ht="15.75" customHeight="1" s="12">
      <c r="A1005" s="1" t="n">
        <v>1962</v>
      </c>
      <c r="B1005" s="3">
        <f>HYPERLINK("https://leetcode.com/problems/remove-stones-to-minimize-the-total/", "Remove Stones to Minimize the Total")</f>
        <v/>
      </c>
      <c r="C1005" s="1" t="n">
        <v>1949</v>
      </c>
      <c r="D1005" s="1" t="n">
        <v>180</v>
      </c>
      <c r="E1005" s="4">
        <f>IF(INDEX(C:C, ROW())+INDEX(D:D, ROW())=0, 0, INDEX(C:C, ROW())/(INDEX(C:C, ROW())+INDEX(D:D, ROW())))</f>
        <v/>
      </c>
      <c r="F1005" s="1" t="inlineStr">
        <is>
          <t>Array, Greedy, Heap (Priority Queue)</t>
        </is>
      </c>
      <c r="G1005" s="1" t="inlineStr">
        <is>
          <t>Medium</t>
        </is>
      </c>
      <c r="H1005" s="1" t="n">
        <v>144547</v>
      </c>
      <c r="I1005" s="1" t="n">
        <v>221264</v>
      </c>
      <c r="J1005" s="9" t="n">
        <v>0.653</v>
      </c>
      <c r="K1005" s="1" t="inlineStr">
        <is>
          <t>Yes</t>
        </is>
      </c>
      <c r="L1005" s="1" t="inlineStr">
        <is>
          <t>Yes</t>
        </is>
      </c>
      <c r="M1005" s="1" t="inlineStr">
        <is>
          <t>No</t>
        </is>
      </c>
      <c r="N1005" s="1" t="inlineStr">
        <is>
          <t>Algorithms</t>
        </is>
      </c>
      <c r="O10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06" ht="15.75" customHeight="1" s="12">
      <c r="A1006" s="1" t="n">
        <v>2089</v>
      </c>
      <c r="B1006" s="3">
        <f>HYPERLINK("https://leetcode.com/problems/find-target-indices-after-sorting-array/", "Find Target Indices After Sorting Array")</f>
        <v/>
      </c>
      <c r="C1006" s="1" t="n">
        <v>1944</v>
      </c>
      <c r="D1006" s="1" t="n">
        <v>106</v>
      </c>
      <c r="E1006" s="4">
        <f>IF(INDEX(C:C, ROW())+INDEX(D:D, ROW())=0, 0, INDEX(C:C, ROW())/(INDEX(C:C, ROW())+INDEX(D:D, ROW())))</f>
        <v/>
      </c>
      <c r="F1006" s="1" t="inlineStr">
        <is>
          <t>Array, Binary Search, Sorting</t>
        </is>
      </c>
      <c r="G1006" s="1" t="inlineStr">
        <is>
          <t>Easy</t>
        </is>
      </c>
      <c r="H1006" s="1" t="n">
        <v>263588</v>
      </c>
      <c r="I1006" s="1" t="n">
        <v>339126</v>
      </c>
      <c r="J1006" s="9" t="n">
        <v>0.777</v>
      </c>
      <c r="K1006" s="1" t="inlineStr">
        <is>
          <t>Yes</t>
        </is>
      </c>
      <c r="L1006" s="1" t="inlineStr">
        <is>
          <t>No</t>
        </is>
      </c>
      <c r="M1006" s="1" t="inlineStr">
        <is>
          <t>No</t>
        </is>
      </c>
      <c r="N1006" s="1" t="inlineStr">
        <is>
          <t>Algorithms</t>
        </is>
      </c>
      <c r="O10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07" ht="15.75" customHeight="1" s="12">
      <c r="A1007" s="1" t="n">
        <v>879</v>
      </c>
      <c r="B1007" s="3">
        <f>HYPERLINK("https://leetcode.com/problems/profitable-schemes/", "Profitable Schemes")</f>
        <v/>
      </c>
      <c r="C1007" s="1" t="n">
        <v>1935</v>
      </c>
      <c r="D1007" s="1" t="n">
        <v>126</v>
      </c>
      <c r="E1007" s="4">
        <f>IF(INDEX(C:C, ROW())+INDEX(D:D, ROW())=0, 0, INDEX(C:C, ROW())/(INDEX(C:C, ROW())+INDEX(D:D, ROW())))</f>
        <v/>
      </c>
      <c r="F1007" s="1" t="inlineStr">
        <is>
          <t>Array, Dynamic Programming</t>
        </is>
      </c>
      <c r="G1007" s="1" t="inlineStr">
        <is>
          <t>Hard</t>
        </is>
      </c>
      <c r="H1007" s="1" t="n">
        <v>76233</v>
      </c>
      <c r="I1007" s="1" t="n">
        <v>158215</v>
      </c>
      <c r="J1007" s="9" t="n">
        <v>0.482</v>
      </c>
      <c r="K1007" s="1" t="inlineStr">
        <is>
          <t>Yes</t>
        </is>
      </c>
      <c r="L1007" s="1" t="inlineStr">
        <is>
          <t>Yes</t>
        </is>
      </c>
      <c r="M1007" s="1" t="inlineStr">
        <is>
          <t>No</t>
        </is>
      </c>
      <c r="N1007" s="1" t="inlineStr">
        <is>
          <t>Algorithms</t>
        </is>
      </c>
      <c r="O10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08" ht="15.75" customHeight="1" s="12">
      <c r="A1008" s="1" t="n">
        <v>754</v>
      </c>
      <c r="B1008" s="3">
        <f>HYPERLINK("https://leetcode.com/problems/reach-a-number/", "Reach a Number")</f>
        <v/>
      </c>
      <c r="C1008" s="1" t="n">
        <v>1929</v>
      </c>
      <c r="D1008" s="1" t="n">
        <v>839</v>
      </c>
      <c r="E1008" s="4">
        <f>IF(INDEX(C:C, ROW())+INDEX(D:D, ROW())=0, 0, INDEX(C:C, ROW())/(INDEX(C:C, ROW())+INDEX(D:D, ROW())))</f>
        <v/>
      </c>
      <c r="F1008" s="1" t="inlineStr">
        <is>
          <t>Math, Binary Search</t>
        </is>
      </c>
      <c r="G1008" s="1" t="inlineStr">
        <is>
          <t>Medium</t>
        </is>
      </c>
      <c r="H1008" s="1" t="n">
        <v>68960</v>
      </c>
      <c r="I1008" s="1" t="n">
        <v>154940</v>
      </c>
      <c r="J1008" s="9" t="n">
        <v>0.445</v>
      </c>
      <c r="K1008" s="1" t="inlineStr">
        <is>
          <t>Yes</t>
        </is>
      </c>
      <c r="L1008" s="1" t="inlineStr">
        <is>
          <t>Yes</t>
        </is>
      </c>
      <c r="M1008" s="1" t="inlineStr">
        <is>
          <t>No</t>
        </is>
      </c>
      <c r="N1008" s="1" t="inlineStr">
        <is>
          <t>Algorithms</t>
        </is>
      </c>
      <c r="O10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09" ht="15.75" customHeight="1" s="12">
      <c r="A1009" s="1" t="n">
        <v>2092</v>
      </c>
      <c r="B1009" s="3">
        <f>HYPERLINK("https://leetcode.com/problems/find-all-people-with-secret/", "Find All People With Secret")</f>
        <v/>
      </c>
      <c r="C1009" s="1" t="n">
        <v>1926</v>
      </c>
      <c r="D1009" s="1" t="n">
        <v>90</v>
      </c>
      <c r="E1009" s="4">
        <f>IF(INDEX(C:C, ROW())+INDEX(D:D, ROW())=0, 0, INDEX(C:C, ROW())/(INDEX(C:C, ROW())+INDEX(D:D, ROW())))</f>
        <v/>
      </c>
      <c r="F1009" s="1" t="inlineStr">
        <is>
          <t>Depth-First Search, Breadth-First Search, Union-Find, Graph Theory, Sorting</t>
        </is>
      </c>
      <c r="G1009" s="1" t="inlineStr">
        <is>
          <t>Hard</t>
        </is>
      </c>
      <c r="H1009" s="1" t="n">
        <v>163482</v>
      </c>
      <c r="I1009" s="1" t="n">
        <v>337581</v>
      </c>
      <c r="J1009" s="9" t="n">
        <v>0.484</v>
      </c>
      <c r="K1009" s="1" t="inlineStr">
        <is>
          <t>Yes</t>
        </is>
      </c>
      <c r="L1009" s="1" t="inlineStr">
        <is>
          <t>Yes</t>
        </is>
      </c>
      <c r="M1009" s="1" t="inlineStr">
        <is>
          <t>No</t>
        </is>
      </c>
      <c r="N1009" s="1" t="inlineStr">
        <is>
          <t>Algorithms</t>
        </is>
      </c>
      <c r="O10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10" ht="15.75" customHeight="1" s="12">
      <c r="A1010" s="1" t="n">
        <v>1792</v>
      </c>
      <c r="B1010" s="3">
        <f>HYPERLINK("https://leetcode.com/problems/maximum-average-pass-ratio/", "Maximum Average Pass Ratio")</f>
        <v/>
      </c>
      <c r="C1010" s="1" t="n">
        <v>1922</v>
      </c>
      <c r="D1010" s="1" t="n">
        <v>139</v>
      </c>
      <c r="E1010" s="4">
        <f>IF(INDEX(C:C, ROW())+INDEX(D:D, ROW())=0, 0, INDEX(C:C, ROW())/(INDEX(C:C, ROW())+INDEX(D:D, ROW())))</f>
        <v/>
      </c>
      <c r="F1010" s="1" t="inlineStr">
        <is>
          <t>Array, Greedy, Heap (Priority Queue)</t>
        </is>
      </c>
      <c r="G1010" s="1" t="inlineStr">
        <is>
          <t>Medium</t>
        </is>
      </c>
      <c r="H1010" s="1" t="n">
        <v>207286</v>
      </c>
      <c r="I1010" s="1" t="n">
        <v>279601</v>
      </c>
      <c r="J1010" s="9" t="n">
        <v>0.741</v>
      </c>
      <c r="K1010" s="1" t="inlineStr">
        <is>
          <t>Yes</t>
        </is>
      </c>
      <c r="L1010" s="1" t="inlineStr">
        <is>
          <t>Yes</t>
        </is>
      </c>
      <c r="M1010" s="1" t="inlineStr">
        <is>
          <t>No</t>
        </is>
      </c>
      <c r="N1010" s="1" t="inlineStr">
        <is>
          <t>Algorithms</t>
        </is>
      </c>
      <c r="O10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11" ht="15.75" customHeight="1" s="12">
      <c r="A1011" s="1" t="n">
        <v>1663</v>
      </c>
      <c r="B1011" s="3">
        <f>HYPERLINK("https://leetcode.com/problems/smallest-string-with-a-given-numeric-value/", "Smallest String With A Given Numeric Value")</f>
        <v/>
      </c>
      <c r="C1011" s="1" t="n">
        <v>1921</v>
      </c>
      <c r="D1011" s="1" t="n">
        <v>64</v>
      </c>
      <c r="E1011" s="4">
        <f>IF(INDEX(C:C, ROW())+INDEX(D:D, ROW())=0, 0, INDEX(C:C, ROW())/(INDEX(C:C, ROW())+INDEX(D:D, ROW())))</f>
        <v/>
      </c>
      <c r="F1011" s="1" t="inlineStr">
        <is>
          <t>String, Greedy</t>
        </is>
      </c>
      <c r="G1011" s="1" t="inlineStr">
        <is>
          <t>Medium</t>
        </is>
      </c>
      <c r="H1011" s="1" t="n">
        <v>103869</v>
      </c>
      <c r="I1011" s="1" t="n">
        <v>154159</v>
      </c>
      <c r="J1011" s="9" t="n">
        <v>0.674</v>
      </c>
      <c r="K1011" s="1" t="inlineStr">
        <is>
          <t>Yes</t>
        </is>
      </c>
      <c r="L1011" s="1" t="inlineStr">
        <is>
          <t>Yes</t>
        </is>
      </c>
      <c r="M1011" s="1" t="inlineStr">
        <is>
          <t>No</t>
        </is>
      </c>
      <c r="N1011" s="1" t="inlineStr">
        <is>
          <t>Algorithms</t>
        </is>
      </c>
      <c r="O10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12" ht="15.75" customHeight="1" s="12">
      <c r="A1012" s="1" t="n">
        <v>490</v>
      </c>
      <c r="B1012" s="3">
        <f>HYPERLINK("https://leetcode.com/problems/the-maze/", "The Maze")</f>
        <v/>
      </c>
      <c r="C1012" s="1" t="n">
        <v>1919</v>
      </c>
      <c r="D1012" s="1" t="n">
        <v>199</v>
      </c>
      <c r="E1012" s="4">
        <f>IF(INDEX(C:C, ROW())+INDEX(D:D, ROW())=0, 0, INDEX(C:C, ROW())/(INDEX(C:C, ROW())+INDEX(D:D, ROW())))</f>
        <v/>
      </c>
      <c r="F1012" s="1" t="inlineStr">
        <is>
          <t>Array, Depth-First Search, Breadth-First Search, Matrix</t>
        </is>
      </c>
      <c r="G1012" s="1" t="inlineStr">
        <is>
          <t>Medium</t>
        </is>
      </c>
      <c r="H1012" s="1" t="n">
        <v>206160</v>
      </c>
      <c r="I1012" s="1" t="n">
        <v>342405</v>
      </c>
      <c r="J1012" s="9" t="n">
        <v>0.602</v>
      </c>
      <c r="K1012" s="1" t="inlineStr">
        <is>
          <t>No</t>
        </is>
      </c>
      <c r="L1012" s="1" t="inlineStr">
        <is>
          <t>Yes</t>
        </is>
      </c>
      <c r="M1012" s="1" t="inlineStr">
        <is>
          <t>No</t>
        </is>
      </c>
      <c r="N1012" s="1" t="inlineStr">
        <is>
          <t>Algorithms</t>
        </is>
      </c>
      <c r="O10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13" ht="15.75" customHeight="1" s="12">
      <c r="A1013" s="1" t="n">
        <v>2272</v>
      </c>
      <c r="B1013" s="3">
        <f>HYPERLINK("https://leetcode.com/problems/substring-with-largest-variance/", "Substring With Largest Variance")</f>
        <v/>
      </c>
      <c r="C1013" s="1" t="n">
        <v>1916</v>
      </c>
      <c r="D1013" s="1" t="n">
        <v>212</v>
      </c>
      <c r="E1013" s="4">
        <f>IF(INDEX(C:C, ROW())+INDEX(D:D, ROW())=0, 0, INDEX(C:C, ROW())/(INDEX(C:C, ROW())+INDEX(D:D, ROW())))</f>
        <v/>
      </c>
      <c r="F1013" s="1" t="inlineStr">
        <is>
          <t>Array, Dynamic Programming</t>
        </is>
      </c>
      <c r="G1013" s="1" t="inlineStr">
        <is>
          <t>Hard</t>
        </is>
      </c>
      <c r="H1013" s="1" t="n">
        <v>75204</v>
      </c>
      <c r="I1013" s="1" t="n">
        <v>163520</v>
      </c>
      <c r="J1013" s="9" t="n">
        <v>0.46</v>
      </c>
      <c r="K1013" s="1" t="inlineStr">
        <is>
          <t>Yes</t>
        </is>
      </c>
      <c r="L1013" s="1" t="inlineStr">
        <is>
          <t>Yes</t>
        </is>
      </c>
      <c r="M1013" s="1" t="inlineStr">
        <is>
          <t>No</t>
        </is>
      </c>
      <c r="N1013" s="1" t="inlineStr">
        <is>
          <t>Algorithms</t>
        </is>
      </c>
      <c r="O10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14" ht="15.75" customHeight="1" s="12">
      <c r="A1014" s="1" t="n">
        <v>1492</v>
      </c>
      <c r="B1014" s="3">
        <f>HYPERLINK("https://leetcode.com/problems/the-kth-factor-of-n/", "The kth Factor of n")</f>
        <v/>
      </c>
      <c r="C1014" s="1" t="n">
        <v>1915</v>
      </c>
      <c r="D1014" s="1" t="n">
        <v>312</v>
      </c>
      <c r="E1014" s="4">
        <f>IF(INDEX(C:C, ROW())+INDEX(D:D, ROW())=0, 0, INDEX(C:C, ROW())/(INDEX(C:C, ROW())+INDEX(D:D, ROW())))</f>
        <v/>
      </c>
      <c r="F1014" s="1" t="inlineStr">
        <is>
          <t>Math, Number Theory</t>
        </is>
      </c>
      <c r="G1014" s="1" t="inlineStr">
        <is>
          <t>Medium</t>
        </is>
      </c>
      <c r="H1014" s="1" t="n">
        <v>344442</v>
      </c>
      <c r="I1014" s="1" t="n">
        <v>491522</v>
      </c>
      <c r="J1014" s="9" t="n">
        <v>0.701</v>
      </c>
      <c r="K1014" s="1" t="inlineStr">
        <is>
          <t>Yes</t>
        </is>
      </c>
      <c r="L1014" s="1" t="inlineStr">
        <is>
          <t>No</t>
        </is>
      </c>
      <c r="M1014" s="1" t="inlineStr">
        <is>
          <t>No</t>
        </is>
      </c>
      <c r="N1014" s="1" t="inlineStr">
        <is>
          <t>Algorithms</t>
        </is>
      </c>
      <c r="O10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15" ht="15.75" customHeight="1" s="12">
      <c r="A1015" s="1" t="n">
        <v>1717</v>
      </c>
      <c r="B1015" s="3">
        <f>HYPERLINK("https://leetcode.com/problems/maximum-score-from-removing-substrings/", "Maximum Score From Removing Substrings")</f>
        <v/>
      </c>
      <c r="C1015" s="1" t="n">
        <v>1914</v>
      </c>
      <c r="D1015" s="1" t="n">
        <v>137</v>
      </c>
      <c r="E1015" s="4">
        <f>IF(INDEX(C:C, ROW())+INDEX(D:D, ROW())=0, 0, INDEX(C:C, ROW())/(INDEX(C:C, ROW())+INDEX(D:D, ROW())))</f>
        <v/>
      </c>
      <c r="F1015" s="1" t="inlineStr">
        <is>
          <t>String, Stack, Greedy</t>
        </is>
      </c>
      <c r="G1015" s="1" t="inlineStr">
        <is>
          <t>Medium</t>
        </is>
      </c>
      <c r="H1015" s="1" t="n">
        <v>241620</v>
      </c>
      <c r="I1015" s="1" t="n">
        <v>363037</v>
      </c>
      <c r="J1015" s="9" t="n">
        <v>0.666</v>
      </c>
      <c r="K1015" s="1" t="inlineStr">
        <is>
          <t>Yes</t>
        </is>
      </c>
      <c r="L1015" s="1" t="inlineStr">
        <is>
          <t>Yes</t>
        </is>
      </c>
      <c r="M1015" s="1" t="inlineStr">
        <is>
          <t>No</t>
        </is>
      </c>
      <c r="N1015" s="1" t="inlineStr">
        <is>
          <t>Algorithms</t>
        </is>
      </c>
      <c r="O10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16" ht="15.75" customHeight="1" s="12">
      <c r="A1016" s="1" t="n">
        <v>1106</v>
      </c>
      <c r="B1016" s="3">
        <f>HYPERLINK("https://leetcode.com/problems/parsing-a-boolean-expression/", "Parsing A Boolean Expression")</f>
        <v/>
      </c>
      <c r="C1016" s="1" t="n">
        <v>1910</v>
      </c>
      <c r="D1016" s="1" t="n">
        <v>86</v>
      </c>
      <c r="E1016" s="4">
        <f>IF(INDEX(C:C, ROW())+INDEX(D:D, ROW())=0, 0, INDEX(C:C, ROW())/(INDEX(C:C, ROW())+INDEX(D:D, ROW())))</f>
        <v/>
      </c>
      <c r="F1016" s="1" t="inlineStr">
        <is>
          <t>String, Stack, Recursion</t>
        </is>
      </c>
      <c r="G1016" s="1" t="inlineStr">
        <is>
          <t>Hard</t>
        </is>
      </c>
      <c r="H1016" s="1" t="n">
        <v>144497</v>
      </c>
      <c r="I1016" s="1" t="n">
        <v>207076</v>
      </c>
      <c r="J1016" s="9" t="n">
        <v>0.698</v>
      </c>
      <c r="K1016" s="1" t="inlineStr">
        <is>
          <t>Yes</t>
        </is>
      </c>
      <c r="L1016" s="1" t="inlineStr">
        <is>
          <t>Yes</t>
        </is>
      </c>
      <c r="M1016" s="1" t="inlineStr">
        <is>
          <t>No</t>
        </is>
      </c>
      <c r="N1016" s="1" t="inlineStr">
        <is>
          <t>Algorithms</t>
        </is>
      </c>
      <c r="O10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17" ht="15.75" customHeight="1" s="12">
      <c r="A1017" s="1" t="n">
        <v>1208</v>
      </c>
      <c r="B1017" s="3">
        <f>HYPERLINK("https://leetcode.com/problems/get-equal-substrings-within-budget/", "Get Equal Substrings Within Budget")</f>
        <v/>
      </c>
      <c r="C1017" s="1" t="n">
        <v>1908</v>
      </c>
      <c r="D1017" s="1" t="n">
        <v>150</v>
      </c>
      <c r="E1017" s="4">
        <f>IF(INDEX(C:C, ROW())+INDEX(D:D, ROW())=0, 0, INDEX(C:C, ROW())/(INDEX(C:C, ROW())+INDEX(D:D, ROW())))</f>
        <v/>
      </c>
      <c r="F1017" s="1" t="inlineStr">
        <is>
          <t>String, Binary Search, Sliding Window, Prefix Sum</t>
        </is>
      </c>
      <c r="G1017" s="1" t="inlineStr">
        <is>
          <t>Medium</t>
        </is>
      </c>
      <c r="H1017" s="1" t="n">
        <v>195328</v>
      </c>
      <c r="I1017" s="1" t="n">
        <v>328812</v>
      </c>
      <c r="J1017" s="9" t="n">
        <v>0.594</v>
      </c>
      <c r="K1017" s="1" t="inlineStr">
        <is>
          <t>Yes</t>
        </is>
      </c>
      <c r="L1017" s="1" t="inlineStr">
        <is>
          <t>Yes</t>
        </is>
      </c>
      <c r="M1017" s="1" t="inlineStr">
        <is>
          <t>No</t>
        </is>
      </c>
      <c r="N1017" s="1" t="inlineStr">
        <is>
          <t>Algorithms</t>
        </is>
      </c>
      <c r="O10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18" ht="15.75" customHeight="1" s="12">
      <c r="A1018" s="1" t="n">
        <v>1267</v>
      </c>
      <c r="B1018" s="3">
        <f>HYPERLINK("https://leetcode.com/problems/count-servers-that-communicate/", "Count Servers that Communicate")</f>
        <v/>
      </c>
      <c r="C1018" s="1" t="n">
        <v>1905</v>
      </c>
      <c r="D1018" s="1" t="n">
        <v>108</v>
      </c>
      <c r="E1018" s="4">
        <f>IF(INDEX(C:C, ROW())+INDEX(D:D, ROW())=0, 0, INDEX(C:C, ROW())/(INDEX(C:C, ROW())+INDEX(D:D, ROW())))</f>
        <v/>
      </c>
      <c r="F1018" s="1" t="inlineStr">
        <is>
          <t>Array, Depth-First Search, Breadth-First Search, Union-Find, Matrix, Counting</t>
        </is>
      </c>
      <c r="G1018" s="1" t="inlineStr">
        <is>
          <t>Medium</t>
        </is>
      </c>
      <c r="H1018" s="1" t="n">
        <v>197892</v>
      </c>
      <c r="I1018" s="1" t="n">
        <v>269219</v>
      </c>
      <c r="J1018" s="9" t="n">
        <v>0.735</v>
      </c>
      <c r="K1018" s="1" t="inlineStr">
        <is>
          <t>Yes</t>
        </is>
      </c>
      <c r="L1018" s="1" t="inlineStr">
        <is>
          <t>Yes</t>
        </is>
      </c>
      <c r="M1018" s="1" t="inlineStr">
        <is>
          <t>No</t>
        </is>
      </c>
      <c r="N1018" s="1" t="inlineStr">
        <is>
          <t>Algorithms</t>
        </is>
      </c>
      <c r="O10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19" ht="15.75" customHeight="1" s="12">
      <c r="A1019" s="1" t="n">
        <v>284</v>
      </c>
      <c r="B1019" s="3">
        <f>HYPERLINK("https://leetcode.com/problems/peeking-iterator/", "Peeking Iterator")</f>
        <v/>
      </c>
      <c r="C1019" s="1" t="n">
        <v>1903</v>
      </c>
      <c r="D1019" s="1" t="n">
        <v>1051</v>
      </c>
      <c r="E1019" s="4">
        <f>IF(INDEX(C:C, ROW())+INDEX(D:D, ROW())=0, 0, INDEX(C:C, ROW())/(INDEX(C:C, ROW())+INDEX(D:D, ROW())))</f>
        <v/>
      </c>
      <c r="F1019" s="1" t="inlineStr">
        <is>
          <t>Array, Design, Iterator</t>
        </is>
      </c>
      <c r="G1019" s="1" t="inlineStr">
        <is>
          <t>Medium</t>
        </is>
      </c>
      <c r="H1019" s="1" t="n">
        <v>250870</v>
      </c>
      <c r="I1019" s="1" t="n">
        <v>410612</v>
      </c>
      <c r="J1019" s="9" t="n">
        <v>0.611</v>
      </c>
      <c r="K1019" s="1" t="inlineStr">
        <is>
          <t>Yes</t>
        </is>
      </c>
      <c r="L1019" s="1" t="inlineStr">
        <is>
          <t>Yes</t>
        </is>
      </c>
      <c r="M1019" s="1" t="inlineStr">
        <is>
          <t>No</t>
        </is>
      </c>
      <c r="N1019" s="1" t="inlineStr">
        <is>
          <t>Algorithms</t>
        </is>
      </c>
      <c r="O10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20" ht="15.75" customHeight="1" s="12">
      <c r="A1020" s="1" t="n">
        <v>728</v>
      </c>
      <c r="B1020" s="3">
        <f>HYPERLINK("https://leetcode.com/problems/self-dividing-numbers/", "Self Dividing Numbers")</f>
        <v/>
      </c>
      <c r="C1020" s="1" t="n">
        <v>1902</v>
      </c>
      <c r="D1020" s="1" t="n">
        <v>384</v>
      </c>
      <c r="E1020" s="4">
        <f>IF(INDEX(C:C, ROW())+INDEX(D:D, ROW())=0, 0, INDEX(C:C, ROW())/(INDEX(C:C, ROW())+INDEX(D:D, ROW())))</f>
        <v/>
      </c>
      <c r="F1020" s="1" t="inlineStr">
        <is>
          <t>Math</t>
        </is>
      </c>
      <c r="G1020" s="1" t="inlineStr">
        <is>
          <t>Easy</t>
        </is>
      </c>
      <c r="H1020" s="1" t="n">
        <v>316183</v>
      </c>
      <c r="I1020" s="1" t="n">
        <v>393388</v>
      </c>
      <c r="J1020" s="9" t="n">
        <v>0.804</v>
      </c>
      <c r="K1020" s="1" t="inlineStr">
        <is>
          <t>Yes</t>
        </is>
      </c>
      <c r="L1020" s="1" t="inlineStr">
        <is>
          <t>Yes</t>
        </is>
      </c>
      <c r="M1020" s="1" t="inlineStr">
        <is>
          <t>No</t>
        </is>
      </c>
      <c r="N1020" s="1" t="inlineStr">
        <is>
          <t>Algorithms</t>
        </is>
      </c>
      <c r="O10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21" ht="15.75" customHeight="1" s="12">
      <c r="A1021" s="1" t="n">
        <v>1444</v>
      </c>
      <c r="B1021" s="3">
        <f>HYPERLINK("https://leetcode.com/problems/number-of-ways-of-cutting-a-pizza/", "Number of Ways of Cutting a Pizza")</f>
        <v/>
      </c>
      <c r="C1021" s="1" t="n">
        <v>1902</v>
      </c>
      <c r="D1021" s="1" t="n">
        <v>96</v>
      </c>
      <c r="E1021" s="4">
        <f>IF(INDEX(C:C, ROW())+INDEX(D:D, ROW())=0, 0, INDEX(C:C, ROW())/(INDEX(C:C, ROW())+INDEX(D:D, ROW())))</f>
        <v/>
      </c>
      <c r="F1021" s="1" t="inlineStr">
        <is>
          <t>Array, Dynamic Programming, Memoization, Matrix, Prefix Sum</t>
        </is>
      </c>
      <c r="G1021" s="1" t="inlineStr">
        <is>
          <t>Hard</t>
        </is>
      </c>
      <c r="H1021" s="1" t="n">
        <v>75416</v>
      </c>
      <c r="I1021" s="1" t="n">
        <v>122473</v>
      </c>
      <c r="J1021" s="9" t="n">
        <v>0.616</v>
      </c>
      <c r="K1021" s="1" t="inlineStr">
        <is>
          <t>Yes</t>
        </is>
      </c>
      <c r="L1021" s="1" t="inlineStr">
        <is>
          <t>Yes</t>
        </is>
      </c>
      <c r="M1021" s="1" t="inlineStr">
        <is>
          <t>No</t>
        </is>
      </c>
      <c r="N1021" s="1" t="inlineStr">
        <is>
          <t>Algorithms</t>
        </is>
      </c>
      <c r="O10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22" ht="15.75" customHeight="1" s="12">
      <c r="A1022" s="1" t="n">
        <v>1203</v>
      </c>
      <c r="B1022" s="3">
        <f>HYPERLINK("https://leetcode.com/problems/sort-items-by-groups-respecting-dependencies/", "Sort Items by Groups Respecting Dependencies")</f>
        <v/>
      </c>
      <c r="C1022" s="1" t="n">
        <v>1897</v>
      </c>
      <c r="D1022" s="1" t="n">
        <v>319</v>
      </c>
      <c r="E1022" s="4">
        <f>IF(INDEX(C:C, ROW())+INDEX(D:D, ROW())=0, 0, INDEX(C:C, ROW())/(INDEX(C:C, ROW())+INDEX(D:D, ROW())))</f>
        <v/>
      </c>
      <c r="F1022" s="1" t="inlineStr">
        <is>
          <t>Depth-First Search, Breadth-First Search, Graph Theory, Topological Sort</t>
        </is>
      </c>
      <c r="G1022" s="1" t="inlineStr">
        <is>
          <t>Hard</t>
        </is>
      </c>
      <c r="H1022" s="1" t="n">
        <v>64614</v>
      </c>
      <c r="I1022" s="1" t="n">
        <v>98512</v>
      </c>
      <c r="J1022" s="9" t="n">
        <v>0.656</v>
      </c>
      <c r="K1022" s="1" t="inlineStr">
        <is>
          <t>Yes</t>
        </is>
      </c>
      <c r="L1022" s="1" t="inlineStr">
        <is>
          <t>Yes</t>
        </is>
      </c>
      <c r="M1022" s="1" t="inlineStr">
        <is>
          <t>No</t>
        </is>
      </c>
      <c r="N1022" s="1" t="inlineStr">
        <is>
          <t>Algorithms</t>
        </is>
      </c>
      <c r="O10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23" ht="15.75" customHeight="1" s="12">
      <c r="A1023" s="1" t="n">
        <v>2492</v>
      </c>
      <c r="B1023" s="3">
        <f>HYPERLINK("https://leetcode.com/problems/minimum-score-of-a-path-between-two-cities/", "Minimum Score of a Path Between Two Cities")</f>
        <v/>
      </c>
      <c r="C1023" s="1" t="n">
        <v>1896</v>
      </c>
      <c r="D1023" s="1" t="n">
        <v>323</v>
      </c>
      <c r="E1023" s="4">
        <f>IF(INDEX(C:C, ROW())+INDEX(D:D, ROW())=0, 0, INDEX(C:C, ROW())/(INDEX(C:C, ROW())+INDEX(D:D, ROW())))</f>
        <v/>
      </c>
      <c r="F1023" s="1" t="inlineStr">
        <is>
          <t>Depth-First Search, Breadth-First Search, Union-Find, Graph Theory</t>
        </is>
      </c>
      <c r="G1023" s="1" t="inlineStr">
        <is>
          <t>Medium</t>
        </is>
      </c>
      <c r="H1023" s="1" t="n">
        <v>106377</v>
      </c>
      <c r="I1023" s="1" t="n">
        <v>182119</v>
      </c>
      <c r="J1023" s="9" t="n">
        <v>0.584</v>
      </c>
      <c r="K1023" s="1" t="inlineStr">
        <is>
          <t>Yes</t>
        </is>
      </c>
      <c r="L1023" s="1" t="inlineStr">
        <is>
          <t>Yes</t>
        </is>
      </c>
      <c r="M1023" s="1" t="inlineStr">
        <is>
          <t>No</t>
        </is>
      </c>
      <c r="N1023" s="1" t="inlineStr">
        <is>
          <t>Algorithms</t>
        </is>
      </c>
      <c r="O10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24" ht="15.75" customHeight="1" s="12">
      <c r="A1024" s="1" t="n">
        <v>270</v>
      </c>
      <c r="B1024" s="3">
        <f>HYPERLINK("https://leetcode.com/problems/closest-binary-search-tree-value/", "Closest Binary Search Tree Value")</f>
        <v/>
      </c>
      <c r="C1024" s="1" t="n">
        <v>1893</v>
      </c>
      <c r="D1024" s="1" t="n">
        <v>165</v>
      </c>
      <c r="E1024" s="4">
        <f>IF(INDEX(C:C, ROW())+INDEX(D:D, ROW())=0, 0, INDEX(C:C, ROW())/(INDEX(C:C, ROW())+INDEX(D:D, ROW())))</f>
        <v/>
      </c>
      <c r="F1024" s="1" t="inlineStr">
        <is>
          <t>Binary Search, Tree, Depth-First Search, Binary Search Tree, Binary Tree</t>
        </is>
      </c>
      <c r="G1024" s="1" t="inlineStr">
        <is>
          <t>Easy</t>
        </is>
      </c>
      <c r="H1024" s="1" t="n">
        <v>446136</v>
      </c>
      <c r="I1024" s="1" t="n">
        <v>904613</v>
      </c>
      <c r="J1024" s="9" t="n">
        <v>0.493</v>
      </c>
      <c r="K1024" s="1" t="inlineStr">
        <is>
          <t>No</t>
        </is>
      </c>
      <c r="L1024" s="1" t="inlineStr">
        <is>
          <t>Yes</t>
        </is>
      </c>
      <c r="M1024" s="1" t="inlineStr">
        <is>
          <t>No</t>
        </is>
      </c>
      <c r="N1024" s="1" t="inlineStr">
        <is>
          <t>Algorithms</t>
        </is>
      </c>
      <c r="O10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25" ht="15.75" customHeight="1" s="12">
      <c r="A1025" s="1" t="n">
        <v>1251</v>
      </c>
      <c r="B1025" s="3">
        <f>HYPERLINK("https://leetcode.com/problems/average-selling-price/", "Average Selling Price")</f>
        <v/>
      </c>
      <c r="C1025" s="1" t="n">
        <v>1892</v>
      </c>
      <c r="D1025" s="1" t="n">
        <v>260</v>
      </c>
      <c r="E1025" s="4">
        <f>IF(INDEX(C:C, ROW())+INDEX(D:D, ROW())=0, 0, INDEX(C:C, ROW())/(INDEX(C:C, ROW())+INDEX(D:D, ROW())))</f>
        <v/>
      </c>
      <c r="F1025" s="1" t="inlineStr">
        <is>
          <t>Database</t>
        </is>
      </c>
      <c r="G1025" s="1" t="inlineStr">
        <is>
          <t>Easy</t>
        </is>
      </c>
      <c r="H1025" s="1" t="n">
        <v>598916</v>
      </c>
      <c r="I1025" s="1" t="n">
        <v>1617609</v>
      </c>
      <c r="J1025" s="9" t="n">
        <v>0.37</v>
      </c>
      <c r="K1025" s="1" t="inlineStr">
        <is>
          <t>Yes</t>
        </is>
      </c>
      <c r="L1025" s="1" t="inlineStr">
        <is>
          <t>Yes</t>
        </is>
      </c>
      <c r="M1025" s="1" t="inlineStr">
        <is>
          <t>No</t>
        </is>
      </c>
      <c r="N1025" s="1" t="inlineStr">
        <is>
          <t>Database</t>
        </is>
      </c>
      <c r="O10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26" ht="15.75" customHeight="1" s="12">
      <c r="A1026" s="1" t="n">
        <v>1630</v>
      </c>
      <c r="B1026" s="3">
        <f>HYPERLINK("https://leetcode.com/problems/arithmetic-subarrays/", "Arithmetic Subarrays")</f>
        <v/>
      </c>
      <c r="C1026" s="1" t="n">
        <v>1892</v>
      </c>
      <c r="D1026" s="1" t="n">
        <v>210</v>
      </c>
      <c r="E1026" s="4">
        <f>IF(INDEX(C:C, ROW())+INDEX(D:D, ROW())=0, 0, INDEX(C:C, ROW())/(INDEX(C:C, ROW())+INDEX(D:D, ROW())))</f>
        <v/>
      </c>
      <c r="F1026" s="1" t="inlineStr">
        <is>
          <t>Array, Hash Table, Sorting</t>
        </is>
      </c>
      <c r="G1026" s="1" t="inlineStr">
        <is>
          <t>Medium</t>
        </is>
      </c>
      <c r="H1026" s="1" t="n">
        <v>154766</v>
      </c>
      <c r="I1026" s="1" t="n">
        <v>184682</v>
      </c>
      <c r="J1026" s="9" t="n">
        <v>0.838</v>
      </c>
      <c r="K1026" s="1" t="inlineStr">
        <is>
          <t>Yes</t>
        </is>
      </c>
      <c r="L1026" s="1" t="inlineStr">
        <is>
          <t>Yes</t>
        </is>
      </c>
      <c r="M1026" s="1" t="inlineStr">
        <is>
          <t>No</t>
        </is>
      </c>
      <c r="N1026" s="1" t="inlineStr">
        <is>
          <t>Algorithms</t>
        </is>
      </c>
      <c r="O10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27" ht="15.75" customHeight="1" s="12">
      <c r="A1027" s="1" t="n">
        <v>914</v>
      </c>
      <c r="B1027" s="3">
        <f>HYPERLINK("https://leetcode.com/problems/x-of-a-kind-in-a-deck-of-cards/", "X of a Kind in a Deck of Cards")</f>
        <v/>
      </c>
      <c r="C1027" s="1" t="n">
        <v>1890</v>
      </c>
      <c r="D1027" s="1" t="n">
        <v>570</v>
      </c>
      <c r="E1027" s="4">
        <f>IF(INDEX(C:C, ROW())+INDEX(D:D, ROW())=0, 0, INDEX(C:C, ROW())/(INDEX(C:C, ROW())+INDEX(D:D, ROW())))</f>
        <v/>
      </c>
      <c r="F1027" s="1" t="inlineStr">
        <is>
          <t>Array, Hash Table, Math, Counting, Number Theory</t>
        </is>
      </c>
      <c r="G1027" s="1" t="inlineStr">
        <is>
          <t>Easy</t>
        </is>
      </c>
      <c r="H1027" s="1" t="n">
        <v>152583</v>
      </c>
      <c r="I1027" s="1" t="n">
        <v>507402</v>
      </c>
      <c r="J1027" s="9" t="n">
        <v>0.301</v>
      </c>
      <c r="K1027" s="1" t="inlineStr">
        <is>
          <t>Yes</t>
        </is>
      </c>
      <c r="L1027" s="1" t="inlineStr">
        <is>
          <t>Yes</t>
        </is>
      </c>
      <c r="M1027" s="1" t="inlineStr">
        <is>
          <t>No</t>
        </is>
      </c>
      <c r="N1027" s="1" t="inlineStr">
        <is>
          <t>Algorithms</t>
        </is>
      </c>
      <c r="O10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28" ht="15.75" customHeight="1" s="12">
      <c r="A1028" s="1" t="n">
        <v>884</v>
      </c>
      <c r="B1028" s="3">
        <f>HYPERLINK("https://leetcode.com/problems/uncommon-words-from-two-sentences/", "Uncommon Words from Two Sentences")</f>
        <v/>
      </c>
      <c r="C1028" s="1" t="n">
        <v>1888</v>
      </c>
      <c r="D1028" s="1" t="n">
        <v>209</v>
      </c>
      <c r="E1028" s="4">
        <f>IF(INDEX(C:C, ROW())+INDEX(D:D, ROW())=0, 0, INDEX(C:C, ROW())/(INDEX(C:C, ROW())+INDEX(D:D, ROW())))</f>
        <v/>
      </c>
      <c r="F1028" s="1" t="inlineStr">
        <is>
          <t>Hash Table, String, Counting</t>
        </is>
      </c>
      <c r="G1028" s="1" t="inlineStr">
        <is>
          <t>Easy</t>
        </is>
      </c>
      <c r="H1028" s="1" t="n">
        <v>331775</v>
      </c>
      <c r="I1028" s="1" t="n">
        <v>439167</v>
      </c>
      <c r="J1028" s="9" t="n">
        <v>0.755</v>
      </c>
      <c r="K1028" s="1" t="inlineStr">
        <is>
          <t>Yes</t>
        </is>
      </c>
      <c r="L1028" s="1" t="inlineStr">
        <is>
          <t>Yes</t>
        </is>
      </c>
      <c r="M1028" s="1" t="inlineStr">
        <is>
          <t>No</t>
        </is>
      </c>
      <c r="N1028" s="1" t="inlineStr">
        <is>
          <t>Algorithms</t>
        </is>
      </c>
      <c r="O10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29" ht="15.75" customHeight="1" s="12">
      <c r="A1029" s="1" t="n">
        <v>679</v>
      </c>
      <c r="B1029" s="3">
        <f>HYPERLINK("https://leetcode.com/problems/24-game/", "24 Game")</f>
        <v/>
      </c>
      <c r="C1029" s="1" t="n">
        <v>1886</v>
      </c>
      <c r="D1029" s="1" t="n">
        <v>288</v>
      </c>
      <c r="E1029" s="4">
        <f>IF(INDEX(C:C, ROW())+INDEX(D:D, ROW())=0, 0, INDEX(C:C, ROW())/(INDEX(C:C, ROW())+INDEX(D:D, ROW())))</f>
        <v/>
      </c>
      <c r="F1029" s="1" t="inlineStr">
        <is>
          <t>Array, Math, Backtracking</t>
        </is>
      </c>
      <c r="G1029" s="1" t="inlineStr">
        <is>
          <t>Hard</t>
        </is>
      </c>
      <c r="H1029" s="1" t="n">
        <v>166962</v>
      </c>
      <c r="I1029" s="1" t="n">
        <v>281484</v>
      </c>
      <c r="J1029" s="9" t="n">
        <v>0.593</v>
      </c>
      <c r="K1029" s="1" t="inlineStr">
        <is>
          <t>Yes</t>
        </is>
      </c>
      <c r="L1029" s="1" t="inlineStr">
        <is>
          <t>Yes</t>
        </is>
      </c>
      <c r="M1029" s="1" t="inlineStr">
        <is>
          <t>No</t>
        </is>
      </c>
      <c r="N1029" s="1" t="inlineStr">
        <is>
          <t>Algorithms</t>
        </is>
      </c>
      <c r="O10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30" ht="15.75" customHeight="1" s="12">
      <c r="A1030" s="1" t="n">
        <v>1964</v>
      </c>
      <c r="B1030" s="3">
        <f>HYPERLINK("https://leetcode.com/problems/find-the-longest-valid-obstacle-course-at-each-position/", "Find the Longest Valid Obstacle Course at Each Position")</f>
        <v/>
      </c>
      <c r="C1030" s="1" t="n">
        <v>1881</v>
      </c>
      <c r="D1030" s="1" t="n">
        <v>74</v>
      </c>
      <c r="E1030" s="4">
        <f>IF(INDEX(C:C, ROW())+INDEX(D:D, ROW())=0, 0, INDEX(C:C, ROW())/(INDEX(C:C, ROW())+INDEX(D:D, ROW())))</f>
        <v/>
      </c>
      <c r="F1030" s="1" t="inlineStr">
        <is>
          <t>Array, Binary Search, Binary Indexed Tree</t>
        </is>
      </c>
      <c r="G1030" s="1" t="inlineStr">
        <is>
          <t>Hard</t>
        </is>
      </c>
      <c r="H1030" s="1" t="n">
        <v>67525</v>
      </c>
      <c r="I1030" s="1" t="n">
        <v>107992</v>
      </c>
      <c r="J1030" s="9" t="n">
        <v>0.625</v>
      </c>
      <c r="K1030" s="1" t="inlineStr">
        <is>
          <t>Yes</t>
        </is>
      </c>
      <c r="L1030" s="1" t="inlineStr">
        <is>
          <t>Yes</t>
        </is>
      </c>
      <c r="M1030" s="1" t="inlineStr">
        <is>
          <t>No</t>
        </is>
      </c>
      <c r="N1030" s="1" t="inlineStr">
        <is>
          <t>Algorithms</t>
        </is>
      </c>
      <c r="O10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31" ht="15.75" customHeight="1" s="12">
      <c r="A1031" s="1" t="n">
        <v>1609</v>
      </c>
      <c r="B1031" s="3">
        <f>HYPERLINK("https://leetcode.com/problems/even-odd-tree/", "Even Odd Tree")</f>
        <v/>
      </c>
      <c r="C1031" s="1" t="n">
        <v>1872</v>
      </c>
      <c r="D1031" s="1" t="n">
        <v>102</v>
      </c>
      <c r="E1031" s="4">
        <f>IF(INDEX(C:C, ROW())+INDEX(D:D, ROW())=0, 0, INDEX(C:C, ROW())/(INDEX(C:C, ROW())+INDEX(D:D, ROW())))</f>
        <v/>
      </c>
      <c r="F1031" s="1" t="inlineStr">
        <is>
          <t>Tree, Breadth-First Search, Binary Tree</t>
        </is>
      </c>
      <c r="G1031" s="1" t="inlineStr">
        <is>
          <t>Medium</t>
        </is>
      </c>
      <c r="H1031" s="1" t="n">
        <v>190669</v>
      </c>
      <c r="I1031" s="1" t="n">
        <v>284829</v>
      </c>
      <c r="J1031" s="9" t="n">
        <v>0.669</v>
      </c>
      <c r="K1031" s="1" t="inlineStr">
        <is>
          <t>Yes</t>
        </is>
      </c>
      <c r="L1031" s="1" t="inlineStr">
        <is>
          <t>Yes</t>
        </is>
      </c>
      <c r="M1031" s="1" t="inlineStr">
        <is>
          <t>No</t>
        </is>
      </c>
      <c r="N1031" s="1" t="inlineStr">
        <is>
          <t>Algorithms</t>
        </is>
      </c>
      <c r="O10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32" ht="15.75" customHeight="1" s="12">
      <c r="A1032" s="1" t="n">
        <v>2114</v>
      </c>
      <c r="B1032" s="3">
        <f>HYPERLINK("https://leetcode.com/problems/maximum-number-of-words-found-in-sentences/", "Maximum Number of Words Found in Sentences")</f>
        <v/>
      </c>
      <c r="C1032" s="1" t="n">
        <v>1872</v>
      </c>
      <c r="D1032" s="1" t="n">
        <v>64</v>
      </c>
      <c r="E1032" s="4">
        <f>IF(INDEX(C:C, ROW())+INDEX(D:D, ROW())=0, 0, INDEX(C:C, ROW())/(INDEX(C:C, ROW())+INDEX(D:D, ROW())))</f>
        <v/>
      </c>
      <c r="F1032" s="1" t="inlineStr">
        <is>
          <t>Array, String</t>
        </is>
      </c>
      <c r="G1032" s="1" t="inlineStr">
        <is>
          <t>Easy</t>
        </is>
      </c>
      <c r="H1032" s="1" t="n">
        <v>390395</v>
      </c>
      <c r="I1032" s="1" t="n">
        <v>450575</v>
      </c>
      <c r="J1032" s="9" t="n">
        <v>0.866</v>
      </c>
      <c r="K1032" s="1" t="inlineStr">
        <is>
          <t>Yes</t>
        </is>
      </c>
      <c r="L1032" s="1" t="inlineStr">
        <is>
          <t>No</t>
        </is>
      </c>
      <c r="M1032" s="1" t="inlineStr">
        <is>
          <t>No</t>
        </is>
      </c>
      <c r="N1032" s="1" t="inlineStr">
        <is>
          <t>Algorithms</t>
        </is>
      </c>
      <c r="O10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33" ht="15.75" customHeight="1" s="12">
      <c r="A1033" s="1" t="n">
        <v>775</v>
      </c>
      <c r="B1033" s="3">
        <f>HYPERLINK("https://leetcode.com/problems/global-and-local-inversions/", "Global and Local Inversions")</f>
        <v/>
      </c>
      <c r="C1033" s="1" t="n">
        <v>1870</v>
      </c>
      <c r="D1033" s="1" t="n">
        <v>382</v>
      </c>
      <c r="E1033" s="4">
        <f>IF(INDEX(C:C, ROW())+INDEX(D:D, ROW())=0, 0, INDEX(C:C, ROW())/(INDEX(C:C, ROW())+INDEX(D:D, ROW())))</f>
        <v/>
      </c>
      <c r="F1033" s="1" t="inlineStr">
        <is>
          <t>Array, Math</t>
        </is>
      </c>
      <c r="G1033" s="1" t="inlineStr">
        <is>
          <t>Medium</t>
        </is>
      </c>
      <c r="H1033" s="1" t="n">
        <v>84497</v>
      </c>
      <c r="I1033" s="1" t="n">
        <v>198089</v>
      </c>
      <c r="J1033" s="9" t="n">
        <v>0.427</v>
      </c>
      <c r="K1033" s="1" t="inlineStr">
        <is>
          <t>Yes</t>
        </is>
      </c>
      <c r="L1033" s="1" t="inlineStr">
        <is>
          <t>Yes</t>
        </is>
      </c>
      <c r="M1033" s="1" t="inlineStr">
        <is>
          <t>No</t>
        </is>
      </c>
      <c r="N1033" s="1" t="inlineStr">
        <is>
          <t>Algorithms</t>
        </is>
      </c>
      <c r="O10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34" ht="15.75" customHeight="1" s="12">
      <c r="A1034" s="1" t="n">
        <v>2073</v>
      </c>
      <c r="B1034" s="3">
        <f>HYPERLINK("https://leetcode.com/problems/time-needed-to-buy-tickets/", "Time Needed to Buy Tickets")</f>
        <v/>
      </c>
      <c r="C1034" s="1" t="n">
        <v>1869</v>
      </c>
      <c r="D1034" s="1" t="n">
        <v>165</v>
      </c>
      <c r="E1034" s="4">
        <f>IF(INDEX(C:C, ROW())+INDEX(D:D, ROW())=0, 0, INDEX(C:C, ROW())/(INDEX(C:C, ROW())+INDEX(D:D, ROW())))</f>
        <v/>
      </c>
      <c r="F1034" s="1" t="inlineStr">
        <is>
          <t>Array, Queue, Simulation</t>
        </is>
      </c>
      <c r="G1034" s="1" t="inlineStr">
        <is>
          <t>Easy</t>
        </is>
      </c>
      <c r="H1034" s="1" t="n">
        <v>289806</v>
      </c>
      <c r="I1034" s="1" t="n">
        <v>403348</v>
      </c>
      <c r="J1034" s="9" t="n">
        <v>0.719</v>
      </c>
      <c r="K1034" s="1" t="inlineStr">
        <is>
          <t>Yes</t>
        </is>
      </c>
      <c r="L1034" s="1" t="inlineStr">
        <is>
          <t>Yes</t>
        </is>
      </c>
      <c r="M1034" s="1" t="inlineStr">
        <is>
          <t>No</t>
        </is>
      </c>
      <c r="N1034" s="1" t="inlineStr">
        <is>
          <t>Algorithms</t>
        </is>
      </c>
      <c r="O10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35" ht="15.75" customHeight="1" s="12">
      <c r="A1035" s="1" t="n">
        <v>1032</v>
      </c>
      <c r="B1035" s="3">
        <f>HYPERLINK("https://leetcode.com/problems/stream-of-characters/", "Stream of Characters")</f>
        <v/>
      </c>
      <c r="C1035" s="1" t="n">
        <v>1868</v>
      </c>
      <c r="D1035" s="1" t="n">
        <v>186</v>
      </c>
      <c r="E1035" s="4">
        <f>IF(INDEX(C:C, ROW())+INDEX(D:D, ROW())=0, 0, INDEX(C:C, ROW())/(INDEX(C:C, ROW())+INDEX(D:D, ROW())))</f>
        <v/>
      </c>
      <c r="F1035" s="1" t="inlineStr">
        <is>
          <t>Array, String, Design, Trie, Data Stream</t>
        </is>
      </c>
      <c r="G1035" s="1" t="inlineStr">
        <is>
          <t>Hard</t>
        </is>
      </c>
      <c r="H1035" s="1" t="n">
        <v>104407</v>
      </c>
      <c r="I1035" s="1" t="n">
        <v>201677</v>
      </c>
      <c r="J1035" s="9" t="n">
        <v>0.518</v>
      </c>
      <c r="K1035" s="1" t="inlineStr">
        <is>
          <t>Yes</t>
        </is>
      </c>
      <c r="L1035" s="1" t="inlineStr">
        <is>
          <t>Yes</t>
        </is>
      </c>
      <c r="M1035" s="1" t="inlineStr">
        <is>
          <t>No</t>
        </is>
      </c>
      <c r="N1035" s="1" t="inlineStr">
        <is>
          <t>Algorithms</t>
        </is>
      </c>
      <c r="O10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36" ht="15.75" customHeight="1" s="12">
      <c r="A1036" s="1" t="n">
        <v>1688</v>
      </c>
      <c r="B1036" s="3">
        <f>HYPERLINK("https://leetcode.com/problems/count-of-matches-in-tournament/", "Count of Matches in Tournament")</f>
        <v/>
      </c>
      <c r="C1036" s="1" t="n">
        <v>1864</v>
      </c>
      <c r="D1036" s="1" t="n">
        <v>245</v>
      </c>
      <c r="E1036" s="4">
        <f>IF(INDEX(C:C, ROW())+INDEX(D:D, ROW())=0, 0, INDEX(C:C, ROW())/(INDEX(C:C, ROW())+INDEX(D:D, ROW())))</f>
        <v/>
      </c>
      <c r="F1036" s="1" t="inlineStr">
        <is>
          <t>Math, Simulation</t>
        </is>
      </c>
      <c r="G1036" s="1" t="inlineStr">
        <is>
          <t>Easy</t>
        </is>
      </c>
      <c r="H1036" s="1" t="n">
        <v>311422</v>
      </c>
      <c r="I1036" s="1" t="n">
        <v>360999</v>
      </c>
      <c r="J1036" s="9" t="n">
        <v>0.863</v>
      </c>
      <c r="K1036" s="1" t="inlineStr">
        <is>
          <t>Yes</t>
        </is>
      </c>
      <c r="L1036" s="1" t="inlineStr">
        <is>
          <t>Yes</t>
        </is>
      </c>
      <c r="M1036" s="1" t="inlineStr">
        <is>
          <t>No</t>
        </is>
      </c>
      <c r="N1036" s="1" t="inlineStr">
        <is>
          <t>Algorithms</t>
        </is>
      </c>
      <c r="O10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37" ht="15.75" customHeight="1" s="12">
      <c r="A1037" s="1" t="n">
        <v>339</v>
      </c>
      <c r="B1037" s="3">
        <f>HYPERLINK("https://leetcode.com/problems/nested-list-weight-sum/", "Nested List Weight Sum")</f>
        <v/>
      </c>
      <c r="C1037" s="1" t="n">
        <v>1862</v>
      </c>
      <c r="D1037" s="1" t="n">
        <v>484</v>
      </c>
      <c r="E1037" s="4">
        <f>IF(INDEX(C:C, ROW())+INDEX(D:D, ROW())=0, 0, INDEX(C:C, ROW())/(INDEX(C:C, ROW())+INDEX(D:D, ROW())))</f>
        <v/>
      </c>
      <c r="F1037" s="1" t="inlineStr">
        <is>
          <t>Depth-First Search, Breadth-First Search</t>
        </is>
      </c>
      <c r="G1037" s="1" t="inlineStr">
        <is>
          <t>Medium</t>
        </is>
      </c>
      <c r="H1037" s="1" t="n">
        <v>407222</v>
      </c>
      <c r="I1037" s="1" t="n">
        <v>474209</v>
      </c>
      <c r="J1037" s="9" t="n">
        <v>0.859</v>
      </c>
      <c r="K1037" s="1" t="inlineStr">
        <is>
          <t>No</t>
        </is>
      </c>
      <c r="L1037" s="1" t="inlineStr">
        <is>
          <t>Yes</t>
        </is>
      </c>
      <c r="M1037" s="1" t="inlineStr">
        <is>
          <t>Yes</t>
        </is>
      </c>
      <c r="N1037" s="1" t="inlineStr">
        <is>
          <t>Algorithms</t>
        </is>
      </c>
      <c r="O10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38" ht="15.75" customHeight="1" s="12">
      <c r="A1038" s="1" t="n">
        <v>1189</v>
      </c>
      <c r="B1038" s="3">
        <f>HYPERLINK("https://leetcode.com/problems/maximum-number-of-balloons/", "Maximum Number of Balloons")</f>
        <v/>
      </c>
      <c r="C1038" s="1" t="n">
        <v>1862</v>
      </c>
      <c r="D1038" s="1" t="n">
        <v>121</v>
      </c>
      <c r="E1038" s="4">
        <f>IF(INDEX(C:C, ROW())+INDEX(D:D, ROW())=0, 0, INDEX(C:C, ROW())/(INDEX(C:C, ROW())+INDEX(D:D, ROW())))</f>
        <v/>
      </c>
      <c r="F1038" s="1" t="inlineStr">
        <is>
          <t>Hash Table, String, Counting</t>
        </is>
      </c>
      <c r="G1038" s="1" t="inlineStr">
        <is>
          <t>Easy</t>
        </is>
      </c>
      <c r="H1038" s="1" t="n">
        <v>313731</v>
      </c>
      <c r="I1038" s="1" t="n">
        <v>523585</v>
      </c>
      <c r="J1038" s="9" t="n">
        <v>0.599</v>
      </c>
      <c r="K1038" s="1" t="inlineStr">
        <is>
          <t>Yes</t>
        </is>
      </c>
      <c r="L1038" s="1" t="inlineStr">
        <is>
          <t>Yes</t>
        </is>
      </c>
      <c r="M1038" s="1" t="inlineStr">
        <is>
          <t>No</t>
        </is>
      </c>
      <c r="N1038" s="1" t="inlineStr">
        <is>
          <t>Algorithms</t>
        </is>
      </c>
      <c r="O10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39" ht="15.75" customHeight="1" s="12">
      <c r="A1039" s="1" t="n">
        <v>458</v>
      </c>
      <c r="B1039" s="3">
        <f>HYPERLINK("https://leetcode.com/problems/poor-pigs/", "Poor Pigs")</f>
        <v/>
      </c>
      <c r="C1039" s="1" t="n">
        <v>1861</v>
      </c>
      <c r="D1039" s="1" t="n">
        <v>3367</v>
      </c>
      <c r="E1039" s="4">
        <f>IF(INDEX(C:C, ROW())+INDEX(D:D, ROW())=0, 0, INDEX(C:C, ROW())/(INDEX(C:C, ROW())+INDEX(D:D, ROW())))</f>
        <v/>
      </c>
      <c r="F1039" s="1" t="inlineStr">
        <is>
          <t>Math, Dynamic Programming, Combinatorics</t>
        </is>
      </c>
      <c r="G1039" s="1" t="inlineStr">
        <is>
          <t>Hard</t>
        </is>
      </c>
      <c r="H1039" s="1" t="n">
        <v>130745</v>
      </c>
      <c r="I1039" s="1" t="n">
        <v>221167</v>
      </c>
      <c r="J1039" s="9" t="n">
        <v>0.591</v>
      </c>
      <c r="K1039" s="1" t="inlineStr">
        <is>
          <t>Yes</t>
        </is>
      </c>
      <c r="L1039" s="1" t="inlineStr">
        <is>
          <t>Yes</t>
        </is>
      </c>
      <c r="M1039" s="1" t="inlineStr">
        <is>
          <t>No</t>
        </is>
      </c>
      <c r="N1039" s="1" t="inlineStr">
        <is>
          <t>Algorithms</t>
        </is>
      </c>
      <c r="O10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40" ht="15.75" customHeight="1" s="12">
      <c r="A1040" s="1" t="n">
        <v>524</v>
      </c>
      <c r="B1040" s="3">
        <f>HYPERLINK("https://leetcode.com/problems/longest-word-in-dictionary-through-deleting/", "Longest Word in Dictionary through Deleting")</f>
        <v/>
      </c>
      <c r="C1040" s="1" t="n">
        <v>1859</v>
      </c>
      <c r="D1040" s="1" t="n">
        <v>363</v>
      </c>
      <c r="E1040" s="4">
        <f>IF(INDEX(C:C, ROW())+INDEX(D:D, ROW())=0, 0, INDEX(C:C, ROW())/(INDEX(C:C, ROW())+INDEX(D:D, ROW())))</f>
        <v/>
      </c>
      <c r="F1040" s="1" t="inlineStr">
        <is>
          <t>Array, Two Pointers, String, Sorting</t>
        </is>
      </c>
      <c r="G1040" s="1" t="inlineStr">
        <is>
          <t>Medium</t>
        </is>
      </c>
      <c r="H1040" s="1" t="n">
        <v>179816</v>
      </c>
      <c r="I1040" s="1" t="n">
        <v>342949</v>
      </c>
      <c r="J1040" s="9" t="n">
        <v>0.524</v>
      </c>
      <c r="K1040" s="1" t="inlineStr">
        <is>
          <t>Yes</t>
        </is>
      </c>
      <c r="L1040" s="1" t="inlineStr">
        <is>
          <t>Yes</t>
        </is>
      </c>
      <c r="M1040" s="1" t="inlineStr">
        <is>
          <t>No</t>
        </is>
      </c>
      <c r="N1040" s="1" t="inlineStr">
        <is>
          <t>Algorithms</t>
        </is>
      </c>
      <c r="O10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41" ht="15.75" customHeight="1" s="12">
      <c r="A1041" s="1" t="n">
        <v>626</v>
      </c>
      <c r="B1041" s="3">
        <f>HYPERLINK("https://leetcode.com/problems/exchange-seats/", "Exchange Seats")</f>
        <v/>
      </c>
      <c r="C1041" s="1" t="n">
        <v>1854</v>
      </c>
      <c r="D1041" s="1" t="n">
        <v>611</v>
      </c>
      <c r="E1041" s="4">
        <f>IF(INDEX(C:C, ROW())+INDEX(D:D, ROW())=0, 0, INDEX(C:C, ROW())/(INDEX(C:C, ROW())+INDEX(D:D, ROW())))</f>
        <v/>
      </c>
      <c r="F1041" s="1" t="inlineStr">
        <is>
          <t>Database</t>
        </is>
      </c>
      <c r="G1041" s="1" t="inlineStr">
        <is>
          <t>Medium</t>
        </is>
      </c>
      <c r="H1041" s="1" t="n">
        <v>423005</v>
      </c>
      <c r="I1041" s="1" t="n">
        <v>573898</v>
      </c>
      <c r="J1041" s="9" t="n">
        <v>0.737</v>
      </c>
      <c r="K1041" s="1" t="inlineStr">
        <is>
          <t>Yes</t>
        </is>
      </c>
      <c r="L1041" s="1" t="inlineStr">
        <is>
          <t>Yes</t>
        </is>
      </c>
      <c r="M1041" s="1" t="inlineStr">
        <is>
          <t>No</t>
        </is>
      </c>
      <c r="N1041" s="1" t="inlineStr">
        <is>
          <t>Database</t>
        </is>
      </c>
      <c r="O10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42" ht="15.75" customHeight="1" s="12">
      <c r="A1042" s="1" t="n">
        <v>627</v>
      </c>
      <c r="B1042" s="3">
        <f>HYPERLINK("https://leetcode.com/problems/swap-sex-of-employees/", "Swap Sex of Employees")</f>
        <v/>
      </c>
      <c r="C1042" s="1" t="n">
        <v>1851</v>
      </c>
      <c r="D1042" s="1" t="n">
        <v>572</v>
      </c>
      <c r="E1042" s="4">
        <f>IF(INDEX(C:C, ROW())+INDEX(D:D, ROW())=0, 0, INDEX(C:C, ROW())/(INDEX(C:C, ROW())+INDEX(D:D, ROW())))</f>
        <v/>
      </c>
      <c r="F1042" s="1" t="inlineStr">
        <is>
          <t>Database</t>
        </is>
      </c>
      <c r="G1042" s="1" t="inlineStr">
        <is>
          <t>Easy</t>
        </is>
      </c>
      <c r="H1042" s="1" t="n">
        <v>528448</v>
      </c>
      <c r="I1042" s="1" t="n">
        <v>625814</v>
      </c>
      <c r="J1042" s="9" t="n">
        <v>0.844</v>
      </c>
      <c r="K1042" s="1" t="inlineStr">
        <is>
          <t>Yes</t>
        </is>
      </c>
      <c r="L1042" s="1" t="inlineStr">
        <is>
          <t>Yes</t>
        </is>
      </c>
      <c r="M1042" s="1" t="inlineStr">
        <is>
          <t>No</t>
        </is>
      </c>
      <c r="N1042" s="1" t="inlineStr">
        <is>
          <t>Database</t>
        </is>
      </c>
      <c r="O10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43" ht="15.75" customHeight="1" s="12">
      <c r="A1043" s="1" t="n">
        <v>1024</v>
      </c>
      <c r="B1043" s="3">
        <f>HYPERLINK("https://leetcode.com/problems/video-stitching/", "Video Stitching")</f>
        <v/>
      </c>
      <c r="C1043" s="1" t="n">
        <v>1848</v>
      </c>
      <c r="D1043" s="1" t="n">
        <v>64</v>
      </c>
      <c r="E1043" s="4">
        <f>IF(INDEX(C:C, ROW())+INDEX(D:D, ROW())=0, 0, INDEX(C:C, ROW())/(INDEX(C:C, ROW())+INDEX(D:D, ROW())))</f>
        <v/>
      </c>
      <c r="F1043" s="1" t="inlineStr">
        <is>
          <t>Array, Dynamic Programming, Greedy</t>
        </is>
      </c>
      <c r="G1043" s="1" t="inlineStr">
        <is>
          <t>Medium</t>
        </is>
      </c>
      <c r="H1043" s="1" t="n">
        <v>85208</v>
      </c>
      <c r="I1043" s="1" t="n">
        <v>162464</v>
      </c>
      <c r="J1043" s="9" t="n">
        <v>0.524</v>
      </c>
      <c r="K1043" s="1" t="inlineStr">
        <is>
          <t>Yes</t>
        </is>
      </c>
      <c r="L1043" s="1" t="inlineStr">
        <is>
          <t>No</t>
        </is>
      </c>
      <c r="M1043" s="1" t="inlineStr">
        <is>
          <t>No</t>
        </is>
      </c>
      <c r="N1043" s="1" t="inlineStr">
        <is>
          <t>Algorithms</t>
        </is>
      </c>
      <c r="O10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44" ht="15.75" customHeight="1" s="12">
      <c r="A1044" s="1" t="n">
        <v>1569</v>
      </c>
      <c r="B1044" s="3">
        <f>HYPERLINK("https://leetcode.com/problems/number-of-ways-to-reorder-array-to-get-same-bst/", "Number of Ways to Reorder Array to Get Same BST")</f>
        <v/>
      </c>
      <c r="C1044" s="1" t="n">
        <v>1848</v>
      </c>
      <c r="D1044" s="1" t="n">
        <v>210</v>
      </c>
      <c r="E1044" s="4">
        <f>IF(INDEX(C:C, ROW())+INDEX(D:D, ROW())=0, 0, INDEX(C:C, ROW())/(INDEX(C:C, ROW())+INDEX(D:D, ROW())))</f>
        <v/>
      </c>
      <c r="F1044" s="1" t="inlineStr">
        <is>
          <t>Array, Math, Divide and Conquer, Dynamic Programming, Tree, Union-Find, Binary Search Tree, Memoization, Combinatorics, Binary Tree</t>
        </is>
      </c>
      <c r="G1044" s="1" t="inlineStr">
        <is>
          <t>Hard</t>
        </is>
      </c>
      <c r="H1044" s="1" t="n">
        <v>62225</v>
      </c>
      <c r="I1044" s="1" t="n">
        <v>115459</v>
      </c>
      <c r="J1044" s="9" t="n">
        <v>0.539</v>
      </c>
      <c r="K1044" s="1" t="inlineStr">
        <is>
          <t>Yes</t>
        </is>
      </c>
      <c r="L1044" s="1" t="inlineStr">
        <is>
          <t>Yes</t>
        </is>
      </c>
      <c r="M1044" s="1" t="inlineStr">
        <is>
          <t>No</t>
        </is>
      </c>
      <c r="N1044" s="1" t="inlineStr">
        <is>
          <t>Algorithms</t>
        </is>
      </c>
      <c r="O10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45" ht="15.75" customHeight="1" s="12">
      <c r="A1045" s="1" t="n">
        <v>2418</v>
      </c>
      <c r="B1045" s="3">
        <f>HYPERLINK("https://leetcode.com/problems/sort-the-people/", "Sort the People")</f>
        <v/>
      </c>
      <c r="C1045" s="1" t="n">
        <v>1846</v>
      </c>
      <c r="D1045" s="1" t="n">
        <v>39</v>
      </c>
      <c r="E1045" s="4">
        <f>IF(INDEX(C:C, ROW())+INDEX(D:D, ROW())=0, 0, INDEX(C:C, ROW())/(INDEX(C:C, ROW())+INDEX(D:D, ROW())))</f>
        <v/>
      </c>
      <c r="F1045" s="1" t="inlineStr">
        <is>
          <t>Array, Hash Table, String, Sorting</t>
        </is>
      </c>
      <c r="G1045" s="1" t="inlineStr">
        <is>
          <t>Easy</t>
        </is>
      </c>
      <c r="H1045" s="1" t="n">
        <v>369112</v>
      </c>
      <c r="I1045" s="1" t="n">
        <v>435410</v>
      </c>
      <c r="J1045" s="9" t="n">
        <v>0.848</v>
      </c>
      <c r="K1045" s="1" t="inlineStr">
        <is>
          <t>Yes</t>
        </is>
      </c>
      <c r="L1045" s="1" t="inlineStr">
        <is>
          <t>Yes</t>
        </is>
      </c>
      <c r="M1045" s="1" t="inlineStr">
        <is>
          <t>No</t>
        </is>
      </c>
      <c r="N1045" s="1" t="inlineStr">
        <is>
          <t>Algorithms</t>
        </is>
      </c>
      <c r="O10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46" ht="15.75" customHeight="1" s="12">
      <c r="A1046" s="1" t="n">
        <v>2054</v>
      </c>
      <c r="B1046" s="3">
        <f>HYPERLINK("https://leetcode.com/problems/two-best-non-overlapping-events/", "Two Best Non-Overlapping Events")</f>
        <v/>
      </c>
      <c r="C1046" s="1" t="n">
        <v>1845</v>
      </c>
      <c r="D1046" s="1" t="n">
        <v>72</v>
      </c>
      <c r="E1046" s="4">
        <f>IF(INDEX(C:C, ROW())+INDEX(D:D, ROW())=0, 0, INDEX(C:C, ROW())/(INDEX(C:C, ROW())+INDEX(D:D, ROW())))</f>
        <v/>
      </c>
      <c r="F1046" s="1" t="inlineStr">
        <is>
          <t>Array, Binary Search, Dynamic Programming, Sorting, Heap (Priority Queue)</t>
        </is>
      </c>
      <c r="G1046" s="1" t="inlineStr">
        <is>
          <t>Medium</t>
        </is>
      </c>
      <c r="H1046" s="1" t="n">
        <v>175368</v>
      </c>
      <c r="I1046" s="1" t="n">
        <v>273830</v>
      </c>
      <c r="J1046" s="9" t="n">
        <v>0.64</v>
      </c>
      <c r="K1046" s="1" t="inlineStr">
        <is>
          <t>Yes</t>
        </is>
      </c>
      <c r="L1046" s="1" t="inlineStr">
        <is>
          <t>Yes</t>
        </is>
      </c>
      <c r="M1046" s="1" t="inlineStr">
        <is>
          <t>No</t>
        </is>
      </c>
      <c r="N1046" s="1" t="inlineStr">
        <is>
          <t>Algorithms</t>
        </is>
      </c>
      <c r="O10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47" ht="15.75" customHeight="1" s="12">
      <c r="A1047" s="1" t="n">
        <v>1255</v>
      </c>
      <c r="B1047" s="3">
        <f>HYPERLINK("https://leetcode.com/problems/maximum-score-words-formed-by-letters/", "Maximum Score Words Formed by Letters")</f>
        <v/>
      </c>
      <c r="C1047" s="1" t="n">
        <v>1844</v>
      </c>
      <c r="D1047" s="1" t="n">
        <v>119</v>
      </c>
      <c r="E1047" s="4">
        <f>IF(INDEX(C:C, ROW())+INDEX(D:D, ROW())=0, 0, INDEX(C:C, ROW())/(INDEX(C:C, ROW())+INDEX(D:D, ROW())))</f>
        <v/>
      </c>
      <c r="F1047" s="1" t="inlineStr">
        <is>
          <t>Array, Hash Table, String, Dynamic Programming, Backtracking, Bit Manipulation, Counting, Bitmask DP</t>
        </is>
      </c>
      <c r="G1047" s="1" t="inlineStr">
        <is>
          <t>Hard</t>
        </is>
      </c>
      <c r="H1047" s="1" t="n">
        <v>132800</v>
      </c>
      <c r="I1047" s="1" t="n">
        <v>162828</v>
      </c>
      <c r="J1047" s="9" t="n">
        <v>0.8159999999999999</v>
      </c>
      <c r="K1047" s="1" t="inlineStr">
        <is>
          <t>Yes</t>
        </is>
      </c>
      <c r="L1047" s="1" t="inlineStr">
        <is>
          <t>Yes</t>
        </is>
      </c>
      <c r="M1047" s="1" t="inlineStr">
        <is>
          <t>No</t>
        </is>
      </c>
      <c r="N1047" s="1" t="inlineStr">
        <is>
          <t>Algorithms</t>
        </is>
      </c>
      <c r="O10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48" ht="15.75" customHeight="1" s="12">
      <c r="A1048" s="1" t="n">
        <v>274</v>
      </c>
      <c r="B1048" s="3">
        <f>HYPERLINK("https://leetcode.com/problems/h-index/", "H-Index")</f>
        <v/>
      </c>
      <c r="C1048" s="1" t="n">
        <v>1843</v>
      </c>
      <c r="D1048" s="1" t="n">
        <v>886</v>
      </c>
      <c r="E1048" s="4">
        <f>IF(INDEX(C:C, ROW())+INDEX(D:D, ROW())=0, 0, INDEX(C:C, ROW())/(INDEX(C:C, ROW())+INDEX(D:D, ROW())))</f>
        <v/>
      </c>
      <c r="F1048" s="1" t="inlineStr">
        <is>
          <t>Array, Sorting, Counting Sort</t>
        </is>
      </c>
      <c r="G1048" s="1" t="inlineStr">
        <is>
          <t>Medium</t>
        </is>
      </c>
      <c r="H1048" s="1" t="n">
        <v>825541</v>
      </c>
      <c r="I1048" s="1" t="n">
        <v>2012328</v>
      </c>
      <c r="J1048" s="9" t="n">
        <v>0.41</v>
      </c>
      <c r="K1048" s="1" t="inlineStr">
        <is>
          <t>Yes</t>
        </is>
      </c>
      <c r="L1048" s="1" t="inlineStr">
        <is>
          <t>Yes</t>
        </is>
      </c>
      <c r="M1048" s="1" t="inlineStr">
        <is>
          <t>No</t>
        </is>
      </c>
      <c r="N1048" s="1" t="inlineStr">
        <is>
          <t>Algorithms</t>
        </is>
      </c>
      <c r="O10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49" ht="15.75" customHeight="1" s="12">
      <c r="A1049" s="1" t="n">
        <v>1109</v>
      </c>
      <c r="B1049" s="3">
        <f>HYPERLINK("https://leetcode.com/problems/corporate-flight-bookings/", "Corporate Flight Bookings")</f>
        <v/>
      </c>
      <c r="C1049" s="1" t="n">
        <v>1838</v>
      </c>
      <c r="D1049" s="1" t="n">
        <v>166</v>
      </c>
      <c r="E1049" s="4">
        <f>IF(INDEX(C:C, ROW())+INDEX(D:D, ROW())=0, 0, INDEX(C:C, ROW())/(INDEX(C:C, ROW())+INDEX(D:D, ROW())))</f>
        <v/>
      </c>
      <c r="F1049" s="1" t="inlineStr">
        <is>
          <t>Array, Prefix Sum</t>
        </is>
      </c>
      <c r="G1049" s="1" t="inlineStr">
        <is>
          <t>Medium</t>
        </is>
      </c>
      <c r="H1049" s="1" t="n">
        <v>96043</v>
      </c>
      <c r="I1049" s="1" t="n">
        <v>145531</v>
      </c>
      <c r="J1049" s="9" t="n">
        <v>0.66</v>
      </c>
      <c r="K1049" s="1" t="inlineStr">
        <is>
          <t>Yes</t>
        </is>
      </c>
      <c r="L1049" s="1" t="inlineStr">
        <is>
          <t>No</t>
        </is>
      </c>
      <c r="M1049" s="1" t="inlineStr">
        <is>
          <t>No</t>
        </is>
      </c>
      <c r="N1049" s="1" t="inlineStr">
        <is>
          <t>Algorithms</t>
        </is>
      </c>
      <c r="O10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50" ht="15.75" customHeight="1" s="12">
      <c r="A1050" s="1" t="n">
        <v>961</v>
      </c>
      <c r="B1050" s="3">
        <f>HYPERLINK("https://leetcode.com/problems/n-repeated-element-in-size-2n-array/", "N-Repeated Element in Size 2N Array")</f>
        <v/>
      </c>
      <c r="C1050" s="1" t="n">
        <v>1837</v>
      </c>
      <c r="D1050" s="1" t="n">
        <v>348</v>
      </c>
      <c r="E1050" s="4">
        <f>IF(INDEX(C:C, ROW())+INDEX(D:D, ROW())=0, 0, INDEX(C:C, ROW())/(INDEX(C:C, ROW())+INDEX(D:D, ROW())))</f>
        <v/>
      </c>
      <c r="F1050" s="1" t="inlineStr">
        <is>
          <t>Array, Hash Table</t>
        </is>
      </c>
      <c r="G1050" s="1" t="inlineStr">
        <is>
          <t>Easy</t>
        </is>
      </c>
      <c r="H1050" s="1" t="n">
        <v>456115</v>
      </c>
      <c r="I1050" s="1" t="n">
        <v>571548</v>
      </c>
      <c r="J1050" s="9" t="n">
        <v>0.798</v>
      </c>
      <c r="K1050" s="1" t="inlineStr">
        <is>
          <t>Yes</t>
        </is>
      </c>
      <c r="L1050" s="1" t="inlineStr">
        <is>
          <t>Yes</t>
        </is>
      </c>
      <c r="M1050" s="1" t="inlineStr">
        <is>
          <t>No</t>
        </is>
      </c>
      <c r="N1050" s="1" t="inlineStr">
        <is>
          <t>Algorithms</t>
        </is>
      </c>
      <c r="O10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51" ht="15.75" customHeight="1" s="12">
      <c r="A1051" s="1" t="n">
        <v>2336</v>
      </c>
      <c r="B1051" s="3">
        <f>HYPERLINK("https://leetcode.com/problems/smallest-number-in-infinite-set/", "Smallest Number in Infinite Set")</f>
        <v/>
      </c>
      <c r="C1051" s="1" t="n">
        <v>1835</v>
      </c>
      <c r="D1051" s="1" t="n">
        <v>230</v>
      </c>
      <c r="E1051" s="4">
        <f>IF(INDEX(C:C, ROW())+INDEX(D:D, ROW())=0, 0, INDEX(C:C, ROW())/(INDEX(C:C, ROW())+INDEX(D:D, ROW())))</f>
        <v/>
      </c>
      <c r="F1051" s="1" t="inlineStr">
        <is>
          <t>Hash Table, Design, Heap (Priority Queue), Ordered Set</t>
        </is>
      </c>
      <c r="G1051" s="1" t="inlineStr">
        <is>
          <t>Medium</t>
        </is>
      </c>
      <c r="H1051" s="1" t="n">
        <v>222884</v>
      </c>
      <c r="I1051" s="1" t="n">
        <v>315853</v>
      </c>
      <c r="J1051" s="9" t="n">
        <v>0.706</v>
      </c>
      <c r="K1051" s="1" t="inlineStr">
        <is>
          <t>Yes</t>
        </is>
      </c>
      <c r="L1051" s="1" t="inlineStr">
        <is>
          <t>Yes</t>
        </is>
      </c>
      <c r="M1051" s="1" t="inlineStr">
        <is>
          <t>No</t>
        </is>
      </c>
      <c r="N1051" s="1" t="inlineStr">
        <is>
          <t>Algorithms</t>
        </is>
      </c>
      <c r="O10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52" ht="15.75" customHeight="1" s="12">
      <c r="A1052" s="1" t="n">
        <v>1446</v>
      </c>
      <c r="B1052" s="3">
        <f>HYPERLINK("https://leetcode.com/problems/consecutive-characters/", "Consecutive Characters")</f>
        <v/>
      </c>
      <c r="C1052" s="1" t="n">
        <v>1833</v>
      </c>
      <c r="D1052" s="1" t="n">
        <v>35</v>
      </c>
      <c r="E1052" s="4">
        <f>IF(INDEX(C:C, ROW())+INDEX(D:D, ROW())=0, 0, INDEX(C:C, ROW())/(INDEX(C:C, ROW())+INDEX(D:D, ROW())))</f>
        <v/>
      </c>
      <c r="F1052" s="1" t="inlineStr">
        <is>
          <t>String</t>
        </is>
      </c>
      <c r="G1052" s="1" t="inlineStr">
        <is>
          <t>Easy</t>
        </is>
      </c>
      <c r="H1052" s="1" t="n">
        <v>221119</v>
      </c>
      <c r="I1052" s="1" t="n">
        <v>366763</v>
      </c>
      <c r="J1052" s="9" t="n">
        <v>0.603</v>
      </c>
      <c r="K1052" s="1" t="inlineStr">
        <is>
          <t>Yes</t>
        </is>
      </c>
      <c r="L1052" s="1" t="inlineStr">
        <is>
          <t>Yes</t>
        </is>
      </c>
      <c r="M1052" s="1" t="inlineStr">
        <is>
          <t>No</t>
        </is>
      </c>
      <c r="N1052" s="1" t="inlineStr">
        <is>
          <t>Algorithms</t>
        </is>
      </c>
      <c r="O10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53" ht="15.75" customHeight="1" s="12">
      <c r="A1053" s="1" t="n">
        <v>819</v>
      </c>
      <c r="B1053" s="3">
        <f>HYPERLINK("https://leetcode.com/problems/most-common-word/", "Most Common Word")</f>
        <v/>
      </c>
      <c r="C1053" s="1" t="n">
        <v>1832</v>
      </c>
      <c r="D1053" s="1" t="n">
        <v>3115</v>
      </c>
      <c r="E1053" s="4">
        <f>IF(INDEX(C:C, ROW())+INDEX(D:D, ROW())=0, 0, INDEX(C:C, ROW())/(INDEX(C:C, ROW())+INDEX(D:D, ROW())))</f>
        <v/>
      </c>
      <c r="F1053" s="1" t="inlineStr">
        <is>
          <t>Array, Hash Table, String, Counting</t>
        </is>
      </c>
      <c r="G1053" s="1" t="inlineStr">
        <is>
          <t>Easy</t>
        </is>
      </c>
      <c r="H1053" s="1" t="n">
        <v>440721</v>
      </c>
      <c r="I1053" s="1" t="n">
        <v>981298</v>
      </c>
      <c r="J1053" s="9" t="n">
        <v>0.449</v>
      </c>
      <c r="K1053" s="1" t="inlineStr">
        <is>
          <t>Yes</t>
        </is>
      </c>
      <c r="L1053" s="1" t="inlineStr">
        <is>
          <t>Yes</t>
        </is>
      </c>
      <c r="M1053" s="1" t="inlineStr">
        <is>
          <t>No</t>
        </is>
      </c>
      <c r="N1053" s="1" t="inlineStr">
        <is>
          <t>Algorithms</t>
        </is>
      </c>
      <c r="O10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54" ht="15.75" customHeight="1" s="12">
      <c r="A1054" s="1" t="n">
        <v>1716</v>
      </c>
      <c r="B1054" s="3">
        <f>HYPERLINK("https://leetcode.com/problems/calculate-money-in-leetcode-bank/", "Calculate Money in Leetcode Bank")</f>
        <v/>
      </c>
      <c r="C1054" s="1" t="n">
        <v>1827</v>
      </c>
      <c r="D1054" s="1" t="n">
        <v>64</v>
      </c>
      <c r="E1054" s="4">
        <f>IF(INDEX(C:C, ROW())+INDEX(D:D, ROW())=0, 0, INDEX(C:C, ROW())/(INDEX(C:C, ROW())+INDEX(D:D, ROW())))</f>
        <v/>
      </c>
      <c r="F1054" s="1" t="inlineStr">
        <is>
          <t>Math</t>
        </is>
      </c>
      <c r="G1054" s="1" t="inlineStr">
        <is>
          <t>Easy</t>
        </is>
      </c>
      <c r="H1054" s="1" t="n">
        <v>294075</v>
      </c>
      <c r="I1054" s="1" t="n">
        <v>357369</v>
      </c>
      <c r="J1054" s="9" t="n">
        <v>0.823</v>
      </c>
      <c r="K1054" s="1" t="inlineStr">
        <is>
          <t>Yes</t>
        </is>
      </c>
      <c r="L1054" s="1" t="inlineStr">
        <is>
          <t>Yes</t>
        </is>
      </c>
      <c r="M1054" s="1" t="inlineStr">
        <is>
          <t>No</t>
        </is>
      </c>
      <c r="N1054" s="1" t="inlineStr">
        <is>
          <t>Algorithms</t>
        </is>
      </c>
      <c r="O10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55" ht="15.75" customHeight="1" s="12">
      <c r="A1055" s="1" t="n">
        <v>1915</v>
      </c>
      <c r="B1055" s="3">
        <f>HYPERLINK("https://leetcode.com/problems/number-of-wonderful-substrings/", "Number of Wonderful Substrings")</f>
        <v/>
      </c>
      <c r="C1055" s="1" t="n">
        <v>1822</v>
      </c>
      <c r="D1055" s="1" t="n">
        <v>284</v>
      </c>
      <c r="E1055" s="4">
        <f>IF(INDEX(C:C, ROW())+INDEX(D:D, ROW())=0, 0, INDEX(C:C, ROW())/(INDEX(C:C, ROW())+INDEX(D:D, ROW())))</f>
        <v/>
      </c>
      <c r="F1055" s="1" t="inlineStr">
        <is>
          <t>Hash Table, String, Bit Manipulation, Prefix Sum</t>
        </is>
      </c>
      <c r="G1055" s="1" t="inlineStr">
        <is>
          <t>Medium</t>
        </is>
      </c>
      <c r="H1055" s="1" t="n">
        <v>88959</v>
      </c>
      <c r="I1055" s="1" t="n">
        <v>133600</v>
      </c>
      <c r="J1055" s="9" t="n">
        <v>0.666</v>
      </c>
      <c r="K1055" s="1" t="inlineStr">
        <is>
          <t>Yes</t>
        </is>
      </c>
      <c r="L1055" s="1" t="inlineStr">
        <is>
          <t>Yes</t>
        </is>
      </c>
      <c r="M1055" s="1" t="inlineStr">
        <is>
          <t>No</t>
        </is>
      </c>
      <c r="N1055" s="1" t="inlineStr">
        <is>
          <t>Algorithms</t>
        </is>
      </c>
      <c r="O10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56" ht="15.75" customHeight="1" s="12">
      <c r="A1056" s="1" t="n">
        <v>899</v>
      </c>
      <c r="B1056" s="3">
        <f>HYPERLINK("https://leetcode.com/problems/orderly-queue/", "Orderly Queue")</f>
        <v/>
      </c>
      <c r="C1056" s="1" t="n">
        <v>1820</v>
      </c>
      <c r="D1056" s="1" t="n">
        <v>620</v>
      </c>
      <c r="E1056" s="4">
        <f>IF(INDEX(C:C, ROW())+INDEX(D:D, ROW())=0, 0, INDEX(C:C, ROW())/(INDEX(C:C, ROW())+INDEX(D:D, ROW())))</f>
        <v/>
      </c>
      <c r="F1056" s="1" t="inlineStr">
        <is>
          <t>Math, String, Sorting</t>
        </is>
      </c>
      <c r="G1056" s="1" t="inlineStr">
        <is>
          <t>Hard</t>
        </is>
      </c>
      <c r="H1056" s="1" t="n">
        <v>82076</v>
      </c>
      <c r="I1056" s="1" t="n">
        <v>123205</v>
      </c>
      <c r="J1056" s="9" t="n">
        <v>0.666</v>
      </c>
      <c r="K1056" s="1" t="inlineStr">
        <is>
          <t>Yes</t>
        </is>
      </c>
      <c r="L1056" s="1" t="inlineStr">
        <is>
          <t>Yes</t>
        </is>
      </c>
      <c r="M1056" s="1" t="inlineStr">
        <is>
          <t>No</t>
        </is>
      </c>
      <c r="N1056" s="1" t="inlineStr">
        <is>
          <t>Algorithms</t>
        </is>
      </c>
      <c r="O10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57" ht="15.75" customHeight="1" s="12">
      <c r="A1057" s="1" t="n">
        <v>940</v>
      </c>
      <c r="B1057" s="3">
        <f>HYPERLINK("https://leetcode.com/problems/distinct-subsequences-ii/", "Distinct Subsequences II")</f>
        <v/>
      </c>
      <c r="C1057" s="1" t="n">
        <v>1817</v>
      </c>
      <c r="D1057" s="1" t="n">
        <v>39</v>
      </c>
      <c r="E1057" s="4">
        <f>IF(INDEX(C:C, ROW())+INDEX(D:D, ROW())=0, 0, INDEX(C:C, ROW())/(INDEX(C:C, ROW())+INDEX(D:D, ROW())))</f>
        <v/>
      </c>
      <c r="F1057" s="1" t="inlineStr">
        <is>
          <t>String, Dynamic Programming</t>
        </is>
      </c>
      <c r="G1057" s="1" t="inlineStr">
        <is>
          <t>Hard</t>
        </is>
      </c>
      <c r="H1057" s="1" t="n">
        <v>50151</v>
      </c>
      <c r="I1057" s="1" t="n">
        <v>114129</v>
      </c>
      <c r="J1057" s="9" t="n">
        <v>0.439</v>
      </c>
      <c r="K1057" s="1" t="inlineStr">
        <is>
          <t>Yes</t>
        </is>
      </c>
      <c r="L1057" s="1" t="inlineStr">
        <is>
          <t>Yes</t>
        </is>
      </c>
      <c r="M1057" s="1" t="inlineStr">
        <is>
          <t>Yes</t>
        </is>
      </c>
      <c r="N1057" s="1" t="inlineStr">
        <is>
          <t>Algorithms</t>
        </is>
      </c>
      <c r="O10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58" ht="15.75" customHeight="1" s="12">
      <c r="A1058" s="1" t="n">
        <v>2812</v>
      </c>
      <c r="B1058" s="3">
        <f>HYPERLINK("https://leetcode.com/problems/find-the-safest-path-in-a-grid/", "Find the Safest Path in a Grid")</f>
        <v/>
      </c>
      <c r="C1058" s="1" t="n">
        <v>1809</v>
      </c>
      <c r="D1058" s="1" t="n">
        <v>322</v>
      </c>
      <c r="E1058" s="4">
        <f>IF(INDEX(C:C, ROW())+INDEX(D:D, ROW())=0, 0, INDEX(C:C, ROW())/(INDEX(C:C, ROW())+INDEX(D:D, ROW())))</f>
        <v/>
      </c>
      <c r="F1058" s="1" t="inlineStr">
        <is>
          <t>Array, Binary Search, Breadth-First Search, Union-Find, Heap (Priority Queue), Matrix</t>
        </is>
      </c>
      <c r="G1058" s="1" t="inlineStr">
        <is>
          <t>Medium</t>
        </is>
      </c>
      <c r="H1058" s="1" t="n">
        <v>110705</v>
      </c>
      <c r="I1058" s="1" t="n">
        <v>228034</v>
      </c>
      <c r="J1058" s="9" t="n">
        <v>0.485</v>
      </c>
      <c r="K1058" s="1" t="inlineStr">
        <is>
          <t>Yes</t>
        </is>
      </c>
      <c r="L1058" s="1" t="inlineStr">
        <is>
          <t>Yes</t>
        </is>
      </c>
      <c r="M1058" s="1" t="inlineStr">
        <is>
          <t>No</t>
        </is>
      </c>
      <c r="N1058" s="1" t="inlineStr">
        <is>
          <t>Algorithms</t>
        </is>
      </c>
      <c r="O10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59" ht="15.75" customHeight="1" s="12">
      <c r="A1059" s="1" t="n">
        <v>352</v>
      </c>
      <c r="B1059" s="3">
        <f>HYPERLINK("https://leetcode.com/problems/data-stream-as-disjoint-intervals/", "Data Stream as Disjoint Intervals")</f>
        <v/>
      </c>
      <c r="C1059" s="1" t="n">
        <v>1807</v>
      </c>
      <c r="D1059" s="1" t="n">
        <v>374</v>
      </c>
      <c r="E1059" s="4">
        <f>IF(INDEX(C:C, ROW())+INDEX(D:D, ROW())=0, 0, INDEX(C:C, ROW())/(INDEX(C:C, ROW())+INDEX(D:D, ROW())))</f>
        <v/>
      </c>
      <c r="F1059" s="1" t="inlineStr">
        <is>
          <t>Hash Table, Binary Search, Union-Find, Design, Data Stream, Ordered Set</t>
        </is>
      </c>
      <c r="G1059" s="1" t="inlineStr">
        <is>
          <t>Hard</t>
        </is>
      </c>
      <c r="H1059" s="1" t="n">
        <v>128830</v>
      </c>
      <c r="I1059" s="1" t="n">
        <v>215132</v>
      </c>
      <c r="J1059" s="9" t="n">
        <v>0.599</v>
      </c>
      <c r="K1059" s="1" t="inlineStr">
        <is>
          <t>Yes</t>
        </is>
      </c>
      <c r="L1059" s="1" t="inlineStr">
        <is>
          <t>Yes</t>
        </is>
      </c>
      <c r="M1059" s="1" t="inlineStr">
        <is>
          <t>No</t>
        </is>
      </c>
      <c r="N1059" s="1" t="inlineStr">
        <is>
          <t>Algorithms</t>
        </is>
      </c>
      <c r="O10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60" ht="15.75" customHeight="1" s="12">
      <c r="A1060" s="1" t="n">
        <v>1379</v>
      </c>
      <c r="B1060" s="3">
        <f>HYPERLINK("https://leetcode.com/problems/find-a-corresponding-node-of-a-binary-tree-in-a-clone-of-that-tree/", "Find a Corresponding Node of a Binary Tree in a Clone of That Tree")</f>
        <v/>
      </c>
      <c r="C1060" s="1" t="n">
        <v>1807</v>
      </c>
      <c r="D1060" s="1" t="n">
        <v>2017</v>
      </c>
      <c r="E1060" s="4">
        <f>IF(INDEX(C:C, ROW())+INDEX(D:D, ROW())=0, 0, INDEX(C:C, ROW())/(INDEX(C:C, ROW())+INDEX(D:D, ROW())))</f>
        <v/>
      </c>
      <c r="F1060" s="1" t="inlineStr">
        <is>
          <t>Tree, Depth-First Search, Breadth-First Search, Binary Tree</t>
        </is>
      </c>
      <c r="G1060" s="1" t="inlineStr">
        <is>
          <t>Easy</t>
        </is>
      </c>
      <c r="H1060" s="1" t="n">
        <v>261514</v>
      </c>
      <c r="I1060" s="1" t="n">
        <v>304759</v>
      </c>
      <c r="J1060" s="9" t="n">
        <v>0.858</v>
      </c>
      <c r="K1060" s="1" t="inlineStr">
        <is>
          <t>Yes</t>
        </is>
      </c>
      <c r="L1060" s="1" t="inlineStr">
        <is>
          <t>Yes</t>
        </is>
      </c>
      <c r="M1060" s="1" t="inlineStr">
        <is>
          <t>No</t>
        </is>
      </c>
      <c r="N1060" s="1" t="inlineStr">
        <is>
          <t>Algorithms</t>
        </is>
      </c>
      <c r="O10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61" ht="15.75" customHeight="1" s="12">
      <c r="A1061" s="1" t="n">
        <v>2226</v>
      </c>
      <c r="B1061" s="3">
        <f>HYPERLINK("https://leetcode.com/problems/maximum-candies-allocated-to-k-children/", "Maximum Candies Allocated to K Children")</f>
        <v/>
      </c>
      <c r="C1061" s="1" t="n">
        <v>1807</v>
      </c>
      <c r="D1061" s="1" t="n">
        <v>83</v>
      </c>
      <c r="E1061" s="4">
        <f>IF(INDEX(C:C, ROW())+INDEX(D:D, ROW())=0, 0, INDEX(C:C, ROW())/(INDEX(C:C, ROW())+INDEX(D:D, ROW())))</f>
        <v/>
      </c>
      <c r="F1061" s="1" t="inlineStr">
        <is>
          <t>Array, Binary Search</t>
        </is>
      </c>
      <c r="G1061" s="1" t="inlineStr">
        <is>
          <t>Medium</t>
        </is>
      </c>
      <c r="H1061" s="1" t="n">
        <v>199691</v>
      </c>
      <c r="I1061" s="1" t="n">
        <v>400024</v>
      </c>
      <c r="J1061" s="9" t="n">
        <v>0.499</v>
      </c>
      <c r="K1061" s="1" t="inlineStr">
        <is>
          <t>Yes</t>
        </is>
      </c>
      <c r="L1061" s="1" t="inlineStr">
        <is>
          <t>Yes</t>
        </is>
      </c>
      <c r="M1061" s="1" t="inlineStr">
        <is>
          <t>No</t>
        </is>
      </c>
      <c r="N1061" s="1" t="inlineStr">
        <is>
          <t>Algorithms</t>
        </is>
      </c>
      <c r="O10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62" ht="15.75" customHeight="1" s="12">
      <c r="A1062" s="1" t="n">
        <v>2064</v>
      </c>
      <c r="B1062" s="3">
        <f>HYPERLINK("https://leetcode.com/problems/minimized-maximum-of-products-distributed-to-any-store/", "Minimized Maximum of Products Distributed to Any Store")</f>
        <v/>
      </c>
      <c r="C1062" s="1" t="n">
        <v>1805</v>
      </c>
      <c r="D1062" s="1" t="n">
        <v>107</v>
      </c>
      <c r="E1062" s="4">
        <f>IF(INDEX(C:C, ROW())+INDEX(D:D, ROW())=0, 0, INDEX(C:C, ROW())/(INDEX(C:C, ROW())+INDEX(D:D, ROW())))</f>
        <v/>
      </c>
      <c r="F1062" s="1" t="inlineStr">
        <is>
          <t>Array, Binary Search, Greedy</t>
        </is>
      </c>
      <c r="G1062" s="1" t="inlineStr">
        <is>
          <t>Medium</t>
        </is>
      </c>
      <c r="H1062" s="1" t="n">
        <v>146081</v>
      </c>
      <c r="I1062" s="1" t="n">
        <v>232173</v>
      </c>
      <c r="J1062" s="9" t="n">
        <v>0.629</v>
      </c>
      <c r="K1062" s="1" t="inlineStr">
        <is>
          <t>Yes</t>
        </is>
      </c>
      <c r="L1062" s="1" t="inlineStr">
        <is>
          <t>Yes</t>
        </is>
      </c>
      <c r="M1062" s="1" t="inlineStr">
        <is>
          <t>No</t>
        </is>
      </c>
      <c r="N1062" s="1" t="inlineStr">
        <is>
          <t>Algorithms</t>
        </is>
      </c>
      <c r="O10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63" ht="15.75" customHeight="1" s="12">
      <c r="A1063" s="1" t="n">
        <v>2017</v>
      </c>
      <c r="B1063" s="3">
        <f>HYPERLINK("https://leetcode.com/problems/grid-game/", "Grid Game")</f>
        <v/>
      </c>
      <c r="C1063" s="1" t="n">
        <v>1804</v>
      </c>
      <c r="D1063" s="1" t="n">
        <v>93</v>
      </c>
      <c r="E1063" s="4">
        <f>IF(INDEX(C:C, ROW())+INDEX(D:D, ROW())=0, 0, INDEX(C:C, ROW())/(INDEX(C:C, ROW())+INDEX(D:D, ROW())))</f>
        <v/>
      </c>
      <c r="F1063" s="1" t="inlineStr">
        <is>
          <t>Array, Matrix, Prefix Sum</t>
        </is>
      </c>
      <c r="G1063" s="1" t="inlineStr">
        <is>
          <t>Medium</t>
        </is>
      </c>
      <c r="H1063" s="1" t="n">
        <v>138060</v>
      </c>
      <c r="I1063" s="1" t="n">
        <v>226756</v>
      </c>
      <c r="J1063" s="9" t="n">
        <v>0.609</v>
      </c>
      <c r="K1063" s="1" t="inlineStr">
        <is>
          <t>Yes</t>
        </is>
      </c>
      <c r="L1063" s="1" t="inlineStr">
        <is>
          <t>Yes</t>
        </is>
      </c>
      <c r="M1063" s="1" t="inlineStr">
        <is>
          <t>No</t>
        </is>
      </c>
      <c r="N1063" s="1" t="inlineStr">
        <is>
          <t>Algorithms</t>
        </is>
      </c>
      <c r="O10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64" ht="15.75" customHeight="1" s="12">
      <c r="A1064" s="1" t="n">
        <v>233</v>
      </c>
      <c r="B1064" s="3">
        <f>HYPERLINK("https://leetcode.com/problems/number-of-digit-one/", "Number of Digit One")</f>
        <v/>
      </c>
      <c r="C1064" s="1" t="n">
        <v>1802</v>
      </c>
      <c r="D1064" s="1" t="n">
        <v>1546</v>
      </c>
      <c r="E1064" s="4">
        <f>IF(INDEX(C:C, ROW())+INDEX(D:D, ROW())=0, 0, INDEX(C:C, ROW())/(INDEX(C:C, ROW())+INDEX(D:D, ROW())))</f>
        <v/>
      </c>
      <c r="F1064" s="1" t="inlineStr">
        <is>
          <t>Math, Dynamic Programming, Recursion</t>
        </is>
      </c>
      <c r="G1064" s="1" t="inlineStr">
        <is>
          <t>Hard</t>
        </is>
      </c>
      <c r="H1064" s="1" t="n">
        <v>133680</v>
      </c>
      <c r="I1064" s="1" t="n">
        <v>356847</v>
      </c>
      <c r="J1064" s="9" t="n">
        <v>0.375</v>
      </c>
      <c r="K1064" s="1" t="inlineStr">
        <is>
          <t>Yes</t>
        </is>
      </c>
      <c r="L1064" s="1" t="inlineStr">
        <is>
          <t>Yes</t>
        </is>
      </c>
      <c r="M1064" s="1" t="inlineStr">
        <is>
          <t>No</t>
        </is>
      </c>
      <c r="N1064" s="1" t="inlineStr">
        <is>
          <t>Algorithms</t>
        </is>
      </c>
      <c r="O10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65" ht="15.75" customHeight="1" s="12">
      <c r="A1065" s="1" t="n">
        <v>2251</v>
      </c>
      <c r="B1065" s="3">
        <f>HYPERLINK("https://leetcode.com/problems/number-of-flowers-in-full-bloom/", "Number of Flowers in Full Bloom")</f>
        <v/>
      </c>
      <c r="C1065" s="1" t="n">
        <v>1802</v>
      </c>
      <c r="D1065" s="1" t="n">
        <v>46</v>
      </c>
      <c r="E1065" s="4">
        <f>IF(INDEX(C:C, ROW())+INDEX(D:D, ROW())=0, 0, INDEX(C:C, ROW())/(INDEX(C:C, ROW())+INDEX(D:D, ROW())))</f>
        <v/>
      </c>
      <c r="F1065" s="1" t="inlineStr">
        <is>
          <t>Array, Hash Table, Binary Search, Sorting, Prefix Sum, Ordered Set</t>
        </is>
      </c>
      <c r="G1065" s="1" t="inlineStr">
        <is>
          <t>Hard</t>
        </is>
      </c>
      <c r="H1065" s="1" t="n">
        <v>105571</v>
      </c>
      <c r="I1065" s="1" t="n">
        <v>183013</v>
      </c>
      <c r="J1065" s="9" t="n">
        <v>0.577</v>
      </c>
      <c r="K1065" s="1" t="inlineStr">
        <is>
          <t>Yes</t>
        </is>
      </c>
      <c r="L1065" s="1" t="inlineStr">
        <is>
          <t>Yes</t>
        </is>
      </c>
      <c r="M1065" s="1" t="inlineStr">
        <is>
          <t>No</t>
        </is>
      </c>
      <c r="N1065" s="1" t="inlineStr">
        <is>
          <t>Algorithms</t>
        </is>
      </c>
      <c r="O10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66" ht="15.75" customHeight="1" s="12">
      <c r="A1066" s="1" t="n">
        <v>1343</v>
      </c>
      <c r="B1066" s="3">
        <f>HYPERLINK("https://leetcode.com/problems/number-of-sub-arrays-of-size-k-and-average-greater-than-or-equal-to-threshold/", "Number of Sub-arrays of Size K and Average Greater than or Equal to Threshold")</f>
        <v/>
      </c>
      <c r="C1066" s="1" t="n">
        <v>1799</v>
      </c>
      <c r="D1066" s="1" t="n">
        <v>108</v>
      </c>
      <c r="E1066" s="4">
        <f>IF(INDEX(C:C, ROW())+INDEX(D:D, ROW())=0, 0, INDEX(C:C, ROW())/(INDEX(C:C, ROW())+INDEX(D:D, ROW())))</f>
        <v/>
      </c>
      <c r="F1066" s="1" t="inlineStr">
        <is>
          <t>Array, Sliding Window</t>
        </is>
      </c>
      <c r="G1066" s="1" t="inlineStr">
        <is>
          <t>Medium</t>
        </is>
      </c>
      <c r="H1066" s="1" t="n">
        <v>173899</v>
      </c>
      <c r="I1066" s="1" t="n">
        <v>242549</v>
      </c>
      <c r="J1066" s="9" t="n">
        <v>0.717</v>
      </c>
      <c r="K1066" s="1" t="inlineStr">
        <is>
          <t>Yes</t>
        </is>
      </c>
      <c r="L1066" s="1" t="inlineStr">
        <is>
          <t>No</t>
        </is>
      </c>
      <c r="M1066" s="1" t="inlineStr">
        <is>
          <t>No</t>
        </is>
      </c>
      <c r="N1066" s="1" t="inlineStr">
        <is>
          <t>Algorithms</t>
        </is>
      </c>
      <c r="O10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67" ht="15.75" customHeight="1" s="12">
      <c r="A1067" s="1" t="n">
        <v>359</v>
      </c>
      <c r="B1067" s="3">
        <f>HYPERLINK("https://leetcode.com/problems/logger-rate-limiter/", "Logger Rate Limiter")</f>
        <v/>
      </c>
      <c r="C1067" s="1" t="n">
        <v>1798</v>
      </c>
      <c r="D1067" s="1" t="n">
        <v>198</v>
      </c>
      <c r="E1067" s="4">
        <f>IF(INDEX(C:C, ROW())+INDEX(D:D, ROW())=0, 0, INDEX(C:C, ROW())/(INDEX(C:C, ROW())+INDEX(D:D, ROW())))</f>
        <v/>
      </c>
      <c r="F1067" s="1" t="inlineStr">
        <is>
          <t>Hash Table, Design, Data Stream</t>
        </is>
      </c>
      <c r="G1067" s="1" t="inlineStr">
        <is>
          <t>Easy</t>
        </is>
      </c>
      <c r="H1067" s="1" t="n">
        <v>382898</v>
      </c>
      <c r="I1067" s="1" t="n">
        <v>498984</v>
      </c>
      <c r="J1067" s="9" t="n">
        <v>0.767</v>
      </c>
      <c r="K1067" s="1" t="inlineStr">
        <is>
          <t>No</t>
        </is>
      </c>
      <c r="L1067" s="1" t="inlineStr">
        <is>
          <t>Yes</t>
        </is>
      </c>
      <c r="M1067" s="1" t="inlineStr">
        <is>
          <t>Yes</t>
        </is>
      </c>
      <c r="N1067" s="1" t="inlineStr">
        <is>
          <t>Algorithms</t>
        </is>
      </c>
      <c r="O10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68" ht="15.75" customHeight="1" s="12">
      <c r="A1068" s="1" t="n">
        <v>1871</v>
      </c>
      <c r="B1068" s="3">
        <f>HYPERLINK("https://leetcode.com/problems/jump-game-vii/", "Jump Game VII")</f>
        <v/>
      </c>
      <c r="C1068" s="1" t="n">
        <v>1796</v>
      </c>
      <c r="D1068" s="1" t="n">
        <v>120</v>
      </c>
      <c r="E1068" s="4">
        <f>IF(INDEX(C:C, ROW())+INDEX(D:D, ROW())=0, 0, INDEX(C:C, ROW())/(INDEX(C:C, ROW())+INDEX(D:D, ROW())))</f>
        <v/>
      </c>
      <c r="F1068" s="1" t="inlineStr">
        <is>
          <t>String, Dynamic Programming, Sliding Window, Prefix Sum</t>
        </is>
      </c>
      <c r="G1068" s="1" t="inlineStr">
        <is>
          <t>Medium</t>
        </is>
      </c>
      <c r="H1068" s="1" t="n">
        <v>64299</v>
      </c>
      <c r="I1068" s="1" t="n">
        <v>245099</v>
      </c>
      <c r="J1068" s="9" t="n">
        <v>0.262</v>
      </c>
      <c r="K1068" s="1" t="inlineStr">
        <is>
          <t>Yes</t>
        </is>
      </c>
      <c r="L1068" s="1" t="inlineStr">
        <is>
          <t>No</t>
        </is>
      </c>
      <c r="M1068" s="1" t="inlineStr">
        <is>
          <t>No</t>
        </is>
      </c>
      <c r="N1068" s="1" t="inlineStr">
        <is>
          <t>Algorithms</t>
        </is>
      </c>
      <c r="O10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69" ht="15.75" customHeight="1" s="12">
      <c r="A1069" s="1" t="n">
        <v>500</v>
      </c>
      <c r="B1069" s="3">
        <f>HYPERLINK("https://leetcode.com/problems/keyboard-row/", "Keyboard Row")</f>
        <v/>
      </c>
      <c r="C1069" s="1" t="n">
        <v>1792</v>
      </c>
      <c r="D1069" s="1" t="n">
        <v>1158</v>
      </c>
      <c r="E1069" s="4">
        <f>IF(INDEX(C:C, ROW())+INDEX(D:D, ROW())=0, 0, INDEX(C:C, ROW())/(INDEX(C:C, ROW())+INDEX(D:D, ROW())))</f>
        <v/>
      </c>
      <c r="F1069" s="1" t="inlineStr">
        <is>
          <t>Array, Hash Table, String</t>
        </is>
      </c>
      <c r="G1069" s="1" t="inlineStr">
        <is>
          <t>Easy</t>
        </is>
      </c>
      <c r="H1069" s="1" t="n">
        <v>314006</v>
      </c>
      <c r="I1069" s="1" t="n">
        <v>427927</v>
      </c>
      <c r="J1069" s="9" t="n">
        <v>0.734</v>
      </c>
      <c r="K1069" s="1" t="inlineStr">
        <is>
          <t>Yes</t>
        </is>
      </c>
      <c r="L1069" s="1" t="inlineStr">
        <is>
          <t>No</t>
        </is>
      </c>
      <c r="M1069" s="1" t="inlineStr">
        <is>
          <t>No</t>
        </is>
      </c>
      <c r="N1069" s="1" t="inlineStr">
        <is>
          <t>Algorithms</t>
        </is>
      </c>
      <c r="O10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70" ht="15.75" customHeight="1" s="12">
      <c r="A1070" s="1" t="n">
        <v>1260</v>
      </c>
      <c r="B1070" s="3">
        <f>HYPERLINK("https://leetcode.com/problems/shift-2d-grid/", "Shift 2D Grid")</f>
        <v/>
      </c>
      <c r="C1070" s="1" t="n">
        <v>1790</v>
      </c>
      <c r="D1070" s="1" t="n">
        <v>349</v>
      </c>
      <c r="E1070" s="4">
        <f>IF(INDEX(C:C, ROW())+INDEX(D:D, ROW())=0, 0, INDEX(C:C, ROW())/(INDEX(C:C, ROW())+INDEX(D:D, ROW())))</f>
        <v/>
      </c>
      <c r="F1070" s="1" t="inlineStr">
        <is>
          <t>Array, Matrix, Simulation</t>
        </is>
      </c>
      <c r="G1070" s="1" t="inlineStr">
        <is>
          <t>Easy</t>
        </is>
      </c>
      <c r="H1070" s="1" t="n">
        <v>122950</v>
      </c>
      <c r="I1070" s="1" t="n">
        <v>181071</v>
      </c>
      <c r="J1070" s="9" t="n">
        <v>0.679</v>
      </c>
      <c r="K1070" s="1" t="inlineStr">
        <is>
          <t>Yes</t>
        </is>
      </c>
      <c r="L1070" s="1" t="inlineStr">
        <is>
          <t>Yes</t>
        </is>
      </c>
      <c r="M1070" s="1" t="inlineStr">
        <is>
          <t>No</t>
        </is>
      </c>
      <c r="N1070" s="1" t="inlineStr">
        <is>
          <t>Algorithms</t>
        </is>
      </c>
      <c r="O10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71" ht="15.75" customHeight="1" s="12">
      <c r="A1071" s="1" t="n">
        <v>1400</v>
      </c>
      <c r="B1071" s="3">
        <f>HYPERLINK("https://leetcode.com/problems/construct-k-palindrome-strings/", "Construct K Palindrome Strings")</f>
        <v/>
      </c>
      <c r="C1071" s="1" t="n">
        <v>1790</v>
      </c>
      <c r="D1071" s="1" t="n">
        <v>160</v>
      </c>
      <c r="E1071" s="4">
        <f>IF(INDEX(C:C, ROW())+INDEX(D:D, ROW())=0, 0, INDEX(C:C, ROW())/(INDEX(C:C, ROW())+INDEX(D:D, ROW())))</f>
        <v/>
      </c>
      <c r="F1071" s="1" t="inlineStr">
        <is>
          <t>Hash Table, String, Greedy, Counting</t>
        </is>
      </c>
      <c r="G1071" s="1" t="inlineStr">
        <is>
          <t>Medium</t>
        </is>
      </c>
      <c r="H1071" s="1" t="n">
        <v>208528</v>
      </c>
      <c r="I1071" s="1" t="n">
        <v>303942</v>
      </c>
      <c r="J1071" s="9" t="n">
        <v>0.6860000000000001</v>
      </c>
      <c r="K1071" s="1" t="inlineStr">
        <is>
          <t>Yes</t>
        </is>
      </c>
      <c r="L1071" s="1" t="inlineStr">
        <is>
          <t>Yes</t>
        </is>
      </c>
      <c r="M1071" s="1" t="inlineStr">
        <is>
          <t>No</t>
        </is>
      </c>
      <c r="N1071" s="1" t="inlineStr">
        <is>
          <t>Algorithms</t>
        </is>
      </c>
      <c r="O10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72" ht="15.75" customHeight="1" s="12">
      <c r="A1072" s="1" t="n">
        <v>2006</v>
      </c>
      <c r="B1072" s="3">
        <f>HYPERLINK("https://leetcode.com/problems/count-number-of-pairs-with-absolute-difference-k/", "Count Number of Pairs With Absolute Difference K")</f>
        <v/>
      </c>
      <c r="C1072" s="1" t="n">
        <v>1785</v>
      </c>
      <c r="D1072" s="1" t="n">
        <v>49</v>
      </c>
      <c r="E1072" s="4">
        <f>IF(INDEX(C:C, ROW())+INDEX(D:D, ROW())=0, 0, INDEX(C:C, ROW())/(INDEX(C:C, ROW())+INDEX(D:D, ROW())))</f>
        <v/>
      </c>
      <c r="F1072" s="1" t="inlineStr">
        <is>
          <t>Array, Hash Table, Counting</t>
        </is>
      </c>
      <c r="G1072" s="1" t="inlineStr">
        <is>
          <t>Easy</t>
        </is>
      </c>
      <c r="H1072" s="1" t="n">
        <v>225048</v>
      </c>
      <c r="I1072" s="1" t="n">
        <v>263944</v>
      </c>
      <c r="J1072" s="9" t="n">
        <v>0.853</v>
      </c>
      <c r="K1072" s="1" t="inlineStr">
        <is>
          <t>Yes</t>
        </is>
      </c>
      <c r="L1072" s="1" t="inlineStr">
        <is>
          <t>No</t>
        </is>
      </c>
      <c r="M1072" s="1" t="inlineStr">
        <is>
          <t>No</t>
        </is>
      </c>
      <c r="N1072" s="1" t="inlineStr">
        <is>
          <t>Algorithms</t>
        </is>
      </c>
      <c r="O10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73" ht="15.75" customHeight="1" s="12">
      <c r="A1073" s="1" t="n">
        <v>1013</v>
      </c>
      <c r="B1073" s="3">
        <f>HYPERLINK("https://leetcode.com/problems/partition-array-into-three-parts-with-equal-sum/", "Partition Array Into Three Parts With Equal Sum")</f>
        <v/>
      </c>
      <c r="C1073" s="1" t="n">
        <v>1783</v>
      </c>
      <c r="D1073" s="1" t="n">
        <v>169</v>
      </c>
      <c r="E1073" s="4">
        <f>IF(INDEX(C:C, ROW())+INDEX(D:D, ROW())=0, 0, INDEX(C:C, ROW())/(INDEX(C:C, ROW())+INDEX(D:D, ROW())))</f>
        <v/>
      </c>
      <c r="F1073" s="1" t="inlineStr">
        <is>
          <t>Array, Greedy</t>
        </is>
      </c>
      <c r="G1073" s="1" t="inlineStr">
        <is>
          <t>Easy</t>
        </is>
      </c>
      <c r="H1073" s="1" t="n">
        <v>120816</v>
      </c>
      <c r="I1073" s="1" t="n">
        <v>284377</v>
      </c>
      <c r="J1073" s="9" t="n">
        <v>0.425</v>
      </c>
      <c r="K1073" s="1" t="inlineStr">
        <is>
          <t>Yes</t>
        </is>
      </c>
      <c r="L1073" s="1" t="inlineStr">
        <is>
          <t>No</t>
        </is>
      </c>
      <c r="M1073" s="1" t="inlineStr">
        <is>
          <t>No</t>
        </is>
      </c>
      <c r="N1073" s="1" t="inlineStr">
        <is>
          <t>Algorithms</t>
        </is>
      </c>
      <c r="O10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74" ht="15.75" customHeight="1" s="12">
      <c r="A1074" s="1" t="n">
        <v>2364</v>
      </c>
      <c r="B1074" s="3">
        <f>HYPERLINK("https://leetcode.com/problems/count-number-of-bad-pairs/", "Count Number of Bad Pairs")</f>
        <v/>
      </c>
      <c r="C1074" s="1" t="n">
        <v>1783</v>
      </c>
      <c r="D1074" s="1" t="n">
        <v>62</v>
      </c>
      <c r="E1074" s="4">
        <f>IF(INDEX(C:C, ROW())+INDEX(D:D, ROW())=0, 0, INDEX(C:C, ROW())/(INDEX(C:C, ROW())+INDEX(D:D, ROW())))</f>
        <v/>
      </c>
      <c r="F1074" s="1" t="inlineStr">
        <is>
          <t>Array, Hash Table, Math, Counting</t>
        </is>
      </c>
      <c r="G1074" s="1" t="inlineStr">
        <is>
          <t>Medium</t>
        </is>
      </c>
      <c r="H1074" s="1" t="n">
        <v>183872</v>
      </c>
      <c r="I1074" s="1" t="n">
        <v>338886</v>
      </c>
      <c r="J1074" s="9" t="n">
        <v>0.543</v>
      </c>
      <c r="K1074" s="1" t="inlineStr">
        <is>
          <t>Yes</t>
        </is>
      </c>
      <c r="L1074" s="1" t="inlineStr">
        <is>
          <t>Yes</t>
        </is>
      </c>
      <c r="M1074" s="1" t="inlineStr">
        <is>
          <t>No</t>
        </is>
      </c>
      <c r="N1074" s="1" t="inlineStr">
        <is>
          <t>Algorithms</t>
        </is>
      </c>
      <c r="O10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75" ht="15.75" customHeight="1" s="12">
      <c r="A1075" s="1" t="n">
        <v>820</v>
      </c>
      <c r="B1075" s="3">
        <f>HYPERLINK("https://leetcode.com/problems/short-encoding-of-words/", "Short Encoding of Words")</f>
        <v/>
      </c>
      <c r="C1075" s="1" t="n">
        <v>1780</v>
      </c>
      <c r="D1075" s="1" t="n">
        <v>670</v>
      </c>
      <c r="E1075" s="4">
        <f>IF(INDEX(C:C, ROW())+INDEX(D:D, ROW())=0, 0, INDEX(C:C, ROW())/(INDEX(C:C, ROW())+INDEX(D:D, ROW())))</f>
        <v/>
      </c>
      <c r="F1075" s="1" t="inlineStr">
        <is>
          <t>Array, Hash Table, String, Trie</t>
        </is>
      </c>
      <c r="G1075" s="1" t="inlineStr">
        <is>
          <t>Medium</t>
        </is>
      </c>
      <c r="H1075" s="1" t="n">
        <v>104557</v>
      </c>
      <c r="I1075" s="1" t="n">
        <v>171998</v>
      </c>
      <c r="J1075" s="9" t="n">
        <v>0.608</v>
      </c>
      <c r="K1075" s="1" t="inlineStr">
        <is>
          <t>Yes</t>
        </is>
      </c>
      <c r="L1075" s="1" t="inlineStr">
        <is>
          <t>Yes</t>
        </is>
      </c>
      <c r="M1075" s="1" t="inlineStr">
        <is>
          <t>No</t>
        </is>
      </c>
      <c r="N1075" s="1" t="inlineStr">
        <is>
          <t>Algorithms</t>
        </is>
      </c>
      <c r="O10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76" ht="15.75" customHeight="1" s="12">
      <c r="A1076" s="1" t="n">
        <v>249</v>
      </c>
      <c r="B1076" s="3">
        <f>HYPERLINK("https://leetcode.com/problems/group-shifted-strings/", "Group Shifted Strings")</f>
        <v/>
      </c>
      <c r="C1076" s="1" t="n">
        <v>1778</v>
      </c>
      <c r="D1076" s="1" t="n">
        <v>444</v>
      </c>
      <c r="E1076" s="4">
        <f>IF(INDEX(C:C, ROW())+INDEX(D:D, ROW())=0, 0, INDEX(C:C, ROW())/(INDEX(C:C, ROW())+INDEX(D:D, ROW())))</f>
        <v/>
      </c>
      <c r="F1076" s="1" t="inlineStr">
        <is>
          <t>Array, Hash Table, String</t>
        </is>
      </c>
      <c r="G1076" s="1" t="inlineStr">
        <is>
          <t>Medium</t>
        </is>
      </c>
      <c r="H1076" s="1" t="n">
        <v>311776</v>
      </c>
      <c r="I1076" s="1" t="n">
        <v>460532</v>
      </c>
      <c r="J1076" s="9" t="n">
        <v>0.677</v>
      </c>
      <c r="K1076" s="1" t="inlineStr">
        <is>
          <t>No</t>
        </is>
      </c>
      <c r="L1076" s="1" t="inlineStr">
        <is>
          <t>Yes</t>
        </is>
      </c>
      <c r="M1076" s="1" t="inlineStr">
        <is>
          <t>Yes</t>
        </is>
      </c>
      <c r="N1076" s="1" t="inlineStr">
        <is>
          <t>Algorithms</t>
        </is>
      </c>
      <c r="O10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77" ht="15.75" customHeight="1" s="12">
      <c r="A1077" s="1" t="n">
        <v>1287</v>
      </c>
      <c r="B1077" s="3">
        <f>HYPERLINK("https://leetcode.com/problems/element-appearing-more-than-25-in-sorted-array/", "Element Appearing More Than 25% In Sorted Array")</f>
        <v/>
      </c>
      <c r="C1077" s="1" t="n">
        <v>1768</v>
      </c>
      <c r="D1077" s="1" t="n">
        <v>83</v>
      </c>
      <c r="E1077" s="4">
        <f>IF(INDEX(C:C, ROW())+INDEX(D:D, ROW())=0, 0, INDEX(C:C, ROW())/(INDEX(C:C, ROW())+INDEX(D:D, ROW())))</f>
        <v/>
      </c>
      <c r="F1077" s="1" t="inlineStr">
        <is>
          <t>Array</t>
        </is>
      </c>
      <c r="G1077" s="1" t="inlineStr">
        <is>
          <t>Easy</t>
        </is>
      </c>
      <c r="H1077" s="1" t="n">
        <v>252008</v>
      </c>
      <c r="I1077" s="1" t="n">
        <v>412207</v>
      </c>
      <c r="J1077" s="9" t="n">
        <v>0.611</v>
      </c>
      <c r="K1077" s="1" t="inlineStr">
        <is>
          <t>Yes</t>
        </is>
      </c>
      <c r="L1077" s="1" t="inlineStr">
        <is>
          <t>Yes</t>
        </is>
      </c>
      <c r="M1077" s="1" t="inlineStr">
        <is>
          <t>No</t>
        </is>
      </c>
      <c r="N1077" s="1" t="inlineStr">
        <is>
          <t>Algorithms</t>
        </is>
      </c>
      <c r="O10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78" ht="15.75" customHeight="1" s="12">
      <c r="A1078" s="1" t="n">
        <v>1477</v>
      </c>
      <c r="B1078" s="3">
        <f>HYPERLINK("https://leetcode.com/problems/find-two-non-overlapping-sub-arrays-each-with-target-sum/", "Find Two Non-overlapping Sub-arrays Each With Target Sum")</f>
        <v/>
      </c>
      <c r="C1078" s="1" t="n">
        <v>1764</v>
      </c>
      <c r="D1078" s="1" t="n">
        <v>91</v>
      </c>
      <c r="E1078" s="4">
        <f>IF(INDEX(C:C, ROW())+INDEX(D:D, ROW())=0, 0, INDEX(C:C, ROW())/(INDEX(C:C, ROW())+INDEX(D:D, ROW())))</f>
        <v/>
      </c>
      <c r="F1078" s="1" t="inlineStr">
        <is>
          <t>Array, Hash Table, Binary Search, Dynamic Programming, Sliding Window</t>
        </is>
      </c>
      <c r="G1078" s="1" t="inlineStr">
        <is>
          <t>Medium</t>
        </is>
      </c>
      <c r="H1078" s="1" t="n">
        <v>54355</v>
      </c>
      <c r="I1078" s="1" t="n">
        <v>148140</v>
      </c>
      <c r="J1078" s="9" t="n">
        <v>0.367</v>
      </c>
      <c r="K1078" s="1" t="inlineStr">
        <is>
          <t>Yes</t>
        </is>
      </c>
      <c r="L1078" s="1" t="inlineStr">
        <is>
          <t>No</t>
        </is>
      </c>
      <c r="M1078" s="1" t="inlineStr">
        <is>
          <t>No</t>
        </is>
      </c>
      <c r="N1078" s="1" t="inlineStr">
        <is>
          <t>Algorithms</t>
        </is>
      </c>
      <c r="O10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79" ht="15.75" customHeight="1" s="12">
      <c r="A1079" s="1" t="n">
        <v>915</v>
      </c>
      <c r="B1079" s="3">
        <f>HYPERLINK("https://leetcode.com/problems/partition-array-into-disjoint-intervals/", "Partition Array into Disjoint Intervals")</f>
        <v/>
      </c>
      <c r="C1079" s="1" t="n">
        <v>1760</v>
      </c>
      <c r="D1079" s="1" t="n">
        <v>83</v>
      </c>
      <c r="E1079" s="4">
        <f>IF(INDEX(C:C, ROW())+INDEX(D:D, ROW())=0, 0, INDEX(C:C, ROW())/(INDEX(C:C, ROW())+INDEX(D:D, ROW())))</f>
        <v/>
      </c>
      <c r="F1079" s="1" t="inlineStr">
        <is>
          <t>Array</t>
        </is>
      </c>
      <c r="G1079" s="1" t="inlineStr">
        <is>
          <t>Medium</t>
        </is>
      </c>
      <c r="H1079" s="1" t="n">
        <v>96021</v>
      </c>
      <c r="I1079" s="1" t="n">
        <v>194718</v>
      </c>
      <c r="J1079" s="9" t="n">
        <v>0.493</v>
      </c>
      <c r="K1079" s="1" t="inlineStr">
        <is>
          <t>Yes</t>
        </is>
      </c>
      <c r="L1079" s="1" t="inlineStr">
        <is>
          <t>Yes</t>
        </is>
      </c>
      <c r="M1079" s="1" t="inlineStr">
        <is>
          <t>No</t>
        </is>
      </c>
      <c r="N1079" s="1" t="inlineStr">
        <is>
          <t>Algorithms</t>
        </is>
      </c>
      <c r="O10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80" ht="15.75" customHeight="1" s="12">
      <c r="A1080" s="1" t="n">
        <v>2279</v>
      </c>
      <c r="B1080" s="3">
        <f>HYPERLINK("https://leetcode.com/problems/maximum-bags-with-full-capacity-of-rocks/", "Maximum Bags With Full Capacity of Rocks")</f>
        <v/>
      </c>
      <c r="C1080" s="1" t="n">
        <v>1756</v>
      </c>
      <c r="D1080" s="1" t="n">
        <v>71</v>
      </c>
      <c r="E1080" s="4">
        <f>IF(INDEX(C:C, ROW())+INDEX(D:D, ROW())=0, 0, INDEX(C:C, ROW())/(INDEX(C:C, ROW())+INDEX(D:D, ROW())))</f>
        <v/>
      </c>
      <c r="F1080" s="1" t="inlineStr">
        <is>
          <t>Array, Greedy, Sorting</t>
        </is>
      </c>
      <c r="G1080" s="1" t="inlineStr">
        <is>
          <t>Medium</t>
        </is>
      </c>
      <c r="H1080" s="1" t="n">
        <v>110439</v>
      </c>
      <c r="I1080" s="1" t="n">
        <v>162667</v>
      </c>
      <c r="J1080" s="9" t="n">
        <v>0.679</v>
      </c>
      <c r="K1080" s="1" t="inlineStr">
        <is>
          <t>Yes</t>
        </is>
      </c>
      <c r="L1080" s="1" t="inlineStr">
        <is>
          <t>Yes</t>
        </is>
      </c>
      <c r="M1080" s="1" t="inlineStr">
        <is>
          <t>No</t>
        </is>
      </c>
      <c r="N1080" s="1" t="inlineStr">
        <is>
          <t>Algorithms</t>
        </is>
      </c>
      <c r="O10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81" ht="15.75" customHeight="1" s="12">
      <c r="A1081" s="1" t="n">
        <v>1051</v>
      </c>
      <c r="B1081" s="3">
        <f>HYPERLINK("https://leetcode.com/problems/height-checker/", "Height Checker")</f>
        <v/>
      </c>
      <c r="C1081" s="1" t="n">
        <v>1754</v>
      </c>
      <c r="D1081" s="1" t="n">
        <v>122</v>
      </c>
      <c r="E1081" s="4">
        <f>IF(INDEX(C:C, ROW())+INDEX(D:D, ROW())=0, 0, INDEX(C:C, ROW())/(INDEX(C:C, ROW())+INDEX(D:D, ROW())))</f>
        <v/>
      </c>
      <c r="F1081" s="1" t="inlineStr">
        <is>
          <t>Array, Sorting, Counting Sort</t>
        </is>
      </c>
      <c r="G1081" s="1" t="inlineStr">
        <is>
          <t>Easy</t>
        </is>
      </c>
      <c r="H1081" s="1" t="n">
        <v>616332</v>
      </c>
      <c r="I1081" s="1" t="n">
        <v>756694</v>
      </c>
      <c r="J1081" s="9" t="n">
        <v>0.8149999999999999</v>
      </c>
      <c r="K1081" s="1" t="inlineStr">
        <is>
          <t>Yes</t>
        </is>
      </c>
      <c r="L1081" s="1" t="inlineStr">
        <is>
          <t>Yes</t>
        </is>
      </c>
      <c r="M1081" s="1" t="inlineStr">
        <is>
          <t>No</t>
        </is>
      </c>
      <c r="N1081" s="1" t="inlineStr">
        <is>
          <t>Algorithms</t>
        </is>
      </c>
      <c r="O10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82" ht="15.75" customHeight="1" s="12">
      <c r="A1082" s="1" t="n">
        <v>346</v>
      </c>
      <c r="B1082" s="3">
        <f>HYPERLINK("https://leetcode.com/problems/moving-average-from-data-stream/", "Moving Average from Data Stream")</f>
        <v/>
      </c>
      <c r="C1082" s="1" t="n">
        <v>1752</v>
      </c>
      <c r="D1082" s="1" t="n">
        <v>192</v>
      </c>
      <c r="E1082" s="4">
        <f>IF(INDEX(C:C, ROW())+INDEX(D:D, ROW())=0, 0, INDEX(C:C, ROW())/(INDEX(C:C, ROW())+INDEX(D:D, ROW())))</f>
        <v/>
      </c>
      <c r="F1082" s="1" t="inlineStr">
        <is>
          <t>Array, Design, Queue, Data Stream</t>
        </is>
      </c>
      <c r="G1082" s="1" t="inlineStr">
        <is>
          <t>Easy</t>
        </is>
      </c>
      <c r="H1082" s="1" t="n">
        <v>522389</v>
      </c>
      <c r="I1082" s="1" t="n">
        <v>651611</v>
      </c>
      <c r="J1082" s="9" t="n">
        <v>0.802</v>
      </c>
      <c r="K1082" s="1" t="inlineStr">
        <is>
          <t>No</t>
        </is>
      </c>
      <c r="L1082" s="1" t="inlineStr">
        <is>
          <t>Yes</t>
        </is>
      </c>
      <c r="M1082" s="1" t="inlineStr">
        <is>
          <t>Yes</t>
        </is>
      </c>
      <c r="N1082" s="1" t="inlineStr">
        <is>
          <t>Algorithms</t>
        </is>
      </c>
      <c r="O10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83" ht="15.75" customHeight="1" s="12">
      <c r="A1083" s="1" t="n">
        <v>2381</v>
      </c>
      <c r="B1083" s="3">
        <f>HYPERLINK("https://leetcode.com/problems/shifting-letters-ii/", "Shifting Letters II")</f>
        <v/>
      </c>
      <c r="C1083" s="1" t="n">
        <v>1751</v>
      </c>
      <c r="D1083" s="1" t="n">
        <v>71</v>
      </c>
      <c r="E1083" s="4">
        <f>IF(INDEX(C:C, ROW())+INDEX(D:D, ROW())=0, 0, INDEX(C:C, ROW())/(INDEX(C:C, ROW())+INDEX(D:D, ROW())))</f>
        <v/>
      </c>
      <c r="F1083" s="1" t="inlineStr">
        <is>
          <t>Array, String, Prefix Sum</t>
        </is>
      </c>
      <c r="G1083" s="1" t="inlineStr">
        <is>
          <t>Medium</t>
        </is>
      </c>
      <c r="H1083" s="1" t="n">
        <v>158107</v>
      </c>
      <c r="I1083" s="1" t="n">
        <v>295657</v>
      </c>
      <c r="J1083" s="9" t="n">
        <v>0.535</v>
      </c>
      <c r="K1083" s="1" t="inlineStr">
        <is>
          <t>Yes</t>
        </is>
      </c>
      <c r="L1083" s="1" t="inlineStr">
        <is>
          <t>Yes</t>
        </is>
      </c>
      <c r="M1083" s="1" t="inlineStr">
        <is>
          <t>No</t>
        </is>
      </c>
      <c r="N1083" s="1" t="inlineStr">
        <is>
          <t>Algorithms</t>
        </is>
      </c>
      <c r="O10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84" ht="15.75" customHeight="1" s="12">
      <c r="A1084" s="1" t="n">
        <v>2415</v>
      </c>
      <c r="B1084" s="3">
        <f>HYPERLINK("https://leetcode.com/problems/reverse-odd-levels-of-binary-tree/", "Reverse Odd Levels of Binary Tree")</f>
        <v/>
      </c>
      <c r="C1084" s="1" t="n">
        <v>1746</v>
      </c>
      <c r="D1084" s="1" t="n">
        <v>74</v>
      </c>
      <c r="E1084" s="4">
        <f>IF(INDEX(C:C, ROW())+INDEX(D:D, ROW())=0, 0, INDEX(C:C, ROW())/(INDEX(C:C, ROW())+INDEX(D:D, ROW())))</f>
        <v/>
      </c>
      <c r="F1084" s="1" t="inlineStr">
        <is>
          <t>Tree, Depth-First Search, Breadth-First Search, Binary Tree</t>
        </is>
      </c>
      <c r="G1084" s="1" t="inlineStr">
        <is>
          <t>Medium</t>
        </is>
      </c>
      <c r="H1084" s="1" t="n">
        <v>182880</v>
      </c>
      <c r="I1084" s="1" t="n">
        <v>211013</v>
      </c>
      <c r="J1084" s="9" t="n">
        <v>0.867</v>
      </c>
      <c r="K1084" s="1" t="inlineStr">
        <is>
          <t>Yes</t>
        </is>
      </c>
      <c r="L1084" s="1" t="inlineStr">
        <is>
          <t>Yes</t>
        </is>
      </c>
      <c r="M1084" s="1" t="inlineStr">
        <is>
          <t>No</t>
        </is>
      </c>
      <c r="N1084" s="1" t="inlineStr">
        <is>
          <t>Algorithms</t>
        </is>
      </c>
      <c r="O10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85" ht="15.75" customHeight="1" s="12">
      <c r="A1085" s="1" t="n">
        <v>2099</v>
      </c>
      <c r="B1085" s="3">
        <f>HYPERLINK("https://leetcode.com/problems/find-subsequence-of-length-k-with-the-largest-sum/", "Find Subsequence of Length K With the Largest Sum")</f>
        <v/>
      </c>
      <c r="C1085" s="1" t="n">
        <v>1745</v>
      </c>
      <c r="D1085" s="1" t="n">
        <v>184</v>
      </c>
      <c r="E1085" s="4">
        <f>IF(INDEX(C:C, ROW())+INDEX(D:D, ROW())=0, 0, INDEX(C:C, ROW())/(INDEX(C:C, ROW())+INDEX(D:D, ROW())))</f>
        <v/>
      </c>
      <c r="F1085" s="1" t="inlineStr">
        <is>
          <t>Array, Hash Table, Sorting, Heap (Priority Queue)</t>
        </is>
      </c>
      <c r="G1085" s="1" t="inlineStr">
        <is>
          <t>Easy</t>
        </is>
      </c>
      <c r="H1085" s="1" t="n">
        <v>176888</v>
      </c>
      <c r="I1085" s="1" t="n">
        <v>308028</v>
      </c>
      <c r="J1085" s="9" t="n">
        <v>0.574</v>
      </c>
      <c r="K1085" s="1" t="inlineStr">
        <is>
          <t>Yes</t>
        </is>
      </c>
      <c r="L1085" s="1" t="inlineStr">
        <is>
          <t>Yes</t>
        </is>
      </c>
      <c r="M1085" s="1" t="inlineStr">
        <is>
          <t>No</t>
        </is>
      </c>
      <c r="N1085" s="1" t="inlineStr">
        <is>
          <t>Algorithms</t>
        </is>
      </c>
      <c r="O10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86" ht="15.75" customHeight="1" s="12">
      <c r="A1086" s="1" t="n">
        <v>2161</v>
      </c>
      <c r="B1086" s="3">
        <f>HYPERLINK("https://leetcode.com/problems/partition-array-according-to-given-pivot/", "Partition Array According to Given Pivot")</f>
        <v/>
      </c>
      <c r="C1086" s="1" t="n">
        <v>1745</v>
      </c>
      <c r="D1086" s="1" t="n">
        <v>122</v>
      </c>
      <c r="E1086" s="4">
        <f>IF(INDEX(C:C, ROW())+INDEX(D:D, ROW())=0, 0, INDEX(C:C, ROW())/(INDEX(C:C, ROW())+INDEX(D:D, ROW())))</f>
        <v/>
      </c>
      <c r="F1086" s="1" t="inlineStr">
        <is>
          <t>Array, Two Pointers, Simulation</t>
        </is>
      </c>
      <c r="G1086" s="1" t="inlineStr">
        <is>
          <t>Medium</t>
        </is>
      </c>
      <c r="H1086" s="1" t="n">
        <v>299890</v>
      </c>
      <c r="I1086" s="1" t="n">
        <v>333919</v>
      </c>
      <c r="J1086" s="9" t="n">
        <v>0.898</v>
      </c>
      <c r="K1086" s="1" t="inlineStr">
        <is>
          <t>Yes</t>
        </is>
      </c>
      <c r="L1086" s="1" t="inlineStr">
        <is>
          <t>Yes</t>
        </is>
      </c>
      <c r="M1086" s="1" t="inlineStr">
        <is>
          <t>No</t>
        </is>
      </c>
      <c r="N1086" s="1" t="inlineStr">
        <is>
          <t>Algorithms</t>
        </is>
      </c>
      <c r="O10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87" ht="15.75" customHeight="1" s="12">
      <c r="A1087" s="1" t="n">
        <v>2192</v>
      </c>
      <c r="B1087" s="3">
        <f>HYPERLINK("https://leetcode.com/problems/all-ancestors-of-a-node-in-a-directed-acyclic-graph/", "All Ancestors of a Node in a Directed Acyclic Graph")</f>
        <v/>
      </c>
      <c r="C1087" s="1" t="n">
        <v>1741</v>
      </c>
      <c r="D1087" s="1" t="n">
        <v>44</v>
      </c>
      <c r="E1087" s="4">
        <f>IF(INDEX(C:C, ROW())+INDEX(D:D, ROW())=0, 0, INDEX(C:C, ROW())/(INDEX(C:C, ROW())+INDEX(D:D, ROW())))</f>
        <v/>
      </c>
      <c r="F1087" s="1" t="inlineStr">
        <is>
          <t>Depth-First Search, Breadth-First Search, Graph Theory, Topological Sort</t>
        </is>
      </c>
      <c r="G1087" s="1" t="inlineStr">
        <is>
          <t>Medium</t>
        </is>
      </c>
      <c r="H1087" s="1" t="n">
        <v>157584</v>
      </c>
      <c r="I1087" s="1" t="n">
        <v>253832</v>
      </c>
      <c r="J1087" s="9" t="n">
        <v>0.621</v>
      </c>
      <c r="K1087" s="1" t="inlineStr">
        <is>
          <t>Yes</t>
        </is>
      </c>
      <c r="L1087" s="1" t="inlineStr">
        <is>
          <t>Yes</t>
        </is>
      </c>
      <c r="M1087" s="1" t="inlineStr">
        <is>
          <t>No</t>
        </is>
      </c>
      <c r="N1087" s="1" t="inlineStr">
        <is>
          <t>Algorithms</t>
        </is>
      </c>
      <c r="O10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88" ht="15.75" customHeight="1" s="12">
      <c r="A1088" s="1" t="n">
        <v>1332</v>
      </c>
      <c r="B1088" s="3">
        <f>HYPERLINK("https://leetcode.com/problems/remove-palindromic-subsequences/", "Remove Palindromic Subsequences")</f>
        <v/>
      </c>
      <c r="C1088" s="1" t="n">
        <v>1739</v>
      </c>
      <c r="D1088" s="1" t="n">
        <v>1794</v>
      </c>
      <c r="E1088" s="4">
        <f>IF(INDEX(C:C, ROW())+INDEX(D:D, ROW())=0, 0, INDEX(C:C, ROW())/(INDEX(C:C, ROW())+INDEX(D:D, ROW())))</f>
        <v/>
      </c>
      <c r="F1088" s="1" t="inlineStr">
        <is>
          <t>Two Pointers, String</t>
        </is>
      </c>
      <c r="G1088" s="1" t="inlineStr">
        <is>
          <t>Easy</t>
        </is>
      </c>
      <c r="H1088" s="1" t="n">
        <v>150454</v>
      </c>
      <c r="I1088" s="1" t="n">
        <v>195645</v>
      </c>
      <c r="J1088" s="9" t="n">
        <v>0.769</v>
      </c>
      <c r="K1088" s="1" t="inlineStr">
        <is>
          <t>Yes</t>
        </is>
      </c>
      <c r="L1088" s="1" t="inlineStr">
        <is>
          <t>Yes</t>
        </is>
      </c>
      <c r="M1088" s="1" t="inlineStr">
        <is>
          <t>No</t>
        </is>
      </c>
      <c r="N1088" s="1" t="inlineStr">
        <is>
          <t>Algorithms</t>
        </is>
      </c>
      <c r="O10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89" ht="15.75" customHeight="1" s="12">
      <c r="A1089" s="1" t="n">
        <v>1060</v>
      </c>
      <c r="B1089" s="3">
        <f>HYPERLINK("https://leetcode.com/problems/missing-element-in-sorted-array/", "Missing Element in Sorted Array")</f>
        <v/>
      </c>
      <c r="C1089" s="1" t="n">
        <v>1737</v>
      </c>
      <c r="D1089" s="1" t="n">
        <v>68</v>
      </c>
      <c r="E1089" s="4">
        <f>IF(INDEX(C:C, ROW())+INDEX(D:D, ROW())=0, 0, INDEX(C:C, ROW())/(INDEX(C:C, ROW())+INDEX(D:D, ROW())))</f>
        <v/>
      </c>
      <c r="F1089" s="1" t="inlineStr">
        <is>
          <t>Array, Binary Search</t>
        </is>
      </c>
      <c r="G1089" s="1" t="inlineStr">
        <is>
          <t>Medium</t>
        </is>
      </c>
      <c r="H1089" s="1" t="n">
        <v>169391</v>
      </c>
      <c r="I1089" s="1" t="n">
        <v>284068</v>
      </c>
      <c r="J1089" s="9" t="n">
        <v>0.596</v>
      </c>
      <c r="K1089" s="1" t="inlineStr">
        <is>
          <t>No</t>
        </is>
      </c>
      <c r="L1089" s="1" t="inlineStr">
        <is>
          <t>Yes</t>
        </is>
      </c>
      <c r="M1089" s="1" t="inlineStr">
        <is>
          <t>No</t>
        </is>
      </c>
      <c r="N1089" s="1" t="inlineStr">
        <is>
          <t>Algorithms</t>
        </is>
      </c>
      <c r="O10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90" ht="15.75" customHeight="1" s="12">
      <c r="A1090" s="1" t="n">
        <v>677</v>
      </c>
      <c r="B1090" s="3">
        <f>HYPERLINK("https://leetcode.com/problems/map-sum-pairs/", "Map Sum Pairs")</f>
        <v/>
      </c>
      <c r="C1090" s="1" t="n">
        <v>1729</v>
      </c>
      <c r="D1090" s="1" t="n">
        <v>165</v>
      </c>
      <c r="E1090" s="4">
        <f>IF(INDEX(C:C, ROW())+INDEX(D:D, ROW())=0, 0, INDEX(C:C, ROW())/(INDEX(C:C, ROW())+INDEX(D:D, ROW())))</f>
        <v/>
      </c>
      <c r="F1090" s="1" t="inlineStr">
        <is>
          <t>Hash Table, String, Design, Trie</t>
        </is>
      </c>
      <c r="G1090" s="1" t="inlineStr">
        <is>
          <t>Medium</t>
        </is>
      </c>
      <c r="H1090" s="1" t="n">
        <v>138184</v>
      </c>
      <c r="I1090" s="1" t="n">
        <v>242344</v>
      </c>
      <c r="J1090" s="9" t="n">
        <v>0.57</v>
      </c>
      <c r="K1090" s="1" t="inlineStr">
        <is>
          <t>Yes</t>
        </is>
      </c>
      <c r="L1090" s="1" t="inlineStr">
        <is>
          <t>Yes</t>
        </is>
      </c>
      <c r="M1090" s="1" t="inlineStr">
        <is>
          <t>No</t>
        </is>
      </c>
      <c r="N1090" s="1" t="inlineStr">
        <is>
          <t>Algorithms</t>
        </is>
      </c>
      <c r="O10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91" ht="15.75" customHeight="1" s="12">
      <c r="A1091" s="1" t="n">
        <v>427</v>
      </c>
      <c r="B1091" s="3">
        <f>HYPERLINK("https://leetcode.com/problems/construct-quad-tree/", "Construct Quad Tree")</f>
        <v/>
      </c>
      <c r="C1091" s="1" t="n">
        <v>1728</v>
      </c>
      <c r="D1091" s="1" t="n">
        <v>1953</v>
      </c>
      <c r="E1091" s="4">
        <f>IF(INDEX(C:C, ROW())+INDEX(D:D, ROW())=0, 0, INDEX(C:C, ROW())/(INDEX(C:C, ROW())+INDEX(D:D, ROW())))</f>
        <v/>
      </c>
      <c r="F1091" s="1" t="inlineStr">
        <is>
          <t>Array, Divide and Conquer, Tree, Matrix</t>
        </is>
      </c>
      <c r="G1091" s="1" t="inlineStr">
        <is>
          <t>Medium</t>
        </is>
      </c>
      <c r="H1091" s="1" t="n">
        <v>191910</v>
      </c>
      <c r="I1091" s="1" t="n">
        <v>246126</v>
      </c>
      <c r="J1091" s="9" t="n">
        <v>0.78</v>
      </c>
      <c r="K1091" s="1" t="inlineStr">
        <is>
          <t>Yes</t>
        </is>
      </c>
      <c r="L1091" s="1" t="inlineStr">
        <is>
          <t>Yes</t>
        </is>
      </c>
      <c r="M1091" s="1" t="inlineStr">
        <is>
          <t>No</t>
        </is>
      </c>
      <c r="N1091" s="1" t="inlineStr">
        <is>
          <t>Algorithms</t>
        </is>
      </c>
      <c r="O10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92" ht="15.75" customHeight="1" s="12">
      <c r="A1092" s="1" t="n">
        <v>390</v>
      </c>
      <c r="B1092" s="3">
        <f>HYPERLINK("https://leetcode.com/problems/elimination-game/", "Elimination Game")</f>
        <v/>
      </c>
      <c r="C1092" s="1" t="n">
        <v>1718</v>
      </c>
      <c r="D1092" s="1" t="n">
        <v>756</v>
      </c>
      <c r="E1092" s="4">
        <f>IF(INDEX(C:C, ROW())+INDEX(D:D, ROW())=0, 0, INDEX(C:C, ROW())/(INDEX(C:C, ROW())+INDEX(D:D, ROW())))</f>
        <v/>
      </c>
      <c r="F1092" s="1" t="inlineStr">
        <is>
          <t>Math, Recursion</t>
        </is>
      </c>
      <c r="G1092" s="1" t="inlineStr">
        <is>
          <t>Medium</t>
        </is>
      </c>
      <c r="H1092" s="1" t="n">
        <v>102020</v>
      </c>
      <c r="I1092" s="1" t="n">
        <v>222872</v>
      </c>
      <c r="J1092" s="9" t="n">
        <v>0.458</v>
      </c>
      <c r="K1092" s="1" t="inlineStr">
        <is>
          <t>Yes</t>
        </is>
      </c>
      <c r="L1092" s="1" t="inlineStr">
        <is>
          <t>No</t>
        </is>
      </c>
      <c r="M1092" s="1" t="inlineStr">
        <is>
          <t>No</t>
        </is>
      </c>
      <c r="N1092" s="1" t="inlineStr">
        <is>
          <t>Algorithms</t>
        </is>
      </c>
      <c r="O10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93" ht="15.75" customHeight="1" s="12">
      <c r="A1093" s="1" t="n">
        <v>575</v>
      </c>
      <c r="B1093" s="3">
        <f>HYPERLINK("https://leetcode.com/problems/distribute-candies/", "Distribute Candies")</f>
        <v/>
      </c>
      <c r="C1093" s="1" t="n">
        <v>1714</v>
      </c>
      <c r="D1093" s="1" t="n">
        <v>1464</v>
      </c>
      <c r="E1093" s="4">
        <f>IF(INDEX(C:C, ROW())+INDEX(D:D, ROW())=0, 0, INDEX(C:C, ROW())/(INDEX(C:C, ROW())+INDEX(D:D, ROW())))</f>
        <v/>
      </c>
      <c r="F1093" s="1" t="inlineStr">
        <is>
          <t>Array, Hash Table</t>
        </is>
      </c>
      <c r="G1093" s="1" t="inlineStr">
        <is>
          <t>Easy</t>
        </is>
      </c>
      <c r="H1093" s="1" t="n">
        <v>384036</v>
      </c>
      <c r="I1093" s="1" t="n">
        <v>544130</v>
      </c>
      <c r="J1093" s="9" t="n">
        <v>0.706</v>
      </c>
      <c r="K1093" s="1" t="inlineStr">
        <is>
          <t>Yes</t>
        </is>
      </c>
      <c r="L1093" s="1" t="inlineStr">
        <is>
          <t>Yes</t>
        </is>
      </c>
      <c r="M1093" s="1" t="inlineStr">
        <is>
          <t>No</t>
        </is>
      </c>
      <c r="N1093" s="1" t="inlineStr">
        <is>
          <t>Algorithms</t>
        </is>
      </c>
      <c r="O10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94" ht="15.75" customHeight="1" s="12">
      <c r="A1094" s="1" t="n">
        <v>952</v>
      </c>
      <c r="B1094" s="3">
        <f>HYPERLINK("https://leetcode.com/problems/largest-component-size-by-common-factor/", "Largest Component Size by Common Factor")</f>
        <v/>
      </c>
      <c r="C1094" s="1" t="n">
        <v>1713</v>
      </c>
      <c r="D1094" s="1" t="n">
        <v>95</v>
      </c>
      <c r="E1094" s="4">
        <f>IF(INDEX(C:C, ROW())+INDEX(D:D, ROW())=0, 0, INDEX(C:C, ROW())/(INDEX(C:C, ROW())+INDEX(D:D, ROW())))</f>
        <v/>
      </c>
      <c r="F1094" s="1" t="inlineStr">
        <is>
          <t>Array, Hash Table, Math, Union-Find, Number Theory</t>
        </is>
      </c>
      <c r="G1094" s="1" t="inlineStr">
        <is>
          <t>Hard</t>
        </is>
      </c>
      <c r="H1094" s="1" t="n">
        <v>63949</v>
      </c>
      <c r="I1094" s="1" t="n">
        <v>151902</v>
      </c>
      <c r="J1094" s="9" t="n">
        <v>0.421</v>
      </c>
      <c r="K1094" s="1" t="inlineStr">
        <is>
          <t>Yes</t>
        </is>
      </c>
      <c r="L1094" s="1" t="inlineStr">
        <is>
          <t>Yes</t>
        </is>
      </c>
      <c r="M1094" s="1" t="inlineStr">
        <is>
          <t>No</t>
        </is>
      </c>
      <c r="N1094" s="1" t="inlineStr">
        <is>
          <t>Algorithms</t>
        </is>
      </c>
      <c r="O10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95" ht="15.75" customHeight="1" s="12">
      <c r="A1095" s="1" t="n">
        <v>2050</v>
      </c>
      <c r="B1095" s="3">
        <f>HYPERLINK("https://leetcode.com/problems/parallel-courses-iii/", "Parallel Courses III")</f>
        <v/>
      </c>
      <c r="C1095" s="1" t="n">
        <v>1712</v>
      </c>
      <c r="D1095" s="1" t="n">
        <v>47</v>
      </c>
      <c r="E1095" s="4">
        <f>IF(INDEX(C:C, ROW())+INDEX(D:D, ROW())=0, 0, INDEX(C:C, ROW())/(INDEX(C:C, ROW())+INDEX(D:D, ROW())))</f>
        <v/>
      </c>
      <c r="F1095" s="1" t="inlineStr">
        <is>
          <t>Array, Dynamic Programming, Graph Theory, Topological Sort</t>
        </is>
      </c>
      <c r="G1095" s="1" t="inlineStr">
        <is>
          <t>Hard</t>
        </is>
      </c>
      <c r="H1095" s="1" t="n">
        <v>108507</v>
      </c>
      <c r="I1095" s="1" t="n">
        <v>162451</v>
      </c>
      <c r="J1095" s="9" t="n">
        <v>0.668</v>
      </c>
      <c r="K1095" s="1" t="inlineStr">
        <is>
          <t>Yes</t>
        </is>
      </c>
      <c r="L1095" s="1" t="inlineStr">
        <is>
          <t>Yes</t>
        </is>
      </c>
      <c r="M1095" s="1" t="inlineStr">
        <is>
          <t>No</t>
        </is>
      </c>
      <c r="N1095" s="1" t="inlineStr">
        <is>
          <t>Algorithms</t>
        </is>
      </c>
      <c r="O10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96" ht="15.75" customHeight="1" s="12">
      <c r="A1096" s="1" t="n">
        <v>910</v>
      </c>
      <c r="B1096" s="3">
        <f>HYPERLINK("https://leetcode.com/problems/smallest-range-ii/", "Smallest Range II")</f>
        <v/>
      </c>
      <c r="C1096" s="1" t="n">
        <v>1709</v>
      </c>
      <c r="D1096" s="1" t="n">
        <v>467</v>
      </c>
      <c r="E1096" s="4">
        <f>IF(INDEX(C:C, ROW())+INDEX(D:D, ROW())=0, 0, INDEX(C:C, ROW())/(INDEX(C:C, ROW())+INDEX(D:D, ROW())))</f>
        <v/>
      </c>
      <c r="F1096" s="1" t="inlineStr">
        <is>
          <t>Array, Math, Greedy, Sorting</t>
        </is>
      </c>
      <c r="G1096" s="1" t="inlineStr">
        <is>
          <t>Medium</t>
        </is>
      </c>
      <c r="H1096" s="1" t="n">
        <v>64671</v>
      </c>
      <c r="I1096" s="1" t="n">
        <v>171654</v>
      </c>
      <c r="J1096" s="9" t="n">
        <v>0.377</v>
      </c>
      <c r="K1096" s="1" t="inlineStr">
        <is>
          <t>Yes</t>
        </is>
      </c>
      <c r="L1096" s="1" t="inlineStr">
        <is>
          <t>Yes</t>
        </is>
      </c>
      <c r="M1096" s="1" t="inlineStr">
        <is>
          <t>No</t>
        </is>
      </c>
      <c r="N1096" s="1" t="inlineStr">
        <is>
          <t>Algorithms</t>
        </is>
      </c>
      <c r="O10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97" ht="15.75" customHeight="1" s="12">
      <c r="A1097" s="1" t="n">
        <v>1799</v>
      </c>
      <c r="B1097" s="3">
        <f>HYPERLINK("https://leetcode.com/problems/maximize-score-after-n-operations/", "Maximize Score After N Operations")</f>
        <v/>
      </c>
      <c r="C1097" s="1" t="n">
        <v>1705</v>
      </c>
      <c r="D1097" s="1" t="n">
        <v>114</v>
      </c>
      <c r="E1097" s="4">
        <f>IF(INDEX(C:C, ROW())+INDEX(D:D, ROW())=0, 0, INDEX(C:C, ROW())/(INDEX(C:C, ROW())+INDEX(D:D, ROW())))</f>
        <v/>
      </c>
      <c r="F1097" s="1" t="inlineStr">
        <is>
          <t>Array, Math, Dynamic Programming, Backtracking, Bit Manipulation, Number Theory, Bitmask DP</t>
        </is>
      </c>
      <c r="G1097" s="1" t="inlineStr">
        <is>
          <t>Hard</t>
        </is>
      </c>
      <c r="H1097" s="1" t="n">
        <v>68894</v>
      </c>
      <c r="I1097" s="1" t="n">
        <v>118900</v>
      </c>
      <c r="J1097" s="9" t="n">
        <v>0.579</v>
      </c>
      <c r="K1097" s="1" t="inlineStr">
        <is>
          <t>Yes</t>
        </is>
      </c>
      <c r="L1097" s="1" t="inlineStr">
        <is>
          <t>Yes</t>
        </is>
      </c>
      <c r="M1097" s="1" t="inlineStr">
        <is>
          <t>No</t>
        </is>
      </c>
      <c r="N1097" s="1" t="inlineStr">
        <is>
          <t>Algorithms</t>
        </is>
      </c>
      <c r="O10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98" ht="15.75" customHeight="1" s="12">
      <c r="A1098" s="1" t="n">
        <v>1790</v>
      </c>
      <c r="B1098" s="3">
        <f>HYPERLINK("https://leetcode.com/problems/check-if-one-string-swap-can-make-strings-equal/", "Check if One String Swap Can Make Strings Equal")</f>
        <v/>
      </c>
      <c r="C1098" s="1" t="n">
        <v>1701</v>
      </c>
      <c r="D1098" s="1" t="n">
        <v>86</v>
      </c>
      <c r="E1098" s="4">
        <f>IF(INDEX(C:C, ROW())+INDEX(D:D, ROW())=0, 0, INDEX(C:C, ROW())/(INDEX(C:C, ROW())+INDEX(D:D, ROW())))</f>
        <v/>
      </c>
      <c r="F1098" s="1" t="inlineStr">
        <is>
          <t>Hash Table, String, Counting</t>
        </is>
      </c>
      <c r="G1098" s="1" t="inlineStr">
        <is>
          <t>Easy</t>
        </is>
      </c>
      <c r="H1098" s="1" t="n">
        <v>306697</v>
      </c>
      <c r="I1098" s="1" t="n">
        <v>619821</v>
      </c>
      <c r="J1098" s="9" t="n">
        <v>0.495</v>
      </c>
      <c r="K1098" s="1" t="inlineStr">
        <is>
          <t>Yes</t>
        </is>
      </c>
      <c r="L1098" s="1" t="inlineStr">
        <is>
          <t>Yes</t>
        </is>
      </c>
      <c r="M1098" s="1" t="inlineStr">
        <is>
          <t>No</t>
        </is>
      </c>
      <c r="N1098" s="1" t="inlineStr">
        <is>
          <t>Algorithms</t>
        </is>
      </c>
      <c r="O10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099" ht="15.75" customHeight="1" s="12">
      <c r="A1099" s="1" t="n">
        <v>570</v>
      </c>
      <c r="B1099" s="3">
        <f>HYPERLINK("https://leetcode.com/problems/managers-with-at-least-5-direct-reports/", "Managers with at Least 5 Direct Reports")</f>
        <v/>
      </c>
      <c r="C1099" s="1" t="n">
        <v>1699</v>
      </c>
      <c r="D1099" s="1" t="n">
        <v>183</v>
      </c>
      <c r="E1099" s="4">
        <f>IF(INDEX(C:C, ROW())+INDEX(D:D, ROW())=0, 0, INDEX(C:C, ROW())/(INDEX(C:C, ROW())+INDEX(D:D, ROW())))</f>
        <v/>
      </c>
      <c r="F1099" s="1" t="inlineStr">
        <is>
          <t>Database</t>
        </is>
      </c>
      <c r="G1099" s="1" t="inlineStr">
        <is>
          <t>Medium</t>
        </is>
      </c>
      <c r="H1099" s="1" t="n">
        <v>887494</v>
      </c>
      <c r="I1099" s="1" t="n">
        <v>1814365</v>
      </c>
      <c r="J1099" s="9" t="n">
        <v>0.489</v>
      </c>
      <c r="K1099" s="1" t="inlineStr">
        <is>
          <t>Yes</t>
        </is>
      </c>
      <c r="L1099" s="1" t="inlineStr">
        <is>
          <t>Yes</t>
        </is>
      </c>
      <c r="M1099" s="1" t="inlineStr">
        <is>
          <t>No</t>
        </is>
      </c>
      <c r="N1099" s="1" t="inlineStr">
        <is>
          <t>Database</t>
        </is>
      </c>
      <c r="O10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00" ht="15.75" customHeight="1" s="12">
      <c r="A1100" s="1" t="n">
        <v>2962</v>
      </c>
      <c r="B1100" s="3">
        <f>HYPERLINK("https://leetcode.com/problems/count-subarrays-where-max-element-appears-at-least-k-times/", "Count Subarrays Where Max Element Appears at Least K Times")</f>
        <v/>
      </c>
      <c r="C1100" s="1" t="n">
        <v>1699</v>
      </c>
      <c r="D1100" s="1" t="n">
        <v>81</v>
      </c>
      <c r="E1100" s="4">
        <f>IF(INDEX(C:C, ROW())+INDEX(D:D, ROW())=0, 0, INDEX(C:C, ROW())/(INDEX(C:C, ROW())+INDEX(D:D, ROW())))</f>
        <v/>
      </c>
      <c r="F1100" s="1" t="inlineStr">
        <is>
          <t>Array, Sliding Window</t>
        </is>
      </c>
      <c r="G1100" s="1" t="inlineStr">
        <is>
          <t>Medium</t>
        </is>
      </c>
      <c r="H1100" s="1" t="n">
        <v>255435</v>
      </c>
      <c r="I1100" s="1" t="n">
        <v>409408</v>
      </c>
      <c r="J1100" s="9" t="n">
        <v>0.624</v>
      </c>
      <c r="K1100" s="1" t="inlineStr">
        <is>
          <t>Yes</t>
        </is>
      </c>
      <c r="L1100" s="1" t="inlineStr">
        <is>
          <t>Yes</t>
        </is>
      </c>
      <c r="M1100" s="1" t="inlineStr">
        <is>
          <t>No</t>
        </is>
      </c>
      <c r="N1100" s="1" t="inlineStr">
        <is>
          <t>Algorithms</t>
        </is>
      </c>
      <c r="O11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01" ht="15.75" customHeight="1" s="12">
      <c r="A1101" s="1" t="n">
        <v>2560</v>
      </c>
      <c r="B1101" s="3">
        <f>HYPERLINK("https://leetcode.com/problems/house-robber-iv/", "House Robber IV")</f>
        <v/>
      </c>
      <c r="C1101" s="1" t="n">
        <v>1692</v>
      </c>
      <c r="D1101" s="1" t="n">
        <v>101</v>
      </c>
      <c r="E1101" s="4">
        <f>IF(INDEX(C:C, ROW())+INDEX(D:D, ROW())=0, 0, INDEX(C:C, ROW())/(INDEX(C:C, ROW())+INDEX(D:D, ROW())))</f>
        <v/>
      </c>
      <c r="F1101" s="1" t="inlineStr">
        <is>
          <t>Array, Binary Search, Dynamic Programming, Greedy</t>
        </is>
      </c>
      <c r="G1101" s="1" t="inlineStr">
        <is>
          <t>Medium</t>
        </is>
      </c>
      <c r="H1101" s="1" t="n">
        <v>137187</v>
      </c>
      <c r="I1101" s="1" t="n">
        <v>211613</v>
      </c>
      <c r="J1101" s="9" t="n">
        <v>0.648</v>
      </c>
      <c r="K1101" s="1" t="inlineStr">
        <is>
          <t>Yes</t>
        </is>
      </c>
      <c r="L1101" s="1" t="inlineStr">
        <is>
          <t>Yes</t>
        </is>
      </c>
      <c r="M1101" s="1" t="inlineStr">
        <is>
          <t>No</t>
        </is>
      </c>
      <c r="N1101" s="1" t="inlineStr">
        <is>
          <t>Algorithms</t>
        </is>
      </c>
      <c r="O11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02" ht="15.75" customHeight="1" s="12">
      <c r="A1102" s="1" t="n">
        <v>357</v>
      </c>
      <c r="B1102" s="3">
        <f>HYPERLINK("https://leetcode.com/problems/count-numbers-with-unique-digits/", "Count Numbers with Unique Digits")</f>
        <v/>
      </c>
      <c r="C1102" s="1" t="n">
        <v>1688</v>
      </c>
      <c r="D1102" s="1" t="n">
        <v>1522</v>
      </c>
      <c r="E1102" s="4">
        <f>IF(INDEX(C:C, ROW())+INDEX(D:D, ROW())=0, 0, INDEX(C:C, ROW())/(INDEX(C:C, ROW())+INDEX(D:D, ROW())))</f>
        <v/>
      </c>
      <c r="F1102" s="1" t="inlineStr">
        <is>
          <t>Math, Dynamic Programming, Backtracking</t>
        </is>
      </c>
      <c r="G1102" s="1" t="inlineStr">
        <is>
          <t>Medium</t>
        </is>
      </c>
      <c r="H1102" s="1" t="n">
        <v>180179</v>
      </c>
      <c r="I1102" s="1" t="n">
        <v>326398</v>
      </c>
      <c r="J1102" s="9" t="n">
        <v>0.552</v>
      </c>
      <c r="K1102" s="1" t="inlineStr">
        <is>
          <t>Yes</t>
        </is>
      </c>
      <c r="L1102" s="1" t="inlineStr">
        <is>
          <t>No</t>
        </is>
      </c>
      <c r="M1102" s="1" t="inlineStr">
        <is>
          <t>No</t>
        </is>
      </c>
      <c r="N1102" s="1" t="inlineStr">
        <is>
          <t>Algorithms</t>
        </is>
      </c>
      <c r="O11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03" ht="15.75" customHeight="1" s="12">
      <c r="A1103" s="1" t="n">
        <v>1005</v>
      </c>
      <c r="B1103" s="3">
        <f>HYPERLINK("https://leetcode.com/problems/maximize-sum-of-array-after-k-negations/", "Maximize Sum Of Array After K Negations")</f>
        <v/>
      </c>
      <c r="C1103" s="1" t="n">
        <v>1687</v>
      </c>
      <c r="D1103" s="1" t="n">
        <v>124</v>
      </c>
      <c r="E1103" s="4">
        <f>IF(INDEX(C:C, ROW())+INDEX(D:D, ROW())=0, 0, INDEX(C:C, ROW())/(INDEX(C:C, ROW())+INDEX(D:D, ROW())))</f>
        <v/>
      </c>
      <c r="F1103" s="1" t="inlineStr">
        <is>
          <t>Array, Greedy, Sorting</t>
        </is>
      </c>
      <c r="G1103" s="1" t="inlineStr">
        <is>
          <t>Easy</t>
        </is>
      </c>
      <c r="H1103" s="1" t="n">
        <v>132162</v>
      </c>
      <c r="I1103" s="1" t="n">
        <v>247835</v>
      </c>
      <c r="J1103" s="9" t="n">
        <v>0.533</v>
      </c>
      <c r="K1103" s="1" t="inlineStr">
        <is>
          <t>Yes</t>
        </is>
      </c>
      <c r="L1103" s="1" t="inlineStr">
        <is>
          <t>No</t>
        </is>
      </c>
      <c r="M1103" s="1" t="inlineStr">
        <is>
          <t>No</t>
        </is>
      </c>
      <c r="N1103" s="1" t="inlineStr">
        <is>
          <t>Algorithms</t>
        </is>
      </c>
      <c r="O11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04" ht="15.75" customHeight="1" s="12">
      <c r="A1104" s="1" t="n">
        <v>2610</v>
      </c>
      <c r="B1104" s="3">
        <f>HYPERLINK("https://leetcode.com/problems/convert-an-array-into-a-2d-array-with-conditions/", "Convert an Array Into a 2D Array With Conditions")</f>
        <v/>
      </c>
      <c r="C1104" s="1" t="n">
        <v>1685</v>
      </c>
      <c r="D1104" s="1" t="n">
        <v>81</v>
      </c>
      <c r="E1104" s="4">
        <f>IF(INDEX(C:C, ROW())+INDEX(D:D, ROW())=0, 0, INDEX(C:C, ROW())/(INDEX(C:C, ROW())+INDEX(D:D, ROW())))</f>
        <v/>
      </c>
      <c r="F1104" s="1" t="inlineStr">
        <is>
          <t>Array, Hash Table</t>
        </is>
      </c>
      <c r="G1104" s="1" t="inlineStr">
        <is>
          <t>Medium</t>
        </is>
      </c>
      <c r="H1104" s="1" t="n">
        <v>222538</v>
      </c>
      <c r="I1104" s="1" t="n">
        <v>257626</v>
      </c>
      <c r="J1104" s="9" t="n">
        <v>0.864</v>
      </c>
      <c r="K1104" s="1" t="inlineStr">
        <is>
          <t>Yes</t>
        </is>
      </c>
      <c r="L1104" s="1" t="inlineStr">
        <is>
          <t>Yes</t>
        </is>
      </c>
      <c r="M1104" s="1" t="inlineStr">
        <is>
          <t>No</t>
        </is>
      </c>
      <c r="N1104" s="1" t="inlineStr">
        <is>
          <t>Algorithms</t>
        </is>
      </c>
      <c r="O11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05" ht="15.75" customHeight="1" s="12">
      <c r="A1105" s="1" t="n">
        <v>870</v>
      </c>
      <c r="B1105" s="3">
        <f>HYPERLINK("https://leetcode.com/problems/advantage-shuffle/", "Advantage Shuffle")</f>
        <v/>
      </c>
      <c r="C1105" s="1" t="n">
        <v>1682</v>
      </c>
      <c r="D1105" s="1" t="n">
        <v>100</v>
      </c>
      <c r="E1105" s="4">
        <f>IF(INDEX(C:C, ROW())+INDEX(D:D, ROW())=0, 0, INDEX(C:C, ROW())/(INDEX(C:C, ROW())+INDEX(D:D, ROW())))</f>
        <v/>
      </c>
      <c r="F1105" s="1" t="inlineStr">
        <is>
          <t>Array, Two Pointers, Greedy, Sorting</t>
        </is>
      </c>
      <c r="G1105" s="1" t="inlineStr">
        <is>
          <t>Medium</t>
        </is>
      </c>
      <c r="H1105" s="1" t="n">
        <v>79700</v>
      </c>
      <c r="I1105" s="1" t="n">
        <v>147242</v>
      </c>
      <c r="J1105" s="9" t="n">
        <v>0.541</v>
      </c>
      <c r="K1105" s="1" t="inlineStr">
        <is>
          <t>Yes</t>
        </is>
      </c>
      <c r="L1105" s="1" t="inlineStr">
        <is>
          <t>Yes</t>
        </is>
      </c>
      <c r="M1105" s="1" t="inlineStr">
        <is>
          <t>No</t>
        </is>
      </c>
      <c r="N1105" s="1" t="inlineStr">
        <is>
          <t>Algorithms</t>
        </is>
      </c>
      <c r="O11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06" ht="15.75" customHeight="1" s="12">
      <c r="A1106" s="1" t="n">
        <v>1748</v>
      </c>
      <c r="B1106" s="3">
        <f>HYPERLINK("https://leetcode.com/problems/sum-of-unique-elements/", "Sum of Unique Elements")</f>
        <v/>
      </c>
      <c r="C1106" s="1" t="n">
        <v>1682</v>
      </c>
      <c r="D1106" s="1" t="n">
        <v>34</v>
      </c>
      <c r="E1106" s="4">
        <f>IF(INDEX(C:C, ROW())+INDEX(D:D, ROW())=0, 0, INDEX(C:C, ROW())/(INDEX(C:C, ROW())+INDEX(D:D, ROW())))</f>
        <v/>
      </c>
      <c r="F1106" s="1" t="inlineStr">
        <is>
          <t>Array, Hash Table, Counting</t>
        </is>
      </c>
      <c r="G1106" s="1" t="inlineStr">
        <is>
          <t>Easy</t>
        </is>
      </c>
      <c r="H1106" s="1" t="n">
        <v>248009</v>
      </c>
      <c r="I1106" s="1" t="n">
        <v>311331</v>
      </c>
      <c r="J1106" s="9" t="n">
        <v>0.797</v>
      </c>
      <c r="K1106" s="1" t="inlineStr">
        <is>
          <t>Yes</t>
        </is>
      </c>
      <c r="L1106" s="1" t="inlineStr">
        <is>
          <t>No</t>
        </is>
      </c>
      <c r="M1106" s="1" t="inlineStr">
        <is>
          <t>No</t>
        </is>
      </c>
      <c r="N1106" s="1" t="inlineStr">
        <is>
          <t>Algorithms</t>
        </is>
      </c>
      <c r="O11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07" ht="15.75" customHeight="1" s="12">
      <c r="A1107" s="1" t="n">
        <v>370</v>
      </c>
      <c r="B1107" s="3">
        <f>HYPERLINK("https://leetcode.com/problems/range-addition/", "Range Addition")</f>
        <v/>
      </c>
      <c r="C1107" s="1" t="n">
        <v>1680</v>
      </c>
      <c r="D1107" s="1" t="n">
        <v>86</v>
      </c>
      <c r="E1107" s="4">
        <f>IF(INDEX(C:C, ROW())+INDEX(D:D, ROW())=0, 0, INDEX(C:C, ROW())/(INDEX(C:C, ROW())+INDEX(D:D, ROW())))</f>
        <v/>
      </c>
      <c r="F1107" s="1" t="inlineStr">
        <is>
          <t>Array, Prefix Sum</t>
        </is>
      </c>
      <c r="G1107" s="1" t="inlineStr">
        <is>
          <t>Medium</t>
        </is>
      </c>
      <c r="H1107" s="1" t="n">
        <v>105112</v>
      </c>
      <c r="I1107" s="1" t="n">
        <v>144219</v>
      </c>
      <c r="J1107" s="9" t="n">
        <v>0.729</v>
      </c>
      <c r="K1107" s="1" t="inlineStr">
        <is>
          <t>No</t>
        </is>
      </c>
      <c r="L1107" s="1" t="inlineStr">
        <is>
          <t>Yes</t>
        </is>
      </c>
      <c r="M1107" s="1" t="inlineStr">
        <is>
          <t>No</t>
        </is>
      </c>
      <c r="N1107" s="1" t="inlineStr">
        <is>
          <t>Algorithms</t>
        </is>
      </c>
      <c r="O11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08" ht="15.75" customHeight="1" s="12">
      <c r="A1108" s="1" t="n">
        <v>1484</v>
      </c>
      <c r="B1108" s="3">
        <f>HYPERLINK("https://leetcode.com/problems/group-sold-products-by-the-date/", "Group Sold Products By The Date")</f>
        <v/>
      </c>
      <c r="C1108" s="1" t="n">
        <v>1674</v>
      </c>
      <c r="D1108" s="1" t="n">
        <v>123</v>
      </c>
      <c r="E1108" s="4">
        <f>IF(INDEX(C:C, ROW())+INDEX(D:D, ROW())=0, 0, INDEX(C:C, ROW())/(INDEX(C:C, ROW())+INDEX(D:D, ROW())))</f>
        <v/>
      </c>
      <c r="F1108" s="1" t="inlineStr">
        <is>
          <t>Database</t>
        </is>
      </c>
      <c r="G1108" s="1" t="inlineStr">
        <is>
          <t>Easy</t>
        </is>
      </c>
      <c r="H1108" s="1" t="n">
        <v>384336</v>
      </c>
      <c r="I1108" s="1" t="n">
        <v>493611</v>
      </c>
      <c r="J1108" s="9" t="n">
        <v>0.779</v>
      </c>
      <c r="K1108" s="1" t="inlineStr">
        <is>
          <t>Yes</t>
        </is>
      </c>
      <c r="L1108" s="1" t="inlineStr">
        <is>
          <t>Yes</t>
        </is>
      </c>
      <c r="M1108" s="1" t="inlineStr">
        <is>
          <t>No</t>
        </is>
      </c>
      <c r="N1108" s="1" t="inlineStr">
        <is>
          <t>Database</t>
        </is>
      </c>
      <c r="O11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09" ht="15.75" customHeight="1" s="12">
      <c r="A1109" s="1" t="n">
        <v>641</v>
      </c>
      <c r="B1109" s="3">
        <f>HYPERLINK("https://leetcode.com/problems/design-circular-deque/", "Design Circular Deque")</f>
        <v/>
      </c>
      <c r="C1109" s="1" t="n">
        <v>1671</v>
      </c>
      <c r="D1109" s="1" t="n">
        <v>108</v>
      </c>
      <c r="E1109" s="4">
        <f>IF(INDEX(C:C, ROW())+INDEX(D:D, ROW())=0, 0, INDEX(C:C, ROW())/(INDEX(C:C, ROW())+INDEX(D:D, ROW())))</f>
        <v/>
      </c>
      <c r="F1109" s="1" t="inlineStr">
        <is>
          <t>Array, Linked List, Design, Queue</t>
        </is>
      </c>
      <c r="G1109" s="1" t="inlineStr">
        <is>
          <t>Medium</t>
        </is>
      </c>
      <c r="H1109" s="1" t="n">
        <v>193465</v>
      </c>
      <c r="I1109" s="1" t="n">
        <v>300399</v>
      </c>
      <c r="J1109" s="9" t="n">
        <v>0.644</v>
      </c>
      <c r="K1109" s="1" t="inlineStr">
        <is>
          <t>Yes</t>
        </is>
      </c>
      <c r="L1109" s="1" t="inlineStr">
        <is>
          <t>Yes</t>
        </is>
      </c>
      <c r="M1109" s="1" t="inlineStr">
        <is>
          <t>No</t>
        </is>
      </c>
      <c r="N1109" s="1" t="inlineStr">
        <is>
          <t>Algorithms</t>
        </is>
      </c>
      <c r="O11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10" ht="15.75" customHeight="1" s="12">
      <c r="A1110" s="1" t="n">
        <v>396</v>
      </c>
      <c r="B1110" s="3">
        <f>HYPERLINK("https://leetcode.com/problems/rotate-function/", "Rotate Function")</f>
        <v/>
      </c>
      <c r="C1110" s="1" t="n">
        <v>1669</v>
      </c>
      <c r="D1110" s="1" t="n">
        <v>280</v>
      </c>
      <c r="E1110" s="4">
        <f>IF(INDEX(C:C, ROW())+INDEX(D:D, ROW())=0, 0, INDEX(C:C, ROW())/(INDEX(C:C, ROW())+INDEX(D:D, ROW())))</f>
        <v/>
      </c>
      <c r="F1110" s="1" t="inlineStr">
        <is>
          <t>Array, Math, Dynamic Programming</t>
        </is>
      </c>
      <c r="G1110" s="1" t="inlineStr">
        <is>
          <t>Medium</t>
        </is>
      </c>
      <c r="H1110" s="1" t="n">
        <v>109360</v>
      </c>
      <c r="I1110" s="1" t="n">
        <v>241881</v>
      </c>
      <c r="J1110" s="9" t="n">
        <v>0.452</v>
      </c>
      <c r="K1110" s="1" t="inlineStr">
        <is>
          <t>Yes</t>
        </is>
      </c>
      <c r="L1110" s="1" t="inlineStr">
        <is>
          <t>No</t>
        </is>
      </c>
      <c r="M1110" s="1" t="inlineStr">
        <is>
          <t>No</t>
        </is>
      </c>
      <c r="N1110" s="1" t="inlineStr">
        <is>
          <t>Algorithms</t>
        </is>
      </c>
      <c r="O11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11" ht="15.75" customHeight="1" s="12">
      <c r="A1111" s="1" t="n">
        <v>1575</v>
      </c>
      <c r="B1111" s="3">
        <f>HYPERLINK("https://leetcode.com/problems/count-all-possible-routes/", "Count All Possible Routes")</f>
        <v/>
      </c>
      <c r="C1111" s="1" t="n">
        <v>1668</v>
      </c>
      <c r="D1111" s="1" t="n">
        <v>60</v>
      </c>
      <c r="E1111" s="4">
        <f>IF(INDEX(C:C, ROW())+INDEX(D:D, ROW())=0, 0, INDEX(C:C, ROW())/(INDEX(C:C, ROW())+INDEX(D:D, ROW())))</f>
        <v/>
      </c>
      <c r="F1111" s="1" t="inlineStr">
        <is>
          <t>Array, Dynamic Programming, Memoization</t>
        </is>
      </c>
      <c r="G1111" s="1" t="inlineStr">
        <is>
          <t>Hard</t>
        </is>
      </c>
      <c r="H1111" s="1" t="n">
        <v>65001</v>
      </c>
      <c r="I1111" s="1" t="n">
        <v>100160</v>
      </c>
      <c r="J1111" s="9" t="n">
        <v>0.649</v>
      </c>
      <c r="K1111" s="1" t="inlineStr">
        <is>
          <t>Yes</t>
        </is>
      </c>
      <c r="L1111" s="1" t="inlineStr">
        <is>
          <t>Yes</t>
        </is>
      </c>
      <c r="M1111" s="1" t="inlineStr">
        <is>
          <t>No</t>
        </is>
      </c>
      <c r="N1111" s="1" t="inlineStr">
        <is>
          <t>Algorithms</t>
        </is>
      </c>
      <c r="O11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12" ht="15.75" customHeight="1" s="12">
      <c r="A1112" s="1" t="n">
        <v>1780</v>
      </c>
      <c r="B1112" s="3">
        <f>HYPERLINK("https://leetcode.com/problems/check-if-number-is-a-sum-of-powers-of-three/", "Check if Number is a Sum of Powers of Three")</f>
        <v/>
      </c>
      <c r="C1112" s="1" t="n">
        <v>1667</v>
      </c>
      <c r="D1112" s="1" t="n">
        <v>67</v>
      </c>
      <c r="E1112" s="4">
        <f>IF(INDEX(C:C, ROW())+INDEX(D:D, ROW())=0, 0, INDEX(C:C, ROW())/(INDEX(C:C, ROW())+INDEX(D:D, ROW())))</f>
        <v/>
      </c>
      <c r="F1112" s="1" t="inlineStr">
        <is>
          <t>Math</t>
        </is>
      </c>
      <c r="G1112" s="1" t="inlineStr">
        <is>
          <t>Medium</t>
        </is>
      </c>
      <c r="H1112" s="1" t="n">
        <v>213297</v>
      </c>
      <c r="I1112" s="1" t="n">
        <v>268790</v>
      </c>
      <c r="J1112" s="9" t="n">
        <v>0.794</v>
      </c>
      <c r="K1112" s="1" t="inlineStr">
        <is>
          <t>Yes</t>
        </is>
      </c>
      <c r="L1112" s="1" t="inlineStr">
        <is>
          <t>Yes</t>
        </is>
      </c>
      <c r="M1112" s="1" t="inlineStr">
        <is>
          <t>No</t>
        </is>
      </c>
      <c r="N1112" s="1" t="inlineStr">
        <is>
          <t>Algorithms</t>
        </is>
      </c>
      <c r="O11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13" ht="15.75" customHeight="1" s="12">
      <c r="A1113" s="1" t="n">
        <v>2136</v>
      </c>
      <c r="B1113" s="3">
        <f>HYPERLINK("https://leetcode.com/problems/earliest-possible-day-of-full-bloom/", "Earliest Possible Day of Full Bloom")</f>
        <v/>
      </c>
      <c r="C1113" s="1" t="n">
        <v>1665</v>
      </c>
      <c r="D1113" s="1" t="n">
        <v>85</v>
      </c>
      <c r="E1113" s="4">
        <f>IF(INDEX(C:C, ROW())+INDEX(D:D, ROW())=0, 0, INDEX(C:C, ROW())/(INDEX(C:C, ROW())+INDEX(D:D, ROW())))</f>
        <v/>
      </c>
      <c r="F1113" s="1" t="inlineStr">
        <is>
          <t>Array, Greedy, Sorting</t>
        </is>
      </c>
      <c r="G1113" s="1" t="inlineStr">
        <is>
          <t>Hard</t>
        </is>
      </c>
      <c r="H1113" s="1" t="n">
        <v>62904</v>
      </c>
      <c r="I1113" s="1" t="n">
        <v>88369</v>
      </c>
      <c r="J1113" s="9" t="n">
        <v>0.712</v>
      </c>
      <c r="K1113" s="1" t="inlineStr">
        <is>
          <t>Yes</t>
        </is>
      </c>
      <c r="L1113" s="1" t="inlineStr">
        <is>
          <t>Yes</t>
        </is>
      </c>
      <c r="M1113" s="1" t="inlineStr">
        <is>
          <t>No</t>
        </is>
      </c>
      <c r="N1113" s="1" t="inlineStr">
        <is>
          <t>Algorithms</t>
        </is>
      </c>
      <c r="O11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14" ht="15.75" customHeight="1" s="12">
      <c r="A1114" s="1" t="n">
        <v>1720</v>
      </c>
      <c r="B1114" s="3">
        <f>HYPERLINK("https://leetcode.com/problems/decode-xored-array/", "Decode XORed Array")</f>
        <v/>
      </c>
      <c r="C1114" s="1" t="n">
        <v>1664</v>
      </c>
      <c r="D1114" s="1" t="n">
        <v>220</v>
      </c>
      <c r="E1114" s="4">
        <f>IF(INDEX(C:C, ROW())+INDEX(D:D, ROW())=0, 0, INDEX(C:C, ROW())/(INDEX(C:C, ROW())+INDEX(D:D, ROW())))</f>
        <v/>
      </c>
      <c r="F1114" s="1" t="inlineStr">
        <is>
          <t>Array, Bit Manipulation</t>
        </is>
      </c>
      <c r="G1114" s="1" t="inlineStr">
        <is>
          <t>Easy</t>
        </is>
      </c>
      <c r="H1114" s="1" t="n">
        <v>186837</v>
      </c>
      <c r="I1114" s="1" t="n">
        <v>214131</v>
      </c>
      <c r="J1114" s="9" t="n">
        <v>0.873</v>
      </c>
      <c r="K1114" s="1" t="inlineStr">
        <is>
          <t>Yes</t>
        </is>
      </c>
      <c r="L1114" s="1" t="inlineStr">
        <is>
          <t>No</t>
        </is>
      </c>
      <c r="M1114" s="1" t="inlineStr">
        <is>
          <t>No</t>
        </is>
      </c>
      <c r="N1114" s="1" t="inlineStr">
        <is>
          <t>Algorithms</t>
        </is>
      </c>
      <c r="O11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15" ht="15.75" customHeight="1" s="12">
      <c r="A1115" s="1" t="n">
        <v>2127</v>
      </c>
      <c r="B1115" s="3">
        <f>HYPERLINK("https://leetcode.com/problems/maximum-employees-to-be-invited-to-a-meeting/", "Maximum Employees to Be Invited to a Meeting")</f>
        <v/>
      </c>
      <c r="C1115" s="1" t="n">
        <v>1664</v>
      </c>
      <c r="D1115" s="1" t="n">
        <v>70</v>
      </c>
      <c r="E1115" s="4">
        <f>IF(INDEX(C:C, ROW())+INDEX(D:D, ROW())=0, 0, INDEX(C:C, ROW())/(INDEX(C:C, ROW())+INDEX(D:D, ROW())))</f>
        <v/>
      </c>
      <c r="F1115" s="1" t="inlineStr">
        <is>
          <t>Depth-First Search, Graph Theory, Topological Sort</t>
        </is>
      </c>
      <c r="G1115" s="1" t="inlineStr">
        <is>
          <t>Hard</t>
        </is>
      </c>
      <c r="H1115" s="1" t="n">
        <v>87632</v>
      </c>
      <c r="I1115" s="1" t="n">
        <v>141754</v>
      </c>
      <c r="J1115" s="9" t="n">
        <v>0.618</v>
      </c>
      <c r="K1115" s="1" t="inlineStr">
        <is>
          <t>Yes</t>
        </is>
      </c>
      <c r="L1115" s="1" t="inlineStr">
        <is>
          <t>Yes</t>
        </is>
      </c>
      <c r="M1115" s="1" t="inlineStr">
        <is>
          <t>No</t>
        </is>
      </c>
      <c r="N1115" s="1" t="inlineStr">
        <is>
          <t>Algorithms</t>
        </is>
      </c>
      <c r="O11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16" ht="15.75" customHeight="1" s="12">
      <c r="A1116" s="1" t="n">
        <v>1678</v>
      </c>
      <c r="B1116" s="3">
        <f>HYPERLINK("https://leetcode.com/problems/goal-parser-interpretation/", "Goal Parser Interpretation")</f>
        <v/>
      </c>
      <c r="C1116" s="1" t="n">
        <v>1663</v>
      </c>
      <c r="D1116" s="1" t="n">
        <v>93</v>
      </c>
      <c r="E1116" s="4">
        <f>IF(INDEX(C:C, ROW())+INDEX(D:D, ROW())=0, 0, INDEX(C:C, ROW())/(INDEX(C:C, ROW())+INDEX(D:D, ROW())))</f>
        <v/>
      </c>
      <c r="F1116" s="1" t="inlineStr">
        <is>
          <t>String</t>
        </is>
      </c>
      <c r="G1116" s="1" t="inlineStr">
        <is>
          <t>Easy</t>
        </is>
      </c>
      <c r="H1116" s="1" t="n">
        <v>315895</v>
      </c>
      <c r="I1116" s="1" t="n">
        <v>359237</v>
      </c>
      <c r="J1116" s="9" t="n">
        <v>0.879</v>
      </c>
      <c r="K1116" s="1" t="inlineStr">
        <is>
          <t>Yes</t>
        </is>
      </c>
      <c r="L1116" s="1" t="inlineStr">
        <is>
          <t>No</t>
        </is>
      </c>
      <c r="M1116" s="1" t="inlineStr">
        <is>
          <t>No</t>
        </is>
      </c>
      <c r="N1116" s="1" t="inlineStr">
        <is>
          <t>Algorithms</t>
        </is>
      </c>
      <c r="O11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17" ht="15.75" customHeight="1" s="12">
      <c r="A1117" s="1" t="n">
        <v>1876</v>
      </c>
      <c r="B1117" s="3">
        <f>HYPERLINK("https://leetcode.com/problems/substrings-of-size-three-with-distinct-characters/", "Substrings of Size Three with Distinct Characters")</f>
        <v/>
      </c>
      <c r="C1117" s="1" t="n">
        <v>1663</v>
      </c>
      <c r="D1117" s="1" t="n">
        <v>54</v>
      </c>
      <c r="E1117" s="4">
        <f>IF(INDEX(C:C, ROW())+INDEX(D:D, ROW())=0, 0, INDEX(C:C, ROW())/(INDEX(C:C, ROW())+INDEX(D:D, ROW())))</f>
        <v/>
      </c>
      <c r="F1117" s="1" t="inlineStr">
        <is>
          <t>Hash Table, String, Sliding Window, Counting</t>
        </is>
      </c>
      <c r="G1117" s="1" t="inlineStr">
        <is>
          <t>Easy</t>
        </is>
      </c>
      <c r="H1117" s="1" t="n">
        <v>198959</v>
      </c>
      <c r="I1117" s="1" t="n">
        <v>260483</v>
      </c>
      <c r="J1117" s="9" t="n">
        <v>0.764</v>
      </c>
      <c r="K1117" s="1" t="inlineStr">
        <is>
          <t>Yes</t>
        </is>
      </c>
      <c r="L1117" s="1" t="inlineStr">
        <is>
          <t>No</t>
        </is>
      </c>
      <c r="M1117" s="1" t="inlineStr">
        <is>
          <t>No</t>
        </is>
      </c>
      <c r="N1117" s="1" t="inlineStr">
        <is>
          <t>Algorithms</t>
        </is>
      </c>
      <c r="O11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18" ht="15.75" customHeight="1" s="12">
      <c r="A1118" s="1" t="n">
        <v>1416</v>
      </c>
      <c r="B1118" s="3">
        <f>HYPERLINK("https://leetcode.com/problems/restore-the-array/", "Restore The Array")</f>
        <v/>
      </c>
      <c r="C1118" s="1" t="n">
        <v>1661</v>
      </c>
      <c r="D1118" s="1" t="n">
        <v>53</v>
      </c>
      <c r="E1118" s="4">
        <f>IF(INDEX(C:C, ROW())+INDEX(D:D, ROW())=0, 0, INDEX(C:C, ROW())/(INDEX(C:C, ROW())+INDEX(D:D, ROW())))</f>
        <v/>
      </c>
      <c r="F1118" s="1" t="inlineStr">
        <is>
          <t>String, Dynamic Programming</t>
        </is>
      </c>
      <c r="G1118" s="1" t="inlineStr">
        <is>
          <t>Hard</t>
        </is>
      </c>
      <c r="H1118" s="1" t="n">
        <v>66722</v>
      </c>
      <c r="I1118" s="1" t="n">
        <v>142680</v>
      </c>
      <c r="J1118" s="9" t="n">
        <v>0.468</v>
      </c>
      <c r="K1118" s="1" t="inlineStr">
        <is>
          <t>Yes</t>
        </is>
      </c>
      <c r="L1118" s="1" t="inlineStr">
        <is>
          <t>Yes</t>
        </is>
      </c>
      <c r="M1118" s="1" t="inlineStr">
        <is>
          <t>No</t>
        </is>
      </c>
      <c r="N1118" s="1" t="inlineStr">
        <is>
          <t>Algorithms</t>
        </is>
      </c>
      <c r="O11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19" ht="15.75" customHeight="1" s="12">
      <c r="A1119" s="1" t="n">
        <v>1413</v>
      </c>
      <c r="B1119" s="3">
        <f>HYPERLINK("https://leetcode.com/problems/minimum-value-to-get-positive-step-by-step-sum/", "Minimum Value to Get Positive Step by Step Sum")</f>
        <v/>
      </c>
      <c r="C1119" s="1" t="n">
        <v>1660</v>
      </c>
      <c r="D1119" s="1" t="n">
        <v>382</v>
      </c>
      <c r="E1119" s="4">
        <f>IF(INDEX(C:C, ROW())+INDEX(D:D, ROW())=0, 0, INDEX(C:C, ROW())/(INDEX(C:C, ROW())+INDEX(D:D, ROW())))</f>
        <v/>
      </c>
      <c r="F1119" s="1" t="inlineStr">
        <is>
          <t>Array, Prefix Sum</t>
        </is>
      </c>
      <c r="G1119" s="1" t="inlineStr">
        <is>
          <t>Easy</t>
        </is>
      </c>
      <c r="H1119" s="1" t="n">
        <v>217463</v>
      </c>
      <c r="I1119" s="1" t="n">
        <v>336968</v>
      </c>
      <c r="J1119" s="9" t="n">
        <v>0.645</v>
      </c>
      <c r="K1119" s="1" t="inlineStr">
        <is>
          <t>Yes</t>
        </is>
      </c>
      <c r="L1119" s="1" t="inlineStr">
        <is>
          <t>Yes</t>
        </is>
      </c>
      <c r="M1119" s="1" t="inlineStr">
        <is>
          <t>No</t>
        </is>
      </c>
      <c r="N1119" s="1" t="inlineStr">
        <is>
          <t>Algorithms</t>
        </is>
      </c>
      <c r="O11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20" ht="15.75" customHeight="1" s="12">
      <c r="A1120" s="1" t="n">
        <v>365</v>
      </c>
      <c r="B1120" s="3">
        <f>HYPERLINK("https://leetcode.com/problems/water-and-jug-problem/", "Water and Jug Problem")</f>
        <v/>
      </c>
      <c r="C1120" s="1" t="n">
        <v>1658</v>
      </c>
      <c r="D1120" s="1" t="n">
        <v>1512</v>
      </c>
      <c r="E1120" s="4">
        <f>IF(INDEX(C:C, ROW())+INDEX(D:D, ROW())=0, 0, INDEX(C:C, ROW())/(INDEX(C:C, ROW())+INDEX(D:D, ROW())))</f>
        <v/>
      </c>
      <c r="F1120" s="1" t="inlineStr">
        <is>
          <t>Math, Depth-First Search, Breadth-First Search</t>
        </is>
      </c>
      <c r="G1120" s="1" t="inlineStr">
        <is>
          <t>Medium</t>
        </is>
      </c>
      <c r="H1120" s="1" t="n">
        <v>139689</v>
      </c>
      <c r="I1120" s="1" t="n">
        <v>312934</v>
      </c>
      <c r="J1120" s="9" t="n">
        <v>0.446</v>
      </c>
      <c r="K1120" s="1" t="inlineStr">
        <is>
          <t>Yes</t>
        </is>
      </c>
      <c r="L1120" s="1" t="inlineStr">
        <is>
          <t>No</t>
        </is>
      </c>
      <c r="M1120" s="1" t="inlineStr">
        <is>
          <t>No</t>
        </is>
      </c>
      <c r="N1120" s="1" t="inlineStr">
        <is>
          <t>Algorithms</t>
        </is>
      </c>
      <c r="O11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21" ht="15.75" customHeight="1" s="12">
      <c r="A1121" s="1" t="n">
        <v>885</v>
      </c>
      <c r="B1121" s="3">
        <f>HYPERLINK("https://leetcode.com/problems/spiral-matrix-iii/", "Spiral Matrix III")</f>
        <v/>
      </c>
      <c r="C1121" s="1" t="n">
        <v>1653</v>
      </c>
      <c r="D1121" s="1" t="n">
        <v>1045</v>
      </c>
      <c r="E1121" s="4">
        <f>IF(INDEX(C:C, ROW())+INDEX(D:D, ROW())=0, 0, INDEX(C:C, ROW())/(INDEX(C:C, ROW())+INDEX(D:D, ROW())))</f>
        <v/>
      </c>
      <c r="F1121" s="1" t="inlineStr">
        <is>
          <t>Array, Matrix, Simulation</t>
        </is>
      </c>
      <c r="G1121" s="1" t="inlineStr">
        <is>
          <t>Medium</t>
        </is>
      </c>
      <c r="H1121" s="1" t="n">
        <v>173244</v>
      </c>
      <c r="I1121" s="1" t="n">
        <v>204949</v>
      </c>
      <c r="J1121" s="9" t="n">
        <v>0.845</v>
      </c>
      <c r="K1121" s="1" t="inlineStr">
        <is>
          <t>Yes</t>
        </is>
      </c>
      <c r="L1121" s="1" t="inlineStr">
        <is>
          <t>Yes</t>
        </is>
      </c>
      <c r="M1121" s="1" t="inlineStr">
        <is>
          <t>No</t>
        </is>
      </c>
      <c r="N1121" s="1" t="inlineStr">
        <is>
          <t>Algorithms</t>
        </is>
      </c>
      <c r="O11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22" ht="15.75" customHeight="1" s="12">
      <c r="A1122" s="1" t="n">
        <v>2196</v>
      </c>
      <c r="B1122" s="3">
        <f>HYPERLINK("https://leetcode.com/problems/create-binary-tree-from-descriptions/", "Create Binary Tree From Descriptions")</f>
        <v/>
      </c>
      <c r="C1122" s="1" t="n">
        <v>1653</v>
      </c>
      <c r="D1122" s="1" t="n">
        <v>38</v>
      </c>
      <c r="E1122" s="4">
        <f>IF(INDEX(C:C, ROW())+INDEX(D:D, ROW())=0, 0, INDEX(C:C, ROW())/(INDEX(C:C, ROW())+INDEX(D:D, ROW())))</f>
        <v/>
      </c>
      <c r="F1122" s="1" t="inlineStr">
        <is>
          <t>Array, Hash Table, Tree, Binary Tree</t>
        </is>
      </c>
      <c r="G1122" s="1" t="inlineStr">
        <is>
          <t>Medium</t>
        </is>
      </c>
      <c r="H1122" s="1" t="n">
        <v>167876</v>
      </c>
      <c r="I1122" s="1" t="n">
        <v>205531</v>
      </c>
      <c r="J1122" s="9" t="n">
        <v>0.8169999999999999</v>
      </c>
      <c r="K1122" s="1" t="inlineStr">
        <is>
          <t>Yes</t>
        </is>
      </c>
      <c r="L1122" s="1" t="inlineStr">
        <is>
          <t>Yes</t>
        </is>
      </c>
      <c r="M1122" s="1" t="inlineStr">
        <is>
          <t>No</t>
        </is>
      </c>
      <c r="N1122" s="1" t="inlineStr">
        <is>
          <t>Algorithms</t>
        </is>
      </c>
      <c r="O11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23" ht="15.75" customHeight="1" s="12">
      <c r="A1123" s="1" t="n">
        <v>639</v>
      </c>
      <c r="B1123" s="3">
        <f>HYPERLINK("https://leetcode.com/problems/decode-ways-ii/", "Decode Ways II")</f>
        <v/>
      </c>
      <c r="C1123" s="1" t="n">
        <v>1652</v>
      </c>
      <c r="D1123" s="1" t="n">
        <v>825</v>
      </c>
      <c r="E1123" s="4">
        <f>IF(INDEX(C:C, ROW())+INDEX(D:D, ROW())=0, 0, INDEX(C:C, ROW())/(INDEX(C:C, ROW())+INDEX(D:D, ROW())))</f>
        <v/>
      </c>
      <c r="F1123" s="1" t="inlineStr">
        <is>
          <t>String, Dynamic Programming</t>
        </is>
      </c>
      <c r="G1123" s="1" t="inlineStr">
        <is>
          <t>Hard</t>
        </is>
      </c>
      <c r="H1123" s="1" t="n">
        <v>87047</v>
      </c>
      <c r="I1123" s="1" t="n">
        <v>275126</v>
      </c>
      <c r="J1123" s="9" t="n">
        <v>0.316</v>
      </c>
      <c r="K1123" s="1" t="inlineStr">
        <is>
          <t>Yes</t>
        </is>
      </c>
      <c r="L1123" s="1" t="inlineStr">
        <is>
          <t>Yes</t>
        </is>
      </c>
      <c r="M1123" s="1" t="inlineStr">
        <is>
          <t>No</t>
        </is>
      </c>
      <c r="N1123" s="1" t="inlineStr">
        <is>
          <t>Algorithms</t>
        </is>
      </c>
      <c r="O11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24" ht="15.75" customHeight="1" s="12">
      <c r="A1124" s="1" t="n">
        <v>2290</v>
      </c>
      <c r="B1124" s="3">
        <f>HYPERLINK("https://leetcode.com/problems/minimum-obstacle-removal-to-reach-corner/", "Minimum Obstacle Removal to Reach Corner")</f>
        <v/>
      </c>
      <c r="C1124" s="1" t="n">
        <v>1649</v>
      </c>
      <c r="D1124" s="1" t="n">
        <v>29</v>
      </c>
      <c r="E1124" s="4">
        <f>IF(INDEX(C:C, ROW())+INDEX(D:D, ROW())=0, 0, INDEX(C:C, ROW())/(INDEX(C:C, ROW())+INDEX(D:D, ROW())))</f>
        <v/>
      </c>
      <c r="F1124" s="1" t="inlineStr">
        <is>
          <t>Array, Breadth-First Search, Graph Theory, Heap (Priority Queue), Matrix, Shortest Path</t>
        </is>
      </c>
      <c r="G1124" s="1" t="inlineStr">
        <is>
          <t>Hard</t>
        </is>
      </c>
      <c r="H1124" s="1" t="n">
        <v>119282</v>
      </c>
      <c r="I1124" s="1" t="n">
        <v>169558</v>
      </c>
      <c r="J1124" s="9" t="n">
        <v>0.703</v>
      </c>
      <c r="K1124" s="1" t="inlineStr">
        <is>
          <t>Yes</t>
        </is>
      </c>
      <c r="L1124" s="1" t="inlineStr">
        <is>
          <t>Yes</t>
        </is>
      </c>
      <c r="M1124" s="1" t="inlineStr">
        <is>
          <t>No</t>
        </is>
      </c>
      <c r="N1124" s="1" t="inlineStr">
        <is>
          <t>Algorithms</t>
        </is>
      </c>
      <c r="O11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25" ht="15.75" customHeight="1" s="12">
      <c r="A1125" s="1" t="n">
        <v>1233</v>
      </c>
      <c r="B1125" s="3">
        <f>HYPERLINK("https://leetcode.com/problems/remove-sub-folders-from-the-filesystem/", "Remove Sub-Folders from the Filesystem")</f>
        <v/>
      </c>
      <c r="C1125" s="1" t="n">
        <v>1648</v>
      </c>
      <c r="D1125" s="1" t="n">
        <v>230</v>
      </c>
      <c r="E1125" s="4">
        <f>IF(INDEX(C:C, ROW())+INDEX(D:D, ROW())=0, 0, INDEX(C:C, ROW())/(INDEX(C:C, ROW())+INDEX(D:D, ROW())))</f>
        <v/>
      </c>
      <c r="F1125" s="1" t="inlineStr">
        <is>
          <t>Array, String, Depth-First Search, Trie</t>
        </is>
      </c>
      <c r="G1125" s="1" t="inlineStr">
        <is>
          <t>Medium</t>
        </is>
      </c>
      <c r="H1125" s="1" t="n">
        <v>263107</v>
      </c>
      <c r="I1125" s="1" t="n">
        <v>334658</v>
      </c>
      <c r="J1125" s="9" t="n">
        <v>0.786</v>
      </c>
      <c r="K1125" s="1" t="inlineStr">
        <is>
          <t>Yes</t>
        </is>
      </c>
      <c r="L1125" s="1" t="inlineStr">
        <is>
          <t>Yes</t>
        </is>
      </c>
      <c r="M1125" s="1" t="inlineStr">
        <is>
          <t>No</t>
        </is>
      </c>
      <c r="N1125" s="1" t="inlineStr">
        <is>
          <t>Algorithms</t>
        </is>
      </c>
      <c r="O11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26" ht="15.75" customHeight="1" s="12">
      <c r="A1126" s="1" t="n">
        <v>2375</v>
      </c>
      <c r="B1126" s="3">
        <f>HYPERLINK("https://leetcode.com/problems/construct-smallest-number-from-di-string/", "Construct Smallest Number From DI String")</f>
        <v/>
      </c>
      <c r="C1126" s="1" t="n">
        <v>1648</v>
      </c>
      <c r="D1126" s="1" t="n">
        <v>87</v>
      </c>
      <c r="E1126" s="4">
        <f>IF(INDEX(C:C, ROW())+INDEX(D:D, ROW())=0, 0, INDEX(C:C, ROW())/(INDEX(C:C, ROW())+INDEX(D:D, ROW())))</f>
        <v/>
      </c>
      <c r="F1126" s="1" t="inlineStr">
        <is>
          <t>String, Backtracking, Stack, Greedy</t>
        </is>
      </c>
      <c r="G1126" s="1" t="inlineStr">
        <is>
          <t>Medium</t>
        </is>
      </c>
      <c r="H1126" s="1" t="n">
        <v>165739</v>
      </c>
      <c r="I1126" s="1" t="n">
        <v>193501</v>
      </c>
      <c r="J1126" s="9" t="n">
        <v>0.857</v>
      </c>
      <c r="K1126" s="1" t="inlineStr">
        <is>
          <t>Yes</t>
        </is>
      </c>
      <c r="L1126" s="1" t="inlineStr">
        <is>
          <t>Yes</t>
        </is>
      </c>
      <c r="M1126" s="1" t="inlineStr">
        <is>
          <t>No</t>
        </is>
      </c>
      <c r="N1126" s="1" t="inlineStr">
        <is>
          <t>Algorithms</t>
        </is>
      </c>
      <c r="O11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27" ht="15.75" customHeight="1" s="12">
      <c r="A1127" s="1" t="n">
        <v>440</v>
      </c>
      <c r="B1127" s="3">
        <f>HYPERLINK("https://leetcode.com/problems/k-th-smallest-in-lexicographical-order/", "K-th Smallest in Lexicographical Order")</f>
        <v/>
      </c>
      <c r="C1127" s="1" t="n">
        <v>1640</v>
      </c>
      <c r="D1127" s="1" t="n">
        <v>147</v>
      </c>
      <c r="E1127" s="4">
        <f>IF(INDEX(C:C, ROW())+INDEX(D:D, ROW())=0, 0, INDEX(C:C, ROW())/(INDEX(C:C, ROW())+INDEX(D:D, ROW())))</f>
        <v/>
      </c>
      <c r="F1127" s="1" t="inlineStr">
        <is>
          <t>Trie</t>
        </is>
      </c>
      <c r="G1127" s="1" t="inlineStr">
        <is>
          <t>Hard</t>
        </is>
      </c>
      <c r="H1127" s="1" t="n">
        <v>166985</v>
      </c>
      <c r="I1127" s="1" t="n">
        <v>361925</v>
      </c>
      <c r="J1127" s="9" t="n">
        <v>0.461</v>
      </c>
      <c r="K1127" s="1" t="inlineStr">
        <is>
          <t>Yes</t>
        </is>
      </c>
      <c r="L1127" s="1" t="inlineStr">
        <is>
          <t>Yes</t>
        </is>
      </c>
      <c r="M1127" s="1" t="inlineStr">
        <is>
          <t>No</t>
        </is>
      </c>
      <c r="N1127" s="1" t="inlineStr">
        <is>
          <t>Algorithms</t>
        </is>
      </c>
      <c r="O11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28" ht="15.75" customHeight="1" s="12">
      <c r="A1128" s="1" t="n">
        <v>1411</v>
      </c>
      <c r="B1128" s="3">
        <f>HYPERLINK("https://leetcode.com/problems/number-of-ways-to-paint-n-3-grid/", "Number of Ways to Paint N × 3 Grid")</f>
        <v/>
      </c>
      <c r="C1128" s="1" t="n">
        <v>1638</v>
      </c>
      <c r="D1128" s="1" t="n">
        <v>90</v>
      </c>
      <c r="E1128" s="4">
        <f>IF(INDEX(C:C, ROW())+INDEX(D:D, ROW())=0, 0, INDEX(C:C, ROW())/(INDEX(C:C, ROW())+INDEX(D:D, ROW())))</f>
        <v/>
      </c>
      <c r="F1128" s="1" t="inlineStr">
        <is>
          <t>Dynamic Programming</t>
        </is>
      </c>
      <c r="G1128" s="1" t="inlineStr">
        <is>
          <t>Hard</t>
        </is>
      </c>
      <c r="H1128" s="1" t="n">
        <v>130535</v>
      </c>
      <c r="I1128" s="1" t="n">
        <v>162248</v>
      </c>
      <c r="J1128" s="9" t="n">
        <v>0.805</v>
      </c>
      <c r="K1128" s="1" t="inlineStr">
        <is>
          <t>Yes</t>
        </is>
      </c>
      <c r="L1128" s="1" t="inlineStr">
        <is>
          <t>No</t>
        </is>
      </c>
      <c r="M1128" s="1" t="inlineStr">
        <is>
          <t>No</t>
        </is>
      </c>
      <c r="N1128" s="1" t="inlineStr">
        <is>
          <t>Algorithms</t>
        </is>
      </c>
      <c r="O11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29" ht="15.75" customHeight="1" s="12">
      <c r="A1129" s="1" t="n">
        <v>1510</v>
      </c>
      <c r="B1129" s="3">
        <f>HYPERLINK("https://leetcode.com/problems/stone-game-iv/", "Stone Game IV")</f>
        <v/>
      </c>
      <c r="C1129" s="1" t="n">
        <v>1638</v>
      </c>
      <c r="D1129" s="1" t="n">
        <v>76</v>
      </c>
      <c r="E1129" s="4">
        <f>IF(INDEX(C:C, ROW())+INDEX(D:D, ROW())=0, 0, INDEX(C:C, ROW())/(INDEX(C:C, ROW())+INDEX(D:D, ROW())))</f>
        <v/>
      </c>
      <c r="F1129" s="1" t="inlineStr">
        <is>
          <t>Math, Dynamic Programming, Game Theory</t>
        </is>
      </c>
      <c r="G1129" s="1" t="inlineStr">
        <is>
          <t>Hard</t>
        </is>
      </c>
      <c r="H1129" s="1" t="n">
        <v>82099</v>
      </c>
      <c r="I1129" s="1" t="n">
        <v>137915</v>
      </c>
      <c r="J1129" s="9" t="n">
        <v>0.595</v>
      </c>
      <c r="K1129" s="1" t="inlineStr">
        <is>
          <t>Yes</t>
        </is>
      </c>
      <c r="L1129" s="1" t="inlineStr">
        <is>
          <t>Yes</t>
        </is>
      </c>
      <c r="M1129" s="1" t="inlineStr">
        <is>
          <t>No</t>
        </is>
      </c>
      <c r="N1129" s="1" t="inlineStr">
        <is>
          <t>Algorithms</t>
        </is>
      </c>
      <c r="O11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30" ht="15.75" customHeight="1" s="12">
      <c r="A1130" s="1" t="n">
        <v>2108</v>
      </c>
      <c r="B1130" s="3">
        <f>HYPERLINK("https://leetcode.com/problems/find-first-palindromic-string-in-the-array/", "Find First Palindromic String in the Array")</f>
        <v/>
      </c>
      <c r="C1130" s="1" t="n">
        <v>1636</v>
      </c>
      <c r="D1130" s="1" t="n">
        <v>60</v>
      </c>
      <c r="E1130" s="4">
        <f>IF(INDEX(C:C, ROW())+INDEX(D:D, ROW())=0, 0, INDEX(C:C, ROW())/(INDEX(C:C, ROW())+INDEX(D:D, ROW())))</f>
        <v/>
      </c>
      <c r="F1130" s="1" t="inlineStr">
        <is>
          <t>Array, Two Pointers, String</t>
        </is>
      </c>
      <c r="G1130" s="1" t="inlineStr">
        <is>
          <t>Easy</t>
        </is>
      </c>
      <c r="H1130" s="1" t="n">
        <v>370301</v>
      </c>
      <c r="I1130" s="1" t="n">
        <v>441049</v>
      </c>
      <c r="J1130" s="9" t="n">
        <v>0.84</v>
      </c>
      <c r="K1130" s="1" t="inlineStr">
        <is>
          <t>Yes</t>
        </is>
      </c>
      <c r="L1130" s="1" t="inlineStr">
        <is>
          <t>Yes</t>
        </is>
      </c>
      <c r="M1130" s="1" t="inlineStr">
        <is>
          <t>No</t>
        </is>
      </c>
      <c r="N1130" s="1" t="inlineStr">
        <is>
          <t>Algorithms</t>
        </is>
      </c>
      <c r="O11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31" ht="15.75" customHeight="1" s="12">
      <c r="A1131" s="1" t="n">
        <v>2038</v>
      </c>
      <c r="B1131" s="3">
        <f>HYPERLINK("https://leetcode.com/problems/remove-colored-pieces-if-both-neighbors-are-the-same-color/", "Remove Colored Pieces if Both Neighbors are the Same Color")</f>
        <v/>
      </c>
      <c r="C1131" s="1" t="n">
        <v>1634</v>
      </c>
      <c r="D1131" s="1" t="n">
        <v>127</v>
      </c>
      <c r="E1131" s="4">
        <f>IF(INDEX(C:C, ROW())+INDEX(D:D, ROW())=0, 0, INDEX(C:C, ROW())/(INDEX(C:C, ROW())+INDEX(D:D, ROW())))</f>
        <v/>
      </c>
      <c r="F1131" s="1" t="inlineStr">
        <is>
          <t>Math, String, Greedy, Game Theory</t>
        </is>
      </c>
      <c r="G1131" s="1" t="inlineStr">
        <is>
          <t>Medium</t>
        </is>
      </c>
      <c r="H1131" s="1" t="n">
        <v>159791</v>
      </c>
      <c r="I1131" s="1" t="n">
        <v>253719</v>
      </c>
      <c r="J1131" s="9" t="n">
        <v>0.63</v>
      </c>
      <c r="K1131" s="1" t="inlineStr">
        <is>
          <t>Yes</t>
        </is>
      </c>
      <c r="L1131" s="1" t="inlineStr">
        <is>
          <t>Yes</t>
        </is>
      </c>
      <c r="M1131" s="1" t="inlineStr">
        <is>
          <t>No</t>
        </is>
      </c>
      <c r="N1131" s="1" t="inlineStr">
        <is>
          <t>Algorithms</t>
        </is>
      </c>
      <c r="O11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32" ht="15.75" customHeight="1" s="12">
      <c r="A1132" s="1" t="n">
        <v>276</v>
      </c>
      <c r="B1132" s="3">
        <f>HYPERLINK("https://leetcode.com/problems/paint-fence/", "Paint Fence")</f>
        <v/>
      </c>
      <c r="C1132" s="1" t="n">
        <v>1631</v>
      </c>
      <c r="D1132" s="1" t="n">
        <v>397</v>
      </c>
      <c r="E1132" s="4">
        <f>IF(INDEX(C:C, ROW())+INDEX(D:D, ROW())=0, 0, INDEX(C:C, ROW())/(INDEX(C:C, ROW())+INDEX(D:D, ROW())))</f>
        <v/>
      </c>
      <c r="F1132" s="1" t="inlineStr">
        <is>
          <t>Dynamic Programming</t>
        </is>
      </c>
      <c r="G1132" s="1" t="inlineStr">
        <is>
          <t>Medium</t>
        </is>
      </c>
      <c r="H1132" s="1" t="n">
        <v>127856</v>
      </c>
      <c r="I1132" s="1" t="n">
        <v>265386</v>
      </c>
      <c r="J1132" s="9" t="n">
        <v>0.482</v>
      </c>
      <c r="K1132" s="1" t="inlineStr">
        <is>
          <t>No</t>
        </is>
      </c>
      <c r="L1132" s="1" t="inlineStr">
        <is>
          <t>Yes</t>
        </is>
      </c>
      <c r="M1132" s="1" t="inlineStr">
        <is>
          <t>No</t>
        </is>
      </c>
      <c r="N1132" s="1" t="inlineStr">
        <is>
          <t>Algorithms</t>
        </is>
      </c>
      <c r="O11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33" ht="15.75" customHeight="1" s="12">
      <c r="A1133" s="1" t="n">
        <v>259</v>
      </c>
      <c r="B1133" s="3">
        <f>HYPERLINK("https://leetcode.com/problems/3sum-smaller/", "3Sum Smaller")</f>
        <v/>
      </c>
      <c r="C1133" s="1" t="n">
        <v>1626</v>
      </c>
      <c r="D1133" s="1" t="n">
        <v>169</v>
      </c>
      <c r="E1133" s="4">
        <f>IF(INDEX(C:C, ROW())+INDEX(D:D, ROW())=0, 0, INDEX(C:C, ROW())/(INDEX(C:C, ROW())+INDEX(D:D, ROW())))</f>
        <v/>
      </c>
      <c r="F1133" s="1" t="inlineStr">
        <is>
          <t>Array, Two Pointers, Binary Search, Sorting</t>
        </is>
      </c>
      <c r="G1133" s="1" t="inlineStr">
        <is>
          <t>Medium</t>
        </is>
      </c>
      <c r="H1133" s="1" t="n">
        <v>172796</v>
      </c>
      <c r="I1133" s="1" t="n">
        <v>336929</v>
      </c>
      <c r="J1133" s="9" t="n">
        <v>0.513</v>
      </c>
      <c r="K1133" s="1" t="inlineStr">
        <is>
          <t>No</t>
        </is>
      </c>
      <c r="L1133" s="1" t="inlineStr">
        <is>
          <t>Yes</t>
        </is>
      </c>
      <c r="M1133" s="1" t="inlineStr">
        <is>
          <t>No</t>
        </is>
      </c>
      <c r="N1133" s="1" t="inlineStr">
        <is>
          <t>Algorithms</t>
        </is>
      </c>
      <c r="O11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34" ht="15.75" customHeight="1" s="12">
      <c r="A1134" s="1" t="n">
        <v>2391</v>
      </c>
      <c r="B1134" s="3">
        <f>HYPERLINK("https://leetcode.com/problems/minimum-amount-of-time-to-collect-garbage/", "Minimum Amount of Time to Collect Garbage")</f>
        <v/>
      </c>
      <c r="C1134" s="1" t="n">
        <v>1625</v>
      </c>
      <c r="D1134" s="1" t="n">
        <v>244</v>
      </c>
      <c r="E1134" s="4">
        <f>IF(INDEX(C:C, ROW())+INDEX(D:D, ROW())=0, 0, INDEX(C:C, ROW())/(INDEX(C:C, ROW())+INDEX(D:D, ROW())))</f>
        <v/>
      </c>
      <c r="F1134" s="1" t="inlineStr">
        <is>
          <t>Array, String, Prefix Sum</t>
        </is>
      </c>
      <c r="G1134" s="1" t="inlineStr">
        <is>
          <t>Medium</t>
        </is>
      </c>
      <c r="H1134" s="1" t="n">
        <v>152105</v>
      </c>
      <c r="I1134" s="1" t="n">
        <v>178704</v>
      </c>
      <c r="J1134" s="9" t="n">
        <v>0.851</v>
      </c>
      <c r="K1134" s="1" t="inlineStr">
        <is>
          <t>Yes</t>
        </is>
      </c>
      <c r="L1134" s="1" t="inlineStr">
        <is>
          <t>Yes</t>
        </is>
      </c>
      <c r="M1134" s="1" t="inlineStr">
        <is>
          <t>No</t>
        </is>
      </c>
      <c r="N1134" s="1" t="inlineStr">
        <is>
          <t>Algorithms</t>
        </is>
      </c>
      <c r="O11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35" ht="15.75" customHeight="1" s="12">
      <c r="A1135" s="1" t="n">
        <v>638</v>
      </c>
      <c r="B1135" s="3">
        <f>HYPERLINK("https://leetcode.com/problems/shopping-offers/", "Shopping Offers")</f>
        <v/>
      </c>
      <c r="C1135" s="1" t="n">
        <v>1621</v>
      </c>
      <c r="D1135" s="1" t="n">
        <v>789</v>
      </c>
      <c r="E1135" s="4">
        <f>IF(INDEX(C:C, ROW())+INDEX(D:D, ROW())=0, 0, INDEX(C:C, ROW())/(INDEX(C:C, ROW())+INDEX(D:D, ROW())))</f>
        <v/>
      </c>
      <c r="F1135" s="1" t="inlineStr">
        <is>
          <t>Array, Dynamic Programming, Backtracking, Bit Manipulation, Memoization, Bitmask DP</t>
        </is>
      </c>
      <c r="G1135" s="1" t="inlineStr">
        <is>
          <t>Medium</t>
        </is>
      </c>
      <c r="H1135" s="1" t="n">
        <v>78361</v>
      </c>
      <c r="I1135" s="1" t="n">
        <v>150092</v>
      </c>
      <c r="J1135" s="9" t="n">
        <v>0.522</v>
      </c>
      <c r="K1135" s="1" t="inlineStr">
        <is>
          <t>Yes</t>
        </is>
      </c>
      <c r="L1135" s="1" t="inlineStr">
        <is>
          <t>Yes</t>
        </is>
      </c>
      <c r="M1135" s="1" t="inlineStr">
        <is>
          <t>No</t>
        </is>
      </c>
      <c r="N1135" s="1" t="inlineStr">
        <is>
          <t>Algorithms</t>
        </is>
      </c>
      <c r="O11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36" ht="15.75" customHeight="1" s="12">
      <c r="A1136" s="1" t="n">
        <v>843</v>
      </c>
      <c r="B1136" s="3">
        <f>HYPERLINK("https://leetcode.com/problems/guess-the-word/", "Guess the Word")</f>
        <v/>
      </c>
      <c r="C1136" s="1" t="n">
        <v>1620</v>
      </c>
      <c r="D1136" s="1" t="n">
        <v>1864</v>
      </c>
      <c r="E1136" s="4">
        <f>IF(INDEX(C:C, ROW())+INDEX(D:D, ROW())=0, 0, INDEX(C:C, ROW())/(INDEX(C:C, ROW())+INDEX(D:D, ROW())))</f>
        <v/>
      </c>
      <c r="F1136" s="1" t="inlineStr">
        <is>
          <t>Array, Math, String, Interactive, Game Theory</t>
        </is>
      </c>
      <c r="G1136" s="1" t="inlineStr">
        <is>
          <t>Hard</t>
        </is>
      </c>
      <c r="H1136" s="1" t="n">
        <v>166271</v>
      </c>
      <c r="I1136" s="1" t="n">
        <v>449302</v>
      </c>
      <c r="J1136" s="9" t="n">
        <v>0.37</v>
      </c>
      <c r="K1136" s="1" t="inlineStr">
        <is>
          <t>Yes</t>
        </is>
      </c>
      <c r="L1136" s="1" t="inlineStr">
        <is>
          <t>No</t>
        </is>
      </c>
      <c r="M1136" s="1" t="inlineStr">
        <is>
          <t>No</t>
        </is>
      </c>
      <c r="N1136" s="1" t="inlineStr">
        <is>
          <t>Algorithms</t>
        </is>
      </c>
      <c r="O11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37" ht="15.75" customHeight="1" s="12">
      <c r="A1137" s="1" t="n">
        <v>1861</v>
      </c>
      <c r="B1137" s="3">
        <f>HYPERLINK("https://leetcode.com/problems/rotating-the-box/", "Rotating the Box")</f>
        <v/>
      </c>
      <c r="C1137" s="1" t="n">
        <v>1620</v>
      </c>
      <c r="D1137" s="1" t="n">
        <v>82</v>
      </c>
      <c r="E1137" s="4">
        <f>IF(INDEX(C:C, ROW())+INDEX(D:D, ROW())=0, 0, INDEX(C:C, ROW())/(INDEX(C:C, ROW())+INDEX(D:D, ROW())))</f>
        <v/>
      </c>
      <c r="F1137" s="1" t="inlineStr">
        <is>
          <t>Array, Two Pointers, Matrix</t>
        </is>
      </c>
      <c r="G1137" s="1" t="inlineStr">
        <is>
          <t>Medium</t>
        </is>
      </c>
      <c r="H1137" s="1" t="n">
        <v>167271</v>
      </c>
      <c r="I1137" s="1" t="n">
        <v>211137</v>
      </c>
      <c r="J1137" s="9" t="n">
        <v>0.792</v>
      </c>
      <c r="K1137" s="1" t="inlineStr">
        <is>
          <t>Yes</t>
        </is>
      </c>
      <c r="L1137" s="1" t="inlineStr">
        <is>
          <t>Yes</t>
        </is>
      </c>
      <c r="M1137" s="1" t="inlineStr">
        <is>
          <t>No</t>
        </is>
      </c>
      <c r="N1137" s="1" t="inlineStr">
        <is>
          <t>Algorithms</t>
        </is>
      </c>
      <c r="O11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38" ht="15.75" customHeight="1" s="12">
      <c r="A1138" s="1" t="n">
        <v>1275</v>
      </c>
      <c r="B1138" s="3">
        <f>HYPERLINK("https://leetcode.com/problems/find-winner-on-a-tic-tac-toe-game/", "Find Winner on a Tic Tac Toe Game")</f>
        <v/>
      </c>
      <c r="C1138" s="1" t="n">
        <v>1618</v>
      </c>
      <c r="D1138" s="1" t="n">
        <v>367</v>
      </c>
      <c r="E1138" s="4">
        <f>IF(INDEX(C:C, ROW())+INDEX(D:D, ROW())=0, 0, INDEX(C:C, ROW())/(INDEX(C:C, ROW())+INDEX(D:D, ROW())))</f>
        <v/>
      </c>
      <c r="F1138" s="1" t="inlineStr">
        <is>
          <t>Array, Hash Table, Matrix, Simulation</t>
        </is>
      </c>
      <c r="G1138" s="1" t="inlineStr">
        <is>
          <t>Easy</t>
        </is>
      </c>
      <c r="H1138" s="1" t="n">
        <v>164722</v>
      </c>
      <c r="I1138" s="1" t="n">
        <v>302709</v>
      </c>
      <c r="J1138" s="9" t="n">
        <v>0.544</v>
      </c>
      <c r="K1138" s="1" t="inlineStr">
        <is>
          <t>Yes</t>
        </is>
      </c>
      <c r="L1138" s="1" t="inlineStr">
        <is>
          <t>Yes</t>
        </is>
      </c>
      <c r="M1138" s="1" t="inlineStr">
        <is>
          <t>No</t>
        </is>
      </c>
      <c r="N1138" s="1" t="inlineStr">
        <is>
          <t>Algorithms</t>
        </is>
      </c>
      <c r="O11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39" ht="15.75" customHeight="1" s="12">
      <c r="A1139" s="1" t="n">
        <v>1015</v>
      </c>
      <c r="B1139" s="3">
        <f>HYPERLINK("https://leetcode.com/problems/smallest-integer-divisible-by-k/", "Smallest Integer Divisible by K")</f>
        <v/>
      </c>
      <c r="C1139" s="1" t="n">
        <v>1617</v>
      </c>
      <c r="D1139" s="1" t="n">
        <v>1161</v>
      </c>
      <c r="E1139" s="4">
        <f>IF(INDEX(C:C, ROW())+INDEX(D:D, ROW())=0, 0, INDEX(C:C, ROW())/(INDEX(C:C, ROW())+INDEX(D:D, ROW())))</f>
        <v/>
      </c>
      <c r="F1139" s="1" t="inlineStr">
        <is>
          <t>Hash Table, Math</t>
        </is>
      </c>
      <c r="G1139" s="1" t="inlineStr">
        <is>
          <t>Medium</t>
        </is>
      </c>
      <c r="H1139" s="1" t="n">
        <v>178296</v>
      </c>
      <c r="I1139" s="1" t="n">
        <v>327637</v>
      </c>
      <c r="J1139" s="9" t="n">
        <v>0.544</v>
      </c>
      <c r="K1139" s="1" t="inlineStr">
        <is>
          <t>Yes</t>
        </is>
      </c>
      <c r="L1139" s="1" t="inlineStr">
        <is>
          <t>Yes</t>
        </is>
      </c>
      <c r="M1139" s="1" t="inlineStr">
        <is>
          <t>No</t>
        </is>
      </c>
      <c r="N1139" s="1" t="inlineStr">
        <is>
          <t>Algorithms</t>
        </is>
      </c>
      <c r="O11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40" ht="15.75" customHeight="1" s="12">
      <c r="A1140" s="1" t="n">
        <v>1535</v>
      </c>
      <c r="B1140" s="3">
        <f>HYPERLINK("https://leetcode.com/problems/find-the-winner-of-an-array-game/", "Find the Winner of an Array Game")</f>
        <v/>
      </c>
      <c r="C1140" s="1" t="n">
        <v>1617</v>
      </c>
      <c r="D1140" s="1" t="n">
        <v>88</v>
      </c>
      <c r="E1140" s="4">
        <f>IF(INDEX(C:C, ROW())+INDEX(D:D, ROW())=0, 0, INDEX(C:C, ROW())/(INDEX(C:C, ROW())+INDEX(D:D, ROW())))</f>
        <v/>
      </c>
      <c r="F1140" s="1" t="inlineStr">
        <is>
          <t>Array, Simulation</t>
        </is>
      </c>
      <c r="G1140" s="1" t="inlineStr">
        <is>
          <t>Medium</t>
        </is>
      </c>
      <c r="H1140" s="1" t="n">
        <v>124841</v>
      </c>
      <c r="I1140" s="1" t="n">
        <v>219754</v>
      </c>
      <c r="J1140" s="9" t="n">
        <v>0.5679999999999999</v>
      </c>
      <c r="K1140" s="1" t="inlineStr">
        <is>
          <t>Yes</t>
        </is>
      </c>
      <c r="L1140" s="1" t="inlineStr">
        <is>
          <t>Yes</t>
        </is>
      </c>
      <c r="M1140" s="1" t="inlineStr">
        <is>
          <t>No</t>
        </is>
      </c>
      <c r="N1140" s="1" t="inlineStr">
        <is>
          <t>Algorithms</t>
        </is>
      </c>
      <c r="O11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41" ht="15.75" customHeight="1" s="12">
      <c r="A1141" s="1" t="n">
        <v>600</v>
      </c>
      <c r="B1141" s="3">
        <f>HYPERLINK("https://leetcode.com/problems/non-negative-integers-without-consecutive-ones/", "Non-negative Integers without Consecutive Ones")</f>
        <v/>
      </c>
      <c r="C1141" s="1" t="n">
        <v>1613</v>
      </c>
      <c r="D1141" s="1" t="n">
        <v>137</v>
      </c>
      <c r="E1141" s="4">
        <f>IF(INDEX(C:C, ROW())+INDEX(D:D, ROW())=0, 0, INDEX(C:C, ROW())/(INDEX(C:C, ROW())+INDEX(D:D, ROW())))</f>
        <v/>
      </c>
      <c r="F1141" s="1" t="inlineStr">
        <is>
          <t>Dynamic Programming</t>
        </is>
      </c>
      <c r="G1141" s="1" t="inlineStr">
        <is>
          <t>Hard</t>
        </is>
      </c>
      <c r="H1141" s="1" t="n">
        <v>49636</v>
      </c>
      <c r="I1141" s="1" t="n">
        <v>119465</v>
      </c>
      <c r="J1141" s="9" t="n">
        <v>0.415</v>
      </c>
      <c r="K1141" s="1" t="inlineStr">
        <is>
          <t>Yes</t>
        </is>
      </c>
      <c r="L1141" s="1" t="inlineStr">
        <is>
          <t>Yes</t>
        </is>
      </c>
      <c r="M1141" s="1" t="inlineStr">
        <is>
          <t>No</t>
        </is>
      </c>
      <c r="N1141" s="1" t="inlineStr">
        <is>
          <t>Algorithms</t>
        </is>
      </c>
      <c r="O11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42" ht="15.75" customHeight="1" s="12">
      <c r="A1142" s="1" t="n">
        <v>1394</v>
      </c>
      <c r="B1142" s="3">
        <f>HYPERLINK("https://leetcode.com/problems/find-lucky-integer-in-an-array/", "Find Lucky Integer in an Array")</f>
        <v/>
      </c>
      <c r="C1142" s="1" t="n">
        <v>1609</v>
      </c>
      <c r="D1142" s="1" t="n">
        <v>45</v>
      </c>
      <c r="E1142" s="4">
        <f>IF(INDEX(C:C, ROW())+INDEX(D:D, ROW())=0, 0, INDEX(C:C, ROW())/(INDEX(C:C, ROW())+INDEX(D:D, ROW())))</f>
        <v/>
      </c>
      <c r="F1142" s="1" t="inlineStr">
        <is>
          <t>Array, Hash Table, Counting</t>
        </is>
      </c>
      <c r="G1142" s="1" t="inlineStr">
        <is>
          <t>Easy</t>
        </is>
      </c>
      <c r="H1142" s="1" t="n">
        <v>327384</v>
      </c>
      <c r="I1142" s="1" t="n">
        <v>433901</v>
      </c>
      <c r="J1142" s="9" t="n">
        <v>0.755</v>
      </c>
      <c r="K1142" s="1" t="inlineStr">
        <is>
          <t>Yes</t>
        </is>
      </c>
      <c r="L1142" s="1" t="inlineStr">
        <is>
          <t>Yes</t>
        </is>
      </c>
      <c r="M1142" s="1" t="inlineStr">
        <is>
          <t>No</t>
        </is>
      </c>
      <c r="N1142" s="1" t="inlineStr">
        <is>
          <t>Algorithms</t>
        </is>
      </c>
      <c r="O11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43" ht="15.75" customHeight="1" s="12">
      <c r="A1143" s="1" t="n">
        <v>2667</v>
      </c>
      <c r="B1143" s="3">
        <f>HYPERLINK("https://leetcode.com/problems/create-hello-world-function/", "Create Hello World Function")</f>
        <v/>
      </c>
      <c r="C1143" s="1" t="n">
        <v>1608</v>
      </c>
      <c r="D1143" s="1" t="n">
        <v>224</v>
      </c>
      <c r="E1143" s="4">
        <f>IF(INDEX(C:C, ROW())+INDEX(D:D, ROW())=0, 0, INDEX(C:C, ROW())/(INDEX(C:C, ROW())+INDEX(D:D, ROW())))</f>
        <v/>
      </c>
      <c r="F1143" s="2" t="n"/>
      <c r="G1143" s="1" t="inlineStr">
        <is>
          <t>Easy</t>
        </is>
      </c>
      <c r="H1143" s="1" t="n">
        <v>801080</v>
      </c>
      <c r="I1143" s="1" t="n">
        <v>977152</v>
      </c>
      <c r="J1143" s="9" t="n">
        <v>0.82</v>
      </c>
      <c r="K1143" s="1" t="inlineStr">
        <is>
          <t>Yes</t>
        </is>
      </c>
      <c r="L1143" s="1" t="inlineStr">
        <is>
          <t>Yes</t>
        </is>
      </c>
      <c r="M1143" s="1" t="inlineStr">
        <is>
          <t>No</t>
        </is>
      </c>
      <c r="N1143" s="1" t="inlineStr">
        <is>
          <t>JavaScript</t>
        </is>
      </c>
      <c r="O11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44" ht="15.75" customHeight="1" s="12">
      <c r="A1144" s="1" t="n">
        <v>1975</v>
      </c>
      <c r="B1144" s="3">
        <f>HYPERLINK("https://leetcode.com/problems/maximum-matrix-sum/", "Maximum Matrix Sum")</f>
        <v/>
      </c>
      <c r="C1144" s="1" t="n">
        <v>1605</v>
      </c>
      <c r="D1144" s="1" t="n">
        <v>74</v>
      </c>
      <c r="E1144" s="4">
        <f>IF(INDEX(C:C, ROW())+INDEX(D:D, ROW())=0, 0, INDEX(C:C, ROW())/(INDEX(C:C, ROW())+INDEX(D:D, ROW())))</f>
        <v/>
      </c>
      <c r="F1144" s="1" t="inlineStr">
        <is>
          <t>Array, Greedy, Matrix</t>
        </is>
      </c>
      <c r="G1144" s="1" t="inlineStr">
        <is>
          <t>Medium</t>
        </is>
      </c>
      <c r="H1144" s="1" t="n">
        <v>230810</v>
      </c>
      <c r="I1144" s="1" t="n">
        <v>341427</v>
      </c>
      <c r="J1144" s="9" t="n">
        <v>0.676</v>
      </c>
      <c r="K1144" s="1" t="inlineStr">
        <is>
          <t>Yes</t>
        </is>
      </c>
      <c r="L1144" s="1" t="inlineStr">
        <is>
          <t>Yes</t>
        </is>
      </c>
      <c r="M1144" s="1" t="inlineStr">
        <is>
          <t>No</t>
        </is>
      </c>
      <c r="N1144" s="1" t="inlineStr">
        <is>
          <t>Algorithms</t>
        </is>
      </c>
      <c r="O11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45" ht="15.75" customHeight="1" s="12">
      <c r="A1145" s="1" t="n">
        <v>1309</v>
      </c>
      <c r="B1145" s="3">
        <f>HYPERLINK("https://leetcode.com/problems/decrypt-string-from-alphabet-to-integer-mapping/", "Decrypt String from Alphabet to Integer Mapping")</f>
        <v/>
      </c>
      <c r="C1145" s="1" t="n">
        <v>1601</v>
      </c>
      <c r="D1145" s="1" t="n">
        <v>120</v>
      </c>
      <c r="E1145" s="4">
        <f>IF(INDEX(C:C, ROW())+INDEX(D:D, ROW())=0, 0, INDEX(C:C, ROW())/(INDEX(C:C, ROW())+INDEX(D:D, ROW())))</f>
        <v/>
      </c>
      <c r="F1145" s="1" t="inlineStr">
        <is>
          <t>String</t>
        </is>
      </c>
      <c r="G1145" s="1" t="inlineStr">
        <is>
          <t>Easy</t>
        </is>
      </c>
      <c r="H1145" s="1" t="n">
        <v>146488</v>
      </c>
      <c r="I1145" s="1" t="n">
        <v>182009</v>
      </c>
      <c r="J1145" s="9" t="n">
        <v>0.805</v>
      </c>
      <c r="K1145" s="1" t="inlineStr">
        <is>
          <t>Yes</t>
        </is>
      </c>
      <c r="L1145" s="1" t="inlineStr">
        <is>
          <t>No</t>
        </is>
      </c>
      <c r="M1145" s="1" t="inlineStr">
        <is>
          <t>No</t>
        </is>
      </c>
      <c r="N1145" s="1" t="inlineStr">
        <is>
          <t>Algorithms</t>
        </is>
      </c>
      <c r="O11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46" ht="15.75" customHeight="1" s="12">
      <c r="A1146" s="1" t="n">
        <v>487</v>
      </c>
      <c r="B1146" s="3">
        <f>HYPERLINK("https://leetcode.com/problems/max-consecutive-ones-ii/", "Max Consecutive Ones II")</f>
        <v/>
      </c>
      <c r="C1146" s="1" t="n">
        <v>1599</v>
      </c>
      <c r="D1146" s="1" t="n">
        <v>27</v>
      </c>
      <c r="E1146" s="4">
        <f>IF(INDEX(C:C, ROW())+INDEX(D:D, ROW())=0, 0, INDEX(C:C, ROW())/(INDEX(C:C, ROW())+INDEX(D:D, ROW())))</f>
        <v/>
      </c>
      <c r="F1146" s="1" t="inlineStr">
        <is>
          <t>Array, Dynamic Programming, Sliding Window</t>
        </is>
      </c>
      <c r="G1146" s="1" t="inlineStr">
        <is>
          <t>Medium</t>
        </is>
      </c>
      <c r="H1146" s="1" t="n">
        <v>180536</v>
      </c>
      <c r="I1146" s="1" t="n">
        <v>348056</v>
      </c>
      <c r="J1146" s="9" t="n">
        <v>0.519</v>
      </c>
      <c r="K1146" s="1" t="inlineStr">
        <is>
          <t>No</t>
        </is>
      </c>
      <c r="L1146" s="1" t="inlineStr">
        <is>
          <t>Yes</t>
        </is>
      </c>
      <c r="M1146" s="1" t="inlineStr">
        <is>
          <t>No</t>
        </is>
      </c>
      <c r="N1146" s="1" t="inlineStr">
        <is>
          <t>Algorithms</t>
        </is>
      </c>
      <c r="O11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47" ht="15.75" customHeight="1" s="12">
      <c r="A1147" s="1" t="n">
        <v>1269</v>
      </c>
      <c r="B1147" s="3">
        <f>HYPERLINK("https://leetcode.com/problems/number-of-ways-to-stay-in-the-same-place-after-some-steps/", "Number of Ways to Stay in the Same Place After Some Steps")</f>
        <v/>
      </c>
      <c r="C1147" s="1" t="n">
        <v>1597</v>
      </c>
      <c r="D1147" s="1" t="n">
        <v>67</v>
      </c>
      <c r="E1147" s="4">
        <f>IF(INDEX(C:C, ROW())+INDEX(D:D, ROW())=0, 0, INDEX(C:C, ROW())/(INDEX(C:C, ROW())+INDEX(D:D, ROW())))</f>
        <v/>
      </c>
      <c r="F1147" s="1" t="inlineStr">
        <is>
          <t>Dynamic Programming</t>
        </is>
      </c>
      <c r="G1147" s="1" t="inlineStr">
        <is>
          <t>Hard</t>
        </is>
      </c>
      <c r="H1147" s="1" t="n">
        <v>101455</v>
      </c>
      <c r="I1147" s="1" t="n">
        <v>202987</v>
      </c>
      <c r="J1147" s="9" t="n">
        <v>0.5</v>
      </c>
      <c r="K1147" s="1" t="inlineStr">
        <is>
          <t>Yes</t>
        </is>
      </c>
      <c r="L1147" s="1" t="inlineStr">
        <is>
          <t>Yes</t>
        </is>
      </c>
      <c r="M1147" s="1" t="inlineStr">
        <is>
          <t>No</t>
        </is>
      </c>
      <c r="N1147" s="1" t="inlineStr">
        <is>
          <t>Algorithms</t>
        </is>
      </c>
      <c r="O11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48" ht="15.75" customHeight="1" s="12">
      <c r="A1148" s="1" t="n">
        <v>1508</v>
      </c>
      <c r="B1148" s="3">
        <f>HYPERLINK("https://leetcode.com/problems/range-sum-of-sorted-subarray-sums/", "Range Sum of Sorted Subarray Sums")</f>
        <v/>
      </c>
      <c r="C1148" s="1" t="n">
        <v>1596</v>
      </c>
      <c r="D1148" s="1" t="n">
        <v>268</v>
      </c>
      <c r="E1148" s="4">
        <f>IF(INDEX(C:C, ROW())+INDEX(D:D, ROW())=0, 0, INDEX(C:C, ROW())/(INDEX(C:C, ROW())+INDEX(D:D, ROW())))</f>
        <v/>
      </c>
      <c r="F1148" s="1" t="inlineStr">
        <is>
          <t>Array, Two Pointers, Binary Search, Sorting, Prefix Sum</t>
        </is>
      </c>
      <c r="G1148" s="1" t="inlineStr">
        <is>
          <t>Medium</t>
        </is>
      </c>
      <c r="H1148" s="1" t="n">
        <v>184668</v>
      </c>
      <c r="I1148" s="1" t="n">
        <v>292693</v>
      </c>
      <c r="J1148" s="9" t="n">
        <v>0.631</v>
      </c>
      <c r="K1148" s="1" t="inlineStr">
        <is>
          <t>Yes</t>
        </is>
      </c>
      <c r="L1148" s="1" t="inlineStr">
        <is>
          <t>Yes</t>
        </is>
      </c>
      <c r="M1148" s="1" t="inlineStr">
        <is>
          <t>No</t>
        </is>
      </c>
      <c r="N1148" s="1" t="inlineStr">
        <is>
          <t>Algorithms</t>
        </is>
      </c>
      <c r="O11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49" ht="15.75" customHeight="1" s="12">
      <c r="A1149" s="1" t="n">
        <v>811</v>
      </c>
      <c r="B1149" s="3">
        <f>HYPERLINK("https://leetcode.com/problems/subdomain-visit-count/", "Subdomain Visit Count")</f>
        <v/>
      </c>
      <c r="C1149" s="1" t="n">
        <v>1594</v>
      </c>
      <c r="D1149" s="1" t="n">
        <v>1307</v>
      </c>
      <c r="E1149" s="4">
        <f>IF(INDEX(C:C, ROW())+INDEX(D:D, ROW())=0, 0, INDEX(C:C, ROW())/(INDEX(C:C, ROW())+INDEX(D:D, ROW())))</f>
        <v/>
      </c>
      <c r="F1149" s="1" t="inlineStr">
        <is>
          <t>Array, Hash Table, String, Counting</t>
        </is>
      </c>
      <c r="G1149" s="1" t="inlineStr">
        <is>
          <t>Medium</t>
        </is>
      </c>
      <c r="H1149" s="1" t="n">
        <v>258368</v>
      </c>
      <c r="I1149" s="1" t="n">
        <v>335096</v>
      </c>
      <c r="J1149" s="9" t="n">
        <v>0.771</v>
      </c>
      <c r="K1149" s="1" t="inlineStr">
        <is>
          <t>Yes</t>
        </is>
      </c>
      <c r="L1149" s="1" t="inlineStr">
        <is>
          <t>Yes</t>
        </is>
      </c>
      <c r="M1149" s="1" t="inlineStr">
        <is>
          <t>No</t>
        </is>
      </c>
      <c r="N1149" s="1" t="inlineStr">
        <is>
          <t>Algorithms</t>
        </is>
      </c>
      <c r="O11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50" ht="15.75" customHeight="1" s="12">
      <c r="A1150" s="1" t="n">
        <v>969</v>
      </c>
      <c r="B1150" s="3">
        <f>HYPERLINK("https://leetcode.com/problems/pancake-sorting/", "Pancake Sorting")</f>
        <v/>
      </c>
      <c r="C1150" s="1" t="n">
        <v>1592</v>
      </c>
      <c r="D1150" s="1" t="n">
        <v>1560</v>
      </c>
      <c r="E1150" s="4">
        <f>IF(INDEX(C:C, ROW())+INDEX(D:D, ROW())=0, 0, INDEX(C:C, ROW())/(INDEX(C:C, ROW())+INDEX(D:D, ROW())))</f>
        <v/>
      </c>
      <c r="F1150" s="1" t="inlineStr">
        <is>
          <t>Array, Two Pointers, Greedy, Sorting</t>
        </is>
      </c>
      <c r="G1150" s="1" t="inlineStr">
        <is>
          <t>Medium</t>
        </is>
      </c>
      <c r="H1150" s="1" t="n">
        <v>111662</v>
      </c>
      <c r="I1150" s="1" t="n">
        <v>155958</v>
      </c>
      <c r="J1150" s="9" t="n">
        <v>0.716</v>
      </c>
      <c r="K1150" s="1" t="inlineStr">
        <is>
          <t>Yes</t>
        </is>
      </c>
      <c r="L1150" s="1" t="inlineStr">
        <is>
          <t>Yes</t>
        </is>
      </c>
      <c r="M1150" s="1" t="inlineStr">
        <is>
          <t>No</t>
        </is>
      </c>
      <c r="N1150" s="1" t="inlineStr">
        <is>
          <t>Algorithms</t>
        </is>
      </c>
      <c r="O11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51" ht="15.75" customHeight="1" s="12">
      <c r="A1151" s="1" t="n">
        <v>2302</v>
      </c>
      <c r="B1151" s="3">
        <f>HYPERLINK("https://leetcode.com/problems/count-subarrays-with-score-less-than-k/", "Count Subarrays With Score Less Than K")</f>
        <v/>
      </c>
      <c r="C1151" s="1" t="n">
        <v>1591</v>
      </c>
      <c r="D1151" s="1" t="n">
        <v>61</v>
      </c>
      <c r="E1151" s="4">
        <f>IF(INDEX(C:C, ROW())+INDEX(D:D, ROW())=0, 0, INDEX(C:C, ROW())/(INDEX(C:C, ROW())+INDEX(D:D, ROW())))</f>
        <v/>
      </c>
      <c r="F1151" s="1" t="inlineStr">
        <is>
          <t>Array, Binary Search, Sliding Window, Prefix Sum</t>
        </is>
      </c>
      <c r="G1151" s="1" t="inlineStr">
        <is>
          <t>Hard</t>
        </is>
      </c>
      <c r="H1151" s="1" t="n">
        <v>142178</v>
      </c>
      <c r="I1151" s="1" t="n">
        <v>228154</v>
      </c>
      <c r="J1151" s="9" t="n">
        <v>0.623</v>
      </c>
      <c r="K1151" s="1" t="inlineStr">
        <is>
          <t>Yes</t>
        </is>
      </c>
      <c r="L1151" s="1" t="inlineStr">
        <is>
          <t>Yes</t>
        </is>
      </c>
      <c r="M1151" s="1" t="inlineStr">
        <is>
          <t>No</t>
        </is>
      </c>
      <c r="N1151" s="1" t="inlineStr">
        <is>
          <t>Algorithms</t>
        </is>
      </c>
      <c r="O11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52" ht="15.75" customHeight="1" s="12">
      <c r="A1152" s="1" t="n">
        <v>2620</v>
      </c>
      <c r="B1152" s="3">
        <f>HYPERLINK("https://leetcode.com/problems/counter/", "Counter")</f>
        <v/>
      </c>
      <c r="C1152" s="1" t="n">
        <v>1589</v>
      </c>
      <c r="D1152" s="1" t="n">
        <v>127</v>
      </c>
      <c r="E1152" s="4">
        <f>IF(INDEX(C:C, ROW())+INDEX(D:D, ROW())=0, 0, INDEX(C:C, ROW())/(INDEX(C:C, ROW())+INDEX(D:D, ROW())))</f>
        <v/>
      </c>
      <c r="F1152" s="2" t="n"/>
      <c r="G1152" s="1" t="inlineStr">
        <is>
          <t>Easy</t>
        </is>
      </c>
      <c r="H1152" s="1" t="n">
        <v>673798</v>
      </c>
      <c r="I1152" s="1" t="n">
        <v>818209</v>
      </c>
      <c r="J1152" s="9" t="n">
        <v>0.824</v>
      </c>
      <c r="K1152" s="1" t="inlineStr">
        <is>
          <t>Yes</t>
        </is>
      </c>
      <c r="L1152" s="1" t="inlineStr">
        <is>
          <t>Yes</t>
        </is>
      </c>
      <c r="M1152" s="1" t="inlineStr">
        <is>
          <t>No</t>
        </is>
      </c>
      <c r="N1152" s="1" t="inlineStr">
        <is>
          <t>JavaScript</t>
        </is>
      </c>
      <c r="O11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53" ht="15.75" customHeight="1" s="12">
      <c r="A1153" s="1" t="n">
        <v>715</v>
      </c>
      <c r="B1153" s="3">
        <f>HYPERLINK("https://leetcode.com/problems/range-module/", "Range Module")</f>
        <v/>
      </c>
      <c r="C1153" s="1" t="n">
        <v>1584</v>
      </c>
      <c r="D1153" s="1" t="n">
        <v>138</v>
      </c>
      <c r="E1153" s="4">
        <f>IF(INDEX(C:C, ROW())+INDEX(D:D, ROW())=0, 0, INDEX(C:C, ROW())/(INDEX(C:C, ROW())+INDEX(D:D, ROW())))</f>
        <v/>
      </c>
      <c r="F1153" s="1" t="inlineStr">
        <is>
          <t>Design, Segment Tree, Ordered Set</t>
        </is>
      </c>
      <c r="G1153" s="1" t="inlineStr">
        <is>
          <t>Hard</t>
        </is>
      </c>
      <c r="H1153" s="1" t="n">
        <v>90791</v>
      </c>
      <c r="I1153" s="1" t="n">
        <v>203759</v>
      </c>
      <c r="J1153" s="9" t="n">
        <v>0.446</v>
      </c>
      <c r="K1153" s="1" t="inlineStr">
        <is>
          <t>Yes</t>
        </is>
      </c>
      <c r="L1153" s="1" t="inlineStr">
        <is>
          <t>Yes</t>
        </is>
      </c>
      <c r="M1153" s="1" t="inlineStr">
        <is>
          <t>No</t>
        </is>
      </c>
      <c r="N1153" s="1" t="inlineStr">
        <is>
          <t>Algorithms</t>
        </is>
      </c>
      <c r="O11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54" ht="15.75" customHeight="1" s="12">
      <c r="A1154" s="1" t="n">
        <v>780</v>
      </c>
      <c r="B1154" s="3">
        <f>HYPERLINK("https://leetcode.com/problems/reaching-points/", "Reaching Points")</f>
        <v/>
      </c>
      <c r="C1154" s="1" t="n">
        <v>1581</v>
      </c>
      <c r="D1154" s="1" t="n">
        <v>237</v>
      </c>
      <c r="E1154" s="4">
        <f>IF(INDEX(C:C, ROW())+INDEX(D:D, ROW())=0, 0, INDEX(C:C, ROW())/(INDEX(C:C, ROW())+INDEX(D:D, ROW())))</f>
        <v/>
      </c>
      <c r="F1154" s="1" t="inlineStr">
        <is>
          <t>Math</t>
        </is>
      </c>
      <c r="G1154" s="1" t="inlineStr">
        <is>
          <t>Hard</t>
        </is>
      </c>
      <c r="H1154" s="1" t="n">
        <v>79896</v>
      </c>
      <c r="I1154" s="1" t="n">
        <v>234103</v>
      </c>
      <c r="J1154" s="9" t="n">
        <v>0.341</v>
      </c>
      <c r="K1154" s="1" t="inlineStr">
        <is>
          <t>Yes</t>
        </is>
      </c>
      <c r="L1154" s="1" t="inlineStr">
        <is>
          <t>Yes</t>
        </is>
      </c>
      <c r="M1154" s="1" t="inlineStr">
        <is>
          <t>No</t>
        </is>
      </c>
      <c r="N1154" s="1" t="inlineStr">
        <is>
          <t>Algorithms</t>
        </is>
      </c>
      <c r="O11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55" ht="15.75" customHeight="1" s="12">
      <c r="A1155" s="1" t="n">
        <v>1913</v>
      </c>
      <c r="B1155" s="3">
        <f>HYPERLINK("https://leetcode.com/problems/maximum-product-difference-between-two-pairs/", "Maximum Product Difference Between Two Pairs")</f>
        <v/>
      </c>
      <c r="C1155" s="1" t="n">
        <v>1581</v>
      </c>
      <c r="D1155" s="1" t="n">
        <v>69</v>
      </c>
      <c r="E1155" s="4">
        <f>IF(INDEX(C:C, ROW())+INDEX(D:D, ROW())=0, 0, INDEX(C:C, ROW())/(INDEX(C:C, ROW())+INDEX(D:D, ROW())))</f>
        <v/>
      </c>
      <c r="F1155" s="1" t="inlineStr">
        <is>
          <t>Array, Sorting</t>
        </is>
      </c>
      <c r="G1155" s="1" t="inlineStr">
        <is>
          <t>Easy</t>
        </is>
      </c>
      <c r="H1155" s="1" t="n">
        <v>291808</v>
      </c>
      <c r="I1155" s="1" t="n">
        <v>351509</v>
      </c>
      <c r="J1155" s="9" t="n">
        <v>0.83</v>
      </c>
      <c r="K1155" s="1" t="inlineStr">
        <is>
          <t>Yes</t>
        </is>
      </c>
      <c r="L1155" s="1" t="inlineStr">
        <is>
          <t>Yes</t>
        </is>
      </c>
      <c r="M1155" s="1" t="inlineStr">
        <is>
          <t>No</t>
        </is>
      </c>
      <c r="N1155" s="1" t="inlineStr">
        <is>
          <t>Algorithms</t>
        </is>
      </c>
      <c r="O11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56" ht="15.75" customHeight="1" s="12">
      <c r="A1156" s="1" t="n">
        <v>1114</v>
      </c>
      <c r="B1156" s="3">
        <f>HYPERLINK("https://leetcode.com/problems/print-in-order/", "Print in Order")</f>
        <v/>
      </c>
      <c r="C1156" s="1" t="n">
        <v>1580</v>
      </c>
      <c r="D1156" s="1" t="n">
        <v>219</v>
      </c>
      <c r="E1156" s="4">
        <f>IF(INDEX(C:C, ROW())+INDEX(D:D, ROW())=0, 0, INDEX(C:C, ROW())/(INDEX(C:C, ROW())+INDEX(D:D, ROW())))</f>
        <v/>
      </c>
      <c r="F1156" s="1" t="inlineStr">
        <is>
          <t>Concurrency</t>
        </is>
      </c>
      <c r="G1156" s="1" t="inlineStr">
        <is>
          <t>Easy</t>
        </is>
      </c>
      <c r="H1156" s="1" t="n">
        <v>224632</v>
      </c>
      <c r="I1156" s="1" t="n">
        <v>309608</v>
      </c>
      <c r="J1156" s="9" t="n">
        <v>0.726</v>
      </c>
      <c r="K1156" s="1" t="inlineStr">
        <is>
          <t>Yes</t>
        </is>
      </c>
      <c r="L1156" s="1" t="inlineStr">
        <is>
          <t>Yes</t>
        </is>
      </c>
      <c r="M1156" s="1" t="inlineStr">
        <is>
          <t>No</t>
        </is>
      </c>
      <c r="N1156" s="1" t="inlineStr">
        <is>
          <t>Concurrency</t>
        </is>
      </c>
      <c r="O11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57" ht="15.75" customHeight="1" s="12">
      <c r="A1157" s="1" t="n">
        <v>1759</v>
      </c>
      <c r="B1157" s="3">
        <f>HYPERLINK("https://leetcode.com/problems/count-number-of-homogenous-substrings/", "Count Number of Homogenous Substrings")</f>
        <v/>
      </c>
      <c r="C1157" s="1" t="n">
        <v>1579</v>
      </c>
      <c r="D1157" s="1" t="n">
        <v>104</v>
      </c>
      <c r="E1157" s="4">
        <f>IF(INDEX(C:C, ROW())+INDEX(D:D, ROW())=0, 0, INDEX(C:C, ROW())/(INDEX(C:C, ROW())+INDEX(D:D, ROW())))</f>
        <v/>
      </c>
      <c r="F1157" s="1" t="inlineStr">
        <is>
          <t>Math, String</t>
        </is>
      </c>
      <c r="G1157" s="1" t="inlineStr">
        <is>
          <t>Medium</t>
        </is>
      </c>
      <c r="H1157" s="1" t="n">
        <v>130119</v>
      </c>
      <c r="I1157" s="1" t="n">
        <v>226786</v>
      </c>
      <c r="J1157" s="9" t="n">
        <v>0.574</v>
      </c>
      <c r="K1157" s="1" t="inlineStr">
        <is>
          <t>Yes</t>
        </is>
      </c>
      <c r="L1157" s="1" t="inlineStr">
        <is>
          <t>Yes</t>
        </is>
      </c>
      <c r="M1157" s="1" t="inlineStr">
        <is>
          <t>No</t>
        </is>
      </c>
      <c r="N1157" s="1" t="inlineStr">
        <is>
          <t>Algorithms</t>
        </is>
      </c>
      <c r="O11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58" ht="15.75" customHeight="1" s="12">
      <c r="A1158" s="1" t="n">
        <v>1886</v>
      </c>
      <c r="B1158" s="3">
        <f>HYPERLINK("https://leetcode.com/problems/determine-whether-matrix-can-be-obtained-by-rotation/", "Determine Whether Matrix Can Be Obtained By Rotation")</f>
        <v/>
      </c>
      <c r="C1158" s="1" t="n">
        <v>1577</v>
      </c>
      <c r="D1158" s="1" t="n">
        <v>148</v>
      </c>
      <c r="E1158" s="4">
        <f>IF(INDEX(C:C, ROW())+INDEX(D:D, ROW())=0, 0, INDEX(C:C, ROW())/(INDEX(C:C, ROW())+INDEX(D:D, ROW())))</f>
        <v/>
      </c>
      <c r="F1158" s="1" t="inlineStr">
        <is>
          <t>Array, Matrix</t>
        </is>
      </c>
      <c r="G1158" s="1" t="inlineStr">
        <is>
          <t>Easy</t>
        </is>
      </c>
      <c r="H1158" s="1" t="n">
        <v>94681</v>
      </c>
      <c r="I1158" s="1" t="n">
        <v>160353</v>
      </c>
      <c r="J1158" s="9" t="n">
        <v>0.59</v>
      </c>
      <c r="K1158" s="1" t="inlineStr">
        <is>
          <t>Yes</t>
        </is>
      </c>
      <c r="L1158" s="1" t="inlineStr">
        <is>
          <t>No</t>
        </is>
      </c>
      <c r="M1158" s="1" t="inlineStr">
        <is>
          <t>No</t>
        </is>
      </c>
      <c r="N1158" s="1" t="inlineStr">
        <is>
          <t>Algorithms</t>
        </is>
      </c>
      <c r="O11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59" ht="15.75" customHeight="1" s="12">
      <c r="A1159" s="1" t="n">
        <v>588</v>
      </c>
      <c r="B1159" s="3">
        <f>HYPERLINK("https://leetcode.com/problems/design-in-memory-file-system/", "Design In-Memory File System")</f>
        <v/>
      </c>
      <c r="C1159" s="1" t="n">
        <v>1576</v>
      </c>
      <c r="D1159" s="1" t="n">
        <v>175</v>
      </c>
      <c r="E1159" s="4">
        <f>IF(INDEX(C:C, ROW())+INDEX(D:D, ROW())=0, 0, INDEX(C:C, ROW())/(INDEX(C:C, ROW())+INDEX(D:D, ROW())))</f>
        <v/>
      </c>
      <c r="F1159" s="1" t="inlineStr">
        <is>
          <t>Hash Table, String, Design, Trie, Sorting</t>
        </is>
      </c>
      <c r="G1159" s="1" t="inlineStr">
        <is>
          <t>Hard</t>
        </is>
      </c>
      <c r="H1159" s="1" t="n">
        <v>136009</v>
      </c>
      <c r="I1159" s="1" t="n">
        <v>281232</v>
      </c>
      <c r="J1159" s="9" t="n">
        <v>0.484</v>
      </c>
      <c r="K1159" s="1" t="inlineStr">
        <is>
          <t>No</t>
        </is>
      </c>
      <c r="L1159" s="1" t="inlineStr">
        <is>
          <t>Yes</t>
        </is>
      </c>
      <c r="M1159" s="1" t="inlineStr">
        <is>
          <t>No</t>
        </is>
      </c>
      <c r="N1159" s="1" t="inlineStr">
        <is>
          <t>Algorithms</t>
        </is>
      </c>
      <c r="O11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60" ht="15.75" customHeight="1" s="12">
      <c r="A1160" s="1" t="n">
        <v>1921</v>
      </c>
      <c r="B1160" s="3">
        <f>HYPERLINK("https://leetcode.com/problems/eliminate-maximum-number-of-monsters/", "Eliminate Maximum Number of Monsters")</f>
        <v/>
      </c>
      <c r="C1160" s="1" t="n">
        <v>1575</v>
      </c>
      <c r="D1160" s="1" t="n">
        <v>237</v>
      </c>
      <c r="E1160" s="4">
        <f>IF(INDEX(C:C, ROW())+INDEX(D:D, ROW())=0, 0, INDEX(C:C, ROW())/(INDEX(C:C, ROW())+INDEX(D:D, ROW())))</f>
        <v/>
      </c>
      <c r="F1160" s="1" t="inlineStr">
        <is>
          <t>Array, Greedy, Sorting</t>
        </is>
      </c>
      <c r="G1160" s="1" t="inlineStr">
        <is>
          <t>Medium</t>
        </is>
      </c>
      <c r="H1160" s="1" t="n">
        <v>121495</v>
      </c>
      <c r="I1160" s="1" t="n">
        <v>238314</v>
      </c>
      <c r="J1160" s="9" t="n">
        <v>0.51</v>
      </c>
      <c r="K1160" s="1" t="inlineStr">
        <is>
          <t>Yes</t>
        </is>
      </c>
      <c r="L1160" s="1" t="inlineStr">
        <is>
          <t>Yes</t>
        </is>
      </c>
      <c r="M1160" s="1" t="inlineStr">
        <is>
          <t>No</t>
        </is>
      </c>
      <c r="N1160" s="1" t="inlineStr">
        <is>
          <t>Algorithms</t>
        </is>
      </c>
      <c r="O11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61" ht="15.75" customHeight="1" s="12">
      <c r="A1161" s="1" t="n">
        <v>936</v>
      </c>
      <c r="B1161" s="3">
        <f>HYPERLINK("https://leetcode.com/problems/stamping-the-sequence/", "Stamping The Sequence")</f>
        <v/>
      </c>
      <c r="C1161" s="1" t="n">
        <v>1573</v>
      </c>
      <c r="D1161" s="1" t="n">
        <v>222</v>
      </c>
      <c r="E1161" s="4">
        <f>IF(INDEX(C:C, ROW())+INDEX(D:D, ROW())=0, 0, INDEX(C:C, ROW())/(INDEX(C:C, ROW())+INDEX(D:D, ROW())))</f>
        <v/>
      </c>
      <c r="F1161" s="1" t="inlineStr">
        <is>
          <t>String, Stack, Greedy, Queue</t>
        </is>
      </c>
      <c r="G1161" s="1" t="inlineStr">
        <is>
          <t>Hard</t>
        </is>
      </c>
      <c r="H1161" s="1" t="n">
        <v>63574</v>
      </c>
      <c r="I1161" s="1" t="n">
        <v>102317</v>
      </c>
      <c r="J1161" s="9" t="n">
        <v>0.621</v>
      </c>
      <c r="K1161" s="1" t="inlineStr">
        <is>
          <t>Yes</t>
        </is>
      </c>
      <c r="L1161" s="1" t="inlineStr">
        <is>
          <t>Yes</t>
        </is>
      </c>
      <c r="M1161" s="1" t="inlineStr">
        <is>
          <t>No</t>
        </is>
      </c>
      <c r="N1161" s="1" t="inlineStr">
        <is>
          <t>Algorithms</t>
        </is>
      </c>
      <c r="O11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62" ht="15.75" customHeight="1" s="12">
      <c r="A1162" s="1" t="n">
        <v>1652</v>
      </c>
      <c r="B1162" s="3">
        <f>HYPERLINK("https://leetcode.com/problems/defuse-the-bomb/", "Defuse the Bomb")</f>
        <v/>
      </c>
      <c r="C1162" s="1" t="n">
        <v>1571</v>
      </c>
      <c r="D1162" s="1" t="n">
        <v>178</v>
      </c>
      <c r="E1162" s="4">
        <f>IF(INDEX(C:C, ROW())+INDEX(D:D, ROW())=0, 0, INDEX(C:C, ROW())/(INDEX(C:C, ROW())+INDEX(D:D, ROW())))</f>
        <v/>
      </c>
      <c r="F1162" s="1" t="inlineStr">
        <is>
          <t>Array, Sliding Window</t>
        </is>
      </c>
      <c r="G1162" s="1" t="inlineStr">
        <is>
          <t>Easy</t>
        </is>
      </c>
      <c r="H1162" s="1" t="n">
        <v>210754</v>
      </c>
      <c r="I1162" s="1" t="n">
        <v>265944</v>
      </c>
      <c r="J1162" s="9" t="n">
        <v>0.792</v>
      </c>
      <c r="K1162" s="1" t="inlineStr">
        <is>
          <t>Yes</t>
        </is>
      </c>
      <c r="L1162" s="1" t="inlineStr">
        <is>
          <t>Yes</t>
        </is>
      </c>
      <c r="M1162" s="1" t="inlineStr">
        <is>
          <t>No</t>
        </is>
      </c>
      <c r="N1162" s="1" t="inlineStr">
        <is>
          <t>Algorithms</t>
        </is>
      </c>
      <c r="O11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63" ht="15.75" customHeight="1" s="12">
      <c r="A1163" s="1" t="n">
        <v>2220</v>
      </c>
      <c r="B1163" s="3">
        <f>HYPERLINK("https://leetcode.com/problems/minimum-bit-flips-to-convert-number/", "Minimum Bit Flips to Convert Number")</f>
        <v/>
      </c>
      <c r="C1163" s="1" t="n">
        <v>1570</v>
      </c>
      <c r="D1163" s="1" t="n">
        <v>36</v>
      </c>
      <c r="E1163" s="4">
        <f>IF(INDEX(C:C, ROW())+INDEX(D:D, ROW())=0, 0, INDEX(C:C, ROW())/(INDEX(C:C, ROW())+INDEX(D:D, ROW())))</f>
        <v/>
      </c>
      <c r="F1163" s="1" t="inlineStr">
        <is>
          <t>Bit Manipulation</t>
        </is>
      </c>
      <c r="G1163" s="1" t="inlineStr">
        <is>
          <t>Easy</t>
        </is>
      </c>
      <c r="H1163" s="1" t="n">
        <v>351180</v>
      </c>
      <c r="I1163" s="1" t="n">
        <v>400154</v>
      </c>
      <c r="J1163" s="9" t="n">
        <v>0.878</v>
      </c>
      <c r="K1163" s="1" t="inlineStr">
        <is>
          <t>Yes</t>
        </is>
      </c>
      <c r="L1163" s="1" t="inlineStr">
        <is>
          <t>Yes</t>
        </is>
      </c>
      <c r="M1163" s="1" t="inlineStr">
        <is>
          <t>No</t>
        </is>
      </c>
      <c r="N1163" s="1" t="inlineStr">
        <is>
          <t>Algorithms</t>
        </is>
      </c>
      <c r="O11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64" ht="15.75" customHeight="1" s="12">
      <c r="A1164" s="1" t="n">
        <v>954</v>
      </c>
      <c r="B1164" s="3">
        <f>HYPERLINK("https://leetcode.com/problems/array-of-doubled-pairs/", "Array of Doubled Pairs")</f>
        <v/>
      </c>
      <c r="C1164" s="1" t="n">
        <v>1569</v>
      </c>
      <c r="D1164" s="1" t="n">
        <v>184</v>
      </c>
      <c r="E1164" s="4">
        <f>IF(INDEX(C:C, ROW())+INDEX(D:D, ROW())=0, 0, INDEX(C:C, ROW())/(INDEX(C:C, ROW())+INDEX(D:D, ROW())))</f>
        <v/>
      </c>
      <c r="F1164" s="1" t="inlineStr">
        <is>
          <t>Array, Hash Table, Greedy, Sorting</t>
        </is>
      </c>
      <c r="G1164" s="1" t="inlineStr">
        <is>
          <t>Medium</t>
        </is>
      </c>
      <c r="H1164" s="1" t="n">
        <v>103133</v>
      </c>
      <c r="I1164" s="1" t="n">
        <v>259850</v>
      </c>
      <c r="J1164" s="9" t="n">
        <v>0.397</v>
      </c>
      <c r="K1164" s="1" t="inlineStr">
        <is>
          <t>Yes</t>
        </is>
      </c>
      <c r="L1164" s="1" t="inlineStr">
        <is>
          <t>Yes</t>
        </is>
      </c>
      <c r="M1164" s="1" t="inlineStr">
        <is>
          <t>No</t>
        </is>
      </c>
      <c r="N1164" s="1" t="inlineStr">
        <is>
          <t>Algorithms</t>
        </is>
      </c>
      <c r="O11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65" ht="15.75" customHeight="1" s="12">
      <c r="A1165" s="1" t="n">
        <v>514</v>
      </c>
      <c r="B1165" s="3">
        <f>HYPERLINK("https://leetcode.com/problems/freedom-trail/", "Freedom Trail")</f>
        <v/>
      </c>
      <c r="C1165" s="1" t="n">
        <v>1568</v>
      </c>
      <c r="D1165" s="1" t="n">
        <v>82</v>
      </c>
      <c r="E1165" s="4">
        <f>IF(INDEX(C:C, ROW())+INDEX(D:D, ROW())=0, 0, INDEX(C:C, ROW())/(INDEX(C:C, ROW())+INDEX(D:D, ROW())))</f>
        <v/>
      </c>
      <c r="F1165" s="1" t="inlineStr">
        <is>
          <t>String, Dynamic Programming, Depth-First Search, Breadth-First Search</t>
        </is>
      </c>
      <c r="G1165" s="1" t="inlineStr">
        <is>
          <t>Hard</t>
        </is>
      </c>
      <c r="H1165" s="1" t="n">
        <v>122366</v>
      </c>
      <c r="I1165" s="1" t="n">
        <v>206646</v>
      </c>
      <c r="J1165" s="9" t="n">
        <v>0.592</v>
      </c>
      <c r="K1165" s="1" t="inlineStr">
        <is>
          <t>Yes</t>
        </is>
      </c>
      <c r="L1165" s="1" t="inlineStr">
        <is>
          <t>Yes</t>
        </is>
      </c>
      <c r="M1165" s="1" t="inlineStr">
        <is>
          <t>No</t>
        </is>
      </c>
      <c r="N1165" s="1" t="inlineStr">
        <is>
          <t>Algorithms</t>
        </is>
      </c>
      <c r="O11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66" ht="15.75" customHeight="1" s="12">
      <c r="A1166" s="1" t="n">
        <v>1503</v>
      </c>
      <c r="B1166" s="3">
        <f>HYPERLINK("https://leetcode.com/problems/last-moment-before-all-ants-fall-out-of-a-plank/", "Last Moment Before All Ants Fall Out of a Plank")</f>
        <v/>
      </c>
      <c r="C1166" s="1" t="n">
        <v>1568</v>
      </c>
      <c r="D1166" s="1" t="n">
        <v>436</v>
      </c>
      <c r="E1166" s="4">
        <f>IF(INDEX(C:C, ROW())+INDEX(D:D, ROW())=0, 0, INDEX(C:C, ROW())/(INDEX(C:C, ROW())+INDEX(D:D, ROW())))</f>
        <v/>
      </c>
      <c r="F1166" s="1" t="inlineStr">
        <is>
          <t>Array, Brainteaser, Simulation</t>
        </is>
      </c>
      <c r="G1166" s="1" t="inlineStr">
        <is>
          <t>Medium</t>
        </is>
      </c>
      <c r="H1166" s="1" t="n">
        <v>97785</v>
      </c>
      <c r="I1166" s="1" t="n">
        <v>143369</v>
      </c>
      <c r="J1166" s="9" t="n">
        <v>0.6820000000000001</v>
      </c>
      <c r="K1166" s="1" t="inlineStr">
        <is>
          <t>Yes</t>
        </is>
      </c>
      <c r="L1166" s="1" t="inlineStr">
        <is>
          <t>Yes</t>
        </is>
      </c>
      <c r="M1166" s="1" t="inlineStr">
        <is>
          <t>No</t>
        </is>
      </c>
      <c r="N1166" s="1" t="inlineStr">
        <is>
          <t>Algorithms</t>
        </is>
      </c>
      <c r="O11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67" ht="15.75" customHeight="1" s="12">
      <c r="A1167" s="1" t="n">
        <v>2256</v>
      </c>
      <c r="B1167" s="3">
        <f>HYPERLINK("https://leetcode.com/problems/minimum-average-difference/", "Minimum Average Difference")</f>
        <v/>
      </c>
      <c r="C1167" s="1" t="n">
        <v>1567</v>
      </c>
      <c r="D1167" s="1" t="n">
        <v>182</v>
      </c>
      <c r="E1167" s="4">
        <f>IF(INDEX(C:C, ROW())+INDEX(D:D, ROW())=0, 0, INDEX(C:C, ROW())/(INDEX(C:C, ROW())+INDEX(D:D, ROW())))</f>
        <v/>
      </c>
      <c r="F1167" s="1" t="inlineStr">
        <is>
          <t>Array, Prefix Sum</t>
        </is>
      </c>
      <c r="G1167" s="1" t="inlineStr">
        <is>
          <t>Medium</t>
        </is>
      </c>
      <c r="H1167" s="1" t="n">
        <v>96377</v>
      </c>
      <c r="I1167" s="1" t="n">
        <v>220267</v>
      </c>
      <c r="J1167" s="9" t="n">
        <v>0.438</v>
      </c>
      <c r="K1167" s="1" t="inlineStr">
        <is>
          <t>Yes</t>
        </is>
      </c>
      <c r="L1167" s="1" t="inlineStr">
        <is>
          <t>Yes</t>
        </is>
      </c>
      <c r="M1167" s="1" t="inlineStr">
        <is>
          <t>No</t>
        </is>
      </c>
      <c r="N1167" s="1" t="inlineStr">
        <is>
          <t>Algorithms</t>
        </is>
      </c>
      <c r="O11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68" ht="15.75" customHeight="1" s="12">
      <c r="A1168" s="1" t="n">
        <v>271</v>
      </c>
      <c r="B1168" s="3">
        <f>HYPERLINK("https://leetcode.com/problems/encode-and-decode-strings/", "Encode and Decode Strings")</f>
        <v/>
      </c>
      <c r="C1168" s="1" t="n">
        <v>1566</v>
      </c>
      <c r="D1168" s="1" t="n">
        <v>451</v>
      </c>
      <c r="E1168" s="4">
        <f>IF(INDEX(C:C, ROW())+INDEX(D:D, ROW())=0, 0, INDEX(C:C, ROW())/(INDEX(C:C, ROW())+INDEX(D:D, ROW())))</f>
        <v/>
      </c>
      <c r="F1168" s="1" t="inlineStr">
        <is>
          <t>Array, String, Design</t>
        </is>
      </c>
      <c r="G1168" s="1" t="inlineStr">
        <is>
          <t>Medium</t>
        </is>
      </c>
      <c r="H1168" s="1" t="n">
        <v>292666</v>
      </c>
      <c r="I1168" s="1" t="n">
        <v>574030</v>
      </c>
      <c r="J1168" s="9" t="n">
        <v>0.51</v>
      </c>
      <c r="K1168" s="1" t="inlineStr">
        <is>
          <t>No</t>
        </is>
      </c>
      <c r="L1168" s="1" t="inlineStr">
        <is>
          <t>Yes</t>
        </is>
      </c>
      <c r="M1168" s="1" t="inlineStr">
        <is>
          <t>No</t>
        </is>
      </c>
      <c r="N1168" s="1" t="inlineStr">
        <is>
          <t>Algorithms</t>
        </is>
      </c>
      <c r="O11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69" ht="15.75" customHeight="1" s="12">
      <c r="A1169" s="1" t="n">
        <v>401</v>
      </c>
      <c r="B1169" s="3">
        <f>HYPERLINK("https://leetcode.com/problems/binary-watch/", "Binary Watch")</f>
        <v/>
      </c>
      <c r="C1169" s="1" t="n">
        <v>1564</v>
      </c>
      <c r="D1169" s="1" t="n">
        <v>2864</v>
      </c>
      <c r="E1169" s="4">
        <f>IF(INDEX(C:C, ROW())+INDEX(D:D, ROW())=0, 0, INDEX(C:C, ROW())/(INDEX(C:C, ROW())+INDEX(D:D, ROW())))</f>
        <v/>
      </c>
      <c r="F1169" s="1" t="inlineStr">
        <is>
          <t>Backtracking, Bit Manipulation</t>
        </is>
      </c>
      <c r="G1169" s="1" t="inlineStr">
        <is>
          <t>Easy</t>
        </is>
      </c>
      <c r="H1169" s="1" t="n">
        <v>183225</v>
      </c>
      <c r="I1169" s="1" t="n">
        <v>316134</v>
      </c>
      <c r="J1169" s="9" t="n">
        <v>0.58</v>
      </c>
      <c r="K1169" s="1" t="inlineStr">
        <is>
          <t>Yes</t>
        </is>
      </c>
      <c r="L1169" s="1" t="inlineStr">
        <is>
          <t>No</t>
        </is>
      </c>
      <c r="M1169" s="1" t="inlineStr">
        <is>
          <t>No</t>
        </is>
      </c>
      <c r="N1169" s="1" t="inlineStr">
        <is>
          <t>Algorithms</t>
        </is>
      </c>
      <c r="O11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70" ht="15.75" customHeight="1" s="12">
      <c r="A1170" s="1" t="n">
        <v>333</v>
      </c>
      <c r="B1170" s="3">
        <f>HYPERLINK("https://leetcode.com/problems/largest-bst-subtree/", "Largest BST Subtree")</f>
        <v/>
      </c>
      <c r="C1170" s="1" t="n">
        <v>1563</v>
      </c>
      <c r="D1170" s="1" t="n">
        <v>147</v>
      </c>
      <c r="E1170" s="4">
        <f>IF(INDEX(C:C, ROW())+INDEX(D:D, ROW())=0, 0, INDEX(C:C, ROW())/(INDEX(C:C, ROW())+INDEX(D:D, ROW())))</f>
        <v/>
      </c>
      <c r="F1170" s="1" t="inlineStr">
        <is>
          <t>Dynamic Programming, Tree, Depth-First Search, Binary Search Tree, Binary Tree</t>
        </is>
      </c>
      <c r="G1170" s="1" t="inlineStr">
        <is>
          <t>Medium</t>
        </is>
      </c>
      <c r="H1170" s="1" t="n">
        <v>127928</v>
      </c>
      <c r="I1170" s="1" t="n">
        <v>279454</v>
      </c>
      <c r="J1170" s="9" t="n">
        <v>0.458</v>
      </c>
      <c r="K1170" s="1" t="inlineStr">
        <is>
          <t>No</t>
        </is>
      </c>
      <c r="L1170" s="1" t="inlineStr">
        <is>
          <t>Yes</t>
        </is>
      </c>
      <c r="M1170" s="1" t="inlineStr">
        <is>
          <t>No</t>
        </is>
      </c>
      <c r="N1170" s="1" t="inlineStr">
        <is>
          <t>Algorithms</t>
        </is>
      </c>
      <c r="O11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71" ht="15.75" customHeight="1" s="12">
      <c r="A1171" s="1" t="n">
        <v>1197</v>
      </c>
      <c r="B1171" s="3">
        <f>HYPERLINK("https://leetcode.com/problems/minimum-knight-moves/", "Minimum Knight Moves")</f>
        <v/>
      </c>
      <c r="C1171" s="1" t="n">
        <v>1559</v>
      </c>
      <c r="D1171" s="1" t="n">
        <v>411</v>
      </c>
      <c r="E1171" s="4">
        <f>IF(INDEX(C:C, ROW())+INDEX(D:D, ROW())=0, 0, INDEX(C:C, ROW())/(INDEX(C:C, ROW())+INDEX(D:D, ROW())))</f>
        <v/>
      </c>
      <c r="F1171" s="1" t="inlineStr">
        <is>
          <t>Breadth-First Search</t>
        </is>
      </c>
      <c r="G1171" s="1" t="inlineStr">
        <is>
          <t>Medium</t>
        </is>
      </c>
      <c r="H1171" s="1" t="n">
        <v>186255</v>
      </c>
      <c r="I1171" s="1" t="n">
        <v>447078</v>
      </c>
      <c r="J1171" s="9" t="n">
        <v>0.417</v>
      </c>
      <c r="K1171" s="1" t="inlineStr">
        <is>
          <t>No</t>
        </is>
      </c>
      <c r="L1171" s="1" t="inlineStr">
        <is>
          <t>Yes</t>
        </is>
      </c>
      <c r="M1171" s="1" t="inlineStr">
        <is>
          <t>No</t>
        </is>
      </c>
      <c r="N1171" s="1" t="inlineStr">
        <is>
          <t>Algorithms</t>
        </is>
      </c>
      <c r="O11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72" ht="15.75" customHeight="1" s="12">
      <c r="A1172" s="1" t="n">
        <v>1392</v>
      </c>
      <c r="B1172" s="3">
        <f>HYPERLINK("https://leetcode.com/problems/longest-happy-prefix/", "Longest Happy Prefix")</f>
        <v/>
      </c>
      <c r="C1172" s="1" t="n">
        <v>1559</v>
      </c>
      <c r="D1172" s="1" t="n">
        <v>46</v>
      </c>
      <c r="E1172" s="4">
        <f>IF(INDEX(C:C, ROW())+INDEX(D:D, ROW())=0, 0, INDEX(C:C, ROW())/(INDEX(C:C, ROW())+INDEX(D:D, ROW())))</f>
        <v/>
      </c>
      <c r="F1172" s="1" t="inlineStr">
        <is>
          <t>String, Rolling Hash, String Matching, Hash Function</t>
        </is>
      </c>
      <c r="G1172" s="1" t="inlineStr">
        <is>
          <t>Hard</t>
        </is>
      </c>
      <c r="H1172" s="1" t="n">
        <v>85936</v>
      </c>
      <c r="I1172" s="1" t="n">
        <v>168279</v>
      </c>
      <c r="J1172" s="9" t="n">
        <v>0.511</v>
      </c>
      <c r="K1172" s="1" t="inlineStr">
        <is>
          <t>Yes</t>
        </is>
      </c>
      <c r="L1172" s="1" t="inlineStr">
        <is>
          <t>No</t>
        </is>
      </c>
      <c r="M1172" s="1" t="inlineStr">
        <is>
          <t>No</t>
        </is>
      </c>
      <c r="N1172" s="1" t="inlineStr">
        <is>
          <t>Algorithms</t>
        </is>
      </c>
      <c r="O11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73" ht="15.75" customHeight="1" s="12">
      <c r="A1173" s="1" t="n">
        <v>1366</v>
      </c>
      <c r="B1173" s="3">
        <f>HYPERLINK("https://leetcode.com/problems/rank-teams-by-votes/", "Rank Teams by Votes")</f>
        <v/>
      </c>
      <c r="C1173" s="1" t="n">
        <v>1558</v>
      </c>
      <c r="D1173" s="1" t="n">
        <v>197</v>
      </c>
      <c r="E1173" s="4">
        <f>IF(INDEX(C:C, ROW())+INDEX(D:D, ROW())=0, 0, INDEX(C:C, ROW())/(INDEX(C:C, ROW())+INDEX(D:D, ROW())))</f>
        <v/>
      </c>
      <c r="F1173" s="1" t="inlineStr">
        <is>
          <t>Array, Hash Table, String, Sorting, Counting</t>
        </is>
      </c>
      <c r="G1173" s="1" t="inlineStr">
        <is>
          <t>Medium</t>
        </is>
      </c>
      <c r="H1173" s="1" t="n">
        <v>100702</v>
      </c>
      <c r="I1173" s="1" t="n">
        <v>167927</v>
      </c>
      <c r="J1173" s="9" t="n">
        <v>0.6</v>
      </c>
      <c r="K1173" s="1" t="inlineStr">
        <is>
          <t>Yes</t>
        </is>
      </c>
      <c r="L1173" s="1" t="inlineStr">
        <is>
          <t>No</t>
        </is>
      </c>
      <c r="M1173" s="1" t="inlineStr">
        <is>
          <t>No</t>
        </is>
      </c>
      <c r="N1173" s="1" t="inlineStr">
        <is>
          <t>Algorithms</t>
        </is>
      </c>
      <c r="O11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74" ht="15.75" customHeight="1" s="12">
      <c r="A1174" s="1" t="n">
        <v>1654</v>
      </c>
      <c r="B1174" s="3">
        <f>HYPERLINK("https://leetcode.com/problems/minimum-jumps-to-reach-home/", "Minimum Jumps to Reach Home")</f>
        <v/>
      </c>
      <c r="C1174" s="1" t="n">
        <v>1558</v>
      </c>
      <c r="D1174" s="1" t="n">
        <v>285</v>
      </c>
      <c r="E1174" s="4">
        <f>IF(INDEX(C:C, ROW())+INDEX(D:D, ROW())=0, 0, INDEX(C:C, ROW())/(INDEX(C:C, ROW())+INDEX(D:D, ROW())))</f>
        <v/>
      </c>
      <c r="F1174" s="1" t="inlineStr">
        <is>
          <t>Array, Dynamic Programming, Breadth-First Search</t>
        </is>
      </c>
      <c r="G1174" s="1" t="inlineStr">
        <is>
          <t>Medium</t>
        </is>
      </c>
      <c r="H1174" s="1" t="n">
        <v>51713</v>
      </c>
      <c r="I1174" s="1" t="n">
        <v>169280</v>
      </c>
      <c r="J1174" s="9" t="n">
        <v>0.305</v>
      </c>
      <c r="K1174" s="1" t="inlineStr">
        <is>
          <t>Yes</t>
        </is>
      </c>
      <c r="L1174" s="1" t="inlineStr">
        <is>
          <t>No</t>
        </is>
      </c>
      <c r="M1174" s="1" t="inlineStr">
        <is>
          <t>No</t>
        </is>
      </c>
      <c r="N1174" s="1" t="inlineStr">
        <is>
          <t>Algorithms</t>
        </is>
      </c>
      <c r="O11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75" ht="15.75" customHeight="1" s="12">
      <c r="A1175" s="1" t="n">
        <v>1042</v>
      </c>
      <c r="B1175" s="3">
        <f>HYPERLINK("https://leetcode.com/problems/flower-planting-with-no-adjacent/", "Flower Planting With No Adjacent")</f>
        <v/>
      </c>
      <c r="C1175" s="1" t="n">
        <v>1557</v>
      </c>
      <c r="D1175" s="1" t="n">
        <v>725</v>
      </c>
      <c r="E1175" s="4">
        <f>IF(INDEX(C:C, ROW())+INDEX(D:D, ROW())=0, 0, INDEX(C:C, ROW())/(INDEX(C:C, ROW())+INDEX(D:D, ROW())))</f>
        <v/>
      </c>
      <c r="F1175" s="1" t="inlineStr">
        <is>
          <t>Depth-First Search, Breadth-First Search, Graph Theory</t>
        </is>
      </c>
      <c r="G1175" s="1" t="inlineStr">
        <is>
          <t>Medium</t>
        </is>
      </c>
      <c r="H1175" s="1" t="n">
        <v>100896</v>
      </c>
      <c r="I1175" s="1" t="n">
        <v>189279</v>
      </c>
      <c r="J1175" s="9" t="n">
        <v>0.533</v>
      </c>
      <c r="K1175" s="1" t="inlineStr">
        <is>
          <t>Yes</t>
        </is>
      </c>
      <c r="L1175" s="1" t="inlineStr">
        <is>
          <t>No</t>
        </is>
      </c>
      <c r="M1175" s="1" t="inlineStr">
        <is>
          <t>No</t>
        </is>
      </c>
      <c r="N1175" s="1" t="inlineStr">
        <is>
          <t>Algorithms</t>
        </is>
      </c>
      <c r="O11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76" ht="15.75" customHeight="1" s="12">
      <c r="A1176" s="1" t="n">
        <v>957</v>
      </c>
      <c r="B1176" s="3">
        <f>HYPERLINK("https://leetcode.com/problems/prison-cells-after-n-days/", "Prison Cells After N Days")</f>
        <v/>
      </c>
      <c r="C1176" s="1" t="n">
        <v>1556</v>
      </c>
      <c r="D1176" s="1" t="n">
        <v>1779</v>
      </c>
      <c r="E1176" s="4">
        <f>IF(INDEX(C:C, ROW())+INDEX(D:D, ROW())=0, 0, INDEX(C:C, ROW())/(INDEX(C:C, ROW())+INDEX(D:D, ROW())))</f>
        <v/>
      </c>
      <c r="F1176" s="1" t="inlineStr">
        <is>
          <t>Array, Hash Table, Math, Bit Manipulation</t>
        </is>
      </c>
      <c r="G1176" s="1" t="inlineStr">
        <is>
          <t>Medium</t>
        </is>
      </c>
      <c r="H1176" s="1" t="n">
        <v>174721</v>
      </c>
      <c r="I1176" s="1" t="n">
        <v>446925</v>
      </c>
      <c r="J1176" s="9" t="n">
        <v>0.391</v>
      </c>
      <c r="K1176" s="1" t="inlineStr">
        <is>
          <t>Yes</t>
        </is>
      </c>
      <c r="L1176" s="1" t="inlineStr">
        <is>
          <t>Yes</t>
        </is>
      </c>
      <c r="M1176" s="1" t="inlineStr">
        <is>
          <t>No</t>
        </is>
      </c>
      <c r="N1176" s="1" t="inlineStr">
        <is>
          <t>Algorithms</t>
        </is>
      </c>
      <c r="O11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77" ht="15.75" customHeight="1" s="12">
      <c r="A1177" s="1" t="n">
        <v>609</v>
      </c>
      <c r="B1177" s="3">
        <f>HYPERLINK("https://leetcode.com/problems/find-duplicate-file-in-system/", "Find Duplicate File in System")</f>
        <v/>
      </c>
      <c r="C1177" s="1" t="n">
        <v>1552</v>
      </c>
      <c r="D1177" s="1" t="n">
        <v>1656</v>
      </c>
      <c r="E1177" s="4">
        <f>IF(INDEX(C:C, ROW())+INDEX(D:D, ROW())=0, 0, INDEX(C:C, ROW())/(INDEX(C:C, ROW())+INDEX(D:D, ROW())))</f>
        <v/>
      </c>
      <c r="F1177" s="1" t="inlineStr">
        <is>
          <t>Array, Hash Table, String</t>
        </is>
      </c>
      <c r="G1177" s="1" t="inlineStr">
        <is>
          <t>Medium</t>
        </is>
      </c>
      <c r="H1177" s="1" t="n">
        <v>172338</v>
      </c>
      <c r="I1177" s="1" t="n">
        <v>254911</v>
      </c>
      <c r="J1177" s="9" t="n">
        <v>0.676</v>
      </c>
      <c r="K1177" s="1" t="inlineStr">
        <is>
          <t>Yes</t>
        </is>
      </c>
      <c r="L1177" s="1" t="inlineStr">
        <is>
          <t>Yes</t>
        </is>
      </c>
      <c r="M1177" s="1" t="inlineStr">
        <is>
          <t>No</t>
        </is>
      </c>
      <c r="N1177" s="1" t="inlineStr">
        <is>
          <t>Algorithms</t>
        </is>
      </c>
      <c r="O11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78" ht="15.75" customHeight="1" s="12">
      <c r="A1178" s="1" t="n">
        <v>2537</v>
      </c>
      <c r="B1178" s="3">
        <f>HYPERLINK("https://leetcode.com/problems/count-the-number-of-good-subarrays/", "Count the Number of Good Subarrays")</f>
        <v/>
      </c>
      <c r="C1178" s="1" t="n">
        <v>1551</v>
      </c>
      <c r="D1178" s="1" t="n">
        <v>59</v>
      </c>
      <c r="E1178" s="4">
        <f>IF(INDEX(C:C, ROW())+INDEX(D:D, ROW())=0, 0, INDEX(C:C, ROW())/(INDEX(C:C, ROW())+INDEX(D:D, ROW())))</f>
        <v/>
      </c>
      <c r="F1178" s="1" t="inlineStr">
        <is>
          <t>Array, Hash Table, Sliding Window</t>
        </is>
      </c>
      <c r="G1178" s="1" t="inlineStr">
        <is>
          <t>Medium</t>
        </is>
      </c>
      <c r="H1178" s="1" t="n">
        <v>128586</v>
      </c>
      <c r="I1178" s="1" t="n">
        <v>195128</v>
      </c>
      <c r="J1178" s="9" t="n">
        <v>0.659</v>
      </c>
      <c r="K1178" s="1" t="inlineStr">
        <is>
          <t>Yes</t>
        </is>
      </c>
      <c r="L1178" s="1" t="inlineStr">
        <is>
          <t>Yes</t>
        </is>
      </c>
      <c r="M1178" s="1" t="inlineStr">
        <is>
          <t>No</t>
        </is>
      </c>
      <c r="N1178" s="1" t="inlineStr">
        <is>
          <t>Algorithms</t>
        </is>
      </c>
      <c r="O11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79" ht="15.75" customHeight="1" s="12">
      <c r="A1179" s="1" t="n">
        <v>1496</v>
      </c>
      <c r="B1179" s="3">
        <f>HYPERLINK("https://leetcode.com/problems/path-crossing/", "Path Crossing")</f>
        <v/>
      </c>
      <c r="C1179" s="1" t="n">
        <v>1550</v>
      </c>
      <c r="D1179" s="1" t="n">
        <v>49</v>
      </c>
      <c r="E1179" s="4">
        <f>IF(INDEX(C:C, ROW())+INDEX(D:D, ROW())=0, 0, INDEX(C:C, ROW())/(INDEX(C:C, ROW())+INDEX(D:D, ROW())))</f>
        <v/>
      </c>
      <c r="F1179" s="1" t="inlineStr">
        <is>
          <t>Hash Table, String</t>
        </is>
      </c>
      <c r="G1179" s="1" t="inlineStr">
        <is>
          <t>Easy</t>
        </is>
      </c>
      <c r="H1179" s="1" t="n">
        <v>192303</v>
      </c>
      <c r="I1179" s="1" t="n">
        <v>307510</v>
      </c>
      <c r="J1179" s="9" t="n">
        <v>0.625</v>
      </c>
      <c r="K1179" s="1" t="inlineStr">
        <is>
          <t>Yes</t>
        </is>
      </c>
      <c r="L1179" s="1" t="inlineStr">
        <is>
          <t>Yes</t>
        </is>
      </c>
      <c r="M1179" s="1" t="inlineStr">
        <is>
          <t>No</t>
        </is>
      </c>
      <c r="N1179" s="1" t="inlineStr">
        <is>
          <t>Algorithms</t>
        </is>
      </c>
      <c r="O11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80" ht="15.75" customHeight="1" s="12">
      <c r="A1180" s="1" t="n">
        <v>2236</v>
      </c>
      <c r="B1180" s="3">
        <f>HYPERLINK("https://leetcode.com/problems/root-equals-sum-of-children/", "Root Equals Sum of Children")</f>
        <v/>
      </c>
      <c r="C1180" s="1" t="n">
        <v>1550</v>
      </c>
      <c r="D1180" s="1" t="n">
        <v>1639</v>
      </c>
      <c r="E1180" s="4">
        <f>IF(INDEX(C:C, ROW())+INDEX(D:D, ROW())=0, 0, INDEX(C:C, ROW())/(INDEX(C:C, ROW())+INDEX(D:D, ROW())))</f>
        <v/>
      </c>
      <c r="F1180" s="1" t="inlineStr">
        <is>
          <t>Tree, Binary Tree</t>
        </is>
      </c>
      <c r="G1180" s="1" t="inlineStr">
        <is>
          <t>Easy</t>
        </is>
      </c>
      <c r="H1180" s="1" t="n">
        <v>338269</v>
      </c>
      <c r="I1180" s="1" t="n">
        <v>398878</v>
      </c>
      <c r="J1180" s="9" t="n">
        <v>0.848</v>
      </c>
      <c r="K1180" s="1" t="inlineStr">
        <is>
          <t>Yes</t>
        </is>
      </c>
      <c r="L1180" s="1" t="inlineStr">
        <is>
          <t>No</t>
        </is>
      </c>
      <c r="M1180" s="1" t="inlineStr">
        <is>
          <t>No</t>
        </is>
      </c>
      <c r="N1180" s="1" t="inlineStr">
        <is>
          <t>Algorithms</t>
        </is>
      </c>
      <c r="O11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81" ht="15.75" customHeight="1" s="12">
      <c r="A1181" s="1" t="n">
        <v>2529</v>
      </c>
      <c r="B1181" s="3">
        <f>HYPERLINK("https://leetcode.com/problems/maximum-count-of-positive-integer-and-negative-integer/", "Maximum Count of Positive Integer and Negative Integer")</f>
        <v/>
      </c>
      <c r="C1181" s="1" t="n">
        <v>1546</v>
      </c>
      <c r="D1181" s="1" t="n">
        <v>87</v>
      </c>
      <c r="E1181" s="4">
        <f>IF(INDEX(C:C, ROW())+INDEX(D:D, ROW())=0, 0, INDEX(C:C, ROW())/(INDEX(C:C, ROW())+INDEX(D:D, ROW())))</f>
        <v/>
      </c>
      <c r="F1181" s="1" t="inlineStr">
        <is>
          <t>Array, Binary Search, Counting</t>
        </is>
      </c>
      <c r="G1181" s="1" t="inlineStr">
        <is>
          <t>Easy</t>
        </is>
      </c>
      <c r="H1181" s="1" t="n">
        <v>348789</v>
      </c>
      <c r="I1181" s="1" t="n">
        <v>469085</v>
      </c>
      <c r="J1181" s="9" t="n">
        <v>0.744</v>
      </c>
      <c r="K1181" s="1" t="inlineStr">
        <is>
          <t>Yes</t>
        </is>
      </c>
      <c r="L1181" s="1" t="inlineStr">
        <is>
          <t>Yes</t>
        </is>
      </c>
      <c r="M1181" s="1" t="inlineStr">
        <is>
          <t>No</t>
        </is>
      </c>
      <c r="N1181" s="1" t="inlineStr">
        <is>
          <t>Algorithms</t>
        </is>
      </c>
      <c r="O11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82" ht="15.75" customHeight="1" s="12">
      <c r="A1182" s="1" t="n">
        <v>1104</v>
      </c>
      <c r="B1182" s="3">
        <f>HYPERLINK("https://leetcode.com/problems/path-in-zigzag-labelled-binary-tree/", "Path In Zigzag Labelled Binary Tree")</f>
        <v/>
      </c>
      <c r="C1182" s="1" t="n">
        <v>1541</v>
      </c>
      <c r="D1182" s="1" t="n">
        <v>329</v>
      </c>
      <c r="E1182" s="4">
        <f>IF(INDEX(C:C, ROW())+INDEX(D:D, ROW())=0, 0, INDEX(C:C, ROW())/(INDEX(C:C, ROW())+INDEX(D:D, ROW())))</f>
        <v/>
      </c>
      <c r="F1182" s="1" t="inlineStr">
        <is>
          <t>Math, Tree, Binary Tree</t>
        </is>
      </c>
      <c r="G1182" s="1" t="inlineStr">
        <is>
          <t>Medium</t>
        </is>
      </c>
      <c r="H1182" s="1" t="n">
        <v>52577</v>
      </c>
      <c r="I1182" s="1" t="n">
        <v>69433</v>
      </c>
      <c r="J1182" s="9" t="n">
        <v>0.757</v>
      </c>
      <c r="K1182" s="1" t="inlineStr">
        <is>
          <t>Yes</t>
        </is>
      </c>
      <c r="L1182" s="1" t="inlineStr">
        <is>
          <t>No</t>
        </is>
      </c>
      <c r="M1182" s="1" t="inlineStr">
        <is>
          <t>No</t>
        </is>
      </c>
      <c r="N1182" s="1" t="inlineStr">
        <is>
          <t>Algorithms</t>
        </is>
      </c>
      <c r="O11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83" ht="15.75" customHeight="1" s="12">
      <c r="A1183" s="1" t="n">
        <v>2331</v>
      </c>
      <c r="B1183" s="3">
        <f>HYPERLINK("https://leetcode.com/problems/evaluate-boolean-binary-tree/", "Evaluate Boolean Binary Tree")</f>
        <v/>
      </c>
      <c r="C1183" s="1" t="n">
        <v>1540</v>
      </c>
      <c r="D1183" s="1" t="n">
        <v>43</v>
      </c>
      <c r="E1183" s="4">
        <f>IF(INDEX(C:C, ROW())+INDEX(D:D, ROW())=0, 0, INDEX(C:C, ROW())/(INDEX(C:C, ROW())+INDEX(D:D, ROW())))</f>
        <v/>
      </c>
      <c r="F1183" s="1" t="inlineStr">
        <is>
          <t>Tree, Depth-First Search, Binary Tree</t>
        </is>
      </c>
      <c r="G1183" s="1" t="inlineStr">
        <is>
          <t>Easy</t>
        </is>
      </c>
      <c r="H1183" s="1" t="n">
        <v>221520</v>
      </c>
      <c r="I1183" s="1" t="n">
        <v>268790</v>
      </c>
      <c r="J1183" s="9" t="n">
        <v>0.824</v>
      </c>
      <c r="K1183" s="1" t="inlineStr">
        <is>
          <t>Yes</t>
        </is>
      </c>
      <c r="L1183" s="1" t="inlineStr">
        <is>
          <t>Yes</t>
        </is>
      </c>
      <c r="M1183" s="1" t="inlineStr">
        <is>
          <t>No</t>
        </is>
      </c>
      <c r="N1183" s="1" t="inlineStr">
        <is>
          <t>Algorithms</t>
        </is>
      </c>
      <c r="O11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84" ht="15.75" customHeight="1" s="12">
      <c r="A1184" s="1" t="n">
        <v>2458</v>
      </c>
      <c r="B1184" s="3">
        <f>HYPERLINK("https://leetcode.com/problems/height-of-binary-tree-after-subtree-removal-queries/", "Height of Binary Tree After Subtree Removal Queries")</f>
        <v/>
      </c>
      <c r="C1184" s="1" t="n">
        <v>1540</v>
      </c>
      <c r="D1184" s="1" t="n">
        <v>38</v>
      </c>
      <c r="E1184" s="4">
        <f>IF(INDEX(C:C, ROW())+INDEX(D:D, ROW())=0, 0, INDEX(C:C, ROW())/(INDEX(C:C, ROW())+INDEX(D:D, ROW())))</f>
        <v/>
      </c>
      <c r="F1184" s="1" t="inlineStr">
        <is>
          <t>Array, Tree, Depth-First Search, Breadth-First Search, Binary Tree</t>
        </is>
      </c>
      <c r="G1184" s="1" t="inlineStr">
        <is>
          <t>Hard</t>
        </is>
      </c>
      <c r="H1184" s="1" t="n">
        <v>103749</v>
      </c>
      <c r="I1184" s="1" t="n">
        <v>189055</v>
      </c>
      <c r="J1184" s="9" t="n">
        <v>0.549</v>
      </c>
      <c r="K1184" s="1" t="inlineStr">
        <is>
          <t>Yes</t>
        </is>
      </c>
      <c r="L1184" s="1" t="inlineStr">
        <is>
          <t>Yes</t>
        </is>
      </c>
      <c r="M1184" s="1" t="inlineStr">
        <is>
          <t>No</t>
        </is>
      </c>
      <c r="N1184" s="1" t="inlineStr">
        <is>
          <t>Algorithms</t>
        </is>
      </c>
      <c r="O11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85" ht="15.75" customHeight="1" s="12">
      <c r="A1185" s="1" t="n">
        <v>1856</v>
      </c>
      <c r="B1185" s="3">
        <f>HYPERLINK("https://leetcode.com/problems/maximum-subarray-min-product/", "Maximum Subarray Min-Product")</f>
        <v/>
      </c>
      <c r="C1185" s="1" t="n">
        <v>1538</v>
      </c>
      <c r="D1185" s="1" t="n">
        <v>143</v>
      </c>
      <c r="E1185" s="4">
        <f>IF(INDEX(C:C, ROW())+INDEX(D:D, ROW())=0, 0, INDEX(C:C, ROW())/(INDEX(C:C, ROW())+INDEX(D:D, ROW())))</f>
        <v/>
      </c>
      <c r="F1185" s="1" t="inlineStr">
        <is>
          <t>Array, Stack, Monotonic Stack, Prefix Sum</t>
        </is>
      </c>
      <c r="G1185" s="1" t="inlineStr">
        <is>
          <t>Medium</t>
        </is>
      </c>
      <c r="H1185" s="1" t="n">
        <v>38183</v>
      </c>
      <c r="I1185" s="1" t="n">
        <v>95996</v>
      </c>
      <c r="J1185" s="9" t="n">
        <v>0.398</v>
      </c>
      <c r="K1185" s="1" t="inlineStr">
        <is>
          <t>Yes</t>
        </is>
      </c>
      <c r="L1185" s="1" t="inlineStr">
        <is>
          <t>No</t>
        </is>
      </c>
      <c r="M1185" s="1" t="inlineStr">
        <is>
          <t>No</t>
        </is>
      </c>
      <c r="N1185" s="1" t="inlineStr">
        <is>
          <t>Algorithms</t>
        </is>
      </c>
      <c r="O11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86" ht="15.75" customHeight="1" s="12">
      <c r="A1186" s="1" t="n">
        <v>587</v>
      </c>
      <c r="B1186" s="3">
        <f>HYPERLINK("https://leetcode.com/problems/erect-the-fence/", "Erect the Fence")</f>
        <v/>
      </c>
      <c r="C1186" s="1" t="n">
        <v>1535</v>
      </c>
      <c r="D1186" s="1" t="n">
        <v>649</v>
      </c>
      <c r="E1186" s="4">
        <f>IF(INDEX(C:C, ROW())+INDEX(D:D, ROW())=0, 0, INDEX(C:C, ROW())/(INDEX(C:C, ROW())+INDEX(D:D, ROW())))</f>
        <v/>
      </c>
      <c r="F1186" s="1" t="inlineStr">
        <is>
          <t>Array, Math, Geometry</t>
        </is>
      </c>
      <c r="G1186" s="1" t="inlineStr">
        <is>
          <t>Hard</t>
        </is>
      </c>
      <c r="H1186" s="1" t="n">
        <v>65653</v>
      </c>
      <c r="I1186" s="1" t="n">
        <v>124708</v>
      </c>
      <c r="J1186" s="9" t="n">
        <v>0.526</v>
      </c>
      <c r="K1186" s="1" t="inlineStr">
        <is>
          <t>Yes</t>
        </is>
      </c>
      <c r="L1186" s="1" t="inlineStr">
        <is>
          <t>Yes</t>
        </is>
      </c>
      <c r="M1186" s="1" t="inlineStr">
        <is>
          <t>No</t>
        </is>
      </c>
      <c r="N1186" s="1" t="inlineStr">
        <is>
          <t>Algorithms</t>
        </is>
      </c>
      <c r="O11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87" ht="15.75" customHeight="1" s="12">
      <c r="A1187" s="1" t="n">
        <v>764</v>
      </c>
      <c r="B1187" s="3">
        <f>HYPERLINK("https://leetcode.com/problems/largest-plus-sign/", "Largest Plus Sign")</f>
        <v/>
      </c>
      <c r="C1187" s="1" t="n">
        <v>1533</v>
      </c>
      <c r="D1187" s="1" t="n">
        <v>241</v>
      </c>
      <c r="E1187" s="4">
        <f>IF(INDEX(C:C, ROW())+INDEX(D:D, ROW())=0, 0, INDEX(C:C, ROW())/(INDEX(C:C, ROW())+INDEX(D:D, ROW())))</f>
        <v/>
      </c>
      <c r="F1187" s="1" t="inlineStr">
        <is>
          <t>Array, Dynamic Programming</t>
        </is>
      </c>
      <c r="G1187" s="1" t="inlineStr">
        <is>
          <t>Medium</t>
        </is>
      </c>
      <c r="H1187" s="1" t="n">
        <v>68492</v>
      </c>
      <c r="I1187" s="1" t="n">
        <v>139823</v>
      </c>
      <c r="J1187" s="9" t="n">
        <v>0.49</v>
      </c>
      <c r="K1187" s="1" t="inlineStr">
        <is>
          <t>Yes</t>
        </is>
      </c>
      <c r="L1187" s="1" t="inlineStr">
        <is>
          <t>Yes</t>
        </is>
      </c>
      <c r="M1187" s="1" t="inlineStr">
        <is>
          <t>No</t>
        </is>
      </c>
      <c r="N1187" s="1" t="inlineStr">
        <is>
          <t>Algorithms</t>
        </is>
      </c>
      <c r="O11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88" ht="15.75" customHeight="1" s="12">
      <c r="A1188" s="1" t="n">
        <v>1781</v>
      </c>
      <c r="B1188" s="3">
        <f>HYPERLINK("https://leetcode.com/problems/sum-of-beauty-of-all-substrings/", "Sum of Beauty of All Substrings")</f>
        <v/>
      </c>
      <c r="C1188" s="1" t="n">
        <v>1533</v>
      </c>
      <c r="D1188" s="1" t="n">
        <v>222</v>
      </c>
      <c r="E1188" s="4">
        <f>IF(INDEX(C:C, ROW())+INDEX(D:D, ROW())=0, 0, INDEX(C:C, ROW())/(INDEX(C:C, ROW())+INDEX(D:D, ROW())))</f>
        <v/>
      </c>
      <c r="F1188" s="1" t="inlineStr">
        <is>
          <t>Hash Table, String, Counting</t>
        </is>
      </c>
      <c r="G1188" s="1" t="inlineStr">
        <is>
          <t>Medium</t>
        </is>
      </c>
      <c r="H1188" s="1" t="n">
        <v>166317</v>
      </c>
      <c r="I1188" s="1" t="n">
        <v>227164</v>
      </c>
      <c r="J1188" s="9" t="n">
        <v>0.732</v>
      </c>
      <c r="K1188" s="1" t="inlineStr">
        <is>
          <t>Yes</t>
        </is>
      </c>
      <c r="L1188" s="1" t="inlineStr">
        <is>
          <t>No</t>
        </is>
      </c>
      <c r="M1188" s="1" t="inlineStr">
        <is>
          <t>No</t>
        </is>
      </c>
      <c r="N1188" s="1" t="inlineStr">
        <is>
          <t>Algorithms</t>
        </is>
      </c>
      <c r="O11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89" ht="15.75" customHeight="1" s="12">
      <c r="A1189" s="1" t="n">
        <v>2221</v>
      </c>
      <c r="B1189" s="3">
        <f>HYPERLINK("https://leetcode.com/problems/find-triangular-sum-of-an-array/", "Find Triangular Sum of an Array")</f>
        <v/>
      </c>
      <c r="C1189" s="1" t="n">
        <v>1533</v>
      </c>
      <c r="D1189" s="1" t="n">
        <v>77</v>
      </c>
      <c r="E1189" s="4">
        <f>IF(INDEX(C:C, ROW())+INDEX(D:D, ROW())=0, 0, INDEX(C:C, ROW())/(INDEX(C:C, ROW())+INDEX(D:D, ROW())))</f>
        <v/>
      </c>
      <c r="F1189" s="1" t="inlineStr">
        <is>
          <t>Array, Math, Simulation, Combinatorics</t>
        </is>
      </c>
      <c r="G1189" s="1" t="inlineStr">
        <is>
          <t>Medium</t>
        </is>
      </c>
      <c r="H1189" s="1" t="n">
        <v>233062</v>
      </c>
      <c r="I1189" s="1" t="n">
        <v>284331</v>
      </c>
      <c r="J1189" s="9" t="n">
        <v>0.82</v>
      </c>
      <c r="K1189" s="1" t="inlineStr">
        <is>
          <t>Yes</t>
        </is>
      </c>
      <c r="L1189" s="1" t="inlineStr">
        <is>
          <t>Yes</t>
        </is>
      </c>
      <c r="M1189" s="1" t="inlineStr">
        <is>
          <t>No</t>
        </is>
      </c>
      <c r="N1189" s="1" t="inlineStr">
        <is>
          <t>Algorithms</t>
        </is>
      </c>
      <c r="O11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90" ht="15.75" customHeight="1" s="12">
      <c r="A1190" s="1" t="n">
        <v>848</v>
      </c>
      <c r="B1190" s="3">
        <f>HYPERLINK("https://leetcode.com/problems/shifting-letters/", "Shifting Letters")</f>
        <v/>
      </c>
      <c r="C1190" s="1" t="n">
        <v>1532</v>
      </c>
      <c r="D1190" s="1" t="n">
        <v>141</v>
      </c>
      <c r="E1190" s="4">
        <f>IF(INDEX(C:C, ROW())+INDEX(D:D, ROW())=0, 0, INDEX(C:C, ROW())/(INDEX(C:C, ROW())+INDEX(D:D, ROW())))</f>
        <v/>
      </c>
      <c r="F1190" s="1" t="inlineStr">
        <is>
          <t>Array, String, Prefix Sum</t>
        </is>
      </c>
      <c r="G1190" s="1" t="inlineStr">
        <is>
          <t>Medium</t>
        </is>
      </c>
      <c r="H1190" s="1" t="n">
        <v>131939</v>
      </c>
      <c r="I1190" s="1" t="n">
        <v>286942</v>
      </c>
      <c r="J1190" s="9" t="n">
        <v>0.46</v>
      </c>
      <c r="K1190" s="1" t="inlineStr">
        <is>
          <t>Yes</t>
        </is>
      </c>
      <c r="L1190" s="1" t="inlineStr">
        <is>
          <t>Yes</t>
        </is>
      </c>
      <c r="M1190" s="1" t="inlineStr">
        <is>
          <t>No</t>
        </is>
      </c>
      <c r="N1190" s="1" t="inlineStr">
        <is>
          <t>Algorithms</t>
        </is>
      </c>
      <c r="O11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91" ht="15.75" customHeight="1" s="12">
      <c r="A1191" s="1" t="n">
        <v>1884</v>
      </c>
      <c r="B1191" s="3">
        <f>HYPERLINK("https://leetcode.com/problems/egg-drop-with-2-eggs-and-n-floors/", "Egg Drop With 2 Eggs and N Floors")</f>
        <v/>
      </c>
      <c r="C1191" s="1" t="n">
        <v>1532</v>
      </c>
      <c r="D1191" s="1" t="n">
        <v>162</v>
      </c>
      <c r="E1191" s="4">
        <f>IF(INDEX(C:C, ROW())+INDEX(D:D, ROW())=0, 0, INDEX(C:C, ROW())/(INDEX(C:C, ROW())+INDEX(D:D, ROW())))</f>
        <v/>
      </c>
      <c r="F1191" s="1" t="inlineStr">
        <is>
          <t>Math, Dynamic Programming</t>
        </is>
      </c>
      <c r="G1191" s="1" t="inlineStr">
        <is>
          <t>Medium</t>
        </is>
      </c>
      <c r="H1191" s="1" t="n">
        <v>62462</v>
      </c>
      <c r="I1191" s="1" t="n">
        <v>83871</v>
      </c>
      <c r="J1191" s="9" t="n">
        <v>0.745</v>
      </c>
      <c r="K1191" s="1" t="inlineStr">
        <is>
          <t>Yes</t>
        </is>
      </c>
      <c r="L1191" s="1" t="inlineStr">
        <is>
          <t>No</t>
        </is>
      </c>
      <c r="M1191" s="1" t="inlineStr">
        <is>
          <t>No</t>
        </is>
      </c>
      <c r="N1191" s="1" t="inlineStr">
        <is>
          <t>Algorithms</t>
        </is>
      </c>
      <c r="O11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92" ht="15.75" customHeight="1" s="12">
      <c r="A1192" s="1" t="n">
        <v>1650</v>
      </c>
      <c r="B1192" s="3">
        <f>HYPERLINK("https://leetcode.com/problems/lowest-common-ancestor-of-a-binary-tree-iii/", "Lowest Common Ancestor of a Binary Tree III")</f>
        <v/>
      </c>
      <c r="C1192" s="1" t="n">
        <v>1530</v>
      </c>
      <c r="D1192" s="1" t="n">
        <v>60</v>
      </c>
      <c r="E1192" s="4">
        <f>IF(INDEX(C:C, ROW())+INDEX(D:D, ROW())=0, 0, INDEX(C:C, ROW())/(INDEX(C:C, ROW())+INDEX(D:D, ROW())))</f>
        <v/>
      </c>
      <c r="F1192" s="1" t="inlineStr">
        <is>
          <t>Hash Table, Two Pointers, Tree, Binary Tree</t>
        </is>
      </c>
      <c r="G1192" s="1" t="inlineStr">
        <is>
          <t>Medium</t>
        </is>
      </c>
      <c r="H1192" s="1" t="n">
        <v>400688</v>
      </c>
      <c r="I1192" s="1" t="n">
        <v>483312</v>
      </c>
      <c r="J1192" s="9" t="n">
        <v>0.829</v>
      </c>
      <c r="K1192" s="1" t="inlineStr">
        <is>
          <t>No</t>
        </is>
      </c>
      <c r="L1192" s="1" t="inlineStr">
        <is>
          <t>No</t>
        </is>
      </c>
      <c r="M1192" s="1" t="inlineStr">
        <is>
          <t>No</t>
        </is>
      </c>
      <c r="N1192" s="1" t="inlineStr">
        <is>
          <t>Algorithms</t>
        </is>
      </c>
      <c r="O11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93" ht="15.75" customHeight="1" s="12">
      <c r="A1193" s="1" t="n">
        <v>1991</v>
      </c>
      <c r="B1193" s="3">
        <f>HYPERLINK("https://leetcode.com/problems/find-the-middle-index-in-array/", "Find the Middle Index in Array")</f>
        <v/>
      </c>
      <c r="C1193" s="1" t="n">
        <v>1530</v>
      </c>
      <c r="D1193" s="1" t="n">
        <v>80</v>
      </c>
      <c r="E1193" s="4">
        <f>IF(INDEX(C:C, ROW())+INDEX(D:D, ROW())=0, 0, INDEX(C:C, ROW())/(INDEX(C:C, ROW())+INDEX(D:D, ROW())))</f>
        <v/>
      </c>
      <c r="F1193" s="1" t="inlineStr">
        <is>
          <t>Array, Prefix Sum</t>
        </is>
      </c>
      <c r="G1193" s="1" t="inlineStr">
        <is>
          <t>Easy</t>
        </is>
      </c>
      <c r="H1193" s="1" t="n">
        <v>153286</v>
      </c>
      <c r="I1193" s="1" t="n">
        <v>222478</v>
      </c>
      <c r="J1193" s="9" t="n">
        <v>0.6889999999999999</v>
      </c>
      <c r="K1193" s="1" t="inlineStr">
        <is>
          <t>Yes</t>
        </is>
      </c>
      <c r="L1193" s="1" t="inlineStr">
        <is>
          <t>No</t>
        </is>
      </c>
      <c r="M1193" s="1" t="inlineStr">
        <is>
          <t>No</t>
        </is>
      </c>
      <c r="N1193" s="1" t="inlineStr">
        <is>
          <t>Algorithms</t>
        </is>
      </c>
      <c r="O11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94" ht="15.75" customHeight="1" s="12">
      <c r="A1194" s="1" t="n">
        <v>1598</v>
      </c>
      <c r="B1194" s="3">
        <f>HYPERLINK("https://leetcode.com/problems/crawler-log-folder/", "Crawler Log Folder")</f>
        <v/>
      </c>
      <c r="C1194" s="1" t="n">
        <v>1529</v>
      </c>
      <c r="D1194" s="1" t="n">
        <v>99</v>
      </c>
      <c r="E1194" s="4">
        <f>IF(INDEX(C:C, ROW())+INDEX(D:D, ROW())=0, 0, INDEX(C:C, ROW())/(INDEX(C:C, ROW())+INDEX(D:D, ROW())))</f>
        <v/>
      </c>
      <c r="F1194" s="1" t="inlineStr">
        <is>
          <t>Array, String, Stack</t>
        </is>
      </c>
      <c r="G1194" s="1" t="inlineStr">
        <is>
          <t>Easy</t>
        </is>
      </c>
      <c r="H1194" s="1" t="n">
        <v>284774</v>
      </c>
      <c r="I1194" s="1" t="n">
        <v>397590</v>
      </c>
      <c r="J1194" s="9" t="n">
        <v>0.716</v>
      </c>
      <c r="K1194" s="1" t="inlineStr">
        <is>
          <t>Yes</t>
        </is>
      </c>
      <c r="L1194" s="1" t="inlineStr">
        <is>
          <t>Yes</t>
        </is>
      </c>
      <c r="M1194" s="1" t="inlineStr">
        <is>
          <t>No</t>
        </is>
      </c>
      <c r="N1194" s="1" t="inlineStr">
        <is>
          <t>Algorithms</t>
        </is>
      </c>
      <c r="O11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95" ht="15.75" customHeight="1" s="12">
      <c r="A1195" s="1" t="n">
        <v>1415</v>
      </c>
      <c r="B1195" s="3">
        <f>HYPERLINK("https://leetcode.com/problems/the-k-th-lexicographical-string-of-all-happy-strings-of-length-n/", "The k-th Lexicographical String of All Happy Strings of Length n")</f>
        <v/>
      </c>
      <c r="C1195" s="1" t="n">
        <v>1528</v>
      </c>
      <c r="D1195" s="1" t="n">
        <v>45</v>
      </c>
      <c r="E1195" s="4">
        <f>IF(INDEX(C:C, ROW())+INDEX(D:D, ROW())=0, 0, INDEX(C:C, ROW())/(INDEX(C:C, ROW())+INDEX(D:D, ROW())))</f>
        <v/>
      </c>
      <c r="F1195" s="1" t="inlineStr">
        <is>
          <t>String, Backtracking</t>
        </is>
      </c>
      <c r="G1195" s="1" t="inlineStr">
        <is>
          <t>Medium</t>
        </is>
      </c>
      <c r="H1195" s="1" t="n">
        <v>181819</v>
      </c>
      <c r="I1195" s="1" t="n">
        <v>213278</v>
      </c>
      <c r="J1195" s="9" t="n">
        <v>0.852</v>
      </c>
      <c r="K1195" s="1" t="inlineStr">
        <is>
          <t>Yes</t>
        </is>
      </c>
      <c r="L1195" s="1" t="inlineStr">
        <is>
          <t>Yes</t>
        </is>
      </c>
      <c r="M1195" s="1" t="inlineStr">
        <is>
          <t>No</t>
        </is>
      </c>
      <c r="N1195" s="1" t="inlineStr">
        <is>
          <t>Algorithms</t>
        </is>
      </c>
      <c r="O11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96" ht="15.75" customHeight="1" s="12">
      <c r="A1196" s="1" t="n">
        <v>1765</v>
      </c>
      <c r="B1196" s="3">
        <f>HYPERLINK("https://leetcode.com/problems/map-of-highest-peak/", "Map of Highest Peak")</f>
        <v/>
      </c>
      <c r="C1196" s="1" t="n">
        <v>1528</v>
      </c>
      <c r="D1196" s="1" t="n">
        <v>112</v>
      </c>
      <c r="E1196" s="4">
        <f>IF(INDEX(C:C, ROW())+INDEX(D:D, ROW())=0, 0, INDEX(C:C, ROW())/(INDEX(C:C, ROW())+INDEX(D:D, ROW())))</f>
        <v/>
      </c>
      <c r="F1196" s="1" t="inlineStr">
        <is>
          <t>Array, Breadth-First Search, Matrix</t>
        </is>
      </c>
      <c r="G1196" s="1" t="inlineStr">
        <is>
          <t>Medium</t>
        </is>
      </c>
      <c r="H1196" s="1" t="n">
        <v>155531</v>
      </c>
      <c r="I1196" s="1" t="n">
        <v>205926</v>
      </c>
      <c r="J1196" s="9" t="n">
        <v>0.755</v>
      </c>
      <c r="K1196" s="1" t="inlineStr">
        <is>
          <t>Yes</t>
        </is>
      </c>
      <c r="L1196" s="1" t="inlineStr">
        <is>
          <t>Yes</t>
        </is>
      </c>
      <c r="M1196" s="1" t="inlineStr">
        <is>
          <t>No</t>
        </is>
      </c>
      <c r="N1196" s="1" t="inlineStr">
        <is>
          <t>Algorithms</t>
        </is>
      </c>
      <c r="O11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97" ht="15.75" customHeight="1" s="12">
      <c r="A1197" s="1" t="n">
        <v>467</v>
      </c>
      <c r="B1197" s="3">
        <f>HYPERLINK("https://leetcode.com/problems/unique-substrings-in-wraparound-string/", "Unique Substrings in Wraparound String")</f>
        <v/>
      </c>
      <c r="C1197" s="1" t="n">
        <v>1525</v>
      </c>
      <c r="D1197" s="1" t="n">
        <v>191</v>
      </c>
      <c r="E1197" s="4">
        <f>IF(INDEX(C:C, ROW())+INDEX(D:D, ROW())=0, 0, INDEX(C:C, ROW())/(INDEX(C:C, ROW())+INDEX(D:D, ROW())))</f>
        <v/>
      </c>
      <c r="F1197" s="1" t="inlineStr">
        <is>
          <t>String, Dynamic Programming</t>
        </is>
      </c>
      <c r="G1197" s="1" t="inlineStr">
        <is>
          <t>Medium</t>
        </is>
      </c>
      <c r="H1197" s="1" t="n">
        <v>55020</v>
      </c>
      <c r="I1197" s="1" t="n">
        <v>129465</v>
      </c>
      <c r="J1197" s="9" t="n">
        <v>0.425</v>
      </c>
      <c r="K1197" s="1" t="inlineStr">
        <is>
          <t>Yes</t>
        </is>
      </c>
      <c r="L1197" s="1" t="inlineStr">
        <is>
          <t>No</t>
        </is>
      </c>
      <c r="M1197" s="1" t="inlineStr">
        <is>
          <t>No</t>
        </is>
      </c>
      <c r="N1197" s="1" t="inlineStr">
        <is>
          <t>Algorithms</t>
        </is>
      </c>
      <c r="O11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98" ht="15.75" customHeight="1" s="12">
      <c r="A1198" s="1" t="n">
        <v>465</v>
      </c>
      <c r="B1198" s="3">
        <f>HYPERLINK("https://leetcode.com/problems/optimal-account-balancing/", "Optimal Account Balancing")</f>
        <v/>
      </c>
      <c r="C1198" s="1" t="n">
        <v>1524</v>
      </c>
      <c r="D1198" s="1" t="n">
        <v>163</v>
      </c>
      <c r="E1198" s="4">
        <f>IF(INDEX(C:C, ROW())+INDEX(D:D, ROW())=0, 0, INDEX(C:C, ROW())/(INDEX(C:C, ROW())+INDEX(D:D, ROW())))</f>
        <v/>
      </c>
      <c r="F1198" s="1" t="inlineStr">
        <is>
          <t>Array, Dynamic Programming, Backtracking, Bit Manipulation, Bitmask DP</t>
        </is>
      </c>
      <c r="G1198" s="1" t="inlineStr">
        <is>
          <t>Hard</t>
        </is>
      </c>
      <c r="H1198" s="1" t="n">
        <v>111956</v>
      </c>
      <c r="I1198" s="1" t="n">
        <v>222923</v>
      </c>
      <c r="J1198" s="9" t="n">
        <v>0.502</v>
      </c>
      <c r="K1198" s="1" t="inlineStr">
        <is>
          <t>No</t>
        </is>
      </c>
      <c r="L1198" s="1" t="inlineStr">
        <is>
          <t>Yes</t>
        </is>
      </c>
      <c r="M1198" s="1" t="inlineStr">
        <is>
          <t>No</t>
        </is>
      </c>
      <c r="N1198" s="1" t="inlineStr">
        <is>
          <t>Algorithms</t>
        </is>
      </c>
      <c r="O11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199" ht="15.75" customHeight="1" s="12">
      <c r="A1199" s="1" t="n">
        <v>2370</v>
      </c>
      <c r="B1199" s="3">
        <f>HYPERLINK("https://leetcode.com/problems/longest-ideal-subsequence/", "Longest Ideal Subsequence")</f>
        <v/>
      </c>
      <c r="C1199" s="1" t="n">
        <v>1524</v>
      </c>
      <c r="D1199" s="1" t="n">
        <v>82</v>
      </c>
      <c r="E1199" s="4">
        <f>IF(INDEX(C:C, ROW())+INDEX(D:D, ROW())=0, 0, INDEX(C:C, ROW())/(INDEX(C:C, ROW())+INDEX(D:D, ROW())))</f>
        <v/>
      </c>
      <c r="F1199" s="1" t="inlineStr">
        <is>
          <t>Hash Table, String, Dynamic Programming</t>
        </is>
      </c>
      <c r="G1199" s="1" t="inlineStr">
        <is>
          <t>Medium</t>
        </is>
      </c>
      <c r="H1199" s="1" t="n">
        <v>123266</v>
      </c>
      <c r="I1199" s="1" t="n">
        <v>264156</v>
      </c>
      <c r="J1199" s="9" t="n">
        <v>0.467</v>
      </c>
      <c r="K1199" s="1" t="inlineStr">
        <is>
          <t>Yes</t>
        </is>
      </c>
      <c r="L1199" s="1" t="inlineStr">
        <is>
          <t>Yes</t>
        </is>
      </c>
      <c r="M1199" s="1" t="inlineStr">
        <is>
          <t>No</t>
        </is>
      </c>
      <c r="N1199" s="1" t="inlineStr">
        <is>
          <t>Algorithms</t>
        </is>
      </c>
      <c r="O11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00" ht="15.75" customHeight="1" s="12">
      <c r="A1200" s="1" t="n">
        <v>1124</v>
      </c>
      <c r="B1200" s="3">
        <f>HYPERLINK("https://leetcode.com/problems/longest-well-performing-interval/", "Longest Well-Performing Interval")</f>
        <v/>
      </c>
      <c r="C1200" s="1" t="n">
        <v>1522</v>
      </c>
      <c r="D1200" s="1" t="n">
        <v>122</v>
      </c>
      <c r="E1200" s="4">
        <f>IF(INDEX(C:C, ROW())+INDEX(D:D, ROW())=0, 0, INDEX(C:C, ROW())/(INDEX(C:C, ROW())+INDEX(D:D, ROW())))</f>
        <v/>
      </c>
      <c r="F1200" s="1" t="inlineStr">
        <is>
          <t>Array, Hash Table, Stack, Monotonic Stack, Prefix Sum</t>
        </is>
      </c>
      <c r="G1200" s="1" t="inlineStr">
        <is>
          <t>Medium</t>
        </is>
      </c>
      <c r="H1200" s="1" t="n">
        <v>43967</v>
      </c>
      <c r="I1200" s="1" t="n">
        <v>119476</v>
      </c>
      <c r="J1200" s="9" t="n">
        <v>0.368</v>
      </c>
      <c r="K1200" s="1" t="inlineStr">
        <is>
          <t>Yes</t>
        </is>
      </c>
      <c r="L1200" s="1" t="inlineStr">
        <is>
          <t>No</t>
        </is>
      </c>
      <c r="M1200" s="1" t="inlineStr">
        <is>
          <t>No</t>
        </is>
      </c>
      <c r="N1200" s="1" t="inlineStr">
        <is>
          <t>Algorithms</t>
        </is>
      </c>
      <c r="O12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01" ht="15.75" customHeight="1" s="12">
      <c r="A1201" s="1" t="n">
        <v>1460</v>
      </c>
      <c r="B1201" s="3">
        <f>HYPERLINK("https://leetcode.com/problems/make-two-arrays-equal-by-reversing-subarrays/", "Make Two Arrays Equal by Reversing Subarrays")</f>
        <v/>
      </c>
      <c r="C1201" s="1" t="n">
        <v>1521</v>
      </c>
      <c r="D1201" s="1" t="n">
        <v>163</v>
      </c>
      <c r="E1201" s="4">
        <f>IF(INDEX(C:C, ROW())+INDEX(D:D, ROW())=0, 0, INDEX(C:C, ROW())/(INDEX(C:C, ROW())+INDEX(D:D, ROW())))</f>
        <v/>
      </c>
      <c r="F1201" s="1" t="inlineStr">
        <is>
          <t>Array, Hash Table, Sorting</t>
        </is>
      </c>
      <c r="G1201" s="1" t="inlineStr">
        <is>
          <t>Easy</t>
        </is>
      </c>
      <c r="H1201" s="1" t="n">
        <v>329015</v>
      </c>
      <c r="I1201" s="1" t="n">
        <v>433942</v>
      </c>
      <c r="J1201" s="9" t="n">
        <v>0.758</v>
      </c>
      <c r="K1201" s="1" t="inlineStr">
        <is>
          <t>Yes</t>
        </is>
      </c>
      <c r="L1201" s="1" t="inlineStr">
        <is>
          <t>Yes</t>
        </is>
      </c>
      <c r="M1201" s="1" t="inlineStr">
        <is>
          <t>No</t>
        </is>
      </c>
      <c r="N1201" s="1" t="inlineStr">
        <is>
          <t>Algorithms</t>
        </is>
      </c>
      <c r="O12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02" ht="15.75" customHeight="1" s="12">
      <c r="A1202" s="1" t="n">
        <v>1854</v>
      </c>
      <c r="B1202" s="3">
        <f>HYPERLINK("https://leetcode.com/problems/maximum-population-year/", "Maximum Population Year")</f>
        <v/>
      </c>
      <c r="C1202" s="1" t="n">
        <v>1521</v>
      </c>
      <c r="D1202" s="1" t="n">
        <v>283</v>
      </c>
      <c r="E1202" s="4">
        <f>IF(INDEX(C:C, ROW())+INDEX(D:D, ROW())=0, 0, INDEX(C:C, ROW())/(INDEX(C:C, ROW())+INDEX(D:D, ROW())))</f>
        <v/>
      </c>
      <c r="F1202" s="1" t="inlineStr">
        <is>
          <t>Array, Counting, Prefix Sum</t>
        </is>
      </c>
      <c r="G1202" s="1" t="inlineStr">
        <is>
          <t>Easy</t>
        </is>
      </c>
      <c r="H1202" s="1" t="n">
        <v>109107</v>
      </c>
      <c r="I1202" s="1" t="n">
        <v>172172</v>
      </c>
      <c r="J1202" s="9" t="n">
        <v>0.634</v>
      </c>
      <c r="K1202" s="1" t="inlineStr">
        <is>
          <t>Yes</t>
        </is>
      </c>
      <c r="L1202" s="1" t="inlineStr">
        <is>
          <t>No</t>
        </is>
      </c>
      <c r="M1202" s="1" t="inlineStr">
        <is>
          <t>No</t>
        </is>
      </c>
      <c r="N1202" s="1" t="inlineStr">
        <is>
          <t>Algorithms</t>
        </is>
      </c>
      <c r="O12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03" ht="15.75" customHeight="1" s="12">
      <c r="A1203" s="1" t="n">
        <v>2094</v>
      </c>
      <c r="B1203" s="3">
        <f>HYPERLINK("https://leetcode.com/problems/finding-3-digit-even-numbers/", "Finding 3-Digit Even Numbers")</f>
        <v/>
      </c>
      <c r="C1203" s="1" t="n">
        <v>1516</v>
      </c>
      <c r="D1203" s="1" t="n">
        <v>340</v>
      </c>
      <c r="E1203" s="4">
        <f>IF(INDEX(C:C, ROW())+INDEX(D:D, ROW())=0, 0, INDEX(C:C, ROW())/(INDEX(C:C, ROW())+INDEX(D:D, ROW())))</f>
        <v/>
      </c>
      <c r="F1203" s="1" t="inlineStr">
        <is>
          <t>Array, Hash Table, Recursion, Sorting, Enumeration</t>
        </is>
      </c>
      <c r="G1203" s="1" t="inlineStr">
        <is>
          <t>Easy</t>
        </is>
      </c>
      <c r="H1203" s="1" t="n">
        <v>175674</v>
      </c>
      <c r="I1203" s="1" t="n">
        <v>222879</v>
      </c>
      <c r="J1203" s="9" t="n">
        <v>0.788</v>
      </c>
      <c r="K1203" s="1" t="inlineStr">
        <is>
          <t>Yes</t>
        </is>
      </c>
      <c r="L1203" s="1" t="inlineStr">
        <is>
          <t>Yes</t>
        </is>
      </c>
      <c r="M1203" s="1" t="inlineStr">
        <is>
          <t>No</t>
        </is>
      </c>
      <c r="N1203" s="1" t="inlineStr">
        <is>
          <t>Algorithms</t>
        </is>
      </c>
      <c r="O12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04" ht="15.75" customHeight="1" s="12">
      <c r="A1204" s="1" t="n">
        <v>1545</v>
      </c>
      <c r="B1204" s="3">
        <f>HYPERLINK("https://leetcode.com/problems/find-kth-bit-in-nth-binary-string/", "Find Kth Bit in Nth Binary String")</f>
        <v/>
      </c>
      <c r="C1204" s="1" t="n">
        <v>1515</v>
      </c>
      <c r="D1204" s="1" t="n">
        <v>96</v>
      </c>
      <c r="E1204" s="4">
        <f>IF(INDEX(C:C, ROW())+INDEX(D:D, ROW())=0, 0, INDEX(C:C, ROW())/(INDEX(C:C, ROW())+INDEX(D:D, ROW())))</f>
        <v/>
      </c>
      <c r="F1204" s="1" t="inlineStr">
        <is>
          <t>String, Recursion, Simulation</t>
        </is>
      </c>
      <c r="G1204" s="1" t="inlineStr">
        <is>
          <t>Medium</t>
        </is>
      </c>
      <c r="H1204" s="1" t="n">
        <v>168885</v>
      </c>
      <c r="I1204" s="1" t="n">
        <v>240604</v>
      </c>
      <c r="J1204" s="9" t="n">
        <v>0.702</v>
      </c>
      <c r="K1204" s="1" t="inlineStr">
        <is>
          <t>Yes</t>
        </is>
      </c>
      <c r="L1204" s="1" t="inlineStr">
        <is>
          <t>Yes</t>
        </is>
      </c>
      <c r="M1204" s="1" t="inlineStr">
        <is>
          <t>No</t>
        </is>
      </c>
      <c r="N1204" s="1" t="inlineStr">
        <is>
          <t>Algorithms</t>
        </is>
      </c>
      <c r="O12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05" ht="15.75" customHeight="1" s="12">
      <c r="A1205" s="1" t="n">
        <v>943</v>
      </c>
      <c r="B1205" s="3">
        <f>HYPERLINK("https://leetcode.com/problems/find-the-shortest-superstring/", "Find the Shortest Superstring")</f>
        <v/>
      </c>
      <c r="C1205" s="1" t="n">
        <v>1513</v>
      </c>
      <c r="D1205" s="1" t="n">
        <v>152</v>
      </c>
      <c r="E1205" s="4">
        <f>IF(INDEX(C:C, ROW())+INDEX(D:D, ROW())=0, 0, INDEX(C:C, ROW())/(INDEX(C:C, ROW())+INDEX(D:D, ROW())))</f>
        <v/>
      </c>
      <c r="F1205" s="1" t="inlineStr">
        <is>
          <t>Array, String, Dynamic Programming, Bit Manipulation, Bitmask DP</t>
        </is>
      </c>
      <c r="G1205" s="1" t="inlineStr">
        <is>
          <t>Hard</t>
        </is>
      </c>
      <c r="H1205" s="1" t="n">
        <v>34685</v>
      </c>
      <c r="I1205" s="1" t="n">
        <v>77031</v>
      </c>
      <c r="J1205" s="9" t="n">
        <v>0.45</v>
      </c>
      <c r="K1205" s="1" t="inlineStr">
        <is>
          <t>Yes</t>
        </is>
      </c>
      <c r="L1205" s="1" t="inlineStr">
        <is>
          <t>Yes</t>
        </is>
      </c>
      <c r="M1205" s="1" t="inlineStr">
        <is>
          <t>No</t>
        </is>
      </c>
      <c r="N1205" s="1" t="inlineStr">
        <is>
          <t>Algorithms</t>
        </is>
      </c>
      <c r="O12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06" ht="15.75" customHeight="1" s="12">
      <c r="A1206" s="1" t="n">
        <v>2516</v>
      </c>
      <c r="B1206" s="3">
        <f>HYPERLINK("https://leetcode.com/problems/take-k-of-each-character-from-left-and-right/", "Take K of Each Character From Left and Right")</f>
        <v/>
      </c>
      <c r="C1206" s="1" t="n">
        <v>1513</v>
      </c>
      <c r="D1206" s="1" t="n">
        <v>169</v>
      </c>
      <c r="E1206" s="4">
        <f>IF(INDEX(C:C, ROW())+INDEX(D:D, ROW())=0, 0, INDEX(C:C, ROW())/(INDEX(C:C, ROW())+INDEX(D:D, ROW())))</f>
        <v/>
      </c>
      <c r="F1206" s="1" t="inlineStr">
        <is>
          <t>Hash Table, String, Sliding Window</t>
        </is>
      </c>
      <c r="G1206" s="1" t="inlineStr">
        <is>
          <t>Medium</t>
        </is>
      </c>
      <c r="H1206" s="1" t="n">
        <v>113126</v>
      </c>
      <c r="I1206" s="1" t="n">
        <v>219877</v>
      </c>
      <c r="J1206" s="9" t="n">
        <v>0.514</v>
      </c>
      <c r="K1206" s="1" t="inlineStr">
        <is>
          <t>Yes</t>
        </is>
      </c>
      <c r="L1206" s="1" t="inlineStr">
        <is>
          <t>Yes</t>
        </is>
      </c>
      <c r="M1206" s="1" t="inlineStr">
        <is>
          <t>No</t>
        </is>
      </c>
      <c r="N1206" s="1" t="inlineStr">
        <is>
          <t>Algorithms</t>
        </is>
      </c>
      <c r="O12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07" ht="15.75" customHeight="1" s="12">
      <c r="A1207" s="1" t="n">
        <v>577</v>
      </c>
      <c r="B1207" s="3">
        <f>HYPERLINK("https://leetcode.com/problems/employee-bonus/", "Employee Bonus")</f>
        <v/>
      </c>
      <c r="C1207" s="1" t="n">
        <v>1512</v>
      </c>
      <c r="D1207" s="1" t="n">
        <v>294</v>
      </c>
      <c r="E1207" s="4">
        <f>IF(INDEX(C:C, ROW())+INDEX(D:D, ROW())=0, 0, INDEX(C:C, ROW())/(INDEX(C:C, ROW())+INDEX(D:D, ROW())))</f>
        <v/>
      </c>
      <c r="F1207" s="1" t="inlineStr">
        <is>
          <t>Database</t>
        </is>
      </c>
      <c r="G1207" s="1" t="inlineStr">
        <is>
          <t>Easy</t>
        </is>
      </c>
      <c r="H1207" s="1" t="n">
        <v>979639</v>
      </c>
      <c r="I1207" s="1" t="n">
        <v>1271591</v>
      </c>
      <c r="J1207" s="9" t="n">
        <v>0.77</v>
      </c>
      <c r="K1207" s="1" t="inlineStr">
        <is>
          <t>Yes</t>
        </is>
      </c>
      <c r="L1207" s="1" t="inlineStr">
        <is>
          <t>Yes</t>
        </is>
      </c>
      <c r="M1207" s="1" t="inlineStr">
        <is>
          <t>No</t>
        </is>
      </c>
      <c r="N1207" s="1" t="inlineStr">
        <is>
          <t>Database</t>
        </is>
      </c>
      <c r="O12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08" ht="15.75" customHeight="1" s="12">
      <c r="A1208" s="1" t="n">
        <v>1934</v>
      </c>
      <c r="B1208" s="3">
        <f>HYPERLINK("https://leetcode.com/problems/confirmation-rate/", "Confirmation Rate")</f>
        <v/>
      </c>
      <c r="C1208" s="1" t="n">
        <v>1512</v>
      </c>
      <c r="D1208" s="1" t="n">
        <v>130</v>
      </c>
      <c r="E1208" s="4">
        <f>IF(INDEX(C:C, ROW())+INDEX(D:D, ROW())=0, 0, INDEX(C:C, ROW())/(INDEX(C:C, ROW())+INDEX(D:D, ROW())))</f>
        <v/>
      </c>
      <c r="F1208" s="1" t="inlineStr">
        <is>
          <t>Database</t>
        </is>
      </c>
      <c r="G1208" s="1" t="inlineStr">
        <is>
          <t>Medium</t>
        </is>
      </c>
      <c r="H1208" s="1" t="n">
        <v>556227</v>
      </c>
      <c r="I1208" s="1" t="n">
        <v>902973</v>
      </c>
      <c r="J1208" s="9" t="n">
        <v>0.616</v>
      </c>
      <c r="K1208" s="1" t="inlineStr">
        <is>
          <t>Yes</t>
        </is>
      </c>
      <c r="L1208" s="1" t="inlineStr">
        <is>
          <t>No</t>
        </is>
      </c>
      <c r="M1208" s="1" t="inlineStr">
        <is>
          <t>No</t>
        </is>
      </c>
      <c r="N1208" s="1" t="inlineStr">
        <is>
          <t>Database</t>
        </is>
      </c>
      <c r="O12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09" ht="15.75" customHeight="1" s="12">
      <c r="A1209" s="1" t="n">
        <v>1387</v>
      </c>
      <c r="B1209" s="3">
        <f>HYPERLINK("https://leetcode.com/problems/sort-integers-by-the-power-value/", "Sort Integers by The Power Value")</f>
        <v/>
      </c>
      <c r="C1209" s="1" t="n">
        <v>1511</v>
      </c>
      <c r="D1209" s="1" t="n">
        <v>121</v>
      </c>
      <c r="E1209" s="4">
        <f>IF(INDEX(C:C, ROW())+INDEX(D:D, ROW())=0, 0, INDEX(C:C, ROW())/(INDEX(C:C, ROW())+INDEX(D:D, ROW())))</f>
        <v/>
      </c>
      <c r="F1209" s="1" t="inlineStr">
        <is>
          <t>Dynamic Programming, Memoization, Sorting</t>
        </is>
      </c>
      <c r="G1209" s="1" t="inlineStr">
        <is>
          <t>Medium</t>
        </is>
      </c>
      <c r="H1209" s="1" t="n">
        <v>118184</v>
      </c>
      <c r="I1209" s="1" t="n">
        <v>165547</v>
      </c>
      <c r="J1209" s="9" t="n">
        <v>0.714</v>
      </c>
      <c r="K1209" s="1" t="inlineStr">
        <is>
          <t>Yes</t>
        </is>
      </c>
      <c r="L1209" s="1" t="inlineStr">
        <is>
          <t>No</t>
        </is>
      </c>
      <c r="M1209" s="1" t="inlineStr">
        <is>
          <t>No</t>
        </is>
      </c>
      <c r="N1209" s="1" t="inlineStr">
        <is>
          <t>Algorithms</t>
        </is>
      </c>
      <c r="O12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10" ht="15.75" customHeight="1" s="12">
      <c r="A1210" s="1" t="n">
        <v>1582</v>
      </c>
      <c r="B1210" s="3">
        <f>HYPERLINK("https://leetcode.com/problems/special-positions-in-a-binary-matrix/", "Special Positions in a Binary Matrix")</f>
        <v/>
      </c>
      <c r="C1210" s="1" t="n">
        <v>1511</v>
      </c>
      <c r="D1210" s="1" t="n">
        <v>76</v>
      </c>
      <c r="E1210" s="4">
        <f>IF(INDEX(C:C, ROW())+INDEX(D:D, ROW())=0, 0, INDEX(C:C, ROW())/(INDEX(C:C, ROW())+INDEX(D:D, ROW())))</f>
        <v/>
      </c>
      <c r="F1210" s="1" t="inlineStr">
        <is>
          <t>Array, Matrix</t>
        </is>
      </c>
      <c r="G1210" s="1" t="inlineStr">
        <is>
          <t>Easy</t>
        </is>
      </c>
      <c r="H1210" s="1" t="n">
        <v>163809</v>
      </c>
      <c r="I1210" s="1" t="n">
        <v>238117</v>
      </c>
      <c r="J1210" s="9" t="n">
        <v>0.6879999999999999</v>
      </c>
      <c r="K1210" s="1" t="inlineStr">
        <is>
          <t>Yes</t>
        </is>
      </c>
      <c r="L1210" s="1" t="inlineStr">
        <is>
          <t>Yes</t>
        </is>
      </c>
      <c r="M1210" s="1" t="inlineStr">
        <is>
          <t>No</t>
        </is>
      </c>
      <c r="N1210" s="1" t="inlineStr">
        <is>
          <t>Algorithms</t>
        </is>
      </c>
      <c r="O12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11" ht="15.75" customHeight="1" s="12">
      <c r="A1211" s="1" t="n">
        <v>1593</v>
      </c>
      <c r="B1211" s="3">
        <f>HYPERLINK("https://leetcode.com/problems/split-a-string-into-the-max-number-of-unique-substrings/", "Split a String Into the Max Number of Unique Substrings")</f>
        <v/>
      </c>
      <c r="C1211" s="1" t="n">
        <v>1508</v>
      </c>
      <c r="D1211" s="1" t="n">
        <v>73</v>
      </c>
      <c r="E1211" s="4">
        <f>IF(INDEX(C:C, ROW())+INDEX(D:D, ROW())=0, 0, INDEX(C:C, ROW())/(INDEX(C:C, ROW())+INDEX(D:D, ROW())))</f>
        <v/>
      </c>
      <c r="F1211" s="1" t="inlineStr">
        <is>
          <t>Hash Table, String, Backtracking</t>
        </is>
      </c>
      <c r="G1211" s="1" t="inlineStr">
        <is>
          <t>Medium</t>
        </is>
      </c>
      <c r="H1211" s="1" t="n">
        <v>147809</v>
      </c>
      <c r="I1211" s="1" t="n">
        <v>215580</v>
      </c>
      <c r="J1211" s="9" t="n">
        <v>0.6860000000000001</v>
      </c>
      <c r="K1211" s="1" t="inlineStr">
        <is>
          <t>Yes</t>
        </is>
      </c>
      <c r="L1211" s="1" t="inlineStr">
        <is>
          <t>Yes</t>
        </is>
      </c>
      <c r="M1211" s="1" t="inlineStr">
        <is>
          <t>No</t>
        </is>
      </c>
      <c r="N1211" s="1" t="inlineStr">
        <is>
          <t>Algorithms</t>
        </is>
      </c>
      <c r="O12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12" ht="15.75" customHeight="1" s="12">
      <c r="A1212" s="1" t="n">
        <v>624</v>
      </c>
      <c r="B1212" s="3">
        <f>HYPERLINK("https://leetcode.com/problems/maximum-distance-in-arrays/", "Maximum Distance in Arrays")</f>
        <v/>
      </c>
      <c r="C1212" s="1" t="n">
        <v>1503</v>
      </c>
      <c r="D1212" s="1" t="n">
        <v>119</v>
      </c>
      <c r="E1212" s="4">
        <f>IF(INDEX(C:C, ROW())+INDEX(D:D, ROW())=0, 0, INDEX(C:C, ROW())/(INDEX(C:C, ROW())+INDEX(D:D, ROW())))</f>
        <v/>
      </c>
      <c r="F1212" s="1" t="inlineStr">
        <is>
          <t>Array, Greedy</t>
        </is>
      </c>
      <c r="G1212" s="1" t="inlineStr">
        <is>
          <t>Medium</t>
        </is>
      </c>
      <c r="H1212" s="1" t="n">
        <v>200714</v>
      </c>
      <c r="I1212" s="1" t="n">
        <v>439874</v>
      </c>
      <c r="J1212" s="9" t="n">
        <v>0.456</v>
      </c>
      <c r="K1212" s="1" t="inlineStr">
        <is>
          <t>Yes</t>
        </is>
      </c>
      <c r="L1212" s="1" t="inlineStr">
        <is>
          <t>Yes</t>
        </is>
      </c>
      <c r="M1212" s="1" t="inlineStr">
        <is>
          <t>No</t>
        </is>
      </c>
      <c r="N1212" s="1" t="inlineStr">
        <is>
          <t>Algorithms</t>
        </is>
      </c>
      <c r="O12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13" ht="15.75" customHeight="1" s="12">
      <c r="A1213" s="1" t="n">
        <v>2016</v>
      </c>
      <c r="B1213" s="3">
        <f>HYPERLINK("https://leetcode.com/problems/maximum-difference-between-increasing-elements/", "Maximum Difference Between Increasing Elements")</f>
        <v/>
      </c>
      <c r="C1213" s="1" t="n">
        <v>1501</v>
      </c>
      <c r="D1213" s="1" t="n">
        <v>44</v>
      </c>
      <c r="E1213" s="4">
        <f>IF(INDEX(C:C, ROW())+INDEX(D:D, ROW())=0, 0, INDEX(C:C, ROW())/(INDEX(C:C, ROW())+INDEX(D:D, ROW())))</f>
        <v/>
      </c>
      <c r="F1213" s="1" t="inlineStr">
        <is>
          <t>Array</t>
        </is>
      </c>
      <c r="G1213" s="1" t="inlineStr">
        <is>
          <t>Easy</t>
        </is>
      </c>
      <c r="H1213" s="1" t="n">
        <v>279628</v>
      </c>
      <c r="I1213" s="1" t="n">
        <v>421060</v>
      </c>
      <c r="J1213" s="9" t="n">
        <v>0.664</v>
      </c>
      <c r="K1213" s="1" t="inlineStr">
        <is>
          <t>Yes</t>
        </is>
      </c>
      <c r="L1213" s="1" t="inlineStr">
        <is>
          <t>Yes</t>
        </is>
      </c>
      <c r="M1213" s="1" t="inlineStr">
        <is>
          <t>No</t>
        </is>
      </c>
      <c r="N1213" s="1" t="inlineStr">
        <is>
          <t>Algorithms</t>
        </is>
      </c>
      <c r="O12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14" ht="15.75" customHeight="1" s="12">
      <c r="A1214" s="1" t="n">
        <v>1191</v>
      </c>
      <c r="B1214" s="3">
        <f>HYPERLINK("https://leetcode.com/problems/k-concatenation-maximum-sum/", "K-Concatenation Maximum Sum")</f>
        <v/>
      </c>
      <c r="C1214" s="1" t="n">
        <v>1499</v>
      </c>
      <c r="D1214" s="1" t="n">
        <v>131</v>
      </c>
      <c r="E1214" s="4">
        <f>IF(INDEX(C:C, ROW())+INDEX(D:D, ROW())=0, 0, INDEX(C:C, ROW())/(INDEX(C:C, ROW())+INDEX(D:D, ROW())))</f>
        <v/>
      </c>
      <c r="F1214" s="1" t="inlineStr">
        <is>
          <t>Array, Dynamic Programming</t>
        </is>
      </c>
      <c r="G1214" s="1" t="inlineStr">
        <is>
          <t>Medium</t>
        </is>
      </c>
      <c r="H1214" s="1" t="n">
        <v>43063</v>
      </c>
      <c r="I1214" s="1" t="n">
        <v>172090</v>
      </c>
      <c r="J1214" s="9" t="n">
        <v>0.25</v>
      </c>
      <c r="K1214" s="1" t="inlineStr">
        <is>
          <t>Yes</t>
        </is>
      </c>
      <c r="L1214" s="1" t="inlineStr">
        <is>
          <t>No</t>
        </is>
      </c>
      <c r="M1214" s="1" t="inlineStr">
        <is>
          <t>No</t>
        </is>
      </c>
      <c r="N1214" s="1" t="inlineStr">
        <is>
          <t>Algorithms</t>
        </is>
      </c>
      <c r="O12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15" ht="15.75" customHeight="1" s="12">
      <c r="A1215" s="1" t="n">
        <v>2160</v>
      </c>
      <c r="B1215" s="3">
        <f>HYPERLINK("https://leetcode.com/problems/minimum-sum-of-four-digit-number-after-splitting-digits/", "Minimum Sum of Four Digit Number After Splitting Digits")</f>
        <v/>
      </c>
      <c r="C1215" s="1" t="n">
        <v>1499</v>
      </c>
      <c r="D1215" s="1" t="n">
        <v>148</v>
      </c>
      <c r="E1215" s="4">
        <f>IF(INDEX(C:C, ROW())+INDEX(D:D, ROW())=0, 0, INDEX(C:C, ROW())/(INDEX(C:C, ROW())+INDEX(D:D, ROW())))</f>
        <v/>
      </c>
      <c r="F1215" s="1" t="inlineStr">
        <is>
          <t>Math, Greedy, Sorting</t>
        </is>
      </c>
      <c r="G1215" s="1" t="inlineStr">
        <is>
          <t>Easy</t>
        </is>
      </c>
      <c r="H1215" s="1" t="n">
        <v>164709</v>
      </c>
      <c r="I1215" s="1" t="n">
        <v>191094</v>
      </c>
      <c r="J1215" s="9" t="n">
        <v>0.862</v>
      </c>
      <c r="K1215" s="1" t="inlineStr">
        <is>
          <t>Yes</t>
        </is>
      </c>
      <c r="L1215" s="1" t="inlineStr">
        <is>
          <t>No</t>
        </is>
      </c>
      <c r="M1215" s="1" t="inlineStr">
        <is>
          <t>No</t>
        </is>
      </c>
      <c r="N1215" s="1" t="inlineStr">
        <is>
          <t>Algorithms</t>
        </is>
      </c>
      <c r="O12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16" ht="15.75" customHeight="1" s="12">
      <c r="A1216" s="1" t="n">
        <v>1712</v>
      </c>
      <c r="B1216" s="3">
        <f>HYPERLINK("https://leetcode.com/problems/ways-to-split-array-into-three-subarrays/", "Ways to Split Array Into Three Subarrays")</f>
        <v/>
      </c>
      <c r="C1216" s="1" t="n">
        <v>1497</v>
      </c>
      <c r="D1216" s="1" t="n">
        <v>109</v>
      </c>
      <c r="E1216" s="4">
        <f>IF(INDEX(C:C, ROW())+INDEX(D:D, ROW())=0, 0, INDEX(C:C, ROW())/(INDEX(C:C, ROW())+INDEX(D:D, ROW())))</f>
        <v/>
      </c>
      <c r="F1216" s="1" t="inlineStr">
        <is>
          <t>Array, Two Pointers, Binary Search, Prefix Sum</t>
        </is>
      </c>
      <c r="G1216" s="1" t="inlineStr">
        <is>
          <t>Medium</t>
        </is>
      </c>
      <c r="H1216" s="1" t="n">
        <v>40351</v>
      </c>
      <c r="I1216" s="1" t="n">
        <v>118622</v>
      </c>
      <c r="J1216" s="9" t="n">
        <v>0.34</v>
      </c>
      <c r="K1216" s="1" t="inlineStr">
        <is>
          <t>Yes</t>
        </is>
      </c>
      <c r="L1216" s="1" t="inlineStr">
        <is>
          <t>No</t>
        </is>
      </c>
      <c r="M1216" s="1" t="inlineStr">
        <is>
          <t>No</t>
        </is>
      </c>
      <c r="N1216" s="1" t="inlineStr">
        <is>
          <t>Algorithms</t>
        </is>
      </c>
      <c r="O12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17" ht="15.75" customHeight="1" s="12">
      <c r="A1217" s="1" t="n">
        <v>1551</v>
      </c>
      <c r="B1217" s="3">
        <f>HYPERLINK("https://leetcode.com/problems/minimum-operations-to-make-array-equal/", "Minimum Operations to Make Array Equal")</f>
        <v/>
      </c>
      <c r="C1217" s="1" t="n">
        <v>1496</v>
      </c>
      <c r="D1217" s="1" t="n">
        <v>187</v>
      </c>
      <c r="E1217" s="4">
        <f>IF(INDEX(C:C, ROW())+INDEX(D:D, ROW())=0, 0, INDEX(C:C, ROW())/(INDEX(C:C, ROW())+INDEX(D:D, ROW())))</f>
        <v/>
      </c>
      <c r="F1217" s="1" t="inlineStr">
        <is>
          <t>Math</t>
        </is>
      </c>
      <c r="G1217" s="1" t="inlineStr">
        <is>
          <t>Medium</t>
        </is>
      </c>
      <c r="H1217" s="1" t="n">
        <v>115096</v>
      </c>
      <c r="I1217" s="1" t="n">
        <v>139254</v>
      </c>
      <c r="J1217" s="9" t="n">
        <v>0.827</v>
      </c>
      <c r="K1217" s="1" t="inlineStr">
        <is>
          <t>Yes</t>
        </is>
      </c>
      <c r="L1217" s="1" t="inlineStr">
        <is>
          <t>Yes</t>
        </is>
      </c>
      <c r="M1217" s="1" t="inlineStr">
        <is>
          <t>No</t>
        </is>
      </c>
      <c r="N1217" s="1" t="inlineStr">
        <is>
          <t>Algorithms</t>
        </is>
      </c>
      <c r="O12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18" ht="15.75" customHeight="1" s="12">
      <c r="A1218" s="1" t="n">
        <v>1486</v>
      </c>
      <c r="B1218" s="3">
        <f>HYPERLINK("https://leetcode.com/problems/xor-operation-in-an-array/", "XOR Operation in an Array")</f>
        <v/>
      </c>
      <c r="C1218" s="1" t="n">
        <v>1494</v>
      </c>
      <c r="D1218" s="1" t="n">
        <v>339</v>
      </c>
      <c r="E1218" s="4">
        <f>IF(INDEX(C:C, ROW())+INDEX(D:D, ROW())=0, 0, INDEX(C:C, ROW())/(INDEX(C:C, ROW())+INDEX(D:D, ROW())))</f>
        <v/>
      </c>
      <c r="F1218" s="1" t="inlineStr">
        <is>
          <t>Math, Bit Manipulation</t>
        </is>
      </c>
      <c r="G1218" s="1" t="inlineStr">
        <is>
          <t>Easy</t>
        </is>
      </c>
      <c r="H1218" s="1" t="n">
        <v>255907</v>
      </c>
      <c r="I1218" s="1" t="n">
        <v>293103</v>
      </c>
      <c r="J1218" s="9" t="n">
        <v>0.873</v>
      </c>
      <c r="K1218" s="1" t="inlineStr">
        <is>
          <t>Yes</t>
        </is>
      </c>
      <c r="L1218" s="1" t="inlineStr">
        <is>
          <t>No</t>
        </is>
      </c>
      <c r="M1218" s="1" t="inlineStr">
        <is>
          <t>No</t>
        </is>
      </c>
      <c r="N1218" s="1" t="inlineStr">
        <is>
          <t>Algorithms</t>
        </is>
      </c>
      <c r="O12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19" ht="15.75" customHeight="1" s="12">
      <c r="A1219" s="1" t="n">
        <v>2392</v>
      </c>
      <c r="B1219" s="3">
        <f>HYPERLINK("https://leetcode.com/problems/build-a-matrix-with-conditions/", "Build a Matrix With Conditions")</f>
        <v/>
      </c>
      <c r="C1219" s="1" t="n">
        <v>1494</v>
      </c>
      <c r="D1219" s="1" t="n">
        <v>56</v>
      </c>
      <c r="E1219" s="4">
        <f>IF(INDEX(C:C, ROW())+INDEX(D:D, ROW())=0, 0, INDEX(C:C, ROW())/(INDEX(C:C, ROW())+INDEX(D:D, ROW())))</f>
        <v/>
      </c>
      <c r="F1219" s="1" t="inlineStr">
        <is>
          <t>Array, Graph Theory, Topological Sort, Matrix</t>
        </is>
      </c>
      <c r="G1219" s="1" t="inlineStr">
        <is>
          <t>Hard</t>
        </is>
      </c>
      <c r="H1219" s="1" t="n">
        <v>103944</v>
      </c>
      <c r="I1219" s="1" t="n">
        <v>131046</v>
      </c>
      <c r="J1219" s="9" t="n">
        <v>0.793</v>
      </c>
      <c r="K1219" s="1" t="inlineStr">
        <is>
          <t>Yes</t>
        </is>
      </c>
      <c r="L1219" s="1" t="inlineStr">
        <is>
          <t>Yes</t>
        </is>
      </c>
      <c r="M1219" s="1" t="inlineStr">
        <is>
          <t>No</t>
        </is>
      </c>
      <c r="N1219" s="1" t="inlineStr">
        <is>
          <t>Algorithms</t>
        </is>
      </c>
      <c r="O12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20" ht="15.75" customHeight="1" s="12">
      <c r="A1220" s="1" t="n">
        <v>1758</v>
      </c>
      <c r="B1220" s="3">
        <f>HYPERLINK("https://leetcode.com/problems/minimum-changes-to-make-alternating-binary-string/", "Minimum Changes To Make Alternating Binary String")</f>
        <v/>
      </c>
      <c r="C1220" s="1" t="n">
        <v>1493</v>
      </c>
      <c r="D1220" s="1" t="n">
        <v>43</v>
      </c>
      <c r="E1220" s="4">
        <f>IF(INDEX(C:C, ROW())+INDEX(D:D, ROW())=0, 0, INDEX(C:C, ROW())/(INDEX(C:C, ROW())+INDEX(D:D, ROW())))</f>
        <v/>
      </c>
      <c r="F1220" s="1" t="inlineStr">
        <is>
          <t>String</t>
        </is>
      </c>
      <c r="G1220" s="1" t="inlineStr">
        <is>
          <t>Easy</t>
        </is>
      </c>
      <c r="H1220" s="1" t="n">
        <v>164252</v>
      </c>
      <c r="I1220" s="1" t="n">
        <v>257665</v>
      </c>
      <c r="J1220" s="9" t="n">
        <v>0.637</v>
      </c>
      <c r="K1220" s="1" t="inlineStr">
        <is>
          <t>Yes</t>
        </is>
      </c>
      <c r="L1220" s="1" t="inlineStr">
        <is>
          <t>Yes</t>
        </is>
      </c>
      <c r="M1220" s="1" t="inlineStr">
        <is>
          <t>No</t>
        </is>
      </c>
      <c r="N1220" s="1" t="inlineStr">
        <is>
          <t>Algorithms</t>
        </is>
      </c>
      <c r="O12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21" ht="15.75" customHeight="1" s="12">
      <c r="A1221" s="1" t="n">
        <v>2433</v>
      </c>
      <c r="B1221" s="3">
        <f>HYPERLINK("https://leetcode.com/problems/find-the-original-array-of-prefix-xor/", "Find The Original Array of Prefix Xor")</f>
        <v/>
      </c>
      <c r="C1221" s="1" t="n">
        <v>1491</v>
      </c>
      <c r="D1221" s="1" t="n">
        <v>91</v>
      </c>
      <c r="E1221" s="4">
        <f>IF(INDEX(C:C, ROW())+INDEX(D:D, ROW())=0, 0, INDEX(C:C, ROW())/(INDEX(C:C, ROW())+INDEX(D:D, ROW())))</f>
        <v/>
      </c>
      <c r="F1221" s="1" t="inlineStr">
        <is>
          <t>Array, Bit Manipulation</t>
        </is>
      </c>
      <c r="G1221" s="1" t="inlineStr">
        <is>
          <t>Medium</t>
        </is>
      </c>
      <c r="H1221" s="1" t="n">
        <v>184954</v>
      </c>
      <c r="I1221" s="1" t="n">
        <v>209553</v>
      </c>
      <c r="J1221" s="9" t="n">
        <v>0.883</v>
      </c>
      <c r="K1221" s="1" t="inlineStr">
        <is>
          <t>Yes</t>
        </is>
      </c>
      <c r="L1221" s="1" t="inlineStr">
        <is>
          <t>Yes</t>
        </is>
      </c>
      <c r="M1221" s="1" t="inlineStr">
        <is>
          <t>No</t>
        </is>
      </c>
      <c r="N1221" s="1" t="inlineStr">
        <is>
          <t>Algorithms</t>
        </is>
      </c>
      <c r="O12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22" ht="15.75" customHeight="1" s="12">
      <c r="A1222" s="1" t="n">
        <v>1408</v>
      </c>
      <c r="B1222" s="3">
        <f>HYPERLINK("https://leetcode.com/problems/string-matching-in-an-array/", "String Matching in an Array")</f>
        <v/>
      </c>
      <c r="C1222" s="1" t="n">
        <v>1488</v>
      </c>
      <c r="D1222" s="1" t="n">
        <v>130</v>
      </c>
      <c r="E1222" s="4">
        <f>IF(INDEX(C:C, ROW())+INDEX(D:D, ROW())=0, 0, INDEX(C:C, ROW())/(INDEX(C:C, ROW())+INDEX(D:D, ROW())))</f>
        <v/>
      </c>
      <c r="F1222" s="1" t="inlineStr">
        <is>
          <t>Array, String, String Matching</t>
        </is>
      </c>
      <c r="G1222" s="1" t="inlineStr">
        <is>
          <t>Easy</t>
        </is>
      </c>
      <c r="H1222" s="1" t="n">
        <v>286842</v>
      </c>
      <c r="I1222" s="1" t="n">
        <v>411383</v>
      </c>
      <c r="J1222" s="9" t="n">
        <v>0.697</v>
      </c>
      <c r="K1222" s="1" t="inlineStr">
        <is>
          <t>Yes</t>
        </is>
      </c>
      <c r="L1222" s="1" t="inlineStr">
        <is>
          <t>Yes</t>
        </is>
      </c>
      <c r="M1222" s="1" t="inlineStr">
        <is>
          <t>No</t>
        </is>
      </c>
      <c r="N1222" s="1" t="inlineStr">
        <is>
          <t>Algorithms</t>
        </is>
      </c>
      <c r="O12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23" ht="15.75" customHeight="1" s="12">
      <c r="A1223" s="1" t="n">
        <v>2000</v>
      </c>
      <c r="B1223" s="3">
        <f>HYPERLINK("https://leetcode.com/problems/reverse-prefix-of-word/", "Reverse Prefix of Word")</f>
        <v/>
      </c>
      <c r="C1223" s="1" t="n">
        <v>1487</v>
      </c>
      <c r="D1223" s="1" t="n">
        <v>44</v>
      </c>
      <c r="E1223" s="4">
        <f>IF(INDEX(C:C, ROW())+INDEX(D:D, ROW())=0, 0, INDEX(C:C, ROW())/(INDEX(C:C, ROW())+INDEX(D:D, ROW())))</f>
        <v/>
      </c>
      <c r="F1223" s="1" t="inlineStr">
        <is>
          <t>Two Pointers, String, Stack</t>
        </is>
      </c>
      <c r="G1223" s="1" t="inlineStr">
        <is>
          <t>Easy</t>
        </is>
      </c>
      <c r="H1223" s="1" t="n">
        <v>367079</v>
      </c>
      <c r="I1223" s="1" t="n">
        <v>424518</v>
      </c>
      <c r="J1223" s="9" t="n">
        <v>0.865</v>
      </c>
      <c r="K1223" s="1" t="inlineStr">
        <is>
          <t>Yes</t>
        </is>
      </c>
      <c r="L1223" s="1" t="inlineStr">
        <is>
          <t>Yes</t>
        </is>
      </c>
      <c r="M1223" s="1" t="inlineStr">
        <is>
          <t>No</t>
        </is>
      </c>
      <c r="N1223" s="1" t="inlineStr">
        <is>
          <t>Algorithms</t>
        </is>
      </c>
      <c r="O12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24" ht="15.75" customHeight="1" s="12">
      <c r="A1224" s="1" t="n">
        <v>2742</v>
      </c>
      <c r="B1224" s="3">
        <f>HYPERLINK("https://leetcode.com/problems/painting-the-walls/", "Painting the Walls")</f>
        <v/>
      </c>
      <c r="C1224" s="1" t="n">
        <v>1485</v>
      </c>
      <c r="D1224" s="1" t="n">
        <v>95</v>
      </c>
      <c r="E1224" s="4">
        <f>IF(INDEX(C:C, ROW())+INDEX(D:D, ROW())=0, 0, INDEX(C:C, ROW())/(INDEX(C:C, ROW())+INDEX(D:D, ROW())))</f>
        <v/>
      </c>
      <c r="F1224" s="1" t="inlineStr">
        <is>
          <t>Array, Dynamic Programming</t>
        </is>
      </c>
      <c r="G1224" s="1" t="inlineStr">
        <is>
          <t>Hard</t>
        </is>
      </c>
      <c r="H1224" s="1" t="n">
        <v>77575</v>
      </c>
      <c r="I1224" s="1" t="n">
        <v>158865</v>
      </c>
      <c r="J1224" s="9" t="n">
        <v>0.488</v>
      </c>
      <c r="K1224" s="1" t="inlineStr">
        <is>
          <t>Yes</t>
        </is>
      </c>
      <c r="L1224" s="1" t="inlineStr">
        <is>
          <t>Yes</t>
        </is>
      </c>
      <c r="M1224" s="1" t="inlineStr">
        <is>
          <t>No</t>
        </is>
      </c>
      <c r="N1224" s="1" t="inlineStr">
        <is>
          <t>Algorithms</t>
        </is>
      </c>
      <c r="O12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25" ht="15.75" customHeight="1" s="12">
      <c r="A1225" s="1" t="n">
        <v>2327</v>
      </c>
      <c r="B1225" s="3">
        <f>HYPERLINK("https://leetcode.com/problems/number-of-people-aware-of-a-secret/", "Number of People Aware of a Secret")</f>
        <v/>
      </c>
      <c r="C1225" s="1" t="n">
        <v>1484</v>
      </c>
      <c r="D1225" s="1" t="n">
        <v>163</v>
      </c>
      <c r="E1225" s="4">
        <f>IF(INDEX(C:C, ROW())+INDEX(D:D, ROW())=0, 0, INDEX(C:C, ROW())/(INDEX(C:C, ROW())+INDEX(D:D, ROW())))</f>
        <v/>
      </c>
      <c r="F1225" s="1" t="inlineStr">
        <is>
          <t>Dynamic Programming, Queue, Simulation</t>
        </is>
      </c>
      <c r="G1225" s="1" t="inlineStr">
        <is>
          <t>Medium</t>
        </is>
      </c>
      <c r="H1225" s="1" t="n">
        <v>124132</v>
      </c>
      <c r="I1225" s="1" t="n">
        <v>203543</v>
      </c>
      <c r="J1225" s="9" t="n">
        <v>0.61</v>
      </c>
      <c r="K1225" s="1" t="inlineStr">
        <is>
          <t>Yes</t>
        </is>
      </c>
      <c r="L1225" s="1" t="inlineStr">
        <is>
          <t>Yes</t>
        </is>
      </c>
      <c r="M1225" s="1" t="inlineStr">
        <is>
          <t>No</t>
        </is>
      </c>
      <c r="N1225" s="1" t="inlineStr">
        <is>
          <t>Algorithms</t>
        </is>
      </c>
      <c r="O12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26" ht="15.75" customHeight="1" s="12">
      <c r="A1226" s="1" t="n">
        <v>1763</v>
      </c>
      <c r="B1226" s="3">
        <f>HYPERLINK("https://leetcode.com/problems/longest-nice-substring/", "Longest Nice Substring")</f>
        <v/>
      </c>
      <c r="C1226" s="1" t="n">
        <v>1483</v>
      </c>
      <c r="D1226" s="1" t="n">
        <v>966</v>
      </c>
      <c r="E1226" s="4">
        <f>IF(INDEX(C:C, ROW())+INDEX(D:D, ROW())=0, 0, INDEX(C:C, ROW())/(INDEX(C:C, ROW())+INDEX(D:D, ROW())))</f>
        <v/>
      </c>
      <c r="F1226" s="1" t="inlineStr">
        <is>
          <t>Hash Table, String, Divide and Conquer, Bit Manipulation, Sliding Window</t>
        </is>
      </c>
      <c r="G1226" s="1" t="inlineStr">
        <is>
          <t>Easy</t>
        </is>
      </c>
      <c r="H1226" s="1" t="n">
        <v>88760</v>
      </c>
      <c r="I1226" s="1" t="n">
        <v>140153</v>
      </c>
      <c r="J1226" s="9" t="n">
        <v>0.633</v>
      </c>
      <c r="K1226" s="1" t="inlineStr">
        <is>
          <t>Yes</t>
        </is>
      </c>
      <c r="L1226" s="1" t="inlineStr">
        <is>
          <t>No</t>
        </is>
      </c>
      <c r="M1226" s="1" t="inlineStr">
        <is>
          <t>No</t>
        </is>
      </c>
      <c r="N1226" s="1" t="inlineStr">
        <is>
          <t>Algorithms</t>
        </is>
      </c>
      <c r="O12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27" ht="15.75" customHeight="1" s="12">
      <c r="A1227" s="1" t="n">
        <v>2762</v>
      </c>
      <c r="B1227" s="3">
        <f>HYPERLINK("https://leetcode.com/problems/continuous-subarrays/", "Continuous Subarrays")</f>
        <v/>
      </c>
      <c r="C1227" s="1" t="n">
        <v>1483</v>
      </c>
      <c r="D1227" s="1" t="n">
        <v>96</v>
      </c>
      <c r="E1227" s="4">
        <f>IF(INDEX(C:C, ROW())+INDEX(D:D, ROW())=0, 0, INDEX(C:C, ROW())/(INDEX(C:C, ROW())+INDEX(D:D, ROW())))</f>
        <v/>
      </c>
      <c r="F1227" s="1" t="inlineStr">
        <is>
          <t>Array, Queue, Sliding Window, Heap (Priority Queue), Ordered Set, Monotonic Queue</t>
        </is>
      </c>
      <c r="G1227" s="1" t="inlineStr">
        <is>
          <t>Medium</t>
        </is>
      </c>
      <c r="H1227" s="1" t="n">
        <v>116747</v>
      </c>
      <c r="I1227" s="1" t="n">
        <v>201533</v>
      </c>
      <c r="J1227" s="9" t="n">
        <v>0.579</v>
      </c>
      <c r="K1227" s="1" t="inlineStr">
        <is>
          <t>Yes</t>
        </is>
      </c>
      <c r="L1227" s="1" t="inlineStr">
        <is>
          <t>Yes</t>
        </is>
      </c>
      <c r="M1227" s="1" t="inlineStr">
        <is>
          <t>No</t>
        </is>
      </c>
      <c r="N1227" s="1" t="inlineStr">
        <is>
          <t>Algorithms</t>
        </is>
      </c>
      <c r="O12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28" ht="15.75" customHeight="1" s="12">
      <c r="A1228" s="1" t="n">
        <v>1601</v>
      </c>
      <c r="B1228" s="3">
        <f>HYPERLINK("https://leetcode.com/problems/maximum-number-of-achievable-transfer-requests/", "Maximum Number of Achievable Transfer Requests")</f>
        <v/>
      </c>
      <c r="C1228" s="1" t="n">
        <v>1482</v>
      </c>
      <c r="D1228" s="1" t="n">
        <v>74</v>
      </c>
      <c r="E1228" s="4">
        <f>IF(INDEX(C:C, ROW())+INDEX(D:D, ROW())=0, 0, INDEX(C:C, ROW())/(INDEX(C:C, ROW())+INDEX(D:D, ROW())))</f>
        <v/>
      </c>
      <c r="F1228" s="1" t="inlineStr">
        <is>
          <t>Array, Backtracking, Bit Manipulation, Enumeration</t>
        </is>
      </c>
      <c r="G1228" s="1" t="inlineStr">
        <is>
          <t>Hard</t>
        </is>
      </c>
      <c r="H1228" s="1" t="n">
        <v>63039</v>
      </c>
      <c r="I1228" s="1" t="n">
        <v>97657</v>
      </c>
      <c r="J1228" s="9" t="n">
        <v>0.646</v>
      </c>
      <c r="K1228" s="1" t="inlineStr">
        <is>
          <t>Yes</t>
        </is>
      </c>
      <c r="L1228" s="1" t="inlineStr">
        <is>
          <t>Yes</t>
        </is>
      </c>
      <c r="M1228" s="1" t="inlineStr">
        <is>
          <t>No</t>
        </is>
      </c>
      <c r="N1228" s="1" t="inlineStr">
        <is>
          <t>Algorithms</t>
        </is>
      </c>
      <c r="O12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29" ht="15.75" customHeight="1" s="12">
      <c r="A1229" s="1" t="n">
        <v>727</v>
      </c>
      <c r="B1229" s="3">
        <f>HYPERLINK("https://leetcode.com/problems/minimum-window-subsequence/", "Minimum Window Subsequence")</f>
        <v/>
      </c>
      <c r="C1229" s="1" t="n">
        <v>1480</v>
      </c>
      <c r="D1229" s="1" t="n">
        <v>95</v>
      </c>
      <c r="E1229" s="4">
        <f>IF(INDEX(C:C, ROW())+INDEX(D:D, ROW())=0, 0, INDEX(C:C, ROW())/(INDEX(C:C, ROW())+INDEX(D:D, ROW())))</f>
        <v/>
      </c>
      <c r="F1229" s="1" t="inlineStr">
        <is>
          <t>String, Dynamic Programming, Sliding Window</t>
        </is>
      </c>
      <c r="G1229" s="1" t="inlineStr">
        <is>
          <t>Hard</t>
        </is>
      </c>
      <c r="H1229" s="1" t="n">
        <v>98113</v>
      </c>
      <c r="I1229" s="1" t="n">
        <v>224397</v>
      </c>
      <c r="J1229" s="9" t="n">
        <v>0.437</v>
      </c>
      <c r="K1229" s="1" t="inlineStr">
        <is>
          <t>No</t>
        </is>
      </c>
      <c r="L1229" s="1" t="inlineStr">
        <is>
          <t>Yes</t>
        </is>
      </c>
      <c r="M1229" s="1" t="inlineStr">
        <is>
          <t>No</t>
        </is>
      </c>
      <c r="N1229" s="1" t="inlineStr">
        <is>
          <t>Algorithms</t>
        </is>
      </c>
      <c r="O12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30" ht="15.75" customHeight="1" s="12">
      <c r="A1230" s="1" t="n">
        <v>65</v>
      </c>
      <c r="B1230" s="3">
        <f>HYPERLINK("https://leetcode.com/problems/valid-number/", "Valid Number")</f>
        <v/>
      </c>
      <c r="C1230" s="1" t="n">
        <v>1475</v>
      </c>
      <c r="D1230" s="1" t="n">
        <v>2200</v>
      </c>
      <c r="E1230" s="4">
        <f>IF(INDEX(C:C, ROW())+INDEX(D:D, ROW())=0, 0, INDEX(C:C, ROW())/(INDEX(C:C, ROW())+INDEX(D:D, ROW())))</f>
        <v/>
      </c>
      <c r="F1230" s="1" t="inlineStr">
        <is>
          <t>String</t>
        </is>
      </c>
      <c r="G1230" s="1" t="inlineStr">
        <is>
          <t>Hard</t>
        </is>
      </c>
      <c r="H1230" s="1" t="n">
        <v>498108</v>
      </c>
      <c r="I1230" s="1" t="n">
        <v>2219234</v>
      </c>
      <c r="J1230" s="9" t="n">
        <v>0.224</v>
      </c>
      <c r="K1230" s="1" t="inlineStr">
        <is>
          <t>Yes</t>
        </is>
      </c>
      <c r="L1230" s="1" t="inlineStr">
        <is>
          <t>Yes</t>
        </is>
      </c>
      <c r="M1230" s="1" t="inlineStr">
        <is>
          <t>No</t>
        </is>
      </c>
      <c r="N1230" s="1" t="inlineStr">
        <is>
          <t>Algorithms</t>
        </is>
      </c>
      <c r="O12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31" ht="15.75" customHeight="1" s="12">
      <c r="A1231" s="1" t="n">
        <v>620</v>
      </c>
      <c r="B1231" s="3">
        <f>HYPERLINK("https://leetcode.com/problems/not-boring-movies/", "Not Boring Movies")</f>
        <v/>
      </c>
      <c r="C1231" s="1" t="n">
        <v>1474</v>
      </c>
      <c r="D1231" s="1" t="n">
        <v>558</v>
      </c>
      <c r="E1231" s="4">
        <f>IF(INDEX(C:C, ROW())+INDEX(D:D, ROW())=0, 0, INDEX(C:C, ROW())/(INDEX(C:C, ROW())+INDEX(D:D, ROW())))</f>
        <v/>
      </c>
      <c r="F1231" s="1" t="inlineStr">
        <is>
          <t>Database</t>
        </is>
      </c>
      <c r="G1231" s="1" t="inlineStr">
        <is>
          <t>Easy</t>
        </is>
      </c>
      <c r="H1231" s="1" t="n">
        <v>1015797</v>
      </c>
      <c r="I1231" s="1" t="n">
        <v>1350635</v>
      </c>
      <c r="J1231" s="9" t="n">
        <v>0.752</v>
      </c>
      <c r="K1231" s="1" t="inlineStr">
        <is>
          <t>Yes</t>
        </is>
      </c>
      <c r="L1231" s="1" t="inlineStr">
        <is>
          <t>Yes</t>
        </is>
      </c>
      <c r="M1231" s="1" t="inlineStr">
        <is>
          <t>No</t>
        </is>
      </c>
      <c r="N1231" s="1" t="inlineStr">
        <is>
          <t>Database</t>
        </is>
      </c>
      <c r="O12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32" ht="15.75" customHeight="1" s="12">
      <c r="A1232" s="1" t="n">
        <v>851</v>
      </c>
      <c r="B1232" s="3">
        <f>HYPERLINK("https://leetcode.com/problems/loud-and-rich/", "Loud and Rich")</f>
        <v/>
      </c>
      <c r="C1232" s="1" t="n">
        <v>1470</v>
      </c>
      <c r="D1232" s="1" t="n">
        <v>876</v>
      </c>
      <c r="E1232" s="4">
        <f>IF(INDEX(C:C, ROW())+INDEX(D:D, ROW())=0, 0, INDEX(C:C, ROW())/(INDEX(C:C, ROW())+INDEX(D:D, ROW())))</f>
        <v/>
      </c>
      <c r="F1232" s="1" t="inlineStr">
        <is>
          <t>Array, Depth-First Search, Graph Theory, Topological Sort</t>
        </is>
      </c>
      <c r="G1232" s="1" t="inlineStr">
        <is>
          <t>Medium</t>
        </is>
      </c>
      <c r="H1232" s="1" t="n">
        <v>73869</v>
      </c>
      <c r="I1232" s="1" t="n">
        <v>117279</v>
      </c>
      <c r="J1232" s="9" t="n">
        <v>0.63</v>
      </c>
      <c r="K1232" s="1" t="inlineStr">
        <is>
          <t>Yes</t>
        </is>
      </c>
      <c r="L1232" s="1" t="inlineStr">
        <is>
          <t>Yes</t>
        </is>
      </c>
      <c r="M1232" s="1" t="inlineStr">
        <is>
          <t>No</t>
        </is>
      </c>
      <c r="N1232" s="1" t="inlineStr">
        <is>
          <t>Algorithms</t>
        </is>
      </c>
      <c r="O12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33" ht="15.75" customHeight="1" s="12">
      <c r="A1233" s="1" t="n">
        <v>1845</v>
      </c>
      <c r="B1233" s="3">
        <f>HYPERLINK("https://leetcode.com/problems/seat-reservation-manager/", "Seat Reservation Manager")</f>
        <v/>
      </c>
      <c r="C1233" s="1" t="n">
        <v>1469</v>
      </c>
      <c r="D1233" s="1" t="n">
        <v>91</v>
      </c>
      <c r="E1233" s="4">
        <f>IF(INDEX(C:C, ROW())+INDEX(D:D, ROW())=0, 0, INDEX(C:C, ROW())/(INDEX(C:C, ROW())+INDEX(D:D, ROW())))</f>
        <v/>
      </c>
      <c r="F1233" s="1" t="inlineStr">
        <is>
          <t>Design, Heap (Priority Queue)</t>
        </is>
      </c>
      <c r="G1233" s="1" t="inlineStr">
        <is>
          <t>Medium</t>
        </is>
      </c>
      <c r="H1233" s="1" t="n">
        <v>146170</v>
      </c>
      <c r="I1233" s="1" t="n">
        <v>218335</v>
      </c>
      <c r="J1233" s="9" t="n">
        <v>0.669</v>
      </c>
      <c r="K1233" s="1" t="inlineStr">
        <is>
          <t>Yes</t>
        </is>
      </c>
      <c r="L1233" s="1" t="inlineStr">
        <is>
          <t>Yes</t>
        </is>
      </c>
      <c r="M1233" s="1" t="inlineStr">
        <is>
          <t>No</t>
        </is>
      </c>
      <c r="N1233" s="1" t="inlineStr">
        <is>
          <t>Algorithms</t>
        </is>
      </c>
      <c r="O12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34" ht="15.75" customHeight="1" s="12">
      <c r="A1234" s="1" t="n">
        <v>676</v>
      </c>
      <c r="B1234" s="3">
        <f>HYPERLINK("https://leetcode.com/problems/implement-magic-dictionary/", "Implement Magic Dictionary")</f>
        <v/>
      </c>
      <c r="C1234" s="1" t="n">
        <v>1462</v>
      </c>
      <c r="D1234" s="1" t="n">
        <v>214</v>
      </c>
      <c r="E1234" s="4">
        <f>IF(INDEX(C:C, ROW())+INDEX(D:D, ROW())=0, 0, INDEX(C:C, ROW())/(INDEX(C:C, ROW())+INDEX(D:D, ROW())))</f>
        <v/>
      </c>
      <c r="F1234" s="1" t="inlineStr">
        <is>
          <t>Hash Table, String, Depth-First Search, Design, Trie</t>
        </is>
      </c>
      <c r="G1234" s="1" t="inlineStr">
        <is>
          <t>Medium</t>
        </is>
      </c>
      <c r="H1234" s="1" t="n">
        <v>103752</v>
      </c>
      <c r="I1234" s="1" t="n">
        <v>180246</v>
      </c>
      <c r="J1234" s="9" t="n">
        <v>0.576</v>
      </c>
      <c r="K1234" s="1" t="inlineStr">
        <is>
          <t>Yes</t>
        </is>
      </c>
      <c r="L1234" s="1" t="inlineStr">
        <is>
          <t>Yes</t>
        </is>
      </c>
      <c r="M1234" s="1" t="inlineStr">
        <is>
          <t>No</t>
        </is>
      </c>
      <c r="N1234" s="1" t="inlineStr">
        <is>
          <t>Algorithms</t>
        </is>
      </c>
      <c r="O12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35" ht="15.75" customHeight="1" s="12">
      <c r="A1235" s="1" t="n">
        <v>902</v>
      </c>
      <c r="B1235" s="3">
        <f>HYPERLINK("https://leetcode.com/problems/numbers-at-most-n-given-digit-set/", "Numbers At Most N Given Digit Set")</f>
        <v/>
      </c>
      <c r="C1235" s="1" t="n">
        <v>1462</v>
      </c>
      <c r="D1235" s="1" t="n">
        <v>98</v>
      </c>
      <c r="E1235" s="4">
        <f>IF(INDEX(C:C, ROW())+INDEX(D:D, ROW())=0, 0, INDEX(C:C, ROW())/(INDEX(C:C, ROW())+INDEX(D:D, ROW())))</f>
        <v/>
      </c>
      <c r="F1235" s="1" t="inlineStr">
        <is>
          <t>Array, Math, String, Binary Search, Dynamic Programming</t>
        </is>
      </c>
      <c r="G1235" s="1" t="inlineStr">
        <is>
          <t>Hard</t>
        </is>
      </c>
      <c r="H1235" s="1" t="n">
        <v>53079</v>
      </c>
      <c r="I1235" s="1" t="n">
        <v>119483</v>
      </c>
      <c r="J1235" s="9" t="n">
        <v>0.444</v>
      </c>
      <c r="K1235" s="1" t="inlineStr">
        <is>
          <t>Yes</t>
        </is>
      </c>
      <c r="L1235" s="1" t="inlineStr">
        <is>
          <t>Yes</t>
        </is>
      </c>
      <c r="M1235" s="1" t="inlineStr">
        <is>
          <t>No</t>
        </is>
      </c>
      <c r="N1235" s="1" t="inlineStr">
        <is>
          <t>Algorithms</t>
        </is>
      </c>
      <c r="O12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36" ht="15.75" customHeight="1" s="12">
      <c r="A1236" s="1" t="n">
        <v>1247</v>
      </c>
      <c r="B1236" s="3">
        <f>HYPERLINK("https://leetcode.com/problems/minimum-swaps-to-make-strings-equal/", "Minimum Swaps to Make Strings Equal")</f>
        <v/>
      </c>
      <c r="C1236" s="1" t="n">
        <v>1457</v>
      </c>
      <c r="D1236" s="1" t="n">
        <v>252</v>
      </c>
      <c r="E1236" s="4">
        <f>IF(INDEX(C:C, ROW())+INDEX(D:D, ROW())=0, 0, INDEX(C:C, ROW())/(INDEX(C:C, ROW())+INDEX(D:D, ROW())))</f>
        <v/>
      </c>
      <c r="F1236" s="1" t="inlineStr">
        <is>
          <t>Math, String, Greedy</t>
        </is>
      </c>
      <c r="G1236" s="1" t="inlineStr">
        <is>
          <t>Medium</t>
        </is>
      </c>
      <c r="H1236" s="1" t="n">
        <v>50113</v>
      </c>
      <c r="I1236" s="1" t="n">
        <v>76895</v>
      </c>
      <c r="J1236" s="9" t="n">
        <v>0.652</v>
      </c>
      <c r="K1236" s="1" t="inlineStr">
        <is>
          <t>Yes</t>
        </is>
      </c>
      <c r="L1236" s="1" t="inlineStr">
        <is>
          <t>No</t>
        </is>
      </c>
      <c r="M1236" s="1" t="inlineStr">
        <is>
          <t>No</t>
        </is>
      </c>
      <c r="N1236" s="1" t="inlineStr">
        <is>
          <t>Algorithms</t>
        </is>
      </c>
      <c r="O12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37" ht="15.75" customHeight="1" s="12">
      <c r="A1237" s="1" t="n">
        <v>1420</v>
      </c>
      <c r="B1237" s="3">
        <f>HYPERLINK("https://leetcode.com/problems/build-array-where-you-can-find-the-maximum-exactly-k-comparisons/", "Build Array Where You Can Find The Maximum Exactly K Comparisons")</f>
        <v/>
      </c>
      <c r="C1237" s="1" t="n">
        <v>1452</v>
      </c>
      <c r="D1237" s="1" t="n">
        <v>93</v>
      </c>
      <c r="E1237" s="4">
        <f>IF(INDEX(C:C, ROW())+INDEX(D:D, ROW())=0, 0, INDEX(C:C, ROW())/(INDEX(C:C, ROW())+INDEX(D:D, ROW())))</f>
        <v/>
      </c>
      <c r="F1237" s="1" t="inlineStr">
        <is>
          <t>Dynamic Programming, Prefix Sum</t>
        </is>
      </c>
      <c r="G1237" s="1" t="inlineStr">
        <is>
          <t>Hard</t>
        </is>
      </c>
      <c r="H1237" s="1" t="n">
        <v>71623</v>
      </c>
      <c r="I1237" s="1" t="n">
        <v>108502</v>
      </c>
      <c r="J1237" s="9" t="n">
        <v>0.66</v>
      </c>
      <c r="K1237" s="1" t="inlineStr">
        <is>
          <t>Yes</t>
        </is>
      </c>
      <c r="L1237" s="1" t="inlineStr">
        <is>
          <t>Yes</t>
        </is>
      </c>
      <c r="M1237" s="1" t="inlineStr">
        <is>
          <t>No</t>
        </is>
      </c>
      <c r="N1237" s="1" t="inlineStr">
        <is>
          <t>Algorithms</t>
        </is>
      </c>
      <c r="O12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38" ht="15.75" customHeight="1" s="12">
      <c r="A1238" s="1" t="n">
        <v>2337</v>
      </c>
      <c r="B1238" s="3">
        <f>HYPERLINK("https://leetcode.com/problems/move-pieces-to-obtain-a-string/", "Move Pieces to Obtain a String")</f>
        <v/>
      </c>
      <c r="C1238" s="1" t="n">
        <v>1452</v>
      </c>
      <c r="D1238" s="1" t="n">
        <v>83</v>
      </c>
      <c r="E1238" s="4">
        <f>IF(INDEX(C:C, ROW())+INDEX(D:D, ROW())=0, 0, INDEX(C:C, ROW())/(INDEX(C:C, ROW())+INDEX(D:D, ROW())))</f>
        <v/>
      </c>
      <c r="F1238" s="1" t="inlineStr">
        <is>
          <t>Two Pointers, String</t>
        </is>
      </c>
      <c r="G1238" s="1" t="inlineStr">
        <is>
          <t>Medium</t>
        </is>
      </c>
      <c r="H1238" s="1" t="n">
        <v>146683</v>
      </c>
      <c r="I1238" s="1" t="n">
        <v>258555</v>
      </c>
      <c r="J1238" s="9" t="n">
        <v>0.5669999999999999</v>
      </c>
      <c r="K1238" s="1" t="inlineStr">
        <is>
          <t>Yes</t>
        </is>
      </c>
      <c r="L1238" s="1" t="inlineStr">
        <is>
          <t>Yes</t>
        </is>
      </c>
      <c r="M1238" s="1" t="inlineStr">
        <is>
          <t>No</t>
        </is>
      </c>
      <c r="N1238" s="1" t="inlineStr">
        <is>
          <t>Algorithms</t>
        </is>
      </c>
      <c r="O12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39" ht="15.75" customHeight="1" s="12">
      <c r="A1239" s="1" t="n">
        <v>2406</v>
      </c>
      <c r="B1239" s="3">
        <f>HYPERLINK("https://leetcode.com/problems/divide-intervals-into-minimum-number-of-groups/", "Divide Intervals Into Minimum Number of Groups")</f>
        <v/>
      </c>
      <c r="C1239" s="1" t="n">
        <v>1452</v>
      </c>
      <c r="D1239" s="1" t="n">
        <v>42</v>
      </c>
      <c r="E1239" s="4">
        <f>IF(INDEX(C:C, ROW())+INDEX(D:D, ROW())=0, 0, INDEX(C:C, ROW())/(INDEX(C:C, ROW())+INDEX(D:D, ROW())))</f>
        <v/>
      </c>
      <c r="F1239" s="1" t="inlineStr">
        <is>
          <t>Array, Two Pointers, Greedy, Sorting, Heap (Priority Queue), Prefix Sum</t>
        </is>
      </c>
      <c r="G1239" s="1" t="inlineStr">
        <is>
          <t>Medium</t>
        </is>
      </c>
      <c r="H1239" s="1" t="n">
        <v>141230</v>
      </c>
      <c r="I1239" s="1" t="n">
        <v>222186</v>
      </c>
      <c r="J1239" s="9" t="n">
        <v>0.636</v>
      </c>
      <c r="K1239" s="1" t="inlineStr">
        <is>
          <t>Yes</t>
        </is>
      </c>
      <c r="L1239" s="1" t="inlineStr">
        <is>
          <t>Yes</t>
        </is>
      </c>
      <c r="M1239" s="1" t="inlineStr">
        <is>
          <t>No</t>
        </is>
      </c>
      <c r="N1239" s="1" t="inlineStr">
        <is>
          <t>Algorithms</t>
        </is>
      </c>
      <c r="O12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40" ht="15.75" customHeight="1" s="12">
      <c r="A1240" s="1" t="n">
        <v>808</v>
      </c>
      <c r="B1240" s="3">
        <f>HYPERLINK("https://leetcode.com/problems/soup-servings/", "Soup Servings")</f>
        <v/>
      </c>
      <c r="C1240" s="1" t="n">
        <v>1451</v>
      </c>
      <c r="D1240" s="1" t="n">
        <v>3933</v>
      </c>
      <c r="E1240" s="4">
        <f>IF(INDEX(C:C, ROW())+INDEX(D:D, ROW())=0, 0, INDEX(C:C, ROW())/(INDEX(C:C, ROW())+INDEX(D:D, ROW())))</f>
        <v/>
      </c>
      <c r="F1240" s="1" t="inlineStr">
        <is>
          <t>Math, Dynamic Programming, Probability and Statistics</t>
        </is>
      </c>
      <c r="G1240" s="1" t="inlineStr">
        <is>
          <t>Medium</t>
        </is>
      </c>
      <c r="H1240" s="1" t="n">
        <v>149135</v>
      </c>
      <c r="I1240" s="1" t="n">
        <v>249526</v>
      </c>
      <c r="J1240" s="9" t="n">
        <v>0.598</v>
      </c>
      <c r="K1240" s="1" t="inlineStr">
        <is>
          <t>Yes</t>
        </is>
      </c>
      <c r="L1240" s="1" t="inlineStr">
        <is>
          <t>Yes</t>
        </is>
      </c>
      <c r="M1240" s="1" t="inlineStr">
        <is>
          <t>No</t>
        </is>
      </c>
      <c r="N1240" s="1" t="inlineStr">
        <is>
          <t>Algorithms</t>
        </is>
      </c>
      <c r="O12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41" ht="15.75" customHeight="1" s="12">
      <c r="A1241" s="1" t="n">
        <v>1680</v>
      </c>
      <c r="B1241" s="3">
        <f>HYPERLINK("https://leetcode.com/problems/concatenation-of-consecutive-binary-numbers/", "Concatenation of Consecutive Binary Numbers")</f>
        <v/>
      </c>
      <c r="C1241" s="1" t="n">
        <v>1450</v>
      </c>
      <c r="D1241" s="1" t="n">
        <v>437</v>
      </c>
      <c r="E1241" s="4">
        <f>IF(INDEX(C:C, ROW())+INDEX(D:D, ROW())=0, 0, INDEX(C:C, ROW())/(INDEX(C:C, ROW())+INDEX(D:D, ROW())))</f>
        <v/>
      </c>
      <c r="F1241" s="1" t="inlineStr">
        <is>
          <t>Math, Bit Manipulation, Simulation</t>
        </is>
      </c>
      <c r="G1241" s="1" t="inlineStr">
        <is>
          <t>Medium</t>
        </is>
      </c>
      <c r="H1241" s="1" t="n">
        <v>95411</v>
      </c>
      <c r="I1241" s="1" t="n">
        <v>167731</v>
      </c>
      <c r="J1241" s="9" t="n">
        <v>0.569</v>
      </c>
      <c r="K1241" s="1" t="inlineStr">
        <is>
          <t>Yes</t>
        </is>
      </c>
      <c r="L1241" s="1" t="inlineStr">
        <is>
          <t>Yes</t>
        </is>
      </c>
      <c r="M1241" s="1" t="inlineStr">
        <is>
          <t>No</t>
        </is>
      </c>
      <c r="N1241" s="1" t="inlineStr">
        <is>
          <t>Algorithms</t>
        </is>
      </c>
      <c r="O12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42" ht="15.75" customHeight="1" s="12">
      <c r="A1242" s="1" t="n">
        <v>829</v>
      </c>
      <c r="B1242" s="3">
        <f>HYPERLINK("https://leetcode.com/problems/consecutive-numbers-sum/", "Consecutive Numbers Sum")</f>
        <v/>
      </c>
      <c r="C1242" s="1" t="n">
        <v>1443</v>
      </c>
      <c r="D1242" s="1" t="n">
        <v>1394</v>
      </c>
      <c r="E1242" s="4">
        <f>IF(INDEX(C:C, ROW())+INDEX(D:D, ROW())=0, 0, INDEX(C:C, ROW())/(INDEX(C:C, ROW())+INDEX(D:D, ROW())))</f>
        <v/>
      </c>
      <c r="F1242" s="1" t="inlineStr">
        <is>
          <t>Math, Enumeration</t>
        </is>
      </c>
      <c r="G1242" s="1" t="inlineStr">
        <is>
          <t>Hard</t>
        </is>
      </c>
      <c r="H1242" s="1" t="n">
        <v>99622</v>
      </c>
      <c r="I1242" s="1" t="n">
        <v>234431</v>
      </c>
      <c r="J1242" s="9" t="n">
        <v>0.425</v>
      </c>
      <c r="K1242" s="1" t="inlineStr">
        <is>
          <t>Yes</t>
        </is>
      </c>
      <c r="L1242" s="1" t="inlineStr">
        <is>
          <t>Yes</t>
        </is>
      </c>
      <c r="M1242" s="1" t="inlineStr">
        <is>
          <t>No</t>
        </is>
      </c>
      <c r="N1242" s="1" t="inlineStr">
        <is>
          <t>Algorithms</t>
        </is>
      </c>
      <c r="O12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43" ht="15.75" customHeight="1" s="12">
      <c r="A1243" s="1" t="n">
        <v>161</v>
      </c>
      <c r="B1243" s="3">
        <f>HYPERLINK("https://leetcode.com/problems/one-edit-distance/", "One Edit Distance")</f>
        <v/>
      </c>
      <c r="C1243" s="1" t="n">
        <v>1442</v>
      </c>
      <c r="D1243" s="1" t="n">
        <v>194</v>
      </c>
      <c r="E1243" s="4">
        <f>IF(INDEX(C:C, ROW())+INDEX(D:D, ROW())=0, 0, INDEX(C:C, ROW())/(INDEX(C:C, ROW())+INDEX(D:D, ROW())))</f>
        <v/>
      </c>
      <c r="F1243" s="1" t="inlineStr">
        <is>
          <t>Two Pointers, String</t>
        </is>
      </c>
      <c r="G1243" s="1" t="inlineStr">
        <is>
          <t>Medium</t>
        </is>
      </c>
      <c r="H1243" s="1" t="n">
        <v>234046</v>
      </c>
      <c r="I1243" s="1" t="n">
        <v>677666</v>
      </c>
      <c r="J1243" s="9" t="n">
        <v>0.345</v>
      </c>
      <c r="K1243" s="1" t="inlineStr">
        <is>
          <t>No</t>
        </is>
      </c>
      <c r="L1243" s="1" t="inlineStr">
        <is>
          <t>Yes</t>
        </is>
      </c>
      <c r="M1243" s="1" t="inlineStr">
        <is>
          <t>No</t>
        </is>
      </c>
      <c r="N1243" s="1" t="inlineStr">
        <is>
          <t>Algorithms</t>
        </is>
      </c>
      <c r="O12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44" ht="15.75" customHeight="1" s="12">
      <c r="A1244" s="1" t="n">
        <v>1683</v>
      </c>
      <c r="B1244" s="3">
        <f>HYPERLINK("https://leetcode.com/problems/invalid-tweets/", "Invalid Tweets")</f>
        <v/>
      </c>
      <c r="C1244" s="1" t="n">
        <v>1437</v>
      </c>
      <c r="D1244" s="1" t="n">
        <v>380</v>
      </c>
      <c r="E1244" s="4">
        <f>IF(INDEX(C:C, ROW())+INDEX(D:D, ROW())=0, 0, INDEX(C:C, ROW())/(INDEX(C:C, ROW())+INDEX(D:D, ROW())))</f>
        <v/>
      </c>
      <c r="F1244" s="1" t="inlineStr">
        <is>
          <t>Database</t>
        </is>
      </c>
      <c r="G1244" s="1" t="inlineStr">
        <is>
          <t>Easy</t>
        </is>
      </c>
      <c r="H1244" s="1" t="n">
        <v>1327532</v>
      </c>
      <c r="I1244" s="1" t="n">
        <v>1557488</v>
      </c>
      <c r="J1244" s="9" t="n">
        <v>0.852</v>
      </c>
      <c r="K1244" s="1" t="inlineStr">
        <is>
          <t>Yes</t>
        </is>
      </c>
      <c r="L1244" s="1" t="inlineStr">
        <is>
          <t>Yes</t>
        </is>
      </c>
      <c r="M1244" s="1" t="inlineStr">
        <is>
          <t>No</t>
        </is>
      </c>
      <c r="N1244" s="1" t="inlineStr">
        <is>
          <t>Database</t>
        </is>
      </c>
      <c r="O12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45" ht="15.75" customHeight="1" s="12">
      <c r="A1245" s="1" t="n">
        <v>2870</v>
      </c>
      <c r="B1245" s="3">
        <f>HYPERLINK("https://leetcode.com/problems/minimum-number-of-operations-to-make-array-empty/", "Minimum Number of Operations to Make Array Empty")</f>
        <v/>
      </c>
      <c r="C1245" s="1" t="n">
        <v>1437</v>
      </c>
      <c r="D1245" s="1" t="n">
        <v>69</v>
      </c>
      <c r="E1245" s="4">
        <f>IF(INDEX(C:C, ROW())+INDEX(D:D, ROW())=0, 0, INDEX(C:C, ROW())/(INDEX(C:C, ROW())+INDEX(D:D, ROW())))</f>
        <v/>
      </c>
      <c r="F1245" s="1" t="inlineStr">
        <is>
          <t>Array, Hash Table, Greedy, Counting</t>
        </is>
      </c>
      <c r="G1245" s="1" t="inlineStr">
        <is>
          <t>Medium</t>
        </is>
      </c>
      <c r="H1245" s="1" t="n">
        <v>196812</v>
      </c>
      <c r="I1245" s="1" t="n">
        <v>317305</v>
      </c>
      <c r="J1245" s="9" t="n">
        <v>0.62</v>
      </c>
      <c r="K1245" s="1" t="inlineStr">
        <is>
          <t>Yes</t>
        </is>
      </c>
      <c r="L1245" s="1" t="inlineStr">
        <is>
          <t>Yes</t>
        </is>
      </c>
      <c r="M1245" s="1" t="inlineStr">
        <is>
          <t>No</t>
        </is>
      </c>
      <c r="N1245" s="1" t="inlineStr">
        <is>
          <t>Algorithms</t>
        </is>
      </c>
      <c r="O12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46" ht="15.75" customHeight="1" s="12">
      <c r="A1246" s="1" t="n">
        <v>1942</v>
      </c>
      <c r="B1246" s="3">
        <f>HYPERLINK("https://leetcode.com/problems/the-number-of-the-smallest-unoccupied-chair/", "The Number of the Smallest Unoccupied Chair")</f>
        <v/>
      </c>
      <c r="C1246" s="1" t="n">
        <v>1436</v>
      </c>
      <c r="D1246" s="1" t="n">
        <v>77</v>
      </c>
      <c r="E1246" s="4">
        <f>IF(INDEX(C:C, ROW())+INDEX(D:D, ROW())=0, 0, INDEX(C:C, ROW())/(INDEX(C:C, ROW())+INDEX(D:D, ROW())))</f>
        <v/>
      </c>
      <c r="F1246" s="1" t="inlineStr">
        <is>
          <t>Array, Hash Table, Heap (Priority Queue)</t>
        </is>
      </c>
      <c r="G1246" s="1" t="inlineStr">
        <is>
          <t>Medium</t>
        </is>
      </c>
      <c r="H1246" s="1" t="n">
        <v>126898</v>
      </c>
      <c r="I1246" s="1" t="n">
        <v>210217</v>
      </c>
      <c r="J1246" s="9" t="n">
        <v>0.604</v>
      </c>
      <c r="K1246" s="1" t="inlineStr">
        <is>
          <t>Yes</t>
        </is>
      </c>
      <c r="L1246" s="1" t="inlineStr">
        <is>
          <t>Yes</t>
        </is>
      </c>
      <c r="M1246" s="1" t="inlineStr">
        <is>
          <t>No</t>
        </is>
      </c>
      <c r="N1246" s="1" t="inlineStr">
        <is>
          <t>Algorithms</t>
        </is>
      </c>
      <c r="O12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47" ht="15.75" customHeight="1" s="12">
      <c r="A1247" s="1" t="n">
        <v>1992</v>
      </c>
      <c r="B1247" s="3">
        <f>HYPERLINK("https://leetcode.com/problems/find-all-groups-of-farmland/", "Find All Groups of Farmland")</f>
        <v/>
      </c>
      <c r="C1247" s="1" t="n">
        <v>1435</v>
      </c>
      <c r="D1247" s="1" t="n">
        <v>91</v>
      </c>
      <c r="E1247" s="4">
        <f>IF(INDEX(C:C, ROW())+INDEX(D:D, ROW())=0, 0, INDEX(C:C, ROW())/(INDEX(C:C, ROW())+INDEX(D:D, ROW())))</f>
        <v/>
      </c>
      <c r="F1247" s="1" t="inlineStr">
        <is>
          <t>Array, Depth-First Search, Breadth-First Search, Matrix</t>
        </is>
      </c>
      <c r="G1247" s="1" t="inlineStr">
        <is>
          <t>Medium</t>
        </is>
      </c>
      <c r="H1247" s="1" t="n">
        <v>140612</v>
      </c>
      <c r="I1247" s="1" t="n">
        <v>186266</v>
      </c>
      <c r="J1247" s="9" t="n">
        <v>0.755</v>
      </c>
      <c r="K1247" s="1" t="inlineStr">
        <is>
          <t>Yes</t>
        </is>
      </c>
      <c r="L1247" s="1" t="inlineStr">
        <is>
          <t>Yes</t>
        </is>
      </c>
      <c r="M1247" s="1" t="inlineStr">
        <is>
          <t>No</t>
        </is>
      </c>
      <c r="N1247" s="1" t="inlineStr">
        <is>
          <t>Algorithms</t>
        </is>
      </c>
      <c r="O12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48" ht="15.75" customHeight="1" s="12">
      <c r="A1248" s="1" t="n">
        <v>693</v>
      </c>
      <c r="B1248" s="3">
        <f>HYPERLINK("https://leetcode.com/problems/binary-number-with-alternating-bits/", "Binary Number with Alternating Bits")</f>
        <v/>
      </c>
      <c r="C1248" s="1" t="n">
        <v>1433</v>
      </c>
      <c r="D1248" s="1" t="n">
        <v>114</v>
      </c>
      <c r="E1248" s="4">
        <f>IF(INDEX(C:C, ROW())+INDEX(D:D, ROW())=0, 0, INDEX(C:C, ROW())/(INDEX(C:C, ROW())+INDEX(D:D, ROW())))</f>
        <v/>
      </c>
      <c r="F1248" s="1" t="inlineStr">
        <is>
          <t>Bit Manipulation</t>
        </is>
      </c>
      <c r="G1248" s="1" t="inlineStr">
        <is>
          <t>Easy</t>
        </is>
      </c>
      <c r="H1248" s="1" t="n">
        <v>170893</v>
      </c>
      <c r="I1248" s="1" t="n">
        <v>267131</v>
      </c>
      <c r="J1248" s="9" t="n">
        <v>0.64</v>
      </c>
      <c r="K1248" s="1" t="inlineStr">
        <is>
          <t>Yes</t>
        </is>
      </c>
      <c r="L1248" s="1" t="inlineStr">
        <is>
          <t>Yes</t>
        </is>
      </c>
      <c r="M1248" s="1" t="inlineStr">
        <is>
          <t>No</t>
        </is>
      </c>
      <c r="N1248" s="1" t="inlineStr">
        <is>
          <t>Algorithms</t>
        </is>
      </c>
      <c r="O12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49" ht="15.75" customHeight="1" s="12">
      <c r="A1249" s="1" t="n">
        <v>550</v>
      </c>
      <c r="B1249" s="3">
        <f>HYPERLINK("https://leetcode.com/problems/game-play-analysis-iv/", "Game Play Analysis IV")</f>
        <v/>
      </c>
      <c r="C1249" s="1" t="n">
        <v>1432</v>
      </c>
      <c r="D1249" s="1" t="n">
        <v>245</v>
      </c>
      <c r="E1249" s="4">
        <f>IF(INDEX(C:C, ROW())+INDEX(D:D, ROW())=0, 0, INDEX(C:C, ROW())/(INDEX(C:C, ROW())+INDEX(D:D, ROW())))</f>
        <v/>
      </c>
      <c r="F1249" s="1" t="inlineStr">
        <is>
          <t>Database</t>
        </is>
      </c>
      <c r="G1249" s="1" t="inlineStr">
        <is>
          <t>Medium</t>
        </is>
      </c>
      <c r="H1249" s="1" t="n">
        <v>419711</v>
      </c>
      <c r="I1249" s="1" t="n">
        <v>1034604</v>
      </c>
      <c r="J1249" s="9" t="n">
        <v>0.406</v>
      </c>
      <c r="K1249" s="1" t="inlineStr">
        <is>
          <t>Yes</t>
        </is>
      </c>
      <c r="L1249" s="1" t="inlineStr">
        <is>
          <t>Yes</t>
        </is>
      </c>
      <c r="M1249" s="1" t="inlineStr">
        <is>
          <t>No</t>
        </is>
      </c>
      <c r="N1249" s="1" t="inlineStr">
        <is>
          <t>Database</t>
        </is>
      </c>
      <c r="O12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50" ht="15.75" customHeight="1" s="12">
      <c r="A1250" s="1" t="n">
        <v>405</v>
      </c>
      <c r="B1250" s="3">
        <f>HYPERLINK("https://leetcode.com/problems/convert-a-number-to-hexadecimal/", "Convert a Number to Hexadecimal")</f>
        <v/>
      </c>
      <c r="C1250" s="1" t="n">
        <v>1425</v>
      </c>
      <c r="D1250" s="1" t="n">
        <v>228</v>
      </c>
      <c r="E1250" s="4">
        <f>IF(INDEX(C:C, ROW())+INDEX(D:D, ROW())=0, 0, INDEX(C:C, ROW())/(INDEX(C:C, ROW())+INDEX(D:D, ROW())))</f>
        <v/>
      </c>
      <c r="F1250" s="1" t="inlineStr">
        <is>
          <t>Math, String, Bit Manipulation</t>
        </is>
      </c>
      <c r="G1250" s="1" t="inlineStr">
        <is>
          <t>Easy</t>
        </is>
      </c>
      <c r="H1250" s="1" t="n">
        <v>205749</v>
      </c>
      <c r="I1250" s="1" t="n">
        <v>389115</v>
      </c>
      <c r="J1250" s="9" t="n">
        <v>0.529</v>
      </c>
      <c r="K1250" s="1" t="inlineStr">
        <is>
          <t>Yes</t>
        </is>
      </c>
      <c r="L1250" s="1" t="inlineStr">
        <is>
          <t>No</t>
        </is>
      </c>
      <c r="M1250" s="1" t="inlineStr">
        <is>
          <t>No</t>
        </is>
      </c>
      <c r="N1250" s="1" t="inlineStr">
        <is>
          <t>Algorithms</t>
        </is>
      </c>
      <c r="O12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51" ht="15.75" customHeight="1" s="12">
      <c r="A1251" s="1" t="n">
        <v>1261</v>
      </c>
      <c r="B1251" s="3">
        <f>HYPERLINK("https://leetcode.com/problems/find-elements-in-a-contaminated-binary-tree/", "Find Elements in a Contaminated Binary Tree")</f>
        <v/>
      </c>
      <c r="C1251" s="1" t="n">
        <v>1425</v>
      </c>
      <c r="D1251" s="1" t="n">
        <v>127</v>
      </c>
      <c r="E1251" s="4">
        <f>IF(INDEX(C:C, ROW())+INDEX(D:D, ROW())=0, 0, INDEX(C:C, ROW())/(INDEX(C:C, ROW())+INDEX(D:D, ROW())))</f>
        <v/>
      </c>
      <c r="F1251" s="1" t="inlineStr">
        <is>
          <t>Hash Table, Tree, Depth-First Search, Breadth-First Search, Design, Binary Tree</t>
        </is>
      </c>
      <c r="G1251" s="1" t="inlineStr">
        <is>
          <t>Medium</t>
        </is>
      </c>
      <c r="H1251" s="1" t="n">
        <v>201707</v>
      </c>
      <c r="I1251" s="1" t="n">
        <v>239856</v>
      </c>
      <c r="J1251" s="9" t="n">
        <v>0.841</v>
      </c>
      <c r="K1251" s="1" t="inlineStr">
        <is>
          <t>Yes</t>
        </is>
      </c>
      <c r="L1251" s="1" t="inlineStr">
        <is>
          <t>Yes</t>
        </is>
      </c>
      <c r="M1251" s="1" t="inlineStr">
        <is>
          <t>No</t>
        </is>
      </c>
      <c r="N1251" s="1" t="inlineStr">
        <is>
          <t>Algorithms</t>
        </is>
      </c>
      <c r="O12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52" ht="15.75" customHeight="1" s="12">
      <c r="A1252" s="1" t="n">
        <v>2037</v>
      </c>
      <c r="B1252" s="3">
        <f>HYPERLINK("https://leetcode.com/problems/minimum-number-of-moves-to-seat-everyone/", "Minimum Number of Moves to Seat Everyone")</f>
        <v/>
      </c>
      <c r="C1252" s="1" t="n">
        <v>1424</v>
      </c>
      <c r="D1252" s="1" t="n">
        <v>345</v>
      </c>
      <c r="E1252" s="4">
        <f>IF(INDEX(C:C, ROW())+INDEX(D:D, ROW())=0, 0, INDEX(C:C, ROW())/(INDEX(C:C, ROW())+INDEX(D:D, ROW())))</f>
        <v/>
      </c>
      <c r="F1252" s="1" t="inlineStr">
        <is>
          <t>Array, Greedy, Sorting, Counting Sort</t>
        </is>
      </c>
      <c r="G1252" s="1" t="inlineStr">
        <is>
          <t>Easy</t>
        </is>
      </c>
      <c r="H1252" s="1" t="n">
        <v>277970</v>
      </c>
      <c r="I1252" s="1" t="n">
        <v>318745</v>
      </c>
      <c r="J1252" s="9" t="n">
        <v>0.872</v>
      </c>
      <c r="K1252" s="1" t="inlineStr">
        <is>
          <t>Yes</t>
        </is>
      </c>
      <c r="L1252" s="1" t="inlineStr">
        <is>
          <t>Yes</t>
        </is>
      </c>
      <c r="M1252" s="1" t="inlineStr">
        <is>
          <t>No</t>
        </is>
      </c>
      <c r="N1252" s="1" t="inlineStr">
        <is>
          <t>Algorithms</t>
        </is>
      </c>
      <c r="O12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53" ht="15.75" customHeight="1" s="12">
      <c r="A1253" s="1" t="n">
        <v>1404</v>
      </c>
      <c r="B1253" s="3">
        <f>HYPERLINK("https://leetcode.com/problems/number-of-steps-to-reduce-a-number-in-binary-representation-to-one/", "Number of Steps to Reduce a Number in Binary Representation to One")</f>
        <v/>
      </c>
      <c r="C1253" s="1" t="n">
        <v>1422</v>
      </c>
      <c r="D1253" s="1" t="n">
        <v>89</v>
      </c>
      <c r="E1253" s="4">
        <f>IF(INDEX(C:C, ROW())+INDEX(D:D, ROW())=0, 0, INDEX(C:C, ROW())/(INDEX(C:C, ROW())+INDEX(D:D, ROW())))</f>
        <v/>
      </c>
      <c r="F1253" s="1" t="inlineStr">
        <is>
          <t>String, Bit Manipulation, Simulation</t>
        </is>
      </c>
      <c r="G1253" s="1" t="inlineStr">
        <is>
          <t>Medium</t>
        </is>
      </c>
      <c r="H1253" s="1" t="n">
        <v>157317</v>
      </c>
      <c r="I1253" s="1" t="n">
        <v>256471</v>
      </c>
      <c r="J1253" s="9" t="n">
        <v>0.613</v>
      </c>
      <c r="K1253" s="1" t="inlineStr">
        <is>
          <t>Yes</t>
        </is>
      </c>
      <c r="L1253" s="1" t="inlineStr">
        <is>
          <t>Yes</t>
        </is>
      </c>
      <c r="M1253" s="1" t="inlineStr">
        <is>
          <t>No</t>
        </is>
      </c>
      <c r="N1253" s="1" t="inlineStr">
        <is>
          <t>Algorithms</t>
        </is>
      </c>
      <c r="O12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54" ht="15.75" customHeight="1" s="12">
      <c r="A1254" s="1" t="n">
        <v>384</v>
      </c>
      <c r="B1254" s="3">
        <f>HYPERLINK("https://leetcode.com/problems/shuffle-an-array/", "Shuffle an Array")</f>
        <v/>
      </c>
      <c r="C1254" s="1" t="n">
        <v>1421</v>
      </c>
      <c r="D1254" s="1" t="n">
        <v>945</v>
      </c>
      <c r="E1254" s="4">
        <f>IF(INDEX(C:C, ROW())+INDEX(D:D, ROW())=0, 0, INDEX(C:C, ROW())/(INDEX(C:C, ROW())+INDEX(D:D, ROW())))</f>
        <v/>
      </c>
      <c r="F1254" s="1" t="inlineStr">
        <is>
          <t>Array, Math, Design, Randomized</t>
        </is>
      </c>
      <c r="G1254" s="1" t="inlineStr">
        <is>
          <t>Medium</t>
        </is>
      </c>
      <c r="H1254" s="1" t="n">
        <v>386942</v>
      </c>
      <c r="I1254" s="1" t="n">
        <v>650281</v>
      </c>
      <c r="J1254" s="9" t="n">
        <v>0.595</v>
      </c>
      <c r="K1254" s="1" t="inlineStr">
        <is>
          <t>Yes</t>
        </is>
      </c>
      <c r="L1254" s="1" t="inlineStr">
        <is>
          <t>Yes</t>
        </is>
      </c>
      <c r="M1254" s="1" t="inlineStr">
        <is>
          <t>No</t>
        </is>
      </c>
      <c r="N1254" s="1" t="inlineStr">
        <is>
          <t>Algorithms</t>
        </is>
      </c>
      <c r="O12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55" ht="15.75" customHeight="1" s="12">
      <c r="A1255" s="1" t="n">
        <v>397</v>
      </c>
      <c r="B1255" s="3">
        <f>HYPERLINK("https://leetcode.com/problems/integer-replacement/", "Integer Replacement")</f>
        <v/>
      </c>
      <c r="C1255" s="1" t="n">
        <v>1421</v>
      </c>
      <c r="D1255" s="1" t="n">
        <v>484</v>
      </c>
      <c r="E1255" s="4">
        <f>IF(INDEX(C:C, ROW())+INDEX(D:D, ROW())=0, 0, INDEX(C:C, ROW())/(INDEX(C:C, ROW())+INDEX(D:D, ROW())))</f>
        <v/>
      </c>
      <c r="F1255" s="1" t="inlineStr">
        <is>
          <t>Dynamic Programming, Greedy, Bit Manipulation, Memoization</t>
        </is>
      </c>
      <c r="G1255" s="1" t="inlineStr">
        <is>
          <t>Medium</t>
        </is>
      </c>
      <c r="H1255" s="1" t="n">
        <v>156296</v>
      </c>
      <c r="I1255" s="1" t="n">
        <v>421483</v>
      </c>
      <c r="J1255" s="9" t="n">
        <v>0.371</v>
      </c>
      <c r="K1255" s="1" t="inlineStr">
        <is>
          <t>Yes</t>
        </is>
      </c>
      <c r="L1255" s="1" t="inlineStr">
        <is>
          <t>No</t>
        </is>
      </c>
      <c r="M1255" s="1" t="inlineStr">
        <is>
          <t>No</t>
        </is>
      </c>
      <c r="N1255" s="1" t="inlineStr">
        <is>
          <t>Algorithms</t>
        </is>
      </c>
      <c r="O12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56" ht="15.75" customHeight="1" s="12">
      <c r="A1256" s="1" t="n">
        <v>1068</v>
      </c>
      <c r="B1256" s="3">
        <f>HYPERLINK("https://leetcode.com/problems/product-sales-analysis-i/", "Product Sales Analysis I")</f>
        <v/>
      </c>
      <c r="C1256" s="1" t="n">
        <v>1417</v>
      </c>
      <c r="D1256" s="1" t="n">
        <v>248</v>
      </c>
      <c r="E1256" s="4">
        <f>IF(INDEX(C:C, ROW())+INDEX(D:D, ROW())=0, 0, INDEX(C:C, ROW())/(INDEX(C:C, ROW())+INDEX(D:D, ROW())))</f>
        <v/>
      </c>
      <c r="F1256" s="1" t="inlineStr">
        <is>
          <t>Database</t>
        </is>
      </c>
      <c r="G1256" s="1" t="inlineStr">
        <is>
          <t>Easy</t>
        </is>
      </c>
      <c r="H1256" s="1" t="n">
        <v>1235428</v>
      </c>
      <c r="I1256" s="1" t="n">
        <v>1445293</v>
      </c>
      <c r="J1256" s="9" t="n">
        <v>0.855</v>
      </c>
      <c r="K1256" s="1" t="inlineStr">
        <is>
          <t>Yes</t>
        </is>
      </c>
      <c r="L1256" s="1" t="inlineStr">
        <is>
          <t>Yes</t>
        </is>
      </c>
      <c r="M1256" s="1" t="inlineStr">
        <is>
          <t>No</t>
        </is>
      </c>
      <c r="N1256" s="1" t="inlineStr">
        <is>
          <t>Database</t>
        </is>
      </c>
      <c r="O12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57" ht="15.75" customHeight="1" s="12">
      <c r="A1257" s="1" t="n">
        <v>1911</v>
      </c>
      <c r="B1257" s="3">
        <f>HYPERLINK("https://leetcode.com/problems/maximum-alternating-subsequence-sum/", "Maximum Alternating Subsequence Sum")</f>
        <v/>
      </c>
      <c r="C1257" s="1" t="n">
        <v>1412</v>
      </c>
      <c r="D1257" s="1" t="n">
        <v>33</v>
      </c>
      <c r="E1257" s="4">
        <f>IF(INDEX(C:C, ROW())+INDEX(D:D, ROW())=0, 0, INDEX(C:C, ROW())/(INDEX(C:C, ROW())+INDEX(D:D, ROW())))</f>
        <v/>
      </c>
      <c r="F1257" s="1" t="inlineStr">
        <is>
          <t>Array, Dynamic Programming</t>
        </is>
      </c>
      <c r="G1257" s="1" t="inlineStr">
        <is>
          <t>Medium</t>
        </is>
      </c>
      <c r="H1257" s="1" t="n">
        <v>60624</v>
      </c>
      <c r="I1257" s="1" t="n">
        <v>102866</v>
      </c>
      <c r="J1257" s="9" t="n">
        <v>0.589</v>
      </c>
      <c r="K1257" s="1" t="inlineStr">
        <is>
          <t>Yes</t>
        </is>
      </c>
      <c r="L1257" s="1" t="inlineStr">
        <is>
          <t>No</t>
        </is>
      </c>
      <c r="M1257" s="1" t="inlineStr">
        <is>
          <t>No</t>
        </is>
      </c>
      <c r="N1257" s="1" t="inlineStr">
        <is>
          <t>Algorithms</t>
        </is>
      </c>
      <c r="O12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58" ht="15.75" customHeight="1" s="12">
      <c r="A1258" s="1" t="n">
        <v>2785</v>
      </c>
      <c r="B1258" s="3">
        <f>HYPERLINK("https://leetcode.com/problems/sort-vowels-in-a-string/", "Sort Vowels in a String")</f>
        <v/>
      </c>
      <c r="C1258" s="1" t="n">
        <v>1411</v>
      </c>
      <c r="D1258" s="1" t="n">
        <v>73</v>
      </c>
      <c r="E1258" s="4">
        <f>IF(INDEX(C:C, ROW())+INDEX(D:D, ROW())=0, 0, INDEX(C:C, ROW())/(INDEX(C:C, ROW())+INDEX(D:D, ROW())))</f>
        <v/>
      </c>
      <c r="F1258" s="1" t="inlineStr">
        <is>
          <t>String, Sorting</t>
        </is>
      </c>
      <c r="G1258" s="1" t="inlineStr">
        <is>
          <t>Medium</t>
        </is>
      </c>
      <c r="H1258" s="1" t="n">
        <v>303247</v>
      </c>
      <c r="I1258" s="1" t="n">
        <v>363482</v>
      </c>
      <c r="J1258" s="9" t="n">
        <v>0.834</v>
      </c>
      <c r="K1258" s="1" t="inlineStr">
        <is>
          <t>Yes</t>
        </is>
      </c>
      <c r="L1258" s="1" t="inlineStr">
        <is>
          <t>Yes</t>
        </is>
      </c>
      <c r="M1258" s="1" t="inlineStr">
        <is>
          <t>No</t>
        </is>
      </c>
      <c r="N1258" s="1" t="inlineStr">
        <is>
          <t>Algorithms</t>
        </is>
      </c>
      <c r="O12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59" ht="15.75" customHeight="1" s="12">
      <c r="A1259" s="1" t="n">
        <v>262</v>
      </c>
      <c r="B1259" s="3">
        <f>HYPERLINK("https://leetcode.com/problems/trips-and-users/", "Trips and Users")</f>
        <v/>
      </c>
      <c r="C1259" s="1" t="n">
        <v>1407</v>
      </c>
      <c r="D1259" s="1" t="n">
        <v>707</v>
      </c>
      <c r="E1259" s="4">
        <f>IF(INDEX(C:C, ROW())+INDEX(D:D, ROW())=0, 0, INDEX(C:C, ROW())/(INDEX(C:C, ROW())+INDEX(D:D, ROW())))</f>
        <v/>
      </c>
      <c r="F1259" s="1" t="inlineStr">
        <is>
          <t>Database</t>
        </is>
      </c>
      <c r="G1259" s="1" t="inlineStr">
        <is>
          <t>Hard</t>
        </is>
      </c>
      <c r="H1259" s="1" t="n">
        <v>275673</v>
      </c>
      <c r="I1259" s="1" t="n">
        <v>734214</v>
      </c>
      <c r="J1259" s="9" t="n">
        <v>0.375</v>
      </c>
      <c r="K1259" s="1" t="inlineStr">
        <is>
          <t>Yes</t>
        </is>
      </c>
      <c r="L1259" s="1" t="inlineStr">
        <is>
          <t>Yes</t>
        </is>
      </c>
      <c r="M1259" s="1" t="inlineStr">
        <is>
          <t>No</t>
        </is>
      </c>
      <c r="N1259" s="1" t="inlineStr">
        <is>
          <t>Database</t>
        </is>
      </c>
      <c r="O12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60" ht="15.75" customHeight="1" s="12">
      <c r="A1260" s="1" t="n">
        <v>855</v>
      </c>
      <c r="B1260" s="3">
        <f>HYPERLINK("https://leetcode.com/problems/exam-room/", "Exam Room")</f>
        <v/>
      </c>
      <c r="C1260" s="1" t="n">
        <v>1407</v>
      </c>
      <c r="D1260" s="1" t="n">
        <v>520</v>
      </c>
      <c r="E1260" s="4">
        <f>IF(INDEX(C:C, ROW())+INDEX(D:D, ROW())=0, 0, INDEX(C:C, ROW())/(INDEX(C:C, ROW())+INDEX(D:D, ROW())))</f>
        <v/>
      </c>
      <c r="F1260" s="1" t="inlineStr">
        <is>
          <t>Design, Heap (Priority Queue), Ordered Set</t>
        </is>
      </c>
      <c r="G1260" s="1" t="inlineStr">
        <is>
          <t>Medium</t>
        </is>
      </c>
      <c r="H1260" s="1" t="n">
        <v>72547</v>
      </c>
      <c r="I1260" s="1" t="n">
        <v>168160</v>
      </c>
      <c r="J1260" s="9" t="n">
        <v>0.431</v>
      </c>
      <c r="K1260" s="1" t="inlineStr">
        <is>
          <t>Yes</t>
        </is>
      </c>
      <c r="L1260" s="1" t="inlineStr">
        <is>
          <t>Yes</t>
        </is>
      </c>
      <c r="M1260" s="1" t="inlineStr">
        <is>
          <t>No</t>
        </is>
      </c>
      <c r="N1260" s="1" t="inlineStr">
        <is>
          <t>Algorithms</t>
        </is>
      </c>
      <c r="O12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61" ht="15.75" customHeight="1" s="12">
      <c r="A1261" s="1" t="n">
        <v>1499</v>
      </c>
      <c r="B1261" s="3">
        <f>HYPERLINK("https://leetcode.com/problems/max-value-of-equation/", "Max Value of Equation")</f>
        <v/>
      </c>
      <c r="C1261" s="1" t="n">
        <v>1407</v>
      </c>
      <c r="D1261" s="1" t="n">
        <v>62</v>
      </c>
      <c r="E1261" s="4">
        <f>IF(INDEX(C:C, ROW())+INDEX(D:D, ROW())=0, 0, INDEX(C:C, ROW())/(INDEX(C:C, ROW())+INDEX(D:D, ROW())))</f>
        <v/>
      </c>
      <c r="F1261" s="1" t="inlineStr">
        <is>
          <t>Array, Queue, Sliding Window, Heap (Priority Queue), Monotonic Queue</t>
        </is>
      </c>
      <c r="G1261" s="1" t="inlineStr">
        <is>
          <t>Hard</t>
        </is>
      </c>
      <c r="H1261" s="1" t="n">
        <v>54354</v>
      </c>
      <c r="I1261" s="1" t="n">
        <v>121003</v>
      </c>
      <c r="J1261" s="9" t="n">
        <v>0.449</v>
      </c>
      <c r="K1261" s="1" t="inlineStr">
        <is>
          <t>Yes</t>
        </is>
      </c>
      <c r="L1261" s="1" t="inlineStr">
        <is>
          <t>No</t>
        </is>
      </c>
      <c r="M1261" s="1" t="inlineStr">
        <is>
          <t>No</t>
        </is>
      </c>
      <c r="N1261" s="1" t="inlineStr">
        <is>
          <t>Algorithms</t>
        </is>
      </c>
      <c r="O12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62" ht="15.75" customHeight="1" s="12">
      <c r="A1262" s="1" t="n">
        <v>545</v>
      </c>
      <c r="B1262" s="3">
        <f>HYPERLINK("https://leetcode.com/problems/boundary-of-binary-tree/", "Boundary of Binary Tree")</f>
        <v/>
      </c>
      <c r="C1262" s="1" t="n">
        <v>1406</v>
      </c>
      <c r="D1262" s="1" t="n">
        <v>2330</v>
      </c>
      <c r="E1262" s="4">
        <f>IF(INDEX(C:C, ROW())+INDEX(D:D, ROW())=0, 0, INDEX(C:C, ROW())/(INDEX(C:C, ROW())+INDEX(D:D, ROW())))</f>
        <v/>
      </c>
      <c r="F1262" s="1" t="inlineStr">
        <is>
          <t>Tree, Depth-First Search, Binary Tree</t>
        </is>
      </c>
      <c r="G1262" s="1" t="inlineStr">
        <is>
          <t>Medium</t>
        </is>
      </c>
      <c r="H1262" s="1" t="n">
        <v>170540</v>
      </c>
      <c r="I1262" s="1" t="n">
        <v>357073</v>
      </c>
      <c r="J1262" s="9" t="n">
        <v>0.478</v>
      </c>
      <c r="K1262" s="1" t="inlineStr">
        <is>
          <t>No</t>
        </is>
      </c>
      <c r="L1262" s="1" t="inlineStr">
        <is>
          <t>Yes</t>
        </is>
      </c>
      <c r="M1262" s="1" t="inlineStr">
        <is>
          <t>No</t>
        </is>
      </c>
      <c r="N1262" s="1" t="inlineStr">
        <is>
          <t>Algorithms</t>
        </is>
      </c>
      <c r="O12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63" ht="15.75" customHeight="1" s="12">
      <c r="A1263" s="1" t="n">
        <v>2485</v>
      </c>
      <c r="B1263" s="3">
        <f>HYPERLINK("https://leetcode.com/problems/find-the-pivot-integer/", "Find the Pivot Integer")</f>
        <v/>
      </c>
      <c r="C1263" s="1" t="n">
        <v>1404</v>
      </c>
      <c r="D1263" s="1" t="n">
        <v>60</v>
      </c>
      <c r="E1263" s="4">
        <f>IF(INDEX(C:C, ROW())+INDEX(D:D, ROW())=0, 0, INDEX(C:C, ROW())/(INDEX(C:C, ROW())+INDEX(D:D, ROW())))</f>
        <v/>
      </c>
      <c r="F1263" s="1" t="inlineStr">
        <is>
          <t>Math, Prefix Sum</t>
        </is>
      </c>
      <c r="G1263" s="1" t="inlineStr">
        <is>
          <t>Easy</t>
        </is>
      </c>
      <c r="H1263" s="1" t="n">
        <v>288057</v>
      </c>
      <c r="I1263" s="1" t="n">
        <v>343589</v>
      </c>
      <c r="J1263" s="9" t="n">
        <v>0.838</v>
      </c>
      <c r="K1263" s="1" t="inlineStr">
        <is>
          <t>Yes</t>
        </is>
      </c>
      <c r="L1263" s="1" t="inlineStr">
        <is>
          <t>Yes</t>
        </is>
      </c>
      <c r="M1263" s="1" t="inlineStr">
        <is>
          <t>No</t>
        </is>
      </c>
      <c r="N1263" s="1" t="inlineStr">
        <is>
          <t>Algorithms</t>
        </is>
      </c>
      <c r="O12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64" ht="15.75" customHeight="1" s="12">
      <c r="A1264" s="1" t="n">
        <v>2342</v>
      </c>
      <c r="B1264" s="3">
        <f>HYPERLINK("https://leetcode.com/problems/max-sum-of-a-pair-with-equal-sum-of-digits/", "Max Sum of a Pair With Equal Sum of Digits")</f>
        <v/>
      </c>
      <c r="C1264" s="1" t="n">
        <v>1403</v>
      </c>
      <c r="D1264" s="1" t="n">
        <v>46</v>
      </c>
      <c r="E1264" s="4">
        <f>IF(INDEX(C:C, ROW())+INDEX(D:D, ROW())=0, 0, INDEX(C:C, ROW())/(INDEX(C:C, ROW())+INDEX(D:D, ROW())))</f>
        <v/>
      </c>
      <c r="F1264" s="1" t="inlineStr">
        <is>
          <t>Array, Hash Table, Sorting, Heap (Priority Queue)</t>
        </is>
      </c>
      <c r="G1264" s="1" t="inlineStr">
        <is>
          <t>Medium</t>
        </is>
      </c>
      <c r="H1264" s="1" t="n">
        <v>246601</v>
      </c>
      <c r="I1264" s="1" t="n">
        <v>373913</v>
      </c>
      <c r="J1264" s="9" t="n">
        <v>0.66</v>
      </c>
      <c r="K1264" s="1" t="inlineStr">
        <is>
          <t>Yes</t>
        </is>
      </c>
      <c r="L1264" s="1" t="inlineStr">
        <is>
          <t>Yes</t>
        </is>
      </c>
      <c r="M1264" s="1" t="inlineStr">
        <is>
          <t>No</t>
        </is>
      </c>
      <c r="N1264" s="1" t="inlineStr">
        <is>
          <t>Algorithms</t>
        </is>
      </c>
      <c r="O12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65" ht="15.75" customHeight="1" s="12">
      <c r="A1265" s="1" t="n">
        <v>2008</v>
      </c>
      <c r="B1265" s="3">
        <f>HYPERLINK("https://leetcode.com/problems/maximum-earnings-from-taxi/", "Maximum Earnings From Taxi")</f>
        <v/>
      </c>
      <c r="C1265" s="1" t="n">
        <v>1402</v>
      </c>
      <c r="D1265" s="1" t="n">
        <v>26</v>
      </c>
      <c r="E1265" s="4">
        <f>IF(INDEX(C:C, ROW())+INDEX(D:D, ROW())=0, 0, INDEX(C:C, ROW())/(INDEX(C:C, ROW())+INDEX(D:D, ROW())))</f>
        <v/>
      </c>
      <c r="F1265" s="1" t="inlineStr">
        <is>
          <t>Array, Hash Table, Binary Search, Dynamic Programming, Sorting</t>
        </is>
      </c>
      <c r="G1265" s="1" t="inlineStr">
        <is>
          <t>Medium</t>
        </is>
      </c>
      <c r="H1265" s="1" t="n">
        <v>47103</v>
      </c>
      <c r="I1265" s="1" t="n">
        <v>102219</v>
      </c>
      <c r="J1265" s="9" t="n">
        <v>0.461</v>
      </c>
      <c r="K1265" s="1" t="inlineStr">
        <is>
          <t>Yes</t>
        </is>
      </c>
      <c r="L1265" s="1" t="inlineStr">
        <is>
          <t>No</t>
        </is>
      </c>
      <c r="M1265" s="1" t="inlineStr">
        <is>
          <t>No</t>
        </is>
      </c>
      <c r="N1265" s="1" t="inlineStr">
        <is>
          <t>Algorithms</t>
        </is>
      </c>
      <c r="O12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66" ht="15.75" customHeight="1" s="12">
      <c r="A1266" s="1" t="n">
        <v>1624</v>
      </c>
      <c r="B1266" s="3">
        <f>HYPERLINK("https://leetcode.com/problems/largest-substring-between-two-equal-characters/", "Largest Substring Between Two Equal Characters")</f>
        <v/>
      </c>
      <c r="C1266" s="1" t="n">
        <v>1401</v>
      </c>
      <c r="D1266" s="1" t="n">
        <v>68</v>
      </c>
      <c r="E1266" s="4">
        <f>IF(INDEX(C:C, ROW())+INDEX(D:D, ROW())=0, 0, INDEX(C:C, ROW())/(INDEX(C:C, ROW())+INDEX(D:D, ROW())))</f>
        <v/>
      </c>
      <c r="F1266" s="1" t="inlineStr">
        <is>
          <t>Hash Table, String</t>
        </is>
      </c>
      <c r="G1266" s="1" t="inlineStr">
        <is>
          <t>Easy</t>
        </is>
      </c>
      <c r="H1266" s="1" t="n">
        <v>177922</v>
      </c>
      <c r="I1266" s="1" t="n">
        <v>260580</v>
      </c>
      <c r="J1266" s="9" t="n">
        <v>0.6830000000000001</v>
      </c>
      <c r="K1266" s="1" t="inlineStr">
        <is>
          <t>Yes</t>
        </is>
      </c>
      <c r="L1266" s="1" t="inlineStr">
        <is>
          <t>Yes</t>
        </is>
      </c>
      <c r="M1266" s="1" t="inlineStr">
        <is>
          <t>No</t>
        </is>
      </c>
      <c r="N1266" s="1" t="inlineStr">
        <is>
          <t>Algorithms</t>
        </is>
      </c>
      <c r="O12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67" ht="15.75" customHeight="1" s="12">
      <c r="A1267" s="1" t="n">
        <v>2044</v>
      </c>
      <c r="B1267" s="3">
        <f>HYPERLINK("https://leetcode.com/problems/count-number-of-maximum-bitwise-or-subsets/", "Count Number of Maximum Bitwise-OR Subsets")</f>
        <v/>
      </c>
      <c r="C1267" s="1" t="n">
        <v>1401</v>
      </c>
      <c r="D1267" s="1" t="n">
        <v>97</v>
      </c>
      <c r="E1267" s="4">
        <f>IF(INDEX(C:C, ROW())+INDEX(D:D, ROW())=0, 0, INDEX(C:C, ROW())/(INDEX(C:C, ROW())+INDEX(D:D, ROW())))</f>
        <v/>
      </c>
      <c r="F1267" s="1" t="inlineStr">
        <is>
          <t>Array, Backtracking, Bit Manipulation, Enumeration</t>
        </is>
      </c>
      <c r="G1267" s="1" t="inlineStr">
        <is>
          <t>Medium</t>
        </is>
      </c>
      <c r="H1267" s="1" t="n">
        <v>246067</v>
      </c>
      <c r="I1267" s="1" t="n">
        <v>274774</v>
      </c>
      <c r="J1267" s="9" t="n">
        <v>0.896</v>
      </c>
      <c r="K1267" s="1" t="inlineStr">
        <is>
          <t>Yes</t>
        </is>
      </c>
      <c r="L1267" s="1" t="inlineStr">
        <is>
          <t>Yes</t>
        </is>
      </c>
      <c r="M1267" s="1" t="inlineStr">
        <is>
          <t>No</t>
        </is>
      </c>
      <c r="N1267" s="1" t="inlineStr">
        <is>
          <t>Algorithms</t>
        </is>
      </c>
      <c r="O12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68" ht="15.75" customHeight="1" s="12">
      <c r="A1268" s="1" t="n">
        <v>738</v>
      </c>
      <c r="B1268" s="3">
        <f>HYPERLINK("https://leetcode.com/problems/monotone-increasing-digits/", "Monotone Increasing Digits")</f>
        <v/>
      </c>
      <c r="C1268" s="1" t="n">
        <v>1400</v>
      </c>
      <c r="D1268" s="1" t="n">
        <v>115</v>
      </c>
      <c r="E1268" s="4">
        <f>IF(INDEX(C:C, ROW())+INDEX(D:D, ROW())=0, 0, INDEX(C:C, ROW())/(INDEX(C:C, ROW())+INDEX(D:D, ROW())))</f>
        <v/>
      </c>
      <c r="F1268" s="1" t="inlineStr">
        <is>
          <t>Math, Greedy</t>
        </is>
      </c>
      <c r="G1268" s="1" t="inlineStr">
        <is>
          <t>Medium</t>
        </is>
      </c>
      <c r="H1268" s="1" t="n">
        <v>66944</v>
      </c>
      <c r="I1268" s="1" t="n">
        <v>135836</v>
      </c>
      <c r="J1268" s="9" t="n">
        <v>0.493</v>
      </c>
      <c r="K1268" s="1" t="inlineStr">
        <is>
          <t>Yes</t>
        </is>
      </c>
      <c r="L1268" s="1" t="inlineStr">
        <is>
          <t>Yes</t>
        </is>
      </c>
      <c r="M1268" s="1" t="inlineStr">
        <is>
          <t>No</t>
        </is>
      </c>
      <c r="N1268" s="1" t="inlineStr">
        <is>
          <t>Algorithms</t>
        </is>
      </c>
      <c r="O12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69" ht="15.75" customHeight="1" s="12">
      <c r="A1269" s="1" t="n">
        <v>835</v>
      </c>
      <c r="B1269" s="3">
        <f>HYPERLINK("https://leetcode.com/problems/image-overlap/", "Image Overlap")</f>
        <v/>
      </c>
      <c r="C1269" s="1" t="n">
        <v>1400</v>
      </c>
      <c r="D1269" s="1" t="n">
        <v>504</v>
      </c>
      <c r="E1269" s="4">
        <f>IF(INDEX(C:C, ROW())+INDEX(D:D, ROW())=0, 0, INDEX(C:C, ROW())/(INDEX(C:C, ROW())+INDEX(D:D, ROW())))</f>
        <v/>
      </c>
      <c r="F1269" s="1" t="inlineStr">
        <is>
          <t>Array, Matrix</t>
        </is>
      </c>
      <c r="G1269" s="1" t="inlineStr">
        <is>
          <t>Medium</t>
        </is>
      </c>
      <c r="H1269" s="1" t="n">
        <v>104180</v>
      </c>
      <c r="I1269" s="1" t="n">
        <v>162949</v>
      </c>
      <c r="J1269" s="9" t="n">
        <v>0.639</v>
      </c>
      <c r="K1269" s="1" t="inlineStr">
        <is>
          <t>Yes</t>
        </is>
      </c>
      <c r="L1269" s="1" t="inlineStr">
        <is>
          <t>Yes</t>
        </is>
      </c>
      <c r="M1269" s="1" t="inlineStr">
        <is>
          <t>No</t>
        </is>
      </c>
      <c r="N1269" s="1" t="inlineStr">
        <is>
          <t>Algorithms</t>
        </is>
      </c>
      <c r="O12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70" ht="15.75" customHeight="1" s="12">
      <c r="A1270" s="1" t="n">
        <v>1550</v>
      </c>
      <c r="B1270" s="3">
        <f>HYPERLINK("https://leetcode.com/problems/three-consecutive-odds/", "Three Consecutive Odds")</f>
        <v/>
      </c>
      <c r="C1270" s="1" t="n">
        <v>1399</v>
      </c>
      <c r="D1270" s="1" t="n">
        <v>106</v>
      </c>
      <c r="E1270" s="4">
        <f>IF(INDEX(C:C, ROW())+INDEX(D:D, ROW())=0, 0, INDEX(C:C, ROW())/(INDEX(C:C, ROW())+INDEX(D:D, ROW())))</f>
        <v/>
      </c>
      <c r="F1270" s="1" t="inlineStr">
        <is>
          <t>Array</t>
        </is>
      </c>
      <c r="G1270" s="1" t="inlineStr">
        <is>
          <t>Easy</t>
        </is>
      </c>
      <c r="H1270" s="1" t="n">
        <v>434504</v>
      </c>
      <c r="I1270" s="1" t="n">
        <v>626142</v>
      </c>
      <c r="J1270" s="9" t="n">
        <v>0.694</v>
      </c>
      <c r="K1270" s="1" t="inlineStr">
        <is>
          <t>Yes</t>
        </is>
      </c>
      <c r="L1270" s="1" t="inlineStr">
        <is>
          <t>Yes</t>
        </is>
      </c>
      <c r="M1270" s="1" t="inlineStr">
        <is>
          <t>No</t>
        </is>
      </c>
      <c r="N1270" s="1" t="inlineStr">
        <is>
          <t>Algorithms</t>
        </is>
      </c>
      <c r="O12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71" ht="15.75" customHeight="1" s="12">
      <c r="A1271" s="1" t="n">
        <v>2289</v>
      </c>
      <c r="B1271" s="3">
        <f>HYPERLINK("https://leetcode.com/problems/steps-to-make-array-non-decreasing/", "Steps to Make Array Non-decreasing")</f>
        <v/>
      </c>
      <c r="C1271" s="1" t="n">
        <v>1399</v>
      </c>
      <c r="D1271" s="1" t="n">
        <v>147</v>
      </c>
      <c r="E1271" s="4">
        <f>IF(INDEX(C:C, ROW())+INDEX(D:D, ROW())=0, 0, INDEX(C:C, ROW())/(INDEX(C:C, ROW())+INDEX(D:D, ROW())))</f>
        <v/>
      </c>
      <c r="F1271" s="1" t="inlineStr">
        <is>
          <t>Array, Linked List, Stack, Monotonic Stack</t>
        </is>
      </c>
      <c r="G1271" s="1" t="inlineStr">
        <is>
          <t>Medium</t>
        </is>
      </c>
      <c r="H1271" s="1" t="n">
        <v>29618</v>
      </c>
      <c r="I1271" s="1" t="n">
        <v>123029</v>
      </c>
      <c r="J1271" s="9" t="n">
        <v>0.241</v>
      </c>
      <c r="K1271" s="1" t="inlineStr">
        <is>
          <t>Yes</t>
        </is>
      </c>
      <c r="L1271" s="1" t="inlineStr">
        <is>
          <t>No</t>
        </is>
      </c>
      <c r="M1271" s="1" t="inlineStr">
        <is>
          <t>No</t>
        </is>
      </c>
      <c r="N1271" s="1" t="inlineStr">
        <is>
          <t>Algorithms</t>
        </is>
      </c>
      <c r="O12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72" ht="15.75" customHeight="1" s="12">
      <c r="A1272" s="1" t="n">
        <v>1145</v>
      </c>
      <c r="B1272" s="3">
        <f>HYPERLINK("https://leetcode.com/problems/binary-tree-coloring-game/", "Binary Tree Coloring Game")</f>
        <v/>
      </c>
      <c r="C1272" s="1" t="n">
        <v>1398</v>
      </c>
      <c r="D1272" s="1" t="n">
        <v>225</v>
      </c>
      <c r="E1272" s="4">
        <f>IF(INDEX(C:C, ROW())+INDEX(D:D, ROW())=0, 0, INDEX(C:C, ROW())/(INDEX(C:C, ROW())+INDEX(D:D, ROW())))</f>
        <v/>
      </c>
      <c r="F1272" s="1" t="inlineStr">
        <is>
          <t>Tree, Depth-First Search, Binary Tree</t>
        </is>
      </c>
      <c r="G1272" s="1" t="inlineStr">
        <is>
          <t>Medium</t>
        </is>
      </c>
      <c r="H1272" s="1" t="n">
        <v>54145</v>
      </c>
      <c r="I1272" s="1" t="n">
        <v>102541</v>
      </c>
      <c r="J1272" s="9" t="n">
        <v>0.528</v>
      </c>
      <c r="K1272" s="1" t="inlineStr">
        <is>
          <t>Yes</t>
        </is>
      </c>
      <c r="L1272" s="1" t="inlineStr">
        <is>
          <t>No</t>
        </is>
      </c>
      <c r="M1272" s="1" t="inlineStr">
        <is>
          <t>No</t>
        </is>
      </c>
      <c r="N1272" s="1" t="inlineStr">
        <is>
          <t>Algorithms</t>
        </is>
      </c>
      <c r="O12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73" ht="15.75" customHeight="1" s="12">
      <c r="A1273" s="1" t="n">
        <v>505</v>
      </c>
      <c r="B1273" s="3">
        <f>HYPERLINK("https://leetcode.com/problems/the-maze-ii/", "The Maze II")</f>
        <v/>
      </c>
      <c r="C1273" s="1" t="n">
        <v>1390</v>
      </c>
      <c r="D1273" s="1" t="n">
        <v>63</v>
      </c>
      <c r="E1273" s="4">
        <f>IF(INDEX(C:C, ROW())+INDEX(D:D, ROW())=0, 0, INDEX(C:C, ROW())/(INDEX(C:C, ROW())+INDEX(D:D, ROW())))</f>
        <v/>
      </c>
      <c r="F1273" s="1" t="inlineStr">
        <is>
          <t>Array, Depth-First Search, Breadth-First Search, Graph Theory, Heap (Priority Queue), Matrix, Shortest Path</t>
        </is>
      </c>
      <c r="G1273" s="1" t="inlineStr">
        <is>
          <t>Medium</t>
        </is>
      </c>
      <c r="H1273" s="1" t="n">
        <v>125986</v>
      </c>
      <c r="I1273" s="1" t="n">
        <v>229912</v>
      </c>
      <c r="J1273" s="9" t="n">
        <v>0.548</v>
      </c>
      <c r="K1273" s="1" t="inlineStr">
        <is>
          <t>No</t>
        </is>
      </c>
      <c r="L1273" s="1" t="inlineStr">
        <is>
          <t>Yes</t>
        </is>
      </c>
      <c r="M1273" s="1" t="inlineStr">
        <is>
          <t>No</t>
        </is>
      </c>
      <c r="N1273" s="1" t="inlineStr">
        <is>
          <t>Algorithms</t>
        </is>
      </c>
      <c r="O12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74" ht="15.75" customHeight="1" s="12">
      <c r="A1274" s="1" t="n">
        <v>2467</v>
      </c>
      <c r="B1274" s="3">
        <f>HYPERLINK("https://leetcode.com/problems/most-profitable-path-in-a-tree/", "Most Profitable Path in a Tree")</f>
        <v/>
      </c>
      <c r="C1274" s="1" t="n">
        <v>1390</v>
      </c>
      <c r="D1274" s="1" t="n">
        <v>244</v>
      </c>
      <c r="E1274" s="4">
        <f>IF(INDEX(C:C, ROW())+INDEX(D:D, ROW())=0, 0, INDEX(C:C, ROW())/(INDEX(C:C, ROW())+INDEX(D:D, ROW())))</f>
        <v/>
      </c>
      <c r="F1274" s="1" t="inlineStr">
        <is>
          <t>Array, Tree, Depth-First Search, Breadth-First Search, Graph Theory</t>
        </is>
      </c>
      <c r="G1274" s="1" t="inlineStr">
        <is>
          <t>Medium</t>
        </is>
      </c>
      <c r="H1274" s="1" t="n">
        <v>107908</v>
      </c>
      <c r="I1274" s="1" t="n">
        <v>160185</v>
      </c>
      <c r="J1274" s="9" t="n">
        <v>0.674</v>
      </c>
      <c r="K1274" s="1" t="inlineStr">
        <is>
          <t>Yes</t>
        </is>
      </c>
      <c r="L1274" s="1" t="inlineStr">
        <is>
          <t>Yes</t>
        </is>
      </c>
      <c r="M1274" s="1" t="inlineStr">
        <is>
          <t>No</t>
        </is>
      </c>
      <c r="N1274" s="1" t="inlineStr">
        <is>
          <t>Algorithms</t>
        </is>
      </c>
      <c r="O12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75" ht="15.75" customHeight="1" s="12">
      <c r="A1275" s="1" t="n">
        <v>1664</v>
      </c>
      <c r="B1275" s="3">
        <f>HYPERLINK("https://leetcode.com/problems/ways-to-make-a-fair-array/", "Ways to Make a Fair Array")</f>
        <v/>
      </c>
      <c r="C1275" s="1" t="n">
        <v>1389</v>
      </c>
      <c r="D1275" s="1" t="n">
        <v>46</v>
      </c>
      <c r="E1275" s="4">
        <f>IF(INDEX(C:C, ROW())+INDEX(D:D, ROW())=0, 0, INDEX(C:C, ROW())/(INDEX(C:C, ROW())+INDEX(D:D, ROW())))</f>
        <v/>
      </c>
      <c r="F1275" s="1" t="inlineStr">
        <is>
          <t>Array, Prefix Sum</t>
        </is>
      </c>
      <c r="G1275" s="1" t="inlineStr">
        <is>
          <t>Medium</t>
        </is>
      </c>
      <c r="H1275" s="1" t="n">
        <v>52866</v>
      </c>
      <c r="I1275" s="1" t="n">
        <v>80166</v>
      </c>
      <c r="J1275" s="9" t="n">
        <v>0.659</v>
      </c>
      <c r="K1275" s="1" t="inlineStr">
        <is>
          <t>Yes</t>
        </is>
      </c>
      <c r="L1275" s="1" t="inlineStr">
        <is>
          <t>No</t>
        </is>
      </c>
      <c r="M1275" s="1" t="inlineStr">
        <is>
          <t>No</t>
        </is>
      </c>
      <c r="N1275" s="1" t="inlineStr">
        <is>
          <t>Algorithms</t>
        </is>
      </c>
      <c r="O12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76" ht="15.75" customHeight="1" s="12">
      <c r="A1276" s="1" t="n">
        <v>1707</v>
      </c>
      <c r="B1276" s="3">
        <f>HYPERLINK("https://leetcode.com/problems/maximum-xor-with-an-element-from-array/", "Maximum XOR With an Element From Array")</f>
        <v/>
      </c>
      <c r="C1276" s="1" t="n">
        <v>1389</v>
      </c>
      <c r="D1276" s="1" t="n">
        <v>40</v>
      </c>
      <c r="E1276" s="4">
        <f>IF(INDEX(C:C, ROW())+INDEX(D:D, ROW())=0, 0, INDEX(C:C, ROW())/(INDEX(C:C, ROW())+INDEX(D:D, ROW())))</f>
        <v/>
      </c>
      <c r="F1276" s="1" t="inlineStr">
        <is>
          <t>Array, Bit Manipulation, Trie</t>
        </is>
      </c>
      <c r="G1276" s="1" t="inlineStr">
        <is>
          <t>Hard</t>
        </is>
      </c>
      <c r="H1276" s="1" t="n">
        <v>43299</v>
      </c>
      <c r="I1276" s="1" t="n">
        <v>75724</v>
      </c>
      <c r="J1276" s="9" t="n">
        <v>0.572</v>
      </c>
      <c r="K1276" s="1" t="inlineStr">
        <is>
          <t>Yes</t>
        </is>
      </c>
      <c r="L1276" s="1" t="inlineStr">
        <is>
          <t>No</t>
        </is>
      </c>
      <c r="M1276" s="1" t="inlineStr">
        <is>
          <t>No</t>
        </is>
      </c>
      <c r="N1276" s="1" t="inlineStr">
        <is>
          <t>Algorithms</t>
        </is>
      </c>
      <c r="O12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77" ht="15.75" customHeight="1" s="12">
      <c r="A1277" s="1" t="n">
        <v>398</v>
      </c>
      <c r="B1277" s="3">
        <f>HYPERLINK("https://leetcode.com/problems/random-pick-index/", "Random Pick Index")</f>
        <v/>
      </c>
      <c r="C1277" s="1" t="n">
        <v>1388</v>
      </c>
      <c r="D1277" s="1" t="n">
        <v>1307</v>
      </c>
      <c r="E1277" s="4">
        <f>IF(INDEX(C:C, ROW())+INDEX(D:D, ROW())=0, 0, INDEX(C:C, ROW())/(INDEX(C:C, ROW())+INDEX(D:D, ROW())))</f>
        <v/>
      </c>
      <c r="F1277" s="1" t="inlineStr">
        <is>
          <t>Hash Table, Math, Reservoir Sampling, Randomized</t>
        </is>
      </c>
      <c r="G1277" s="1" t="inlineStr">
        <is>
          <t>Medium</t>
        </is>
      </c>
      <c r="H1277" s="1" t="n">
        <v>300641</v>
      </c>
      <c r="I1277" s="1" t="n">
        <v>462992</v>
      </c>
      <c r="J1277" s="9" t="n">
        <v>0.649</v>
      </c>
      <c r="K1277" s="1" t="inlineStr">
        <is>
          <t>Yes</t>
        </is>
      </c>
      <c r="L1277" s="1" t="inlineStr">
        <is>
          <t>Yes</t>
        </is>
      </c>
      <c r="M1277" s="1" t="inlineStr">
        <is>
          <t>No</t>
        </is>
      </c>
      <c r="N1277" s="1" t="inlineStr">
        <is>
          <t>Algorithms</t>
        </is>
      </c>
      <c r="O12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78" ht="15.75" customHeight="1" s="12">
      <c r="A1278" s="1" t="n">
        <v>1286</v>
      </c>
      <c r="B1278" s="3">
        <f>HYPERLINK("https://leetcode.com/problems/iterator-for-combination/", "Iterator for Combination")</f>
        <v/>
      </c>
      <c r="C1278" s="1" t="n">
        <v>1387</v>
      </c>
      <c r="D1278" s="1" t="n">
        <v>108</v>
      </c>
      <c r="E1278" s="4">
        <f>IF(INDEX(C:C, ROW())+INDEX(D:D, ROW())=0, 0, INDEX(C:C, ROW())/(INDEX(C:C, ROW())+INDEX(D:D, ROW())))</f>
        <v/>
      </c>
      <c r="F1278" s="1" t="inlineStr">
        <is>
          <t>String, Backtracking, Design, Iterator</t>
        </is>
      </c>
      <c r="G1278" s="1" t="inlineStr">
        <is>
          <t>Medium</t>
        </is>
      </c>
      <c r="H1278" s="1" t="n">
        <v>81328</v>
      </c>
      <c r="I1278" s="1" t="n">
        <v>111974</v>
      </c>
      <c r="J1278" s="9" t="n">
        <v>0.726</v>
      </c>
      <c r="K1278" s="1" t="inlineStr">
        <is>
          <t>Yes</t>
        </is>
      </c>
      <c r="L1278" s="1" t="inlineStr">
        <is>
          <t>Yes</t>
        </is>
      </c>
      <c r="M1278" s="1" t="inlineStr">
        <is>
          <t>No</t>
        </is>
      </c>
      <c r="N1278" s="1" t="inlineStr">
        <is>
          <t>Algorithms</t>
        </is>
      </c>
      <c r="O12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79" ht="15.75" customHeight="1" s="12">
      <c r="A1279" s="1" t="n">
        <v>2264</v>
      </c>
      <c r="B1279" s="3">
        <f>HYPERLINK("https://leetcode.com/problems/largest-3-same-digit-number-in-string/", "Largest 3-Same-Digit Number in String")</f>
        <v/>
      </c>
      <c r="C1279" s="1" t="n">
        <v>1384</v>
      </c>
      <c r="D1279" s="1" t="n">
        <v>55</v>
      </c>
      <c r="E1279" s="4">
        <f>IF(INDEX(C:C, ROW())+INDEX(D:D, ROW())=0, 0, INDEX(C:C, ROW())/(INDEX(C:C, ROW())+INDEX(D:D, ROW())))</f>
        <v/>
      </c>
      <c r="F1279" s="1" t="inlineStr">
        <is>
          <t>String</t>
        </is>
      </c>
      <c r="G1279" s="1" t="inlineStr">
        <is>
          <t>Easy</t>
        </is>
      </c>
      <c r="H1279" s="1" t="n">
        <v>322144</v>
      </c>
      <c r="I1279" s="1" t="n">
        <v>443140</v>
      </c>
      <c r="J1279" s="9" t="n">
        <v>0.727</v>
      </c>
      <c r="K1279" s="1" t="inlineStr">
        <is>
          <t>Yes</t>
        </is>
      </c>
      <c r="L1279" s="1" t="inlineStr">
        <is>
          <t>Yes</t>
        </is>
      </c>
      <c r="M1279" s="1" t="inlineStr">
        <is>
          <t>No</t>
        </is>
      </c>
      <c r="N1279" s="1" t="inlineStr">
        <is>
          <t>Algorithms</t>
        </is>
      </c>
      <c r="O12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80" ht="15.75" customHeight="1" s="12">
      <c r="A1280" s="1" t="n">
        <v>607</v>
      </c>
      <c r="B1280" s="3">
        <f>HYPERLINK("https://leetcode.com/problems/sales-person/", "Sales Person")</f>
        <v/>
      </c>
      <c r="C1280" s="1" t="n">
        <v>1383</v>
      </c>
      <c r="D1280" s="1" t="n">
        <v>117</v>
      </c>
      <c r="E1280" s="4">
        <f>IF(INDEX(C:C, ROW())+INDEX(D:D, ROW())=0, 0, INDEX(C:C, ROW())/(INDEX(C:C, ROW())+INDEX(D:D, ROW())))</f>
        <v/>
      </c>
      <c r="F1280" s="1" t="inlineStr">
        <is>
          <t>Database</t>
        </is>
      </c>
      <c r="G1280" s="1" t="inlineStr">
        <is>
          <t>Easy</t>
        </is>
      </c>
      <c r="H1280" s="1" t="n">
        <v>351763</v>
      </c>
      <c r="I1280" s="1" t="n">
        <v>533828</v>
      </c>
      <c r="J1280" s="9" t="n">
        <v>0.659</v>
      </c>
      <c r="K1280" s="1" t="inlineStr">
        <is>
          <t>Yes</t>
        </is>
      </c>
      <c r="L1280" s="1" t="inlineStr">
        <is>
          <t>Yes</t>
        </is>
      </c>
      <c r="M1280" s="1" t="inlineStr">
        <is>
          <t>No</t>
        </is>
      </c>
      <c r="N1280" s="1" t="inlineStr">
        <is>
          <t>Database</t>
        </is>
      </c>
      <c r="O12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81" ht="15.75" customHeight="1" s="12">
      <c r="A1281" s="1" t="n">
        <v>388</v>
      </c>
      <c r="B1281" s="3">
        <f>HYPERLINK("https://leetcode.com/problems/longest-absolute-file-path/", "Longest Absolute File Path")</f>
        <v/>
      </c>
      <c r="C1281" s="1" t="n">
        <v>1382</v>
      </c>
      <c r="D1281" s="1" t="n">
        <v>2596</v>
      </c>
      <c r="E1281" s="4">
        <f>IF(INDEX(C:C, ROW())+INDEX(D:D, ROW())=0, 0, INDEX(C:C, ROW())/(INDEX(C:C, ROW())+INDEX(D:D, ROW())))</f>
        <v/>
      </c>
      <c r="F1281" s="1" t="inlineStr">
        <is>
          <t>String, Stack, Depth-First Search</t>
        </is>
      </c>
      <c r="G1281" s="1" t="inlineStr">
        <is>
          <t>Medium</t>
        </is>
      </c>
      <c r="H1281" s="1" t="n">
        <v>179459</v>
      </c>
      <c r="I1281" s="1" t="n">
        <v>365553</v>
      </c>
      <c r="J1281" s="9" t="n">
        <v>0.491</v>
      </c>
      <c r="K1281" s="1" t="inlineStr">
        <is>
          <t>Yes</t>
        </is>
      </c>
      <c r="L1281" s="1" t="inlineStr">
        <is>
          <t>No</t>
        </is>
      </c>
      <c r="M1281" s="1" t="inlineStr">
        <is>
          <t>No</t>
        </is>
      </c>
      <c r="N1281" s="1" t="inlineStr">
        <is>
          <t>Algorithms</t>
        </is>
      </c>
      <c r="O12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82" ht="15.75" customHeight="1" s="12">
      <c r="A1282" s="1" t="n">
        <v>2058</v>
      </c>
      <c r="B1282" s="3">
        <f>HYPERLINK("https://leetcode.com/problems/find-the-minimum-and-maximum-number-of-nodes-between-critical-points/", "Find the Minimum and Maximum Number of Nodes Between Critical Points")</f>
        <v/>
      </c>
      <c r="C1282" s="1" t="n">
        <v>1381</v>
      </c>
      <c r="D1282" s="1" t="n">
        <v>72</v>
      </c>
      <c r="E1282" s="4">
        <f>IF(INDEX(C:C, ROW())+INDEX(D:D, ROW())=0, 0, INDEX(C:C, ROW())/(INDEX(C:C, ROW())+INDEX(D:D, ROW())))</f>
        <v/>
      </c>
      <c r="F1282" s="1" t="inlineStr">
        <is>
          <t>Linked List</t>
        </is>
      </c>
      <c r="G1282" s="1" t="inlineStr">
        <is>
          <t>Medium</t>
        </is>
      </c>
      <c r="H1282" s="1" t="n">
        <v>200240</v>
      </c>
      <c r="I1282" s="1" t="n">
        <v>288303</v>
      </c>
      <c r="J1282" s="9" t="n">
        <v>0.695</v>
      </c>
      <c r="K1282" s="1" t="inlineStr">
        <is>
          <t>Yes</t>
        </is>
      </c>
      <c r="L1282" s="1" t="inlineStr">
        <is>
          <t>Yes</t>
        </is>
      </c>
      <c r="M1282" s="1" t="inlineStr">
        <is>
          <t>No</t>
        </is>
      </c>
      <c r="N1282" s="1" t="inlineStr">
        <is>
          <t>Algorithms</t>
        </is>
      </c>
      <c r="O12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83" ht="15.75" customHeight="1" s="12">
      <c r="A1283" s="1" t="n">
        <v>2367</v>
      </c>
      <c r="B1283" s="3">
        <f>HYPERLINK("https://leetcode.com/problems/number-of-arithmetic-triplets/", "Number of Arithmetic Triplets")</f>
        <v/>
      </c>
      <c r="C1283" s="1" t="n">
        <v>1381</v>
      </c>
      <c r="D1283" s="1" t="n">
        <v>97</v>
      </c>
      <c r="E1283" s="4">
        <f>IF(INDEX(C:C, ROW())+INDEX(D:D, ROW())=0, 0, INDEX(C:C, ROW())/(INDEX(C:C, ROW())+INDEX(D:D, ROW())))</f>
        <v/>
      </c>
      <c r="F1283" s="1" t="inlineStr">
        <is>
          <t>Array, Hash Table, Two Pointers, Enumeration</t>
        </is>
      </c>
      <c r="G1283" s="1" t="inlineStr">
        <is>
          <t>Easy</t>
        </is>
      </c>
      <c r="H1283" s="1" t="n">
        <v>176675</v>
      </c>
      <c r="I1283" s="1" t="n">
        <v>207005</v>
      </c>
      <c r="J1283" s="9" t="n">
        <v>0.853</v>
      </c>
      <c r="K1283" s="1" t="inlineStr">
        <is>
          <t>Yes</t>
        </is>
      </c>
      <c r="L1283" s="1" t="inlineStr">
        <is>
          <t>No</t>
        </is>
      </c>
      <c r="M1283" s="1" t="inlineStr">
        <is>
          <t>No</t>
        </is>
      </c>
      <c r="N1283" s="1" t="inlineStr">
        <is>
          <t>Algorithms</t>
        </is>
      </c>
      <c r="O12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84" ht="15.75" customHeight="1" s="12">
      <c r="A1284" s="1" t="n">
        <v>1344</v>
      </c>
      <c r="B1284" s="3">
        <f>HYPERLINK("https://leetcode.com/problems/angle-between-hands-of-a-clock/", "Angle Between Hands of a Clock")</f>
        <v/>
      </c>
      <c r="C1284" s="1" t="n">
        <v>1371</v>
      </c>
      <c r="D1284" s="1" t="n">
        <v>248</v>
      </c>
      <c r="E1284" s="4">
        <f>IF(INDEX(C:C, ROW())+INDEX(D:D, ROW())=0, 0, INDEX(C:C, ROW())/(INDEX(C:C, ROW())+INDEX(D:D, ROW())))</f>
        <v/>
      </c>
      <c r="F1284" s="1" t="inlineStr">
        <is>
          <t>Math</t>
        </is>
      </c>
      <c r="G1284" s="1" t="inlineStr">
        <is>
          <t>Medium</t>
        </is>
      </c>
      <c r="H1284" s="1" t="n">
        <v>141247</v>
      </c>
      <c r="I1284" s="1" t="n">
        <v>219511</v>
      </c>
      <c r="J1284" s="9" t="n">
        <v>0.643</v>
      </c>
      <c r="K1284" s="1" t="inlineStr">
        <is>
          <t>Yes</t>
        </is>
      </c>
      <c r="L1284" s="1" t="inlineStr">
        <is>
          <t>Yes</t>
        </is>
      </c>
      <c r="M1284" s="1" t="inlineStr">
        <is>
          <t>No</t>
        </is>
      </c>
      <c r="N1284" s="1" t="inlineStr">
        <is>
          <t>Algorithms</t>
        </is>
      </c>
      <c r="O12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85" ht="15.75" customHeight="1" s="12">
      <c r="A1285" s="1" t="n">
        <v>608</v>
      </c>
      <c r="B1285" s="3">
        <f>HYPERLINK("https://leetcode.com/problems/tree-node/", "Tree Node")</f>
        <v/>
      </c>
      <c r="C1285" s="1" t="n">
        <v>1369</v>
      </c>
      <c r="D1285" s="1" t="n">
        <v>128</v>
      </c>
      <c r="E1285" s="4">
        <f>IF(INDEX(C:C, ROW())+INDEX(D:D, ROW())=0, 0, INDEX(C:C, ROW())/(INDEX(C:C, ROW())+INDEX(D:D, ROW())))</f>
        <v/>
      </c>
      <c r="F1285" s="1" t="inlineStr">
        <is>
          <t>Database</t>
        </is>
      </c>
      <c r="G1285" s="1" t="inlineStr">
        <is>
          <t>Medium</t>
        </is>
      </c>
      <c r="H1285" s="1" t="n">
        <v>231479</v>
      </c>
      <c r="I1285" s="1" t="n">
        <v>308725</v>
      </c>
      <c r="J1285" s="9" t="n">
        <v>0.75</v>
      </c>
      <c r="K1285" s="1" t="inlineStr">
        <is>
          <t>Yes</t>
        </is>
      </c>
      <c r="L1285" s="1" t="inlineStr">
        <is>
          <t>Yes</t>
        </is>
      </c>
      <c r="M1285" s="1" t="inlineStr">
        <is>
          <t>No</t>
        </is>
      </c>
      <c r="N1285" s="1" t="inlineStr">
        <is>
          <t>Database</t>
        </is>
      </c>
      <c r="O12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86" ht="15.75" customHeight="1" s="12">
      <c r="A1286" s="1" t="n">
        <v>1726</v>
      </c>
      <c r="B1286" s="3">
        <f>HYPERLINK("https://leetcode.com/problems/tuple-with-same-product/", "Tuple with Same Product")</f>
        <v/>
      </c>
      <c r="C1286" s="1" t="n">
        <v>1368</v>
      </c>
      <c r="D1286" s="1" t="n">
        <v>59</v>
      </c>
      <c r="E1286" s="4">
        <f>IF(INDEX(C:C, ROW())+INDEX(D:D, ROW())=0, 0, INDEX(C:C, ROW())/(INDEX(C:C, ROW())+INDEX(D:D, ROW())))</f>
        <v/>
      </c>
      <c r="F1286" s="1" t="inlineStr">
        <is>
          <t>Array, Hash Table, Counting</t>
        </is>
      </c>
      <c r="G1286" s="1" t="inlineStr">
        <is>
          <t>Medium</t>
        </is>
      </c>
      <c r="H1286" s="1" t="n">
        <v>197781</v>
      </c>
      <c r="I1286" s="1" t="n">
        <v>282071</v>
      </c>
      <c r="J1286" s="9" t="n">
        <v>0.701</v>
      </c>
      <c r="K1286" s="1" t="inlineStr">
        <is>
          <t>Yes</t>
        </is>
      </c>
      <c r="L1286" s="1" t="inlineStr">
        <is>
          <t>Yes</t>
        </is>
      </c>
      <c r="M1286" s="1" t="inlineStr">
        <is>
          <t>No</t>
        </is>
      </c>
      <c r="N1286" s="1" t="inlineStr">
        <is>
          <t>Algorithms</t>
        </is>
      </c>
      <c r="O12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87" ht="15.75" customHeight="1" s="12">
      <c r="A1287" s="1" t="n">
        <v>747</v>
      </c>
      <c r="B1287" s="3">
        <f>HYPERLINK("https://leetcode.com/problems/largest-number-at-least-twice-of-others/", "Largest Number At Least Twice of Others")</f>
        <v/>
      </c>
      <c r="C1287" s="1" t="n">
        <v>1357</v>
      </c>
      <c r="D1287" s="1" t="n">
        <v>951</v>
      </c>
      <c r="E1287" s="4">
        <f>IF(INDEX(C:C, ROW())+INDEX(D:D, ROW())=0, 0, INDEX(C:C, ROW())/(INDEX(C:C, ROW())+INDEX(D:D, ROW())))</f>
        <v/>
      </c>
      <c r="F1287" s="1" t="inlineStr">
        <is>
          <t>Array, Sorting</t>
        </is>
      </c>
      <c r="G1287" s="1" t="inlineStr">
        <is>
          <t>Easy</t>
        </is>
      </c>
      <c r="H1287" s="1" t="n">
        <v>326361</v>
      </c>
      <c r="I1287" s="1" t="n">
        <v>628959</v>
      </c>
      <c r="J1287" s="9" t="n">
        <v>0.519</v>
      </c>
      <c r="K1287" s="1" t="inlineStr">
        <is>
          <t>Yes</t>
        </is>
      </c>
      <c r="L1287" s="1" t="inlineStr">
        <is>
          <t>Yes</t>
        </is>
      </c>
      <c r="M1287" s="1" t="inlineStr">
        <is>
          <t>No</t>
        </is>
      </c>
      <c r="N1287" s="1" t="inlineStr">
        <is>
          <t>Algorithms</t>
        </is>
      </c>
      <c r="O12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88" ht="15.75" customHeight="1" s="12">
      <c r="A1288" s="1" t="n">
        <v>1985</v>
      </c>
      <c r="B1288" s="3">
        <f>HYPERLINK("https://leetcode.com/problems/find-the-kth-largest-integer-in-the-array/", "Find the Kth Largest Integer in the Array")</f>
        <v/>
      </c>
      <c r="C1288" s="1" t="n">
        <v>1356</v>
      </c>
      <c r="D1288" s="1" t="n">
        <v>160</v>
      </c>
      <c r="E1288" s="4">
        <f>IF(INDEX(C:C, ROW())+INDEX(D:D, ROW())=0, 0, INDEX(C:C, ROW())/(INDEX(C:C, ROW())+INDEX(D:D, ROW())))</f>
        <v/>
      </c>
      <c r="F1288" s="1" t="inlineStr">
        <is>
          <t>Array, String, Divide and Conquer, Sorting, Heap (Priority Queue), Quickselect</t>
        </is>
      </c>
      <c r="G1288" s="1" t="inlineStr">
        <is>
          <t>Medium</t>
        </is>
      </c>
      <c r="H1288" s="1" t="n">
        <v>97826</v>
      </c>
      <c r="I1288" s="1" t="n">
        <v>205966</v>
      </c>
      <c r="J1288" s="9" t="n">
        <v>0.475</v>
      </c>
      <c r="K1288" s="1" t="inlineStr">
        <is>
          <t>Yes</t>
        </is>
      </c>
      <c r="L1288" s="1" t="inlineStr">
        <is>
          <t>No</t>
        </is>
      </c>
      <c r="M1288" s="1" t="inlineStr">
        <is>
          <t>No</t>
        </is>
      </c>
      <c r="N1288" s="1" t="inlineStr">
        <is>
          <t>Algorithms</t>
        </is>
      </c>
      <c r="O12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89" ht="15.75" customHeight="1" s="12">
      <c r="A1289" s="1" t="n">
        <v>1102</v>
      </c>
      <c r="B1289" s="3">
        <f>HYPERLINK("https://leetcode.com/problems/path-with-maximum-minimum-value/", "Path With Maximum Minimum Value")</f>
        <v/>
      </c>
      <c r="C1289" s="1" t="n">
        <v>1353</v>
      </c>
      <c r="D1289" s="1" t="n">
        <v>126</v>
      </c>
      <c r="E1289" s="4">
        <f>IF(INDEX(C:C, ROW())+INDEX(D:D, ROW())=0, 0, INDEX(C:C, ROW())/(INDEX(C:C, ROW())+INDEX(D:D, ROW())))</f>
        <v/>
      </c>
      <c r="F1289" s="1" t="inlineStr">
        <is>
          <t>Array, Binary Search, Depth-First Search, Breadth-First Search, Union-Find, Heap (Priority Queue), Matrix</t>
        </is>
      </c>
      <c r="G1289" s="1" t="inlineStr">
        <is>
          <t>Medium</t>
        </is>
      </c>
      <c r="H1289" s="1" t="n">
        <v>71346</v>
      </c>
      <c r="I1289" s="1" t="n">
        <v>130885</v>
      </c>
      <c r="J1289" s="9" t="n">
        <v>0.545</v>
      </c>
      <c r="K1289" s="1" t="inlineStr">
        <is>
          <t>No</t>
        </is>
      </c>
      <c r="L1289" s="1" t="inlineStr">
        <is>
          <t>Yes</t>
        </is>
      </c>
      <c r="M1289" s="1" t="inlineStr">
        <is>
          <t>No</t>
        </is>
      </c>
      <c r="N1289" s="1" t="inlineStr">
        <is>
          <t>Algorithms</t>
        </is>
      </c>
      <c r="O12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90" ht="15.75" customHeight="1" s="12">
      <c r="A1290" s="1" t="n">
        <v>2285</v>
      </c>
      <c r="B1290" s="3">
        <f>HYPERLINK("https://leetcode.com/problems/maximum-total-importance-of-roads/", "Maximum Total Importance of Roads")</f>
        <v/>
      </c>
      <c r="C1290" s="1" t="n">
        <v>1349</v>
      </c>
      <c r="D1290" s="1" t="n">
        <v>84</v>
      </c>
      <c r="E1290" s="4">
        <f>IF(INDEX(C:C, ROW())+INDEX(D:D, ROW())=0, 0, INDEX(C:C, ROW())/(INDEX(C:C, ROW())+INDEX(D:D, ROW())))</f>
        <v/>
      </c>
      <c r="F1290" s="1" t="inlineStr">
        <is>
          <t>Greedy, Graph Theory, Sorting, Heap (Priority Queue)</t>
        </is>
      </c>
      <c r="G1290" s="1" t="inlineStr">
        <is>
          <t>Medium</t>
        </is>
      </c>
      <c r="H1290" s="1" t="n">
        <v>159456</v>
      </c>
      <c r="I1290" s="1" t="n">
        <v>230657</v>
      </c>
      <c r="J1290" s="9" t="n">
        <v>0.6909999999999999</v>
      </c>
      <c r="K1290" s="1" t="inlineStr">
        <is>
          <t>Yes</t>
        </is>
      </c>
      <c r="L1290" s="1" t="inlineStr">
        <is>
          <t>Yes</t>
        </is>
      </c>
      <c r="M1290" s="1" t="inlineStr">
        <is>
          <t>No</t>
        </is>
      </c>
      <c r="N1290" s="1" t="inlineStr">
        <is>
          <t>Algorithms</t>
        </is>
      </c>
      <c r="O12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91" ht="15.75" customHeight="1" s="12">
      <c r="A1291" s="1" t="n">
        <v>1167</v>
      </c>
      <c r="B1291" s="3">
        <f>HYPERLINK("https://leetcode.com/problems/minimum-cost-to-connect-sticks/", "Minimum Cost to Connect Sticks")</f>
        <v/>
      </c>
      <c r="C1291" s="1" t="n">
        <v>1348</v>
      </c>
      <c r="D1291" s="1" t="n">
        <v>158</v>
      </c>
      <c r="E1291" s="4">
        <f>IF(INDEX(C:C, ROW())+INDEX(D:D, ROW())=0, 0, INDEX(C:C, ROW())/(INDEX(C:C, ROW())+INDEX(D:D, ROW())))</f>
        <v/>
      </c>
      <c r="F1291" s="1" t="inlineStr">
        <is>
          <t>Array, Greedy, Heap (Priority Queue)</t>
        </is>
      </c>
      <c r="G1291" s="1" t="inlineStr">
        <is>
          <t>Medium</t>
        </is>
      </c>
      <c r="H1291" s="1" t="n">
        <v>146622</v>
      </c>
      <c r="I1291" s="1" t="n">
        <v>204564</v>
      </c>
      <c r="J1291" s="9" t="n">
        <v>0.717</v>
      </c>
      <c r="K1291" s="1" t="inlineStr">
        <is>
          <t>No</t>
        </is>
      </c>
      <c r="L1291" s="1" t="inlineStr">
        <is>
          <t>Yes</t>
        </is>
      </c>
      <c r="M1291" s="1" t="inlineStr">
        <is>
          <t>Yes</t>
        </is>
      </c>
      <c r="N1291" s="1" t="inlineStr">
        <is>
          <t>Algorithms</t>
        </is>
      </c>
      <c r="O12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92" ht="15.75" customHeight="1" s="12">
      <c r="A1292" s="1" t="n">
        <v>1054</v>
      </c>
      <c r="B1292" s="3">
        <f>HYPERLINK("https://leetcode.com/problems/distant-barcodes/", "Distant Barcodes")</f>
        <v/>
      </c>
      <c r="C1292" s="1" t="n">
        <v>1345</v>
      </c>
      <c r="D1292" s="1" t="n">
        <v>52</v>
      </c>
      <c r="E1292" s="4">
        <f>IF(INDEX(C:C, ROW())+INDEX(D:D, ROW())=0, 0, INDEX(C:C, ROW())/(INDEX(C:C, ROW())+INDEX(D:D, ROW())))</f>
        <v/>
      </c>
      <c r="F1292" s="1" t="inlineStr">
        <is>
          <t>Array, Hash Table, Greedy, Sorting, Heap (Priority Queue), Counting</t>
        </is>
      </c>
      <c r="G1292" s="1" t="inlineStr">
        <is>
          <t>Medium</t>
        </is>
      </c>
      <c r="H1292" s="1" t="n">
        <v>55314</v>
      </c>
      <c r="I1292" s="1" t="n">
        <v>114084</v>
      </c>
      <c r="J1292" s="9" t="n">
        <v>0.485</v>
      </c>
      <c r="K1292" s="1" t="inlineStr">
        <is>
          <t>Yes</t>
        </is>
      </c>
      <c r="L1292" s="1" t="inlineStr">
        <is>
          <t>No</t>
        </is>
      </c>
      <c r="M1292" s="1" t="inlineStr">
        <is>
          <t>No</t>
        </is>
      </c>
      <c r="N1292" s="1" t="inlineStr">
        <is>
          <t>Algorithms</t>
        </is>
      </c>
      <c r="O12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93" ht="15.75" customHeight="1" s="12">
      <c r="A1293" s="1" t="n">
        <v>2055</v>
      </c>
      <c r="B1293" s="3">
        <f>HYPERLINK("https://leetcode.com/problems/plates-between-candles/", "Plates Between Candles")</f>
        <v/>
      </c>
      <c r="C1293" s="1" t="n">
        <v>1344</v>
      </c>
      <c r="D1293" s="1" t="n">
        <v>72</v>
      </c>
      <c r="E1293" s="4">
        <f>IF(INDEX(C:C, ROW())+INDEX(D:D, ROW())=0, 0, INDEX(C:C, ROW())/(INDEX(C:C, ROW())+INDEX(D:D, ROW())))</f>
        <v/>
      </c>
      <c r="F1293" s="1" t="inlineStr">
        <is>
          <t>Array, String, Binary Search, Prefix Sum</t>
        </is>
      </c>
      <c r="G1293" s="1" t="inlineStr">
        <is>
          <t>Medium</t>
        </is>
      </c>
      <c r="H1293" s="1" t="n">
        <v>75617</v>
      </c>
      <c r="I1293" s="1" t="n">
        <v>160243</v>
      </c>
      <c r="J1293" s="9" t="n">
        <v>0.472</v>
      </c>
      <c r="K1293" s="1" t="inlineStr">
        <is>
          <t>Yes</t>
        </is>
      </c>
      <c r="L1293" s="1" t="inlineStr">
        <is>
          <t>No</t>
        </is>
      </c>
      <c r="M1293" s="1" t="inlineStr">
        <is>
          <t>No</t>
        </is>
      </c>
      <c r="N1293" s="1" t="inlineStr">
        <is>
          <t>Algorithms</t>
        </is>
      </c>
      <c r="O12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94" ht="15.75" customHeight="1" s="12">
      <c r="A1294" s="1" t="n">
        <v>265</v>
      </c>
      <c r="B1294" s="3">
        <f>HYPERLINK("https://leetcode.com/problems/paint-house-ii/", "Paint House II")</f>
        <v/>
      </c>
      <c r="C1294" s="1" t="n">
        <v>1343</v>
      </c>
      <c r="D1294" s="1" t="n">
        <v>39</v>
      </c>
      <c r="E1294" s="4">
        <f>IF(INDEX(C:C, ROW())+INDEX(D:D, ROW())=0, 0, INDEX(C:C, ROW())/(INDEX(C:C, ROW())+INDEX(D:D, ROW())))</f>
        <v/>
      </c>
      <c r="F1294" s="1" t="inlineStr">
        <is>
          <t>Array, Dynamic Programming</t>
        </is>
      </c>
      <c r="G1294" s="1" t="inlineStr">
        <is>
          <t>Hard</t>
        </is>
      </c>
      <c r="H1294" s="1" t="n">
        <v>142289</v>
      </c>
      <c r="I1294" s="1" t="n">
        <v>250312</v>
      </c>
      <c r="J1294" s="9" t="n">
        <v>0.5679999999999999</v>
      </c>
      <c r="K1294" s="1" t="inlineStr">
        <is>
          <t>No</t>
        </is>
      </c>
      <c r="L1294" s="1" t="inlineStr">
        <is>
          <t>Yes</t>
        </is>
      </c>
      <c r="M1294" s="1" t="inlineStr">
        <is>
          <t>No</t>
        </is>
      </c>
      <c r="N1294" s="1" t="inlineStr">
        <is>
          <t>Algorithms</t>
        </is>
      </c>
      <c r="O12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95" ht="15.75" customHeight="1" s="12">
      <c r="A1295" s="1" t="n">
        <v>1072</v>
      </c>
      <c r="B1295" s="3">
        <f>HYPERLINK("https://leetcode.com/problems/flip-columns-for-maximum-number-of-equal-rows/", "Flip Columns For Maximum Number of Equal Rows")</f>
        <v/>
      </c>
      <c r="C1295" s="1" t="n">
        <v>1343</v>
      </c>
      <c r="D1295" s="1" t="n">
        <v>129</v>
      </c>
      <c r="E1295" s="4">
        <f>IF(INDEX(C:C, ROW())+INDEX(D:D, ROW())=0, 0, INDEX(C:C, ROW())/(INDEX(C:C, ROW())+INDEX(D:D, ROW())))</f>
        <v/>
      </c>
      <c r="F1295" s="1" t="inlineStr">
        <is>
          <t>Array, Hash Table, Matrix</t>
        </is>
      </c>
      <c r="G1295" s="1" t="inlineStr">
        <is>
          <t>Medium</t>
        </is>
      </c>
      <c r="H1295" s="1" t="n">
        <v>117785</v>
      </c>
      <c r="I1295" s="1" t="n">
        <v>149928</v>
      </c>
      <c r="J1295" s="9" t="n">
        <v>0.786</v>
      </c>
      <c r="K1295" s="1" t="inlineStr">
        <is>
          <t>Yes</t>
        </is>
      </c>
      <c r="L1295" s="1" t="inlineStr">
        <is>
          <t>Yes</t>
        </is>
      </c>
      <c r="M1295" s="1" t="inlineStr">
        <is>
          <t>No</t>
        </is>
      </c>
      <c r="N1295" s="1" t="inlineStr">
        <is>
          <t>Algorithms</t>
        </is>
      </c>
      <c r="O12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96" ht="15.75" customHeight="1" s="12">
      <c r="A1296" s="1" t="n">
        <v>272</v>
      </c>
      <c r="B1296" s="3">
        <f>HYPERLINK("https://leetcode.com/problems/closest-binary-search-tree-value-ii/", "Closest Binary Search Tree Value II")</f>
        <v/>
      </c>
      <c r="C1296" s="1" t="n">
        <v>1340</v>
      </c>
      <c r="D1296" s="1" t="n">
        <v>51</v>
      </c>
      <c r="E1296" s="4">
        <f>IF(INDEX(C:C, ROW())+INDEX(D:D, ROW())=0, 0, INDEX(C:C, ROW())/(INDEX(C:C, ROW())+INDEX(D:D, ROW())))</f>
        <v/>
      </c>
      <c r="F1296" s="1" t="inlineStr">
        <is>
          <t>Two Pointers, Stack, Tree, Depth-First Search, Binary Search Tree, Heap (Priority Queue), Binary Tree</t>
        </is>
      </c>
      <c r="G1296" s="1" t="inlineStr">
        <is>
          <t>Hard</t>
        </is>
      </c>
      <c r="H1296" s="1" t="n">
        <v>137590</v>
      </c>
      <c r="I1296" s="1" t="n">
        <v>225609</v>
      </c>
      <c r="J1296" s="9" t="n">
        <v>0.61</v>
      </c>
      <c r="K1296" s="1" t="inlineStr">
        <is>
          <t>No</t>
        </is>
      </c>
      <c r="L1296" s="1" t="inlineStr">
        <is>
          <t>Yes</t>
        </is>
      </c>
      <c r="M1296" s="1" t="inlineStr">
        <is>
          <t>No</t>
        </is>
      </c>
      <c r="N1296" s="1" t="inlineStr">
        <is>
          <t>Algorithms</t>
        </is>
      </c>
      <c r="O12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97" ht="15.75" customHeight="1" s="12">
      <c r="A1297" s="1" t="n">
        <v>1193</v>
      </c>
      <c r="B1297" s="3">
        <f>HYPERLINK("https://leetcode.com/problems/monthly-transactions-i/", "Monthly Transactions I")</f>
        <v/>
      </c>
      <c r="C1297" s="1" t="n">
        <v>1340</v>
      </c>
      <c r="D1297" s="1" t="n">
        <v>127</v>
      </c>
      <c r="E1297" s="4">
        <f>IF(INDEX(C:C, ROW())+INDEX(D:D, ROW())=0, 0, INDEX(C:C, ROW())/(INDEX(C:C, ROW())+INDEX(D:D, ROW())))</f>
        <v/>
      </c>
      <c r="F1297" s="1" t="inlineStr">
        <is>
          <t>Database</t>
        </is>
      </c>
      <c r="G1297" s="1" t="inlineStr">
        <is>
          <t>Medium</t>
        </is>
      </c>
      <c r="H1297" s="1" t="n">
        <v>485647</v>
      </c>
      <c r="I1297" s="1" t="n">
        <v>825349</v>
      </c>
      <c r="J1297" s="9" t="n">
        <v>0.588</v>
      </c>
      <c r="K1297" s="1" t="inlineStr">
        <is>
          <t>Yes</t>
        </is>
      </c>
      <c r="L1297" s="1" t="inlineStr">
        <is>
          <t>No</t>
        </is>
      </c>
      <c r="M1297" s="1" t="inlineStr">
        <is>
          <t>No</t>
        </is>
      </c>
      <c r="N1297" s="1" t="inlineStr">
        <is>
          <t>Database</t>
        </is>
      </c>
      <c r="O12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98" ht="15.75" customHeight="1" s="12">
      <c r="A1298" s="1" t="n">
        <v>1313</v>
      </c>
      <c r="B1298" s="3">
        <f>HYPERLINK("https://leetcode.com/problems/decompress-run-length-encoded-list/", "Decompress Run-Length Encoded List")</f>
        <v/>
      </c>
      <c r="C1298" s="1" t="n">
        <v>1340</v>
      </c>
      <c r="D1298" s="1" t="n">
        <v>1323</v>
      </c>
      <c r="E1298" s="4">
        <f>IF(INDEX(C:C, ROW())+INDEX(D:D, ROW())=0, 0, INDEX(C:C, ROW())/(INDEX(C:C, ROW())+INDEX(D:D, ROW())))</f>
        <v/>
      </c>
      <c r="F1298" s="1" t="inlineStr">
        <is>
          <t>Array</t>
        </is>
      </c>
      <c r="G1298" s="1" t="inlineStr">
        <is>
          <t>Easy</t>
        </is>
      </c>
      <c r="H1298" s="1" t="n">
        <v>301900</v>
      </c>
      <c r="I1298" s="1" t="n">
        <v>350431</v>
      </c>
      <c r="J1298" s="9" t="n">
        <v>0.862</v>
      </c>
      <c r="K1298" s="1" t="inlineStr">
        <is>
          <t>Yes</t>
        </is>
      </c>
      <c r="L1298" s="1" t="inlineStr">
        <is>
          <t>No</t>
        </is>
      </c>
      <c r="M1298" s="1" t="inlineStr">
        <is>
          <t>No</t>
        </is>
      </c>
      <c r="N1298" s="1" t="inlineStr">
        <is>
          <t>Algorithms</t>
        </is>
      </c>
      <c r="O12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299" ht="15.75" customHeight="1" s="12">
      <c r="A1299" s="1" t="n">
        <v>495</v>
      </c>
      <c r="B1299" s="3">
        <f>HYPERLINK("https://leetcode.com/problems/teemo-attacking/", "Teemo Attacking")</f>
        <v/>
      </c>
      <c r="C1299" s="1" t="n">
        <v>1337</v>
      </c>
      <c r="D1299" s="1" t="n">
        <v>154</v>
      </c>
      <c r="E1299" s="4">
        <f>IF(INDEX(C:C, ROW())+INDEX(D:D, ROW())=0, 0, INDEX(C:C, ROW())/(INDEX(C:C, ROW())+INDEX(D:D, ROW())))</f>
        <v/>
      </c>
      <c r="F1299" s="1" t="inlineStr">
        <is>
          <t>Array, Simulation</t>
        </is>
      </c>
      <c r="G1299" s="1" t="inlineStr">
        <is>
          <t>Easy</t>
        </is>
      </c>
      <c r="H1299" s="1" t="n">
        <v>210986</v>
      </c>
      <c r="I1299" s="1" t="n">
        <v>367475</v>
      </c>
      <c r="J1299" s="9" t="n">
        <v>0.574</v>
      </c>
      <c r="K1299" s="1" t="inlineStr">
        <is>
          <t>Yes</t>
        </is>
      </c>
      <c r="L1299" s="1" t="inlineStr">
        <is>
          <t>Yes</t>
        </is>
      </c>
      <c r="M1299" s="1" t="inlineStr">
        <is>
          <t>No</t>
        </is>
      </c>
      <c r="N1299" s="1" t="inlineStr">
        <is>
          <t>Algorithms</t>
        </is>
      </c>
      <c r="O12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00" ht="15.75" customHeight="1" s="12">
      <c r="A1300" s="1" t="n">
        <v>805</v>
      </c>
      <c r="B1300" s="3">
        <f>HYPERLINK("https://leetcode.com/problems/split-array-with-same-average/", "Split Array With Same Average")</f>
        <v/>
      </c>
      <c r="C1300" s="1" t="n">
        <v>1337</v>
      </c>
      <c r="D1300" s="1" t="n">
        <v>141</v>
      </c>
      <c r="E1300" s="4">
        <f>IF(INDEX(C:C, ROW())+INDEX(D:D, ROW())=0, 0, INDEX(C:C, ROW())/(INDEX(C:C, ROW())+INDEX(D:D, ROW())))</f>
        <v/>
      </c>
      <c r="F1300" s="1" t="inlineStr">
        <is>
          <t>Array, Math, Dynamic Programming, Bit Manipulation, Bitmask DP</t>
        </is>
      </c>
      <c r="G1300" s="1" t="inlineStr">
        <is>
          <t>Hard</t>
        </is>
      </c>
      <c r="H1300" s="1" t="n">
        <v>45796</v>
      </c>
      <c r="I1300" s="1" t="n">
        <v>171645</v>
      </c>
      <c r="J1300" s="9" t="n">
        <v>0.267</v>
      </c>
      <c r="K1300" s="1" t="inlineStr">
        <is>
          <t>Yes</t>
        </is>
      </c>
      <c r="L1300" s="1" t="inlineStr">
        <is>
          <t>Yes</t>
        </is>
      </c>
      <c r="M1300" s="1" t="inlineStr">
        <is>
          <t>No</t>
        </is>
      </c>
      <c r="N1300" s="1" t="inlineStr">
        <is>
          <t>Algorithms</t>
        </is>
      </c>
      <c r="O13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01" ht="15.75" customHeight="1" s="12">
      <c r="A1301" s="1" t="n">
        <v>708</v>
      </c>
      <c r="B1301" s="3">
        <f>HYPERLINK("https://leetcode.com/problems/insert-into-a-sorted-circular-linked-list/", "Insert into a Sorted Circular Linked List")</f>
        <v/>
      </c>
      <c r="C1301" s="1" t="n">
        <v>1336</v>
      </c>
      <c r="D1301" s="1" t="n">
        <v>801</v>
      </c>
      <c r="E1301" s="4">
        <f>IF(INDEX(C:C, ROW())+INDEX(D:D, ROW())=0, 0, INDEX(C:C, ROW())/(INDEX(C:C, ROW())+INDEX(D:D, ROW())))</f>
        <v/>
      </c>
      <c r="F1301" s="1" t="inlineStr">
        <is>
          <t>Linked List</t>
        </is>
      </c>
      <c r="G1301" s="1" t="inlineStr">
        <is>
          <t>Medium</t>
        </is>
      </c>
      <c r="H1301" s="1" t="n">
        <v>243006</v>
      </c>
      <c r="I1301" s="1" t="n">
        <v>631195</v>
      </c>
      <c r="J1301" s="9" t="n">
        <v>0.385</v>
      </c>
      <c r="K1301" s="1" t="inlineStr">
        <is>
          <t>No</t>
        </is>
      </c>
      <c r="L1301" s="1" t="inlineStr">
        <is>
          <t>Yes</t>
        </is>
      </c>
      <c r="M1301" s="1" t="inlineStr">
        <is>
          <t>No</t>
        </is>
      </c>
      <c r="N1301" s="1" t="inlineStr">
        <is>
          <t>Algorithms</t>
        </is>
      </c>
      <c r="O13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02" ht="15.75" customHeight="1" s="12">
      <c r="A1302" s="1" t="n">
        <v>2147</v>
      </c>
      <c r="B1302" s="3">
        <f>HYPERLINK("https://leetcode.com/problems/number-of-ways-to-divide-a-long-corridor/", "Number of Ways to Divide a Long Corridor")</f>
        <v/>
      </c>
      <c r="C1302" s="1" t="n">
        <v>1336</v>
      </c>
      <c r="D1302" s="1" t="n">
        <v>126</v>
      </c>
      <c r="E1302" s="4">
        <f>IF(INDEX(C:C, ROW())+INDEX(D:D, ROW())=0, 0, INDEX(C:C, ROW())/(INDEX(C:C, ROW())+INDEX(D:D, ROW())))</f>
        <v/>
      </c>
      <c r="F1302" s="1" t="inlineStr">
        <is>
          <t>Math, String, Dynamic Programming</t>
        </is>
      </c>
      <c r="G1302" s="1" t="inlineStr">
        <is>
          <t>Hard</t>
        </is>
      </c>
      <c r="H1302" s="1" t="n">
        <v>139677</v>
      </c>
      <c r="I1302" s="1" t="n">
        <v>255793</v>
      </c>
      <c r="J1302" s="9" t="n">
        <v>0.546</v>
      </c>
      <c r="K1302" s="1" t="inlineStr">
        <is>
          <t>Yes</t>
        </is>
      </c>
      <c r="L1302" s="1" t="inlineStr">
        <is>
          <t>Yes</t>
        </is>
      </c>
      <c r="M1302" s="1" t="inlineStr">
        <is>
          <t>No</t>
        </is>
      </c>
      <c r="N1302" s="1" t="inlineStr">
        <is>
          <t>Algorithms</t>
        </is>
      </c>
      <c r="O13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03" ht="15.75" customHeight="1" s="12">
      <c r="A1303" s="1" t="n">
        <v>1164</v>
      </c>
      <c r="B1303" s="3">
        <f>HYPERLINK("https://leetcode.com/problems/product-price-at-a-given-date/", "Product Price at a Given Date")</f>
        <v/>
      </c>
      <c r="C1303" s="1" t="n">
        <v>1335</v>
      </c>
      <c r="D1303" s="1" t="n">
        <v>318</v>
      </c>
      <c r="E1303" s="4">
        <f>IF(INDEX(C:C, ROW())+INDEX(D:D, ROW())=0, 0, INDEX(C:C, ROW())/(INDEX(C:C, ROW())+INDEX(D:D, ROW())))</f>
        <v/>
      </c>
      <c r="F1303" s="1" t="inlineStr">
        <is>
          <t>Database</t>
        </is>
      </c>
      <c r="G1303" s="1" t="inlineStr">
        <is>
          <t>Medium</t>
        </is>
      </c>
      <c r="H1303" s="1" t="n">
        <v>313508</v>
      </c>
      <c r="I1303" s="1" t="n">
        <v>543579</v>
      </c>
      <c r="J1303" s="9" t="n">
        <v>0.577</v>
      </c>
      <c r="K1303" s="1" t="inlineStr">
        <is>
          <t>Yes</t>
        </is>
      </c>
      <c r="L1303" s="1" t="inlineStr">
        <is>
          <t>Yes</t>
        </is>
      </c>
      <c r="M1303" s="1" t="inlineStr">
        <is>
          <t>No</t>
        </is>
      </c>
      <c r="N1303" s="1" t="inlineStr">
        <is>
          <t>Database</t>
        </is>
      </c>
      <c r="O13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04" ht="15.75" customHeight="1" s="12">
      <c r="A1304" s="1" t="n">
        <v>1055</v>
      </c>
      <c r="B1304" s="3">
        <f>HYPERLINK("https://leetcode.com/problems/shortest-way-to-form-string/", "Shortest Way to Form String")</f>
        <v/>
      </c>
      <c r="C1304" s="1" t="n">
        <v>1332</v>
      </c>
      <c r="D1304" s="1" t="n">
        <v>76</v>
      </c>
      <c r="E1304" s="4">
        <f>IF(INDEX(C:C, ROW())+INDEX(D:D, ROW())=0, 0, INDEX(C:C, ROW())/(INDEX(C:C, ROW())+INDEX(D:D, ROW())))</f>
        <v/>
      </c>
      <c r="F1304" s="1" t="inlineStr">
        <is>
          <t>Two Pointers, String, Binary Search, Greedy</t>
        </is>
      </c>
      <c r="G1304" s="1" t="inlineStr">
        <is>
          <t>Medium</t>
        </is>
      </c>
      <c r="H1304" s="1" t="n">
        <v>108868</v>
      </c>
      <c r="I1304" s="1" t="n">
        <v>177001</v>
      </c>
      <c r="J1304" s="9" t="n">
        <v>0.615</v>
      </c>
      <c r="K1304" s="1" t="inlineStr">
        <is>
          <t>No</t>
        </is>
      </c>
      <c r="L1304" s="1" t="inlineStr">
        <is>
          <t>Yes</t>
        </is>
      </c>
      <c r="M1304" s="1" t="inlineStr">
        <is>
          <t>No</t>
        </is>
      </c>
      <c r="N1304" s="1" t="inlineStr">
        <is>
          <t>Algorithms</t>
        </is>
      </c>
      <c r="O13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05" ht="15.75" customHeight="1" s="12">
      <c r="A1305" s="1" t="n">
        <v>2594</v>
      </c>
      <c r="B1305" s="3">
        <f>HYPERLINK("https://leetcode.com/problems/minimum-time-to-repair-cars/", "Minimum Time to Repair Cars")</f>
        <v/>
      </c>
      <c r="C1305" s="1" t="n">
        <v>1331</v>
      </c>
      <c r="D1305" s="1" t="n">
        <v>92</v>
      </c>
      <c r="E1305" s="4">
        <f>IF(INDEX(C:C, ROW())+INDEX(D:D, ROW())=0, 0, INDEX(C:C, ROW())/(INDEX(C:C, ROW())+INDEX(D:D, ROW())))</f>
        <v/>
      </c>
      <c r="F1305" s="1" t="inlineStr">
        <is>
          <t>Array, Binary Search</t>
        </is>
      </c>
      <c r="G1305" s="1" t="inlineStr">
        <is>
          <t>Medium</t>
        </is>
      </c>
      <c r="H1305" s="1" t="n">
        <v>152475</v>
      </c>
      <c r="I1305" s="1" t="n">
        <v>255484</v>
      </c>
      <c r="J1305" s="9" t="n">
        <v>0.597</v>
      </c>
      <c r="K1305" s="1" t="inlineStr">
        <is>
          <t>Yes</t>
        </is>
      </c>
      <c r="L1305" s="1" t="inlineStr">
        <is>
          <t>Yes</t>
        </is>
      </c>
      <c r="M1305" s="1" t="inlineStr">
        <is>
          <t>No</t>
        </is>
      </c>
      <c r="N1305" s="1" t="inlineStr">
        <is>
          <t>Algorithms</t>
        </is>
      </c>
      <c r="O13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06" ht="15.75" customHeight="1" s="12">
      <c r="A1306" s="1" t="n">
        <v>2435</v>
      </c>
      <c r="B1306" s="3">
        <f>HYPERLINK("https://leetcode.com/problems/paths-in-matrix-whose-sum-is-divisible-by-k/", "Paths in Matrix Whose Sum Is Divisible by K")</f>
        <v/>
      </c>
      <c r="C1306" s="1" t="n">
        <v>1330</v>
      </c>
      <c r="D1306" s="1" t="n">
        <v>46</v>
      </c>
      <c r="E1306" s="4">
        <f>IF(INDEX(C:C, ROW())+INDEX(D:D, ROW())=0, 0, INDEX(C:C, ROW())/(INDEX(C:C, ROW())+INDEX(D:D, ROW())))</f>
        <v/>
      </c>
      <c r="F1306" s="1" t="inlineStr">
        <is>
          <t>Array, Dynamic Programming, Matrix</t>
        </is>
      </c>
      <c r="G1306" s="1" t="inlineStr">
        <is>
          <t>Hard</t>
        </is>
      </c>
      <c r="H1306" s="1" t="n">
        <v>101630</v>
      </c>
      <c r="I1306" s="1" t="n">
        <v>172928</v>
      </c>
      <c r="J1306" s="9" t="n">
        <v>0.588</v>
      </c>
      <c r="K1306" s="1" t="inlineStr">
        <is>
          <t>Yes</t>
        </is>
      </c>
      <c r="L1306" s="1" t="inlineStr">
        <is>
          <t>Yes</t>
        </is>
      </c>
      <c r="M1306" s="1" t="inlineStr">
        <is>
          <t>No</t>
        </is>
      </c>
      <c r="N1306" s="1" t="inlineStr">
        <is>
          <t>Algorithms</t>
        </is>
      </c>
      <c r="O13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07" ht="15.75" customHeight="1" s="12">
      <c r="A1307" s="1" t="n">
        <v>691</v>
      </c>
      <c r="B1307" s="3">
        <f>HYPERLINK("https://leetcode.com/problems/stickers-to-spell-word/", "Stickers to Spell Word")</f>
        <v/>
      </c>
      <c r="C1307" s="1" t="n">
        <v>1329</v>
      </c>
      <c r="D1307" s="1" t="n">
        <v>129</v>
      </c>
      <c r="E1307" s="4">
        <f>IF(INDEX(C:C, ROW())+INDEX(D:D, ROW())=0, 0, INDEX(C:C, ROW())/(INDEX(C:C, ROW())+INDEX(D:D, ROW())))</f>
        <v/>
      </c>
      <c r="F1307" s="1" t="inlineStr">
        <is>
          <t>Array, Hash Table, String, Dynamic Programming, Backtracking, Bit Manipulation, Memoization, Bitmask DP</t>
        </is>
      </c>
      <c r="G1307" s="1" t="inlineStr">
        <is>
          <t>Hard</t>
        </is>
      </c>
      <c r="H1307" s="1" t="n">
        <v>94392</v>
      </c>
      <c r="I1307" s="1" t="n">
        <v>186685</v>
      </c>
      <c r="J1307" s="9" t="n">
        <v>0.506</v>
      </c>
      <c r="K1307" s="1" t="inlineStr">
        <is>
          <t>Yes</t>
        </is>
      </c>
      <c r="L1307" s="1" t="inlineStr">
        <is>
          <t>Yes</t>
        </is>
      </c>
      <c r="M1307" s="1" t="inlineStr">
        <is>
          <t>No</t>
        </is>
      </c>
      <c r="N1307" s="1" t="inlineStr">
        <is>
          <t>Algorithms</t>
        </is>
      </c>
      <c r="O13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08" ht="15.75" customHeight="1" s="12">
      <c r="A1308" s="1" t="n">
        <v>878</v>
      </c>
      <c r="B1308" s="3">
        <f>HYPERLINK("https://leetcode.com/problems/nth-magical-number/", "Nth Magical Number")</f>
        <v/>
      </c>
      <c r="C1308" s="1" t="n">
        <v>1328</v>
      </c>
      <c r="D1308" s="1" t="n">
        <v>169</v>
      </c>
      <c r="E1308" s="4">
        <f>IF(INDEX(C:C, ROW())+INDEX(D:D, ROW())=0, 0, INDEX(C:C, ROW())/(INDEX(C:C, ROW())+INDEX(D:D, ROW())))</f>
        <v/>
      </c>
      <c r="F1308" s="1" t="inlineStr">
        <is>
          <t>Math, Binary Search</t>
        </is>
      </c>
      <c r="G1308" s="1" t="inlineStr">
        <is>
          <t>Hard</t>
        </is>
      </c>
      <c r="H1308" s="1" t="n">
        <v>48488</v>
      </c>
      <c r="I1308" s="1" t="n">
        <v>133677</v>
      </c>
      <c r="J1308" s="9" t="n">
        <v>0.363</v>
      </c>
      <c r="K1308" s="1" t="inlineStr">
        <is>
          <t>Yes</t>
        </is>
      </c>
      <c r="L1308" s="1" t="inlineStr">
        <is>
          <t>Yes</t>
        </is>
      </c>
      <c r="M1308" s="1" t="inlineStr">
        <is>
          <t>No</t>
        </is>
      </c>
      <c r="N1308" s="1" t="inlineStr">
        <is>
          <t>Algorithms</t>
        </is>
      </c>
      <c r="O13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09" ht="15.75" customHeight="1" s="12">
      <c r="A1309" s="1" t="n">
        <v>1252</v>
      </c>
      <c r="B1309" s="3">
        <f>HYPERLINK("https://leetcode.com/problems/cells-with-odd-values-in-a-matrix/", "Cells with Odd Values in a Matrix")</f>
        <v/>
      </c>
      <c r="C1309" s="1" t="n">
        <v>1327</v>
      </c>
      <c r="D1309" s="1" t="n">
        <v>1556</v>
      </c>
      <c r="E1309" s="4">
        <f>IF(INDEX(C:C, ROW())+INDEX(D:D, ROW())=0, 0, INDEX(C:C, ROW())/(INDEX(C:C, ROW())+INDEX(D:D, ROW())))</f>
        <v/>
      </c>
      <c r="F1309" s="1" t="inlineStr">
        <is>
          <t>Array, Math, Simulation</t>
        </is>
      </c>
      <c r="G1309" s="1" t="inlineStr">
        <is>
          <t>Easy</t>
        </is>
      </c>
      <c r="H1309" s="1" t="n">
        <v>139855</v>
      </c>
      <c r="I1309" s="1" t="n">
        <v>175707</v>
      </c>
      <c r="J1309" s="9" t="n">
        <v>0.796</v>
      </c>
      <c r="K1309" s="1" t="inlineStr">
        <is>
          <t>Yes</t>
        </is>
      </c>
      <c r="L1309" s="1" t="inlineStr">
        <is>
          <t>No</t>
        </is>
      </c>
      <c r="M1309" s="1" t="inlineStr">
        <is>
          <t>No</t>
        </is>
      </c>
      <c r="N1309" s="1" t="inlineStr">
        <is>
          <t>Algorithms</t>
        </is>
      </c>
      <c r="O13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10" ht="15.75" customHeight="1" s="12">
      <c r="A1310" s="1" t="n">
        <v>777</v>
      </c>
      <c r="B1310" s="3">
        <f>HYPERLINK("https://leetcode.com/problems/swap-adjacent-in-lr-string/", "Swap Adjacent in LR String")</f>
        <v/>
      </c>
      <c r="C1310" s="1" t="n">
        <v>1325</v>
      </c>
      <c r="D1310" s="1" t="n">
        <v>952</v>
      </c>
      <c r="E1310" s="4">
        <f>IF(INDEX(C:C, ROW())+INDEX(D:D, ROW())=0, 0, INDEX(C:C, ROW())/(INDEX(C:C, ROW())+INDEX(D:D, ROW())))</f>
        <v/>
      </c>
      <c r="F1310" s="1" t="inlineStr">
        <is>
          <t>Two Pointers, String</t>
        </is>
      </c>
      <c r="G1310" s="1" t="inlineStr">
        <is>
          <t>Medium</t>
        </is>
      </c>
      <c r="H1310" s="1" t="n">
        <v>93700</v>
      </c>
      <c r="I1310" s="1" t="n">
        <v>247740</v>
      </c>
      <c r="J1310" s="9" t="n">
        <v>0.378</v>
      </c>
      <c r="K1310" s="1" t="inlineStr">
        <is>
          <t>Yes</t>
        </is>
      </c>
      <c r="L1310" s="1" t="inlineStr">
        <is>
          <t>Yes</t>
        </is>
      </c>
      <c r="M1310" s="1" t="inlineStr">
        <is>
          <t>No</t>
        </is>
      </c>
      <c r="N1310" s="1" t="inlineStr">
        <is>
          <t>Algorithms</t>
        </is>
      </c>
      <c r="O13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11" ht="15.75" customHeight="1" s="12">
      <c r="A1311" s="1" t="n">
        <v>1455</v>
      </c>
      <c r="B1311" s="3">
        <f>HYPERLINK("https://leetcode.com/problems/check-if-a-word-occurs-as-a-prefix-of-any-word-in-a-sentence/", "Check If a Word Occurs As a Prefix of Any Word in a Sentence")</f>
        <v/>
      </c>
      <c r="C1311" s="1" t="n">
        <v>1322</v>
      </c>
      <c r="D1311" s="1" t="n">
        <v>59</v>
      </c>
      <c r="E1311" s="4">
        <f>IF(INDEX(C:C, ROW())+INDEX(D:D, ROW())=0, 0, INDEX(C:C, ROW())/(INDEX(C:C, ROW())+INDEX(D:D, ROW())))</f>
        <v/>
      </c>
      <c r="F1311" s="1" t="inlineStr">
        <is>
          <t>Two Pointers, String, String Matching</t>
        </is>
      </c>
      <c r="G1311" s="1" t="inlineStr">
        <is>
          <t>Easy</t>
        </is>
      </c>
      <c r="H1311" s="1" t="n">
        <v>234216</v>
      </c>
      <c r="I1311" s="1" t="n">
        <v>340617</v>
      </c>
      <c r="J1311" s="9" t="n">
        <v>0.6879999999999999</v>
      </c>
      <c r="K1311" s="1" t="inlineStr">
        <is>
          <t>Yes</t>
        </is>
      </c>
      <c r="L1311" s="1" t="inlineStr">
        <is>
          <t>Yes</t>
        </is>
      </c>
      <c r="M1311" s="1" t="inlineStr">
        <is>
          <t>No</t>
        </is>
      </c>
      <c r="N1311" s="1" t="inlineStr">
        <is>
          <t>Algorithms</t>
        </is>
      </c>
      <c r="O13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12" ht="15.75" customHeight="1" s="12">
      <c r="A1312" s="1" t="n">
        <v>1762</v>
      </c>
      <c r="B1312" s="3">
        <f>HYPERLINK("https://leetcode.com/problems/buildings-with-an-ocean-view/", "Buildings With an Ocean View")</f>
        <v/>
      </c>
      <c r="C1312" s="1" t="n">
        <v>1318</v>
      </c>
      <c r="D1312" s="1" t="n">
        <v>151</v>
      </c>
      <c r="E1312" s="4">
        <f>IF(INDEX(C:C, ROW())+INDEX(D:D, ROW())=0, 0, INDEX(C:C, ROW())/(INDEX(C:C, ROW())+INDEX(D:D, ROW())))</f>
        <v/>
      </c>
      <c r="F1312" s="1" t="inlineStr">
        <is>
          <t>Array, Stack, Monotonic Stack</t>
        </is>
      </c>
      <c r="G1312" s="1" t="inlineStr">
        <is>
          <t>Medium</t>
        </is>
      </c>
      <c r="H1312" s="1" t="n">
        <v>337404</v>
      </c>
      <c r="I1312" s="1" t="n">
        <v>417157</v>
      </c>
      <c r="J1312" s="9" t="n">
        <v>0.8090000000000001</v>
      </c>
      <c r="K1312" s="1" t="inlineStr">
        <is>
          <t>No</t>
        </is>
      </c>
      <c r="L1312" s="1" t="inlineStr">
        <is>
          <t>Yes</t>
        </is>
      </c>
      <c r="M1312" s="1" t="inlineStr">
        <is>
          <t>No</t>
        </is>
      </c>
      <c r="N1312" s="1" t="inlineStr">
        <is>
          <t>Algorithms</t>
        </is>
      </c>
      <c r="O13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13" ht="15.75" customHeight="1" s="12">
      <c r="A1313" s="1" t="n">
        <v>564</v>
      </c>
      <c r="B1313" s="3">
        <f>HYPERLINK("https://leetcode.com/problems/find-the-closest-palindrome/", "Find the Closest Palindrome")</f>
        <v/>
      </c>
      <c r="C1313" s="1" t="n">
        <v>1316</v>
      </c>
      <c r="D1313" s="1" t="n">
        <v>1738</v>
      </c>
      <c r="E1313" s="4">
        <f>IF(INDEX(C:C, ROW())+INDEX(D:D, ROW())=0, 0, INDEX(C:C, ROW())/(INDEX(C:C, ROW())+INDEX(D:D, ROW())))</f>
        <v/>
      </c>
      <c r="F1313" s="1" t="inlineStr">
        <is>
          <t>Math, String</t>
        </is>
      </c>
      <c r="G1313" s="1" t="inlineStr">
        <is>
          <t>Hard</t>
        </is>
      </c>
      <c r="H1313" s="1" t="n">
        <v>134944</v>
      </c>
      <c r="I1313" s="1" t="n">
        <v>424314</v>
      </c>
      <c r="J1313" s="9" t="n">
        <v>0.318</v>
      </c>
      <c r="K1313" s="1" t="inlineStr">
        <is>
          <t>Yes</t>
        </is>
      </c>
      <c r="L1313" s="1" t="inlineStr">
        <is>
          <t>Yes</t>
        </is>
      </c>
      <c r="M1313" s="1" t="inlineStr">
        <is>
          <t>No</t>
        </is>
      </c>
      <c r="N1313" s="1" t="inlineStr">
        <is>
          <t>Algorithms</t>
        </is>
      </c>
      <c r="O13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14" ht="15.75" customHeight="1" s="12">
      <c r="A1314" s="1" t="n">
        <v>2373</v>
      </c>
      <c r="B1314" s="3">
        <f>HYPERLINK("https://leetcode.com/problems/largest-local-values-in-a-matrix/", "Largest Local Values in a Matrix")</f>
        <v/>
      </c>
      <c r="C1314" s="1" t="n">
        <v>1315</v>
      </c>
      <c r="D1314" s="1" t="n">
        <v>182</v>
      </c>
      <c r="E1314" s="4">
        <f>IF(INDEX(C:C, ROW())+INDEX(D:D, ROW())=0, 0, INDEX(C:C, ROW())/(INDEX(C:C, ROW())+INDEX(D:D, ROW())))</f>
        <v/>
      </c>
      <c r="F1314" s="1" t="inlineStr">
        <is>
          <t>Array, Matrix</t>
        </is>
      </c>
      <c r="G1314" s="1" t="inlineStr">
        <is>
          <t>Easy</t>
        </is>
      </c>
      <c r="H1314" s="1" t="n">
        <v>195119</v>
      </c>
      <c r="I1314" s="1" t="n">
        <v>222344</v>
      </c>
      <c r="J1314" s="9" t="n">
        <v>0.878</v>
      </c>
      <c r="K1314" s="1" t="inlineStr">
        <is>
          <t>Yes</t>
        </is>
      </c>
      <c r="L1314" s="1" t="inlineStr">
        <is>
          <t>Yes</t>
        </is>
      </c>
      <c r="M1314" s="1" t="inlineStr">
        <is>
          <t>No</t>
        </is>
      </c>
      <c r="N1314" s="1" t="inlineStr">
        <is>
          <t>Algorithms</t>
        </is>
      </c>
      <c r="O13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15" ht="15.75" customHeight="1" s="12">
      <c r="A1315" s="1" t="n">
        <v>1909</v>
      </c>
      <c r="B1315" s="3">
        <f>HYPERLINK("https://leetcode.com/problems/remove-one-element-to-make-the-array-strictly-increasing/", "Remove One Element to Make the Array Strictly Increasing")</f>
        <v/>
      </c>
      <c r="C1315" s="1" t="n">
        <v>1314</v>
      </c>
      <c r="D1315" s="1" t="n">
        <v>348</v>
      </c>
      <c r="E1315" s="4">
        <f>IF(INDEX(C:C, ROW())+INDEX(D:D, ROW())=0, 0, INDEX(C:C, ROW())/(INDEX(C:C, ROW())+INDEX(D:D, ROW())))</f>
        <v/>
      </c>
      <c r="F1315" s="1" t="inlineStr">
        <is>
          <t>Array</t>
        </is>
      </c>
      <c r="G1315" s="1" t="inlineStr">
        <is>
          <t>Easy</t>
        </is>
      </c>
      <c r="H1315" s="1" t="n">
        <v>83712</v>
      </c>
      <c r="I1315" s="1" t="n">
        <v>284723</v>
      </c>
      <c r="J1315" s="9" t="n">
        <v>0.294</v>
      </c>
      <c r="K1315" s="1" t="inlineStr">
        <is>
          <t>Yes</t>
        </is>
      </c>
      <c r="L1315" s="1" t="inlineStr">
        <is>
          <t>No</t>
        </is>
      </c>
      <c r="M1315" s="1" t="inlineStr">
        <is>
          <t>No</t>
        </is>
      </c>
      <c r="N1315" s="1" t="inlineStr">
        <is>
          <t>Algorithms</t>
        </is>
      </c>
      <c r="O13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16" ht="15.75" customHeight="1" s="12">
      <c r="A1316" s="1" t="n">
        <v>2419</v>
      </c>
      <c r="B1316" s="3">
        <f>HYPERLINK("https://leetcode.com/problems/longest-subarray-with-maximum-bitwise-and/", "Longest Subarray With Maximum Bitwise AND")</f>
        <v/>
      </c>
      <c r="C1316" s="1" t="n">
        <v>1314</v>
      </c>
      <c r="D1316" s="1" t="n">
        <v>110</v>
      </c>
      <c r="E1316" s="4">
        <f>IF(INDEX(C:C, ROW())+INDEX(D:D, ROW())=0, 0, INDEX(C:C, ROW())/(INDEX(C:C, ROW())+INDEX(D:D, ROW())))</f>
        <v/>
      </c>
      <c r="F1316" s="1" t="inlineStr">
        <is>
          <t>Array, Bit Manipulation, Brainteaser</t>
        </is>
      </c>
      <c r="G1316" s="1" t="inlineStr">
        <is>
          <t>Medium</t>
        </is>
      </c>
      <c r="H1316" s="1" t="n">
        <v>252413</v>
      </c>
      <c r="I1316" s="1" t="n">
        <v>385982</v>
      </c>
      <c r="J1316" s="9" t="n">
        <v>0.654</v>
      </c>
      <c r="K1316" s="1" t="inlineStr">
        <is>
          <t>Yes</t>
        </is>
      </c>
      <c r="L1316" s="1" t="inlineStr">
        <is>
          <t>Yes</t>
        </is>
      </c>
      <c r="M1316" s="1" t="inlineStr">
        <is>
          <t>No</t>
        </is>
      </c>
      <c r="N1316" s="1" t="inlineStr">
        <is>
          <t>Algorithms</t>
        </is>
      </c>
      <c r="O13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17" ht="15.75" customHeight="1" s="12">
      <c r="A1317" s="1" t="n">
        <v>1559</v>
      </c>
      <c r="B1317" s="3">
        <f>HYPERLINK("https://leetcode.com/problems/detect-cycles-in-2d-grid/", "Detect Cycles in 2D Grid")</f>
        <v/>
      </c>
      <c r="C1317" s="1" t="n">
        <v>1312</v>
      </c>
      <c r="D1317" s="1" t="n">
        <v>30</v>
      </c>
      <c r="E1317" s="4">
        <f>IF(INDEX(C:C, ROW())+INDEX(D:D, ROW())=0, 0, INDEX(C:C, ROW())/(INDEX(C:C, ROW())+INDEX(D:D, ROW())))</f>
        <v/>
      </c>
      <c r="F1317" s="1" t="inlineStr">
        <is>
          <t>Array, Depth-First Search, Breadth-First Search, Union-Find, Matrix</t>
        </is>
      </c>
      <c r="G1317" s="1" t="inlineStr">
        <is>
          <t>Medium</t>
        </is>
      </c>
      <c r="H1317" s="1" t="n">
        <v>63628</v>
      </c>
      <c r="I1317" s="1" t="n">
        <v>122314</v>
      </c>
      <c r="J1317" s="9" t="n">
        <v>0.52</v>
      </c>
      <c r="K1317" s="1" t="inlineStr">
        <is>
          <t>Yes</t>
        </is>
      </c>
      <c r="L1317" s="1" t="inlineStr">
        <is>
          <t>No</t>
        </is>
      </c>
      <c r="M1317" s="1" t="inlineStr">
        <is>
          <t>No</t>
        </is>
      </c>
      <c r="N1317" s="1" t="inlineStr">
        <is>
          <t>Algorithms</t>
        </is>
      </c>
      <c r="O13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18" ht="15.75" customHeight="1" s="12">
      <c r="A1318" s="1" t="n">
        <v>1750</v>
      </c>
      <c r="B1318" s="3">
        <f>HYPERLINK("https://leetcode.com/problems/minimum-length-of-string-after-deleting-similar-ends/", "Minimum Length of String After Deleting Similar Ends")</f>
        <v/>
      </c>
      <c r="C1318" s="1" t="n">
        <v>1310</v>
      </c>
      <c r="D1318" s="1" t="n">
        <v>109</v>
      </c>
      <c r="E1318" s="4">
        <f>IF(INDEX(C:C, ROW())+INDEX(D:D, ROW())=0, 0, INDEX(C:C, ROW())/(INDEX(C:C, ROW())+INDEX(D:D, ROW())))</f>
        <v/>
      </c>
      <c r="F1318" s="1" t="inlineStr">
        <is>
          <t>Two Pointers, String</t>
        </is>
      </c>
      <c r="G1318" s="1" t="inlineStr">
        <is>
          <t>Medium</t>
        </is>
      </c>
      <c r="H1318" s="1" t="n">
        <v>184583</v>
      </c>
      <c r="I1318" s="1" t="n">
        <v>329559</v>
      </c>
      <c r="J1318" s="9" t="n">
        <v>0.5600000000000001</v>
      </c>
      <c r="K1318" s="1" t="inlineStr">
        <is>
          <t>Yes</t>
        </is>
      </c>
      <c r="L1318" s="1" t="inlineStr">
        <is>
          <t>Yes</t>
        </is>
      </c>
      <c r="M1318" s="1" t="inlineStr">
        <is>
          <t>No</t>
        </is>
      </c>
      <c r="N1318" s="1" t="inlineStr">
        <is>
          <t>Algorithms</t>
        </is>
      </c>
      <c r="O13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19" ht="15.75" customHeight="1" s="12">
      <c r="A1319" s="1" t="n">
        <v>1570</v>
      </c>
      <c r="B1319" s="3">
        <f>HYPERLINK("https://leetcode.com/problems/dot-product-of-two-sparse-vectors/", "Dot Product of Two Sparse Vectors")</f>
        <v/>
      </c>
      <c r="C1319" s="1" t="n">
        <v>1309</v>
      </c>
      <c r="D1319" s="1" t="n">
        <v>170</v>
      </c>
      <c r="E1319" s="4">
        <f>IF(INDEX(C:C, ROW())+INDEX(D:D, ROW())=0, 0, INDEX(C:C, ROW())/(INDEX(C:C, ROW())+INDEX(D:D, ROW())))</f>
        <v/>
      </c>
      <c r="F1319" s="1" t="inlineStr">
        <is>
          <t>Array, Hash Table, Two Pointers, Design</t>
        </is>
      </c>
      <c r="G1319" s="1" t="inlineStr">
        <is>
          <t>Medium</t>
        </is>
      </c>
      <c r="H1319" s="1" t="n">
        <v>400610</v>
      </c>
      <c r="I1319" s="1" t="n">
        <v>445488</v>
      </c>
      <c r="J1319" s="9" t="n">
        <v>0.899</v>
      </c>
      <c r="K1319" s="1" t="inlineStr">
        <is>
          <t>No</t>
        </is>
      </c>
      <c r="L1319" s="1" t="inlineStr">
        <is>
          <t>Yes</t>
        </is>
      </c>
      <c r="M1319" s="1" t="inlineStr">
        <is>
          <t>No</t>
        </is>
      </c>
      <c r="N1319" s="1" t="inlineStr">
        <is>
          <t>Algorithms</t>
        </is>
      </c>
      <c r="O13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20" ht="15.75" customHeight="1" s="12">
      <c r="A1320" s="1" t="n">
        <v>1827</v>
      </c>
      <c r="B1320" s="3">
        <f>HYPERLINK("https://leetcode.com/problems/minimum-operations-to-make-the-array-increasing/", "Minimum Operations to Make the Array Increasing")</f>
        <v/>
      </c>
      <c r="C1320" s="1" t="n">
        <v>1309</v>
      </c>
      <c r="D1320" s="1" t="n">
        <v>68</v>
      </c>
      <c r="E1320" s="4">
        <f>IF(INDEX(C:C, ROW())+INDEX(D:D, ROW())=0, 0, INDEX(C:C, ROW())/(INDEX(C:C, ROW())+INDEX(D:D, ROW())))</f>
        <v/>
      </c>
      <c r="F1320" s="1" t="inlineStr">
        <is>
          <t>Array, Greedy</t>
        </is>
      </c>
      <c r="G1320" s="1" t="inlineStr">
        <is>
          <t>Easy</t>
        </is>
      </c>
      <c r="H1320" s="1" t="n">
        <v>130163</v>
      </c>
      <c r="I1320" s="1" t="n">
        <v>159266</v>
      </c>
      <c r="J1320" s="9" t="n">
        <v>0.8169999999999999</v>
      </c>
      <c r="K1320" s="1" t="inlineStr">
        <is>
          <t>Yes</t>
        </is>
      </c>
      <c r="L1320" s="1" t="inlineStr">
        <is>
          <t>No</t>
        </is>
      </c>
      <c r="M1320" s="1" t="inlineStr">
        <is>
          <t>No</t>
        </is>
      </c>
      <c r="N1320" s="1" t="inlineStr">
        <is>
          <t>Algorithms</t>
        </is>
      </c>
      <c r="O13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21" ht="15.75" customHeight="1" s="12">
      <c r="A1321" s="1" t="n">
        <v>2045</v>
      </c>
      <c r="B1321" s="3">
        <f>HYPERLINK("https://leetcode.com/problems/second-minimum-time-to-reach-destination/", "Second Minimum Time to Reach Destination")</f>
        <v/>
      </c>
      <c r="C1321" s="1" t="n">
        <v>1308</v>
      </c>
      <c r="D1321" s="1" t="n">
        <v>69</v>
      </c>
      <c r="E1321" s="4">
        <f>IF(INDEX(C:C, ROW())+INDEX(D:D, ROW())=0, 0, INDEX(C:C, ROW())/(INDEX(C:C, ROW())+INDEX(D:D, ROW())))</f>
        <v/>
      </c>
      <c r="F1321" s="1" t="inlineStr">
        <is>
          <t>Breadth-First Search, Graph Theory, Shortest Path</t>
        </is>
      </c>
      <c r="G1321" s="1" t="inlineStr">
        <is>
          <t>Hard</t>
        </is>
      </c>
      <c r="H1321" s="1" t="n">
        <v>90318</v>
      </c>
      <c r="I1321" s="1" t="n">
        <v>144860</v>
      </c>
      <c r="J1321" s="9" t="n">
        <v>0.623</v>
      </c>
      <c r="K1321" s="1" t="inlineStr">
        <is>
          <t>Yes</t>
        </is>
      </c>
      <c r="L1321" s="1" t="inlineStr">
        <is>
          <t>Yes</t>
        </is>
      </c>
      <c r="M1321" s="1" t="inlineStr">
        <is>
          <t>No</t>
        </is>
      </c>
      <c r="N1321" s="1" t="inlineStr">
        <is>
          <t>Algorithms</t>
        </is>
      </c>
      <c r="O13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22" ht="15.75" customHeight="1" s="12">
      <c r="A1322" s="1" t="n">
        <v>2053</v>
      </c>
      <c r="B1322" s="3">
        <f>HYPERLINK("https://leetcode.com/problems/kth-distinct-string-in-an-array/", "Kth Distinct String in an Array")</f>
        <v/>
      </c>
      <c r="C1322" s="1" t="n">
        <v>1308</v>
      </c>
      <c r="D1322" s="1" t="n">
        <v>52</v>
      </c>
      <c r="E1322" s="4">
        <f>IF(INDEX(C:C, ROW())+INDEX(D:D, ROW())=0, 0, INDEX(C:C, ROW())/(INDEX(C:C, ROW())+INDEX(D:D, ROW())))</f>
        <v/>
      </c>
      <c r="F1322" s="1" t="inlineStr">
        <is>
          <t>Array, Hash Table, String, Counting</t>
        </is>
      </c>
      <c r="G1322" s="1" t="inlineStr">
        <is>
          <t>Easy</t>
        </is>
      </c>
      <c r="H1322" s="1" t="n">
        <v>267670</v>
      </c>
      <c r="I1322" s="1" t="n">
        <v>325917</v>
      </c>
      <c r="J1322" s="9" t="n">
        <v>0.821</v>
      </c>
      <c r="K1322" s="1" t="inlineStr">
        <is>
          <t>Yes</t>
        </is>
      </c>
      <c r="L1322" s="1" t="inlineStr">
        <is>
          <t>Yes</t>
        </is>
      </c>
      <c r="M1322" s="1" t="inlineStr">
        <is>
          <t>No</t>
        </is>
      </c>
      <c r="N1322" s="1" t="inlineStr">
        <is>
          <t>Algorithms</t>
        </is>
      </c>
      <c r="O13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23" ht="15.75" customHeight="1" s="12">
      <c r="A1323" s="1" t="n">
        <v>2379</v>
      </c>
      <c r="B1323" s="3">
        <f>HYPERLINK("https://leetcode.com/problems/minimum-recolors-to-get-k-consecutive-black-blocks/", "Minimum Recolors to Get K Consecutive Black Blocks")</f>
        <v/>
      </c>
      <c r="C1323" s="1" t="n">
        <v>1308</v>
      </c>
      <c r="D1323" s="1" t="n">
        <v>38</v>
      </c>
      <c r="E1323" s="4">
        <f>IF(INDEX(C:C, ROW())+INDEX(D:D, ROW())=0, 0, INDEX(C:C, ROW())/(INDEX(C:C, ROW())+INDEX(D:D, ROW())))</f>
        <v/>
      </c>
      <c r="F1323" s="1" t="inlineStr">
        <is>
          <t>String, Sliding Window</t>
        </is>
      </c>
      <c r="G1323" s="1" t="inlineStr">
        <is>
          <t>Easy</t>
        </is>
      </c>
      <c r="H1323" s="1" t="n">
        <v>225058</v>
      </c>
      <c r="I1323" s="1" t="n">
        <v>328327</v>
      </c>
      <c r="J1323" s="9" t="n">
        <v>0.6850000000000001</v>
      </c>
      <c r="K1323" s="1" t="inlineStr">
        <is>
          <t>Yes</t>
        </is>
      </c>
      <c r="L1323" s="1" t="inlineStr">
        <is>
          <t>Yes</t>
        </is>
      </c>
      <c r="M1323" s="1" t="inlineStr">
        <is>
          <t>No</t>
        </is>
      </c>
      <c r="N1323" s="1" t="inlineStr">
        <is>
          <t>Algorithms</t>
        </is>
      </c>
      <c r="O13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24" ht="15.75" customHeight="1" s="12">
      <c r="A1324" s="1" t="n">
        <v>2326</v>
      </c>
      <c r="B1324" s="3">
        <f>HYPERLINK("https://leetcode.com/problems/spiral-matrix-iv/", "Spiral Matrix IV")</f>
        <v/>
      </c>
      <c r="C1324" s="1" t="n">
        <v>1307</v>
      </c>
      <c r="D1324" s="1" t="n">
        <v>56</v>
      </c>
      <c r="E1324" s="4">
        <f>IF(INDEX(C:C, ROW())+INDEX(D:D, ROW())=0, 0, INDEX(C:C, ROW())/(INDEX(C:C, ROW())+INDEX(D:D, ROW())))</f>
        <v/>
      </c>
      <c r="F1324" s="1" t="inlineStr">
        <is>
          <t>Array, Linked List, Matrix, Simulation</t>
        </is>
      </c>
      <c r="G1324" s="1" t="inlineStr">
        <is>
          <t>Medium</t>
        </is>
      </c>
      <c r="H1324" s="1" t="n">
        <v>179430</v>
      </c>
      <c r="I1324" s="1" t="n">
        <v>218046</v>
      </c>
      <c r="J1324" s="9" t="n">
        <v>0.823</v>
      </c>
      <c r="K1324" s="1" t="inlineStr">
        <is>
          <t>Yes</t>
        </is>
      </c>
      <c r="L1324" s="1" t="inlineStr">
        <is>
          <t>Yes</t>
        </is>
      </c>
      <c r="M1324" s="1" t="inlineStr">
        <is>
          <t>No</t>
        </is>
      </c>
      <c r="N1324" s="1" t="inlineStr">
        <is>
          <t>Algorithms</t>
        </is>
      </c>
      <c r="O13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25" ht="15.75" customHeight="1" s="12">
      <c r="A1325" s="1" t="n">
        <v>2357</v>
      </c>
      <c r="B1325" s="3">
        <f>HYPERLINK("https://leetcode.com/problems/make-array-zero-by-subtracting-equal-amounts/", "Make Array Zero by Subtracting Equal Amounts")</f>
        <v/>
      </c>
      <c r="C1325" s="1" t="n">
        <v>1307</v>
      </c>
      <c r="D1325" s="1" t="n">
        <v>61</v>
      </c>
      <c r="E1325" s="4">
        <f>IF(INDEX(C:C, ROW())+INDEX(D:D, ROW())=0, 0, INDEX(C:C, ROW())/(INDEX(C:C, ROW())+INDEX(D:D, ROW())))</f>
        <v/>
      </c>
      <c r="F1325" s="1" t="inlineStr">
        <is>
          <t>Array, Hash Table, Greedy, Sorting, Heap (Priority Queue), Simulation</t>
        </is>
      </c>
      <c r="G1325" s="1" t="inlineStr">
        <is>
          <t>Easy</t>
        </is>
      </c>
      <c r="H1325" s="1" t="n">
        <v>173235</v>
      </c>
      <c r="I1325" s="1" t="n">
        <v>234968</v>
      </c>
      <c r="J1325" s="9" t="n">
        <v>0.737</v>
      </c>
      <c r="K1325" s="1" t="inlineStr">
        <is>
          <t>Yes</t>
        </is>
      </c>
      <c r="L1325" s="1" t="inlineStr">
        <is>
          <t>No</t>
        </is>
      </c>
      <c r="M1325" s="1" t="inlineStr">
        <is>
          <t>No</t>
        </is>
      </c>
      <c r="N1325" s="1" t="inlineStr">
        <is>
          <t>Algorithms</t>
        </is>
      </c>
      <c r="O13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26" ht="15.75" customHeight="1" s="12">
      <c r="A1326" s="1" t="n">
        <v>1201</v>
      </c>
      <c r="B1326" s="3">
        <f>HYPERLINK("https://leetcode.com/problems/ugly-number-iii/", "Ugly Number III")</f>
        <v/>
      </c>
      <c r="C1326" s="1" t="n">
        <v>1305</v>
      </c>
      <c r="D1326" s="1" t="n">
        <v>518</v>
      </c>
      <c r="E1326" s="4">
        <f>IF(INDEX(C:C, ROW())+INDEX(D:D, ROW())=0, 0, INDEX(C:C, ROW())/(INDEX(C:C, ROW())+INDEX(D:D, ROW())))</f>
        <v/>
      </c>
      <c r="F1326" s="1" t="inlineStr">
        <is>
          <t>Math, Binary Search, Combinatorics, Number Theory</t>
        </is>
      </c>
      <c r="G1326" s="1" t="inlineStr">
        <is>
          <t>Medium</t>
        </is>
      </c>
      <c r="H1326" s="1" t="n">
        <v>42063</v>
      </c>
      <c r="I1326" s="1" t="n">
        <v>135369</v>
      </c>
      <c r="J1326" s="9" t="n">
        <v>0.311</v>
      </c>
      <c r="K1326" s="1" t="inlineStr">
        <is>
          <t>Yes</t>
        </is>
      </c>
      <c r="L1326" s="1" t="inlineStr">
        <is>
          <t>No</t>
        </is>
      </c>
      <c r="M1326" s="1" t="inlineStr">
        <is>
          <t>No</t>
        </is>
      </c>
      <c r="N1326" s="1" t="inlineStr">
        <is>
          <t>Algorithms</t>
        </is>
      </c>
      <c r="O13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27" ht="15.75" customHeight="1" s="12">
      <c r="A1327" s="1" t="n">
        <v>2597</v>
      </c>
      <c r="B1327" s="3">
        <f>HYPERLINK("https://leetcode.com/problems/the-number-of-beautiful-subsets/", "The Number of Beautiful Subsets")</f>
        <v/>
      </c>
      <c r="C1327" s="1" t="n">
        <v>1299</v>
      </c>
      <c r="D1327" s="1" t="n">
        <v>176</v>
      </c>
      <c r="E1327" s="4">
        <f>IF(INDEX(C:C, ROW())+INDEX(D:D, ROW())=0, 0, INDEX(C:C, ROW())/(INDEX(C:C, ROW())+INDEX(D:D, ROW())))</f>
        <v/>
      </c>
      <c r="F1327" s="1" t="inlineStr">
        <is>
          <t>Array, Hash Table, Math, Dynamic Programming, Backtracking, Sorting, Combinatorics</t>
        </is>
      </c>
      <c r="G1327" s="1" t="inlineStr">
        <is>
          <t>Medium</t>
        </is>
      </c>
      <c r="H1327" s="1" t="n">
        <v>129495</v>
      </c>
      <c r="I1327" s="1" t="n">
        <v>254546</v>
      </c>
      <c r="J1327" s="9" t="n">
        <v>0.509</v>
      </c>
      <c r="K1327" s="1" t="inlineStr">
        <is>
          <t>Yes</t>
        </is>
      </c>
      <c r="L1327" s="1" t="inlineStr">
        <is>
          <t>Yes</t>
        </is>
      </c>
      <c r="M1327" s="1" t="inlineStr">
        <is>
          <t>No</t>
        </is>
      </c>
      <c r="N1327" s="1" t="inlineStr">
        <is>
          <t>Algorithms</t>
        </is>
      </c>
      <c r="O13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28" ht="15.75" customHeight="1" s="12">
      <c r="A1328" s="1" t="n">
        <v>1568</v>
      </c>
      <c r="B1328" s="3">
        <f>HYPERLINK("https://leetcode.com/problems/minimum-number-of-days-to-disconnect-island/", "Minimum Number of Days to Disconnect Island")</f>
        <v/>
      </c>
      <c r="C1328" s="1" t="n">
        <v>1297</v>
      </c>
      <c r="D1328" s="1" t="n">
        <v>224</v>
      </c>
      <c r="E1328" s="4">
        <f>IF(INDEX(C:C, ROW())+INDEX(D:D, ROW())=0, 0, INDEX(C:C, ROW())/(INDEX(C:C, ROW())+INDEX(D:D, ROW())))</f>
        <v/>
      </c>
      <c r="F1328" s="1" t="inlineStr">
        <is>
          <t>Array, Depth-First Search, Breadth-First Search, Matrix, Strongly Connected Component</t>
        </is>
      </c>
      <c r="G1328" s="1" t="inlineStr">
        <is>
          <t>Hard</t>
        </is>
      </c>
      <c r="H1328" s="1" t="n">
        <v>97821</v>
      </c>
      <c r="I1328" s="1" t="n">
        <v>166293</v>
      </c>
      <c r="J1328" s="9" t="n">
        <v>0.588</v>
      </c>
      <c r="K1328" s="1" t="inlineStr">
        <is>
          <t>Yes</t>
        </is>
      </c>
      <c r="L1328" s="1" t="inlineStr">
        <is>
          <t>Yes</t>
        </is>
      </c>
      <c r="M1328" s="1" t="inlineStr">
        <is>
          <t>No</t>
        </is>
      </c>
      <c r="N1328" s="1" t="inlineStr">
        <is>
          <t>Algorithms</t>
        </is>
      </c>
      <c r="O13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29" ht="15.75" customHeight="1" s="12">
      <c r="A1329" s="1" t="n">
        <v>1178</v>
      </c>
      <c r="B1329" s="3">
        <f>HYPERLINK("https://leetcode.com/problems/number-of-valid-words-for-each-puzzle/", "Number of Valid Words for Each Puzzle")</f>
        <v/>
      </c>
      <c r="C1329" s="1" t="n">
        <v>1296</v>
      </c>
      <c r="D1329" s="1" t="n">
        <v>89</v>
      </c>
      <c r="E1329" s="4">
        <f>IF(INDEX(C:C, ROW())+INDEX(D:D, ROW())=0, 0, INDEX(C:C, ROW())/(INDEX(C:C, ROW())+INDEX(D:D, ROW())))</f>
        <v/>
      </c>
      <c r="F1329" s="1" t="inlineStr">
        <is>
          <t>Array, Hash Table, String, Bit Manipulation, Trie</t>
        </is>
      </c>
      <c r="G1329" s="1" t="inlineStr">
        <is>
          <t>Hard</t>
        </is>
      </c>
      <c r="H1329" s="1" t="n">
        <v>34425</v>
      </c>
      <c r="I1329" s="1" t="n">
        <v>72275</v>
      </c>
      <c r="J1329" s="9" t="n">
        <v>0.476</v>
      </c>
      <c r="K1329" s="1" t="inlineStr">
        <is>
          <t>Yes</t>
        </is>
      </c>
      <c r="L1329" s="1" t="inlineStr">
        <is>
          <t>Yes</t>
        </is>
      </c>
      <c r="M1329" s="1" t="inlineStr">
        <is>
          <t>No</t>
        </is>
      </c>
      <c r="N1329" s="1" t="inlineStr">
        <is>
          <t>Algorithms</t>
        </is>
      </c>
      <c r="O13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30" ht="15.75" customHeight="1" s="12">
      <c r="A1330" s="1" t="n">
        <v>1888</v>
      </c>
      <c r="B1330" s="3">
        <f>HYPERLINK("https://leetcode.com/problems/minimum-number-of-flips-to-make-the-binary-string-alternating/", "Minimum Number of Flips to Make the Binary String Alternating")</f>
        <v/>
      </c>
      <c r="C1330" s="1" t="n">
        <v>1291</v>
      </c>
      <c r="D1330" s="1" t="n">
        <v>84</v>
      </c>
      <c r="E1330" s="4">
        <f>IF(INDEX(C:C, ROW())+INDEX(D:D, ROW())=0, 0, INDEX(C:C, ROW())/(INDEX(C:C, ROW())+INDEX(D:D, ROW())))</f>
        <v/>
      </c>
      <c r="F1330" s="1" t="inlineStr">
        <is>
          <t>String, Dynamic Programming, Sliding Window</t>
        </is>
      </c>
      <c r="G1330" s="1" t="inlineStr">
        <is>
          <t>Medium</t>
        </is>
      </c>
      <c r="H1330" s="1" t="n">
        <v>35981</v>
      </c>
      <c r="I1330" s="1" t="n">
        <v>87843</v>
      </c>
      <c r="J1330" s="9" t="n">
        <v>0.41</v>
      </c>
      <c r="K1330" s="1" t="inlineStr">
        <is>
          <t>Yes</t>
        </is>
      </c>
      <c r="L1330" s="1" t="inlineStr">
        <is>
          <t>No</t>
        </is>
      </c>
      <c r="M1330" s="1" t="inlineStr">
        <is>
          <t>No</t>
        </is>
      </c>
      <c r="N1330" s="1" t="inlineStr">
        <is>
          <t>Algorithms</t>
        </is>
      </c>
      <c r="O13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31" ht="15.75" customHeight="1" s="12">
      <c r="A1331" s="1" t="n">
        <v>243</v>
      </c>
      <c r="B1331" s="3">
        <f>HYPERLINK("https://leetcode.com/problems/shortest-word-distance/", "Shortest Word Distance")</f>
        <v/>
      </c>
      <c r="C1331" s="1" t="n">
        <v>1290</v>
      </c>
      <c r="D1331" s="1" t="n">
        <v>127</v>
      </c>
      <c r="E1331" s="4">
        <f>IF(INDEX(C:C, ROW())+INDEX(D:D, ROW())=0, 0, INDEX(C:C, ROW())/(INDEX(C:C, ROW())+INDEX(D:D, ROW())))</f>
        <v/>
      </c>
      <c r="F1331" s="1" t="inlineStr">
        <is>
          <t>Array, String</t>
        </is>
      </c>
      <c r="G1331" s="1" t="inlineStr">
        <is>
          <t>Easy</t>
        </is>
      </c>
      <c r="H1331" s="1" t="n">
        <v>241275</v>
      </c>
      <c r="I1331" s="1" t="n">
        <v>364619</v>
      </c>
      <c r="J1331" s="9" t="n">
        <v>0.662</v>
      </c>
      <c r="K1331" s="1" t="inlineStr">
        <is>
          <t>No</t>
        </is>
      </c>
      <c r="L1331" s="1" t="inlineStr">
        <is>
          <t>Yes</t>
        </is>
      </c>
      <c r="M1331" s="1" t="inlineStr">
        <is>
          <t>No</t>
        </is>
      </c>
      <c r="N1331" s="1" t="inlineStr">
        <is>
          <t>Algorithms</t>
        </is>
      </c>
      <c r="O13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32" ht="15.75" customHeight="1" s="12">
      <c r="A1332" s="1" t="n">
        <v>1439</v>
      </c>
      <c r="B1332" s="3">
        <f>HYPERLINK("https://leetcode.com/problems/find-the-kth-smallest-sum-of-a-matrix-with-sorted-rows/", "Find the Kth Smallest Sum of a Matrix With Sorted Rows")</f>
        <v/>
      </c>
      <c r="C1332" s="1" t="n">
        <v>1290</v>
      </c>
      <c r="D1332" s="1" t="n">
        <v>21</v>
      </c>
      <c r="E1332" s="4">
        <f>IF(INDEX(C:C, ROW())+INDEX(D:D, ROW())=0, 0, INDEX(C:C, ROW())/(INDEX(C:C, ROW())+INDEX(D:D, ROW())))</f>
        <v/>
      </c>
      <c r="F1332" s="1" t="inlineStr">
        <is>
          <t>Array, Binary Search, Heap (Priority Queue), Matrix</t>
        </is>
      </c>
      <c r="G1332" s="1" t="inlineStr">
        <is>
          <t>Hard</t>
        </is>
      </c>
      <c r="H1332" s="1" t="n">
        <v>42468</v>
      </c>
      <c r="I1332" s="1" t="n">
        <v>68227</v>
      </c>
      <c r="J1332" s="9" t="n">
        <v>0.622</v>
      </c>
      <c r="K1332" s="1" t="inlineStr">
        <is>
          <t>Yes</t>
        </is>
      </c>
      <c r="L1332" s="1" t="inlineStr">
        <is>
          <t>No</t>
        </is>
      </c>
      <c r="M1332" s="1" t="inlineStr">
        <is>
          <t>No</t>
        </is>
      </c>
      <c r="N1332" s="1" t="inlineStr">
        <is>
          <t>Algorithms</t>
        </is>
      </c>
      <c r="O13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33" ht="15.75" customHeight="1" s="12">
      <c r="A1333" s="1" t="n">
        <v>2022</v>
      </c>
      <c r="B1333" s="3">
        <f>HYPERLINK("https://leetcode.com/problems/convert-1d-array-into-2d-array/", "Convert 1D Array Into 2D Array")</f>
        <v/>
      </c>
      <c r="C1333" s="1" t="n">
        <v>1290</v>
      </c>
      <c r="D1333" s="1" t="n">
        <v>103</v>
      </c>
      <c r="E1333" s="4">
        <f>IF(INDEX(C:C, ROW())+INDEX(D:D, ROW())=0, 0, INDEX(C:C, ROW())/(INDEX(C:C, ROW())+INDEX(D:D, ROW())))</f>
        <v/>
      </c>
      <c r="F1333" s="1" t="inlineStr">
        <is>
          <t>Array, Matrix, Simulation</t>
        </is>
      </c>
      <c r="G1333" s="1" t="inlineStr">
        <is>
          <t>Easy</t>
        </is>
      </c>
      <c r="H1333" s="1" t="n">
        <v>285319</v>
      </c>
      <c r="I1333" s="1" t="n">
        <v>396085</v>
      </c>
      <c r="J1333" s="9" t="n">
        <v>0.72</v>
      </c>
      <c r="K1333" s="1" t="inlineStr">
        <is>
          <t>Yes</t>
        </is>
      </c>
      <c r="L1333" s="1" t="inlineStr">
        <is>
          <t>Yes</t>
        </is>
      </c>
      <c r="M1333" s="1" t="inlineStr">
        <is>
          <t>No</t>
        </is>
      </c>
      <c r="N1333" s="1" t="inlineStr">
        <is>
          <t>Algorithms</t>
        </is>
      </c>
      <c r="O13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34" ht="15.75" customHeight="1" s="12">
      <c r="A1334" s="1" t="n">
        <v>2257</v>
      </c>
      <c r="B1334" s="3">
        <f>HYPERLINK("https://leetcode.com/problems/count-unguarded-cells-in-the-grid/", "Count Unguarded Cells in the Grid")</f>
        <v/>
      </c>
      <c r="C1334" s="1" t="n">
        <v>1289</v>
      </c>
      <c r="D1334" s="1" t="n">
        <v>91</v>
      </c>
      <c r="E1334" s="4">
        <f>IF(INDEX(C:C, ROW())+INDEX(D:D, ROW())=0, 0, INDEX(C:C, ROW())/(INDEX(C:C, ROW())+INDEX(D:D, ROW())))</f>
        <v/>
      </c>
      <c r="F1334" s="1" t="inlineStr">
        <is>
          <t>Array, Matrix, Simulation</t>
        </is>
      </c>
      <c r="G1334" s="1" t="inlineStr">
        <is>
          <t>Medium</t>
        </is>
      </c>
      <c r="H1334" s="1" t="n">
        <v>204091</v>
      </c>
      <c r="I1334" s="1" t="n">
        <v>295728</v>
      </c>
      <c r="J1334" s="9" t="n">
        <v>0.6899999999999999</v>
      </c>
      <c r="K1334" s="1" t="inlineStr">
        <is>
          <t>Yes</t>
        </is>
      </c>
      <c r="L1334" s="1" t="inlineStr">
        <is>
          <t>Yes</t>
        </is>
      </c>
      <c r="M1334" s="1" t="inlineStr">
        <is>
          <t>No</t>
        </is>
      </c>
      <c r="N1334" s="1" t="inlineStr">
        <is>
          <t>Algorithms</t>
        </is>
      </c>
      <c r="O13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35" ht="15.75" customHeight="1" s="12">
      <c r="A1335" s="1" t="n">
        <v>596</v>
      </c>
      <c r="B1335" s="3">
        <f>HYPERLINK("https://leetcode.com/problems/classes-with-at-least-5-students/", "Classes With at Least 5 Students")</f>
        <v/>
      </c>
      <c r="C1335" s="1" t="n">
        <v>1287</v>
      </c>
      <c r="D1335" s="1" t="n">
        <v>1084</v>
      </c>
      <c r="E1335" s="4">
        <f>IF(INDEX(C:C, ROW())+INDEX(D:D, ROW())=0, 0, INDEX(C:C, ROW())/(INDEX(C:C, ROW())+INDEX(D:D, ROW())))</f>
        <v/>
      </c>
      <c r="F1335" s="1" t="inlineStr">
        <is>
          <t>Database</t>
        </is>
      </c>
      <c r="G1335" s="1" t="inlineStr">
        <is>
          <t>Easy</t>
        </is>
      </c>
      <c r="H1335" s="1" t="n">
        <v>797801</v>
      </c>
      <c r="I1335" s="1" t="n">
        <v>1269039</v>
      </c>
      <c r="J1335" s="9" t="n">
        <v>0.629</v>
      </c>
      <c r="K1335" s="1" t="inlineStr">
        <is>
          <t>Yes</t>
        </is>
      </c>
      <c r="L1335" s="1" t="inlineStr">
        <is>
          <t>Yes</t>
        </is>
      </c>
      <c r="M1335" s="1" t="inlineStr">
        <is>
          <t>No</t>
        </is>
      </c>
      <c r="N1335" s="1" t="inlineStr">
        <is>
          <t>Database</t>
        </is>
      </c>
      <c r="O13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36" ht="15.75" customHeight="1" s="12">
      <c r="A1336" s="1" t="n">
        <v>675</v>
      </c>
      <c r="B1336" s="3">
        <f>HYPERLINK("https://leetcode.com/problems/cut-off-trees-for-golf-event/", "Cut Off Trees for Golf Event")</f>
        <v/>
      </c>
      <c r="C1336" s="1" t="n">
        <v>1287</v>
      </c>
      <c r="D1336" s="1" t="n">
        <v>689</v>
      </c>
      <c r="E1336" s="4">
        <f>IF(INDEX(C:C, ROW())+INDEX(D:D, ROW())=0, 0, INDEX(C:C, ROW())/(INDEX(C:C, ROW())+INDEX(D:D, ROW())))</f>
        <v/>
      </c>
      <c r="F1336" s="1" t="inlineStr">
        <is>
          <t>Array, Breadth-First Search, Heap (Priority Queue), Matrix</t>
        </is>
      </c>
      <c r="G1336" s="1" t="inlineStr">
        <is>
          <t>Hard</t>
        </is>
      </c>
      <c r="H1336" s="1" t="n">
        <v>82819</v>
      </c>
      <c r="I1336" s="1" t="n">
        <v>229932</v>
      </c>
      <c r="J1336" s="9" t="n">
        <v>0.36</v>
      </c>
      <c r="K1336" s="1" t="inlineStr">
        <is>
          <t>Yes</t>
        </is>
      </c>
      <c r="L1336" s="1" t="inlineStr">
        <is>
          <t>No</t>
        </is>
      </c>
      <c r="M1336" s="1" t="inlineStr">
        <is>
          <t>No</t>
        </is>
      </c>
      <c r="N1336" s="1" t="inlineStr">
        <is>
          <t>Algorithms</t>
        </is>
      </c>
      <c r="O13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37" ht="15.75" customHeight="1" s="12">
      <c r="A1337" s="1" t="n">
        <v>1800</v>
      </c>
      <c r="B1337" s="3">
        <f>HYPERLINK("https://leetcode.com/problems/maximum-ascending-subarray-sum/", "Maximum Ascending Subarray Sum")</f>
        <v/>
      </c>
      <c r="C1337" s="1" t="n">
        <v>1283</v>
      </c>
      <c r="D1337" s="1" t="n">
        <v>42</v>
      </c>
      <c r="E1337" s="4">
        <f>IF(INDEX(C:C, ROW())+INDEX(D:D, ROW())=0, 0, INDEX(C:C, ROW())/(INDEX(C:C, ROW())+INDEX(D:D, ROW())))</f>
        <v/>
      </c>
      <c r="F1337" s="1" t="inlineStr">
        <is>
          <t>Array</t>
        </is>
      </c>
      <c r="G1337" s="1" t="inlineStr">
        <is>
          <t>Easy</t>
        </is>
      </c>
      <c r="H1337" s="1" t="n">
        <v>244083</v>
      </c>
      <c r="I1337" s="1" t="n">
        <v>368169</v>
      </c>
      <c r="J1337" s="9" t="n">
        <v>0.663</v>
      </c>
      <c r="K1337" s="1" t="inlineStr">
        <is>
          <t>Yes</t>
        </is>
      </c>
      <c r="L1337" s="1" t="inlineStr">
        <is>
          <t>Yes</t>
        </is>
      </c>
      <c r="M1337" s="1" t="inlineStr">
        <is>
          <t>No</t>
        </is>
      </c>
      <c r="N1337" s="1" t="inlineStr">
        <is>
          <t>Algorithms</t>
        </is>
      </c>
      <c r="O13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38" ht="15.75" customHeight="1" s="12">
      <c r="A1338" s="1" t="n">
        <v>1234</v>
      </c>
      <c r="B1338" s="3">
        <f>HYPERLINK("https://leetcode.com/problems/replace-the-substring-for-balanced-string/", "Replace the Substring for Balanced String")</f>
        <v/>
      </c>
      <c r="C1338" s="1" t="n">
        <v>1277</v>
      </c>
      <c r="D1338" s="1" t="n">
        <v>224</v>
      </c>
      <c r="E1338" s="4">
        <f>IF(INDEX(C:C, ROW())+INDEX(D:D, ROW())=0, 0, INDEX(C:C, ROW())/(INDEX(C:C, ROW())+INDEX(D:D, ROW())))</f>
        <v/>
      </c>
      <c r="F1338" s="1" t="inlineStr">
        <is>
          <t>String, Sliding Window</t>
        </is>
      </c>
      <c r="G1338" s="1" t="inlineStr">
        <is>
          <t>Medium</t>
        </is>
      </c>
      <c r="H1338" s="1" t="n">
        <v>45857</v>
      </c>
      <c r="I1338" s="1" t="n">
        <v>113369</v>
      </c>
      <c r="J1338" s="9" t="n">
        <v>0.404</v>
      </c>
      <c r="K1338" s="1" t="inlineStr">
        <is>
          <t>Yes</t>
        </is>
      </c>
      <c r="L1338" s="1" t="inlineStr">
        <is>
          <t>No</t>
        </is>
      </c>
      <c r="M1338" s="1" t="inlineStr">
        <is>
          <t>No</t>
        </is>
      </c>
      <c r="N1338" s="1" t="inlineStr">
        <is>
          <t>Algorithms</t>
        </is>
      </c>
      <c r="O13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39" ht="15.75" customHeight="1" s="12">
      <c r="A1339" s="1" t="n">
        <v>1979</v>
      </c>
      <c r="B1339" s="3">
        <f>HYPERLINK("https://leetcode.com/problems/find-greatest-common-divisor-of-array/", "Find Greatest Common Divisor of Array")</f>
        <v/>
      </c>
      <c r="C1339" s="1" t="n">
        <v>1277</v>
      </c>
      <c r="D1339" s="1" t="n">
        <v>53</v>
      </c>
      <c r="E1339" s="4">
        <f>IF(INDEX(C:C, ROW())+INDEX(D:D, ROW())=0, 0, INDEX(C:C, ROW())/(INDEX(C:C, ROW())+INDEX(D:D, ROW())))</f>
        <v/>
      </c>
      <c r="F1339" s="1" t="inlineStr">
        <is>
          <t>Array, Math, Number Theory</t>
        </is>
      </c>
      <c r="G1339" s="1" t="inlineStr">
        <is>
          <t>Easy</t>
        </is>
      </c>
      <c r="H1339" s="1" t="n">
        <v>228242</v>
      </c>
      <c r="I1339" s="1" t="n">
        <v>286974</v>
      </c>
      <c r="J1339" s="9" t="n">
        <v>0.795</v>
      </c>
      <c r="K1339" s="1" t="inlineStr">
        <is>
          <t>Yes</t>
        </is>
      </c>
      <c r="L1339" s="1" t="inlineStr">
        <is>
          <t>No</t>
        </is>
      </c>
      <c r="M1339" s="1" t="inlineStr">
        <is>
          <t>No</t>
        </is>
      </c>
      <c r="N1339" s="1" t="inlineStr">
        <is>
          <t>Algorithms</t>
        </is>
      </c>
      <c r="O13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40" ht="15.75" customHeight="1" s="12">
      <c r="A1340" s="1" t="n">
        <v>1824</v>
      </c>
      <c r="B1340" s="3">
        <f>HYPERLINK("https://leetcode.com/problems/minimum-sideway-jumps/", "Minimum Sideway Jumps")</f>
        <v/>
      </c>
      <c r="C1340" s="1" t="n">
        <v>1275</v>
      </c>
      <c r="D1340" s="1" t="n">
        <v>51</v>
      </c>
      <c r="E1340" s="4">
        <f>IF(INDEX(C:C, ROW())+INDEX(D:D, ROW())=0, 0, INDEX(C:C, ROW())/(INDEX(C:C, ROW())+INDEX(D:D, ROW())))</f>
        <v/>
      </c>
      <c r="F1340" s="1" t="inlineStr">
        <is>
          <t>Array, Dynamic Programming, Greedy</t>
        </is>
      </c>
      <c r="G1340" s="1" t="inlineStr">
        <is>
          <t>Medium</t>
        </is>
      </c>
      <c r="H1340" s="1" t="n">
        <v>57194</v>
      </c>
      <c r="I1340" s="1" t="n">
        <v>111216</v>
      </c>
      <c r="J1340" s="9" t="n">
        <v>0.514</v>
      </c>
      <c r="K1340" s="1" t="inlineStr">
        <is>
          <t>Yes</t>
        </is>
      </c>
      <c r="L1340" s="1" t="inlineStr">
        <is>
          <t>No</t>
        </is>
      </c>
      <c r="M1340" s="1" t="inlineStr">
        <is>
          <t>No</t>
        </is>
      </c>
      <c r="N1340" s="1" t="inlineStr">
        <is>
          <t>Algorithms</t>
        </is>
      </c>
      <c r="O13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41" ht="15.75" customHeight="1" s="12">
      <c r="A1341" s="1" t="n">
        <v>1151</v>
      </c>
      <c r="B1341" s="3">
        <f>HYPERLINK("https://leetcode.com/problems/minimum-swaps-to-group-all-1s-together/", "Minimum Swaps to Group All 1's Together")</f>
        <v/>
      </c>
      <c r="C1341" s="1" t="n">
        <v>1273</v>
      </c>
      <c r="D1341" s="1" t="n">
        <v>18</v>
      </c>
      <c r="E1341" s="4">
        <f>IF(INDEX(C:C, ROW())+INDEX(D:D, ROW())=0, 0, INDEX(C:C, ROW())/(INDEX(C:C, ROW())+INDEX(D:D, ROW())))</f>
        <v/>
      </c>
      <c r="F1341" s="1" t="inlineStr">
        <is>
          <t>Array, Sliding Window</t>
        </is>
      </c>
      <c r="G1341" s="1" t="inlineStr">
        <is>
          <t>Medium</t>
        </is>
      </c>
      <c r="H1341" s="1" t="n">
        <v>87909</v>
      </c>
      <c r="I1341" s="1" t="n">
        <v>143699</v>
      </c>
      <c r="J1341" s="9" t="n">
        <v>0.612</v>
      </c>
      <c r="K1341" s="1" t="inlineStr">
        <is>
          <t>No</t>
        </is>
      </c>
      <c r="L1341" s="1" t="inlineStr">
        <is>
          <t>Yes</t>
        </is>
      </c>
      <c r="M1341" s="1" t="inlineStr">
        <is>
          <t>Yes</t>
        </is>
      </c>
      <c r="N1341" s="1" t="inlineStr">
        <is>
          <t>Algorithms</t>
        </is>
      </c>
      <c r="O13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42" ht="15.75" customHeight="1" s="12">
      <c r="A1342" s="1" t="n">
        <v>2034</v>
      </c>
      <c r="B1342" s="3">
        <f>HYPERLINK("https://leetcode.com/problems/stock-price-fluctuation/", "Stock Price Fluctuation ")</f>
        <v/>
      </c>
      <c r="C1342" s="1" t="n">
        <v>1273</v>
      </c>
      <c r="D1342" s="1" t="n">
        <v>70</v>
      </c>
      <c r="E1342" s="4">
        <f>IF(INDEX(C:C, ROW())+INDEX(D:D, ROW())=0, 0, INDEX(C:C, ROW())/(INDEX(C:C, ROW())+INDEX(D:D, ROW())))</f>
        <v/>
      </c>
      <c r="F1342" s="1" t="inlineStr">
        <is>
          <t>Hash Table, Design, Heap (Priority Queue), Data Stream, Ordered Set</t>
        </is>
      </c>
      <c r="G1342" s="1" t="inlineStr">
        <is>
          <t>Medium</t>
        </is>
      </c>
      <c r="H1342" s="1" t="n">
        <v>95316</v>
      </c>
      <c r="I1342" s="1" t="n">
        <v>195540</v>
      </c>
      <c r="J1342" s="9" t="n">
        <v>0.487</v>
      </c>
      <c r="K1342" s="1" t="inlineStr">
        <is>
          <t>Yes</t>
        </is>
      </c>
      <c r="L1342" s="1" t="inlineStr">
        <is>
          <t>Yes</t>
        </is>
      </c>
      <c r="M1342" s="1" t="inlineStr">
        <is>
          <t>No</t>
        </is>
      </c>
      <c r="N1342" s="1" t="inlineStr">
        <is>
          <t>Algorithms</t>
        </is>
      </c>
      <c r="O13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43" ht="15.75" customHeight="1" s="12">
      <c r="A1343" s="1" t="n">
        <v>1887</v>
      </c>
      <c r="B1343" s="3">
        <f>HYPERLINK("https://leetcode.com/problems/reduction-operations-to-make-the-array-elements-equal/", "Reduction Operations to Make the Array Elements Equal")</f>
        <v/>
      </c>
      <c r="C1343" s="1" t="n">
        <v>1269</v>
      </c>
      <c r="D1343" s="1" t="n">
        <v>50</v>
      </c>
      <c r="E1343" s="4">
        <f>IF(INDEX(C:C, ROW())+INDEX(D:D, ROW())=0, 0, INDEX(C:C, ROW())/(INDEX(C:C, ROW())+INDEX(D:D, ROW())))</f>
        <v/>
      </c>
      <c r="F1343" s="1" t="inlineStr">
        <is>
          <t>Array, Sorting</t>
        </is>
      </c>
      <c r="G1343" s="1" t="inlineStr">
        <is>
          <t>Medium</t>
        </is>
      </c>
      <c r="H1343" s="1" t="n">
        <v>105027</v>
      </c>
      <c r="I1343" s="1" t="n">
        <v>144861</v>
      </c>
      <c r="J1343" s="9" t="n">
        <v>0.725</v>
      </c>
      <c r="K1343" s="1" t="inlineStr">
        <is>
          <t>Yes</t>
        </is>
      </c>
      <c r="L1343" s="1" t="inlineStr">
        <is>
          <t>Yes</t>
        </is>
      </c>
      <c r="M1343" s="1" t="inlineStr">
        <is>
          <t>No</t>
        </is>
      </c>
      <c r="N1343" s="1" t="inlineStr">
        <is>
          <t>Algorithms</t>
        </is>
      </c>
      <c r="O13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44" ht="15.75" customHeight="1" s="12">
      <c r="A1344" s="1" t="n">
        <v>1701</v>
      </c>
      <c r="B1344" s="3">
        <f>HYPERLINK("https://leetcode.com/problems/average-waiting-time/", "Average Waiting Time")</f>
        <v/>
      </c>
      <c r="C1344" s="1" t="n">
        <v>1267</v>
      </c>
      <c r="D1344" s="1" t="n">
        <v>101</v>
      </c>
      <c r="E1344" s="4">
        <f>IF(INDEX(C:C, ROW())+INDEX(D:D, ROW())=0, 0, INDEX(C:C, ROW())/(INDEX(C:C, ROW())+INDEX(D:D, ROW())))</f>
        <v/>
      </c>
      <c r="F1344" s="1" t="inlineStr">
        <is>
          <t>Array, Simulation</t>
        </is>
      </c>
      <c r="G1344" s="1" t="inlineStr">
        <is>
          <t>Medium</t>
        </is>
      </c>
      <c r="H1344" s="1" t="n">
        <v>217326</v>
      </c>
      <c r="I1344" s="1" t="n">
        <v>297378</v>
      </c>
      <c r="J1344" s="9" t="n">
        <v>0.731</v>
      </c>
      <c r="K1344" s="1" t="inlineStr">
        <is>
          <t>Yes</t>
        </is>
      </c>
      <c r="L1344" s="1" t="inlineStr">
        <is>
          <t>Yes</t>
        </is>
      </c>
      <c r="M1344" s="1" t="inlineStr">
        <is>
          <t>No</t>
        </is>
      </c>
      <c r="N1344" s="1" t="inlineStr">
        <is>
          <t>Algorithms</t>
        </is>
      </c>
      <c r="O13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45" ht="15.75" customHeight="1" s="12">
      <c r="A1345" s="1" t="n">
        <v>2779</v>
      </c>
      <c r="B1345" s="3">
        <f>HYPERLINK("https://leetcode.com/problems/maximum-beauty-of-an-array-after-applying-operation/", "Maximum Beauty of an Array After Applying Operation")</f>
        <v/>
      </c>
      <c r="C1345" s="1" t="n">
        <v>1267</v>
      </c>
      <c r="D1345" s="1" t="n">
        <v>48</v>
      </c>
      <c r="E1345" s="4">
        <f>IF(INDEX(C:C, ROW())+INDEX(D:D, ROW())=0, 0, INDEX(C:C, ROW())/(INDEX(C:C, ROW())+INDEX(D:D, ROW())))</f>
        <v/>
      </c>
      <c r="F1345" s="1" t="inlineStr">
        <is>
          <t>Array, Binary Search, Sliding Window, Sorting</t>
        </is>
      </c>
      <c r="G1345" s="1" t="inlineStr">
        <is>
          <t>Medium</t>
        </is>
      </c>
      <c r="H1345" s="1" t="n">
        <v>130816</v>
      </c>
      <c r="I1345" s="1" t="n">
        <v>224334</v>
      </c>
      <c r="J1345" s="9" t="n">
        <v>0.583</v>
      </c>
      <c r="K1345" s="1" t="inlineStr">
        <is>
          <t>Yes</t>
        </is>
      </c>
      <c r="L1345" s="1" t="inlineStr">
        <is>
          <t>Yes</t>
        </is>
      </c>
      <c r="M1345" s="1" t="inlineStr">
        <is>
          <t>No</t>
        </is>
      </c>
      <c r="N1345" s="1" t="inlineStr">
        <is>
          <t>Algorithms</t>
        </is>
      </c>
      <c r="O13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46" ht="15.75" customHeight="1" s="12">
      <c r="A1346" s="1" t="n">
        <v>2816</v>
      </c>
      <c r="B1346" s="3">
        <f>HYPERLINK("https://leetcode.com/problems/double-a-number-represented-as-a-linked-list/", "Double a Number Represented as a Linked List")</f>
        <v/>
      </c>
      <c r="C1346" s="1" t="n">
        <v>1266</v>
      </c>
      <c r="D1346" s="1" t="n">
        <v>32</v>
      </c>
      <c r="E1346" s="4">
        <f>IF(INDEX(C:C, ROW())+INDEX(D:D, ROW())=0, 0, INDEX(C:C, ROW())/(INDEX(C:C, ROW())+INDEX(D:D, ROW())))</f>
        <v/>
      </c>
      <c r="F1346" s="1" t="inlineStr">
        <is>
          <t>Linked List, Math, Stack</t>
        </is>
      </c>
      <c r="G1346" s="1" t="inlineStr">
        <is>
          <t>Medium</t>
        </is>
      </c>
      <c r="H1346" s="1" t="n">
        <v>196873</v>
      </c>
      <c r="I1346" s="1" t="n">
        <v>321486</v>
      </c>
      <c r="J1346" s="9" t="n">
        <v>0.612</v>
      </c>
      <c r="K1346" s="1" t="inlineStr">
        <is>
          <t>Yes</t>
        </is>
      </c>
      <c r="L1346" s="1" t="inlineStr">
        <is>
          <t>Yes</t>
        </is>
      </c>
      <c r="M1346" s="1" t="inlineStr">
        <is>
          <t>No</t>
        </is>
      </c>
      <c r="N1346" s="1" t="inlineStr">
        <is>
          <t>Algorithms</t>
        </is>
      </c>
      <c r="O13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47" ht="15.75" customHeight="1" s="12">
      <c r="A1347" s="1" t="n">
        <v>220</v>
      </c>
      <c r="B1347" s="3">
        <f>HYPERLINK("https://leetcode.com/problems/contains-duplicate-iii/", "Contains Duplicate III")</f>
        <v/>
      </c>
      <c r="C1347" s="1" t="n">
        <v>1264</v>
      </c>
      <c r="D1347" s="1" t="n">
        <v>142</v>
      </c>
      <c r="E1347" s="4">
        <f>IF(INDEX(C:C, ROW())+INDEX(D:D, ROW())=0, 0, INDEX(C:C, ROW())/(INDEX(C:C, ROW())+INDEX(D:D, ROW())))</f>
        <v/>
      </c>
      <c r="F1347" s="1" t="inlineStr">
        <is>
          <t>Array, Sliding Window, Sorting, Bucket Sort, Ordered Set</t>
        </is>
      </c>
      <c r="G1347" s="1" t="inlineStr">
        <is>
          <t>Hard</t>
        </is>
      </c>
      <c r="H1347" s="1" t="n">
        <v>306229</v>
      </c>
      <c r="I1347" s="1" t="n">
        <v>1257260</v>
      </c>
      <c r="J1347" s="9" t="n">
        <v>0.244</v>
      </c>
      <c r="K1347" s="1" t="inlineStr">
        <is>
          <t>Yes</t>
        </is>
      </c>
      <c r="L1347" s="1" t="inlineStr">
        <is>
          <t>Yes</t>
        </is>
      </c>
      <c r="M1347" s="1" t="inlineStr">
        <is>
          <t>No</t>
        </is>
      </c>
      <c r="N1347" s="1" t="inlineStr">
        <is>
          <t>Algorithms</t>
        </is>
      </c>
      <c r="O13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48" ht="15.75" customHeight="1" s="12">
      <c r="A1348" s="1" t="n">
        <v>306</v>
      </c>
      <c r="B1348" s="3">
        <f>HYPERLINK("https://leetcode.com/problems/additive-number/", "Additive Number")</f>
        <v/>
      </c>
      <c r="C1348" s="1" t="n">
        <v>1262</v>
      </c>
      <c r="D1348" s="1" t="n">
        <v>825</v>
      </c>
      <c r="E1348" s="4">
        <f>IF(INDEX(C:C, ROW())+INDEX(D:D, ROW())=0, 0, INDEX(C:C, ROW())/(INDEX(C:C, ROW())+INDEX(D:D, ROW())))</f>
        <v/>
      </c>
      <c r="F1348" s="1" t="inlineStr">
        <is>
          <t>String, Backtracking</t>
        </is>
      </c>
      <c r="G1348" s="1" t="inlineStr">
        <is>
          <t>Medium</t>
        </is>
      </c>
      <c r="H1348" s="1" t="n">
        <v>114939</v>
      </c>
      <c r="I1348" s="1" t="n">
        <v>344490</v>
      </c>
      <c r="J1348" s="9" t="n">
        <v>0.334</v>
      </c>
      <c r="K1348" s="1" t="inlineStr">
        <is>
          <t>Yes</t>
        </is>
      </c>
      <c r="L1348" s="1" t="inlineStr">
        <is>
          <t>No</t>
        </is>
      </c>
      <c r="M1348" s="1" t="inlineStr">
        <is>
          <t>No</t>
        </is>
      </c>
      <c r="N1348" s="1" t="inlineStr">
        <is>
          <t>Algorithms</t>
        </is>
      </c>
      <c r="O13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49" ht="15.75" customHeight="1" s="12">
      <c r="A1349" s="1" t="n">
        <v>1855</v>
      </c>
      <c r="B1349" s="3">
        <f>HYPERLINK("https://leetcode.com/problems/maximum-distance-between-a-pair-of-values/", "Maximum Distance Between a Pair of Values")</f>
        <v/>
      </c>
      <c r="C1349" s="1" t="n">
        <v>1262</v>
      </c>
      <c r="D1349" s="1" t="n">
        <v>32</v>
      </c>
      <c r="E1349" s="4">
        <f>IF(INDEX(C:C, ROW())+INDEX(D:D, ROW())=0, 0, INDEX(C:C, ROW())/(INDEX(C:C, ROW())+INDEX(D:D, ROW())))</f>
        <v/>
      </c>
      <c r="F1349" s="1" t="inlineStr">
        <is>
          <t>Array, Two Pointers, Binary Search</t>
        </is>
      </c>
      <c r="G1349" s="1" t="inlineStr">
        <is>
          <t>Medium</t>
        </is>
      </c>
      <c r="H1349" s="1" t="n">
        <v>61003</v>
      </c>
      <c r="I1349" s="1" t="n">
        <v>112542</v>
      </c>
      <c r="J1349" s="9" t="n">
        <v>0.542</v>
      </c>
      <c r="K1349" s="1" t="inlineStr">
        <is>
          <t>Yes</t>
        </is>
      </c>
      <c r="L1349" s="1" t="inlineStr">
        <is>
          <t>Yes</t>
        </is>
      </c>
      <c r="M1349" s="1" t="inlineStr">
        <is>
          <t>No</t>
        </is>
      </c>
      <c r="N1349" s="1" t="inlineStr">
        <is>
          <t>Algorithms</t>
        </is>
      </c>
      <c r="O13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50" ht="15.75" customHeight="1" s="12">
      <c r="A1350" s="1" t="n">
        <v>2070</v>
      </c>
      <c r="B1350" s="3">
        <f>HYPERLINK("https://leetcode.com/problems/most-beautiful-item-for-each-query/", "Most Beautiful Item for Each Query")</f>
        <v/>
      </c>
      <c r="C1350" s="1" t="n">
        <v>1262</v>
      </c>
      <c r="D1350" s="1" t="n">
        <v>45</v>
      </c>
      <c r="E1350" s="4">
        <f>IF(INDEX(C:C, ROW())+INDEX(D:D, ROW())=0, 0, INDEX(C:C, ROW())/(INDEX(C:C, ROW())+INDEX(D:D, ROW())))</f>
        <v/>
      </c>
      <c r="F1350" s="1" t="inlineStr">
        <is>
          <t>Array, Binary Search, Sorting</t>
        </is>
      </c>
      <c r="G1350" s="1" t="inlineStr">
        <is>
          <t>Medium</t>
        </is>
      </c>
      <c r="H1350" s="1" t="n">
        <v>128445</v>
      </c>
      <c r="I1350" s="1" t="n">
        <v>206870</v>
      </c>
      <c r="J1350" s="9" t="n">
        <v>0.621</v>
      </c>
      <c r="K1350" s="1" t="inlineStr">
        <is>
          <t>Yes</t>
        </is>
      </c>
      <c r="L1350" s="1" t="inlineStr">
        <is>
          <t>Yes</t>
        </is>
      </c>
      <c r="M1350" s="1" t="inlineStr">
        <is>
          <t>No</t>
        </is>
      </c>
      <c r="N1350" s="1" t="inlineStr">
        <is>
          <t>Algorithms</t>
        </is>
      </c>
      <c r="O13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51" ht="15.75" customHeight="1" s="12">
      <c r="A1351" s="1" t="n">
        <v>2281</v>
      </c>
      <c r="B1351" s="3">
        <f>HYPERLINK("https://leetcode.com/problems/sum-of-total-strength-of-wizards/", "Sum of Total Strength of Wizards")</f>
        <v/>
      </c>
      <c r="C1351" s="1" t="n">
        <v>1262</v>
      </c>
      <c r="D1351" s="1" t="n">
        <v>110</v>
      </c>
      <c r="E1351" s="4">
        <f>IF(INDEX(C:C, ROW())+INDEX(D:D, ROW())=0, 0, INDEX(C:C, ROW())/(INDEX(C:C, ROW())+INDEX(D:D, ROW())))</f>
        <v/>
      </c>
      <c r="F1351" s="1" t="inlineStr">
        <is>
          <t>Array, Stack, Monotonic Stack, Prefix Sum</t>
        </is>
      </c>
      <c r="G1351" s="1" t="inlineStr">
        <is>
          <t>Hard</t>
        </is>
      </c>
      <c r="H1351" s="1" t="n">
        <v>24890</v>
      </c>
      <c r="I1351" s="1" t="n">
        <v>85985</v>
      </c>
      <c r="J1351" s="9" t="n">
        <v>0.289</v>
      </c>
      <c r="K1351" s="1" t="inlineStr">
        <is>
          <t>Yes</t>
        </is>
      </c>
      <c r="L1351" s="1" t="inlineStr">
        <is>
          <t>Yes</t>
        </is>
      </c>
      <c r="M1351" s="1" t="inlineStr">
        <is>
          <t>No</t>
        </is>
      </c>
      <c r="N1351" s="1" t="inlineStr">
        <is>
          <t>Algorithms</t>
        </is>
      </c>
      <c r="O13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52" ht="15.75" customHeight="1" s="12">
      <c r="A1352" s="1" t="n">
        <v>507</v>
      </c>
      <c r="B1352" s="3">
        <f>HYPERLINK("https://leetcode.com/problems/perfect-number/", "Perfect Number")</f>
        <v/>
      </c>
      <c r="C1352" s="1" t="n">
        <v>1260</v>
      </c>
      <c r="D1352" s="1" t="n">
        <v>1281</v>
      </c>
      <c r="E1352" s="4">
        <f>IF(INDEX(C:C, ROW())+INDEX(D:D, ROW())=0, 0, INDEX(C:C, ROW())/(INDEX(C:C, ROW())+INDEX(D:D, ROW())))</f>
        <v/>
      </c>
      <c r="F1352" s="1" t="inlineStr">
        <is>
          <t>Math</t>
        </is>
      </c>
      <c r="G1352" s="1" t="inlineStr">
        <is>
          <t>Easy</t>
        </is>
      </c>
      <c r="H1352" s="1" t="n">
        <v>340983</v>
      </c>
      <c r="I1352" s="1" t="n">
        <v>719295</v>
      </c>
      <c r="J1352" s="9" t="n">
        <v>0.474</v>
      </c>
      <c r="K1352" s="1" t="inlineStr">
        <is>
          <t>Yes</t>
        </is>
      </c>
      <c r="L1352" s="1" t="inlineStr">
        <is>
          <t>Yes</t>
        </is>
      </c>
      <c r="M1352" s="1" t="inlineStr">
        <is>
          <t>No</t>
        </is>
      </c>
      <c r="N1352" s="1" t="inlineStr">
        <is>
          <t>Algorithms</t>
        </is>
      </c>
      <c r="O13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53" ht="15.75" customHeight="1" s="12">
      <c r="A1353" s="1" t="n">
        <v>255</v>
      </c>
      <c r="B1353" s="3">
        <f>HYPERLINK("https://leetcode.com/problems/verify-preorder-sequence-in-binary-search-tree/", "Verify Preorder Sequence in Binary Search Tree")</f>
        <v/>
      </c>
      <c r="C1353" s="1" t="n">
        <v>1259</v>
      </c>
      <c r="D1353" s="1" t="n">
        <v>90</v>
      </c>
      <c r="E1353" s="4">
        <f>IF(INDEX(C:C, ROW())+INDEX(D:D, ROW())=0, 0, INDEX(C:C, ROW())/(INDEX(C:C, ROW())+INDEX(D:D, ROW())))</f>
        <v/>
      </c>
      <c r="F1353" s="1" t="inlineStr">
        <is>
          <t>Array, Stack, Tree, Binary Search Tree, Recursion, Monotonic Stack, Binary Tree</t>
        </is>
      </c>
      <c r="G1353" s="1" t="inlineStr">
        <is>
          <t>Medium</t>
        </is>
      </c>
      <c r="H1353" s="1" t="n">
        <v>93043</v>
      </c>
      <c r="I1353" s="1" t="n">
        <v>180246</v>
      </c>
      <c r="J1353" s="9" t="n">
        <v>0.516</v>
      </c>
      <c r="K1353" s="1" t="inlineStr">
        <is>
          <t>No</t>
        </is>
      </c>
      <c r="L1353" s="1" t="inlineStr">
        <is>
          <t>Yes</t>
        </is>
      </c>
      <c r="M1353" s="1" t="inlineStr">
        <is>
          <t>No</t>
        </is>
      </c>
      <c r="N1353" s="1" t="inlineStr">
        <is>
          <t>Algorithms</t>
        </is>
      </c>
      <c r="O13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54" ht="15.75" customHeight="1" s="12">
      <c r="A1354" s="1" t="n">
        <v>1829</v>
      </c>
      <c r="B1354" s="3">
        <f>HYPERLINK("https://leetcode.com/problems/maximum-xor-for-each-query/", "Maximum XOR for Each Query")</f>
        <v/>
      </c>
      <c r="C1354" s="1" t="n">
        <v>1258</v>
      </c>
      <c r="D1354" s="1" t="n">
        <v>194</v>
      </c>
      <c r="E1354" s="4">
        <f>IF(INDEX(C:C, ROW())+INDEX(D:D, ROW())=0, 0, INDEX(C:C, ROW())/(INDEX(C:C, ROW())+INDEX(D:D, ROW())))</f>
        <v/>
      </c>
      <c r="F1354" s="1" t="inlineStr">
        <is>
          <t>Array, Bit Manipulation, Prefix Sum</t>
        </is>
      </c>
      <c r="G1354" s="1" t="inlineStr">
        <is>
          <t>Medium</t>
        </is>
      </c>
      <c r="H1354" s="1" t="n">
        <v>143345</v>
      </c>
      <c r="I1354" s="1" t="n">
        <v>169144</v>
      </c>
      <c r="J1354" s="9" t="n">
        <v>0.847</v>
      </c>
      <c r="K1354" s="1" t="inlineStr">
        <is>
          <t>Yes</t>
        </is>
      </c>
      <c r="L1354" s="1" t="inlineStr">
        <is>
          <t>Yes</t>
        </is>
      </c>
      <c r="M1354" s="1" t="inlineStr">
        <is>
          <t>No</t>
        </is>
      </c>
      <c r="N1354" s="1" t="inlineStr">
        <is>
          <t>Algorithms</t>
        </is>
      </c>
      <c r="O13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55" ht="15.75" customHeight="1" s="12">
      <c r="A1355" s="1" t="n">
        <v>1691</v>
      </c>
      <c r="B1355" s="3">
        <f>HYPERLINK("https://leetcode.com/problems/maximum-height-by-stacking-cuboids/", "Maximum Height by Stacking Cuboids ")</f>
        <v/>
      </c>
      <c r="C1355" s="1" t="n">
        <v>1256</v>
      </c>
      <c r="D1355" s="1" t="n">
        <v>35</v>
      </c>
      <c r="E1355" s="4">
        <f>IF(INDEX(C:C, ROW())+INDEX(D:D, ROW())=0, 0, INDEX(C:C, ROW())/(INDEX(C:C, ROW())+INDEX(D:D, ROW())))</f>
        <v/>
      </c>
      <c r="F1355" s="1" t="inlineStr">
        <is>
          <t>Array, Dynamic Programming, Sorting</t>
        </is>
      </c>
      <c r="G1355" s="1" t="inlineStr">
        <is>
          <t>Hard</t>
        </is>
      </c>
      <c r="H1355" s="1" t="n">
        <v>43680</v>
      </c>
      <c r="I1355" s="1" t="n">
        <v>71043</v>
      </c>
      <c r="J1355" s="9" t="n">
        <v>0.615</v>
      </c>
      <c r="K1355" s="1" t="inlineStr">
        <is>
          <t>Yes</t>
        </is>
      </c>
      <c r="L1355" s="1" t="inlineStr">
        <is>
          <t>No</t>
        </is>
      </c>
      <c r="M1355" s="1" t="inlineStr">
        <is>
          <t>No</t>
        </is>
      </c>
      <c r="N1355" s="1" t="inlineStr">
        <is>
          <t>Algorithms</t>
        </is>
      </c>
      <c r="O13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56" ht="15.75" customHeight="1" s="12">
      <c r="A1356" s="1" t="n">
        <v>2182</v>
      </c>
      <c r="B1356" s="3">
        <f>HYPERLINK("https://leetcode.com/problems/construct-string-with-repeat-limit/", "Construct String With Repeat Limit")</f>
        <v/>
      </c>
      <c r="C1356" s="1" t="n">
        <v>1255</v>
      </c>
      <c r="D1356" s="1" t="n">
        <v>100</v>
      </c>
      <c r="E1356" s="4">
        <f>IF(INDEX(C:C, ROW())+INDEX(D:D, ROW())=0, 0, INDEX(C:C, ROW())/(INDEX(C:C, ROW())+INDEX(D:D, ROW())))</f>
        <v/>
      </c>
      <c r="F1356" s="1" t="inlineStr">
        <is>
          <t>Hash Table, String, Greedy, Heap (Priority Queue), Counting</t>
        </is>
      </c>
      <c r="G1356" s="1" t="inlineStr">
        <is>
          <t>Medium</t>
        </is>
      </c>
      <c r="H1356" s="1" t="n">
        <v>127657</v>
      </c>
      <c r="I1356" s="1" t="n">
        <v>180052</v>
      </c>
      <c r="J1356" s="9" t="n">
        <v>0.709</v>
      </c>
      <c r="K1356" s="1" t="inlineStr">
        <is>
          <t>Yes</t>
        </is>
      </c>
      <c r="L1356" s="1" t="inlineStr">
        <is>
          <t>Yes</t>
        </is>
      </c>
      <c r="M1356" s="1" t="inlineStr">
        <is>
          <t>No</t>
        </is>
      </c>
      <c r="N1356" s="1" t="inlineStr">
        <is>
          <t>Algorithms</t>
        </is>
      </c>
      <c r="O13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57" ht="15.75" customHeight="1" s="12">
      <c r="A1357" s="1" t="n">
        <v>2685</v>
      </c>
      <c r="B1357" s="3">
        <f>HYPERLINK("https://leetcode.com/problems/count-the-number-of-complete-components/", "Count the Number of Complete Components")</f>
        <v/>
      </c>
      <c r="C1357" s="1" t="n">
        <v>1255</v>
      </c>
      <c r="D1357" s="1" t="n">
        <v>32</v>
      </c>
      <c r="E1357" s="4">
        <f>IF(INDEX(C:C, ROW())+INDEX(D:D, ROW())=0, 0, INDEX(C:C, ROW())/(INDEX(C:C, ROW())+INDEX(D:D, ROW())))</f>
        <v/>
      </c>
      <c r="F1357" s="1" t="inlineStr">
        <is>
          <t>Depth-First Search, Breadth-First Search, Union-Find, Graph Theory</t>
        </is>
      </c>
      <c r="G1357" s="1" t="inlineStr">
        <is>
          <t>Medium</t>
        </is>
      </c>
      <c r="H1357" s="1" t="n">
        <v>154069</v>
      </c>
      <c r="I1357" s="1" t="n">
        <v>198256</v>
      </c>
      <c r="J1357" s="9" t="n">
        <v>0.777</v>
      </c>
      <c r="K1357" s="1" t="inlineStr">
        <is>
          <t>Yes</t>
        </is>
      </c>
      <c r="L1357" s="1" t="inlineStr">
        <is>
          <t>Yes</t>
        </is>
      </c>
      <c r="M1357" s="1" t="inlineStr">
        <is>
          <t>No</t>
        </is>
      </c>
      <c r="N1357" s="1" t="inlineStr">
        <is>
          <t>Algorithms</t>
        </is>
      </c>
      <c r="O13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58" ht="15.75" customHeight="1" s="12">
      <c r="A1358" s="1" t="n">
        <v>1428</v>
      </c>
      <c r="B1358" s="3">
        <f>HYPERLINK("https://leetcode.com/problems/leftmost-column-with-at-least-a-one/", "Leftmost Column with at Least a One")</f>
        <v/>
      </c>
      <c r="C1358" s="1" t="n">
        <v>1253</v>
      </c>
      <c r="D1358" s="1" t="n">
        <v>152</v>
      </c>
      <c r="E1358" s="4">
        <f>IF(INDEX(C:C, ROW())+INDEX(D:D, ROW())=0, 0, INDEX(C:C, ROW())/(INDEX(C:C, ROW())+INDEX(D:D, ROW())))</f>
        <v/>
      </c>
      <c r="F1358" s="1" t="inlineStr">
        <is>
          <t>Array, Binary Search, Matrix, Interactive</t>
        </is>
      </c>
      <c r="G1358" s="1" t="inlineStr">
        <is>
          <t>Medium</t>
        </is>
      </c>
      <c r="H1358" s="1" t="n">
        <v>195208</v>
      </c>
      <c r="I1358" s="1" t="n">
        <v>355011</v>
      </c>
      <c r="J1358" s="9" t="n">
        <v>0.55</v>
      </c>
      <c r="K1358" s="1" t="inlineStr">
        <is>
          <t>No</t>
        </is>
      </c>
      <c r="L1358" s="1" t="inlineStr">
        <is>
          <t>Yes</t>
        </is>
      </c>
      <c r="M1358" s="1" t="inlineStr">
        <is>
          <t>No</t>
        </is>
      </c>
      <c r="N1358" s="1" t="inlineStr">
        <is>
          <t>Algorithms</t>
        </is>
      </c>
      <c r="O13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59" ht="15.75" customHeight="1" s="12">
      <c r="A1359" s="1" t="n">
        <v>1541</v>
      </c>
      <c r="B1359" s="3">
        <f>HYPERLINK("https://leetcode.com/problems/minimum-insertions-to-balance-a-parentheses-string/", "Minimum Insertions to Balance a Parentheses String")</f>
        <v/>
      </c>
      <c r="C1359" s="1" t="n">
        <v>1246</v>
      </c>
      <c r="D1359" s="1" t="n">
        <v>293</v>
      </c>
      <c r="E1359" s="4">
        <f>IF(INDEX(C:C, ROW())+INDEX(D:D, ROW())=0, 0, INDEX(C:C, ROW())/(INDEX(C:C, ROW())+INDEX(D:D, ROW())))</f>
        <v/>
      </c>
      <c r="F1359" s="1" t="inlineStr">
        <is>
          <t>String, Stack, Greedy</t>
        </is>
      </c>
      <c r="G1359" s="1" t="inlineStr">
        <is>
          <t>Medium</t>
        </is>
      </c>
      <c r="H1359" s="1" t="n">
        <v>80999</v>
      </c>
      <c r="I1359" s="1" t="n">
        <v>151497</v>
      </c>
      <c r="J1359" s="9" t="n">
        <v>0.535</v>
      </c>
      <c r="K1359" s="1" t="inlineStr">
        <is>
          <t>Yes</t>
        </is>
      </c>
      <c r="L1359" s="1" t="inlineStr">
        <is>
          <t>No</t>
        </is>
      </c>
      <c r="M1359" s="1" t="inlineStr">
        <is>
          <t>No</t>
        </is>
      </c>
      <c r="N1359" s="1" t="inlineStr">
        <is>
          <t>Algorithms</t>
        </is>
      </c>
      <c r="O13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60" ht="15.75" customHeight="1" s="12">
      <c r="A1360" s="1" t="n">
        <v>250</v>
      </c>
      <c r="B1360" s="3">
        <f>HYPERLINK("https://leetcode.com/problems/count-univalue-subtrees/", "Count Univalue Subtrees")</f>
        <v/>
      </c>
      <c r="C1360" s="1" t="n">
        <v>1244</v>
      </c>
      <c r="D1360" s="1" t="n">
        <v>454</v>
      </c>
      <c r="E1360" s="4">
        <f>IF(INDEX(C:C, ROW())+INDEX(D:D, ROW())=0, 0, INDEX(C:C, ROW())/(INDEX(C:C, ROW())+INDEX(D:D, ROW())))</f>
        <v/>
      </c>
      <c r="F1360" s="1" t="inlineStr">
        <is>
          <t>Tree, Depth-First Search, Binary Tree</t>
        </is>
      </c>
      <c r="G1360" s="1" t="inlineStr">
        <is>
          <t>Medium</t>
        </is>
      </c>
      <c r="H1360" s="1" t="n">
        <v>169025</v>
      </c>
      <c r="I1360" s="1" t="n">
        <v>294400</v>
      </c>
      <c r="J1360" s="9" t="n">
        <v>0.574</v>
      </c>
      <c r="K1360" s="1" t="inlineStr">
        <is>
          <t>No</t>
        </is>
      </c>
      <c r="L1360" s="1" t="inlineStr">
        <is>
          <t>Yes</t>
        </is>
      </c>
      <c r="M1360" s="1" t="inlineStr">
        <is>
          <t>No</t>
        </is>
      </c>
      <c r="N1360" s="1" t="inlineStr">
        <is>
          <t>Algorithms</t>
        </is>
      </c>
      <c r="O13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61" ht="15.75" customHeight="1" s="12">
      <c r="A1361" s="1" t="n">
        <v>280</v>
      </c>
      <c r="B1361" s="3">
        <f>HYPERLINK("https://leetcode.com/problems/wiggle-sort/", "Wiggle Sort")</f>
        <v/>
      </c>
      <c r="C1361" s="1" t="n">
        <v>1244</v>
      </c>
      <c r="D1361" s="1" t="n">
        <v>103</v>
      </c>
      <c r="E1361" s="4">
        <f>IF(INDEX(C:C, ROW())+INDEX(D:D, ROW())=0, 0, INDEX(C:C, ROW())/(INDEX(C:C, ROW())+INDEX(D:D, ROW())))</f>
        <v/>
      </c>
      <c r="F1361" s="1" t="inlineStr">
        <is>
          <t>Array, Greedy, Sorting</t>
        </is>
      </c>
      <c r="G1361" s="1" t="inlineStr">
        <is>
          <t>Medium</t>
        </is>
      </c>
      <c r="H1361" s="1" t="n">
        <v>156989</v>
      </c>
      <c r="I1361" s="1" t="n">
        <v>229580</v>
      </c>
      <c r="J1361" s="9" t="n">
        <v>0.6840000000000001</v>
      </c>
      <c r="K1361" s="1" t="inlineStr">
        <is>
          <t>No</t>
        </is>
      </c>
      <c r="L1361" s="1" t="inlineStr">
        <is>
          <t>Yes</t>
        </is>
      </c>
      <c r="M1361" s="1" t="inlineStr">
        <is>
          <t>Yes</t>
        </is>
      </c>
      <c r="N1361" s="1" t="inlineStr">
        <is>
          <t>Algorithms</t>
        </is>
      </c>
      <c r="O13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62" ht="15.75" customHeight="1" s="12">
      <c r="A1362" s="1" t="n">
        <v>717</v>
      </c>
      <c r="B1362" s="3">
        <f>HYPERLINK("https://leetcode.com/problems/1-bit-and-2-bit-characters/", "1-bit and 2-bit Characters")</f>
        <v/>
      </c>
      <c r="C1362" s="1" t="n">
        <v>1241</v>
      </c>
      <c r="D1362" s="1" t="n">
        <v>2361</v>
      </c>
      <c r="E1362" s="4">
        <f>IF(INDEX(C:C, ROW())+INDEX(D:D, ROW())=0, 0, INDEX(C:C, ROW())/(INDEX(C:C, ROW())+INDEX(D:D, ROW())))</f>
        <v/>
      </c>
      <c r="F1362" s="1" t="inlineStr">
        <is>
          <t>Array</t>
        </is>
      </c>
      <c r="G1362" s="1" t="inlineStr">
        <is>
          <t>Easy</t>
        </is>
      </c>
      <c r="H1362" s="1" t="n">
        <v>263895</v>
      </c>
      <c r="I1362" s="1" t="n">
        <v>532862</v>
      </c>
      <c r="J1362" s="9" t="n">
        <v>0.495</v>
      </c>
      <c r="K1362" s="1" t="inlineStr">
        <is>
          <t>Yes</t>
        </is>
      </c>
      <c r="L1362" s="1" t="inlineStr">
        <is>
          <t>Yes</t>
        </is>
      </c>
      <c r="M1362" s="1" t="inlineStr">
        <is>
          <t>No</t>
        </is>
      </c>
      <c r="N1362" s="1" t="inlineStr">
        <is>
          <t>Algorithms</t>
        </is>
      </c>
      <c r="O13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63" ht="15.75" customHeight="1" s="12">
      <c r="A1363" s="1" t="n">
        <v>2471</v>
      </c>
      <c r="B1363" s="3">
        <f>HYPERLINK("https://leetcode.com/problems/minimum-number-of-operations-to-sort-a-binary-tree-by-level/", "Minimum Number of Operations to Sort a Binary Tree by Level")</f>
        <v/>
      </c>
      <c r="C1363" s="1" t="n">
        <v>1238</v>
      </c>
      <c r="D1363" s="1" t="n">
        <v>44</v>
      </c>
      <c r="E1363" s="4">
        <f>IF(INDEX(C:C, ROW())+INDEX(D:D, ROW())=0, 0, INDEX(C:C, ROW())/(INDEX(C:C, ROW())+INDEX(D:D, ROW())))</f>
        <v/>
      </c>
      <c r="F1363" s="1" t="inlineStr">
        <is>
          <t>Tree, Breadth-First Search, Binary Tree</t>
        </is>
      </c>
      <c r="G1363" s="1" t="inlineStr">
        <is>
          <t>Medium</t>
        </is>
      </c>
      <c r="H1363" s="1" t="n">
        <v>112722</v>
      </c>
      <c r="I1363" s="1" t="n">
        <v>151838</v>
      </c>
      <c r="J1363" s="9" t="n">
        <v>0.742</v>
      </c>
      <c r="K1363" s="1" t="inlineStr">
        <is>
          <t>Yes</t>
        </is>
      </c>
      <c r="L1363" s="1" t="inlineStr">
        <is>
          <t>Yes</t>
        </is>
      </c>
      <c r="M1363" s="1" t="inlineStr">
        <is>
          <t>No</t>
        </is>
      </c>
      <c r="N1363" s="1" t="inlineStr">
        <is>
          <t>Algorithms</t>
        </is>
      </c>
      <c r="O13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64" ht="15.75" customHeight="1" s="12">
      <c r="A1364" s="1" t="n">
        <v>833</v>
      </c>
      <c r="B1364" s="3">
        <f>HYPERLINK("https://leetcode.com/problems/find-and-replace-in-string/", "Find And Replace in String")</f>
        <v/>
      </c>
      <c r="C1364" s="1" t="n">
        <v>1237</v>
      </c>
      <c r="D1364" s="1" t="n">
        <v>1046</v>
      </c>
      <c r="E1364" s="4">
        <f>IF(INDEX(C:C, ROW())+INDEX(D:D, ROW())=0, 0, INDEX(C:C, ROW())/(INDEX(C:C, ROW())+INDEX(D:D, ROW())))</f>
        <v/>
      </c>
      <c r="F1364" s="1" t="inlineStr">
        <is>
          <t>Array, Hash Table, String, Sorting</t>
        </is>
      </c>
      <c r="G1364" s="1" t="inlineStr">
        <is>
          <t>Medium</t>
        </is>
      </c>
      <c r="H1364" s="1" t="n">
        <v>166500</v>
      </c>
      <c r="I1364" s="1" t="n">
        <v>326654</v>
      </c>
      <c r="J1364" s="9" t="n">
        <v>0.51</v>
      </c>
      <c r="K1364" s="1" t="inlineStr">
        <is>
          <t>Yes</t>
        </is>
      </c>
      <c r="L1364" s="1" t="inlineStr">
        <is>
          <t>No</t>
        </is>
      </c>
      <c r="M1364" s="1" t="inlineStr">
        <is>
          <t>No</t>
        </is>
      </c>
      <c r="N1364" s="1" t="inlineStr">
        <is>
          <t>Algorithms</t>
        </is>
      </c>
      <c r="O13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65" ht="15.75" customHeight="1" s="12">
      <c r="A1365" s="1" t="n">
        <v>2482</v>
      </c>
      <c r="B1365" s="3">
        <f>HYPERLINK("https://leetcode.com/problems/difference-between-ones-and-zeros-in-row-and-column/", "Difference Between Ones and Zeros in Row and Column")</f>
        <v/>
      </c>
      <c r="C1365" s="1" t="n">
        <v>1236</v>
      </c>
      <c r="D1365" s="1" t="n">
        <v>86</v>
      </c>
      <c r="E1365" s="4">
        <f>IF(INDEX(C:C, ROW())+INDEX(D:D, ROW())=0, 0, INDEX(C:C, ROW())/(INDEX(C:C, ROW())+INDEX(D:D, ROW())))</f>
        <v/>
      </c>
      <c r="F1365" s="1" t="inlineStr">
        <is>
          <t>Array, Matrix, Simulation</t>
        </is>
      </c>
      <c r="G1365" s="1" t="inlineStr">
        <is>
          <t>Medium</t>
        </is>
      </c>
      <c r="H1365" s="1" t="n">
        <v>141536</v>
      </c>
      <c r="I1365" s="1" t="n">
        <v>167697</v>
      </c>
      <c r="J1365" s="9" t="n">
        <v>0.844</v>
      </c>
      <c r="K1365" s="1" t="inlineStr">
        <is>
          <t>Yes</t>
        </is>
      </c>
      <c r="L1365" s="1" t="inlineStr">
        <is>
          <t>Yes</t>
        </is>
      </c>
      <c r="M1365" s="1" t="inlineStr">
        <is>
          <t>No</t>
        </is>
      </c>
      <c r="N1365" s="1" t="inlineStr">
        <is>
          <t>Algorithms</t>
        </is>
      </c>
      <c r="O13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66" ht="15.75" customHeight="1" s="12">
      <c r="A1366" s="1" t="n">
        <v>661</v>
      </c>
      <c r="B1366" s="3">
        <f>HYPERLINK("https://leetcode.com/problems/image-smoother/", "Image Smoother")</f>
        <v/>
      </c>
      <c r="C1366" s="1" t="n">
        <v>1232</v>
      </c>
      <c r="D1366" s="1" t="n">
        <v>2992</v>
      </c>
      <c r="E1366" s="4">
        <f>IF(INDEX(C:C, ROW())+INDEX(D:D, ROW())=0, 0, INDEX(C:C, ROW())/(INDEX(C:C, ROW())+INDEX(D:D, ROW())))</f>
        <v/>
      </c>
      <c r="F1366" s="1" t="inlineStr">
        <is>
          <t>Array, Matrix</t>
        </is>
      </c>
      <c r="G1366" s="1" t="inlineStr">
        <is>
          <t>Easy</t>
        </is>
      </c>
      <c r="H1366" s="1" t="n">
        <v>196331</v>
      </c>
      <c r="I1366" s="1" t="n">
        <v>284649</v>
      </c>
      <c r="J1366" s="9" t="n">
        <v>0.6899999999999999</v>
      </c>
      <c r="K1366" s="1" t="inlineStr">
        <is>
          <t>Yes</t>
        </is>
      </c>
      <c r="L1366" s="1" t="inlineStr">
        <is>
          <t>Yes</t>
        </is>
      </c>
      <c r="M1366" s="1" t="inlineStr">
        <is>
          <t>No</t>
        </is>
      </c>
      <c r="N1366" s="1" t="inlineStr">
        <is>
          <t>Algorithms</t>
        </is>
      </c>
      <c r="O13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67" ht="15.75" customHeight="1" s="12">
      <c r="A1367" s="1" t="n">
        <v>2540</v>
      </c>
      <c r="B1367" s="3">
        <f>HYPERLINK("https://leetcode.com/problems/minimum-common-value/", "Minimum Common Value")</f>
        <v/>
      </c>
      <c r="C1367" s="1" t="n">
        <v>1231</v>
      </c>
      <c r="D1367" s="1" t="n">
        <v>42</v>
      </c>
      <c r="E1367" s="4">
        <f>IF(INDEX(C:C, ROW())+INDEX(D:D, ROW())=0, 0, INDEX(C:C, ROW())/(INDEX(C:C, ROW())+INDEX(D:D, ROW())))</f>
        <v/>
      </c>
      <c r="F1367" s="1" t="inlineStr">
        <is>
          <t>Array, Hash Table, Two Pointers, Binary Search</t>
        </is>
      </c>
      <c r="G1367" s="1" t="inlineStr">
        <is>
          <t>Easy</t>
        </is>
      </c>
      <c r="H1367" s="1" t="n">
        <v>302758</v>
      </c>
      <c r="I1367" s="1" t="n">
        <v>521856</v>
      </c>
      <c r="J1367" s="9" t="n">
        <v>0.58</v>
      </c>
      <c r="K1367" s="1" t="inlineStr">
        <is>
          <t>Yes</t>
        </is>
      </c>
      <c r="L1367" s="1" t="inlineStr">
        <is>
          <t>Yes</t>
        </is>
      </c>
      <c r="M1367" s="1" t="inlineStr">
        <is>
          <t>No</t>
        </is>
      </c>
      <c r="N1367" s="1" t="inlineStr">
        <is>
          <t>Algorithms</t>
        </is>
      </c>
      <c r="O13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68" ht="15.75" customHeight="1" s="12">
      <c r="A1368" s="1" t="n">
        <v>1297</v>
      </c>
      <c r="B1368" s="3">
        <f>HYPERLINK("https://leetcode.com/problems/maximum-number-of-occurrences-of-a-substring/", "Maximum Number of Occurrences of a Substring")</f>
        <v/>
      </c>
      <c r="C1368" s="1" t="n">
        <v>1225</v>
      </c>
      <c r="D1368" s="1" t="n">
        <v>424</v>
      </c>
      <c r="E1368" s="4">
        <f>IF(INDEX(C:C, ROW())+INDEX(D:D, ROW())=0, 0, INDEX(C:C, ROW())/(INDEX(C:C, ROW())+INDEX(D:D, ROW())))</f>
        <v/>
      </c>
      <c r="F1368" s="1" t="inlineStr">
        <is>
          <t>Hash Table, String, Sliding Window</t>
        </is>
      </c>
      <c r="G1368" s="1" t="inlineStr">
        <is>
          <t>Medium</t>
        </is>
      </c>
      <c r="H1368" s="1" t="n">
        <v>80769</v>
      </c>
      <c r="I1368" s="1" t="n">
        <v>149065</v>
      </c>
      <c r="J1368" s="9" t="n">
        <v>0.542</v>
      </c>
      <c r="K1368" s="1" t="inlineStr">
        <is>
          <t>Yes</t>
        </is>
      </c>
      <c r="L1368" s="1" t="inlineStr">
        <is>
          <t>No</t>
        </is>
      </c>
      <c r="M1368" s="1" t="inlineStr">
        <is>
          <t>No</t>
        </is>
      </c>
      <c r="N1368" s="1" t="inlineStr">
        <is>
          <t>Algorithms</t>
        </is>
      </c>
      <c r="O13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69" ht="15.75" customHeight="1" s="12">
      <c r="A1369" s="1" t="n">
        <v>2574</v>
      </c>
      <c r="B1369" s="3">
        <f>HYPERLINK("https://leetcode.com/problems/left-and-right-sum-differences/", "Left and Right Sum Differences")</f>
        <v/>
      </c>
      <c r="C1369" s="1" t="n">
        <v>1224</v>
      </c>
      <c r="D1369" s="1" t="n">
        <v>112</v>
      </c>
      <c r="E1369" s="4">
        <f>IF(INDEX(C:C, ROW())+INDEX(D:D, ROW())=0, 0, INDEX(C:C, ROW())/(INDEX(C:C, ROW())+INDEX(D:D, ROW())))</f>
        <v/>
      </c>
      <c r="F1369" s="1" t="inlineStr">
        <is>
          <t>Array, Prefix Sum</t>
        </is>
      </c>
      <c r="G1369" s="1" t="inlineStr">
        <is>
          <t>Easy</t>
        </is>
      </c>
      <c r="H1369" s="1" t="n">
        <v>208581</v>
      </c>
      <c r="I1369" s="1" t="n">
        <v>237530</v>
      </c>
      <c r="J1369" s="9" t="n">
        <v>0.878</v>
      </c>
      <c r="K1369" s="1" t="inlineStr">
        <is>
          <t>Yes</t>
        </is>
      </c>
      <c r="L1369" s="1" t="inlineStr">
        <is>
          <t>No</t>
        </is>
      </c>
      <c r="M1369" s="1" t="inlineStr">
        <is>
          <t>No</t>
        </is>
      </c>
      <c r="N1369" s="1" t="inlineStr">
        <is>
          <t>Algorithms</t>
        </is>
      </c>
      <c r="O13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70" ht="15.75" customHeight="1" s="12">
      <c r="A1370" s="1" t="n">
        <v>1513</v>
      </c>
      <c r="B1370" s="3">
        <f>HYPERLINK("https://leetcode.com/problems/number-of-substrings-with-only-1s/", "Number of Substrings With Only 1s")</f>
        <v/>
      </c>
      <c r="C1370" s="1" t="n">
        <v>1221</v>
      </c>
      <c r="D1370" s="1" t="n">
        <v>42</v>
      </c>
      <c r="E1370" s="4">
        <f>IF(INDEX(C:C, ROW())+INDEX(D:D, ROW())=0, 0, INDEX(C:C, ROW())/(INDEX(C:C, ROW())+INDEX(D:D, ROW())))</f>
        <v/>
      </c>
      <c r="F1370" s="1" t="inlineStr">
        <is>
          <t>Math, String</t>
        </is>
      </c>
      <c r="G1370" s="1" t="inlineStr">
        <is>
          <t>Medium</t>
        </is>
      </c>
      <c r="H1370" s="1" t="n">
        <v>156065</v>
      </c>
      <c r="I1370" s="1" t="n">
        <v>271710</v>
      </c>
      <c r="J1370" s="9" t="n">
        <v>0.574</v>
      </c>
      <c r="K1370" s="1" t="inlineStr">
        <is>
          <t>Yes</t>
        </is>
      </c>
      <c r="L1370" s="1" t="inlineStr">
        <is>
          <t>Yes</t>
        </is>
      </c>
      <c r="M1370" s="1" t="inlineStr">
        <is>
          <t>No</t>
        </is>
      </c>
      <c r="N1370" s="1" t="inlineStr">
        <is>
          <t>Algorithms</t>
        </is>
      </c>
      <c r="O13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71" ht="15.75" customHeight="1" s="12">
      <c r="A1371" s="1" t="n">
        <v>400</v>
      </c>
      <c r="B1371" s="3">
        <f>HYPERLINK("https://leetcode.com/problems/nth-digit/", "Nth Digit")</f>
        <v/>
      </c>
      <c r="C1371" s="1" t="n">
        <v>1218</v>
      </c>
      <c r="D1371" s="1" t="n">
        <v>2125</v>
      </c>
      <c r="E1371" s="4">
        <f>IF(INDEX(C:C, ROW())+INDEX(D:D, ROW())=0, 0, INDEX(C:C, ROW())/(INDEX(C:C, ROW())+INDEX(D:D, ROW())))</f>
        <v/>
      </c>
      <c r="F1371" s="1" t="inlineStr">
        <is>
          <t>Math, Binary Search</t>
        </is>
      </c>
      <c r="G1371" s="1" t="inlineStr">
        <is>
          <t>Medium</t>
        </is>
      </c>
      <c r="H1371" s="1" t="n">
        <v>123828</v>
      </c>
      <c r="I1371" s="1" t="n">
        <v>336809</v>
      </c>
      <c r="J1371" s="9" t="n">
        <v>0.368</v>
      </c>
      <c r="K1371" s="1" t="inlineStr">
        <is>
          <t>Yes</t>
        </is>
      </c>
      <c r="L1371" s="1" t="inlineStr">
        <is>
          <t>No</t>
        </is>
      </c>
      <c r="M1371" s="1" t="inlineStr">
        <is>
          <t>No</t>
        </is>
      </c>
      <c r="N1371" s="1" t="inlineStr">
        <is>
          <t>Algorithms</t>
        </is>
      </c>
      <c r="O13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72" ht="15.75" customHeight="1" s="12">
      <c r="A1372" s="1" t="n">
        <v>1816</v>
      </c>
      <c r="B1372" s="3">
        <f>HYPERLINK("https://leetcode.com/problems/truncate-sentence/", "Truncate Sentence")</f>
        <v/>
      </c>
      <c r="C1372" s="1" t="n">
        <v>1216</v>
      </c>
      <c r="D1372" s="1" t="n">
        <v>34</v>
      </c>
      <c r="E1372" s="4">
        <f>IF(INDEX(C:C, ROW())+INDEX(D:D, ROW())=0, 0, INDEX(C:C, ROW())/(INDEX(C:C, ROW())+INDEX(D:D, ROW())))</f>
        <v/>
      </c>
      <c r="F1372" s="1" t="inlineStr">
        <is>
          <t>Array, String</t>
        </is>
      </c>
      <c r="G1372" s="1" t="inlineStr">
        <is>
          <t>Easy</t>
        </is>
      </c>
      <c r="H1372" s="1" t="n">
        <v>223720</v>
      </c>
      <c r="I1372" s="1" t="n">
        <v>258675</v>
      </c>
      <c r="J1372" s="9" t="n">
        <v>0.865</v>
      </c>
      <c r="K1372" s="1" t="inlineStr">
        <is>
          <t>Yes</t>
        </is>
      </c>
      <c r="L1372" s="1" t="inlineStr">
        <is>
          <t>No</t>
        </is>
      </c>
      <c r="M1372" s="1" t="inlineStr">
        <is>
          <t>No</t>
        </is>
      </c>
      <c r="N1372" s="1" t="inlineStr">
        <is>
          <t>Algorithms</t>
        </is>
      </c>
      <c r="O13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73" ht="15.75" customHeight="1" s="12">
      <c r="A1373" s="1" t="n">
        <v>2641</v>
      </c>
      <c r="B1373" s="3">
        <f>HYPERLINK("https://leetcode.com/problems/cousins-in-binary-tree-ii/", "Cousins in Binary Tree II")</f>
        <v/>
      </c>
      <c r="C1373" s="1" t="n">
        <v>1214</v>
      </c>
      <c r="D1373" s="1" t="n">
        <v>54</v>
      </c>
      <c r="E1373" s="4">
        <f>IF(INDEX(C:C, ROW())+INDEX(D:D, ROW())=0, 0, INDEX(C:C, ROW())/(INDEX(C:C, ROW())+INDEX(D:D, ROW())))</f>
        <v/>
      </c>
      <c r="F1373" s="1" t="inlineStr">
        <is>
          <t>Hash Table, Tree, Depth-First Search, Breadth-First Search, Binary Tree</t>
        </is>
      </c>
      <c r="G1373" s="1" t="inlineStr">
        <is>
          <t>Medium</t>
        </is>
      </c>
      <c r="H1373" s="1" t="n">
        <v>126878</v>
      </c>
      <c r="I1373" s="1" t="n">
        <v>167537</v>
      </c>
      <c r="J1373" s="9" t="n">
        <v>0.757</v>
      </c>
      <c r="K1373" s="1" t="inlineStr">
        <is>
          <t>Yes</t>
        </is>
      </c>
      <c r="L1373" s="1" t="inlineStr">
        <is>
          <t>Yes</t>
        </is>
      </c>
      <c r="M1373" s="1" t="inlineStr">
        <is>
          <t>No</t>
        </is>
      </c>
      <c r="N1373" s="1" t="inlineStr">
        <is>
          <t>Algorithms</t>
        </is>
      </c>
      <c r="O13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74" ht="15.75" customHeight="1" s="12">
      <c r="A1374" s="1" t="n">
        <v>1136</v>
      </c>
      <c r="B1374" s="3">
        <f>HYPERLINK("https://leetcode.com/problems/parallel-courses/", "Parallel Courses")</f>
        <v/>
      </c>
      <c r="C1374" s="1" t="n">
        <v>1213</v>
      </c>
      <c r="D1374" s="1" t="n">
        <v>27</v>
      </c>
      <c r="E1374" s="4">
        <f>IF(INDEX(C:C, ROW())+INDEX(D:D, ROW())=0, 0, INDEX(C:C, ROW())/(INDEX(C:C, ROW())+INDEX(D:D, ROW())))</f>
        <v/>
      </c>
      <c r="F1374" s="1" t="inlineStr">
        <is>
          <t>Graph Theory, Topological Sort</t>
        </is>
      </c>
      <c r="G1374" s="1" t="inlineStr">
        <is>
          <t>Medium</t>
        </is>
      </c>
      <c r="H1374" s="1" t="n">
        <v>105671</v>
      </c>
      <c r="I1374" s="1" t="n">
        <v>170476</v>
      </c>
      <c r="J1374" s="9" t="n">
        <v>0.62</v>
      </c>
      <c r="K1374" s="1" t="inlineStr">
        <is>
          <t>No</t>
        </is>
      </c>
      <c r="L1374" s="1" t="inlineStr">
        <is>
          <t>Yes</t>
        </is>
      </c>
      <c r="M1374" s="1" t="inlineStr">
        <is>
          <t>No</t>
        </is>
      </c>
      <c r="N1374" s="1" t="inlineStr">
        <is>
          <t>Algorithms</t>
        </is>
      </c>
      <c r="O13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75" ht="15.75" customHeight="1" s="12">
      <c r="A1375" s="1" t="n">
        <v>296</v>
      </c>
      <c r="B1375" s="3">
        <f>HYPERLINK("https://leetcode.com/problems/best-meeting-point/", "Best Meeting Point")</f>
        <v/>
      </c>
      <c r="C1375" s="1" t="n">
        <v>1212</v>
      </c>
      <c r="D1375" s="1" t="n">
        <v>108</v>
      </c>
      <c r="E1375" s="4">
        <f>IF(INDEX(C:C, ROW())+INDEX(D:D, ROW())=0, 0, INDEX(C:C, ROW())/(INDEX(C:C, ROW())+INDEX(D:D, ROW())))</f>
        <v/>
      </c>
      <c r="F1375" s="1" t="inlineStr">
        <is>
          <t>Array, Math, Sorting, Matrix</t>
        </is>
      </c>
      <c r="G1375" s="1" t="inlineStr">
        <is>
          <t>Hard</t>
        </is>
      </c>
      <c r="H1375" s="1" t="n">
        <v>95938</v>
      </c>
      <c r="I1375" s="1" t="n">
        <v>156423</v>
      </c>
      <c r="J1375" s="9" t="n">
        <v>0.613</v>
      </c>
      <c r="K1375" s="1" t="inlineStr">
        <is>
          <t>No</t>
        </is>
      </c>
      <c r="L1375" s="1" t="inlineStr">
        <is>
          <t>Yes</t>
        </is>
      </c>
      <c r="M1375" s="1" t="inlineStr">
        <is>
          <t>No</t>
        </is>
      </c>
      <c r="N1375" s="1" t="inlineStr">
        <is>
          <t>Algorithms</t>
        </is>
      </c>
      <c r="O13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76" ht="15.75" customHeight="1" s="12">
      <c r="A1376" s="1" t="n">
        <v>2262</v>
      </c>
      <c r="B1376" s="3">
        <f>HYPERLINK("https://leetcode.com/problems/total-appeal-of-a-string/", "Total Appeal of A String")</f>
        <v/>
      </c>
      <c r="C1376" s="1" t="n">
        <v>1211</v>
      </c>
      <c r="D1376" s="1" t="n">
        <v>35</v>
      </c>
      <c r="E1376" s="4">
        <f>IF(INDEX(C:C, ROW())+INDEX(D:D, ROW())=0, 0, INDEX(C:C, ROW())/(INDEX(C:C, ROW())+INDEX(D:D, ROW())))</f>
        <v/>
      </c>
      <c r="F1376" s="1" t="inlineStr">
        <is>
          <t>Hash Table, String, Dynamic Programming</t>
        </is>
      </c>
      <c r="G1376" s="1" t="inlineStr">
        <is>
          <t>Hard</t>
        </is>
      </c>
      <c r="H1376" s="1" t="n">
        <v>45659</v>
      </c>
      <c r="I1376" s="1" t="n">
        <v>81232</v>
      </c>
      <c r="J1376" s="9" t="n">
        <v>0.5620000000000001</v>
      </c>
      <c r="K1376" s="1" t="inlineStr">
        <is>
          <t>Yes</t>
        </is>
      </c>
      <c r="L1376" s="1" t="inlineStr">
        <is>
          <t>No</t>
        </is>
      </c>
      <c r="M1376" s="1" t="inlineStr">
        <is>
          <t>No</t>
        </is>
      </c>
      <c r="N1376" s="1" t="inlineStr">
        <is>
          <t>Algorithms</t>
        </is>
      </c>
      <c r="O13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77" ht="15.75" customHeight="1" s="12">
      <c r="A1377" s="1" t="n">
        <v>1894</v>
      </c>
      <c r="B1377" s="3">
        <f>HYPERLINK("https://leetcode.com/problems/find-the-student-that-will-replace-the-chalk/", "Find the Student that Will Replace the Chalk")</f>
        <v/>
      </c>
      <c r="C1377" s="1" t="n">
        <v>1209</v>
      </c>
      <c r="D1377" s="1" t="n">
        <v>134</v>
      </c>
      <c r="E1377" s="4">
        <f>IF(INDEX(C:C, ROW())+INDEX(D:D, ROW())=0, 0, INDEX(C:C, ROW())/(INDEX(C:C, ROW())+INDEX(D:D, ROW())))</f>
        <v/>
      </c>
      <c r="F1377" s="1" t="inlineStr">
        <is>
          <t>Array, Binary Search, Simulation, Prefix Sum</t>
        </is>
      </c>
      <c r="G1377" s="1" t="inlineStr">
        <is>
          <t>Medium</t>
        </is>
      </c>
      <c r="H1377" s="1" t="n">
        <v>201940</v>
      </c>
      <c r="I1377" s="1" t="n">
        <v>379806</v>
      </c>
      <c r="J1377" s="9" t="n">
        <v>0.532</v>
      </c>
      <c r="K1377" s="1" t="inlineStr">
        <is>
          <t>Yes</t>
        </is>
      </c>
      <c r="L1377" s="1" t="inlineStr">
        <is>
          <t>Yes</t>
        </is>
      </c>
      <c r="M1377" s="1" t="inlineStr">
        <is>
          <t>No</t>
        </is>
      </c>
      <c r="N1377" s="1" t="inlineStr">
        <is>
          <t>Algorithms</t>
        </is>
      </c>
      <c r="O13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78" ht="15.75" customHeight="1" s="12">
      <c r="A1378" s="1" t="n">
        <v>1168</v>
      </c>
      <c r="B1378" s="3">
        <f>HYPERLINK("https://leetcode.com/problems/optimize-water-distribution-in-a-village/", "Optimize Water Distribution in a Village")</f>
        <v/>
      </c>
      <c r="C1378" s="1" t="n">
        <v>1204</v>
      </c>
      <c r="D1378" s="1" t="n">
        <v>40</v>
      </c>
      <c r="E1378" s="4">
        <f>IF(INDEX(C:C, ROW())+INDEX(D:D, ROW())=0, 0, INDEX(C:C, ROW())/(INDEX(C:C, ROW())+INDEX(D:D, ROW())))</f>
        <v/>
      </c>
      <c r="F1378" s="1" t="inlineStr">
        <is>
          <t>Union-Find, Graph Theory, Heap (Priority Queue), Minimum Spanning Tree</t>
        </is>
      </c>
      <c r="G1378" s="1" t="inlineStr">
        <is>
          <t>Hard</t>
        </is>
      </c>
      <c r="H1378" s="1" t="n">
        <v>58387</v>
      </c>
      <c r="I1378" s="1" t="n">
        <v>89278</v>
      </c>
      <c r="J1378" s="9" t="n">
        <v>0.654</v>
      </c>
      <c r="K1378" s="1" t="inlineStr">
        <is>
          <t>No</t>
        </is>
      </c>
      <c r="L1378" s="1" t="inlineStr">
        <is>
          <t>Yes</t>
        </is>
      </c>
      <c r="M1378" s="1" t="inlineStr">
        <is>
          <t>No</t>
        </is>
      </c>
      <c r="N1378" s="1" t="inlineStr">
        <is>
          <t>Algorithms</t>
        </is>
      </c>
      <c r="O13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79" ht="15.75" customHeight="1" s="12">
      <c r="A1379" s="1" t="n">
        <v>1174</v>
      </c>
      <c r="B1379" s="3">
        <f>HYPERLINK("https://leetcode.com/problems/immediate-food-delivery-ii/", "Immediate Food Delivery II")</f>
        <v/>
      </c>
      <c r="C1379" s="1" t="n">
        <v>1202</v>
      </c>
      <c r="D1379" s="1" t="n">
        <v>168</v>
      </c>
      <c r="E1379" s="4">
        <f>IF(INDEX(C:C, ROW())+INDEX(D:D, ROW())=0, 0, INDEX(C:C, ROW())/(INDEX(C:C, ROW())+INDEX(D:D, ROW())))</f>
        <v/>
      </c>
      <c r="F1379" s="1" t="inlineStr">
        <is>
          <t>Database</t>
        </is>
      </c>
      <c r="G1379" s="1" t="inlineStr">
        <is>
          <t>Medium</t>
        </is>
      </c>
      <c r="H1379" s="1" t="n">
        <v>416397</v>
      </c>
      <c r="I1379" s="1" t="n">
        <v>750045</v>
      </c>
      <c r="J1379" s="9" t="n">
        <v>0.555</v>
      </c>
      <c r="K1379" s="1" t="inlineStr">
        <is>
          <t>Yes</t>
        </is>
      </c>
      <c r="L1379" s="1" t="inlineStr">
        <is>
          <t>No</t>
        </is>
      </c>
      <c r="M1379" s="1" t="inlineStr">
        <is>
          <t>No</t>
        </is>
      </c>
      <c r="N1379" s="1" t="inlineStr">
        <is>
          <t>Database</t>
        </is>
      </c>
      <c r="O13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80" ht="15.75" customHeight="1" s="12">
      <c r="A1380" s="1" t="n">
        <v>1278</v>
      </c>
      <c r="B1380" s="3">
        <f>HYPERLINK("https://leetcode.com/problems/palindrome-partitioning-iii/", "Palindrome Partitioning III")</f>
        <v/>
      </c>
      <c r="C1380" s="1" t="n">
        <v>1202</v>
      </c>
      <c r="D1380" s="1" t="n">
        <v>19</v>
      </c>
      <c r="E1380" s="4">
        <f>IF(INDEX(C:C, ROW())+INDEX(D:D, ROW())=0, 0, INDEX(C:C, ROW())/(INDEX(C:C, ROW())+INDEX(D:D, ROW())))</f>
        <v/>
      </c>
      <c r="F1380" s="1" t="inlineStr">
        <is>
          <t>String, Dynamic Programming</t>
        </is>
      </c>
      <c r="G1380" s="1" t="inlineStr">
        <is>
          <t>Hard</t>
        </is>
      </c>
      <c r="H1380" s="1" t="n">
        <v>36419</v>
      </c>
      <c r="I1380" s="1" t="n">
        <v>58692</v>
      </c>
      <c r="J1380" s="9" t="n">
        <v>0.621</v>
      </c>
      <c r="K1380" s="1" t="inlineStr">
        <is>
          <t>Yes</t>
        </is>
      </c>
      <c r="L1380" s="1" t="inlineStr">
        <is>
          <t>No</t>
        </is>
      </c>
      <c r="M1380" s="1" t="inlineStr">
        <is>
          <t>No</t>
        </is>
      </c>
      <c r="N1380" s="1" t="inlineStr">
        <is>
          <t>Algorithms</t>
        </is>
      </c>
      <c r="O13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81" ht="15.75" customHeight="1" s="12">
      <c r="A1381" s="1" t="n">
        <v>549</v>
      </c>
      <c r="B1381" s="3">
        <f>HYPERLINK("https://leetcode.com/problems/binary-tree-longest-consecutive-sequence-ii/", "Binary Tree Longest Consecutive Sequence II")</f>
        <v/>
      </c>
      <c r="C1381" s="1" t="n">
        <v>1199</v>
      </c>
      <c r="D1381" s="1" t="n">
        <v>103</v>
      </c>
      <c r="E1381" s="4">
        <f>IF(INDEX(C:C, ROW())+INDEX(D:D, ROW())=0, 0, INDEX(C:C, ROW())/(INDEX(C:C, ROW())+INDEX(D:D, ROW())))</f>
        <v/>
      </c>
      <c r="F1381" s="1" t="inlineStr">
        <is>
          <t>Tree, Depth-First Search, Binary Tree</t>
        </is>
      </c>
      <c r="G1381" s="1" t="inlineStr">
        <is>
          <t>Medium</t>
        </is>
      </c>
      <c r="H1381" s="1" t="n">
        <v>61211</v>
      </c>
      <c r="I1381" s="1" t="n">
        <v>122394</v>
      </c>
      <c r="J1381" s="9" t="n">
        <v>0.5</v>
      </c>
      <c r="K1381" s="1" t="inlineStr">
        <is>
          <t>No</t>
        </is>
      </c>
      <c r="L1381" s="1" t="inlineStr">
        <is>
          <t>Yes</t>
        </is>
      </c>
      <c r="M1381" s="1" t="inlineStr">
        <is>
          <t>No</t>
        </is>
      </c>
      <c r="N1381" s="1" t="inlineStr">
        <is>
          <t>Algorithms</t>
        </is>
      </c>
      <c r="O13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82" ht="15.75" customHeight="1" s="12">
      <c r="A1382" s="1" t="n">
        <v>803</v>
      </c>
      <c r="B1382" s="3">
        <f>HYPERLINK("https://leetcode.com/problems/bricks-falling-when-hit/", "Bricks Falling When Hit")</f>
        <v/>
      </c>
      <c r="C1382" s="1" t="n">
        <v>1199</v>
      </c>
      <c r="D1382" s="1" t="n">
        <v>191</v>
      </c>
      <c r="E1382" s="4">
        <f>IF(INDEX(C:C, ROW())+INDEX(D:D, ROW())=0, 0, INDEX(C:C, ROW())/(INDEX(C:C, ROW())+INDEX(D:D, ROW())))</f>
        <v/>
      </c>
      <c r="F1382" s="1" t="inlineStr">
        <is>
          <t>Array, Union-Find, Matrix</t>
        </is>
      </c>
      <c r="G1382" s="1" t="inlineStr">
        <is>
          <t>Hard</t>
        </is>
      </c>
      <c r="H1382" s="1" t="n">
        <v>37132</v>
      </c>
      <c r="I1382" s="1" t="n">
        <v>100895</v>
      </c>
      <c r="J1382" s="9" t="n">
        <v>0.368</v>
      </c>
      <c r="K1382" s="1" t="inlineStr">
        <is>
          <t>Yes</t>
        </is>
      </c>
      <c r="L1382" s="1" t="inlineStr">
        <is>
          <t>Yes</t>
        </is>
      </c>
      <c r="M1382" s="1" t="inlineStr">
        <is>
          <t>No</t>
        </is>
      </c>
      <c r="N1382" s="1" t="inlineStr">
        <is>
          <t>Algorithms</t>
        </is>
      </c>
      <c r="O13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83" ht="15.75" customHeight="1" s="12">
      <c r="A1383" s="1" t="n">
        <v>1300</v>
      </c>
      <c r="B1383" s="3">
        <f>HYPERLINK("https://leetcode.com/problems/sum-of-mutated-array-closest-to-target/", "Sum of Mutated Array Closest to Target")</f>
        <v/>
      </c>
      <c r="C1383" s="1" t="n">
        <v>1199</v>
      </c>
      <c r="D1383" s="1" t="n">
        <v>153</v>
      </c>
      <c r="E1383" s="4">
        <f>IF(INDEX(C:C, ROW())+INDEX(D:D, ROW())=0, 0, INDEX(C:C, ROW())/(INDEX(C:C, ROW())+INDEX(D:D, ROW())))</f>
        <v/>
      </c>
      <c r="F1383" s="1" t="inlineStr">
        <is>
          <t>Array, Binary Search, Sorting</t>
        </is>
      </c>
      <c r="G1383" s="1" t="inlineStr">
        <is>
          <t>Medium</t>
        </is>
      </c>
      <c r="H1383" s="1" t="n">
        <v>48016</v>
      </c>
      <c r="I1383" s="1" t="n">
        <v>104344</v>
      </c>
      <c r="J1383" s="9" t="n">
        <v>0.46</v>
      </c>
      <c r="K1383" s="1" t="inlineStr">
        <is>
          <t>Yes</t>
        </is>
      </c>
      <c r="L1383" s="1" t="inlineStr">
        <is>
          <t>No</t>
        </is>
      </c>
      <c r="M1383" s="1" t="inlineStr">
        <is>
          <t>No</t>
        </is>
      </c>
      <c r="N1383" s="1" t="inlineStr">
        <is>
          <t>Algorithms</t>
        </is>
      </c>
      <c r="O13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84" ht="15.75" customHeight="1" s="12">
      <c r="A1384" s="1" t="n">
        <v>1611</v>
      </c>
      <c r="B1384" s="3">
        <f>HYPERLINK("https://leetcode.com/problems/minimum-one-bit-operations-to-make-integers-zero/", "Minimum One Bit Operations to Make Integers Zero")</f>
        <v/>
      </c>
      <c r="C1384" s="1" t="n">
        <v>1199</v>
      </c>
      <c r="D1384" s="1" t="n">
        <v>1193</v>
      </c>
      <c r="E1384" s="4">
        <f>IF(INDEX(C:C, ROW())+INDEX(D:D, ROW())=0, 0, INDEX(C:C, ROW())/(INDEX(C:C, ROW())+INDEX(D:D, ROW())))</f>
        <v/>
      </c>
      <c r="F1384" s="1" t="inlineStr">
        <is>
          <t>Math, Dynamic Programming, Bit Manipulation, Recursion, Memoization</t>
        </is>
      </c>
      <c r="G1384" s="1" t="inlineStr">
        <is>
          <t>Hard</t>
        </is>
      </c>
      <c r="H1384" s="1" t="n">
        <v>119274</v>
      </c>
      <c r="I1384" s="1" t="n">
        <v>152069</v>
      </c>
      <c r="J1384" s="9" t="n">
        <v>0.784</v>
      </c>
      <c r="K1384" s="1" t="inlineStr">
        <is>
          <t>Yes</t>
        </is>
      </c>
      <c r="L1384" s="1" t="inlineStr">
        <is>
          <t>Yes</t>
        </is>
      </c>
      <c r="M1384" s="1" t="inlineStr">
        <is>
          <t>No</t>
        </is>
      </c>
      <c r="N1384" s="1" t="inlineStr">
        <is>
          <t>Algorithms</t>
        </is>
      </c>
      <c r="O13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85" ht="15.75" customHeight="1" s="12">
      <c r="A1385" s="1" t="n">
        <v>1534</v>
      </c>
      <c r="B1385" s="3">
        <f>HYPERLINK("https://leetcode.com/problems/count-good-triplets/", "Count Good Triplets")</f>
        <v/>
      </c>
      <c r="C1385" s="1" t="n">
        <v>1198</v>
      </c>
      <c r="D1385" s="1" t="n">
        <v>1249</v>
      </c>
      <c r="E1385" s="4">
        <f>IF(INDEX(C:C, ROW())+INDEX(D:D, ROW())=0, 0, INDEX(C:C, ROW())/(INDEX(C:C, ROW())+INDEX(D:D, ROW())))</f>
        <v/>
      </c>
      <c r="F1385" s="1" t="inlineStr">
        <is>
          <t>Array, Enumeration</t>
        </is>
      </c>
      <c r="G1385" s="1" t="inlineStr">
        <is>
          <t>Easy</t>
        </is>
      </c>
      <c r="H1385" s="1" t="n">
        <v>281972</v>
      </c>
      <c r="I1385" s="1" t="n">
        <v>329748</v>
      </c>
      <c r="J1385" s="9" t="n">
        <v>0.855</v>
      </c>
      <c r="K1385" s="1" t="inlineStr">
        <is>
          <t>Yes</t>
        </is>
      </c>
      <c r="L1385" s="1" t="inlineStr">
        <is>
          <t>Yes</t>
        </is>
      </c>
      <c r="M1385" s="1" t="inlineStr">
        <is>
          <t>No</t>
        </is>
      </c>
      <c r="N1385" s="1" t="inlineStr">
        <is>
          <t>Algorithms</t>
        </is>
      </c>
      <c r="O13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86" ht="15.75" customHeight="1" s="12">
      <c r="A1386" s="1" t="n">
        <v>1638</v>
      </c>
      <c r="B1386" s="3">
        <f>HYPERLINK("https://leetcode.com/problems/count-substrings-that-differ-by-one-character/", "Count Substrings That Differ by One Character")</f>
        <v/>
      </c>
      <c r="C1386" s="1" t="n">
        <v>1198</v>
      </c>
      <c r="D1386" s="1" t="n">
        <v>357</v>
      </c>
      <c r="E1386" s="4">
        <f>IF(INDEX(C:C, ROW())+INDEX(D:D, ROW())=0, 0, INDEX(C:C, ROW())/(INDEX(C:C, ROW())+INDEX(D:D, ROW())))</f>
        <v/>
      </c>
      <c r="F1386" s="1" t="inlineStr">
        <is>
          <t>Hash Table, String, Dynamic Programming, Enumeration</t>
        </is>
      </c>
      <c r="G1386" s="1" t="inlineStr">
        <is>
          <t>Medium</t>
        </is>
      </c>
      <c r="H1386" s="1" t="n">
        <v>37161</v>
      </c>
      <c r="I1386" s="1" t="n">
        <v>51435</v>
      </c>
      <c r="J1386" s="9" t="n">
        <v>0.722</v>
      </c>
      <c r="K1386" s="1" t="inlineStr">
        <is>
          <t>Yes</t>
        </is>
      </c>
      <c r="L1386" s="1" t="inlineStr">
        <is>
          <t>No</t>
        </is>
      </c>
      <c r="M1386" s="1" t="inlineStr">
        <is>
          <t>No</t>
        </is>
      </c>
      <c r="N1386" s="1" t="inlineStr">
        <is>
          <t>Algorithms</t>
        </is>
      </c>
      <c r="O13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87" ht="15.75" customHeight="1" s="12">
      <c r="A1387" s="1" t="n">
        <v>1945</v>
      </c>
      <c r="B1387" s="3">
        <f>HYPERLINK("https://leetcode.com/problems/sum-of-digits-of-string-after-convert/", "Sum of Digits of String After Convert")</f>
        <v/>
      </c>
      <c r="C1387" s="1" t="n">
        <v>1194</v>
      </c>
      <c r="D1387" s="1" t="n">
        <v>104</v>
      </c>
      <c r="E1387" s="4">
        <f>IF(INDEX(C:C, ROW())+INDEX(D:D, ROW())=0, 0, INDEX(C:C, ROW())/(INDEX(C:C, ROW())+INDEX(D:D, ROW())))</f>
        <v/>
      </c>
      <c r="F1387" s="1" t="inlineStr">
        <is>
          <t>String, Simulation</t>
        </is>
      </c>
      <c r="G1387" s="1" t="inlineStr">
        <is>
          <t>Easy</t>
        </is>
      </c>
      <c r="H1387" s="1" t="n">
        <v>234590</v>
      </c>
      <c r="I1387" s="1" t="n">
        <v>313652</v>
      </c>
      <c r="J1387" s="9" t="n">
        <v>0.748</v>
      </c>
      <c r="K1387" s="1" t="inlineStr">
        <is>
          <t>Yes</t>
        </is>
      </c>
      <c r="L1387" s="1" t="inlineStr">
        <is>
          <t>Yes</t>
        </is>
      </c>
      <c r="M1387" s="1" t="inlineStr">
        <is>
          <t>No</t>
        </is>
      </c>
      <c r="N1387" s="1" t="inlineStr">
        <is>
          <t>Algorithms</t>
        </is>
      </c>
      <c r="O13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88" ht="15.75" customHeight="1" s="12">
      <c r="A1388" s="1" t="n">
        <v>817</v>
      </c>
      <c r="B1388" s="3">
        <f>HYPERLINK("https://leetcode.com/problems/linked-list-components/", "Linked List Components")</f>
        <v/>
      </c>
      <c r="C1388" s="1" t="n">
        <v>1192</v>
      </c>
      <c r="D1388" s="1" t="n">
        <v>2289</v>
      </c>
      <c r="E1388" s="4">
        <f>IF(INDEX(C:C, ROW())+INDEX(D:D, ROW())=0, 0, INDEX(C:C, ROW())/(INDEX(C:C, ROW())+INDEX(D:D, ROW())))</f>
        <v/>
      </c>
      <c r="F1388" s="1" t="inlineStr">
        <is>
          <t>Array, Hash Table, Linked List</t>
        </is>
      </c>
      <c r="G1388" s="1" t="inlineStr">
        <is>
          <t>Medium</t>
        </is>
      </c>
      <c r="H1388" s="1" t="n">
        <v>120607</v>
      </c>
      <c r="I1388" s="1" t="n">
        <v>209016</v>
      </c>
      <c r="J1388" s="9" t="n">
        <v>0.577</v>
      </c>
      <c r="K1388" s="1" t="inlineStr">
        <is>
          <t>Yes</t>
        </is>
      </c>
      <c r="L1388" s="1" t="inlineStr">
        <is>
          <t>Yes</t>
        </is>
      </c>
      <c r="M1388" s="1" t="inlineStr">
        <is>
          <t>No</t>
        </is>
      </c>
      <c r="N1388" s="1" t="inlineStr">
        <is>
          <t>Algorithms</t>
        </is>
      </c>
      <c r="O13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89" ht="15.75" customHeight="1" s="12">
      <c r="A1389" s="1" t="n">
        <v>1828</v>
      </c>
      <c r="B1389" s="3">
        <f>HYPERLINK("https://leetcode.com/problems/queries-on-number-of-points-inside-a-circle/", "Queries on Number of Points Inside a Circle")</f>
        <v/>
      </c>
      <c r="C1389" s="1" t="n">
        <v>1190</v>
      </c>
      <c r="D1389" s="1" t="n">
        <v>90</v>
      </c>
      <c r="E1389" s="4">
        <f>IF(INDEX(C:C, ROW())+INDEX(D:D, ROW())=0, 0, INDEX(C:C, ROW())/(INDEX(C:C, ROW())+INDEX(D:D, ROW())))</f>
        <v/>
      </c>
      <c r="F1389" s="1" t="inlineStr">
        <is>
          <t>Array, Math, Geometry</t>
        </is>
      </c>
      <c r="G1389" s="1" t="inlineStr">
        <is>
          <t>Medium</t>
        </is>
      </c>
      <c r="H1389" s="1" t="n">
        <v>93095</v>
      </c>
      <c r="I1389" s="1" t="n">
        <v>107360</v>
      </c>
      <c r="J1389" s="9" t="n">
        <v>0.867</v>
      </c>
      <c r="K1389" s="1" t="inlineStr">
        <is>
          <t>Yes</t>
        </is>
      </c>
      <c r="L1389" s="1" t="inlineStr">
        <is>
          <t>No</t>
        </is>
      </c>
      <c r="M1389" s="1" t="inlineStr">
        <is>
          <t>No</t>
        </is>
      </c>
      <c r="N1389" s="1" t="inlineStr">
        <is>
          <t>Algorithms</t>
        </is>
      </c>
      <c r="O13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90" ht="15.75" customHeight="1" s="12">
      <c r="A1390" s="1" t="n">
        <v>2206</v>
      </c>
      <c r="B1390" s="3">
        <f>HYPERLINK("https://leetcode.com/problems/divide-array-into-equal-pairs/", "Divide Array Into Equal Pairs")</f>
        <v/>
      </c>
      <c r="C1390" s="1" t="n">
        <v>1190</v>
      </c>
      <c r="D1390" s="1" t="n">
        <v>50</v>
      </c>
      <c r="E1390" s="4">
        <f>IF(INDEX(C:C, ROW())+INDEX(D:D, ROW())=0, 0, INDEX(C:C, ROW())/(INDEX(C:C, ROW())+INDEX(D:D, ROW())))</f>
        <v/>
      </c>
      <c r="F1390" s="1" t="inlineStr">
        <is>
          <t>Array, Hash Table, Bit Manipulation, Counting</t>
        </is>
      </c>
      <c r="G1390" s="1" t="inlineStr">
        <is>
          <t>Easy</t>
        </is>
      </c>
      <c r="H1390" s="1" t="n">
        <v>296744</v>
      </c>
      <c r="I1390" s="1" t="n">
        <v>374499</v>
      </c>
      <c r="J1390" s="9" t="n">
        <v>0.792</v>
      </c>
      <c r="K1390" s="1" t="inlineStr">
        <is>
          <t>Yes</t>
        </is>
      </c>
      <c r="L1390" s="1" t="inlineStr">
        <is>
          <t>Yes</t>
        </is>
      </c>
      <c r="M1390" s="1" t="inlineStr">
        <is>
          <t>No</t>
        </is>
      </c>
      <c r="N1390" s="1" t="inlineStr">
        <is>
          <t>Algorithms</t>
        </is>
      </c>
      <c r="O13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91" ht="15.75" customHeight="1" s="12">
      <c r="A1391" s="1" t="n">
        <v>2751</v>
      </c>
      <c r="B1391" s="3">
        <f>HYPERLINK("https://leetcode.com/problems/robot-collisions/", "Robot Collisions")</f>
        <v/>
      </c>
      <c r="C1391" s="1" t="n">
        <v>1190</v>
      </c>
      <c r="D1391" s="1" t="n">
        <v>99</v>
      </c>
      <c r="E1391" s="4">
        <f>IF(INDEX(C:C, ROW())+INDEX(D:D, ROW())=0, 0, INDEX(C:C, ROW())/(INDEX(C:C, ROW())+INDEX(D:D, ROW())))</f>
        <v/>
      </c>
      <c r="F1391" s="1" t="inlineStr">
        <is>
          <t>Array, Stack, Sorting, Simulation</t>
        </is>
      </c>
      <c r="G1391" s="1" t="inlineStr">
        <is>
          <t>Hard</t>
        </is>
      </c>
      <c r="H1391" s="1" t="n">
        <v>117066</v>
      </c>
      <c r="I1391" s="1" t="n">
        <v>208903</v>
      </c>
      <c r="J1391" s="9" t="n">
        <v>0.5600000000000001</v>
      </c>
      <c r="K1391" s="1" t="inlineStr">
        <is>
          <t>Yes</t>
        </is>
      </c>
      <c r="L1391" s="1" t="inlineStr">
        <is>
          <t>Yes</t>
        </is>
      </c>
      <c r="M1391" s="1" t="inlineStr">
        <is>
          <t>No</t>
        </is>
      </c>
      <c r="N1391" s="1" t="inlineStr">
        <is>
          <t>Algorithms</t>
        </is>
      </c>
      <c r="O13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92" ht="15.75" customHeight="1" s="12">
      <c r="A1392" s="1" t="n">
        <v>482</v>
      </c>
      <c r="B1392" s="3">
        <f>HYPERLINK("https://leetcode.com/problems/license-key-formatting/", "License Key Formatting")</f>
        <v/>
      </c>
      <c r="C1392" s="1" t="n">
        <v>1189</v>
      </c>
      <c r="D1392" s="1" t="n">
        <v>1458</v>
      </c>
      <c r="E1392" s="4">
        <f>IF(INDEX(C:C, ROW())+INDEX(D:D, ROW())=0, 0, INDEX(C:C, ROW())/(INDEX(C:C, ROW())+INDEX(D:D, ROW())))</f>
        <v/>
      </c>
      <c r="F1392" s="1" t="inlineStr">
        <is>
          <t>String</t>
        </is>
      </c>
      <c r="G1392" s="1" t="inlineStr">
        <is>
          <t>Easy</t>
        </is>
      </c>
      <c r="H1392" s="1" t="n">
        <v>346087</v>
      </c>
      <c r="I1392" s="1" t="n">
        <v>761068</v>
      </c>
      <c r="J1392" s="9" t="n">
        <v>0.455</v>
      </c>
      <c r="K1392" s="1" t="inlineStr">
        <is>
          <t>Yes</t>
        </is>
      </c>
      <c r="L1392" s="1" t="inlineStr">
        <is>
          <t>Yes</t>
        </is>
      </c>
      <c r="M1392" s="1" t="inlineStr">
        <is>
          <t>No</t>
        </is>
      </c>
      <c r="N1392" s="1" t="inlineStr">
        <is>
          <t>Algorithms</t>
        </is>
      </c>
      <c r="O13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93" ht="15.75" customHeight="1" s="12">
      <c r="A1393" s="1" t="n">
        <v>2270</v>
      </c>
      <c r="B1393" s="3">
        <f>HYPERLINK("https://leetcode.com/problems/number-of-ways-to-split-array/", "Number of Ways to Split Array")</f>
        <v/>
      </c>
      <c r="C1393" s="1" t="n">
        <v>1188</v>
      </c>
      <c r="D1393" s="1" t="n">
        <v>100</v>
      </c>
      <c r="E1393" s="4">
        <f>IF(INDEX(C:C, ROW())+INDEX(D:D, ROW())=0, 0, INDEX(C:C, ROW())/(INDEX(C:C, ROW())+INDEX(D:D, ROW())))</f>
        <v/>
      </c>
      <c r="F1393" s="1" t="inlineStr">
        <is>
          <t>Array, Prefix Sum</t>
        </is>
      </c>
      <c r="G1393" s="1" t="inlineStr">
        <is>
          <t>Medium</t>
        </is>
      </c>
      <c r="H1393" s="1" t="n">
        <v>231324</v>
      </c>
      <c r="I1393" s="1" t="n">
        <v>413429</v>
      </c>
      <c r="J1393" s="9" t="n">
        <v>0.5600000000000001</v>
      </c>
      <c r="K1393" s="1" t="inlineStr">
        <is>
          <t>Yes</t>
        </is>
      </c>
      <c r="L1393" s="1" t="inlineStr">
        <is>
          <t>Yes</t>
        </is>
      </c>
      <c r="M1393" s="1" t="inlineStr">
        <is>
          <t>No</t>
        </is>
      </c>
      <c r="N1393" s="1" t="inlineStr">
        <is>
          <t>Algorithms</t>
        </is>
      </c>
      <c r="O13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94" ht="15.75" customHeight="1" s="12">
      <c r="A1394" s="1" t="n">
        <v>2416</v>
      </c>
      <c r="B1394" s="3">
        <f>HYPERLINK("https://leetcode.com/problems/sum-of-prefix-scores-of-strings/", "Sum of Prefix Scores of Strings")</f>
        <v/>
      </c>
      <c r="C1394" s="1" t="n">
        <v>1188</v>
      </c>
      <c r="D1394" s="1" t="n">
        <v>111</v>
      </c>
      <c r="E1394" s="4">
        <f>IF(INDEX(C:C, ROW())+INDEX(D:D, ROW())=0, 0, INDEX(C:C, ROW())/(INDEX(C:C, ROW())+INDEX(D:D, ROW())))</f>
        <v/>
      </c>
      <c r="F1394" s="1" t="inlineStr">
        <is>
          <t>Array, String, Trie, Counting</t>
        </is>
      </c>
      <c r="G1394" s="1" t="inlineStr">
        <is>
          <t>Hard</t>
        </is>
      </c>
      <c r="H1394" s="1" t="n">
        <v>119914</v>
      </c>
      <c r="I1394" s="1" t="n">
        <v>197271</v>
      </c>
      <c r="J1394" s="9" t="n">
        <v>0.608</v>
      </c>
      <c r="K1394" s="1" t="inlineStr">
        <is>
          <t>Yes</t>
        </is>
      </c>
      <c r="L1394" s="1" t="inlineStr">
        <is>
          <t>Yes</t>
        </is>
      </c>
      <c r="M1394" s="1" t="inlineStr">
        <is>
          <t>No</t>
        </is>
      </c>
      <c r="N1394" s="1" t="inlineStr">
        <is>
          <t>Algorithms</t>
        </is>
      </c>
      <c r="O13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95" ht="15.75" customHeight="1" s="12">
      <c r="A1395" s="1" t="n">
        <v>1786</v>
      </c>
      <c r="B1395" s="3">
        <f>HYPERLINK("https://leetcode.com/problems/number-of-restricted-paths-from-first-to-last-node/", "Number of Restricted Paths From First to Last Node")</f>
        <v/>
      </c>
      <c r="C1395" s="1" t="n">
        <v>1186</v>
      </c>
      <c r="D1395" s="1" t="n">
        <v>231</v>
      </c>
      <c r="E1395" s="4">
        <f>IF(INDEX(C:C, ROW())+INDEX(D:D, ROW())=0, 0, INDEX(C:C, ROW())/(INDEX(C:C, ROW())+INDEX(D:D, ROW())))</f>
        <v/>
      </c>
      <c r="F1395" s="1" t="inlineStr">
        <is>
          <t>Dynamic Programming, Graph Theory, Topological Sort, Heap (Priority Queue), Shortest Path</t>
        </is>
      </c>
      <c r="G1395" s="1" t="inlineStr">
        <is>
          <t>Medium</t>
        </is>
      </c>
      <c r="H1395" s="1" t="n">
        <v>33223</v>
      </c>
      <c r="I1395" s="1" t="n">
        <v>81411</v>
      </c>
      <c r="J1395" s="9" t="n">
        <v>0.408</v>
      </c>
      <c r="K1395" s="1" t="inlineStr">
        <is>
          <t>Yes</t>
        </is>
      </c>
      <c r="L1395" s="1" t="inlineStr">
        <is>
          <t>No</t>
        </is>
      </c>
      <c r="M1395" s="1" t="inlineStr">
        <is>
          <t>No</t>
        </is>
      </c>
      <c r="N1395" s="1" t="inlineStr">
        <is>
          <t>Algorithms</t>
        </is>
      </c>
      <c r="O13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96" ht="15.75" customHeight="1" s="12">
      <c r="A1396" s="1" t="n">
        <v>1340</v>
      </c>
      <c r="B1396" s="3">
        <f>HYPERLINK("https://leetcode.com/problems/jump-game-v/", "Jump Game V")</f>
        <v/>
      </c>
      <c r="C1396" s="1" t="n">
        <v>1183</v>
      </c>
      <c r="D1396" s="1" t="n">
        <v>46</v>
      </c>
      <c r="E1396" s="4">
        <f>IF(INDEX(C:C, ROW())+INDEX(D:D, ROW())=0, 0, INDEX(C:C, ROW())/(INDEX(C:C, ROW())+INDEX(D:D, ROW())))</f>
        <v/>
      </c>
      <c r="F1396" s="1" t="inlineStr">
        <is>
          <t>Array, Dynamic Programming, Sorting</t>
        </is>
      </c>
      <c r="G1396" s="1" t="inlineStr">
        <is>
          <t>Hard</t>
        </is>
      </c>
      <c r="H1396" s="1" t="n">
        <v>41149</v>
      </c>
      <c r="I1396" s="1" t="n">
        <v>63647</v>
      </c>
      <c r="J1396" s="9" t="n">
        <v>0.647</v>
      </c>
      <c r="K1396" s="1" t="inlineStr">
        <is>
          <t>Yes</t>
        </is>
      </c>
      <c r="L1396" s="1" t="inlineStr">
        <is>
          <t>No</t>
        </is>
      </c>
      <c r="M1396" s="1" t="inlineStr">
        <is>
          <t>No</t>
        </is>
      </c>
      <c r="N1396" s="1" t="inlineStr">
        <is>
          <t>Algorithms</t>
        </is>
      </c>
      <c r="O13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97" ht="15.75" customHeight="1" s="12">
      <c r="A1397" s="1" t="n">
        <v>1986</v>
      </c>
      <c r="B1397" s="3">
        <f>HYPERLINK("https://leetcode.com/problems/minimum-number-of-work-sessions-to-finish-the-tasks/", "Minimum Number of Work Sessions to Finish the Tasks")</f>
        <v/>
      </c>
      <c r="C1397" s="1" t="n">
        <v>1182</v>
      </c>
      <c r="D1397" s="1" t="n">
        <v>70</v>
      </c>
      <c r="E1397" s="4">
        <f>IF(INDEX(C:C, ROW())+INDEX(D:D, ROW())=0, 0, INDEX(C:C, ROW())/(INDEX(C:C, ROW())+INDEX(D:D, ROW())))</f>
        <v/>
      </c>
      <c r="F1397" s="1" t="inlineStr">
        <is>
          <t>Array, Dynamic Programming, Backtracking, Bit Manipulation, Bitmask DP</t>
        </is>
      </c>
      <c r="G1397" s="1" t="inlineStr">
        <is>
          <t>Medium</t>
        </is>
      </c>
      <c r="H1397" s="1" t="n">
        <v>33553</v>
      </c>
      <c r="I1397" s="1" t="n">
        <v>97454</v>
      </c>
      <c r="J1397" s="9" t="n">
        <v>0.344</v>
      </c>
      <c r="K1397" s="1" t="inlineStr">
        <is>
          <t>Yes</t>
        </is>
      </c>
      <c r="L1397" s="1" t="inlineStr">
        <is>
          <t>No</t>
        </is>
      </c>
      <c r="M1397" s="1" t="inlineStr">
        <is>
          <t>No</t>
        </is>
      </c>
      <c r="N1397" s="1" t="inlineStr">
        <is>
          <t>Algorithms</t>
        </is>
      </c>
      <c r="O13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98" ht="15.75" customHeight="1" s="12">
      <c r="A1398" s="1" t="n">
        <v>298</v>
      </c>
      <c r="B1398" s="3">
        <f>HYPERLINK("https://leetcode.com/problems/binary-tree-longest-consecutive-sequence/", "Binary Tree Longest Consecutive Sequence")</f>
        <v/>
      </c>
      <c r="C1398" s="1" t="n">
        <v>1181</v>
      </c>
      <c r="D1398" s="1" t="n">
        <v>238</v>
      </c>
      <c r="E1398" s="4">
        <f>IF(INDEX(C:C, ROW())+INDEX(D:D, ROW())=0, 0, INDEX(C:C, ROW())/(INDEX(C:C, ROW())+INDEX(D:D, ROW())))</f>
        <v/>
      </c>
      <c r="F1398" s="1" t="inlineStr">
        <is>
          <t>Tree, Depth-First Search, Binary Tree</t>
        </is>
      </c>
      <c r="G1398" s="1" t="inlineStr">
        <is>
          <t>Medium</t>
        </is>
      </c>
      <c r="H1398" s="1" t="n">
        <v>162925</v>
      </c>
      <c r="I1398" s="1" t="n">
        <v>298513</v>
      </c>
      <c r="J1398" s="9" t="n">
        <v>0.546</v>
      </c>
      <c r="K1398" s="1" t="inlineStr">
        <is>
          <t>No</t>
        </is>
      </c>
      <c r="L1398" s="1" t="inlineStr">
        <is>
          <t>Yes</t>
        </is>
      </c>
      <c r="M1398" s="1" t="inlineStr">
        <is>
          <t>No</t>
        </is>
      </c>
      <c r="N1398" s="1" t="inlineStr">
        <is>
          <t>Algorithms</t>
        </is>
      </c>
      <c r="O13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399" ht="15.75" customHeight="1" s="12">
      <c r="A1399" s="1" t="n">
        <v>163</v>
      </c>
      <c r="B1399" s="3">
        <f>HYPERLINK("https://leetcode.com/problems/missing-ranges/", "Missing Ranges")</f>
        <v/>
      </c>
      <c r="C1399" s="1" t="n">
        <v>1179</v>
      </c>
      <c r="D1399" s="1" t="n">
        <v>3020</v>
      </c>
      <c r="E1399" s="4">
        <f>IF(INDEX(C:C, ROW())+INDEX(D:D, ROW())=0, 0, INDEX(C:C, ROW())/(INDEX(C:C, ROW())+INDEX(D:D, ROW())))</f>
        <v/>
      </c>
      <c r="F1399" s="1" t="inlineStr">
        <is>
          <t>Array</t>
        </is>
      </c>
      <c r="G1399" s="1" t="inlineStr">
        <is>
          <t>Easy</t>
        </is>
      </c>
      <c r="H1399" s="1" t="n">
        <v>305805</v>
      </c>
      <c r="I1399" s="1" t="n">
        <v>860942</v>
      </c>
      <c r="J1399" s="9" t="n">
        <v>0.355</v>
      </c>
      <c r="K1399" s="1" t="inlineStr">
        <is>
          <t>No</t>
        </is>
      </c>
      <c r="L1399" s="1" t="inlineStr">
        <is>
          <t>Yes</t>
        </is>
      </c>
      <c r="M1399" s="1" t="inlineStr">
        <is>
          <t>No</t>
        </is>
      </c>
      <c r="N1399" s="1" t="inlineStr">
        <is>
          <t>Algorithms</t>
        </is>
      </c>
      <c r="O13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00" ht="15.75" customHeight="1" s="12">
      <c r="A1400" s="1" t="n">
        <v>2049</v>
      </c>
      <c r="B1400" s="3">
        <f>HYPERLINK("https://leetcode.com/problems/count-nodes-with-the-highest-score/", "Count Nodes With the Highest Score")</f>
        <v/>
      </c>
      <c r="C1400" s="1" t="n">
        <v>1179</v>
      </c>
      <c r="D1400" s="1" t="n">
        <v>100</v>
      </c>
      <c r="E1400" s="4">
        <f>IF(INDEX(C:C, ROW())+INDEX(D:D, ROW())=0, 0, INDEX(C:C, ROW())/(INDEX(C:C, ROW())+INDEX(D:D, ROW())))</f>
        <v/>
      </c>
      <c r="F1400" s="1" t="inlineStr">
        <is>
          <t>Array, Tree, Depth-First Search, Binary Tree</t>
        </is>
      </c>
      <c r="G1400" s="1" t="inlineStr">
        <is>
          <t>Medium</t>
        </is>
      </c>
      <c r="H1400" s="1" t="n">
        <v>40567</v>
      </c>
      <c r="I1400" s="1" t="n">
        <v>77363</v>
      </c>
      <c r="J1400" s="9" t="n">
        <v>0.524</v>
      </c>
      <c r="K1400" s="1" t="inlineStr">
        <is>
          <t>Yes</t>
        </is>
      </c>
      <c r="L1400" s="1" t="inlineStr">
        <is>
          <t>No</t>
        </is>
      </c>
      <c r="M1400" s="1" t="inlineStr">
        <is>
          <t>No</t>
        </is>
      </c>
      <c r="N1400" s="1" t="inlineStr">
        <is>
          <t>Algorithms</t>
        </is>
      </c>
      <c r="O14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01" ht="15.75" customHeight="1" s="12">
      <c r="A1401" s="1" t="n">
        <v>772</v>
      </c>
      <c r="B1401" s="3">
        <f>HYPERLINK("https://leetcode.com/problems/basic-calculator-iii/", "Basic Calculator III")</f>
        <v/>
      </c>
      <c r="C1401" s="1" t="n">
        <v>1178</v>
      </c>
      <c r="D1401" s="1" t="n">
        <v>295</v>
      </c>
      <c r="E1401" s="4">
        <f>IF(INDEX(C:C, ROW())+INDEX(D:D, ROW())=0, 0, INDEX(C:C, ROW())/(INDEX(C:C, ROW())+INDEX(D:D, ROW())))</f>
        <v/>
      </c>
      <c r="F1401" s="1" t="inlineStr">
        <is>
          <t>Math, String, Stack, Recursion</t>
        </is>
      </c>
      <c r="G1401" s="1" t="inlineStr">
        <is>
          <t>Hard</t>
        </is>
      </c>
      <c r="H1401" s="1" t="n">
        <v>153429</v>
      </c>
      <c r="I1401" s="1" t="n">
        <v>289231</v>
      </c>
      <c r="J1401" s="9" t="n">
        <v>0.53</v>
      </c>
      <c r="K1401" s="1" t="inlineStr">
        <is>
          <t>No</t>
        </is>
      </c>
      <c r="L1401" s="1" t="inlineStr">
        <is>
          <t>Yes</t>
        </is>
      </c>
      <c r="M1401" s="1" t="inlineStr">
        <is>
          <t>No</t>
        </is>
      </c>
      <c r="N1401" s="1" t="inlineStr">
        <is>
          <t>Algorithms</t>
        </is>
      </c>
      <c r="O14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02" ht="15.75" customHeight="1" s="12">
      <c r="A1402" s="1" t="n">
        <v>2040</v>
      </c>
      <c r="B1402" s="3">
        <f>HYPERLINK("https://leetcode.com/problems/kth-smallest-product-of-two-sorted-arrays/", "Kth Smallest Product of Two Sorted Arrays")</f>
        <v/>
      </c>
      <c r="C1402" s="1" t="n">
        <v>1178</v>
      </c>
      <c r="D1402" s="1" t="n">
        <v>75</v>
      </c>
      <c r="E1402" s="4">
        <f>IF(INDEX(C:C, ROW())+INDEX(D:D, ROW())=0, 0, INDEX(C:C, ROW())/(INDEX(C:C, ROW())+INDEX(D:D, ROW())))</f>
        <v/>
      </c>
      <c r="F1402" s="1" t="inlineStr">
        <is>
          <t>Array, Binary Search</t>
        </is>
      </c>
      <c r="G1402" s="1" t="inlineStr">
        <is>
          <t>Hard</t>
        </is>
      </c>
      <c r="H1402" s="1" t="n">
        <v>83010</v>
      </c>
      <c r="I1402" s="1" t="n">
        <v>169755</v>
      </c>
      <c r="J1402" s="9" t="n">
        <v>0.489</v>
      </c>
      <c r="K1402" s="1" t="inlineStr">
        <is>
          <t>Yes</t>
        </is>
      </c>
      <c r="L1402" s="1" t="inlineStr">
        <is>
          <t>Yes</t>
        </is>
      </c>
      <c r="M1402" s="1" t="inlineStr">
        <is>
          <t>No</t>
        </is>
      </c>
      <c r="N1402" s="1" t="inlineStr">
        <is>
          <t>Algorithms</t>
        </is>
      </c>
      <c r="O14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03" ht="15.75" customHeight="1" s="12">
      <c r="A1403" s="1" t="n">
        <v>2486</v>
      </c>
      <c r="B1403" s="3">
        <f>HYPERLINK("https://leetcode.com/problems/append-characters-to-string-to-make-subsequence/", "Append Characters to String to Make Subsequence")</f>
        <v/>
      </c>
      <c r="C1403" s="1" t="n">
        <v>1178</v>
      </c>
      <c r="D1403" s="1" t="n">
        <v>90</v>
      </c>
      <c r="E1403" s="4">
        <f>IF(INDEX(C:C, ROW())+INDEX(D:D, ROW())=0, 0, INDEX(C:C, ROW())/(INDEX(C:C, ROW())+INDEX(D:D, ROW())))</f>
        <v/>
      </c>
      <c r="F1403" s="1" t="inlineStr">
        <is>
          <t>Two Pointers, String, Greedy</t>
        </is>
      </c>
      <c r="G1403" s="1" t="inlineStr">
        <is>
          <t>Medium</t>
        </is>
      </c>
      <c r="H1403" s="1" t="n">
        <v>217523</v>
      </c>
      <c r="I1403" s="1" t="n">
        <v>298168</v>
      </c>
      <c r="J1403" s="9" t="n">
        <v>0.73</v>
      </c>
      <c r="K1403" s="1" t="inlineStr">
        <is>
          <t>Yes</t>
        </is>
      </c>
      <c r="L1403" s="1" t="inlineStr">
        <is>
          <t>Yes</t>
        </is>
      </c>
      <c r="M1403" s="1" t="inlineStr">
        <is>
          <t>No</t>
        </is>
      </c>
      <c r="N1403" s="1" t="inlineStr">
        <is>
          <t>Algorithms</t>
        </is>
      </c>
      <c r="O14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04" ht="15.75" customHeight="1" s="12">
      <c r="A1404" s="1" t="n">
        <v>2698</v>
      </c>
      <c r="B1404" s="3">
        <f>HYPERLINK("https://leetcode.com/problems/find-the-punishment-number-of-an-integer/", "Find the Punishment Number of an Integer")</f>
        <v/>
      </c>
      <c r="C1404" s="1" t="n">
        <v>1178</v>
      </c>
      <c r="D1404" s="1" t="n">
        <v>247</v>
      </c>
      <c r="E1404" s="4">
        <f>IF(INDEX(C:C, ROW())+INDEX(D:D, ROW())=0, 0, INDEX(C:C, ROW())/(INDEX(C:C, ROW())+INDEX(D:D, ROW())))</f>
        <v/>
      </c>
      <c r="F1404" s="1" t="inlineStr">
        <is>
          <t>Math, Backtracking</t>
        </is>
      </c>
      <c r="G1404" s="1" t="inlineStr">
        <is>
          <t>Medium</t>
        </is>
      </c>
      <c r="H1404" s="1" t="n">
        <v>150168</v>
      </c>
      <c r="I1404" s="1" t="n">
        <v>183670</v>
      </c>
      <c r="J1404" s="9" t="n">
        <v>0.8179999999999999</v>
      </c>
      <c r="K1404" s="1" t="inlineStr">
        <is>
          <t>Yes</t>
        </is>
      </c>
      <c r="L1404" s="1" t="inlineStr">
        <is>
          <t>Yes</t>
        </is>
      </c>
      <c r="M1404" s="1" t="inlineStr">
        <is>
          <t>No</t>
        </is>
      </c>
      <c r="N1404" s="1" t="inlineStr">
        <is>
          <t>Algorithms</t>
        </is>
      </c>
      <c r="O14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05" ht="15.75" customHeight="1" s="12">
      <c r="A1405" s="1" t="n">
        <v>842</v>
      </c>
      <c r="B1405" s="3">
        <f>HYPERLINK("https://leetcode.com/problems/split-array-into-fibonacci-sequence/", "Split Array into Fibonacci Sequence")</f>
        <v/>
      </c>
      <c r="C1405" s="1" t="n">
        <v>1177</v>
      </c>
      <c r="D1405" s="1" t="n">
        <v>309</v>
      </c>
      <c r="E1405" s="4">
        <f>IF(INDEX(C:C, ROW())+INDEX(D:D, ROW())=0, 0, INDEX(C:C, ROW())/(INDEX(C:C, ROW())+INDEX(D:D, ROW())))</f>
        <v/>
      </c>
      <c r="F1405" s="1" t="inlineStr">
        <is>
          <t>String, Backtracking</t>
        </is>
      </c>
      <c r="G1405" s="1" t="inlineStr">
        <is>
          <t>Medium</t>
        </is>
      </c>
      <c r="H1405" s="1" t="n">
        <v>46106</v>
      </c>
      <c r="I1405" s="1" t="n">
        <v>114908</v>
      </c>
      <c r="J1405" s="9" t="n">
        <v>0.401</v>
      </c>
      <c r="K1405" s="1" t="inlineStr">
        <is>
          <t>Yes</t>
        </is>
      </c>
      <c r="L1405" s="1" t="inlineStr">
        <is>
          <t>Yes</t>
        </is>
      </c>
      <c r="M1405" s="1" t="inlineStr">
        <is>
          <t>No</t>
        </is>
      </c>
      <c r="N1405" s="1" t="inlineStr">
        <is>
          <t>Algorithms</t>
        </is>
      </c>
      <c r="O14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06" ht="15.75" customHeight="1" s="12">
      <c r="A1406" s="1" t="n">
        <v>254</v>
      </c>
      <c r="B1406" s="3">
        <f>HYPERLINK("https://leetcode.com/problems/factor-combinations/", "Factor Combinations")</f>
        <v/>
      </c>
      <c r="C1406" s="1" t="n">
        <v>1176</v>
      </c>
      <c r="D1406" s="1" t="n">
        <v>76</v>
      </c>
      <c r="E1406" s="4">
        <f>IF(INDEX(C:C, ROW())+INDEX(D:D, ROW())=0, 0, INDEX(C:C, ROW())/(INDEX(C:C, ROW())+INDEX(D:D, ROW())))</f>
        <v/>
      </c>
      <c r="F1406" s="1" t="inlineStr">
        <is>
          <t>Backtracking</t>
        </is>
      </c>
      <c r="G1406" s="1" t="inlineStr">
        <is>
          <t>Medium</t>
        </is>
      </c>
      <c r="H1406" s="1" t="n">
        <v>140069</v>
      </c>
      <c r="I1406" s="1" t="n">
        <v>277544</v>
      </c>
      <c r="J1406" s="9" t="n">
        <v>0.505</v>
      </c>
      <c r="K1406" s="1" t="inlineStr">
        <is>
          <t>No</t>
        </is>
      </c>
      <c r="L1406" s="1" t="inlineStr">
        <is>
          <t>Yes</t>
        </is>
      </c>
      <c r="M1406" s="1" t="inlineStr">
        <is>
          <t>No</t>
        </is>
      </c>
      <c r="N1406" s="1" t="inlineStr">
        <is>
          <t>Algorithms</t>
        </is>
      </c>
      <c r="O14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07" ht="15.75" customHeight="1" s="12">
      <c r="A1407" s="1" t="n">
        <v>1441</v>
      </c>
      <c r="B1407" s="3">
        <f>HYPERLINK("https://leetcode.com/problems/build-an-array-with-stack-operations/", "Build an Array With Stack Operations")</f>
        <v/>
      </c>
      <c r="C1407" s="1" t="n">
        <v>1176</v>
      </c>
      <c r="D1407" s="1" t="n">
        <v>524</v>
      </c>
      <c r="E1407" s="4">
        <f>IF(INDEX(C:C, ROW())+INDEX(D:D, ROW())=0, 0, INDEX(C:C, ROW())/(INDEX(C:C, ROW())+INDEX(D:D, ROW())))</f>
        <v/>
      </c>
      <c r="F1407" s="1" t="inlineStr">
        <is>
          <t>Array, Stack, Simulation</t>
        </is>
      </c>
      <c r="G1407" s="1" t="inlineStr">
        <is>
          <t>Medium</t>
        </is>
      </c>
      <c r="H1407" s="1" t="n">
        <v>227352</v>
      </c>
      <c r="I1407" s="1" t="n">
        <v>280951</v>
      </c>
      <c r="J1407" s="9" t="n">
        <v>0.8090000000000001</v>
      </c>
      <c r="K1407" s="1" t="inlineStr">
        <is>
          <t>Yes</t>
        </is>
      </c>
      <c r="L1407" s="1" t="inlineStr">
        <is>
          <t>Yes</t>
        </is>
      </c>
      <c r="M1407" s="1" t="inlineStr">
        <is>
          <t>No</t>
        </is>
      </c>
      <c r="N1407" s="1" t="inlineStr">
        <is>
          <t>Algorithms</t>
        </is>
      </c>
      <c r="O14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08" ht="15.75" customHeight="1" s="12">
      <c r="A1408" s="1" t="n">
        <v>1957</v>
      </c>
      <c r="B1408" s="3">
        <f>HYPERLINK("https://leetcode.com/problems/delete-characters-to-make-fancy-string/", "Delete Characters to Make Fancy String")</f>
        <v/>
      </c>
      <c r="C1408" s="1" t="n">
        <v>1174</v>
      </c>
      <c r="D1408" s="1" t="n">
        <v>54</v>
      </c>
      <c r="E1408" s="4">
        <f>IF(INDEX(C:C, ROW())+INDEX(D:D, ROW())=0, 0, INDEX(C:C, ROW())/(INDEX(C:C, ROW())+INDEX(D:D, ROW())))</f>
        <v/>
      </c>
      <c r="F1408" s="1" t="inlineStr">
        <is>
          <t>String</t>
        </is>
      </c>
      <c r="G1408" s="1" t="inlineStr">
        <is>
          <t>Easy</t>
        </is>
      </c>
      <c r="H1408" s="1" t="n">
        <v>338956</v>
      </c>
      <c r="I1408" s="1" t="n">
        <v>457327</v>
      </c>
      <c r="J1408" s="9" t="n">
        <v>0.741</v>
      </c>
      <c r="K1408" s="1" t="inlineStr">
        <is>
          <t>Yes</t>
        </is>
      </c>
      <c r="L1408" s="1" t="inlineStr">
        <is>
          <t>Yes</t>
        </is>
      </c>
      <c r="M1408" s="1" t="inlineStr">
        <is>
          <t>No</t>
        </is>
      </c>
      <c r="N1408" s="1" t="inlineStr">
        <is>
          <t>Algorithms</t>
        </is>
      </c>
      <c r="O14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09" ht="15.75" customHeight="1" s="12">
      <c r="A1409" s="1" t="n">
        <v>1135</v>
      </c>
      <c r="B1409" s="3">
        <f>HYPERLINK("https://leetcode.com/problems/connecting-cities-with-minimum-cost/", "Connecting Cities With Minimum Cost")</f>
        <v/>
      </c>
      <c r="C1409" s="1" t="n">
        <v>1173</v>
      </c>
      <c r="D1409" s="1" t="n">
        <v>60</v>
      </c>
      <c r="E1409" s="4">
        <f>IF(INDEX(C:C, ROW())+INDEX(D:D, ROW())=0, 0, INDEX(C:C, ROW())/(INDEX(C:C, ROW())+INDEX(D:D, ROW())))</f>
        <v/>
      </c>
      <c r="F1409" s="1" t="inlineStr">
        <is>
          <t>Union-Find, Graph Theory, Heap (Priority Queue), Minimum Spanning Tree</t>
        </is>
      </c>
      <c r="G1409" s="1" t="inlineStr">
        <is>
          <t>Medium</t>
        </is>
      </c>
      <c r="H1409" s="1" t="n">
        <v>90009</v>
      </c>
      <c r="I1409" s="1" t="n">
        <v>142085</v>
      </c>
      <c r="J1409" s="9" t="n">
        <v>0.633</v>
      </c>
      <c r="K1409" s="1" t="inlineStr">
        <is>
          <t>No</t>
        </is>
      </c>
      <c r="L1409" s="1" t="inlineStr">
        <is>
          <t>Yes</t>
        </is>
      </c>
      <c r="M1409" s="1" t="inlineStr">
        <is>
          <t>No</t>
        </is>
      </c>
      <c r="N1409" s="1" t="inlineStr">
        <is>
          <t>Algorithms</t>
        </is>
      </c>
      <c r="O14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10" ht="15.75" customHeight="1" s="12">
      <c r="A1410" s="1" t="n">
        <v>2294</v>
      </c>
      <c r="B1410" s="3">
        <f>HYPERLINK("https://leetcode.com/problems/partition-array-such-that-maximum-difference-is-k/", "Partition Array Such That Maximum Difference Is K")</f>
        <v/>
      </c>
      <c r="C1410" s="1" t="n">
        <v>1173</v>
      </c>
      <c r="D1410" s="1" t="n">
        <v>46</v>
      </c>
      <c r="E1410" s="4">
        <f>IF(INDEX(C:C, ROW())+INDEX(D:D, ROW())=0, 0, INDEX(C:C, ROW())/(INDEX(C:C, ROW())+INDEX(D:D, ROW())))</f>
        <v/>
      </c>
      <c r="F1410" s="1" t="inlineStr">
        <is>
          <t>Array, Greedy, Sorting</t>
        </is>
      </c>
      <c r="G1410" s="1" t="inlineStr">
        <is>
          <t>Medium</t>
        </is>
      </c>
      <c r="H1410" s="1" t="n">
        <v>167693</v>
      </c>
      <c r="I1410" s="1" t="n">
        <v>204874</v>
      </c>
      <c r="J1410" s="9" t="n">
        <v>0.819</v>
      </c>
      <c r="K1410" s="1" t="inlineStr">
        <is>
          <t>Yes</t>
        </is>
      </c>
      <c r="L1410" s="1" t="inlineStr">
        <is>
          <t>Yes</t>
        </is>
      </c>
      <c r="M1410" s="1" t="inlineStr">
        <is>
          <t>No</t>
        </is>
      </c>
      <c r="N1410" s="1" t="inlineStr">
        <is>
          <t>Algorithms</t>
        </is>
      </c>
      <c r="O14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11" ht="15.75" customHeight="1" s="12">
      <c r="A1411" s="1" t="n">
        <v>586</v>
      </c>
      <c r="B1411" s="3">
        <f>HYPERLINK("https://leetcode.com/problems/customer-placing-the-largest-number-of-orders/", "Customer Placing the Largest Number of Orders")</f>
        <v/>
      </c>
      <c r="C1411" s="1" t="n">
        <v>1172</v>
      </c>
      <c r="D1411" s="1" t="n">
        <v>98</v>
      </c>
      <c r="E1411" s="4">
        <f>IF(INDEX(C:C, ROW())+INDEX(D:D, ROW())=0, 0, INDEX(C:C, ROW())/(INDEX(C:C, ROW())+INDEX(D:D, ROW())))</f>
        <v/>
      </c>
      <c r="F1411" s="1" t="inlineStr">
        <is>
          <t>Database</t>
        </is>
      </c>
      <c r="G1411" s="1" t="inlineStr">
        <is>
          <t>Easy</t>
        </is>
      </c>
      <c r="H1411" s="1" t="n">
        <v>451451</v>
      </c>
      <c r="I1411" s="1" t="n">
        <v>703230</v>
      </c>
      <c r="J1411" s="9" t="n">
        <v>0.642</v>
      </c>
      <c r="K1411" s="1" t="inlineStr">
        <is>
          <t>Yes</t>
        </is>
      </c>
      <c r="L1411" s="1" t="inlineStr">
        <is>
          <t>Yes</t>
        </is>
      </c>
      <c r="M1411" s="1" t="inlineStr">
        <is>
          <t>No</t>
        </is>
      </c>
      <c r="N1411" s="1" t="inlineStr">
        <is>
          <t>Database</t>
        </is>
      </c>
      <c r="O14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12" ht="15.75" customHeight="1" s="12">
      <c r="A1412" s="1" t="n">
        <v>854</v>
      </c>
      <c r="B1412" s="3">
        <f>HYPERLINK("https://leetcode.com/problems/k-similar-strings/", "K-Similar Strings")</f>
        <v/>
      </c>
      <c r="C1412" s="1" t="n">
        <v>1172</v>
      </c>
      <c r="D1412" s="1" t="n">
        <v>63</v>
      </c>
      <c r="E1412" s="4">
        <f>IF(INDEX(C:C, ROW())+INDEX(D:D, ROW())=0, 0, INDEX(C:C, ROW())/(INDEX(C:C, ROW())+INDEX(D:D, ROW())))</f>
        <v/>
      </c>
      <c r="F1412" s="1" t="inlineStr">
        <is>
          <t>Hash Table, String, Breadth-First Search</t>
        </is>
      </c>
      <c r="G1412" s="1" t="inlineStr">
        <is>
          <t>Hard</t>
        </is>
      </c>
      <c r="H1412" s="1" t="n">
        <v>53112</v>
      </c>
      <c r="I1412" s="1" t="n">
        <v>131160</v>
      </c>
      <c r="J1412" s="9" t="n">
        <v>0.405</v>
      </c>
      <c r="K1412" s="1" t="inlineStr">
        <is>
          <t>Yes</t>
        </is>
      </c>
      <c r="L1412" s="1" t="inlineStr">
        <is>
          <t>Yes</t>
        </is>
      </c>
      <c r="M1412" s="1" t="inlineStr">
        <is>
          <t>No</t>
        </is>
      </c>
      <c r="N1412" s="1" t="inlineStr">
        <is>
          <t>Algorithms</t>
        </is>
      </c>
      <c r="O14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13" ht="15.75" customHeight="1" s="12">
      <c r="A1413" s="1" t="n">
        <v>2351</v>
      </c>
      <c r="B1413" s="3">
        <f>HYPERLINK("https://leetcode.com/problems/first-letter-to-appear-twice/", "First Letter to Appear Twice")</f>
        <v/>
      </c>
      <c r="C1413" s="1" t="n">
        <v>1171</v>
      </c>
      <c r="D1413" s="1" t="n">
        <v>65</v>
      </c>
      <c r="E1413" s="4">
        <f>IF(INDEX(C:C, ROW())+INDEX(D:D, ROW())=0, 0, INDEX(C:C, ROW())/(INDEX(C:C, ROW())+INDEX(D:D, ROW())))</f>
        <v/>
      </c>
      <c r="F1413" s="1" t="inlineStr">
        <is>
          <t>Hash Table, String, Bit Manipulation, Counting</t>
        </is>
      </c>
      <c r="G1413" s="1" t="inlineStr">
        <is>
          <t>Easy</t>
        </is>
      </c>
      <c r="H1413" s="1" t="n">
        <v>186988</v>
      </c>
      <c r="I1413" s="1" t="n">
        <v>250083</v>
      </c>
      <c r="J1413" s="9" t="n">
        <v>0.748</v>
      </c>
      <c r="K1413" s="1" t="inlineStr">
        <is>
          <t>Yes</t>
        </is>
      </c>
      <c r="L1413" s="1" t="inlineStr">
        <is>
          <t>No</t>
        </is>
      </c>
      <c r="M1413" s="1" t="inlineStr">
        <is>
          <t>No</t>
        </is>
      </c>
      <c r="N1413" s="1" t="inlineStr">
        <is>
          <t>Algorithms</t>
        </is>
      </c>
      <c r="O14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14" ht="15.75" customHeight="1" s="12">
      <c r="A1414" s="1" t="n">
        <v>470</v>
      </c>
      <c r="B1414" s="3">
        <f>HYPERLINK("https://leetcode.com/problems/implement-rand10-using-rand7/", "Implement Rand10() Using Rand7()")</f>
        <v/>
      </c>
      <c r="C1414" s="1" t="n">
        <v>1170</v>
      </c>
      <c r="D1414" s="1" t="n">
        <v>388</v>
      </c>
      <c r="E1414" s="4">
        <f>IF(INDEX(C:C, ROW())+INDEX(D:D, ROW())=0, 0, INDEX(C:C, ROW())/(INDEX(C:C, ROW())+INDEX(D:D, ROW())))</f>
        <v/>
      </c>
      <c r="F1414" s="1" t="inlineStr">
        <is>
          <t>Math, Rejection Sampling, Randomized, Probability and Statistics</t>
        </is>
      </c>
      <c r="G1414" s="1" t="inlineStr">
        <is>
          <t>Medium</t>
        </is>
      </c>
      <c r="H1414" s="1" t="n">
        <v>106108</v>
      </c>
      <c r="I1414" s="1" t="n">
        <v>229796</v>
      </c>
      <c r="J1414" s="9" t="n">
        <v>0.462</v>
      </c>
      <c r="K1414" s="1" t="inlineStr">
        <is>
          <t>Yes</t>
        </is>
      </c>
      <c r="L1414" s="1" t="inlineStr">
        <is>
          <t>Yes</t>
        </is>
      </c>
      <c r="M1414" s="1" t="inlineStr">
        <is>
          <t>No</t>
        </is>
      </c>
      <c r="N1414" s="1" t="inlineStr">
        <is>
          <t>Algorithms</t>
        </is>
      </c>
      <c r="O14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15" ht="15.75" customHeight="1" s="12">
      <c r="A1415" s="1" t="n">
        <v>2958</v>
      </c>
      <c r="B1415" s="3">
        <f>HYPERLINK("https://leetcode.com/problems/length-of-longest-subarray-with-at-most-k-frequency/", "Length of Longest Subarray With at Most K Frequency")</f>
        <v/>
      </c>
      <c r="C1415" s="1" t="n">
        <v>1169</v>
      </c>
      <c r="D1415" s="1" t="n">
        <v>36</v>
      </c>
      <c r="E1415" s="4">
        <f>IF(INDEX(C:C, ROW())+INDEX(D:D, ROW())=0, 0, INDEX(C:C, ROW())/(INDEX(C:C, ROW())+INDEX(D:D, ROW())))</f>
        <v/>
      </c>
      <c r="F1415" s="1" t="inlineStr">
        <is>
          <t>Array, Hash Table, Sliding Window</t>
        </is>
      </c>
      <c r="G1415" s="1" t="inlineStr">
        <is>
          <t>Medium</t>
        </is>
      </c>
      <c r="H1415" s="1" t="n">
        <v>185891</v>
      </c>
      <c r="I1415" s="1" t="n">
        <v>330162</v>
      </c>
      <c r="J1415" s="9" t="n">
        <v>0.5629999999999999</v>
      </c>
      <c r="K1415" s="1" t="inlineStr">
        <is>
          <t>Yes</t>
        </is>
      </c>
      <c r="L1415" s="1" t="inlineStr">
        <is>
          <t>Yes</t>
        </is>
      </c>
      <c r="M1415" s="1" t="inlineStr">
        <is>
          <t>No</t>
        </is>
      </c>
      <c r="N1415" s="1" t="inlineStr">
        <is>
          <t>Algorithms</t>
        </is>
      </c>
      <c r="O14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16" ht="15.75" customHeight="1" s="12">
      <c r="A1416" s="1" t="n">
        <v>1099</v>
      </c>
      <c r="B1416" s="3">
        <f>HYPERLINK("https://leetcode.com/problems/two-sum-less-than-k/", "Two Sum Less Than K")</f>
        <v/>
      </c>
      <c r="C1416" s="1" t="n">
        <v>1168</v>
      </c>
      <c r="D1416" s="1" t="n">
        <v>135</v>
      </c>
      <c r="E1416" s="4">
        <f>IF(INDEX(C:C, ROW())+INDEX(D:D, ROW())=0, 0, INDEX(C:C, ROW())/(INDEX(C:C, ROW())+INDEX(D:D, ROW())))</f>
        <v/>
      </c>
      <c r="F1416" s="1" t="inlineStr">
        <is>
          <t>Array, Two Pointers, Binary Search, Sorting</t>
        </is>
      </c>
      <c r="G1416" s="1" t="inlineStr">
        <is>
          <t>Easy</t>
        </is>
      </c>
      <c r="H1416" s="1" t="n">
        <v>147625</v>
      </c>
      <c r="I1416" s="1" t="n">
        <v>237608</v>
      </c>
      <c r="J1416" s="9" t="n">
        <v>0.621</v>
      </c>
      <c r="K1416" s="1" t="inlineStr">
        <is>
          <t>No</t>
        </is>
      </c>
      <c r="L1416" s="1" t="inlineStr">
        <is>
          <t>Yes</t>
        </is>
      </c>
      <c r="M1416" s="1" t="inlineStr">
        <is>
          <t>Yes</t>
        </is>
      </c>
      <c r="N1416" s="1" t="inlineStr">
        <is>
          <t>Algorithms</t>
        </is>
      </c>
      <c r="O14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17" ht="15.75" customHeight="1" s="12">
      <c r="A1417" s="1" t="n">
        <v>1873</v>
      </c>
      <c r="B1417" s="3">
        <f>HYPERLINK("https://leetcode.com/problems/calculate-special-bonus/", "Calculate Special Bonus")</f>
        <v/>
      </c>
      <c r="C1417" s="1" t="n">
        <v>1168</v>
      </c>
      <c r="D1417" s="1" t="n">
        <v>81</v>
      </c>
      <c r="E1417" s="4">
        <f>IF(INDEX(C:C, ROW())+INDEX(D:D, ROW())=0, 0, INDEX(C:C, ROW())/(INDEX(C:C, ROW())+INDEX(D:D, ROW())))</f>
        <v/>
      </c>
      <c r="F1417" s="1" t="inlineStr">
        <is>
          <t>Database</t>
        </is>
      </c>
      <c r="G1417" s="1" t="inlineStr">
        <is>
          <t>Easy</t>
        </is>
      </c>
      <c r="H1417" s="1" t="n">
        <v>328213</v>
      </c>
      <c r="I1417" s="1" t="n">
        <v>575624</v>
      </c>
      <c r="J1417" s="9" t="n">
        <v>0.57</v>
      </c>
      <c r="K1417" s="1" t="inlineStr">
        <is>
          <t>Yes</t>
        </is>
      </c>
      <c r="L1417" s="1" t="inlineStr">
        <is>
          <t>Yes</t>
        </is>
      </c>
      <c r="M1417" s="1" t="inlineStr">
        <is>
          <t>No</t>
        </is>
      </c>
      <c r="N1417" s="1" t="inlineStr">
        <is>
          <t>Database</t>
        </is>
      </c>
      <c r="O14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18" ht="15.75" customHeight="1" s="12">
      <c r="A1418" s="1" t="n">
        <v>364</v>
      </c>
      <c r="B1418" s="3">
        <f>HYPERLINK("https://leetcode.com/problems/nested-list-weight-sum-ii/", "Nested List Weight Sum II")</f>
        <v/>
      </c>
      <c r="C1418" s="1" t="n">
        <v>1166</v>
      </c>
      <c r="D1418" s="1" t="n">
        <v>479</v>
      </c>
      <c r="E1418" s="4">
        <f>IF(INDEX(C:C, ROW())+INDEX(D:D, ROW())=0, 0, INDEX(C:C, ROW())/(INDEX(C:C, ROW())+INDEX(D:D, ROW())))</f>
        <v/>
      </c>
      <c r="F1418" s="1" t="inlineStr">
        <is>
          <t>Stack, Depth-First Search, Breadth-First Search</t>
        </is>
      </c>
      <c r="G1418" s="1" t="inlineStr">
        <is>
          <t>Medium</t>
        </is>
      </c>
      <c r="H1418" s="1" t="n">
        <v>164031</v>
      </c>
      <c r="I1418" s="1" t="n">
        <v>246272</v>
      </c>
      <c r="J1418" s="9" t="n">
        <v>0.666</v>
      </c>
      <c r="K1418" s="1" t="inlineStr">
        <is>
          <t>No</t>
        </is>
      </c>
      <c r="L1418" s="1" t="inlineStr">
        <is>
          <t>Yes</t>
        </is>
      </c>
      <c r="M1418" s="1" t="inlineStr">
        <is>
          <t>No</t>
        </is>
      </c>
      <c r="N1418" s="1" t="inlineStr">
        <is>
          <t>Algorithms</t>
        </is>
      </c>
      <c r="O14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19" ht="15.75" customHeight="1" s="12">
      <c r="A1419" s="1" t="n">
        <v>1478</v>
      </c>
      <c r="B1419" s="3">
        <f>HYPERLINK("https://leetcode.com/problems/allocate-mailboxes/", "Allocate Mailboxes")</f>
        <v/>
      </c>
      <c r="C1419" s="1" t="n">
        <v>1166</v>
      </c>
      <c r="D1419" s="1" t="n">
        <v>23</v>
      </c>
      <c r="E1419" s="4">
        <f>IF(INDEX(C:C, ROW())+INDEX(D:D, ROW())=0, 0, INDEX(C:C, ROW())/(INDEX(C:C, ROW())+INDEX(D:D, ROW())))</f>
        <v/>
      </c>
      <c r="F1419" s="1" t="inlineStr">
        <is>
          <t>Array, Math, Dynamic Programming, Sorting</t>
        </is>
      </c>
      <c r="G1419" s="1" t="inlineStr">
        <is>
          <t>Hard</t>
        </is>
      </c>
      <c r="H1419" s="1" t="n">
        <v>32923</v>
      </c>
      <c r="I1419" s="1" t="n">
        <v>58490</v>
      </c>
      <c r="J1419" s="9" t="n">
        <v>0.5629999999999999</v>
      </c>
      <c r="K1419" s="1" t="inlineStr">
        <is>
          <t>Yes</t>
        </is>
      </c>
      <c r="L1419" s="1" t="inlineStr">
        <is>
          <t>No</t>
        </is>
      </c>
      <c r="M1419" s="1" t="inlineStr">
        <is>
          <t>No</t>
        </is>
      </c>
      <c r="N1419" s="1" t="inlineStr">
        <is>
          <t>Algorithms</t>
        </is>
      </c>
      <c r="O14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20" ht="15.75" customHeight="1" s="12">
      <c r="A1420" s="1" t="n">
        <v>2559</v>
      </c>
      <c r="B1420" s="3">
        <f>HYPERLINK("https://leetcode.com/problems/count-vowel-strings-in-ranges/", "Count Vowel Strings in Ranges")</f>
        <v/>
      </c>
      <c r="C1420" s="1" t="n">
        <v>1166</v>
      </c>
      <c r="D1420" s="1" t="n">
        <v>70</v>
      </c>
      <c r="E1420" s="4">
        <f>IF(INDEX(C:C, ROW())+INDEX(D:D, ROW())=0, 0, INDEX(C:C, ROW())/(INDEX(C:C, ROW())+INDEX(D:D, ROW())))</f>
        <v/>
      </c>
      <c r="F1420" s="1" t="inlineStr">
        <is>
          <t>Array, String, Prefix Sum</t>
        </is>
      </c>
      <c r="G1420" s="1" t="inlineStr">
        <is>
          <t>Medium</t>
        </is>
      </c>
      <c r="H1420" s="1" t="n">
        <v>199265</v>
      </c>
      <c r="I1420" s="1" t="n">
        <v>293800</v>
      </c>
      <c r="J1420" s="9" t="n">
        <v>0.678</v>
      </c>
      <c r="K1420" s="1" t="inlineStr">
        <is>
          <t>Yes</t>
        </is>
      </c>
      <c r="L1420" s="1" t="inlineStr">
        <is>
          <t>Yes</t>
        </is>
      </c>
      <c r="M1420" s="1" t="inlineStr">
        <is>
          <t>No</t>
        </is>
      </c>
      <c r="N1420" s="1" t="inlineStr">
        <is>
          <t>Algorithms</t>
        </is>
      </c>
      <c r="O14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21" ht="15.75" customHeight="1" s="12">
      <c r="A1421" s="1" t="n">
        <v>2966</v>
      </c>
      <c r="B1421" s="3">
        <f>HYPERLINK("https://leetcode.com/problems/divide-array-into-arrays-with-max-difference/", "Divide Array Into Arrays With Max Difference")</f>
        <v/>
      </c>
      <c r="C1421" s="1" t="n">
        <v>1165</v>
      </c>
      <c r="D1421" s="1" t="n">
        <v>222</v>
      </c>
      <c r="E1421" s="4">
        <f>IF(INDEX(C:C, ROW())+INDEX(D:D, ROW())=0, 0, INDEX(C:C, ROW())/(INDEX(C:C, ROW())+INDEX(D:D, ROW())))</f>
        <v/>
      </c>
      <c r="F1421" s="1" t="inlineStr">
        <is>
          <t>Array, Greedy, Sorting</t>
        </is>
      </c>
      <c r="G1421" s="1" t="inlineStr">
        <is>
          <t>Medium</t>
        </is>
      </c>
      <c r="H1421" s="1" t="n">
        <v>279999</v>
      </c>
      <c r="I1421" s="1" t="n">
        <v>354753</v>
      </c>
      <c r="J1421" s="9" t="n">
        <v>0.789</v>
      </c>
      <c r="K1421" s="1" t="inlineStr">
        <is>
          <t>Yes</t>
        </is>
      </c>
      <c r="L1421" s="1" t="inlineStr">
        <is>
          <t>Yes</t>
        </is>
      </c>
      <c r="M1421" s="1" t="inlineStr">
        <is>
          <t>No</t>
        </is>
      </c>
      <c r="N1421" s="1" t="inlineStr">
        <is>
          <t>Algorithms</t>
        </is>
      </c>
      <c r="O14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22" ht="15.75" customHeight="1" s="12">
      <c r="A1422" s="1" t="n">
        <v>1897</v>
      </c>
      <c r="B1422" s="3">
        <f>HYPERLINK("https://leetcode.com/problems/redistribute-characters-to-make-all-strings-equal/", "Redistribute Characters to Make All Strings Equal")</f>
        <v/>
      </c>
      <c r="C1422" s="1" t="n">
        <v>1160</v>
      </c>
      <c r="D1422" s="1" t="n">
        <v>83</v>
      </c>
      <c r="E1422" s="4">
        <f>IF(INDEX(C:C, ROW())+INDEX(D:D, ROW())=0, 0, INDEX(C:C, ROW())/(INDEX(C:C, ROW())+INDEX(D:D, ROW())))</f>
        <v/>
      </c>
      <c r="F1422" s="1" t="inlineStr">
        <is>
          <t>Hash Table, String, Counting</t>
        </is>
      </c>
      <c r="G1422" s="1" t="inlineStr">
        <is>
          <t>Easy</t>
        </is>
      </c>
      <c r="H1422" s="1" t="n">
        <v>156676</v>
      </c>
      <c r="I1422" s="1" t="n">
        <v>234525</v>
      </c>
      <c r="J1422" s="9" t="n">
        <v>0.668</v>
      </c>
      <c r="K1422" s="1" t="inlineStr">
        <is>
          <t>Yes</t>
        </is>
      </c>
      <c r="L1422" s="1" t="inlineStr">
        <is>
          <t>Yes</t>
        </is>
      </c>
      <c r="M1422" s="1" t="inlineStr">
        <is>
          <t>No</t>
        </is>
      </c>
      <c r="N1422" s="1" t="inlineStr">
        <is>
          <t>Algorithms</t>
        </is>
      </c>
      <c r="O14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23" ht="15.75" customHeight="1" s="12">
      <c r="A1423" s="1" t="n">
        <v>1718</v>
      </c>
      <c r="B1423" s="3">
        <f>HYPERLINK("https://leetcode.com/problems/construct-the-lexicographically-largest-valid-sequence/", "Construct the Lexicographically Largest Valid Sequence")</f>
        <v/>
      </c>
      <c r="C1423" s="1" t="n">
        <v>1153</v>
      </c>
      <c r="D1423" s="1" t="n">
        <v>182</v>
      </c>
      <c r="E1423" s="4">
        <f>IF(INDEX(C:C, ROW())+INDEX(D:D, ROW())=0, 0, INDEX(C:C, ROW())/(INDEX(C:C, ROW())+INDEX(D:D, ROW())))</f>
        <v/>
      </c>
      <c r="F1423" s="1" t="inlineStr">
        <is>
          <t>Array, Backtracking</t>
        </is>
      </c>
      <c r="G1423" s="1" t="inlineStr">
        <is>
          <t>Medium</t>
        </is>
      </c>
      <c r="H1423" s="1" t="n">
        <v>112128</v>
      </c>
      <c r="I1423" s="1" t="n">
        <v>153974</v>
      </c>
      <c r="J1423" s="9" t="n">
        <v>0.728</v>
      </c>
      <c r="K1423" s="1" t="inlineStr">
        <is>
          <t>Yes</t>
        </is>
      </c>
      <c r="L1423" s="1" t="inlineStr">
        <is>
          <t>Yes</t>
        </is>
      </c>
      <c r="M1423" s="1" t="inlineStr">
        <is>
          <t>No</t>
        </is>
      </c>
      <c r="N1423" s="1" t="inlineStr">
        <is>
          <t>Algorithms</t>
        </is>
      </c>
      <c r="O14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24" ht="15.75" customHeight="1" s="12">
      <c r="A1424" s="1" t="n">
        <v>919</v>
      </c>
      <c r="B1424" s="3">
        <f>HYPERLINK("https://leetcode.com/problems/complete-binary-tree-inserter/", "Complete Binary Tree Inserter")</f>
        <v/>
      </c>
      <c r="C1424" s="1" t="n">
        <v>1151</v>
      </c>
      <c r="D1424" s="1" t="n">
        <v>120</v>
      </c>
      <c r="E1424" s="4">
        <f>IF(INDEX(C:C, ROW())+INDEX(D:D, ROW())=0, 0, INDEX(C:C, ROW())/(INDEX(C:C, ROW())+INDEX(D:D, ROW())))</f>
        <v/>
      </c>
      <c r="F1424" s="1" t="inlineStr">
        <is>
          <t>Tree, Breadth-First Search, Design, Binary Tree</t>
        </is>
      </c>
      <c r="G1424" s="1" t="inlineStr">
        <is>
          <t>Medium</t>
        </is>
      </c>
      <c r="H1424" s="1" t="n">
        <v>65228</v>
      </c>
      <c r="I1424" s="1" t="n">
        <v>100476</v>
      </c>
      <c r="J1424" s="9" t="n">
        <v>0.649</v>
      </c>
      <c r="K1424" s="1" t="inlineStr">
        <is>
          <t>Yes</t>
        </is>
      </c>
      <c r="L1424" s="1" t="inlineStr">
        <is>
          <t>Yes</t>
        </is>
      </c>
      <c r="M1424" s="1" t="inlineStr">
        <is>
          <t>No</t>
        </is>
      </c>
      <c r="N1424" s="1" t="inlineStr">
        <is>
          <t>Algorithms</t>
        </is>
      </c>
      <c r="O14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25" ht="15.75" customHeight="1" s="12">
      <c r="A1425" s="1" t="n">
        <v>858</v>
      </c>
      <c r="B1425" s="3">
        <f>HYPERLINK("https://leetcode.com/problems/mirror-reflection/", "Mirror Reflection")</f>
        <v/>
      </c>
      <c r="C1425" s="1" t="n">
        <v>1148</v>
      </c>
      <c r="D1425" s="1" t="n">
        <v>2560</v>
      </c>
      <c r="E1425" s="4">
        <f>IF(INDEX(C:C, ROW())+INDEX(D:D, ROW())=0, 0, INDEX(C:C, ROW())/(INDEX(C:C, ROW())+INDEX(D:D, ROW())))</f>
        <v/>
      </c>
      <c r="F1425" s="1" t="inlineStr">
        <is>
          <t>Math, Geometry, Number Theory</t>
        </is>
      </c>
      <c r="G1425" s="1" t="inlineStr">
        <is>
          <t>Medium</t>
        </is>
      </c>
      <c r="H1425" s="1" t="n">
        <v>86320</v>
      </c>
      <c r="I1425" s="1" t="n">
        <v>139482</v>
      </c>
      <c r="J1425" s="9" t="n">
        <v>0.619</v>
      </c>
      <c r="K1425" s="1" t="inlineStr">
        <is>
          <t>Yes</t>
        </is>
      </c>
      <c r="L1425" s="1" t="inlineStr">
        <is>
          <t>Yes</t>
        </is>
      </c>
      <c r="M1425" s="1" t="inlineStr">
        <is>
          <t>No</t>
        </is>
      </c>
      <c r="N1425" s="1" t="inlineStr">
        <is>
          <t>Algorithms</t>
        </is>
      </c>
      <c r="O14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26" ht="15.75" customHeight="1" s="12">
      <c r="A1426" s="1" t="n">
        <v>2434</v>
      </c>
      <c r="B1426" s="3">
        <f>HYPERLINK("https://leetcode.com/problems/using-a-robot-to-print-the-lexicographically-smallest-string/", "Using a Robot to Print the Lexicographically Smallest String")</f>
        <v/>
      </c>
      <c r="C1426" s="1" t="n">
        <v>1148</v>
      </c>
      <c r="D1426" s="1" t="n">
        <v>305</v>
      </c>
      <c r="E1426" s="4">
        <f>IF(INDEX(C:C, ROW())+INDEX(D:D, ROW())=0, 0, INDEX(C:C, ROW())/(INDEX(C:C, ROW())+INDEX(D:D, ROW())))</f>
        <v/>
      </c>
      <c r="F1426" s="1" t="inlineStr">
        <is>
          <t>Hash Table, String, Stack, Greedy</t>
        </is>
      </c>
      <c r="G1426" s="1" t="inlineStr">
        <is>
          <t>Medium</t>
        </is>
      </c>
      <c r="H1426" s="1" t="n">
        <v>106945</v>
      </c>
      <c r="I1426" s="1" t="n">
        <v>171158</v>
      </c>
      <c r="J1426" s="9" t="n">
        <v>0.625</v>
      </c>
      <c r="K1426" s="1" t="inlineStr">
        <is>
          <t>Yes</t>
        </is>
      </c>
      <c r="L1426" s="1" t="inlineStr">
        <is>
          <t>Yes</t>
        </is>
      </c>
      <c r="M1426" s="1" t="inlineStr">
        <is>
          <t>No</t>
        </is>
      </c>
      <c r="N1426" s="1" t="inlineStr">
        <is>
          <t>Algorithms</t>
        </is>
      </c>
      <c r="O14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27" ht="15.75" customHeight="1" s="12">
      <c r="A1427" s="1" t="n">
        <v>2657</v>
      </c>
      <c r="B1427" s="3">
        <f>HYPERLINK("https://leetcode.com/problems/find-the-prefix-common-array-of-two-arrays/", "Find the Prefix Common Array of Two Arrays")</f>
        <v/>
      </c>
      <c r="C1427" s="1" t="n">
        <v>1146</v>
      </c>
      <c r="D1427" s="1" t="n">
        <v>73</v>
      </c>
      <c r="E1427" s="4">
        <f>IF(INDEX(C:C, ROW())+INDEX(D:D, ROW())=0, 0, INDEX(C:C, ROW())/(INDEX(C:C, ROW())+INDEX(D:D, ROW())))</f>
        <v/>
      </c>
      <c r="F1427" s="1" t="inlineStr">
        <is>
          <t>Array, Hash Table, Bit Manipulation</t>
        </is>
      </c>
      <c r="G1427" s="1" t="inlineStr">
        <is>
          <t>Medium</t>
        </is>
      </c>
      <c r="H1427" s="1" t="n">
        <v>232903</v>
      </c>
      <c r="I1427" s="1" t="n">
        <v>267754</v>
      </c>
      <c r="J1427" s="9" t="n">
        <v>0.87</v>
      </c>
      <c r="K1427" s="1" t="inlineStr">
        <is>
          <t>Yes</t>
        </is>
      </c>
      <c r="L1427" s="1" t="inlineStr">
        <is>
          <t>Yes</t>
        </is>
      </c>
      <c r="M1427" s="1" t="inlineStr">
        <is>
          <t>No</t>
        </is>
      </c>
      <c r="N1427" s="1" t="inlineStr">
        <is>
          <t>Algorithms</t>
        </is>
      </c>
      <c r="O14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28" ht="15.75" customHeight="1" s="12">
      <c r="A1428" s="1" t="n">
        <v>1633</v>
      </c>
      <c r="B1428" s="3">
        <f>HYPERLINK("https://leetcode.com/problems/percentage-of-users-attended-a-contest/", "Percentage of Users Attended a Contest")</f>
        <v/>
      </c>
      <c r="C1428" s="1" t="n">
        <v>1145</v>
      </c>
      <c r="D1428" s="1" t="n">
        <v>105</v>
      </c>
      <c r="E1428" s="4">
        <f>IF(INDEX(C:C, ROW())+INDEX(D:D, ROW())=0, 0, INDEX(C:C, ROW())/(INDEX(C:C, ROW())+INDEX(D:D, ROW())))</f>
        <v/>
      </c>
      <c r="F1428" s="1" t="inlineStr">
        <is>
          <t>Database</t>
        </is>
      </c>
      <c r="G1428" s="1" t="inlineStr">
        <is>
          <t>Easy</t>
        </is>
      </c>
      <c r="H1428" s="1" t="n">
        <v>497594</v>
      </c>
      <c r="I1428" s="1" t="n">
        <v>831530</v>
      </c>
      <c r="J1428" s="9" t="n">
        <v>0.598</v>
      </c>
      <c r="K1428" s="1" t="inlineStr">
        <is>
          <t>Yes</t>
        </is>
      </c>
      <c r="L1428" s="1" t="inlineStr">
        <is>
          <t>Yes</t>
        </is>
      </c>
      <c r="M1428" s="1" t="inlineStr">
        <is>
          <t>No</t>
        </is>
      </c>
      <c r="N1428" s="1" t="inlineStr">
        <is>
          <t>Database</t>
        </is>
      </c>
      <c r="O14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29" ht="15.75" customHeight="1" s="12">
      <c r="A1429" s="1" t="n">
        <v>2210</v>
      </c>
      <c r="B1429" s="3">
        <f>HYPERLINK("https://leetcode.com/problems/count-hills-and-valleys-in-an-array/", "Count Hills and Valleys in an Array")</f>
        <v/>
      </c>
      <c r="C1429" s="1" t="n">
        <v>1145</v>
      </c>
      <c r="D1429" s="1" t="n">
        <v>142</v>
      </c>
      <c r="E1429" s="4">
        <f>IF(INDEX(C:C, ROW())+INDEX(D:D, ROW())=0, 0, INDEX(C:C, ROW())/(INDEX(C:C, ROW())+INDEX(D:D, ROW())))</f>
        <v/>
      </c>
      <c r="F1429" s="1" t="inlineStr">
        <is>
          <t>Array</t>
        </is>
      </c>
      <c r="G1429" s="1" t="inlineStr">
        <is>
          <t>Easy</t>
        </is>
      </c>
      <c r="H1429" s="1" t="n">
        <v>179404</v>
      </c>
      <c r="I1429" s="1" t="n">
        <v>259325</v>
      </c>
      <c r="J1429" s="9" t="n">
        <v>0.6919999999999999</v>
      </c>
      <c r="K1429" s="1" t="inlineStr">
        <is>
          <t>Yes</t>
        </is>
      </c>
      <c r="L1429" s="1" t="inlineStr">
        <is>
          <t>Yes</t>
        </is>
      </c>
      <c r="M1429" s="1" t="inlineStr">
        <is>
          <t>No</t>
        </is>
      </c>
      <c r="N1429" s="1" t="inlineStr">
        <is>
          <t>Algorithms</t>
        </is>
      </c>
      <c r="O14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30" ht="15.75" customHeight="1" s="12">
      <c r="A1430" s="1" t="n">
        <v>932</v>
      </c>
      <c r="B1430" s="3">
        <f>HYPERLINK("https://leetcode.com/problems/beautiful-array/", "Beautiful Array")</f>
        <v/>
      </c>
      <c r="C1430" s="1" t="n">
        <v>1144</v>
      </c>
      <c r="D1430" s="1" t="n">
        <v>1580</v>
      </c>
      <c r="E1430" s="4">
        <f>IF(INDEX(C:C, ROW())+INDEX(D:D, ROW())=0, 0, INDEX(C:C, ROW())/(INDEX(C:C, ROW())+INDEX(D:D, ROW())))</f>
        <v/>
      </c>
      <c r="F1430" s="1" t="inlineStr">
        <is>
          <t>Array, Math, Divide and Conquer</t>
        </is>
      </c>
      <c r="G1430" s="1" t="inlineStr">
        <is>
          <t>Medium</t>
        </is>
      </c>
      <c r="H1430" s="1" t="n">
        <v>56402</v>
      </c>
      <c r="I1430" s="1" t="n">
        <v>82699</v>
      </c>
      <c r="J1430" s="9" t="n">
        <v>0.6820000000000001</v>
      </c>
      <c r="K1430" s="1" t="inlineStr">
        <is>
          <t>Yes</t>
        </is>
      </c>
      <c r="L1430" s="1" t="inlineStr">
        <is>
          <t>Yes</t>
        </is>
      </c>
      <c r="M1430" s="1" t="inlineStr">
        <is>
          <t>No</t>
        </is>
      </c>
      <c r="N1430" s="1" t="inlineStr">
        <is>
          <t>Algorithms</t>
        </is>
      </c>
      <c r="O14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31" ht="15.75" customHeight="1" s="12">
      <c r="A1431" s="1" t="n">
        <v>1648</v>
      </c>
      <c r="B1431" s="3">
        <f>HYPERLINK("https://leetcode.com/problems/sell-diminishing-valued-colored-balls/", "Sell Diminishing-Valued Colored Balls")</f>
        <v/>
      </c>
      <c r="C1431" s="1" t="n">
        <v>1144</v>
      </c>
      <c r="D1431" s="1" t="n">
        <v>399</v>
      </c>
      <c r="E1431" s="4">
        <f>IF(INDEX(C:C, ROW())+INDEX(D:D, ROW())=0, 0, INDEX(C:C, ROW())/(INDEX(C:C, ROW())+INDEX(D:D, ROW())))</f>
        <v/>
      </c>
      <c r="F1431" s="1" t="inlineStr">
        <is>
          <t>Array, Math, Binary Search, Greedy, Sorting, Heap (Priority Queue)</t>
        </is>
      </c>
      <c r="G1431" s="1" t="inlineStr">
        <is>
          <t>Medium</t>
        </is>
      </c>
      <c r="H1431" s="1" t="n">
        <v>42820</v>
      </c>
      <c r="I1431" s="1" t="n">
        <v>142832</v>
      </c>
      <c r="J1431" s="9" t="n">
        <v>0.3</v>
      </c>
      <c r="K1431" s="1" t="inlineStr">
        <is>
          <t>Yes</t>
        </is>
      </c>
      <c r="L1431" s="1" t="inlineStr">
        <is>
          <t>No</t>
        </is>
      </c>
      <c r="M1431" s="1" t="inlineStr">
        <is>
          <t>No</t>
        </is>
      </c>
      <c r="N1431" s="1" t="inlineStr">
        <is>
          <t>Algorithms</t>
        </is>
      </c>
      <c r="O14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32" ht="15.75" customHeight="1" s="12">
      <c r="A1432" s="1" t="n">
        <v>2311</v>
      </c>
      <c r="B1432" s="3">
        <f>HYPERLINK("https://leetcode.com/problems/longest-binary-subsequence-less-than-or-equal-to-k/", "Longest Binary Subsequence Less Than or Equal to K")</f>
        <v/>
      </c>
      <c r="C1432" s="1" t="n">
        <v>1141</v>
      </c>
      <c r="D1432" s="1" t="n">
        <v>79</v>
      </c>
      <c r="E1432" s="4">
        <f>IF(INDEX(C:C, ROW())+INDEX(D:D, ROW())=0, 0, INDEX(C:C, ROW())/(INDEX(C:C, ROW())+INDEX(D:D, ROW())))</f>
        <v/>
      </c>
      <c r="F1432" s="1" t="inlineStr">
        <is>
          <t>String, Dynamic Programming, Greedy, Memoization</t>
        </is>
      </c>
      <c r="G1432" s="1" t="inlineStr">
        <is>
          <t>Medium</t>
        </is>
      </c>
      <c r="H1432" s="1" t="n">
        <v>110745</v>
      </c>
      <c r="I1432" s="1" t="n">
        <v>209521</v>
      </c>
      <c r="J1432" s="9" t="n">
        <v>0.529</v>
      </c>
      <c r="K1432" s="1" t="inlineStr">
        <is>
          <t>Yes</t>
        </is>
      </c>
      <c r="L1432" s="1" t="inlineStr">
        <is>
          <t>Yes</t>
        </is>
      </c>
      <c r="M1432" s="1" t="inlineStr">
        <is>
          <t>No</t>
        </is>
      </c>
      <c r="N1432" s="1" t="inlineStr">
        <is>
          <t>Algorithms</t>
        </is>
      </c>
      <c r="O14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33" ht="15.75" customHeight="1" s="12">
      <c r="A1433" s="1" t="n">
        <v>418</v>
      </c>
      <c r="B1433" s="3">
        <f>HYPERLINK("https://leetcode.com/problems/sentence-screen-fitting/", "Sentence Screen Fitting")</f>
        <v/>
      </c>
      <c r="C1433" s="1" t="n">
        <v>1139</v>
      </c>
      <c r="D1433" s="1" t="n">
        <v>543</v>
      </c>
      <c r="E1433" s="4">
        <f>IF(INDEX(C:C, ROW())+INDEX(D:D, ROW())=0, 0, INDEX(C:C, ROW())/(INDEX(C:C, ROW())+INDEX(D:D, ROW())))</f>
        <v/>
      </c>
      <c r="F1433" s="1" t="inlineStr">
        <is>
          <t>Array, String, Dynamic Programming</t>
        </is>
      </c>
      <c r="G1433" s="1" t="inlineStr">
        <is>
          <t>Medium</t>
        </is>
      </c>
      <c r="H1433" s="1" t="n">
        <v>106464</v>
      </c>
      <c r="I1433" s="1" t="n">
        <v>292569</v>
      </c>
      <c r="J1433" s="9" t="n">
        <v>0.364</v>
      </c>
      <c r="K1433" s="1" t="inlineStr">
        <is>
          <t>No</t>
        </is>
      </c>
      <c r="L1433" s="1" t="inlineStr">
        <is>
          <t>No</t>
        </is>
      </c>
      <c r="M1433" s="1" t="inlineStr">
        <is>
          <t>No</t>
        </is>
      </c>
      <c r="N1433" s="1" t="inlineStr">
        <is>
          <t>Algorithms</t>
        </is>
      </c>
      <c r="O14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34" ht="15.75" customHeight="1" s="12">
      <c r="A1434" s="1" t="n">
        <v>1984</v>
      </c>
      <c r="B1434" s="3">
        <f>HYPERLINK("https://leetcode.com/problems/minimum-difference-between-highest-and-lowest-of-k-scores/", "Minimum Difference Between Highest and Lowest of K Scores")</f>
        <v/>
      </c>
      <c r="C1434" s="1" t="n">
        <v>1139</v>
      </c>
      <c r="D1434" s="1" t="n">
        <v>330</v>
      </c>
      <c r="E1434" s="4">
        <f>IF(INDEX(C:C, ROW())+INDEX(D:D, ROW())=0, 0, INDEX(C:C, ROW())/(INDEX(C:C, ROW())+INDEX(D:D, ROW())))</f>
        <v/>
      </c>
      <c r="F1434" s="1" t="inlineStr">
        <is>
          <t>Array, Sliding Window, Sorting</t>
        </is>
      </c>
      <c r="G1434" s="1" t="inlineStr">
        <is>
          <t>Easy</t>
        </is>
      </c>
      <c r="H1434" s="1" t="n">
        <v>128201</v>
      </c>
      <c r="I1434" s="1" t="n">
        <v>215214</v>
      </c>
      <c r="J1434" s="9" t="n">
        <v>0.596</v>
      </c>
      <c r="K1434" s="1" t="inlineStr">
        <is>
          <t>Yes</t>
        </is>
      </c>
      <c r="L1434" s="1" t="inlineStr">
        <is>
          <t>No</t>
        </is>
      </c>
      <c r="M1434" s="1" t="inlineStr">
        <is>
          <t>No</t>
        </is>
      </c>
      <c r="N1434" s="1" t="inlineStr">
        <is>
          <t>Algorithms</t>
        </is>
      </c>
      <c r="O14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35" ht="15.75" customHeight="1" s="12">
      <c r="A1435" s="1" t="n">
        <v>1292</v>
      </c>
      <c r="B1435" s="3">
        <f>HYPERLINK("https://leetcode.com/problems/maximum-side-length-of-a-square-with-sum-less-than-or-equal-to-threshold/", "Maximum Side Length of a Square with Sum Less than or Equal to Threshold")</f>
        <v/>
      </c>
      <c r="C1435" s="1" t="n">
        <v>1138</v>
      </c>
      <c r="D1435" s="1" t="n">
        <v>99</v>
      </c>
      <c r="E1435" s="4">
        <f>IF(INDEX(C:C, ROW())+INDEX(D:D, ROW())=0, 0, INDEX(C:C, ROW())/(INDEX(C:C, ROW())+INDEX(D:D, ROW())))</f>
        <v/>
      </c>
      <c r="F1435" s="1" t="inlineStr">
        <is>
          <t>Array, Binary Search, Matrix, Prefix Sum</t>
        </is>
      </c>
      <c r="G1435" s="1" t="inlineStr">
        <is>
          <t>Medium</t>
        </is>
      </c>
      <c r="H1435" s="1" t="n">
        <v>40116</v>
      </c>
      <c r="I1435" s="1" t="n">
        <v>74305</v>
      </c>
      <c r="J1435" s="9" t="n">
        <v>0.54</v>
      </c>
      <c r="K1435" s="1" t="inlineStr">
        <is>
          <t>Yes</t>
        </is>
      </c>
      <c r="L1435" s="1" t="inlineStr">
        <is>
          <t>Yes</t>
        </is>
      </c>
      <c r="M1435" s="1" t="inlineStr">
        <is>
          <t>No</t>
        </is>
      </c>
      <c r="N1435" s="1" t="inlineStr">
        <is>
          <t>Algorithms</t>
        </is>
      </c>
      <c r="O14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36" ht="15.75" customHeight="1" s="12">
      <c r="A1436" s="1" t="n">
        <v>536</v>
      </c>
      <c r="B1436" s="3">
        <f>HYPERLINK("https://leetcode.com/problems/construct-binary-tree-from-string/", "Construct Binary Tree from String")</f>
        <v/>
      </c>
      <c r="C1436" s="1" t="n">
        <v>1134</v>
      </c>
      <c r="D1436" s="1" t="n">
        <v>184</v>
      </c>
      <c r="E1436" s="4">
        <f>IF(INDEX(C:C, ROW())+INDEX(D:D, ROW())=0, 0, INDEX(C:C, ROW())/(INDEX(C:C, ROW())+INDEX(D:D, ROW())))</f>
        <v/>
      </c>
      <c r="F1436" s="1" t="inlineStr">
        <is>
          <t>String, Stack, Tree, Depth-First Search, Binary Tree</t>
        </is>
      </c>
      <c r="G1436" s="1" t="inlineStr">
        <is>
          <t>Medium</t>
        </is>
      </c>
      <c r="H1436" s="1" t="n">
        <v>126310</v>
      </c>
      <c r="I1436" s="1" t="n">
        <v>215317</v>
      </c>
      <c r="J1436" s="9" t="n">
        <v>0.587</v>
      </c>
      <c r="K1436" s="1" t="inlineStr">
        <is>
          <t>No</t>
        </is>
      </c>
      <c r="L1436" s="1" t="inlineStr">
        <is>
          <t>Yes</t>
        </is>
      </c>
      <c r="M1436" s="1" t="inlineStr">
        <is>
          <t>No</t>
        </is>
      </c>
      <c r="N1436" s="1" t="inlineStr">
        <is>
          <t>Algorithms</t>
        </is>
      </c>
      <c r="O14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37" ht="15.75" customHeight="1" s="12">
      <c r="A1437" s="1" t="n">
        <v>1846</v>
      </c>
      <c r="B1437" s="3">
        <f>HYPERLINK("https://leetcode.com/problems/maximum-element-after-decreasing-and-rearranging/", "Maximum Element After Decreasing and Rearranging")</f>
        <v/>
      </c>
      <c r="C1437" s="1" t="n">
        <v>1134</v>
      </c>
      <c r="D1437" s="1" t="n">
        <v>278</v>
      </c>
      <c r="E1437" s="4">
        <f>IF(INDEX(C:C, ROW())+INDEX(D:D, ROW())=0, 0, INDEX(C:C, ROW())/(INDEX(C:C, ROW())+INDEX(D:D, ROW())))</f>
        <v/>
      </c>
      <c r="F1437" s="1" t="inlineStr">
        <is>
          <t>Array, Greedy, Sorting</t>
        </is>
      </c>
      <c r="G1437" s="1" t="inlineStr">
        <is>
          <t>Medium</t>
        </is>
      </c>
      <c r="H1437" s="1" t="n">
        <v>113549</v>
      </c>
      <c r="I1437" s="1" t="n">
        <v>172647</v>
      </c>
      <c r="J1437" s="9" t="n">
        <v>0.658</v>
      </c>
      <c r="K1437" s="1" t="inlineStr">
        <is>
          <t>Yes</t>
        </is>
      </c>
      <c r="L1437" s="1" t="inlineStr">
        <is>
          <t>Yes</t>
        </is>
      </c>
      <c r="M1437" s="1" t="inlineStr">
        <is>
          <t>No</t>
        </is>
      </c>
      <c r="N1437" s="1" t="inlineStr">
        <is>
          <t>Algorithms</t>
        </is>
      </c>
      <c r="O14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38" ht="15.75" customHeight="1" s="12">
      <c r="A1438" s="1" t="n">
        <v>2163</v>
      </c>
      <c r="B1438" s="3">
        <f>HYPERLINK("https://leetcode.com/problems/minimum-difference-in-sums-after-removal-of-elements/", "Minimum Difference in Sums After Removal of Elements")</f>
        <v/>
      </c>
      <c r="C1438" s="1" t="n">
        <v>1132</v>
      </c>
      <c r="D1438" s="1" t="n">
        <v>42</v>
      </c>
      <c r="E1438" s="4">
        <f>IF(INDEX(C:C, ROW())+INDEX(D:D, ROW())=0, 0, INDEX(C:C, ROW())/(INDEX(C:C, ROW())+INDEX(D:D, ROW())))</f>
        <v/>
      </c>
      <c r="F1438" s="1" t="inlineStr">
        <is>
          <t>Array, Dynamic Programming, Heap (Priority Queue)</t>
        </is>
      </c>
      <c r="G1438" s="1" t="inlineStr">
        <is>
          <t>Hard</t>
        </is>
      </c>
      <c r="H1438" s="1" t="n">
        <v>82045</v>
      </c>
      <c r="I1438" s="1" t="n">
        <v>117377</v>
      </c>
      <c r="J1438" s="9" t="n">
        <v>0.699</v>
      </c>
      <c r="K1438" s="1" t="inlineStr">
        <is>
          <t>Yes</t>
        </is>
      </c>
      <c r="L1438" s="1" t="inlineStr">
        <is>
          <t>Yes</t>
        </is>
      </c>
      <c r="M1438" s="1" t="inlineStr">
        <is>
          <t>No</t>
        </is>
      </c>
      <c r="N1438" s="1" t="inlineStr">
        <is>
          <t>Algorithms</t>
        </is>
      </c>
      <c r="O14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39" ht="15.75" customHeight="1" s="12">
      <c r="A1439" s="1" t="n">
        <v>2275</v>
      </c>
      <c r="B1439" s="3">
        <f>HYPERLINK("https://leetcode.com/problems/largest-combination-with-bitwise-and-greater-than-zero/", "Largest Combination With Bitwise AND Greater Than Zero")</f>
        <v/>
      </c>
      <c r="C1439" s="1" t="n">
        <v>1132</v>
      </c>
      <c r="D1439" s="1" t="n">
        <v>60</v>
      </c>
      <c r="E1439" s="4">
        <f>IF(INDEX(C:C, ROW())+INDEX(D:D, ROW())=0, 0, INDEX(C:C, ROW())/(INDEX(C:C, ROW())+INDEX(D:D, ROW())))</f>
        <v/>
      </c>
      <c r="F1439" s="1" t="inlineStr">
        <is>
          <t>Array, Hash Table, Bit Manipulation, Counting</t>
        </is>
      </c>
      <c r="G1439" s="1" t="inlineStr">
        <is>
          <t>Medium</t>
        </is>
      </c>
      <c r="H1439" s="1" t="n">
        <v>154932</v>
      </c>
      <c r="I1439" s="1" t="n">
        <v>191756</v>
      </c>
      <c r="J1439" s="9" t="n">
        <v>0.8080000000000001</v>
      </c>
      <c r="K1439" s="1" t="inlineStr">
        <is>
          <t>Yes</t>
        </is>
      </c>
      <c r="L1439" s="1" t="inlineStr">
        <is>
          <t>Yes</t>
        </is>
      </c>
      <c r="M1439" s="1" t="inlineStr">
        <is>
          <t>No</t>
        </is>
      </c>
      <c r="N1439" s="1" t="inlineStr">
        <is>
          <t>Algorithms</t>
        </is>
      </c>
      <c r="O14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40" ht="15.75" customHeight="1" s="12">
      <c r="A1440" s="1" t="n">
        <v>1388</v>
      </c>
      <c r="B1440" s="3">
        <f>HYPERLINK("https://leetcode.com/problems/pizza-with-3n-slices/", "Pizza With 3n Slices")</f>
        <v/>
      </c>
      <c r="C1440" s="1" t="n">
        <v>1131</v>
      </c>
      <c r="D1440" s="1" t="n">
        <v>24</v>
      </c>
      <c r="E1440" s="4">
        <f>IF(INDEX(C:C, ROW())+INDEX(D:D, ROW())=0, 0, INDEX(C:C, ROW())/(INDEX(C:C, ROW())+INDEX(D:D, ROW())))</f>
        <v/>
      </c>
      <c r="F1440" s="1" t="inlineStr">
        <is>
          <t>Array, Dynamic Programming, Greedy, Heap (Priority Queue)</t>
        </is>
      </c>
      <c r="G1440" s="1" t="inlineStr">
        <is>
          <t>Hard</t>
        </is>
      </c>
      <c r="H1440" s="1" t="n">
        <v>36511</v>
      </c>
      <c r="I1440" s="1" t="n">
        <v>68113</v>
      </c>
      <c r="J1440" s="9" t="n">
        <v>0.536</v>
      </c>
      <c r="K1440" s="1" t="inlineStr">
        <is>
          <t>Yes</t>
        </is>
      </c>
      <c r="L1440" s="1" t="inlineStr">
        <is>
          <t>No</t>
        </is>
      </c>
      <c r="M1440" s="1" t="inlineStr">
        <is>
          <t>No</t>
        </is>
      </c>
      <c r="N1440" s="1" t="inlineStr">
        <is>
          <t>Algorithms</t>
        </is>
      </c>
      <c r="O14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41" ht="15.75" customHeight="1" s="12">
      <c r="A1441" s="1" t="n">
        <v>582</v>
      </c>
      <c r="B1441" s="3">
        <f>HYPERLINK("https://leetcode.com/problems/kill-process/", "Kill Process")</f>
        <v/>
      </c>
      <c r="C1441" s="1" t="n">
        <v>1126</v>
      </c>
      <c r="D1441" s="1" t="n">
        <v>21</v>
      </c>
      <c r="E1441" s="4">
        <f>IF(INDEX(C:C, ROW())+INDEX(D:D, ROW())=0, 0, INDEX(C:C, ROW())/(INDEX(C:C, ROW())+INDEX(D:D, ROW())))</f>
        <v/>
      </c>
      <c r="F1441" s="1" t="inlineStr">
        <is>
          <t>Array, Hash Table, Tree, Depth-First Search, Breadth-First Search</t>
        </is>
      </c>
      <c r="G1441" s="1" t="inlineStr">
        <is>
          <t>Medium</t>
        </is>
      </c>
      <c r="H1441" s="1" t="n">
        <v>94511</v>
      </c>
      <c r="I1441" s="1" t="n">
        <v>134543</v>
      </c>
      <c r="J1441" s="9" t="n">
        <v>0.702</v>
      </c>
      <c r="K1441" s="1" t="inlineStr">
        <is>
          <t>No</t>
        </is>
      </c>
      <c r="L1441" s="1" t="inlineStr">
        <is>
          <t>Yes</t>
        </is>
      </c>
      <c r="M1441" s="1" t="inlineStr">
        <is>
          <t>Yes</t>
        </is>
      </c>
      <c r="N1441" s="1" t="inlineStr">
        <is>
          <t>Algorithms</t>
        </is>
      </c>
      <c r="O14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42" ht="15.75" customHeight="1" s="12">
      <c r="A1442" s="1" t="n">
        <v>1711</v>
      </c>
      <c r="B1442" s="3">
        <f>HYPERLINK("https://leetcode.com/problems/count-good-meals/", "Count Good Meals")</f>
        <v/>
      </c>
      <c r="C1442" s="1" t="n">
        <v>1125</v>
      </c>
      <c r="D1442" s="1" t="n">
        <v>247</v>
      </c>
      <c r="E1442" s="4">
        <f>IF(INDEX(C:C, ROW())+INDEX(D:D, ROW())=0, 0, INDEX(C:C, ROW())/(INDEX(C:C, ROW())+INDEX(D:D, ROW())))</f>
        <v/>
      </c>
      <c r="F1442" s="1" t="inlineStr">
        <is>
          <t>Array, Hash Table</t>
        </is>
      </c>
      <c r="G1442" s="1" t="inlineStr">
        <is>
          <t>Medium</t>
        </is>
      </c>
      <c r="H1442" s="1" t="n">
        <v>51704</v>
      </c>
      <c r="I1442" s="1" t="n">
        <v>159466</v>
      </c>
      <c r="J1442" s="9" t="n">
        <v>0.324</v>
      </c>
      <c r="K1442" s="1" t="inlineStr">
        <is>
          <t>Yes</t>
        </is>
      </c>
      <c r="L1442" s="1" t="inlineStr">
        <is>
          <t>No</t>
        </is>
      </c>
      <c r="M1442" s="1" t="inlineStr">
        <is>
          <t>No</t>
        </is>
      </c>
      <c r="N1442" s="1" t="inlineStr">
        <is>
          <t>Algorithms</t>
        </is>
      </c>
      <c r="O14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43" ht="15.75" customHeight="1" s="12">
      <c r="A1443" s="1" t="n">
        <v>2807</v>
      </c>
      <c r="B1443" s="3">
        <f>HYPERLINK("https://leetcode.com/problems/insert-greatest-common-divisors-in-linked-list/", "Insert Greatest Common Divisors in Linked List")</f>
        <v/>
      </c>
      <c r="C1443" s="1" t="n">
        <v>1125</v>
      </c>
      <c r="D1443" s="1" t="n">
        <v>36</v>
      </c>
      <c r="E1443" s="4">
        <f>IF(INDEX(C:C, ROW())+INDEX(D:D, ROW())=0, 0, INDEX(C:C, ROW())/(INDEX(C:C, ROW())+INDEX(D:D, ROW())))</f>
        <v/>
      </c>
      <c r="F1443" s="1" t="inlineStr">
        <is>
          <t>Linked List, Math, Number Theory</t>
        </is>
      </c>
      <c r="G1443" s="1" t="inlineStr">
        <is>
          <t>Medium</t>
        </is>
      </c>
      <c r="H1443" s="1" t="n">
        <v>284549</v>
      </c>
      <c r="I1443" s="1" t="n">
        <v>311123</v>
      </c>
      <c r="J1443" s="9" t="n">
        <v>0.915</v>
      </c>
      <c r="K1443" s="1" t="inlineStr">
        <is>
          <t>Yes</t>
        </is>
      </c>
      <c r="L1443" s="1" t="inlineStr">
        <is>
          <t>Yes</t>
        </is>
      </c>
      <c r="M1443" s="1" t="inlineStr">
        <is>
          <t>No</t>
        </is>
      </c>
      <c r="N1443" s="1" t="inlineStr">
        <is>
          <t>Algorithms</t>
        </is>
      </c>
      <c r="O14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44" ht="15.75" customHeight="1" s="12">
      <c r="A1444" s="1" t="n">
        <v>1494</v>
      </c>
      <c r="B1444" s="3">
        <f>HYPERLINK("https://leetcode.com/problems/parallel-courses-ii/", "Parallel Courses II")</f>
        <v/>
      </c>
      <c r="C1444" s="1" t="n">
        <v>1123</v>
      </c>
      <c r="D1444" s="1" t="n">
        <v>77</v>
      </c>
      <c r="E1444" s="4">
        <f>IF(INDEX(C:C, ROW())+INDEX(D:D, ROW())=0, 0, INDEX(C:C, ROW())/(INDEX(C:C, ROW())+INDEX(D:D, ROW())))</f>
        <v/>
      </c>
      <c r="F1444" s="1" t="inlineStr">
        <is>
          <t>Dynamic Programming, Bit Manipulation, Graph Theory, Bitmask DP</t>
        </is>
      </c>
      <c r="G1444" s="1" t="inlineStr">
        <is>
          <t>Hard</t>
        </is>
      </c>
      <c r="H1444" s="1" t="n">
        <v>25271</v>
      </c>
      <c r="I1444" s="1" t="n">
        <v>83544</v>
      </c>
      <c r="J1444" s="9" t="n">
        <v>0.302</v>
      </c>
      <c r="K1444" s="1" t="inlineStr">
        <is>
          <t>Yes</t>
        </is>
      </c>
      <c r="L1444" s="1" t="inlineStr">
        <is>
          <t>No</t>
        </is>
      </c>
      <c r="M1444" s="1" t="inlineStr">
        <is>
          <t>No</t>
        </is>
      </c>
      <c r="N1444" s="1" t="inlineStr">
        <is>
          <t>Algorithms</t>
        </is>
      </c>
      <c r="O14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45" ht="15.75" customHeight="1" s="12">
      <c r="A1445" s="1" t="n">
        <v>2028</v>
      </c>
      <c r="B1445" s="3">
        <f>HYPERLINK("https://leetcode.com/problems/find-missing-observations/", "Find Missing Observations")</f>
        <v/>
      </c>
      <c r="C1445" s="1" t="n">
        <v>1123</v>
      </c>
      <c r="D1445" s="1" t="n">
        <v>108</v>
      </c>
      <c r="E1445" s="4">
        <f>IF(INDEX(C:C, ROW())+INDEX(D:D, ROW())=0, 0, INDEX(C:C, ROW())/(INDEX(C:C, ROW())+INDEX(D:D, ROW())))</f>
        <v/>
      </c>
      <c r="F1445" s="1" t="inlineStr">
        <is>
          <t>Array, Math, Simulation</t>
        </is>
      </c>
      <c r="G1445" s="1" t="inlineStr">
        <is>
          <t>Medium</t>
        </is>
      </c>
      <c r="H1445" s="1" t="n">
        <v>173698</v>
      </c>
      <c r="I1445" s="1" t="n">
        <v>302700</v>
      </c>
      <c r="J1445" s="9" t="n">
        <v>0.574</v>
      </c>
      <c r="K1445" s="1" t="inlineStr">
        <is>
          <t>Yes</t>
        </is>
      </c>
      <c r="L1445" s="1" t="inlineStr">
        <is>
          <t>Yes</t>
        </is>
      </c>
      <c r="M1445" s="1" t="inlineStr">
        <is>
          <t>No</t>
        </is>
      </c>
      <c r="N1445" s="1" t="inlineStr">
        <is>
          <t>Algorithms</t>
        </is>
      </c>
      <c r="O14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46" ht="15.75" customHeight="1" s="12">
      <c r="A1446" s="1" t="n">
        <v>425</v>
      </c>
      <c r="B1446" s="3">
        <f>HYPERLINK("https://leetcode.com/problems/word-squares/", "Word Squares")</f>
        <v/>
      </c>
      <c r="C1446" s="1" t="n">
        <v>1122</v>
      </c>
      <c r="D1446" s="1" t="n">
        <v>75</v>
      </c>
      <c r="E1446" s="4">
        <f>IF(INDEX(C:C, ROW())+INDEX(D:D, ROW())=0, 0, INDEX(C:C, ROW())/(INDEX(C:C, ROW())+INDEX(D:D, ROW())))</f>
        <v/>
      </c>
      <c r="F1446" s="1" t="inlineStr">
        <is>
          <t>Array, String, Backtracking, Trie</t>
        </is>
      </c>
      <c r="G1446" s="1" t="inlineStr">
        <is>
          <t>Hard</t>
        </is>
      </c>
      <c r="H1446" s="1" t="n">
        <v>82672</v>
      </c>
      <c r="I1446" s="1" t="n">
        <v>151477</v>
      </c>
      <c r="J1446" s="9" t="n">
        <v>0.546</v>
      </c>
      <c r="K1446" s="1" t="inlineStr">
        <is>
          <t>No</t>
        </is>
      </c>
      <c r="L1446" s="1" t="inlineStr">
        <is>
          <t>Yes</t>
        </is>
      </c>
      <c r="M1446" s="1" t="inlineStr">
        <is>
          <t>No</t>
        </is>
      </c>
      <c r="N1446" s="1" t="inlineStr">
        <is>
          <t>Algorithms</t>
        </is>
      </c>
      <c r="O14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47" ht="15.75" customHeight="1" s="12">
      <c r="A1447" s="1" t="n">
        <v>1851</v>
      </c>
      <c r="B1447" s="3">
        <f>HYPERLINK("https://leetcode.com/problems/minimum-interval-to-include-each-query/", "Minimum Interval to Include Each Query")</f>
        <v/>
      </c>
      <c r="C1447" s="1" t="n">
        <v>1122</v>
      </c>
      <c r="D1447" s="1" t="n">
        <v>47</v>
      </c>
      <c r="E1447" s="4">
        <f>IF(INDEX(C:C, ROW())+INDEX(D:D, ROW())=0, 0, INDEX(C:C, ROW())/(INDEX(C:C, ROW())+INDEX(D:D, ROW())))</f>
        <v/>
      </c>
      <c r="F1447" s="1" t="inlineStr">
        <is>
          <t>Array, Binary Search, Sweep Line, Sorting, Heap (Priority Queue)</t>
        </is>
      </c>
      <c r="G1447" s="1" t="inlineStr">
        <is>
          <t>Hard</t>
        </is>
      </c>
      <c r="H1447" s="1" t="n">
        <v>65888</v>
      </c>
      <c r="I1447" s="1" t="n">
        <v>122709</v>
      </c>
      <c r="J1447" s="9" t="n">
        <v>0.537</v>
      </c>
      <c r="K1447" s="1" t="inlineStr">
        <is>
          <t>Yes</t>
        </is>
      </c>
      <c r="L1447" s="1" t="inlineStr">
        <is>
          <t>No</t>
        </is>
      </c>
      <c r="M1447" s="1" t="inlineStr">
        <is>
          <t>No</t>
        </is>
      </c>
      <c r="N1447" s="1" t="inlineStr">
        <is>
          <t>Algorithms</t>
        </is>
      </c>
      <c r="O14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48" ht="15.75" customHeight="1" s="12">
      <c r="A1448" s="1" t="n">
        <v>311</v>
      </c>
      <c r="B1448" s="3">
        <f>HYPERLINK("https://leetcode.com/problems/sparse-matrix-multiplication/", "Sparse Matrix Multiplication")</f>
        <v/>
      </c>
      <c r="C1448" s="1" t="n">
        <v>1121</v>
      </c>
      <c r="D1448" s="1" t="n">
        <v>373</v>
      </c>
      <c r="E1448" s="4">
        <f>IF(INDEX(C:C, ROW())+INDEX(D:D, ROW())=0, 0, INDEX(C:C, ROW())/(INDEX(C:C, ROW())+INDEX(D:D, ROW())))</f>
        <v/>
      </c>
      <c r="F1448" s="1" t="inlineStr">
        <is>
          <t>Array, Hash Table, Matrix</t>
        </is>
      </c>
      <c r="G1448" s="1" t="inlineStr">
        <is>
          <t>Medium</t>
        </is>
      </c>
      <c r="H1448" s="1" t="n">
        <v>218260</v>
      </c>
      <c r="I1448" s="1" t="n">
        <v>315513</v>
      </c>
      <c r="J1448" s="9" t="n">
        <v>0.6919999999999999</v>
      </c>
      <c r="K1448" s="1" t="inlineStr">
        <is>
          <t>No</t>
        </is>
      </c>
      <c r="L1448" s="1" t="inlineStr">
        <is>
          <t>Yes</t>
        </is>
      </c>
      <c r="M1448" s="1" t="inlineStr">
        <is>
          <t>No</t>
        </is>
      </c>
      <c r="N1448" s="1" t="inlineStr">
        <is>
          <t>Algorithms</t>
        </is>
      </c>
      <c r="O14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49" ht="15.75" customHeight="1" s="12">
      <c r="A1449" s="1" t="n">
        <v>2577</v>
      </c>
      <c r="B1449" s="3">
        <f>HYPERLINK("https://leetcode.com/problems/minimum-time-to-visit-a-cell-in-a-grid/", "Minimum Time to Visit a Cell In a Grid")</f>
        <v/>
      </c>
      <c r="C1449" s="1" t="n">
        <v>1121</v>
      </c>
      <c r="D1449" s="1" t="n">
        <v>44</v>
      </c>
      <c r="E1449" s="4">
        <f>IF(INDEX(C:C, ROW())+INDEX(D:D, ROW())=0, 0, INDEX(C:C, ROW())/(INDEX(C:C, ROW())+INDEX(D:D, ROW())))</f>
        <v/>
      </c>
      <c r="F1449" s="1" t="inlineStr">
        <is>
          <t>Array, Breadth-First Search, Graph Theory, Heap (Priority Queue), Matrix, Shortest Path</t>
        </is>
      </c>
      <c r="G1449" s="1" t="inlineStr">
        <is>
          <t>Hard</t>
        </is>
      </c>
      <c r="H1449" s="1" t="n">
        <v>86981</v>
      </c>
      <c r="I1449" s="1" t="n">
        <v>154325</v>
      </c>
      <c r="J1449" s="9" t="n">
        <v>0.5639999999999999</v>
      </c>
      <c r="K1449" s="1" t="inlineStr">
        <is>
          <t>Yes</t>
        </is>
      </c>
      <c r="L1449" s="1" t="inlineStr">
        <is>
          <t>Yes</t>
        </is>
      </c>
      <c r="M1449" s="1" t="inlineStr">
        <is>
          <t>No</t>
        </is>
      </c>
      <c r="N1449" s="1" t="inlineStr">
        <is>
          <t>Algorithms</t>
        </is>
      </c>
      <c r="O14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50" ht="15.75" customHeight="1" s="12">
      <c r="A1450" s="1" t="n">
        <v>1321</v>
      </c>
      <c r="B1450" s="3">
        <f>HYPERLINK("https://leetcode.com/problems/restaurant-growth/", "Restaurant Growth")</f>
        <v/>
      </c>
      <c r="C1450" s="1" t="n">
        <v>1120</v>
      </c>
      <c r="D1450" s="1" t="n">
        <v>375</v>
      </c>
      <c r="E1450" s="4">
        <f>IF(INDEX(C:C, ROW())+INDEX(D:D, ROW())=0, 0, INDEX(C:C, ROW())/(INDEX(C:C, ROW())+INDEX(D:D, ROW())))</f>
        <v/>
      </c>
      <c r="F1450" s="1" t="inlineStr">
        <is>
          <t>Database</t>
        </is>
      </c>
      <c r="G1450" s="1" t="inlineStr">
        <is>
          <t>Medium</t>
        </is>
      </c>
      <c r="H1450" s="1" t="n">
        <v>234320</v>
      </c>
      <c r="I1450" s="1" t="n">
        <v>403975</v>
      </c>
      <c r="J1450" s="9" t="n">
        <v>0.58</v>
      </c>
      <c r="K1450" s="1" t="inlineStr">
        <is>
          <t>Yes</t>
        </is>
      </c>
      <c r="L1450" s="1" t="inlineStr">
        <is>
          <t>No</t>
        </is>
      </c>
      <c r="M1450" s="1" t="inlineStr">
        <is>
          <t>No</t>
        </is>
      </c>
      <c r="N1450" s="1" t="inlineStr">
        <is>
          <t>Database</t>
        </is>
      </c>
      <c r="O14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51" ht="15.75" customHeight="1" s="12">
      <c r="A1451" s="1" t="n">
        <v>1723</v>
      </c>
      <c r="B1451" s="3">
        <f>HYPERLINK("https://leetcode.com/problems/find-minimum-time-to-finish-all-jobs/", "Find Minimum Time to Finish All Jobs")</f>
        <v/>
      </c>
      <c r="C1451" s="1" t="n">
        <v>1120</v>
      </c>
      <c r="D1451" s="1" t="n">
        <v>37</v>
      </c>
      <c r="E1451" s="4">
        <f>IF(INDEX(C:C, ROW())+INDEX(D:D, ROW())=0, 0, INDEX(C:C, ROW())/(INDEX(C:C, ROW())+INDEX(D:D, ROW())))</f>
        <v/>
      </c>
      <c r="F1451" s="1" t="inlineStr">
        <is>
          <t>Array, Dynamic Programming, Backtracking, Bit Manipulation, Bitmask DP</t>
        </is>
      </c>
      <c r="G1451" s="1" t="inlineStr">
        <is>
          <t>Hard</t>
        </is>
      </c>
      <c r="H1451" s="1" t="n">
        <v>40892</v>
      </c>
      <c r="I1451" s="1" t="n">
        <v>90734</v>
      </c>
      <c r="J1451" s="9" t="n">
        <v>0.451</v>
      </c>
      <c r="K1451" s="1" t="inlineStr">
        <is>
          <t>Yes</t>
        </is>
      </c>
      <c r="L1451" s="1" t="inlineStr">
        <is>
          <t>No</t>
        </is>
      </c>
      <c r="M1451" s="1" t="inlineStr">
        <is>
          <t>No</t>
        </is>
      </c>
      <c r="N1451" s="1" t="inlineStr">
        <is>
          <t>Algorithms</t>
        </is>
      </c>
      <c r="O14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52" ht="15.75" customHeight="1" s="12">
      <c r="A1452" s="1" t="n">
        <v>757</v>
      </c>
      <c r="B1452" s="3">
        <f>HYPERLINK("https://leetcode.com/problems/set-intersection-size-at-least-two/", "Set Intersection Size At Least Two")</f>
        <v/>
      </c>
      <c r="C1452" s="1" t="n">
        <v>1119</v>
      </c>
      <c r="D1452" s="1" t="n">
        <v>110</v>
      </c>
      <c r="E1452" s="4">
        <f>IF(INDEX(C:C, ROW())+INDEX(D:D, ROW())=0, 0, INDEX(C:C, ROW())/(INDEX(C:C, ROW())+INDEX(D:D, ROW())))</f>
        <v/>
      </c>
      <c r="F1452" s="1" t="inlineStr">
        <is>
          <t>Array, Greedy, Sorting</t>
        </is>
      </c>
      <c r="G1452" s="1" t="inlineStr">
        <is>
          <t>Hard</t>
        </is>
      </c>
      <c r="H1452" s="1" t="n">
        <v>94909</v>
      </c>
      <c r="I1452" s="1" t="n">
        <v>163909</v>
      </c>
      <c r="J1452" s="9" t="n">
        <v>0.579</v>
      </c>
      <c r="K1452" s="1" t="inlineStr">
        <is>
          <t>Yes</t>
        </is>
      </c>
      <c r="L1452" s="1" t="inlineStr">
        <is>
          <t>Yes</t>
        </is>
      </c>
      <c r="M1452" s="1" t="inlineStr">
        <is>
          <t>No</t>
        </is>
      </c>
      <c r="N1452" s="1" t="inlineStr">
        <is>
          <t>Algorithms</t>
        </is>
      </c>
      <c r="O14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53" ht="15.75" customHeight="1" s="12">
      <c r="A1453" s="1" t="n">
        <v>2185</v>
      </c>
      <c r="B1453" s="3">
        <f>HYPERLINK("https://leetcode.com/problems/counting-words-with-a-given-prefix/", "Counting Words With a Given Prefix")</f>
        <v/>
      </c>
      <c r="C1453" s="1" t="n">
        <v>1117</v>
      </c>
      <c r="D1453" s="1" t="n">
        <v>38</v>
      </c>
      <c r="E1453" s="4">
        <f>IF(INDEX(C:C, ROW())+INDEX(D:D, ROW())=0, 0, INDEX(C:C, ROW())/(INDEX(C:C, ROW())+INDEX(D:D, ROW())))</f>
        <v/>
      </c>
      <c r="F1453" s="1" t="inlineStr">
        <is>
          <t>Array, String, String Matching</t>
        </is>
      </c>
      <c r="G1453" s="1" t="inlineStr">
        <is>
          <t>Easy</t>
        </is>
      </c>
      <c r="H1453" s="1" t="n">
        <v>298556</v>
      </c>
      <c r="I1453" s="1" t="n">
        <v>353423</v>
      </c>
      <c r="J1453" s="9" t="n">
        <v>0.845</v>
      </c>
      <c r="K1453" s="1" t="inlineStr">
        <is>
          <t>Yes</t>
        </is>
      </c>
      <c r="L1453" s="1" t="inlineStr">
        <is>
          <t>Yes</t>
        </is>
      </c>
      <c r="M1453" s="1" t="inlineStr">
        <is>
          <t>No</t>
        </is>
      </c>
      <c r="N1453" s="1" t="inlineStr">
        <is>
          <t>Algorithms</t>
        </is>
      </c>
      <c r="O14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54" ht="15.75" customHeight="1" s="12">
      <c r="A1454" s="1" t="n">
        <v>2325</v>
      </c>
      <c r="B1454" s="3">
        <f>HYPERLINK("https://leetcode.com/problems/decode-the-message/", "Decode the Message")</f>
        <v/>
      </c>
      <c r="C1454" s="1" t="n">
        <v>1117</v>
      </c>
      <c r="D1454" s="1" t="n">
        <v>112</v>
      </c>
      <c r="E1454" s="4">
        <f>IF(INDEX(C:C, ROW())+INDEX(D:D, ROW())=0, 0, INDEX(C:C, ROW())/(INDEX(C:C, ROW())+INDEX(D:D, ROW())))</f>
        <v/>
      </c>
      <c r="F1454" s="1" t="inlineStr">
        <is>
          <t>Hash Table, String</t>
        </is>
      </c>
      <c r="G1454" s="1" t="inlineStr">
        <is>
          <t>Easy</t>
        </is>
      </c>
      <c r="H1454" s="1" t="n">
        <v>148878</v>
      </c>
      <c r="I1454" s="1" t="n">
        <v>173590</v>
      </c>
      <c r="J1454" s="9" t="n">
        <v>0.858</v>
      </c>
      <c r="K1454" s="1" t="inlineStr">
        <is>
          <t>Yes</t>
        </is>
      </c>
      <c r="L1454" s="1" t="inlineStr">
        <is>
          <t>No</t>
        </is>
      </c>
      <c r="M1454" s="1" t="inlineStr">
        <is>
          <t>No</t>
        </is>
      </c>
      <c r="N1454" s="1" t="inlineStr">
        <is>
          <t>Algorithms</t>
        </is>
      </c>
      <c r="O14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55" ht="15.75" customHeight="1" s="12">
      <c r="A1455" s="1" t="n">
        <v>2460</v>
      </c>
      <c r="B1455" s="3">
        <f>HYPERLINK("https://leetcode.com/problems/apply-operations-to-an-array/", "Apply Operations to an Array")</f>
        <v/>
      </c>
      <c r="C1455" s="1" t="n">
        <v>1117</v>
      </c>
      <c r="D1455" s="1" t="n">
        <v>66</v>
      </c>
      <c r="E1455" s="4">
        <f>IF(INDEX(C:C, ROW())+INDEX(D:D, ROW())=0, 0, INDEX(C:C, ROW())/(INDEX(C:C, ROW())+INDEX(D:D, ROW())))</f>
        <v/>
      </c>
      <c r="F1455" s="1" t="inlineStr">
        <is>
          <t>Array, Two Pointers, Simulation</t>
        </is>
      </c>
      <c r="G1455" s="1" t="inlineStr">
        <is>
          <t>Easy</t>
        </is>
      </c>
      <c r="H1455" s="1" t="n">
        <v>265607</v>
      </c>
      <c r="I1455" s="1" t="n">
        <v>355284</v>
      </c>
      <c r="J1455" s="9" t="n">
        <v>0.748</v>
      </c>
      <c r="K1455" s="1" t="inlineStr">
        <is>
          <t>Yes</t>
        </is>
      </c>
      <c r="L1455" s="1" t="inlineStr">
        <is>
          <t>Yes</t>
        </is>
      </c>
      <c r="M1455" s="1" t="inlineStr">
        <is>
          <t>No</t>
        </is>
      </c>
      <c r="N1455" s="1" t="inlineStr">
        <is>
          <t>Algorithms</t>
        </is>
      </c>
      <c r="O14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56" ht="15.75" customHeight="1" s="12">
      <c r="A1456" s="1" t="n">
        <v>1419</v>
      </c>
      <c r="B1456" s="3">
        <f>HYPERLINK("https://leetcode.com/problems/minimum-number-of-frogs-croaking/", "Minimum Number of Frogs Croaking")</f>
        <v/>
      </c>
      <c r="C1456" s="1" t="n">
        <v>1116</v>
      </c>
      <c r="D1456" s="1" t="n">
        <v>95</v>
      </c>
      <c r="E1456" s="4">
        <f>IF(INDEX(C:C, ROW())+INDEX(D:D, ROW())=0, 0, INDEX(C:C, ROW())/(INDEX(C:C, ROW())+INDEX(D:D, ROW())))</f>
        <v/>
      </c>
      <c r="F1456" s="1" t="inlineStr">
        <is>
          <t>String, Counting</t>
        </is>
      </c>
      <c r="G1456" s="1" t="inlineStr">
        <is>
          <t>Medium</t>
        </is>
      </c>
      <c r="H1456" s="1" t="n">
        <v>62066</v>
      </c>
      <c r="I1456" s="1" t="n">
        <v>121474</v>
      </c>
      <c r="J1456" s="9" t="n">
        <v>0.511</v>
      </c>
      <c r="K1456" s="1" t="inlineStr">
        <is>
          <t>Yes</t>
        </is>
      </c>
      <c r="L1456" s="1" t="inlineStr">
        <is>
          <t>No</t>
        </is>
      </c>
      <c r="M1456" s="1" t="inlineStr">
        <is>
          <t>No</t>
        </is>
      </c>
      <c r="N1456" s="1" t="inlineStr">
        <is>
          <t>Algorithms</t>
        </is>
      </c>
      <c r="O14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57" ht="15.75" customHeight="1" s="12">
      <c r="A1457" s="1" t="n">
        <v>186</v>
      </c>
      <c r="B1457" s="3">
        <f>HYPERLINK("https://leetcode.com/problems/reverse-words-in-a-string-ii/", "Reverse Words in a String II")</f>
        <v/>
      </c>
      <c r="C1457" s="1" t="n">
        <v>1115</v>
      </c>
      <c r="D1457" s="1" t="n">
        <v>146</v>
      </c>
      <c r="E1457" s="4">
        <f>IF(INDEX(C:C, ROW())+INDEX(D:D, ROW())=0, 0, INDEX(C:C, ROW())/(INDEX(C:C, ROW())+INDEX(D:D, ROW())))</f>
        <v/>
      </c>
      <c r="F1457" s="1" t="inlineStr">
        <is>
          <t>Two Pointers, String</t>
        </is>
      </c>
      <c r="G1457" s="1" t="inlineStr">
        <is>
          <t>Medium</t>
        </is>
      </c>
      <c r="H1457" s="1" t="n">
        <v>179154</v>
      </c>
      <c r="I1457" s="1" t="n">
        <v>317054</v>
      </c>
      <c r="J1457" s="9" t="n">
        <v>0.5649999999999999</v>
      </c>
      <c r="K1457" s="1" t="inlineStr">
        <is>
          <t>No</t>
        </is>
      </c>
      <c r="L1457" s="1" t="inlineStr">
        <is>
          <t>Yes</t>
        </is>
      </c>
      <c r="M1457" s="1" t="inlineStr">
        <is>
          <t>Yes</t>
        </is>
      </c>
      <c r="N1457" s="1" t="inlineStr">
        <is>
          <t>Algorithms</t>
        </is>
      </c>
      <c r="O14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58" ht="15.75" customHeight="1" s="12">
      <c r="A1458" s="1" t="n">
        <v>593</v>
      </c>
      <c r="B1458" s="3">
        <f>HYPERLINK("https://leetcode.com/problems/valid-square/", "Valid Square")</f>
        <v/>
      </c>
      <c r="C1458" s="1" t="n">
        <v>1115</v>
      </c>
      <c r="D1458" s="1" t="n">
        <v>913</v>
      </c>
      <c r="E1458" s="4">
        <f>IF(INDEX(C:C, ROW())+INDEX(D:D, ROW())=0, 0, INDEX(C:C, ROW())/(INDEX(C:C, ROW())+INDEX(D:D, ROW())))</f>
        <v/>
      </c>
      <c r="F1458" s="1" t="inlineStr">
        <is>
          <t>Math, Geometry</t>
        </is>
      </c>
      <c r="G1458" s="1" t="inlineStr">
        <is>
          <t>Medium</t>
        </is>
      </c>
      <c r="H1458" s="1" t="n">
        <v>127046</v>
      </c>
      <c r="I1458" s="1" t="n">
        <v>283854</v>
      </c>
      <c r="J1458" s="9" t="n">
        <v>0.448</v>
      </c>
      <c r="K1458" s="1" t="inlineStr">
        <is>
          <t>Yes</t>
        </is>
      </c>
      <c r="L1458" s="1" t="inlineStr">
        <is>
          <t>Yes</t>
        </is>
      </c>
      <c r="M1458" s="1" t="inlineStr">
        <is>
          <t>No</t>
        </is>
      </c>
      <c r="N1458" s="1" t="inlineStr">
        <is>
          <t>Algorithms</t>
        </is>
      </c>
      <c r="O14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59" ht="15.75" customHeight="1" s="12">
      <c r="A1459" s="1" t="n">
        <v>2799</v>
      </c>
      <c r="B1459" s="3">
        <f>HYPERLINK("https://leetcode.com/problems/count-complete-subarrays-in-an-array/", "Count Complete Subarrays in an Array")</f>
        <v/>
      </c>
      <c r="C1459" s="1" t="n">
        <v>1115</v>
      </c>
      <c r="D1459" s="1" t="n">
        <v>25</v>
      </c>
      <c r="E1459" s="4">
        <f>IF(INDEX(C:C, ROW())+INDEX(D:D, ROW())=0, 0, INDEX(C:C, ROW())/(INDEX(C:C, ROW())+INDEX(D:D, ROW())))</f>
        <v/>
      </c>
      <c r="F1459" s="1" t="inlineStr">
        <is>
          <t>Array, Hash Table, Sliding Window</t>
        </is>
      </c>
      <c r="G1459" s="1" t="inlineStr">
        <is>
          <t>Medium</t>
        </is>
      </c>
      <c r="H1459" s="1" t="n">
        <v>167229</v>
      </c>
      <c r="I1459" s="1" t="n">
        <v>220385</v>
      </c>
      <c r="J1459" s="9" t="n">
        <v>0.759</v>
      </c>
      <c r="K1459" s="1" t="inlineStr">
        <is>
          <t>Yes</t>
        </is>
      </c>
      <c r="L1459" s="1" t="inlineStr">
        <is>
          <t>Yes</t>
        </is>
      </c>
      <c r="M1459" s="1" t="inlineStr">
        <is>
          <t>No</t>
        </is>
      </c>
      <c r="N1459" s="1" t="inlineStr">
        <is>
          <t>Algorithms</t>
        </is>
      </c>
      <c r="O14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60" ht="15.75" customHeight="1" s="12">
      <c r="A1460" s="1" t="n">
        <v>616</v>
      </c>
      <c r="B1460" s="3">
        <f>HYPERLINK("https://leetcode.com/problems/add-bold-tag-in-string/", "Add Bold Tag in String")</f>
        <v/>
      </c>
      <c r="C1460" s="1" t="n">
        <v>1112</v>
      </c>
      <c r="D1460" s="1" t="n">
        <v>201</v>
      </c>
      <c r="E1460" s="4">
        <f>IF(INDEX(C:C, ROW())+INDEX(D:D, ROW())=0, 0, INDEX(C:C, ROW())/(INDEX(C:C, ROW())+INDEX(D:D, ROW())))</f>
        <v/>
      </c>
      <c r="F1460" s="1" t="inlineStr">
        <is>
          <t>Array, Hash Table, String, Trie, String Matching</t>
        </is>
      </c>
      <c r="G1460" s="1" t="inlineStr">
        <is>
          <t>Medium</t>
        </is>
      </c>
      <c r="H1460" s="1" t="n">
        <v>104112</v>
      </c>
      <c r="I1460" s="1" t="n">
        <v>202911</v>
      </c>
      <c r="J1460" s="9" t="n">
        <v>0.513</v>
      </c>
      <c r="K1460" s="1" t="inlineStr">
        <is>
          <t>No</t>
        </is>
      </c>
      <c r="L1460" s="1" t="inlineStr">
        <is>
          <t>Yes</t>
        </is>
      </c>
      <c r="M1460" s="1" t="inlineStr">
        <is>
          <t>No</t>
        </is>
      </c>
      <c r="N1460" s="1" t="inlineStr">
        <is>
          <t>Algorithms</t>
        </is>
      </c>
      <c r="O14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61" ht="15.75" customHeight="1" s="12">
      <c r="A1461" s="1" t="n">
        <v>1128</v>
      </c>
      <c r="B1461" s="3">
        <f>HYPERLINK("https://leetcode.com/problems/number-of-equivalent-domino-pairs/", "Number of Equivalent Domino Pairs")</f>
        <v/>
      </c>
      <c r="C1461" s="1" t="n">
        <v>1112</v>
      </c>
      <c r="D1461" s="1" t="n">
        <v>375</v>
      </c>
      <c r="E1461" s="4">
        <f>IF(INDEX(C:C, ROW())+INDEX(D:D, ROW())=0, 0, INDEX(C:C, ROW())/(INDEX(C:C, ROW())+INDEX(D:D, ROW())))</f>
        <v/>
      </c>
      <c r="F1461" s="1" t="inlineStr">
        <is>
          <t>Array, Hash Table, Counting</t>
        </is>
      </c>
      <c r="G1461" s="1" t="inlineStr">
        <is>
          <t>Easy</t>
        </is>
      </c>
      <c r="H1461" s="1" t="n">
        <v>200535</v>
      </c>
      <c r="I1461" s="1" t="n">
        <v>330925</v>
      </c>
      <c r="J1461" s="9" t="n">
        <v>0.606</v>
      </c>
      <c r="K1461" s="1" t="inlineStr">
        <is>
          <t>Yes</t>
        </is>
      </c>
      <c r="L1461" s="1" t="inlineStr">
        <is>
          <t>Yes</t>
        </is>
      </c>
      <c r="M1461" s="1" t="inlineStr">
        <is>
          <t>No</t>
        </is>
      </c>
      <c r="N1461" s="1" t="inlineStr">
        <is>
          <t>Algorithms</t>
        </is>
      </c>
      <c r="O14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62" ht="15.75" customHeight="1" s="12">
      <c r="A1462" s="1" t="n">
        <v>1546</v>
      </c>
      <c r="B1462" s="3">
        <f>HYPERLINK("https://leetcode.com/problems/maximum-number-of-non-overlapping-subarrays-with-sum-equals-target/", "Maximum Number of Non-Overlapping Subarrays With Sum Equals Target")</f>
        <v/>
      </c>
      <c r="C1462" s="1" t="n">
        <v>1112</v>
      </c>
      <c r="D1462" s="1" t="n">
        <v>28</v>
      </c>
      <c r="E1462" s="4">
        <f>IF(INDEX(C:C, ROW())+INDEX(D:D, ROW())=0, 0, INDEX(C:C, ROW())/(INDEX(C:C, ROW())+INDEX(D:D, ROW())))</f>
        <v/>
      </c>
      <c r="F1462" s="1" t="inlineStr">
        <is>
          <t>Array, Hash Table, Greedy, Prefix Sum</t>
        </is>
      </c>
      <c r="G1462" s="1" t="inlineStr">
        <is>
          <t>Medium</t>
        </is>
      </c>
      <c r="H1462" s="1" t="n">
        <v>34632</v>
      </c>
      <c r="I1462" s="1" t="n">
        <v>71165</v>
      </c>
      <c r="J1462" s="9" t="n">
        <v>0.487</v>
      </c>
      <c r="K1462" s="1" t="inlineStr">
        <is>
          <t>Yes</t>
        </is>
      </c>
      <c r="L1462" s="1" t="inlineStr">
        <is>
          <t>No</t>
        </is>
      </c>
      <c r="M1462" s="1" t="inlineStr">
        <is>
          <t>No</t>
        </is>
      </c>
      <c r="N1462" s="1" t="inlineStr">
        <is>
          <t>Algorithms</t>
        </is>
      </c>
      <c r="O14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63" ht="15.75" customHeight="1" s="12">
      <c r="A1463" s="1" t="n">
        <v>468</v>
      </c>
      <c r="B1463" s="3">
        <f>HYPERLINK("https://leetcode.com/problems/validate-ip-address/", "Validate IP Address")</f>
        <v/>
      </c>
      <c r="C1463" s="1" t="n">
        <v>1111</v>
      </c>
      <c r="D1463" s="1" t="n">
        <v>2743</v>
      </c>
      <c r="E1463" s="4">
        <f>IF(INDEX(C:C, ROW())+INDEX(D:D, ROW())=0, 0, INDEX(C:C, ROW())/(INDEX(C:C, ROW())+INDEX(D:D, ROW())))</f>
        <v/>
      </c>
      <c r="F1463" s="1" t="inlineStr">
        <is>
          <t>String</t>
        </is>
      </c>
      <c r="G1463" s="1" t="inlineStr">
        <is>
          <t>Medium</t>
        </is>
      </c>
      <c r="H1463" s="1" t="n">
        <v>197695</v>
      </c>
      <c r="I1463" s="1" t="n">
        <v>702378</v>
      </c>
      <c r="J1463" s="9" t="n">
        <v>0.281</v>
      </c>
      <c r="K1463" s="1" t="inlineStr">
        <is>
          <t>Yes</t>
        </is>
      </c>
      <c r="L1463" s="1" t="inlineStr">
        <is>
          <t>Yes</t>
        </is>
      </c>
      <c r="M1463" s="1" t="inlineStr">
        <is>
          <t>No</t>
        </is>
      </c>
      <c r="N1463" s="1" t="inlineStr">
        <is>
          <t>Algorithms</t>
        </is>
      </c>
      <c r="O14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64" ht="15.75" customHeight="1" s="12">
      <c r="A1464" s="1" t="n">
        <v>2109</v>
      </c>
      <c r="B1464" s="3">
        <f>HYPERLINK("https://leetcode.com/problems/adding-spaces-to-a-string/", "Adding Spaces to a String")</f>
        <v/>
      </c>
      <c r="C1464" s="1" t="n">
        <v>1111</v>
      </c>
      <c r="D1464" s="1" t="n">
        <v>113</v>
      </c>
      <c r="E1464" s="4">
        <f>IF(INDEX(C:C, ROW())+INDEX(D:D, ROW())=0, 0, INDEX(C:C, ROW())/(INDEX(C:C, ROW())+INDEX(D:D, ROW())))</f>
        <v/>
      </c>
      <c r="F1464" s="1" t="inlineStr">
        <is>
          <t>Array, Two Pointers, String, Simulation</t>
        </is>
      </c>
      <c r="G1464" s="1" t="inlineStr">
        <is>
          <t>Medium</t>
        </is>
      </c>
      <c r="H1464" s="1" t="n">
        <v>219427</v>
      </c>
      <c r="I1464" s="1" t="n">
        <v>305839</v>
      </c>
      <c r="J1464" s="9" t="n">
        <v>0.717</v>
      </c>
      <c r="K1464" s="1" t="inlineStr">
        <is>
          <t>Yes</t>
        </is>
      </c>
      <c r="L1464" s="1" t="inlineStr">
        <is>
          <t>Yes</t>
        </is>
      </c>
      <c r="M1464" s="1" t="inlineStr">
        <is>
          <t>No</t>
        </is>
      </c>
      <c r="N1464" s="1" t="inlineStr">
        <is>
          <t>Algorithms</t>
        </is>
      </c>
      <c r="O14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65" ht="15.75" customHeight="1" s="12">
      <c r="A1465" s="1" t="n">
        <v>924</v>
      </c>
      <c r="B1465" s="3">
        <f>HYPERLINK("https://leetcode.com/problems/minimize-malware-spread/", "Minimize Malware Spread")</f>
        <v/>
      </c>
      <c r="C1465" s="1" t="n">
        <v>1109</v>
      </c>
      <c r="D1465" s="1" t="n">
        <v>647</v>
      </c>
      <c r="E1465" s="4">
        <f>IF(INDEX(C:C, ROW())+INDEX(D:D, ROW())=0, 0, INDEX(C:C, ROW())/(INDEX(C:C, ROW())+INDEX(D:D, ROW())))</f>
        <v/>
      </c>
      <c r="F1465" s="1" t="inlineStr">
        <is>
          <t>Array, Hash Table, Depth-First Search, Breadth-First Search, Union-Find, Graph Theory</t>
        </is>
      </c>
      <c r="G1465" s="1" t="inlineStr">
        <is>
          <t>Hard</t>
        </is>
      </c>
      <c r="H1465" s="1" t="n">
        <v>71634</v>
      </c>
      <c r="I1465" s="1" t="n">
        <v>166996</v>
      </c>
      <c r="J1465" s="9" t="n">
        <v>0.429</v>
      </c>
      <c r="K1465" s="1" t="inlineStr">
        <is>
          <t>Yes</t>
        </is>
      </c>
      <c r="L1465" s="1" t="inlineStr">
        <is>
          <t>Yes</t>
        </is>
      </c>
      <c r="M1465" s="1" t="inlineStr">
        <is>
          <t>No</t>
        </is>
      </c>
      <c r="N1465" s="1" t="inlineStr">
        <is>
          <t>Algorithms</t>
        </is>
      </c>
      <c r="O14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66" ht="15.75" customHeight="1" s="12">
      <c r="A1466" s="1" t="n">
        <v>1101</v>
      </c>
      <c r="B1466" s="3">
        <f>HYPERLINK("https://leetcode.com/problems/the-earliest-moment-when-everyone-become-friends/", "The Earliest Moment When Everyone Become Friends")</f>
        <v/>
      </c>
      <c r="C1466" s="1" t="n">
        <v>1107</v>
      </c>
      <c r="D1466" s="1" t="n">
        <v>40</v>
      </c>
      <c r="E1466" s="4">
        <f>IF(INDEX(C:C, ROW())+INDEX(D:D, ROW())=0, 0, INDEX(C:C, ROW())/(INDEX(C:C, ROW())+INDEX(D:D, ROW())))</f>
        <v/>
      </c>
      <c r="F1466" s="1" t="inlineStr">
        <is>
          <t>Array, Union-Find, Sorting</t>
        </is>
      </c>
      <c r="G1466" s="1" t="inlineStr">
        <is>
          <t>Medium</t>
        </is>
      </c>
      <c r="H1466" s="1" t="n">
        <v>128310</v>
      </c>
      <c r="I1466" s="1" t="n">
        <v>194894</v>
      </c>
      <c r="J1466" s="9" t="n">
        <v>0.658</v>
      </c>
      <c r="K1466" s="1" t="inlineStr">
        <is>
          <t>No</t>
        </is>
      </c>
      <c r="L1466" s="1" t="inlineStr">
        <is>
          <t>Yes</t>
        </is>
      </c>
      <c r="M1466" s="1" t="inlineStr">
        <is>
          <t>No</t>
        </is>
      </c>
      <c r="N1466" s="1" t="inlineStr">
        <is>
          <t>Algorithms</t>
        </is>
      </c>
      <c r="O14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67" ht="15.75" customHeight="1" s="12">
      <c r="A1467" s="1" t="n">
        <v>2033</v>
      </c>
      <c r="B1467" s="3">
        <f>HYPERLINK("https://leetcode.com/problems/minimum-operations-to-make-a-uni-value-grid/", "Minimum Operations to Make a Uni-Value Grid")</f>
        <v/>
      </c>
      <c r="C1467" s="1" t="n">
        <v>1106</v>
      </c>
      <c r="D1467" s="1" t="n">
        <v>75</v>
      </c>
      <c r="E1467" s="4">
        <f>IF(INDEX(C:C, ROW())+INDEX(D:D, ROW())=0, 0, INDEX(C:C, ROW())/(INDEX(C:C, ROW())+INDEX(D:D, ROW())))</f>
        <v/>
      </c>
      <c r="F1467" s="1" t="inlineStr">
        <is>
          <t>Array, Math, Sorting, Matrix</t>
        </is>
      </c>
      <c r="G1467" s="1" t="inlineStr">
        <is>
          <t>Medium</t>
        </is>
      </c>
      <c r="H1467" s="1" t="n">
        <v>141448</v>
      </c>
      <c r="I1467" s="1" t="n">
        <v>209623</v>
      </c>
      <c r="J1467" s="9" t="n">
        <v>0.675</v>
      </c>
      <c r="K1467" s="1" t="inlineStr">
        <is>
          <t>Yes</t>
        </is>
      </c>
      <c r="L1467" s="1" t="inlineStr">
        <is>
          <t>Yes</t>
        </is>
      </c>
      <c r="M1467" s="1" t="inlineStr">
        <is>
          <t>No</t>
        </is>
      </c>
      <c r="N1467" s="1" t="inlineStr">
        <is>
          <t>Algorithms</t>
        </is>
      </c>
      <c r="O14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68" ht="15.75" customHeight="1" s="12">
      <c r="A1468" s="1" t="n">
        <v>2404</v>
      </c>
      <c r="B1468" s="3">
        <f>HYPERLINK("https://leetcode.com/problems/most-frequent-even-element/", "Most Frequent Even Element")</f>
        <v/>
      </c>
      <c r="C1468" s="1" t="n">
        <v>1106</v>
      </c>
      <c r="D1468" s="1" t="n">
        <v>41</v>
      </c>
      <c r="E1468" s="4">
        <f>IF(INDEX(C:C, ROW())+INDEX(D:D, ROW())=0, 0, INDEX(C:C, ROW())/(INDEX(C:C, ROW())+INDEX(D:D, ROW())))</f>
        <v/>
      </c>
      <c r="F1468" s="1" t="inlineStr">
        <is>
          <t>Array, Hash Table, Counting</t>
        </is>
      </c>
      <c r="G1468" s="1" t="inlineStr">
        <is>
          <t>Easy</t>
        </is>
      </c>
      <c r="H1468" s="1" t="n">
        <v>128180</v>
      </c>
      <c r="I1468" s="1" t="n">
        <v>242022</v>
      </c>
      <c r="J1468" s="9" t="n">
        <v>0.53</v>
      </c>
      <c r="K1468" s="1" t="inlineStr">
        <is>
          <t>Yes</t>
        </is>
      </c>
      <c r="L1468" s="1" t="inlineStr">
        <is>
          <t>No</t>
        </is>
      </c>
      <c r="M1468" s="1" t="inlineStr">
        <is>
          <t>No</t>
        </is>
      </c>
      <c r="N1468" s="1" t="inlineStr">
        <is>
          <t>Algorithms</t>
        </is>
      </c>
      <c r="O14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69" ht="15.75" customHeight="1" s="12">
      <c r="A1469" s="1" t="n">
        <v>2062</v>
      </c>
      <c r="B1469" s="3">
        <f>HYPERLINK("https://leetcode.com/problems/count-vowel-substrings-of-a-string/", "Count Vowel Substrings of a String")</f>
        <v/>
      </c>
      <c r="C1469" s="1" t="n">
        <v>1105</v>
      </c>
      <c r="D1469" s="1" t="n">
        <v>425</v>
      </c>
      <c r="E1469" s="4">
        <f>IF(INDEX(C:C, ROW())+INDEX(D:D, ROW())=0, 0, INDEX(C:C, ROW())/(INDEX(C:C, ROW())+INDEX(D:D, ROW())))</f>
        <v/>
      </c>
      <c r="F1469" s="1" t="inlineStr">
        <is>
          <t>Hash Table, String</t>
        </is>
      </c>
      <c r="G1469" s="1" t="inlineStr">
        <is>
          <t>Easy</t>
        </is>
      </c>
      <c r="H1469" s="1" t="n">
        <v>72834</v>
      </c>
      <c r="I1469" s="1" t="n">
        <v>100149</v>
      </c>
      <c r="J1469" s="9" t="n">
        <v>0.727</v>
      </c>
      <c r="K1469" s="1" t="inlineStr">
        <is>
          <t>Yes</t>
        </is>
      </c>
      <c r="L1469" s="1" t="inlineStr">
        <is>
          <t>No</t>
        </is>
      </c>
      <c r="M1469" s="1" t="inlineStr">
        <is>
          <t>No</t>
        </is>
      </c>
      <c r="N1469" s="1" t="inlineStr">
        <is>
          <t>Algorithms</t>
        </is>
      </c>
      <c r="O14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70" ht="15.75" customHeight="1" s="12">
      <c r="A1470" s="1" t="n">
        <v>2661</v>
      </c>
      <c r="B1470" s="3">
        <f>HYPERLINK("https://leetcode.com/problems/first-completely-painted-row-or-column/", "First Completely Painted Row or Column")</f>
        <v/>
      </c>
      <c r="C1470" s="1" t="n">
        <v>1102</v>
      </c>
      <c r="D1470" s="1" t="n">
        <v>32</v>
      </c>
      <c r="E1470" s="4">
        <f>IF(INDEX(C:C, ROW())+INDEX(D:D, ROW())=0, 0, INDEX(C:C, ROW())/(INDEX(C:C, ROW())+INDEX(D:D, ROW())))</f>
        <v/>
      </c>
      <c r="F1470" s="1" t="inlineStr">
        <is>
          <t>Array, Hash Table, Matrix</t>
        </is>
      </c>
      <c r="G1470" s="1" t="inlineStr">
        <is>
          <t>Medium</t>
        </is>
      </c>
      <c r="H1470" s="1" t="n">
        <v>158056</v>
      </c>
      <c r="I1470" s="1" t="n">
        <v>247389</v>
      </c>
      <c r="J1470" s="9" t="n">
        <v>0.639</v>
      </c>
      <c r="K1470" s="1" t="inlineStr">
        <is>
          <t>Yes</t>
        </is>
      </c>
      <c r="L1470" s="1" t="inlineStr">
        <is>
          <t>Yes</t>
        </is>
      </c>
      <c r="M1470" s="1" t="inlineStr">
        <is>
          <t>No</t>
        </is>
      </c>
      <c r="N1470" s="1" t="inlineStr">
        <is>
          <t>Algorithms</t>
        </is>
      </c>
      <c r="O14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71" ht="15.75" customHeight="1" s="12">
      <c r="A1471" s="1" t="n">
        <v>266</v>
      </c>
      <c r="B1471" s="3">
        <f>HYPERLINK("https://leetcode.com/problems/palindrome-permutation/", "Palindrome Permutation")</f>
        <v/>
      </c>
      <c r="C1471" s="1" t="n">
        <v>1101</v>
      </c>
      <c r="D1471" s="1" t="n">
        <v>73</v>
      </c>
      <c r="E1471" s="4">
        <f>IF(INDEX(C:C, ROW())+INDEX(D:D, ROW())=0, 0, INDEX(C:C, ROW())/(INDEX(C:C, ROW())+INDEX(D:D, ROW())))</f>
        <v/>
      </c>
      <c r="F1471" s="1" t="inlineStr">
        <is>
          <t>Hash Table, String, Bit Manipulation</t>
        </is>
      </c>
      <c r="G1471" s="1" t="inlineStr">
        <is>
          <t>Easy</t>
        </is>
      </c>
      <c r="H1471" s="1" t="n">
        <v>232466</v>
      </c>
      <c r="I1471" s="1" t="n">
        <v>338868</v>
      </c>
      <c r="J1471" s="9" t="n">
        <v>0.6860000000000001</v>
      </c>
      <c r="K1471" s="1" t="inlineStr">
        <is>
          <t>No</t>
        </is>
      </c>
      <c r="L1471" s="1" t="inlineStr">
        <is>
          <t>Yes</t>
        </is>
      </c>
      <c r="M1471" s="1" t="inlineStr">
        <is>
          <t>No</t>
        </is>
      </c>
      <c r="N1471" s="1" t="inlineStr">
        <is>
          <t>Algorithms</t>
        </is>
      </c>
      <c r="O14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72" ht="15.75" customHeight="1" s="12">
      <c r="A1472" s="1" t="n">
        <v>840</v>
      </c>
      <c r="B1472" s="3">
        <f>HYPERLINK("https://leetcode.com/problems/magic-squares-in-grid/", "Magic Squares In Grid")</f>
        <v/>
      </c>
      <c r="C1472" s="1" t="n">
        <v>1096</v>
      </c>
      <c r="D1472" s="1" t="n">
        <v>1897</v>
      </c>
      <c r="E1472" s="4">
        <f>IF(INDEX(C:C, ROW())+INDEX(D:D, ROW())=0, 0, INDEX(C:C, ROW())/(INDEX(C:C, ROW())+INDEX(D:D, ROW())))</f>
        <v/>
      </c>
      <c r="F1472" s="1" t="inlineStr">
        <is>
          <t>Array, Hash Table, Math, Matrix</t>
        </is>
      </c>
      <c r="G1472" s="1" t="inlineStr">
        <is>
          <t>Medium</t>
        </is>
      </c>
      <c r="H1472" s="1" t="n">
        <v>223667</v>
      </c>
      <c r="I1472" s="1" t="n">
        <v>405800</v>
      </c>
      <c r="J1472" s="9" t="n">
        <v>0.551</v>
      </c>
      <c r="K1472" s="1" t="inlineStr">
        <is>
          <t>Yes</t>
        </is>
      </c>
      <c r="L1472" s="1" t="inlineStr">
        <is>
          <t>Yes</t>
        </is>
      </c>
      <c r="M1472" s="1" t="inlineStr">
        <is>
          <t>No</t>
        </is>
      </c>
      <c r="N1472" s="1" t="inlineStr">
        <is>
          <t>Algorithms</t>
        </is>
      </c>
      <c r="O14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73" ht="15.75" customHeight="1" s="12">
      <c r="A1473" s="1" t="n">
        <v>2582</v>
      </c>
      <c r="B1473" s="3">
        <f>HYPERLINK("https://leetcode.com/problems/pass-the-pillow/", "Pass the Pillow")</f>
        <v/>
      </c>
      <c r="C1473" s="1" t="n">
        <v>1095</v>
      </c>
      <c r="D1473" s="1" t="n">
        <v>58</v>
      </c>
      <c r="E1473" s="4">
        <f>IF(INDEX(C:C, ROW())+INDEX(D:D, ROW())=0, 0, INDEX(C:C, ROW())/(INDEX(C:C, ROW())+INDEX(D:D, ROW())))</f>
        <v/>
      </c>
      <c r="F1473" s="1" t="inlineStr">
        <is>
          <t>Math, Simulation</t>
        </is>
      </c>
      <c r="G1473" s="1" t="inlineStr">
        <is>
          <t>Easy</t>
        </is>
      </c>
      <c r="H1473" s="1" t="n">
        <v>213129</v>
      </c>
      <c r="I1473" s="1" t="n">
        <v>376704</v>
      </c>
      <c r="J1473" s="9" t="n">
        <v>0.5659999999999999</v>
      </c>
      <c r="K1473" s="1" t="inlineStr">
        <is>
          <t>Yes</t>
        </is>
      </c>
      <c r="L1473" s="1" t="inlineStr">
        <is>
          <t>Yes</t>
        </is>
      </c>
      <c r="M1473" s="1" t="inlineStr">
        <is>
          <t>No</t>
        </is>
      </c>
      <c r="N1473" s="1" t="inlineStr">
        <is>
          <t>Algorithms</t>
        </is>
      </c>
      <c r="O14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74" ht="15.75" customHeight="1" s="12">
      <c r="A1474" s="1" t="n">
        <v>2211</v>
      </c>
      <c r="B1474" s="3">
        <f>HYPERLINK("https://leetcode.com/problems/count-collisions-on-a-road/", "Count Collisions on a Road")</f>
        <v/>
      </c>
      <c r="C1474" s="1" t="n">
        <v>1094</v>
      </c>
      <c r="D1474" s="1" t="n">
        <v>277</v>
      </c>
      <c r="E1474" s="4">
        <f>IF(INDEX(C:C, ROW())+INDEX(D:D, ROW())=0, 0, INDEX(C:C, ROW())/(INDEX(C:C, ROW())+INDEX(D:D, ROW())))</f>
        <v/>
      </c>
      <c r="F1474" s="1" t="inlineStr">
        <is>
          <t>String, Stack, Simulation</t>
        </is>
      </c>
      <c r="G1474" s="1" t="inlineStr">
        <is>
          <t>Medium</t>
        </is>
      </c>
      <c r="H1474" s="1" t="n">
        <v>124458</v>
      </c>
      <c r="I1474" s="1" t="n">
        <v>214294</v>
      </c>
      <c r="J1474" s="9" t="n">
        <v>0.581</v>
      </c>
      <c r="K1474" s="1" t="inlineStr">
        <is>
          <t>Yes</t>
        </is>
      </c>
      <c r="L1474" s="1" t="inlineStr">
        <is>
          <t>Yes</t>
        </is>
      </c>
      <c r="M1474" s="1" t="inlineStr">
        <is>
          <t>No</t>
        </is>
      </c>
      <c r="N1474" s="1" t="inlineStr">
        <is>
          <t>Algorithms</t>
        </is>
      </c>
      <c r="O14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75" ht="15.75" customHeight="1" s="12">
      <c r="A1475" s="1" t="n">
        <v>1045</v>
      </c>
      <c r="B1475" s="3">
        <f>HYPERLINK("https://leetcode.com/problems/customers-who-bought-all-products/", "Customers Who Bought All Products")</f>
        <v/>
      </c>
      <c r="C1475" s="1" t="n">
        <v>1093</v>
      </c>
      <c r="D1475" s="1" t="n">
        <v>92</v>
      </c>
      <c r="E1475" s="4">
        <f>IF(INDEX(C:C, ROW())+INDEX(D:D, ROW())=0, 0, INDEX(C:C, ROW())/(INDEX(C:C, ROW())+INDEX(D:D, ROW())))</f>
        <v/>
      </c>
      <c r="F1475" s="1" t="inlineStr">
        <is>
          <t>Database</t>
        </is>
      </c>
      <c r="G1475" s="1" t="inlineStr">
        <is>
          <t>Medium</t>
        </is>
      </c>
      <c r="H1475" s="1" t="n">
        <v>440508</v>
      </c>
      <c r="I1475" s="1" t="n">
        <v>692537</v>
      </c>
      <c r="J1475" s="9" t="n">
        <v>0.636</v>
      </c>
      <c r="K1475" s="1" t="inlineStr">
        <is>
          <t>Yes</t>
        </is>
      </c>
      <c r="L1475" s="1" t="inlineStr">
        <is>
          <t>Yes</t>
        </is>
      </c>
      <c r="M1475" s="1" t="inlineStr">
        <is>
          <t>No</t>
        </is>
      </c>
      <c r="N1475" s="1" t="inlineStr">
        <is>
          <t>Database</t>
        </is>
      </c>
      <c r="O14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76" ht="15.75" customHeight="1" s="12">
      <c r="A1476" s="1" t="n">
        <v>1818</v>
      </c>
      <c r="B1476" s="3">
        <f>HYPERLINK("https://leetcode.com/problems/minimum-absolute-sum-difference/", "Minimum Absolute Sum Difference")</f>
        <v/>
      </c>
      <c r="C1476" s="1" t="n">
        <v>1093</v>
      </c>
      <c r="D1476" s="1" t="n">
        <v>80</v>
      </c>
      <c r="E1476" s="4">
        <f>IF(INDEX(C:C, ROW())+INDEX(D:D, ROW())=0, 0, INDEX(C:C, ROW())/(INDEX(C:C, ROW())+INDEX(D:D, ROW())))</f>
        <v/>
      </c>
      <c r="F1476" s="1" t="inlineStr">
        <is>
          <t>Array, Binary Search, Sorting, Ordered Set</t>
        </is>
      </c>
      <c r="G1476" s="1" t="inlineStr">
        <is>
          <t>Medium</t>
        </is>
      </c>
      <c r="H1476" s="1" t="n">
        <v>31584</v>
      </c>
      <c r="I1476" s="1" t="n">
        <v>98515</v>
      </c>
      <c r="J1476" s="9" t="n">
        <v>0.321</v>
      </c>
      <c r="K1476" s="1" t="inlineStr">
        <is>
          <t>Yes</t>
        </is>
      </c>
      <c r="L1476" s="1" t="inlineStr">
        <is>
          <t>No</t>
        </is>
      </c>
      <c r="M1476" s="1" t="inlineStr">
        <is>
          <t>No</t>
        </is>
      </c>
      <c r="N1476" s="1" t="inlineStr">
        <is>
          <t>Algorithms</t>
        </is>
      </c>
      <c r="O14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77" ht="15.75" customHeight="1" s="12">
      <c r="A1477" s="1" t="n">
        <v>2503</v>
      </c>
      <c r="B1477" s="3">
        <f>HYPERLINK("https://leetcode.com/problems/maximum-number-of-points-from-grid-queries/", "Maximum Number of Points From Grid Queries")</f>
        <v/>
      </c>
      <c r="C1477" s="1" t="n">
        <v>1093</v>
      </c>
      <c r="D1477" s="1" t="n">
        <v>50</v>
      </c>
      <c r="E1477" s="4">
        <f>IF(INDEX(C:C, ROW())+INDEX(D:D, ROW())=0, 0, INDEX(C:C, ROW())/(INDEX(C:C, ROW())+INDEX(D:D, ROW())))</f>
        <v/>
      </c>
      <c r="F1477" s="1" t="inlineStr">
        <is>
          <t>Array, Two Pointers, Breadth-First Search, Union-Find, Sorting, Heap (Priority Queue), Matrix</t>
        </is>
      </c>
      <c r="G1477" s="1" t="inlineStr">
        <is>
          <t>Hard</t>
        </is>
      </c>
      <c r="H1477" s="1" t="n">
        <v>96616</v>
      </c>
      <c r="I1477" s="1" t="n">
        <v>162827</v>
      </c>
      <c r="J1477" s="9" t="n">
        <v>0.593</v>
      </c>
      <c r="K1477" s="1" t="inlineStr">
        <is>
          <t>Yes</t>
        </is>
      </c>
      <c r="L1477" s="1" t="inlineStr">
        <is>
          <t>Yes</t>
        </is>
      </c>
      <c r="M1477" s="1" t="inlineStr">
        <is>
          <t>No</t>
        </is>
      </c>
      <c r="N1477" s="1" t="inlineStr">
        <is>
          <t>Algorithms</t>
        </is>
      </c>
      <c r="O14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78" ht="15.75" customHeight="1" s="12">
      <c r="A1478" s="1" t="n">
        <v>1018</v>
      </c>
      <c r="B1478" s="3">
        <f>HYPERLINK("https://leetcode.com/problems/binary-prefix-divisible-by-5/", "Binary Prefix Divisible By 5")</f>
        <v/>
      </c>
      <c r="C1478" s="1" t="n">
        <v>1092</v>
      </c>
      <c r="D1478" s="1" t="n">
        <v>229</v>
      </c>
      <c r="E1478" s="4">
        <f>IF(INDEX(C:C, ROW())+INDEX(D:D, ROW())=0, 0, INDEX(C:C, ROW())/(INDEX(C:C, ROW())+INDEX(D:D, ROW())))</f>
        <v/>
      </c>
      <c r="F1478" s="1" t="inlineStr">
        <is>
          <t>Array, Bit Manipulation</t>
        </is>
      </c>
      <c r="G1478" s="1" t="inlineStr">
        <is>
          <t>Easy</t>
        </is>
      </c>
      <c r="H1478" s="1" t="n">
        <v>178387</v>
      </c>
      <c r="I1478" s="1" t="n">
        <v>333444</v>
      </c>
      <c r="J1478" s="9" t="n">
        <v>0.535</v>
      </c>
      <c r="K1478" s="1" t="inlineStr">
        <is>
          <t>Yes</t>
        </is>
      </c>
      <c r="L1478" s="1" t="inlineStr">
        <is>
          <t>Yes</t>
        </is>
      </c>
      <c r="M1478" s="1" t="inlineStr">
        <is>
          <t>No</t>
        </is>
      </c>
      <c r="N1478" s="1" t="inlineStr">
        <is>
          <t>Algorithms</t>
        </is>
      </c>
      <c r="O14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79" ht="15.75" customHeight="1" s="12">
      <c r="A1479" s="1" t="n">
        <v>776</v>
      </c>
      <c r="B1479" s="3">
        <f>HYPERLINK("https://leetcode.com/problems/split-bst/", "Split BST")</f>
        <v/>
      </c>
      <c r="C1479" s="1" t="n">
        <v>1091</v>
      </c>
      <c r="D1479" s="1" t="n">
        <v>105</v>
      </c>
      <c r="E1479" s="4">
        <f>IF(INDEX(C:C, ROW())+INDEX(D:D, ROW())=0, 0, INDEX(C:C, ROW())/(INDEX(C:C, ROW())+INDEX(D:D, ROW())))</f>
        <v/>
      </c>
      <c r="F1479" s="1" t="inlineStr">
        <is>
          <t>Tree, Binary Search Tree, Recursion, Binary Tree</t>
        </is>
      </c>
      <c r="G1479" s="1" t="inlineStr">
        <is>
          <t>Medium</t>
        </is>
      </c>
      <c r="H1479" s="1" t="n">
        <v>112060</v>
      </c>
      <c r="I1479" s="1" t="n">
        <v>136270</v>
      </c>
      <c r="J1479" s="9" t="n">
        <v>0.822</v>
      </c>
      <c r="K1479" s="1" t="inlineStr">
        <is>
          <t>No</t>
        </is>
      </c>
      <c r="L1479" s="1" t="inlineStr">
        <is>
          <t>Yes</t>
        </is>
      </c>
      <c r="M1479" s="1" t="inlineStr">
        <is>
          <t>No</t>
        </is>
      </c>
      <c r="N1479" s="1" t="inlineStr">
        <is>
          <t>Algorithms</t>
        </is>
      </c>
      <c r="O14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80" ht="15.75" customHeight="1" s="12">
      <c r="A1480" s="1" t="n">
        <v>2429</v>
      </c>
      <c r="B1480" s="3">
        <f>HYPERLINK("https://leetcode.com/problems/minimize-xor/", "Minimize XOR")</f>
        <v/>
      </c>
      <c r="C1480" s="1" t="n">
        <v>1090</v>
      </c>
      <c r="D1480" s="1" t="n">
        <v>77</v>
      </c>
      <c r="E1480" s="4">
        <f>IF(INDEX(C:C, ROW())+INDEX(D:D, ROW())=0, 0, INDEX(C:C, ROW())/(INDEX(C:C, ROW())+INDEX(D:D, ROW())))</f>
        <v/>
      </c>
      <c r="F1480" s="1" t="inlineStr">
        <is>
          <t>Greedy, Bit Manipulation</t>
        </is>
      </c>
      <c r="G1480" s="1" t="inlineStr">
        <is>
          <t>Medium</t>
        </is>
      </c>
      <c r="H1480" s="1" t="n">
        <v>138380</v>
      </c>
      <c r="I1480" s="1" t="n">
        <v>221713</v>
      </c>
      <c r="J1480" s="9" t="n">
        <v>0.624</v>
      </c>
      <c r="K1480" s="1" t="inlineStr">
        <is>
          <t>Yes</t>
        </is>
      </c>
      <c r="L1480" s="1" t="inlineStr">
        <is>
          <t>Yes</t>
        </is>
      </c>
      <c r="M1480" s="1" t="inlineStr">
        <is>
          <t>No</t>
        </is>
      </c>
      <c r="N1480" s="1" t="inlineStr">
        <is>
          <t>Algorithms</t>
        </is>
      </c>
      <c r="O14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81" ht="15.75" customHeight="1" s="12">
      <c r="A1481" s="1" t="n">
        <v>2071</v>
      </c>
      <c r="B1481" s="3">
        <f>HYPERLINK("https://leetcode.com/problems/maximum-number-of-tasks-you-can-assign/", "Maximum Number of Tasks You Can Assign")</f>
        <v/>
      </c>
      <c r="C1481" s="1" t="n">
        <v>1087</v>
      </c>
      <c r="D1481" s="1" t="n">
        <v>57</v>
      </c>
      <c r="E1481" s="4">
        <f>IF(INDEX(C:C, ROW())+INDEX(D:D, ROW())=0, 0, INDEX(C:C, ROW())/(INDEX(C:C, ROW())+INDEX(D:D, ROW())))</f>
        <v/>
      </c>
      <c r="F1481" s="1" t="inlineStr">
        <is>
          <t>Array, Two Pointers, Binary Search, Greedy, Queue, Sorting, Monotonic Queue</t>
        </is>
      </c>
      <c r="G1481" s="1" t="inlineStr">
        <is>
          <t>Hard</t>
        </is>
      </c>
      <c r="H1481" s="1" t="n">
        <v>85122</v>
      </c>
      <c r="I1481" s="1" t="n">
        <v>169589</v>
      </c>
      <c r="J1481" s="9" t="n">
        <v>0.502</v>
      </c>
      <c r="K1481" s="1" t="inlineStr">
        <is>
          <t>Yes</t>
        </is>
      </c>
      <c r="L1481" s="1" t="inlineStr">
        <is>
          <t>Yes</t>
        </is>
      </c>
      <c r="M1481" s="1" t="inlineStr">
        <is>
          <t>No</t>
        </is>
      </c>
      <c r="N1481" s="1" t="inlineStr">
        <is>
          <t>Algorithms</t>
        </is>
      </c>
      <c r="O14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82" ht="15.75" customHeight="1" s="12">
      <c r="A1482" s="1" t="n">
        <v>244</v>
      </c>
      <c r="B1482" s="3">
        <f>HYPERLINK("https://leetcode.com/problems/shortest-word-distance-ii/", "Shortest Word Distance II")</f>
        <v/>
      </c>
      <c r="C1482" s="1" t="n">
        <v>1082</v>
      </c>
      <c r="D1482" s="1" t="n">
        <v>396</v>
      </c>
      <c r="E1482" s="4">
        <f>IF(INDEX(C:C, ROW())+INDEX(D:D, ROW())=0, 0, INDEX(C:C, ROW())/(INDEX(C:C, ROW())+INDEX(D:D, ROW())))</f>
        <v/>
      </c>
      <c r="F1482" s="1" t="inlineStr">
        <is>
          <t>Array, Hash Table, Two Pointers, String, Design</t>
        </is>
      </c>
      <c r="G1482" s="1" t="inlineStr">
        <is>
          <t>Medium</t>
        </is>
      </c>
      <c r="H1482" s="1" t="n">
        <v>176245</v>
      </c>
      <c r="I1482" s="1" t="n">
        <v>281373</v>
      </c>
      <c r="J1482" s="9" t="n">
        <v>0.626</v>
      </c>
      <c r="K1482" s="1" t="inlineStr">
        <is>
          <t>No</t>
        </is>
      </c>
      <c r="L1482" s="1" t="inlineStr">
        <is>
          <t>Yes</t>
        </is>
      </c>
      <c r="M1482" s="1" t="inlineStr">
        <is>
          <t>Yes</t>
        </is>
      </c>
      <c r="N1482" s="1" t="inlineStr">
        <is>
          <t>Algorithms</t>
        </is>
      </c>
      <c r="O14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83" ht="15.75" customHeight="1" s="12">
      <c r="A1483" s="1" t="n">
        <v>911</v>
      </c>
      <c r="B1483" s="3">
        <f>HYPERLINK("https://leetcode.com/problems/online-election/", "Online Election")</f>
        <v/>
      </c>
      <c r="C1483" s="1" t="n">
        <v>1080</v>
      </c>
      <c r="D1483" s="1" t="n">
        <v>680</v>
      </c>
      <c r="E1483" s="4">
        <f>IF(INDEX(C:C, ROW())+INDEX(D:D, ROW())=0, 0, INDEX(C:C, ROW())/(INDEX(C:C, ROW())+INDEX(D:D, ROW())))</f>
        <v/>
      </c>
      <c r="F1483" s="1" t="inlineStr">
        <is>
          <t>Array, Hash Table, Binary Search, Design</t>
        </is>
      </c>
      <c r="G1483" s="1" t="inlineStr">
        <is>
          <t>Medium</t>
        </is>
      </c>
      <c r="H1483" s="1" t="n">
        <v>75849</v>
      </c>
      <c r="I1483" s="1" t="n">
        <v>144295</v>
      </c>
      <c r="J1483" s="9" t="n">
        <v>0.526</v>
      </c>
      <c r="K1483" s="1" t="inlineStr">
        <is>
          <t>Yes</t>
        </is>
      </c>
      <c r="L1483" s="1" t="inlineStr">
        <is>
          <t>Yes</t>
        </is>
      </c>
      <c r="M1483" s="1" t="inlineStr">
        <is>
          <t>No</t>
        </is>
      </c>
      <c r="N1483" s="1" t="inlineStr">
        <is>
          <t>Algorithms</t>
        </is>
      </c>
      <c r="O14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84" ht="15.75" customHeight="1" s="12">
      <c r="A1484" s="1" t="n">
        <v>2260</v>
      </c>
      <c r="B1484" s="3">
        <f>HYPERLINK("https://leetcode.com/problems/minimum-consecutive-cards-to-pick-up/", "Minimum Consecutive Cards to Pick Up")</f>
        <v/>
      </c>
      <c r="C1484" s="1" t="n">
        <v>1078</v>
      </c>
      <c r="D1484" s="1" t="n">
        <v>45</v>
      </c>
      <c r="E1484" s="4">
        <f>IF(INDEX(C:C, ROW())+INDEX(D:D, ROW())=0, 0, INDEX(C:C, ROW())/(INDEX(C:C, ROW())+INDEX(D:D, ROW())))</f>
        <v/>
      </c>
      <c r="F1484" s="1" t="inlineStr">
        <is>
          <t>Array, Hash Table, Sliding Window</t>
        </is>
      </c>
      <c r="G1484" s="1" t="inlineStr">
        <is>
          <t>Medium</t>
        </is>
      </c>
      <c r="H1484" s="1" t="n">
        <v>116408</v>
      </c>
      <c r="I1484" s="1" t="n">
        <v>218130</v>
      </c>
      <c r="J1484" s="9" t="n">
        <v>0.534</v>
      </c>
      <c r="K1484" s="1" t="inlineStr">
        <is>
          <t>Yes</t>
        </is>
      </c>
      <c r="L1484" s="1" t="inlineStr">
        <is>
          <t>No</t>
        </is>
      </c>
      <c r="M1484" s="1" t="inlineStr">
        <is>
          <t>No</t>
        </is>
      </c>
      <c r="N1484" s="1" t="inlineStr">
        <is>
          <t>Algorithms</t>
        </is>
      </c>
      <c r="O14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85" ht="15.75" customHeight="1" s="12">
      <c r="A1485" s="1" t="n">
        <v>2133</v>
      </c>
      <c r="B1485" s="3">
        <f>HYPERLINK("https://leetcode.com/problems/check-if-every-row-and-column-contains-all-numbers/", "Check if Every Row and Column Contains All Numbers")</f>
        <v/>
      </c>
      <c r="C1485" s="1" t="n">
        <v>1076</v>
      </c>
      <c r="D1485" s="1" t="n">
        <v>58</v>
      </c>
      <c r="E1485" s="4">
        <f>IF(INDEX(C:C, ROW())+INDEX(D:D, ROW())=0, 0, INDEX(C:C, ROW())/(INDEX(C:C, ROW())+INDEX(D:D, ROW())))</f>
        <v/>
      </c>
      <c r="F1485" s="1" t="inlineStr">
        <is>
          <t>Array, Hash Table, Matrix</t>
        </is>
      </c>
      <c r="G1485" s="1" t="inlineStr">
        <is>
          <t>Easy</t>
        </is>
      </c>
      <c r="H1485" s="1" t="n">
        <v>111292</v>
      </c>
      <c r="I1485" s="1" t="n">
        <v>206686</v>
      </c>
      <c r="J1485" s="9" t="n">
        <v>0.538</v>
      </c>
      <c r="K1485" s="1" t="inlineStr">
        <is>
          <t>Yes</t>
        </is>
      </c>
      <c r="L1485" s="1" t="inlineStr">
        <is>
          <t>No</t>
        </is>
      </c>
      <c r="M1485" s="1" t="inlineStr">
        <is>
          <t>No</t>
        </is>
      </c>
      <c r="N1485" s="1" t="inlineStr">
        <is>
          <t>Algorithms</t>
        </is>
      </c>
      <c r="O14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86" ht="15.75" customHeight="1" s="12">
      <c r="A1486" s="1" t="n">
        <v>1156</v>
      </c>
      <c r="B1486" s="3">
        <f>HYPERLINK("https://leetcode.com/problems/swap-for-longest-repeated-character-substring/", "Swap For Longest Repeated Character Substring")</f>
        <v/>
      </c>
      <c r="C1486" s="1" t="n">
        <v>1075</v>
      </c>
      <c r="D1486" s="1" t="n">
        <v>104</v>
      </c>
      <c r="E1486" s="4">
        <f>IF(INDEX(C:C, ROW())+INDEX(D:D, ROW())=0, 0, INDEX(C:C, ROW())/(INDEX(C:C, ROW())+INDEX(D:D, ROW())))</f>
        <v/>
      </c>
      <c r="F1486" s="1" t="inlineStr">
        <is>
          <t>Hash Table, String, Sliding Window</t>
        </is>
      </c>
      <c r="G1486" s="1" t="inlineStr">
        <is>
          <t>Medium</t>
        </is>
      </c>
      <c r="H1486" s="1" t="n">
        <v>39746</v>
      </c>
      <c r="I1486" s="1" t="n">
        <v>90218</v>
      </c>
      <c r="J1486" s="9" t="n">
        <v>0.441</v>
      </c>
      <c r="K1486" s="1" t="inlineStr">
        <is>
          <t>Yes</t>
        </is>
      </c>
      <c r="L1486" s="1" t="inlineStr">
        <is>
          <t>No</t>
        </is>
      </c>
      <c r="M1486" s="1" t="inlineStr">
        <is>
          <t>No</t>
        </is>
      </c>
      <c r="N1486" s="1" t="inlineStr">
        <is>
          <t>Algorithms</t>
        </is>
      </c>
      <c r="O14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87" ht="15.75" customHeight="1" s="12">
      <c r="A1487" s="1" t="n">
        <v>1003</v>
      </c>
      <c r="B1487" s="3">
        <f>HYPERLINK("https://leetcode.com/problems/check-if-word-is-valid-after-substitutions/", "Check If Word Is Valid After Substitutions")</f>
        <v/>
      </c>
      <c r="C1487" s="1" t="n">
        <v>1074</v>
      </c>
      <c r="D1487" s="1" t="n">
        <v>472</v>
      </c>
      <c r="E1487" s="4">
        <f>IF(INDEX(C:C, ROW())+INDEX(D:D, ROW())=0, 0, INDEX(C:C, ROW())/(INDEX(C:C, ROW())+INDEX(D:D, ROW())))</f>
        <v/>
      </c>
      <c r="F1487" s="1" t="inlineStr">
        <is>
          <t>String, Stack</t>
        </is>
      </c>
      <c r="G1487" s="1" t="inlineStr">
        <is>
          <t>Medium</t>
        </is>
      </c>
      <c r="H1487" s="1" t="n">
        <v>82603</v>
      </c>
      <c r="I1487" s="1" t="n">
        <v>135572</v>
      </c>
      <c r="J1487" s="9" t="n">
        <v>0.609</v>
      </c>
      <c r="K1487" s="1" t="inlineStr">
        <is>
          <t>Yes</t>
        </is>
      </c>
      <c r="L1487" s="1" t="inlineStr">
        <is>
          <t>No</t>
        </is>
      </c>
      <c r="M1487" s="1" t="inlineStr">
        <is>
          <t>No</t>
        </is>
      </c>
      <c r="N1487" s="1" t="inlineStr">
        <is>
          <t>Algorithms</t>
        </is>
      </c>
      <c r="O14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88" ht="15.75" customHeight="1" s="12">
      <c r="A1488" s="1" t="n">
        <v>2491</v>
      </c>
      <c r="B1488" s="3">
        <f>HYPERLINK("https://leetcode.com/problems/divide-players-into-teams-of-equal-skill/", "Divide Players Into Teams of Equal Skill")</f>
        <v/>
      </c>
      <c r="C1488" s="1" t="n">
        <v>1074</v>
      </c>
      <c r="D1488" s="1" t="n">
        <v>35</v>
      </c>
      <c r="E1488" s="4">
        <f>IF(INDEX(C:C, ROW())+INDEX(D:D, ROW())=0, 0, INDEX(C:C, ROW())/(INDEX(C:C, ROW())+INDEX(D:D, ROW())))</f>
        <v/>
      </c>
      <c r="F1488" s="1" t="inlineStr">
        <is>
          <t>Array, Hash Table, Two Pointers, Sorting</t>
        </is>
      </c>
      <c r="G1488" s="1" t="inlineStr">
        <is>
          <t>Medium</t>
        </is>
      </c>
      <c r="H1488" s="1" t="n">
        <v>198277</v>
      </c>
      <c r="I1488" s="1" t="n">
        <v>287831</v>
      </c>
      <c r="J1488" s="9" t="n">
        <v>0.6889999999999999</v>
      </c>
      <c r="K1488" s="1" t="inlineStr">
        <is>
          <t>Yes</t>
        </is>
      </c>
      <c r="L1488" s="1" t="inlineStr">
        <is>
          <t>Yes</t>
        </is>
      </c>
      <c r="M1488" s="1" t="inlineStr">
        <is>
          <t>No</t>
        </is>
      </c>
      <c r="N1488" s="1" t="inlineStr">
        <is>
          <t>Algorithms</t>
        </is>
      </c>
      <c r="O14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89" ht="15.75" customHeight="1" s="12">
      <c r="A1489" s="1" t="n">
        <v>2110</v>
      </c>
      <c r="B1489" s="3">
        <f>HYPERLINK("https://leetcode.com/problems/number-of-smooth-descent-periods-of-a-stock/", "Number of Smooth Descent Periods of a Stock")</f>
        <v/>
      </c>
      <c r="C1489" s="1" t="n">
        <v>1073</v>
      </c>
      <c r="D1489" s="1" t="n">
        <v>52</v>
      </c>
      <c r="E1489" s="4">
        <f>IF(INDEX(C:C, ROW())+INDEX(D:D, ROW())=0, 0, INDEX(C:C, ROW())/(INDEX(C:C, ROW())+INDEX(D:D, ROW())))</f>
        <v/>
      </c>
      <c r="F1489" s="1" t="inlineStr">
        <is>
          <t>Array, Math, Two Pointers, Dynamic Programming, Sliding Window</t>
        </is>
      </c>
      <c r="G1489" s="1" t="inlineStr">
        <is>
          <t>Medium</t>
        </is>
      </c>
      <c r="H1489" s="1" t="n">
        <v>139846</v>
      </c>
      <c r="I1489" s="1" t="n">
        <v>206495</v>
      </c>
      <c r="J1489" s="9" t="n">
        <v>0.677</v>
      </c>
      <c r="K1489" s="1" t="inlineStr">
        <is>
          <t>Yes</t>
        </is>
      </c>
      <c r="L1489" s="1" t="inlineStr">
        <is>
          <t>Yes</t>
        </is>
      </c>
      <c r="M1489" s="1" t="inlineStr">
        <is>
          <t>No</t>
        </is>
      </c>
      <c r="N1489" s="1" t="inlineStr">
        <is>
          <t>Algorithms</t>
        </is>
      </c>
      <c r="O14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90" ht="15.75" customHeight="1" s="12">
      <c r="A1490" s="1" t="n">
        <v>428</v>
      </c>
      <c r="B1490" s="3">
        <f>HYPERLINK("https://leetcode.com/problems/serialize-and-deserialize-n-ary-tree/", "Serialize and Deserialize N-ary Tree")</f>
        <v/>
      </c>
      <c r="C1490" s="1" t="n">
        <v>1070</v>
      </c>
      <c r="D1490" s="1" t="n">
        <v>58</v>
      </c>
      <c r="E1490" s="4">
        <f>IF(INDEX(C:C, ROW())+INDEX(D:D, ROW())=0, 0, INDEX(C:C, ROW())/(INDEX(C:C, ROW())+INDEX(D:D, ROW())))</f>
        <v/>
      </c>
      <c r="F1490" s="1" t="inlineStr">
        <is>
          <t>String, Tree, Depth-First Search, Breadth-First Search</t>
        </is>
      </c>
      <c r="G1490" s="1" t="inlineStr">
        <is>
          <t>Hard</t>
        </is>
      </c>
      <c r="H1490" s="1" t="n">
        <v>98410</v>
      </c>
      <c r="I1490" s="1" t="n">
        <v>143551</v>
      </c>
      <c r="J1490" s="9" t="n">
        <v>0.6860000000000001</v>
      </c>
      <c r="K1490" s="1" t="inlineStr">
        <is>
          <t>No</t>
        </is>
      </c>
      <c r="L1490" s="1" t="inlineStr">
        <is>
          <t>Yes</t>
        </is>
      </c>
      <c r="M1490" s="1" t="inlineStr">
        <is>
          <t>No</t>
        </is>
      </c>
      <c r="N1490" s="1" t="inlineStr">
        <is>
          <t>Algorithms</t>
        </is>
      </c>
      <c r="O14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91" ht="15.75" customHeight="1" s="12">
      <c r="A1491" s="1" t="n">
        <v>3217</v>
      </c>
      <c r="B1491" s="3">
        <f>HYPERLINK("https://leetcode.com/problems/delete-nodes-from-linked-list-present-in-array/", "Delete Nodes From Linked List Present in Array")</f>
        <v/>
      </c>
      <c r="C1491" s="1" t="n">
        <v>1069</v>
      </c>
      <c r="D1491" s="1" t="n">
        <v>50</v>
      </c>
      <c r="E1491" s="4">
        <f>IF(INDEX(C:C, ROW())+INDEX(D:D, ROW())=0, 0, INDEX(C:C, ROW())/(INDEX(C:C, ROW())+INDEX(D:D, ROW())))</f>
        <v/>
      </c>
      <c r="F1491" s="1" t="inlineStr">
        <is>
          <t>Array, Hash Table, Linked List</t>
        </is>
      </c>
      <c r="G1491" s="1" t="inlineStr">
        <is>
          <t>Medium</t>
        </is>
      </c>
      <c r="H1491" s="1" t="n">
        <v>329677</v>
      </c>
      <c r="I1491" s="1" t="n">
        <v>473927</v>
      </c>
      <c r="J1491" s="9" t="n">
        <v>0.696</v>
      </c>
      <c r="K1491" s="1" t="inlineStr">
        <is>
          <t>Yes</t>
        </is>
      </c>
      <c r="L1491" s="1" t="inlineStr">
        <is>
          <t>Yes</t>
        </is>
      </c>
      <c r="M1491" s="1" t="inlineStr">
        <is>
          <t>No</t>
        </is>
      </c>
      <c r="N1491" s="1" t="inlineStr">
        <is>
          <t>Algorithms</t>
        </is>
      </c>
      <c r="O14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92" ht="15.75" customHeight="1" s="12">
      <c r="A1492" s="1" t="n">
        <v>1529</v>
      </c>
      <c r="B1492" s="3">
        <f>HYPERLINK("https://leetcode.com/problems/minimum-suffix-flips/", "Minimum Suffix Flips")</f>
        <v/>
      </c>
      <c r="C1492" s="1" t="n">
        <v>1068</v>
      </c>
      <c r="D1492" s="1" t="n">
        <v>50</v>
      </c>
      <c r="E1492" s="4">
        <f>IF(INDEX(C:C, ROW())+INDEX(D:D, ROW())=0, 0, INDEX(C:C, ROW())/(INDEX(C:C, ROW())+INDEX(D:D, ROW())))</f>
        <v/>
      </c>
      <c r="F1492" s="1" t="inlineStr">
        <is>
          <t>String, Greedy</t>
        </is>
      </c>
      <c r="G1492" s="1" t="inlineStr">
        <is>
          <t>Medium</t>
        </is>
      </c>
      <c r="H1492" s="1" t="n">
        <v>65012</v>
      </c>
      <c r="I1492" s="1" t="n">
        <v>88041</v>
      </c>
      <c r="J1492" s="9" t="n">
        <v>0.738</v>
      </c>
      <c r="K1492" s="1" t="inlineStr">
        <is>
          <t>Yes</t>
        </is>
      </c>
      <c r="L1492" s="1" t="inlineStr">
        <is>
          <t>No</t>
        </is>
      </c>
      <c r="M1492" s="1" t="inlineStr">
        <is>
          <t>No</t>
        </is>
      </c>
      <c r="N1492" s="1" t="inlineStr">
        <is>
          <t>Algorithms</t>
        </is>
      </c>
      <c r="O14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93" ht="15.75" customHeight="1" s="12">
      <c r="A1493" s="1" t="n">
        <v>2097</v>
      </c>
      <c r="B1493" s="3">
        <f>HYPERLINK("https://leetcode.com/problems/valid-arrangement-of-pairs/", "Valid Arrangement of Pairs")</f>
        <v/>
      </c>
      <c r="C1493" s="1" t="n">
        <v>1067</v>
      </c>
      <c r="D1493" s="1" t="n">
        <v>55</v>
      </c>
      <c r="E1493" s="4">
        <f>IF(INDEX(C:C, ROW())+INDEX(D:D, ROW())=0, 0, INDEX(C:C, ROW())/(INDEX(C:C, ROW())+INDEX(D:D, ROW())))</f>
        <v/>
      </c>
      <c r="F1493" s="1" t="inlineStr">
        <is>
          <t>Depth-First Search, Graph Theory, Eulerian Circuit</t>
        </is>
      </c>
      <c r="G1493" s="1" t="inlineStr">
        <is>
          <t>Hard</t>
        </is>
      </c>
      <c r="H1493" s="1" t="n">
        <v>80671</v>
      </c>
      <c r="I1493" s="1" t="n">
        <v>121427</v>
      </c>
      <c r="J1493" s="9" t="n">
        <v>0.664</v>
      </c>
      <c r="K1493" s="1" t="inlineStr">
        <is>
          <t>Yes</t>
        </is>
      </c>
      <c r="L1493" s="1" t="inlineStr">
        <is>
          <t>Yes</t>
        </is>
      </c>
      <c r="M1493" s="1" t="inlineStr">
        <is>
          <t>No</t>
        </is>
      </c>
      <c r="N1493" s="1" t="inlineStr">
        <is>
          <t>Algorithms</t>
        </is>
      </c>
      <c r="O14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94" ht="15.75" customHeight="1" s="12">
      <c r="A1494" s="1" t="n">
        <v>2583</v>
      </c>
      <c r="B1494" s="3">
        <f>HYPERLINK("https://leetcode.com/problems/kth-largest-sum-in-a-binary-tree/", "Kth Largest Sum in a Binary Tree")</f>
        <v/>
      </c>
      <c r="C1494" s="1" t="n">
        <v>1064</v>
      </c>
      <c r="D1494" s="1" t="n">
        <v>40</v>
      </c>
      <c r="E1494" s="4">
        <f>IF(INDEX(C:C, ROW())+INDEX(D:D, ROW())=0, 0, INDEX(C:C, ROW())/(INDEX(C:C, ROW())+INDEX(D:D, ROW())))</f>
        <v/>
      </c>
      <c r="F1494" s="1" t="inlineStr">
        <is>
          <t>Tree, Breadth-First Search, Sorting, Binary Tree</t>
        </is>
      </c>
      <c r="G1494" s="1" t="inlineStr">
        <is>
          <t>Medium</t>
        </is>
      </c>
      <c r="H1494" s="1" t="n">
        <v>177886</v>
      </c>
      <c r="I1494" s="1" t="n">
        <v>301521</v>
      </c>
      <c r="J1494" s="9" t="n">
        <v>0.59</v>
      </c>
      <c r="K1494" s="1" t="inlineStr">
        <is>
          <t>Yes</t>
        </is>
      </c>
      <c r="L1494" s="1" t="inlineStr">
        <is>
          <t>Yes</t>
        </is>
      </c>
      <c r="M1494" s="1" t="inlineStr">
        <is>
          <t>No</t>
        </is>
      </c>
      <c r="N1494" s="1" t="inlineStr">
        <is>
          <t>Algorithms</t>
        </is>
      </c>
      <c r="O14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95" ht="15.75" customHeight="1" s="12">
      <c r="A1495" s="1" t="n">
        <v>1204</v>
      </c>
      <c r="B1495" s="3">
        <f>HYPERLINK("https://leetcode.com/problems/last-person-to-fit-in-the-bus/", "Last Person to Fit in the Bus")</f>
        <v/>
      </c>
      <c r="C1495" s="1" t="n">
        <v>1063</v>
      </c>
      <c r="D1495" s="1" t="n">
        <v>49</v>
      </c>
      <c r="E1495" s="4">
        <f>IF(INDEX(C:C, ROW())+INDEX(D:D, ROW())=0, 0, INDEX(C:C, ROW())/(INDEX(C:C, ROW())+INDEX(D:D, ROW())))</f>
        <v/>
      </c>
      <c r="F1495" s="1" t="inlineStr">
        <is>
          <t>Database</t>
        </is>
      </c>
      <c r="G1495" s="1" t="inlineStr">
        <is>
          <t>Medium</t>
        </is>
      </c>
      <c r="H1495" s="1" t="n">
        <v>311329</v>
      </c>
      <c r="I1495" s="1" t="n">
        <v>451984</v>
      </c>
      <c r="J1495" s="9" t="n">
        <v>0.6889999999999999</v>
      </c>
      <c r="K1495" s="1" t="inlineStr">
        <is>
          <t>Yes</t>
        </is>
      </c>
      <c r="L1495" s="1" t="inlineStr">
        <is>
          <t>No</t>
        </is>
      </c>
      <c r="M1495" s="1" t="inlineStr">
        <is>
          <t>No</t>
        </is>
      </c>
      <c r="N1495" s="1" t="inlineStr">
        <is>
          <t>Database</t>
        </is>
      </c>
      <c r="O14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96" ht="15.75" customHeight="1" s="12">
      <c r="A1496" s="1" t="n">
        <v>1537</v>
      </c>
      <c r="B1496" s="3">
        <f>HYPERLINK("https://leetcode.com/problems/get-the-maximum-score/", "Get the Maximum Score")</f>
        <v/>
      </c>
      <c r="C1496" s="1" t="n">
        <v>1063</v>
      </c>
      <c r="D1496" s="1" t="n">
        <v>54</v>
      </c>
      <c r="E1496" s="4">
        <f>IF(INDEX(C:C, ROW())+INDEX(D:D, ROW())=0, 0, INDEX(C:C, ROW())/(INDEX(C:C, ROW())+INDEX(D:D, ROW())))</f>
        <v/>
      </c>
      <c r="F1496" s="1" t="inlineStr">
        <is>
          <t>Array, Two Pointers, Dynamic Programming, Greedy</t>
        </is>
      </c>
      <c r="G1496" s="1" t="inlineStr">
        <is>
          <t>Hard</t>
        </is>
      </c>
      <c r="H1496" s="1" t="n">
        <v>34974</v>
      </c>
      <c r="I1496" s="1" t="n">
        <v>85953</v>
      </c>
      <c r="J1496" s="9" t="n">
        <v>0.407</v>
      </c>
      <c r="K1496" s="1" t="inlineStr">
        <is>
          <t>Yes</t>
        </is>
      </c>
      <c r="L1496" s="1" t="inlineStr">
        <is>
          <t>No</t>
        </is>
      </c>
      <c r="M1496" s="1" t="inlineStr">
        <is>
          <t>No</t>
        </is>
      </c>
      <c r="N1496" s="1" t="inlineStr">
        <is>
          <t>Algorithms</t>
        </is>
      </c>
      <c r="O14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97" ht="15.75" customHeight="1" s="12">
      <c r="A1497" s="1" t="n">
        <v>2139</v>
      </c>
      <c r="B1497" s="3">
        <f>HYPERLINK("https://leetcode.com/problems/minimum-moves-to-reach-target-score/", "Minimum Moves to Reach Target Score")</f>
        <v/>
      </c>
      <c r="C1497" s="1" t="n">
        <v>1063</v>
      </c>
      <c r="D1497" s="1" t="n">
        <v>28</v>
      </c>
      <c r="E1497" s="4">
        <f>IF(INDEX(C:C, ROW())+INDEX(D:D, ROW())=0, 0, INDEX(C:C, ROW())/(INDEX(C:C, ROW())+INDEX(D:D, ROW())))</f>
        <v/>
      </c>
      <c r="F1497" s="1" t="inlineStr">
        <is>
          <t>Math, Greedy</t>
        </is>
      </c>
      <c r="G1497" s="1" t="inlineStr">
        <is>
          <t>Medium</t>
        </is>
      </c>
      <c r="H1497" s="1" t="n">
        <v>57893</v>
      </c>
      <c r="I1497" s="1" t="n">
        <v>111318</v>
      </c>
      <c r="J1497" s="9" t="n">
        <v>0.52</v>
      </c>
      <c r="K1497" s="1" t="inlineStr">
        <is>
          <t>Yes</t>
        </is>
      </c>
      <c r="L1497" s="1" t="inlineStr">
        <is>
          <t>No</t>
        </is>
      </c>
      <c r="M1497" s="1" t="inlineStr">
        <is>
          <t>No</t>
        </is>
      </c>
      <c r="N1497" s="1" t="inlineStr">
        <is>
          <t>Algorithms</t>
        </is>
      </c>
      <c r="O14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98" ht="15.75" customHeight="1" s="12">
      <c r="A1498" s="1" t="n">
        <v>3005</v>
      </c>
      <c r="B1498" s="3">
        <f>HYPERLINK("https://leetcode.com/problems/count-elements-with-maximum-frequency/", "Count Elements With Maximum Frequency")</f>
        <v/>
      </c>
      <c r="C1498" s="1" t="n">
        <v>1063</v>
      </c>
      <c r="D1498" s="1" t="n">
        <v>96</v>
      </c>
      <c r="E1498" s="4">
        <f>IF(INDEX(C:C, ROW())+INDEX(D:D, ROW())=0, 0, INDEX(C:C, ROW())/(INDEX(C:C, ROW())+INDEX(D:D, ROW())))</f>
        <v/>
      </c>
      <c r="F1498" s="1" t="inlineStr">
        <is>
          <t>Array, Hash Table, Counting</t>
        </is>
      </c>
      <c r="G1498" s="1" t="inlineStr">
        <is>
          <t>Easy</t>
        </is>
      </c>
      <c r="H1498" s="1" t="n">
        <v>406976</v>
      </c>
      <c r="I1498" s="1" t="n">
        <v>509295</v>
      </c>
      <c r="J1498" s="9" t="n">
        <v>0.799</v>
      </c>
      <c r="K1498" s="1" t="inlineStr">
        <is>
          <t>Yes</t>
        </is>
      </c>
      <c r="L1498" s="1" t="inlineStr">
        <is>
          <t>Yes</t>
        </is>
      </c>
      <c r="M1498" s="1" t="inlineStr">
        <is>
          <t>No</t>
        </is>
      </c>
      <c r="N1498" s="1" t="inlineStr">
        <is>
          <t>Algorithms</t>
        </is>
      </c>
      <c r="O14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499" ht="15.75" customHeight="1" s="12">
      <c r="A1499" s="1" t="n">
        <v>1813</v>
      </c>
      <c r="B1499" s="3">
        <f>HYPERLINK("https://leetcode.com/problems/sentence-similarity-iii/", "Sentence Similarity III")</f>
        <v/>
      </c>
      <c r="C1499" s="1" t="n">
        <v>1061</v>
      </c>
      <c r="D1499" s="1" t="n">
        <v>163</v>
      </c>
      <c r="E1499" s="4">
        <f>IF(INDEX(C:C, ROW())+INDEX(D:D, ROW())=0, 0, INDEX(C:C, ROW())/(INDEX(C:C, ROW())+INDEX(D:D, ROW())))</f>
        <v/>
      </c>
      <c r="F1499" s="1" t="inlineStr">
        <is>
          <t>Array, Two Pointers, String</t>
        </is>
      </c>
      <c r="G1499" s="1" t="inlineStr">
        <is>
          <t>Medium</t>
        </is>
      </c>
      <c r="H1499" s="1" t="n">
        <v>131100</v>
      </c>
      <c r="I1499" s="1" t="n">
        <v>270402</v>
      </c>
      <c r="J1499" s="9" t="n">
        <v>0.485</v>
      </c>
      <c r="K1499" s="1" t="inlineStr">
        <is>
          <t>Yes</t>
        </is>
      </c>
      <c r="L1499" s="1" t="inlineStr">
        <is>
          <t>Yes</t>
        </is>
      </c>
      <c r="M1499" s="1" t="inlineStr">
        <is>
          <t>No</t>
        </is>
      </c>
      <c r="N1499" s="1" t="inlineStr">
        <is>
          <t>Algorithms</t>
        </is>
      </c>
      <c r="O14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00" ht="15.75" customHeight="1" s="12">
      <c r="A1500" s="1" t="n">
        <v>372</v>
      </c>
      <c r="B1500" s="3">
        <f>HYPERLINK("https://leetcode.com/problems/super-pow/", "Super Pow")</f>
        <v/>
      </c>
      <c r="C1500" s="1" t="n">
        <v>1060</v>
      </c>
      <c r="D1500" s="1" t="n">
        <v>1483</v>
      </c>
      <c r="E1500" s="4">
        <f>IF(INDEX(C:C, ROW())+INDEX(D:D, ROW())=0, 0, INDEX(C:C, ROW())/(INDEX(C:C, ROW())+INDEX(D:D, ROW())))</f>
        <v/>
      </c>
      <c r="F1500" s="1" t="inlineStr">
        <is>
          <t>Math, Divide and Conquer</t>
        </is>
      </c>
      <c r="G1500" s="1" t="inlineStr">
        <is>
          <t>Medium</t>
        </is>
      </c>
      <c r="H1500" s="1" t="n">
        <v>96774</v>
      </c>
      <c r="I1500" s="1" t="n">
        <v>267405</v>
      </c>
      <c r="J1500" s="9" t="n">
        <v>0.362</v>
      </c>
      <c r="K1500" s="1" t="inlineStr">
        <is>
          <t>Yes</t>
        </is>
      </c>
      <c r="L1500" s="1" t="inlineStr">
        <is>
          <t>No</t>
        </is>
      </c>
      <c r="M1500" s="1" t="inlineStr">
        <is>
          <t>No</t>
        </is>
      </c>
      <c r="N1500" s="1" t="inlineStr">
        <is>
          <t>Algorithms</t>
        </is>
      </c>
      <c r="O15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01" ht="15.75" customHeight="1" s="12">
      <c r="A1501" s="1" t="n">
        <v>1211</v>
      </c>
      <c r="B1501" s="3">
        <f>HYPERLINK("https://leetcode.com/problems/queries-quality-and-percentage/", "Queries Quality and Percentage")</f>
        <v/>
      </c>
      <c r="C1501" s="1" t="n">
        <v>1060</v>
      </c>
      <c r="D1501" s="1" t="n">
        <v>533</v>
      </c>
      <c r="E1501" s="4">
        <f>IF(INDEX(C:C, ROW())+INDEX(D:D, ROW())=0, 0, INDEX(C:C, ROW())/(INDEX(C:C, ROW())+INDEX(D:D, ROW())))</f>
        <v/>
      </c>
      <c r="F1501" s="1" t="inlineStr">
        <is>
          <t>Database</t>
        </is>
      </c>
      <c r="G1501" s="1" t="inlineStr">
        <is>
          <t>Easy</t>
        </is>
      </c>
      <c r="H1501" s="1" t="n">
        <v>478701</v>
      </c>
      <c r="I1501" s="1" t="n">
        <v>925023</v>
      </c>
      <c r="J1501" s="9" t="n">
        <v>0.518</v>
      </c>
      <c r="K1501" s="1" t="inlineStr">
        <is>
          <t>Yes</t>
        </is>
      </c>
      <c r="L1501" s="1" t="inlineStr">
        <is>
          <t>No</t>
        </is>
      </c>
      <c r="M1501" s="1" t="inlineStr">
        <is>
          <t>No</t>
        </is>
      </c>
      <c r="N1501" s="1" t="inlineStr">
        <is>
          <t>Database</t>
        </is>
      </c>
      <c r="O15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02" ht="15.75" customHeight="1" s="12">
      <c r="A1502" s="1" t="n">
        <v>2706</v>
      </c>
      <c r="B1502" s="3">
        <f>HYPERLINK("https://leetcode.com/problems/buy-two-chocolates/", "Buy Two Chocolates")</f>
        <v/>
      </c>
      <c r="C1502" s="1" t="n">
        <v>1059</v>
      </c>
      <c r="D1502" s="1" t="n">
        <v>71</v>
      </c>
      <c r="E1502" s="4">
        <f>IF(INDEX(C:C, ROW())+INDEX(D:D, ROW())=0, 0, INDEX(C:C, ROW())/(INDEX(C:C, ROW())+INDEX(D:D, ROW())))</f>
        <v/>
      </c>
      <c r="F1502" s="1" t="inlineStr">
        <is>
          <t>Array, Greedy, Sorting</t>
        </is>
      </c>
      <c r="G1502" s="1" t="inlineStr">
        <is>
          <t>Easy</t>
        </is>
      </c>
      <c r="H1502" s="1" t="n">
        <v>217612</v>
      </c>
      <c r="I1502" s="1" t="n">
        <v>318724</v>
      </c>
      <c r="J1502" s="9" t="n">
        <v>0.6830000000000001</v>
      </c>
      <c r="K1502" s="1" t="inlineStr">
        <is>
          <t>Yes</t>
        </is>
      </c>
      <c r="L1502" s="1" t="inlineStr">
        <is>
          <t>Yes</t>
        </is>
      </c>
      <c r="M1502" s="1" t="inlineStr">
        <is>
          <t>No</t>
        </is>
      </c>
      <c r="N1502" s="1" t="inlineStr">
        <is>
          <t>Algorithms</t>
        </is>
      </c>
      <c r="O15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03" ht="15.75" customHeight="1" s="12">
      <c r="A1503" s="1" t="n">
        <v>723</v>
      </c>
      <c r="B1503" s="3">
        <f>HYPERLINK("https://leetcode.com/problems/candy-crush/", "Candy Crush")</f>
        <v/>
      </c>
      <c r="C1503" s="1" t="n">
        <v>1058</v>
      </c>
      <c r="D1503" s="1" t="n">
        <v>546</v>
      </c>
      <c r="E1503" s="4">
        <f>IF(INDEX(C:C, ROW())+INDEX(D:D, ROW())=0, 0, INDEX(C:C, ROW())/(INDEX(C:C, ROW())+INDEX(D:D, ROW())))</f>
        <v/>
      </c>
      <c r="F1503" s="1" t="inlineStr">
        <is>
          <t>Array, Two Pointers, Matrix, Simulation</t>
        </is>
      </c>
      <c r="G1503" s="1" t="inlineStr">
        <is>
          <t>Medium</t>
        </is>
      </c>
      <c r="H1503" s="1" t="n">
        <v>87603</v>
      </c>
      <c r="I1503" s="1" t="n">
        <v>113194</v>
      </c>
      <c r="J1503" s="9" t="n">
        <v>0.774</v>
      </c>
      <c r="K1503" s="1" t="inlineStr">
        <is>
          <t>No</t>
        </is>
      </c>
      <c r="L1503" s="1" t="inlineStr">
        <is>
          <t>Yes</t>
        </is>
      </c>
      <c r="M1503" s="1" t="inlineStr">
        <is>
          <t>No</t>
        </is>
      </c>
      <c r="N1503" s="1" t="inlineStr">
        <is>
          <t>Algorithms</t>
        </is>
      </c>
      <c r="O15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04" ht="15.75" customHeight="1" s="12">
      <c r="A1504" s="1" t="n">
        <v>2154</v>
      </c>
      <c r="B1504" s="3">
        <f>HYPERLINK("https://leetcode.com/problems/keep-multiplying-found-values-by-two/", "Keep Multiplying Found Values by Two")</f>
        <v/>
      </c>
      <c r="C1504" s="1" t="n">
        <v>1055</v>
      </c>
      <c r="D1504" s="1" t="n">
        <v>54</v>
      </c>
      <c r="E1504" s="4">
        <f>IF(INDEX(C:C, ROW())+INDEX(D:D, ROW())=0, 0, INDEX(C:C, ROW())/(INDEX(C:C, ROW())+INDEX(D:D, ROW())))</f>
        <v/>
      </c>
      <c r="F1504" s="1" t="inlineStr">
        <is>
          <t>Array, Hash Table, Sorting, Simulation</t>
        </is>
      </c>
      <c r="G1504" s="1" t="inlineStr">
        <is>
          <t>Easy</t>
        </is>
      </c>
      <c r="H1504" s="1" t="n">
        <v>273639</v>
      </c>
      <c r="I1504" s="1" t="n">
        <v>364437</v>
      </c>
      <c r="J1504" s="9" t="n">
        <v>0.751</v>
      </c>
      <c r="K1504" s="1" t="inlineStr">
        <is>
          <t>Yes</t>
        </is>
      </c>
      <c r="L1504" s="1" t="inlineStr">
        <is>
          <t>Yes</t>
        </is>
      </c>
      <c r="M1504" s="1" t="inlineStr">
        <is>
          <t>No</t>
        </is>
      </c>
      <c r="N1504" s="1" t="inlineStr">
        <is>
          <t>Algorithms</t>
        </is>
      </c>
      <c r="O15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05" ht="15.75" customHeight="1" s="12">
      <c r="A1505" s="1" t="n">
        <v>2441</v>
      </c>
      <c r="B1505" s="3">
        <f>HYPERLINK("https://leetcode.com/problems/largest-positive-integer-that-exists-with-its-negative/", "Largest Positive Integer That Exists With Its Negative")</f>
        <v/>
      </c>
      <c r="C1505" s="1" t="n">
        <v>1055</v>
      </c>
      <c r="D1505" s="1" t="n">
        <v>25</v>
      </c>
      <c r="E1505" s="4">
        <f>IF(INDEX(C:C, ROW())+INDEX(D:D, ROW())=0, 0, INDEX(C:C, ROW())/(INDEX(C:C, ROW())+INDEX(D:D, ROW())))</f>
        <v/>
      </c>
      <c r="F1505" s="1" t="inlineStr">
        <is>
          <t>Array, Hash Table, Two Pointers, Sorting</t>
        </is>
      </c>
      <c r="G1505" s="1" t="inlineStr">
        <is>
          <t>Easy</t>
        </is>
      </c>
      <c r="H1505" s="1" t="n">
        <v>261394</v>
      </c>
      <c r="I1505" s="1" t="n">
        <v>350820</v>
      </c>
      <c r="J1505" s="9" t="n">
        <v>0.745</v>
      </c>
      <c r="K1505" s="1" t="inlineStr">
        <is>
          <t>Yes</t>
        </is>
      </c>
      <c r="L1505" s="1" t="inlineStr">
        <is>
          <t>Yes</t>
        </is>
      </c>
      <c r="M1505" s="1" t="inlineStr">
        <is>
          <t>No</t>
        </is>
      </c>
      <c r="N1505" s="1" t="inlineStr">
        <is>
          <t>Algorithms</t>
        </is>
      </c>
      <c r="O15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06" ht="15.75" customHeight="1" s="12">
      <c r="A1506" s="1" t="n">
        <v>1667</v>
      </c>
      <c r="B1506" s="3">
        <f>HYPERLINK("https://leetcode.com/problems/fix-names-in-a-table/", "Fix Names in a Table")</f>
        <v/>
      </c>
      <c r="C1506" s="1" t="n">
        <v>1054</v>
      </c>
      <c r="D1506" s="1" t="n">
        <v>140</v>
      </c>
      <c r="E1506" s="4">
        <f>IF(INDEX(C:C, ROW())+INDEX(D:D, ROW())=0, 0, INDEX(C:C, ROW())/(INDEX(C:C, ROW())+INDEX(D:D, ROW())))</f>
        <v/>
      </c>
      <c r="F1506" s="1" t="inlineStr">
        <is>
          <t>Database</t>
        </is>
      </c>
      <c r="G1506" s="1" t="inlineStr">
        <is>
          <t>Easy</t>
        </is>
      </c>
      <c r="H1506" s="1" t="n">
        <v>428198</v>
      </c>
      <c r="I1506" s="1" t="n">
        <v>706064</v>
      </c>
      <c r="J1506" s="9" t="n">
        <v>0.606</v>
      </c>
      <c r="K1506" s="1" t="inlineStr">
        <is>
          <t>Yes</t>
        </is>
      </c>
      <c r="L1506" s="1" t="inlineStr">
        <is>
          <t>Yes</t>
        </is>
      </c>
      <c r="M1506" s="1" t="inlineStr">
        <is>
          <t>No</t>
        </is>
      </c>
      <c r="N1506" s="1" t="inlineStr">
        <is>
          <t>Database</t>
        </is>
      </c>
      <c r="O15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07" ht="15.75" customHeight="1" s="12">
      <c r="A1507" s="1" t="n">
        <v>2222</v>
      </c>
      <c r="B1507" s="3">
        <f>HYPERLINK("https://leetcode.com/problems/number-of-ways-to-select-buildings/", "Number of Ways to Select Buildings")</f>
        <v/>
      </c>
      <c r="C1507" s="1" t="n">
        <v>1054</v>
      </c>
      <c r="D1507" s="1" t="n">
        <v>54</v>
      </c>
      <c r="E1507" s="4">
        <f>IF(INDEX(C:C, ROW())+INDEX(D:D, ROW())=0, 0, INDEX(C:C, ROW())/(INDEX(C:C, ROW())+INDEX(D:D, ROW())))</f>
        <v/>
      </c>
      <c r="F1507" s="1" t="inlineStr">
        <is>
          <t>String, Dynamic Programming, Prefix Sum</t>
        </is>
      </c>
      <c r="G1507" s="1" t="inlineStr">
        <is>
          <t>Medium</t>
        </is>
      </c>
      <c r="H1507" s="1" t="n">
        <v>51512</v>
      </c>
      <c r="I1507" s="1" t="n">
        <v>101572</v>
      </c>
      <c r="J1507" s="9" t="n">
        <v>0.507</v>
      </c>
      <c r="K1507" s="1" t="inlineStr">
        <is>
          <t>Yes</t>
        </is>
      </c>
      <c r="L1507" s="1" t="inlineStr">
        <is>
          <t>No</t>
        </is>
      </c>
      <c r="M1507" s="1" t="inlineStr">
        <is>
          <t>No</t>
        </is>
      </c>
      <c r="N1507" s="1" t="inlineStr">
        <is>
          <t>Algorithms</t>
        </is>
      </c>
      <c r="O15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08" ht="15.75" customHeight="1" s="12">
      <c r="A1508" s="1" t="n">
        <v>511</v>
      </c>
      <c r="B1508" s="3">
        <f>HYPERLINK("https://leetcode.com/problems/game-play-analysis-i/", "Game Play Analysis I")</f>
        <v/>
      </c>
      <c r="C1508" s="1" t="n">
        <v>1052</v>
      </c>
      <c r="D1508" s="1" t="n">
        <v>43</v>
      </c>
      <c r="E1508" s="4">
        <f>IF(INDEX(C:C, ROW())+INDEX(D:D, ROW())=0, 0, INDEX(C:C, ROW())/(INDEX(C:C, ROW())+INDEX(D:D, ROW())))</f>
        <v/>
      </c>
      <c r="F1508" s="1" t="inlineStr">
        <is>
          <t>Database</t>
        </is>
      </c>
      <c r="G1508" s="1" t="inlineStr">
        <is>
          <t>Easy</t>
        </is>
      </c>
      <c r="H1508" s="1" t="n">
        <v>485749</v>
      </c>
      <c r="I1508" s="1" t="n">
        <v>637800</v>
      </c>
      <c r="J1508" s="9" t="n">
        <v>0.762</v>
      </c>
      <c r="K1508" s="1" t="inlineStr">
        <is>
          <t>Yes</t>
        </is>
      </c>
      <c r="L1508" s="1" t="inlineStr">
        <is>
          <t>Yes</t>
        </is>
      </c>
      <c r="M1508" s="1" t="inlineStr">
        <is>
          <t>No</t>
        </is>
      </c>
      <c r="N1508" s="1" t="inlineStr">
        <is>
          <t>Database</t>
        </is>
      </c>
      <c r="O15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09" ht="15.75" customHeight="1" s="12">
      <c r="A1509" s="1" t="n">
        <v>2273</v>
      </c>
      <c r="B1509" s="3">
        <f>HYPERLINK("https://leetcode.com/problems/find-resultant-array-after-removing-anagrams/", "Find Resultant Array After Removing Anagrams")</f>
        <v/>
      </c>
      <c r="C1509" s="1" t="n">
        <v>1052</v>
      </c>
      <c r="D1509" s="1" t="n">
        <v>236</v>
      </c>
      <c r="E1509" s="4">
        <f>IF(INDEX(C:C, ROW())+INDEX(D:D, ROW())=0, 0, INDEX(C:C, ROW())/(INDEX(C:C, ROW())+INDEX(D:D, ROW())))</f>
        <v/>
      </c>
      <c r="F1509" s="1" t="inlineStr">
        <is>
          <t>Array, Hash Table, String, Sorting</t>
        </is>
      </c>
      <c r="G1509" s="1" t="inlineStr">
        <is>
          <t>Easy</t>
        </is>
      </c>
      <c r="H1509" s="1" t="n">
        <v>201351</v>
      </c>
      <c r="I1509" s="1" t="n">
        <v>288312</v>
      </c>
      <c r="J1509" s="9" t="n">
        <v>0.698</v>
      </c>
      <c r="K1509" s="1" t="inlineStr">
        <is>
          <t>Yes</t>
        </is>
      </c>
      <c r="L1509" s="1" t="inlineStr">
        <is>
          <t>Yes</t>
        </is>
      </c>
      <c r="M1509" s="1" t="inlineStr">
        <is>
          <t>No</t>
        </is>
      </c>
      <c r="N1509" s="1" t="inlineStr">
        <is>
          <t>Algorithms</t>
        </is>
      </c>
      <c r="O15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10" ht="15.75" customHeight="1" s="12">
      <c r="A1510" s="1" t="n">
        <v>1981</v>
      </c>
      <c r="B1510" s="3">
        <f>HYPERLINK("https://leetcode.com/problems/minimize-the-difference-between-target-and-chosen-elements/", "Minimize the Difference Between Target and Chosen Elements")</f>
        <v/>
      </c>
      <c r="C1510" s="1" t="n">
        <v>1051</v>
      </c>
      <c r="D1510" s="1" t="n">
        <v>145</v>
      </c>
      <c r="E1510" s="4">
        <f>IF(INDEX(C:C, ROW())+INDEX(D:D, ROW())=0, 0, INDEX(C:C, ROW())/(INDEX(C:C, ROW())+INDEX(D:D, ROW())))</f>
        <v/>
      </c>
      <c r="F1510" s="1" t="inlineStr">
        <is>
          <t>Array, Dynamic Programming, Matrix</t>
        </is>
      </c>
      <c r="G1510" s="1" t="inlineStr">
        <is>
          <t>Medium</t>
        </is>
      </c>
      <c r="H1510" s="1" t="n">
        <v>37450</v>
      </c>
      <c r="I1510" s="1" t="n">
        <v>102648</v>
      </c>
      <c r="J1510" s="9" t="n">
        <v>0.365</v>
      </c>
      <c r="K1510" s="1" t="inlineStr">
        <is>
          <t>Yes</t>
        </is>
      </c>
      <c r="L1510" s="1" t="inlineStr">
        <is>
          <t>No</t>
        </is>
      </c>
      <c r="M1510" s="1" t="inlineStr">
        <is>
          <t>No</t>
        </is>
      </c>
      <c r="N1510" s="1" t="inlineStr">
        <is>
          <t>Algorithms</t>
        </is>
      </c>
      <c r="O15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11" ht="15.75" customHeight="1" s="12">
      <c r="A1511" s="1" t="n">
        <v>1414</v>
      </c>
      <c r="B1511" s="3">
        <f>HYPERLINK("https://leetcode.com/problems/find-the-minimum-number-of-fibonacci-numbers-whose-sum-is-k/", "Find the Minimum Number of Fibonacci Numbers Whose Sum Is K")</f>
        <v/>
      </c>
      <c r="C1511" s="1" t="n">
        <v>1050</v>
      </c>
      <c r="D1511" s="1" t="n">
        <v>68</v>
      </c>
      <c r="E1511" s="4">
        <f>IF(INDEX(C:C, ROW())+INDEX(D:D, ROW())=0, 0, INDEX(C:C, ROW())/(INDEX(C:C, ROW())+INDEX(D:D, ROW())))</f>
        <v/>
      </c>
      <c r="F1511" s="1" t="inlineStr">
        <is>
          <t>Math, Greedy</t>
        </is>
      </c>
      <c r="G1511" s="1" t="inlineStr">
        <is>
          <t>Medium</t>
        </is>
      </c>
      <c r="H1511" s="1" t="n">
        <v>51250</v>
      </c>
      <c r="I1511" s="1" t="n">
        <v>79147</v>
      </c>
      <c r="J1511" s="9" t="n">
        <v>0.648</v>
      </c>
      <c r="K1511" s="1" t="inlineStr">
        <is>
          <t>Yes</t>
        </is>
      </c>
      <c r="L1511" s="1" t="inlineStr">
        <is>
          <t>No</t>
        </is>
      </c>
      <c r="M1511" s="1" t="inlineStr">
        <is>
          <t>No</t>
        </is>
      </c>
      <c r="N1511" s="1" t="inlineStr">
        <is>
          <t>Algorithms</t>
        </is>
      </c>
      <c r="O15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12" ht="15.75" customHeight="1" s="12">
      <c r="A1512" s="1" t="n">
        <v>1898</v>
      </c>
      <c r="B1512" s="3">
        <f>HYPERLINK("https://leetcode.com/problems/maximum-number-of-removable-characters/", "Maximum Number of Removable Characters")</f>
        <v/>
      </c>
      <c r="C1512" s="1" t="n">
        <v>1049</v>
      </c>
      <c r="D1512" s="1" t="n">
        <v>137</v>
      </c>
      <c r="E1512" s="4">
        <f>IF(INDEX(C:C, ROW())+INDEX(D:D, ROW())=0, 0, INDEX(C:C, ROW())/(INDEX(C:C, ROW())+INDEX(D:D, ROW())))</f>
        <v/>
      </c>
      <c r="F1512" s="1" t="inlineStr">
        <is>
          <t>Array, Two Pointers, String, Binary Search</t>
        </is>
      </c>
      <c r="G1512" s="1" t="inlineStr">
        <is>
          <t>Medium</t>
        </is>
      </c>
      <c r="H1512" s="1" t="n">
        <v>41465</v>
      </c>
      <c r="I1512" s="1" t="n">
        <v>88829</v>
      </c>
      <c r="J1512" s="9" t="n">
        <v>0.467</v>
      </c>
      <c r="K1512" s="1" t="inlineStr">
        <is>
          <t>Yes</t>
        </is>
      </c>
      <c r="L1512" s="1" t="inlineStr">
        <is>
          <t>No</t>
        </is>
      </c>
      <c r="M1512" s="1" t="inlineStr">
        <is>
          <t>No</t>
        </is>
      </c>
      <c r="N1512" s="1" t="inlineStr">
        <is>
          <t>Algorithms</t>
        </is>
      </c>
      <c r="O15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13" ht="15.75" customHeight="1" s="12">
      <c r="A1513" s="1" t="n">
        <v>2193</v>
      </c>
      <c r="B1513" s="3">
        <f>HYPERLINK("https://leetcode.com/problems/minimum-number-of-moves-to-make-palindrome/", "Minimum Number of Moves to Make Palindrome")</f>
        <v/>
      </c>
      <c r="C1513" s="1" t="n">
        <v>1047</v>
      </c>
      <c r="D1513" s="1" t="n">
        <v>78</v>
      </c>
      <c r="E1513" s="4">
        <f>IF(INDEX(C:C, ROW())+INDEX(D:D, ROW())=0, 0, INDEX(C:C, ROW())/(INDEX(C:C, ROW())+INDEX(D:D, ROW())))</f>
        <v/>
      </c>
      <c r="F1513" s="1" t="inlineStr">
        <is>
          <t>Two Pointers, String, Greedy, Binary Indexed Tree</t>
        </is>
      </c>
      <c r="G1513" s="1" t="inlineStr">
        <is>
          <t>Hard</t>
        </is>
      </c>
      <c r="H1513" s="1" t="n">
        <v>33731</v>
      </c>
      <c r="I1513" s="1" t="n">
        <v>64188</v>
      </c>
      <c r="J1513" s="9" t="n">
        <v>0.526</v>
      </c>
      <c r="K1513" s="1" t="inlineStr">
        <is>
          <t>Yes</t>
        </is>
      </c>
      <c r="L1513" s="1" t="inlineStr">
        <is>
          <t>No</t>
        </is>
      </c>
      <c r="M1513" s="1" t="inlineStr">
        <is>
          <t>No</t>
        </is>
      </c>
      <c r="N1513" s="1" t="inlineStr">
        <is>
          <t>Algorithms</t>
        </is>
      </c>
      <c r="O15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14" ht="15.75" customHeight="1" s="12">
      <c r="A1514" s="1" t="n">
        <v>1320</v>
      </c>
      <c r="B1514" s="3">
        <f>HYPERLINK("https://leetcode.com/problems/minimum-distance-to-type-a-word-using-two-fingers/", "Minimum Distance to Type a Word Using Two Fingers")</f>
        <v/>
      </c>
      <c r="C1514" s="1" t="n">
        <v>1044</v>
      </c>
      <c r="D1514" s="1" t="n">
        <v>39</v>
      </c>
      <c r="E1514" s="4">
        <f>IF(INDEX(C:C, ROW())+INDEX(D:D, ROW())=0, 0, INDEX(C:C, ROW())/(INDEX(C:C, ROW())+INDEX(D:D, ROW())))</f>
        <v/>
      </c>
      <c r="F1514" s="1" t="inlineStr">
        <is>
          <t>String, Dynamic Programming</t>
        </is>
      </c>
      <c r="G1514" s="1" t="inlineStr">
        <is>
          <t>Hard</t>
        </is>
      </c>
      <c r="H1514" s="1" t="n">
        <v>37299</v>
      </c>
      <c r="I1514" s="1" t="n">
        <v>62805</v>
      </c>
      <c r="J1514" s="9" t="n">
        <v>0.594</v>
      </c>
      <c r="K1514" s="1" t="inlineStr">
        <is>
          <t>Yes</t>
        </is>
      </c>
      <c r="L1514" s="1" t="inlineStr">
        <is>
          <t>No</t>
        </is>
      </c>
      <c r="M1514" s="1" t="inlineStr">
        <is>
          <t>No</t>
        </is>
      </c>
      <c r="N1514" s="1" t="inlineStr">
        <is>
          <t>Algorithms</t>
        </is>
      </c>
      <c r="O15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15" ht="15.75" customHeight="1" s="12">
      <c r="A1515" s="1" t="n">
        <v>1690</v>
      </c>
      <c r="B1515" s="3">
        <f>HYPERLINK("https://leetcode.com/problems/stone-game-vii/", "Stone Game VII")</f>
        <v/>
      </c>
      <c r="C1515" s="1" t="n">
        <v>1044</v>
      </c>
      <c r="D1515" s="1" t="n">
        <v>175</v>
      </c>
      <c r="E1515" s="4">
        <f>IF(INDEX(C:C, ROW())+INDEX(D:D, ROW())=0, 0, INDEX(C:C, ROW())/(INDEX(C:C, ROW())+INDEX(D:D, ROW())))</f>
        <v/>
      </c>
      <c r="F1515" s="1" t="inlineStr">
        <is>
          <t>Array, Math, Dynamic Programming, Game Theory</t>
        </is>
      </c>
      <c r="G1515" s="1" t="inlineStr">
        <is>
          <t>Medium</t>
        </is>
      </c>
      <c r="H1515" s="1" t="n">
        <v>42829</v>
      </c>
      <c r="I1515" s="1" t="n">
        <v>73080</v>
      </c>
      <c r="J1515" s="9" t="n">
        <v>0.586</v>
      </c>
      <c r="K1515" s="1" t="inlineStr">
        <is>
          <t>Yes</t>
        </is>
      </c>
      <c r="L1515" s="1" t="inlineStr">
        <is>
          <t>Yes</t>
        </is>
      </c>
      <c r="M1515" s="1" t="inlineStr">
        <is>
          <t>No</t>
        </is>
      </c>
      <c r="N1515" s="1" t="inlineStr">
        <is>
          <t>Algorithms</t>
        </is>
      </c>
      <c r="O15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16" ht="15.75" customHeight="1" s="12">
      <c r="A1516" s="1" t="n">
        <v>2411</v>
      </c>
      <c r="B1516" s="3">
        <f>HYPERLINK("https://leetcode.com/problems/smallest-subarrays-with-maximum-bitwise-or/", "Smallest Subarrays With Maximum Bitwise OR")</f>
        <v/>
      </c>
      <c r="C1516" s="1" t="n">
        <v>1043</v>
      </c>
      <c r="D1516" s="1" t="n">
        <v>74</v>
      </c>
      <c r="E1516" s="4">
        <f>IF(INDEX(C:C, ROW())+INDEX(D:D, ROW())=0, 0, INDEX(C:C, ROW())/(INDEX(C:C, ROW())+INDEX(D:D, ROW())))</f>
        <v/>
      </c>
      <c r="F1516" s="1" t="inlineStr">
        <is>
          <t>Array, Binary Search, Bit Manipulation, Sliding Window</t>
        </is>
      </c>
      <c r="G1516" s="1" t="inlineStr">
        <is>
          <t>Medium</t>
        </is>
      </c>
      <c r="H1516" s="1" t="n">
        <v>94332</v>
      </c>
      <c r="I1516" s="1" t="n">
        <v>152134</v>
      </c>
      <c r="J1516" s="9" t="n">
        <v>0.62</v>
      </c>
      <c r="K1516" s="1" t="inlineStr">
        <is>
          <t>Yes</t>
        </is>
      </c>
      <c r="L1516" s="1" t="inlineStr">
        <is>
          <t>Yes</t>
        </is>
      </c>
      <c r="M1516" s="1" t="inlineStr">
        <is>
          <t>No</t>
        </is>
      </c>
      <c r="N1516" s="1" t="inlineStr">
        <is>
          <t>Algorithms</t>
        </is>
      </c>
      <c r="O15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17" ht="15.75" customHeight="1" s="12">
      <c r="A1517" s="1" t="n">
        <v>2517</v>
      </c>
      <c r="B1517" s="3">
        <f>HYPERLINK("https://leetcode.com/problems/maximum-tastiness-of-candy-basket/", "Maximum Tastiness of Candy Basket")</f>
        <v/>
      </c>
      <c r="C1517" s="1" t="n">
        <v>1043</v>
      </c>
      <c r="D1517" s="1" t="n">
        <v>183</v>
      </c>
      <c r="E1517" s="4">
        <f>IF(INDEX(C:C, ROW())+INDEX(D:D, ROW())=0, 0, INDEX(C:C, ROW())/(INDEX(C:C, ROW())+INDEX(D:D, ROW())))</f>
        <v/>
      </c>
      <c r="F1517" s="1" t="inlineStr">
        <is>
          <t>Array, Binary Search, Greedy, Sorting</t>
        </is>
      </c>
      <c r="G1517" s="1" t="inlineStr">
        <is>
          <t>Medium</t>
        </is>
      </c>
      <c r="H1517" s="1" t="n">
        <v>37570</v>
      </c>
      <c r="I1517" s="1" t="n">
        <v>55487</v>
      </c>
      <c r="J1517" s="9" t="n">
        <v>0.677</v>
      </c>
      <c r="K1517" s="1" t="inlineStr">
        <is>
          <t>Yes</t>
        </is>
      </c>
      <c r="L1517" s="1" t="inlineStr">
        <is>
          <t>No</t>
        </is>
      </c>
      <c r="M1517" s="1" t="inlineStr">
        <is>
          <t>No</t>
        </is>
      </c>
      <c r="N1517" s="1" t="inlineStr">
        <is>
          <t>Algorithms</t>
        </is>
      </c>
      <c r="O15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18" ht="15.75" customHeight="1" s="12">
      <c r="A1518" s="1" t="n">
        <v>850</v>
      </c>
      <c r="B1518" s="3">
        <f>HYPERLINK("https://leetcode.com/problems/rectangle-area-ii/", "Rectangle Area II")</f>
        <v/>
      </c>
      <c r="C1518" s="1" t="n">
        <v>1039</v>
      </c>
      <c r="D1518" s="1" t="n">
        <v>65</v>
      </c>
      <c r="E1518" s="4">
        <f>IF(INDEX(C:C, ROW())+INDEX(D:D, ROW())=0, 0, INDEX(C:C, ROW())/(INDEX(C:C, ROW())+INDEX(D:D, ROW())))</f>
        <v/>
      </c>
      <c r="F1518" s="1" t="inlineStr">
        <is>
          <t>Array, Segment Tree, Sweep Line, Ordered Set</t>
        </is>
      </c>
      <c r="G1518" s="1" t="inlineStr">
        <is>
          <t>Hard</t>
        </is>
      </c>
      <c r="H1518" s="1" t="n">
        <v>42759</v>
      </c>
      <c r="I1518" s="1" t="n">
        <v>76735</v>
      </c>
      <c r="J1518" s="9" t="n">
        <v>0.5570000000000001</v>
      </c>
      <c r="K1518" s="1" t="inlineStr">
        <is>
          <t>Yes</t>
        </is>
      </c>
      <c r="L1518" s="1" t="inlineStr">
        <is>
          <t>Yes</t>
        </is>
      </c>
      <c r="M1518" s="1" t="inlineStr">
        <is>
          <t>No</t>
        </is>
      </c>
      <c r="N1518" s="1" t="inlineStr">
        <is>
          <t>Algorithms</t>
        </is>
      </c>
      <c r="O15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19" ht="15.75" customHeight="1" s="12">
      <c r="A1519" s="1" t="n">
        <v>2145</v>
      </c>
      <c r="B1519" s="3">
        <f>HYPERLINK("https://leetcode.com/problems/count-the-hidden-sequences/", "Count the Hidden Sequences")</f>
        <v/>
      </c>
      <c r="C1519" s="1" t="n">
        <v>1038</v>
      </c>
      <c r="D1519" s="1" t="n">
        <v>93</v>
      </c>
      <c r="E1519" s="4">
        <f>IF(INDEX(C:C, ROW())+INDEX(D:D, ROW())=0, 0, INDEX(C:C, ROW())/(INDEX(C:C, ROW())+INDEX(D:D, ROW())))</f>
        <v/>
      </c>
      <c r="F1519" s="1" t="inlineStr">
        <is>
          <t>Array, Prefix Sum</t>
        </is>
      </c>
      <c r="G1519" s="1" t="inlineStr">
        <is>
          <t>Medium</t>
        </is>
      </c>
      <c r="H1519" s="1" t="n">
        <v>121854</v>
      </c>
      <c r="I1519" s="1" t="n">
        <v>214674</v>
      </c>
      <c r="J1519" s="9" t="n">
        <v>0.5679999999999999</v>
      </c>
      <c r="K1519" s="1" t="inlineStr">
        <is>
          <t>Yes</t>
        </is>
      </c>
      <c r="L1519" s="1" t="inlineStr">
        <is>
          <t>Yes</t>
        </is>
      </c>
      <c r="M1519" s="1" t="inlineStr">
        <is>
          <t>No</t>
        </is>
      </c>
      <c r="N1519" s="1" t="inlineStr">
        <is>
          <t>Algorithms</t>
        </is>
      </c>
      <c r="O15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20" ht="15.75" customHeight="1" s="12">
      <c r="A1520" s="1" t="n">
        <v>2413</v>
      </c>
      <c r="B1520" s="3">
        <f>HYPERLINK("https://leetcode.com/problems/smallest-even-multiple/", "Smallest Even Multiple")</f>
        <v/>
      </c>
      <c r="C1520" s="1" t="n">
        <v>1038</v>
      </c>
      <c r="D1520" s="1" t="n">
        <v>125</v>
      </c>
      <c r="E1520" s="4">
        <f>IF(INDEX(C:C, ROW())+INDEX(D:D, ROW())=0, 0, INDEX(C:C, ROW())/(INDEX(C:C, ROW())+INDEX(D:D, ROW())))</f>
        <v/>
      </c>
      <c r="F1520" s="1" t="inlineStr">
        <is>
          <t>Math, Number Theory</t>
        </is>
      </c>
      <c r="G1520" s="1" t="inlineStr">
        <is>
          <t>Easy</t>
        </is>
      </c>
      <c r="H1520" s="1" t="n">
        <v>272506</v>
      </c>
      <c r="I1520" s="1" t="n">
        <v>308921</v>
      </c>
      <c r="J1520" s="9" t="n">
        <v>0.882</v>
      </c>
      <c r="K1520" s="1" t="inlineStr">
        <is>
          <t>Yes</t>
        </is>
      </c>
      <c r="L1520" s="1" t="inlineStr">
        <is>
          <t>No</t>
        </is>
      </c>
      <c r="M1520" s="1" t="inlineStr">
        <is>
          <t>No</t>
        </is>
      </c>
      <c r="N1520" s="1" t="inlineStr">
        <is>
          <t>Algorithms</t>
        </is>
      </c>
      <c r="O15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21" ht="15.75" customHeight="1" s="12">
      <c r="A1521" s="1" t="n">
        <v>996</v>
      </c>
      <c r="B1521" s="3">
        <f>HYPERLINK("https://leetcode.com/problems/number-of-squareful-arrays/", "Number of Squareful Arrays")</f>
        <v/>
      </c>
      <c r="C1521" s="1" t="n">
        <v>1036</v>
      </c>
      <c r="D1521" s="1" t="n">
        <v>48</v>
      </c>
      <c r="E1521" s="4">
        <f>IF(INDEX(C:C, ROW())+INDEX(D:D, ROW())=0, 0, INDEX(C:C, ROW())/(INDEX(C:C, ROW())+INDEX(D:D, ROW())))</f>
        <v/>
      </c>
      <c r="F1521" s="1" t="inlineStr">
        <is>
          <t>Array, Hash Table, Math, Dynamic Programming, Backtracking, Bit Manipulation, Bitmask DP</t>
        </is>
      </c>
      <c r="G1521" s="1" t="inlineStr">
        <is>
          <t>Hard</t>
        </is>
      </c>
      <c r="H1521" s="1" t="n">
        <v>48608</v>
      </c>
      <c r="I1521" s="1" t="n">
        <v>95156</v>
      </c>
      <c r="J1521" s="9" t="n">
        <v>0.511</v>
      </c>
      <c r="K1521" s="1" t="inlineStr">
        <is>
          <t>Yes</t>
        </is>
      </c>
      <c r="L1521" s="1" t="inlineStr">
        <is>
          <t>Yes</t>
        </is>
      </c>
      <c r="M1521" s="1" t="inlineStr">
        <is>
          <t>No</t>
        </is>
      </c>
      <c r="N1521" s="1" t="inlineStr">
        <is>
          <t>Algorithms</t>
        </is>
      </c>
      <c r="O15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22" ht="15.75" customHeight="1" s="12">
      <c r="A1522" s="1" t="n">
        <v>1141</v>
      </c>
      <c r="B1522" s="3">
        <f>HYPERLINK("https://leetcode.com/problems/user-activity-for-the-past-30-days-i/", "User Activity for the Past 30 Days I")</f>
        <v/>
      </c>
      <c r="C1522" s="1" t="n">
        <v>1036</v>
      </c>
      <c r="D1522" s="1" t="n">
        <v>993</v>
      </c>
      <c r="E1522" s="4">
        <f>IF(INDEX(C:C, ROW())+INDEX(D:D, ROW())=0, 0, INDEX(C:C, ROW())/(INDEX(C:C, ROW())+INDEX(D:D, ROW())))</f>
        <v/>
      </c>
      <c r="F1522" s="1" t="inlineStr">
        <is>
          <t>Database</t>
        </is>
      </c>
      <c r="G1522" s="1" t="inlineStr">
        <is>
          <t>Easy</t>
        </is>
      </c>
      <c r="H1522" s="1" t="n">
        <v>501185</v>
      </c>
      <c r="I1522" s="1" t="n">
        <v>996230</v>
      </c>
      <c r="J1522" s="9" t="n">
        <v>0.503</v>
      </c>
      <c r="K1522" s="1" t="inlineStr">
        <is>
          <t>Yes</t>
        </is>
      </c>
      <c r="L1522" s="1" t="inlineStr">
        <is>
          <t>Yes</t>
        </is>
      </c>
      <c r="M1522" s="1" t="inlineStr">
        <is>
          <t>No</t>
        </is>
      </c>
      <c r="N1522" s="1" t="inlineStr">
        <is>
          <t>Database</t>
        </is>
      </c>
      <c r="O15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23" ht="15.75" customHeight="1" s="12">
      <c r="A1523" s="1" t="n">
        <v>1865</v>
      </c>
      <c r="B1523" s="3">
        <f>HYPERLINK("https://leetcode.com/problems/finding-pairs-with-a-certain-sum/", "Finding Pairs With a Certain Sum")</f>
        <v/>
      </c>
      <c r="C1523" s="1" t="n">
        <v>1035</v>
      </c>
      <c r="D1523" s="1" t="n">
        <v>145</v>
      </c>
      <c r="E1523" s="4">
        <f>IF(INDEX(C:C, ROW())+INDEX(D:D, ROW())=0, 0, INDEX(C:C, ROW())/(INDEX(C:C, ROW())+INDEX(D:D, ROW())))</f>
        <v/>
      </c>
      <c r="F1523" s="1" t="inlineStr">
        <is>
          <t>Array, Hash Table, Design</t>
        </is>
      </c>
      <c r="G1523" s="1" t="inlineStr">
        <is>
          <t>Medium</t>
        </is>
      </c>
      <c r="H1523" s="1" t="n">
        <v>143036</v>
      </c>
      <c r="I1523" s="1" t="n">
        <v>232109</v>
      </c>
      <c r="J1523" s="9" t="n">
        <v>0.616</v>
      </c>
      <c r="K1523" s="1" t="inlineStr">
        <is>
          <t>Yes</t>
        </is>
      </c>
      <c r="L1523" s="1" t="inlineStr">
        <is>
          <t>Yes</t>
        </is>
      </c>
      <c r="M1523" s="1" t="inlineStr">
        <is>
          <t>No</t>
        </is>
      </c>
      <c r="N1523" s="1" t="inlineStr">
        <is>
          <t>Algorithms</t>
        </is>
      </c>
      <c r="O15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24" ht="15.75" customHeight="1" s="12">
      <c r="A1524" s="1" t="n">
        <v>2176</v>
      </c>
      <c r="B1524" s="3">
        <f>HYPERLINK("https://leetcode.com/problems/count-equal-and-divisible-pairs-in-an-array/", "Count Equal and Divisible Pairs in an Array")</f>
        <v/>
      </c>
      <c r="C1524" s="1" t="n">
        <v>1035</v>
      </c>
      <c r="D1524" s="1" t="n">
        <v>69</v>
      </c>
      <c r="E1524" s="4">
        <f>IF(INDEX(C:C, ROW())+INDEX(D:D, ROW())=0, 0, INDEX(C:C, ROW())/(INDEX(C:C, ROW())+INDEX(D:D, ROW())))</f>
        <v/>
      </c>
      <c r="F1524" s="1" t="inlineStr">
        <is>
          <t>Array</t>
        </is>
      </c>
      <c r="G1524" s="1" t="inlineStr">
        <is>
          <t>Easy</t>
        </is>
      </c>
      <c r="H1524" s="1" t="n">
        <v>231051</v>
      </c>
      <c r="I1524" s="1" t="n">
        <v>275077</v>
      </c>
      <c r="J1524" s="9" t="n">
        <v>0.84</v>
      </c>
      <c r="K1524" s="1" t="inlineStr">
        <is>
          <t>Yes</t>
        </is>
      </c>
      <c r="L1524" s="1" t="inlineStr">
        <is>
          <t>Yes</t>
        </is>
      </c>
      <c r="M1524" s="1" t="inlineStr">
        <is>
          <t>No</t>
        </is>
      </c>
      <c r="N1524" s="1" t="inlineStr">
        <is>
          <t>Algorithms</t>
        </is>
      </c>
      <c r="O15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25" ht="15.75" customHeight="1" s="12">
      <c r="A1525" s="1" t="n">
        <v>2091</v>
      </c>
      <c r="B1525" s="3">
        <f>HYPERLINK("https://leetcode.com/problems/removing-minimum-and-maximum-from-array/", "Removing Minimum and Maximum From Array")</f>
        <v/>
      </c>
      <c r="C1525" s="1" t="n">
        <v>1033</v>
      </c>
      <c r="D1525" s="1" t="n">
        <v>57</v>
      </c>
      <c r="E1525" s="4">
        <f>IF(INDEX(C:C, ROW())+INDEX(D:D, ROW())=0, 0, INDEX(C:C, ROW())/(INDEX(C:C, ROW())+INDEX(D:D, ROW())))</f>
        <v/>
      </c>
      <c r="F1525" s="1" t="inlineStr">
        <is>
          <t>Array, Greedy</t>
        </is>
      </c>
      <c r="G1525" s="1" t="inlineStr">
        <is>
          <t>Medium</t>
        </is>
      </c>
      <c r="H1525" s="1" t="n">
        <v>58510</v>
      </c>
      <c r="I1525" s="1" t="n">
        <v>104358</v>
      </c>
      <c r="J1525" s="9" t="n">
        <v>0.5610000000000001</v>
      </c>
      <c r="K1525" s="1" t="inlineStr">
        <is>
          <t>Yes</t>
        </is>
      </c>
      <c r="L1525" s="1" t="inlineStr">
        <is>
          <t>No</t>
        </is>
      </c>
      <c r="M1525" s="1" t="inlineStr">
        <is>
          <t>No</t>
        </is>
      </c>
      <c r="N1525" s="1" t="inlineStr">
        <is>
          <t>Algorithms</t>
        </is>
      </c>
      <c r="O15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26" ht="15.75" customHeight="1" s="12">
      <c r="A1526" s="1" t="n">
        <v>955</v>
      </c>
      <c r="B1526" s="3">
        <f>HYPERLINK("https://leetcode.com/problems/delete-columns-to-make-sorted-ii/", "Delete Columns to Make Sorted II")</f>
        <v/>
      </c>
      <c r="C1526" s="1" t="n">
        <v>1032</v>
      </c>
      <c r="D1526" s="1" t="n">
        <v>136</v>
      </c>
      <c r="E1526" s="4">
        <f>IF(INDEX(C:C, ROW())+INDEX(D:D, ROW())=0, 0, INDEX(C:C, ROW())/(INDEX(C:C, ROW())+INDEX(D:D, ROW())))</f>
        <v/>
      </c>
      <c r="F1526" s="1" t="inlineStr">
        <is>
          <t>Array, String, Greedy</t>
        </is>
      </c>
      <c r="G1526" s="1" t="inlineStr">
        <is>
          <t>Medium</t>
        </is>
      </c>
      <c r="H1526" s="1" t="n">
        <v>87611</v>
      </c>
      <c r="I1526" s="1" t="n">
        <v>176388</v>
      </c>
      <c r="J1526" s="9" t="n">
        <v>0.497</v>
      </c>
      <c r="K1526" s="1" t="inlineStr">
        <is>
          <t>Yes</t>
        </is>
      </c>
      <c r="L1526" s="1" t="inlineStr">
        <is>
          <t>Yes</t>
        </is>
      </c>
      <c r="M1526" s="1" t="inlineStr">
        <is>
          <t>No</t>
        </is>
      </c>
      <c r="N1526" s="1" t="inlineStr">
        <is>
          <t>Algorithms</t>
        </is>
      </c>
      <c r="O15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27" ht="15.75" customHeight="1" s="12">
      <c r="A1527" s="1" t="n">
        <v>1231</v>
      </c>
      <c r="B1527" s="3">
        <f>HYPERLINK("https://leetcode.com/problems/divide-chocolate/", "Divide Chocolate")</f>
        <v/>
      </c>
      <c r="C1527" s="1" t="n">
        <v>1032</v>
      </c>
      <c r="D1527" s="1" t="n">
        <v>73</v>
      </c>
      <c r="E1527" s="4">
        <f>IF(INDEX(C:C, ROW())+INDEX(D:D, ROW())=0, 0, INDEX(C:C, ROW())/(INDEX(C:C, ROW())+INDEX(D:D, ROW())))</f>
        <v/>
      </c>
      <c r="F1527" s="1" t="inlineStr">
        <is>
          <t>Array, Binary Search</t>
        </is>
      </c>
      <c r="G1527" s="1" t="inlineStr">
        <is>
          <t>Hard</t>
        </is>
      </c>
      <c r="H1527" s="1" t="n">
        <v>68884</v>
      </c>
      <c r="I1527" s="1" t="n">
        <v>114070</v>
      </c>
      <c r="J1527" s="9" t="n">
        <v>0.604</v>
      </c>
      <c r="K1527" s="1" t="inlineStr">
        <is>
          <t>No</t>
        </is>
      </c>
      <c r="L1527" s="1" t="inlineStr">
        <is>
          <t>Yes</t>
        </is>
      </c>
      <c r="M1527" s="1" t="inlineStr">
        <is>
          <t>No</t>
        </is>
      </c>
      <c r="N1527" s="1" t="inlineStr">
        <is>
          <t>Algorithms</t>
        </is>
      </c>
      <c r="O15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28" ht="15.75" customHeight="1" s="12">
      <c r="A1528" s="1" t="n">
        <v>1941</v>
      </c>
      <c r="B1528" s="3">
        <f>HYPERLINK("https://leetcode.com/problems/check-if-all-characters-have-equal-number-of-occurrences/", "Check if All Characters Have Equal Number of Occurrences")</f>
        <v/>
      </c>
      <c r="C1528" s="1" t="n">
        <v>1029</v>
      </c>
      <c r="D1528" s="1" t="n">
        <v>28</v>
      </c>
      <c r="E1528" s="4">
        <f>IF(INDEX(C:C, ROW())+INDEX(D:D, ROW())=0, 0, INDEX(C:C, ROW())/(INDEX(C:C, ROW())+INDEX(D:D, ROW())))</f>
        <v/>
      </c>
      <c r="F1528" s="1" t="inlineStr">
        <is>
          <t>Hash Table, String, Counting</t>
        </is>
      </c>
      <c r="G1528" s="1" t="inlineStr">
        <is>
          <t>Easy</t>
        </is>
      </c>
      <c r="H1528" s="1" t="n">
        <v>169639</v>
      </c>
      <c r="I1528" s="1" t="n">
        <v>214077</v>
      </c>
      <c r="J1528" s="9" t="n">
        <v>0.792</v>
      </c>
      <c r="K1528" s="1" t="inlineStr">
        <is>
          <t>Yes</t>
        </is>
      </c>
      <c r="L1528" s="1" t="inlineStr">
        <is>
          <t>No</t>
        </is>
      </c>
      <c r="M1528" s="1" t="inlineStr">
        <is>
          <t>No</t>
        </is>
      </c>
      <c r="N1528" s="1" t="inlineStr">
        <is>
          <t>Algorithms</t>
        </is>
      </c>
      <c r="O15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29" ht="15.75" customHeight="1" s="12">
      <c r="A1529" s="1" t="n">
        <v>598</v>
      </c>
      <c r="B1529" s="3">
        <f>HYPERLINK("https://leetcode.com/problems/range-addition-ii/", "Range Addition II")</f>
        <v/>
      </c>
      <c r="C1529" s="1" t="n">
        <v>1027</v>
      </c>
      <c r="D1529" s="1" t="n">
        <v>986</v>
      </c>
      <c r="E1529" s="4">
        <f>IF(INDEX(C:C, ROW())+INDEX(D:D, ROW())=0, 0, INDEX(C:C, ROW())/(INDEX(C:C, ROW())+INDEX(D:D, ROW())))</f>
        <v/>
      </c>
      <c r="F1529" s="1" t="inlineStr">
        <is>
          <t>Array, Math</t>
        </is>
      </c>
      <c r="G1529" s="1" t="inlineStr">
        <is>
          <t>Easy</t>
        </is>
      </c>
      <c r="H1529" s="1" t="n">
        <v>129028</v>
      </c>
      <c r="I1529" s="1" t="n">
        <v>221760</v>
      </c>
      <c r="J1529" s="9" t="n">
        <v>0.582</v>
      </c>
      <c r="K1529" s="1" t="inlineStr">
        <is>
          <t>Yes</t>
        </is>
      </c>
      <c r="L1529" s="1" t="inlineStr">
        <is>
          <t>Yes</t>
        </is>
      </c>
      <c r="M1529" s="1" t="inlineStr">
        <is>
          <t>No</t>
        </is>
      </c>
      <c r="N1529" s="1" t="inlineStr">
        <is>
          <t>Algorithms</t>
        </is>
      </c>
      <c r="O15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30" ht="15.75" customHeight="1" s="12">
      <c r="A1530" s="1" t="n">
        <v>1553</v>
      </c>
      <c r="B1530" s="3">
        <f>HYPERLINK("https://leetcode.com/problems/minimum-number-of-days-to-eat-n-oranges/", "Minimum Number of Days to Eat N Oranges")</f>
        <v/>
      </c>
      <c r="C1530" s="1" t="n">
        <v>1026</v>
      </c>
      <c r="D1530" s="1" t="n">
        <v>64</v>
      </c>
      <c r="E1530" s="4">
        <f>IF(INDEX(C:C, ROW())+INDEX(D:D, ROW())=0, 0, INDEX(C:C, ROW())/(INDEX(C:C, ROW())+INDEX(D:D, ROW())))</f>
        <v/>
      </c>
      <c r="F1530" s="1" t="inlineStr">
        <is>
          <t>Dynamic Programming, Memoization</t>
        </is>
      </c>
      <c r="G1530" s="1" t="inlineStr">
        <is>
          <t>Hard</t>
        </is>
      </c>
      <c r="H1530" s="1" t="n">
        <v>43202</v>
      </c>
      <c r="I1530" s="1" t="n">
        <v>119906</v>
      </c>
      <c r="J1530" s="9" t="n">
        <v>0.36</v>
      </c>
      <c r="K1530" s="1" t="inlineStr">
        <is>
          <t>Yes</t>
        </is>
      </c>
      <c r="L1530" s="1" t="inlineStr">
        <is>
          <t>No</t>
        </is>
      </c>
      <c r="M1530" s="1" t="inlineStr">
        <is>
          <t>No</t>
        </is>
      </c>
      <c r="N1530" s="1" t="inlineStr">
        <is>
          <t>Algorithms</t>
        </is>
      </c>
      <c r="O15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31" ht="15.75" customHeight="1" s="12">
      <c r="A1531" s="1" t="n">
        <v>2103</v>
      </c>
      <c r="B1531" s="3">
        <f>HYPERLINK("https://leetcode.com/problems/rings-and-rods/", "Rings and Rods")</f>
        <v/>
      </c>
      <c r="C1531" s="1" t="n">
        <v>1023</v>
      </c>
      <c r="D1531" s="1" t="n">
        <v>21</v>
      </c>
      <c r="E1531" s="4">
        <f>IF(INDEX(C:C, ROW())+INDEX(D:D, ROW())=0, 0, INDEX(C:C, ROW())/(INDEX(C:C, ROW())+INDEX(D:D, ROW())))</f>
        <v/>
      </c>
      <c r="F1531" s="1" t="inlineStr">
        <is>
          <t>Hash Table, String</t>
        </is>
      </c>
      <c r="G1531" s="1" t="inlineStr">
        <is>
          <t>Easy</t>
        </is>
      </c>
      <c r="H1531" s="1" t="n">
        <v>93136</v>
      </c>
      <c r="I1531" s="1" t="n">
        <v>114369</v>
      </c>
      <c r="J1531" s="9" t="n">
        <v>0.8139999999999999</v>
      </c>
      <c r="K1531" s="1" t="inlineStr">
        <is>
          <t>Yes</t>
        </is>
      </c>
      <c r="L1531" s="1" t="inlineStr">
        <is>
          <t>No</t>
        </is>
      </c>
      <c r="M1531" s="1" t="inlineStr">
        <is>
          <t>No</t>
        </is>
      </c>
      <c r="N1531" s="1" t="inlineStr">
        <is>
          <t>Algorithms</t>
        </is>
      </c>
      <c r="O15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32" ht="15.75" customHeight="1" s="12">
      <c r="A1532" s="1" t="n">
        <v>1103</v>
      </c>
      <c r="B1532" s="3">
        <f>HYPERLINK("https://leetcode.com/problems/distribute-candies-to-people/", "Distribute Candies to People")</f>
        <v/>
      </c>
      <c r="C1532" s="1" t="n">
        <v>1022</v>
      </c>
      <c r="D1532" s="1" t="n">
        <v>201</v>
      </c>
      <c r="E1532" s="4">
        <f>IF(INDEX(C:C, ROW())+INDEX(D:D, ROW())=0, 0, INDEX(C:C, ROW())/(INDEX(C:C, ROW())+INDEX(D:D, ROW())))</f>
        <v/>
      </c>
      <c r="F1532" s="1" t="inlineStr">
        <is>
          <t>Math, Simulation</t>
        </is>
      </c>
      <c r="G1532" s="1" t="inlineStr">
        <is>
          <t>Easy</t>
        </is>
      </c>
      <c r="H1532" s="1" t="n">
        <v>107315</v>
      </c>
      <c r="I1532" s="1" t="n">
        <v>159434</v>
      </c>
      <c r="J1532" s="9" t="n">
        <v>0.673</v>
      </c>
      <c r="K1532" s="1" t="inlineStr">
        <is>
          <t>Yes</t>
        </is>
      </c>
      <c r="L1532" s="1" t="inlineStr">
        <is>
          <t>Yes</t>
        </is>
      </c>
      <c r="M1532" s="1" t="inlineStr">
        <is>
          <t>No</t>
        </is>
      </c>
      <c r="N1532" s="1" t="inlineStr">
        <is>
          <t>Algorithms</t>
        </is>
      </c>
      <c r="O15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33" ht="15.75" customHeight="1" s="12">
      <c r="A1533" s="1" t="n">
        <v>1882</v>
      </c>
      <c r="B1533" s="3">
        <f>HYPERLINK("https://leetcode.com/problems/process-tasks-using-servers/", "Process Tasks Using Servers")</f>
        <v/>
      </c>
      <c r="C1533" s="1" t="n">
        <v>1021</v>
      </c>
      <c r="D1533" s="1" t="n">
        <v>287</v>
      </c>
      <c r="E1533" s="4">
        <f>IF(INDEX(C:C, ROW())+INDEX(D:D, ROW())=0, 0, INDEX(C:C, ROW())/(INDEX(C:C, ROW())+INDEX(D:D, ROW())))</f>
        <v/>
      </c>
      <c r="F1533" s="1" t="inlineStr">
        <is>
          <t>Array, Heap (Priority Queue)</t>
        </is>
      </c>
      <c r="G1533" s="1" t="inlineStr">
        <is>
          <t>Medium</t>
        </is>
      </c>
      <c r="H1533" s="1" t="n">
        <v>45253</v>
      </c>
      <c r="I1533" s="1" t="n">
        <v>107949</v>
      </c>
      <c r="J1533" s="9" t="n">
        <v>0.419</v>
      </c>
      <c r="K1533" s="1" t="inlineStr">
        <is>
          <t>Yes</t>
        </is>
      </c>
      <c r="L1533" s="1" t="inlineStr">
        <is>
          <t>No</t>
        </is>
      </c>
      <c r="M1533" s="1" t="inlineStr">
        <is>
          <t>No</t>
        </is>
      </c>
      <c r="N1533" s="1" t="inlineStr">
        <is>
          <t>Algorithms</t>
        </is>
      </c>
      <c r="O15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34" ht="15.75" customHeight="1" s="12">
      <c r="A1534" s="1" t="n">
        <v>824</v>
      </c>
      <c r="B1534" s="3">
        <f>HYPERLINK("https://leetcode.com/problems/goat-latin/", "Goat Latin")</f>
        <v/>
      </c>
      <c r="C1534" s="1" t="n">
        <v>1018</v>
      </c>
      <c r="D1534" s="1" t="n">
        <v>1298</v>
      </c>
      <c r="E1534" s="4">
        <f>IF(INDEX(C:C, ROW())+INDEX(D:D, ROW())=0, 0, INDEX(C:C, ROW())/(INDEX(C:C, ROW())+INDEX(D:D, ROW())))</f>
        <v/>
      </c>
      <c r="F1534" s="1" t="inlineStr">
        <is>
          <t>String</t>
        </is>
      </c>
      <c r="G1534" s="1" t="inlineStr">
        <is>
          <t>Easy</t>
        </is>
      </c>
      <c r="H1534" s="1" t="n">
        <v>237797</v>
      </c>
      <c r="I1534" s="1" t="n">
        <v>340526</v>
      </c>
      <c r="J1534" s="9" t="n">
        <v>0.698</v>
      </c>
      <c r="K1534" s="1" t="inlineStr">
        <is>
          <t>Yes</t>
        </is>
      </c>
      <c r="L1534" s="1" t="inlineStr">
        <is>
          <t>Yes</t>
        </is>
      </c>
      <c r="M1534" s="1" t="inlineStr">
        <is>
          <t>No</t>
        </is>
      </c>
      <c r="N1534" s="1" t="inlineStr">
        <is>
          <t>Algorithms</t>
        </is>
      </c>
      <c r="O15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35" ht="15.75" customHeight="1" s="12">
      <c r="A1535" s="1" t="n">
        <v>3356</v>
      </c>
      <c r="B1535" s="3">
        <f>HYPERLINK("https://leetcode.com/problems/zero-array-transformation-ii/", "Zero Array Transformation II")</f>
        <v/>
      </c>
      <c r="C1535" s="1" t="n">
        <v>1016</v>
      </c>
      <c r="D1535" s="1" t="n">
        <v>86</v>
      </c>
      <c r="E1535" s="4">
        <f>IF(INDEX(C:C, ROW())+INDEX(D:D, ROW())=0, 0, INDEX(C:C, ROW())/(INDEX(C:C, ROW())+INDEX(D:D, ROW())))</f>
        <v/>
      </c>
      <c r="F1535" s="1" t="inlineStr">
        <is>
          <t>Array, Binary Search, Prefix Sum</t>
        </is>
      </c>
      <c r="G1535" s="1" t="inlineStr">
        <is>
          <t>Medium</t>
        </is>
      </c>
      <c r="H1535" s="1" t="n">
        <v>131767</v>
      </c>
      <c r="I1535" s="1" t="n">
        <v>302146</v>
      </c>
      <c r="J1535" s="9" t="n">
        <v>0.436</v>
      </c>
      <c r="K1535" s="1" t="inlineStr">
        <is>
          <t>Yes</t>
        </is>
      </c>
      <c r="L1535" s="1" t="inlineStr">
        <is>
          <t>Yes</t>
        </is>
      </c>
      <c r="M1535" s="1" t="inlineStr">
        <is>
          <t>No</t>
        </is>
      </c>
      <c r="N1535" s="1" t="inlineStr">
        <is>
          <t>Algorithms</t>
        </is>
      </c>
      <c r="O15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36" ht="15.75" customHeight="1" s="12">
      <c r="A1536" s="1" t="n">
        <v>1385</v>
      </c>
      <c r="B1536" s="3">
        <f>HYPERLINK("https://leetcode.com/problems/find-the-distance-value-between-two-arrays/", "Find the Distance Value Between Two Arrays")</f>
        <v/>
      </c>
      <c r="C1536" s="1" t="n">
        <v>1014</v>
      </c>
      <c r="D1536" s="1" t="n">
        <v>3148</v>
      </c>
      <c r="E1536" s="4">
        <f>IF(INDEX(C:C, ROW())+INDEX(D:D, ROW())=0, 0, INDEX(C:C, ROW())/(INDEX(C:C, ROW())+INDEX(D:D, ROW())))</f>
        <v/>
      </c>
      <c r="F1536" s="1" t="inlineStr">
        <is>
          <t>Array, Two Pointers, Binary Search, Sorting</t>
        </is>
      </c>
      <c r="G1536" s="1" t="inlineStr">
        <is>
          <t>Easy</t>
        </is>
      </c>
      <c r="H1536" s="1" t="n">
        <v>140862</v>
      </c>
      <c r="I1536" s="1" t="n">
        <v>197785</v>
      </c>
      <c r="J1536" s="9" t="n">
        <v>0.712</v>
      </c>
      <c r="K1536" s="1" t="inlineStr">
        <is>
          <t>Yes</t>
        </is>
      </c>
      <c r="L1536" s="1" t="inlineStr">
        <is>
          <t>No</t>
        </is>
      </c>
      <c r="M1536" s="1" t="inlineStr">
        <is>
          <t>No</t>
        </is>
      </c>
      <c r="N1536" s="1" t="inlineStr">
        <is>
          <t>Algorithms</t>
        </is>
      </c>
      <c r="O15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37" ht="15.75" customHeight="1" s="12">
      <c r="A1537" s="1" t="n">
        <v>353</v>
      </c>
      <c r="B1537" s="3">
        <f>HYPERLINK("https://leetcode.com/problems/design-snake-game/", "Design Snake Game")</f>
        <v/>
      </c>
      <c r="C1537" s="1" t="n">
        <v>1011</v>
      </c>
      <c r="D1537" s="1" t="n">
        <v>353</v>
      </c>
      <c r="E1537" s="4">
        <f>IF(INDEX(C:C, ROW())+INDEX(D:D, ROW())=0, 0, INDEX(C:C, ROW())/(INDEX(C:C, ROW())+INDEX(D:D, ROW())))</f>
        <v/>
      </c>
      <c r="F1537" s="1" t="inlineStr">
        <is>
          <t>Array, Hash Table, Design, Queue, Simulation</t>
        </is>
      </c>
      <c r="G1537" s="1" t="inlineStr">
        <is>
          <t>Medium</t>
        </is>
      </c>
      <c r="H1537" s="1" t="n">
        <v>104345</v>
      </c>
      <c r="I1537" s="1" t="n">
        <v>261226</v>
      </c>
      <c r="J1537" s="9" t="n">
        <v>0.399</v>
      </c>
      <c r="K1537" s="1" t="inlineStr">
        <is>
          <t>No</t>
        </is>
      </c>
      <c r="L1537" s="1" t="inlineStr">
        <is>
          <t>Yes</t>
        </is>
      </c>
      <c r="M1537" s="1" t="inlineStr">
        <is>
          <t>No</t>
        </is>
      </c>
      <c r="N1537" s="1" t="inlineStr">
        <is>
          <t>Algorithms</t>
        </is>
      </c>
      <c r="O15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38" ht="15.75" customHeight="1" s="12">
      <c r="A1538" s="1" t="n">
        <v>2078</v>
      </c>
      <c r="B1538" s="3">
        <f>HYPERLINK("https://leetcode.com/problems/two-furthest-houses-with-different-colors/", "Two Furthest Houses With Different Colors")</f>
        <v/>
      </c>
      <c r="C1538" s="1" t="n">
        <v>1011</v>
      </c>
      <c r="D1538" s="1" t="n">
        <v>33</v>
      </c>
      <c r="E1538" s="4">
        <f>IF(INDEX(C:C, ROW())+INDEX(D:D, ROW())=0, 0, INDEX(C:C, ROW())/(INDEX(C:C, ROW())+INDEX(D:D, ROW())))</f>
        <v/>
      </c>
      <c r="F1538" s="1" t="inlineStr">
        <is>
          <t>Array, Greedy</t>
        </is>
      </c>
      <c r="G1538" s="1" t="inlineStr">
        <is>
          <t>Easy</t>
        </is>
      </c>
      <c r="H1538" s="1" t="n">
        <v>89385</v>
      </c>
      <c r="I1538" s="1" t="n">
        <v>136350</v>
      </c>
      <c r="J1538" s="9" t="n">
        <v>0.656</v>
      </c>
      <c r="K1538" s="1" t="inlineStr">
        <is>
          <t>Yes</t>
        </is>
      </c>
      <c r="L1538" s="1" t="inlineStr">
        <is>
          <t>No</t>
        </is>
      </c>
      <c r="M1538" s="1" t="inlineStr">
        <is>
          <t>No</t>
        </is>
      </c>
      <c r="N1538" s="1" t="inlineStr">
        <is>
          <t>Algorithms</t>
        </is>
      </c>
      <c r="O15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39" ht="15.75" customHeight="1" s="12">
      <c r="A1539" s="1" t="n">
        <v>2002</v>
      </c>
      <c r="B1539" s="3">
        <f>HYPERLINK("https://leetcode.com/problems/maximum-product-of-the-length-of-two-palindromic-subsequences/", "Maximum Product of the Length of Two Palindromic Subsequences")</f>
        <v/>
      </c>
      <c r="C1539" s="1" t="n">
        <v>1010</v>
      </c>
      <c r="D1539" s="1" t="n">
        <v>90</v>
      </c>
      <c r="E1539" s="4">
        <f>IF(INDEX(C:C, ROW())+INDEX(D:D, ROW())=0, 0, INDEX(C:C, ROW())/(INDEX(C:C, ROW())+INDEX(D:D, ROW())))</f>
        <v/>
      </c>
      <c r="F1539" s="1" t="inlineStr">
        <is>
          <t>String, Dynamic Programming, Backtracking, Bit Manipulation, Bitmask DP</t>
        </is>
      </c>
      <c r="G1539" s="1" t="inlineStr">
        <is>
          <t>Medium</t>
        </is>
      </c>
      <c r="H1539" s="1" t="n">
        <v>38440</v>
      </c>
      <c r="I1539" s="1" t="n">
        <v>61765</v>
      </c>
      <c r="J1539" s="9" t="n">
        <v>0.622</v>
      </c>
      <c r="K1539" s="1" t="inlineStr">
        <is>
          <t>Yes</t>
        </is>
      </c>
      <c r="L1539" s="1" t="inlineStr">
        <is>
          <t>No</t>
        </is>
      </c>
      <c r="M1539" s="1" t="inlineStr">
        <is>
          <t>No</t>
        </is>
      </c>
      <c r="N1539" s="1" t="inlineStr">
        <is>
          <t>Algorithms</t>
        </is>
      </c>
      <c r="O15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40" ht="15.75" customHeight="1" s="12">
      <c r="A1540" s="1" t="n">
        <v>913</v>
      </c>
      <c r="B1540" s="3">
        <f>HYPERLINK("https://leetcode.com/problems/cat-and-mouse/", "Cat and Mouse")</f>
        <v/>
      </c>
      <c r="C1540" s="1" t="n">
        <v>1007</v>
      </c>
      <c r="D1540" s="1" t="n">
        <v>179</v>
      </c>
      <c r="E1540" s="4">
        <f>IF(INDEX(C:C, ROW())+INDEX(D:D, ROW())=0, 0, INDEX(C:C, ROW())/(INDEX(C:C, ROW())+INDEX(D:D, ROW())))</f>
        <v/>
      </c>
      <c r="F1540" s="1" t="inlineStr">
        <is>
          <t>Math, Dynamic Programming, Graph Theory, Topological Sort, Memoization, Game Theory</t>
        </is>
      </c>
      <c r="G1540" s="1" t="inlineStr">
        <is>
          <t>Hard</t>
        </is>
      </c>
      <c r="H1540" s="1" t="n">
        <v>25706</v>
      </c>
      <c r="I1540" s="1" t="n">
        <v>74432</v>
      </c>
      <c r="J1540" s="9" t="n">
        <v>0.345</v>
      </c>
      <c r="K1540" s="1" t="inlineStr">
        <is>
          <t>Yes</t>
        </is>
      </c>
      <c r="L1540" s="1" t="inlineStr">
        <is>
          <t>Yes</t>
        </is>
      </c>
      <c r="M1540" s="1" t="inlineStr">
        <is>
          <t>No</t>
        </is>
      </c>
      <c r="N1540" s="1" t="inlineStr">
        <is>
          <t>Algorithms</t>
        </is>
      </c>
      <c r="O15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41" ht="15.75" customHeight="1" s="12">
      <c r="A1541" s="1" t="n">
        <v>2501</v>
      </c>
      <c r="B1541" s="3">
        <f>HYPERLINK("https://leetcode.com/problems/longest-square-streak-in-an-array/", "Longest Square Streak in an Array")</f>
        <v/>
      </c>
      <c r="C1541" s="1" t="n">
        <v>1006</v>
      </c>
      <c r="D1541" s="1" t="n">
        <v>33</v>
      </c>
      <c r="E1541" s="4">
        <f>IF(INDEX(C:C, ROW())+INDEX(D:D, ROW())=0, 0, INDEX(C:C, ROW())/(INDEX(C:C, ROW())+INDEX(D:D, ROW())))</f>
        <v/>
      </c>
      <c r="F1541" s="1" t="inlineStr">
        <is>
          <t>Array, Hash Table, Binary Search, Dynamic Programming, Sorting</t>
        </is>
      </c>
      <c r="G1541" s="1" t="inlineStr">
        <is>
          <t>Medium</t>
        </is>
      </c>
      <c r="H1541" s="1" t="n">
        <v>154906</v>
      </c>
      <c r="I1541" s="1" t="n">
        <v>291792</v>
      </c>
      <c r="J1541" s="9" t="n">
        <v>0.531</v>
      </c>
      <c r="K1541" s="1" t="inlineStr">
        <is>
          <t>Yes</t>
        </is>
      </c>
      <c r="L1541" s="1" t="inlineStr">
        <is>
          <t>Yes</t>
        </is>
      </c>
      <c r="M1541" s="1" t="inlineStr">
        <is>
          <t>No</t>
        </is>
      </c>
      <c r="N1541" s="1" t="inlineStr">
        <is>
          <t>Algorithms</t>
        </is>
      </c>
      <c r="O15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42" ht="15.75" customHeight="1" s="12">
      <c r="A1542" s="1" t="n">
        <v>2696</v>
      </c>
      <c r="B1542" s="3">
        <f>HYPERLINK("https://leetcode.com/problems/minimum-string-length-after-removing-substrings/", "Minimum String Length After Removing Substrings")</f>
        <v/>
      </c>
      <c r="C1542" s="1" t="n">
        <v>1005</v>
      </c>
      <c r="D1542" s="1" t="n">
        <v>29</v>
      </c>
      <c r="E1542" s="4">
        <f>IF(INDEX(C:C, ROW())+INDEX(D:D, ROW())=0, 0, INDEX(C:C, ROW())/(INDEX(C:C, ROW())+INDEX(D:D, ROW())))</f>
        <v/>
      </c>
      <c r="F1542" s="1" t="inlineStr">
        <is>
          <t>String, Stack, Simulation</t>
        </is>
      </c>
      <c r="G1542" s="1" t="inlineStr">
        <is>
          <t>Easy</t>
        </is>
      </c>
      <c r="H1542" s="1" t="n">
        <v>242855</v>
      </c>
      <c r="I1542" s="1" t="n">
        <v>315033</v>
      </c>
      <c r="J1542" s="9" t="n">
        <v>0.771</v>
      </c>
      <c r="K1542" s="1" t="inlineStr">
        <is>
          <t>Yes</t>
        </is>
      </c>
      <c r="L1542" s="1" t="inlineStr">
        <is>
          <t>Yes</t>
        </is>
      </c>
      <c r="M1542" s="1" t="inlineStr">
        <is>
          <t>No</t>
        </is>
      </c>
      <c r="N1542" s="1" t="inlineStr">
        <is>
          <t>Algorithms</t>
        </is>
      </c>
      <c r="O15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43" ht="15.75" customHeight="1" s="12">
      <c r="A1543" s="1" t="n">
        <v>2013</v>
      </c>
      <c r="B1543" s="3">
        <f>HYPERLINK("https://leetcode.com/problems/detect-squares/", "Detect Squares")</f>
        <v/>
      </c>
      <c r="C1543" s="1" t="n">
        <v>1004</v>
      </c>
      <c r="D1543" s="1" t="n">
        <v>258</v>
      </c>
      <c r="E1543" s="4">
        <f>IF(INDEX(C:C, ROW())+INDEX(D:D, ROW())=0, 0, INDEX(C:C, ROW())/(INDEX(C:C, ROW())+INDEX(D:D, ROW())))</f>
        <v/>
      </c>
      <c r="F1543" s="1" t="inlineStr">
        <is>
          <t>Array, Hash Table, Design, Counting</t>
        </is>
      </c>
      <c r="G1543" s="1" t="inlineStr">
        <is>
          <t>Medium</t>
        </is>
      </c>
      <c r="H1543" s="1" t="n">
        <v>103210</v>
      </c>
      <c r="I1543" s="1" t="n">
        <v>197955</v>
      </c>
      <c r="J1543" s="9" t="n">
        <v>0.521</v>
      </c>
      <c r="K1543" s="1" t="inlineStr">
        <is>
          <t>Yes</t>
        </is>
      </c>
      <c r="L1543" s="1" t="inlineStr">
        <is>
          <t>No</t>
        </is>
      </c>
      <c r="M1543" s="1" t="inlineStr">
        <is>
          <t>No</t>
        </is>
      </c>
      <c r="N1543" s="1" t="inlineStr">
        <is>
          <t>Algorithms</t>
        </is>
      </c>
      <c r="O15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44" ht="15.75" customHeight="1" s="12">
      <c r="A1544" s="1" t="n">
        <v>1284</v>
      </c>
      <c r="B1544" s="3">
        <f>HYPERLINK("https://leetcode.com/problems/minimum-number-of-flips-to-convert-binary-matrix-to-zero-matrix/", "Minimum Number of Flips to Convert Binary Matrix to Zero Matrix")</f>
        <v/>
      </c>
      <c r="C1544" s="1" t="n">
        <v>1003</v>
      </c>
      <c r="D1544" s="1" t="n">
        <v>103</v>
      </c>
      <c r="E1544" s="4">
        <f>IF(INDEX(C:C, ROW())+INDEX(D:D, ROW())=0, 0, INDEX(C:C, ROW())/(INDEX(C:C, ROW())+INDEX(D:D, ROW())))</f>
        <v/>
      </c>
      <c r="F1544" s="1" t="inlineStr">
        <is>
          <t>Array, Hash Table, Bit Manipulation, Breadth-First Search, Matrix</t>
        </is>
      </c>
      <c r="G1544" s="1" t="inlineStr">
        <is>
          <t>Hard</t>
        </is>
      </c>
      <c r="H1544" s="1" t="n">
        <v>38587</v>
      </c>
      <c r="I1544" s="1" t="n">
        <v>53344</v>
      </c>
      <c r="J1544" s="9" t="n">
        <v>0.723</v>
      </c>
      <c r="K1544" s="1" t="inlineStr">
        <is>
          <t>Yes</t>
        </is>
      </c>
      <c r="L1544" s="1" t="inlineStr">
        <is>
          <t>Yes</t>
        </is>
      </c>
      <c r="M1544" s="1" t="inlineStr">
        <is>
          <t>No</t>
        </is>
      </c>
      <c r="N1544" s="1" t="inlineStr">
        <is>
          <t>Algorithms</t>
        </is>
      </c>
      <c r="O15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45" ht="15.75" customHeight="1" s="12">
      <c r="A1545" s="1" t="n">
        <v>2179</v>
      </c>
      <c r="B1545" s="3">
        <f>HYPERLINK("https://leetcode.com/problems/count-good-triplets-in-an-array/", "Count Good Triplets in an Array")</f>
        <v/>
      </c>
      <c r="C1545" s="1" t="n">
        <v>1003</v>
      </c>
      <c r="D1545" s="1" t="n">
        <v>114</v>
      </c>
      <c r="E1545" s="4">
        <f>IF(INDEX(C:C, ROW())+INDEX(D:D, ROW())=0, 0, INDEX(C:C, ROW())/(INDEX(C:C, ROW())+INDEX(D:D, ROW())))</f>
        <v/>
      </c>
      <c r="F1545" s="1" t="inlineStr">
        <is>
          <t>Array, Binary Search, Divide and Conquer, Binary Indexed Tree, Segment Tree, Merge Sort, Ordered Set</t>
        </is>
      </c>
      <c r="G1545" s="1" t="inlineStr">
        <is>
          <t>Hard</t>
        </is>
      </c>
      <c r="H1545" s="1" t="n">
        <v>75981</v>
      </c>
      <c r="I1545" s="1" t="n">
        <v>115509</v>
      </c>
      <c r="J1545" s="9" t="n">
        <v>0.658</v>
      </c>
      <c r="K1545" s="1" t="inlineStr">
        <is>
          <t>Yes</t>
        </is>
      </c>
      <c r="L1545" s="1" t="inlineStr">
        <is>
          <t>Yes</t>
        </is>
      </c>
      <c r="M1545" s="1" t="inlineStr">
        <is>
          <t>No</t>
        </is>
      </c>
      <c r="N1545" s="1" t="inlineStr">
        <is>
          <t>Algorithms</t>
        </is>
      </c>
      <c r="O15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46" ht="15.75" customHeight="1" s="12">
      <c r="A1546" s="1" t="n">
        <v>361</v>
      </c>
      <c r="B1546" s="3">
        <f>HYPERLINK("https://leetcode.com/problems/bomb-enemy/", "Bomb Enemy")</f>
        <v/>
      </c>
      <c r="C1546" s="1" t="n">
        <v>1002</v>
      </c>
      <c r="D1546" s="1" t="n">
        <v>118</v>
      </c>
      <c r="E1546" s="4">
        <f>IF(INDEX(C:C, ROW())+INDEX(D:D, ROW())=0, 0, INDEX(C:C, ROW())/(INDEX(C:C, ROW())+INDEX(D:D, ROW())))</f>
        <v/>
      </c>
      <c r="F1546" s="1" t="inlineStr">
        <is>
          <t>Array, Dynamic Programming, Matrix</t>
        </is>
      </c>
      <c r="G1546" s="1" t="inlineStr">
        <is>
          <t>Medium</t>
        </is>
      </c>
      <c r="H1546" s="1" t="n">
        <v>86196</v>
      </c>
      <c r="I1546" s="1" t="n">
        <v>163354</v>
      </c>
      <c r="J1546" s="9" t="n">
        <v>0.528</v>
      </c>
      <c r="K1546" s="1" t="inlineStr">
        <is>
          <t>No</t>
        </is>
      </c>
      <c r="L1546" s="1" t="inlineStr">
        <is>
          <t>Yes</t>
        </is>
      </c>
      <c r="M1546" s="1" t="inlineStr">
        <is>
          <t>No</t>
        </is>
      </c>
      <c r="N1546" s="1" t="inlineStr">
        <is>
          <t>Algorithms</t>
        </is>
      </c>
      <c r="O15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47" ht="15.75" customHeight="1" s="12">
      <c r="A1547" s="1" t="n">
        <v>1057</v>
      </c>
      <c r="B1547" s="3">
        <f>HYPERLINK("https://leetcode.com/problems/campus-bikes/", "Campus Bikes")</f>
        <v/>
      </c>
      <c r="C1547" s="1" t="n">
        <v>1002</v>
      </c>
      <c r="D1547" s="1" t="n">
        <v>198</v>
      </c>
      <c r="E1547" s="4">
        <f>IF(INDEX(C:C, ROW())+INDEX(D:D, ROW())=0, 0, INDEX(C:C, ROW())/(INDEX(C:C, ROW())+INDEX(D:D, ROW())))</f>
        <v/>
      </c>
      <c r="F1547" s="1" t="inlineStr">
        <is>
          <t>Array, Sorting, Heap (Priority Queue)</t>
        </is>
      </c>
      <c r="G1547" s="1" t="inlineStr">
        <is>
          <t>Medium</t>
        </is>
      </c>
      <c r="H1547" s="1" t="n">
        <v>77421</v>
      </c>
      <c r="I1547" s="1" t="n">
        <v>131033</v>
      </c>
      <c r="J1547" s="9" t="n">
        <v>0.591</v>
      </c>
      <c r="K1547" s="1" t="inlineStr">
        <is>
          <t>No</t>
        </is>
      </c>
      <c r="L1547" s="1" t="inlineStr">
        <is>
          <t>Yes</t>
        </is>
      </c>
      <c r="M1547" s="1" t="inlineStr">
        <is>
          <t>No</t>
        </is>
      </c>
      <c r="N1547" s="1" t="inlineStr">
        <is>
          <t>Algorithms</t>
        </is>
      </c>
      <c r="O15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48" ht="15.75" customHeight="1" s="12">
      <c r="A1548" s="1" t="n">
        <v>1222</v>
      </c>
      <c r="B1548" s="3">
        <f>HYPERLINK("https://leetcode.com/problems/queens-that-can-attack-the-king/", "Queens That Can Attack the King")</f>
        <v/>
      </c>
      <c r="C1548" s="1" t="n">
        <v>1002</v>
      </c>
      <c r="D1548" s="1" t="n">
        <v>154</v>
      </c>
      <c r="E1548" s="4">
        <f>IF(INDEX(C:C, ROW())+INDEX(D:D, ROW())=0, 0, INDEX(C:C, ROW())/(INDEX(C:C, ROW())+INDEX(D:D, ROW())))</f>
        <v/>
      </c>
      <c r="F1548" s="1" t="inlineStr">
        <is>
          <t>Array, Matrix, Simulation</t>
        </is>
      </c>
      <c r="G1548" s="1" t="inlineStr">
        <is>
          <t>Medium</t>
        </is>
      </c>
      <c r="H1548" s="1" t="n">
        <v>50064</v>
      </c>
      <c r="I1548" s="1" t="n">
        <v>69068</v>
      </c>
      <c r="J1548" s="9" t="n">
        <v>0.725</v>
      </c>
      <c r="K1548" s="1" t="inlineStr">
        <is>
          <t>Yes</t>
        </is>
      </c>
      <c r="L1548" s="1" t="inlineStr">
        <is>
          <t>No</t>
        </is>
      </c>
      <c r="M1548" s="1" t="inlineStr">
        <is>
          <t>No</t>
        </is>
      </c>
      <c r="N1548" s="1" t="inlineStr">
        <is>
          <t>Algorithms</t>
        </is>
      </c>
      <c r="O15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49" ht="15.75" customHeight="1" s="12">
      <c r="A1549" s="1" t="n">
        <v>1755</v>
      </c>
      <c r="B1549" s="3">
        <f>HYPERLINK("https://leetcode.com/problems/closest-subsequence-sum/", "Closest Subsequence Sum")</f>
        <v/>
      </c>
      <c r="C1549" s="1" t="n">
        <v>1000</v>
      </c>
      <c r="D1549" s="1" t="n">
        <v>74</v>
      </c>
      <c r="E1549" s="4">
        <f>IF(INDEX(C:C, ROW())+INDEX(D:D, ROW())=0, 0, INDEX(C:C, ROW())/(INDEX(C:C, ROW())+INDEX(D:D, ROW())))</f>
        <v/>
      </c>
      <c r="F1549" s="1" t="inlineStr">
        <is>
          <t>Array, Two Pointers, Dynamic Programming, Bit Manipulation, Sorting, Bitmask DP</t>
        </is>
      </c>
      <c r="G1549" s="1" t="inlineStr">
        <is>
          <t>Hard</t>
        </is>
      </c>
      <c r="H1549" s="1" t="n">
        <v>26668</v>
      </c>
      <c r="I1549" s="1" t="n">
        <v>62201</v>
      </c>
      <c r="J1549" s="9" t="n">
        <v>0.429</v>
      </c>
      <c r="K1549" s="1" t="inlineStr">
        <is>
          <t>Yes</t>
        </is>
      </c>
      <c r="L1549" s="1" t="inlineStr">
        <is>
          <t>No</t>
        </is>
      </c>
      <c r="M1549" s="1" t="inlineStr">
        <is>
          <t>No</t>
        </is>
      </c>
      <c r="N1549" s="1" t="inlineStr">
        <is>
          <t>Algorithms</t>
        </is>
      </c>
      <c r="O15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50" ht="15.75" customHeight="1" s="12">
      <c r="A1550" s="1" t="n">
        <v>971</v>
      </c>
      <c r="B1550" s="3">
        <f>HYPERLINK("https://leetcode.com/problems/flip-binary-tree-to-match-preorder-traversal/", "Flip Binary Tree To Match Preorder Traversal")</f>
        <v/>
      </c>
      <c r="C1550" s="1" t="n">
        <v>997</v>
      </c>
      <c r="D1550" s="1" t="n">
        <v>284</v>
      </c>
      <c r="E1550" s="4">
        <f>IF(INDEX(C:C, ROW())+INDEX(D:D, ROW())=0, 0, INDEX(C:C, ROW())/(INDEX(C:C, ROW())+INDEX(D:D, ROW())))</f>
        <v/>
      </c>
      <c r="F1550" s="1" t="inlineStr">
        <is>
          <t>Tree, Depth-First Search, Binary Tree</t>
        </is>
      </c>
      <c r="G1550" s="1" t="inlineStr">
        <is>
          <t>Medium</t>
        </is>
      </c>
      <c r="H1550" s="1" t="n">
        <v>48484</v>
      </c>
      <c r="I1550" s="1" t="n">
        <v>93734</v>
      </c>
      <c r="J1550" s="9" t="n">
        <v>0.517</v>
      </c>
      <c r="K1550" s="1" t="inlineStr">
        <is>
          <t>Yes</t>
        </is>
      </c>
      <c r="L1550" s="1" t="inlineStr">
        <is>
          <t>Yes</t>
        </is>
      </c>
      <c r="M1550" s="1" t="inlineStr">
        <is>
          <t>No</t>
        </is>
      </c>
      <c r="N1550" s="1" t="inlineStr">
        <is>
          <t>Algorithms</t>
        </is>
      </c>
      <c r="O15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51" ht="15.75" customHeight="1" s="12">
      <c r="A1551" s="1" t="n">
        <v>1223</v>
      </c>
      <c r="B1551" s="3">
        <f>HYPERLINK("https://leetcode.com/problems/dice-roll-simulation/", "Dice Roll Simulation")</f>
        <v/>
      </c>
      <c r="C1551" s="1" t="n">
        <v>993</v>
      </c>
      <c r="D1551" s="1" t="n">
        <v>197</v>
      </c>
      <c r="E1551" s="4">
        <f>IF(INDEX(C:C, ROW())+INDEX(D:D, ROW())=0, 0, INDEX(C:C, ROW())/(INDEX(C:C, ROW())+INDEX(D:D, ROW())))</f>
        <v/>
      </c>
      <c r="F1551" s="1" t="inlineStr">
        <is>
          <t>Array, Dynamic Programming</t>
        </is>
      </c>
      <c r="G1551" s="1" t="inlineStr">
        <is>
          <t>Hard</t>
        </is>
      </c>
      <c r="H1551" s="1" t="n">
        <v>36787</v>
      </c>
      <c r="I1551" s="1" t="n">
        <v>72749</v>
      </c>
      <c r="J1551" s="9" t="n">
        <v>0.506</v>
      </c>
      <c r="K1551" s="1" t="inlineStr">
        <is>
          <t>Yes</t>
        </is>
      </c>
      <c r="L1551" s="1" t="inlineStr">
        <is>
          <t>No</t>
        </is>
      </c>
      <c r="M1551" s="1" t="inlineStr">
        <is>
          <t>No</t>
        </is>
      </c>
      <c r="N1551" s="1" t="inlineStr">
        <is>
          <t>Algorithms</t>
        </is>
      </c>
      <c r="O15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52" ht="15.75" customHeight="1" s="12">
      <c r="A1552" s="1" t="n">
        <v>2106</v>
      </c>
      <c r="B1552" s="3">
        <f>HYPERLINK("https://leetcode.com/problems/maximum-fruits-harvested-after-at-most-k-steps/", "Maximum Fruits Harvested After at Most K Steps")</f>
        <v/>
      </c>
      <c r="C1552" s="1" t="n">
        <v>993</v>
      </c>
      <c r="D1552" s="1" t="n">
        <v>43</v>
      </c>
      <c r="E1552" s="4">
        <f>IF(INDEX(C:C, ROW())+INDEX(D:D, ROW())=0, 0, INDEX(C:C, ROW())/(INDEX(C:C, ROW())+INDEX(D:D, ROW())))</f>
        <v/>
      </c>
      <c r="F1552" s="1" t="inlineStr">
        <is>
          <t>Array, Binary Search, Sliding Window, Prefix Sum</t>
        </is>
      </c>
      <c r="G1552" s="1" t="inlineStr">
        <is>
          <t>Hard</t>
        </is>
      </c>
      <c r="H1552" s="1" t="n">
        <v>85751</v>
      </c>
      <c r="I1552" s="1" t="n">
        <v>140433</v>
      </c>
      <c r="J1552" s="9" t="n">
        <v>0.611</v>
      </c>
      <c r="K1552" s="1" t="inlineStr">
        <is>
          <t>Yes</t>
        </is>
      </c>
      <c r="L1552" s="1" t="inlineStr">
        <is>
          <t>Yes</t>
        </is>
      </c>
      <c r="M1552" s="1" t="inlineStr">
        <is>
          <t>No</t>
        </is>
      </c>
      <c r="N1552" s="1" t="inlineStr">
        <is>
          <t>Algorithms</t>
        </is>
      </c>
      <c r="O15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53" ht="15.75" customHeight="1" s="12">
      <c r="A1553" s="1" t="n">
        <v>1075</v>
      </c>
      <c r="B1553" s="3">
        <f>HYPERLINK("https://leetcode.com/problems/project-employees-i/", "Project Employees I")</f>
        <v/>
      </c>
      <c r="C1553" s="1" t="n">
        <v>992</v>
      </c>
      <c r="D1553" s="1" t="n">
        <v>204</v>
      </c>
      <c r="E1553" s="4">
        <f>IF(INDEX(C:C, ROW())+INDEX(D:D, ROW())=0, 0, INDEX(C:C, ROW())/(INDEX(C:C, ROW())+INDEX(D:D, ROW())))</f>
        <v/>
      </c>
      <c r="F1553" s="1" t="inlineStr">
        <is>
          <t>Database</t>
        </is>
      </c>
      <c r="G1553" s="1" t="inlineStr">
        <is>
          <t>Easy</t>
        </is>
      </c>
      <c r="H1553" s="1" t="n">
        <v>625843</v>
      </c>
      <c r="I1553" s="1" t="n">
        <v>941857</v>
      </c>
      <c r="J1553" s="9" t="n">
        <v>0.664</v>
      </c>
      <c r="K1553" s="1" t="inlineStr">
        <is>
          <t>Yes</t>
        </is>
      </c>
      <c r="L1553" s="1" t="inlineStr">
        <is>
          <t>Yes</t>
        </is>
      </c>
      <c r="M1553" s="1" t="inlineStr">
        <is>
          <t>No</t>
        </is>
      </c>
      <c r="N1553" s="1" t="inlineStr">
        <is>
          <t>Database</t>
        </is>
      </c>
      <c r="O15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54" ht="15.75" customHeight="1" s="12">
      <c r="A1554" s="1" t="n">
        <v>358</v>
      </c>
      <c r="B1554" s="3">
        <f>HYPERLINK("https://leetcode.com/problems/rearrange-string-k-distance-apart/", "Rearrange String k Distance Apart")</f>
        <v/>
      </c>
      <c r="C1554" s="1" t="n">
        <v>990</v>
      </c>
      <c r="D1554" s="1" t="n">
        <v>39</v>
      </c>
      <c r="E1554" s="4">
        <f>IF(INDEX(C:C, ROW())+INDEX(D:D, ROW())=0, 0, INDEX(C:C, ROW())/(INDEX(C:C, ROW())+INDEX(D:D, ROW())))</f>
        <v/>
      </c>
      <c r="F1554" s="1" t="inlineStr">
        <is>
          <t>Hash Table, String, Greedy, Sorting, Heap (Priority Queue), Counting</t>
        </is>
      </c>
      <c r="G1554" s="1" t="inlineStr">
        <is>
          <t>Hard</t>
        </is>
      </c>
      <c r="H1554" s="1" t="n">
        <v>71401</v>
      </c>
      <c r="I1554" s="1" t="n">
        <v>180795</v>
      </c>
      <c r="J1554" s="9" t="n">
        <v>0.395</v>
      </c>
      <c r="K1554" s="1" t="inlineStr">
        <is>
          <t>No</t>
        </is>
      </c>
      <c r="L1554" s="1" t="inlineStr">
        <is>
          <t>Yes</t>
        </is>
      </c>
      <c r="M1554" s="1" t="inlineStr">
        <is>
          <t>No</t>
        </is>
      </c>
      <c r="N1554" s="1" t="inlineStr">
        <is>
          <t>Algorithms</t>
        </is>
      </c>
      <c r="O15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55" ht="15.75" customHeight="1" s="12">
      <c r="A1555" s="1" t="n">
        <v>1753</v>
      </c>
      <c r="B1555" s="3">
        <f>HYPERLINK("https://leetcode.com/problems/maximum-score-from-removing-stones/", "Maximum Score From Removing Stones")</f>
        <v/>
      </c>
      <c r="C1555" s="1" t="n">
        <v>986</v>
      </c>
      <c r="D1555" s="1" t="n">
        <v>58</v>
      </c>
      <c r="E1555" s="4">
        <f>IF(INDEX(C:C, ROW())+INDEX(D:D, ROW())=0, 0, INDEX(C:C, ROW())/(INDEX(C:C, ROW())+INDEX(D:D, ROW())))</f>
        <v/>
      </c>
      <c r="F1555" s="1" t="inlineStr">
        <is>
          <t>Math, Greedy, Heap (Priority Queue)</t>
        </is>
      </c>
      <c r="G1555" s="1" t="inlineStr">
        <is>
          <t>Medium</t>
        </is>
      </c>
      <c r="H1555" s="1" t="n">
        <v>52436</v>
      </c>
      <c r="I1555" s="1" t="n">
        <v>76550</v>
      </c>
      <c r="J1555" s="9" t="n">
        <v>0.6850000000000001</v>
      </c>
      <c r="K1555" s="1" t="inlineStr">
        <is>
          <t>Yes</t>
        </is>
      </c>
      <c r="L1555" s="1" t="inlineStr">
        <is>
          <t>No</t>
        </is>
      </c>
      <c r="M1555" s="1" t="inlineStr">
        <is>
          <t>No</t>
        </is>
      </c>
      <c r="N1555" s="1" t="inlineStr">
        <is>
          <t>Algorithms</t>
        </is>
      </c>
      <c r="O15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56" ht="15.75" customHeight="1" s="12">
      <c r="A1556" s="1" t="n">
        <v>1935</v>
      </c>
      <c r="B1556" s="3">
        <f>HYPERLINK("https://leetcode.com/problems/maximum-number-of-words-you-can-type/", "Maximum Number of Words You Can Type")</f>
        <v/>
      </c>
      <c r="C1556" s="1" t="n">
        <v>985</v>
      </c>
      <c r="D1556" s="1" t="n">
        <v>40</v>
      </c>
      <c r="E1556" s="4">
        <f>IF(INDEX(C:C, ROW())+INDEX(D:D, ROW())=0, 0, INDEX(C:C, ROW())/(INDEX(C:C, ROW())+INDEX(D:D, ROW())))</f>
        <v/>
      </c>
      <c r="F1556" s="1" t="inlineStr">
        <is>
          <t>Hash Table, String</t>
        </is>
      </c>
      <c r="G1556" s="1" t="inlineStr">
        <is>
          <t>Easy</t>
        </is>
      </c>
      <c r="H1556" s="1" t="n">
        <v>226005</v>
      </c>
      <c r="I1556" s="1" t="n">
        <v>272569</v>
      </c>
      <c r="J1556" s="9" t="n">
        <v>0.829</v>
      </c>
      <c r="K1556" s="1" t="inlineStr">
        <is>
          <t>Yes</t>
        </is>
      </c>
      <c r="L1556" s="1" t="inlineStr">
        <is>
          <t>Yes</t>
        </is>
      </c>
      <c r="M1556" s="1" t="inlineStr">
        <is>
          <t>No</t>
        </is>
      </c>
      <c r="N1556" s="1" t="inlineStr">
        <is>
          <t>Algorithms</t>
        </is>
      </c>
      <c r="O15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57" ht="15.75" customHeight="1" s="12">
      <c r="A1557" s="1" t="n">
        <v>2493</v>
      </c>
      <c r="B1557" s="3">
        <f>HYPERLINK("https://leetcode.com/problems/divide-nodes-into-the-maximum-number-of-groups/", "Divide Nodes Into the Maximum Number of Groups")</f>
        <v/>
      </c>
      <c r="C1557" s="1" t="n">
        <v>984</v>
      </c>
      <c r="D1557" s="1" t="n">
        <v>74</v>
      </c>
      <c r="E1557" s="4">
        <f>IF(INDEX(C:C, ROW())+INDEX(D:D, ROW())=0, 0, INDEX(C:C, ROW())/(INDEX(C:C, ROW())+INDEX(D:D, ROW())))</f>
        <v/>
      </c>
      <c r="F1557" s="1" t="inlineStr">
        <is>
          <t>Depth-First Search, Breadth-First Search, Union-Find, Graph Theory</t>
        </is>
      </c>
      <c r="G1557" s="1" t="inlineStr">
        <is>
          <t>Hard</t>
        </is>
      </c>
      <c r="H1557" s="1" t="n">
        <v>85694</v>
      </c>
      <c r="I1557" s="1" t="n">
        <v>127770</v>
      </c>
      <c r="J1557" s="9" t="n">
        <v>0.671</v>
      </c>
      <c r="K1557" s="1" t="inlineStr">
        <is>
          <t>Yes</t>
        </is>
      </c>
      <c r="L1557" s="1" t="inlineStr">
        <is>
          <t>Yes</t>
        </is>
      </c>
      <c r="M1557" s="1" t="inlineStr">
        <is>
          <t>No</t>
        </is>
      </c>
      <c r="N1557" s="1" t="inlineStr">
        <is>
          <t>Algorithms</t>
        </is>
      </c>
      <c r="O15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58" ht="15.75" customHeight="1" s="12">
      <c r="A1558" s="1" t="n">
        <v>3306</v>
      </c>
      <c r="B1558" s="3">
        <f>HYPERLINK("https://leetcode.com/problems/count-of-substrings-containing-every-vowel-and-k-consonants-ii/", "Count of Substrings Containing Every Vowel and K Consonants II")</f>
        <v/>
      </c>
      <c r="C1558" s="1" t="n">
        <v>984</v>
      </c>
      <c r="D1558" s="1" t="n">
        <v>148</v>
      </c>
      <c r="E1558" s="4">
        <f>IF(INDEX(C:C, ROW())+INDEX(D:D, ROW())=0, 0, INDEX(C:C, ROW())/(INDEX(C:C, ROW())+INDEX(D:D, ROW())))</f>
        <v/>
      </c>
      <c r="F1558" s="1" t="inlineStr">
        <is>
          <t>Hash Table, String, Sliding Window</t>
        </is>
      </c>
      <c r="G1558" s="1" t="inlineStr">
        <is>
          <t>Medium</t>
        </is>
      </c>
      <c r="H1558" s="1" t="n">
        <v>113491</v>
      </c>
      <c r="I1558" s="1" t="n">
        <v>279420</v>
      </c>
      <c r="J1558" s="9" t="n">
        <v>0.406</v>
      </c>
      <c r="K1558" s="1" t="inlineStr">
        <is>
          <t>Yes</t>
        </is>
      </c>
      <c r="L1558" s="1" t="inlineStr">
        <is>
          <t>Yes</t>
        </is>
      </c>
      <c r="M1558" s="1" t="inlineStr">
        <is>
          <t>No</t>
        </is>
      </c>
      <c r="N1558" s="1" t="inlineStr">
        <is>
          <t>Algorithms</t>
        </is>
      </c>
      <c r="O15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59" ht="15.75" customHeight="1" s="12">
      <c r="A1559" s="1" t="n">
        <v>1637</v>
      </c>
      <c r="B1559" s="3">
        <f>HYPERLINK("https://leetcode.com/problems/widest-vertical-area-between-two-points-containing-no-points/", "Widest Vertical Area Between Two Points Containing No Points")</f>
        <v/>
      </c>
      <c r="C1559" s="1" t="n">
        <v>981</v>
      </c>
      <c r="D1559" s="1" t="n">
        <v>1785</v>
      </c>
      <c r="E1559" s="4">
        <f>IF(INDEX(C:C, ROW())+INDEX(D:D, ROW())=0, 0, INDEX(C:C, ROW())/(INDEX(C:C, ROW())+INDEX(D:D, ROW())))</f>
        <v/>
      </c>
      <c r="F1559" s="1" t="inlineStr">
        <is>
          <t>Array, Sorting</t>
        </is>
      </c>
      <c r="G1559" s="1" t="inlineStr">
        <is>
          <t>Easy</t>
        </is>
      </c>
      <c r="H1559" s="1" t="n">
        <v>197035</v>
      </c>
      <c r="I1559" s="1" t="n">
        <v>226249</v>
      </c>
      <c r="J1559" s="9" t="n">
        <v>0.871</v>
      </c>
      <c r="K1559" s="1" t="inlineStr">
        <is>
          <t>Yes</t>
        </is>
      </c>
      <c r="L1559" s="1" t="inlineStr">
        <is>
          <t>Yes</t>
        </is>
      </c>
      <c r="M1559" s="1" t="inlineStr">
        <is>
          <t>No</t>
        </is>
      </c>
      <c r="N1559" s="1" t="inlineStr">
        <is>
          <t>Algorithms</t>
        </is>
      </c>
      <c r="O15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60" ht="15.75" customHeight="1" s="12">
      <c r="A1560" s="1" t="n">
        <v>2100</v>
      </c>
      <c r="B1560" s="3">
        <f>HYPERLINK("https://leetcode.com/problems/find-good-days-to-rob-the-bank/", "Find Good Days to Rob the Bank")</f>
        <v/>
      </c>
      <c r="C1560" s="1" t="n">
        <v>981</v>
      </c>
      <c r="D1560" s="1" t="n">
        <v>53</v>
      </c>
      <c r="E1560" s="4">
        <f>IF(INDEX(C:C, ROW())+INDEX(D:D, ROW())=0, 0, INDEX(C:C, ROW())/(INDEX(C:C, ROW())+INDEX(D:D, ROW())))</f>
        <v/>
      </c>
      <c r="F1560" s="1" t="inlineStr">
        <is>
          <t>Array, Dynamic Programming, Prefix Sum</t>
        </is>
      </c>
      <c r="G1560" s="1" t="inlineStr">
        <is>
          <t>Medium</t>
        </is>
      </c>
      <c r="H1560" s="1" t="n">
        <v>41984</v>
      </c>
      <c r="I1560" s="1" t="n">
        <v>82061</v>
      </c>
      <c r="J1560" s="9" t="n">
        <v>0.512</v>
      </c>
      <c r="K1560" s="1" t="inlineStr">
        <is>
          <t>Yes</t>
        </is>
      </c>
      <c r="L1560" s="1" t="inlineStr">
        <is>
          <t>No</t>
        </is>
      </c>
      <c r="M1560" s="1" t="inlineStr">
        <is>
          <t>No</t>
        </is>
      </c>
      <c r="N1560" s="1" t="inlineStr">
        <is>
          <t>Algorithms</t>
        </is>
      </c>
      <c r="O15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61" ht="15.75" customHeight="1" s="12">
      <c r="A1561" s="1" t="n">
        <v>1023</v>
      </c>
      <c r="B1561" s="3">
        <f>HYPERLINK("https://leetcode.com/problems/camelcase-matching/", "Camelcase Matching")</f>
        <v/>
      </c>
      <c r="C1561" s="1" t="n">
        <v>977</v>
      </c>
      <c r="D1561" s="1" t="n">
        <v>348</v>
      </c>
      <c r="E1561" s="4">
        <f>IF(INDEX(C:C, ROW())+INDEX(D:D, ROW())=0, 0, INDEX(C:C, ROW())/(INDEX(C:C, ROW())+INDEX(D:D, ROW())))</f>
        <v/>
      </c>
      <c r="F1561" s="1" t="inlineStr">
        <is>
          <t>Array, Two Pointers, String, Trie, String Matching</t>
        </is>
      </c>
      <c r="G1561" s="1" t="inlineStr">
        <is>
          <t>Medium</t>
        </is>
      </c>
      <c r="H1561" s="1" t="n">
        <v>62816</v>
      </c>
      <c r="I1561" s="1" t="n">
        <v>96850</v>
      </c>
      <c r="J1561" s="9" t="n">
        <v>0.649</v>
      </c>
      <c r="K1561" s="1" t="inlineStr">
        <is>
          <t>Yes</t>
        </is>
      </c>
      <c r="L1561" s="1" t="inlineStr">
        <is>
          <t>No</t>
        </is>
      </c>
      <c r="M1561" s="1" t="inlineStr">
        <is>
          <t>No</t>
        </is>
      </c>
      <c r="N1561" s="1" t="inlineStr">
        <is>
          <t>Algorithms</t>
        </is>
      </c>
      <c r="O15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62" ht="15.75" customHeight="1" s="12">
      <c r="A1562" s="1" t="n">
        <v>1386</v>
      </c>
      <c r="B1562" s="3">
        <f>HYPERLINK("https://leetcode.com/problems/cinema-seat-allocation/", "Cinema Seat Allocation")</f>
        <v/>
      </c>
      <c r="C1562" s="1" t="n">
        <v>971</v>
      </c>
      <c r="D1562" s="1" t="n">
        <v>414</v>
      </c>
      <c r="E1562" s="4">
        <f>IF(INDEX(C:C, ROW())+INDEX(D:D, ROW())=0, 0, INDEX(C:C, ROW())/(INDEX(C:C, ROW())+INDEX(D:D, ROW())))</f>
        <v/>
      </c>
      <c r="F1562" s="1" t="inlineStr">
        <is>
          <t>Array, Hash Table, Greedy, Bit Manipulation</t>
        </is>
      </c>
      <c r="G1562" s="1" t="inlineStr">
        <is>
          <t>Medium</t>
        </is>
      </c>
      <c r="H1562" s="1" t="n">
        <v>60204</v>
      </c>
      <c r="I1562" s="1" t="n">
        <v>138659</v>
      </c>
      <c r="J1562" s="9" t="n">
        <v>0.434</v>
      </c>
      <c r="K1562" s="1" t="inlineStr">
        <is>
          <t>Yes</t>
        </is>
      </c>
      <c r="L1562" s="1" t="inlineStr">
        <is>
          <t>No</t>
        </is>
      </c>
      <c r="M1562" s="1" t="inlineStr">
        <is>
          <t>No</t>
        </is>
      </c>
      <c r="N1562" s="1" t="inlineStr">
        <is>
          <t>Algorithms</t>
        </is>
      </c>
      <c r="O15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63" ht="15.75" customHeight="1" s="12">
      <c r="A1563" s="1" t="n">
        <v>2079</v>
      </c>
      <c r="B1563" s="3">
        <f>HYPERLINK("https://leetcode.com/problems/watering-plants/", "Watering Plants")</f>
        <v/>
      </c>
      <c r="C1563" s="1" t="n">
        <v>971</v>
      </c>
      <c r="D1563" s="1" t="n">
        <v>73</v>
      </c>
      <c r="E1563" s="4">
        <f>IF(INDEX(C:C, ROW())+INDEX(D:D, ROW())=0, 0, INDEX(C:C, ROW())/(INDEX(C:C, ROW())+INDEX(D:D, ROW())))</f>
        <v/>
      </c>
      <c r="F1563" s="1" t="inlineStr">
        <is>
          <t>Array, Simulation</t>
        </is>
      </c>
      <c r="G1563" s="1" t="inlineStr">
        <is>
          <t>Medium</t>
        </is>
      </c>
      <c r="H1563" s="1" t="n">
        <v>65993</v>
      </c>
      <c r="I1563" s="1" t="n">
        <v>82560</v>
      </c>
      <c r="J1563" s="9" t="n">
        <v>0.799</v>
      </c>
      <c r="K1563" s="1" t="inlineStr">
        <is>
          <t>Yes</t>
        </is>
      </c>
      <c r="L1563" s="1" t="inlineStr">
        <is>
          <t>No</t>
        </is>
      </c>
      <c r="M1563" s="1" t="inlineStr">
        <is>
          <t>No</t>
        </is>
      </c>
      <c r="N1563" s="1" t="inlineStr">
        <is>
          <t>Algorithms</t>
        </is>
      </c>
      <c r="O15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64" ht="15.75" customHeight="1" s="12">
      <c r="A1564" s="1" t="n">
        <v>1375</v>
      </c>
      <c r="B1564" s="3">
        <f>HYPERLINK("https://leetcode.com/problems/number-of-times-binary-string-is-prefix-aligned/", "Number of Times Binary String Is Prefix-Aligned")</f>
        <v/>
      </c>
      <c r="C1564" s="1" t="n">
        <v>967</v>
      </c>
      <c r="D1564" s="1" t="n">
        <v>139</v>
      </c>
      <c r="E1564" s="4">
        <f>IF(INDEX(C:C, ROW())+INDEX(D:D, ROW())=0, 0, INDEX(C:C, ROW())/(INDEX(C:C, ROW())+INDEX(D:D, ROW())))</f>
        <v/>
      </c>
      <c r="F1564" s="1" t="inlineStr">
        <is>
          <t>Array</t>
        </is>
      </c>
      <c r="G1564" s="1" t="inlineStr">
        <is>
          <t>Medium</t>
        </is>
      </c>
      <c r="H1564" s="1" t="n">
        <v>59272</v>
      </c>
      <c r="I1564" s="1" t="n">
        <v>89847</v>
      </c>
      <c r="J1564" s="9" t="n">
        <v>0.66</v>
      </c>
      <c r="K1564" s="1" t="inlineStr">
        <is>
          <t>Yes</t>
        </is>
      </c>
      <c r="L1564" s="1" t="inlineStr">
        <is>
          <t>No</t>
        </is>
      </c>
      <c r="M1564" s="1" t="inlineStr">
        <is>
          <t>No</t>
        </is>
      </c>
      <c r="N1564" s="1" t="inlineStr">
        <is>
          <t>Algorithms</t>
        </is>
      </c>
      <c r="O15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65" ht="15.75" customHeight="1" s="12">
      <c r="A1565" s="1" t="n">
        <v>2304</v>
      </c>
      <c r="B1565" s="3">
        <f>HYPERLINK("https://leetcode.com/problems/minimum-path-cost-in-a-grid/", "Minimum Path Cost in a Grid")</f>
        <v/>
      </c>
      <c r="C1565" s="1" t="n">
        <v>967</v>
      </c>
      <c r="D1565" s="1" t="n">
        <v>175</v>
      </c>
      <c r="E1565" s="4">
        <f>IF(INDEX(C:C, ROW())+INDEX(D:D, ROW())=0, 0, INDEX(C:C, ROW())/(INDEX(C:C, ROW())+INDEX(D:D, ROW())))</f>
        <v/>
      </c>
      <c r="F1565" s="1" t="inlineStr">
        <is>
          <t>Array, Dynamic Programming, Matrix</t>
        </is>
      </c>
      <c r="G1565" s="1" t="inlineStr">
        <is>
          <t>Medium</t>
        </is>
      </c>
      <c r="H1565" s="1" t="n">
        <v>39543</v>
      </c>
      <c r="I1565" s="1" t="n">
        <v>58280</v>
      </c>
      <c r="J1565" s="9" t="n">
        <v>0.679</v>
      </c>
      <c r="K1565" s="1" t="inlineStr">
        <is>
          <t>Yes</t>
        </is>
      </c>
      <c r="L1565" s="1" t="inlineStr">
        <is>
          <t>No</t>
        </is>
      </c>
      <c r="M1565" s="1" t="inlineStr">
        <is>
          <t>No</t>
        </is>
      </c>
      <c r="N1565" s="1" t="inlineStr">
        <is>
          <t>Algorithms</t>
        </is>
      </c>
      <c r="O15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66" ht="15.75" customHeight="1" s="12">
      <c r="A1566" s="1" t="n">
        <v>369</v>
      </c>
      <c r="B1566" s="3">
        <f>HYPERLINK("https://leetcode.com/problems/plus-one-linked-list/", "Plus One Linked List")</f>
        <v/>
      </c>
      <c r="C1566" s="1" t="n">
        <v>965</v>
      </c>
      <c r="D1566" s="1" t="n">
        <v>48</v>
      </c>
      <c r="E1566" s="4">
        <f>IF(INDEX(C:C, ROW())+INDEX(D:D, ROW())=0, 0, INDEX(C:C, ROW())/(INDEX(C:C, ROW())+INDEX(D:D, ROW())))</f>
        <v/>
      </c>
      <c r="F1566" s="1" t="inlineStr">
        <is>
          <t>Linked List, Math</t>
        </is>
      </c>
      <c r="G1566" s="1" t="inlineStr">
        <is>
          <t>Medium</t>
        </is>
      </c>
      <c r="H1566" s="1" t="n">
        <v>87103</v>
      </c>
      <c r="I1566" s="1" t="n">
        <v>142292</v>
      </c>
      <c r="J1566" s="9" t="n">
        <v>0.612</v>
      </c>
      <c r="K1566" s="1" t="inlineStr">
        <is>
          <t>No</t>
        </is>
      </c>
      <c r="L1566" s="1" t="inlineStr">
        <is>
          <t>Yes</t>
        </is>
      </c>
      <c r="M1566" s="1" t="inlineStr">
        <is>
          <t>Yes</t>
        </is>
      </c>
      <c r="N1566" s="1" t="inlineStr">
        <is>
          <t>Algorithms</t>
        </is>
      </c>
      <c r="O15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67" ht="15.75" customHeight="1" s="12">
      <c r="A1567" s="1" t="n">
        <v>1066</v>
      </c>
      <c r="B1567" s="3">
        <f>HYPERLINK("https://leetcode.com/problems/campus-bikes-ii/", "Campus Bikes II")</f>
        <v/>
      </c>
      <c r="C1567" s="1" t="n">
        <v>964</v>
      </c>
      <c r="D1567" s="1" t="n">
        <v>90</v>
      </c>
      <c r="E1567" s="4">
        <f>IF(INDEX(C:C, ROW())+INDEX(D:D, ROW())=0, 0, INDEX(C:C, ROW())/(INDEX(C:C, ROW())+INDEX(D:D, ROW())))</f>
        <v/>
      </c>
      <c r="F1567" s="1" t="inlineStr">
        <is>
          <t>Array, Dynamic Programming, Backtracking, Bit Manipulation, Bitmask DP</t>
        </is>
      </c>
      <c r="G1567" s="1" t="inlineStr">
        <is>
          <t>Medium</t>
        </is>
      </c>
      <c r="H1567" s="1" t="n">
        <v>56895</v>
      </c>
      <c r="I1567" s="1" t="n">
        <v>101844</v>
      </c>
      <c r="J1567" s="9" t="n">
        <v>0.5590000000000001</v>
      </c>
      <c r="K1567" s="1" t="inlineStr">
        <is>
          <t>No</t>
        </is>
      </c>
      <c r="L1567" s="1" t="inlineStr">
        <is>
          <t>Yes</t>
        </is>
      </c>
      <c r="M1567" s="1" t="inlineStr">
        <is>
          <t>No</t>
        </is>
      </c>
      <c r="N1567" s="1" t="inlineStr">
        <is>
          <t>Algorithms</t>
        </is>
      </c>
      <c r="O15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68" ht="15.75" customHeight="1" s="12">
      <c r="A1568" s="1" t="n">
        <v>2948</v>
      </c>
      <c r="B1568" s="3">
        <f>HYPERLINK("https://leetcode.com/problems/make-lexicographically-smallest-array-by-swapping-elements/", "Make Lexicographically Smallest Array by Swapping Elements")</f>
        <v/>
      </c>
      <c r="C1568" s="1" t="n">
        <v>964</v>
      </c>
      <c r="D1568" s="1" t="n">
        <v>78</v>
      </c>
      <c r="E1568" s="4">
        <f>IF(INDEX(C:C, ROW())+INDEX(D:D, ROW())=0, 0, INDEX(C:C, ROW())/(INDEX(C:C, ROW())+INDEX(D:D, ROW())))</f>
        <v/>
      </c>
      <c r="F1568" s="1" t="inlineStr">
        <is>
          <t>Array, Union-Find, Sorting</t>
        </is>
      </c>
      <c r="G1568" s="1" t="inlineStr">
        <is>
          <t>Medium</t>
        </is>
      </c>
      <c r="H1568" s="1" t="n">
        <v>101068</v>
      </c>
      <c r="I1568" s="1" t="n">
        <v>167813</v>
      </c>
      <c r="J1568" s="9" t="n">
        <v>0.602</v>
      </c>
      <c r="K1568" s="1" t="inlineStr">
        <is>
          <t>Yes</t>
        </is>
      </c>
      <c r="L1568" s="1" t="inlineStr">
        <is>
          <t>Yes</t>
        </is>
      </c>
      <c r="M1568" s="1" t="inlineStr">
        <is>
          <t>No</t>
        </is>
      </c>
      <c r="N1568" s="1" t="inlineStr">
        <is>
          <t>Algorithms</t>
        </is>
      </c>
      <c r="O15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69" ht="15.75" customHeight="1" s="12">
      <c r="A1569" s="1" t="n">
        <v>1775</v>
      </c>
      <c r="B1569" s="3">
        <f>HYPERLINK("https://leetcode.com/problems/equal-sum-arrays-with-minimum-number-of-operations/", "Equal Sum Arrays With Minimum Number of Operations")</f>
        <v/>
      </c>
      <c r="C1569" s="1" t="n">
        <v>963</v>
      </c>
      <c r="D1569" s="1" t="n">
        <v>47</v>
      </c>
      <c r="E1569" s="4">
        <f>IF(INDEX(C:C, ROW())+INDEX(D:D, ROW())=0, 0, INDEX(C:C, ROW())/(INDEX(C:C, ROW())+INDEX(D:D, ROW())))</f>
        <v/>
      </c>
      <c r="F1569" s="1" t="inlineStr">
        <is>
          <t>Array, Hash Table, Greedy, Counting</t>
        </is>
      </c>
      <c r="G1569" s="1" t="inlineStr">
        <is>
          <t>Medium</t>
        </is>
      </c>
      <c r="H1569" s="1" t="n">
        <v>34931</v>
      </c>
      <c r="I1569" s="1" t="n">
        <v>64086</v>
      </c>
      <c r="J1569" s="9" t="n">
        <v>0.545</v>
      </c>
      <c r="K1569" s="1" t="inlineStr">
        <is>
          <t>Yes</t>
        </is>
      </c>
      <c r="L1569" s="1" t="inlineStr">
        <is>
          <t>No</t>
        </is>
      </c>
      <c r="M1569" s="1" t="inlineStr">
        <is>
          <t>No</t>
        </is>
      </c>
      <c r="N1569" s="1" t="inlineStr">
        <is>
          <t>Algorithms</t>
        </is>
      </c>
      <c r="O15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70" ht="15.75" customHeight="1" s="12">
      <c r="A1570" s="1" t="n">
        <v>2463</v>
      </c>
      <c r="B1570" s="3">
        <f>HYPERLINK("https://leetcode.com/problems/minimum-total-distance-traveled/", "Minimum Total Distance Traveled")</f>
        <v/>
      </c>
      <c r="C1570" s="1" t="n">
        <v>963</v>
      </c>
      <c r="D1570" s="1" t="n">
        <v>33</v>
      </c>
      <c r="E1570" s="4">
        <f>IF(INDEX(C:C, ROW())+INDEX(D:D, ROW())=0, 0, INDEX(C:C, ROW())/(INDEX(C:C, ROW())+INDEX(D:D, ROW())))</f>
        <v/>
      </c>
      <c r="F1570" s="1" t="inlineStr">
        <is>
          <t>Array, Dynamic Programming, Sorting</t>
        </is>
      </c>
      <c r="G1570" s="1" t="inlineStr">
        <is>
          <t>Hard</t>
        </is>
      </c>
      <c r="H1570" s="1" t="n">
        <v>75133</v>
      </c>
      <c r="I1570" s="1" t="n">
        <v>127705</v>
      </c>
      <c r="J1570" s="9" t="n">
        <v>0.588</v>
      </c>
      <c r="K1570" s="1" t="inlineStr">
        <is>
          <t>Yes</t>
        </is>
      </c>
      <c r="L1570" s="1" t="inlineStr">
        <is>
          <t>Yes</t>
        </is>
      </c>
      <c r="M1570" s="1" t="inlineStr">
        <is>
          <t>No</t>
        </is>
      </c>
      <c r="N1570" s="1" t="inlineStr">
        <is>
          <t>Algorithms</t>
        </is>
      </c>
      <c r="O15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71" ht="15.75" customHeight="1" s="12">
      <c r="A1571" s="1" t="n">
        <v>2845</v>
      </c>
      <c r="B1571" s="3">
        <f>HYPERLINK("https://leetcode.com/problems/count-of-interesting-subarrays/", "Count of Interesting Subarrays")</f>
        <v/>
      </c>
      <c r="C1571" s="1" t="n">
        <v>963</v>
      </c>
      <c r="D1571" s="1" t="n">
        <v>269</v>
      </c>
      <c r="E1571" s="4">
        <f>IF(INDEX(C:C, ROW())+INDEX(D:D, ROW())=0, 0, INDEX(C:C, ROW())/(INDEX(C:C, ROW())+INDEX(D:D, ROW())))</f>
        <v/>
      </c>
      <c r="F1571" s="1" t="inlineStr">
        <is>
          <t>Array, Hash Table, Prefix Sum</t>
        </is>
      </c>
      <c r="G1571" s="1" t="inlineStr">
        <is>
          <t>Medium</t>
        </is>
      </c>
      <c r="H1571" s="1" t="n">
        <v>91489</v>
      </c>
      <c r="I1571" s="1" t="n">
        <v>157594</v>
      </c>
      <c r="J1571" s="9" t="n">
        <v>0.581</v>
      </c>
      <c r="K1571" s="1" t="inlineStr">
        <is>
          <t>Yes</t>
        </is>
      </c>
      <c r="L1571" s="1" t="inlineStr">
        <is>
          <t>Yes</t>
        </is>
      </c>
      <c r="M1571" s="1" t="inlineStr">
        <is>
          <t>No</t>
        </is>
      </c>
      <c r="N1571" s="1" t="inlineStr">
        <is>
          <t>Algorithms</t>
        </is>
      </c>
      <c r="O15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72" ht="15.75" customHeight="1" s="12">
      <c r="A1572" s="1" t="n">
        <v>1745</v>
      </c>
      <c r="B1572" s="3">
        <f>HYPERLINK("https://leetcode.com/problems/palindrome-partitioning-iv/", "Palindrome Partitioning IV")</f>
        <v/>
      </c>
      <c r="C1572" s="1" t="n">
        <v>960</v>
      </c>
      <c r="D1572" s="1" t="n">
        <v>31</v>
      </c>
      <c r="E1572" s="4">
        <f>IF(INDEX(C:C, ROW())+INDEX(D:D, ROW())=0, 0, INDEX(C:C, ROW())/(INDEX(C:C, ROW())+INDEX(D:D, ROW())))</f>
        <v/>
      </c>
      <c r="F1572" s="1" t="inlineStr">
        <is>
          <t>String, Dynamic Programming</t>
        </is>
      </c>
      <c r="G1572" s="1" t="inlineStr">
        <is>
          <t>Hard</t>
        </is>
      </c>
      <c r="H1572" s="1" t="n">
        <v>31887</v>
      </c>
      <c r="I1572" s="1" t="n">
        <v>70683</v>
      </c>
      <c r="J1572" s="9" t="n">
        <v>0.451</v>
      </c>
      <c r="K1572" s="1" t="inlineStr">
        <is>
          <t>Yes</t>
        </is>
      </c>
      <c r="L1572" s="1" t="inlineStr">
        <is>
          <t>No</t>
        </is>
      </c>
      <c r="M1572" s="1" t="inlineStr">
        <is>
          <t>No</t>
        </is>
      </c>
      <c r="N1572" s="1" t="inlineStr">
        <is>
          <t>Algorithms</t>
        </is>
      </c>
      <c r="O15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73" ht="15.75" customHeight="1" s="12">
      <c r="A1573" s="1" t="n">
        <v>2965</v>
      </c>
      <c r="B1573" s="3">
        <f>HYPERLINK("https://leetcode.com/problems/find-missing-and-repeated-values/", "Find Missing and Repeated Values")</f>
        <v/>
      </c>
      <c r="C1573" s="1" t="n">
        <v>960</v>
      </c>
      <c r="D1573" s="1" t="n">
        <v>48</v>
      </c>
      <c r="E1573" s="4">
        <f>IF(INDEX(C:C, ROW())+INDEX(D:D, ROW())=0, 0, INDEX(C:C, ROW())/(INDEX(C:C, ROW())+INDEX(D:D, ROW())))</f>
        <v/>
      </c>
      <c r="F1573" s="1" t="inlineStr">
        <is>
          <t>Array, Hash Table, Math, Matrix</t>
        </is>
      </c>
      <c r="G1573" s="1" t="inlineStr">
        <is>
          <t>Easy</t>
        </is>
      </c>
      <c r="H1573" s="1" t="n">
        <v>312010</v>
      </c>
      <c r="I1573" s="1" t="n">
        <v>374888</v>
      </c>
      <c r="J1573" s="9" t="n">
        <v>0.832</v>
      </c>
      <c r="K1573" s="1" t="inlineStr">
        <is>
          <t>Yes</t>
        </is>
      </c>
      <c r="L1573" s="1" t="inlineStr">
        <is>
          <t>Yes</t>
        </is>
      </c>
      <c r="M1573" s="1" t="inlineStr">
        <is>
          <t>No</t>
        </is>
      </c>
      <c r="N1573" s="1" t="inlineStr">
        <is>
          <t>Algorithms</t>
        </is>
      </c>
      <c r="O15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74" ht="15.75" customHeight="1" s="12">
      <c r="A1574" s="1" t="n">
        <v>2349</v>
      </c>
      <c r="B1574" s="3">
        <f>HYPERLINK("https://leetcode.com/problems/design-a-number-container-system/", "Design a Number Container System")</f>
        <v/>
      </c>
      <c r="C1574" s="1" t="n">
        <v>959</v>
      </c>
      <c r="D1574" s="1" t="n">
        <v>74</v>
      </c>
      <c r="E1574" s="4">
        <f>IF(INDEX(C:C, ROW())+INDEX(D:D, ROW())=0, 0, INDEX(C:C, ROW())/(INDEX(C:C, ROW())+INDEX(D:D, ROW())))</f>
        <v/>
      </c>
      <c r="F1574" s="1" t="inlineStr">
        <is>
          <t>Hash Table, Design, Heap (Priority Queue), Ordered Set</t>
        </is>
      </c>
      <c r="G1574" s="1" t="inlineStr">
        <is>
          <t>Medium</t>
        </is>
      </c>
      <c r="H1574" s="1" t="n">
        <v>148080</v>
      </c>
      <c r="I1574" s="1" t="n">
        <v>259383</v>
      </c>
      <c r="J1574" s="9" t="n">
        <v>0.571</v>
      </c>
      <c r="K1574" s="1" t="inlineStr">
        <is>
          <t>Yes</t>
        </is>
      </c>
      <c r="L1574" s="1" t="inlineStr">
        <is>
          <t>Yes</t>
        </is>
      </c>
      <c r="M1574" s="1" t="inlineStr">
        <is>
          <t>No</t>
        </is>
      </c>
      <c r="N1574" s="1" t="inlineStr">
        <is>
          <t>Algorithms</t>
        </is>
      </c>
      <c r="O15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75" ht="15.75" customHeight="1" s="12">
      <c r="A1575" s="1" t="n">
        <v>247</v>
      </c>
      <c r="B1575" s="3">
        <f>HYPERLINK("https://leetcode.com/problems/strobogrammatic-number-ii/", "Strobogrammatic Number II")</f>
        <v/>
      </c>
      <c r="C1575" s="1" t="n">
        <v>958</v>
      </c>
      <c r="D1575" s="1" t="n">
        <v>263</v>
      </c>
      <c r="E1575" s="4">
        <f>IF(INDEX(C:C, ROW())+INDEX(D:D, ROW())=0, 0, INDEX(C:C, ROW())/(INDEX(C:C, ROW())+INDEX(D:D, ROW())))</f>
        <v/>
      </c>
      <c r="F1575" s="1" t="inlineStr">
        <is>
          <t>Array, String, Recursion</t>
        </is>
      </c>
      <c r="G1575" s="1" t="inlineStr">
        <is>
          <t>Medium</t>
        </is>
      </c>
      <c r="H1575" s="1" t="n">
        <v>160974</v>
      </c>
      <c r="I1575" s="1" t="n">
        <v>301112</v>
      </c>
      <c r="J1575" s="9" t="n">
        <v>0.535</v>
      </c>
      <c r="K1575" s="1" t="inlineStr">
        <is>
          <t>No</t>
        </is>
      </c>
      <c r="L1575" s="1" t="inlineStr">
        <is>
          <t>Yes</t>
        </is>
      </c>
      <c r="M1575" s="1" t="inlineStr">
        <is>
          <t>No</t>
        </is>
      </c>
      <c r="N1575" s="1" t="inlineStr">
        <is>
          <t>Algorithms</t>
        </is>
      </c>
      <c r="O15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76" ht="15.75" customHeight="1" s="12">
      <c r="A1576" s="1" t="n">
        <v>2976</v>
      </c>
      <c r="B1576" s="3">
        <f>HYPERLINK("https://leetcode.com/problems/minimum-cost-to-convert-string-i/", "Minimum Cost to Convert String I")</f>
        <v/>
      </c>
      <c r="C1576" s="1" t="n">
        <v>958</v>
      </c>
      <c r="D1576" s="1" t="n">
        <v>65</v>
      </c>
      <c r="E1576" s="4">
        <f>IF(INDEX(C:C, ROW())+INDEX(D:D, ROW())=0, 0, INDEX(C:C, ROW())/(INDEX(C:C, ROW())+INDEX(D:D, ROW())))</f>
        <v/>
      </c>
      <c r="F1576" s="1" t="inlineStr">
        <is>
          <t>Array, String, Graph Theory, Shortest Path</t>
        </is>
      </c>
      <c r="G1576" s="1" t="inlineStr">
        <is>
          <t>Medium</t>
        </is>
      </c>
      <c r="H1576" s="1" t="n">
        <v>111919</v>
      </c>
      <c r="I1576" s="1" t="n">
        <v>195172</v>
      </c>
      <c r="J1576" s="9" t="n">
        <v>0.573</v>
      </c>
      <c r="K1576" s="1" t="inlineStr">
        <is>
          <t>Yes</t>
        </is>
      </c>
      <c r="L1576" s="1" t="inlineStr">
        <is>
          <t>Yes</t>
        </is>
      </c>
      <c r="M1576" s="1" t="inlineStr">
        <is>
          <t>No</t>
        </is>
      </c>
      <c r="N1576" s="1" t="inlineStr">
        <is>
          <t>Algorithms</t>
        </is>
      </c>
      <c r="O15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77" ht="15.75" customHeight="1" s="12">
      <c r="A1577" s="1" t="n">
        <v>1229</v>
      </c>
      <c r="B1577" s="3">
        <f>HYPERLINK("https://leetcode.com/problems/meeting-scheduler/", "Meeting Scheduler")</f>
        <v/>
      </c>
      <c r="C1577" s="1" t="n">
        <v>957</v>
      </c>
      <c r="D1577" s="1" t="n">
        <v>39</v>
      </c>
      <c r="E1577" s="4">
        <f>IF(INDEX(C:C, ROW())+INDEX(D:D, ROW())=0, 0, INDEX(C:C, ROW())/(INDEX(C:C, ROW())+INDEX(D:D, ROW())))</f>
        <v/>
      </c>
      <c r="F1577" s="1" t="inlineStr">
        <is>
          <t>Array, Two Pointers, Sorting</t>
        </is>
      </c>
      <c r="G1577" s="1" t="inlineStr">
        <is>
          <t>Medium</t>
        </is>
      </c>
      <c r="H1577" s="1" t="n">
        <v>103376</v>
      </c>
      <c r="I1577" s="1" t="n">
        <v>187297</v>
      </c>
      <c r="J1577" s="9" t="n">
        <v>0.552</v>
      </c>
      <c r="K1577" s="1" t="inlineStr">
        <is>
          <t>No</t>
        </is>
      </c>
      <c r="L1577" s="1" t="inlineStr">
        <is>
          <t>Yes</t>
        </is>
      </c>
      <c r="M1577" s="1" t="inlineStr">
        <is>
          <t>No</t>
        </is>
      </c>
      <c r="N1577" s="1" t="inlineStr">
        <is>
          <t>Algorithms</t>
        </is>
      </c>
      <c r="O15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78" ht="15.75" customHeight="1" s="12">
      <c r="A1578" s="1" t="n">
        <v>1795</v>
      </c>
      <c r="B1578" s="3">
        <f>HYPERLINK("https://leetcode.com/problems/rearrange-products-table/", "Rearrange Products Table")</f>
        <v/>
      </c>
      <c r="C1578" s="1" t="n">
        <v>957</v>
      </c>
      <c r="D1578" s="1" t="n">
        <v>67</v>
      </c>
      <c r="E1578" s="4">
        <f>IF(INDEX(C:C, ROW())+INDEX(D:D, ROW())=0, 0, INDEX(C:C, ROW())/(INDEX(C:C, ROW())+INDEX(D:D, ROW())))</f>
        <v/>
      </c>
      <c r="F1578" s="1" t="inlineStr">
        <is>
          <t>Database</t>
        </is>
      </c>
      <c r="G1578" s="1" t="inlineStr">
        <is>
          <t>Easy</t>
        </is>
      </c>
      <c r="H1578" s="1" t="n">
        <v>190928</v>
      </c>
      <c r="I1578" s="1" t="n">
        <v>223199</v>
      </c>
      <c r="J1578" s="9" t="n">
        <v>0.855</v>
      </c>
      <c r="K1578" s="1" t="inlineStr">
        <is>
          <t>Yes</t>
        </is>
      </c>
      <c r="L1578" s="1" t="inlineStr">
        <is>
          <t>Yes</t>
        </is>
      </c>
      <c r="M1578" s="1" t="inlineStr">
        <is>
          <t>No</t>
        </is>
      </c>
      <c r="N1578" s="1" t="inlineStr">
        <is>
          <t>Database</t>
        </is>
      </c>
      <c r="O15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79" ht="15.75" customHeight="1" s="12">
      <c r="A1579" s="1" t="n">
        <v>420</v>
      </c>
      <c r="B1579" s="3">
        <f>HYPERLINK("https://leetcode.com/problems/strong-password-checker/", "Strong Password Checker")</f>
        <v/>
      </c>
      <c r="C1579" s="1" t="n">
        <v>956</v>
      </c>
      <c r="D1579" s="1" t="n">
        <v>1752</v>
      </c>
      <c r="E1579" s="4">
        <f>IF(INDEX(C:C, ROW())+INDEX(D:D, ROW())=0, 0, INDEX(C:C, ROW())/(INDEX(C:C, ROW())+INDEX(D:D, ROW())))</f>
        <v/>
      </c>
      <c r="F1579" s="1" t="inlineStr">
        <is>
          <t>String, Greedy, Heap (Priority Queue)</t>
        </is>
      </c>
      <c r="G1579" s="1" t="inlineStr">
        <is>
          <t>Hard</t>
        </is>
      </c>
      <c r="H1579" s="1" t="n">
        <v>53751</v>
      </c>
      <c r="I1579" s="1" t="n">
        <v>350517</v>
      </c>
      <c r="J1579" s="9" t="n">
        <v>0.153</v>
      </c>
      <c r="K1579" s="1" t="inlineStr">
        <is>
          <t>Yes</t>
        </is>
      </c>
      <c r="L1579" s="1" t="inlineStr">
        <is>
          <t>No</t>
        </is>
      </c>
      <c r="M1579" s="1" t="inlineStr">
        <is>
          <t>No</t>
        </is>
      </c>
      <c r="N1579" s="1" t="inlineStr">
        <is>
          <t>Algorithms</t>
        </is>
      </c>
      <c r="O15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80" ht="15.75" customHeight="1" s="12">
      <c r="A1580" s="1" t="n">
        <v>2191</v>
      </c>
      <c r="B1580" s="3">
        <f>HYPERLINK("https://leetcode.com/problems/sort-the-jumbled-numbers/", "Sort the Jumbled Numbers")</f>
        <v/>
      </c>
      <c r="C1580" s="1" t="n">
        <v>956</v>
      </c>
      <c r="D1580" s="1" t="n">
        <v>139</v>
      </c>
      <c r="E1580" s="4">
        <f>IF(INDEX(C:C, ROW())+INDEX(D:D, ROW())=0, 0, INDEX(C:C, ROW())/(INDEX(C:C, ROW())+INDEX(D:D, ROW())))</f>
        <v/>
      </c>
      <c r="F1580" s="1" t="inlineStr">
        <is>
          <t>Array, Sorting</t>
        </is>
      </c>
      <c r="G1580" s="1" t="inlineStr">
        <is>
          <t>Medium</t>
        </is>
      </c>
      <c r="H1580" s="1" t="n">
        <v>154262</v>
      </c>
      <c r="I1580" s="1" t="n">
        <v>257215</v>
      </c>
      <c r="J1580" s="9" t="n">
        <v>0.6</v>
      </c>
      <c r="K1580" s="1" t="inlineStr">
        <is>
          <t>Yes</t>
        </is>
      </c>
      <c r="L1580" s="1" t="inlineStr">
        <is>
          <t>Yes</t>
        </is>
      </c>
      <c r="M1580" s="1" t="inlineStr">
        <is>
          <t>No</t>
        </is>
      </c>
      <c r="N1580" s="1" t="inlineStr">
        <is>
          <t>Algorithms</t>
        </is>
      </c>
      <c r="O15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81" ht="15.75" customHeight="1" s="12">
      <c r="A1581" s="1" t="n">
        <v>1776</v>
      </c>
      <c r="B1581" s="3">
        <f>HYPERLINK("https://leetcode.com/problems/car-fleet-ii/", "Car Fleet II")</f>
        <v/>
      </c>
      <c r="C1581" s="1" t="n">
        <v>955</v>
      </c>
      <c r="D1581" s="1" t="n">
        <v>41</v>
      </c>
      <c r="E1581" s="4">
        <f>IF(INDEX(C:C, ROW())+INDEX(D:D, ROW())=0, 0, INDEX(C:C, ROW())/(INDEX(C:C, ROW())+INDEX(D:D, ROW())))</f>
        <v/>
      </c>
      <c r="F1581" s="1" t="inlineStr">
        <is>
          <t>Array, Math, Stack, Heap (Priority Queue), Monotonic Stack</t>
        </is>
      </c>
      <c r="G1581" s="1" t="inlineStr">
        <is>
          <t>Hard</t>
        </is>
      </c>
      <c r="H1581" s="1" t="n">
        <v>32299</v>
      </c>
      <c r="I1581" s="1" t="n">
        <v>56237</v>
      </c>
      <c r="J1581" s="9" t="n">
        <v>0.574</v>
      </c>
      <c r="K1581" s="1" t="inlineStr">
        <is>
          <t>Yes</t>
        </is>
      </c>
      <c r="L1581" s="1" t="inlineStr">
        <is>
          <t>No</t>
        </is>
      </c>
      <c r="M1581" s="1" t="inlineStr">
        <is>
          <t>No</t>
        </is>
      </c>
      <c r="N1581" s="1" t="inlineStr">
        <is>
          <t>Algorithms</t>
        </is>
      </c>
      <c r="O15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82" ht="15.75" customHeight="1" s="12">
      <c r="A1582" s="1" t="n">
        <v>1437</v>
      </c>
      <c r="B1582" s="3">
        <f>HYPERLINK("https://leetcode.com/problems/check-if-all-1s-are-at-least-length-k-places-away/", "Check If All 1's Are at Least Length K Places Away")</f>
        <v/>
      </c>
      <c r="C1582" s="1" t="n">
        <v>954</v>
      </c>
      <c r="D1582" s="1" t="n">
        <v>243</v>
      </c>
      <c r="E1582" s="4">
        <f>IF(INDEX(C:C, ROW())+INDEX(D:D, ROW())=0, 0, INDEX(C:C, ROW())/(INDEX(C:C, ROW())+INDEX(D:D, ROW())))</f>
        <v/>
      </c>
      <c r="F1582" s="1" t="inlineStr">
        <is>
          <t>Array</t>
        </is>
      </c>
      <c r="G1582" s="1" t="inlineStr">
        <is>
          <t>Easy</t>
        </is>
      </c>
      <c r="H1582" s="1" t="n">
        <v>209796</v>
      </c>
      <c r="I1582" s="1" t="n">
        <v>326576</v>
      </c>
      <c r="J1582" s="9" t="n">
        <v>0.642</v>
      </c>
      <c r="K1582" s="1" t="inlineStr">
        <is>
          <t>Yes</t>
        </is>
      </c>
      <c r="L1582" s="1" t="inlineStr">
        <is>
          <t>Yes</t>
        </is>
      </c>
      <c r="M1582" s="1" t="inlineStr">
        <is>
          <t>No</t>
        </is>
      </c>
      <c r="N1582" s="1" t="inlineStr">
        <is>
          <t>Algorithms</t>
        </is>
      </c>
      <c r="O15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83" ht="15.75" customHeight="1" s="12">
      <c r="A1583" s="1" t="n">
        <v>756</v>
      </c>
      <c r="B1583" s="3">
        <f>HYPERLINK("https://leetcode.com/problems/pyramid-transition-matrix/", "Pyramid Transition Matrix")</f>
        <v/>
      </c>
      <c r="C1583" s="1" t="n">
        <v>953</v>
      </c>
      <c r="D1583" s="1" t="n">
        <v>551</v>
      </c>
      <c r="E1583" s="4">
        <f>IF(INDEX(C:C, ROW())+INDEX(D:D, ROW())=0, 0, INDEX(C:C, ROW())/(INDEX(C:C, ROW())+INDEX(D:D, ROW())))</f>
        <v/>
      </c>
      <c r="F1583" s="1" t="inlineStr">
        <is>
          <t>Hash Table, String, Backtracking, Bit Manipulation</t>
        </is>
      </c>
      <c r="G1583" s="1" t="inlineStr">
        <is>
          <t>Medium</t>
        </is>
      </c>
      <c r="H1583" s="1" t="n">
        <v>104919</v>
      </c>
      <c r="I1583" s="1" t="n">
        <v>173219</v>
      </c>
      <c r="J1583" s="9" t="n">
        <v>0.606</v>
      </c>
      <c r="K1583" s="1" t="inlineStr">
        <is>
          <t>Yes</t>
        </is>
      </c>
      <c r="L1583" s="1" t="inlineStr">
        <is>
          <t>Yes</t>
        </is>
      </c>
      <c r="M1583" s="1" t="inlineStr">
        <is>
          <t>No</t>
        </is>
      </c>
      <c r="N1583" s="1" t="inlineStr">
        <is>
          <t>Algorithms</t>
        </is>
      </c>
      <c r="O15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84" ht="15.75" customHeight="1" s="12">
      <c r="A1584" s="1" t="n">
        <v>2121</v>
      </c>
      <c r="B1584" s="3">
        <f>HYPERLINK("https://leetcode.com/problems/intervals-between-identical-elements/", "Intervals Between Identical Elements")</f>
        <v/>
      </c>
      <c r="C1584" s="1" t="n">
        <v>952</v>
      </c>
      <c r="D1584" s="1" t="n">
        <v>44</v>
      </c>
      <c r="E1584" s="4">
        <f>IF(INDEX(C:C, ROW())+INDEX(D:D, ROW())=0, 0, INDEX(C:C, ROW())/(INDEX(C:C, ROW())+INDEX(D:D, ROW())))</f>
        <v/>
      </c>
      <c r="F1584" s="1" t="inlineStr">
        <is>
          <t>Array, Hash Table, Prefix Sum</t>
        </is>
      </c>
      <c r="G1584" s="1" t="inlineStr">
        <is>
          <t>Medium</t>
        </is>
      </c>
      <c r="H1584" s="1" t="n">
        <v>26083</v>
      </c>
      <c r="I1584" s="1" t="n">
        <v>57440</v>
      </c>
      <c r="J1584" s="9" t="n">
        <v>0.454</v>
      </c>
      <c r="K1584" s="1" t="inlineStr">
        <is>
          <t>Yes</t>
        </is>
      </c>
      <c r="L1584" s="1" t="inlineStr">
        <is>
          <t>No</t>
        </is>
      </c>
      <c r="M1584" s="1" t="inlineStr">
        <is>
          <t>No</t>
        </is>
      </c>
      <c r="N1584" s="1" t="inlineStr">
        <is>
          <t>Algorithms</t>
        </is>
      </c>
      <c r="O15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85" ht="15.75" customHeight="1" s="12">
      <c r="A1585" s="1" t="n">
        <v>1434</v>
      </c>
      <c r="B1585" s="3">
        <f>HYPERLINK("https://leetcode.com/problems/number-of-ways-to-wear-different-hats-to-each-other/", "Number of Ways to Wear Different Hats to Each Other")</f>
        <v/>
      </c>
      <c r="C1585" s="1" t="n">
        <v>951</v>
      </c>
      <c r="D1585" s="1" t="n">
        <v>11</v>
      </c>
      <c r="E1585" s="4">
        <f>IF(INDEX(C:C, ROW())+INDEX(D:D, ROW())=0, 0, INDEX(C:C, ROW())/(INDEX(C:C, ROW())+INDEX(D:D, ROW())))</f>
        <v/>
      </c>
      <c r="F1585" s="1" t="inlineStr">
        <is>
          <t>Array, Dynamic Programming, Bit Manipulation, Bitmask DP</t>
        </is>
      </c>
      <c r="G1585" s="1" t="inlineStr">
        <is>
          <t>Hard</t>
        </is>
      </c>
      <c r="H1585" s="1" t="n">
        <v>21025</v>
      </c>
      <c r="I1585" s="1" t="n">
        <v>46219</v>
      </c>
      <c r="J1585" s="9" t="n">
        <v>0.455</v>
      </c>
      <c r="K1585" s="1" t="inlineStr">
        <is>
          <t>Yes</t>
        </is>
      </c>
      <c r="L1585" s="1" t="inlineStr">
        <is>
          <t>Yes</t>
        </is>
      </c>
      <c r="M1585" s="1" t="inlineStr">
        <is>
          <t>No</t>
        </is>
      </c>
      <c r="N1585" s="1" t="inlineStr">
        <is>
          <t>Algorithms</t>
        </is>
      </c>
      <c r="O15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86" ht="15.75" customHeight="1" s="12">
      <c r="A1586" s="1" t="n">
        <v>2407</v>
      </c>
      <c r="B1586" s="3">
        <f>HYPERLINK("https://leetcode.com/problems/longest-increasing-subsequence-ii/", "Longest Increasing Subsequence II")</f>
        <v/>
      </c>
      <c r="C1586" s="1" t="n">
        <v>950</v>
      </c>
      <c r="D1586" s="1" t="n">
        <v>41</v>
      </c>
      <c r="E1586" s="4">
        <f>IF(INDEX(C:C, ROW())+INDEX(D:D, ROW())=0, 0, INDEX(C:C, ROW())/(INDEX(C:C, ROW())+INDEX(D:D, ROW())))</f>
        <v/>
      </c>
      <c r="F1586" s="1" t="inlineStr">
        <is>
          <t>Array, Divide and Conquer, Dynamic Programming, Binary Indexed Tree, Segment Tree, Queue, Monotonic Queue</t>
        </is>
      </c>
      <c r="G1586" s="1" t="inlineStr">
        <is>
          <t>Hard</t>
        </is>
      </c>
      <c r="H1586" s="1" t="n">
        <v>23155</v>
      </c>
      <c r="I1586" s="1" t="n">
        <v>89236</v>
      </c>
      <c r="J1586" s="9" t="n">
        <v>0.259</v>
      </c>
      <c r="K1586" s="1" t="inlineStr">
        <is>
          <t>Yes</t>
        </is>
      </c>
      <c r="L1586" s="1" t="inlineStr">
        <is>
          <t>No</t>
        </is>
      </c>
      <c r="M1586" s="1" t="inlineStr">
        <is>
          <t>No</t>
        </is>
      </c>
      <c r="N1586" s="1" t="inlineStr">
        <is>
          <t>Algorithms</t>
        </is>
      </c>
      <c r="O15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87" ht="15.75" customHeight="1" s="12">
      <c r="A1587" s="1" t="n">
        <v>2684</v>
      </c>
      <c r="B1587" s="3">
        <f>HYPERLINK("https://leetcode.com/problems/maximum-number-of-moves-in-a-grid/", "Maximum Number of Moves in a Grid")</f>
        <v/>
      </c>
      <c r="C1587" s="1" t="n">
        <v>950</v>
      </c>
      <c r="D1587" s="1" t="n">
        <v>28</v>
      </c>
      <c r="E1587" s="4">
        <f>IF(INDEX(C:C, ROW())+INDEX(D:D, ROW())=0, 0, INDEX(C:C, ROW())/(INDEX(C:C, ROW())+INDEX(D:D, ROW())))</f>
        <v/>
      </c>
      <c r="F1587" s="1" t="inlineStr">
        <is>
          <t>Array, Dynamic Programming, Matrix</t>
        </is>
      </c>
      <c r="G1587" s="1" t="inlineStr">
        <is>
          <t>Medium</t>
        </is>
      </c>
      <c r="H1587" s="1" t="n">
        <v>131928</v>
      </c>
      <c r="I1587" s="1" t="n">
        <v>224491</v>
      </c>
      <c r="J1587" s="9" t="n">
        <v>0.588</v>
      </c>
      <c r="K1587" s="1" t="inlineStr">
        <is>
          <t>Yes</t>
        </is>
      </c>
      <c r="L1587" s="1" t="inlineStr">
        <is>
          <t>Yes</t>
        </is>
      </c>
      <c r="M1587" s="1" t="inlineStr">
        <is>
          <t>No</t>
        </is>
      </c>
      <c r="N1587" s="1" t="inlineStr">
        <is>
          <t>Algorithms</t>
        </is>
      </c>
      <c r="O15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88" ht="15.75" customHeight="1" s="12">
      <c r="A1588" s="1" t="n">
        <v>391</v>
      </c>
      <c r="B1588" s="3">
        <f>HYPERLINK("https://leetcode.com/problems/perfect-rectangle/", "Perfect Rectangle")</f>
        <v/>
      </c>
      <c r="C1588" s="1" t="n">
        <v>948</v>
      </c>
      <c r="D1588" s="1" t="n">
        <v>120</v>
      </c>
      <c r="E1588" s="4">
        <f>IF(INDEX(C:C, ROW())+INDEX(D:D, ROW())=0, 0, INDEX(C:C, ROW())/(INDEX(C:C, ROW())+INDEX(D:D, ROW())))</f>
        <v/>
      </c>
      <c r="F1588" s="1" t="inlineStr">
        <is>
          <t>Array, Hash Table, Math, Geometry, Sweep Line</t>
        </is>
      </c>
      <c r="G1588" s="1" t="inlineStr">
        <is>
          <t>Hard</t>
        </is>
      </c>
      <c r="H1588" s="1" t="n">
        <v>57934</v>
      </c>
      <c r="I1588" s="1" t="n">
        <v>156651</v>
      </c>
      <c r="J1588" s="9" t="n">
        <v>0.37</v>
      </c>
      <c r="K1588" s="1" t="inlineStr">
        <is>
          <t>Yes</t>
        </is>
      </c>
      <c r="L1588" s="1" t="inlineStr">
        <is>
          <t>No</t>
        </is>
      </c>
      <c r="M1588" s="1" t="inlineStr">
        <is>
          <t>No</t>
        </is>
      </c>
      <c r="N1588" s="1" t="inlineStr">
        <is>
          <t>Algorithms</t>
        </is>
      </c>
      <c r="O15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89" ht="15.75" customHeight="1" s="12">
      <c r="A1589" s="1" t="n">
        <v>1341</v>
      </c>
      <c r="B1589" s="3">
        <f>HYPERLINK("https://leetcode.com/problems/movie-rating/", "Movie Rating")</f>
        <v/>
      </c>
      <c r="C1589" s="1" t="n">
        <v>945</v>
      </c>
      <c r="D1589" s="1" t="n">
        <v>233</v>
      </c>
      <c r="E1589" s="4">
        <f>IF(INDEX(C:C, ROW())+INDEX(D:D, ROW())=0, 0, INDEX(C:C, ROW())/(INDEX(C:C, ROW())+INDEX(D:D, ROW())))</f>
        <v/>
      </c>
      <c r="F1589" s="1" t="inlineStr">
        <is>
          <t>Database</t>
        </is>
      </c>
      <c r="G1589" s="1" t="inlineStr">
        <is>
          <t>Medium</t>
        </is>
      </c>
      <c r="H1589" s="1" t="n">
        <v>264754</v>
      </c>
      <c r="I1589" s="1" t="n">
        <v>622330</v>
      </c>
      <c r="J1589" s="9" t="n">
        <v>0.425</v>
      </c>
      <c r="K1589" s="1" t="inlineStr">
        <is>
          <t>Yes</t>
        </is>
      </c>
      <c r="L1589" s="1" t="inlineStr">
        <is>
          <t>No</t>
        </is>
      </c>
      <c r="M1589" s="1" t="inlineStr">
        <is>
          <t>No</t>
        </is>
      </c>
      <c r="N1589" s="1" t="inlineStr">
        <is>
          <t>Database</t>
        </is>
      </c>
      <c r="O15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90" ht="15.75" customHeight="1" s="12">
      <c r="A1590" s="1" t="n">
        <v>393</v>
      </c>
      <c r="B1590" s="3">
        <f>HYPERLINK("https://leetcode.com/problems/utf-8-validation/", "UTF-8 Validation")</f>
        <v/>
      </c>
      <c r="C1590" s="1" t="n">
        <v>944</v>
      </c>
      <c r="D1590" s="1" t="n">
        <v>2888</v>
      </c>
      <c r="E1590" s="4">
        <f>IF(INDEX(C:C, ROW())+INDEX(D:D, ROW())=0, 0, INDEX(C:C, ROW())/(INDEX(C:C, ROW())+INDEX(D:D, ROW())))</f>
        <v/>
      </c>
      <c r="F1590" s="1" t="inlineStr">
        <is>
          <t>Array, Bit Manipulation</t>
        </is>
      </c>
      <c r="G1590" s="1" t="inlineStr">
        <is>
          <t>Medium</t>
        </is>
      </c>
      <c r="H1590" s="1" t="n">
        <v>137671</v>
      </c>
      <c r="I1590" s="1" t="n">
        <v>299353</v>
      </c>
      <c r="J1590" s="9" t="n">
        <v>0.46</v>
      </c>
      <c r="K1590" s="1" t="inlineStr">
        <is>
          <t>Yes</t>
        </is>
      </c>
      <c r="L1590" s="1" t="inlineStr">
        <is>
          <t>Yes</t>
        </is>
      </c>
      <c r="M1590" s="1" t="inlineStr">
        <is>
          <t>No</t>
        </is>
      </c>
      <c r="N1590" s="1" t="inlineStr">
        <is>
          <t>Algorithms</t>
        </is>
      </c>
      <c r="O15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91" ht="15.75" customHeight="1" s="12">
      <c r="A1591" s="1" t="n">
        <v>2658</v>
      </c>
      <c r="B1591" s="3">
        <f>HYPERLINK("https://leetcode.com/problems/maximum-number-of-fish-in-a-grid/", "Maximum Number of Fish in a Grid")</f>
        <v/>
      </c>
      <c r="C1591" s="1" t="n">
        <v>944</v>
      </c>
      <c r="D1591" s="1" t="n">
        <v>66</v>
      </c>
      <c r="E1591" s="4">
        <f>IF(INDEX(C:C, ROW())+INDEX(D:D, ROW())=0, 0, INDEX(C:C, ROW())/(INDEX(C:C, ROW())+INDEX(D:D, ROW())))</f>
        <v/>
      </c>
      <c r="F1591" s="1" t="inlineStr">
        <is>
          <t>Array, Depth-First Search, Breadth-First Search, Union-Find, Matrix</t>
        </is>
      </c>
      <c r="G1591" s="1" t="inlineStr">
        <is>
          <t>Medium</t>
        </is>
      </c>
      <c r="H1591" s="1" t="n">
        <v>159471</v>
      </c>
      <c r="I1591" s="1" t="n">
        <v>226180</v>
      </c>
      <c r="J1591" s="9" t="n">
        <v>0.705</v>
      </c>
      <c r="K1591" s="1" t="inlineStr">
        <is>
          <t>Yes</t>
        </is>
      </c>
      <c r="L1591" s="1" t="inlineStr">
        <is>
          <t>Yes</t>
        </is>
      </c>
      <c r="M1591" s="1" t="inlineStr">
        <is>
          <t>No</t>
        </is>
      </c>
      <c r="N1591" s="1" t="inlineStr">
        <is>
          <t>Algorithms</t>
        </is>
      </c>
      <c r="O15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92" ht="15.75" customHeight="1" s="12">
      <c r="A1592" s="1" t="n">
        <v>2872</v>
      </c>
      <c r="B1592" s="3">
        <f>HYPERLINK("https://leetcode.com/problems/maximum-number-of-k-divisible-components/", "Maximum Number of K-Divisible Components")</f>
        <v/>
      </c>
      <c r="C1592" s="1" t="n">
        <v>944</v>
      </c>
      <c r="D1592" s="1" t="n">
        <v>40</v>
      </c>
      <c r="E1592" s="4">
        <f>IF(INDEX(C:C, ROW())+INDEX(D:D, ROW())=0, 0, INDEX(C:C, ROW())/(INDEX(C:C, ROW())+INDEX(D:D, ROW())))</f>
        <v/>
      </c>
      <c r="F1592" s="1" t="inlineStr">
        <is>
          <t>Tree, Depth-First Search</t>
        </is>
      </c>
      <c r="G1592" s="1" t="inlineStr">
        <is>
          <t>Hard</t>
        </is>
      </c>
      <c r="H1592" s="1" t="n">
        <v>143779</v>
      </c>
      <c r="I1592" s="1" t="n">
        <v>193917</v>
      </c>
      <c r="J1592" s="9" t="n">
        <v>0.741</v>
      </c>
      <c r="K1592" s="1" t="inlineStr">
        <is>
          <t>Yes</t>
        </is>
      </c>
      <c r="L1592" s="1" t="inlineStr">
        <is>
          <t>Yes</t>
        </is>
      </c>
      <c r="M1592" s="1" t="inlineStr">
        <is>
          <t>No</t>
        </is>
      </c>
      <c r="N1592" s="1" t="inlineStr">
        <is>
          <t>Algorithms</t>
        </is>
      </c>
      <c r="O15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93" ht="15.75" customHeight="1" s="12">
      <c r="A1593" s="1" t="n">
        <v>1928</v>
      </c>
      <c r="B1593" s="3">
        <f>HYPERLINK("https://leetcode.com/problems/minimum-cost-to-reach-destination-in-time/", "Minimum Cost to Reach Destination in Time")</f>
        <v/>
      </c>
      <c r="C1593" s="1" t="n">
        <v>943</v>
      </c>
      <c r="D1593" s="1" t="n">
        <v>23</v>
      </c>
      <c r="E1593" s="4">
        <f>IF(INDEX(C:C, ROW())+INDEX(D:D, ROW())=0, 0, INDEX(C:C, ROW())/(INDEX(C:C, ROW())+INDEX(D:D, ROW())))</f>
        <v/>
      </c>
      <c r="F1593" s="1" t="inlineStr">
        <is>
          <t>Array, Dynamic Programming, Graph Theory</t>
        </is>
      </c>
      <c r="G1593" s="1" t="inlineStr">
        <is>
          <t>Hard</t>
        </is>
      </c>
      <c r="H1593" s="1" t="n">
        <v>33708</v>
      </c>
      <c r="I1593" s="1" t="n">
        <v>82634</v>
      </c>
      <c r="J1593" s="9" t="n">
        <v>0.408</v>
      </c>
      <c r="K1593" s="1" t="inlineStr">
        <is>
          <t>Yes</t>
        </is>
      </c>
      <c r="L1593" s="1" t="inlineStr">
        <is>
          <t>No</t>
        </is>
      </c>
      <c r="M1593" s="1" t="inlineStr">
        <is>
          <t>No</t>
        </is>
      </c>
      <c r="N1593" s="1" t="inlineStr">
        <is>
          <t>Algorithms</t>
        </is>
      </c>
      <c r="O15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94" ht="15.75" customHeight="1" s="12">
      <c r="A1594" s="1" t="n">
        <v>291</v>
      </c>
      <c r="B1594" s="3">
        <f>HYPERLINK("https://leetcode.com/problems/word-pattern-ii/", "Word Pattern II")</f>
        <v/>
      </c>
      <c r="C1594" s="1" t="n">
        <v>941</v>
      </c>
      <c r="D1594" s="1" t="n">
        <v>77</v>
      </c>
      <c r="E1594" s="4">
        <f>IF(INDEX(C:C, ROW())+INDEX(D:D, ROW())=0, 0, INDEX(C:C, ROW())/(INDEX(C:C, ROW())+INDEX(D:D, ROW())))</f>
        <v/>
      </c>
      <c r="F1594" s="1" t="inlineStr">
        <is>
          <t>Hash Table, String, Backtracking</t>
        </is>
      </c>
      <c r="G1594" s="1" t="inlineStr">
        <is>
          <t>Medium</t>
        </is>
      </c>
      <c r="H1594" s="1" t="n">
        <v>83021</v>
      </c>
      <c r="I1594" s="1" t="n">
        <v>170289</v>
      </c>
      <c r="J1594" s="9" t="n">
        <v>0.488</v>
      </c>
      <c r="K1594" s="1" t="inlineStr">
        <is>
          <t>No</t>
        </is>
      </c>
      <c r="L1594" s="1" t="inlineStr">
        <is>
          <t>Yes</t>
        </is>
      </c>
      <c r="M1594" s="1" t="inlineStr">
        <is>
          <t>No</t>
        </is>
      </c>
      <c r="N1594" s="1" t="inlineStr">
        <is>
          <t>Algorithms</t>
        </is>
      </c>
      <c r="O15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95" ht="15.75" customHeight="1" s="12">
      <c r="A1595" s="1" t="n">
        <v>2259</v>
      </c>
      <c r="B1595" s="3">
        <f>HYPERLINK("https://leetcode.com/problems/remove-digit-from-number-to-maximize-result/", "Remove Digit From Number to Maximize Result")</f>
        <v/>
      </c>
      <c r="C1595" s="1" t="n">
        <v>940</v>
      </c>
      <c r="D1595" s="1" t="n">
        <v>65</v>
      </c>
      <c r="E1595" s="4">
        <f>IF(INDEX(C:C, ROW())+INDEX(D:D, ROW())=0, 0, INDEX(C:C, ROW())/(INDEX(C:C, ROW())+INDEX(D:D, ROW())))</f>
        <v/>
      </c>
      <c r="F1595" s="1" t="inlineStr">
        <is>
          <t>String, Greedy, Enumeration</t>
        </is>
      </c>
      <c r="G1595" s="1" t="inlineStr">
        <is>
          <t>Easy</t>
        </is>
      </c>
      <c r="H1595" s="1" t="n">
        <v>125517</v>
      </c>
      <c r="I1595" s="1" t="n">
        <v>261172</v>
      </c>
      <c r="J1595" s="9" t="n">
        <v>0.481</v>
      </c>
      <c r="K1595" s="1" t="inlineStr">
        <is>
          <t>Yes</t>
        </is>
      </c>
      <c r="L1595" s="1" t="inlineStr">
        <is>
          <t>No</t>
        </is>
      </c>
      <c r="M1595" s="1" t="inlineStr">
        <is>
          <t>No</t>
        </is>
      </c>
      <c r="N1595" s="1" t="inlineStr">
        <is>
          <t>Algorithms</t>
        </is>
      </c>
      <c r="O15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96" ht="15.75" customHeight="1" s="12">
      <c r="A1596" s="1" t="n">
        <v>2601</v>
      </c>
      <c r="B1596" s="3">
        <f>HYPERLINK("https://leetcode.com/problems/prime-subtraction-operation/", "Prime Subtraction Operation")</f>
        <v/>
      </c>
      <c r="C1596" s="1" t="n">
        <v>940</v>
      </c>
      <c r="D1596" s="1" t="n">
        <v>96</v>
      </c>
      <c r="E1596" s="4">
        <f>IF(INDEX(C:C, ROW())+INDEX(D:D, ROW())=0, 0, INDEX(C:C, ROW())/(INDEX(C:C, ROW())+INDEX(D:D, ROW())))</f>
        <v/>
      </c>
      <c r="F1596" s="1" t="inlineStr">
        <is>
          <t>Array, Math, Binary Search, Greedy, Number Theory</t>
        </is>
      </c>
      <c r="G1596" s="1" t="inlineStr">
        <is>
          <t>Medium</t>
        </is>
      </c>
      <c r="H1596" s="1" t="n">
        <v>119110</v>
      </c>
      <c r="I1596" s="1" t="n">
        <v>214348</v>
      </c>
      <c r="J1596" s="9" t="n">
        <v>0.556</v>
      </c>
      <c r="K1596" s="1" t="inlineStr">
        <is>
          <t>Yes</t>
        </is>
      </c>
      <c r="L1596" s="1" t="inlineStr">
        <is>
          <t>Yes</t>
        </is>
      </c>
      <c r="M1596" s="1" t="inlineStr">
        <is>
          <t>No</t>
        </is>
      </c>
      <c r="N1596" s="1" t="inlineStr">
        <is>
          <t>Algorithms</t>
        </is>
      </c>
      <c r="O15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97" ht="15.75" customHeight="1" s="12">
      <c r="A1597" s="1" t="n">
        <v>602</v>
      </c>
      <c r="B1597" s="3">
        <f>HYPERLINK("https://leetcode.com/problems/friend-requests-ii-who-has-the-most-friends/", "Friend Requests II: Who Has the Most Friends")</f>
        <v/>
      </c>
      <c r="C1597" s="1" t="n">
        <v>939</v>
      </c>
      <c r="D1597" s="1" t="n">
        <v>151</v>
      </c>
      <c r="E1597" s="4">
        <f>IF(INDEX(C:C, ROW())+INDEX(D:D, ROW())=0, 0, INDEX(C:C, ROW())/(INDEX(C:C, ROW())+INDEX(D:D, ROW())))</f>
        <v/>
      </c>
      <c r="F1597" s="1" t="inlineStr">
        <is>
          <t>Database</t>
        </is>
      </c>
      <c r="G1597" s="1" t="inlineStr">
        <is>
          <t>Medium</t>
        </is>
      </c>
      <c r="H1597" s="1" t="n">
        <v>313272</v>
      </c>
      <c r="I1597" s="1" t="n">
        <v>504403</v>
      </c>
      <c r="J1597" s="9" t="n">
        <v>0.621</v>
      </c>
      <c r="K1597" s="1" t="inlineStr">
        <is>
          <t>Yes</t>
        </is>
      </c>
      <c r="L1597" s="1" t="inlineStr">
        <is>
          <t>Yes</t>
        </is>
      </c>
      <c r="M1597" s="1" t="inlineStr">
        <is>
          <t>No</t>
        </is>
      </c>
      <c r="N1597" s="1" t="inlineStr">
        <is>
          <t>Database</t>
        </is>
      </c>
      <c r="O15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98" ht="15.75" customHeight="1" s="12">
      <c r="A1598" s="1" t="n">
        <v>702</v>
      </c>
      <c r="B1598" s="3">
        <f>HYPERLINK("https://leetcode.com/problems/search-in-a-sorted-array-of-unknown-size/", "Search in a Sorted Array of Unknown Size")</f>
        <v/>
      </c>
      <c r="C1598" s="1" t="n">
        <v>939</v>
      </c>
      <c r="D1598" s="1" t="n">
        <v>51</v>
      </c>
      <c r="E1598" s="4">
        <f>IF(INDEX(C:C, ROW())+INDEX(D:D, ROW())=0, 0, INDEX(C:C, ROW())/(INDEX(C:C, ROW())+INDEX(D:D, ROW())))</f>
        <v/>
      </c>
      <c r="F1598" s="1" t="inlineStr">
        <is>
          <t>Array, Binary Search, Interactive</t>
        </is>
      </c>
      <c r="G1598" s="1" t="inlineStr">
        <is>
          <t>Medium</t>
        </is>
      </c>
      <c r="H1598" s="1" t="n">
        <v>111801</v>
      </c>
      <c r="I1598" s="1" t="n">
        <v>153063</v>
      </c>
      <c r="J1598" s="9" t="n">
        <v>0.73</v>
      </c>
      <c r="K1598" s="1" t="inlineStr">
        <is>
          <t>No</t>
        </is>
      </c>
      <c r="L1598" s="1" t="inlineStr">
        <is>
          <t>Yes</t>
        </is>
      </c>
      <c r="M1598" s="1" t="inlineStr">
        <is>
          <t>No</t>
        </is>
      </c>
      <c r="N1598" s="1" t="inlineStr">
        <is>
          <t>Algorithms</t>
        </is>
      </c>
      <c r="O15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599" ht="15.75" customHeight="1" s="12">
      <c r="A1599" s="1" t="n">
        <v>1640</v>
      </c>
      <c r="B1599" s="3">
        <f>HYPERLINK("https://leetcode.com/problems/check-array-formation-through-concatenation/", "Check Array Formation Through Concatenation")</f>
        <v/>
      </c>
      <c r="C1599" s="1" t="n">
        <v>939</v>
      </c>
      <c r="D1599" s="1" t="n">
        <v>143</v>
      </c>
      <c r="E1599" s="4">
        <f>IF(INDEX(C:C, ROW())+INDEX(D:D, ROW())=0, 0, INDEX(C:C, ROW())/(INDEX(C:C, ROW())+INDEX(D:D, ROW())))</f>
        <v/>
      </c>
      <c r="F1599" s="1" t="inlineStr">
        <is>
          <t>Array, Hash Table</t>
        </is>
      </c>
      <c r="G1599" s="1" t="inlineStr">
        <is>
          <t>Easy</t>
        </is>
      </c>
      <c r="H1599" s="1" t="n">
        <v>91233</v>
      </c>
      <c r="I1599" s="1" t="n">
        <v>159431</v>
      </c>
      <c r="J1599" s="9" t="n">
        <v>0.572</v>
      </c>
      <c r="K1599" s="1" t="inlineStr">
        <is>
          <t>Yes</t>
        </is>
      </c>
      <c r="L1599" s="1" t="inlineStr">
        <is>
          <t>Yes</t>
        </is>
      </c>
      <c r="M1599" s="1" t="inlineStr">
        <is>
          <t>No</t>
        </is>
      </c>
      <c r="N1599" s="1" t="inlineStr">
        <is>
          <t>Algorithms</t>
        </is>
      </c>
      <c r="O15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00" ht="15.75" customHeight="1" s="12">
      <c r="A1600" s="1" t="n">
        <v>1594</v>
      </c>
      <c r="B1600" s="3">
        <f>HYPERLINK("https://leetcode.com/problems/maximum-non-negative-product-in-a-matrix/", "Maximum Non Negative Product in a Matrix")</f>
        <v/>
      </c>
      <c r="C1600" s="1" t="n">
        <v>936</v>
      </c>
      <c r="D1600" s="1" t="n">
        <v>54</v>
      </c>
      <c r="E1600" s="4">
        <f>IF(INDEX(C:C, ROW())+INDEX(D:D, ROW())=0, 0, INDEX(C:C, ROW())/(INDEX(C:C, ROW())+INDEX(D:D, ROW())))</f>
        <v/>
      </c>
      <c r="F1600" s="1" t="inlineStr">
        <is>
          <t>Array, Dynamic Programming, Matrix</t>
        </is>
      </c>
      <c r="G1600" s="1" t="inlineStr">
        <is>
          <t>Medium</t>
        </is>
      </c>
      <c r="H1600" s="1" t="n">
        <v>31447</v>
      </c>
      <c r="I1600" s="1" t="n">
        <v>88387</v>
      </c>
      <c r="J1600" s="9" t="n">
        <v>0.356</v>
      </c>
      <c r="K1600" s="1" t="inlineStr">
        <is>
          <t>Yes</t>
        </is>
      </c>
      <c r="L1600" s="1" t="inlineStr">
        <is>
          <t>No</t>
        </is>
      </c>
      <c r="M1600" s="1" t="inlineStr">
        <is>
          <t>No</t>
        </is>
      </c>
      <c r="N1600" s="1" t="inlineStr">
        <is>
          <t>Algorithms</t>
        </is>
      </c>
      <c r="O16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01" ht="15.75" customHeight="1" s="12">
      <c r="A1601" s="1" t="n">
        <v>2593</v>
      </c>
      <c r="B1601" s="3">
        <f>HYPERLINK("https://leetcode.com/problems/find-score-of-an-array-after-marking-all-elements/", "Find Score of an Array After Marking All Elements")</f>
        <v/>
      </c>
      <c r="C1601" s="1" t="n">
        <v>935</v>
      </c>
      <c r="D1601" s="1" t="n">
        <v>21</v>
      </c>
      <c r="E1601" s="4">
        <f>IF(INDEX(C:C, ROW())+INDEX(D:D, ROW())=0, 0, INDEX(C:C, ROW())/(INDEX(C:C, ROW())+INDEX(D:D, ROW())))</f>
        <v/>
      </c>
      <c r="F1601" s="1" t="inlineStr">
        <is>
          <t>Array, Hash Table, Sorting, Heap (Priority Queue), Simulation</t>
        </is>
      </c>
      <c r="G1601" s="1" t="inlineStr">
        <is>
          <t>Medium</t>
        </is>
      </c>
      <c r="H1601" s="1" t="n">
        <v>134221</v>
      </c>
      <c r="I1601" s="1" t="n">
        <v>208135</v>
      </c>
      <c r="J1601" s="9" t="n">
        <v>0.645</v>
      </c>
      <c r="K1601" s="1" t="inlineStr">
        <is>
          <t>Yes</t>
        </is>
      </c>
      <c r="L1601" s="1" t="inlineStr">
        <is>
          <t>Yes</t>
        </is>
      </c>
      <c r="M1601" s="1" t="inlineStr">
        <is>
          <t>No</t>
        </is>
      </c>
      <c r="N1601" s="1" t="inlineStr">
        <is>
          <t>Algorithms</t>
        </is>
      </c>
      <c r="O16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02" ht="15.75" customHeight="1" s="12">
      <c r="A1602" s="1" t="n">
        <v>3075</v>
      </c>
      <c r="B1602" s="3">
        <f>HYPERLINK("https://leetcode.com/problems/maximize-happiness-of-selected-children/", "Maximize Happiness of Selected Children")</f>
        <v/>
      </c>
      <c r="C1602" s="1" t="n">
        <v>934</v>
      </c>
      <c r="D1602" s="1" t="n">
        <v>99</v>
      </c>
      <c r="E1602" s="4">
        <f>IF(INDEX(C:C, ROW())+INDEX(D:D, ROW())=0, 0, INDEX(C:C, ROW())/(INDEX(C:C, ROW())+INDEX(D:D, ROW())))</f>
        <v/>
      </c>
      <c r="F1602" s="1" t="inlineStr">
        <is>
          <t>Array, Greedy, Sorting</t>
        </is>
      </c>
      <c r="G1602" s="1" t="inlineStr">
        <is>
          <t>Medium</t>
        </is>
      </c>
      <c r="H1602" s="1" t="n">
        <v>284225</v>
      </c>
      <c r="I1602" s="1" t="n">
        <v>484389</v>
      </c>
      <c r="J1602" s="9" t="n">
        <v>0.587</v>
      </c>
      <c r="K1602" s="1" t="inlineStr">
        <is>
          <t>Yes</t>
        </is>
      </c>
      <c r="L1602" s="1" t="inlineStr">
        <is>
          <t>Yes</t>
        </is>
      </c>
      <c r="M1602" s="1" t="inlineStr">
        <is>
          <t>No</t>
        </is>
      </c>
      <c r="N1602" s="1" t="inlineStr">
        <is>
          <t>Algorithms</t>
        </is>
      </c>
      <c r="O16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03" ht="15.75" customHeight="1" s="12">
      <c r="A1603" s="1" t="n">
        <v>1138</v>
      </c>
      <c r="B1603" s="3">
        <f>HYPERLINK("https://leetcode.com/problems/alphabet-board-path/", "Alphabet Board Path")</f>
        <v/>
      </c>
      <c r="C1603" s="1" t="n">
        <v>933</v>
      </c>
      <c r="D1603" s="1" t="n">
        <v>187</v>
      </c>
      <c r="E1603" s="4">
        <f>IF(INDEX(C:C, ROW())+INDEX(D:D, ROW())=0, 0, INDEX(C:C, ROW())/(INDEX(C:C, ROW())+INDEX(D:D, ROW())))</f>
        <v/>
      </c>
      <c r="F1603" s="1" t="inlineStr">
        <is>
          <t>Hash Table, String</t>
        </is>
      </c>
      <c r="G1603" s="1" t="inlineStr">
        <is>
          <t>Medium</t>
        </is>
      </c>
      <c r="H1603" s="1" t="n">
        <v>58613</v>
      </c>
      <c r="I1603" s="1" t="n">
        <v>113149</v>
      </c>
      <c r="J1603" s="9" t="n">
        <v>0.518</v>
      </c>
      <c r="K1603" s="1" t="inlineStr">
        <is>
          <t>Yes</t>
        </is>
      </c>
      <c r="L1603" s="1" t="inlineStr">
        <is>
          <t>No</t>
        </is>
      </c>
      <c r="M1603" s="1" t="inlineStr">
        <is>
          <t>No</t>
        </is>
      </c>
      <c r="N1603" s="1" t="inlineStr">
        <is>
          <t>Algorithms</t>
        </is>
      </c>
      <c r="O16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04" ht="15.75" customHeight="1" s="12">
      <c r="A1604" s="1" t="n">
        <v>1931</v>
      </c>
      <c r="B1604" s="3">
        <f>HYPERLINK("https://leetcode.com/problems/painting-a-grid-with-three-different-colors/", "Painting a Grid With Three Different Colors")</f>
        <v/>
      </c>
      <c r="C1604" s="1" t="n">
        <v>932</v>
      </c>
      <c r="D1604" s="1" t="n">
        <v>58</v>
      </c>
      <c r="E1604" s="4">
        <f>IF(INDEX(C:C, ROW())+INDEX(D:D, ROW())=0, 0, INDEX(C:C, ROW())/(INDEX(C:C, ROW())+INDEX(D:D, ROW())))</f>
        <v/>
      </c>
      <c r="F1604" s="1" t="inlineStr">
        <is>
          <t>Dynamic Programming</t>
        </is>
      </c>
      <c r="G1604" s="1" t="inlineStr">
        <is>
          <t>Hard</t>
        </is>
      </c>
      <c r="H1604" s="1" t="n">
        <v>74710</v>
      </c>
      <c r="I1604" s="1" t="n">
        <v>96566</v>
      </c>
      <c r="J1604" s="9" t="n">
        <v>0.774</v>
      </c>
      <c r="K1604" s="1" t="inlineStr">
        <is>
          <t>Yes</t>
        </is>
      </c>
      <c r="L1604" s="1" t="inlineStr">
        <is>
          <t>Yes</t>
        </is>
      </c>
      <c r="M1604" s="1" t="inlineStr">
        <is>
          <t>No</t>
        </is>
      </c>
      <c r="N1604" s="1" t="inlineStr">
        <is>
          <t>Algorithms</t>
        </is>
      </c>
      <c r="O16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05" ht="15.75" customHeight="1" s="12">
      <c r="A1605" s="1" t="n">
        <v>2171</v>
      </c>
      <c r="B1605" s="3">
        <f>HYPERLINK("https://leetcode.com/problems/removing-minimum-number-of-magic-beans/", "Removing Minimum Number of Magic Beans")</f>
        <v/>
      </c>
      <c r="C1605" s="1" t="n">
        <v>932</v>
      </c>
      <c r="D1605" s="1" t="n">
        <v>49</v>
      </c>
      <c r="E1605" s="4">
        <f>IF(INDEX(C:C, ROW())+INDEX(D:D, ROW())=0, 0, INDEX(C:C, ROW())/(INDEX(C:C, ROW())+INDEX(D:D, ROW())))</f>
        <v/>
      </c>
      <c r="F1605" s="1" t="inlineStr">
        <is>
          <t>Array, Greedy, Sorting, Enumeration, Prefix Sum</t>
        </is>
      </c>
      <c r="G1605" s="1" t="inlineStr">
        <is>
          <t>Medium</t>
        </is>
      </c>
      <c r="H1605" s="1" t="n">
        <v>34453</v>
      </c>
      <c r="I1605" s="1" t="n">
        <v>77827</v>
      </c>
      <c r="J1605" s="9" t="n">
        <v>0.443</v>
      </c>
      <c r="K1605" s="1" t="inlineStr">
        <is>
          <t>Yes</t>
        </is>
      </c>
      <c r="L1605" s="1" t="inlineStr">
        <is>
          <t>No</t>
        </is>
      </c>
      <c r="M1605" s="1" t="inlineStr">
        <is>
          <t>No</t>
        </is>
      </c>
      <c r="N1605" s="1" t="inlineStr">
        <is>
          <t>Algorithms</t>
        </is>
      </c>
      <c r="O16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06" ht="15.75" customHeight="1" s="12">
      <c r="A1606" s="1" t="n">
        <v>2266</v>
      </c>
      <c r="B1606" s="3">
        <f>HYPERLINK("https://leetcode.com/problems/count-number-of-texts/", "Count Number of Texts")</f>
        <v/>
      </c>
      <c r="C1606" s="1" t="n">
        <v>932</v>
      </c>
      <c r="D1606" s="1" t="n">
        <v>36</v>
      </c>
      <c r="E1606" s="4">
        <f>IF(INDEX(C:C, ROW())+INDEX(D:D, ROW())=0, 0, INDEX(C:C, ROW())/(INDEX(C:C, ROW())+INDEX(D:D, ROW())))</f>
        <v/>
      </c>
      <c r="F1606" s="1" t="inlineStr">
        <is>
          <t>Hash Table, Math, String, Dynamic Programming</t>
        </is>
      </c>
      <c r="G1606" s="1" t="inlineStr">
        <is>
          <t>Medium</t>
        </is>
      </c>
      <c r="H1606" s="1" t="n">
        <v>28366</v>
      </c>
      <c r="I1606" s="1" t="n">
        <v>57165</v>
      </c>
      <c r="J1606" s="9" t="n">
        <v>0.496</v>
      </c>
      <c r="K1606" s="1" t="inlineStr">
        <is>
          <t>Yes</t>
        </is>
      </c>
      <c r="L1606" s="1" t="inlineStr">
        <is>
          <t>No</t>
        </is>
      </c>
      <c r="M1606" s="1" t="inlineStr">
        <is>
          <t>No</t>
        </is>
      </c>
      <c r="N1606" s="1" t="inlineStr">
        <is>
          <t>Algorithms</t>
        </is>
      </c>
      <c r="O16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07" ht="15.75" customHeight="1" s="12">
      <c r="A1607" s="1" t="n">
        <v>2561</v>
      </c>
      <c r="B1607" s="3">
        <f>HYPERLINK("https://leetcode.com/problems/rearranging-fruits/", "Rearranging Fruits")</f>
        <v/>
      </c>
      <c r="C1607" s="1" t="n">
        <v>931</v>
      </c>
      <c r="D1607" s="1" t="n">
        <v>57</v>
      </c>
      <c r="E1607" s="4">
        <f>IF(INDEX(C:C, ROW())+INDEX(D:D, ROW())=0, 0, INDEX(C:C, ROW())/(INDEX(C:C, ROW())+INDEX(D:D, ROW())))</f>
        <v/>
      </c>
      <c r="F1607" s="1" t="inlineStr">
        <is>
          <t>Array, Hash Table, Greedy, Sort</t>
        </is>
      </c>
      <c r="G1607" s="1" t="inlineStr">
        <is>
          <t>Hard</t>
        </is>
      </c>
      <c r="H1607" s="1" t="n">
        <v>96840</v>
      </c>
      <c r="I1607" s="1" t="n">
        <v>168379</v>
      </c>
      <c r="J1607" s="9" t="n">
        <v>0.575</v>
      </c>
      <c r="K1607" s="1" t="inlineStr">
        <is>
          <t>Yes</t>
        </is>
      </c>
      <c r="L1607" s="1" t="inlineStr">
        <is>
          <t>Yes</t>
        </is>
      </c>
      <c r="M1607" s="1" t="inlineStr">
        <is>
          <t>No</t>
        </is>
      </c>
      <c r="N1607" s="1" t="inlineStr">
        <is>
          <t>Algorithms</t>
        </is>
      </c>
      <c r="O16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08" ht="15.75" customHeight="1" s="12">
      <c r="A1608" s="1" t="n">
        <v>1632</v>
      </c>
      <c r="B1608" s="3">
        <f>HYPERLINK("https://leetcode.com/problems/rank-transform-of-a-matrix/", "Rank Transform of a Matrix")</f>
        <v/>
      </c>
      <c r="C1608" s="1" t="n">
        <v>930</v>
      </c>
      <c r="D1608" s="1" t="n">
        <v>59</v>
      </c>
      <c r="E1608" s="4">
        <f>IF(INDEX(C:C, ROW())+INDEX(D:D, ROW())=0, 0, INDEX(C:C, ROW())/(INDEX(C:C, ROW())+INDEX(D:D, ROW())))</f>
        <v/>
      </c>
      <c r="F1608" s="1" t="inlineStr">
        <is>
          <t>Array, Union-Find, Graph Theory, Topological Sort, Sorting, Matrix</t>
        </is>
      </c>
      <c r="G1608" s="1" t="inlineStr">
        <is>
          <t>Hard</t>
        </is>
      </c>
      <c r="H1608" s="1" t="n">
        <v>26773</v>
      </c>
      <c r="I1608" s="1" t="n">
        <v>63876</v>
      </c>
      <c r="J1608" s="9" t="n">
        <v>0.419</v>
      </c>
      <c r="K1608" s="1" t="inlineStr">
        <is>
          <t>Yes</t>
        </is>
      </c>
      <c r="L1608" s="1" t="inlineStr">
        <is>
          <t>Yes</t>
        </is>
      </c>
      <c r="M1608" s="1" t="inlineStr">
        <is>
          <t>No</t>
        </is>
      </c>
      <c r="N1608" s="1" t="inlineStr">
        <is>
          <t>Algorithms</t>
        </is>
      </c>
      <c r="O16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09" ht="15.75" customHeight="1" s="12">
      <c r="A1609" s="1" t="n">
        <v>1450</v>
      </c>
      <c r="B1609" s="3">
        <f>HYPERLINK("https://leetcode.com/problems/number-of-students-doing-homework-at-a-given-time/", "Number of Students Doing Homework at a Given Time")</f>
        <v/>
      </c>
      <c r="C1609" s="1" t="n">
        <v>927</v>
      </c>
      <c r="D1609" s="1" t="n">
        <v>157</v>
      </c>
      <c r="E1609" s="4">
        <f>IF(INDEX(C:C, ROW())+INDEX(D:D, ROW())=0, 0, INDEX(C:C, ROW())/(INDEX(C:C, ROW())+INDEX(D:D, ROW())))</f>
        <v/>
      </c>
      <c r="F1609" s="1" t="inlineStr">
        <is>
          <t>Array</t>
        </is>
      </c>
      <c r="G1609" s="1" t="inlineStr">
        <is>
          <t>Easy</t>
        </is>
      </c>
      <c r="H1609" s="1" t="n">
        <v>146877</v>
      </c>
      <c r="I1609" s="1" t="n">
        <v>193855</v>
      </c>
      <c r="J1609" s="9" t="n">
        <v>0.758</v>
      </c>
      <c r="K1609" s="1" t="inlineStr">
        <is>
          <t>Yes</t>
        </is>
      </c>
      <c r="L1609" s="1" t="inlineStr">
        <is>
          <t>No</t>
        </is>
      </c>
      <c r="M1609" s="1" t="inlineStr">
        <is>
          <t>No</t>
        </is>
      </c>
      <c r="N1609" s="1" t="inlineStr">
        <is>
          <t>Algorithms</t>
        </is>
      </c>
      <c r="O16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10" ht="15.75" customHeight="1" s="12">
      <c r="A1610" s="1" t="n">
        <v>619</v>
      </c>
      <c r="B1610" s="3">
        <f>HYPERLINK("https://leetcode.com/problems/biggest-single-number/", "Biggest Single Number")</f>
        <v/>
      </c>
      <c r="C1610" s="1" t="n">
        <v>921</v>
      </c>
      <c r="D1610" s="1" t="n">
        <v>202</v>
      </c>
      <c r="E1610" s="4">
        <f>IF(INDEX(C:C, ROW())+INDEX(D:D, ROW())=0, 0, INDEX(C:C, ROW())/(INDEX(C:C, ROW())+INDEX(D:D, ROW())))</f>
        <v/>
      </c>
      <c r="F1610" s="1" t="inlineStr">
        <is>
          <t>Database</t>
        </is>
      </c>
      <c r="G1610" s="1" t="inlineStr">
        <is>
          <t>Easy</t>
        </is>
      </c>
      <c r="H1610" s="1" t="n">
        <v>508354</v>
      </c>
      <c r="I1610" s="1" t="n">
        <v>718454</v>
      </c>
      <c r="J1610" s="9" t="n">
        <v>0.708</v>
      </c>
      <c r="K1610" s="1" t="inlineStr">
        <is>
          <t>Yes</t>
        </is>
      </c>
      <c r="L1610" s="1" t="inlineStr">
        <is>
          <t>Yes</t>
        </is>
      </c>
      <c r="M1610" s="1" t="inlineStr">
        <is>
          <t>No</t>
        </is>
      </c>
      <c r="N1610" s="1" t="inlineStr">
        <is>
          <t>Database</t>
        </is>
      </c>
      <c r="O16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11" ht="15.75" customHeight="1" s="12">
      <c r="A1611" s="1" t="n">
        <v>2183</v>
      </c>
      <c r="B1611" s="3">
        <f>HYPERLINK("https://leetcode.com/problems/count-array-pairs-divisible-by-k/", "Count Array Pairs Divisible by K")</f>
        <v/>
      </c>
      <c r="C1611" s="1" t="n">
        <v>921</v>
      </c>
      <c r="D1611" s="1" t="n">
        <v>39</v>
      </c>
      <c r="E1611" s="4">
        <f>IF(INDEX(C:C, ROW())+INDEX(D:D, ROW())=0, 0, INDEX(C:C, ROW())/(INDEX(C:C, ROW())+INDEX(D:D, ROW())))</f>
        <v/>
      </c>
      <c r="F1611" s="1" t="inlineStr">
        <is>
          <t>Array, Math, Number Theory</t>
        </is>
      </c>
      <c r="G1611" s="1" t="inlineStr">
        <is>
          <t>Hard</t>
        </is>
      </c>
      <c r="H1611" s="1" t="n">
        <v>22374</v>
      </c>
      <c r="I1611" s="1" t="n">
        <v>73384</v>
      </c>
      <c r="J1611" s="9" t="n">
        <v>0.305</v>
      </c>
      <c r="K1611" s="1" t="inlineStr">
        <is>
          <t>Yes</t>
        </is>
      </c>
      <c r="L1611" s="1" t="inlineStr">
        <is>
          <t>No</t>
        </is>
      </c>
      <c r="M1611" s="1" t="inlineStr">
        <is>
          <t>No</t>
        </is>
      </c>
      <c r="N1611" s="1" t="inlineStr">
        <is>
          <t>Algorithms</t>
        </is>
      </c>
      <c r="O16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12" ht="15.75" customHeight="1" s="12">
      <c r="A1612" s="1" t="n">
        <v>2523</v>
      </c>
      <c r="B1612" s="3">
        <f>HYPERLINK("https://leetcode.com/problems/closest-prime-numbers-in-range/", "Closest Prime Numbers in Range")</f>
        <v/>
      </c>
      <c r="C1612" s="1" t="n">
        <v>921</v>
      </c>
      <c r="D1612" s="1" t="n">
        <v>76</v>
      </c>
      <c r="E1612" s="4">
        <f>IF(INDEX(C:C, ROW())+INDEX(D:D, ROW())=0, 0, INDEX(C:C, ROW())/(INDEX(C:C, ROW())+INDEX(D:D, ROW())))</f>
        <v/>
      </c>
      <c r="F1612" s="1" t="inlineStr">
        <is>
          <t>Math, Number Theory</t>
        </is>
      </c>
      <c r="G1612" s="1" t="inlineStr">
        <is>
          <t>Medium</t>
        </is>
      </c>
      <c r="H1612" s="1" t="n">
        <v>186727</v>
      </c>
      <c r="I1612" s="1" t="n">
        <v>361589</v>
      </c>
      <c r="J1612" s="9" t="n">
        <v>0.516</v>
      </c>
      <c r="K1612" s="1" t="inlineStr">
        <is>
          <t>Yes</t>
        </is>
      </c>
      <c r="L1612" s="1" t="inlineStr">
        <is>
          <t>Yes</t>
        </is>
      </c>
      <c r="M1612" s="1" t="inlineStr">
        <is>
          <t>No</t>
        </is>
      </c>
      <c r="N1612" s="1" t="inlineStr">
        <is>
          <t>Algorithms</t>
        </is>
      </c>
      <c r="O16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13" ht="15.75" customHeight="1" s="12">
      <c r="A1613" s="1" t="n">
        <v>830</v>
      </c>
      <c r="B1613" s="3">
        <f>HYPERLINK("https://leetcode.com/problems/positions-of-large-groups/", "Positions of Large Groups")</f>
        <v/>
      </c>
      <c r="C1613" s="1" t="n">
        <v>919</v>
      </c>
      <c r="D1613" s="1" t="n">
        <v>126</v>
      </c>
      <c r="E1613" s="4">
        <f>IF(INDEX(C:C, ROW())+INDEX(D:D, ROW())=0, 0, INDEX(C:C, ROW())/(INDEX(C:C, ROW())+INDEX(D:D, ROW())))</f>
        <v/>
      </c>
      <c r="F1613" s="1" t="inlineStr">
        <is>
          <t>String</t>
        </is>
      </c>
      <c r="G1613" s="1" t="inlineStr">
        <is>
          <t>Easy</t>
        </is>
      </c>
      <c r="H1613" s="1" t="n">
        <v>117304</v>
      </c>
      <c r="I1613" s="1" t="n">
        <v>218647</v>
      </c>
      <c r="J1613" s="9" t="n">
        <v>0.536</v>
      </c>
      <c r="K1613" s="1" t="inlineStr">
        <is>
          <t>Yes</t>
        </is>
      </c>
      <c r="L1613" s="1" t="inlineStr">
        <is>
          <t>Yes</t>
        </is>
      </c>
      <c r="M1613" s="1" t="inlineStr">
        <is>
          <t>No</t>
        </is>
      </c>
      <c r="N1613" s="1" t="inlineStr">
        <is>
          <t>Algorithms</t>
        </is>
      </c>
      <c r="O16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14" ht="15.75" customHeight="1" s="12">
      <c r="A1614" s="1" t="n">
        <v>2425</v>
      </c>
      <c r="B1614" s="3">
        <f>HYPERLINK("https://leetcode.com/problems/bitwise-xor-of-all-pairings/", "Bitwise XOR of All Pairings")</f>
        <v/>
      </c>
      <c r="C1614" s="1" t="n">
        <v>918</v>
      </c>
      <c r="D1614" s="1" t="n">
        <v>58</v>
      </c>
      <c r="E1614" s="4">
        <f>IF(INDEX(C:C, ROW())+INDEX(D:D, ROW())=0, 0, INDEX(C:C, ROW())/(INDEX(C:C, ROW())+INDEX(D:D, ROW())))</f>
        <v/>
      </c>
      <c r="F1614" s="1" t="inlineStr">
        <is>
          <t>Array, Bit Manipulation, Brainteaser</t>
        </is>
      </c>
      <c r="G1614" s="1" t="inlineStr">
        <is>
          <t>Medium</t>
        </is>
      </c>
      <c r="H1614" s="1" t="n">
        <v>151284</v>
      </c>
      <c r="I1614" s="1" t="n">
        <v>225993</v>
      </c>
      <c r="J1614" s="9" t="n">
        <v>0.669</v>
      </c>
      <c r="K1614" s="1" t="inlineStr">
        <is>
          <t>Yes</t>
        </is>
      </c>
      <c r="L1614" s="1" t="inlineStr">
        <is>
          <t>Yes</t>
        </is>
      </c>
      <c r="M1614" s="1" t="inlineStr">
        <is>
          <t>No</t>
        </is>
      </c>
      <c r="N1614" s="1" t="inlineStr">
        <is>
          <t>Algorithms</t>
        </is>
      </c>
      <c r="O16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15" ht="15.75" customHeight="1" s="12">
      <c r="A1615" s="1" t="n">
        <v>3068</v>
      </c>
      <c r="B1615" s="3">
        <f>HYPERLINK("https://leetcode.com/problems/find-the-maximum-sum-of-node-values/", "Find the Maximum Sum of Node Values")</f>
        <v/>
      </c>
      <c r="C1615" s="1" t="n">
        <v>918</v>
      </c>
      <c r="D1615" s="1" t="n">
        <v>133</v>
      </c>
      <c r="E1615" s="4">
        <f>IF(INDEX(C:C, ROW())+INDEX(D:D, ROW())=0, 0, INDEX(C:C, ROW())/(INDEX(C:C, ROW())+INDEX(D:D, ROW())))</f>
        <v/>
      </c>
      <c r="F1615" s="1" t="inlineStr">
        <is>
          <t>Array, Dynamic Programming, Greedy, Bit Manipulation, Tree, Sorting</t>
        </is>
      </c>
      <c r="G1615" s="1" t="inlineStr">
        <is>
          <t>Hard</t>
        </is>
      </c>
      <c r="H1615" s="1" t="n">
        <v>138075</v>
      </c>
      <c r="I1615" s="1" t="n">
        <v>198577</v>
      </c>
      <c r="J1615" s="9" t="n">
        <v>0.695</v>
      </c>
      <c r="K1615" s="1" t="inlineStr">
        <is>
          <t>Yes</t>
        </is>
      </c>
      <c r="L1615" s="1" t="inlineStr">
        <is>
          <t>Yes</t>
        </is>
      </c>
      <c r="M1615" s="1" t="inlineStr">
        <is>
          <t>No</t>
        </is>
      </c>
      <c r="N1615" s="1" t="inlineStr">
        <is>
          <t>Algorithms</t>
        </is>
      </c>
      <c r="O16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16" ht="15.75" customHeight="1" s="12">
      <c r="A1616" s="1" t="n">
        <v>1899</v>
      </c>
      <c r="B1616" s="3">
        <f>HYPERLINK("https://leetcode.com/problems/merge-triplets-to-form-target-triplet/", "Merge Triplets to Form Target Triplet")</f>
        <v/>
      </c>
      <c r="C1616" s="1" t="n">
        <v>916</v>
      </c>
      <c r="D1616" s="1" t="n">
        <v>79</v>
      </c>
      <c r="E1616" s="4">
        <f>IF(INDEX(C:C, ROW())+INDEX(D:D, ROW())=0, 0, INDEX(C:C, ROW())/(INDEX(C:C, ROW())+INDEX(D:D, ROW())))</f>
        <v/>
      </c>
      <c r="F1616" s="1" t="inlineStr">
        <is>
          <t>Array, Greedy</t>
        </is>
      </c>
      <c r="G1616" s="1" t="inlineStr">
        <is>
          <t>Medium</t>
        </is>
      </c>
      <c r="H1616" s="1" t="n">
        <v>110903</v>
      </c>
      <c r="I1616" s="1" t="n">
        <v>161600</v>
      </c>
      <c r="J1616" s="9" t="n">
        <v>0.6860000000000001</v>
      </c>
      <c r="K1616" s="1" t="inlineStr">
        <is>
          <t>Yes</t>
        </is>
      </c>
      <c r="L1616" s="1" t="inlineStr">
        <is>
          <t>No</t>
        </is>
      </c>
      <c r="M1616" s="1" t="inlineStr">
        <is>
          <t>No</t>
        </is>
      </c>
      <c r="N1616" s="1" t="inlineStr">
        <is>
          <t>Algorithms</t>
        </is>
      </c>
      <c r="O16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17" ht="15.75" customHeight="1" s="12">
      <c r="A1617" s="1" t="n">
        <v>408</v>
      </c>
      <c r="B1617" s="3">
        <f>HYPERLINK("https://leetcode.com/problems/valid-word-abbreviation/", "Valid Word Abbreviation")</f>
        <v/>
      </c>
      <c r="C1617" s="1" t="n">
        <v>913</v>
      </c>
      <c r="D1617" s="1" t="n">
        <v>2398</v>
      </c>
      <c r="E1617" s="4">
        <f>IF(INDEX(C:C, ROW())+INDEX(D:D, ROW())=0, 0, INDEX(C:C, ROW())/(INDEX(C:C, ROW())+INDEX(D:D, ROW())))</f>
        <v/>
      </c>
      <c r="F1617" s="1" t="inlineStr">
        <is>
          <t>Two Pointers, String</t>
        </is>
      </c>
      <c r="G1617" s="1" t="inlineStr">
        <is>
          <t>Easy</t>
        </is>
      </c>
      <c r="H1617" s="1" t="n">
        <v>352515</v>
      </c>
      <c r="I1617" s="1" t="n">
        <v>952739</v>
      </c>
      <c r="J1617" s="9" t="n">
        <v>0.37</v>
      </c>
      <c r="K1617" s="1" t="inlineStr">
        <is>
          <t>No</t>
        </is>
      </c>
      <c r="L1617" s="1" t="inlineStr">
        <is>
          <t>No</t>
        </is>
      </c>
      <c r="M1617" s="1" t="inlineStr">
        <is>
          <t>No</t>
        </is>
      </c>
      <c r="N1617" s="1" t="inlineStr">
        <is>
          <t>Algorithms</t>
        </is>
      </c>
      <c r="O16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18" ht="15.75" customHeight="1" s="12">
      <c r="A1618" s="1" t="n">
        <v>1393</v>
      </c>
      <c r="B1618" s="3">
        <f>HYPERLINK("https://leetcode.com/problems/capital-gainloss/", "Capital Gain/Loss")</f>
        <v/>
      </c>
      <c r="C1618" s="1" t="n">
        <v>913</v>
      </c>
      <c r="D1618" s="1" t="n">
        <v>51</v>
      </c>
      <c r="E1618" s="4">
        <f>IF(INDEX(C:C, ROW())+INDEX(D:D, ROW())=0, 0, INDEX(C:C, ROW())/(INDEX(C:C, ROW())+INDEX(D:D, ROW())))</f>
        <v/>
      </c>
      <c r="F1618" s="1" t="inlineStr">
        <is>
          <t>Database</t>
        </is>
      </c>
      <c r="G1618" s="1" t="inlineStr">
        <is>
          <t>Medium</t>
        </is>
      </c>
      <c r="H1618" s="1" t="n">
        <v>158618</v>
      </c>
      <c r="I1618" s="1" t="n">
        <v>187387</v>
      </c>
      <c r="J1618" s="9" t="n">
        <v>0.846</v>
      </c>
      <c r="K1618" s="1" t="inlineStr">
        <is>
          <t>Yes</t>
        </is>
      </c>
      <c r="L1618" s="1" t="inlineStr">
        <is>
          <t>Yes</t>
        </is>
      </c>
      <c r="M1618" s="1" t="inlineStr">
        <is>
          <t>No</t>
        </is>
      </c>
      <c r="N1618" s="1" t="inlineStr">
        <is>
          <t>Database</t>
        </is>
      </c>
      <c r="O16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19" ht="15.75" customHeight="1" s="12">
      <c r="A1619" s="1" t="n">
        <v>3152</v>
      </c>
      <c r="B1619" s="3">
        <f>HYPERLINK("https://leetcode.com/problems/special-array-ii/", "Special Array II")</f>
        <v/>
      </c>
      <c r="C1619" s="1" t="n">
        <v>912</v>
      </c>
      <c r="D1619" s="1" t="n">
        <v>67</v>
      </c>
      <c r="E1619" s="4">
        <f>IF(INDEX(C:C, ROW())+INDEX(D:D, ROW())=0, 0, INDEX(C:C, ROW())/(INDEX(C:C, ROW())+INDEX(D:D, ROW())))</f>
        <v/>
      </c>
      <c r="F1619" s="1" t="inlineStr">
        <is>
          <t>Array, Binary Search, Prefix Sum</t>
        </is>
      </c>
      <c r="G1619" s="1" t="inlineStr">
        <is>
          <t>Medium</t>
        </is>
      </c>
      <c r="H1619" s="1" t="n">
        <v>137141</v>
      </c>
      <c r="I1619" s="1" t="n">
        <v>299866</v>
      </c>
      <c r="J1619" s="9" t="n">
        <v>0.457</v>
      </c>
      <c r="K1619" s="1" t="inlineStr">
        <is>
          <t>Yes</t>
        </is>
      </c>
      <c r="L1619" s="1" t="inlineStr">
        <is>
          <t>Yes</t>
        </is>
      </c>
      <c r="M1619" s="1" t="inlineStr">
        <is>
          <t>No</t>
        </is>
      </c>
      <c r="N1619" s="1" t="inlineStr">
        <is>
          <t>Algorithms</t>
        </is>
      </c>
      <c r="O16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20" ht="15.75" customHeight="1" s="12">
      <c r="A1620" s="1" t="n">
        <v>2410</v>
      </c>
      <c r="B1620" s="3">
        <f>HYPERLINK("https://leetcode.com/problems/maximum-matching-of-players-with-trainers/", "Maximum Matching of Players With Trainers")</f>
        <v/>
      </c>
      <c r="C1620" s="1" t="n">
        <v>909</v>
      </c>
      <c r="D1620" s="1" t="n">
        <v>34</v>
      </c>
      <c r="E1620" s="4">
        <f>IF(INDEX(C:C, ROW())+INDEX(D:D, ROW())=0, 0, INDEX(C:C, ROW())/(INDEX(C:C, ROW())+INDEX(D:D, ROW())))</f>
        <v/>
      </c>
      <c r="F1620" s="1" t="inlineStr">
        <is>
          <t>Array, Two Pointers, Greedy, Sorting</t>
        </is>
      </c>
      <c r="G1620" s="1" t="inlineStr">
        <is>
          <t>Medium</t>
        </is>
      </c>
      <c r="H1620" s="1" t="n">
        <v>176322</v>
      </c>
      <c r="I1620" s="1" t="n">
        <v>234608</v>
      </c>
      <c r="J1620" s="9" t="n">
        <v>0.752</v>
      </c>
      <c r="K1620" s="1" t="inlineStr">
        <is>
          <t>Yes</t>
        </is>
      </c>
      <c r="L1620" s="1" t="inlineStr">
        <is>
          <t>Yes</t>
        </is>
      </c>
      <c r="M1620" s="1" t="inlineStr">
        <is>
          <t>No</t>
        </is>
      </c>
      <c r="N1620" s="1" t="inlineStr">
        <is>
          <t>Algorithms</t>
        </is>
      </c>
      <c r="O16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21" ht="15.75" customHeight="1" s="12">
      <c r="A1621" s="1" t="n">
        <v>809</v>
      </c>
      <c r="B1621" s="3">
        <f>HYPERLINK("https://leetcode.com/problems/expressive-words/", "Expressive Words")</f>
        <v/>
      </c>
      <c r="C1621" s="1" t="n">
        <v>908</v>
      </c>
      <c r="D1621" s="1" t="n">
        <v>1948</v>
      </c>
      <c r="E1621" s="4">
        <f>IF(INDEX(C:C, ROW())+INDEX(D:D, ROW())=0, 0, INDEX(C:C, ROW())/(INDEX(C:C, ROW())+INDEX(D:D, ROW())))</f>
        <v/>
      </c>
      <c r="F1621" s="1" t="inlineStr">
        <is>
          <t>Array, Two Pointers, String</t>
        </is>
      </c>
      <c r="G1621" s="1" t="inlineStr">
        <is>
          <t>Medium</t>
        </is>
      </c>
      <c r="H1621" s="1" t="n">
        <v>133684</v>
      </c>
      <c r="I1621" s="1" t="n">
        <v>286618</v>
      </c>
      <c r="J1621" s="9" t="n">
        <v>0.466</v>
      </c>
      <c r="K1621" s="1" t="inlineStr">
        <is>
          <t>Yes</t>
        </is>
      </c>
      <c r="L1621" s="1" t="inlineStr">
        <is>
          <t>Yes</t>
        </is>
      </c>
      <c r="M1621" s="1" t="inlineStr">
        <is>
          <t>No</t>
        </is>
      </c>
      <c r="N1621" s="1" t="inlineStr">
        <is>
          <t>Algorithms</t>
        </is>
      </c>
      <c r="O16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22" ht="15.75" customHeight="1" s="12">
      <c r="A1622" s="1" t="n">
        <v>2169</v>
      </c>
      <c r="B1622" s="3">
        <f>HYPERLINK("https://leetcode.com/problems/count-operations-to-obtain-zero/", "Count Operations to Obtain Zero")</f>
        <v/>
      </c>
      <c r="C1622" s="1" t="n">
        <v>908</v>
      </c>
      <c r="D1622" s="1" t="n">
        <v>36</v>
      </c>
      <c r="E1622" s="4">
        <f>IF(INDEX(C:C, ROW())+INDEX(D:D, ROW())=0, 0, INDEX(C:C, ROW())/(INDEX(C:C, ROW())+INDEX(D:D, ROW())))</f>
        <v/>
      </c>
      <c r="F1622" s="1" t="inlineStr">
        <is>
          <t>Math, Simulation</t>
        </is>
      </c>
      <c r="G1622" s="1" t="inlineStr">
        <is>
          <t>Easy</t>
        </is>
      </c>
      <c r="H1622" s="1" t="n">
        <v>218451</v>
      </c>
      <c r="I1622" s="1" t="n">
        <v>273592</v>
      </c>
      <c r="J1622" s="9" t="n">
        <v>0.798</v>
      </c>
      <c r="K1622" s="1" t="inlineStr">
        <is>
          <t>Yes</t>
        </is>
      </c>
      <c r="L1622" s="1" t="inlineStr">
        <is>
          <t>Yes</t>
        </is>
      </c>
      <c r="M1622" s="1" t="inlineStr">
        <is>
          <t>No</t>
        </is>
      </c>
      <c r="N1622" s="1" t="inlineStr">
        <is>
          <t>Algorithms</t>
        </is>
      </c>
      <c r="O16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23" ht="15.75" customHeight="1" s="12">
      <c r="A1623" s="1" t="n">
        <v>2704</v>
      </c>
      <c r="B1623" s="3">
        <f>HYPERLINK("https://leetcode.com/problems/to-be-or-not-to-be/", "To Be Or Not To Be")</f>
        <v/>
      </c>
      <c r="C1623" s="1" t="n">
        <v>906</v>
      </c>
      <c r="D1623" s="1" t="n">
        <v>217</v>
      </c>
      <c r="E1623" s="4">
        <f>IF(INDEX(C:C, ROW())+INDEX(D:D, ROW())=0, 0, INDEX(C:C, ROW())/(INDEX(C:C, ROW())+INDEX(D:D, ROW())))</f>
        <v/>
      </c>
      <c r="F1623" s="2" t="n"/>
      <c r="G1623" s="1" t="inlineStr">
        <is>
          <t>Easy</t>
        </is>
      </c>
      <c r="H1623" s="1" t="n">
        <v>337261</v>
      </c>
      <c r="I1623" s="1" t="n">
        <v>533904</v>
      </c>
      <c r="J1623" s="9" t="n">
        <v>0.632</v>
      </c>
      <c r="K1623" s="1" t="inlineStr">
        <is>
          <t>Yes</t>
        </is>
      </c>
      <c r="L1623" s="1" t="inlineStr">
        <is>
          <t>Yes</t>
        </is>
      </c>
      <c r="M1623" s="1" t="inlineStr">
        <is>
          <t>No</t>
        </is>
      </c>
      <c r="N1623" s="1" t="inlineStr">
        <is>
          <t>JavaScript</t>
        </is>
      </c>
      <c r="O16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24" ht="15.75" customHeight="1" s="12">
      <c r="A1624" s="1" t="n">
        <v>562</v>
      </c>
      <c r="B1624" s="3">
        <f>HYPERLINK("https://leetcode.com/problems/longest-line-of-consecutive-one-in-matrix/", "Longest Line of Consecutive One in Matrix")</f>
        <v/>
      </c>
      <c r="C1624" s="1" t="n">
        <v>905</v>
      </c>
      <c r="D1624" s="1" t="n">
        <v>119</v>
      </c>
      <c r="E1624" s="4">
        <f>IF(INDEX(C:C, ROW())+INDEX(D:D, ROW())=0, 0, INDEX(C:C, ROW())/(INDEX(C:C, ROW())+INDEX(D:D, ROW())))</f>
        <v/>
      </c>
      <c r="F1624" s="1" t="inlineStr">
        <is>
          <t>Array, Dynamic Programming, Matrix</t>
        </is>
      </c>
      <c r="G1624" s="1" t="inlineStr">
        <is>
          <t>Medium</t>
        </is>
      </c>
      <c r="H1624" s="1" t="n">
        <v>80641</v>
      </c>
      <c r="I1624" s="1" t="n">
        <v>159514</v>
      </c>
      <c r="J1624" s="9" t="n">
        <v>0.506</v>
      </c>
      <c r="K1624" s="1" t="inlineStr">
        <is>
          <t>No</t>
        </is>
      </c>
      <c r="L1624" s="1" t="inlineStr">
        <is>
          <t>Yes</t>
        </is>
      </c>
      <c r="M1624" s="1" t="inlineStr">
        <is>
          <t>No</t>
        </is>
      </c>
      <c r="N1624" s="1" t="inlineStr">
        <is>
          <t>Algorithms</t>
        </is>
      </c>
      <c r="O16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25" ht="15.75" customHeight="1" s="12">
      <c r="A1625" s="1" t="n">
        <v>2063</v>
      </c>
      <c r="B1625" s="3">
        <f>HYPERLINK("https://leetcode.com/problems/vowels-of-all-substrings/", "Vowels of All Substrings")</f>
        <v/>
      </c>
      <c r="C1625" s="1" t="n">
        <v>903</v>
      </c>
      <c r="D1625" s="1" t="n">
        <v>36</v>
      </c>
      <c r="E1625" s="4">
        <f>IF(INDEX(C:C, ROW())+INDEX(D:D, ROW())=0, 0, INDEX(C:C, ROW())/(INDEX(C:C, ROW())+INDEX(D:D, ROW())))</f>
        <v/>
      </c>
      <c r="F1625" s="1" t="inlineStr">
        <is>
          <t>Math, String, Dynamic Programming, Combinatorics</t>
        </is>
      </c>
      <c r="G1625" s="1" t="inlineStr">
        <is>
          <t>Medium</t>
        </is>
      </c>
      <c r="H1625" s="1" t="n">
        <v>41491</v>
      </c>
      <c r="I1625" s="1" t="n">
        <v>75227</v>
      </c>
      <c r="J1625" s="9" t="n">
        <v>0.552</v>
      </c>
      <c r="K1625" s="1" t="inlineStr">
        <is>
          <t>Yes</t>
        </is>
      </c>
      <c r="L1625" s="1" t="inlineStr">
        <is>
          <t>No</t>
        </is>
      </c>
      <c r="M1625" s="1" t="inlineStr">
        <is>
          <t>No</t>
        </is>
      </c>
      <c r="N1625" s="1" t="inlineStr">
        <is>
          <t>Algorithms</t>
        </is>
      </c>
      <c r="O16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26" ht="15.75" customHeight="1" s="12">
      <c r="A1626" s="1" t="n">
        <v>2085</v>
      </c>
      <c r="B1626" s="3">
        <f>HYPERLINK("https://leetcode.com/problems/count-common-words-with-one-occurrence/", "Count Common Words With One Occurrence")</f>
        <v/>
      </c>
      <c r="C1626" s="1" t="n">
        <v>902</v>
      </c>
      <c r="D1626" s="1" t="n">
        <v>21</v>
      </c>
      <c r="E1626" s="4">
        <f>IF(INDEX(C:C, ROW())+INDEX(D:D, ROW())=0, 0, INDEX(C:C, ROW())/(INDEX(C:C, ROW())+INDEX(D:D, ROW())))</f>
        <v/>
      </c>
      <c r="F1626" s="1" t="inlineStr">
        <is>
          <t>Array, Hash Table, String, Counting</t>
        </is>
      </c>
      <c r="G1626" s="1" t="inlineStr">
        <is>
          <t>Easy</t>
        </is>
      </c>
      <c r="H1626" s="1" t="n">
        <v>106720</v>
      </c>
      <c r="I1626" s="1" t="n">
        <v>146076</v>
      </c>
      <c r="J1626" s="9" t="n">
        <v>0.731</v>
      </c>
      <c r="K1626" s="1" t="inlineStr">
        <is>
          <t>Yes</t>
        </is>
      </c>
      <c r="L1626" s="1" t="inlineStr">
        <is>
          <t>No</t>
        </is>
      </c>
      <c r="M1626" s="1" t="inlineStr">
        <is>
          <t>No</t>
        </is>
      </c>
      <c r="N1626" s="1" t="inlineStr">
        <is>
          <t>Algorithms</t>
        </is>
      </c>
      <c r="O16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27" ht="15.75" customHeight="1" s="12">
      <c r="A1627" s="1" t="n">
        <v>1245</v>
      </c>
      <c r="B1627" s="3">
        <f>HYPERLINK("https://leetcode.com/problems/tree-diameter/", "Tree Diameter")</f>
        <v/>
      </c>
      <c r="C1627" s="1" t="n">
        <v>900</v>
      </c>
      <c r="D1627" s="1" t="n">
        <v>25</v>
      </c>
      <c r="E1627" s="4">
        <f>IF(INDEX(C:C, ROW())+INDEX(D:D, ROW())=0, 0, INDEX(C:C, ROW())/(INDEX(C:C, ROW())+INDEX(D:D, ROW())))</f>
        <v/>
      </c>
      <c r="F1627" s="1" t="inlineStr">
        <is>
          <t>Tree, Depth-First Search, Breadth-First Search, Graph Theory, Topological Sort</t>
        </is>
      </c>
      <c r="G1627" s="1" t="inlineStr">
        <is>
          <t>Medium</t>
        </is>
      </c>
      <c r="H1627" s="1" t="n">
        <v>55606</v>
      </c>
      <c r="I1627" s="1" t="n">
        <v>90808</v>
      </c>
      <c r="J1627" s="9" t="n">
        <v>0.612</v>
      </c>
      <c r="K1627" s="1" t="inlineStr">
        <is>
          <t>No</t>
        </is>
      </c>
      <c r="L1627" s="1" t="inlineStr">
        <is>
          <t>Yes</t>
        </is>
      </c>
      <c r="M1627" s="1" t="inlineStr">
        <is>
          <t>No</t>
        </is>
      </c>
      <c r="N1627" s="1" t="inlineStr">
        <is>
          <t>Algorithms</t>
        </is>
      </c>
      <c r="O16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28" ht="15.75" customHeight="1" s="12">
      <c r="A1628" s="1" t="n">
        <v>2398</v>
      </c>
      <c r="B1628" s="3">
        <f>HYPERLINK("https://leetcode.com/problems/maximum-number-of-robots-within-budget/", "Maximum Number of Robots Within Budget")</f>
        <v/>
      </c>
      <c r="C1628" s="1" t="n">
        <v>900</v>
      </c>
      <c r="D1628" s="1" t="n">
        <v>21</v>
      </c>
      <c r="E1628" s="4">
        <f>IF(INDEX(C:C, ROW())+INDEX(D:D, ROW())=0, 0, INDEX(C:C, ROW())/(INDEX(C:C, ROW())+INDEX(D:D, ROW())))</f>
        <v/>
      </c>
      <c r="F1628" s="1" t="inlineStr">
        <is>
          <t>Array, Binary Search, Queue, Sliding Window, Heap (Priority Queue), Prefix Sum, Monotonic Queue</t>
        </is>
      </c>
      <c r="G1628" s="1" t="inlineStr">
        <is>
          <t>Hard</t>
        </is>
      </c>
      <c r="H1628" s="1" t="n">
        <v>32927</v>
      </c>
      <c r="I1628" s="1" t="n">
        <v>87098</v>
      </c>
      <c r="J1628" s="9" t="n">
        <v>0.378</v>
      </c>
      <c r="K1628" s="1" t="inlineStr">
        <is>
          <t>Yes</t>
        </is>
      </c>
      <c r="L1628" s="1" t="inlineStr">
        <is>
          <t>No</t>
        </is>
      </c>
      <c r="M1628" s="1" t="inlineStr">
        <is>
          <t>No</t>
        </is>
      </c>
      <c r="N1628" s="1" t="inlineStr">
        <is>
          <t>Algorithms</t>
        </is>
      </c>
      <c r="O16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29" ht="15.75" customHeight="1" s="12">
      <c r="A1629" s="1" t="n">
        <v>267</v>
      </c>
      <c r="B1629" s="3">
        <f>HYPERLINK("https://leetcode.com/problems/palindrome-permutation-ii/", "Palindrome Permutation II")</f>
        <v/>
      </c>
      <c r="C1629" s="1" t="n">
        <v>898</v>
      </c>
      <c r="D1629" s="1" t="n">
        <v>98</v>
      </c>
      <c r="E1629" s="4">
        <f>IF(INDEX(C:C, ROW())+INDEX(D:D, ROW())=0, 0, INDEX(C:C, ROW())/(INDEX(C:C, ROW())+INDEX(D:D, ROW())))</f>
        <v/>
      </c>
      <c r="F1629" s="1" t="inlineStr">
        <is>
          <t>Hash Table, String, Backtracking</t>
        </is>
      </c>
      <c r="G1629" s="1" t="inlineStr">
        <is>
          <t>Medium</t>
        </is>
      </c>
      <c r="H1629" s="1" t="n">
        <v>75357</v>
      </c>
      <c r="I1629" s="1" t="n">
        <v>178259</v>
      </c>
      <c r="J1629" s="9" t="n">
        <v>0.423</v>
      </c>
      <c r="K1629" s="1" t="inlineStr">
        <is>
          <t>No</t>
        </is>
      </c>
      <c r="L1629" s="1" t="inlineStr">
        <is>
          <t>Yes</t>
        </is>
      </c>
      <c r="M1629" s="1" t="inlineStr">
        <is>
          <t>No</t>
        </is>
      </c>
      <c r="N1629" s="1" t="inlineStr">
        <is>
          <t>Algorithms</t>
        </is>
      </c>
      <c r="O16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30" ht="15.75" customHeight="1" s="12">
      <c r="A1630" s="1" t="n">
        <v>874</v>
      </c>
      <c r="B1630" s="3">
        <f>HYPERLINK("https://leetcode.com/problems/walking-robot-simulation/", "Walking Robot Simulation")</f>
        <v/>
      </c>
      <c r="C1630" s="1" t="n">
        <v>897</v>
      </c>
      <c r="D1630" s="1" t="n">
        <v>200</v>
      </c>
      <c r="E1630" s="4">
        <f>IF(INDEX(C:C, ROW())+INDEX(D:D, ROW())=0, 0, INDEX(C:C, ROW())/(INDEX(C:C, ROW())+INDEX(D:D, ROW())))</f>
        <v/>
      </c>
      <c r="F1630" s="1" t="inlineStr">
        <is>
          <t>Array, Hash Table, Simulation</t>
        </is>
      </c>
      <c r="G1630" s="1" t="inlineStr">
        <is>
          <t>Medium</t>
        </is>
      </c>
      <c r="H1630" s="1" t="n">
        <v>168107</v>
      </c>
      <c r="I1630" s="1" t="n">
        <v>288034</v>
      </c>
      <c r="J1630" s="9" t="n">
        <v>0.584</v>
      </c>
      <c r="K1630" s="1" t="inlineStr">
        <is>
          <t>Yes</t>
        </is>
      </c>
      <c r="L1630" s="1" t="inlineStr">
        <is>
          <t>Yes</t>
        </is>
      </c>
      <c r="M1630" s="1" t="inlineStr">
        <is>
          <t>No</t>
        </is>
      </c>
      <c r="N1630" s="1" t="inlineStr">
        <is>
          <t>Algorithms</t>
        </is>
      </c>
      <c r="O16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31" ht="15.75" customHeight="1" s="12">
      <c r="A1631" s="1" t="n">
        <v>434</v>
      </c>
      <c r="B1631" s="3">
        <f>HYPERLINK("https://leetcode.com/problems/number-of-segments-in-a-string/", "Number of Segments in a String")</f>
        <v/>
      </c>
      <c r="C1631" s="1" t="n">
        <v>895</v>
      </c>
      <c r="D1631" s="1" t="n">
        <v>1331</v>
      </c>
      <c r="E1631" s="4">
        <f>IF(INDEX(C:C, ROW())+INDEX(D:D, ROW())=0, 0, INDEX(C:C, ROW())/(INDEX(C:C, ROW())+INDEX(D:D, ROW())))</f>
        <v/>
      </c>
      <c r="F1631" s="1" t="inlineStr">
        <is>
          <t>String</t>
        </is>
      </c>
      <c r="G1631" s="1" t="inlineStr">
        <is>
          <t>Easy</t>
        </is>
      </c>
      <c r="H1631" s="1" t="n">
        <v>261849</v>
      </c>
      <c r="I1631" s="1" t="n">
        <v>709750</v>
      </c>
      <c r="J1631" s="9" t="n">
        <v>0.369</v>
      </c>
      <c r="K1631" s="1" t="inlineStr">
        <is>
          <t>Yes</t>
        </is>
      </c>
      <c r="L1631" s="1" t="inlineStr">
        <is>
          <t>Yes</t>
        </is>
      </c>
      <c r="M1631" s="1" t="inlineStr">
        <is>
          <t>No</t>
        </is>
      </c>
      <c r="N1631" s="1" t="inlineStr">
        <is>
          <t>Algorithms</t>
        </is>
      </c>
      <c r="O16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32" ht="15.75" customHeight="1" s="12">
      <c r="A1632" s="1" t="n">
        <v>710</v>
      </c>
      <c r="B1632" s="3">
        <f>HYPERLINK("https://leetcode.com/problems/random-pick-with-blacklist/", "Random Pick with Blacklist")</f>
        <v/>
      </c>
      <c r="C1632" s="1" t="n">
        <v>895</v>
      </c>
      <c r="D1632" s="1" t="n">
        <v>121</v>
      </c>
      <c r="E1632" s="4">
        <f>IF(INDEX(C:C, ROW())+INDEX(D:D, ROW())=0, 0, INDEX(C:C, ROW())/(INDEX(C:C, ROW())+INDEX(D:D, ROW())))</f>
        <v/>
      </c>
      <c r="F1632" s="1" t="inlineStr">
        <is>
          <t>Array, Hash Table, Math, Binary Search, Sorting, Randomized</t>
        </is>
      </c>
      <c r="G1632" s="1" t="inlineStr">
        <is>
          <t>Hard</t>
        </is>
      </c>
      <c r="H1632" s="1" t="n">
        <v>51113</v>
      </c>
      <c r="I1632" s="1" t="n">
        <v>147971</v>
      </c>
      <c r="J1632" s="9" t="n">
        <v>0.345</v>
      </c>
      <c r="K1632" s="1" t="inlineStr">
        <is>
          <t>Yes</t>
        </is>
      </c>
      <c r="L1632" s="1" t="inlineStr">
        <is>
          <t>No</t>
        </is>
      </c>
      <c r="M1632" s="1" t="inlineStr">
        <is>
          <t>No</t>
        </is>
      </c>
      <c r="N1632" s="1" t="inlineStr">
        <is>
          <t>Algorithms</t>
        </is>
      </c>
      <c r="O16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33" ht="15.75" customHeight="1" s="12">
      <c r="A1633" s="1" t="n">
        <v>1722</v>
      </c>
      <c r="B1633" s="3">
        <f>HYPERLINK("https://leetcode.com/problems/minimize-hamming-distance-after-swap-operations/", "Minimize Hamming Distance After Swap Operations")</f>
        <v/>
      </c>
      <c r="C1633" s="1" t="n">
        <v>895</v>
      </c>
      <c r="D1633" s="1" t="n">
        <v>30</v>
      </c>
      <c r="E1633" s="4">
        <f>IF(INDEX(C:C, ROW())+INDEX(D:D, ROW())=0, 0, INDEX(C:C, ROW())/(INDEX(C:C, ROW())+INDEX(D:D, ROW())))</f>
        <v/>
      </c>
      <c r="F1633" s="1" t="inlineStr">
        <is>
          <t>Array, Depth-First Search, Union-Find</t>
        </is>
      </c>
      <c r="G1633" s="1" t="inlineStr">
        <is>
          <t>Medium</t>
        </is>
      </c>
      <c r="H1633" s="1" t="n">
        <v>22045</v>
      </c>
      <c r="I1633" s="1" t="n">
        <v>44960</v>
      </c>
      <c r="J1633" s="9" t="n">
        <v>0.49</v>
      </c>
      <c r="K1633" s="1" t="inlineStr">
        <is>
          <t>Yes</t>
        </is>
      </c>
      <c r="L1633" s="1" t="inlineStr">
        <is>
          <t>No</t>
        </is>
      </c>
      <c r="M1633" s="1" t="inlineStr">
        <is>
          <t>No</t>
        </is>
      </c>
      <c r="N1633" s="1" t="inlineStr">
        <is>
          <t>Algorithms</t>
        </is>
      </c>
      <c r="O16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34" ht="15.75" customHeight="1" s="12">
      <c r="A1634" s="1" t="n">
        <v>1812</v>
      </c>
      <c r="B1634" s="3">
        <f>HYPERLINK("https://leetcode.com/problems/determine-color-of-a-chessboard-square/", "Determine Color of a Chessboard Square")</f>
        <v/>
      </c>
      <c r="C1634" s="1" t="n">
        <v>895</v>
      </c>
      <c r="D1634" s="1" t="n">
        <v>24</v>
      </c>
      <c r="E1634" s="4">
        <f>IF(INDEX(C:C, ROW())+INDEX(D:D, ROW())=0, 0, INDEX(C:C, ROW())/(INDEX(C:C, ROW())+INDEX(D:D, ROW())))</f>
        <v/>
      </c>
      <c r="F1634" s="1" t="inlineStr">
        <is>
          <t>Math, String</t>
        </is>
      </c>
      <c r="G1634" s="1" t="inlineStr">
        <is>
          <t>Easy</t>
        </is>
      </c>
      <c r="H1634" s="1" t="n">
        <v>114586</v>
      </c>
      <c r="I1634" s="1" t="n">
        <v>143743</v>
      </c>
      <c r="J1634" s="9" t="n">
        <v>0.797</v>
      </c>
      <c r="K1634" s="1" t="inlineStr">
        <is>
          <t>Yes</t>
        </is>
      </c>
      <c r="L1634" s="1" t="inlineStr">
        <is>
          <t>No</t>
        </is>
      </c>
      <c r="M1634" s="1" t="inlineStr">
        <is>
          <t>No</t>
        </is>
      </c>
      <c r="N1634" s="1" t="inlineStr">
        <is>
          <t>Algorithms</t>
        </is>
      </c>
      <c r="O16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35" ht="15.75" customHeight="1" s="12">
      <c r="A1635" s="1" t="n">
        <v>2635</v>
      </c>
      <c r="B1635" s="3">
        <f>HYPERLINK("https://leetcode.com/problems/apply-transform-over-each-element-in-array/", "Apply Transform Over Each Element in Array")</f>
        <v/>
      </c>
      <c r="C1635" s="1" t="n">
        <v>895</v>
      </c>
      <c r="D1635" s="1" t="n">
        <v>119</v>
      </c>
      <c r="E1635" s="4">
        <f>IF(INDEX(C:C, ROW())+INDEX(D:D, ROW())=0, 0, INDEX(C:C, ROW())/(INDEX(C:C, ROW())+INDEX(D:D, ROW())))</f>
        <v/>
      </c>
      <c r="F1635" s="2" t="n"/>
      <c r="G1635" s="1" t="inlineStr">
        <is>
          <t>Easy</t>
        </is>
      </c>
      <c r="H1635" s="1" t="n">
        <v>324801</v>
      </c>
      <c r="I1635" s="1" t="n">
        <v>376757</v>
      </c>
      <c r="J1635" s="9" t="n">
        <v>0.862</v>
      </c>
      <c r="K1635" s="1" t="inlineStr">
        <is>
          <t>Yes</t>
        </is>
      </c>
      <c r="L1635" s="1" t="inlineStr">
        <is>
          <t>Yes</t>
        </is>
      </c>
      <c r="M1635" s="1" t="inlineStr">
        <is>
          <t>No</t>
        </is>
      </c>
      <c r="N1635" s="1" t="inlineStr">
        <is>
          <t>JavaScript</t>
        </is>
      </c>
      <c r="O16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36" ht="15.75" customHeight="1" s="12">
      <c r="A1636" s="1" t="n">
        <v>1686</v>
      </c>
      <c r="B1636" s="3">
        <f>HYPERLINK("https://leetcode.com/problems/stone-game-vi/", "Stone Game VI")</f>
        <v/>
      </c>
      <c r="C1636" s="1" t="n">
        <v>893</v>
      </c>
      <c r="D1636" s="1" t="n">
        <v>77</v>
      </c>
      <c r="E1636" s="4">
        <f>IF(INDEX(C:C, ROW())+INDEX(D:D, ROW())=0, 0, INDEX(C:C, ROW())/(INDEX(C:C, ROW())+INDEX(D:D, ROW())))</f>
        <v/>
      </c>
      <c r="F1636" s="1" t="inlineStr">
        <is>
          <t>Array, Math, Greedy, Sorting, Heap (Priority Queue), Game Theory</t>
        </is>
      </c>
      <c r="G1636" s="1" t="inlineStr">
        <is>
          <t>Medium</t>
        </is>
      </c>
      <c r="H1636" s="1" t="n">
        <v>27601</v>
      </c>
      <c r="I1636" s="1" t="n">
        <v>45787</v>
      </c>
      <c r="J1636" s="9" t="n">
        <v>0.603</v>
      </c>
      <c r="K1636" s="1" t="inlineStr">
        <is>
          <t>Yes</t>
        </is>
      </c>
      <c r="L1636" s="1" t="inlineStr">
        <is>
          <t>No</t>
        </is>
      </c>
      <c r="M1636" s="1" t="inlineStr">
        <is>
          <t>No</t>
        </is>
      </c>
      <c r="N1636" s="1" t="inlineStr">
        <is>
          <t>Algorithms</t>
        </is>
      </c>
      <c r="O16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37" ht="15.75" customHeight="1" s="12">
      <c r="A1637" s="1" t="n">
        <v>510</v>
      </c>
      <c r="B1637" s="3">
        <f>HYPERLINK("https://leetcode.com/problems/inorder-successor-in-bst-ii/", "Inorder Successor in BST II")</f>
        <v/>
      </c>
      <c r="C1637" s="1" t="n">
        <v>890</v>
      </c>
      <c r="D1637" s="1" t="n">
        <v>44</v>
      </c>
      <c r="E1637" s="4">
        <f>IF(INDEX(C:C, ROW())+INDEX(D:D, ROW())=0, 0, INDEX(C:C, ROW())/(INDEX(C:C, ROW())+INDEX(D:D, ROW())))</f>
        <v/>
      </c>
      <c r="F1637" s="1" t="inlineStr">
        <is>
          <t>Tree, Binary Search Tree, Binary Tree</t>
        </is>
      </c>
      <c r="G1637" s="1" t="inlineStr">
        <is>
          <t>Medium</t>
        </is>
      </c>
      <c r="H1637" s="1" t="n">
        <v>75340</v>
      </c>
      <c r="I1637" s="1" t="n">
        <v>123326</v>
      </c>
      <c r="J1637" s="9" t="n">
        <v>0.611</v>
      </c>
      <c r="K1637" s="1" t="inlineStr">
        <is>
          <t>No</t>
        </is>
      </c>
      <c r="L1637" s="1" t="inlineStr">
        <is>
          <t>Yes</t>
        </is>
      </c>
      <c r="M1637" s="1" t="inlineStr">
        <is>
          <t>No</t>
        </is>
      </c>
      <c r="N1637" s="1" t="inlineStr">
        <is>
          <t>Algorithms</t>
        </is>
      </c>
      <c r="O16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38" ht="15.75" customHeight="1" s="12">
      <c r="A1638" s="1" t="n">
        <v>447</v>
      </c>
      <c r="B1638" s="3">
        <f>HYPERLINK("https://leetcode.com/problems/number-of-boomerangs/", "Number of Boomerangs")</f>
        <v/>
      </c>
      <c r="C1638" s="1" t="n">
        <v>889</v>
      </c>
      <c r="D1638" s="1" t="n">
        <v>1039</v>
      </c>
      <c r="E1638" s="4">
        <f>IF(INDEX(C:C, ROW())+INDEX(D:D, ROW())=0, 0, INDEX(C:C, ROW())/(INDEX(C:C, ROW())+INDEX(D:D, ROW())))</f>
        <v/>
      </c>
      <c r="F1638" s="1" t="inlineStr">
        <is>
          <t>Array, Hash Table, Math</t>
        </is>
      </c>
      <c r="G1638" s="1" t="inlineStr">
        <is>
          <t>Medium</t>
        </is>
      </c>
      <c r="H1638" s="1" t="n">
        <v>115523</v>
      </c>
      <c r="I1638" s="1" t="n">
        <v>202124</v>
      </c>
      <c r="J1638" s="9" t="n">
        <v>0.572</v>
      </c>
      <c r="K1638" s="1" t="inlineStr">
        <is>
          <t>Yes</t>
        </is>
      </c>
      <c r="L1638" s="1" t="inlineStr">
        <is>
          <t>No</t>
        </is>
      </c>
      <c r="M1638" s="1" t="inlineStr">
        <is>
          <t>No</t>
        </is>
      </c>
      <c r="N1638" s="1" t="inlineStr">
        <is>
          <t>Algorithms</t>
        </is>
      </c>
      <c r="O16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39" ht="15.75" customHeight="1" s="12">
      <c r="A1639" s="1" t="n">
        <v>592</v>
      </c>
      <c r="B1639" s="3">
        <f>HYPERLINK("https://leetcode.com/problems/fraction-addition-and-subtraction/", "Fraction Addition and Subtraction")</f>
        <v/>
      </c>
      <c r="C1639" s="1" t="n">
        <v>889</v>
      </c>
      <c r="D1639" s="1" t="n">
        <v>693</v>
      </c>
      <c r="E1639" s="4">
        <f>IF(INDEX(C:C, ROW())+INDEX(D:D, ROW())=0, 0, INDEX(C:C, ROW())/(INDEX(C:C, ROW())+INDEX(D:D, ROW())))</f>
        <v/>
      </c>
      <c r="F1639" s="1" t="inlineStr">
        <is>
          <t>Math, String, Simulation</t>
        </is>
      </c>
      <c r="G1639" s="1" t="inlineStr">
        <is>
          <t>Medium</t>
        </is>
      </c>
      <c r="H1639" s="1" t="n">
        <v>136164</v>
      </c>
      <c r="I1639" s="1" t="n">
        <v>205229</v>
      </c>
      <c r="J1639" s="9" t="n">
        <v>0.663</v>
      </c>
      <c r="K1639" s="1" t="inlineStr">
        <is>
          <t>Yes</t>
        </is>
      </c>
      <c r="L1639" s="1" t="inlineStr">
        <is>
          <t>Yes</t>
        </is>
      </c>
      <c r="M1639" s="1" t="inlineStr">
        <is>
          <t>No</t>
        </is>
      </c>
      <c r="N1639" s="1" t="inlineStr">
        <is>
          <t>Algorithms</t>
        </is>
      </c>
      <c r="O16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40" ht="15.75" customHeight="1" s="12">
      <c r="A1640" s="1" t="n">
        <v>882</v>
      </c>
      <c r="B1640" s="3">
        <f>HYPERLINK("https://leetcode.com/problems/reachable-nodes-in-subdivided-graph/", "Reachable Nodes In Subdivided Graph")</f>
        <v/>
      </c>
      <c r="C1640" s="1" t="n">
        <v>888</v>
      </c>
      <c r="D1640" s="1" t="n">
        <v>229</v>
      </c>
      <c r="E1640" s="4">
        <f>IF(INDEX(C:C, ROW())+INDEX(D:D, ROW())=0, 0, INDEX(C:C, ROW())/(INDEX(C:C, ROW())+INDEX(D:D, ROW())))</f>
        <v/>
      </c>
      <c r="F1640" s="1" t="inlineStr">
        <is>
          <t>Graph Theory, Heap (Priority Queue), Shortest Path</t>
        </is>
      </c>
      <c r="G1640" s="1" t="inlineStr">
        <is>
          <t>Hard</t>
        </is>
      </c>
      <c r="H1640" s="1" t="n">
        <v>36095</v>
      </c>
      <c r="I1640" s="1" t="n">
        <v>69882</v>
      </c>
      <c r="J1640" s="9" t="n">
        <v>0.517</v>
      </c>
      <c r="K1640" s="1" t="inlineStr">
        <is>
          <t>Yes</t>
        </is>
      </c>
      <c r="L1640" s="1" t="inlineStr">
        <is>
          <t>Yes</t>
        </is>
      </c>
      <c r="M1640" s="1" t="inlineStr">
        <is>
          <t>No</t>
        </is>
      </c>
      <c r="N1640" s="1" t="inlineStr">
        <is>
          <t>Algorithms</t>
        </is>
      </c>
      <c r="O16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41" ht="15.75" customHeight="1" s="12">
      <c r="A1641" s="1" t="n">
        <v>1153</v>
      </c>
      <c r="B1641" s="3">
        <f>HYPERLINK("https://leetcode.com/problems/string-transforms-into-another-string/", "String Transforms Into Another String")</f>
        <v/>
      </c>
      <c r="C1641" s="1" t="n">
        <v>888</v>
      </c>
      <c r="D1641" s="1" t="n">
        <v>339</v>
      </c>
      <c r="E1641" s="4">
        <f>IF(INDEX(C:C, ROW())+INDEX(D:D, ROW())=0, 0, INDEX(C:C, ROW())/(INDEX(C:C, ROW())+INDEX(D:D, ROW())))</f>
        <v/>
      </c>
      <c r="F1641" s="1" t="inlineStr">
        <is>
          <t>Hash Table, String, Graph Theory</t>
        </is>
      </c>
      <c r="G1641" s="1" t="inlineStr">
        <is>
          <t>Hard</t>
        </is>
      </c>
      <c r="H1641" s="1" t="n">
        <v>54126</v>
      </c>
      <c r="I1641" s="1" t="n">
        <v>156122</v>
      </c>
      <c r="J1641" s="9" t="n">
        <v>0.347</v>
      </c>
      <c r="K1641" s="1" t="inlineStr">
        <is>
          <t>No</t>
        </is>
      </c>
      <c r="L1641" s="1" t="inlineStr">
        <is>
          <t>Yes</t>
        </is>
      </c>
      <c r="M1641" s="1" t="inlineStr">
        <is>
          <t>No</t>
        </is>
      </c>
      <c r="N1641" s="1" t="inlineStr">
        <is>
          <t>Algorithms</t>
        </is>
      </c>
      <c r="O16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42" ht="15.75" customHeight="1" s="12">
      <c r="A1642" s="1" t="n">
        <v>742</v>
      </c>
      <c r="B1642" s="3">
        <f>HYPERLINK("https://leetcode.com/problems/closest-leaf-in-a-binary-tree/", "Closest Leaf in a Binary Tree")</f>
        <v/>
      </c>
      <c r="C1642" s="1" t="n">
        <v>887</v>
      </c>
      <c r="D1642" s="1" t="n">
        <v>189</v>
      </c>
      <c r="E1642" s="4">
        <f>IF(INDEX(C:C, ROW())+INDEX(D:D, ROW())=0, 0, INDEX(C:C, ROW())/(INDEX(C:C, ROW())+INDEX(D:D, ROW())))</f>
        <v/>
      </c>
      <c r="F1642" s="1" t="inlineStr">
        <is>
          <t>Tree, Depth-First Search, Breadth-First Search, Binary Tree</t>
        </is>
      </c>
      <c r="G1642" s="1" t="inlineStr">
        <is>
          <t>Medium</t>
        </is>
      </c>
      <c r="H1642" s="1" t="n">
        <v>55099</v>
      </c>
      <c r="I1642" s="1" t="n">
        <v>116366</v>
      </c>
      <c r="J1642" s="9" t="n">
        <v>0.473</v>
      </c>
      <c r="K1642" s="1" t="inlineStr">
        <is>
          <t>No</t>
        </is>
      </c>
      <c r="L1642" s="1" t="inlineStr">
        <is>
          <t>Yes</t>
        </is>
      </c>
      <c r="M1642" s="1" t="inlineStr">
        <is>
          <t>No</t>
        </is>
      </c>
      <c r="N1642" s="1" t="inlineStr">
        <is>
          <t>Algorithms</t>
        </is>
      </c>
      <c r="O16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43" ht="15.75" customHeight="1" s="12">
      <c r="A1643" s="1" t="n">
        <v>1349</v>
      </c>
      <c r="B1643" s="3">
        <f>HYPERLINK("https://leetcode.com/problems/maximum-students-taking-exam/", "Maximum Students Taking Exam")</f>
        <v/>
      </c>
      <c r="C1643" s="1" t="n">
        <v>887</v>
      </c>
      <c r="D1643" s="1" t="n">
        <v>19</v>
      </c>
      <c r="E1643" s="4">
        <f>IF(INDEX(C:C, ROW())+INDEX(D:D, ROW())=0, 0, INDEX(C:C, ROW())/(INDEX(C:C, ROW())+INDEX(D:D, ROW())))</f>
        <v/>
      </c>
      <c r="F1643" s="1" t="inlineStr">
        <is>
          <t>Array, Dynamic Programming, Bit Manipulation, Matrix, Bitmask DP</t>
        </is>
      </c>
      <c r="G1643" s="1" t="inlineStr">
        <is>
          <t>Hard</t>
        </is>
      </c>
      <c r="H1643" s="1" t="n">
        <v>22421</v>
      </c>
      <c r="I1643" s="1" t="n">
        <v>42086</v>
      </c>
      <c r="J1643" s="9" t="n">
        <v>0.533</v>
      </c>
      <c r="K1643" s="1" t="inlineStr">
        <is>
          <t>Yes</t>
        </is>
      </c>
      <c r="L1643" s="1" t="inlineStr">
        <is>
          <t>No</t>
        </is>
      </c>
      <c r="M1643" s="1" t="inlineStr">
        <is>
          <t>No</t>
        </is>
      </c>
      <c r="N1643" s="1" t="inlineStr">
        <is>
          <t>Algorithms</t>
        </is>
      </c>
      <c r="O16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44" ht="15.75" customHeight="1" s="12">
      <c r="A1644" s="1" t="n">
        <v>1844</v>
      </c>
      <c r="B1644" s="3">
        <f>HYPERLINK("https://leetcode.com/problems/replace-all-digits-with-characters/", "Replace All Digits with Characters")</f>
        <v/>
      </c>
      <c r="C1644" s="1" t="n">
        <v>886</v>
      </c>
      <c r="D1644" s="1" t="n">
        <v>116</v>
      </c>
      <c r="E1644" s="4">
        <f>IF(INDEX(C:C, ROW())+INDEX(D:D, ROW())=0, 0, INDEX(C:C, ROW())/(INDEX(C:C, ROW())+INDEX(D:D, ROW())))</f>
        <v/>
      </c>
      <c r="F1644" s="1" t="inlineStr">
        <is>
          <t>String</t>
        </is>
      </c>
      <c r="G1644" s="1" t="inlineStr">
        <is>
          <t>Easy</t>
        </is>
      </c>
      <c r="H1644" s="1" t="n">
        <v>111177</v>
      </c>
      <c r="I1644" s="1" t="n">
        <v>134686</v>
      </c>
      <c r="J1644" s="9" t="n">
        <v>0.825</v>
      </c>
      <c r="K1644" s="1" t="inlineStr">
        <is>
          <t>Yes</t>
        </is>
      </c>
      <c r="L1644" s="1" t="inlineStr">
        <is>
          <t>No</t>
        </is>
      </c>
      <c r="M1644" s="1" t="inlineStr">
        <is>
          <t>No</t>
        </is>
      </c>
      <c r="N1644" s="1" t="inlineStr">
        <is>
          <t>Algorithms</t>
        </is>
      </c>
      <c r="O16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45" ht="15.75" customHeight="1" s="12">
      <c r="A1645" s="1" t="n">
        <v>1263</v>
      </c>
      <c r="B1645" s="3">
        <f>HYPERLINK("https://leetcode.com/problems/minimum-moves-to-move-a-box-to-their-target-location/", "Minimum Moves to Move a Box to Their Target Location")</f>
        <v/>
      </c>
      <c r="C1645" s="1" t="n">
        <v>885</v>
      </c>
      <c r="D1645" s="1" t="n">
        <v>59</v>
      </c>
      <c r="E1645" s="4">
        <f>IF(INDEX(C:C, ROW())+INDEX(D:D, ROW())=0, 0, INDEX(C:C, ROW())/(INDEX(C:C, ROW())+INDEX(D:D, ROW())))</f>
        <v/>
      </c>
      <c r="F1645" s="1" t="inlineStr">
        <is>
          <t>Array, Breadth-First Search, Heap (Priority Queue), Matrix</t>
        </is>
      </c>
      <c r="G1645" s="1" t="inlineStr">
        <is>
          <t>Hard</t>
        </is>
      </c>
      <c r="H1645" s="1" t="n">
        <v>31474</v>
      </c>
      <c r="I1645" s="1" t="n">
        <v>63734</v>
      </c>
      <c r="J1645" s="9" t="n">
        <v>0.494</v>
      </c>
      <c r="K1645" s="1" t="inlineStr">
        <is>
          <t>Yes</t>
        </is>
      </c>
      <c r="L1645" s="1" t="inlineStr">
        <is>
          <t>No</t>
        </is>
      </c>
      <c r="M1645" s="1" t="inlineStr">
        <is>
          <t>No</t>
        </is>
      </c>
      <c r="N1645" s="1" t="inlineStr">
        <is>
          <t>Algorithms</t>
        </is>
      </c>
      <c r="O16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46" ht="15.75" customHeight="1" s="12">
      <c r="A1646" s="1" t="n">
        <v>158</v>
      </c>
      <c r="B1646" s="3">
        <f>HYPERLINK("https://leetcode.com/problems/read-n-characters-given-read4-ii-call-multiple-times/", "Read N Characters Given read4 II - Call Multiple Times")</f>
        <v/>
      </c>
      <c r="C1646" s="1" t="n">
        <v>884</v>
      </c>
      <c r="D1646" s="1" t="n">
        <v>1819</v>
      </c>
      <c r="E1646" s="4">
        <f>IF(INDEX(C:C, ROW())+INDEX(D:D, ROW())=0, 0, INDEX(C:C, ROW())/(INDEX(C:C, ROW())+INDEX(D:D, ROW())))</f>
        <v/>
      </c>
      <c r="F1646" s="1" t="inlineStr">
        <is>
          <t>Array, Simulation, Interactive</t>
        </is>
      </c>
      <c r="G1646" s="1" t="inlineStr">
        <is>
          <t>Hard</t>
        </is>
      </c>
      <c r="H1646" s="1" t="n">
        <v>195729</v>
      </c>
      <c r="I1646" s="1" t="n">
        <v>453281</v>
      </c>
      <c r="J1646" s="9" t="n">
        <v>0.432</v>
      </c>
      <c r="K1646" s="1" t="inlineStr">
        <is>
          <t>No</t>
        </is>
      </c>
      <c r="L1646" s="1" t="inlineStr">
        <is>
          <t>No</t>
        </is>
      </c>
      <c r="M1646" s="1" t="inlineStr">
        <is>
          <t>No</t>
        </is>
      </c>
      <c r="N1646" s="1" t="inlineStr">
        <is>
          <t>Algorithms</t>
        </is>
      </c>
      <c r="O16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47" ht="15.75" customHeight="1" s="12">
      <c r="A1647" s="1" t="n">
        <v>423</v>
      </c>
      <c r="B1647" s="3">
        <f>HYPERLINK("https://leetcode.com/problems/reconstruct-original-digits-from-english/", "Reconstruct Original Digits from English")</f>
        <v/>
      </c>
      <c r="C1647" s="1" t="n">
        <v>884</v>
      </c>
      <c r="D1647" s="1" t="n">
        <v>2802</v>
      </c>
      <c r="E1647" s="4">
        <f>IF(INDEX(C:C, ROW())+INDEX(D:D, ROW())=0, 0, INDEX(C:C, ROW())/(INDEX(C:C, ROW())+INDEX(D:D, ROW())))</f>
        <v/>
      </c>
      <c r="F1647" s="1" t="inlineStr">
        <is>
          <t>Hash Table, Math, String</t>
        </is>
      </c>
      <c r="G1647" s="1" t="inlineStr">
        <is>
          <t>Medium</t>
        </is>
      </c>
      <c r="H1647" s="1" t="n">
        <v>97197</v>
      </c>
      <c r="I1647" s="1" t="n">
        <v>184706</v>
      </c>
      <c r="J1647" s="9" t="n">
        <v>0.526</v>
      </c>
      <c r="K1647" s="1" t="inlineStr">
        <is>
          <t>Yes</t>
        </is>
      </c>
      <c r="L1647" s="1" t="inlineStr">
        <is>
          <t>Yes</t>
        </is>
      </c>
      <c r="M1647" s="1" t="inlineStr">
        <is>
          <t>No</t>
        </is>
      </c>
      <c r="N1647" s="1" t="inlineStr">
        <is>
          <t>Algorithms</t>
        </is>
      </c>
      <c r="O16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48" ht="15.75" customHeight="1" s="12">
      <c r="A1648" s="1" t="n">
        <v>1542</v>
      </c>
      <c r="B1648" s="3">
        <f>HYPERLINK("https://leetcode.com/problems/find-longest-awesome-substring/", "Find Longest Awesome Substring")</f>
        <v/>
      </c>
      <c r="C1648" s="1" t="n">
        <v>884</v>
      </c>
      <c r="D1648" s="1" t="n">
        <v>16</v>
      </c>
      <c r="E1648" s="4">
        <f>IF(INDEX(C:C, ROW())+INDEX(D:D, ROW())=0, 0, INDEX(C:C, ROW())/(INDEX(C:C, ROW())+INDEX(D:D, ROW())))</f>
        <v/>
      </c>
      <c r="F1648" s="1" t="inlineStr">
        <is>
          <t>Hash Table, String, Bit Manipulation</t>
        </is>
      </c>
      <c r="G1648" s="1" t="inlineStr">
        <is>
          <t>Hard</t>
        </is>
      </c>
      <c r="H1648" s="1" t="n">
        <v>19510</v>
      </c>
      <c r="I1648" s="1" t="n">
        <v>42160</v>
      </c>
      <c r="J1648" s="9" t="n">
        <v>0.463</v>
      </c>
      <c r="K1648" s="1" t="inlineStr">
        <is>
          <t>Yes</t>
        </is>
      </c>
      <c r="L1648" s="1" t="inlineStr">
        <is>
          <t>No</t>
        </is>
      </c>
      <c r="M1648" s="1" t="inlineStr">
        <is>
          <t>No</t>
        </is>
      </c>
      <c r="N1648" s="1" t="inlineStr">
        <is>
          <t>Algorithms</t>
        </is>
      </c>
      <c r="O16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49" ht="15.75" customHeight="1" s="12">
      <c r="A1649" s="1" t="n">
        <v>504</v>
      </c>
      <c r="B1649" s="3">
        <f>HYPERLINK("https://leetcode.com/problems/base-7/", "Base 7")</f>
        <v/>
      </c>
      <c r="C1649" s="1" t="n">
        <v>880</v>
      </c>
      <c r="D1649" s="1" t="n">
        <v>239</v>
      </c>
      <c r="E1649" s="4">
        <f>IF(INDEX(C:C, ROW())+INDEX(D:D, ROW())=0, 0, INDEX(C:C, ROW())/(INDEX(C:C, ROW())+INDEX(D:D, ROW())))</f>
        <v/>
      </c>
      <c r="F1649" s="1" t="inlineStr">
        <is>
          <t>Math, String</t>
        </is>
      </c>
      <c r="G1649" s="1" t="inlineStr">
        <is>
          <t>Easy</t>
        </is>
      </c>
      <c r="H1649" s="1" t="n">
        <v>193120</v>
      </c>
      <c r="I1649" s="1" t="n">
        <v>360761</v>
      </c>
      <c r="J1649" s="9" t="n">
        <v>0.535</v>
      </c>
      <c r="K1649" s="1" t="inlineStr">
        <is>
          <t>Yes</t>
        </is>
      </c>
      <c r="L1649" s="1" t="inlineStr">
        <is>
          <t>No</t>
        </is>
      </c>
      <c r="M1649" s="1" t="inlineStr">
        <is>
          <t>No</t>
        </is>
      </c>
      <c r="N1649" s="1" t="inlineStr">
        <is>
          <t>Algorithms</t>
        </is>
      </c>
      <c r="O16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50" ht="15.75" customHeight="1" s="12">
      <c r="A1650" s="1" t="n">
        <v>585</v>
      </c>
      <c r="B1650" s="3">
        <f>HYPERLINK("https://leetcode.com/problems/investments-in-2016/", "Investments in 2016")</f>
        <v/>
      </c>
      <c r="C1650" s="1" t="n">
        <v>880</v>
      </c>
      <c r="D1650" s="1" t="n">
        <v>622</v>
      </c>
      <c r="E1650" s="4">
        <f>IF(INDEX(C:C, ROW())+INDEX(D:D, ROW())=0, 0, INDEX(C:C, ROW())/(INDEX(C:C, ROW())+INDEX(D:D, ROW())))</f>
        <v/>
      </c>
      <c r="F1650" s="1" t="inlineStr">
        <is>
          <t>Database</t>
        </is>
      </c>
      <c r="G1650" s="1" t="inlineStr">
        <is>
          <t>Medium</t>
        </is>
      </c>
      <c r="H1650" s="1" t="n">
        <v>282877</v>
      </c>
      <c r="I1650" s="1" t="n">
        <v>557797</v>
      </c>
      <c r="J1650" s="9" t="n">
        <v>0.507</v>
      </c>
      <c r="K1650" s="1" t="inlineStr">
        <is>
          <t>Yes</t>
        </is>
      </c>
      <c r="L1650" s="1" t="inlineStr">
        <is>
          <t>Yes</t>
        </is>
      </c>
      <c r="M1650" s="1" t="inlineStr">
        <is>
          <t>No</t>
        </is>
      </c>
      <c r="N1650" s="1" t="inlineStr">
        <is>
          <t>Database</t>
        </is>
      </c>
      <c r="O16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51" ht="15.75" customHeight="1" s="12">
      <c r="A1651" s="1" t="n">
        <v>1705</v>
      </c>
      <c r="B1651" s="3">
        <f>HYPERLINK("https://leetcode.com/problems/maximum-number-of-eaten-apples/", "Maximum Number of Eaten Apples")</f>
        <v/>
      </c>
      <c r="C1651" s="1" t="n">
        <v>880</v>
      </c>
      <c r="D1651" s="1" t="n">
        <v>198</v>
      </c>
      <c r="E1651" s="4">
        <f>IF(INDEX(C:C, ROW())+INDEX(D:D, ROW())=0, 0, INDEX(C:C, ROW())/(INDEX(C:C, ROW())+INDEX(D:D, ROW())))</f>
        <v/>
      </c>
      <c r="F1651" s="1" t="inlineStr">
        <is>
          <t>Array, Greedy, Heap (Priority Queue)</t>
        </is>
      </c>
      <c r="G1651" s="1" t="inlineStr">
        <is>
          <t>Medium</t>
        </is>
      </c>
      <c r="H1651" s="1" t="n">
        <v>30569</v>
      </c>
      <c r="I1651" s="1" t="n">
        <v>72483</v>
      </c>
      <c r="J1651" s="9" t="n">
        <v>0.422</v>
      </c>
      <c r="K1651" s="1" t="inlineStr">
        <is>
          <t>Yes</t>
        </is>
      </c>
      <c r="L1651" s="1" t="inlineStr">
        <is>
          <t>Yes</t>
        </is>
      </c>
      <c r="M1651" s="1" t="inlineStr">
        <is>
          <t>No</t>
        </is>
      </c>
      <c r="N1651" s="1" t="inlineStr">
        <is>
          <t>Algorithms</t>
        </is>
      </c>
      <c r="O16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52" ht="15.75" customHeight="1" s="12">
      <c r="A1652" s="1" t="n">
        <v>1390</v>
      </c>
      <c r="B1652" s="3">
        <f>HYPERLINK("https://leetcode.com/problems/four-divisors/", "Four Divisors")</f>
        <v/>
      </c>
      <c r="C1652" s="1" t="n">
        <v>879</v>
      </c>
      <c r="D1652" s="1" t="n">
        <v>219</v>
      </c>
      <c r="E1652" s="4">
        <f>IF(INDEX(C:C, ROW())+INDEX(D:D, ROW())=0, 0, INDEX(C:C, ROW())/(INDEX(C:C, ROW())+INDEX(D:D, ROW())))</f>
        <v/>
      </c>
      <c r="F1652" s="1" t="inlineStr">
        <is>
          <t>Array, Math</t>
        </is>
      </c>
      <c r="G1652" s="1" t="inlineStr">
        <is>
          <t>Medium</t>
        </is>
      </c>
      <c r="H1652" s="1" t="n">
        <v>189050</v>
      </c>
      <c r="I1652" s="1" t="n">
        <v>333596</v>
      </c>
      <c r="J1652" s="9" t="n">
        <v>0.5669999999999999</v>
      </c>
      <c r="K1652" s="1" t="inlineStr">
        <is>
          <t>Yes</t>
        </is>
      </c>
      <c r="L1652" s="1" t="inlineStr">
        <is>
          <t>Yes</t>
        </is>
      </c>
      <c r="M1652" s="1" t="inlineStr">
        <is>
          <t>No</t>
        </is>
      </c>
      <c r="N1652" s="1" t="inlineStr">
        <is>
          <t>Algorithms</t>
        </is>
      </c>
      <c r="O16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53" ht="15.75" customHeight="1" s="12">
      <c r="A1653" s="1" t="n">
        <v>1520</v>
      </c>
      <c r="B1653" s="3">
        <f>HYPERLINK("https://leetcode.com/problems/maximum-number-of-non-overlapping-substrings/", "Maximum Number of Non-Overlapping Substrings")</f>
        <v/>
      </c>
      <c r="C1653" s="1" t="n">
        <v>879</v>
      </c>
      <c r="D1653" s="1" t="n">
        <v>86</v>
      </c>
      <c r="E1653" s="4">
        <f>IF(INDEX(C:C, ROW())+INDEX(D:D, ROW())=0, 0, INDEX(C:C, ROW())/(INDEX(C:C, ROW())+INDEX(D:D, ROW())))</f>
        <v/>
      </c>
      <c r="F1653" s="1" t="inlineStr">
        <is>
          <t>String, Greedy</t>
        </is>
      </c>
      <c r="G1653" s="1" t="inlineStr">
        <is>
          <t>Hard</t>
        </is>
      </c>
      <c r="H1653" s="1" t="n">
        <v>23497</v>
      </c>
      <c r="I1653" s="1" t="n">
        <v>57080</v>
      </c>
      <c r="J1653" s="9" t="n">
        <v>0.412</v>
      </c>
      <c r="K1653" s="1" t="inlineStr">
        <is>
          <t>Yes</t>
        </is>
      </c>
      <c r="L1653" s="1" t="inlineStr">
        <is>
          <t>No</t>
        </is>
      </c>
      <c r="M1653" s="1" t="inlineStr">
        <is>
          <t>No</t>
        </is>
      </c>
      <c r="N1653" s="1" t="inlineStr">
        <is>
          <t>Algorithms</t>
        </is>
      </c>
      <c r="O16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54" ht="15.75" customHeight="1" s="12">
      <c r="A1654" s="1" t="n">
        <v>1391</v>
      </c>
      <c r="B1654" s="3">
        <f>HYPERLINK("https://leetcode.com/problems/check-if-there-is-a-valid-path-in-a-grid/", "Check if There is a Valid Path in a Grid")</f>
        <v/>
      </c>
      <c r="C1654" s="1" t="n">
        <v>878</v>
      </c>
      <c r="D1654" s="1" t="n">
        <v>326</v>
      </c>
      <c r="E1654" s="4">
        <f>IF(INDEX(C:C, ROW())+INDEX(D:D, ROW())=0, 0, INDEX(C:C, ROW())/(INDEX(C:C, ROW())+INDEX(D:D, ROW())))</f>
        <v/>
      </c>
      <c r="F1654" s="1" t="inlineStr">
        <is>
          <t>Array, Depth-First Search, Breadth-First Search, Union-Find, Matrix</t>
        </is>
      </c>
      <c r="G1654" s="1" t="inlineStr">
        <is>
          <t>Medium</t>
        </is>
      </c>
      <c r="H1654" s="1" t="n">
        <v>36590</v>
      </c>
      <c r="I1654" s="1" t="n">
        <v>73374</v>
      </c>
      <c r="J1654" s="9" t="n">
        <v>0.499</v>
      </c>
      <c r="K1654" s="1" t="inlineStr">
        <is>
          <t>Yes</t>
        </is>
      </c>
      <c r="L1654" s="1" t="inlineStr">
        <is>
          <t>No</t>
        </is>
      </c>
      <c r="M1654" s="1" t="inlineStr">
        <is>
          <t>No</t>
        </is>
      </c>
      <c r="N1654" s="1" t="inlineStr">
        <is>
          <t>Algorithms</t>
        </is>
      </c>
      <c r="O16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55" ht="15.75" customHeight="1" s="12">
      <c r="A1655" s="1" t="n">
        <v>1779</v>
      </c>
      <c r="B1655" s="3">
        <f>HYPERLINK("https://leetcode.com/problems/find-nearest-point-that-has-the-same-x-or-y-coordinate/", "Find Nearest Point That Has the Same X or Y Coordinate")</f>
        <v/>
      </c>
      <c r="C1655" s="1" t="n">
        <v>878</v>
      </c>
      <c r="D1655" s="1" t="n">
        <v>190</v>
      </c>
      <c r="E1655" s="4">
        <f>IF(INDEX(C:C, ROW())+INDEX(D:D, ROW())=0, 0, INDEX(C:C, ROW())/(INDEX(C:C, ROW())+INDEX(D:D, ROW())))</f>
        <v/>
      </c>
      <c r="F1655" s="1" t="inlineStr">
        <is>
          <t>Array</t>
        </is>
      </c>
      <c r="G1655" s="1" t="inlineStr">
        <is>
          <t>Easy</t>
        </is>
      </c>
      <c r="H1655" s="1" t="n">
        <v>131903</v>
      </c>
      <c r="I1655" s="1" t="n">
        <v>188924</v>
      </c>
      <c r="J1655" s="9" t="n">
        <v>0.698</v>
      </c>
      <c r="K1655" s="1" t="inlineStr">
        <is>
          <t>Yes</t>
        </is>
      </c>
      <c r="L1655" s="1" t="inlineStr">
        <is>
          <t>No</t>
        </is>
      </c>
      <c r="M1655" s="1" t="inlineStr">
        <is>
          <t>No</t>
        </is>
      </c>
      <c r="N1655" s="1" t="inlineStr">
        <is>
          <t>Algorithms</t>
        </is>
      </c>
      <c r="O16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56" ht="15.75" customHeight="1" s="12">
      <c r="A1656" s="1" t="n">
        <v>2665</v>
      </c>
      <c r="B1656" s="3">
        <f>HYPERLINK("https://leetcode.com/problems/counter-ii/", "Counter II")</f>
        <v/>
      </c>
      <c r="C1656" s="1" t="n">
        <v>876</v>
      </c>
      <c r="D1656" s="1" t="n">
        <v>36</v>
      </c>
      <c r="E1656" s="4">
        <f>IF(INDEX(C:C, ROW())+INDEX(D:D, ROW())=0, 0, INDEX(C:C, ROW())/(INDEX(C:C, ROW())+INDEX(D:D, ROW())))</f>
        <v/>
      </c>
      <c r="F1656" s="2" t="n"/>
      <c r="G1656" s="1" t="inlineStr">
        <is>
          <t>Easy</t>
        </is>
      </c>
      <c r="H1656" s="1" t="n">
        <v>364428</v>
      </c>
      <c r="I1656" s="1" t="n">
        <v>448919</v>
      </c>
      <c r="J1656" s="9" t="n">
        <v>0.8120000000000001</v>
      </c>
      <c r="K1656" s="1" t="inlineStr">
        <is>
          <t>Yes</t>
        </is>
      </c>
      <c r="L1656" s="1" t="inlineStr">
        <is>
          <t>Yes</t>
        </is>
      </c>
      <c r="M1656" s="1" t="inlineStr">
        <is>
          <t>No</t>
        </is>
      </c>
      <c r="N1656" s="1" t="inlineStr">
        <is>
          <t>JavaScript</t>
        </is>
      </c>
      <c r="O16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57" ht="15.75" customHeight="1" s="12">
      <c r="A1657" s="1" t="n">
        <v>2825</v>
      </c>
      <c r="B1657" s="3">
        <f>HYPERLINK("https://leetcode.com/problems/make-string-a-subsequence-using-cyclic-increments/", "Make String a Subsequence Using Cyclic Increments")</f>
        <v/>
      </c>
      <c r="C1657" s="1" t="n">
        <v>876</v>
      </c>
      <c r="D1657" s="1" t="n">
        <v>71</v>
      </c>
      <c r="E1657" s="4">
        <f>IF(INDEX(C:C, ROW())+INDEX(D:D, ROW())=0, 0, INDEX(C:C, ROW())/(INDEX(C:C, ROW())+INDEX(D:D, ROW())))</f>
        <v/>
      </c>
      <c r="F1657" s="1" t="inlineStr">
        <is>
          <t>Two Pointers, String</t>
        </is>
      </c>
      <c r="G1657" s="1" t="inlineStr">
        <is>
          <t>Medium</t>
        </is>
      </c>
      <c r="H1657" s="1" t="n">
        <v>162006</v>
      </c>
      <c r="I1657" s="1" t="n">
        <v>246672</v>
      </c>
      <c r="J1657" s="9" t="n">
        <v>0.657</v>
      </c>
      <c r="K1657" s="1" t="inlineStr">
        <is>
          <t>Yes</t>
        </is>
      </c>
      <c r="L1657" s="1" t="inlineStr">
        <is>
          <t>Yes</t>
        </is>
      </c>
      <c r="M1657" s="1" t="inlineStr">
        <is>
          <t>No</t>
        </is>
      </c>
      <c r="N1657" s="1" t="inlineStr">
        <is>
          <t>Algorithms</t>
        </is>
      </c>
      <c r="O16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58" ht="15.75" customHeight="1" s="12">
      <c r="A1658" s="1" t="n">
        <v>2530</v>
      </c>
      <c r="B1658" s="3">
        <f>HYPERLINK("https://leetcode.com/problems/maximal-score-after-applying-k-operations/", "Maximal Score After Applying K Operations")</f>
        <v/>
      </c>
      <c r="C1658" s="1" t="n">
        <v>875</v>
      </c>
      <c r="D1658" s="1" t="n">
        <v>52</v>
      </c>
      <c r="E1658" s="4">
        <f>IF(INDEX(C:C, ROW())+INDEX(D:D, ROW())=0, 0, INDEX(C:C, ROW())/(INDEX(C:C, ROW())+INDEX(D:D, ROW())))</f>
        <v/>
      </c>
      <c r="F1658" s="1" t="inlineStr">
        <is>
          <t>Array, Greedy, Heap (Priority Queue)</t>
        </is>
      </c>
      <c r="G1658" s="1" t="inlineStr">
        <is>
          <t>Medium</t>
        </is>
      </c>
      <c r="H1658" s="1" t="n">
        <v>162090</v>
      </c>
      <c r="I1658" s="1" t="n">
        <v>253354</v>
      </c>
      <c r="J1658" s="9" t="n">
        <v>0.64</v>
      </c>
      <c r="K1658" s="1" t="inlineStr">
        <is>
          <t>Yes</t>
        </is>
      </c>
      <c r="L1658" s="1" t="inlineStr">
        <is>
          <t>Yes</t>
        </is>
      </c>
      <c r="M1658" s="1" t="inlineStr">
        <is>
          <t>No</t>
        </is>
      </c>
      <c r="N1658" s="1" t="inlineStr">
        <is>
          <t>Algorithms</t>
        </is>
      </c>
      <c r="O16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59" ht="15.75" customHeight="1" s="12">
      <c r="A1659" s="1" t="n">
        <v>825</v>
      </c>
      <c r="B1659" s="3">
        <f>HYPERLINK("https://leetcode.com/problems/friends-of-appropriate-ages/", "Friends Of Appropriate Ages")</f>
        <v/>
      </c>
      <c r="C1659" s="1" t="n">
        <v>873</v>
      </c>
      <c r="D1659" s="1" t="n">
        <v>1275</v>
      </c>
      <c r="E1659" s="4">
        <f>IF(INDEX(C:C, ROW())+INDEX(D:D, ROW())=0, 0, INDEX(C:C, ROW())/(INDEX(C:C, ROW())+INDEX(D:D, ROW())))</f>
        <v/>
      </c>
      <c r="F1659" s="1" t="inlineStr">
        <is>
          <t>Array, Two Pointers, Binary Search, Sorting</t>
        </is>
      </c>
      <c r="G1659" s="1" t="inlineStr">
        <is>
          <t>Medium</t>
        </is>
      </c>
      <c r="H1659" s="1" t="n">
        <v>125941</v>
      </c>
      <c r="I1659" s="1" t="n">
        <v>253290</v>
      </c>
      <c r="J1659" s="9" t="n">
        <v>0.497</v>
      </c>
      <c r="K1659" s="1" t="inlineStr">
        <is>
          <t>Yes</t>
        </is>
      </c>
      <c r="L1659" s="1" t="inlineStr">
        <is>
          <t>Yes</t>
        </is>
      </c>
      <c r="M1659" s="1" t="inlineStr">
        <is>
          <t>No</t>
        </is>
      </c>
      <c r="N1659" s="1" t="inlineStr">
        <is>
          <t>Algorithms</t>
        </is>
      </c>
      <c r="O16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60" ht="15.75" customHeight="1" s="12">
      <c r="A1660" s="1" t="n">
        <v>2536</v>
      </c>
      <c r="B1660" s="3">
        <f>HYPERLINK("https://leetcode.com/problems/increment-submatrices-by-one/", "Increment Submatrices by One")</f>
        <v/>
      </c>
      <c r="C1660" s="1" t="n">
        <v>872</v>
      </c>
      <c r="D1660" s="1" t="n">
        <v>81</v>
      </c>
      <c r="E1660" s="4">
        <f>IF(INDEX(C:C, ROW())+INDEX(D:D, ROW())=0, 0, INDEX(C:C, ROW())/(INDEX(C:C, ROW())+INDEX(D:D, ROW())))</f>
        <v/>
      </c>
      <c r="F1660" s="1" t="inlineStr">
        <is>
          <t>Array, Matrix, Prefix Sum</t>
        </is>
      </c>
      <c r="G1660" s="1" t="inlineStr">
        <is>
          <t>Medium</t>
        </is>
      </c>
      <c r="H1660" s="1" t="n">
        <v>105615</v>
      </c>
      <c r="I1660" s="1" t="n">
        <v>143008</v>
      </c>
      <c r="J1660" s="9" t="n">
        <v>0.739</v>
      </c>
      <c r="K1660" s="1" t="inlineStr">
        <is>
          <t>Yes</t>
        </is>
      </c>
      <c r="L1660" s="1" t="inlineStr">
        <is>
          <t>Yes</t>
        </is>
      </c>
      <c r="M1660" s="1" t="inlineStr">
        <is>
          <t>No</t>
        </is>
      </c>
      <c r="N1660" s="1" t="inlineStr">
        <is>
          <t>Algorithms</t>
        </is>
      </c>
      <c r="O16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61" ht="15.75" customHeight="1" s="12">
      <c r="A1661" s="1" t="n">
        <v>2642</v>
      </c>
      <c r="B1661" s="3">
        <f>HYPERLINK("https://leetcode.com/problems/design-graph-with-shortest-path-calculator/", "Design Graph With Shortest Path Calculator")</f>
        <v/>
      </c>
      <c r="C1661" s="1" t="n">
        <v>871</v>
      </c>
      <c r="D1661" s="1" t="n">
        <v>59</v>
      </c>
      <c r="E1661" s="4">
        <f>IF(INDEX(C:C, ROW())+INDEX(D:D, ROW())=0, 0, INDEX(C:C, ROW())/(INDEX(C:C, ROW())+INDEX(D:D, ROW())))</f>
        <v/>
      </c>
      <c r="F1661" s="1" t="inlineStr">
        <is>
          <t>Graph Theory, Design, Heap (Priority Queue), Shortest Path</t>
        </is>
      </c>
      <c r="G1661" s="1" t="inlineStr">
        <is>
          <t>Hard</t>
        </is>
      </c>
      <c r="H1661" s="1" t="n">
        <v>77130</v>
      </c>
      <c r="I1661" s="1" t="n">
        <v>119264</v>
      </c>
      <c r="J1661" s="9" t="n">
        <v>0.647</v>
      </c>
      <c r="K1661" s="1" t="inlineStr">
        <is>
          <t>Yes</t>
        </is>
      </c>
      <c r="L1661" s="1" t="inlineStr">
        <is>
          <t>Yes</t>
        </is>
      </c>
      <c r="M1661" s="1" t="inlineStr">
        <is>
          <t>No</t>
        </is>
      </c>
      <c r="N1661" s="1" t="inlineStr">
        <is>
          <t>Algorithms</t>
        </is>
      </c>
      <c r="O16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62" ht="15.75" customHeight="1" s="12">
      <c r="A1662" s="1" t="n">
        <v>2938</v>
      </c>
      <c r="B1662" s="3">
        <f>HYPERLINK("https://leetcode.com/problems/separate-black-and-white-balls/", "Separate Black and White Balls")</f>
        <v/>
      </c>
      <c r="C1662" s="1" t="n">
        <v>871</v>
      </c>
      <c r="D1662" s="1" t="n">
        <v>43</v>
      </c>
      <c r="E1662" s="4">
        <f>IF(INDEX(C:C, ROW())+INDEX(D:D, ROW())=0, 0, INDEX(C:C, ROW())/(INDEX(C:C, ROW())+INDEX(D:D, ROW())))</f>
        <v/>
      </c>
      <c r="F1662" s="1" t="inlineStr">
        <is>
          <t>Two Pointers, String, Greedy</t>
        </is>
      </c>
      <c r="G1662" s="1" t="inlineStr">
        <is>
          <t>Medium</t>
        </is>
      </c>
      <c r="H1662" s="1" t="n">
        <v>178524</v>
      </c>
      <c r="I1662" s="1" t="n">
        <v>279034</v>
      </c>
      <c r="J1662" s="9" t="n">
        <v>0.64</v>
      </c>
      <c r="K1662" s="1" t="inlineStr">
        <is>
          <t>Yes</t>
        </is>
      </c>
      <c r="L1662" s="1" t="inlineStr">
        <is>
          <t>Yes</t>
        </is>
      </c>
      <c r="M1662" s="1" t="inlineStr">
        <is>
          <t>No</t>
        </is>
      </c>
      <c r="N1662" s="1" t="inlineStr">
        <is>
          <t>Algorithms</t>
        </is>
      </c>
      <c r="O16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63" ht="15.75" customHeight="1" s="12">
      <c r="A1663" s="1" t="n">
        <v>984</v>
      </c>
      <c r="B1663" s="3">
        <f>HYPERLINK("https://leetcode.com/problems/string-without-aaa-or-bbb/", "String Without AAA or BBB")</f>
        <v/>
      </c>
      <c r="C1663" s="1" t="n">
        <v>869</v>
      </c>
      <c r="D1663" s="1" t="n">
        <v>377</v>
      </c>
      <c r="E1663" s="4">
        <f>IF(INDEX(C:C, ROW())+INDEX(D:D, ROW())=0, 0, INDEX(C:C, ROW())/(INDEX(C:C, ROW())+INDEX(D:D, ROW())))</f>
        <v/>
      </c>
      <c r="F1663" s="1" t="inlineStr">
        <is>
          <t>String, Greedy</t>
        </is>
      </c>
      <c r="G1663" s="1" t="inlineStr">
        <is>
          <t>Medium</t>
        </is>
      </c>
      <c r="H1663" s="1" t="n">
        <v>59292</v>
      </c>
      <c r="I1663" s="1" t="n">
        <v>132043</v>
      </c>
      <c r="J1663" s="9" t="n">
        <v>0.449</v>
      </c>
      <c r="K1663" s="1" t="inlineStr">
        <is>
          <t>Yes</t>
        </is>
      </c>
      <c r="L1663" s="1" t="inlineStr">
        <is>
          <t>Yes</t>
        </is>
      </c>
      <c r="M1663" s="1" t="inlineStr">
        <is>
          <t>No</t>
        </is>
      </c>
      <c r="N1663" s="1" t="inlineStr">
        <is>
          <t>Algorithms</t>
        </is>
      </c>
      <c r="O16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64" ht="15.75" customHeight="1" s="12">
      <c r="A1664" s="1" t="n">
        <v>1177</v>
      </c>
      <c r="B1664" s="3">
        <f>HYPERLINK("https://leetcode.com/problems/can-make-palindrome-from-substring/", "Can Make Palindrome from Substring")</f>
        <v/>
      </c>
      <c r="C1664" s="1" t="n">
        <v>867</v>
      </c>
      <c r="D1664" s="1" t="n">
        <v>281</v>
      </c>
      <c r="E1664" s="4">
        <f>IF(INDEX(C:C, ROW())+INDEX(D:D, ROW())=0, 0, INDEX(C:C, ROW())/(INDEX(C:C, ROW())+INDEX(D:D, ROW())))</f>
        <v/>
      </c>
      <c r="F1664" s="1" t="inlineStr">
        <is>
          <t>Array, Hash Table, String, Bit Manipulation, Prefix Sum</t>
        </is>
      </c>
      <c r="G1664" s="1" t="inlineStr">
        <is>
          <t>Medium</t>
        </is>
      </c>
      <c r="H1664" s="1" t="n">
        <v>35017</v>
      </c>
      <c r="I1664" s="1" t="n">
        <v>85103</v>
      </c>
      <c r="J1664" s="9" t="n">
        <v>0.411</v>
      </c>
      <c r="K1664" s="1" t="inlineStr">
        <is>
          <t>Yes</t>
        </is>
      </c>
      <c r="L1664" s="1" t="inlineStr">
        <is>
          <t>No</t>
        </is>
      </c>
      <c r="M1664" s="1" t="inlineStr">
        <is>
          <t>No</t>
        </is>
      </c>
      <c r="N1664" s="1" t="inlineStr">
        <is>
          <t>Algorithms</t>
        </is>
      </c>
      <c r="O16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65" ht="15.75" customHeight="1" s="12">
      <c r="A1665" s="1" t="n">
        <v>2528</v>
      </c>
      <c r="B1665" s="3">
        <f>HYPERLINK("https://leetcode.com/problems/maximize-the-minimum-powered-city/", "Maximize the Minimum Powered City")</f>
        <v/>
      </c>
      <c r="C1665" s="1" t="n">
        <v>866</v>
      </c>
      <c r="D1665" s="1" t="n">
        <v>32</v>
      </c>
      <c r="E1665" s="4">
        <f>IF(INDEX(C:C, ROW())+INDEX(D:D, ROW())=0, 0, INDEX(C:C, ROW())/(INDEX(C:C, ROW())+INDEX(D:D, ROW())))</f>
        <v/>
      </c>
      <c r="F1665" s="1" t="inlineStr">
        <is>
          <t>Array, Binary Search, Greedy, Queue, Sliding Window, Prefix Sum</t>
        </is>
      </c>
      <c r="G1665" s="1" t="inlineStr">
        <is>
          <t>Hard</t>
        </is>
      </c>
      <c r="H1665" s="1" t="n">
        <v>66526</v>
      </c>
      <c r="I1665" s="1" t="n">
        <v>107503</v>
      </c>
      <c r="J1665" s="9" t="n">
        <v>0.619</v>
      </c>
      <c r="K1665" s="1" t="inlineStr">
        <is>
          <t>Yes</t>
        </is>
      </c>
      <c r="L1665" s="1" t="inlineStr">
        <is>
          <t>Yes</t>
        </is>
      </c>
      <c r="M1665" s="1" t="inlineStr">
        <is>
          <t>No</t>
        </is>
      </c>
      <c r="N1665" s="1" t="inlineStr">
        <is>
          <t>Algorithms</t>
        </is>
      </c>
      <c r="O16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66" ht="15.75" customHeight="1" s="12">
      <c r="A1666" s="1" t="n">
        <v>960</v>
      </c>
      <c r="B1666" s="3">
        <f>HYPERLINK("https://leetcode.com/problems/delete-columns-to-make-sorted-iii/", "Delete Columns to Make Sorted III")</f>
        <v/>
      </c>
      <c r="C1666" s="1" t="n">
        <v>863</v>
      </c>
      <c r="D1666" s="1" t="n">
        <v>31</v>
      </c>
      <c r="E1666" s="4">
        <f>IF(INDEX(C:C, ROW())+INDEX(D:D, ROW())=0, 0, INDEX(C:C, ROW())/(INDEX(C:C, ROW())+INDEX(D:D, ROW())))</f>
        <v/>
      </c>
      <c r="F1666" s="1" t="inlineStr">
        <is>
          <t>Array, String, Dynamic Programming</t>
        </is>
      </c>
      <c r="G1666" s="1" t="inlineStr">
        <is>
          <t>Hard</t>
        </is>
      </c>
      <c r="H1666" s="1" t="n">
        <v>72243</v>
      </c>
      <c r="I1666" s="1" t="n">
        <v>99422</v>
      </c>
      <c r="J1666" s="9" t="n">
        <v>0.727</v>
      </c>
      <c r="K1666" s="1" t="inlineStr">
        <is>
          <t>Yes</t>
        </is>
      </c>
      <c r="L1666" s="1" t="inlineStr">
        <is>
          <t>Yes</t>
        </is>
      </c>
      <c r="M1666" s="1" t="inlineStr">
        <is>
          <t>No</t>
        </is>
      </c>
      <c r="N1666" s="1" t="inlineStr">
        <is>
          <t>Algorithms</t>
        </is>
      </c>
      <c r="O16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67" ht="15.75" customHeight="1" s="12">
      <c r="A1667" s="1" t="n">
        <v>2258</v>
      </c>
      <c r="B1667" s="3">
        <f>HYPERLINK("https://leetcode.com/problems/escape-the-spreading-fire/", "Escape the Spreading Fire")</f>
        <v/>
      </c>
      <c r="C1667" s="1" t="n">
        <v>862</v>
      </c>
      <c r="D1667" s="1" t="n">
        <v>41</v>
      </c>
      <c r="E1667" s="4">
        <f>IF(INDEX(C:C, ROW())+INDEX(D:D, ROW())=0, 0, INDEX(C:C, ROW())/(INDEX(C:C, ROW())+INDEX(D:D, ROW())))</f>
        <v/>
      </c>
      <c r="F1667" s="1" t="inlineStr">
        <is>
          <t>Array, Binary Search, Breadth-First Search, Matrix</t>
        </is>
      </c>
      <c r="G1667" s="1" t="inlineStr">
        <is>
          <t>Hard</t>
        </is>
      </c>
      <c r="H1667" s="1" t="n">
        <v>18816</v>
      </c>
      <c r="I1667" s="1" t="n">
        <v>50555</v>
      </c>
      <c r="J1667" s="9" t="n">
        <v>0.372</v>
      </c>
      <c r="K1667" s="1" t="inlineStr">
        <is>
          <t>Yes</t>
        </is>
      </c>
      <c r="L1667" s="1" t="inlineStr">
        <is>
          <t>No</t>
        </is>
      </c>
      <c r="M1667" s="1" t="inlineStr">
        <is>
          <t>No</t>
        </is>
      </c>
      <c r="N1667" s="1" t="inlineStr">
        <is>
          <t>Algorithms</t>
        </is>
      </c>
      <c r="O16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68" ht="15.75" customHeight="1" s="12">
      <c r="A1668" s="1" t="n">
        <v>1798</v>
      </c>
      <c r="B1668" s="3">
        <f>HYPERLINK("https://leetcode.com/problems/maximum-number-of-consecutive-values-you-can-make/", "Maximum Number of Consecutive Values You Can Make")</f>
        <v/>
      </c>
      <c r="C1668" s="1" t="n">
        <v>861</v>
      </c>
      <c r="D1668" s="1" t="n">
        <v>60</v>
      </c>
      <c r="E1668" s="4">
        <f>IF(INDEX(C:C, ROW())+INDEX(D:D, ROW())=0, 0, INDEX(C:C, ROW())/(INDEX(C:C, ROW())+INDEX(D:D, ROW())))</f>
        <v/>
      </c>
      <c r="F1668" s="1" t="inlineStr">
        <is>
          <t>Array, Greedy, Sorting</t>
        </is>
      </c>
      <c r="G1668" s="1" t="inlineStr">
        <is>
          <t>Medium</t>
        </is>
      </c>
      <c r="H1668" s="1" t="n">
        <v>25254</v>
      </c>
      <c r="I1668" s="1" t="n">
        <v>39925</v>
      </c>
      <c r="J1668" s="9" t="n">
        <v>0.633</v>
      </c>
      <c r="K1668" s="1" t="inlineStr">
        <is>
          <t>Yes</t>
        </is>
      </c>
      <c r="L1668" s="1" t="inlineStr">
        <is>
          <t>No</t>
        </is>
      </c>
      <c r="M1668" s="1" t="inlineStr">
        <is>
          <t>No</t>
        </is>
      </c>
      <c r="N1668" s="1" t="inlineStr">
        <is>
          <t>Algorithms</t>
        </is>
      </c>
      <c r="O16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69" ht="15.75" customHeight="1" s="12">
      <c r="A1669" s="1" t="n">
        <v>1817</v>
      </c>
      <c r="B1669" s="3">
        <f>HYPERLINK("https://leetcode.com/problems/finding-the-users-active-minutes/", "Finding the Users Active Minutes")</f>
        <v/>
      </c>
      <c r="C1669" s="1" t="n">
        <v>861</v>
      </c>
      <c r="D1669" s="1" t="n">
        <v>318</v>
      </c>
      <c r="E1669" s="4">
        <f>IF(INDEX(C:C, ROW())+INDEX(D:D, ROW())=0, 0, INDEX(C:C, ROW())/(INDEX(C:C, ROW())+INDEX(D:D, ROW())))</f>
        <v/>
      </c>
      <c r="F1669" s="1" t="inlineStr">
        <is>
          <t>Array, Hash Table</t>
        </is>
      </c>
      <c r="G1669" s="1" t="inlineStr">
        <is>
          <t>Medium</t>
        </is>
      </c>
      <c r="H1669" s="1" t="n">
        <v>68967</v>
      </c>
      <c r="I1669" s="1" t="n">
        <v>85389</v>
      </c>
      <c r="J1669" s="9" t="n">
        <v>0.8080000000000001</v>
      </c>
      <c r="K1669" s="1" t="inlineStr">
        <is>
          <t>Yes</t>
        </is>
      </c>
      <c r="L1669" s="1" t="inlineStr">
        <is>
          <t>No</t>
        </is>
      </c>
      <c r="M1669" s="1" t="inlineStr">
        <is>
          <t>No</t>
        </is>
      </c>
      <c r="N1669" s="1" t="inlineStr">
        <is>
          <t>Algorithms</t>
        </is>
      </c>
      <c r="O16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70" ht="15.75" customHeight="1" s="12">
      <c r="A1670" s="1" t="n">
        <v>2074</v>
      </c>
      <c r="B1670" s="3">
        <f>HYPERLINK("https://leetcode.com/problems/reverse-nodes-in-even-length-groups/", "Reverse Nodes in Even Length Groups")</f>
        <v/>
      </c>
      <c r="C1670" s="1" t="n">
        <v>860</v>
      </c>
      <c r="D1670" s="1" t="n">
        <v>374</v>
      </c>
      <c r="E1670" s="4">
        <f>IF(INDEX(C:C, ROW())+INDEX(D:D, ROW())=0, 0, INDEX(C:C, ROW())/(INDEX(C:C, ROW())+INDEX(D:D, ROW())))</f>
        <v/>
      </c>
      <c r="F1670" s="1" t="inlineStr">
        <is>
          <t>Linked List</t>
        </is>
      </c>
      <c r="G1670" s="1" t="inlineStr">
        <is>
          <t>Medium</t>
        </is>
      </c>
      <c r="H1670" s="1" t="n">
        <v>42943</v>
      </c>
      <c r="I1670" s="1" t="n">
        <v>68018</v>
      </c>
      <c r="J1670" s="9" t="n">
        <v>0.631</v>
      </c>
      <c r="K1670" s="1" t="inlineStr">
        <is>
          <t>Yes</t>
        </is>
      </c>
      <c r="L1670" s="1" t="inlineStr">
        <is>
          <t>No</t>
        </is>
      </c>
      <c r="M1670" s="1" t="inlineStr">
        <is>
          <t>No</t>
        </is>
      </c>
      <c r="N1670" s="1" t="inlineStr">
        <is>
          <t>Algorithms</t>
        </is>
      </c>
      <c r="O16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71" ht="15.75" customHeight="1" s="12">
      <c r="A1671" s="1" t="n">
        <v>1120</v>
      </c>
      <c r="B1671" s="3">
        <f>HYPERLINK("https://leetcode.com/problems/maximum-average-subtree/", "Maximum Average Subtree")</f>
        <v/>
      </c>
      <c r="C1671" s="1" t="n">
        <v>858</v>
      </c>
      <c r="D1671" s="1" t="n">
        <v>36</v>
      </c>
      <c r="E1671" s="4">
        <f>IF(INDEX(C:C, ROW())+INDEX(D:D, ROW())=0, 0, INDEX(C:C, ROW())/(INDEX(C:C, ROW())+INDEX(D:D, ROW())))</f>
        <v/>
      </c>
      <c r="F1671" s="1" t="inlineStr">
        <is>
          <t>Tree, Depth-First Search, Binary Tree</t>
        </is>
      </c>
      <c r="G1671" s="1" t="inlineStr">
        <is>
          <t>Medium</t>
        </is>
      </c>
      <c r="H1671" s="1" t="n">
        <v>73559</v>
      </c>
      <c r="I1671" s="1" t="n">
        <v>109978</v>
      </c>
      <c r="J1671" s="9" t="n">
        <v>0.669</v>
      </c>
      <c r="K1671" s="1" t="inlineStr">
        <is>
          <t>No</t>
        </is>
      </c>
      <c r="L1671" s="1" t="inlineStr">
        <is>
          <t>Yes</t>
        </is>
      </c>
      <c r="M1671" s="1" t="inlineStr">
        <is>
          <t>No</t>
        </is>
      </c>
      <c r="N1671" s="1" t="inlineStr">
        <is>
          <t>Algorithms</t>
        </is>
      </c>
      <c r="O16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72" ht="15.75" customHeight="1" s="12">
      <c r="A1672" s="1" t="n">
        <v>2498</v>
      </c>
      <c r="B1672" s="3">
        <f>HYPERLINK("https://leetcode.com/problems/frog-jump-ii/", "Frog Jump II")</f>
        <v/>
      </c>
      <c r="C1672" s="1" t="n">
        <v>856</v>
      </c>
      <c r="D1672" s="1" t="n">
        <v>126</v>
      </c>
      <c r="E1672" s="4">
        <f>IF(INDEX(C:C, ROW())+INDEX(D:D, ROW())=0, 0, INDEX(C:C, ROW())/(INDEX(C:C, ROW())+INDEX(D:D, ROW())))</f>
        <v/>
      </c>
      <c r="F1672" s="1" t="inlineStr">
        <is>
          <t>Array, Binary Search, Greedy</t>
        </is>
      </c>
      <c r="G1672" s="1" t="inlineStr">
        <is>
          <t>Medium</t>
        </is>
      </c>
      <c r="H1672" s="1" t="n">
        <v>36326</v>
      </c>
      <c r="I1672" s="1" t="n">
        <v>58240</v>
      </c>
      <c r="J1672" s="9" t="n">
        <v>0.624</v>
      </c>
      <c r="K1672" s="1" t="inlineStr">
        <is>
          <t>Yes</t>
        </is>
      </c>
      <c r="L1672" s="1" t="inlineStr">
        <is>
          <t>No</t>
        </is>
      </c>
      <c r="M1672" s="1" t="inlineStr">
        <is>
          <t>No</t>
        </is>
      </c>
      <c r="N1672" s="1" t="inlineStr">
        <is>
          <t>Algorithms</t>
        </is>
      </c>
      <c r="O16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73" ht="15.75" customHeight="1" s="12">
      <c r="A1673" s="1" t="n">
        <v>927</v>
      </c>
      <c r="B1673" s="3">
        <f>HYPERLINK("https://leetcode.com/problems/three-equal-parts/", "Three Equal Parts")</f>
        <v/>
      </c>
      <c r="C1673" s="1" t="n">
        <v>855</v>
      </c>
      <c r="D1673" s="1" t="n">
        <v>125</v>
      </c>
      <c r="E1673" s="4">
        <f>IF(INDEX(C:C, ROW())+INDEX(D:D, ROW())=0, 0, INDEX(C:C, ROW())/(INDEX(C:C, ROW())+INDEX(D:D, ROW())))</f>
        <v/>
      </c>
      <c r="F1673" s="1" t="inlineStr">
        <is>
          <t>Array, Math</t>
        </is>
      </c>
      <c r="G1673" s="1" t="inlineStr">
        <is>
          <t>Hard</t>
        </is>
      </c>
      <c r="H1673" s="1" t="n">
        <v>34431</v>
      </c>
      <c r="I1673" s="1" t="n">
        <v>83737</v>
      </c>
      <c r="J1673" s="9" t="n">
        <v>0.411</v>
      </c>
      <c r="K1673" s="1" t="inlineStr">
        <is>
          <t>Yes</t>
        </is>
      </c>
      <c r="L1673" s="1" t="inlineStr">
        <is>
          <t>Yes</t>
        </is>
      </c>
      <c r="M1673" s="1" t="inlineStr">
        <is>
          <t>No</t>
        </is>
      </c>
      <c r="N1673" s="1" t="inlineStr">
        <is>
          <t>Algorithms</t>
        </is>
      </c>
      <c r="O16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74" ht="15.75" customHeight="1" s="12">
      <c r="A1674" s="1" t="n">
        <v>1317</v>
      </c>
      <c r="B1674" s="3">
        <f>HYPERLINK("https://leetcode.com/problems/convert-integer-to-the-sum-of-two-no-zero-integers/", "Convert Integer to the Sum of Two No-Zero Integers")</f>
        <v/>
      </c>
      <c r="C1674" s="1" t="n">
        <v>855</v>
      </c>
      <c r="D1674" s="1" t="n">
        <v>369</v>
      </c>
      <c r="E1674" s="4">
        <f>IF(INDEX(C:C, ROW())+INDEX(D:D, ROW())=0, 0, INDEX(C:C, ROW())/(INDEX(C:C, ROW())+INDEX(D:D, ROW())))</f>
        <v/>
      </c>
      <c r="F1674" s="1" t="inlineStr">
        <is>
          <t>Math</t>
        </is>
      </c>
      <c r="G1674" s="1" t="inlineStr">
        <is>
          <t>Easy</t>
        </is>
      </c>
      <c r="H1674" s="1" t="n">
        <v>203436</v>
      </c>
      <c r="I1674" s="1" t="n">
        <v>343659</v>
      </c>
      <c r="J1674" s="9" t="n">
        <v>0.592</v>
      </c>
      <c r="K1674" s="1" t="inlineStr">
        <is>
          <t>Yes</t>
        </is>
      </c>
      <c r="L1674" s="1" t="inlineStr">
        <is>
          <t>Yes</t>
        </is>
      </c>
      <c r="M1674" s="1" t="inlineStr">
        <is>
          <t>No</t>
        </is>
      </c>
      <c r="N1674" s="1" t="inlineStr">
        <is>
          <t>Algorithms</t>
        </is>
      </c>
      <c r="O16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75" ht="15.75" customHeight="1" s="12">
      <c r="A1675" s="1" t="n">
        <v>2709</v>
      </c>
      <c r="B1675" s="3">
        <f>HYPERLINK("https://leetcode.com/problems/greatest-common-divisor-traversal/", "Greatest Common Divisor Traversal")</f>
        <v/>
      </c>
      <c r="C1675" s="1" t="n">
        <v>855</v>
      </c>
      <c r="D1675" s="1" t="n">
        <v>142</v>
      </c>
      <c r="E1675" s="4">
        <f>IF(INDEX(C:C, ROW())+INDEX(D:D, ROW())=0, 0, INDEX(C:C, ROW())/(INDEX(C:C, ROW())+INDEX(D:D, ROW())))</f>
        <v/>
      </c>
      <c r="F1675" s="1" t="inlineStr">
        <is>
          <t>Array, Math, Union-Find, Number Theory</t>
        </is>
      </c>
      <c r="G1675" s="1" t="inlineStr">
        <is>
          <t>Hard</t>
        </is>
      </c>
      <c r="H1675" s="1" t="n">
        <v>75769</v>
      </c>
      <c r="I1675" s="1" t="n">
        <v>181410</v>
      </c>
      <c r="J1675" s="9" t="n">
        <v>0.418</v>
      </c>
      <c r="K1675" s="1" t="inlineStr">
        <is>
          <t>Yes</t>
        </is>
      </c>
      <c r="L1675" s="1" t="inlineStr">
        <is>
          <t>Yes</t>
        </is>
      </c>
      <c r="M1675" s="1" t="inlineStr">
        <is>
          <t>No</t>
        </is>
      </c>
      <c r="N1675" s="1" t="inlineStr">
        <is>
          <t>Algorithms</t>
        </is>
      </c>
      <c r="O16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76" ht="15.75" customHeight="1" s="12">
      <c r="A1676" s="1" t="n">
        <v>737</v>
      </c>
      <c r="B1676" s="3">
        <f>HYPERLINK("https://leetcode.com/problems/sentence-similarity-ii/", "Sentence Similarity II")</f>
        <v/>
      </c>
      <c r="C1676" s="1" t="n">
        <v>854</v>
      </c>
      <c r="D1676" s="1" t="n">
        <v>43</v>
      </c>
      <c r="E1676" s="4">
        <f>IF(INDEX(C:C, ROW())+INDEX(D:D, ROW())=0, 0, INDEX(C:C, ROW())/(INDEX(C:C, ROW())+INDEX(D:D, ROW())))</f>
        <v/>
      </c>
      <c r="F1676" s="1" t="inlineStr">
        <is>
          <t>Array, Hash Table, String, Depth-First Search, Breadth-First Search, Union-Find</t>
        </is>
      </c>
      <c r="G1676" s="1" t="inlineStr">
        <is>
          <t>Medium</t>
        </is>
      </c>
      <c r="H1676" s="1" t="n">
        <v>78033</v>
      </c>
      <c r="I1676" s="1" t="n">
        <v>152851</v>
      </c>
      <c r="J1676" s="9" t="n">
        <v>0.511</v>
      </c>
      <c r="K1676" s="1" t="inlineStr">
        <is>
          <t>No</t>
        </is>
      </c>
      <c r="L1676" s="1" t="inlineStr">
        <is>
          <t>Yes</t>
        </is>
      </c>
      <c r="M1676" s="1" t="inlineStr">
        <is>
          <t>No</t>
        </is>
      </c>
      <c r="N1676" s="1" t="inlineStr">
        <is>
          <t>Algorithms</t>
        </is>
      </c>
      <c r="O16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77" ht="15.75" customHeight="1" s="12">
      <c r="A1677" s="1" t="n">
        <v>2602</v>
      </c>
      <c r="B1677" s="3">
        <f>HYPERLINK("https://leetcode.com/problems/minimum-operations-to-make-all-array-elements-equal/", "Minimum Operations to Make All Array Elements Equal")</f>
        <v/>
      </c>
      <c r="C1677" s="1" t="n">
        <v>853</v>
      </c>
      <c r="D1677" s="1" t="n">
        <v>29</v>
      </c>
      <c r="E1677" s="4">
        <f>IF(INDEX(C:C, ROW())+INDEX(D:D, ROW())=0, 0, INDEX(C:C, ROW())/(INDEX(C:C, ROW())+INDEX(D:D, ROW())))</f>
        <v/>
      </c>
      <c r="F1677" s="1" t="inlineStr">
        <is>
          <t>Array, Binary Search, Sorting, Prefix Sum</t>
        </is>
      </c>
      <c r="G1677" s="1" t="inlineStr">
        <is>
          <t>Medium</t>
        </is>
      </c>
      <c r="H1677" s="1" t="n">
        <v>28214</v>
      </c>
      <c r="I1677" s="1" t="n">
        <v>74741</v>
      </c>
      <c r="J1677" s="9" t="n">
        <v>0.377</v>
      </c>
      <c r="K1677" s="1" t="inlineStr">
        <is>
          <t>Yes</t>
        </is>
      </c>
      <c r="L1677" s="1" t="inlineStr">
        <is>
          <t>No</t>
        </is>
      </c>
      <c r="M1677" s="1" t="inlineStr">
        <is>
          <t>No</t>
        </is>
      </c>
      <c r="N1677" s="1" t="inlineStr">
        <is>
          <t>Algorithms</t>
        </is>
      </c>
      <c r="O16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78" ht="15.75" customHeight="1" s="12">
      <c r="A1678" s="1" t="n">
        <v>1527</v>
      </c>
      <c r="B1678" s="3">
        <f>HYPERLINK("https://leetcode.com/problems/patients-with-a-condition/", "Patients With a Condition")</f>
        <v/>
      </c>
      <c r="C1678" s="1" t="n">
        <v>851</v>
      </c>
      <c r="D1678" s="1" t="n">
        <v>643</v>
      </c>
      <c r="E1678" s="4">
        <f>IF(INDEX(C:C, ROW())+INDEX(D:D, ROW())=0, 0, INDEX(C:C, ROW())/(INDEX(C:C, ROW())+INDEX(D:D, ROW())))</f>
        <v/>
      </c>
      <c r="F1678" s="1" t="inlineStr">
        <is>
          <t>Database</t>
        </is>
      </c>
      <c r="G1678" s="1" t="inlineStr">
        <is>
          <t>Easy</t>
        </is>
      </c>
      <c r="H1678" s="1" t="n">
        <v>416286</v>
      </c>
      <c r="I1678" s="1" t="n">
        <v>1073078</v>
      </c>
      <c r="J1678" s="9" t="n">
        <v>0.388</v>
      </c>
      <c r="K1678" s="1" t="inlineStr">
        <is>
          <t>Yes</t>
        </is>
      </c>
      <c r="L1678" s="1" t="inlineStr">
        <is>
          <t>Yes</t>
        </is>
      </c>
      <c r="M1678" s="1" t="inlineStr">
        <is>
          <t>No</t>
        </is>
      </c>
      <c r="N1678" s="1" t="inlineStr">
        <is>
          <t>Database</t>
        </is>
      </c>
      <c r="O16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79" ht="15.75" customHeight="1" s="12">
      <c r="A1679" s="1" t="n">
        <v>1731</v>
      </c>
      <c r="B1679" s="3">
        <f>HYPERLINK("https://leetcode.com/problems/the-number-of-employees-which-report-to-each-employee/", "The Number of Employees Which Report to Each Employee")</f>
        <v/>
      </c>
      <c r="C1679" s="1" t="n">
        <v>849</v>
      </c>
      <c r="D1679" s="1" t="n">
        <v>101</v>
      </c>
      <c r="E1679" s="4">
        <f>IF(INDEX(C:C, ROW())+INDEX(D:D, ROW())=0, 0, INDEX(C:C, ROW())/(INDEX(C:C, ROW())+INDEX(D:D, ROW())))</f>
        <v/>
      </c>
      <c r="F1679" s="1" t="inlineStr">
        <is>
          <t>Database</t>
        </is>
      </c>
      <c r="G1679" s="1" t="inlineStr">
        <is>
          <t>Easy</t>
        </is>
      </c>
      <c r="H1679" s="1" t="n">
        <v>351395</v>
      </c>
      <c r="I1679" s="1" t="n">
        <v>664134</v>
      </c>
      <c r="J1679" s="9" t="n">
        <v>0.529</v>
      </c>
      <c r="K1679" s="1" t="inlineStr">
        <is>
          <t>Yes</t>
        </is>
      </c>
      <c r="L1679" s="1" t="inlineStr">
        <is>
          <t>Yes</t>
        </is>
      </c>
      <c r="M1679" s="1" t="inlineStr">
        <is>
          <t>No</t>
        </is>
      </c>
      <c r="N1679" s="1" t="inlineStr">
        <is>
          <t>Database</t>
        </is>
      </c>
      <c r="O16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80" ht="15.75" customHeight="1" s="12">
      <c r="A1680" s="1" t="n">
        <v>551</v>
      </c>
      <c r="B1680" s="3">
        <f>HYPERLINK("https://leetcode.com/problems/student-attendance-record-i/", "Student Attendance Record I")</f>
        <v/>
      </c>
      <c r="C1680" s="1" t="n">
        <v>847</v>
      </c>
      <c r="D1680" s="1" t="n">
        <v>57</v>
      </c>
      <c r="E1680" s="4">
        <f>IF(INDEX(C:C, ROW())+INDEX(D:D, ROW())=0, 0, INDEX(C:C, ROW())/(INDEX(C:C, ROW())+INDEX(D:D, ROW())))</f>
        <v/>
      </c>
      <c r="F1680" s="1" t="inlineStr">
        <is>
          <t>String</t>
        </is>
      </c>
      <c r="G1680" s="1" t="inlineStr">
        <is>
          <t>Easy</t>
        </is>
      </c>
      <c r="H1680" s="1" t="n">
        <v>278757</v>
      </c>
      <c r="I1680" s="1" t="n">
        <v>558166</v>
      </c>
      <c r="J1680" s="9" t="n">
        <v>0.499</v>
      </c>
      <c r="K1680" s="1" t="inlineStr">
        <is>
          <t>Yes</t>
        </is>
      </c>
      <c r="L1680" s="1" t="inlineStr">
        <is>
          <t>Yes</t>
        </is>
      </c>
      <c r="M1680" s="1" t="inlineStr">
        <is>
          <t>No</t>
        </is>
      </c>
      <c r="N1680" s="1" t="inlineStr">
        <is>
          <t>Algorithms</t>
        </is>
      </c>
      <c r="O16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81" ht="15.75" customHeight="1" s="12">
      <c r="A1681" s="1" t="n">
        <v>1839</v>
      </c>
      <c r="B1681" s="3">
        <f>HYPERLINK("https://leetcode.com/problems/longest-substring-of-all-vowels-in-order/", "Longest Substring Of All Vowels in Order")</f>
        <v/>
      </c>
      <c r="C1681" s="1" t="n">
        <v>846</v>
      </c>
      <c r="D1681" s="1" t="n">
        <v>31</v>
      </c>
      <c r="E1681" s="4">
        <f>IF(INDEX(C:C, ROW())+INDEX(D:D, ROW())=0, 0, INDEX(C:C, ROW())/(INDEX(C:C, ROW())+INDEX(D:D, ROW())))</f>
        <v/>
      </c>
      <c r="F1681" s="1" t="inlineStr">
        <is>
          <t>String, Sliding Window</t>
        </is>
      </c>
      <c r="G1681" s="1" t="inlineStr">
        <is>
          <t>Medium</t>
        </is>
      </c>
      <c r="H1681" s="1" t="n">
        <v>44607</v>
      </c>
      <c r="I1681" s="1" t="n">
        <v>86867</v>
      </c>
      <c r="J1681" s="9" t="n">
        <v>0.514</v>
      </c>
      <c r="K1681" s="1" t="inlineStr">
        <is>
          <t>Yes</t>
        </is>
      </c>
      <c r="L1681" s="1" t="inlineStr">
        <is>
          <t>No</t>
        </is>
      </c>
      <c r="M1681" s="1" t="inlineStr">
        <is>
          <t>No</t>
        </is>
      </c>
      <c r="N1681" s="1" t="inlineStr">
        <is>
          <t>Algorithms</t>
        </is>
      </c>
      <c r="O16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82" ht="15.75" customHeight="1" s="12">
      <c r="A1682" s="1" t="n">
        <v>966</v>
      </c>
      <c r="B1682" s="3">
        <f>HYPERLINK("https://leetcode.com/problems/vowel-spellchecker/", "Vowel Spellchecker")</f>
        <v/>
      </c>
      <c r="C1682" s="1" t="n">
        <v>844</v>
      </c>
      <c r="D1682" s="1" t="n">
        <v>1003</v>
      </c>
      <c r="E1682" s="4">
        <f>IF(INDEX(C:C, ROW())+INDEX(D:D, ROW())=0, 0, INDEX(C:C, ROW())/(INDEX(C:C, ROW())+INDEX(D:D, ROW())))</f>
        <v/>
      </c>
      <c r="F1682" s="1" t="inlineStr">
        <is>
          <t>Array, Hash Table, String</t>
        </is>
      </c>
      <c r="G1682" s="1" t="inlineStr">
        <is>
          <t>Medium</t>
        </is>
      </c>
      <c r="H1682" s="1" t="n">
        <v>138289</v>
      </c>
      <c r="I1682" s="1" t="n">
        <v>225135</v>
      </c>
      <c r="J1682" s="9" t="n">
        <v>0.614</v>
      </c>
      <c r="K1682" s="1" t="inlineStr">
        <is>
          <t>Yes</t>
        </is>
      </c>
      <c r="L1682" s="1" t="inlineStr">
        <is>
          <t>Yes</t>
        </is>
      </c>
      <c r="M1682" s="1" t="inlineStr">
        <is>
          <t>No</t>
        </is>
      </c>
      <c r="N1682" s="1" t="inlineStr">
        <is>
          <t>Algorithms</t>
        </is>
      </c>
      <c r="O16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83" ht="15.75" customHeight="1" s="12">
      <c r="A1683" s="1" t="n">
        <v>1012</v>
      </c>
      <c r="B1683" s="3">
        <f>HYPERLINK("https://leetcode.com/problems/numbers-with-repeated-digits/", "Numbers With Repeated Digits")</f>
        <v/>
      </c>
      <c r="C1683" s="1" t="n">
        <v>844</v>
      </c>
      <c r="D1683" s="1" t="n">
        <v>90</v>
      </c>
      <c r="E1683" s="4">
        <f>IF(INDEX(C:C, ROW())+INDEX(D:D, ROW())=0, 0, INDEX(C:C, ROW())/(INDEX(C:C, ROW())+INDEX(D:D, ROW())))</f>
        <v/>
      </c>
      <c r="F1683" s="1" t="inlineStr">
        <is>
          <t>Math, Dynamic Programming</t>
        </is>
      </c>
      <c r="G1683" s="1" t="inlineStr">
        <is>
          <t>Hard</t>
        </is>
      </c>
      <c r="H1683" s="1" t="n">
        <v>23788</v>
      </c>
      <c r="I1683" s="1" t="n">
        <v>52247</v>
      </c>
      <c r="J1683" s="9" t="n">
        <v>0.455</v>
      </c>
      <c r="K1683" s="1" t="inlineStr">
        <is>
          <t>Yes</t>
        </is>
      </c>
      <c r="L1683" s="1" t="inlineStr">
        <is>
          <t>No</t>
        </is>
      </c>
      <c r="M1683" s="1" t="inlineStr">
        <is>
          <t>No</t>
        </is>
      </c>
      <c r="N1683" s="1" t="inlineStr">
        <is>
          <t>Algorithms</t>
        </is>
      </c>
      <c r="O16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84" ht="15.75" customHeight="1" s="12">
      <c r="A1684" s="1" t="n">
        <v>2338</v>
      </c>
      <c r="B1684" s="3">
        <f>HYPERLINK("https://leetcode.com/problems/count-the-number-of-ideal-arrays/", "Count the Number of Ideal Arrays")</f>
        <v/>
      </c>
      <c r="C1684" s="1" t="n">
        <v>842</v>
      </c>
      <c r="D1684" s="1" t="n">
        <v>133</v>
      </c>
      <c r="E1684" s="4">
        <f>IF(INDEX(C:C, ROW())+INDEX(D:D, ROW())=0, 0, INDEX(C:C, ROW())/(INDEX(C:C, ROW())+INDEX(D:D, ROW())))</f>
        <v/>
      </c>
      <c r="F1684" s="1" t="inlineStr">
        <is>
          <t>Math, Dynamic Programming, Combinatorics, Number Theory</t>
        </is>
      </c>
      <c r="G1684" s="1" t="inlineStr">
        <is>
          <t>Hard</t>
        </is>
      </c>
      <c r="H1684" s="1" t="n">
        <v>69239</v>
      </c>
      <c r="I1684" s="1" t="n">
        <v>121573</v>
      </c>
      <c r="J1684" s="9" t="n">
        <v>0.57</v>
      </c>
      <c r="K1684" s="1" t="inlineStr">
        <is>
          <t>Yes</t>
        </is>
      </c>
      <c r="L1684" s="1" t="inlineStr">
        <is>
          <t>Yes</t>
        </is>
      </c>
      <c r="M1684" s="1" t="inlineStr">
        <is>
          <t>No</t>
        </is>
      </c>
      <c r="N1684" s="1" t="inlineStr">
        <is>
          <t>Algorithms</t>
        </is>
      </c>
      <c r="O16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85" ht="15.75" customHeight="1" s="12">
      <c r="A1685" s="1" t="n">
        <v>2558</v>
      </c>
      <c r="B1685" s="3">
        <f>HYPERLINK("https://leetcode.com/problems/take-gifts-from-the-richest-pile/", "Take Gifts From the Richest Pile")</f>
        <v/>
      </c>
      <c r="C1685" s="1" t="n">
        <v>842</v>
      </c>
      <c r="D1685" s="1" t="n">
        <v>81</v>
      </c>
      <c r="E1685" s="4">
        <f>IF(INDEX(C:C, ROW())+INDEX(D:D, ROW())=0, 0, INDEX(C:C, ROW())/(INDEX(C:C, ROW())+INDEX(D:D, ROW())))</f>
        <v/>
      </c>
      <c r="F1685" s="1" t="inlineStr">
        <is>
          <t>Array, Heap (Priority Queue), Simulation</t>
        </is>
      </c>
      <c r="G1685" s="1" t="inlineStr">
        <is>
          <t>Easy</t>
        </is>
      </c>
      <c r="H1685" s="1" t="n">
        <v>194364</v>
      </c>
      <c r="I1685" s="1" t="n">
        <v>257392</v>
      </c>
      <c r="J1685" s="9" t="n">
        <v>0.755</v>
      </c>
      <c r="K1685" s="1" t="inlineStr">
        <is>
          <t>Yes</t>
        </is>
      </c>
      <c r="L1685" s="1" t="inlineStr">
        <is>
          <t>Yes</t>
        </is>
      </c>
      <c r="M1685" s="1" t="inlineStr">
        <is>
          <t>No</t>
        </is>
      </c>
      <c r="N1685" s="1" t="inlineStr">
        <is>
          <t>Algorithms</t>
        </is>
      </c>
      <c r="O16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86" ht="15.75" customHeight="1" s="12">
      <c r="A1686" s="1" t="n">
        <v>2579</v>
      </c>
      <c r="B1686" s="3">
        <f>HYPERLINK("https://leetcode.com/problems/count-total-number-of-colored-cells/", "Count Total Number of Colored Cells")</f>
        <v/>
      </c>
      <c r="C1686" s="1" t="n">
        <v>842</v>
      </c>
      <c r="D1686" s="1" t="n">
        <v>95</v>
      </c>
      <c r="E1686" s="4">
        <f>IF(INDEX(C:C, ROW())+INDEX(D:D, ROW())=0, 0, INDEX(C:C, ROW())/(INDEX(C:C, ROW())+INDEX(D:D, ROW())))</f>
        <v/>
      </c>
      <c r="F1686" s="1" t="inlineStr">
        <is>
          <t>Math</t>
        </is>
      </c>
      <c r="G1686" s="1" t="inlineStr">
        <is>
          <t>Medium</t>
        </is>
      </c>
      <c r="H1686" s="1" t="n">
        <v>202783</v>
      </c>
      <c r="I1686" s="1" t="n">
        <v>306594</v>
      </c>
      <c r="J1686" s="9" t="n">
        <v>0.661</v>
      </c>
      <c r="K1686" s="1" t="inlineStr">
        <is>
          <t>Yes</t>
        </is>
      </c>
      <c r="L1686" s="1" t="inlineStr">
        <is>
          <t>Yes</t>
        </is>
      </c>
      <c r="M1686" s="1" t="inlineStr">
        <is>
          <t>No</t>
        </is>
      </c>
      <c r="N1686" s="1" t="inlineStr">
        <is>
          <t>Algorithms</t>
        </is>
      </c>
      <c r="O16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87" ht="15.75" customHeight="1" s="12">
      <c r="A1687" s="1" t="n">
        <v>3355</v>
      </c>
      <c r="B1687" s="3">
        <f>HYPERLINK("https://leetcode.com/problems/zero-array-transformation-i/", "Zero Array Transformation I")</f>
        <v/>
      </c>
      <c r="C1687" s="1" t="n">
        <v>842</v>
      </c>
      <c r="D1687" s="1" t="n">
        <v>90</v>
      </c>
      <c r="E1687" s="4">
        <f>IF(INDEX(C:C, ROW())+INDEX(D:D, ROW())=0, 0, INDEX(C:C, ROW())/(INDEX(C:C, ROW())+INDEX(D:D, ROW())))</f>
        <v/>
      </c>
      <c r="F1687" s="1" t="inlineStr">
        <is>
          <t>Array, Prefix Sum</t>
        </is>
      </c>
      <c r="G1687" s="1" t="inlineStr">
        <is>
          <t>Medium</t>
        </is>
      </c>
      <c r="H1687" s="1" t="n">
        <v>153320</v>
      </c>
      <c r="I1687" s="1" t="n">
        <v>281854</v>
      </c>
      <c r="J1687" s="9" t="n">
        <v>0.544</v>
      </c>
      <c r="K1687" s="1" t="inlineStr">
        <is>
          <t>Yes</t>
        </is>
      </c>
      <c r="L1687" s="1" t="inlineStr">
        <is>
          <t>Yes</t>
        </is>
      </c>
      <c r="M1687" s="1" t="inlineStr">
        <is>
          <t>No</t>
        </is>
      </c>
      <c r="N1687" s="1" t="inlineStr">
        <is>
          <t>Algorithms</t>
        </is>
      </c>
      <c r="O16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88" ht="15.75" customHeight="1" s="12">
      <c r="A1688" s="1" t="n">
        <v>1216</v>
      </c>
      <c r="B1688" s="3">
        <f>HYPERLINK("https://leetcode.com/problems/valid-palindrome-iii/", "Valid Palindrome III")</f>
        <v/>
      </c>
      <c r="C1688" s="1" t="n">
        <v>841</v>
      </c>
      <c r="D1688" s="1" t="n">
        <v>15</v>
      </c>
      <c r="E1688" s="4">
        <f>IF(INDEX(C:C, ROW())+INDEX(D:D, ROW())=0, 0, INDEX(C:C, ROW())/(INDEX(C:C, ROW())+INDEX(D:D, ROW())))</f>
        <v/>
      </c>
      <c r="F1688" s="1" t="inlineStr">
        <is>
          <t>String, Dynamic Programming</t>
        </is>
      </c>
      <c r="G1688" s="1" t="inlineStr">
        <is>
          <t>Hard</t>
        </is>
      </c>
      <c r="H1688" s="1" t="n">
        <v>107856</v>
      </c>
      <c r="I1688" s="1" t="n">
        <v>219550</v>
      </c>
      <c r="J1688" s="9" t="n">
        <v>0.491</v>
      </c>
      <c r="K1688" s="1" t="inlineStr">
        <is>
          <t>No</t>
        </is>
      </c>
      <c r="L1688" s="1" t="inlineStr">
        <is>
          <t>Yes</t>
        </is>
      </c>
      <c r="M1688" s="1" t="inlineStr">
        <is>
          <t>No</t>
        </is>
      </c>
      <c r="N1688" s="1" t="inlineStr">
        <is>
          <t>Algorithms</t>
        </is>
      </c>
      <c r="O16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89" ht="15.75" customHeight="1" s="12">
      <c r="A1689" s="1" t="n">
        <v>1370</v>
      </c>
      <c r="B1689" s="3">
        <f>HYPERLINK("https://leetcode.com/problems/increasing-decreasing-string/", "Increasing Decreasing String")</f>
        <v/>
      </c>
      <c r="C1689" s="1" t="n">
        <v>839</v>
      </c>
      <c r="D1689" s="1" t="n">
        <v>878</v>
      </c>
      <c r="E1689" s="4">
        <f>IF(INDEX(C:C, ROW())+INDEX(D:D, ROW())=0, 0, INDEX(C:C, ROW())/(INDEX(C:C, ROW())+INDEX(D:D, ROW())))</f>
        <v/>
      </c>
      <c r="F1689" s="1" t="inlineStr">
        <is>
          <t>Hash Table, String, Counting</t>
        </is>
      </c>
      <c r="G1689" s="1" t="inlineStr">
        <is>
          <t>Easy</t>
        </is>
      </c>
      <c r="H1689" s="1" t="n">
        <v>96669</v>
      </c>
      <c r="I1689" s="1" t="n">
        <v>125303</v>
      </c>
      <c r="J1689" s="9" t="n">
        <v>0.771</v>
      </c>
      <c r="K1689" s="1" t="inlineStr">
        <is>
          <t>Yes</t>
        </is>
      </c>
      <c r="L1689" s="1" t="inlineStr">
        <is>
          <t>No</t>
        </is>
      </c>
      <c r="M1689" s="1" t="inlineStr">
        <is>
          <t>No</t>
        </is>
      </c>
      <c r="N1689" s="1" t="inlineStr">
        <is>
          <t>Algorithms</t>
        </is>
      </c>
      <c r="O16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90" ht="15.75" customHeight="1" s="12">
      <c r="A1690" s="1" t="n">
        <v>2787</v>
      </c>
      <c r="B1690" s="3">
        <f>HYPERLINK("https://leetcode.com/problems/ways-to-express-an-integer-as-sum-of-powers/", "Ways to Express an Integer as Sum of Powers")</f>
        <v/>
      </c>
      <c r="C1690" s="1" t="n">
        <v>839</v>
      </c>
      <c r="D1690" s="1" t="n">
        <v>41</v>
      </c>
      <c r="E1690" s="4">
        <f>IF(INDEX(C:C, ROW())+INDEX(D:D, ROW())=0, 0, INDEX(C:C, ROW())/(INDEX(C:C, ROW())+INDEX(D:D, ROW())))</f>
        <v/>
      </c>
      <c r="F1690" s="1" t="inlineStr">
        <is>
          <t>Dynamic Programming</t>
        </is>
      </c>
      <c r="G1690" s="1" t="inlineStr">
        <is>
          <t>Medium</t>
        </is>
      </c>
      <c r="H1690" s="1" t="n">
        <v>117520</v>
      </c>
      <c r="I1690" s="1" t="n">
        <v>235498</v>
      </c>
      <c r="J1690" s="9" t="n">
        <v>0.499</v>
      </c>
      <c r="K1690" s="1" t="inlineStr">
        <is>
          <t>Yes</t>
        </is>
      </c>
      <c r="L1690" s="1" t="inlineStr">
        <is>
          <t>Yes</t>
        </is>
      </c>
      <c r="M1690" s="1" t="inlineStr">
        <is>
          <t>No</t>
        </is>
      </c>
      <c r="N1690" s="1" t="inlineStr">
        <is>
          <t>Algorithms</t>
        </is>
      </c>
      <c r="O16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91" ht="15.75" customHeight="1" s="12">
      <c r="A1691" s="1" t="n">
        <v>2849</v>
      </c>
      <c r="B1691" s="3">
        <f>HYPERLINK("https://leetcode.com/problems/determine-if-a-cell-is-reachable-at-a-given-time/", "Determine if a Cell Is Reachable at a Given Time")</f>
        <v/>
      </c>
      <c r="C1691" s="1" t="n">
        <v>839</v>
      </c>
      <c r="D1691" s="1" t="n">
        <v>769</v>
      </c>
      <c r="E1691" s="4">
        <f>IF(INDEX(C:C, ROW())+INDEX(D:D, ROW())=0, 0, INDEX(C:C, ROW())/(INDEX(C:C, ROW())+INDEX(D:D, ROW())))</f>
        <v/>
      </c>
      <c r="F1691" s="1" t="inlineStr">
        <is>
          <t>Math</t>
        </is>
      </c>
      <c r="G1691" s="1" t="inlineStr">
        <is>
          <t>Medium</t>
        </is>
      </c>
      <c r="H1691" s="1" t="n">
        <v>109709</v>
      </c>
      <c r="I1691" s="1" t="n">
        <v>295292</v>
      </c>
      <c r="J1691" s="9" t="n">
        <v>0.372</v>
      </c>
      <c r="K1691" s="1" t="inlineStr">
        <is>
          <t>Yes</t>
        </is>
      </c>
      <c r="L1691" s="1" t="inlineStr">
        <is>
          <t>Yes</t>
        </is>
      </c>
      <c r="M1691" s="1" t="inlineStr">
        <is>
          <t>No</t>
        </is>
      </c>
      <c r="N1691" s="1" t="inlineStr">
        <is>
          <t>Algorithms</t>
        </is>
      </c>
      <c r="O16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92" ht="15.75" customHeight="1" s="12">
      <c r="A1692" s="1" t="n">
        <v>1084</v>
      </c>
      <c r="B1692" s="3">
        <f>HYPERLINK("https://leetcode.com/problems/sales-analysis-iii/", "Sales Analysis III")</f>
        <v/>
      </c>
      <c r="C1692" s="1" t="n">
        <v>838</v>
      </c>
      <c r="D1692" s="1" t="n">
        <v>166</v>
      </c>
      <c r="E1692" s="4">
        <f>IF(INDEX(C:C, ROW())+INDEX(D:D, ROW())=0, 0, INDEX(C:C, ROW())/(INDEX(C:C, ROW())+INDEX(D:D, ROW())))</f>
        <v/>
      </c>
      <c r="F1692" s="1" t="inlineStr">
        <is>
          <t>Database</t>
        </is>
      </c>
      <c r="G1692" s="1" t="inlineStr">
        <is>
          <t>Easy</t>
        </is>
      </c>
      <c r="H1692" s="1" t="n">
        <v>211731</v>
      </c>
      <c r="I1692" s="1" t="n">
        <v>449230</v>
      </c>
      <c r="J1692" s="9" t="n">
        <v>0.471</v>
      </c>
      <c r="K1692" s="1" t="inlineStr">
        <is>
          <t>Yes</t>
        </is>
      </c>
      <c r="L1692" s="1" t="inlineStr">
        <is>
          <t>Yes</t>
        </is>
      </c>
      <c r="M1692" s="1" t="inlineStr">
        <is>
          <t>No</t>
        </is>
      </c>
      <c r="N1692" s="1" t="inlineStr">
        <is>
          <t>Database</t>
        </is>
      </c>
      <c r="O16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93" ht="15.75" customHeight="1" s="12">
      <c r="A1693" s="1" t="n">
        <v>1179</v>
      </c>
      <c r="B1693" s="3">
        <f>HYPERLINK("https://leetcode.com/problems/reformat-department-table/", "Reformat Department Table")</f>
        <v/>
      </c>
      <c r="C1693" s="1" t="n">
        <v>838</v>
      </c>
      <c r="D1693" s="1" t="n">
        <v>638</v>
      </c>
      <c r="E1693" s="4">
        <f>IF(INDEX(C:C, ROW())+INDEX(D:D, ROW())=0, 0, INDEX(C:C, ROW())/(INDEX(C:C, ROW())+INDEX(D:D, ROW())))</f>
        <v/>
      </c>
      <c r="F1693" s="1" t="inlineStr">
        <is>
          <t>Database</t>
        </is>
      </c>
      <c r="G1693" s="1" t="inlineStr">
        <is>
          <t>Easy</t>
        </is>
      </c>
      <c r="H1693" s="1" t="n">
        <v>171335</v>
      </c>
      <c r="I1693" s="1" t="n">
        <v>224337</v>
      </c>
      <c r="J1693" s="9" t="n">
        <v>0.764</v>
      </c>
      <c r="K1693" s="1" t="inlineStr">
        <is>
          <t>Yes</t>
        </is>
      </c>
      <c r="L1693" s="1" t="inlineStr">
        <is>
          <t>Yes</t>
        </is>
      </c>
      <c r="M1693" s="1" t="inlineStr">
        <is>
          <t>No</t>
        </is>
      </c>
      <c r="N1693" s="1" t="inlineStr">
        <is>
          <t>Database</t>
        </is>
      </c>
      <c r="O16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94" ht="15.75" customHeight="1" s="12">
      <c r="A1694" s="1" t="n">
        <v>1377</v>
      </c>
      <c r="B1694" s="3">
        <f>HYPERLINK("https://leetcode.com/problems/frog-position-after-t-seconds/", "Frog Position After T Seconds")</f>
        <v/>
      </c>
      <c r="C1694" s="1" t="n">
        <v>838</v>
      </c>
      <c r="D1694" s="1" t="n">
        <v>150</v>
      </c>
      <c r="E1694" s="4">
        <f>IF(INDEX(C:C, ROW())+INDEX(D:D, ROW())=0, 0, INDEX(C:C, ROW())/(INDEX(C:C, ROW())+INDEX(D:D, ROW())))</f>
        <v/>
      </c>
      <c r="F1694" s="1" t="inlineStr">
        <is>
          <t>Tree, Depth-First Search, Breadth-First Search, Graph Theory</t>
        </is>
      </c>
      <c r="G1694" s="1" t="inlineStr">
        <is>
          <t>Hard</t>
        </is>
      </c>
      <c r="H1694" s="1" t="n">
        <v>41102</v>
      </c>
      <c r="I1694" s="1" t="n">
        <v>109444</v>
      </c>
      <c r="J1694" s="9" t="n">
        <v>0.376</v>
      </c>
      <c r="K1694" s="1" t="inlineStr">
        <is>
          <t>Yes</t>
        </is>
      </c>
      <c r="L1694" s="1" t="inlineStr">
        <is>
          <t>No</t>
        </is>
      </c>
      <c r="M1694" s="1" t="inlineStr">
        <is>
          <t>No</t>
        </is>
      </c>
      <c r="N1694" s="1" t="inlineStr">
        <is>
          <t>Algorithms</t>
        </is>
      </c>
      <c r="O16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95" ht="15.75" customHeight="1" s="12">
      <c r="A1695" s="1" t="n">
        <v>2197</v>
      </c>
      <c r="B1695" s="3">
        <f>HYPERLINK("https://leetcode.com/problems/replace-non-coprime-numbers-in-array/", "Replace Non-Coprime Numbers in Array")</f>
        <v/>
      </c>
      <c r="C1695" s="1" t="n">
        <v>838</v>
      </c>
      <c r="D1695" s="1" t="n">
        <v>33</v>
      </c>
      <c r="E1695" s="4">
        <f>IF(INDEX(C:C, ROW())+INDEX(D:D, ROW())=0, 0, INDEX(C:C, ROW())/(INDEX(C:C, ROW())+INDEX(D:D, ROW())))</f>
        <v/>
      </c>
      <c r="F1695" s="1" t="inlineStr">
        <is>
          <t>Array, Math, Stack, Number Theory</t>
        </is>
      </c>
      <c r="G1695" s="1" t="inlineStr">
        <is>
          <t>Hard</t>
        </is>
      </c>
      <c r="H1695" s="1" t="n">
        <v>112233</v>
      </c>
      <c r="I1695" s="1" t="n">
        <v>194878</v>
      </c>
      <c r="J1695" s="9" t="n">
        <v>0.576</v>
      </c>
      <c r="K1695" s="1" t="inlineStr">
        <is>
          <t>Yes</t>
        </is>
      </c>
      <c r="L1695" s="1" t="inlineStr">
        <is>
          <t>Yes</t>
        </is>
      </c>
      <c r="M1695" s="1" t="inlineStr">
        <is>
          <t>No</t>
        </is>
      </c>
      <c r="N1695" s="1" t="inlineStr">
        <is>
          <t>Algorithms</t>
        </is>
      </c>
      <c r="O16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96" ht="15.75" customHeight="1" s="12">
      <c r="A1696" s="1" t="n">
        <v>812</v>
      </c>
      <c r="B1696" s="3">
        <f>HYPERLINK("https://leetcode.com/problems/largest-triangle-area/", "Largest Triangle Area")</f>
        <v/>
      </c>
      <c r="C1696" s="1" t="n">
        <v>837</v>
      </c>
      <c r="D1696" s="1" t="n">
        <v>1735</v>
      </c>
      <c r="E1696" s="4">
        <f>IF(INDEX(C:C, ROW())+INDEX(D:D, ROW())=0, 0, INDEX(C:C, ROW())/(INDEX(C:C, ROW())+INDEX(D:D, ROW())))</f>
        <v/>
      </c>
      <c r="F1696" s="1" t="inlineStr">
        <is>
          <t>Array, Math, Geometry</t>
        </is>
      </c>
      <c r="G1696" s="1" t="inlineStr">
        <is>
          <t>Easy</t>
        </is>
      </c>
      <c r="H1696" s="1" t="n">
        <v>171711</v>
      </c>
      <c r="I1696" s="1" t="n">
        <v>240682</v>
      </c>
      <c r="J1696" s="9" t="n">
        <v>0.713</v>
      </c>
      <c r="K1696" s="1" t="inlineStr">
        <is>
          <t>Yes</t>
        </is>
      </c>
      <c r="L1696" s="1" t="inlineStr">
        <is>
          <t>Yes</t>
        </is>
      </c>
      <c r="M1696" s="1" t="inlineStr">
        <is>
          <t>No</t>
        </is>
      </c>
      <c r="N1696" s="1" t="inlineStr">
        <is>
          <t>Algorithms</t>
        </is>
      </c>
      <c r="O16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97" ht="15.75" customHeight="1" s="12">
      <c r="A1697" s="1" t="n">
        <v>1034</v>
      </c>
      <c r="B1697" s="3">
        <f>HYPERLINK("https://leetcode.com/problems/coloring-a-border/", "Coloring A Border")</f>
        <v/>
      </c>
      <c r="C1697" s="1" t="n">
        <v>836</v>
      </c>
      <c r="D1697" s="1" t="n">
        <v>941</v>
      </c>
      <c r="E1697" s="4">
        <f>IF(INDEX(C:C, ROW())+INDEX(D:D, ROW())=0, 0, INDEX(C:C, ROW())/(INDEX(C:C, ROW())+INDEX(D:D, ROW())))</f>
        <v/>
      </c>
      <c r="F1697" s="1" t="inlineStr">
        <is>
          <t>Array, Depth-First Search, Breadth-First Search, Matrix</t>
        </is>
      </c>
      <c r="G1697" s="1" t="inlineStr">
        <is>
          <t>Medium</t>
        </is>
      </c>
      <c r="H1697" s="1" t="n">
        <v>48259</v>
      </c>
      <c r="I1697" s="1" t="n">
        <v>95081</v>
      </c>
      <c r="J1697" s="9" t="n">
        <v>0.508</v>
      </c>
      <c r="K1697" s="1" t="inlineStr">
        <is>
          <t>Yes</t>
        </is>
      </c>
      <c r="L1697" s="1" t="inlineStr">
        <is>
          <t>No</t>
        </is>
      </c>
      <c r="M1697" s="1" t="inlineStr">
        <is>
          <t>No</t>
        </is>
      </c>
      <c r="N1697" s="1" t="inlineStr">
        <is>
          <t>Algorithms</t>
        </is>
      </c>
      <c r="O16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98" ht="15.75" customHeight="1" s="12">
      <c r="A1698" s="1" t="n">
        <v>2400</v>
      </c>
      <c r="B1698" s="3">
        <f>HYPERLINK("https://leetcode.com/problems/number-of-ways-to-reach-a-position-after-exactly-k-steps/", "Number of Ways to Reach a Position After Exactly k Steps")</f>
        <v/>
      </c>
      <c r="C1698" s="1" t="n">
        <v>836</v>
      </c>
      <c r="D1698" s="1" t="n">
        <v>67</v>
      </c>
      <c r="E1698" s="4">
        <f>IF(INDEX(C:C, ROW())+INDEX(D:D, ROW())=0, 0, INDEX(C:C, ROW())/(INDEX(C:C, ROW())+INDEX(D:D, ROW())))</f>
        <v/>
      </c>
      <c r="F1698" s="1" t="inlineStr">
        <is>
          <t>Math, Dynamic Programming, Combinatorics</t>
        </is>
      </c>
      <c r="G1698" s="1" t="inlineStr">
        <is>
          <t>Medium</t>
        </is>
      </c>
      <c r="H1698" s="1" t="n">
        <v>38482</v>
      </c>
      <c r="I1698" s="1" t="n">
        <v>104891</v>
      </c>
      <c r="J1698" s="9" t="n">
        <v>0.367</v>
      </c>
      <c r="K1698" s="1" t="inlineStr">
        <is>
          <t>Yes</t>
        </is>
      </c>
      <c r="L1698" s="1" t="inlineStr">
        <is>
          <t>No</t>
        </is>
      </c>
      <c r="M1698" s="1" t="inlineStr">
        <is>
          <t>No</t>
        </is>
      </c>
      <c r="N1698" s="1" t="inlineStr">
        <is>
          <t>Algorithms</t>
        </is>
      </c>
      <c r="O16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699" ht="15.75" customHeight="1" s="12">
      <c r="A1699" s="1" t="n">
        <v>2216</v>
      </c>
      <c r="B1699" s="3">
        <f>HYPERLINK("https://leetcode.com/problems/minimum-deletions-to-make-array-beautiful/", "Minimum Deletions to Make Array Beautiful")</f>
        <v/>
      </c>
      <c r="C1699" s="1" t="n">
        <v>834</v>
      </c>
      <c r="D1699" s="1" t="n">
        <v>96</v>
      </c>
      <c r="E1699" s="4">
        <f>IF(INDEX(C:C, ROW())+INDEX(D:D, ROW())=0, 0, INDEX(C:C, ROW())/(INDEX(C:C, ROW())+INDEX(D:D, ROW())))</f>
        <v/>
      </c>
      <c r="F1699" s="1" t="inlineStr">
        <is>
          <t>Array, Stack, Greedy</t>
        </is>
      </c>
      <c r="G1699" s="1" t="inlineStr">
        <is>
          <t>Medium</t>
        </is>
      </c>
      <c r="H1699" s="1" t="n">
        <v>39251</v>
      </c>
      <c r="I1699" s="1" t="n">
        <v>79086</v>
      </c>
      <c r="J1699" s="9" t="n">
        <v>0.496</v>
      </c>
      <c r="K1699" s="1" t="inlineStr">
        <is>
          <t>Yes</t>
        </is>
      </c>
      <c r="L1699" s="1" t="inlineStr">
        <is>
          <t>No</t>
        </is>
      </c>
      <c r="M1699" s="1" t="inlineStr">
        <is>
          <t>No</t>
        </is>
      </c>
      <c r="N1699" s="1" t="inlineStr">
        <is>
          <t>Algorithms</t>
        </is>
      </c>
      <c r="O16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00" ht="15.75" customHeight="1" s="12">
      <c r="A1700" s="1" t="n">
        <v>2271</v>
      </c>
      <c r="B1700" s="3">
        <f>HYPERLINK("https://leetcode.com/problems/maximum-white-tiles-covered-by-a-carpet/", "Maximum White Tiles Covered by a Carpet")</f>
        <v/>
      </c>
      <c r="C1700" s="1" t="n">
        <v>834</v>
      </c>
      <c r="D1700" s="1" t="n">
        <v>57</v>
      </c>
      <c r="E1700" s="4">
        <f>IF(INDEX(C:C, ROW())+INDEX(D:D, ROW())=0, 0, INDEX(C:C, ROW())/(INDEX(C:C, ROW())+INDEX(D:D, ROW())))</f>
        <v/>
      </c>
      <c r="F1700" s="1" t="inlineStr">
        <is>
          <t>Array, Binary Search, Greedy, Sliding Window, Sorting, Prefix Sum</t>
        </is>
      </c>
      <c r="G1700" s="1" t="inlineStr">
        <is>
          <t>Medium</t>
        </is>
      </c>
      <c r="H1700" s="1" t="n">
        <v>21294</v>
      </c>
      <c r="I1700" s="1" t="n">
        <v>59942</v>
      </c>
      <c r="J1700" s="9" t="n">
        <v>0.355</v>
      </c>
      <c r="K1700" s="1" t="inlineStr">
        <is>
          <t>Yes</t>
        </is>
      </c>
      <c r="L1700" s="1" t="inlineStr">
        <is>
          <t>No</t>
        </is>
      </c>
      <c r="M1700" s="1" t="inlineStr">
        <is>
          <t>No</t>
        </is>
      </c>
      <c r="N1700" s="1" t="inlineStr">
        <is>
          <t>Algorithms</t>
        </is>
      </c>
      <c r="O17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01" ht="15.75" customHeight="1" s="12">
      <c r="A1701" s="1" t="n">
        <v>2321</v>
      </c>
      <c r="B1701" s="3">
        <f>HYPERLINK("https://leetcode.com/problems/maximum-score-of-spliced-array/", "Maximum Score Of Spliced Array")</f>
        <v/>
      </c>
      <c r="C1701" s="1" t="n">
        <v>834</v>
      </c>
      <c r="D1701" s="1" t="n">
        <v>16</v>
      </c>
      <c r="E1701" s="4">
        <f>IF(INDEX(C:C, ROW())+INDEX(D:D, ROW())=0, 0, INDEX(C:C, ROW())/(INDEX(C:C, ROW())+INDEX(D:D, ROW())))</f>
        <v/>
      </c>
      <c r="F1701" s="1" t="inlineStr">
        <is>
          <t>Array, Dynamic Programming</t>
        </is>
      </c>
      <c r="G1701" s="1" t="inlineStr">
        <is>
          <t>Hard</t>
        </is>
      </c>
      <c r="H1701" s="1" t="n">
        <v>23363</v>
      </c>
      <c r="I1701" s="1" t="n">
        <v>40167</v>
      </c>
      <c r="J1701" s="9" t="n">
        <v>0.582</v>
      </c>
      <c r="K1701" s="1" t="inlineStr">
        <is>
          <t>Yes</t>
        </is>
      </c>
      <c r="L1701" s="1" t="inlineStr">
        <is>
          <t>No</t>
        </is>
      </c>
      <c r="M1701" s="1" t="inlineStr">
        <is>
          <t>No</t>
        </is>
      </c>
      <c r="N1701" s="1" t="inlineStr">
        <is>
          <t>Algorithms</t>
        </is>
      </c>
      <c r="O17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02" ht="15.75" customHeight="1" s="12">
      <c r="A1702" s="1" t="n">
        <v>2940</v>
      </c>
      <c r="B1702" s="3">
        <f>HYPERLINK("https://leetcode.com/problems/find-building-where-alice-and-bob-can-meet/", "Find Building Where Alice and Bob Can Meet")</f>
        <v/>
      </c>
      <c r="C1702" s="1" t="n">
        <v>832</v>
      </c>
      <c r="D1702" s="1" t="n">
        <v>57</v>
      </c>
      <c r="E1702" s="4">
        <f>IF(INDEX(C:C, ROW())+INDEX(D:D, ROW())=0, 0, INDEX(C:C, ROW())/(INDEX(C:C, ROW())+INDEX(D:D, ROW())))</f>
        <v/>
      </c>
      <c r="F1702" s="1" t="inlineStr">
        <is>
          <t>Array, Binary Search, Stack, Binary Indexed Tree, Segment Tree, Heap (Priority Queue), Monotonic Stack</t>
        </is>
      </c>
      <c r="G1702" s="1" t="inlineStr">
        <is>
          <t>Hard</t>
        </is>
      </c>
      <c r="H1702" s="1" t="n">
        <v>74015</v>
      </c>
      <c r="I1702" s="1" t="n">
        <v>141773</v>
      </c>
      <c r="J1702" s="9" t="n">
        <v>0.522</v>
      </c>
      <c r="K1702" s="1" t="inlineStr">
        <is>
          <t>Yes</t>
        </is>
      </c>
      <c r="L1702" s="1" t="inlineStr">
        <is>
          <t>Yes</t>
        </is>
      </c>
      <c r="M1702" s="1" t="inlineStr">
        <is>
          <t>No</t>
        </is>
      </c>
      <c r="N1702" s="1" t="inlineStr">
        <is>
          <t>Algorithms</t>
        </is>
      </c>
      <c r="O17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03" ht="15.75" customHeight="1" s="12">
      <c r="A1703" s="1" t="n">
        <v>2971</v>
      </c>
      <c r="B1703" s="3">
        <f>HYPERLINK("https://leetcode.com/problems/find-polygon-with-the-largest-perimeter/", "Find Polygon With the Largest Perimeter")</f>
        <v/>
      </c>
      <c r="C1703" s="1" t="n">
        <v>831</v>
      </c>
      <c r="D1703" s="1" t="n">
        <v>70</v>
      </c>
      <c r="E1703" s="4">
        <f>IF(INDEX(C:C, ROW())+INDEX(D:D, ROW())=0, 0, INDEX(C:C, ROW())/(INDEX(C:C, ROW())+INDEX(D:D, ROW())))</f>
        <v/>
      </c>
      <c r="F1703" s="1" t="inlineStr">
        <is>
          <t>Array, Greedy, Sorting, Prefix Sum</t>
        </is>
      </c>
      <c r="G1703" s="1" t="inlineStr">
        <is>
          <t>Medium</t>
        </is>
      </c>
      <c r="H1703" s="1" t="n">
        <v>144550</v>
      </c>
      <c r="I1703" s="1" t="n">
        <v>220705</v>
      </c>
      <c r="J1703" s="9" t="n">
        <v>0.655</v>
      </c>
      <c r="K1703" s="1" t="inlineStr">
        <is>
          <t>Yes</t>
        </is>
      </c>
      <c r="L1703" s="1" t="inlineStr">
        <is>
          <t>Yes</t>
        </is>
      </c>
      <c r="M1703" s="1" t="inlineStr">
        <is>
          <t>No</t>
        </is>
      </c>
      <c r="N1703" s="1" t="inlineStr">
        <is>
          <t>Algorithms</t>
        </is>
      </c>
      <c r="O17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04" ht="15.75" customHeight="1" s="12">
      <c r="A1704" s="1" t="n">
        <v>2195</v>
      </c>
      <c r="B1704" s="3">
        <f>HYPERLINK("https://leetcode.com/problems/append-k-integers-with-minimal-sum/", "Append K Integers With Minimal Sum")</f>
        <v/>
      </c>
      <c r="C1704" s="1" t="n">
        <v>830</v>
      </c>
      <c r="D1704" s="1" t="n">
        <v>313</v>
      </c>
      <c r="E1704" s="4">
        <f>IF(INDEX(C:C, ROW())+INDEX(D:D, ROW())=0, 0, INDEX(C:C, ROW())/(INDEX(C:C, ROW())+INDEX(D:D, ROW())))</f>
        <v/>
      </c>
      <c r="F1704" s="1" t="inlineStr">
        <is>
          <t>Array, Math, Greedy, Sorting</t>
        </is>
      </c>
      <c r="G1704" s="1" t="inlineStr">
        <is>
          <t>Medium</t>
        </is>
      </c>
      <c r="H1704" s="1" t="n">
        <v>40823</v>
      </c>
      <c r="I1704" s="1" t="n">
        <v>152920</v>
      </c>
      <c r="J1704" s="9" t="n">
        <v>0.267</v>
      </c>
      <c r="K1704" s="1" t="inlineStr">
        <is>
          <t>Yes</t>
        </is>
      </c>
      <c r="L1704" s="1" t="inlineStr">
        <is>
          <t>No</t>
        </is>
      </c>
      <c r="M1704" s="1" t="inlineStr">
        <is>
          <t>No</t>
        </is>
      </c>
      <c r="N1704" s="1" t="inlineStr">
        <is>
          <t>Algorithms</t>
        </is>
      </c>
      <c r="O17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05" ht="15.75" customHeight="1" s="12">
      <c r="A1705" s="1" t="n">
        <v>1947</v>
      </c>
      <c r="B1705" s="3">
        <f>HYPERLINK("https://leetcode.com/problems/maximum-compatibility-score-sum/", "Maximum Compatibility Score Sum")</f>
        <v/>
      </c>
      <c r="C1705" s="1" t="n">
        <v>829</v>
      </c>
      <c r="D1705" s="1" t="n">
        <v>32</v>
      </c>
      <c r="E1705" s="4">
        <f>IF(INDEX(C:C, ROW())+INDEX(D:D, ROW())=0, 0, INDEX(C:C, ROW())/(INDEX(C:C, ROW())+INDEX(D:D, ROW())))</f>
        <v/>
      </c>
      <c r="F1705" s="1" t="inlineStr">
        <is>
          <t>Array, Dynamic Programming, Backtracking, Bit Manipulation, Bitmask DP</t>
        </is>
      </c>
      <c r="G1705" s="1" t="inlineStr">
        <is>
          <t>Medium</t>
        </is>
      </c>
      <c r="H1705" s="1" t="n">
        <v>32931</v>
      </c>
      <c r="I1705" s="1" t="n">
        <v>51325</v>
      </c>
      <c r="J1705" s="9" t="n">
        <v>0.642</v>
      </c>
      <c r="K1705" s="1" t="inlineStr">
        <is>
          <t>Yes</t>
        </is>
      </c>
      <c r="L1705" s="1" t="inlineStr">
        <is>
          <t>No</t>
        </is>
      </c>
      <c r="M1705" s="1" t="inlineStr">
        <is>
          <t>No</t>
        </is>
      </c>
      <c r="N1705" s="1" t="inlineStr">
        <is>
          <t>Algorithms</t>
        </is>
      </c>
      <c r="O17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06" ht="15.75" customHeight="1" s="12">
      <c r="A1706" s="1" t="n">
        <v>683</v>
      </c>
      <c r="B1706" s="3">
        <f>HYPERLINK("https://leetcode.com/problems/k-empty-slots/", "K Empty Slots")</f>
        <v/>
      </c>
      <c r="C1706" s="1" t="n">
        <v>828</v>
      </c>
      <c r="D1706" s="1" t="n">
        <v>706</v>
      </c>
      <c r="E1706" s="4">
        <f>IF(INDEX(C:C, ROW())+INDEX(D:D, ROW())=0, 0, INDEX(C:C, ROW())/(INDEX(C:C, ROW())+INDEX(D:D, ROW())))</f>
        <v/>
      </c>
      <c r="F1706" s="1" t="inlineStr">
        <is>
          <t>Array, Binary Indexed Tree, Segment Tree, Queue, Sliding Window, Heap (Priority Queue), Ordered Set, Monotonic Queue</t>
        </is>
      </c>
      <c r="G1706" s="1" t="inlineStr">
        <is>
          <t>Hard</t>
        </is>
      </c>
      <c r="H1706" s="1" t="n">
        <v>66898</v>
      </c>
      <c r="I1706" s="1" t="n">
        <v>176394</v>
      </c>
      <c r="J1706" s="9" t="n">
        <v>0.379</v>
      </c>
      <c r="K1706" s="1" t="inlineStr">
        <is>
          <t>No</t>
        </is>
      </c>
      <c r="L1706" s="1" t="inlineStr">
        <is>
          <t>Yes</t>
        </is>
      </c>
      <c r="M1706" s="1" t="inlineStr">
        <is>
          <t>No</t>
        </is>
      </c>
      <c r="N1706" s="1" t="inlineStr">
        <is>
          <t>Algorithms</t>
        </is>
      </c>
      <c r="O17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07" ht="15.75" customHeight="1" s="12">
      <c r="A1707" s="1" t="n">
        <v>2864</v>
      </c>
      <c r="B1707" s="3">
        <f>HYPERLINK("https://leetcode.com/problems/maximum-odd-binary-number/", "Maximum Odd Binary Number")</f>
        <v/>
      </c>
      <c r="C1707" s="1" t="n">
        <v>828</v>
      </c>
      <c r="D1707" s="1" t="n">
        <v>34</v>
      </c>
      <c r="E1707" s="4">
        <f>IF(INDEX(C:C, ROW())+INDEX(D:D, ROW())=0, 0, INDEX(C:C, ROW())/(INDEX(C:C, ROW())+INDEX(D:D, ROW())))</f>
        <v/>
      </c>
      <c r="F1707" s="1" t="inlineStr">
        <is>
          <t>Math, String, Greedy</t>
        </is>
      </c>
      <c r="G1707" s="1" t="inlineStr">
        <is>
          <t>Easy</t>
        </is>
      </c>
      <c r="H1707" s="1" t="n">
        <v>230252</v>
      </c>
      <c r="I1707" s="1" t="n">
        <v>277932</v>
      </c>
      <c r="J1707" s="9" t="n">
        <v>0.828</v>
      </c>
      <c r="K1707" s="1" t="inlineStr">
        <is>
          <t>Yes</t>
        </is>
      </c>
      <c r="L1707" s="1" t="inlineStr">
        <is>
          <t>Yes</t>
        </is>
      </c>
      <c r="M1707" s="1" t="inlineStr">
        <is>
          <t>No</t>
        </is>
      </c>
      <c r="N1707" s="1" t="inlineStr">
        <is>
          <t>Algorithms</t>
        </is>
      </c>
      <c r="O17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08" ht="15.75" customHeight="1" s="12">
      <c r="A1708" s="1" t="n">
        <v>1086</v>
      </c>
      <c r="B1708" s="3">
        <f>HYPERLINK("https://leetcode.com/problems/high-five/", "High Five")</f>
        <v/>
      </c>
      <c r="C1708" s="1" t="n">
        <v>827</v>
      </c>
      <c r="D1708" s="1" t="n">
        <v>131</v>
      </c>
      <c r="E1708" s="4">
        <f>IF(INDEX(C:C, ROW())+INDEX(D:D, ROW())=0, 0, INDEX(C:C, ROW())/(INDEX(C:C, ROW())+INDEX(D:D, ROW())))</f>
        <v/>
      </c>
      <c r="F1708" s="1" t="inlineStr">
        <is>
          <t>Array, Hash Table, Sorting, Heap (Priority Queue)</t>
        </is>
      </c>
      <c r="G1708" s="1" t="inlineStr">
        <is>
          <t>Easy</t>
        </is>
      </c>
      <c r="H1708" s="1" t="n">
        <v>121730</v>
      </c>
      <c r="I1708" s="1" t="n">
        <v>164063</v>
      </c>
      <c r="J1708" s="9" t="n">
        <v>0.742</v>
      </c>
      <c r="K1708" s="1" t="inlineStr">
        <is>
          <t>No</t>
        </is>
      </c>
      <c r="L1708" s="1" t="inlineStr">
        <is>
          <t>Yes</t>
        </is>
      </c>
      <c r="M1708" s="1" t="inlineStr">
        <is>
          <t>No</t>
        </is>
      </c>
      <c r="N1708" s="1" t="inlineStr">
        <is>
          <t>Algorithms</t>
        </is>
      </c>
      <c r="O17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09" ht="15.75" customHeight="1" s="12">
      <c r="A1709" s="1" t="n">
        <v>2615</v>
      </c>
      <c r="B1709" s="3">
        <f>HYPERLINK("https://leetcode.com/problems/sum-of-distances/", "Sum of Distances")</f>
        <v/>
      </c>
      <c r="C1709" s="1" t="n">
        <v>827</v>
      </c>
      <c r="D1709" s="1" t="n">
        <v>97</v>
      </c>
      <c r="E1709" s="4">
        <f>IF(INDEX(C:C, ROW())+INDEX(D:D, ROW())=0, 0, INDEX(C:C, ROW())/(INDEX(C:C, ROW())+INDEX(D:D, ROW())))</f>
        <v/>
      </c>
      <c r="F1709" s="1" t="inlineStr">
        <is>
          <t>Array, Hash Table, Prefix Sum</t>
        </is>
      </c>
      <c r="G1709" s="1" t="inlineStr">
        <is>
          <t>Medium</t>
        </is>
      </c>
      <c r="H1709" s="1" t="n">
        <v>27792</v>
      </c>
      <c r="I1709" s="1" t="n">
        <v>86104</v>
      </c>
      <c r="J1709" s="9" t="n">
        <v>0.323</v>
      </c>
      <c r="K1709" s="1" t="inlineStr">
        <is>
          <t>Yes</t>
        </is>
      </c>
      <c r="L1709" s="1" t="inlineStr">
        <is>
          <t>No</t>
        </is>
      </c>
      <c r="M1709" s="1" t="inlineStr">
        <is>
          <t>No</t>
        </is>
      </c>
      <c r="N1709" s="1" t="inlineStr">
        <is>
          <t>Algorithms</t>
        </is>
      </c>
      <c r="O17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10" ht="15.75" customHeight="1" s="12">
      <c r="A1710" s="1" t="n">
        <v>2554</v>
      </c>
      <c r="B1710" s="3">
        <f>HYPERLINK("https://leetcode.com/problems/maximum-number-of-integers-to-choose-from-a-range-i/", "Maximum Number of Integers to Choose From a Range I")</f>
        <v/>
      </c>
      <c r="C1710" s="1" t="n">
        <v>825</v>
      </c>
      <c r="D1710" s="1" t="n">
        <v>57</v>
      </c>
      <c r="E1710" s="4">
        <f>IF(INDEX(C:C, ROW())+INDEX(D:D, ROW())=0, 0, INDEX(C:C, ROW())/(INDEX(C:C, ROW())+INDEX(D:D, ROW())))</f>
        <v/>
      </c>
      <c r="F1710" s="1" t="inlineStr">
        <is>
          <t>Array, Hash Table, Binary Search, Greedy, Sorting</t>
        </is>
      </c>
      <c r="G1710" s="1" t="inlineStr">
        <is>
          <t>Medium</t>
        </is>
      </c>
      <c r="H1710" s="1" t="n">
        <v>167654</v>
      </c>
      <c r="I1710" s="1" t="n">
        <v>246750</v>
      </c>
      <c r="J1710" s="9" t="n">
        <v>0.679</v>
      </c>
      <c r="K1710" s="1" t="inlineStr">
        <is>
          <t>Yes</t>
        </is>
      </c>
      <c r="L1710" s="1" t="inlineStr">
        <is>
          <t>Yes</t>
        </is>
      </c>
      <c r="M1710" s="1" t="inlineStr">
        <is>
          <t>No</t>
        </is>
      </c>
      <c r="N1710" s="1" t="inlineStr">
        <is>
          <t>Algorithms</t>
        </is>
      </c>
      <c r="O17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11" ht="15.75" customHeight="1" s="12">
      <c r="A1711" s="1" t="n">
        <v>2874</v>
      </c>
      <c r="B1711" s="3">
        <f>HYPERLINK("https://leetcode.com/problems/maximum-value-of-an-ordered-triplet-ii/", "Maximum Value of an Ordered Triplet II")</f>
        <v/>
      </c>
      <c r="C1711" s="1" t="n">
        <v>825</v>
      </c>
      <c r="D1711" s="1" t="n">
        <v>20</v>
      </c>
      <c r="E1711" s="4">
        <f>IF(INDEX(C:C, ROW())+INDEX(D:D, ROW())=0, 0, INDEX(C:C, ROW())/(INDEX(C:C, ROW())+INDEX(D:D, ROW())))</f>
        <v/>
      </c>
      <c r="F1711" s="1" t="inlineStr">
        <is>
          <t>Array</t>
        </is>
      </c>
      <c r="G1711" s="1" t="inlineStr">
        <is>
          <t>Medium</t>
        </is>
      </c>
      <c r="H1711" s="1" t="n">
        <v>157626</v>
      </c>
      <c r="I1711" s="1" t="n">
        <v>279183</v>
      </c>
      <c r="J1711" s="9" t="n">
        <v>0.5649999999999999</v>
      </c>
      <c r="K1711" s="1" t="inlineStr">
        <is>
          <t>Yes</t>
        </is>
      </c>
      <c r="L1711" s="1" t="inlineStr">
        <is>
          <t>Yes</t>
        </is>
      </c>
      <c r="M1711" s="1" t="inlineStr">
        <is>
          <t>No</t>
        </is>
      </c>
      <c r="N1711" s="1" t="inlineStr">
        <is>
          <t>Algorithms</t>
        </is>
      </c>
      <c r="O17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12" ht="15.75" customHeight="1" s="12">
      <c r="A1712" s="1" t="n">
        <v>667</v>
      </c>
      <c r="B1712" s="3">
        <f>HYPERLINK("https://leetcode.com/problems/beautiful-arrangement-ii/", "Beautiful Arrangement II")</f>
        <v/>
      </c>
      <c r="C1712" s="1" t="n">
        <v>824</v>
      </c>
      <c r="D1712" s="1" t="n">
        <v>1059</v>
      </c>
      <c r="E1712" s="4">
        <f>IF(INDEX(C:C, ROW())+INDEX(D:D, ROW())=0, 0, INDEX(C:C, ROW())/(INDEX(C:C, ROW())+INDEX(D:D, ROW())))</f>
        <v/>
      </c>
      <c r="F1712" s="1" t="inlineStr">
        <is>
          <t>Array, Math</t>
        </is>
      </c>
      <c r="G1712" s="1" t="inlineStr">
        <is>
          <t>Medium</t>
        </is>
      </c>
      <c r="H1712" s="1" t="n">
        <v>60598</v>
      </c>
      <c r="I1712" s="1" t="n">
        <v>99342</v>
      </c>
      <c r="J1712" s="9" t="n">
        <v>0.61</v>
      </c>
      <c r="K1712" s="1" t="inlineStr">
        <is>
          <t>Yes</t>
        </is>
      </c>
      <c r="L1712" s="1" t="inlineStr">
        <is>
          <t>Yes</t>
        </is>
      </c>
      <c r="M1712" s="1" t="inlineStr">
        <is>
          <t>No</t>
        </is>
      </c>
      <c r="N1712" s="1" t="inlineStr">
        <is>
          <t>Algorithms</t>
        </is>
      </c>
      <c r="O17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13" ht="15.75" customHeight="1" s="12">
      <c r="A1713" s="1" t="n">
        <v>2178</v>
      </c>
      <c r="B1713" s="3">
        <f>HYPERLINK("https://leetcode.com/problems/maximum-split-of-positive-even-integers/", "Maximum Split of Positive Even Integers")</f>
        <v/>
      </c>
      <c r="C1713" s="1" t="n">
        <v>824</v>
      </c>
      <c r="D1713" s="1" t="n">
        <v>75</v>
      </c>
      <c r="E1713" s="4">
        <f>IF(INDEX(C:C, ROW())+INDEX(D:D, ROW())=0, 0, INDEX(C:C, ROW())/(INDEX(C:C, ROW())+INDEX(D:D, ROW())))</f>
        <v/>
      </c>
      <c r="F1713" s="1" t="inlineStr">
        <is>
          <t>Math, Backtracking, Greedy</t>
        </is>
      </c>
      <c r="G1713" s="1" t="inlineStr">
        <is>
          <t>Medium</t>
        </is>
      </c>
      <c r="H1713" s="1" t="n">
        <v>55050</v>
      </c>
      <c r="I1713" s="1" t="n">
        <v>92300</v>
      </c>
      <c r="J1713" s="9" t="n">
        <v>0.596</v>
      </c>
      <c r="K1713" s="1" t="inlineStr">
        <is>
          <t>Yes</t>
        </is>
      </c>
      <c r="L1713" s="1" t="inlineStr">
        <is>
          <t>No</t>
        </is>
      </c>
      <c r="M1713" s="1" t="inlineStr">
        <is>
          <t>No</t>
        </is>
      </c>
      <c r="N1713" s="1" t="inlineStr">
        <is>
          <t>Algorithms</t>
        </is>
      </c>
      <c r="O17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14" ht="15.75" customHeight="1" s="12">
      <c r="A1714" s="1" t="n">
        <v>2570</v>
      </c>
      <c r="B1714" s="3">
        <f>HYPERLINK("https://leetcode.com/problems/merge-two-2d-arrays-by-summing-values/", "Merge Two 2D Arrays by Summing Values")</f>
        <v/>
      </c>
      <c r="C1714" s="1" t="n">
        <v>824</v>
      </c>
      <c r="D1714" s="1" t="n">
        <v>38</v>
      </c>
      <c r="E1714" s="4">
        <f>IF(INDEX(C:C, ROW())+INDEX(D:D, ROW())=0, 0, INDEX(C:C, ROW())/(INDEX(C:C, ROW())+INDEX(D:D, ROW())))</f>
        <v/>
      </c>
      <c r="F1714" s="1" t="inlineStr">
        <is>
          <t>Array, Hash Table, Two Pointers</t>
        </is>
      </c>
      <c r="G1714" s="1" t="inlineStr">
        <is>
          <t>Easy</t>
        </is>
      </c>
      <c r="H1714" s="1" t="n">
        <v>208545</v>
      </c>
      <c r="I1714" s="1" t="n">
        <v>255029</v>
      </c>
      <c r="J1714" s="9" t="n">
        <v>0.8179999999999999</v>
      </c>
      <c r="K1714" s="1" t="inlineStr">
        <is>
          <t>Yes</t>
        </is>
      </c>
      <c r="L1714" s="1" t="inlineStr">
        <is>
          <t>Yes</t>
        </is>
      </c>
      <c r="M1714" s="1" t="inlineStr">
        <is>
          <t>No</t>
        </is>
      </c>
      <c r="N1714" s="1" t="inlineStr">
        <is>
          <t>Algorithms</t>
        </is>
      </c>
      <c r="O17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15" ht="15.75" customHeight="1" s="12">
      <c r="A1715" s="1" t="n">
        <v>2014</v>
      </c>
      <c r="B1715" s="3">
        <f>HYPERLINK("https://leetcode.com/problems/longest-subsequence-repeated-k-times/", "Longest Subsequence Repeated k Times")</f>
        <v/>
      </c>
      <c r="C1715" s="1" t="n">
        <v>821</v>
      </c>
      <c r="D1715" s="1" t="n">
        <v>117</v>
      </c>
      <c r="E1715" s="4">
        <f>IF(INDEX(C:C, ROW())+INDEX(D:D, ROW())=0, 0, INDEX(C:C, ROW())/(INDEX(C:C, ROW())+INDEX(D:D, ROW())))</f>
        <v/>
      </c>
      <c r="F1715" s="1" t="inlineStr">
        <is>
          <t>String, Backtracking, Greedy, Counting, Enumeration</t>
        </is>
      </c>
      <c r="G1715" s="1" t="inlineStr">
        <is>
          <t>Hard</t>
        </is>
      </c>
      <c r="H1715" s="1" t="n">
        <v>73186</v>
      </c>
      <c r="I1715" s="1" t="n">
        <v>102636</v>
      </c>
      <c r="J1715" s="9" t="n">
        <v>0.713</v>
      </c>
      <c r="K1715" s="1" t="inlineStr">
        <is>
          <t>Yes</t>
        </is>
      </c>
      <c r="L1715" s="1" t="inlineStr">
        <is>
          <t>Yes</t>
        </is>
      </c>
      <c r="M1715" s="1" t="inlineStr">
        <is>
          <t>No</t>
        </is>
      </c>
      <c r="N1715" s="1" t="inlineStr">
        <is>
          <t>Algorithms</t>
        </is>
      </c>
      <c r="O17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16" ht="15.75" customHeight="1" s="12">
      <c r="A1716" s="1" t="n">
        <v>2124</v>
      </c>
      <c r="B1716" s="3">
        <f>HYPERLINK("https://leetcode.com/problems/check-if-all-as-appears-before-all-bs/", "Check if All A's Appears Before All B's")</f>
        <v/>
      </c>
      <c r="C1716" s="1" t="n">
        <v>821</v>
      </c>
      <c r="D1716" s="1" t="n">
        <v>21</v>
      </c>
      <c r="E1716" s="4">
        <f>IF(INDEX(C:C, ROW())+INDEX(D:D, ROW())=0, 0, INDEX(C:C, ROW())/(INDEX(C:C, ROW())+INDEX(D:D, ROW())))</f>
        <v/>
      </c>
      <c r="F1716" s="1" t="inlineStr">
        <is>
          <t>String</t>
        </is>
      </c>
      <c r="G1716" s="1" t="inlineStr">
        <is>
          <t>Easy</t>
        </is>
      </c>
      <c r="H1716" s="1" t="n">
        <v>116237</v>
      </c>
      <c r="I1716" s="1" t="n">
        <v>159896</v>
      </c>
      <c r="J1716" s="9" t="n">
        <v>0.727</v>
      </c>
      <c r="K1716" s="1" t="inlineStr">
        <is>
          <t>Yes</t>
        </is>
      </c>
      <c r="L1716" s="1" t="inlineStr">
        <is>
          <t>No</t>
        </is>
      </c>
      <c r="M1716" s="1" t="inlineStr">
        <is>
          <t>No</t>
        </is>
      </c>
      <c r="N1716" s="1" t="inlineStr">
        <is>
          <t>Algorithms</t>
        </is>
      </c>
      <c r="O17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17" ht="15.75" customHeight="1" s="12">
      <c r="A1717" s="1" t="n">
        <v>1324</v>
      </c>
      <c r="B1717" s="3">
        <f>HYPERLINK("https://leetcode.com/problems/print-words-vertically/", "Print Words Vertically")</f>
        <v/>
      </c>
      <c r="C1717" s="1" t="n">
        <v>820</v>
      </c>
      <c r="D1717" s="1" t="n">
        <v>121</v>
      </c>
      <c r="E1717" s="4">
        <f>IF(INDEX(C:C, ROW())+INDEX(D:D, ROW())=0, 0, INDEX(C:C, ROW())/(INDEX(C:C, ROW())+INDEX(D:D, ROW())))</f>
        <v/>
      </c>
      <c r="F1717" s="1" t="inlineStr">
        <is>
          <t>Array, String, Simulation</t>
        </is>
      </c>
      <c r="G1717" s="1" t="inlineStr">
        <is>
          <t>Medium</t>
        </is>
      </c>
      <c r="H1717" s="1" t="n">
        <v>51019</v>
      </c>
      <c r="I1717" s="1" t="n">
        <v>75875</v>
      </c>
      <c r="J1717" s="9" t="n">
        <v>0.672</v>
      </c>
      <c r="K1717" s="1" t="inlineStr">
        <is>
          <t>Yes</t>
        </is>
      </c>
      <c r="L1717" s="1" t="inlineStr">
        <is>
          <t>No</t>
        </is>
      </c>
      <c r="M1717" s="1" t="inlineStr">
        <is>
          <t>No</t>
        </is>
      </c>
      <c r="N1717" s="1" t="inlineStr">
        <is>
          <t>Algorithms</t>
        </is>
      </c>
      <c r="O17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18" ht="15.75" customHeight="1" s="12">
      <c r="A1718" s="1" t="n">
        <v>1789</v>
      </c>
      <c r="B1718" s="3">
        <f>HYPERLINK("https://leetcode.com/problems/primary-department-for-each-employee/", "Primary Department for Each Employee")</f>
        <v/>
      </c>
      <c r="C1718" s="1" t="n">
        <v>820</v>
      </c>
      <c r="D1718" s="1" t="n">
        <v>265</v>
      </c>
      <c r="E1718" s="4">
        <f>IF(INDEX(C:C, ROW())+INDEX(D:D, ROW())=0, 0, INDEX(C:C, ROW())/(INDEX(C:C, ROW())+INDEX(D:D, ROW())))</f>
        <v/>
      </c>
      <c r="F1718" s="1" t="inlineStr">
        <is>
          <t>Database</t>
        </is>
      </c>
      <c r="G1718" s="1" t="inlineStr">
        <is>
          <t>Easy</t>
        </is>
      </c>
      <c r="H1718" s="1" t="n">
        <v>327086</v>
      </c>
      <c r="I1718" s="1" t="n">
        <v>443787</v>
      </c>
      <c r="J1718" s="9" t="n">
        <v>0.737</v>
      </c>
      <c r="K1718" s="1" t="inlineStr">
        <is>
          <t>Yes</t>
        </is>
      </c>
      <c r="L1718" s="1" t="inlineStr">
        <is>
          <t>Yes</t>
        </is>
      </c>
      <c r="M1718" s="1" t="inlineStr">
        <is>
          <t>No</t>
        </is>
      </c>
      <c r="N1718" s="1" t="inlineStr">
        <is>
          <t>Database</t>
        </is>
      </c>
      <c r="O17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19" ht="15.75" customHeight="1" s="12">
      <c r="A1719" s="1" t="n">
        <v>308</v>
      </c>
      <c r="B1719" s="3">
        <f>HYPERLINK("https://leetcode.com/problems/range-sum-query-2d-mutable/", "Range Sum Query 2D - Mutable")</f>
        <v/>
      </c>
      <c r="C1719" s="1" t="n">
        <v>819</v>
      </c>
      <c r="D1719" s="1" t="n">
        <v>97</v>
      </c>
      <c r="E1719" s="4">
        <f>IF(INDEX(C:C, ROW())+INDEX(D:D, ROW())=0, 0, INDEX(C:C, ROW())/(INDEX(C:C, ROW())+INDEX(D:D, ROW())))</f>
        <v/>
      </c>
      <c r="F1719" s="1" t="inlineStr">
        <is>
          <t>Array, Design, Binary Indexed Tree, Segment Tree, Matrix</t>
        </is>
      </c>
      <c r="G1719" s="1" t="inlineStr">
        <is>
          <t>Medium</t>
        </is>
      </c>
      <c r="H1719" s="1" t="n">
        <v>83069</v>
      </c>
      <c r="I1719" s="1" t="n">
        <v>183235</v>
      </c>
      <c r="J1719" s="9" t="n">
        <v>0.453</v>
      </c>
      <c r="K1719" s="1" t="inlineStr">
        <is>
          <t>No</t>
        </is>
      </c>
      <c r="L1719" s="1" t="inlineStr">
        <is>
          <t>Yes</t>
        </is>
      </c>
      <c r="M1719" s="1" t="inlineStr">
        <is>
          <t>Yes</t>
        </is>
      </c>
      <c r="N1719" s="1" t="inlineStr">
        <is>
          <t>Algorithms</t>
        </is>
      </c>
      <c r="O17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20" ht="15.75" customHeight="1" s="12">
      <c r="A1720" s="1" t="n">
        <v>601</v>
      </c>
      <c r="B1720" s="3">
        <f>HYPERLINK("https://leetcode.com/problems/human-traffic-of-stadium/", "Human Traffic of Stadium")</f>
        <v/>
      </c>
      <c r="C1720" s="1" t="n">
        <v>819</v>
      </c>
      <c r="D1720" s="1" t="n">
        <v>575</v>
      </c>
      <c r="E1720" s="4">
        <f>IF(INDEX(C:C, ROW())+INDEX(D:D, ROW())=0, 0, INDEX(C:C, ROW())/(INDEX(C:C, ROW())+INDEX(D:D, ROW())))</f>
        <v/>
      </c>
      <c r="F1720" s="1" t="inlineStr">
        <is>
          <t>Database</t>
        </is>
      </c>
      <c r="G1720" s="1" t="inlineStr">
        <is>
          <t>Hard</t>
        </is>
      </c>
      <c r="H1720" s="1" t="n">
        <v>160072</v>
      </c>
      <c r="I1720" s="1" t="n">
        <v>316437</v>
      </c>
      <c r="J1720" s="9" t="n">
        <v>0.506</v>
      </c>
      <c r="K1720" s="1" t="inlineStr">
        <is>
          <t>Yes</t>
        </is>
      </c>
      <c r="L1720" s="1" t="inlineStr">
        <is>
          <t>Yes</t>
        </is>
      </c>
      <c r="M1720" s="1" t="inlineStr">
        <is>
          <t>No</t>
        </is>
      </c>
      <c r="N1720" s="1" t="inlineStr">
        <is>
          <t>Database</t>
        </is>
      </c>
      <c r="O17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21" ht="15.75" customHeight="1" s="12">
      <c r="A1721" s="1" t="n">
        <v>3043</v>
      </c>
      <c r="B1721" s="3">
        <f>HYPERLINK("https://leetcode.com/problems/find-the-length-of-the-longest-common-prefix/", "Find the Length of the Longest Common Prefix")</f>
        <v/>
      </c>
      <c r="C1721" s="1" t="n">
        <v>819</v>
      </c>
      <c r="D1721" s="1" t="n">
        <v>50</v>
      </c>
      <c r="E1721" s="4">
        <f>IF(INDEX(C:C, ROW())+INDEX(D:D, ROW())=0, 0, INDEX(C:C, ROW())/(INDEX(C:C, ROW())+INDEX(D:D, ROW())))</f>
        <v/>
      </c>
      <c r="F1721" s="1" t="inlineStr">
        <is>
          <t>Array, Hash Table, String, Trie</t>
        </is>
      </c>
      <c r="G1721" s="1" t="inlineStr">
        <is>
          <t>Medium</t>
        </is>
      </c>
      <c r="H1721" s="1" t="n">
        <v>171510</v>
      </c>
      <c r="I1721" s="1" t="n">
        <v>301274</v>
      </c>
      <c r="J1721" s="9" t="n">
        <v>0.569</v>
      </c>
      <c r="K1721" s="1" t="inlineStr">
        <is>
          <t>Yes</t>
        </is>
      </c>
      <c r="L1721" s="1" t="inlineStr">
        <is>
          <t>Yes</t>
        </is>
      </c>
      <c r="M1721" s="1" t="inlineStr">
        <is>
          <t>No</t>
        </is>
      </c>
      <c r="N1721" s="1" t="inlineStr">
        <is>
          <t>Algorithms</t>
        </is>
      </c>
      <c r="O17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22" ht="15.75" customHeight="1" s="12">
      <c r="A1722" s="1" t="n">
        <v>2629</v>
      </c>
      <c r="B1722" s="3">
        <f>HYPERLINK("https://leetcode.com/problems/function-composition/", "Function Composition")</f>
        <v/>
      </c>
      <c r="C1722" s="1" t="n">
        <v>818</v>
      </c>
      <c r="D1722" s="1" t="n">
        <v>61</v>
      </c>
      <c r="E1722" s="4">
        <f>IF(INDEX(C:C, ROW())+INDEX(D:D, ROW())=0, 0, INDEX(C:C, ROW())/(INDEX(C:C, ROW())+INDEX(D:D, ROW())))</f>
        <v/>
      </c>
      <c r="F1722" s="2" t="n"/>
      <c r="G1722" s="1" t="inlineStr">
        <is>
          <t>Easy</t>
        </is>
      </c>
      <c r="H1722" s="1" t="n">
        <v>232988</v>
      </c>
      <c r="I1722" s="1" t="n">
        <v>268180</v>
      </c>
      <c r="J1722" s="9" t="n">
        <v>0.869</v>
      </c>
      <c r="K1722" s="1" t="inlineStr">
        <is>
          <t>Yes</t>
        </is>
      </c>
      <c r="L1722" s="1" t="inlineStr">
        <is>
          <t>Yes</t>
        </is>
      </c>
      <c r="M1722" s="1" t="inlineStr">
        <is>
          <t>No</t>
        </is>
      </c>
      <c r="N1722" s="1" t="inlineStr">
        <is>
          <t>JavaScript</t>
        </is>
      </c>
      <c r="O17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23" ht="15.75" customHeight="1" s="12">
      <c r="A1723" s="1" t="n">
        <v>3110</v>
      </c>
      <c r="B1723" s="3">
        <f>HYPERLINK("https://leetcode.com/problems/score-of-a-string/", "Score of a String")</f>
        <v/>
      </c>
      <c r="C1723" s="1" t="n">
        <v>818</v>
      </c>
      <c r="D1723" s="1" t="n">
        <v>52</v>
      </c>
      <c r="E1723" s="4">
        <f>IF(INDEX(C:C, ROW())+INDEX(D:D, ROW())=0, 0, INDEX(C:C, ROW())/(INDEX(C:C, ROW())+INDEX(D:D, ROW())))</f>
        <v/>
      </c>
      <c r="F1723" s="1" t="inlineStr">
        <is>
          <t>String</t>
        </is>
      </c>
      <c r="G1723" s="1" t="inlineStr">
        <is>
          <t>Easy</t>
        </is>
      </c>
      <c r="H1723" s="1" t="n">
        <v>422057</v>
      </c>
      <c r="I1723" s="1" t="n">
        <v>461736</v>
      </c>
      <c r="J1723" s="9" t="n">
        <v>0.914</v>
      </c>
      <c r="K1723" s="1" t="inlineStr">
        <is>
          <t>Yes</t>
        </is>
      </c>
      <c r="L1723" s="1" t="inlineStr">
        <is>
          <t>Yes</t>
        </is>
      </c>
      <c r="M1723" s="1" t="inlineStr">
        <is>
          <t>No</t>
        </is>
      </c>
      <c r="N1723" s="1" t="inlineStr">
        <is>
          <t>Algorithms</t>
        </is>
      </c>
      <c r="O17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24" ht="15.75" customHeight="1" s="12">
      <c r="A1724" s="1" t="n">
        <v>1244</v>
      </c>
      <c r="B1724" s="3">
        <f>HYPERLINK("https://leetcode.com/problems/design-a-leaderboard/", "Design A Leaderboard")</f>
        <v/>
      </c>
      <c r="C1724" s="1" t="n">
        <v>817</v>
      </c>
      <c r="D1724" s="1" t="n">
        <v>98</v>
      </c>
      <c r="E1724" s="4">
        <f>IF(INDEX(C:C, ROW())+INDEX(D:D, ROW())=0, 0, INDEX(C:C, ROW())/(INDEX(C:C, ROW())+INDEX(D:D, ROW())))</f>
        <v/>
      </c>
      <c r="F1724" s="1" t="inlineStr">
        <is>
          <t>Hash Table, Design, Sorting</t>
        </is>
      </c>
      <c r="G1724" s="1" t="inlineStr">
        <is>
          <t>Medium</t>
        </is>
      </c>
      <c r="H1724" s="1" t="n">
        <v>93995</v>
      </c>
      <c r="I1724" s="1" t="n">
        <v>138029</v>
      </c>
      <c r="J1724" s="9" t="n">
        <v>0.681</v>
      </c>
      <c r="K1724" s="1" t="inlineStr">
        <is>
          <t>No</t>
        </is>
      </c>
      <c r="L1724" s="1" t="inlineStr">
        <is>
          <t>Yes</t>
        </is>
      </c>
      <c r="M1724" s="1" t="inlineStr">
        <is>
          <t>No</t>
        </is>
      </c>
      <c r="N1724" s="1" t="inlineStr">
        <is>
          <t>Algorithms</t>
        </is>
      </c>
      <c r="O17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25" ht="15.75" customHeight="1" s="12">
      <c r="A1725" s="1" t="n">
        <v>2780</v>
      </c>
      <c r="B1725" s="3">
        <f>HYPERLINK("https://leetcode.com/problems/minimum-index-of-a-valid-split/", "Minimum Index of a Valid Split")</f>
        <v/>
      </c>
      <c r="C1725" s="1" t="n">
        <v>817</v>
      </c>
      <c r="D1725" s="1" t="n">
        <v>47</v>
      </c>
      <c r="E1725" s="4">
        <f>IF(INDEX(C:C, ROW())+INDEX(D:D, ROW())=0, 0, INDEX(C:C, ROW())/(INDEX(C:C, ROW())+INDEX(D:D, ROW())))</f>
        <v/>
      </c>
      <c r="F1725" s="1" t="inlineStr">
        <is>
          <t>Array, Hash Table, Sorting</t>
        </is>
      </c>
      <c r="G1725" s="1" t="inlineStr">
        <is>
          <t>Medium</t>
        </is>
      </c>
      <c r="H1725" s="1" t="n">
        <v>147404</v>
      </c>
      <c r="I1725" s="1" t="n">
        <v>195196</v>
      </c>
      <c r="J1725" s="9" t="n">
        <v>0.755</v>
      </c>
      <c r="K1725" s="1" t="inlineStr">
        <is>
          <t>Yes</t>
        </is>
      </c>
      <c r="L1725" s="1" t="inlineStr">
        <is>
          <t>Yes</t>
        </is>
      </c>
      <c r="M1725" s="1" t="inlineStr">
        <is>
          <t>No</t>
        </is>
      </c>
      <c r="N1725" s="1" t="inlineStr">
        <is>
          <t>Algorithms</t>
        </is>
      </c>
      <c r="O17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26" ht="15.75" customHeight="1" s="12">
      <c r="A1726" s="1" t="n">
        <v>517</v>
      </c>
      <c r="B1726" s="3">
        <f>HYPERLINK("https://leetcode.com/problems/super-washing-machines/", "Super Washing Machines")</f>
        <v/>
      </c>
      <c r="C1726" s="1" t="n">
        <v>815</v>
      </c>
      <c r="D1726" s="1" t="n">
        <v>222</v>
      </c>
      <c r="E1726" s="4">
        <f>IF(INDEX(C:C, ROW())+INDEX(D:D, ROW())=0, 0, INDEX(C:C, ROW())/(INDEX(C:C, ROW())+INDEX(D:D, ROW())))</f>
        <v/>
      </c>
      <c r="F1726" s="1" t="inlineStr">
        <is>
          <t>Array, Greedy</t>
        </is>
      </c>
      <c r="G1726" s="1" t="inlineStr">
        <is>
          <t>Hard</t>
        </is>
      </c>
      <c r="H1726" s="1" t="n">
        <v>38186</v>
      </c>
      <c r="I1726" s="1" t="n">
        <v>87492</v>
      </c>
      <c r="J1726" s="9" t="n">
        <v>0.436</v>
      </c>
      <c r="K1726" s="1" t="inlineStr">
        <is>
          <t>Yes</t>
        </is>
      </c>
      <c r="L1726" s="1" t="inlineStr">
        <is>
          <t>Yes</t>
        </is>
      </c>
      <c r="M1726" s="1" t="inlineStr">
        <is>
          <t>No</t>
        </is>
      </c>
      <c r="N1726" s="1" t="inlineStr">
        <is>
          <t>Algorithms</t>
        </is>
      </c>
      <c r="O17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27" ht="15.75" customHeight="1" s="12">
      <c r="A1727" s="1" t="n">
        <v>610</v>
      </c>
      <c r="B1727" s="3">
        <f>HYPERLINK("https://leetcode.com/problems/triangle-judgement/", "Triangle Judgement")</f>
        <v/>
      </c>
      <c r="C1727" s="1" t="n">
        <v>815</v>
      </c>
      <c r="D1727" s="1" t="n">
        <v>229</v>
      </c>
      <c r="E1727" s="4">
        <f>IF(INDEX(C:C, ROW())+INDEX(D:D, ROW())=0, 0, INDEX(C:C, ROW())/(INDEX(C:C, ROW())+INDEX(D:D, ROW())))</f>
        <v/>
      </c>
      <c r="F1727" s="1" t="inlineStr">
        <is>
          <t>Database</t>
        </is>
      </c>
      <c r="G1727" s="1" t="inlineStr">
        <is>
          <t>Easy</t>
        </is>
      </c>
      <c r="H1727" s="1" t="n">
        <v>437698</v>
      </c>
      <c r="I1727" s="1" t="n">
        <v>587863</v>
      </c>
      <c r="J1727" s="9" t="n">
        <v>0.745</v>
      </c>
      <c r="K1727" s="1" t="inlineStr">
        <is>
          <t>Yes</t>
        </is>
      </c>
      <c r="L1727" s="1" t="inlineStr">
        <is>
          <t>Yes</t>
        </is>
      </c>
      <c r="M1727" s="1" t="inlineStr">
        <is>
          <t>No</t>
        </is>
      </c>
      <c r="N1727" s="1" t="inlineStr">
        <is>
          <t>Database</t>
        </is>
      </c>
      <c r="O17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28" ht="15.75" customHeight="1" s="12">
      <c r="A1728" s="1" t="n">
        <v>1668</v>
      </c>
      <c r="B1728" s="3">
        <f>HYPERLINK("https://leetcode.com/problems/maximum-repeating-substring/", "Maximum Repeating Substring")</f>
        <v/>
      </c>
      <c r="C1728" s="1" t="n">
        <v>815</v>
      </c>
      <c r="D1728" s="1" t="n">
        <v>296</v>
      </c>
      <c r="E1728" s="4">
        <f>IF(INDEX(C:C, ROW())+INDEX(D:D, ROW())=0, 0, INDEX(C:C, ROW())/(INDEX(C:C, ROW())+INDEX(D:D, ROW())))</f>
        <v/>
      </c>
      <c r="F1728" s="1" t="inlineStr">
        <is>
          <t>String, Dynamic Programming, String Matching</t>
        </is>
      </c>
      <c r="G1728" s="1" t="inlineStr">
        <is>
          <t>Easy</t>
        </is>
      </c>
      <c r="H1728" s="1" t="n">
        <v>100395</v>
      </c>
      <c r="I1728" s="1" t="n">
        <v>245945</v>
      </c>
      <c r="J1728" s="9" t="n">
        <v>0.408</v>
      </c>
      <c r="K1728" s="1" t="inlineStr">
        <is>
          <t>Yes</t>
        </is>
      </c>
      <c r="L1728" s="1" t="inlineStr">
        <is>
          <t>No</t>
        </is>
      </c>
      <c r="M1728" s="1" t="inlineStr">
        <is>
          <t>No</t>
        </is>
      </c>
      <c r="N1728" s="1" t="inlineStr">
        <is>
          <t>Algorithms</t>
        </is>
      </c>
      <c r="O17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29" ht="15.75" customHeight="1" s="12">
      <c r="A1729" s="1" t="n">
        <v>1589</v>
      </c>
      <c r="B1729" s="3">
        <f>HYPERLINK("https://leetcode.com/problems/maximum-sum-obtained-of-any-permutation/", "Maximum Sum Obtained of Any Permutation")</f>
        <v/>
      </c>
      <c r="C1729" s="1" t="n">
        <v>814</v>
      </c>
      <c r="D1729" s="1" t="n">
        <v>40</v>
      </c>
      <c r="E1729" s="4">
        <f>IF(INDEX(C:C, ROW())+INDEX(D:D, ROW())=0, 0, INDEX(C:C, ROW())/(INDEX(C:C, ROW())+INDEX(D:D, ROW())))</f>
        <v/>
      </c>
      <c r="F1729" s="1" t="inlineStr">
        <is>
          <t>Array, Greedy, Sorting, Prefix Sum</t>
        </is>
      </c>
      <c r="G1729" s="1" t="inlineStr">
        <is>
          <t>Medium</t>
        </is>
      </c>
      <c r="H1729" s="1" t="n">
        <v>27191</v>
      </c>
      <c r="I1729" s="1" t="n">
        <v>67850</v>
      </c>
      <c r="J1729" s="9" t="n">
        <v>0.401</v>
      </c>
      <c r="K1729" s="1" t="inlineStr">
        <is>
          <t>Yes</t>
        </is>
      </c>
      <c r="L1729" s="1" t="inlineStr">
        <is>
          <t>No</t>
        </is>
      </c>
      <c r="M1729" s="1" t="inlineStr">
        <is>
          <t>No</t>
        </is>
      </c>
      <c r="N1729" s="1" t="inlineStr">
        <is>
          <t>Algorithms</t>
        </is>
      </c>
      <c r="O17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30" ht="15.75" customHeight="1" s="12">
      <c r="A1730" s="1" t="n">
        <v>2824</v>
      </c>
      <c r="B1730" s="3">
        <f>HYPERLINK("https://leetcode.com/problems/count-pairs-whose-sum-is-less-than-target/", "Count Pairs Whose Sum is Less than Target")</f>
        <v/>
      </c>
      <c r="C1730" s="1" t="n">
        <v>814</v>
      </c>
      <c r="D1730" s="1" t="n">
        <v>90</v>
      </c>
      <c r="E1730" s="4">
        <f>IF(INDEX(C:C, ROW())+INDEX(D:D, ROW())=0, 0, INDEX(C:C, ROW())/(INDEX(C:C, ROW())+INDEX(D:D, ROW())))</f>
        <v/>
      </c>
      <c r="F1730" s="1" t="inlineStr">
        <is>
          <t>Array, Two Pointers, Binary Search, Sorting</t>
        </is>
      </c>
      <c r="G1730" s="1" t="inlineStr">
        <is>
          <t>Easy</t>
        </is>
      </c>
      <c r="H1730" s="1" t="n">
        <v>249625</v>
      </c>
      <c r="I1730" s="1" t="n">
        <v>284788</v>
      </c>
      <c r="J1730" s="9" t="n">
        <v>0.877</v>
      </c>
      <c r="K1730" s="1" t="inlineStr">
        <is>
          <t>Yes</t>
        </is>
      </c>
      <c r="L1730" s="1" t="inlineStr">
        <is>
          <t>No</t>
        </is>
      </c>
      <c r="M1730" s="1" t="inlineStr">
        <is>
          <t>No</t>
        </is>
      </c>
      <c r="N1730" s="1" t="inlineStr">
        <is>
          <t>Algorithms</t>
        </is>
      </c>
      <c r="O17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31" ht="15.75" customHeight="1" s="12">
      <c r="A1731" s="1" t="n">
        <v>933</v>
      </c>
      <c r="B1731" s="3">
        <f>HYPERLINK("https://leetcode.com/problems/number-of-recent-calls/", "Number of Recent Calls")</f>
        <v/>
      </c>
      <c r="C1731" s="1" t="n">
        <v>813</v>
      </c>
      <c r="D1731" s="1" t="n">
        <v>1181</v>
      </c>
      <c r="E1731" s="4">
        <f>IF(INDEX(C:C, ROW())+INDEX(D:D, ROW())=0, 0, INDEX(C:C, ROW())/(INDEX(C:C, ROW())+INDEX(D:D, ROW())))</f>
        <v/>
      </c>
      <c r="F1731" s="1" t="inlineStr">
        <is>
          <t>Design, Queue, Data Stream</t>
        </is>
      </c>
      <c r="G1731" s="1" t="inlineStr">
        <is>
          <t>Easy</t>
        </is>
      </c>
      <c r="H1731" s="1" t="n">
        <v>487121</v>
      </c>
      <c r="I1731" s="1" t="n">
        <v>624267</v>
      </c>
      <c r="J1731" s="9" t="n">
        <v>0.78</v>
      </c>
      <c r="K1731" s="1" t="inlineStr">
        <is>
          <t>Yes</t>
        </is>
      </c>
      <c r="L1731" s="1" t="inlineStr">
        <is>
          <t>Yes</t>
        </is>
      </c>
      <c r="M1731" s="1" t="inlineStr">
        <is>
          <t>No</t>
        </is>
      </c>
      <c r="N1731" s="1" t="inlineStr">
        <is>
          <t>Algorithms</t>
        </is>
      </c>
      <c r="O17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32" ht="15.75" customHeight="1" s="12">
      <c r="A1732" s="1" t="n">
        <v>1184</v>
      </c>
      <c r="B1732" s="3">
        <f>HYPERLINK("https://leetcode.com/problems/distance-between-bus-stops/", "Distance Between Bus Stops")</f>
        <v/>
      </c>
      <c r="C1732" s="1" t="n">
        <v>813</v>
      </c>
      <c r="D1732" s="1" t="n">
        <v>95</v>
      </c>
      <c r="E1732" s="4">
        <f>IF(INDEX(C:C, ROW())+INDEX(D:D, ROW())=0, 0, INDEX(C:C, ROW())/(INDEX(C:C, ROW())+INDEX(D:D, ROW())))</f>
        <v/>
      </c>
      <c r="F1732" s="1" t="inlineStr">
        <is>
          <t>Array</t>
        </is>
      </c>
      <c r="G1732" s="1" t="inlineStr">
        <is>
          <t>Easy</t>
        </is>
      </c>
      <c r="H1732" s="1" t="n">
        <v>76560</v>
      </c>
      <c r="I1732" s="1" t="n">
        <v>138871</v>
      </c>
      <c r="J1732" s="9" t="n">
        <v>0.551</v>
      </c>
      <c r="K1732" s="1" t="inlineStr">
        <is>
          <t>Yes</t>
        </is>
      </c>
      <c r="L1732" s="1" t="inlineStr">
        <is>
          <t>No</t>
        </is>
      </c>
      <c r="M1732" s="1" t="inlineStr">
        <is>
          <t>No</t>
        </is>
      </c>
      <c r="N1732" s="1" t="inlineStr">
        <is>
          <t>Algorithms</t>
        </is>
      </c>
      <c r="O17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33" ht="15.75" customHeight="1" s="12">
      <c r="A1733" s="1" t="n">
        <v>2032</v>
      </c>
      <c r="B1733" s="3">
        <f>HYPERLINK("https://leetcode.com/problems/two-out-of-three/", "Two Out of Three")</f>
        <v/>
      </c>
      <c r="C1733" s="1" t="n">
        <v>812</v>
      </c>
      <c r="D1733" s="1" t="n">
        <v>52</v>
      </c>
      <c r="E1733" s="4">
        <f>IF(INDEX(C:C, ROW())+INDEX(D:D, ROW())=0, 0, INDEX(C:C, ROW())/(INDEX(C:C, ROW())+INDEX(D:D, ROW())))</f>
        <v/>
      </c>
      <c r="F1733" s="1" t="inlineStr">
        <is>
          <t>Array, Hash Table, Bit Manipulation</t>
        </is>
      </c>
      <c r="G1733" s="1" t="inlineStr">
        <is>
          <t>Easy</t>
        </is>
      </c>
      <c r="H1733" s="1" t="n">
        <v>99136</v>
      </c>
      <c r="I1733" s="1" t="n">
        <v>128297</v>
      </c>
      <c r="J1733" s="9" t="n">
        <v>0.773</v>
      </c>
      <c r="K1733" s="1" t="inlineStr">
        <is>
          <t>Yes</t>
        </is>
      </c>
      <c r="L1733" s="1" t="inlineStr">
        <is>
          <t>No</t>
        </is>
      </c>
      <c r="M1733" s="1" t="inlineStr">
        <is>
          <t>No</t>
        </is>
      </c>
      <c r="N1733" s="1" t="inlineStr">
        <is>
          <t>Algorithms</t>
        </is>
      </c>
      <c r="O17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34" ht="15.75" customHeight="1" s="12">
      <c r="A1734" s="1" t="n">
        <v>1030</v>
      </c>
      <c r="B1734" s="3">
        <f>HYPERLINK("https://leetcode.com/problems/matrix-cells-in-distance-order/", "Matrix Cells in Distance Order")</f>
        <v/>
      </c>
      <c r="C1734" s="1" t="n">
        <v>811</v>
      </c>
      <c r="D1734" s="1" t="n">
        <v>344</v>
      </c>
      <c r="E1734" s="4">
        <f>IF(INDEX(C:C, ROW())+INDEX(D:D, ROW())=0, 0, INDEX(C:C, ROW())/(INDEX(C:C, ROW())+INDEX(D:D, ROW())))</f>
        <v/>
      </c>
      <c r="F1734" s="1" t="inlineStr">
        <is>
          <t>Array, Math, Geometry, Sorting, Matrix</t>
        </is>
      </c>
      <c r="G1734" s="1" t="inlineStr">
        <is>
          <t>Easy</t>
        </is>
      </c>
      <c r="H1734" s="1" t="n">
        <v>76220</v>
      </c>
      <c r="I1734" s="1" t="n">
        <v>103381</v>
      </c>
      <c r="J1734" s="9" t="n">
        <v>0.737</v>
      </c>
      <c r="K1734" s="1" t="inlineStr">
        <is>
          <t>Yes</t>
        </is>
      </c>
      <c r="L1734" s="1" t="inlineStr">
        <is>
          <t>No</t>
        </is>
      </c>
      <c r="M1734" s="1" t="inlineStr">
        <is>
          <t>No</t>
        </is>
      </c>
      <c r="N1734" s="1" t="inlineStr">
        <is>
          <t>Algorithms</t>
        </is>
      </c>
      <c r="O17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35" ht="15.75" customHeight="1" s="12">
      <c r="A1735" s="1" t="n">
        <v>1670</v>
      </c>
      <c r="B1735" s="3">
        <f>HYPERLINK("https://leetcode.com/problems/design-front-middle-back-queue/", "Design Front Middle Back Queue")</f>
        <v/>
      </c>
      <c r="C1735" s="1" t="n">
        <v>811</v>
      </c>
      <c r="D1735" s="1" t="n">
        <v>114</v>
      </c>
      <c r="E1735" s="4">
        <f>IF(INDEX(C:C, ROW())+INDEX(D:D, ROW())=0, 0, INDEX(C:C, ROW())/(INDEX(C:C, ROW())+INDEX(D:D, ROW())))</f>
        <v/>
      </c>
      <c r="F1735" s="1" t="inlineStr">
        <is>
          <t>Array, Linked List, Design, Queue, Doubly-Linked List, Data Stream</t>
        </is>
      </c>
      <c r="G1735" s="1" t="inlineStr">
        <is>
          <t>Medium</t>
        </is>
      </c>
      <c r="H1735" s="1" t="n">
        <v>41130</v>
      </c>
      <c r="I1735" s="1" t="n">
        <v>72448</v>
      </c>
      <c r="J1735" s="9" t="n">
        <v>0.5679999999999999</v>
      </c>
      <c r="K1735" s="1" t="inlineStr">
        <is>
          <t>Yes</t>
        </is>
      </c>
      <c r="L1735" s="1" t="inlineStr">
        <is>
          <t>No</t>
        </is>
      </c>
      <c r="M1735" s="1" t="inlineStr">
        <is>
          <t>No</t>
        </is>
      </c>
      <c r="N1735" s="1" t="inlineStr">
        <is>
          <t>Algorithms</t>
        </is>
      </c>
      <c r="O17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36" ht="15.75" customHeight="1" s="12">
      <c r="A1736" s="1" t="n">
        <v>2322</v>
      </c>
      <c r="B1736" s="3">
        <f>HYPERLINK("https://leetcode.com/problems/minimum-score-after-removals-on-a-tree/", "Minimum Score After Removals on a Tree")</f>
        <v/>
      </c>
      <c r="C1736" s="1" t="n">
        <v>809</v>
      </c>
      <c r="D1736" s="1" t="n">
        <v>47</v>
      </c>
      <c r="E1736" s="4">
        <f>IF(INDEX(C:C, ROW())+INDEX(D:D, ROW())=0, 0, INDEX(C:C, ROW())/(INDEX(C:C, ROW())+INDEX(D:D, ROW())))</f>
        <v/>
      </c>
      <c r="F1736" s="1" t="inlineStr">
        <is>
          <t>Array, Bit Manipulation, Tree, Depth-First Search</t>
        </is>
      </c>
      <c r="G1736" s="1" t="inlineStr">
        <is>
          <t>Hard</t>
        </is>
      </c>
      <c r="H1736" s="1" t="n">
        <v>69116</v>
      </c>
      <c r="I1736" s="1" t="n">
        <v>90670</v>
      </c>
      <c r="J1736" s="9" t="n">
        <v>0.762</v>
      </c>
      <c r="K1736" s="1" t="inlineStr">
        <is>
          <t>Yes</t>
        </is>
      </c>
      <c r="L1736" s="1" t="inlineStr">
        <is>
          <t>Yes</t>
        </is>
      </c>
      <c r="M1736" s="1" t="inlineStr">
        <is>
          <t>No</t>
        </is>
      </c>
      <c r="N1736" s="1" t="inlineStr">
        <is>
          <t>Algorithms</t>
        </is>
      </c>
      <c r="O17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37" ht="15.75" customHeight="1" s="12">
      <c r="A1737" s="1" t="n">
        <v>3133</v>
      </c>
      <c r="B1737" s="3">
        <f>HYPERLINK("https://leetcode.com/problems/minimum-array-end/", "Minimum Array End")</f>
        <v/>
      </c>
      <c r="C1737" s="1" t="n">
        <v>809</v>
      </c>
      <c r="D1737" s="1" t="n">
        <v>99</v>
      </c>
      <c r="E1737" s="4">
        <f>IF(INDEX(C:C, ROW())+INDEX(D:D, ROW())=0, 0, INDEX(C:C, ROW())/(INDEX(C:C, ROW())+INDEX(D:D, ROW())))</f>
        <v/>
      </c>
      <c r="F1737" s="1" t="inlineStr">
        <is>
          <t>Bit Manipulation</t>
        </is>
      </c>
      <c r="G1737" s="1" t="inlineStr">
        <is>
          <t>Medium</t>
        </is>
      </c>
      <c r="H1737" s="1" t="n">
        <v>109064</v>
      </c>
      <c r="I1737" s="1" t="n">
        <v>196676</v>
      </c>
      <c r="J1737" s="9" t="n">
        <v>0.555</v>
      </c>
      <c r="K1737" s="1" t="inlineStr">
        <is>
          <t>Yes</t>
        </is>
      </c>
      <c r="L1737" s="1" t="inlineStr">
        <is>
          <t>Yes</t>
        </is>
      </c>
      <c r="M1737" s="1" t="inlineStr">
        <is>
          <t>No</t>
        </is>
      </c>
      <c r="N1737" s="1" t="inlineStr">
        <is>
          <t>Algorithms</t>
        </is>
      </c>
      <c r="O17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38" ht="15.75" customHeight="1" s="12">
      <c r="A1738" s="1" t="n">
        <v>457</v>
      </c>
      <c r="B1738" s="3">
        <f>HYPERLINK("https://leetcode.com/problems/circular-array-loop/", "Circular Array Loop")</f>
        <v/>
      </c>
      <c r="C1738" s="1" t="n">
        <v>807</v>
      </c>
      <c r="D1738" s="1" t="n">
        <v>890</v>
      </c>
      <c r="E1738" s="4">
        <f>IF(INDEX(C:C, ROW())+INDEX(D:D, ROW())=0, 0, INDEX(C:C, ROW())/(INDEX(C:C, ROW())+INDEX(D:D, ROW())))</f>
        <v/>
      </c>
      <c r="F1738" s="1" t="inlineStr">
        <is>
          <t>Array, Hash Table, Two Pointers</t>
        </is>
      </c>
      <c r="G1738" s="1" t="inlineStr">
        <is>
          <t>Medium</t>
        </is>
      </c>
      <c r="H1738" s="1" t="n">
        <v>103689</v>
      </c>
      <c r="I1738" s="1" t="n">
        <v>282120</v>
      </c>
      <c r="J1738" s="9" t="n">
        <v>0.368</v>
      </c>
      <c r="K1738" s="1" t="inlineStr">
        <is>
          <t>Yes</t>
        </is>
      </c>
      <c r="L1738" s="1" t="inlineStr">
        <is>
          <t>No</t>
        </is>
      </c>
      <c r="M1738" s="1" t="inlineStr">
        <is>
          <t>No</t>
        </is>
      </c>
      <c r="N1738" s="1" t="inlineStr">
        <is>
          <t>Algorithms</t>
        </is>
      </c>
      <c r="O17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39" ht="15.75" customHeight="1" s="12">
      <c r="A1739" s="1" t="n">
        <v>1850</v>
      </c>
      <c r="B1739" s="3">
        <f>HYPERLINK("https://leetcode.com/problems/minimum-adjacent-swaps-to-reach-the-kth-smallest-number/", "Minimum Adjacent Swaps to Reach the Kth Smallest Number")</f>
        <v/>
      </c>
      <c r="C1739" s="1" t="n">
        <v>807</v>
      </c>
      <c r="D1739" s="1" t="n">
        <v>118</v>
      </c>
      <c r="E1739" s="4">
        <f>IF(INDEX(C:C, ROW())+INDEX(D:D, ROW())=0, 0, INDEX(C:C, ROW())/(INDEX(C:C, ROW())+INDEX(D:D, ROW())))</f>
        <v/>
      </c>
      <c r="F1739" s="1" t="inlineStr">
        <is>
          <t>Two Pointers, String, Greedy</t>
        </is>
      </c>
      <c r="G1739" s="1" t="inlineStr">
        <is>
          <t>Medium</t>
        </is>
      </c>
      <c r="H1739" s="1" t="n">
        <v>27089</v>
      </c>
      <c r="I1739" s="1" t="n">
        <v>37701</v>
      </c>
      <c r="J1739" s="9" t="n">
        <v>0.719</v>
      </c>
      <c r="K1739" s="1" t="inlineStr">
        <is>
          <t>Yes</t>
        </is>
      </c>
      <c r="L1739" s="1" t="inlineStr">
        <is>
          <t>No</t>
        </is>
      </c>
      <c r="M1739" s="1" t="inlineStr">
        <is>
          <t>No</t>
        </is>
      </c>
      <c r="N1739" s="1" t="inlineStr">
        <is>
          <t>Algorithms</t>
        </is>
      </c>
      <c r="O17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40" ht="15.75" customHeight="1" s="12">
      <c r="A1740" s="1" t="n">
        <v>2129</v>
      </c>
      <c r="B1740" s="3">
        <f>HYPERLINK("https://leetcode.com/problems/capitalize-the-title/", "Capitalize the Title")</f>
        <v/>
      </c>
      <c r="C1740" s="1" t="n">
        <v>807</v>
      </c>
      <c r="D1740" s="1" t="n">
        <v>52</v>
      </c>
      <c r="E1740" s="4">
        <f>IF(INDEX(C:C, ROW())+INDEX(D:D, ROW())=0, 0, INDEX(C:C, ROW())/(INDEX(C:C, ROW())+INDEX(D:D, ROW())))</f>
        <v/>
      </c>
      <c r="F1740" s="1" t="inlineStr">
        <is>
          <t>String</t>
        </is>
      </c>
      <c r="G1740" s="1" t="inlineStr">
        <is>
          <t>Easy</t>
        </is>
      </c>
      <c r="H1740" s="1" t="n">
        <v>90956</v>
      </c>
      <c r="I1740" s="1" t="n">
        <v>134589</v>
      </c>
      <c r="J1740" s="9" t="n">
        <v>0.676</v>
      </c>
      <c r="K1740" s="1" t="inlineStr">
        <is>
          <t>Yes</t>
        </is>
      </c>
      <c r="L1740" s="1" t="inlineStr">
        <is>
          <t>No</t>
        </is>
      </c>
      <c r="M1740" s="1" t="inlineStr">
        <is>
          <t>No</t>
        </is>
      </c>
      <c r="N1740" s="1" t="inlineStr">
        <is>
          <t>Algorithms</t>
        </is>
      </c>
      <c r="O17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41" ht="15.75" customHeight="1" s="12">
      <c r="A1741" s="1" t="n">
        <v>2248</v>
      </c>
      <c r="B1741" s="3">
        <f>HYPERLINK("https://leetcode.com/problems/intersection-of-multiple-arrays/", "Intersection of Multiple Arrays")</f>
        <v/>
      </c>
      <c r="C1741" s="1" t="n">
        <v>803</v>
      </c>
      <c r="D1741" s="1" t="n">
        <v>44</v>
      </c>
      <c r="E1741" s="4">
        <f>IF(INDEX(C:C, ROW())+INDEX(D:D, ROW())=0, 0, INDEX(C:C, ROW())/(INDEX(C:C, ROW())+INDEX(D:D, ROW())))</f>
        <v/>
      </c>
      <c r="F1741" s="1" t="inlineStr">
        <is>
          <t>Array, Hash Table, Sorting, Counting</t>
        </is>
      </c>
      <c r="G1741" s="1" t="inlineStr">
        <is>
          <t>Easy</t>
        </is>
      </c>
      <c r="H1741" s="1" t="n">
        <v>123338</v>
      </c>
      <c r="I1741" s="1" t="n">
        <v>179765</v>
      </c>
      <c r="J1741" s="9" t="n">
        <v>0.6860000000000001</v>
      </c>
      <c r="K1741" s="1" t="inlineStr">
        <is>
          <t>Yes</t>
        </is>
      </c>
      <c r="L1741" s="1" t="inlineStr">
        <is>
          <t>No</t>
        </is>
      </c>
      <c r="M1741" s="1" t="inlineStr">
        <is>
          <t>No</t>
        </is>
      </c>
      <c r="N1741" s="1" t="inlineStr">
        <is>
          <t>Algorithms</t>
        </is>
      </c>
      <c r="O17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42" ht="15.75" customHeight="1" s="12">
      <c r="A1742" s="1" t="n">
        <v>2634</v>
      </c>
      <c r="B1742" s="3">
        <f>HYPERLINK("https://leetcode.com/problems/filter-elements-from-array/", "Filter Elements from Array")</f>
        <v/>
      </c>
      <c r="C1742" s="1" t="n">
        <v>803</v>
      </c>
      <c r="D1742" s="1" t="n">
        <v>107</v>
      </c>
      <c r="E1742" s="4">
        <f>IF(INDEX(C:C, ROW())+INDEX(D:D, ROW())=0, 0, INDEX(C:C, ROW())/(INDEX(C:C, ROW())+INDEX(D:D, ROW())))</f>
        <v/>
      </c>
      <c r="F1742" s="2" t="n"/>
      <c r="G1742" s="1" t="inlineStr">
        <is>
          <t>Easy</t>
        </is>
      </c>
      <c r="H1742" s="1" t="n">
        <v>295708</v>
      </c>
      <c r="I1742" s="1" t="n">
        <v>345775</v>
      </c>
      <c r="J1742" s="9" t="n">
        <v>0.855</v>
      </c>
      <c r="K1742" s="1" t="inlineStr">
        <is>
          <t>Yes</t>
        </is>
      </c>
      <c r="L1742" s="1" t="inlineStr">
        <is>
          <t>Yes</t>
        </is>
      </c>
      <c r="M1742" s="1" t="inlineStr">
        <is>
          <t>No</t>
        </is>
      </c>
      <c r="N1742" s="1" t="inlineStr">
        <is>
          <t>JavaScript</t>
        </is>
      </c>
      <c r="O17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43" ht="15.75" customHeight="1" s="12">
      <c r="A1743" s="1" t="n">
        <v>2683</v>
      </c>
      <c r="B1743" s="3">
        <f>HYPERLINK("https://leetcode.com/problems/neighboring-bitwise-xor/", "Neighboring Bitwise XOR")</f>
        <v/>
      </c>
      <c r="C1743" s="1" t="n">
        <v>803</v>
      </c>
      <c r="D1743" s="1" t="n">
        <v>50</v>
      </c>
      <c r="E1743" s="4">
        <f>IF(INDEX(C:C, ROW())+INDEX(D:D, ROW())=0, 0, INDEX(C:C, ROW())/(INDEX(C:C, ROW())+INDEX(D:D, ROW())))</f>
        <v/>
      </c>
      <c r="F1743" s="1" t="inlineStr">
        <is>
          <t>Array, Bit Manipulation</t>
        </is>
      </c>
      <c r="G1743" s="1" t="inlineStr">
        <is>
          <t>Medium</t>
        </is>
      </c>
      <c r="H1743" s="1" t="n">
        <v>162345</v>
      </c>
      <c r="I1743" s="1" t="n">
        <v>203395</v>
      </c>
      <c r="J1743" s="9" t="n">
        <v>0.798</v>
      </c>
      <c r="K1743" s="1" t="inlineStr">
        <is>
          <t>Yes</t>
        </is>
      </c>
      <c r="L1743" s="1" t="inlineStr">
        <is>
          <t>Yes</t>
        </is>
      </c>
      <c r="M1743" s="1" t="inlineStr">
        <is>
          <t>No</t>
        </is>
      </c>
      <c r="N1743" s="1" t="inlineStr">
        <is>
          <t>Algorithms</t>
        </is>
      </c>
      <c r="O17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44" ht="15.75" customHeight="1" s="12">
      <c r="A1744" s="1" t="n">
        <v>2200</v>
      </c>
      <c r="B1744" s="3">
        <f>HYPERLINK("https://leetcode.com/problems/find-all-k-distant-indices-in-an-array/", "Find All K-Distant Indices in an Array")</f>
        <v/>
      </c>
      <c r="C1744" s="1" t="n">
        <v>802</v>
      </c>
      <c r="D1744" s="1" t="n">
        <v>136</v>
      </c>
      <c r="E1744" s="4">
        <f>IF(INDEX(C:C, ROW())+INDEX(D:D, ROW())=0, 0, INDEX(C:C, ROW())/(INDEX(C:C, ROW())+INDEX(D:D, ROW())))</f>
        <v/>
      </c>
      <c r="F1744" s="1" t="inlineStr">
        <is>
          <t>Array, Two Pointers</t>
        </is>
      </c>
      <c r="G1744" s="1" t="inlineStr">
        <is>
          <t>Easy</t>
        </is>
      </c>
      <c r="H1744" s="1" t="n">
        <v>178248</v>
      </c>
      <c r="I1744" s="1" t="n">
        <v>230292</v>
      </c>
      <c r="J1744" s="9" t="n">
        <v>0.774</v>
      </c>
      <c r="K1744" s="1" t="inlineStr">
        <is>
          <t>Yes</t>
        </is>
      </c>
      <c r="L1744" s="1" t="inlineStr">
        <is>
          <t>Yes</t>
        </is>
      </c>
      <c r="M1744" s="1" t="inlineStr">
        <is>
          <t>No</t>
        </is>
      </c>
      <c r="N1744" s="1" t="inlineStr">
        <is>
          <t>Algorithms</t>
        </is>
      </c>
      <c r="O17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45" ht="15.75" customHeight="1" s="12">
      <c r="A1745" s="1" t="n">
        <v>1734</v>
      </c>
      <c r="B1745" s="3">
        <f>HYPERLINK("https://leetcode.com/problems/decode-xored-permutation/", "Decode XORed Permutation")</f>
        <v/>
      </c>
      <c r="C1745" s="1" t="n">
        <v>799</v>
      </c>
      <c r="D1745" s="1" t="n">
        <v>35</v>
      </c>
      <c r="E1745" s="4">
        <f>IF(INDEX(C:C, ROW())+INDEX(D:D, ROW())=0, 0, INDEX(C:C, ROW())/(INDEX(C:C, ROW())+INDEX(D:D, ROW())))</f>
        <v/>
      </c>
      <c r="F1745" s="1" t="inlineStr">
        <is>
          <t>Array, Bit Manipulation</t>
        </is>
      </c>
      <c r="G1745" s="1" t="inlineStr">
        <is>
          <t>Medium</t>
        </is>
      </c>
      <c r="H1745" s="1" t="n">
        <v>19643</v>
      </c>
      <c r="I1745" s="1" t="n">
        <v>29477</v>
      </c>
      <c r="J1745" s="9" t="n">
        <v>0.666</v>
      </c>
      <c r="K1745" s="1" t="inlineStr">
        <is>
          <t>Yes</t>
        </is>
      </c>
      <c r="L1745" s="1" t="inlineStr">
        <is>
          <t>No</t>
        </is>
      </c>
      <c r="M1745" s="1" t="inlineStr">
        <is>
          <t>No</t>
        </is>
      </c>
      <c r="N1745" s="1" t="inlineStr">
        <is>
          <t>Algorithms</t>
        </is>
      </c>
      <c r="O17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46" ht="15.75" customHeight="1" s="12">
      <c r="A1746" s="1" t="n">
        <v>1741</v>
      </c>
      <c r="B1746" s="3">
        <f>HYPERLINK("https://leetcode.com/problems/find-total-time-spent-by-each-employee/", "Find Total Time Spent by Each Employee")</f>
        <v/>
      </c>
      <c r="C1746" s="1" t="n">
        <v>798</v>
      </c>
      <c r="D1746" s="1" t="n">
        <v>24</v>
      </c>
      <c r="E1746" s="4">
        <f>IF(INDEX(C:C, ROW())+INDEX(D:D, ROW())=0, 0, INDEX(C:C, ROW())/(INDEX(C:C, ROW())+INDEX(D:D, ROW())))</f>
        <v/>
      </c>
      <c r="F1746" s="1" t="inlineStr">
        <is>
          <t>Database</t>
        </is>
      </c>
      <c r="G1746" s="1" t="inlineStr">
        <is>
          <t>Easy</t>
        </is>
      </c>
      <c r="H1746" s="1" t="n">
        <v>208759</v>
      </c>
      <c r="I1746" s="1" t="n">
        <v>241431</v>
      </c>
      <c r="J1746" s="9" t="n">
        <v>0.865</v>
      </c>
      <c r="K1746" s="1" t="inlineStr">
        <is>
          <t>Yes</t>
        </is>
      </c>
      <c r="L1746" s="1" t="inlineStr">
        <is>
          <t>Yes</t>
        </is>
      </c>
      <c r="M1746" s="1" t="inlineStr">
        <is>
          <t>No</t>
        </is>
      </c>
      <c r="N1746" s="1" t="inlineStr">
        <is>
          <t>Database</t>
        </is>
      </c>
      <c r="O17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47" ht="15.75" customHeight="1" s="12">
      <c r="A1747" s="1" t="n">
        <v>2535</v>
      </c>
      <c r="B1747" s="3">
        <f>HYPERLINK("https://leetcode.com/problems/difference-between-element-sum-and-digit-sum-of-an-array/", "Difference Between Element Sum and Digit Sum of an Array")</f>
        <v/>
      </c>
      <c r="C1747" s="1" t="n">
        <v>797</v>
      </c>
      <c r="D1747" s="1" t="n">
        <v>30</v>
      </c>
      <c r="E1747" s="4">
        <f>IF(INDEX(C:C, ROW())+INDEX(D:D, ROW())=0, 0, INDEX(C:C, ROW())/(INDEX(C:C, ROW())+INDEX(D:D, ROW())))</f>
        <v/>
      </c>
      <c r="F1747" s="1" t="inlineStr">
        <is>
          <t>Array, Math</t>
        </is>
      </c>
      <c r="G1747" s="1" t="inlineStr">
        <is>
          <t>Easy</t>
        </is>
      </c>
      <c r="H1747" s="1" t="n">
        <v>193000</v>
      </c>
      <c r="I1747" s="1" t="n">
        <v>226453</v>
      </c>
      <c r="J1747" s="9" t="n">
        <v>0.852</v>
      </c>
      <c r="K1747" s="1" t="inlineStr">
        <is>
          <t>Yes</t>
        </is>
      </c>
      <c r="L1747" s="1" t="inlineStr">
        <is>
          <t>No</t>
        </is>
      </c>
      <c r="M1747" s="1" t="inlineStr">
        <is>
          <t>No</t>
        </is>
      </c>
      <c r="N1747" s="1" t="inlineStr">
        <is>
          <t>Algorithms</t>
        </is>
      </c>
      <c r="O17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48" ht="15.75" customHeight="1" s="12">
      <c r="A1748" s="1" t="n">
        <v>1399</v>
      </c>
      <c r="B1748" s="3">
        <f>HYPERLINK("https://leetcode.com/problems/count-largest-group/", "Count Largest Group")</f>
        <v/>
      </c>
      <c r="C1748" s="1" t="n">
        <v>796</v>
      </c>
      <c r="D1748" s="1" t="n">
        <v>1188</v>
      </c>
      <c r="E1748" s="4">
        <f>IF(INDEX(C:C, ROW())+INDEX(D:D, ROW())=0, 0, INDEX(C:C, ROW())/(INDEX(C:C, ROW())+INDEX(D:D, ROW())))</f>
        <v/>
      </c>
      <c r="F1748" s="1" t="inlineStr">
        <is>
          <t>Hash Table, Math</t>
        </is>
      </c>
      <c r="G1748" s="1" t="inlineStr">
        <is>
          <t>Easy</t>
        </is>
      </c>
      <c r="H1748" s="1" t="n">
        <v>182148</v>
      </c>
      <c r="I1748" s="1" t="n">
        <v>243721</v>
      </c>
      <c r="J1748" s="9" t="n">
        <v>0.747</v>
      </c>
      <c r="K1748" s="1" t="inlineStr">
        <is>
          <t>Yes</t>
        </is>
      </c>
      <c r="L1748" s="1" t="inlineStr">
        <is>
          <t>Yes</t>
        </is>
      </c>
      <c r="M1748" s="1" t="inlineStr">
        <is>
          <t>No</t>
        </is>
      </c>
      <c r="N1748" s="1" t="inlineStr">
        <is>
          <t>Algorithms</t>
        </is>
      </c>
      <c r="O17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49" ht="15.75" customHeight="1" s="12">
      <c r="A1749" s="1" t="n">
        <v>2598</v>
      </c>
      <c r="B1749" s="3">
        <f>HYPERLINK("https://leetcode.com/problems/smallest-missing-non-negative-integer-after-operations/", "Smallest Missing Non-negative Integer After Operations")</f>
        <v/>
      </c>
      <c r="C1749" s="1" t="n">
        <v>796</v>
      </c>
      <c r="D1749" s="1" t="n">
        <v>174</v>
      </c>
      <c r="E1749" s="4">
        <f>IF(INDEX(C:C, ROW())+INDEX(D:D, ROW())=0, 0, INDEX(C:C, ROW())/(INDEX(C:C, ROW())+INDEX(D:D, ROW())))</f>
        <v/>
      </c>
      <c r="F1749" s="1" t="inlineStr">
        <is>
          <t>Array, Hash Table, Math, Greedy</t>
        </is>
      </c>
      <c r="G1749" s="1" t="inlineStr">
        <is>
          <t>Medium</t>
        </is>
      </c>
      <c r="H1749" s="1" t="n">
        <v>112049</v>
      </c>
      <c r="I1749" s="1" t="n">
        <v>200289</v>
      </c>
      <c r="J1749" s="9" t="n">
        <v>0.5590000000000001</v>
      </c>
      <c r="K1749" s="1" t="inlineStr">
        <is>
          <t>Yes</t>
        </is>
      </c>
      <c r="L1749" s="1" t="inlineStr">
        <is>
          <t>Yes</t>
        </is>
      </c>
      <c r="M1749" s="1" t="inlineStr">
        <is>
          <t>No</t>
        </is>
      </c>
      <c r="N1749" s="1" t="inlineStr">
        <is>
          <t>Algorithms</t>
        </is>
      </c>
      <c r="O17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50" ht="15.75" customHeight="1" s="12">
      <c r="A1750" s="1" t="n">
        <v>1629</v>
      </c>
      <c r="B1750" s="3">
        <f>HYPERLINK("https://leetcode.com/problems/slowest-key/", "Slowest Key")</f>
        <v/>
      </c>
      <c r="C1750" s="1" t="n">
        <v>795</v>
      </c>
      <c r="D1750" s="1" t="n">
        <v>113</v>
      </c>
      <c r="E1750" s="4">
        <f>IF(INDEX(C:C, ROW())+INDEX(D:D, ROW())=0, 0, INDEX(C:C, ROW())/(INDEX(C:C, ROW())+INDEX(D:D, ROW())))</f>
        <v/>
      </c>
      <c r="F1750" s="1" t="inlineStr">
        <is>
          <t>Array, String</t>
        </is>
      </c>
      <c r="G1750" s="1" t="inlineStr">
        <is>
          <t>Easy</t>
        </is>
      </c>
      <c r="H1750" s="1" t="n">
        <v>114730</v>
      </c>
      <c r="I1750" s="1" t="n">
        <v>192904</v>
      </c>
      <c r="J1750" s="9" t="n">
        <v>0.595</v>
      </c>
      <c r="K1750" s="1" t="inlineStr">
        <is>
          <t>Yes</t>
        </is>
      </c>
      <c r="L1750" s="1" t="inlineStr">
        <is>
          <t>Yes</t>
        </is>
      </c>
      <c r="M1750" s="1" t="inlineStr">
        <is>
          <t>No</t>
        </is>
      </c>
      <c r="N1750" s="1" t="inlineStr">
        <is>
          <t>Algorithms</t>
        </is>
      </c>
      <c r="O17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51" ht="15.75" customHeight="1" s="12">
      <c r="A1751" s="1" t="n">
        <v>2239</v>
      </c>
      <c r="B1751" s="3">
        <f>HYPERLINK("https://leetcode.com/problems/find-closest-number-to-zero/", "Find Closest Number to Zero")</f>
        <v/>
      </c>
      <c r="C1751" s="1" t="n">
        <v>794</v>
      </c>
      <c r="D1751" s="1" t="n">
        <v>55</v>
      </c>
      <c r="E1751" s="4">
        <f>IF(INDEX(C:C, ROW())+INDEX(D:D, ROW())=0, 0, INDEX(C:C, ROW())/(INDEX(C:C, ROW())+INDEX(D:D, ROW())))</f>
        <v/>
      </c>
      <c r="F1751" s="1" t="inlineStr">
        <is>
          <t>Array</t>
        </is>
      </c>
      <c r="G1751" s="1" t="inlineStr">
        <is>
          <t>Easy</t>
        </is>
      </c>
      <c r="H1751" s="1" t="n">
        <v>200367</v>
      </c>
      <c r="I1751" s="1" t="n">
        <v>420384</v>
      </c>
      <c r="J1751" s="9" t="n">
        <v>0.477</v>
      </c>
      <c r="K1751" s="1" t="inlineStr">
        <is>
          <t>Yes</t>
        </is>
      </c>
      <c r="L1751" s="1" t="inlineStr">
        <is>
          <t>No</t>
        </is>
      </c>
      <c r="M1751" s="1" t="inlineStr">
        <is>
          <t>No</t>
        </is>
      </c>
      <c r="N1751" s="1" t="inlineStr">
        <is>
          <t>Algorithms</t>
        </is>
      </c>
      <c r="O17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52" ht="15.75" customHeight="1" s="12">
      <c r="A1752" s="1" t="n">
        <v>999</v>
      </c>
      <c r="B1752" s="3">
        <f>HYPERLINK("https://leetcode.com/problems/available-captures-for-rook/", "Available Captures for Rook")</f>
        <v/>
      </c>
      <c r="C1752" s="1" t="n">
        <v>793</v>
      </c>
      <c r="D1752" s="1" t="n">
        <v>645</v>
      </c>
      <c r="E1752" s="4">
        <f>IF(INDEX(C:C, ROW())+INDEX(D:D, ROW())=0, 0, INDEX(C:C, ROW())/(INDEX(C:C, ROW())+INDEX(D:D, ROW())))</f>
        <v/>
      </c>
      <c r="F1752" s="1" t="inlineStr">
        <is>
          <t>Array, Matrix, Simulation</t>
        </is>
      </c>
      <c r="G1752" s="1" t="inlineStr">
        <is>
          <t>Easy</t>
        </is>
      </c>
      <c r="H1752" s="1" t="n">
        <v>85768</v>
      </c>
      <c r="I1752" s="1" t="n">
        <v>120473</v>
      </c>
      <c r="J1752" s="9" t="n">
        <v>0.712</v>
      </c>
      <c r="K1752" s="1" t="inlineStr">
        <is>
          <t>Yes</t>
        </is>
      </c>
      <c r="L1752" s="1" t="inlineStr">
        <is>
          <t>No</t>
        </is>
      </c>
      <c r="M1752" s="1" t="inlineStr">
        <is>
          <t>No</t>
        </is>
      </c>
      <c r="N1752" s="1" t="inlineStr">
        <is>
          <t>Algorithms</t>
        </is>
      </c>
      <c r="O17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53" ht="15.75" customHeight="1" s="12">
      <c r="A1753" s="1" t="n">
        <v>761</v>
      </c>
      <c r="B1753" s="3">
        <f>HYPERLINK("https://leetcode.com/problems/special-binary-string/", "Special Binary String")</f>
        <v/>
      </c>
      <c r="C1753" s="1" t="n">
        <v>791</v>
      </c>
      <c r="D1753" s="1" t="n">
        <v>245</v>
      </c>
      <c r="E1753" s="4">
        <f>IF(INDEX(C:C, ROW())+INDEX(D:D, ROW())=0, 0, INDEX(C:C, ROW())/(INDEX(C:C, ROW())+INDEX(D:D, ROW())))</f>
        <v/>
      </c>
      <c r="F1753" s="1" t="inlineStr">
        <is>
          <t>String, Recursion</t>
        </is>
      </c>
      <c r="G1753" s="1" t="inlineStr">
        <is>
          <t>Hard</t>
        </is>
      </c>
      <c r="H1753" s="1" t="n">
        <v>29471</v>
      </c>
      <c r="I1753" s="1" t="n">
        <v>44713</v>
      </c>
      <c r="J1753" s="9" t="n">
        <v>0.659</v>
      </c>
      <c r="K1753" s="1" t="inlineStr">
        <is>
          <t>Yes</t>
        </is>
      </c>
      <c r="L1753" s="1" t="inlineStr">
        <is>
          <t>Yes</t>
        </is>
      </c>
      <c r="M1753" s="1" t="inlineStr">
        <is>
          <t>No</t>
        </is>
      </c>
      <c r="N1753" s="1" t="inlineStr">
        <is>
          <t>Algorithms</t>
        </is>
      </c>
      <c r="O17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54" ht="15.75" customHeight="1" s="12">
      <c r="A1754" s="1" t="n">
        <v>2138</v>
      </c>
      <c r="B1754" s="3">
        <f>HYPERLINK("https://leetcode.com/problems/divide-a-string-into-groups-of-size-k/", "Divide a String Into Groups of Size k")</f>
        <v/>
      </c>
      <c r="C1754" s="1" t="n">
        <v>791</v>
      </c>
      <c r="D1754" s="1" t="n">
        <v>31</v>
      </c>
      <c r="E1754" s="4">
        <f>IF(INDEX(C:C, ROW())+INDEX(D:D, ROW())=0, 0, INDEX(C:C, ROW())/(INDEX(C:C, ROW())+INDEX(D:D, ROW())))</f>
        <v/>
      </c>
      <c r="F1754" s="1" t="inlineStr">
        <is>
          <t>String, Simulation</t>
        </is>
      </c>
      <c r="G1754" s="1" t="inlineStr">
        <is>
          <t>Easy</t>
        </is>
      </c>
      <c r="H1754" s="1" t="n">
        <v>173704</v>
      </c>
      <c r="I1754" s="1" t="n">
        <v>225338</v>
      </c>
      <c r="J1754" s="9" t="n">
        <v>0.771</v>
      </c>
      <c r="K1754" s="1" t="inlineStr">
        <is>
          <t>Yes</t>
        </is>
      </c>
      <c r="L1754" s="1" t="inlineStr">
        <is>
          <t>Yes</t>
        </is>
      </c>
      <c r="M1754" s="1" t="inlineStr">
        <is>
          <t>No</t>
        </is>
      </c>
      <c r="N1754" s="1" t="inlineStr">
        <is>
          <t>Algorithms</t>
        </is>
      </c>
      <c r="O17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55" ht="15.75" customHeight="1" s="12">
      <c r="A1755" s="1" t="n">
        <v>2164</v>
      </c>
      <c r="B1755" s="3">
        <f>HYPERLINK("https://leetcode.com/problems/sort-even-and-odd-indices-independently/", "Sort Even and Odd Indices Independently")</f>
        <v/>
      </c>
      <c r="C1755" s="1" t="n">
        <v>791</v>
      </c>
      <c r="D1755" s="1" t="n">
        <v>70</v>
      </c>
      <c r="E1755" s="4">
        <f>IF(INDEX(C:C, ROW())+INDEX(D:D, ROW())=0, 0, INDEX(C:C, ROW())/(INDEX(C:C, ROW())+INDEX(D:D, ROW())))</f>
        <v/>
      </c>
      <c r="F1755" s="1" t="inlineStr">
        <is>
          <t>Array, Sorting</t>
        </is>
      </c>
      <c r="G1755" s="1" t="inlineStr">
        <is>
          <t>Easy</t>
        </is>
      </c>
      <c r="H1755" s="1" t="n">
        <v>87566</v>
      </c>
      <c r="I1755" s="1" t="n">
        <v>138816</v>
      </c>
      <c r="J1755" s="9" t="n">
        <v>0.631</v>
      </c>
      <c r="K1755" s="1" t="inlineStr">
        <is>
          <t>Yes</t>
        </is>
      </c>
      <c r="L1755" s="1" t="inlineStr">
        <is>
          <t>No</t>
        </is>
      </c>
      <c r="M1755" s="1" t="inlineStr">
        <is>
          <t>No</t>
        </is>
      </c>
      <c r="N1755" s="1" t="inlineStr">
        <is>
          <t>Algorithms</t>
        </is>
      </c>
      <c r="O17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56" ht="15.75" customHeight="1" s="12">
      <c r="A1756" s="1" t="n">
        <v>2233</v>
      </c>
      <c r="B1756" s="3">
        <f>HYPERLINK("https://leetcode.com/problems/maximum-product-after-k-increments/", "Maximum Product After K Increments")</f>
        <v/>
      </c>
      <c r="C1756" s="1" t="n">
        <v>787</v>
      </c>
      <c r="D1756" s="1" t="n">
        <v>45</v>
      </c>
      <c r="E1756" s="4">
        <f>IF(INDEX(C:C, ROW())+INDEX(D:D, ROW())=0, 0, INDEX(C:C, ROW())/(INDEX(C:C, ROW())+INDEX(D:D, ROW())))</f>
        <v/>
      </c>
      <c r="F1756" s="1" t="inlineStr">
        <is>
          <t>Array, Greedy, Heap (Priority Queue)</t>
        </is>
      </c>
      <c r="G1756" s="1" t="inlineStr">
        <is>
          <t>Medium</t>
        </is>
      </c>
      <c r="H1756" s="1" t="n">
        <v>42807</v>
      </c>
      <c r="I1756" s="1" t="n">
        <v>99426</v>
      </c>
      <c r="J1756" s="9" t="n">
        <v>0.431</v>
      </c>
      <c r="K1756" s="1" t="inlineStr">
        <is>
          <t>Yes</t>
        </is>
      </c>
      <c r="L1756" s="1" t="inlineStr">
        <is>
          <t>No</t>
        </is>
      </c>
      <c r="M1756" s="1" t="inlineStr">
        <is>
          <t>No</t>
        </is>
      </c>
      <c r="N1756" s="1" t="inlineStr">
        <is>
          <t>Algorithms</t>
        </is>
      </c>
      <c r="O17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57" ht="15.75" customHeight="1" s="12">
      <c r="A1757" s="1" t="n">
        <v>2396</v>
      </c>
      <c r="B1757" s="3">
        <f>HYPERLINK("https://leetcode.com/problems/strictly-palindromic-number/", "Strictly Palindromic Number")</f>
        <v/>
      </c>
      <c r="C1757" s="1" t="n">
        <v>787</v>
      </c>
      <c r="D1757" s="1" t="n">
        <v>1746</v>
      </c>
      <c r="E1757" s="4">
        <f>IF(INDEX(C:C, ROW())+INDEX(D:D, ROW())=0, 0, INDEX(C:C, ROW())/(INDEX(C:C, ROW())+INDEX(D:D, ROW())))</f>
        <v/>
      </c>
      <c r="F1757" s="1" t="inlineStr">
        <is>
          <t>Math, Two Pointers, Brainteaser</t>
        </is>
      </c>
      <c r="G1757" s="1" t="inlineStr">
        <is>
          <t>Medium</t>
        </is>
      </c>
      <c r="H1757" s="1" t="n">
        <v>163173</v>
      </c>
      <c r="I1757" s="1" t="n">
        <v>181456</v>
      </c>
      <c r="J1757" s="9" t="n">
        <v>0.899</v>
      </c>
      <c r="K1757" s="1" t="inlineStr">
        <is>
          <t>Yes</t>
        </is>
      </c>
      <c r="L1757" s="1" t="inlineStr">
        <is>
          <t>No</t>
        </is>
      </c>
      <c r="M1757" s="1" t="inlineStr">
        <is>
          <t>No</t>
        </is>
      </c>
      <c r="N1757" s="1" t="inlineStr">
        <is>
          <t>Algorithms</t>
        </is>
      </c>
      <c r="O17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58" ht="15.75" customHeight="1" s="12">
      <c r="A1758" s="1" t="n">
        <v>1451</v>
      </c>
      <c r="B1758" s="3">
        <f>HYPERLINK("https://leetcode.com/problems/rearrange-words-in-a-sentence/", "Rearrange Words in a Sentence")</f>
        <v/>
      </c>
      <c r="C1758" s="1" t="n">
        <v>786</v>
      </c>
      <c r="D1758" s="1" t="n">
        <v>80</v>
      </c>
      <c r="E1758" s="4">
        <f>IF(INDEX(C:C, ROW())+INDEX(D:D, ROW())=0, 0, INDEX(C:C, ROW())/(INDEX(C:C, ROW())+INDEX(D:D, ROW())))</f>
        <v/>
      </c>
      <c r="F1758" s="1" t="inlineStr">
        <is>
          <t>String, Sorting</t>
        </is>
      </c>
      <c r="G1758" s="1" t="inlineStr">
        <is>
          <t>Medium</t>
        </is>
      </c>
      <c r="H1758" s="1" t="n">
        <v>62999</v>
      </c>
      <c r="I1758" s="1" t="n">
        <v>94361</v>
      </c>
      <c r="J1758" s="9" t="n">
        <v>0.668</v>
      </c>
      <c r="K1758" s="1" t="inlineStr">
        <is>
          <t>Yes</t>
        </is>
      </c>
      <c r="L1758" s="1" t="inlineStr">
        <is>
          <t>No</t>
        </is>
      </c>
      <c r="M1758" s="1" t="inlineStr">
        <is>
          <t>No</t>
        </is>
      </c>
      <c r="N1758" s="1" t="inlineStr">
        <is>
          <t>Algorithms</t>
        </is>
      </c>
      <c r="O17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59" ht="15.75" customHeight="1" s="12">
      <c r="A1759" s="1" t="n">
        <v>492</v>
      </c>
      <c r="B1759" s="3">
        <f>HYPERLINK("https://leetcode.com/problems/construct-the-rectangle/", "Construct the Rectangle")</f>
        <v/>
      </c>
      <c r="C1759" s="1" t="n">
        <v>785</v>
      </c>
      <c r="D1759" s="1" t="n">
        <v>395</v>
      </c>
      <c r="E1759" s="4">
        <f>IF(INDEX(C:C, ROW())+INDEX(D:D, ROW())=0, 0, INDEX(C:C, ROW())/(INDEX(C:C, ROW())+INDEX(D:D, ROW())))</f>
        <v/>
      </c>
      <c r="F1759" s="1" t="inlineStr">
        <is>
          <t>Math</t>
        </is>
      </c>
      <c r="G1759" s="1" t="inlineStr">
        <is>
          <t>Easy</t>
        </is>
      </c>
      <c r="H1759" s="1" t="n">
        <v>162884</v>
      </c>
      <c r="I1759" s="1" t="n">
        <v>259706</v>
      </c>
      <c r="J1759" s="9" t="n">
        <v>0.627</v>
      </c>
      <c r="K1759" s="1" t="inlineStr">
        <is>
          <t>Yes</t>
        </is>
      </c>
      <c r="L1759" s="1" t="inlineStr">
        <is>
          <t>No</t>
        </is>
      </c>
      <c r="M1759" s="1" t="inlineStr">
        <is>
          <t>No</t>
        </is>
      </c>
      <c r="N1759" s="1" t="inlineStr">
        <is>
          <t>Algorithms</t>
        </is>
      </c>
      <c r="O17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60" ht="15.75" customHeight="1" s="12">
      <c r="A1760" s="1" t="n">
        <v>2119</v>
      </c>
      <c r="B1760" s="3">
        <f>HYPERLINK("https://leetcode.com/problems/a-number-after-a-double-reversal/", "A Number After a Double Reversal")</f>
        <v/>
      </c>
      <c r="C1760" s="1" t="n">
        <v>785</v>
      </c>
      <c r="D1760" s="1" t="n">
        <v>47</v>
      </c>
      <c r="E1760" s="4">
        <f>IF(INDEX(C:C, ROW())+INDEX(D:D, ROW())=0, 0, INDEX(C:C, ROW())/(INDEX(C:C, ROW())+INDEX(D:D, ROW())))</f>
        <v/>
      </c>
      <c r="F1760" s="1" t="inlineStr">
        <is>
          <t>Math</t>
        </is>
      </c>
      <c r="G1760" s="1" t="inlineStr">
        <is>
          <t>Easy</t>
        </is>
      </c>
      <c r="H1760" s="1" t="n">
        <v>145415</v>
      </c>
      <c r="I1760" s="1" t="n">
        <v>177930</v>
      </c>
      <c r="J1760" s="9" t="n">
        <v>0.8169999999999999</v>
      </c>
      <c r="K1760" s="1" t="inlineStr">
        <is>
          <t>Yes</t>
        </is>
      </c>
      <c r="L1760" s="1" t="inlineStr">
        <is>
          <t>No</t>
        </is>
      </c>
      <c r="M1760" s="1" t="inlineStr">
        <is>
          <t>No</t>
        </is>
      </c>
      <c r="N1760" s="1" t="inlineStr">
        <is>
          <t>Algorithms</t>
        </is>
      </c>
      <c r="O17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61" ht="15.75" customHeight="1" s="12">
      <c r="A1761" s="1" t="n">
        <v>2423</v>
      </c>
      <c r="B1761" s="3">
        <f>HYPERLINK("https://leetcode.com/problems/remove-letter-to-equalize-frequency/", "Remove Letter To Equalize Frequency")</f>
        <v/>
      </c>
      <c r="C1761" s="1" t="n">
        <v>783</v>
      </c>
      <c r="D1761" s="1" t="n">
        <v>1347</v>
      </c>
      <c r="E1761" s="4">
        <f>IF(INDEX(C:C, ROW())+INDEX(D:D, ROW())=0, 0, INDEX(C:C, ROW())/(INDEX(C:C, ROW())+INDEX(D:D, ROW())))</f>
        <v/>
      </c>
      <c r="F1761" s="1" t="inlineStr">
        <is>
          <t>Hash Table, String, Counting</t>
        </is>
      </c>
      <c r="G1761" s="1" t="inlineStr">
        <is>
          <t>Easy</t>
        </is>
      </c>
      <c r="H1761" s="1" t="n">
        <v>73256</v>
      </c>
      <c r="I1761" s="1" t="n">
        <v>383528</v>
      </c>
      <c r="J1761" s="9" t="n">
        <v>0.191</v>
      </c>
      <c r="K1761" s="1" t="inlineStr">
        <is>
          <t>Yes</t>
        </is>
      </c>
      <c r="L1761" s="1" t="inlineStr">
        <is>
          <t>No</t>
        </is>
      </c>
      <c r="M1761" s="1" t="inlineStr">
        <is>
          <t>No</t>
        </is>
      </c>
      <c r="N1761" s="1" t="inlineStr">
        <is>
          <t>Algorithms</t>
        </is>
      </c>
      <c r="O17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62" ht="15.75" customHeight="1" s="12">
      <c r="A1762" s="1" t="n">
        <v>788</v>
      </c>
      <c r="B1762" s="3">
        <f>HYPERLINK("https://leetcode.com/problems/rotated-digits/", "Rotated Digits")</f>
        <v/>
      </c>
      <c r="C1762" s="1" t="n">
        <v>782</v>
      </c>
      <c r="D1762" s="1" t="n">
        <v>1946</v>
      </c>
      <c r="E1762" s="4">
        <f>IF(INDEX(C:C, ROW())+INDEX(D:D, ROW())=0, 0, INDEX(C:C, ROW())/(INDEX(C:C, ROW())+INDEX(D:D, ROW())))</f>
        <v/>
      </c>
      <c r="F1762" s="1" t="inlineStr">
        <is>
          <t>Math, Dynamic Programming</t>
        </is>
      </c>
      <c r="G1762" s="1" t="inlineStr">
        <is>
          <t>Medium</t>
        </is>
      </c>
      <c r="H1762" s="1" t="n">
        <v>127218</v>
      </c>
      <c r="I1762" s="1" t="n">
        <v>224256</v>
      </c>
      <c r="J1762" s="9" t="n">
        <v>0.5669999999999999</v>
      </c>
      <c r="K1762" s="1" t="inlineStr">
        <is>
          <t>Yes</t>
        </is>
      </c>
      <c r="L1762" s="1" t="inlineStr">
        <is>
          <t>Yes</t>
        </is>
      </c>
      <c r="M1762" s="1" t="inlineStr">
        <is>
          <t>No</t>
        </is>
      </c>
      <c r="N1762" s="1" t="inlineStr">
        <is>
          <t>Algorithms</t>
        </is>
      </c>
      <c r="O17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63" ht="15.75" customHeight="1" s="12">
      <c r="A1763" s="1" t="n">
        <v>908</v>
      </c>
      <c r="B1763" s="3">
        <f>HYPERLINK("https://leetcode.com/problems/smallest-range-i/", "Smallest Range I")</f>
        <v/>
      </c>
      <c r="C1763" s="1" t="n">
        <v>781</v>
      </c>
      <c r="D1763" s="1" t="n">
        <v>2086</v>
      </c>
      <c r="E1763" s="4">
        <f>IF(INDEX(C:C, ROW())+INDEX(D:D, ROW())=0, 0, INDEX(C:C, ROW())/(INDEX(C:C, ROW())+INDEX(D:D, ROW())))</f>
        <v/>
      </c>
      <c r="F1763" s="1" t="inlineStr">
        <is>
          <t>Array, Math</t>
        </is>
      </c>
      <c r="G1763" s="1" t="inlineStr">
        <is>
          <t>Easy</t>
        </is>
      </c>
      <c r="H1763" s="1" t="n">
        <v>120155</v>
      </c>
      <c r="I1763" s="1" t="n">
        <v>164329</v>
      </c>
      <c r="J1763" s="9" t="n">
        <v>0.731</v>
      </c>
      <c r="K1763" s="1" t="inlineStr">
        <is>
          <t>Yes</t>
        </is>
      </c>
      <c r="L1763" s="1" t="inlineStr">
        <is>
          <t>Yes</t>
        </is>
      </c>
      <c r="M1763" s="1" t="inlineStr">
        <is>
          <t>No</t>
        </is>
      </c>
      <c r="N1763" s="1" t="inlineStr">
        <is>
          <t>Algorithms</t>
        </is>
      </c>
      <c r="O17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64" ht="15.75" customHeight="1" s="12">
      <c r="A1764" s="1" t="n">
        <v>1433</v>
      </c>
      <c r="B1764" s="3">
        <f>HYPERLINK("https://leetcode.com/problems/check-if-a-string-can-break-another-string/", "Check If a String Can Break Another String")</f>
        <v/>
      </c>
      <c r="C1764" s="1" t="n">
        <v>781</v>
      </c>
      <c r="D1764" s="1" t="n">
        <v>155</v>
      </c>
      <c r="E1764" s="4">
        <f>IF(INDEX(C:C, ROW())+INDEX(D:D, ROW())=0, 0, INDEX(C:C, ROW())/(INDEX(C:C, ROW())+INDEX(D:D, ROW())))</f>
        <v/>
      </c>
      <c r="F1764" s="1" t="inlineStr">
        <is>
          <t>String, Greedy, Sorting</t>
        </is>
      </c>
      <c r="G1764" s="1" t="inlineStr">
        <is>
          <t>Medium</t>
        </is>
      </c>
      <c r="H1764" s="1" t="n">
        <v>52342</v>
      </c>
      <c r="I1764" s="1" t="n">
        <v>73960</v>
      </c>
      <c r="J1764" s="9" t="n">
        <v>0.708</v>
      </c>
      <c r="K1764" s="1" t="inlineStr">
        <is>
          <t>Yes</t>
        </is>
      </c>
      <c r="L1764" s="1" t="inlineStr">
        <is>
          <t>No</t>
        </is>
      </c>
      <c r="M1764" s="1" t="inlineStr">
        <is>
          <t>No</t>
        </is>
      </c>
      <c r="N1764" s="1" t="inlineStr">
        <is>
          <t>Algorithms</t>
        </is>
      </c>
      <c r="O17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65" ht="15.75" customHeight="1" s="12">
      <c r="A1765" s="1" t="n">
        <v>1646</v>
      </c>
      <c r="B1765" s="3">
        <f>HYPERLINK("https://leetcode.com/problems/get-maximum-in-generated-array/", "Get Maximum in Generated Array")</f>
        <v/>
      </c>
      <c r="C1765" s="1" t="n">
        <v>781</v>
      </c>
      <c r="D1765" s="1" t="n">
        <v>965</v>
      </c>
      <c r="E1765" s="4">
        <f>IF(INDEX(C:C, ROW())+INDEX(D:D, ROW())=0, 0, INDEX(C:C, ROW())/(INDEX(C:C, ROW())+INDEX(D:D, ROW())))</f>
        <v/>
      </c>
      <c r="F1765" s="1" t="inlineStr">
        <is>
          <t>Array, Simulation</t>
        </is>
      </c>
      <c r="G1765" s="1" t="inlineStr">
        <is>
          <t>Easy</t>
        </is>
      </c>
      <c r="H1765" s="1" t="n">
        <v>122780</v>
      </c>
      <c r="I1765" s="1" t="n">
        <v>239176</v>
      </c>
      <c r="J1765" s="9" t="n">
        <v>0.513</v>
      </c>
      <c r="K1765" s="1" t="inlineStr">
        <is>
          <t>Yes</t>
        </is>
      </c>
      <c r="L1765" s="1" t="inlineStr">
        <is>
          <t>Yes</t>
        </is>
      </c>
      <c r="M1765" s="1" t="inlineStr">
        <is>
          <t>No</t>
        </is>
      </c>
      <c r="N1765" s="1" t="inlineStr">
        <is>
          <t>Algorithms</t>
        </is>
      </c>
      <c r="O17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66" ht="15.75" customHeight="1" s="12">
      <c r="A1766" s="1" t="n">
        <v>1965</v>
      </c>
      <c r="B1766" s="3">
        <f>HYPERLINK("https://leetcode.com/problems/employees-with-missing-information/", "Employees With Missing Information")</f>
        <v/>
      </c>
      <c r="C1766" s="1" t="n">
        <v>781</v>
      </c>
      <c r="D1766" s="1" t="n">
        <v>40</v>
      </c>
      <c r="E1766" s="4">
        <f>IF(INDEX(C:C, ROW())+INDEX(D:D, ROW())=0, 0, INDEX(C:C, ROW())/(INDEX(C:C, ROW())+INDEX(D:D, ROW())))</f>
        <v/>
      </c>
      <c r="F1766" s="1" t="inlineStr">
        <is>
          <t>Database</t>
        </is>
      </c>
      <c r="G1766" s="1" t="inlineStr">
        <is>
          <t>Easy</t>
        </is>
      </c>
      <c r="H1766" s="1" t="n">
        <v>170930</v>
      </c>
      <c r="I1766" s="1" t="n">
        <v>234018</v>
      </c>
      <c r="J1766" s="9" t="n">
        <v>0.73</v>
      </c>
      <c r="K1766" s="1" t="inlineStr">
        <is>
          <t>Yes</t>
        </is>
      </c>
      <c r="L1766" s="1" t="inlineStr">
        <is>
          <t>Yes</t>
        </is>
      </c>
      <c r="M1766" s="1" t="inlineStr">
        <is>
          <t>No</t>
        </is>
      </c>
      <c r="N1766" s="1" t="inlineStr">
        <is>
          <t>Database</t>
        </is>
      </c>
      <c r="O17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67" ht="15.75" customHeight="1" s="12">
      <c r="A1767" s="1" t="n">
        <v>3108</v>
      </c>
      <c r="B1767" s="3">
        <f>HYPERLINK("https://leetcode.com/problems/minimum-cost-walk-in-weighted-graph/", "Minimum Cost Walk in Weighted Graph")</f>
        <v/>
      </c>
      <c r="C1767" s="1" t="n">
        <v>780</v>
      </c>
      <c r="D1767" s="1" t="n">
        <v>43</v>
      </c>
      <c r="E1767" s="4">
        <f>IF(INDEX(C:C, ROW())+INDEX(D:D, ROW())=0, 0, INDEX(C:C, ROW())/(INDEX(C:C, ROW())+INDEX(D:D, ROW())))</f>
        <v/>
      </c>
      <c r="F1767" s="1" t="inlineStr">
        <is>
          <t>Array, Bit Manipulation, Union-Find, Graph Theory</t>
        </is>
      </c>
      <c r="G1767" s="1" t="inlineStr">
        <is>
          <t>Hard</t>
        </is>
      </c>
      <c r="H1767" s="1" t="n">
        <v>105445</v>
      </c>
      <c r="I1767" s="1" t="n">
        <v>154464</v>
      </c>
      <c r="J1767" s="9" t="n">
        <v>0.6830000000000001</v>
      </c>
      <c r="K1767" s="1" t="inlineStr">
        <is>
          <t>Yes</t>
        </is>
      </c>
      <c r="L1767" s="1" t="inlineStr">
        <is>
          <t>Yes</t>
        </is>
      </c>
      <c r="M1767" s="1" t="inlineStr">
        <is>
          <t>No</t>
        </is>
      </c>
      <c r="N1767" s="1" t="inlineStr">
        <is>
          <t>Algorithms</t>
        </is>
      </c>
      <c r="O17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68" ht="15.75" customHeight="1" s="12">
      <c r="A1768" s="1" t="n">
        <v>2678</v>
      </c>
      <c r="B1768" s="3">
        <f>HYPERLINK("https://leetcode.com/problems/number-of-senior-citizens/", "Number of Senior Citizens")</f>
        <v/>
      </c>
      <c r="C1768" s="1" t="n">
        <v>779</v>
      </c>
      <c r="D1768" s="1" t="n">
        <v>59</v>
      </c>
      <c r="E1768" s="4">
        <f>IF(INDEX(C:C, ROW())+INDEX(D:D, ROW())=0, 0, INDEX(C:C, ROW())/(INDEX(C:C, ROW())+INDEX(D:D, ROW())))</f>
        <v/>
      </c>
      <c r="F1768" s="1" t="inlineStr">
        <is>
          <t>Array, String</t>
        </is>
      </c>
      <c r="G1768" s="1" t="inlineStr">
        <is>
          <t>Easy</t>
        </is>
      </c>
      <c r="H1768" s="1" t="n">
        <v>295631</v>
      </c>
      <c r="I1768" s="1" t="n">
        <v>363739</v>
      </c>
      <c r="J1768" s="9" t="n">
        <v>0.8129999999999999</v>
      </c>
      <c r="K1768" s="1" t="inlineStr">
        <is>
          <t>Yes</t>
        </is>
      </c>
      <c r="L1768" s="1" t="inlineStr">
        <is>
          <t>Yes</t>
        </is>
      </c>
      <c r="M1768" s="1" t="inlineStr">
        <is>
          <t>No</t>
        </is>
      </c>
      <c r="N1768" s="1" t="inlineStr">
        <is>
          <t>Algorithms</t>
        </is>
      </c>
      <c r="O17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69" ht="15.75" customHeight="1" s="12">
      <c r="A1769" s="1" t="n">
        <v>2654</v>
      </c>
      <c r="B1769" s="3">
        <f>HYPERLINK("https://leetcode.com/problems/minimum-number-of-operations-to-make-all-array-elements-equal-to-1/", "Minimum Number of Operations to Make All Array Elements Equal to 1")</f>
        <v/>
      </c>
      <c r="C1769" s="1" t="n">
        <v>778</v>
      </c>
      <c r="D1769" s="1" t="n">
        <v>49</v>
      </c>
      <c r="E1769" s="4">
        <f>IF(INDEX(C:C, ROW())+INDEX(D:D, ROW())=0, 0, INDEX(C:C, ROW())/(INDEX(C:C, ROW())+INDEX(D:D, ROW())))</f>
        <v/>
      </c>
      <c r="F1769" s="1" t="inlineStr">
        <is>
          <t>Array, Math, Number Theory</t>
        </is>
      </c>
      <c r="G1769" s="1" t="inlineStr">
        <is>
          <t>Medium</t>
        </is>
      </c>
      <c r="H1769" s="1" t="n">
        <v>86614</v>
      </c>
      <c r="I1769" s="1" t="n">
        <v>158545</v>
      </c>
      <c r="J1769" s="9" t="n">
        <v>0.546</v>
      </c>
      <c r="K1769" s="1" t="inlineStr">
        <is>
          <t>Yes</t>
        </is>
      </c>
      <c r="L1769" s="1" t="inlineStr">
        <is>
          <t>Yes</t>
        </is>
      </c>
      <c r="M1769" s="1" t="inlineStr">
        <is>
          <t>No</t>
        </is>
      </c>
      <c r="N1769" s="1" t="inlineStr">
        <is>
          <t>Algorithms</t>
        </is>
      </c>
      <c r="O17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70" ht="15.75" customHeight="1" s="12">
      <c r="A1770" s="1" t="n">
        <v>1974</v>
      </c>
      <c r="B1770" s="3">
        <f>HYPERLINK("https://leetcode.com/problems/minimum-time-to-type-word-using-special-typewriter/", "Minimum Time to Type Word Using Special Typewriter")</f>
        <v/>
      </c>
      <c r="C1770" s="1" t="n">
        <v>775</v>
      </c>
      <c r="D1770" s="1" t="n">
        <v>38</v>
      </c>
      <c r="E1770" s="4">
        <f>IF(INDEX(C:C, ROW())+INDEX(D:D, ROW())=0, 0, INDEX(C:C, ROW())/(INDEX(C:C, ROW())+INDEX(D:D, ROW())))</f>
        <v/>
      </c>
      <c r="F1770" s="1" t="inlineStr">
        <is>
          <t>String, Greedy</t>
        </is>
      </c>
      <c r="G1770" s="1" t="inlineStr">
        <is>
          <t>Easy</t>
        </is>
      </c>
      <c r="H1770" s="1" t="n">
        <v>64549</v>
      </c>
      <c r="I1770" s="1" t="n">
        <v>82450</v>
      </c>
      <c r="J1770" s="9" t="n">
        <v>0.783</v>
      </c>
      <c r="K1770" s="1" t="inlineStr">
        <is>
          <t>Yes</t>
        </is>
      </c>
      <c r="L1770" s="1" t="inlineStr">
        <is>
          <t>No</t>
        </is>
      </c>
      <c r="M1770" s="1" t="inlineStr">
        <is>
          <t>No</t>
        </is>
      </c>
      <c r="N1770" s="1" t="inlineStr">
        <is>
          <t>Algorithms</t>
        </is>
      </c>
      <c r="O17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71" ht="15.75" customHeight="1" s="12">
      <c r="A1771" s="1" t="n">
        <v>2203</v>
      </c>
      <c r="B1771" s="3">
        <f>HYPERLINK("https://leetcode.com/problems/minimum-weighted-subgraph-with-the-required-paths/", "Minimum Weighted Subgraph With the Required Paths")</f>
        <v/>
      </c>
      <c r="C1771" s="1" t="n">
        <v>774</v>
      </c>
      <c r="D1771" s="1" t="n">
        <v>23</v>
      </c>
      <c r="E1771" s="4">
        <f>IF(INDEX(C:C, ROW())+INDEX(D:D, ROW())=0, 0, INDEX(C:C, ROW())/(INDEX(C:C, ROW())+INDEX(D:D, ROW())))</f>
        <v/>
      </c>
      <c r="F1771" s="1" t="inlineStr">
        <is>
          <t>Graph Theory, Shortest Path</t>
        </is>
      </c>
      <c r="G1771" s="1" t="inlineStr">
        <is>
          <t>Hard</t>
        </is>
      </c>
      <c r="H1771" s="1" t="n">
        <v>20025</v>
      </c>
      <c r="I1771" s="1" t="n">
        <v>49456</v>
      </c>
      <c r="J1771" s="9" t="n">
        <v>0.405</v>
      </c>
      <c r="K1771" s="1" t="inlineStr">
        <is>
          <t>Yes</t>
        </is>
      </c>
      <c r="L1771" s="1" t="inlineStr">
        <is>
          <t>No</t>
        </is>
      </c>
      <c r="M1771" s="1" t="inlineStr">
        <is>
          <t>No</t>
        </is>
      </c>
      <c r="N1771" s="1" t="inlineStr">
        <is>
          <t>Algorithms</t>
        </is>
      </c>
      <c r="O17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72" ht="15.75" customHeight="1" s="12">
      <c r="A1772" s="1" t="n">
        <v>1616</v>
      </c>
      <c r="B1772" s="3">
        <f>HYPERLINK("https://leetcode.com/problems/split-two-strings-to-make-palindrome/", "Split Two Strings to Make Palindrome")</f>
        <v/>
      </c>
      <c r="C1772" s="1" t="n">
        <v>773</v>
      </c>
      <c r="D1772" s="1" t="n">
        <v>259</v>
      </c>
      <c r="E1772" s="4">
        <f>IF(INDEX(C:C, ROW())+INDEX(D:D, ROW())=0, 0, INDEX(C:C, ROW())/(INDEX(C:C, ROW())+INDEX(D:D, ROW())))</f>
        <v/>
      </c>
      <c r="F1772" s="1" t="inlineStr">
        <is>
          <t>Two Pointers, String</t>
        </is>
      </c>
      <c r="G1772" s="1" t="inlineStr">
        <is>
          <t>Medium</t>
        </is>
      </c>
      <c r="H1772" s="1" t="n">
        <v>31655</v>
      </c>
      <c r="I1772" s="1" t="n">
        <v>98836</v>
      </c>
      <c r="J1772" s="9" t="n">
        <v>0.32</v>
      </c>
      <c r="K1772" s="1" t="inlineStr">
        <is>
          <t>Yes</t>
        </is>
      </c>
      <c r="L1772" s="1" t="inlineStr">
        <is>
          <t>No</t>
        </is>
      </c>
      <c r="M1772" s="1" t="inlineStr">
        <is>
          <t>No</t>
        </is>
      </c>
      <c r="N1772" s="1" t="inlineStr">
        <is>
          <t>Algorithms</t>
        </is>
      </c>
      <c r="O17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73" ht="15.75" customHeight="1" s="12">
      <c r="A1773" s="1" t="n">
        <v>3169</v>
      </c>
      <c r="B1773" s="3">
        <f>HYPERLINK("https://leetcode.com/problems/count-days-without-meetings/", "Count Days Without Meetings")</f>
        <v/>
      </c>
      <c r="C1773" s="1" t="n">
        <v>773</v>
      </c>
      <c r="D1773" s="1" t="n">
        <v>19</v>
      </c>
      <c r="E1773" s="4">
        <f>IF(INDEX(C:C, ROW())+INDEX(D:D, ROW())=0, 0, INDEX(C:C, ROW())/(INDEX(C:C, ROW())+INDEX(D:D, ROW())))</f>
        <v/>
      </c>
      <c r="F1773" s="1" t="inlineStr">
        <is>
          <t>Array, Sorting</t>
        </is>
      </c>
      <c r="G1773" s="1" t="inlineStr">
        <is>
          <t>Medium</t>
        </is>
      </c>
      <c r="H1773" s="1" t="n">
        <v>180461</v>
      </c>
      <c r="I1773" s="1" t="n">
        <v>375676</v>
      </c>
      <c r="J1773" s="9" t="n">
        <v>0.48</v>
      </c>
      <c r="K1773" s="1" t="inlineStr">
        <is>
          <t>Yes</t>
        </is>
      </c>
      <c r="L1773" s="1" t="inlineStr">
        <is>
          <t>Yes</t>
        </is>
      </c>
      <c r="M1773" s="1" t="inlineStr">
        <is>
          <t>No</t>
        </is>
      </c>
      <c r="N1773" s="1" t="inlineStr">
        <is>
          <t>Algorithms</t>
        </is>
      </c>
      <c r="O17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74" ht="15.75" customHeight="1" s="12">
      <c r="A1774" s="1" t="n">
        <v>762</v>
      </c>
      <c r="B1774" s="3">
        <f>HYPERLINK("https://leetcode.com/problems/prime-number-of-set-bits-in-binary-representation/", "Prime Number of Set Bits in Binary Representation")</f>
        <v/>
      </c>
      <c r="C1774" s="1" t="n">
        <v>771</v>
      </c>
      <c r="D1774" s="1" t="n">
        <v>514</v>
      </c>
      <c r="E1774" s="4">
        <f>IF(INDEX(C:C, ROW())+INDEX(D:D, ROW())=0, 0, INDEX(C:C, ROW())/(INDEX(C:C, ROW())+INDEX(D:D, ROW())))</f>
        <v/>
      </c>
      <c r="F1774" s="1" t="inlineStr">
        <is>
          <t>Math, Bit Manipulation</t>
        </is>
      </c>
      <c r="G1774" s="1" t="inlineStr">
        <is>
          <t>Easy</t>
        </is>
      </c>
      <c r="H1774" s="1" t="n">
        <v>133610</v>
      </c>
      <c r="I1774" s="1" t="n">
        <v>184994</v>
      </c>
      <c r="J1774" s="9" t="n">
        <v>0.722</v>
      </c>
      <c r="K1774" s="1" t="inlineStr">
        <is>
          <t>Yes</t>
        </is>
      </c>
      <c r="L1774" s="1" t="inlineStr">
        <is>
          <t>Yes</t>
        </is>
      </c>
      <c r="M1774" s="1" t="inlineStr">
        <is>
          <t>No</t>
        </is>
      </c>
      <c r="N1774" s="1" t="inlineStr">
        <is>
          <t>Algorithms</t>
        </is>
      </c>
      <c r="O17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75" ht="15.75" customHeight="1" s="12">
      <c r="A1775" s="1" t="n">
        <v>2818</v>
      </c>
      <c r="B1775" s="3">
        <f>HYPERLINK("https://leetcode.com/problems/apply-operations-to-maximize-score/", "Apply Operations to Maximize Score")</f>
        <v/>
      </c>
      <c r="C1775" s="1" t="n">
        <v>771</v>
      </c>
      <c r="D1775" s="1" t="n">
        <v>127</v>
      </c>
      <c r="E1775" s="4">
        <f>IF(INDEX(C:C, ROW())+INDEX(D:D, ROW())=0, 0, INDEX(C:C, ROW())/(INDEX(C:C, ROW())+INDEX(D:D, ROW())))</f>
        <v/>
      </c>
      <c r="F1775" s="1" t="inlineStr">
        <is>
          <t>Array, Math, Stack, Greedy, Sorting, Monotonic Stack, Number Theory</t>
        </is>
      </c>
      <c r="G1775" s="1" t="inlineStr">
        <is>
          <t>Hard</t>
        </is>
      </c>
      <c r="H1775" s="1" t="n">
        <v>75875</v>
      </c>
      <c r="I1775" s="1" t="n">
        <v>141221</v>
      </c>
      <c r="J1775" s="9" t="n">
        <v>0.537</v>
      </c>
      <c r="K1775" s="1" t="inlineStr">
        <is>
          <t>Yes</t>
        </is>
      </c>
      <c r="L1775" s="1" t="inlineStr">
        <is>
          <t>Yes</t>
        </is>
      </c>
      <c r="M1775" s="1" t="inlineStr">
        <is>
          <t>No</t>
        </is>
      </c>
      <c r="N1775" s="1" t="inlineStr">
        <is>
          <t>Algorithms</t>
        </is>
      </c>
      <c r="O17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76" ht="15.75" customHeight="1" s="12">
      <c r="A1776" s="1" t="n">
        <v>3016</v>
      </c>
      <c r="B1776" s="3">
        <f>HYPERLINK("https://leetcode.com/problems/minimum-number-of-pushes-to-type-word-ii/", "Minimum Number of Pushes to Type Word II")</f>
        <v/>
      </c>
      <c r="C1776" s="1" t="n">
        <v>771</v>
      </c>
      <c r="D1776" s="1" t="n">
        <v>80</v>
      </c>
      <c r="E1776" s="4">
        <f>IF(INDEX(C:C, ROW())+INDEX(D:D, ROW())=0, 0, INDEX(C:C, ROW())/(INDEX(C:C, ROW())+INDEX(D:D, ROW())))</f>
        <v/>
      </c>
      <c r="F1776" s="1" t="inlineStr">
        <is>
          <t>Hash Table, String, Greedy, Sorting, Counting</t>
        </is>
      </c>
      <c r="G1776" s="1" t="inlineStr">
        <is>
          <t>Medium</t>
        </is>
      </c>
      <c r="H1776" s="1" t="n">
        <v>185401</v>
      </c>
      <c r="I1776" s="1" t="n">
        <v>231906</v>
      </c>
      <c r="J1776" s="9" t="n">
        <v>0.799</v>
      </c>
      <c r="K1776" s="1" t="inlineStr">
        <is>
          <t>Yes</t>
        </is>
      </c>
      <c r="L1776" s="1" t="inlineStr">
        <is>
          <t>Yes</t>
        </is>
      </c>
      <c r="M1776" s="1" t="inlineStr">
        <is>
          <t>No</t>
        </is>
      </c>
      <c r="N1776" s="1" t="inlineStr">
        <is>
          <t>Algorithms</t>
        </is>
      </c>
      <c r="O17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77" ht="15.75" customHeight="1" s="12">
      <c r="A1777" s="1" t="n">
        <v>2368</v>
      </c>
      <c r="B1777" s="3">
        <f>HYPERLINK("https://leetcode.com/problems/reachable-nodes-with-restrictions/", "Reachable Nodes With Restrictions")</f>
        <v/>
      </c>
      <c r="C1777" s="1" t="n">
        <v>768</v>
      </c>
      <c r="D1777" s="1" t="n">
        <v>33</v>
      </c>
      <c r="E1777" s="4">
        <f>IF(INDEX(C:C, ROW())+INDEX(D:D, ROW())=0, 0, INDEX(C:C, ROW())/(INDEX(C:C, ROW())+INDEX(D:D, ROW())))</f>
        <v/>
      </c>
      <c r="F1777" s="1" t="inlineStr">
        <is>
          <t>Array, Hash Table, Tree, Depth-First Search, Breadth-First Search, Union-Find, Graph Theory</t>
        </is>
      </c>
      <c r="G1777" s="1" t="inlineStr">
        <is>
          <t>Medium</t>
        </is>
      </c>
      <c r="H1777" s="1" t="n">
        <v>83822</v>
      </c>
      <c r="I1777" s="1" t="n">
        <v>139501</v>
      </c>
      <c r="J1777" s="9" t="n">
        <v>0.601</v>
      </c>
      <c r="K1777" s="1" t="inlineStr">
        <is>
          <t>Yes</t>
        </is>
      </c>
      <c r="L1777" s="1" t="inlineStr">
        <is>
          <t>Yes</t>
        </is>
      </c>
      <c r="M1777" s="1" t="inlineStr">
        <is>
          <t>No</t>
        </is>
      </c>
      <c r="N1777" s="1" t="inlineStr">
        <is>
          <t>Algorithms</t>
        </is>
      </c>
      <c r="O17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78" ht="15.75" customHeight="1" s="12">
      <c r="A1778" s="1" t="n">
        <v>900</v>
      </c>
      <c r="B1778" s="3">
        <f>HYPERLINK("https://leetcode.com/problems/rle-iterator/", "RLE Iterator")</f>
        <v/>
      </c>
      <c r="C1778" s="1" t="n">
        <v>767</v>
      </c>
      <c r="D1778" s="1" t="n">
        <v>202</v>
      </c>
      <c r="E1778" s="4">
        <f>IF(INDEX(C:C, ROW())+INDEX(D:D, ROW())=0, 0, INDEX(C:C, ROW())/(INDEX(C:C, ROW())+INDEX(D:D, ROW())))</f>
        <v/>
      </c>
      <c r="F1778" s="1" t="inlineStr">
        <is>
          <t>Array, Design, Counting, Iterator</t>
        </is>
      </c>
      <c r="G1778" s="1" t="inlineStr">
        <is>
          <t>Medium</t>
        </is>
      </c>
      <c r="H1778" s="1" t="n">
        <v>86429</v>
      </c>
      <c r="I1778" s="1" t="n">
        <v>146112</v>
      </c>
      <c r="J1778" s="9" t="n">
        <v>0.592</v>
      </c>
      <c r="K1778" s="1" t="inlineStr">
        <is>
          <t>Yes</t>
        </is>
      </c>
      <c r="L1778" s="1" t="inlineStr">
        <is>
          <t>Yes</t>
        </is>
      </c>
      <c r="M1778" s="1" t="inlineStr">
        <is>
          <t>No</t>
        </is>
      </c>
      <c r="N1778" s="1" t="inlineStr">
        <is>
          <t>Algorithms</t>
        </is>
      </c>
      <c r="O17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79" ht="15.75" customHeight="1" s="12">
      <c r="A1779" s="1" t="n">
        <v>1139</v>
      </c>
      <c r="B1779" s="3">
        <f>HYPERLINK("https://leetcode.com/problems/largest-1-bordered-square/", "Largest 1-Bordered Square")</f>
        <v/>
      </c>
      <c r="C1779" s="1" t="n">
        <v>766</v>
      </c>
      <c r="D1779" s="1" t="n">
        <v>118</v>
      </c>
      <c r="E1779" s="4">
        <f>IF(INDEX(C:C, ROW())+INDEX(D:D, ROW())=0, 0, INDEX(C:C, ROW())/(INDEX(C:C, ROW())+INDEX(D:D, ROW())))</f>
        <v/>
      </c>
      <c r="F1779" s="1" t="inlineStr">
        <is>
          <t>Array, Dynamic Programming, Matrix</t>
        </is>
      </c>
      <c r="G1779" s="1" t="inlineStr">
        <is>
          <t>Medium</t>
        </is>
      </c>
      <c r="H1779" s="1" t="n">
        <v>32320</v>
      </c>
      <c r="I1779" s="1" t="n">
        <v>62312</v>
      </c>
      <c r="J1779" s="9" t="n">
        <v>0.519</v>
      </c>
      <c r="K1779" s="1" t="inlineStr">
        <is>
          <t>Yes</t>
        </is>
      </c>
      <c r="L1779" s="1" t="inlineStr">
        <is>
          <t>No</t>
        </is>
      </c>
      <c r="M1779" s="1" t="inlineStr">
        <is>
          <t>No</t>
        </is>
      </c>
      <c r="N1779" s="1" t="inlineStr">
        <is>
          <t>Algorithms</t>
        </is>
      </c>
      <c r="O17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80" ht="15.75" customHeight="1" s="12">
      <c r="A1780" s="1" t="n">
        <v>1298</v>
      </c>
      <c r="B1780" s="3">
        <f>HYPERLINK("https://leetcode.com/problems/maximum-candies-you-can-get-from-boxes/", "Maximum Candies You Can Get from Boxes")</f>
        <v/>
      </c>
      <c r="C1780" s="1" t="n">
        <v>765</v>
      </c>
      <c r="D1780" s="1" t="n">
        <v>223</v>
      </c>
      <c r="E1780" s="4">
        <f>IF(INDEX(C:C, ROW())+INDEX(D:D, ROW())=0, 0, INDEX(C:C, ROW())/(INDEX(C:C, ROW())+INDEX(D:D, ROW())))</f>
        <v/>
      </c>
      <c r="F1780" s="1" t="inlineStr">
        <is>
          <t>Array, Breadth-First Search, Graph Theory</t>
        </is>
      </c>
      <c r="G1780" s="1" t="inlineStr">
        <is>
          <t>Hard</t>
        </is>
      </c>
      <c r="H1780" s="1" t="n">
        <v>103850</v>
      </c>
      <c r="I1780" s="1" t="n">
        <v>152770</v>
      </c>
      <c r="J1780" s="9" t="n">
        <v>0.68</v>
      </c>
      <c r="K1780" s="1" t="inlineStr">
        <is>
          <t>Yes</t>
        </is>
      </c>
      <c r="L1780" s="1" t="inlineStr">
        <is>
          <t>Yes</t>
        </is>
      </c>
      <c r="M1780" s="1" t="inlineStr">
        <is>
          <t>No</t>
        </is>
      </c>
      <c r="N1780" s="1" t="inlineStr">
        <is>
          <t>Algorithms</t>
        </is>
      </c>
      <c r="O17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81" ht="15.75" customHeight="1" s="12">
      <c r="A1781" s="1" t="n">
        <v>1573</v>
      </c>
      <c r="B1781" s="3">
        <f>HYPERLINK("https://leetcode.com/problems/number-of-ways-to-split-a-string/", "Number of Ways to Split a String")</f>
        <v/>
      </c>
      <c r="C1781" s="1" t="n">
        <v>764</v>
      </c>
      <c r="D1781" s="1" t="n">
        <v>88</v>
      </c>
      <c r="E1781" s="4">
        <f>IF(INDEX(C:C, ROW())+INDEX(D:D, ROW())=0, 0, INDEX(C:C, ROW())/(INDEX(C:C, ROW())+INDEX(D:D, ROW())))</f>
        <v/>
      </c>
      <c r="F1781" s="1" t="inlineStr">
        <is>
          <t>Math, String</t>
        </is>
      </c>
      <c r="G1781" s="1" t="inlineStr">
        <is>
          <t>Medium</t>
        </is>
      </c>
      <c r="H1781" s="1" t="n">
        <v>35331</v>
      </c>
      <c r="I1781" s="1" t="n">
        <v>102647</v>
      </c>
      <c r="J1781" s="9" t="n">
        <v>0.344</v>
      </c>
      <c r="K1781" s="1" t="inlineStr">
        <is>
          <t>Yes</t>
        </is>
      </c>
      <c r="L1781" s="1" t="inlineStr">
        <is>
          <t>No</t>
        </is>
      </c>
      <c r="M1781" s="1" t="inlineStr">
        <is>
          <t>No</t>
        </is>
      </c>
      <c r="N1781" s="1" t="inlineStr">
        <is>
          <t>Algorithms</t>
        </is>
      </c>
      <c r="O17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82" ht="15.75" customHeight="1" s="12">
      <c r="A1782" s="1" t="n">
        <v>1050</v>
      </c>
      <c r="B1782" s="3">
        <f>HYPERLINK("https://leetcode.com/problems/actors-and-directors-who-cooperated-at-least-three-times/", "Actors and Directors Who Cooperated At Least Three Times")</f>
        <v/>
      </c>
      <c r="C1782" s="1" t="n">
        <v>763</v>
      </c>
      <c r="D1782" s="1" t="n">
        <v>56</v>
      </c>
      <c r="E1782" s="4">
        <f>IF(INDEX(C:C, ROW())+INDEX(D:D, ROW())=0, 0, INDEX(C:C, ROW())/(INDEX(C:C, ROW())+INDEX(D:D, ROW())))</f>
        <v/>
      </c>
      <c r="F1782" s="1" t="inlineStr">
        <is>
          <t>Database</t>
        </is>
      </c>
      <c r="G1782" s="1" t="inlineStr">
        <is>
          <t>Easy</t>
        </is>
      </c>
      <c r="H1782" s="1" t="n">
        <v>292828</v>
      </c>
      <c r="I1782" s="1" t="n">
        <v>413214</v>
      </c>
      <c r="J1782" s="9" t="n">
        <v>0.709</v>
      </c>
      <c r="K1782" s="1" t="inlineStr">
        <is>
          <t>Yes</t>
        </is>
      </c>
      <c r="L1782" s="1" t="inlineStr">
        <is>
          <t>Yes</t>
        </is>
      </c>
      <c r="M1782" s="1" t="inlineStr">
        <is>
          <t>No</t>
        </is>
      </c>
      <c r="N1782" s="1" t="inlineStr">
        <is>
          <t>Database</t>
        </is>
      </c>
      <c r="O17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83" ht="15.75" customHeight="1" s="12">
      <c r="A1783" s="1" t="n">
        <v>1713</v>
      </c>
      <c r="B1783" s="3">
        <f>HYPERLINK("https://leetcode.com/problems/minimum-operations-to-make-a-subsequence/", "Minimum Operations to Make a Subsequence")</f>
        <v/>
      </c>
      <c r="C1783" s="1" t="n">
        <v>763</v>
      </c>
      <c r="D1783" s="1" t="n">
        <v>15</v>
      </c>
      <c r="E1783" s="4">
        <f>IF(INDEX(C:C, ROW())+INDEX(D:D, ROW())=0, 0, INDEX(C:C, ROW())/(INDEX(C:C, ROW())+INDEX(D:D, ROW())))</f>
        <v/>
      </c>
      <c r="F1783" s="1" t="inlineStr">
        <is>
          <t>Array, Hash Table, Binary Search, Greedy</t>
        </is>
      </c>
      <c r="G1783" s="1" t="inlineStr">
        <is>
          <t>Hard</t>
        </is>
      </c>
      <c r="H1783" s="1" t="n">
        <v>15805</v>
      </c>
      <c r="I1783" s="1" t="n">
        <v>31920</v>
      </c>
      <c r="J1783" s="9" t="n">
        <v>0.495</v>
      </c>
      <c r="K1783" s="1" t="inlineStr">
        <is>
          <t>Yes</t>
        </is>
      </c>
      <c r="L1783" s="1" t="inlineStr">
        <is>
          <t>No</t>
        </is>
      </c>
      <c r="M1783" s="1" t="inlineStr">
        <is>
          <t>No</t>
        </is>
      </c>
      <c r="N1783" s="1" t="inlineStr">
        <is>
          <t>Algorithms</t>
        </is>
      </c>
      <c r="O17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84" ht="15.75" customHeight="1" s="12">
      <c r="A1784" s="1" t="n">
        <v>3160</v>
      </c>
      <c r="B1784" s="3">
        <f>HYPERLINK("https://leetcode.com/problems/find-the-number-of-distinct-colors-among-the-balls/", "Find the Number of Distinct Colors Among the Balls")</f>
        <v/>
      </c>
      <c r="C1784" s="1" t="n">
        <v>763</v>
      </c>
      <c r="D1784" s="1" t="n">
        <v>94</v>
      </c>
      <c r="E1784" s="4">
        <f>IF(INDEX(C:C, ROW())+INDEX(D:D, ROW())=0, 0, INDEX(C:C, ROW())/(INDEX(C:C, ROW())+INDEX(D:D, ROW())))</f>
        <v/>
      </c>
      <c r="F1784" s="1" t="inlineStr">
        <is>
          <t>Array, Hash Table, Simulation</t>
        </is>
      </c>
      <c r="G1784" s="1" t="inlineStr">
        <is>
          <t>Medium</t>
        </is>
      </c>
      <c r="H1784" s="1" t="n">
        <v>169779</v>
      </c>
      <c r="I1784" s="1" t="n">
        <v>313379</v>
      </c>
      <c r="J1784" s="9" t="n">
        <v>0.542</v>
      </c>
      <c r="K1784" s="1" t="inlineStr">
        <is>
          <t>Yes</t>
        </is>
      </c>
      <c r="L1784" s="1" t="inlineStr">
        <is>
          <t>Yes</t>
        </is>
      </c>
      <c r="M1784" s="1" t="inlineStr">
        <is>
          <t>No</t>
        </is>
      </c>
      <c r="N1784" s="1" t="inlineStr">
        <is>
          <t>Algorithms</t>
        </is>
      </c>
      <c r="O17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85" ht="15.75" customHeight="1" s="12">
      <c r="A1785" s="1" t="n">
        <v>2335</v>
      </c>
      <c r="B1785" s="3">
        <f>HYPERLINK("https://leetcode.com/problems/minimum-amount-of-time-to-fill-cups/", "Minimum Amount of Time to Fill Cups")</f>
        <v/>
      </c>
      <c r="C1785" s="1" t="n">
        <v>762</v>
      </c>
      <c r="D1785" s="1" t="n">
        <v>93</v>
      </c>
      <c r="E1785" s="4">
        <f>IF(INDEX(C:C, ROW())+INDEX(D:D, ROW())=0, 0, INDEX(C:C, ROW())/(INDEX(C:C, ROW())+INDEX(D:D, ROW())))</f>
        <v/>
      </c>
      <c r="F1785" s="1" t="inlineStr">
        <is>
          <t>Array, Greedy, Sorting, Heap (Priority Queue)</t>
        </is>
      </c>
      <c r="G1785" s="1" t="inlineStr">
        <is>
          <t>Easy</t>
        </is>
      </c>
      <c r="H1785" s="1" t="n">
        <v>65589</v>
      </c>
      <c r="I1785" s="1" t="n">
        <v>109498</v>
      </c>
      <c r="J1785" s="9" t="n">
        <v>0.599</v>
      </c>
      <c r="K1785" s="1" t="inlineStr">
        <is>
          <t>Yes</t>
        </is>
      </c>
      <c r="L1785" s="1" t="inlineStr">
        <is>
          <t>No</t>
        </is>
      </c>
      <c r="M1785" s="1" t="inlineStr">
        <is>
          <t>No</t>
        </is>
      </c>
      <c r="N1785" s="1" t="inlineStr">
        <is>
          <t>Algorithms</t>
        </is>
      </c>
      <c r="O17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86" ht="15.75" customHeight="1" s="12">
      <c r="A1786" s="1" t="n">
        <v>2490</v>
      </c>
      <c r="B1786" s="3">
        <f>HYPERLINK("https://leetcode.com/problems/circular-sentence/", "Circular Sentence")</f>
        <v/>
      </c>
      <c r="C1786" s="1" t="n">
        <v>761</v>
      </c>
      <c r="D1786" s="1" t="n">
        <v>28</v>
      </c>
      <c r="E1786" s="4">
        <f>IF(INDEX(C:C, ROW())+INDEX(D:D, ROW())=0, 0, INDEX(C:C, ROW())/(INDEX(C:C, ROW())+INDEX(D:D, ROW())))</f>
        <v/>
      </c>
      <c r="F1786" s="1" t="inlineStr">
        <is>
          <t>String</t>
        </is>
      </c>
      <c r="G1786" s="1" t="inlineStr">
        <is>
          <t>Easy</t>
        </is>
      </c>
      <c r="H1786" s="1" t="n">
        <v>186919</v>
      </c>
      <c r="I1786" s="1" t="n">
        <v>266169</v>
      </c>
      <c r="J1786" s="9" t="n">
        <v>0.702</v>
      </c>
      <c r="K1786" s="1" t="inlineStr">
        <is>
          <t>Yes</t>
        </is>
      </c>
      <c r="L1786" s="1" t="inlineStr">
        <is>
          <t>Yes</t>
        </is>
      </c>
      <c r="M1786" s="1" t="inlineStr">
        <is>
          <t>No</t>
        </is>
      </c>
      <c r="N1786" s="1" t="inlineStr">
        <is>
          <t>Algorithms</t>
        </is>
      </c>
      <c r="O17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87" ht="15.75" customHeight="1" s="12">
      <c r="A1787" s="1" t="n">
        <v>2817</v>
      </c>
      <c r="B1787" s="3">
        <f>HYPERLINK("https://leetcode.com/problems/minimum-absolute-difference-between-elements-with-constraint/", "Minimum Absolute Difference Between Elements With Constraint")</f>
        <v/>
      </c>
      <c r="C1787" s="1" t="n">
        <v>760</v>
      </c>
      <c r="D1787" s="1" t="n">
        <v>77</v>
      </c>
      <c r="E1787" s="4">
        <f>IF(INDEX(C:C, ROW())+INDEX(D:D, ROW())=0, 0, INDEX(C:C, ROW())/(INDEX(C:C, ROW())+INDEX(D:D, ROW())))</f>
        <v/>
      </c>
      <c r="F1787" s="1" t="inlineStr">
        <is>
          <t>Array, Binary Search, Ordered Set</t>
        </is>
      </c>
      <c r="G1787" s="1" t="inlineStr">
        <is>
          <t>Medium</t>
        </is>
      </c>
      <c r="H1787" s="1" t="n">
        <v>38870</v>
      </c>
      <c r="I1787" s="1" t="n">
        <v>105614</v>
      </c>
      <c r="J1787" s="9" t="n">
        <v>0.368</v>
      </c>
      <c r="K1787" s="1" t="inlineStr">
        <is>
          <t>Yes</t>
        </is>
      </c>
      <c r="L1787" s="1" t="inlineStr">
        <is>
          <t>No</t>
        </is>
      </c>
      <c r="M1787" s="1" t="inlineStr">
        <is>
          <t>No</t>
        </is>
      </c>
      <c r="N1787" s="1" t="inlineStr">
        <is>
          <t>Algorithms</t>
        </is>
      </c>
      <c r="O17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88" ht="15.75" customHeight="1" s="12">
      <c r="A1788" s="1" t="n">
        <v>1059</v>
      </c>
      <c r="B1788" s="3">
        <f>HYPERLINK("https://leetcode.com/problems/all-paths-from-source-lead-to-destination/", "All Paths from Source Lead to Destination")</f>
        <v/>
      </c>
      <c r="C1788" s="1" t="n">
        <v>759</v>
      </c>
      <c r="D1788" s="1" t="n">
        <v>432</v>
      </c>
      <c r="E1788" s="4">
        <f>IF(INDEX(C:C, ROW())+INDEX(D:D, ROW())=0, 0, INDEX(C:C, ROW())/(INDEX(C:C, ROW())+INDEX(D:D, ROW())))</f>
        <v/>
      </c>
      <c r="F1788" s="1" t="inlineStr">
        <is>
          <t>Graph Theory, Topological Sort</t>
        </is>
      </c>
      <c r="G1788" s="1" t="inlineStr">
        <is>
          <t>Medium</t>
        </is>
      </c>
      <c r="H1788" s="1" t="n">
        <v>73930</v>
      </c>
      <c r="I1788" s="1" t="n">
        <v>199648</v>
      </c>
      <c r="J1788" s="9" t="n">
        <v>0.37</v>
      </c>
      <c r="K1788" s="1" t="inlineStr">
        <is>
          <t>No</t>
        </is>
      </c>
      <c r="L1788" s="1" t="inlineStr">
        <is>
          <t>Yes</t>
        </is>
      </c>
      <c r="M1788" s="1" t="inlineStr">
        <is>
          <t>Yes</t>
        </is>
      </c>
      <c r="N1788" s="1" t="inlineStr">
        <is>
          <t>Algorithms</t>
        </is>
      </c>
      <c r="O17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89" ht="15.75" customHeight="1" s="12">
      <c r="A1789" s="1" t="n">
        <v>2749</v>
      </c>
      <c r="B1789" s="3">
        <f>HYPERLINK("https://leetcode.com/problems/minimum-operations-to-make-the-integer-zero/", "Minimum Operations to Make the Integer Zero")</f>
        <v/>
      </c>
      <c r="C1789" s="1" t="n">
        <v>758</v>
      </c>
      <c r="D1789" s="1" t="n">
        <v>375</v>
      </c>
      <c r="E1789" s="4">
        <f>IF(INDEX(C:C, ROW())+INDEX(D:D, ROW())=0, 0, INDEX(C:C, ROW())/(INDEX(C:C, ROW())+INDEX(D:D, ROW())))</f>
        <v/>
      </c>
      <c r="F1789" s="1" t="inlineStr">
        <is>
          <t>Bit Manipulation, Brainteaser, Enumeration</t>
        </is>
      </c>
      <c r="G1789" s="1" t="inlineStr">
        <is>
          <t>Medium</t>
        </is>
      </c>
      <c r="H1789" s="1" t="n">
        <v>95490</v>
      </c>
      <c r="I1789" s="1" t="n">
        <v>164015</v>
      </c>
      <c r="J1789" s="9" t="n">
        <v>0.582</v>
      </c>
      <c r="K1789" s="1" t="inlineStr">
        <is>
          <t>Yes</t>
        </is>
      </c>
      <c r="L1789" s="1" t="inlineStr">
        <is>
          <t>Yes</t>
        </is>
      </c>
      <c r="M1789" s="1" t="inlineStr">
        <is>
          <t>No</t>
        </is>
      </c>
      <c r="N1789" s="1" t="inlineStr">
        <is>
          <t>Algorithms</t>
        </is>
      </c>
      <c r="O17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90" ht="15.75" customHeight="1" s="12">
      <c r="A1790" s="1" t="n">
        <v>3208</v>
      </c>
      <c r="B1790" s="3">
        <f>HYPERLINK("https://leetcode.com/problems/alternating-groups-ii/", "Alternating Groups II")</f>
        <v/>
      </c>
      <c r="C1790" s="1" t="n">
        <v>758</v>
      </c>
      <c r="D1790" s="1" t="n">
        <v>73</v>
      </c>
      <c r="E1790" s="4">
        <f>IF(INDEX(C:C, ROW())+INDEX(D:D, ROW())=0, 0, INDEX(C:C, ROW())/(INDEX(C:C, ROW())+INDEX(D:D, ROW())))</f>
        <v/>
      </c>
      <c r="F1790" s="1" t="inlineStr">
        <is>
          <t>Array, Sliding Window</t>
        </is>
      </c>
      <c r="G1790" s="1" t="inlineStr">
        <is>
          <t>Medium</t>
        </is>
      </c>
      <c r="H1790" s="1" t="n">
        <v>157944</v>
      </c>
      <c r="I1790" s="1" t="n">
        <v>263842</v>
      </c>
      <c r="J1790" s="9" t="n">
        <v>0.599</v>
      </c>
      <c r="K1790" s="1" t="inlineStr">
        <is>
          <t>Yes</t>
        </is>
      </c>
      <c r="L1790" s="1" t="inlineStr">
        <is>
          <t>Yes</t>
        </is>
      </c>
      <c r="M1790" s="1" t="inlineStr">
        <is>
          <t>No</t>
        </is>
      </c>
      <c r="N1790" s="1" t="inlineStr">
        <is>
          <t>Algorithms</t>
        </is>
      </c>
      <c r="O17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91" ht="15.75" customHeight="1" s="12">
      <c r="A1791" s="1" t="n">
        <v>722</v>
      </c>
      <c r="B1791" s="3">
        <f>HYPERLINK("https://leetcode.com/problems/remove-comments/", "Remove Comments")</f>
        <v/>
      </c>
      <c r="C1791" s="1" t="n">
        <v>756</v>
      </c>
      <c r="D1791" s="1" t="n">
        <v>1844</v>
      </c>
      <c r="E1791" s="4">
        <f>IF(INDEX(C:C, ROW())+INDEX(D:D, ROW())=0, 0, INDEX(C:C, ROW())/(INDEX(C:C, ROW())+INDEX(D:D, ROW())))</f>
        <v/>
      </c>
      <c r="F1791" s="1" t="inlineStr">
        <is>
          <t>Array, String</t>
        </is>
      </c>
      <c r="G1791" s="1" t="inlineStr">
        <is>
          <t>Medium</t>
        </is>
      </c>
      <c r="H1791" s="1" t="n">
        <v>84087</v>
      </c>
      <c r="I1791" s="1" t="n">
        <v>210638</v>
      </c>
      <c r="J1791" s="9" t="n">
        <v>0.399</v>
      </c>
      <c r="K1791" s="1" t="inlineStr">
        <is>
          <t>Yes</t>
        </is>
      </c>
      <c r="L1791" s="1" t="inlineStr">
        <is>
          <t>Yes</t>
        </is>
      </c>
      <c r="M1791" s="1" t="inlineStr">
        <is>
          <t>No</t>
        </is>
      </c>
      <c r="N1791" s="1" t="inlineStr">
        <is>
          <t>Algorithms</t>
        </is>
      </c>
      <c r="O17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92" ht="15.75" customHeight="1" s="12">
      <c r="A1792" s="1" t="n">
        <v>3097</v>
      </c>
      <c r="B1792" s="3">
        <f>HYPERLINK("https://leetcode.com/problems/shortest-subarray-with-or-at-least-k-ii/", "Shortest Subarray With OR at Least K II")</f>
        <v/>
      </c>
      <c r="C1792" s="1" t="n">
        <v>756</v>
      </c>
      <c r="D1792" s="1" t="n">
        <v>72</v>
      </c>
      <c r="E1792" s="4">
        <f>IF(INDEX(C:C, ROW())+INDEX(D:D, ROW())=0, 0, INDEX(C:C, ROW())/(INDEX(C:C, ROW())+INDEX(D:D, ROW())))</f>
        <v/>
      </c>
      <c r="F1792" s="1" t="inlineStr">
        <is>
          <t>Array, Bit Manipulation, Sliding Window</t>
        </is>
      </c>
      <c r="G1792" s="1" t="inlineStr">
        <is>
          <t>Medium</t>
        </is>
      </c>
      <c r="H1792" s="1" t="n">
        <v>98515</v>
      </c>
      <c r="I1792" s="1" t="n">
        <v>196150</v>
      </c>
      <c r="J1792" s="9" t="n">
        <v>0.502</v>
      </c>
      <c r="K1792" s="1" t="inlineStr">
        <is>
          <t>Yes</t>
        </is>
      </c>
      <c r="L1792" s="1" t="inlineStr">
        <is>
          <t>Yes</t>
        </is>
      </c>
      <c r="M1792" s="1" t="inlineStr">
        <is>
          <t>No</t>
        </is>
      </c>
      <c r="N1792" s="1" t="inlineStr">
        <is>
          <t>Algorithms</t>
        </is>
      </c>
      <c r="O17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93" ht="15.75" customHeight="1" s="12">
      <c r="A1793" s="1" t="n">
        <v>2626</v>
      </c>
      <c r="B1793" s="3">
        <f>HYPERLINK("https://leetcode.com/problems/array-reduce-transformation/", "Array Reduce Transformation")</f>
        <v/>
      </c>
      <c r="C1793" s="1" t="n">
        <v>754</v>
      </c>
      <c r="D1793" s="1" t="n">
        <v>49</v>
      </c>
      <c r="E1793" s="4">
        <f>IF(INDEX(C:C, ROW())+INDEX(D:D, ROW())=0, 0, INDEX(C:C, ROW())/(INDEX(C:C, ROW())+INDEX(D:D, ROW())))</f>
        <v/>
      </c>
      <c r="F1793" s="2" t="n"/>
      <c r="G1793" s="1" t="inlineStr">
        <is>
          <t>Easy</t>
        </is>
      </c>
      <c r="H1793" s="1" t="n">
        <v>278208</v>
      </c>
      <c r="I1793" s="1" t="n">
        <v>325602</v>
      </c>
      <c r="J1793" s="9" t="n">
        <v>0.854</v>
      </c>
      <c r="K1793" s="1" t="inlineStr">
        <is>
          <t>Yes</t>
        </is>
      </c>
      <c r="L1793" s="1" t="inlineStr">
        <is>
          <t>Yes</t>
        </is>
      </c>
      <c r="M1793" s="1" t="inlineStr">
        <is>
          <t>No</t>
        </is>
      </c>
      <c r="N1793" s="1" t="inlineStr">
        <is>
          <t>JavaScript</t>
        </is>
      </c>
      <c r="O17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94" ht="15.75" customHeight="1" s="12">
      <c r="A1794" s="1" t="n">
        <v>2831</v>
      </c>
      <c r="B1794" s="3">
        <f>HYPERLINK("https://leetcode.com/problems/find-the-longest-equal-subarray/", "Find the Longest Equal Subarray")</f>
        <v/>
      </c>
      <c r="C1794" s="1" t="n">
        <v>753</v>
      </c>
      <c r="D1794" s="1" t="n">
        <v>19</v>
      </c>
      <c r="E1794" s="4">
        <f>IF(INDEX(C:C, ROW())+INDEX(D:D, ROW())=0, 0, INDEX(C:C, ROW())/(INDEX(C:C, ROW())+INDEX(D:D, ROW())))</f>
        <v/>
      </c>
      <c r="F1794" s="1" t="inlineStr">
        <is>
          <t>Array, Hash Table, Binary Search, Sliding Window</t>
        </is>
      </c>
      <c r="G1794" s="1" t="inlineStr">
        <is>
          <t>Medium</t>
        </is>
      </c>
      <c r="H1794" s="1" t="n">
        <v>29114</v>
      </c>
      <c r="I1794" s="1" t="n">
        <v>77859</v>
      </c>
      <c r="J1794" s="9" t="n">
        <v>0.374</v>
      </c>
      <c r="K1794" s="1" t="inlineStr">
        <is>
          <t>Yes</t>
        </is>
      </c>
      <c r="L1794" s="1" t="inlineStr">
        <is>
          <t>No</t>
        </is>
      </c>
      <c r="M1794" s="1" t="inlineStr">
        <is>
          <t>No</t>
        </is>
      </c>
      <c r="N1794" s="1" t="inlineStr">
        <is>
          <t>Algorithms</t>
        </is>
      </c>
      <c r="O17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95" ht="15.75" customHeight="1" s="12">
      <c r="A1795" s="1" t="n">
        <v>537</v>
      </c>
      <c r="B1795" s="3">
        <f>HYPERLINK("https://leetcode.com/problems/complex-number-multiplication/", "Complex Number Multiplication")</f>
        <v/>
      </c>
      <c r="C1795" s="1" t="n">
        <v>752</v>
      </c>
      <c r="D1795" s="1" t="n">
        <v>1255</v>
      </c>
      <c r="E1795" s="4">
        <f>IF(INDEX(C:C, ROW())+INDEX(D:D, ROW())=0, 0, INDEX(C:C, ROW())/(INDEX(C:C, ROW())+INDEX(D:D, ROW())))</f>
        <v/>
      </c>
      <c r="F1795" s="1" t="inlineStr">
        <is>
          <t>Math, String, Simulation</t>
        </is>
      </c>
      <c r="G1795" s="1" t="inlineStr">
        <is>
          <t>Medium</t>
        </is>
      </c>
      <c r="H1795" s="1" t="n">
        <v>110970</v>
      </c>
      <c r="I1795" s="1" t="n">
        <v>151809</v>
      </c>
      <c r="J1795" s="9" t="n">
        <v>0.731</v>
      </c>
      <c r="K1795" s="1" t="inlineStr">
        <is>
          <t>Yes</t>
        </is>
      </c>
      <c r="L1795" s="1" t="inlineStr">
        <is>
          <t>Yes</t>
        </is>
      </c>
      <c r="M1795" s="1" t="inlineStr">
        <is>
          <t>No</t>
        </is>
      </c>
      <c r="N1795" s="1" t="inlineStr">
        <is>
          <t>Algorithms</t>
        </is>
      </c>
      <c r="O17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96" ht="15.75" customHeight="1" s="12">
      <c r="A1796" s="1" t="n">
        <v>1967</v>
      </c>
      <c r="B1796" s="3">
        <f>HYPERLINK("https://leetcode.com/problems/number-of-strings-that-appear-as-substrings-in-word/", "Number of Strings That Appear as Substrings in Word")</f>
        <v/>
      </c>
      <c r="C1796" s="1" t="n">
        <v>752</v>
      </c>
      <c r="D1796" s="1" t="n">
        <v>42</v>
      </c>
      <c r="E1796" s="4">
        <f>IF(INDEX(C:C, ROW())+INDEX(D:D, ROW())=0, 0, INDEX(C:C, ROW())/(INDEX(C:C, ROW())+INDEX(D:D, ROW())))</f>
        <v/>
      </c>
      <c r="F1796" s="1" t="inlineStr">
        <is>
          <t>Array, String</t>
        </is>
      </c>
      <c r="G1796" s="1" t="inlineStr">
        <is>
          <t>Easy</t>
        </is>
      </c>
      <c r="H1796" s="1" t="n">
        <v>101962</v>
      </c>
      <c r="I1796" s="1" t="n">
        <v>123804</v>
      </c>
      <c r="J1796" s="9" t="n">
        <v>0.824</v>
      </c>
      <c r="K1796" s="1" t="inlineStr">
        <is>
          <t>Yes</t>
        </is>
      </c>
      <c r="L1796" s="1" t="inlineStr">
        <is>
          <t>No</t>
        </is>
      </c>
      <c r="M1796" s="1" t="inlineStr">
        <is>
          <t>No</t>
        </is>
      </c>
      <c r="N1796" s="1" t="inlineStr">
        <is>
          <t>Algorithms</t>
        </is>
      </c>
      <c r="O17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97" ht="15.75" customHeight="1" s="12">
      <c r="A1797" s="1" t="n">
        <v>1170</v>
      </c>
      <c r="B1797" s="3">
        <f>HYPERLINK("https://leetcode.com/problems/compare-strings-by-frequency-of-the-smallest-character/", "Compare Strings by Frequency of the Smallest Character")</f>
        <v/>
      </c>
      <c r="C1797" s="1" t="n">
        <v>751</v>
      </c>
      <c r="D1797" s="1" t="n">
        <v>980</v>
      </c>
      <c r="E1797" s="4">
        <f>IF(INDEX(C:C, ROW())+INDEX(D:D, ROW())=0, 0, INDEX(C:C, ROW())/(INDEX(C:C, ROW())+INDEX(D:D, ROW())))</f>
        <v/>
      </c>
      <c r="F1797" s="1" t="inlineStr">
        <is>
          <t>Array, Hash Table, String, Binary Search, Sorting</t>
        </is>
      </c>
      <c r="G1797" s="1" t="inlineStr">
        <is>
          <t>Medium</t>
        </is>
      </c>
      <c r="H1797" s="1" t="n">
        <v>91427</v>
      </c>
      <c r="I1797" s="1" t="n">
        <v>144793</v>
      </c>
      <c r="J1797" s="9" t="n">
        <v>0.631</v>
      </c>
      <c r="K1797" s="1" t="inlineStr">
        <is>
          <t>Yes</t>
        </is>
      </c>
      <c r="L1797" s="1" t="inlineStr">
        <is>
          <t>No</t>
        </is>
      </c>
      <c r="M1797" s="1" t="inlineStr">
        <is>
          <t>No</t>
        </is>
      </c>
      <c r="N1797" s="1" t="inlineStr">
        <is>
          <t>Algorithms</t>
        </is>
      </c>
      <c r="O17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98" ht="15.75" customHeight="1" s="12">
      <c r="A1798" s="1" t="n">
        <v>1866</v>
      </c>
      <c r="B1798" s="3">
        <f>HYPERLINK("https://leetcode.com/problems/number-of-ways-to-rearrange-sticks-with-k-sticks-visible/", "Number of Ways to Rearrange Sticks With K Sticks Visible")</f>
        <v/>
      </c>
      <c r="C1798" s="1" t="n">
        <v>750</v>
      </c>
      <c r="D1798" s="1" t="n">
        <v>24</v>
      </c>
      <c r="E1798" s="4">
        <f>IF(INDEX(C:C, ROW())+INDEX(D:D, ROW())=0, 0, INDEX(C:C, ROW())/(INDEX(C:C, ROW())+INDEX(D:D, ROW())))</f>
        <v/>
      </c>
      <c r="F1798" s="1" t="inlineStr">
        <is>
          <t>Math, Dynamic Programming, Combinatorics</t>
        </is>
      </c>
      <c r="G1798" s="1" t="inlineStr">
        <is>
          <t>Hard</t>
        </is>
      </c>
      <c r="H1798" s="1" t="n">
        <v>20411</v>
      </c>
      <c r="I1798" s="1" t="n">
        <v>34141</v>
      </c>
      <c r="J1798" s="9" t="n">
        <v>0.598</v>
      </c>
      <c r="K1798" s="1" t="inlineStr">
        <is>
          <t>Yes</t>
        </is>
      </c>
      <c r="L1798" s="1" t="inlineStr">
        <is>
          <t>No</t>
        </is>
      </c>
      <c r="M1798" s="1" t="inlineStr">
        <is>
          <t>No</t>
        </is>
      </c>
      <c r="N1798" s="1" t="inlineStr">
        <is>
          <t>Algorithms</t>
        </is>
      </c>
      <c r="O17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799" ht="15.75" customHeight="1" s="12">
      <c r="A1799" s="1" t="n">
        <v>2623</v>
      </c>
      <c r="B1799" s="3">
        <f>HYPERLINK("https://leetcode.com/problems/memoize/", "Memoize")</f>
        <v/>
      </c>
      <c r="C1799" s="1" t="n">
        <v>750</v>
      </c>
      <c r="D1799" s="1" t="n">
        <v>117</v>
      </c>
      <c r="E1799" s="4">
        <f>IF(INDEX(C:C, ROW())+INDEX(D:D, ROW())=0, 0, INDEX(C:C, ROW())/(INDEX(C:C, ROW())+INDEX(D:D, ROW())))</f>
        <v/>
      </c>
      <c r="F1799" s="2" t="n"/>
      <c r="G1799" s="1" t="inlineStr">
        <is>
          <t>Medium</t>
        </is>
      </c>
      <c r="H1799" s="1" t="n">
        <v>176102</v>
      </c>
      <c r="I1799" s="1" t="n">
        <v>272365</v>
      </c>
      <c r="J1799" s="9" t="n">
        <v>0.647</v>
      </c>
      <c r="K1799" s="1" t="inlineStr">
        <is>
          <t>Yes</t>
        </is>
      </c>
      <c r="L1799" s="1" t="inlineStr">
        <is>
          <t>Yes</t>
        </is>
      </c>
      <c r="M1799" s="1" t="inlineStr">
        <is>
          <t>No</t>
        </is>
      </c>
      <c r="N1799" s="1" t="inlineStr">
        <is>
          <t>JavaScript</t>
        </is>
      </c>
      <c r="O17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00" ht="15.75" customHeight="1" s="12">
      <c r="A1800" s="1" t="n">
        <v>903</v>
      </c>
      <c r="B1800" s="3">
        <f>HYPERLINK("https://leetcode.com/problems/valid-permutations-for-di-sequence/", "Valid Permutations for DI Sequence")</f>
        <v/>
      </c>
      <c r="C1800" s="1" t="n">
        <v>749</v>
      </c>
      <c r="D1800" s="1" t="n">
        <v>45</v>
      </c>
      <c r="E1800" s="4">
        <f>IF(INDEX(C:C, ROW())+INDEX(D:D, ROW())=0, 0, INDEX(C:C, ROW())/(INDEX(C:C, ROW())+INDEX(D:D, ROW())))</f>
        <v/>
      </c>
      <c r="F1800" s="1" t="inlineStr">
        <is>
          <t>String, Dynamic Programming, Prefix Sum</t>
        </is>
      </c>
      <c r="G1800" s="1" t="inlineStr">
        <is>
          <t>Hard</t>
        </is>
      </c>
      <c r="H1800" s="1" t="n">
        <v>20045</v>
      </c>
      <c r="I1800" s="1" t="n">
        <v>35695</v>
      </c>
      <c r="J1800" s="9" t="n">
        <v>0.5620000000000001</v>
      </c>
      <c r="K1800" s="1" t="inlineStr">
        <is>
          <t>Yes</t>
        </is>
      </c>
      <c r="L1800" s="1" t="inlineStr">
        <is>
          <t>Yes</t>
        </is>
      </c>
      <c r="M1800" s="1" t="inlineStr">
        <is>
          <t>No</t>
        </is>
      </c>
      <c r="N1800" s="1" t="inlineStr">
        <is>
          <t>Algorithms</t>
        </is>
      </c>
      <c r="O18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01" ht="15.75" customHeight="1" s="12">
      <c r="A1801" s="1" t="n">
        <v>1115</v>
      </c>
      <c r="B1801" s="3">
        <f>HYPERLINK("https://leetcode.com/problems/print-foobar-alternately/", "Print FooBar Alternately")</f>
        <v/>
      </c>
      <c r="C1801" s="1" t="n">
        <v>748</v>
      </c>
      <c r="D1801" s="1" t="n">
        <v>60</v>
      </c>
      <c r="E1801" s="4">
        <f>IF(INDEX(C:C, ROW())+INDEX(D:D, ROW())=0, 0, INDEX(C:C, ROW())/(INDEX(C:C, ROW())+INDEX(D:D, ROW())))</f>
        <v/>
      </c>
      <c r="F1801" s="1" t="inlineStr">
        <is>
          <t>Concurrency</t>
        </is>
      </c>
      <c r="G1801" s="1" t="inlineStr">
        <is>
          <t>Medium</t>
        </is>
      </c>
      <c r="H1801" s="1" t="n">
        <v>129770</v>
      </c>
      <c r="I1801" s="1" t="n">
        <v>181080</v>
      </c>
      <c r="J1801" s="9" t="n">
        <v>0.717</v>
      </c>
      <c r="K1801" s="1" t="inlineStr">
        <is>
          <t>Yes</t>
        </is>
      </c>
      <c r="L1801" s="1" t="inlineStr">
        <is>
          <t>No</t>
        </is>
      </c>
      <c r="M1801" s="1" t="inlineStr">
        <is>
          <t>No</t>
        </is>
      </c>
      <c r="N1801" s="1" t="inlineStr">
        <is>
          <t>Concurrency</t>
        </is>
      </c>
      <c r="O18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02" ht="15.75" customHeight="1" s="12">
      <c r="A1802" s="1" t="n">
        <v>2023</v>
      </c>
      <c r="B1802" s="3">
        <f>HYPERLINK("https://leetcode.com/problems/number-of-pairs-of-strings-with-concatenation-equal-to-target/", "Number of Pairs of Strings With Concatenation Equal to Target")</f>
        <v/>
      </c>
      <c r="C1802" s="1" t="n">
        <v>748</v>
      </c>
      <c r="D1802" s="1" t="n">
        <v>56</v>
      </c>
      <c r="E1802" s="4">
        <f>IF(INDEX(C:C, ROW())+INDEX(D:D, ROW())=0, 0, INDEX(C:C, ROW())/(INDEX(C:C, ROW())+INDEX(D:D, ROW())))</f>
        <v/>
      </c>
      <c r="F1802" s="1" t="inlineStr">
        <is>
          <t>Array, Hash Table, String, Counting</t>
        </is>
      </c>
      <c r="G1802" s="1" t="inlineStr">
        <is>
          <t>Medium</t>
        </is>
      </c>
      <c r="H1802" s="1" t="n">
        <v>60789</v>
      </c>
      <c r="I1802" s="1" t="n">
        <v>80705</v>
      </c>
      <c r="J1802" s="9" t="n">
        <v>0.753</v>
      </c>
      <c r="K1802" s="1" t="inlineStr">
        <is>
          <t>Yes</t>
        </is>
      </c>
      <c r="L1802" s="1" t="inlineStr">
        <is>
          <t>No</t>
        </is>
      </c>
      <c r="M1802" s="1" t="inlineStr">
        <is>
          <t>No</t>
        </is>
      </c>
      <c r="N1802" s="1" t="inlineStr">
        <is>
          <t>Algorithms</t>
        </is>
      </c>
      <c r="O18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03" ht="15.75" customHeight="1" s="12">
      <c r="A1803" s="1" t="n">
        <v>1080</v>
      </c>
      <c r="B1803" s="3">
        <f>HYPERLINK("https://leetcode.com/problems/insufficient-nodes-in-root-to-leaf-paths/", "Insufficient Nodes in Root to Leaf Paths")</f>
        <v/>
      </c>
      <c r="C1803" s="1" t="n">
        <v>747</v>
      </c>
      <c r="D1803" s="1" t="n">
        <v>738</v>
      </c>
      <c r="E1803" s="4">
        <f>IF(INDEX(C:C, ROW())+INDEX(D:D, ROW())=0, 0, INDEX(C:C, ROW())/(INDEX(C:C, ROW())+INDEX(D:D, ROW())))</f>
        <v/>
      </c>
      <c r="F1803" s="1" t="inlineStr">
        <is>
          <t>Tree, Depth-First Search, Binary Tree</t>
        </is>
      </c>
      <c r="G1803" s="1" t="inlineStr">
        <is>
          <t>Medium</t>
        </is>
      </c>
      <c r="H1803" s="1" t="n">
        <v>49537</v>
      </c>
      <c r="I1803" s="1" t="n">
        <v>90593</v>
      </c>
      <c r="J1803" s="9" t="n">
        <v>0.547</v>
      </c>
      <c r="K1803" s="1" t="inlineStr">
        <is>
          <t>Yes</t>
        </is>
      </c>
      <c r="L1803" s="1" t="inlineStr">
        <is>
          <t>No</t>
        </is>
      </c>
      <c r="M1803" s="1" t="inlineStr">
        <is>
          <t>No</t>
        </is>
      </c>
      <c r="N1803" s="1" t="inlineStr">
        <is>
          <t>Algorithms</t>
        </is>
      </c>
      <c r="O18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04" ht="15.75" customHeight="1" s="12">
      <c r="A1804" s="1" t="n">
        <v>949</v>
      </c>
      <c r="B1804" s="3">
        <f>HYPERLINK("https://leetcode.com/problems/largest-time-for-given-digits/", "Largest Time for Given Digits")</f>
        <v/>
      </c>
      <c r="C1804" s="1" t="n">
        <v>745</v>
      </c>
      <c r="D1804" s="1" t="n">
        <v>1072</v>
      </c>
      <c r="E1804" s="4">
        <f>IF(INDEX(C:C, ROW())+INDEX(D:D, ROW())=0, 0, INDEX(C:C, ROW())/(INDEX(C:C, ROW())+INDEX(D:D, ROW())))</f>
        <v/>
      </c>
      <c r="F1804" s="1" t="inlineStr">
        <is>
          <t>Array, String, Backtracking, Enumeration</t>
        </is>
      </c>
      <c r="G1804" s="1" t="inlineStr">
        <is>
          <t>Medium</t>
        </is>
      </c>
      <c r="H1804" s="1" t="n">
        <v>101752</v>
      </c>
      <c r="I1804" s="1" t="n">
        <v>284076</v>
      </c>
      <c r="J1804" s="9" t="n">
        <v>0.358</v>
      </c>
      <c r="K1804" s="1" t="inlineStr">
        <is>
          <t>Yes</t>
        </is>
      </c>
      <c r="L1804" s="1" t="inlineStr">
        <is>
          <t>Yes</t>
        </is>
      </c>
      <c r="M1804" s="1" t="inlineStr">
        <is>
          <t>No</t>
        </is>
      </c>
      <c r="N1804" s="1" t="inlineStr">
        <is>
          <t>Algorithms</t>
        </is>
      </c>
      <c r="O18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05" ht="15.75" customHeight="1" s="12">
      <c r="A1805" s="1" t="n">
        <v>1674</v>
      </c>
      <c r="B1805" s="3">
        <f>HYPERLINK("https://leetcode.com/problems/minimum-moves-to-make-array-complementary/", "Minimum Moves to Make Array Complementary")</f>
        <v/>
      </c>
      <c r="C1805" s="1" t="n">
        <v>744</v>
      </c>
      <c r="D1805" s="1" t="n">
        <v>85</v>
      </c>
      <c r="E1805" s="4">
        <f>IF(INDEX(C:C, ROW())+INDEX(D:D, ROW())=0, 0, INDEX(C:C, ROW())/(INDEX(C:C, ROW())+INDEX(D:D, ROW())))</f>
        <v/>
      </c>
      <c r="F1805" s="1" t="inlineStr">
        <is>
          <t>Array, Hash Table, Prefix Sum</t>
        </is>
      </c>
      <c r="G1805" s="1" t="inlineStr">
        <is>
          <t>Medium</t>
        </is>
      </c>
      <c r="H1805" s="1" t="n">
        <v>12653</v>
      </c>
      <c r="I1805" s="1" t="n">
        <v>29353</v>
      </c>
      <c r="J1805" s="9" t="n">
        <v>0.431</v>
      </c>
      <c r="K1805" s="1" t="inlineStr">
        <is>
          <t>Yes</t>
        </is>
      </c>
      <c r="L1805" s="1" t="inlineStr">
        <is>
          <t>No</t>
        </is>
      </c>
      <c r="M1805" s="1" t="inlineStr">
        <is>
          <t>No</t>
        </is>
      </c>
      <c r="N1805" s="1" t="inlineStr">
        <is>
          <t>Algorithms</t>
        </is>
      </c>
      <c r="O18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06" ht="15.75" customHeight="1" s="12">
      <c r="A1806" s="1" t="n">
        <v>1987</v>
      </c>
      <c r="B1806" s="3">
        <f>HYPERLINK("https://leetcode.com/problems/number-of-unique-good-subsequences/", "Number of Unique Good Subsequences")</f>
        <v/>
      </c>
      <c r="C1806" s="1" t="n">
        <v>743</v>
      </c>
      <c r="D1806" s="1" t="n">
        <v>17</v>
      </c>
      <c r="E1806" s="4">
        <f>IF(INDEX(C:C, ROW())+INDEX(D:D, ROW())=0, 0, INDEX(C:C, ROW())/(INDEX(C:C, ROW())+INDEX(D:D, ROW())))</f>
        <v/>
      </c>
      <c r="F1806" s="1" t="inlineStr">
        <is>
          <t>String, Dynamic Programming</t>
        </is>
      </c>
      <c r="G1806" s="1" t="inlineStr">
        <is>
          <t>Hard</t>
        </is>
      </c>
      <c r="H1806" s="1" t="n">
        <v>16428</v>
      </c>
      <c r="I1806" s="1" t="n">
        <v>31320</v>
      </c>
      <c r="J1806" s="9" t="n">
        <v>0.525</v>
      </c>
      <c r="K1806" s="1" t="inlineStr">
        <is>
          <t>Yes</t>
        </is>
      </c>
      <c r="L1806" s="1" t="inlineStr">
        <is>
          <t>No</t>
        </is>
      </c>
      <c r="M1806" s="1" t="inlineStr">
        <is>
          <t>No</t>
        </is>
      </c>
      <c r="N1806" s="1" t="inlineStr">
        <is>
          <t>Algorithms</t>
        </is>
      </c>
      <c r="O18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07" ht="15.75" customHeight="1" s="12">
      <c r="A1807" s="1" t="n">
        <v>2087</v>
      </c>
      <c r="B1807" s="3">
        <f>HYPERLINK("https://leetcode.com/problems/minimum-cost-homecoming-of-a-robot-in-a-grid/", "Minimum Cost Homecoming of a Robot in a Grid")</f>
        <v/>
      </c>
      <c r="C1807" s="1" t="n">
        <v>743</v>
      </c>
      <c r="D1807" s="1" t="n">
        <v>97</v>
      </c>
      <c r="E1807" s="4">
        <f>IF(INDEX(C:C, ROW())+INDEX(D:D, ROW())=0, 0, INDEX(C:C, ROW())/(INDEX(C:C, ROW())+INDEX(D:D, ROW())))</f>
        <v/>
      </c>
      <c r="F1807" s="1" t="inlineStr">
        <is>
          <t>Array, Greedy</t>
        </is>
      </c>
      <c r="G1807" s="1" t="inlineStr">
        <is>
          <t>Medium</t>
        </is>
      </c>
      <c r="H1807" s="1" t="n">
        <v>25954</v>
      </c>
      <c r="I1807" s="1" t="n">
        <v>50361</v>
      </c>
      <c r="J1807" s="9" t="n">
        <v>0.515</v>
      </c>
      <c r="K1807" s="1" t="inlineStr">
        <is>
          <t>Yes</t>
        </is>
      </c>
      <c r="L1807" s="1" t="inlineStr">
        <is>
          <t>No</t>
        </is>
      </c>
      <c r="M1807" s="1" t="inlineStr">
        <is>
          <t>No</t>
        </is>
      </c>
      <c r="N1807" s="1" t="inlineStr">
        <is>
          <t>Algorithms</t>
        </is>
      </c>
      <c r="O18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08" ht="15.75" customHeight="1" s="12">
      <c r="A1808" s="1" t="n">
        <v>681</v>
      </c>
      <c r="B1808" s="3">
        <f>HYPERLINK("https://leetcode.com/problems/next-closest-time/", "Next Closest Time")</f>
        <v/>
      </c>
      <c r="C1808" s="1" t="n">
        <v>742</v>
      </c>
      <c r="D1808" s="1" t="n">
        <v>1078</v>
      </c>
      <c r="E1808" s="4">
        <f>IF(INDEX(C:C, ROW())+INDEX(D:D, ROW())=0, 0, INDEX(C:C, ROW())/(INDEX(C:C, ROW())+INDEX(D:D, ROW())))</f>
        <v/>
      </c>
      <c r="F1808" s="1" t="inlineStr">
        <is>
          <t>Hash Table, String, Backtracking, Enumeration</t>
        </is>
      </c>
      <c r="G1808" s="1" t="inlineStr">
        <is>
          <t>Medium</t>
        </is>
      </c>
      <c r="H1808" s="1" t="n">
        <v>117342</v>
      </c>
      <c r="I1808" s="1" t="n">
        <v>249899</v>
      </c>
      <c r="J1808" s="9" t="n">
        <v>0.47</v>
      </c>
      <c r="K1808" s="1" t="inlineStr">
        <is>
          <t>No</t>
        </is>
      </c>
      <c r="L1808" s="1" t="inlineStr">
        <is>
          <t>Yes</t>
        </is>
      </c>
      <c r="M1808" s="1" t="inlineStr">
        <is>
          <t>No</t>
        </is>
      </c>
      <c r="N1808" s="1" t="inlineStr">
        <is>
          <t>Algorithms</t>
        </is>
      </c>
      <c r="O18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09" ht="15.75" customHeight="1" s="12">
      <c r="A1809" s="1" t="n">
        <v>1703</v>
      </c>
      <c r="B1809" s="3">
        <f>HYPERLINK("https://leetcode.com/problems/minimum-adjacent-swaps-for-k-consecutive-ones/", "Minimum Adjacent Swaps for K Consecutive Ones")</f>
        <v/>
      </c>
      <c r="C1809" s="1" t="n">
        <v>742</v>
      </c>
      <c r="D1809" s="1" t="n">
        <v>29</v>
      </c>
      <c r="E1809" s="4">
        <f>IF(INDEX(C:C, ROW())+INDEX(D:D, ROW())=0, 0, INDEX(C:C, ROW())/(INDEX(C:C, ROW())+INDEX(D:D, ROW())))</f>
        <v/>
      </c>
      <c r="F1809" s="1" t="inlineStr">
        <is>
          <t>Array, Greedy, Sliding Window, Prefix Sum</t>
        </is>
      </c>
      <c r="G1809" s="1" t="inlineStr">
        <is>
          <t>Hard</t>
        </is>
      </c>
      <c r="H1809" s="1" t="n">
        <v>13842</v>
      </c>
      <c r="I1809" s="1" t="n">
        <v>32724</v>
      </c>
      <c r="J1809" s="9" t="n">
        <v>0.423</v>
      </c>
      <c r="K1809" s="1" t="inlineStr">
        <is>
          <t>Yes</t>
        </is>
      </c>
      <c r="L1809" s="1" t="inlineStr">
        <is>
          <t>No</t>
        </is>
      </c>
      <c r="M1809" s="1" t="inlineStr">
        <is>
          <t>No</t>
        </is>
      </c>
      <c r="N1809" s="1" t="inlineStr">
        <is>
          <t>Algorithms</t>
        </is>
      </c>
      <c r="O18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10" ht="15.75" customHeight="1" s="12">
      <c r="A1810" s="1" t="n">
        <v>2454</v>
      </c>
      <c r="B1810" s="3">
        <f>HYPERLINK("https://leetcode.com/problems/next-greater-element-iv/", "Next Greater Element IV")</f>
        <v/>
      </c>
      <c r="C1810" s="1" t="n">
        <v>742</v>
      </c>
      <c r="D1810" s="1" t="n">
        <v>12</v>
      </c>
      <c r="E1810" s="4">
        <f>IF(INDEX(C:C, ROW())+INDEX(D:D, ROW())=0, 0, INDEX(C:C, ROW())/(INDEX(C:C, ROW())+INDEX(D:D, ROW())))</f>
        <v/>
      </c>
      <c r="F1810" s="1" t="inlineStr">
        <is>
          <t>Array, Binary Search, Stack, Sorting, Heap (Priority Queue), Monotonic Stack</t>
        </is>
      </c>
      <c r="G1810" s="1" t="inlineStr">
        <is>
          <t>Hard</t>
        </is>
      </c>
      <c r="H1810" s="1" t="n">
        <v>17370</v>
      </c>
      <c r="I1810" s="1" t="n">
        <v>42160</v>
      </c>
      <c r="J1810" s="9" t="n">
        <v>0.412</v>
      </c>
      <c r="K1810" s="1" t="inlineStr">
        <is>
          <t>Yes</t>
        </is>
      </c>
      <c r="L1810" s="1" t="inlineStr">
        <is>
          <t>No</t>
        </is>
      </c>
      <c r="M1810" s="1" t="inlineStr">
        <is>
          <t>No</t>
        </is>
      </c>
      <c r="N1810" s="1" t="inlineStr">
        <is>
          <t>Algorithms</t>
        </is>
      </c>
      <c r="O18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11" ht="15.75" customHeight="1" s="12">
      <c r="A1811" s="1" t="n">
        <v>1158</v>
      </c>
      <c r="B1811" s="3">
        <f>HYPERLINK("https://leetcode.com/problems/market-analysis-i/", "Market Analysis I")</f>
        <v/>
      </c>
      <c r="C1811" s="1" t="n">
        <v>740</v>
      </c>
      <c r="D1811" s="1" t="n">
        <v>71</v>
      </c>
      <c r="E1811" s="4">
        <f>IF(INDEX(C:C, ROW())+INDEX(D:D, ROW())=0, 0, INDEX(C:C, ROW())/(INDEX(C:C, ROW())+INDEX(D:D, ROW())))</f>
        <v/>
      </c>
      <c r="F1811" s="1" t="inlineStr">
        <is>
          <t>Database</t>
        </is>
      </c>
      <c r="G1811" s="1" t="inlineStr">
        <is>
          <t>Medium</t>
        </is>
      </c>
      <c r="H1811" s="1" t="n">
        <v>159875</v>
      </c>
      <c r="I1811" s="1" t="n">
        <v>279715</v>
      </c>
      <c r="J1811" s="9" t="n">
        <v>0.572</v>
      </c>
      <c r="K1811" s="1" t="inlineStr">
        <is>
          <t>Yes</t>
        </is>
      </c>
      <c r="L1811" s="1" t="inlineStr">
        <is>
          <t>Yes</t>
        </is>
      </c>
      <c r="M1811" s="1" t="inlineStr">
        <is>
          <t>No</t>
        </is>
      </c>
      <c r="N1811" s="1" t="inlineStr">
        <is>
          <t>Database</t>
        </is>
      </c>
      <c r="O18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12" ht="15.75" customHeight="1" s="12">
      <c r="A1812" s="1" t="n">
        <v>251</v>
      </c>
      <c r="B1812" s="3">
        <f>HYPERLINK("https://leetcode.com/problems/flatten-2d-vector/", "Flatten 2D Vector")</f>
        <v/>
      </c>
      <c r="C1812" s="1" t="n">
        <v>739</v>
      </c>
      <c r="D1812" s="1" t="n">
        <v>417</v>
      </c>
      <c r="E1812" s="4">
        <f>IF(INDEX(C:C, ROW())+INDEX(D:D, ROW())=0, 0, INDEX(C:C, ROW())/(INDEX(C:C, ROW())+INDEX(D:D, ROW())))</f>
        <v/>
      </c>
      <c r="F1812" s="1" t="inlineStr">
        <is>
          <t>Array, Two Pointers, Design, Iterator</t>
        </is>
      </c>
      <c r="G1812" s="1" t="inlineStr">
        <is>
          <t>Medium</t>
        </is>
      </c>
      <c r="H1812" s="1" t="n">
        <v>144356</v>
      </c>
      <c r="I1812" s="1" t="n">
        <v>286358</v>
      </c>
      <c r="J1812" s="9" t="n">
        <v>0.504</v>
      </c>
      <c r="K1812" s="1" t="inlineStr">
        <is>
          <t>No</t>
        </is>
      </c>
      <c r="L1812" s="1" t="inlineStr">
        <is>
          <t>Yes</t>
        </is>
      </c>
      <c r="M1812" s="1" t="inlineStr">
        <is>
          <t>No</t>
        </is>
      </c>
      <c r="N1812" s="1" t="inlineStr">
        <is>
          <t>Algorithms</t>
        </is>
      </c>
      <c r="O18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13" ht="15.75" customHeight="1" s="12">
      <c r="A1813" s="1" t="n">
        <v>2039</v>
      </c>
      <c r="B1813" s="3">
        <f>HYPERLINK("https://leetcode.com/problems/the-time-when-the-network-becomes-idle/", "The Time When the Network Becomes Idle")</f>
        <v/>
      </c>
      <c r="C1813" s="1" t="n">
        <v>738</v>
      </c>
      <c r="D1813" s="1" t="n">
        <v>76</v>
      </c>
      <c r="E1813" s="4">
        <f>IF(INDEX(C:C, ROW())+INDEX(D:D, ROW())=0, 0, INDEX(C:C, ROW())/(INDEX(C:C, ROW())+INDEX(D:D, ROW())))</f>
        <v/>
      </c>
      <c r="F1813" s="1" t="inlineStr">
        <is>
          <t>Array, Breadth-First Search, Graph Theory</t>
        </is>
      </c>
      <c r="G1813" s="1" t="inlineStr">
        <is>
          <t>Medium</t>
        </is>
      </c>
      <c r="H1813" s="1" t="n">
        <v>22579</v>
      </c>
      <c r="I1813" s="1" t="n">
        <v>40959</v>
      </c>
      <c r="J1813" s="9" t="n">
        <v>0.551</v>
      </c>
      <c r="K1813" s="1" t="inlineStr">
        <is>
          <t>Yes</t>
        </is>
      </c>
      <c r="L1813" s="1" t="inlineStr">
        <is>
          <t>No</t>
        </is>
      </c>
      <c r="M1813" s="1" t="inlineStr">
        <is>
          <t>No</t>
        </is>
      </c>
      <c r="N1813" s="1" t="inlineStr">
        <is>
          <t>Algorithms</t>
        </is>
      </c>
      <c r="O18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14" ht="15.75" customHeight="1" s="12">
      <c r="A1814" s="1" t="n">
        <v>3186</v>
      </c>
      <c r="B1814" s="3">
        <f>HYPERLINK("https://leetcode.com/problems/maximum-total-damage-with-spell-casting/", "Maximum Total Damage With Spell Casting")</f>
        <v/>
      </c>
      <c r="C1814" s="1" t="n">
        <v>738</v>
      </c>
      <c r="D1814" s="1" t="n">
        <v>64</v>
      </c>
      <c r="E1814" s="4">
        <f>IF(INDEX(C:C, ROW())+INDEX(D:D, ROW())=0, 0, INDEX(C:C, ROW())/(INDEX(C:C, ROW())+INDEX(D:D, ROW())))</f>
        <v/>
      </c>
      <c r="F1814" s="1" t="inlineStr">
        <is>
          <t>Array, Hash Table, Two Pointers, Binary Search, Dynamic Programming, Sorting, Counting</t>
        </is>
      </c>
      <c r="G1814" s="1" t="inlineStr">
        <is>
          <t>Medium</t>
        </is>
      </c>
      <c r="H1814" s="1" t="n">
        <v>111765</v>
      </c>
      <c r="I1814" s="1" t="n">
        <v>248376</v>
      </c>
      <c r="J1814" s="9" t="n">
        <v>0.45</v>
      </c>
      <c r="K1814" s="1" t="inlineStr">
        <is>
          <t>Yes</t>
        </is>
      </c>
      <c r="L1814" s="1" t="inlineStr">
        <is>
          <t>Yes</t>
        </is>
      </c>
      <c r="M1814" s="1" t="inlineStr">
        <is>
          <t>No</t>
        </is>
      </c>
      <c r="N1814" s="1" t="inlineStr">
        <is>
          <t>Algorithms</t>
        </is>
      </c>
      <c r="O18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15" ht="15.75" customHeight="1" s="12">
      <c r="A1815" s="1" t="n">
        <v>2080</v>
      </c>
      <c r="B1815" s="3">
        <f>HYPERLINK("https://leetcode.com/problems/range-frequency-queries/", "Range Frequency Queries")</f>
        <v/>
      </c>
      <c r="C1815" s="1" t="n">
        <v>737</v>
      </c>
      <c r="D1815" s="1" t="n">
        <v>29</v>
      </c>
      <c r="E1815" s="4">
        <f>IF(INDEX(C:C, ROW())+INDEX(D:D, ROW())=0, 0, INDEX(C:C, ROW())/(INDEX(C:C, ROW())+INDEX(D:D, ROW())))</f>
        <v/>
      </c>
      <c r="F1815" s="1" t="inlineStr">
        <is>
          <t>Array, Hash Table, Binary Search, Design, Segment Tree</t>
        </is>
      </c>
      <c r="G1815" s="1" t="inlineStr">
        <is>
          <t>Medium</t>
        </is>
      </c>
      <c r="H1815" s="1" t="n">
        <v>31550</v>
      </c>
      <c r="I1815" s="1" t="n">
        <v>75721</v>
      </c>
      <c r="J1815" s="9" t="n">
        <v>0.417</v>
      </c>
      <c r="K1815" s="1" t="inlineStr">
        <is>
          <t>Yes</t>
        </is>
      </c>
      <c r="L1815" s="1" t="inlineStr">
        <is>
          <t>No</t>
        </is>
      </c>
      <c r="M1815" s="1" t="inlineStr">
        <is>
          <t>No</t>
        </is>
      </c>
      <c r="N1815" s="1" t="inlineStr">
        <is>
          <t>Algorithms</t>
        </is>
      </c>
      <c r="O18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16" ht="15.75" customHeight="1" s="12">
      <c r="A1816" s="1" t="n">
        <v>1070</v>
      </c>
      <c r="B1816" s="3">
        <f>HYPERLINK("https://leetcode.com/problems/product-sales-analysis-iii/", "Product Sales Analysis III")</f>
        <v/>
      </c>
      <c r="C1816" s="1" t="n">
        <v>736</v>
      </c>
      <c r="D1816" s="1" t="n">
        <v>1115</v>
      </c>
      <c r="E1816" s="4">
        <f>IF(INDEX(C:C, ROW())+INDEX(D:D, ROW())=0, 0, INDEX(C:C, ROW())/(INDEX(C:C, ROW())+INDEX(D:D, ROW())))</f>
        <v/>
      </c>
      <c r="F1816" s="1" t="inlineStr">
        <is>
          <t>Database</t>
        </is>
      </c>
      <c r="G1816" s="1" t="inlineStr">
        <is>
          <t>Medium</t>
        </is>
      </c>
      <c r="H1816" s="1" t="n">
        <v>406644</v>
      </c>
      <c r="I1816" s="1" t="n">
        <v>894560</v>
      </c>
      <c r="J1816" s="9" t="n">
        <v>0.455</v>
      </c>
      <c r="K1816" s="1" t="inlineStr">
        <is>
          <t>Yes</t>
        </is>
      </c>
      <c r="L1816" s="1" t="inlineStr">
        <is>
          <t>Yes</t>
        </is>
      </c>
      <c r="M1816" s="1" t="inlineStr">
        <is>
          <t>No</t>
        </is>
      </c>
      <c r="N1816" s="1" t="inlineStr">
        <is>
          <t>Database</t>
        </is>
      </c>
      <c r="O18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17" ht="15.75" customHeight="1" s="12">
      <c r="A1817" s="1" t="n">
        <v>2341</v>
      </c>
      <c r="B1817" s="3">
        <f>HYPERLINK("https://leetcode.com/problems/maximum-number-of-pairs-in-array/", "Maximum Number of Pairs in Array")</f>
        <v/>
      </c>
      <c r="C1817" s="1" t="n">
        <v>736</v>
      </c>
      <c r="D1817" s="1" t="n">
        <v>19</v>
      </c>
      <c r="E1817" s="4">
        <f>IF(INDEX(C:C, ROW())+INDEX(D:D, ROW())=0, 0, INDEX(C:C, ROW())/(INDEX(C:C, ROW())+INDEX(D:D, ROW())))</f>
        <v/>
      </c>
      <c r="F1817" s="1" t="inlineStr">
        <is>
          <t>Array, Hash Table, Counting</t>
        </is>
      </c>
      <c r="G1817" s="1" t="inlineStr">
        <is>
          <t>Easy</t>
        </is>
      </c>
      <c r="H1817" s="1" t="n">
        <v>89241</v>
      </c>
      <c r="I1817" s="1" t="n">
        <v>117523</v>
      </c>
      <c r="J1817" s="9" t="n">
        <v>0.759</v>
      </c>
      <c r="K1817" s="1" t="inlineStr">
        <is>
          <t>Yes</t>
        </is>
      </c>
      <c r="L1817" s="1" t="inlineStr">
        <is>
          <t>No</t>
        </is>
      </c>
      <c r="M1817" s="1" t="inlineStr">
        <is>
          <t>No</t>
        </is>
      </c>
      <c r="N1817" s="1" t="inlineStr">
        <is>
          <t>Algorithms</t>
        </is>
      </c>
      <c r="O18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18" ht="15.75" customHeight="1" s="12">
      <c r="A1818" s="1" t="n">
        <v>891</v>
      </c>
      <c r="B1818" s="3">
        <f>HYPERLINK("https://leetcode.com/problems/sum-of-subsequence-widths/", "Sum of Subsequence Widths")</f>
        <v/>
      </c>
      <c r="C1818" s="1" t="n">
        <v>734</v>
      </c>
      <c r="D1818" s="1" t="n">
        <v>172</v>
      </c>
      <c r="E1818" s="4">
        <f>IF(INDEX(C:C, ROW())+INDEX(D:D, ROW())=0, 0, INDEX(C:C, ROW())/(INDEX(C:C, ROW())+INDEX(D:D, ROW())))</f>
        <v/>
      </c>
      <c r="F1818" s="1" t="inlineStr">
        <is>
          <t>Array, Math, Sorting</t>
        </is>
      </c>
      <c r="G1818" s="1" t="inlineStr">
        <is>
          <t>Hard</t>
        </is>
      </c>
      <c r="H1818" s="1" t="n">
        <v>25866</v>
      </c>
      <c r="I1818" s="1" t="n">
        <v>64602</v>
      </c>
      <c r="J1818" s="9" t="n">
        <v>0.4</v>
      </c>
      <c r="K1818" s="1" t="inlineStr">
        <is>
          <t>Yes</t>
        </is>
      </c>
      <c r="L1818" s="1" t="inlineStr">
        <is>
          <t>Yes</t>
        </is>
      </c>
      <c r="M1818" s="1" t="inlineStr">
        <is>
          <t>No</t>
        </is>
      </c>
      <c r="N1818" s="1" t="inlineStr">
        <is>
          <t>Algorithms</t>
        </is>
      </c>
      <c r="O18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19" ht="15.75" customHeight="1" s="12">
      <c r="A1819" s="1" t="n">
        <v>1407</v>
      </c>
      <c r="B1819" s="3">
        <f>HYPERLINK("https://leetcode.com/problems/top-travellers/", "Top Travellers")</f>
        <v/>
      </c>
      <c r="C1819" s="1" t="n">
        <v>734</v>
      </c>
      <c r="D1819" s="1" t="n">
        <v>82</v>
      </c>
      <c r="E1819" s="4">
        <f>IF(INDEX(C:C, ROW())+INDEX(D:D, ROW())=0, 0, INDEX(C:C, ROW())/(INDEX(C:C, ROW())+INDEX(D:D, ROW())))</f>
        <v/>
      </c>
      <c r="F1819" s="1" t="inlineStr">
        <is>
          <t>Database</t>
        </is>
      </c>
      <c r="G1819" s="1" t="inlineStr">
        <is>
          <t>Easy</t>
        </is>
      </c>
      <c r="H1819" s="1" t="n">
        <v>198309</v>
      </c>
      <c r="I1819" s="1" t="n">
        <v>347329</v>
      </c>
      <c r="J1819" s="9" t="n">
        <v>0.571</v>
      </c>
      <c r="K1819" s="1" t="inlineStr">
        <is>
          <t>Yes</t>
        </is>
      </c>
      <c r="L1819" s="1" t="inlineStr">
        <is>
          <t>Yes</t>
        </is>
      </c>
      <c r="M1819" s="1" t="inlineStr">
        <is>
          <t>No</t>
        </is>
      </c>
      <c r="N1819" s="1" t="inlineStr">
        <is>
          <t>Database</t>
        </is>
      </c>
      <c r="O18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20" ht="15.75" customHeight="1" s="12">
      <c r="A1820" s="1" t="n">
        <v>2699</v>
      </c>
      <c r="B1820" s="3">
        <f>HYPERLINK("https://leetcode.com/problems/modify-graph-edge-weights/", "Modify Graph Edge Weights")</f>
        <v/>
      </c>
      <c r="C1820" s="1" t="n">
        <v>734</v>
      </c>
      <c r="D1820" s="1" t="n">
        <v>153</v>
      </c>
      <c r="E1820" s="4">
        <f>IF(INDEX(C:C, ROW())+INDEX(D:D, ROW())=0, 0, INDEX(C:C, ROW())/(INDEX(C:C, ROW())+INDEX(D:D, ROW())))</f>
        <v/>
      </c>
      <c r="F1820" s="1" t="inlineStr">
        <is>
          <t>Graph Theory, Heap (Priority Queue), Shortest Path</t>
        </is>
      </c>
      <c r="G1820" s="1" t="inlineStr">
        <is>
          <t>Hard</t>
        </is>
      </c>
      <c r="H1820" s="1" t="n">
        <v>67156</v>
      </c>
      <c r="I1820" s="1" t="n">
        <v>120547</v>
      </c>
      <c r="J1820" s="9" t="n">
        <v>0.5570000000000001</v>
      </c>
      <c r="K1820" s="1" t="inlineStr">
        <is>
          <t>Yes</t>
        </is>
      </c>
      <c r="L1820" s="1" t="inlineStr">
        <is>
          <t>Yes</t>
        </is>
      </c>
      <c r="M1820" s="1" t="inlineStr">
        <is>
          <t>No</t>
        </is>
      </c>
      <c r="N1820" s="1" t="inlineStr">
        <is>
          <t>Algorithms</t>
        </is>
      </c>
      <c r="O18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21" ht="15.75" customHeight="1" s="12">
      <c r="A1821" s="1" t="n">
        <v>651</v>
      </c>
      <c r="B1821" s="3">
        <f>HYPERLINK("https://leetcode.com/problems/4-keys-keyboard/", "4 Keys Keyboard")</f>
        <v/>
      </c>
      <c r="C1821" s="1" t="n">
        <v>733</v>
      </c>
      <c r="D1821" s="1" t="n">
        <v>93</v>
      </c>
      <c r="E1821" s="4">
        <f>IF(INDEX(C:C, ROW())+INDEX(D:D, ROW())=0, 0, INDEX(C:C, ROW())/(INDEX(C:C, ROW())+INDEX(D:D, ROW())))</f>
        <v/>
      </c>
      <c r="F1821" s="1" t="inlineStr">
        <is>
          <t>Math, Dynamic Programming</t>
        </is>
      </c>
      <c r="G1821" s="1" t="inlineStr">
        <is>
          <t>Medium</t>
        </is>
      </c>
      <c r="H1821" s="1" t="n">
        <v>33322</v>
      </c>
      <c r="I1821" s="1" t="n">
        <v>59530</v>
      </c>
      <c r="J1821" s="9" t="n">
        <v>0.5600000000000001</v>
      </c>
      <c r="K1821" s="1" t="inlineStr">
        <is>
          <t>No</t>
        </is>
      </c>
      <c r="L1821" s="1" t="inlineStr">
        <is>
          <t>Yes</t>
        </is>
      </c>
      <c r="M1821" s="1" t="inlineStr">
        <is>
          <t>No</t>
        </is>
      </c>
      <c r="N1821" s="1" t="inlineStr">
        <is>
          <t>Algorithms</t>
        </is>
      </c>
      <c r="O18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22" ht="15.75" customHeight="1" s="12">
      <c r="A1822" s="1" t="n">
        <v>2261</v>
      </c>
      <c r="B1822" s="3">
        <f>HYPERLINK("https://leetcode.com/problems/k-divisible-elements-subarrays/", "K Divisible Elements Subarrays")</f>
        <v/>
      </c>
      <c r="C1822" s="1" t="n">
        <v>733</v>
      </c>
      <c r="D1822" s="1" t="n">
        <v>162</v>
      </c>
      <c r="E1822" s="4">
        <f>IF(INDEX(C:C, ROW())+INDEX(D:D, ROW())=0, 0, INDEX(C:C, ROW())/(INDEX(C:C, ROW())+INDEX(D:D, ROW())))</f>
        <v/>
      </c>
      <c r="F1822" s="1" t="inlineStr">
        <is>
          <t>Array, Hash Table, Trie, Rolling Hash, Hash Function, Enumeration</t>
        </is>
      </c>
      <c r="G1822" s="1" t="inlineStr">
        <is>
          <t>Medium</t>
        </is>
      </c>
      <c r="H1822" s="1" t="n">
        <v>47716</v>
      </c>
      <c r="I1822" s="1" t="n">
        <v>87316</v>
      </c>
      <c r="J1822" s="9" t="n">
        <v>0.546</v>
      </c>
      <c r="K1822" s="1" t="inlineStr">
        <is>
          <t>Yes</t>
        </is>
      </c>
      <c r="L1822" s="1" t="inlineStr">
        <is>
          <t>No</t>
        </is>
      </c>
      <c r="M1822" s="1" t="inlineStr">
        <is>
          <t>No</t>
        </is>
      </c>
      <c r="N1822" s="1" t="inlineStr">
        <is>
          <t>Algorithms</t>
        </is>
      </c>
      <c r="O18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23" ht="15.75" customHeight="1" s="12">
      <c r="A1823" s="1" t="n">
        <v>1729</v>
      </c>
      <c r="B1823" s="3">
        <f>HYPERLINK("https://leetcode.com/problems/find-followers-count/", "Find Followers Count")</f>
        <v/>
      </c>
      <c r="C1823" s="1" t="n">
        <v>731</v>
      </c>
      <c r="D1823" s="1" t="n">
        <v>47</v>
      </c>
      <c r="E1823" s="4">
        <f>IF(INDEX(C:C, ROW())+INDEX(D:D, ROW())=0, 0, INDEX(C:C, ROW())/(INDEX(C:C, ROW())+INDEX(D:D, ROW())))</f>
        <v/>
      </c>
      <c r="F1823" s="1" t="inlineStr">
        <is>
          <t>Database</t>
        </is>
      </c>
      <c r="G1823" s="1" t="inlineStr">
        <is>
          <t>Easy</t>
        </is>
      </c>
      <c r="H1823" s="1" t="n">
        <v>439193</v>
      </c>
      <c r="I1823" s="1" t="n">
        <v>631916</v>
      </c>
      <c r="J1823" s="9" t="n">
        <v>0.695</v>
      </c>
      <c r="K1823" s="1" t="inlineStr">
        <is>
          <t>Yes</t>
        </is>
      </c>
      <c r="L1823" s="1" t="inlineStr">
        <is>
          <t>Yes</t>
        </is>
      </c>
      <c r="M1823" s="1" t="inlineStr">
        <is>
          <t>No</t>
        </is>
      </c>
      <c r="N1823" s="1" t="inlineStr">
        <is>
          <t>Database</t>
        </is>
      </c>
      <c r="O18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24" ht="15.75" customHeight="1" s="12">
      <c r="A1824" s="1" t="n">
        <v>1774</v>
      </c>
      <c r="B1824" s="3">
        <f>HYPERLINK("https://leetcode.com/problems/closest-dessert-cost/", "Closest Dessert Cost")</f>
        <v/>
      </c>
      <c r="C1824" s="1" t="n">
        <v>731</v>
      </c>
      <c r="D1824" s="1" t="n">
        <v>94</v>
      </c>
      <c r="E1824" s="4">
        <f>IF(INDEX(C:C, ROW())+INDEX(D:D, ROW())=0, 0, INDEX(C:C, ROW())/(INDEX(C:C, ROW())+INDEX(D:D, ROW())))</f>
        <v/>
      </c>
      <c r="F1824" s="1" t="inlineStr">
        <is>
          <t>Array, Dynamic Programming, Backtracking</t>
        </is>
      </c>
      <c r="G1824" s="1" t="inlineStr">
        <is>
          <t>Medium</t>
        </is>
      </c>
      <c r="H1824" s="1" t="n">
        <v>37683</v>
      </c>
      <c r="I1824" s="1" t="n">
        <v>77998</v>
      </c>
      <c r="J1824" s="9" t="n">
        <v>0.483</v>
      </c>
      <c r="K1824" s="1" t="inlineStr">
        <is>
          <t>Yes</t>
        </is>
      </c>
      <c r="L1824" s="1" t="inlineStr">
        <is>
          <t>No</t>
        </is>
      </c>
      <c r="M1824" s="1" t="inlineStr">
        <is>
          <t>No</t>
        </is>
      </c>
      <c r="N1824" s="1" t="inlineStr">
        <is>
          <t>Algorithms</t>
        </is>
      </c>
      <c r="O18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25" ht="15.75" customHeight="1" s="12">
      <c r="A1825" s="1" t="n">
        <v>2442</v>
      </c>
      <c r="B1825" s="3">
        <f>HYPERLINK("https://leetcode.com/problems/count-number-of-distinct-integers-after-reverse-operations/", "Count Number of Distinct Integers After Reverse Operations")</f>
        <v/>
      </c>
      <c r="C1825" s="1" t="n">
        <v>731</v>
      </c>
      <c r="D1825" s="1" t="n">
        <v>60</v>
      </c>
      <c r="E1825" s="4">
        <f>IF(INDEX(C:C, ROW())+INDEX(D:D, ROW())=0, 0, INDEX(C:C, ROW())/(INDEX(C:C, ROW())+INDEX(D:D, ROW())))</f>
        <v/>
      </c>
      <c r="F1825" s="1" t="inlineStr">
        <is>
          <t>Array, Hash Table, Math, Counting</t>
        </is>
      </c>
      <c r="G1825" s="1" t="inlineStr">
        <is>
          <t>Medium</t>
        </is>
      </c>
      <c r="H1825" s="1" t="n">
        <v>95858</v>
      </c>
      <c r="I1825" s="1" t="n">
        <v>118154</v>
      </c>
      <c r="J1825" s="9" t="n">
        <v>0.8110000000000001</v>
      </c>
      <c r="K1825" s="1" t="inlineStr">
        <is>
          <t>Yes</t>
        </is>
      </c>
      <c r="L1825" s="1" t="inlineStr">
        <is>
          <t>No</t>
        </is>
      </c>
      <c r="M1825" s="1" t="inlineStr">
        <is>
          <t>No</t>
        </is>
      </c>
      <c r="N1825" s="1" t="inlineStr">
        <is>
          <t>Algorithms</t>
        </is>
      </c>
      <c r="O18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26" ht="15.75" customHeight="1" s="12">
      <c r="A1826" s="1" t="n">
        <v>2653</v>
      </c>
      <c r="B1826" s="3">
        <f>HYPERLINK("https://leetcode.com/problems/sliding-subarray-beauty/", "Sliding Subarray Beauty")</f>
        <v/>
      </c>
      <c r="C1826" s="1" t="n">
        <v>731</v>
      </c>
      <c r="D1826" s="1" t="n">
        <v>139</v>
      </c>
      <c r="E1826" s="4">
        <f>IF(INDEX(C:C, ROW())+INDEX(D:D, ROW())=0, 0, INDEX(C:C, ROW())/(INDEX(C:C, ROW())+INDEX(D:D, ROW())))</f>
        <v/>
      </c>
      <c r="F1826" s="1" t="inlineStr">
        <is>
          <t>Array, Hash Table, Sliding Window</t>
        </is>
      </c>
      <c r="G1826" s="1" t="inlineStr">
        <is>
          <t>Medium</t>
        </is>
      </c>
      <c r="H1826" s="1" t="n">
        <v>32059</v>
      </c>
      <c r="I1826" s="1" t="n">
        <v>89102</v>
      </c>
      <c r="J1826" s="9" t="n">
        <v>0.36</v>
      </c>
      <c r="K1826" s="1" t="inlineStr">
        <is>
          <t>Yes</t>
        </is>
      </c>
      <c r="L1826" s="1" t="inlineStr">
        <is>
          <t>No</t>
        </is>
      </c>
      <c r="M1826" s="1" t="inlineStr">
        <is>
          <t>No</t>
        </is>
      </c>
      <c r="N1826" s="1" t="inlineStr">
        <is>
          <t>Algorithms</t>
        </is>
      </c>
      <c r="O18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27" ht="15.75" customHeight="1" s="12">
      <c r="A1827" s="1" t="n">
        <v>1925</v>
      </c>
      <c r="B1827" s="3">
        <f>HYPERLINK("https://leetcode.com/problems/count-square-sum-triples/", "Count Square Sum Triples")</f>
        <v/>
      </c>
      <c r="C1827" s="1" t="n">
        <v>730</v>
      </c>
      <c r="D1827" s="1" t="n">
        <v>64</v>
      </c>
      <c r="E1827" s="4">
        <f>IF(INDEX(C:C, ROW())+INDEX(D:D, ROW())=0, 0, INDEX(C:C, ROW())/(INDEX(C:C, ROW())+INDEX(D:D, ROW())))</f>
        <v/>
      </c>
      <c r="F1827" s="1" t="inlineStr">
        <is>
          <t>Math, Enumeration</t>
        </is>
      </c>
      <c r="G1827" s="1" t="inlineStr">
        <is>
          <t>Easy</t>
        </is>
      </c>
      <c r="H1827" s="1" t="n">
        <v>180960</v>
      </c>
      <c r="I1827" s="1" t="n">
        <v>234585</v>
      </c>
      <c r="J1827" s="9" t="n">
        <v>0.771</v>
      </c>
      <c r="K1827" s="1" t="inlineStr">
        <is>
          <t>Yes</t>
        </is>
      </c>
      <c r="L1827" s="1" t="inlineStr">
        <is>
          <t>Yes</t>
        </is>
      </c>
      <c r="M1827" s="1" t="inlineStr">
        <is>
          <t>No</t>
        </is>
      </c>
      <c r="N1827" s="1" t="inlineStr">
        <is>
          <t>Algorithms</t>
        </is>
      </c>
      <c r="O18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28" ht="15.75" customHeight="1" s="12">
      <c r="A1828" s="1" t="n">
        <v>2469</v>
      </c>
      <c r="B1828" s="3">
        <f>HYPERLINK("https://leetcode.com/problems/convert-the-temperature/", "Convert the Temperature")</f>
        <v/>
      </c>
      <c r="C1828" s="1" t="n">
        <v>730</v>
      </c>
      <c r="D1828" s="1" t="n">
        <v>369</v>
      </c>
      <c r="E1828" s="4">
        <f>IF(INDEX(C:C, ROW())+INDEX(D:D, ROW())=0, 0, INDEX(C:C, ROW())/(INDEX(C:C, ROW())+INDEX(D:D, ROW())))</f>
        <v/>
      </c>
      <c r="F1828" s="1" t="inlineStr">
        <is>
          <t>Math</t>
        </is>
      </c>
      <c r="G1828" s="1" t="inlineStr">
        <is>
          <t>Easy</t>
        </is>
      </c>
      <c r="H1828" s="1" t="n">
        <v>284752</v>
      </c>
      <c r="I1828" s="1" t="n">
        <v>315505</v>
      </c>
      <c r="J1828" s="9" t="n">
        <v>0.903</v>
      </c>
      <c r="K1828" s="1" t="inlineStr">
        <is>
          <t>Yes</t>
        </is>
      </c>
      <c r="L1828" s="1" t="inlineStr">
        <is>
          <t>No</t>
        </is>
      </c>
      <c r="M1828" s="1" t="inlineStr">
        <is>
          <t>No</t>
        </is>
      </c>
      <c r="N1828" s="1" t="inlineStr">
        <is>
          <t>Algorithms</t>
        </is>
      </c>
      <c r="O18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29" ht="15.75" customHeight="1" s="12">
      <c r="A1829" s="1" t="n">
        <v>2718</v>
      </c>
      <c r="B1829" s="3">
        <f>HYPERLINK("https://leetcode.com/problems/sum-of-matrix-after-queries/", "Sum of Matrix After Queries")</f>
        <v/>
      </c>
      <c r="C1829" s="1" t="n">
        <v>730</v>
      </c>
      <c r="D1829" s="1" t="n">
        <v>26</v>
      </c>
      <c r="E1829" s="4">
        <f>IF(INDEX(C:C, ROW())+INDEX(D:D, ROW())=0, 0, INDEX(C:C, ROW())/(INDEX(C:C, ROW())+INDEX(D:D, ROW())))</f>
        <v/>
      </c>
      <c r="F1829" s="1" t="inlineStr">
        <is>
          <t>Array, Hash Table</t>
        </is>
      </c>
      <c r="G1829" s="1" t="inlineStr">
        <is>
          <t>Medium</t>
        </is>
      </c>
      <c r="H1829" s="1" t="n">
        <v>24440</v>
      </c>
      <c r="I1829" s="1" t="n">
        <v>76934</v>
      </c>
      <c r="J1829" s="9" t="n">
        <v>0.318</v>
      </c>
      <c r="K1829" s="1" t="inlineStr">
        <is>
          <t>Yes</t>
        </is>
      </c>
      <c r="L1829" s="1" t="inlineStr">
        <is>
          <t>No</t>
        </is>
      </c>
      <c r="M1829" s="1" t="inlineStr">
        <is>
          <t>No</t>
        </is>
      </c>
      <c r="N1829" s="1" t="inlineStr">
        <is>
          <t>Algorithms</t>
        </is>
      </c>
      <c r="O18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30" ht="15.75" customHeight="1" s="12">
      <c r="A1830" s="1" t="n">
        <v>1062</v>
      </c>
      <c r="B1830" s="3">
        <f>HYPERLINK("https://leetcode.com/problems/longest-repeating-substring/", "Longest Repeating Substring")</f>
        <v/>
      </c>
      <c r="C1830" s="1" t="n">
        <v>729</v>
      </c>
      <c r="D1830" s="1" t="n">
        <v>76</v>
      </c>
      <c r="E1830" s="4">
        <f>IF(INDEX(C:C, ROW())+INDEX(D:D, ROW())=0, 0, INDEX(C:C, ROW())/(INDEX(C:C, ROW())+INDEX(D:D, ROW())))</f>
        <v/>
      </c>
      <c r="F1830" s="1" t="inlineStr">
        <is>
          <t>String, Binary Search, Dynamic Programming, Rolling Hash, Suffix Array, Hash Function</t>
        </is>
      </c>
      <c r="G1830" s="1" t="inlineStr">
        <is>
          <t>Medium</t>
        </is>
      </c>
      <c r="H1830" s="1" t="n">
        <v>57173</v>
      </c>
      <c r="I1830" s="1" t="n">
        <v>90235</v>
      </c>
      <c r="J1830" s="9" t="n">
        <v>0.634</v>
      </c>
      <c r="K1830" s="1" t="inlineStr">
        <is>
          <t>No</t>
        </is>
      </c>
      <c r="L1830" s="1" t="inlineStr">
        <is>
          <t>Yes</t>
        </is>
      </c>
      <c r="M1830" s="1" t="inlineStr">
        <is>
          <t>No</t>
        </is>
      </c>
      <c r="N1830" s="1" t="inlineStr">
        <is>
          <t>Algorithms</t>
        </is>
      </c>
      <c r="O18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31" ht="15.75" customHeight="1" s="12">
      <c r="A1831" s="1" t="n">
        <v>2545</v>
      </c>
      <c r="B1831" s="3">
        <f>HYPERLINK("https://leetcode.com/problems/sort-the-students-by-their-kth-score/", "Sort the Students by Their Kth Score")</f>
        <v/>
      </c>
      <c r="C1831" s="1" t="n">
        <v>728</v>
      </c>
      <c r="D1831" s="1" t="n">
        <v>53</v>
      </c>
      <c r="E1831" s="4">
        <f>IF(INDEX(C:C, ROW())+INDEX(D:D, ROW())=0, 0, INDEX(C:C, ROW())/(INDEX(C:C, ROW())+INDEX(D:D, ROW())))</f>
        <v/>
      </c>
      <c r="F1831" s="1" t="inlineStr">
        <is>
          <t>Array, Sorting, Matrix</t>
        </is>
      </c>
      <c r="G1831" s="1" t="inlineStr">
        <is>
          <t>Medium</t>
        </is>
      </c>
      <c r="H1831" s="1" t="n">
        <v>86013</v>
      </c>
      <c r="I1831" s="1" t="n">
        <v>100034</v>
      </c>
      <c r="J1831" s="9" t="n">
        <v>0.86</v>
      </c>
      <c r="K1831" s="1" t="inlineStr">
        <is>
          <t>Yes</t>
        </is>
      </c>
      <c r="L1831" s="1" t="inlineStr">
        <is>
          <t>No</t>
        </is>
      </c>
      <c r="M1831" s="1" t="inlineStr">
        <is>
          <t>No</t>
        </is>
      </c>
      <c r="N1831" s="1" t="inlineStr">
        <is>
          <t>Algorithms</t>
        </is>
      </c>
      <c r="O18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32" ht="15.75" customHeight="1" s="12">
      <c r="A1832" s="1" t="n">
        <v>484</v>
      </c>
      <c r="B1832" s="3">
        <f>HYPERLINK("https://leetcode.com/problems/find-permutation/", "Find Permutation")</f>
        <v/>
      </c>
      <c r="C1832" s="1" t="n">
        <v>726</v>
      </c>
      <c r="D1832" s="1" t="n">
        <v>151</v>
      </c>
      <c r="E1832" s="4">
        <f>IF(INDEX(C:C, ROW())+INDEX(D:D, ROW())=0, 0, INDEX(C:C, ROW())/(INDEX(C:C, ROW())+INDEX(D:D, ROW())))</f>
        <v/>
      </c>
      <c r="F1832" s="1" t="inlineStr">
        <is>
          <t>Array, String, Stack, Greedy</t>
        </is>
      </c>
      <c r="G1832" s="1" t="inlineStr">
        <is>
          <t>Medium</t>
        </is>
      </c>
      <c r="H1832" s="1" t="n">
        <v>42924</v>
      </c>
      <c r="I1832" s="1" t="n">
        <v>64151</v>
      </c>
      <c r="J1832" s="9" t="n">
        <v>0.669</v>
      </c>
      <c r="K1832" s="1" t="inlineStr">
        <is>
          <t>No</t>
        </is>
      </c>
      <c r="L1832" s="1" t="inlineStr">
        <is>
          <t>Yes</t>
        </is>
      </c>
      <c r="M1832" s="1" t="inlineStr">
        <is>
          <t>No</t>
        </is>
      </c>
      <c r="N1832" s="1" t="inlineStr">
        <is>
          <t>Algorithms</t>
        </is>
      </c>
      <c r="O18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33" ht="15.75" customHeight="1" s="12">
      <c r="A1833" s="1" t="n">
        <v>2111</v>
      </c>
      <c r="B1833" s="3">
        <f>HYPERLINK("https://leetcode.com/problems/minimum-operations-to-make-the-array-k-increasing/", "Minimum Operations to Make the Array K-Increasing")</f>
        <v/>
      </c>
      <c r="C1833" s="1" t="n">
        <v>726</v>
      </c>
      <c r="D1833" s="1" t="n">
        <v>15</v>
      </c>
      <c r="E1833" s="4">
        <f>IF(INDEX(C:C, ROW())+INDEX(D:D, ROW())=0, 0, INDEX(C:C, ROW())/(INDEX(C:C, ROW())+INDEX(D:D, ROW())))</f>
        <v/>
      </c>
      <c r="F1833" s="1" t="inlineStr">
        <is>
          <t>Array, Binary Search</t>
        </is>
      </c>
      <c r="G1833" s="1" t="inlineStr">
        <is>
          <t>Hard</t>
        </is>
      </c>
      <c r="H1833" s="1" t="n">
        <v>15607</v>
      </c>
      <c r="I1833" s="1" t="n">
        <v>38968</v>
      </c>
      <c r="J1833" s="9" t="n">
        <v>0.401</v>
      </c>
      <c r="K1833" s="1" t="inlineStr">
        <is>
          <t>Yes</t>
        </is>
      </c>
      <c r="L1833" s="1" t="inlineStr">
        <is>
          <t>No</t>
        </is>
      </c>
      <c r="M1833" s="1" t="inlineStr">
        <is>
          <t>No</t>
        </is>
      </c>
      <c r="N1833" s="1" t="inlineStr">
        <is>
          <t>Algorithms</t>
        </is>
      </c>
      <c r="O18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34" ht="15.75" customHeight="1" s="12">
      <c r="A1834" s="1" t="n">
        <v>2177</v>
      </c>
      <c r="B1834" s="3">
        <f>HYPERLINK("https://leetcode.com/problems/find-three-consecutive-integers-that-sum-to-a-given-number/", "Find Three Consecutive Integers That Sum to a Given Number")</f>
        <v/>
      </c>
      <c r="C1834" s="1" t="n">
        <v>724</v>
      </c>
      <c r="D1834" s="1" t="n">
        <v>233</v>
      </c>
      <c r="E1834" s="4">
        <f>IF(INDEX(C:C, ROW())+INDEX(D:D, ROW())=0, 0, INDEX(C:C, ROW())/(INDEX(C:C, ROW())+INDEX(D:D, ROW())))</f>
        <v/>
      </c>
      <c r="F1834" s="1" t="inlineStr">
        <is>
          <t>Math, Simulation</t>
        </is>
      </c>
      <c r="G1834" s="1" t="inlineStr">
        <is>
          <t>Medium</t>
        </is>
      </c>
      <c r="H1834" s="1" t="n">
        <v>63335</v>
      </c>
      <c r="I1834" s="1" t="n">
        <v>97136</v>
      </c>
      <c r="J1834" s="9" t="n">
        <v>0.652</v>
      </c>
      <c r="K1834" s="1" t="inlineStr">
        <is>
          <t>Yes</t>
        </is>
      </c>
      <c r="L1834" s="1" t="inlineStr">
        <is>
          <t>No</t>
        </is>
      </c>
      <c r="M1834" s="1" t="inlineStr">
        <is>
          <t>No</t>
        </is>
      </c>
      <c r="N1834" s="1" t="inlineStr">
        <is>
          <t>Algorithms</t>
        </is>
      </c>
      <c r="O18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35" ht="15.75" customHeight="1" s="12">
      <c r="A1835" s="1" t="n">
        <v>3223</v>
      </c>
      <c r="B1835" s="3">
        <f>HYPERLINK("https://leetcode.com/problems/minimum-length-of-string-after-operations/", "Minimum Length of String After Operations")</f>
        <v/>
      </c>
      <c r="C1835" s="1" t="n">
        <v>724</v>
      </c>
      <c r="D1835" s="1" t="n">
        <v>53</v>
      </c>
      <c r="E1835" s="4">
        <f>IF(INDEX(C:C, ROW())+INDEX(D:D, ROW())=0, 0, INDEX(C:C, ROW())/(INDEX(C:C, ROW())+INDEX(D:D, ROW())))</f>
        <v/>
      </c>
      <c r="F1835" s="1" t="inlineStr">
        <is>
          <t>Hash Table, String, Counting</t>
        </is>
      </c>
      <c r="G1835" s="1" t="inlineStr">
        <is>
          <t>Medium</t>
        </is>
      </c>
      <c r="H1835" s="1" t="n">
        <v>193412</v>
      </c>
      <c r="I1835" s="1" t="n">
        <v>257823</v>
      </c>
      <c r="J1835" s="9" t="n">
        <v>0.75</v>
      </c>
      <c r="K1835" s="1" t="inlineStr">
        <is>
          <t>Yes</t>
        </is>
      </c>
      <c r="L1835" s="1" t="inlineStr">
        <is>
          <t>Yes</t>
        </is>
      </c>
      <c r="M1835" s="1" t="inlineStr">
        <is>
          <t>No</t>
        </is>
      </c>
      <c r="N1835" s="1" t="inlineStr">
        <is>
          <t>Algorithms</t>
        </is>
      </c>
      <c r="O18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36" ht="15.75" customHeight="1" s="12">
      <c r="A1836" s="1" t="n">
        <v>1471</v>
      </c>
      <c r="B1836" s="3">
        <f>HYPERLINK("https://leetcode.com/problems/the-k-strongest-values-in-an-array/", "The k Strongest Values in an Array")</f>
        <v/>
      </c>
      <c r="C1836" s="1" t="n">
        <v>721</v>
      </c>
      <c r="D1836" s="1" t="n">
        <v>165</v>
      </c>
      <c r="E1836" s="4">
        <f>IF(INDEX(C:C, ROW())+INDEX(D:D, ROW())=0, 0, INDEX(C:C, ROW())/(INDEX(C:C, ROW())+INDEX(D:D, ROW())))</f>
        <v/>
      </c>
      <c r="F1836" s="1" t="inlineStr">
        <is>
          <t>Array, Two Pointers, Sorting</t>
        </is>
      </c>
      <c r="G1836" s="1" t="inlineStr">
        <is>
          <t>Medium</t>
        </is>
      </c>
      <c r="H1836" s="1" t="n">
        <v>46126</v>
      </c>
      <c r="I1836" s="1" t="n">
        <v>73816</v>
      </c>
      <c r="J1836" s="9" t="n">
        <v>0.625</v>
      </c>
      <c r="K1836" s="1" t="inlineStr">
        <is>
          <t>Yes</t>
        </is>
      </c>
      <c r="L1836" s="1" t="inlineStr">
        <is>
          <t>No</t>
        </is>
      </c>
      <c r="M1836" s="1" t="inlineStr">
        <is>
          <t>No</t>
        </is>
      </c>
      <c r="N1836" s="1" t="inlineStr">
        <is>
          <t>Algorithms</t>
        </is>
      </c>
      <c r="O18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37" ht="15.75" customHeight="1" s="12">
      <c r="A1837" s="1" t="n">
        <v>2135</v>
      </c>
      <c r="B1837" s="3">
        <f>HYPERLINK("https://leetcode.com/problems/count-words-obtained-after-adding-a-letter/", "Count Words Obtained After Adding a Letter")</f>
        <v/>
      </c>
      <c r="C1837" s="1" t="n">
        <v>721</v>
      </c>
      <c r="D1837" s="1" t="n">
        <v>167</v>
      </c>
      <c r="E1837" s="4">
        <f>IF(INDEX(C:C, ROW())+INDEX(D:D, ROW())=0, 0, INDEX(C:C, ROW())/(INDEX(C:C, ROW())+INDEX(D:D, ROW())))</f>
        <v/>
      </c>
      <c r="F1837" s="1" t="inlineStr">
        <is>
          <t>Array, Hash Table, String, Bit Manipulation, Sorting</t>
        </is>
      </c>
      <c r="G1837" s="1" t="inlineStr">
        <is>
          <t>Medium</t>
        </is>
      </c>
      <c r="H1837" s="1" t="n">
        <v>40540</v>
      </c>
      <c r="I1837" s="1" t="n">
        <v>92430</v>
      </c>
      <c r="J1837" s="9" t="n">
        <v>0.439</v>
      </c>
      <c r="K1837" s="1" t="inlineStr">
        <is>
          <t>Yes</t>
        </is>
      </c>
      <c r="L1837" s="1" t="inlineStr">
        <is>
          <t>No</t>
        </is>
      </c>
      <c r="M1837" s="1" t="inlineStr">
        <is>
          <t>No</t>
        </is>
      </c>
      <c r="N1837" s="1" t="inlineStr">
        <is>
          <t>Algorithms</t>
        </is>
      </c>
      <c r="O18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38" ht="15.75" customHeight="1" s="12">
      <c r="A1838" s="1" t="n">
        <v>2269</v>
      </c>
      <c r="B1838" s="3">
        <f>HYPERLINK("https://leetcode.com/problems/find-the-k-beauty-of-a-number/", "Find the K-Beauty of a Number")</f>
        <v/>
      </c>
      <c r="C1838" s="1" t="n">
        <v>721</v>
      </c>
      <c r="D1838" s="1" t="n">
        <v>47</v>
      </c>
      <c r="E1838" s="4">
        <f>IF(INDEX(C:C, ROW())+INDEX(D:D, ROW())=0, 0, INDEX(C:C, ROW())/(INDEX(C:C, ROW())+INDEX(D:D, ROW())))</f>
        <v/>
      </c>
      <c r="F1838" s="1" t="inlineStr">
        <is>
          <t>Math, String, Sliding Window</t>
        </is>
      </c>
      <c r="G1838" s="1" t="inlineStr">
        <is>
          <t>Easy</t>
        </is>
      </c>
      <c r="H1838" s="1" t="n">
        <v>86046</v>
      </c>
      <c r="I1838" s="1" t="n">
        <v>137223</v>
      </c>
      <c r="J1838" s="9" t="n">
        <v>0.627</v>
      </c>
      <c r="K1838" s="1" t="inlineStr">
        <is>
          <t>Yes</t>
        </is>
      </c>
      <c r="L1838" s="1" t="inlineStr">
        <is>
          <t>No</t>
        </is>
      </c>
      <c r="M1838" s="1" t="inlineStr">
        <is>
          <t>No</t>
        </is>
      </c>
      <c r="N1838" s="1" t="inlineStr">
        <is>
          <t>Algorithms</t>
        </is>
      </c>
      <c r="O18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39" ht="15.75" customHeight="1" s="12">
      <c r="A1839" s="1" t="n">
        <v>2981</v>
      </c>
      <c r="B1839" s="3">
        <f>HYPERLINK("https://leetcode.com/problems/find-longest-special-substring-that-occurs-thrice-i/", "Find Longest Special Substring That Occurs Thrice I")</f>
        <v/>
      </c>
      <c r="C1839" s="1" t="n">
        <v>721</v>
      </c>
      <c r="D1839" s="1" t="n">
        <v>74</v>
      </c>
      <c r="E1839" s="4">
        <f>IF(INDEX(C:C, ROW())+INDEX(D:D, ROW())=0, 0, INDEX(C:C, ROW())/(INDEX(C:C, ROW())+INDEX(D:D, ROW())))</f>
        <v/>
      </c>
      <c r="F1839" s="1" t="inlineStr">
        <is>
          <t>Hash Table, String, Binary Search, Sliding Window, Counting</t>
        </is>
      </c>
      <c r="G1839" s="1" t="inlineStr">
        <is>
          <t>Medium</t>
        </is>
      </c>
      <c r="H1839" s="1" t="n">
        <v>130408</v>
      </c>
      <c r="I1839" s="1" t="n">
        <v>210736</v>
      </c>
      <c r="J1839" s="9" t="n">
        <v>0.619</v>
      </c>
      <c r="K1839" s="1" t="inlineStr">
        <is>
          <t>Yes</t>
        </is>
      </c>
      <c r="L1839" s="1" t="inlineStr">
        <is>
          <t>Yes</t>
        </is>
      </c>
      <c r="M1839" s="1" t="inlineStr">
        <is>
          <t>No</t>
        </is>
      </c>
      <c r="N1839" s="1" t="inlineStr">
        <is>
          <t>Algorithms</t>
        </is>
      </c>
      <c r="O18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40" ht="15.75" customHeight="1" s="12">
      <c r="A1840" s="1" t="n">
        <v>1730</v>
      </c>
      <c r="B1840" s="3">
        <f>HYPERLINK("https://leetcode.com/problems/shortest-path-to-get-food/", "Shortest Path to Get Food")</f>
        <v/>
      </c>
      <c r="C1840" s="1" t="n">
        <v>720</v>
      </c>
      <c r="D1840" s="1" t="n">
        <v>41</v>
      </c>
      <c r="E1840" s="4">
        <f>IF(INDEX(C:C, ROW())+INDEX(D:D, ROW())=0, 0, INDEX(C:C, ROW())/(INDEX(C:C, ROW())+INDEX(D:D, ROW())))</f>
        <v/>
      </c>
      <c r="F1840" s="1" t="inlineStr">
        <is>
          <t>Array, Breadth-First Search, Matrix</t>
        </is>
      </c>
      <c r="G1840" s="1" t="inlineStr">
        <is>
          <t>Medium</t>
        </is>
      </c>
      <c r="H1840" s="1" t="n">
        <v>81859</v>
      </c>
      <c r="I1840" s="1" t="n">
        <v>143521</v>
      </c>
      <c r="J1840" s="9" t="n">
        <v>0.57</v>
      </c>
      <c r="K1840" s="1" t="inlineStr">
        <is>
          <t>No</t>
        </is>
      </c>
      <c r="L1840" s="1" t="inlineStr">
        <is>
          <t>Yes</t>
        </is>
      </c>
      <c r="M1840" s="1" t="inlineStr">
        <is>
          <t>No</t>
        </is>
      </c>
      <c r="N1840" s="1" t="inlineStr">
        <is>
          <t>Algorithms</t>
        </is>
      </c>
      <c r="O18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41" ht="15.75" customHeight="1" s="12">
      <c r="A1841" s="1" t="n">
        <v>1240</v>
      </c>
      <c r="B1841" s="3">
        <f>HYPERLINK("https://leetcode.com/problems/tiling-a-rectangle-with-the-fewest-squares/", "Tiling a Rectangle with the Fewest Squares")</f>
        <v/>
      </c>
      <c r="C1841" s="1" t="n">
        <v>719</v>
      </c>
      <c r="D1841" s="1" t="n">
        <v>582</v>
      </c>
      <c r="E1841" s="4">
        <f>IF(INDEX(C:C, ROW())+INDEX(D:D, ROW())=0, 0, INDEX(C:C, ROW())/(INDEX(C:C, ROW())+INDEX(D:D, ROW())))</f>
        <v/>
      </c>
      <c r="F1841" s="1" t="inlineStr">
        <is>
          <t>Backtracking</t>
        </is>
      </c>
      <c r="G1841" s="1" t="inlineStr">
        <is>
          <t>Hard</t>
        </is>
      </c>
      <c r="H1841" s="1" t="n">
        <v>27063</v>
      </c>
      <c r="I1841" s="1" t="n">
        <v>49406</v>
      </c>
      <c r="J1841" s="9" t="n">
        <v>0.548</v>
      </c>
      <c r="K1841" s="1" t="inlineStr">
        <is>
          <t>Yes</t>
        </is>
      </c>
      <c r="L1841" s="1" t="inlineStr">
        <is>
          <t>No</t>
        </is>
      </c>
      <c r="M1841" s="1" t="inlineStr">
        <is>
          <t>No</t>
        </is>
      </c>
      <c r="N1841" s="1" t="inlineStr">
        <is>
          <t>Algorithms</t>
        </is>
      </c>
      <c r="O18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42" ht="15.75" customHeight="1" s="12">
      <c r="A1842" s="1" t="n">
        <v>1449</v>
      </c>
      <c r="B1842" s="3">
        <f>HYPERLINK("https://leetcode.com/problems/form-largest-integer-with-digits-that-add-up-to-target/", "Form Largest Integer With Digits That Add up to Target")</f>
        <v/>
      </c>
      <c r="C1842" s="1" t="n">
        <v>719</v>
      </c>
      <c r="D1842" s="1" t="n">
        <v>20</v>
      </c>
      <c r="E1842" s="4">
        <f>IF(INDEX(C:C, ROW())+INDEX(D:D, ROW())=0, 0, INDEX(C:C, ROW())/(INDEX(C:C, ROW())+INDEX(D:D, ROW())))</f>
        <v/>
      </c>
      <c r="F1842" s="1" t="inlineStr">
        <is>
          <t>Array, Dynamic Programming</t>
        </is>
      </c>
      <c r="G1842" s="1" t="inlineStr">
        <is>
          <t>Hard</t>
        </is>
      </c>
      <c r="H1842" s="1" t="n">
        <v>22617</v>
      </c>
      <c r="I1842" s="1" t="n">
        <v>45798</v>
      </c>
      <c r="J1842" s="9" t="n">
        <v>0.494</v>
      </c>
      <c r="K1842" s="1" t="inlineStr">
        <is>
          <t>Yes</t>
        </is>
      </c>
      <c r="L1842" s="1" t="inlineStr">
        <is>
          <t>No</t>
        </is>
      </c>
      <c r="M1842" s="1" t="inlineStr">
        <is>
          <t>No</t>
        </is>
      </c>
      <c r="N1842" s="1" t="inlineStr">
        <is>
          <t>Algorithms</t>
        </is>
      </c>
      <c r="O18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43" ht="15.75" customHeight="1" s="12">
      <c r="A1843" s="1" t="n">
        <v>1206</v>
      </c>
      <c r="B1843" s="3">
        <f>HYPERLINK("https://leetcode.com/problems/design-skiplist/", "Design Skiplist")</f>
        <v/>
      </c>
      <c r="C1843" s="1" t="n">
        <v>717</v>
      </c>
      <c r="D1843" s="1" t="n">
        <v>107</v>
      </c>
      <c r="E1843" s="4">
        <f>IF(INDEX(C:C, ROW())+INDEX(D:D, ROW())=0, 0, INDEX(C:C, ROW())/(INDEX(C:C, ROW())+INDEX(D:D, ROW())))</f>
        <v/>
      </c>
      <c r="F1843" s="1" t="inlineStr">
        <is>
          <t>Linked List, Design</t>
        </is>
      </c>
      <c r="G1843" s="1" t="inlineStr">
        <is>
          <t>Hard</t>
        </is>
      </c>
      <c r="H1843" s="1" t="n">
        <v>32586</v>
      </c>
      <c r="I1843" s="1" t="n">
        <v>55323</v>
      </c>
      <c r="J1843" s="9" t="n">
        <v>0.589</v>
      </c>
      <c r="K1843" s="1" t="inlineStr">
        <is>
          <t>Yes</t>
        </is>
      </c>
      <c r="L1843" s="1" t="inlineStr">
        <is>
          <t>No</t>
        </is>
      </c>
      <c r="M1843" s="1" t="inlineStr">
        <is>
          <t>No</t>
        </is>
      </c>
      <c r="N1843" s="1" t="inlineStr">
        <is>
          <t>Algorithms</t>
        </is>
      </c>
      <c r="O18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44" ht="15.75" customHeight="1" s="12">
      <c r="A1844" s="1" t="n">
        <v>2065</v>
      </c>
      <c r="B1844" s="3">
        <f>HYPERLINK("https://leetcode.com/problems/maximum-path-quality-of-a-graph/", "Maximum Path Quality of a Graph")</f>
        <v/>
      </c>
      <c r="C1844" s="1" t="n">
        <v>715</v>
      </c>
      <c r="D1844" s="1" t="n">
        <v>53</v>
      </c>
      <c r="E1844" s="4">
        <f>IF(INDEX(C:C, ROW())+INDEX(D:D, ROW())=0, 0, INDEX(C:C, ROW())/(INDEX(C:C, ROW())+INDEX(D:D, ROW())))</f>
        <v/>
      </c>
      <c r="F1844" s="1" t="inlineStr">
        <is>
          <t>Array, Backtracking, Graph Theory</t>
        </is>
      </c>
      <c r="G1844" s="1" t="inlineStr">
        <is>
          <t>Hard</t>
        </is>
      </c>
      <c r="H1844" s="1" t="n">
        <v>31338</v>
      </c>
      <c r="I1844" s="1" t="n">
        <v>51181</v>
      </c>
      <c r="J1844" s="9" t="n">
        <v>0.612</v>
      </c>
      <c r="K1844" s="1" t="inlineStr">
        <is>
          <t>Yes</t>
        </is>
      </c>
      <c r="L1844" s="1" t="inlineStr">
        <is>
          <t>No</t>
        </is>
      </c>
      <c r="M1844" s="1" t="inlineStr">
        <is>
          <t>No</t>
        </is>
      </c>
      <c r="N1844" s="1" t="inlineStr">
        <is>
          <t>Algorithms</t>
        </is>
      </c>
      <c r="O18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45" ht="15.75" customHeight="1" s="12">
      <c r="A1845" s="1" t="n">
        <v>1733</v>
      </c>
      <c r="B1845" s="3">
        <f>HYPERLINK("https://leetcode.com/problems/minimum-number-of-people-to-teach/", "Minimum Number of People to Teach")</f>
        <v/>
      </c>
      <c r="C1845" s="1" t="n">
        <v>713</v>
      </c>
      <c r="D1845" s="1" t="n">
        <v>557</v>
      </c>
      <c r="E1845" s="4">
        <f>IF(INDEX(C:C, ROW())+INDEX(D:D, ROW())=0, 0, INDEX(C:C, ROW())/(INDEX(C:C, ROW())+INDEX(D:D, ROW())))</f>
        <v/>
      </c>
      <c r="F1845" s="1" t="inlineStr">
        <is>
          <t>Array, Hash Table, Greedy</t>
        </is>
      </c>
      <c r="G1845" s="1" t="inlineStr">
        <is>
          <t>Medium</t>
        </is>
      </c>
      <c r="H1845" s="1" t="n">
        <v>97739</v>
      </c>
      <c r="I1845" s="1" t="n">
        <v>144464</v>
      </c>
      <c r="J1845" s="9" t="n">
        <v>0.677</v>
      </c>
      <c r="K1845" s="1" t="inlineStr">
        <is>
          <t>Yes</t>
        </is>
      </c>
      <c r="L1845" s="1" t="inlineStr">
        <is>
          <t>Yes</t>
        </is>
      </c>
      <c r="M1845" s="1" t="inlineStr">
        <is>
          <t>No</t>
        </is>
      </c>
      <c r="N1845" s="1" t="inlineStr">
        <is>
          <t>Algorithms</t>
        </is>
      </c>
      <c r="O18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46" ht="15.75" customHeight="1" s="12">
      <c r="A1846" s="1" t="n">
        <v>1879</v>
      </c>
      <c r="B1846" s="3">
        <f>HYPERLINK("https://leetcode.com/problems/minimum-xor-sum-of-two-arrays/", "Minimum XOR Sum of Two Arrays")</f>
        <v/>
      </c>
      <c r="C1846" s="1" t="n">
        <v>713</v>
      </c>
      <c r="D1846" s="1" t="n">
        <v>13</v>
      </c>
      <c r="E1846" s="4">
        <f>IF(INDEX(C:C, ROW())+INDEX(D:D, ROW())=0, 0, INDEX(C:C, ROW())/(INDEX(C:C, ROW())+INDEX(D:D, ROW())))</f>
        <v/>
      </c>
      <c r="F1846" s="1" t="inlineStr">
        <is>
          <t>Array, Dynamic Programming, Bit Manipulation, Bitmask DP</t>
        </is>
      </c>
      <c r="G1846" s="1" t="inlineStr">
        <is>
          <t>Hard</t>
        </is>
      </c>
      <c r="H1846" s="1" t="n">
        <v>19414</v>
      </c>
      <c r="I1846" s="1" t="n">
        <v>38625</v>
      </c>
      <c r="J1846" s="9" t="n">
        <v>0.503</v>
      </c>
      <c r="K1846" s="1" t="inlineStr">
        <is>
          <t>Yes</t>
        </is>
      </c>
      <c r="L1846" s="1" t="inlineStr">
        <is>
          <t>No</t>
        </is>
      </c>
      <c r="M1846" s="1" t="inlineStr">
        <is>
          <t>No</t>
        </is>
      </c>
      <c r="N1846" s="1" t="inlineStr">
        <is>
          <t>Algorithms</t>
        </is>
      </c>
      <c r="O18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47" ht="15.75" customHeight="1" s="12">
      <c r="A1847" s="1" t="n">
        <v>2356</v>
      </c>
      <c r="B1847" s="3">
        <f>HYPERLINK("https://leetcode.com/problems/number-of-unique-subjects-taught-by-each-teacher/", "Number of Unique Subjects Taught by Each Teacher")</f>
        <v/>
      </c>
      <c r="C1847" s="1" t="n">
        <v>713</v>
      </c>
      <c r="D1847" s="1" t="n">
        <v>52</v>
      </c>
      <c r="E1847" s="4">
        <f>IF(INDEX(C:C, ROW())+INDEX(D:D, ROW())=0, 0, INDEX(C:C, ROW())/(INDEX(C:C, ROW())+INDEX(D:D, ROW())))</f>
        <v/>
      </c>
      <c r="F1847" s="1" t="inlineStr">
        <is>
          <t>Database</t>
        </is>
      </c>
      <c r="G1847" s="1" t="inlineStr">
        <is>
          <t>Easy</t>
        </is>
      </c>
      <c r="H1847" s="1" t="n">
        <v>478738</v>
      </c>
      <c r="I1847" s="1" t="n">
        <v>536236</v>
      </c>
      <c r="J1847" s="9" t="n">
        <v>0.893</v>
      </c>
      <c r="K1847" s="1" t="inlineStr">
        <is>
          <t>Yes</t>
        </is>
      </c>
      <c r="L1847" s="1" t="inlineStr">
        <is>
          <t>Yes</t>
        </is>
      </c>
      <c r="M1847" s="1" t="inlineStr">
        <is>
          <t>No</t>
        </is>
      </c>
      <c r="N1847" s="1" t="inlineStr">
        <is>
          <t>Database</t>
        </is>
      </c>
      <c r="O18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48" ht="15.75" customHeight="1" s="12">
      <c r="A1848" s="1" t="n">
        <v>2358</v>
      </c>
      <c r="B1848" s="3">
        <f>HYPERLINK("https://leetcode.com/problems/maximum-number-of-groups-entering-a-competition/", "Maximum Number of Groups Entering a Competition")</f>
        <v/>
      </c>
      <c r="C1848" s="1" t="n">
        <v>713</v>
      </c>
      <c r="D1848" s="1" t="n">
        <v>120</v>
      </c>
      <c r="E1848" s="4">
        <f>IF(INDEX(C:C, ROW())+INDEX(D:D, ROW())=0, 0, INDEX(C:C, ROW())/(INDEX(C:C, ROW())+INDEX(D:D, ROW())))</f>
        <v/>
      </c>
      <c r="F1848" s="1" t="inlineStr">
        <is>
          <t>Array, Math, Binary Search, Greedy</t>
        </is>
      </c>
      <c r="G1848" s="1" t="inlineStr">
        <is>
          <t>Medium</t>
        </is>
      </c>
      <c r="H1848" s="1" t="n">
        <v>44253</v>
      </c>
      <c r="I1848" s="1" t="n">
        <v>64649</v>
      </c>
      <c r="J1848" s="9" t="n">
        <v>0.6850000000000001</v>
      </c>
      <c r="K1848" s="1" t="inlineStr">
        <is>
          <t>Yes</t>
        </is>
      </c>
      <c r="L1848" s="1" t="inlineStr">
        <is>
          <t>No</t>
        </is>
      </c>
      <c r="M1848" s="1" t="inlineStr">
        <is>
          <t>No</t>
        </is>
      </c>
      <c r="N1848" s="1" t="inlineStr">
        <is>
          <t>Algorithms</t>
        </is>
      </c>
      <c r="O18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49" ht="15.75" customHeight="1" s="12">
      <c r="A1849" s="1" t="n">
        <v>2830</v>
      </c>
      <c r="B1849" s="3">
        <f>HYPERLINK("https://leetcode.com/problems/maximize-the-profit-as-the-salesman/", "Maximize the Profit as the Salesman")</f>
        <v/>
      </c>
      <c r="C1849" s="1" t="n">
        <v>713</v>
      </c>
      <c r="D1849" s="1" t="n">
        <v>22</v>
      </c>
      <c r="E1849" s="4">
        <f>IF(INDEX(C:C, ROW())+INDEX(D:D, ROW())=0, 0, INDEX(C:C, ROW())/(INDEX(C:C, ROW())+INDEX(D:D, ROW())))</f>
        <v/>
      </c>
      <c r="F1849" s="1" t="inlineStr">
        <is>
          <t>Array, Hash Table, Binary Search, Dynamic Programming, Sorting</t>
        </is>
      </c>
      <c r="G1849" s="1" t="inlineStr">
        <is>
          <t>Medium</t>
        </is>
      </c>
      <c r="H1849" s="1" t="n">
        <v>26358</v>
      </c>
      <c r="I1849" s="1" t="n">
        <v>69546</v>
      </c>
      <c r="J1849" s="9" t="n">
        <v>0.379</v>
      </c>
      <c r="K1849" s="1" t="inlineStr">
        <is>
          <t>Yes</t>
        </is>
      </c>
      <c r="L1849" s="1" t="inlineStr">
        <is>
          <t>No</t>
        </is>
      </c>
      <c r="M1849" s="1" t="inlineStr">
        <is>
          <t>No</t>
        </is>
      </c>
      <c r="N1849" s="1" t="inlineStr">
        <is>
          <t>Algorithms</t>
        </is>
      </c>
      <c r="O18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50" ht="15.75" customHeight="1" s="12">
      <c r="A1850" s="1" t="n">
        <v>320</v>
      </c>
      <c r="B1850" s="3">
        <f>HYPERLINK("https://leetcode.com/problems/generalized-abbreviation/", "Generalized Abbreviation")</f>
        <v/>
      </c>
      <c r="C1850" s="1" t="n">
        <v>712</v>
      </c>
      <c r="D1850" s="1" t="n">
        <v>232</v>
      </c>
      <c r="E1850" s="4">
        <f>IF(INDEX(C:C, ROW())+INDEX(D:D, ROW())=0, 0, INDEX(C:C, ROW())/(INDEX(C:C, ROW())+INDEX(D:D, ROW())))</f>
        <v/>
      </c>
      <c r="F1850" s="1" t="inlineStr">
        <is>
          <t>String, Backtracking, Bit Manipulation</t>
        </is>
      </c>
      <c r="G1850" s="1" t="inlineStr">
        <is>
          <t>Medium</t>
        </is>
      </c>
      <c r="H1850" s="1" t="n">
        <v>75401</v>
      </c>
      <c r="I1850" s="1" t="n">
        <v>125019</v>
      </c>
      <c r="J1850" s="9" t="n">
        <v>0.603</v>
      </c>
      <c r="K1850" s="1" t="inlineStr">
        <is>
          <t>No</t>
        </is>
      </c>
      <c r="L1850" s="1" t="inlineStr">
        <is>
          <t>Yes</t>
        </is>
      </c>
      <c r="M1850" s="1" t="inlineStr">
        <is>
          <t>No</t>
        </is>
      </c>
      <c r="N1850" s="1" t="inlineStr">
        <is>
          <t>Algorithms</t>
        </is>
      </c>
      <c r="O18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51" ht="15.75" customHeight="1" s="12">
      <c r="A1851" s="1" t="n">
        <v>774</v>
      </c>
      <c r="B1851" s="3">
        <f>HYPERLINK("https://leetcode.com/problems/minimize-max-distance-to-gas-station/", "Minimize Max Distance to Gas Station")</f>
        <v/>
      </c>
      <c r="C1851" s="1" t="n">
        <v>710</v>
      </c>
      <c r="D1851" s="1" t="n">
        <v>104</v>
      </c>
      <c r="E1851" s="4">
        <f>IF(INDEX(C:C, ROW())+INDEX(D:D, ROW())=0, 0, INDEX(C:C, ROW())/(INDEX(C:C, ROW())+INDEX(D:D, ROW())))</f>
        <v/>
      </c>
      <c r="F1851" s="1" t="inlineStr">
        <is>
          <t>Array, Binary Search</t>
        </is>
      </c>
      <c r="G1851" s="1" t="inlineStr">
        <is>
          <t>Hard</t>
        </is>
      </c>
      <c r="H1851" s="1" t="n">
        <v>36921</v>
      </c>
      <c r="I1851" s="1" t="n">
        <v>68625</v>
      </c>
      <c r="J1851" s="9" t="n">
        <v>0.538</v>
      </c>
      <c r="K1851" s="1" t="inlineStr">
        <is>
          <t>No</t>
        </is>
      </c>
      <c r="L1851" s="1" t="inlineStr">
        <is>
          <t>Yes</t>
        </is>
      </c>
      <c r="M1851" s="1" t="inlineStr">
        <is>
          <t>No</t>
        </is>
      </c>
      <c r="N1851" s="1" t="inlineStr">
        <is>
          <t>Algorithms</t>
        </is>
      </c>
      <c r="O18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52" ht="15.75" customHeight="1" s="12">
      <c r="A1852" s="1" t="n">
        <v>170</v>
      </c>
      <c r="B1852" s="3">
        <f>HYPERLINK("https://leetcode.com/problems/two-sum-iii-data-structure-design/", "Two Sum III - Data structure design")</f>
        <v/>
      </c>
      <c r="C1852" s="1" t="n">
        <v>709</v>
      </c>
      <c r="D1852" s="1" t="n">
        <v>463</v>
      </c>
      <c r="E1852" s="4">
        <f>IF(INDEX(C:C, ROW())+INDEX(D:D, ROW())=0, 0, INDEX(C:C, ROW())/(INDEX(C:C, ROW())+INDEX(D:D, ROW())))</f>
        <v/>
      </c>
      <c r="F1852" s="1" t="inlineStr">
        <is>
          <t>Array, Hash Table, Two Pointers, Design, Data Stream</t>
        </is>
      </c>
      <c r="G1852" s="1" t="inlineStr">
        <is>
          <t>Easy</t>
        </is>
      </c>
      <c r="H1852" s="1" t="n">
        <v>179839</v>
      </c>
      <c r="I1852" s="1" t="n">
        <v>460328</v>
      </c>
      <c r="J1852" s="9" t="n">
        <v>0.391</v>
      </c>
      <c r="K1852" s="1" t="inlineStr">
        <is>
          <t>No</t>
        </is>
      </c>
      <c r="L1852" s="1" t="inlineStr">
        <is>
          <t>Yes</t>
        </is>
      </c>
      <c r="M1852" s="1" t="inlineStr">
        <is>
          <t>No</t>
        </is>
      </c>
      <c r="N1852" s="1" t="inlineStr">
        <is>
          <t>Algorithms</t>
        </is>
      </c>
      <c r="O18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53" ht="15.75" customHeight="1" s="12">
      <c r="A1853" s="1" t="n">
        <v>281</v>
      </c>
      <c r="B1853" s="3">
        <f>HYPERLINK("https://leetcode.com/problems/zigzag-iterator/", "Zigzag Iterator")</f>
        <v/>
      </c>
      <c r="C1853" s="1" t="n">
        <v>708</v>
      </c>
      <c r="D1853" s="1" t="n">
        <v>43</v>
      </c>
      <c r="E1853" s="4">
        <f>IF(INDEX(C:C, ROW())+INDEX(D:D, ROW())=0, 0, INDEX(C:C, ROW())/(INDEX(C:C, ROW())+INDEX(D:D, ROW())))</f>
        <v/>
      </c>
      <c r="F1853" s="1" t="inlineStr">
        <is>
          <t>Array, Design, Queue, Iterator</t>
        </is>
      </c>
      <c r="G1853" s="1" t="inlineStr">
        <is>
          <t>Medium</t>
        </is>
      </c>
      <c r="H1853" s="1" t="n">
        <v>110457</v>
      </c>
      <c r="I1853" s="1" t="n">
        <v>166394</v>
      </c>
      <c r="J1853" s="9" t="n">
        <v>0.664</v>
      </c>
      <c r="K1853" s="1" t="inlineStr">
        <is>
          <t>No</t>
        </is>
      </c>
      <c r="L1853" s="1" t="inlineStr">
        <is>
          <t>Yes</t>
        </is>
      </c>
      <c r="M1853" s="1" t="inlineStr">
        <is>
          <t>No</t>
        </is>
      </c>
      <c r="N1853" s="1" t="inlineStr">
        <is>
          <t>Algorithms</t>
        </is>
      </c>
      <c r="O18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54" ht="15.75" customHeight="1" s="12">
      <c r="A1854" s="1" t="n">
        <v>928</v>
      </c>
      <c r="B1854" s="3">
        <f>HYPERLINK("https://leetcode.com/problems/minimize-malware-spread-ii/", "Minimize Malware Spread II")</f>
        <v/>
      </c>
      <c r="C1854" s="1" t="n">
        <v>708</v>
      </c>
      <c r="D1854" s="1" t="n">
        <v>91</v>
      </c>
      <c r="E1854" s="4">
        <f>IF(INDEX(C:C, ROW())+INDEX(D:D, ROW())=0, 0, INDEX(C:C, ROW())/(INDEX(C:C, ROW())+INDEX(D:D, ROW())))</f>
        <v/>
      </c>
      <c r="F1854" s="1" t="inlineStr">
        <is>
          <t>Array, Hash Table, Depth-First Search, Breadth-First Search, Union-Find, Graph Theory</t>
        </is>
      </c>
      <c r="G1854" s="1" t="inlineStr">
        <is>
          <t>Hard</t>
        </is>
      </c>
      <c r="H1854" s="1" t="n">
        <v>29333</v>
      </c>
      <c r="I1854" s="1" t="n">
        <v>64528</v>
      </c>
      <c r="J1854" s="9" t="n">
        <v>0.455</v>
      </c>
      <c r="K1854" s="1" t="inlineStr">
        <is>
          <t>Yes</t>
        </is>
      </c>
      <c r="L1854" s="1" t="inlineStr">
        <is>
          <t>Yes</t>
        </is>
      </c>
      <c r="M1854" s="1" t="inlineStr">
        <is>
          <t>No</t>
        </is>
      </c>
      <c r="N1854" s="1" t="inlineStr">
        <is>
          <t>Algorithms</t>
        </is>
      </c>
      <c r="O18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55" ht="15.75" customHeight="1" s="12">
      <c r="A1855" s="1" t="n">
        <v>1036</v>
      </c>
      <c r="B1855" s="3">
        <f>HYPERLINK("https://leetcode.com/problems/escape-a-large-maze/", "Escape a Large Maze")</f>
        <v/>
      </c>
      <c r="C1855" s="1" t="n">
        <v>708</v>
      </c>
      <c r="D1855" s="1" t="n">
        <v>173</v>
      </c>
      <c r="E1855" s="4">
        <f>IF(INDEX(C:C, ROW())+INDEX(D:D, ROW())=0, 0, INDEX(C:C, ROW())/(INDEX(C:C, ROW())+INDEX(D:D, ROW())))</f>
        <v/>
      </c>
      <c r="F1855" s="1" t="inlineStr">
        <is>
          <t>Array, Hash Table, Depth-First Search, Breadth-First Search</t>
        </is>
      </c>
      <c r="G1855" s="1" t="inlineStr">
        <is>
          <t>Hard</t>
        </is>
      </c>
      <c r="H1855" s="1" t="n">
        <v>27616</v>
      </c>
      <c r="I1855" s="1" t="n">
        <v>76236</v>
      </c>
      <c r="J1855" s="9" t="n">
        <v>0.362</v>
      </c>
      <c r="K1855" s="1" t="inlineStr">
        <is>
          <t>Yes</t>
        </is>
      </c>
      <c r="L1855" s="1" t="inlineStr">
        <is>
          <t>No</t>
        </is>
      </c>
      <c r="M1855" s="1" t="inlineStr">
        <is>
          <t>No</t>
        </is>
      </c>
      <c r="N1855" s="1" t="inlineStr">
        <is>
          <t>Algorithms</t>
        </is>
      </c>
      <c r="O18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56" ht="15.75" customHeight="1" s="12">
      <c r="A1856" s="1" t="n">
        <v>1147</v>
      </c>
      <c r="B1856" s="3">
        <f>HYPERLINK("https://leetcode.com/problems/longest-chunked-palindrome-decomposition/", "Longest Chunked Palindrome Decomposition")</f>
        <v/>
      </c>
      <c r="C1856" s="1" t="n">
        <v>706</v>
      </c>
      <c r="D1856" s="1" t="n">
        <v>35</v>
      </c>
      <c r="E1856" s="4">
        <f>IF(INDEX(C:C, ROW())+INDEX(D:D, ROW())=0, 0, INDEX(C:C, ROW())/(INDEX(C:C, ROW())+INDEX(D:D, ROW())))</f>
        <v/>
      </c>
      <c r="F1856" s="1" t="inlineStr">
        <is>
          <t>Two Pointers, String, Dynamic Programming, Greedy, Rolling Hash, Hash Function</t>
        </is>
      </c>
      <c r="G1856" s="1" t="inlineStr">
        <is>
          <t>Hard</t>
        </is>
      </c>
      <c r="H1856" s="1" t="n">
        <v>30456</v>
      </c>
      <c r="I1856" s="1" t="n">
        <v>51580</v>
      </c>
      <c r="J1856" s="9" t="n">
        <v>0.59</v>
      </c>
      <c r="K1856" s="1" t="inlineStr">
        <is>
          <t>Yes</t>
        </is>
      </c>
      <c r="L1856" s="1" t="inlineStr">
        <is>
          <t>No</t>
        </is>
      </c>
      <c r="M1856" s="1" t="inlineStr">
        <is>
          <t>No</t>
        </is>
      </c>
      <c r="N1856" s="1" t="inlineStr">
        <is>
          <t>Algorithms</t>
        </is>
      </c>
      <c r="O18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57" ht="15.75" customHeight="1" s="12">
      <c r="A1857" s="1" t="n">
        <v>360</v>
      </c>
      <c r="B1857" s="3">
        <f>HYPERLINK("https://leetcode.com/problems/sort-transformed-array/", "Sort Transformed Array")</f>
        <v/>
      </c>
      <c r="C1857" s="1" t="n">
        <v>703</v>
      </c>
      <c r="D1857" s="1" t="n">
        <v>218</v>
      </c>
      <c r="E1857" s="4">
        <f>IF(INDEX(C:C, ROW())+INDEX(D:D, ROW())=0, 0, INDEX(C:C, ROW())/(INDEX(C:C, ROW())+INDEX(D:D, ROW())))</f>
        <v/>
      </c>
      <c r="F1857" s="1" t="inlineStr">
        <is>
          <t>Array, Math, Two Pointers, Sorting</t>
        </is>
      </c>
      <c r="G1857" s="1" t="inlineStr">
        <is>
          <t>Medium</t>
        </is>
      </c>
      <c r="H1857" s="1" t="n">
        <v>74687</v>
      </c>
      <c r="I1857" s="1" t="n">
        <v>129379</v>
      </c>
      <c r="J1857" s="9" t="n">
        <v>0.577</v>
      </c>
      <c r="K1857" s="1" t="inlineStr">
        <is>
          <t>No</t>
        </is>
      </c>
      <c r="L1857" s="1" t="inlineStr">
        <is>
          <t>Yes</t>
        </is>
      </c>
      <c r="M1857" s="1" t="inlineStr">
        <is>
          <t>No</t>
        </is>
      </c>
      <c r="N1857" s="1" t="inlineStr">
        <is>
          <t>Algorithms</t>
        </is>
      </c>
      <c r="O18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58" ht="15.75" customHeight="1" s="12">
      <c r="A1858" s="1" t="n">
        <v>2500</v>
      </c>
      <c r="B1858" s="3">
        <f>HYPERLINK("https://leetcode.com/problems/delete-greatest-value-in-each-row/", "Delete Greatest Value in Each Row")</f>
        <v/>
      </c>
      <c r="C1858" s="1" t="n">
        <v>702</v>
      </c>
      <c r="D1858" s="1" t="n">
        <v>53</v>
      </c>
      <c r="E1858" s="4">
        <f>IF(INDEX(C:C, ROW())+INDEX(D:D, ROW())=0, 0, INDEX(C:C, ROW())/(INDEX(C:C, ROW())+INDEX(D:D, ROW())))</f>
        <v/>
      </c>
      <c r="F1858" s="1" t="inlineStr">
        <is>
          <t>Array, Sorting, Heap (Priority Queue), Matrix, Simulation</t>
        </is>
      </c>
      <c r="G1858" s="1" t="inlineStr">
        <is>
          <t>Easy</t>
        </is>
      </c>
      <c r="H1858" s="1" t="n">
        <v>88775</v>
      </c>
      <c r="I1858" s="1" t="n">
        <v>111426</v>
      </c>
      <c r="J1858" s="9" t="n">
        <v>0.797</v>
      </c>
      <c r="K1858" s="1" t="inlineStr">
        <is>
          <t>Yes</t>
        </is>
      </c>
      <c r="L1858" s="1" t="inlineStr">
        <is>
          <t>No</t>
        </is>
      </c>
      <c r="M1858" s="1" t="inlineStr">
        <is>
          <t>No</t>
        </is>
      </c>
      <c r="N1858" s="1" t="inlineStr">
        <is>
          <t>Algorithms</t>
        </is>
      </c>
      <c r="O18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59" ht="15.75" customHeight="1" s="12">
      <c r="A1859" s="1" t="n">
        <v>2621</v>
      </c>
      <c r="B1859" s="3">
        <f>HYPERLINK("https://leetcode.com/problems/sleep/", "Sleep")</f>
        <v/>
      </c>
      <c r="C1859" s="1" t="n">
        <v>702</v>
      </c>
      <c r="D1859" s="1" t="n">
        <v>61</v>
      </c>
      <c r="E1859" s="4">
        <f>IF(INDEX(C:C, ROW())+INDEX(D:D, ROW())=0, 0, INDEX(C:C, ROW())/(INDEX(C:C, ROW())+INDEX(D:D, ROW())))</f>
        <v/>
      </c>
      <c r="F1859" s="2" t="n"/>
      <c r="G1859" s="1" t="inlineStr">
        <is>
          <t>Easy</t>
        </is>
      </c>
      <c r="H1859" s="1" t="n">
        <v>238032</v>
      </c>
      <c r="I1859" s="1" t="n">
        <v>272336</v>
      </c>
      <c r="J1859" s="9" t="n">
        <v>0.874</v>
      </c>
      <c r="K1859" s="1" t="inlineStr">
        <is>
          <t>Yes</t>
        </is>
      </c>
      <c r="L1859" s="1" t="inlineStr">
        <is>
          <t>Yes</t>
        </is>
      </c>
      <c r="M1859" s="1" t="inlineStr">
        <is>
          <t>No</t>
        </is>
      </c>
      <c r="N1859" s="1" t="inlineStr">
        <is>
          <t>JavaScript</t>
        </is>
      </c>
      <c r="O18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60" ht="15.75" customHeight="1" s="12">
      <c r="A1860" s="1" t="n">
        <v>3011</v>
      </c>
      <c r="B1860" s="3">
        <f>HYPERLINK("https://leetcode.com/problems/find-if-array-can-be-sorted/", "Find if Array Can Be Sorted")</f>
        <v/>
      </c>
      <c r="C1860" s="1" t="n">
        <v>702</v>
      </c>
      <c r="D1860" s="1" t="n">
        <v>62</v>
      </c>
      <c r="E1860" s="4">
        <f>IF(INDEX(C:C, ROW())+INDEX(D:D, ROW())=0, 0, INDEX(C:C, ROW())/(INDEX(C:C, ROW())+INDEX(D:D, ROW())))</f>
        <v/>
      </c>
      <c r="F1860" s="1" t="inlineStr">
        <is>
          <t>Array, Bit Manipulation, Sorting</t>
        </is>
      </c>
      <c r="G1860" s="1" t="inlineStr">
        <is>
          <t>Medium</t>
        </is>
      </c>
      <c r="H1860" s="1" t="n">
        <v>148489</v>
      </c>
      <c r="I1860" s="1" t="n">
        <v>223358</v>
      </c>
      <c r="J1860" s="9" t="n">
        <v>0.665</v>
      </c>
      <c r="K1860" s="1" t="inlineStr">
        <is>
          <t>Yes</t>
        </is>
      </c>
      <c r="L1860" s="1" t="inlineStr">
        <is>
          <t>Yes</t>
        </is>
      </c>
      <c r="M1860" s="1" t="inlineStr">
        <is>
          <t>No</t>
        </is>
      </c>
      <c r="N1860" s="1" t="inlineStr">
        <is>
          <t>Algorithms</t>
        </is>
      </c>
      <c r="O18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61" ht="15.75" customHeight="1" s="12">
      <c r="A1861" s="1" t="n">
        <v>2150</v>
      </c>
      <c r="B1861" s="3">
        <f>HYPERLINK("https://leetcode.com/problems/find-all-lonely-numbers-in-the-array/", "Find All Lonely Numbers in the Array")</f>
        <v/>
      </c>
      <c r="C1861" s="1" t="n">
        <v>701</v>
      </c>
      <c r="D1861" s="1" t="n">
        <v>67</v>
      </c>
      <c r="E1861" s="4">
        <f>IF(INDEX(C:C, ROW())+INDEX(D:D, ROW())=0, 0, INDEX(C:C, ROW())/(INDEX(C:C, ROW())+INDEX(D:D, ROW())))</f>
        <v/>
      </c>
      <c r="F1861" s="1" t="inlineStr">
        <is>
          <t>Array, Hash Table, Counting</t>
        </is>
      </c>
      <c r="G1861" s="1" t="inlineStr">
        <is>
          <t>Medium</t>
        </is>
      </c>
      <c r="H1861" s="1" t="n">
        <v>67476</v>
      </c>
      <c r="I1861" s="1" t="n">
        <v>107952</v>
      </c>
      <c r="J1861" s="9" t="n">
        <v>0.625</v>
      </c>
      <c r="K1861" s="1" t="inlineStr">
        <is>
          <t>Yes</t>
        </is>
      </c>
      <c r="L1861" s="1" t="inlineStr">
        <is>
          <t>No</t>
        </is>
      </c>
      <c r="M1861" s="1" t="inlineStr">
        <is>
          <t>No</t>
        </is>
      </c>
      <c r="N1861" s="1" t="inlineStr">
        <is>
          <t>Algorithms</t>
        </is>
      </c>
      <c r="O18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62" ht="15.75" customHeight="1" s="12">
      <c r="A1862" s="1" t="n">
        <v>2167</v>
      </c>
      <c r="B1862" s="3">
        <f>HYPERLINK("https://leetcode.com/problems/minimum-time-to-remove-all-cars-containing-illegal-goods/", "Minimum Time to Remove All Cars Containing Illegal Goods")</f>
        <v/>
      </c>
      <c r="C1862" s="1" t="n">
        <v>701</v>
      </c>
      <c r="D1862" s="1" t="n">
        <v>17</v>
      </c>
      <c r="E1862" s="4">
        <f>IF(INDEX(C:C, ROW())+INDEX(D:D, ROW())=0, 0, INDEX(C:C, ROW())/(INDEX(C:C, ROW())+INDEX(D:D, ROW())))</f>
        <v/>
      </c>
      <c r="F1862" s="1" t="inlineStr">
        <is>
          <t>String, Dynamic Programming</t>
        </is>
      </c>
      <c r="G1862" s="1" t="inlineStr">
        <is>
          <t>Hard</t>
        </is>
      </c>
      <c r="H1862" s="1" t="n">
        <v>15007</v>
      </c>
      <c r="I1862" s="1" t="n">
        <v>35795</v>
      </c>
      <c r="J1862" s="9" t="n">
        <v>0.419</v>
      </c>
      <c r="K1862" s="1" t="inlineStr">
        <is>
          <t>Yes</t>
        </is>
      </c>
      <c r="L1862" s="1" t="inlineStr">
        <is>
          <t>No</t>
        </is>
      </c>
      <c r="M1862" s="1" t="inlineStr">
        <is>
          <t>No</t>
        </is>
      </c>
      <c r="N1862" s="1" t="inlineStr">
        <is>
          <t>Algorithms</t>
        </is>
      </c>
      <c r="O18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63" ht="15.75" customHeight="1" s="12">
      <c r="A1863" s="1" t="n">
        <v>2180</v>
      </c>
      <c r="B1863" s="3">
        <f>HYPERLINK("https://leetcode.com/problems/count-integers-with-even-digit-sum/", "Count Integers With Even Digit Sum")</f>
        <v/>
      </c>
      <c r="C1863" s="1" t="n">
        <v>701</v>
      </c>
      <c r="D1863" s="1" t="n">
        <v>40</v>
      </c>
      <c r="E1863" s="4">
        <f>IF(INDEX(C:C, ROW())+INDEX(D:D, ROW())=0, 0, INDEX(C:C, ROW())/(INDEX(C:C, ROW())+INDEX(D:D, ROW())))</f>
        <v/>
      </c>
      <c r="F1863" s="1" t="inlineStr">
        <is>
          <t>Math, Simulation</t>
        </is>
      </c>
      <c r="G1863" s="1" t="inlineStr">
        <is>
          <t>Easy</t>
        </is>
      </c>
      <c r="H1863" s="1" t="n">
        <v>91371</v>
      </c>
      <c r="I1863" s="1" t="n">
        <v>131348</v>
      </c>
      <c r="J1863" s="9" t="n">
        <v>0.696</v>
      </c>
      <c r="K1863" s="1" t="inlineStr">
        <is>
          <t>Yes</t>
        </is>
      </c>
      <c r="L1863" s="1" t="inlineStr">
        <is>
          <t>No</t>
        </is>
      </c>
      <c r="M1863" s="1" t="inlineStr">
        <is>
          <t>No</t>
        </is>
      </c>
      <c r="N1863" s="1" t="inlineStr">
        <is>
          <t>Algorithms</t>
        </is>
      </c>
      <c r="O18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64" ht="15.75" customHeight="1" s="12">
      <c r="A1864" s="1" t="n">
        <v>2148</v>
      </c>
      <c r="B1864" s="3">
        <f>HYPERLINK("https://leetcode.com/problems/count-elements-with-strictly-smaller-and-greater-elements/", "Count Elements With Strictly Smaller and Greater Elements ")</f>
        <v/>
      </c>
      <c r="C1864" s="1" t="n">
        <v>698</v>
      </c>
      <c r="D1864" s="1" t="n">
        <v>44</v>
      </c>
      <c r="E1864" s="4">
        <f>IF(INDEX(C:C, ROW())+INDEX(D:D, ROW())=0, 0, INDEX(C:C, ROW())/(INDEX(C:C, ROW())+INDEX(D:D, ROW())))</f>
        <v/>
      </c>
      <c r="F1864" s="1" t="inlineStr">
        <is>
          <t>Array, Sorting, Counting</t>
        </is>
      </c>
      <c r="G1864" s="1" t="inlineStr">
        <is>
          <t>Easy</t>
        </is>
      </c>
      <c r="H1864" s="1" t="n">
        <v>76340</v>
      </c>
      <c r="I1864" s="1" t="n">
        <v>128043</v>
      </c>
      <c r="J1864" s="9" t="n">
        <v>0.596</v>
      </c>
      <c r="K1864" s="1" t="inlineStr">
        <is>
          <t>Yes</t>
        </is>
      </c>
      <c r="L1864" s="1" t="inlineStr">
        <is>
          <t>No</t>
        </is>
      </c>
      <c r="M1864" s="1" t="inlineStr">
        <is>
          <t>No</t>
        </is>
      </c>
      <c r="N1864" s="1" t="inlineStr">
        <is>
          <t>Algorithms</t>
        </is>
      </c>
      <c r="O18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65" ht="15.75" customHeight="1" s="12">
      <c r="A1865" s="1" t="n">
        <v>1907</v>
      </c>
      <c r="B1865" s="3">
        <f>HYPERLINK("https://leetcode.com/problems/count-salary-categories/", "Count Salary Categories")</f>
        <v/>
      </c>
      <c r="C1865" s="1" t="n">
        <v>697</v>
      </c>
      <c r="D1865" s="1" t="n">
        <v>111</v>
      </c>
      <c r="E1865" s="4">
        <f>IF(INDEX(C:C, ROW())+INDEX(D:D, ROW())=0, 0, INDEX(C:C, ROW())/(INDEX(C:C, ROW())+INDEX(D:D, ROW())))</f>
        <v/>
      </c>
      <c r="F1865" s="1" t="inlineStr">
        <is>
          <t>Database</t>
        </is>
      </c>
      <c r="G1865" s="1" t="inlineStr">
        <is>
          <t>Medium</t>
        </is>
      </c>
      <c r="H1865" s="1" t="n">
        <v>277548</v>
      </c>
      <c r="I1865" s="1" t="n">
        <v>434660</v>
      </c>
      <c r="J1865" s="9" t="n">
        <v>0.639</v>
      </c>
      <c r="K1865" s="1" t="inlineStr">
        <is>
          <t>Yes</t>
        </is>
      </c>
      <c r="L1865" s="1" t="inlineStr">
        <is>
          <t>Yes</t>
        </is>
      </c>
      <c r="M1865" s="1" t="inlineStr">
        <is>
          <t>No</t>
        </is>
      </c>
      <c r="N1865" s="1" t="inlineStr">
        <is>
          <t>Database</t>
        </is>
      </c>
      <c r="O18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66" ht="15.75" customHeight="1" s="12">
      <c r="A1866" s="1" t="n">
        <v>1995</v>
      </c>
      <c r="B1866" s="3">
        <f>HYPERLINK("https://leetcode.com/problems/count-special-quadruplets/", "Count Special Quadruplets")</f>
        <v/>
      </c>
      <c r="C1866" s="1" t="n">
        <v>697</v>
      </c>
      <c r="D1866" s="1" t="n">
        <v>243</v>
      </c>
      <c r="E1866" s="4">
        <f>IF(INDEX(C:C, ROW())+INDEX(D:D, ROW())=0, 0, INDEX(C:C, ROW())/(INDEX(C:C, ROW())+INDEX(D:D, ROW())))</f>
        <v/>
      </c>
      <c r="F1866" s="1" t="inlineStr">
        <is>
          <t>Array, Hash Table, Enumeration</t>
        </is>
      </c>
      <c r="G1866" s="1" t="inlineStr">
        <is>
          <t>Easy</t>
        </is>
      </c>
      <c r="H1866" s="1" t="n">
        <v>59953</v>
      </c>
      <c r="I1866" s="1" t="n">
        <v>93434</v>
      </c>
      <c r="J1866" s="9" t="n">
        <v>0.642</v>
      </c>
      <c r="K1866" s="1" t="inlineStr">
        <is>
          <t>Yes</t>
        </is>
      </c>
      <c r="L1866" s="1" t="inlineStr">
        <is>
          <t>No</t>
        </is>
      </c>
      <c r="M1866" s="1" t="inlineStr">
        <is>
          <t>No</t>
        </is>
      </c>
      <c r="N1866" s="1" t="inlineStr">
        <is>
          <t>Algorithms</t>
        </is>
      </c>
      <c r="O18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67" ht="15.75" customHeight="1" s="12">
      <c r="A1867" s="1" t="n">
        <v>1644</v>
      </c>
      <c r="B1867" s="3">
        <f>HYPERLINK("https://leetcode.com/problems/lowest-common-ancestor-of-a-binary-tree-ii/", "Lowest Common Ancestor of a Binary Tree II")</f>
        <v/>
      </c>
      <c r="C1867" s="1" t="n">
        <v>695</v>
      </c>
      <c r="D1867" s="1" t="n">
        <v>42</v>
      </c>
      <c r="E1867" s="4">
        <f>IF(INDEX(C:C, ROW())+INDEX(D:D, ROW())=0, 0, INDEX(C:C, ROW())/(INDEX(C:C, ROW())+INDEX(D:D, ROW())))</f>
        <v/>
      </c>
      <c r="F1867" s="1" t="inlineStr">
        <is>
          <t>Tree, Depth-First Search, Binary Tree</t>
        </is>
      </c>
      <c r="G1867" s="1" t="inlineStr">
        <is>
          <t>Medium</t>
        </is>
      </c>
      <c r="H1867" s="1" t="n">
        <v>118551</v>
      </c>
      <c r="I1867" s="1" t="n">
        <v>170845</v>
      </c>
      <c r="J1867" s="9" t="n">
        <v>0.694</v>
      </c>
      <c r="K1867" s="1" t="inlineStr">
        <is>
          <t>No</t>
        </is>
      </c>
      <c r="L1867" s="1" t="inlineStr">
        <is>
          <t>Yes</t>
        </is>
      </c>
      <c r="M1867" s="1" t="inlineStr">
        <is>
          <t>No</t>
        </is>
      </c>
      <c r="N1867" s="1" t="inlineStr">
        <is>
          <t>Algorithms</t>
        </is>
      </c>
      <c r="O18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68" ht="15.75" customHeight="1" s="12">
      <c r="A1868" s="1" t="n">
        <v>1563</v>
      </c>
      <c r="B1868" s="3">
        <f>HYPERLINK("https://leetcode.com/problems/stone-game-v/", "Stone Game V")</f>
        <v/>
      </c>
      <c r="C1868" s="1" t="n">
        <v>694</v>
      </c>
      <c r="D1868" s="1" t="n">
        <v>90</v>
      </c>
      <c r="E1868" s="4">
        <f>IF(INDEX(C:C, ROW())+INDEX(D:D, ROW())=0, 0, INDEX(C:C, ROW())/(INDEX(C:C, ROW())+INDEX(D:D, ROW())))</f>
        <v/>
      </c>
      <c r="F1868" s="1" t="inlineStr">
        <is>
          <t>Array, Math, Dynamic Programming, Game Theory</t>
        </is>
      </c>
      <c r="G1868" s="1" t="inlineStr">
        <is>
          <t>Hard</t>
        </is>
      </c>
      <c r="H1868" s="1" t="n">
        <v>25511</v>
      </c>
      <c r="I1868" s="1" t="n">
        <v>61458</v>
      </c>
      <c r="J1868" s="9" t="n">
        <v>0.415</v>
      </c>
      <c r="K1868" s="1" t="inlineStr">
        <is>
          <t>Yes</t>
        </is>
      </c>
      <c r="L1868" s="1" t="inlineStr">
        <is>
          <t>No</t>
        </is>
      </c>
      <c r="M1868" s="1" t="inlineStr">
        <is>
          <t>No</t>
        </is>
      </c>
      <c r="N1868" s="1" t="inlineStr">
        <is>
          <t>Algorithms</t>
        </is>
      </c>
      <c r="O18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69" ht="15.75" customHeight="1" s="12">
      <c r="A1869" s="1" t="n">
        <v>2662</v>
      </c>
      <c r="B1869" s="3">
        <f>HYPERLINK("https://leetcode.com/problems/minimum-cost-of-a-path-with-special-roads/", "Minimum Cost of a Path With Special Roads")</f>
        <v/>
      </c>
      <c r="C1869" s="1" t="n">
        <v>692</v>
      </c>
      <c r="D1869" s="1" t="n">
        <v>92</v>
      </c>
      <c r="E1869" s="4">
        <f>IF(INDEX(C:C, ROW())+INDEX(D:D, ROW())=0, 0, INDEX(C:C, ROW())/(INDEX(C:C, ROW())+INDEX(D:D, ROW())))</f>
        <v/>
      </c>
      <c r="F1869" s="1" t="inlineStr">
        <is>
          <t>Array, Graph Theory, Heap (Priority Queue), Shortest Path</t>
        </is>
      </c>
      <c r="G1869" s="1" t="inlineStr">
        <is>
          <t>Medium</t>
        </is>
      </c>
      <c r="H1869" s="1" t="n">
        <v>18918</v>
      </c>
      <c r="I1869" s="1" t="n">
        <v>44752</v>
      </c>
      <c r="J1869" s="9" t="n">
        <v>0.423</v>
      </c>
      <c r="K1869" s="1" t="inlineStr">
        <is>
          <t>Yes</t>
        </is>
      </c>
      <c r="L1869" s="1" t="inlineStr">
        <is>
          <t>No</t>
        </is>
      </c>
      <c r="M1869" s="1" t="inlineStr">
        <is>
          <t>No</t>
        </is>
      </c>
      <c r="N1869" s="1" t="inlineStr">
        <is>
          <t>Algorithms</t>
        </is>
      </c>
      <c r="O18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70" ht="15.75" customHeight="1" s="12">
      <c r="A1870" s="1" t="n">
        <v>3203</v>
      </c>
      <c r="B1870" s="3">
        <f>HYPERLINK("https://leetcode.com/problems/find-minimum-diameter-after-merging-two-trees/", "Find Minimum Diameter After Merging Two Trees")</f>
        <v/>
      </c>
      <c r="C1870" s="1" t="n">
        <v>692</v>
      </c>
      <c r="D1870" s="1" t="n">
        <v>39</v>
      </c>
      <c r="E1870" s="4">
        <f>IF(INDEX(C:C, ROW())+INDEX(D:D, ROW())=0, 0, INDEX(C:C, ROW())/(INDEX(C:C, ROW())+INDEX(D:D, ROW())))</f>
        <v/>
      </c>
      <c r="F1870" s="1" t="inlineStr">
        <is>
          <t>Tree, Depth-First Search, Breadth-First Search, Graph Theory</t>
        </is>
      </c>
      <c r="G1870" s="1" t="inlineStr">
        <is>
          <t>Hard</t>
        </is>
      </c>
      <c r="H1870" s="1" t="n">
        <v>77692</v>
      </c>
      <c r="I1870" s="1" t="n">
        <v>136022</v>
      </c>
      <c r="J1870" s="9" t="n">
        <v>0.571</v>
      </c>
      <c r="K1870" s="1" t="inlineStr">
        <is>
          <t>Yes</t>
        </is>
      </c>
      <c r="L1870" s="1" t="inlineStr">
        <is>
          <t>Yes</t>
        </is>
      </c>
      <c r="M1870" s="1" t="inlineStr">
        <is>
          <t>No</t>
        </is>
      </c>
      <c r="N1870" s="1" t="inlineStr">
        <is>
          <t>Algorithms</t>
        </is>
      </c>
      <c r="O18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71" ht="15.75" customHeight="1" s="12">
      <c r="A1871" s="1" t="n">
        <v>1591</v>
      </c>
      <c r="B1871" s="3">
        <f>HYPERLINK("https://leetcode.com/problems/strange-printer-ii/", "Strange Printer II")</f>
        <v/>
      </c>
      <c r="C1871" s="1" t="n">
        <v>691</v>
      </c>
      <c r="D1871" s="1" t="n">
        <v>23</v>
      </c>
      <c r="E1871" s="4">
        <f>IF(INDEX(C:C, ROW())+INDEX(D:D, ROW())=0, 0, INDEX(C:C, ROW())/(INDEX(C:C, ROW())+INDEX(D:D, ROW())))</f>
        <v/>
      </c>
      <c r="F1871" s="1" t="inlineStr">
        <is>
          <t>Array, Graph Theory, Topological Sort, Matrix</t>
        </is>
      </c>
      <c r="G1871" s="1" t="inlineStr">
        <is>
          <t>Hard</t>
        </is>
      </c>
      <c r="H1871" s="1" t="n">
        <v>15789</v>
      </c>
      <c r="I1871" s="1" t="n">
        <v>26115</v>
      </c>
      <c r="J1871" s="9" t="n">
        <v>0.605</v>
      </c>
      <c r="K1871" s="1" t="inlineStr">
        <is>
          <t>Yes</t>
        </is>
      </c>
      <c r="L1871" s="1" t="inlineStr">
        <is>
          <t>No</t>
        </is>
      </c>
      <c r="M1871" s="1" t="inlineStr">
        <is>
          <t>No</t>
        </is>
      </c>
      <c r="N1871" s="1" t="inlineStr">
        <is>
          <t>Algorithms</t>
        </is>
      </c>
      <c r="O18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72" ht="15.75" customHeight="1" s="12">
      <c r="A1872" s="1" t="n">
        <v>868</v>
      </c>
      <c r="B1872" s="3">
        <f>HYPERLINK("https://leetcode.com/problems/binary-gap/", "Binary Gap")</f>
        <v/>
      </c>
      <c r="C1872" s="1" t="n">
        <v>690</v>
      </c>
      <c r="D1872" s="1" t="n">
        <v>673</v>
      </c>
      <c r="E1872" s="4">
        <f>IF(INDEX(C:C, ROW())+INDEX(D:D, ROW())=0, 0, INDEX(C:C, ROW())/(INDEX(C:C, ROW())+INDEX(D:D, ROW())))</f>
        <v/>
      </c>
      <c r="F1872" s="1" t="inlineStr">
        <is>
          <t>Bit Manipulation</t>
        </is>
      </c>
      <c r="G1872" s="1" t="inlineStr">
        <is>
          <t>Easy</t>
        </is>
      </c>
      <c r="H1872" s="1" t="n">
        <v>105601</v>
      </c>
      <c r="I1872" s="1" t="n">
        <v>160959</v>
      </c>
      <c r="J1872" s="9" t="n">
        <v>0.656</v>
      </c>
      <c r="K1872" s="1" t="inlineStr">
        <is>
          <t>Yes</t>
        </is>
      </c>
      <c r="L1872" s="1" t="inlineStr">
        <is>
          <t>Yes</t>
        </is>
      </c>
      <c r="M1872" s="1" t="inlineStr">
        <is>
          <t>No</t>
        </is>
      </c>
      <c r="N1872" s="1" t="inlineStr">
        <is>
          <t>Algorithms</t>
        </is>
      </c>
      <c r="O18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73" ht="15.75" customHeight="1" s="12">
      <c r="A1873" s="1" t="n">
        <v>1953</v>
      </c>
      <c r="B1873" s="3">
        <f>HYPERLINK("https://leetcode.com/problems/maximum-number-of-weeks-for-which-you-can-work/", "Maximum Number of Weeks for Which You Can Work")</f>
        <v/>
      </c>
      <c r="C1873" s="1" t="n">
        <v>690</v>
      </c>
      <c r="D1873" s="1" t="n">
        <v>163</v>
      </c>
      <c r="E1873" s="4">
        <f>IF(INDEX(C:C, ROW())+INDEX(D:D, ROW())=0, 0, INDEX(C:C, ROW())/(INDEX(C:C, ROW())+INDEX(D:D, ROW())))</f>
        <v/>
      </c>
      <c r="F1873" s="1" t="inlineStr">
        <is>
          <t>Array, Greedy</t>
        </is>
      </c>
      <c r="G1873" s="1" t="inlineStr">
        <is>
          <t>Medium</t>
        </is>
      </c>
      <c r="H1873" s="1" t="n">
        <v>29875</v>
      </c>
      <c r="I1873" s="1" t="n">
        <v>70860</v>
      </c>
      <c r="J1873" s="9" t="n">
        <v>0.422</v>
      </c>
      <c r="K1873" s="1" t="inlineStr">
        <is>
          <t>Yes</t>
        </is>
      </c>
      <c r="L1873" s="1" t="inlineStr">
        <is>
          <t>No</t>
        </is>
      </c>
      <c r="M1873" s="1" t="inlineStr">
        <is>
          <t>No</t>
        </is>
      </c>
      <c r="N1873" s="1" t="inlineStr">
        <is>
          <t>Algorithms</t>
        </is>
      </c>
      <c r="O18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74" ht="15.75" customHeight="1" s="12">
      <c r="A1874" s="1" t="n">
        <v>1649</v>
      </c>
      <c r="B1874" s="3">
        <f>HYPERLINK("https://leetcode.com/problems/create-sorted-array-through-instructions/", "Create Sorted Array through Instructions")</f>
        <v/>
      </c>
      <c r="C1874" s="1" t="n">
        <v>688</v>
      </c>
      <c r="D1874" s="1" t="n">
        <v>81</v>
      </c>
      <c r="E1874" s="4">
        <f>IF(INDEX(C:C, ROW())+INDEX(D:D, ROW())=0, 0, INDEX(C:C, ROW())/(INDEX(C:C, ROW())+INDEX(D:D, ROW())))</f>
        <v/>
      </c>
      <c r="F1874" s="1" t="inlineStr">
        <is>
          <t>Array, Binary Search, Divide and Conquer, Binary Indexed Tree, Segment Tree, Merge Sort, Ordered Set</t>
        </is>
      </c>
      <c r="G1874" s="1" t="inlineStr">
        <is>
          <t>Hard</t>
        </is>
      </c>
      <c r="H1874" s="1" t="n">
        <v>31364</v>
      </c>
      <c r="I1874" s="1" t="n">
        <v>76260</v>
      </c>
      <c r="J1874" s="9" t="n">
        <v>0.411</v>
      </c>
      <c r="K1874" s="1" t="inlineStr">
        <is>
          <t>Yes</t>
        </is>
      </c>
      <c r="L1874" s="1" t="inlineStr">
        <is>
          <t>Yes</t>
        </is>
      </c>
      <c r="M1874" s="1" t="inlineStr">
        <is>
          <t>No</t>
        </is>
      </c>
      <c r="N1874" s="1" t="inlineStr">
        <is>
          <t>Algorithms</t>
        </is>
      </c>
      <c r="O18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75" ht="15.75" customHeight="1" s="12">
      <c r="A1875" s="1" t="n">
        <v>1625</v>
      </c>
      <c r="B1875" s="3">
        <f>HYPERLINK("https://leetcode.com/problems/lexicographically-smallest-string-after-applying-operations/", "Lexicographically Smallest String After Applying Operations")</f>
        <v/>
      </c>
      <c r="C1875" s="1" t="n">
        <v>687</v>
      </c>
      <c r="D1875" s="1" t="n">
        <v>320</v>
      </c>
      <c r="E1875" s="4">
        <f>IF(INDEX(C:C, ROW())+INDEX(D:D, ROW())=0, 0, INDEX(C:C, ROW())/(INDEX(C:C, ROW())+INDEX(D:D, ROW())))</f>
        <v/>
      </c>
      <c r="F1875" s="1" t="inlineStr">
        <is>
          <t>String, Depth-First Search, Breadth-First Search, Enumeration</t>
        </is>
      </c>
      <c r="G1875" s="1" t="inlineStr">
        <is>
          <t>Medium</t>
        </is>
      </c>
      <c r="H1875" s="1" t="n">
        <v>84509</v>
      </c>
      <c r="I1875" s="1" t="n">
        <v>106434</v>
      </c>
      <c r="J1875" s="9" t="n">
        <v>0.794</v>
      </c>
      <c r="K1875" s="1" t="inlineStr">
        <is>
          <t>Yes</t>
        </is>
      </c>
      <c r="L1875" s="1" t="inlineStr">
        <is>
          <t>Yes</t>
        </is>
      </c>
      <c r="M1875" s="1" t="inlineStr">
        <is>
          <t>No</t>
        </is>
      </c>
      <c r="N1875" s="1" t="inlineStr">
        <is>
          <t>Algorithms</t>
        </is>
      </c>
      <c r="O18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76" ht="15.75" customHeight="1" s="12">
      <c r="A1876" s="1" t="n">
        <v>2873</v>
      </c>
      <c r="B1876" s="3">
        <f>HYPERLINK("https://leetcode.com/problems/maximum-value-of-an-ordered-triplet-i/", "Maximum Value of an Ordered Triplet I")</f>
        <v/>
      </c>
      <c r="C1876" s="1" t="n">
        <v>687</v>
      </c>
      <c r="D1876" s="1" t="n">
        <v>39</v>
      </c>
      <c r="E1876" s="4">
        <f>IF(INDEX(C:C, ROW())+INDEX(D:D, ROW())=0, 0, INDEX(C:C, ROW())/(INDEX(C:C, ROW())+INDEX(D:D, ROW())))</f>
        <v/>
      </c>
      <c r="F1876" s="1" t="inlineStr">
        <is>
          <t>Array</t>
        </is>
      </c>
      <c r="G1876" s="1" t="inlineStr">
        <is>
          <t>Easy</t>
        </is>
      </c>
      <c r="H1876" s="1" t="n">
        <v>203303</v>
      </c>
      <c r="I1876" s="1" t="n">
        <v>349456</v>
      </c>
      <c r="J1876" s="9" t="n">
        <v>0.582</v>
      </c>
      <c r="K1876" s="1" t="inlineStr">
        <is>
          <t>Yes</t>
        </is>
      </c>
      <c r="L1876" s="1" t="inlineStr">
        <is>
          <t>Yes</t>
        </is>
      </c>
      <c r="M1876" s="1" t="inlineStr">
        <is>
          <t>No</t>
        </is>
      </c>
      <c r="N1876" s="1" t="inlineStr">
        <is>
          <t>Algorithms</t>
        </is>
      </c>
      <c r="O18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77" ht="15.75" customHeight="1" s="12">
      <c r="A1877" s="1" t="n">
        <v>2231</v>
      </c>
      <c r="B1877" s="3">
        <f>HYPERLINK("https://leetcode.com/problems/largest-number-after-digit-swaps-by-parity/", "Largest Number After Digit Swaps by Parity")</f>
        <v/>
      </c>
      <c r="C1877" s="1" t="n">
        <v>686</v>
      </c>
      <c r="D1877" s="1" t="n">
        <v>311</v>
      </c>
      <c r="E1877" s="4">
        <f>IF(INDEX(C:C, ROW())+INDEX(D:D, ROW())=0, 0, INDEX(C:C, ROW())/(INDEX(C:C, ROW())+INDEX(D:D, ROW())))</f>
        <v/>
      </c>
      <c r="F1877" s="1" t="inlineStr">
        <is>
          <t>Sorting, Heap (Priority Queue)</t>
        </is>
      </c>
      <c r="G1877" s="1" t="inlineStr">
        <is>
          <t>Easy</t>
        </is>
      </c>
      <c r="H1877" s="1" t="n">
        <v>63724</v>
      </c>
      <c r="I1877" s="1" t="n">
        <v>98385</v>
      </c>
      <c r="J1877" s="9" t="n">
        <v>0.648</v>
      </c>
      <c r="K1877" s="1" t="inlineStr">
        <is>
          <t>Yes</t>
        </is>
      </c>
      <c r="L1877" s="1" t="inlineStr">
        <is>
          <t>No</t>
        </is>
      </c>
      <c r="M1877" s="1" t="inlineStr">
        <is>
          <t>No</t>
        </is>
      </c>
      <c r="N1877" s="1" t="inlineStr">
        <is>
          <t>Algorithms</t>
        </is>
      </c>
      <c r="O18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78" ht="15.75" customHeight="1" s="12">
      <c r="A1878" s="1" t="n">
        <v>3362</v>
      </c>
      <c r="B1878" s="3">
        <f>HYPERLINK("https://leetcode.com/problems/zero-array-transformation-iii/", "Zero Array Transformation III")</f>
        <v/>
      </c>
      <c r="C1878" s="1" t="n">
        <v>686</v>
      </c>
      <c r="D1878" s="1" t="n">
        <v>125</v>
      </c>
      <c r="E1878" s="4">
        <f>IF(INDEX(C:C, ROW())+INDEX(D:D, ROW())=0, 0, INDEX(C:C, ROW())/(INDEX(C:C, ROW())+INDEX(D:D, ROW())))</f>
        <v/>
      </c>
      <c r="F1878" s="1" t="inlineStr">
        <is>
          <t>Array, Greedy, Sorting, Heap (Priority Queue), Prefix Sum</t>
        </is>
      </c>
      <c r="G1878" s="1" t="inlineStr">
        <is>
          <t>Medium</t>
        </is>
      </c>
      <c r="H1878" s="1" t="n">
        <v>76111</v>
      </c>
      <c r="I1878" s="1" t="n">
        <v>138605</v>
      </c>
      <c r="J1878" s="9" t="n">
        <v>0.549</v>
      </c>
      <c r="K1878" s="1" t="inlineStr">
        <is>
          <t>Yes</t>
        </is>
      </c>
      <c r="L1878" s="1" t="inlineStr">
        <is>
          <t>Yes</t>
        </is>
      </c>
      <c r="M1878" s="1" t="inlineStr">
        <is>
          <t>No</t>
        </is>
      </c>
      <c r="N1878" s="1" t="inlineStr">
        <is>
          <t>Algorithms</t>
        </is>
      </c>
      <c r="O18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79" ht="15.75" customHeight="1" s="12">
      <c r="A1879" s="1" t="n">
        <v>1566</v>
      </c>
      <c r="B1879" s="3">
        <f>HYPERLINK("https://leetcode.com/problems/detect-pattern-of-length-m-repeated-k-or-more-times/", "Detect Pattern of Length M Repeated K or More Times")</f>
        <v/>
      </c>
      <c r="C1879" s="1" t="n">
        <v>685</v>
      </c>
      <c r="D1879" s="1" t="n">
        <v>147</v>
      </c>
      <c r="E1879" s="4">
        <f>IF(INDEX(C:C, ROW())+INDEX(D:D, ROW())=0, 0, INDEX(C:C, ROW())/(INDEX(C:C, ROW())+INDEX(D:D, ROW())))</f>
        <v/>
      </c>
      <c r="F1879" s="1" t="inlineStr">
        <is>
          <t>Array, Enumeration</t>
        </is>
      </c>
      <c r="G1879" s="1" t="inlineStr">
        <is>
          <t>Easy</t>
        </is>
      </c>
      <c r="H1879" s="1" t="n">
        <v>44761</v>
      </c>
      <c r="I1879" s="1" t="n">
        <v>102435</v>
      </c>
      <c r="J1879" s="9" t="n">
        <v>0.437</v>
      </c>
      <c r="K1879" s="1" t="inlineStr">
        <is>
          <t>Yes</t>
        </is>
      </c>
      <c r="L1879" s="1" t="inlineStr">
        <is>
          <t>No</t>
        </is>
      </c>
      <c r="M1879" s="1" t="inlineStr">
        <is>
          <t>No</t>
        </is>
      </c>
      <c r="N1879" s="1" t="inlineStr">
        <is>
          <t>Algorithms</t>
        </is>
      </c>
      <c r="O18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80" ht="15.75" customHeight="1" s="12">
      <c r="A1880" s="1" t="n">
        <v>2042</v>
      </c>
      <c r="B1880" s="3">
        <f>HYPERLINK("https://leetcode.com/problems/check-if-numbers-are-ascending-in-a-sentence/", "Check if Numbers Are Ascending in a Sentence")</f>
        <v/>
      </c>
      <c r="C1880" s="1" t="n">
        <v>685</v>
      </c>
      <c r="D1880" s="1" t="n">
        <v>23</v>
      </c>
      <c r="E1880" s="4">
        <f>IF(INDEX(C:C, ROW())+INDEX(D:D, ROW())=0, 0, INDEX(C:C, ROW())/(INDEX(C:C, ROW())+INDEX(D:D, ROW())))</f>
        <v/>
      </c>
      <c r="F1880" s="1" t="inlineStr">
        <is>
          <t>String</t>
        </is>
      </c>
      <c r="G1880" s="1" t="inlineStr">
        <is>
          <t>Easy</t>
        </is>
      </c>
      <c r="H1880" s="1" t="n">
        <v>82628</v>
      </c>
      <c r="I1880" s="1" t="n">
        <v>113722</v>
      </c>
      <c r="J1880" s="9" t="n">
        <v>0.727</v>
      </c>
      <c r="K1880" s="1" t="inlineStr">
        <is>
          <t>Yes</t>
        </is>
      </c>
      <c r="L1880" s="1" t="inlineStr">
        <is>
          <t>No</t>
        </is>
      </c>
      <c r="M1880" s="1" t="inlineStr">
        <is>
          <t>No</t>
        </is>
      </c>
      <c r="N1880" s="1" t="inlineStr">
        <is>
          <t>Algorithms</t>
        </is>
      </c>
      <c r="O18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81" ht="15.75" customHeight="1" s="12">
      <c r="A1881" s="1" t="n">
        <v>2438</v>
      </c>
      <c r="B1881" s="3">
        <f>HYPERLINK("https://leetcode.com/problems/range-product-queries-of-powers/", "Range Product Queries of Powers")</f>
        <v/>
      </c>
      <c r="C1881" s="1" t="n">
        <v>685</v>
      </c>
      <c r="D1881" s="1" t="n">
        <v>151</v>
      </c>
      <c r="E1881" s="4">
        <f>IF(INDEX(C:C, ROW())+INDEX(D:D, ROW())=0, 0, INDEX(C:C, ROW())/(INDEX(C:C, ROW())+INDEX(D:D, ROW())))</f>
        <v/>
      </c>
      <c r="F1881" s="1" t="inlineStr">
        <is>
          <t>Array, Bit Manipulation, Prefix Sum</t>
        </is>
      </c>
      <c r="G1881" s="1" t="inlineStr">
        <is>
          <t>Medium</t>
        </is>
      </c>
      <c r="H1881" s="1" t="n">
        <v>117611</v>
      </c>
      <c r="I1881" s="1" t="n">
        <v>191485</v>
      </c>
      <c r="J1881" s="9" t="n">
        <v>0.614</v>
      </c>
      <c r="K1881" s="1" t="inlineStr">
        <is>
          <t>Yes</t>
        </is>
      </c>
      <c r="L1881" s="1" t="inlineStr">
        <is>
          <t>Yes</t>
        </is>
      </c>
      <c r="M1881" s="1" t="inlineStr">
        <is>
          <t>No</t>
        </is>
      </c>
      <c r="N1881" s="1" t="inlineStr">
        <is>
          <t>Algorithms</t>
        </is>
      </c>
      <c r="O18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82" ht="15.75" customHeight="1" s="12">
      <c r="A1882" s="1" t="n">
        <v>1517</v>
      </c>
      <c r="B1882" s="3">
        <f>HYPERLINK("https://leetcode.com/problems/find-users-with-valid-e-mails/", "Find Users With Valid E-Mails")</f>
        <v/>
      </c>
      <c r="C1882" s="1" t="n">
        <v>682</v>
      </c>
      <c r="D1882" s="1" t="n">
        <v>307</v>
      </c>
      <c r="E1882" s="4">
        <f>IF(INDEX(C:C, ROW())+INDEX(D:D, ROW())=0, 0, INDEX(C:C, ROW())/(INDEX(C:C, ROW())+INDEX(D:D, ROW())))</f>
        <v/>
      </c>
      <c r="F1882" s="1" t="inlineStr">
        <is>
          <t>Database</t>
        </is>
      </c>
      <c r="G1882" s="1" t="inlineStr">
        <is>
          <t>Easy</t>
        </is>
      </c>
      <c r="H1882" s="1" t="n">
        <v>268571</v>
      </c>
      <c r="I1882" s="1" t="n">
        <v>722500</v>
      </c>
      <c r="J1882" s="9" t="n">
        <v>0.372</v>
      </c>
      <c r="K1882" s="1" t="inlineStr">
        <is>
          <t>Yes</t>
        </is>
      </c>
      <c r="L1882" s="1" t="inlineStr">
        <is>
          <t>Yes</t>
        </is>
      </c>
      <c r="M1882" s="1" t="inlineStr">
        <is>
          <t>No</t>
        </is>
      </c>
      <c r="N1882" s="1" t="inlineStr">
        <is>
          <t>Database</t>
        </is>
      </c>
      <c r="O18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83" ht="15.75" customHeight="1" s="12">
      <c r="A1883" s="1" t="n">
        <v>3174</v>
      </c>
      <c r="B1883" s="3">
        <f>HYPERLINK("https://leetcode.com/problems/clear-digits/", "Clear Digits")</f>
        <v/>
      </c>
      <c r="C1883" s="1" t="n">
        <v>681</v>
      </c>
      <c r="D1883" s="1" t="n">
        <v>26</v>
      </c>
      <c r="E1883" s="4">
        <f>IF(INDEX(C:C, ROW())+INDEX(D:D, ROW())=0, 0, INDEX(C:C, ROW())/(INDEX(C:C, ROW())+INDEX(D:D, ROW())))</f>
        <v/>
      </c>
      <c r="F1883" s="1" t="inlineStr">
        <is>
          <t>String, Stack, Simulation</t>
        </is>
      </c>
      <c r="G1883" s="1" t="inlineStr">
        <is>
          <t>Easy</t>
        </is>
      </c>
      <c r="H1883" s="1" t="n">
        <v>270812</v>
      </c>
      <c r="I1883" s="1" t="n">
        <v>327762</v>
      </c>
      <c r="J1883" s="9" t="n">
        <v>0.826</v>
      </c>
      <c r="K1883" s="1" t="inlineStr">
        <is>
          <t>Yes</t>
        </is>
      </c>
      <c r="L1883" s="1" t="inlineStr">
        <is>
          <t>Yes</t>
        </is>
      </c>
      <c r="M1883" s="1" t="inlineStr">
        <is>
          <t>No</t>
        </is>
      </c>
      <c r="N1883" s="1" t="inlineStr">
        <is>
          <t>Algorithms</t>
        </is>
      </c>
      <c r="O18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84" ht="15.75" customHeight="1" s="12">
      <c r="A1884" s="1" t="n">
        <v>2012</v>
      </c>
      <c r="B1884" s="3">
        <f>HYPERLINK("https://leetcode.com/problems/sum-of-beauty-in-the-array/", "Sum of Beauty in the Array")</f>
        <v/>
      </c>
      <c r="C1884" s="1" t="n">
        <v>680</v>
      </c>
      <c r="D1884" s="1" t="n">
        <v>76</v>
      </c>
      <c r="E1884" s="4">
        <f>IF(INDEX(C:C, ROW())+INDEX(D:D, ROW())=0, 0, INDEX(C:C, ROW())/(INDEX(C:C, ROW())+INDEX(D:D, ROW())))</f>
        <v/>
      </c>
      <c r="F1884" s="1" t="inlineStr">
        <is>
          <t>Array</t>
        </is>
      </c>
      <c r="G1884" s="1" t="inlineStr">
        <is>
          <t>Medium</t>
        </is>
      </c>
      <c r="H1884" s="1" t="n">
        <v>31622</v>
      </c>
      <c r="I1884" s="1" t="n">
        <v>62107</v>
      </c>
      <c r="J1884" s="9" t="n">
        <v>0.509</v>
      </c>
      <c r="K1884" s="1" t="inlineStr">
        <is>
          <t>Yes</t>
        </is>
      </c>
      <c r="L1884" s="1" t="inlineStr">
        <is>
          <t>No</t>
        </is>
      </c>
      <c r="M1884" s="1" t="inlineStr">
        <is>
          <t>No</t>
        </is>
      </c>
      <c r="N1884" s="1" t="inlineStr">
        <is>
          <t>Algorithms</t>
        </is>
      </c>
      <c r="O18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85" ht="15.75" customHeight="1" s="12">
      <c r="A1885" s="1" t="n">
        <v>2165</v>
      </c>
      <c r="B1885" s="3">
        <f>HYPERLINK("https://leetcode.com/problems/smallest-value-of-the-rearranged-number/", "Smallest Value of the Rearranged Number")</f>
        <v/>
      </c>
      <c r="C1885" s="1" t="n">
        <v>680</v>
      </c>
      <c r="D1885" s="1" t="n">
        <v>26</v>
      </c>
      <c r="E1885" s="4">
        <f>IF(INDEX(C:C, ROW())+INDEX(D:D, ROW())=0, 0, INDEX(C:C, ROW())/(INDEX(C:C, ROW())+INDEX(D:D, ROW())))</f>
        <v/>
      </c>
      <c r="F1885" s="1" t="inlineStr">
        <is>
          <t>Math, Sorting</t>
        </is>
      </c>
      <c r="G1885" s="1" t="inlineStr">
        <is>
          <t>Medium</t>
        </is>
      </c>
      <c r="H1885" s="1" t="n">
        <v>46688</v>
      </c>
      <c r="I1885" s="1" t="n">
        <v>87578</v>
      </c>
      <c r="J1885" s="9" t="n">
        <v>0.533</v>
      </c>
      <c r="K1885" s="1" t="inlineStr">
        <is>
          <t>Yes</t>
        </is>
      </c>
      <c r="L1885" s="1" t="inlineStr">
        <is>
          <t>No</t>
        </is>
      </c>
      <c r="M1885" s="1" t="inlineStr">
        <is>
          <t>No</t>
        </is>
      </c>
      <c r="N1885" s="1" t="inlineStr">
        <is>
          <t>Algorithms</t>
        </is>
      </c>
      <c r="O18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86" ht="15.75" customHeight="1" s="12">
      <c r="A1886" s="1" t="n">
        <v>2295</v>
      </c>
      <c r="B1886" s="3">
        <f>HYPERLINK("https://leetcode.com/problems/replace-elements-in-an-array/", "Replace Elements in an Array")</f>
        <v/>
      </c>
      <c r="C1886" s="1" t="n">
        <v>678</v>
      </c>
      <c r="D1886" s="1" t="n">
        <v>39</v>
      </c>
      <c r="E1886" s="4">
        <f>IF(INDEX(C:C, ROW())+INDEX(D:D, ROW())=0, 0, INDEX(C:C, ROW())/(INDEX(C:C, ROW())+INDEX(D:D, ROW())))</f>
        <v/>
      </c>
      <c r="F1886" s="1" t="inlineStr">
        <is>
          <t>Array, Hash Table, Simulation</t>
        </is>
      </c>
      <c r="G1886" s="1" t="inlineStr">
        <is>
          <t>Medium</t>
        </is>
      </c>
      <c r="H1886" s="1" t="n">
        <v>46101</v>
      </c>
      <c r="I1886" s="1" t="n">
        <v>77474</v>
      </c>
      <c r="J1886" s="9" t="n">
        <v>0.595</v>
      </c>
      <c r="K1886" s="1" t="inlineStr">
        <is>
          <t>Yes</t>
        </is>
      </c>
      <c r="L1886" s="1" t="inlineStr">
        <is>
          <t>No</t>
        </is>
      </c>
      <c r="M1886" s="1" t="inlineStr">
        <is>
          <t>No</t>
        </is>
      </c>
      <c r="N1886" s="1" t="inlineStr">
        <is>
          <t>Algorithms</t>
        </is>
      </c>
      <c r="O18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87" ht="15.75" customHeight="1" s="12">
      <c r="A1887" s="1" t="n">
        <v>2942</v>
      </c>
      <c r="B1887" s="3">
        <f>HYPERLINK("https://leetcode.com/problems/find-words-containing-character/", "Find Words Containing Character")</f>
        <v/>
      </c>
      <c r="C1887" s="1" t="n">
        <v>678</v>
      </c>
      <c r="D1887" s="1" t="n">
        <v>53</v>
      </c>
      <c r="E1887" s="4">
        <f>IF(INDEX(C:C, ROW())+INDEX(D:D, ROW())=0, 0, INDEX(C:C, ROW())/(INDEX(C:C, ROW())+INDEX(D:D, ROW())))</f>
        <v/>
      </c>
      <c r="F1887" s="1" t="inlineStr">
        <is>
          <t>Array, String</t>
        </is>
      </c>
      <c r="G1887" s="1" t="inlineStr">
        <is>
          <t>Easy</t>
        </is>
      </c>
      <c r="H1887" s="1" t="n">
        <v>375055</v>
      </c>
      <c r="I1887" s="1" t="n">
        <v>414902</v>
      </c>
      <c r="J1887" s="9" t="n">
        <v>0.904</v>
      </c>
      <c r="K1887" s="1" t="inlineStr">
        <is>
          <t>Yes</t>
        </is>
      </c>
      <c r="L1887" s="1" t="inlineStr">
        <is>
          <t>Yes</t>
        </is>
      </c>
      <c r="M1887" s="1" t="inlineStr">
        <is>
          <t>No</t>
        </is>
      </c>
      <c r="N1887" s="1" t="inlineStr">
        <is>
          <t>Algorithms</t>
        </is>
      </c>
      <c r="O18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88" ht="15.75" customHeight="1" s="12">
      <c r="A1888" s="1" t="n">
        <v>1562</v>
      </c>
      <c r="B1888" s="3">
        <f>HYPERLINK("https://leetcode.com/problems/find-latest-group-of-size-m/", "Find Latest Group of Size M")</f>
        <v/>
      </c>
      <c r="C1888" s="1" t="n">
        <v>677</v>
      </c>
      <c r="D1888" s="1" t="n">
        <v>144</v>
      </c>
      <c r="E1888" s="4">
        <f>IF(INDEX(C:C, ROW())+INDEX(D:D, ROW())=0, 0, INDEX(C:C, ROW())/(INDEX(C:C, ROW())+INDEX(D:D, ROW())))</f>
        <v/>
      </c>
      <c r="F1888" s="1" t="inlineStr">
        <is>
          <t>Array, Hash Table, Binary Search, Simulation</t>
        </is>
      </c>
      <c r="G1888" s="1" t="inlineStr">
        <is>
          <t>Medium</t>
        </is>
      </c>
      <c r="H1888" s="1" t="n">
        <v>21671</v>
      </c>
      <c r="I1888" s="1" t="n">
        <v>49654</v>
      </c>
      <c r="J1888" s="9" t="n">
        <v>0.436</v>
      </c>
      <c r="K1888" s="1" t="inlineStr">
        <is>
          <t>Yes</t>
        </is>
      </c>
      <c r="L1888" s="1" t="inlineStr">
        <is>
          <t>No</t>
        </is>
      </c>
      <c r="M1888" s="1" t="inlineStr">
        <is>
          <t>No</t>
        </is>
      </c>
      <c r="N1888" s="1" t="inlineStr">
        <is>
          <t>Algorithms</t>
        </is>
      </c>
      <c r="O18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89" ht="15.75" customHeight="1" s="12">
      <c r="A1889" s="1" t="n">
        <v>2315</v>
      </c>
      <c r="B1889" s="3">
        <f>HYPERLINK("https://leetcode.com/problems/count-asterisks/", "Count Asterisks")</f>
        <v/>
      </c>
      <c r="C1889" s="1" t="n">
        <v>677</v>
      </c>
      <c r="D1889" s="1" t="n">
        <v>118</v>
      </c>
      <c r="E1889" s="4">
        <f>IF(INDEX(C:C, ROW())+INDEX(D:D, ROW())=0, 0, INDEX(C:C, ROW())/(INDEX(C:C, ROW())+INDEX(D:D, ROW())))</f>
        <v/>
      </c>
      <c r="F1889" s="1" t="inlineStr">
        <is>
          <t>String</t>
        </is>
      </c>
      <c r="G1889" s="1" t="inlineStr">
        <is>
          <t>Easy</t>
        </is>
      </c>
      <c r="H1889" s="1" t="n">
        <v>94343</v>
      </c>
      <c r="I1889" s="1" t="n">
        <v>113397</v>
      </c>
      <c r="J1889" s="9" t="n">
        <v>0.832</v>
      </c>
      <c r="K1889" s="1" t="inlineStr">
        <is>
          <t>Yes</t>
        </is>
      </c>
      <c r="L1889" s="1" t="inlineStr">
        <is>
          <t>No</t>
        </is>
      </c>
      <c r="M1889" s="1" t="inlineStr">
        <is>
          <t>No</t>
        </is>
      </c>
      <c r="N1889" s="1" t="inlineStr">
        <is>
          <t>Algorithms</t>
        </is>
      </c>
      <c r="O18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90" ht="15.75" customHeight="1" s="12">
      <c r="A1890" s="1" t="n">
        <v>2914</v>
      </c>
      <c r="B1890" s="3">
        <f>HYPERLINK("https://leetcode.com/problems/minimum-number-of-changes-to-make-binary-string-beautiful/", "Minimum Number of Changes to Make Binary String Beautiful")</f>
        <v/>
      </c>
      <c r="C1890" s="1" t="n">
        <v>676</v>
      </c>
      <c r="D1890" s="1" t="n">
        <v>117</v>
      </c>
      <c r="E1890" s="4">
        <f>IF(INDEX(C:C, ROW())+INDEX(D:D, ROW())=0, 0, INDEX(C:C, ROW())/(INDEX(C:C, ROW())+INDEX(D:D, ROW())))</f>
        <v/>
      </c>
      <c r="F1890" s="1" t="inlineStr">
        <is>
          <t>String</t>
        </is>
      </c>
      <c r="G1890" s="1" t="inlineStr">
        <is>
          <t>Medium</t>
        </is>
      </c>
      <c r="H1890" s="1" t="n">
        <v>163268</v>
      </c>
      <c r="I1890" s="1" t="n">
        <v>213653</v>
      </c>
      <c r="J1890" s="9" t="n">
        <v>0.764</v>
      </c>
      <c r="K1890" s="1" t="inlineStr">
        <is>
          <t>Yes</t>
        </is>
      </c>
      <c r="L1890" s="1" t="inlineStr">
        <is>
          <t>Yes</t>
        </is>
      </c>
      <c r="M1890" s="1" t="inlineStr">
        <is>
          <t>No</t>
        </is>
      </c>
      <c r="N1890" s="1" t="inlineStr">
        <is>
          <t>Algorithms</t>
        </is>
      </c>
      <c r="O18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91" ht="15.75" customHeight="1" s="12">
      <c r="A1891" s="1" t="n">
        <v>1131</v>
      </c>
      <c r="B1891" s="3">
        <f>HYPERLINK("https://leetcode.com/problems/maximum-of-absolute-value-expression/", "Maximum of Absolute Value Expression")</f>
        <v/>
      </c>
      <c r="C1891" s="1" t="n">
        <v>675</v>
      </c>
      <c r="D1891" s="1" t="n">
        <v>418</v>
      </c>
      <c r="E1891" s="4">
        <f>IF(INDEX(C:C, ROW())+INDEX(D:D, ROW())=0, 0, INDEX(C:C, ROW())/(INDEX(C:C, ROW())+INDEX(D:D, ROW())))</f>
        <v/>
      </c>
      <c r="F1891" s="1" t="inlineStr">
        <is>
          <t>Array, Math</t>
        </is>
      </c>
      <c r="G1891" s="1" t="inlineStr">
        <is>
          <t>Medium</t>
        </is>
      </c>
      <c r="H1891" s="1" t="n">
        <v>29852</v>
      </c>
      <c r="I1891" s="1" t="n">
        <v>61464</v>
      </c>
      <c r="J1891" s="9" t="n">
        <v>0.486</v>
      </c>
      <c r="K1891" s="1" t="inlineStr">
        <is>
          <t>Yes</t>
        </is>
      </c>
      <c r="L1891" s="1" t="inlineStr">
        <is>
          <t>No</t>
        </is>
      </c>
      <c r="M1891" s="1" t="inlineStr">
        <is>
          <t>No</t>
        </is>
      </c>
      <c r="N1891" s="1" t="inlineStr">
        <is>
          <t>Algorithms</t>
        </is>
      </c>
      <c r="O18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92" ht="15.75" customHeight="1" s="12">
      <c r="A1892" s="1" t="n">
        <v>3085</v>
      </c>
      <c r="B1892" s="3">
        <f>HYPERLINK("https://leetcode.com/problems/minimum-deletions-to-make-string-k-special/", "Minimum Deletions to Make String K-Special")</f>
        <v/>
      </c>
      <c r="C1892" s="1" t="n">
        <v>675</v>
      </c>
      <c r="D1892" s="1" t="n">
        <v>53</v>
      </c>
      <c r="E1892" s="4">
        <f>IF(INDEX(C:C, ROW())+INDEX(D:D, ROW())=0, 0, INDEX(C:C, ROW())/(INDEX(C:C, ROW())+INDEX(D:D, ROW())))</f>
        <v/>
      </c>
      <c r="F1892" s="1" t="inlineStr">
        <is>
          <t>Hash Table, String, Greedy, Sorting, Counting</t>
        </is>
      </c>
      <c r="G1892" s="1" t="inlineStr">
        <is>
          <t>Medium</t>
        </is>
      </c>
      <c r="H1892" s="1" t="n">
        <v>109931</v>
      </c>
      <c r="I1892" s="1" t="n">
        <v>163669</v>
      </c>
      <c r="J1892" s="9" t="n">
        <v>0.672</v>
      </c>
      <c r="K1892" s="1" t="inlineStr">
        <is>
          <t>Yes</t>
        </is>
      </c>
      <c r="L1892" s="1" t="inlineStr">
        <is>
          <t>Yes</t>
        </is>
      </c>
      <c r="M1892" s="1" t="inlineStr">
        <is>
          <t>No</t>
        </is>
      </c>
      <c r="N1892" s="1" t="inlineStr">
        <is>
          <t>Algorithms</t>
        </is>
      </c>
      <c r="O18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93" ht="15.75" customHeight="1" s="12">
      <c r="A1893" s="1" t="n">
        <v>699</v>
      </c>
      <c r="B1893" s="3">
        <f>HYPERLINK("https://leetcode.com/problems/falling-squares/", "Falling Squares")</f>
        <v/>
      </c>
      <c r="C1893" s="1" t="n">
        <v>674</v>
      </c>
      <c r="D1893" s="1" t="n">
        <v>76</v>
      </c>
      <c r="E1893" s="4">
        <f>IF(INDEX(C:C, ROW())+INDEX(D:D, ROW())=0, 0, INDEX(C:C, ROW())/(INDEX(C:C, ROW())+INDEX(D:D, ROW())))</f>
        <v/>
      </c>
      <c r="F1893" s="1" t="inlineStr">
        <is>
          <t>Array, Segment Tree, Ordered Set</t>
        </is>
      </c>
      <c r="G1893" s="1" t="inlineStr">
        <is>
          <t>Hard</t>
        </is>
      </c>
      <c r="H1893" s="1" t="n">
        <v>34901</v>
      </c>
      <c r="I1893" s="1" t="n">
        <v>73982</v>
      </c>
      <c r="J1893" s="9" t="n">
        <v>0.472</v>
      </c>
      <c r="K1893" s="1" t="inlineStr">
        <is>
          <t>Yes</t>
        </is>
      </c>
      <c r="L1893" s="1" t="inlineStr">
        <is>
          <t>Yes</t>
        </is>
      </c>
      <c r="M1893" s="1" t="inlineStr">
        <is>
          <t>No</t>
        </is>
      </c>
      <c r="N1893" s="1" t="inlineStr">
        <is>
          <t>Algorithms</t>
        </is>
      </c>
      <c r="O18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94" ht="15.75" customHeight="1" s="12">
      <c r="A1894" s="1" t="n">
        <v>2059</v>
      </c>
      <c r="B1894" s="3">
        <f>HYPERLINK("https://leetcode.com/problems/minimum-operations-to-convert-number/", "Minimum Operations to Convert Number")</f>
        <v/>
      </c>
      <c r="C1894" s="1" t="n">
        <v>673</v>
      </c>
      <c r="D1894" s="1" t="n">
        <v>34</v>
      </c>
      <c r="E1894" s="4">
        <f>IF(INDEX(C:C, ROW())+INDEX(D:D, ROW())=0, 0, INDEX(C:C, ROW())/(INDEX(C:C, ROW())+INDEX(D:D, ROW())))</f>
        <v/>
      </c>
      <c r="F1894" s="1" t="inlineStr">
        <is>
          <t>Array, Breadth-First Search</t>
        </is>
      </c>
      <c r="G1894" s="1" t="inlineStr">
        <is>
          <t>Medium</t>
        </is>
      </c>
      <c r="H1894" s="1" t="n">
        <v>21168</v>
      </c>
      <c r="I1894" s="1" t="n">
        <v>41215</v>
      </c>
      <c r="J1894" s="9" t="n">
        <v>0.514</v>
      </c>
      <c r="K1894" s="1" t="inlineStr">
        <is>
          <t>Yes</t>
        </is>
      </c>
      <c r="L1894" s="1" t="inlineStr">
        <is>
          <t>No</t>
        </is>
      </c>
      <c r="M1894" s="1" t="inlineStr">
        <is>
          <t>No</t>
        </is>
      </c>
      <c r="N1894" s="1" t="inlineStr">
        <is>
          <t>Algorithms</t>
        </is>
      </c>
      <c r="O18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95" ht="15.75" customHeight="1" s="12">
      <c r="A1895" s="1" t="n">
        <v>2283</v>
      </c>
      <c r="B1895" s="3">
        <f>HYPERLINK("https://leetcode.com/problems/check-if-number-has-equal-digit-count-and-digit-value/", "Check if Number Has Equal Digit Count and Digit Value")</f>
        <v/>
      </c>
      <c r="C1895" s="1" t="n">
        <v>672</v>
      </c>
      <c r="D1895" s="1" t="n">
        <v>100</v>
      </c>
      <c r="E1895" s="4">
        <f>IF(INDEX(C:C, ROW())+INDEX(D:D, ROW())=0, 0, INDEX(C:C, ROW())/(INDEX(C:C, ROW())+INDEX(D:D, ROW())))</f>
        <v/>
      </c>
      <c r="F1895" s="1" t="inlineStr">
        <is>
          <t>Hash Table, String, Counting</t>
        </is>
      </c>
      <c r="G1895" s="1" t="inlineStr">
        <is>
          <t>Easy</t>
        </is>
      </c>
      <c r="H1895" s="1" t="n">
        <v>81778</v>
      </c>
      <c r="I1895" s="1" t="n">
        <v>112026</v>
      </c>
      <c r="J1895" s="9" t="n">
        <v>0.73</v>
      </c>
      <c r="K1895" s="1" t="inlineStr">
        <is>
          <t>Yes</t>
        </is>
      </c>
      <c r="L1895" s="1" t="inlineStr">
        <is>
          <t>No</t>
        </is>
      </c>
      <c r="M1895" s="1" t="inlineStr">
        <is>
          <t>No</t>
        </is>
      </c>
      <c r="N1895" s="1" t="inlineStr">
        <is>
          <t>Algorithms</t>
        </is>
      </c>
      <c r="O18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96" ht="15.75" customHeight="1" s="12">
      <c r="A1896" s="1" t="n">
        <v>2611</v>
      </c>
      <c r="B1896" s="3">
        <f>HYPERLINK("https://leetcode.com/problems/mice-and-cheese/", "Mice and Cheese")</f>
        <v/>
      </c>
      <c r="C1896" s="1" t="n">
        <v>672</v>
      </c>
      <c r="D1896" s="1" t="n">
        <v>73</v>
      </c>
      <c r="E1896" s="4">
        <f>IF(INDEX(C:C, ROW())+INDEX(D:D, ROW())=0, 0, INDEX(C:C, ROW())/(INDEX(C:C, ROW())+INDEX(D:D, ROW())))</f>
        <v/>
      </c>
      <c r="F1896" s="1" t="inlineStr">
        <is>
          <t>Array, Greedy, Sorting, Heap (Priority Queue)</t>
        </is>
      </c>
      <c r="G1896" s="1" t="inlineStr">
        <is>
          <t>Medium</t>
        </is>
      </c>
      <c r="H1896" s="1" t="n">
        <v>36791</v>
      </c>
      <c r="I1896" s="1" t="n">
        <v>76492</v>
      </c>
      <c r="J1896" s="9" t="n">
        <v>0.481</v>
      </c>
      <c r="K1896" s="1" t="inlineStr">
        <is>
          <t>Yes</t>
        </is>
      </c>
      <c r="L1896" s="1" t="inlineStr">
        <is>
          <t>No</t>
        </is>
      </c>
      <c r="M1896" s="1" t="inlineStr">
        <is>
          <t>No</t>
        </is>
      </c>
      <c r="N1896" s="1" t="inlineStr">
        <is>
          <t>Algorithms</t>
        </is>
      </c>
      <c r="O18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97" ht="15.75" customHeight="1" s="12">
      <c r="A1897" s="1" t="n">
        <v>2208</v>
      </c>
      <c r="B1897" s="3">
        <f>HYPERLINK("https://leetcode.com/problems/minimum-operations-to-halve-array-sum/", "Minimum Operations to Halve Array Sum")</f>
        <v/>
      </c>
      <c r="C1897" s="1" t="n">
        <v>670</v>
      </c>
      <c r="D1897" s="1" t="n">
        <v>31</v>
      </c>
      <c r="E1897" s="4">
        <f>IF(INDEX(C:C, ROW())+INDEX(D:D, ROW())=0, 0, INDEX(C:C, ROW())/(INDEX(C:C, ROW())+INDEX(D:D, ROW())))</f>
        <v/>
      </c>
      <c r="F1897" s="1" t="inlineStr">
        <is>
          <t>Array, Greedy, Heap (Priority Queue)</t>
        </is>
      </c>
      <c r="G1897" s="1" t="inlineStr">
        <is>
          <t>Medium</t>
        </is>
      </c>
      <c r="H1897" s="1" t="n">
        <v>51596</v>
      </c>
      <c r="I1897" s="1" t="n">
        <v>103546</v>
      </c>
      <c r="J1897" s="9" t="n">
        <v>0.498</v>
      </c>
      <c r="K1897" s="1" t="inlineStr">
        <is>
          <t>Yes</t>
        </is>
      </c>
      <c r="L1897" s="1" t="inlineStr">
        <is>
          <t>No</t>
        </is>
      </c>
      <c r="M1897" s="1" t="inlineStr">
        <is>
          <t>No</t>
        </is>
      </c>
      <c r="N1897" s="1" t="inlineStr">
        <is>
          <t>Algorithms</t>
        </is>
      </c>
      <c r="O18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98" ht="15.75" customHeight="1" s="12">
      <c r="A1898" s="1" t="n">
        <v>2420</v>
      </c>
      <c r="B1898" s="3">
        <f>HYPERLINK("https://leetcode.com/problems/find-all-good-indices/", "Find All Good Indices")</f>
        <v/>
      </c>
      <c r="C1898" s="1" t="n">
        <v>670</v>
      </c>
      <c r="D1898" s="1" t="n">
        <v>39</v>
      </c>
      <c r="E1898" s="4">
        <f>IF(INDEX(C:C, ROW())+INDEX(D:D, ROW())=0, 0, INDEX(C:C, ROW())/(INDEX(C:C, ROW())+INDEX(D:D, ROW())))</f>
        <v/>
      </c>
      <c r="F1898" s="1" t="inlineStr">
        <is>
          <t>Array, Dynamic Programming, Prefix Sum</t>
        </is>
      </c>
      <c r="G1898" s="1" t="inlineStr">
        <is>
          <t>Medium</t>
        </is>
      </c>
      <c r="H1898" s="1" t="n">
        <v>31200</v>
      </c>
      <c r="I1898" s="1" t="n">
        <v>76867</v>
      </c>
      <c r="J1898" s="9" t="n">
        <v>0.406</v>
      </c>
      <c r="K1898" s="1" t="inlineStr">
        <is>
          <t>Yes</t>
        </is>
      </c>
      <c r="L1898" s="1" t="inlineStr">
        <is>
          <t>No</t>
        </is>
      </c>
      <c r="M1898" s="1" t="inlineStr">
        <is>
          <t>No</t>
        </is>
      </c>
      <c r="N1898" s="1" t="inlineStr">
        <is>
          <t>Algorithms</t>
        </is>
      </c>
      <c r="O18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899" ht="15.75" customHeight="1" s="12">
      <c r="A1899" s="1" t="n">
        <v>2427</v>
      </c>
      <c r="B1899" s="3">
        <f>HYPERLINK("https://leetcode.com/problems/number-of-common-factors/", "Number of Common Factors")</f>
        <v/>
      </c>
      <c r="C1899" s="1" t="n">
        <v>670</v>
      </c>
      <c r="D1899" s="1" t="n">
        <v>13</v>
      </c>
      <c r="E1899" s="4">
        <f>IF(INDEX(C:C, ROW())+INDEX(D:D, ROW())=0, 0, INDEX(C:C, ROW())/(INDEX(C:C, ROW())+INDEX(D:D, ROW())))</f>
        <v/>
      </c>
      <c r="F1899" s="1" t="inlineStr">
        <is>
          <t>Math, Enumeration, Number Theory</t>
        </is>
      </c>
      <c r="G1899" s="1" t="inlineStr">
        <is>
          <t>Easy</t>
        </is>
      </c>
      <c r="H1899" s="1" t="n">
        <v>148344</v>
      </c>
      <c r="I1899" s="1" t="n">
        <v>185836</v>
      </c>
      <c r="J1899" s="9" t="n">
        <v>0.798</v>
      </c>
      <c r="K1899" s="1" t="inlineStr">
        <is>
          <t>Yes</t>
        </is>
      </c>
      <c r="L1899" s="1" t="inlineStr">
        <is>
          <t>No</t>
        </is>
      </c>
      <c r="M1899" s="1" t="inlineStr">
        <is>
          <t>No</t>
        </is>
      </c>
      <c r="N1899" s="1" t="inlineStr">
        <is>
          <t>Algorithms</t>
        </is>
      </c>
      <c r="O18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00" ht="15.75" customHeight="1" s="12">
      <c r="A1900" s="1" t="n">
        <v>1606</v>
      </c>
      <c r="B1900" s="3">
        <f>HYPERLINK("https://leetcode.com/problems/find-servers-that-handled-most-number-of-requests/", "Find Servers That Handled Most Number of Requests")</f>
        <v/>
      </c>
      <c r="C1900" s="1" t="n">
        <v>669</v>
      </c>
      <c r="D1900" s="1" t="n">
        <v>29</v>
      </c>
      <c r="E1900" s="4">
        <f>IF(INDEX(C:C, ROW())+INDEX(D:D, ROW())=0, 0, INDEX(C:C, ROW())/(INDEX(C:C, ROW())+INDEX(D:D, ROW())))</f>
        <v/>
      </c>
      <c r="F1900" s="1" t="inlineStr">
        <is>
          <t>Array, Heap (Priority Queue), Simulation, Ordered Set</t>
        </is>
      </c>
      <c r="G1900" s="1" t="inlineStr">
        <is>
          <t>Hard</t>
        </is>
      </c>
      <c r="H1900" s="1" t="n">
        <v>27597</v>
      </c>
      <c r="I1900" s="1" t="n">
        <v>61087</v>
      </c>
      <c r="J1900" s="9" t="n">
        <v>0.452</v>
      </c>
      <c r="K1900" s="1" t="inlineStr">
        <is>
          <t>Yes</t>
        </is>
      </c>
      <c r="L1900" s="1" t="inlineStr">
        <is>
          <t>Yes</t>
        </is>
      </c>
      <c r="M1900" s="1" t="inlineStr">
        <is>
          <t>No</t>
        </is>
      </c>
      <c r="N1900" s="1" t="inlineStr">
        <is>
          <t>Algorithms</t>
        </is>
      </c>
      <c r="O19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01" ht="15.75" customHeight="1" s="12">
      <c r="A1901" s="1" t="n">
        <v>1893</v>
      </c>
      <c r="B1901" s="3">
        <f>HYPERLINK("https://leetcode.com/problems/check-if-all-the-integers-in-a-range-are-covered/", "Check if All the Integers in a Range Are Covered")</f>
        <v/>
      </c>
      <c r="C1901" s="1" t="n">
        <v>669</v>
      </c>
      <c r="D1901" s="1" t="n">
        <v>127</v>
      </c>
      <c r="E1901" s="4">
        <f>IF(INDEX(C:C, ROW())+INDEX(D:D, ROW())=0, 0, INDEX(C:C, ROW())/(INDEX(C:C, ROW())+INDEX(D:D, ROW())))</f>
        <v/>
      </c>
      <c r="F1901" s="1" t="inlineStr">
        <is>
          <t>Array, Hash Table, Prefix Sum</t>
        </is>
      </c>
      <c r="G1901" s="1" t="inlineStr">
        <is>
          <t>Easy</t>
        </is>
      </c>
      <c r="H1901" s="1" t="n">
        <v>64284</v>
      </c>
      <c r="I1901" s="1" t="n">
        <v>126549</v>
      </c>
      <c r="J1901" s="9" t="n">
        <v>0.508</v>
      </c>
      <c r="K1901" s="1" t="inlineStr">
        <is>
          <t>Yes</t>
        </is>
      </c>
      <c r="L1901" s="1" t="inlineStr">
        <is>
          <t>No</t>
        </is>
      </c>
      <c r="M1901" s="1" t="inlineStr">
        <is>
          <t>No</t>
        </is>
      </c>
      <c r="N1901" s="1" t="inlineStr">
        <is>
          <t>Algorithms</t>
        </is>
      </c>
      <c r="O19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02" ht="15.75" customHeight="1" s="12">
      <c r="A1902" s="1" t="n">
        <v>2144</v>
      </c>
      <c r="B1902" s="3">
        <f>HYPERLINK("https://leetcode.com/problems/minimum-cost-of-buying-candies-with-discount/", "Minimum Cost of Buying Candies With Discount")</f>
        <v/>
      </c>
      <c r="C1902" s="1" t="n">
        <v>669</v>
      </c>
      <c r="D1902" s="1" t="n">
        <v>25</v>
      </c>
      <c r="E1902" s="4">
        <f>IF(INDEX(C:C, ROW())+INDEX(D:D, ROW())=0, 0, INDEX(C:C, ROW())/(INDEX(C:C, ROW())+INDEX(D:D, ROW())))</f>
        <v/>
      </c>
      <c r="F1902" s="1" t="inlineStr">
        <is>
          <t>Array, Greedy, Sorting</t>
        </is>
      </c>
      <c r="G1902" s="1" t="inlineStr">
        <is>
          <t>Easy</t>
        </is>
      </c>
      <c r="H1902" s="1" t="n">
        <v>74924</v>
      </c>
      <c r="I1902" s="1" t="n">
        <v>119531</v>
      </c>
      <c r="J1902" s="9" t="n">
        <v>0.627</v>
      </c>
      <c r="K1902" s="1" t="inlineStr">
        <is>
          <t>Yes</t>
        </is>
      </c>
      <c r="L1902" s="1" t="inlineStr">
        <is>
          <t>No</t>
        </is>
      </c>
      <c r="M1902" s="1" t="inlineStr">
        <is>
          <t>No</t>
        </is>
      </c>
      <c r="N1902" s="1" t="inlineStr">
        <is>
          <t>Algorithms</t>
        </is>
      </c>
      <c r="O19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03" ht="15.75" customHeight="1" s="12">
      <c r="A1903" s="1" t="n">
        <v>3381</v>
      </c>
      <c r="B1903" s="3">
        <f>HYPERLINK("https://leetcode.com/problems/maximum-subarray-sum-with-length-divisible-by-k/", "Maximum Subarray Sum With Length Divisible by K")</f>
        <v/>
      </c>
      <c r="C1903" s="1" t="n">
        <v>668</v>
      </c>
      <c r="D1903" s="1" t="n">
        <v>38</v>
      </c>
      <c r="E1903" s="4">
        <f>IF(INDEX(C:C, ROW())+INDEX(D:D, ROW())=0, 0, INDEX(C:C, ROW())/(INDEX(C:C, ROW())+INDEX(D:D, ROW())))</f>
        <v/>
      </c>
      <c r="F1903" s="1" t="inlineStr">
        <is>
          <t>Array, Hash Table, Prefix Sum</t>
        </is>
      </c>
      <c r="G1903" s="1" t="inlineStr">
        <is>
          <t>Medium</t>
        </is>
      </c>
      <c r="H1903" s="1" t="n">
        <v>84123</v>
      </c>
      <c r="I1903" s="1" t="n">
        <v>169494</v>
      </c>
      <c r="J1903" s="9" t="n">
        <v>0.496</v>
      </c>
      <c r="K1903" s="1" t="inlineStr">
        <is>
          <t>Yes</t>
        </is>
      </c>
      <c r="L1903" s="1" t="inlineStr">
        <is>
          <t>Yes</t>
        </is>
      </c>
      <c r="M1903" s="1" t="inlineStr">
        <is>
          <t>No</t>
        </is>
      </c>
      <c r="N1903" s="1" t="inlineStr">
        <is>
          <t>Algorithms</t>
        </is>
      </c>
      <c r="O19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04" ht="15.75" customHeight="1" s="12">
      <c r="A1904" s="1" t="n">
        <v>2333</v>
      </c>
      <c r="B1904" s="3">
        <f>HYPERLINK("https://leetcode.com/problems/minimum-sum-of-squared-difference/", "Minimum Sum of Squared Difference")</f>
        <v/>
      </c>
      <c r="C1904" s="1" t="n">
        <v>667</v>
      </c>
      <c r="D1904" s="1" t="n">
        <v>51</v>
      </c>
      <c r="E1904" s="4">
        <f>IF(INDEX(C:C, ROW())+INDEX(D:D, ROW())=0, 0, INDEX(C:C, ROW())/(INDEX(C:C, ROW())+INDEX(D:D, ROW())))</f>
        <v/>
      </c>
      <c r="F1904" s="1" t="inlineStr">
        <is>
          <t>Array, Binary Search, Greedy, Sorting, Heap (Priority Queue)</t>
        </is>
      </c>
      <c r="G1904" s="1" t="inlineStr">
        <is>
          <t>Medium</t>
        </is>
      </c>
      <c r="H1904" s="1" t="n">
        <v>18464</v>
      </c>
      <c r="I1904" s="1" t="n">
        <v>69274</v>
      </c>
      <c r="J1904" s="9" t="n">
        <v>0.267</v>
      </c>
      <c r="K1904" s="1" t="inlineStr">
        <is>
          <t>Yes</t>
        </is>
      </c>
      <c r="L1904" s="1" t="inlineStr">
        <is>
          <t>No</t>
        </is>
      </c>
      <c r="M1904" s="1" t="inlineStr">
        <is>
          <t>No</t>
        </is>
      </c>
      <c r="N1904" s="1" t="inlineStr">
        <is>
          <t>Algorithms</t>
        </is>
      </c>
      <c r="O19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05" ht="15.75" customHeight="1" s="12">
      <c r="A1905" s="1" t="n">
        <v>2350</v>
      </c>
      <c r="B1905" s="3">
        <f>HYPERLINK("https://leetcode.com/problems/shortest-impossible-sequence-of-rolls/", "Shortest Impossible Sequence of Rolls")</f>
        <v/>
      </c>
      <c r="C1905" s="1" t="n">
        <v>667</v>
      </c>
      <c r="D1905" s="1" t="n">
        <v>51</v>
      </c>
      <c r="E1905" s="4">
        <f>IF(INDEX(C:C, ROW())+INDEX(D:D, ROW())=0, 0, INDEX(C:C, ROW())/(INDEX(C:C, ROW())+INDEX(D:D, ROW())))</f>
        <v/>
      </c>
      <c r="F1905" s="1" t="inlineStr">
        <is>
          <t>Array, Hash Table, Greedy</t>
        </is>
      </c>
      <c r="G1905" s="1" t="inlineStr">
        <is>
          <t>Hard</t>
        </is>
      </c>
      <c r="H1905" s="1" t="n">
        <v>18646</v>
      </c>
      <c r="I1905" s="1" t="n">
        <v>26939</v>
      </c>
      <c r="J1905" s="9" t="n">
        <v>0.6919999999999999</v>
      </c>
      <c r="K1905" s="1" t="inlineStr">
        <is>
          <t>Yes</t>
        </is>
      </c>
      <c r="L1905" s="1" t="inlineStr">
        <is>
          <t>No</t>
        </is>
      </c>
      <c r="M1905" s="1" t="inlineStr">
        <is>
          <t>No</t>
        </is>
      </c>
      <c r="N1905" s="1" t="inlineStr">
        <is>
          <t>Algorithms</t>
        </is>
      </c>
      <c r="O19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06" ht="15.75" customHeight="1" s="12">
      <c r="A1906" s="1" t="n">
        <v>1195</v>
      </c>
      <c r="B1906" s="3">
        <f>HYPERLINK("https://leetcode.com/problems/fizz-buzz-multithreaded/", "Fizz Buzz Multithreaded")</f>
        <v/>
      </c>
      <c r="C1906" s="1" t="n">
        <v>666</v>
      </c>
      <c r="D1906" s="1" t="n">
        <v>437</v>
      </c>
      <c r="E1906" s="4">
        <f>IF(INDEX(C:C, ROW())+INDEX(D:D, ROW())=0, 0, INDEX(C:C, ROW())/(INDEX(C:C, ROW())+INDEX(D:D, ROW())))</f>
        <v/>
      </c>
      <c r="F1906" s="1" t="inlineStr">
        <is>
          <t>Concurrency</t>
        </is>
      </c>
      <c r="G1906" s="1" t="inlineStr">
        <is>
          <t>Medium</t>
        </is>
      </c>
      <c r="H1906" s="1" t="n">
        <v>72248</v>
      </c>
      <c r="I1906" s="1" t="n">
        <v>96941</v>
      </c>
      <c r="J1906" s="9" t="n">
        <v>0.745</v>
      </c>
      <c r="K1906" s="1" t="inlineStr">
        <is>
          <t>Yes</t>
        </is>
      </c>
      <c r="L1906" s="1" t="inlineStr">
        <is>
          <t>No</t>
        </is>
      </c>
      <c r="M1906" s="1" t="inlineStr">
        <is>
          <t>No</t>
        </is>
      </c>
      <c r="N1906" s="1" t="inlineStr">
        <is>
          <t>Concurrency</t>
        </is>
      </c>
      <c r="O19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07" ht="15.75" customHeight="1" s="12">
      <c r="A1907" s="1" t="n">
        <v>1476</v>
      </c>
      <c r="B1907" s="3">
        <f>HYPERLINK("https://leetcode.com/problems/subrectangle-queries/", "Subrectangle Queries")</f>
        <v/>
      </c>
      <c r="C1907" s="1" t="n">
        <v>665</v>
      </c>
      <c r="D1907" s="1" t="n">
        <v>1460</v>
      </c>
      <c r="E1907" s="4">
        <f>IF(INDEX(C:C, ROW())+INDEX(D:D, ROW())=0, 0, INDEX(C:C, ROW())/(INDEX(C:C, ROW())+INDEX(D:D, ROW())))</f>
        <v/>
      </c>
      <c r="F1907" s="1" t="inlineStr">
        <is>
          <t>Array, Design, Matrix</t>
        </is>
      </c>
      <c r="G1907" s="1" t="inlineStr">
        <is>
          <t>Medium</t>
        </is>
      </c>
      <c r="H1907" s="1" t="n">
        <v>125685</v>
      </c>
      <c r="I1907" s="1" t="n">
        <v>145807</v>
      </c>
      <c r="J1907" s="9" t="n">
        <v>0.862</v>
      </c>
      <c r="K1907" s="1" t="inlineStr">
        <is>
          <t>Yes</t>
        </is>
      </c>
      <c r="L1907" s="1" t="inlineStr">
        <is>
          <t>No</t>
        </is>
      </c>
      <c r="M1907" s="1" t="inlineStr">
        <is>
          <t>No</t>
        </is>
      </c>
      <c r="N1907" s="1" t="inlineStr">
        <is>
          <t>Algorithms</t>
        </is>
      </c>
      <c r="O19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08" ht="15.75" customHeight="1" s="12">
      <c r="A1908" s="1" t="n">
        <v>2384</v>
      </c>
      <c r="B1908" s="3">
        <f>HYPERLINK("https://leetcode.com/problems/largest-palindromic-number/", "Largest Palindromic Number")</f>
        <v/>
      </c>
      <c r="C1908" s="1" t="n">
        <v>665</v>
      </c>
      <c r="D1908" s="1" t="n">
        <v>237</v>
      </c>
      <c r="E1908" s="4">
        <f>IF(INDEX(C:C, ROW())+INDEX(D:D, ROW())=0, 0, INDEX(C:C, ROW())/(INDEX(C:C, ROW())+INDEX(D:D, ROW())))</f>
        <v/>
      </c>
      <c r="F1908" s="1" t="inlineStr">
        <is>
          <t>Hash Table, String, Greedy, Counting</t>
        </is>
      </c>
      <c r="G1908" s="1" t="inlineStr">
        <is>
          <t>Medium</t>
        </is>
      </c>
      <c r="H1908" s="1" t="n">
        <v>52288</v>
      </c>
      <c r="I1908" s="1" t="n">
        <v>141400</v>
      </c>
      <c r="J1908" s="9" t="n">
        <v>0.37</v>
      </c>
      <c r="K1908" s="1" t="inlineStr">
        <is>
          <t>Yes</t>
        </is>
      </c>
      <c r="L1908" s="1" t="inlineStr">
        <is>
          <t>No</t>
        </is>
      </c>
      <c r="M1908" s="1" t="inlineStr">
        <is>
          <t>No</t>
        </is>
      </c>
      <c r="N1908" s="1" t="inlineStr">
        <is>
          <t>Algorithms</t>
        </is>
      </c>
      <c r="O19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09" ht="15.75" customHeight="1" s="12">
      <c r="A1909" s="1" t="n">
        <v>3254</v>
      </c>
      <c r="B1909" s="3">
        <f>HYPERLINK("https://leetcode.com/problems/find-the-power-of-k-size-subarrays-i/", "Find the Power of K-Size Subarrays I")</f>
        <v/>
      </c>
      <c r="C1909" s="1" t="n">
        <v>663</v>
      </c>
      <c r="D1909" s="1" t="n">
        <v>56</v>
      </c>
      <c r="E1909" s="4">
        <f>IF(INDEX(C:C, ROW())+INDEX(D:D, ROW())=0, 0, INDEX(C:C, ROW())/(INDEX(C:C, ROW())+INDEX(D:D, ROW())))</f>
        <v/>
      </c>
      <c r="F1909" s="1" t="inlineStr">
        <is>
          <t>Array, Sliding Window</t>
        </is>
      </c>
      <c r="G1909" s="1" t="inlineStr">
        <is>
          <t>Medium</t>
        </is>
      </c>
      <c r="H1909" s="1" t="n">
        <v>151231</v>
      </c>
      <c r="I1909" s="1" t="n">
        <v>243070</v>
      </c>
      <c r="J1909" s="9" t="n">
        <v>0.622</v>
      </c>
      <c r="K1909" s="1" t="inlineStr">
        <is>
          <t>Yes</t>
        </is>
      </c>
      <c r="L1909" s="1" t="inlineStr">
        <is>
          <t>Yes</t>
        </is>
      </c>
      <c r="M1909" s="1" t="inlineStr">
        <is>
          <t>No</t>
        </is>
      </c>
      <c r="N1909" s="1" t="inlineStr">
        <is>
          <t>Algorithms</t>
        </is>
      </c>
      <c r="O19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10" ht="15.75" customHeight="1" s="12">
      <c r="A1910" s="1" t="n">
        <v>2673</v>
      </c>
      <c r="B1910" s="3">
        <f>HYPERLINK("https://leetcode.com/problems/make-costs-of-paths-equal-in-a-binary-tree/", "Make Costs of Paths Equal in a Binary Tree")</f>
        <v/>
      </c>
      <c r="C1910" s="1" t="n">
        <v>662</v>
      </c>
      <c r="D1910" s="1" t="n">
        <v>16</v>
      </c>
      <c r="E1910" s="4">
        <f>IF(INDEX(C:C, ROW())+INDEX(D:D, ROW())=0, 0, INDEX(C:C, ROW())/(INDEX(C:C, ROW())+INDEX(D:D, ROW())))</f>
        <v/>
      </c>
      <c r="F1910" s="1" t="inlineStr">
        <is>
          <t>Array, Dynamic Programming, Greedy, Tree, Binary Tree</t>
        </is>
      </c>
      <c r="G1910" s="1" t="inlineStr">
        <is>
          <t>Medium</t>
        </is>
      </c>
      <c r="H1910" s="1" t="n">
        <v>23294</v>
      </c>
      <c r="I1910" s="1" t="n">
        <v>40108</v>
      </c>
      <c r="J1910" s="9" t="n">
        <v>0.581</v>
      </c>
      <c r="K1910" s="1" t="inlineStr">
        <is>
          <t>Yes</t>
        </is>
      </c>
      <c r="L1910" s="1" t="inlineStr">
        <is>
          <t>No</t>
        </is>
      </c>
      <c r="M1910" s="1" t="inlineStr">
        <is>
          <t>No</t>
        </is>
      </c>
      <c r="N1910" s="1" t="inlineStr">
        <is>
          <t>Algorithms</t>
        </is>
      </c>
      <c r="O19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11" ht="15.75" customHeight="1" s="12">
      <c r="A1911" s="1" t="n">
        <v>3191</v>
      </c>
      <c r="B1911" s="3">
        <f>HYPERLINK("https://leetcode.com/problems/minimum-operations-to-make-binary-array-elements-equal-to-one-i/", "Minimum Operations to Make Binary Array Elements Equal to One I")</f>
        <v/>
      </c>
      <c r="C1911" s="1" t="n">
        <v>662</v>
      </c>
      <c r="D1911" s="1" t="n">
        <v>35</v>
      </c>
      <c r="E1911" s="4">
        <f>IF(INDEX(C:C, ROW())+INDEX(D:D, ROW())=0, 0, INDEX(C:C, ROW())/(INDEX(C:C, ROW())+INDEX(D:D, ROW())))</f>
        <v/>
      </c>
      <c r="F1911" s="1" t="inlineStr">
        <is>
          <t>Array, Bit Manipulation, Queue, Sliding Window, Prefix Sum</t>
        </is>
      </c>
      <c r="G1911" s="1" t="inlineStr">
        <is>
          <t>Medium</t>
        </is>
      </c>
      <c r="H1911" s="1" t="n">
        <v>206166</v>
      </c>
      <c r="I1911" s="1" t="n">
        <v>256317</v>
      </c>
      <c r="J1911" s="9" t="n">
        <v>0.804</v>
      </c>
      <c r="K1911" s="1" t="inlineStr">
        <is>
          <t>Yes</t>
        </is>
      </c>
      <c r="L1911" s="1" t="inlineStr">
        <is>
          <t>Yes</t>
        </is>
      </c>
      <c r="M1911" s="1" t="inlineStr">
        <is>
          <t>No</t>
        </is>
      </c>
      <c r="N1911" s="1" t="inlineStr">
        <is>
          <t>Algorithms</t>
        </is>
      </c>
      <c r="O19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12" ht="15.75" customHeight="1" s="12">
      <c r="A1912" s="1" t="n">
        <v>1087</v>
      </c>
      <c r="B1912" s="3">
        <f>HYPERLINK("https://leetcode.com/problems/brace-expansion/", "Brace Expansion")</f>
        <v/>
      </c>
      <c r="C1912" s="1" t="n">
        <v>661</v>
      </c>
      <c r="D1912" s="1" t="n">
        <v>57</v>
      </c>
      <c r="E1912" s="4">
        <f>IF(INDEX(C:C, ROW())+INDEX(D:D, ROW())=0, 0, INDEX(C:C, ROW())/(INDEX(C:C, ROW())+INDEX(D:D, ROW())))</f>
        <v/>
      </c>
      <c r="F1912" s="1" t="inlineStr">
        <is>
          <t>String, Backtracking, Stack, Breadth-First Search, Sorting</t>
        </is>
      </c>
      <c r="G1912" s="1" t="inlineStr">
        <is>
          <t>Medium</t>
        </is>
      </c>
      <c r="H1912" s="1" t="n">
        <v>63682</v>
      </c>
      <c r="I1912" s="1" t="n">
        <v>95445</v>
      </c>
      <c r="J1912" s="9" t="n">
        <v>0.667</v>
      </c>
      <c r="K1912" s="1" t="inlineStr">
        <is>
          <t>No</t>
        </is>
      </c>
      <c r="L1912" s="1" t="inlineStr">
        <is>
          <t>Yes</t>
        </is>
      </c>
      <c r="M1912" s="1" t="inlineStr">
        <is>
          <t>No</t>
        </is>
      </c>
      <c r="N1912" s="1" t="inlineStr">
        <is>
          <t>Algorithms</t>
        </is>
      </c>
      <c r="O19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13" ht="15.75" customHeight="1" s="12">
      <c r="A1913" s="1" t="n">
        <v>806</v>
      </c>
      <c r="B1913" s="3">
        <f>HYPERLINK("https://leetcode.com/problems/number-of-lines-to-write-string/", "Number of Lines To Write String")</f>
        <v/>
      </c>
      <c r="C1913" s="1" t="n">
        <v>660</v>
      </c>
      <c r="D1913" s="1" t="n">
        <v>1353</v>
      </c>
      <c r="E1913" s="4">
        <f>IF(INDEX(C:C, ROW())+INDEX(D:D, ROW())=0, 0, INDEX(C:C, ROW())/(INDEX(C:C, ROW())+INDEX(D:D, ROW())))</f>
        <v/>
      </c>
      <c r="F1913" s="1" t="inlineStr">
        <is>
          <t>Array, String</t>
        </is>
      </c>
      <c r="G1913" s="1" t="inlineStr">
        <is>
          <t>Easy</t>
        </is>
      </c>
      <c r="H1913" s="1" t="n">
        <v>109221</v>
      </c>
      <c r="I1913" s="1" t="n">
        <v>151878</v>
      </c>
      <c r="J1913" s="9" t="n">
        <v>0.719</v>
      </c>
      <c r="K1913" s="1" t="inlineStr">
        <is>
          <t>Yes</t>
        </is>
      </c>
      <c r="L1913" s="1" t="inlineStr">
        <is>
          <t>Yes</t>
        </is>
      </c>
      <c r="M1913" s="1" t="inlineStr">
        <is>
          <t>No</t>
        </is>
      </c>
      <c r="N1913" s="1" t="inlineStr">
        <is>
          <t>Algorithms</t>
        </is>
      </c>
      <c r="O19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14" ht="15.75" customHeight="1" s="12">
      <c r="A1914" s="1" t="n">
        <v>1805</v>
      </c>
      <c r="B1914" s="3">
        <f>HYPERLINK("https://leetcode.com/problems/number-of-different-integers-in-a-string/", "Number of Different Integers in a String")</f>
        <v/>
      </c>
      <c r="C1914" s="1" t="n">
        <v>660</v>
      </c>
      <c r="D1914" s="1" t="n">
        <v>106</v>
      </c>
      <c r="E1914" s="4">
        <f>IF(INDEX(C:C, ROW())+INDEX(D:D, ROW())=0, 0, INDEX(C:C, ROW())/(INDEX(C:C, ROW())+INDEX(D:D, ROW())))</f>
        <v/>
      </c>
      <c r="F1914" s="1" t="inlineStr">
        <is>
          <t>Hash Table, String</t>
        </is>
      </c>
      <c r="G1914" s="1" t="inlineStr">
        <is>
          <t>Easy</t>
        </is>
      </c>
      <c r="H1914" s="1" t="n">
        <v>62329</v>
      </c>
      <c r="I1914" s="1" t="n">
        <v>156174</v>
      </c>
      <c r="J1914" s="9" t="n">
        <v>0.399</v>
      </c>
      <c r="K1914" s="1" t="inlineStr">
        <is>
          <t>Yes</t>
        </is>
      </c>
      <c r="L1914" s="1" t="inlineStr">
        <is>
          <t>No</t>
        </is>
      </c>
      <c r="M1914" s="1" t="inlineStr">
        <is>
          <t>No</t>
        </is>
      </c>
      <c r="N1914" s="1" t="inlineStr">
        <is>
          <t>Algorithms</t>
        </is>
      </c>
      <c r="O19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15" ht="15.75" customHeight="1" s="12">
      <c r="A1915" s="1" t="n">
        <v>2217</v>
      </c>
      <c r="B1915" s="3">
        <f>HYPERLINK("https://leetcode.com/problems/find-palindrome-with-fixed-length/", "Find Palindrome With Fixed Length")</f>
        <v/>
      </c>
      <c r="C1915" s="1" t="n">
        <v>660</v>
      </c>
      <c r="D1915" s="1" t="n">
        <v>296</v>
      </c>
      <c r="E1915" s="4">
        <f>IF(INDEX(C:C, ROW())+INDEX(D:D, ROW())=0, 0, INDEX(C:C, ROW())/(INDEX(C:C, ROW())+INDEX(D:D, ROW())))</f>
        <v/>
      </c>
      <c r="F1915" s="1" t="inlineStr">
        <is>
          <t>Array, Math</t>
        </is>
      </c>
      <c r="G1915" s="1" t="inlineStr">
        <is>
          <t>Medium</t>
        </is>
      </c>
      <c r="H1915" s="1" t="n">
        <v>27031</v>
      </c>
      <c r="I1915" s="1" t="n">
        <v>71518</v>
      </c>
      <c r="J1915" s="9" t="n">
        <v>0.378</v>
      </c>
      <c r="K1915" s="1" t="inlineStr">
        <is>
          <t>Yes</t>
        </is>
      </c>
      <c r="L1915" s="1" t="inlineStr">
        <is>
          <t>No</t>
        </is>
      </c>
      <c r="M1915" s="1" t="inlineStr">
        <is>
          <t>No</t>
        </is>
      </c>
      <c r="N1915" s="1" t="inlineStr">
        <is>
          <t>Algorithms</t>
        </is>
      </c>
      <c r="O19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16" ht="15.75" customHeight="1" s="12">
      <c r="A1916" s="1" t="n">
        <v>2894</v>
      </c>
      <c r="B1916" s="3">
        <f>HYPERLINK("https://leetcode.com/problems/divisible-and-non-divisible-sums-difference/", "Divisible and Non-divisible Sums Difference")</f>
        <v/>
      </c>
      <c r="C1916" s="1" t="n">
        <v>660</v>
      </c>
      <c r="D1916" s="1" t="n">
        <v>36</v>
      </c>
      <c r="E1916" s="4">
        <f>IF(INDEX(C:C, ROW())+INDEX(D:D, ROW())=0, 0, INDEX(C:C, ROW())/(INDEX(C:C, ROW())+INDEX(D:D, ROW())))</f>
        <v/>
      </c>
      <c r="F1916" s="1" t="inlineStr">
        <is>
          <t>Math</t>
        </is>
      </c>
      <c r="G1916" s="1" t="inlineStr">
        <is>
          <t>Easy</t>
        </is>
      </c>
      <c r="H1916" s="1" t="n">
        <v>309118</v>
      </c>
      <c r="I1916" s="1" t="n">
        <v>339585</v>
      </c>
      <c r="J1916" s="9" t="n">
        <v>0.91</v>
      </c>
      <c r="K1916" s="1" t="inlineStr">
        <is>
          <t>Yes</t>
        </is>
      </c>
      <c r="L1916" s="1" t="inlineStr">
        <is>
          <t>Yes</t>
        </is>
      </c>
      <c r="M1916" s="1" t="inlineStr">
        <is>
          <t>No</t>
        </is>
      </c>
      <c r="N1916" s="1" t="inlineStr">
        <is>
          <t>Algorithms</t>
        </is>
      </c>
      <c r="O19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17" ht="15.75" customHeight="1" s="12">
      <c r="A1917" s="1" t="n">
        <v>603</v>
      </c>
      <c r="B1917" s="3">
        <f>HYPERLINK("https://leetcode.com/problems/consecutive-available-seats/", "Consecutive Available Seats")</f>
        <v/>
      </c>
      <c r="C1917" s="1" t="n">
        <v>659</v>
      </c>
      <c r="D1917" s="1" t="n">
        <v>80</v>
      </c>
      <c r="E1917" s="4">
        <f>IF(INDEX(C:C, ROW())+INDEX(D:D, ROW())=0, 0, INDEX(C:C, ROW())/(INDEX(C:C, ROW())+INDEX(D:D, ROW())))</f>
        <v/>
      </c>
      <c r="F1917" s="1" t="inlineStr">
        <is>
          <t>Database</t>
        </is>
      </c>
      <c r="G1917" s="1" t="inlineStr">
        <is>
          <t>Easy</t>
        </is>
      </c>
      <c r="H1917" s="1" t="n">
        <v>101367</v>
      </c>
      <c r="I1917" s="1" t="n">
        <v>155707</v>
      </c>
      <c r="J1917" s="9" t="n">
        <v>0.651</v>
      </c>
      <c r="K1917" s="1" t="inlineStr">
        <is>
          <t>No</t>
        </is>
      </c>
      <c r="L1917" s="1" t="inlineStr">
        <is>
          <t>Yes</t>
        </is>
      </c>
      <c r="M1917" s="1" t="inlineStr">
        <is>
          <t>No</t>
        </is>
      </c>
      <c r="N1917" s="1" t="inlineStr">
        <is>
          <t>Database</t>
        </is>
      </c>
      <c r="O19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18" ht="15.75" customHeight="1" s="12">
      <c r="A1918" s="1" t="n">
        <v>2076</v>
      </c>
      <c r="B1918" s="3">
        <f>HYPERLINK("https://leetcode.com/problems/process-restricted-friend-requests/", "Process Restricted Friend Requests")</f>
        <v/>
      </c>
      <c r="C1918" s="1" t="n">
        <v>659</v>
      </c>
      <c r="D1918" s="1" t="n">
        <v>16</v>
      </c>
      <c r="E1918" s="4">
        <f>IF(INDEX(C:C, ROW())+INDEX(D:D, ROW())=0, 0, INDEX(C:C, ROW())/(INDEX(C:C, ROW())+INDEX(D:D, ROW())))</f>
        <v/>
      </c>
      <c r="F1918" s="1" t="inlineStr">
        <is>
          <t>Union-Find, Graph Theory</t>
        </is>
      </c>
      <c r="G1918" s="1" t="inlineStr">
        <is>
          <t>Hard</t>
        </is>
      </c>
      <c r="H1918" s="1" t="n">
        <v>23123</v>
      </c>
      <c r="I1918" s="1" t="n">
        <v>39303</v>
      </c>
      <c r="J1918" s="9" t="n">
        <v>0.588</v>
      </c>
      <c r="K1918" s="1" t="inlineStr">
        <is>
          <t>Yes</t>
        </is>
      </c>
      <c r="L1918" s="1" t="inlineStr">
        <is>
          <t>No</t>
        </is>
      </c>
      <c r="M1918" s="1" t="inlineStr">
        <is>
          <t>No</t>
        </is>
      </c>
      <c r="N1918" s="1" t="inlineStr">
        <is>
          <t>Algorithms</t>
        </is>
      </c>
      <c r="O19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19" ht="15.75" customHeight="1" s="12">
      <c r="A1919" s="1" t="n">
        <v>753</v>
      </c>
      <c r="B1919" s="3">
        <f>HYPERLINK("https://leetcode.com/problems/cracking-the-safe/", "Cracking the Safe")</f>
        <v/>
      </c>
      <c r="C1919" s="1" t="n">
        <v>658</v>
      </c>
      <c r="D1919" s="1" t="n">
        <v>129</v>
      </c>
      <c r="E1919" s="4">
        <f>IF(INDEX(C:C, ROW())+INDEX(D:D, ROW())=0, 0, INDEX(C:C, ROW())/(INDEX(C:C, ROW())+INDEX(D:D, ROW())))</f>
        <v/>
      </c>
      <c r="F1919" s="1" t="inlineStr">
        <is>
          <t>Depth-First Search, Graph Theory, Eulerian Circuit</t>
        </is>
      </c>
      <c r="G1919" s="1" t="inlineStr">
        <is>
          <t>Hard</t>
        </is>
      </c>
      <c r="H1919" s="1" t="n">
        <v>69757</v>
      </c>
      <c r="I1919" s="1" t="n">
        <v>119585</v>
      </c>
      <c r="J1919" s="9" t="n">
        <v>0.583</v>
      </c>
      <c r="K1919" s="1" t="inlineStr">
        <is>
          <t>Yes</t>
        </is>
      </c>
      <c r="L1919" s="1" t="inlineStr">
        <is>
          <t>Yes</t>
        </is>
      </c>
      <c r="M1919" s="1" t="inlineStr">
        <is>
          <t>No</t>
        </is>
      </c>
      <c r="N1919" s="1" t="inlineStr">
        <is>
          <t>Algorithms</t>
        </is>
      </c>
      <c r="O19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20" ht="15.75" customHeight="1" s="12">
      <c r="A1920" s="1" t="n">
        <v>1157</v>
      </c>
      <c r="B1920" s="3">
        <f>HYPERLINK("https://leetcode.com/problems/online-majority-element-in-subarray/", "Online Majority Element In Subarray")</f>
        <v/>
      </c>
      <c r="C1920" s="1" t="n">
        <v>658</v>
      </c>
      <c r="D1920" s="1" t="n">
        <v>65</v>
      </c>
      <c r="E1920" s="4">
        <f>IF(INDEX(C:C, ROW())+INDEX(D:D, ROW())=0, 0, INDEX(C:C, ROW())/(INDEX(C:C, ROW())+INDEX(D:D, ROW())))</f>
        <v/>
      </c>
      <c r="F1920" s="1" t="inlineStr">
        <is>
          <t>Array, Binary Search, Design, Binary Indexed Tree, Segment Tree</t>
        </is>
      </c>
      <c r="G1920" s="1" t="inlineStr">
        <is>
          <t>Hard</t>
        </is>
      </c>
      <c r="H1920" s="1" t="n">
        <v>20576</v>
      </c>
      <c r="I1920" s="1" t="n">
        <v>51488</v>
      </c>
      <c r="J1920" s="9" t="n">
        <v>0.4</v>
      </c>
      <c r="K1920" s="1" t="inlineStr">
        <is>
          <t>Yes</t>
        </is>
      </c>
      <c r="L1920" s="1" t="inlineStr">
        <is>
          <t>No</t>
        </is>
      </c>
      <c r="M1920" s="1" t="inlineStr">
        <is>
          <t>No</t>
        </is>
      </c>
      <c r="N1920" s="1" t="inlineStr">
        <is>
          <t>Algorithms</t>
        </is>
      </c>
      <c r="O19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21" ht="15.75" customHeight="1" s="12">
      <c r="A1921" s="1" t="n">
        <v>1227</v>
      </c>
      <c r="B1921" s="3">
        <f>HYPERLINK("https://leetcode.com/problems/airplane-seat-assignment-probability/", "Airplane Seat Assignment Probability")</f>
        <v/>
      </c>
      <c r="C1921" s="1" t="n">
        <v>658</v>
      </c>
      <c r="D1921" s="1" t="n">
        <v>987</v>
      </c>
      <c r="E1921" s="4">
        <f>IF(INDEX(C:C, ROW())+INDEX(D:D, ROW())=0, 0, INDEX(C:C, ROW())/(INDEX(C:C, ROW())+INDEX(D:D, ROW())))</f>
        <v/>
      </c>
      <c r="F1921" s="1" t="inlineStr">
        <is>
          <t>Math, Dynamic Programming, Brainteaser, Probability and Statistics</t>
        </is>
      </c>
      <c r="G1921" s="1" t="inlineStr">
        <is>
          <t>Medium</t>
        </is>
      </c>
      <c r="H1921" s="1" t="n">
        <v>54928</v>
      </c>
      <c r="I1921" s="1" t="n">
        <v>81815</v>
      </c>
      <c r="J1921" s="9" t="n">
        <v>0.671</v>
      </c>
      <c r="K1921" s="1" t="inlineStr">
        <is>
          <t>Yes</t>
        </is>
      </c>
      <c r="L1921" s="1" t="inlineStr">
        <is>
          <t>No</t>
        </is>
      </c>
      <c r="M1921" s="1" t="inlineStr">
        <is>
          <t>No</t>
        </is>
      </c>
      <c r="N1921" s="1" t="inlineStr">
        <is>
          <t>Algorithms</t>
        </is>
      </c>
      <c r="O19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22" ht="15.75" customHeight="1" s="12">
      <c r="A1922" s="1" t="n">
        <v>1968</v>
      </c>
      <c r="B1922" s="3">
        <f>HYPERLINK("https://leetcode.com/problems/array-with-elements-not-equal-to-average-of-neighbors/", "Array With Elements Not Equal to Average of Neighbors")</f>
        <v/>
      </c>
      <c r="C1922" s="1" t="n">
        <v>658</v>
      </c>
      <c r="D1922" s="1" t="n">
        <v>58</v>
      </c>
      <c r="E1922" s="4">
        <f>IF(INDEX(C:C, ROW())+INDEX(D:D, ROW())=0, 0, INDEX(C:C, ROW())/(INDEX(C:C, ROW())+INDEX(D:D, ROW())))</f>
        <v/>
      </c>
      <c r="F1922" s="1" t="inlineStr">
        <is>
          <t>Array, Greedy, Sorting</t>
        </is>
      </c>
      <c r="G1922" s="1" t="inlineStr">
        <is>
          <t>Medium</t>
        </is>
      </c>
      <c r="H1922" s="1" t="n">
        <v>48297</v>
      </c>
      <c r="I1922" s="1" t="n">
        <v>95596</v>
      </c>
      <c r="J1922" s="9" t="n">
        <v>0.505</v>
      </c>
      <c r="K1922" s="1" t="inlineStr">
        <is>
          <t>Yes</t>
        </is>
      </c>
      <c r="L1922" s="1" t="inlineStr">
        <is>
          <t>No</t>
        </is>
      </c>
      <c r="M1922" s="1" t="inlineStr">
        <is>
          <t>No</t>
        </is>
      </c>
      <c r="N1922" s="1" t="inlineStr">
        <is>
          <t>Algorithms</t>
        </is>
      </c>
      <c r="O19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23" ht="15.75" customHeight="1" s="12">
      <c r="A1923" s="1" t="n">
        <v>1163</v>
      </c>
      <c r="B1923" s="3">
        <f>HYPERLINK("https://leetcode.com/problems/last-substring-in-lexicographical-order/", "Last Substring in Lexicographical Order")</f>
        <v/>
      </c>
      <c r="C1923" s="1" t="n">
        <v>657</v>
      </c>
      <c r="D1923" s="1" t="n">
        <v>458</v>
      </c>
      <c r="E1923" s="4">
        <f>IF(INDEX(C:C, ROW())+INDEX(D:D, ROW())=0, 0, INDEX(C:C, ROW())/(INDEX(C:C, ROW())+INDEX(D:D, ROW())))</f>
        <v/>
      </c>
      <c r="F1923" s="1" t="inlineStr">
        <is>
          <t>Two Pointers, String</t>
        </is>
      </c>
      <c r="G1923" s="1" t="inlineStr">
        <is>
          <t>Hard</t>
        </is>
      </c>
      <c r="H1923" s="1" t="n">
        <v>41891</v>
      </c>
      <c r="I1923" s="1" t="n">
        <v>120305</v>
      </c>
      <c r="J1923" s="9" t="n">
        <v>0.348</v>
      </c>
      <c r="K1923" s="1" t="inlineStr">
        <is>
          <t>Yes</t>
        </is>
      </c>
      <c r="L1923" s="1" t="inlineStr">
        <is>
          <t>No</t>
        </is>
      </c>
      <c r="M1923" s="1" t="inlineStr">
        <is>
          <t>No</t>
        </is>
      </c>
      <c r="N1923" s="1" t="inlineStr">
        <is>
          <t>Algorithms</t>
        </is>
      </c>
      <c r="O19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24" ht="15.75" customHeight="1" s="12">
      <c r="A1924" s="1" t="n">
        <v>2520</v>
      </c>
      <c r="B1924" s="3">
        <f>HYPERLINK("https://leetcode.com/problems/count-the-digits-that-divide-a-number/", "Count the Digits That Divide a Number")</f>
        <v/>
      </c>
      <c r="C1924" s="1" t="n">
        <v>653</v>
      </c>
      <c r="D1924" s="1" t="n">
        <v>41</v>
      </c>
      <c r="E1924" s="4">
        <f>IF(INDEX(C:C, ROW())+INDEX(D:D, ROW())=0, 0, INDEX(C:C, ROW())/(INDEX(C:C, ROW())+INDEX(D:D, ROW())))</f>
        <v/>
      </c>
      <c r="F1924" s="1" t="inlineStr">
        <is>
          <t>Math</t>
        </is>
      </c>
      <c r="G1924" s="1" t="inlineStr">
        <is>
          <t>Easy</t>
        </is>
      </c>
      <c r="H1924" s="1" t="n">
        <v>155759</v>
      </c>
      <c r="I1924" s="1" t="n">
        <v>181402</v>
      </c>
      <c r="J1924" s="9" t="n">
        <v>0.859</v>
      </c>
      <c r="K1924" s="1" t="inlineStr">
        <is>
          <t>Yes</t>
        </is>
      </c>
      <c r="L1924" s="1" t="inlineStr">
        <is>
          <t>No</t>
        </is>
      </c>
      <c r="M1924" s="1" t="inlineStr">
        <is>
          <t>No</t>
        </is>
      </c>
      <c r="N1924" s="1" t="inlineStr">
        <is>
          <t>Algorithms</t>
        </is>
      </c>
      <c r="O19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25" ht="15.75" customHeight="1" s="12">
      <c r="A1925" s="1" t="n">
        <v>3105</v>
      </c>
      <c r="B1925" s="3">
        <f>HYPERLINK("https://leetcode.com/problems/longest-strictly-increasing-or-strictly-decreasing-subarray/", "Longest Strictly Increasing or Strictly Decreasing Subarray")</f>
        <v/>
      </c>
      <c r="C1925" s="1" t="n">
        <v>652</v>
      </c>
      <c r="D1925" s="1" t="n">
        <v>33</v>
      </c>
      <c r="E1925" s="4">
        <f>IF(INDEX(C:C, ROW())+INDEX(D:D, ROW())=0, 0, INDEX(C:C, ROW())/(INDEX(C:C, ROW())+INDEX(D:D, ROW())))</f>
        <v/>
      </c>
      <c r="F1925" s="1" t="inlineStr">
        <is>
          <t>Array</t>
        </is>
      </c>
      <c r="G1925" s="1" t="inlineStr">
        <is>
          <t>Easy</t>
        </is>
      </c>
      <c r="H1925" s="1" t="n">
        <v>215690</v>
      </c>
      <c r="I1925" s="1" t="n">
        <v>332137</v>
      </c>
      <c r="J1925" s="9" t="n">
        <v>0.649</v>
      </c>
      <c r="K1925" s="1" t="inlineStr">
        <is>
          <t>Yes</t>
        </is>
      </c>
      <c r="L1925" s="1" t="inlineStr">
        <is>
          <t>Yes</t>
        </is>
      </c>
      <c r="M1925" s="1" t="inlineStr">
        <is>
          <t>No</t>
        </is>
      </c>
      <c r="N1925" s="1" t="inlineStr">
        <is>
          <t>Algorithms</t>
        </is>
      </c>
      <c r="O19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26" ht="15.75" customHeight="1" s="12">
      <c r="A1926" s="1" t="n">
        <v>1742</v>
      </c>
      <c r="B1926" s="3">
        <f>HYPERLINK("https://leetcode.com/problems/maximum-number-of-balls-in-a-box/", "Maximum Number of Balls in a Box")</f>
        <v/>
      </c>
      <c r="C1926" s="1" t="n">
        <v>648</v>
      </c>
      <c r="D1926" s="1" t="n">
        <v>169</v>
      </c>
      <c r="E1926" s="4">
        <f>IF(INDEX(C:C, ROW())+INDEX(D:D, ROW())=0, 0, INDEX(C:C, ROW())/(INDEX(C:C, ROW())+INDEX(D:D, ROW())))</f>
        <v/>
      </c>
      <c r="F1926" s="1" t="inlineStr">
        <is>
          <t>Hash Table, Math, Counting</t>
        </is>
      </c>
      <c r="G1926" s="1" t="inlineStr">
        <is>
          <t>Easy</t>
        </is>
      </c>
      <c r="H1926" s="1" t="n">
        <v>82131</v>
      </c>
      <c r="I1926" s="1" t="n">
        <v>110049</v>
      </c>
      <c r="J1926" s="9" t="n">
        <v>0.746</v>
      </c>
      <c r="K1926" s="1" t="inlineStr">
        <is>
          <t>Yes</t>
        </is>
      </c>
      <c r="L1926" s="1" t="inlineStr">
        <is>
          <t>No</t>
        </is>
      </c>
      <c r="M1926" s="1" t="inlineStr">
        <is>
          <t>No</t>
        </is>
      </c>
      <c r="N1926" s="1" t="inlineStr">
        <is>
          <t>Algorithms</t>
        </is>
      </c>
      <c r="O19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27" ht="15.75" customHeight="1" s="12">
      <c r="A1927" s="1" t="n">
        <v>2202</v>
      </c>
      <c r="B1927" s="3">
        <f>HYPERLINK("https://leetcode.com/problems/maximize-the-topmost-element-after-k-moves/", "Maximize the Topmost Element After K Moves")</f>
        <v/>
      </c>
      <c r="C1927" s="1" t="n">
        <v>648</v>
      </c>
      <c r="D1927" s="1" t="n">
        <v>333</v>
      </c>
      <c r="E1927" s="4">
        <f>IF(INDEX(C:C, ROW())+INDEX(D:D, ROW())=0, 0, INDEX(C:C, ROW())/(INDEX(C:C, ROW())+INDEX(D:D, ROW())))</f>
        <v/>
      </c>
      <c r="F1927" s="1" t="inlineStr">
        <is>
          <t>Array, Greedy</t>
        </is>
      </c>
      <c r="G1927" s="1" t="inlineStr">
        <is>
          <t>Medium</t>
        </is>
      </c>
      <c r="H1927" s="1" t="n">
        <v>37170</v>
      </c>
      <c r="I1927" s="1" t="n">
        <v>155491</v>
      </c>
      <c r="J1927" s="9" t="n">
        <v>0.239</v>
      </c>
      <c r="K1927" s="1" t="inlineStr">
        <is>
          <t>Yes</t>
        </is>
      </c>
      <c r="L1927" s="1" t="inlineStr">
        <is>
          <t>No</t>
        </is>
      </c>
      <c r="M1927" s="1" t="inlineStr">
        <is>
          <t>No</t>
        </is>
      </c>
      <c r="N1927" s="1" t="inlineStr">
        <is>
          <t>Algorithms</t>
        </is>
      </c>
      <c r="O19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28" ht="15.75" customHeight="1" s="12">
      <c r="A1928" s="1" t="n">
        <v>1001</v>
      </c>
      <c r="B1928" s="3">
        <f>HYPERLINK("https://leetcode.com/problems/grid-illumination/", "Grid Illumination")</f>
        <v/>
      </c>
      <c r="C1928" s="1" t="n">
        <v>647</v>
      </c>
      <c r="D1928" s="1" t="n">
        <v>161</v>
      </c>
      <c r="E1928" s="4">
        <f>IF(INDEX(C:C, ROW())+INDEX(D:D, ROW())=0, 0, INDEX(C:C, ROW())/(INDEX(C:C, ROW())+INDEX(D:D, ROW())))</f>
        <v/>
      </c>
      <c r="F1928" s="1" t="inlineStr">
        <is>
          <t>Array, Hash Table</t>
        </is>
      </c>
      <c r="G1928" s="1" t="inlineStr">
        <is>
          <t>Hard</t>
        </is>
      </c>
      <c r="H1928" s="1" t="n">
        <v>26404</v>
      </c>
      <c r="I1928" s="1" t="n">
        <v>67871</v>
      </c>
      <c r="J1928" s="9" t="n">
        <v>0.389</v>
      </c>
      <c r="K1928" s="1" t="inlineStr">
        <is>
          <t>Yes</t>
        </is>
      </c>
      <c r="L1928" s="1" t="inlineStr">
        <is>
          <t>No</t>
        </is>
      </c>
      <c r="M1928" s="1" t="inlineStr">
        <is>
          <t>No</t>
        </is>
      </c>
      <c r="N1928" s="1" t="inlineStr">
        <is>
          <t>Algorithms</t>
        </is>
      </c>
      <c r="O19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29" ht="15.75" customHeight="1" s="12">
      <c r="A1929" s="1" t="n">
        <v>3202</v>
      </c>
      <c r="B1929" s="3">
        <f>HYPERLINK("https://leetcode.com/problems/find-the-maximum-length-of-valid-subsequence-ii/", "Find the Maximum Length of Valid Subsequence II")</f>
        <v/>
      </c>
      <c r="C1929" s="1" t="n">
        <v>647</v>
      </c>
      <c r="D1929" s="1" t="n">
        <v>54</v>
      </c>
      <c r="E1929" s="4">
        <f>IF(INDEX(C:C, ROW())+INDEX(D:D, ROW())=0, 0, INDEX(C:C, ROW())/(INDEX(C:C, ROW())+INDEX(D:D, ROW())))</f>
        <v/>
      </c>
      <c r="F1929" s="1" t="inlineStr">
        <is>
          <t>Array, Dynamic Programming</t>
        </is>
      </c>
      <c r="G1929" s="1" t="inlineStr">
        <is>
          <t>Medium</t>
        </is>
      </c>
      <c r="H1929" s="1" t="n">
        <v>101328</v>
      </c>
      <c r="I1929" s="1" t="n">
        <v>176980</v>
      </c>
      <c r="J1929" s="9" t="n">
        <v>0.573</v>
      </c>
      <c r="K1929" s="1" t="inlineStr">
        <is>
          <t>Yes</t>
        </is>
      </c>
      <c r="L1929" s="1" t="inlineStr">
        <is>
          <t>Yes</t>
        </is>
      </c>
      <c r="M1929" s="1" t="inlineStr">
        <is>
          <t>No</t>
        </is>
      </c>
      <c r="N1929" s="1" t="inlineStr">
        <is>
          <t>Algorithms</t>
        </is>
      </c>
      <c r="O19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30" ht="15.75" customHeight="1" s="12">
      <c r="A1930" s="1" t="n">
        <v>1932</v>
      </c>
      <c r="B1930" s="3">
        <f>HYPERLINK("https://leetcode.com/problems/merge-bsts-to-create-single-bst/", "Merge BSTs to Create Single BST")</f>
        <v/>
      </c>
      <c r="C1930" s="1" t="n">
        <v>645</v>
      </c>
      <c r="D1930" s="1" t="n">
        <v>47</v>
      </c>
      <c r="E1930" s="4">
        <f>IF(INDEX(C:C, ROW())+INDEX(D:D, ROW())=0, 0, INDEX(C:C, ROW())/(INDEX(C:C, ROW())+INDEX(D:D, ROW())))</f>
        <v/>
      </c>
      <c r="F1930" s="1" t="inlineStr">
        <is>
          <t>Hash Table, Binary Search, Tree, Depth-First Search, Binary Tree</t>
        </is>
      </c>
      <c r="G1930" s="1" t="inlineStr">
        <is>
          <t>Hard</t>
        </is>
      </c>
      <c r="H1930" s="1" t="n">
        <v>14585</v>
      </c>
      <c r="I1930" s="1" t="n">
        <v>38877</v>
      </c>
      <c r="J1930" s="9" t="n">
        <v>0.375</v>
      </c>
      <c r="K1930" s="1" t="inlineStr">
        <is>
          <t>Yes</t>
        </is>
      </c>
      <c r="L1930" s="1" t="inlineStr">
        <is>
          <t>No</t>
        </is>
      </c>
      <c r="M1930" s="1" t="inlineStr">
        <is>
          <t>No</t>
        </is>
      </c>
      <c r="N1930" s="1" t="inlineStr">
        <is>
          <t>Algorithms</t>
        </is>
      </c>
      <c r="O19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31" ht="15.75" customHeight="1" s="12">
      <c r="A1931" s="1" t="n">
        <v>3453</v>
      </c>
      <c r="B1931" s="3">
        <f>HYPERLINK("https://leetcode.com/problems/separate-squares-i/", "Separate Squares I")</f>
        <v/>
      </c>
      <c r="C1931" s="1" t="n">
        <v>645</v>
      </c>
      <c r="D1931" s="1" t="n">
        <v>118</v>
      </c>
      <c r="E1931" s="4">
        <f>IF(INDEX(C:C, ROW())+INDEX(D:D, ROW())=0, 0, INDEX(C:C, ROW())/(INDEX(C:C, ROW())+INDEX(D:D, ROW())))</f>
        <v/>
      </c>
      <c r="F1931" s="1" t="inlineStr">
        <is>
          <t>Array, Binary Search</t>
        </is>
      </c>
      <c r="G1931" s="1" t="inlineStr">
        <is>
          <t>Medium</t>
        </is>
      </c>
      <c r="H1931" s="1" t="n">
        <v>120428</v>
      </c>
      <c r="I1931" s="1" t="n">
        <v>207555</v>
      </c>
      <c r="J1931" s="9" t="n">
        <v>0.58</v>
      </c>
      <c r="K1931" s="1" t="inlineStr">
        <is>
          <t>Yes</t>
        </is>
      </c>
      <c r="L1931" s="1" t="inlineStr">
        <is>
          <t>Yes</t>
        </is>
      </c>
      <c r="M1931" s="1" t="inlineStr">
        <is>
          <t>No</t>
        </is>
      </c>
      <c r="N1931" s="1" t="inlineStr">
        <is>
          <t>Algorithms</t>
        </is>
      </c>
      <c r="O19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32" ht="15.75" customHeight="1" s="12">
      <c r="A1932" s="1" t="n">
        <v>1558</v>
      </c>
      <c r="B1932" s="3">
        <f>HYPERLINK("https://leetcode.com/problems/minimum-numbers-of-function-calls-to-make-target-array/", "Minimum Numbers of Function Calls to Make Target Array")</f>
        <v/>
      </c>
      <c r="C1932" s="1" t="n">
        <v>644</v>
      </c>
      <c r="D1932" s="1" t="n">
        <v>38</v>
      </c>
      <c r="E1932" s="4">
        <f>IF(INDEX(C:C, ROW())+INDEX(D:D, ROW())=0, 0, INDEX(C:C, ROW())/(INDEX(C:C, ROW())+INDEX(D:D, ROW())))</f>
        <v/>
      </c>
      <c r="F1932" s="1" t="inlineStr">
        <is>
          <t>Array, Greedy, Bit Manipulation</t>
        </is>
      </c>
      <c r="G1932" s="1" t="inlineStr">
        <is>
          <t>Medium</t>
        </is>
      </c>
      <c r="H1932" s="1" t="n">
        <v>25447</v>
      </c>
      <c r="I1932" s="1" t="n">
        <v>40531</v>
      </c>
      <c r="J1932" s="9" t="n">
        <v>0.628</v>
      </c>
      <c r="K1932" s="1" t="inlineStr">
        <is>
          <t>Yes</t>
        </is>
      </c>
      <c r="L1932" s="1" t="inlineStr">
        <is>
          <t>No</t>
        </is>
      </c>
      <c r="M1932" s="1" t="inlineStr">
        <is>
          <t>No</t>
        </is>
      </c>
      <c r="N1932" s="1" t="inlineStr">
        <is>
          <t>Algorithms</t>
        </is>
      </c>
      <c r="O19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33" ht="15.75" customHeight="1" s="12">
      <c r="A1933" s="1" t="n">
        <v>2194</v>
      </c>
      <c r="B1933" s="3">
        <f>HYPERLINK("https://leetcode.com/problems/cells-in-a-range-on-an-excel-sheet/", "Cells in a Range on an Excel Sheet")</f>
        <v/>
      </c>
      <c r="C1933" s="1" t="n">
        <v>643</v>
      </c>
      <c r="D1933" s="1" t="n">
        <v>100</v>
      </c>
      <c r="E1933" s="4">
        <f>IF(INDEX(C:C, ROW())+INDEX(D:D, ROW())=0, 0, INDEX(C:C, ROW())/(INDEX(C:C, ROW())+INDEX(D:D, ROW())))</f>
        <v/>
      </c>
      <c r="F1933" s="1" t="inlineStr">
        <is>
          <t>String</t>
        </is>
      </c>
      <c r="G1933" s="1" t="inlineStr">
        <is>
          <t>Easy</t>
        </is>
      </c>
      <c r="H1933" s="1" t="n">
        <v>84858</v>
      </c>
      <c r="I1933" s="1" t="n">
        <v>100875</v>
      </c>
      <c r="J1933" s="9" t="n">
        <v>0.841</v>
      </c>
      <c r="K1933" s="1" t="inlineStr">
        <is>
          <t>Yes</t>
        </is>
      </c>
      <c r="L1933" s="1" t="inlineStr">
        <is>
          <t>No</t>
        </is>
      </c>
      <c r="M1933" s="1" t="inlineStr">
        <is>
          <t>No</t>
        </is>
      </c>
      <c r="N1933" s="1" t="inlineStr">
        <is>
          <t>Algorithms</t>
        </is>
      </c>
      <c r="O19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34" ht="15.75" customHeight="1" s="12">
      <c r="A1934" s="1" t="n">
        <v>2843</v>
      </c>
      <c r="B1934" s="3">
        <f>HYPERLINK("https://leetcode.com/problems/count-symmetric-integers/", "  Count Symmetric Integers")</f>
        <v/>
      </c>
      <c r="C1934" s="1" t="n">
        <v>643</v>
      </c>
      <c r="D1934" s="1" t="n">
        <v>65</v>
      </c>
      <c r="E1934" s="4">
        <f>IF(INDEX(C:C, ROW())+INDEX(D:D, ROW())=0, 0, INDEX(C:C, ROW())/(INDEX(C:C, ROW())+INDEX(D:D, ROW())))</f>
        <v/>
      </c>
      <c r="F1934" s="1" t="inlineStr">
        <is>
          <t>Math, Enumeration</t>
        </is>
      </c>
      <c r="G1934" s="1" t="inlineStr">
        <is>
          <t>Easy</t>
        </is>
      </c>
      <c r="H1934" s="1" t="n">
        <v>193383</v>
      </c>
      <c r="I1934" s="1" t="n">
        <v>232754</v>
      </c>
      <c r="J1934" s="9" t="n">
        <v>0.831</v>
      </c>
      <c r="K1934" s="1" t="inlineStr">
        <is>
          <t>Yes</t>
        </is>
      </c>
      <c r="L1934" s="1" t="inlineStr">
        <is>
          <t>Yes</t>
        </is>
      </c>
      <c r="M1934" s="1" t="inlineStr">
        <is>
          <t>No</t>
        </is>
      </c>
      <c r="N1934" s="1" t="inlineStr">
        <is>
          <t>Algorithms</t>
        </is>
      </c>
      <c r="O19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35" ht="15.75" customHeight="1" s="12">
      <c r="A1935" s="1" t="n">
        <v>1522</v>
      </c>
      <c r="B1935" s="3">
        <f>HYPERLINK("https://leetcode.com/problems/diameter-of-n-ary-tree/", "Diameter of N-Ary Tree")</f>
        <v/>
      </c>
      <c r="C1935" s="1" t="n">
        <v>641</v>
      </c>
      <c r="D1935" s="1" t="n">
        <v>9</v>
      </c>
      <c r="E1935" s="4">
        <f>IF(INDEX(C:C, ROW())+INDEX(D:D, ROW())=0, 0, INDEX(C:C, ROW())/(INDEX(C:C, ROW())+INDEX(D:D, ROW())))</f>
        <v/>
      </c>
      <c r="F1935" s="1" t="inlineStr">
        <is>
          <t>Tree, Depth-First Search</t>
        </is>
      </c>
      <c r="G1935" s="1" t="inlineStr">
        <is>
          <t>Medium</t>
        </is>
      </c>
      <c r="H1935" s="1" t="n">
        <v>60842</v>
      </c>
      <c r="I1935" s="1" t="n">
        <v>80680</v>
      </c>
      <c r="J1935" s="9" t="n">
        <v>0.754</v>
      </c>
      <c r="K1935" s="1" t="inlineStr">
        <is>
          <t>No</t>
        </is>
      </c>
      <c r="L1935" s="1" t="inlineStr">
        <is>
          <t>Yes</t>
        </is>
      </c>
      <c r="M1935" s="1" t="inlineStr">
        <is>
          <t>No</t>
        </is>
      </c>
      <c r="N1935" s="1" t="inlineStr">
        <is>
          <t>Algorithms</t>
        </is>
      </c>
      <c r="O19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36" ht="15.75" customHeight="1" s="12">
      <c r="A1936" s="1" t="n">
        <v>2296</v>
      </c>
      <c r="B1936" s="3">
        <f>HYPERLINK("https://leetcode.com/problems/design-a-text-editor/", "Design a Text Editor")</f>
        <v/>
      </c>
      <c r="C1936" s="1" t="n">
        <v>641</v>
      </c>
      <c r="D1936" s="1" t="n">
        <v>228</v>
      </c>
      <c r="E1936" s="4">
        <f>IF(INDEX(C:C, ROW())+INDEX(D:D, ROW())=0, 0, INDEX(C:C, ROW())/(INDEX(C:C, ROW())+INDEX(D:D, ROW())))</f>
        <v/>
      </c>
      <c r="F1936" s="1" t="inlineStr">
        <is>
          <t>Linked List, String, Stack, Design, Simulation, Doubly-Linked List</t>
        </is>
      </c>
      <c r="G1936" s="1" t="inlineStr">
        <is>
          <t>Hard</t>
        </is>
      </c>
      <c r="H1936" s="1" t="n">
        <v>39615</v>
      </c>
      <c r="I1936" s="1" t="n">
        <v>79863</v>
      </c>
      <c r="J1936" s="9" t="n">
        <v>0.496</v>
      </c>
      <c r="K1936" s="1" t="inlineStr">
        <is>
          <t>Yes</t>
        </is>
      </c>
      <c r="L1936" s="1" t="inlineStr">
        <is>
          <t>No</t>
        </is>
      </c>
      <c r="M1936" s="1" t="inlineStr">
        <is>
          <t>No</t>
        </is>
      </c>
      <c r="N1936" s="1" t="inlineStr">
        <is>
          <t>Algorithms</t>
        </is>
      </c>
      <c r="O19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37" ht="15.75" customHeight="1" s="12">
      <c r="A1937" s="1" t="n">
        <v>2488</v>
      </c>
      <c r="B1937" s="3">
        <f>HYPERLINK("https://leetcode.com/problems/count-subarrays-with-median-k/", "Count Subarrays With Median K")</f>
        <v/>
      </c>
      <c r="C1937" s="1" t="n">
        <v>641</v>
      </c>
      <c r="D1937" s="1" t="n">
        <v>17</v>
      </c>
      <c r="E1937" s="4">
        <f>IF(INDEX(C:C, ROW())+INDEX(D:D, ROW())=0, 0, INDEX(C:C, ROW())/(INDEX(C:C, ROW())+INDEX(D:D, ROW())))</f>
        <v/>
      </c>
      <c r="F1937" s="1" t="inlineStr">
        <is>
          <t>Array, Hash Table, Prefix Sum</t>
        </is>
      </c>
      <c r="G1937" s="1" t="inlineStr">
        <is>
          <t>Hard</t>
        </is>
      </c>
      <c r="H1937" s="1" t="n">
        <v>18383</v>
      </c>
      <c r="I1937" s="1" t="n">
        <v>38948</v>
      </c>
      <c r="J1937" s="9" t="n">
        <v>0.472</v>
      </c>
      <c r="K1937" s="1" t="inlineStr">
        <is>
          <t>Yes</t>
        </is>
      </c>
      <c r="L1937" s="1" t="inlineStr">
        <is>
          <t>No</t>
        </is>
      </c>
      <c r="M1937" s="1" t="inlineStr">
        <is>
          <t>No</t>
        </is>
      </c>
      <c r="N1937" s="1" t="inlineStr">
        <is>
          <t>Algorithms</t>
        </is>
      </c>
      <c r="O19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38" ht="15.75" customHeight="1" s="12">
      <c r="A1938" s="1" t="n">
        <v>2771</v>
      </c>
      <c r="B1938" s="3">
        <f>HYPERLINK("https://leetcode.com/problems/longest-non-decreasing-subarray-from-two-arrays/", "Longest Non-decreasing Subarray From Two Arrays")</f>
        <v/>
      </c>
      <c r="C1938" s="1" t="n">
        <v>641</v>
      </c>
      <c r="D1938" s="1" t="n">
        <v>24</v>
      </c>
      <c r="E1938" s="4">
        <f>IF(INDEX(C:C, ROW())+INDEX(D:D, ROW())=0, 0, INDEX(C:C, ROW())/(INDEX(C:C, ROW())+INDEX(D:D, ROW())))</f>
        <v/>
      </c>
      <c r="F1938" s="1" t="inlineStr">
        <is>
          <t>Array, Dynamic Programming</t>
        </is>
      </c>
      <c r="G1938" s="1" t="inlineStr">
        <is>
          <t>Medium</t>
        </is>
      </c>
      <c r="H1938" s="1" t="n">
        <v>35260</v>
      </c>
      <c r="I1938" s="1" t="n">
        <v>114107</v>
      </c>
      <c r="J1938" s="9" t="n">
        <v>0.309</v>
      </c>
      <c r="K1938" s="1" t="inlineStr">
        <is>
          <t>Yes</t>
        </is>
      </c>
      <c r="L1938" s="1" t="inlineStr">
        <is>
          <t>No</t>
        </is>
      </c>
      <c r="M1938" s="1" t="inlineStr">
        <is>
          <t>No</t>
        </is>
      </c>
      <c r="N1938" s="1" t="inlineStr">
        <is>
          <t>Algorithms</t>
        </is>
      </c>
      <c r="O19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39" ht="15.75" customHeight="1" s="12">
      <c r="A1939" s="1" t="n">
        <v>644</v>
      </c>
      <c r="B1939" s="3">
        <f>HYPERLINK("https://leetcode.com/problems/maximum-average-subarray-ii/", "Maximum Average Subarray II")</f>
        <v/>
      </c>
      <c r="C1939" s="1" t="n">
        <v>637</v>
      </c>
      <c r="D1939" s="1" t="n">
        <v>73</v>
      </c>
      <c r="E1939" s="4">
        <f>IF(INDEX(C:C, ROW())+INDEX(D:D, ROW())=0, 0, INDEX(C:C, ROW())/(INDEX(C:C, ROW())+INDEX(D:D, ROW())))</f>
        <v/>
      </c>
      <c r="F1939" s="1" t="inlineStr">
        <is>
          <t>Array, Binary Search, Prefix Sum</t>
        </is>
      </c>
      <c r="G1939" s="1" t="inlineStr">
        <is>
          <t>Hard</t>
        </is>
      </c>
      <c r="H1939" s="1" t="n">
        <v>22802</v>
      </c>
      <c r="I1939" s="1" t="n">
        <v>60552</v>
      </c>
      <c r="J1939" s="9" t="n">
        <v>0.377</v>
      </c>
      <c r="K1939" s="1" t="inlineStr">
        <is>
          <t>No</t>
        </is>
      </c>
      <c r="L1939" s="1" t="inlineStr">
        <is>
          <t>Yes</t>
        </is>
      </c>
      <c r="M1939" s="1" t="inlineStr">
        <is>
          <t>Yes</t>
        </is>
      </c>
      <c r="N1939" s="1" t="inlineStr">
        <is>
          <t>Algorithms</t>
        </is>
      </c>
      <c r="O19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40" ht="15.75" customHeight="1" s="12">
      <c r="A1940" s="1" t="n">
        <v>2317</v>
      </c>
      <c r="B1940" s="3">
        <f>HYPERLINK("https://leetcode.com/problems/maximum-xor-after-operations/", "Maximum XOR After Operations ")</f>
        <v/>
      </c>
      <c r="C1940" s="1" t="n">
        <v>637</v>
      </c>
      <c r="D1940" s="1" t="n">
        <v>169</v>
      </c>
      <c r="E1940" s="4">
        <f>IF(INDEX(C:C, ROW())+INDEX(D:D, ROW())=0, 0, INDEX(C:C, ROW())/(INDEX(C:C, ROW())+INDEX(D:D, ROW())))</f>
        <v/>
      </c>
      <c r="F1940" s="1" t="inlineStr">
        <is>
          <t>Array, Math, Bit Manipulation</t>
        </is>
      </c>
      <c r="G1940" s="1" t="inlineStr">
        <is>
          <t>Medium</t>
        </is>
      </c>
      <c r="H1940" s="1" t="n">
        <v>30941</v>
      </c>
      <c r="I1940" s="1" t="n">
        <v>38781</v>
      </c>
      <c r="J1940" s="9" t="n">
        <v>0.798</v>
      </c>
      <c r="K1940" s="1" t="inlineStr">
        <is>
          <t>Yes</t>
        </is>
      </c>
      <c r="L1940" s="1" t="inlineStr">
        <is>
          <t>No</t>
        </is>
      </c>
      <c r="M1940" s="1" t="inlineStr">
        <is>
          <t>No</t>
        </is>
      </c>
      <c r="N1940" s="1" t="inlineStr">
        <is>
          <t>Algorithms</t>
        </is>
      </c>
      <c r="O19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41" ht="15.75" customHeight="1" s="12">
      <c r="A1941" s="1" t="n">
        <v>2320</v>
      </c>
      <c r="B1941" s="3">
        <f>HYPERLINK("https://leetcode.com/problems/count-number-of-ways-to-place-houses/", "Count Number of Ways to Place Houses")</f>
        <v/>
      </c>
      <c r="C1941" s="1" t="n">
        <v>637</v>
      </c>
      <c r="D1941" s="1" t="n">
        <v>202</v>
      </c>
      <c r="E1941" s="4">
        <f>IF(INDEX(C:C, ROW())+INDEX(D:D, ROW())=0, 0, INDEX(C:C, ROW())/(INDEX(C:C, ROW())+INDEX(D:D, ROW())))</f>
        <v/>
      </c>
      <c r="F1941" s="1" t="inlineStr">
        <is>
          <t>Dynamic Programming</t>
        </is>
      </c>
      <c r="G1941" s="1" t="inlineStr">
        <is>
          <t>Medium</t>
        </is>
      </c>
      <c r="H1941" s="1" t="n">
        <v>35064</v>
      </c>
      <c r="I1941" s="1" t="n">
        <v>80356</v>
      </c>
      <c r="J1941" s="9" t="n">
        <v>0.436</v>
      </c>
      <c r="K1941" s="1" t="inlineStr">
        <is>
          <t>Yes</t>
        </is>
      </c>
      <c r="L1941" s="1" t="inlineStr">
        <is>
          <t>No</t>
        </is>
      </c>
      <c r="M1941" s="1" t="inlineStr">
        <is>
          <t>No</t>
        </is>
      </c>
      <c r="N1941" s="1" t="inlineStr">
        <is>
          <t>Algorithms</t>
        </is>
      </c>
      <c r="O19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42" ht="15.75" customHeight="1" s="12">
      <c r="A1942" s="1" t="n">
        <v>3201</v>
      </c>
      <c r="B1942" s="3">
        <f>HYPERLINK("https://leetcode.com/problems/find-the-maximum-length-of-valid-subsequence-i/", "Find the Maximum Length of Valid Subsequence I")</f>
        <v/>
      </c>
      <c r="C1942" s="1" t="n">
        <v>637</v>
      </c>
      <c r="D1942" s="1" t="n">
        <v>56</v>
      </c>
      <c r="E1942" s="4">
        <f>IF(INDEX(C:C, ROW())+INDEX(D:D, ROW())=0, 0, INDEX(C:C, ROW())/(INDEX(C:C, ROW())+INDEX(D:D, ROW())))</f>
        <v/>
      </c>
      <c r="F1942" s="1" t="inlineStr">
        <is>
          <t>Array, Dynamic Programming</t>
        </is>
      </c>
      <c r="G1942" s="1" t="inlineStr">
        <is>
          <t>Medium</t>
        </is>
      </c>
      <c r="H1942" s="1" t="n">
        <v>141307</v>
      </c>
      <c r="I1942" s="1" t="n">
        <v>257470</v>
      </c>
      <c r="J1942" s="9" t="n">
        <v>0.549</v>
      </c>
      <c r="K1942" s="1" t="inlineStr">
        <is>
          <t>Yes</t>
        </is>
      </c>
      <c r="L1942" s="1" t="inlineStr">
        <is>
          <t>Yes</t>
        </is>
      </c>
      <c r="M1942" s="1" t="inlineStr">
        <is>
          <t>No</t>
        </is>
      </c>
      <c r="N1942" s="1" t="inlineStr">
        <is>
          <t>Algorithms</t>
        </is>
      </c>
      <c r="O19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43" ht="15.75" customHeight="1" s="12">
      <c r="A1943" s="1" t="n">
        <v>883</v>
      </c>
      <c r="B1943" s="3">
        <f>HYPERLINK("https://leetcode.com/problems/projection-area-of-3d-shapes/", "Projection Area of 3D Shapes")</f>
        <v/>
      </c>
      <c r="C1943" s="1" t="n">
        <v>636</v>
      </c>
      <c r="D1943" s="1" t="n">
        <v>1447</v>
      </c>
      <c r="E1943" s="4">
        <f>IF(INDEX(C:C, ROW())+INDEX(D:D, ROW())=0, 0, INDEX(C:C, ROW())/(INDEX(C:C, ROW())+INDEX(D:D, ROW())))</f>
        <v/>
      </c>
      <c r="F1943" s="1" t="inlineStr">
        <is>
          <t>Array, Math, Geometry, Matrix</t>
        </is>
      </c>
      <c r="G1943" s="1" t="inlineStr">
        <is>
          <t>Easy</t>
        </is>
      </c>
      <c r="H1943" s="1" t="n">
        <v>72600</v>
      </c>
      <c r="I1943" s="1" t="n">
        <v>96388</v>
      </c>
      <c r="J1943" s="9" t="n">
        <v>0.753</v>
      </c>
      <c r="K1943" s="1" t="inlineStr">
        <is>
          <t>Yes</t>
        </is>
      </c>
      <c r="L1943" s="1" t="inlineStr">
        <is>
          <t>Yes</t>
        </is>
      </c>
      <c r="M1943" s="1" t="inlineStr">
        <is>
          <t>No</t>
        </is>
      </c>
      <c r="N1943" s="1" t="inlineStr">
        <is>
          <t>Algorithms</t>
        </is>
      </c>
      <c r="O19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44" ht="15.75" customHeight="1" s="12">
      <c r="A1944" s="1" t="n">
        <v>3439</v>
      </c>
      <c r="B1944" s="3">
        <f>HYPERLINK("https://leetcode.com/problems/reschedule-meetings-for-maximum-free-time-i/", "Reschedule Meetings for Maximum Free Time I")</f>
        <v/>
      </c>
      <c r="C1944" s="1" t="n">
        <v>636</v>
      </c>
      <c r="D1944" s="1" t="n">
        <v>52</v>
      </c>
      <c r="E1944" s="4">
        <f>IF(INDEX(C:C, ROW())+INDEX(D:D, ROW())=0, 0, INDEX(C:C, ROW())/(INDEX(C:C, ROW())+INDEX(D:D, ROW())))</f>
        <v/>
      </c>
      <c r="F1944" s="1" t="inlineStr">
        <is>
          <t>Array, Greedy, Sliding Window</t>
        </is>
      </c>
      <c r="G1944" s="1" t="inlineStr">
        <is>
          <t>Medium</t>
        </is>
      </c>
      <c r="H1944" s="1" t="n">
        <v>108078</v>
      </c>
      <c r="I1944" s="1" t="n">
        <v>200462</v>
      </c>
      <c r="J1944" s="9" t="n">
        <v>0.539</v>
      </c>
      <c r="K1944" s="1" t="inlineStr">
        <is>
          <t>Yes</t>
        </is>
      </c>
      <c r="L1944" s="1" t="inlineStr">
        <is>
          <t>Yes</t>
        </is>
      </c>
      <c r="M1944" s="1" t="inlineStr">
        <is>
          <t>No</t>
        </is>
      </c>
      <c r="N1944" s="1" t="inlineStr">
        <is>
          <t>Algorithms</t>
        </is>
      </c>
      <c r="O19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45" ht="15.75" customHeight="1" s="12">
      <c r="A1945" s="1" t="n">
        <v>1166</v>
      </c>
      <c r="B1945" s="3">
        <f>HYPERLINK("https://leetcode.com/problems/design-file-system/", "Design File System")</f>
        <v/>
      </c>
      <c r="C1945" s="1" t="n">
        <v>634</v>
      </c>
      <c r="D1945" s="1" t="n">
        <v>79</v>
      </c>
      <c r="E1945" s="4">
        <f>IF(INDEX(C:C, ROW())+INDEX(D:D, ROW())=0, 0, INDEX(C:C, ROW())/(INDEX(C:C, ROW())+INDEX(D:D, ROW())))</f>
        <v/>
      </c>
      <c r="F1945" s="1" t="inlineStr">
        <is>
          <t>Hash Table, String, Design, Trie</t>
        </is>
      </c>
      <c r="G1945" s="1" t="inlineStr">
        <is>
          <t>Medium</t>
        </is>
      </c>
      <c r="H1945" s="1" t="n">
        <v>87522</v>
      </c>
      <c r="I1945" s="1" t="n">
        <v>134534</v>
      </c>
      <c r="J1945" s="9" t="n">
        <v>0.651</v>
      </c>
      <c r="K1945" s="1" t="inlineStr">
        <is>
          <t>No</t>
        </is>
      </c>
      <c r="L1945" s="1" t="inlineStr">
        <is>
          <t>Yes</t>
        </is>
      </c>
      <c r="M1945" s="1" t="inlineStr">
        <is>
          <t>No</t>
        </is>
      </c>
      <c r="N1945" s="1" t="inlineStr">
        <is>
          <t>Algorithms</t>
        </is>
      </c>
      <c r="O19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46" ht="15.75" customHeight="1" s="12">
      <c r="A1946" s="1" t="n">
        <v>2556</v>
      </c>
      <c r="B1946" s="3">
        <f>HYPERLINK("https://leetcode.com/problems/disconnect-path-in-a-binary-matrix-by-at-most-one-flip/", "Disconnect Path in a Binary Matrix by at Most One Flip")</f>
        <v/>
      </c>
      <c r="C1946" s="1" t="n">
        <v>633</v>
      </c>
      <c r="D1946" s="1" t="n">
        <v>33</v>
      </c>
      <c r="E1946" s="4">
        <f>IF(INDEX(C:C, ROW())+INDEX(D:D, ROW())=0, 0, INDEX(C:C, ROW())/(INDEX(C:C, ROW())+INDEX(D:D, ROW())))</f>
        <v/>
      </c>
      <c r="F1946" s="1" t="inlineStr">
        <is>
          <t>Array, Dynamic Programming, Depth-First Search, Breadth-First Search, Matrix</t>
        </is>
      </c>
      <c r="G1946" s="1" t="inlineStr">
        <is>
          <t>Medium</t>
        </is>
      </c>
      <c r="H1946" s="1" t="n">
        <v>18426</v>
      </c>
      <c r="I1946" s="1" t="n">
        <v>66533</v>
      </c>
      <c r="J1946" s="9" t="n">
        <v>0.277</v>
      </c>
      <c r="K1946" s="1" t="inlineStr">
        <is>
          <t>Yes</t>
        </is>
      </c>
      <c r="L1946" s="1" t="inlineStr">
        <is>
          <t>No</t>
        </is>
      </c>
      <c r="M1946" s="1" t="inlineStr">
        <is>
          <t>No</t>
        </is>
      </c>
      <c r="N1946" s="1" t="inlineStr">
        <is>
          <t>Algorithms</t>
        </is>
      </c>
      <c r="O19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47" ht="15.75" customHeight="1" s="12">
      <c r="A1947" s="1" t="n">
        <v>750</v>
      </c>
      <c r="B1947" s="3">
        <f>HYPERLINK("https://leetcode.com/problems/number-of-corner-rectangles/", "Number Of Corner Rectangles")</f>
        <v/>
      </c>
      <c r="C1947" s="1" t="n">
        <v>632</v>
      </c>
      <c r="D1947" s="1" t="n">
        <v>92</v>
      </c>
      <c r="E1947" s="4">
        <f>IF(INDEX(C:C, ROW())+INDEX(D:D, ROW())=0, 0, INDEX(C:C, ROW())/(INDEX(C:C, ROW())+INDEX(D:D, ROW())))</f>
        <v/>
      </c>
      <c r="F1947" s="1" t="inlineStr">
        <is>
          <t>Array, Math, Dynamic Programming, Matrix</t>
        </is>
      </c>
      <c r="G1947" s="1" t="inlineStr">
        <is>
          <t>Medium</t>
        </is>
      </c>
      <c r="H1947" s="1" t="n">
        <v>40158</v>
      </c>
      <c r="I1947" s="1" t="n">
        <v>59185</v>
      </c>
      <c r="J1947" s="9" t="n">
        <v>0.679</v>
      </c>
      <c r="K1947" s="1" t="inlineStr">
        <is>
          <t>No</t>
        </is>
      </c>
      <c r="L1947" s="1" t="inlineStr">
        <is>
          <t>Yes</t>
        </is>
      </c>
      <c r="M1947" s="1" t="inlineStr">
        <is>
          <t>No</t>
        </is>
      </c>
      <c r="N1947" s="1" t="inlineStr">
        <is>
          <t>Algorithms</t>
        </is>
      </c>
      <c r="O19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48" ht="15.75" customHeight="1" s="12">
      <c r="A1948" s="1" t="n">
        <v>1403</v>
      </c>
      <c r="B1948" s="3">
        <f>HYPERLINK("https://leetcode.com/problems/minimum-subsequence-in-non-increasing-order/", "Minimum Subsequence in Non-Increasing Order")</f>
        <v/>
      </c>
      <c r="C1948" s="1" t="n">
        <v>632</v>
      </c>
      <c r="D1948" s="1" t="n">
        <v>512</v>
      </c>
      <c r="E1948" s="4">
        <f>IF(INDEX(C:C, ROW())+INDEX(D:D, ROW())=0, 0, INDEX(C:C, ROW())/(INDEX(C:C, ROW())+INDEX(D:D, ROW())))</f>
        <v/>
      </c>
      <c r="F1948" s="1" t="inlineStr">
        <is>
          <t>Array, Greedy, Sorting</t>
        </is>
      </c>
      <c r="G1948" s="1" t="inlineStr">
        <is>
          <t>Easy</t>
        </is>
      </c>
      <c r="H1948" s="1" t="n">
        <v>89174</v>
      </c>
      <c r="I1948" s="1" t="n">
        <v>121344</v>
      </c>
      <c r="J1948" s="9" t="n">
        <v>0.735</v>
      </c>
      <c r="K1948" s="1" t="inlineStr">
        <is>
          <t>Yes</t>
        </is>
      </c>
      <c r="L1948" s="1" t="inlineStr">
        <is>
          <t>No</t>
        </is>
      </c>
      <c r="M1948" s="1" t="inlineStr">
        <is>
          <t>No</t>
        </is>
      </c>
      <c r="N1948" s="1" t="inlineStr">
        <is>
          <t>Algorithms</t>
        </is>
      </c>
      <c r="O19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49" ht="15.75" customHeight="1" s="12">
      <c r="A1949" s="1" t="n">
        <v>3304</v>
      </c>
      <c r="B1949" s="3">
        <f>HYPERLINK("https://leetcode.com/problems/find-the-k-th-character-in-string-game-i/", "Find the K-th Character in String Game I")</f>
        <v/>
      </c>
      <c r="C1949" s="1" t="n">
        <v>632</v>
      </c>
      <c r="D1949" s="1" t="n">
        <v>135</v>
      </c>
      <c r="E1949" s="4">
        <f>IF(INDEX(C:C, ROW())+INDEX(D:D, ROW())=0, 0, INDEX(C:C, ROW())/(INDEX(C:C, ROW())+INDEX(D:D, ROW())))</f>
        <v/>
      </c>
      <c r="F1949" s="1" t="inlineStr">
        <is>
          <t>Math, Bit Manipulation, Recursion, Simulation</t>
        </is>
      </c>
      <c r="G1949" s="1" t="inlineStr">
        <is>
          <t>Easy</t>
        </is>
      </c>
      <c r="H1949" s="1" t="n">
        <v>208335</v>
      </c>
      <c r="I1949" s="1" t="n">
        <v>255200</v>
      </c>
      <c r="J1949" s="9" t="n">
        <v>0.8159999999999999</v>
      </c>
      <c r="K1949" s="1" t="inlineStr">
        <is>
          <t>Yes</t>
        </is>
      </c>
      <c r="L1949" s="1" t="inlineStr">
        <is>
          <t>Yes</t>
        </is>
      </c>
      <c r="M1949" s="1" t="inlineStr">
        <is>
          <t>No</t>
        </is>
      </c>
      <c r="N1949" s="1" t="inlineStr">
        <is>
          <t>Algorithms</t>
        </is>
      </c>
      <c r="O19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50" ht="15.75" customHeight="1" s="12">
      <c r="A1950" s="1" t="n">
        <v>246</v>
      </c>
      <c r="B1950" s="3">
        <f>HYPERLINK("https://leetcode.com/problems/strobogrammatic-number/", "Strobogrammatic Number")</f>
        <v/>
      </c>
      <c r="C1950" s="1" t="n">
        <v>631</v>
      </c>
      <c r="D1950" s="1" t="n">
        <v>1050</v>
      </c>
      <c r="E1950" s="4">
        <f>IF(INDEX(C:C, ROW())+INDEX(D:D, ROW())=0, 0, INDEX(C:C, ROW())/(INDEX(C:C, ROW())+INDEX(D:D, ROW())))</f>
        <v/>
      </c>
      <c r="F1950" s="1" t="inlineStr">
        <is>
          <t>Hash Table, Two Pointers, String</t>
        </is>
      </c>
      <c r="G1950" s="1" t="inlineStr">
        <is>
          <t>Easy</t>
        </is>
      </c>
      <c r="H1950" s="1" t="n">
        <v>209517</v>
      </c>
      <c r="I1950" s="1" t="n">
        <v>440432</v>
      </c>
      <c r="J1950" s="9" t="n">
        <v>0.476</v>
      </c>
      <c r="K1950" s="1" t="inlineStr">
        <is>
          <t>No</t>
        </is>
      </c>
      <c r="L1950" s="1" t="inlineStr">
        <is>
          <t>Yes</t>
        </is>
      </c>
      <c r="M1950" s="1" t="inlineStr">
        <is>
          <t>Yes</t>
        </is>
      </c>
      <c r="N1950" s="1" t="inlineStr">
        <is>
          <t>Algorithms</t>
        </is>
      </c>
      <c r="O19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51" ht="15.75" customHeight="1" s="12">
      <c r="A1951" s="1" t="n">
        <v>471</v>
      </c>
      <c r="B1951" s="3">
        <f>HYPERLINK("https://leetcode.com/problems/encode-string-with-shortest-length/", "Encode String with Shortest Length")</f>
        <v/>
      </c>
      <c r="C1951" s="1" t="n">
        <v>631</v>
      </c>
      <c r="D1951" s="1" t="n">
        <v>55</v>
      </c>
      <c r="E1951" s="4">
        <f>IF(INDEX(C:C, ROW())+INDEX(D:D, ROW())=0, 0, INDEX(C:C, ROW())/(INDEX(C:C, ROW())+INDEX(D:D, ROW())))</f>
        <v/>
      </c>
      <c r="F1951" s="1" t="inlineStr">
        <is>
          <t>String, Dynamic Programming</t>
        </is>
      </c>
      <c r="G1951" s="1" t="inlineStr">
        <is>
          <t>Hard</t>
        </is>
      </c>
      <c r="H1951" s="1" t="n">
        <v>31969</v>
      </c>
      <c r="I1951" s="1" t="n">
        <v>63243</v>
      </c>
      <c r="J1951" s="9" t="n">
        <v>0.505</v>
      </c>
      <c r="K1951" s="1" t="inlineStr">
        <is>
          <t>No</t>
        </is>
      </c>
      <c r="L1951" s="1" t="inlineStr">
        <is>
          <t>No</t>
        </is>
      </c>
      <c r="M1951" s="1" t="inlineStr">
        <is>
          <t>No</t>
        </is>
      </c>
      <c r="N1951" s="1" t="inlineStr">
        <is>
          <t>Algorithms</t>
        </is>
      </c>
      <c r="O19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52" ht="15.75" customHeight="1" s="12">
      <c r="A1952" s="1" t="n">
        <v>3066</v>
      </c>
      <c r="B1952" s="3">
        <f>HYPERLINK("https://leetcode.com/problems/minimum-operations-to-exceed-threshold-value-ii/", "Minimum Operations to Exceed Threshold Value II")</f>
        <v/>
      </c>
      <c r="C1952" s="1" t="n">
        <v>629</v>
      </c>
      <c r="D1952" s="1" t="n">
        <v>70</v>
      </c>
      <c r="E1952" s="4">
        <f>IF(INDEX(C:C, ROW())+INDEX(D:D, ROW())=0, 0, INDEX(C:C, ROW())/(INDEX(C:C, ROW())+INDEX(D:D, ROW())))</f>
        <v/>
      </c>
      <c r="F1952" s="1" t="inlineStr">
        <is>
          <t>Array, Heap (Priority Queue), Simulation</t>
        </is>
      </c>
      <c r="G1952" s="1" t="inlineStr">
        <is>
          <t>Medium</t>
        </is>
      </c>
      <c r="H1952" s="1" t="n">
        <v>188754</v>
      </c>
      <c r="I1952" s="1" t="n">
        <v>412104</v>
      </c>
      <c r="J1952" s="9" t="n">
        <v>0.458</v>
      </c>
      <c r="K1952" s="1" t="inlineStr">
        <is>
          <t>Yes</t>
        </is>
      </c>
      <c r="L1952" s="1" t="inlineStr">
        <is>
          <t>Yes</t>
        </is>
      </c>
      <c r="M1952" s="1" t="inlineStr">
        <is>
          <t>No</t>
        </is>
      </c>
      <c r="N1952" s="1" t="inlineStr">
        <is>
          <t>Algorithms</t>
        </is>
      </c>
      <c r="O19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53" ht="15.75" customHeight="1" s="12">
      <c r="A1953" s="1" t="n">
        <v>3163</v>
      </c>
      <c r="B1953" s="3">
        <f>HYPERLINK("https://leetcode.com/problems/string-compression-iii/", "String Compression III")</f>
        <v/>
      </c>
      <c r="C1953" s="1" t="n">
        <v>629</v>
      </c>
      <c r="D1953" s="1" t="n">
        <v>54</v>
      </c>
      <c r="E1953" s="4">
        <f>IF(INDEX(C:C, ROW())+INDEX(D:D, ROW())=0, 0, INDEX(C:C, ROW())/(INDEX(C:C, ROW())+INDEX(D:D, ROW())))</f>
        <v/>
      </c>
      <c r="F1953" s="1" t="inlineStr">
        <is>
          <t>String</t>
        </is>
      </c>
      <c r="G1953" s="1" t="inlineStr">
        <is>
          <t>Medium</t>
        </is>
      </c>
      <c r="H1953" s="1" t="n">
        <v>199578</v>
      </c>
      <c r="I1953" s="1" t="n">
        <v>297927</v>
      </c>
      <c r="J1953" s="9" t="n">
        <v>0.67</v>
      </c>
      <c r="K1953" s="1" t="inlineStr">
        <is>
          <t>Yes</t>
        </is>
      </c>
      <c r="L1953" s="1" t="inlineStr">
        <is>
          <t>Yes</t>
        </is>
      </c>
      <c r="M1953" s="1" t="inlineStr">
        <is>
          <t>No</t>
        </is>
      </c>
      <c r="N1953" s="1" t="inlineStr">
        <is>
          <t>Algorithms</t>
        </is>
      </c>
      <c r="O19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54" ht="15.75" customHeight="1" s="12">
      <c r="A1954" s="1" t="n">
        <v>3243</v>
      </c>
      <c r="B1954" s="3">
        <f>HYPERLINK("https://leetcode.com/problems/shortest-distance-after-road-addition-queries-i/", "Shortest Distance After Road Addition Queries I")</f>
        <v/>
      </c>
      <c r="C1954" s="1" t="n">
        <v>629</v>
      </c>
      <c r="D1954" s="1" t="n">
        <v>29</v>
      </c>
      <c r="E1954" s="4">
        <f>IF(INDEX(C:C, ROW())+INDEX(D:D, ROW())=0, 0, INDEX(C:C, ROW())/(INDEX(C:C, ROW())+INDEX(D:D, ROW())))</f>
        <v/>
      </c>
      <c r="F1954" s="1" t="inlineStr">
        <is>
          <t>Array, Breadth-First Search, Graph Theory</t>
        </is>
      </c>
      <c r="G1954" s="1" t="inlineStr">
        <is>
          <t>Medium</t>
        </is>
      </c>
      <c r="H1954" s="1" t="n">
        <v>115350</v>
      </c>
      <c r="I1954" s="1" t="n">
        <v>186506</v>
      </c>
      <c r="J1954" s="9" t="n">
        <v>0.618</v>
      </c>
      <c r="K1954" s="1" t="inlineStr">
        <is>
          <t>Yes</t>
        </is>
      </c>
      <c r="L1954" s="1" t="inlineStr">
        <is>
          <t>Yes</t>
        </is>
      </c>
      <c r="M1954" s="1" t="inlineStr">
        <is>
          <t>No</t>
        </is>
      </c>
      <c r="N1954" s="1" t="inlineStr">
        <is>
          <t>Algorithms</t>
        </is>
      </c>
      <c r="O19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55" ht="15.75" customHeight="1" s="12">
      <c r="A1955" s="1" t="n">
        <v>294</v>
      </c>
      <c r="B1955" s="3">
        <f>HYPERLINK("https://leetcode.com/problems/flip-game-ii/", "Flip Game II")</f>
        <v/>
      </c>
      <c r="C1955" s="1" t="n">
        <v>628</v>
      </c>
      <c r="D1955" s="1" t="n">
        <v>67</v>
      </c>
      <c r="E1955" s="4">
        <f>IF(INDEX(C:C, ROW())+INDEX(D:D, ROW())=0, 0, INDEX(C:C, ROW())/(INDEX(C:C, ROW())+INDEX(D:D, ROW())))</f>
        <v/>
      </c>
      <c r="F1955" s="1" t="inlineStr">
        <is>
          <t>Math, Dynamic Programming, Backtracking, Memoization, Game Theory</t>
        </is>
      </c>
      <c r="G1955" s="1" t="inlineStr">
        <is>
          <t>Medium</t>
        </is>
      </c>
      <c r="H1955" s="1" t="n">
        <v>75325</v>
      </c>
      <c r="I1955" s="1" t="n">
        <v>144158</v>
      </c>
      <c r="J1955" s="9" t="n">
        <v>0.523</v>
      </c>
      <c r="K1955" s="1" t="inlineStr">
        <is>
          <t>No</t>
        </is>
      </c>
      <c r="L1955" s="1" t="inlineStr">
        <is>
          <t>No</t>
        </is>
      </c>
      <c r="M1955" s="1" t="inlineStr">
        <is>
          <t>No</t>
        </is>
      </c>
      <c r="N1955" s="1" t="inlineStr">
        <is>
          <t>Algorithms</t>
        </is>
      </c>
      <c r="O19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56" ht="15.75" customHeight="1" s="12">
      <c r="A1956" s="1" t="n">
        <v>1363</v>
      </c>
      <c r="B1956" s="3">
        <f>HYPERLINK("https://leetcode.com/problems/largest-multiple-of-three/", "Largest Multiple of Three")</f>
        <v/>
      </c>
      <c r="C1956" s="1" t="n">
        <v>628</v>
      </c>
      <c r="D1956" s="1" t="n">
        <v>91</v>
      </c>
      <c r="E1956" s="4">
        <f>IF(INDEX(C:C, ROW())+INDEX(D:D, ROW())=0, 0, INDEX(C:C, ROW())/(INDEX(C:C, ROW())+INDEX(D:D, ROW())))</f>
        <v/>
      </c>
      <c r="F1956" s="1" t="inlineStr">
        <is>
          <t>Array, Math, Dynamic Programming, Greedy, Sorting</t>
        </is>
      </c>
      <c r="G1956" s="1" t="inlineStr">
        <is>
          <t>Hard</t>
        </is>
      </c>
      <c r="H1956" s="1" t="n">
        <v>25631</v>
      </c>
      <c r="I1956" s="1" t="n">
        <v>77468</v>
      </c>
      <c r="J1956" s="9" t="n">
        <v>0.331</v>
      </c>
      <c r="K1956" s="1" t="inlineStr">
        <is>
          <t>Yes</t>
        </is>
      </c>
      <c r="L1956" s="1" t="inlineStr">
        <is>
          <t>No</t>
        </is>
      </c>
      <c r="M1956" s="1" t="inlineStr">
        <is>
          <t>No</t>
        </is>
      </c>
      <c r="N1956" s="1" t="inlineStr">
        <is>
          <t>Algorithms</t>
        </is>
      </c>
      <c r="O19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57" ht="15.75" customHeight="1" s="12">
      <c r="A1957" s="1" t="n">
        <v>1891</v>
      </c>
      <c r="B1957" s="3">
        <f>HYPERLINK("https://leetcode.com/problems/cutting-ribbons/", "Cutting Ribbons")</f>
        <v/>
      </c>
      <c r="C1957" s="1" t="n">
        <v>628</v>
      </c>
      <c r="D1957" s="1" t="n">
        <v>70</v>
      </c>
      <c r="E1957" s="4">
        <f>IF(INDEX(C:C, ROW())+INDEX(D:D, ROW())=0, 0, INDEX(C:C, ROW())/(INDEX(C:C, ROW())+INDEX(D:D, ROW())))</f>
        <v/>
      </c>
      <c r="F1957" s="1" t="inlineStr">
        <is>
          <t>Array, Binary Search</t>
        </is>
      </c>
      <c r="G1957" s="1" t="inlineStr">
        <is>
          <t>Medium</t>
        </is>
      </c>
      <c r="H1957" s="1" t="n">
        <v>87040</v>
      </c>
      <c r="I1957" s="1" t="n">
        <v>164310</v>
      </c>
      <c r="J1957" s="9" t="n">
        <v>0.53</v>
      </c>
      <c r="K1957" s="1" t="inlineStr">
        <is>
          <t>No</t>
        </is>
      </c>
      <c r="L1957" s="1" t="inlineStr">
        <is>
          <t>Yes</t>
        </is>
      </c>
      <c r="M1957" s="1" t="inlineStr">
        <is>
          <t>No</t>
        </is>
      </c>
      <c r="N1957" s="1" t="inlineStr">
        <is>
          <t>Algorithms</t>
        </is>
      </c>
      <c r="O19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58" ht="15.75" customHeight="1" s="12">
      <c r="A1958" s="1" t="n">
        <v>1982</v>
      </c>
      <c r="B1958" s="3">
        <f>HYPERLINK("https://leetcode.com/problems/find-array-given-subset-sums/", "Find Array Given Subset Sums")</f>
        <v/>
      </c>
      <c r="C1958" s="1" t="n">
        <v>628</v>
      </c>
      <c r="D1958" s="1" t="n">
        <v>44</v>
      </c>
      <c r="E1958" s="4">
        <f>IF(INDEX(C:C, ROW())+INDEX(D:D, ROW())=0, 0, INDEX(C:C, ROW())/(INDEX(C:C, ROW())+INDEX(D:D, ROW())))</f>
        <v/>
      </c>
      <c r="F1958" s="1" t="inlineStr">
        <is>
          <t>Array, Divide and Conquer</t>
        </is>
      </c>
      <c r="G1958" s="1" t="inlineStr">
        <is>
          <t>Hard</t>
        </is>
      </c>
      <c r="H1958" s="1" t="n">
        <v>7498</v>
      </c>
      <c r="I1958" s="1" t="n">
        <v>15234</v>
      </c>
      <c r="J1958" s="9" t="n">
        <v>0.492</v>
      </c>
      <c r="K1958" s="1" t="inlineStr">
        <is>
          <t>Yes</t>
        </is>
      </c>
      <c r="L1958" s="1" t="inlineStr">
        <is>
          <t>No</t>
        </is>
      </c>
      <c r="M1958" s="1" t="inlineStr">
        <is>
          <t>No</t>
        </is>
      </c>
      <c r="N1958" s="1" t="inlineStr">
        <is>
          <t>Algorithms</t>
        </is>
      </c>
      <c r="O19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59" ht="15.75" customHeight="1" s="12">
      <c r="A1959" s="1" t="n">
        <v>2043</v>
      </c>
      <c r="B1959" s="3">
        <f>HYPERLINK("https://leetcode.com/problems/simple-bank-system/", "Simple Bank System")</f>
        <v/>
      </c>
      <c r="C1959" s="1" t="n">
        <v>626</v>
      </c>
      <c r="D1959" s="1" t="n">
        <v>316</v>
      </c>
      <c r="E1959" s="4">
        <f>IF(INDEX(C:C, ROW())+INDEX(D:D, ROW())=0, 0, INDEX(C:C, ROW())/(INDEX(C:C, ROW())+INDEX(D:D, ROW())))</f>
        <v/>
      </c>
      <c r="F1959" s="1" t="inlineStr">
        <is>
          <t>Array, Hash Table, Design, Simulation</t>
        </is>
      </c>
      <c r="G1959" s="1" t="inlineStr">
        <is>
          <t>Medium</t>
        </is>
      </c>
      <c r="H1959" s="1" t="n">
        <v>168738</v>
      </c>
      <c r="I1959" s="1" t="n">
        <v>241245</v>
      </c>
      <c r="J1959" s="9" t="n">
        <v>0.699</v>
      </c>
      <c r="K1959" s="1" t="inlineStr">
        <is>
          <t>Yes</t>
        </is>
      </c>
      <c r="L1959" s="1" t="inlineStr">
        <is>
          <t>Yes</t>
        </is>
      </c>
      <c r="M1959" s="1" t="inlineStr">
        <is>
          <t>No</t>
        </is>
      </c>
      <c r="N1959" s="1" t="inlineStr">
        <is>
          <t>Algorithms</t>
        </is>
      </c>
      <c r="O19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60" ht="15.75" customHeight="1" s="12">
      <c r="A1960" s="1" t="n">
        <v>2713</v>
      </c>
      <c r="B1960" s="3">
        <f>HYPERLINK("https://leetcode.com/problems/maximum-strictly-increasing-cells-in-a-matrix/", "Maximum Strictly Increasing Cells in a Matrix")</f>
        <v/>
      </c>
      <c r="C1960" s="1" t="n">
        <v>625</v>
      </c>
      <c r="D1960" s="1" t="n">
        <v>22</v>
      </c>
      <c r="E1960" s="4">
        <f>IF(INDEX(C:C, ROW())+INDEX(D:D, ROW())=0, 0, INDEX(C:C, ROW())/(INDEX(C:C, ROW())+INDEX(D:D, ROW())))</f>
        <v/>
      </c>
      <c r="F1960" s="1" t="inlineStr">
        <is>
          <t>Array, Hash Table, Binary Search, Dynamic Programming, Memoization, Sorting, Matrix, Ordered Set</t>
        </is>
      </c>
      <c r="G1960" s="1" t="inlineStr">
        <is>
          <t>Hard</t>
        </is>
      </c>
      <c r="H1960" s="1" t="n">
        <v>16234</v>
      </c>
      <c r="I1960" s="1" t="n">
        <v>51973</v>
      </c>
      <c r="J1960" s="9" t="n">
        <v>0.312</v>
      </c>
      <c r="K1960" s="1" t="inlineStr">
        <is>
          <t>Yes</t>
        </is>
      </c>
      <c r="L1960" s="1" t="inlineStr">
        <is>
          <t>No</t>
        </is>
      </c>
      <c r="M1960" s="1" t="inlineStr">
        <is>
          <t>No</t>
        </is>
      </c>
      <c r="N1960" s="1" t="inlineStr">
        <is>
          <t>Algorithms</t>
        </is>
      </c>
      <c r="O19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61" ht="15.75" customHeight="1" s="12">
      <c r="A1961" s="1" t="n">
        <v>1952</v>
      </c>
      <c r="B1961" s="3">
        <f>HYPERLINK("https://leetcode.com/problems/three-divisors/", "Three Divisors")</f>
        <v/>
      </c>
      <c r="C1961" s="1" t="n">
        <v>624</v>
      </c>
      <c r="D1961" s="1" t="n">
        <v>35</v>
      </c>
      <c r="E1961" s="4">
        <f>IF(INDEX(C:C, ROW())+INDEX(D:D, ROW())=0, 0, INDEX(C:C, ROW())/(INDEX(C:C, ROW())+INDEX(D:D, ROW())))</f>
        <v/>
      </c>
      <c r="F1961" s="1" t="inlineStr">
        <is>
          <t>Math, Enumeration, Number Theory</t>
        </is>
      </c>
      <c r="G1961" s="1" t="inlineStr">
        <is>
          <t>Easy</t>
        </is>
      </c>
      <c r="H1961" s="1" t="n">
        <v>127151</v>
      </c>
      <c r="I1961" s="1" t="n">
        <v>199585</v>
      </c>
      <c r="J1961" s="9" t="n">
        <v>0.637</v>
      </c>
      <c r="K1961" s="1" t="inlineStr">
        <is>
          <t>Yes</t>
        </is>
      </c>
      <c r="L1961" s="1" t="inlineStr">
        <is>
          <t>No</t>
        </is>
      </c>
      <c r="M1961" s="1" t="inlineStr">
        <is>
          <t>No</t>
        </is>
      </c>
      <c r="N1961" s="1" t="inlineStr">
        <is>
          <t>Algorithms</t>
        </is>
      </c>
      <c r="O19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62" ht="15.75" customHeight="1" s="12">
      <c r="A1962" s="1" t="n">
        <v>2376</v>
      </c>
      <c r="B1962" s="3">
        <f>HYPERLINK("https://leetcode.com/problems/count-special-integers/", "Count Special Integers")</f>
        <v/>
      </c>
      <c r="C1962" s="1" t="n">
        <v>624</v>
      </c>
      <c r="D1962" s="1" t="n">
        <v>35</v>
      </c>
      <c r="E1962" s="4">
        <f>IF(INDEX(C:C, ROW())+INDEX(D:D, ROW())=0, 0, INDEX(C:C, ROW())/(INDEX(C:C, ROW())+INDEX(D:D, ROW())))</f>
        <v/>
      </c>
      <c r="F1962" s="1" t="inlineStr">
        <is>
          <t>Math, Dynamic Programming</t>
        </is>
      </c>
      <c r="G1962" s="1" t="inlineStr">
        <is>
          <t>Hard</t>
        </is>
      </c>
      <c r="H1962" s="1" t="n">
        <v>16395</v>
      </c>
      <c r="I1962" s="1" t="n">
        <v>39502</v>
      </c>
      <c r="J1962" s="9" t="n">
        <v>0.415</v>
      </c>
      <c r="K1962" s="1" t="inlineStr">
        <is>
          <t>Yes</t>
        </is>
      </c>
      <c r="L1962" s="1" t="inlineStr">
        <is>
          <t>No</t>
        </is>
      </c>
      <c r="M1962" s="1" t="inlineStr">
        <is>
          <t>No</t>
        </is>
      </c>
      <c r="N1962" s="1" t="inlineStr">
        <is>
          <t>Algorithms</t>
        </is>
      </c>
      <c r="O19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63" ht="15.75" customHeight="1" s="12">
      <c r="A1963" s="1" t="n">
        <v>3234</v>
      </c>
      <c r="B1963" s="3">
        <f>HYPERLINK("https://leetcode.com/problems/count-the-number-of-substrings-with-dominant-ones/", "Count the Number of Substrings With Dominant Ones")</f>
        <v/>
      </c>
      <c r="C1963" s="1" t="n">
        <v>624</v>
      </c>
      <c r="D1963" s="1" t="n">
        <v>168</v>
      </c>
      <c r="E1963" s="4">
        <f>IF(INDEX(C:C, ROW())+INDEX(D:D, ROW())=0, 0, INDEX(C:C, ROW())/(INDEX(C:C, ROW())+INDEX(D:D, ROW())))</f>
        <v/>
      </c>
      <c r="F1963" s="1" t="inlineStr">
        <is>
          <t>String, Enumeration</t>
        </is>
      </c>
      <c r="G1963" s="1" t="inlineStr">
        <is>
          <t>Medium</t>
        </is>
      </c>
      <c r="H1963" s="1" t="n">
        <v>63908</v>
      </c>
      <c r="I1963" s="1" t="n">
        <v>151427</v>
      </c>
      <c r="J1963" s="9" t="n">
        <v>0.422</v>
      </c>
      <c r="K1963" s="1" t="inlineStr">
        <is>
          <t>Yes</t>
        </is>
      </c>
      <c r="L1963" s="1" t="inlineStr">
        <is>
          <t>Yes</t>
        </is>
      </c>
      <c r="M1963" s="1" t="inlineStr">
        <is>
          <t>No</t>
        </is>
      </c>
      <c r="N1963" s="1" t="inlineStr">
        <is>
          <t>Algorithms</t>
        </is>
      </c>
      <c r="O19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64" ht="15.75" customHeight="1" s="12">
      <c r="A1964" s="1" t="n">
        <v>748</v>
      </c>
      <c r="B1964" s="3">
        <f>HYPERLINK("https://leetcode.com/problems/shortest-completing-word/", "Shortest Completing Word")</f>
        <v/>
      </c>
      <c r="C1964" s="1" t="n">
        <v>623</v>
      </c>
      <c r="D1964" s="1" t="n">
        <v>1130</v>
      </c>
      <c r="E1964" s="4">
        <f>IF(INDEX(C:C, ROW())+INDEX(D:D, ROW())=0, 0, INDEX(C:C, ROW())/(INDEX(C:C, ROW())+INDEX(D:D, ROW())))</f>
        <v/>
      </c>
      <c r="F1964" s="1" t="inlineStr">
        <is>
          <t>Array, Hash Table, String</t>
        </is>
      </c>
      <c r="G1964" s="1" t="inlineStr">
        <is>
          <t>Easy</t>
        </is>
      </c>
      <c r="H1964" s="1" t="n">
        <v>104908</v>
      </c>
      <c r="I1964" s="1" t="n">
        <v>167760</v>
      </c>
      <c r="J1964" s="9" t="n">
        <v>0.625</v>
      </c>
      <c r="K1964" s="1" t="inlineStr">
        <is>
          <t>Yes</t>
        </is>
      </c>
      <c r="L1964" s="1" t="inlineStr">
        <is>
          <t>Yes</t>
        </is>
      </c>
      <c r="M1964" s="1" t="inlineStr">
        <is>
          <t>No</t>
        </is>
      </c>
      <c r="N1964" s="1" t="inlineStr">
        <is>
          <t>Algorithms</t>
        </is>
      </c>
      <c r="O19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65" ht="15.75" customHeight="1" s="12">
      <c r="A1965" s="1" t="n">
        <v>760</v>
      </c>
      <c r="B1965" s="3">
        <f>HYPERLINK("https://leetcode.com/problems/find-anagram-mappings/", "Find Anagram Mappings")</f>
        <v/>
      </c>
      <c r="C1965" s="1" t="n">
        <v>623</v>
      </c>
      <c r="D1965" s="1" t="n">
        <v>233</v>
      </c>
      <c r="E1965" s="4">
        <f>IF(INDEX(C:C, ROW())+INDEX(D:D, ROW())=0, 0, INDEX(C:C, ROW())/(INDEX(C:C, ROW())+INDEX(D:D, ROW())))</f>
        <v/>
      </c>
      <c r="F1965" s="1" t="inlineStr">
        <is>
          <t>Array, Hash Table</t>
        </is>
      </c>
      <c r="G1965" s="1" t="inlineStr">
        <is>
          <t>Easy</t>
        </is>
      </c>
      <c r="H1965" s="1" t="n">
        <v>111143</v>
      </c>
      <c r="I1965" s="1" t="n">
        <v>132375</v>
      </c>
      <c r="J1965" s="9" t="n">
        <v>0.84</v>
      </c>
      <c r="K1965" s="1" t="inlineStr">
        <is>
          <t>No</t>
        </is>
      </c>
      <c r="L1965" s="1" t="inlineStr">
        <is>
          <t>Yes</t>
        </is>
      </c>
      <c r="M1965" s="1" t="inlineStr">
        <is>
          <t>Yes</t>
        </is>
      </c>
      <c r="N1965" s="1" t="inlineStr">
        <is>
          <t>Algorithms</t>
        </is>
      </c>
      <c r="O19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66" ht="15.75" customHeight="1" s="12">
      <c r="A1966" s="1" t="n">
        <v>1835</v>
      </c>
      <c r="B1966" s="3">
        <f>HYPERLINK("https://leetcode.com/problems/find-xor-sum-of-all-pairs-bitwise-and/", "Find XOR Sum of All Pairs Bitwise AND")</f>
        <v/>
      </c>
      <c r="C1966" s="1" t="n">
        <v>623</v>
      </c>
      <c r="D1966" s="1" t="n">
        <v>51</v>
      </c>
      <c r="E1966" s="4">
        <f>IF(INDEX(C:C, ROW())+INDEX(D:D, ROW())=0, 0, INDEX(C:C, ROW())/(INDEX(C:C, ROW())+INDEX(D:D, ROW())))</f>
        <v/>
      </c>
      <c r="F1966" s="1" t="inlineStr">
        <is>
          <t>Array, Math, Bit Manipulation</t>
        </is>
      </c>
      <c r="G1966" s="1" t="inlineStr">
        <is>
          <t>Hard</t>
        </is>
      </c>
      <c r="H1966" s="1" t="n">
        <v>25478</v>
      </c>
      <c r="I1966" s="1" t="n">
        <v>40941</v>
      </c>
      <c r="J1966" s="9" t="n">
        <v>0.622</v>
      </c>
      <c r="K1966" s="1" t="inlineStr">
        <is>
          <t>Yes</t>
        </is>
      </c>
      <c r="L1966" s="1" t="inlineStr">
        <is>
          <t>No</t>
        </is>
      </c>
      <c r="M1966" s="1" t="inlineStr">
        <is>
          <t>No</t>
        </is>
      </c>
      <c r="N1966" s="1" t="inlineStr">
        <is>
          <t>Algorithms</t>
        </is>
      </c>
      <c r="O19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67" ht="15.75" customHeight="1" s="12">
      <c r="A1967" s="1" t="n">
        <v>1725</v>
      </c>
      <c r="B1967" s="3">
        <f>HYPERLINK("https://leetcode.com/problems/number-of-rectangles-that-can-form-the-largest-square/", "Number Of Rectangles That Can Form The Largest Square")</f>
        <v/>
      </c>
      <c r="C1967" s="1" t="n">
        <v>622</v>
      </c>
      <c r="D1967" s="1" t="n">
        <v>75</v>
      </c>
      <c r="E1967" s="4">
        <f>IF(INDEX(C:C, ROW())+INDEX(D:D, ROW())=0, 0, INDEX(C:C, ROW())/(INDEX(C:C, ROW())+INDEX(D:D, ROW())))</f>
        <v/>
      </c>
      <c r="F1967" s="1" t="inlineStr">
        <is>
          <t>Array</t>
        </is>
      </c>
      <c r="G1967" s="1" t="inlineStr">
        <is>
          <t>Easy</t>
        </is>
      </c>
      <c r="H1967" s="1" t="n">
        <v>84996</v>
      </c>
      <c r="I1967" s="1" t="n">
        <v>107191</v>
      </c>
      <c r="J1967" s="9" t="n">
        <v>0.793</v>
      </c>
      <c r="K1967" s="1" t="inlineStr">
        <is>
          <t>Yes</t>
        </is>
      </c>
      <c r="L1967" s="1" t="inlineStr">
        <is>
          <t>No</t>
        </is>
      </c>
      <c r="M1967" s="1" t="inlineStr">
        <is>
          <t>No</t>
        </is>
      </c>
      <c r="N1967" s="1" t="inlineStr">
        <is>
          <t>Algorithms</t>
        </is>
      </c>
      <c r="O19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68" ht="15.75" customHeight="1" s="12">
      <c r="A1968" s="1" t="n">
        <v>1693</v>
      </c>
      <c r="B1968" s="3">
        <f>HYPERLINK("https://leetcode.com/problems/daily-leads-and-partners/", "Daily Leads and Partners")</f>
        <v/>
      </c>
      <c r="C1968" s="1" t="n">
        <v>621</v>
      </c>
      <c r="D1968" s="1" t="n">
        <v>35</v>
      </c>
      <c r="E1968" s="4">
        <f>IF(INDEX(C:C, ROW())+INDEX(D:D, ROW())=0, 0, INDEX(C:C, ROW())/(INDEX(C:C, ROW())+INDEX(D:D, ROW())))</f>
        <v/>
      </c>
      <c r="F1968" s="1" t="inlineStr">
        <is>
          <t>Database</t>
        </is>
      </c>
      <c r="G1968" s="1" t="inlineStr">
        <is>
          <t>Easy</t>
        </is>
      </c>
      <c r="H1968" s="1" t="n">
        <v>195641</v>
      </c>
      <c r="I1968" s="1" t="n">
        <v>225744</v>
      </c>
      <c r="J1968" s="9" t="n">
        <v>0.867</v>
      </c>
      <c r="K1968" s="1" t="inlineStr">
        <is>
          <t>Yes</t>
        </is>
      </c>
      <c r="L1968" s="1" t="inlineStr">
        <is>
          <t>Yes</t>
        </is>
      </c>
      <c r="M1968" s="1" t="inlineStr">
        <is>
          <t>No</t>
        </is>
      </c>
      <c r="N1968" s="1" t="inlineStr">
        <is>
          <t>Database</t>
        </is>
      </c>
      <c r="O19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69" ht="15.75" customHeight="1" s="12">
      <c r="A1969" s="1" t="n">
        <v>3394</v>
      </c>
      <c r="B1969" s="3">
        <f>HYPERLINK("https://leetcode.com/problems/check-if-grid-can-be-cut-into-sections/", "Check if Grid can be Cut into Sections")</f>
        <v/>
      </c>
      <c r="C1969" s="1" t="n">
        <v>621</v>
      </c>
      <c r="D1969" s="1" t="n">
        <v>37</v>
      </c>
      <c r="E1969" s="4">
        <f>IF(INDEX(C:C, ROW())+INDEX(D:D, ROW())=0, 0, INDEX(C:C, ROW())/(INDEX(C:C, ROW())+INDEX(D:D, ROW())))</f>
        <v/>
      </c>
      <c r="F1969" s="1" t="inlineStr">
        <is>
          <t>Array, Sorting</t>
        </is>
      </c>
      <c r="G1969" s="1" t="inlineStr">
        <is>
          <t>Medium</t>
        </is>
      </c>
      <c r="H1969" s="1" t="n">
        <v>112596</v>
      </c>
      <c r="I1969" s="1" t="n">
        <v>164925</v>
      </c>
      <c r="J1969" s="9" t="n">
        <v>0.6830000000000001</v>
      </c>
      <c r="K1969" s="1" t="inlineStr">
        <is>
          <t>Yes</t>
        </is>
      </c>
      <c r="L1969" s="1" t="inlineStr">
        <is>
          <t>Yes</t>
        </is>
      </c>
      <c r="M1969" s="1" t="inlineStr">
        <is>
          <t>No</t>
        </is>
      </c>
      <c r="N1969" s="1" t="inlineStr">
        <is>
          <t>Algorithms</t>
        </is>
      </c>
      <c r="O19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70" ht="15.75" customHeight="1" s="12">
      <c r="A1970" s="1" t="n">
        <v>1610</v>
      </c>
      <c r="B1970" s="3">
        <f>HYPERLINK("https://leetcode.com/problems/maximum-number-of-visible-points/", "Maximum Number of Visible Points")</f>
        <v/>
      </c>
      <c r="C1970" s="1" t="n">
        <v>620</v>
      </c>
      <c r="D1970" s="1" t="n">
        <v>766</v>
      </c>
      <c r="E1970" s="4">
        <f>IF(INDEX(C:C, ROW())+INDEX(D:D, ROW())=0, 0, INDEX(C:C, ROW())/(INDEX(C:C, ROW())+INDEX(D:D, ROW())))</f>
        <v/>
      </c>
      <c r="F1970" s="1" t="inlineStr">
        <is>
          <t>Array, Math, Geometry, Sliding Window, Sorting</t>
        </is>
      </c>
      <c r="G1970" s="1" t="inlineStr">
        <is>
          <t>Hard</t>
        </is>
      </c>
      <c r="H1970" s="1" t="n">
        <v>51379</v>
      </c>
      <c r="I1970" s="1" t="n">
        <v>135701</v>
      </c>
      <c r="J1970" s="9" t="n">
        <v>0.379</v>
      </c>
      <c r="K1970" s="1" t="inlineStr">
        <is>
          <t>Yes</t>
        </is>
      </c>
      <c r="L1970" s="1" t="inlineStr">
        <is>
          <t>No</t>
        </is>
      </c>
      <c r="M1970" s="1" t="inlineStr">
        <is>
          <t>No</t>
        </is>
      </c>
      <c r="N1970" s="1" t="inlineStr">
        <is>
          <t>Algorithms</t>
        </is>
      </c>
      <c r="O19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71" ht="15.75" customHeight="1" s="12">
      <c r="A1971" s="1" t="n">
        <v>2997</v>
      </c>
      <c r="B1971" s="3">
        <f>HYPERLINK("https://leetcode.com/problems/minimum-number-of-operations-to-make-array-xor-equal-to-k/", "Minimum Number of Operations to Make Array XOR Equal to K")</f>
        <v/>
      </c>
      <c r="C1971" s="1" t="n">
        <v>619</v>
      </c>
      <c r="D1971" s="1" t="n">
        <v>60</v>
      </c>
      <c r="E1971" s="4">
        <f>IF(INDEX(C:C, ROW())+INDEX(D:D, ROW())=0, 0, INDEX(C:C, ROW())/(INDEX(C:C, ROW())+INDEX(D:D, ROW())))</f>
        <v/>
      </c>
      <c r="F1971" s="1" t="inlineStr">
        <is>
          <t>Array, Bit Manipulation</t>
        </is>
      </c>
      <c r="G1971" s="1" t="inlineStr">
        <is>
          <t>Medium</t>
        </is>
      </c>
      <c r="H1971" s="1" t="n">
        <v>121926</v>
      </c>
      <c r="I1971" s="1" t="n">
        <v>142691</v>
      </c>
      <c r="J1971" s="9" t="n">
        <v>0.854</v>
      </c>
      <c r="K1971" s="1" t="inlineStr">
        <is>
          <t>Yes</t>
        </is>
      </c>
      <c r="L1971" s="1" t="inlineStr">
        <is>
          <t>Yes</t>
        </is>
      </c>
      <c r="M1971" s="1" t="inlineStr">
        <is>
          <t>No</t>
        </is>
      </c>
      <c r="N1971" s="1" t="inlineStr">
        <is>
          <t>Algorithms</t>
        </is>
      </c>
      <c r="O19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72" ht="15.75" customHeight="1" s="12">
      <c r="A1972" s="1" t="n">
        <v>1417</v>
      </c>
      <c r="B1972" s="3">
        <f>HYPERLINK("https://leetcode.com/problems/reformat-the-string/", "Reformat The String")</f>
        <v/>
      </c>
      <c r="C1972" s="1" t="n">
        <v>618</v>
      </c>
      <c r="D1972" s="1" t="n">
        <v>109</v>
      </c>
      <c r="E1972" s="4">
        <f>IF(INDEX(C:C, ROW())+INDEX(D:D, ROW())=0, 0, INDEX(C:C, ROW())/(INDEX(C:C, ROW())+INDEX(D:D, ROW())))</f>
        <v/>
      </c>
      <c r="F1972" s="1" t="inlineStr">
        <is>
          <t>String</t>
        </is>
      </c>
      <c r="G1972" s="1" t="inlineStr">
        <is>
          <t>Easy</t>
        </is>
      </c>
      <c r="H1972" s="1" t="n">
        <v>70426</v>
      </c>
      <c r="I1972" s="1" t="n">
        <v>135135</v>
      </c>
      <c r="J1972" s="9" t="n">
        <v>0.521</v>
      </c>
      <c r="K1972" s="1" t="inlineStr">
        <is>
          <t>Yes</t>
        </is>
      </c>
      <c r="L1972" s="1" t="inlineStr">
        <is>
          <t>No</t>
        </is>
      </c>
      <c r="M1972" s="1" t="inlineStr">
        <is>
          <t>No</t>
        </is>
      </c>
      <c r="N1972" s="1" t="inlineStr">
        <is>
          <t>Algorithms</t>
        </is>
      </c>
      <c r="O19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73" ht="15.75" customHeight="1" s="12">
      <c r="A1973" s="1" t="n">
        <v>1864</v>
      </c>
      <c r="B1973" s="3">
        <f>HYPERLINK("https://leetcode.com/problems/minimum-number-of-swaps-to-make-the-binary-string-alternating/", "Minimum Number of Swaps to Make the Binary String Alternating")</f>
        <v/>
      </c>
      <c r="C1973" s="1" t="n">
        <v>618</v>
      </c>
      <c r="D1973" s="1" t="n">
        <v>38</v>
      </c>
      <c r="E1973" s="4">
        <f>IF(INDEX(C:C, ROW())+INDEX(D:D, ROW())=0, 0, INDEX(C:C, ROW())/(INDEX(C:C, ROW())+INDEX(D:D, ROW())))</f>
        <v/>
      </c>
      <c r="F1973" s="1" t="inlineStr">
        <is>
          <t>String, Greedy</t>
        </is>
      </c>
      <c r="G1973" s="1" t="inlineStr">
        <is>
          <t>Medium</t>
        </is>
      </c>
      <c r="H1973" s="1" t="n">
        <v>34841</v>
      </c>
      <c r="I1973" s="1" t="n">
        <v>79584</v>
      </c>
      <c r="J1973" s="9" t="n">
        <v>0.438</v>
      </c>
      <c r="K1973" s="1" t="inlineStr">
        <is>
          <t>Yes</t>
        </is>
      </c>
      <c r="L1973" s="1" t="inlineStr">
        <is>
          <t>No</t>
        </is>
      </c>
      <c r="M1973" s="1" t="inlineStr">
        <is>
          <t>No</t>
        </is>
      </c>
      <c r="N1973" s="1" t="inlineStr">
        <is>
          <t>Algorithms</t>
        </is>
      </c>
      <c r="O19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74" ht="15.75" customHeight="1" s="12">
      <c r="A1974" s="1" t="n">
        <v>2276</v>
      </c>
      <c r="B1974" s="3">
        <f>HYPERLINK("https://leetcode.com/problems/count-integers-in-intervals/", "Count Integers in Intervals")</f>
        <v/>
      </c>
      <c r="C1974" s="1" t="n">
        <v>618</v>
      </c>
      <c r="D1974" s="1" t="n">
        <v>64</v>
      </c>
      <c r="E1974" s="4">
        <f>IF(INDEX(C:C, ROW())+INDEX(D:D, ROW())=0, 0, INDEX(C:C, ROW())/(INDEX(C:C, ROW())+INDEX(D:D, ROW())))</f>
        <v/>
      </c>
      <c r="F1974" s="1" t="inlineStr">
        <is>
          <t>Design, Segment Tree, Ordered Set</t>
        </is>
      </c>
      <c r="G1974" s="1" t="inlineStr">
        <is>
          <t>Hard</t>
        </is>
      </c>
      <c r="H1974" s="1" t="n">
        <v>28003</v>
      </c>
      <c r="I1974" s="1" t="n">
        <v>78775</v>
      </c>
      <c r="J1974" s="9" t="n">
        <v>0.355</v>
      </c>
      <c r="K1974" s="1" t="inlineStr">
        <is>
          <t>Yes</t>
        </is>
      </c>
      <c r="L1974" s="1" t="inlineStr">
        <is>
          <t>No</t>
        </is>
      </c>
      <c r="M1974" s="1" t="inlineStr">
        <is>
          <t>No</t>
        </is>
      </c>
      <c r="N1974" s="1" t="inlineStr">
        <is>
          <t>Algorithms</t>
        </is>
      </c>
      <c r="O19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75" ht="15.75" customHeight="1" s="12">
      <c r="A1975" s="1" t="n">
        <v>2608</v>
      </c>
      <c r="B1975" s="3">
        <f>HYPERLINK("https://leetcode.com/problems/shortest-cycle-in-a-graph/", "Shortest Cycle in a Graph")</f>
        <v/>
      </c>
      <c r="C1975" s="1" t="n">
        <v>618</v>
      </c>
      <c r="D1975" s="1" t="n">
        <v>19</v>
      </c>
      <c r="E1975" s="4">
        <f>IF(INDEX(C:C, ROW())+INDEX(D:D, ROW())=0, 0, INDEX(C:C, ROW())/(INDEX(C:C, ROW())+INDEX(D:D, ROW())))</f>
        <v/>
      </c>
      <c r="F1975" s="1" t="inlineStr">
        <is>
          <t>Breadth-First Search, Graph Theory</t>
        </is>
      </c>
      <c r="G1975" s="1" t="inlineStr">
        <is>
          <t>Hard</t>
        </is>
      </c>
      <c r="H1975" s="1" t="n">
        <v>28915</v>
      </c>
      <c r="I1975" s="1" t="n">
        <v>74401</v>
      </c>
      <c r="J1975" s="9" t="n">
        <v>0.389</v>
      </c>
      <c r="K1975" s="1" t="inlineStr">
        <is>
          <t>Yes</t>
        </is>
      </c>
      <c r="L1975" s="1" t="inlineStr">
        <is>
          <t>No</t>
        </is>
      </c>
      <c r="M1975" s="1" t="inlineStr">
        <is>
          <t>No</t>
        </is>
      </c>
      <c r="N1975" s="1" t="inlineStr">
        <is>
          <t>Algorithms</t>
        </is>
      </c>
      <c r="O19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76" ht="15.75" customHeight="1" s="12">
      <c r="A1976" s="1" t="n">
        <v>2365</v>
      </c>
      <c r="B1976" s="3">
        <f>HYPERLINK("https://leetcode.com/problems/task-scheduler-ii/", "Task Scheduler II")</f>
        <v/>
      </c>
      <c r="C1976" s="1" t="n">
        <v>617</v>
      </c>
      <c r="D1976" s="1" t="n">
        <v>73</v>
      </c>
      <c r="E1976" s="4">
        <f>IF(INDEX(C:C, ROW())+INDEX(D:D, ROW())=0, 0, INDEX(C:C, ROW())/(INDEX(C:C, ROW())+INDEX(D:D, ROW())))</f>
        <v/>
      </c>
      <c r="F1976" s="1" t="inlineStr">
        <is>
          <t>Array, Hash Table, Simulation</t>
        </is>
      </c>
      <c r="G1976" s="1" t="inlineStr">
        <is>
          <t>Medium</t>
        </is>
      </c>
      <c r="H1976" s="1" t="n">
        <v>55595</v>
      </c>
      <c r="I1976" s="1" t="n">
        <v>101833</v>
      </c>
      <c r="J1976" s="9" t="n">
        <v>0.546</v>
      </c>
      <c r="K1976" s="1" t="inlineStr">
        <is>
          <t>Yes</t>
        </is>
      </c>
      <c r="L1976" s="1" t="inlineStr">
        <is>
          <t>No</t>
        </is>
      </c>
      <c r="M1976" s="1" t="inlineStr">
        <is>
          <t>No</t>
        </is>
      </c>
      <c r="N1976" s="1" t="inlineStr">
        <is>
          <t>Algorithms</t>
        </is>
      </c>
      <c r="O19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77" ht="15.75" customHeight="1" s="12">
      <c r="A1977" s="1" t="n">
        <v>1213</v>
      </c>
      <c r="B1977" s="3">
        <f>HYPERLINK("https://leetcode.com/problems/intersection-of-three-sorted-arrays/", "Intersection of Three Sorted Arrays")</f>
        <v/>
      </c>
      <c r="C1977" s="1" t="n">
        <v>616</v>
      </c>
      <c r="D1977" s="1" t="n">
        <v>26</v>
      </c>
      <c r="E1977" s="4">
        <f>IF(INDEX(C:C, ROW())+INDEX(D:D, ROW())=0, 0, INDEX(C:C, ROW())/(INDEX(C:C, ROW())+INDEX(D:D, ROW())))</f>
        <v/>
      </c>
      <c r="F1977" s="1" t="inlineStr">
        <is>
          <t>Array, Hash Table, Binary Search, Counting</t>
        </is>
      </c>
      <c r="G1977" s="1" t="inlineStr">
        <is>
          <t>Easy</t>
        </is>
      </c>
      <c r="H1977" s="1" t="n">
        <v>102313</v>
      </c>
      <c r="I1977" s="1" t="n">
        <v>127860</v>
      </c>
      <c r="J1977" s="9" t="n">
        <v>0.8</v>
      </c>
      <c r="K1977" s="1" t="inlineStr">
        <is>
          <t>No</t>
        </is>
      </c>
      <c r="L1977" s="1" t="inlineStr">
        <is>
          <t>Yes</t>
        </is>
      </c>
      <c r="M1977" s="1" t="inlineStr">
        <is>
          <t>No</t>
        </is>
      </c>
      <c r="N1977" s="1" t="inlineStr">
        <is>
          <t>Algorithms</t>
        </is>
      </c>
      <c r="O19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78" ht="15.75" customHeight="1" s="12">
      <c r="A1978" s="1" t="n">
        <v>1948</v>
      </c>
      <c r="B1978" s="3">
        <f>HYPERLINK("https://leetcode.com/problems/delete-duplicate-folders-in-system/", "Delete Duplicate Folders in System")</f>
        <v/>
      </c>
      <c r="C1978" s="1" t="n">
        <v>616</v>
      </c>
      <c r="D1978" s="1" t="n">
        <v>141</v>
      </c>
      <c r="E1978" s="4">
        <f>IF(INDEX(C:C, ROW())+INDEX(D:D, ROW())=0, 0, INDEX(C:C, ROW())/(INDEX(C:C, ROW())+INDEX(D:D, ROW())))</f>
        <v/>
      </c>
      <c r="F1978" s="1" t="inlineStr">
        <is>
          <t>Array, Hash Table, String, Trie, Hash Function</t>
        </is>
      </c>
      <c r="G1978" s="1" t="inlineStr">
        <is>
          <t>Hard</t>
        </is>
      </c>
      <c r="H1978" s="1" t="n">
        <v>67438</v>
      </c>
      <c r="I1978" s="1" t="n">
        <v>86686</v>
      </c>
      <c r="J1978" s="9" t="n">
        <v>0.778</v>
      </c>
      <c r="K1978" s="1" t="inlineStr">
        <is>
          <t>Yes</t>
        </is>
      </c>
      <c r="L1978" s="1" t="inlineStr">
        <is>
          <t>Yes</t>
        </is>
      </c>
      <c r="M1978" s="1" t="inlineStr">
        <is>
          <t>No</t>
        </is>
      </c>
      <c r="N1978" s="1" t="inlineStr">
        <is>
          <t>Algorithms</t>
        </is>
      </c>
      <c r="O19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79" ht="15.75" customHeight="1" s="12">
      <c r="A1979" s="1" t="n">
        <v>2354</v>
      </c>
      <c r="B1979" s="3">
        <f>HYPERLINK("https://leetcode.com/problems/number-of-excellent-pairs/", "Number of Excellent Pairs")</f>
        <v/>
      </c>
      <c r="C1979" s="1" t="n">
        <v>616</v>
      </c>
      <c r="D1979" s="1" t="n">
        <v>25</v>
      </c>
      <c r="E1979" s="4">
        <f>IF(INDEX(C:C, ROW())+INDEX(D:D, ROW())=0, 0, INDEX(C:C, ROW())/(INDEX(C:C, ROW())+INDEX(D:D, ROW())))</f>
        <v/>
      </c>
      <c r="F1979" s="1" t="inlineStr">
        <is>
          <t>Array, Hash Table, Binary Search, Bit Manipulation</t>
        </is>
      </c>
      <c r="G1979" s="1" t="inlineStr">
        <is>
          <t>Hard</t>
        </is>
      </c>
      <c r="H1979" s="1" t="n">
        <v>18158</v>
      </c>
      <c r="I1979" s="1" t="n">
        <v>37158</v>
      </c>
      <c r="J1979" s="9" t="n">
        <v>0.489</v>
      </c>
      <c r="K1979" s="1" t="inlineStr">
        <is>
          <t>Yes</t>
        </is>
      </c>
      <c r="L1979" s="1" t="inlineStr">
        <is>
          <t>No</t>
        </is>
      </c>
      <c r="M1979" s="1" t="inlineStr">
        <is>
          <t>No</t>
        </is>
      </c>
      <c r="N1979" s="1" t="inlineStr">
        <is>
          <t>Algorithms</t>
        </is>
      </c>
      <c r="O19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80" ht="15.75" customHeight="1" s="12">
      <c r="A1980" s="1" t="n">
        <v>1665</v>
      </c>
      <c r="B1980" s="3">
        <f>HYPERLINK("https://leetcode.com/problems/minimum-initial-energy-to-finish-tasks/", "Minimum Initial Energy to Finish Tasks")</f>
        <v/>
      </c>
      <c r="C1980" s="1" t="n">
        <v>614</v>
      </c>
      <c r="D1980" s="1" t="n">
        <v>40</v>
      </c>
      <c r="E1980" s="4">
        <f>IF(INDEX(C:C, ROW())+INDEX(D:D, ROW())=0, 0, INDEX(C:C, ROW())/(INDEX(C:C, ROW())+INDEX(D:D, ROW())))</f>
        <v/>
      </c>
      <c r="F1980" s="1" t="inlineStr">
        <is>
          <t>Array, Greedy, Sorting</t>
        </is>
      </c>
      <c r="G1980" s="1" t="inlineStr">
        <is>
          <t>Hard</t>
        </is>
      </c>
      <c r="H1980" s="1" t="n">
        <v>22743</v>
      </c>
      <c r="I1980" s="1" t="n">
        <v>37542</v>
      </c>
      <c r="J1980" s="9" t="n">
        <v>0.606</v>
      </c>
      <c r="K1980" s="1" t="inlineStr">
        <is>
          <t>Yes</t>
        </is>
      </c>
      <c r="L1980" s="1" t="inlineStr">
        <is>
          <t>No</t>
        </is>
      </c>
      <c r="M1980" s="1" t="inlineStr">
        <is>
          <t>No</t>
        </is>
      </c>
      <c r="N1980" s="1" t="inlineStr">
        <is>
          <t>Algorithms</t>
        </is>
      </c>
      <c r="O19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81" ht="15.75" customHeight="1" s="12">
      <c r="A1981" s="1" t="n">
        <v>2943</v>
      </c>
      <c r="B1981" s="3">
        <f>HYPERLINK("https://leetcode.com/problems/maximize-area-of-square-hole-in-grid/", "Maximize Area of Square Hole in Grid")</f>
        <v/>
      </c>
      <c r="C1981" s="1" t="n">
        <v>614</v>
      </c>
      <c r="D1981" s="1" t="n">
        <v>275</v>
      </c>
      <c r="E1981" s="4">
        <f>IF(INDEX(C:C, ROW())+INDEX(D:D, ROW())=0, 0, INDEX(C:C, ROW())/(INDEX(C:C, ROW())+INDEX(D:D, ROW())))</f>
        <v/>
      </c>
      <c r="F1981" s="1" t="inlineStr">
        <is>
          <t>Array, Sorting</t>
        </is>
      </c>
      <c r="G1981" s="1" t="inlineStr">
        <is>
          <t>Medium</t>
        </is>
      </c>
      <c r="H1981" s="1" t="n">
        <v>94663</v>
      </c>
      <c r="I1981" s="1" t="n">
        <v>152901</v>
      </c>
      <c r="J1981" s="9" t="n">
        <v>0.619</v>
      </c>
      <c r="K1981" s="1" t="inlineStr">
        <is>
          <t>Yes</t>
        </is>
      </c>
      <c r="L1981" s="1" t="inlineStr">
        <is>
          <t>Yes</t>
        </is>
      </c>
      <c r="M1981" s="1" t="inlineStr">
        <is>
          <t>No</t>
        </is>
      </c>
      <c r="N1981" s="1" t="inlineStr">
        <is>
          <t>Algorithms</t>
        </is>
      </c>
      <c r="O19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82" ht="15.75" customHeight="1" s="12">
      <c r="A1982" s="1" t="n">
        <v>2170</v>
      </c>
      <c r="B1982" s="3">
        <f>HYPERLINK("https://leetcode.com/problems/minimum-operations-to-make-the-array-alternating/", "Minimum Operations to Make the Array Alternating")</f>
        <v/>
      </c>
      <c r="C1982" s="1" t="n">
        <v>612</v>
      </c>
      <c r="D1982" s="1" t="n">
        <v>344</v>
      </c>
      <c r="E1982" s="4">
        <f>IF(INDEX(C:C, ROW())+INDEX(D:D, ROW())=0, 0, INDEX(C:C, ROW())/(INDEX(C:C, ROW())+INDEX(D:D, ROW())))</f>
        <v/>
      </c>
      <c r="F1982" s="1" t="inlineStr">
        <is>
          <t>Array, Hash Table, Greedy, Counting</t>
        </is>
      </c>
      <c r="G1982" s="1" t="inlineStr">
        <is>
          <t>Medium</t>
        </is>
      </c>
      <c r="H1982" s="1" t="n">
        <v>28792</v>
      </c>
      <c r="I1982" s="1" t="n">
        <v>81912</v>
      </c>
      <c r="J1982" s="9" t="n">
        <v>0.351</v>
      </c>
      <c r="K1982" s="1" t="inlineStr">
        <is>
          <t>Yes</t>
        </is>
      </c>
      <c r="L1982" s="1" t="inlineStr">
        <is>
          <t>No</t>
        </is>
      </c>
      <c r="M1982" s="1" t="inlineStr">
        <is>
          <t>No</t>
        </is>
      </c>
      <c r="N1982" s="1" t="inlineStr">
        <is>
          <t>Algorithms</t>
        </is>
      </c>
      <c r="O19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83" ht="15.75" customHeight="1" s="12">
      <c r="A1983" s="1" t="n">
        <v>2166</v>
      </c>
      <c r="B1983" s="3">
        <f>HYPERLINK("https://leetcode.com/problems/design-bitset/", "Design Bitset")</f>
        <v/>
      </c>
      <c r="C1983" s="1" t="n">
        <v>611</v>
      </c>
      <c r="D1983" s="1" t="n">
        <v>49</v>
      </c>
      <c r="E1983" s="4">
        <f>IF(INDEX(C:C, ROW())+INDEX(D:D, ROW())=0, 0, INDEX(C:C, ROW())/(INDEX(C:C, ROW())+INDEX(D:D, ROW())))</f>
        <v/>
      </c>
      <c r="F1983" s="1" t="inlineStr">
        <is>
          <t>Array, Hash Table, String, Design</t>
        </is>
      </c>
      <c r="G1983" s="1" t="inlineStr">
        <is>
          <t>Medium</t>
        </is>
      </c>
      <c r="H1983" s="1" t="n">
        <v>27569</v>
      </c>
      <c r="I1983" s="1" t="n">
        <v>84962</v>
      </c>
      <c r="J1983" s="9" t="n">
        <v>0.324</v>
      </c>
      <c r="K1983" s="1" t="inlineStr">
        <is>
          <t>Yes</t>
        </is>
      </c>
      <c r="L1983" s="1" t="inlineStr">
        <is>
          <t>No</t>
        </is>
      </c>
      <c r="M1983" s="1" t="inlineStr">
        <is>
          <t>No</t>
        </is>
      </c>
      <c r="N1983" s="1" t="inlineStr">
        <is>
          <t>Algorithms</t>
        </is>
      </c>
      <c r="O19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84" ht="15.75" customHeight="1" s="12">
      <c r="A1984" s="1" t="n">
        <v>2334</v>
      </c>
      <c r="B1984" s="3">
        <f>HYPERLINK("https://leetcode.com/problems/subarray-with-elements-greater-than-varying-threshold/", "Subarray With Elements Greater Than Varying Threshold")</f>
        <v/>
      </c>
      <c r="C1984" s="1" t="n">
        <v>611</v>
      </c>
      <c r="D1984" s="1" t="n">
        <v>11</v>
      </c>
      <c r="E1984" s="4">
        <f>IF(INDEX(C:C, ROW())+INDEX(D:D, ROW())=0, 0, INDEX(C:C, ROW())/(INDEX(C:C, ROW())+INDEX(D:D, ROW())))</f>
        <v/>
      </c>
      <c r="F1984" s="1" t="inlineStr">
        <is>
          <t>Array, Stack, Union-Find, Monotonic Stack</t>
        </is>
      </c>
      <c r="G1984" s="1" t="inlineStr">
        <is>
          <t>Hard</t>
        </is>
      </c>
      <c r="H1984" s="1" t="n">
        <v>17331</v>
      </c>
      <c r="I1984" s="1" t="n">
        <v>38432</v>
      </c>
      <c r="J1984" s="9" t="n">
        <v>0.451</v>
      </c>
      <c r="K1984" s="1" t="inlineStr">
        <is>
          <t>Yes</t>
        </is>
      </c>
      <c r="L1984" s="1" t="inlineStr">
        <is>
          <t>No</t>
        </is>
      </c>
      <c r="M1984" s="1" t="inlineStr">
        <is>
          <t>No</t>
        </is>
      </c>
      <c r="N1984" s="1" t="inlineStr">
        <is>
          <t>Algorithms</t>
        </is>
      </c>
      <c r="O19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85" ht="15.75" customHeight="1" s="12">
      <c r="A1985" s="1" t="n">
        <v>2781</v>
      </c>
      <c r="B1985" s="3">
        <f>HYPERLINK("https://leetcode.com/problems/length-of-the-longest-valid-substring/", "Length of the Longest Valid Substring")</f>
        <v/>
      </c>
      <c r="C1985" s="1" t="n">
        <v>610</v>
      </c>
      <c r="D1985" s="1" t="n">
        <v>32</v>
      </c>
      <c r="E1985" s="4">
        <f>IF(INDEX(C:C, ROW())+INDEX(D:D, ROW())=0, 0, INDEX(C:C, ROW())/(INDEX(C:C, ROW())+INDEX(D:D, ROW())))</f>
        <v/>
      </c>
      <c r="F1985" s="1" t="inlineStr">
        <is>
          <t>Array, Hash Table, String, Sliding Window</t>
        </is>
      </c>
      <c r="G1985" s="1" t="inlineStr">
        <is>
          <t>Hard</t>
        </is>
      </c>
      <c r="H1985" s="1" t="n">
        <v>38003</v>
      </c>
      <c r="I1985" s="1" t="n">
        <v>99663</v>
      </c>
      <c r="J1985" s="9" t="n">
        <v>0.381</v>
      </c>
      <c r="K1985" s="1" t="inlineStr">
        <is>
          <t>Yes</t>
        </is>
      </c>
      <c r="L1985" s="1" t="inlineStr">
        <is>
          <t>No</t>
        </is>
      </c>
      <c r="M1985" s="1" t="inlineStr">
        <is>
          <t>No</t>
        </is>
      </c>
      <c r="N1985" s="1" t="inlineStr">
        <is>
          <t>Algorithms</t>
        </is>
      </c>
      <c r="O19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86" ht="15.75" customHeight="1" s="12">
      <c r="A1986" s="1" t="n">
        <v>3335</v>
      </c>
      <c r="B1986" s="3">
        <f>HYPERLINK("https://leetcode.com/problems/total-characters-in-string-after-transformations-i/", "Total Characters in String After Transformations I")</f>
        <v/>
      </c>
      <c r="C1986" s="1" t="n">
        <v>610</v>
      </c>
      <c r="D1986" s="1" t="n">
        <v>46</v>
      </c>
      <c r="E1986" s="4">
        <f>IF(INDEX(C:C, ROW())+INDEX(D:D, ROW())=0, 0, INDEX(C:C, ROW())/(INDEX(C:C, ROW())+INDEX(D:D, ROW())))</f>
        <v/>
      </c>
      <c r="F1986" s="1" t="inlineStr">
        <is>
          <t>Hash Table, Math, String, Dynamic Programming, Counting</t>
        </is>
      </c>
      <c r="G1986" s="1" t="inlineStr">
        <is>
          <t>Medium</t>
        </is>
      </c>
      <c r="H1986" s="1" t="n">
        <v>116377</v>
      </c>
      <c r="I1986" s="1" t="n">
        <v>254662</v>
      </c>
      <c r="J1986" s="9" t="n">
        <v>0.457</v>
      </c>
      <c r="K1986" s="1" t="inlineStr">
        <is>
          <t>Yes</t>
        </is>
      </c>
      <c r="L1986" s="1" t="inlineStr">
        <is>
          <t>Yes</t>
        </is>
      </c>
      <c r="M1986" s="1" t="inlineStr">
        <is>
          <t>No</t>
        </is>
      </c>
      <c r="N1986" s="1" t="inlineStr">
        <is>
          <t>Algorithms</t>
        </is>
      </c>
      <c r="O19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87" ht="15.75" customHeight="1" s="12">
      <c r="A1987" s="1" t="n">
        <v>2571</v>
      </c>
      <c r="B1987" s="3">
        <f>HYPERLINK("https://leetcode.com/problems/minimum-operations-to-reduce-an-integer-to-0/", "Minimum Operations to Reduce an Integer to 0")</f>
        <v/>
      </c>
      <c r="C1987" s="1" t="n">
        <v>609</v>
      </c>
      <c r="D1987" s="1" t="n">
        <v>197</v>
      </c>
      <c r="E1987" s="4">
        <f>IF(INDEX(C:C, ROW())+INDEX(D:D, ROW())=0, 0, INDEX(C:C, ROW())/(INDEX(C:C, ROW())+INDEX(D:D, ROW())))</f>
        <v/>
      </c>
      <c r="F1987" s="1" t="inlineStr">
        <is>
          <t>Dynamic Programming, Greedy, Bit Manipulation</t>
        </is>
      </c>
      <c r="G1987" s="1" t="inlineStr">
        <is>
          <t>Medium</t>
        </is>
      </c>
      <c r="H1987" s="1" t="n">
        <v>48119</v>
      </c>
      <c r="I1987" s="1" t="n">
        <v>79583</v>
      </c>
      <c r="J1987" s="9" t="n">
        <v>0.605</v>
      </c>
      <c r="K1987" s="1" t="inlineStr">
        <is>
          <t>Yes</t>
        </is>
      </c>
      <c r="L1987" s="1" t="inlineStr">
        <is>
          <t>No</t>
        </is>
      </c>
      <c r="M1987" s="1" t="inlineStr">
        <is>
          <t>No</t>
        </is>
      </c>
      <c r="N1987" s="1" t="inlineStr">
        <is>
          <t>Algorithms</t>
        </is>
      </c>
      <c r="O19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88" ht="15.75" customHeight="1" s="12">
      <c r="A1988" s="1" t="n">
        <v>1754</v>
      </c>
      <c r="B1988" s="3">
        <f>HYPERLINK("https://leetcode.com/problems/largest-merge-of-two-strings/", "Largest Merge Of Two Strings")</f>
        <v/>
      </c>
      <c r="C1988" s="1" t="n">
        <v>608</v>
      </c>
      <c r="D1988" s="1" t="n">
        <v>87</v>
      </c>
      <c r="E1988" s="4">
        <f>IF(INDEX(C:C, ROW())+INDEX(D:D, ROW())=0, 0, INDEX(C:C, ROW())/(INDEX(C:C, ROW())+INDEX(D:D, ROW())))</f>
        <v/>
      </c>
      <c r="F1988" s="1" t="inlineStr">
        <is>
          <t>Two Pointers, String, Greedy</t>
        </is>
      </c>
      <c r="G1988" s="1" t="inlineStr">
        <is>
          <t>Medium</t>
        </is>
      </c>
      <c r="H1988" s="1" t="n">
        <v>33473</v>
      </c>
      <c r="I1988" s="1" t="n">
        <v>62997</v>
      </c>
      <c r="J1988" s="9" t="n">
        <v>0.531</v>
      </c>
      <c r="K1988" s="1" t="inlineStr">
        <is>
          <t>Yes</t>
        </is>
      </c>
      <c r="L1988" s="1" t="inlineStr">
        <is>
          <t>No</t>
        </is>
      </c>
      <c r="M1988" s="1" t="inlineStr">
        <is>
          <t>No</t>
        </is>
      </c>
      <c r="N1988" s="1" t="inlineStr">
        <is>
          <t>Algorithms</t>
        </is>
      </c>
      <c r="O19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89" ht="15.75" customHeight="1" s="12">
      <c r="A1989" s="1" t="n">
        <v>2395</v>
      </c>
      <c r="B1989" s="3">
        <f>HYPERLINK("https://leetcode.com/problems/find-subarrays-with-equal-sum/", "Find Subarrays With Equal Sum")</f>
        <v/>
      </c>
      <c r="C1989" s="1" t="n">
        <v>608</v>
      </c>
      <c r="D1989" s="1" t="n">
        <v>33</v>
      </c>
      <c r="E1989" s="4">
        <f>IF(INDEX(C:C, ROW())+INDEX(D:D, ROW())=0, 0, INDEX(C:C, ROW())/(INDEX(C:C, ROW())+INDEX(D:D, ROW())))</f>
        <v/>
      </c>
      <c r="F1989" s="1" t="inlineStr">
        <is>
          <t>Array, Hash Table</t>
        </is>
      </c>
      <c r="G1989" s="1" t="inlineStr">
        <is>
          <t>Easy</t>
        </is>
      </c>
      <c r="H1989" s="1" t="n">
        <v>70232</v>
      </c>
      <c r="I1989" s="1" t="n">
        <v>105142</v>
      </c>
      <c r="J1989" s="9" t="n">
        <v>0.668</v>
      </c>
      <c r="K1989" s="1" t="inlineStr">
        <is>
          <t>Yes</t>
        </is>
      </c>
      <c r="L1989" s="1" t="inlineStr">
        <is>
          <t>No</t>
        </is>
      </c>
      <c r="M1989" s="1" t="inlineStr">
        <is>
          <t>No</t>
        </is>
      </c>
      <c r="N1989" s="1" t="inlineStr">
        <is>
          <t>Algorithms</t>
        </is>
      </c>
      <c r="O19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90" ht="15.75" customHeight="1" s="12">
      <c r="A1990" s="1" t="n">
        <v>2453</v>
      </c>
      <c r="B1990" s="3">
        <f>HYPERLINK("https://leetcode.com/problems/destroy-sequential-targets/", "Destroy Sequential Targets")</f>
        <v/>
      </c>
      <c r="C1990" s="1" t="n">
        <v>608</v>
      </c>
      <c r="D1990" s="1" t="n">
        <v>34</v>
      </c>
      <c r="E1990" s="4">
        <f>IF(INDEX(C:C, ROW())+INDEX(D:D, ROW())=0, 0, INDEX(C:C, ROW())/(INDEX(C:C, ROW())+INDEX(D:D, ROW())))</f>
        <v/>
      </c>
      <c r="F1990" s="1" t="inlineStr">
        <is>
          <t>Array, Hash Table, Counting</t>
        </is>
      </c>
      <c r="G1990" s="1" t="inlineStr">
        <is>
          <t>Medium</t>
        </is>
      </c>
      <c r="H1990" s="1" t="n">
        <v>22680</v>
      </c>
      <c r="I1990" s="1" t="n">
        <v>54605</v>
      </c>
      <c r="J1990" s="9" t="n">
        <v>0.415</v>
      </c>
      <c r="K1990" s="1" t="inlineStr">
        <is>
          <t>Yes</t>
        </is>
      </c>
      <c r="L1990" s="1" t="inlineStr">
        <is>
          <t>No</t>
        </is>
      </c>
      <c r="M1990" s="1" t="inlineStr">
        <is>
          <t>No</t>
        </is>
      </c>
      <c r="N1990" s="1" t="inlineStr">
        <is>
          <t>Algorithms</t>
        </is>
      </c>
      <c r="O19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91" ht="15.75" customHeight="1" s="12">
      <c r="A1991" s="1" t="n">
        <v>2531</v>
      </c>
      <c r="B1991" s="3">
        <f>HYPERLINK("https://leetcode.com/problems/make-number-of-distinct-characters-equal/", "Make Number of Distinct Characters Equal")</f>
        <v/>
      </c>
      <c r="C1991" s="1" t="n">
        <v>608</v>
      </c>
      <c r="D1991" s="1" t="n">
        <v>159</v>
      </c>
      <c r="E1991" s="4">
        <f>IF(INDEX(C:C, ROW())+INDEX(D:D, ROW())=0, 0, INDEX(C:C, ROW())/(INDEX(C:C, ROW())+INDEX(D:D, ROW())))</f>
        <v/>
      </c>
      <c r="F1991" s="1" t="inlineStr">
        <is>
          <t>Hash Table, String, Counting</t>
        </is>
      </c>
      <c r="G1991" s="1" t="inlineStr">
        <is>
          <t>Medium</t>
        </is>
      </c>
      <c r="H1991" s="1" t="n">
        <v>23495</v>
      </c>
      <c r="I1991" s="1" t="n">
        <v>85794</v>
      </c>
      <c r="J1991" s="9" t="n">
        <v>0.274</v>
      </c>
      <c r="K1991" s="1" t="inlineStr">
        <is>
          <t>Yes</t>
        </is>
      </c>
      <c r="L1991" s="1" t="inlineStr">
        <is>
          <t>No</t>
        </is>
      </c>
      <c r="M1991" s="1" t="inlineStr">
        <is>
          <t>No</t>
        </is>
      </c>
      <c r="N1991" s="1" t="inlineStr">
        <is>
          <t>Algorithms</t>
        </is>
      </c>
      <c r="O19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92" ht="15.75" customHeight="1" s="12">
      <c r="A1992" s="1" t="n">
        <v>2566</v>
      </c>
      <c r="B1992" s="3">
        <f>HYPERLINK("https://leetcode.com/problems/maximum-difference-by-remapping-a-digit/", "Maximum Difference by Remapping a Digit")</f>
        <v/>
      </c>
      <c r="C1992" s="1" t="n">
        <v>608</v>
      </c>
      <c r="D1992" s="1" t="n">
        <v>75</v>
      </c>
      <c r="E1992" s="4">
        <f>IF(INDEX(C:C, ROW())+INDEX(D:D, ROW())=0, 0, INDEX(C:C, ROW())/(INDEX(C:C, ROW())+INDEX(D:D, ROW())))</f>
        <v/>
      </c>
      <c r="F1992" s="1" t="inlineStr">
        <is>
          <t>Math, Greedy</t>
        </is>
      </c>
      <c r="G1992" s="1" t="inlineStr">
        <is>
          <t>Easy</t>
        </is>
      </c>
      <c r="H1992" s="1" t="n">
        <v>132154</v>
      </c>
      <c r="I1992" s="1" t="n">
        <v>173680</v>
      </c>
      <c r="J1992" s="9" t="n">
        <v>0.761</v>
      </c>
      <c r="K1992" s="1" t="inlineStr">
        <is>
          <t>Yes</t>
        </is>
      </c>
      <c r="L1992" s="1" t="inlineStr">
        <is>
          <t>Yes</t>
        </is>
      </c>
      <c r="M1992" s="1" t="inlineStr">
        <is>
          <t>No</t>
        </is>
      </c>
      <c r="N1992" s="1" t="inlineStr">
        <is>
          <t>Algorithms</t>
        </is>
      </c>
      <c r="O19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93" ht="15.75" customHeight="1" s="12">
      <c r="A1993" s="1" t="n">
        <v>444</v>
      </c>
      <c r="B1993" s="3">
        <f>HYPERLINK("https://leetcode.com/problems/sequence-reconstruction/", "Sequence Reconstruction")</f>
        <v/>
      </c>
      <c r="C1993" s="1" t="n">
        <v>607</v>
      </c>
      <c r="D1993" s="1" t="n">
        <v>1546</v>
      </c>
      <c r="E1993" s="4">
        <f>IF(INDEX(C:C, ROW())+INDEX(D:D, ROW())=0, 0, INDEX(C:C, ROW())/(INDEX(C:C, ROW())+INDEX(D:D, ROW())))</f>
        <v/>
      </c>
      <c r="F1993" s="1" t="inlineStr">
        <is>
          <t>Array, Graph Theory, Topological Sort</t>
        </is>
      </c>
      <c r="G1993" s="1" t="inlineStr">
        <is>
          <t>Medium</t>
        </is>
      </c>
      <c r="H1993" s="1" t="n">
        <v>63583</v>
      </c>
      <c r="I1993" s="1" t="n">
        <v>209954</v>
      </c>
      <c r="J1993" s="9" t="n">
        <v>0.303</v>
      </c>
      <c r="K1993" s="1" t="inlineStr">
        <is>
          <t>No</t>
        </is>
      </c>
      <c r="L1993" s="1" t="inlineStr">
        <is>
          <t>No</t>
        </is>
      </c>
      <c r="M1993" s="1" t="inlineStr">
        <is>
          <t>No</t>
        </is>
      </c>
      <c r="N1993" s="1" t="inlineStr">
        <is>
          <t>Algorithms</t>
        </is>
      </c>
      <c r="O19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94" ht="15.75" customHeight="1" s="12">
      <c r="A1994" s="1" t="n">
        <v>892</v>
      </c>
      <c r="B1994" s="3">
        <f>HYPERLINK("https://leetcode.com/problems/surface-area-of-3d-shapes/", "Surface Area of 3D Shapes")</f>
        <v/>
      </c>
      <c r="C1994" s="1" t="n">
        <v>607</v>
      </c>
      <c r="D1994" s="1" t="n">
        <v>761</v>
      </c>
      <c r="E1994" s="4">
        <f>IF(INDEX(C:C, ROW())+INDEX(D:D, ROW())=0, 0, INDEX(C:C, ROW())/(INDEX(C:C, ROW())+INDEX(D:D, ROW())))</f>
        <v/>
      </c>
      <c r="F1994" s="1" t="inlineStr">
        <is>
          <t>Array, Math, Geometry, Matrix</t>
        </is>
      </c>
      <c r="G1994" s="1" t="inlineStr">
        <is>
          <t>Easy</t>
        </is>
      </c>
      <c r="H1994" s="1" t="n">
        <v>54679</v>
      </c>
      <c r="I1994" s="1" t="n">
        <v>77906</v>
      </c>
      <c r="J1994" s="9" t="n">
        <v>0.702</v>
      </c>
      <c r="K1994" s="1" t="inlineStr">
        <is>
          <t>Yes</t>
        </is>
      </c>
      <c r="L1994" s="1" t="inlineStr">
        <is>
          <t>Yes</t>
        </is>
      </c>
      <c r="M1994" s="1" t="inlineStr">
        <is>
          <t>No</t>
        </is>
      </c>
      <c r="N1994" s="1" t="inlineStr">
        <is>
          <t>Algorithms</t>
        </is>
      </c>
      <c r="O19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95" ht="15.75" customHeight="1" s="12">
      <c r="A1995" s="1" t="n">
        <v>1100</v>
      </c>
      <c r="B1995" s="3">
        <f>HYPERLINK("https://leetcode.com/problems/find-k-length-substrings-with-no-repeated-characters/", "Find K-Length Substrings With No Repeated Characters")</f>
        <v/>
      </c>
      <c r="C1995" s="1" t="n">
        <v>606</v>
      </c>
      <c r="D1995" s="1" t="n">
        <v>11</v>
      </c>
      <c r="E1995" s="4">
        <f>IF(INDEX(C:C, ROW())+INDEX(D:D, ROW())=0, 0, INDEX(C:C, ROW())/(INDEX(C:C, ROW())+INDEX(D:D, ROW())))</f>
        <v/>
      </c>
      <c r="F1995" s="1" t="inlineStr">
        <is>
          <t>Hash Table, String, Sliding Window</t>
        </is>
      </c>
      <c r="G1995" s="1" t="inlineStr">
        <is>
          <t>Medium</t>
        </is>
      </c>
      <c r="H1995" s="1" t="n">
        <v>55358</v>
      </c>
      <c r="I1995" s="1" t="n">
        <v>72450</v>
      </c>
      <c r="J1995" s="9" t="n">
        <v>0.764</v>
      </c>
      <c r="K1995" s="1" t="inlineStr">
        <is>
          <t>No</t>
        </is>
      </c>
      <c r="L1995" s="1" t="inlineStr">
        <is>
          <t>Yes</t>
        </is>
      </c>
      <c r="M1995" s="1" t="inlineStr">
        <is>
          <t>No</t>
        </is>
      </c>
      <c r="N1995" s="1" t="inlineStr">
        <is>
          <t>Algorithms</t>
        </is>
      </c>
      <c r="O19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96" ht="15.75" customHeight="1" s="12">
      <c r="A1996" s="1" t="n">
        <v>1198</v>
      </c>
      <c r="B1996" s="3">
        <f>HYPERLINK("https://leetcode.com/problems/find-smallest-common-element-in-all-rows/", "Find Smallest Common Element in All Rows")</f>
        <v/>
      </c>
      <c r="C1996" s="1" t="n">
        <v>606</v>
      </c>
      <c r="D1996" s="1" t="n">
        <v>34</v>
      </c>
      <c r="E1996" s="4">
        <f>IF(INDEX(C:C, ROW())+INDEX(D:D, ROW())=0, 0, INDEX(C:C, ROW())/(INDEX(C:C, ROW())+INDEX(D:D, ROW())))</f>
        <v/>
      </c>
      <c r="F1996" s="1" t="inlineStr">
        <is>
          <t>Array, Hash Table, Binary Search, Matrix, Counting</t>
        </is>
      </c>
      <c r="G1996" s="1" t="inlineStr">
        <is>
          <t>Medium</t>
        </is>
      </c>
      <c r="H1996" s="1" t="n">
        <v>54764</v>
      </c>
      <c r="I1996" s="1" t="n">
        <v>71328</v>
      </c>
      <c r="J1996" s="9" t="n">
        <v>0.768</v>
      </c>
      <c r="K1996" s="1" t="inlineStr">
        <is>
          <t>No</t>
        </is>
      </c>
      <c r="L1996" s="1" t="inlineStr">
        <is>
          <t>Yes</t>
        </is>
      </c>
      <c r="M1996" s="1" t="inlineStr">
        <is>
          <t>Yes</t>
        </is>
      </c>
      <c r="N1996" s="1" t="inlineStr">
        <is>
          <t>Algorithms</t>
        </is>
      </c>
      <c r="O19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97" ht="15.75" customHeight="1" s="12">
      <c r="A1997" s="1" t="n">
        <v>1627</v>
      </c>
      <c r="B1997" s="3">
        <f>HYPERLINK("https://leetcode.com/problems/graph-connectivity-with-threshold/", "Graph Connectivity With Threshold")</f>
        <v/>
      </c>
      <c r="C1997" s="1" t="n">
        <v>606</v>
      </c>
      <c r="D1997" s="1" t="n">
        <v>34</v>
      </c>
      <c r="E1997" s="4">
        <f>IF(INDEX(C:C, ROW())+INDEX(D:D, ROW())=0, 0, INDEX(C:C, ROW())/(INDEX(C:C, ROW())+INDEX(D:D, ROW())))</f>
        <v/>
      </c>
      <c r="F1997" s="1" t="inlineStr">
        <is>
          <t>Array, Math, Union-Find, Number Theory</t>
        </is>
      </c>
      <c r="G1997" s="1" t="inlineStr">
        <is>
          <t>Hard</t>
        </is>
      </c>
      <c r="H1997" s="1" t="n">
        <v>22901</v>
      </c>
      <c r="I1997" s="1" t="n">
        <v>46618</v>
      </c>
      <c r="J1997" s="9" t="n">
        <v>0.491</v>
      </c>
      <c r="K1997" s="1" t="inlineStr">
        <is>
          <t>Yes</t>
        </is>
      </c>
      <c r="L1997" s="1" t="inlineStr">
        <is>
          <t>No</t>
        </is>
      </c>
      <c r="M1997" s="1" t="inlineStr">
        <is>
          <t>No</t>
        </is>
      </c>
      <c r="N1997" s="1" t="inlineStr">
        <is>
          <t>Algorithms</t>
        </is>
      </c>
      <c r="O19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98" ht="15.75" customHeight="1" s="12">
      <c r="A1998" s="1" t="n">
        <v>1880</v>
      </c>
      <c r="B1998" s="3">
        <f>HYPERLINK("https://leetcode.com/problems/check-if-word-equals-summation-of-two-words/", "Check if Word Equals Summation of Two Words")</f>
        <v/>
      </c>
      <c r="C1998" s="1" t="n">
        <v>606</v>
      </c>
      <c r="D1998" s="1" t="n">
        <v>42</v>
      </c>
      <c r="E1998" s="4">
        <f>IF(INDEX(C:C, ROW())+INDEX(D:D, ROW())=0, 0, INDEX(C:C, ROW())/(INDEX(C:C, ROW())+INDEX(D:D, ROW())))</f>
        <v/>
      </c>
      <c r="F1998" s="1" t="inlineStr">
        <is>
          <t>String</t>
        </is>
      </c>
      <c r="G1998" s="1" t="inlineStr">
        <is>
          <t>Easy</t>
        </is>
      </c>
      <c r="H1998" s="1" t="n">
        <v>81177</v>
      </c>
      <c r="I1998" s="1" t="n">
        <v>108085</v>
      </c>
      <c r="J1998" s="9" t="n">
        <v>0.751</v>
      </c>
      <c r="K1998" s="1" t="inlineStr">
        <is>
          <t>Yes</t>
        </is>
      </c>
      <c r="L1998" s="1" t="inlineStr">
        <is>
          <t>No</t>
        </is>
      </c>
      <c r="M1998" s="1" t="inlineStr">
        <is>
          <t>No</t>
        </is>
      </c>
      <c r="N1998" s="1" t="inlineStr">
        <is>
          <t>Algorithms</t>
        </is>
      </c>
      <c r="O19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1999" ht="15.75" customHeight="1" s="12">
      <c r="A1999" s="1" t="n">
        <v>2363</v>
      </c>
      <c r="B1999" s="3">
        <f>HYPERLINK("https://leetcode.com/problems/merge-similar-items/", "Merge Similar Items")</f>
        <v/>
      </c>
      <c r="C1999" s="1" t="n">
        <v>606</v>
      </c>
      <c r="D1999" s="1" t="n">
        <v>30</v>
      </c>
      <c r="E1999" s="4">
        <f>IF(INDEX(C:C, ROW())+INDEX(D:D, ROW())=0, 0, INDEX(C:C, ROW())/(INDEX(C:C, ROW())+INDEX(D:D, ROW())))</f>
        <v/>
      </c>
      <c r="F1999" s="1" t="inlineStr">
        <is>
          <t>Array, Hash Table, Sorting, Ordered Set</t>
        </is>
      </c>
      <c r="G1999" s="1" t="inlineStr">
        <is>
          <t>Easy</t>
        </is>
      </c>
      <c r="H1999" s="1" t="n">
        <v>77926</v>
      </c>
      <c r="I1999" s="1" t="n">
        <v>100835</v>
      </c>
      <c r="J1999" s="9" t="n">
        <v>0.773</v>
      </c>
      <c r="K1999" s="1" t="inlineStr">
        <is>
          <t>Yes</t>
        </is>
      </c>
      <c r="L1999" s="1" t="inlineStr">
        <is>
          <t>No</t>
        </is>
      </c>
      <c r="M1999" s="1" t="inlineStr">
        <is>
          <t>No</t>
        </is>
      </c>
      <c r="N1999" s="1" t="inlineStr">
        <is>
          <t>Algorithms</t>
        </is>
      </c>
      <c r="O19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00" ht="15.75" customHeight="1" s="12">
      <c r="A2000" s="1" t="n">
        <v>2186</v>
      </c>
      <c r="B2000" s="3">
        <f>HYPERLINK("https://leetcode.com/problems/minimum-number-of-steps-to-make-two-strings-anagram-ii/", "Minimum Number of Steps to Make Two Strings Anagram II")</f>
        <v/>
      </c>
      <c r="C2000" s="1" t="n">
        <v>605</v>
      </c>
      <c r="D2000" s="1" t="n">
        <v>28</v>
      </c>
      <c r="E2000" s="4">
        <f>IF(INDEX(C:C, ROW())+INDEX(D:D, ROW())=0, 0, INDEX(C:C, ROW())/(INDEX(C:C, ROW())+INDEX(D:D, ROW())))</f>
        <v/>
      </c>
      <c r="F2000" s="1" t="inlineStr">
        <is>
          <t>Hash Table, String, Counting</t>
        </is>
      </c>
      <c r="G2000" s="1" t="inlineStr">
        <is>
          <t>Medium</t>
        </is>
      </c>
      <c r="H2000" s="1" t="n">
        <v>53027</v>
      </c>
      <c r="I2000" s="1" t="n">
        <v>72544</v>
      </c>
      <c r="J2000" s="9" t="n">
        <v>0.731</v>
      </c>
      <c r="K2000" s="1" t="inlineStr">
        <is>
          <t>Yes</t>
        </is>
      </c>
      <c r="L2000" s="1" t="inlineStr">
        <is>
          <t>No</t>
        </is>
      </c>
      <c r="M2000" s="1" t="inlineStr">
        <is>
          <t>No</t>
        </is>
      </c>
      <c r="N2000" s="1" t="inlineStr">
        <is>
          <t>Algorithms</t>
        </is>
      </c>
      <c r="O20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01" ht="15.75" customHeight="1" s="12">
      <c r="A2001" s="1" t="n">
        <v>2386</v>
      </c>
      <c r="B2001" s="3">
        <f>HYPERLINK("https://leetcode.com/problems/find-the-k-sum-of-an-array/", "Find the K-Sum of an Array")</f>
        <v/>
      </c>
      <c r="C2001" s="1" t="n">
        <v>605</v>
      </c>
      <c r="D2001" s="1" t="n">
        <v>25</v>
      </c>
      <c r="E2001" s="4">
        <f>IF(INDEX(C:C, ROW())+INDEX(D:D, ROW())=0, 0, INDEX(C:C, ROW())/(INDEX(C:C, ROW())+INDEX(D:D, ROW())))</f>
        <v/>
      </c>
      <c r="F2001" s="1" t="inlineStr">
        <is>
          <t>Array, Sorting, Heap (Priority Queue)</t>
        </is>
      </c>
      <c r="G2001" s="1" t="inlineStr">
        <is>
          <t>Hard</t>
        </is>
      </c>
      <c r="H2001" s="1" t="n">
        <v>13116</v>
      </c>
      <c r="I2001" s="1" t="n">
        <v>32172</v>
      </c>
      <c r="J2001" s="9" t="n">
        <v>0.408</v>
      </c>
      <c r="K2001" s="1" t="inlineStr">
        <is>
          <t>Yes</t>
        </is>
      </c>
      <c r="L2001" s="1" t="inlineStr">
        <is>
          <t>No</t>
        </is>
      </c>
      <c r="M2001" s="1" t="inlineStr">
        <is>
          <t>No</t>
        </is>
      </c>
      <c r="N2001" s="1" t="inlineStr">
        <is>
          <t>Algorithms</t>
        </is>
      </c>
      <c r="O20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02" ht="15.75" customHeight="1" s="12">
      <c r="A2002" s="1" t="n">
        <v>1169</v>
      </c>
      <c r="B2002" s="3">
        <f>HYPERLINK("https://leetcode.com/problems/invalid-transactions/", "Invalid Transactions")</f>
        <v/>
      </c>
      <c r="C2002" s="1" t="n">
        <v>604</v>
      </c>
      <c r="D2002" s="1" t="n">
        <v>2421</v>
      </c>
      <c r="E2002" s="4">
        <f>IF(INDEX(C:C, ROW())+INDEX(D:D, ROW())=0, 0, INDEX(C:C, ROW())/(INDEX(C:C, ROW())+INDEX(D:D, ROW())))</f>
        <v/>
      </c>
      <c r="F2002" s="1" t="inlineStr">
        <is>
          <t>Array, Hash Table, String, Sorting</t>
        </is>
      </c>
      <c r="G2002" s="1" t="inlineStr">
        <is>
          <t>Medium</t>
        </is>
      </c>
      <c r="H2002" s="1" t="n">
        <v>107116</v>
      </c>
      <c r="I2002" s="1" t="n">
        <v>335960</v>
      </c>
      <c r="J2002" s="9" t="n">
        <v>0.319</v>
      </c>
      <c r="K2002" s="1" t="inlineStr">
        <is>
          <t>Yes</t>
        </is>
      </c>
      <c r="L2002" s="1" t="inlineStr">
        <is>
          <t>No</t>
        </is>
      </c>
      <c r="M2002" s="1" t="inlineStr">
        <is>
          <t>No</t>
        </is>
      </c>
      <c r="N2002" s="1" t="inlineStr">
        <is>
          <t>Algorithms</t>
        </is>
      </c>
      <c r="O20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03" ht="15.75" customHeight="1" s="12">
      <c r="A2003" s="1" t="n">
        <v>2619</v>
      </c>
      <c r="B2003" s="3">
        <f>HYPERLINK("https://leetcode.com/problems/array-prototype-last/", "Array Prototype Last")</f>
        <v/>
      </c>
      <c r="C2003" s="1" t="n">
        <v>604</v>
      </c>
      <c r="D2003" s="1" t="n">
        <v>27</v>
      </c>
      <c r="E2003" s="4">
        <f>IF(INDEX(C:C, ROW())+INDEX(D:D, ROW())=0, 0, INDEX(C:C, ROW())/(INDEX(C:C, ROW())+INDEX(D:D, ROW())))</f>
        <v/>
      </c>
      <c r="F2003" s="2" t="n"/>
      <c r="G2003" s="1" t="inlineStr">
        <is>
          <t>Easy</t>
        </is>
      </c>
      <c r="H2003" s="1" t="n">
        <v>227893</v>
      </c>
      <c r="I2003" s="1" t="n">
        <v>305792</v>
      </c>
      <c r="J2003" s="9" t="n">
        <v>0.745</v>
      </c>
      <c r="K2003" s="1" t="inlineStr">
        <is>
          <t>Yes</t>
        </is>
      </c>
      <c r="L2003" s="1" t="inlineStr">
        <is>
          <t>Yes</t>
        </is>
      </c>
      <c r="M2003" s="1" t="inlineStr">
        <is>
          <t>No</t>
        </is>
      </c>
      <c r="N2003" s="1" t="inlineStr">
        <is>
          <t>JavaScript</t>
        </is>
      </c>
      <c r="O20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04" ht="15.75" customHeight="1" s="12">
      <c r="A2004" s="1" t="n">
        <v>3542</v>
      </c>
      <c r="B2004" s="3">
        <f>HYPERLINK("https://leetcode.com/problems/minimum-operations-to-convert-all-elements-to-zero/", "Minimum Operations to Convert All Elements to Zero")</f>
        <v/>
      </c>
      <c r="C2004" s="1" t="n">
        <v>604</v>
      </c>
      <c r="D2004" s="1" t="n">
        <v>64</v>
      </c>
      <c r="E2004" s="4">
        <f>IF(INDEX(C:C, ROW())+INDEX(D:D, ROW())=0, 0, INDEX(C:C, ROW())/(INDEX(C:C, ROW())+INDEX(D:D, ROW())))</f>
        <v/>
      </c>
      <c r="F2004" s="1" t="inlineStr">
        <is>
          <t>Array, Hash Table, Stack, Greedy, Monotonic Stack</t>
        </is>
      </c>
      <c r="G2004" s="1" t="inlineStr">
        <is>
          <t>Medium</t>
        </is>
      </c>
      <c r="H2004" s="1" t="n">
        <v>85313</v>
      </c>
      <c r="I2004" s="1" t="n">
        <v>161217</v>
      </c>
      <c r="J2004" s="9" t="n">
        <v>0.529</v>
      </c>
      <c r="K2004" s="1" t="inlineStr">
        <is>
          <t>Yes</t>
        </is>
      </c>
      <c r="L2004" s="1" t="inlineStr">
        <is>
          <t>Yes</t>
        </is>
      </c>
      <c r="M2004" s="1" t="inlineStr">
        <is>
          <t>No</t>
        </is>
      </c>
      <c r="N2004" s="1" t="inlineStr">
        <is>
          <t>Algorithms</t>
        </is>
      </c>
      <c r="O20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05" ht="15.75" customHeight="1" s="12">
      <c r="A2005" s="1" t="n">
        <v>157</v>
      </c>
      <c r="B2005" s="3">
        <f>HYPERLINK("https://leetcode.com/problems/read-n-characters-given-read4/", "Read N Characters Given Read4")</f>
        <v/>
      </c>
      <c r="C2005" s="1" t="n">
        <v>603</v>
      </c>
      <c r="D2005" s="1" t="n">
        <v>3601</v>
      </c>
      <c r="E2005" s="4">
        <f>IF(INDEX(C:C, ROW())+INDEX(D:D, ROW())=0, 0, INDEX(C:C, ROW())/(INDEX(C:C, ROW())+INDEX(D:D, ROW())))</f>
        <v/>
      </c>
      <c r="F2005" s="1" t="inlineStr">
        <is>
          <t>Array, Simulation, Interactive</t>
        </is>
      </c>
      <c r="G2005" s="1" t="inlineStr">
        <is>
          <t>Easy</t>
        </is>
      </c>
      <c r="H2005" s="1" t="n">
        <v>207890</v>
      </c>
      <c r="I2005" s="1" t="n">
        <v>489387</v>
      </c>
      <c r="J2005" s="9" t="n">
        <v>0.425</v>
      </c>
      <c r="K2005" s="1" t="inlineStr">
        <is>
          <t>No</t>
        </is>
      </c>
      <c r="L2005" s="1" t="inlineStr">
        <is>
          <t>Yes</t>
        </is>
      </c>
      <c r="M2005" s="1" t="inlineStr">
        <is>
          <t>No</t>
        </is>
      </c>
      <c r="N2005" s="1" t="inlineStr">
        <is>
          <t>Algorithms</t>
        </is>
      </c>
      <c r="O20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06" ht="15.75" customHeight="1" s="12">
      <c r="A2006" s="1" t="n">
        <v>1429</v>
      </c>
      <c r="B2006" s="3">
        <f>HYPERLINK("https://leetcode.com/problems/first-unique-number/", "First Unique Number")</f>
        <v/>
      </c>
      <c r="C2006" s="1" t="n">
        <v>603</v>
      </c>
      <c r="D2006" s="1" t="n">
        <v>35</v>
      </c>
      <c r="E2006" s="4">
        <f>IF(INDEX(C:C, ROW())+INDEX(D:D, ROW())=0, 0, INDEX(C:C, ROW())/(INDEX(C:C, ROW())+INDEX(D:D, ROW())))</f>
        <v/>
      </c>
      <c r="F2006" s="1" t="inlineStr">
        <is>
          <t>Array, Hash Table, Design, Queue, Data Stream</t>
        </is>
      </c>
      <c r="G2006" s="1" t="inlineStr">
        <is>
          <t>Medium</t>
        </is>
      </c>
      <c r="H2006" s="1" t="n">
        <v>108770</v>
      </c>
      <c r="I2006" s="1" t="n">
        <v>191388</v>
      </c>
      <c r="J2006" s="9" t="n">
        <v>0.5679999999999999</v>
      </c>
      <c r="K2006" s="1" t="inlineStr">
        <is>
          <t>No</t>
        </is>
      </c>
      <c r="L2006" s="1" t="inlineStr">
        <is>
          <t>Yes</t>
        </is>
      </c>
      <c r="M2006" s="1" t="inlineStr">
        <is>
          <t>No</t>
        </is>
      </c>
      <c r="N2006" s="1" t="inlineStr">
        <is>
          <t>Algorithms</t>
        </is>
      </c>
      <c r="O20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07" ht="15.75" customHeight="1" s="12">
      <c r="A2007" s="1" t="n">
        <v>2484</v>
      </c>
      <c r="B2007" s="3">
        <f>HYPERLINK("https://leetcode.com/problems/count-palindromic-subsequences/", "Count Palindromic Subsequences")</f>
        <v/>
      </c>
      <c r="C2007" s="1" t="n">
        <v>603</v>
      </c>
      <c r="D2007" s="1" t="n">
        <v>31</v>
      </c>
      <c r="E2007" s="4">
        <f>IF(INDEX(C:C, ROW())+INDEX(D:D, ROW())=0, 0, INDEX(C:C, ROW())/(INDEX(C:C, ROW())+INDEX(D:D, ROW())))</f>
        <v/>
      </c>
      <c r="F2007" s="1" t="inlineStr">
        <is>
          <t>String, Dynamic Programming</t>
        </is>
      </c>
      <c r="G2007" s="1" t="inlineStr">
        <is>
          <t>Hard</t>
        </is>
      </c>
      <c r="H2007" s="1" t="n">
        <v>20767</v>
      </c>
      <c r="I2007" s="1" t="n">
        <v>50808</v>
      </c>
      <c r="J2007" s="9" t="n">
        <v>0.409</v>
      </c>
      <c r="K2007" s="1" t="inlineStr">
        <is>
          <t>Yes</t>
        </is>
      </c>
      <c r="L2007" s="1" t="inlineStr">
        <is>
          <t>No</t>
        </is>
      </c>
      <c r="M2007" s="1" t="inlineStr">
        <is>
          <t>No</t>
        </is>
      </c>
      <c r="N2007" s="1" t="inlineStr">
        <is>
          <t>Algorithms</t>
        </is>
      </c>
      <c r="O20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08" ht="15.75" customHeight="1" s="12">
      <c r="A2008" s="1" t="n">
        <v>2918</v>
      </c>
      <c r="B2008" s="3">
        <f>HYPERLINK("https://leetcode.com/problems/minimum-equal-sum-of-two-arrays-after-replacing-zeros/", "Minimum Equal Sum of Two Arrays After Replacing Zeros")</f>
        <v/>
      </c>
      <c r="C2008" s="1" t="n">
        <v>602</v>
      </c>
      <c r="D2008" s="1" t="n">
        <v>55</v>
      </c>
      <c r="E2008" s="4">
        <f>IF(INDEX(C:C, ROW())+INDEX(D:D, ROW())=0, 0, INDEX(C:C, ROW())/(INDEX(C:C, ROW())+INDEX(D:D, ROW())))</f>
        <v/>
      </c>
      <c r="F2008" s="1" t="inlineStr">
        <is>
          <t>Array, Greedy</t>
        </is>
      </c>
      <c r="G2008" s="1" t="inlineStr">
        <is>
          <t>Medium</t>
        </is>
      </c>
      <c r="H2008" s="1" t="n">
        <v>142153</v>
      </c>
      <c r="I2008" s="1" t="n">
        <v>283136</v>
      </c>
      <c r="J2008" s="9" t="n">
        <v>0.502</v>
      </c>
      <c r="K2008" s="1" t="inlineStr">
        <is>
          <t>Yes</t>
        </is>
      </c>
      <c r="L2008" s="1" t="inlineStr">
        <is>
          <t>Yes</t>
        </is>
      </c>
      <c r="M2008" s="1" t="inlineStr">
        <is>
          <t>No</t>
        </is>
      </c>
      <c r="N2008" s="1" t="inlineStr">
        <is>
          <t>Algorithms</t>
        </is>
      </c>
      <c r="O20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09" ht="15.75" customHeight="1" s="12">
      <c r="A2009" s="1" t="n">
        <v>3346</v>
      </c>
      <c r="B2009" s="3">
        <f>HYPERLINK("https://leetcode.com/problems/maximum-frequency-of-an-element-after-performing-operations-i/", "Maximum Frequency of an Element After Performing Operations I")</f>
        <v/>
      </c>
      <c r="C2009" s="1" t="n">
        <v>602</v>
      </c>
      <c r="D2009" s="1" t="n">
        <v>104</v>
      </c>
      <c r="E2009" s="4">
        <f>IF(INDEX(C:C, ROW())+INDEX(D:D, ROW())=0, 0, INDEX(C:C, ROW())/(INDEX(C:C, ROW())+INDEX(D:D, ROW())))</f>
        <v/>
      </c>
      <c r="F2009" s="1" t="inlineStr">
        <is>
          <t>Array, Binary Search, Sliding Window, Sorting, Prefix Sum</t>
        </is>
      </c>
      <c r="G2009" s="1" t="inlineStr">
        <is>
          <t>Medium</t>
        </is>
      </c>
      <c r="H2009" s="1" t="n">
        <v>87587</v>
      </c>
      <c r="I2009" s="1" t="n">
        <v>218465</v>
      </c>
      <c r="J2009" s="9" t="n">
        <v>0.401</v>
      </c>
      <c r="K2009" s="1" t="inlineStr">
        <is>
          <t>Yes</t>
        </is>
      </c>
      <c r="L2009" s="1" t="inlineStr">
        <is>
          <t>Yes</t>
        </is>
      </c>
      <c r="M2009" s="1" t="inlineStr">
        <is>
          <t>No</t>
        </is>
      </c>
      <c r="N2009" s="1" t="inlineStr">
        <is>
          <t>Algorithms</t>
        </is>
      </c>
      <c r="O20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10" ht="15.75" customHeight="1" s="12">
      <c r="A2010" s="1" t="n">
        <v>2188</v>
      </c>
      <c r="B2010" s="3">
        <f>HYPERLINK("https://leetcode.com/problems/minimum-time-to-finish-the-race/", "Minimum Time to Finish the Race")</f>
        <v/>
      </c>
      <c r="C2010" s="1" t="n">
        <v>601</v>
      </c>
      <c r="D2010" s="1" t="n">
        <v>29</v>
      </c>
      <c r="E2010" s="4">
        <f>IF(INDEX(C:C, ROW())+INDEX(D:D, ROW())=0, 0, INDEX(C:C, ROW())/(INDEX(C:C, ROW())+INDEX(D:D, ROW())))</f>
        <v/>
      </c>
      <c r="F2010" s="1" t="inlineStr">
        <is>
          <t>Array, Dynamic Programming</t>
        </is>
      </c>
      <c r="G2010" s="1" t="inlineStr">
        <is>
          <t>Hard</t>
        </is>
      </c>
      <c r="H2010" s="1" t="n">
        <v>14969</v>
      </c>
      <c r="I2010" s="1" t="n">
        <v>34821</v>
      </c>
      <c r="J2010" s="9" t="n">
        <v>0.43</v>
      </c>
      <c r="K2010" s="1" t="inlineStr">
        <is>
          <t>Yes</t>
        </is>
      </c>
      <c r="L2010" s="1" t="inlineStr">
        <is>
          <t>No</t>
        </is>
      </c>
      <c r="M2010" s="1" t="inlineStr">
        <is>
          <t>No</t>
        </is>
      </c>
      <c r="N2010" s="1" t="inlineStr">
        <is>
          <t>Algorithms</t>
        </is>
      </c>
      <c r="O20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11" ht="15.75" customHeight="1" s="12">
      <c r="A2011" s="1" t="n">
        <v>2255</v>
      </c>
      <c r="B2011" s="3">
        <f>HYPERLINK("https://leetcode.com/problems/count-prefixes-of-a-given-string/", "Count Prefixes of a Given String")</f>
        <v/>
      </c>
      <c r="C2011" s="1" t="n">
        <v>601</v>
      </c>
      <c r="D2011" s="1" t="n">
        <v>24</v>
      </c>
      <c r="E2011" s="4">
        <f>IF(INDEX(C:C, ROW())+INDEX(D:D, ROW())=0, 0, INDEX(C:C, ROW())/(INDEX(C:C, ROW())+INDEX(D:D, ROW())))</f>
        <v/>
      </c>
      <c r="F2011" s="1" t="inlineStr">
        <is>
          <t>Array, String</t>
        </is>
      </c>
      <c r="G2011" s="1" t="inlineStr">
        <is>
          <t>Easy</t>
        </is>
      </c>
      <c r="H2011" s="1" t="n">
        <v>86478</v>
      </c>
      <c r="I2011" s="1" t="n">
        <v>116603</v>
      </c>
      <c r="J2011" s="9" t="n">
        <v>0.742</v>
      </c>
      <c r="K2011" s="1" t="inlineStr">
        <is>
          <t>Yes</t>
        </is>
      </c>
      <c r="L2011" s="1" t="inlineStr">
        <is>
          <t>No</t>
        </is>
      </c>
      <c r="M2011" s="1" t="inlineStr">
        <is>
          <t>No</t>
        </is>
      </c>
      <c r="N2011" s="1" t="inlineStr">
        <is>
          <t>Algorithms</t>
        </is>
      </c>
      <c r="O20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12" ht="15.75" customHeight="1" s="12">
      <c r="A2012" s="1" t="n">
        <v>2555</v>
      </c>
      <c r="B2012" s="3">
        <f>HYPERLINK("https://leetcode.com/problems/maximize-win-from-two-segments/", "Maximize Win From Two Segments")</f>
        <v/>
      </c>
      <c r="C2012" s="1" t="n">
        <v>601</v>
      </c>
      <c r="D2012" s="1" t="n">
        <v>62</v>
      </c>
      <c r="E2012" s="4">
        <f>IF(INDEX(C:C, ROW())+INDEX(D:D, ROW())=0, 0, INDEX(C:C, ROW())/(INDEX(C:C, ROW())+INDEX(D:D, ROW())))</f>
        <v/>
      </c>
      <c r="F2012" s="1" t="inlineStr">
        <is>
          <t>Array, Binary Search, Sliding Window</t>
        </is>
      </c>
      <c r="G2012" s="1" t="inlineStr">
        <is>
          <t>Medium</t>
        </is>
      </c>
      <c r="H2012" s="1" t="n">
        <v>14831</v>
      </c>
      <c r="I2012" s="1" t="n">
        <v>39987</v>
      </c>
      <c r="J2012" s="9" t="n">
        <v>0.371</v>
      </c>
      <c r="K2012" s="1" t="inlineStr">
        <is>
          <t>Yes</t>
        </is>
      </c>
      <c r="L2012" s="1" t="inlineStr">
        <is>
          <t>No</t>
        </is>
      </c>
      <c r="M2012" s="1" t="inlineStr">
        <is>
          <t>No</t>
        </is>
      </c>
      <c r="N2012" s="1" t="inlineStr">
        <is>
          <t>Algorithms</t>
        </is>
      </c>
      <c r="O20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13" ht="15.75" customHeight="1" s="12">
      <c r="A2013" s="1" t="n">
        <v>1265</v>
      </c>
      <c r="B2013" s="3">
        <f>HYPERLINK("https://leetcode.com/problems/print-immutable-linked-list-in-reverse/", "Print Immutable Linked List in Reverse")</f>
        <v/>
      </c>
      <c r="C2013" s="1" t="n">
        <v>599</v>
      </c>
      <c r="D2013" s="1" t="n">
        <v>106</v>
      </c>
      <c r="E2013" s="4">
        <f>IF(INDEX(C:C, ROW())+INDEX(D:D, ROW())=0, 0, INDEX(C:C, ROW())/(INDEX(C:C, ROW())+INDEX(D:D, ROW())))</f>
        <v/>
      </c>
      <c r="F2013" s="1" t="inlineStr">
        <is>
          <t>Linked List, Two Pointers, Stack, Recursion</t>
        </is>
      </c>
      <c r="G2013" s="1" t="inlineStr">
        <is>
          <t>Medium</t>
        </is>
      </c>
      <c r="H2013" s="1" t="n">
        <v>66315</v>
      </c>
      <c r="I2013" s="1" t="n">
        <v>70486</v>
      </c>
      <c r="J2013" s="9" t="n">
        <v>0.9409999999999999</v>
      </c>
      <c r="K2013" s="1" t="inlineStr">
        <is>
          <t>No</t>
        </is>
      </c>
      <c r="L2013" s="1" t="inlineStr">
        <is>
          <t>Yes</t>
        </is>
      </c>
      <c r="M2013" s="1" t="inlineStr">
        <is>
          <t>No</t>
        </is>
      </c>
      <c r="N2013" s="1" t="inlineStr">
        <is>
          <t>Algorithms</t>
        </is>
      </c>
      <c r="O20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14" ht="15.75" customHeight="1" s="12">
      <c r="A2014" s="1" t="n">
        <v>1576</v>
      </c>
      <c r="B2014" s="3">
        <f>HYPERLINK("https://leetcode.com/problems/replace-all-s-to-avoid-consecutive-repeating-characters/", "Replace All ?'s to Avoid Consecutive Repeating Characters")</f>
        <v/>
      </c>
      <c r="C2014" s="1" t="n">
        <v>598</v>
      </c>
      <c r="D2014" s="1" t="n">
        <v>181</v>
      </c>
      <c r="E2014" s="4">
        <f>IF(INDEX(C:C, ROW())+INDEX(D:D, ROW())=0, 0, INDEX(C:C, ROW())/(INDEX(C:C, ROW())+INDEX(D:D, ROW())))</f>
        <v/>
      </c>
      <c r="F2014" s="1" t="inlineStr">
        <is>
          <t>String</t>
        </is>
      </c>
      <c r="G2014" s="1" t="inlineStr">
        <is>
          <t>Easy</t>
        </is>
      </c>
      <c r="H2014" s="1" t="n">
        <v>72435</v>
      </c>
      <c r="I2014" s="1" t="n">
        <v>160195</v>
      </c>
      <c r="J2014" s="9" t="n">
        <v>0.452</v>
      </c>
      <c r="K2014" s="1" t="inlineStr">
        <is>
          <t>Yes</t>
        </is>
      </c>
      <c r="L2014" s="1" t="inlineStr">
        <is>
          <t>No</t>
        </is>
      </c>
      <c r="M2014" s="1" t="inlineStr">
        <is>
          <t>No</t>
        </is>
      </c>
      <c r="N2014" s="1" t="inlineStr">
        <is>
          <t>Algorithms</t>
        </is>
      </c>
      <c r="O20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15" ht="15.75" customHeight="1" s="12">
      <c r="A2015" s="1" t="n">
        <v>3443</v>
      </c>
      <c r="B2015" s="3">
        <f>HYPERLINK("https://leetcode.com/problems/maximum-manhattan-distance-after-k-changes/", "Maximum Manhattan Distance After K Changes")</f>
        <v/>
      </c>
      <c r="C2015" s="1" t="n">
        <v>597</v>
      </c>
      <c r="D2015" s="1" t="n">
        <v>69</v>
      </c>
      <c r="E2015" s="4">
        <f>IF(INDEX(C:C, ROW())+INDEX(D:D, ROW())=0, 0, INDEX(C:C, ROW())/(INDEX(C:C, ROW())+INDEX(D:D, ROW())))</f>
        <v/>
      </c>
      <c r="F2015" s="1" t="inlineStr">
        <is>
          <t>Hash Table, Math, String, Counting</t>
        </is>
      </c>
      <c r="G2015" s="1" t="inlineStr">
        <is>
          <t>Medium</t>
        </is>
      </c>
      <c r="H2015" s="1" t="n">
        <v>100510</v>
      </c>
      <c r="I2015" s="1" t="n">
        <v>185601</v>
      </c>
      <c r="J2015" s="9" t="n">
        <v>0.542</v>
      </c>
      <c r="K2015" s="1" t="inlineStr">
        <is>
          <t>Yes</t>
        </is>
      </c>
      <c r="L2015" s="1" t="inlineStr">
        <is>
          <t>Yes</t>
        </is>
      </c>
      <c r="M2015" s="1" t="inlineStr">
        <is>
          <t>No</t>
        </is>
      </c>
      <c r="N2015" s="1" t="inlineStr">
        <is>
          <t>Algorithms</t>
        </is>
      </c>
      <c r="O20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16" ht="15.75" customHeight="1" s="12">
      <c r="A2016" s="1" t="n">
        <v>2576</v>
      </c>
      <c r="B2016" s="3">
        <f>HYPERLINK("https://leetcode.com/problems/find-the-maximum-number-of-marked-indices/", "Find the Maximum Number of Marked Indices")</f>
        <v/>
      </c>
      <c r="C2016" s="1" t="n">
        <v>595</v>
      </c>
      <c r="D2016" s="1" t="n">
        <v>29</v>
      </c>
      <c r="E2016" s="4">
        <f>IF(INDEX(C:C, ROW())+INDEX(D:D, ROW())=0, 0, INDEX(C:C, ROW())/(INDEX(C:C, ROW())+INDEX(D:D, ROW())))</f>
        <v/>
      </c>
      <c r="F2016" s="1" t="inlineStr">
        <is>
          <t>Array, Two Pointers, Binary Search, Greedy, Sorting</t>
        </is>
      </c>
      <c r="G2016" s="1" t="inlineStr">
        <is>
          <t>Medium</t>
        </is>
      </c>
      <c r="H2016" s="1" t="n">
        <v>25675</v>
      </c>
      <c r="I2016" s="1" t="n">
        <v>62767</v>
      </c>
      <c r="J2016" s="9" t="n">
        <v>0.409</v>
      </c>
      <c r="K2016" s="1" t="inlineStr">
        <is>
          <t>Yes</t>
        </is>
      </c>
      <c r="L2016" s="1" t="inlineStr">
        <is>
          <t>No</t>
        </is>
      </c>
      <c r="M2016" s="1" t="inlineStr">
        <is>
          <t>No</t>
        </is>
      </c>
      <c r="N2016" s="1" t="inlineStr">
        <is>
          <t>Algorithms</t>
        </is>
      </c>
      <c r="O20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17" ht="15.75" customHeight="1" s="12">
      <c r="A2017" s="1" t="n">
        <v>3042</v>
      </c>
      <c r="B2017" s="3">
        <f>HYPERLINK("https://leetcode.com/problems/count-prefix-and-suffix-pairs-i/", "Count Prefix and Suffix Pairs I")</f>
        <v/>
      </c>
      <c r="C2017" s="1" t="n">
        <v>595</v>
      </c>
      <c r="D2017" s="1" t="n">
        <v>44</v>
      </c>
      <c r="E2017" s="4">
        <f>IF(INDEX(C:C, ROW())+INDEX(D:D, ROW())=0, 0, INDEX(C:C, ROW())/(INDEX(C:C, ROW())+INDEX(D:D, ROW())))</f>
        <v/>
      </c>
      <c r="F2017" s="1" t="inlineStr">
        <is>
          <t>Array, String, Trie, Rolling Hash, String Matching, Hash Function</t>
        </is>
      </c>
      <c r="G2017" s="1" t="inlineStr">
        <is>
          <t>Easy</t>
        </is>
      </c>
      <c r="H2017" s="1" t="n">
        <v>210016</v>
      </c>
      <c r="I2017" s="1" t="n">
        <v>270124</v>
      </c>
      <c r="J2017" s="9" t="n">
        <v>0.777</v>
      </c>
      <c r="K2017" s="1" t="inlineStr">
        <is>
          <t>Yes</t>
        </is>
      </c>
      <c r="L2017" s="1" t="inlineStr">
        <is>
          <t>Yes</t>
        </is>
      </c>
      <c r="M2017" s="1" t="inlineStr">
        <is>
          <t>No</t>
        </is>
      </c>
      <c r="N2017" s="1" t="inlineStr">
        <is>
          <t>Algorithms</t>
        </is>
      </c>
      <c r="O20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18" ht="15.75" customHeight="1" s="12">
      <c r="A2018" s="1" t="n">
        <v>1432</v>
      </c>
      <c r="B2018" s="3">
        <f>HYPERLINK("https://leetcode.com/problems/max-difference-you-can-get-from-changing-an-integer/", "Max Difference You Can Get From Changing an Integer")</f>
        <v/>
      </c>
      <c r="C2018" s="1" t="n">
        <v>594</v>
      </c>
      <c r="D2018" s="1" t="n">
        <v>376</v>
      </c>
      <c r="E2018" s="4">
        <f>IF(INDEX(C:C, ROW())+INDEX(D:D, ROW())=0, 0, INDEX(C:C, ROW())/(INDEX(C:C, ROW())+INDEX(D:D, ROW())))</f>
        <v/>
      </c>
      <c r="F2018" s="1" t="inlineStr">
        <is>
          <t>Math, Greedy</t>
        </is>
      </c>
      <c r="G2018" s="1" t="inlineStr">
        <is>
          <t>Medium</t>
        </is>
      </c>
      <c r="H2018" s="1" t="n">
        <v>111994</v>
      </c>
      <c r="I2018" s="1" t="n">
        <v>229480</v>
      </c>
      <c r="J2018" s="9" t="n">
        <v>0.488</v>
      </c>
      <c r="K2018" s="1" t="inlineStr">
        <is>
          <t>Yes</t>
        </is>
      </c>
      <c r="L2018" s="1" t="inlineStr">
        <is>
          <t>Yes</t>
        </is>
      </c>
      <c r="M2018" s="1" t="inlineStr">
        <is>
          <t>No</t>
        </is>
      </c>
      <c r="N2018" s="1" t="inlineStr">
        <is>
          <t>Algorithms</t>
        </is>
      </c>
      <c r="O20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19" ht="15.75" customHeight="1" s="12">
      <c r="A2019" s="1" t="n">
        <v>2126</v>
      </c>
      <c r="B2019" s="3">
        <f>HYPERLINK("https://leetcode.com/problems/destroying-asteroids/", "Destroying Asteroids")</f>
        <v/>
      </c>
      <c r="C2019" s="1" t="n">
        <v>593</v>
      </c>
      <c r="D2019" s="1" t="n">
        <v>197</v>
      </c>
      <c r="E2019" s="4">
        <f>IF(INDEX(C:C, ROW())+INDEX(D:D, ROW())=0, 0, INDEX(C:C, ROW())/(INDEX(C:C, ROW())+INDEX(D:D, ROW())))</f>
        <v/>
      </c>
      <c r="F2019" s="1" t="inlineStr">
        <is>
          <t>Array, Greedy, Sorting</t>
        </is>
      </c>
      <c r="G2019" s="1" t="inlineStr">
        <is>
          <t>Medium</t>
        </is>
      </c>
      <c r="H2019" s="1" t="n">
        <v>65269</v>
      </c>
      <c r="I2019" s="1" t="n">
        <v>122599</v>
      </c>
      <c r="J2019" s="9" t="n">
        <v>0.532</v>
      </c>
      <c r="K2019" s="1" t="inlineStr">
        <is>
          <t>Yes</t>
        </is>
      </c>
      <c r="L2019" s="1" t="inlineStr">
        <is>
          <t>No</t>
        </is>
      </c>
      <c r="M2019" s="1" t="inlineStr">
        <is>
          <t>No</t>
        </is>
      </c>
      <c r="N2019" s="1" t="inlineStr">
        <is>
          <t>Algorithms</t>
        </is>
      </c>
      <c r="O20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20" ht="15.75" customHeight="1" s="12">
      <c r="A2020" s="1" t="n">
        <v>1959</v>
      </c>
      <c r="B2020" s="3">
        <f>HYPERLINK("https://leetcode.com/problems/minimum-total-space-wasted-with-k-resizing-operations/", "Minimum Total Space Wasted With K Resizing Operations")</f>
        <v/>
      </c>
      <c r="C2020" s="1" t="n">
        <v>592</v>
      </c>
      <c r="D2020" s="1" t="n">
        <v>63</v>
      </c>
      <c r="E2020" s="4">
        <f>IF(INDEX(C:C, ROW())+INDEX(D:D, ROW())=0, 0, INDEX(C:C, ROW())/(INDEX(C:C, ROW())+INDEX(D:D, ROW())))</f>
        <v/>
      </c>
      <c r="F2020" s="1" t="inlineStr">
        <is>
          <t>Array, Dynamic Programming</t>
        </is>
      </c>
      <c r="G2020" s="1" t="inlineStr">
        <is>
          <t>Medium</t>
        </is>
      </c>
      <c r="H2020" s="1" t="n">
        <v>10733</v>
      </c>
      <c r="I2020" s="1" t="n">
        <v>24625</v>
      </c>
      <c r="J2020" s="9" t="n">
        <v>0.436</v>
      </c>
      <c r="K2020" s="1" t="inlineStr">
        <is>
          <t>Yes</t>
        </is>
      </c>
      <c r="L2020" s="1" t="inlineStr">
        <is>
          <t>No</t>
        </is>
      </c>
      <c r="M2020" s="1" t="inlineStr">
        <is>
          <t>No</t>
        </is>
      </c>
      <c r="N2020" s="1" t="inlineStr">
        <is>
          <t>Algorithms</t>
        </is>
      </c>
      <c r="O20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21" ht="15.75" customHeight="1" s="12">
      <c r="A2021" s="1" t="n">
        <v>2924</v>
      </c>
      <c r="B2021" s="3">
        <f>HYPERLINK("https://leetcode.com/problems/find-champion-ii/", "Find Champion II")</f>
        <v/>
      </c>
      <c r="C2021" s="1" t="n">
        <v>592</v>
      </c>
      <c r="D2021" s="1" t="n">
        <v>49</v>
      </c>
      <c r="E2021" s="4">
        <f>IF(INDEX(C:C, ROW())+INDEX(D:D, ROW())=0, 0, INDEX(C:C, ROW())/(INDEX(C:C, ROW())+INDEX(D:D, ROW())))</f>
        <v/>
      </c>
      <c r="F2021" s="1" t="inlineStr">
        <is>
          <t>Graph Theory</t>
        </is>
      </c>
      <c r="G2021" s="1" t="inlineStr">
        <is>
          <t>Medium</t>
        </is>
      </c>
      <c r="H2021" s="1" t="n">
        <v>133037</v>
      </c>
      <c r="I2021" s="1" t="n">
        <v>189345</v>
      </c>
      <c r="J2021" s="9" t="n">
        <v>0.703</v>
      </c>
      <c r="K2021" s="1" t="inlineStr">
        <is>
          <t>Yes</t>
        </is>
      </c>
      <c r="L2021" s="1" t="inlineStr">
        <is>
          <t>Yes</t>
        </is>
      </c>
      <c r="M2021" s="1" t="inlineStr">
        <is>
          <t>No</t>
        </is>
      </c>
      <c r="N2021" s="1" t="inlineStr">
        <is>
          <t>Algorithms</t>
        </is>
      </c>
      <c r="O20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22" ht="15.75" customHeight="1" s="12">
      <c r="A2022" s="1" t="n">
        <v>1285</v>
      </c>
      <c r="B2022" s="3">
        <f>HYPERLINK("https://leetcode.com/problems/find-the-start-and-end-number-of-continuous-ranges/", "Find the Start and End Number of Continuous Ranges")</f>
        <v/>
      </c>
      <c r="C2022" s="1" t="n">
        <v>591</v>
      </c>
      <c r="D2022" s="1" t="n">
        <v>36</v>
      </c>
      <c r="E2022" s="4">
        <f>IF(INDEX(C:C, ROW())+INDEX(D:D, ROW())=0, 0, INDEX(C:C, ROW())/(INDEX(C:C, ROW())+INDEX(D:D, ROW())))</f>
        <v/>
      </c>
      <c r="F2022" s="1" t="inlineStr">
        <is>
          <t>Database</t>
        </is>
      </c>
      <c r="G2022" s="1" t="inlineStr">
        <is>
          <t>Medium</t>
        </is>
      </c>
      <c r="H2022" s="1" t="n">
        <v>48707</v>
      </c>
      <c r="I2022" s="1" t="n">
        <v>59485</v>
      </c>
      <c r="J2022" s="9" t="n">
        <v>0.819</v>
      </c>
      <c r="K2022" s="1" t="inlineStr">
        <is>
          <t>No</t>
        </is>
      </c>
      <c r="L2022" s="1" t="inlineStr">
        <is>
          <t>No</t>
        </is>
      </c>
      <c r="M2022" s="1" t="inlineStr">
        <is>
          <t>No</t>
        </is>
      </c>
      <c r="N2022" s="1" t="inlineStr">
        <is>
          <t>Database</t>
        </is>
      </c>
      <c r="O20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23" ht="15.75" customHeight="1" s="12">
      <c r="A2023" s="1" t="n">
        <v>1978</v>
      </c>
      <c r="B2023" s="3">
        <f>HYPERLINK("https://leetcode.com/problems/employees-whose-manager-left-the-company/", "Employees Whose Manager Left the Company")</f>
        <v/>
      </c>
      <c r="C2023" s="1" t="n">
        <v>591</v>
      </c>
      <c r="D2023" s="1" t="n">
        <v>53</v>
      </c>
      <c r="E2023" s="4">
        <f>IF(INDEX(C:C, ROW())+INDEX(D:D, ROW())=0, 0, INDEX(C:C, ROW())/(INDEX(C:C, ROW())+INDEX(D:D, ROW())))</f>
        <v/>
      </c>
      <c r="F2023" s="1" t="inlineStr">
        <is>
          <t>Database</t>
        </is>
      </c>
      <c r="G2023" s="1" t="inlineStr">
        <is>
          <t>Easy</t>
        </is>
      </c>
      <c r="H2023" s="1" t="n">
        <v>327912</v>
      </c>
      <c r="I2023" s="1" t="n">
        <v>673253</v>
      </c>
      <c r="J2023" s="9" t="n">
        <v>0.487</v>
      </c>
      <c r="K2023" s="1" t="inlineStr">
        <is>
          <t>Yes</t>
        </is>
      </c>
      <c r="L2023" s="1" t="inlineStr">
        <is>
          <t>No</t>
        </is>
      </c>
      <c r="M2023" s="1" t="inlineStr">
        <is>
          <t>No</t>
        </is>
      </c>
      <c r="N2023" s="1" t="inlineStr">
        <is>
          <t>Database</t>
        </is>
      </c>
      <c r="O20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24" ht="15.75" customHeight="1" s="12">
      <c r="A2024" s="1" t="n">
        <v>2243</v>
      </c>
      <c r="B2024" s="3">
        <f>HYPERLINK("https://leetcode.com/problems/calculate-digit-sum-of-a-string/", "Calculate Digit Sum of a String")</f>
        <v/>
      </c>
      <c r="C2024" s="1" t="n">
        <v>591</v>
      </c>
      <c r="D2024" s="1" t="n">
        <v>52</v>
      </c>
      <c r="E2024" s="4">
        <f>IF(INDEX(C:C, ROW())+INDEX(D:D, ROW())=0, 0, INDEX(C:C, ROW())/(INDEX(C:C, ROW())+INDEX(D:D, ROW())))</f>
        <v/>
      </c>
      <c r="F2024" s="1" t="inlineStr">
        <is>
          <t>String, Simulation</t>
        </is>
      </c>
      <c r="G2024" s="1" t="inlineStr">
        <is>
          <t>Easy</t>
        </is>
      </c>
      <c r="H2024" s="1" t="n">
        <v>52760</v>
      </c>
      <c r="I2024" s="1" t="n">
        <v>78192</v>
      </c>
      <c r="J2024" s="9" t="n">
        <v>0.675</v>
      </c>
      <c r="K2024" s="1" t="inlineStr">
        <is>
          <t>Yes</t>
        </is>
      </c>
      <c r="L2024" s="1" t="inlineStr">
        <is>
          <t>No</t>
        </is>
      </c>
      <c r="M2024" s="1" t="inlineStr">
        <is>
          <t>No</t>
        </is>
      </c>
      <c r="N2024" s="1" t="inlineStr">
        <is>
          <t>Algorithms</t>
        </is>
      </c>
      <c r="O20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25" ht="15.75" customHeight="1" s="12">
      <c r="A2025" s="1" t="n">
        <v>2798</v>
      </c>
      <c r="B2025" s="3">
        <f>HYPERLINK("https://leetcode.com/problems/number-of-employees-who-met-the-target/", "Number of Employees Who Met the Target")</f>
        <v/>
      </c>
      <c r="C2025" s="1" t="n">
        <v>591</v>
      </c>
      <c r="D2025" s="1" t="n">
        <v>77</v>
      </c>
      <c r="E2025" s="4">
        <f>IF(INDEX(C:C, ROW())+INDEX(D:D, ROW())=0, 0, INDEX(C:C, ROW())/(INDEX(C:C, ROW())+INDEX(D:D, ROW())))</f>
        <v/>
      </c>
      <c r="F2025" s="1" t="inlineStr">
        <is>
          <t>Array</t>
        </is>
      </c>
      <c r="G2025" s="1" t="inlineStr">
        <is>
          <t>Easy</t>
        </is>
      </c>
      <c r="H2025" s="1" t="n">
        <v>230824</v>
      </c>
      <c r="I2025" s="1" t="n">
        <v>262983</v>
      </c>
      <c r="J2025" s="9" t="n">
        <v>0.878</v>
      </c>
      <c r="K2025" s="1" t="inlineStr">
        <is>
          <t>Yes</t>
        </is>
      </c>
      <c r="L2025" s="1" t="inlineStr">
        <is>
          <t>No</t>
        </is>
      </c>
      <c r="M2025" s="1" t="inlineStr">
        <is>
          <t>No</t>
        </is>
      </c>
      <c r="N2025" s="1" t="inlineStr">
        <is>
          <t>Algorithms</t>
        </is>
      </c>
      <c r="O20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26" ht="15.75" customHeight="1" s="12">
      <c r="A2026" s="1" t="n">
        <v>2741</v>
      </c>
      <c r="B2026" s="3">
        <f>HYPERLINK("https://leetcode.com/problems/special-permutations/", "Special Permutations")</f>
        <v/>
      </c>
      <c r="C2026" s="1" t="n">
        <v>588</v>
      </c>
      <c r="D2026" s="1" t="n">
        <v>66</v>
      </c>
      <c r="E2026" s="4">
        <f>IF(INDEX(C:C, ROW())+INDEX(D:D, ROW())=0, 0, INDEX(C:C, ROW())/(INDEX(C:C, ROW())+INDEX(D:D, ROW())))</f>
        <v/>
      </c>
      <c r="F2026" s="1" t="inlineStr">
        <is>
          <t>Array, Dynamic Programming, Bit Manipulation, Bitmask DP</t>
        </is>
      </c>
      <c r="G2026" s="1" t="inlineStr">
        <is>
          <t>Medium</t>
        </is>
      </c>
      <c r="H2026" s="1" t="n">
        <v>17312</v>
      </c>
      <c r="I2026" s="1" t="n">
        <v>59354</v>
      </c>
      <c r="J2026" s="9" t="n">
        <v>0.292</v>
      </c>
      <c r="K2026" s="1" t="inlineStr">
        <is>
          <t>Yes</t>
        </is>
      </c>
      <c r="L2026" s="1" t="inlineStr">
        <is>
          <t>No</t>
        </is>
      </c>
      <c r="M2026" s="1" t="inlineStr">
        <is>
          <t>No</t>
        </is>
      </c>
      <c r="N2026" s="1" t="inlineStr">
        <is>
          <t>Algorithms</t>
        </is>
      </c>
      <c r="O20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27" ht="15.75" customHeight="1" s="12">
      <c r="A2027" s="1" t="n">
        <v>3479</v>
      </c>
      <c r="B2027" s="3">
        <f>HYPERLINK("https://leetcode.com/problems/fruits-into-baskets-iii/", "Fruits Into Baskets III")</f>
        <v/>
      </c>
      <c r="C2027" s="1" t="n">
        <v>588</v>
      </c>
      <c r="D2027" s="1" t="n">
        <v>81</v>
      </c>
      <c r="E2027" s="4">
        <f>IF(INDEX(C:C, ROW())+INDEX(D:D, ROW())=0, 0, INDEX(C:C, ROW())/(INDEX(C:C, ROW())+INDEX(D:D, ROW())))</f>
        <v/>
      </c>
      <c r="F2027" s="1" t="inlineStr">
        <is>
          <t>Array, Binary Search, Segment Tree, Ordered Set</t>
        </is>
      </c>
      <c r="G2027" s="1" t="inlineStr">
        <is>
          <t>Medium</t>
        </is>
      </c>
      <c r="H2027" s="1" t="n">
        <v>84550</v>
      </c>
      <c r="I2027" s="1" t="n">
        <v>217575</v>
      </c>
      <c r="J2027" s="9" t="n">
        <v>0.389</v>
      </c>
      <c r="K2027" s="1" t="inlineStr">
        <is>
          <t>Yes</t>
        </is>
      </c>
      <c r="L2027" s="1" t="inlineStr">
        <is>
          <t>Yes</t>
        </is>
      </c>
      <c r="M2027" s="1" t="inlineStr">
        <is>
          <t>No</t>
        </is>
      </c>
      <c r="N2027" s="1" t="inlineStr">
        <is>
          <t>Algorithms</t>
        </is>
      </c>
      <c r="O20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28" ht="15.75" customHeight="1" s="12">
      <c r="A2028" s="1" t="n">
        <v>794</v>
      </c>
      <c r="B2028" s="3">
        <f>HYPERLINK("https://leetcode.com/problems/valid-tic-tac-toe-state/", "Valid Tic-Tac-Toe State")</f>
        <v/>
      </c>
      <c r="C2028" s="1" t="n">
        <v>586</v>
      </c>
      <c r="D2028" s="1" t="n">
        <v>1167</v>
      </c>
      <c r="E2028" s="4">
        <f>IF(INDEX(C:C, ROW())+INDEX(D:D, ROW())=0, 0, INDEX(C:C, ROW())/(INDEX(C:C, ROW())+INDEX(D:D, ROW())))</f>
        <v/>
      </c>
      <c r="F2028" s="1" t="inlineStr">
        <is>
          <t>Array, Matrix</t>
        </is>
      </c>
      <c r="G2028" s="1" t="inlineStr">
        <is>
          <t>Medium</t>
        </is>
      </c>
      <c r="H2028" s="1" t="n">
        <v>66302</v>
      </c>
      <c r="I2028" s="1" t="n">
        <v>190840</v>
      </c>
      <c r="J2028" s="9" t="n">
        <v>0.347</v>
      </c>
      <c r="K2028" s="1" t="inlineStr">
        <is>
          <t>Yes</t>
        </is>
      </c>
      <c r="L2028" s="1" t="inlineStr">
        <is>
          <t>Yes</t>
        </is>
      </c>
      <c r="M2028" s="1" t="inlineStr">
        <is>
          <t>No</t>
        </is>
      </c>
      <c r="N2028" s="1" t="inlineStr">
        <is>
          <t>Algorithms</t>
        </is>
      </c>
      <c r="O20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29" ht="15.75" customHeight="1" s="12">
      <c r="A2029" s="1" t="n">
        <v>2293</v>
      </c>
      <c r="B2029" s="3">
        <f>HYPERLINK("https://leetcode.com/problems/min-max-game/", "Min Max Game")</f>
        <v/>
      </c>
      <c r="C2029" s="1" t="n">
        <v>586</v>
      </c>
      <c r="D2029" s="1" t="n">
        <v>30</v>
      </c>
      <c r="E2029" s="4">
        <f>IF(INDEX(C:C, ROW())+INDEX(D:D, ROW())=0, 0, INDEX(C:C, ROW())/(INDEX(C:C, ROW())+INDEX(D:D, ROW())))</f>
        <v/>
      </c>
      <c r="F2029" s="1" t="inlineStr">
        <is>
          <t>Array, Simulation</t>
        </is>
      </c>
      <c r="G2029" s="1" t="inlineStr">
        <is>
          <t>Easy</t>
        </is>
      </c>
      <c r="H2029" s="1" t="n">
        <v>63765</v>
      </c>
      <c r="I2029" s="1" t="n">
        <v>99407</v>
      </c>
      <c r="J2029" s="9" t="n">
        <v>0.641</v>
      </c>
      <c r="K2029" s="1" t="inlineStr">
        <is>
          <t>Yes</t>
        </is>
      </c>
      <c r="L2029" s="1" t="inlineStr">
        <is>
          <t>No</t>
        </is>
      </c>
      <c r="M2029" s="1" t="inlineStr">
        <is>
          <t>No</t>
        </is>
      </c>
      <c r="N2029" s="1" t="inlineStr">
        <is>
          <t>Algorithms</t>
        </is>
      </c>
      <c r="O20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30" ht="15.75" customHeight="1" s="12">
      <c r="A2030" s="1" t="n">
        <v>2645</v>
      </c>
      <c r="B2030" s="3">
        <f>HYPERLINK("https://leetcode.com/problems/minimum-additions-to-make-valid-string/", "Minimum Additions to Make Valid String")</f>
        <v/>
      </c>
      <c r="C2030" s="1" t="n">
        <v>586</v>
      </c>
      <c r="D2030" s="1" t="n">
        <v>29</v>
      </c>
      <c r="E2030" s="4">
        <f>IF(INDEX(C:C, ROW())+INDEX(D:D, ROW())=0, 0, INDEX(C:C, ROW())/(INDEX(C:C, ROW())+INDEX(D:D, ROW())))</f>
        <v/>
      </c>
      <c r="F2030" s="1" t="inlineStr">
        <is>
          <t>String, Dynamic Programming, Stack, Greedy</t>
        </is>
      </c>
      <c r="G2030" s="1" t="inlineStr">
        <is>
          <t>Medium</t>
        </is>
      </c>
      <c r="H2030" s="1" t="n">
        <v>37088</v>
      </c>
      <c r="I2030" s="1" t="n">
        <v>72955</v>
      </c>
      <c r="J2030" s="9" t="n">
        <v>0.508</v>
      </c>
      <c r="K2030" s="1" t="inlineStr">
        <is>
          <t>Yes</t>
        </is>
      </c>
      <c r="L2030" s="1" t="inlineStr">
        <is>
          <t>No</t>
        </is>
      </c>
      <c r="M2030" s="1" t="inlineStr">
        <is>
          <t>No</t>
        </is>
      </c>
      <c r="N2030" s="1" t="inlineStr">
        <is>
          <t>Algorithms</t>
        </is>
      </c>
      <c r="O20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31" ht="15.75" customHeight="1" s="12">
      <c r="A2031" s="1" t="n">
        <v>1242</v>
      </c>
      <c r="B2031" s="3">
        <f>HYPERLINK("https://leetcode.com/problems/web-crawler-multithreaded/", "Web Crawler Multithreaded")</f>
        <v/>
      </c>
      <c r="C2031" s="1" t="n">
        <v>585</v>
      </c>
      <c r="D2031" s="1" t="n">
        <v>101</v>
      </c>
      <c r="E2031" s="4">
        <f>IF(INDEX(C:C, ROW())+INDEX(D:D, ROW())=0, 0, INDEX(C:C, ROW())/(INDEX(C:C, ROW())+INDEX(D:D, ROW())))</f>
        <v/>
      </c>
      <c r="F2031" s="1" t="inlineStr">
        <is>
          <t>Depth-First Search, Breadth-First Search, Concurrency</t>
        </is>
      </c>
      <c r="G2031" s="1" t="inlineStr">
        <is>
          <t>Medium</t>
        </is>
      </c>
      <c r="H2031" s="1" t="n">
        <v>95039</v>
      </c>
      <c r="I2031" s="1" t="n">
        <v>187217</v>
      </c>
      <c r="J2031" s="9" t="n">
        <v>0.508</v>
      </c>
      <c r="K2031" s="1" t="inlineStr">
        <is>
          <t>No</t>
        </is>
      </c>
      <c r="L2031" s="1" t="inlineStr">
        <is>
          <t>No</t>
        </is>
      </c>
      <c r="M2031" s="1" t="inlineStr">
        <is>
          <t>No</t>
        </is>
      </c>
      <c r="N2031" s="1" t="inlineStr">
        <is>
          <t>Concurrency</t>
        </is>
      </c>
      <c r="O20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32" ht="15.75" customHeight="1" s="12">
      <c r="A2032" s="1" t="n">
        <v>568</v>
      </c>
      <c r="B2032" s="3">
        <f>HYPERLINK("https://leetcode.com/problems/maximum-vacation-days/", "Maximum Vacation Days")</f>
        <v/>
      </c>
      <c r="C2032" s="1" t="n">
        <v>584</v>
      </c>
      <c r="D2032" s="1" t="n">
        <v>121</v>
      </c>
      <c r="E2032" s="4">
        <f>IF(INDEX(C:C, ROW())+INDEX(D:D, ROW())=0, 0, INDEX(C:C, ROW())/(INDEX(C:C, ROW())+INDEX(D:D, ROW())))</f>
        <v/>
      </c>
      <c r="F2032" s="1" t="inlineStr">
        <is>
          <t>Array, Dynamic Programming, Matrix</t>
        </is>
      </c>
      <c r="G2032" s="1" t="inlineStr">
        <is>
          <t>Hard</t>
        </is>
      </c>
      <c r="H2032" s="1" t="n">
        <v>41157</v>
      </c>
      <c r="I2032" s="1" t="n">
        <v>88145</v>
      </c>
      <c r="J2032" s="9" t="n">
        <v>0.467</v>
      </c>
      <c r="K2032" s="1" t="inlineStr">
        <is>
          <t>No</t>
        </is>
      </c>
      <c r="L2032" s="1" t="inlineStr">
        <is>
          <t>Yes</t>
        </is>
      </c>
      <c r="M2032" s="1" t="inlineStr">
        <is>
          <t>No</t>
        </is>
      </c>
      <c r="N2032" s="1" t="inlineStr">
        <is>
          <t>Algorithms</t>
        </is>
      </c>
      <c r="O20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33" ht="15.75" customHeight="1" s="12">
      <c r="A2033" s="1" t="n">
        <v>1536</v>
      </c>
      <c r="B2033" s="3">
        <f>HYPERLINK("https://leetcode.com/problems/minimum-swaps-to-arrange-a-binary-grid/", "Minimum Swaps to Arrange a Binary Grid")</f>
        <v/>
      </c>
      <c r="C2033" s="1" t="n">
        <v>584</v>
      </c>
      <c r="D2033" s="1" t="n">
        <v>72</v>
      </c>
      <c r="E2033" s="4">
        <f>IF(INDEX(C:C, ROW())+INDEX(D:D, ROW())=0, 0, INDEX(C:C, ROW())/(INDEX(C:C, ROW())+INDEX(D:D, ROW())))</f>
        <v/>
      </c>
      <c r="F2033" s="1" t="inlineStr">
        <is>
          <t>Array, Greedy, Matrix</t>
        </is>
      </c>
      <c r="G2033" s="1" t="inlineStr">
        <is>
          <t>Medium</t>
        </is>
      </c>
      <c r="H2033" s="1" t="n">
        <v>18409</v>
      </c>
      <c r="I2033" s="1" t="n">
        <v>37518</v>
      </c>
      <c r="J2033" s="9" t="n">
        <v>0.491</v>
      </c>
      <c r="K2033" s="1" t="inlineStr">
        <is>
          <t>Yes</t>
        </is>
      </c>
      <c r="L2033" s="1" t="inlineStr">
        <is>
          <t>No</t>
        </is>
      </c>
      <c r="M2033" s="1" t="inlineStr">
        <is>
          <t>No</t>
        </is>
      </c>
      <c r="N2033" s="1" t="inlineStr">
        <is>
          <t>Algorithms</t>
        </is>
      </c>
      <c r="O20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34" ht="15.75" customHeight="1" s="12">
      <c r="A2034" s="1" t="n">
        <v>2575</v>
      </c>
      <c r="B2034" s="3">
        <f>HYPERLINK("https://leetcode.com/problems/find-the-divisibility-array-of-a-string/", "Find the Divisibility Array of a String")</f>
        <v/>
      </c>
      <c r="C2034" s="1" t="n">
        <v>584</v>
      </c>
      <c r="D2034" s="1" t="n">
        <v>25</v>
      </c>
      <c r="E2034" s="4">
        <f>IF(INDEX(C:C, ROW())+INDEX(D:D, ROW())=0, 0, INDEX(C:C, ROW())/(INDEX(C:C, ROW())+INDEX(D:D, ROW())))</f>
        <v/>
      </c>
      <c r="F2034" s="1" t="inlineStr">
        <is>
          <t>Array, Math, String</t>
        </is>
      </c>
      <c r="G2034" s="1" t="inlineStr">
        <is>
          <t>Medium</t>
        </is>
      </c>
      <c r="H2034" s="1" t="n">
        <v>37677</v>
      </c>
      <c r="I2034" s="1" t="n">
        <v>105908</v>
      </c>
      <c r="J2034" s="9" t="n">
        <v>0.356</v>
      </c>
      <c r="K2034" s="1" t="inlineStr">
        <is>
          <t>Yes</t>
        </is>
      </c>
      <c r="L2034" s="1" t="inlineStr">
        <is>
          <t>No</t>
        </is>
      </c>
      <c r="M2034" s="1" t="inlineStr">
        <is>
          <t>No</t>
        </is>
      </c>
      <c r="N2034" s="1" t="inlineStr">
        <is>
          <t>Algorithms</t>
        </is>
      </c>
      <c r="O20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35" ht="15.75" customHeight="1" s="12">
      <c r="A2035" s="1" t="n">
        <v>3170</v>
      </c>
      <c r="B2035" s="3">
        <f>HYPERLINK("https://leetcode.com/problems/lexicographically-minimum-string-after-removing-stars/", "Lexicographically Minimum String After Removing Stars")</f>
        <v/>
      </c>
      <c r="C2035" s="1" t="n">
        <v>584</v>
      </c>
      <c r="D2035" s="1" t="n">
        <v>86</v>
      </c>
      <c r="E2035" s="4">
        <f>IF(INDEX(C:C, ROW())+INDEX(D:D, ROW())=0, 0, INDEX(C:C, ROW())/(INDEX(C:C, ROW())+INDEX(D:D, ROW())))</f>
        <v/>
      </c>
      <c r="F2035" s="1" t="inlineStr">
        <is>
          <t>Hash Table, String, Stack, Greedy, Heap (Priority Queue)</t>
        </is>
      </c>
      <c r="G2035" s="1" t="inlineStr">
        <is>
          <t>Medium</t>
        </is>
      </c>
      <c r="H2035" s="1" t="n">
        <v>118390</v>
      </c>
      <c r="I2035" s="1" t="n">
        <v>232230</v>
      </c>
      <c r="J2035" s="9" t="n">
        <v>0.51</v>
      </c>
      <c r="K2035" s="1" t="inlineStr">
        <is>
          <t>Yes</t>
        </is>
      </c>
      <c r="L2035" s="1" t="inlineStr">
        <is>
          <t>Yes</t>
        </is>
      </c>
      <c r="M2035" s="1" t="inlineStr">
        <is>
          <t>No</t>
        </is>
      </c>
      <c r="N2035" s="1" t="inlineStr">
        <is>
          <t>Algorithms</t>
        </is>
      </c>
      <c r="O20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36" ht="15.75" customHeight="1" s="12">
      <c r="A2036" s="1" t="n">
        <v>2643</v>
      </c>
      <c r="B2036" s="3">
        <f>HYPERLINK("https://leetcode.com/problems/row-with-maximum-ones/", "Row With Maximum Ones")</f>
        <v/>
      </c>
      <c r="C2036" s="1" t="n">
        <v>582</v>
      </c>
      <c r="D2036" s="1" t="n">
        <v>21</v>
      </c>
      <c r="E2036" s="4">
        <f>IF(INDEX(C:C, ROW())+INDEX(D:D, ROW())=0, 0, INDEX(C:C, ROW())/(INDEX(C:C, ROW())+INDEX(D:D, ROW())))</f>
        <v/>
      </c>
      <c r="F2036" s="1" t="inlineStr">
        <is>
          <t>Array, Matrix</t>
        </is>
      </c>
      <c r="G2036" s="1" t="inlineStr">
        <is>
          <t>Easy</t>
        </is>
      </c>
      <c r="H2036" s="1" t="n">
        <v>112700</v>
      </c>
      <c r="I2036" s="1" t="n">
        <v>151772</v>
      </c>
      <c r="J2036" s="9" t="n">
        <v>0.743</v>
      </c>
      <c r="K2036" s="1" t="inlineStr">
        <is>
          <t>Yes</t>
        </is>
      </c>
      <c r="L2036" s="1" t="inlineStr">
        <is>
          <t>No</t>
        </is>
      </c>
      <c r="M2036" s="1" t="inlineStr">
        <is>
          <t>No</t>
        </is>
      </c>
      <c r="N2036" s="1" t="inlineStr">
        <is>
          <t>Algorithms</t>
        </is>
      </c>
      <c r="O20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37" ht="15.75" customHeight="1" s="12">
      <c r="A2037" s="1" t="n">
        <v>1796</v>
      </c>
      <c r="B2037" s="3">
        <f>HYPERLINK("https://leetcode.com/problems/second-largest-digit-in-a-string/", "Second Largest Digit in a String")</f>
        <v/>
      </c>
      <c r="C2037" s="1" t="n">
        <v>581</v>
      </c>
      <c r="D2037" s="1" t="n">
        <v>132</v>
      </c>
      <c r="E2037" s="4">
        <f>IF(INDEX(C:C, ROW())+INDEX(D:D, ROW())=0, 0, INDEX(C:C, ROW())/(INDEX(C:C, ROW())+INDEX(D:D, ROW())))</f>
        <v/>
      </c>
      <c r="F2037" s="1" t="inlineStr">
        <is>
          <t>Hash Table, String</t>
        </is>
      </c>
      <c r="G2037" s="1" t="inlineStr">
        <is>
          <t>Easy</t>
        </is>
      </c>
      <c r="H2037" s="1" t="n">
        <v>91144</v>
      </c>
      <c r="I2037" s="1" t="n">
        <v>170687</v>
      </c>
      <c r="J2037" s="9" t="n">
        <v>0.534</v>
      </c>
      <c r="K2037" s="1" t="inlineStr">
        <is>
          <t>Yes</t>
        </is>
      </c>
      <c r="L2037" s="1" t="inlineStr">
        <is>
          <t>No</t>
        </is>
      </c>
      <c r="M2037" s="1" t="inlineStr">
        <is>
          <t>No</t>
        </is>
      </c>
      <c r="N2037" s="1" t="inlineStr">
        <is>
          <t>Algorithms</t>
        </is>
      </c>
      <c r="O20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38" ht="15.75" customHeight="1" s="12">
      <c r="A2038" s="1" t="n">
        <v>2506</v>
      </c>
      <c r="B2038" s="3">
        <f>HYPERLINK("https://leetcode.com/problems/count-pairs-of-similar-strings/", "Count Pairs Of Similar Strings")</f>
        <v/>
      </c>
      <c r="C2038" s="1" t="n">
        <v>581</v>
      </c>
      <c r="D2038" s="1" t="n">
        <v>41</v>
      </c>
      <c r="E2038" s="4">
        <f>IF(INDEX(C:C, ROW())+INDEX(D:D, ROW())=0, 0, INDEX(C:C, ROW())/(INDEX(C:C, ROW())+INDEX(D:D, ROW())))</f>
        <v/>
      </c>
      <c r="F2038" s="1" t="inlineStr">
        <is>
          <t>Array, Hash Table, String, Bit Manipulation, Counting</t>
        </is>
      </c>
      <c r="G2038" s="1" t="inlineStr">
        <is>
          <t>Easy</t>
        </is>
      </c>
      <c r="H2038" s="1" t="n">
        <v>69183</v>
      </c>
      <c r="I2038" s="1" t="n">
        <v>94328</v>
      </c>
      <c r="J2038" s="9" t="n">
        <v>0.733</v>
      </c>
      <c r="K2038" s="1" t="inlineStr">
        <is>
          <t>Yes</t>
        </is>
      </c>
      <c r="L2038" s="1" t="inlineStr">
        <is>
          <t>No</t>
        </is>
      </c>
      <c r="M2038" s="1" t="inlineStr">
        <is>
          <t>No</t>
        </is>
      </c>
      <c r="N2038" s="1" t="inlineStr">
        <is>
          <t>Algorithms</t>
        </is>
      </c>
      <c r="O20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39" ht="15.75" customHeight="1" s="12">
      <c r="A2039" s="1" t="n">
        <v>2652</v>
      </c>
      <c r="B2039" s="3">
        <f>HYPERLINK("https://leetcode.com/problems/sum-multiples/", "Sum Multiples")</f>
        <v/>
      </c>
      <c r="C2039" s="1" t="n">
        <v>581</v>
      </c>
      <c r="D2039" s="1" t="n">
        <v>41</v>
      </c>
      <c r="E2039" s="4">
        <f>IF(INDEX(C:C, ROW())+INDEX(D:D, ROW())=0, 0, INDEX(C:C, ROW())/(INDEX(C:C, ROW())+INDEX(D:D, ROW())))</f>
        <v/>
      </c>
      <c r="F2039" s="1" t="inlineStr">
        <is>
          <t>Math</t>
        </is>
      </c>
      <c r="G2039" s="1" t="inlineStr">
        <is>
          <t>Easy</t>
        </is>
      </c>
      <c r="H2039" s="1" t="n">
        <v>180745</v>
      </c>
      <c r="I2039" s="1" t="n">
        <v>210978</v>
      </c>
      <c r="J2039" s="9" t="n">
        <v>0.857</v>
      </c>
      <c r="K2039" s="1" t="inlineStr">
        <is>
          <t>Yes</t>
        </is>
      </c>
      <c r="L2039" s="1" t="inlineStr">
        <is>
          <t>No</t>
        </is>
      </c>
      <c r="M2039" s="1" t="inlineStr">
        <is>
          <t>No</t>
        </is>
      </c>
      <c r="N2039" s="1" t="inlineStr">
        <is>
          <t>Algorithms</t>
        </is>
      </c>
      <c r="O20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40" ht="15.75" customHeight="1" s="12">
      <c r="A2040" s="1" t="n">
        <v>3147</v>
      </c>
      <c r="B2040" s="3">
        <f>HYPERLINK("https://leetcode.com/problems/taking-maximum-energy-from-the-mystic-dungeon/", "Taking Maximum Energy From the Mystic Dungeon")</f>
        <v/>
      </c>
      <c r="C2040" s="1" t="n">
        <v>580</v>
      </c>
      <c r="D2040" s="1" t="n">
        <v>40</v>
      </c>
      <c r="E2040" s="4">
        <f>IF(INDEX(C:C, ROW())+INDEX(D:D, ROW())=0, 0, INDEX(C:C, ROW())/(INDEX(C:C, ROW())+INDEX(D:D, ROW())))</f>
        <v/>
      </c>
      <c r="F2040" s="1" t="inlineStr">
        <is>
          <t>Array, Prefix Sum</t>
        </is>
      </c>
      <c r="G2040" s="1" t="inlineStr">
        <is>
          <t>Medium</t>
        </is>
      </c>
      <c r="H2040" s="1" t="n">
        <v>139906</v>
      </c>
      <c r="I2040" s="1" t="n">
        <v>229540</v>
      </c>
      <c r="J2040" s="9" t="n">
        <v>0.61</v>
      </c>
      <c r="K2040" s="1" t="inlineStr">
        <is>
          <t>Yes</t>
        </is>
      </c>
      <c r="L2040" s="1" t="inlineStr">
        <is>
          <t>Yes</t>
        </is>
      </c>
      <c r="M2040" s="1" t="inlineStr">
        <is>
          <t>No</t>
        </is>
      </c>
      <c r="N2040" s="1" t="inlineStr">
        <is>
          <t>Algorithms</t>
        </is>
      </c>
      <c r="O20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41" ht="15.75" customHeight="1" s="12">
      <c r="A2041" s="1" t="n">
        <v>192</v>
      </c>
      <c r="B2041" s="3">
        <f>HYPERLINK("https://leetcode.com/problems/word-frequency/", "Word Frequency")</f>
        <v/>
      </c>
      <c r="C2041" s="1" t="n">
        <v>579</v>
      </c>
      <c r="D2041" s="1" t="n">
        <v>311</v>
      </c>
      <c r="E2041" s="4">
        <f>IF(INDEX(C:C, ROW())+INDEX(D:D, ROW())=0, 0, INDEX(C:C, ROW())/(INDEX(C:C, ROW())+INDEX(D:D, ROW())))</f>
        <v/>
      </c>
      <c r="F2041" s="1" t="inlineStr">
        <is>
          <t>Shell</t>
        </is>
      </c>
      <c r="G2041" s="1" t="inlineStr">
        <is>
          <t>Medium</t>
        </is>
      </c>
      <c r="H2041" s="1" t="n">
        <v>72237</v>
      </c>
      <c r="I2041" s="1" t="n">
        <v>256260</v>
      </c>
      <c r="J2041" s="9" t="n">
        <v>0.282</v>
      </c>
      <c r="K2041" s="1" t="inlineStr">
        <is>
          <t>Yes</t>
        </is>
      </c>
      <c r="L2041" s="1" t="inlineStr">
        <is>
          <t>No</t>
        </is>
      </c>
      <c r="M2041" s="1" t="inlineStr">
        <is>
          <t>No</t>
        </is>
      </c>
      <c r="N2041" s="1" t="inlineStr">
        <is>
          <t>Shell</t>
        </is>
      </c>
      <c r="O20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42" ht="15.75" customHeight="1" s="12">
      <c r="A2042" s="1" t="n">
        <v>2666</v>
      </c>
      <c r="B2042" s="3">
        <f>HYPERLINK("https://leetcode.com/problems/allow-one-function-call/", "Allow One Function Call")</f>
        <v/>
      </c>
      <c r="C2042" s="1" t="n">
        <v>579</v>
      </c>
      <c r="D2042" s="1" t="n">
        <v>79</v>
      </c>
      <c r="E2042" s="4">
        <f>IF(INDEX(C:C, ROW())+INDEX(D:D, ROW())=0, 0, INDEX(C:C, ROW())/(INDEX(C:C, ROW())+INDEX(D:D, ROW())))</f>
        <v/>
      </c>
      <c r="F2042" s="2" t="n"/>
      <c r="G2042" s="1" t="inlineStr">
        <is>
          <t>Easy</t>
        </is>
      </c>
      <c r="H2042" s="1" t="n">
        <v>185299</v>
      </c>
      <c r="I2042" s="1" t="n">
        <v>213838</v>
      </c>
      <c r="J2042" s="9" t="n">
        <v>0.867</v>
      </c>
      <c r="K2042" s="1" t="inlineStr">
        <is>
          <t>Yes</t>
        </is>
      </c>
      <c r="L2042" s="1" t="inlineStr">
        <is>
          <t>Yes</t>
        </is>
      </c>
      <c r="M2042" s="1" t="inlineStr">
        <is>
          <t>No</t>
        </is>
      </c>
      <c r="N2042" s="1" t="inlineStr">
        <is>
          <t>JavaScript</t>
        </is>
      </c>
      <c r="O20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43" ht="15.75" customHeight="1" s="12">
      <c r="A2043" s="1" t="n">
        <v>1214</v>
      </c>
      <c r="B2043" s="3">
        <f>HYPERLINK("https://leetcode.com/problems/two-sum-bsts/", "Two Sum BSTs")</f>
        <v/>
      </c>
      <c r="C2043" s="1" t="n">
        <v>578</v>
      </c>
      <c r="D2043" s="1" t="n">
        <v>46</v>
      </c>
      <c r="E2043" s="4">
        <f>IF(INDEX(C:C, ROW())+INDEX(D:D, ROW())=0, 0, INDEX(C:C, ROW())/(INDEX(C:C, ROW())+INDEX(D:D, ROW())))</f>
        <v/>
      </c>
      <c r="F2043" s="1" t="inlineStr">
        <is>
          <t>Two Pointers, Binary Search, Stack, Tree, Depth-First Search, Binary Search Tree, Binary Tree</t>
        </is>
      </c>
      <c r="G2043" s="1" t="inlineStr">
        <is>
          <t>Medium</t>
        </is>
      </c>
      <c r="H2043" s="1" t="n">
        <v>60512</v>
      </c>
      <c r="I2043" s="1" t="n">
        <v>88807</v>
      </c>
      <c r="J2043" s="9" t="n">
        <v>0.681</v>
      </c>
      <c r="K2043" s="1" t="inlineStr">
        <is>
          <t>No</t>
        </is>
      </c>
      <c r="L2043" s="1" t="inlineStr">
        <is>
          <t>Yes</t>
        </is>
      </c>
      <c r="M2043" s="1" t="inlineStr">
        <is>
          <t>No</t>
        </is>
      </c>
      <c r="N2043" s="1" t="inlineStr">
        <is>
          <t>Algorithms</t>
        </is>
      </c>
      <c r="O20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44" ht="15.75" customHeight="1" s="12">
      <c r="A2044" s="1" t="n">
        <v>2312</v>
      </c>
      <c r="B2044" s="3">
        <f>HYPERLINK("https://leetcode.com/problems/selling-pieces-of-wood/", "Selling Pieces of Wood")</f>
        <v/>
      </c>
      <c r="C2044" s="1" t="n">
        <v>578</v>
      </c>
      <c r="D2044" s="1" t="n">
        <v>13</v>
      </c>
      <c r="E2044" s="4">
        <f>IF(INDEX(C:C, ROW())+INDEX(D:D, ROW())=0, 0, INDEX(C:C, ROW())/(INDEX(C:C, ROW())+INDEX(D:D, ROW())))</f>
        <v/>
      </c>
      <c r="F2044" s="1" t="inlineStr">
        <is>
          <t>Array, Dynamic Programming, Memoization</t>
        </is>
      </c>
      <c r="G2044" s="1" t="inlineStr">
        <is>
          <t>Hard</t>
        </is>
      </c>
      <c r="H2044" s="1" t="n">
        <v>15226</v>
      </c>
      <c r="I2044" s="1" t="n">
        <v>28969</v>
      </c>
      <c r="J2044" s="9" t="n">
        <v>0.526</v>
      </c>
      <c r="K2044" s="1" t="inlineStr">
        <is>
          <t>Yes</t>
        </is>
      </c>
      <c r="L2044" s="1" t="inlineStr">
        <is>
          <t>No</t>
        </is>
      </c>
      <c r="M2044" s="1" t="inlineStr">
        <is>
          <t>No</t>
        </is>
      </c>
      <c r="N2044" s="1" t="inlineStr">
        <is>
          <t>Algorithms</t>
        </is>
      </c>
      <c r="O20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45" ht="15.75" customHeight="1" s="12">
      <c r="A2045" s="1" t="n">
        <v>1117</v>
      </c>
      <c r="B2045" s="3">
        <f>HYPERLINK("https://leetcode.com/problems/building-h2o/", "Building H2O")</f>
        <v/>
      </c>
      <c r="C2045" s="1" t="n">
        <v>577</v>
      </c>
      <c r="D2045" s="1" t="n">
        <v>192</v>
      </c>
      <c r="E2045" s="4">
        <f>IF(INDEX(C:C, ROW())+INDEX(D:D, ROW())=0, 0, INDEX(C:C, ROW())/(INDEX(C:C, ROW())+INDEX(D:D, ROW())))</f>
        <v/>
      </c>
      <c r="F2045" s="1" t="inlineStr">
        <is>
          <t>Concurrency</t>
        </is>
      </c>
      <c r="G2045" s="1" t="inlineStr">
        <is>
          <t>Medium</t>
        </is>
      </c>
      <c r="H2045" s="1" t="n">
        <v>81307</v>
      </c>
      <c r="I2045" s="1" t="n">
        <v>139561</v>
      </c>
      <c r="J2045" s="9" t="n">
        <v>0.583</v>
      </c>
      <c r="K2045" s="1" t="inlineStr">
        <is>
          <t>Yes</t>
        </is>
      </c>
      <c r="L2045" s="1" t="inlineStr">
        <is>
          <t>No</t>
        </is>
      </c>
      <c r="M2045" s="1" t="inlineStr">
        <is>
          <t>No</t>
        </is>
      </c>
      <c r="N2045" s="1" t="inlineStr">
        <is>
          <t>Concurrency</t>
        </is>
      </c>
      <c r="O20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46" ht="15.75" customHeight="1" s="12">
      <c r="A2046" s="1" t="n">
        <v>2242</v>
      </c>
      <c r="B2046" s="3">
        <f>HYPERLINK("https://leetcode.com/problems/maximum-score-of-a-node-sequence/", "Maximum Score of a Node Sequence")</f>
        <v/>
      </c>
      <c r="C2046" s="1" t="n">
        <v>576</v>
      </c>
      <c r="D2046" s="1" t="n">
        <v>21</v>
      </c>
      <c r="E2046" s="4">
        <f>IF(INDEX(C:C, ROW())+INDEX(D:D, ROW())=0, 0, INDEX(C:C, ROW())/(INDEX(C:C, ROW())+INDEX(D:D, ROW())))</f>
        <v/>
      </c>
      <c r="F2046" s="1" t="inlineStr">
        <is>
          <t>Array, Graph Theory, Sorting, Enumeration</t>
        </is>
      </c>
      <c r="G2046" s="1" t="inlineStr">
        <is>
          <t>Hard</t>
        </is>
      </c>
      <c r="H2046" s="1" t="n">
        <v>16794</v>
      </c>
      <c r="I2046" s="1" t="n">
        <v>42359</v>
      </c>
      <c r="J2046" s="9" t="n">
        <v>0.396</v>
      </c>
      <c r="K2046" s="1" t="inlineStr">
        <is>
          <t>Yes</t>
        </is>
      </c>
      <c r="L2046" s="1" t="inlineStr">
        <is>
          <t>No</t>
        </is>
      </c>
      <c r="M2046" s="1" t="inlineStr">
        <is>
          <t>No</t>
        </is>
      </c>
      <c r="N2046" s="1" t="inlineStr">
        <is>
          <t>Algorithms</t>
        </is>
      </c>
      <c r="O20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47" ht="15.75" customHeight="1" s="12">
      <c r="A2047" s="1" t="n">
        <v>2712</v>
      </c>
      <c r="B2047" s="3">
        <f>HYPERLINK("https://leetcode.com/problems/minimum-cost-to-make-all-characters-equal/", "Minimum Cost to Make All Characters Equal")</f>
        <v/>
      </c>
      <c r="C2047" s="1" t="n">
        <v>576</v>
      </c>
      <c r="D2047" s="1" t="n">
        <v>26</v>
      </c>
      <c r="E2047" s="4">
        <f>IF(INDEX(C:C, ROW())+INDEX(D:D, ROW())=0, 0, INDEX(C:C, ROW())/(INDEX(C:C, ROW())+INDEX(D:D, ROW())))</f>
        <v/>
      </c>
      <c r="F2047" s="1" t="inlineStr">
        <is>
          <t>String, Dynamic Programming, Greedy</t>
        </is>
      </c>
      <c r="G2047" s="1" t="inlineStr">
        <is>
          <t>Medium</t>
        </is>
      </c>
      <c r="H2047" s="1" t="n">
        <v>22215</v>
      </c>
      <c r="I2047" s="1" t="n">
        <v>41092</v>
      </c>
      <c r="J2047" s="9" t="n">
        <v>0.541</v>
      </c>
      <c r="K2047" s="1" t="inlineStr">
        <is>
          <t>Yes</t>
        </is>
      </c>
      <c r="L2047" s="1" t="inlineStr">
        <is>
          <t>No</t>
        </is>
      </c>
      <c r="M2047" s="1" t="inlineStr">
        <is>
          <t>No</t>
        </is>
      </c>
      <c r="N2047" s="1" t="inlineStr">
        <is>
          <t>Algorithms</t>
        </is>
      </c>
      <c r="O20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48" ht="15.75" customHeight="1" s="12">
      <c r="A2048" s="1" t="n">
        <v>2344</v>
      </c>
      <c r="B2048" s="3">
        <f>HYPERLINK("https://leetcode.com/problems/minimum-deletions-to-make-array-divisible/", "Minimum Deletions to Make Array Divisible")</f>
        <v/>
      </c>
      <c r="C2048" s="1" t="n">
        <v>575</v>
      </c>
      <c r="D2048" s="1" t="n">
        <v>131</v>
      </c>
      <c r="E2048" s="4">
        <f>IF(INDEX(C:C, ROW())+INDEX(D:D, ROW())=0, 0, INDEX(C:C, ROW())/(INDEX(C:C, ROW())+INDEX(D:D, ROW())))</f>
        <v/>
      </c>
      <c r="F2048" s="1" t="inlineStr">
        <is>
          <t>Array, Math, Sorting, Heap (Priority Queue), Number Theory</t>
        </is>
      </c>
      <c r="G2048" s="1" t="inlineStr">
        <is>
          <t>Hard</t>
        </is>
      </c>
      <c r="H2048" s="1" t="n">
        <v>40519</v>
      </c>
      <c r="I2048" s="1" t="n">
        <v>68746</v>
      </c>
      <c r="J2048" s="9" t="n">
        <v>0.589</v>
      </c>
      <c r="K2048" s="1" t="inlineStr">
        <is>
          <t>Yes</t>
        </is>
      </c>
      <c r="L2048" s="1" t="inlineStr">
        <is>
          <t>No</t>
        </is>
      </c>
      <c r="M2048" s="1" t="inlineStr">
        <is>
          <t>No</t>
        </is>
      </c>
      <c r="N2048" s="1" t="inlineStr">
        <is>
          <t>Algorithms</t>
        </is>
      </c>
      <c r="O20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49" ht="15.75" customHeight="1" s="12">
      <c r="A2049" s="1" t="n">
        <v>3151</v>
      </c>
      <c r="B2049" s="3">
        <f>HYPERLINK("https://leetcode.com/problems/special-array-i/", "Special Array I")</f>
        <v/>
      </c>
      <c r="C2049" s="1" t="n">
        <v>575</v>
      </c>
      <c r="D2049" s="1" t="n">
        <v>33</v>
      </c>
      <c r="E2049" s="4">
        <f>IF(INDEX(C:C, ROW())+INDEX(D:D, ROW())=0, 0, INDEX(C:C, ROW())/(INDEX(C:C, ROW())+INDEX(D:D, ROW())))</f>
        <v/>
      </c>
      <c r="F2049" s="1" t="inlineStr">
        <is>
          <t>Array</t>
        </is>
      </c>
      <c r="G2049" s="1" t="inlineStr">
        <is>
          <t>Easy</t>
        </is>
      </c>
      <c r="H2049" s="1" t="n">
        <v>257347</v>
      </c>
      <c r="I2049" s="1" t="n">
        <v>315259</v>
      </c>
      <c r="J2049" s="9" t="n">
        <v>0.8159999999999999</v>
      </c>
      <c r="K2049" s="1" t="inlineStr">
        <is>
          <t>Yes</t>
        </is>
      </c>
      <c r="L2049" s="1" t="inlineStr">
        <is>
          <t>Yes</t>
        </is>
      </c>
      <c r="M2049" s="1" t="inlineStr">
        <is>
          <t>No</t>
        </is>
      </c>
      <c r="N2049" s="1" t="inlineStr">
        <is>
          <t>Algorithms</t>
        </is>
      </c>
      <c r="O20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50" ht="15.75" customHeight="1" s="12">
      <c r="A2050" s="1" t="n">
        <v>2001</v>
      </c>
      <c r="B2050" s="3">
        <f>HYPERLINK("https://leetcode.com/problems/number-of-pairs-of-interchangeable-rectangles/", "Number of Pairs of Interchangeable Rectangles")</f>
        <v/>
      </c>
      <c r="C2050" s="1" t="n">
        <v>574</v>
      </c>
      <c r="D2050" s="1" t="n">
        <v>49</v>
      </c>
      <c r="E2050" s="4">
        <f>IF(INDEX(C:C, ROW())+INDEX(D:D, ROW())=0, 0, INDEX(C:C, ROW())/(INDEX(C:C, ROW())+INDEX(D:D, ROW())))</f>
        <v/>
      </c>
      <c r="F2050" s="1" t="inlineStr">
        <is>
          <t>Array, Hash Table, Math, Counting, Number Theory</t>
        </is>
      </c>
      <c r="G2050" s="1" t="inlineStr">
        <is>
          <t>Medium</t>
        </is>
      </c>
      <c r="H2050" s="1" t="n">
        <v>56340</v>
      </c>
      <c r="I2050" s="1" t="n">
        <v>108084</v>
      </c>
      <c r="J2050" s="9" t="n">
        <v>0.521</v>
      </c>
      <c r="K2050" s="1" t="inlineStr">
        <is>
          <t>Yes</t>
        </is>
      </c>
      <c r="L2050" s="1" t="inlineStr">
        <is>
          <t>No</t>
        </is>
      </c>
      <c r="M2050" s="1" t="inlineStr">
        <is>
          <t>No</t>
        </is>
      </c>
      <c r="N2050" s="1" t="inlineStr">
        <is>
          <t>Algorithms</t>
        </is>
      </c>
      <c r="O20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51" ht="15.75" customHeight="1" s="12">
      <c r="A2051" s="1" t="n">
        <v>2426</v>
      </c>
      <c r="B2051" s="3">
        <f>HYPERLINK("https://leetcode.com/problems/number-of-pairs-satisfying-inequality/", "Number of Pairs Satisfying Inequality")</f>
        <v/>
      </c>
      <c r="C2051" s="1" t="n">
        <v>573</v>
      </c>
      <c r="D2051" s="1" t="n">
        <v>11</v>
      </c>
      <c r="E2051" s="4">
        <f>IF(INDEX(C:C, ROW())+INDEX(D:D, ROW())=0, 0, INDEX(C:C, ROW())/(INDEX(C:C, ROW())+INDEX(D:D, ROW())))</f>
        <v/>
      </c>
      <c r="F2051" s="1" t="inlineStr">
        <is>
          <t>Array, Binary Search, Divide and Conquer, Binary Indexed Tree, Segment Tree, Merge Sort, Ordered Set</t>
        </is>
      </c>
      <c r="G2051" s="1" t="inlineStr">
        <is>
          <t>Hard</t>
        </is>
      </c>
      <c r="H2051" s="1" t="n">
        <v>18357</v>
      </c>
      <c r="I2051" s="1" t="n">
        <v>39347</v>
      </c>
      <c r="J2051" s="9" t="n">
        <v>0.467</v>
      </c>
      <c r="K2051" s="1" t="inlineStr">
        <is>
          <t>Yes</t>
        </is>
      </c>
      <c r="L2051" s="1" t="inlineStr">
        <is>
          <t>No</t>
        </is>
      </c>
      <c r="M2051" s="1" t="inlineStr">
        <is>
          <t>No</t>
        </is>
      </c>
      <c r="N2051" s="1" t="inlineStr">
        <is>
          <t>Algorithms</t>
        </is>
      </c>
      <c r="O20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52" ht="15.75" customHeight="1" s="12">
      <c r="A2052" s="1" t="n">
        <v>2068</v>
      </c>
      <c r="B2052" s="3">
        <f>HYPERLINK("https://leetcode.com/problems/check-whether-two-strings-are-almost-equivalent/", "Check Whether Two Strings are Almost Equivalent")</f>
        <v/>
      </c>
      <c r="C2052" s="1" t="n">
        <v>571</v>
      </c>
      <c r="D2052" s="1" t="n">
        <v>22</v>
      </c>
      <c r="E2052" s="4">
        <f>IF(INDEX(C:C, ROW())+INDEX(D:D, ROW())=0, 0, INDEX(C:C, ROW())/(INDEX(C:C, ROW())+INDEX(D:D, ROW())))</f>
        <v/>
      </c>
      <c r="F2052" s="1" t="inlineStr">
        <is>
          <t>Hash Table, String, Counting</t>
        </is>
      </c>
      <c r="G2052" s="1" t="inlineStr">
        <is>
          <t>Easy</t>
        </is>
      </c>
      <c r="H2052" s="1" t="n">
        <v>79002</v>
      </c>
      <c r="I2052" s="1" t="n">
        <v>123364</v>
      </c>
      <c r="J2052" s="9" t="n">
        <v>0.64</v>
      </c>
      <c r="K2052" s="1" t="inlineStr">
        <is>
          <t>Yes</t>
        </is>
      </c>
      <c r="L2052" s="1" t="inlineStr">
        <is>
          <t>Yes</t>
        </is>
      </c>
      <c r="M2052" s="1" t="inlineStr">
        <is>
          <t>No</t>
        </is>
      </c>
      <c r="N2052" s="1" t="inlineStr">
        <is>
          <t>Algorithms</t>
        </is>
      </c>
      <c r="O20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53" ht="15.75" customHeight="1" s="12">
      <c r="A2053" s="1" t="n">
        <v>2086</v>
      </c>
      <c r="B2053" s="3">
        <f>HYPERLINK("https://leetcode.com/problems/minimum-number-of-food-buckets-to-feed-the-hamsters/", "Minimum Number of Food Buckets to Feed the Hamsters")</f>
        <v/>
      </c>
      <c r="C2053" s="1" t="n">
        <v>571</v>
      </c>
      <c r="D2053" s="1" t="n">
        <v>31</v>
      </c>
      <c r="E2053" s="4">
        <f>IF(INDEX(C:C, ROW())+INDEX(D:D, ROW())=0, 0, INDEX(C:C, ROW())/(INDEX(C:C, ROW())+INDEX(D:D, ROW())))</f>
        <v/>
      </c>
      <c r="F2053" s="1" t="inlineStr">
        <is>
          <t>String, Dynamic Programming, Greedy</t>
        </is>
      </c>
      <c r="G2053" s="1" t="inlineStr">
        <is>
          <t>Medium</t>
        </is>
      </c>
      <c r="H2053" s="1" t="n">
        <v>28752</v>
      </c>
      <c r="I2053" s="1" t="n">
        <v>60101</v>
      </c>
      <c r="J2053" s="9" t="n">
        <v>0.478</v>
      </c>
      <c r="K2053" s="1" t="inlineStr">
        <is>
          <t>Yes</t>
        </is>
      </c>
      <c r="L2053" s="1" t="inlineStr">
        <is>
          <t>No</t>
        </is>
      </c>
      <c r="M2053" s="1" t="inlineStr">
        <is>
          <t>No</t>
        </is>
      </c>
      <c r="N2053" s="1" t="inlineStr">
        <is>
          <t>Algorithms</t>
        </is>
      </c>
      <c r="O20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54" ht="15.75" customHeight="1" s="12">
      <c r="A2054" s="1" t="n">
        <v>2659</v>
      </c>
      <c r="B2054" s="3">
        <f>HYPERLINK("https://leetcode.com/problems/make-array-empty/", "Make Array Empty")</f>
        <v/>
      </c>
      <c r="C2054" s="1" t="n">
        <v>571</v>
      </c>
      <c r="D2054" s="1" t="n">
        <v>35</v>
      </c>
      <c r="E2054" s="4">
        <f>IF(INDEX(C:C, ROW())+INDEX(D:D, ROW())=0, 0, INDEX(C:C, ROW())/(INDEX(C:C, ROW())+INDEX(D:D, ROW())))</f>
        <v/>
      </c>
      <c r="F2054" s="1" t="inlineStr">
        <is>
          <t>Array, Binary Search, Greedy, Binary Indexed Tree, Segment Tree, Sorting, Ordered Set</t>
        </is>
      </c>
      <c r="G2054" s="1" t="inlineStr">
        <is>
          <t>Hard</t>
        </is>
      </c>
      <c r="H2054" s="1" t="n">
        <v>13969</v>
      </c>
      <c r="I2054" s="1" t="n">
        <v>53112</v>
      </c>
      <c r="J2054" s="9" t="n">
        <v>0.263</v>
      </c>
      <c r="K2054" s="1" t="inlineStr">
        <is>
          <t>Yes</t>
        </is>
      </c>
      <c r="L2054" s="1" t="inlineStr">
        <is>
          <t>No</t>
        </is>
      </c>
      <c r="M2054" s="1" t="inlineStr">
        <is>
          <t>No</t>
        </is>
      </c>
      <c r="N2054" s="1" t="inlineStr">
        <is>
          <t>Algorithms</t>
        </is>
      </c>
      <c r="O20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55" ht="15.75" customHeight="1" s="12">
      <c r="A2055" s="1" t="n">
        <v>2901</v>
      </c>
      <c r="B2055" s="3">
        <f>HYPERLINK("https://leetcode.com/problems/longest-unequal-adjacent-groups-subsequence-ii/", "Longest Unequal Adjacent Groups Subsequence II")</f>
        <v/>
      </c>
      <c r="C2055" s="1" t="n">
        <v>570</v>
      </c>
      <c r="D2055" s="1" t="n">
        <v>168</v>
      </c>
      <c r="E2055" s="4">
        <f>IF(INDEX(C:C, ROW())+INDEX(D:D, ROW())=0, 0, INDEX(C:C, ROW())/(INDEX(C:C, ROW())+INDEX(D:D, ROW())))</f>
        <v/>
      </c>
      <c r="F2055" s="1" t="inlineStr">
        <is>
          <t>Array, String, Dynamic Programming</t>
        </is>
      </c>
      <c r="G2055" s="1" t="inlineStr">
        <is>
          <t>Medium</t>
        </is>
      </c>
      <c r="H2055" s="1" t="n">
        <v>83154</v>
      </c>
      <c r="I2055" s="1" t="n">
        <v>161610</v>
      </c>
      <c r="J2055" s="9" t="n">
        <v>0.515</v>
      </c>
      <c r="K2055" s="1" t="inlineStr">
        <is>
          <t>Yes</t>
        </is>
      </c>
      <c r="L2055" s="1" t="inlineStr">
        <is>
          <t>Yes</t>
        </is>
      </c>
      <c r="M2055" s="1" t="inlineStr">
        <is>
          <t>No</t>
        </is>
      </c>
      <c r="N2055" s="1" t="inlineStr">
        <is>
          <t>Algorithms</t>
        </is>
      </c>
      <c r="O20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56" ht="15.75" customHeight="1" s="12">
      <c r="A2056" s="1" t="n">
        <v>1017</v>
      </c>
      <c r="B2056" s="3">
        <f>HYPERLINK("https://leetcode.com/problems/convert-to-base-2/", "Convert to Base -2")</f>
        <v/>
      </c>
      <c r="C2056" s="1" t="n">
        <v>569</v>
      </c>
      <c r="D2056" s="1" t="n">
        <v>308</v>
      </c>
      <c r="E2056" s="4">
        <f>IF(INDEX(C:C, ROW())+INDEX(D:D, ROW())=0, 0, INDEX(C:C, ROW())/(INDEX(C:C, ROW())+INDEX(D:D, ROW())))</f>
        <v/>
      </c>
      <c r="F2056" s="1" t="inlineStr">
        <is>
          <t>Math</t>
        </is>
      </c>
      <c r="G2056" s="1" t="inlineStr">
        <is>
          <t>Medium</t>
        </is>
      </c>
      <c r="H2056" s="1" t="n">
        <v>36071</v>
      </c>
      <c r="I2056" s="1" t="n">
        <v>58493</v>
      </c>
      <c r="J2056" s="9" t="n">
        <v>0.617</v>
      </c>
      <c r="K2056" s="1" t="inlineStr">
        <is>
          <t>Yes</t>
        </is>
      </c>
      <c r="L2056" s="1" t="inlineStr">
        <is>
          <t>No</t>
        </is>
      </c>
      <c r="M2056" s="1" t="inlineStr">
        <is>
          <t>No</t>
        </is>
      </c>
      <c r="N2056" s="1" t="inlineStr">
        <is>
          <t>Algorithms</t>
        </is>
      </c>
      <c r="O20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57" ht="15.75" customHeight="1" s="12">
      <c r="A2057" s="1" t="n">
        <v>1617</v>
      </c>
      <c r="B2057" s="3">
        <f>HYPERLINK("https://leetcode.com/problems/count-subtrees-with-max-distance-between-cities/", "Count Subtrees With Max Distance Between Cities")</f>
        <v/>
      </c>
      <c r="C2057" s="1" t="n">
        <v>569</v>
      </c>
      <c r="D2057" s="1" t="n">
        <v>44</v>
      </c>
      <c r="E2057" s="4">
        <f>IF(INDEX(C:C, ROW())+INDEX(D:D, ROW())=0, 0, INDEX(C:C, ROW())/(INDEX(C:C, ROW())+INDEX(D:D, ROW())))</f>
        <v/>
      </c>
      <c r="F2057" s="1" t="inlineStr">
        <is>
          <t>Dynamic Programming, Bit Manipulation, Tree, Enumeration, Bitmask DP</t>
        </is>
      </c>
      <c r="G2057" s="1" t="inlineStr">
        <is>
          <t>Hard</t>
        </is>
      </c>
      <c r="H2057" s="1" t="n">
        <v>14444</v>
      </c>
      <c r="I2057" s="1" t="n">
        <v>21514</v>
      </c>
      <c r="J2057" s="9" t="n">
        <v>0.671</v>
      </c>
      <c r="K2057" s="1" t="inlineStr">
        <is>
          <t>Yes</t>
        </is>
      </c>
      <c r="L2057" s="1" t="inlineStr">
        <is>
          <t>No</t>
        </is>
      </c>
      <c r="M2057" s="1" t="inlineStr">
        <is>
          <t>No</t>
        </is>
      </c>
      <c r="N2057" s="1" t="inlineStr">
        <is>
          <t>Algorithms</t>
        </is>
      </c>
      <c r="O20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58" ht="15.75" customHeight="1" s="12">
      <c r="A2058" s="1" t="n">
        <v>893</v>
      </c>
      <c r="B2058" s="3">
        <f>HYPERLINK("https://leetcode.com/problems/groups-of-special-equivalent-strings/", "Groups of Special-Equivalent Strings")</f>
        <v/>
      </c>
      <c r="C2058" s="1" t="n">
        <v>568</v>
      </c>
      <c r="D2058" s="1" t="n">
        <v>1488</v>
      </c>
      <c r="E2058" s="4">
        <f>IF(INDEX(C:C, ROW())+INDEX(D:D, ROW())=0, 0, INDEX(C:C, ROW())/(INDEX(C:C, ROW())+INDEX(D:D, ROW())))</f>
        <v/>
      </c>
      <c r="F2058" s="1" t="inlineStr">
        <is>
          <t>Array, Hash Table, String, Sorting</t>
        </is>
      </c>
      <c r="G2058" s="1" t="inlineStr">
        <is>
          <t>Medium</t>
        </is>
      </c>
      <c r="H2058" s="1" t="n">
        <v>58014</v>
      </c>
      <c r="I2058" s="1" t="n">
        <v>79066</v>
      </c>
      <c r="J2058" s="9" t="n">
        <v>0.734</v>
      </c>
      <c r="K2058" s="1" t="inlineStr">
        <is>
          <t>Yes</t>
        </is>
      </c>
      <c r="L2058" s="1" t="inlineStr">
        <is>
          <t>Yes</t>
        </is>
      </c>
      <c r="M2058" s="1" t="inlineStr">
        <is>
          <t>No</t>
        </is>
      </c>
      <c r="N2058" s="1" t="inlineStr">
        <is>
          <t>Algorithms</t>
        </is>
      </c>
      <c r="O20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59" ht="15.75" customHeight="1" s="12">
      <c r="A2059" s="1" t="n">
        <v>2637</v>
      </c>
      <c r="B2059" s="3">
        <f>HYPERLINK("https://leetcode.com/problems/promise-time-limit/", "Promise Time Limit")</f>
        <v/>
      </c>
      <c r="C2059" s="1" t="n">
        <v>568</v>
      </c>
      <c r="D2059" s="1" t="n">
        <v>84</v>
      </c>
      <c r="E2059" s="4">
        <f>IF(INDEX(C:C, ROW())+INDEX(D:D, ROW())=0, 0, INDEX(C:C, ROW())/(INDEX(C:C, ROW())+INDEX(D:D, ROW())))</f>
        <v/>
      </c>
      <c r="F2059" s="2" t="n"/>
      <c r="G2059" s="1" t="inlineStr">
        <is>
          <t>Medium</t>
        </is>
      </c>
      <c r="H2059" s="1" t="n">
        <v>92530</v>
      </c>
      <c r="I2059" s="1" t="n">
        <v>111498</v>
      </c>
      <c r="J2059" s="9" t="n">
        <v>0.83</v>
      </c>
      <c r="K2059" s="1" t="inlineStr">
        <is>
          <t>Yes</t>
        </is>
      </c>
      <c r="L2059" s="1" t="inlineStr">
        <is>
          <t>Yes</t>
        </is>
      </c>
      <c r="M2059" s="1" t="inlineStr">
        <is>
          <t>No</t>
        </is>
      </c>
      <c r="N2059" s="1" t="inlineStr">
        <is>
          <t>JavaScript</t>
        </is>
      </c>
      <c r="O20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60" ht="15.75" customHeight="1" s="12">
      <c r="A2060" s="1" t="n">
        <v>2719</v>
      </c>
      <c r="B2060" s="3">
        <f>HYPERLINK("https://leetcode.com/problems/count-of-integers/", "Count of Integers")</f>
        <v/>
      </c>
      <c r="C2060" s="1" t="n">
        <v>568</v>
      </c>
      <c r="D2060" s="1" t="n">
        <v>12</v>
      </c>
      <c r="E2060" s="4">
        <f>IF(INDEX(C:C, ROW())+INDEX(D:D, ROW())=0, 0, INDEX(C:C, ROW())/(INDEX(C:C, ROW())+INDEX(D:D, ROW())))</f>
        <v/>
      </c>
      <c r="F2060" s="1" t="inlineStr">
        <is>
          <t>Math, String, Dynamic Programming</t>
        </is>
      </c>
      <c r="G2060" s="1" t="inlineStr">
        <is>
          <t>Hard</t>
        </is>
      </c>
      <c r="H2060" s="1" t="n">
        <v>19014</v>
      </c>
      <c r="I2060" s="1" t="n">
        <v>50031</v>
      </c>
      <c r="J2060" s="9" t="n">
        <v>0.38</v>
      </c>
      <c r="K2060" s="1" t="inlineStr">
        <is>
          <t>Yes</t>
        </is>
      </c>
      <c r="L2060" s="1" t="inlineStr">
        <is>
          <t>No</t>
        </is>
      </c>
      <c r="M2060" s="1" t="inlineStr">
        <is>
          <t>No</t>
        </is>
      </c>
      <c r="N2060" s="1" t="inlineStr">
        <is>
          <t>Algorithms</t>
        </is>
      </c>
      <c r="O20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61" ht="15.75" customHeight="1" s="12">
      <c r="A2061" s="1" t="n">
        <v>1656</v>
      </c>
      <c r="B2061" s="3">
        <f>HYPERLINK("https://leetcode.com/problems/design-an-ordered-stream/", "Design an Ordered Stream")</f>
        <v/>
      </c>
      <c r="C2061" s="1" t="n">
        <v>567</v>
      </c>
      <c r="D2061" s="1" t="n">
        <v>3622</v>
      </c>
      <c r="E2061" s="4">
        <f>IF(INDEX(C:C, ROW())+INDEX(D:D, ROW())=0, 0, INDEX(C:C, ROW())/(INDEX(C:C, ROW())+INDEX(D:D, ROW())))</f>
        <v/>
      </c>
      <c r="F2061" s="1" t="inlineStr">
        <is>
          <t>Array, Hash Table, Design, Data Stream</t>
        </is>
      </c>
      <c r="G2061" s="1" t="inlineStr">
        <is>
          <t>Easy</t>
        </is>
      </c>
      <c r="H2061" s="1" t="n">
        <v>106805</v>
      </c>
      <c r="I2061" s="1" t="n">
        <v>129456</v>
      </c>
      <c r="J2061" s="9" t="n">
        <v>0.825</v>
      </c>
      <c r="K2061" s="1" t="inlineStr">
        <is>
          <t>Yes</t>
        </is>
      </c>
      <c r="L2061" s="1" t="inlineStr">
        <is>
          <t>No</t>
        </is>
      </c>
      <c r="M2061" s="1" t="inlineStr">
        <is>
          <t>No</t>
        </is>
      </c>
      <c r="N2061" s="1" t="inlineStr">
        <is>
          <t>Algorithms</t>
        </is>
      </c>
      <c r="O20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62" ht="15.75" customHeight="1" s="12">
      <c r="A2062" s="1" t="n">
        <v>2120</v>
      </c>
      <c r="B2062" s="3">
        <f>HYPERLINK("https://leetcode.com/problems/execution-of-all-suffix-instructions-staying-in-a-grid/", "Execution of All Suffix Instructions Staying in a Grid")</f>
        <v/>
      </c>
      <c r="C2062" s="1" t="n">
        <v>566</v>
      </c>
      <c r="D2062" s="1" t="n">
        <v>54</v>
      </c>
      <c r="E2062" s="4">
        <f>IF(INDEX(C:C, ROW())+INDEX(D:D, ROW())=0, 0, INDEX(C:C, ROW())/(INDEX(C:C, ROW())+INDEX(D:D, ROW())))</f>
        <v/>
      </c>
      <c r="F2062" s="1" t="inlineStr">
        <is>
          <t>String, Simulation</t>
        </is>
      </c>
      <c r="G2062" s="1" t="inlineStr">
        <is>
          <t>Medium</t>
        </is>
      </c>
      <c r="H2062" s="1" t="n">
        <v>37177</v>
      </c>
      <c r="I2062" s="1" t="n">
        <v>45436</v>
      </c>
      <c r="J2062" s="9" t="n">
        <v>0.8179999999999999</v>
      </c>
      <c r="K2062" s="1" t="inlineStr">
        <is>
          <t>Yes</t>
        </is>
      </c>
      <c r="L2062" s="1" t="inlineStr">
        <is>
          <t>No</t>
        </is>
      </c>
      <c r="M2062" s="1" t="inlineStr">
        <is>
          <t>No</t>
        </is>
      </c>
      <c r="N2062" s="1" t="inlineStr">
        <is>
          <t>Algorithms</t>
        </is>
      </c>
      <c r="O20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63" ht="15.75" customHeight="1" s="12">
      <c r="A2063" s="1" t="n">
        <v>1771</v>
      </c>
      <c r="B2063" s="3">
        <f>HYPERLINK("https://leetcode.com/problems/maximize-palindrome-length-from-subsequences/", "Maximize Palindrome Length From Subsequences")</f>
        <v/>
      </c>
      <c r="C2063" s="1" t="n">
        <v>565</v>
      </c>
      <c r="D2063" s="1" t="n">
        <v>17</v>
      </c>
      <c r="E2063" s="4">
        <f>IF(INDEX(C:C, ROW())+INDEX(D:D, ROW())=0, 0, INDEX(C:C, ROW())/(INDEX(C:C, ROW())+INDEX(D:D, ROW())))</f>
        <v/>
      </c>
      <c r="F2063" s="1" t="inlineStr">
        <is>
          <t>String, Dynamic Programming</t>
        </is>
      </c>
      <c r="G2063" s="1" t="inlineStr">
        <is>
          <t>Hard</t>
        </is>
      </c>
      <c r="H2063" s="1" t="n">
        <v>14106</v>
      </c>
      <c r="I2063" s="1" t="n">
        <v>37072</v>
      </c>
      <c r="J2063" s="9" t="n">
        <v>0.381</v>
      </c>
      <c r="K2063" s="1" t="inlineStr">
        <is>
          <t>Yes</t>
        </is>
      </c>
      <c r="L2063" s="1" t="inlineStr">
        <is>
          <t>No</t>
        </is>
      </c>
      <c r="M2063" s="1" t="inlineStr">
        <is>
          <t>No</t>
        </is>
      </c>
      <c r="N2063" s="1" t="inlineStr">
        <is>
          <t>Algorithms</t>
        </is>
      </c>
      <c r="O20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64" ht="15.75" customHeight="1" s="12">
      <c r="A2064" s="1" t="n">
        <v>998</v>
      </c>
      <c r="B2064" s="3">
        <f>HYPERLINK("https://leetcode.com/problems/maximum-binary-tree-ii/", "Maximum Binary Tree II")</f>
        <v/>
      </c>
      <c r="C2064" s="1" t="n">
        <v>564</v>
      </c>
      <c r="D2064" s="1" t="n">
        <v>804</v>
      </c>
      <c r="E2064" s="4">
        <f>IF(INDEX(C:C, ROW())+INDEX(D:D, ROW())=0, 0, INDEX(C:C, ROW())/(INDEX(C:C, ROW())+INDEX(D:D, ROW())))</f>
        <v/>
      </c>
      <c r="F2064" s="1" t="inlineStr">
        <is>
          <t>Tree, Binary Tree</t>
        </is>
      </c>
      <c r="G2064" s="1" t="inlineStr">
        <is>
          <t>Medium</t>
        </is>
      </c>
      <c r="H2064" s="1" t="n">
        <v>44244</v>
      </c>
      <c r="I2064" s="1" t="n">
        <v>63081</v>
      </c>
      <c r="J2064" s="9" t="n">
        <v>0.701</v>
      </c>
      <c r="K2064" s="1" t="inlineStr">
        <is>
          <t>Yes</t>
        </is>
      </c>
      <c r="L2064" s="1" t="inlineStr">
        <is>
          <t>No</t>
        </is>
      </c>
      <c r="M2064" s="1" t="inlineStr">
        <is>
          <t>No</t>
        </is>
      </c>
      <c r="N2064" s="1" t="inlineStr">
        <is>
          <t>Algorithms</t>
        </is>
      </c>
      <c r="O20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65" ht="15.75" customHeight="1" s="12">
      <c r="A2065" s="1" t="n">
        <v>1152</v>
      </c>
      <c r="B2065" s="3">
        <f>HYPERLINK("https://leetcode.com/problems/analyze-user-website-visit-pattern/", "Analyze User Website Visit Pattern")</f>
        <v/>
      </c>
      <c r="C2065" s="1" t="n">
        <v>564</v>
      </c>
      <c r="D2065" s="1" t="n">
        <v>3985</v>
      </c>
      <c r="E2065" s="4">
        <f>IF(INDEX(C:C, ROW())+INDEX(D:D, ROW())=0, 0, INDEX(C:C, ROW())/(INDEX(C:C, ROW())+INDEX(D:D, ROW())))</f>
        <v/>
      </c>
      <c r="F2065" s="1" t="inlineStr">
        <is>
          <t>Array, Hash Table, String, Sorting</t>
        </is>
      </c>
      <c r="G2065" s="1" t="inlineStr">
        <is>
          <t>Medium</t>
        </is>
      </c>
      <c r="H2065" s="1" t="n">
        <v>130318</v>
      </c>
      <c r="I2065" s="1" t="n">
        <v>294797</v>
      </c>
      <c r="J2065" s="9" t="n">
        <v>0.442</v>
      </c>
      <c r="K2065" s="1" t="inlineStr">
        <is>
          <t>No</t>
        </is>
      </c>
      <c r="L2065" s="1" t="inlineStr">
        <is>
          <t>Yes</t>
        </is>
      </c>
      <c r="M2065" s="1" t="inlineStr">
        <is>
          <t>No</t>
        </is>
      </c>
      <c r="N2065" s="1" t="inlineStr">
        <is>
          <t>Algorithms</t>
        </is>
      </c>
      <c r="O20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66" ht="15.75" customHeight="1" s="12">
      <c r="A2066" s="1" t="n">
        <v>1643</v>
      </c>
      <c r="B2066" s="3">
        <f>HYPERLINK("https://leetcode.com/problems/kth-smallest-instructions/", "Kth Smallest Instructions")</f>
        <v/>
      </c>
      <c r="C2066" s="1" t="n">
        <v>564</v>
      </c>
      <c r="D2066" s="1" t="n">
        <v>16</v>
      </c>
      <c r="E2066" s="4">
        <f>IF(INDEX(C:C, ROW())+INDEX(D:D, ROW())=0, 0, INDEX(C:C, ROW())/(INDEX(C:C, ROW())+INDEX(D:D, ROW())))</f>
        <v/>
      </c>
      <c r="F2066" s="1" t="inlineStr">
        <is>
          <t>Array, Math, Dynamic Programming, Combinatorics</t>
        </is>
      </c>
      <c r="G2066" s="1" t="inlineStr">
        <is>
          <t>Hard</t>
        </is>
      </c>
      <c r="H2066" s="1" t="n">
        <v>17458</v>
      </c>
      <c r="I2066" s="1" t="n">
        <v>39229</v>
      </c>
      <c r="J2066" s="9" t="n">
        <v>0.445</v>
      </c>
      <c r="K2066" s="1" t="inlineStr">
        <is>
          <t>Yes</t>
        </is>
      </c>
      <c r="L2066" s="1" t="inlineStr">
        <is>
          <t>No</t>
        </is>
      </c>
      <c r="M2066" s="1" t="inlineStr">
        <is>
          <t>No</t>
        </is>
      </c>
      <c r="N2066" s="1" t="inlineStr">
        <is>
          <t>Algorithms</t>
        </is>
      </c>
      <c r="O20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67" ht="15.75" customHeight="1" s="12">
      <c r="A2067" s="1" t="n">
        <v>302</v>
      </c>
      <c r="B2067" s="3">
        <f>HYPERLINK("https://leetcode.com/problems/smallest-rectangle-enclosing-black-pixels/", "Smallest Rectangle Enclosing Black Pixels")</f>
        <v/>
      </c>
      <c r="C2067" s="1" t="n">
        <v>562</v>
      </c>
      <c r="D2067" s="1" t="n">
        <v>107</v>
      </c>
      <c r="E2067" s="4">
        <f>IF(INDEX(C:C, ROW())+INDEX(D:D, ROW())=0, 0, INDEX(C:C, ROW())/(INDEX(C:C, ROW())+INDEX(D:D, ROW())))</f>
        <v/>
      </c>
      <c r="F2067" s="1" t="inlineStr">
        <is>
          <t>Array, Binary Search, Depth-First Search, Breadth-First Search, Matrix</t>
        </is>
      </c>
      <c r="G2067" s="1" t="inlineStr">
        <is>
          <t>Hard</t>
        </is>
      </c>
      <c r="H2067" s="1" t="n">
        <v>56892</v>
      </c>
      <c r="I2067" s="1" t="n">
        <v>93581</v>
      </c>
      <c r="J2067" s="9" t="n">
        <v>0.608</v>
      </c>
      <c r="K2067" s="1" t="inlineStr">
        <is>
          <t>No</t>
        </is>
      </c>
      <c r="L2067" s="1" t="inlineStr">
        <is>
          <t>Yes</t>
        </is>
      </c>
      <c r="M2067" s="1" t="inlineStr">
        <is>
          <t>No</t>
        </is>
      </c>
      <c r="N2067" s="1" t="inlineStr">
        <is>
          <t>Algorithms</t>
        </is>
      </c>
      <c r="O20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68" ht="15.75" customHeight="1" s="12">
      <c r="A2068" s="1" t="n">
        <v>798</v>
      </c>
      <c r="B2068" s="3">
        <f>HYPERLINK("https://leetcode.com/problems/smallest-rotation-with-highest-score/", "Smallest Rotation with Highest Score")</f>
        <v/>
      </c>
      <c r="C2068" s="1" t="n">
        <v>562</v>
      </c>
      <c r="D2068" s="1" t="n">
        <v>44</v>
      </c>
      <c r="E2068" s="4">
        <f>IF(INDEX(C:C, ROW())+INDEX(D:D, ROW())=0, 0, INDEX(C:C, ROW())/(INDEX(C:C, ROW())+INDEX(D:D, ROW())))</f>
        <v/>
      </c>
      <c r="F2068" s="1" t="inlineStr">
        <is>
          <t>Array, Prefix Sum</t>
        </is>
      </c>
      <c r="G2068" s="1" t="inlineStr">
        <is>
          <t>Hard</t>
        </is>
      </c>
      <c r="H2068" s="1" t="n">
        <v>17605</v>
      </c>
      <c r="I2068" s="1" t="n">
        <v>33042</v>
      </c>
      <c r="J2068" s="9" t="n">
        <v>0.533</v>
      </c>
      <c r="K2068" s="1" t="inlineStr">
        <is>
          <t>Yes</t>
        </is>
      </c>
      <c r="L2068" s="1" t="inlineStr">
        <is>
          <t>Yes</t>
        </is>
      </c>
      <c r="M2068" s="1" t="inlineStr">
        <is>
          <t>No</t>
        </is>
      </c>
      <c r="N2068" s="1" t="inlineStr">
        <is>
          <t>Algorithms</t>
        </is>
      </c>
      <c r="O20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69" ht="15.75" customHeight="1" s="12">
      <c r="A2069" s="1" t="n">
        <v>1224</v>
      </c>
      <c r="B2069" s="3">
        <f>HYPERLINK("https://leetcode.com/problems/maximum-equal-frequency/", "Maximum Equal Frequency")</f>
        <v/>
      </c>
      <c r="C2069" s="1" t="n">
        <v>562</v>
      </c>
      <c r="D2069" s="1" t="n">
        <v>68</v>
      </c>
      <c r="E2069" s="4">
        <f>IF(INDEX(C:C, ROW())+INDEX(D:D, ROW())=0, 0, INDEX(C:C, ROW())/(INDEX(C:C, ROW())+INDEX(D:D, ROW())))</f>
        <v/>
      </c>
      <c r="F2069" s="1" t="inlineStr">
        <is>
          <t>Array, Hash Table</t>
        </is>
      </c>
      <c r="G2069" s="1" t="inlineStr">
        <is>
          <t>Hard</t>
        </is>
      </c>
      <c r="H2069" s="1" t="n">
        <v>18560</v>
      </c>
      <c r="I2069" s="1" t="n">
        <v>49081</v>
      </c>
      <c r="J2069" s="9" t="n">
        <v>0.378</v>
      </c>
      <c r="K2069" s="1" t="inlineStr">
        <is>
          <t>Yes</t>
        </is>
      </c>
      <c r="L2069" s="1" t="inlineStr">
        <is>
          <t>No</t>
        </is>
      </c>
      <c r="M2069" s="1" t="inlineStr">
        <is>
          <t>No</t>
        </is>
      </c>
      <c r="N2069" s="1" t="inlineStr">
        <is>
          <t>Algorithms</t>
        </is>
      </c>
      <c r="O20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70" ht="15.75" customHeight="1" s="12">
      <c r="A2070" s="1" t="n">
        <v>1250</v>
      </c>
      <c r="B2070" s="3">
        <f>HYPERLINK("https://leetcode.com/problems/check-if-it-is-a-good-array/", "Check If It Is a Good Array")</f>
        <v/>
      </c>
      <c r="C2070" s="1" t="n">
        <v>562</v>
      </c>
      <c r="D2070" s="1" t="n">
        <v>385</v>
      </c>
      <c r="E2070" s="4">
        <f>IF(INDEX(C:C, ROW())+INDEX(D:D, ROW())=0, 0, INDEX(C:C, ROW())/(INDEX(C:C, ROW())+INDEX(D:D, ROW())))</f>
        <v/>
      </c>
      <c r="F2070" s="1" t="inlineStr">
        <is>
          <t>Array, Math, Number Theory</t>
        </is>
      </c>
      <c r="G2070" s="1" t="inlineStr">
        <is>
          <t>Hard</t>
        </is>
      </c>
      <c r="H2070" s="1" t="n">
        <v>35956</v>
      </c>
      <c r="I2070" s="1" t="n">
        <v>56929</v>
      </c>
      <c r="J2070" s="9" t="n">
        <v>0.632</v>
      </c>
      <c r="K2070" s="1" t="inlineStr">
        <is>
          <t>Yes</t>
        </is>
      </c>
      <c r="L2070" s="1" t="inlineStr">
        <is>
          <t>No</t>
        </is>
      </c>
      <c r="M2070" s="1" t="inlineStr">
        <is>
          <t>No</t>
        </is>
      </c>
      <c r="N2070" s="1" t="inlineStr">
        <is>
          <t>Algorithms</t>
        </is>
      </c>
      <c r="O20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71" ht="15.75" customHeight="1" s="12">
      <c r="A2071" s="1" t="n">
        <v>2929</v>
      </c>
      <c r="B2071" s="3">
        <f>HYPERLINK("https://leetcode.com/problems/distribute-candies-among-children-ii/", "Distribute Candies Among Children II")</f>
        <v/>
      </c>
      <c r="C2071" s="1" t="n">
        <v>562</v>
      </c>
      <c r="D2071" s="1" t="n">
        <v>176</v>
      </c>
      <c r="E2071" s="4">
        <f>IF(INDEX(C:C, ROW())+INDEX(D:D, ROW())=0, 0, INDEX(C:C, ROW())/(INDEX(C:C, ROW())+INDEX(D:D, ROW())))</f>
        <v/>
      </c>
      <c r="F2071" s="1" t="inlineStr">
        <is>
          <t>Math, Combinatorics, Enumeration</t>
        </is>
      </c>
      <c r="G2071" s="1" t="inlineStr">
        <is>
          <t>Medium</t>
        </is>
      </c>
      <c r="H2071" s="1" t="n">
        <v>104356</v>
      </c>
      <c r="I2071" s="1" t="n">
        <v>187281</v>
      </c>
      <c r="J2071" s="9" t="n">
        <v>0.5570000000000001</v>
      </c>
      <c r="K2071" s="1" t="inlineStr">
        <is>
          <t>Yes</t>
        </is>
      </c>
      <c r="L2071" s="1" t="inlineStr">
        <is>
          <t>Yes</t>
        </is>
      </c>
      <c r="M2071" s="1" t="inlineStr">
        <is>
          <t>No</t>
        </is>
      </c>
      <c r="N2071" s="1" t="inlineStr">
        <is>
          <t>Algorithms</t>
        </is>
      </c>
      <c r="O20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72" ht="15.75" customHeight="1" s="12">
      <c r="A2072" s="1" t="n">
        <v>3396</v>
      </c>
      <c r="B2072" s="3">
        <f>HYPERLINK("https://leetcode.com/problems/minimum-number-of-operations-to-make-elements-in-array-distinct/", "Minimum Number of Operations to Make Elements in Array Distinct")</f>
        <v/>
      </c>
      <c r="C2072" s="1" t="n">
        <v>562</v>
      </c>
      <c r="D2072" s="1" t="n">
        <v>30</v>
      </c>
      <c r="E2072" s="4">
        <f>IF(INDEX(C:C, ROW())+INDEX(D:D, ROW())=0, 0, INDEX(C:C, ROW())/(INDEX(C:C, ROW())+INDEX(D:D, ROW())))</f>
        <v/>
      </c>
      <c r="F2072" s="1" t="inlineStr">
        <is>
          <t>Array, Hash Table</t>
        </is>
      </c>
      <c r="G2072" s="1" t="inlineStr">
        <is>
          <t>Easy</t>
        </is>
      </c>
      <c r="H2072" s="1" t="n">
        <v>180859</v>
      </c>
      <c r="I2072" s="1" t="n">
        <v>253629</v>
      </c>
      <c r="J2072" s="9" t="n">
        <v>0.713</v>
      </c>
      <c r="K2072" s="1" t="inlineStr">
        <is>
          <t>Yes</t>
        </is>
      </c>
      <c r="L2072" s="1" t="inlineStr">
        <is>
          <t>Yes</t>
        </is>
      </c>
      <c r="M2072" s="1" t="inlineStr">
        <is>
          <t>No</t>
        </is>
      </c>
      <c r="N2072" s="1" t="inlineStr">
        <is>
          <t>Algorithms</t>
        </is>
      </c>
      <c r="O20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73" ht="15.75" customHeight="1" s="12">
      <c r="A2073" s="1" t="n">
        <v>1869</v>
      </c>
      <c r="B2073" s="3">
        <f>HYPERLINK("https://leetcode.com/problems/longer-contiguous-segments-of-ones-than-zeros/", "Longer Contiguous Segments of Ones than Zeros")</f>
        <v/>
      </c>
      <c r="C2073" s="1" t="n">
        <v>561</v>
      </c>
      <c r="D2073" s="1" t="n">
        <v>13</v>
      </c>
      <c r="E2073" s="4">
        <f>IF(INDEX(C:C, ROW())+INDEX(D:D, ROW())=0, 0, INDEX(C:C, ROW())/(INDEX(C:C, ROW())+INDEX(D:D, ROW())))</f>
        <v/>
      </c>
      <c r="F2073" s="1" t="inlineStr">
        <is>
          <t>String</t>
        </is>
      </c>
      <c r="G2073" s="1" t="inlineStr">
        <is>
          <t>Easy</t>
        </is>
      </c>
      <c r="H2073" s="1" t="n">
        <v>60842</v>
      </c>
      <c r="I2073" s="1" t="n">
        <v>98104</v>
      </c>
      <c r="J2073" s="9" t="n">
        <v>0.62</v>
      </c>
      <c r="K2073" s="1" t="inlineStr">
        <is>
          <t>Yes</t>
        </is>
      </c>
      <c r="L2073" s="1" t="inlineStr">
        <is>
          <t>No</t>
        </is>
      </c>
      <c r="M2073" s="1" t="inlineStr">
        <is>
          <t>No</t>
        </is>
      </c>
      <c r="N2073" s="1" t="inlineStr">
        <is>
          <t>Algorithms</t>
        </is>
      </c>
      <c r="O20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74" ht="15.75" customHeight="1" s="12">
      <c r="A2074" s="1" t="n">
        <v>655</v>
      </c>
      <c r="B2074" s="3">
        <f>HYPERLINK("https://leetcode.com/problems/print-binary-tree/", "Print Binary Tree")</f>
        <v/>
      </c>
      <c r="C2074" s="1" t="n">
        <v>559</v>
      </c>
      <c r="D2074" s="1" t="n">
        <v>469</v>
      </c>
      <c r="E2074" s="4">
        <f>IF(INDEX(C:C, ROW())+INDEX(D:D, ROW())=0, 0, INDEX(C:C, ROW())/(INDEX(C:C, ROW())+INDEX(D:D, ROW())))</f>
        <v/>
      </c>
      <c r="F2074" s="1" t="inlineStr">
        <is>
          <t>Tree, Depth-First Search, Breadth-First Search, Binary Tree</t>
        </is>
      </c>
      <c r="G2074" s="1" t="inlineStr">
        <is>
          <t>Medium</t>
        </is>
      </c>
      <c r="H2074" s="1" t="n">
        <v>84254</v>
      </c>
      <c r="I2074" s="1" t="n">
        <v>127193</v>
      </c>
      <c r="J2074" s="9" t="n">
        <v>0.662</v>
      </c>
      <c r="K2074" s="1" t="inlineStr">
        <is>
          <t>Yes</t>
        </is>
      </c>
      <c r="L2074" s="1" t="inlineStr">
        <is>
          <t>Yes</t>
        </is>
      </c>
      <c r="M2074" s="1" t="inlineStr">
        <is>
          <t>No</t>
        </is>
      </c>
      <c r="N2074" s="1" t="inlineStr">
        <is>
          <t>Algorithms</t>
        </is>
      </c>
      <c r="O20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75" ht="15.75" customHeight="1" s="12">
      <c r="A2075" s="1" t="n">
        <v>2588</v>
      </c>
      <c r="B2075" s="3">
        <f>HYPERLINK("https://leetcode.com/problems/count-the-number-of-beautiful-subarrays/", "Count the Number of Beautiful Subarrays")</f>
        <v/>
      </c>
      <c r="C2075" s="1" t="n">
        <v>559</v>
      </c>
      <c r="D2075" s="1" t="n">
        <v>23</v>
      </c>
      <c r="E2075" s="4">
        <f>IF(INDEX(C:C, ROW())+INDEX(D:D, ROW())=0, 0, INDEX(C:C, ROW())/(INDEX(C:C, ROW())+INDEX(D:D, ROW())))</f>
        <v/>
      </c>
      <c r="F2075" s="1" t="inlineStr">
        <is>
          <t>Array, Hash Table, Bit Manipulation, Prefix Sum</t>
        </is>
      </c>
      <c r="G2075" s="1" t="inlineStr">
        <is>
          <t>Medium</t>
        </is>
      </c>
      <c r="H2075" s="1" t="n">
        <v>24589</v>
      </c>
      <c r="I2075" s="1" t="n">
        <v>46282</v>
      </c>
      <c r="J2075" s="9" t="n">
        <v>0.531</v>
      </c>
      <c r="K2075" s="1" t="inlineStr">
        <is>
          <t>Yes</t>
        </is>
      </c>
      <c r="L2075" s="1" t="inlineStr">
        <is>
          <t>No</t>
        </is>
      </c>
      <c r="M2075" s="1" t="inlineStr">
        <is>
          <t>No</t>
        </is>
      </c>
      <c r="N2075" s="1" t="inlineStr">
        <is>
          <t>Algorithms</t>
        </is>
      </c>
      <c r="O20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76" ht="15.75" customHeight="1" s="12">
      <c r="A2076" s="1" t="n">
        <v>1327</v>
      </c>
      <c r="B2076" s="3">
        <f>HYPERLINK("https://leetcode.com/problems/list-the-products-ordered-in-a-period/", "List the Products Ordered in a Period")</f>
        <v/>
      </c>
      <c r="C2076" s="1" t="n">
        <v>556</v>
      </c>
      <c r="D2076" s="1" t="n">
        <v>45</v>
      </c>
      <c r="E2076" s="4">
        <f>IF(INDEX(C:C, ROW())+INDEX(D:D, ROW())=0, 0, INDEX(C:C, ROW())/(INDEX(C:C, ROW())+INDEX(D:D, ROW())))</f>
        <v/>
      </c>
      <c r="F2076" s="1" t="inlineStr">
        <is>
          <t>Database</t>
        </is>
      </c>
      <c r="G2076" s="1" t="inlineStr">
        <is>
          <t>Easy</t>
        </is>
      </c>
      <c r="H2076" s="1" t="n">
        <v>289238</v>
      </c>
      <c r="I2076" s="1" t="n">
        <v>403392</v>
      </c>
      <c r="J2076" s="9" t="n">
        <v>0.717</v>
      </c>
      <c r="K2076" s="1" t="inlineStr">
        <is>
          <t>Yes</t>
        </is>
      </c>
      <c r="L2076" s="1" t="inlineStr">
        <is>
          <t>No</t>
        </is>
      </c>
      <c r="M2076" s="1" t="inlineStr">
        <is>
          <t>No</t>
        </is>
      </c>
      <c r="N2076" s="1" t="inlineStr">
        <is>
          <t>Database</t>
        </is>
      </c>
      <c r="O20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77" ht="15.75" customHeight="1" s="12">
      <c r="A2077" s="1" t="n">
        <v>2278</v>
      </c>
      <c r="B2077" s="3">
        <f>HYPERLINK("https://leetcode.com/problems/percentage-of-letter-in-string/", "Percentage of Letter in String")</f>
        <v/>
      </c>
      <c r="C2077" s="1" t="n">
        <v>556</v>
      </c>
      <c r="D2077" s="1" t="n">
        <v>64</v>
      </c>
      <c r="E2077" s="4">
        <f>IF(INDEX(C:C, ROW())+INDEX(D:D, ROW())=0, 0, INDEX(C:C, ROW())/(INDEX(C:C, ROW())+INDEX(D:D, ROW())))</f>
        <v/>
      </c>
      <c r="F2077" s="1" t="inlineStr">
        <is>
          <t>String</t>
        </is>
      </c>
      <c r="G2077" s="1" t="inlineStr">
        <is>
          <t>Easy</t>
        </is>
      </c>
      <c r="H2077" s="1" t="n">
        <v>97014</v>
      </c>
      <c r="I2077" s="1" t="n">
        <v>129449</v>
      </c>
      <c r="J2077" s="9" t="n">
        <v>0.749</v>
      </c>
      <c r="K2077" s="1" t="inlineStr">
        <is>
          <t>Yes</t>
        </is>
      </c>
      <c r="L2077" s="1" t="inlineStr">
        <is>
          <t>No</t>
        </is>
      </c>
      <c r="M2077" s="1" t="inlineStr">
        <is>
          <t>No</t>
        </is>
      </c>
      <c r="N2077" s="1" t="inlineStr">
        <is>
          <t>Algorithms</t>
        </is>
      </c>
      <c r="O20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78" ht="15.75" customHeight="1" s="12">
      <c r="A2078" s="1" t="n">
        <v>3397</v>
      </c>
      <c r="B2078" s="3">
        <f>HYPERLINK("https://leetcode.com/problems/maximum-number-of-distinct-elements-after-operations/", "Maximum Number of Distinct Elements After Operations")</f>
        <v/>
      </c>
      <c r="C2078" s="1" t="n">
        <v>556</v>
      </c>
      <c r="D2078" s="1" t="n">
        <v>21</v>
      </c>
      <c r="E2078" s="4">
        <f>IF(INDEX(C:C, ROW())+INDEX(D:D, ROW())=0, 0, INDEX(C:C, ROW())/(INDEX(C:C, ROW())+INDEX(D:D, ROW())))</f>
        <v/>
      </c>
      <c r="F2078" s="1" t="inlineStr">
        <is>
          <t>Array, Greedy, Sorting</t>
        </is>
      </c>
      <c r="G2078" s="1" t="inlineStr">
        <is>
          <t>Medium</t>
        </is>
      </c>
      <c r="H2078" s="1" t="n">
        <v>101200</v>
      </c>
      <c r="I2078" s="1" t="n">
        <v>194194</v>
      </c>
      <c r="J2078" s="9" t="n">
        <v>0.521</v>
      </c>
      <c r="K2078" s="1" t="inlineStr">
        <is>
          <t>Yes</t>
        </is>
      </c>
      <c r="L2078" s="1" t="inlineStr">
        <is>
          <t>Yes</t>
        </is>
      </c>
      <c r="M2078" s="1" t="inlineStr">
        <is>
          <t>No</t>
        </is>
      </c>
      <c r="N2078" s="1" t="inlineStr">
        <is>
          <t>Algorithms</t>
        </is>
      </c>
      <c r="O20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79" ht="15.75" customHeight="1" s="12">
      <c r="A2079" s="1" t="n">
        <v>2603</v>
      </c>
      <c r="B2079" s="3">
        <f>HYPERLINK("https://leetcode.com/problems/collect-coins-in-a-tree/", "Collect Coins in a Tree")</f>
        <v/>
      </c>
      <c r="C2079" s="1" t="n">
        <v>554</v>
      </c>
      <c r="D2079" s="1" t="n">
        <v>23</v>
      </c>
      <c r="E2079" s="4">
        <f>IF(INDEX(C:C, ROW())+INDEX(D:D, ROW())=0, 0, INDEX(C:C, ROW())/(INDEX(C:C, ROW())+INDEX(D:D, ROW())))</f>
        <v/>
      </c>
      <c r="F2079" s="1" t="inlineStr">
        <is>
          <t>Array, Tree, Graph Theory, Topological Sort</t>
        </is>
      </c>
      <c r="G2079" s="1" t="inlineStr">
        <is>
          <t>Hard</t>
        </is>
      </c>
      <c r="H2079" s="1" t="n">
        <v>15714</v>
      </c>
      <c r="I2079" s="1" t="n">
        <v>39998</v>
      </c>
      <c r="J2079" s="9" t="n">
        <v>0.393</v>
      </c>
      <c r="K2079" s="1" t="inlineStr">
        <is>
          <t>Yes</t>
        </is>
      </c>
      <c r="L2079" s="1" t="inlineStr">
        <is>
          <t>No</t>
        </is>
      </c>
      <c r="M2079" s="1" t="inlineStr">
        <is>
          <t>No</t>
        </is>
      </c>
      <c r="N2079" s="1" t="inlineStr">
        <is>
          <t>Algorithms</t>
        </is>
      </c>
      <c r="O20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80" ht="15.75" customHeight="1" s="12">
      <c r="A2080" s="1" t="n">
        <v>1837</v>
      </c>
      <c r="B2080" s="3">
        <f>HYPERLINK("https://leetcode.com/problems/sum-of-digits-in-base-k/", "Sum of Digits in Base K")</f>
        <v/>
      </c>
      <c r="C2080" s="1" t="n">
        <v>553</v>
      </c>
      <c r="D2080" s="1" t="n">
        <v>49</v>
      </c>
      <c r="E2080" s="4">
        <f>IF(INDEX(C:C, ROW())+INDEX(D:D, ROW())=0, 0, INDEX(C:C, ROW())/(INDEX(C:C, ROW())+INDEX(D:D, ROW())))</f>
        <v/>
      </c>
      <c r="F2080" s="1" t="inlineStr">
        <is>
          <t>Math</t>
        </is>
      </c>
      <c r="G2080" s="1" t="inlineStr">
        <is>
          <t>Easy</t>
        </is>
      </c>
      <c r="H2080" s="1" t="n">
        <v>75267</v>
      </c>
      <c r="I2080" s="1" t="n">
        <v>96006</v>
      </c>
      <c r="J2080" s="9" t="n">
        <v>0.784</v>
      </c>
      <c r="K2080" s="1" t="inlineStr">
        <is>
          <t>Yes</t>
        </is>
      </c>
      <c r="L2080" s="1" t="inlineStr">
        <is>
          <t>No</t>
        </is>
      </c>
      <c r="M2080" s="1" t="inlineStr">
        <is>
          <t>No</t>
        </is>
      </c>
      <c r="N2080" s="1" t="inlineStr">
        <is>
          <t>Algorithms</t>
        </is>
      </c>
      <c r="O20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81" ht="15.75" customHeight="1" s="12">
      <c r="A2081" s="1" t="n">
        <v>2250</v>
      </c>
      <c r="B2081" s="3">
        <f>HYPERLINK("https://leetcode.com/problems/count-number-of-rectangles-containing-each-point/", "Count Number of Rectangles Containing Each Point")</f>
        <v/>
      </c>
      <c r="C2081" s="1" t="n">
        <v>553</v>
      </c>
      <c r="D2081" s="1" t="n">
        <v>141</v>
      </c>
      <c r="E2081" s="4">
        <f>IF(INDEX(C:C, ROW())+INDEX(D:D, ROW())=0, 0, INDEX(C:C, ROW())/(INDEX(C:C, ROW())+INDEX(D:D, ROW())))</f>
        <v/>
      </c>
      <c r="F2081" s="1" t="inlineStr">
        <is>
          <t>Array, Hash Table, Binary Search, Binary Indexed Tree, Sorting</t>
        </is>
      </c>
      <c r="G2081" s="1" t="inlineStr">
        <is>
          <t>Medium</t>
        </is>
      </c>
      <c r="H2081" s="1" t="n">
        <v>22592</v>
      </c>
      <c r="I2081" s="1" t="n">
        <v>60856</v>
      </c>
      <c r="J2081" s="9" t="n">
        <v>0.371</v>
      </c>
      <c r="K2081" s="1" t="inlineStr">
        <is>
          <t>Yes</t>
        </is>
      </c>
      <c r="L2081" s="1" t="inlineStr">
        <is>
          <t>No</t>
        </is>
      </c>
      <c r="M2081" s="1" t="inlineStr">
        <is>
          <t>No</t>
        </is>
      </c>
      <c r="N2081" s="1" t="inlineStr">
        <is>
          <t>Algorithms</t>
        </is>
      </c>
      <c r="O20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82" ht="15.75" customHeight="1" s="12">
      <c r="A2082" s="1" t="n">
        <v>2999</v>
      </c>
      <c r="B2082" s="3">
        <f>HYPERLINK("https://leetcode.com/problems/count-the-number-of-powerful-integers/", "Count the Number of Powerful Integers")</f>
        <v/>
      </c>
      <c r="C2082" s="1" t="n">
        <v>553</v>
      </c>
      <c r="D2082" s="1" t="n">
        <v>78</v>
      </c>
      <c r="E2082" s="4">
        <f>IF(INDEX(C:C, ROW())+INDEX(D:D, ROW())=0, 0, INDEX(C:C, ROW())/(INDEX(C:C, ROW())+INDEX(D:D, ROW())))</f>
        <v/>
      </c>
      <c r="F2082" s="1" t="inlineStr">
        <is>
          <t>Math, String, Dynamic Programming</t>
        </is>
      </c>
      <c r="G2082" s="1" t="inlineStr">
        <is>
          <t>Hard</t>
        </is>
      </c>
      <c r="H2082" s="1" t="n">
        <v>77366</v>
      </c>
      <c r="I2082" s="1" t="n">
        <v>166997</v>
      </c>
      <c r="J2082" s="9" t="n">
        <v>0.463</v>
      </c>
      <c r="K2082" s="1" t="inlineStr">
        <is>
          <t>Yes</t>
        </is>
      </c>
      <c r="L2082" s="1" t="inlineStr">
        <is>
          <t>Yes</t>
        </is>
      </c>
      <c r="M2082" s="1" t="inlineStr">
        <is>
          <t>No</t>
        </is>
      </c>
      <c r="N2082" s="1" t="inlineStr">
        <is>
          <t>Algorithms</t>
        </is>
      </c>
      <c r="O20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83" ht="15.75" customHeight="1" s="12">
      <c r="A2083" s="1" t="n">
        <v>1906</v>
      </c>
      <c r="B2083" s="3">
        <f>HYPERLINK("https://leetcode.com/problems/minimum-absolute-difference-queries/", "Minimum Absolute Difference Queries")</f>
        <v/>
      </c>
      <c r="C2083" s="1" t="n">
        <v>552</v>
      </c>
      <c r="D2083" s="1" t="n">
        <v>45</v>
      </c>
      <c r="E2083" s="4">
        <f>IF(INDEX(C:C, ROW())+INDEX(D:D, ROW())=0, 0, INDEX(C:C, ROW())/(INDEX(C:C, ROW())+INDEX(D:D, ROW())))</f>
        <v/>
      </c>
      <c r="F2083" s="1" t="inlineStr">
        <is>
          <t>Array, Prefix Sum</t>
        </is>
      </c>
      <c r="G2083" s="1" t="inlineStr">
        <is>
          <t>Medium</t>
        </is>
      </c>
      <c r="H2083" s="1" t="n">
        <v>13430</v>
      </c>
      <c r="I2083" s="1" t="n">
        <v>29588</v>
      </c>
      <c r="J2083" s="9" t="n">
        <v>0.454</v>
      </c>
      <c r="K2083" s="1" t="inlineStr">
        <is>
          <t>Yes</t>
        </is>
      </c>
      <c r="L2083" s="1" t="inlineStr">
        <is>
          <t>No</t>
        </is>
      </c>
      <c r="M2083" s="1" t="inlineStr">
        <is>
          <t>No</t>
        </is>
      </c>
      <c r="N2083" s="1" t="inlineStr">
        <is>
          <t>Algorithms</t>
        </is>
      </c>
      <c r="O20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84" ht="15.75" customHeight="1" s="12">
      <c r="A2084" s="1" t="n">
        <v>2835</v>
      </c>
      <c r="B2084" s="3">
        <f>HYPERLINK("https://leetcode.com/problems/minimum-operations-to-form-subsequence-with-target-sum/", "Minimum Operations to Form Subsequence With Target Sum")</f>
        <v/>
      </c>
      <c r="C2084" s="1" t="n">
        <v>552</v>
      </c>
      <c r="D2084" s="1" t="n">
        <v>127</v>
      </c>
      <c r="E2084" s="4">
        <f>IF(INDEX(C:C, ROW())+INDEX(D:D, ROW())=0, 0, INDEX(C:C, ROW())/(INDEX(C:C, ROW())+INDEX(D:D, ROW())))</f>
        <v/>
      </c>
      <c r="F2084" s="1" t="inlineStr">
        <is>
          <t>Array, Greedy, Bit Manipulation</t>
        </is>
      </c>
      <c r="G2084" s="1" t="inlineStr">
        <is>
          <t>Hard</t>
        </is>
      </c>
      <c r="H2084" s="1" t="n">
        <v>14030</v>
      </c>
      <c r="I2084" s="1" t="n">
        <v>43510</v>
      </c>
      <c r="J2084" s="9" t="n">
        <v>0.322</v>
      </c>
      <c r="K2084" s="1" t="inlineStr">
        <is>
          <t>Yes</t>
        </is>
      </c>
      <c r="L2084" s="1" t="inlineStr">
        <is>
          <t>No</t>
        </is>
      </c>
      <c r="M2084" s="1" t="inlineStr">
        <is>
          <t>No</t>
        </is>
      </c>
      <c r="N2084" s="1" t="inlineStr">
        <is>
          <t>Algorithms</t>
        </is>
      </c>
      <c r="O20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85" ht="15.75" customHeight="1" s="12">
      <c r="A2085" s="1" t="n">
        <v>3318</v>
      </c>
      <c r="B2085" s="3">
        <f>HYPERLINK("https://leetcode.com/problems/find-x-sum-of-all-k-long-subarrays-i/", "Find X-Sum of All K-Long Subarrays I")</f>
        <v/>
      </c>
      <c r="C2085" s="1" t="n">
        <v>552</v>
      </c>
      <c r="D2085" s="1" t="n">
        <v>313</v>
      </c>
      <c r="E2085" s="4">
        <f>IF(INDEX(C:C, ROW())+INDEX(D:D, ROW())=0, 0, INDEX(C:C, ROW())/(INDEX(C:C, ROW())+INDEX(D:D, ROW())))</f>
        <v/>
      </c>
      <c r="F2085" s="1" t="inlineStr">
        <is>
          <t>Array, Hash Table, Sliding Window, Heap (Priority Queue)</t>
        </is>
      </c>
      <c r="G2085" s="1" t="inlineStr">
        <is>
          <t>Easy</t>
        </is>
      </c>
      <c r="H2085" s="1" t="n">
        <v>139061</v>
      </c>
      <c r="I2085" s="1" t="n">
        <v>182689</v>
      </c>
      <c r="J2085" s="9" t="n">
        <v>0.761</v>
      </c>
      <c r="K2085" s="1" t="inlineStr">
        <is>
          <t>Yes</t>
        </is>
      </c>
      <c r="L2085" s="1" t="inlineStr">
        <is>
          <t>Yes</t>
        </is>
      </c>
      <c r="M2085" s="1" t="inlineStr">
        <is>
          <t>No</t>
        </is>
      </c>
      <c r="N2085" s="1" t="inlineStr">
        <is>
          <t>Algorithms</t>
        </is>
      </c>
      <c r="O20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86" ht="15.75" customHeight="1" s="12">
      <c r="A2086" s="1" t="n">
        <v>1849</v>
      </c>
      <c r="B2086" s="3">
        <f>HYPERLINK("https://leetcode.com/problems/splitting-a-string-into-descending-consecutive-values/", "Splitting a String Into Descending Consecutive Values")</f>
        <v/>
      </c>
      <c r="C2086" s="1" t="n">
        <v>551</v>
      </c>
      <c r="D2086" s="1" t="n">
        <v>128</v>
      </c>
      <c r="E2086" s="4">
        <f>IF(INDEX(C:C, ROW())+INDEX(D:D, ROW())=0, 0, INDEX(C:C, ROW())/(INDEX(C:C, ROW())+INDEX(D:D, ROW())))</f>
        <v/>
      </c>
      <c r="F2086" s="1" t="inlineStr">
        <is>
          <t>String, Backtracking, Enumeration</t>
        </is>
      </c>
      <c r="G2086" s="1" t="inlineStr">
        <is>
          <t>Medium</t>
        </is>
      </c>
      <c r="H2086" s="1" t="n">
        <v>33619</v>
      </c>
      <c r="I2086" s="1" t="n">
        <v>90102</v>
      </c>
      <c r="J2086" s="9" t="n">
        <v>0.373</v>
      </c>
      <c r="K2086" s="1" t="inlineStr">
        <is>
          <t>Yes</t>
        </is>
      </c>
      <c r="L2086" s="1" t="inlineStr">
        <is>
          <t>No</t>
        </is>
      </c>
      <c r="M2086" s="1" t="inlineStr">
        <is>
          <t>No</t>
        </is>
      </c>
      <c r="N2086" s="1" t="inlineStr">
        <is>
          <t>Algorithms</t>
        </is>
      </c>
      <c r="O20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87" ht="15.75" customHeight="1" s="12">
      <c r="A2087" s="1" t="n">
        <v>1803</v>
      </c>
      <c r="B2087" s="3">
        <f>HYPERLINK("https://leetcode.com/problems/count-pairs-with-xor-in-a-range/", "Count Pairs With XOR in a Range")</f>
        <v/>
      </c>
      <c r="C2087" s="1" t="n">
        <v>550</v>
      </c>
      <c r="D2087" s="1" t="n">
        <v>24</v>
      </c>
      <c r="E2087" s="4">
        <f>IF(INDEX(C:C, ROW())+INDEX(D:D, ROW())=0, 0, INDEX(C:C, ROW())/(INDEX(C:C, ROW())+INDEX(D:D, ROW())))</f>
        <v/>
      </c>
      <c r="F2087" s="1" t="inlineStr">
        <is>
          <t>Array, Bit Manipulation, Trie</t>
        </is>
      </c>
      <c r="G2087" s="1" t="inlineStr">
        <is>
          <t>Hard</t>
        </is>
      </c>
      <c r="H2087" s="1" t="n">
        <v>11852</v>
      </c>
      <c r="I2087" s="1" t="n">
        <v>25663</v>
      </c>
      <c r="J2087" s="9" t="n">
        <v>0.462</v>
      </c>
      <c r="K2087" s="1" t="inlineStr">
        <is>
          <t>Yes</t>
        </is>
      </c>
      <c r="L2087" s="1" t="inlineStr">
        <is>
          <t>No</t>
        </is>
      </c>
      <c r="M2087" s="1" t="inlineStr">
        <is>
          <t>No</t>
        </is>
      </c>
      <c r="N2087" s="1" t="inlineStr">
        <is>
          <t>Algorithms</t>
        </is>
      </c>
      <c r="O20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88" ht="15.75" customHeight="1" s="12">
      <c r="A2088" s="1" t="n">
        <v>2048</v>
      </c>
      <c r="B2088" s="3">
        <f>HYPERLINK("https://leetcode.com/problems/next-greater-numerically-balanced-number/", "Next Greater Numerically Balanced Number")</f>
        <v/>
      </c>
      <c r="C2088" s="1" t="n">
        <v>550</v>
      </c>
      <c r="D2088" s="1" t="n">
        <v>374</v>
      </c>
      <c r="E2088" s="4">
        <f>IF(INDEX(C:C, ROW())+INDEX(D:D, ROW())=0, 0, INDEX(C:C, ROW())/(INDEX(C:C, ROW())+INDEX(D:D, ROW())))</f>
        <v/>
      </c>
      <c r="F2088" s="1" t="inlineStr">
        <is>
          <t>Hash Table, Math, Backtracking, Counting, Enumeration</t>
        </is>
      </c>
      <c r="G2088" s="1" t="inlineStr">
        <is>
          <t>Medium</t>
        </is>
      </c>
      <c r="H2088" s="1" t="n">
        <v>103200</v>
      </c>
      <c r="I2088" s="1" t="n">
        <v>163796</v>
      </c>
      <c r="J2088" s="9" t="n">
        <v>0.63</v>
      </c>
      <c r="K2088" s="1" t="inlineStr">
        <is>
          <t>Yes</t>
        </is>
      </c>
      <c r="L2088" s="1" t="inlineStr">
        <is>
          <t>Yes</t>
        </is>
      </c>
      <c r="M2088" s="1" t="inlineStr">
        <is>
          <t>No</t>
        </is>
      </c>
      <c r="N2088" s="1" t="inlineStr">
        <is>
          <t>Algorithms</t>
        </is>
      </c>
      <c r="O20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89" ht="15.75" customHeight="1" s="12">
      <c r="A2089" s="1" t="n">
        <v>2414</v>
      </c>
      <c r="B2089" s="3">
        <f>HYPERLINK("https://leetcode.com/problems/length-of-the-longest-alphabetical-continuous-substring/", "Length of the Longest Alphabetical Continuous Substring")</f>
        <v/>
      </c>
      <c r="C2089" s="1" t="n">
        <v>550</v>
      </c>
      <c r="D2089" s="1" t="n">
        <v>37</v>
      </c>
      <c r="E2089" s="4">
        <f>IF(INDEX(C:C, ROW())+INDEX(D:D, ROW())=0, 0, INDEX(C:C, ROW())/(INDEX(C:C, ROW())+INDEX(D:D, ROW())))</f>
        <v/>
      </c>
      <c r="F2089" s="1" t="inlineStr">
        <is>
          <t>String</t>
        </is>
      </c>
      <c r="G2089" s="1" t="inlineStr">
        <is>
          <t>Medium</t>
        </is>
      </c>
      <c r="H2089" s="1" t="n">
        <v>61604</v>
      </c>
      <c r="I2089" s="1" t="n">
        <v>102346</v>
      </c>
      <c r="J2089" s="9" t="n">
        <v>0.602</v>
      </c>
      <c r="K2089" s="1" t="inlineStr">
        <is>
          <t>Yes</t>
        </is>
      </c>
      <c r="L2089" s="1" t="inlineStr">
        <is>
          <t>No</t>
        </is>
      </c>
      <c r="M2089" s="1" t="inlineStr">
        <is>
          <t>No</t>
        </is>
      </c>
      <c r="N2089" s="1" t="inlineStr">
        <is>
          <t>Algorithms</t>
        </is>
      </c>
      <c r="O20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90" ht="15.75" customHeight="1" s="12">
      <c r="A2090" s="1" t="n">
        <v>2457</v>
      </c>
      <c r="B2090" s="3">
        <f>HYPERLINK("https://leetcode.com/problems/minimum-addition-to-make-integer-beautiful/", "Minimum Addition to Make Integer Beautiful")</f>
        <v/>
      </c>
      <c r="C2090" s="1" t="n">
        <v>550</v>
      </c>
      <c r="D2090" s="1" t="n">
        <v>26</v>
      </c>
      <c r="E2090" s="4">
        <f>IF(INDEX(C:C, ROW())+INDEX(D:D, ROW())=0, 0, INDEX(C:C, ROW())/(INDEX(C:C, ROW())+INDEX(D:D, ROW())))</f>
        <v/>
      </c>
      <c r="F2090" s="1" t="inlineStr">
        <is>
          <t>Math, Greedy</t>
        </is>
      </c>
      <c r="G2090" s="1" t="inlineStr">
        <is>
          <t>Medium</t>
        </is>
      </c>
      <c r="H2090" s="1" t="n">
        <v>24595</v>
      </c>
      <c r="I2090" s="1" t="n">
        <v>63919</v>
      </c>
      <c r="J2090" s="9" t="n">
        <v>0.385</v>
      </c>
      <c r="K2090" s="1" t="inlineStr">
        <is>
          <t>Yes</t>
        </is>
      </c>
      <c r="L2090" s="1" t="inlineStr">
        <is>
          <t>No</t>
        </is>
      </c>
      <c r="M2090" s="1" t="inlineStr">
        <is>
          <t>No</t>
        </is>
      </c>
      <c r="N2090" s="1" t="inlineStr">
        <is>
          <t>Algorithms</t>
        </is>
      </c>
      <c r="O20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91" ht="15.75" customHeight="1" s="12">
      <c r="A2091" s="1" t="n">
        <v>3354</v>
      </c>
      <c r="B2091" s="3">
        <f>HYPERLINK("https://leetcode.com/problems/make-array-elements-equal-to-zero/", "Make Array Elements Equal to Zero")</f>
        <v/>
      </c>
      <c r="C2091" s="1" t="n">
        <v>550</v>
      </c>
      <c r="D2091" s="1" t="n">
        <v>165</v>
      </c>
      <c r="E2091" s="4">
        <f>IF(INDEX(C:C, ROW())+INDEX(D:D, ROW())=0, 0, INDEX(C:C, ROW())/(INDEX(C:C, ROW())+INDEX(D:D, ROW())))</f>
        <v/>
      </c>
      <c r="F2091" s="1" t="inlineStr">
        <is>
          <t>Array, Simulation, Prefix Sum</t>
        </is>
      </c>
      <c r="G2091" s="1" t="inlineStr">
        <is>
          <t>Easy</t>
        </is>
      </c>
      <c r="H2091" s="1" t="n">
        <v>133018</v>
      </c>
      <c r="I2091" s="1" t="n">
        <v>194656</v>
      </c>
      <c r="J2091" s="9" t="n">
        <v>0.6830000000000001</v>
      </c>
      <c r="K2091" s="1" t="inlineStr">
        <is>
          <t>Yes</t>
        </is>
      </c>
      <c r="L2091" s="1" t="inlineStr">
        <is>
          <t>Yes</t>
        </is>
      </c>
      <c r="M2091" s="1" t="inlineStr">
        <is>
          <t>No</t>
        </is>
      </c>
      <c r="N2091" s="1" t="inlineStr">
        <is>
          <t>Algorithms</t>
        </is>
      </c>
      <c r="O20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92" ht="15.75" customHeight="1" s="12">
      <c r="A2092" s="1" t="n">
        <v>522</v>
      </c>
      <c r="B2092" s="3">
        <f>HYPERLINK("https://leetcode.com/problems/longest-uncommon-subsequence-ii/", "Longest Uncommon Subsequence II")</f>
        <v/>
      </c>
      <c r="C2092" s="1" t="n">
        <v>549</v>
      </c>
      <c r="D2092" s="1" t="n">
        <v>1376</v>
      </c>
      <c r="E2092" s="4">
        <f>IF(INDEX(C:C, ROW())+INDEX(D:D, ROW())=0, 0, INDEX(C:C, ROW())/(INDEX(C:C, ROW())+INDEX(D:D, ROW())))</f>
        <v/>
      </c>
      <c r="F2092" s="1" t="inlineStr">
        <is>
          <t>Array, Hash Table, Two Pointers, String, Sorting</t>
        </is>
      </c>
      <c r="G2092" s="1" t="inlineStr">
        <is>
          <t>Medium</t>
        </is>
      </c>
      <c r="H2092" s="1" t="n">
        <v>65243</v>
      </c>
      <c r="I2092" s="1" t="n">
        <v>147342</v>
      </c>
      <c r="J2092" s="9" t="n">
        <v>0.443</v>
      </c>
      <c r="K2092" s="1" t="inlineStr">
        <is>
          <t>Yes</t>
        </is>
      </c>
      <c r="L2092" s="1" t="inlineStr">
        <is>
          <t>No</t>
        </is>
      </c>
      <c r="M2092" s="1" t="inlineStr">
        <is>
          <t>No</t>
        </is>
      </c>
      <c r="N2092" s="1" t="inlineStr">
        <is>
          <t>Algorithms</t>
        </is>
      </c>
      <c r="O20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93" ht="15.75" customHeight="1" s="12">
      <c r="A2093" s="1" t="n">
        <v>1301</v>
      </c>
      <c r="B2093" s="3">
        <f>HYPERLINK("https://leetcode.com/problems/number-of-paths-with-max-score/", "Number of Paths with Max Score")</f>
        <v/>
      </c>
      <c r="C2093" s="1" t="n">
        <v>548</v>
      </c>
      <c r="D2093" s="1" t="n">
        <v>28</v>
      </c>
      <c r="E2093" s="4">
        <f>IF(INDEX(C:C, ROW())+INDEX(D:D, ROW())=0, 0, INDEX(C:C, ROW())/(INDEX(C:C, ROW())+INDEX(D:D, ROW())))</f>
        <v/>
      </c>
      <c r="F2093" s="1" t="inlineStr">
        <is>
          <t>Array, Dynamic Programming, Matrix</t>
        </is>
      </c>
      <c r="G2093" s="1" t="inlineStr">
        <is>
          <t>Hard</t>
        </is>
      </c>
      <c r="H2093" s="1" t="n">
        <v>18182</v>
      </c>
      <c r="I2093" s="1" t="n">
        <v>43463</v>
      </c>
      <c r="J2093" s="9" t="n">
        <v>0.418</v>
      </c>
      <c r="K2093" s="1" t="inlineStr">
        <is>
          <t>Yes</t>
        </is>
      </c>
      <c r="L2093" s="1" t="inlineStr">
        <is>
          <t>No</t>
        </is>
      </c>
      <c r="M2093" s="1" t="inlineStr">
        <is>
          <t>No</t>
        </is>
      </c>
      <c r="N2093" s="1" t="inlineStr">
        <is>
          <t>Algorithms</t>
        </is>
      </c>
      <c r="O20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94" ht="15.75" customHeight="1" s="12">
      <c r="A2094" s="1" t="n">
        <v>1961</v>
      </c>
      <c r="B2094" s="3">
        <f>HYPERLINK("https://leetcode.com/problems/check-if-string-is-a-prefix-of-array/", "Check If String Is a Prefix of Array")</f>
        <v/>
      </c>
      <c r="C2094" s="1" t="n">
        <v>548</v>
      </c>
      <c r="D2094" s="1" t="n">
        <v>109</v>
      </c>
      <c r="E2094" s="4">
        <f>IF(INDEX(C:C, ROW())+INDEX(D:D, ROW())=0, 0, INDEX(C:C, ROW())/(INDEX(C:C, ROW())+INDEX(D:D, ROW())))</f>
        <v/>
      </c>
      <c r="F2094" s="1" t="inlineStr">
        <is>
          <t>Array, Two Pointers, String</t>
        </is>
      </c>
      <c r="G2094" s="1" t="inlineStr">
        <is>
          <t>Easy</t>
        </is>
      </c>
      <c r="H2094" s="1" t="n">
        <v>82065</v>
      </c>
      <c r="I2094" s="1" t="n">
        <v>155646</v>
      </c>
      <c r="J2094" s="9" t="n">
        <v>0.527</v>
      </c>
      <c r="K2094" s="1" t="inlineStr">
        <is>
          <t>Yes</t>
        </is>
      </c>
      <c r="L2094" s="1" t="inlineStr">
        <is>
          <t>No</t>
        </is>
      </c>
      <c r="M2094" s="1" t="inlineStr">
        <is>
          <t>No</t>
        </is>
      </c>
      <c r="N2094" s="1" t="inlineStr">
        <is>
          <t>Algorithms</t>
        </is>
      </c>
      <c r="O20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95" ht="15.75" customHeight="1" s="12">
      <c r="A2095" s="1" t="n">
        <v>2380</v>
      </c>
      <c r="B2095" s="3">
        <f>HYPERLINK("https://leetcode.com/problems/time-needed-to-rearrange-a-binary-string/", "Time Needed to Rearrange a Binary String")</f>
        <v/>
      </c>
      <c r="C2095" s="1" t="n">
        <v>548</v>
      </c>
      <c r="D2095" s="1" t="n">
        <v>114</v>
      </c>
      <c r="E2095" s="4">
        <f>IF(INDEX(C:C, ROW())+INDEX(D:D, ROW())=0, 0, INDEX(C:C, ROW())/(INDEX(C:C, ROW())+INDEX(D:D, ROW())))</f>
        <v/>
      </c>
      <c r="F2095" s="1" t="inlineStr">
        <is>
          <t>String, Dynamic Programming, Simulation</t>
        </is>
      </c>
      <c r="G2095" s="1" t="inlineStr">
        <is>
          <t>Medium</t>
        </is>
      </c>
      <c r="H2095" s="1" t="n">
        <v>41758</v>
      </c>
      <c r="I2095" s="1" t="n">
        <v>79748</v>
      </c>
      <c r="J2095" s="9" t="n">
        <v>0.524</v>
      </c>
      <c r="K2095" s="1" t="inlineStr">
        <is>
          <t>Yes</t>
        </is>
      </c>
      <c r="L2095" s="1" t="inlineStr">
        <is>
          <t>No</t>
        </is>
      </c>
      <c r="M2095" s="1" t="inlineStr">
        <is>
          <t>No</t>
        </is>
      </c>
      <c r="N2095" s="1" t="inlineStr">
        <is>
          <t>Algorithms</t>
        </is>
      </c>
      <c r="O20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96" ht="15.75" customHeight="1" s="12">
      <c r="A2096" s="1" t="n">
        <v>2850</v>
      </c>
      <c r="B2096" s="3">
        <f>HYPERLINK("https://leetcode.com/problems/minimum-moves-to-spread-stones-over-grid/", "Minimum Moves to Spread Stones Over Grid")</f>
        <v/>
      </c>
      <c r="C2096" s="1" t="n">
        <v>548</v>
      </c>
      <c r="D2096" s="1" t="n">
        <v>78</v>
      </c>
      <c r="E2096" s="4">
        <f>IF(INDEX(C:C, ROW())+INDEX(D:D, ROW())=0, 0, INDEX(C:C, ROW())/(INDEX(C:C, ROW())+INDEX(D:D, ROW())))</f>
        <v/>
      </c>
      <c r="F2096" s="1" t="inlineStr">
        <is>
          <t>Array, Dynamic Programming, Breadth-First Search, Matrix</t>
        </is>
      </c>
      <c r="G2096" s="1" t="inlineStr">
        <is>
          <t>Medium</t>
        </is>
      </c>
      <c r="H2096" s="1" t="n">
        <v>29104</v>
      </c>
      <c r="I2096" s="1" t="n">
        <v>64491</v>
      </c>
      <c r="J2096" s="9" t="n">
        <v>0.451</v>
      </c>
      <c r="K2096" s="1" t="inlineStr">
        <is>
          <t>Yes</t>
        </is>
      </c>
      <c r="L2096" s="1" t="inlineStr">
        <is>
          <t>No</t>
        </is>
      </c>
      <c r="M2096" s="1" t="inlineStr">
        <is>
          <t>No</t>
        </is>
      </c>
      <c r="N2096" s="1" t="inlineStr">
        <is>
          <t>Algorithms</t>
        </is>
      </c>
      <c r="O20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97" ht="15.75" customHeight="1" s="12">
      <c r="A2097" s="1" t="n">
        <v>1628</v>
      </c>
      <c r="B2097" s="3">
        <f>HYPERLINK("https://leetcode.com/problems/design-an-expression-tree-with-evaluate-function/", "Design an Expression Tree With Evaluate Function")</f>
        <v/>
      </c>
      <c r="C2097" s="1" t="n">
        <v>547</v>
      </c>
      <c r="D2097" s="1" t="n">
        <v>74</v>
      </c>
      <c r="E2097" s="4">
        <f>IF(INDEX(C:C, ROW())+INDEX(D:D, ROW())=0, 0, INDEX(C:C, ROW())/(INDEX(C:C, ROW())+INDEX(D:D, ROW())))</f>
        <v/>
      </c>
      <c r="F2097" s="1" t="inlineStr">
        <is>
          <t>Array, Math, Stack, Tree, Design, Binary Tree</t>
        </is>
      </c>
      <c r="G2097" s="1" t="inlineStr">
        <is>
          <t>Medium</t>
        </is>
      </c>
      <c r="H2097" s="1" t="n">
        <v>29311</v>
      </c>
      <c r="I2097" s="1" t="n">
        <v>35558</v>
      </c>
      <c r="J2097" s="9" t="n">
        <v>0.824</v>
      </c>
      <c r="K2097" s="1" t="inlineStr">
        <is>
          <t>No</t>
        </is>
      </c>
      <c r="L2097" s="1" t="inlineStr">
        <is>
          <t>No</t>
        </is>
      </c>
      <c r="M2097" s="1" t="inlineStr">
        <is>
          <t>No</t>
        </is>
      </c>
      <c r="N2097" s="1" t="inlineStr">
        <is>
          <t>Algorithms</t>
        </is>
      </c>
      <c r="O20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98" ht="15.75" customHeight="1" s="12">
      <c r="A2098" s="1" t="n">
        <v>2808</v>
      </c>
      <c r="B2098" s="3">
        <f>HYPERLINK("https://leetcode.com/problems/minimum-seconds-to-equalize-a-circular-array/", "Minimum Seconds to Equalize a Circular Array")</f>
        <v/>
      </c>
      <c r="C2098" s="1" t="n">
        <v>547</v>
      </c>
      <c r="D2098" s="1" t="n">
        <v>32</v>
      </c>
      <c r="E2098" s="4">
        <f>IF(INDEX(C:C, ROW())+INDEX(D:D, ROW())=0, 0, INDEX(C:C, ROW())/(INDEX(C:C, ROW())+INDEX(D:D, ROW())))</f>
        <v/>
      </c>
      <c r="F2098" s="1" t="inlineStr">
        <is>
          <t>Array, Hash Table</t>
        </is>
      </c>
      <c r="G2098" s="1" t="inlineStr">
        <is>
          <t>Medium</t>
        </is>
      </c>
      <c r="H2098" s="1" t="n">
        <v>18281</v>
      </c>
      <c r="I2098" s="1" t="n">
        <v>64500</v>
      </c>
      <c r="J2098" s="9" t="n">
        <v>0.283</v>
      </c>
      <c r="K2098" s="1" t="inlineStr">
        <is>
          <t>Yes</t>
        </is>
      </c>
      <c r="L2098" s="1" t="inlineStr">
        <is>
          <t>No</t>
        </is>
      </c>
      <c r="M2098" s="1" t="inlineStr">
        <is>
          <t>No</t>
        </is>
      </c>
      <c r="N2098" s="1" t="inlineStr">
        <is>
          <t>Algorithms</t>
        </is>
      </c>
      <c r="O20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099" ht="15.75" customHeight="1" s="12">
      <c r="A2099" s="1" t="n">
        <v>1116</v>
      </c>
      <c r="B2099" s="3">
        <f>HYPERLINK("https://leetcode.com/problems/print-zero-even-odd/", "Print Zero Even Odd")</f>
        <v/>
      </c>
      <c r="C2099" s="1" t="n">
        <v>546</v>
      </c>
      <c r="D2099" s="1" t="n">
        <v>369</v>
      </c>
      <c r="E2099" s="4">
        <f>IF(INDEX(C:C, ROW())+INDEX(D:D, ROW())=0, 0, INDEX(C:C, ROW())/(INDEX(C:C, ROW())+INDEX(D:D, ROW())))</f>
        <v/>
      </c>
      <c r="F2099" s="1" t="inlineStr">
        <is>
          <t>Concurrency</t>
        </is>
      </c>
      <c r="G2099" s="1" t="inlineStr">
        <is>
          <t>Medium</t>
        </is>
      </c>
      <c r="H2099" s="1" t="n">
        <v>78214</v>
      </c>
      <c r="I2099" s="1" t="n">
        <v>120398</v>
      </c>
      <c r="J2099" s="9" t="n">
        <v>0.65</v>
      </c>
      <c r="K2099" s="1" t="inlineStr">
        <is>
          <t>Yes</t>
        </is>
      </c>
      <c r="L2099" s="1" t="inlineStr">
        <is>
          <t>No</t>
        </is>
      </c>
      <c r="M2099" s="1" t="inlineStr">
        <is>
          <t>No</t>
        </is>
      </c>
      <c r="N2099" s="1" t="inlineStr">
        <is>
          <t>Concurrency</t>
        </is>
      </c>
      <c r="O20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00" ht="15.75" customHeight="1" s="12">
      <c r="A2100" s="1" t="n">
        <v>2172</v>
      </c>
      <c r="B2100" s="3">
        <f>HYPERLINK("https://leetcode.com/problems/maximum-and-sum-of-array/", "Maximum AND Sum of Array")</f>
        <v/>
      </c>
      <c r="C2100" s="1" t="n">
        <v>545</v>
      </c>
      <c r="D2100" s="1" t="n">
        <v>33</v>
      </c>
      <c r="E2100" s="4">
        <f>IF(INDEX(C:C, ROW())+INDEX(D:D, ROW())=0, 0, INDEX(C:C, ROW())/(INDEX(C:C, ROW())+INDEX(D:D, ROW())))</f>
        <v/>
      </c>
      <c r="F2100" s="1" t="inlineStr">
        <is>
          <t>Array, Dynamic Programming, Bit Manipulation, Bitmask DP</t>
        </is>
      </c>
      <c r="G2100" s="1" t="inlineStr">
        <is>
          <t>Hard</t>
        </is>
      </c>
      <c r="H2100" s="1" t="n">
        <v>17293</v>
      </c>
      <c r="I2100" s="1" t="n">
        <v>34213</v>
      </c>
      <c r="J2100" s="9" t="n">
        <v>0.505</v>
      </c>
      <c r="K2100" s="1" t="inlineStr">
        <is>
          <t>Yes</t>
        </is>
      </c>
      <c r="L2100" s="1" t="inlineStr">
        <is>
          <t>No</t>
        </is>
      </c>
      <c r="M2100" s="1" t="inlineStr">
        <is>
          <t>No</t>
        </is>
      </c>
      <c r="N2100" s="1" t="inlineStr">
        <is>
          <t>Algorithms</t>
        </is>
      </c>
      <c r="O21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01" ht="15.75" customHeight="1" s="12">
      <c r="A2101" s="1" t="n">
        <v>3583</v>
      </c>
      <c r="B2101" s="3">
        <f>HYPERLINK("https://leetcode.com/problems/count-special-triplets/", "Count Special Triplets")</f>
        <v/>
      </c>
      <c r="C2101" s="1" t="n">
        <v>545</v>
      </c>
      <c r="D2101" s="1" t="n">
        <v>23</v>
      </c>
      <c r="E2101" s="4">
        <f>IF(INDEX(C:C, ROW())+INDEX(D:D, ROW())=0, 0, INDEX(C:C, ROW())/(INDEX(C:C, ROW())+INDEX(D:D, ROW())))</f>
        <v/>
      </c>
      <c r="F2101" s="1" t="inlineStr">
        <is>
          <t>Array, Hash Table, Counting</t>
        </is>
      </c>
      <c r="G2101" s="1" t="inlineStr">
        <is>
          <t>Medium</t>
        </is>
      </c>
      <c r="H2101" s="1" t="n">
        <v>115244</v>
      </c>
      <c r="I2101" s="1" t="n">
        <v>244468</v>
      </c>
      <c r="J2101" s="9" t="n">
        <v>0.471</v>
      </c>
      <c r="K2101" s="1" t="inlineStr">
        <is>
          <t>Yes</t>
        </is>
      </c>
      <c r="L2101" s="1" t="inlineStr">
        <is>
          <t>Yes</t>
        </is>
      </c>
      <c r="M2101" s="1" t="inlineStr">
        <is>
          <t>No</t>
        </is>
      </c>
      <c r="N2101" s="1" t="inlineStr">
        <is>
          <t>Algorithms</t>
        </is>
      </c>
      <c r="O21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02" ht="15.75" customHeight="1" s="12">
      <c r="A2102" s="1" t="n">
        <v>640</v>
      </c>
      <c r="B2102" s="3">
        <f>HYPERLINK("https://leetcode.com/problems/solve-the-equation/", "Solve the Equation")</f>
        <v/>
      </c>
      <c r="C2102" s="1" t="n">
        <v>544</v>
      </c>
      <c r="D2102" s="1" t="n">
        <v>852</v>
      </c>
      <c r="E2102" s="4">
        <f>IF(INDEX(C:C, ROW())+INDEX(D:D, ROW())=0, 0, INDEX(C:C, ROW())/(INDEX(C:C, ROW())+INDEX(D:D, ROW())))</f>
        <v/>
      </c>
      <c r="F2102" s="1" t="inlineStr">
        <is>
          <t>Math, String, Simulation</t>
        </is>
      </c>
      <c r="G2102" s="1" t="inlineStr">
        <is>
          <t>Medium</t>
        </is>
      </c>
      <c r="H2102" s="1" t="n">
        <v>49622</v>
      </c>
      <c r="I2102" s="1" t="n">
        <v>107846</v>
      </c>
      <c r="J2102" s="9" t="n">
        <v>0.46</v>
      </c>
      <c r="K2102" s="1" t="inlineStr">
        <is>
          <t>Yes</t>
        </is>
      </c>
      <c r="L2102" s="1" t="inlineStr">
        <is>
          <t>Yes</t>
        </is>
      </c>
      <c r="M2102" s="1" t="inlineStr">
        <is>
          <t>No</t>
        </is>
      </c>
      <c r="N2102" s="1" t="inlineStr">
        <is>
          <t>Algorithms</t>
        </is>
      </c>
      <c r="O21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03" ht="15.75" customHeight="1" s="12">
      <c r="A2103" s="1" t="n">
        <v>1188</v>
      </c>
      <c r="B2103" s="3">
        <f>HYPERLINK("https://leetcode.com/problems/design-bounded-blocking-queue/", "Design Bounded Blocking Queue")</f>
        <v/>
      </c>
      <c r="C2103" s="1" t="n">
        <v>544</v>
      </c>
      <c r="D2103" s="1" t="n">
        <v>43</v>
      </c>
      <c r="E2103" s="4">
        <f>IF(INDEX(C:C, ROW())+INDEX(D:D, ROW())=0, 0, INDEX(C:C, ROW())/(INDEX(C:C, ROW())+INDEX(D:D, ROW())))</f>
        <v/>
      </c>
      <c r="F2103" s="1" t="inlineStr">
        <is>
          <t>Concurrency</t>
        </is>
      </c>
      <c r="G2103" s="1" t="inlineStr">
        <is>
          <t>Medium</t>
        </is>
      </c>
      <c r="H2103" s="1" t="n">
        <v>66235</v>
      </c>
      <c r="I2103" s="1" t="n">
        <v>90154</v>
      </c>
      <c r="J2103" s="9" t="n">
        <v>0.735</v>
      </c>
      <c r="K2103" s="1" t="inlineStr">
        <is>
          <t>No</t>
        </is>
      </c>
      <c r="L2103" s="1" t="inlineStr">
        <is>
          <t>No</t>
        </is>
      </c>
      <c r="M2103" s="1" t="inlineStr">
        <is>
          <t>No</t>
        </is>
      </c>
      <c r="N2103" s="1" t="inlineStr">
        <is>
          <t>Concurrency</t>
        </is>
      </c>
      <c r="O21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04" ht="15.75" customHeight="1" s="12">
      <c r="A2104" s="1" t="n">
        <v>1237</v>
      </c>
      <c r="B2104" s="3">
        <f>HYPERLINK("https://leetcode.com/problems/find-positive-integer-solution-for-a-given-equation/", "Find Positive Integer Solution for a Given Equation")</f>
        <v/>
      </c>
      <c r="C2104" s="1" t="n">
        <v>544</v>
      </c>
      <c r="D2104" s="1" t="n">
        <v>1445</v>
      </c>
      <c r="E2104" s="4">
        <f>IF(INDEX(C:C, ROW())+INDEX(D:D, ROW())=0, 0, INDEX(C:C, ROW())/(INDEX(C:C, ROW())+INDEX(D:D, ROW())))</f>
        <v/>
      </c>
      <c r="F2104" s="1" t="inlineStr">
        <is>
          <t>Math, Two Pointers, Binary Search, Interactive</t>
        </is>
      </c>
      <c r="G2104" s="1" t="inlineStr">
        <is>
          <t>Medium</t>
        </is>
      </c>
      <c r="H2104" s="1" t="n">
        <v>80355</v>
      </c>
      <c r="I2104" s="1" t="n">
        <v>115170</v>
      </c>
      <c r="J2104" s="9" t="n">
        <v>0.698</v>
      </c>
      <c r="K2104" s="1" t="inlineStr">
        <is>
          <t>Yes</t>
        </is>
      </c>
      <c r="L2104" s="1" t="inlineStr">
        <is>
          <t>No</t>
        </is>
      </c>
      <c r="M2104" s="1" t="inlineStr">
        <is>
          <t>No</t>
        </is>
      </c>
      <c r="N2104" s="1" t="inlineStr">
        <is>
          <t>Algorithms</t>
        </is>
      </c>
      <c r="O21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05" ht="15.75" customHeight="1" s="12">
      <c r="A2105" s="1" t="n">
        <v>1955</v>
      </c>
      <c r="B2105" s="3">
        <f>HYPERLINK("https://leetcode.com/problems/count-number-of-special-subsequences/", "Count Number of Special Subsequences")</f>
        <v/>
      </c>
      <c r="C2105" s="1" t="n">
        <v>544</v>
      </c>
      <c r="D2105" s="1" t="n">
        <v>11</v>
      </c>
      <c r="E2105" s="4">
        <f>IF(INDEX(C:C, ROW())+INDEX(D:D, ROW())=0, 0, INDEX(C:C, ROW())/(INDEX(C:C, ROW())+INDEX(D:D, ROW())))</f>
        <v/>
      </c>
      <c r="F2105" s="1" t="inlineStr">
        <is>
          <t>Array, Dynamic Programming</t>
        </is>
      </c>
      <c r="G2105" s="1" t="inlineStr">
        <is>
          <t>Hard</t>
        </is>
      </c>
      <c r="H2105" s="1" t="n">
        <v>14893</v>
      </c>
      <c r="I2105" s="1" t="n">
        <v>28356</v>
      </c>
      <c r="J2105" s="9" t="n">
        <v>0.525</v>
      </c>
      <c r="K2105" s="1" t="inlineStr">
        <is>
          <t>Yes</t>
        </is>
      </c>
      <c r="L2105" s="1" t="inlineStr">
        <is>
          <t>No</t>
        </is>
      </c>
      <c r="M2105" s="1" t="inlineStr">
        <is>
          <t>No</t>
        </is>
      </c>
      <c r="N2105" s="1" t="inlineStr">
        <is>
          <t>Algorithms</t>
        </is>
      </c>
      <c r="O21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06" ht="15.75" customHeight="1" s="12">
      <c r="A2106" s="1" t="n">
        <v>3227</v>
      </c>
      <c r="B2106" s="3">
        <f>HYPERLINK("https://leetcode.com/problems/vowels-game-in-a-string/", "Vowels Game in a String")</f>
        <v/>
      </c>
      <c r="C2106" s="1" t="n">
        <v>544</v>
      </c>
      <c r="D2106" s="1" t="n">
        <v>115</v>
      </c>
      <c r="E2106" s="4">
        <f>IF(INDEX(C:C, ROW())+INDEX(D:D, ROW())=0, 0, INDEX(C:C, ROW())/(INDEX(C:C, ROW())+INDEX(D:D, ROW())))</f>
        <v/>
      </c>
      <c r="F2106" s="1" t="inlineStr">
        <is>
          <t>Math, String, Brainteaser, Game Theory</t>
        </is>
      </c>
      <c r="G2106" s="1" t="inlineStr">
        <is>
          <t>Medium</t>
        </is>
      </c>
      <c r="H2106" s="1" t="n">
        <v>189907</v>
      </c>
      <c r="I2106" s="1" t="n">
        <v>246453</v>
      </c>
      <c r="J2106" s="9" t="n">
        <v>0.771</v>
      </c>
      <c r="K2106" s="1" t="inlineStr">
        <is>
          <t>Yes</t>
        </is>
      </c>
      <c r="L2106" s="1" t="inlineStr">
        <is>
          <t>Yes</t>
        </is>
      </c>
      <c r="M2106" s="1" t="inlineStr">
        <is>
          <t>No</t>
        </is>
      </c>
      <c r="N2106" s="1" t="inlineStr">
        <is>
          <t>Algorithms</t>
        </is>
      </c>
      <c r="O21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07" ht="15.75" customHeight="1" s="12">
      <c r="A2107" s="1" t="n">
        <v>1912</v>
      </c>
      <c r="B2107" s="3">
        <f>HYPERLINK("https://leetcode.com/problems/design-movie-rental-system/", "Design Movie Rental System")</f>
        <v/>
      </c>
      <c r="C2107" s="1" t="n">
        <v>543</v>
      </c>
      <c r="D2107" s="1" t="n">
        <v>87</v>
      </c>
      <c r="E2107" s="4">
        <f>IF(INDEX(C:C, ROW())+INDEX(D:D, ROW())=0, 0, INDEX(C:C, ROW())/(INDEX(C:C, ROW())+INDEX(D:D, ROW())))</f>
        <v/>
      </c>
      <c r="F2107" s="1" t="inlineStr">
        <is>
          <t>Array, Hash Table, Design, Heap (Priority Queue), Ordered Set</t>
        </is>
      </c>
      <c r="G2107" s="1" t="inlineStr">
        <is>
          <t>Hard</t>
        </is>
      </c>
      <c r="H2107" s="1" t="n">
        <v>71636</v>
      </c>
      <c r="I2107" s="1" t="n">
        <v>114388</v>
      </c>
      <c r="J2107" s="9" t="n">
        <v>0.626</v>
      </c>
      <c r="K2107" s="1" t="inlineStr">
        <is>
          <t>Yes</t>
        </is>
      </c>
      <c r="L2107" s="1" t="inlineStr">
        <is>
          <t>Yes</t>
        </is>
      </c>
      <c r="M2107" s="1" t="inlineStr">
        <is>
          <t>No</t>
        </is>
      </c>
      <c r="N2107" s="1" t="inlineStr">
        <is>
          <t>Algorithms</t>
        </is>
      </c>
      <c r="O21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08" ht="15.75" customHeight="1" s="12">
      <c r="A2108" s="1" t="n">
        <v>1165</v>
      </c>
      <c r="B2108" s="3">
        <f>HYPERLINK("https://leetcode.com/problems/single-row-keyboard/", "Single-Row Keyboard")</f>
        <v/>
      </c>
      <c r="C2108" s="1" t="n">
        <v>542</v>
      </c>
      <c r="D2108" s="1" t="n">
        <v>23</v>
      </c>
      <c r="E2108" s="4">
        <f>IF(INDEX(C:C, ROW())+INDEX(D:D, ROW())=0, 0, INDEX(C:C, ROW())/(INDEX(C:C, ROW())+INDEX(D:D, ROW())))</f>
        <v/>
      </c>
      <c r="F2108" s="1" t="inlineStr">
        <is>
          <t>Hash Table, String</t>
        </is>
      </c>
      <c r="G2108" s="1" t="inlineStr">
        <is>
          <t>Easy</t>
        </is>
      </c>
      <c r="H2108" s="1" t="n">
        <v>93190</v>
      </c>
      <c r="I2108" s="1" t="n">
        <v>106169</v>
      </c>
      <c r="J2108" s="9" t="n">
        <v>0.878</v>
      </c>
      <c r="K2108" s="1" t="inlineStr">
        <is>
          <t>No</t>
        </is>
      </c>
      <c r="L2108" s="1" t="inlineStr">
        <is>
          <t>Yes</t>
        </is>
      </c>
      <c r="M2108" s="1" t="inlineStr">
        <is>
          <t>Yes</t>
        </is>
      </c>
      <c r="N2108" s="1" t="inlineStr">
        <is>
          <t>Algorithms</t>
        </is>
      </c>
      <c r="O21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09" ht="15.75" customHeight="1" s="12">
      <c r="A2109" s="1" t="n">
        <v>2319</v>
      </c>
      <c r="B2109" s="3">
        <f>HYPERLINK("https://leetcode.com/problems/check-if-matrix-is-x-matrix/", "Check if Matrix Is X-Matrix")</f>
        <v/>
      </c>
      <c r="C2109" s="1" t="n">
        <v>542</v>
      </c>
      <c r="D2109" s="1" t="n">
        <v>26</v>
      </c>
      <c r="E2109" s="4">
        <f>IF(INDEX(C:C, ROW())+INDEX(D:D, ROW())=0, 0, INDEX(C:C, ROW())/(INDEX(C:C, ROW())+INDEX(D:D, ROW())))</f>
        <v/>
      </c>
      <c r="F2109" s="1" t="inlineStr">
        <is>
          <t>Array, Matrix</t>
        </is>
      </c>
      <c r="G2109" s="1" t="inlineStr">
        <is>
          <t>Easy</t>
        </is>
      </c>
      <c r="H2109" s="1" t="n">
        <v>70994</v>
      </c>
      <c r="I2109" s="1" t="n">
        <v>107351</v>
      </c>
      <c r="J2109" s="9" t="n">
        <v>0.661</v>
      </c>
      <c r="K2109" s="1" t="inlineStr">
        <is>
          <t>Yes</t>
        </is>
      </c>
      <c r="L2109" s="1" t="inlineStr">
        <is>
          <t>No</t>
        </is>
      </c>
      <c r="M2109" s="1" t="inlineStr">
        <is>
          <t>No</t>
        </is>
      </c>
      <c r="N2109" s="1" t="inlineStr">
        <is>
          <t>Algorithms</t>
        </is>
      </c>
      <c r="O21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10" ht="15.75" customHeight="1" s="12">
      <c r="A2110" s="1" t="n">
        <v>1587</v>
      </c>
      <c r="B2110" s="3">
        <f>HYPERLINK("https://leetcode.com/problems/bank-account-summary-ii/", "Bank Account Summary II")</f>
        <v/>
      </c>
      <c r="C2110" s="1" t="n">
        <v>541</v>
      </c>
      <c r="D2110" s="1" t="n">
        <v>6</v>
      </c>
      <c r="E2110" s="4">
        <f>IF(INDEX(C:C, ROW())+INDEX(D:D, ROW())=0, 0, INDEX(C:C, ROW())/(INDEX(C:C, ROW())+INDEX(D:D, ROW())))</f>
        <v/>
      </c>
      <c r="F2110" s="1" t="inlineStr">
        <is>
          <t>Database</t>
        </is>
      </c>
      <c r="G2110" s="1" t="inlineStr">
        <is>
          <t>Easy</t>
        </is>
      </c>
      <c r="H2110" s="1" t="n">
        <v>158458</v>
      </c>
      <c r="I2110" s="1" t="n">
        <v>190799</v>
      </c>
      <c r="J2110" s="9" t="n">
        <v>0.83</v>
      </c>
      <c r="K2110" s="1" t="inlineStr">
        <is>
          <t>Yes</t>
        </is>
      </c>
      <c r="L2110" s="1" t="inlineStr">
        <is>
          <t>Yes</t>
        </is>
      </c>
      <c r="M2110" s="1" t="inlineStr">
        <is>
          <t>No</t>
        </is>
      </c>
      <c r="N2110" s="1" t="inlineStr">
        <is>
          <t>Database</t>
        </is>
      </c>
      <c r="O21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11" ht="15.75" customHeight="1" s="12">
      <c r="A2111" s="1" t="n">
        <v>2521</v>
      </c>
      <c r="B2111" s="3">
        <f>HYPERLINK("https://leetcode.com/problems/distinct-prime-factors-of-product-of-array/", "Distinct Prime Factors of Product of Array")</f>
        <v/>
      </c>
      <c r="C2111" s="1" t="n">
        <v>541</v>
      </c>
      <c r="D2111" s="1" t="n">
        <v>13</v>
      </c>
      <c r="E2111" s="4">
        <f>IF(INDEX(C:C, ROW())+INDEX(D:D, ROW())=0, 0, INDEX(C:C, ROW())/(INDEX(C:C, ROW())+INDEX(D:D, ROW())))</f>
        <v/>
      </c>
      <c r="F2111" s="1" t="inlineStr">
        <is>
          <t>Array, Hash Table, Math, Number Theory</t>
        </is>
      </c>
      <c r="G2111" s="1" t="inlineStr">
        <is>
          <t>Medium</t>
        </is>
      </c>
      <c r="H2111" s="1" t="n">
        <v>45159</v>
      </c>
      <c r="I2111" s="1" t="n">
        <v>83690</v>
      </c>
      <c r="J2111" s="9" t="n">
        <v>0.54</v>
      </c>
      <c r="K2111" s="1" t="inlineStr">
        <is>
          <t>Yes</t>
        </is>
      </c>
      <c r="L2111" s="1" t="inlineStr">
        <is>
          <t>No</t>
        </is>
      </c>
      <c r="M2111" s="1" t="inlineStr">
        <is>
          <t>No</t>
        </is>
      </c>
      <c r="N2111" s="1" t="inlineStr">
        <is>
          <t>Algorithms</t>
        </is>
      </c>
      <c r="O21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12" ht="15.75" customHeight="1" s="12">
      <c r="A2112" s="1" t="n">
        <v>2553</v>
      </c>
      <c r="B2112" s="3">
        <f>HYPERLINK("https://leetcode.com/problems/separate-the-digits-in-an-array/", "Separate the Digits in an Array")</f>
        <v/>
      </c>
      <c r="C2112" s="1" t="n">
        <v>541</v>
      </c>
      <c r="D2112" s="1" t="n">
        <v>15</v>
      </c>
      <c r="E2112" s="4">
        <f>IF(INDEX(C:C, ROW())+INDEX(D:D, ROW())=0, 0, INDEX(C:C, ROW())/(INDEX(C:C, ROW())+INDEX(D:D, ROW())))</f>
        <v/>
      </c>
      <c r="F2112" s="1" t="inlineStr">
        <is>
          <t>Array, Simulation</t>
        </is>
      </c>
      <c r="G2112" s="1" t="inlineStr">
        <is>
          <t>Easy</t>
        </is>
      </c>
      <c r="H2112" s="1" t="n">
        <v>99550</v>
      </c>
      <c r="I2112" s="1" t="n">
        <v>123376</v>
      </c>
      <c r="J2112" s="9" t="n">
        <v>0.8070000000000001</v>
      </c>
      <c r="K2112" s="1" t="inlineStr">
        <is>
          <t>Yes</t>
        </is>
      </c>
      <c r="L2112" s="1" t="inlineStr">
        <is>
          <t>No</t>
        </is>
      </c>
      <c r="M2112" s="1" t="inlineStr">
        <is>
          <t>No</t>
        </is>
      </c>
      <c r="N2112" s="1" t="inlineStr">
        <is>
          <t>Algorithms</t>
        </is>
      </c>
      <c r="O21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13" ht="15.75" customHeight="1" s="12">
      <c r="A2113" s="1" t="n">
        <v>1182</v>
      </c>
      <c r="B2113" s="3">
        <f>HYPERLINK("https://leetcode.com/problems/shortest-distance-to-target-color/", "Shortest Distance to Target Color")</f>
        <v/>
      </c>
      <c r="C2113" s="1" t="n">
        <v>539</v>
      </c>
      <c r="D2113" s="1" t="n">
        <v>22</v>
      </c>
      <c r="E2113" s="4">
        <f>IF(INDEX(C:C, ROW())+INDEX(D:D, ROW())=0, 0, INDEX(C:C, ROW())/(INDEX(C:C, ROW())+INDEX(D:D, ROW())))</f>
        <v/>
      </c>
      <c r="F2113" s="1" t="inlineStr">
        <is>
          <t>Array, Binary Search, Dynamic Programming</t>
        </is>
      </c>
      <c r="G2113" s="1" t="inlineStr">
        <is>
          <t>Medium</t>
        </is>
      </c>
      <c r="H2113" s="1" t="n">
        <v>40785</v>
      </c>
      <c r="I2113" s="1" t="n">
        <v>72205</v>
      </c>
      <c r="J2113" s="9" t="n">
        <v>0.5649999999999999</v>
      </c>
      <c r="K2113" s="1" t="inlineStr">
        <is>
          <t>No</t>
        </is>
      </c>
      <c r="L2113" s="1" t="inlineStr">
        <is>
          <t>Yes</t>
        </is>
      </c>
      <c r="M2113" s="1" t="inlineStr">
        <is>
          <t>No</t>
        </is>
      </c>
      <c r="N2113" s="1" t="inlineStr">
        <is>
          <t>Algorithms</t>
        </is>
      </c>
      <c r="O21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14" ht="15.75" customHeight="1" s="12">
      <c r="A2114" s="1" t="n">
        <v>1927</v>
      </c>
      <c r="B2114" s="3">
        <f>HYPERLINK("https://leetcode.com/problems/sum-game/", "Sum Game")</f>
        <v/>
      </c>
      <c r="C2114" s="1" t="n">
        <v>539</v>
      </c>
      <c r="D2114" s="1" t="n">
        <v>91</v>
      </c>
      <c r="E2114" s="4">
        <f>IF(INDEX(C:C, ROW())+INDEX(D:D, ROW())=0, 0, INDEX(C:C, ROW())/(INDEX(C:C, ROW())+INDEX(D:D, ROW())))</f>
        <v/>
      </c>
      <c r="F2114" s="1" t="inlineStr">
        <is>
          <t>Math, String, Greedy, Game Theory</t>
        </is>
      </c>
      <c r="G2114" s="1" t="inlineStr">
        <is>
          <t>Medium</t>
        </is>
      </c>
      <c r="H2114" s="1" t="n">
        <v>16217</v>
      </c>
      <c r="I2114" s="1" t="n">
        <v>32775</v>
      </c>
      <c r="J2114" s="9" t="n">
        <v>0.495</v>
      </c>
      <c r="K2114" s="1" t="inlineStr">
        <is>
          <t>Yes</t>
        </is>
      </c>
      <c r="L2114" s="1" t="inlineStr">
        <is>
          <t>No</t>
        </is>
      </c>
      <c r="M2114" s="1" t="inlineStr">
        <is>
          <t>No</t>
        </is>
      </c>
      <c r="N2114" s="1" t="inlineStr">
        <is>
          <t>Algorithms</t>
        </is>
      </c>
      <c r="O21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15" ht="15.75" customHeight="1" s="12">
      <c r="A2115" s="1" t="n">
        <v>2267</v>
      </c>
      <c r="B2115" s="3">
        <f>HYPERLINK("https://leetcode.com/problems/check-if-there-is-a-valid-parentheses-string-path/", " Check if There Is a Valid Parentheses String Path")</f>
        <v/>
      </c>
      <c r="C2115" s="1" t="n">
        <v>539</v>
      </c>
      <c r="D2115" s="1" t="n">
        <v>9</v>
      </c>
      <c r="E2115" s="4">
        <f>IF(INDEX(C:C, ROW())+INDEX(D:D, ROW())=0, 0, INDEX(C:C, ROW())/(INDEX(C:C, ROW())+INDEX(D:D, ROW())))</f>
        <v/>
      </c>
      <c r="F2115" s="1" t="inlineStr">
        <is>
          <t>Array, Dynamic Programming, Matrix</t>
        </is>
      </c>
      <c r="G2115" s="1" t="inlineStr">
        <is>
          <t>Hard</t>
        </is>
      </c>
      <c r="H2115" s="1" t="n">
        <v>19708</v>
      </c>
      <c r="I2115" s="1" t="n">
        <v>49226</v>
      </c>
      <c r="J2115" s="9" t="n">
        <v>0.4</v>
      </c>
      <c r="K2115" s="1" t="inlineStr">
        <is>
          <t>Yes</t>
        </is>
      </c>
      <c r="L2115" s="1" t="inlineStr">
        <is>
          <t>No</t>
        </is>
      </c>
      <c r="M2115" s="1" t="inlineStr">
        <is>
          <t>No</t>
        </is>
      </c>
      <c r="N2115" s="1" t="inlineStr">
        <is>
          <t>Algorithms</t>
        </is>
      </c>
      <c r="O21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16" ht="15.75" customHeight="1" s="12">
      <c r="A2116" s="1" t="n">
        <v>431</v>
      </c>
      <c r="B2116" s="3">
        <f>HYPERLINK("https://leetcode.com/problems/encode-n-ary-tree-to-binary-tree/", "Encode N-ary Tree to Binary Tree")</f>
        <v/>
      </c>
      <c r="C2116" s="1" t="n">
        <v>537</v>
      </c>
      <c r="D2116" s="1" t="n">
        <v>30</v>
      </c>
      <c r="E2116" s="4">
        <f>IF(INDEX(C:C, ROW())+INDEX(D:D, ROW())=0, 0, INDEX(C:C, ROW())/(INDEX(C:C, ROW())+INDEX(D:D, ROW())))</f>
        <v/>
      </c>
      <c r="F2116" s="1" t="inlineStr">
        <is>
          <t>Tree, Depth-First Search, Breadth-First Search, Design, Binary Tree</t>
        </is>
      </c>
      <c r="G2116" s="1" t="inlineStr">
        <is>
          <t>Hard</t>
        </is>
      </c>
      <c r="H2116" s="1" t="n">
        <v>24718</v>
      </c>
      <c r="I2116" s="1" t="n">
        <v>30721</v>
      </c>
      <c r="J2116" s="9" t="n">
        <v>0.805</v>
      </c>
      <c r="K2116" s="1" t="inlineStr">
        <is>
          <t>No</t>
        </is>
      </c>
      <c r="L2116" s="1" t="inlineStr">
        <is>
          <t>Yes</t>
        </is>
      </c>
      <c r="M2116" s="1" t="inlineStr">
        <is>
          <t>No</t>
        </is>
      </c>
      <c r="N2116" s="1" t="inlineStr">
        <is>
          <t>Algorithms</t>
        </is>
      </c>
      <c r="O21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17" ht="15.75" customHeight="1" s="12">
      <c r="A2117" s="1" t="n">
        <v>3264</v>
      </c>
      <c r="B2117" s="3">
        <f>HYPERLINK("https://leetcode.com/problems/final-array-state-after-k-multiplication-operations-i/", "Final Array State After K Multiplication Operations I")</f>
        <v/>
      </c>
      <c r="C2117" s="1" t="n">
        <v>537</v>
      </c>
      <c r="D2117" s="1" t="n">
        <v>13</v>
      </c>
      <c r="E2117" s="4">
        <f>IF(INDEX(C:C, ROW())+INDEX(D:D, ROW())=0, 0, INDEX(C:C, ROW())/(INDEX(C:C, ROW())+INDEX(D:D, ROW())))</f>
        <v/>
      </c>
      <c r="F2117" s="1" t="inlineStr">
        <is>
          <t>Array, Math, Heap (Priority Queue), Simulation</t>
        </is>
      </c>
      <c r="G2117" s="1" t="inlineStr">
        <is>
          <t>Easy</t>
        </is>
      </c>
      <c r="H2117" s="1" t="n">
        <v>199950</v>
      </c>
      <c r="I2117" s="1" t="n">
        <v>229973</v>
      </c>
      <c r="J2117" s="9" t="n">
        <v>0.869</v>
      </c>
      <c r="K2117" s="1" t="inlineStr">
        <is>
          <t>Yes</t>
        </is>
      </c>
      <c r="L2117" s="1" t="inlineStr">
        <is>
          <t>Yes</t>
        </is>
      </c>
      <c r="M2117" s="1" t="inlineStr">
        <is>
          <t>No</t>
        </is>
      </c>
      <c r="N2117" s="1" t="inlineStr">
        <is>
          <t>Algorithms</t>
        </is>
      </c>
      <c r="O21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18" ht="15.75" customHeight="1" s="12">
      <c r="A2118" s="1" t="n">
        <v>1274</v>
      </c>
      <c r="B2118" s="3">
        <f>HYPERLINK("https://leetcode.com/problems/number-of-ships-in-a-rectangle/", "Number of Ships in a Rectangle")</f>
        <v/>
      </c>
      <c r="C2118" s="1" t="n">
        <v>536</v>
      </c>
      <c r="D2118" s="1" t="n">
        <v>68</v>
      </c>
      <c r="E2118" s="4">
        <f>IF(INDEX(C:C, ROW())+INDEX(D:D, ROW())=0, 0, INDEX(C:C, ROW())/(INDEX(C:C, ROW())+INDEX(D:D, ROW())))</f>
        <v/>
      </c>
      <c r="F2118" s="1" t="inlineStr">
        <is>
          <t>Array, Divide and Conquer, Interactive</t>
        </is>
      </c>
      <c r="G2118" s="1" t="inlineStr">
        <is>
          <t>Hard</t>
        </is>
      </c>
      <c r="H2118" s="1" t="n">
        <v>33708</v>
      </c>
      <c r="I2118" s="1" t="n">
        <v>48947</v>
      </c>
      <c r="J2118" s="9" t="n">
        <v>0.6889999999999999</v>
      </c>
      <c r="K2118" s="1" t="inlineStr">
        <is>
          <t>No</t>
        </is>
      </c>
      <c r="L2118" s="1" t="inlineStr">
        <is>
          <t>Yes</t>
        </is>
      </c>
      <c r="M2118" s="1" t="inlineStr">
        <is>
          <t>No</t>
        </is>
      </c>
      <c r="N2118" s="1" t="inlineStr">
        <is>
          <t>Algorithms</t>
        </is>
      </c>
      <c r="O21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19" ht="15.75" customHeight="1" s="12">
      <c r="A2119" s="1" t="n">
        <v>1847</v>
      </c>
      <c r="B2119" s="3">
        <f>HYPERLINK("https://leetcode.com/problems/closest-room/", "Closest Room")</f>
        <v/>
      </c>
      <c r="C2119" s="1" t="n">
        <v>536</v>
      </c>
      <c r="D2119" s="1" t="n">
        <v>21</v>
      </c>
      <c r="E2119" s="4">
        <f>IF(INDEX(C:C, ROW())+INDEX(D:D, ROW())=0, 0, INDEX(C:C, ROW())/(INDEX(C:C, ROW())+INDEX(D:D, ROW())))</f>
        <v/>
      </c>
      <c r="F2119" s="1" t="inlineStr">
        <is>
          <t>Array, Binary Search, Sorting, Ordered Set</t>
        </is>
      </c>
      <c r="G2119" s="1" t="inlineStr">
        <is>
          <t>Hard</t>
        </is>
      </c>
      <c r="H2119" s="1" t="n">
        <v>12013</v>
      </c>
      <c r="I2119" s="1" t="n">
        <v>29395</v>
      </c>
      <c r="J2119" s="9" t="n">
        <v>0.409</v>
      </c>
      <c r="K2119" s="1" t="inlineStr">
        <is>
          <t>Yes</t>
        </is>
      </c>
      <c r="L2119" s="1" t="inlineStr">
        <is>
          <t>No</t>
        </is>
      </c>
      <c r="M2119" s="1" t="inlineStr">
        <is>
          <t>No</t>
        </is>
      </c>
      <c r="N2119" s="1" t="inlineStr">
        <is>
          <t>Algorithms</t>
        </is>
      </c>
      <c r="O21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20" ht="15.75" customHeight="1" s="12">
      <c r="A2120" s="1" t="n">
        <v>2731</v>
      </c>
      <c r="B2120" s="3">
        <f>HYPERLINK("https://leetcode.com/problems/movement-of-robots/", "Movement of Robots")</f>
        <v/>
      </c>
      <c r="C2120" s="1" t="n">
        <v>536</v>
      </c>
      <c r="D2120" s="1" t="n">
        <v>102</v>
      </c>
      <c r="E2120" s="4">
        <f>IF(INDEX(C:C, ROW())+INDEX(D:D, ROW())=0, 0, INDEX(C:C, ROW())/(INDEX(C:C, ROW())+INDEX(D:D, ROW())))</f>
        <v/>
      </c>
      <c r="F2120" s="1" t="inlineStr">
        <is>
          <t>Array, Brainteaser, Sorting, Prefix Sum</t>
        </is>
      </c>
      <c r="G2120" s="1" t="inlineStr">
        <is>
          <t>Medium</t>
        </is>
      </c>
      <c r="H2120" s="1" t="n">
        <v>17898</v>
      </c>
      <c r="I2120" s="1" t="n">
        <v>64501</v>
      </c>
      <c r="J2120" s="9" t="n">
        <v>0.277</v>
      </c>
      <c r="K2120" s="1" t="inlineStr">
        <is>
          <t>Yes</t>
        </is>
      </c>
      <c r="L2120" s="1" t="inlineStr">
        <is>
          <t>No</t>
        </is>
      </c>
      <c r="M2120" s="1" t="inlineStr">
        <is>
          <t>No</t>
        </is>
      </c>
      <c r="N2120" s="1" t="inlineStr">
        <is>
          <t>Algorithms</t>
        </is>
      </c>
      <c r="O21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21" ht="15.75" customHeight="1" s="12">
      <c r="A2121" s="1" t="n">
        <v>1738</v>
      </c>
      <c r="B2121" s="3">
        <f>HYPERLINK("https://leetcode.com/problems/find-kth-largest-xor-coordinate-value/", "Find Kth Largest XOR Coordinate Value")</f>
        <v/>
      </c>
      <c r="C2121" s="1" t="n">
        <v>535</v>
      </c>
      <c r="D2121" s="1" t="n">
        <v>84</v>
      </c>
      <c r="E2121" s="4">
        <f>IF(INDEX(C:C, ROW())+INDEX(D:D, ROW())=0, 0, INDEX(C:C, ROW())/(INDEX(C:C, ROW())+INDEX(D:D, ROW())))</f>
        <v/>
      </c>
      <c r="F2121" s="1" t="inlineStr">
        <is>
          <t>Array, Divide and Conquer, Bit Manipulation, Sorting, Heap (Priority Queue), Matrix, Prefix Sum, Quickselect</t>
        </is>
      </c>
      <c r="G2121" s="1" t="inlineStr">
        <is>
          <t>Medium</t>
        </is>
      </c>
      <c r="H2121" s="1" t="n">
        <v>29668</v>
      </c>
      <c r="I2121" s="1" t="n">
        <v>46309</v>
      </c>
      <c r="J2121" s="9" t="n">
        <v>0.641</v>
      </c>
      <c r="K2121" s="1" t="inlineStr">
        <is>
          <t>Yes</t>
        </is>
      </c>
      <c r="L2121" s="1" t="inlineStr">
        <is>
          <t>No</t>
        </is>
      </c>
      <c r="M2121" s="1" t="inlineStr">
        <is>
          <t>No</t>
        </is>
      </c>
      <c r="N2121" s="1" t="inlineStr">
        <is>
          <t>Algorithms</t>
        </is>
      </c>
      <c r="O21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22" ht="15.75" customHeight="1" s="12">
      <c r="A2122" s="1" t="n">
        <v>1977</v>
      </c>
      <c r="B2122" s="3">
        <f>HYPERLINK("https://leetcode.com/problems/number-of-ways-to-separate-numbers/", "Number of Ways to Separate Numbers")</f>
        <v/>
      </c>
      <c r="C2122" s="1" t="n">
        <v>535</v>
      </c>
      <c r="D2122" s="1" t="n">
        <v>60</v>
      </c>
      <c r="E2122" s="4">
        <f>IF(INDEX(C:C, ROW())+INDEX(D:D, ROW())=0, 0, INDEX(C:C, ROW())/(INDEX(C:C, ROW())+INDEX(D:D, ROW())))</f>
        <v/>
      </c>
      <c r="F2122" s="1" t="inlineStr">
        <is>
          <t>String, Dynamic Programming, Suffix Array</t>
        </is>
      </c>
      <c r="G2122" s="1" t="inlineStr">
        <is>
          <t>Hard</t>
        </is>
      </c>
      <c r="H2122" s="1" t="n">
        <v>8325</v>
      </c>
      <c r="I2122" s="1" t="n">
        <v>38643</v>
      </c>
      <c r="J2122" s="9" t="n">
        <v>0.215</v>
      </c>
      <c r="K2122" s="1" t="inlineStr">
        <is>
          <t>Yes</t>
        </is>
      </c>
      <c r="L2122" s="1" t="inlineStr">
        <is>
          <t>No</t>
        </is>
      </c>
      <c r="M2122" s="1" t="inlineStr">
        <is>
          <t>No</t>
        </is>
      </c>
      <c r="N2122" s="1" t="inlineStr">
        <is>
          <t>Algorithms</t>
        </is>
      </c>
      <c r="O21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23" ht="15.75" customHeight="1" s="12">
      <c r="A2123" s="1" t="n">
        <v>1943</v>
      </c>
      <c r="B2123" s="3">
        <f>HYPERLINK("https://leetcode.com/problems/describe-the-painting/", "Describe the Painting")</f>
        <v/>
      </c>
      <c r="C2123" s="1" t="n">
        <v>534</v>
      </c>
      <c r="D2123" s="1" t="n">
        <v>50</v>
      </c>
      <c r="E2123" s="4">
        <f>IF(INDEX(C:C, ROW())+INDEX(D:D, ROW())=0, 0, INDEX(C:C, ROW())/(INDEX(C:C, ROW())+INDEX(D:D, ROW())))</f>
        <v/>
      </c>
      <c r="F2123" s="1" t="inlineStr">
        <is>
          <t>Array, Hash Table, Sorting, Prefix Sum</t>
        </is>
      </c>
      <c r="G2123" s="1" t="inlineStr">
        <is>
          <t>Medium</t>
        </is>
      </c>
      <c r="H2123" s="1" t="n">
        <v>18373</v>
      </c>
      <c r="I2123" s="1" t="n">
        <v>35705</v>
      </c>
      <c r="J2123" s="9" t="n">
        <v>0.515</v>
      </c>
      <c r="K2123" s="1" t="inlineStr">
        <is>
          <t>Yes</t>
        </is>
      </c>
      <c r="L2123" s="1" t="inlineStr">
        <is>
          <t>No</t>
        </is>
      </c>
      <c r="M2123" s="1" t="inlineStr">
        <is>
          <t>No</t>
        </is>
      </c>
      <c r="N2123" s="1" t="inlineStr">
        <is>
          <t>Algorithms</t>
        </is>
      </c>
      <c r="O21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24" ht="15.75" customHeight="1" s="12">
      <c r="A2124" s="1" t="n">
        <v>3341</v>
      </c>
      <c r="B2124" s="3">
        <f>HYPERLINK("https://leetcode.com/problems/find-minimum-time-to-reach-last-room-i/", "Find Minimum Time to Reach Last Room I")</f>
        <v/>
      </c>
      <c r="C2124" s="1" t="n">
        <v>534</v>
      </c>
      <c r="D2124" s="1" t="n">
        <v>172</v>
      </c>
      <c r="E2124" s="4">
        <f>IF(INDEX(C:C, ROW())+INDEX(D:D, ROW())=0, 0, INDEX(C:C, ROW())/(INDEX(C:C, ROW())+INDEX(D:D, ROW())))</f>
        <v/>
      </c>
      <c r="F2124" s="1" t="inlineStr">
        <is>
          <t>Array, Graph Theory, Heap (Priority Queue), Matrix, Shortest Path</t>
        </is>
      </c>
      <c r="G2124" s="1" t="inlineStr">
        <is>
          <t>Medium</t>
        </is>
      </c>
      <c r="H2124" s="1" t="n">
        <v>114239</v>
      </c>
      <c r="I2124" s="1" t="n">
        <v>205850</v>
      </c>
      <c r="J2124" s="9" t="n">
        <v>0.555</v>
      </c>
      <c r="K2124" s="1" t="inlineStr">
        <is>
          <t>Yes</t>
        </is>
      </c>
      <c r="L2124" s="1" t="inlineStr">
        <is>
          <t>Yes</t>
        </is>
      </c>
      <c r="M2124" s="1" t="inlineStr">
        <is>
          <t>No</t>
        </is>
      </c>
      <c r="N2124" s="1" t="inlineStr">
        <is>
          <t>Algorithms</t>
        </is>
      </c>
      <c r="O21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25" ht="15.75" customHeight="1" s="12">
      <c r="A2125" s="1" t="n">
        <v>2146</v>
      </c>
      <c r="B2125" s="3">
        <f>HYPERLINK("https://leetcode.com/problems/k-highest-ranked-items-within-a-price-range/", "K Highest Ranked Items Within a Price Range")</f>
        <v/>
      </c>
      <c r="C2125" s="1" t="n">
        <v>532</v>
      </c>
      <c r="D2125" s="1" t="n">
        <v>167</v>
      </c>
      <c r="E2125" s="4">
        <f>IF(INDEX(C:C, ROW())+INDEX(D:D, ROW())=0, 0, INDEX(C:C, ROW())/(INDEX(C:C, ROW())+INDEX(D:D, ROW())))</f>
        <v/>
      </c>
      <c r="F2125" s="1" t="inlineStr">
        <is>
          <t>Array, Breadth-First Search, Sorting, Heap (Priority Queue), Matrix</t>
        </is>
      </c>
      <c r="G2125" s="1" t="inlineStr">
        <is>
          <t>Medium</t>
        </is>
      </c>
      <c r="H2125" s="1" t="n">
        <v>21031</v>
      </c>
      <c r="I2125" s="1" t="n">
        <v>45502</v>
      </c>
      <c r="J2125" s="9" t="n">
        <v>0.462</v>
      </c>
      <c r="K2125" s="1" t="inlineStr">
        <is>
          <t>Yes</t>
        </is>
      </c>
      <c r="L2125" s="1" t="inlineStr">
        <is>
          <t>No</t>
        </is>
      </c>
      <c r="M2125" s="1" t="inlineStr">
        <is>
          <t>No</t>
        </is>
      </c>
      <c r="N2125" s="1" t="inlineStr">
        <is>
          <t>Algorithms</t>
        </is>
      </c>
      <c r="O21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26" ht="15.75" customHeight="1" s="12">
      <c r="A2126" s="1" t="n">
        <v>2155</v>
      </c>
      <c r="B2126" s="3">
        <f>HYPERLINK("https://leetcode.com/problems/all-divisions-with-the-highest-score-of-a-binary-array/", "All Divisions With the Highest Score of a Binary Array")</f>
        <v/>
      </c>
      <c r="C2126" s="1" t="n">
        <v>532</v>
      </c>
      <c r="D2126" s="1" t="n">
        <v>17</v>
      </c>
      <c r="E2126" s="4">
        <f>IF(INDEX(C:C, ROW())+INDEX(D:D, ROW())=0, 0, INDEX(C:C, ROW())/(INDEX(C:C, ROW())+INDEX(D:D, ROW())))</f>
        <v/>
      </c>
      <c r="F2126" s="1" t="inlineStr">
        <is>
          <t>Array</t>
        </is>
      </c>
      <c r="G2126" s="1" t="inlineStr">
        <is>
          <t>Medium</t>
        </is>
      </c>
      <c r="H2126" s="1" t="n">
        <v>35760</v>
      </c>
      <c r="I2126" s="1" t="n">
        <v>54850</v>
      </c>
      <c r="J2126" s="9" t="n">
        <v>0.652</v>
      </c>
      <c r="K2126" s="1" t="inlineStr">
        <is>
          <t>Yes</t>
        </is>
      </c>
      <c r="L2126" s="1" t="inlineStr">
        <is>
          <t>No</t>
        </is>
      </c>
      <c r="M2126" s="1" t="inlineStr">
        <is>
          <t>No</t>
        </is>
      </c>
      <c r="N2126" s="1" t="inlineStr">
        <is>
          <t>Algorithms</t>
        </is>
      </c>
      <c r="O21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27" ht="15.75" customHeight="1" s="12">
      <c r="A2127" s="1" t="n">
        <v>2151</v>
      </c>
      <c r="B2127" s="3">
        <f>HYPERLINK("https://leetcode.com/problems/maximum-good-people-based-on-statements/", "Maximum Good People Based on Statements")</f>
        <v/>
      </c>
      <c r="C2127" s="1" t="n">
        <v>531</v>
      </c>
      <c r="D2127" s="1" t="n">
        <v>83</v>
      </c>
      <c r="E2127" s="4">
        <f>IF(INDEX(C:C, ROW())+INDEX(D:D, ROW())=0, 0, INDEX(C:C, ROW())/(INDEX(C:C, ROW())+INDEX(D:D, ROW())))</f>
        <v/>
      </c>
      <c r="F2127" s="1" t="inlineStr">
        <is>
          <t>Array, Backtracking, Bit Manipulation, Enumeration</t>
        </is>
      </c>
      <c r="G2127" s="1" t="inlineStr">
        <is>
          <t>Hard</t>
        </is>
      </c>
      <c r="H2127" s="1" t="n">
        <v>16724</v>
      </c>
      <c r="I2127" s="1" t="n">
        <v>32132</v>
      </c>
      <c r="J2127" s="9" t="n">
        <v>0.52</v>
      </c>
      <c r="K2127" s="1" t="inlineStr">
        <is>
          <t>Yes</t>
        </is>
      </c>
      <c r="L2127" s="1" t="inlineStr">
        <is>
          <t>No</t>
        </is>
      </c>
      <c r="M2127" s="1" t="inlineStr">
        <is>
          <t>No</t>
        </is>
      </c>
      <c r="N2127" s="1" t="inlineStr">
        <is>
          <t>Algorithms</t>
        </is>
      </c>
      <c r="O21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28" ht="15.75" customHeight="1" s="12">
      <c r="A2128" s="1" t="n">
        <v>2446</v>
      </c>
      <c r="B2128" s="3">
        <f>HYPERLINK("https://leetcode.com/problems/determine-if-two-events-have-conflict/", "Determine if Two Events Have Conflict")</f>
        <v/>
      </c>
      <c r="C2128" s="1" t="n">
        <v>531</v>
      </c>
      <c r="D2128" s="1" t="n">
        <v>71</v>
      </c>
      <c r="E2128" s="4">
        <f>IF(INDEX(C:C, ROW())+INDEX(D:D, ROW())=0, 0, INDEX(C:C, ROW())/(INDEX(C:C, ROW())+INDEX(D:D, ROW())))</f>
        <v/>
      </c>
      <c r="F2128" s="1" t="inlineStr">
        <is>
          <t>Array, String</t>
        </is>
      </c>
      <c r="G2128" s="1" t="inlineStr">
        <is>
          <t>Easy</t>
        </is>
      </c>
      <c r="H2128" s="1" t="n">
        <v>62224</v>
      </c>
      <c r="I2128" s="1" t="n">
        <v>117527</v>
      </c>
      <c r="J2128" s="9" t="n">
        <v>0.529</v>
      </c>
      <c r="K2128" s="1" t="inlineStr">
        <is>
          <t>Yes</t>
        </is>
      </c>
      <c r="L2128" s="1" t="inlineStr">
        <is>
          <t>No</t>
        </is>
      </c>
      <c r="M2128" s="1" t="inlineStr">
        <is>
          <t>No</t>
        </is>
      </c>
      <c r="N2128" s="1" t="inlineStr">
        <is>
          <t>Algorithms</t>
        </is>
      </c>
      <c r="O21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29" ht="15.75" customHeight="1" s="12">
      <c r="A2129" s="1" t="n">
        <v>2476</v>
      </c>
      <c r="B2129" s="3">
        <f>HYPERLINK("https://leetcode.com/problems/closest-nodes-queries-in-a-binary-search-tree/", "Closest Nodes Queries in a Binary Search Tree")</f>
        <v/>
      </c>
      <c r="C2129" s="1" t="n">
        <v>531</v>
      </c>
      <c r="D2129" s="1" t="n">
        <v>142</v>
      </c>
      <c r="E2129" s="4">
        <f>IF(INDEX(C:C, ROW())+INDEX(D:D, ROW())=0, 0, INDEX(C:C, ROW())/(INDEX(C:C, ROW())+INDEX(D:D, ROW())))</f>
        <v/>
      </c>
      <c r="F2129" s="1" t="inlineStr">
        <is>
          <t>Array, Binary Search, Tree, Depth-First Search, Binary Search Tree, Binary Tree</t>
        </is>
      </c>
      <c r="G2129" s="1" t="inlineStr">
        <is>
          <t>Medium</t>
        </is>
      </c>
      <c r="H2129" s="1" t="n">
        <v>37020</v>
      </c>
      <c r="I2129" s="1" t="n">
        <v>84357</v>
      </c>
      <c r="J2129" s="9" t="n">
        <v>0.439</v>
      </c>
      <c r="K2129" s="1" t="inlineStr">
        <is>
          <t>Yes</t>
        </is>
      </c>
      <c r="L2129" s="1" t="inlineStr">
        <is>
          <t>No</t>
        </is>
      </c>
      <c r="M2129" s="1" t="inlineStr">
        <is>
          <t>No</t>
        </is>
      </c>
      <c r="N2129" s="1" t="inlineStr">
        <is>
          <t>Algorithms</t>
        </is>
      </c>
      <c r="O21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30" ht="15.75" customHeight="1" s="12">
      <c r="A2130" s="1" t="n">
        <v>2786</v>
      </c>
      <c r="B2130" s="3">
        <f>HYPERLINK("https://leetcode.com/problems/visit-array-positions-to-maximize-score/", "Visit Array Positions to Maximize Score")</f>
        <v/>
      </c>
      <c r="C2130" s="1" t="n">
        <v>531</v>
      </c>
      <c r="D2130" s="1" t="n">
        <v>33</v>
      </c>
      <c r="E2130" s="4">
        <f>IF(INDEX(C:C, ROW())+INDEX(D:D, ROW())=0, 0, INDEX(C:C, ROW())/(INDEX(C:C, ROW())+INDEX(D:D, ROW())))</f>
        <v/>
      </c>
      <c r="F2130" s="1" t="inlineStr">
        <is>
          <t>Array, Dynamic Programming</t>
        </is>
      </c>
      <c r="G2130" s="1" t="inlineStr">
        <is>
          <t>Medium</t>
        </is>
      </c>
      <c r="H2130" s="1" t="n">
        <v>24260</v>
      </c>
      <c r="I2130" s="1" t="n">
        <v>64981</v>
      </c>
      <c r="J2130" s="9" t="n">
        <v>0.373</v>
      </c>
      <c r="K2130" s="1" t="inlineStr">
        <is>
          <t>Yes</t>
        </is>
      </c>
      <c r="L2130" s="1" t="inlineStr">
        <is>
          <t>No</t>
        </is>
      </c>
      <c r="M2130" s="1" t="inlineStr">
        <is>
          <t>No</t>
        </is>
      </c>
      <c r="N2130" s="1" t="inlineStr">
        <is>
          <t>Algorithms</t>
        </is>
      </c>
      <c r="O21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31" ht="15.75" customHeight="1" s="12">
      <c r="A2131" s="1" t="n">
        <v>2207</v>
      </c>
      <c r="B2131" s="3">
        <f>HYPERLINK("https://leetcode.com/problems/maximize-number-of-subsequences-in-a-string/", "Maximize Number of Subsequences in a String")</f>
        <v/>
      </c>
      <c r="C2131" s="1" t="n">
        <v>529</v>
      </c>
      <c r="D2131" s="1" t="n">
        <v>35</v>
      </c>
      <c r="E2131" s="4">
        <f>IF(INDEX(C:C, ROW())+INDEX(D:D, ROW())=0, 0, INDEX(C:C, ROW())/(INDEX(C:C, ROW())+INDEX(D:D, ROW())))</f>
        <v/>
      </c>
      <c r="F2131" s="1" t="inlineStr">
        <is>
          <t>String, Greedy, Prefix Sum</t>
        </is>
      </c>
      <c r="G2131" s="1" t="inlineStr">
        <is>
          <t>Medium</t>
        </is>
      </c>
      <c r="H2131" s="1" t="n">
        <v>24035</v>
      </c>
      <c r="I2131" s="1" t="n">
        <v>67146</v>
      </c>
      <c r="J2131" s="9" t="n">
        <v>0.358</v>
      </c>
      <c r="K2131" s="1" t="inlineStr">
        <is>
          <t>Yes</t>
        </is>
      </c>
      <c r="L2131" s="1" t="inlineStr">
        <is>
          <t>No</t>
        </is>
      </c>
      <c r="M2131" s="1" t="inlineStr">
        <is>
          <t>No</t>
        </is>
      </c>
      <c r="N2131" s="1" t="inlineStr">
        <is>
          <t>Algorithms</t>
        </is>
      </c>
      <c r="O21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32" ht="15.75" customHeight="1" s="12">
      <c r="A2132" s="1" t="n">
        <v>1702</v>
      </c>
      <c r="B2132" s="3">
        <f>HYPERLINK("https://leetcode.com/problems/maximum-binary-string-after-change/", "Maximum Binary String After Change")</f>
        <v/>
      </c>
      <c r="C2132" s="1" t="n">
        <v>528</v>
      </c>
      <c r="D2132" s="1" t="n">
        <v>63</v>
      </c>
      <c r="E2132" s="4">
        <f>IF(INDEX(C:C, ROW())+INDEX(D:D, ROW())=0, 0, INDEX(C:C, ROW())/(INDEX(C:C, ROW())+INDEX(D:D, ROW())))</f>
        <v/>
      </c>
      <c r="F2132" s="1" t="inlineStr">
        <is>
          <t>String, Greedy</t>
        </is>
      </c>
      <c r="G2132" s="1" t="inlineStr">
        <is>
          <t>Medium</t>
        </is>
      </c>
      <c r="H2132" s="1" t="n">
        <v>17416</v>
      </c>
      <c r="I2132" s="1" t="n">
        <v>36378</v>
      </c>
      <c r="J2132" s="9" t="n">
        <v>0.479</v>
      </c>
      <c r="K2132" s="1" t="inlineStr">
        <is>
          <t>Yes</t>
        </is>
      </c>
      <c r="L2132" s="1" t="inlineStr">
        <is>
          <t>No</t>
        </is>
      </c>
      <c r="M2132" s="1" t="inlineStr">
        <is>
          <t>No</t>
        </is>
      </c>
      <c r="N2132" s="1" t="inlineStr">
        <is>
          <t>Algorithms</t>
        </is>
      </c>
      <c r="O21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33" ht="15.75" customHeight="1" s="12">
      <c r="A2133" s="1" t="n">
        <v>1998</v>
      </c>
      <c r="B2133" s="3">
        <f>HYPERLINK("https://leetcode.com/problems/gcd-sort-of-an-array/", "GCD Sort of an Array")</f>
        <v/>
      </c>
      <c r="C2133" s="1" t="n">
        <v>528</v>
      </c>
      <c r="D2133" s="1" t="n">
        <v>15</v>
      </c>
      <c r="E2133" s="4">
        <f>IF(INDEX(C:C, ROW())+INDEX(D:D, ROW())=0, 0, INDEX(C:C, ROW())/(INDEX(C:C, ROW())+INDEX(D:D, ROW())))</f>
        <v/>
      </c>
      <c r="F2133" s="1" t="inlineStr">
        <is>
          <t>Array, Math, Union-Find, Sorting, Number Theory</t>
        </is>
      </c>
      <c r="G2133" s="1" t="inlineStr">
        <is>
          <t>Hard</t>
        </is>
      </c>
      <c r="H2133" s="1" t="n">
        <v>13434</v>
      </c>
      <c r="I2133" s="1" t="n">
        <v>27862</v>
      </c>
      <c r="J2133" s="9" t="n">
        <v>0.482</v>
      </c>
      <c r="K2133" s="1" t="inlineStr">
        <is>
          <t>Yes</t>
        </is>
      </c>
      <c r="L2133" s="1" t="inlineStr">
        <is>
          <t>No</t>
        </is>
      </c>
      <c r="M2133" s="1" t="inlineStr">
        <is>
          <t>No</t>
        </is>
      </c>
      <c r="N2133" s="1" t="inlineStr">
        <is>
          <t>Algorithms</t>
        </is>
      </c>
      <c r="O21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34" ht="15.75" customHeight="1" s="12">
      <c r="A2134" s="1" t="n">
        <v>2332</v>
      </c>
      <c r="B2134" s="3">
        <f>HYPERLINK("https://leetcode.com/problems/the-latest-time-to-catch-a-bus/", "The Latest Time to Catch a Bus")</f>
        <v/>
      </c>
      <c r="C2134" s="1" t="n">
        <v>528</v>
      </c>
      <c r="D2134" s="1" t="n">
        <v>796</v>
      </c>
      <c r="E2134" s="4">
        <f>IF(INDEX(C:C, ROW())+INDEX(D:D, ROW())=0, 0, INDEX(C:C, ROW())/(INDEX(C:C, ROW())+INDEX(D:D, ROW())))</f>
        <v/>
      </c>
      <c r="F2134" s="1" t="inlineStr">
        <is>
          <t>Array, Two Pointers, Binary Search, Sorting</t>
        </is>
      </c>
      <c r="G2134" s="1" t="inlineStr">
        <is>
          <t>Medium</t>
        </is>
      </c>
      <c r="H2134" s="1" t="n">
        <v>34393</v>
      </c>
      <c r="I2134" s="1" t="n">
        <v>115757</v>
      </c>
      <c r="J2134" s="9" t="n">
        <v>0.297</v>
      </c>
      <c r="K2134" s="1" t="inlineStr">
        <is>
          <t>Yes</t>
        </is>
      </c>
      <c r="L2134" s="1" t="inlineStr">
        <is>
          <t>No</t>
        </is>
      </c>
      <c r="M2134" s="1" t="inlineStr">
        <is>
          <t>No</t>
        </is>
      </c>
      <c r="N2134" s="1" t="inlineStr">
        <is>
          <t>Algorithms</t>
        </is>
      </c>
      <c r="O21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35" ht="15.75" customHeight="1" s="12">
      <c r="A2135" s="1" t="n">
        <v>2811</v>
      </c>
      <c r="B2135" s="3">
        <f>HYPERLINK("https://leetcode.com/problems/check-if-it-is-possible-to-split-array/", "Check if it is Possible to Split Array")</f>
        <v/>
      </c>
      <c r="C2135" s="1" t="n">
        <v>528</v>
      </c>
      <c r="D2135" s="1" t="n">
        <v>105</v>
      </c>
      <c r="E2135" s="4">
        <f>IF(INDEX(C:C, ROW())+INDEX(D:D, ROW())=0, 0, INDEX(C:C, ROW())/(INDEX(C:C, ROW())+INDEX(D:D, ROW())))</f>
        <v/>
      </c>
      <c r="F2135" s="1" t="inlineStr">
        <is>
          <t>Array, Dynamic Programming, Greedy</t>
        </is>
      </c>
      <c r="G2135" s="1" t="inlineStr">
        <is>
          <t>Medium</t>
        </is>
      </c>
      <c r="H2135" s="1" t="n">
        <v>33124</v>
      </c>
      <c r="I2135" s="1" t="n">
        <v>96329</v>
      </c>
      <c r="J2135" s="9" t="n">
        <v>0.344</v>
      </c>
      <c r="K2135" s="1" t="inlineStr">
        <is>
          <t>Yes</t>
        </is>
      </c>
      <c r="L2135" s="1" t="inlineStr">
        <is>
          <t>No</t>
        </is>
      </c>
      <c r="M2135" s="1" t="inlineStr">
        <is>
          <t>No</t>
        </is>
      </c>
      <c r="N2135" s="1" t="inlineStr">
        <is>
          <t>Algorithms</t>
        </is>
      </c>
      <c r="O21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36" ht="15.75" customHeight="1" s="12">
      <c r="A2136" s="1" t="n">
        <v>1397</v>
      </c>
      <c r="B2136" s="3">
        <f>HYPERLINK("https://leetcode.com/problems/find-all-good-strings/", "Find All Good Strings")</f>
        <v/>
      </c>
      <c r="C2136" s="1" t="n">
        <v>527</v>
      </c>
      <c r="D2136" s="1" t="n">
        <v>130</v>
      </c>
      <c r="E2136" s="4">
        <f>IF(INDEX(C:C, ROW())+INDEX(D:D, ROW())=0, 0, INDEX(C:C, ROW())/(INDEX(C:C, ROW())+INDEX(D:D, ROW())))</f>
        <v/>
      </c>
      <c r="F2136" s="1" t="inlineStr">
        <is>
          <t>String, Dynamic Programming, String Matching</t>
        </is>
      </c>
      <c r="G2136" s="1" t="inlineStr">
        <is>
          <t>Hard</t>
        </is>
      </c>
      <c r="H2136" s="1" t="n">
        <v>8952</v>
      </c>
      <c r="I2136" s="1" t="n">
        <v>19983</v>
      </c>
      <c r="J2136" s="9" t="n">
        <v>0.448</v>
      </c>
      <c r="K2136" s="1" t="inlineStr">
        <is>
          <t>Yes</t>
        </is>
      </c>
      <c r="L2136" s="1" t="inlineStr">
        <is>
          <t>No</t>
        </is>
      </c>
      <c r="M2136" s="1" t="inlineStr">
        <is>
          <t>No</t>
        </is>
      </c>
      <c r="N2136" s="1" t="inlineStr">
        <is>
          <t>Algorithms</t>
        </is>
      </c>
      <c r="O21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37" ht="15.75" customHeight="1" s="12">
      <c r="A2137" s="1" t="n">
        <v>1078</v>
      </c>
      <c r="B2137" s="3">
        <f>HYPERLINK("https://leetcode.com/problems/occurrences-after-bigram/", "Occurrences After Bigram")</f>
        <v/>
      </c>
      <c r="C2137" s="1" t="n">
        <v>526</v>
      </c>
      <c r="D2137" s="1" t="n">
        <v>371</v>
      </c>
      <c r="E2137" s="4">
        <f>IF(INDEX(C:C, ROW())+INDEX(D:D, ROW())=0, 0, INDEX(C:C, ROW())/(INDEX(C:C, ROW())+INDEX(D:D, ROW())))</f>
        <v/>
      </c>
      <c r="F2137" s="1" t="inlineStr">
        <is>
          <t>String</t>
        </is>
      </c>
      <c r="G2137" s="1" t="inlineStr">
        <is>
          <t>Easy</t>
        </is>
      </c>
      <c r="H2137" s="1" t="n">
        <v>88869</v>
      </c>
      <c r="I2137" s="1" t="n">
        <v>139256</v>
      </c>
      <c r="J2137" s="9" t="n">
        <v>0.638</v>
      </c>
      <c r="K2137" s="1" t="inlineStr">
        <is>
          <t>Yes</t>
        </is>
      </c>
      <c r="L2137" s="1" t="inlineStr">
        <is>
          <t>No</t>
        </is>
      </c>
      <c r="M2137" s="1" t="inlineStr">
        <is>
          <t>No</t>
        </is>
      </c>
      <c r="N2137" s="1" t="inlineStr">
        <is>
          <t>Algorithms</t>
        </is>
      </c>
      <c r="O21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38" ht="15.75" customHeight="1" s="12">
      <c r="A2138" s="1" t="n">
        <v>1374</v>
      </c>
      <c r="B2138" s="3">
        <f>HYPERLINK("https://leetcode.com/problems/generate-a-string-with-characters-that-have-odd-counts/", "Generate a String With Characters That Have Odd Counts")</f>
        <v/>
      </c>
      <c r="C2138" s="1" t="n">
        <v>526</v>
      </c>
      <c r="D2138" s="1" t="n">
        <v>1286</v>
      </c>
      <c r="E2138" s="4">
        <f>IF(INDEX(C:C, ROW())+INDEX(D:D, ROW())=0, 0, INDEX(C:C, ROW())/(INDEX(C:C, ROW())+INDEX(D:D, ROW())))</f>
        <v/>
      </c>
      <c r="F2138" s="1" t="inlineStr">
        <is>
          <t>String</t>
        </is>
      </c>
      <c r="G2138" s="1" t="inlineStr">
        <is>
          <t>Easy</t>
        </is>
      </c>
      <c r="H2138" s="1" t="n">
        <v>111850</v>
      </c>
      <c r="I2138" s="1" t="n">
        <v>142637</v>
      </c>
      <c r="J2138" s="9" t="n">
        <v>0.784</v>
      </c>
      <c r="K2138" s="1" t="inlineStr">
        <is>
          <t>Yes</t>
        </is>
      </c>
      <c r="L2138" s="1" t="inlineStr">
        <is>
          <t>No</t>
        </is>
      </c>
      <c r="M2138" s="1" t="inlineStr">
        <is>
          <t>No</t>
        </is>
      </c>
      <c r="N2138" s="1" t="inlineStr">
        <is>
          <t>Algorithms</t>
        </is>
      </c>
      <c r="O21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39" ht="15.75" customHeight="1" s="12">
      <c r="A2139" s="1" t="n">
        <v>1619</v>
      </c>
      <c r="B2139" s="3">
        <f>HYPERLINK("https://leetcode.com/problems/mean-of-array-after-removing-some-elements/", "Mean of Array After Removing Some Elements")</f>
        <v/>
      </c>
      <c r="C2139" s="1" t="n">
        <v>526</v>
      </c>
      <c r="D2139" s="1" t="n">
        <v>134</v>
      </c>
      <c r="E2139" s="4">
        <f>IF(INDEX(C:C, ROW())+INDEX(D:D, ROW())=0, 0, INDEX(C:C, ROW())/(INDEX(C:C, ROW())+INDEX(D:D, ROW())))</f>
        <v/>
      </c>
      <c r="F2139" s="1" t="inlineStr">
        <is>
          <t>Array, Sorting</t>
        </is>
      </c>
      <c r="G2139" s="1" t="inlineStr">
        <is>
          <t>Easy</t>
        </is>
      </c>
      <c r="H2139" s="1" t="n">
        <v>81847</v>
      </c>
      <c r="I2139" s="1" t="n">
        <v>114747</v>
      </c>
      <c r="J2139" s="9" t="n">
        <v>0.713</v>
      </c>
      <c r="K2139" s="1" t="inlineStr">
        <is>
          <t>Yes</t>
        </is>
      </c>
      <c r="L2139" s="1" t="inlineStr">
        <is>
          <t>No</t>
        </is>
      </c>
      <c r="M2139" s="1" t="inlineStr">
        <is>
          <t>No</t>
        </is>
      </c>
      <c r="N2139" s="1" t="inlineStr">
        <is>
          <t>Algorithms</t>
        </is>
      </c>
      <c r="O21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40" ht="15.75" customHeight="1" s="12">
      <c r="A2140" s="1" t="n">
        <v>3100</v>
      </c>
      <c r="B2140" s="3">
        <f>HYPERLINK("https://leetcode.com/problems/water-bottles-ii/", "Water Bottles II")</f>
        <v/>
      </c>
      <c r="C2140" s="1" t="n">
        <v>526</v>
      </c>
      <c r="D2140" s="1" t="n">
        <v>102</v>
      </c>
      <c r="E2140" s="4">
        <f>IF(INDEX(C:C, ROW())+INDEX(D:D, ROW())=0, 0, INDEX(C:C, ROW())/(INDEX(C:C, ROW())+INDEX(D:D, ROW())))</f>
        <v/>
      </c>
      <c r="F2140" s="1" t="inlineStr">
        <is>
          <t>Math, Simulation</t>
        </is>
      </c>
      <c r="G2140" s="1" t="inlineStr">
        <is>
          <t>Medium</t>
        </is>
      </c>
      <c r="H2140" s="1" t="n">
        <v>165201</v>
      </c>
      <c r="I2140" s="1" t="n">
        <v>211490</v>
      </c>
      <c r="J2140" s="9" t="n">
        <v>0.781</v>
      </c>
      <c r="K2140" s="1" t="inlineStr">
        <is>
          <t>Yes</t>
        </is>
      </c>
      <c r="L2140" s="1" t="inlineStr">
        <is>
          <t>Yes</t>
        </is>
      </c>
      <c r="M2140" s="1" t="inlineStr">
        <is>
          <t>No</t>
        </is>
      </c>
      <c r="N2140" s="1" t="inlineStr">
        <is>
          <t>Algorithms</t>
        </is>
      </c>
      <c r="O21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41" ht="15.75" customHeight="1" s="12">
      <c r="A2141" s="1" t="n">
        <v>3228</v>
      </c>
      <c r="B2141" s="3">
        <f>HYPERLINK("https://leetcode.com/problems/maximum-number-of-operations-to-move-ones-to-the-end/", "Maximum Number of Operations to Move Ones to the End")</f>
        <v/>
      </c>
      <c r="C2141" s="1" t="n">
        <v>526</v>
      </c>
      <c r="D2141" s="1" t="n">
        <v>37</v>
      </c>
      <c r="E2141" s="4">
        <f>IF(INDEX(C:C, ROW())+INDEX(D:D, ROW())=0, 0, INDEX(C:C, ROW())/(INDEX(C:C, ROW())+INDEX(D:D, ROW())))</f>
        <v/>
      </c>
      <c r="F2141" s="1" t="inlineStr">
        <is>
          <t>String, Greedy, Counting</t>
        </is>
      </c>
      <c r="G2141" s="1" t="inlineStr">
        <is>
          <t>Medium</t>
        </is>
      </c>
      <c r="H2141" s="1" t="n">
        <v>122154</v>
      </c>
      <c r="I2141" s="1" t="n">
        <v>182061</v>
      </c>
      <c r="J2141" s="9" t="n">
        <v>0.671</v>
      </c>
      <c r="K2141" s="1" t="inlineStr">
        <is>
          <t>Yes</t>
        </is>
      </c>
      <c r="L2141" s="1" t="inlineStr">
        <is>
          <t>Yes</t>
        </is>
      </c>
      <c r="M2141" s="1" t="inlineStr">
        <is>
          <t>No</t>
        </is>
      </c>
      <c r="N2141" s="1" t="inlineStr">
        <is>
          <t>Algorithms</t>
        </is>
      </c>
      <c r="O21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42" ht="15.75" customHeight="1" s="12">
      <c r="A2142" s="1" t="n">
        <v>1307</v>
      </c>
      <c r="B2142" s="3">
        <f>HYPERLINK("https://leetcode.com/problems/verbal-arithmetic-puzzle/", "Verbal Arithmetic Puzzle")</f>
        <v/>
      </c>
      <c r="C2142" s="1" t="n">
        <v>525</v>
      </c>
      <c r="D2142" s="1" t="n">
        <v>138</v>
      </c>
      <c r="E2142" s="4">
        <f>IF(INDEX(C:C, ROW())+INDEX(D:D, ROW())=0, 0, INDEX(C:C, ROW())/(INDEX(C:C, ROW())+INDEX(D:D, ROW())))</f>
        <v/>
      </c>
      <c r="F2142" s="1" t="inlineStr">
        <is>
          <t>Array, Math, String, Backtracking</t>
        </is>
      </c>
      <c r="G2142" s="1" t="inlineStr">
        <is>
          <t>Hard</t>
        </is>
      </c>
      <c r="H2142" s="1" t="n">
        <v>17231</v>
      </c>
      <c r="I2142" s="1" t="n">
        <v>49470</v>
      </c>
      <c r="J2142" s="9" t="n">
        <v>0.348</v>
      </c>
      <c r="K2142" s="1" t="inlineStr">
        <is>
          <t>Yes</t>
        </is>
      </c>
      <c r="L2142" s="1" t="inlineStr">
        <is>
          <t>No</t>
        </is>
      </c>
      <c r="M2142" s="1" t="inlineStr">
        <is>
          <t>No</t>
        </is>
      </c>
      <c r="N2142" s="1" t="inlineStr">
        <is>
          <t>Algorithms</t>
        </is>
      </c>
      <c r="O21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43" ht="15.75" customHeight="1" s="12">
      <c r="A2143" s="1" t="n">
        <v>2622</v>
      </c>
      <c r="B2143" s="3">
        <f>HYPERLINK("https://leetcode.com/problems/cache-with-time-limit/", "Cache With Time Limit")</f>
        <v/>
      </c>
      <c r="C2143" s="1" t="n">
        <v>525</v>
      </c>
      <c r="D2143" s="1" t="n">
        <v>43</v>
      </c>
      <c r="E2143" s="4">
        <f>IF(INDEX(C:C, ROW())+INDEX(D:D, ROW())=0, 0, INDEX(C:C, ROW())/(INDEX(C:C, ROW())+INDEX(D:D, ROW())))</f>
        <v/>
      </c>
      <c r="F2143" s="2" t="n"/>
      <c r="G2143" s="1" t="inlineStr">
        <is>
          <t>Medium</t>
        </is>
      </c>
      <c r="H2143" s="1" t="n">
        <v>78716</v>
      </c>
      <c r="I2143" s="1" t="n">
        <v>103681</v>
      </c>
      <c r="J2143" s="9" t="n">
        <v>0.759</v>
      </c>
      <c r="K2143" s="1" t="inlineStr">
        <is>
          <t>Yes</t>
        </is>
      </c>
      <c r="L2143" s="1" t="inlineStr">
        <is>
          <t>Yes</t>
        </is>
      </c>
      <c r="M2143" s="1" t="inlineStr">
        <is>
          <t>No</t>
        </is>
      </c>
      <c r="N2143" s="1" t="inlineStr">
        <is>
          <t>JavaScript</t>
        </is>
      </c>
      <c r="O21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44" ht="15.75" customHeight="1" s="12">
      <c r="A2144" s="1" t="n">
        <v>2826</v>
      </c>
      <c r="B2144" s="3">
        <f>HYPERLINK("https://leetcode.com/problems/sorting-three-groups/", "Sorting Three Groups")</f>
        <v/>
      </c>
      <c r="C2144" s="1" t="n">
        <v>524</v>
      </c>
      <c r="D2144" s="1" t="n">
        <v>91</v>
      </c>
      <c r="E2144" s="4">
        <f>IF(INDEX(C:C, ROW())+INDEX(D:D, ROW())=0, 0, INDEX(C:C, ROW())/(INDEX(C:C, ROW())+INDEX(D:D, ROW())))</f>
        <v/>
      </c>
      <c r="F2144" s="1" t="inlineStr">
        <is>
          <t>Array, Binary Search, Dynamic Programming</t>
        </is>
      </c>
      <c r="G2144" s="1" t="inlineStr">
        <is>
          <t>Medium</t>
        </is>
      </c>
      <c r="H2144" s="1" t="n">
        <v>25611</v>
      </c>
      <c r="I2144" s="1" t="n">
        <v>59946</v>
      </c>
      <c r="J2144" s="9" t="n">
        <v>0.427</v>
      </c>
      <c r="K2144" s="1" t="inlineStr">
        <is>
          <t>Yes</t>
        </is>
      </c>
      <c r="L2144" s="1" t="inlineStr">
        <is>
          <t>No</t>
        </is>
      </c>
      <c r="M2144" s="1" t="inlineStr">
        <is>
          <t>No</t>
        </is>
      </c>
      <c r="N2144" s="1" t="inlineStr">
        <is>
          <t>Algorithms</t>
        </is>
      </c>
      <c r="O21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45" ht="15.75" customHeight="1" s="12">
      <c r="A2145" s="1" t="n">
        <v>1825</v>
      </c>
      <c r="B2145" s="3">
        <f>HYPERLINK("https://leetcode.com/problems/finding-mk-average/", "Finding MK Average")</f>
        <v/>
      </c>
      <c r="C2145" s="1" t="n">
        <v>523</v>
      </c>
      <c r="D2145" s="1" t="n">
        <v>141</v>
      </c>
      <c r="E2145" s="4">
        <f>IF(INDEX(C:C, ROW())+INDEX(D:D, ROW())=0, 0, INDEX(C:C, ROW())/(INDEX(C:C, ROW())+INDEX(D:D, ROW())))</f>
        <v/>
      </c>
      <c r="F2145" s="1" t="inlineStr">
        <is>
          <t>Design, Queue, Heap (Priority Queue), Data Stream, Ordered Set</t>
        </is>
      </c>
      <c r="G2145" s="1" t="inlineStr">
        <is>
          <t>Hard</t>
        </is>
      </c>
      <c r="H2145" s="1" t="n">
        <v>28042</v>
      </c>
      <c r="I2145" s="1" t="n">
        <v>72611</v>
      </c>
      <c r="J2145" s="9" t="n">
        <v>0.386</v>
      </c>
      <c r="K2145" s="1" t="inlineStr">
        <is>
          <t>Yes</t>
        </is>
      </c>
      <c r="L2145" s="1" t="inlineStr">
        <is>
          <t>No</t>
        </is>
      </c>
      <c r="M2145" s="1" t="inlineStr">
        <is>
          <t>No</t>
        </is>
      </c>
      <c r="N2145" s="1" t="inlineStr">
        <is>
          <t>Algorithms</t>
        </is>
      </c>
      <c r="O21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46" ht="15.75" customHeight="1" s="12">
      <c r="A2146" s="1" t="n">
        <v>2513</v>
      </c>
      <c r="B2146" s="3">
        <f>HYPERLINK("https://leetcode.com/problems/minimize-the-maximum-of-two-arrays/", "Minimize the Maximum of Two Arrays")</f>
        <v/>
      </c>
      <c r="C2146" s="1" t="n">
        <v>523</v>
      </c>
      <c r="D2146" s="1" t="n">
        <v>101</v>
      </c>
      <c r="E2146" s="4">
        <f>IF(INDEX(C:C, ROW())+INDEX(D:D, ROW())=0, 0, INDEX(C:C, ROW())/(INDEX(C:C, ROW())+INDEX(D:D, ROW())))</f>
        <v/>
      </c>
      <c r="F2146" s="1" t="inlineStr">
        <is>
          <t>Math, Binary Search, Number Theory</t>
        </is>
      </c>
      <c r="G2146" s="1" t="inlineStr">
        <is>
          <t>Medium</t>
        </is>
      </c>
      <c r="H2146" s="1" t="n">
        <v>16428</v>
      </c>
      <c r="I2146" s="1" t="n">
        <v>51279</v>
      </c>
      <c r="J2146" s="9" t="n">
        <v>0.32</v>
      </c>
      <c r="K2146" s="1" t="inlineStr">
        <is>
          <t>Yes</t>
        </is>
      </c>
      <c r="L2146" s="1" t="inlineStr">
        <is>
          <t>No</t>
        </is>
      </c>
      <c r="M2146" s="1" t="inlineStr">
        <is>
          <t>No</t>
        </is>
      </c>
      <c r="N2146" s="1" t="inlineStr">
        <is>
          <t>Algorithms</t>
        </is>
      </c>
      <c r="O21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47" ht="15.75" customHeight="1" s="12">
      <c r="A2147" s="1" t="n">
        <v>3607</v>
      </c>
      <c r="B2147" s="3">
        <f>HYPERLINK("https://leetcode.com/problems/power-grid-maintenance/", "Power Grid Maintenance")</f>
        <v/>
      </c>
      <c r="C2147" s="1" t="n">
        <v>523</v>
      </c>
      <c r="D2147" s="1" t="n">
        <v>57</v>
      </c>
      <c r="E2147" s="4">
        <f>IF(INDEX(C:C, ROW())+INDEX(D:D, ROW())=0, 0, INDEX(C:C, ROW())/(INDEX(C:C, ROW())+INDEX(D:D, ROW())))</f>
        <v/>
      </c>
      <c r="F2147" s="1" t="inlineStr">
        <is>
          <t>Array, Hash Table, Depth-First Search, Breadth-First Search, Union-Find, Graph Theory, Heap (Priority Queue), Ordered Set</t>
        </is>
      </c>
      <c r="G2147" s="1" t="inlineStr">
        <is>
          <t>Medium</t>
        </is>
      </c>
      <c r="H2147" s="1" t="n">
        <v>90634</v>
      </c>
      <c r="I2147" s="1" t="n">
        <v>160630</v>
      </c>
      <c r="J2147" s="9" t="n">
        <v>0.5639999999999999</v>
      </c>
      <c r="K2147" s="1" t="inlineStr">
        <is>
          <t>Yes</t>
        </is>
      </c>
      <c r="L2147" s="1" t="inlineStr">
        <is>
          <t>Yes</t>
        </is>
      </c>
      <c r="M2147" s="1" t="inlineStr">
        <is>
          <t>No</t>
        </is>
      </c>
      <c r="N2147" s="1" t="inlineStr">
        <is>
          <t>Algorithms</t>
        </is>
      </c>
      <c r="O21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48" ht="15.75" customHeight="1" s="12">
      <c r="A2148" s="1" t="n">
        <v>1916</v>
      </c>
      <c r="B2148" s="3">
        <f>HYPERLINK("https://leetcode.com/problems/count-ways-to-build-rooms-in-an-ant-colony/", "Count Ways to Build Rooms in an Ant Colony")</f>
        <v/>
      </c>
      <c r="C2148" s="1" t="n">
        <v>522</v>
      </c>
      <c r="D2148" s="1" t="n">
        <v>57</v>
      </c>
      <c r="E2148" s="4">
        <f>IF(INDEX(C:C, ROW())+INDEX(D:D, ROW())=0, 0, INDEX(C:C, ROW())/(INDEX(C:C, ROW())+INDEX(D:D, ROW())))</f>
        <v/>
      </c>
      <c r="F2148" s="1" t="inlineStr">
        <is>
          <t>Math, Dynamic Programming, Tree, Graph Theory, Topological Sort, Combinatorics</t>
        </is>
      </c>
      <c r="G2148" s="1" t="inlineStr">
        <is>
          <t>Hard</t>
        </is>
      </c>
      <c r="H2148" s="1" t="n">
        <v>10573</v>
      </c>
      <c r="I2148" s="1" t="n">
        <v>20899</v>
      </c>
      <c r="J2148" s="9" t="n">
        <v>0.506</v>
      </c>
      <c r="K2148" s="1" t="inlineStr">
        <is>
          <t>Yes</t>
        </is>
      </c>
      <c r="L2148" s="1" t="inlineStr">
        <is>
          <t>No</t>
        </is>
      </c>
      <c r="M2148" s="1" t="inlineStr">
        <is>
          <t>No</t>
        </is>
      </c>
      <c r="N2148" s="1" t="inlineStr">
        <is>
          <t>Algorithms</t>
        </is>
      </c>
      <c r="O21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49" ht="15.75" customHeight="1" s="12">
      <c r="A2149" s="1" t="n">
        <v>3330</v>
      </c>
      <c r="B2149" s="3">
        <f>HYPERLINK("https://leetcode.com/problems/find-the-original-typed-string-i/", "Find the Original Typed String I")</f>
        <v/>
      </c>
      <c r="C2149" s="1" t="n">
        <v>522</v>
      </c>
      <c r="D2149" s="1" t="n">
        <v>78</v>
      </c>
      <c r="E2149" s="4">
        <f>IF(INDEX(C:C, ROW())+INDEX(D:D, ROW())=0, 0, INDEX(C:C, ROW())/(INDEX(C:C, ROW())+INDEX(D:D, ROW())))</f>
        <v/>
      </c>
      <c r="F2149" s="1" t="inlineStr">
        <is>
          <t>String</t>
        </is>
      </c>
      <c r="G2149" s="1" t="inlineStr">
        <is>
          <t>Easy</t>
        </is>
      </c>
      <c r="H2149" s="1" t="n">
        <v>195533</v>
      </c>
      <c r="I2149" s="1" t="n">
        <v>271275</v>
      </c>
      <c r="J2149" s="9" t="n">
        <v>0.721</v>
      </c>
      <c r="K2149" s="1" t="inlineStr">
        <is>
          <t>Yes</t>
        </is>
      </c>
      <c r="L2149" s="1" t="inlineStr">
        <is>
          <t>Yes</t>
        </is>
      </c>
      <c r="M2149" s="1" t="inlineStr">
        <is>
          <t>No</t>
        </is>
      </c>
      <c r="N2149" s="1" t="inlineStr">
        <is>
          <t>Algorithms</t>
        </is>
      </c>
      <c r="O21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50" ht="15.75" customHeight="1" s="12">
      <c r="A2150" s="1" t="n">
        <v>2209</v>
      </c>
      <c r="B2150" s="3">
        <f>HYPERLINK("https://leetcode.com/problems/minimum-white-tiles-after-covering-with-carpets/", "Minimum White Tiles After Covering With Carpets")</f>
        <v/>
      </c>
      <c r="C2150" s="1" t="n">
        <v>521</v>
      </c>
      <c r="D2150" s="1" t="n">
        <v>17</v>
      </c>
      <c r="E2150" s="4">
        <f>IF(INDEX(C:C, ROW())+INDEX(D:D, ROW())=0, 0, INDEX(C:C, ROW())/(INDEX(C:C, ROW())+INDEX(D:D, ROW())))</f>
        <v/>
      </c>
      <c r="F2150" s="1" t="inlineStr">
        <is>
          <t>String, Dynamic Programming, Prefix Sum</t>
        </is>
      </c>
      <c r="G2150" s="1" t="inlineStr">
        <is>
          <t>Hard</t>
        </is>
      </c>
      <c r="H2150" s="1" t="n">
        <v>15896</v>
      </c>
      <c r="I2150" s="1" t="n">
        <v>41384</v>
      </c>
      <c r="J2150" s="9" t="n">
        <v>0.384</v>
      </c>
      <c r="K2150" s="1" t="inlineStr">
        <is>
          <t>Yes</t>
        </is>
      </c>
      <c r="L2150" s="1" t="inlineStr">
        <is>
          <t>No</t>
        </is>
      </c>
      <c r="M2150" s="1" t="inlineStr">
        <is>
          <t>No</t>
        </is>
      </c>
      <c r="N2150" s="1" t="inlineStr">
        <is>
          <t>Algorithms</t>
        </is>
      </c>
      <c r="O21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51" ht="15.75" customHeight="1" s="12">
      <c r="A2151" s="1" t="n">
        <v>2287</v>
      </c>
      <c r="B2151" s="3">
        <f>HYPERLINK("https://leetcode.com/problems/rearrange-characters-to-make-target-string/", "Rearrange Characters to Make Target String")</f>
        <v/>
      </c>
      <c r="C2151" s="1" t="n">
        <v>521</v>
      </c>
      <c r="D2151" s="1" t="n">
        <v>37</v>
      </c>
      <c r="E2151" s="4">
        <f>IF(INDEX(C:C, ROW())+INDEX(D:D, ROW())=0, 0, INDEX(C:C, ROW())/(INDEX(C:C, ROW())+INDEX(D:D, ROW())))</f>
        <v/>
      </c>
      <c r="F2151" s="1" t="inlineStr">
        <is>
          <t>Hash Table, String, Counting</t>
        </is>
      </c>
      <c r="G2151" s="1" t="inlineStr">
        <is>
          <t>Easy</t>
        </is>
      </c>
      <c r="H2151" s="1" t="n">
        <v>54322</v>
      </c>
      <c r="I2151" s="1" t="n">
        <v>89194</v>
      </c>
      <c r="J2151" s="9" t="n">
        <v>0.609</v>
      </c>
      <c r="K2151" s="1" t="inlineStr">
        <is>
          <t>Yes</t>
        </is>
      </c>
      <c r="L2151" s="1" t="inlineStr">
        <is>
          <t>No</t>
        </is>
      </c>
      <c r="M2151" s="1" t="inlineStr">
        <is>
          <t>No</t>
        </is>
      </c>
      <c r="N2151" s="1" t="inlineStr">
        <is>
          <t>Algorithms</t>
        </is>
      </c>
      <c r="O21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52" ht="15.75" customHeight="1" s="12">
      <c r="A2152" s="1" t="n">
        <v>2025</v>
      </c>
      <c r="B2152" s="3">
        <f>HYPERLINK("https://leetcode.com/problems/maximum-number-of-ways-to-partition-an-array/", "Maximum Number of Ways to Partition an Array")</f>
        <v/>
      </c>
      <c r="C2152" s="1" t="n">
        <v>520</v>
      </c>
      <c r="D2152" s="1" t="n">
        <v>59</v>
      </c>
      <c r="E2152" s="4">
        <f>IF(INDEX(C:C, ROW())+INDEX(D:D, ROW())=0, 0, INDEX(C:C, ROW())/(INDEX(C:C, ROW())+INDEX(D:D, ROW())))</f>
        <v/>
      </c>
      <c r="F2152" s="1" t="inlineStr">
        <is>
          <t>Array, Hash Table, Counting, Enumeration, Prefix Sum</t>
        </is>
      </c>
      <c r="G2152" s="1" t="inlineStr">
        <is>
          <t>Hard</t>
        </is>
      </c>
      <c r="H2152" s="1" t="n">
        <v>13455</v>
      </c>
      <c r="I2152" s="1" t="n">
        <v>38123</v>
      </c>
      <c r="J2152" s="9" t="n">
        <v>0.353</v>
      </c>
      <c r="K2152" s="1" t="inlineStr">
        <is>
          <t>Yes</t>
        </is>
      </c>
      <c r="L2152" s="1" t="inlineStr">
        <is>
          <t>No</t>
        </is>
      </c>
      <c r="M2152" s="1" t="inlineStr">
        <is>
          <t>No</t>
        </is>
      </c>
      <c r="N2152" s="1" t="inlineStr">
        <is>
          <t>Algorithms</t>
        </is>
      </c>
      <c r="O21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53" ht="15.75" customHeight="1" s="12">
      <c r="A2153" s="1" t="n">
        <v>2027</v>
      </c>
      <c r="B2153" s="3">
        <f>HYPERLINK("https://leetcode.com/problems/minimum-moves-to-convert-string/", "Minimum Moves to Convert String")</f>
        <v/>
      </c>
      <c r="C2153" s="1" t="n">
        <v>520</v>
      </c>
      <c r="D2153" s="1" t="n">
        <v>79</v>
      </c>
      <c r="E2153" s="4">
        <f>IF(INDEX(C:C, ROW())+INDEX(D:D, ROW())=0, 0, INDEX(C:C, ROW())/(INDEX(C:C, ROW())+INDEX(D:D, ROW())))</f>
        <v/>
      </c>
      <c r="F2153" s="1" t="inlineStr">
        <is>
          <t>String, Greedy</t>
        </is>
      </c>
      <c r="G2153" s="1" t="inlineStr">
        <is>
          <t>Easy</t>
        </is>
      </c>
      <c r="H2153" s="1" t="n">
        <v>57192</v>
      </c>
      <c r="I2153" s="1" t="n">
        <v>99652</v>
      </c>
      <c r="J2153" s="9" t="n">
        <v>0.574</v>
      </c>
      <c r="K2153" s="1" t="inlineStr">
        <is>
          <t>Yes</t>
        </is>
      </c>
      <c r="L2153" s="1" t="inlineStr">
        <is>
          <t>No</t>
        </is>
      </c>
      <c r="M2153" s="1" t="inlineStr">
        <is>
          <t>No</t>
        </is>
      </c>
      <c r="N2153" s="1" t="inlineStr">
        <is>
          <t>Algorithms</t>
        </is>
      </c>
      <c r="O21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54" ht="15.75" customHeight="1" s="12">
      <c r="A2154" s="1" t="n">
        <v>2430</v>
      </c>
      <c r="B2154" s="3">
        <f>HYPERLINK("https://leetcode.com/problems/maximum-deletions-on-a-string/", "Maximum Deletions on a String")</f>
        <v/>
      </c>
      <c r="C2154" s="1" t="n">
        <v>520</v>
      </c>
      <c r="D2154" s="1" t="n">
        <v>61</v>
      </c>
      <c r="E2154" s="4">
        <f>IF(INDEX(C:C, ROW())+INDEX(D:D, ROW())=0, 0, INDEX(C:C, ROW())/(INDEX(C:C, ROW())+INDEX(D:D, ROW())))</f>
        <v/>
      </c>
      <c r="F2154" s="1" t="inlineStr">
        <is>
          <t>String, Dynamic Programming, Rolling Hash, String Matching, Hash Function</t>
        </is>
      </c>
      <c r="G2154" s="1" t="inlineStr">
        <is>
          <t>Hard</t>
        </is>
      </c>
      <c r="H2154" s="1" t="n">
        <v>16953</v>
      </c>
      <c r="I2154" s="1" t="n">
        <v>47686</v>
      </c>
      <c r="J2154" s="9" t="n">
        <v>0.356</v>
      </c>
      <c r="K2154" s="1" t="inlineStr">
        <is>
          <t>Yes</t>
        </is>
      </c>
      <c r="L2154" s="1" t="inlineStr">
        <is>
          <t>No</t>
        </is>
      </c>
      <c r="M2154" s="1" t="inlineStr">
        <is>
          <t>No</t>
        </is>
      </c>
      <c r="N2154" s="1" t="inlineStr">
        <is>
          <t>Algorithms</t>
        </is>
      </c>
      <c r="O21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55" ht="15.75" customHeight="1" s="12">
      <c r="A2155" s="1" t="n">
        <v>3307</v>
      </c>
      <c r="B2155" s="3">
        <f>HYPERLINK("https://leetcode.com/problems/find-the-k-th-character-in-string-game-ii/", "Find the K-th Character in String Game II")</f>
        <v/>
      </c>
      <c r="C2155" s="1" t="n">
        <v>520</v>
      </c>
      <c r="D2155" s="1" t="n">
        <v>31</v>
      </c>
      <c r="E2155" s="4">
        <f>IF(INDEX(C:C, ROW())+INDEX(D:D, ROW())=0, 0, INDEX(C:C, ROW())/(INDEX(C:C, ROW())+INDEX(D:D, ROW())))</f>
        <v/>
      </c>
      <c r="F2155" s="1" t="inlineStr">
        <is>
          <t>Math, Bit Manipulation, Recursion</t>
        </is>
      </c>
      <c r="G2155" s="1" t="inlineStr">
        <is>
          <t>Hard</t>
        </is>
      </c>
      <c r="H2155" s="1" t="n">
        <v>87153</v>
      </c>
      <c r="I2155" s="1" t="n">
        <v>179451</v>
      </c>
      <c r="J2155" s="9" t="n">
        <v>0.486</v>
      </c>
      <c r="K2155" s="1" t="inlineStr">
        <is>
          <t>Yes</t>
        </is>
      </c>
      <c r="L2155" s="1" t="inlineStr">
        <is>
          <t>Yes</t>
        </is>
      </c>
      <c r="M2155" s="1" t="inlineStr">
        <is>
          <t>No</t>
        </is>
      </c>
      <c r="N2155" s="1" t="inlineStr">
        <is>
          <t>Algorithms</t>
        </is>
      </c>
      <c r="O21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56" ht="15.75" customHeight="1" s="12">
      <c r="A2156" s="1" t="n">
        <v>1469</v>
      </c>
      <c r="B2156" s="3">
        <f>HYPERLINK("https://leetcode.com/problems/find-all-the-lonely-nodes/", "Find All The Lonely Nodes")</f>
        <v/>
      </c>
      <c r="C2156" s="1" t="n">
        <v>519</v>
      </c>
      <c r="D2156" s="1" t="n">
        <v>11</v>
      </c>
      <c r="E2156" s="4">
        <f>IF(INDEX(C:C, ROW())+INDEX(D:D, ROW())=0, 0, INDEX(C:C, ROW())/(INDEX(C:C, ROW())+INDEX(D:D, ROW())))</f>
        <v/>
      </c>
      <c r="F2156" s="1" t="inlineStr">
        <is>
          <t>Tree, Depth-First Search, Breadth-First Search, Binary Tree</t>
        </is>
      </c>
      <c r="G2156" s="1" t="inlineStr">
        <is>
          <t>Easy</t>
        </is>
      </c>
      <c r="H2156" s="1" t="n">
        <v>60926</v>
      </c>
      <c r="I2156" s="1" t="n">
        <v>72467</v>
      </c>
      <c r="J2156" s="9" t="n">
        <v>0.841</v>
      </c>
      <c r="K2156" s="1" t="inlineStr">
        <is>
          <t>No</t>
        </is>
      </c>
      <c r="L2156" s="1" t="inlineStr">
        <is>
          <t>Yes</t>
        </is>
      </c>
      <c r="M2156" s="1" t="inlineStr">
        <is>
          <t>No</t>
        </is>
      </c>
      <c r="N2156" s="1" t="inlineStr">
        <is>
          <t>Algorithms</t>
        </is>
      </c>
      <c r="O21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57" ht="15.75" customHeight="1" s="12">
      <c r="A2157" s="1" t="n">
        <v>275</v>
      </c>
      <c r="B2157" s="3">
        <f>HYPERLINK("https://leetcode.com/problems/h-index-ii/", "H-Index II")</f>
        <v/>
      </c>
      <c r="C2157" s="1" t="n">
        <v>518</v>
      </c>
      <c r="D2157" s="1" t="n">
        <v>156</v>
      </c>
      <c r="E2157" s="4">
        <f>IF(INDEX(C:C, ROW())+INDEX(D:D, ROW())=0, 0, INDEX(C:C, ROW())/(INDEX(C:C, ROW())+INDEX(D:D, ROW())))</f>
        <v/>
      </c>
      <c r="F2157" s="1" t="inlineStr">
        <is>
          <t>Array, Binary Search</t>
        </is>
      </c>
      <c r="G2157" s="1" t="inlineStr">
        <is>
          <t>Medium</t>
        </is>
      </c>
      <c r="H2157" s="1" t="n">
        <v>258501</v>
      </c>
      <c r="I2157" s="1" t="n">
        <v>658016</v>
      </c>
      <c r="J2157" s="9" t="n">
        <v>0.393</v>
      </c>
      <c r="K2157" s="1" t="inlineStr">
        <is>
          <t>Yes</t>
        </is>
      </c>
      <c r="L2157" s="1" t="inlineStr">
        <is>
          <t>Yes</t>
        </is>
      </c>
      <c r="M2157" s="1" t="inlineStr">
        <is>
          <t>No</t>
        </is>
      </c>
      <c r="N2157" s="1" t="inlineStr">
        <is>
          <t>Algorithms</t>
        </is>
      </c>
      <c r="O21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58" ht="15.75" customHeight="1" s="12">
      <c r="A2158" s="1" t="n">
        <v>497</v>
      </c>
      <c r="B2158" s="3">
        <f>HYPERLINK("https://leetcode.com/problems/random-point-in-non-overlapping-rectangles/", "Random Point in Non-overlapping Rectangles")</f>
        <v/>
      </c>
      <c r="C2158" s="1" t="n">
        <v>518</v>
      </c>
      <c r="D2158" s="1" t="n">
        <v>688</v>
      </c>
      <c r="E2158" s="4">
        <f>IF(INDEX(C:C, ROW())+INDEX(D:D, ROW())=0, 0, INDEX(C:C, ROW())/(INDEX(C:C, ROW())+INDEX(D:D, ROW())))</f>
        <v/>
      </c>
      <c r="F2158" s="1" t="inlineStr">
        <is>
          <t>Array, Math, Binary Search, Reservoir Sampling, Prefix Sum, Ordered Set, Randomized</t>
        </is>
      </c>
      <c r="G2158" s="1" t="inlineStr">
        <is>
          <t>Medium</t>
        </is>
      </c>
      <c r="H2158" s="1" t="n">
        <v>51284</v>
      </c>
      <c r="I2158" s="1" t="n">
        <v>130790</v>
      </c>
      <c r="J2158" s="9" t="n">
        <v>0.392</v>
      </c>
      <c r="K2158" s="1" t="inlineStr">
        <is>
          <t>Yes</t>
        </is>
      </c>
      <c r="L2158" s="1" t="inlineStr">
        <is>
          <t>Yes</t>
        </is>
      </c>
      <c r="M2158" s="1" t="inlineStr">
        <is>
          <t>No</t>
        </is>
      </c>
      <c r="N2158" s="1" t="inlineStr">
        <is>
          <t>Algorithms</t>
        </is>
      </c>
      <c r="O21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59" ht="15.75" customHeight="1" s="12">
      <c r="A2159" s="1" t="n">
        <v>2309</v>
      </c>
      <c r="B2159" s="3">
        <f>HYPERLINK("https://leetcode.com/problems/greatest-english-letter-in-upper-and-lower-case/", "Greatest English Letter in Upper and Lower Case")</f>
        <v/>
      </c>
      <c r="C2159" s="1" t="n">
        <v>517</v>
      </c>
      <c r="D2159" s="1" t="n">
        <v>33</v>
      </c>
      <c r="E2159" s="4">
        <f>IF(INDEX(C:C, ROW())+INDEX(D:D, ROW())=0, 0, INDEX(C:C, ROW())/(INDEX(C:C, ROW())+INDEX(D:D, ROW())))</f>
        <v/>
      </c>
      <c r="F2159" s="1" t="inlineStr">
        <is>
          <t>Hash Table, String, Enumeration</t>
        </is>
      </c>
      <c r="G2159" s="1" t="inlineStr">
        <is>
          <t>Easy</t>
        </is>
      </c>
      <c r="H2159" s="1" t="n">
        <v>70172</v>
      </c>
      <c r="I2159" s="1" t="n">
        <v>97901</v>
      </c>
      <c r="J2159" s="9" t="n">
        <v>0.717</v>
      </c>
      <c r="K2159" s="1" t="inlineStr">
        <is>
          <t>Yes</t>
        </is>
      </c>
      <c r="L2159" s="1" t="inlineStr">
        <is>
          <t>No</t>
        </is>
      </c>
      <c r="M2159" s="1" t="inlineStr">
        <is>
          <t>No</t>
        </is>
      </c>
      <c r="N2159" s="1" t="inlineStr">
        <is>
          <t>Algorithms</t>
        </is>
      </c>
      <c r="O21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60" ht="15.75" customHeight="1" s="12">
      <c r="A2160" s="1" t="n">
        <v>2607</v>
      </c>
      <c r="B2160" s="3">
        <f>HYPERLINK("https://leetcode.com/problems/make-k-subarray-sums-equal/", "Make K-Subarray Sums Equal")</f>
        <v/>
      </c>
      <c r="C2160" s="1" t="n">
        <v>517</v>
      </c>
      <c r="D2160" s="1" t="n">
        <v>89</v>
      </c>
      <c r="E2160" s="4">
        <f>IF(INDEX(C:C, ROW())+INDEX(D:D, ROW())=0, 0, INDEX(C:C, ROW())/(INDEX(C:C, ROW())+INDEX(D:D, ROW())))</f>
        <v/>
      </c>
      <c r="F2160" s="1" t="inlineStr">
        <is>
          <t>Array, Math, Greedy, Sorting, Number Theory</t>
        </is>
      </c>
      <c r="G2160" s="1" t="inlineStr">
        <is>
          <t>Medium</t>
        </is>
      </c>
      <c r="H2160" s="1" t="n">
        <v>13902</v>
      </c>
      <c r="I2160" s="1" t="n">
        <v>36552</v>
      </c>
      <c r="J2160" s="9" t="n">
        <v>0.38</v>
      </c>
      <c r="K2160" s="1" t="inlineStr">
        <is>
          <t>Yes</t>
        </is>
      </c>
      <c r="L2160" s="1" t="inlineStr">
        <is>
          <t>No</t>
        </is>
      </c>
      <c r="M2160" s="1" t="inlineStr">
        <is>
          <t>No</t>
        </is>
      </c>
      <c r="N2160" s="1" t="inlineStr">
        <is>
          <t>Algorithms</t>
        </is>
      </c>
      <c r="O21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61" ht="15.75" customHeight="1" s="12">
      <c r="A2161" s="1" t="n">
        <v>245</v>
      </c>
      <c r="B2161" s="3">
        <f>HYPERLINK("https://leetcode.com/problems/shortest-word-distance-iii/", "Shortest Word Distance III")</f>
        <v/>
      </c>
      <c r="C2161" s="1" t="n">
        <v>516</v>
      </c>
      <c r="D2161" s="1" t="n">
        <v>100</v>
      </c>
      <c r="E2161" s="4">
        <f>IF(INDEX(C:C, ROW())+INDEX(D:D, ROW())=0, 0, INDEX(C:C, ROW())/(INDEX(C:C, ROW())+INDEX(D:D, ROW())))</f>
        <v/>
      </c>
      <c r="F2161" s="1" t="inlineStr">
        <is>
          <t>Array, String</t>
        </is>
      </c>
      <c r="G2161" s="1" t="inlineStr">
        <is>
          <t>Medium</t>
        </is>
      </c>
      <c r="H2161" s="1" t="n">
        <v>93168</v>
      </c>
      <c r="I2161" s="1" t="n">
        <v>156980</v>
      </c>
      <c r="J2161" s="9" t="n">
        <v>0.594</v>
      </c>
      <c r="K2161" s="1" t="inlineStr">
        <is>
          <t>No</t>
        </is>
      </c>
      <c r="L2161" s="1" t="inlineStr">
        <is>
          <t>Yes</t>
        </is>
      </c>
      <c r="M2161" s="1" t="inlineStr">
        <is>
          <t>No</t>
        </is>
      </c>
      <c r="N2161" s="1" t="inlineStr">
        <is>
          <t>Algorithms</t>
        </is>
      </c>
      <c r="O21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62" ht="15.75" customHeight="1" s="12">
      <c r="A2162" s="1" t="n">
        <v>1556</v>
      </c>
      <c r="B2162" s="3">
        <f>HYPERLINK("https://leetcode.com/problems/thousand-separator/", "Thousand Separator")</f>
        <v/>
      </c>
      <c r="C2162" s="1" t="n">
        <v>516</v>
      </c>
      <c r="D2162" s="1" t="n">
        <v>46</v>
      </c>
      <c r="E2162" s="4">
        <f>IF(INDEX(C:C, ROW())+INDEX(D:D, ROW())=0, 0, INDEX(C:C, ROW())/(INDEX(C:C, ROW())+INDEX(D:D, ROW())))</f>
        <v/>
      </c>
      <c r="F2162" s="1" t="inlineStr">
        <is>
          <t>String</t>
        </is>
      </c>
      <c r="G2162" s="1" t="inlineStr">
        <is>
          <t>Easy</t>
        </is>
      </c>
      <c r="H2162" s="1" t="n">
        <v>65596</v>
      </c>
      <c r="I2162" s="1" t="n">
        <v>122351</v>
      </c>
      <c r="J2162" s="9" t="n">
        <v>0.536</v>
      </c>
      <c r="K2162" s="1" t="inlineStr">
        <is>
          <t>Yes</t>
        </is>
      </c>
      <c r="L2162" s="1" t="inlineStr">
        <is>
          <t>No</t>
        </is>
      </c>
      <c r="M2162" s="1" t="inlineStr">
        <is>
          <t>No</t>
        </is>
      </c>
      <c r="N2162" s="1" t="inlineStr">
        <is>
          <t>Algorithms</t>
        </is>
      </c>
      <c r="O21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63" ht="15.75" customHeight="1" s="12">
      <c r="A2163" s="1" t="n">
        <v>1900</v>
      </c>
      <c r="B2163" s="3">
        <f>HYPERLINK("https://leetcode.com/problems/the-earliest-and-latest-rounds-where-players-compete/", "The Earliest and Latest Rounds Where Players Compete")</f>
        <v/>
      </c>
      <c r="C2163" s="1" t="n">
        <v>516</v>
      </c>
      <c r="D2163" s="1" t="n">
        <v>76</v>
      </c>
      <c r="E2163" s="4">
        <f>IF(INDEX(C:C, ROW())+INDEX(D:D, ROW())=0, 0, INDEX(C:C, ROW())/(INDEX(C:C, ROW())+INDEX(D:D, ROW())))</f>
        <v/>
      </c>
      <c r="F2163" s="1" t="inlineStr">
        <is>
          <t>Dynamic Programming, Memoization</t>
        </is>
      </c>
      <c r="G2163" s="1" t="inlineStr">
        <is>
          <t>Hard</t>
        </is>
      </c>
      <c r="H2163" s="1" t="n">
        <v>62089</v>
      </c>
      <c r="I2163" s="1" t="n">
        <v>85215</v>
      </c>
      <c r="J2163" s="9" t="n">
        <v>0.729</v>
      </c>
      <c r="K2163" s="1" t="inlineStr">
        <is>
          <t>Yes</t>
        </is>
      </c>
      <c r="L2163" s="1" t="inlineStr">
        <is>
          <t>Yes</t>
        </is>
      </c>
      <c r="M2163" s="1" t="inlineStr">
        <is>
          <t>No</t>
        </is>
      </c>
      <c r="N2163" s="1" t="inlineStr">
        <is>
          <t>Algorithms</t>
        </is>
      </c>
      <c r="O21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64" ht="15.75" customHeight="1" s="12">
      <c r="A2164" s="1" t="n">
        <v>2646</v>
      </c>
      <c r="B2164" s="3">
        <f>HYPERLINK("https://leetcode.com/problems/minimize-the-total-price-of-the-trips/", "Minimize the Total Price of the Trips")</f>
        <v/>
      </c>
      <c r="C2164" s="1" t="n">
        <v>516</v>
      </c>
      <c r="D2164" s="1" t="n">
        <v>21</v>
      </c>
      <c r="E2164" s="4">
        <f>IF(INDEX(C:C, ROW())+INDEX(D:D, ROW())=0, 0, INDEX(C:C, ROW())/(INDEX(C:C, ROW())+INDEX(D:D, ROW())))</f>
        <v/>
      </c>
      <c r="F2164" s="1" t="inlineStr">
        <is>
          <t>Array, Dynamic Programming, Tree, Depth-First Search, Graph Theory</t>
        </is>
      </c>
      <c r="G2164" s="1" t="inlineStr">
        <is>
          <t>Hard</t>
        </is>
      </c>
      <c r="H2164" s="1" t="n">
        <v>13338</v>
      </c>
      <c r="I2164" s="1" t="n">
        <v>28013</v>
      </c>
      <c r="J2164" s="9" t="n">
        <v>0.476</v>
      </c>
      <c r="K2164" s="1" t="inlineStr">
        <is>
          <t>Yes</t>
        </is>
      </c>
      <c r="L2164" s="1" t="inlineStr">
        <is>
          <t>No</t>
        </is>
      </c>
      <c r="M2164" s="1" t="inlineStr">
        <is>
          <t>No</t>
        </is>
      </c>
      <c r="N2164" s="1" t="inlineStr">
        <is>
          <t>Algorithms</t>
        </is>
      </c>
      <c r="O21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65" ht="15.75" customHeight="1" s="12">
      <c r="A2165" s="1" t="n">
        <v>2596</v>
      </c>
      <c r="B2165" s="3">
        <f>HYPERLINK("https://leetcode.com/problems/check-knight-tour-configuration/", "Check Knight Tour Configuration")</f>
        <v/>
      </c>
      <c r="C2165" s="1" t="n">
        <v>515</v>
      </c>
      <c r="D2165" s="1" t="n">
        <v>65</v>
      </c>
      <c r="E2165" s="4">
        <f>IF(INDEX(C:C, ROW())+INDEX(D:D, ROW())=0, 0, INDEX(C:C, ROW())/(INDEX(C:C, ROW())+INDEX(D:D, ROW())))</f>
        <v/>
      </c>
      <c r="F2165" s="1" t="inlineStr">
        <is>
          <t>Array, Depth-First Search, Breadth-First Search, Matrix, Simulation</t>
        </is>
      </c>
      <c r="G2165" s="1" t="inlineStr">
        <is>
          <t>Medium</t>
        </is>
      </c>
      <c r="H2165" s="1" t="n">
        <v>50920</v>
      </c>
      <c r="I2165" s="1" t="n">
        <v>84566</v>
      </c>
      <c r="J2165" s="9" t="n">
        <v>0.602</v>
      </c>
      <c r="K2165" s="1" t="inlineStr">
        <is>
          <t>Yes</t>
        </is>
      </c>
      <c r="L2165" s="1" t="inlineStr">
        <is>
          <t>No</t>
        </is>
      </c>
      <c r="M2165" s="1" t="inlineStr">
        <is>
          <t>No</t>
        </is>
      </c>
      <c r="N2165" s="1" t="inlineStr">
        <is>
          <t>Algorithms</t>
        </is>
      </c>
      <c r="O21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66" ht="15.75" customHeight="1" s="12">
      <c r="A2166" s="1" t="n">
        <v>3578</v>
      </c>
      <c r="B2166" s="3">
        <f>HYPERLINK("https://leetcode.com/problems/count-partitions-with-max-min-difference-at-most-k/", "Count Partitions With Max-Min Difference at Most K")</f>
        <v/>
      </c>
      <c r="C2166" s="1" t="n">
        <v>515</v>
      </c>
      <c r="D2166" s="1" t="n">
        <v>127</v>
      </c>
      <c r="E2166" s="4">
        <f>IF(INDEX(C:C, ROW())+INDEX(D:D, ROW())=0, 0, INDEX(C:C, ROW())/(INDEX(C:C, ROW())+INDEX(D:D, ROW())))</f>
        <v/>
      </c>
      <c r="F2166" s="1" t="inlineStr">
        <is>
          <t>Array, Dynamic Programming, Queue, Sliding Window, Prefix Sum, Monotonic Queue</t>
        </is>
      </c>
      <c r="G2166" s="1" t="inlineStr">
        <is>
          <t>Medium</t>
        </is>
      </c>
      <c r="H2166" s="1" t="n">
        <v>63932</v>
      </c>
      <c r="I2166" s="1" t="n">
        <v>108276</v>
      </c>
      <c r="J2166" s="9" t="n">
        <v>0.59</v>
      </c>
      <c r="K2166" s="1" t="inlineStr">
        <is>
          <t>Yes</t>
        </is>
      </c>
      <c r="L2166" s="1" t="inlineStr">
        <is>
          <t>Yes</t>
        </is>
      </c>
      <c r="M2166" s="1" t="inlineStr">
        <is>
          <t>No</t>
        </is>
      </c>
      <c r="N2166" s="1" t="inlineStr">
        <is>
          <t>Algorithms</t>
        </is>
      </c>
      <c r="O21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67" ht="15.75" customHeight="1" s="12">
      <c r="A2167" s="1" t="n">
        <v>1172</v>
      </c>
      <c r="B2167" s="3">
        <f>HYPERLINK("https://leetcode.com/problems/dinner-plate-stacks/", "Dinner Plate Stacks")</f>
        <v/>
      </c>
      <c r="C2167" s="1" t="n">
        <v>514</v>
      </c>
      <c r="D2167" s="1" t="n">
        <v>68</v>
      </c>
      <c r="E2167" s="4">
        <f>IF(INDEX(C:C, ROW())+INDEX(D:D, ROW())=0, 0, INDEX(C:C, ROW())/(INDEX(C:C, ROW())+INDEX(D:D, ROW())))</f>
        <v/>
      </c>
      <c r="F2167" s="1" t="inlineStr">
        <is>
          <t>Hash Table, Stack, Design, Heap (Priority Queue)</t>
        </is>
      </c>
      <c r="G2167" s="1" t="inlineStr">
        <is>
          <t>Hard</t>
        </is>
      </c>
      <c r="H2167" s="1" t="n">
        <v>22939</v>
      </c>
      <c r="I2167" s="1" t="n">
        <v>68863</v>
      </c>
      <c r="J2167" s="9" t="n">
        <v>0.333</v>
      </c>
      <c r="K2167" s="1" t="inlineStr">
        <is>
          <t>Yes</t>
        </is>
      </c>
      <c r="L2167" s="1" t="inlineStr">
        <is>
          <t>No</t>
        </is>
      </c>
      <c r="M2167" s="1" t="inlineStr">
        <is>
          <t>No</t>
        </is>
      </c>
      <c r="N2167" s="1" t="inlineStr">
        <is>
          <t>Algorithms</t>
        </is>
      </c>
      <c r="O21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68" ht="15.75" customHeight="1" s="12">
      <c r="A2168" s="1" t="n">
        <v>1807</v>
      </c>
      <c r="B2168" s="3">
        <f>HYPERLINK("https://leetcode.com/problems/evaluate-the-bracket-pairs-of-a-string/", "Evaluate the Bracket Pairs of a String")</f>
        <v/>
      </c>
      <c r="C2168" s="1" t="n">
        <v>514</v>
      </c>
      <c r="D2168" s="1" t="n">
        <v>43</v>
      </c>
      <c r="E2168" s="4">
        <f>IF(INDEX(C:C, ROW())+INDEX(D:D, ROW())=0, 0, INDEX(C:C, ROW())/(INDEX(C:C, ROW())+INDEX(D:D, ROW())))</f>
        <v/>
      </c>
      <c r="F2168" s="1" t="inlineStr">
        <is>
          <t>Array, Hash Table, String</t>
        </is>
      </c>
      <c r="G2168" s="1" t="inlineStr">
        <is>
          <t>Medium</t>
        </is>
      </c>
      <c r="H2168" s="1" t="n">
        <v>40428</v>
      </c>
      <c r="I2168" s="1" t="n">
        <v>58509</v>
      </c>
      <c r="J2168" s="9" t="n">
        <v>0.6909999999999999</v>
      </c>
      <c r="K2168" s="1" t="inlineStr">
        <is>
          <t>Yes</t>
        </is>
      </c>
      <c r="L2168" s="1" t="inlineStr">
        <is>
          <t>No</t>
        </is>
      </c>
      <c r="M2168" s="1" t="inlineStr">
        <is>
          <t>No</t>
        </is>
      </c>
      <c r="N2168" s="1" t="inlineStr">
        <is>
          <t>Algorithms</t>
        </is>
      </c>
      <c r="O21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69" ht="15.75" customHeight="1" s="12">
      <c r="A2169" s="1" t="n">
        <v>1993</v>
      </c>
      <c r="B2169" s="3">
        <f>HYPERLINK("https://leetcode.com/problems/operations-on-tree/", "Operations on Tree")</f>
        <v/>
      </c>
      <c r="C2169" s="1" t="n">
        <v>514</v>
      </c>
      <c r="D2169" s="1" t="n">
        <v>85</v>
      </c>
      <c r="E2169" s="4">
        <f>IF(INDEX(C:C, ROW())+INDEX(D:D, ROW())=0, 0, INDEX(C:C, ROW())/(INDEX(C:C, ROW())+INDEX(D:D, ROW())))</f>
        <v/>
      </c>
      <c r="F2169" s="1" t="inlineStr">
        <is>
          <t>Array, Hash Table, Tree, Depth-First Search, Breadth-First Search, Design</t>
        </is>
      </c>
      <c r="G2169" s="1" t="inlineStr">
        <is>
          <t>Medium</t>
        </is>
      </c>
      <c r="H2169" s="1" t="n">
        <v>23830</v>
      </c>
      <c r="I2169" s="1" t="n">
        <v>53181</v>
      </c>
      <c r="J2169" s="9" t="n">
        <v>0.448</v>
      </c>
      <c r="K2169" s="1" t="inlineStr">
        <is>
          <t>Yes</t>
        </is>
      </c>
      <c r="L2169" s="1" t="inlineStr">
        <is>
          <t>No</t>
        </is>
      </c>
      <c r="M2169" s="1" t="inlineStr">
        <is>
          <t>No</t>
        </is>
      </c>
      <c r="N2169" s="1" t="inlineStr">
        <is>
          <t>Algorithms</t>
        </is>
      </c>
      <c r="O21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70" ht="15.75" customHeight="1" s="12">
      <c r="A2170" s="1" t="n">
        <v>2399</v>
      </c>
      <c r="B2170" s="3">
        <f>HYPERLINK("https://leetcode.com/problems/check-distances-between-same-letters/", "Check Distances Between Same Letters")</f>
        <v/>
      </c>
      <c r="C2170" s="1" t="n">
        <v>514</v>
      </c>
      <c r="D2170" s="1" t="n">
        <v>70</v>
      </c>
      <c r="E2170" s="4">
        <f>IF(INDEX(C:C, ROW())+INDEX(D:D, ROW())=0, 0, INDEX(C:C, ROW())/(INDEX(C:C, ROW())+INDEX(D:D, ROW())))</f>
        <v/>
      </c>
      <c r="F2170" s="1" t="inlineStr">
        <is>
          <t>Array, Hash Table, String</t>
        </is>
      </c>
      <c r="G2170" s="1" t="inlineStr">
        <is>
          <t>Easy</t>
        </is>
      </c>
      <c r="H2170" s="1" t="n">
        <v>61546</v>
      </c>
      <c r="I2170" s="1" t="n">
        <v>86198</v>
      </c>
      <c r="J2170" s="9" t="n">
        <v>0.714</v>
      </c>
      <c r="K2170" s="1" t="inlineStr">
        <is>
          <t>Yes</t>
        </is>
      </c>
      <c r="L2170" s="1" t="inlineStr">
        <is>
          <t>No</t>
        </is>
      </c>
      <c r="M2170" s="1" t="inlineStr">
        <is>
          <t>No</t>
        </is>
      </c>
      <c r="N2170" s="1" t="inlineStr">
        <is>
          <t>Algorithms</t>
        </is>
      </c>
      <c r="O21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71" ht="15.75" customHeight="1" s="12">
      <c r="A2171" s="1" t="n">
        <v>1409</v>
      </c>
      <c r="B2171" s="3">
        <f>HYPERLINK("https://leetcode.com/problems/queries-on-a-permutation-with-key/", "Queries on a Permutation With Key")</f>
        <v/>
      </c>
      <c r="C2171" s="1" t="n">
        <v>513</v>
      </c>
      <c r="D2171" s="1" t="n">
        <v>644</v>
      </c>
      <c r="E2171" s="4">
        <f>IF(INDEX(C:C, ROW())+INDEX(D:D, ROW())=0, 0, INDEX(C:C, ROW())/(INDEX(C:C, ROW())+INDEX(D:D, ROW())))</f>
        <v/>
      </c>
      <c r="F2171" s="1" t="inlineStr">
        <is>
          <t>Array, Binary Indexed Tree, Simulation</t>
        </is>
      </c>
      <c r="G2171" s="1" t="inlineStr">
        <is>
          <t>Medium</t>
        </is>
      </c>
      <c r="H2171" s="1" t="n">
        <v>57946</v>
      </c>
      <c r="I2171" s="1" t="n">
        <v>68354</v>
      </c>
      <c r="J2171" s="9" t="n">
        <v>0.848</v>
      </c>
      <c r="K2171" s="1" t="inlineStr">
        <is>
          <t>Yes</t>
        </is>
      </c>
      <c r="L2171" s="1" t="inlineStr">
        <is>
          <t>No</t>
        </is>
      </c>
      <c r="M2171" s="1" t="inlineStr">
        <is>
          <t>No</t>
        </is>
      </c>
      <c r="N2171" s="1" t="inlineStr">
        <is>
          <t>Algorithms</t>
        </is>
      </c>
      <c r="O21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72" ht="15.75" customHeight="1" s="12">
      <c r="A2172" s="1" t="n">
        <v>2212</v>
      </c>
      <c r="B2172" s="3">
        <f>HYPERLINK("https://leetcode.com/problems/maximum-points-in-an-archery-competition/", "Maximum Points in an Archery Competition")</f>
        <v/>
      </c>
      <c r="C2172" s="1" t="n">
        <v>513</v>
      </c>
      <c r="D2172" s="1" t="n">
        <v>57</v>
      </c>
      <c r="E2172" s="4">
        <f>IF(INDEX(C:C, ROW())+INDEX(D:D, ROW())=0, 0, INDEX(C:C, ROW())/(INDEX(C:C, ROW())+INDEX(D:D, ROW())))</f>
        <v/>
      </c>
      <c r="F2172" s="1" t="inlineStr">
        <is>
          <t>Array, Backtracking, Bit Manipulation, Enumeration</t>
        </is>
      </c>
      <c r="G2172" s="1" t="inlineStr">
        <is>
          <t>Medium</t>
        </is>
      </c>
      <c r="H2172" s="1" t="n">
        <v>19294</v>
      </c>
      <c r="I2172" s="1" t="n">
        <v>37659</v>
      </c>
      <c r="J2172" s="9" t="n">
        <v>0.512</v>
      </c>
      <c r="K2172" s="1" t="inlineStr">
        <is>
          <t>Yes</t>
        </is>
      </c>
      <c r="L2172" s="1" t="inlineStr">
        <is>
          <t>No</t>
        </is>
      </c>
      <c r="M2172" s="1" t="inlineStr">
        <is>
          <t>No</t>
        </is>
      </c>
      <c r="N2172" s="1" t="inlineStr">
        <is>
          <t>Algorithms</t>
        </is>
      </c>
      <c r="O21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73" ht="15.75" customHeight="1" s="12">
      <c r="A2173" s="1" t="n">
        <v>3021</v>
      </c>
      <c r="B2173" s="3">
        <f>HYPERLINK("https://leetcode.com/problems/alice-and-bob-playing-flower-game/", "Alice and Bob Playing Flower Game")</f>
        <v/>
      </c>
      <c r="C2173" s="1" t="n">
        <v>513</v>
      </c>
      <c r="D2173" s="1" t="n">
        <v>271</v>
      </c>
      <c r="E2173" s="4">
        <f>IF(INDEX(C:C, ROW())+INDEX(D:D, ROW())=0, 0, INDEX(C:C, ROW())/(INDEX(C:C, ROW())+INDEX(D:D, ROW())))</f>
        <v/>
      </c>
      <c r="F2173" s="1" t="inlineStr">
        <is>
          <t>Math</t>
        </is>
      </c>
      <c r="G2173" s="1" t="inlineStr">
        <is>
          <t>Medium</t>
        </is>
      </c>
      <c r="H2173" s="1" t="n">
        <v>125171</v>
      </c>
      <c r="I2173" s="1" t="n">
        <v>208185</v>
      </c>
      <c r="J2173" s="9" t="n">
        <v>0.601</v>
      </c>
      <c r="K2173" s="1" t="inlineStr">
        <is>
          <t>Yes</t>
        </is>
      </c>
      <c r="L2173" s="1" t="inlineStr">
        <is>
          <t>Yes</t>
        </is>
      </c>
      <c r="M2173" s="1" t="inlineStr">
        <is>
          <t>No</t>
        </is>
      </c>
      <c r="N2173" s="1" t="inlineStr">
        <is>
          <t>Algorithms</t>
        </is>
      </c>
      <c r="O21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74" ht="15.75" customHeight="1" s="12">
      <c r="A2174" s="1" t="n">
        <v>3289</v>
      </c>
      <c r="B2174" s="3">
        <f>HYPERLINK("https://leetcode.com/problems/the-two-sneaky-numbers-of-digitville/", "The Two Sneaky Numbers of Digitville")</f>
        <v/>
      </c>
      <c r="C2174" s="1" t="n">
        <v>513</v>
      </c>
      <c r="D2174" s="1" t="n">
        <v>21</v>
      </c>
      <c r="E2174" s="4">
        <f>IF(INDEX(C:C, ROW())+INDEX(D:D, ROW())=0, 0, INDEX(C:C, ROW())/(INDEX(C:C, ROW())+INDEX(D:D, ROW())))</f>
        <v/>
      </c>
      <c r="F2174" s="1" t="inlineStr">
        <is>
          <t>Array, Hash Table, Math</t>
        </is>
      </c>
      <c r="G2174" s="1" t="inlineStr">
        <is>
          <t>Easy</t>
        </is>
      </c>
      <c r="H2174" s="1" t="n">
        <v>241508</v>
      </c>
      <c r="I2174" s="1" t="n">
        <v>268600</v>
      </c>
      <c r="J2174" s="9" t="n">
        <v>0.899</v>
      </c>
      <c r="K2174" s="1" t="inlineStr">
        <is>
          <t>Yes</t>
        </is>
      </c>
      <c r="L2174" s="1" t="inlineStr">
        <is>
          <t>Yes</t>
        </is>
      </c>
      <c r="M2174" s="1" t="inlineStr">
        <is>
          <t>No</t>
        </is>
      </c>
      <c r="N2174" s="1" t="inlineStr">
        <is>
          <t>Algorithms</t>
        </is>
      </c>
      <c r="O21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75" ht="15.75" customHeight="1" s="12">
      <c r="A2175" s="1" t="n">
        <v>439</v>
      </c>
      <c r="B2175" s="3">
        <f>HYPERLINK("https://leetcode.com/problems/ternary-expression-parser/", "Ternary Expression Parser")</f>
        <v/>
      </c>
      <c r="C2175" s="1" t="n">
        <v>512</v>
      </c>
      <c r="D2175" s="1" t="n">
        <v>74</v>
      </c>
      <c r="E2175" s="4">
        <f>IF(INDEX(C:C, ROW())+INDEX(D:D, ROW())=0, 0, INDEX(C:C, ROW())/(INDEX(C:C, ROW())+INDEX(D:D, ROW())))</f>
        <v/>
      </c>
      <c r="F2175" s="1" t="inlineStr">
        <is>
          <t>String, Stack, Recursion</t>
        </is>
      </c>
      <c r="G2175" s="1" t="inlineStr">
        <is>
          <t>Medium</t>
        </is>
      </c>
      <c r="H2175" s="1" t="n">
        <v>38084</v>
      </c>
      <c r="I2175" s="1" t="n">
        <v>61036</v>
      </c>
      <c r="J2175" s="9" t="n">
        <v>0.624</v>
      </c>
      <c r="K2175" s="1" t="inlineStr">
        <is>
          <t>No</t>
        </is>
      </c>
      <c r="L2175" s="1" t="inlineStr">
        <is>
          <t>Yes</t>
        </is>
      </c>
      <c r="M2175" s="1" t="inlineStr">
        <is>
          <t>No</t>
        </is>
      </c>
      <c r="N2175" s="1" t="inlineStr">
        <is>
          <t>Algorithms</t>
        </is>
      </c>
      <c r="O21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76" ht="15.75" customHeight="1" s="12">
      <c r="A2176" s="1" t="n">
        <v>2030</v>
      </c>
      <c r="B2176" s="3">
        <f>HYPERLINK("https://leetcode.com/problems/smallest-k-length-subsequence-with-occurrences-of-a-letter/", "Smallest K-Length Subsequence With Occurrences of a Letter")</f>
        <v/>
      </c>
      <c r="C2176" s="1" t="n">
        <v>511</v>
      </c>
      <c r="D2176" s="1" t="n">
        <v>15</v>
      </c>
      <c r="E2176" s="4">
        <f>IF(INDEX(C:C, ROW())+INDEX(D:D, ROW())=0, 0, INDEX(C:C, ROW())/(INDEX(C:C, ROW())+INDEX(D:D, ROW())))</f>
        <v/>
      </c>
      <c r="F2176" s="1" t="inlineStr">
        <is>
          <t>String, Stack, Greedy, Monotonic Stack</t>
        </is>
      </c>
      <c r="G2176" s="1" t="inlineStr">
        <is>
          <t>Hard</t>
        </is>
      </c>
      <c r="H2176" s="1" t="n">
        <v>11037</v>
      </c>
      <c r="I2176" s="1" t="n">
        <v>28006</v>
      </c>
      <c r="J2176" s="9" t="n">
        <v>0.394</v>
      </c>
      <c r="K2176" s="1" t="inlineStr">
        <is>
          <t>Yes</t>
        </is>
      </c>
      <c r="L2176" s="1" t="inlineStr">
        <is>
          <t>No</t>
        </is>
      </c>
      <c r="M2176" s="1" t="inlineStr">
        <is>
          <t>No</t>
        </is>
      </c>
      <c r="N2176" s="1" t="inlineStr">
        <is>
          <t>Algorithms</t>
        </is>
      </c>
      <c r="O21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77" ht="15.75" customHeight="1" s="12">
      <c r="A2177" s="1" t="n">
        <v>499</v>
      </c>
      <c r="B2177" s="3">
        <f>HYPERLINK("https://leetcode.com/problems/the-maze-iii/", "The Maze III")</f>
        <v/>
      </c>
      <c r="C2177" s="1" t="n">
        <v>510</v>
      </c>
      <c r="D2177" s="1" t="n">
        <v>75</v>
      </c>
      <c r="E2177" s="4">
        <f>IF(INDEX(C:C, ROW())+INDEX(D:D, ROW())=0, 0, INDEX(C:C, ROW())/(INDEX(C:C, ROW())+INDEX(D:D, ROW())))</f>
        <v/>
      </c>
      <c r="F2177" s="1" t="inlineStr">
        <is>
          <t>Array, String, Depth-First Search, Breadth-First Search, Graph Theory, Heap (Priority Queue), Matrix, Shortest Path</t>
        </is>
      </c>
      <c r="G2177" s="1" t="inlineStr">
        <is>
          <t>Hard</t>
        </is>
      </c>
      <c r="H2177" s="1" t="n">
        <v>37973</v>
      </c>
      <c r="I2177" s="1" t="n">
        <v>73990</v>
      </c>
      <c r="J2177" s="9" t="n">
        <v>0.513</v>
      </c>
      <c r="K2177" s="1" t="inlineStr">
        <is>
          <t>No</t>
        </is>
      </c>
      <c r="L2177" s="1" t="inlineStr">
        <is>
          <t>Yes</t>
        </is>
      </c>
      <c r="M2177" s="1" t="inlineStr">
        <is>
          <t>No</t>
        </is>
      </c>
      <c r="N2177" s="1" t="inlineStr">
        <is>
          <t>Algorithms</t>
        </is>
      </c>
      <c r="O21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78" ht="15.75" customHeight="1" s="12">
      <c r="A2178" s="1" t="n">
        <v>866</v>
      </c>
      <c r="B2178" s="3">
        <f>HYPERLINK("https://leetcode.com/problems/prime-palindrome/", "Prime Palindrome")</f>
        <v/>
      </c>
      <c r="C2178" s="1" t="n">
        <v>510</v>
      </c>
      <c r="D2178" s="1" t="n">
        <v>844</v>
      </c>
      <c r="E2178" s="4">
        <f>IF(INDEX(C:C, ROW())+INDEX(D:D, ROW())=0, 0, INDEX(C:C, ROW())/(INDEX(C:C, ROW())+INDEX(D:D, ROW())))</f>
        <v/>
      </c>
      <c r="F2178" s="1" t="inlineStr">
        <is>
          <t>Math, Number Theory</t>
        </is>
      </c>
      <c r="G2178" s="1" t="inlineStr">
        <is>
          <t>Medium</t>
        </is>
      </c>
      <c r="H2178" s="1" t="n">
        <v>47544</v>
      </c>
      <c r="I2178" s="1" t="n">
        <v>170690</v>
      </c>
      <c r="J2178" s="9" t="n">
        <v>0.279</v>
      </c>
      <c r="K2178" s="1" t="inlineStr">
        <is>
          <t>Yes</t>
        </is>
      </c>
      <c r="L2178" s="1" t="inlineStr">
        <is>
          <t>Yes</t>
        </is>
      </c>
      <c r="M2178" s="1" t="inlineStr">
        <is>
          <t>No</t>
        </is>
      </c>
      <c r="N2178" s="1" t="inlineStr">
        <is>
          <t>Algorithms</t>
        </is>
      </c>
      <c r="O21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79" ht="15.75" customHeight="1" s="12">
      <c r="A2179" s="1" t="n">
        <v>1923</v>
      </c>
      <c r="B2179" s="3">
        <f>HYPERLINK("https://leetcode.com/problems/longest-common-subpath/", "Longest Common Subpath")</f>
        <v/>
      </c>
      <c r="C2179" s="1" t="n">
        <v>510</v>
      </c>
      <c r="D2179" s="1" t="n">
        <v>39</v>
      </c>
      <c r="E2179" s="4">
        <f>IF(INDEX(C:C, ROW())+INDEX(D:D, ROW())=0, 0, INDEX(C:C, ROW())/(INDEX(C:C, ROW())+INDEX(D:D, ROW())))</f>
        <v/>
      </c>
      <c r="F2179" s="1" t="inlineStr">
        <is>
          <t>Array, Binary Search, Rolling Hash, Suffix Array, Hash Function</t>
        </is>
      </c>
      <c r="G2179" s="1" t="inlineStr">
        <is>
          <t>Hard</t>
        </is>
      </c>
      <c r="H2179" s="1" t="n">
        <v>9788</v>
      </c>
      <c r="I2179" s="1" t="n">
        <v>33575</v>
      </c>
      <c r="J2179" s="9" t="n">
        <v>0.292</v>
      </c>
      <c r="K2179" s="1" t="inlineStr">
        <is>
          <t>Yes</t>
        </is>
      </c>
      <c r="L2179" s="1" t="inlineStr">
        <is>
          <t>No</t>
        </is>
      </c>
      <c r="M2179" s="1" t="inlineStr">
        <is>
          <t>No</t>
        </is>
      </c>
      <c r="N2179" s="1" t="inlineStr">
        <is>
          <t>Algorithms</t>
        </is>
      </c>
      <c r="O21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80" ht="15.75" customHeight="1" s="12">
      <c r="A2180" s="1" t="n">
        <v>1997</v>
      </c>
      <c r="B2180" s="3">
        <f>HYPERLINK("https://leetcode.com/problems/first-day-where-you-have-been-in-all-the-rooms/", "First Day Where You Have Been in All the Rooms")</f>
        <v/>
      </c>
      <c r="C2180" s="1" t="n">
        <v>509</v>
      </c>
      <c r="D2180" s="1" t="n">
        <v>104</v>
      </c>
      <c r="E2180" s="4">
        <f>IF(INDEX(C:C, ROW())+INDEX(D:D, ROW())=0, 0, INDEX(C:C, ROW())/(INDEX(C:C, ROW())+INDEX(D:D, ROW())))</f>
        <v/>
      </c>
      <c r="F2180" s="1" t="inlineStr">
        <is>
          <t>Array, Dynamic Programming</t>
        </is>
      </c>
      <c r="G2180" s="1" t="inlineStr">
        <is>
          <t>Medium</t>
        </is>
      </c>
      <c r="H2180" s="1" t="n">
        <v>15394</v>
      </c>
      <c r="I2180" s="1" t="n">
        <v>38209</v>
      </c>
      <c r="J2180" s="9" t="n">
        <v>0.403</v>
      </c>
      <c r="K2180" s="1" t="inlineStr">
        <is>
          <t>Yes</t>
        </is>
      </c>
      <c r="L2180" s="1" t="inlineStr">
        <is>
          <t>No</t>
        </is>
      </c>
      <c r="M2180" s="1" t="inlineStr">
        <is>
          <t>No</t>
        </is>
      </c>
      <c r="N2180" s="1" t="inlineStr">
        <is>
          <t>Algorithms</t>
        </is>
      </c>
      <c r="O21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81" ht="15.75" customHeight="1" s="12">
      <c r="A2181" s="1" t="n">
        <v>663</v>
      </c>
      <c r="B2181" s="3">
        <f>HYPERLINK("https://leetcode.com/problems/equal-tree-partition/", "Equal Tree Partition")</f>
        <v/>
      </c>
      <c r="C2181" s="1" t="n">
        <v>507</v>
      </c>
      <c r="D2181" s="1" t="n">
        <v>37</v>
      </c>
      <c r="E2181" s="4">
        <f>IF(INDEX(C:C, ROW())+INDEX(D:D, ROW())=0, 0, INDEX(C:C, ROW())/(INDEX(C:C, ROW())+INDEX(D:D, ROW())))</f>
        <v/>
      </c>
      <c r="F2181" s="1" t="inlineStr">
        <is>
          <t>Tree, Depth-First Search, Binary Tree</t>
        </is>
      </c>
      <c r="G2181" s="1" t="inlineStr">
        <is>
          <t>Medium</t>
        </is>
      </c>
      <c r="H2181" s="1" t="n">
        <v>36581</v>
      </c>
      <c r="I2181" s="1" t="n">
        <v>86557</v>
      </c>
      <c r="J2181" s="9" t="n">
        <v>0.423</v>
      </c>
      <c r="K2181" s="1" t="inlineStr">
        <is>
          <t>No</t>
        </is>
      </c>
      <c r="L2181" s="1" t="inlineStr">
        <is>
          <t>Yes</t>
        </is>
      </c>
      <c r="M2181" s="1" t="inlineStr">
        <is>
          <t>No</t>
        </is>
      </c>
      <c r="N2181" s="1" t="inlineStr">
        <is>
          <t>Algorithms</t>
        </is>
      </c>
      <c r="O21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82" ht="15.75" customHeight="1" s="12">
      <c r="A2182" s="1" t="n">
        <v>2769</v>
      </c>
      <c r="B2182" s="3">
        <f>HYPERLINK("https://leetcode.com/problems/find-the-maximum-achievable-number/", "Find the Maximum Achievable Number")</f>
        <v/>
      </c>
      <c r="C2182" s="1" t="n">
        <v>507</v>
      </c>
      <c r="D2182" s="1" t="n">
        <v>758</v>
      </c>
      <c r="E2182" s="4">
        <f>IF(INDEX(C:C, ROW())+INDEX(D:D, ROW())=0, 0, INDEX(C:C, ROW())/(INDEX(C:C, ROW())+INDEX(D:D, ROW())))</f>
        <v/>
      </c>
      <c r="F2182" s="1" t="inlineStr">
        <is>
          <t>Math</t>
        </is>
      </c>
      <c r="G2182" s="1" t="inlineStr">
        <is>
          <t>Easy</t>
        </is>
      </c>
      <c r="H2182" s="1" t="n">
        <v>192900</v>
      </c>
      <c r="I2182" s="1" t="n">
        <v>211694</v>
      </c>
      <c r="J2182" s="9" t="n">
        <v>0.911</v>
      </c>
      <c r="K2182" s="1" t="inlineStr">
        <is>
          <t>Yes</t>
        </is>
      </c>
      <c r="L2182" s="1" t="inlineStr">
        <is>
          <t>No</t>
        </is>
      </c>
      <c r="M2182" s="1" t="inlineStr">
        <is>
          <t>No</t>
        </is>
      </c>
      <c r="N2182" s="1" t="inlineStr">
        <is>
          <t>Algorithms</t>
        </is>
      </c>
      <c r="O21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83" ht="15.75" customHeight="1" s="12">
      <c r="A2183" s="1" t="n">
        <v>3494</v>
      </c>
      <c r="B2183" s="3">
        <f>HYPERLINK("https://leetcode.com/problems/find-the-minimum-amount-of-time-to-brew-potions/", "Find the Minimum Amount of Time to Brew Potions")</f>
        <v/>
      </c>
      <c r="C2183" s="1" t="n">
        <v>506</v>
      </c>
      <c r="D2183" s="1" t="n">
        <v>357</v>
      </c>
      <c r="E2183" s="4">
        <f>IF(INDEX(C:C, ROW())+INDEX(D:D, ROW())=0, 0, INDEX(C:C, ROW())/(INDEX(C:C, ROW())+INDEX(D:D, ROW())))</f>
        <v/>
      </c>
      <c r="F2183" s="1" t="inlineStr">
        <is>
          <t>Array, Simulation, Prefix Sum</t>
        </is>
      </c>
      <c r="G2183" s="1" t="inlineStr">
        <is>
          <t>Medium</t>
        </is>
      </c>
      <c r="H2183" s="1" t="n">
        <v>85736</v>
      </c>
      <c r="I2183" s="1" t="n">
        <v>136733</v>
      </c>
      <c r="J2183" s="9" t="n">
        <v>0.627</v>
      </c>
      <c r="K2183" s="1" t="inlineStr">
        <is>
          <t>Yes</t>
        </is>
      </c>
      <c r="L2183" s="1" t="inlineStr">
        <is>
          <t>Yes</t>
        </is>
      </c>
      <c r="M2183" s="1" t="inlineStr">
        <is>
          <t>No</t>
        </is>
      </c>
      <c r="N2183" s="1" t="inlineStr">
        <is>
          <t>Algorithms</t>
        </is>
      </c>
      <c r="O21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84" ht="15.75" customHeight="1" s="12">
      <c r="A2184" s="1" t="n">
        <v>1096</v>
      </c>
      <c r="B2184" s="3">
        <f>HYPERLINK("https://leetcode.com/problems/brace-expansion-ii/", "Brace Expansion II")</f>
        <v/>
      </c>
      <c r="C2184" s="1" t="n">
        <v>505</v>
      </c>
      <c r="D2184" s="1" t="n">
        <v>294</v>
      </c>
      <c r="E2184" s="4">
        <f>IF(INDEX(C:C, ROW())+INDEX(D:D, ROW())=0, 0, INDEX(C:C, ROW())/(INDEX(C:C, ROW())+INDEX(D:D, ROW())))</f>
        <v/>
      </c>
      <c r="F2184" s="1" t="inlineStr">
        <is>
          <t>Hash Table, String, Backtracking, Stack, Breadth-First Search, Sorting</t>
        </is>
      </c>
      <c r="G2184" s="1" t="inlineStr">
        <is>
          <t>Hard</t>
        </is>
      </c>
      <c r="H2184" s="1" t="n">
        <v>28804</v>
      </c>
      <c r="I2184" s="1" t="n">
        <v>45224</v>
      </c>
      <c r="J2184" s="9" t="n">
        <v>0.637</v>
      </c>
      <c r="K2184" s="1" t="inlineStr">
        <is>
          <t>Yes</t>
        </is>
      </c>
      <c r="L2184" s="1" t="inlineStr">
        <is>
          <t>No</t>
        </is>
      </c>
      <c r="M2184" s="1" t="inlineStr">
        <is>
          <t>No</t>
        </is>
      </c>
      <c r="N2184" s="1" t="inlineStr">
        <is>
          <t>Algorithms</t>
        </is>
      </c>
      <c r="O21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85" ht="15.75" customHeight="1" s="12">
      <c r="A2185" s="1" t="n">
        <v>1994</v>
      </c>
      <c r="B2185" s="3">
        <f>HYPERLINK("https://leetcode.com/problems/the-number-of-good-subsets/", "The Number of Good Subsets")</f>
        <v/>
      </c>
      <c r="C2185" s="1" t="n">
        <v>505</v>
      </c>
      <c r="D2185" s="1" t="n">
        <v>17</v>
      </c>
      <c r="E2185" s="4">
        <f>IF(INDEX(C:C, ROW())+INDEX(D:D, ROW())=0, 0, INDEX(C:C, ROW())/(INDEX(C:C, ROW())+INDEX(D:D, ROW())))</f>
        <v/>
      </c>
      <c r="F2185" s="1" t="inlineStr">
        <is>
          <t>Array, Hash Table, Math, Dynamic Programming, Bit Manipulation, Counting, Number Theory, Bitmask DP</t>
        </is>
      </c>
      <c r="G2185" s="1" t="inlineStr">
        <is>
          <t>Hard</t>
        </is>
      </c>
      <c r="H2185" s="1" t="n">
        <v>10933</v>
      </c>
      <c r="I2185" s="1" t="n">
        <v>29675</v>
      </c>
      <c r="J2185" s="9" t="n">
        <v>0.368</v>
      </c>
      <c r="K2185" s="1" t="inlineStr">
        <is>
          <t>Yes</t>
        </is>
      </c>
      <c r="L2185" s="1" t="inlineStr">
        <is>
          <t>No</t>
        </is>
      </c>
      <c r="M2185" s="1" t="inlineStr">
        <is>
          <t>No</t>
        </is>
      </c>
      <c r="N2185" s="1" t="inlineStr">
        <is>
          <t>Algorithms</t>
        </is>
      </c>
      <c r="O21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86" ht="15.75" customHeight="1" s="12">
      <c r="A2186" s="1" t="n">
        <v>2572</v>
      </c>
      <c r="B2186" s="3">
        <f>HYPERLINK("https://leetcode.com/problems/count-the-number-of-square-free-subsets/", "Count the Number of Square-Free Subsets")</f>
        <v/>
      </c>
      <c r="C2186" s="1" t="n">
        <v>505</v>
      </c>
      <c r="D2186" s="1" t="n">
        <v>121</v>
      </c>
      <c r="E2186" s="4">
        <f>IF(INDEX(C:C, ROW())+INDEX(D:D, ROW())=0, 0, INDEX(C:C, ROW())/(INDEX(C:C, ROW())+INDEX(D:D, ROW())))</f>
        <v/>
      </c>
      <c r="F2186" s="1" t="inlineStr">
        <is>
          <t>Array, Math, Dynamic Programming, Bit Manipulation, Bitmask DP</t>
        </is>
      </c>
      <c r="G2186" s="1" t="inlineStr">
        <is>
          <t>Medium</t>
        </is>
      </c>
      <c r="H2186" s="1" t="n">
        <v>13676</v>
      </c>
      <c r="I2186" s="1" t="n">
        <v>52013</v>
      </c>
      <c r="J2186" s="9" t="n">
        <v>0.263</v>
      </c>
      <c r="K2186" s="1" t="inlineStr">
        <is>
          <t>Yes</t>
        </is>
      </c>
      <c r="L2186" s="1" t="inlineStr">
        <is>
          <t>No</t>
        </is>
      </c>
      <c r="M2186" s="1" t="inlineStr">
        <is>
          <t>No</t>
        </is>
      </c>
      <c r="N2186" s="1" t="inlineStr">
        <is>
          <t>Algorithms</t>
        </is>
      </c>
      <c r="O21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87" ht="15.75" customHeight="1" s="12">
      <c r="A2187" s="1" t="n">
        <v>2585</v>
      </c>
      <c r="B2187" s="3">
        <f>HYPERLINK("https://leetcode.com/problems/number-of-ways-to-earn-points/", "Number of Ways to Earn Points")</f>
        <v/>
      </c>
      <c r="C2187" s="1" t="n">
        <v>505</v>
      </c>
      <c r="D2187" s="1" t="n">
        <v>12</v>
      </c>
      <c r="E2187" s="4">
        <f>IF(INDEX(C:C, ROW())+INDEX(D:D, ROW())=0, 0, INDEX(C:C, ROW())/(INDEX(C:C, ROW())+INDEX(D:D, ROW())))</f>
        <v/>
      </c>
      <c r="F2187" s="1" t="inlineStr">
        <is>
          <t>Array, Dynamic Programming</t>
        </is>
      </c>
      <c r="G2187" s="1" t="inlineStr">
        <is>
          <t>Hard</t>
        </is>
      </c>
      <c r="H2187" s="1" t="n">
        <v>22824</v>
      </c>
      <c r="I2187" s="1" t="n">
        <v>38447</v>
      </c>
      <c r="J2187" s="9" t="n">
        <v>0.594</v>
      </c>
      <c r="K2187" s="1" t="inlineStr">
        <is>
          <t>Yes</t>
        </is>
      </c>
      <c r="L2187" s="1" t="inlineStr">
        <is>
          <t>No</t>
        </is>
      </c>
      <c r="M2187" s="1" t="inlineStr">
        <is>
          <t>No</t>
        </is>
      </c>
      <c r="N2187" s="1" t="inlineStr">
        <is>
          <t>Algorithms</t>
        </is>
      </c>
      <c r="O21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88" ht="15.75" customHeight="1" s="12">
      <c r="A2188" s="1" t="n">
        <v>1507</v>
      </c>
      <c r="B2188" s="3">
        <f>HYPERLINK("https://leetcode.com/problems/reformat-date/", "Reformat Date")</f>
        <v/>
      </c>
      <c r="C2188" s="1" t="n">
        <v>504</v>
      </c>
      <c r="D2188" s="1" t="n">
        <v>441</v>
      </c>
      <c r="E2188" s="4">
        <f>IF(INDEX(C:C, ROW())+INDEX(D:D, ROW())=0, 0, INDEX(C:C, ROW())/(INDEX(C:C, ROW())+INDEX(D:D, ROW())))</f>
        <v/>
      </c>
      <c r="F2188" s="1" t="inlineStr">
        <is>
          <t>String</t>
        </is>
      </c>
      <c r="G2188" s="1" t="inlineStr">
        <is>
          <t>Easy</t>
        </is>
      </c>
      <c r="H2188" s="1" t="n">
        <v>93509</v>
      </c>
      <c r="I2188" s="1" t="n">
        <v>137350</v>
      </c>
      <c r="J2188" s="9" t="n">
        <v>0.681</v>
      </c>
      <c r="K2188" s="1" t="inlineStr">
        <is>
          <t>Yes</t>
        </is>
      </c>
      <c r="L2188" s="1" t="inlineStr">
        <is>
          <t>No</t>
        </is>
      </c>
      <c r="M2188" s="1" t="inlineStr">
        <is>
          <t>No</t>
        </is>
      </c>
      <c r="N2188" s="1" t="inlineStr">
        <is>
          <t>Algorithms</t>
        </is>
      </c>
      <c r="O21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89" ht="15.75" customHeight="1" s="12">
      <c r="A2189" s="1" t="n">
        <v>2157</v>
      </c>
      <c r="B2189" s="3">
        <f>HYPERLINK("https://leetcode.com/problems/groups-of-strings/", "Groups of Strings")</f>
        <v/>
      </c>
      <c r="C2189" s="1" t="n">
        <v>504</v>
      </c>
      <c r="D2189" s="1" t="n">
        <v>62</v>
      </c>
      <c r="E2189" s="4">
        <f>IF(INDEX(C:C, ROW())+INDEX(D:D, ROW())=0, 0, INDEX(C:C, ROW())/(INDEX(C:C, ROW())+INDEX(D:D, ROW())))</f>
        <v/>
      </c>
      <c r="F2189" s="1" t="inlineStr">
        <is>
          <t>String, Bit Manipulation, Union-Find</t>
        </is>
      </c>
      <c r="G2189" s="1" t="inlineStr">
        <is>
          <t>Hard</t>
        </is>
      </c>
      <c r="H2189" s="1" t="n">
        <v>11576</v>
      </c>
      <c r="I2189" s="1" t="n">
        <v>42494</v>
      </c>
      <c r="J2189" s="9" t="n">
        <v>0.272</v>
      </c>
      <c r="K2189" s="1" t="inlineStr">
        <is>
          <t>Yes</t>
        </is>
      </c>
      <c r="L2189" s="1" t="inlineStr">
        <is>
          <t>No</t>
        </is>
      </c>
      <c r="M2189" s="1" t="inlineStr">
        <is>
          <t>No</t>
        </is>
      </c>
      <c r="N2189" s="1" t="inlineStr">
        <is>
          <t>Algorithms</t>
        </is>
      </c>
      <c r="O21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90" ht="15.75" customHeight="1" s="12">
      <c r="A2190" s="1" t="n">
        <v>2592</v>
      </c>
      <c r="B2190" s="3">
        <f>HYPERLINK("https://leetcode.com/problems/maximize-greatness-of-an-array/", "Maximize Greatness of an Array")</f>
        <v/>
      </c>
      <c r="C2190" s="1" t="n">
        <v>503</v>
      </c>
      <c r="D2190" s="1" t="n">
        <v>21</v>
      </c>
      <c r="E2190" s="4">
        <f>IF(INDEX(C:C, ROW())+INDEX(D:D, ROW())=0, 0, INDEX(C:C, ROW())/(INDEX(C:C, ROW())+INDEX(D:D, ROW())))</f>
        <v/>
      </c>
      <c r="F2190" s="1" t="inlineStr">
        <is>
          <t>Array, Two Pointers, Greedy, Sorting</t>
        </is>
      </c>
      <c r="G2190" s="1" t="inlineStr">
        <is>
          <t>Medium</t>
        </is>
      </c>
      <c r="H2190" s="1" t="n">
        <v>40174</v>
      </c>
      <c r="I2190" s="1" t="n">
        <v>65846</v>
      </c>
      <c r="J2190" s="9" t="n">
        <v>0.61</v>
      </c>
      <c r="K2190" s="1" t="inlineStr">
        <is>
          <t>Yes</t>
        </is>
      </c>
      <c r="L2190" s="1" t="inlineStr">
        <is>
          <t>No</t>
        </is>
      </c>
      <c r="M2190" s="1" t="inlineStr">
        <is>
          <t>No</t>
        </is>
      </c>
      <c r="N2190" s="1" t="inlineStr">
        <is>
          <t>Algorithms</t>
        </is>
      </c>
      <c r="O21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91" ht="15.75" customHeight="1" s="12">
      <c r="A2191" s="1" t="n">
        <v>2810</v>
      </c>
      <c r="B2191" s="3">
        <f>HYPERLINK("https://leetcode.com/problems/faulty-keyboard/", "Faulty Keyboard")</f>
        <v/>
      </c>
      <c r="C2191" s="1" t="n">
        <v>503</v>
      </c>
      <c r="D2191" s="1" t="n">
        <v>16</v>
      </c>
      <c r="E2191" s="4">
        <f>IF(INDEX(C:C, ROW())+INDEX(D:D, ROW())=0, 0, INDEX(C:C, ROW())/(INDEX(C:C, ROW())+INDEX(D:D, ROW())))</f>
        <v/>
      </c>
      <c r="F2191" s="1" t="inlineStr">
        <is>
          <t>String, Simulation</t>
        </is>
      </c>
      <c r="G2191" s="1" t="inlineStr">
        <is>
          <t>Easy</t>
        </is>
      </c>
      <c r="H2191" s="1" t="n">
        <v>114778</v>
      </c>
      <c r="I2191" s="1" t="n">
        <v>143776</v>
      </c>
      <c r="J2191" s="9" t="n">
        <v>0.798</v>
      </c>
      <c r="K2191" s="1" t="inlineStr">
        <is>
          <t>Yes</t>
        </is>
      </c>
      <c r="L2191" s="1" t="inlineStr">
        <is>
          <t>No</t>
        </is>
      </c>
      <c r="M2191" s="1" t="inlineStr">
        <is>
          <t>No</t>
        </is>
      </c>
      <c r="N2191" s="1" t="inlineStr">
        <is>
          <t>Algorithms</t>
        </is>
      </c>
      <c r="O21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92" ht="15.75" customHeight="1" s="12">
      <c r="A2192" s="1" t="n">
        <v>3446</v>
      </c>
      <c r="B2192" s="3">
        <f>HYPERLINK("https://leetcode.com/problems/sort-matrix-by-diagonals/", "Sort Matrix by Diagonals")</f>
        <v/>
      </c>
      <c r="C2192" s="1" t="n">
        <v>503</v>
      </c>
      <c r="D2192" s="1" t="n">
        <v>101</v>
      </c>
      <c r="E2192" s="4">
        <f>IF(INDEX(C:C, ROW())+INDEX(D:D, ROW())=0, 0, INDEX(C:C, ROW())/(INDEX(C:C, ROW())+INDEX(D:D, ROW())))</f>
        <v/>
      </c>
      <c r="F2192" s="1" t="inlineStr">
        <is>
          <t>Array, Sorting, Matrix</t>
        </is>
      </c>
      <c r="G2192" s="1" t="inlineStr">
        <is>
          <t>Medium</t>
        </is>
      </c>
      <c r="H2192" s="1" t="n">
        <v>131918</v>
      </c>
      <c r="I2192" s="1" t="n">
        <v>155764</v>
      </c>
      <c r="J2192" s="9" t="n">
        <v>0.847</v>
      </c>
      <c r="K2192" s="1" t="inlineStr">
        <is>
          <t>Yes</t>
        </is>
      </c>
      <c r="L2192" s="1" t="inlineStr">
        <is>
          <t>Yes</t>
        </is>
      </c>
      <c r="M2192" s="1" t="inlineStr">
        <is>
          <t>No</t>
        </is>
      </c>
      <c r="N2192" s="1" t="inlineStr">
        <is>
          <t>Algorithms</t>
        </is>
      </c>
      <c r="O21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93" ht="15.75" customHeight="1" s="12">
      <c r="A2193" s="1" t="n">
        <v>1154</v>
      </c>
      <c r="B2193" s="3">
        <f>HYPERLINK("https://leetcode.com/problems/day-of-the-year/", "Day of the Year")</f>
        <v/>
      </c>
      <c r="C2193" s="1" t="n">
        <v>501</v>
      </c>
      <c r="D2193" s="1" t="n">
        <v>495</v>
      </c>
      <c r="E2193" s="4">
        <f>IF(INDEX(C:C, ROW())+INDEX(D:D, ROW())=0, 0, INDEX(C:C, ROW())/(INDEX(C:C, ROW())+INDEX(D:D, ROW())))</f>
        <v/>
      </c>
      <c r="F2193" s="1" t="inlineStr">
        <is>
          <t>Math, String</t>
        </is>
      </c>
      <c r="G2193" s="1" t="inlineStr">
        <is>
          <t>Easy</t>
        </is>
      </c>
      <c r="H2193" s="1" t="n">
        <v>89933</v>
      </c>
      <c r="I2193" s="1" t="n">
        <v>182208</v>
      </c>
      <c r="J2193" s="9" t="n">
        <v>0.494</v>
      </c>
      <c r="K2193" s="1" t="inlineStr">
        <is>
          <t>Yes</t>
        </is>
      </c>
      <c r="L2193" s="1" t="inlineStr">
        <is>
          <t>No</t>
        </is>
      </c>
      <c r="M2193" s="1" t="inlineStr">
        <is>
          <t>No</t>
        </is>
      </c>
      <c r="N2193" s="1" t="inlineStr">
        <is>
          <t>Algorithms</t>
        </is>
      </c>
      <c r="O21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94" ht="15.75" customHeight="1" s="12">
      <c r="A2194" s="1" t="n">
        <v>3333</v>
      </c>
      <c r="B2194" s="3">
        <f>HYPERLINK("https://leetcode.com/problems/find-the-original-typed-string-ii/", "Find the Original Typed String II")</f>
        <v/>
      </c>
      <c r="C2194" s="1" t="n">
        <v>501</v>
      </c>
      <c r="D2194" s="1" t="n">
        <v>74</v>
      </c>
      <c r="E2194" s="4">
        <f>IF(INDEX(C:C, ROW())+INDEX(D:D, ROW())=0, 0, INDEX(C:C, ROW())/(INDEX(C:C, ROW())+INDEX(D:D, ROW())))</f>
        <v/>
      </c>
      <c r="F2194" s="1" t="inlineStr">
        <is>
          <t>String, Dynamic Programming, Prefix Sum</t>
        </is>
      </c>
      <c r="G2194" s="1" t="inlineStr">
        <is>
          <t>Hard</t>
        </is>
      </c>
      <c r="H2194" s="1" t="n">
        <v>69879</v>
      </c>
      <c r="I2194" s="1" t="n">
        <v>153163</v>
      </c>
      <c r="J2194" s="9" t="n">
        <v>0.456</v>
      </c>
      <c r="K2194" s="1" t="inlineStr">
        <is>
          <t>Yes</t>
        </is>
      </c>
      <c r="L2194" s="1" t="inlineStr">
        <is>
          <t>Yes</t>
        </is>
      </c>
      <c r="M2194" s="1" t="inlineStr">
        <is>
          <t>No</t>
        </is>
      </c>
      <c r="N2194" s="1" t="inlineStr">
        <is>
          <t>Algorithms</t>
        </is>
      </c>
      <c r="O21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95" ht="15.75" customHeight="1" s="12">
      <c r="A2195" s="1" t="n">
        <v>1505</v>
      </c>
      <c r="B2195" s="3">
        <f>HYPERLINK("https://leetcode.com/problems/minimum-possible-integer-after-at-most-k-adjacent-swaps-on-digits/", "Minimum Possible Integer After at Most K Adjacent Swaps On Digits")</f>
        <v/>
      </c>
      <c r="C2195" s="1" t="n">
        <v>499</v>
      </c>
      <c r="D2195" s="1" t="n">
        <v>28</v>
      </c>
      <c r="E2195" s="4">
        <f>IF(INDEX(C:C, ROW())+INDEX(D:D, ROW())=0, 0, INDEX(C:C, ROW())/(INDEX(C:C, ROW())+INDEX(D:D, ROW())))</f>
        <v/>
      </c>
      <c r="F2195" s="1" t="inlineStr">
        <is>
          <t>String, Greedy, Binary Indexed Tree, Segment Tree</t>
        </is>
      </c>
      <c r="G2195" s="1" t="inlineStr">
        <is>
          <t>Hard</t>
        </is>
      </c>
      <c r="H2195" s="1" t="n">
        <v>12542</v>
      </c>
      <c r="I2195" s="1" t="n">
        <v>30672</v>
      </c>
      <c r="J2195" s="9" t="n">
        <v>0.409</v>
      </c>
      <c r="K2195" s="1" t="inlineStr">
        <is>
          <t>Yes</t>
        </is>
      </c>
      <c r="L2195" s="1" t="inlineStr">
        <is>
          <t>No</t>
        </is>
      </c>
      <c r="M2195" s="1" t="inlineStr">
        <is>
          <t>No</t>
        </is>
      </c>
      <c r="N2195" s="1" t="inlineStr">
        <is>
          <t>Algorithms</t>
        </is>
      </c>
      <c r="O21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96" ht="15.75" customHeight="1" s="12">
      <c r="A2196" s="1" t="n">
        <v>1676</v>
      </c>
      <c r="B2196" s="3">
        <f>HYPERLINK("https://leetcode.com/problems/lowest-common-ancestor-of-a-binary-tree-iv/", "Lowest Common Ancestor of a Binary Tree IV")</f>
        <v/>
      </c>
      <c r="C2196" s="1" t="n">
        <v>499</v>
      </c>
      <c r="D2196" s="1" t="n">
        <v>16</v>
      </c>
      <c r="E2196" s="4">
        <f>IF(INDEX(C:C, ROW())+INDEX(D:D, ROW())=0, 0, INDEX(C:C, ROW())/(INDEX(C:C, ROW())+INDEX(D:D, ROW())))</f>
        <v/>
      </c>
      <c r="F2196" s="1" t="inlineStr">
        <is>
          <t>Hash Table, Tree, Depth-First Search, Binary Tree</t>
        </is>
      </c>
      <c r="G2196" s="1" t="inlineStr">
        <is>
          <t>Medium</t>
        </is>
      </c>
      <c r="H2196" s="1" t="n">
        <v>61911</v>
      </c>
      <c r="I2196" s="1" t="n">
        <v>77937</v>
      </c>
      <c r="J2196" s="9" t="n">
        <v>0.794</v>
      </c>
      <c r="K2196" s="1" t="inlineStr">
        <is>
          <t>No</t>
        </is>
      </c>
      <c r="L2196" s="1" t="inlineStr">
        <is>
          <t>No</t>
        </is>
      </c>
      <c r="M2196" s="1" t="inlineStr">
        <is>
          <t>No</t>
        </is>
      </c>
      <c r="N2196" s="1" t="inlineStr">
        <is>
          <t>Algorithms</t>
        </is>
      </c>
      <c r="O21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97" ht="15.75" customHeight="1" s="12">
      <c r="A2197" s="1" t="n">
        <v>2224</v>
      </c>
      <c r="B2197" s="3">
        <f>HYPERLINK("https://leetcode.com/problems/minimum-number-of-operations-to-convert-time/", "Minimum Number of Operations to Convert Time")</f>
        <v/>
      </c>
      <c r="C2197" s="1" t="n">
        <v>499</v>
      </c>
      <c r="D2197" s="1" t="n">
        <v>39</v>
      </c>
      <c r="E2197" s="4">
        <f>IF(INDEX(C:C, ROW())+INDEX(D:D, ROW())=0, 0, INDEX(C:C, ROW())/(INDEX(C:C, ROW())+INDEX(D:D, ROW())))</f>
        <v/>
      </c>
      <c r="F2197" s="1" t="inlineStr">
        <is>
          <t>String, Greedy</t>
        </is>
      </c>
      <c r="G2197" s="1" t="inlineStr">
        <is>
          <t>Easy</t>
        </is>
      </c>
      <c r="H2197" s="1" t="n">
        <v>53781</v>
      </c>
      <c r="I2197" s="1" t="n">
        <v>81266</v>
      </c>
      <c r="J2197" s="9" t="n">
        <v>0.662</v>
      </c>
      <c r="K2197" s="1" t="inlineStr">
        <is>
          <t>Yes</t>
        </is>
      </c>
      <c r="L2197" s="1" t="inlineStr">
        <is>
          <t>No</t>
        </is>
      </c>
      <c r="M2197" s="1" t="inlineStr">
        <is>
          <t>No</t>
        </is>
      </c>
      <c r="N2197" s="1" t="inlineStr">
        <is>
          <t>Algorithms</t>
        </is>
      </c>
      <c r="O21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98" ht="15.75" customHeight="1" s="12">
      <c r="A2198" s="1" t="n">
        <v>3190</v>
      </c>
      <c r="B2198" s="3">
        <f>HYPERLINK("https://leetcode.com/problems/find-minimum-operations-to-make-all-elements-divisible-by-three/", "Find Minimum Operations to Make All Elements Divisible by Three")</f>
        <v/>
      </c>
      <c r="C2198" s="1" t="n">
        <v>499</v>
      </c>
      <c r="D2198" s="1" t="n">
        <v>34</v>
      </c>
      <c r="E2198" s="4">
        <f>IF(INDEX(C:C, ROW())+INDEX(D:D, ROW())=0, 0, INDEX(C:C, ROW())/(INDEX(C:C, ROW())+INDEX(D:D, ROW())))</f>
        <v/>
      </c>
      <c r="F2198" s="1" t="inlineStr">
        <is>
          <t>Array, Math</t>
        </is>
      </c>
      <c r="G2198" s="1" t="inlineStr">
        <is>
          <t>Easy</t>
        </is>
      </c>
      <c r="H2198" s="1" t="n">
        <v>257487</v>
      </c>
      <c r="I2198" s="1" t="n">
        <v>283186</v>
      </c>
      <c r="J2198" s="9" t="n">
        <v>0.909</v>
      </c>
      <c r="K2198" s="1" t="inlineStr">
        <is>
          <t>Yes</t>
        </is>
      </c>
      <c r="L2198" s="1" t="inlineStr">
        <is>
          <t>Yes</t>
        </is>
      </c>
      <c r="M2198" s="1" t="inlineStr">
        <is>
          <t>No</t>
        </is>
      </c>
      <c r="N2198" s="1" t="inlineStr">
        <is>
          <t>Algorithms</t>
        </is>
      </c>
      <c r="O21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199" ht="15.75" customHeight="1" s="12">
      <c r="A2199" s="1" t="n">
        <v>385</v>
      </c>
      <c r="B2199" s="3">
        <f>HYPERLINK("https://leetcode.com/problems/mini-parser/", "Mini Parser")</f>
        <v/>
      </c>
      <c r="C2199" s="1" t="n">
        <v>498</v>
      </c>
      <c r="D2199" s="1" t="n">
        <v>1491</v>
      </c>
      <c r="E2199" s="4">
        <f>IF(INDEX(C:C, ROW())+INDEX(D:D, ROW())=0, 0, INDEX(C:C, ROW())/(INDEX(C:C, ROW())+INDEX(D:D, ROW())))</f>
        <v/>
      </c>
      <c r="F2199" s="1" t="inlineStr">
        <is>
          <t>String, Stack, Depth-First Search</t>
        </is>
      </c>
      <c r="G2199" s="1" t="inlineStr">
        <is>
          <t>Medium</t>
        </is>
      </c>
      <c r="H2199" s="1" t="n">
        <v>71408</v>
      </c>
      <c r="I2199" s="1" t="n">
        <v>171012</v>
      </c>
      <c r="J2199" s="9" t="n">
        <v>0.418</v>
      </c>
      <c r="K2199" s="1" t="inlineStr">
        <is>
          <t>Yes</t>
        </is>
      </c>
      <c r="L2199" s="1" t="inlineStr">
        <is>
          <t>No</t>
        </is>
      </c>
      <c r="M2199" s="1" t="inlineStr">
        <is>
          <t>No</t>
        </is>
      </c>
      <c r="N2199" s="1" t="inlineStr">
        <is>
          <t>Algorithms</t>
        </is>
      </c>
      <c r="O21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00" ht="15.75" customHeight="1" s="12">
      <c r="A2200" s="1" t="n">
        <v>736</v>
      </c>
      <c r="B2200" s="3">
        <f>HYPERLINK("https://leetcode.com/problems/parse-lisp-expression/", "Parse Lisp Expression")</f>
        <v/>
      </c>
      <c r="C2200" s="1" t="n">
        <v>498</v>
      </c>
      <c r="D2200" s="1" t="n">
        <v>368</v>
      </c>
      <c r="E2200" s="4">
        <f>IF(INDEX(C:C, ROW())+INDEX(D:D, ROW())=0, 0, INDEX(C:C, ROW())/(INDEX(C:C, ROW())+INDEX(D:D, ROW())))</f>
        <v/>
      </c>
      <c r="F2200" s="1" t="inlineStr">
        <is>
          <t>Hash Table, String, Stack, Recursion</t>
        </is>
      </c>
      <c r="G2200" s="1" t="inlineStr">
        <is>
          <t>Hard</t>
        </is>
      </c>
      <c r="H2200" s="1" t="n">
        <v>27206</v>
      </c>
      <c r="I2200" s="1" t="n">
        <v>50969</v>
      </c>
      <c r="J2200" s="9" t="n">
        <v>0.534</v>
      </c>
      <c r="K2200" s="1" t="inlineStr">
        <is>
          <t>Yes</t>
        </is>
      </c>
      <c r="L2200" s="1" t="inlineStr">
        <is>
          <t>Yes</t>
        </is>
      </c>
      <c r="M2200" s="1" t="inlineStr">
        <is>
          <t>No</t>
        </is>
      </c>
      <c r="N2200" s="1" t="inlineStr">
        <is>
          <t>Algorithms</t>
        </is>
      </c>
      <c r="O22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01" ht="15.75" customHeight="1" s="12">
      <c r="A2201" s="1" t="n">
        <v>2472</v>
      </c>
      <c r="B2201" s="3">
        <f>HYPERLINK("https://leetcode.com/problems/maximum-number-of-non-overlapping-palindrome-substrings/", "Maximum Number of Non-overlapping Palindrome Substrings")</f>
        <v/>
      </c>
      <c r="C2201" s="1" t="n">
        <v>498</v>
      </c>
      <c r="D2201" s="1" t="n">
        <v>10</v>
      </c>
      <c r="E2201" s="4">
        <f>IF(INDEX(C:C, ROW())+INDEX(D:D, ROW())=0, 0, INDEX(C:C, ROW())/(INDEX(C:C, ROW())+INDEX(D:D, ROW())))</f>
        <v/>
      </c>
      <c r="F2201" s="1" t="inlineStr">
        <is>
          <t>Two Pointers, String, Dynamic Programming, Greedy</t>
        </is>
      </c>
      <c r="G2201" s="1" t="inlineStr">
        <is>
          <t>Hard</t>
        </is>
      </c>
      <c r="H2201" s="1" t="n">
        <v>22928</v>
      </c>
      <c r="I2201" s="1" t="n">
        <v>53403</v>
      </c>
      <c r="J2201" s="9" t="n">
        <v>0.429</v>
      </c>
      <c r="K2201" s="1" t="inlineStr">
        <is>
          <t>Yes</t>
        </is>
      </c>
      <c r="L2201" s="1" t="inlineStr">
        <is>
          <t>No</t>
        </is>
      </c>
      <c r="M2201" s="1" t="inlineStr">
        <is>
          <t>No</t>
        </is>
      </c>
      <c r="N2201" s="1" t="inlineStr">
        <is>
          <t>Algorithms</t>
        </is>
      </c>
      <c r="O22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02" ht="15.75" customHeight="1" s="12">
      <c r="A2202" s="1" t="n">
        <v>1088</v>
      </c>
      <c r="B2202" s="3">
        <f>HYPERLINK("https://leetcode.com/problems/confusing-number-ii/", "Confusing Number II")</f>
        <v/>
      </c>
      <c r="C2202" s="1" t="n">
        <v>496</v>
      </c>
      <c r="D2202" s="1" t="n">
        <v>144</v>
      </c>
      <c r="E2202" s="4">
        <f>IF(INDEX(C:C, ROW())+INDEX(D:D, ROW())=0, 0, INDEX(C:C, ROW())/(INDEX(C:C, ROW())+INDEX(D:D, ROW())))</f>
        <v/>
      </c>
      <c r="F2202" s="1" t="inlineStr">
        <is>
          <t>Math, Backtracking</t>
        </is>
      </c>
      <c r="G2202" s="1" t="inlineStr">
        <is>
          <t>Hard</t>
        </is>
      </c>
      <c r="H2202" s="1" t="n">
        <v>39099</v>
      </c>
      <c r="I2202" s="1" t="n">
        <v>82982</v>
      </c>
      <c r="J2202" s="9" t="n">
        <v>0.471</v>
      </c>
      <c r="K2202" s="1" t="inlineStr">
        <is>
          <t>No</t>
        </is>
      </c>
      <c r="L2202" s="1" t="inlineStr">
        <is>
          <t>Yes</t>
        </is>
      </c>
      <c r="M2202" s="1" t="inlineStr">
        <is>
          <t>No</t>
        </is>
      </c>
      <c r="N2202" s="1" t="inlineStr">
        <is>
          <t>Algorithms</t>
        </is>
      </c>
      <c r="O22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03" ht="15.75" customHeight="1" s="12">
      <c r="A2203" s="1" t="n">
        <v>3000</v>
      </c>
      <c r="B2203" s="3">
        <f>HYPERLINK("https://leetcode.com/problems/maximum-area-of-longest-diagonal-rectangle/", "Maximum Area of Longest Diagonal Rectangle")</f>
        <v/>
      </c>
      <c r="C2203" s="1" t="n">
        <v>496</v>
      </c>
      <c r="D2203" s="1" t="n">
        <v>42</v>
      </c>
      <c r="E2203" s="4">
        <f>IF(INDEX(C:C, ROW())+INDEX(D:D, ROW())=0, 0, INDEX(C:C, ROW())/(INDEX(C:C, ROW())+INDEX(D:D, ROW())))</f>
        <v/>
      </c>
      <c r="F2203" s="1" t="inlineStr">
        <is>
          <t>Array</t>
        </is>
      </c>
      <c r="G2203" s="1" t="inlineStr">
        <is>
          <t>Easy</t>
        </is>
      </c>
      <c r="H2203" s="1" t="n">
        <v>183610</v>
      </c>
      <c r="I2203" s="1" t="n">
        <v>400530</v>
      </c>
      <c r="J2203" s="9" t="n">
        <v>0.458</v>
      </c>
      <c r="K2203" s="1" t="inlineStr">
        <is>
          <t>Yes</t>
        </is>
      </c>
      <c r="L2203" s="1" t="inlineStr">
        <is>
          <t>Yes</t>
        </is>
      </c>
      <c r="M2203" s="1" t="inlineStr">
        <is>
          <t>No</t>
        </is>
      </c>
      <c r="N2203" s="1" t="inlineStr">
        <is>
          <t>Algorithms</t>
        </is>
      </c>
      <c r="O22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04" ht="15.75" customHeight="1" s="12">
      <c r="A2204" s="1" t="n">
        <v>3477</v>
      </c>
      <c r="B2204" s="3">
        <f>HYPERLINK("https://leetcode.com/problems/fruits-into-baskets-ii/", "Fruits Into Baskets II")</f>
        <v/>
      </c>
      <c r="C2204" s="1" t="n">
        <v>495</v>
      </c>
      <c r="D2204" s="1" t="n">
        <v>64</v>
      </c>
      <c r="E2204" s="4">
        <f>IF(INDEX(C:C, ROW())+INDEX(D:D, ROW())=0, 0, INDEX(C:C, ROW())/(INDEX(C:C, ROW())+INDEX(D:D, ROW())))</f>
        <v/>
      </c>
      <c r="F2204" s="1" t="inlineStr">
        <is>
          <t>Array, Binary Search, Segment Tree, Simulation, Ordered Set</t>
        </is>
      </c>
      <c r="G2204" s="1" t="inlineStr">
        <is>
          <t>Easy</t>
        </is>
      </c>
      <c r="H2204" s="1" t="n">
        <v>194302</v>
      </c>
      <c r="I2204" s="1" t="n">
        <v>276674</v>
      </c>
      <c r="J2204" s="9" t="n">
        <v>0.702</v>
      </c>
      <c r="K2204" s="1" t="inlineStr">
        <is>
          <t>Yes</t>
        </is>
      </c>
      <c r="L2204" s="1" t="inlineStr">
        <is>
          <t>Yes</t>
        </is>
      </c>
      <c r="M2204" s="1" t="inlineStr">
        <is>
          <t>No</t>
        </is>
      </c>
      <c r="N2204" s="1" t="inlineStr">
        <is>
          <t>Algorithms</t>
        </is>
      </c>
      <c r="O22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05" ht="15.75" customHeight="1" s="12">
      <c r="A2205" s="1" t="n">
        <v>1090</v>
      </c>
      <c r="B2205" s="3">
        <f>HYPERLINK("https://leetcode.com/problems/largest-values-from-labels/", "Largest Values From Labels")</f>
        <v/>
      </c>
      <c r="C2205" s="1" t="n">
        <v>494</v>
      </c>
      <c r="D2205" s="1" t="n">
        <v>637</v>
      </c>
      <c r="E2205" s="4">
        <f>IF(INDEX(C:C, ROW())+INDEX(D:D, ROW())=0, 0, INDEX(C:C, ROW())/(INDEX(C:C, ROW())+INDEX(D:D, ROW())))</f>
        <v/>
      </c>
      <c r="F2205" s="1" t="inlineStr">
        <is>
          <t>Array, Hash Table, Greedy, Sorting, Counting</t>
        </is>
      </c>
      <c r="G2205" s="1" t="inlineStr">
        <is>
          <t>Medium</t>
        </is>
      </c>
      <c r="H2205" s="1" t="n">
        <v>48765</v>
      </c>
      <c r="I2205" s="1" t="n">
        <v>76320</v>
      </c>
      <c r="J2205" s="9" t="n">
        <v>0.639</v>
      </c>
      <c r="K2205" s="1" t="inlineStr">
        <is>
          <t>Yes</t>
        </is>
      </c>
      <c r="L2205" s="1" t="inlineStr">
        <is>
          <t>No</t>
        </is>
      </c>
      <c r="M2205" s="1" t="inlineStr">
        <is>
          <t>No</t>
        </is>
      </c>
      <c r="N2205" s="1" t="inlineStr">
        <is>
          <t>Algorithms</t>
        </is>
      </c>
      <c r="O22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06" ht="15.75" customHeight="1" s="12">
      <c r="A2206" s="1" t="n">
        <v>1257</v>
      </c>
      <c r="B2206" s="3">
        <f>HYPERLINK("https://leetcode.com/problems/smallest-common-region/", "Smallest Common Region")</f>
        <v/>
      </c>
      <c r="C2206" s="1" t="n">
        <v>494</v>
      </c>
      <c r="D2206" s="1" t="n">
        <v>42</v>
      </c>
      <c r="E2206" s="4">
        <f>IF(INDEX(C:C, ROW())+INDEX(D:D, ROW())=0, 0, INDEX(C:C, ROW())/(INDEX(C:C, ROW())+INDEX(D:D, ROW())))</f>
        <v/>
      </c>
      <c r="F2206" s="1" t="inlineStr">
        <is>
          <t>Array, Hash Table, String, Tree, Depth-First Search, Breadth-First Search</t>
        </is>
      </c>
      <c r="G2206" s="1" t="inlineStr">
        <is>
          <t>Medium</t>
        </is>
      </c>
      <c r="H2206" s="1" t="n">
        <v>36994</v>
      </c>
      <c r="I2206" s="1" t="n">
        <v>54196</v>
      </c>
      <c r="J2206" s="9" t="n">
        <v>0.6830000000000001</v>
      </c>
      <c r="K2206" s="1" t="inlineStr">
        <is>
          <t>No</t>
        </is>
      </c>
      <c r="L2206" s="1" t="inlineStr">
        <is>
          <t>Yes</t>
        </is>
      </c>
      <c r="M2206" s="1" t="inlineStr">
        <is>
          <t>No</t>
        </is>
      </c>
      <c r="N2206" s="1" t="inlineStr">
        <is>
          <t>Algorithms</t>
        </is>
      </c>
      <c r="O22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07" ht="15.75" customHeight="1" s="12">
      <c r="A2207" s="1" t="n">
        <v>2382</v>
      </c>
      <c r="B2207" s="3">
        <f>HYPERLINK("https://leetcode.com/problems/maximum-segment-sum-after-removals/", "Maximum Segment Sum After Removals")</f>
        <v/>
      </c>
      <c r="C2207" s="1" t="n">
        <v>494</v>
      </c>
      <c r="D2207" s="1" t="n">
        <v>5</v>
      </c>
      <c r="E2207" s="4">
        <f>IF(INDEX(C:C, ROW())+INDEX(D:D, ROW())=0, 0, INDEX(C:C, ROW())/(INDEX(C:C, ROW())+INDEX(D:D, ROW())))</f>
        <v/>
      </c>
      <c r="F2207" s="1" t="inlineStr">
        <is>
          <t>Array, Union-Find, Prefix Sum, Ordered Set</t>
        </is>
      </c>
      <c r="G2207" s="1" t="inlineStr">
        <is>
          <t>Hard</t>
        </is>
      </c>
      <c r="H2207" s="1" t="n">
        <v>12056</v>
      </c>
      <c r="I2207" s="1" t="n">
        <v>24526</v>
      </c>
      <c r="J2207" s="9" t="n">
        <v>0.492</v>
      </c>
      <c r="K2207" s="1" t="inlineStr">
        <is>
          <t>Yes</t>
        </is>
      </c>
      <c r="L2207" s="1" t="inlineStr">
        <is>
          <t>No</t>
        </is>
      </c>
      <c r="M2207" s="1" t="inlineStr">
        <is>
          <t>No</t>
        </is>
      </c>
      <c r="N2207" s="1" t="inlineStr">
        <is>
          <t>Algorithms</t>
        </is>
      </c>
      <c r="O22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08" ht="15.75" customHeight="1" s="12">
      <c r="A2208" s="1" t="n">
        <v>2789</v>
      </c>
      <c r="B2208" s="3">
        <f>HYPERLINK("https://leetcode.com/problems/largest-element-in-an-array-after-merge-operations/", "Largest Element in an Array after Merge Operations")</f>
        <v/>
      </c>
      <c r="C2208" s="1" t="n">
        <v>494</v>
      </c>
      <c r="D2208" s="1" t="n">
        <v>33</v>
      </c>
      <c r="E2208" s="4">
        <f>IF(INDEX(C:C, ROW())+INDEX(D:D, ROW())=0, 0, INDEX(C:C, ROW())/(INDEX(C:C, ROW())+INDEX(D:D, ROW())))</f>
        <v/>
      </c>
      <c r="F2208" s="1" t="inlineStr">
        <is>
          <t>Array, Greedy</t>
        </is>
      </c>
      <c r="G2208" s="1" t="inlineStr">
        <is>
          <t>Medium</t>
        </is>
      </c>
      <c r="H2208" s="1" t="n">
        <v>36458</v>
      </c>
      <c r="I2208" s="1" t="n">
        <v>76802</v>
      </c>
      <c r="J2208" s="9" t="n">
        <v>0.475</v>
      </c>
      <c r="K2208" s="1" t="inlineStr">
        <is>
          <t>Yes</t>
        </is>
      </c>
      <c r="L2208" s="1" t="inlineStr">
        <is>
          <t>No</t>
        </is>
      </c>
      <c r="M2208" s="1" t="inlineStr">
        <is>
          <t>No</t>
        </is>
      </c>
      <c r="N2208" s="1" t="inlineStr">
        <is>
          <t>Algorithms</t>
        </is>
      </c>
      <c r="O22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09" ht="15.75" customHeight="1" s="12">
      <c r="A2209" s="1" t="n">
        <v>1330</v>
      </c>
      <c r="B2209" s="3">
        <f>HYPERLINK("https://leetcode.com/problems/reverse-subarray-to-maximize-array-value/", "Reverse Subarray To Maximize Array Value")</f>
        <v/>
      </c>
      <c r="C2209" s="1" t="n">
        <v>491</v>
      </c>
      <c r="D2209" s="1" t="n">
        <v>60</v>
      </c>
      <c r="E2209" s="4">
        <f>IF(INDEX(C:C, ROW())+INDEX(D:D, ROW())=0, 0, INDEX(C:C, ROW())/(INDEX(C:C, ROW())+INDEX(D:D, ROW())))</f>
        <v/>
      </c>
      <c r="F2209" s="1" t="inlineStr">
        <is>
          <t>Array, Math, Greedy</t>
        </is>
      </c>
      <c r="G2209" s="1" t="inlineStr">
        <is>
          <t>Hard</t>
        </is>
      </c>
      <c r="H2209" s="1" t="n">
        <v>8270</v>
      </c>
      <c r="I2209" s="1" t="n">
        <v>18961</v>
      </c>
      <c r="J2209" s="9" t="n">
        <v>0.436</v>
      </c>
      <c r="K2209" s="1" t="inlineStr">
        <is>
          <t>Yes</t>
        </is>
      </c>
      <c r="L2209" s="1" t="inlineStr">
        <is>
          <t>No</t>
        </is>
      </c>
      <c r="M2209" s="1" t="inlineStr">
        <is>
          <t>No</t>
        </is>
      </c>
      <c r="N2209" s="1" t="inlineStr">
        <is>
          <t>Algorithms</t>
        </is>
      </c>
      <c r="O22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10" ht="15.75" customHeight="1" s="12">
      <c r="A2210" s="1" t="n">
        <v>1506</v>
      </c>
      <c r="B2210" s="3">
        <f>HYPERLINK("https://leetcode.com/problems/find-root-of-n-ary-tree/", "Find Root of N-Ary Tree")</f>
        <v/>
      </c>
      <c r="C2210" s="1" t="n">
        <v>491</v>
      </c>
      <c r="D2210" s="1" t="n">
        <v>212</v>
      </c>
      <c r="E2210" s="4">
        <f>IF(INDEX(C:C, ROW())+INDEX(D:D, ROW())=0, 0, INDEX(C:C, ROW())/(INDEX(C:C, ROW())+INDEX(D:D, ROW())))</f>
        <v/>
      </c>
      <c r="F2210" s="1" t="inlineStr">
        <is>
          <t>Hash Table, Bit Manipulation, Tree, Depth-First Search</t>
        </is>
      </c>
      <c r="G2210" s="1" t="inlineStr">
        <is>
          <t>Medium</t>
        </is>
      </c>
      <c r="H2210" s="1" t="n">
        <v>40627</v>
      </c>
      <c r="I2210" s="1" t="n">
        <v>51746</v>
      </c>
      <c r="J2210" s="9" t="n">
        <v>0.785</v>
      </c>
      <c r="K2210" s="1" t="inlineStr">
        <is>
          <t>No</t>
        </is>
      </c>
      <c r="L2210" s="1" t="inlineStr">
        <is>
          <t>Yes</t>
        </is>
      </c>
      <c r="M2210" s="1" t="inlineStr">
        <is>
          <t>No</t>
        </is>
      </c>
      <c r="N2210" s="1" t="inlineStr">
        <is>
          <t>Algorithms</t>
        </is>
      </c>
      <c r="O22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11" ht="15.75" customHeight="1" s="12">
      <c r="A2211" s="1" t="n">
        <v>1595</v>
      </c>
      <c r="B2211" s="3">
        <f>HYPERLINK("https://leetcode.com/problems/minimum-cost-to-connect-two-groups-of-points/", "Minimum Cost to Connect Two Groups of Points")</f>
        <v/>
      </c>
      <c r="C2211" s="1" t="n">
        <v>490</v>
      </c>
      <c r="D2211" s="1" t="n">
        <v>16</v>
      </c>
      <c r="E2211" s="4">
        <f>IF(INDEX(C:C, ROW())+INDEX(D:D, ROW())=0, 0, INDEX(C:C, ROW())/(INDEX(C:C, ROW())+INDEX(D:D, ROW())))</f>
        <v/>
      </c>
      <c r="F2211" s="1" t="inlineStr">
        <is>
          <t>Array, Dynamic Programming, Bit Manipulation, Matrix, Bitmask DP</t>
        </is>
      </c>
      <c r="G2211" s="1" t="inlineStr">
        <is>
          <t>Hard</t>
        </is>
      </c>
      <c r="H2211" s="1" t="n">
        <v>11737</v>
      </c>
      <c r="I2211" s="1" t="n">
        <v>23720</v>
      </c>
      <c r="J2211" s="9" t="n">
        <v>0.495</v>
      </c>
      <c r="K2211" s="1" t="inlineStr">
        <is>
          <t>Yes</t>
        </is>
      </c>
      <c r="L2211" s="1" t="inlineStr">
        <is>
          <t>No</t>
        </is>
      </c>
      <c r="M2211" s="1" t="inlineStr">
        <is>
          <t>No</t>
        </is>
      </c>
      <c r="N2211" s="1" t="inlineStr">
        <is>
          <t>Algorithms</t>
        </is>
      </c>
      <c r="O22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12" ht="15.75" customHeight="1" s="12">
      <c r="A2212" s="1" t="n">
        <v>635</v>
      </c>
      <c r="B2212" s="3">
        <f>HYPERLINK("https://leetcode.com/problems/design-log-storage-system/", "Design Log Storage System")</f>
        <v/>
      </c>
      <c r="C2212" s="1" t="n">
        <v>488</v>
      </c>
      <c r="D2212" s="1" t="n">
        <v>226</v>
      </c>
      <c r="E2212" s="4">
        <f>IF(INDEX(C:C, ROW())+INDEX(D:D, ROW())=0, 0, INDEX(C:C, ROW())/(INDEX(C:C, ROW())+INDEX(D:D, ROW())))</f>
        <v/>
      </c>
      <c r="F2212" s="1" t="inlineStr">
        <is>
          <t>Hash Table, String, Design, Ordered Set</t>
        </is>
      </c>
      <c r="G2212" s="1" t="inlineStr">
        <is>
          <t>Medium</t>
        </is>
      </c>
      <c r="H2212" s="1" t="n">
        <v>40891</v>
      </c>
      <c r="I2212" s="1" t="n">
        <v>69086</v>
      </c>
      <c r="J2212" s="9" t="n">
        <v>0.592</v>
      </c>
      <c r="K2212" s="1" t="inlineStr">
        <is>
          <t>No</t>
        </is>
      </c>
      <c r="L2212" s="1" t="inlineStr">
        <is>
          <t>Yes</t>
        </is>
      </c>
      <c r="M2212" s="1" t="inlineStr">
        <is>
          <t>No</t>
        </is>
      </c>
      <c r="N2212" s="1" t="inlineStr">
        <is>
          <t>Algorithms</t>
        </is>
      </c>
      <c r="O22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13" ht="15.75" customHeight="1" s="12">
      <c r="A2213" s="1" t="n">
        <v>1592</v>
      </c>
      <c r="B2213" s="3">
        <f>HYPERLINK("https://leetcode.com/problems/rearrange-spaces-between-words/", "Rearrange Spaces Between Words")</f>
        <v/>
      </c>
      <c r="C2213" s="1" t="n">
        <v>488</v>
      </c>
      <c r="D2213" s="1" t="n">
        <v>354</v>
      </c>
      <c r="E2213" s="4">
        <f>IF(INDEX(C:C, ROW())+INDEX(D:D, ROW())=0, 0, INDEX(C:C, ROW())/(INDEX(C:C, ROW())+INDEX(D:D, ROW())))</f>
        <v/>
      </c>
      <c r="F2213" s="1" t="inlineStr">
        <is>
          <t>String</t>
        </is>
      </c>
      <c r="G2213" s="1" t="inlineStr">
        <is>
          <t>Easy</t>
        </is>
      </c>
      <c r="H2213" s="1" t="n">
        <v>70977</v>
      </c>
      <c r="I2213" s="1" t="n">
        <v>160979</v>
      </c>
      <c r="J2213" s="9" t="n">
        <v>0.441</v>
      </c>
      <c r="K2213" s="1" t="inlineStr">
        <is>
          <t>Yes</t>
        </is>
      </c>
      <c r="L2213" s="1" t="inlineStr">
        <is>
          <t>No</t>
        </is>
      </c>
      <c r="M2213" s="1" t="inlineStr">
        <is>
          <t>No</t>
        </is>
      </c>
      <c r="N2213" s="1" t="inlineStr">
        <is>
          <t>Algorithms</t>
        </is>
      </c>
      <c r="O22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14" ht="15.75" customHeight="1" s="12">
      <c r="A2214" s="1" t="n">
        <v>488</v>
      </c>
      <c r="B2214" s="3">
        <f>HYPERLINK("https://leetcode.com/problems/zuma-game/", "Zuma Game")</f>
        <v/>
      </c>
      <c r="C2214" s="1" t="n">
        <v>487</v>
      </c>
      <c r="D2214" s="1" t="n">
        <v>510</v>
      </c>
      <c r="E2214" s="4">
        <f>IF(INDEX(C:C, ROW())+INDEX(D:D, ROW())=0, 0, INDEX(C:C, ROW())/(INDEX(C:C, ROW())+INDEX(D:D, ROW())))</f>
        <v/>
      </c>
      <c r="F2214" s="1" t="inlineStr">
        <is>
          <t>String, Dynamic Programming, Stack, Breadth-First Search, Memoization</t>
        </is>
      </c>
      <c r="G2214" s="1" t="inlineStr">
        <is>
          <t>Hard</t>
        </is>
      </c>
      <c r="H2214" s="1" t="n">
        <v>28738</v>
      </c>
      <c r="I2214" s="1" t="n">
        <v>94722</v>
      </c>
      <c r="J2214" s="9" t="n">
        <v>0.303</v>
      </c>
      <c r="K2214" s="1" t="inlineStr">
        <is>
          <t>Yes</t>
        </is>
      </c>
      <c r="L2214" s="1" t="inlineStr">
        <is>
          <t>No</t>
        </is>
      </c>
      <c r="M2214" s="1" t="inlineStr">
        <is>
          <t>No</t>
        </is>
      </c>
      <c r="N2214" s="1" t="inlineStr">
        <is>
          <t>Algorithms</t>
        </is>
      </c>
      <c r="O22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15" ht="15.75" customHeight="1" s="12">
      <c r="A2215" s="1" t="n">
        <v>2428</v>
      </c>
      <c r="B2215" s="3">
        <f>HYPERLINK("https://leetcode.com/problems/maximum-sum-of-an-hourglass/", "Maximum Sum of an Hourglass")</f>
        <v/>
      </c>
      <c r="C2215" s="1" t="n">
        <v>487</v>
      </c>
      <c r="D2215" s="1" t="n">
        <v>72</v>
      </c>
      <c r="E2215" s="4">
        <f>IF(INDEX(C:C, ROW())+INDEX(D:D, ROW())=0, 0, INDEX(C:C, ROW())/(INDEX(C:C, ROW())+INDEX(D:D, ROW())))</f>
        <v/>
      </c>
      <c r="F2215" s="1" t="inlineStr">
        <is>
          <t>Array, Matrix, Prefix Sum</t>
        </is>
      </c>
      <c r="G2215" s="1" t="inlineStr">
        <is>
          <t>Medium</t>
        </is>
      </c>
      <c r="H2215" s="1" t="n">
        <v>52303</v>
      </c>
      <c r="I2215" s="1" t="n">
        <v>68567</v>
      </c>
      <c r="J2215" s="9" t="n">
        <v>0.763</v>
      </c>
      <c r="K2215" s="1" t="inlineStr">
        <is>
          <t>Yes</t>
        </is>
      </c>
      <c r="L2215" s="1" t="inlineStr">
        <is>
          <t>No</t>
        </is>
      </c>
      <c r="M2215" s="1" t="inlineStr">
        <is>
          <t>No</t>
        </is>
      </c>
      <c r="N2215" s="1" t="inlineStr">
        <is>
          <t>Algorithms</t>
        </is>
      </c>
      <c r="O22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16" ht="15.75" customHeight="1" s="12">
      <c r="A2216" s="1" t="n">
        <v>2518</v>
      </c>
      <c r="B2216" s="3">
        <f>HYPERLINK("https://leetcode.com/problems/number-of-great-partitions/", "Number of Great Partitions")</f>
        <v/>
      </c>
      <c r="C2216" s="1" t="n">
        <v>487</v>
      </c>
      <c r="D2216" s="1" t="n">
        <v>12</v>
      </c>
      <c r="E2216" s="4">
        <f>IF(INDEX(C:C, ROW())+INDEX(D:D, ROW())=0, 0, INDEX(C:C, ROW())/(INDEX(C:C, ROW())+INDEX(D:D, ROW())))</f>
        <v/>
      </c>
      <c r="F2216" s="1" t="inlineStr">
        <is>
          <t>Array, Dynamic Programming</t>
        </is>
      </c>
      <c r="G2216" s="1" t="inlineStr">
        <is>
          <t>Hard</t>
        </is>
      </c>
      <c r="H2216" s="1" t="n">
        <v>13266</v>
      </c>
      <c r="I2216" s="1" t="n">
        <v>39954</v>
      </c>
      <c r="J2216" s="9" t="n">
        <v>0.332</v>
      </c>
      <c r="K2216" s="1" t="inlineStr">
        <is>
          <t>Yes</t>
        </is>
      </c>
      <c r="L2216" s="1" t="inlineStr">
        <is>
          <t>No</t>
        </is>
      </c>
      <c r="M2216" s="1" t="inlineStr">
        <is>
          <t>No</t>
        </is>
      </c>
      <c r="N2216" s="1" t="inlineStr">
        <is>
          <t>Algorithms</t>
        </is>
      </c>
      <c r="O22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17" ht="15.75" customHeight="1" s="12">
      <c r="A2217" s="1" t="n">
        <v>3195</v>
      </c>
      <c r="B2217" s="3">
        <f>HYPERLINK("https://leetcode.com/problems/find-the-minimum-area-to-cover-all-ones-i/", "Find the Minimum Area to Cover All Ones I")</f>
        <v/>
      </c>
      <c r="C2217" s="1" t="n">
        <v>487</v>
      </c>
      <c r="D2217" s="1" t="n">
        <v>32</v>
      </c>
      <c r="E2217" s="4">
        <f>IF(INDEX(C:C, ROW())+INDEX(D:D, ROW())=0, 0, INDEX(C:C, ROW())/(INDEX(C:C, ROW())+INDEX(D:D, ROW())))</f>
        <v/>
      </c>
      <c r="F2217" s="1" t="inlineStr">
        <is>
          <t>Array, Matrix</t>
        </is>
      </c>
      <c r="G2217" s="1" t="inlineStr">
        <is>
          <t>Medium</t>
        </is>
      </c>
      <c r="H2217" s="1" t="n">
        <v>165617</v>
      </c>
      <c r="I2217" s="1" t="n">
        <v>211931</v>
      </c>
      <c r="J2217" s="9" t="n">
        <v>0.781</v>
      </c>
      <c r="K2217" s="1" t="inlineStr">
        <is>
          <t>Yes</t>
        </is>
      </c>
      <c r="L2217" s="1" t="inlineStr">
        <is>
          <t>Yes</t>
        </is>
      </c>
      <c r="M2217" s="1" t="inlineStr">
        <is>
          <t>No</t>
        </is>
      </c>
      <c r="N2217" s="1" t="inlineStr">
        <is>
          <t>Algorithms</t>
        </is>
      </c>
      <c r="O22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18" ht="15.75" customHeight="1" s="12">
      <c r="A2218" s="1" t="n">
        <v>2003</v>
      </c>
      <c r="B2218" s="3">
        <f>HYPERLINK("https://leetcode.com/problems/smallest-missing-genetic-value-in-each-subtree/", "Smallest Missing Genetic Value in Each Subtree")</f>
        <v/>
      </c>
      <c r="C2218" s="1" t="n">
        <v>486</v>
      </c>
      <c r="D2218" s="1" t="n">
        <v>23</v>
      </c>
      <c r="E2218" s="4">
        <f>IF(INDEX(C:C, ROW())+INDEX(D:D, ROW())=0, 0, INDEX(C:C, ROW())/(INDEX(C:C, ROW())+INDEX(D:D, ROW())))</f>
        <v/>
      </c>
      <c r="F2218" s="1" t="inlineStr">
        <is>
          <t>Dynamic Programming, Tree, Depth-First Search, Union-Find</t>
        </is>
      </c>
      <c r="G2218" s="1" t="inlineStr">
        <is>
          <t>Hard</t>
        </is>
      </c>
      <c r="H2218" s="1" t="n">
        <v>10863</v>
      </c>
      <c r="I2218" s="1" t="n">
        <v>22875</v>
      </c>
      <c r="J2218" s="9" t="n">
        <v>0.475</v>
      </c>
      <c r="K2218" s="1" t="inlineStr">
        <is>
          <t>Yes</t>
        </is>
      </c>
      <c r="L2218" s="1" t="inlineStr">
        <is>
          <t>No</t>
        </is>
      </c>
      <c r="M2218" s="1" t="inlineStr">
        <is>
          <t>No</t>
        </is>
      </c>
      <c r="N2218" s="1" t="inlineStr">
        <is>
          <t>Algorithms</t>
        </is>
      </c>
      <c r="O22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19" ht="15.75" customHeight="1" s="12">
      <c r="A2219" s="1" t="n">
        <v>1621</v>
      </c>
      <c r="B2219" s="3">
        <f>HYPERLINK("https://leetcode.com/problems/number-of-sets-of-k-non-overlapping-line-segments/", "Number of Sets of K Non-Overlapping Line Segments")</f>
        <v/>
      </c>
      <c r="C2219" s="1" t="n">
        <v>484</v>
      </c>
      <c r="D2219" s="1" t="n">
        <v>50</v>
      </c>
      <c r="E2219" s="4">
        <f>IF(INDEX(C:C, ROW())+INDEX(D:D, ROW())=0, 0, INDEX(C:C, ROW())/(INDEX(C:C, ROW())+INDEX(D:D, ROW())))</f>
        <v/>
      </c>
      <c r="F2219" s="1" t="inlineStr">
        <is>
          <t>Math, Dynamic Programming, Combinatorics, Prefix Sum</t>
        </is>
      </c>
      <c r="G2219" s="1" t="inlineStr">
        <is>
          <t>Medium</t>
        </is>
      </c>
      <c r="H2219" s="1" t="n">
        <v>12817</v>
      </c>
      <c r="I2219" s="1" t="n">
        <v>28219</v>
      </c>
      <c r="J2219" s="9" t="n">
        <v>0.454</v>
      </c>
      <c r="K2219" s="1" t="inlineStr">
        <is>
          <t>Yes</t>
        </is>
      </c>
      <c r="L2219" s="1" t="inlineStr">
        <is>
          <t>No</t>
        </is>
      </c>
      <c r="M2219" s="1" t="inlineStr">
        <is>
          <t>No</t>
        </is>
      </c>
      <c r="N2219" s="1" t="inlineStr">
        <is>
          <t>Algorithms</t>
        </is>
      </c>
      <c r="O22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20" ht="15.75" customHeight="1" s="12">
      <c r="A2220" s="1" t="n">
        <v>1740</v>
      </c>
      <c r="B2220" s="3">
        <f>HYPERLINK("https://leetcode.com/problems/find-distance-in-a-binary-tree/", "Find Distance in a Binary Tree")</f>
        <v/>
      </c>
      <c r="C2220" s="1" t="n">
        <v>484</v>
      </c>
      <c r="D2220" s="1" t="n">
        <v>19</v>
      </c>
      <c r="E2220" s="4">
        <f>IF(INDEX(C:C, ROW())+INDEX(D:D, ROW())=0, 0, INDEX(C:C, ROW())/(INDEX(C:C, ROW())+INDEX(D:D, ROW())))</f>
        <v/>
      </c>
      <c r="F2220" s="1" t="inlineStr">
        <is>
          <t>Hash Table, Tree, Depth-First Search, Breadth-First Search, Binary Tree</t>
        </is>
      </c>
      <c r="G2220" s="1" t="inlineStr">
        <is>
          <t>Medium</t>
        </is>
      </c>
      <c r="H2220" s="1" t="n">
        <v>35153</v>
      </c>
      <c r="I2220" s="1" t="n">
        <v>47354</v>
      </c>
      <c r="J2220" s="9" t="n">
        <v>0.742</v>
      </c>
      <c r="K2220" s="1" t="inlineStr">
        <is>
          <t>No</t>
        </is>
      </c>
      <c r="L2220" s="1" t="inlineStr">
        <is>
          <t>Yes</t>
        </is>
      </c>
      <c r="M2220" s="1" t="inlineStr">
        <is>
          <t>No</t>
        </is>
      </c>
      <c r="N2220" s="1" t="inlineStr">
        <is>
          <t>Algorithms</t>
        </is>
      </c>
      <c r="O22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21" ht="15.75" customHeight="1" s="12">
      <c r="A2221" s="1" t="n">
        <v>3350</v>
      </c>
      <c r="B2221" s="3">
        <f>HYPERLINK("https://leetcode.com/problems/adjacent-increasing-subarrays-detection-ii/", "Adjacent Increasing Subarrays Detection II")</f>
        <v/>
      </c>
      <c r="C2221" s="1" t="n">
        <v>484</v>
      </c>
      <c r="D2221" s="1" t="n">
        <v>22</v>
      </c>
      <c r="E2221" s="4">
        <f>IF(INDEX(C:C, ROW())+INDEX(D:D, ROW())=0, 0, INDEX(C:C, ROW())/(INDEX(C:C, ROW())+INDEX(D:D, ROW())))</f>
        <v/>
      </c>
      <c r="F2221" s="1" t="inlineStr">
        <is>
          <t>Array, Binary Search</t>
        </is>
      </c>
      <c r="G2221" s="1" t="inlineStr">
        <is>
          <t>Medium</t>
        </is>
      </c>
      <c r="H2221" s="1" t="n">
        <v>118316</v>
      </c>
      <c r="I2221" s="1" t="n">
        <v>201051</v>
      </c>
      <c r="J2221" s="9" t="n">
        <v>0.588</v>
      </c>
      <c r="K2221" s="1" t="inlineStr">
        <is>
          <t>Yes</t>
        </is>
      </c>
      <c r="L2221" s="1" t="inlineStr">
        <is>
          <t>Yes</t>
        </is>
      </c>
      <c r="M2221" s="1" t="inlineStr">
        <is>
          <t>No</t>
        </is>
      </c>
      <c r="N2221" s="1" t="inlineStr">
        <is>
          <t>Algorithms</t>
        </is>
      </c>
      <c r="O22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22" ht="15.75" customHeight="1" s="12">
      <c r="A2222" s="1" t="n">
        <v>3403</v>
      </c>
      <c r="B2222" s="3">
        <f>HYPERLINK("https://leetcode.com/problems/find-the-lexicographically-largest-string-from-the-box-i/", "Find the Lexicographically Largest String From the Box I")</f>
        <v/>
      </c>
      <c r="C2222" s="1" t="n">
        <v>484</v>
      </c>
      <c r="D2222" s="1" t="n">
        <v>126</v>
      </c>
      <c r="E2222" s="4">
        <f>IF(INDEX(C:C, ROW())+INDEX(D:D, ROW())=0, 0, INDEX(C:C, ROW())/(INDEX(C:C, ROW())+INDEX(D:D, ROW())))</f>
        <v/>
      </c>
      <c r="F2222" s="1" t="inlineStr">
        <is>
          <t>Two Pointers, String, Enumeration</t>
        </is>
      </c>
      <c r="G2222" s="1" t="inlineStr">
        <is>
          <t>Medium</t>
        </is>
      </c>
      <c r="H2222" s="1" t="n">
        <v>110150</v>
      </c>
      <c r="I2222" s="1" t="n">
        <v>268959</v>
      </c>
      <c r="J2222" s="9" t="n">
        <v>0.41</v>
      </c>
      <c r="K2222" s="1" t="inlineStr">
        <is>
          <t>Yes</t>
        </is>
      </c>
      <c r="L2222" s="1" t="inlineStr">
        <is>
          <t>Yes</t>
        </is>
      </c>
      <c r="M2222" s="1" t="inlineStr">
        <is>
          <t>No</t>
        </is>
      </c>
      <c r="N2222" s="1" t="inlineStr">
        <is>
          <t>Algorithms</t>
        </is>
      </c>
      <c r="O22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23" ht="15.75" customHeight="1" s="12">
      <c r="A2223" s="1" t="n">
        <v>2374</v>
      </c>
      <c r="B2223" s="3">
        <f>HYPERLINK("https://leetcode.com/problems/node-with-highest-edge-score/", "Node With Highest Edge Score")</f>
        <v/>
      </c>
      <c r="C2223" s="1" t="n">
        <v>483</v>
      </c>
      <c r="D2223" s="1" t="n">
        <v>43</v>
      </c>
      <c r="E2223" s="4">
        <f>IF(INDEX(C:C, ROW())+INDEX(D:D, ROW())=0, 0, INDEX(C:C, ROW())/(INDEX(C:C, ROW())+INDEX(D:D, ROW())))</f>
        <v/>
      </c>
      <c r="F2223" s="1" t="inlineStr">
        <is>
          <t>Hash Table, Graph Theory</t>
        </is>
      </c>
      <c r="G2223" s="1" t="inlineStr">
        <is>
          <t>Medium</t>
        </is>
      </c>
      <c r="H2223" s="1" t="n">
        <v>43764</v>
      </c>
      <c r="I2223" s="1" t="n">
        <v>89096</v>
      </c>
      <c r="J2223" s="9" t="n">
        <v>0.491</v>
      </c>
      <c r="K2223" s="1" t="inlineStr">
        <is>
          <t>Yes</t>
        </is>
      </c>
      <c r="L2223" s="1" t="inlineStr">
        <is>
          <t>No</t>
        </is>
      </c>
      <c r="M2223" s="1" t="inlineStr">
        <is>
          <t>No</t>
        </is>
      </c>
      <c r="N2223" s="1" t="inlineStr">
        <is>
          <t>Algorithms</t>
        </is>
      </c>
      <c r="O22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24" ht="15.75" customHeight="1" s="12">
      <c r="A2224" s="1" t="n">
        <v>1253</v>
      </c>
      <c r="B2224" s="3">
        <f>HYPERLINK("https://leetcode.com/problems/reconstruct-a-2-row-binary-matrix/", "Reconstruct a 2-Row Binary Matrix")</f>
        <v/>
      </c>
      <c r="C2224" s="1" t="n">
        <v>482</v>
      </c>
      <c r="D2224" s="1" t="n">
        <v>35</v>
      </c>
      <c r="E2224" s="4">
        <f>IF(INDEX(C:C, ROW())+INDEX(D:D, ROW())=0, 0, INDEX(C:C, ROW())/(INDEX(C:C, ROW())+INDEX(D:D, ROW())))</f>
        <v/>
      </c>
      <c r="F2224" s="1" t="inlineStr">
        <is>
          <t>Array, Greedy, Matrix</t>
        </is>
      </c>
      <c r="G2224" s="1" t="inlineStr">
        <is>
          <t>Medium</t>
        </is>
      </c>
      <c r="H2224" s="1" t="n">
        <v>33403</v>
      </c>
      <c r="I2224" s="1" t="n">
        <v>68774</v>
      </c>
      <c r="J2224" s="9" t="n">
        <v>0.486</v>
      </c>
      <c r="K2224" s="1" t="inlineStr">
        <is>
          <t>Yes</t>
        </is>
      </c>
      <c r="L2224" s="1" t="inlineStr">
        <is>
          <t>No</t>
        </is>
      </c>
      <c r="M2224" s="1" t="inlineStr">
        <is>
          <t>No</t>
        </is>
      </c>
      <c r="N2224" s="1" t="inlineStr">
        <is>
          <t>Algorithms</t>
        </is>
      </c>
      <c r="O22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25" ht="15.75" customHeight="1" s="12">
      <c r="A2225" s="1" t="n">
        <v>2128</v>
      </c>
      <c r="B2225" s="3">
        <f>HYPERLINK("https://leetcode.com/problems/remove-all-ones-with-row-and-column-flips/", "Remove All Ones With Row and Column Flips")</f>
        <v/>
      </c>
      <c r="C2225" s="1" t="n">
        <v>481</v>
      </c>
      <c r="D2225" s="1" t="n">
        <v>189</v>
      </c>
      <c r="E2225" s="4">
        <f>IF(INDEX(C:C, ROW())+INDEX(D:D, ROW())=0, 0, INDEX(C:C, ROW())/(INDEX(C:C, ROW())+INDEX(D:D, ROW())))</f>
        <v/>
      </c>
      <c r="F2225" s="1" t="inlineStr">
        <is>
          <t>Array, Math, Bit Manipulation, Matrix</t>
        </is>
      </c>
      <c r="G2225" s="1" t="inlineStr">
        <is>
          <t>Medium</t>
        </is>
      </c>
      <c r="H2225" s="1" t="n">
        <v>34489</v>
      </c>
      <c r="I2225" s="1" t="n">
        <v>45262</v>
      </c>
      <c r="J2225" s="9" t="n">
        <v>0.762</v>
      </c>
      <c r="K2225" s="1" t="inlineStr">
        <is>
          <t>No</t>
        </is>
      </c>
      <c r="L2225" s="1" t="inlineStr">
        <is>
          <t>No</t>
        </is>
      </c>
      <c r="M2225" s="1" t="inlineStr">
        <is>
          <t>No</t>
        </is>
      </c>
      <c r="N2225" s="1" t="inlineStr">
        <is>
          <t>Algorithms</t>
        </is>
      </c>
      <c r="O22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26" ht="15.75" customHeight="1" s="12">
      <c r="A2226" s="1" t="n">
        <v>2900</v>
      </c>
      <c r="B2226" s="3">
        <f>HYPERLINK("https://leetcode.com/problems/longest-unequal-adjacent-groups-subsequence-i/", "Longest Unequal Adjacent Groups Subsequence I")</f>
        <v/>
      </c>
      <c r="C2226" s="1" t="n">
        <v>481</v>
      </c>
      <c r="D2226" s="1" t="n">
        <v>275</v>
      </c>
      <c r="E2226" s="4">
        <f>IF(INDEX(C:C, ROW())+INDEX(D:D, ROW())=0, 0, INDEX(C:C, ROW())/(INDEX(C:C, ROW())+INDEX(D:D, ROW())))</f>
        <v/>
      </c>
      <c r="F2226" s="1" t="inlineStr">
        <is>
          <t>Array, String, Dynamic Programming, Greedy</t>
        </is>
      </c>
      <c r="G2226" s="1" t="inlineStr">
        <is>
          <t>Easy</t>
        </is>
      </c>
      <c r="H2226" s="1" t="n">
        <v>146113</v>
      </c>
      <c r="I2226" s="1" t="n">
        <v>218196</v>
      </c>
      <c r="J2226" s="9" t="n">
        <v>0.67</v>
      </c>
      <c r="K2226" s="1" t="inlineStr">
        <is>
          <t>Yes</t>
        </is>
      </c>
      <c r="L2226" s="1" t="inlineStr">
        <is>
          <t>Yes</t>
        </is>
      </c>
      <c r="M2226" s="1" t="inlineStr">
        <is>
          <t>No</t>
        </is>
      </c>
      <c r="N2226" s="1" t="inlineStr">
        <is>
          <t>Algorithms</t>
        </is>
      </c>
      <c r="O22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27" ht="15.75" customHeight="1" s="12">
      <c r="A2227" s="1" t="n">
        <v>3408</v>
      </c>
      <c r="B2227" s="3">
        <f>HYPERLINK("https://leetcode.com/problems/design-task-manager/", "Design Task Manager")</f>
        <v/>
      </c>
      <c r="C2227" s="1" t="n">
        <v>481</v>
      </c>
      <c r="D2227" s="1" t="n">
        <v>51</v>
      </c>
      <c r="E2227" s="4">
        <f>IF(INDEX(C:C, ROW())+INDEX(D:D, ROW())=0, 0, INDEX(C:C, ROW())/(INDEX(C:C, ROW())+INDEX(D:D, ROW())))</f>
        <v/>
      </c>
      <c r="F2227" s="1" t="inlineStr">
        <is>
          <t>Hash Table, Design, Heap (Priority Queue), Ordered Set</t>
        </is>
      </c>
      <c r="G2227" s="1" t="inlineStr">
        <is>
          <t>Medium</t>
        </is>
      </c>
      <c r="H2227" s="1" t="n">
        <v>99911</v>
      </c>
      <c r="I2227" s="1" t="n">
        <v>203071</v>
      </c>
      <c r="J2227" s="9" t="n">
        <v>0.492</v>
      </c>
      <c r="K2227" s="1" t="inlineStr">
        <is>
          <t>Yes</t>
        </is>
      </c>
      <c r="L2227" s="1" t="inlineStr">
        <is>
          <t>Yes</t>
        </is>
      </c>
      <c r="M2227" s="1" t="inlineStr">
        <is>
          <t>No</t>
        </is>
      </c>
      <c r="N2227" s="1" t="inlineStr">
        <is>
          <t>Algorithms</t>
        </is>
      </c>
      <c r="O22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28" ht="15.75" customHeight="1" s="12">
      <c r="A2228" s="1" t="n">
        <v>478</v>
      </c>
      <c r="B2228" s="3">
        <f>HYPERLINK("https://leetcode.com/problems/generate-random-point-in-a-circle/", "Generate Random Point in a Circle")</f>
        <v/>
      </c>
      <c r="C2228" s="1" t="n">
        <v>480</v>
      </c>
      <c r="D2228" s="1" t="n">
        <v>782</v>
      </c>
      <c r="E2228" s="4">
        <f>IF(INDEX(C:C, ROW())+INDEX(D:D, ROW())=0, 0, INDEX(C:C, ROW())/(INDEX(C:C, ROW())+INDEX(D:D, ROW())))</f>
        <v/>
      </c>
      <c r="F2228" s="1" t="inlineStr">
        <is>
          <t>Math, Geometry, Rejection Sampling, Randomized</t>
        </is>
      </c>
      <c r="G2228" s="1" t="inlineStr">
        <is>
          <t>Medium</t>
        </is>
      </c>
      <c r="H2228" s="1" t="n">
        <v>52344</v>
      </c>
      <c r="I2228" s="1" t="n">
        <v>123843</v>
      </c>
      <c r="J2228" s="9" t="n">
        <v>0.423</v>
      </c>
      <c r="K2228" s="1" t="inlineStr">
        <is>
          <t>Yes</t>
        </is>
      </c>
      <c r="L2228" s="1" t="inlineStr">
        <is>
          <t>Yes</t>
        </is>
      </c>
      <c r="M2228" s="1" t="inlineStr">
        <is>
          <t>No</t>
        </is>
      </c>
      <c r="N2228" s="1" t="inlineStr">
        <is>
          <t>Algorithms</t>
        </is>
      </c>
      <c r="O22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29" ht="15.75" customHeight="1" s="12">
      <c r="A2229" s="1" t="n">
        <v>1150</v>
      </c>
      <c r="B2229" s="3">
        <f>HYPERLINK("https://leetcode.com/problems/check-if-a-number-is-majority-element-in-a-sorted-array/", "Check If a Number Is Majority Element in a Sorted Array")</f>
        <v/>
      </c>
      <c r="C2229" s="1" t="n">
        <v>480</v>
      </c>
      <c r="D2229" s="1" t="n">
        <v>36</v>
      </c>
      <c r="E2229" s="4">
        <f>IF(INDEX(C:C, ROW())+INDEX(D:D, ROW())=0, 0, INDEX(C:C, ROW())/(INDEX(C:C, ROW())+INDEX(D:D, ROW())))</f>
        <v/>
      </c>
      <c r="F2229" s="1" t="inlineStr">
        <is>
          <t>Array, Binary Search</t>
        </is>
      </c>
      <c r="G2229" s="1" t="inlineStr">
        <is>
          <t>Easy</t>
        </is>
      </c>
      <c r="H2229" s="1" t="n">
        <v>61412</v>
      </c>
      <c r="I2229" s="1" t="n">
        <v>102503</v>
      </c>
      <c r="J2229" s="9" t="n">
        <v>0.599</v>
      </c>
      <c r="K2229" s="1" t="inlineStr">
        <is>
          <t>No</t>
        </is>
      </c>
      <c r="L2229" s="1" t="inlineStr">
        <is>
          <t>Yes</t>
        </is>
      </c>
      <c r="M2229" s="1" t="inlineStr">
        <is>
          <t>No</t>
        </is>
      </c>
      <c r="N2229" s="1" t="inlineStr">
        <is>
          <t>Algorithms</t>
        </is>
      </c>
      <c r="O22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30" ht="15.75" customHeight="1" s="12">
      <c r="A2230" s="1" t="n">
        <v>1272</v>
      </c>
      <c r="B2230" s="3">
        <f>HYPERLINK("https://leetcode.com/problems/remove-interval/", "Remove Interval")</f>
        <v/>
      </c>
      <c r="C2230" s="1" t="n">
        <v>479</v>
      </c>
      <c r="D2230" s="1" t="n">
        <v>36</v>
      </c>
      <c r="E2230" s="4">
        <f>IF(INDEX(C:C, ROW())+INDEX(D:D, ROW())=0, 0, INDEX(C:C, ROW())/(INDEX(C:C, ROW())+INDEX(D:D, ROW())))</f>
        <v/>
      </c>
      <c r="F2230" s="1" t="inlineStr">
        <is>
          <t>Array</t>
        </is>
      </c>
      <c r="G2230" s="1" t="inlineStr">
        <is>
          <t>Medium</t>
        </is>
      </c>
      <c r="H2230" s="1" t="n">
        <v>41772</v>
      </c>
      <c r="I2230" s="1" t="n">
        <v>62267</v>
      </c>
      <c r="J2230" s="9" t="n">
        <v>0.671</v>
      </c>
      <c r="K2230" s="1" t="inlineStr">
        <is>
          <t>No</t>
        </is>
      </c>
      <c r="L2230" s="1" t="inlineStr">
        <is>
          <t>Yes</t>
        </is>
      </c>
      <c r="M2230" s="1" t="inlineStr">
        <is>
          <t>Yes</t>
        </is>
      </c>
      <c r="N2230" s="1" t="inlineStr">
        <is>
          <t>Algorithms</t>
        </is>
      </c>
      <c r="O22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31" ht="15.75" customHeight="1" s="12">
      <c r="A2231" s="1" t="n">
        <v>1311</v>
      </c>
      <c r="B2231" s="3">
        <f>HYPERLINK("https://leetcode.com/problems/get-watched-videos-by-your-friends/", "Get Watched Videos by Your Friends")</f>
        <v/>
      </c>
      <c r="C2231" s="1" t="n">
        <v>479</v>
      </c>
      <c r="D2231" s="1" t="n">
        <v>448</v>
      </c>
      <c r="E2231" s="4">
        <f>IF(INDEX(C:C, ROW())+INDEX(D:D, ROW())=0, 0, INDEX(C:C, ROW())/(INDEX(C:C, ROW())+INDEX(D:D, ROW())))</f>
        <v/>
      </c>
      <c r="F2231" s="1" t="inlineStr">
        <is>
          <t>Array, Hash Table, Breadth-First Search, Graph Theory, Sorting</t>
        </is>
      </c>
      <c r="G2231" s="1" t="inlineStr">
        <is>
          <t>Medium</t>
        </is>
      </c>
      <c r="H2231" s="1" t="n">
        <v>38282</v>
      </c>
      <c r="I2231" s="1" t="n">
        <v>74048</v>
      </c>
      <c r="J2231" s="9" t="n">
        <v>0.517</v>
      </c>
      <c r="K2231" s="1" t="inlineStr">
        <is>
          <t>Yes</t>
        </is>
      </c>
      <c r="L2231" s="1" t="inlineStr">
        <is>
          <t>No</t>
        </is>
      </c>
      <c r="M2231" s="1" t="inlineStr">
        <is>
          <t>No</t>
        </is>
      </c>
      <c r="N2231" s="1" t="inlineStr">
        <is>
          <t>Algorithms</t>
        </is>
      </c>
      <c r="O22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32" ht="15.75" customHeight="1" s="12">
      <c r="A2232" s="1" t="n">
        <v>3136</v>
      </c>
      <c r="B2232" s="3">
        <f>HYPERLINK("https://leetcode.com/problems/valid-word/", "Valid Word")</f>
        <v/>
      </c>
      <c r="C2232" s="1" t="n">
        <v>479</v>
      </c>
      <c r="D2232" s="1" t="n">
        <v>167</v>
      </c>
      <c r="E2232" s="4">
        <f>IF(INDEX(C:C, ROW())+INDEX(D:D, ROW())=0, 0, INDEX(C:C, ROW())/(INDEX(C:C, ROW())+INDEX(D:D, ROW())))</f>
        <v/>
      </c>
      <c r="F2232" s="1" t="inlineStr">
        <is>
          <t>String</t>
        </is>
      </c>
      <c r="G2232" s="1" t="inlineStr">
        <is>
          <t>Easy</t>
        </is>
      </c>
      <c r="H2232" s="1" t="n">
        <v>205087</v>
      </c>
      <c r="I2232" s="1" t="n">
        <v>403141</v>
      </c>
      <c r="J2232" s="9" t="n">
        <v>0.509</v>
      </c>
      <c r="K2232" s="1" t="inlineStr">
        <is>
          <t>Yes</t>
        </is>
      </c>
      <c r="L2232" s="1" t="inlineStr">
        <is>
          <t>Yes</t>
        </is>
      </c>
      <c r="M2232" s="1" t="inlineStr">
        <is>
          <t>No</t>
        </is>
      </c>
      <c r="N2232" s="1" t="inlineStr">
        <is>
          <t>Algorithms</t>
        </is>
      </c>
      <c r="O22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33" ht="15.75" customHeight="1" s="12">
      <c r="A2233" s="1" t="n">
        <v>3349</v>
      </c>
      <c r="B2233" s="3">
        <f>HYPERLINK("https://leetcode.com/problems/adjacent-increasing-subarrays-detection-i/", "Adjacent Increasing Subarrays Detection I")</f>
        <v/>
      </c>
      <c r="C2233" s="1" t="n">
        <v>479</v>
      </c>
      <c r="D2233" s="1" t="n">
        <v>59</v>
      </c>
      <c r="E2233" s="4">
        <f>IF(INDEX(C:C, ROW())+INDEX(D:D, ROW())=0, 0, INDEX(C:C, ROW())/(INDEX(C:C, ROW())+INDEX(D:D, ROW())))</f>
        <v/>
      </c>
      <c r="F2233" s="1" t="inlineStr">
        <is>
          <t>Array</t>
        </is>
      </c>
      <c r="G2233" s="1" t="inlineStr">
        <is>
          <t>Easy</t>
        </is>
      </c>
      <c r="H2233" s="1" t="n">
        <v>157885</v>
      </c>
      <c r="I2233" s="1" t="n">
        <v>328765</v>
      </c>
      <c r="J2233" s="9" t="n">
        <v>0.48</v>
      </c>
      <c r="K2233" s="1" t="inlineStr">
        <is>
          <t>Yes</t>
        </is>
      </c>
      <c r="L2233" s="1" t="inlineStr">
        <is>
          <t>Yes</t>
        </is>
      </c>
      <c r="M2233" s="1" t="inlineStr">
        <is>
          <t>No</t>
        </is>
      </c>
      <c r="N2233" s="1" t="inlineStr">
        <is>
          <t>Algorithms</t>
        </is>
      </c>
      <c r="O22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34" ht="15.75" customHeight="1" s="12">
      <c r="A2234" s="1" t="n">
        <v>982</v>
      </c>
      <c r="B2234" s="3">
        <f>HYPERLINK("https://leetcode.com/problems/triples-with-bitwise-and-equal-to-zero/", "Triples with Bitwise AND Equal To Zero")</f>
        <v/>
      </c>
      <c r="C2234" s="1" t="n">
        <v>478</v>
      </c>
      <c r="D2234" s="1" t="n">
        <v>222</v>
      </c>
      <c r="E2234" s="4">
        <f>IF(INDEX(C:C, ROW())+INDEX(D:D, ROW())=0, 0, INDEX(C:C, ROW())/(INDEX(C:C, ROW())+INDEX(D:D, ROW())))</f>
        <v/>
      </c>
      <c r="F2234" s="1" t="inlineStr">
        <is>
          <t>Array, Hash Table, Bit Manipulation</t>
        </is>
      </c>
      <c r="G2234" s="1" t="inlineStr">
        <is>
          <t>Hard</t>
        </is>
      </c>
      <c r="H2234" s="1" t="n">
        <v>23721</v>
      </c>
      <c r="I2234" s="1" t="n">
        <v>39620</v>
      </c>
      <c r="J2234" s="9" t="n">
        <v>0.599</v>
      </c>
      <c r="K2234" s="1" t="inlineStr">
        <is>
          <t>Yes</t>
        </is>
      </c>
      <c r="L2234" s="1" t="inlineStr">
        <is>
          <t>No</t>
        </is>
      </c>
      <c r="M2234" s="1" t="inlineStr">
        <is>
          <t>No</t>
        </is>
      </c>
      <c r="N2234" s="1" t="inlineStr">
        <is>
          <t>Algorithms</t>
        </is>
      </c>
      <c r="O22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35" ht="15.75" customHeight="1" s="12">
      <c r="A2235" s="1" t="n">
        <v>3025</v>
      </c>
      <c r="B2235" s="3">
        <f>HYPERLINK("https://leetcode.com/problems/find-the-number-of-ways-to-place-people-i/", "Find the Number of Ways to Place People I")</f>
        <v/>
      </c>
      <c r="C2235" s="1" t="n">
        <v>478</v>
      </c>
      <c r="D2235" s="1" t="n">
        <v>180</v>
      </c>
      <c r="E2235" s="4">
        <f>IF(INDEX(C:C, ROW())+INDEX(D:D, ROW())=0, 0, INDEX(C:C, ROW())/(INDEX(C:C, ROW())+INDEX(D:D, ROW())))</f>
        <v/>
      </c>
      <c r="F2235" s="1" t="inlineStr">
        <is>
          <t>Array, Math, Geometry, Sorting, Enumeration</t>
        </is>
      </c>
      <c r="G2235" s="1" t="inlineStr">
        <is>
          <t>Medium</t>
        </is>
      </c>
      <c r="H2235" s="1" t="n">
        <v>114297</v>
      </c>
      <c r="I2235" s="1" t="n">
        <v>178399</v>
      </c>
      <c r="J2235" s="9" t="n">
        <v>0.641</v>
      </c>
      <c r="K2235" s="1" t="inlineStr">
        <is>
          <t>Yes</t>
        </is>
      </c>
      <c r="L2235" s="1" t="inlineStr">
        <is>
          <t>Yes</t>
        </is>
      </c>
      <c r="M2235" s="1" t="inlineStr">
        <is>
          <t>No</t>
        </is>
      </c>
      <c r="N2235" s="1" t="inlineStr">
        <is>
          <t>Algorithms</t>
        </is>
      </c>
      <c r="O22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36" ht="15.75" customHeight="1" s="12">
      <c r="A2236" s="1" t="n">
        <v>193</v>
      </c>
      <c r="B2236" s="3">
        <f>HYPERLINK("https://leetcode.com/problems/valid-phone-numbers/", "Valid Phone Numbers")</f>
        <v/>
      </c>
      <c r="C2236" s="1" t="n">
        <v>476</v>
      </c>
      <c r="D2236" s="1" t="n">
        <v>981</v>
      </c>
      <c r="E2236" s="4">
        <f>IF(INDEX(C:C, ROW())+INDEX(D:D, ROW())=0, 0, INDEX(C:C, ROW())/(INDEX(C:C, ROW())+INDEX(D:D, ROW())))</f>
        <v/>
      </c>
      <c r="F2236" s="1" t="inlineStr">
        <is>
          <t>Shell</t>
        </is>
      </c>
      <c r="G2236" s="1" t="inlineStr">
        <is>
          <t>Easy</t>
        </is>
      </c>
      <c r="H2236" s="1" t="n">
        <v>121003</v>
      </c>
      <c r="I2236" s="1" t="n">
        <v>421685</v>
      </c>
      <c r="J2236" s="9" t="n">
        <v>0.287</v>
      </c>
      <c r="K2236" s="1" t="inlineStr">
        <is>
          <t>Yes</t>
        </is>
      </c>
      <c r="L2236" s="1" t="inlineStr">
        <is>
          <t>No</t>
        </is>
      </c>
      <c r="M2236" s="1" t="inlineStr">
        <is>
          <t>No</t>
        </is>
      </c>
      <c r="N2236" s="1" t="inlineStr">
        <is>
          <t>Shell</t>
        </is>
      </c>
      <c r="O22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37" ht="15.75" customHeight="1" s="12">
      <c r="A2237" s="1" t="n">
        <v>1053</v>
      </c>
      <c r="B2237" s="3">
        <f>HYPERLINK("https://leetcode.com/problems/previous-permutation-with-one-swap/", "Previous Permutation With One Swap")</f>
        <v/>
      </c>
      <c r="C2237" s="1" t="n">
        <v>476</v>
      </c>
      <c r="D2237" s="1" t="n">
        <v>43</v>
      </c>
      <c r="E2237" s="4">
        <f>IF(INDEX(C:C, ROW())+INDEX(D:D, ROW())=0, 0, INDEX(C:C, ROW())/(INDEX(C:C, ROW())+INDEX(D:D, ROW())))</f>
        <v/>
      </c>
      <c r="F2237" s="1" t="inlineStr">
        <is>
          <t>Array, Greedy</t>
        </is>
      </c>
      <c r="G2237" s="1" t="inlineStr">
        <is>
          <t>Medium</t>
        </is>
      </c>
      <c r="H2237" s="1" t="n">
        <v>47475</v>
      </c>
      <c r="I2237" s="1" t="n">
        <v>96255</v>
      </c>
      <c r="J2237" s="9" t="n">
        <v>0.493</v>
      </c>
      <c r="K2237" s="1" t="inlineStr">
        <is>
          <t>Yes</t>
        </is>
      </c>
      <c r="L2237" s="1" t="inlineStr">
        <is>
          <t>No</t>
        </is>
      </c>
      <c r="M2237" s="1" t="inlineStr">
        <is>
          <t>No</t>
        </is>
      </c>
      <c r="N2237" s="1" t="inlineStr">
        <is>
          <t>Algorithms</t>
        </is>
      </c>
      <c r="O22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38" ht="15.75" customHeight="1" s="12">
      <c r="A2238" s="1" t="n">
        <v>2627</v>
      </c>
      <c r="B2238" s="3">
        <f>HYPERLINK("https://leetcode.com/problems/debounce/", "Debounce")</f>
        <v/>
      </c>
      <c r="C2238" s="1" t="n">
        <v>475</v>
      </c>
      <c r="D2238" s="1" t="n">
        <v>56</v>
      </c>
      <c r="E2238" s="4">
        <f>IF(INDEX(C:C, ROW())+INDEX(D:D, ROW())=0, 0, INDEX(C:C, ROW())/(INDEX(C:C, ROW())+INDEX(D:D, ROW())))</f>
        <v/>
      </c>
      <c r="F2238" s="2" t="n"/>
      <c r="G2238" s="1" t="inlineStr">
        <is>
          <t>Medium</t>
        </is>
      </c>
      <c r="H2238" s="1" t="n">
        <v>87116</v>
      </c>
      <c r="I2238" s="1" t="n">
        <v>94968</v>
      </c>
      <c r="J2238" s="9" t="n">
        <v>0.917</v>
      </c>
      <c r="K2238" s="1" t="inlineStr">
        <is>
          <t>Yes</t>
        </is>
      </c>
      <c r="L2238" s="1" t="inlineStr">
        <is>
          <t>Yes</t>
        </is>
      </c>
      <c r="M2238" s="1" t="inlineStr">
        <is>
          <t>No</t>
        </is>
      </c>
      <c r="N2238" s="1" t="inlineStr">
        <is>
          <t>JavaScript</t>
        </is>
      </c>
      <c r="O22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39" ht="15.75" customHeight="1" s="12">
      <c r="A2239" s="1" t="n">
        <v>2240</v>
      </c>
      <c r="B2239" s="3">
        <f>HYPERLINK("https://leetcode.com/problems/number-of-ways-to-buy-pens-and-pencils/", "Number of Ways to Buy Pens and Pencils")</f>
        <v/>
      </c>
      <c r="C2239" s="1" t="n">
        <v>474</v>
      </c>
      <c r="D2239" s="1" t="n">
        <v>36</v>
      </c>
      <c r="E2239" s="4">
        <f>IF(INDEX(C:C, ROW())+INDEX(D:D, ROW())=0, 0, INDEX(C:C, ROW())/(INDEX(C:C, ROW())+INDEX(D:D, ROW())))</f>
        <v/>
      </c>
      <c r="F2239" s="1" t="inlineStr">
        <is>
          <t>Math, Enumeration</t>
        </is>
      </c>
      <c r="G2239" s="1" t="inlineStr">
        <is>
          <t>Medium</t>
        </is>
      </c>
      <c r="H2239" s="1" t="n">
        <v>37782</v>
      </c>
      <c r="I2239" s="1" t="n">
        <v>66938</v>
      </c>
      <c r="J2239" s="9" t="n">
        <v>0.5639999999999999</v>
      </c>
      <c r="K2239" s="1" t="inlineStr">
        <is>
          <t>Yes</t>
        </is>
      </c>
      <c r="L2239" s="1" t="inlineStr">
        <is>
          <t>No</t>
        </is>
      </c>
      <c r="M2239" s="1" t="inlineStr">
        <is>
          <t>No</t>
        </is>
      </c>
      <c r="N2239" s="1" t="inlineStr">
        <is>
          <t>Algorithms</t>
        </is>
      </c>
      <c r="O22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40" ht="15.75" customHeight="1" s="12">
      <c r="A2240" s="1" t="n">
        <v>2538</v>
      </c>
      <c r="B2240" s="3">
        <f>HYPERLINK("https://leetcode.com/problems/difference-between-maximum-and-minimum-price-sum/", "Difference Between Maximum and Minimum Price Sum")</f>
        <v/>
      </c>
      <c r="C2240" s="1" t="n">
        <v>474</v>
      </c>
      <c r="D2240" s="1" t="n">
        <v>19</v>
      </c>
      <c r="E2240" s="4">
        <f>IF(INDEX(C:C, ROW())+INDEX(D:D, ROW())=0, 0, INDEX(C:C, ROW())/(INDEX(C:C, ROW())+INDEX(D:D, ROW())))</f>
        <v/>
      </c>
      <c r="F2240" s="1" t="inlineStr">
        <is>
          <t>Array, Dynamic Programming, Tree, Depth-First Search</t>
        </is>
      </c>
      <c r="G2240" s="1" t="inlineStr">
        <is>
          <t>Hard</t>
        </is>
      </c>
      <c r="H2240" s="1" t="n">
        <v>10599</v>
      </c>
      <c r="I2240" s="1" t="n">
        <v>32101</v>
      </c>
      <c r="J2240" s="9" t="n">
        <v>0.33</v>
      </c>
      <c r="K2240" s="1" t="inlineStr">
        <is>
          <t>Yes</t>
        </is>
      </c>
      <c r="L2240" s="1" t="inlineStr">
        <is>
          <t>No</t>
        </is>
      </c>
      <c r="M2240" s="1" t="inlineStr">
        <is>
          <t>No</t>
        </is>
      </c>
      <c r="N2240" s="1" t="inlineStr">
        <is>
          <t>Algorithms</t>
        </is>
      </c>
      <c r="O22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41" ht="15.75" customHeight="1" s="12">
      <c r="A2241" s="1" t="n">
        <v>3508</v>
      </c>
      <c r="B2241" s="3">
        <f>HYPERLINK("https://leetcode.com/problems/implement-router/", "Implement Router")</f>
        <v/>
      </c>
      <c r="C2241" s="1" t="n">
        <v>474</v>
      </c>
      <c r="D2241" s="1" t="n">
        <v>114</v>
      </c>
      <c r="E2241" s="4">
        <f>IF(INDEX(C:C, ROW())+INDEX(D:D, ROW())=0, 0, INDEX(C:C, ROW())/(INDEX(C:C, ROW())+INDEX(D:D, ROW())))</f>
        <v/>
      </c>
      <c r="F2241" s="1" t="inlineStr">
        <is>
          <t>Array, Hash Table, Binary Search, Design, Queue, Ordered Set</t>
        </is>
      </c>
      <c r="G2241" s="1" t="inlineStr">
        <is>
          <t>Medium</t>
        </is>
      </c>
      <c r="H2241" s="1" t="n">
        <v>87586</v>
      </c>
      <c r="I2241" s="1" t="n">
        <v>223086</v>
      </c>
      <c r="J2241" s="9" t="n">
        <v>0.393</v>
      </c>
      <c r="K2241" s="1" t="inlineStr">
        <is>
          <t>Yes</t>
        </is>
      </c>
      <c r="L2241" s="1" t="inlineStr">
        <is>
          <t>Yes</t>
        </is>
      </c>
      <c r="M2241" s="1" t="inlineStr">
        <is>
          <t>No</t>
        </is>
      </c>
      <c r="N2241" s="1" t="inlineStr">
        <is>
          <t>Algorithms</t>
        </is>
      </c>
      <c r="O22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42" ht="15.75" customHeight="1" s="12">
      <c r="A2242" s="1" t="n">
        <v>2770</v>
      </c>
      <c r="B2242" s="3">
        <f>HYPERLINK("https://leetcode.com/problems/maximum-number-of-jumps-to-reach-the-last-index/", "Maximum Number of Jumps to Reach the Last Index")</f>
        <v/>
      </c>
      <c r="C2242" s="1" t="n">
        <v>473</v>
      </c>
      <c r="D2242" s="1" t="n">
        <v>14</v>
      </c>
      <c r="E2242" s="4">
        <f>IF(INDEX(C:C, ROW())+INDEX(D:D, ROW())=0, 0, INDEX(C:C, ROW())/(INDEX(C:C, ROW())+INDEX(D:D, ROW())))</f>
        <v/>
      </c>
      <c r="F2242" s="1" t="inlineStr">
        <is>
          <t>Array, Dynamic Programming</t>
        </is>
      </c>
      <c r="G2242" s="1" t="inlineStr">
        <is>
          <t>Medium</t>
        </is>
      </c>
      <c r="H2242" s="1" t="n">
        <v>34072</v>
      </c>
      <c r="I2242" s="1" t="n">
        <v>105399</v>
      </c>
      <c r="J2242" s="9" t="n">
        <v>0.323</v>
      </c>
      <c r="K2242" s="1" t="inlineStr">
        <is>
          <t>Yes</t>
        </is>
      </c>
      <c r="L2242" s="1" t="inlineStr">
        <is>
          <t>No</t>
        </is>
      </c>
      <c r="M2242" s="1" t="inlineStr">
        <is>
          <t>No</t>
        </is>
      </c>
      <c r="N2242" s="1" t="inlineStr">
        <is>
          <t>Algorithms</t>
        </is>
      </c>
      <c r="O22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43" ht="15.75" customHeight="1" s="12">
      <c r="A2243" s="1" t="n">
        <v>1872</v>
      </c>
      <c r="B2243" s="3">
        <f>HYPERLINK("https://leetcode.com/problems/stone-game-viii/", "Stone Game VIII")</f>
        <v/>
      </c>
      <c r="C2243" s="1" t="n">
        <v>472</v>
      </c>
      <c r="D2243" s="1" t="n">
        <v>25</v>
      </c>
      <c r="E2243" s="4">
        <f>IF(INDEX(C:C, ROW())+INDEX(D:D, ROW())=0, 0, INDEX(C:C, ROW())/(INDEX(C:C, ROW())+INDEX(D:D, ROW())))</f>
        <v/>
      </c>
      <c r="F2243" s="1" t="inlineStr">
        <is>
          <t>Array, Math, Dynamic Programming, Prefix Sum, Game Theory</t>
        </is>
      </c>
      <c r="G2243" s="1" t="inlineStr">
        <is>
          <t>Hard</t>
        </is>
      </c>
      <c r="H2243" s="1" t="n">
        <v>12539</v>
      </c>
      <c r="I2243" s="1" t="n">
        <v>23300</v>
      </c>
      <c r="J2243" s="9" t="n">
        <v>0.538</v>
      </c>
      <c r="K2243" s="1" t="inlineStr">
        <is>
          <t>Yes</t>
        </is>
      </c>
      <c r="L2243" s="1" t="inlineStr">
        <is>
          <t>No</t>
        </is>
      </c>
      <c r="M2243" s="1" t="inlineStr">
        <is>
          <t>No</t>
        </is>
      </c>
      <c r="N2243" s="1" t="inlineStr">
        <is>
          <t>Algorithms</t>
        </is>
      </c>
      <c r="O22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44" ht="15.75" customHeight="1" s="12">
      <c r="A2244" s="1" t="n">
        <v>793</v>
      </c>
      <c r="B2244" s="3">
        <f>HYPERLINK("https://leetcode.com/problems/preimage-size-of-factorial-zeroes-function/", "Preimage Size of Factorial Zeroes Function")</f>
        <v/>
      </c>
      <c r="C2244" s="1" t="n">
        <v>471</v>
      </c>
      <c r="D2244" s="1" t="n">
        <v>103</v>
      </c>
      <c r="E2244" s="4">
        <f>IF(INDEX(C:C, ROW())+INDEX(D:D, ROW())=0, 0, INDEX(C:C, ROW())/(INDEX(C:C, ROW())+INDEX(D:D, ROW())))</f>
        <v/>
      </c>
      <c r="F2244" s="1" t="inlineStr">
        <is>
          <t>Math, Binary Search</t>
        </is>
      </c>
      <c r="G2244" s="1" t="inlineStr">
        <is>
          <t>Hard</t>
        </is>
      </c>
      <c r="H2244" s="1" t="n">
        <v>23539</v>
      </c>
      <c r="I2244" s="1" t="n">
        <v>50648</v>
      </c>
      <c r="J2244" s="9" t="n">
        <v>0.465</v>
      </c>
      <c r="K2244" s="1" t="inlineStr">
        <is>
          <t>Yes</t>
        </is>
      </c>
      <c r="L2244" s="1" t="inlineStr">
        <is>
          <t>Yes</t>
        </is>
      </c>
      <c r="M2244" s="1" t="inlineStr">
        <is>
          <t>No</t>
        </is>
      </c>
      <c r="N2244" s="1" t="inlineStr">
        <is>
          <t>Algorithms</t>
        </is>
      </c>
      <c r="O22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45" ht="15.75" customHeight="1" s="12">
      <c r="A2245" s="1" t="n">
        <v>2544</v>
      </c>
      <c r="B2245" s="3">
        <f>HYPERLINK("https://leetcode.com/problems/alternating-digit-sum/", "Alternating Digit Sum")</f>
        <v/>
      </c>
      <c r="C2245" s="1" t="n">
        <v>471</v>
      </c>
      <c r="D2245" s="1" t="n">
        <v>23</v>
      </c>
      <c r="E2245" s="4">
        <f>IF(INDEX(C:C, ROW())+INDEX(D:D, ROW())=0, 0, INDEX(C:C, ROW())/(INDEX(C:C, ROW())+INDEX(D:D, ROW())))</f>
        <v/>
      </c>
      <c r="F2245" s="1" t="inlineStr">
        <is>
          <t>Math</t>
        </is>
      </c>
      <c r="G2245" s="1" t="inlineStr">
        <is>
          <t>Easy</t>
        </is>
      </c>
      <c r="H2245" s="1" t="n">
        <v>95980</v>
      </c>
      <c r="I2245" s="1" t="n">
        <v>139217</v>
      </c>
      <c r="J2245" s="9" t="n">
        <v>0.6889999999999999</v>
      </c>
      <c r="K2245" s="1" t="inlineStr">
        <is>
          <t>Yes</t>
        </is>
      </c>
      <c r="L2245" s="1" t="inlineStr">
        <is>
          <t>No</t>
        </is>
      </c>
      <c r="M2245" s="1" t="inlineStr">
        <is>
          <t>No</t>
        </is>
      </c>
      <c r="N2245" s="1" t="inlineStr">
        <is>
          <t>Algorithms</t>
        </is>
      </c>
      <c r="O22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46" ht="15.75" customHeight="1" s="12">
      <c r="A2246" s="1" t="n">
        <v>2866</v>
      </c>
      <c r="B2246" s="3">
        <f>HYPERLINK("https://leetcode.com/problems/beautiful-towers-ii/", "Beautiful Towers II")</f>
        <v/>
      </c>
      <c r="C2246" s="1" t="n">
        <v>470</v>
      </c>
      <c r="D2246" s="1" t="n">
        <v>32</v>
      </c>
      <c r="E2246" s="4">
        <f>IF(INDEX(C:C, ROW())+INDEX(D:D, ROW())=0, 0, INDEX(C:C, ROW())/(INDEX(C:C, ROW())+INDEX(D:D, ROW())))</f>
        <v/>
      </c>
      <c r="F2246" s="1" t="inlineStr">
        <is>
          <t>Array, Stack, Monotonic Stack</t>
        </is>
      </c>
      <c r="G2246" s="1" t="inlineStr">
        <is>
          <t>Medium</t>
        </is>
      </c>
      <c r="H2246" s="1" t="n">
        <v>17752</v>
      </c>
      <c r="I2246" s="1" t="n">
        <v>49367</v>
      </c>
      <c r="J2246" s="9" t="n">
        <v>0.36</v>
      </c>
      <c r="K2246" s="1" t="inlineStr">
        <is>
          <t>Yes</t>
        </is>
      </c>
      <c r="L2246" s="1" t="inlineStr">
        <is>
          <t>No</t>
        </is>
      </c>
      <c r="M2246" s="1" t="inlineStr">
        <is>
          <t>No</t>
        </is>
      </c>
      <c r="N2246" s="1" t="inlineStr">
        <is>
          <t>Algorithms</t>
        </is>
      </c>
      <c r="O22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47" ht="15.75" customHeight="1" s="12">
      <c r="A2247" s="1" t="n">
        <v>3487</v>
      </c>
      <c r="B2247" s="3">
        <f>HYPERLINK("https://leetcode.com/problems/maximum-unique-subarray-sum-after-deletion/", "Maximum Unique Subarray Sum After Deletion")</f>
        <v/>
      </c>
      <c r="C2247" s="1" t="n">
        <v>470</v>
      </c>
      <c r="D2247" s="1" t="n">
        <v>77</v>
      </c>
      <c r="E2247" s="4">
        <f>IF(INDEX(C:C, ROW())+INDEX(D:D, ROW())=0, 0, INDEX(C:C, ROW())/(INDEX(C:C, ROW())+INDEX(D:D, ROW())))</f>
        <v/>
      </c>
      <c r="F2247" s="1" t="inlineStr">
        <is>
          <t>Array, Hash Table, Greedy</t>
        </is>
      </c>
      <c r="G2247" s="1" t="inlineStr">
        <is>
          <t>Easy</t>
        </is>
      </c>
      <c r="H2247" s="1" t="n">
        <v>156388</v>
      </c>
      <c r="I2247" s="1" t="n">
        <v>386601</v>
      </c>
      <c r="J2247" s="9" t="n">
        <v>0.405</v>
      </c>
      <c r="K2247" s="1" t="inlineStr">
        <is>
          <t>Yes</t>
        </is>
      </c>
      <c r="L2247" s="1" t="inlineStr">
        <is>
          <t>Yes</t>
        </is>
      </c>
      <c r="M2247" s="1" t="inlineStr">
        <is>
          <t>No</t>
        </is>
      </c>
      <c r="N2247" s="1" t="inlineStr">
        <is>
          <t>Algorithms</t>
        </is>
      </c>
      <c r="O22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48" ht="15.75" customHeight="1" s="12">
      <c r="A2248" s="1" t="n">
        <v>2514</v>
      </c>
      <c r="B2248" s="3">
        <f>HYPERLINK("https://leetcode.com/problems/count-anagrams/", "Count Anagrams")</f>
        <v/>
      </c>
      <c r="C2248" s="1" t="n">
        <v>469</v>
      </c>
      <c r="D2248" s="1" t="n">
        <v>44</v>
      </c>
      <c r="E2248" s="4">
        <f>IF(INDEX(C:C, ROW())+INDEX(D:D, ROW())=0, 0, INDEX(C:C, ROW())/(INDEX(C:C, ROW())+INDEX(D:D, ROW())))</f>
        <v/>
      </c>
      <c r="F2248" s="1" t="inlineStr">
        <is>
          <t>Hash Table, Math, String, Combinatorics, Counting</t>
        </is>
      </c>
      <c r="G2248" s="1" t="inlineStr">
        <is>
          <t>Hard</t>
        </is>
      </c>
      <c r="H2248" s="1" t="n">
        <v>19020</v>
      </c>
      <c r="I2248" s="1" t="n">
        <v>51602</v>
      </c>
      <c r="J2248" s="9" t="n">
        <v>0.369</v>
      </c>
      <c r="K2248" s="1" t="inlineStr">
        <is>
          <t>Yes</t>
        </is>
      </c>
      <c r="L2248" s="1" t="inlineStr">
        <is>
          <t>No</t>
        </is>
      </c>
      <c r="M2248" s="1" t="inlineStr">
        <is>
          <t>No</t>
        </is>
      </c>
      <c r="N2248" s="1" t="inlineStr">
        <is>
          <t>Algorithms</t>
        </is>
      </c>
      <c r="O22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49" ht="15.75" customHeight="1" s="12">
      <c r="A2249" s="1" t="n">
        <v>2750</v>
      </c>
      <c r="B2249" s="3">
        <f>HYPERLINK("https://leetcode.com/problems/ways-to-split-array-into-good-subarrays/", "Ways to Split Array Into Good Subarrays")</f>
        <v/>
      </c>
      <c r="C2249" s="1" t="n">
        <v>467</v>
      </c>
      <c r="D2249" s="1" t="n">
        <v>14</v>
      </c>
      <c r="E2249" s="4">
        <f>IF(INDEX(C:C, ROW())+INDEX(D:D, ROW())=0, 0, INDEX(C:C, ROW())/(INDEX(C:C, ROW())+INDEX(D:D, ROW())))</f>
        <v/>
      </c>
      <c r="F2249" s="1" t="inlineStr">
        <is>
          <t>Array, Math, Dynamic Programming</t>
        </is>
      </c>
      <c r="G2249" s="1" t="inlineStr">
        <is>
          <t>Medium</t>
        </is>
      </c>
      <c r="H2249" s="1" t="n">
        <v>27148</v>
      </c>
      <c r="I2249" s="1" t="n">
        <v>78292</v>
      </c>
      <c r="J2249" s="9" t="n">
        <v>0.347</v>
      </c>
      <c r="K2249" s="1" t="inlineStr">
        <is>
          <t>Yes</t>
        </is>
      </c>
      <c r="L2249" s="1" t="inlineStr">
        <is>
          <t>No</t>
        </is>
      </c>
      <c r="M2249" s="1" t="inlineStr">
        <is>
          <t>No</t>
        </is>
      </c>
      <c r="N2249" s="1" t="inlineStr">
        <is>
          <t>Algorithms</t>
        </is>
      </c>
      <c r="O22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50" ht="15.75" customHeight="1" s="12">
      <c r="A2250" s="1" t="n">
        <v>3026</v>
      </c>
      <c r="B2250" s="3">
        <f>HYPERLINK("https://leetcode.com/problems/maximum-good-subarray-sum/", "Maximum Good Subarray Sum")</f>
        <v/>
      </c>
      <c r="C2250" s="1" t="n">
        <v>467</v>
      </c>
      <c r="D2250" s="1" t="n">
        <v>24</v>
      </c>
      <c r="E2250" s="4">
        <f>IF(INDEX(C:C, ROW())+INDEX(D:D, ROW())=0, 0, INDEX(C:C, ROW())/(INDEX(C:C, ROW())+INDEX(D:D, ROW())))</f>
        <v/>
      </c>
      <c r="F2250" s="1" t="inlineStr">
        <is>
          <t>Array, Hash Table, Prefix Sum</t>
        </is>
      </c>
      <c r="G2250" s="1" t="inlineStr">
        <is>
          <t>Medium</t>
        </is>
      </c>
      <c r="H2250" s="1" t="n">
        <v>30499</v>
      </c>
      <c r="I2250" s="1" t="n">
        <v>143542</v>
      </c>
      <c r="J2250" s="9" t="n">
        <v>0.212</v>
      </c>
      <c r="K2250" s="1" t="inlineStr">
        <is>
          <t>Yes</t>
        </is>
      </c>
      <c r="L2250" s="1" t="inlineStr">
        <is>
          <t>No</t>
        </is>
      </c>
      <c r="M2250" s="1" t="inlineStr">
        <is>
          <t>No</t>
        </is>
      </c>
      <c r="N2250" s="1" t="inlineStr">
        <is>
          <t>Algorithms</t>
        </is>
      </c>
      <c r="O22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51" ht="15.75" customHeight="1" s="12">
      <c r="A2251" s="1" t="n">
        <v>1111</v>
      </c>
      <c r="B2251" s="3">
        <f>HYPERLINK("https://leetcode.com/problems/maximum-nesting-depth-of-two-valid-parentheses-strings/", "Maximum Nesting Depth of Two Valid Parentheses Strings")</f>
        <v/>
      </c>
      <c r="C2251" s="1" t="n">
        <v>466</v>
      </c>
      <c r="D2251" s="1" t="n">
        <v>1908</v>
      </c>
      <c r="E2251" s="4">
        <f>IF(INDEX(C:C, ROW())+INDEX(D:D, ROW())=0, 0, INDEX(C:C, ROW())/(INDEX(C:C, ROW())+INDEX(D:D, ROW())))</f>
        <v/>
      </c>
      <c r="F2251" s="1" t="inlineStr">
        <is>
          <t>String, Stack</t>
        </is>
      </c>
      <c r="G2251" s="1" t="inlineStr">
        <is>
          <t>Medium</t>
        </is>
      </c>
      <c r="H2251" s="1" t="n">
        <v>32550</v>
      </c>
      <c r="I2251" s="1" t="n">
        <v>45380</v>
      </c>
      <c r="J2251" s="9" t="n">
        <v>0.717</v>
      </c>
      <c r="K2251" s="1" t="inlineStr">
        <is>
          <t>Yes</t>
        </is>
      </c>
      <c r="L2251" s="1" t="inlineStr">
        <is>
          <t>No</t>
        </is>
      </c>
      <c r="M2251" s="1" t="inlineStr">
        <is>
          <t>No</t>
        </is>
      </c>
      <c r="N2251" s="1" t="inlineStr">
        <is>
          <t>Algorithms</t>
        </is>
      </c>
      <c r="O22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52" ht="15.75" customHeight="1" s="12">
      <c r="A2252" s="1" t="n">
        <v>1655</v>
      </c>
      <c r="B2252" s="3">
        <f>HYPERLINK("https://leetcode.com/problems/distribute-repeating-integers/", "Distribute Repeating Integers")</f>
        <v/>
      </c>
      <c r="C2252" s="1" t="n">
        <v>465</v>
      </c>
      <c r="D2252" s="1" t="n">
        <v>31</v>
      </c>
      <c r="E2252" s="4">
        <f>IF(INDEX(C:C, ROW())+INDEX(D:D, ROW())=0, 0, INDEX(C:C, ROW())/(INDEX(C:C, ROW())+INDEX(D:D, ROW())))</f>
        <v/>
      </c>
      <c r="F2252" s="1" t="inlineStr">
        <is>
          <t>Array, Hash Table, Dynamic Programming, Backtracking, Bit Manipulation, Counting, Bitmask DP</t>
        </is>
      </c>
      <c r="G2252" s="1" t="inlineStr">
        <is>
          <t>Hard</t>
        </is>
      </c>
      <c r="H2252" s="1" t="n">
        <v>20593</v>
      </c>
      <c r="I2252" s="1" t="n">
        <v>51183</v>
      </c>
      <c r="J2252" s="9" t="n">
        <v>0.402</v>
      </c>
      <c r="K2252" s="1" t="inlineStr">
        <is>
          <t>Yes</t>
        </is>
      </c>
      <c r="L2252" s="1" t="inlineStr">
        <is>
          <t>No</t>
        </is>
      </c>
      <c r="M2252" s="1" t="inlineStr">
        <is>
          <t>No</t>
        </is>
      </c>
      <c r="N2252" s="1" t="inlineStr">
        <is>
          <t>Algorithms</t>
        </is>
      </c>
      <c r="O22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53" ht="15.75" customHeight="1" s="12">
      <c r="A2253" s="1" t="n">
        <v>1862</v>
      </c>
      <c r="B2253" s="3">
        <f>HYPERLINK("https://leetcode.com/problems/sum-of-floored-pairs/", "Sum of Floored Pairs")</f>
        <v/>
      </c>
      <c r="C2253" s="1" t="n">
        <v>465</v>
      </c>
      <c r="D2253" s="1" t="n">
        <v>39</v>
      </c>
      <c r="E2253" s="4">
        <f>IF(INDEX(C:C, ROW())+INDEX(D:D, ROW())=0, 0, INDEX(C:C, ROW())/(INDEX(C:C, ROW())+INDEX(D:D, ROW())))</f>
        <v/>
      </c>
      <c r="F2253" s="1" t="inlineStr">
        <is>
          <t>Array, Math, Binary Search, Prefix Sum</t>
        </is>
      </c>
      <c r="G2253" s="1" t="inlineStr">
        <is>
          <t>Hard</t>
        </is>
      </c>
      <c r="H2253" s="1" t="n">
        <v>11823</v>
      </c>
      <c r="I2253" s="1" t="n">
        <v>38807</v>
      </c>
      <c r="J2253" s="9" t="n">
        <v>0.305</v>
      </c>
      <c r="K2253" s="1" t="inlineStr">
        <is>
          <t>Yes</t>
        </is>
      </c>
      <c r="L2253" s="1" t="inlineStr">
        <is>
          <t>No</t>
        </is>
      </c>
      <c r="M2253" s="1" t="inlineStr">
        <is>
          <t>No</t>
        </is>
      </c>
      <c r="N2253" s="1" t="inlineStr">
        <is>
          <t>Algorithms</t>
        </is>
      </c>
      <c r="O22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54" ht="15.75" customHeight="1" s="12">
      <c r="A2254" s="1" t="n">
        <v>3440</v>
      </c>
      <c r="B2254" s="3">
        <f>HYPERLINK("https://leetcode.com/problems/reschedule-meetings-for-maximum-free-time-ii/", "Reschedule Meetings for Maximum Free Time II")</f>
        <v/>
      </c>
      <c r="C2254" s="1" t="n">
        <v>464</v>
      </c>
      <c r="D2254" s="1" t="n">
        <v>26</v>
      </c>
      <c r="E2254" s="4">
        <f>IF(INDEX(C:C, ROW())+INDEX(D:D, ROW())=0, 0, INDEX(C:C, ROW())/(INDEX(C:C, ROW())+INDEX(D:D, ROW())))</f>
        <v/>
      </c>
      <c r="F2254" s="1" t="inlineStr">
        <is>
          <t>Array, Greedy, Enumeration</t>
        </is>
      </c>
      <c r="G2254" s="1" t="inlineStr">
        <is>
          <t>Medium</t>
        </is>
      </c>
      <c r="H2254" s="1" t="n">
        <v>84145</v>
      </c>
      <c r="I2254" s="1" t="n">
        <v>139286</v>
      </c>
      <c r="J2254" s="9" t="n">
        <v>0.604</v>
      </c>
      <c r="K2254" s="1" t="inlineStr">
        <is>
          <t>Yes</t>
        </is>
      </c>
      <c r="L2254" s="1" t="inlineStr">
        <is>
          <t>Yes</t>
        </is>
      </c>
      <c r="M2254" s="1" t="inlineStr">
        <is>
          <t>No</t>
        </is>
      </c>
      <c r="N2254" s="1" t="inlineStr">
        <is>
          <t>Algorithms</t>
        </is>
      </c>
      <c r="O22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55" ht="15.75" customHeight="1" s="12">
      <c r="A2255" s="1" t="n">
        <v>2284</v>
      </c>
      <c r="B2255" s="3">
        <f>HYPERLINK("https://leetcode.com/problems/sender-with-largest-word-count/", "Sender With Largest Word Count")</f>
        <v/>
      </c>
      <c r="C2255" s="1" t="n">
        <v>463</v>
      </c>
      <c r="D2255" s="1" t="n">
        <v>41</v>
      </c>
      <c r="E2255" s="4">
        <f>IF(INDEX(C:C, ROW())+INDEX(D:D, ROW())=0, 0, INDEX(C:C, ROW())/(INDEX(C:C, ROW())+INDEX(D:D, ROW())))</f>
        <v/>
      </c>
      <c r="F2255" s="1" t="inlineStr">
        <is>
          <t>Array, Hash Table, String, Counting</t>
        </is>
      </c>
      <c r="G2255" s="1" t="inlineStr">
        <is>
          <t>Medium</t>
        </is>
      </c>
      <c r="H2255" s="1" t="n">
        <v>43775</v>
      </c>
      <c r="I2255" s="1" t="n">
        <v>73780</v>
      </c>
      <c r="J2255" s="9" t="n">
        <v>0.593</v>
      </c>
      <c r="K2255" s="1" t="inlineStr">
        <is>
          <t>Yes</t>
        </is>
      </c>
      <c r="L2255" s="1" t="inlineStr">
        <is>
          <t>No</t>
        </is>
      </c>
      <c r="M2255" s="1" t="inlineStr">
        <is>
          <t>No</t>
        </is>
      </c>
      <c r="N2255" s="1" t="inlineStr">
        <is>
          <t>Algorithms</t>
        </is>
      </c>
      <c r="O22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56" ht="15.75" customHeight="1" s="12">
      <c r="A2256" s="1" t="n">
        <v>2447</v>
      </c>
      <c r="B2256" s="3">
        <f>HYPERLINK("https://leetcode.com/problems/number-of-subarrays-with-gcd-equal-to-k/", "Number of Subarrays With GCD Equal to K")</f>
        <v/>
      </c>
      <c r="C2256" s="1" t="n">
        <v>463</v>
      </c>
      <c r="D2256" s="1" t="n">
        <v>71</v>
      </c>
      <c r="E2256" s="4">
        <f>IF(INDEX(C:C, ROW())+INDEX(D:D, ROW())=0, 0, INDEX(C:C, ROW())/(INDEX(C:C, ROW())+INDEX(D:D, ROW())))</f>
        <v/>
      </c>
      <c r="F2256" s="1" t="inlineStr">
        <is>
          <t>Array, Math, Number Theory</t>
        </is>
      </c>
      <c r="G2256" s="1" t="inlineStr">
        <is>
          <t>Medium</t>
        </is>
      </c>
      <c r="H2256" s="1" t="n">
        <v>33006</v>
      </c>
      <c r="I2256" s="1" t="n">
        <v>63455</v>
      </c>
      <c r="J2256" s="9" t="n">
        <v>0.52</v>
      </c>
      <c r="K2256" s="1" t="inlineStr">
        <is>
          <t>Yes</t>
        </is>
      </c>
      <c r="L2256" s="1" t="inlineStr">
        <is>
          <t>No</t>
        </is>
      </c>
      <c r="M2256" s="1" t="inlineStr">
        <is>
          <t>No</t>
        </is>
      </c>
      <c r="N2256" s="1" t="inlineStr">
        <is>
          <t>Algorithms</t>
        </is>
      </c>
      <c r="O22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57" ht="15.75" customHeight="1" s="12">
      <c r="A2257" s="1" t="n">
        <v>1487</v>
      </c>
      <c r="B2257" s="3">
        <f>HYPERLINK("https://leetcode.com/problems/making-file-names-unique/", "Making File Names Unique")</f>
        <v/>
      </c>
      <c r="C2257" s="1" t="n">
        <v>462</v>
      </c>
      <c r="D2257" s="1" t="n">
        <v>741</v>
      </c>
      <c r="E2257" s="4">
        <f>IF(INDEX(C:C, ROW())+INDEX(D:D, ROW())=0, 0, INDEX(C:C, ROW())/(INDEX(C:C, ROW())+INDEX(D:D, ROW())))</f>
        <v/>
      </c>
      <c r="F2257" s="1" t="inlineStr">
        <is>
          <t>Array, Hash Table, String</t>
        </is>
      </c>
      <c r="G2257" s="1" t="inlineStr">
        <is>
          <t>Medium</t>
        </is>
      </c>
      <c r="H2257" s="1" t="n">
        <v>38778</v>
      </c>
      <c r="I2257" s="1" t="n">
        <v>101127</v>
      </c>
      <c r="J2257" s="9" t="n">
        <v>0.383</v>
      </c>
      <c r="K2257" s="1" t="inlineStr">
        <is>
          <t>Yes</t>
        </is>
      </c>
      <c r="L2257" s="1" t="inlineStr">
        <is>
          <t>No</t>
        </is>
      </c>
      <c r="M2257" s="1" t="inlineStr">
        <is>
          <t>No</t>
        </is>
      </c>
      <c r="N2257" s="1" t="inlineStr">
        <is>
          <t>Algorithms</t>
        </is>
      </c>
      <c r="O22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58" ht="15.75" customHeight="1" s="12">
      <c r="A2258" s="1" t="n">
        <v>2547</v>
      </c>
      <c r="B2258" s="3">
        <f>HYPERLINK("https://leetcode.com/problems/minimum-cost-to-split-an-array/", "Minimum Cost to Split an Array")</f>
        <v/>
      </c>
      <c r="C2258" s="1" t="n">
        <v>462</v>
      </c>
      <c r="D2258" s="1" t="n">
        <v>31</v>
      </c>
      <c r="E2258" s="4">
        <f>IF(INDEX(C:C, ROW())+INDEX(D:D, ROW())=0, 0, INDEX(C:C, ROW())/(INDEX(C:C, ROW())+INDEX(D:D, ROW())))</f>
        <v/>
      </c>
      <c r="F2258" s="1" t="inlineStr">
        <is>
          <t>Array, Hash Table, Dynamic Programming, Counting</t>
        </is>
      </c>
      <c r="G2258" s="1" t="inlineStr">
        <is>
          <t>Hard</t>
        </is>
      </c>
      <c r="H2258" s="1" t="n">
        <v>15948</v>
      </c>
      <c r="I2258" s="1" t="n">
        <v>36502</v>
      </c>
      <c r="J2258" s="9" t="n">
        <v>0.437</v>
      </c>
      <c r="K2258" s="1" t="inlineStr">
        <is>
          <t>Yes</t>
        </is>
      </c>
      <c r="L2258" s="1" t="inlineStr">
        <is>
          <t>No</t>
        </is>
      </c>
      <c r="M2258" s="1" t="inlineStr">
        <is>
          <t>No</t>
        </is>
      </c>
      <c r="N2258" s="1" t="inlineStr">
        <is>
          <t>Algorithms</t>
        </is>
      </c>
      <c r="O22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59" ht="15.75" customHeight="1" s="12">
      <c r="A2259" s="1" t="n">
        <v>1890</v>
      </c>
      <c r="B2259" s="3">
        <f>HYPERLINK("https://leetcode.com/problems/the-latest-login-in-2020/", "The Latest Login in 2020")</f>
        <v/>
      </c>
      <c r="C2259" s="1" t="n">
        <v>461</v>
      </c>
      <c r="D2259" s="1" t="n">
        <v>17</v>
      </c>
      <c r="E2259" s="4">
        <f>IF(INDEX(C:C, ROW())+INDEX(D:D, ROW())=0, 0, INDEX(C:C, ROW())/(INDEX(C:C, ROW())+INDEX(D:D, ROW())))</f>
        <v/>
      </c>
      <c r="F2259" s="1" t="inlineStr">
        <is>
          <t>Database</t>
        </is>
      </c>
      <c r="G2259" s="1" t="inlineStr">
        <is>
          <t>Easy</t>
        </is>
      </c>
      <c r="H2259" s="1" t="n">
        <v>135553</v>
      </c>
      <c r="I2259" s="1" t="n">
        <v>175726</v>
      </c>
      <c r="J2259" s="9" t="n">
        <v>0.771</v>
      </c>
      <c r="K2259" s="1" t="inlineStr">
        <is>
          <t>Yes</t>
        </is>
      </c>
      <c r="L2259" s="1" t="inlineStr">
        <is>
          <t>Yes</t>
        </is>
      </c>
      <c r="M2259" s="1" t="inlineStr">
        <is>
          <t>No</t>
        </is>
      </c>
      <c r="N2259" s="1" t="inlineStr">
        <is>
          <t>Database</t>
        </is>
      </c>
      <c r="O22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60" ht="15.75" customHeight="1" s="12">
      <c r="A2260" s="1" t="n">
        <v>2589</v>
      </c>
      <c r="B2260" s="3">
        <f>HYPERLINK("https://leetcode.com/problems/minimum-time-to-complete-all-tasks/", "Minimum Time to Complete All Tasks")</f>
        <v/>
      </c>
      <c r="C2260" s="1" t="n">
        <v>461</v>
      </c>
      <c r="D2260" s="1" t="n">
        <v>21</v>
      </c>
      <c r="E2260" s="4">
        <f>IF(INDEX(C:C, ROW())+INDEX(D:D, ROW())=0, 0, INDEX(C:C, ROW())/(INDEX(C:C, ROW())+INDEX(D:D, ROW())))</f>
        <v/>
      </c>
      <c r="F2260" s="1" t="inlineStr">
        <is>
          <t>Array, Binary Search, Stack, Greedy, Sorting</t>
        </is>
      </c>
      <c r="G2260" s="1" t="inlineStr">
        <is>
          <t>Hard</t>
        </is>
      </c>
      <c r="H2260" s="1" t="n">
        <v>13803</v>
      </c>
      <c r="I2260" s="1" t="n">
        <v>35081</v>
      </c>
      <c r="J2260" s="9" t="n">
        <v>0.393</v>
      </c>
      <c r="K2260" s="1" t="inlineStr">
        <is>
          <t>Yes</t>
        </is>
      </c>
      <c r="L2260" s="1" t="inlineStr">
        <is>
          <t>No</t>
        </is>
      </c>
      <c r="M2260" s="1" t="inlineStr">
        <is>
          <t>No</t>
        </is>
      </c>
      <c r="N2260" s="1" t="inlineStr">
        <is>
          <t>Algorithms</t>
        </is>
      </c>
      <c r="O22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61" ht="15.75" customHeight="1" s="12">
      <c r="A2261" s="1" t="n">
        <v>3272</v>
      </c>
      <c r="B2261" s="3">
        <f>HYPERLINK("https://leetcode.com/problems/find-the-count-of-good-integers/", "Find the Count of Good Integers")</f>
        <v/>
      </c>
      <c r="C2261" s="1" t="n">
        <v>461</v>
      </c>
      <c r="D2261" s="1" t="n">
        <v>112</v>
      </c>
      <c r="E2261" s="4">
        <f>IF(INDEX(C:C, ROW())+INDEX(D:D, ROW())=0, 0, INDEX(C:C, ROW())/(INDEX(C:C, ROW())+INDEX(D:D, ROW())))</f>
        <v/>
      </c>
      <c r="F2261" s="1" t="inlineStr">
        <is>
          <t>Hash Table, Math, Combinatorics, Enumeration</t>
        </is>
      </c>
      <c r="G2261" s="1" t="inlineStr">
        <is>
          <t>Hard</t>
        </is>
      </c>
      <c r="H2261" s="1" t="n">
        <v>72686</v>
      </c>
      <c r="I2261" s="1" t="n">
        <v>104629</v>
      </c>
      <c r="J2261" s="9" t="n">
        <v>0.695</v>
      </c>
      <c r="K2261" s="1" t="inlineStr">
        <is>
          <t>Yes</t>
        </is>
      </c>
      <c r="L2261" s="1" t="inlineStr">
        <is>
          <t>Yes</t>
        </is>
      </c>
      <c r="M2261" s="1" t="inlineStr">
        <is>
          <t>No</t>
        </is>
      </c>
      <c r="N2261" s="1" t="inlineStr">
        <is>
          <t>Algorithms</t>
        </is>
      </c>
      <c r="O22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62" ht="15.75" customHeight="1" s="12">
      <c r="A2262" s="1" t="n">
        <v>519</v>
      </c>
      <c r="B2262" s="3">
        <f>HYPERLINK("https://leetcode.com/problems/random-flip-matrix/", "Random Flip Matrix")</f>
        <v/>
      </c>
      <c r="C2262" s="1" t="n">
        <v>460</v>
      </c>
      <c r="D2262" s="1" t="n">
        <v>135</v>
      </c>
      <c r="E2262" s="4">
        <f>IF(INDEX(C:C, ROW())+INDEX(D:D, ROW())=0, 0, INDEX(C:C, ROW())/(INDEX(C:C, ROW())+INDEX(D:D, ROW())))</f>
        <v/>
      </c>
      <c r="F2262" s="1" t="inlineStr">
        <is>
          <t>Hash Table, Math, Reservoir Sampling, Randomized</t>
        </is>
      </c>
      <c r="G2262" s="1" t="inlineStr">
        <is>
          <t>Medium</t>
        </is>
      </c>
      <c r="H2262" s="1" t="n">
        <v>29369</v>
      </c>
      <c r="I2262" s="1" t="n">
        <v>64985</v>
      </c>
      <c r="J2262" s="9" t="n">
        <v>0.452</v>
      </c>
      <c r="K2262" s="1" t="inlineStr">
        <is>
          <t>Yes</t>
        </is>
      </c>
      <c r="L2262" s="1" t="inlineStr">
        <is>
          <t>Yes</t>
        </is>
      </c>
      <c r="M2262" s="1" t="inlineStr">
        <is>
          <t>No</t>
        </is>
      </c>
      <c r="N2262" s="1" t="inlineStr">
        <is>
          <t>Algorithms</t>
        </is>
      </c>
      <c r="O22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63" ht="15.75" customHeight="1" s="12">
      <c r="A2263" s="1" t="n">
        <v>604</v>
      </c>
      <c r="B2263" s="3">
        <f>HYPERLINK("https://leetcode.com/problems/design-compressed-string-iterator/", "Design Compressed String Iterator")</f>
        <v/>
      </c>
      <c r="C2263" s="1" t="n">
        <v>459</v>
      </c>
      <c r="D2263" s="1" t="n">
        <v>167</v>
      </c>
      <c r="E2263" s="4">
        <f>IF(INDEX(C:C, ROW())+INDEX(D:D, ROW())=0, 0, INDEX(C:C, ROW())/(INDEX(C:C, ROW())+INDEX(D:D, ROW())))</f>
        <v/>
      </c>
      <c r="F2263" s="1" t="inlineStr">
        <is>
          <t>Array, String, Design, Iterator</t>
        </is>
      </c>
      <c r="G2263" s="1" t="inlineStr">
        <is>
          <t>Easy</t>
        </is>
      </c>
      <c r="H2263" s="1" t="n">
        <v>38929</v>
      </c>
      <c r="I2263" s="1" t="n">
        <v>96655</v>
      </c>
      <c r="J2263" s="9" t="n">
        <v>0.403</v>
      </c>
      <c r="K2263" s="1" t="inlineStr">
        <is>
          <t>No</t>
        </is>
      </c>
      <c r="L2263" s="1" t="inlineStr">
        <is>
          <t>Yes</t>
        </is>
      </c>
      <c r="M2263" s="1" t="inlineStr">
        <is>
          <t>No</t>
        </is>
      </c>
      <c r="N2263" s="1" t="inlineStr">
        <is>
          <t>Algorithms</t>
        </is>
      </c>
      <c r="O22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64" ht="15.75" customHeight="1" s="12">
      <c r="A2264" s="1" t="n">
        <v>1037</v>
      </c>
      <c r="B2264" s="3">
        <f>HYPERLINK("https://leetcode.com/problems/valid-boomerang/", "Valid Boomerang")</f>
        <v/>
      </c>
      <c r="C2264" s="1" t="n">
        <v>459</v>
      </c>
      <c r="D2264" s="1" t="n">
        <v>541</v>
      </c>
      <c r="E2264" s="4">
        <f>IF(INDEX(C:C, ROW())+INDEX(D:D, ROW())=0, 0, INDEX(C:C, ROW())/(INDEX(C:C, ROW())+INDEX(D:D, ROW())))</f>
        <v/>
      </c>
      <c r="F2264" s="1" t="inlineStr">
        <is>
          <t>Array, Math, Geometry</t>
        </is>
      </c>
      <c r="G2264" s="1" t="inlineStr">
        <is>
          <t>Easy</t>
        </is>
      </c>
      <c r="H2264" s="1" t="n">
        <v>72381</v>
      </c>
      <c r="I2264" s="1" t="n">
        <v>185769</v>
      </c>
      <c r="J2264" s="9" t="n">
        <v>0.39</v>
      </c>
      <c r="K2264" s="1" t="inlineStr">
        <is>
          <t>Yes</t>
        </is>
      </c>
      <c r="L2264" s="1" t="inlineStr">
        <is>
          <t>No</t>
        </is>
      </c>
      <c r="M2264" s="1" t="inlineStr">
        <is>
          <t>No</t>
        </is>
      </c>
      <c r="N2264" s="1" t="inlineStr">
        <is>
          <t>Algorithms</t>
        </is>
      </c>
      <c r="O22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65" ht="15.75" customHeight="1" s="12">
      <c r="A2265" s="1" t="n">
        <v>1144</v>
      </c>
      <c r="B2265" s="3">
        <f>HYPERLINK("https://leetcode.com/problems/decrease-elements-to-make-array-zigzag/", "Decrease Elements To Make Array Zigzag")</f>
        <v/>
      </c>
      <c r="C2265" s="1" t="n">
        <v>459</v>
      </c>
      <c r="D2265" s="1" t="n">
        <v>168</v>
      </c>
      <c r="E2265" s="4">
        <f>IF(INDEX(C:C, ROW())+INDEX(D:D, ROW())=0, 0, INDEX(C:C, ROW())/(INDEX(C:C, ROW())+INDEX(D:D, ROW())))</f>
        <v/>
      </c>
      <c r="F2265" s="1" t="inlineStr">
        <is>
          <t>Array, Greedy</t>
        </is>
      </c>
      <c r="G2265" s="1" t="inlineStr">
        <is>
          <t>Medium</t>
        </is>
      </c>
      <c r="H2265" s="1" t="n">
        <v>24990</v>
      </c>
      <c r="I2265" s="1" t="n">
        <v>51083</v>
      </c>
      <c r="J2265" s="9" t="n">
        <v>0.489</v>
      </c>
      <c r="K2265" s="1" t="inlineStr">
        <is>
          <t>Yes</t>
        </is>
      </c>
      <c r="L2265" s="1" t="inlineStr">
        <is>
          <t>No</t>
        </is>
      </c>
      <c r="M2265" s="1" t="inlineStr">
        <is>
          <t>No</t>
        </is>
      </c>
      <c r="N2265" s="1" t="inlineStr">
        <is>
          <t>Algorithms</t>
        </is>
      </c>
      <c r="O22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66" ht="15.75" customHeight="1" s="12">
      <c r="A2266" s="1" t="n">
        <v>2744</v>
      </c>
      <c r="B2266" s="3">
        <f>HYPERLINK("https://leetcode.com/problems/find-maximum-number-of-string-pairs/", "Find Maximum Number of String Pairs")</f>
        <v/>
      </c>
      <c r="C2266" s="1" t="n">
        <v>459</v>
      </c>
      <c r="D2266" s="1" t="n">
        <v>18</v>
      </c>
      <c r="E2266" s="4">
        <f>IF(INDEX(C:C, ROW())+INDEX(D:D, ROW())=0, 0, INDEX(C:C, ROW())/(INDEX(C:C, ROW())+INDEX(D:D, ROW())))</f>
        <v/>
      </c>
      <c r="F2266" s="1" t="inlineStr">
        <is>
          <t>Array, Hash Table, String, Simulation</t>
        </is>
      </c>
      <c r="G2266" s="1" t="inlineStr">
        <is>
          <t>Easy</t>
        </is>
      </c>
      <c r="H2266" s="1" t="n">
        <v>110468</v>
      </c>
      <c r="I2266" s="1" t="n">
        <v>134384</v>
      </c>
      <c r="J2266" s="9" t="n">
        <v>0.822</v>
      </c>
      <c r="K2266" s="1" t="inlineStr">
        <is>
          <t>Yes</t>
        </is>
      </c>
      <c r="L2266" s="1" t="inlineStr">
        <is>
          <t>No</t>
        </is>
      </c>
      <c r="M2266" s="1" t="inlineStr">
        <is>
          <t>No</t>
        </is>
      </c>
      <c r="N2266" s="1" t="inlineStr">
        <is>
          <t>Algorithms</t>
        </is>
      </c>
      <c r="O22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67" ht="15.75" customHeight="1" s="12">
      <c r="A2267" s="1" t="n">
        <v>2057</v>
      </c>
      <c r="B2267" s="3">
        <f>HYPERLINK("https://leetcode.com/problems/smallest-index-with-equal-value/", "Smallest Index With Equal Value")</f>
        <v/>
      </c>
      <c r="C2267" s="1" t="n">
        <v>455</v>
      </c>
      <c r="D2267" s="1" t="n">
        <v>145</v>
      </c>
      <c r="E2267" s="4">
        <f>IF(INDEX(C:C, ROW())+INDEX(D:D, ROW())=0, 0, INDEX(C:C, ROW())/(INDEX(C:C, ROW())+INDEX(D:D, ROW())))</f>
        <v/>
      </c>
      <c r="F2267" s="1" t="inlineStr">
        <is>
          <t>Array</t>
        </is>
      </c>
      <c r="G2267" s="1" t="inlineStr">
        <is>
          <t>Easy</t>
        </is>
      </c>
      <c r="H2267" s="1" t="n">
        <v>83602</v>
      </c>
      <c r="I2267" s="1" t="n">
        <v>114550</v>
      </c>
      <c r="J2267" s="9" t="n">
        <v>0.73</v>
      </c>
      <c r="K2267" s="1" t="inlineStr">
        <is>
          <t>Yes</t>
        </is>
      </c>
      <c r="L2267" s="1" t="inlineStr">
        <is>
          <t>No</t>
        </is>
      </c>
      <c r="M2267" s="1" t="inlineStr">
        <is>
          <t>No</t>
        </is>
      </c>
      <c r="N2267" s="1" t="inlineStr">
        <is>
          <t>Algorithms</t>
        </is>
      </c>
      <c r="O22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68" ht="15.75" customHeight="1" s="12">
      <c r="A2268" s="1" t="n">
        <v>2318</v>
      </c>
      <c r="B2268" s="3">
        <f>HYPERLINK("https://leetcode.com/problems/number-of-distinct-roll-sequences/", "Number of Distinct Roll Sequences")</f>
        <v/>
      </c>
      <c r="C2268" s="1" t="n">
        <v>455</v>
      </c>
      <c r="D2268" s="1" t="n">
        <v>20</v>
      </c>
      <c r="E2268" s="4">
        <f>IF(INDEX(C:C, ROW())+INDEX(D:D, ROW())=0, 0, INDEX(C:C, ROW())/(INDEX(C:C, ROW())+INDEX(D:D, ROW())))</f>
        <v/>
      </c>
      <c r="F2268" s="1" t="inlineStr">
        <is>
          <t>Dynamic Programming, Memoization</t>
        </is>
      </c>
      <c r="G2268" s="1" t="inlineStr">
        <is>
          <t>Hard</t>
        </is>
      </c>
      <c r="H2268" s="1" t="n">
        <v>13779</v>
      </c>
      <c r="I2268" s="1" t="n">
        <v>23729</v>
      </c>
      <c r="J2268" s="9" t="n">
        <v>0.581</v>
      </c>
      <c r="K2268" s="1" t="inlineStr">
        <is>
          <t>Yes</t>
        </is>
      </c>
      <c r="L2268" s="1" t="inlineStr">
        <is>
          <t>No</t>
        </is>
      </c>
      <c r="M2268" s="1" t="inlineStr">
        <is>
          <t>No</t>
        </is>
      </c>
      <c r="N2268" s="1" t="inlineStr">
        <is>
          <t>Algorithms</t>
        </is>
      </c>
      <c r="O22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69" ht="15.75" customHeight="1" s="12">
      <c r="A2269" s="1" t="n">
        <v>1585</v>
      </c>
      <c r="B2269" s="3">
        <f>HYPERLINK("https://leetcode.com/problems/check-if-string-is-transformable-with-substring-sort-operations/", "Check If String Is Transformable With Substring Sort Operations")</f>
        <v/>
      </c>
      <c r="C2269" s="1" t="n">
        <v>454</v>
      </c>
      <c r="D2269" s="1" t="n">
        <v>11</v>
      </c>
      <c r="E2269" s="4">
        <f>IF(INDEX(C:C, ROW())+INDEX(D:D, ROW())=0, 0, INDEX(C:C, ROW())/(INDEX(C:C, ROW())+INDEX(D:D, ROW())))</f>
        <v/>
      </c>
      <c r="F2269" s="1" t="inlineStr">
        <is>
          <t>String, Greedy, Sorting</t>
        </is>
      </c>
      <c r="G2269" s="1" t="inlineStr">
        <is>
          <t>Hard</t>
        </is>
      </c>
      <c r="H2269" s="1" t="n">
        <v>12063</v>
      </c>
      <c r="I2269" s="1" t="n">
        <v>23625</v>
      </c>
      <c r="J2269" s="9" t="n">
        <v>0.511</v>
      </c>
      <c r="K2269" s="1" t="inlineStr">
        <is>
          <t>Yes</t>
        </is>
      </c>
      <c r="L2269" s="1" t="inlineStr">
        <is>
          <t>No</t>
        </is>
      </c>
      <c r="M2269" s="1" t="inlineStr">
        <is>
          <t>No</t>
        </is>
      </c>
      <c r="N2269" s="1" t="inlineStr">
        <is>
          <t>Algorithms</t>
        </is>
      </c>
      <c r="O22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70" ht="15.75" customHeight="1" s="12">
      <c r="A2270" s="1" t="n">
        <v>3024</v>
      </c>
      <c r="B2270" s="3">
        <f>HYPERLINK("https://leetcode.com/problems/type-of-triangle/", "Type of Triangle")</f>
        <v/>
      </c>
      <c r="C2270" s="1" t="n">
        <v>454</v>
      </c>
      <c r="D2270" s="1" t="n">
        <v>65</v>
      </c>
      <c r="E2270" s="4">
        <f>IF(INDEX(C:C, ROW())+INDEX(D:D, ROW())=0, 0, INDEX(C:C, ROW())/(INDEX(C:C, ROW())+INDEX(D:D, ROW())))</f>
        <v/>
      </c>
      <c r="F2270" s="1" t="inlineStr">
        <is>
          <t>Array, Math, Sorting</t>
        </is>
      </c>
      <c r="G2270" s="1" t="inlineStr">
        <is>
          <t>Easy</t>
        </is>
      </c>
      <c r="H2270" s="1" t="n">
        <v>209634</v>
      </c>
      <c r="I2270" s="1" t="n">
        <v>474112</v>
      </c>
      <c r="J2270" s="9" t="n">
        <v>0.442</v>
      </c>
      <c r="K2270" s="1" t="inlineStr">
        <is>
          <t>Yes</t>
        </is>
      </c>
      <c r="L2270" s="1" t="inlineStr">
        <is>
          <t>Yes</t>
        </is>
      </c>
      <c r="M2270" s="1" t="inlineStr">
        <is>
          <t>No</t>
        </is>
      </c>
      <c r="N2270" s="1" t="inlineStr">
        <is>
          <t>Algorithms</t>
        </is>
      </c>
      <c r="O22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71" ht="15.75" customHeight="1" s="12">
      <c r="A2271" s="1" t="n">
        <v>531</v>
      </c>
      <c r="B2271" s="3">
        <f>HYPERLINK("https://leetcode.com/problems/lonely-pixel-i/", "Lonely Pixel I")</f>
        <v/>
      </c>
      <c r="C2271" s="1" t="n">
        <v>451</v>
      </c>
      <c r="D2271" s="1" t="n">
        <v>41</v>
      </c>
      <c r="E2271" s="4">
        <f>IF(INDEX(C:C, ROW())+INDEX(D:D, ROW())=0, 0, INDEX(C:C, ROW())/(INDEX(C:C, ROW())+INDEX(D:D, ROW())))</f>
        <v/>
      </c>
      <c r="F2271" s="1" t="inlineStr">
        <is>
          <t>Array, Hash Table, Matrix</t>
        </is>
      </c>
      <c r="G2271" s="1" t="inlineStr">
        <is>
          <t>Medium</t>
        </is>
      </c>
      <c r="H2271" s="1" t="n">
        <v>47507</v>
      </c>
      <c r="I2271" s="1" t="n">
        <v>75887</v>
      </c>
      <c r="J2271" s="9" t="n">
        <v>0.626</v>
      </c>
      <c r="K2271" s="1" t="inlineStr">
        <is>
          <t>No</t>
        </is>
      </c>
      <c r="L2271" s="1" t="inlineStr">
        <is>
          <t>Yes</t>
        </is>
      </c>
      <c r="M2271" s="1" t="inlineStr">
        <is>
          <t>Yes</t>
        </is>
      </c>
      <c r="N2271" s="1" t="inlineStr">
        <is>
          <t>Algorithms</t>
        </is>
      </c>
      <c r="O22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72" ht="15.75" customHeight="1" s="12">
      <c r="A2272" s="1" t="n">
        <v>2507</v>
      </c>
      <c r="B2272" s="3">
        <f>HYPERLINK("https://leetcode.com/problems/smallest-value-after-replacing-with-sum-of-prime-factors/", "Smallest Value After Replacing With Sum of Prime Factors")</f>
        <v/>
      </c>
      <c r="C2272" s="1" t="n">
        <v>451</v>
      </c>
      <c r="D2272" s="1" t="n">
        <v>29</v>
      </c>
      <c r="E2272" s="4">
        <f>IF(INDEX(C:C, ROW())+INDEX(D:D, ROW())=0, 0, INDEX(C:C, ROW())/(INDEX(C:C, ROW())+INDEX(D:D, ROW())))</f>
        <v/>
      </c>
      <c r="F2272" s="1" t="inlineStr">
        <is>
          <t>Math, Simulation, Number Theory</t>
        </is>
      </c>
      <c r="G2272" s="1" t="inlineStr">
        <is>
          <t>Medium</t>
        </is>
      </c>
      <c r="H2272" s="1" t="n">
        <v>31323</v>
      </c>
      <c r="I2272" s="1" t="n">
        <v>63042</v>
      </c>
      <c r="J2272" s="9" t="n">
        <v>0.497</v>
      </c>
      <c r="K2272" s="1" t="inlineStr">
        <is>
          <t>Yes</t>
        </is>
      </c>
      <c r="L2272" s="1" t="inlineStr">
        <is>
          <t>No</t>
        </is>
      </c>
      <c r="M2272" s="1" t="inlineStr">
        <is>
          <t>No</t>
        </is>
      </c>
      <c r="N2272" s="1" t="inlineStr">
        <is>
          <t>Algorithms</t>
        </is>
      </c>
      <c r="O22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73" ht="15.75" customHeight="1" s="12">
      <c r="A2273" s="1" t="n">
        <v>2234</v>
      </c>
      <c r="B2273" s="3">
        <f>HYPERLINK("https://leetcode.com/problems/maximum-total-beauty-of-the-gardens/", "Maximum Total Beauty of the Gardens")</f>
        <v/>
      </c>
      <c r="C2273" s="1" t="n">
        <v>450</v>
      </c>
      <c r="D2273" s="1" t="n">
        <v>41</v>
      </c>
      <c r="E2273" s="4">
        <f>IF(INDEX(C:C, ROW())+INDEX(D:D, ROW())=0, 0, INDEX(C:C, ROW())/(INDEX(C:C, ROW())+INDEX(D:D, ROW())))</f>
        <v/>
      </c>
      <c r="F2273" s="1" t="inlineStr">
        <is>
          <t>Array, Two Pointers, Binary Search, Greedy, Sorting, Enumeration, Prefix Sum</t>
        </is>
      </c>
      <c r="G2273" s="1" t="inlineStr">
        <is>
          <t>Hard</t>
        </is>
      </c>
      <c r="H2273" s="1" t="n">
        <v>9301</v>
      </c>
      <c r="I2273" s="1" t="n">
        <v>30714</v>
      </c>
      <c r="J2273" s="9" t="n">
        <v>0.303</v>
      </c>
      <c r="K2273" s="1" t="inlineStr">
        <is>
          <t>Yes</t>
        </is>
      </c>
      <c r="L2273" s="1" t="inlineStr">
        <is>
          <t>No</t>
        </is>
      </c>
      <c r="M2273" s="1" t="inlineStr">
        <is>
          <t>No</t>
        </is>
      </c>
      <c r="N2273" s="1" t="inlineStr">
        <is>
          <t>Algorithms</t>
        </is>
      </c>
      <c r="O22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74" ht="15.75" customHeight="1" s="12">
      <c r="A2274" s="1" t="n">
        <v>2475</v>
      </c>
      <c r="B2274" s="3">
        <f>HYPERLINK("https://leetcode.com/problems/number-of-unequal-triplets-in-array/", "Number of Unequal Triplets in Array")</f>
        <v/>
      </c>
      <c r="C2274" s="1" t="n">
        <v>450</v>
      </c>
      <c r="D2274" s="1" t="n">
        <v>48</v>
      </c>
      <c r="E2274" s="4">
        <f>IF(INDEX(C:C, ROW())+INDEX(D:D, ROW())=0, 0, INDEX(C:C, ROW())/(INDEX(C:C, ROW())+INDEX(D:D, ROW())))</f>
        <v/>
      </c>
      <c r="F2274" s="1" t="inlineStr">
        <is>
          <t>Array, Hash Table, Sorting</t>
        </is>
      </c>
      <c r="G2274" s="1" t="inlineStr">
        <is>
          <t>Easy</t>
        </is>
      </c>
      <c r="H2274" s="1" t="n">
        <v>59974</v>
      </c>
      <c r="I2274" s="1" t="n">
        <v>81931</v>
      </c>
      <c r="J2274" s="9" t="n">
        <v>0.732</v>
      </c>
      <c r="K2274" s="1" t="inlineStr">
        <is>
          <t>Yes</t>
        </is>
      </c>
      <c r="L2274" s="1" t="inlineStr">
        <is>
          <t>No</t>
        </is>
      </c>
      <c r="M2274" s="1" t="inlineStr">
        <is>
          <t>No</t>
        </is>
      </c>
      <c r="N2274" s="1" t="inlineStr">
        <is>
          <t>Algorithms</t>
        </is>
      </c>
      <c r="O22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75" ht="15.75" customHeight="1" s="12">
      <c r="A2275" s="1" t="n">
        <v>2497</v>
      </c>
      <c r="B2275" s="3">
        <f>HYPERLINK("https://leetcode.com/problems/maximum-star-sum-of-a-graph/", "Maximum Star Sum of a Graph")</f>
        <v/>
      </c>
      <c r="C2275" s="1" t="n">
        <v>450</v>
      </c>
      <c r="D2275" s="1" t="n">
        <v>60</v>
      </c>
      <c r="E2275" s="4">
        <f>IF(INDEX(C:C, ROW())+INDEX(D:D, ROW())=0, 0, INDEX(C:C, ROW())/(INDEX(C:C, ROW())+INDEX(D:D, ROW())))</f>
        <v/>
      </c>
      <c r="F2275" s="1" t="inlineStr">
        <is>
          <t>Array, Greedy, Graph Theory, Sorting, Heap (Priority Queue)</t>
        </is>
      </c>
      <c r="G2275" s="1" t="inlineStr">
        <is>
          <t>Medium</t>
        </is>
      </c>
      <c r="H2275" s="1" t="n">
        <v>29755</v>
      </c>
      <c r="I2275" s="1" t="n">
        <v>71115</v>
      </c>
      <c r="J2275" s="9" t="n">
        <v>0.418</v>
      </c>
      <c r="K2275" s="1" t="inlineStr">
        <is>
          <t>Yes</t>
        </is>
      </c>
      <c r="L2275" s="1" t="inlineStr">
        <is>
          <t>No</t>
        </is>
      </c>
      <c r="M2275" s="1" t="inlineStr">
        <is>
          <t>No</t>
        </is>
      </c>
      <c r="N2275" s="1" t="inlineStr">
        <is>
          <t>Algorithms</t>
        </is>
      </c>
      <c r="O22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76" ht="15.75" customHeight="1" s="12">
      <c r="A2276" s="1" t="n">
        <v>1185</v>
      </c>
      <c r="B2276" s="3">
        <f>HYPERLINK("https://leetcode.com/problems/day-of-the-week/", "Day of the Week")</f>
        <v/>
      </c>
      <c r="C2276" s="1" t="n">
        <v>449</v>
      </c>
      <c r="D2276" s="1" t="n">
        <v>2557</v>
      </c>
      <c r="E2276" s="4">
        <f>IF(INDEX(C:C, ROW())+INDEX(D:D, ROW())=0, 0, INDEX(C:C, ROW())/(INDEX(C:C, ROW())+INDEX(D:D, ROW())))</f>
        <v/>
      </c>
      <c r="F2276" s="1" t="inlineStr">
        <is>
          <t>Math</t>
        </is>
      </c>
      <c r="G2276" s="1" t="inlineStr">
        <is>
          <t>Easy</t>
        </is>
      </c>
      <c r="H2276" s="1" t="n">
        <v>86762</v>
      </c>
      <c r="I2276" s="1" t="n">
        <v>147145</v>
      </c>
      <c r="J2276" s="9" t="n">
        <v>0.59</v>
      </c>
      <c r="K2276" s="1" t="inlineStr">
        <is>
          <t>Yes</t>
        </is>
      </c>
      <c r="L2276" s="1" t="inlineStr">
        <is>
          <t>No</t>
        </is>
      </c>
      <c r="M2276" s="1" t="inlineStr">
        <is>
          <t>No</t>
        </is>
      </c>
      <c r="N2276" s="1" t="inlineStr">
        <is>
          <t>Algorithms</t>
        </is>
      </c>
      <c r="O22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77" ht="15.75" customHeight="1" s="12">
      <c r="A2277" s="1" t="n">
        <v>2449</v>
      </c>
      <c r="B2277" s="3">
        <f>HYPERLINK("https://leetcode.com/problems/minimum-number-of-operations-to-make-arrays-similar/", "Minimum Number of Operations to Make Arrays Similar")</f>
        <v/>
      </c>
      <c r="C2277" s="1" t="n">
        <v>447</v>
      </c>
      <c r="D2277" s="1" t="n">
        <v>16</v>
      </c>
      <c r="E2277" s="4">
        <f>IF(INDEX(C:C, ROW())+INDEX(D:D, ROW())=0, 0, INDEX(C:C, ROW())/(INDEX(C:C, ROW())+INDEX(D:D, ROW())))</f>
        <v/>
      </c>
      <c r="F2277" s="1" t="inlineStr">
        <is>
          <t>Array, Greedy, Sorting</t>
        </is>
      </c>
      <c r="G2277" s="1" t="inlineStr">
        <is>
          <t>Hard</t>
        </is>
      </c>
      <c r="H2277" s="1" t="n">
        <v>16987</v>
      </c>
      <c r="I2277" s="1" t="n">
        <v>27673</v>
      </c>
      <c r="J2277" s="9" t="n">
        <v>0.614</v>
      </c>
      <c r="K2277" s="1" t="inlineStr">
        <is>
          <t>Yes</t>
        </is>
      </c>
      <c r="L2277" s="1" t="inlineStr">
        <is>
          <t>No</t>
        </is>
      </c>
      <c r="M2277" s="1" t="inlineStr">
        <is>
          <t>No</t>
        </is>
      </c>
      <c r="N2277" s="1" t="inlineStr">
        <is>
          <t>Algorithms</t>
        </is>
      </c>
      <c r="O22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78" ht="15.75" customHeight="1" s="12">
      <c r="A2278" s="1" t="n">
        <v>2156</v>
      </c>
      <c r="B2278" s="3">
        <f>HYPERLINK("https://leetcode.com/problems/find-substring-with-given-hash-value/", "Find Substring With Given Hash Value")</f>
        <v/>
      </c>
      <c r="C2278" s="1" t="n">
        <v>446</v>
      </c>
      <c r="D2278" s="1" t="n">
        <v>385</v>
      </c>
      <c r="E2278" s="4">
        <f>IF(INDEX(C:C, ROW())+INDEX(D:D, ROW())=0, 0, INDEX(C:C, ROW())/(INDEX(C:C, ROW())+INDEX(D:D, ROW())))</f>
        <v/>
      </c>
      <c r="F2278" s="1" t="inlineStr">
        <is>
          <t>String, Sliding Window, Rolling Hash, Hash Function</t>
        </is>
      </c>
      <c r="G2278" s="1" t="inlineStr">
        <is>
          <t>Hard</t>
        </is>
      </c>
      <c r="H2278" s="1" t="n">
        <v>16269</v>
      </c>
      <c r="I2278" s="1" t="n">
        <v>63088</v>
      </c>
      <c r="J2278" s="9" t="n">
        <v>0.258</v>
      </c>
      <c r="K2278" s="1" t="inlineStr">
        <is>
          <t>Yes</t>
        </is>
      </c>
      <c r="L2278" s="1" t="inlineStr">
        <is>
          <t>No</t>
        </is>
      </c>
      <c r="M2278" s="1" t="inlineStr">
        <is>
          <t>No</t>
        </is>
      </c>
      <c r="N2278" s="1" t="inlineStr">
        <is>
          <t>Algorithms</t>
        </is>
      </c>
      <c r="O22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79" ht="15.75" customHeight="1" s="12">
      <c r="A2279" s="1" t="n">
        <v>3321</v>
      </c>
      <c r="B2279" s="3">
        <f>HYPERLINK("https://leetcode.com/problems/find-x-sum-of-all-k-long-subarrays-ii/", "Find X-Sum of All K-Long Subarrays II")</f>
        <v/>
      </c>
      <c r="C2279" s="1" t="n">
        <v>446</v>
      </c>
      <c r="D2279" s="1" t="n">
        <v>50</v>
      </c>
      <c r="E2279" s="4">
        <f>IF(INDEX(C:C, ROW())+INDEX(D:D, ROW())=0, 0, INDEX(C:C, ROW())/(INDEX(C:C, ROW())+INDEX(D:D, ROW())))</f>
        <v/>
      </c>
      <c r="F2279" s="1" t="inlineStr">
        <is>
          <t>Array, Hash Table, Sliding Window, Heap (Priority Queue)</t>
        </is>
      </c>
      <c r="G2279" s="1" t="inlineStr">
        <is>
          <t>Hard</t>
        </is>
      </c>
      <c r="H2279" s="1" t="n">
        <v>64429</v>
      </c>
      <c r="I2279" s="1" t="n">
        <v>156782</v>
      </c>
      <c r="J2279" s="9" t="n">
        <v>0.411</v>
      </c>
      <c r="K2279" s="1" t="inlineStr">
        <is>
          <t>Yes</t>
        </is>
      </c>
      <c r="L2279" s="1" t="inlineStr">
        <is>
          <t>Yes</t>
        </is>
      </c>
      <c r="M2279" s="1" t="inlineStr">
        <is>
          <t>No</t>
        </is>
      </c>
      <c r="N2279" s="1" t="inlineStr">
        <is>
          <t>Algorithms</t>
        </is>
      </c>
      <c r="O22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80" ht="15.75" customHeight="1" s="12">
      <c r="A2280" s="1" t="n">
        <v>3363</v>
      </c>
      <c r="B2280" s="3">
        <f>HYPERLINK("https://leetcode.com/problems/find-the-maximum-number-of-fruits-collected/", "Find the Maximum Number of Fruits Collected")</f>
        <v/>
      </c>
      <c r="C2280" s="1" t="n">
        <v>445</v>
      </c>
      <c r="D2280" s="1" t="n">
        <v>42</v>
      </c>
      <c r="E2280" s="4">
        <f>IF(INDEX(C:C, ROW())+INDEX(D:D, ROW())=0, 0, INDEX(C:C, ROW())/(INDEX(C:C, ROW())+INDEX(D:D, ROW())))</f>
        <v/>
      </c>
      <c r="F2280" s="1" t="inlineStr">
        <is>
          <t>Array, Dynamic Programming, Matrix</t>
        </is>
      </c>
      <c r="G2280" s="1" t="inlineStr">
        <is>
          <t>Hard</t>
        </is>
      </c>
      <c r="H2280" s="1" t="n">
        <v>70343</v>
      </c>
      <c r="I2280" s="1" t="n">
        <v>108039</v>
      </c>
      <c r="J2280" s="9" t="n">
        <v>0.651</v>
      </c>
      <c r="K2280" s="1" t="inlineStr">
        <is>
          <t>Yes</t>
        </is>
      </c>
      <c r="L2280" s="1" t="inlineStr">
        <is>
          <t>Yes</t>
        </is>
      </c>
      <c r="M2280" s="1" t="inlineStr">
        <is>
          <t>No</t>
        </is>
      </c>
      <c r="N2280" s="1" t="inlineStr">
        <is>
          <t>Algorithms</t>
        </is>
      </c>
      <c r="O22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81" ht="15.75" customHeight="1" s="12">
      <c r="A2281" s="1" t="n">
        <v>3372</v>
      </c>
      <c r="B2281" s="3">
        <f>HYPERLINK("https://leetcode.com/problems/maximize-the-number-of-target-nodes-after-connecting-trees-i/", "Maximize the Number of Target Nodes After Connecting Trees I")</f>
        <v/>
      </c>
      <c r="C2281" s="1" t="n">
        <v>444</v>
      </c>
      <c r="D2281" s="1" t="n">
        <v>266</v>
      </c>
      <c r="E2281" s="4">
        <f>IF(INDEX(C:C, ROW())+INDEX(D:D, ROW())=0, 0, INDEX(C:C, ROW())/(INDEX(C:C, ROW())+INDEX(D:D, ROW())))</f>
        <v/>
      </c>
      <c r="F2281" s="1" t="inlineStr">
        <is>
          <t>Tree, Depth-First Search, Breadth-First Search</t>
        </is>
      </c>
      <c r="G2281" s="1" t="inlineStr">
        <is>
          <t>Medium</t>
        </is>
      </c>
      <c r="H2281" s="1" t="n">
        <v>83860</v>
      </c>
      <c r="I2281" s="1" t="n">
        <v>120621</v>
      </c>
      <c r="J2281" s="9" t="n">
        <v>0.695</v>
      </c>
      <c r="K2281" s="1" t="inlineStr">
        <is>
          <t>Yes</t>
        </is>
      </c>
      <c r="L2281" s="1" t="inlineStr">
        <is>
          <t>Yes</t>
        </is>
      </c>
      <c r="M2281" s="1" t="inlineStr">
        <is>
          <t>No</t>
        </is>
      </c>
      <c r="N2281" s="1" t="inlineStr">
        <is>
          <t>Algorithms</t>
        </is>
      </c>
      <c r="O22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82" ht="15.75" customHeight="1" s="12">
      <c r="A2282" s="1" t="n">
        <v>466</v>
      </c>
      <c r="B2282" s="3">
        <f>HYPERLINK("https://leetcode.com/problems/count-the-repetitions/", "Count The Repetitions")</f>
        <v/>
      </c>
      <c r="C2282" s="1" t="n">
        <v>443</v>
      </c>
      <c r="D2282" s="1" t="n">
        <v>369</v>
      </c>
      <c r="E2282" s="4">
        <f>IF(INDEX(C:C, ROW())+INDEX(D:D, ROW())=0, 0, INDEX(C:C, ROW())/(INDEX(C:C, ROW())+INDEX(D:D, ROW())))</f>
        <v/>
      </c>
      <c r="F2282" s="1" t="inlineStr">
        <is>
          <t>String, Dynamic Programming</t>
        </is>
      </c>
      <c r="G2282" s="1" t="inlineStr">
        <is>
          <t>Hard</t>
        </is>
      </c>
      <c r="H2282" s="1" t="n">
        <v>26812</v>
      </c>
      <c r="I2282" s="1" t="n">
        <v>80204</v>
      </c>
      <c r="J2282" s="9" t="n">
        <v>0.334</v>
      </c>
      <c r="K2282" s="1" t="inlineStr">
        <is>
          <t>Yes</t>
        </is>
      </c>
      <c r="L2282" s="1" t="inlineStr">
        <is>
          <t>Yes</t>
        </is>
      </c>
      <c r="M2282" s="1" t="inlineStr">
        <is>
          <t>No</t>
        </is>
      </c>
      <c r="N2282" s="1" t="inlineStr">
        <is>
          <t>Algorithms</t>
        </is>
      </c>
      <c r="O22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83" ht="15.75" customHeight="1" s="12">
      <c r="A2283" s="1" t="n">
        <v>1270</v>
      </c>
      <c r="B2283" s="3">
        <f>HYPERLINK("https://leetcode.com/problems/all-people-report-to-the-given-manager/", "All People Report to the Given Manager")</f>
        <v/>
      </c>
      <c r="C2283" s="1" t="n">
        <v>443</v>
      </c>
      <c r="D2283" s="1" t="n">
        <v>32</v>
      </c>
      <c r="E2283" s="4">
        <f>IF(INDEX(C:C, ROW())+INDEX(D:D, ROW())=0, 0, INDEX(C:C, ROW())/(INDEX(C:C, ROW())+INDEX(D:D, ROW())))</f>
        <v/>
      </c>
      <c r="F2283" s="1" t="inlineStr">
        <is>
          <t>Database</t>
        </is>
      </c>
      <c r="G2283" s="1" t="inlineStr">
        <is>
          <t>Medium</t>
        </is>
      </c>
      <c r="H2283" s="1" t="n">
        <v>65969</v>
      </c>
      <c r="I2283" s="1" t="n">
        <v>78479</v>
      </c>
      <c r="J2283" s="9" t="n">
        <v>0.841</v>
      </c>
      <c r="K2283" s="1" t="inlineStr">
        <is>
          <t>No</t>
        </is>
      </c>
      <c r="L2283" s="1" t="inlineStr">
        <is>
          <t>No</t>
        </is>
      </c>
      <c r="M2283" s="1" t="inlineStr">
        <is>
          <t>No</t>
        </is>
      </c>
      <c r="N2283" s="1" t="inlineStr">
        <is>
          <t>Database</t>
        </is>
      </c>
      <c r="O22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84" ht="15.75" customHeight="1" s="12">
      <c r="A2284" s="1" t="n">
        <v>2772</v>
      </c>
      <c r="B2284" s="3">
        <f>HYPERLINK("https://leetcode.com/problems/apply-operations-to-make-all-array-elements-equal-to-zero/", "Apply Operations to Make All Array Elements Equal to Zero")</f>
        <v/>
      </c>
      <c r="C2284" s="1" t="n">
        <v>443</v>
      </c>
      <c r="D2284" s="1" t="n">
        <v>32</v>
      </c>
      <c r="E2284" s="4">
        <f>IF(INDEX(C:C, ROW())+INDEX(D:D, ROW())=0, 0, INDEX(C:C, ROW())/(INDEX(C:C, ROW())+INDEX(D:D, ROW())))</f>
        <v/>
      </c>
      <c r="F2284" s="1" t="inlineStr">
        <is>
          <t>Array, Prefix Sum</t>
        </is>
      </c>
      <c r="G2284" s="1" t="inlineStr">
        <is>
          <t>Medium</t>
        </is>
      </c>
      <c r="H2284" s="1" t="n">
        <v>17666</v>
      </c>
      <c r="I2284" s="1" t="n">
        <v>53286</v>
      </c>
      <c r="J2284" s="9" t="n">
        <v>0.332</v>
      </c>
      <c r="K2284" s="1" t="inlineStr">
        <is>
          <t>Yes</t>
        </is>
      </c>
      <c r="L2284" s="1" t="inlineStr">
        <is>
          <t>No</t>
        </is>
      </c>
      <c r="M2284" s="1" t="inlineStr">
        <is>
          <t>No</t>
        </is>
      </c>
      <c r="N2284" s="1" t="inlineStr">
        <is>
          <t>Algorithms</t>
        </is>
      </c>
      <c r="O22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85" ht="15.75" customHeight="1" s="12">
      <c r="A2285" s="1" t="n">
        <v>422</v>
      </c>
      <c r="B2285" s="3">
        <f>HYPERLINK("https://leetcode.com/problems/valid-word-square/", "Valid Word Square")</f>
        <v/>
      </c>
      <c r="C2285" s="1" t="n">
        <v>442</v>
      </c>
      <c r="D2285" s="1" t="n">
        <v>271</v>
      </c>
      <c r="E2285" s="4">
        <f>IF(INDEX(C:C, ROW())+INDEX(D:D, ROW())=0, 0, INDEX(C:C, ROW())/(INDEX(C:C, ROW())+INDEX(D:D, ROW())))</f>
        <v/>
      </c>
      <c r="F2285" s="1" t="inlineStr">
        <is>
          <t>Array, Matrix</t>
        </is>
      </c>
      <c r="G2285" s="1" t="inlineStr">
        <is>
          <t>Easy</t>
        </is>
      </c>
      <c r="H2285" s="1" t="n">
        <v>67648</v>
      </c>
      <c r="I2285" s="1" t="n">
        <v>160093</v>
      </c>
      <c r="J2285" s="9" t="n">
        <v>0.423</v>
      </c>
      <c r="K2285" s="1" t="inlineStr">
        <is>
          <t>No</t>
        </is>
      </c>
      <c r="L2285" s="1" t="inlineStr">
        <is>
          <t>Yes</t>
        </is>
      </c>
      <c r="M2285" s="1" t="inlineStr">
        <is>
          <t>No</t>
        </is>
      </c>
      <c r="N2285" s="1" t="inlineStr">
        <is>
          <t>Algorithms</t>
        </is>
      </c>
      <c r="O22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86" ht="15.75" customHeight="1" s="12">
      <c r="A2286" s="1" t="n">
        <v>1064</v>
      </c>
      <c r="B2286" s="3">
        <f>HYPERLINK("https://leetcode.com/problems/fixed-point/", "Fixed Point")</f>
        <v/>
      </c>
      <c r="C2286" s="1" t="n">
        <v>441</v>
      </c>
      <c r="D2286" s="1" t="n">
        <v>67</v>
      </c>
      <c r="E2286" s="4">
        <f>IF(INDEX(C:C, ROW())+INDEX(D:D, ROW())=0, 0, INDEX(C:C, ROW())/(INDEX(C:C, ROW())+INDEX(D:D, ROW())))</f>
        <v/>
      </c>
      <c r="F2286" s="1" t="inlineStr">
        <is>
          <t>Array, Binary Search</t>
        </is>
      </c>
      <c r="G2286" s="1" t="inlineStr">
        <is>
          <t>Easy</t>
        </is>
      </c>
      <c r="H2286" s="1" t="n">
        <v>48970</v>
      </c>
      <c r="I2286" s="1" t="n">
        <v>76767</v>
      </c>
      <c r="J2286" s="9" t="n">
        <v>0.638</v>
      </c>
      <c r="K2286" s="1" t="inlineStr">
        <is>
          <t>No</t>
        </is>
      </c>
      <c r="L2286" s="1" t="inlineStr">
        <is>
          <t>Yes</t>
        </is>
      </c>
      <c r="M2286" s="1" t="inlineStr">
        <is>
          <t>No</t>
        </is>
      </c>
      <c r="N2286" s="1" t="inlineStr">
        <is>
          <t>Algorithms</t>
        </is>
      </c>
      <c r="O22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87" ht="15.75" customHeight="1" s="12">
      <c r="A2287" s="1" t="n">
        <v>1447</v>
      </c>
      <c r="B2287" s="3">
        <f>HYPERLINK("https://leetcode.com/problems/simplified-fractions/", "Simplified Fractions")</f>
        <v/>
      </c>
      <c r="C2287" s="1" t="n">
        <v>441</v>
      </c>
      <c r="D2287" s="1" t="n">
        <v>48</v>
      </c>
      <c r="E2287" s="4">
        <f>IF(INDEX(C:C, ROW())+INDEX(D:D, ROW())=0, 0, INDEX(C:C, ROW())/(INDEX(C:C, ROW())+INDEX(D:D, ROW())))</f>
        <v/>
      </c>
      <c r="F2287" s="1" t="inlineStr">
        <is>
          <t>Math, String, Number Theory</t>
        </is>
      </c>
      <c r="G2287" s="1" t="inlineStr">
        <is>
          <t>Medium</t>
        </is>
      </c>
      <c r="H2287" s="1" t="n">
        <v>43753</v>
      </c>
      <c r="I2287" s="1" t="n">
        <v>63040</v>
      </c>
      <c r="J2287" s="9" t="n">
        <v>0.694</v>
      </c>
      <c r="K2287" s="1" t="inlineStr">
        <is>
          <t>Yes</t>
        </is>
      </c>
      <c r="L2287" s="1" t="inlineStr">
        <is>
          <t>No</t>
        </is>
      </c>
      <c r="M2287" s="1" t="inlineStr">
        <is>
          <t>No</t>
        </is>
      </c>
      <c r="N2287" s="1" t="inlineStr">
        <is>
          <t>Algorithms</t>
        </is>
      </c>
      <c r="O22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88" ht="15.75" customHeight="1" s="12">
      <c r="A2288" s="1" t="n">
        <v>2541</v>
      </c>
      <c r="B2288" s="3">
        <f>HYPERLINK("https://leetcode.com/problems/minimum-operations-to-make-array-equal-ii/", "Minimum Operations to Make Array Equal II")</f>
        <v/>
      </c>
      <c r="C2288" s="1" t="n">
        <v>441</v>
      </c>
      <c r="D2288" s="1" t="n">
        <v>26</v>
      </c>
      <c r="E2288" s="4">
        <f>IF(INDEX(C:C, ROW())+INDEX(D:D, ROW())=0, 0, INDEX(C:C, ROW())/(INDEX(C:C, ROW())+INDEX(D:D, ROW())))</f>
        <v/>
      </c>
      <c r="F2288" s="1" t="inlineStr">
        <is>
          <t>Array, Math, Greedy</t>
        </is>
      </c>
      <c r="G2288" s="1" t="inlineStr">
        <is>
          <t>Medium</t>
        </is>
      </c>
      <c r="H2288" s="1" t="n">
        <v>27632</v>
      </c>
      <c r="I2288" s="1" t="n">
        <v>83827</v>
      </c>
      <c r="J2288" s="9" t="n">
        <v>0.33</v>
      </c>
      <c r="K2288" s="1" t="inlineStr">
        <is>
          <t>Yes</t>
        </is>
      </c>
      <c r="L2288" s="1" t="inlineStr">
        <is>
          <t>No</t>
        </is>
      </c>
      <c r="M2288" s="1" t="inlineStr">
        <is>
          <t>No</t>
        </is>
      </c>
      <c r="N2288" s="1" t="inlineStr">
        <is>
          <t>Algorithms</t>
        </is>
      </c>
      <c r="O22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89" ht="15.75" customHeight="1" s="12">
      <c r="A2289" s="1" t="n">
        <v>1175</v>
      </c>
      <c r="B2289" s="3">
        <f>HYPERLINK("https://leetcode.com/problems/prime-arrangements/", "Prime Arrangements")</f>
        <v/>
      </c>
      <c r="C2289" s="1" t="n">
        <v>439</v>
      </c>
      <c r="D2289" s="1" t="n">
        <v>537</v>
      </c>
      <c r="E2289" s="4">
        <f>IF(INDEX(C:C, ROW())+INDEX(D:D, ROW())=0, 0, INDEX(C:C, ROW())/(INDEX(C:C, ROW())+INDEX(D:D, ROW())))</f>
        <v/>
      </c>
      <c r="F2289" s="1" t="inlineStr">
        <is>
          <t>Math</t>
        </is>
      </c>
      <c r="G2289" s="1" t="inlineStr">
        <is>
          <t>Easy</t>
        </is>
      </c>
      <c r="H2289" s="1" t="n">
        <v>41737</v>
      </c>
      <c r="I2289" s="1" t="n">
        <v>68965</v>
      </c>
      <c r="J2289" s="9" t="n">
        <v>0.605</v>
      </c>
      <c r="K2289" s="1" t="inlineStr">
        <is>
          <t>Yes</t>
        </is>
      </c>
      <c r="L2289" s="1" t="inlineStr">
        <is>
          <t>No</t>
        </is>
      </c>
      <c r="M2289" s="1" t="inlineStr">
        <is>
          <t>No</t>
        </is>
      </c>
      <c r="N2289" s="1" t="inlineStr">
        <is>
          <t>Algorithms</t>
        </is>
      </c>
      <c r="O22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90" ht="15.75" customHeight="1" s="12">
      <c r="A2290" s="1" t="n">
        <v>1238</v>
      </c>
      <c r="B2290" s="3">
        <f>HYPERLINK("https://leetcode.com/problems/circular-permutation-in-binary-representation/", "Circular Permutation in Binary Representation")</f>
        <v/>
      </c>
      <c r="C2290" s="1" t="n">
        <v>439</v>
      </c>
      <c r="D2290" s="1" t="n">
        <v>194</v>
      </c>
      <c r="E2290" s="4">
        <f>IF(INDEX(C:C, ROW())+INDEX(D:D, ROW())=0, 0, INDEX(C:C, ROW())/(INDEX(C:C, ROW())+INDEX(D:D, ROW())))</f>
        <v/>
      </c>
      <c r="F2290" s="1" t="inlineStr">
        <is>
          <t>Math, Backtracking, Bit Manipulation</t>
        </is>
      </c>
      <c r="G2290" s="1" t="inlineStr">
        <is>
          <t>Medium</t>
        </is>
      </c>
      <c r="H2290" s="1" t="n">
        <v>23738</v>
      </c>
      <c r="I2290" s="1" t="n">
        <v>32769</v>
      </c>
      <c r="J2290" s="9" t="n">
        <v>0.724</v>
      </c>
      <c r="K2290" s="1" t="inlineStr">
        <is>
          <t>Yes</t>
        </is>
      </c>
      <c r="L2290" s="1" t="inlineStr">
        <is>
          <t>No</t>
        </is>
      </c>
      <c r="M2290" s="1" t="inlineStr">
        <is>
          <t>No</t>
        </is>
      </c>
      <c r="N2290" s="1" t="inlineStr">
        <is>
          <t>Algorithms</t>
        </is>
      </c>
      <c r="O22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91" ht="15.75" customHeight="1" s="12">
      <c r="A2291" s="1" t="n">
        <v>2158</v>
      </c>
      <c r="B2291" s="3">
        <f>HYPERLINK("https://leetcode.com/problems/amount-of-new-area-painted-each-day/", "Amount of New Area Painted Each Day")</f>
        <v/>
      </c>
      <c r="C2291" s="1" t="n">
        <v>439</v>
      </c>
      <c r="D2291" s="1" t="n">
        <v>44</v>
      </c>
      <c r="E2291" s="4">
        <f>IF(INDEX(C:C, ROW())+INDEX(D:D, ROW())=0, 0, INDEX(C:C, ROW())/(INDEX(C:C, ROW())+INDEX(D:D, ROW())))</f>
        <v/>
      </c>
      <c r="F2291" s="1" t="inlineStr">
        <is>
          <t>Array, Segment Tree, Ordered Set</t>
        </is>
      </c>
      <c r="G2291" s="1" t="inlineStr">
        <is>
          <t>Hard</t>
        </is>
      </c>
      <c r="H2291" s="1" t="n">
        <v>32733</v>
      </c>
      <c r="I2291" s="1" t="n">
        <v>58897</v>
      </c>
      <c r="J2291" s="9" t="n">
        <v>0.556</v>
      </c>
      <c r="K2291" s="1" t="inlineStr">
        <is>
          <t>No</t>
        </is>
      </c>
      <c r="L2291" s="1" t="inlineStr">
        <is>
          <t>No</t>
        </is>
      </c>
      <c r="M2291" s="1" t="inlineStr">
        <is>
          <t>No</t>
        </is>
      </c>
      <c r="N2291" s="1" t="inlineStr">
        <is>
          <t>Algorithms</t>
        </is>
      </c>
      <c r="O22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92" ht="15.75" customHeight="1" s="12">
      <c r="A2292" s="1" t="n">
        <v>2440</v>
      </c>
      <c r="B2292" s="3">
        <f>HYPERLINK("https://leetcode.com/problems/create-components-with-same-value/", "Create Components With Same Value")</f>
        <v/>
      </c>
      <c r="C2292" s="1" t="n">
        <v>438</v>
      </c>
      <c r="D2292" s="1" t="n">
        <v>7</v>
      </c>
      <c r="E2292" s="4">
        <f>IF(INDEX(C:C, ROW())+INDEX(D:D, ROW())=0, 0, INDEX(C:C, ROW())/(INDEX(C:C, ROW())+INDEX(D:D, ROW())))</f>
        <v/>
      </c>
      <c r="F2292" s="1" t="inlineStr">
        <is>
          <t>Array, Math, Tree, Depth-First Search, Enumeration</t>
        </is>
      </c>
      <c r="G2292" s="1" t="inlineStr">
        <is>
          <t>Hard</t>
        </is>
      </c>
      <c r="H2292" s="1" t="n">
        <v>10754</v>
      </c>
      <c r="I2292" s="1" t="n">
        <v>20224</v>
      </c>
      <c r="J2292" s="9" t="n">
        <v>0.532</v>
      </c>
      <c r="K2292" s="1" t="inlineStr">
        <is>
          <t>Yes</t>
        </is>
      </c>
      <c r="L2292" s="1" t="inlineStr">
        <is>
          <t>No</t>
        </is>
      </c>
      <c r="M2292" s="1" t="inlineStr">
        <is>
          <t>No</t>
        </is>
      </c>
      <c r="N2292" s="1" t="inlineStr">
        <is>
          <t>Algorithms</t>
        </is>
      </c>
      <c r="O22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93" ht="15.75" customHeight="1" s="12">
      <c r="A2293" s="1" t="n">
        <v>2975</v>
      </c>
      <c r="B2293" s="3">
        <f>HYPERLINK("https://leetcode.com/problems/maximum-square-area-by-removing-fences-from-a-field/", "Maximum Square Area by Removing Fences From a Field")</f>
        <v/>
      </c>
      <c r="C2293" s="1" t="n">
        <v>438</v>
      </c>
      <c r="D2293" s="1" t="n">
        <v>159</v>
      </c>
      <c r="E2293" s="4">
        <f>IF(INDEX(C:C, ROW())+INDEX(D:D, ROW())=0, 0, INDEX(C:C, ROW())/(INDEX(C:C, ROW())+INDEX(D:D, ROW())))</f>
        <v/>
      </c>
      <c r="F2293" s="1" t="inlineStr">
        <is>
          <t>Array, Hash Table, Enumeration</t>
        </is>
      </c>
      <c r="G2293" s="1" t="inlineStr">
        <is>
          <t>Medium</t>
        </is>
      </c>
      <c r="H2293" s="1" t="n">
        <v>93331</v>
      </c>
      <c r="I2293" s="1" t="n">
        <v>189491</v>
      </c>
      <c r="J2293" s="9" t="n">
        <v>0.493</v>
      </c>
      <c r="K2293" s="1" t="inlineStr">
        <is>
          <t>Yes</t>
        </is>
      </c>
      <c r="L2293" s="1" t="inlineStr">
        <is>
          <t>Yes</t>
        </is>
      </c>
      <c r="M2293" s="1" t="inlineStr">
        <is>
          <t>No</t>
        </is>
      </c>
      <c r="N2293" s="1" t="inlineStr">
        <is>
          <t>Algorithms</t>
        </is>
      </c>
      <c r="O22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94" ht="15.75" customHeight="1" s="12">
      <c r="A2294" s="1" t="n">
        <v>749</v>
      </c>
      <c r="B2294" s="3">
        <f>HYPERLINK("https://leetcode.com/problems/contain-virus/", "Contain Virus")</f>
        <v/>
      </c>
      <c r="C2294" s="1" t="n">
        <v>437</v>
      </c>
      <c r="D2294" s="1" t="n">
        <v>465</v>
      </c>
      <c r="E2294" s="4">
        <f>IF(INDEX(C:C, ROW())+INDEX(D:D, ROW())=0, 0, INDEX(C:C, ROW())/(INDEX(C:C, ROW())+INDEX(D:D, ROW())))</f>
        <v/>
      </c>
      <c r="F2294" s="1" t="inlineStr">
        <is>
          <t>Array, Depth-First Search, Breadth-First Search, Matrix, Simulation</t>
        </is>
      </c>
      <c r="G2294" s="1" t="inlineStr">
        <is>
          <t>Hard</t>
        </is>
      </c>
      <c r="H2294" s="1" t="n">
        <v>17618</v>
      </c>
      <c r="I2294" s="1" t="n">
        <v>32612</v>
      </c>
      <c r="J2294" s="9" t="n">
        <v>0.54</v>
      </c>
      <c r="K2294" s="1" t="inlineStr">
        <is>
          <t>Yes</t>
        </is>
      </c>
      <c r="L2294" s="1" t="inlineStr">
        <is>
          <t>Yes</t>
        </is>
      </c>
      <c r="M2294" s="1" t="inlineStr">
        <is>
          <t>No</t>
        </is>
      </c>
      <c r="N2294" s="1" t="inlineStr">
        <is>
          <t>Algorithms</t>
        </is>
      </c>
      <c r="O22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95" ht="15.75" customHeight="1" s="12">
      <c r="A2295" s="1" t="n">
        <v>1006</v>
      </c>
      <c r="B2295" s="3">
        <f>HYPERLINK("https://leetcode.com/problems/clumsy-factorial/", "Clumsy Factorial")</f>
        <v/>
      </c>
      <c r="C2295" s="1" t="n">
        <v>437</v>
      </c>
      <c r="D2295" s="1" t="n">
        <v>365</v>
      </c>
      <c r="E2295" s="4">
        <f>IF(INDEX(C:C, ROW())+INDEX(D:D, ROW())=0, 0, INDEX(C:C, ROW())/(INDEX(C:C, ROW())+INDEX(D:D, ROW())))</f>
        <v/>
      </c>
      <c r="F2295" s="1" t="inlineStr">
        <is>
          <t>Math, Stack, Simulation</t>
        </is>
      </c>
      <c r="G2295" s="1" t="inlineStr">
        <is>
          <t>Medium</t>
        </is>
      </c>
      <c r="H2295" s="1" t="n">
        <v>46059</v>
      </c>
      <c r="I2295" s="1" t="n">
        <v>75733</v>
      </c>
      <c r="J2295" s="9" t="n">
        <v>0.608</v>
      </c>
      <c r="K2295" s="1" t="inlineStr">
        <is>
          <t>Yes</t>
        </is>
      </c>
      <c r="L2295" s="1" t="inlineStr">
        <is>
          <t>No</t>
        </is>
      </c>
      <c r="M2295" s="1" t="inlineStr">
        <is>
          <t>No</t>
        </is>
      </c>
      <c r="N2295" s="1" t="inlineStr">
        <is>
          <t>Algorithms</t>
        </is>
      </c>
      <c r="O22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96" ht="15.75" customHeight="1" s="12">
      <c r="A2296" s="1" t="n">
        <v>1474</v>
      </c>
      <c r="B2296" s="3">
        <f>HYPERLINK("https://leetcode.com/problems/delete-n-nodes-after-m-nodes-of-a-linked-list/", "Delete N Nodes After M Nodes of a Linked List")</f>
        <v/>
      </c>
      <c r="C2296" s="1" t="n">
        <v>434</v>
      </c>
      <c r="D2296" s="1" t="n">
        <v>17</v>
      </c>
      <c r="E2296" s="4">
        <f>IF(INDEX(C:C, ROW())+INDEX(D:D, ROW())=0, 0, INDEX(C:C, ROW())/(INDEX(C:C, ROW())+INDEX(D:D, ROW())))</f>
        <v/>
      </c>
      <c r="F2296" s="1" t="inlineStr">
        <is>
          <t>Linked List</t>
        </is>
      </c>
      <c r="G2296" s="1" t="inlineStr">
        <is>
          <t>Easy</t>
        </is>
      </c>
      <c r="H2296" s="1" t="n">
        <v>41275</v>
      </c>
      <c r="I2296" s="1" t="n">
        <v>55493</v>
      </c>
      <c r="J2296" s="9" t="n">
        <v>0.744</v>
      </c>
      <c r="K2296" s="1" t="inlineStr">
        <is>
          <t>No</t>
        </is>
      </c>
      <c r="L2296" s="1" t="inlineStr">
        <is>
          <t>Yes</t>
        </is>
      </c>
      <c r="M2296" s="1" t="inlineStr">
        <is>
          <t>No</t>
        </is>
      </c>
      <c r="N2296" s="1" t="inlineStr">
        <is>
          <t>Algorithms</t>
        </is>
      </c>
      <c r="O22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97" ht="15.75" customHeight="1" s="12">
      <c r="A2297" s="1" t="n">
        <v>1819</v>
      </c>
      <c r="B2297" s="3">
        <f>HYPERLINK("https://leetcode.com/problems/number-of-different-subsequences-gcds/", "Number of Different Subsequences GCDs")</f>
        <v/>
      </c>
      <c r="C2297" s="1" t="n">
        <v>434</v>
      </c>
      <c r="D2297" s="1" t="n">
        <v>48</v>
      </c>
      <c r="E2297" s="4">
        <f>IF(INDEX(C:C, ROW())+INDEX(D:D, ROW())=0, 0, INDEX(C:C, ROW())/(INDEX(C:C, ROW())+INDEX(D:D, ROW())))</f>
        <v/>
      </c>
      <c r="F2297" s="1" t="inlineStr">
        <is>
          <t>Array, Math, Counting, Number Theory</t>
        </is>
      </c>
      <c r="G2297" s="1" t="inlineStr">
        <is>
          <t>Hard</t>
        </is>
      </c>
      <c r="H2297" s="1" t="n">
        <v>12635</v>
      </c>
      <c r="I2297" s="1" t="n">
        <v>28236</v>
      </c>
      <c r="J2297" s="9" t="n">
        <v>0.447</v>
      </c>
      <c r="K2297" s="1" t="inlineStr">
        <is>
          <t>Yes</t>
        </is>
      </c>
      <c r="L2297" s="1" t="inlineStr">
        <is>
          <t>No</t>
        </is>
      </c>
      <c r="M2297" s="1" t="inlineStr">
        <is>
          <t>No</t>
        </is>
      </c>
      <c r="N2297" s="1" t="inlineStr">
        <is>
          <t>Algorithms</t>
        </is>
      </c>
      <c r="O22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98" ht="15.75" customHeight="1" s="12">
      <c r="A2298" s="1" t="n">
        <v>2791</v>
      </c>
      <c r="B2298" s="3">
        <f>HYPERLINK("https://leetcode.com/problems/count-paths-that-can-form-a-palindrome-in-a-tree/", "Count Paths That Can Form a Palindrome in a Tree")</f>
        <v/>
      </c>
      <c r="C2298" s="1" t="n">
        <v>434</v>
      </c>
      <c r="D2298" s="1" t="n">
        <v>17</v>
      </c>
      <c r="E2298" s="4">
        <f>IF(INDEX(C:C, ROW())+INDEX(D:D, ROW())=0, 0, INDEX(C:C, ROW())/(INDEX(C:C, ROW())+INDEX(D:D, ROW())))</f>
        <v/>
      </c>
      <c r="F2298" s="1" t="inlineStr">
        <is>
          <t>Dynamic Programming, Bit Manipulation, Tree, Depth-First Search, Bitmask DP</t>
        </is>
      </c>
      <c r="G2298" s="1" t="inlineStr">
        <is>
          <t>Hard</t>
        </is>
      </c>
      <c r="H2298" s="1" t="n">
        <v>9767</v>
      </c>
      <c r="I2298" s="1" t="n">
        <v>20602</v>
      </c>
      <c r="J2298" s="9" t="n">
        <v>0.474</v>
      </c>
      <c r="K2298" s="1" t="inlineStr">
        <is>
          <t>Yes</t>
        </is>
      </c>
      <c r="L2298" s="1" t="inlineStr">
        <is>
          <t>No</t>
        </is>
      </c>
      <c r="M2298" s="1" t="inlineStr">
        <is>
          <t>No</t>
        </is>
      </c>
      <c r="N2298" s="1" t="inlineStr">
        <is>
          <t>Algorithms</t>
        </is>
      </c>
      <c r="O22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299" ht="15.75" customHeight="1" s="12">
      <c r="A2299" s="1" t="n">
        <v>3003</v>
      </c>
      <c r="B2299" s="3">
        <f>HYPERLINK("https://leetcode.com/problems/maximize-the-number-of-partitions-after-operations/", "Maximize the Number of Partitions After Operations")</f>
        <v/>
      </c>
      <c r="C2299" s="1" t="n">
        <v>433</v>
      </c>
      <c r="D2299" s="1" t="n">
        <v>88</v>
      </c>
      <c r="E2299" s="4">
        <f>IF(INDEX(C:C, ROW())+INDEX(D:D, ROW())=0, 0, INDEX(C:C, ROW())/(INDEX(C:C, ROW())+INDEX(D:D, ROW())))</f>
        <v/>
      </c>
      <c r="F2299" s="1" t="inlineStr">
        <is>
          <t>String, Dynamic Programming, Bit Manipulation, Bitmask DP</t>
        </is>
      </c>
      <c r="G2299" s="1" t="inlineStr">
        <is>
          <t>Hard</t>
        </is>
      </c>
      <c r="H2299" s="1" t="n">
        <v>54096</v>
      </c>
      <c r="I2299" s="1" t="n">
        <v>100805</v>
      </c>
      <c r="J2299" s="9" t="n">
        <v>0.537</v>
      </c>
      <c r="K2299" s="1" t="inlineStr">
        <is>
          <t>Yes</t>
        </is>
      </c>
      <c r="L2299" s="1" t="inlineStr">
        <is>
          <t>Yes</t>
        </is>
      </c>
      <c r="M2299" s="1" t="inlineStr">
        <is>
          <t>No</t>
        </is>
      </c>
      <c r="N2299" s="1" t="inlineStr">
        <is>
          <t>Algorithms</t>
        </is>
      </c>
      <c r="O22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00" ht="15.75" customHeight="1" s="12">
      <c r="A2300" s="1" t="n">
        <v>1485</v>
      </c>
      <c r="B2300" s="3">
        <f>HYPERLINK("https://leetcode.com/problems/clone-binary-tree-with-random-pointer/", "Clone Binary Tree With Random Pointer")</f>
        <v/>
      </c>
      <c r="C2300" s="1" t="n">
        <v>432</v>
      </c>
      <c r="D2300" s="1" t="n">
        <v>93</v>
      </c>
      <c r="E2300" s="4">
        <f>IF(INDEX(C:C, ROW())+INDEX(D:D, ROW())=0, 0, INDEX(C:C, ROW())/(INDEX(C:C, ROW())+INDEX(D:D, ROW())))</f>
        <v/>
      </c>
      <c r="F2300" s="1" t="inlineStr">
        <is>
          <t>Hash Table, Tree, Depth-First Search, Breadth-First Search, Binary Tree</t>
        </is>
      </c>
      <c r="G2300" s="1" t="inlineStr">
        <is>
          <t>Medium</t>
        </is>
      </c>
      <c r="H2300" s="1" t="n">
        <v>35538</v>
      </c>
      <c r="I2300" s="1" t="n">
        <v>43936</v>
      </c>
      <c r="J2300" s="9" t="n">
        <v>0.8090000000000001</v>
      </c>
      <c r="K2300" s="1" t="inlineStr">
        <is>
          <t>No</t>
        </is>
      </c>
      <c r="L2300" s="1" t="inlineStr">
        <is>
          <t>Yes</t>
        </is>
      </c>
      <c r="M2300" s="1" t="inlineStr">
        <is>
          <t>No</t>
        </is>
      </c>
      <c r="N2300" s="1" t="inlineStr">
        <is>
          <t>Algorithms</t>
        </is>
      </c>
      <c r="O23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01" ht="15.75" customHeight="1" s="12">
      <c r="A2301" s="1" t="n">
        <v>1360</v>
      </c>
      <c r="B2301" s="3">
        <f>HYPERLINK("https://leetcode.com/problems/number-of-days-between-two-dates/", "Number of Days Between Two Dates")</f>
        <v/>
      </c>
      <c r="C2301" s="1" t="n">
        <v>430</v>
      </c>
      <c r="D2301" s="1" t="n">
        <v>1321</v>
      </c>
      <c r="E2301" s="4">
        <f>IF(INDEX(C:C, ROW())+INDEX(D:D, ROW())=0, 0, INDEX(C:C, ROW())/(INDEX(C:C, ROW())+INDEX(D:D, ROW())))</f>
        <v/>
      </c>
      <c r="F2301" s="1" t="inlineStr">
        <is>
          <t>Math, String</t>
        </is>
      </c>
      <c r="G2301" s="1" t="inlineStr">
        <is>
          <t>Easy</t>
        </is>
      </c>
      <c r="H2301" s="1" t="n">
        <v>71216</v>
      </c>
      <c r="I2301" s="1" t="n">
        <v>136396</v>
      </c>
      <c r="J2301" s="9" t="n">
        <v>0.522</v>
      </c>
      <c r="K2301" s="1" t="inlineStr">
        <is>
          <t>Yes</t>
        </is>
      </c>
      <c r="L2301" s="1" t="inlineStr">
        <is>
          <t>No</t>
        </is>
      </c>
      <c r="M2301" s="1" t="inlineStr">
        <is>
          <t>No</t>
        </is>
      </c>
      <c r="N2301" s="1" t="inlineStr">
        <is>
          <t>Algorithms</t>
        </is>
      </c>
      <c r="O23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02" ht="15.75" customHeight="1" s="12">
      <c r="A2302" s="1" t="n">
        <v>2815</v>
      </c>
      <c r="B2302" s="3">
        <f>HYPERLINK("https://leetcode.com/problems/max-pair-sum-in-an-array/", "Max Pair Sum in an Array")</f>
        <v/>
      </c>
      <c r="C2302" s="1" t="n">
        <v>430</v>
      </c>
      <c r="D2302" s="1" t="n">
        <v>133</v>
      </c>
      <c r="E2302" s="4">
        <f>IF(INDEX(C:C, ROW())+INDEX(D:D, ROW())=0, 0, INDEX(C:C, ROW())/(INDEX(C:C, ROW())+INDEX(D:D, ROW())))</f>
        <v/>
      </c>
      <c r="F2302" s="1" t="inlineStr">
        <is>
          <t>Array, Hash Table</t>
        </is>
      </c>
      <c r="G2302" s="1" t="inlineStr">
        <is>
          <t>Easy</t>
        </is>
      </c>
      <c r="H2302" s="1" t="n">
        <v>58591</v>
      </c>
      <c r="I2302" s="1" t="n">
        <v>97364</v>
      </c>
      <c r="J2302" s="9" t="n">
        <v>0.602</v>
      </c>
      <c r="K2302" s="1" t="inlineStr">
        <is>
          <t>Yes</t>
        </is>
      </c>
      <c r="L2302" s="1" t="inlineStr">
        <is>
          <t>No</t>
        </is>
      </c>
      <c r="M2302" s="1" t="inlineStr">
        <is>
          <t>No</t>
        </is>
      </c>
      <c r="N2302" s="1" t="inlineStr">
        <is>
          <t>Algorithms</t>
        </is>
      </c>
      <c r="O23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03" ht="15.75" customHeight="1" s="12">
      <c r="A2303" s="1" t="n">
        <v>2081</v>
      </c>
      <c r="B2303" s="3">
        <f>HYPERLINK("https://leetcode.com/problems/sum-of-k-mirror-numbers/", "Sum of k-Mirror Numbers")</f>
        <v/>
      </c>
      <c r="C2303" s="1" t="n">
        <v>429</v>
      </c>
      <c r="D2303" s="1" t="n">
        <v>210</v>
      </c>
      <c r="E2303" s="4">
        <f>IF(INDEX(C:C, ROW())+INDEX(D:D, ROW())=0, 0, INDEX(C:C, ROW())/(INDEX(C:C, ROW())+INDEX(D:D, ROW())))</f>
        <v/>
      </c>
      <c r="F2303" s="1" t="inlineStr">
        <is>
          <t>Math, Enumeration</t>
        </is>
      </c>
      <c r="G2303" s="1" t="inlineStr">
        <is>
          <t>Hard</t>
        </is>
      </c>
      <c r="H2303" s="1" t="n">
        <v>77261</v>
      </c>
      <c r="I2303" s="1" t="n">
        <v>121166</v>
      </c>
      <c r="J2303" s="9" t="n">
        <v>0.638</v>
      </c>
      <c r="K2303" s="1" t="inlineStr">
        <is>
          <t>Yes</t>
        </is>
      </c>
      <c r="L2303" s="1" t="inlineStr">
        <is>
          <t>Yes</t>
        </is>
      </c>
      <c r="M2303" s="1" t="inlineStr">
        <is>
          <t>No</t>
        </is>
      </c>
      <c r="N2303" s="1" t="inlineStr">
        <is>
          <t>Algorithms</t>
        </is>
      </c>
      <c r="O23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04" ht="15.75" customHeight="1" s="12">
      <c r="A2304" s="1" t="n">
        <v>2496</v>
      </c>
      <c r="B2304" s="3">
        <f>HYPERLINK("https://leetcode.com/problems/maximum-value-of-a-string-in-an-array/", "Maximum Value of a String in an Array")</f>
        <v/>
      </c>
      <c r="C2304" s="1" t="n">
        <v>429</v>
      </c>
      <c r="D2304" s="1" t="n">
        <v>24</v>
      </c>
      <c r="E2304" s="4">
        <f>IF(INDEX(C:C, ROW())+INDEX(D:D, ROW())=0, 0, INDEX(C:C, ROW())/(INDEX(C:C, ROW())+INDEX(D:D, ROW())))</f>
        <v/>
      </c>
      <c r="F2304" s="1" t="inlineStr">
        <is>
          <t>Array, String</t>
        </is>
      </c>
      <c r="G2304" s="1" t="inlineStr">
        <is>
          <t>Easy</t>
        </is>
      </c>
      <c r="H2304" s="1" t="n">
        <v>62345</v>
      </c>
      <c r="I2304" s="1" t="n">
        <v>84178</v>
      </c>
      <c r="J2304" s="9" t="n">
        <v>0.741</v>
      </c>
      <c r="K2304" s="1" t="inlineStr">
        <is>
          <t>Yes</t>
        </is>
      </c>
      <c r="L2304" s="1" t="inlineStr">
        <is>
          <t>No</t>
        </is>
      </c>
      <c r="M2304" s="1" t="inlineStr">
        <is>
          <t>No</t>
        </is>
      </c>
      <c r="N2304" s="1" t="inlineStr">
        <is>
          <t>Algorithms</t>
        </is>
      </c>
      <c r="O23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05" ht="15.75" customHeight="1" s="12">
      <c r="A2305" s="1" t="n">
        <v>3531</v>
      </c>
      <c r="B2305" s="3">
        <f>HYPERLINK("https://leetcode.com/problems/count-covered-buildings/", "Count Covered Buildings")</f>
        <v/>
      </c>
      <c r="C2305" s="1" t="n">
        <v>429</v>
      </c>
      <c r="D2305" s="1" t="n">
        <v>27</v>
      </c>
      <c r="E2305" s="4">
        <f>IF(INDEX(C:C, ROW())+INDEX(D:D, ROW())=0, 0, INDEX(C:C, ROW())/(INDEX(C:C, ROW())+INDEX(D:D, ROW())))</f>
        <v/>
      </c>
      <c r="F2305" s="1" t="inlineStr">
        <is>
          <t>Array, Hash Table, Sorting</t>
        </is>
      </c>
      <c r="G2305" s="1" t="inlineStr">
        <is>
          <t>Medium</t>
        </is>
      </c>
      <c r="H2305" s="1" t="n">
        <v>102270</v>
      </c>
      <c r="I2305" s="1" t="n">
        <v>174130</v>
      </c>
      <c r="J2305" s="9" t="n">
        <v>0.587</v>
      </c>
      <c r="K2305" s="1" t="inlineStr">
        <is>
          <t>Yes</t>
        </is>
      </c>
      <c r="L2305" s="1" t="inlineStr">
        <is>
          <t>Yes</t>
        </is>
      </c>
      <c r="M2305" s="1" t="inlineStr">
        <is>
          <t>No</t>
        </is>
      </c>
      <c r="N2305" s="1" t="inlineStr">
        <is>
          <t>Algorithms</t>
        </is>
      </c>
      <c r="O23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06" ht="15.75" customHeight="1" s="12">
      <c r="A2306" s="1" t="n">
        <v>2274</v>
      </c>
      <c r="B2306" s="3">
        <f>HYPERLINK("https://leetcode.com/problems/maximum-consecutive-floors-without-special-floors/", "Maximum Consecutive Floors Without Special Floors")</f>
        <v/>
      </c>
      <c r="C2306" s="1" t="n">
        <v>428</v>
      </c>
      <c r="D2306" s="1" t="n">
        <v>41</v>
      </c>
      <c r="E2306" s="4">
        <f>IF(INDEX(C:C, ROW())+INDEX(D:D, ROW())=0, 0, INDEX(C:C, ROW())/(INDEX(C:C, ROW())+INDEX(D:D, ROW())))</f>
        <v/>
      </c>
      <c r="F2306" s="1" t="inlineStr">
        <is>
          <t>Array, Sorting</t>
        </is>
      </c>
      <c r="G2306" s="1" t="inlineStr">
        <is>
          <t>Medium</t>
        </is>
      </c>
      <c r="H2306" s="1" t="n">
        <v>40325</v>
      </c>
      <c r="I2306" s="1" t="n">
        <v>76900</v>
      </c>
      <c r="J2306" s="9" t="n">
        <v>0.524</v>
      </c>
      <c r="K2306" s="1" t="inlineStr">
        <is>
          <t>Yes</t>
        </is>
      </c>
      <c r="L2306" s="1" t="inlineStr">
        <is>
          <t>No</t>
        </is>
      </c>
      <c r="M2306" s="1" t="inlineStr">
        <is>
          <t>No</t>
        </is>
      </c>
      <c r="N2306" s="1" t="inlineStr">
        <is>
          <t>Algorithms</t>
        </is>
      </c>
      <c r="O23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07" ht="15.75" customHeight="1" s="12">
      <c r="A2307" s="1" t="n">
        <v>1418</v>
      </c>
      <c r="B2307" s="3">
        <f>HYPERLINK("https://leetcode.com/problems/display-table-of-food-orders-in-a-restaurant/", "Display Table of Food Orders in a Restaurant")</f>
        <v/>
      </c>
      <c r="C2307" s="1" t="n">
        <v>427</v>
      </c>
      <c r="D2307" s="1" t="n">
        <v>493</v>
      </c>
      <c r="E2307" s="4">
        <f>IF(INDEX(C:C, ROW())+INDEX(D:D, ROW())=0, 0, INDEX(C:C, ROW())/(INDEX(C:C, ROW())+INDEX(D:D, ROW())))</f>
        <v/>
      </c>
      <c r="F2307" s="1" t="inlineStr">
        <is>
          <t>Array, Hash Table, String, Sorting, Ordered Set</t>
        </is>
      </c>
      <c r="G2307" s="1" t="inlineStr">
        <is>
          <t>Medium</t>
        </is>
      </c>
      <c r="H2307" s="1" t="n">
        <v>36300</v>
      </c>
      <c r="I2307" s="1" t="n">
        <v>47577</v>
      </c>
      <c r="J2307" s="9" t="n">
        <v>0.763</v>
      </c>
      <c r="K2307" s="1" t="inlineStr">
        <is>
          <t>Yes</t>
        </is>
      </c>
      <c r="L2307" s="1" t="inlineStr">
        <is>
          <t>No</t>
        </is>
      </c>
      <c r="M2307" s="1" t="inlineStr">
        <is>
          <t>No</t>
        </is>
      </c>
      <c r="N2307" s="1" t="inlineStr">
        <is>
          <t>Algorithms</t>
        </is>
      </c>
      <c r="O23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08" ht="15.75" customHeight="1" s="12">
      <c r="A2308" s="1" t="n">
        <v>1490</v>
      </c>
      <c r="B2308" s="3">
        <f>HYPERLINK("https://leetcode.com/problems/clone-n-ary-tree/", "Clone N-ary Tree")</f>
        <v/>
      </c>
      <c r="C2308" s="1" t="n">
        <v>427</v>
      </c>
      <c r="D2308" s="1" t="n">
        <v>17</v>
      </c>
      <c r="E2308" s="4">
        <f>IF(INDEX(C:C, ROW())+INDEX(D:D, ROW())=0, 0, INDEX(C:C, ROW())/(INDEX(C:C, ROW())+INDEX(D:D, ROW())))</f>
        <v/>
      </c>
      <c r="F2308" s="1" t="inlineStr">
        <is>
          <t>Hash Table, Tree, Depth-First Search, Breadth-First Search</t>
        </is>
      </c>
      <c r="G2308" s="1" t="inlineStr">
        <is>
          <t>Medium</t>
        </is>
      </c>
      <c r="H2308" s="1" t="n">
        <v>33840</v>
      </c>
      <c r="I2308" s="1" t="n">
        <v>40719</v>
      </c>
      <c r="J2308" s="9" t="n">
        <v>0.831</v>
      </c>
      <c r="K2308" s="1" t="inlineStr">
        <is>
          <t>No</t>
        </is>
      </c>
      <c r="L2308" s="1" t="inlineStr">
        <is>
          <t>Yes</t>
        </is>
      </c>
      <c r="M2308" s="1" t="inlineStr">
        <is>
          <t>No</t>
        </is>
      </c>
      <c r="N2308" s="1" t="inlineStr">
        <is>
          <t>Algorithms</t>
        </is>
      </c>
      <c r="O23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09" ht="15.75" customHeight="1" s="12">
      <c r="A2309" s="1" t="n">
        <v>2310</v>
      </c>
      <c r="B2309" s="3">
        <f>HYPERLINK("https://leetcode.com/problems/sum-of-numbers-with-units-digit-k/", "Sum of Numbers With Units Digit K")</f>
        <v/>
      </c>
      <c r="C2309" s="1" t="n">
        <v>427</v>
      </c>
      <c r="D2309" s="1" t="n">
        <v>337</v>
      </c>
      <c r="E2309" s="4">
        <f>IF(INDEX(C:C, ROW())+INDEX(D:D, ROW())=0, 0, INDEX(C:C, ROW())/(INDEX(C:C, ROW())+INDEX(D:D, ROW())))</f>
        <v/>
      </c>
      <c r="F2309" s="1" t="inlineStr">
        <is>
          <t>Math, Dynamic Programming, Greedy, Enumeration</t>
        </is>
      </c>
      <c r="G2309" s="1" t="inlineStr">
        <is>
          <t>Medium</t>
        </is>
      </c>
      <c r="H2309" s="1" t="n">
        <v>31782</v>
      </c>
      <c r="I2309" s="1" t="n">
        <v>113483</v>
      </c>
      <c r="J2309" s="9" t="n">
        <v>0.28</v>
      </c>
      <c r="K2309" s="1" t="inlineStr">
        <is>
          <t>Yes</t>
        </is>
      </c>
      <c r="L2309" s="1" t="inlineStr">
        <is>
          <t>No</t>
        </is>
      </c>
      <c r="M2309" s="1" t="inlineStr">
        <is>
          <t>No</t>
        </is>
      </c>
      <c r="N2309" s="1" t="inlineStr">
        <is>
          <t>Algorithms</t>
        </is>
      </c>
      <c r="O23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10" ht="15.75" customHeight="1" s="12">
      <c r="A2310" s="1" t="n">
        <v>2451</v>
      </c>
      <c r="B2310" s="3">
        <f>HYPERLINK("https://leetcode.com/problems/odd-string-difference/", "Odd String Difference")</f>
        <v/>
      </c>
      <c r="C2310" s="1" t="n">
        <v>427</v>
      </c>
      <c r="D2310" s="1" t="n">
        <v>123</v>
      </c>
      <c r="E2310" s="4">
        <f>IF(INDEX(C:C, ROW())+INDEX(D:D, ROW())=0, 0, INDEX(C:C, ROW())/(INDEX(C:C, ROW())+INDEX(D:D, ROW())))</f>
        <v/>
      </c>
      <c r="F2310" s="1" t="inlineStr">
        <is>
          <t>Array, Hash Table, String</t>
        </is>
      </c>
      <c r="G2310" s="1" t="inlineStr">
        <is>
          <t>Easy</t>
        </is>
      </c>
      <c r="H2310" s="1" t="n">
        <v>42943</v>
      </c>
      <c r="I2310" s="1" t="n">
        <v>69540</v>
      </c>
      <c r="J2310" s="9" t="n">
        <v>0.618</v>
      </c>
      <c r="K2310" s="1" t="inlineStr">
        <is>
          <t>Yes</t>
        </is>
      </c>
      <c r="L2310" s="1" t="inlineStr">
        <is>
          <t>No</t>
        </is>
      </c>
      <c r="M2310" s="1" t="inlineStr">
        <is>
          <t>No</t>
        </is>
      </c>
      <c r="N2310" s="1" t="inlineStr">
        <is>
          <t>Algorithms</t>
        </is>
      </c>
      <c r="O23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11" ht="15.75" customHeight="1" s="12">
      <c r="A2311" s="1" t="n">
        <v>3405</v>
      </c>
      <c r="B2311" s="3">
        <f>HYPERLINK("https://leetcode.com/problems/count-the-number-of-arrays-with-k-matching-adjacent-elements/", "Count the Number of Arrays with K Matching Adjacent Elements")</f>
        <v/>
      </c>
      <c r="C2311" s="1" t="n">
        <v>427</v>
      </c>
      <c r="D2311" s="1" t="n">
        <v>68</v>
      </c>
      <c r="E2311" s="4">
        <f>IF(INDEX(C:C, ROW())+INDEX(D:D, ROW())=0, 0, INDEX(C:C, ROW())/(INDEX(C:C, ROW())+INDEX(D:D, ROW())))</f>
        <v/>
      </c>
      <c r="F2311" s="1" t="inlineStr">
        <is>
          <t>Math, Combinatorics</t>
        </is>
      </c>
      <c r="G2311" s="1" t="inlineStr">
        <is>
          <t>Hard</t>
        </is>
      </c>
      <c r="H2311" s="1" t="n">
        <v>67883</v>
      </c>
      <c r="I2311" s="1" t="n">
        <v>116353</v>
      </c>
      <c r="J2311" s="9" t="n">
        <v>0.583</v>
      </c>
      <c r="K2311" s="1" t="inlineStr">
        <is>
          <t>Yes</t>
        </is>
      </c>
      <c r="L2311" s="1" t="inlineStr">
        <is>
          <t>Yes</t>
        </is>
      </c>
      <c r="M2311" s="1" t="inlineStr">
        <is>
          <t>No</t>
        </is>
      </c>
      <c r="N2311" s="1" t="inlineStr">
        <is>
          <t>Algorithms</t>
        </is>
      </c>
      <c r="O23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12" ht="15.75" customHeight="1" s="12">
      <c r="A2312" s="1" t="n">
        <v>666</v>
      </c>
      <c r="B2312" s="3">
        <f>HYPERLINK("https://leetcode.com/problems/path-sum-iv/", "Path Sum IV")</f>
        <v/>
      </c>
      <c r="C2312" s="1" t="n">
        <v>426</v>
      </c>
      <c r="D2312" s="1" t="n">
        <v>521</v>
      </c>
      <c r="E2312" s="4">
        <f>IF(INDEX(C:C, ROW())+INDEX(D:D, ROW())=0, 0, INDEX(C:C, ROW())/(INDEX(C:C, ROW())+INDEX(D:D, ROW())))</f>
        <v/>
      </c>
      <c r="F2312" s="1" t="inlineStr">
        <is>
          <t>Array, Hash Table, Tree, Depth-First Search, Binary Tree</t>
        </is>
      </c>
      <c r="G2312" s="1" t="inlineStr">
        <is>
          <t>Medium</t>
        </is>
      </c>
      <c r="H2312" s="1" t="n">
        <v>41307</v>
      </c>
      <c r="I2312" s="1" t="n">
        <v>65772</v>
      </c>
      <c r="J2312" s="9" t="n">
        <v>0.628</v>
      </c>
      <c r="K2312" s="1" t="inlineStr">
        <is>
          <t>No</t>
        </is>
      </c>
      <c r="L2312" s="1" t="inlineStr">
        <is>
          <t>Yes</t>
        </is>
      </c>
      <c r="M2312" s="1" t="inlineStr">
        <is>
          <t>No</t>
        </is>
      </c>
      <c r="N2312" s="1" t="inlineStr">
        <is>
          <t>Algorithms</t>
        </is>
      </c>
      <c r="O23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13" ht="15.75" customHeight="1" s="12">
      <c r="A2313" s="1" t="n">
        <v>1766</v>
      </c>
      <c r="B2313" s="3">
        <f>HYPERLINK("https://leetcode.com/problems/tree-of-coprimes/", "Tree of Coprimes")</f>
        <v/>
      </c>
      <c r="C2313" s="1" t="n">
        <v>426</v>
      </c>
      <c r="D2313" s="1" t="n">
        <v>36</v>
      </c>
      <c r="E2313" s="4">
        <f>IF(INDEX(C:C, ROW())+INDEX(D:D, ROW())=0, 0, INDEX(C:C, ROW())/(INDEX(C:C, ROW())+INDEX(D:D, ROW())))</f>
        <v/>
      </c>
      <c r="F2313" s="1" t="inlineStr">
        <is>
          <t>Array, Math, Tree, Depth-First Search, Number Theory</t>
        </is>
      </c>
      <c r="G2313" s="1" t="inlineStr">
        <is>
          <t>Hard</t>
        </is>
      </c>
      <c r="H2313" s="1" t="n">
        <v>13507</v>
      </c>
      <c r="I2313" s="1" t="n">
        <v>30955</v>
      </c>
      <c r="J2313" s="9" t="n">
        <v>0.436</v>
      </c>
      <c r="K2313" s="1" t="inlineStr">
        <is>
          <t>Yes</t>
        </is>
      </c>
      <c r="L2313" s="1" t="inlineStr">
        <is>
          <t>No</t>
        </is>
      </c>
      <c r="M2313" s="1" t="inlineStr">
        <is>
          <t>No</t>
        </is>
      </c>
      <c r="N2313" s="1" t="inlineStr">
        <is>
          <t>Algorithms</t>
        </is>
      </c>
      <c r="O23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14" ht="15.75" customHeight="1" s="12">
      <c r="A2314" s="1" t="n">
        <v>2656</v>
      </c>
      <c r="B2314" s="3">
        <f>HYPERLINK("https://leetcode.com/problems/maximum-sum-with-exactly-k-elements/", "Maximum Sum With Exactly K Elements ")</f>
        <v/>
      </c>
      <c r="C2314" s="1" t="n">
        <v>426</v>
      </c>
      <c r="D2314" s="1" t="n">
        <v>52</v>
      </c>
      <c r="E2314" s="4">
        <f>IF(INDEX(C:C, ROW())+INDEX(D:D, ROW())=0, 0, INDEX(C:C, ROW())/(INDEX(C:C, ROW())+INDEX(D:D, ROW())))</f>
        <v/>
      </c>
      <c r="F2314" s="1" t="inlineStr">
        <is>
          <t>Array, Greedy</t>
        </is>
      </c>
      <c r="G2314" s="1" t="inlineStr">
        <is>
          <t>Easy</t>
        </is>
      </c>
      <c r="H2314" s="1" t="n">
        <v>101175</v>
      </c>
      <c r="I2314" s="1" t="n">
        <v>125858</v>
      </c>
      <c r="J2314" s="9" t="n">
        <v>0.804</v>
      </c>
      <c r="K2314" s="1" t="inlineStr">
        <is>
          <t>Yes</t>
        </is>
      </c>
      <c r="L2314" s="1" t="inlineStr">
        <is>
          <t>No</t>
        </is>
      </c>
      <c r="M2314" s="1" t="inlineStr">
        <is>
          <t>No</t>
        </is>
      </c>
      <c r="N2314" s="1" t="inlineStr">
        <is>
          <t>Algorithms</t>
        </is>
      </c>
      <c r="O23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15" ht="15.75" customHeight="1" s="12">
      <c r="A2315" s="1" t="n">
        <v>2465</v>
      </c>
      <c r="B2315" s="3">
        <f>HYPERLINK("https://leetcode.com/problems/number-of-distinct-averages/", "Number of Distinct Averages")</f>
        <v/>
      </c>
      <c r="C2315" s="1" t="n">
        <v>425</v>
      </c>
      <c r="D2315" s="1" t="n">
        <v>35</v>
      </c>
      <c r="E2315" s="4">
        <f>IF(INDEX(C:C, ROW())+INDEX(D:D, ROW())=0, 0, INDEX(C:C, ROW())/(INDEX(C:C, ROW())+INDEX(D:D, ROW())))</f>
        <v/>
      </c>
      <c r="F2315" s="1" t="inlineStr">
        <is>
          <t>Array, Hash Table, Two Pointers, Sorting</t>
        </is>
      </c>
      <c r="G2315" s="1" t="inlineStr">
        <is>
          <t>Easy</t>
        </is>
      </c>
      <c r="H2315" s="1" t="n">
        <v>71337</v>
      </c>
      <c r="I2315" s="1" t="n">
        <v>121250</v>
      </c>
      <c r="J2315" s="9" t="n">
        <v>0.588</v>
      </c>
      <c r="K2315" s="1" t="inlineStr">
        <is>
          <t>Yes</t>
        </is>
      </c>
      <c r="L2315" s="1" t="inlineStr">
        <is>
          <t>No</t>
        </is>
      </c>
      <c r="M2315" s="1" t="inlineStr">
        <is>
          <t>No</t>
        </is>
      </c>
      <c r="N2315" s="1" t="inlineStr">
        <is>
          <t>Algorithms</t>
        </is>
      </c>
      <c r="O23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16" ht="15.75" customHeight="1" s="12">
      <c r="A2316" s="1" t="n">
        <v>483</v>
      </c>
      <c r="B2316" s="3">
        <f>HYPERLINK("https://leetcode.com/problems/smallest-good-base/", "Smallest Good Base")</f>
        <v/>
      </c>
      <c r="C2316" s="1" t="n">
        <v>423</v>
      </c>
      <c r="D2316" s="1" t="n">
        <v>539</v>
      </c>
      <c r="E2316" s="4">
        <f>IF(INDEX(C:C, ROW())+INDEX(D:D, ROW())=0, 0, INDEX(C:C, ROW())/(INDEX(C:C, ROW())+INDEX(D:D, ROW())))</f>
        <v/>
      </c>
      <c r="F2316" s="1" t="inlineStr">
        <is>
          <t>Math, Binary Search</t>
        </is>
      </c>
      <c r="G2316" s="1" t="inlineStr">
        <is>
          <t>Hard</t>
        </is>
      </c>
      <c r="H2316" s="1" t="n">
        <v>29957</v>
      </c>
      <c r="I2316" s="1" t="n">
        <v>66240</v>
      </c>
      <c r="J2316" s="9" t="n">
        <v>0.452</v>
      </c>
      <c r="K2316" s="1" t="inlineStr">
        <is>
          <t>Yes</t>
        </is>
      </c>
      <c r="L2316" s="1" t="inlineStr">
        <is>
          <t>No</t>
        </is>
      </c>
      <c r="M2316" s="1" t="inlineStr">
        <is>
          <t>No</t>
        </is>
      </c>
      <c r="N2316" s="1" t="inlineStr">
        <is>
          <t>Algorithms</t>
        </is>
      </c>
      <c r="O23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17" ht="15.75" customHeight="1" s="12">
      <c r="A2317" s="1" t="n">
        <v>2578</v>
      </c>
      <c r="B2317" s="3">
        <f>HYPERLINK("https://leetcode.com/problems/split-with-minimum-sum/", "Split With Minimum Sum")</f>
        <v/>
      </c>
      <c r="C2317" s="1" t="n">
        <v>423</v>
      </c>
      <c r="D2317" s="1" t="n">
        <v>35</v>
      </c>
      <c r="E2317" s="4">
        <f>IF(INDEX(C:C, ROW())+INDEX(D:D, ROW())=0, 0, INDEX(C:C, ROW())/(INDEX(C:C, ROW())+INDEX(D:D, ROW())))</f>
        <v/>
      </c>
      <c r="F2317" s="1" t="inlineStr">
        <is>
          <t>Math, Greedy, Sorting</t>
        </is>
      </c>
      <c r="G2317" s="1" t="inlineStr">
        <is>
          <t>Easy</t>
        </is>
      </c>
      <c r="H2317" s="1" t="n">
        <v>50022</v>
      </c>
      <c r="I2317" s="1" t="n">
        <v>68430</v>
      </c>
      <c r="J2317" s="9" t="n">
        <v>0.731</v>
      </c>
      <c r="K2317" s="1" t="inlineStr">
        <is>
          <t>Yes</t>
        </is>
      </c>
      <c r="L2317" s="1" t="inlineStr">
        <is>
          <t>No</t>
        </is>
      </c>
      <c r="M2317" s="1" t="inlineStr">
        <is>
          <t>No</t>
        </is>
      </c>
      <c r="N2317" s="1" t="inlineStr">
        <is>
          <t>Algorithms</t>
        </is>
      </c>
      <c r="O23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18" ht="15.75" customHeight="1" s="12">
      <c r="A2318" s="1" t="n">
        <v>2952</v>
      </c>
      <c r="B2318" s="3">
        <f>HYPERLINK("https://leetcode.com/problems/minimum-number-of-coins-to-be-added/", "Minimum Number of Coins to be Added")</f>
        <v/>
      </c>
      <c r="C2318" s="1" t="n">
        <v>423</v>
      </c>
      <c r="D2318" s="1" t="n">
        <v>65</v>
      </c>
      <c r="E2318" s="4">
        <f>IF(INDEX(C:C, ROW())+INDEX(D:D, ROW())=0, 0, INDEX(C:C, ROW())/(INDEX(C:C, ROW())+INDEX(D:D, ROW())))</f>
        <v/>
      </c>
      <c r="F2318" s="1" t="inlineStr">
        <is>
          <t>Array, Greedy, Sorting</t>
        </is>
      </c>
      <c r="G2318" s="1" t="inlineStr">
        <is>
          <t>Medium</t>
        </is>
      </c>
      <c r="H2318" s="1" t="n">
        <v>26233</v>
      </c>
      <c r="I2318" s="1" t="n">
        <v>45414</v>
      </c>
      <c r="J2318" s="9" t="n">
        <v>0.578</v>
      </c>
      <c r="K2318" s="1" t="inlineStr">
        <is>
          <t>Yes</t>
        </is>
      </c>
      <c r="L2318" s="1" t="inlineStr">
        <is>
          <t>No</t>
        </is>
      </c>
      <c r="M2318" s="1" t="inlineStr">
        <is>
          <t>No</t>
        </is>
      </c>
      <c r="N2318" s="1" t="inlineStr">
        <is>
          <t>Algorithms</t>
        </is>
      </c>
      <c r="O23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19" ht="15.75" customHeight="1" s="12">
      <c r="A2319" s="1" t="n">
        <v>534</v>
      </c>
      <c r="B2319" s="3">
        <f>HYPERLINK("https://leetcode.com/problems/game-play-analysis-iii/", "Game Play Analysis III")</f>
        <v/>
      </c>
      <c r="C2319" s="1" t="n">
        <v>422</v>
      </c>
      <c r="D2319" s="1" t="n">
        <v>18</v>
      </c>
      <c r="E2319" s="4">
        <f>IF(INDEX(C:C, ROW())+INDEX(D:D, ROW())=0, 0, INDEX(C:C, ROW())/(INDEX(C:C, ROW())+INDEX(D:D, ROW())))</f>
        <v/>
      </c>
      <c r="F2319" s="1" t="inlineStr">
        <is>
          <t>Database</t>
        </is>
      </c>
      <c r="G2319" s="1" t="inlineStr">
        <is>
          <t>Medium</t>
        </is>
      </c>
      <c r="H2319" s="1" t="n">
        <v>94069</v>
      </c>
      <c r="I2319" s="1" t="n">
        <v>115635</v>
      </c>
      <c r="J2319" s="9" t="n">
        <v>0.8129999999999999</v>
      </c>
      <c r="K2319" s="1" t="inlineStr">
        <is>
          <t>No</t>
        </is>
      </c>
      <c r="L2319" s="1" t="inlineStr">
        <is>
          <t>Yes</t>
        </is>
      </c>
      <c r="M2319" s="1" t="inlineStr">
        <is>
          <t>No</t>
        </is>
      </c>
      <c r="N2319" s="1" t="inlineStr">
        <is>
          <t>Database</t>
        </is>
      </c>
      <c r="O23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20" ht="15.75" customHeight="1" s="12">
      <c r="A2320" s="1" t="n">
        <v>1889</v>
      </c>
      <c r="B2320" s="3">
        <f>HYPERLINK("https://leetcode.com/problems/minimum-space-wasted-from-packaging/", "Minimum Space Wasted From Packaging")</f>
        <v/>
      </c>
      <c r="C2320" s="1" t="n">
        <v>421</v>
      </c>
      <c r="D2320" s="1" t="n">
        <v>39</v>
      </c>
      <c r="E2320" s="4">
        <f>IF(INDEX(C:C, ROW())+INDEX(D:D, ROW())=0, 0, INDEX(C:C, ROW())/(INDEX(C:C, ROW())+INDEX(D:D, ROW())))</f>
        <v/>
      </c>
      <c r="F2320" s="1" t="inlineStr">
        <is>
          <t>Array, Binary Search, Sorting, Prefix Sum</t>
        </is>
      </c>
      <c r="G2320" s="1" t="inlineStr">
        <is>
          <t>Hard</t>
        </is>
      </c>
      <c r="H2320" s="1" t="n">
        <v>17133</v>
      </c>
      <c r="I2320" s="1" t="n">
        <v>51446</v>
      </c>
      <c r="J2320" s="9" t="n">
        <v>0.333</v>
      </c>
      <c r="K2320" s="1" t="inlineStr">
        <is>
          <t>Yes</t>
        </is>
      </c>
      <c r="L2320" s="1" t="inlineStr">
        <is>
          <t>No</t>
        </is>
      </c>
      <c r="M2320" s="1" t="inlineStr">
        <is>
          <t>No</t>
        </is>
      </c>
      <c r="N2320" s="1" t="inlineStr">
        <is>
          <t>Algorithms</t>
        </is>
      </c>
      <c r="O23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21" ht="15.75" customHeight="1" s="12">
      <c r="A2321" s="1" t="n">
        <v>573</v>
      </c>
      <c r="B2321" s="3">
        <f>HYPERLINK("https://leetcode.com/problems/squirrel-simulation/", "Squirrel Simulation")</f>
        <v/>
      </c>
      <c r="C2321" s="1" t="n">
        <v>420</v>
      </c>
      <c r="D2321" s="1" t="n">
        <v>40</v>
      </c>
      <c r="E2321" s="4">
        <f>IF(INDEX(C:C, ROW())+INDEX(D:D, ROW())=0, 0, INDEX(C:C, ROW())/(INDEX(C:C, ROW())+INDEX(D:D, ROW())))</f>
        <v/>
      </c>
      <c r="F2321" s="1" t="inlineStr">
        <is>
          <t>Array, Math</t>
        </is>
      </c>
      <c r="G2321" s="1" t="inlineStr">
        <is>
          <t>Medium</t>
        </is>
      </c>
      <c r="H2321" s="1" t="n">
        <v>23994</v>
      </c>
      <c r="I2321" s="1" t="n">
        <v>41843</v>
      </c>
      <c r="J2321" s="9" t="n">
        <v>0.573</v>
      </c>
      <c r="K2321" s="1" t="inlineStr">
        <is>
          <t>No</t>
        </is>
      </c>
      <c r="L2321" s="1" t="inlineStr">
        <is>
          <t>Yes</t>
        </is>
      </c>
      <c r="M2321" s="1" t="inlineStr">
        <is>
          <t>Yes</t>
        </is>
      </c>
      <c r="N2321" s="1" t="inlineStr">
        <is>
          <t>Algorithms</t>
        </is>
      </c>
      <c r="O23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22" ht="15.75" customHeight="1" s="12">
      <c r="A2322" s="1" t="n">
        <v>1787</v>
      </c>
      <c r="B2322" s="3">
        <f>HYPERLINK("https://leetcode.com/problems/make-the-xor-of-all-segments-equal-to-zero/", "Make the XOR of All Segments Equal to Zero")</f>
        <v/>
      </c>
      <c r="C2322" s="1" t="n">
        <v>420</v>
      </c>
      <c r="D2322" s="1" t="n">
        <v>27</v>
      </c>
      <c r="E2322" s="4">
        <f>IF(INDEX(C:C, ROW())+INDEX(D:D, ROW())=0, 0, INDEX(C:C, ROW())/(INDEX(C:C, ROW())+INDEX(D:D, ROW())))</f>
        <v/>
      </c>
      <c r="F2322" s="1" t="inlineStr">
        <is>
          <t>Array, Dynamic Programming, Bit Manipulation</t>
        </is>
      </c>
      <c r="G2322" s="1" t="inlineStr">
        <is>
          <t>Hard</t>
        </is>
      </c>
      <c r="H2322" s="1" t="n">
        <v>6757</v>
      </c>
      <c r="I2322" s="1" t="n">
        <v>16562</v>
      </c>
      <c r="J2322" s="9" t="n">
        <v>0.408</v>
      </c>
      <c r="K2322" s="1" t="inlineStr">
        <is>
          <t>Yes</t>
        </is>
      </c>
      <c r="L2322" s="1" t="inlineStr">
        <is>
          <t>No</t>
        </is>
      </c>
      <c r="M2322" s="1" t="inlineStr">
        <is>
          <t>No</t>
        </is>
      </c>
      <c r="N2322" s="1" t="inlineStr">
        <is>
          <t>Algorithms</t>
        </is>
      </c>
      <c r="O23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23" ht="15.75" customHeight="1" s="12">
      <c r="A2323" s="1" t="n">
        <v>2680</v>
      </c>
      <c r="B2323" s="3">
        <f>HYPERLINK("https://leetcode.com/problems/maximum-or/", "Maximum OR")</f>
        <v/>
      </c>
      <c r="C2323" s="1" t="n">
        <v>420</v>
      </c>
      <c r="D2323" s="1" t="n">
        <v>49</v>
      </c>
      <c r="E2323" s="4">
        <f>IF(INDEX(C:C, ROW())+INDEX(D:D, ROW())=0, 0, INDEX(C:C, ROW())/(INDEX(C:C, ROW())+INDEX(D:D, ROW())))</f>
        <v/>
      </c>
      <c r="F2323" s="1" t="inlineStr">
        <is>
          <t>Array, Greedy, Bit Manipulation, Prefix Sum</t>
        </is>
      </c>
      <c r="G2323" s="1" t="inlineStr">
        <is>
          <t>Medium</t>
        </is>
      </c>
      <c r="H2323" s="1" t="n">
        <v>18381</v>
      </c>
      <c r="I2323" s="1" t="n">
        <v>43264</v>
      </c>
      <c r="J2323" s="9" t="n">
        <v>0.425</v>
      </c>
      <c r="K2323" s="1" t="inlineStr">
        <is>
          <t>Yes</t>
        </is>
      </c>
      <c r="L2323" s="1" t="inlineStr">
        <is>
          <t>No</t>
        </is>
      </c>
      <c r="M2323" s="1" t="inlineStr">
        <is>
          <t>No</t>
        </is>
      </c>
      <c r="N2323" s="1" t="inlineStr">
        <is>
          <t>Algorithms</t>
        </is>
      </c>
      <c r="O23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24" ht="15.75" customHeight="1" s="12">
      <c r="A2324" s="1" t="n">
        <v>2790</v>
      </c>
      <c r="B2324" s="3">
        <f>HYPERLINK("https://leetcode.com/problems/maximum-number-of-groups-with-increasing-length/", "Maximum Number of Groups With Increasing Length")</f>
        <v/>
      </c>
      <c r="C2324" s="1" t="n">
        <v>420</v>
      </c>
      <c r="D2324" s="1" t="n">
        <v>44</v>
      </c>
      <c r="E2324" s="4">
        <f>IF(INDEX(C:C, ROW())+INDEX(D:D, ROW())=0, 0, INDEX(C:C, ROW())/(INDEX(C:C, ROW())+INDEX(D:D, ROW())))</f>
        <v/>
      </c>
      <c r="F2324" s="1" t="inlineStr">
        <is>
          <t>Array, Math, Binary Search, Greedy, Sorting</t>
        </is>
      </c>
      <c r="G2324" s="1" t="inlineStr">
        <is>
          <t>Hard</t>
        </is>
      </c>
      <c r="H2324" s="1" t="n">
        <v>13515</v>
      </c>
      <c r="I2324" s="1" t="n">
        <v>58980</v>
      </c>
      <c r="J2324" s="9" t="n">
        <v>0.229</v>
      </c>
      <c r="K2324" s="1" t="inlineStr">
        <is>
          <t>Yes</t>
        </is>
      </c>
      <c r="L2324" s="1" t="inlineStr">
        <is>
          <t>No</t>
        </is>
      </c>
      <c r="M2324" s="1" t="inlineStr">
        <is>
          <t>No</t>
        </is>
      </c>
      <c r="N2324" s="1" t="inlineStr">
        <is>
          <t>Algorithms</t>
        </is>
      </c>
      <c r="O23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25" ht="15.75" customHeight="1" s="12">
      <c r="A2325" s="1" t="n">
        <v>195</v>
      </c>
      <c r="B2325" s="3">
        <f>HYPERLINK("https://leetcode.com/problems/tenth-line/", "Tenth Line")</f>
        <v/>
      </c>
      <c r="C2325" s="1" t="n">
        <v>419</v>
      </c>
      <c r="D2325" s="1" t="n">
        <v>485</v>
      </c>
      <c r="E2325" s="4">
        <f>IF(INDEX(C:C, ROW())+INDEX(D:D, ROW())=0, 0, INDEX(C:C, ROW())/(INDEX(C:C, ROW())+INDEX(D:D, ROW())))</f>
        <v/>
      </c>
      <c r="F2325" s="1" t="inlineStr">
        <is>
          <t>Shell</t>
        </is>
      </c>
      <c r="G2325" s="1" t="inlineStr">
        <is>
          <t>Easy</t>
        </is>
      </c>
      <c r="H2325" s="1" t="n">
        <v>150726</v>
      </c>
      <c r="I2325" s="1" t="n">
        <v>420375</v>
      </c>
      <c r="J2325" s="9" t="n">
        <v>0.359</v>
      </c>
      <c r="K2325" s="1" t="inlineStr">
        <is>
          <t>Yes</t>
        </is>
      </c>
      <c r="L2325" s="1" t="inlineStr">
        <is>
          <t>No</t>
        </is>
      </c>
      <c r="M2325" s="1" t="inlineStr">
        <is>
          <t>No</t>
        </is>
      </c>
      <c r="N2325" s="1" t="inlineStr">
        <is>
          <t>Shell</t>
        </is>
      </c>
      <c r="O23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26" ht="15.75" customHeight="1" s="12">
      <c r="A2326" s="1" t="n">
        <v>970</v>
      </c>
      <c r="B2326" s="3">
        <f>HYPERLINK("https://leetcode.com/problems/powerful-integers/", "Powerful Integers")</f>
        <v/>
      </c>
      <c r="C2326" s="1" t="n">
        <v>419</v>
      </c>
      <c r="D2326" s="1" t="n">
        <v>85</v>
      </c>
      <c r="E2326" s="4">
        <f>IF(INDEX(C:C, ROW())+INDEX(D:D, ROW())=0, 0, INDEX(C:C, ROW())/(INDEX(C:C, ROW())+INDEX(D:D, ROW())))</f>
        <v/>
      </c>
      <c r="F2326" s="1" t="inlineStr">
        <is>
          <t>Hash Table, Math, Enumeration</t>
        </is>
      </c>
      <c r="G2326" s="1" t="inlineStr">
        <is>
          <t>Medium</t>
        </is>
      </c>
      <c r="H2326" s="1" t="n">
        <v>62982</v>
      </c>
      <c r="I2326" s="1" t="n">
        <v>141671</v>
      </c>
      <c r="J2326" s="9" t="n">
        <v>0.445</v>
      </c>
      <c r="K2326" s="1" t="inlineStr">
        <is>
          <t>Yes</t>
        </is>
      </c>
      <c r="L2326" s="1" t="inlineStr">
        <is>
          <t>Yes</t>
        </is>
      </c>
      <c r="M2326" s="1" t="inlineStr">
        <is>
          <t>No</t>
        </is>
      </c>
      <c r="N2326" s="1" t="inlineStr">
        <is>
          <t>Algorithms</t>
        </is>
      </c>
      <c r="O23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27" ht="15.75" customHeight="1" s="12">
      <c r="A2327" s="1" t="n">
        <v>1454</v>
      </c>
      <c r="B2327" s="3">
        <f>HYPERLINK("https://leetcode.com/problems/active-users/", "Active Users")</f>
        <v/>
      </c>
      <c r="C2327" s="1" t="n">
        <v>419</v>
      </c>
      <c r="D2327" s="1" t="n">
        <v>40</v>
      </c>
      <c r="E2327" s="4">
        <f>IF(INDEX(C:C, ROW())+INDEX(D:D, ROW())=0, 0, INDEX(C:C, ROW())/(INDEX(C:C, ROW())+INDEX(D:D, ROW())))</f>
        <v/>
      </c>
      <c r="F2327" s="1" t="inlineStr">
        <is>
          <t>Database</t>
        </is>
      </c>
      <c r="G2327" s="1" t="inlineStr">
        <is>
          <t>Medium</t>
        </is>
      </c>
      <c r="H2327" s="1" t="n">
        <v>46349</v>
      </c>
      <c r="I2327" s="1" t="n">
        <v>126627</v>
      </c>
      <c r="J2327" s="9" t="n">
        <v>0.366</v>
      </c>
      <c r="K2327" s="1" t="inlineStr">
        <is>
          <t>No</t>
        </is>
      </c>
      <c r="L2327" s="1" t="inlineStr">
        <is>
          <t>No</t>
        </is>
      </c>
      <c r="M2327" s="1" t="inlineStr">
        <is>
          <t>No</t>
        </is>
      </c>
      <c r="N2327" s="1" t="inlineStr">
        <is>
          <t>Database</t>
        </is>
      </c>
      <c r="O23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28" ht="15.75" customHeight="1" s="12">
      <c r="A2328" s="1" t="n">
        <v>1797</v>
      </c>
      <c r="B2328" s="3">
        <f>HYPERLINK("https://leetcode.com/problems/design-authentication-manager/", "Design Authentication Manager")</f>
        <v/>
      </c>
      <c r="C2328" s="1" t="n">
        <v>419</v>
      </c>
      <c r="D2328" s="1" t="n">
        <v>56</v>
      </c>
      <c r="E2328" s="4">
        <f>IF(INDEX(C:C, ROW())+INDEX(D:D, ROW())=0, 0, INDEX(C:C, ROW())/(INDEX(C:C, ROW())+INDEX(D:D, ROW())))</f>
        <v/>
      </c>
      <c r="F2328" s="1" t="inlineStr">
        <is>
          <t>Hash Table, Linked List, Design, Doubly-Linked List</t>
        </is>
      </c>
      <c r="G2328" s="1" t="inlineStr">
        <is>
          <t>Medium</t>
        </is>
      </c>
      <c r="H2328" s="1" t="n">
        <v>51403</v>
      </c>
      <c r="I2328" s="1" t="n">
        <v>88205</v>
      </c>
      <c r="J2328" s="9" t="n">
        <v>0.583</v>
      </c>
      <c r="K2328" s="1" t="inlineStr">
        <is>
          <t>Yes</t>
        </is>
      </c>
      <c r="L2328" s="1" t="inlineStr">
        <is>
          <t>No</t>
        </is>
      </c>
      <c r="M2328" s="1" t="inlineStr">
        <is>
          <t>No</t>
        </is>
      </c>
      <c r="N2328" s="1" t="inlineStr">
        <is>
          <t>Algorithms</t>
        </is>
      </c>
      <c r="O23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29" ht="15.75" customHeight="1" s="12">
      <c r="A2329" s="1" t="n">
        <v>2625</v>
      </c>
      <c r="B2329" s="3">
        <f>HYPERLINK("https://leetcode.com/problems/flatten-deeply-nested-array/", "Flatten Deeply Nested Array")</f>
        <v/>
      </c>
      <c r="C2329" s="1" t="n">
        <v>419</v>
      </c>
      <c r="D2329" s="1" t="n">
        <v>30</v>
      </c>
      <c r="E2329" s="4">
        <f>IF(INDEX(C:C, ROW())+INDEX(D:D, ROW())=0, 0, INDEX(C:C, ROW())/(INDEX(C:C, ROW())+INDEX(D:D, ROW())))</f>
        <v/>
      </c>
      <c r="F2329" s="2" t="n"/>
      <c r="G2329" s="1" t="inlineStr">
        <is>
          <t>Medium</t>
        </is>
      </c>
      <c r="H2329" s="1" t="n">
        <v>76488</v>
      </c>
      <c r="I2329" s="1" t="n">
        <v>117176</v>
      </c>
      <c r="J2329" s="9" t="n">
        <v>0.653</v>
      </c>
      <c r="K2329" s="1" t="inlineStr">
        <is>
          <t>Yes</t>
        </is>
      </c>
      <c r="L2329" s="1" t="inlineStr">
        <is>
          <t>Yes</t>
        </is>
      </c>
      <c r="M2329" s="1" t="inlineStr">
        <is>
          <t>No</t>
        </is>
      </c>
      <c r="N2329" s="1" t="inlineStr">
        <is>
          <t>JavaScript</t>
        </is>
      </c>
      <c r="O23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30" ht="15.75" customHeight="1" s="12">
      <c r="A2330" s="1" t="n">
        <v>2856</v>
      </c>
      <c r="B2330" s="3">
        <f>HYPERLINK("https://leetcode.com/problems/minimum-array-length-after-pair-removals/", "Minimum Array Length After Pair Removals")</f>
        <v/>
      </c>
      <c r="C2330" s="1" t="n">
        <v>419</v>
      </c>
      <c r="D2330" s="1" t="n">
        <v>107</v>
      </c>
      <c r="E2330" s="4">
        <f>IF(INDEX(C:C, ROW())+INDEX(D:D, ROW())=0, 0, INDEX(C:C, ROW())/(INDEX(C:C, ROW())+INDEX(D:D, ROW())))</f>
        <v/>
      </c>
      <c r="F2330" s="1" t="inlineStr">
        <is>
          <t>Array, Hash Table, Two Pointers, Binary Search, Greedy, Counting</t>
        </is>
      </c>
      <c r="G2330" s="1" t="inlineStr">
        <is>
          <t>Medium</t>
        </is>
      </c>
      <c r="H2330" s="1" t="n">
        <v>31369</v>
      </c>
      <c r="I2330" s="1" t="n">
        <v>117200</v>
      </c>
      <c r="J2330" s="9" t="n">
        <v>0.268</v>
      </c>
      <c r="K2330" s="1" t="inlineStr">
        <is>
          <t>Yes</t>
        </is>
      </c>
      <c r="L2330" s="1" t="inlineStr">
        <is>
          <t>No</t>
        </is>
      </c>
      <c r="M2330" s="1" t="inlineStr">
        <is>
          <t>No</t>
        </is>
      </c>
      <c r="N2330" s="1" t="inlineStr">
        <is>
          <t>Algorithms</t>
        </is>
      </c>
      <c r="O23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31" ht="15.75" customHeight="1" s="12">
      <c r="A2331" s="1" t="n">
        <v>548</v>
      </c>
      <c r="B2331" s="3">
        <f>HYPERLINK("https://leetcode.com/problems/split-array-with-equal-sum/", "Split Array with Equal Sum")</f>
        <v/>
      </c>
      <c r="C2331" s="1" t="n">
        <v>418</v>
      </c>
      <c r="D2331" s="1" t="n">
        <v>131</v>
      </c>
      <c r="E2331" s="4">
        <f>IF(INDEX(C:C, ROW())+INDEX(D:D, ROW())=0, 0, INDEX(C:C, ROW())/(INDEX(C:C, ROW())+INDEX(D:D, ROW())))</f>
        <v/>
      </c>
      <c r="F2331" s="1" t="inlineStr">
        <is>
          <t>Array, Hash Table, Prefix Sum</t>
        </is>
      </c>
      <c r="G2331" s="1" t="inlineStr">
        <is>
          <t>Hard</t>
        </is>
      </c>
      <c r="H2331" s="1" t="n">
        <v>24894</v>
      </c>
      <c r="I2331" s="1" t="n">
        <v>49708</v>
      </c>
      <c r="J2331" s="9" t="n">
        <v>0.501</v>
      </c>
      <c r="K2331" s="1" t="inlineStr">
        <is>
          <t>No</t>
        </is>
      </c>
      <c r="L2331" s="1" t="inlineStr">
        <is>
          <t>Yes</t>
        </is>
      </c>
      <c r="M2331" s="1" t="inlineStr">
        <is>
          <t>No</t>
        </is>
      </c>
      <c r="N2331" s="1" t="inlineStr">
        <is>
          <t>Algorithms</t>
        </is>
      </c>
      <c r="O23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32" ht="15.75" customHeight="1" s="12">
      <c r="A2332" s="1" t="n">
        <v>2132</v>
      </c>
      <c r="B2332" s="3">
        <f>HYPERLINK("https://leetcode.com/problems/stamping-the-grid/", "Stamping the Grid")</f>
        <v/>
      </c>
      <c r="C2332" s="1" t="n">
        <v>417</v>
      </c>
      <c r="D2332" s="1" t="n">
        <v>47</v>
      </c>
      <c r="E2332" s="4">
        <f>IF(INDEX(C:C, ROW())+INDEX(D:D, ROW())=0, 0, INDEX(C:C, ROW())/(INDEX(C:C, ROW())+INDEX(D:D, ROW())))</f>
        <v/>
      </c>
      <c r="F2332" s="1" t="inlineStr">
        <is>
          <t>Array, Greedy, Matrix, Prefix Sum</t>
        </is>
      </c>
      <c r="G2332" s="1" t="inlineStr">
        <is>
          <t>Hard</t>
        </is>
      </c>
      <c r="H2332" s="1" t="n">
        <v>9754</v>
      </c>
      <c r="I2332" s="1" t="n">
        <v>28092</v>
      </c>
      <c r="J2332" s="9" t="n">
        <v>0.347</v>
      </c>
      <c r="K2332" s="1" t="inlineStr">
        <is>
          <t>Yes</t>
        </is>
      </c>
      <c r="L2332" s="1" t="inlineStr">
        <is>
          <t>No</t>
        </is>
      </c>
      <c r="M2332" s="1" t="inlineStr">
        <is>
          <t>No</t>
        </is>
      </c>
      <c r="N2332" s="1" t="inlineStr">
        <is>
          <t>Algorithms</t>
        </is>
      </c>
      <c r="O23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33" ht="15.75" customHeight="1" s="12">
      <c r="A2333" s="1" t="n">
        <v>1540</v>
      </c>
      <c r="B2333" s="3">
        <f>HYPERLINK("https://leetcode.com/problems/can-convert-string-in-k-moves/", "Can Convert String in K Moves")</f>
        <v/>
      </c>
      <c r="C2333" s="1" t="n">
        <v>416</v>
      </c>
      <c r="D2333" s="1" t="n">
        <v>332</v>
      </c>
      <c r="E2333" s="4">
        <f>IF(INDEX(C:C, ROW())+INDEX(D:D, ROW())=0, 0, INDEX(C:C, ROW())/(INDEX(C:C, ROW())+INDEX(D:D, ROW())))</f>
        <v/>
      </c>
      <c r="F2333" s="1" t="inlineStr">
        <is>
          <t>Hash Table, String</t>
        </is>
      </c>
      <c r="G2333" s="1" t="inlineStr">
        <is>
          <t>Medium</t>
        </is>
      </c>
      <c r="H2333" s="1" t="n">
        <v>24491</v>
      </c>
      <c r="I2333" s="1" t="n">
        <v>66619</v>
      </c>
      <c r="J2333" s="9" t="n">
        <v>0.368</v>
      </c>
      <c r="K2333" s="1" t="inlineStr">
        <is>
          <t>Yes</t>
        </is>
      </c>
      <c r="L2333" s="1" t="inlineStr">
        <is>
          <t>No</t>
        </is>
      </c>
      <c r="M2333" s="1" t="inlineStr">
        <is>
          <t>No</t>
        </is>
      </c>
      <c r="N2333" s="1" t="inlineStr">
        <is>
          <t>Algorithms</t>
        </is>
      </c>
      <c r="O23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34" ht="15.75" customHeight="1" s="12">
      <c r="A2334" s="1" t="n">
        <v>335</v>
      </c>
      <c r="B2334" s="3">
        <f>HYPERLINK("https://leetcode.com/problems/self-crossing/", "Self Crossing")</f>
        <v/>
      </c>
      <c r="C2334" s="1" t="n">
        <v>415</v>
      </c>
      <c r="D2334" s="1" t="n">
        <v>521</v>
      </c>
      <c r="E2334" s="4">
        <f>IF(INDEX(C:C, ROW())+INDEX(D:D, ROW())=0, 0, INDEX(C:C, ROW())/(INDEX(C:C, ROW())+INDEX(D:D, ROW())))</f>
        <v/>
      </c>
      <c r="F2334" s="1" t="inlineStr">
        <is>
          <t>Array, Math, Geometry</t>
        </is>
      </c>
      <c r="G2334" s="1" t="inlineStr">
        <is>
          <t>Hard</t>
        </is>
      </c>
      <c r="H2334" s="1" t="n">
        <v>45660</v>
      </c>
      <c r="I2334" s="1" t="n">
        <v>134576</v>
      </c>
      <c r="J2334" s="9" t="n">
        <v>0.339</v>
      </c>
      <c r="K2334" s="1" t="inlineStr">
        <is>
          <t>Yes</t>
        </is>
      </c>
      <c r="L2334" s="1" t="inlineStr">
        <is>
          <t>No</t>
        </is>
      </c>
      <c r="M2334" s="1" t="inlineStr">
        <is>
          <t>No</t>
        </is>
      </c>
      <c r="N2334" s="1" t="inlineStr">
        <is>
          <t>Algorithms</t>
        </is>
      </c>
      <c r="O23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35" ht="15.75" customHeight="1" s="12">
      <c r="A2335" s="1" t="n">
        <v>553</v>
      </c>
      <c r="B2335" s="3">
        <f>HYPERLINK("https://leetcode.com/problems/optimal-division/", "Optimal Division")</f>
        <v/>
      </c>
      <c r="C2335" s="1" t="n">
        <v>415</v>
      </c>
      <c r="D2335" s="1" t="n">
        <v>1634</v>
      </c>
      <c r="E2335" s="4">
        <f>IF(INDEX(C:C, ROW())+INDEX(D:D, ROW())=0, 0, INDEX(C:C, ROW())/(INDEX(C:C, ROW())+INDEX(D:D, ROW())))</f>
        <v/>
      </c>
      <c r="F2335" s="1" t="inlineStr">
        <is>
          <t>Array, Math, Dynamic Programming</t>
        </is>
      </c>
      <c r="G2335" s="1" t="inlineStr">
        <is>
          <t>Medium</t>
        </is>
      </c>
      <c r="H2335" s="1" t="n">
        <v>50159</v>
      </c>
      <c r="I2335" s="1" t="n">
        <v>80053</v>
      </c>
      <c r="J2335" s="9" t="n">
        <v>0.627</v>
      </c>
      <c r="K2335" s="1" t="inlineStr">
        <is>
          <t>Yes</t>
        </is>
      </c>
      <c r="L2335" s="1" t="inlineStr">
        <is>
          <t>Yes</t>
        </is>
      </c>
      <c r="M2335" s="1" t="inlineStr">
        <is>
          <t>No</t>
        </is>
      </c>
      <c r="N2335" s="1" t="inlineStr">
        <is>
          <t>Algorithms</t>
        </is>
      </c>
      <c r="O23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36" ht="15.75" customHeight="1" s="12">
      <c r="A2336" s="1" t="n">
        <v>2412</v>
      </c>
      <c r="B2336" s="3">
        <f>HYPERLINK("https://leetcode.com/problems/minimum-money-required-before-transactions/", "Minimum Money Required Before Transactions")</f>
        <v/>
      </c>
      <c r="C2336" s="1" t="n">
        <v>415</v>
      </c>
      <c r="D2336" s="1" t="n">
        <v>37</v>
      </c>
      <c r="E2336" s="4">
        <f>IF(INDEX(C:C, ROW())+INDEX(D:D, ROW())=0, 0, INDEX(C:C, ROW())/(INDEX(C:C, ROW())+INDEX(D:D, ROW())))</f>
        <v/>
      </c>
      <c r="F2336" s="1" t="inlineStr">
        <is>
          <t>Array, Greedy, Sorting</t>
        </is>
      </c>
      <c r="G2336" s="1" t="inlineStr">
        <is>
          <t>Hard</t>
        </is>
      </c>
      <c r="H2336" s="1" t="n">
        <v>13284</v>
      </c>
      <c r="I2336" s="1" t="n">
        <v>31635</v>
      </c>
      <c r="J2336" s="9" t="n">
        <v>0.42</v>
      </c>
      <c r="K2336" s="1" t="inlineStr">
        <is>
          <t>Yes</t>
        </is>
      </c>
      <c r="L2336" s="1" t="inlineStr">
        <is>
          <t>No</t>
        </is>
      </c>
      <c r="M2336" s="1" t="inlineStr">
        <is>
          <t>No</t>
        </is>
      </c>
      <c r="N2336" s="1" t="inlineStr">
        <is>
          <t>Algorithms</t>
        </is>
      </c>
      <c r="O23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37" ht="15.75" customHeight="1" s="12">
      <c r="A2337" s="1" t="n">
        <v>1868</v>
      </c>
      <c r="B2337" s="3">
        <f>HYPERLINK("https://leetcode.com/problems/product-of-two-run-length-encoded-arrays/", "Product of Two Run-Length Encoded Arrays")</f>
        <v/>
      </c>
      <c r="C2337" s="1" t="n">
        <v>414</v>
      </c>
      <c r="D2337" s="1" t="n">
        <v>83</v>
      </c>
      <c r="E2337" s="4">
        <f>IF(INDEX(C:C, ROW())+INDEX(D:D, ROW())=0, 0, INDEX(C:C, ROW())/(INDEX(C:C, ROW())+INDEX(D:D, ROW())))</f>
        <v/>
      </c>
      <c r="F2337" s="1" t="inlineStr">
        <is>
          <t>Array, Two Pointers</t>
        </is>
      </c>
      <c r="G2337" s="1" t="inlineStr">
        <is>
          <t>Medium</t>
        </is>
      </c>
      <c r="H2337" s="1" t="n">
        <v>63026</v>
      </c>
      <c r="I2337" s="1" t="n">
        <v>105834</v>
      </c>
      <c r="J2337" s="9" t="n">
        <v>0.596</v>
      </c>
      <c r="K2337" s="1" t="inlineStr">
        <is>
          <t>No</t>
        </is>
      </c>
      <c r="L2337" s="1" t="inlineStr">
        <is>
          <t>No</t>
        </is>
      </c>
      <c r="M2337" s="1" t="inlineStr">
        <is>
          <t>No</t>
        </is>
      </c>
      <c r="N2337" s="1" t="inlineStr">
        <is>
          <t>Algorithms</t>
        </is>
      </c>
      <c r="O23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38" ht="15.75" customHeight="1" s="12">
      <c r="A2338" s="1" t="n">
        <v>2617</v>
      </c>
      <c r="B2338" s="3">
        <f>HYPERLINK("https://leetcode.com/problems/minimum-number-of-visited-cells-in-a-grid/", "Minimum Number of Visited Cells in a Grid")</f>
        <v/>
      </c>
      <c r="C2338" s="1" t="n">
        <v>414</v>
      </c>
      <c r="D2338" s="1" t="n">
        <v>39</v>
      </c>
      <c r="E2338" s="4">
        <f>IF(INDEX(C:C, ROW())+INDEX(D:D, ROW())=0, 0, INDEX(C:C, ROW())/(INDEX(C:C, ROW())+INDEX(D:D, ROW())))</f>
        <v/>
      </c>
      <c r="F2338" s="1" t="inlineStr">
        <is>
          <t>Array, Dynamic Programming, Stack, Breadth-First Search, Union-Find, Heap (Priority Queue), Matrix, Monotonic Stack</t>
        </is>
      </c>
      <c r="G2338" s="1" t="inlineStr">
        <is>
          <t>Hard</t>
        </is>
      </c>
      <c r="H2338" s="1" t="n">
        <v>11574</v>
      </c>
      <c r="I2338" s="1" t="n">
        <v>49420</v>
      </c>
      <c r="J2338" s="9" t="n">
        <v>0.234</v>
      </c>
      <c r="K2338" s="1" t="inlineStr">
        <is>
          <t>Yes</t>
        </is>
      </c>
      <c r="L2338" s="1" t="inlineStr">
        <is>
          <t>No</t>
        </is>
      </c>
      <c r="M2338" s="1" t="inlineStr">
        <is>
          <t>No</t>
        </is>
      </c>
      <c r="N2338" s="1" t="inlineStr">
        <is>
          <t>Algorithms</t>
        </is>
      </c>
      <c r="O23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39" ht="15.75" customHeight="1" s="12">
      <c r="A2339" s="1" t="n">
        <v>2875</v>
      </c>
      <c r="B2339" s="3">
        <f>HYPERLINK("https://leetcode.com/problems/minimum-size-subarray-in-infinite-array/", "Minimum Size Subarray in Infinite Array")</f>
        <v/>
      </c>
      <c r="C2339" s="1" t="n">
        <v>414</v>
      </c>
      <c r="D2339" s="1" t="n">
        <v>32</v>
      </c>
      <c r="E2339" s="4">
        <f>IF(INDEX(C:C, ROW())+INDEX(D:D, ROW())=0, 0, INDEX(C:C, ROW())/(INDEX(C:C, ROW())+INDEX(D:D, ROW())))</f>
        <v/>
      </c>
      <c r="F2339" s="1" t="inlineStr">
        <is>
          <t>Array, Hash Table, Sliding Window, Prefix Sum</t>
        </is>
      </c>
      <c r="G2339" s="1" t="inlineStr">
        <is>
          <t>Medium</t>
        </is>
      </c>
      <c r="H2339" s="1" t="n">
        <v>24979</v>
      </c>
      <c r="I2339" s="1" t="n">
        <v>78337</v>
      </c>
      <c r="J2339" s="9" t="n">
        <v>0.319</v>
      </c>
      <c r="K2339" s="1" t="inlineStr">
        <is>
          <t>Yes</t>
        </is>
      </c>
      <c r="L2339" s="1" t="inlineStr">
        <is>
          <t>No</t>
        </is>
      </c>
      <c r="M2339" s="1" t="inlineStr">
        <is>
          <t>No</t>
        </is>
      </c>
      <c r="N2339" s="1" t="inlineStr">
        <is>
          <t>Algorithms</t>
        </is>
      </c>
      <c r="O23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40" ht="15.75" customHeight="1" s="12">
      <c r="A2340" s="1" t="n">
        <v>1938</v>
      </c>
      <c r="B2340" s="3">
        <f>HYPERLINK("https://leetcode.com/problems/maximum-genetic-difference-query/", "Maximum Genetic Difference Query")</f>
        <v/>
      </c>
      <c r="C2340" s="1" t="n">
        <v>413</v>
      </c>
      <c r="D2340" s="1" t="n">
        <v>24</v>
      </c>
      <c r="E2340" s="4">
        <f>IF(INDEX(C:C, ROW())+INDEX(D:D, ROW())=0, 0, INDEX(C:C, ROW())/(INDEX(C:C, ROW())+INDEX(D:D, ROW())))</f>
        <v/>
      </c>
      <c r="F2340" s="1" t="inlineStr">
        <is>
          <t>Array, Hash Table, Bit Manipulation, Depth-First Search, Trie</t>
        </is>
      </c>
      <c r="G2340" s="1" t="inlineStr">
        <is>
          <t>Hard</t>
        </is>
      </c>
      <c r="H2340" s="1" t="n">
        <v>7552</v>
      </c>
      <c r="I2340" s="1" t="n">
        <v>16386</v>
      </c>
      <c r="J2340" s="9" t="n">
        <v>0.461</v>
      </c>
      <c r="K2340" s="1" t="inlineStr">
        <is>
          <t>Yes</t>
        </is>
      </c>
      <c r="L2340" s="1" t="inlineStr">
        <is>
          <t>No</t>
        </is>
      </c>
      <c r="M2340" s="1" t="inlineStr">
        <is>
          <t>No</t>
        </is>
      </c>
      <c r="N2340" s="1" t="inlineStr">
        <is>
          <t>Algorithms</t>
        </is>
      </c>
      <c r="O23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41" ht="15.75" customHeight="1" s="12">
      <c r="A2341" s="1" t="n">
        <v>3516</v>
      </c>
      <c r="B2341" s="3">
        <f>HYPERLINK("https://leetcode.com/problems/find-closest-person/", "Find Closest Person")</f>
        <v/>
      </c>
      <c r="C2341" s="1" t="n">
        <v>413</v>
      </c>
      <c r="D2341" s="1" t="n">
        <v>44</v>
      </c>
      <c r="E2341" s="4">
        <f>IF(INDEX(C:C, ROW())+INDEX(D:D, ROW())=0, 0, INDEX(C:C, ROW())/(INDEX(C:C, ROW())+INDEX(D:D, ROW())))</f>
        <v/>
      </c>
      <c r="F2341" s="1" t="inlineStr">
        <is>
          <t>Math</t>
        </is>
      </c>
      <c r="G2341" s="1" t="inlineStr">
        <is>
          <t>Easy</t>
        </is>
      </c>
      <c r="H2341" s="1" t="n">
        <v>205209</v>
      </c>
      <c r="I2341" s="1" t="n">
        <v>230634</v>
      </c>
      <c r="J2341" s="9" t="n">
        <v>0.89</v>
      </c>
      <c r="K2341" s="1" t="inlineStr">
        <is>
          <t>Yes</t>
        </is>
      </c>
      <c r="L2341" s="1" t="inlineStr">
        <is>
          <t>Yes</t>
        </is>
      </c>
      <c r="M2341" s="1" t="inlineStr">
        <is>
          <t>No</t>
        </is>
      </c>
      <c r="N2341" s="1" t="inlineStr">
        <is>
          <t>Algorithms</t>
        </is>
      </c>
      <c r="O23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42" ht="15.75" customHeight="1" s="12">
      <c r="A2342" s="1" t="n">
        <v>963</v>
      </c>
      <c r="B2342" s="3">
        <f>HYPERLINK("https://leetcode.com/problems/minimum-area-rectangle-ii/", "Minimum Area Rectangle II")</f>
        <v/>
      </c>
      <c r="C2342" s="1" t="n">
        <v>411</v>
      </c>
      <c r="D2342" s="1" t="n">
        <v>486</v>
      </c>
      <c r="E2342" s="4">
        <f>IF(INDEX(C:C, ROW())+INDEX(D:D, ROW())=0, 0, INDEX(C:C, ROW())/(INDEX(C:C, ROW())+INDEX(D:D, ROW())))</f>
        <v/>
      </c>
      <c r="F2342" s="1" t="inlineStr">
        <is>
          <t>Array, Hash Table, Math, Geometry</t>
        </is>
      </c>
      <c r="G2342" s="1" t="inlineStr">
        <is>
          <t>Medium</t>
        </is>
      </c>
      <c r="H2342" s="1" t="n">
        <v>35364</v>
      </c>
      <c r="I2342" s="1" t="n">
        <v>63308</v>
      </c>
      <c r="J2342" s="9" t="n">
        <v>0.5590000000000001</v>
      </c>
      <c r="K2342" s="1" t="inlineStr">
        <is>
          <t>Yes</t>
        </is>
      </c>
      <c r="L2342" s="1" t="inlineStr">
        <is>
          <t>Yes</t>
        </is>
      </c>
      <c r="M2342" s="1" t="inlineStr">
        <is>
          <t>No</t>
        </is>
      </c>
      <c r="N2342" s="1" t="inlineStr">
        <is>
          <t>Algorithms</t>
        </is>
      </c>
      <c r="O23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43" ht="15.75" customHeight="1" s="12">
      <c r="A2343" s="1" t="n">
        <v>1230</v>
      </c>
      <c r="B2343" s="3">
        <f>HYPERLINK("https://leetcode.com/problems/toss-strange-coins/", "Toss Strange Coins")</f>
        <v/>
      </c>
      <c r="C2343" s="1" t="n">
        <v>409</v>
      </c>
      <c r="D2343" s="1" t="n">
        <v>52</v>
      </c>
      <c r="E2343" s="4">
        <f>IF(INDEX(C:C, ROW())+INDEX(D:D, ROW())=0, 0, INDEX(C:C, ROW())/(INDEX(C:C, ROW())+INDEX(D:D, ROW())))</f>
        <v/>
      </c>
      <c r="F2343" s="1" t="inlineStr">
        <is>
          <t>Array, Math, Dynamic Programming, Probability and Statistics</t>
        </is>
      </c>
      <c r="G2343" s="1" t="inlineStr">
        <is>
          <t>Medium</t>
        </is>
      </c>
      <c r="H2343" s="1" t="n">
        <v>22848</v>
      </c>
      <c r="I2343" s="1" t="n">
        <v>39319</v>
      </c>
      <c r="J2343" s="9" t="n">
        <v>0.581</v>
      </c>
      <c r="K2343" s="1" t="inlineStr">
        <is>
          <t>No</t>
        </is>
      </c>
      <c r="L2343" s="1" t="inlineStr">
        <is>
          <t>Yes</t>
        </is>
      </c>
      <c r="M2343" s="1" t="inlineStr">
        <is>
          <t>No</t>
        </is>
      </c>
      <c r="N2343" s="1" t="inlineStr">
        <is>
          <t>Algorithms</t>
        </is>
      </c>
      <c r="O23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44" ht="15.75" customHeight="1" s="12">
      <c r="A2344" s="1" t="n">
        <v>2190</v>
      </c>
      <c r="B2344" s="3">
        <f>HYPERLINK("https://leetcode.com/problems/most-frequent-number-following-key-in-an-array/", "Most Frequent Number Following Key In an Array")</f>
        <v/>
      </c>
      <c r="C2344" s="1" t="n">
        <v>409</v>
      </c>
      <c r="D2344" s="1" t="n">
        <v>253</v>
      </c>
      <c r="E2344" s="4">
        <f>IF(INDEX(C:C, ROW())+INDEX(D:D, ROW())=0, 0, INDEX(C:C, ROW())/(INDEX(C:C, ROW())+INDEX(D:D, ROW())))</f>
        <v/>
      </c>
      <c r="F2344" s="1" t="inlineStr">
        <is>
          <t>Array, Hash Table, Counting</t>
        </is>
      </c>
      <c r="G2344" s="1" t="inlineStr">
        <is>
          <t>Easy</t>
        </is>
      </c>
      <c r="H2344" s="1" t="n">
        <v>49102</v>
      </c>
      <c r="I2344" s="1" t="n">
        <v>82783</v>
      </c>
      <c r="J2344" s="9" t="n">
        <v>0.593</v>
      </c>
      <c r="K2344" s="1" t="inlineStr">
        <is>
          <t>Yes</t>
        </is>
      </c>
      <c r="L2344" s="1" t="inlineStr">
        <is>
          <t>No</t>
        </is>
      </c>
      <c r="M2344" s="1" t="inlineStr">
        <is>
          <t>No</t>
        </is>
      </c>
      <c r="N2344" s="1" t="inlineStr">
        <is>
          <t>Algorithms</t>
        </is>
      </c>
      <c r="O23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45" ht="15.75" customHeight="1" s="12">
      <c r="A2345" s="1" t="n">
        <v>1836</v>
      </c>
      <c r="B2345" s="3">
        <f>HYPERLINK("https://leetcode.com/problems/remove-duplicates-from-an-unsorted-linked-list/", "Remove Duplicates From an Unsorted Linked List")</f>
        <v/>
      </c>
      <c r="C2345" s="1" t="n">
        <v>408</v>
      </c>
      <c r="D2345" s="1" t="n">
        <v>12</v>
      </c>
      <c r="E2345" s="4">
        <f>IF(INDEX(C:C, ROW())+INDEX(D:D, ROW())=0, 0, INDEX(C:C, ROW())/(INDEX(C:C, ROW())+INDEX(D:D, ROW())))</f>
        <v/>
      </c>
      <c r="F2345" s="1" t="inlineStr">
        <is>
          <t>Hash Table, Linked List</t>
        </is>
      </c>
      <c r="G2345" s="1" t="inlineStr">
        <is>
          <t>Medium</t>
        </is>
      </c>
      <c r="H2345" s="1" t="n">
        <v>39476</v>
      </c>
      <c r="I2345" s="1" t="n">
        <v>52192</v>
      </c>
      <c r="J2345" s="9" t="n">
        <v>0.756</v>
      </c>
      <c r="K2345" s="1" t="inlineStr">
        <is>
          <t>No</t>
        </is>
      </c>
      <c r="L2345" s="1" t="inlineStr">
        <is>
          <t>Yes</t>
        </is>
      </c>
      <c r="M2345" s="1" t="inlineStr">
        <is>
          <t>No</t>
        </is>
      </c>
      <c r="N2345" s="1" t="inlineStr">
        <is>
          <t>Algorithms</t>
        </is>
      </c>
      <c r="O23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46" ht="15.75" customHeight="1" s="12">
      <c r="A2346" s="1" t="n">
        <v>1040</v>
      </c>
      <c r="B2346" s="3">
        <f>HYPERLINK("https://leetcode.com/problems/moving-stones-until-consecutive-ii/", "Moving Stones Until Consecutive II")</f>
        <v/>
      </c>
      <c r="C2346" s="1" t="n">
        <v>406</v>
      </c>
      <c r="D2346" s="1" t="n">
        <v>744</v>
      </c>
      <c r="E2346" s="4">
        <f>IF(INDEX(C:C, ROW())+INDEX(D:D, ROW())=0, 0, INDEX(C:C, ROW())/(INDEX(C:C, ROW())+INDEX(D:D, ROW())))</f>
        <v/>
      </c>
      <c r="F2346" s="1" t="inlineStr">
        <is>
          <t>Array, Math, Sliding Window, Sorting</t>
        </is>
      </c>
      <c r="G2346" s="1" t="inlineStr">
        <is>
          <t>Medium</t>
        </is>
      </c>
      <c r="H2346" s="1" t="n">
        <v>14503</v>
      </c>
      <c r="I2346" s="1" t="n">
        <v>24727</v>
      </c>
      <c r="J2346" s="9" t="n">
        <v>0.587</v>
      </c>
      <c r="K2346" s="1" t="inlineStr">
        <is>
          <t>Yes</t>
        </is>
      </c>
      <c r="L2346" s="1" t="inlineStr">
        <is>
          <t>No</t>
        </is>
      </c>
      <c r="M2346" s="1" t="inlineStr">
        <is>
          <t>No</t>
        </is>
      </c>
      <c r="N2346" s="1" t="inlineStr">
        <is>
          <t>Algorithms</t>
        </is>
      </c>
      <c r="O23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47" ht="15.75" customHeight="1" s="12">
      <c r="A2347" s="1" t="n">
        <v>1954</v>
      </c>
      <c r="B2347" s="3">
        <f>HYPERLINK("https://leetcode.com/problems/minimum-garden-perimeter-to-collect-enough-apples/", "Minimum Garden Perimeter to Collect Enough Apples")</f>
        <v/>
      </c>
      <c r="C2347" s="1" t="n">
        <v>406</v>
      </c>
      <c r="D2347" s="1" t="n">
        <v>98</v>
      </c>
      <c r="E2347" s="4">
        <f>IF(INDEX(C:C, ROW())+INDEX(D:D, ROW())=0, 0, INDEX(C:C, ROW())/(INDEX(C:C, ROW())+INDEX(D:D, ROW())))</f>
        <v/>
      </c>
      <c r="F2347" s="1" t="inlineStr">
        <is>
          <t>Math, Binary Search</t>
        </is>
      </c>
      <c r="G2347" s="1" t="inlineStr">
        <is>
          <t>Medium</t>
        </is>
      </c>
      <c r="H2347" s="1" t="n">
        <v>20855</v>
      </c>
      <c r="I2347" s="1" t="n">
        <v>37703</v>
      </c>
      <c r="J2347" s="9" t="n">
        <v>0.553</v>
      </c>
      <c r="K2347" s="1" t="inlineStr">
        <is>
          <t>Yes</t>
        </is>
      </c>
      <c r="L2347" s="1" t="inlineStr">
        <is>
          <t>No</t>
        </is>
      </c>
      <c r="M2347" s="1" t="inlineStr">
        <is>
          <t>No</t>
        </is>
      </c>
      <c r="N2347" s="1" t="inlineStr">
        <is>
          <t>Algorithms</t>
        </is>
      </c>
      <c r="O23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48" ht="15.75" customHeight="1" s="12">
      <c r="A2348" s="1" t="n">
        <v>2761</v>
      </c>
      <c r="B2348" s="3">
        <f>HYPERLINK("https://leetcode.com/problems/prime-pairs-with-target-sum/", "Prime Pairs With Target Sum")</f>
        <v/>
      </c>
      <c r="C2348" s="1" t="n">
        <v>406</v>
      </c>
      <c r="D2348" s="1" t="n">
        <v>34</v>
      </c>
      <c r="E2348" s="4">
        <f>IF(INDEX(C:C, ROW())+INDEX(D:D, ROW())=0, 0, INDEX(C:C, ROW())/(INDEX(C:C, ROW())+INDEX(D:D, ROW())))</f>
        <v/>
      </c>
      <c r="F2348" s="1" t="inlineStr">
        <is>
          <t>Array, Math, Enumeration, Number Theory</t>
        </is>
      </c>
      <c r="G2348" s="1" t="inlineStr">
        <is>
          <t>Medium</t>
        </is>
      </c>
      <c r="H2348" s="1" t="n">
        <v>38625</v>
      </c>
      <c r="I2348" s="1" t="n">
        <v>105037</v>
      </c>
      <c r="J2348" s="9" t="n">
        <v>0.368</v>
      </c>
      <c r="K2348" s="1" t="inlineStr">
        <is>
          <t>Yes</t>
        </is>
      </c>
      <c r="L2348" s="1" t="inlineStr">
        <is>
          <t>No</t>
        </is>
      </c>
      <c r="M2348" s="1" t="inlineStr">
        <is>
          <t>No</t>
        </is>
      </c>
      <c r="N2348" s="1" t="inlineStr">
        <is>
          <t>Algorithms</t>
        </is>
      </c>
      <c r="O23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49" ht="15.75" customHeight="1" s="12">
      <c r="A2349" s="1" t="n">
        <v>527</v>
      </c>
      <c r="B2349" s="3">
        <f>HYPERLINK("https://leetcode.com/problems/word-abbreviation/", "Word Abbreviation")</f>
        <v/>
      </c>
      <c r="C2349" s="1" t="n">
        <v>405</v>
      </c>
      <c r="D2349" s="1" t="n">
        <v>298</v>
      </c>
      <c r="E2349" s="4">
        <f>IF(INDEX(C:C, ROW())+INDEX(D:D, ROW())=0, 0, INDEX(C:C, ROW())/(INDEX(C:C, ROW())+INDEX(D:D, ROW())))</f>
        <v/>
      </c>
      <c r="F2349" s="1" t="inlineStr">
        <is>
          <t>Array, String, Greedy, Trie, Sorting</t>
        </is>
      </c>
      <c r="G2349" s="1" t="inlineStr">
        <is>
          <t>Hard</t>
        </is>
      </c>
      <c r="H2349" s="1" t="n">
        <v>33391</v>
      </c>
      <c r="I2349" s="1" t="n">
        <v>53320</v>
      </c>
      <c r="J2349" s="9" t="n">
        <v>0.626</v>
      </c>
      <c r="K2349" s="1" t="inlineStr">
        <is>
          <t>No</t>
        </is>
      </c>
      <c r="L2349" s="1" t="inlineStr">
        <is>
          <t>Yes</t>
        </is>
      </c>
      <c r="M2349" s="1" t="inlineStr">
        <is>
          <t>No</t>
        </is>
      </c>
      <c r="N2349" s="1" t="inlineStr">
        <is>
          <t>Algorithms</t>
        </is>
      </c>
      <c r="O23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50" ht="15.75" customHeight="1" s="12">
      <c r="A2350" s="1" t="n">
        <v>2102</v>
      </c>
      <c r="B2350" s="3">
        <f>HYPERLINK("https://leetcode.com/problems/sequentially-ordinal-rank-tracker/", "Sequentially Ordinal Rank Tracker")</f>
        <v/>
      </c>
      <c r="C2350" s="1" t="n">
        <v>405</v>
      </c>
      <c r="D2350" s="1" t="n">
        <v>47</v>
      </c>
      <c r="E2350" s="4">
        <f>IF(INDEX(C:C, ROW())+INDEX(D:D, ROW())=0, 0, INDEX(C:C, ROW())/(INDEX(C:C, ROW())+INDEX(D:D, ROW())))</f>
        <v/>
      </c>
      <c r="F2350" s="1" t="inlineStr">
        <is>
          <t>Design, Heap (Priority Queue), Data Stream, Ordered Set</t>
        </is>
      </c>
      <c r="G2350" s="1" t="inlineStr">
        <is>
          <t>Hard</t>
        </is>
      </c>
      <c r="H2350" s="1" t="n">
        <v>19688</v>
      </c>
      <c r="I2350" s="1" t="n">
        <v>32025</v>
      </c>
      <c r="J2350" s="9" t="n">
        <v>0.615</v>
      </c>
      <c r="K2350" s="1" t="inlineStr">
        <is>
          <t>Yes</t>
        </is>
      </c>
      <c r="L2350" s="1" t="inlineStr">
        <is>
          <t>No</t>
        </is>
      </c>
      <c r="M2350" s="1" t="inlineStr">
        <is>
          <t>No</t>
        </is>
      </c>
      <c r="N2350" s="1" t="inlineStr">
        <is>
          <t>Algorithms</t>
        </is>
      </c>
      <c r="O23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51" ht="15.75" customHeight="1" s="12">
      <c r="A2351" s="1" t="n">
        <v>2703</v>
      </c>
      <c r="B2351" s="3">
        <f>HYPERLINK("https://leetcode.com/problems/return-length-of-arguments-passed/", "Return Length of Arguments Passed")</f>
        <v/>
      </c>
      <c r="C2351" s="1" t="n">
        <v>405</v>
      </c>
      <c r="D2351" s="1" t="n">
        <v>174</v>
      </c>
      <c r="E2351" s="4">
        <f>IF(INDEX(C:C, ROW())+INDEX(D:D, ROW())=0, 0, INDEX(C:C, ROW())/(INDEX(C:C, ROW())+INDEX(D:D, ROW())))</f>
        <v/>
      </c>
      <c r="F2351" s="2" t="n"/>
      <c r="G2351" s="1" t="inlineStr">
        <is>
          <t>Easy</t>
        </is>
      </c>
      <c r="H2351" s="1" t="n">
        <v>285167</v>
      </c>
      <c r="I2351" s="1" t="n">
        <v>301719</v>
      </c>
      <c r="J2351" s="9" t="n">
        <v>0.945</v>
      </c>
      <c r="K2351" s="1" t="inlineStr">
        <is>
          <t>Yes</t>
        </is>
      </c>
      <c r="L2351" s="1" t="inlineStr">
        <is>
          <t>Yes</t>
        </is>
      </c>
      <c r="M2351" s="1" t="inlineStr">
        <is>
          <t>No</t>
        </is>
      </c>
      <c r="N2351" s="1" t="inlineStr">
        <is>
          <t>JavaScript</t>
        </is>
      </c>
      <c r="O23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52" ht="15.75" customHeight="1" s="12">
      <c r="A2352" s="1" t="n">
        <v>3074</v>
      </c>
      <c r="B2352" s="3">
        <f>HYPERLINK("https://leetcode.com/problems/apple-redistribution-into-boxes/", "Apple Redistribution into Boxes")</f>
        <v/>
      </c>
      <c r="C2352" s="1" t="n">
        <v>405</v>
      </c>
      <c r="D2352" s="1" t="n">
        <v>24</v>
      </c>
      <c r="E2352" s="4">
        <f>IF(INDEX(C:C, ROW())+INDEX(D:D, ROW())=0, 0, INDEX(C:C, ROW())/(INDEX(C:C, ROW())+INDEX(D:D, ROW())))</f>
        <v/>
      </c>
      <c r="F2352" s="1" t="inlineStr">
        <is>
          <t>Array, Greedy, Sorting</t>
        </is>
      </c>
      <c r="G2352" s="1" t="inlineStr">
        <is>
          <t>Easy</t>
        </is>
      </c>
      <c r="H2352" s="1" t="n">
        <v>161917</v>
      </c>
      <c r="I2352" s="1" t="n">
        <v>206389</v>
      </c>
      <c r="J2352" s="9" t="n">
        <v>0.785</v>
      </c>
      <c r="K2352" s="1" t="inlineStr">
        <is>
          <t>Yes</t>
        </is>
      </c>
      <c r="L2352" s="1" t="inlineStr">
        <is>
          <t>Yes</t>
        </is>
      </c>
      <c r="M2352" s="1" t="inlineStr">
        <is>
          <t>No</t>
        </is>
      </c>
      <c r="N2352" s="1" t="inlineStr">
        <is>
          <t>Algorithms</t>
        </is>
      </c>
      <c r="O23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53" ht="15.75" customHeight="1" s="12">
      <c r="A2353" s="1" t="n">
        <v>3375</v>
      </c>
      <c r="B2353" s="3">
        <f>HYPERLINK("https://leetcode.com/problems/minimum-operations-to-make-array-values-equal-to-k/", "Minimum Operations to Make Array Values Equal to K")</f>
        <v/>
      </c>
      <c r="C2353" s="1" t="n">
        <v>405</v>
      </c>
      <c r="D2353" s="1" t="n">
        <v>529</v>
      </c>
      <c r="E2353" s="4">
        <f>IF(INDEX(C:C, ROW())+INDEX(D:D, ROW())=0, 0, INDEX(C:C, ROW())/(INDEX(C:C, ROW())+INDEX(D:D, ROW())))</f>
        <v/>
      </c>
      <c r="F2353" s="1" t="inlineStr">
        <is>
          <t>Array, Hash Table</t>
        </is>
      </c>
      <c r="G2353" s="1" t="inlineStr">
        <is>
          <t>Easy</t>
        </is>
      </c>
      <c r="H2353" s="1" t="n">
        <v>166996</v>
      </c>
      <c r="I2353" s="1" t="n">
        <v>227840</v>
      </c>
      <c r="J2353" s="9" t="n">
        <v>0.733</v>
      </c>
      <c r="K2353" s="1" t="inlineStr">
        <is>
          <t>Yes</t>
        </is>
      </c>
      <c r="L2353" s="1" t="inlineStr">
        <is>
          <t>Yes</t>
        </is>
      </c>
      <c r="M2353" s="1" t="inlineStr">
        <is>
          <t>No</t>
        </is>
      </c>
      <c r="N2353" s="1" t="inlineStr">
        <is>
          <t>Algorithms</t>
        </is>
      </c>
      <c r="O23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54" ht="15.75" customHeight="1" s="12">
      <c r="A2354" s="1" t="n">
        <v>2565</v>
      </c>
      <c r="B2354" s="3">
        <f>HYPERLINK("https://leetcode.com/problems/subsequence-with-the-minimum-score/", "Subsequence With the Minimum Score")</f>
        <v/>
      </c>
      <c r="C2354" s="1" t="n">
        <v>404</v>
      </c>
      <c r="D2354" s="1" t="n">
        <v>7</v>
      </c>
      <c r="E2354" s="4">
        <f>IF(INDEX(C:C, ROW())+INDEX(D:D, ROW())=0, 0, INDEX(C:C, ROW())/(INDEX(C:C, ROW())+INDEX(D:D, ROW())))</f>
        <v/>
      </c>
      <c r="F2354" s="1" t="inlineStr">
        <is>
          <t>Two Pointers, String, Binary Search</t>
        </is>
      </c>
      <c r="G2354" s="1" t="inlineStr">
        <is>
          <t>Hard</t>
        </is>
      </c>
      <c r="H2354" s="1" t="n">
        <v>10099</v>
      </c>
      <c r="I2354" s="1" t="n">
        <v>30575</v>
      </c>
      <c r="J2354" s="9" t="n">
        <v>0.33</v>
      </c>
      <c r="K2354" s="1" t="inlineStr">
        <is>
          <t>Yes</t>
        </is>
      </c>
      <c r="L2354" s="1" t="inlineStr">
        <is>
          <t>No</t>
        </is>
      </c>
      <c r="M2354" s="1" t="inlineStr">
        <is>
          <t>No</t>
        </is>
      </c>
      <c r="N2354" s="1" t="inlineStr">
        <is>
          <t>Algorithms</t>
        </is>
      </c>
      <c r="O23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55" ht="15.75" customHeight="1" s="12">
      <c r="A2355" s="1" t="n">
        <v>2697</v>
      </c>
      <c r="B2355" s="3">
        <f>HYPERLINK("https://leetcode.com/problems/lexicographically-smallest-palindrome/", "Lexicographically Smallest Palindrome")</f>
        <v/>
      </c>
      <c r="C2355" s="1" t="n">
        <v>404</v>
      </c>
      <c r="D2355" s="1" t="n">
        <v>28</v>
      </c>
      <c r="E2355" s="4">
        <f>IF(INDEX(C:C, ROW())+INDEX(D:D, ROW())=0, 0, INDEX(C:C, ROW())/(INDEX(C:C, ROW())+INDEX(D:D, ROW())))</f>
        <v/>
      </c>
      <c r="F2355" s="1" t="inlineStr">
        <is>
          <t>Two Pointers, String, Greedy</t>
        </is>
      </c>
      <c r="G2355" s="1" t="inlineStr">
        <is>
          <t>Easy</t>
        </is>
      </c>
      <c r="H2355" s="1" t="n">
        <v>79142</v>
      </c>
      <c r="I2355" s="1" t="n">
        <v>98069</v>
      </c>
      <c r="J2355" s="9" t="n">
        <v>0.8070000000000001</v>
      </c>
      <c r="K2355" s="1" t="inlineStr">
        <is>
          <t>Yes</t>
        </is>
      </c>
      <c r="L2355" s="1" t="inlineStr">
        <is>
          <t>No</t>
        </is>
      </c>
      <c r="M2355" s="1" t="inlineStr">
        <is>
          <t>No</t>
        </is>
      </c>
      <c r="N2355" s="1" t="inlineStr">
        <is>
          <t>Algorithms</t>
        </is>
      </c>
      <c r="O23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56" ht="15.75" customHeight="1" s="12">
      <c r="A2356" s="1" t="n">
        <v>2982</v>
      </c>
      <c r="B2356" s="3">
        <f>HYPERLINK("https://leetcode.com/problems/find-longest-special-substring-that-occurs-thrice-ii/", "Find Longest Special Substring That Occurs Thrice II")</f>
        <v/>
      </c>
      <c r="C2356" s="1" t="n">
        <v>404</v>
      </c>
      <c r="D2356" s="1" t="n">
        <v>33</v>
      </c>
      <c r="E2356" s="4">
        <f>IF(INDEX(C:C, ROW())+INDEX(D:D, ROW())=0, 0, INDEX(C:C, ROW())/(INDEX(C:C, ROW())+INDEX(D:D, ROW())))</f>
        <v/>
      </c>
      <c r="F2356" s="1" t="inlineStr">
        <is>
          <t>Hash Table, String, Binary Search, Sliding Window, Counting</t>
        </is>
      </c>
      <c r="G2356" s="1" t="inlineStr">
        <is>
          <t>Medium</t>
        </is>
      </c>
      <c r="H2356" s="1" t="n">
        <v>30841</v>
      </c>
      <c r="I2356" s="1" t="n">
        <v>79218</v>
      </c>
      <c r="J2356" s="9" t="n">
        <v>0.389</v>
      </c>
      <c r="K2356" s="1" t="inlineStr">
        <is>
          <t>Yes</t>
        </is>
      </c>
      <c r="L2356" s="1" t="inlineStr">
        <is>
          <t>Yes</t>
        </is>
      </c>
      <c r="M2356" s="1" t="inlineStr">
        <is>
          <t>No</t>
        </is>
      </c>
      <c r="N2356" s="1" t="inlineStr">
        <is>
          <t>Algorithms</t>
        </is>
      </c>
      <c r="O23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57" ht="15.75" customHeight="1" s="12">
      <c r="A2357" s="1" t="n">
        <v>3573</v>
      </c>
      <c r="B2357" s="3">
        <f>HYPERLINK("https://leetcode.com/problems/best-time-to-buy-and-sell-stock-v/", "Best Time to Buy and Sell Stock V")</f>
        <v/>
      </c>
      <c r="C2357" s="1" t="n">
        <v>404</v>
      </c>
      <c r="D2357" s="1" t="n">
        <v>59</v>
      </c>
      <c r="E2357" s="4">
        <f>IF(INDEX(C:C, ROW())+INDEX(D:D, ROW())=0, 0, INDEX(C:C, ROW())/(INDEX(C:C, ROW())+INDEX(D:D, ROW())))</f>
        <v/>
      </c>
      <c r="F2357" s="1" t="inlineStr">
        <is>
          <t>Array, Dynamic Programming</t>
        </is>
      </c>
      <c r="G2357" s="1" t="inlineStr">
        <is>
          <t>Medium</t>
        </is>
      </c>
      <c r="H2357" s="1" t="n">
        <v>77323</v>
      </c>
      <c r="I2357" s="1" t="n">
        <v>126939</v>
      </c>
      <c r="J2357" s="9" t="n">
        <v>0.609</v>
      </c>
      <c r="K2357" s="1" t="inlineStr">
        <is>
          <t>Yes</t>
        </is>
      </c>
      <c r="L2357" s="1" t="inlineStr">
        <is>
          <t>Yes</t>
        </is>
      </c>
      <c r="M2357" s="1" t="inlineStr">
        <is>
          <t>No</t>
        </is>
      </c>
      <c r="N2357" s="1" t="inlineStr">
        <is>
          <t>Algorithms</t>
        </is>
      </c>
      <c r="O23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58" ht="15.75" customHeight="1" s="12">
      <c r="A2358" s="1" t="n">
        <v>1521</v>
      </c>
      <c r="B2358" s="3">
        <f>HYPERLINK("https://leetcode.com/problems/find-a-value-of-a-mysterious-function-closest-to-target/", "Find a Value of a Mysterious Function Closest to Target")</f>
        <v/>
      </c>
      <c r="C2358" s="1" t="n">
        <v>403</v>
      </c>
      <c r="D2358" s="1" t="n">
        <v>20</v>
      </c>
      <c r="E2358" s="4">
        <f>IF(INDEX(C:C, ROW())+INDEX(D:D, ROW())=0, 0, INDEX(C:C, ROW())/(INDEX(C:C, ROW())+INDEX(D:D, ROW())))</f>
        <v/>
      </c>
      <c r="F2358" s="1" t="inlineStr">
        <is>
          <t>Array, Binary Search, Bit Manipulation, Segment Tree</t>
        </is>
      </c>
      <c r="G2358" s="1" t="inlineStr">
        <is>
          <t>Hard</t>
        </is>
      </c>
      <c r="H2358" s="1" t="n">
        <v>13555</v>
      </c>
      <c r="I2358" s="1" t="n">
        <v>28978</v>
      </c>
      <c r="J2358" s="9" t="n">
        <v>0.468</v>
      </c>
      <c r="K2358" s="1" t="inlineStr">
        <is>
          <t>Yes</t>
        </is>
      </c>
      <c r="L2358" s="1" t="inlineStr">
        <is>
          <t>No</t>
        </is>
      </c>
      <c r="M2358" s="1" t="inlineStr">
        <is>
          <t>No</t>
        </is>
      </c>
      <c r="N2358" s="1" t="inlineStr">
        <is>
          <t>Algorithms</t>
        </is>
      </c>
      <c r="O23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59" ht="15.75" customHeight="1" s="12">
      <c r="A2359" s="1" t="n">
        <v>1687</v>
      </c>
      <c r="B2359" s="3">
        <f>HYPERLINK("https://leetcode.com/problems/delivering-boxes-from-storage-to-ports/", "Delivering Boxes from Storage to Ports")</f>
        <v/>
      </c>
      <c r="C2359" s="1" t="n">
        <v>403</v>
      </c>
      <c r="D2359" s="1" t="n">
        <v>33</v>
      </c>
      <c r="E2359" s="4">
        <f>IF(INDEX(C:C, ROW())+INDEX(D:D, ROW())=0, 0, INDEX(C:C, ROW())/(INDEX(C:C, ROW())+INDEX(D:D, ROW())))</f>
        <v/>
      </c>
      <c r="F2359" s="1" t="inlineStr">
        <is>
          <t>Array, Dynamic Programming, Segment Tree, Queue, Heap (Priority Queue), Prefix Sum, Monotonic Queue</t>
        </is>
      </c>
      <c r="G2359" s="1" t="inlineStr">
        <is>
          <t>Hard</t>
        </is>
      </c>
      <c r="H2359" s="1" t="n">
        <v>8749</v>
      </c>
      <c r="I2359" s="1" t="n">
        <v>21970</v>
      </c>
      <c r="J2359" s="9" t="n">
        <v>0.398</v>
      </c>
      <c r="K2359" s="1" t="inlineStr">
        <is>
          <t>Yes</t>
        </is>
      </c>
      <c r="L2359" s="1" t="inlineStr">
        <is>
          <t>No</t>
        </is>
      </c>
      <c r="M2359" s="1" t="inlineStr">
        <is>
          <t>No</t>
        </is>
      </c>
      <c r="N2359" s="1" t="inlineStr">
        <is>
          <t>Algorithms</t>
        </is>
      </c>
      <c r="O23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60" ht="15.75" customHeight="1" s="12">
      <c r="A2360" s="1" t="n">
        <v>3541</v>
      </c>
      <c r="B2360" s="3">
        <f>HYPERLINK("https://leetcode.com/problems/find-most-frequent-vowel-and-consonant/", "Find Most Frequent Vowel and Consonant")</f>
        <v/>
      </c>
      <c r="C2360" s="1" t="n">
        <v>403</v>
      </c>
      <c r="D2360" s="1" t="n">
        <v>15</v>
      </c>
      <c r="E2360" s="4">
        <f>IF(INDEX(C:C, ROW())+INDEX(D:D, ROW())=0, 0, INDEX(C:C, ROW())/(INDEX(C:C, ROW())+INDEX(D:D, ROW())))</f>
        <v/>
      </c>
      <c r="F2360" s="1" t="inlineStr">
        <is>
          <t>Hash Table, String, Counting</t>
        </is>
      </c>
      <c r="G2360" s="1" t="inlineStr">
        <is>
          <t>Easy</t>
        </is>
      </c>
      <c r="H2360" s="1" t="n">
        <v>195811</v>
      </c>
      <c r="I2360" s="1" t="n">
        <v>218707</v>
      </c>
      <c r="J2360" s="9" t="n">
        <v>0.895</v>
      </c>
      <c r="K2360" s="1" t="inlineStr">
        <is>
          <t>Yes</t>
        </is>
      </c>
      <c r="L2360" s="1" t="inlineStr">
        <is>
          <t>Yes</t>
        </is>
      </c>
      <c r="M2360" s="1" t="inlineStr">
        <is>
          <t>No</t>
        </is>
      </c>
      <c r="N2360" s="1" t="inlineStr">
        <is>
          <t>Algorithms</t>
        </is>
      </c>
      <c r="O23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61" ht="15.75" customHeight="1" s="12">
      <c r="A2361" s="1" t="n">
        <v>1226</v>
      </c>
      <c r="B2361" s="3">
        <f>HYPERLINK("https://leetcode.com/problems/the-dining-philosophers/", "The Dining Philosophers")</f>
        <v/>
      </c>
      <c r="C2361" s="1" t="n">
        <v>402</v>
      </c>
      <c r="D2361" s="1" t="n">
        <v>366</v>
      </c>
      <c r="E2361" s="4">
        <f>IF(INDEX(C:C, ROW())+INDEX(D:D, ROW())=0, 0, INDEX(C:C, ROW())/(INDEX(C:C, ROW())+INDEX(D:D, ROW())))</f>
        <v/>
      </c>
      <c r="F2361" s="1" t="inlineStr">
        <is>
          <t>Concurrency</t>
        </is>
      </c>
      <c r="G2361" s="1" t="inlineStr">
        <is>
          <t>Medium</t>
        </is>
      </c>
      <c r="H2361" s="1" t="n">
        <v>52275</v>
      </c>
      <c r="I2361" s="1" t="n">
        <v>95909</v>
      </c>
      <c r="J2361" s="9" t="n">
        <v>0.545</v>
      </c>
      <c r="K2361" s="1" t="inlineStr">
        <is>
          <t>Yes</t>
        </is>
      </c>
      <c r="L2361" s="1" t="inlineStr">
        <is>
          <t>No</t>
        </is>
      </c>
      <c r="M2361" s="1" t="inlineStr">
        <is>
          <t>No</t>
        </is>
      </c>
      <c r="N2361" s="1" t="inlineStr">
        <is>
          <t>Concurrency</t>
        </is>
      </c>
      <c r="O23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62" ht="15.75" customHeight="1" s="12">
      <c r="A2362" s="1" t="n">
        <v>1401</v>
      </c>
      <c r="B2362" s="3">
        <f>HYPERLINK("https://leetcode.com/problems/circle-and-rectangle-overlapping/", "Circle and Rectangle Overlapping")</f>
        <v/>
      </c>
      <c r="C2362" s="1" t="n">
        <v>402</v>
      </c>
      <c r="D2362" s="1" t="n">
        <v>85</v>
      </c>
      <c r="E2362" s="4">
        <f>IF(INDEX(C:C, ROW())+INDEX(D:D, ROW())=0, 0, INDEX(C:C, ROW())/(INDEX(C:C, ROW())+INDEX(D:D, ROW())))</f>
        <v/>
      </c>
      <c r="F2362" s="1" t="inlineStr">
        <is>
          <t>Math, Geometry</t>
        </is>
      </c>
      <c r="G2362" s="1" t="inlineStr">
        <is>
          <t>Medium</t>
        </is>
      </c>
      <c r="H2362" s="1" t="n">
        <v>23511</v>
      </c>
      <c r="I2362" s="1" t="n">
        <v>47361</v>
      </c>
      <c r="J2362" s="9" t="n">
        <v>0.496</v>
      </c>
      <c r="K2362" s="1" t="inlineStr">
        <is>
          <t>Yes</t>
        </is>
      </c>
      <c r="L2362" s="1" t="inlineStr">
        <is>
          <t>No</t>
        </is>
      </c>
      <c r="M2362" s="1" t="inlineStr">
        <is>
          <t>No</t>
        </is>
      </c>
      <c r="N2362" s="1" t="inlineStr">
        <is>
          <t>Algorithms</t>
        </is>
      </c>
      <c r="O23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63" ht="15.75" customHeight="1" s="12">
      <c r="A2363" s="1" t="n">
        <v>1840</v>
      </c>
      <c r="B2363" s="3">
        <f>HYPERLINK("https://leetcode.com/problems/maximum-building-height/", "Maximum Building Height")</f>
        <v/>
      </c>
      <c r="C2363" s="1" t="n">
        <v>402</v>
      </c>
      <c r="D2363" s="1" t="n">
        <v>22</v>
      </c>
      <c r="E2363" s="4">
        <f>IF(INDEX(C:C, ROW())+INDEX(D:D, ROW())=0, 0, INDEX(C:C, ROW())/(INDEX(C:C, ROW())+INDEX(D:D, ROW())))</f>
        <v/>
      </c>
      <c r="F2363" s="1" t="inlineStr">
        <is>
          <t>Array, Math, Sorting</t>
        </is>
      </c>
      <c r="G2363" s="1" t="inlineStr">
        <is>
          <t>Hard</t>
        </is>
      </c>
      <c r="H2363" s="1" t="n">
        <v>9359</v>
      </c>
      <c r="I2363" s="1" t="n">
        <v>24528</v>
      </c>
      <c r="J2363" s="9" t="n">
        <v>0.382</v>
      </c>
      <c r="K2363" s="1" t="inlineStr">
        <is>
          <t>Yes</t>
        </is>
      </c>
      <c r="L2363" s="1" t="inlineStr">
        <is>
          <t>No</t>
        </is>
      </c>
      <c r="M2363" s="1" t="inlineStr">
        <is>
          <t>No</t>
        </is>
      </c>
      <c r="N2363" s="1" t="inlineStr">
        <is>
          <t>Algorithms</t>
        </is>
      </c>
      <c r="O23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64" ht="15.75" customHeight="1" s="12">
      <c r="A2364" s="1" t="n">
        <v>2677</v>
      </c>
      <c r="B2364" s="3">
        <f>HYPERLINK("https://leetcode.com/problems/chunk-array/", "Chunk Array")</f>
        <v/>
      </c>
      <c r="C2364" s="1" t="n">
        <v>402</v>
      </c>
      <c r="D2364" s="1" t="n">
        <v>12</v>
      </c>
      <c r="E2364" s="4">
        <f>IF(INDEX(C:C, ROW())+INDEX(D:D, ROW())=0, 0, INDEX(C:C, ROW())/(INDEX(C:C, ROW())+INDEX(D:D, ROW())))</f>
        <v/>
      </c>
      <c r="F2364" s="2" t="n"/>
      <c r="G2364" s="1" t="inlineStr">
        <is>
          <t>Easy</t>
        </is>
      </c>
      <c r="H2364" s="1" t="n">
        <v>109144</v>
      </c>
      <c r="I2364" s="1" t="n">
        <v>129062</v>
      </c>
      <c r="J2364" s="9" t="n">
        <v>0.846</v>
      </c>
      <c r="K2364" s="1" t="inlineStr">
        <is>
          <t>Yes</t>
        </is>
      </c>
      <c r="L2364" s="1" t="inlineStr">
        <is>
          <t>Yes</t>
        </is>
      </c>
      <c r="M2364" s="1" t="inlineStr">
        <is>
          <t>No</t>
        </is>
      </c>
      <c r="N2364" s="1" t="inlineStr">
        <is>
          <t>JavaScript</t>
        </is>
      </c>
      <c r="O23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65" ht="15.75" customHeight="1" s="12">
      <c r="A2365" s="1" t="n">
        <v>2347</v>
      </c>
      <c r="B2365" s="3">
        <f>HYPERLINK("https://leetcode.com/problems/best-poker-hand/", "Best Poker Hand")</f>
        <v/>
      </c>
      <c r="C2365" s="1" t="n">
        <v>401</v>
      </c>
      <c r="D2365" s="1" t="n">
        <v>43</v>
      </c>
      <c r="E2365" s="4">
        <f>IF(INDEX(C:C, ROW())+INDEX(D:D, ROW())=0, 0, INDEX(C:C, ROW())/(INDEX(C:C, ROW())+INDEX(D:D, ROW())))</f>
        <v/>
      </c>
      <c r="F2365" s="1" t="inlineStr">
        <is>
          <t>Array, Hash Table, Counting</t>
        </is>
      </c>
      <c r="G2365" s="1" t="inlineStr">
        <is>
          <t>Easy</t>
        </is>
      </c>
      <c r="H2365" s="1" t="n">
        <v>52669</v>
      </c>
      <c r="I2365" s="1" t="n">
        <v>85595</v>
      </c>
      <c r="J2365" s="9" t="n">
        <v>0.615</v>
      </c>
      <c r="K2365" s="1" t="inlineStr">
        <is>
          <t>Yes</t>
        </is>
      </c>
      <c r="L2365" s="1" t="inlineStr">
        <is>
          <t>No</t>
        </is>
      </c>
      <c r="M2365" s="1" t="inlineStr">
        <is>
          <t>No</t>
        </is>
      </c>
      <c r="N2365" s="1" t="inlineStr">
        <is>
          <t>Algorithms</t>
        </is>
      </c>
      <c r="O23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66" ht="15.75" customHeight="1" s="12">
      <c r="A2366" s="1" t="n">
        <v>2564</v>
      </c>
      <c r="B2366" s="3">
        <f>HYPERLINK("https://leetcode.com/problems/substring-xor-queries/", "Substring XOR Queries")</f>
        <v/>
      </c>
      <c r="C2366" s="1" t="n">
        <v>401</v>
      </c>
      <c r="D2366" s="1" t="n">
        <v>85</v>
      </c>
      <c r="E2366" s="4">
        <f>IF(INDEX(C:C, ROW())+INDEX(D:D, ROW())=0, 0, INDEX(C:C, ROW())/(INDEX(C:C, ROW())+INDEX(D:D, ROW())))</f>
        <v/>
      </c>
      <c r="F2366" s="1" t="inlineStr">
        <is>
          <t>Array, Hash Table, String, Bit Manipulation</t>
        </is>
      </c>
      <c r="G2366" s="1" t="inlineStr">
        <is>
          <t>Medium</t>
        </is>
      </c>
      <c r="H2366" s="1" t="n">
        <v>15922</v>
      </c>
      <c r="I2366" s="1" t="n">
        <v>45084</v>
      </c>
      <c r="J2366" s="9" t="n">
        <v>0.353</v>
      </c>
      <c r="K2366" s="1" t="inlineStr">
        <is>
          <t>Yes</t>
        </is>
      </c>
      <c r="L2366" s="1" t="inlineStr">
        <is>
          <t>No</t>
        </is>
      </c>
      <c r="M2366" s="1" t="inlineStr">
        <is>
          <t>No</t>
        </is>
      </c>
      <c r="N2366" s="1" t="inlineStr">
        <is>
          <t>Algorithms</t>
        </is>
      </c>
      <c r="O23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67" ht="15.75" customHeight="1" s="12">
      <c r="A2367" s="1" t="n">
        <v>1881</v>
      </c>
      <c r="B2367" s="3">
        <f>HYPERLINK("https://leetcode.com/problems/maximum-value-after-insertion/", "Maximum Value after Insertion")</f>
        <v/>
      </c>
      <c r="C2367" s="1" t="n">
        <v>400</v>
      </c>
      <c r="D2367" s="1" t="n">
        <v>65</v>
      </c>
      <c r="E2367" s="4">
        <f>IF(INDEX(C:C, ROW())+INDEX(D:D, ROW())=0, 0, INDEX(C:C, ROW())/(INDEX(C:C, ROW())+INDEX(D:D, ROW())))</f>
        <v/>
      </c>
      <c r="F2367" s="1" t="inlineStr">
        <is>
          <t>String, Greedy</t>
        </is>
      </c>
      <c r="G2367" s="1" t="inlineStr">
        <is>
          <t>Medium</t>
        </is>
      </c>
      <c r="H2367" s="1" t="n">
        <v>33016</v>
      </c>
      <c r="I2367" s="1" t="n">
        <v>84532</v>
      </c>
      <c r="J2367" s="9" t="n">
        <v>0.391</v>
      </c>
      <c r="K2367" s="1" t="inlineStr">
        <is>
          <t>Yes</t>
        </is>
      </c>
      <c r="L2367" s="1" t="inlineStr">
        <is>
          <t>No</t>
        </is>
      </c>
      <c r="M2367" s="1" t="inlineStr">
        <is>
          <t>No</t>
        </is>
      </c>
      <c r="N2367" s="1" t="inlineStr">
        <is>
          <t>Algorithms</t>
        </is>
      </c>
      <c r="O23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68" ht="15.75" customHeight="1" s="12">
      <c r="A2368" s="1" t="n">
        <v>2679</v>
      </c>
      <c r="B2368" s="3">
        <f>HYPERLINK("https://leetcode.com/problems/sum-in-a-matrix/", "Sum in a Matrix")</f>
        <v/>
      </c>
      <c r="C2368" s="1" t="n">
        <v>400</v>
      </c>
      <c r="D2368" s="1" t="n">
        <v>66</v>
      </c>
      <c r="E2368" s="4">
        <f>IF(INDEX(C:C, ROW())+INDEX(D:D, ROW())=0, 0, INDEX(C:C, ROW())/(INDEX(C:C, ROW())+INDEX(D:D, ROW())))</f>
        <v/>
      </c>
      <c r="F2368" s="1" t="inlineStr">
        <is>
          <t>Array, Sorting, Heap (Priority Queue), Matrix, Simulation</t>
        </is>
      </c>
      <c r="G2368" s="1" t="inlineStr">
        <is>
          <t>Medium</t>
        </is>
      </c>
      <c r="H2368" s="1" t="n">
        <v>47053</v>
      </c>
      <c r="I2368" s="1" t="n">
        <v>78203</v>
      </c>
      <c r="J2368" s="9" t="n">
        <v>0.602</v>
      </c>
      <c r="K2368" s="1" t="inlineStr">
        <is>
          <t>Yes</t>
        </is>
      </c>
      <c r="L2368" s="1" t="inlineStr">
        <is>
          <t>No</t>
        </is>
      </c>
      <c r="M2368" s="1" t="inlineStr">
        <is>
          <t>No</t>
        </is>
      </c>
      <c r="N2368" s="1" t="inlineStr">
        <is>
          <t>Algorithms</t>
        </is>
      </c>
      <c r="O23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69" ht="15.75" customHeight="1" s="12">
      <c r="A2369" s="1" t="n">
        <v>2747</v>
      </c>
      <c r="B2369" s="3">
        <f>HYPERLINK("https://leetcode.com/problems/count-zero-request-servers/", "Count Zero Request Servers")</f>
        <v/>
      </c>
      <c r="C2369" s="1" t="n">
        <v>399</v>
      </c>
      <c r="D2369" s="1" t="n">
        <v>55</v>
      </c>
      <c r="E2369" s="4">
        <f>IF(INDEX(C:C, ROW())+INDEX(D:D, ROW())=0, 0, INDEX(C:C, ROW())/(INDEX(C:C, ROW())+INDEX(D:D, ROW())))</f>
        <v/>
      </c>
      <c r="F2369" s="1" t="inlineStr">
        <is>
          <t>Array, Hash Table, Sliding Window, Sorting</t>
        </is>
      </c>
      <c r="G2369" s="1" t="inlineStr">
        <is>
          <t>Medium</t>
        </is>
      </c>
      <c r="H2369" s="1" t="n">
        <v>12220</v>
      </c>
      <c r="I2369" s="1" t="n">
        <v>34508</v>
      </c>
      <c r="J2369" s="9" t="n">
        <v>0.354</v>
      </c>
      <c r="K2369" s="1" t="inlineStr">
        <is>
          <t>Yes</t>
        </is>
      </c>
      <c r="L2369" s="1" t="inlineStr">
        <is>
          <t>No</t>
        </is>
      </c>
      <c r="M2369" s="1" t="inlineStr">
        <is>
          <t>No</t>
        </is>
      </c>
      <c r="N2369" s="1" t="inlineStr">
        <is>
          <t>Algorithms</t>
        </is>
      </c>
      <c r="O23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70" ht="15.75" customHeight="1" s="12">
      <c r="A2370" s="1" t="n">
        <v>544</v>
      </c>
      <c r="B2370" s="3">
        <f>HYPERLINK("https://leetcode.com/problems/output-contest-matches/", "Output Contest Matches")</f>
        <v/>
      </c>
      <c r="C2370" s="1" t="n">
        <v>398</v>
      </c>
      <c r="D2370" s="1" t="n">
        <v>140</v>
      </c>
      <c r="E2370" s="4">
        <f>IF(INDEX(C:C, ROW())+INDEX(D:D, ROW())=0, 0, INDEX(C:C, ROW())/(INDEX(C:C, ROW())+INDEX(D:D, ROW())))</f>
        <v/>
      </c>
      <c r="F2370" s="1" t="inlineStr">
        <is>
          <t>String, Recursion, Simulation</t>
        </is>
      </c>
      <c r="G2370" s="1" t="inlineStr">
        <is>
          <t>Medium</t>
        </is>
      </c>
      <c r="H2370" s="1" t="n">
        <v>28325</v>
      </c>
      <c r="I2370" s="1" t="n">
        <v>36559</v>
      </c>
      <c r="J2370" s="9" t="n">
        <v>0.775</v>
      </c>
      <c r="K2370" s="1" t="inlineStr">
        <is>
          <t>No</t>
        </is>
      </c>
      <c r="L2370" s="1" t="inlineStr">
        <is>
          <t>Yes</t>
        </is>
      </c>
      <c r="M2370" s="1" t="inlineStr">
        <is>
          <t>No</t>
        </is>
      </c>
      <c r="N2370" s="1" t="inlineStr">
        <is>
          <t>Algorithms</t>
        </is>
      </c>
      <c r="O23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71" ht="15.75" customHeight="1" s="12">
      <c r="A2371" s="1" t="n">
        <v>2552</v>
      </c>
      <c r="B2371" s="3">
        <f>HYPERLINK("https://leetcode.com/problems/count-increasing-quadruplets/", "Count Increasing Quadruplets")</f>
        <v/>
      </c>
      <c r="C2371" s="1" t="n">
        <v>398</v>
      </c>
      <c r="D2371" s="1" t="n">
        <v>73</v>
      </c>
      <c r="E2371" s="4">
        <f>IF(INDEX(C:C, ROW())+INDEX(D:D, ROW())=0, 0, INDEX(C:C, ROW())/(INDEX(C:C, ROW())+INDEX(D:D, ROW())))</f>
        <v/>
      </c>
      <c r="F2371" s="1" t="inlineStr">
        <is>
          <t>Array, Dynamic Programming, Binary Indexed Tree, Enumeration, Prefix Sum</t>
        </is>
      </c>
      <c r="G2371" s="1" t="inlineStr">
        <is>
          <t>Hard</t>
        </is>
      </c>
      <c r="H2371" s="1" t="n">
        <v>12040</v>
      </c>
      <c r="I2371" s="1" t="n">
        <v>34996</v>
      </c>
      <c r="J2371" s="9" t="n">
        <v>0.344</v>
      </c>
      <c r="K2371" s="1" t="inlineStr">
        <is>
          <t>Yes</t>
        </is>
      </c>
      <c r="L2371" s="1" t="inlineStr">
        <is>
          <t>No</t>
        </is>
      </c>
      <c r="M2371" s="1" t="inlineStr">
        <is>
          <t>No</t>
        </is>
      </c>
      <c r="N2371" s="1" t="inlineStr">
        <is>
          <t>Algorithms</t>
        </is>
      </c>
      <c r="O23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72" ht="15.75" customHeight="1" s="12">
      <c r="A2372" s="1" t="n">
        <v>2614</v>
      </c>
      <c r="B2372" s="3">
        <f>HYPERLINK("https://leetcode.com/problems/prime-in-diagonal/", "Prime In Diagonal")</f>
        <v/>
      </c>
      <c r="C2372" s="1" t="n">
        <v>398</v>
      </c>
      <c r="D2372" s="1" t="n">
        <v>46</v>
      </c>
      <c r="E2372" s="4">
        <f>IF(INDEX(C:C, ROW())+INDEX(D:D, ROW())=0, 0, INDEX(C:C, ROW())/(INDEX(C:C, ROW())+INDEX(D:D, ROW())))</f>
        <v/>
      </c>
      <c r="F2372" s="1" t="inlineStr">
        <is>
          <t>Array, Math, Matrix, Number Theory</t>
        </is>
      </c>
      <c r="G2372" s="1" t="inlineStr">
        <is>
          <t>Easy</t>
        </is>
      </c>
      <c r="H2372" s="1" t="n">
        <v>67115</v>
      </c>
      <c r="I2372" s="1" t="n">
        <v>180433</v>
      </c>
      <c r="J2372" s="9" t="n">
        <v>0.372</v>
      </c>
      <c r="K2372" s="1" t="inlineStr">
        <is>
          <t>Yes</t>
        </is>
      </c>
      <c r="L2372" s="1" t="inlineStr">
        <is>
          <t>No</t>
        </is>
      </c>
      <c r="M2372" s="1" t="inlineStr">
        <is>
          <t>No</t>
        </is>
      </c>
      <c r="N2372" s="1" t="inlineStr">
        <is>
          <t>Algorithms</t>
        </is>
      </c>
      <c r="O23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73" ht="15.75" customHeight="1" s="12">
      <c r="A2373" s="1" t="n">
        <v>1736</v>
      </c>
      <c r="B2373" s="3">
        <f>HYPERLINK("https://leetcode.com/problems/latest-time-by-replacing-hidden-digits/", "Latest Time by Replacing Hidden Digits")</f>
        <v/>
      </c>
      <c r="C2373" s="1" t="n">
        <v>397</v>
      </c>
      <c r="D2373" s="1" t="n">
        <v>188</v>
      </c>
      <c r="E2373" s="4">
        <f>IF(INDEX(C:C, ROW())+INDEX(D:D, ROW())=0, 0, INDEX(C:C, ROW())/(INDEX(C:C, ROW())+INDEX(D:D, ROW())))</f>
        <v/>
      </c>
      <c r="F2373" s="1" t="inlineStr">
        <is>
          <t>String, Greedy</t>
        </is>
      </c>
      <c r="G2373" s="1" t="inlineStr">
        <is>
          <t>Easy</t>
        </is>
      </c>
      <c r="H2373" s="1" t="n">
        <v>46687</v>
      </c>
      <c r="I2373" s="1" t="n">
        <v>107132</v>
      </c>
      <c r="J2373" s="9" t="n">
        <v>0.436</v>
      </c>
      <c r="K2373" s="1" t="inlineStr">
        <is>
          <t>Yes</t>
        </is>
      </c>
      <c r="L2373" s="1" t="inlineStr">
        <is>
          <t>No</t>
        </is>
      </c>
      <c r="M2373" s="1" t="inlineStr">
        <is>
          <t>No</t>
        </is>
      </c>
      <c r="N2373" s="1" t="inlineStr">
        <is>
          <t>Algorithms</t>
        </is>
      </c>
      <c r="O23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74" ht="15.75" customHeight="1" s="12">
      <c r="A2374" s="1" t="n">
        <v>3197</v>
      </c>
      <c r="B2374" s="3">
        <f>HYPERLINK("https://leetcode.com/problems/find-the-minimum-area-to-cover-all-ones-ii/", "Find the Minimum Area to Cover All Ones II")</f>
        <v/>
      </c>
      <c r="C2374" s="1" t="n">
        <v>397</v>
      </c>
      <c r="D2374" s="1" t="n">
        <v>67</v>
      </c>
      <c r="E2374" s="4">
        <f>IF(INDEX(C:C, ROW())+INDEX(D:D, ROW())=0, 0, INDEX(C:C, ROW())/(INDEX(C:C, ROW())+INDEX(D:D, ROW())))</f>
        <v/>
      </c>
      <c r="F2374" s="1" t="inlineStr">
        <is>
          <t>Array, Matrix, Enumeration</t>
        </is>
      </c>
      <c r="G2374" s="1" t="inlineStr">
        <is>
          <t>Hard</t>
        </is>
      </c>
      <c r="H2374" s="1" t="n">
        <v>64589</v>
      </c>
      <c r="I2374" s="1" t="n">
        <v>101428</v>
      </c>
      <c r="J2374" s="9" t="n">
        <v>0.637</v>
      </c>
      <c r="K2374" s="1" t="inlineStr">
        <is>
          <t>Yes</t>
        </is>
      </c>
      <c r="L2374" s="1" t="inlineStr">
        <is>
          <t>Yes</t>
        </is>
      </c>
      <c r="M2374" s="1" t="inlineStr">
        <is>
          <t>No</t>
        </is>
      </c>
      <c r="N2374" s="1" t="inlineStr">
        <is>
          <t>Algorithms</t>
        </is>
      </c>
      <c r="O23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75" ht="15.75" customHeight="1" s="12">
      <c r="A2375" s="1" t="n">
        <v>2858</v>
      </c>
      <c r="B2375" s="3">
        <f>HYPERLINK("https://leetcode.com/problems/minimum-edge-reversals-so-every-node-is-reachable/", "Minimum Edge Reversals So Every Node Is Reachable")</f>
        <v/>
      </c>
      <c r="C2375" s="1" t="n">
        <v>395</v>
      </c>
      <c r="D2375" s="1" t="n">
        <v>9</v>
      </c>
      <c r="E2375" s="4">
        <f>IF(INDEX(C:C, ROW())+INDEX(D:D, ROW())=0, 0, INDEX(C:C, ROW())/(INDEX(C:C, ROW())+INDEX(D:D, ROW())))</f>
        <v/>
      </c>
      <c r="F2375" s="1" t="inlineStr">
        <is>
          <t>Dynamic Programming, Depth-First Search, Breadth-First Search, Graph Theory</t>
        </is>
      </c>
      <c r="G2375" s="1" t="inlineStr">
        <is>
          <t>Hard</t>
        </is>
      </c>
      <c r="H2375" s="1" t="n">
        <v>16161</v>
      </c>
      <c r="I2375" s="1" t="n">
        <v>28491</v>
      </c>
      <c r="J2375" s="9" t="n">
        <v>0.5669999999999999</v>
      </c>
      <c r="K2375" s="1" t="inlineStr">
        <is>
          <t>Yes</t>
        </is>
      </c>
      <c r="L2375" s="1" t="inlineStr">
        <is>
          <t>No</t>
        </is>
      </c>
      <c r="M2375" s="1" t="inlineStr">
        <is>
          <t>No</t>
        </is>
      </c>
      <c r="N2375" s="1" t="inlineStr">
        <is>
          <t>Algorithms</t>
        </is>
      </c>
      <c r="O23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76" ht="15.75" customHeight="1" s="12">
      <c r="A2376" s="1" t="n">
        <v>1577</v>
      </c>
      <c r="B2376" s="3">
        <f>HYPERLINK("https://leetcode.com/problems/number-of-ways-where-square-of-number-is-equal-to-product-of-two-numbers/", "Number of Ways Where Square of Number Is Equal to Product of Two Numbers")</f>
        <v/>
      </c>
      <c r="C2376" s="1" t="n">
        <v>394</v>
      </c>
      <c r="D2376" s="1" t="n">
        <v>57</v>
      </c>
      <c r="E2376" s="4">
        <f>IF(INDEX(C:C, ROW())+INDEX(D:D, ROW())=0, 0, INDEX(C:C, ROW())/(INDEX(C:C, ROW())+INDEX(D:D, ROW())))</f>
        <v/>
      </c>
      <c r="F2376" s="1" t="inlineStr">
        <is>
          <t>Array, Hash Table, Math, Two Pointers</t>
        </is>
      </c>
      <c r="G2376" s="1" t="inlineStr">
        <is>
          <t>Medium</t>
        </is>
      </c>
      <c r="H2376" s="1" t="n">
        <v>25974</v>
      </c>
      <c r="I2376" s="1" t="n">
        <v>60412</v>
      </c>
      <c r="J2376" s="9" t="n">
        <v>0.43</v>
      </c>
      <c r="K2376" s="1" t="inlineStr">
        <is>
          <t>Yes</t>
        </is>
      </c>
      <c r="L2376" s="1" t="inlineStr">
        <is>
          <t>No</t>
        </is>
      </c>
      <c r="M2376" s="1" t="inlineStr">
        <is>
          <t>No</t>
        </is>
      </c>
      <c r="N2376" s="1" t="inlineStr">
        <is>
          <t>Algorithms</t>
        </is>
      </c>
      <c r="O23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77" ht="15.75" customHeight="1" s="12">
      <c r="A2377" s="1" t="n">
        <v>1936</v>
      </c>
      <c r="B2377" s="3">
        <f>HYPERLINK("https://leetcode.com/problems/add-minimum-number-of-rungs/", "Add Minimum Number of Rungs")</f>
        <v/>
      </c>
      <c r="C2377" s="1" t="n">
        <v>394</v>
      </c>
      <c r="D2377" s="1" t="n">
        <v>31</v>
      </c>
      <c r="E2377" s="4">
        <f>IF(INDEX(C:C, ROW())+INDEX(D:D, ROW())=0, 0, INDEX(C:C, ROW())/(INDEX(C:C, ROW())+INDEX(D:D, ROW())))</f>
        <v/>
      </c>
      <c r="F2377" s="1" t="inlineStr">
        <is>
          <t>Array, Greedy</t>
        </is>
      </c>
      <c r="G2377" s="1" t="inlineStr">
        <is>
          <t>Medium</t>
        </is>
      </c>
      <c r="H2377" s="1" t="n">
        <v>34627</v>
      </c>
      <c r="I2377" s="1" t="n">
        <v>79211</v>
      </c>
      <c r="J2377" s="9" t="n">
        <v>0.437</v>
      </c>
      <c r="K2377" s="1" t="inlineStr">
        <is>
          <t>Yes</t>
        </is>
      </c>
      <c r="L2377" s="1" t="inlineStr">
        <is>
          <t>No</t>
        </is>
      </c>
      <c r="M2377" s="1" t="inlineStr">
        <is>
          <t>No</t>
        </is>
      </c>
      <c r="N2377" s="1" t="inlineStr">
        <is>
          <t>Algorithms</t>
        </is>
      </c>
      <c r="O23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78" ht="15.75" customHeight="1" s="12">
      <c r="A2378" s="1" t="n">
        <v>2088</v>
      </c>
      <c r="B2378" s="3">
        <f>HYPERLINK("https://leetcode.com/problems/count-fertile-pyramids-in-a-land/", "Count Fertile Pyramids in a Land")</f>
        <v/>
      </c>
      <c r="C2378" s="1" t="n">
        <v>394</v>
      </c>
      <c r="D2378" s="1" t="n">
        <v>21</v>
      </c>
      <c r="E2378" s="4">
        <f>IF(INDEX(C:C, ROW())+INDEX(D:D, ROW())=0, 0, INDEX(C:C, ROW())/(INDEX(C:C, ROW())+INDEX(D:D, ROW())))</f>
        <v/>
      </c>
      <c r="F2378" s="1" t="inlineStr">
        <is>
          <t>Array, Dynamic Programming, Matrix</t>
        </is>
      </c>
      <c r="G2378" s="1" t="inlineStr">
        <is>
          <t>Hard</t>
        </is>
      </c>
      <c r="H2378" s="1" t="n">
        <v>12726</v>
      </c>
      <c r="I2378" s="1" t="n">
        <v>19226</v>
      </c>
      <c r="J2378" s="9" t="n">
        <v>0.662</v>
      </c>
      <c r="K2378" s="1" t="inlineStr">
        <is>
          <t>Yes</t>
        </is>
      </c>
      <c r="L2378" s="1" t="inlineStr">
        <is>
          <t>No</t>
        </is>
      </c>
      <c r="M2378" s="1" t="inlineStr">
        <is>
          <t>No</t>
        </is>
      </c>
      <c r="N2378" s="1" t="inlineStr">
        <is>
          <t>Algorithms</t>
        </is>
      </c>
      <c r="O23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79" ht="15.75" customHeight="1" s="12">
      <c r="A2379" s="1" t="n">
        <v>2910</v>
      </c>
      <c r="B2379" s="3">
        <f>HYPERLINK("https://leetcode.com/problems/minimum-number-of-groups-to-create-a-valid-assignment/", "Minimum Number of Groups to Create a Valid Assignment")</f>
        <v/>
      </c>
      <c r="C2379" s="1" t="n">
        <v>394</v>
      </c>
      <c r="D2379" s="1" t="n">
        <v>187</v>
      </c>
      <c r="E2379" s="4">
        <f>IF(INDEX(C:C, ROW())+INDEX(D:D, ROW())=0, 0, INDEX(C:C, ROW())/(INDEX(C:C, ROW())+INDEX(D:D, ROW())))</f>
        <v/>
      </c>
      <c r="F2379" s="1" t="inlineStr">
        <is>
          <t>Array, Hash Table, Greedy</t>
        </is>
      </c>
      <c r="G2379" s="1" t="inlineStr">
        <is>
          <t>Medium</t>
        </is>
      </c>
      <c r="H2379" s="1" t="n">
        <v>15462</v>
      </c>
      <c r="I2379" s="1" t="n">
        <v>62730</v>
      </c>
      <c r="J2379" s="9" t="n">
        <v>0.246</v>
      </c>
      <c r="K2379" s="1" t="inlineStr">
        <is>
          <t>Yes</t>
        </is>
      </c>
      <c r="L2379" s="1" t="inlineStr">
        <is>
          <t>No</t>
        </is>
      </c>
      <c r="M2379" s="1" t="inlineStr">
        <is>
          <t>No</t>
        </is>
      </c>
      <c r="N2379" s="1" t="inlineStr">
        <is>
          <t>Algorithms</t>
        </is>
      </c>
      <c r="O23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80" ht="15.75" customHeight="1" s="12">
      <c r="A2380" s="1" t="n">
        <v>1694</v>
      </c>
      <c r="B2380" s="3">
        <f>HYPERLINK("https://leetcode.com/problems/reformat-phone-number/", "Reformat Phone Number")</f>
        <v/>
      </c>
      <c r="C2380" s="1" t="n">
        <v>393</v>
      </c>
      <c r="D2380" s="1" t="n">
        <v>206</v>
      </c>
      <c r="E2380" s="4">
        <f>IF(INDEX(C:C, ROW())+INDEX(D:D, ROW())=0, 0, INDEX(C:C, ROW())/(INDEX(C:C, ROW())+INDEX(D:D, ROW())))</f>
        <v/>
      </c>
      <c r="F2380" s="1" t="inlineStr">
        <is>
          <t>String</t>
        </is>
      </c>
      <c r="G2380" s="1" t="inlineStr">
        <is>
          <t>Easy</t>
        </is>
      </c>
      <c r="H2380" s="1" t="n">
        <v>48114</v>
      </c>
      <c r="I2380" s="1" t="n">
        <v>71291</v>
      </c>
      <c r="J2380" s="9" t="n">
        <v>0.675</v>
      </c>
      <c r="K2380" s="1" t="inlineStr">
        <is>
          <t>Yes</t>
        </is>
      </c>
      <c r="L2380" s="1" t="inlineStr">
        <is>
          <t>No</t>
        </is>
      </c>
      <c r="M2380" s="1" t="inlineStr">
        <is>
          <t>No</t>
        </is>
      </c>
      <c r="N2380" s="1" t="inlineStr">
        <is>
          <t>Algorithms</t>
        </is>
      </c>
      <c r="O23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81" ht="15.75" customHeight="1" s="12">
      <c r="A2381" s="1" t="n">
        <v>2733</v>
      </c>
      <c r="B2381" s="3">
        <f>HYPERLINK("https://leetcode.com/problems/neither-minimum-nor-maximum/", "Neither Minimum nor Maximum")</f>
        <v/>
      </c>
      <c r="C2381" s="1" t="n">
        <v>393</v>
      </c>
      <c r="D2381" s="1" t="n">
        <v>19</v>
      </c>
      <c r="E2381" s="4">
        <f>IF(INDEX(C:C, ROW())+INDEX(D:D, ROW())=0, 0, INDEX(C:C, ROW())/(INDEX(C:C, ROW())+INDEX(D:D, ROW())))</f>
        <v/>
      </c>
      <c r="F2381" s="1" t="inlineStr">
        <is>
          <t>Array, Sorting</t>
        </is>
      </c>
      <c r="G2381" s="1" t="inlineStr">
        <is>
          <t>Easy</t>
        </is>
      </c>
      <c r="H2381" s="1" t="n">
        <v>130249</v>
      </c>
      <c r="I2381" s="1" t="n">
        <v>170756</v>
      </c>
      <c r="J2381" s="9" t="n">
        <v>0.763</v>
      </c>
      <c r="K2381" s="1" t="inlineStr">
        <is>
          <t>Yes</t>
        </is>
      </c>
      <c r="L2381" s="1" t="inlineStr">
        <is>
          <t>No</t>
        </is>
      </c>
      <c r="M2381" s="1" t="inlineStr">
        <is>
          <t>No</t>
        </is>
      </c>
      <c r="N2381" s="1" t="inlineStr">
        <is>
          <t>Algorithms</t>
        </is>
      </c>
      <c r="O23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82" ht="15.75" customHeight="1" s="12">
      <c r="A2382" s="1" t="n">
        <v>2122</v>
      </c>
      <c r="B2382" s="3">
        <f>HYPERLINK("https://leetcode.com/problems/recover-the-original-array/", "Recover the Original Array")</f>
        <v/>
      </c>
      <c r="C2382" s="1" t="n">
        <v>392</v>
      </c>
      <c r="D2382" s="1" t="n">
        <v>33</v>
      </c>
      <c r="E2382" s="4">
        <f>IF(INDEX(C:C, ROW())+INDEX(D:D, ROW())=0, 0, INDEX(C:C, ROW())/(INDEX(C:C, ROW())+INDEX(D:D, ROW())))</f>
        <v/>
      </c>
      <c r="F2382" s="1" t="inlineStr">
        <is>
          <t>Array, Hash Table, Two Pointers, Sorting, Enumeration</t>
        </is>
      </c>
      <c r="G2382" s="1" t="inlineStr">
        <is>
          <t>Hard</t>
        </is>
      </c>
      <c r="H2382" s="1" t="n">
        <v>13422</v>
      </c>
      <c r="I2382" s="1" t="n">
        <v>32785</v>
      </c>
      <c r="J2382" s="9" t="n">
        <v>0.409</v>
      </c>
      <c r="K2382" s="1" t="inlineStr">
        <is>
          <t>Yes</t>
        </is>
      </c>
      <c r="L2382" s="1" t="inlineStr">
        <is>
          <t>No</t>
        </is>
      </c>
      <c r="M2382" s="1" t="inlineStr">
        <is>
          <t>No</t>
        </is>
      </c>
      <c r="N2382" s="1" t="inlineStr">
        <is>
          <t>Algorithms</t>
        </is>
      </c>
      <c r="O23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83" ht="15.75" customHeight="1" s="12">
      <c r="A2383" s="1" t="n">
        <v>2522</v>
      </c>
      <c r="B2383" s="3">
        <f>HYPERLINK("https://leetcode.com/problems/partition-string-into-substrings-with-values-at-most-k/", "Partition String Into Substrings With Values at Most K")</f>
        <v/>
      </c>
      <c r="C2383" s="1" t="n">
        <v>392</v>
      </c>
      <c r="D2383" s="1" t="n">
        <v>54</v>
      </c>
      <c r="E2383" s="4">
        <f>IF(INDEX(C:C, ROW())+INDEX(D:D, ROW())=0, 0, INDEX(C:C, ROW())/(INDEX(C:C, ROW())+INDEX(D:D, ROW())))</f>
        <v/>
      </c>
      <c r="F2383" s="1" t="inlineStr">
        <is>
          <t>String, Dynamic Programming, Greedy</t>
        </is>
      </c>
      <c r="G2383" s="1" t="inlineStr">
        <is>
          <t>Medium</t>
        </is>
      </c>
      <c r="H2383" s="1" t="n">
        <v>26225</v>
      </c>
      <c r="I2383" s="1" t="n">
        <v>55344</v>
      </c>
      <c r="J2383" s="9" t="n">
        <v>0.474</v>
      </c>
      <c r="K2383" s="1" t="inlineStr">
        <is>
          <t>Yes</t>
        </is>
      </c>
      <c r="L2383" s="1" t="inlineStr">
        <is>
          <t>No</t>
        </is>
      </c>
      <c r="M2383" s="1" t="inlineStr">
        <is>
          <t>No</t>
        </is>
      </c>
      <c r="N2383" s="1" t="inlineStr">
        <is>
          <t>Algorithms</t>
        </is>
      </c>
      <c r="O23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84" ht="15.75" customHeight="1" s="12">
      <c r="A2384" s="1" t="n">
        <v>2527</v>
      </c>
      <c r="B2384" s="3">
        <f>HYPERLINK("https://leetcode.com/problems/find-xor-beauty-of-array/", "Find Xor-Beauty of Array")</f>
        <v/>
      </c>
      <c r="C2384" s="1" t="n">
        <v>392</v>
      </c>
      <c r="D2384" s="1" t="n">
        <v>56</v>
      </c>
      <c r="E2384" s="4">
        <f>IF(INDEX(C:C, ROW())+INDEX(D:D, ROW())=0, 0, INDEX(C:C, ROW())/(INDEX(C:C, ROW())+INDEX(D:D, ROW())))</f>
        <v/>
      </c>
      <c r="F2384" s="1" t="inlineStr">
        <is>
          <t>Array, Math, Bit Manipulation</t>
        </is>
      </c>
      <c r="G2384" s="1" t="inlineStr">
        <is>
          <t>Medium</t>
        </is>
      </c>
      <c r="H2384" s="1" t="n">
        <v>25598</v>
      </c>
      <c r="I2384" s="1" t="n">
        <v>36390</v>
      </c>
      <c r="J2384" s="9" t="n">
        <v>0.703</v>
      </c>
      <c r="K2384" s="1" t="inlineStr">
        <is>
          <t>Yes</t>
        </is>
      </c>
      <c r="L2384" s="1" t="inlineStr">
        <is>
          <t>No</t>
        </is>
      </c>
      <c r="M2384" s="1" t="inlineStr">
        <is>
          <t>No</t>
        </is>
      </c>
      <c r="N2384" s="1" t="inlineStr">
        <is>
          <t>Algorithms</t>
        </is>
      </c>
      <c r="O23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85" ht="15.75" customHeight="1" s="12">
      <c r="A2385" s="1" t="n">
        <v>2606</v>
      </c>
      <c r="B2385" s="3">
        <f>HYPERLINK("https://leetcode.com/problems/find-the-substring-with-maximum-cost/", "Find the Substring With Maximum Cost")</f>
        <v/>
      </c>
      <c r="C2385" s="1" t="n">
        <v>392</v>
      </c>
      <c r="D2385" s="1" t="n">
        <v>13</v>
      </c>
      <c r="E2385" s="4">
        <f>IF(INDEX(C:C, ROW())+INDEX(D:D, ROW())=0, 0, INDEX(C:C, ROW())/(INDEX(C:C, ROW())+INDEX(D:D, ROW())))</f>
        <v/>
      </c>
      <c r="F2385" s="1" t="inlineStr">
        <is>
          <t>Array, Hash Table, String, Dynamic Programming</t>
        </is>
      </c>
      <c r="G2385" s="1" t="inlineStr">
        <is>
          <t>Medium</t>
        </is>
      </c>
      <c r="H2385" s="1" t="n">
        <v>31220</v>
      </c>
      <c r="I2385" s="1" t="n">
        <v>54115</v>
      </c>
      <c r="J2385" s="9" t="n">
        <v>0.577</v>
      </c>
      <c r="K2385" s="1" t="inlineStr">
        <is>
          <t>Yes</t>
        </is>
      </c>
      <c r="L2385" s="1" t="inlineStr">
        <is>
          <t>No</t>
        </is>
      </c>
      <c r="M2385" s="1" t="inlineStr">
        <is>
          <t>No</t>
        </is>
      </c>
      <c r="N2385" s="1" t="inlineStr">
        <is>
          <t>Algorithms</t>
        </is>
      </c>
      <c r="O23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86" ht="15.75" customHeight="1" s="12">
      <c r="A2386" s="1" t="n">
        <v>2827</v>
      </c>
      <c r="B2386" s="3">
        <f>HYPERLINK("https://leetcode.com/problems/number-of-beautiful-integers-in-the-range/", "Number of Beautiful Integers in the Range")</f>
        <v/>
      </c>
      <c r="C2386" s="1" t="n">
        <v>392</v>
      </c>
      <c r="D2386" s="1" t="n">
        <v>37</v>
      </c>
      <c r="E2386" s="4">
        <f>IF(INDEX(C:C, ROW())+INDEX(D:D, ROW())=0, 0, INDEX(C:C, ROW())/(INDEX(C:C, ROW())+INDEX(D:D, ROW())))</f>
        <v/>
      </c>
      <c r="F2386" s="1" t="inlineStr">
        <is>
          <t>Math, Dynamic Programming</t>
        </is>
      </c>
      <c r="G2386" s="1" t="inlineStr">
        <is>
          <t>Hard</t>
        </is>
      </c>
      <c r="H2386" s="1" t="n">
        <v>13115</v>
      </c>
      <c r="I2386" s="1" t="n">
        <v>61247</v>
      </c>
      <c r="J2386" s="9" t="n">
        <v>0.214</v>
      </c>
      <c r="K2386" s="1" t="inlineStr">
        <is>
          <t>Yes</t>
        </is>
      </c>
      <c r="L2386" s="1" t="inlineStr">
        <is>
          <t>No</t>
        </is>
      </c>
      <c r="M2386" s="1" t="inlineStr">
        <is>
          <t>No</t>
        </is>
      </c>
      <c r="N2386" s="1" t="inlineStr">
        <is>
          <t>Algorithms</t>
        </is>
      </c>
      <c r="O23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87" ht="15.75" customHeight="1" s="12">
      <c r="A2387" s="1" t="n">
        <v>2896</v>
      </c>
      <c r="B2387" s="3">
        <f>HYPERLINK("https://leetcode.com/problems/apply-operations-to-make-two-strings-equal/", "Apply Operations to Make Two Strings Equal")</f>
        <v/>
      </c>
      <c r="C2387" s="1" t="n">
        <v>392</v>
      </c>
      <c r="D2387" s="1" t="n">
        <v>76</v>
      </c>
      <c r="E2387" s="4">
        <f>IF(INDEX(C:C, ROW())+INDEX(D:D, ROW())=0, 0, INDEX(C:C, ROW())/(INDEX(C:C, ROW())+INDEX(D:D, ROW())))</f>
        <v/>
      </c>
      <c r="F2387" s="1" t="inlineStr">
        <is>
          <t>String, Dynamic Programming</t>
        </is>
      </c>
      <c r="G2387" s="1" t="inlineStr">
        <is>
          <t>Medium</t>
        </is>
      </c>
      <c r="H2387" s="1" t="n">
        <v>15082</v>
      </c>
      <c r="I2387" s="1" t="n">
        <v>54693</v>
      </c>
      <c r="J2387" s="9" t="n">
        <v>0.276</v>
      </c>
      <c r="K2387" s="1" t="inlineStr">
        <is>
          <t>Yes</t>
        </is>
      </c>
      <c r="L2387" s="1" t="inlineStr">
        <is>
          <t>No</t>
        </is>
      </c>
      <c r="M2387" s="1" t="inlineStr">
        <is>
          <t>No</t>
        </is>
      </c>
      <c r="N2387" s="1" t="inlineStr">
        <is>
          <t>Algorithms</t>
        </is>
      </c>
      <c r="O23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88" ht="15.75" customHeight="1" s="12">
      <c r="A2388" s="1" t="n">
        <v>3432</v>
      </c>
      <c r="B2388" s="3">
        <f>HYPERLINK("https://leetcode.com/problems/count-partitions-with-even-sum-difference/", "Count Partitions with Even Sum Difference")</f>
        <v/>
      </c>
      <c r="C2388" s="1" t="n">
        <v>392</v>
      </c>
      <c r="D2388" s="1" t="n">
        <v>12</v>
      </c>
      <c r="E2388" s="4">
        <f>IF(INDEX(C:C, ROW())+INDEX(D:D, ROW())=0, 0, INDEX(C:C, ROW())/(INDEX(C:C, ROW())+INDEX(D:D, ROW())))</f>
        <v/>
      </c>
      <c r="F2388" s="1" t="inlineStr">
        <is>
          <t>Array, Math, Prefix Sum</t>
        </is>
      </c>
      <c r="G2388" s="1" t="inlineStr">
        <is>
          <t>Easy</t>
        </is>
      </c>
      <c r="H2388" s="1" t="n">
        <v>164971</v>
      </c>
      <c r="I2388" s="1" t="n">
        <v>193843</v>
      </c>
      <c r="J2388" s="9" t="n">
        <v>0.851</v>
      </c>
      <c r="K2388" s="1" t="inlineStr">
        <is>
          <t>Yes</t>
        </is>
      </c>
      <c r="L2388" s="1" t="inlineStr">
        <is>
          <t>Yes</t>
        </is>
      </c>
      <c r="M2388" s="1" t="inlineStr">
        <is>
          <t>No</t>
        </is>
      </c>
      <c r="N2388" s="1" t="inlineStr">
        <is>
          <t>Algorithms</t>
        </is>
      </c>
      <c r="O23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89" ht="15.75" customHeight="1" s="12">
      <c r="A2389" s="1" t="n">
        <v>2301</v>
      </c>
      <c r="B2389" s="3">
        <f>HYPERLINK("https://leetcode.com/problems/match-substring-after-replacement/", "Match Substring After Replacement")</f>
        <v/>
      </c>
      <c r="C2389" s="1" t="n">
        <v>391</v>
      </c>
      <c r="D2389" s="1" t="n">
        <v>81</v>
      </c>
      <c r="E2389" s="4">
        <f>IF(INDEX(C:C, ROW())+INDEX(D:D, ROW())=0, 0, INDEX(C:C, ROW())/(INDEX(C:C, ROW())+INDEX(D:D, ROW())))</f>
        <v/>
      </c>
      <c r="F2389" s="1" t="inlineStr">
        <is>
          <t>Array, Hash Table, String, String Matching</t>
        </is>
      </c>
      <c r="G2389" s="1" t="inlineStr">
        <is>
          <t>Hard</t>
        </is>
      </c>
      <c r="H2389" s="1" t="n">
        <v>17516</v>
      </c>
      <c r="I2389" s="1" t="n">
        <v>40758</v>
      </c>
      <c r="J2389" s="9" t="n">
        <v>0.43</v>
      </c>
      <c r="K2389" s="1" t="inlineStr">
        <is>
          <t>Yes</t>
        </is>
      </c>
      <c r="L2389" s="1" t="inlineStr">
        <is>
          <t>No</t>
        </is>
      </c>
      <c r="M2389" s="1" t="inlineStr">
        <is>
          <t>No</t>
        </is>
      </c>
      <c r="N2389" s="1" t="inlineStr">
        <is>
          <t>Algorithms</t>
        </is>
      </c>
      <c r="O23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90" ht="15.75" customHeight="1" s="12">
      <c r="A2390" s="1" t="n">
        <v>2562</v>
      </c>
      <c r="B2390" s="3">
        <f>HYPERLINK("https://leetcode.com/problems/find-the-array-concatenation-value/", "Find the Array Concatenation Value")</f>
        <v/>
      </c>
      <c r="C2390" s="1" t="n">
        <v>391</v>
      </c>
      <c r="D2390" s="1" t="n">
        <v>19</v>
      </c>
      <c r="E2390" s="4">
        <f>IF(INDEX(C:C, ROW())+INDEX(D:D, ROW())=0, 0, INDEX(C:C, ROW())/(INDEX(C:C, ROW())+INDEX(D:D, ROW())))</f>
        <v/>
      </c>
      <c r="F2390" s="1" t="inlineStr">
        <is>
          <t>Array, Two Pointers, Simulation</t>
        </is>
      </c>
      <c r="G2390" s="1" t="inlineStr">
        <is>
          <t>Easy</t>
        </is>
      </c>
      <c r="H2390" s="1" t="n">
        <v>66501</v>
      </c>
      <c r="I2390" s="1" t="n">
        <v>92757</v>
      </c>
      <c r="J2390" s="9" t="n">
        <v>0.717</v>
      </c>
      <c r="K2390" s="1" t="inlineStr">
        <is>
          <t>Yes</t>
        </is>
      </c>
      <c r="L2390" s="1" t="inlineStr">
        <is>
          <t>No</t>
        </is>
      </c>
      <c r="M2390" s="1" t="inlineStr">
        <is>
          <t>No</t>
        </is>
      </c>
      <c r="N2390" s="1" t="inlineStr">
        <is>
          <t>Algorithms</t>
        </is>
      </c>
      <c r="O23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91" ht="15.75" customHeight="1" s="12">
      <c r="A2391" s="1" t="n">
        <v>2672</v>
      </c>
      <c r="B2391" s="3">
        <f>HYPERLINK("https://leetcode.com/problems/number-of-adjacent-elements-with-the-same-color/", "Number of Adjacent Elements With the Same Color")</f>
        <v/>
      </c>
      <c r="C2391" s="1" t="n">
        <v>390</v>
      </c>
      <c r="D2391" s="1" t="n">
        <v>111</v>
      </c>
      <c r="E2391" s="4">
        <f>IF(INDEX(C:C, ROW())+INDEX(D:D, ROW())=0, 0, INDEX(C:C, ROW())/(INDEX(C:C, ROW())+INDEX(D:D, ROW())))</f>
        <v/>
      </c>
      <c r="F2391" s="1" t="inlineStr">
        <is>
          <t>Array</t>
        </is>
      </c>
      <c r="G2391" s="1" t="inlineStr">
        <is>
          <t>Medium</t>
        </is>
      </c>
      <c r="H2391" s="1" t="n">
        <v>27995</v>
      </c>
      <c r="I2391" s="1" t="n">
        <v>48275</v>
      </c>
      <c r="J2391" s="9" t="n">
        <v>0.58</v>
      </c>
      <c r="K2391" s="1" t="inlineStr">
        <is>
          <t>Yes</t>
        </is>
      </c>
      <c r="L2391" s="1" t="inlineStr">
        <is>
          <t>No</t>
        </is>
      </c>
      <c r="M2391" s="1" t="inlineStr">
        <is>
          <t>No</t>
        </is>
      </c>
      <c r="N2391" s="1" t="inlineStr">
        <is>
          <t>Algorithms</t>
        </is>
      </c>
      <c r="O23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92" ht="15.75" customHeight="1" s="12">
      <c r="A2392" s="1" t="n">
        <v>3442</v>
      </c>
      <c r="B2392" s="3">
        <f>HYPERLINK("https://leetcode.com/problems/maximum-difference-between-even-and-odd-frequency-i/", "Maximum Difference Between Even and Odd Frequency I")</f>
        <v/>
      </c>
      <c r="C2392" s="1" t="n">
        <v>390</v>
      </c>
      <c r="D2392" s="1" t="n">
        <v>71</v>
      </c>
      <c r="E2392" s="4">
        <f>IF(INDEX(C:C, ROW())+INDEX(D:D, ROW())=0, 0, INDEX(C:C, ROW())/(INDEX(C:C, ROW())+INDEX(D:D, ROW())))</f>
        <v/>
      </c>
      <c r="F2392" s="1" t="inlineStr">
        <is>
          <t>Hash Table, String, Counting</t>
        </is>
      </c>
      <c r="G2392" s="1" t="inlineStr">
        <is>
          <t>Easy</t>
        </is>
      </c>
      <c r="H2392" s="1" t="n">
        <v>178956</v>
      </c>
      <c r="I2392" s="1" t="n">
        <v>294534</v>
      </c>
      <c r="J2392" s="9" t="n">
        <v>0.608</v>
      </c>
      <c r="K2392" s="1" t="inlineStr">
        <is>
          <t>Yes</t>
        </is>
      </c>
      <c r="L2392" s="1" t="inlineStr">
        <is>
          <t>Yes</t>
        </is>
      </c>
      <c r="M2392" s="1" t="inlineStr">
        <is>
          <t>No</t>
        </is>
      </c>
      <c r="N2392" s="1" t="inlineStr">
        <is>
          <t>Algorithms</t>
        </is>
      </c>
      <c r="O23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93" ht="15.75" customHeight="1" s="12">
      <c r="A2393" s="1" t="n">
        <v>1848</v>
      </c>
      <c r="B2393" s="3">
        <f>HYPERLINK("https://leetcode.com/problems/minimum-distance-to-the-target-element/", "Minimum Distance to the Target Element")</f>
        <v/>
      </c>
      <c r="C2393" s="1" t="n">
        <v>389</v>
      </c>
      <c r="D2393" s="1" t="n">
        <v>68</v>
      </c>
      <c r="E2393" s="4">
        <f>IF(INDEX(C:C, ROW())+INDEX(D:D, ROW())=0, 0, INDEX(C:C, ROW())/(INDEX(C:C, ROW())+INDEX(D:D, ROW())))</f>
        <v/>
      </c>
      <c r="F2393" s="1" t="inlineStr">
        <is>
          <t>Array</t>
        </is>
      </c>
      <c r="G2393" s="1" t="inlineStr">
        <is>
          <t>Easy</t>
        </is>
      </c>
      <c r="H2393" s="1" t="n">
        <v>59001</v>
      </c>
      <c r="I2393" s="1" t="n">
        <v>108752</v>
      </c>
      <c r="J2393" s="9" t="n">
        <v>0.543</v>
      </c>
      <c r="K2393" s="1" t="inlineStr">
        <is>
          <t>Yes</t>
        </is>
      </c>
      <c r="L2393" s="1" t="inlineStr">
        <is>
          <t>No</t>
        </is>
      </c>
      <c r="M2393" s="1" t="inlineStr">
        <is>
          <t>No</t>
        </is>
      </c>
      <c r="N2393" s="1" t="inlineStr">
        <is>
          <t>Algorithms</t>
        </is>
      </c>
      <c r="O23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94" ht="15.75" customHeight="1" s="12">
      <c r="A2394" s="1" t="n">
        <v>2609</v>
      </c>
      <c r="B2394" s="3">
        <f>HYPERLINK("https://leetcode.com/problems/find-the-longest-balanced-substring-of-a-binary-string/", "Find the Longest Balanced Substring of a Binary String")</f>
        <v/>
      </c>
      <c r="C2394" s="1" t="n">
        <v>389</v>
      </c>
      <c r="D2394" s="1" t="n">
        <v>31</v>
      </c>
      <c r="E2394" s="4">
        <f>IF(INDEX(C:C, ROW())+INDEX(D:D, ROW())=0, 0, INDEX(C:C, ROW())/(INDEX(C:C, ROW())+INDEX(D:D, ROW())))</f>
        <v/>
      </c>
      <c r="F2394" s="1" t="inlineStr">
        <is>
          <t>String</t>
        </is>
      </c>
      <c r="G2394" s="1" t="inlineStr">
        <is>
          <t>Easy</t>
        </is>
      </c>
      <c r="H2394" s="1" t="n">
        <v>38057</v>
      </c>
      <c r="I2394" s="1" t="n">
        <v>82411</v>
      </c>
      <c r="J2394" s="9" t="n">
        <v>0.462</v>
      </c>
      <c r="K2394" s="1" t="inlineStr">
        <is>
          <t>Yes</t>
        </is>
      </c>
      <c r="L2394" s="1" t="inlineStr">
        <is>
          <t>No</t>
        </is>
      </c>
      <c r="M2394" s="1" t="inlineStr">
        <is>
          <t>No</t>
        </is>
      </c>
      <c r="N2394" s="1" t="inlineStr">
        <is>
          <t>Algorithms</t>
        </is>
      </c>
      <c r="O23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95" ht="15.75" customHeight="1" s="12">
      <c r="A2395" s="1" t="n">
        <v>1622</v>
      </c>
      <c r="B2395" s="3">
        <f>HYPERLINK("https://leetcode.com/problems/fancy-sequence/", "Fancy Sequence")</f>
        <v/>
      </c>
      <c r="C2395" s="1" t="n">
        <v>388</v>
      </c>
      <c r="D2395" s="1" t="n">
        <v>143</v>
      </c>
      <c r="E2395" s="4">
        <f>IF(INDEX(C:C, ROW())+INDEX(D:D, ROW())=0, 0, INDEX(C:C, ROW())/(INDEX(C:C, ROW())+INDEX(D:D, ROW())))</f>
        <v/>
      </c>
      <c r="F2395" s="1" t="inlineStr">
        <is>
          <t>Math, Design, Segment Tree</t>
        </is>
      </c>
      <c r="G2395" s="1" t="inlineStr">
        <is>
          <t>Hard</t>
        </is>
      </c>
      <c r="H2395" s="1" t="n">
        <v>15041</v>
      </c>
      <c r="I2395" s="1" t="n">
        <v>81612</v>
      </c>
      <c r="J2395" s="9" t="n">
        <v>0.184</v>
      </c>
      <c r="K2395" s="1" t="inlineStr">
        <is>
          <t>Yes</t>
        </is>
      </c>
      <c r="L2395" s="1" t="inlineStr">
        <is>
          <t>No</t>
        </is>
      </c>
      <c r="M2395" s="1" t="inlineStr">
        <is>
          <t>No</t>
        </is>
      </c>
      <c r="N2395" s="1" t="inlineStr">
        <is>
          <t>Algorithms</t>
        </is>
      </c>
      <c r="O23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96" ht="15.75" customHeight="1" s="12">
      <c r="A2396" s="1" t="n">
        <v>3433</v>
      </c>
      <c r="B2396" s="3">
        <f>HYPERLINK("https://leetcode.com/problems/count-mentions-per-user/", "Count Mentions Per User")</f>
        <v/>
      </c>
      <c r="C2396" s="1" t="n">
        <v>388</v>
      </c>
      <c r="D2396" s="1" t="n">
        <v>247</v>
      </c>
      <c r="E2396" s="4">
        <f>IF(INDEX(C:C, ROW())+INDEX(D:D, ROW())=0, 0, INDEX(C:C, ROW())/(INDEX(C:C, ROW())+INDEX(D:D, ROW())))</f>
        <v/>
      </c>
      <c r="F2396" s="1" t="inlineStr">
        <is>
          <t>Array, Math, Sorting, Simulation</t>
        </is>
      </c>
      <c r="G2396" s="1" t="inlineStr">
        <is>
          <t>Medium</t>
        </is>
      </c>
      <c r="H2396" s="1" t="n">
        <v>83996</v>
      </c>
      <c r="I2396" s="1" t="n">
        <v>165257</v>
      </c>
      <c r="J2396" s="9" t="n">
        <v>0.508</v>
      </c>
      <c r="K2396" s="1" t="inlineStr">
        <is>
          <t>Yes</t>
        </is>
      </c>
      <c r="L2396" s="1" t="inlineStr">
        <is>
          <t>Yes</t>
        </is>
      </c>
      <c r="M2396" s="1" t="inlineStr">
        <is>
          <t>No</t>
        </is>
      </c>
      <c r="N2396" s="1" t="inlineStr">
        <is>
          <t>Algorithms</t>
        </is>
      </c>
      <c r="O23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97" ht="15.75" customHeight="1" s="12">
      <c r="A2397" s="1" t="n">
        <v>3623</v>
      </c>
      <c r="B2397" s="3">
        <f>HYPERLINK("https://leetcode.com/problems/count-number-of-trapezoids-i/", "Count Number of Trapezoids I")</f>
        <v/>
      </c>
      <c r="C2397" s="1" t="n">
        <v>387</v>
      </c>
      <c r="D2397" s="1" t="n">
        <v>48</v>
      </c>
      <c r="E2397" s="4">
        <f>IF(INDEX(C:C, ROW())+INDEX(D:D, ROW())=0, 0, INDEX(C:C, ROW())/(INDEX(C:C, ROW())+INDEX(D:D, ROW())))</f>
        <v/>
      </c>
      <c r="F2397" s="1" t="inlineStr">
        <is>
          <t>Array, Hash Table, Math, Geometry</t>
        </is>
      </c>
      <c r="G2397" s="1" t="inlineStr">
        <is>
          <t>Medium</t>
        </is>
      </c>
      <c r="H2397" s="1" t="n">
        <v>112693</v>
      </c>
      <c r="I2397" s="1" t="n">
        <v>236712</v>
      </c>
      <c r="J2397" s="9" t="n">
        <v>0.476</v>
      </c>
      <c r="K2397" s="1" t="inlineStr">
        <is>
          <t>Yes</t>
        </is>
      </c>
      <c r="L2397" s="1" t="inlineStr">
        <is>
          <t>Yes</t>
        </is>
      </c>
      <c r="M2397" s="1" t="inlineStr">
        <is>
          <t>No</t>
        </is>
      </c>
      <c r="N2397" s="1" t="inlineStr">
        <is>
          <t>Algorithms</t>
        </is>
      </c>
      <c r="O23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98" ht="15.75" customHeight="1" s="12">
      <c r="A2398" s="1" t="n">
        <v>1554</v>
      </c>
      <c r="B2398" s="3">
        <f>HYPERLINK("https://leetcode.com/problems/strings-differ-by-one-character/", "Strings Differ by One Character")</f>
        <v/>
      </c>
      <c r="C2398" s="1" t="n">
        <v>386</v>
      </c>
      <c r="D2398" s="1" t="n">
        <v>104</v>
      </c>
      <c r="E2398" s="4">
        <f>IF(INDEX(C:C, ROW())+INDEX(D:D, ROW())=0, 0, INDEX(C:C, ROW())/(INDEX(C:C, ROW())+INDEX(D:D, ROW())))</f>
        <v/>
      </c>
      <c r="F2398" s="1" t="inlineStr">
        <is>
          <t>Hash Table, String, Rolling Hash, Hash Function</t>
        </is>
      </c>
      <c r="G2398" s="1" t="inlineStr">
        <is>
          <t>Medium</t>
        </is>
      </c>
      <c r="H2398" s="1" t="n">
        <v>27304</v>
      </c>
      <c r="I2398" s="1" t="n">
        <v>67707</v>
      </c>
      <c r="J2398" s="9" t="n">
        <v>0.403</v>
      </c>
      <c r="K2398" s="1" t="inlineStr">
        <is>
          <t>No</t>
        </is>
      </c>
      <c r="L2398" s="1" t="inlineStr">
        <is>
          <t>No</t>
        </is>
      </c>
      <c r="M2398" s="1" t="inlineStr">
        <is>
          <t>No</t>
        </is>
      </c>
      <c r="N2398" s="1" t="inlineStr">
        <is>
          <t>Algorithms</t>
        </is>
      </c>
      <c r="O23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399" ht="15.75" customHeight="1" s="12">
      <c r="A2399" s="1" t="n">
        <v>2383</v>
      </c>
      <c r="B2399" s="3">
        <f>HYPERLINK("https://leetcode.com/problems/minimum-hours-of-training-to-win-a-competition/", "Minimum Hours of Training to Win a Competition")</f>
        <v/>
      </c>
      <c r="C2399" s="1" t="n">
        <v>386</v>
      </c>
      <c r="D2399" s="1" t="n">
        <v>298</v>
      </c>
      <c r="E2399" s="4">
        <f>IF(INDEX(C:C, ROW())+INDEX(D:D, ROW())=0, 0, INDEX(C:C, ROW())/(INDEX(C:C, ROW())+INDEX(D:D, ROW())))</f>
        <v/>
      </c>
      <c r="F2399" s="1" t="inlineStr">
        <is>
          <t>Array, Greedy</t>
        </is>
      </c>
      <c r="G2399" s="1" t="inlineStr">
        <is>
          <t>Easy</t>
        </is>
      </c>
      <c r="H2399" s="1" t="n">
        <v>38966</v>
      </c>
      <c r="I2399" s="1" t="n">
        <v>92099</v>
      </c>
      <c r="J2399" s="9" t="n">
        <v>0.423</v>
      </c>
      <c r="K2399" s="1" t="inlineStr">
        <is>
          <t>Yes</t>
        </is>
      </c>
      <c r="L2399" s="1" t="inlineStr">
        <is>
          <t>No</t>
        </is>
      </c>
      <c r="M2399" s="1" t="inlineStr">
        <is>
          <t>No</t>
        </is>
      </c>
      <c r="N2399" s="1" t="inlineStr">
        <is>
          <t>Algorithms</t>
        </is>
      </c>
      <c r="O23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00" ht="15.75" customHeight="1" s="12">
      <c r="A2400" s="1" t="n">
        <v>3445</v>
      </c>
      <c r="B2400" s="3">
        <f>HYPERLINK("https://leetcode.com/problems/maximum-difference-between-even-and-odd-frequency-ii/", "Maximum Difference Between Even and Odd Frequency II")</f>
        <v/>
      </c>
      <c r="C2400" s="1" t="n">
        <v>386</v>
      </c>
      <c r="D2400" s="1" t="n">
        <v>104</v>
      </c>
      <c r="E2400" s="4">
        <f>IF(INDEX(C:C, ROW())+INDEX(D:D, ROW())=0, 0, INDEX(C:C, ROW())/(INDEX(C:C, ROW())+INDEX(D:D, ROW())))</f>
        <v/>
      </c>
      <c r="F2400" s="1" t="inlineStr">
        <is>
          <t>String, Sliding Window, Enumeration, Prefix Sum</t>
        </is>
      </c>
      <c r="G2400" s="1" t="inlineStr">
        <is>
          <t>Hard</t>
        </is>
      </c>
      <c r="H2400" s="1" t="n">
        <v>58581</v>
      </c>
      <c r="I2400" s="1" t="n">
        <v>120263</v>
      </c>
      <c r="J2400" s="9" t="n">
        <v>0.487</v>
      </c>
      <c r="K2400" s="1" t="inlineStr">
        <is>
          <t>Yes</t>
        </is>
      </c>
      <c r="L2400" s="1" t="inlineStr">
        <is>
          <t>Yes</t>
        </is>
      </c>
      <c r="M2400" s="1" t="inlineStr">
        <is>
          <t>No</t>
        </is>
      </c>
      <c r="N2400" s="1" t="inlineStr">
        <is>
          <t>Algorithms</t>
        </is>
      </c>
      <c r="O24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01" ht="15.75" customHeight="1" s="12">
      <c r="A2401" s="1" t="n">
        <v>2424</v>
      </c>
      <c r="B2401" s="3">
        <f>HYPERLINK("https://leetcode.com/problems/longest-uploaded-prefix/", "Longest Uploaded Prefix")</f>
        <v/>
      </c>
      <c r="C2401" s="1" t="n">
        <v>385</v>
      </c>
      <c r="D2401" s="1" t="n">
        <v>32</v>
      </c>
      <c r="E2401" s="4">
        <f>IF(INDEX(C:C, ROW())+INDEX(D:D, ROW())=0, 0, INDEX(C:C, ROW())/(INDEX(C:C, ROW())+INDEX(D:D, ROW())))</f>
        <v/>
      </c>
      <c r="F2401" s="1" t="inlineStr">
        <is>
          <t>Hash Table, Binary Search, Union-Find, Design, Binary Indexed Tree, Segment Tree, Heap (Priority Queue), Ordered Set</t>
        </is>
      </c>
      <c r="G2401" s="1" t="inlineStr">
        <is>
          <t>Medium</t>
        </is>
      </c>
      <c r="H2401" s="1" t="n">
        <v>27707</v>
      </c>
      <c r="I2401" s="1" t="n">
        <v>50747</v>
      </c>
      <c r="J2401" s="9" t="n">
        <v>0.546</v>
      </c>
      <c r="K2401" s="1" t="inlineStr">
        <is>
          <t>Yes</t>
        </is>
      </c>
      <c r="L2401" s="1" t="inlineStr">
        <is>
          <t>No</t>
        </is>
      </c>
      <c r="M2401" s="1" t="inlineStr">
        <is>
          <t>No</t>
        </is>
      </c>
      <c r="N2401" s="1" t="inlineStr">
        <is>
          <t>Algorithms</t>
        </is>
      </c>
      <c r="O24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02" ht="15.75" customHeight="1" s="12">
      <c r="A2402" s="1" t="n">
        <v>2509</v>
      </c>
      <c r="B2402" s="3">
        <f>HYPERLINK("https://leetcode.com/problems/cycle-length-queries-in-a-tree/", "Cycle Length Queries in a Tree")</f>
        <v/>
      </c>
      <c r="C2402" s="1" t="n">
        <v>384</v>
      </c>
      <c r="D2402" s="1" t="n">
        <v>31</v>
      </c>
      <c r="E2402" s="4">
        <f>IF(INDEX(C:C, ROW())+INDEX(D:D, ROW())=0, 0, INDEX(C:C, ROW())/(INDEX(C:C, ROW())+INDEX(D:D, ROW())))</f>
        <v/>
      </c>
      <c r="F2402" s="1" t="inlineStr">
        <is>
          <t>Array, Tree, Binary Tree</t>
        </is>
      </c>
      <c r="G2402" s="1" t="inlineStr">
        <is>
          <t>Hard</t>
        </is>
      </c>
      <c r="H2402" s="1" t="n">
        <v>18390</v>
      </c>
      <c r="I2402" s="1" t="n">
        <v>30821</v>
      </c>
      <c r="J2402" s="9" t="n">
        <v>0.597</v>
      </c>
      <c r="K2402" s="1" t="inlineStr">
        <is>
          <t>Yes</t>
        </is>
      </c>
      <c r="L2402" s="1" t="inlineStr">
        <is>
          <t>No</t>
        </is>
      </c>
      <c r="M2402" s="1" t="inlineStr">
        <is>
          <t>No</t>
        </is>
      </c>
      <c r="N2402" s="1" t="inlineStr">
        <is>
          <t>Algorithms</t>
        </is>
      </c>
      <c r="O24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03" ht="15.75" customHeight="1" s="12">
      <c r="A2403" s="1" t="n">
        <v>2708</v>
      </c>
      <c r="B2403" s="3">
        <f>HYPERLINK("https://leetcode.com/problems/maximum-strength-of-a-group/", "Maximum Strength of a Group")</f>
        <v/>
      </c>
      <c r="C2403" s="1" t="n">
        <v>384</v>
      </c>
      <c r="D2403" s="1" t="n">
        <v>65</v>
      </c>
      <c r="E2403" s="4">
        <f>IF(INDEX(C:C, ROW())+INDEX(D:D, ROW())=0, 0, INDEX(C:C, ROW())/(INDEX(C:C, ROW())+INDEX(D:D, ROW())))</f>
        <v/>
      </c>
      <c r="F2403" s="1" t="inlineStr">
        <is>
          <t>Array, Dynamic Programming, Backtracking, Greedy, Bit Manipulation, Sorting, Enumeration</t>
        </is>
      </c>
      <c r="G2403" s="1" t="inlineStr">
        <is>
          <t>Medium</t>
        </is>
      </c>
      <c r="H2403" s="1" t="n">
        <v>37212</v>
      </c>
      <c r="I2403" s="1" t="n">
        <v>146305</v>
      </c>
      <c r="J2403" s="9" t="n">
        <v>0.254</v>
      </c>
      <c r="K2403" s="1" t="inlineStr">
        <is>
          <t>Yes</t>
        </is>
      </c>
      <c r="L2403" s="1" t="inlineStr">
        <is>
          <t>No</t>
        </is>
      </c>
      <c r="M2403" s="1" t="inlineStr">
        <is>
          <t>No</t>
        </is>
      </c>
      <c r="N2403" s="1" t="inlineStr">
        <is>
          <t>Algorithms</t>
        </is>
      </c>
      <c r="O24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04" ht="15.75" customHeight="1" s="12">
      <c r="A2404" s="1" t="n">
        <v>3495</v>
      </c>
      <c r="B2404" s="3">
        <f>HYPERLINK("https://leetcode.com/problems/minimum-operations-to-make-array-elements-zero/", "Minimum Operations to Make Array Elements Zero")</f>
        <v/>
      </c>
      <c r="C2404" s="1" t="n">
        <v>384</v>
      </c>
      <c r="D2404" s="1" t="n">
        <v>53</v>
      </c>
      <c r="E2404" s="4">
        <f>IF(INDEX(C:C, ROW())+INDEX(D:D, ROW())=0, 0, INDEX(C:C, ROW())/(INDEX(C:C, ROW())+INDEX(D:D, ROW())))</f>
        <v/>
      </c>
      <c r="F2404" s="1" t="inlineStr">
        <is>
          <t>Array, Math, Bit Manipulation</t>
        </is>
      </c>
      <c r="G2404" s="1" t="inlineStr">
        <is>
          <t>Hard</t>
        </is>
      </c>
      <c r="H2404" s="1" t="n">
        <v>78415</v>
      </c>
      <c r="I2404" s="1" t="n">
        <v>129788</v>
      </c>
      <c r="J2404" s="9" t="n">
        <v>0.604</v>
      </c>
      <c r="K2404" s="1" t="inlineStr">
        <is>
          <t>Yes</t>
        </is>
      </c>
      <c r="L2404" s="1" t="inlineStr">
        <is>
          <t>Yes</t>
        </is>
      </c>
      <c r="M2404" s="1" t="inlineStr">
        <is>
          <t>No</t>
        </is>
      </c>
      <c r="N2404" s="1" t="inlineStr">
        <is>
          <t>Algorithms</t>
        </is>
      </c>
      <c r="O24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05" ht="15.75" customHeight="1" s="12">
      <c r="A2405" s="1" t="n">
        <v>1065</v>
      </c>
      <c r="B2405" s="3">
        <f>HYPERLINK("https://leetcode.com/problems/index-pairs-of-a-string/", "Index Pairs of a String")</f>
        <v/>
      </c>
      <c r="C2405" s="1" t="n">
        <v>383</v>
      </c>
      <c r="D2405" s="1" t="n">
        <v>109</v>
      </c>
      <c r="E2405" s="4">
        <f>IF(INDEX(C:C, ROW())+INDEX(D:D, ROW())=0, 0, INDEX(C:C, ROW())/(INDEX(C:C, ROW())+INDEX(D:D, ROW())))</f>
        <v/>
      </c>
      <c r="F2405" s="1" t="inlineStr">
        <is>
          <t>Array, String, Trie, Sorting</t>
        </is>
      </c>
      <c r="G2405" s="1" t="inlineStr">
        <is>
          <t>Easy</t>
        </is>
      </c>
      <c r="H2405" s="1" t="n">
        <v>31037</v>
      </c>
      <c r="I2405" s="1" t="n">
        <v>45242</v>
      </c>
      <c r="J2405" s="9" t="n">
        <v>0.6860000000000001</v>
      </c>
      <c r="K2405" s="1" t="inlineStr">
        <is>
          <t>No</t>
        </is>
      </c>
      <c r="L2405" s="1" t="inlineStr">
        <is>
          <t>Yes</t>
        </is>
      </c>
      <c r="M2405" s="1" t="inlineStr">
        <is>
          <t>No</t>
        </is>
      </c>
      <c r="N2405" s="1" t="inlineStr">
        <is>
          <t>Algorithms</t>
        </is>
      </c>
      <c r="O24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06" ht="15.75" customHeight="1" s="12">
      <c r="A2406" s="1" t="n">
        <v>1016</v>
      </c>
      <c r="B2406" s="3">
        <f>HYPERLINK("https://leetcode.com/problems/binary-string-with-substrings-representing-1-to-n/", "Binary String With Substrings Representing 1 To N")</f>
        <v/>
      </c>
      <c r="C2406" s="1" t="n">
        <v>382</v>
      </c>
      <c r="D2406" s="1" t="n">
        <v>540</v>
      </c>
      <c r="E2406" s="4">
        <f>IF(INDEX(C:C, ROW())+INDEX(D:D, ROW())=0, 0, INDEX(C:C, ROW())/(INDEX(C:C, ROW())+INDEX(D:D, ROW())))</f>
        <v/>
      </c>
      <c r="F2406" s="1" t="inlineStr">
        <is>
          <t>Hash Table, String, Bit Manipulation, Sliding Window</t>
        </is>
      </c>
      <c r="G2406" s="1" t="inlineStr">
        <is>
          <t>Medium</t>
        </is>
      </c>
      <c r="H2406" s="1" t="n">
        <v>47758</v>
      </c>
      <c r="I2406" s="1" t="n">
        <v>81845</v>
      </c>
      <c r="J2406" s="9" t="n">
        <v>0.584</v>
      </c>
      <c r="K2406" s="1" t="inlineStr">
        <is>
          <t>Yes</t>
        </is>
      </c>
      <c r="L2406" s="1" t="inlineStr">
        <is>
          <t>No</t>
        </is>
      </c>
      <c r="M2406" s="1" t="inlineStr">
        <is>
          <t>No</t>
        </is>
      </c>
      <c r="N2406" s="1" t="inlineStr">
        <is>
          <t>Algorithms</t>
        </is>
      </c>
      <c r="O24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07" ht="15.75" customHeight="1" s="12">
      <c r="A2407" s="1" t="n">
        <v>1452</v>
      </c>
      <c r="B2407" s="3">
        <f>HYPERLINK("https://leetcode.com/problems/people-whose-list-of-favorite-companies-is-not-a-subset-of-another-list/", "People Whose List of Favorite Companies Is Not a Subset of Another List")</f>
        <v/>
      </c>
      <c r="C2407" s="1" t="n">
        <v>382</v>
      </c>
      <c r="D2407" s="1" t="n">
        <v>230</v>
      </c>
      <c r="E2407" s="4">
        <f>IF(INDEX(C:C, ROW())+INDEX(D:D, ROW())=0, 0, INDEX(C:C, ROW())/(INDEX(C:C, ROW())+INDEX(D:D, ROW())))</f>
        <v/>
      </c>
      <c r="F2407" s="1" t="inlineStr">
        <is>
          <t>Array, Hash Table, String</t>
        </is>
      </c>
      <c r="G2407" s="1" t="inlineStr">
        <is>
          <t>Medium</t>
        </is>
      </c>
      <c r="H2407" s="1" t="n">
        <v>34484</v>
      </c>
      <c r="I2407" s="1" t="n">
        <v>57118</v>
      </c>
      <c r="J2407" s="9" t="n">
        <v>0.604</v>
      </c>
      <c r="K2407" s="1" t="inlineStr">
        <is>
          <t>Yes</t>
        </is>
      </c>
      <c r="L2407" s="1" t="inlineStr">
        <is>
          <t>No</t>
        </is>
      </c>
      <c r="M2407" s="1" t="inlineStr">
        <is>
          <t>No</t>
        </is>
      </c>
      <c r="N2407" s="1" t="inlineStr">
        <is>
          <t>Algorithms</t>
        </is>
      </c>
      <c r="O24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08" ht="15.75" customHeight="1" s="12">
      <c r="A2408" s="1" t="n">
        <v>2767</v>
      </c>
      <c r="B2408" s="3">
        <f>HYPERLINK("https://leetcode.com/problems/partition-string-into-minimum-beautiful-substrings/", "Partition String Into Minimum Beautiful Substrings")</f>
        <v/>
      </c>
      <c r="C2408" s="1" t="n">
        <v>382</v>
      </c>
      <c r="D2408" s="1" t="n">
        <v>19</v>
      </c>
      <c r="E2408" s="4">
        <f>IF(INDEX(C:C, ROW())+INDEX(D:D, ROW())=0, 0, INDEX(C:C, ROW())/(INDEX(C:C, ROW())+INDEX(D:D, ROW())))</f>
        <v/>
      </c>
      <c r="F2408" s="1" t="inlineStr">
        <is>
          <t>Hash Table, String, Dynamic Programming, Backtracking</t>
        </is>
      </c>
      <c r="G2408" s="1" t="inlineStr">
        <is>
          <t>Medium</t>
        </is>
      </c>
      <c r="H2408" s="1" t="n">
        <v>21612</v>
      </c>
      <c r="I2408" s="1" t="n">
        <v>40145</v>
      </c>
      <c r="J2408" s="9" t="n">
        <v>0.538</v>
      </c>
      <c r="K2408" s="1" t="inlineStr">
        <is>
          <t>Yes</t>
        </is>
      </c>
      <c r="L2408" s="1" t="inlineStr">
        <is>
          <t>No</t>
        </is>
      </c>
      <c r="M2408" s="1" t="inlineStr">
        <is>
          <t>No</t>
        </is>
      </c>
      <c r="N2408" s="1" t="inlineStr">
        <is>
          <t>Algorithms</t>
        </is>
      </c>
      <c r="O24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09" ht="15.75" customHeight="1" s="12">
      <c r="A2409" s="1" t="n">
        <v>3337</v>
      </c>
      <c r="B2409" s="3">
        <f>HYPERLINK("https://leetcode.com/problems/total-characters-in-string-after-transformations-ii/", "Total Characters in String After Transformations II")</f>
        <v/>
      </c>
      <c r="C2409" s="1" t="n">
        <v>382</v>
      </c>
      <c r="D2409" s="1" t="n">
        <v>83</v>
      </c>
      <c r="E2409" s="4">
        <f>IF(INDEX(C:C, ROW())+INDEX(D:D, ROW())=0, 0, INDEX(C:C, ROW())/(INDEX(C:C, ROW())+INDEX(D:D, ROW())))</f>
        <v/>
      </c>
      <c r="F2409" s="1" t="inlineStr">
        <is>
          <t>Hash Table, Math, String, Dynamic Programming, Counting</t>
        </is>
      </c>
      <c r="G2409" s="1" t="inlineStr">
        <is>
          <t>Hard</t>
        </is>
      </c>
      <c r="H2409" s="1" t="n">
        <v>63325</v>
      </c>
      <c r="I2409" s="1" t="n">
        <v>109075</v>
      </c>
      <c r="J2409" s="9" t="n">
        <v>0.581</v>
      </c>
      <c r="K2409" s="1" t="inlineStr">
        <is>
          <t>Yes</t>
        </is>
      </c>
      <c r="L2409" s="1" t="inlineStr">
        <is>
          <t>Yes</t>
        </is>
      </c>
      <c r="M2409" s="1" t="inlineStr">
        <is>
          <t>No</t>
        </is>
      </c>
      <c r="N2409" s="1" t="inlineStr">
        <is>
          <t>Algorithms</t>
        </is>
      </c>
      <c r="O24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10" ht="15.75" customHeight="1" s="12">
      <c r="A2410" s="1" t="n">
        <v>1548</v>
      </c>
      <c r="B2410" s="3">
        <f>HYPERLINK("https://leetcode.com/problems/the-most-similar-path-in-a-graph/", "The Most Similar Path in a Graph")</f>
        <v/>
      </c>
      <c r="C2410" s="1" t="n">
        <v>380</v>
      </c>
      <c r="D2410" s="1" t="n">
        <v>187</v>
      </c>
      <c r="E2410" s="4">
        <f>IF(INDEX(C:C, ROW())+INDEX(D:D, ROW())=0, 0, INDEX(C:C, ROW())/(INDEX(C:C, ROW())+INDEX(D:D, ROW())))</f>
        <v/>
      </c>
      <c r="F2410" s="1" t="inlineStr">
        <is>
          <t>Dynamic Programming, Graph Theory</t>
        </is>
      </c>
      <c r="G2410" s="1" t="inlineStr">
        <is>
          <t>Hard</t>
        </is>
      </c>
      <c r="H2410" s="1" t="n">
        <v>17847</v>
      </c>
      <c r="I2410" s="1" t="n">
        <v>30047</v>
      </c>
      <c r="J2410" s="9" t="n">
        <v>0.594</v>
      </c>
      <c r="K2410" s="1" t="inlineStr">
        <is>
          <t>No</t>
        </is>
      </c>
      <c r="L2410" s="1" t="inlineStr">
        <is>
          <t>Yes</t>
        </is>
      </c>
      <c r="M2410" s="1" t="inlineStr">
        <is>
          <t>No</t>
        </is>
      </c>
      <c r="N2410" s="1" t="inlineStr">
        <is>
          <t>Algorithms</t>
        </is>
      </c>
      <c r="O24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11" ht="15.75" customHeight="1" s="12">
      <c r="A2411" s="1" t="n">
        <v>2568</v>
      </c>
      <c r="B2411" s="3">
        <f>HYPERLINK("https://leetcode.com/problems/minimum-impossible-or/", "Minimum Impossible OR")</f>
        <v/>
      </c>
      <c r="C2411" s="1" t="n">
        <v>380</v>
      </c>
      <c r="D2411" s="1" t="n">
        <v>22</v>
      </c>
      <c r="E2411" s="4">
        <f>IF(INDEX(C:C, ROW())+INDEX(D:D, ROW())=0, 0, INDEX(C:C, ROW())/(INDEX(C:C, ROW())+INDEX(D:D, ROW())))</f>
        <v/>
      </c>
      <c r="F2411" s="1" t="inlineStr">
        <is>
          <t>Array, Bit Manipulation, Brainteaser</t>
        </is>
      </c>
      <c r="G2411" s="1" t="inlineStr">
        <is>
          <t>Medium</t>
        </is>
      </c>
      <c r="H2411" s="1" t="n">
        <v>19639</v>
      </c>
      <c r="I2411" s="1" t="n">
        <v>33494</v>
      </c>
      <c r="J2411" s="9" t="n">
        <v>0.586</v>
      </c>
      <c r="K2411" s="1" t="inlineStr">
        <is>
          <t>Yes</t>
        </is>
      </c>
      <c r="L2411" s="1" t="inlineStr">
        <is>
          <t>No</t>
        </is>
      </c>
      <c r="M2411" s="1" t="inlineStr">
        <is>
          <t>No</t>
        </is>
      </c>
      <c r="N2411" s="1" t="inlineStr">
        <is>
          <t>Algorithms</t>
        </is>
      </c>
      <c r="O24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12" ht="15.75" customHeight="1" s="12">
      <c r="A2412" s="1" t="n">
        <v>2470</v>
      </c>
      <c r="B2412" s="3">
        <f>HYPERLINK("https://leetcode.com/problems/number-of-subarrays-with-lcm-equal-to-k/", "Number of Subarrays With LCM Equal to K")</f>
        <v/>
      </c>
      <c r="C2412" s="1" t="n">
        <v>379</v>
      </c>
      <c r="D2412" s="1" t="n">
        <v>41</v>
      </c>
      <c r="E2412" s="4">
        <f>IF(INDEX(C:C, ROW())+INDEX(D:D, ROW())=0, 0, INDEX(C:C, ROW())/(INDEX(C:C, ROW())+INDEX(D:D, ROW())))</f>
        <v/>
      </c>
      <c r="F2412" s="1" t="inlineStr">
        <is>
          <t>Array, Math, Number Theory</t>
        </is>
      </c>
      <c r="G2412" s="1" t="inlineStr">
        <is>
          <t>Medium</t>
        </is>
      </c>
      <c r="H2412" s="1" t="n">
        <v>30003</v>
      </c>
      <c r="I2412" s="1" t="n">
        <v>70701</v>
      </c>
      <c r="J2412" s="9" t="n">
        <v>0.424</v>
      </c>
      <c r="K2412" s="1" t="inlineStr">
        <is>
          <t>Yes</t>
        </is>
      </c>
      <c r="L2412" s="1" t="inlineStr">
        <is>
          <t>No</t>
        </is>
      </c>
      <c r="M2412" s="1" t="inlineStr">
        <is>
          <t>No</t>
        </is>
      </c>
      <c r="N2412" s="1" t="inlineStr">
        <is>
          <t>Algorithms</t>
        </is>
      </c>
      <c r="O24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13" ht="15.75" customHeight="1" s="12">
      <c r="A2413" s="1" t="n">
        <v>2299</v>
      </c>
      <c r="B2413" s="3">
        <f>HYPERLINK("https://leetcode.com/problems/strong-password-checker-ii/", "Strong Password Checker II")</f>
        <v/>
      </c>
      <c r="C2413" s="1" t="n">
        <v>378</v>
      </c>
      <c r="D2413" s="1" t="n">
        <v>41</v>
      </c>
      <c r="E2413" s="4">
        <f>IF(INDEX(C:C, ROW())+INDEX(D:D, ROW())=0, 0, INDEX(C:C, ROW())/(INDEX(C:C, ROW())+INDEX(D:D, ROW())))</f>
        <v/>
      </c>
      <c r="F2413" s="1" t="inlineStr">
        <is>
          <t>String</t>
        </is>
      </c>
      <c r="G2413" s="1" t="inlineStr">
        <is>
          <t>Easy</t>
        </is>
      </c>
      <c r="H2413" s="1" t="n">
        <v>55834</v>
      </c>
      <c r="I2413" s="1" t="n">
        <v>101006</v>
      </c>
      <c r="J2413" s="9" t="n">
        <v>0.553</v>
      </c>
      <c r="K2413" s="1" t="inlineStr">
        <is>
          <t>Yes</t>
        </is>
      </c>
      <c r="L2413" s="1" t="inlineStr">
        <is>
          <t>No</t>
        </is>
      </c>
      <c r="M2413" s="1" t="inlineStr">
        <is>
          <t>No</t>
        </is>
      </c>
      <c r="N2413" s="1" t="inlineStr">
        <is>
          <t>Algorithms</t>
        </is>
      </c>
      <c r="O24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14" ht="15.75" customHeight="1" s="12">
      <c r="A2414" s="1" t="n">
        <v>906</v>
      </c>
      <c r="B2414" s="3">
        <f>HYPERLINK("https://leetcode.com/problems/super-palindromes/", "Super Palindromes")</f>
        <v/>
      </c>
      <c r="C2414" s="1" t="n">
        <v>375</v>
      </c>
      <c r="D2414" s="1" t="n">
        <v>423</v>
      </c>
      <c r="E2414" s="4">
        <f>IF(INDEX(C:C, ROW())+INDEX(D:D, ROW())=0, 0, INDEX(C:C, ROW())/(INDEX(C:C, ROW())+INDEX(D:D, ROW())))</f>
        <v/>
      </c>
      <c r="F2414" s="1" t="inlineStr">
        <is>
          <t>Math, String, Enumeration</t>
        </is>
      </c>
      <c r="G2414" s="1" t="inlineStr">
        <is>
          <t>Hard</t>
        </is>
      </c>
      <c r="H2414" s="1" t="n">
        <v>28051</v>
      </c>
      <c r="I2414" s="1" t="n">
        <v>70542</v>
      </c>
      <c r="J2414" s="9" t="n">
        <v>0.398</v>
      </c>
      <c r="K2414" s="1" t="inlineStr">
        <is>
          <t>Yes</t>
        </is>
      </c>
      <c r="L2414" s="1" t="inlineStr">
        <is>
          <t>Yes</t>
        </is>
      </c>
      <c r="M2414" s="1" t="inlineStr">
        <is>
          <t>No</t>
        </is>
      </c>
      <c r="N2414" s="1" t="inlineStr">
        <is>
          <t>Algorithms</t>
        </is>
      </c>
      <c r="O24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15" ht="15.75" customHeight="1" s="12">
      <c r="A2415" s="1" t="n">
        <v>2586</v>
      </c>
      <c r="B2415" s="3">
        <f>HYPERLINK("https://leetcode.com/problems/count-the-number-of-vowel-strings-in-range/", "Count the Number of Vowel Strings in Range")</f>
        <v/>
      </c>
      <c r="C2415" s="1" t="n">
        <v>375</v>
      </c>
      <c r="D2415" s="1" t="n">
        <v>31</v>
      </c>
      <c r="E2415" s="4">
        <f>IF(INDEX(C:C, ROW())+INDEX(D:D, ROW())=0, 0, INDEX(C:C, ROW())/(INDEX(C:C, ROW())+INDEX(D:D, ROW())))</f>
        <v/>
      </c>
      <c r="F2415" s="1" t="inlineStr">
        <is>
          <t>Array, String, Counting</t>
        </is>
      </c>
      <c r="G2415" s="1" t="inlineStr">
        <is>
          <t>Easy</t>
        </is>
      </c>
      <c r="H2415" s="1" t="n">
        <v>86205</v>
      </c>
      <c r="I2415" s="1" t="n">
        <v>116401</v>
      </c>
      <c r="J2415" s="9" t="n">
        <v>0.741</v>
      </c>
      <c r="K2415" s="1" t="inlineStr">
        <is>
          <t>Yes</t>
        </is>
      </c>
      <c r="L2415" s="1" t="inlineStr">
        <is>
          <t>No</t>
        </is>
      </c>
      <c r="M2415" s="1" t="inlineStr">
        <is>
          <t>No</t>
        </is>
      </c>
      <c r="N2415" s="1" t="inlineStr">
        <is>
          <t>Algorithms</t>
        </is>
      </c>
      <c r="O24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16" ht="15.75" customHeight="1" s="12">
      <c r="A2416" s="1" t="n">
        <v>1784</v>
      </c>
      <c r="B2416" s="3">
        <f>HYPERLINK("https://leetcode.com/problems/check-if-binary-string-has-at-most-one-segment-of-ones/", "Check if Binary String Has at Most One Segment of Ones")</f>
        <v/>
      </c>
      <c r="C2416" s="1" t="n">
        <v>374</v>
      </c>
      <c r="D2416" s="1" t="n">
        <v>1007</v>
      </c>
      <c r="E2416" s="4">
        <f>IF(INDEX(C:C, ROW())+INDEX(D:D, ROW())=0, 0, INDEX(C:C, ROW())/(INDEX(C:C, ROW())+INDEX(D:D, ROW())))</f>
        <v/>
      </c>
      <c r="F2416" s="1" t="inlineStr">
        <is>
          <t>String</t>
        </is>
      </c>
      <c r="G2416" s="1" t="inlineStr">
        <is>
          <t>Easy</t>
        </is>
      </c>
      <c r="H2416" s="1" t="n">
        <v>57721</v>
      </c>
      <c r="I2416" s="1" t="n">
        <v>146907</v>
      </c>
      <c r="J2416" s="9" t="n">
        <v>0.393</v>
      </c>
      <c r="K2416" s="1" t="inlineStr">
        <is>
          <t>Yes</t>
        </is>
      </c>
      <c r="L2416" s="1" t="inlineStr">
        <is>
          <t>No</t>
        </is>
      </c>
      <c r="M2416" s="1" t="inlineStr">
        <is>
          <t>No</t>
        </is>
      </c>
      <c r="N2416" s="1" t="inlineStr">
        <is>
          <t>Algorithms</t>
        </is>
      </c>
      <c r="O24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17" ht="15.75" customHeight="1" s="12">
      <c r="A2417" s="1" t="n">
        <v>3047</v>
      </c>
      <c r="B2417" s="3">
        <f>HYPERLINK("https://leetcode.com/problems/find-the-largest-area-of-square-inside-two-rectangles/", "Find the Largest Area of Square Inside Two Rectangles")</f>
        <v/>
      </c>
      <c r="C2417" s="1" t="n">
        <v>374</v>
      </c>
      <c r="D2417" s="1" t="n">
        <v>73</v>
      </c>
      <c r="E2417" s="4">
        <f>IF(INDEX(C:C, ROW())+INDEX(D:D, ROW())=0, 0, INDEX(C:C, ROW())/(INDEX(C:C, ROW())+INDEX(D:D, ROW())))</f>
        <v/>
      </c>
      <c r="F2417" s="1" t="inlineStr">
        <is>
          <t>Array, Math, Geometry</t>
        </is>
      </c>
      <c r="G2417" s="1" t="inlineStr">
        <is>
          <t>Medium</t>
        </is>
      </c>
      <c r="H2417" s="1" t="n">
        <v>75721</v>
      </c>
      <c r="I2417" s="1" t="n">
        <v>117862</v>
      </c>
      <c r="J2417" s="9" t="n">
        <v>0.642</v>
      </c>
      <c r="K2417" s="1" t="inlineStr">
        <is>
          <t>Yes</t>
        </is>
      </c>
      <c r="L2417" s="1" t="inlineStr">
        <is>
          <t>Yes</t>
        </is>
      </c>
      <c r="M2417" s="1" t="inlineStr">
        <is>
          <t>No</t>
        </is>
      </c>
      <c r="N2417" s="1" t="inlineStr">
        <is>
          <t>Algorithms</t>
        </is>
      </c>
      <c r="O24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18" ht="15.75" customHeight="1" s="12">
      <c r="A2418" s="1" t="n">
        <v>481</v>
      </c>
      <c r="B2418" s="3">
        <f>HYPERLINK("https://leetcode.com/problems/magical-string/", "Magical String")</f>
        <v/>
      </c>
      <c r="C2418" s="1" t="n">
        <v>373</v>
      </c>
      <c r="D2418" s="1" t="n">
        <v>1411</v>
      </c>
      <c r="E2418" s="4">
        <f>IF(INDEX(C:C, ROW())+INDEX(D:D, ROW())=0, 0, INDEX(C:C, ROW())/(INDEX(C:C, ROW())+INDEX(D:D, ROW())))</f>
        <v/>
      </c>
      <c r="F2418" s="1" t="inlineStr">
        <is>
          <t>Two Pointers, String</t>
        </is>
      </c>
      <c r="G2418" s="1" t="inlineStr">
        <is>
          <t>Medium</t>
        </is>
      </c>
      <c r="H2418" s="1" t="n">
        <v>51127</v>
      </c>
      <c r="I2418" s="1" t="n">
        <v>94632</v>
      </c>
      <c r="J2418" s="9" t="n">
        <v>0.54</v>
      </c>
      <c r="K2418" s="1" t="inlineStr">
        <is>
          <t>Yes</t>
        </is>
      </c>
      <c r="L2418" s="1" t="inlineStr">
        <is>
          <t>No</t>
        </is>
      </c>
      <c r="M2418" s="1" t="inlineStr">
        <is>
          <t>No</t>
        </is>
      </c>
      <c r="N2418" s="1" t="inlineStr">
        <is>
          <t>Algorithms</t>
        </is>
      </c>
      <c r="O24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19" ht="15.75" customHeight="1" s="12">
      <c r="A2419" s="1" t="n">
        <v>782</v>
      </c>
      <c r="B2419" s="3">
        <f>HYPERLINK("https://leetcode.com/problems/transform-to-chessboard/", "Transform to Chessboard")</f>
        <v/>
      </c>
      <c r="C2419" s="1" t="n">
        <v>373</v>
      </c>
      <c r="D2419" s="1" t="n">
        <v>313</v>
      </c>
      <c r="E2419" s="4">
        <f>IF(INDEX(C:C, ROW())+INDEX(D:D, ROW())=0, 0, INDEX(C:C, ROW())/(INDEX(C:C, ROW())+INDEX(D:D, ROW())))</f>
        <v/>
      </c>
      <c r="F2419" s="1" t="inlineStr">
        <is>
          <t>Array, Math, Bit Manipulation, Matrix</t>
        </is>
      </c>
      <c r="G2419" s="1" t="inlineStr">
        <is>
          <t>Hard</t>
        </is>
      </c>
      <c r="H2419" s="1" t="n">
        <v>21137</v>
      </c>
      <c r="I2419" s="1" t="n">
        <v>41347</v>
      </c>
      <c r="J2419" s="9" t="n">
        <v>0.511</v>
      </c>
      <c r="K2419" s="1" t="inlineStr">
        <is>
          <t>Yes</t>
        </is>
      </c>
      <c r="L2419" s="1" t="inlineStr">
        <is>
          <t>Yes</t>
        </is>
      </c>
      <c r="M2419" s="1" t="inlineStr">
        <is>
          <t>No</t>
        </is>
      </c>
      <c r="N2419" s="1" t="inlineStr">
        <is>
          <t>Algorithms</t>
        </is>
      </c>
      <c r="O24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20" ht="15.75" customHeight="1" s="12">
      <c r="A2420" s="1" t="n">
        <v>1258</v>
      </c>
      <c r="B2420" s="3">
        <f>HYPERLINK("https://leetcode.com/problems/synonymous-sentences/", "Synonymous Sentences")</f>
        <v/>
      </c>
      <c r="C2420" s="1" t="n">
        <v>373</v>
      </c>
      <c r="D2420" s="1" t="n">
        <v>171</v>
      </c>
      <c r="E2420" s="4">
        <f>IF(INDEX(C:C, ROW())+INDEX(D:D, ROW())=0, 0, INDEX(C:C, ROW())/(INDEX(C:C, ROW())+INDEX(D:D, ROW())))</f>
        <v/>
      </c>
      <c r="F2420" s="1" t="inlineStr">
        <is>
          <t>Array, Hash Table, String, Backtracking, Sort, Union-Find</t>
        </is>
      </c>
      <c r="G2420" s="1" t="inlineStr">
        <is>
          <t>Medium</t>
        </is>
      </c>
      <c r="H2420" s="1" t="n">
        <v>28840</v>
      </c>
      <c r="I2420" s="1" t="n">
        <v>50581</v>
      </c>
      <c r="J2420" s="9" t="n">
        <v>0.57</v>
      </c>
      <c r="K2420" s="1" t="inlineStr">
        <is>
          <t>No</t>
        </is>
      </c>
      <c r="L2420" s="1" t="inlineStr">
        <is>
          <t>No</t>
        </is>
      </c>
      <c r="M2420" s="1" t="inlineStr">
        <is>
          <t>No</t>
        </is>
      </c>
      <c r="N2420" s="1" t="inlineStr">
        <is>
          <t>Algorithms</t>
        </is>
      </c>
      <c r="O24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21" ht="15.75" customHeight="1" s="12">
      <c r="A2421" s="1" t="n">
        <v>2455</v>
      </c>
      <c r="B2421" s="3">
        <f>HYPERLINK("https://leetcode.com/problems/average-value-of-even-numbers-that-are-divisible-by-three/", "Average Value of Even Numbers That Are Divisible by Three")</f>
        <v/>
      </c>
      <c r="C2421" s="1" t="n">
        <v>373</v>
      </c>
      <c r="D2421" s="1" t="n">
        <v>42</v>
      </c>
      <c r="E2421" s="4">
        <f>IF(INDEX(C:C, ROW())+INDEX(D:D, ROW())=0, 0, INDEX(C:C, ROW())/(INDEX(C:C, ROW())+INDEX(D:D, ROW())))</f>
        <v/>
      </c>
      <c r="F2421" s="1" t="inlineStr">
        <is>
          <t>Array, Math</t>
        </is>
      </c>
      <c r="G2421" s="1" t="inlineStr">
        <is>
          <t>Easy</t>
        </is>
      </c>
      <c r="H2421" s="1" t="n">
        <v>90602</v>
      </c>
      <c r="I2421" s="1" t="n">
        <v>144391</v>
      </c>
      <c r="J2421" s="9" t="n">
        <v>0.627</v>
      </c>
      <c r="K2421" s="1" t="inlineStr">
        <is>
          <t>Yes</t>
        </is>
      </c>
      <c r="L2421" s="1" t="inlineStr">
        <is>
          <t>No</t>
        </is>
      </c>
      <c r="M2421" s="1" t="inlineStr">
        <is>
          <t>No</t>
        </is>
      </c>
      <c r="N2421" s="1" t="inlineStr">
        <is>
          <t>Algorithms</t>
        </is>
      </c>
      <c r="O24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22" ht="15.75" customHeight="1" s="12">
      <c r="A2422" s="1" t="n">
        <v>2515</v>
      </c>
      <c r="B2422" s="3">
        <f>HYPERLINK("https://leetcode.com/problems/shortest-distance-to-target-string-in-a-circular-array/", "Shortest Distance to Target String in a Circular Array")</f>
        <v/>
      </c>
      <c r="C2422" s="1" t="n">
        <v>373</v>
      </c>
      <c r="D2422" s="1" t="n">
        <v>24</v>
      </c>
      <c r="E2422" s="4">
        <f>IF(INDEX(C:C, ROW())+INDEX(D:D, ROW())=0, 0, INDEX(C:C, ROW())/(INDEX(C:C, ROW())+INDEX(D:D, ROW())))</f>
        <v/>
      </c>
      <c r="F2422" s="1" t="inlineStr">
        <is>
          <t>Array, String</t>
        </is>
      </c>
      <c r="G2422" s="1" t="inlineStr">
        <is>
          <t>Easy</t>
        </is>
      </c>
      <c r="H2422" s="1" t="n">
        <v>38475</v>
      </c>
      <c r="I2422" s="1" t="n">
        <v>76209</v>
      </c>
      <c r="J2422" s="9" t="n">
        <v>0.505</v>
      </c>
      <c r="K2422" s="1" t="inlineStr">
        <is>
          <t>Yes</t>
        </is>
      </c>
      <c r="L2422" s="1" t="inlineStr">
        <is>
          <t>No</t>
        </is>
      </c>
      <c r="M2422" s="1" t="inlineStr">
        <is>
          <t>No</t>
        </is>
      </c>
      <c r="N2422" s="1" t="inlineStr">
        <is>
          <t>Algorithms</t>
        </is>
      </c>
      <c r="O24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23" ht="15.75" customHeight="1" s="12">
      <c r="A2423" s="1" t="n">
        <v>2716</v>
      </c>
      <c r="B2423" s="3">
        <f>HYPERLINK("https://leetcode.com/problems/minimize-string-length/", "Minimize String Length")</f>
        <v/>
      </c>
      <c r="C2423" s="1" t="n">
        <v>373</v>
      </c>
      <c r="D2423" s="1" t="n">
        <v>108</v>
      </c>
      <c r="E2423" s="4">
        <f>IF(INDEX(C:C, ROW())+INDEX(D:D, ROW())=0, 0, INDEX(C:C, ROW())/(INDEX(C:C, ROW())+INDEX(D:D, ROW())))</f>
        <v/>
      </c>
      <c r="F2423" s="1" t="inlineStr">
        <is>
          <t>Hash Table, String</t>
        </is>
      </c>
      <c r="G2423" s="1" t="inlineStr">
        <is>
          <t>Easy</t>
        </is>
      </c>
      <c r="H2423" s="1" t="n">
        <v>76418</v>
      </c>
      <c r="I2423" s="1" t="n">
        <v>97213</v>
      </c>
      <c r="J2423" s="9" t="n">
        <v>0.786</v>
      </c>
      <c r="K2423" s="1" t="inlineStr">
        <is>
          <t>Yes</t>
        </is>
      </c>
      <c r="L2423" s="1" t="inlineStr">
        <is>
          <t>No</t>
        </is>
      </c>
      <c r="M2423" s="1" t="inlineStr">
        <is>
          <t>No</t>
        </is>
      </c>
      <c r="N2423" s="1" t="inlineStr">
        <is>
          <t>Algorithms</t>
        </is>
      </c>
      <c r="O24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24" ht="15.75" customHeight="1" s="12">
      <c r="A2424" s="1" t="n">
        <v>2746</v>
      </c>
      <c r="B2424" s="3">
        <f>HYPERLINK("https://leetcode.com/problems/decremental-string-concatenation/", "Decremental String Concatenation")</f>
        <v/>
      </c>
      <c r="C2424" s="1" t="n">
        <v>373</v>
      </c>
      <c r="D2424" s="1" t="n">
        <v>33</v>
      </c>
      <c r="E2424" s="4">
        <f>IF(INDEX(C:C, ROW())+INDEX(D:D, ROW())=0, 0, INDEX(C:C, ROW())/(INDEX(C:C, ROW())+INDEX(D:D, ROW())))</f>
        <v/>
      </c>
      <c r="F2424" s="1" t="inlineStr">
        <is>
          <t>Array, String, Dynamic Programming</t>
        </is>
      </c>
      <c r="G2424" s="1" t="inlineStr">
        <is>
          <t>Medium</t>
        </is>
      </c>
      <c r="H2424" s="1" t="n">
        <v>10795</v>
      </c>
      <c r="I2424" s="1" t="n">
        <v>39586</v>
      </c>
      <c r="J2424" s="9" t="n">
        <v>0.273</v>
      </c>
      <c r="K2424" s="1" t="inlineStr">
        <is>
          <t>Yes</t>
        </is>
      </c>
      <c r="L2424" s="1" t="inlineStr">
        <is>
          <t>No</t>
        </is>
      </c>
      <c r="M2424" s="1" t="inlineStr">
        <is>
          <t>No</t>
        </is>
      </c>
      <c r="N2424" s="1" t="inlineStr">
        <is>
          <t>Algorithms</t>
        </is>
      </c>
      <c r="O24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25" ht="15.75" customHeight="1" s="12">
      <c r="A2425" s="1" t="n">
        <v>3459</v>
      </c>
      <c r="B2425" s="3">
        <f>HYPERLINK("https://leetcode.com/problems/length-of-longest-v-shaped-diagonal-segment/", "Length of Longest V-Shaped Diagonal Segment")</f>
        <v/>
      </c>
      <c r="C2425" s="1" t="n">
        <v>372</v>
      </c>
      <c r="D2425" s="1" t="n">
        <v>63</v>
      </c>
      <c r="E2425" s="4">
        <f>IF(INDEX(C:C, ROW())+INDEX(D:D, ROW())=0, 0, INDEX(C:C, ROW())/(INDEX(C:C, ROW())+INDEX(D:D, ROW())))</f>
        <v/>
      </c>
      <c r="F2425" s="1" t="inlineStr">
        <is>
          <t>Array, Dynamic Programming, Memoization, Matrix</t>
        </is>
      </c>
      <c r="G2425" s="1" t="inlineStr">
        <is>
          <t>Hard</t>
        </is>
      </c>
      <c r="H2425" s="1" t="n">
        <v>73170</v>
      </c>
      <c r="I2425" s="1" t="n">
        <v>129532</v>
      </c>
      <c r="J2425" s="9" t="n">
        <v>0.5649999999999999</v>
      </c>
      <c r="K2425" s="1" t="inlineStr">
        <is>
          <t>Yes</t>
        </is>
      </c>
      <c r="L2425" s="1" t="inlineStr">
        <is>
          <t>Yes</t>
        </is>
      </c>
      <c r="M2425" s="1" t="inlineStr">
        <is>
          <t>No</t>
        </is>
      </c>
      <c r="N2425" s="1" t="inlineStr">
        <is>
          <t>Algorithms</t>
        </is>
      </c>
      <c r="O24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26" ht="15.75" customHeight="1" s="12">
      <c r="A2426" s="1" t="n">
        <v>2844</v>
      </c>
      <c r="B2426" s="3">
        <f>HYPERLINK("https://leetcode.com/problems/minimum-operations-to-make-a-special-number/", "Minimum Operations to Make a Special Number")</f>
        <v/>
      </c>
      <c r="C2426" s="1" t="n">
        <v>371</v>
      </c>
      <c r="D2426" s="1" t="n">
        <v>57</v>
      </c>
      <c r="E2426" s="4">
        <f>IF(INDEX(C:C, ROW())+INDEX(D:D, ROW())=0, 0, INDEX(C:C, ROW())/(INDEX(C:C, ROW())+INDEX(D:D, ROW())))</f>
        <v/>
      </c>
      <c r="F2426" s="1" t="inlineStr">
        <is>
          <t>Math, String, Greedy, Enumeration</t>
        </is>
      </c>
      <c r="G2426" s="1" t="inlineStr">
        <is>
          <t>Medium</t>
        </is>
      </c>
      <c r="H2426" s="1" t="n">
        <v>29124</v>
      </c>
      <c r="I2426" s="1" t="n">
        <v>75824</v>
      </c>
      <c r="J2426" s="9" t="n">
        <v>0.384</v>
      </c>
      <c r="K2426" s="1" t="inlineStr">
        <is>
          <t>Yes</t>
        </is>
      </c>
      <c r="L2426" s="1" t="inlineStr">
        <is>
          <t>No</t>
        </is>
      </c>
      <c r="M2426" s="1" t="inlineStr">
        <is>
          <t>No</t>
        </is>
      </c>
      <c r="N2426" s="1" t="inlineStr">
        <is>
          <t>Algorithms</t>
        </is>
      </c>
      <c r="O24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27" ht="15.75" customHeight="1" s="12">
      <c r="A2427" s="1" t="n">
        <v>3562</v>
      </c>
      <c r="B2427" s="3">
        <f>HYPERLINK("https://leetcode.com/problems/maximum-profit-from-trading-stocks-with-discounts/", "Maximum Profit from Trading Stocks with Discounts")</f>
        <v/>
      </c>
      <c r="C2427" s="1" t="n">
        <v>370</v>
      </c>
      <c r="D2427" s="1" t="n">
        <v>52</v>
      </c>
      <c r="E2427" s="4">
        <f>IF(INDEX(C:C, ROW())+INDEX(D:D, ROW())=0, 0, INDEX(C:C, ROW())/(INDEX(C:C, ROW())+INDEX(D:D, ROW())))</f>
        <v/>
      </c>
      <c r="F2427" s="1" t="inlineStr">
        <is>
          <t>Array, Dynamic Programming, Tree, Depth-First Search</t>
        </is>
      </c>
      <c r="G2427" s="1" t="inlineStr">
        <is>
          <t>Hard</t>
        </is>
      </c>
      <c r="H2427" s="1" t="n">
        <v>49524</v>
      </c>
      <c r="I2427" s="1" t="n">
        <v>87068</v>
      </c>
      <c r="J2427" s="9" t="n">
        <v>0.569</v>
      </c>
      <c r="K2427" s="1" t="inlineStr">
        <is>
          <t>Yes</t>
        </is>
      </c>
      <c r="L2427" s="1" t="inlineStr">
        <is>
          <t>Yes</t>
        </is>
      </c>
      <c r="M2427" s="1" t="inlineStr">
        <is>
          <t>No</t>
        </is>
      </c>
      <c r="N2427" s="1" t="inlineStr">
        <is>
          <t>Algorithms</t>
        </is>
      </c>
      <c r="O24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28" ht="15.75" customHeight="1" s="12">
      <c r="A2428" s="1" t="n">
        <v>2478</v>
      </c>
      <c r="B2428" s="3">
        <f>HYPERLINK("https://leetcode.com/problems/number-of-beautiful-partitions/", "Number of Beautiful Partitions")</f>
        <v/>
      </c>
      <c r="C2428" s="1" t="n">
        <v>369</v>
      </c>
      <c r="D2428" s="1" t="n">
        <v>18</v>
      </c>
      <c r="E2428" s="4">
        <f>IF(INDEX(C:C, ROW())+INDEX(D:D, ROW())=0, 0, INDEX(C:C, ROW())/(INDEX(C:C, ROW())+INDEX(D:D, ROW())))</f>
        <v/>
      </c>
      <c r="F2428" s="1" t="inlineStr">
        <is>
          <t>String, Dynamic Programming, Prefix Sum</t>
        </is>
      </c>
      <c r="G2428" s="1" t="inlineStr">
        <is>
          <t>Hard</t>
        </is>
      </c>
      <c r="H2428" s="1" t="n">
        <v>12941</v>
      </c>
      <c r="I2428" s="1" t="n">
        <v>39688</v>
      </c>
      <c r="J2428" s="9" t="n">
        <v>0.326</v>
      </c>
      <c r="K2428" s="1" t="inlineStr">
        <is>
          <t>Yes</t>
        </is>
      </c>
      <c r="L2428" s="1" t="inlineStr">
        <is>
          <t>No</t>
        </is>
      </c>
      <c r="M2428" s="1" t="inlineStr">
        <is>
          <t>No</t>
        </is>
      </c>
      <c r="N2428" s="1" t="inlineStr">
        <is>
          <t>Algorithms</t>
        </is>
      </c>
      <c r="O24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29" ht="15.75" customHeight="1" s="12">
      <c r="A2429" s="1" t="n">
        <v>2595</v>
      </c>
      <c r="B2429" s="3">
        <f>HYPERLINK("https://leetcode.com/problems/number-of-even-and-odd-bits/", "Number of Even and Odd Bits")</f>
        <v/>
      </c>
      <c r="C2429" s="1" t="n">
        <v>368</v>
      </c>
      <c r="D2429" s="1" t="n">
        <v>116</v>
      </c>
      <c r="E2429" s="4">
        <f>IF(INDEX(C:C, ROW())+INDEX(D:D, ROW())=0, 0, INDEX(C:C, ROW())/(INDEX(C:C, ROW())+INDEX(D:D, ROW())))</f>
        <v/>
      </c>
      <c r="F2429" s="1" t="inlineStr">
        <is>
          <t>Bit Manipulation</t>
        </is>
      </c>
      <c r="G2429" s="1" t="inlineStr">
        <is>
          <t>Easy</t>
        </is>
      </c>
      <c r="H2429" s="1" t="n">
        <v>66251</v>
      </c>
      <c r="I2429" s="1" t="n">
        <v>90522</v>
      </c>
      <c r="J2429" s="9" t="n">
        <v>0.732</v>
      </c>
      <c r="K2429" s="1" t="inlineStr">
        <is>
          <t>Yes</t>
        </is>
      </c>
      <c r="L2429" s="1" t="inlineStr">
        <is>
          <t>No</t>
        </is>
      </c>
      <c r="M2429" s="1" t="inlineStr">
        <is>
          <t>No</t>
        </is>
      </c>
      <c r="N2429" s="1" t="inlineStr">
        <is>
          <t>Algorithms</t>
        </is>
      </c>
      <c r="O24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30" ht="15.75" customHeight="1" s="12">
      <c r="A2430" s="1" t="n">
        <v>2800</v>
      </c>
      <c r="B2430" s="3">
        <f>HYPERLINK("https://leetcode.com/problems/shortest-string-that-contains-three-strings/", "Shortest String That Contains Three Strings")</f>
        <v/>
      </c>
      <c r="C2430" s="1" t="n">
        <v>368</v>
      </c>
      <c r="D2430" s="1" t="n">
        <v>294</v>
      </c>
      <c r="E2430" s="4">
        <f>IF(INDEX(C:C, ROW())+INDEX(D:D, ROW())=0, 0, INDEX(C:C, ROW())/(INDEX(C:C, ROW())+INDEX(D:D, ROW())))</f>
        <v/>
      </c>
      <c r="F2430" s="1" t="inlineStr">
        <is>
          <t>String, Greedy, Enumeration</t>
        </is>
      </c>
      <c r="G2430" s="1" t="inlineStr">
        <is>
          <t>Medium</t>
        </is>
      </c>
      <c r="H2430" s="1" t="n">
        <v>19046</v>
      </c>
      <c r="I2430" s="1" t="n">
        <v>60575</v>
      </c>
      <c r="J2430" s="9" t="n">
        <v>0.314</v>
      </c>
      <c r="K2430" s="1" t="inlineStr">
        <is>
          <t>Yes</t>
        </is>
      </c>
      <c r="L2430" s="1" t="inlineStr">
        <is>
          <t>No</t>
        </is>
      </c>
      <c r="M2430" s="1" t="inlineStr">
        <is>
          <t>No</t>
        </is>
      </c>
      <c r="N2430" s="1" t="inlineStr">
        <is>
          <t>Algorithms</t>
        </is>
      </c>
      <c r="O24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31" ht="15.75" customHeight="1" s="12">
      <c r="A2431" s="1" t="n">
        <v>3373</v>
      </c>
      <c r="B2431" s="3">
        <f>HYPERLINK("https://leetcode.com/problems/maximize-the-number-of-target-nodes-after-connecting-trees-ii/", "Maximize the Number of Target Nodes After Connecting Trees II")</f>
        <v/>
      </c>
      <c r="C2431" s="1" t="n">
        <v>368</v>
      </c>
      <c r="D2431" s="1" t="n">
        <v>44</v>
      </c>
      <c r="E2431" s="4">
        <f>IF(INDEX(C:C, ROW())+INDEX(D:D, ROW())=0, 0, INDEX(C:C, ROW())/(INDEX(C:C, ROW())+INDEX(D:D, ROW())))</f>
        <v/>
      </c>
      <c r="F2431" s="1" t="inlineStr">
        <is>
          <t>Tree, Depth-First Search, Breadth-First Search</t>
        </is>
      </c>
      <c r="G2431" s="1" t="inlineStr">
        <is>
          <t>Hard</t>
        </is>
      </c>
      <c r="H2431" s="1" t="n">
        <v>69557</v>
      </c>
      <c r="I2431" s="1" t="n">
        <v>95065</v>
      </c>
      <c r="J2431" s="9" t="n">
        <v>0.732</v>
      </c>
      <c r="K2431" s="1" t="inlineStr">
        <is>
          <t>Yes</t>
        </is>
      </c>
      <c r="L2431" s="1" t="inlineStr">
        <is>
          <t>Yes</t>
        </is>
      </c>
      <c r="M2431" s="1" t="inlineStr">
        <is>
          <t>No</t>
        </is>
      </c>
      <c r="N2431" s="1" t="inlineStr">
        <is>
          <t>Algorithms</t>
        </is>
      </c>
      <c r="O24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32" ht="15.75" customHeight="1" s="12">
      <c r="A2432" s="1" t="n">
        <v>1119</v>
      </c>
      <c r="B2432" s="3">
        <f>HYPERLINK("https://leetcode.com/problems/remove-vowels-from-a-string/", "Remove Vowels from a String")</f>
        <v/>
      </c>
      <c r="C2432" s="1" t="n">
        <v>367</v>
      </c>
      <c r="D2432" s="1" t="n">
        <v>116</v>
      </c>
      <c r="E2432" s="4">
        <f>IF(INDEX(C:C, ROW())+INDEX(D:D, ROW())=0, 0, INDEX(C:C, ROW())/(INDEX(C:C, ROW())+INDEX(D:D, ROW())))</f>
        <v/>
      </c>
      <c r="F2432" s="1" t="inlineStr">
        <is>
          <t>String</t>
        </is>
      </c>
      <c r="G2432" s="1" t="inlineStr">
        <is>
          <t>Easy</t>
        </is>
      </c>
      <c r="H2432" s="1" t="n">
        <v>117325</v>
      </c>
      <c r="I2432" s="1" t="n">
        <v>128536</v>
      </c>
      <c r="J2432" s="9" t="n">
        <v>0.913</v>
      </c>
      <c r="K2432" s="1" t="inlineStr">
        <is>
          <t>No</t>
        </is>
      </c>
      <c r="L2432" s="1" t="inlineStr">
        <is>
          <t>Yes</t>
        </is>
      </c>
      <c r="M2432" s="1" t="inlineStr">
        <is>
          <t>No</t>
        </is>
      </c>
      <c r="N2432" s="1" t="inlineStr">
        <is>
          <t>Algorithms</t>
        </is>
      </c>
      <c r="O24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33" ht="15.75" customHeight="1" s="12">
      <c r="A2433" s="1" t="n">
        <v>2670</v>
      </c>
      <c r="B2433" s="3">
        <f>HYPERLINK("https://leetcode.com/problems/find-the-distinct-difference-array/", "Find the Distinct Difference Array")</f>
        <v/>
      </c>
      <c r="C2433" s="1" t="n">
        <v>365</v>
      </c>
      <c r="D2433" s="1" t="n">
        <v>37</v>
      </c>
      <c r="E2433" s="4">
        <f>IF(INDEX(C:C, ROW())+INDEX(D:D, ROW())=0, 0, INDEX(C:C, ROW())/(INDEX(C:C, ROW())+INDEX(D:D, ROW())))</f>
        <v/>
      </c>
      <c r="F2433" s="1" t="inlineStr">
        <is>
          <t>Array, Hash Table</t>
        </is>
      </c>
      <c r="G2433" s="1" t="inlineStr">
        <is>
          <t>Easy</t>
        </is>
      </c>
      <c r="H2433" s="1" t="n">
        <v>50134</v>
      </c>
      <c r="I2433" s="1" t="n">
        <v>65208</v>
      </c>
      <c r="J2433" s="9" t="n">
        <v>0.769</v>
      </c>
      <c r="K2433" s="1" t="inlineStr">
        <is>
          <t>Yes</t>
        </is>
      </c>
      <c r="L2433" s="1" t="inlineStr">
        <is>
          <t>No</t>
        </is>
      </c>
      <c r="M2433" s="1" t="inlineStr">
        <is>
          <t>No</t>
        </is>
      </c>
      <c r="N2433" s="1" t="inlineStr">
        <is>
          <t>Algorithms</t>
        </is>
      </c>
      <c r="O24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34" ht="15.75" customHeight="1" s="12">
      <c r="A2434" s="1" t="n">
        <v>2280</v>
      </c>
      <c r="B2434" s="3">
        <f>HYPERLINK("https://leetcode.com/problems/minimum-lines-to-represent-a-line-chart/", "Minimum Lines to Represent a Line Chart")</f>
        <v/>
      </c>
      <c r="C2434" s="1" t="n">
        <v>364</v>
      </c>
      <c r="D2434" s="1" t="n">
        <v>534</v>
      </c>
      <c r="E2434" s="4">
        <f>IF(INDEX(C:C, ROW())+INDEX(D:D, ROW())=0, 0, INDEX(C:C, ROW())/(INDEX(C:C, ROW())+INDEX(D:D, ROW())))</f>
        <v/>
      </c>
      <c r="F2434" s="1" t="inlineStr">
        <is>
          <t>Array, Math, Geometry, Sorting, Number Theory</t>
        </is>
      </c>
      <c r="G2434" s="1" t="inlineStr">
        <is>
          <t>Medium</t>
        </is>
      </c>
      <c r="H2434" s="1" t="n">
        <v>31499</v>
      </c>
      <c r="I2434" s="1" t="n">
        <v>117967</v>
      </c>
      <c r="J2434" s="9" t="n">
        <v>0.267</v>
      </c>
      <c r="K2434" s="1" t="inlineStr">
        <is>
          <t>Yes</t>
        </is>
      </c>
      <c r="L2434" s="1" t="inlineStr">
        <is>
          <t>No</t>
        </is>
      </c>
      <c r="M2434" s="1" t="inlineStr">
        <is>
          <t>No</t>
        </is>
      </c>
      <c r="N2434" s="1" t="inlineStr">
        <is>
          <t>Algorithms</t>
        </is>
      </c>
      <c r="O24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35" ht="15.75" customHeight="1" s="12">
      <c r="A2435" s="1" t="n">
        <v>2828</v>
      </c>
      <c r="B2435" s="3">
        <f>HYPERLINK("https://leetcode.com/problems/check-if-a-string-is-an-acronym-of-words/", "Check if a String Is an Acronym of Words")</f>
        <v/>
      </c>
      <c r="C2435" s="1" t="n">
        <v>364</v>
      </c>
      <c r="D2435" s="1" t="n">
        <v>12</v>
      </c>
      <c r="E2435" s="4">
        <f>IF(INDEX(C:C, ROW())+INDEX(D:D, ROW())=0, 0, INDEX(C:C, ROW())/(INDEX(C:C, ROW())+INDEX(D:D, ROW())))</f>
        <v/>
      </c>
      <c r="F2435" s="1" t="inlineStr">
        <is>
          <t>Array, String</t>
        </is>
      </c>
      <c r="G2435" s="1" t="inlineStr">
        <is>
          <t>Easy</t>
        </is>
      </c>
      <c r="H2435" s="1" t="n">
        <v>124734</v>
      </c>
      <c r="I2435" s="1" t="n">
        <v>150546</v>
      </c>
      <c r="J2435" s="9" t="n">
        <v>0.829</v>
      </c>
      <c r="K2435" s="1" t="inlineStr">
        <is>
          <t>Yes</t>
        </is>
      </c>
      <c r="L2435" s="1" t="inlineStr">
        <is>
          <t>No</t>
        </is>
      </c>
      <c r="M2435" s="1" t="inlineStr">
        <is>
          <t>No</t>
        </is>
      </c>
      <c r="N2435" s="1" t="inlineStr">
        <is>
          <t>Algorithms</t>
        </is>
      </c>
      <c r="O24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36" ht="15.75" customHeight="1" s="12">
      <c r="A2436" s="1" t="n">
        <v>2925</v>
      </c>
      <c r="B2436" s="3">
        <f>HYPERLINK("https://leetcode.com/problems/maximum-score-after-applying-operations-on-a-tree/", "Maximum Score After Applying Operations on a Tree")</f>
        <v/>
      </c>
      <c r="C2436" s="1" t="n">
        <v>364</v>
      </c>
      <c r="D2436" s="1" t="n">
        <v>76</v>
      </c>
      <c r="E2436" s="4">
        <f>IF(INDEX(C:C, ROW())+INDEX(D:D, ROW())=0, 0, INDEX(C:C, ROW())/(INDEX(C:C, ROW())+INDEX(D:D, ROW())))</f>
        <v/>
      </c>
      <c r="F2436" s="1" t="inlineStr">
        <is>
          <t>Dynamic Programming, Tree, Depth-First Search</t>
        </is>
      </c>
      <c r="G2436" s="1" t="inlineStr">
        <is>
          <t>Medium</t>
        </is>
      </c>
      <c r="H2436" s="1" t="n">
        <v>16629</v>
      </c>
      <c r="I2436" s="1" t="n">
        <v>35372</v>
      </c>
      <c r="J2436" s="9" t="n">
        <v>0.47</v>
      </c>
      <c r="K2436" s="1" t="inlineStr">
        <is>
          <t>Yes</t>
        </is>
      </c>
      <c r="L2436" s="1" t="inlineStr">
        <is>
          <t>No</t>
        </is>
      </c>
      <c r="M2436" s="1" t="inlineStr">
        <is>
          <t>No</t>
        </is>
      </c>
      <c r="N2436" s="1" t="inlineStr">
        <is>
          <t>Algorithms</t>
        </is>
      </c>
      <c r="O24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37" ht="15.75" customHeight="1" s="12">
      <c r="A2437" s="1" t="n">
        <v>379</v>
      </c>
      <c r="B2437" s="3">
        <f>HYPERLINK("https://leetcode.com/problems/design-phone-directory/", "Design Phone Directory")</f>
        <v/>
      </c>
      <c r="C2437" s="1" t="n">
        <v>363</v>
      </c>
      <c r="D2437" s="1" t="n">
        <v>480</v>
      </c>
      <c r="E2437" s="4">
        <f>IF(INDEX(C:C, ROW())+INDEX(D:D, ROW())=0, 0, INDEX(C:C, ROW())/(INDEX(C:C, ROW())+INDEX(D:D, ROW())))</f>
        <v/>
      </c>
      <c r="F2437" s="1" t="inlineStr">
        <is>
          <t>Array, Hash Table, Linked List, Design, Queue</t>
        </is>
      </c>
      <c r="G2437" s="1" t="inlineStr">
        <is>
          <t>Medium</t>
        </is>
      </c>
      <c r="H2437" s="1" t="n">
        <v>73878</v>
      </c>
      <c r="I2437" s="1" t="n">
        <v>140223</v>
      </c>
      <c r="J2437" s="9" t="n">
        <v>0.527</v>
      </c>
      <c r="K2437" s="1" t="inlineStr">
        <is>
          <t>No</t>
        </is>
      </c>
      <c r="L2437" s="1" t="inlineStr">
        <is>
          <t>Yes</t>
        </is>
      </c>
      <c r="M2437" s="1" t="inlineStr">
        <is>
          <t>No</t>
        </is>
      </c>
      <c r="N2437" s="1" t="inlineStr">
        <is>
          <t>Algorithms</t>
        </is>
      </c>
      <c r="O24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38" ht="15.75" customHeight="1" s="12">
      <c r="A2438" s="1" t="n">
        <v>1180</v>
      </c>
      <c r="B2438" s="3">
        <f>HYPERLINK("https://leetcode.com/problems/count-substrings-with-only-one-distinct-letter/", "Count Substrings with Only One Distinct Letter")</f>
        <v/>
      </c>
      <c r="C2438" s="1" t="n">
        <v>363</v>
      </c>
      <c r="D2438" s="1" t="n">
        <v>52</v>
      </c>
      <c r="E2438" s="4">
        <f>IF(INDEX(C:C, ROW())+INDEX(D:D, ROW())=0, 0, INDEX(C:C, ROW())/(INDEX(C:C, ROW())+INDEX(D:D, ROW())))</f>
        <v/>
      </c>
      <c r="F2438" s="1" t="inlineStr">
        <is>
          <t>Math, String</t>
        </is>
      </c>
      <c r="G2438" s="1" t="inlineStr">
        <is>
          <t>Easy</t>
        </is>
      </c>
      <c r="H2438" s="1" t="n">
        <v>30949</v>
      </c>
      <c r="I2438" s="1" t="n">
        <v>38280</v>
      </c>
      <c r="J2438" s="9" t="n">
        <v>0.8080000000000001</v>
      </c>
      <c r="K2438" s="1" t="inlineStr">
        <is>
          <t>No</t>
        </is>
      </c>
      <c r="L2438" s="1" t="inlineStr">
        <is>
          <t>Yes</t>
        </is>
      </c>
      <c r="M2438" s="1" t="inlineStr">
        <is>
          <t>No</t>
        </is>
      </c>
      <c r="N2438" s="1" t="inlineStr">
        <is>
          <t>Algorithms</t>
        </is>
      </c>
      <c r="O24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39" ht="15.75" customHeight="1" s="12">
      <c r="A2439" s="1" t="n">
        <v>2631</v>
      </c>
      <c r="B2439" s="3">
        <f>HYPERLINK("https://leetcode.com/problems/group-by/", "Group By")</f>
        <v/>
      </c>
      <c r="C2439" s="1" t="n">
        <v>363</v>
      </c>
      <c r="D2439" s="1" t="n">
        <v>21</v>
      </c>
      <c r="E2439" s="4">
        <f>IF(INDEX(C:C, ROW())+INDEX(D:D, ROW())=0, 0, INDEX(C:C, ROW())/(INDEX(C:C, ROW())+INDEX(D:D, ROW())))</f>
        <v/>
      </c>
      <c r="F2439" s="2" t="n"/>
      <c r="G2439" s="1" t="inlineStr">
        <is>
          <t>Medium</t>
        </is>
      </c>
      <c r="H2439" s="1" t="n">
        <v>74127</v>
      </c>
      <c r="I2439" s="1" t="n">
        <v>91232</v>
      </c>
      <c r="J2439" s="9" t="n">
        <v>0.8129999999999999</v>
      </c>
      <c r="K2439" s="1" t="inlineStr">
        <is>
          <t>Yes</t>
        </is>
      </c>
      <c r="L2439" s="1" t="inlineStr">
        <is>
          <t>Yes</t>
        </is>
      </c>
      <c r="M2439" s="1" t="inlineStr">
        <is>
          <t>No</t>
        </is>
      </c>
      <c r="N2439" s="1" t="inlineStr">
        <is>
          <t>JavaScript</t>
        </is>
      </c>
      <c r="O24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40" ht="15.75" customHeight="1" s="12">
      <c r="A2440" s="1" t="n">
        <v>2848</v>
      </c>
      <c r="B2440" s="3">
        <f>HYPERLINK("https://leetcode.com/problems/points-that-intersect-with-cars/", "Points That Intersect With Cars")</f>
        <v/>
      </c>
      <c r="C2440" s="1" t="n">
        <v>363</v>
      </c>
      <c r="D2440" s="1" t="n">
        <v>35</v>
      </c>
      <c r="E2440" s="4">
        <f>IF(INDEX(C:C, ROW())+INDEX(D:D, ROW())=0, 0, INDEX(C:C, ROW())/(INDEX(C:C, ROW())+INDEX(D:D, ROW())))</f>
        <v/>
      </c>
      <c r="F2440" s="1" t="inlineStr">
        <is>
          <t>Array, Hash Table, Prefix Sum</t>
        </is>
      </c>
      <c r="G2440" s="1" t="inlineStr">
        <is>
          <t>Easy</t>
        </is>
      </c>
      <c r="H2440" s="1" t="n">
        <v>72738</v>
      </c>
      <c r="I2440" s="1" t="n">
        <v>99288</v>
      </c>
      <c r="J2440" s="9" t="n">
        <v>0.733</v>
      </c>
      <c r="K2440" s="1" t="inlineStr">
        <is>
          <t>Yes</t>
        </is>
      </c>
      <c r="L2440" s="1" t="inlineStr">
        <is>
          <t>No</t>
        </is>
      </c>
      <c r="M2440" s="1" t="inlineStr">
        <is>
          <t>No</t>
        </is>
      </c>
      <c r="N2440" s="1" t="inlineStr">
        <is>
          <t>Algorithms</t>
        </is>
      </c>
      <c r="O24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41" ht="15.75" customHeight="1" s="12">
      <c r="A2441" s="1" t="n">
        <v>3343</v>
      </c>
      <c r="B2441" s="3">
        <f>HYPERLINK("https://leetcode.com/problems/count-number-of-balanced-permutations/", "Count Number of Balanced Permutations")</f>
        <v/>
      </c>
      <c r="C2441" s="1" t="n">
        <v>363</v>
      </c>
      <c r="D2441" s="1" t="n">
        <v>79</v>
      </c>
      <c r="E2441" s="4">
        <f>IF(INDEX(C:C, ROW())+INDEX(D:D, ROW())=0, 0, INDEX(C:C, ROW())/(INDEX(C:C, ROW())+INDEX(D:D, ROW())))</f>
        <v/>
      </c>
      <c r="F2441" s="1" t="inlineStr">
        <is>
          <t>Math, String, Dynamic Programming, Combinatorics</t>
        </is>
      </c>
      <c r="G2441" s="1" t="inlineStr">
        <is>
          <t>Hard</t>
        </is>
      </c>
      <c r="H2441" s="1" t="n">
        <v>59174</v>
      </c>
      <c r="I2441" s="1" t="n">
        <v>120329</v>
      </c>
      <c r="J2441" s="9" t="n">
        <v>0.492</v>
      </c>
      <c r="K2441" s="1" t="inlineStr">
        <is>
          <t>Yes</t>
        </is>
      </c>
      <c r="L2441" s="1" t="inlineStr">
        <is>
          <t>Yes</t>
        </is>
      </c>
      <c r="M2441" s="1" t="inlineStr">
        <is>
          <t>No</t>
        </is>
      </c>
      <c r="N2441" s="1" t="inlineStr">
        <is>
          <t>Algorithms</t>
        </is>
      </c>
      <c r="O24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42" ht="15.75" customHeight="1" s="12">
      <c r="A2442" s="1" t="n">
        <v>3370</v>
      </c>
      <c r="B2442" s="3">
        <f>HYPERLINK("https://leetcode.com/problems/smallest-number-with-all-set-bits/", "Smallest Number With All Set Bits")</f>
        <v/>
      </c>
      <c r="C2442" s="1" t="n">
        <v>362</v>
      </c>
      <c r="D2442" s="1" t="n">
        <v>15</v>
      </c>
      <c r="E2442" s="4">
        <f>IF(INDEX(C:C, ROW())+INDEX(D:D, ROW())=0, 0, INDEX(C:C, ROW())/(INDEX(C:C, ROW())+INDEX(D:D, ROW())))</f>
        <v/>
      </c>
      <c r="F2442" s="1" t="inlineStr">
        <is>
          <t>Math, Bit Manipulation</t>
        </is>
      </c>
      <c r="G2442" s="1" t="inlineStr">
        <is>
          <t>Easy</t>
        </is>
      </c>
      <c r="H2442" s="1" t="n">
        <v>168568</v>
      </c>
      <c r="I2442" s="1" t="n">
        <v>209823</v>
      </c>
      <c r="J2442" s="9" t="n">
        <v>0.803</v>
      </c>
      <c r="K2442" s="1" t="inlineStr">
        <is>
          <t>Yes</t>
        </is>
      </c>
      <c r="L2442" s="1" t="inlineStr">
        <is>
          <t>Yes</t>
        </is>
      </c>
      <c r="M2442" s="1" t="inlineStr">
        <is>
          <t>No</t>
        </is>
      </c>
      <c r="N2442" s="1" t="inlineStr">
        <is>
          <t>Algorithms</t>
        </is>
      </c>
      <c r="O24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43" ht="15.75" customHeight="1" s="12">
      <c r="A2443" s="1" t="n">
        <v>2591</v>
      </c>
      <c r="B2443" s="3">
        <f>HYPERLINK("https://leetcode.com/problems/distribute-money-to-maximum-children/", "Distribute Money to Maximum Children")</f>
        <v/>
      </c>
      <c r="C2443" s="1" t="n">
        <v>361</v>
      </c>
      <c r="D2443" s="1" t="n">
        <v>917</v>
      </c>
      <c r="E2443" s="4">
        <f>IF(INDEX(C:C, ROW())+INDEX(D:D, ROW())=0, 0, INDEX(C:C, ROW())/(INDEX(C:C, ROW())+INDEX(D:D, ROW())))</f>
        <v/>
      </c>
      <c r="F2443" s="1" t="inlineStr">
        <is>
          <t>Math, Greedy</t>
        </is>
      </c>
      <c r="G2443" s="1" t="inlineStr">
        <is>
          <t>Easy</t>
        </is>
      </c>
      <c r="H2443" s="1" t="n">
        <v>46845</v>
      </c>
      <c r="I2443" s="1" t="n">
        <v>230112</v>
      </c>
      <c r="J2443" s="9" t="n">
        <v>0.204</v>
      </c>
      <c r="K2443" s="1" t="inlineStr">
        <is>
          <t>Yes</t>
        </is>
      </c>
      <c r="L2443" s="1" t="inlineStr">
        <is>
          <t>No</t>
        </is>
      </c>
      <c r="M2443" s="1" t="inlineStr">
        <is>
          <t>No</t>
        </is>
      </c>
      <c r="N2443" s="1" t="inlineStr">
        <is>
          <t>Algorithms</t>
        </is>
      </c>
      <c r="O24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44" ht="15.75" customHeight="1" s="12">
      <c r="A2444" s="1" t="n">
        <v>2512</v>
      </c>
      <c r="B2444" s="3">
        <f>HYPERLINK("https://leetcode.com/problems/reward-top-k-students/", "Reward Top K Students")</f>
        <v/>
      </c>
      <c r="C2444" s="1" t="n">
        <v>359</v>
      </c>
      <c r="D2444" s="1" t="n">
        <v>92</v>
      </c>
      <c r="E2444" s="4">
        <f>IF(INDEX(C:C, ROW())+INDEX(D:D, ROW())=0, 0, INDEX(C:C, ROW())/(INDEX(C:C, ROW())+INDEX(D:D, ROW())))</f>
        <v/>
      </c>
      <c r="F2444" s="1" t="inlineStr">
        <is>
          <t>Array, Hash Table, String, Sorting, Heap (Priority Queue)</t>
        </is>
      </c>
      <c r="G2444" s="1" t="inlineStr">
        <is>
          <t>Medium</t>
        </is>
      </c>
      <c r="H2444" s="1" t="n">
        <v>28944</v>
      </c>
      <c r="I2444" s="1" t="n">
        <v>62022</v>
      </c>
      <c r="J2444" s="9" t="n">
        <v>0.467</v>
      </c>
      <c r="K2444" s="1" t="inlineStr">
        <is>
          <t>Yes</t>
        </is>
      </c>
      <c r="L2444" s="1" t="inlineStr">
        <is>
          <t>No</t>
        </is>
      </c>
      <c r="M2444" s="1" t="inlineStr">
        <is>
          <t>No</t>
        </is>
      </c>
      <c r="N2444" s="1" t="inlineStr">
        <is>
          <t>Algorithms</t>
        </is>
      </c>
      <c r="O24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45" ht="15.75" customHeight="1" s="12">
      <c r="A2445" s="1" t="n">
        <v>2640</v>
      </c>
      <c r="B2445" s="3">
        <f>HYPERLINK("https://leetcode.com/problems/find-the-score-of-all-prefixes-of-an-array/", "Find the Score of All Prefixes of an Array")</f>
        <v/>
      </c>
      <c r="C2445" s="1" t="n">
        <v>359</v>
      </c>
      <c r="D2445" s="1" t="n">
        <v>47</v>
      </c>
      <c r="E2445" s="4">
        <f>IF(INDEX(C:C, ROW())+INDEX(D:D, ROW())=0, 0, INDEX(C:C, ROW())/(INDEX(C:C, ROW())+INDEX(D:D, ROW())))</f>
        <v/>
      </c>
      <c r="F2445" s="1" t="inlineStr">
        <is>
          <t>Array, Prefix Sum</t>
        </is>
      </c>
      <c r="G2445" s="1" t="inlineStr">
        <is>
          <t>Medium</t>
        </is>
      </c>
      <c r="H2445" s="1" t="n">
        <v>43063</v>
      </c>
      <c r="I2445" s="1" t="n">
        <v>59271</v>
      </c>
      <c r="J2445" s="9" t="n">
        <v>0.727</v>
      </c>
      <c r="K2445" s="1" t="inlineStr">
        <is>
          <t>Yes</t>
        </is>
      </c>
      <c r="L2445" s="1" t="inlineStr">
        <is>
          <t>No</t>
        </is>
      </c>
      <c r="M2445" s="1" t="inlineStr">
        <is>
          <t>No</t>
        </is>
      </c>
      <c r="N2445" s="1" t="inlineStr">
        <is>
          <t>Algorithms</t>
        </is>
      </c>
      <c r="O24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46" ht="15.75" customHeight="1" s="12">
      <c r="A2446" s="1" t="n">
        <v>2508</v>
      </c>
      <c r="B2446" s="3">
        <f>HYPERLINK("https://leetcode.com/problems/add-edges-to-make-degrees-of-all-nodes-even/", "Add Edges to Make Degrees of All Nodes Even")</f>
        <v/>
      </c>
      <c r="C2446" s="1" t="n">
        <v>357</v>
      </c>
      <c r="D2446" s="1" t="n">
        <v>60</v>
      </c>
      <c r="E2446" s="4">
        <f>IF(INDEX(C:C, ROW())+INDEX(D:D, ROW())=0, 0, INDEX(C:C, ROW())/(INDEX(C:C, ROW())+INDEX(D:D, ROW())))</f>
        <v/>
      </c>
      <c r="F2446" s="1" t="inlineStr">
        <is>
          <t>Hash Table, Graph Theory</t>
        </is>
      </c>
      <c r="G2446" s="1" t="inlineStr">
        <is>
          <t>Hard</t>
        </is>
      </c>
      <c r="H2446" s="1" t="n">
        <v>20767</v>
      </c>
      <c r="I2446" s="1" t="n">
        <v>59546</v>
      </c>
      <c r="J2446" s="9" t="n">
        <v>0.349</v>
      </c>
      <c r="K2446" s="1" t="inlineStr">
        <is>
          <t>Yes</t>
        </is>
      </c>
      <c r="L2446" s="1" t="inlineStr">
        <is>
          <t>No</t>
        </is>
      </c>
      <c r="M2446" s="1" t="inlineStr">
        <is>
          <t>No</t>
        </is>
      </c>
      <c r="N2446" s="1" t="inlineStr">
        <is>
          <t>Algorithms</t>
        </is>
      </c>
      <c r="O24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47" ht="15.75" customHeight="1" s="12">
      <c r="A2447" s="1" t="n">
        <v>2842</v>
      </c>
      <c r="B2447" s="3">
        <f>HYPERLINK("https://leetcode.com/problems/count-k-subsequences-of-a-string-with-maximum-beauty/", "Count K-Subsequences of a String With Maximum Beauty")</f>
        <v/>
      </c>
      <c r="C2447" s="1" t="n">
        <v>357</v>
      </c>
      <c r="D2447" s="1" t="n">
        <v>36</v>
      </c>
      <c r="E2447" s="4">
        <f>IF(INDEX(C:C, ROW())+INDEX(D:D, ROW())=0, 0, INDEX(C:C, ROW())/(INDEX(C:C, ROW())+INDEX(D:D, ROW())))</f>
        <v/>
      </c>
      <c r="F2447" s="1" t="inlineStr">
        <is>
          <t>Hash Table, Math, String, Greedy, Combinatorics</t>
        </is>
      </c>
      <c r="G2447" s="1" t="inlineStr">
        <is>
          <t>Hard</t>
        </is>
      </c>
      <c r="H2447" s="1" t="n">
        <v>14645</v>
      </c>
      <c r="I2447" s="1" t="n">
        <v>48608</v>
      </c>
      <c r="J2447" s="9" t="n">
        <v>0.301</v>
      </c>
      <c r="K2447" s="1" t="inlineStr">
        <is>
          <t>Yes</t>
        </is>
      </c>
      <c r="L2447" s="1" t="inlineStr">
        <is>
          <t>No</t>
        </is>
      </c>
      <c r="M2447" s="1" t="inlineStr">
        <is>
          <t>No</t>
        </is>
      </c>
      <c r="N2447" s="1" t="inlineStr">
        <is>
          <t>Algorithms</t>
        </is>
      </c>
      <c r="O24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48" ht="15.75" customHeight="1" s="12">
      <c r="A2448" s="1" t="n">
        <v>2865</v>
      </c>
      <c r="B2448" s="3">
        <f>HYPERLINK("https://leetcode.com/problems/beautiful-towers-i/", "Beautiful Towers I")</f>
        <v/>
      </c>
      <c r="C2448" s="1" t="n">
        <v>357</v>
      </c>
      <c r="D2448" s="1" t="n">
        <v>59</v>
      </c>
      <c r="E2448" s="4">
        <f>IF(INDEX(C:C, ROW())+INDEX(D:D, ROW())=0, 0, INDEX(C:C, ROW())/(INDEX(C:C, ROW())+INDEX(D:D, ROW())))</f>
        <v/>
      </c>
      <c r="F2448" s="1" t="inlineStr">
        <is>
          <t>Array, Stack, Monotonic Stack</t>
        </is>
      </c>
      <c r="G2448" s="1" t="inlineStr">
        <is>
          <t>Medium</t>
        </is>
      </c>
      <c r="H2448" s="1" t="n">
        <v>32843</v>
      </c>
      <c r="I2448" s="1" t="n">
        <v>74460</v>
      </c>
      <c r="J2448" s="9" t="n">
        <v>0.441</v>
      </c>
      <c r="K2448" s="1" t="inlineStr">
        <is>
          <t>Yes</t>
        </is>
      </c>
      <c r="L2448" s="1" t="inlineStr">
        <is>
          <t>No</t>
        </is>
      </c>
      <c r="M2448" s="1" t="inlineStr">
        <is>
          <t>No</t>
        </is>
      </c>
      <c r="N2448" s="1" t="inlineStr">
        <is>
          <t>Algorithms</t>
        </is>
      </c>
      <c r="O24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49" ht="15.75" customHeight="1" s="12">
      <c r="A2449" s="1" t="n">
        <v>3027</v>
      </c>
      <c r="B2449" s="3">
        <f>HYPERLINK("https://leetcode.com/problems/find-the-number-of-ways-to-place-people-ii/", "Find the Number of Ways to Place People II")</f>
        <v/>
      </c>
      <c r="C2449" s="1" t="n">
        <v>357</v>
      </c>
      <c r="D2449" s="1" t="n">
        <v>62</v>
      </c>
      <c r="E2449" s="4">
        <f>IF(INDEX(C:C, ROW())+INDEX(D:D, ROW())=0, 0, INDEX(C:C, ROW())/(INDEX(C:C, ROW())+INDEX(D:D, ROW())))</f>
        <v/>
      </c>
      <c r="F2449" s="1" t="inlineStr">
        <is>
          <t>Array, Math, Geometry, Sorting, Enumeration</t>
        </is>
      </c>
      <c r="G2449" s="1" t="inlineStr">
        <is>
          <t>Hard</t>
        </is>
      </c>
      <c r="H2449" s="1" t="n">
        <v>87626</v>
      </c>
      <c r="I2449" s="1" t="n">
        <v>136006</v>
      </c>
      <c r="J2449" s="9" t="n">
        <v>0.644</v>
      </c>
      <c r="K2449" s="1" t="inlineStr">
        <is>
          <t>Yes</t>
        </is>
      </c>
      <c r="L2449" s="1" t="inlineStr">
        <is>
          <t>Yes</t>
        </is>
      </c>
      <c r="M2449" s="1" t="inlineStr">
        <is>
          <t>No</t>
        </is>
      </c>
      <c r="N2449" s="1" t="inlineStr">
        <is>
          <t>Algorithms</t>
        </is>
      </c>
      <c r="O24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50" ht="15.75" customHeight="1" s="12">
      <c r="A2450" s="1" t="n">
        <v>2876</v>
      </c>
      <c r="B2450" s="3">
        <f>HYPERLINK("https://leetcode.com/problems/count-visited-nodes-in-a-directed-graph/", "Count Visited Nodes in a Directed Graph")</f>
        <v/>
      </c>
      <c r="C2450" s="1" t="n">
        <v>356</v>
      </c>
      <c r="D2450" s="1" t="n">
        <v>7</v>
      </c>
      <c r="E2450" s="4">
        <f>IF(INDEX(C:C, ROW())+INDEX(D:D, ROW())=0, 0, INDEX(C:C, ROW())/(INDEX(C:C, ROW())+INDEX(D:D, ROW())))</f>
        <v/>
      </c>
      <c r="F2450" s="1" t="inlineStr">
        <is>
          <t>Dynamic Programming, Graph Theory, Memoization</t>
        </is>
      </c>
      <c r="G2450" s="1" t="inlineStr">
        <is>
          <t>Hard</t>
        </is>
      </c>
      <c r="H2450" s="1" t="n">
        <v>13628</v>
      </c>
      <c r="I2450" s="1" t="n">
        <v>45350</v>
      </c>
      <c r="J2450" s="9" t="n">
        <v>0.301</v>
      </c>
      <c r="K2450" s="1" t="inlineStr">
        <is>
          <t>Yes</t>
        </is>
      </c>
      <c r="L2450" s="1" t="inlineStr">
        <is>
          <t>No</t>
        </is>
      </c>
      <c r="M2450" s="1" t="inlineStr">
        <is>
          <t>No</t>
        </is>
      </c>
      <c r="N2450" s="1" t="inlineStr">
        <is>
          <t>Algorithms</t>
        </is>
      </c>
      <c r="O24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51" ht="15.75" customHeight="1" s="12">
      <c r="A2451" s="1" t="n">
        <v>1815</v>
      </c>
      <c r="B2451" s="3">
        <f>HYPERLINK("https://leetcode.com/problems/maximum-number-of-groups-getting-fresh-donuts/", "Maximum Number of Groups Getting Fresh Donuts")</f>
        <v/>
      </c>
      <c r="C2451" s="1" t="n">
        <v>355</v>
      </c>
      <c r="D2451" s="1" t="n">
        <v>33</v>
      </c>
      <c r="E2451" s="4">
        <f>IF(INDEX(C:C, ROW())+INDEX(D:D, ROW())=0, 0, INDEX(C:C, ROW())/(INDEX(C:C, ROW())+INDEX(D:D, ROW())))</f>
        <v/>
      </c>
      <c r="F2451" s="1" t="inlineStr">
        <is>
          <t>Array, Dynamic Programming, Bit Manipulation, Memoization, Bitmask DP</t>
        </is>
      </c>
      <c r="G2451" s="1" t="inlineStr">
        <is>
          <t>Hard</t>
        </is>
      </c>
      <c r="H2451" s="1" t="n">
        <v>8190</v>
      </c>
      <c r="I2451" s="1" t="n">
        <v>19836</v>
      </c>
      <c r="J2451" s="9" t="n">
        <v>0.413</v>
      </c>
      <c r="K2451" s="1" t="inlineStr">
        <is>
          <t>Yes</t>
        </is>
      </c>
      <c r="L2451" s="1" t="inlineStr">
        <is>
          <t>No</t>
        </is>
      </c>
      <c r="M2451" s="1" t="inlineStr">
        <is>
          <t>No</t>
        </is>
      </c>
      <c r="N2451" s="1" t="inlineStr">
        <is>
          <t>Algorithms</t>
        </is>
      </c>
      <c r="O24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52" ht="15.75" customHeight="1" s="12">
      <c r="A2452" s="1" t="n">
        <v>2801</v>
      </c>
      <c r="B2452" s="3">
        <f>HYPERLINK("https://leetcode.com/problems/count-stepping-numbers-in-range/", "Count Stepping Numbers in Range")</f>
        <v/>
      </c>
      <c r="C2452" s="1" t="n">
        <v>355</v>
      </c>
      <c r="D2452" s="1" t="n">
        <v>11</v>
      </c>
      <c r="E2452" s="4">
        <f>IF(INDEX(C:C, ROW())+INDEX(D:D, ROW())=0, 0, INDEX(C:C, ROW())/(INDEX(C:C, ROW())+INDEX(D:D, ROW())))</f>
        <v/>
      </c>
      <c r="F2452" s="1" t="inlineStr">
        <is>
          <t>String, Dynamic Programming</t>
        </is>
      </c>
      <c r="G2452" s="1" t="inlineStr">
        <is>
          <t>Hard</t>
        </is>
      </c>
      <c r="H2452" s="1" t="n">
        <v>10498</v>
      </c>
      <c r="I2452" s="1" t="n">
        <v>38146</v>
      </c>
      <c r="J2452" s="9" t="n">
        <v>0.275</v>
      </c>
      <c r="K2452" s="1" t="inlineStr">
        <is>
          <t>Yes</t>
        </is>
      </c>
      <c r="L2452" s="1" t="inlineStr">
        <is>
          <t>No</t>
        </is>
      </c>
      <c r="M2452" s="1" t="inlineStr">
        <is>
          <t>No</t>
        </is>
      </c>
      <c r="N2452" s="1" t="inlineStr">
        <is>
          <t>Algorithms</t>
        </is>
      </c>
      <c r="O24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53" ht="15.75" customHeight="1" s="12">
      <c r="A2453" s="1" t="n">
        <v>1133</v>
      </c>
      <c r="B2453" s="3">
        <f>HYPERLINK("https://leetcode.com/problems/largest-unique-number/", "Largest Unique Number")</f>
        <v/>
      </c>
      <c r="C2453" s="1" t="n">
        <v>354</v>
      </c>
      <c r="D2453" s="1" t="n">
        <v>18</v>
      </c>
      <c r="E2453" s="4">
        <f>IF(INDEX(C:C, ROW())+INDEX(D:D, ROW())=0, 0, INDEX(C:C, ROW())/(INDEX(C:C, ROW())+INDEX(D:D, ROW())))</f>
        <v/>
      </c>
      <c r="F2453" s="1" t="inlineStr">
        <is>
          <t>Array, Hash Table, Sorting</t>
        </is>
      </c>
      <c r="G2453" s="1" t="inlineStr">
        <is>
          <t>Easy</t>
        </is>
      </c>
      <c r="H2453" s="1" t="n">
        <v>107454</v>
      </c>
      <c r="I2453" s="1" t="n">
        <v>150698</v>
      </c>
      <c r="J2453" s="9" t="n">
        <v>0.713</v>
      </c>
      <c r="K2453" s="1" t="inlineStr">
        <is>
          <t>No</t>
        </is>
      </c>
      <c r="L2453" s="1" t="inlineStr">
        <is>
          <t>Yes</t>
        </is>
      </c>
      <c r="M2453" s="1" t="inlineStr">
        <is>
          <t>No</t>
        </is>
      </c>
      <c r="N2453" s="1" t="inlineStr">
        <is>
          <t>Algorithms</t>
        </is>
      </c>
      <c r="O24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54" ht="15.75" customHeight="1" s="12">
      <c r="A2454" s="1" t="n">
        <v>1761</v>
      </c>
      <c r="B2454" s="3">
        <f>HYPERLINK("https://leetcode.com/problems/minimum-degree-of-a-connected-trio-in-a-graph/", "Minimum Degree of a Connected Trio in a Graph")</f>
        <v/>
      </c>
      <c r="C2454" s="1" t="n">
        <v>354</v>
      </c>
      <c r="D2454" s="1" t="n">
        <v>294</v>
      </c>
      <c r="E2454" s="4">
        <f>IF(INDEX(C:C, ROW())+INDEX(D:D, ROW())=0, 0, INDEX(C:C, ROW())/(INDEX(C:C, ROW())+INDEX(D:D, ROW())))</f>
        <v/>
      </c>
      <c r="F2454" s="1" t="inlineStr">
        <is>
          <t>Graph Theory, Enumeration</t>
        </is>
      </c>
      <c r="G2454" s="1" t="inlineStr">
        <is>
          <t>Hard</t>
        </is>
      </c>
      <c r="H2454" s="1" t="n">
        <v>28951</v>
      </c>
      <c r="I2454" s="1" t="n">
        <v>65647</v>
      </c>
      <c r="J2454" s="9" t="n">
        <v>0.441</v>
      </c>
      <c r="K2454" s="1" t="inlineStr">
        <is>
          <t>Yes</t>
        </is>
      </c>
      <c r="L2454" s="1" t="inlineStr">
        <is>
          <t>No</t>
        </is>
      </c>
      <c r="M2454" s="1" t="inlineStr">
        <is>
          <t>No</t>
        </is>
      </c>
      <c r="N2454" s="1" t="inlineStr">
        <is>
          <t>Algorithms</t>
        </is>
      </c>
      <c r="O24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55" ht="15.75" customHeight="1" s="12">
      <c r="A2455" s="1" t="n">
        <v>2846</v>
      </c>
      <c r="B2455" s="3">
        <f>HYPERLINK("https://leetcode.com/problems/minimum-edge-weight-equilibrium-queries-in-a-tree/", "Minimum Edge Weight Equilibrium Queries in a Tree")</f>
        <v/>
      </c>
      <c r="C2455" s="1" t="n">
        <v>354</v>
      </c>
      <c r="D2455" s="1" t="n">
        <v>10</v>
      </c>
      <c r="E2455" s="4">
        <f>IF(INDEX(C:C, ROW())+INDEX(D:D, ROW())=0, 0, INDEX(C:C, ROW())/(INDEX(C:C, ROW())+INDEX(D:D, ROW())))</f>
        <v/>
      </c>
      <c r="F2455" s="1" t="inlineStr">
        <is>
          <t>Array, Tree, Graph Theory, Strongly Connected Component</t>
        </is>
      </c>
      <c r="G2455" s="1" t="inlineStr">
        <is>
          <t>Hard</t>
        </is>
      </c>
      <c r="H2455" s="1" t="n">
        <v>9196</v>
      </c>
      <c r="I2455" s="1" t="n">
        <v>20412</v>
      </c>
      <c r="J2455" s="9" t="n">
        <v>0.451</v>
      </c>
      <c r="K2455" s="1" t="inlineStr">
        <is>
          <t>Yes</t>
        </is>
      </c>
      <c r="L2455" s="1" t="inlineStr">
        <is>
          <t>No</t>
        </is>
      </c>
      <c r="M2455" s="1" t="inlineStr">
        <is>
          <t>No</t>
        </is>
      </c>
      <c r="N2455" s="1" t="inlineStr">
        <is>
          <t>Algorithms</t>
        </is>
      </c>
      <c r="O24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56" ht="15.75" customHeight="1" s="12">
      <c r="A2456" s="1" t="n">
        <v>1804</v>
      </c>
      <c r="B2456" s="3">
        <f>HYPERLINK("https://leetcode.com/problems/implement-trie-ii-prefix-tree/", "Implement Trie II (Prefix Tree)")</f>
        <v/>
      </c>
      <c r="C2456" s="1" t="n">
        <v>353</v>
      </c>
      <c r="D2456" s="1" t="n">
        <v>19</v>
      </c>
      <c r="E2456" s="4">
        <f>IF(INDEX(C:C, ROW())+INDEX(D:D, ROW())=0, 0, INDEX(C:C, ROW())/(INDEX(C:C, ROW())+INDEX(D:D, ROW())))</f>
        <v/>
      </c>
      <c r="F2456" s="1" t="inlineStr">
        <is>
          <t>Hash Table, String, Design, Trie</t>
        </is>
      </c>
      <c r="G2456" s="1" t="inlineStr">
        <is>
          <t>Medium</t>
        </is>
      </c>
      <c r="H2456" s="1" t="n">
        <v>26306</v>
      </c>
      <c r="I2456" s="1" t="n">
        <v>41632</v>
      </c>
      <c r="J2456" s="9" t="n">
        <v>0.632</v>
      </c>
      <c r="K2456" s="1" t="inlineStr">
        <is>
          <t>No</t>
        </is>
      </c>
      <c r="L2456" s="1" t="inlineStr">
        <is>
          <t>Yes</t>
        </is>
      </c>
      <c r="M2456" s="1" t="inlineStr">
        <is>
          <t>No</t>
        </is>
      </c>
      <c r="N2456" s="1" t="inlineStr">
        <is>
          <t>Algorithms</t>
        </is>
      </c>
      <c r="O24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57" ht="15.75" customHeight="1" s="12">
      <c r="A2457" s="1" t="n">
        <v>1883</v>
      </c>
      <c r="B2457" s="3">
        <f>HYPERLINK("https://leetcode.com/problems/minimum-skips-to-arrive-at-meeting-on-time/", "Minimum Skips to Arrive at Meeting On Time")</f>
        <v/>
      </c>
      <c r="C2457" s="1" t="n">
        <v>353</v>
      </c>
      <c r="D2457" s="1" t="n">
        <v>54</v>
      </c>
      <c r="E2457" s="4">
        <f>IF(INDEX(C:C, ROW())+INDEX(D:D, ROW())=0, 0, INDEX(C:C, ROW())/(INDEX(C:C, ROW())+INDEX(D:D, ROW())))</f>
        <v/>
      </c>
      <c r="F2457" s="1" t="inlineStr">
        <is>
          <t>Array, Dynamic Programming</t>
        </is>
      </c>
      <c r="G2457" s="1" t="inlineStr">
        <is>
          <t>Hard</t>
        </is>
      </c>
      <c r="H2457" s="1" t="n">
        <v>8423</v>
      </c>
      <c r="I2457" s="1" t="n">
        <v>21795</v>
      </c>
      <c r="J2457" s="9" t="n">
        <v>0.386</v>
      </c>
      <c r="K2457" s="1" t="inlineStr">
        <is>
          <t>Yes</t>
        </is>
      </c>
      <c r="L2457" s="1" t="inlineStr">
        <is>
          <t>No</t>
        </is>
      </c>
      <c r="M2457" s="1" t="inlineStr">
        <is>
          <t>No</t>
        </is>
      </c>
      <c r="N2457" s="1" t="inlineStr">
        <is>
          <t>Algorithms</t>
        </is>
      </c>
      <c r="O24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58" ht="15.75" customHeight="1" s="12">
      <c r="A2458" s="1" t="n">
        <v>2723</v>
      </c>
      <c r="B2458" s="3">
        <f>HYPERLINK("https://leetcode.com/problems/add-two-promises/", "Add Two Promises")</f>
        <v/>
      </c>
      <c r="C2458" s="1" t="n">
        <v>353</v>
      </c>
      <c r="D2458" s="1" t="n">
        <v>32</v>
      </c>
      <c r="E2458" s="4">
        <f>IF(INDEX(C:C, ROW())+INDEX(D:D, ROW())=0, 0, INDEX(C:C, ROW())/(INDEX(C:C, ROW())+INDEX(D:D, ROW())))</f>
        <v/>
      </c>
      <c r="F2458" s="2" t="n"/>
      <c r="G2458" s="1" t="inlineStr">
        <is>
          <t>Easy</t>
        </is>
      </c>
      <c r="H2458" s="1" t="n">
        <v>177268</v>
      </c>
      <c r="I2458" s="1" t="n">
        <v>193232</v>
      </c>
      <c r="J2458" s="9" t="n">
        <v>0.917</v>
      </c>
      <c r="K2458" s="1" t="inlineStr">
        <is>
          <t>Yes</t>
        </is>
      </c>
      <c r="L2458" s="1" t="inlineStr">
        <is>
          <t>Yes</t>
        </is>
      </c>
      <c r="M2458" s="1" t="inlineStr">
        <is>
          <t>No</t>
        </is>
      </c>
      <c r="N2458" s="1" t="inlineStr">
        <is>
          <t>JavaScript</t>
        </is>
      </c>
      <c r="O24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59" ht="15.75" customHeight="1" s="12">
      <c r="A2459" s="1" t="n">
        <v>3577</v>
      </c>
      <c r="B2459" s="3">
        <f>HYPERLINK("https://leetcode.com/problems/count-the-number-of-computer-unlocking-permutations/", "Count the Number of Computer Unlocking Permutations")</f>
        <v/>
      </c>
      <c r="C2459" s="1" t="n">
        <v>353</v>
      </c>
      <c r="D2459" s="1" t="n">
        <v>127</v>
      </c>
      <c r="E2459" s="4">
        <f>IF(INDEX(C:C, ROW())+INDEX(D:D, ROW())=0, 0, INDEX(C:C, ROW())/(INDEX(C:C, ROW())+INDEX(D:D, ROW())))</f>
        <v/>
      </c>
      <c r="F2459" s="1" t="inlineStr">
        <is>
          <t>Array, Math, Brainteaser, Combinatorics</t>
        </is>
      </c>
      <c r="G2459" s="1" t="inlineStr">
        <is>
          <t>Medium</t>
        </is>
      </c>
      <c r="H2459" s="1" t="n">
        <v>92478</v>
      </c>
      <c r="I2459" s="1" t="n">
        <v>156720</v>
      </c>
      <c r="J2459" s="9" t="n">
        <v>0.59</v>
      </c>
      <c r="K2459" s="1" t="inlineStr">
        <is>
          <t>Yes</t>
        </is>
      </c>
      <c r="L2459" s="1" t="inlineStr">
        <is>
          <t>Yes</t>
        </is>
      </c>
      <c r="M2459" s="1" t="inlineStr">
        <is>
          <t>No</t>
        </is>
      </c>
      <c r="N2459" s="1" t="inlineStr">
        <is>
          <t>Algorithms</t>
        </is>
      </c>
      <c r="O24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60" ht="15.75" customHeight="1" s="12">
      <c r="A2460" s="1" t="n">
        <v>2227</v>
      </c>
      <c r="B2460" s="3">
        <f>HYPERLINK("https://leetcode.com/problems/encrypt-and-decrypt-strings/", "Encrypt and Decrypt Strings")</f>
        <v/>
      </c>
      <c r="C2460" s="1" t="n">
        <v>351</v>
      </c>
      <c r="D2460" s="1" t="n">
        <v>80</v>
      </c>
      <c r="E2460" s="4">
        <f>IF(INDEX(C:C, ROW())+INDEX(D:D, ROW())=0, 0, INDEX(C:C, ROW())/(INDEX(C:C, ROW())+INDEX(D:D, ROW())))</f>
        <v/>
      </c>
      <c r="F2460" s="1" t="inlineStr">
        <is>
          <t>Array, Hash Table, String, Design, Trie</t>
        </is>
      </c>
      <c r="G2460" s="1" t="inlineStr">
        <is>
          <t>Hard</t>
        </is>
      </c>
      <c r="H2460" s="1" t="n">
        <v>16775</v>
      </c>
      <c r="I2460" s="1" t="n">
        <v>44279</v>
      </c>
      <c r="J2460" s="9" t="n">
        <v>0.379</v>
      </c>
      <c r="K2460" s="1" t="inlineStr">
        <is>
          <t>Yes</t>
        </is>
      </c>
      <c r="L2460" s="1" t="inlineStr">
        <is>
          <t>No</t>
        </is>
      </c>
      <c r="M2460" s="1" t="inlineStr">
        <is>
          <t>No</t>
        </is>
      </c>
      <c r="N2460" s="1" t="inlineStr">
        <is>
          <t>Algorithms</t>
        </is>
      </c>
      <c r="O24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61" ht="15.75" customHeight="1" s="12">
      <c r="A2461" s="1" t="n">
        <v>2047</v>
      </c>
      <c r="B2461" s="3">
        <f>HYPERLINK("https://leetcode.com/problems/number-of-valid-words-in-a-sentence/", "Number of Valid Words in a Sentence")</f>
        <v/>
      </c>
      <c r="C2461" s="1" t="n">
        <v>350</v>
      </c>
      <c r="D2461" s="1" t="n">
        <v>827</v>
      </c>
      <c r="E2461" s="4">
        <f>IF(INDEX(C:C, ROW())+INDEX(D:D, ROW())=0, 0, INDEX(C:C, ROW())/(INDEX(C:C, ROW())+INDEX(D:D, ROW())))</f>
        <v/>
      </c>
      <c r="F2461" s="1" t="inlineStr">
        <is>
          <t>String</t>
        </is>
      </c>
      <c r="G2461" s="1" t="inlineStr">
        <is>
          <t>Easy</t>
        </is>
      </c>
      <c r="H2461" s="1" t="n">
        <v>41360</v>
      </c>
      <c r="I2461" s="1" t="n">
        <v>133983</v>
      </c>
      <c r="J2461" s="9" t="n">
        <v>0.309</v>
      </c>
      <c r="K2461" s="1" t="inlineStr">
        <is>
          <t>Yes</t>
        </is>
      </c>
      <c r="L2461" s="1" t="inlineStr">
        <is>
          <t>No</t>
        </is>
      </c>
      <c r="M2461" s="1" t="inlineStr">
        <is>
          <t>No</t>
        </is>
      </c>
      <c r="N2461" s="1" t="inlineStr">
        <is>
          <t>Algorithms</t>
        </is>
      </c>
      <c r="O24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62" ht="15.75" customHeight="1" s="12">
      <c r="A2462" s="1" t="n">
        <v>2502</v>
      </c>
      <c r="B2462" s="3">
        <f>HYPERLINK("https://leetcode.com/problems/design-memory-allocator/", "Design Memory Allocator")</f>
        <v/>
      </c>
      <c r="C2462" s="1" t="n">
        <v>350</v>
      </c>
      <c r="D2462" s="1" t="n">
        <v>98</v>
      </c>
      <c r="E2462" s="4">
        <f>IF(INDEX(C:C, ROW())+INDEX(D:D, ROW())=0, 0, INDEX(C:C, ROW())/(INDEX(C:C, ROW())+INDEX(D:D, ROW())))</f>
        <v/>
      </c>
      <c r="F2462" s="1" t="inlineStr">
        <is>
          <t>Array, Hash Table, Design, Simulation</t>
        </is>
      </c>
      <c r="G2462" s="1" t="inlineStr">
        <is>
          <t>Medium</t>
        </is>
      </c>
      <c r="H2462" s="1" t="n">
        <v>40262</v>
      </c>
      <c r="I2462" s="1" t="n">
        <v>81236</v>
      </c>
      <c r="J2462" s="9" t="n">
        <v>0.496</v>
      </c>
      <c r="K2462" s="1" t="inlineStr">
        <is>
          <t>Yes</t>
        </is>
      </c>
      <c r="L2462" s="1" t="inlineStr">
        <is>
          <t>No</t>
        </is>
      </c>
      <c r="M2462" s="1" t="inlineStr">
        <is>
          <t>No</t>
        </is>
      </c>
      <c r="N2462" s="1" t="inlineStr">
        <is>
          <t>Algorithms</t>
        </is>
      </c>
      <c r="O24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63" ht="15.75" customHeight="1" s="12">
      <c r="A2463" s="1" t="n">
        <v>2736</v>
      </c>
      <c r="B2463" s="3">
        <f>HYPERLINK("https://leetcode.com/problems/maximum-sum-queries/", "Maximum Sum Queries")</f>
        <v/>
      </c>
      <c r="C2463" s="1" t="n">
        <v>350</v>
      </c>
      <c r="D2463" s="1" t="n">
        <v>17</v>
      </c>
      <c r="E2463" s="4">
        <f>IF(INDEX(C:C, ROW())+INDEX(D:D, ROW())=0, 0, INDEX(C:C, ROW())/(INDEX(C:C, ROW())+INDEX(D:D, ROW())))</f>
        <v/>
      </c>
      <c r="F2463" s="1" t="inlineStr">
        <is>
          <t>Array, Binary Search, Stack, Binary Indexed Tree, Segment Tree, Sorting, Monotonic Stack</t>
        </is>
      </c>
      <c r="G2463" s="1" t="inlineStr">
        <is>
          <t>Hard</t>
        </is>
      </c>
      <c r="H2463" s="1" t="n">
        <v>7899</v>
      </c>
      <c r="I2463" s="1" t="n">
        <v>26634</v>
      </c>
      <c r="J2463" s="9" t="n">
        <v>0.297</v>
      </c>
      <c r="K2463" s="1" t="inlineStr">
        <is>
          <t>Yes</t>
        </is>
      </c>
      <c r="L2463" s="1" t="inlineStr">
        <is>
          <t>No</t>
        </is>
      </c>
      <c r="M2463" s="1" t="inlineStr">
        <is>
          <t>No</t>
        </is>
      </c>
      <c r="N2463" s="1" t="inlineStr">
        <is>
          <t>Algorithms</t>
        </is>
      </c>
      <c r="O24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64" ht="15.75" customHeight="1" s="12">
      <c r="A2464" s="1" t="n">
        <v>2919</v>
      </c>
      <c r="B2464" s="3">
        <f>HYPERLINK("https://leetcode.com/problems/minimum-increment-operations-to-make-array-beautiful/", "Minimum Increment Operations to Make Array Beautiful")</f>
        <v/>
      </c>
      <c r="C2464" s="1" t="n">
        <v>350</v>
      </c>
      <c r="D2464" s="1" t="n">
        <v>22</v>
      </c>
      <c r="E2464" s="4">
        <f>IF(INDEX(C:C, ROW())+INDEX(D:D, ROW())=0, 0, INDEX(C:C, ROW())/(INDEX(C:C, ROW())+INDEX(D:D, ROW())))</f>
        <v/>
      </c>
      <c r="F2464" s="1" t="inlineStr">
        <is>
          <t>Array, Dynamic Programming</t>
        </is>
      </c>
      <c r="G2464" s="1" t="inlineStr">
        <is>
          <t>Medium</t>
        </is>
      </c>
      <c r="H2464" s="1" t="n">
        <v>16887</v>
      </c>
      <c r="I2464" s="1" t="n">
        <v>48864</v>
      </c>
      <c r="J2464" s="9" t="n">
        <v>0.346</v>
      </c>
      <c r="K2464" s="1" t="inlineStr">
        <is>
          <t>Yes</t>
        </is>
      </c>
      <c r="L2464" s="1" t="inlineStr">
        <is>
          <t>No</t>
        </is>
      </c>
      <c r="M2464" s="1" t="inlineStr">
        <is>
          <t>No</t>
        </is>
      </c>
      <c r="N2464" s="1" t="inlineStr">
        <is>
          <t>Algorithms</t>
        </is>
      </c>
      <c r="O24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65" ht="15.75" customHeight="1" s="12">
      <c r="A2465" s="1" t="n">
        <v>3342</v>
      </c>
      <c r="B2465" s="3">
        <f>HYPERLINK("https://leetcode.com/problems/find-minimum-time-to-reach-last-room-ii/", "Find Minimum Time to Reach Last Room II")</f>
        <v/>
      </c>
      <c r="C2465" s="1" t="n">
        <v>350</v>
      </c>
      <c r="D2465" s="1" t="n">
        <v>57</v>
      </c>
      <c r="E2465" s="4">
        <f>IF(INDEX(C:C, ROW())+INDEX(D:D, ROW())=0, 0, INDEX(C:C, ROW())/(INDEX(C:C, ROW())+INDEX(D:D, ROW())))</f>
        <v/>
      </c>
      <c r="F2465" s="1" t="inlineStr">
        <is>
          <t>Array, Graph Theory, Heap (Priority Queue), Matrix, Shortest Path</t>
        </is>
      </c>
      <c r="G2465" s="1" t="inlineStr">
        <is>
          <t>Medium</t>
        </is>
      </c>
      <c r="H2465" s="1" t="n">
        <v>94790</v>
      </c>
      <c r="I2465" s="1" t="n">
        <v>139459</v>
      </c>
      <c r="J2465" s="9" t="n">
        <v>0.68</v>
      </c>
      <c r="K2465" s="1" t="inlineStr">
        <is>
          <t>Yes</t>
        </is>
      </c>
      <c r="L2465" s="1" t="inlineStr">
        <is>
          <t>Yes</t>
        </is>
      </c>
      <c r="M2465" s="1" t="inlineStr">
        <is>
          <t>No</t>
        </is>
      </c>
      <c r="N2465" s="1" t="inlineStr">
        <is>
          <t>Algorithms</t>
        </is>
      </c>
      <c r="O24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66" ht="15.75" customHeight="1" s="12">
      <c r="A2466" s="1" t="n">
        <v>1764</v>
      </c>
      <c r="B2466" s="3">
        <f>HYPERLINK("https://leetcode.com/problems/form-array-by-concatenating-subarrays-of-another-array/", "Form Array by Concatenating Subarrays of Another Array")</f>
        <v/>
      </c>
      <c r="C2466" s="1" t="n">
        <v>349</v>
      </c>
      <c r="D2466" s="1" t="n">
        <v>44</v>
      </c>
      <c r="E2466" s="4">
        <f>IF(INDEX(C:C, ROW())+INDEX(D:D, ROW())=0, 0, INDEX(C:C, ROW())/(INDEX(C:C, ROW())+INDEX(D:D, ROW())))</f>
        <v/>
      </c>
      <c r="F2466" s="1" t="inlineStr">
        <is>
          <t>Array, Two Pointers, Greedy, String Matching</t>
        </is>
      </c>
      <c r="G2466" s="1" t="inlineStr">
        <is>
          <t>Medium</t>
        </is>
      </c>
      <c r="H2466" s="1" t="n">
        <v>20171</v>
      </c>
      <c r="I2466" s="1" t="n">
        <v>36968</v>
      </c>
      <c r="J2466" s="9" t="n">
        <v>0.546</v>
      </c>
      <c r="K2466" s="1" t="inlineStr">
        <is>
          <t>Yes</t>
        </is>
      </c>
      <c r="L2466" s="1" t="inlineStr">
        <is>
          <t>No</t>
        </is>
      </c>
      <c r="M2466" s="1" t="inlineStr">
        <is>
          <t>No</t>
        </is>
      </c>
      <c r="N2466" s="1" t="inlineStr">
        <is>
          <t>Algorithms</t>
        </is>
      </c>
      <c r="O24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67" ht="15.75" customHeight="1" s="12">
      <c r="A2467" s="1" t="n">
        <v>2632</v>
      </c>
      <c r="B2467" s="3">
        <f>HYPERLINK("https://leetcode.com/problems/curry/", "Curry")</f>
        <v/>
      </c>
      <c r="C2467" s="1" t="n">
        <v>349</v>
      </c>
      <c r="D2467" s="1" t="n">
        <v>35</v>
      </c>
      <c r="E2467" s="4">
        <f>IF(INDEX(C:C, ROW())+INDEX(D:D, ROW())=0, 0, INDEX(C:C, ROW())/(INDEX(C:C, ROW())+INDEX(D:D, ROW())))</f>
        <v/>
      </c>
      <c r="F2467" s="2" t="n"/>
      <c r="G2467" s="1" t="inlineStr">
        <is>
          <t>Medium</t>
        </is>
      </c>
      <c r="H2467" s="1" t="n">
        <v>18618</v>
      </c>
      <c r="I2467" s="1" t="n">
        <v>20815</v>
      </c>
      <c r="J2467" s="9" t="n">
        <v>0.894</v>
      </c>
      <c r="K2467" s="1" t="inlineStr">
        <is>
          <t>No</t>
        </is>
      </c>
      <c r="L2467" s="1" t="inlineStr">
        <is>
          <t>Yes</t>
        </is>
      </c>
      <c r="M2467" s="1" t="inlineStr">
        <is>
          <t>No</t>
        </is>
      </c>
      <c r="N2467" s="1" t="inlineStr">
        <is>
          <t>JavaScript</t>
        </is>
      </c>
      <c r="O24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68" ht="15.75" customHeight="1" s="12">
      <c r="A2468" s="1" t="n">
        <v>2760</v>
      </c>
      <c r="B2468" s="3">
        <f>HYPERLINK("https://leetcode.com/problems/longest-even-odd-subarray-with-threshold/", "Longest Even Odd Subarray With Threshold")</f>
        <v/>
      </c>
      <c r="C2468" s="1" t="n">
        <v>349</v>
      </c>
      <c r="D2468" s="1" t="n">
        <v>289</v>
      </c>
      <c r="E2468" s="4">
        <f>IF(INDEX(C:C, ROW())+INDEX(D:D, ROW())=0, 0, INDEX(C:C, ROW())/(INDEX(C:C, ROW())+INDEX(D:D, ROW())))</f>
        <v/>
      </c>
      <c r="F2468" s="1" t="inlineStr">
        <is>
          <t>Array, Sliding Window</t>
        </is>
      </c>
      <c r="G2468" s="1" t="inlineStr">
        <is>
          <t>Easy</t>
        </is>
      </c>
      <c r="H2468" s="1" t="n">
        <v>50190</v>
      </c>
      <c r="I2468" s="1" t="n">
        <v>160057</v>
      </c>
      <c r="J2468" s="9" t="n">
        <v>0.314</v>
      </c>
      <c r="K2468" s="1" t="inlineStr">
        <is>
          <t>Yes</t>
        </is>
      </c>
      <c r="L2468" s="1" t="inlineStr">
        <is>
          <t>No</t>
        </is>
      </c>
      <c r="M2468" s="1" t="inlineStr">
        <is>
          <t>No</t>
        </is>
      </c>
      <c r="N2468" s="1" t="inlineStr">
        <is>
          <t>Algorithms</t>
        </is>
      </c>
      <c r="O24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69" ht="15.75" customHeight="1" s="12">
      <c r="A2469" s="1" t="n">
        <v>1225</v>
      </c>
      <c r="B2469" s="3">
        <f>HYPERLINK("https://leetcode.com/problems/report-contiguous-dates/", "Report Contiguous Dates")</f>
        <v/>
      </c>
      <c r="C2469" s="1" t="n">
        <v>348</v>
      </c>
      <c r="D2469" s="1" t="n">
        <v>22</v>
      </c>
      <c r="E2469" s="4">
        <f>IF(INDEX(C:C, ROW())+INDEX(D:D, ROW())=0, 0, INDEX(C:C, ROW())/(INDEX(C:C, ROW())+INDEX(D:D, ROW())))</f>
        <v/>
      </c>
      <c r="F2469" s="1" t="inlineStr">
        <is>
          <t>Database</t>
        </is>
      </c>
      <c r="G2469" s="1" t="inlineStr">
        <is>
          <t>Hard</t>
        </is>
      </c>
      <c r="H2469" s="1" t="n">
        <v>32089</v>
      </c>
      <c r="I2469" s="1" t="n">
        <v>56015</v>
      </c>
      <c r="J2469" s="9" t="n">
        <v>0.573</v>
      </c>
      <c r="K2469" s="1" t="inlineStr">
        <is>
          <t>No</t>
        </is>
      </c>
      <c r="L2469" s="1" t="inlineStr">
        <is>
          <t>No</t>
        </is>
      </c>
      <c r="M2469" s="1" t="inlineStr">
        <is>
          <t>No</t>
        </is>
      </c>
      <c r="N2469" s="1" t="inlineStr">
        <is>
          <t>Database</t>
        </is>
      </c>
      <c r="O24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70" ht="15.75" customHeight="1" s="12">
      <c r="A2470" s="1" t="n">
        <v>2286</v>
      </c>
      <c r="B2470" s="3">
        <f>HYPERLINK("https://leetcode.com/problems/booking-concert-tickets-in-groups/", "Booking Concert Tickets in Groups")</f>
        <v/>
      </c>
      <c r="C2470" s="1" t="n">
        <v>348</v>
      </c>
      <c r="D2470" s="1" t="n">
        <v>60</v>
      </c>
      <c r="E2470" s="4">
        <f>IF(INDEX(C:C, ROW())+INDEX(D:D, ROW())=0, 0, INDEX(C:C, ROW())/(INDEX(C:C, ROW())+INDEX(D:D, ROW())))</f>
        <v/>
      </c>
      <c r="F2470" s="1" t="inlineStr">
        <is>
          <t>Binary Search, Design, Binary Indexed Tree, Segment Tree</t>
        </is>
      </c>
      <c r="G2470" s="1" t="inlineStr">
        <is>
          <t>Hard</t>
        </is>
      </c>
      <c r="H2470" s="1" t="n">
        <v>9344</v>
      </c>
      <c r="I2470" s="1" t="n">
        <v>49175</v>
      </c>
      <c r="J2470" s="9" t="n">
        <v>0.19</v>
      </c>
      <c r="K2470" s="1" t="inlineStr">
        <is>
          <t>Yes</t>
        </is>
      </c>
      <c r="L2470" s="1" t="inlineStr">
        <is>
          <t>No</t>
        </is>
      </c>
      <c r="M2470" s="1" t="inlineStr">
        <is>
          <t>No</t>
        </is>
      </c>
      <c r="N2470" s="1" t="inlineStr">
        <is>
          <t>Algorithms</t>
        </is>
      </c>
      <c r="O24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71" ht="15.75" customHeight="1" s="12">
      <c r="A2471" s="1" t="n">
        <v>3652</v>
      </c>
      <c r="B2471" s="3">
        <f>HYPERLINK("https://leetcode.com/problems/best-time-to-buy-and-sell-stock-using-strategy/", "Best Time to Buy and Sell Stock using Strategy")</f>
        <v/>
      </c>
      <c r="C2471" s="1" t="n">
        <v>348</v>
      </c>
      <c r="D2471" s="1" t="n">
        <v>39</v>
      </c>
      <c r="E2471" s="4">
        <f>IF(INDEX(C:C, ROW())+INDEX(D:D, ROW())=0, 0, INDEX(C:C, ROW())/(INDEX(C:C, ROW())+INDEX(D:D, ROW())))</f>
        <v/>
      </c>
      <c r="F2471" s="1" t="inlineStr">
        <is>
          <t>Array, Sliding Window, Prefix Sum</t>
        </is>
      </c>
      <c r="G2471" s="1" t="inlineStr">
        <is>
          <t>Medium</t>
        </is>
      </c>
      <c r="H2471" s="1" t="n">
        <v>107010</v>
      </c>
      <c r="I2471" s="1" t="n">
        <v>179790</v>
      </c>
      <c r="J2471" s="9" t="n">
        <v>0.595</v>
      </c>
      <c r="K2471" s="1" t="inlineStr">
        <is>
          <t>Yes</t>
        </is>
      </c>
      <c r="L2471" s="1" t="inlineStr">
        <is>
          <t>Yes</t>
        </is>
      </c>
      <c r="M2471" s="1" t="inlineStr">
        <is>
          <t>No</t>
        </is>
      </c>
      <c r="N2471" s="1" t="inlineStr">
        <is>
          <t>Algorithms</t>
        </is>
      </c>
      <c r="O24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72" ht="15.75" customHeight="1" s="12">
      <c r="A2472" s="1" t="n">
        <v>2671</v>
      </c>
      <c r="B2472" s="3">
        <f>HYPERLINK("https://leetcode.com/problems/frequency-tracker/", "Frequency Tracker")</f>
        <v/>
      </c>
      <c r="C2472" s="1" t="n">
        <v>345</v>
      </c>
      <c r="D2472" s="1" t="n">
        <v>31</v>
      </c>
      <c r="E2472" s="4">
        <f>IF(INDEX(C:C, ROW())+INDEX(D:D, ROW())=0, 0, INDEX(C:C, ROW())/(INDEX(C:C, ROW())+INDEX(D:D, ROW())))</f>
        <v/>
      </c>
      <c r="F2472" s="1" t="inlineStr">
        <is>
          <t>Hash Table, Design</t>
        </is>
      </c>
      <c r="G2472" s="1" t="inlineStr">
        <is>
          <t>Medium</t>
        </is>
      </c>
      <c r="H2472" s="1" t="n">
        <v>27905</v>
      </c>
      <c r="I2472" s="1" t="n">
        <v>91074</v>
      </c>
      <c r="J2472" s="9" t="n">
        <v>0.306</v>
      </c>
      <c r="K2472" s="1" t="inlineStr">
        <is>
          <t>Yes</t>
        </is>
      </c>
      <c r="L2472" s="1" t="inlineStr">
        <is>
          <t>No</t>
        </is>
      </c>
      <c r="M2472" s="1" t="inlineStr">
        <is>
          <t>No</t>
        </is>
      </c>
      <c r="N2472" s="1" t="inlineStr">
        <is>
          <t>Algorithms</t>
        </is>
      </c>
      <c r="O24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73" ht="15.75" customHeight="1" s="12">
      <c r="A2473" s="1" t="n">
        <v>1564</v>
      </c>
      <c r="B2473" s="3">
        <f>HYPERLINK("https://leetcode.com/problems/put-boxes-into-the-warehouse-i/", "Put Boxes Into the Warehouse I")</f>
        <v/>
      </c>
      <c r="C2473" s="1" t="n">
        <v>344</v>
      </c>
      <c r="D2473" s="1" t="n">
        <v>30</v>
      </c>
      <c r="E2473" s="4">
        <f>IF(INDEX(C:C, ROW())+INDEX(D:D, ROW())=0, 0, INDEX(C:C, ROW())/(INDEX(C:C, ROW())+INDEX(D:D, ROW())))</f>
        <v/>
      </c>
      <c r="F2473" s="1" t="inlineStr">
        <is>
          <t>Array, Greedy, Sorting</t>
        </is>
      </c>
      <c r="G2473" s="1" t="inlineStr">
        <is>
          <t>Medium</t>
        </is>
      </c>
      <c r="H2473" s="1" t="n">
        <v>18827</v>
      </c>
      <c r="I2473" s="1" t="n">
        <v>27949</v>
      </c>
      <c r="J2473" s="9" t="n">
        <v>0.674</v>
      </c>
      <c r="K2473" s="1" t="inlineStr">
        <is>
          <t>No</t>
        </is>
      </c>
      <c r="L2473" s="1" t="inlineStr">
        <is>
          <t>Yes</t>
        </is>
      </c>
      <c r="M2473" s="1" t="inlineStr">
        <is>
          <t>No</t>
        </is>
      </c>
      <c r="N2473" s="1" t="inlineStr">
        <is>
          <t>Algorithms</t>
        </is>
      </c>
      <c r="O24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74" ht="15.75" customHeight="1" s="12">
      <c r="A2474" s="1" t="n">
        <v>2829</v>
      </c>
      <c r="B2474" s="3">
        <f>HYPERLINK("https://leetcode.com/problems/determine-the-minimum-sum-of-a-k-avoiding-array/", "Determine the Minimum Sum of a k-avoiding Array")</f>
        <v/>
      </c>
      <c r="C2474" s="1" t="n">
        <v>344</v>
      </c>
      <c r="D2474" s="1" t="n">
        <v>13</v>
      </c>
      <c r="E2474" s="4">
        <f>IF(INDEX(C:C, ROW())+INDEX(D:D, ROW())=0, 0, INDEX(C:C, ROW())/(INDEX(C:C, ROW())+INDEX(D:D, ROW())))</f>
        <v/>
      </c>
      <c r="F2474" s="1" t="inlineStr">
        <is>
          <t>Math, Greedy</t>
        </is>
      </c>
      <c r="G2474" s="1" t="inlineStr">
        <is>
          <t>Medium</t>
        </is>
      </c>
      <c r="H2474" s="1" t="n">
        <v>39734</v>
      </c>
      <c r="I2474" s="1" t="n">
        <v>65729</v>
      </c>
      <c r="J2474" s="9" t="n">
        <v>0.605</v>
      </c>
      <c r="K2474" s="1" t="inlineStr">
        <is>
          <t>Yes</t>
        </is>
      </c>
      <c r="L2474" s="1" t="inlineStr">
        <is>
          <t>No</t>
        </is>
      </c>
      <c r="M2474" s="1" t="inlineStr">
        <is>
          <t>No</t>
        </is>
      </c>
      <c r="N2474" s="1" t="inlineStr">
        <is>
          <t>Algorithms</t>
        </is>
      </c>
      <c r="O24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75" ht="15.75" customHeight="1" s="12">
      <c r="A2475" s="1" t="n">
        <v>613</v>
      </c>
      <c r="B2475" s="3">
        <f>HYPERLINK("https://leetcode.com/problems/shortest-distance-in-a-line/", "Shortest Distance in a Line")</f>
        <v/>
      </c>
      <c r="C2475" s="1" t="n">
        <v>343</v>
      </c>
      <c r="D2475" s="1" t="n">
        <v>40</v>
      </c>
      <c r="E2475" s="4">
        <f>IF(INDEX(C:C, ROW())+INDEX(D:D, ROW())=0, 0, INDEX(C:C, ROW())/(INDEX(C:C, ROW())+INDEX(D:D, ROW())))</f>
        <v/>
      </c>
      <c r="F2475" s="1" t="inlineStr">
        <is>
          <t>Database</t>
        </is>
      </c>
      <c r="G2475" s="1" t="inlineStr">
        <is>
          <t>Easy</t>
        </is>
      </c>
      <c r="H2475" s="1" t="n">
        <v>83848</v>
      </c>
      <c r="I2475" s="1" t="n">
        <v>105115</v>
      </c>
      <c r="J2475" s="9" t="n">
        <v>0.798</v>
      </c>
      <c r="K2475" s="1" t="inlineStr">
        <is>
          <t>No</t>
        </is>
      </c>
      <c r="L2475" s="1" t="inlineStr">
        <is>
          <t>Yes</t>
        </is>
      </c>
      <c r="M2475" s="1" t="inlineStr">
        <is>
          <t>No</t>
        </is>
      </c>
      <c r="N2475" s="1" t="inlineStr">
        <is>
          <t>Database</t>
        </is>
      </c>
      <c r="O24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76" ht="15.75" customHeight="1" s="12">
      <c r="A2476" s="1" t="n">
        <v>1303</v>
      </c>
      <c r="B2476" s="3">
        <f>HYPERLINK("https://leetcode.com/problems/find-the-team-size/", "Find the Team Size")</f>
        <v/>
      </c>
      <c r="C2476" s="1" t="n">
        <v>343</v>
      </c>
      <c r="D2476" s="1" t="n">
        <v>16</v>
      </c>
      <c r="E2476" s="4">
        <f>IF(INDEX(C:C, ROW())+INDEX(D:D, ROW())=0, 0, INDEX(C:C, ROW())/(INDEX(C:C, ROW())+INDEX(D:D, ROW())))</f>
        <v/>
      </c>
      <c r="F2476" s="1" t="inlineStr">
        <is>
          <t>Database</t>
        </is>
      </c>
      <c r="G2476" s="1" t="inlineStr">
        <is>
          <t>Easy</t>
        </is>
      </c>
      <c r="H2476" s="1" t="n">
        <v>80498</v>
      </c>
      <c r="I2476" s="1" t="n">
        <v>89839</v>
      </c>
      <c r="J2476" s="9" t="n">
        <v>0.896</v>
      </c>
      <c r="K2476" s="1" t="inlineStr">
        <is>
          <t>No</t>
        </is>
      </c>
      <c r="L2476" s="1" t="inlineStr">
        <is>
          <t>No</t>
        </is>
      </c>
      <c r="M2476" s="1" t="inlineStr">
        <is>
          <t>No</t>
        </is>
      </c>
      <c r="N2476" s="1" t="inlineStr">
        <is>
          <t>Database</t>
        </is>
      </c>
      <c r="O24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77" ht="15.75" customHeight="1" s="12">
      <c r="A2477" s="1" t="n">
        <v>1276</v>
      </c>
      <c r="B2477" s="3">
        <f>HYPERLINK("https://leetcode.com/problems/number-of-burgers-with-no-waste-of-ingredients/", "Number of Burgers with No Waste of Ingredients")</f>
        <v/>
      </c>
      <c r="C2477" s="1" t="n">
        <v>342</v>
      </c>
      <c r="D2477" s="1" t="n">
        <v>238</v>
      </c>
      <c r="E2477" s="4">
        <f>IF(INDEX(C:C, ROW())+INDEX(D:D, ROW())=0, 0, INDEX(C:C, ROW())/(INDEX(C:C, ROW())+INDEX(D:D, ROW())))</f>
        <v/>
      </c>
      <c r="F2477" s="1" t="inlineStr">
        <is>
          <t>Math</t>
        </is>
      </c>
      <c r="G2477" s="1" t="inlineStr">
        <is>
          <t>Medium</t>
        </is>
      </c>
      <c r="H2477" s="1" t="n">
        <v>31975</v>
      </c>
      <c r="I2477" s="1" t="n">
        <v>62985</v>
      </c>
      <c r="J2477" s="9" t="n">
        <v>0.508</v>
      </c>
      <c r="K2477" s="1" t="inlineStr">
        <is>
          <t>Yes</t>
        </is>
      </c>
      <c r="L2477" s="1" t="inlineStr">
        <is>
          <t>No</t>
        </is>
      </c>
      <c r="M2477" s="1" t="inlineStr">
        <is>
          <t>No</t>
        </is>
      </c>
      <c r="N2477" s="1" t="inlineStr">
        <is>
          <t>Algorithms</t>
        </is>
      </c>
      <c r="O24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78" ht="15.75" customHeight="1" s="12">
      <c r="A2478" s="1" t="n">
        <v>1782</v>
      </c>
      <c r="B2478" s="3">
        <f>HYPERLINK("https://leetcode.com/problems/count-pairs-of-nodes/", "Count Pairs Of Nodes")</f>
        <v/>
      </c>
      <c r="C2478" s="1" t="n">
        <v>342</v>
      </c>
      <c r="D2478" s="1" t="n">
        <v>172</v>
      </c>
      <c r="E2478" s="4">
        <f>IF(INDEX(C:C, ROW())+INDEX(D:D, ROW())=0, 0, INDEX(C:C, ROW())/(INDEX(C:C, ROW())+INDEX(D:D, ROW())))</f>
        <v/>
      </c>
      <c r="F2478" s="1" t="inlineStr">
        <is>
          <t>Array, Hash Table, Two Pointers, Binary Search, Graph Theory, Sorting, Counting</t>
        </is>
      </c>
      <c r="G2478" s="1" t="inlineStr">
        <is>
          <t>Hard</t>
        </is>
      </c>
      <c r="H2478" s="1" t="n">
        <v>9422</v>
      </c>
      <c r="I2478" s="1" t="n">
        <v>22334</v>
      </c>
      <c r="J2478" s="9" t="n">
        <v>0.422</v>
      </c>
      <c r="K2478" s="1" t="inlineStr">
        <is>
          <t>Yes</t>
        </is>
      </c>
      <c r="L2478" s="1" t="inlineStr">
        <is>
          <t>No</t>
        </is>
      </c>
      <c r="M2478" s="1" t="inlineStr">
        <is>
          <t>No</t>
        </is>
      </c>
      <c r="N2478" s="1" t="inlineStr">
        <is>
          <t>Algorithms</t>
        </is>
      </c>
      <c r="O24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79" ht="15.75" customHeight="1" s="12">
      <c r="A2479" s="1" t="n">
        <v>2788</v>
      </c>
      <c r="B2479" s="3">
        <f>HYPERLINK("https://leetcode.com/problems/split-strings-by-separator/", "Split Strings by Separator")</f>
        <v/>
      </c>
      <c r="C2479" s="1" t="n">
        <v>342</v>
      </c>
      <c r="D2479" s="1" t="n">
        <v>13</v>
      </c>
      <c r="E2479" s="4">
        <f>IF(INDEX(C:C, ROW())+INDEX(D:D, ROW())=0, 0, INDEX(C:C, ROW())/(INDEX(C:C, ROW())+INDEX(D:D, ROW())))</f>
        <v/>
      </c>
      <c r="F2479" s="1" t="inlineStr">
        <is>
          <t>Array, String</t>
        </is>
      </c>
      <c r="G2479" s="1" t="inlineStr">
        <is>
          <t>Easy</t>
        </is>
      </c>
      <c r="H2479" s="1" t="n">
        <v>76570</v>
      </c>
      <c r="I2479" s="1" t="n">
        <v>100934</v>
      </c>
      <c r="J2479" s="9" t="n">
        <v>0.759</v>
      </c>
      <c r="K2479" s="1" t="inlineStr">
        <is>
          <t>Yes</t>
        </is>
      </c>
      <c r="L2479" s="1" t="inlineStr">
        <is>
          <t>No</t>
        </is>
      </c>
      <c r="M2479" s="1" t="inlineStr">
        <is>
          <t>No</t>
        </is>
      </c>
      <c r="N2479" s="1" t="inlineStr">
        <is>
          <t>Algorithms</t>
        </is>
      </c>
      <c r="O24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80" ht="15.75" customHeight="1" s="12">
      <c r="A2480" s="1" t="n">
        <v>2343</v>
      </c>
      <c r="B2480" s="3">
        <f>HYPERLINK("https://leetcode.com/problems/query-kth-smallest-trimmed-number/", "Query Kth Smallest Trimmed Number")</f>
        <v/>
      </c>
      <c r="C2480" s="1" t="n">
        <v>341</v>
      </c>
      <c r="D2480" s="1" t="n">
        <v>443</v>
      </c>
      <c r="E2480" s="4">
        <f>IF(INDEX(C:C, ROW())+INDEX(D:D, ROW())=0, 0, INDEX(C:C, ROW())/(INDEX(C:C, ROW())+INDEX(D:D, ROW())))</f>
        <v/>
      </c>
      <c r="F2480" s="1" t="inlineStr">
        <is>
          <t>Array, String, Divide and Conquer, Sorting, Heap (Priority Queue), Radix Sort, Quickselect</t>
        </is>
      </c>
      <c r="G2480" s="1" t="inlineStr">
        <is>
          <t>Medium</t>
        </is>
      </c>
      <c r="H2480" s="1" t="n">
        <v>39118</v>
      </c>
      <c r="I2480" s="1" t="n">
        <v>83413</v>
      </c>
      <c r="J2480" s="9" t="n">
        <v>0.469</v>
      </c>
      <c r="K2480" s="1" t="inlineStr">
        <is>
          <t>Yes</t>
        </is>
      </c>
      <c r="L2480" s="1" t="inlineStr">
        <is>
          <t>No</t>
        </is>
      </c>
      <c r="M2480" s="1" t="inlineStr">
        <is>
          <t>No</t>
        </is>
      </c>
      <c r="N2480" s="1" t="inlineStr">
        <is>
          <t>Algorithms</t>
        </is>
      </c>
      <c r="O24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81" ht="15.75" customHeight="1" s="12">
      <c r="A2481" s="1" t="n">
        <v>1659</v>
      </c>
      <c r="B2481" s="3">
        <f>HYPERLINK("https://leetcode.com/problems/maximize-grid-happiness/", "Maximize Grid Happiness")</f>
        <v/>
      </c>
      <c r="C2481" s="1" t="n">
        <v>340</v>
      </c>
      <c r="D2481" s="1" t="n">
        <v>55</v>
      </c>
      <c r="E2481" s="4">
        <f>IF(INDEX(C:C, ROW())+INDEX(D:D, ROW())=0, 0, INDEX(C:C, ROW())/(INDEX(C:C, ROW())+INDEX(D:D, ROW())))</f>
        <v/>
      </c>
      <c r="F2481" s="1" t="inlineStr">
        <is>
          <t>Dynamic Programming, Bit Manipulation, Memoization, Bitmask DP</t>
        </is>
      </c>
      <c r="G2481" s="1" t="inlineStr">
        <is>
          <t>Hard</t>
        </is>
      </c>
      <c r="H2481" s="1" t="n">
        <v>7251</v>
      </c>
      <c r="I2481" s="1" t="n">
        <v>17837</v>
      </c>
      <c r="J2481" s="9" t="n">
        <v>0.407</v>
      </c>
      <c r="K2481" s="1" t="inlineStr">
        <is>
          <t>Yes</t>
        </is>
      </c>
      <c r="L2481" s="1" t="inlineStr">
        <is>
          <t>No</t>
        </is>
      </c>
      <c r="M2481" s="1" t="inlineStr">
        <is>
          <t>No</t>
        </is>
      </c>
      <c r="N2481" s="1" t="inlineStr">
        <is>
          <t>Algorithms</t>
        </is>
      </c>
      <c r="O24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82" ht="15.75" customHeight="1" s="12">
      <c r="A2482" s="1" t="n">
        <v>3007</v>
      </c>
      <c r="B2482" s="3">
        <f>HYPERLINK("https://leetcode.com/problems/maximum-number-that-sum-of-the-prices-is-less-than-or-equal-to-k/", "Maximum Number That Sum of the Prices Is Less Than or Equal to K")</f>
        <v/>
      </c>
      <c r="C2482" s="1" t="n">
        <v>340</v>
      </c>
      <c r="D2482" s="1" t="n">
        <v>131</v>
      </c>
      <c r="E2482" s="4">
        <f>IF(INDEX(C:C, ROW())+INDEX(D:D, ROW())=0, 0, INDEX(C:C, ROW())/(INDEX(C:C, ROW())+INDEX(D:D, ROW())))</f>
        <v/>
      </c>
      <c r="F2482" s="1" t="inlineStr">
        <is>
          <t>Math, Binary Search, Dynamic Programming, Bit Manipulation</t>
        </is>
      </c>
      <c r="G2482" s="1" t="inlineStr">
        <is>
          <t>Medium</t>
        </is>
      </c>
      <c r="H2482" s="1" t="n">
        <v>12453</v>
      </c>
      <c r="I2482" s="1" t="n">
        <v>32604</v>
      </c>
      <c r="J2482" s="9" t="n">
        <v>0.382</v>
      </c>
      <c r="K2482" s="1" t="inlineStr">
        <is>
          <t>Yes</t>
        </is>
      </c>
      <c r="L2482" s="1" t="inlineStr">
        <is>
          <t>No</t>
        </is>
      </c>
      <c r="M2482" s="1" t="inlineStr">
        <is>
          <t>No</t>
        </is>
      </c>
      <c r="N2482" s="1" t="inlineStr">
        <is>
          <t>Algorithms</t>
        </is>
      </c>
      <c r="O24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83" ht="15.75" customHeight="1" s="12">
      <c r="A2483" s="1" t="n">
        <v>569</v>
      </c>
      <c r="B2483" s="3">
        <f>HYPERLINK("https://leetcode.com/problems/median-employee-salary/", "Median Employee Salary")</f>
        <v/>
      </c>
      <c r="C2483" s="1" t="n">
        <v>339</v>
      </c>
      <c r="D2483" s="1" t="n">
        <v>156</v>
      </c>
      <c r="E2483" s="4">
        <f>IF(INDEX(C:C, ROW())+INDEX(D:D, ROW())=0, 0, INDEX(C:C, ROW())/(INDEX(C:C, ROW())+INDEX(D:D, ROW())))</f>
        <v/>
      </c>
      <c r="F2483" s="1" t="inlineStr">
        <is>
          <t>Database</t>
        </is>
      </c>
      <c r="G2483" s="1" t="inlineStr">
        <is>
          <t>Hard</t>
        </is>
      </c>
      <c r="H2483" s="1" t="n">
        <v>49736</v>
      </c>
      <c r="I2483" s="1" t="n">
        <v>75406</v>
      </c>
      <c r="J2483" s="9" t="n">
        <v>0.66</v>
      </c>
      <c r="K2483" s="1" t="inlineStr">
        <is>
          <t>No</t>
        </is>
      </c>
      <c r="L2483" s="1" t="inlineStr">
        <is>
          <t>Yes</t>
        </is>
      </c>
      <c r="M2483" s="1" t="inlineStr">
        <is>
          <t>No</t>
        </is>
      </c>
      <c r="N2483" s="1" t="inlineStr">
        <is>
          <t>Database</t>
        </is>
      </c>
      <c r="O24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84" ht="15.75" customHeight="1" s="12">
      <c r="A2484" s="1" t="n">
        <v>816</v>
      </c>
      <c r="B2484" s="3">
        <f>HYPERLINK("https://leetcode.com/problems/ambiguous-coordinates/", "Ambiguous Coordinates")</f>
        <v/>
      </c>
      <c r="C2484" s="1" t="n">
        <v>338</v>
      </c>
      <c r="D2484" s="1" t="n">
        <v>668</v>
      </c>
      <c r="E2484" s="4">
        <f>IF(INDEX(C:C, ROW())+INDEX(D:D, ROW())=0, 0, INDEX(C:C, ROW())/(INDEX(C:C, ROW())+INDEX(D:D, ROW())))</f>
        <v/>
      </c>
      <c r="F2484" s="1" t="inlineStr">
        <is>
          <t>String, Backtracking, Enumeration</t>
        </is>
      </c>
      <c r="G2484" s="1" t="inlineStr">
        <is>
          <t>Medium</t>
        </is>
      </c>
      <c r="H2484" s="1" t="n">
        <v>34295</v>
      </c>
      <c r="I2484" s="1" t="n">
        <v>60862</v>
      </c>
      <c r="J2484" s="9" t="n">
        <v>0.5629999999999999</v>
      </c>
      <c r="K2484" s="1" t="inlineStr">
        <is>
          <t>Yes</t>
        </is>
      </c>
      <c r="L2484" s="1" t="inlineStr">
        <is>
          <t>Yes</t>
        </is>
      </c>
      <c r="M2484" s="1" t="inlineStr">
        <is>
          <t>No</t>
        </is>
      </c>
      <c r="N2484" s="1" t="inlineStr">
        <is>
          <t>Algorithms</t>
        </is>
      </c>
      <c r="O24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85" ht="15.75" customHeight="1" s="12">
      <c r="A2485" s="1" t="n">
        <v>1362</v>
      </c>
      <c r="B2485" s="3">
        <f>HYPERLINK("https://leetcode.com/problems/closest-divisors/", "Closest Divisors")</f>
        <v/>
      </c>
      <c r="C2485" s="1" t="n">
        <v>338</v>
      </c>
      <c r="D2485" s="1" t="n">
        <v>101</v>
      </c>
      <c r="E2485" s="4">
        <f>IF(INDEX(C:C, ROW())+INDEX(D:D, ROW())=0, 0, INDEX(C:C, ROW())/(INDEX(C:C, ROW())+INDEX(D:D, ROW())))</f>
        <v/>
      </c>
      <c r="F2485" s="1" t="inlineStr">
        <is>
          <t>Math</t>
        </is>
      </c>
      <c r="G2485" s="1" t="inlineStr">
        <is>
          <t>Medium</t>
        </is>
      </c>
      <c r="H2485" s="1" t="n">
        <v>28071</v>
      </c>
      <c r="I2485" s="1" t="n">
        <v>45338</v>
      </c>
      <c r="J2485" s="9" t="n">
        <v>0.619</v>
      </c>
      <c r="K2485" s="1" t="inlineStr">
        <is>
          <t>Yes</t>
        </is>
      </c>
      <c r="L2485" s="1" t="inlineStr">
        <is>
          <t>No</t>
        </is>
      </c>
      <c r="M2485" s="1" t="inlineStr">
        <is>
          <t>No</t>
        </is>
      </c>
      <c r="N2485" s="1" t="inlineStr">
        <is>
          <t>Algorithms</t>
        </is>
      </c>
      <c r="O24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86" ht="15.75" customHeight="1" s="12">
      <c r="A2486" s="1" t="n">
        <v>1316</v>
      </c>
      <c r="B2486" s="3">
        <f>HYPERLINK("https://leetcode.com/problems/distinct-echo-substrings/", "Distinct Echo Substrings")</f>
        <v/>
      </c>
      <c r="C2486" s="1" t="n">
        <v>337</v>
      </c>
      <c r="D2486" s="1" t="n">
        <v>208</v>
      </c>
      <c r="E2486" s="4">
        <f>IF(INDEX(C:C, ROW())+INDEX(D:D, ROW())=0, 0, INDEX(C:C, ROW())/(INDEX(C:C, ROW())+INDEX(D:D, ROW())))</f>
        <v/>
      </c>
      <c r="F2486" s="1" t="inlineStr">
        <is>
          <t>String, Trie, Rolling Hash, Hash Function</t>
        </is>
      </c>
      <c r="G2486" s="1" t="inlineStr">
        <is>
          <t>Hard</t>
        </is>
      </c>
      <c r="H2486" s="1" t="n">
        <v>21508</v>
      </c>
      <c r="I2486" s="1" t="n">
        <v>40756</v>
      </c>
      <c r="J2486" s="9" t="n">
        <v>0.528</v>
      </c>
      <c r="K2486" s="1" t="inlineStr">
        <is>
          <t>Yes</t>
        </is>
      </c>
      <c r="L2486" s="1" t="inlineStr">
        <is>
          <t>No</t>
        </is>
      </c>
      <c r="M2486" s="1" t="inlineStr">
        <is>
          <t>No</t>
        </is>
      </c>
      <c r="N2486" s="1" t="inlineStr">
        <is>
          <t>Algorithms</t>
        </is>
      </c>
      <c r="O24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87" ht="15.75" customHeight="1" s="12">
      <c r="A2487" s="1" t="n">
        <v>1560</v>
      </c>
      <c r="B2487" s="3">
        <f>HYPERLINK("https://leetcode.com/problems/most-visited-sector-in-a-circular-track/", "Most Visited Sector in  a Circular Track")</f>
        <v/>
      </c>
      <c r="C2487" s="1" t="n">
        <v>337</v>
      </c>
      <c r="D2487" s="1" t="n">
        <v>670</v>
      </c>
      <c r="E2487" s="4">
        <f>IF(INDEX(C:C, ROW())+INDEX(D:D, ROW())=0, 0, INDEX(C:C, ROW())/(INDEX(C:C, ROW())+INDEX(D:D, ROW())))</f>
        <v/>
      </c>
      <c r="F2487" s="1" t="inlineStr">
        <is>
          <t>Array, Simulation</t>
        </is>
      </c>
      <c r="G2487" s="1" t="inlineStr">
        <is>
          <t>Easy</t>
        </is>
      </c>
      <c r="H2487" s="1" t="n">
        <v>38772</v>
      </c>
      <c r="I2487" s="1" t="n">
        <v>64915</v>
      </c>
      <c r="J2487" s="9" t="n">
        <v>0.597</v>
      </c>
      <c r="K2487" s="1" t="inlineStr">
        <is>
          <t>Yes</t>
        </is>
      </c>
      <c r="L2487" s="1" t="inlineStr">
        <is>
          <t>No</t>
        </is>
      </c>
      <c r="M2487" s="1" t="inlineStr">
        <is>
          <t>No</t>
        </is>
      </c>
      <c r="N2487" s="1" t="inlineStr">
        <is>
          <t>Algorithms</t>
        </is>
      </c>
      <c r="O24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88" ht="15.75" customHeight="1" s="12">
      <c r="A2488" s="1" t="n">
        <v>1604</v>
      </c>
      <c r="B2488" s="3">
        <f>HYPERLINK("https://leetcode.com/problems/alert-using-same-key-card-three-or-more-times-in-a-one-hour-period/", "Alert Using Same Key-Card Three or More Times in a One Hour Period")</f>
        <v/>
      </c>
      <c r="C2488" s="1" t="n">
        <v>337</v>
      </c>
      <c r="D2488" s="1" t="n">
        <v>439</v>
      </c>
      <c r="E2488" s="4">
        <f>IF(INDEX(C:C, ROW())+INDEX(D:D, ROW())=0, 0, INDEX(C:C, ROW())/(INDEX(C:C, ROW())+INDEX(D:D, ROW())))</f>
        <v/>
      </c>
      <c r="F2488" s="1" t="inlineStr">
        <is>
          <t>Array, Hash Table, String, Sorting</t>
        </is>
      </c>
      <c r="G2488" s="1" t="inlineStr">
        <is>
          <t>Medium</t>
        </is>
      </c>
      <c r="H2488" s="1" t="n">
        <v>47765</v>
      </c>
      <c r="I2488" s="1" t="n">
        <v>103601</v>
      </c>
      <c r="J2488" s="9" t="n">
        <v>0.461</v>
      </c>
      <c r="K2488" s="1" t="inlineStr">
        <is>
          <t>Yes</t>
        </is>
      </c>
      <c r="L2488" s="1" t="inlineStr">
        <is>
          <t>No</t>
        </is>
      </c>
      <c r="M2488" s="1" t="inlineStr">
        <is>
          <t>No</t>
        </is>
      </c>
      <c r="N2488" s="1" t="inlineStr">
        <is>
          <t>Algorithms</t>
        </is>
      </c>
      <c r="O24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89" ht="15.75" customHeight="1" s="12">
      <c r="A2489" s="1" t="n">
        <v>2526</v>
      </c>
      <c r="B2489" s="3">
        <f>HYPERLINK("https://leetcode.com/problems/find-consecutive-integers-from-a-data-stream/", "Find Consecutive Integers from a Data Stream")</f>
        <v/>
      </c>
      <c r="C2489" s="1" t="n">
        <v>337</v>
      </c>
      <c r="D2489" s="1" t="n">
        <v>39</v>
      </c>
      <c r="E2489" s="4">
        <f>IF(INDEX(C:C, ROW())+INDEX(D:D, ROW())=0, 0, INDEX(C:C, ROW())/(INDEX(C:C, ROW())+INDEX(D:D, ROW())))</f>
        <v/>
      </c>
      <c r="F2489" s="1" t="inlineStr">
        <is>
          <t>Hash Table, Design, Queue, Counting, Data Stream</t>
        </is>
      </c>
      <c r="G2489" s="1" t="inlineStr">
        <is>
          <t>Medium</t>
        </is>
      </c>
      <c r="H2489" s="1" t="n">
        <v>35900</v>
      </c>
      <c r="I2489" s="1" t="n">
        <v>70935</v>
      </c>
      <c r="J2489" s="9" t="n">
        <v>0.506</v>
      </c>
      <c r="K2489" s="1" t="inlineStr">
        <is>
          <t>Yes</t>
        </is>
      </c>
      <c r="L2489" s="1" t="inlineStr">
        <is>
          <t>No</t>
        </is>
      </c>
      <c r="M2489" s="1" t="inlineStr">
        <is>
          <t>No</t>
        </is>
      </c>
      <c r="N2489" s="1" t="inlineStr">
        <is>
          <t>Algorithms</t>
        </is>
      </c>
      <c r="O24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90" ht="15.75" customHeight="1" s="12">
      <c r="A2490" s="1" t="n">
        <v>2745</v>
      </c>
      <c r="B2490" s="3">
        <f>HYPERLINK("https://leetcode.com/problems/construct-the-longest-new-string/", "Construct the Longest New String")</f>
        <v/>
      </c>
      <c r="C2490" s="1" t="n">
        <v>337</v>
      </c>
      <c r="D2490" s="1" t="n">
        <v>29</v>
      </c>
      <c r="E2490" s="4">
        <f>IF(INDEX(C:C, ROW())+INDEX(D:D, ROW())=0, 0, INDEX(C:C, ROW())/(INDEX(C:C, ROW())+INDEX(D:D, ROW())))</f>
        <v/>
      </c>
      <c r="F2490" s="1" t="inlineStr">
        <is>
          <t>Math, Dynamic Programming, Greedy, Brainteaser</t>
        </is>
      </c>
      <c r="G2490" s="1" t="inlineStr">
        <is>
          <t>Medium</t>
        </is>
      </c>
      <c r="H2490" s="1" t="n">
        <v>26123</v>
      </c>
      <c r="I2490" s="1" t="n">
        <v>47854</v>
      </c>
      <c r="J2490" s="9" t="n">
        <v>0.546</v>
      </c>
      <c r="K2490" s="1" t="inlineStr">
        <is>
          <t>Yes</t>
        </is>
      </c>
      <c r="L2490" s="1" t="inlineStr">
        <is>
          <t>No</t>
        </is>
      </c>
      <c r="M2490" s="1" t="inlineStr">
        <is>
          <t>No</t>
        </is>
      </c>
      <c r="N2490" s="1" t="inlineStr">
        <is>
          <t>Algorithms</t>
        </is>
      </c>
      <c r="O24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91" ht="15.75" customHeight="1" s="12">
      <c r="A2491" s="1" t="n">
        <v>1073</v>
      </c>
      <c r="B2491" s="3">
        <f>HYPERLINK("https://leetcode.com/problems/adding-two-negabinary-numbers/", "Adding Two Negabinary Numbers")</f>
        <v/>
      </c>
      <c r="C2491" s="1" t="n">
        <v>336</v>
      </c>
      <c r="D2491" s="1" t="n">
        <v>129</v>
      </c>
      <c r="E2491" s="4">
        <f>IF(INDEX(C:C, ROW())+INDEX(D:D, ROW())=0, 0, INDEX(C:C, ROW())/(INDEX(C:C, ROW())+INDEX(D:D, ROW())))</f>
        <v/>
      </c>
      <c r="F2491" s="1" t="inlineStr">
        <is>
          <t>Array, Math</t>
        </is>
      </c>
      <c r="G2491" s="1" t="inlineStr">
        <is>
          <t>Medium</t>
        </is>
      </c>
      <c r="H2491" s="1" t="n">
        <v>21310</v>
      </c>
      <c r="I2491" s="1" t="n">
        <v>56834</v>
      </c>
      <c r="J2491" s="9" t="n">
        <v>0.375</v>
      </c>
      <c r="K2491" s="1" t="inlineStr">
        <is>
          <t>Yes</t>
        </is>
      </c>
      <c r="L2491" s="1" t="inlineStr">
        <is>
          <t>No</t>
        </is>
      </c>
      <c r="M2491" s="1" t="inlineStr">
        <is>
          <t>No</t>
        </is>
      </c>
      <c r="N2491" s="1" t="inlineStr">
        <is>
          <t>Algorithms</t>
        </is>
      </c>
      <c r="O24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92" ht="15.75" customHeight="1" s="12">
      <c r="A2492" s="1" t="n">
        <v>2710</v>
      </c>
      <c r="B2492" s="3">
        <f>HYPERLINK("https://leetcode.com/problems/remove-trailing-zeros-from-a-string/", "Remove Trailing Zeros From a String")</f>
        <v/>
      </c>
      <c r="C2492" s="1" t="n">
        <v>336</v>
      </c>
      <c r="D2492" s="1" t="n">
        <v>13</v>
      </c>
      <c r="E2492" s="4">
        <f>IF(INDEX(C:C, ROW())+INDEX(D:D, ROW())=0, 0, INDEX(C:C, ROW())/(INDEX(C:C, ROW())+INDEX(D:D, ROW())))</f>
        <v/>
      </c>
      <c r="F2492" s="1" t="inlineStr">
        <is>
          <t>String</t>
        </is>
      </c>
      <c r="G2492" s="1" t="inlineStr">
        <is>
          <t>Easy</t>
        </is>
      </c>
      <c r="H2492" s="1" t="n">
        <v>91177</v>
      </c>
      <c r="I2492" s="1" t="n">
        <v>115007</v>
      </c>
      <c r="J2492" s="9" t="n">
        <v>0.793</v>
      </c>
      <c r="K2492" s="1" t="inlineStr">
        <is>
          <t>Yes</t>
        </is>
      </c>
      <c r="L2492" s="1" t="inlineStr">
        <is>
          <t>No</t>
        </is>
      </c>
      <c r="M2492" s="1" t="inlineStr">
        <is>
          <t>No</t>
        </is>
      </c>
      <c r="N2492" s="1" t="inlineStr">
        <is>
          <t>Algorithms</t>
        </is>
      </c>
      <c r="O24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93" ht="15.75" customHeight="1" s="12">
      <c r="A2493" s="1" t="n">
        <v>1737</v>
      </c>
      <c r="B2493" s="3">
        <f>HYPERLINK("https://leetcode.com/problems/change-minimum-characters-to-satisfy-one-of-three-conditions/", "Change Minimum Characters to Satisfy One of Three Conditions")</f>
        <v/>
      </c>
      <c r="C2493" s="1" t="n">
        <v>335</v>
      </c>
      <c r="D2493" s="1" t="n">
        <v>346</v>
      </c>
      <c r="E2493" s="4">
        <f>IF(INDEX(C:C, ROW())+INDEX(D:D, ROW())=0, 0, INDEX(C:C, ROW())/(INDEX(C:C, ROW())+INDEX(D:D, ROW())))</f>
        <v/>
      </c>
      <c r="F2493" s="1" t="inlineStr">
        <is>
          <t>Hash Table, String, Counting, Prefix Sum</t>
        </is>
      </c>
      <c r="G2493" s="1" t="inlineStr">
        <is>
          <t>Medium</t>
        </is>
      </c>
      <c r="H2493" s="1" t="n">
        <v>16158</v>
      </c>
      <c r="I2493" s="1" t="n">
        <v>42935</v>
      </c>
      <c r="J2493" s="9" t="n">
        <v>0.376</v>
      </c>
      <c r="K2493" s="1" t="inlineStr">
        <is>
          <t>Yes</t>
        </is>
      </c>
      <c r="L2493" s="1" t="inlineStr">
        <is>
          <t>No</t>
        </is>
      </c>
      <c r="M2493" s="1" t="inlineStr">
        <is>
          <t>No</t>
        </is>
      </c>
      <c r="N2493" s="1" t="inlineStr">
        <is>
          <t>Algorithms</t>
        </is>
      </c>
      <c r="O24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94" ht="15.75" customHeight="1" s="12">
      <c r="A2494" s="1" t="n">
        <v>1801</v>
      </c>
      <c r="B2494" s="3">
        <f>HYPERLINK("https://leetcode.com/problems/number-of-orders-in-the-backlog/", "Number of Orders in the Backlog")</f>
        <v/>
      </c>
      <c r="C2494" s="1" t="n">
        <v>335</v>
      </c>
      <c r="D2494" s="1" t="n">
        <v>246</v>
      </c>
      <c r="E2494" s="4">
        <f>IF(INDEX(C:C, ROW())+INDEX(D:D, ROW())=0, 0, INDEX(C:C, ROW())/(INDEX(C:C, ROW())+INDEX(D:D, ROW())))</f>
        <v/>
      </c>
      <c r="F2494" s="1" t="inlineStr">
        <is>
          <t>Array, Heap (Priority Queue), Simulation</t>
        </is>
      </c>
      <c r="G2494" s="1" t="inlineStr">
        <is>
          <t>Medium</t>
        </is>
      </c>
      <c r="H2494" s="1" t="n">
        <v>34159</v>
      </c>
      <c r="I2494" s="1" t="n">
        <v>64070</v>
      </c>
      <c r="J2494" s="9" t="n">
        <v>0.533</v>
      </c>
      <c r="K2494" s="1" t="inlineStr">
        <is>
          <t>Yes</t>
        </is>
      </c>
      <c r="L2494" s="1" t="inlineStr">
        <is>
          <t>No</t>
        </is>
      </c>
      <c r="M2494" s="1" t="inlineStr">
        <is>
          <t>No</t>
        </is>
      </c>
      <c r="N2494" s="1" t="inlineStr">
        <is>
          <t>Algorithms</t>
        </is>
      </c>
      <c r="O24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95" ht="15.75" customHeight="1" s="12">
      <c r="A2495" s="1" t="n">
        <v>2600</v>
      </c>
      <c r="B2495" s="3">
        <f>HYPERLINK("https://leetcode.com/problems/k-items-with-the-maximum-sum/", "K Items With the Maximum Sum")</f>
        <v/>
      </c>
      <c r="C2495" s="1" t="n">
        <v>335</v>
      </c>
      <c r="D2495" s="1" t="n">
        <v>40</v>
      </c>
      <c r="E2495" s="4">
        <f>IF(INDEX(C:C, ROW())+INDEX(D:D, ROW())=0, 0, INDEX(C:C, ROW())/(INDEX(C:C, ROW())+INDEX(D:D, ROW())))</f>
        <v/>
      </c>
      <c r="F2495" s="1" t="inlineStr">
        <is>
          <t>Math, Greedy</t>
        </is>
      </c>
      <c r="G2495" s="1" t="inlineStr">
        <is>
          <t>Easy</t>
        </is>
      </c>
      <c r="H2495" s="1" t="n">
        <v>61586</v>
      </c>
      <c r="I2495" s="1" t="n">
        <v>102480</v>
      </c>
      <c r="J2495" s="9" t="n">
        <v>0.601</v>
      </c>
      <c r="K2495" s="1" t="inlineStr">
        <is>
          <t>Yes</t>
        </is>
      </c>
      <c r="L2495" s="1" t="inlineStr">
        <is>
          <t>No</t>
        </is>
      </c>
      <c r="M2495" s="1" t="inlineStr">
        <is>
          <t>No</t>
        </is>
      </c>
      <c r="N2495" s="1" t="inlineStr">
        <is>
          <t>Algorithms</t>
        </is>
      </c>
      <c r="O24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96" ht="15.75" customHeight="1" s="12">
      <c r="A2496" s="1" t="n">
        <v>2681</v>
      </c>
      <c r="B2496" s="3">
        <f>HYPERLINK("https://leetcode.com/problems/power-of-heroes/", "Power of Heroes")</f>
        <v/>
      </c>
      <c r="C2496" s="1" t="n">
        <v>335</v>
      </c>
      <c r="D2496" s="1" t="n">
        <v>16</v>
      </c>
      <c r="E2496" s="4">
        <f>IF(INDEX(C:C, ROW())+INDEX(D:D, ROW())=0, 0, INDEX(C:C, ROW())/(INDEX(C:C, ROW())+INDEX(D:D, ROW())))</f>
        <v/>
      </c>
      <c r="F2496" s="1" t="inlineStr">
        <is>
          <t>Array, Math, Dynamic Programming, Sorting, Prefix Sum</t>
        </is>
      </c>
      <c r="G2496" s="1" t="inlineStr">
        <is>
          <t>Hard</t>
        </is>
      </c>
      <c r="H2496" s="1" t="n">
        <v>12324</v>
      </c>
      <c r="I2496" s="1" t="n">
        <v>39762</v>
      </c>
      <c r="J2496" s="9" t="n">
        <v>0.31</v>
      </c>
      <c r="K2496" s="1" t="inlineStr">
        <is>
          <t>Yes</t>
        </is>
      </c>
      <c r="L2496" s="1" t="inlineStr">
        <is>
          <t>No</t>
        </is>
      </c>
      <c r="M2496" s="1" t="inlineStr">
        <is>
          <t>No</t>
        </is>
      </c>
      <c r="N2496" s="1" t="inlineStr">
        <is>
          <t>Algorithms</t>
        </is>
      </c>
      <c r="O24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97" ht="15.75" customHeight="1" s="12">
      <c r="A2497" s="1" t="n">
        <v>3461</v>
      </c>
      <c r="B2497" s="3">
        <f>HYPERLINK("https://leetcode.com/problems/check-if-digits-are-equal-in-string-after-operations-i/", "Check If Digits Are Equal in String After Operations I")</f>
        <v/>
      </c>
      <c r="C2497" s="1" t="n">
        <v>335</v>
      </c>
      <c r="D2497" s="1" t="n">
        <v>13</v>
      </c>
      <c r="E2497" s="4">
        <f>IF(INDEX(C:C, ROW())+INDEX(D:D, ROW())=0, 0, INDEX(C:C, ROW())/(INDEX(C:C, ROW())+INDEX(D:D, ROW())))</f>
        <v/>
      </c>
      <c r="F2497" s="1" t="inlineStr">
        <is>
          <t>Math, String, Simulation, Combinatorics, Number Theory</t>
        </is>
      </c>
      <c r="G2497" s="1" t="inlineStr">
        <is>
          <t>Easy</t>
        </is>
      </c>
      <c r="H2497" s="1" t="n">
        <v>168359</v>
      </c>
      <c r="I2497" s="1" t="n">
        <v>204155</v>
      </c>
      <c r="J2497" s="9" t="n">
        <v>0.825</v>
      </c>
      <c r="K2497" s="1" t="inlineStr">
        <is>
          <t>Yes</t>
        </is>
      </c>
      <c r="L2497" s="1" t="inlineStr">
        <is>
          <t>Yes</t>
        </is>
      </c>
      <c r="M2497" s="1" t="inlineStr">
        <is>
          <t>No</t>
        </is>
      </c>
      <c r="N2497" s="1" t="inlineStr">
        <is>
          <t>Algorithms</t>
        </is>
      </c>
      <c r="O24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98" ht="15.75" customHeight="1" s="12">
      <c r="A2498" s="1" t="n">
        <v>1895</v>
      </c>
      <c r="B2498" s="3">
        <f>HYPERLINK("https://leetcode.com/problems/largest-magic-square/", "Largest Magic Square")</f>
        <v/>
      </c>
      <c r="C2498" s="1" t="n">
        <v>334</v>
      </c>
      <c r="D2498" s="1" t="n">
        <v>270</v>
      </c>
      <c r="E2498" s="4">
        <f>IF(INDEX(C:C, ROW())+INDEX(D:D, ROW())=0, 0, INDEX(C:C, ROW())/(INDEX(C:C, ROW())+INDEX(D:D, ROW())))</f>
        <v/>
      </c>
      <c r="F2498" s="1" t="inlineStr">
        <is>
          <t>Array, Matrix, Prefix Sum</t>
        </is>
      </c>
      <c r="G2498" s="1" t="inlineStr">
        <is>
          <t>Medium</t>
        </is>
      </c>
      <c r="H2498" s="1" t="n">
        <v>14937</v>
      </c>
      <c r="I2498" s="1" t="n">
        <v>27734</v>
      </c>
      <c r="J2498" s="9" t="n">
        <v>0.539</v>
      </c>
      <c r="K2498" s="1" t="inlineStr">
        <is>
          <t>Yes</t>
        </is>
      </c>
      <c r="L2498" s="1" t="inlineStr">
        <is>
          <t>Yes</t>
        </is>
      </c>
      <c r="M2498" s="1" t="inlineStr">
        <is>
          <t>No</t>
        </is>
      </c>
      <c r="N2498" s="1" t="inlineStr">
        <is>
          <t>Algorithms</t>
        </is>
      </c>
      <c r="O24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499" ht="15.75" customHeight="1" s="12">
      <c r="A2499" s="1" t="n">
        <v>2580</v>
      </c>
      <c r="B2499" s="3">
        <f>HYPERLINK("https://leetcode.com/problems/count-ways-to-group-overlapping-ranges/", "Count Ways to Group Overlapping Ranges")</f>
        <v/>
      </c>
      <c r="C2499" s="1" t="n">
        <v>334</v>
      </c>
      <c r="D2499" s="1" t="n">
        <v>27</v>
      </c>
      <c r="E2499" s="4">
        <f>IF(INDEX(C:C, ROW())+INDEX(D:D, ROW())=0, 0, INDEX(C:C, ROW())/(INDEX(C:C, ROW())+INDEX(D:D, ROW())))</f>
        <v/>
      </c>
      <c r="F2499" s="1" t="inlineStr">
        <is>
          <t>Array, Sorting</t>
        </is>
      </c>
      <c r="G2499" s="1" t="inlineStr">
        <is>
          <t>Medium</t>
        </is>
      </c>
      <c r="H2499" s="1" t="n">
        <v>22634</v>
      </c>
      <c r="I2499" s="1" t="n">
        <v>58200</v>
      </c>
      <c r="J2499" s="9" t="n">
        <v>0.389</v>
      </c>
      <c r="K2499" s="1" t="inlineStr">
        <is>
          <t>Yes</t>
        </is>
      </c>
      <c r="L2499" s="1" t="inlineStr">
        <is>
          <t>No</t>
        </is>
      </c>
      <c r="M2499" s="1" t="inlineStr">
        <is>
          <t>No</t>
        </is>
      </c>
      <c r="N2499" s="1" t="inlineStr">
        <is>
          <t>Algorithms</t>
        </is>
      </c>
      <c r="O24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00" ht="15.75" customHeight="1" s="12">
      <c r="A2500" s="1" t="n">
        <v>1063</v>
      </c>
      <c r="B2500" s="3">
        <f>HYPERLINK("https://leetcode.com/problems/number-of-valid-subarrays/", "Number of Valid Subarrays")</f>
        <v/>
      </c>
      <c r="C2500" s="1" t="n">
        <v>333</v>
      </c>
      <c r="D2500" s="1" t="n">
        <v>18</v>
      </c>
      <c r="E2500" s="4">
        <f>IF(INDEX(C:C, ROW())+INDEX(D:D, ROW())=0, 0, INDEX(C:C, ROW())/(INDEX(C:C, ROW())+INDEX(D:D, ROW())))</f>
        <v/>
      </c>
      <c r="F2500" s="1" t="inlineStr">
        <is>
          <t>Array, Stack, Monotonic Stack</t>
        </is>
      </c>
      <c r="G2500" s="1" t="inlineStr">
        <is>
          <t>Hard</t>
        </is>
      </c>
      <c r="H2500" s="1" t="n">
        <v>18568</v>
      </c>
      <c r="I2500" s="1" t="n">
        <v>23273</v>
      </c>
      <c r="J2500" s="9" t="n">
        <v>0.798</v>
      </c>
      <c r="K2500" s="1" t="inlineStr">
        <is>
          <t>No</t>
        </is>
      </c>
      <c r="L2500" s="1" t="inlineStr">
        <is>
          <t>Yes</t>
        </is>
      </c>
      <c r="M2500" s="1" t="inlineStr">
        <is>
          <t>No</t>
        </is>
      </c>
      <c r="N2500" s="1" t="inlineStr">
        <is>
          <t>Algorithms</t>
        </is>
      </c>
      <c r="O25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01" ht="15.75" customHeight="1" s="12">
      <c r="A2501" s="1" t="n">
        <v>1602</v>
      </c>
      <c r="B2501" s="3">
        <f>HYPERLINK("https://leetcode.com/problems/find-nearest-right-node-in-binary-tree/", "Find Nearest Right Node in Binary Tree")</f>
        <v/>
      </c>
      <c r="C2501" s="1" t="n">
        <v>333</v>
      </c>
      <c r="D2501" s="1" t="n">
        <v>10</v>
      </c>
      <c r="E2501" s="4">
        <f>IF(INDEX(C:C, ROW())+INDEX(D:D, ROW())=0, 0, INDEX(C:C, ROW())/(INDEX(C:C, ROW())+INDEX(D:D, ROW())))</f>
        <v/>
      </c>
      <c r="F2501" s="1" t="inlineStr">
        <is>
          <t>Tree, Breadth-First Search, Binary Tree</t>
        </is>
      </c>
      <c r="G2501" s="1" t="inlineStr">
        <is>
          <t>Medium</t>
        </is>
      </c>
      <c r="H2501" s="1" t="n">
        <v>24877</v>
      </c>
      <c r="I2501" s="1" t="n">
        <v>33143</v>
      </c>
      <c r="J2501" s="9" t="n">
        <v>0.751</v>
      </c>
      <c r="K2501" s="1" t="inlineStr">
        <is>
          <t>No</t>
        </is>
      </c>
      <c r="L2501" s="1" t="inlineStr">
        <is>
          <t>Yes</t>
        </is>
      </c>
      <c r="M2501" s="1" t="inlineStr">
        <is>
          <t>Yes</t>
        </is>
      </c>
      <c r="N2501" s="1" t="inlineStr">
        <is>
          <t>Algorithms</t>
        </is>
      </c>
      <c r="O25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02" ht="15.75" customHeight="1" s="12">
      <c r="A2502" s="1" t="n">
        <v>3606</v>
      </c>
      <c r="B2502" s="3">
        <f>HYPERLINK("https://leetcode.com/problems/coupon-code-validator/", "Coupon Code Validator")</f>
        <v/>
      </c>
      <c r="C2502" s="1" t="n">
        <v>331</v>
      </c>
      <c r="D2502" s="1" t="n">
        <v>106</v>
      </c>
      <c r="E2502" s="4">
        <f>IF(INDEX(C:C, ROW())+INDEX(D:D, ROW())=0, 0, INDEX(C:C, ROW())/(INDEX(C:C, ROW())+INDEX(D:D, ROW())))</f>
        <v/>
      </c>
      <c r="F2502" s="1" t="inlineStr">
        <is>
          <t>Array, Hash Table, String, Sorting</t>
        </is>
      </c>
      <c r="G2502" s="1" t="inlineStr">
        <is>
          <t>Easy</t>
        </is>
      </c>
      <c r="H2502" s="1" t="n">
        <v>122576</v>
      </c>
      <c r="I2502" s="1" t="n">
        <v>188257</v>
      </c>
      <c r="J2502" s="9" t="n">
        <v>0.651</v>
      </c>
      <c r="K2502" s="1" t="inlineStr">
        <is>
          <t>Yes</t>
        </is>
      </c>
      <c r="L2502" s="1" t="inlineStr">
        <is>
          <t>Yes</t>
        </is>
      </c>
      <c r="M2502" s="1" t="inlineStr">
        <is>
          <t>No</t>
        </is>
      </c>
      <c r="N2502" s="1" t="inlineStr">
        <is>
          <t>Algorithms</t>
        </is>
      </c>
      <c r="O25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03" ht="15.75" customHeight="1" s="12">
      <c r="A2503" s="1" t="n">
        <v>1056</v>
      </c>
      <c r="B2503" s="3">
        <f>HYPERLINK("https://leetcode.com/problems/confusing-number/", "Confusing Number")</f>
        <v/>
      </c>
      <c r="C2503" s="1" t="n">
        <v>330</v>
      </c>
      <c r="D2503" s="1" t="n">
        <v>184</v>
      </c>
      <c r="E2503" s="4">
        <f>IF(INDEX(C:C, ROW())+INDEX(D:D, ROW())=0, 0, INDEX(C:C, ROW())/(INDEX(C:C, ROW())+INDEX(D:D, ROW())))</f>
        <v/>
      </c>
      <c r="F2503" s="1" t="inlineStr">
        <is>
          <t>Math</t>
        </is>
      </c>
      <c r="G2503" s="1" t="inlineStr">
        <is>
          <t>Easy</t>
        </is>
      </c>
      <c r="H2503" s="1" t="n">
        <v>54599</v>
      </c>
      <c r="I2503" s="1" t="n">
        <v>110793</v>
      </c>
      <c r="J2503" s="9" t="n">
        <v>0.493</v>
      </c>
      <c r="K2503" s="1" t="inlineStr">
        <is>
          <t>No</t>
        </is>
      </c>
      <c r="L2503" s="1" t="inlineStr">
        <is>
          <t>Yes</t>
        </is>
      </c>
      <c r="M2503" s="1" t="inlineStr">
        <is>
          <t>Yes</t>
        </is>
      </c>
      <c r="N2503" s="1" t="inlineStr">
        <is>
          <t>Algorithms</t>
        </is>
      </c>
      <c r="O25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04" ht="15.75" customHeight="1" s="12">
      <c r="A2504" s="1" t="n">
        <v>1511</v>
      </c>
      <c r="B2504" s="3">
        <f>HYPERLINK("https://leetcode.com/problems/customer-order-frequency/", "Customer Order Frequency")</f>
        <v/>
      </c>
      <c r="C2504" s="1" t="n">
        <v>330</v>
      </c>
      <c r="D2504" s="1" t="n">
        <v>59</v>
      </c>
      <c r="E2504" s="4">
        <f>IF(INDEX(C:C, ROW())+INDEX(D:D, ROW())=0, 0, INDEX(C:C, ROW())/(INDEX(C:C, ROW())+INDEX(D:D, ROW())))</f>
        <v/>
      </c>
      <c r="F2504" s="1" t="inlineStr">
        <is>
          <t>Database</t>
        </is>
      </c>
      <c r="G2504" s="1" t="inlineStr">
        <is>
          <t>Easy</t>
        </is>
      </c>
      <c r="H2504" s="1" t="n">
        <v>52010</v>
      </c>
      <c r="I2504" s="1" t="n">
        <v>78135</v>
      </c>
      <c r="J2504" s="9" t="n">
        <v>0.666</v>
      </c>
      <c r="K2504" s="1" t="inlineStr">
        <is>
          <t>No</t>
        </is>
      </c>
      <c r="L2504" s="1" t="inlineStr">
        <is>
          <t>Yes</t>
        </is>
      </c>
      <c r="M2504" s="1" t="inlineStr">
        <is>
          <t>No</t>
        </is>
      </c>
      <c r="N2504" s="1" t="inlineStr">
        <is>
          <t>Database</t>
        </is>
      </c>
      <c r="O25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05" ht="15.75" customHeight="1" s="12">
      <c r="A2505" s="1" t="n">
        <v>3423</v>
      </c>
      <c r="B2505" s="3">
        <f>HYPERLINK("https://leetcode.com/problems/maximum-difference-between-adjacent-elements-in-a-circular-array/", "Maximum Difference Between Adjacent Elements in a Circular Array")</f>
        <v/>
      </c>
      <c r="C2505" s="1" t="n">
        <v>330</v>
      </c>
      <c r="D2505" s="1" t="n">
        <v>6</v>
      </c>
      <c r="E2505" s="4">
        <f>IF(INDEX(C:C, ROW())+INDEX(D:D, ROW())=0, 0, INDEX(C:C, ROW())/(INDEX(C:C, ROW())+INDEX(D:D, ROW())))</f>
        <v/>
      </c>
      <c r="F2505" s="1" t="inlineStr">
        <is>
          <t>Array</t>
        </is>
      </c>
      <c r="G2505" s="1" t="inlineStr">
        <is>
          <t>Easy</t>
        </is>
      </c>
      <c r="H2505" s="1" t="n">
        <v>165818</v>
      </c>
      <c r="I2505" s="1" t="n">
        <v>218945</v>
      </c>
      <c r="J2505" s="9" t="n">
        <v>0.757</v>
      </c>
      <c r="K2505" s="1" t="inlineStr">
        <is>
          <t>Yes</t>
        </is>
      </c>
      <c r="L2505" s="1" t="inlineStr">
        <is>
          <t>Yes</t>
        </is>
      </c>
      <c r="M2505" s="1" t="inlineStr">
        <is>
          <t>No</t>
        </is>
      </c>
      <c r="N2505" s="1" t="inlineStr">
        <is>
          <t>Algorithms</t>
        </is>
      </c>
      <c r="O25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06" ht="15.75" customHeight="1" s="12">
      <c r="A2506" s="1" t="n">
        <v>1228</v>
      </c>
      <c r="B2506" s="3">
        <f>HYPERLINK("https://leetcode.com/problems/missing-number-in-arithmetic-progression/", "Missing Number In Arithmetic Progression")</f>
        <v/>
      </c>
      <c r="C2506" s="1" t="n">
        <v>329</v>
      </c>
      <c r="D2506" s="1" t="n">
        <v>45</v>
      </c>
      <c r="E2506" s="4">
        <f>IF(INDEX(C:C, ROW())+INDEX(D:D, ROW())=0, 0, INDEX(C:C, ROW())/(INDEX(C:C, ROW())+INDEX(D:D, ROW())))</f>
        <v/>
      </c>
      <c r="F2506" s="1" t="inlineStr">
        <is>
          <t>Array, Math</t>
        </is>
      </c>
      <c r="G2506" s="1" t="inlineStr">
        <is>
          <t>Easy</t>
        </is>
      </c>
      <c r="H2506" s="1" t="n">
        <v>31217</v>
      </c>
      <c r="I2506" s="1" t="n">
        <v>59818</v>
      </c>
      <c r="J2506" s="9" t="n">
        <v>0.522</v>
      </c>
      <c r="K2506" s="1" t="inlineStr">
        <is>
          <t>No</t>
        </is>
      </c>
      <c r="L2506" s="1" t="inlineStr">
        <is>
          <t>Yes</t>
        </is>
      </c>
      <c r="M2506" s="1" t="inlineStr">
        <is>
          <t>Yes</t>
        </is>
      </c>
      <c r="N2506" s="1" t="inlineStr">
        <is>
          <t>Algorithms</t>
        </is>
      </c>
      <c r="O25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07" ht="15.75" customHeight="1" s="12">
      <c r="A2507" s="1" t="n">
        <v>964</v>
      </c>
      <c r="B2507" s="3">
        <f>HYPERLINK("https://leetcode.com/problems/least-operators-to-express-number/", "Least Operators to Express Number")</f>
        <v/>
      </c>
      <c r="C2507" s="1" t="n">
        <v>328</v>
      </c>
      <c r="D2507" s="1" t="n">
        <v>70</v>
      </c>
      <c r="E2507" s="4">
        <f>IF(INDEX(C:C, ROW())+INDEX(D:D, ROW())=0, 0, INDEX(C:C, ROW())/(INDEX(C:C, ROW())+INDEX(D:D, ROW())))</f>
        <v/>
      </c>
      <c r="F2507" s="1" t="inlineStr">
        <is>
          <t>Math, Dynamic Programming, Memoization</t>
        </is>
      </c>
      <c r="G2507" s="1" t="inlineStr">
        <is>
          <t>Hard</t>
        </is>
      </c>
      <c r="H2507" s="1" t="n">
        <v>12327</v>
      </c>
      <c r="I2507" s="1" t="n">
        <v>25356</v>
      </c>
      <c r="J2507" s="9" t="n">
        <v>0.486</v>
      </c>
      <c r="K2507" s="1" t="inlineStr">
        <is>
          <t>Yes</t>
        </is>
      </c>
      <c r="L2507" s="1" t="inlineStr">
        <is>
          <t>Yes</t>
        </is>
      </c>
      <c r="M2507" s="1" t="inlineStr">
        <is>
          <t>No</t>
        </is>
      </c>
      <c r="N2507" s="1" t="inlineStr">
        <is>
          <t>Algorithms</t>
        </is>
      </c>
      <c r="O25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08" ht="15.75" customHeight="1" s="12">
      <c r="A2508" s="1" t="n">
        <v>1756</v>
      </c>
      <c r="B2508" s="3">
        <f>HYPERLINK("https://leetcode.com/problems/design-most-recently-used-queue/", "Design Most Recently Used Queue")</f>
        <v/>
      </c>
      <c r="C2508" s="1" t="n">
        <v>327</v>
      </c>
      <c r="D2508" s="1" t="n">
        <v>27</v>
      </c>
      <c r="E2508" s="4">
        <f>IF(INDEX(C:C, ROW())+INDEX(D:D, ROW())=0, 0, INDEX(C:C, ROW())/(INDEX(C:C, ROW())+INDEX(D:D, ROW())))</f>
        <v/>
      </c>
      <c r="F2508" s="1" t="inlineStr">
        <is>
          <t>Array, Linked List, Divide and Conquer, Design, Simulation, Doubly-Linked List</t>
        </is>
      </c>
      <c r="G2508" s="1" t="inlineStr">
        <is>
          <t>Medium</t>
        </is>
      </c>
      <c r="H2508" s="1" t="n">
        <v>25163</v>
      </c>
      <c r="I2508" s="1" t="n">
        <v>32376</v>
      </c>
      <c r="J2508" s="9" t="n">
        <v>0.777</v>
      </c>
      <c r="K2508" s="1" t="inlineStr">
        <is>
          <t>No</t>
        </is>
      </c>
      <c r="L2508" s="1" t="inlineStr">
        <is>
          <t>Yes</t>
        </is>
      </c>
      <c r="M2508" s="1" t="inlineStr">
        <is>
          <t>No</t>
        </is>
      </c>
      <c r="N2508" s="1" t="inlineStr">
        <is>
          <t>Algorithms</t>
        </is>
      </c>
      <c r="O25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09" ht="15.75" customHeight="1" s="12">
      <c r="A2509" s="1" t="n">
        <v>2018</v>
      </c>
      <c r="B2509" s="3">
        <f>HYPERLINK("https://leetcode.com/problems/check-if-word-can-be-placed-in-crossword/", "Check if Word Can Be Placed In Crossword")</f>
        <v/>
      </c>
      <c r="C2509" s="1" t="n">
        <v>327</v>
      </c>
      <c r="D2509" s="1" t="n">
        <v>311</v>
      </c>
      <c r="E2509" s="4">
        <f>IF(INDEX(C:C, ROW())+INDEX(D:D, ROW())=0, 0, INDEX(C:C, ROW())/(INDEX(C:C, ROW())+INDEX(D:D, ROW())))</f>
        <v/>
      </c>
      <c r="F2509" s="1" t="inlineStr">
        <is>
          <t>Array, Matrix, Enumeration</t>
        </is>
      </c>
      <c r="G2509" s="1" t="inlineStr">
        <is>
          <t>Medium</t>
        </is>
      </c>
      <c r="H2509" s="1" t="n">
        <v>27998</v>
      </c>
      <c r="I2509" s="1" t="n">
        <v>55369</v>
      </c>
      <c r="J2509" s="9" t="n">
        <v>0.506</v>
      </c>
      <c r="K2509" s="1" t="inlineStr">
        <is>
          <t>Yes</t>
        </is>
      </c>
      <c r="L2509" s="1" t="inlineStr">
        <is>
          <t>No</t>
        </is>
      </c>
      <c r="M2509" s="1" t="inlineStr">
        <is>
          <t>No</t>
        </is>
      </c>
      <c r="N2509" s="1" t="inlineStr">
        <is>
          <t>Algorithms</t>
        </is>
      </c>
      <c r="O25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10" ht="15.75" customHeight="1" s="12">
      <c r="A2510" s="1" t="n">
        <v>2214</v>
      </c>
      <c r="B2510" s="3">
        <f>HYPERLINK("https://leetcode.com/problems/minimum-health-to-beat-game/", "Minimum Health to Beat Game")</f>
        <v/>
      </c>
      <c r="C2510" s="1" t="n">
        <v>327</v>
      </c>
      <c r="D2510" s="1" t="n">
        <v>239</v>
      </c>
      <c r="E2510" s="4">
        <f>IF(INDEX(C:C, ROW())+INDEX(D:D, ROW())=0, 0, INDEX(C:C, ROW())/(INDEX(C:C, ROW())+INDEX(D:D, ROW())))</f>
        <v/>
      </c>
      <c r="F2510" s="1" t="inlineStr">
        <is>
          <t>Array, Greedy</t>
        </is>
      </c>
      <c r="G2510" s="1" t="inlineStr">
        <is>
          <t>Medium</t>
        </is>
      </c>
      <c r="H2510" s="1" t="n">
        <v>40450</v>
      </c>
      <c r="I2510" s="1" t="n">
        <v>68771</v>
      </c>
      <c r="J2510" s="9" t="n">
        <v>0.588</v>
      </c>
      <c r="K2510" s="1" t="inlineStr">
        <is>
          <t>No</t>
        </is>
      </c>
      <c r="L2510" s="1" t="inlineStr">
        <is>
          <t>Yes</t>
        </is>
      </c>
      <c r="M2510" s="1" t="inlineStr">
        <is>
          <t>No</t>
        </is>
      </c>
      <c r="N2510" s="1" t="inlineStr">
        <is>
          <t>Algorithms</t>
        </is>
      </c>
      <c r="O25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11" ht="15.75" customHeight="1" s="12">
      <c r="A2511" s="1" t="n">
        <v>1212</v>
      </c>
      <c r="B2511" s="3">
        <f>HYPERLINK("https://leetcode.com/problems/team-scores-in-football-tournament/", "Team Scores in Football Tournament")</f>
        <v/>
      </c>
      <c r="C2511" s="1" t="n">
        <v>326</v>
      </c>
      <c r="D2511" s="1" t="n">
        <v>26</v>
      </c>
      <c r="E2511" s="4">
        <f>IF(INDEX(C:C, ROW())+INDEX(D:D, ROW())=0, 0, INDEX(C:C, ROW())/(INDEX(C:C, ROW())+INDEX(D:D, ROW())))</f>
        <v/>
      </c>
      <c r="F2511" s="1" t="inlineStr">
        <is>
          <t>Database</t>
        </is>
      </c>
      <c r="G2511" s="1" t="inlineStr">
        <is>
          <t>Medium</t>
        </is>
      </c>
      <c r="H2511" s="1" t="n">
        <v>50917</v>
      </c>
      <c r="I2511" s="1" t="n">
        <v>91116</v>
      </c>
      <c r="J2511" s="9" t="n">
        <v>0.5590000000000001</v>
      </c>
      <c r="K2511" s="1" t="inlineStr">
        <is>
          <t>No</t>
        </is>
      </c>
      <c r="L2511" s="1" t="inlineStr">
        <is>
          <t>No</t>
        </is>
      </c>
      <c r="M2511" s="1" t="inlineStr">
        <is>
          <t>No</t>
        </is>
      </c>
      <c r="N2511" s="1" t="inlineStr">
        <is>
          <t>Database</t>
        </is>
      </c>
      <c r="O25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12" ht="15.75" customHeight="1" s="12">
      <c r="A2512" s="1" t="n">
        <v>1806</v>
      </c>
      <c r="B2512" s="3">
        <f>HYPERLINK("https://leetcode.com/problems/minimum-number-of-operations-to-reinitialize-a-permutation/", "Minimum Number of Operations to Reinitialize a Permutation")</f>
        <v/>
      </c>
      <c r="C2512" s="1" t="n">
        <v>326</v>
      </c>
      <c r="D2512" s="1" t="n">
        <v>176</v>
      </c>
      <c r="E2512" s="4">
        <f>IF(INDEX(C:C, ROW())+INDEX(D:D, ROW())=0, 0, INDEX(C:C, ROW())/(INDEX(C:C, ROW())+INDEX(D:D, ROW())))</f>
        <v/>
      </c>
      <c r="F2512" s="1" t="inlineStr">
        <is>
          <t>Array, Math, Simulation</t>
        </is>
      </c>
      <c r="G2512" s="1" t="inlineStr">
        <is>
          <t>Medium</t>
        </is>
      </c>
      <c r="H2512" s="1" t="n">
        <v>22643</v>
      </c>
      <c r="I2512" s="1" t="n">
        <v>31180</v>
      </c>
      <c r="J2512" s="9" t="n">
        <v>0.726</v>
      </c>
      <c r="K2512" s="1" t="inlineStr">
        <is>
          <t>Yes</t>
        </is>
      </c>
      <c r="L2512" s="1" t="inlineStr">
        <is>
          <t>No</t>
        </is>
      </c>
      <c r="M2512" s="1" t="inlineStr">
        <is>
          <t>No</t>
        </is>
      </c>
      <c r="N2512" s="1" t="inlineStr">
        <is>
          <t>Algorithms</t>
        </is>
      </c>
      <c r="O25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13" ht="15.75" customHeight="1" s="12">
      <c r="A2513" s="1" t="n">
        <v>2060</v>
      </c>
      <c r="B2513" s="3">
        <f>HYPERLINK("https://leetcode.com/problems/check-if-an-original-string-exists-given-two-encoded-strings/", "Check if an Original String Exists Given Two Encoded Strings")</f>
        <v/>
      </c>
      <c r="C2513" s="1" t="n">
        <v>326</v>
      </c>
      <c r="D2513" s="1" t="n">
        <v>161</v>
      </c>
      <c r="E2513" s="4">
        <f>IF(INDEX(C:C, ROW())+INDEX(D:D, ROW())=0, 0, INDEX(C:C, ROW())/(INDEX(C:C, ROW())+INDEX(D:D, ROW())))</f>
        <v/>
      </c>
      <c r="F2513" s="1" t="inlineStr">
        <is>
          <t>String, Dynamic Programming</t>
        </is>
      </c>
      <c r="G2513" s="1" t="inlineStr">
        <is>
          <t>Hard</t>
        </is>
      </c>
      <c r="H2513" s="1" t="n">
        <v>19570</v>
      </c>
      <c r="I2513" s="1" t="n">
        <v>44980</v>
      </c>
      <c r="J2513" s="9" t="n">
        <v>0.435</v>
      </c>
      <c r="K2513" s="1" t="inlineStr">
        <is>
          <t>Yes</t>
        </is>
      </c>
      <c r="L2513" s="1" t="inlineStr">
        <is>
          <t>No</t>
        </is>
      </c>
      <c r="M2513" s="1" t="inlineStr">
        <is>
          <t>No</t>
        </is>
      </c>
      <c r="N2513" s="1" t="inlineStr">
        <is>
          <t>Algorithms</t>
        </is>
      </c>
      <c r="O25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14" ht="15.75" customHeight="1" s="12">
      <c r="A2514" s="1" t="n">
        <v>2605</v>
      </c>
      <c r="B2514" s="3">
        <f>HYPERLINK("https://leetcode.com/problems/form-smallest-number-from-two-digit-arrays/", "Form Smallest Number From Two Digit Arrays")</f>
        <v/>
      </c>
      <c r="C2514" s="1" t="n">
        <v>326</v>
      </c>
      <c r="D2514" s="1" t="n">
        <v>29</v>
      </c>
      <c r="E2514" s="4">
        <f>IF(INDEX(C:C, ROW())+INDEX(D:D, ROW())=0, 0, INDEX(C:C, ROW())/(INDEX(C:C, ROW())+INDEX(D:D, ROW())))</f>
        <v/>
      </c>
      <c r="F2514" s="1" t="inlineStr">
        <is>
          <t>Array, Hash Table, Enumeration</t>
        </is>
      </c>
      <c r="G2514" s="1" t="inlineStr">
        <is>
          <t>Easy</t>
        </is>
      </c>
      <c r="H2514" s="1" t="n">
        <v>49290</v>
      </c>
      <c r="I2514" s="1" t="n">
        <v>89858</v>
      </c>
      <c r="J2514" s="9" t="n">
        <v>0.549</v>
      </c>
      <c r="K2514" s="1" t="inlineStr">
        <is>
          <t>Yes</t>
        </is>
      </c>
      <c r="L2514" s="1" t="inlineStr">
        <is>
          <t>No</t>
        </is>
      </c>
      <c r="M2514" s="1" t="inlineStr">
        <is>
          <t>No</t>
        </is>
      </c>
      <c r="N2514" s="1" t="inlineStr">
        <is>
          <t>Algorithms</t>
        </is>
      </c>
      <c r="O25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15" ht="15.75" customHeight="1" s="12">
      <c r="A2515" s="1" t="n">
        <v>1398</v>
      </c>
      <c r="B2515" s="3">
        <f>HYPERLINK("https://leetcode.com/problems/customers-who-bought-products-a-and-b-but-not-c/", "Customers Who Bought Products A and B but Not C")</f>
        <v/>
      </c>
      <c r="C2515" s="1" t="n">
        <v>325</v>
      </c>
      <c r="D2515" s="1" t="n">
        <v>18</v>
      </c>
      <c r="E2515" s="4">
        <f>IF(INDEX(C:C, ROW())+INDEX(D:D, ROW())=0, 0, INDEX(C:C, ROW())/(INDEX(C:C, ROW())+INDEX(D:D, ROW())))</f>
        <v/>
      </c>
      <c r="F2515" s="1" t="inlineStr">
        <is>
          <t>Database</t>
        </is>
      </c>
      <c r="G2515" s="1" t="inlineStr">
        <is>
          <t>Medium</t>
        </is>
      </c>
      <c r="H2515" s="1" t="n">
        <v>67604</v>
      </c>
      <c r="I2515" s="1" t="n">
        <v>94482</v>
      </c>
      <c r="J2515" s="9" t="n">
        <v>0.716</v>
      </c>
      <c r="K2515" s="1" t="inlineStr">
        <is>
          <t>No</t>
        </is>
      </c>
      <c r="L2515" s="1" t="inlineStr">
        <is>
          <t>Yes</t>
        </is>
      </c>
      <c r="M2515" s="1" t="inlineStr">
        <is>
          <t>No</t>
        </is>
      </c>
      <c r="N2515" s="1" t="inlineStr">
        <is>
          <t>Database</t>
        </is>
      </c>
      <c r="O25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16" ht="15.75" customHeight="1" s="12">
      <c r="A2516" s="1" t="n">
        <v>2763</v>
      </c>
      <c r="B2516" s="3">
        <f>HYPERLINK("https://leetcode.com/problems/sum-of-imbalance-numbers-of-all-subarrays/", "Sum of Imbalance Numbers of All Subarrays")</f>
        <v/>
      </c>
      <c r="C2516" s="1" t="n">
        <v>325</v>
      </c>
      <c r="D2516" s="1" t="n">
        <v>9</v>
      </c>
      <c r="E2516" s="4">
        <f>IF(INDEX(C:C, ROW())+INDEX(D:D, ROW())=0, 0, INDEX(C:C, ROW())/(INDEX(C:C, ROW())+INDEX(D:D, ROW())))</f>
        <v/>
      </c>
      <c r="F2516" s="1" t="inlineStr">
        <is>
          <t>Array, Hash Table, Enumeration</t>
        </is>
      </c>
      <c r="G2516" s="1" t="inlineStr">
        <is>
          <t>Hard</t>
        </is>
      </c>
      <c r="H2516" s="1" t="n">
        <v>9575</v>
      </c>
      <c r="I2516" s="1" t="n">
        <v>22257</v>
      </c>
      <c r="J2516" s="9" t="n">
        <v>0.43</v>
      </c>
      <c r="K2516" s="1" t="inlineStr">
        <is>
          <t>Yes</t>
        </is>
      </c>
      <c r="L2516" s="1" t="inlineStr">
        <is>
          <t>No</t>
        </is>
      </c>
      <c r="M2516" s="1" t="inlineStr">
        <is>
          <t>No</t>
        </is>
      </c>
      <c r="N2516" s="1" t="inlineStr">
        <is>
          <t>Algorithms</t>
        </is>
      </c>
      <c r="O25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17" ht="15.75" customHeight="1" s="12">
      <c r="A2517" s="1" t="n">
        <v>2739</v>
      </c>
      <c r="B2517" s="3">
        <f>HYPERLINK("https://leetcode.com/problems/total-distance-traveled/", "Total Distance Traveled")</f>
        <v/>
      </c>
      <c r="C2517" s="1" t="n">
        <v>324</v>
      </c>
      <c r="D2517" s="1" t="n">
        <v>107</v>
      </c>
      <c r="E2517" s="4">
        <f>IF(INDEX(C:C, ROW())+INDEX(D:D, ROW())=0, 0, INDEX(C:C, ROW())/(INDEX(C:C, ROW())+INDEX(D:D, ROW())))</f>
        <v/>
      </c>
      <c r="F2517" s="1" t="inlineStr">
        <is>
          <t>Math, Simulation</t>
        </is>
      </c>
      <c r="G2517" s="1" t="inlineStr">
        <is>
          <t>Easy</t>
        </is>
      </c>
      <c r="H2517" s="1" t="n">
        <v>60745</v>
      </c>
      <c r="I2517" s="1" t="n">
        <v>147841</v>
      </c>
      <c r="J2517" s="9" t="n">
        <v>0.411</v>
      </c>
      <c r="K2517" s="1" t="inlineStr">
        <is>
          <t>Yes</t>
        </is>
      </c>
      <c r="L2517" s="1" t="inlineStr">
        <is>
          <t>No</t>
        </is>
      </c>
      <c r="M2517" s="1" t="inlineStr">
        <is>
          <t>No</t>
        </is>
      </c>
      <c r="N2517" s="1" t="inlineStr">
        <is>
          <t>Algorithms</t>
        </is>
      </c>
      <c r="O25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18" ht="15.75" customHeight="1" s="12">
      <c r="A2518" s="1" t="n">
        <v>789</v>
      </c>
      <c r="B2518" s="3">
        <f>HYPERLINK("https://leetcode.com/problems/escape-the-ghosts/", "Escape The Ghosts")</f>
        <v/>
      </c>
      <c r="C2518" s="1" t="n">
        <v>323</v>
      </c>
      <c r="D2518" s="1" t="n">
        <v>35</v>
      </c>
      <c r="E2518" s="4">
        <f>IF(INDEX(C:C, ROW())+INDEX(D:D, ROW())=0, 0, INDEX(C:C, ROW())/(INDEX(C:C, ROW())+INDEX(D:D, ROW())))</f>
        <v/>
      </c>
      <c r="F2518" s="1" t="inlineStr">
        <is>
          <t>Array, Math</t>
        </is>
      </c>
      <c r="G2518" s="1" t="inlineStr">
        <is>
          <t>Medium</t>
        </is>
      </c>
      <c r="H2518" s="1" t="n">
        <v>37117</v>
      </c>
      <c r="I2518" s="1" t="n">
        <v>58621</v>
      </c>
      <c r="J2518" s="9" t="n">
        <v>0.633</v>
      </c>
      <c r="K2518" s="1" t="inlineStr">
        <is>
          <t>Yes</t>
        </is>
      </c>
      <c r="L2518" s="1" t="inlineStr">
        <is>
          <t>Yes</t>
        </is>
      </c>
      <c r="M2518" s="1" t="inlineStr">
        <is>
          <t>No</t>
        </is>
      </c>
      <c r="N2518" s="1" t="inlineStr">
        <is>
          <t>Algorithms</t>
        </is>
      </c>
      <c r="O25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19" ht="15.75" customHeight="1" s="12">
      <c r="A2519" s="1" t="n">
        <v>2452</v>
      </c>
      <c r="B2519" s="3">
        <f>HYPERLINK("https://leetcode.com/problems/words-within-two-edits-of-dictionary/", "Words Within Two Edits of Dictionary")</f>
        <v/>
      </c>
      <c r="C2519" s="1" t="n">
        <v>323</v>
      </c>
      <c r="D2519" s="1" t="n">
        <v>25</v>
      </c>
      <c r="E2519" s="4">
        <f>IF(INDEX(C:C, ROW())+INDEX(D:D, ROW())=0, 0, INDEX(C:C, ROW())/(INDEX(C:C, ROW())+INDEX(D:D, ROW())))</f>
        <v/>
      </c>
      <c r="F2519" s="1" t="inlineStr">
        <is>
          <t>Array, String, Trie</t>
        </is>
      </c>
      <c r="G2519" s="1" t="inlineStr">
        <is>
          <t>Medium</t>
        </is>
      </c>
      <c r="H2519" s="1" t="n">
        <v>28571</v>
      </c>
      <c r="I2519" s="1" t="n">
        <v>46320</v>
      </c>
      <c r="J2519" s="9" t="n">
        <v>0.617</v>
      </c>
      <c r="K2519" s="1" t="inlineStr">
        <is>
          <t>Yes</t>
        </is>
      </c>
      <c r="L2519" s="1" t="inlineStr">
        <is>
          <t>No</t>
        </is>
      </c>
      <c r="M2519" s="1" t="inlineStr">
        <is>
          <t>No</t>
        </is>
      </c>
      <c r="N2519" s="1" t="inlineStr">
        <is>
          <t>Algorithms</t>
        </is>
      </c>
      <c r="O25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20" ht="15.75" customHeight="1" s="12">
      <c r="A2520" s="1" t="n">
        <v>2213</v>
      </c>
      <c r="B2520" s="3">
        <f>HYPERLINK("https://leetcode.com/problems/longest-substring-of-one-repeating-character/", "Longest Substring of One Repeating Character")</f>
        <v/>
      </c>
      <c r="C2520" s="1" t="n">
        <v>322</v>
      </c>
      <c r="D2520" s="1" t="n">
        <v>84</v>
      </c>
      <c r="E2520" s="4">
        <f>IF(INDEX(C:C, ROW())+INDEX(D:D, ROW())=0, 0, INDEX(C:C, ROW())/(INDEX(C:C, ROW())+INDEX(D:D, ROW())))</f>
        <v/>
      </c>
      <c r="F2520" s="1" t="inlineStr">
        <is>
          <t>Array, String, Segment Tree, Ordered Set</t>
        </is>
      </c>
      <c r="G2520" s="1" t="inlineStr">
        <is>
          <t>Hard</t>
        </is>
      </c>
      <c r="H2520" s="1" t="n">
        <v>6401</v>
      </c>
      <c r="I2520" s="1" t="n">
        <v>18839</v>
      </c>
      <c r="J2520" s="9" t="n">
        <v>0.34</v>
      </c>
      <c r="K2520" s="1" t="inlineStr">
        <is>
          <t>Yes</t>
        </is>
      </c>
      <c r="L2520" s="1" t="inlineStr">
        <is>
          <t>No</t>
        </is>
      </c>
      <c r="M2520" s="1" t="inlineStr">
        <is>
          <t>No</t>
        </is>
      </c>
      <c r="N2520" s="1" t="inlineStr">
        <is>
          <t>Algorithms</t>
        </is>
      </c>
      <c r="O25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21" ht="15.75" customHeight="1" s="12">
      <c r="A2521" s="1" t="n">
        <v>2511</v>
      </c>
      <c r="B2521" s="3">
        <f>HYPERLINK("https://leetcode.com/problems/maximum-enemy-forts-that-can-be-captured/", "Maximum Enemy Forts That Can Be Captured")</f>
        <v/>
      </c>
      <c r="C2521" s="1" t="n">
        <v>322</v>
      </c>
      <c r="D2521" s="1" t="n">
        <v>304</v>
      </c>
      <c r="E2521" s="4">
        <f>IF(INDEX(C:C, ROW())+INDEX(D:D, ROW())=0, 0, INDEX(C:C, ROW())/(INDEX(C:C, ROW())+INDEX(D:D, ROW())))</f>
        <v/>
      </c>
      <c r="F2521" s="1" t="inlineStr">
        <is>
          <t>Array, Two Pointers</t>
        </is>
      </c>
      <c r="G2521" s="1" t="inlineStr">
        <is>
          <t>Easy</t>
        </is>
      </c>
      <c r="H2521" s="1" t="n">
        <v>33148</v>
      </c>
      <c r="I2521" s="1" t="n">
        <v>81134</v>
      </c>
      <c r="J2521" s="9" t="n">
        <v>0.409</v>
      </c>
      <c r="K2521" s="1" t="inlineStr">
        <is>
          <t>Yes</t>
        </is>
      </c>
      <c r="L2521" s="1" t="inlineStr">
        <is>
          <t>No</t>
        </is>
      </c>
      <c r="M2521" s="1" t="inlineStr">
        <is>
          <t>No</t>
        </is>
      </c>
      <c r="N2521" s="1" t="inlineStr">
        <is>
          <t>Algorithms</t>
        </is>
      </c>
      <c r="O25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22" ht="15.75" customHeight="1" s="12">
      <c r="A2522" s="1" t="n">
        <v>2740</v>
      </c>
      <c r="B2522" s="3">
        <f>HYPERLINK("https://leetcode.com/problems/find-the-value-of-the-partition/", "Find the Value of the Partition")</f>
        <v/>
      </c>
      <c r="C2522" s="1" t="n">
        <v>322</v>
      </c>
      <c r="D2522" s="1" t="n">
        <v>25</v>
      </c>
      <c r="E2522" s="4">
        <f>IF(INDEX(C:C, ROW())+INDEX(D:D, ROW())=0, 0, INDEX(C:C, ROW())/(INDEX(C:C, ROW())+INDEX(D:D, ROW())))</f>
        <v/>
      </c>
      <c r="F2522" s="1" t="inlineStr">
        <is>
          <t>Array, Sorting</t>
        </is>
      </c>
      <c r="G2522" s="1" t="inlineStr">
        <is>
          <t>Medium</t>
        </is>
      </c>
      <c r="H2522" s="1" t="n">
        <v>40200</v>
      </c>
      <c r="I2522" s="1" t="n">
        <v>62148</v>
      </c>
      <c r="J2522" s="9" t="n">
        <v>0.647</v>
      </c>
      <c r="K2522" s="1" t="inlineStr">
        <is>
          <t>Yes</t>
        </is>
      </c>
      <c r="L2522" s="1" t="inlineStr">
        <is>
          <t>No</t>
        </is>
      </c>
      <c r="M2522" s="1" t="inlineStr">
        <is>
          <t>No</t>
        </is>
      </c>
      <c r="N2522" s="1" t="inlineStr">
        <is>
          <t>Algorithms</t>
        </is>
      </c>
      <c r="O25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23" ht="15.75" customHeight="1" s="12">
      <c r="A2523" s="1" t="n">
        <v>3002</v>
      </c>
      <c r="B2523" s="3">
        <f>HYPERLINK("https://leetcode.com/problems/maximum-size-of-a-set-after-removals/", "Maximum Size of a Set After Removals")</f>
        <v/>
      </c>
      <c r="C2523" s="1" t="n">
        <v>322</v>
      </c>
      <c r="D2523" s="1" t="n">
        <v>30</v>
      </c>
      <c r="E2523" s="4">
        <f>IF(INDEX(C:C, ROW())+INDEX(D:D, ROW())=0, 0, INDEX(C:C, ROW())/(INDEX(C:C, ROW())+INDEX(D:D, ROW())))</f>
        <v/>
      </c>
      <c r="F2523" s="1" t="inlineStr">
        <is>
          <t>Array, Hash Table, Greedy</t>
        </is>
      </c>
      <c r="G2523" s="1" t="inlineStr">
        <is>
          <t>Medium</t>
        </is>
      </c>
      <c r="H2523" s="1" t="n">
        <v>19758</v>
      </c>
      <c r="I2523" s="1" t="n">
        <v>43064</v>
      </c>
      <c r="J2523" s="9" t="n">
        <v>0.459</v>
      </c>
      <c r="K2523" s="1" t="inlineStr">
        <is>
          <t>Yes</t>
        </is>
      </c>
      <c r="L2523" s="1" t="inlineStr">
        <is>
          <t>No</t>
        </is>
      </c>
      <c r="M2523" s="1" t="inlineStr">
        <is>
          <t>No</t>
        </is>
      </c>
      <c r="N2523" s="1" t="inlineStr">
        <is>
          <t>Algorithms</t>
        </is>
      </c>
      <c r="O25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24" ht="15.75" customHeight="1" s="12">
      <c r="A2524" s="1" t="n">
        <v>3484</v>
      </c>
      <c r="B2524" s="3">
        <f>HYPERLINK("https://leetcode.com/problems/design-spreadsheet/", "Design Spreadsheet")</f>
        <v/>
      </c>
      <c r="C2524" s="1" t="n">
        <v>322</v>
      </c>
      <c r="D2524" s="1" t="n">
        <v>29</v>
      </c>
      <c r="E2524" s="4">
        <f>IF(INDEX(C:C, ROW())+INDEX(D:D, ROW())=0, 0, INDEX(C:C, ROW())/(INDEX(C:C, ROW())+INDEX(D:D, ROW())))</f>
        <v/>
      </c>
      <c r="F2524" s="1" t="inlineStr">
        <is>
          <t>Array, Hash Table, String, Design, Matrix</t>
        </is>
      </c>
      <c r="G2524" s="1" t="inlineStr">
        <is>
          <t>Medium</t>
        </is>
      </c>
      <c r="H2524" s="1" t="n">
        <v>116113</v>
      </c>
      <c r="I2524" s="1" t="n">
        <v>155870</v>
      </c>
      <c r="J2524" s="9" t="n">
        <v>0.745</v>
      </c>
      <c r="K2524" s="1" t="inlineStr">
        <is>
          <t>Yes</t>
        </is>
      </c>
      <c r="L2524" s="1" t="inlineStr">
        <is>
          <t>Yes</t>
        </is>
      </c>
      <c r="M2524" s="1" t="inlineStr">
        <is>
          <t>No</t>
        </is>
      </c>
      <c r="N2524" s="1" t="inlineStr">
        <is>
          <t>Algorithms</t>
        </is>
      </c>
      <c r="O25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25" ht="15.75" customHeight="1" s="12">
      <c r="A2525" s="1" t="n">
        <v>2581</v>
      </c>
      <c r="B2525" s="3">
        <f>HYPERLINK("https://leetcode.com/problems/count-number-of-possible-root-nodes/", "Count Number of Possible Root Nodes")</f>
        <v/>
      </c>
      <c r="C2525" s="1" t="n">
        <v>321</v>
      </c>
      <c r="D2525" s="1" t="n">
        <v>10</v>
      </c>
      <c r="E2525" s="4">
        <f>IF(INDEX(C:C, ROW())+INDEX(D:D, ROW())=0, 0, INDEX(C:C, ROW())/(INDEX(C:C, ROW())+INDEX(D:D, ROW())))</f>
        <v/>
      </c>
      <c r="F2525" s="1" t="inlineStr">
        <is>
          <t>Array, Hash Table, Dynamic Programming, Tree, Depth-First Search</t>
        </is>
      </c>
      <c r="G2525" s="1" t="inlineStr">
        <is>
          <t>Hard</t>
        </is>
      </c>
      <c r="H2525" s="1" t="n">
        <v>8777</v>
      </c>
      <c r="I2525" s="1" t="n">
        <v>18362</v>
      </c>
      <c r="J2525" s="9" t="n">
        <v>0.478</v>
      </c>
      <c r="K2525" s="1" t="inlineStr">
        <is>
          <t>Yes</t>
        </is>
      </c>
      <c r="L2525" s="1" t="inlineStr">
        <is>
          <t>No</t>
        </is>
      </c>
      <c r="M2525" s="1" t="inlineStr">
        <is>
          <t>No</t>
        </is>
      </c>
      <c r="N2525" s="1" t="inlineStr">
        <is>
          <t>Algorithms</t>
        </is>
      </c>
      <c r="O25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26" ht="15.75" customHeight="1" s="12">
      <c r="A2526" s="1" t="n">
        <v>2813</v>
      </c>
      <c r="B2526" s="3">
        <f>HYPERLINK("https://leetcode.com/problems/maximum-elegance-of-a-k-length-subsequence/", "Maximum Elegance of a K-Length Subsequence")</f>
        <v/>
      </c>
      <c r="C2526" s="1" t="n">
        <v>321</v>
      </c>
      <c r="D2526" s="1" t="n">
        <v>5</v>
      </c>
      <c r="E2526" s="4">
        <f>IF(INDEX(C:C, ROW())+INDEX(D:D, ROW())=0, 0, INDEX(C:C, ROW())/(INDEX(C:C, ROW())+INDEX(D:D, ROW())))</f>
        <v/>
      </c>
      <c r="F2526" s="1" t="inlineStr">
        <is>
          <t>Array, Hash Table, Stack, Greedy, Sorting, Heap (Priority Queue)</t>
        </is>
      </c>
      <c r="G2526" s="1" t="inlineStr">
        <is>
          <t>Hard</t>
        </is>
      </c>
      <c r="H2526" s="1" t="n">
        <v>8244</v>
      </c>
      <c r="I2526" s="1" t="n">
        <v>29065</v>
      </c>
      <c r="J2526" s="9" t="n">
        <v>0.284</v>
      </c>
      <c r="K2526" s="1" t="inlineStr">
        <is>
          <t>Yes</t>
        </is>
      </c>
      <c r="L2526" s="1" t="inlineStr">
        <is>
          <t>No</t>
        </is>
      </c>
      <c r="M2526" s="1" t="inlineStr">
        <is>
          <t>No</t>
        </is>
      </c>
      <c r="N2526" s="1" t="inlineStr">
        <is>
          <t>Algorithms</t>
        </is>
      </c>
      <c r="O25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27" ht="15.75" customHeight="1" s="12">
      <c r="A2527" s="1" t="n">
        <v>2584</v>
      </c>
      <c r="B2527" s="3">
        <f>HYPERLINK("https://leetcode.com/problems/split-the-array-to-make-coprime-products/", "Split the Array to Make Coprime Products")</f>
        <v/>
      </c>
      <c r="C2527" s="1" t="n">
        <v>320</v>
      </c>
      <c r="D2527" s="1" t="n">
        <v>112</v>
      </c>
      <c r="E2527" s="4">
        <f>IF(INDEX(C:C, ROW())+INDEX(D:D, ROW())=0, 0, INDEX(C:C, ROW())/(INDEX(C:C, ROW())+INDEX(D:D, ROW())))</f>
        <v/>
      </c>
      <c r="F2527" s="1" t="inlineStr">
        <is>
          <t>Array, Hash Table, Math, Number Theory</t>
        </is>
      </c>
      <c r="G2527" s="1" t="inlineStr">
        <is>
          <t>Hard</t>
        </is>
      </c>
      <c r="H2527" s="1" t="n">
        <v>18747</v>
      </c>
      <c r="I2527" s="1" t="n">
        <v>65591</v>
      </c>
      <c r="J2527" s="9" t="n">
        <v>0.286</v>
      </c>
      <c r="K2527" s="1" t="inlineStr">
        <is>
          <t>Yes</t>
        </is>
      </c>
      <c r="L2527" s="1" t="inlineStr">
        <is>
          <t>No</t>
        </is>
      </c>
      <c r="M2527" s="1" t="inlineStr">
        <is>
          <t>No</t>
        </is>
      </c>
      <c r="N2527" s="1" t="inlineStr">
        <is>
          <t>Algorithms</t>
        </is>
      </c>
      <c r="O25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28" ht="15.75" customHeight="1" s="12">
      <c r="A2528" s="1" t="n">
        <v>1333</v>
      </c>
      <c r="B2528" s="3">
        <f>HYPERLINK("https://leetcode.com/problems/filter-restaurants-by-vegan-friendly-price-and-distance/", "Filter Restaurants by Vegan-Friendly, Price and Distance")</f>
        <v/>
      </c>
      <c r="C2528" s="1" t="n">
        <v>319</v>
      </c>
      <c r="D2528" s="1" t="n">
        <v>230</v>
      </c>
      <c r="E2528" s="4">
        <f>IF(INDEX(C:C, ROW())+INDEX(D:D, ROW())=0, 0, INDEX(C:C, ROW())/(INDEX(C:C, ROW())+INDEX(D:D, ROW())))</f>
        <v/>
      </c>
      <c r="F2528" s="1" t="inlineStr">
        <is>
          <t>Array, Sorting</t>
        </is>
      </c>
      <c r="G2528" s="1" t="inlineStr">
        <is>
          <t>Medium</t>
        </is>
      </c>
      <c r="H2528" s="1" t="n">
        <v>36675</v>
      </c>
      <c r="I2528" s="1" t="n">
        <v>57316</v>
      </c>
      <c r="J2528" s="9" t="n">
        <v>0.64</v>
      </c>
      <c r="K2528" s="1" t="inlineStr">
        <is>
          <t>Yes</t>
        </is>
      </c>
      <c r="L2528" s="1" t="inlineStr">
        <is>
          <t>No</t>
        </is>
      </c>
      <c r="M2528" s="1" t="inlineStr">
        <is>
          <t>No</t>
        </is>
      </c>
      <c r="N2528" s="1" t="inlineStr">
        <is>
          <t>Algorithms</t>
        </is>
      </c>
      <c r="O25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29" ht="15.75" customHeight="1" s="12">
      <c r="A2529" s="1" t="n">
        <v>2481</v>
      </c>
      <c r="B2529" s="3">
        <f>HYPERLINK("https://leetcode.com/problems/minimum-cuts-to-divide-a-circle/", "Minimum Cuts to Divide a Circle")</f>
        <v/>
      </c>
      <c r="C2529" s="1" t="n">
        <v>319</v>
      </c>
      <c r="D2529" s="1" t="n">
        <v>63</v>
      </c>
      <c r="E2529" s="4">
        <f>IF(INDEX(C:C, ROW())+INDEX(D:D, ROW())=0, 0, INDEX(C:C, ROW())/(INDEX(C:C, ROW())+INDEX(D:D, ROW())))</f>
        <v/>
      </c>
      <c r="F2529" s="1" t="inlineStr">
        <is>
          <t>Math, Geometry</t>
        </is>
      </c>
      <c r="G2529" s="1" t="inlineStr">
        <is>
          <t>Easy</t>
        </is>
      </c>
      <c r="H2529" s="1" t="n">
        <v>68693</v>
      </c>
      <c r="I2529" s="1" t="n">
        <v>122983</v>
      </c>
      <c r="J2529" s="9" t="n">
        <v>0.5590000000000001</v>
      </c>
      <c r="K2529" s="1" t="inlineStr">
        <is>
          <t>Yes</t>
        </is>
      </c>
      <c r="L2529" s="1" t="inlineStr">
        <is>
          <t>No</t>
        </is>
      </c>
      <c r="M2529" s="1" t="inlineStr">
        <is>
          <t>No</t>
        </is>
      </c>
      <c r="N2529" s="1" t="inlineStr">
        <is>
          <t>Algorithms</t>
        </is>
      </c>
      <c r="O25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30" ht="15.75" customHeight="1" s="12">
      <c r="A2530" s="1" t="n">
        <v>2974</v>
      </c>
      <c r="B2530" s="3">
        <f>HYPERLINK("https://leetcode.com/problems/minimum-number-game/", "Minimum Number Game")</f>
        <v/>
      </c>
      <c r="C2530" s="1" t="n">
        <v>319</v>
      </c>
      <c r="D2530" s="1" t="n">
        <v>22</v>
      </c>
      <c r="E2530" s="4">
        <f>IF(INDEX(C:C, ROW())+INDEX(D:D, ROW())=0, 0, INDEX(C:C, ROW())/(INDEX(C:C, ROW())+INDEX(D:D, ROW())))</f>
        <v/>
      </c>
      <c r="F2530" s="1" t="inlineStr">
        <is>
          <t>Array, Sorting, Heap (Priority Queue), Simulation</t>
        </is>
      </c>
      <c r="G2530" s="1" t="inlineStr">
        <is>
          <t>Easy</t>
        </is>
      </c>
      <c r="H2530" s="1" t="n">
        <v>139707</v>
      </c>
      <c r="I2530" s="1" t="n">
        <v>163952</v>
      </c>
      <c r="J2530" s="9" t="n">
        <v>0.852</v>
      </c>
      <c r="K2530" s="1" t="inlineStr">
        <is>
          <t>Yes</t>
        </is>
      </c>
      <c r="L2530" s="1" t="inlineStr">
        <is>
          <t>No</t>
        </is>
      </c>
      <c r="M2530" s="1" t="inlineStr">
        <is>
          <t>No</t>
        </is>
      </c>
      <c r="N2530" s="1" t="inlineStr">
        <is>
          <t>Algorithms</t>
        </is>
      </c>
      <c r="O25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31" ht="15.75" customHeight="1" s="12">
      <c r="A2531" s="1" t="n">
        <v>571</v>
      </c>
      <c r="B2531" s="3">
        <f>HYPERLINK("https://leetcode.com/problems/find-median-given-frequency-of-numbers/", "Find Median Given Frequency of Numbers")</f>
        <v/>
      </c>
      <c r="C2531" s="1" t="n">
        <v>318</v>
      </c>
      <c r="D2531" s="1" t="n">
        <v>79</v>
      </c>
      <c r="E2531" s="4">
        <f>IF(INDEX(C:C, ROW())+INDEX(D:D, ROW())=0, 0, INDEX(C:C, ROW())/(INDEX(C:C, ROW())+INDEX(D:D, ROW())))</f>
        <v/>
      </c>
      <c r="F2531" s="1" t="inlineStr">
        <is>
          <t>Database</t>
        </is>
      </c>
      <c r="G2531" s="1" t="inlineStr">
        <is>
          <t>Hard</t>
        </is>
      </c>
      <c r="H2531" s="1" t="n">
        <v>35214</v>
      </c>
      <c r="I2531" s="1" t="n">
        <v>83296</v>
      </c>
      <c r="J2531" s="9" t="n">
        <v>0.423</v>
      </c>
      <c r="K2531" s="1" t="inlineStr">
        <is>
          <t>No</t>
        </is>
      </c>
      <c r="L2531" s="1" t="inlineStr">
        <is>
          <t>No</t>
        </is>
      </c>
      <c r="M2531" s="1" t="inlineStr">
        <is>
          <t>No</t>
        </is>
      </c>
      <c r="N2531" s="1" t="inlineStr">
        <is>
          <t>Database</t>
        </is>
      </c>
      <c r="O25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32" ht="15.75" customHeight="1" s="12">
      <c r="A2532" s="1" t="n">
        <v>597</v>
      </c>
      <c r="B2532" s="3">
        <f>HYPERLINK("https://leetcode.com/problems/friend-requests-i-overall-acceptance-rate/", "Friend Requests I: Overall Acceptance Rate")</f>
        <v/>
      </c>
      <c r="C2532" s="1" t="n">
        <v>318</v>
      </c>
      <c r="D2532" s="1" t="n">
        <v>774</v>
      </c>
      <c r="E2532" s="4">
        <f>IF(INDEX(C:C, ROW())+INDEX(D:D, ROW())=0, 0, INDEX(C:C, ROW())/(INDEX(C:C, ROW())+INDEX(D:D, ROW())))</f>
        <v/>
      </c>
      <c r="F2532" s="1" t="inlineStr">
        <is>
          <t>Database</t>
        </is>
      </c>
      <c r="G2532" s="1" t="inlineStr">
        <is>
          <t>Easy</t>
        </is>
      </c>
      <c r="H2532" s="1" t="n">
        <v>85717</v>
      </c>
      <c r="I2532" s="1" t="n">
        <v>208192</v>
      </c>
      <c r="J2532" s="9" t="n">
        <v>0.412</v>
      </c>
      <c r="K2532" s="1" t="inlineStr">
        <is>
          <t>No</t>
        </is>
      </c>
      <c r="L2532" s="1" t="inlineStr">
        <is>
          <t>Yes</t>
        </is>
      </c>
      <c r="M2532" s="1" t="inlineStr">
        <is>
          <t>No</t>
        </is>
      </c>
      <c r="N2532" s="1" t="inlineStr">
        <is>
          <t>Database</t>
        </is>
      </c>
      <c r="O25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33" ht="15.75" customHeight="1" s="12">
      <c r="A2533" s="1" t="n">
        <v>2937</v>
      </c>
      <c r="B2533" s="3">
        <f>HYPERLINK("https://leetcode.com/problems/make-three-strings-equal/", "Make Three Strings Equal")</f>
        <v/>
      </c>
      <c r="C2533" s="1" t="n">
        <v>318</v>
      </c>
      <c r="D2533" s="1" t="n">
        <v>42</v>
      </c>
      <c r="E2533" s="4">
        <f>IF(INDEX(C:C, ROW())+INDEX(D:D, ROW())=0, 0, INDEX(C:C, ROW())/(INDEX(C:C, ROW())+INDEX(D:D, ROW())))</f>
        <v/>
      </c>
      <c r="F2533" s="1" t="inlineStr">
        <is>
          <t>String</t>
        </is>
      </c>
      <c r="G2533" s="1" t="inlineStr">
        <is>
          <t>Easy</t>
        </is>
      </c>
      <c r="H2533" s="1" t="n">
        <v>38817</v>
      </c>
      <c r="I2533" s="1" t="n">
        <v>87523</v>
      </c>
      <c r="J2533" s="9" t="n">
        <v>0.444</v>
      </c>
      <c r="K2533" s="1" t="inlineStr">
        <is>
          <t>Yes</t>
        </is>
      </c>
      <c r="L2533" s="1" t="inlineStr">
        <is>
          <t>No</t>
        </is>
      </c>
      <c r="M2533" s="1" t="inlineStr">
        <is>
          <t>No</t>
        </is>
      </c>
      <c r="N2533" s="1" t="inlineStr">
        <is>
          <t>Algorithms</t>
        </is>
      </c>
      <c r="O25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34" ht="15.75" customHeight="1" s="12">
      <c r="A2534" s="1" t="n">
        <v>1600</v>
      </c>
      <c r="B2534" s="3">
        <f>HYPERLINK("https://leetcode.com/problems/throne-inheritance/", "Throne Inheritance")</f>
        <v/>
      </c>
      <c r="C2534" s="1" t="n">
        <v>317</v>
      </c>
      <c r="D2534" s="1" t="n">
        <v>339</v>
      </c>
      <c r="E2534" s="4">
        <f>IF(INDEX(C:C, ROW())+INDEX(D:D, ROW())=0, 0, INDEX(C:C, ROW())/(INDEX(C:C, ROW())+INDEX(D:D, ROW())))</f>
        <v/>
      </c>
      <c r="F2534" s="1" t="inlineStr">
        <is>
          <t>Hash Table, Tree, Depth-First Search, Design</t>
        </is>
      </c>
      <c r="G2534" s="1" t="inlineStr">
        <is>
          <t>Medium</t>
        </is>
      </c>
      <c r="H2534" s="1" t="n">
        <v>26591</v>
      </c>
      <c r="I2534" s="1" t="n">
        <v>39807</v>
      </c>
      <c r="J2534" s="9" t="n">
        <v>0.668</v>
      </c>
      <c r="K2534" s="1" t="inlineStr">
        <is>
          <t>Yes</t>
        </is>
      </c>
      <c r="L2534" s="1" t="inlineStr">
        <is>
          <t>No</t>
        </is>
      </c>
      <c r="M2534" s="1" t="inlineStr">
        <is>
          <t>No</t>
        </is>
      </c>
      <c r="N2534" s="1" t="inlineStr">
        <is>
          <t>Algorithms</t>
        </is>
      </c>
      <c r="O25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35" ht="15.75" customHeight="1" s="12">
      <c r="A2535" s="1" t="n">
        <v>1735</v>
      </c>
      <c r="B2535" s="3">
        <f>HYPERLINK("https://leetcode.com/problems/count-ways-to-make-array-with-product/", "Count Ways to Make Array With Product")</f>
        <v/>
      </c>
      <c r="C2535" s="1" t="n">
        <v>317</v>
      </c>
      <c r="D2535" s="1" t="n">
        <v>36</v>
      </c>
      <c r="E2535" s="4">
        <f>IF(INDEX(C:C, ROW())+INDEX(D:D, ROW())=0, 0, INDEX(C:C, ROW())/(INDEX(C:C, ROW())+INDEX(D:D, ROW())))</f>
        <v/>
      </c>
      <c r="F2535" s="1" t="inlineStr">
        <is>
          <t>Array, Math, Dynamic Programming, Combinatorics, Number Theory</t>
        </is>
      </c>
      <c r="G2535" s="1" t="inlineStr">
        <is>
          <t>Hard</t>
        </is>
      </c>
      <c r="H2535" s="1" t="n">
        <v>8809</v>
      </c>
      <c r="I2535" s="1" t="n">
        <v>16298</v>
      </c>
      <c r="J2535" s="9" t="n">
        <v>0.54</v>
      </c>
      <c r="K2535" s="1" t="inlineStr">
        <is>
          <t>Yes</t>
        </is>
      </c>
      <c r="L2535" s="1" t="inlineStr">
        <is>
          <t>No</t>
        </is>
      </c>
      <c r="M2535" s="1" t="inlineStr">
        <is>
          <t>No</t>
        </is>
      </c>
      <c r="N2535" s="1" t="inlineStr">
        <is>
          <t>Algorithms</t>
        </is>
      </c>
      <c r="O25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36" ht="15.75" customHeight="1" s="12">
      <c r="A2536" s="1" t="n">
        <v>2549</v>
      </c>
      <c r="B2536" s="3">
        <f>HYPERLINK("https://leetcode.com/problems/count-distinct-numbers-on-board/", "Count Distinct Numbers on Board")</f>
        <v/>
      </c>
      <c r="C2536" s="1" t="n">
        <v>317</v>
      </c>
      <c r="D2536" s="1" t="n">
        <v>291</v>
      </c>
      <c r="E2536" s="4">
        <f>IF(INDEX(C:C, ROW())+INDEX(D:D, ROW())=0, 0, INDEX(C:C, ROW())/(INDEX(C:C, ROW())+INDEX(D:D, ROW())))</f>
        <v/>
      </c>
      <c r="F2536" s="1" t="inlineStr">
        <is>
          <t>Array, Hash Table, Math, Simulation</t>
        </is>
      </c>
      <c r="G2536" s="1" t="inlineStr">
        <is>
          <t>Easy</t>
        </is>
      </c>
      <c r="H2536" s="1" t="n">
        <v>62129</v>
      </c>
      <c r="I2536" s="1" t="n">
        <v>100859</v>
      </c>
      <c r="J2536" s="9" t="n">
        <v>0.616</v>
      </c>
      <c r="K2536" s="1" t="inlineStr">
        <is>
          <t>Yes</t>
        </is>
      </c>
      <c r="L2536" s="1" t="inlineStr">
        <is>
          <t>No</t>
        </is>
      </c>
      <c r="M2536" s="1" t="inlineStr">
        <is>
          <t>No</t>
        </is>
      </c>
      <c r="N2536" s="1" t="inlineStr">
        <is>
          <t>Algorithms</t>
        </is>
      </c>
      <c r="O25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37" ht="15.75" customHeight="1" s="12">
      <c r="A2537" s="1" t="n">
        <v>1246</v>
      </c>
      <c r="B2537" s="3">
        <f>HYPERLINK("https://leetcode.com/problems/palindrome-removal/", "Palindrome Removal")</f>
        <v/>
      </c>
      <c r="C2537" s="1" t="n">
        <v>316</v>
      </c>
      <c r="D2537" s="1" t="n">
        <v>14</v>
      </c>
      <c r="E2537" s="4">
        <f>IF(INDEX(C:C, ROW())+INDEX(D:D, ROW())=0, 0, INDEX(C:C, ROW())/(INDEX(C:C, ROW())+INDEX(D:D, ROW())))</f>
        <v/>
      </c>
      <c r="F2537" s="1" t="inlineStr">
        <is>
          <t>Array, Dynamic Programming</t>
        </is>
      </c>
      <c r="G2537" s="1" t="inlineStr">
        <is>
          <t>Hard</t>
        </is>
      </c>
      <c r="H2537" s="1" t="n">
        <v>11852</v>
      </c>
      <c r="I2537" s="1" t="n">
        <v>25636</v>
      </c>
      <c r="J2537" s="9" t="n">
        <v>0.462</v>
      </c>
      <c r="K2537" s="1" t="inlineStr">
        <is>
          <t>No</t>
        </is>
      </c>
      <c r="L2537" s="1" t="inlineStr">
        <is>
          <t>No</t>
        </is>
      </c>
      <c r="M2537" s="1" t="inlineStr">
        <is>
          <t>No</t>
        </is>
      </c>
      <c r="N2537" s="1" t="inlineStr">
        <is>
          <t>Algorithms</t>
        </is>
      </c>
      <c r="O25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38" ht="15.75" customHeight="1" s="12">
      <c r="A2538" s="1" t="n">
        <v>2836</v>
      </c>
      <c r="B2538" s="3">
        <f>HYPERLINK("https://leetcode.com/problems/maximize-value-of-function-in-a-ball-passing-game/", "Maximize Value of Function in a Ball Passing Game")</f>
        <v/>
      </c>
      <c r="C2538" s="1" t="n">
        <v>316</v>
      </c>
      <c r="D2538" s="1" t="n">
        <v>93</v>
      </c>
      <c r="E2538" s="4">
        <f>IF(INDEX(C:C, ROW())+INDEX(D:D, ROW())=0, 0, INDEX(C:C, ROW())/(INDEX(C:C, ROW())+INDEX(D:D, ROW())))</f>
        <v/>
      </c>
      <c r="F2538" s="1" t="inlineStr">
        <is>
          <t>Array, Dynamic Programming, Bit Manipulation</t>
        </is>
      </c>
      <c r="G2538" s="1" t="inlineStr">
        <is>
          <t>Hard</t>
        </is>
      </c>
      <c r="H2538" s="1" t="n">
        <v>6359</v>
      </c>
      <c r="I2538" s="1" t="n">
        <v>21094</v>
      </c>
      <c r="J2538" s="9" t="n">
        <v>0.301</v>
      </c>
      <c r="K2538" s="1" t="inlineStr">
        <is>
          <t>Yes</t>
        </is>
      </c>
      <c r="L2538" s="1" t="inlineStr">
        <is>
          <t>No</t>
        </is>
      </c>
      <c r="M2538" s="1" t="inlineStr">
        <is>
          <t>No</t>
        </is>
      </c>
      <c r="N2538" s="1" t="inlineStr">
        <is>
          <t>Algorithms</t>
        </is>
      </c>
      <c r="O25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39" ht="15.75" customHeight="1" s="12">
      <c r="A2539" s="1" t="n">
        <v>356</v>
      </c>
      <c r="B2539" s="3">
        <f>HYPERLINK("https://leetcode.com/problems/line-reflection/", "Line Reflection")</f>
        <v/>
      </c>
      <c r="C2539" s="1" t="n">
        <v>315</v>
      </c>
      <c r="D2539" s="1" t="n">
        <v>638</v>
      </c>
      <c r="E2539" s="4">
        <f>IF(INDEX(C:C, ROW())+INDEX(D:D, ROW())=0, 0, INDEX(C:C, ROW())/(INDEX(C:C, ROW())+INDEX(D:D, ROW())))</f>
        <v/>
      </c>
      <c r="F2539" s="1" t="inlineStr">
        <is>
          <t>Array, Hash Table, Math</t>
        </is>
      </c>
      <c r="G2539" s="1" t="inlineStr">
        <is>
          <t>Medium</t>
        </is>
      </c>
      <c r="H2539" s="1" t="n">
        <v>45603</v>
      </c>
      <c r="I2539" s="1" t="n">
        <v>125849</v>
      </c>
      <c r="J2539" s="9" t="n">
        <v>0.362</v>
      </c>
      <c r="K2539" s="1" t="inlineStr">
        <is>
          <t>No</t>
        </is>
      </c>
      <c r="L2539" s="1" t="inlineStr">
        <is>
          <t>No</t>
        </is>
      </c>
      <c r="M2539" s="1" t="inlineStr">
        <is>
          <t>No</t>
        </is>
      </c>
      <c r="N2539" s="1" t="inlineStr">
        <is>
          <t>Algorithms</t>
        </is>
      </c>
      <c r="O25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40" ht="15.75" customHeight="1" s="12">
      <c r="A2540" s="1" t="n">
        <v>1112</v>
      </c>
      <c r="B2540" s="3">
        <f>HYPERLINK("https://leetcode.com/problems/highest-grade-for-each-student/", "Highest Grade For Each Student")</f>
        <v/>
      </c>
      <c r="C2540" s="1" t="n">
        <v>315</v>
      </c>
      <c r="D2540" s="1" t="n">
        <v>15</v>
      </c>
      <c r="E2540" s="4">
        <f>IF(INDEX(C:C, ROW())+INDEX(D:D, ROW())=0, 0, INDEX(C:C, ROW())/(INDEX(C:C, ROW())+INDEX(D:D, ROW())))</f>
        <v/>
      </c>
      <c r="F2540" s="1" t="inlineStr">
        <is>
          <t>Database</t>
        </is>
      </c>
      <c r="G2540" s="1" t="inlineStr">
        <is>
          <t>Medium</t>
        </is>
      </c>
      <c r="H2540" s="1" t="n">
        <v>76879</v>
      </c>
      <c r="I2540" s="1" t="n">
        <v>108079</v>
      </c>
      <c r="J2540" s="9" t="n">
        <v>0.711</v>
      </c>
      <c r="K2540" s="1" t="inlineStr">
        <is>
          <t>No</t>
        </is>
      </c>
      <c r="L2540" s="1" t="inlineStr">
        <is>
          <t>Yes</t>
        </is>
      </c>
      <c r="M2540" s="1" t="inlineStr">
        <is>
          <t>No</t>
        </is>
      </c>
      <c r="N2540" s="1" t="inlineStr">
        <is>
          <t>Database</t>
        </is>
      </c>
      <c r="O25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41" ht="15.75" customHeight="1" s="12">
      <c r="A2541" s="1" t="n">
        <v>2730</v>
      </c>
      <c r="B2541" s="3">
        <f>HYPERLINK("https://leetcode.com/problems/find-the-longest-semi-repetitive-substring/", "Find the Longest Semi-Repetitive Substring")</f>
        <v/>
      </c>
      <c r="C2541" s="1" t="n">
        <v>315</v>
      </c>
      <c r="D2541" s="1" t="n">
        <v>88</v>
      </c>
      <c r="E2541" s="4">
        <f>IF(INDEX(C:C, ROW())+INDEX(D:D, ROW())=0, 0, INDEX(C:C, ROW())/(INDEX(C:C, ROW())+INDEX(D:D, ROW())))</f>
        <v/>
      </c>
      <c r="F2541" s="1" t="inlineStr">
        <is>
          <t>String, Sliding Window</t>
        </is>
      </c>
      <c r="G2541" s="1" t="inlineStr">
        <is>
          <t>Medium</t>
        </is>
      </c>
      <c r="H2541" s="1" t="n">
        <v>31872</v>
      </c>
      <c r="I2541" s="1" t="n">
        <v>83135</v>
      </c>
      <c r="J2541" s="9" t="n">
        <v>0.383</v>
      </c>
      <c r="K2541" s="1" t="inlineStr">
        <is>
          <t>Yes</t>
        </is>
      </c>
      <c r="L2541" s="1" t="inlineStr">
        <is>
          <t>No</t>
        </is>
      </c>
      <c r="M2541" s="1" t="inlineStr">
        <is>
          <t>No</t>
        </is>
      </c>
      <c r="N2541" s="1" t="inlineStr">
        <is>
          <t>Algorithms</t>
        </is>
      </c>
      <c r="O25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42" ht="15.75" customHeight="1" s="12">
      <c r="A2542" s="1" t="n">
        <v>2834</v>
      </c>
      <c r="B2542" s="3">
        <f>HYPERLINK("https://leetcode.com/problems/find-the-minimum-possible-sum-of-a-beautiful-array/", "Find the Minimum Possible Sum of a Beautiful Array")</f>
        <v/>
      </c>
      <c r="C2542" s="1" t="n">
        <v>315</v>
      </c>
      <c r="D2542" s="1" t="n">
        <v>58</v>
      </c>
      <c r="E2542" s="4">
        <f>IF(INDEX(C:C, ROW())+INDEX(D:D, ROW())=0, 0, INDEX(C:C, ROW())/(INDEX(C:C, ROW())+INDEX(D:D, ROW())))</f>
        <v/>
      </c>
      <c r="F2542" s="1" t="inlineStr">
        <is>
          <t>Math, Greedy</t>
        </is>
      </c>
      <c r="G2542" s="1" t="inlineStr">
        <is>
          <t>Medium</t>
        </is>
      </c>
      <c r="H2542" s="1" t="n">
        <v>32397</v>
      </c>
      <c r="I2542" s="1" t="n">
        <v>91812</v>
      </c>
      <c r="J2542" s="9" t="n">
        <v>0.353</v>
      </c>
      <c r="K2542" s="1" t="inlineStr">
        <is>
          <t>Yes</t>
        </is>
      </c>
      <c r="L2542" s="1" t="inlineStr">
        <is>
          <t>No</t>
        </is>
      </c>
      <c r="M2542" s="1" t="inlineStr">
        <is>
          <t>No</t>
        </is>
      </c>
      <c r="N2542" s="1" t="inlineStr">
        <is>
          <t>Algorithms</t>
        </is>
      </c>
      <c r="O25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43" ht="15.75" customHeight="1" s="12">
      <c r="A2543" s="1" t="n">
        <v>2841</v>
      </c>
      <c r="B2543" s="3">
        <f>HYPERLINK("https://leetcode.com/problems/maximum-sum-of-almost-unique-subarray/", "Maximum Sum of Almost Unique Subarray")</f>
        <v/>
      </c>
      <c r="C2543" s="1" t="n">
        <v>315</v>
      </c>
      <c r="D2543" s="1" t="n">
        <v>139</v>
      </c>
      <c r="E2543" s="4">
        <f>IF(INDEX(C:C, ROW())+INDEX(D:D, ROW())=0, 0, INDEX(C:C, ROW())/(INDEX(C:C, ROW())+INDEX(D:D, ROW())))</f>
        <v/>
      </c>
      <c r="F2543" s="1" t="inlineStr">
        <is>
          <t>Array, Hash Table, Sliding Window</t>
        </is>
      </c>
      <c r="G2543" s="1" t="inlineStr">
        <is>
          <t>Medium</t>
        </is>
      </c>
      <c r="H2543" s="1" t="n">
        <v>33850</v>
      </c>
      <c r="I2543" s="1" t="n">
        <v>83730</v>
      </c>
      <c r="J2543" s="9" t="n">
        <v>0.404</v>
      </c>
      <c r="K2543" s="1" t="inlineStr">
        <is>
          <t>Yes</t>
        </is>
      </c>
      <c r="L2543" s="1" t="inlineStr">
        <is>
          <t>No</t>
        </is>
      </c>
      <c r="M2543" s="1" t="inlineStr">
        <is>
          <t>No</t>
        </is>
      </c>
      <c r="N2543" s="1" t="inlineStr">
        <is>
          <t>Algorithms</t>
        </is>
      </c>
      <c r="O25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44" ht="15.75" customHeight="1" s="12">
      <c r="A2544" s="1" t="n">
        <v>755</v>
      </c>
      <c r="B2544" s="3">
        <f>HYPERLINK("https://leetcode.com/problems/pour-water/", "Pour Water")</f>
        <v/>
      </c>
      <c r="C2544" s="1" t="n">
        <v>314</v>
      </c>
      <c r="D2544" s="1" t="n">
        <v>812</v>
      </c>
      <c r="E2544" s="4">
        <f>IF(INDEX(C:C, ROW())+INDEX(D:D, ROW())=0, 0, INDEX(C:C, ROW())/(INDEX(C:C, ROW())+INDEX(D:D, ROW())))</f>
        <v/>
      </c>
      <c r="F2544" s="1" t="inlineStr">
        <is>
          <t>Array, Simulation</t>
        </is>
      </c>
      <c r="G2544" s="1" t="inlineStr">
        <is>
          <t>Medium</t>
        </is>
      </c>
      <c r="H2544" s="1" t="n">
        <v>45110</v>
      </c>
      <c r="I2544" s="1" t="n">
        <v>93154</v>
      </c>
      <c r="J2544" s="9" t="n">
        <v>0.484</v>
      </c>
      <c r="K2544" s="1" t="inlineStr">
        <is>
          <t>No</t>
        </is>
      </c>
      <c r="L2544" s="1" t="inlineStr">
        <is>
          <t>Yes</t>
        </is>
      </c>
      <c r="M2544" s="1" t="inlineStr">
        <is>
          <t>No</t>
        </is>
      </c>
      <c r="N2544" s="1" t="inlineStr">
        <is>
          <t>Algorithms</t>
        </is>
      </c>
      <c r="O25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45" ht="15.75" customHeight="1" s="12">
      <c r="A2545" s="1" t="n">
        <v>2105</v>
      </c>
      <c r="B2545" s="3">
        <f>HYPERLINK("https://leetcode.com/problems/watering-plants-ii/", "Watering Plants II")</f>
        <v/>
      </c>
      <c r="C2545" s="1" t="n">
        <v>314</v>
      </c>
      <c r="D2545" s="1" t="n">
        <v>165</v>
      </c>
      <c r="E2545" s="4">
        <f>IF(INDEX(C:C, ROW())+INDEX(D:D, ROW())=0, 0, INDEX(C:C, ROW())/(INDEX(C:C, ROW())+INDEX(D:D, ROW())))</f>
        <v/>
      </c>
      <c r="F2545" s="1" t="inlineStr">
        <is>
          <t>Array, Two Pointers, Simulation</t>
        </is>
      </c>
      <c r="G2545" s="1" t="inlineStr">
        <is>
          <t>Medium</t>
        </is>
      </c>
      <c r="H2545" s="1" t="n">
        <v>28995</v>
      </c>
      <c r="I2545" s="1" t="n">
        <v>59824</v>
      </c>
      <c r="J2545" s="9" t="n">
        <v>0.485</v>
      </c>
      <c r="K2545" s="1" t="inlineStr">
        <is>
          <t>Yes</t>
        </is>
      </c>
      <c r="L2545" s="1" t="inlineStr">
        <is>
          <t>No</t>
        </is>
      </c>
      <c r="M2545" s="1" t="inlineStr">
        <is>
          <t>No</t>
        </is>
      </c>
      <c r="N2545" s="1" t="inlineStr">
        <is>
          <t>Algorithms</t>
        </is>
      </c>
      <c r="O25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46" ht="15.75" customHeight="1" s="12">
      <c r="A2546" s="1" t="n">
        <v>2778</v>
      </c>
      <c r="B2546" s="3">
        <f>HYPERLINK("https://leetcode.com/problems/sum-of-squares-of-special-elements/", "Sum of Squares of Special Elements ")</f>
        <v/>
      </c>
      <c r="C2546" s="1" t="n">
        <v>314</v>
      </c>
      <c r="D2546" s="1" t="n">
        <v>135</v>
      </c>
      <c r="E2546" s="4">
        <f>IF(INDEX(C:C, ROW())+INDEX(D:D, ROW())=0, 0, INDEX(C:C, ROW())/(INDEX(C:C, ROW())+INDEX(D:D, ROW())))</f>
        <v/>
      </c>
      <c r="F2546" s="1" t="inlineStr">
        <is>
          <t>Array, Enumeration</t>
        </is>
      </c>
      <c r="G2546" s="1" t="inlineStr">
        <is>
          <t>Easy</t>
        </is>
      </c>
      <c r="H2546" s="1" t="n">
        <v>96929</v>
      </c>
      <c r="I2546" s="1" t="n">
        <v>118508</v>
      </c>
      <c r="J2546" s="9" t="n">
        <v>0.8179999999999999</v>
      </c>
      <c r="K2546" s="1" t="inlineStr">
        <is>
          <t>Yes</t>
        </is>
      </c>
      <c r="L2546" s="1" t="inlineStr">
        <is>
          <t>No</t>
        </is>
      </c>
      <c r="M2546" s="1" t="inlineStr">
        <is>
          <t>No</t>
        </is>
      </c>
      <c r="N2546" s="1" t="inlineStr">
        <is>
          <t>Algorithms</t>
        </is>
      </c>
      <c r="O25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47" ht="15.75" customHeight="1" s="12">
      <c r="A2547" s="1" t="n">
        <v>2859</v>
      </c>
      <c r="B2547" s="3">
        <f>HYPERLINK("https://leetcode.com/problems/sum-of-values-at-indices-with-k-set-bits/", "Sum of Values at Indices With K Set Bits")</f>
        <v/>
      </c>
      <c r="C2547" s="1" t="n">
        <v>314</v>
      </c>
      <c r="D2547" s="1" t="n">
        <v>50</v>
      </c>
      <c r="E2547" s="4">
        <f>IF(INDEX(C:C, ROW())+INDEX(D:D, ROW())=0, 0, INDEX(C:C, ROW())/(INDEX(C:C, ROW())+INDEX(D:D, ROW())))</f>
        <v/>
      </c>
      <c r="F2547" s="1" t="inlineStr">
        <is>
          <t>Array, Bit Manipulation</t>
        </is>
      </c>
      <c r="G2547" s="1" t="inlineStr">
        <is>
          <t>Easy</t>
        </is>
      </c>
      <c r="H2547" s="1" t="n">
        <v>93479</v>
      </c>
      <c r="I2547" s="1" t="n">
        <v>108723</v>
      </c>
      <c r="J2547" s="9" t="n">
        <v>0.86</v>
      </c>
      <c r="K2547" s="1" t="inlineStr">
        <is>
          <t>Yes</t>
        </is>
      </c>
      <c r="L2547" s="1" t="inlineStr">
        <is>
          <t>No</t>
        </is>
      </c>
      <c r="M2547" s="1" t="inlineStr">
        <is>
          <t>No</t>
        </is>
      </c>
      <c r="N2547" s="1" t="inlineStr">
        <is>
          <t>Algorithms</t>
        </is>
      </c>
      <c r="O25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48" ht="15.75" customHeight="1" s="12">
      <c r="A2548" s="1" t="n">
        <v>1739</v>
      </c>
      <c r="B2548" s="3">
        <f>HYPERLINK("https://leetcode.com/problems/building-boxes/", "Building Boxes")</f>
        <v/>
      </c>
      <c r="C2548" s="1" t="n">
        <v>313</v>
      </c>
      <c r="D2548" s="1" t="n">
        <v>49</v>
      </c>
      <c r="E2548" s="4">
        <f>IF(INDEX(C:C, ROW())+INDEX(D:D, ROW())=0, 0, INDEX(C:C, ROW())/(INDEX(C:C, ROW())+INDEX(D:D, ROW())))</f>
        <v/>
      </c>
      <c r="F2548" s="1" t="inlineStr">
        <is>
          <t>Math, Binary Search, Greedy</t>
        </is>
      </c>
      <c r="G2548" s="1" t="inlineStr">
        <is>
          <t>Hard</t>
        </is>
      </c>
      <c r="H2548" s="1" t="n">
        <v>9418</v>
      </c>
      <c r="I2548" s="1" t="n">
        <v>18002</v>
      </c>
      <c r="J2548" s="9" t="n">
        <v>0.523</v>
      </c>
      <c r="K2548" s="1" t="inlineStr">
        <is>
          <t>Yes</t>
        </is>
      </c>
      <c r="L2548" s="1" t="inlineStr">
        <is>
          <t>No</t>
        </is>
      </c>
      <c r="M2548" s="1" t="inlineStr">
        <is>
          <t>No</t>
        </is>
      </c>
      <c r="N2548" s="1" t="inlineStr">
        <is>
          <t>Algorithms</t>
        </is>
      </c>
      <c r="O25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49" ht="15.75" customHeight="1" s="12">
      <c r="A2549" s="1" t="n">
        <v>2944</v>
      </c>
      <c r="B2549" s="3">
        <f>HYPERLINK("https://leetcode.com/problems/minimum-number-of-coins-for-fruits/", "Minimum Number of Coins for Fruits")</f>
        <v/>
      </c>
      <c r="C2549" s="1" t="n">
        <v>313</v>
      </c>
      <c r="D2549" s="1" t="n">
        <v>81</v>
      </c>
      <c r="E2549" s="4">
        <f>IF(INDEX(C:C, ROW())+INDEX(D:D, ROW())=0, 0, INDEX(C:C, ROW())/(INDEX(C:C, ROW())+INDEX(D:D, ROW())))</f>
        <v/>
      </c>
      <c r="F2549" s="1" t="inlineStr">
        <is>
          <t>Array, Dynamic Programming, Queue, Heap (Priority Queue), Monotonic Queue</t>
        </is>
      </c>
      <c r="G2549" s="1" t="inlineStr">
        <is>
          <t>Medium</t>
        </is>
      </c>
      <c r="H2549" s="1" t="n">
        <v>22783</v>
      </c>
      <c r="I2549" s="1" t="n">
        <v>46974</v>
      </c>
      <c r="J2549" s="9" t="n">
        <v>0.485</v>
      </c>
      <c r="K2549" s="1" t="inlineStr">
        <is>
          <t>Yes</t>
        </is>
      </c>
      <c r="L2549" s="1" t="inlineStr">
        <is>
          <t>No</t>
        </is>
      </c>
      <c r="M2549" s="1" t="inlineStr">
        <is>
          <t>No</t>
        </is>
      </c>
      <c r="N2549" s="1" t="inlineStr">
        <is>
          <t>Algorithms</t>
        </is>
      </c>
      <c r="O25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50" ht="15.75" customHeight="1" s="12">
      <c r="A2550" s="1" t="n">
        <v>1501</v>
      </c>
      <c r="B2550" s="3">
        <f>HYPERLINK("https://leetcode.com/problems/countries-you-can-safely-invest-in/", "Countries You Can Safely Invest In")</f>
        <v/>
      </c>
      <c r="C2550" s="1" t="n">
        <v>312</v>
      </c>
      <c r="D2550" s="1" t="n">
        <v>149</v>
      </c>
      <c r="E2550" s="4">
        <f>IF(INDEX(C:C, ROW())+INDEX(D:D, ROW())=0, 0, INDEX(C:C, ROW())/(INDEX(C:C, ROW())+INDEX(D:D, ROW())))</f>
        <v/>
      </c>
      <c r="F2550" s="1" t="inlineStr">
        <is>
          <t>Database</t>
        </is>
      </c>
      <c r="G2550" s="1" t="inlineStr">
        <is>
          <t>Medium</t>
        </is>
      </c>
      <c r="H2550" s="1" t="n">
        <v>48690</v>
      </c>
      <c r="I2550" s="1" t="n">
        <v>96141</v>
      </c>
      <c r="J2550" s="9" t="n">
        <v>0.506</v>
      </c>
      <c r="K2550" s="1" t="inlineStr">
        <is>
          <t>No</t>
        </is>
      </c>
      <c r="L2550" s="1" t="inlineStr">
        <is>
          <t>No</t>
        </is>
      </c>
      <c r="M2550" s="1" t="inlineStr">
        <is>
          <t>No</t>
        </is>
      </c>
      <c r="N2550" s="1" t="inlineStr">
        <is>
          <t>Database</t>
        </is>
      </c>
      <c r="O25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51" ht="15.75" customHeight="1" s="12">
      <c r="A2551" s="1" t="n">
        <v>1746</v>
      </c>
      <c r="B2551" s="3">
        <f>HYPERLINK("https://leetcode.com/problems/maximum-subarray-sum-after-one-operation/", "Maximum Subarray Sum After One Operation")</f>
        <v/>
      </c>
      <c r="C2551" s="1" t="n">
        <v>312</v>
      </c>
      <c r="D2551" s="1" t="n">
        <v>10</v>
      </c>
      <c r="E2551" s="4">
        <f>IF(INDEX(C:C, ROW())+INDEX(D:D, ROW())=0, 0, INDEX(C:C, ROW())/(INDEX(C:C, ROW())+INDEX(D:D, ROW())))</f>
        <v/>
      </c>
      <c r="F2551" s="1" t="inlineStr">
        <is>
          <t>Array, Dynamic Programming</t>
        </is>
      </c>
      <c r="G2551" s="1" t="inlineStr">
        <is>
          <t>Medium</t>
        </is>
      </c>
      <c r="H2551" s="1" t="n">
        <v>13793</v>
      </c>
      <c r="I2551" s="1" t="n">
        <v>21144</v>
      </c>
      <c r="J2551" s="9" t="n">
        <v>0.652</v>
      </c>
      <c r="K2551" s="1" t="inlineStr">
        <is>
          <t>No</t>
        </is>
      </c>
      <c r="L2551" s="1" t="inlineStr">
        <is>
          <t>Yes</t>
        </is>
      </c>
      <c r="M2551" s="1" t="inlineStr">
        <is>
          <t>No</t>
        </is>
      </c>
      <c r="N2551" s="1" t="inlineStr">
        <is>
          <t>Algorithms</t>
        </is>
      </c>
      <c r="O25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52" ht="15.75" customHeight="1" s="12">
      <c r="A2552" s="1" t="n">
        <v>2715</v>
      </c>
      <c r="B2552" s="3">
        <f>HYPERLINK("https://leetcode.com/problems/timeout-cancellation/", "Timeout Cancellation")</f>
        <v/>
      </c>
      <c r="C2552" s="1" t="n">
        <v>312</v>
      </c>
      <c r="D2552" s="1" t="n">
        <v>364</v>
      </c>
      <c r="E2552" s="4">
        <f>IF(INDEX(C:C, ROW())+INDEX(D:D, ROW())=0, 0, INDEX(C:C, ROW())/(INDEX(C:C, ROW())+INDEX(D:D, ROW())))</f>
        <v/>
      </c>
      <c r="F2552" s="2" t="n"/>
      <c r="G2552" s="1" t="inlineStr">
        <is>
          <t>Easy</t>
        </is>
      </c>
      <c r="H2552" s="1" t="n">
        <v>95745</v>
      </c>
      <c r="I2552" s="1" t="n">
        <v>106913</v>
      </c>
      <c r="J2552" s="9" t="n">
        <v>0.896</v>
      </c>
      <c r="K2552" s="1" t="inlineStr">
        <is>
          <t>Yes</t>
        </is>
      </c>
      <c r="L2552" s="1" t="inlineStr">
        <is>
          <t>Yes</t>
        </is>
      </c>
      <c r="M2552" s="1" t="inlineStr">
        <is>
          <t>No</t>
        </is>
      </c>
      <c r="N2552" s="1" t="inlineStr">
        <is>
          <t>JavaScript</t>
        </is>
      </c>
      <c r="O25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53" ht="15.75" customHeight="1" s="12">
      <c r="A2553" s="1" t="n">
        <v>1699</v>
      </c>
      <c r="B2553" s="3">
        <f>HYPERLINK("https://leetcode.com/problems/number-of-calls-between-two-persons/", "Number of Calls Between Two Persons")</f>
        <v/>
      </c>
      <c r="C2553" s="1" t="n">
        <v>311</v>
      </c>
      <c r="D2553" s="1" t="n">
        <v>16</v>
      </c>
      <c r="E2553" s="4">
        <f>IF(INDEX(C:C, ROW())+INDEX(D:D, ROW())=0, 0, INDEX(C:C, ROW())/(INDEX(C:C, ROW())+INDEX(D:D, ROW())))</f>
        <v/>
      </c>
      <c r="F2553" s="1" t="inlineStr">
        <is>
          <t>Database</t>
        </is>
      </c>
      <c r="G2553" s="1" t="inlineStr">
        <is>
          <t>Medium</t>
        </is>
      </c>
      <c r="H2553" s="1" t="n">
        <v>52374</v>
      </c>
      <c r="I2553" s="1" t="n">
        <v>64813</v>
      </c>
      <c r="J2553" s="9" t="n">
        <v>0.8080000000000001</v>
      </c>
      <c r="K2553" s="1" t="inlineStr">
        <is>
          <t>No</t>
        </is>
      </c>
      <c r="L2553" s="1" t="inlineStr">
        <is>
          <t>No</t>
        </is>
      </c>
      <c r="M2553" s="1" t="inlineStr">
        <is>
          <t>No</t>
        </is>
      </c>
      <c r="N2553" s="1" t="inlineStr">
        <is>
          <t>Database</t>
        </is>
      </c>
      <c r="O25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54" ht="15.75" customHeight="1" s="12">
      <c r="A2554" s="1" t="n">
        <v>2241</v>
      </c>
      <c r="B2554" s="3">
        <f>HYPERLINK("https://leetcode.com/problems/design-an-atm-machine/", "Design an ATM Machine")</f>
        <v/>
      </c>
      <c r="C2554" s="1" t="n">
        <v>310</v>
      </c>
      <c r="D2554" s="1" t="n">
        <v>382</v>
      </c>
      <c r="E2554" s="4">
        <f>IF(INDEX(C:C, ROW())+INDEX(D:D, ROW())=0, 0, INDEX(C:C, ROW())/(INDEX(C:C, ROW())+INDEX(D:D, ROW())))</f>
        <v/>
      </c>
      <c r="F2554" s="1" t="inlineStr">
        <is>
          <t>Array, Greedy, Design</t>
        </is>
      </c>
      <c r="G2554" s="1" t="inlineStr">
        <is>
          <t>Medium</t>
        </is>
      </c>
      <c r="H2554" s="1" t="n">
        <v>33449</v>
      </c>
      <c r="I2554" s="1" t="n">
        <v>75518</v>
      </c>
      <c r="J2554" s="9" t="n">
        <v>0.443</v>
      </c>
      <c r="K2554" s="1" t="inlineStr">
        <is>
          <t>Yes</t>
        </is>
      </c>
      <c r="L2554" s="1" t="inlineStr">
        <is>
          <t>No</t>
        </is>
      </c>
      <c r="M2554" s="1" t="inlineStr">
        <is>
          <t>No</t>
        </is>
      </c>
      <c r="N2554" s="1" t="inlineStr">
        <is>
          <t>Algorithms</t>
        </is>
      </c>
      <c r="O25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55" ht="15.75" customHeight="1" s="12">
      <c r="A2555" s="1" t="n">
        <v>2735</v>
      </c>
      <c r="B2555" s="3">
        <f>HYPERLINK("https://leetcode.com/problems/collecting-chocolates/", "Collecting Chocolates")</f>
        <v/>
      </c>
      <c r="C2555" s="1" t="n">
        <v>310</v>
      </c>
      <c r="D2555" s="1" t="n">
        <v>555</v>
      </c>
      <c r="E2555" s="4">
        <f>IF(INDEX(C:C, ROW())+INDEX(D:D, ROW())=0, 0, INDEX(C:C, ROW())/(INDEX(C:C, ROW())+INDEX(D:D, ROW())))</f>
        <v/>
      </c>
      <c r="F2555" s="1" t="inlineStr">
        <is>
          <t>Array, Enumeration</t>
        </is>
      </c>
      <c r="G2555" s="1" t="inlineStr">
        <is>
          <t>Medium</t>
        </is>
      </c>
      <c r="H2555" s="1" t="n">
        <v>14889</v>
      </c>
      <c r="I2555" s="1" t="n">
        <v>42994</v>
      </c>
      <c r="J2555" s="9" t="n">
        <v>0.346</v>
      </c>
      <c r="K2555" s="1" t="inlineStr">
        <is>
          <t>Yes</t>
        </is>
      </c>
      <c r="L2555" s="1" t="inlineStr">
        <is>
          <t>No</t>
        </is>
      </c>
      <c r="M2555" s="1" t="inlineStr">
        <is>
          <t>No</t>
        </is>
      </c>
      <c r="N2555" s="1" t="inlineStr">
        <is>
          <t>Algorithms</t>
        </is>
      </c>
      <c r="O25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56" ht="15.75" customHeight="1" s="12">
      <c r="A2556" s="1" t="n">
        <v>2587</v>
      </c>
      <c r="B2556" s="3">
        <f>HYPERLINK("https://leetcode.com/problems/rearrange-array-to-maximize-prefix-score/", "Rearrange Array to Maximize Prefix Score")</f>
        <v/>
      </c>
      <c r="C2556" s="1" t="n">
        <v>308</v>
      </c>
      <c r="D2556" s="1" t="n">
        <v>53</v>
      </c>
      <c r="E2556" s="4">
        <f>IF(INDEX(C:C, ROW())+INDEX(D:D, ROW())=0, 0, INDEX(C:C, ROW())/(INDEX(C:C, ROW())+INDEX(D:D, ROW())))</f>
        <v/>
      </c>
      <c r="F2556" s="1" t="inlineStr">
        <is>
          <t>Array, Greedy, Sorting, Prefix Sum</t>
        </is>
      </c>
      <c r="G2556" s="1" t="inlineStr">
        <is>
          <t>Medium</t>
        </is>
      </c>
      <c r="H2556" s="1" t="n">
        <v>38447</v>
      </c>
      <c r="I2556" s="1" t="n">
        <v>90829</v>
      </c>
      <c r="J2556" s="9" t="n">
        <v>0.423</v>
      </c>
      <c r="K2556" s="1" t="inlineStr">
        <is>
          <t>Yes</t>
        </is>
      </c>
      <c r="L2556" s="1" t="inlineStr">
        <is>
          <t>No</t>
        </is>
      </c>
      <c r="M2556" s="1" t="inlineStr">
        <is>
          <t>No</t>
        </is>
      </c>
      <c r="N2556" s="1" t="inlineStr">
        <is>
          <t>Algorithms</t>
        </is>
      </c>
      <c r="O25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57" ht="15.75" customHeight="1" s="12">
      <c r="A2557" s="1" t="n">
        <v>2784</v>
      </c>
      <c r="B2557" s="3">
        <f>HYPERLINK("https://leetcode.com/problems/check-if-array-is-good/", "Check if Array is Good")</f>
        <v/>
      </c>
      <c r="C2557" s="1" t="n">
        <v>308</v>
      </c>
      <c r="D2557" s="1" t="n">
        <v>54</v>
      </c>
      <c r="E2557" s="4">
        <f>IF(INDEX(C:C, ROW())+INDEX(D:D, ROW())=0, 0, INDEX(C:C, ROW())/(INDEX(C:C, ROW())+INDEX(D:D, ROW())))</f>
        <v/>
      </c>
      <c r="F2557" s="1" t="inlineStr">
        <is>
          <t>Array, Hash Table, Sorting</t>
        </is>
      </c>
      <c r="G2557" s="1" t="inlineStr">
        <is>
          <t>Easy</t>
        </is>
      </c>
      <c r="H2557" s="1" t="n">
        <v>63216</v>
      </c>
      <c r="I2557" s="1" t="n">
        <v>129865</v>
      </c>
      <c r="J2557" s="9" t="n">
        <v>0.487</v>
      </c>
      <c r="K2557" s="1" t="inlineStr">
        <is>
          <t>Yes</t>
        </is>
      </c>
      <c r="L2557" s="1" t="inlineStr">
        <is>
          <t>No</t>
        </is>
      </c>
      <c r="M2557" s="1" t="inlineStr">
        <is>
          <t>No</t>
        </is>
      </c>
      <c r="N2557" s="1" t="inlineStr">
        <is>
          <t>Algorithms</t>
        </is>
      </c>
      <c r="O25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58" ht="15.75" customHeight="1" s="12">
      <c r="A2558" s="1" t="n">
        <v>248</v>
      </c>
      <c r="B2558" s="3">
        <f>HYPERLINK("https://leetcode.com/problems/strobogrammatic-number-iii/", "Strobogrammatic Number III")</f>
        <v/>
      </c>
      <c r="C2558" s="1" t="n">
        <v>307</v>
      </c>
      <c r="D2558" s="1" t="n">
        <v>193</v>
      </c>
      <c r="E2558" s="4">
        <f>IF(INDEX(C:C, ROW())+INDEX(D:D, ROW())=0, 0, INDEX(C:C, ROW())/(INDEX(C:C, ROW())+INDEX(D:D, ROW())))</f>
        <v/>
      </c>
      <c r="F2558" s="1" t="inlineStr">
        <is>
          <t>Array, String, Recursion</t>
        </is>
      </c>
      <c r="G2558" s="1" t="inlineStr">
        <is>
          <t>Hard</t>
        </is>
      </c>
      <c r="H2558" s="1" t="n">
        <v>38217</v>
      </c>
      <c r="I2558" s="1" t="n">
        <v>89629</v>
      </c>
      <c r="J2558" s="9" t="n">
        <v>0.426</v>
      </c>
      <c r="K2558" s="1" t="inlineStr">
        <is>
          <t>No</t>
        </is>
      </c>
      <c r="L2558" s="1" t="inlineStr">
        <is>
          <t>No</t>
        </is>
      </c>
      <c r="M2558" s="1" t="inlineStr">
        <is>
          <t>No</t>
        </is>
      </c>
      <c r="N2558" s="1" t="inlineStr">
        <is>
          <t>Algorithms</t>
        </is>
      </c>
      <c r="O25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59" ht="15.75" customHeight="1" s="12">
      <c r="A2559" s="1" t="n">
        <v>3512</v>
      </c>
      <c r="B2559" s="3">
        <f>HYPERLINK("https://leetcode.com/problems/minimum-operations-to-make-array-sum-divisible-by-k/", "Minimum Operations to Make Array Sum Divisible by K")</f>
        <v/>
      </c>
      <c r="C2559" s="1" t="n">
        <v>307</v>
      </c>
      <c r="D2559" s="1" t="n">
        <v>33</v>
      </c>
      <c r="E2559" s="4">
        <f>IF(INDEX(C:C, ROW())+INDEX(D:D, ROW())=0, 0, INDEX(C:C, ROW())/(INDEX(C:C, ROW())+INDEX(D:D, ROW())))</f>
        <v/>
      </c>
      <c r="F2559" s="1" t="inlineStr">
        <is>
          <t>Array, Math</t>
        </is>
      </c>
      <c r="G2559" s="1" t="inlineStr">
        <is>
          <t>Easy</t>
        </is>
      </c>
      <c r="H2559" s="1" t="n">
        <v>166990</v>
      </c>
      <c r="I2559" s="1" t="n">
        <v>180510</v>
      </c>
      <c r="J2559" s="9" t="n">
        <v>0.925</v>
      </c>
      <c r="K2559" s="1" t="inlineStr">
        <is>
          <t>Yes</t>
        </is>
      </c>
      <c r="L2559" s="1" t="inlineStr">
        <is>
          <t>Yes</t>
        </is>
      </c>
      <c r="M2559" s="1" t="inlineStr">
        <is>
          <t>No</t>
        </is>
      </c>
      <c r="N2559" s="1" t="inlineStr">
        <is>
          <t>Algorithms</t>
        </is>
      </c>
      <c r="O25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60" ht="15.75" customHeight="1" s="12">
      <c r="A2560" s="1" t="n">
        <v>1236</v>
      </c>
      <c r="B2560" s="3">
        <f>HYPERLINK("https://leetcode.com/problems/web-crawler/", "Web Crawler")</f>
        <v/>
      </c>
      <c r="C2560" s="1" t="n">
        <v>306</v>
      </c>
      <c r="D2560" s="1" t="n">
        <v>334</v>
      </c>
      <c r="E2560" s="4">
        <f>IF(INDEX(C:C, ROW())+INDEX(D:D, ROW())=0, 0, INDEX(C:C, ROW())/(INDEX(C:C, ROW())+INDEX(D:D, ROW())))</f>
        <v/>
      </c>
      <c r="F2560" s="1" t="inlineStr">
        <is>
          <t>String, Depth-First Search, Breadth-First Search, Interactive</t>
        </is>
      </c>
      <c r="G2560" s="1" t="inlineStr">
        <is>
          <t>Medium</t>
        </is>
      </c>
      <c r="H2560" s="1" t="n">
        <v>51622</v>
      </c>
      <c r="I2560" s="1" t="n">
        <v>74953</v>
      </c>
      <c r="J2560" s="9" t="n">
        <v>0.6889999999999999</v>
      </c>
      <c r="K2560" s="1" t="inlineStr">
        <is>
          <t>No</t>
        </is>
      </c>
      <c r="L2560" s="1" t="inlineStr">
        <is>
          <t>Yes</t>
        </is>
      </c>
      <c r="M2560" s="1" t="inlineStr">
        <is>
          <t>No</t>
        </is>
      </c>
      <c r="N2560" s="1" t="inlineStr">
        <is>
          <t>Algorithms</t>
        </is>
      </c>
      <c r="O25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61" ht="15.75" customHeight="1" s="12">
      <c r="A2561" s="1" t="n">
        <v>2437</v>
      </c>
      <c r="B2561" s="3">
        <f>HYPERLINK("https://leetcode.com/problems/number-of-valid-clock-times/", "Number of Valid Clock Times")</f>
        <v/>
      </c>
      <c r="C2561" s="1" t="n">
        <v>306</v>
      </c>
      <c r="D2561" s="1" t="n">
        <v>246</v>
      </c>
      <c r="E2561" s="4">
        <f>IF(INDEX(C:C, ROW())+INDEX(D:D, ROW())=0, 0, INDEX(C:C, ROW())/(INDEX(C:C, ROW())+INDEX(D:D, ROW())))</f>
        <v/>
      </c>
      <c r="F2561" s="1" t="inlineStr">
        <is>
          <t>String, Enumeration</t>
        </is>
      </c>
      <c r="G2561" s="1" t="inlineStr">
        <is>
          <t>Easy</t>
        </is>
      </c>
      <c r="H2561" s="1" t="n">
        <v>37581</v>
      </c>
      <c r="I2561" s="1" t="n">
        <v>78611</v>
      </c>
      <c r="J2561" s="9" t="n">
        <v>0.478</v>
      </c>
      <c r="K2561" s="1" t="inlineStr">
        <is>
          <t>Yes</t>
        </is>
      </c>
      <c r="L2561" s="1" t="inlineStr">
        <is>
          <t>No</t>
        </is>
      </c>
      <c r="M2561" s="1" t="inlineStr">
        <is>
          <t>No</t>
        </is>
      </c>
      <c r="N2561" s="1" t="inlineStr">
        <is>
          <t>Algorithms</t>
        </is>
      </c>
      <c r="O25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62" ht="15.75" customHeight="1" s="12">
      <c r="A2562" s="1" t="n">
        <v>3480</v>
      </c>
      <c r="B2562" s="3">
        <f>HYPERLINK("https://leetcode.com/problems/maximize-subarrays-after-removing-one-conflicting-pair/", "Maximize Subarrays After Removing One Conflicting Pair")</f>
        <v/>
      </c>
      <c r="C2562" s="1" t="n">
        <v>305</v>
      </c>
      <c r="D2562" s="1" t="n">
        <v>57</v>
      </c>
      <c r="E2562" s="4">
        <f>IF(INDEX(C:C, ROW())+INDEX(D:D, ROW())=0, 0, INDEX(C:C, ROW())/(INDEX(C:C, ROW())+INDEX(D:D, ROW())))</f>
        <v/>
      </c>
      <c r="F2562" s="1" t="inlineStr">
        <is>
          <t>Array, Segment Tree, Enumeration, Prefix Sum</t>
        </is>
      </c>
      <c r="G2562" s="1" t="inlineStr">
        <is>
          <t>Hard</t>
        </is>
      </c>
      <c r="H2562" s="1" t="n">
        <v>57257</v>
      </c>
      <c r="I2562" s="1" t="n">
        <v>88525</v>
      </c>
      <c r="J2562" s="9" t="n">
        <v>0.647</v>
      </c>
      <c r="K2562" s="1" t="inlineStr">
        <is>
          <t>Yes</t>
        </is>
      </c>
      <c r="L2562" s="1" t="inlineStr">
        <is>
          <t>Yes</t>
        </is>
      </c>
      <c r="M2562" s="1" t="inlineStr">
        <is>
          <t>No</t>
        </is>
      </c>
      <c r="N2562" s="1" t="inlineStr">
        <is>
          <t>Algorithms</t>
        </is>
      </c>
      <c r="O25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63" ht="15.75" customHeight="1" s="12">
      <c r="A2563" s="1" t="n">
        <v>1583</v>
      </c>
      <c r="B2563" s="3">
        <f>HYPERLINK("https://leetcode.com/problems/count-unhappy-friends/", "Count Unhappy Friends")</f>
        <v/>
      </c>
      <c r="C2563" s="1" t="n">
        <v>304</v>
      </c>
      <c r="D2563" s="1" t="n">
        <v>886</v>
      </c>
      <c r="E2563" s="4">
        <f>IF(INDEX(C:C, ROW())+INDEX(D:D, ROW())=0, 0, INDEX(C:C, ROW())/(INDEX(C:C, ROW())+INDEX(D:D, ROW())))</f>
        <v/>
      </c>
      <c r="F2563" s="1" t="inlineStr">
        <is>
          <t>Array, Simulation</t>
        </is>
      </c>
      <c r="G2563" s="1" t="inlineStr">
        <is>
          <t>Medium</t>
        </is>
      </c>
      <c r="H2563" s="1" t="n">
        <v>33568</v>
      </c>
      <c r="I2563" s="1" t="n">
        <v>53787</v>
      </c>
      <c r="J2563" s="9" t="n">
        <v>0.624</v>
      </c>
      <c r="K2563" s="1" t="inlineStr">
        <is>
          <t>Yes</t>
        </is>
      </c>
      <c r="L2563" s="1" t="inlineStr">
        <is>
          <t>No</t>
        </is>
      </c>
      <c r="M2563" s="1" t="inlineStr">
        <is>
          <t>No</t>
        </is>
      </c>
      <c r="N2563" s="1" t="inlineStr">
        <is>
          <t>Algorithms</t>
        </is>
      </c>
      <c r="O25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64" ht="15.75" customHeight="1" s="12">
      <c r="A2564" s="1" t="n">
        <v>2456</v>
      </c>
      <c r="B2564" s="3">
        <f>HYPERLINK("https://leetcode.com/problems/most-popular-video-creator/", "Most Popular Video Creator")</f>
        <v/>
      </c>
      <c r="C2564" s="1" t="n">
        <v>304</v>
      </c>
      <c r="D2564" s="1" t="n">
        <v>384</v>
      </c>
      <c r="E2564" s="4">
        <f>IF(INDEX(C:C, ROW())+INDEX(D:D, ROW())=0, 0, INDEX(C:C, ROW())/(INDEX(C:C, ROW())+INDEX(D:D, ROW())))</f>
        <v/>
      </c>
      <c r="F2564" s="1" t="inlineStr">
        <is>
          <t>Array, Hash Table, String, Sorting, Heap (Priority Queue)</t>
        </is>
      </c>
      <c r="G2564" s="1" t="inlineStr">
        <is>
          <t>Medium</t>
        </is>
      </c>
      <c r="H2564" s="1" t="n">
        <v>27904</v>
      </c>
      <c r="I2564" s="1" t="n">
        <v>61754</v>
      </c>
      <c r="J2564" s="9" t="n">
        <v>0.452</v>
      </c>
      <c r="K2564" s="1" t="inlineStr">
        <is>
          <t>Yes</t>
        </is>
      </c>
      <c r="L2564" s="1" t="inlineStr">
        <is>
          <t>No</t>
        </is>
      </c>
      <c r="M2564" s="1" t="inlineStr">
        <is>
          <t>No</t>
        </is>
      </c>
      <c r="N2564" s="1" t="inlineStr">
        <is>
          <t>Algorithms</t>
        </is>
      </c>
      <c r="O25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65" ht="15.75" customHeight="1" s="12">
      <c r="A2565" s="1" t="n">
        <v>1173</v>
      </c>
      <c r="B2565" s="3">
        <f>HYPERLINK("https://leetcode.com/problems/immediate-food-delivery-i/", "Immediate Food Delivery I")</f>
        <v/>
      </c>
      <c r="C2565" s="1" t="n">
        <v>303</v>
      </c>
      <c r="D2565" s="1" t="n">
        <v>13</v>
      </c>
      <c r="E2565" s="4">
        <f>IF(INDEX(C:C, ROW())+INDEX(D:D, ROW())=0, 0, INDEX(C:C, ROW())/(INDEX(C:C, ROW())+INDEX(D:D, ROW())))</f>
        <v/>
      </c>
      <c r="F2565" s="1" t="inlineStr">
        <is>
          <t>Database</t>
        </is>
      </c>
      <c r="G2565" s="1" t="inlineStr">
        <is>
          <t>Easy</t>
        </is>
      </c>
      <c r="H2565" s="1" t="n">
        <v>90309</v>
      </c>
      <c r="I2565" s="1" t="n">
        <v>111878</v>
      </c>
      <c r="J2565" s="9" t="n">
        <v>0.8070000000000001</v>
      </c>
      <c r="K2565" s="1" t="inlineStr">
        <is>
          <t>No</t>
        </is>
      </c>
      <c r="L2565" s="1" t="inlineStr">
        <is>
          <t>Yes</t>
        </is>
      </c>
      <c r="M2565" s="1" t="inlineStr">
        <is>
          <t>No</t>
        </is>
      </c>
      <c r="N2565" s="1" t="inlineStr">
        <is>
          <t>Database</t>
        </is>
      </c>
      <c r="O25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66" ht="15.75" customHeight="1" s="12">
      <c r="A2566" s="1" t="n">
        <v>3123</v>
      </c>
      <c r="B2566" s="3">
        <f>HYPERLINK("https://leetcode.com/problems/find-edges-in-shortest-paths/", "Find Edges in Shortest Paths")</f>
        <v/>
      </c>
      <c r="C2566" s="1" t="n">
        <v>303</v>
      </c>
      <c r="D2566" s="1" t="n">
        <v>5</v>
      </c>
      <c r="E2566" s="4">
        <f>IF(INDEX(C:C, ROW())+INDEX(D:D, ROW())=0, 0, INDEX(C:C, ROW())/(INDEX(C:C, ROW())+INDEX(D:D, ROW())))</f>
        <v/>
      </c>
      <c r="F2566" s="1" t="inlineStr">
        <is>
          <t>Depth-First Search, Breadth-First Search, Graph Theory, Heap (Priority Queue), Shortest Path</t>
        </is>
      </c>
      <c r="G2566" s="1" t="inlineStr">
        <is>
          <t>Hard</t>
        </is>
      </c>
      <c r="H2566" s="1" t="n">
        <v>18458</v>
      </c>
      <c r="I2566" s="1" t="n">
        <v>39894</v>
      </c>
      <c r="J2566" s="9" t="n">
        <v>0.463</v>
      </c>
      <c r="K2566" s="1" t="inlineStr">
        <is>
          <t>Yes</t>
        </is>
      </c>
      <c r="L2566" s="1" t="inlineStr">
        <is>
          <t>No</t>
        </is>
      </c>
      <c r="M2566" s="1" t="inlineStr">
        <is>
          <t>No</t>
        </is>
      </c>
      <c r="N2566" s="1" t="inlineStr">
        <is>
          <t>Algorithms</t>
        </is>
      </c>
      <c r="O25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67" ht="15.75" customHeight="1" s="12">
      <c r="A2567" s="1" t="n">
        <v>156</v>
      </c>
      <c r="B2567" s="3">
        <f>HYPERLINK("https://leetcode.com/problems/binary-tree-upside-down/", "Binary Tree Upside Down")</f>
        <v/>
      </c>
      <c r="C2567" s="1" t="n">
        <v>301</v>
      </c>
      <c r="D2567" s="1" t="n">
        <v>388</v>
      </c>
      <c r="E2567" s="4">
        <f>IF(INDEX(C:C, ROW())+INDEX(D:D, ROW())=0, 0, INDEX(C:C, ROW())/(INDEX(C:C, ROW())+INDEX(D:D, ROW())))</f>
        <v/>
      </c>
      <c r="F2567" s="1" t="inlineStr">
        <is>
          <t>Tree, Depth-First Search, Binary Tree</t>
        </is>
      </c>
      <c r="G2567" s="1" t="inlineStr">
        <is>
          <t>Medium</t>
        </is>
      </c>
      <c r="H2567" s="1" t="n">
        <v>117619</v>
      </c>
      <c r="I2567" s="1" t="n">
        <v>180310</v>
      </c>
      <c r="J2567" s="9" t="n">
        <v>0.652</v>
      </c>
      <c r="K2567" s="1" t="inlineStr">
        <is>
          <t>No</t>
        </is>
      </c>
      <c r="L2567" s="1" t="inlineStr">
        <is>
          <t>No</t>
        </is>
      </c>
      <c r="M2567" s="1" t="inlineStr">
        <is>
          <t>No</t>
        </is>
      </c>
      <c r="N2567" s="1" t="inlineStr">
        <is>
          <t>Algorithms</t>
        </is>
      </c>
      <c r="O25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68" ht="15.75" customHeight="1" s="12">
      <c r="A2568" s="1" t="n">
        <v>2861</v>
      </c>
      <c r="B2568" s="3">
        <f>HYPERLINK("https://leetcode.com/problems/maximum-number-of-alloys/", "Maximum Number of Alloys")</f>
        <v/>
      </c>
      <c r="C2568" s="1" t="n">
        <v>300</v>
      </c>
      <c r="D2568" s="1" t="n">
        <v>56</v>
      </c>
      <c r="E2568" s="4">
        <f>IF(INDEX(C:C, ROW())+INDEX(D:D, ROW())=0, 0, INDEX(C:C, ROW())/(INDEX(C:C, ROW())+INDEX(D:D, ROW())))</f>
        <v/>
      </c>
      <c r="F2568" s="1" t="inlineStr">
        <is>
          <t>Array, Binary Search</t>
        </is>
      </c>
      <c r="G2568" s="1" t="inlineStr">
        <is>
          <t>Medium</t>
        </is>
      </c>
      <c r="H2568" s="1" t="n">
        <v>18820</v>
      </c>
      <c r="I2568" s="1" t="n">
        <v>46936</v>
      </c>
      <c r="J2568" s="9" t="n">
        <v>0.401</v>
      </c>
      <c r="K2568" s="1" t="inlineStr">
        <is>
          <t>Yes</t>
        </is>
      </c>
      <c r="L2568" s="1" t="inlineStr">
        <is>
          <t>No</t>
        </is>
      </c>
      <c r="M2568" s="1" t="inlineStr">
        <is>
          <t>No</t>
        </is>
      </c>
      <c r="N2568" s="1" t="inlineStr">
        <is>
          <t>Algorithms</t>
        </is>
      </c>
      <c r="O25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69" ht="15.75" customHeight="1" s="12">
      <c r="A2569" s="1" t="n">
        <v>3392</v>
      </c>
      <c r="B2569" s="3">
        <f>HYPERLINK("https://leetcode.com/problems/count-subarrays-of-length-three-with-a-condition/", "Count Subarrays of Length Three With a Condition")</f>
        <v/>
      </c>
      <c r="C2569" s="1" t="n">
        <v>300</v>
      </c>
      <c r="D2569" s="1" t="n">
        <v>31</v>
      </c>
      <c r="E2569" s="4">
        <f>IF(INDEX(C:C, ROW())+INDEX(D:D, ROW())=0, 0, INDEX(C:C, ROW())/(INDEX(C:C, ROW())+INDEX(D:D, ROW())))</f>
        <v/>
      </c>
      <c r="F2569" s="1" t="inlineStr">
        <is>
          <t>Array</t>
        </is>
      </c>
      <c r="G2569" s="1" t="inlineStr">
        <is>
          <t>Easy</t>
        </is>
      </c>
      <c r="H2569" s="1" t="n">
        <v>150088</v>
      </c>
      <c r="I2569" s="1" t="n">
        <v>244039</v>
      </c>
      <c r="J2569" s="9" t="n">
        <v>0.615</v>
      </c>
      <c r="K2569" s="1" t="inlineStr">
        <is>
          <t>Yes</t>
        </is>
      </c>
      <c r="L2569" s="1" t="inlineStr">
        <is>
          <t>Yes</t>
        </is>
      </c>
      <c r="M2569" s="1" t="inlineStr">
        <is>
          <t>No</t>
        </is>
      </c>
      <c r="N2569" s="1" t="inlineStr">
        <is>
          <t>Algorithms</t>
        </is>
      </c>
      <c r="O25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70" ht="15.75" customHeight="1" s="12">
      <c r="A2570" s="1" t="n">
        <v>2905</v>
      </c>
      <c r="B2570" s="3">
        <f>HYPERLINK("https://leetcode.com/problems/find-indices-with-index-and-value-difference-ii/", "Find Indices With Index and Value Difference II")</f>
        <v/>
      </c>
      <c r="C2570" s="1" t="n">
        <v>297</v>
      </c>
      <c r="D2570" s="1" t="n">
        <v>11</v>
      </c>
      <c r="E2570" s="4">
        <f>IF(INDEX(C:C, ROW())+INDEX(D:D, ROW())=0, 0, INDEX(C:C, ROW())/(INDEX(C:C, ROW())+INDEX(D:D, ROW())))</f>
        <v/>
      </c>
      <c r="F2570" s="1" t="inlineStr">
        <is>
          <t>Array, Two Pointers</t>
        </is>
      </c>
      <c r="G2570" s="1" t="inlineStr">
        <is>
          <t>Medium</t>
        </is>
      </c>
      <c r="H2570" s="1" t="n">
        <v>22437</v>
      </c>
      <c r="I2570" s="1" t="n">
        <v>69059</v>
      </c>
      <c r="J2570" s="9" t="n">
        <v>0.325</v>
      </c>
      <c r="K2570" s="1" t="inlineStr">
        <is>
          <t>Yes</t>
        </is>
      </c>
      <c r="L2570" s="1" t="inlineStr">
        <is>
          <t>No</t>
        </is>
      </c>
      <c r="M2570" s="1" t="inlineStr">
        <is>
          <t>No</t>
        </is>
      </c>
      <c r="N2570" s="1" t="inlineStr">
        <is>
          <t>Algorithms</t>
        </is>
      </c>
      <c r="O25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71" ht="15.75" customHeight="1" s="12">
      <c r="A2571" s="1" t="n">
        <v>2963</v>
      </c>
      <c r="B2571" s="3">
        <f>HYPERLINK("https://leetcode.com/problems/count-the-number-of-good-partitions/", "Count the Number of Good Partitions")</f>
        <v/>
      </c>
      <c r="C2571" s="1" t="n">
        <v>297</v>
      </c>
      <c r="D2571" s="1" t="n">
        <v>5</v>
      </c>
      <c r="E2571" s="4">
        <f>IF(INDEX(C:C, ROW())+INDEX(D:D, ROW())=0, 0, INDEX(C:C, ROW())/(INDEX(C:C, ROW())+INDEX(D:D, ROW())))</f>
        <v/>
      </c>
      <c r="F2571" s="1" t="inlineStr">
        <is>
          <t>Array, Hash Table, Math, Combinatorics</t>
        </is>
      </c>
      <c r="G2571" s="1" t="inlineStr">
        <is>
          <t>Hard</t>
        </is>
      </c>
      <c r="H2571" s="1" t="n">
        <v>14969</v>
      </c>
      <c r="I2571" s="1" t="n">
        <v>30769</v>
      </c>
      <c r="J2571" s="9" t="n">
        <v>0.486</v>
      </c>
      <c r="K2571" s="1" t="inlineStr">
        <is>
          <t>Yes</t>
        </is>
      </c>
      <c r="L2571" s="1" t="inlineStr">
        <is>
          <t>No</t>
        </is>
      </c>
      <c r="M2571" s="1" t="inlineStr">
        <is>
          <t>No</t>
        </is>
      </c>
      <c r="N2571" s="1" t="inlineStr">
        <is>
          <t>Algorithms</t>
        </is>
      </c>
      <c r="O25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72" ht="15.75" customHeight="1" s="12">
      <c r="A2572" s="1" t="n">
        <v>2636</v>
      </c>
      <c r="B2572" s="3">
        <f>HYPERLINK("https://leetcode.com/problems/promise-pool/", "Promise Pool")</f>
        <v/>
      </c>
      <c r="C2572" s="1" t="n">
        <v>296</v>
      </c>
      <c r="D2572" s="1" t="n">
        <v>27</v>
      </c>
      <c r="E2572" s="4">
        <f>IF(INDEX(C:C, ROW())+INDEX(D:D, ROW())=0, 0, INDEX(C:C, ROW())/(INDEX(C:C, ROW())+INDEX(D:D, ROW())))</f>
        <v/>
      </c>
      <c r="F2572" s="2" t="n"/>
      <c r="G2572" s="1" t="inlineStr">
        <is>
          <t>Medium</t>
        </is>
      </c>
      <c r="H2572" s="1" t="n">
        <v>14757</v>
      </c>
      <c r="I2572" s="1" t="n">
        <v>18578</v>
      </c>
      <c r="J2572" s="9" t="n">
        <v>0.794</v>
      </c>
      <c r="K2572" s="1" t="inlineStr">
        <is>
          <t>No</t>
        </is>
      </c>
      <c r="L2572" s="1" t="inlineStr">
        <is>
          <t>Yes</t>
        </is>
      </c>
      <c r="M2572" s="1" t="inlineStr">
        <is>
          <t>No</t>
        </is>
      </c>
      <c r="N2572" s="1" t="inlineStr">
        <is>
          <t>JavaScript</t>
        </is>
      </c>
      <c r="O25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73" ht="15.75" customHeight="1" s="12">
      <c r="A2573" s="1" t="n">
        <v>3347</v>
      </c>
      <c r="B2573" s="3">
        <f>HYPERLINK("https://leetcode.com/problems/maximum-frequency-of-an-element-after-performing-operations-ii/", "Maximum Frequency of an Element After Performing Operations II")</f>
        <v/>
      </c>
      <c r="C2573" s="1" t="n">
        <v>296</v>
      </c>
      <c r="D2573" s="1" t="n">
        <v>21</v>
      </c>
      <c r="E2573" s="4">
        <f>IF(INDEX(C:C, ROW())+INDEX(D:D, ROW())=0, 0, INDEX(C:C, ROW())/(INDEX(C:C, ROW())+INDEX(D:D, ROW())))</f>
        <v/>
      </c>
      <c r="F2573" s="1" t="inlineStr">
        <is>
          <t>Array, Binary Search, Sliding Window, Sorting, Prefix Sum</t>
        </is>
      </c>
      <c r="G2573" s="1" t="inlineStr">
        <is>
          <t>Hard</t>
        </is>
      </c>
      <c r="H2573" s="1" t="n">
        <v>66039</v>
      </c>
      <c r="I2573" s="1" t="n">
        <v>122512</v>
      </c>
      <c r="J2573" s="9" t="n">
        <v>0.539</v>
      </c>
      <c r="K2573" s="1" t="inlineStr">
        <is>
          <t>Yes</t>
        </is>
      </c>
      <c r="L2573" s="1" t="inlineStr">
        <is>
          <t>Yes</t>
        </is>
      </c>
      <c r="M2573" s="1" t="inlineStr">
        <is>
          <t>No</t>
        </is>
      </c>
      <c r="N2573" s="1" t="inlineStr">
        <is>
          <t>Algorithms</t>
        </is>
      </c>
      <c r="O25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74" ht="15.75" customHeight="1" s="12">
      <c r="A2574" s="1" t="n">
        <v>1467</v>
      </c>
      <c r="B2574" s="3">
        <f>HYPERLINK("https://leetcode.com/problems/probability-of-a-two-boxes-having-the-same-number-of-distinct-balls/", "Probability of a Two Boxes Having The Same Number of Distinct Balls")</f>
        <v/>
      </c>
      <c r="C2574" s="1" t="n">
        <v>295</v>
      </c>
      <c r="D2574" s="1" t="n">
        <v>178</v>
      </c>
      <c r="E2574" s="4">
        <f>IF(INDEX(C:C, ROW())+INDEX(D:D, ROW())=0, 0, INDEX(C:C, ROW())/(INDEX(C:C, ROW())+INDEX(D:D, ROW())))</f>
        <v/>
      </c>
      <c r="F2574" s="1" t="inlineStr">
        <is>
          <t>Array, Math, Dynamic Programming, Backtracking, Combinatorics, Probability and Statistics</t>
        </is>
      </c>
      <c r="G2574" s="1" t="inlineStr">
        <is>
          <t>Hard</t>
        </is>
      </c>
      <c r="H2574" s="1" t="n">
        <v>11209</v>
      </c>
      <c r="I2574" s="1" t="n">
        <v>18479</v>
      </c>
      <c r="J2574" s="9" t="n">
        <v>0.607</v>
      </c>
      <c r="K2574" s="1" t="inlineStr">
        <is>
          <t>Yes</t>
        </is>
      </c>
      <c r="L2574" s="1" t="inlineStr">
        <is>
          <t>No</t>
        </is>
      </c>
      <c r="M2574" s="1" t="inlineStr">
        <is>
          <t>No</t>
        </is>
      </c>
      <c r="N2574" s="1" t="inlineStr">
        <is>
          <t>Algorithms</t>
        </is>
      </c>
      <c r="O25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75" ht="15.75" customHeight="1" s="12">
      <c r="A2575" s="1" t="n">
        <v>1681</v>
      </c>
      <c r="B2575" s="3">
        <f>HYPERLINK("https://leetcode.com/problems/minimum-incompatibility/", "Minimum Incompatibility")</f>
        <v/>
      </c>
      <c r="C2575" s="1" t="n">
        <v>294</v>
      </c>
      <c r="D2575" s="1" t="n">
        <v>101</v>
      </c>
      <c r="E2575" s="4">
        <f>IF(INDEX(C:C, ROW())+INDEX(D:D, ROW())=0, 0, INDEX(C:C, ROW())/(INDEX(C:C, ROW())+INDEX(D:D, ROW())))</f>
        <v/>
      </c>
      <c r="F2575" s="1" t="inlineStr">
        <is>
          <t>Array, Dynamic Programming, Bit Manipulation, Bitmask DP</t>
        </is>
      </c>
      <c r="G2575" s="1" t="inlineStr">
        <is>
          <t>Hard</t>
        </is>
      </c>
      <c r="H2575" s="1" t="n">
        <v>10779</v>
      </c>
      <c r="I2575" s="1" t="n">
        <v>26369</v>
      </c>
      <c r="J2575" s="9" t="n">
        <v>0.409</v>
      </c>
      <c r="K2575" s="1" t="inlineStr">
        <is>
          <t>Yes</t>
        </is>
      </c>
      <c r="L2575" s="1" t="inlineStr">
        <is>
          <t>No</t>
        </is>
      </c>
      <c r="M2575" s="1" t="inlineStr">
        <is>
          <t>No</t>
        </is>
      </c>
      <c r="N2575" s="1" t="inlineStr">
        <is>
          <t>Algorithms</t>
        </is>
      </c>
      <c r="O25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76" ht="15.75" customHeight="1" s="12">
      <c r="A2576" s="1" t="n">
        <v>2355</v>
      </c>
      <c r="B2576" s="3">
        <f>HYPERLINK("https://leetcode.com/problems/maximum-number-of-books-you-can-take/", "Maximum Number of Books You Can Take")</f>
        <v/>
      </c>
      <c r="C2576" s="1" t="n">
        <v>294</v>
      </c>
      <c r="D2576" s="1" t="n">
        <v>41</v>
      </c>
      <c r="E2576" s="4">
        <f>IF(INDEX(C:C, ROW())+INDEX(D:D, ROW())=0, 0, INDEX(C:C, ROW())/(INDEX(C:C, ROW())+INDEX(D:D, ROW())))</f>
        <v/>
      </c>
      <c r="F2576" s="1" t="inlineStr">
        <is>
          <t>Array, Dynamic Programming, Stack, Monotonic Stack</t>
        </is>
      </c>
      <c r="G2576" s="1" t="inlineStr">
        <is>
          <t>Hard</t>
        </is>
      </c>
      <c r="H2576" s="1" t="n">
        <v>13316</v>
      </c>
      <c r="I2576" s="1" t="n">
        <v>33796</v>
      </c>
      <c r="J2576" s="9" t="n">
        <v>0.394</v>
      </c>
      <c r="K2576" s="1" t="inlineStr">
        <is>
          <t>No</t>
        </is>
      </c>
      <c r="L2576" s="1" t="inlineStr">
        <is>
          <t>Yes</t>
        </is>
      </c>
      <c r="M2576" s="1" t="inlineStr">
        <is>
          <t>No</t>
        </is>
      </c>
      <c r="N2576" s="1" t="inlineStr">
        <is>
          <t>Algorithms</t>
        </is>
      </c>
      <c r="O25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77" ht="15.75" customHeight="1" s="12">
      <c r="A2577" s="1" t="n">
        <v>2223</v>
      </c>
      <c r="B2577" s="3">
        <f>HYPERLINK("https://leetcode.com/problems/sum-of-scores-of-built-strings/", "Sum of Scores of Built Strings")</f>
        <v/>
      </c>
      <c r="C2577" s="1" t="n">
        <v>293</v>
      </c>
      <c r="D2577" s="1" t="n">
        <v>189</v>
      </c>
      <c r="E2577" s="4">
        <f>IF(INDEX(C:C, ROW())+INDEX(D:D, ROW())=0, 0, INDEX(C:C, ROW())/(INDEX(C:C, ROW())+INDEX(D:D, ROW())))</f>
        <v/>
      </c>
      <c r="F2577" s="1" t="inlineStr">
        <is>
          <t>String, Binary Search, Rolling Hash, Suffix Array, String Matching, Hash Function</t>
        </is>
      </c>
      <c r="G2577" s="1" t="inlineStr">
        <is>
          <t>Hard</t>
        </is>
      </c>
      <c r="H2577" s="1" t="n">
        <v>12936</v>
      </c>
      <c r="I2577" s="1" t="n">
        <v>28547</v>
      </c>
      <c r="J2577" s="9" t="n">
        <v>0.453</v>
      </c>
      <c r="K2577" s="1" t="inlineStr">
        <is>
          <t>Yes</t>
        </is>
      </c>
      <c r="L2577" s="1" t="inlineStr">
        <is>
          <t>No</t>
        </is>
      </c>
      <c r="M2577" s="1" t="inlineStr">
        <is>
          <t>No</t>
        </is>
      </c>
      <c r="N2577" s="1" t="inlineStr">
        <is>
          <t>Algorithms</t>
        </is>
      </c>
      <c r="O25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78" ht="15.75" customHeight="1" s="12">
      <c r="A2578" s="1" t="n">
        <v>2397</v>
      </c>
      <c r="B2578" s="3">
        <f>HYPERLINK("https://leetcode.com/problems/maximum-rows-covered-by-columns/", "Maximum Rows Covered by Columns")</f>
        <v/>
      </c>
      <c r="C2578" s="1" t="n">
        <v>293</v>
      </c>
      <c r="D2578" s="1" t="n">
        <v>436</v>
      </c>
      <c r="E2578" s="4">
        <f>IF(INDEX(C:C, ROW())+INDEX(D:D, ROW())=0, 0, INDEX(C:C, ROW())/(INDEX(C:C, ROW())+INDEX(D:D, ROW())))</f>
        <v/>
      </c>
      <c r="F2578" s="1" t="inlineStr">
        <is>
          <t>Array, Backtracking, Bit Manipulation, Matrix, Enumeration</t>
        </is>
      </c>
      <c r="G2578" s="1" t="inlineStr">
        <is>
          <t>Medium</t>
        </is>
      </c>
      <c r="H2578" s="1" t="n">
        <v>19458</v>
      </c>
      <c r="I2578" s="1" t="n">
        <v>33832</v>
      </c>
      <c r="J2578" s="9" t="n">
        <v>0.575</v>
      </c>
      <c r="K2578" s="1" t="inlineStr">
        <is>
          <t>Yes</t>
        </is>
      </c>
      <c r="L2578" s="1" t="inlineStr">
        <is>
          <t>No</t>
        </is>
      </c>
      <c r="M2578" s="1" t="inlineStr">
        <is>
          <t>No</t>
        </is>
      </c>
      <c r="N2578" s="1" t="inlineStr">
        <is>
          <t>Algorithms</t>
        </is>
      </c>
      <c r="O25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79" ht="15.75" customHeight="1" s="12">
      <c r="A2579" s="1" t="n">
        <v>2432</v>
      </c>
      <c r="B2579" s="3">
        <f>HYPERLINK("https://leetcode.com/problems/the-employee-that-worked-on-the-longest-task/", "The Employee That Worked on the Longest Task")</f>
        <v/>
      </c>
      <c r="C2579" s="1" t="n">
        <v>292</v>
      </c>
      <c r="D2579" s="1" t="n">
        <v>72</v>
      </c>
      <c r="E2579" s="4">
        <f>IF(INDEX(C:C, ROW())+INDEX(D:D, ROW())=0, 0, INDEX(C:C, ROW())/(INDEX(C:C, ROW())+INDEX(D:D, ROW())))</f>
        <v/>
      </c>
      <c r="F2579" s="1" t="inlineStr">
        <is>
          <t>Array</t>
        </is>
      </c>
      <c r="G2579" s="1" t="inlineStr">
        <is>
          <t>Easy</t>
        </is>
      </c>
      <c r="H2579" s="1" t="n">
        <v>42922</v>
      </c>
      <c r="I2579" s="1" t="n">
        <v>83669</v>
      </c>
      <c r="J2579" s="9" t="n">
        <v>0.513</v>
      </c>
      <c r="K2579" s="1" t="inlineStr">
        <is>
          <t>Yes</t>
        </is>
      </c>
      <c r="L2579" s="1" t="inlineStr">
        <is>
          <t>No</t>
        </is>
      </c>
      <c r="M2579" s="1" t="inlineStr">
        <is>
          <t>No</t>
        </is>
      </c>
      <c r="N2579" s="1" t="inlineStr">
        <is>
          <t>Algorithms</t>
        </is>
      </c>
      <c r="O25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80" ht="15.75" customHeight="1" s="12">
      <c r="A2580" s="1" t="n">
        <v>2618</v>
      </c>
      <c r="B2580" s="3">
        <f>HYPERLINK("https://leetcode.com/problems/check-if-object-instance-of-class/", "Check if Object Instance of Class")</f>
        <v/>
      </c>
      <c r="C2580" s="1" t="n">
        <v>292</v>
      </c>
      <c r="D2580" s="1" t="n">
        <v>111</v>
      </c>
      <c r="E2580" s="4">
        <f>IF(INDEX(C:C, ROW())+INDEX(D:D, ROW())=0, 0, INDEX(C:C, ROW())/(INDEX(C:C, ROW())+INDEX(D:D, ROW())))</f>
        <v/>
      </c>
      <c r="F2580" s="2" t="n"/>
      <c r="G2580" s="1" t="inlineStr">
        <is>
          <t>Medium</t>
        </is>
      </c>
      <c r="H2580" s="1" t="n">
        <v>36886</v>
      </c>
      <c r="I2580" s="1" t="n">
        <v>127675</v>
      </c>
      <c r="J2580" s="9" t="n">
        <v>0.289</v>
      </c>
      <c r="K2580" s="1" t="inlineStr">
        <is>
          <t>Yes</t>
        </is>
      </c>
      <c r="L2580" s="1" t="inlineStr">
        <is>
          <t>Yes</t>
        </is>
      </c>
      <c r="M2580" s="1" t="inlineStr">
        <is>
          <t>No</t>
        </is>
      </c>
      <c r="N2580" s="1" t="inlineStr">
        <is>
          <t>JavaScript</t>
        </is>
      </c>
      <c r="O25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81" ht="15.75" customHeight="1" s="12">
      <c r="A2581" s="1" t="n">
        <v>2660</v>
      </c>
      <c r="B2581" s="3">
        <f>HYPERLINK("https://leetcode.com/problems/determine-the-winner-of-a-bowling-game/", "Determine the Winner of a Bowling Game")</f>
        <v/>
      </c>
      <c r="C2581" s="1" t="n">
        <v>292</v>
      </c>
      <c r="D2581" s="1" t="n">
        <v>157</v>
      </c>
      <c r="E2581" s="4">
        <f>IF(INDEX(C:C, ROW())+INDEX(D:D, ROW())=0, 0, INDEX(C:C, ROW())/(INDEX(C:C, ROW())+INDEX(D:D, ROW())))</f>
        <v/>
      </c>
      <c r="F2581" s="1" t="inlineStr">
        <is>
          <t>Array, Simulation</t>
        </is>
      </c>
      <c r="G2581" s="1" t="inlineStr">
        <is>
          <t>Easy</t>
        </is>
      </c>
      <c r="H2581" s="1" t="n">
        <v>43684</v>
      </c>
      <c r="I2581" s="1" t="n">
        <v>118294</v>
      </c>
      <c r="J2581" s="9" t="n">
        <v>0.369</v>
      </c>
      <c r="K2581" s="1" t="inlineStr">
        <is>
          <t>Yes</t>
        </is>
      </c>
      <c r="L2581" s="1" t="inlineStr">
        <is>
          <t>No</t>
        </is>
      </c>
      <c r="M2581" s="1" t="inlineStr">
        <is>
          <t>No</t>
        </is>
      </c>
      <c r="N2581" s="1" t="inlineStr">
        <is>
          <t>Algorithms</t>
        </is>
      </c>
      <c r="O25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82" ht="15.75" customHeight="1" s="12">
      <c r="A2582" s="1" t="n">
        <v>2915</v>
      </c>
      <c r="B2582" s="3">
        <f>HYPERLINK("https://leetcode.com/problems/length-of-the-longest-subsequence-that-sums-to-target/", "Length of the Longest Subsequence That Sums to Target")</f>
        <v/>
      </c>
      <c r="C2582" s="1" t="n">
        <v>291</v>
      </c>
      <c r="D2582" s="1" t="n">
        <v>34</v>
      </c>
      <c r="E2582" s="4">
        <f>IF(INDEX(C:C, ROW())+INDEX(D:D, ROW())=0, 0, INDEX(C:C, ROW())/(INDEX(C:C, ROW())+INDEX(D:D, ROW())))</f>
        <v/>
      </c>
      <c r="F2582" s="1" t="inlineStr">
        <is>
          <t>Array, Dynamic Programming</t>
        </is>
      </c>
      <c r="G2582" s="1" t="inlineStr">
        <is>
          <t>Medium</t>
        </is>
      </c>
      <c r="H2582" s="1" t="n">
        <v>35759</v>
      </c>
      <c r="I2582" s="1" t="n">
        <v>91598</v>
      </c>
      <c r="J2582" s="9" t="n">
        <v>0.39</v>
      </c>
      <c r="K2582" s="1" t="inlineStr">
        <is>
          <t>Yes</t>
        </is>
      </c>
      <c r="L2582" s="1" t="inlineStr">
        <is>
          <t>No</t>
        </is>
      </c>
      <c r="M2582" s="1" t="inlineStr">
        <is>
          <t>No</t>
        </is>
      </c>
      <c r="N2582" s="1" t="inlineStr">
        <is>
          <t>Algorithms</t>
        </is>
      </c>
      <c r="O25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83" ht="15.75" customHeight="1" s="12">
      <c r="A2583" s="1" t="n">
        <v>2956</v>
      </c>
      <c r="B2583" s="3">
        <f>HYPERLINK("https://leetcode.com/problems/find-common-elements-between-two-arrays/", "Find Common Elements Between Two Arrays")</f>
        <v/>
      </c>
      <c r="C2583" s="1" t="n">
        <v>291</v>
      </c>
      <c r="D2583" s="1" t="n">
        <v>109</v>
      </c>
      <c r="E2583" s="4">
        <f>IF(INDEX(C:C, ROW())+INDEX(D:D, ROW())=0, 0, INDEX(C:C, ROW())/(INDEX(C:C, ROW())+INDEX(D:D, ROW())))</f>
        <v/>
      </c>
      <c r="F2583" s="1" t="inlineStr">
        <is>
          <t>Array, Hash Table</t>
        </is>
      </c>
      <c r="G2583" s="1" t="inlineStr">
        <is>
          <t>Easy</t>
        </is>
      </c>
      <c r="H2583" s="1" t="n">
        <v>99903</v>
      </c>
      <c r="I2583" s="1" t="n">
        <v>118442</v>
      </c>
      <c r="J2583" s="9" t="n">
        <v>0.843</v>
      </c>
      <c r="K2583" s="1" t="inlineStr">
        <is>
          <t>Yes</t>
        </is>
      </c>
      <c r="L2583" s="1" t="inlineStr">
        <is>
          <t>No</t>
        </is>
      </c>
      <c r="M2583" s="1" t="inlineStr">
        <is>
          <t>No</t>
        </is>
      </c>
      <c r="N2583" s="1" t="inlineStr">
        <is>
          <t>Algorithms</t>
        </is>
      </c>
      <c r="O25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84" ht="15.75" customHeight="1" s="12">
      <c r="A2584" s="1" t="n">
        <v>2968</v>
      </c>
      <c r="B2584" s="3">
        <f>HYPERLINK("https://leetcode.com/problems/apply-operations-to-maximize-frequency-score/", "Apply Operations to Maximize Frequency Score")</f>
        <v/>
      </c>
      <c r="C2584" s="1" t="n">
        <v>291</v>
      </c>
      <c r="D2584" s="1" t="n">
        <v>9</v>
      </c>
      <c r="E2584" s="4">
        <f>IF(INDEX(C:C, ROW())+INDEX(D:D, ROW())=0, 0, INDEX(C:C, ROW())/(INDEX(C:C, ROW())+INDEX(D:D, ROW())))</f>
        <v/>
      </c>
      <c r="F2584" s="1" t="inlineStr">
        <is>
          <t>Array, Binary Search, Sliding Window, Sorting, Prefix Sum</t>
        </is>
      </c>
      <c r="G2584" s="1" t="inlineStr">
        <is>
          <t>Hard</t>
        </is>
      </c>
      <c r="H2584" s="1" t="n">
        <v>9657</v>
      </c>
      <c r="I2584" s="1" t="n">
        <v>25249</v>
      </c>
      <c r="J2584" s="9" t="n">
        <v>0.382</v>
      </c>
      <c r="K2584" s="1" t="inlineStr">
        <is>
          <t>Yes</t>
        </is>
      </c>
      <c r="L2584" s="1" t="inlineStr">
        <is>
          <t>No</t>
        </is>
      </c>
      <c r="M2584" s="1" t="inlineStr">
        <is>
          <t>No</t>
        </is>
      </c>
      <c r="N2584" s="1" t="inlineStr">
        <is>
          <t>Algorithms</t>
        </is>
      </c>
      <c r="O25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85" ht="15.75" customHeight="1" s="12">
      <c r="A2585" s="1" t="n">
        <v>3229</v>
      </c>
      <c r="B2585" s="3">
        <f>HYPERLINK("https://leetcode.com/problems/minimum-operations-to-make-array-equal-to-target/", "Minimum Operations to Make Array Equal to Target")</f>
        <v/>
      </c>
      <c r="C2585" s="1" t="n">
        <v>290</v>
      </c>
      <c r="D2585" s="1" t="n">
        <v>12</v>
      </c>
      <c r="E2585" s="4">
        <f>IF(INDEX(C:C, ROW())+INDEX(D:D, ROW())=0, 0, INDEX(C:C, ROW())/(INDEX(C:C, ROW())+INDEX(D:D, ROW())))</f>
        <v/>
      </c>
      <c r="F2585" s="1" t="inlineStr">
        <is>
          <t>Array, Dynamic Programming, Stack, Greedy, Monotonic Stack</t>
        </is>
      </c>
      <c r="G2585" s="1" t="inlineStr">
        <is>
          <t>Hard</t>
        </is>
      </c>
      <c r="H2585" s="1" t="n">
        <v>23291</v>
      </c>
      <c r="I2585" s="1" t="n">
        <v>56517</v>
      </c>
      <c r="J2585" s="9" t="n">
        <v>0.412</v>
      </c>
      <c r="K2585" s="1" t="inlineStr">
        <is>
          <t>Yes</t>
        </is>
      </c>
      <c r="L2585" s="1" t="inlineStr">
        <is>
          <t>No</t>
        </is>
      </c>
      <c r="M2585" s="1" t="inlineStr">
        <is>
          <t>No</t>
        </is>
      </c>
      <c r="N2585" s="1" t="inlineStr">
        <is>
          <t>Algorithms</t>
        </is>
      </c>
      <c r="O25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86" ht="15.75" customHeight="1" s="12">
      <c r="A2586" s="1" t="n">
        <v>2806</v>
      </c>
      <c r="B2586" s="3">
        <f>HYPERLINK("https://leetcode.com/problems/account-balance-after-rounded-purchase/", "Account Balance After Rounded Purchase")</f>
        <v/>
      </c>
      <c r="C2586" s="1" t="n">
        <v>289</v>
      </c>
      <c r="D2586" s="1" t="n">
        <v>50</v>
      </c>
      <c r="E2586" s="4">
        <f>IF(INDEX(C:C, ROW())+INDEX(D:D, ROW())=0, 0, INDEX(C:C, ROW())/(INDEX(C:C, ROW())+INDEX(D:D, ROW())))</f>
        <v/>
      </c>
      <c r="F2586" s="1" t="inlineStr">
        <is>
          <t>Math</t>
        </is>
      </c>
      <c r="G2586" s="1" t="inlineStr">
        <is>
          <t>Easy</t>
        </is>
      </c>
      <c r="H2586" s="1" t="n">
        <v>60966</v>
      </c>
      <c r="I2586" s="1" t="n">
        <v>108503</v>
      </c>
      <c r="J2586" s="9" t="n">
        <v>0.5620000000000001</v>
      </c>
      <c r="K2586" s="1" t="inlineStr">
        <is>
          <t>Yes</t>
        </is>
      </c>
      <c r="L2586" s="1" t="inlineStr">
        <is>
          <t>No</t>
        </is>
      </c>
      <c r="M2586" s="1" t="inlineStr">
        <is>
          <t>No</t>
        </is>
      </c>
      <c r="N2586" s="1" t="inlineStr">
        <is>
          <t>Algorithms</t>
        </is>
      </c>
      <c r="O25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87" ht="15.75" customHeight="1" s="12">
      <c r="A2587" s="1" t="n">
        <v>2694</v>
      </c>
      <c r="B2587" s="3">
        <f>HYPERLINK("https://leetcode.com/problems/event-emitter/", "Event Emitter")</f>
        <v/>
      </c>
      <c r="C2587" s="1" t="n">
        <v>288</v>
      </c>
      <c r="D2587" s="1" t="n">
        <v>38</v>
      </c>
      <c r="E2587" s="4">
        <f>IF(INDEX(C:C, ROW())+INDEX(D:D, ROW())=0, 0, INDEX(C:C, ROW())/(INDEX(C:C, ROW())+INDEX(D:D, ROW())))</f>
        <v/>
      </c>
      <c r="F2587" s="2" t="n"/>
      <c r="G2587" s="1" t="inlineStr">
        <is>
          <t>Medium</t>
        </is>
      </c>
      <c r="H2587" s="1" t="n">
        <v>44079</v>
      </c>
      <c r="I2587" s="1" t="n">
        <v>58921</v>
      </c>
      <c r="J2587" s="9" t="n">
        <v>0.748</v>
      </c>
      <c r="K2587" s="1" t="inlineStr">
        <is>
          <t>Yes</t>
        </is>
      </c>
      <c r="L2587" s="1" t="inlineStr">
        <is>
          <t>Yes</t>
        </is>
      </c>
      <c r="M2587" s="1" t="inlineStr">
        <is>
          <t>No</t>
        </is>
      </c>
      <c r="N2587" s="1" t="inlineStr">
        <is>
          <t>JavaScript</t>
        </is>
      </c>
      <c r="O25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88" ht="15.75" customHeight="1" s="12">
      <c r="A2588" s="1" t="n">
        <v>1728</v>
      </c>
      <c r="B2588" s="3">
        <f>HYPERLINK("https://leetcode.com/problems/cat-and-mouse-ii/", "Cat and Mouse II")</f>
        <v/>
      </c>
      <c r="C2588" s="1" t="n">
        <v>286</v>
      </c>
      <c r="D2588" s="1" t="n">
        <v>48</v>
      </c>
      <c r="E2588" s="4">
        <f>IF(INDEX(C:C, ROW())+INDEX(D:D, ROW())=0, 0, INDEX(C:C, ROW())/(INDEX(C:C, ROW())+INDEX(D:D, ROW())))</f>
        <v/>
      </c>
      <c r="F2588" s="1" t="inlineStr">
        <is>
          <t>Array, Math, Dynamic Programming, Graph Theory, Topological Sort, Memoization, Matrix, Game Theory</t>
        </is>
      </c>
      <c r="G2588" s="1" t="inlineStr">
        <is>
          <t>Hard</t>
        </is>
      </c>
      <c r="H2588" s="1" t="n">
        <v>9158</v>
      </c>
      <c r="I2588" s="1" t="n">
        <v>22802</v>
      </c>
      <c r="J2588" s="9" t="n">
        <v>0.402</v>
      </c>
      <c r="K2588" s="1" t="inlineStr">
        <is>
          <t>Yes</t>
        </is>
      </c>
      <c r="L2588" s="1" t="inlineStr">
        <is>
          <t>No</t>
        </is>
      </c>
      <c r="M2588" s="1" t="inlineStr">
        <is>
          <t>No</t>
        </is>
      </c>
      <c r="N2588" s="1" t="inlineStr">
        <is>
          <t>Algorithms</t>
        </is>
      </c>
      <c r="O25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89" ht="15.75" customHeight="1" s="12">
      <c r="A2589" s="1" t="n">
        <v>2877</v>
      </c>
      <c r="B2589" s="3">
        <f>HYPERLINK("https://leetcode.com/problems/create-a-dataframe-from-list/", "Create a DataFrame from List")</f>
        <v/>
      </c>
      <c r="C2589" s="1" t="n">
        <v>286</v>
      </c>
      <c r="D2589" s="1" t="n">
        <v>12</v>
      </c>
      <c r="E2589" s="4">
        <f>IF(INDEX(C:C, ROW())+INDEX(D:D, ROW())=0, 0, INDEX(C:C, ROW())/(INDEX(C:C, ROW())+INDEX(D:D, ROW())))</f>
        <v/>
      </c>
      <c r="F2589" s="2" t="n"/>
      <c r="G2589" s="1" t="inlineStr">
        <is>
          <t>Easy</t>
        </is>
      </c>
      <c r="H2589" s="1" t="n">
        <v>241315</v>
      </c>
      <c r="I2589" s="1" t="n">
        <v>297457</v>
      </c>
      <c r="J2589" s="9" t="n">
        <v>0.8110000000000001</v>
      </c>
      <c r="K2589" s="1" t="inlineStr">
        <is>
          <t>Yes</t>
        </is>
      </c>
      <c r="L2589" s="1" t="inlineStr">
        <is>
          <t>Yes</t>
        </is>
      </c>
      <c r="M2589" s="1" t="inlineStr">
        <is>
          <t>No</t>
        </is>
      </c>
      <c r="N2589" s="1" t="inlineStr">
        <is>
          <t>pandas</t>
        </is>
      </c>
      <c r="O25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90" ht="15.75" customHeight="1" s="12">
      <c r="A2590" s="1" t="n">
        <v>2651</v>
      </c>
      <c r="B2590" s="3">
        <f>HYPERLINK("https://leetcode.com/problems/calculate-delayed-arrival-time/", "Calculate Delayed Arrival Time")</f>
        <v/>
      </c>
      <c r="C2590" s="1" t="n">
        <v>284</v>
      </c>
      <c r="D2590" s="1" t="n">
        <v>53</v>
      </c>
      <c r="E2590" s="4">
        <f>IF(INDEX(C:C, ROW())+INDEX(D:D, ROW())=0, 0, INDEX(C:C, ROW())/(INDEX(C:C, ROW())+INDEX(D:D, ROW())))</f>
        <v/>
      </c>
      <c r="F2590" s="1" t="inlineStr">
        <is>
          <t>Math</t>
        </is>
      </c>
      <c r="G2590" s="1" t="inlineStr">
        <is>
          <t>Easy</t>
        </is>
      </c>
      <c r="H2590" s="1" t="n">
        <v>86090</v>
      </c>
      <c r="I2590" s="1" t="n">
        <v>113754</v>
      </c>
      <c r="J2590" s="9" t="n">
        <v>0.757</v>
      </c>
      <c r="K2590" s="1" t="inlineStr">
        <is>
          <t>Yes</t>
        </is>
      </c>
      <c r="L2590" s="1" t="inlineStr">
        <is>
          <t>No</t>
        </is>
      </c>
      <c r="M2590" s="1" t="inlineStr">
        <is>
          <t>No</t>
        </is>
      </c>
      <c r="N2590" s="1" t="inlineStr">
        <is>
          <t>Algorithms</t>
        </is>
      </c>
      <c r="O25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91" ht="15.75" customHeight="1" s="12">
      <c r="A2591" s="1" t="n">
        <v>1077</v>
      </c>
      <c r="B2591" s="3">
        <f>HYPERLINK("https://leetcode.com/problems/project-employees-iii/", "Project Employees III")</f>
        <v/>
      </c>
      <c r="C2591" s="1" t="n">
        <v>283</v>
      </c>
      <c r="D2591" s="1" t="n">
        <v>9</v>
      </c>
      <c r="E2591" s="4">
        <f>IF(INDEX(C:C, ROW())+INDEX(D:D, ROW())=0, 0, INDEX(C:C, ROW())/(INDEX(C:C, ROW())+INDEX(D:D, ROW())))</f>
        <v/>
      </c>
      <c r="F2591" s="1" t="inlineStr">
        <is>
          <t>Database</t>
        </is>
      </c>
      <c r="G2591" s="1" t="inlineStr">
        <is>
          <t>Medium</t>
        </is>
      </c>
      <c r="H2591" s="1" t="n">
        <v>71197</v>
      </c>
      <c r="I2591" s="1" t="n">
        <v>92301</v>
      </c>
      <c r="J2591" s="9" t="n">
        <v>0.771</v>
      </c>
      <c r="K2591" s="1" t="inlineStr">
        <is>
          <t>No</t>
        </is>
      </c>
      <c r="L2591" s="1" t="inlineStr">
        <is>
          <t>Yes</t>
        </is>
      </c>
      <c r="M2591" s="1" t="inlineStr">
        <is>
          <t>No</t>
        </is>
      </c>
      <c r="N2591" s="1" t="inlineStr">
        <is>
          <t>Database</t>
        </is>
      </c>
      <c r="O25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92" ht="15.75" customHeight="1" s="12">
      <c r="A2592" s="1" t="n">
        <v>1126</v>
      </c>
      <c r="B2592" s="3">
        <f>HYPERLINK("https://leetcode.com/problems/active-businesses/", "Active Businesses")</f>
        <v/>
      </c>
      <c r="C2592" s="1" t="n">
        <v>283</v>
      </c>
      <c r="D2592" s="1" t="n">
        <v>34</v>
      </c>
      <c r="E2592" s="4">
        <f>IF(INDEX(C:C, ROW())+INDEX(D:D, ROW())=0, 0, INDEX(C:C, ROW())/(INDEX(C:C, ROW())+INDEX(D:D, ROW())))</f>
        <v/>
      </c>
      <c r="F2592" s="1" t="inlineStr">
        <is>
          <t>Database</t>
        </is>
      </c>
      <c r="G2592" s="1" t="inlineStr">
        <is>
          <t>Medium</t>
        </is>
      </c>
      <c r="H2592" s="1" t="n">
        <v>52079</v>
      </c>
      <c r="I2592" s="1" t="n">
        <v>78946</v>
      </c>
      <c r="J2592" s="9" t="n">
        <v>0.66</v>
      </c>
      <c r="K2592" s="1" t="inlineStr">
        <is>
          <t>No</t>
        </is>
      </c>
      <c r="L2592" s="1" t="inlineStr">
        <is>
          <t>Yes</t>
        </is>
      </c>
      <c r="M2592" s="1" t="inlineStr">
        <is>
          <t>No</t>
        </is>
      </c>
      <c r="N2592" s="1" t="inlineStr">
        <is>
          <t>Database</t>
        </is>
      </c>
      <c r="O25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93" ht="15.75" customHeight="1" s="12">
      <c r="A2593" s="1" t="n">
        <v>1210</v>
      </c>
      <c r="B2593" s="3">
        <f>HYPERLINK("https://leetcode.com/problems/minimum-moves-to-reach-target-with-rotations/", "Minimum Moves to Reach Target with Rotations")</f>
        <v/>
      </c>
      <c r="C2593" s="1" t="n">
        <v>283</v>
      </c>
      <c r="D2593" s="1" t="n">
        <v>75</v>
      </c>
      <c r="E2593" s="4">
        <f>IF(INDEX(C:C, ROW())+INDEX(D:D, ROW())=0, 0, INDEX(C:C, ROW())/(INDEX(C:C, ROW())+INDEX(D:D, ROW())))</f>
        <v/>
      </c>
      <c r="F2593" s="1" t="inlineStr">
        <is>
          <t>Array, Breadth-First Search, Matrix</t>
        </is>
      </c>
      <c r="G2593" s="1" t="inlineStr">
        <is>
          <t>Hard</t>
        </is>
      </c>
      <c r="H2593" s="1" t="n">
        <v>12230</v>
      </c>
      <c r="I2593" s="1" t="n">
        <v>23691</v>
      </c>
      <c r="J2593" s="9" t="n">
        <v>0.516</v>
      </c>
      <c r="K2593" s="1" t="inlineStr">
        <is>
          <t>Yes</t>
        </is>
      </c>
      <c r="L2593" s="1" t="inlineStr">
        <is>
          <t>No</t>
        </is>
      </c>
      <c r="M2593" s="1" t="inlineStr">
        <is>
          <t>No</t>
        </is>
      </c>
      <c r="N2593" s="1" t="inlineStr">
        <is>
          <t>Algorithms</t>
        </is>
      </c>
      <c r="O25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94" ht="15.75" customHeight="1" s="12">
      <c r="A2594" s="1" t="n">
        <v>1785</v>
      </c>
      <c r="B2594" s="3">
        <f>HYPERLINK("https://leetcode.com/problems/minimum-elements-to-add-to-form-a-given-sum/", "Minimum Elements to Add to Form a Given Sum")</f>
        <v/>
      </c>
      <c r="C2594" s="1" t="n">
        <v>283</v>
      </c>
      <c r="D2594" s="1" t="n">
        <v>196</v>
      </c>
      <c r="E2594" s="4">
        <f>IF(INDEX(C:C, ROW())+INDEX(D:D, ROW())=0, 0, INDEX(C:C, ROW())/(INDEX(C:C, ROW())+INDEX(D:D, ROW())))</f>
        <v/>
      </c>
      <c r="F2594" s="1" t="inlineStr">
        <is>
          <t>Array, Greedy</t>
        </is>
      </c>
      <c r="G2594" s="1" t="inlineStr">
        <is>
          <t>Medium</t>
        </is>
      </c>
      <c r="H2594" s="1" t="n">
        <v>26657</v>
      </c>
      <c r="I2594" s="1" t="n">
        <v>59433</v>
      </c>
      <c r="J2594" s="9" t="n">
        <v>0.449</v>
      </c>
      <c r="K2594" s="1" t="inlineStr">
        <is>
          <t>Yes</t>
        </is>
      </c>
      <c r="L2594" s="1" t="inlineStr">
        <is>
          <t>No</t>
        </is>
      </c>
      <c r="M2594" s="1" t="inlineStr">
        <is>
          <t>No</t>
        </is>
      </c>
      <c r="N2594" s="1" t="inlineStr">
        <is>
          <t>Algorithms</t>
        </is>
      </c>
      <c r="O25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95" ht="15.75" customHeight="1" s="12">
      <c r="A2595" s="1" t="n">
        <v>2303</v>
      </c>
      <c r="B2595" s="3">
        <f>HYPERLINK("https://leetcode.com/problems/calculate-amount-paid-in-taxes/", "Calculate Amount Paid in Taxes")</f>
        <v/>
      </c>
      <c r="C2595" s="1" t="n">
        <v>283</v>
      </c>
      <c r="D2595" s="1" t="n">
        <v>296</v>
      </c>
      <c r="E2595" s="4">
        <f>IF(INDEX(C:C, ROW())+INDEX(D:D, ROW())=0, 0, INDEX(C:C, ROW())/(INDEX(C:C, ROW())+INDEX(D:D, ROW())))</f>
        <v/>
      </c>
      <c r="F2595" s="1" t="inlineStr">
        <is>
          <t>Array, Simulation</t>
        </is>
      </c>
      <c r="G2595" s="1" t="inlineStr">
        <is>
          <t>Easy</t>
        </is>
      </c>
      <c r="H2595" s="1" t="n">
        <v>54493</v>
      </c>
      <c r="I2595" s="1" t="n">
        <v>79219</v>
      </c>
      <c r="J2595" s="9" t="n">
        <v>0.6879999999999999</v>
      </c>
      <c r="K2595" s="1" t="inlineStr">
        <is>
          <t>Yes</t>
        </is>
      </c>
      <c r="L2595" s="1" t="inlineStr">
        <is>
          <t>No</t>
        </is>
      </c>
      <c r="M2595" s="1" t="inlineStr">
        <is>
          <t>No</t>
        </is>
      </c>
      <c r="N2595" s="1" t="inlineStr">
        <is>
          <t>Algorithms</t>
        </is>
      </c>
      <c r="O25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96" ht="15.75" customHeight="1" s="12">
      <c r="A2596" s="1" t="n">
        <v>758</v>
      </c>
      <c r="B2596" s="3">
        <f>HYPERLINK("https://leetcode.com/problems/bold-words-in-string/", "Bold Words in String")</f>
        <v/>
      </c>
      <c r="C2596" s="1" t="n">
        <v>282</v>
      </c>
      <c r="D2596" s="1" t="n">
        <v>124</v>
      </c>
      <c r="E2596" s="4">
        <f>IF(INDEX(C:C, ROW())+INDEX(D:D, ROW())=0, 0, INDEX(C:C, ROW())/(INDEX(C:C, ROW())+INDEX(D:D, ROW())))</f>
        <v/>
      </c>
      <c r="F2596" s="1" t="inlineStr">
        <is>
          <t>Array, Hash Table, String, Trie, String Matching</t>
        </is>
      </c>
      <c r="G2596" s="1" t="inlineStr">
        <is>
          <t>Medium</t>
        </is>
      </c>
      <c r="H2596" s="1" t="n">
        <v>20659</v>
      </c>
      <c r="I2596" s="1" t="n">
        <v>39386</v>
      </c>
      <c r="J2596" s="9" t="n">
        <v>0.525</v>
      </c>
      <c r="K2596" s="1" t="inlineStr">
        <is>
          <t>No</t>
        </is>
      </c>
      <c r="L2596" s="1" t="inlineStr">
        <is>
          <t>Yes</t>
        </is>
      </c>
      <c r="M2596" s="1" t="inlineStr">
        <is>
          <t>No</t>
        </is>
      </c>
      <c r="N2596" s="1" t="inlineStr">
        <is>
          <t>Algorithms</t>
        </is>
      </c>
      <c r="O25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97" ht="15.75" customHeight="1" s="12">
      <c r="A2597" s="1" t="n">
        <v>2409</v>
      </c>
      <c r="B2597" s="3">
        <f>HYPERLINK("https://leetcode.com/problems/count-days-spent-together/", "Count Days Spent Together")</f>
        <v/>
      </c>
      <c r="C2597" s="1" t="n">
        <v>282</v>
      </c>
      <c r="D2597" s="1" t="n">
        <v>592</v>
      </c>
      <c r="E2597" s="4">
        <f>IF(INDEX(C:C, ROW())+INDEX(D:D, ROW())=0, 0, INDEX(C:C, ROW())/(INDEX(C:C, ROW())+INDEX(D:D, ROW())))</f>
        <v/>
      </c>
      <c r="F2597" s="1" t="inlineStr">
        <is>
          <t>Math, String</t>
        </is>
      </c>
      <c r="G2597" s="1" t="inlineStr">
        <is>
          <t>Easy</t>
        </is>
      </c>
      <c r="H2597" s="1" t="n">
        <v>29916</v>
      </c>
      <c r="I2597" s="1" t="n">
        <v>62976</v>
      </c>
      <c r="J2597" s="9" t="n">
        <v>0.475</v>
      </c>
      <c r="K2597" s="1" t="inlineStr">
        <is>
          <t>Yes</t>
        </is>
      </c>
      <c r="L2597" s="1" t="inlineStr">
        <is>
          <t>No</t>
        </is>
      </c>
      <c r="M2597" s="1" t="inlineStr">
        <is>
          <t>No</t>
        </is>
      </c>
      <c r="N2597" s="1" t="inlineStr">
        <is>
          <t>Algorithms</t>
        </is>
      </c>
      <c r="O25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98" ht="15.75" customHeight="1" s="12">
      <c r="A2598" s="1" t="n">
        <v>2857</v>
      </c>
      <c r="B2598" s="3">
        <f>HYPERLINK("https://leetcode.com/problems/count-pairs-of-points-with-distance-k/", "Count Pairs of Points With Distance k")</f>
        <v/>
      </c>
      <c r="C2598" s="1" t="n">
        <v>282</v>
      </c>
      <c r="D2598" s="1" t="n">
        <v>45</v>
      </c>
      <c r="E2598" s="4">
        <f>IF(INDEX(C:C, ROW())+INDEX(D:D, ROW())=0, 0, INDEX(C:C, ROW())/(INDEX(C:C, ROW())+INDEX(D:D, ROW())))</f>
        <v/>
      </c>
      <c r="F2598" s="1" t="inlineStr">
        <is>
          <t>Array, Hash Table, Bit Manipulation</t>
        </is>
      </c>
      <c r="G2598" s="1" t="inlineStr">
        <is>
          <t>Medium</t>
        </is>
      </c>
      <c r="H2598" s="1" t="n">
        <v>13224</v>
      </c>
      <c r="I2598" s="1" t="n">
        <v>40485</v>
      </c>
      <c r="J2598" s="9" t="n">
        <v>0.327</v>
      </c>
      <c r="K2598" s="1" t="inlineStr">
        <is>
          <t>Yes</t>
        </is>
      </c>
      <c r="L2598" s="1" t="inlineStr">
        <is>
          <t>No</t>
        </is>
      </c>
      <c r="M2598" s="1" t="inlineStr">
        <is>
          <t>No</t>
        </is>
      </c>
      <c r="N2598" s="1" t="inlineStr">
        <is>
          <t>Algorithms</t>
        </is>
      </c>
      <c r="O25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599" ht="15.75" customHeight="1" s="12">
      <c r="A2599" s="1" t="n">
        <v>2867</v>
      </c>
      <c r="B2599" s="3">
        <f>HYPERLINK("https://leetcode.com/problems/count-valid-paths-in-a-tree/", "Count Valid Paths in a Tree")</f>
        <v/>
      </c>
      <c r="C2599" s="1" t="n">
        <v>282</v>
      </c>
      <c r="D2599" s="1" t="n">
        <v>9</v>
      </c>
      <c r="E2599" s="4">
        <f>IF(INDEX(C:C, ROW())+INDEX(D:D, ROW())=0, 0, INDEX(C:C, ROW())/(INDEX(C:C, ROW())+INDEX(D:D, ROW())))</f>
        <v/>
      </c>
      <c r="F2599" s="1" t="inlineStr">
        <is>
          <t>Math, Dynamic Programming, Tree, Depth-First Search, Number Theory</t>
        </is>
      </c>
      <c r="G2599" s="1" t="inlineStr">
        <is>
          <t>Hard</t>
        </is>
      </c>
      <c r="H2599" s="1" t="n">
        <v>9415</v>
      </c>
      <c r="I2599" s="1" t="n">
        <v>26315</v>
      </c>
      <c r="J2599" s="9" t="n">
        <v>0.358</v>
      </c>
      <c r="K2599" s="1" t="inlineStr">
        <is>
          <t>Yes</t>
        </is>
      </c>
      <c r="L2599" s="1" t="inlineStr">
        <is>
          <t>No</t>
        </is>
      </c>
      <c r="M2599" s="1" t="inlineStr">
        <is>
          <t>No</t>
        </is>
      </c>
      <c r="N2599" s="1" t="inlineStr">
        <is>
          <t>Algorithms</t>
        </is>
      </c>
      <c r="O25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00" ht="15.75" customHeight="1" s="12">
      <c r="A2600" s="1" t="n">
        <v>2998</v>
      </c>
      <c r="B2600" s="3">
        <f>HYPERLINK("https://leetcode.com/problems/minimum-number-of-operations-to-make-x-and-y-equal/", "Minimum Number of Operations to Make X and Y Equal")</f>
        <v/>
      </c>
      <c r="C2600" s="1" t="n">
        <v>282</v>
      </c>
      <c r="D2600" s="1" t="n">
        <v>23</v>
      </c>
      <c r="E2600" s="4">
        <f>IF(INDEX(C:C, ROW())+INDEX(D:D, ROW())=0, 0, INDEX(C:C, ROW())/(INDEX(C:C, ROW())+INDEX(D:D, ROW())))</f>
        <v/>
      </c>
      <c r="F2600" s="1" t="inlineStr">
        <is>
          <t>Dynamic Programming, Breadth-First Search, Memoization</t>
        </is>
      </c>
      <c r="G2600" s="1" t="inlineStr">
        <is>
          <t>Medium</t>
        </is>
      </c>
      <c r="H2600" s="1" t="n">
        <v>27487</v>
      </c>
      <c r="I2600" s="1" t="n">
        <v>56849</v>
      </c>
      <c r="J2600" s="9" t="n">
        <v>0.484</v>
      </c>
      <c r="K2600" s="1" t="inlineStr">
        <is>
          <t>Yes</t>
        </is>
      </c>
      <c r="L2600" s="1" t="inlineStr">
        <is>
          <t>No</t>
        </is>
      </c>
      <c r="M2600" s="1" t="inlineStr">
        <is>
          <t>No</t>
        </is>
      </c>
      <c r="N2600" s="1" t="inlineStr">
        <is>
          <t>Algorithms</t>
        </is>
      </c>
      <c r="O26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01" ht="15.75" customHeight="1" s="12">
      <c r="A2601" s="1" t="n">
        <v>3148</v>
      </c>
      <c r="B2601" s="3">
        <f>HYPERLINK("https://leetcode.com/problems/maximum-difference-score-in-a-grid/", "Maximum Difference Score in a Grid")</f>
        <v/>
      </c>
      <c r="C2601" s="1" t="n">
        <v>282</v>
      </c>
      <c r="D2601" s="1" t="n">
        <v>23</v>
      </c>
      <c r="E2601" s="4">
        <f>IF(INDEX(C:C, ROW())+INDEX(D:D, ROW())=0, 0, INDEX(C:C, ROW())/(INDEX(C:C, ROW())+INDEX(D:D, ROW())))</f>
        <v/>
      </c>
      <c r="F2601" s="1" t="inlineStr">
        <is>
          <t>Array, Dynamic Programming, Matrix</t>
        </is>
      </c>
      <c r="G2601" s="1" t="inlineStr">
        <is>
          <t>Medium</t>
        </is>
      </c>
      <c r="H2601" s="1" t="n">
        <v>22714</v>
      </c>
      <c r="I2601" s="1" t="n">
        <v>47765</v>
      </c>
      <c r="J2601" s="9" t="n">
        <v>0.476</v>
      </c>
      <c r="K2601" s="1" t="inlineStr">
        <is>
          <t>Yes</t>
        </is>
      </c>
      <c r="L2601" s="1" t="inlineStr">
        <is>
          <t>No</t>
        </is>
      </c>
      <c r="M2601" s="1" t="inlineStr">
        <is>
          <t>No</t>
        </is>
      </c>
      <c r="N2601" s="1" t="inlineStr">
        <is>
          <t>Algorithms</t>
        </is>
      </c>
      <c r="O26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02" ht="15.75" customHeight="1" s="12">
      <c r="A2602" s="1" t="n">
        <v>1083</v>
      </c>
      <c r="B2602" s="3">
        <f>HYPERLINK("https://leetcode.com/problems/sales-analysis-ii/", "Sales Analysis II")</f>
        <v/>
      </c>
      <c r="C2602" s="1" t="n">
        <v>281</v>
      </c>
      <c r="D2602" s="1" t="n">
        <v>48</v>
      </c>
      <c r="E2602" s="4">
        <f>IF(INDEX(C:C, ROW())+INDEX(D:D, ROW())=0, 0, INDEX(C:C, ROW())/(INDEX(C:C, ROW())+INDEX(D:D, ROW())))</f>
        <v/>
      </c>
      <c r="F2602" s="1" t="inlineStr">
        <is>
          <t>Database</t>
        </is>
      </c>
      <c r="G2602" s="1" t="inlineStr">
        <is>
          <t>Easy</t>
        </is>
      </c>
      <c r="H2602" s="1" t="n">
        <v>66144</v>
      </c>
      <c r="I2602" s="1" t="n">
        <v>132166</v>
      </c>
      <c r="J2602" s="9" t="n">
        <v>0.5</v>
      </c>
      <c r="K2602" s="1" t="inlineStr">
        <is>
          <t>No</t>
        </is>
      </c>
      <c r="L2602" s="1" t="inlineStr">
        <is>
          <t>Yes</t>
        </is>
      </c>
      <c r="M2602" s="1" t="inlineStr">
        <is>
          <t>No</t>
        </is>
      </c>
      <c r="N2602" s="1" t="inlineStr">
        <is>
          <t>Database</t>
        </is>
      </c>
      <c r="O26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03" ht="15.75" customHeight="1" s="12">
      <c r="A2603" s="1" t="n">
        <v>1969</v>
      </c>
      <c r="B2603" s="3">
        <f>HYPERLINK("https://leetcode.com/problems/minimum-non-zero-product-of-the-array-elements/", "Minimum Non-Zero Product of the Array Elements")</f>
        <v/>
      </c>
      <c r="C2603" s="1" t="n">
        <v>281</v>
      </c>
      <c r="D2603" s="1" t="n">
        <v>397</v>
      </c>
      <c r="E2603" s="4">
        <f>IF(INDEX(C:C, ROW())+INDEX(D:D, ROW())=0, 0, INDEX(C:C, ROW())/(INDEX(C:C, ROW())+INDEX(D:D, ROW())))</f>
        <v/>
      </c>
      <c r="F2603" s="1" t="inlineStr">
        <is>
          <t>Math, Greedy, Recursion</t>
        </is>
      </c>
      <c r="G2603" s="1" t="inlineStr">
        <is>
          <t>Medium</t>
        </is>
      </c>
      <c r="H2603" s="1" t="n">
        <v>15394</v>
      </c>
      <c r="I2603" s="1" t="n">
        <v>41443</v>
      </c>
      <c r="J2603" s="9" t="n">
        <v>0.371</v>
      </c>
      <c r="K2603" s="1" t="inlineStr">
        <is>
          <t>Yes</t>
        </is>
      </c>
      <c r="L2603" s="1" t="inlineStr">
        <is>
          <t>No</t>
        </is>
      </c>
      <c r="M2603" s="1" t="inlineStr">
        <is>
          <t>No</t>
        </is>
      </c>
      <c r="N2603" s="1" t="inlineStr">
        <is>
          <t>Algorithms</t>
        </is>
      </c>
      <c r="O26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04" ht="15.75" customHeight="1" s="12">
      <c r="A2604" s="1" t="n">
        <v>2019</v>
      </c>
      <c r="B2604" s="3">
        <f>HYPERLINK("https://leetcode.com/problems/the-score-of-students-solving-math-expression/", "The Score of Students Solving Math Expression")</f>
        <v/>
      </c>
      <c r="C2604" s="1" t="n">
        <v>281</v>
      </c>
      <c r="D2604" s="1" t="n">
        <v>85</v>
      </c>
      <c r="E2604" s="4">
        <f>IF(INDEX(C:C, ROW())+INDEX(D:D, ROW())=0, 0, INDEX(C:C, ROW())/(INDEX(C:C, ROW())+INDEX(D:D, ROW())))</f>
        <v/>
      </c>
      <c r="F2604" s="1" t="inlineStr">
        <is>
          <t>Array, Hash Table, Math, String, Dynamic Programming, Stack, Memoization</t>
        </is>
      </c>
      <c r="G2604" s="1" t="inlineStr">
        <is>
          <t>Hard</t>
        </is>
      </c>
      <c r="H2604" s="1" t="n">
        <v>9034</v>
      </c>
      <c r="I2604" s="1" t="n">
        <v>26734</v>
      </c>
      <c r="J2604" s="9" t="n">
        <v>0.338</v>
      </c>
      <c r="K2604" s="1" t="inlineStr">
        <is>
          <t>Yes</t>
        </is>
      </c>
      <c r="L2604" s="1" t="inlineStr">
        <is>
          <t>No</t>
        </is>
      </c>
      <c r="M2604" s="1" t="inlineStr">
        <is>
          <t>No</t>
        </is>
      </c>
      <c r="N2604" s="1" t="inlineStr">
        <is>
          <t>Algorithms</t>
        </is>
      </c>
      <c r="O26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05" ht="15.75" customHeight="1" s="12">
      <c r="A2605" s="1" t="n">
        <v>2895</v>
      </c>
      <c r="B2605" s="3">
        <f>HYPERLINK("https://leetcode.com/problems/minimum-processing-time/", "Minimum Processing Time")</f>
        <v/>
      </c>
      <c r="C2605" s="1" t="n">
        <v>281</v>
      </c>
      <c r="D2605" s="1" t="n">
        <v>49</v>
      </c>
      <c r="E2605" s="4">
        <f>IF(INDEX(C:C, ROW())+INDEX(D:D, ROW())=0, 0, INDEX(C:C, ROW())/(INDEX(C:C, ROW())+INDEX(D:D, ROW())))</f>
        <v/>
      </c>
      <c r="F2605" s="1" t="inlineStr">
        <is>
          <t>Array, Greedy, Sorting</t>
        </is>
      </c>
      <c r="G2605" s="1" t="inlineStr">
        <is>
          <t>Medium</t>
        </is>
      </c>
      <c r="H2605" s="1" t="n">
        <v>43934</v>
      </c>
      <c r="I2605" s="1" t="n">
        <v>62698</v>
      </c>
      <c r="J2605" s="9" t="n">
        <v>0.701</v>
      </c>
      <c r="K2605" s="1" t="inlineStr">
        <is>
          <t>Yes</t>
        </is>
      </c>
      <c r="L2605" s="1" t="inlineStr">
        <is>
          <t>No</t>
        </is>
      </c>
      <c r="M2605" s="1" t="inlineStr">
        <is>
          <t>No</t>
        </is>
      </c>
      <c r="N2605" s="1" t="inlineStr">
        <is>
          <t>Algorithms</t>
        </is>
      </c>
      <c r="O26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06" ht="15.75" customHeight="1" s="12">
      <c r="A2606" s="1" t="n">
        <v>3122</v>
      </c>
      <c r="B2606" s="3">
        <f>HYPERLINK("https://leetcode.com/problems/minimum-number-of-operations-to-satisfy-conditions/", "Minimum Number of Operations to Satisfy Conditions")</f>
        <v/>
      </c>
      <c r="C2606" s="1" t="n">
        <v>281</v>
      </c>
      <c r="D2606" s="1" t="n">
        <v>12</v>
      </c>
      <c r="E2606" s="4">
        <f>IF(INDEX(C:C, ROW())+INDEX(D:D, ROW())=0, 0, INDEX(C:C, ROW())/(INDEX(C:C, ROW())+INDEX(D:D, ROW())))</f>
        <v/>
      </c>
      <c r="F2606" s="1" t="inlineStr">
        <is>
          <t>Array, Dynamic Programming, Matrix</t>
        </is>
      </c>
      <c r="G2606" s="1" t="inlineStr">
        <is>
          <t>Medium</t>
        </is>
      </c>
      <c r="H2606" s="1" t="n">
        <v>18629</v>
      </c>
      <c r="I2606" s="1" t="n">
        <v>44842</v>
      </c>
      <c r="J2606" s="9" t="n">
        <v>0.415</v>
      </c>
      <c r="K2606" s="1" t="inlineStr">
        <is>
          <t>Yes</t>
        </is>
      </c>
      <c r="L2606" s="1" t="inlineStr">
        <is>
          <t>No</t>
        </is>
      </c>
      <c r="M2606" s="1" t="inlineStr">
        <is>
          <t>No</t>
        </is>
      </c>
      <c r="N2606" s="1" t="inlineStr">
        <is>
          <t>Algorithms</t>
        </is>
      </c>
      <c r="O26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07" ht="15.75" customHeight="1" s="12">
      <c r="A2607" s="1" t="n">
        <v>2648</v>
      </c>
      <c r="B2607" s="3">
        <f>HYPERLINK("https://leetcode.com/problems/generate-fibonacci-sequence/", "Generate Fibonacci Sequence")</f>
        <v/>
      </c>
      <c r="C2607" s="1" t="n">
        <v>280</v>
      </c>
      <c r="D2607" s="1" t="n">
        <v>31</v>
      </c>
      <c r="E2607" s="4">
        <f>IF(INDEX(C:C, ROW())+INDEX(D:D, ROW())=0, 0, INDEX(C:C, ROW())/(INDEX(C:C, ROW())+INDEX(D:D, ROW())))</f>
        <v/>
      </c>
      <c r="F2607" s="2" t="n"/>
      <c r="G2607" s="1" t="inlineStr">
        <is>
          <t>Easy</t>
        </is>
      </c>
      <c r="H2607" s="1" t="n">
        <v>46747</v>
      </c>
      <c r="I2607" s="1" t="n">
        <v>55988</v>
      </c>
      <c r="J2607" s="9" t="n">
        <v>0.835</v>
      </c>
      <c r="K2607" s="1" t="inlineStr">
        <is>
          <t>Yes</t>
        </is>
      </c>
      <c r="L2607" s="1" t="inlineStr">
        <is>
          <t>Yes</t>
        </is>
      </c>
      <c r="M2607" s="1" t="inlineStr">
        <is>
          <t>No</t>
        </is>
      </c>
      <c r="N2607" s="1" t="inlineStr">
        <is>
          <t>JavaScript</t>
        </is>
      </c>
      <c r="O26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08" ht="15.75" customHeight="1" s="12">
      <c r="A2608" s="1" t="n">
        <v>711</v>
      </c>
      <c r="B2608" s="3">
        <f>HYPERLINK("https://leetcode.com/problems/number-of-distinct-islands-ii/", "Number of Distinct Islands II")</f>
        <v/>
      </c>
      <c r="C2608" s="1" t="n">
        <v>279</v>
      </c>
      <c r="D2608" s="1" t="n">
        <v>286</v>
      </c>
      <c r="E2608" s="4">
        <f>IF(INDEX(C:C, ROW())+INDEX(D:D, ROW())=0, 0, INDEX(C:C, ROW())/(INDEX(C:C, ROW())+INDEX(D:D, ROW())))</f>
        <v/>
      </c>
      <c r="F2608" s="1" t="inlineStr">
        <is>
          <t>Hash Table, Depth-First Search, Breadth-First Search, Union-Find, Hash Function</t>
        </is>
      </c>
      <c r="G2608" s="1" t="inlineStr">
        <is>
          <t>Hard</t>
        </is>
      </c>
      <c r="H2608" s="1" t="n">
        <v>14042</v>
      </c>
      <c r="I2608" s="1" t="n">
        <v>25411</v>
      </c>
      <c r="J2608" s="9" t="n">
        <v>0.553</v>
      </c>
      <c r="K2608" s="1" t="inlineStr">
        <is>
          <t>No</t>
        </is>
      </c>
      <c r="L2608" s="1" t="inlineStr">
        <is>
          <t>Yes</t>
        </is>
      </c>
      <c r="M2608" s="1" t="inlineStr">
        <is>
          <t>No</t>
        </is>
      </c>
      <c r="N2608" s="1" t="inlineStr">
        <is>
          <t>Algorithms</t>
        </is>
      </c>
      <c r="O26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09" ht="15.75" customHeight="1" s="12">
      <c r="A2609" s="1" t="n">
        <v>2443</v>
      </c>
      <c r="B2609" s="3">
        <f>HYPERLINK("https://leetcode.com/problems/sum-of-number-and-its-reverse/", "Sum of Number and Its Reverse")</f>
        <v/>
      </c>
      <c r="C2609" s="1" t="n">
        <v>278</v>
      </c>
      <c r="D2609" s="1" t="n">
        <v>306</v>
      </c>
      <c r="E2609" s="4">
        <f>IF(INDEX(C:C, ROW())+INDEX(D:D, ROW())=0, 0, INDEX(C:C, ROW())/(INDEX(C:C, ROW())+INDEX(D:D, ROW())))</f>
        <v/>
      </c>
      <c r="F2609" s="1" t="inlineStr">
        <is>
          <t>Math, Enumeration</t>
        </is>
      </c>
      <c r="G2609" s="1" t="inlineStr">
        <is>
          <t>Medium</t>
        </is>
      </c>
      <c r="H2609" s="1" t="n">
        <v>45211</v>
      </c>
      <c r="I2609" s="1" t="n">
        <v>92009</v>
      </c>
      <c r="J2609" s="9" t="n">
        <v>0.491</v>
      </c>
      <c r="K2609" s="1" t="inlineStr">
        <is>
          <t>Yes</t>
        </is>
      </c>
      <c r="L2609" s="1" t="inlineStr">
        <is>
          <t>No</t>
        </is>
      </c>
      <c r="M2609" s="1" t="inlineStr">
        <is>
          <t>No</t>
        </is>
      </c>
      <c r="N2609" s="1" t="inlineStr">
        <is>
          <t>Algorithms</t>
        </is>
      </c>
      <c r="O26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10" ht="15.75" customHeight="1" s="12">
      <c r="A2610" s="1" t="n">
        <v>2734</v>
      </c>
      <c r="B2610" s="3">
        <f>HYPERLINK("https://leetcode.com/problems/lexicographically-smallest-string-after-substring-operation/", "Lexicographically Smallest String After Substring Operation")</f>
        <v/>
      </c>
      <c r="C2610" s="1" t="n">
        <v>278</v>
      </c>
      <c r="D2610" s="1" t="n">
        <v>193</v>
      </c>
      <c r="E2610" s="4">
        <f>IF(INDEX(C:C, ROW())+INDEX(D:D, ROW())=0, 0, INDEX(C:C, ROW())/(INDEX(C:C, ROW())+INDEX(D:D, ROW())))</f>
        <v/>
      </c>
      <c r="F2610" s="1" t="inlineStr">
        <is>
          <t>String, Greedy</t>
        </is>
      </c>
      <c r="G2610" s="1" t="inlineStr">
        <is>
          <t>Medium</t>
        </is>
      </c>
      <c r="H2610" s="1" t="n">
        <v>35022</v>
      </c>
      <c r="I2610" s="1" t="n">
        <v>102117</v>
      </c>
      <c r="J2610" s="9" t="n">
        <v>0.343</v>
      </c>
      <c r="K2610" s="1" t="inlineStr">
        <is>
          <t>Yes</t>
        </is>
      </c>
      <c r="L2610" s="1" t="inlineStr">
        <is>
          <t>No</t>
        </is>
      </c>
      <c r="M2610" s="1" t="inlineStr">
        <is>
          <t>No</t>
        </is>
      </c>
      <c r="N2610" s="1" t="inlineStr">
        <is>
          <t>Algorithms</t>
        </is>
      </c>
      <c r="O26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11" ht="15.75" customHeight="1" s="12">
      <c r="A2611" s="1" t="n">
        <v>2926</v>
      </c>
      <c r="B2611" s="3">
        <f>HYPERLINK("https://leetcode.com/problems/maximum-balanced-subsequence-sum/", "Maximum Balanced Subsequence Sum")</f>
        <v/>
      </c>
      <c r="C2611" s="1" t="n">
        <v>278</v>
      </c>
      <c r="D2611" s="1" t="n">
        <v>10</v>
      </c>
      <c r="E2611" s="4">
        <f>IF(INDEX(C:C, ROW())+INDEX(D:D, ROW())=0, 0, INDEX(C:C, ROW())/(INDEX(C:C, ROW())+INDEX(D:D, ROW())))</f>
        <v/>
      </c>
      <c r="F2611" s="1" t="inlineStr">
        <is>
          <t>Array, Binary Search, Dynamic Programming, Binary Indexed Tree, Segment Tree</t>
        </is>
      </c>
      <c r="G2611" s="1" t="inlineStr">
        <is>
          <t>Hard</t>
        </is>
      </c>
      <c r="H2611" s="1" t="n">
        <v>9449</v>
      </c>
      <c r="I2611" s="1" t="n">
        <v>36834</v>
      </c>
      <c r="J2611" s="9" t="n">
        <v>0.257</v>
      </c>
      <c r="K2611" s="1" t="inlineStr">
        <is>
          <t>Yes</t>
        </is>
      </c>
      <c r="L2611" s="1" t="inlineStr">
        <is>
          <t>No</t>
        </is>
      </c>
      <c r="M2611" s="1" t="inlineStr">
        <is>
          <t>No</t>
        </is>
      </c>
      <c r="N2611" s="1" t="inlineStr">
        <is>
          <t>Algorithms</t>
        </is>
      </c>
      <c r="O26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12" ht="15.75" customHeight="1" s="12">
      <c r="A2612" s="1" t="n">
        <v>512</v>
      </c>
      <c r="B2612" s="3">
        <f>HYPERLINK("https://leetcode.com/problems/game-play-analysis-ii/", "Game Play Analysis II")</f>
        <v/>
      </c>
      <c r="C2612" s="1" t="n">
        <v>277</v>
      </c>
      <c r="D2612" s="1" t="n">
        <v>43</v>
      </c>
      <c r="E2612" s="4">
        <f>IF(INDEX(C:C, ROW())+INDEX(D:D, ROW())=0, 0, INDEX(C:C, ROW())/(INDEX(C:C, ROW())+INDEX(D:D, ROW())))</f>
        <v/>
      </c>
      <c r="F2612" s="1" t="inlineStr">
        <is>
          <t>Database</t>
        </is>
      </c>
      <c r="G2612" s="1" t="inlineStr">
        <is>
          <t>Easy</t>
        </is>
      </c>
      <c r="H2612" s="1" t="n">
        <v>105118</v>
      </c>
      <c r="I2612" s="1" t="n">
        <v>192935</v>
      </c>
      <c r="J2612" s="9" t="n">
        <v>0.545</v>
      </c>
      <c r="K2612" s="1" t="inlineStr">
        <is>
          <t>No</t>
        </is>
      </c>
      <c r="L2612" s="1" t="inlineStr">
        <is>
          <t>Yes</t>
        </is>
      </c>
      <c r="M2612" s="1" t="inlineStr">
        <is>
          <t>No</t>
        </is>
      </c>
      <c r="N2612" s="1" t="inlineStr">
        <is>
          <t>Database</t>
        </is>
      </c>
      <c r="O26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13" ht="15.75" customHeight="1" s="12">
      <c r="A2613" s="1" t="n">
        <v>1660</v>
      </c>
      <c r="B2613" s="3">
        <f>HYPERLINK("https://leetcode.com/problems/correct-a-binary-tree/", "Correct a Binary Tree")</f>
        <v/>
      </c>
      <c r="C2613" s="1" t="n">
        <v>277</v>
      </c>
      <c r="D2613" s="1" t="n">
        <v>47</v>
      </c>
      <c r="E2613" s="4">
        <f>IF(INDEX(C:C, ROW())+INDEX(D:D, ROW())=0, 0, INDEX(C:C, ROW())/(INDEX(C:C, ROW())+INDEX(D:D, ROW())))</f>
        <v/>
      </c>
      <c r="F2613" s="1" t="inlineStr">
        <is>
          <t>Hash Table, Tree, Depth-First Search, Breadth-First Search, Binary Tree</t>
        </is>
      </c>
      <c r="G2613" s="1" t="inlineStr">
        <is>
          <t>Medium</t>
        </is>
      </c>
      <c r="H2613" s="1" t="n">
        <v>22745</v>
      </c>
      <c r="I2613" s="1" t="n">
        <v>30639</v>
      </c>
      <c r="J2613" s="9" t="n">
        <v>0.742</v>
      </c>
      <c r="K2613" s="1" t="inlineStr">
        <is>
          <t>No</t>
        </is>
      </c>
      <c r="L2613" s="1" t="inlineStr">
        <is>
          <t>Yes</t>
        </is>
      </c>
      <c r="M2613" s="1" t="inlineStr">
        <is>
          <t>No</t>
        </is>
      </c>
      <c r="N2613" s="1" t="inlineStr">
        <is>
          <t>Algorithms</t>
        </is>
      </c>
      <c r="O26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14" ht="15.75" customHeight="1" s="12">
      <c r="A2614" s="1" t="n">
        <v>2695</v>
      </c>
      <c r="B2614" s="3">
        <f>HYPERLINK("https://leetcode.com/problems/array-wrapper/", "Array Wrapper")</f>
        <v/>
      </c>
      <c r="C2614" s="1" t="n">
        <v>277</v>
      </c>
      <c r="D2614" s="1" t="n">
        <v>61</v>
      </c>
      <c r="E2614" s="4">
        <f>IF(INDEX(C:C, ROW())+INDEX(D:D, ROW())=0, 0, INDEX(C:C, ROW())/(INDEX(C:C, ROW())+INDEX(D:D, ROW())))</f>
        <v/>
      </c>
      <c r="F2614" s="2" t="n"/>
      <c r="G2614" s="1" t="inlineStr">
        <is>
          <t>Easy</t>
        </is>
      </c>
      <c r="H2614" s="1" t="n">
        <v>68958</v>
      </c>
      <c r="I2614" s="1" t="n">
        <v>77399</v>
      </c>
      <c r="J2614" s="9" t="n">
        <v>0.891</v>
      </c>
      <c r="K2614" s="1" t="inlineStr">
        <is>
          <t>Yes</t>
        </is>
      </c>
      <c r="L2614" s="1" t="inlineStr">
        <is>
          <t>Yes</t>
        </is>
      </c>
      <c r="M2614" s="1" t="inlineStr">
        <is>
          <t>No</t>
        </is>
      </c>
      <c r="N2614" s="1" t="inlineStr">
        <is>
          <t>JavaScript</t>
        </is>
      </c>
      <c r="O26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15" ht="15.75" customHeight="1" s="12">
      <c r="A2615" s="1" t="n">
        <v>1427</v>
      </c>
      <c r="B2615" s="3">
        <f>HYPERLINK("https://leetcode.com/problems/perform-string-shifts/", "Perform String Shifts")</f>
        <v/>
      </c>
      <c r="C2615" s="1" t="n">
        <v>276</v>
      </c>
      <c r="D2615" s="1" t="n">
        <v>16</v>
      </c>
      <c r="E2615" s="4">
        <f>IF(INDEX(C:C, ROW())+INDEX(D:D, ROW())=0, 0, INDEX(C:C, ROW())/(INDEX(C:C, ROW())+INDEX(D:D, ROW())))</f>
        <v/>
      </c>
      <c r="F2615" s="1" t="inlineStr">
        <is>
          <t>Array, Math, String</t>
        </is>
      </c>
      <c r="G2615" s="1" t="inlineStr">
        <is>
          <t>Easy</t>
        </is>
      </c>
      <c r="H2615" s="1" t="n">
        <v>93317</v>
      </c>
      <c r="I2615" s="1" t="n">
        <v>166805</v>
      </c>
      <c r="J2615" s="9" t="n">
        <v>0.5590000000000001</v>
      </c>
      <c r="K2615" s="1" t="inlineStr">
        <is>
          <t>No</t>
        </is>
      </c>
      <c r="L2615" s="1" t="inlineStr">
        <is>
          <t>Yes</t>
        </is>
      </c>
      <c r="M2615" s="1" t="inlineStr">
        <is>
          <t>No</t>
        </is>
      </c>
      <c r="N2615" s="1" t="inlineStr">
        <is>
          <t>Algorithms</t>
        </is>
      </c>
      <c r="O26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16" ht="15.75" customHeight="1" s="12">
      <c r="A2616" s="1" t="n">
        <v>2768</v>
      </c>
      <c r="B2616" s="3">
        <f>HYPERLINK("https://leetcode.com/problems/number-of-black-blocks/", "Number of Black Blocks")</f>
        <v/>
      </c>
      <c r="C2616" s="1" t="n">
        <v>276</v>
      </c>
      <c r="D2616" s="1" t="n">
        <v>47</v>
      </c>
      <c r="E2616" s="4">
        <f>IF(INDEX(C:C, ROW())+INDEX(D:D, ROW())=0, 0, INDEX(C:C, ROW())/(INDEX(C:C, ROW())+INDEX(D:D, ROW())))</f>
        <v/>
      </c>
      <c r="F2616" s="1" t="inlineStr">
        <is>
          <t>Array, Hash Table, Enumeration</t>
        </is>
      </c>
      <c r="G2616" s="1" t="inlineStr">
        <is>
          <t>Medium</t>
        </is>
      </c>
      <c r="H2616" s="1" t="n">
        <v>19821</v>
      </c>
      <c r="I2616" s="1" t="n">
        <v>48021</v>
      </c>
      <c r="J2616" s="9" t="n">
        <v>0.413</v>
      </c>
      <c r="K2616" s="1" t="inlineStr">
        <is>
          <t>Yes</t>
        </is>
      </c>
      <c r="L2616" s="1" t="inlineStr">
        <is>
          <t>No</t>
        </is>
      </c>
      <c r="M2616" s="1" t="inlineStr">
        <is>
          <t>No</t>
        </is>
      </c>
      <c r="N2616" s="1" t="inlineStr">
        <is>
          <t>Algorithms</t>
        </is>
      </c>
      <c r="O26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17" ht="15.75" customHeight="1" s="12">
      <c r="A2617" s="1" t="n">
        <v>2833</v>
      </c>
      <c r="B2617" s="3">
        <f>HYPERLINK("https://leetcode.com/problems/furthest-point-from-origin/", "Furthest Point From Origin")</f>
        <v/>
      </c>
      <c r="C2617" s="1" t="n">
        <v>276</v>
      </c>
      <c r="D2617" s="1" t="n">
        <v>52</v>
      </c>
      <c r="E2617" s="4">
        <f>IF(INDEX(C:C, ROW())+INDEX(D:D, ROW())=0, 0, INDEX(C:C, ROW())/(INDEX(C:C, ROW())+INDEX(D:D, ROW())))</f>
        <v/>
      </c>
      <c r="F2617" s="1" t="inlineStr">
        <is>
          <t>String, Counting</t>
        </is>
      </c>
      <c r="G2617" s="1" t="inlineStr">
        <is>
          <t>Easy</t>
        </is>
      </c>
      <c r="H2617" s="1" t="n">
        <v>59681</v>
      </c>
      <c r="I2617" s="1" t="n">
        <v>91586</v>
      </c>
      <c r="J2617" s="9" t="n">
        <v>0.652</v>
      </c>
      <c r="K2617" s="1" t="inlineStr">
        <is>
          <t>Yes</t>
        </is>
      </c>
      <c r="L2617" s="1" t="inlineStr">
        <is>
          <t>No</t>
        </is>
      </c>
      <c r="M2617" s="1" t="inlineStr">
        <is>
          <t>No</t>
        </is>
      </c>
      <c r="N2617" s="1" t="inlineStr">
        <is>
          <t>Algorithms</t>
        </is>
      </c>
      <c r="O26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18" ht="15.75" customHeight="1" s="12">
      <c r="A2618" s="1" t="n">
        <v>1322</v>
      </c>
      <c r="B2618" s="3">
        <f>HYPERLINK("https://leetcode.com/problems/ads-performance/", "Ads Performance")</f>
        <v/>
      </c>
      <c r="C2618" s="1" t="n">
        <v>273</v>
      </c>
      <c r="D2618" s="1" t="n">
        <v>67</v>
      </c>
      <c r="E2618" s="4">
        <f>IF(INDEX(C:C, ROW())+INDEX(D:D, ROW())=0, 0, INDEX(C:C, ROW())/(INDEX(C:C, ROW())+INDEX(D:D, ROW())))</f>
        <v/>
      </c>
      <c r="F2618" s="1" t="inlineStr">
        <is>
          <t>Database</t>
        </is>
      </c>
      <c r="G2618" s="1" t="inlineStr">
        <is>
          <t>Easy</t>
        </is>
      </c>
      <c r="H2618" s="1" t="n">
        <v>51862</v>
      </c>
      <c r="I2618" s="1" t="n">
        <v>88301</v>
      </c>
      <c r="J2618" s="9" t="n">
        <v>0.587</v>
      </c>
      <c r="K2618" s="1" t="inlineStr">
        <is>
          <t>No</t>
        </is>
      </c>
      <c r="L2618" s="1" t="inlineStr">
        <is>
          <t>Yes</t>
        </is>
      </c>
      <c r="M2618" s="1" t="inlineStr">
        <is>
          <t>No</t>
        </is>
      </c>
      <c r="N2618" s="1" t="inlineStr">
        <is>
          <t>Database</t>
        </is>
      </c>
      <c r="O26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19" ht="15.75" customHeight="1" s="12">
      <c r="A2619" s="1" t="n">
        <v>1586</v>
      </c>
      <c r="B2619" s="3">
        <f>HYPERLINK("https://leetcode.com/problems/binary-search-tree-iterator-ii/", "Binary Search Tree Iterator II")</f>
        <v/>
      </c>
      <c r="C2619" s="1" t="n">
        <v>272</v>
      </c>
      <c r="D2619" s="1" t="n">
        <v>52</v>
      </c>
      <c r="E2619" s="4">
        <f>IF(INDEX(C:C, ROW())+INDEX(D:D, ROW())=0, 0, INDEX(C:C, ROW())/(INDEX(C:C, ROW())+INDEX(D:D, ROW())))</f>
        <v/>
      </c>
      <c r="F2619" s="1" t="inlineStr">
        <is>
          <t>Stack, Tree, Design, Binary Search Tree, Binary Tree, Iterator</t>
        </is>
      </c>
      <c r="G2619" s="1" t="inlineStr">
        <is>
          <t>Medium</t>
        </is>
      </c>
      <c r="H2619" s="1" t="n">
        <v>17039</v>
      </c>
      <c r="I2619" s="1" t="n">
        <v>26904</v>
      </c>
      <c r="J2619" s="9" t="n">
        <v>0.633</v>
      </c>
      <c r="K2619" s="1" t="inlineStr">
        <is>
          <t>No</t>
        </is>
      </c>
      <c r="L2619" s="1" t="inlineStr">
        <is>
          <t>Yes</t>
        </is>
      </c>
      <c r="M2619" s="1" t="inlineStr">
        <is>
          <t>No</t>
        </is>
      </c>
      <c r="N2619" s="1" t="inlineStr">
        <is>
          <t>Algorithms</t>
        </is>
      </c>
      <c r="O26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20" ht="15.75" customHeight="1" s="12">
      <c r="A2620" s="1" t="n">
        <v>2840</v>
      </c>
      <c r="B2620" s="3">
        <f>HYPERLINK("https://leetcode.com/problems/check-if-strings-can-be-made-equal-with-operations-ii/", "Check if Strings Can be Made Equal With Operations II")</f>
        <v/>
      </c>
      <c r="C2620" s="1" t="n">
        <v>272</v>
      </c>
      <c r="D2620" s="1" t="n">
        <v>5</v>
      </c>
      <c r="E2620" s="4">
        <f>IF(INDEX(C:C, ROW())+INDEX(D:D, ROW())=0, 0, INDEX(C:C, ROW())/(INDEX(C:C, ROW())+INDEX(D:D, ROW())))</f>
        <v/>
      </c>
      <c r="F2620" s="1" t="inlineStr">
        <is>
          <t>Hash Table, String, Sorting</t>
        </is>
      </c>
      <c r="G2620" s="1" t="inlineStr">
        <is>
          <t>Medium</t>
        </is>
      </c>
      <c r="H2620" s="1" t="n">
        <v>30947</v>
      </c>
      <c r="I2620" s="1" t="n">
        <v>55237</v>
      </c>
      <c r="J2620" s="9" t="n">
        <v>0.5600000000000001</v>
      </c>
      <c r="K2620" s="1" t="inlineStr">
        <is>
          <t>Yes</t>
        </is>
      </c>
      <c r="L2620" s="1" t="inlineStr">
        <is>
          <t>No</t>
        </is>
      </c>
      <c r="M2620" s="1" t="inlineStr">
        <is>
          <t>No</t>
        </is>
      </c>
      <c r="N2620" s="1" t="inlineStr">
        <is>
          <t>Algorithms</t>
        </is>
      </c>
      <c r="O26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21" ht="15.75" customHeight="1" s="12">
      <c r="A2621" s="1" t="n">
        <v>3211</v>
      </c>
      <c r="B2621" s="3">
        <f>HYPERLINK("https://leetcode.com/problems/generate-binary-strings-without-adjacent-zeros/", "Generate Binary Strings Without Adjacent Zeros")</f>
        <v/>
      </c>
      <c r="C2621" s="1" t="n">
        <v>272</v>
      </c>
      <c r="D2621" s="1" t="n">
        <v>47</v>
      </c>
      <c r="E2621" s="4">
        <f>IF(INDEX(C:C, ROW())+INDEX(D:D, ROW())=0, 0, INDEX(C:C, ROW())/(INDEX(C:C, ROW())+INDEX(D:D, ROW())))</f>
        <v/>
      </c>
      <c r="F2621" s="1" t="inlineStr">
        <is>
          <t>String, Backtracking, Bit Manipulation</t>
        </is>
      </c>
      <c r="G2621" s="1" t="inlineStr">
        <is>
          <t>Medium</t>
        </is>
      </c>
      <c r="H2621" s="1" t="n">
        <v>75288</v>
      </c>
      <c r="I2621" s="1" t="n">
        <v>85508</v>
      </c>
      <c r="J2621" s="9" t="n">
        <v>0.88</v>
      </c>
      <c r="K2621" s="1" t="inlineStr">
        <is>
          <t>Yes</t>
        </is>
      </c>
      <c r="L2621" s="1" t="inlineStr">
        <is>
          <t>No</t>
        </is>
      </c>
      <c r="M2621" s="1" t="inlineStr">
        <is>
          <t>No</t>
        </is>
      </c>
      <c r="N2621" s="1" t="inlineStr">
        <is>
          <t>Algorithms</t>
        </is>
      </c>
      <c r="O26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22" ht="15.75" customHeight="1" s="12">
      <c r="A2622" s="1" t="n">
        <v>1597</v>
      </c>
      <c r="B2622" s="3">
        <f>HYPERLINK("https://leetcode.com/problems/build-binary-expression-tree-from-infix-expression/", "Build Binary Expression Tree From Infix Expression")</f>
        <v/>
      </c>
      <c r="C2622" s="1" t="n">
        <v>271</v>
      </c>
      <c r="D2622" s="1" t="n">
        <v>48</v>
      </c>
      <c r="E2622" s="4">
        <f>IF(INDEX(C:C, ROW())+INDEX(D:D, ROW())=0, 0, INDEX(C:C, ROW())/(INDEX(C:C, ROW())+INDEX(D:D, ROW())))</f>
        <v/>
      </c>
      <c r="F2622" s="1" t="inlineStr">
        <is>
          <t>String, Stack, Tree, Binary Tree</t>
        </is>
      </c>
      <c r="G2622" s="1" t="inlineStr">
        <is>
          <t>Hard</t>
        </is>
      </c>
      <c r="H2622" s="1" t="n">
        <v>14609</v>
      </c>
      <c r="I2622" s="1" t="n">
        <v>23322</v>
      </c>
      <c r="J2622" s="9" t="n">
        <v>0.626</v>
      </c>
      <c r="K2622" s="1" t="inlineStr">
        <is>
          <t>No</t>
        </is>
      </c>
      <c r="L2622" s="1" t="inlineStr">
        <is>
          <t>No</t>
        </is>
      </c>
      <c r="M2622" s="1" t="inlineStr">
        <is>
          <t>No</t>
        </is>
      </c>
      <c r="N2622" s="1" t="inlineStr">
        <is>
          <t>Algorithms</t>
        </is>
      </c>
      <c r="O26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23" ht="15.75" customHeight="1" s="12">
      <c r="A2623" s="1" t="n">
        <v>2567</v>
      </c>
      <c r="B2623" s="3">
        <f>HYPERLINK("https://leetcode.com/problems/minimum-score-by-changing-two-elements/", "Minimum Score by Changing Two Elements")</f>
        <v/>
      </c>
      <c r="C2623" s="1" t="n">
        <v>271</v>
      </c>
      <c r="D2623" s="1" t="n">
        <v>269</v>
      </c>
      <c r="E2623" s="4">
        <f>IF(INDEX(C:C, ROW())+INDEX(D:D, ROW())=0, 0, INDEX(C:C, ROW())/(INDEX(C:C, ROW())+INDEX(D:D, ROW())))</f>
        <v/>
      </c>
      <c r="F2623" s="1" t="inlineStr">
        <is>
          <t>Array, Greedy, Sorting</t>
        </is>
      </c>
      <c r="G2623" s="1" t="inlineStr">
        <is>
          <t>Medium</t>
        </is>
      </c>
      <c r="H2623" s="1" t="n">
        <v>21791</v>
      </c>
      <c r="I2623" s="1" t="n">
        <v>43849</v>
      </c>
      <c r="J2623" s="9" t="n">
        <v>0.497</v>
      </c>
      <c r="K2623" s="1" t="inlineStr">
        <is>
          <t>Yes</t>
        </is>
      </c>
      <c r="L2623" s="1" t="inlineStr">
        <is>
          <t>No</t>
        </is>
      </c>
      <c r="M2623" s="1" t="inlineStr">
        <is>
          <t>No</t>
        </is>
      </c>
      <c r="N2623" s="1" t="inlineStr">
        <is>
          <t>Algorithms</t>
        </is>
      </c>
      <c r="O26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24" ht="15.75" customHeight="1" s="12">
      <c r="A2624" s="1" t="n">
        <v>1914</v>
      </c>
      <c r="B2624" s="3">
        <f>HYPERLINK("https://leetcode.com/problems/cyclically-rotating-a-grid/", "Cyclically Rotating a Grid")</f>
        <v/>
      </c>
      <c r="C2624" s="1" t="n">
        <v>269</v>
      </c>
      <c r="D2624" s="1" t="n">
        <v>278</v>
      </c>
      <c r="E2624" s="4">
        <f>IF(INDEX(C:C, ROW())+INDEX(D:D, ROW())=0, 0, INDEX(C:C, ROW())/(INDEX(C:C, ROW())+INDEX(D:D, ROW())))</f>
        <v/>
      </c>
      <c r="F2624" s="1" t="inlineStr">
        <is>
          <t>Array, Matrix, Simulation</t>
        </is>
      </c>
      <c r="G2624" s="1" t="inlineStr">
        <is>
          <t>Medium</t>
        </is>
      </c>
      <c r="H2624" s="1" t="n">
        <v>15875</v>
      </c>
      <c r="I2624" s="1" t="n">
        <v>30906</v>
      </c>
      <c r="J2624" s="9" t="n">
        <v>0.514</v>
      </c>
      <c r="K2624" s="1" t="inlineStr">
        <is>
          <t>Yes</t>
        </is>
      </c>
      <c r="L2624" s="1" t="inlineStr">
        <is>
          <t>No</t>
        </is>
      </c>
      <c r="M2624" s="1" t="inlineStr">
        <is>
          <t>No</t>
        </is>
      </c>
      <c r="N2624" s="1" t="inlineStr">
        <is>
          <t>Algorithms</t>
        </is>
      </c>
      <c r="O26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25" ht="15.75" customHeight="1" s="12">
      <c r="A2625" s="1" t="n">
        <v>2075</v>
      </c>
      <c r="B2625" s="3">
        <f>HYPERLINK("https://leetcode.com/problems/decode-the-slanted-ciphertext/", "Decode the Slanted Ciphertext")</f>
        <v/>
      </c>
      <c r="C2625" s="1" t="n">
        <v>267</v>
      </c>
      <c r="D2625" s="1" t="n">
        <v>69</v>
      </c>
      <c r="E2625" s="4">
        <f>IF(INDEX(C:C, ROW())+INDEX(D:D, ROW())=0, 0, INDEX(C:C, ROW())/(INDEX(C:C, ROW())+INDEX(D:D, ROW())))</f>
        <v/>
      </c>
      <c r="F2625" s="1" t="inlineStr">
        <is>
          <t>String, Simulation</t>
        </is>
      </c>
      <c r="G2625" s="1" t="inlineStr">
        <is>
          <t>Medium</t>
        </is>
      </c>
      <c r="H2625" s="1" t="n">
        <v>19021</v>
      </c>
      <c r="I2625" s="1" t="n">
        <v>37920</v>
      </c>
      <c r="J2625" s="9" t="n">
        <v>0.502</v>
      </c>
      <c r="K2625" s="1" t="inlineStr">
        <is>
          <t>Yes</t>
        </is>
      </c>
      <c r="L2625" s="1" t="inlineStr">
        <is>
          <t>No</t>
        </is>
      </c>
      <c r="M2625" s="1" t="inlineStr">
        <is>
          <t>No</t>
        </is>
      </c>
      <c r="N2625" s="1" t="inlineStr">
        <is>
          <t>Algorithms</t>
        </is>
      </c>
      <c r="O26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26" ht="15.75" customHeight="1" s="12">
      <c r="A2626" s="1" t="n">
        <v>1264</v>
      </c>
      <c r="B2626" s="3">
        <f>HYPERLINK("https://leetcode.com/problems/page-recommendations/", "Page Recommendations")</f>
        <v/>
      </c>
      <c r="C2626" s="1" t="n">
        <v>266</v>
      </c>
      <c r="D2626" s="1" t="n">
        <v>27</v>
      </c>
      <c r="E2626" s="4">
        <f>IF(INDEX(C:C, ROW())+INDEX(D:D, ROW())=0, 0, INDEX(C:C, ROW())/(INDEX(C:C, ROW())+INDEX(D:D, ROW())))</f>
        <v/>
      </c>
      <c r="F2626" s="1" t="inlineStr">
        <is>
          <t>Database</t>
        </is>
      </c>
      <c r="G2626" s="1" t="inlineStr">
        <is>
          <t>Medium</t>
        </is>
      </c>
      <c r="H2626" s="1" t="n">
        <v>53436</v>
      </c>
      <c r="I2626" s="1" t="n">
        <v>81696</v>
      </c>
      <c r="J2626" s="9" t="n">
        <v>0.654</v>
      </c>
      <c r="K2626" s="1" t="inlineStr">
        <is>
          <t>No</t>
        </is>
      </c>
      <c r="L2626" s="1" t="inlineStr">
        <is>
          <t>No</t>
        </is>
      </c>
      <c r="M2626" s="1" t="inlineStr">
        <is>
          <t>No</t>
        </is>
      </c>
      <c r="N2626" s="1" t="inlineStr">
        <is>
          <t>Database</t>
        </is>
      </c>
      <c r="O26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27" ht="15.75" customHeight="1" s="12">
      <c r="A2627" s="1" t="n">
        <v>2939</v>
      </c>
      <c r="B2627" s="3">
        <f>HYPERLINK("https://leetcode.com/problems/maximum-xor-product/", "Maximum Xor Product")</f>
        <v/>
      </c>
      <c r="C2627" s="1" t="n">
        <v>266</v>
      </c>
      <c r="D2627" s="1" t="n">
        <v>73</v>
      </c>
      <c r="E2627" s="4">
        <f>IF(INDEX(C:C, ROW())+INDEX(D:D, ROW())=0, 0, INDEX(C:C, ROW())/(INDEX(C:C, ROW())+INDEX(D:D, ROW())))</f>
        <v/>
      </c>
      <c r="F2627" s="1" t="inlineStr">
        <is>
          <t>Math, Greedy, Bit Manipulation</t>
        </is>
      </c>
      <c r="G2627" s="1" t="inlineStr">
        <is>
          <t>Medium</t>
        </is>
      </c>
      <c r="H2627" s="1" t="n">
        <v>14647</v>
      </c>
      <c r="I2627" s="1" t="n">
        <v>50156</v>
      </c>
      <c r="J2627" s="9" t="n">
        <v>0.292</v>
      </c>
      <c r="K2627" s="1" t="inlineStr">
        <is>
          <t>Yes</t>
        </is>
      </c>
      <c r="L2627" s="1" t="inlineStr">
        <is>
          <t>No</t>
        </is>
      </c>
      <c r="M2627" s="1" t="inlineStr">
        <is>
          <t>No</t>
        </is>
      </c>
      <c r="N2627" s="1" t="inlineStr">
        <is>
          <t>Algorithms</t>
        </is>
      </c>
      <c r="O26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28" ht="15.75" customHeight="1" s="12">
      <c r="A2628" s="1" t="n">
        <v>3092</v>
      </c>
      <c r="B2628" s="3">
        <f>HYPERLINK("https://leetcode.com/problems/most-frequent-ids/", "Most Frequent IDs")</f>
        <v/>
      </c>
      <c r="C2628" s="1" t="n">
        <v>266</v>
      </c>
      <c r="D2628" s="1" t="n">
        <v>38</v>
      </c>
      <c r="E2628" s="4">
        <f>IF(INDEX(C:C, ROW())+INDEX(D:D, ROW())=0, 0, INDEX(C:C, ROW())/(INDEX(C:C, ROW())+INDEX(D:D, ROW())))</f>
        <v/>
      </c>
      <c r="F2628" s="1" t="inlineStr">
        <is>
          <t>Array, Hash Table, Heap (Priority Queue), Ordered Set</t>
        </is>
      </c>
      <c r="G2628" s="1" t="inlineStr">
        <is>
          <t>Medium</t>
        </is>
      </c>
      <c r="H2628" s="1" t="n">
        <v>24259</v>
      </c>
      <c r="I2628" s="1" t="n">
        <v>57368</v>
      </c>
      <c r="J2628" s="9" t="n">
        <v>0.423</v>
      </c>
      <c r="K2628" s="1" t="inlineStr">
        <is>
          <t>Yes</t>
        </is>
      </c>
      <c r="L2628" s="1" t="inlineStr">
        <is>
          <t>No</t>
        </is>
      </c>
      <c r="M2628" s="1" t="inlineStr">
        <is>
          <t>No</t>
        </is>
      </c>
      <c r="N2628" s="1" t="inlineStr">
        <is>
          <t>Algorithms</t>
        </is>
      </c>
      <c r="O26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29" ht="15.75" customHeight="1" s="12">
      <c r="A2629" s="1" t="n">
        <v>631</v>
      </c>
      <c r="B2629" s="3">
        <f>HYPERLINK("https://leetcode.com/problems/design-excel-sum-formula/", "Design Excel Sum Formula")</f>
        <v/>
      </c>
      <c r="C2629" s="1" t="n">
        <v>264</v>
      </c>
      <c r="D2629" s="1" t="n">
        <v>291</v>
      </c>
      <c r="E2629" s="4">
        <f>IF(INDEX(C:C, ROW())+INDEX(D:D, ROW())=0, 0, INDEX(C:C, ROW())/(INDEX(C:C, ROW())+INDEX(D:D, ROW())))</f>
        <v/>
      </c>
      <c r="F2629" s="1" t="inlineStr">
        <is>
          <t>Array, Hash Table, String, Graph Theory, Design, Topological Sort, Matrix</t>
        </is>
      </c>
      <c r="G2629" s="1" t="inlineStr">
        <is>
          <t>Hard</t>
        </is>
      </c>
      <c r="H2629" s="1" t="n">
        <v>30736</v>
      </c>
      <c r="I2629" s="1" t="n">
        <v>76776</v>
      </c>
      <c r="J2629" s="9" t="n">
        <v>0.4</v>
      </c>
      <c r="K2629" s="1" t="inlineStr">
        <is>
          <t>No</t>
        </is>
      </c>
      <c r="L2629" s="1" t="inlineStr">
        <is>
          <t>Yes</t>
        </is>
      </c>
      <c r="M2629" s="1" t="inlineStr">
        <is>
          <t>No</t>
        </is>
      </c>
      <c r="N2629" s="1" t="inlineStr">
        <is>
          <t>Algorithms</t>
        </is>
      </c>
      <c r="O26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30" ht="15.75" customHeight="1" s="12">
      <c r="A2630" s="1" t="n">
        <v>2550</v>
      </c>
      <c r="B2630" s="3">
        <f>HYPERLINK("https://leetcode.com/problems/count-collisions-of-monkeys-on-a-polygon/", "Count Collisions of Monkeys on a Polygon")</f>
        <v/>
      </c>
      <c r="C2630" s="1" t="n">
        <v>264</v>
      </c>
      <c r="D2630" s="1" t="n">
        <v>531</v>
      </c>
      <c r="E2630" s="4">
        <f>IF(INDEX(C:C, ROW())+INDEX(D:D, ROW())=0, 0, INDEX(C:C, ROW())/(INDEX(C:C, ROW())+INDEX(D:D, ROW())))</f>
        <v/>
      </c>
      <c r="F2630" s="1" t="inlineStr">
        <is>
          <t>Math, Recursion</t>
        </is>
      </c>
      <c r="G2630" s="1" t="inlineStr">
        <is>
          <t>Medium</t>
        </is>
      </c>
      <c r="H2630" s="1" t="n">
        <v>26320</v>
      </c>
      <c r="I2630" s="1" t="n">
        <v>88583</v>
      </c>
      <c r="J2630" s="9" t="n">
        <v>0.297</v>
      </c>
      <c r="K2630" s="1" t="inlineStr">
        <is>
          <t>Yes</t>
        </is>
      </c>
      <c r="L2630" s="1" t="inlineStr">
        <is>
          <t>No</t>
        </is>
      </c>
      <c r="M2630" s="1" t="inlineStr">
        <is>
          <t>No</t>
        </is>
      </c>
      <c r="N2630" s="1" t="inlineStr">
        <is>
          <t>Algorithms</t>
        </is>
      </c>
      <c r="O26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31" ht="15.75" customHeight="1" s="12">
      <c r="A2631" s="1" t="n">
        <v>1533</v>
      </c>
      <c r="B2631" s="3">
        <f>HYPERLINK("https://leetcode.com/problems/find-the-index-of-the-large-integer/", "Find the Index of the Large Integer")</f>
        <v/>
      </c>
      <c r="C2631" s="1" t="n">
        <v>263</v>
      </c>
      <c r="D2631" s="1" t="n">
        <v>35</v>
      </c>
      <c r="E2631" s="4">
        <f>IF(INDEX(C:C, ROW())+INDEX(D:D, ROW())=0, 0, INDEX(C:C, ROW())/(INDEX(C:C, ROW())+INDEX(D:D, ROW())))</f>
        <v/>
      </c>
      <c r="F2631" s="1" t="inlineStr">
        <is>
          <t>Array, Binary Search, Interactive</t>
        </is>
      </c>
      <c r="G2631" s="1" t="inlineStr">
        <is>
          <t>Medium</t>
        </is>
      </c>
      <c r="H2631" s="1" t="n">
        <v>17761</v>
      </c>
      <c r="I2631" s="1" t="n">
        <v>31423</v>
      </c>
      <c r="J2631" s="9" t="n">
        <v>0.5649999999999999</v>
      </c>
      <c r="K2631" s="1" t="inlineStr">
        <is>
          <t>No</t>
        </is>
      </c>
      <c r="L2631" s="1" t="inlineStr">
        <is>
          <t>Yes</t>
        </is>
      </c>
      <c r="M2631" s="1" t="inlineStr">
        <is>
          <t>No</t>
        </is>
      </c>
      <c r="N2631" s="1" t="inlineStr">
        <is>
          <t>Algorithms</t>
        </is>
      </c>
      <c r="O26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32" ht="15.75" customHeight="1" s="12">
      <c r="A2632" s="1" t="n">
        <v>1596</v>
      </c>
      <c r="B2632" s="3">
        <f>HYPERLINK("https://leetcode.com/problems/the-most-frequently-ordered-products-for-each-customer/", "The Most Frequently Ordered Products for Each Customer")</f>
        <v/>
      </c>
      <c r="C2632" s="1" t="n">
        <v>261</v>
      </c>
      <c r="D2632" s="1" t="n">
        <v>17</v>
      </c>
      <c r="E2632" s="4">
        <f>IF(INDEX(C:C, ROW())+INDEX(D:D, ROW())=0, 0, INDEX(C:C, ROW())/(INDEX(C:C, ROW())+INDEX(D:D, ROW())))</f>
        <v/>
      </c>
      <c r="F2632" s="1" t="inlineStr">
        <is>
          <t>Database</t>
        </is>
      </c>
      <c r="G2632" s="1" t="inlineStr">
        <is>
          <t>Medium</t>
        </is>
      </c>
      <c r="H2632" s="1" t="n">
        <v>44804</v>
      </c>
      <c r="I2632" s="1" t="n">
        <v>57656</v>
      </c>
      <c r="J2632" s="9" t="n">
        <v>0.777</v>
      </c>
      <c r="K2632" s="1" t="inlineStr">
        <is>
          <t>No</t>
        </is>
      </c>
      <c r="L2632" s="1" t="inlineStr">
        <is>
          <t>No</t>
        </is>
      </c>
      <c r="M2632" s="1" t="inlineStr">
        <is>
          <t>No</t>
        </is>
      </c>
      <c r="N2632" s="1" t="inlineStr">
        <is>
          <t>Database</t>
        </is>
      </c>
      <c r="O26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33" ht="15.75" customHeight="1" s="12">
      <c r="A2633" s="1" t="n">
        <v>2543</v>
      </c>
      <c r="B2633" s="3">
        <f>HYPERLINK("https://leetcode.com/problems/check-if-point-is-reachable/", "Check if Point Is Reachable")</f>
        <v/>
      </c>
      <c r="C2633" s="1" t="n">
        <v>261</v>
      </c>
      <c r="D2633" s="1" t="n">
        <v>52</v>
      </c>
      <c r="E2633" s="4">
        <f>IF(INDEX(C:C, ROW())+INDEX(D:D, ROW())=0, 0, INDEX(C:C, ROW())/(INDEX(C:C, ROW())+INDEX(D:D, ROW())))</f>
        <v/>
      </c>
      <c r="F2633" s="1" t="inlineStr">
        <is>
          <t>Math, Number Theory</t>
        </is>
      </c>
      <c r="G2633" s="1" t="inlineStr">
        <is>
          <t>Hard</t>
        </is>
      </c>
      <c r="H2633" s="1" t="n">
        <v>10560</v>
      </c>
      <c r="I2633" s="1" t="n">
        <v>23660</v>
      </c>
      <c r="J2633" s="9" t="n">
        <v>0.446</v>
      </c>
      <c r="K2633" s="1" t="inlineStr">
        <is>
          <t>Yes</t>
        </is>
      </c>
      <c r="L2633" s="1" t="inlineStr">
        <is>
          <t>No</t>
        </is>
      </c>
      <c r="M2633" s="1" t="inlineStr">
        <is>
          <t>No</t>
        </is>
      </c>
      <c r="N2633" s="1" t="inlineStr">
        <is>
          <t>Algorithms</t>
        </is>
      </c>
      <c r="O26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34" ht="15.75" customHeight="1" s="12">
      <c r="A2634" s="1" t="n">
        <v>2546</v>
      </c>
      <c r="B2634" s="3">
        <f>HYPERLINK("https://leetcode.com/problems/apply-bitwise-operations-to-make-strings-equal/", "Apply Bitwise Operations to Make Strings Equal")</f>
        <v/>
      </c>
      <c r="C2634" s="1" t="n">
        <v>261</v>
      </c>
      <c r="D2634" s="1" t="n">
        <v>101</v>
      </c>
      <c r="E2634" s="4">
        <f>IF(INDEX(C:C, ROW())+INDEX(D:D, ROW())=0, 0, INDEX(C:C, ROW())/(INDEX(C:C, ROW())+INDEX(D:D, ROW())))</f>
        <v/>
      </c>
      <c r="F2634" s="1" t="inlineStr">
        <is>
          <t>String, Bit Manipulation</t>
        </is>
      </c>
      <c r="G2634" s="1" t="inlineStr">
        <is>
          <t>Medium</t>
        </is>
      </c>
      <c r="H2634" s="1" t="n">
        <v>22410</v>
      </c>
      <c r="I2634" s="1" t="n">
        <v>52803</v>
      </c>
      <c r="J2634" s="9" t="n">
        <v>0.424</v>
      </c>
      <c r="K2634" s="1" t="inlineStr">
        <is>
          <t>Yes</t>
        </is>
      </c>
      <c r="L2634" s="1" t="inlineStr">
        <is>
          <t>No</t>
        </is>
      </c>
      <c r="M2634" s="1" t="inlineStr">
        <is>
          <t>No</t>
        </is>
      </c>
      <c r="N2634" s="1" t="inlineStr">
        <is>
          <t>Algorithms</t>
        </is>
      </c>
      <c r="O26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35" ht="15.75" customHeight="1" s="12">
      <c r="A2635" s="1" t="n">
        <v>2729</v>
      </c>
      <c r="B2635" s="3">
        <f>HYPERLINK("https://leetcode.com/problems/check-if-the-number-is-fascinating/", "Check if The Number is Fascinating")</f>
        <v/>
      </c>
      <c r="C2635" s="1" t="n">
        <v>261</v>
      </c>
      <c r="D2635" s="1" t="n">
        <v>14</v>
      </c>
      <c r="E2635" s="4">
        <f>IF(INDEX(C:C, ROW())+INDEX(D:D, ROW())=0, 0, INDEX(C:C, ROW())/(INDEX(C:C, ROW())+INDEX(D:D, ROW())))</f>
        <v/>
      </c>
      <c r="F2635" s="1" t="inlineStr">
        <is>
          <t>Hash Table, Math</t>
        </is>
      </c>
      <c r="G2635" s="1" t="inlineStr">
        <is>
          <t>Easy</t>
        </is>
      </c>
      <c r="H2635" s="1" t="n">
        <v>59583</v>
      </c>
      <c r="I2635" s="1" t="n">
        <v>112920</v>
      </c>
      <c r="J2635" s="9" t="n">
        <v>0.528</v>
      </c>
      <c r="K2635" s="1" t="inlineStr">
        <is>
          <t>Yes</t>
        </is>
      </c>
      <c r="L2635" s="1" t="inlineStr">
        <is>
          <t>No</t>
        </is>
      </c>
      <c r="M2635" s="1" t="inlineStr">
        <is>
          <t>No</t>
        </is>
      </c>
      <c r="N2635" s="1" t="inlineStr">
        <is>
          <t>Algorithms</t>
        </is>
      </c>
      <c r="O26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36" ht="15.75" customHeight="1" s="12">
      <c r="A2636" s="1" t="n">
        <v>2029</v>
      </c>
      <c r="B2636" s="3">
        <f>HYPERLINK("https://leetcode.com/problems/stone-game-ix/", "Stone Game IX")</f>
        <v/>
      </c>
      <c r="C2636" s="1" t="n">
        <v>260</v>
      </c>
      <c r="D2636" s="1" t="n">
        <v>281</v>
      </c>
      <c r="E2636" s="4">
        <f>IF(INDEX(C:C, ROW())+INDEX(D:D, ROW())=0, 0, INDEX(C:C, ROW())/(INDEX(C:C, ROW())+INDEX(D:D, ROW())))</f>
        <v/>
      </c>
      <c r="F2636" s="1" t="inlineStr">
        <is>
          <t>Array, Math, Greedy, Counting, Game Theory</t>
        </is>
      </c>
      <c r="G2636" s="1" t="inlineStr">
        <is>
          <t>Medium</t>
        </is>
      </c>
      <c r="H2636" s="1" t="n">
        <v>11133</v>
      </c>
      <c r="I2636" s="1" t="n">
        <v>37640</v>
      </c>
      <c r="J2636" s="9" t="n">
        <v>0.296</v>
      </c>
      <c r="K2636" s="1" t="inlineStr">
        <is>
          <t>Yes</t>
        </is>
      </c>
      <c r="L2636" s="1" t="inlineStr">
        <is>
          <t>No</t>
        </is>
      </c>
      <c r="M2636" s="1" t="inlineStr">
        <is>
          <t>No</t>
        </is>
      </c>
      <c r="N2636" s="1" t="inlineStr">
        <is>
          <t>Algorithms</t>
        </is>
      </c>
      <c r="O26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37" ht="15.75" customHeight="1" s="12">
      <c r="A2637" s="1" t="n">
        <v>3434</v>
      </c>
      <c r="B2637" s="3">
        <f>HYPERLINK("https://leetcode.com/problems/maximum-frequency-after-subarray-operation/", "Maximum Frequency After Subarray Operation")</f>
        <v/>
      </c>
      <c r="C2637" s="1" t="n">
        <v>260</v>
      </c>
      <c r="D2637" s="1" t="n">
        <v>34</v>
      </c>
      <c r="E2637" s="4">
        <f>IF(INDEX(C:C, ROW())+INDEX(D:D, ROW())=0, 0, INDEX(C:C, ROW())/(INDEX(C:C, ROW())+INDEX(D:D, ROW())))</f>
        <v/>
      </c>
      <c r="F2637" s="1" t="inlineStr">
        <is>
          <t>Array, Hash Table, Dynamic Programming, Greedy, Enumeration, Prefix Sum</t>
        </is>
      </c>
      <c r="G2637" s="1" t="inlineStr">
        <is>
          <t>Medium</t>
        </is>
      </c>
      <c r="H2637" s="1" t="n">
        <v>23846</v>
      </c>
      <c r="I2637" s="1" t="n">
        <v>78328</v>
      </c>
      <c r="J2637" s="9" t="n">
        <v>0.304</v>
      </c>
      <c r="K2637" s="1" t="inlineStr">
        <is>
          <t>Yes</t>
        </is>
      </c>
      <c r="L2637" s="1" t="inlineStr">
        <is>
          <t>No</t>
        </is>
      </c>
      <c r="M2637" s="1" t="inlineStr">
        <is>
          <t>No</t>
        </is>
      </c>
      <c r="N2637" s="1" t="inlineStr">
        <is>
          <t>Algorithms</t>
        </is>
      </c>
      <c r="O26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38" ht="15.75" customHeight="1" s="12">
      <c r="A2638" s="1" t="n">
        <v>656</v>
      </c>
      <c r="B2638" s="3">
        <f>HYPERLINK("https://leetcode.com/problems/coin-path/", "Coin Path")</f>
        <v/>
      </c>
      <c r="C2638" s="1" t="n">
        <v>259</v>
      </c>
      <c r="D2638" s="1" t="n">
        <v>114</v>
      </c>
      <c r="E2638" s="4">
        <f>IF(INDEX(C:C, ROW())+INDEX(D:D, ROW())=0, 0, INDEX(C:C, ROW())/(INDEX(C:C, ROW())+INDEX(D:D, ROW())))</f>
        <v/>
      </c>
      <c r="F2638" s="1" t="inlineStr">
        <is>
          <t>Array, Dynamic Programming</t>
        </is>
      </c>
      <c r="G2638" s="1" t="inlineStr">
        <is>
          <t>Hard</t>
        </is>
      </c>
      <c r="H2638" s="1" t="n">
        <v>17143</v>
      </c>
      <c r="I2638" s="1" t="n">
        <v>50144</v>
      </c>
      <c r="J2638" s="9" t="n">
        <v>0.342</v>
      </c>
      <c r="K2638" s="1" t="inlineStr">
        <is>
          <t>No</t>
        </is>
      </c>
      <c r="L2638" s="1" t="inlineStr">
        <is>
          <t>Yes</t>
        </is>
      </c>
      <c r="M2638" s="1" t="inlineStr">
        <is>
          <t>No</t>
        </is>
      </c>
      <c r="N2638" s="1" t="inlineStr">
        <is>
          <t>Algorithms</t>
        </is>
      </c>
      <c r="O26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39" ht="15.75" customHeight="1" s="12">
      <c r="A2639" s="1" t="n">
        <v>1874</v>
      </c>
      <c r="B2639" s="3">
        <f>HYPERLINK("https://leetcode.com/problems/minimize-product-sum-of-two-arrays/", "Minimize Product Sum of Two Arrays")</f>
        <v/>
      </c>
      <c r="C2639" s="1" t="n">
        <v>257</v>
      </c>
      <c r="D2639" s="1" t="n">
        <v>28</v>
      </c>
      <c r="E2639" s="4">
        <f>IF(INDEX(C:C, ROW())+INDEX(D:D, ROW())=0, 0, INDEX(C:C, ROW())/(INDEX(C:C, ROW())+INDEX(D:D, ROW())))</f>
        <v/>
      </c>
      <c r="F2639" s="1" t="inlineStr">
        <is>
          <t>Array, Greedy, Sorting</t>
        </is>
      </c>
      <c r="G2639" s="1" t="inlineStr">
        <is>
          <t>Medium</t>
        </is>
      </c>
      <c r="H2639" s="1" t="n">
        <v>25231</v>
      </c>
      <c r="I2639" s="1" t="n">
        <v>28079</v>
      </c>
      <c r="J2639" s="9" t="n">
        <v>0.899</v>
      </c>
      <c r="K2639" s="1" t="inlineStr">
        <is>
          <t>No</t>
        </is>
      </c>
      <c r="L2639" s="1" t="inlineStr">
        <is>
          <t>Yes</t>
        </is>
      </c>
      <c r="M2639" s="1" t="inlineStr">
        <is>
          <t>No</t>
        </is>
      </c>
      <c r="N2639" s="1" t="inlineStr">
        <is>
          <t>Algorithms</t>
        </is>
      </c>
      <c r="O26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40" ht="15.75" customHeight="1" s="12">
      <c r="A2640" s="1" t="n">
        <v>2721</v>
      </c>
      <c r="B2640" s="3">
        <f>HYPERLINK("https://leetcode.com/problems/execute-asynchronous-functions-in-parallel/", "Execute Asynchronous Functions in Parallel")</f>
        <v/>
      </c>
      <c r="C2640" s="1" t="n">
        <v>257</v>
      </c>
      <c r="D2640" s="1" t="n">
        <v>48</v>
      </c>
      <c r="E2640" s="4">
        <f>IF(INDEX(C:C, ROW())+INDEX(D:D, ROW())=0, 0, INDEX(C:C, ROW())/(INDEX(C:C, ROW())+INDEX(D:D, ROW())))</f>
        <v/>
      </c>
      <c r="F2640" s="2" t="n"/>
      <c r="G2640" s="1" t="inlineStr">
        <is>
          <t>Medium</t>
        </is>
      </c>
      <c r="H2640" s="1" t="n">
        <v>51456</v>
      </c>
      <c r="I2640" s="1" t="n">
        <v>65826</v>
      </c>
      <c r="J2640" s="9" t="n">
        <v>0.782</v>
      </c>
      <c r="K2640" s="1" t="inlineStr">
        <is>
          <t>Yes</t>
        </is>
      </c>
      <c r="L2640" s="1" t="inlineStr">
        <is>
          <t>Yes</t>
        </is>
      </c>
      <c r="M2640" s="1" t="inlineStr">
        <is>
          <t>No</t>
        </is>
      </c>
      <c r="N2640" s="1" t="inlineStr">
        <is>
          <t>JavaScript</t>
        </is>
      </c>
      <c r="O26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41" ht="15.75" customHeight="1" s="12">
      <c r="A2641" s="1" t="n">
        <v>2906</v>
      </c>
      <c r="B2641" s="3">
        <f>HYPERLINK("https://leetcode.com/problems/construct-product-matrix/", "Construct Product Matrix")</f>
        <v/>
      </c>
      <c r="C2641" s="1" t="n">
        <v>257</v>
      </c>
      <c r="D2641" s="1" t="n">
        <v>22</v>
      </c>
      <c r="E2641" s="4">
        <f>IF(INDEX(C:C, ROW())+INDEX(D:D, ROW())=0, 0, INDEX(C:C, ROW())/(INDEX(C:C, ROW())+INDEX(D:D, ROW())))</f>
        <v/>
      </c>
      <c r="F2641" s="1" t="inlineStr">
        <is>
          <t>Array, Matrix, Prefix Sum</t>
        </is>
      </c>
      <c r="G2641" s="1" t="inlineStr">
        <is>
          <t>Medium</t>
        </is>
      </c>
      <c r="H2641" s="1" t="n">
        <v>16678</v>
      </c>
      <c r="I2641" s="1" t="n">
        <v>52211</v>
      </c>
      <c r="J2641" s="9" t="n">
        <v>0.319</v>
      </c>
      <c r="K2641" s="1" t="inlineStr">
        <is>
          <t>Yes</t>
        </is>
      </c>
      <c r="L2641" s="1" t="inlineStr">
        <is>
          <t>No</t>
        </is>
      </c>
      <c r="M2641" s="1" t="inlineStr">
        <is>
          <t>No</t>
        </is>
      </c>
      <c r="N2641" s="1" t="inlineStr">
        <is>
          <t>Algorithms</t>
        </is>
      </c>
      <c r="O26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42" ht="15.75" customHeight="1" s="12">
      <c r="A2642" s="1" t="n">
        <v>3113</v>
      </c>
      <c r="B2642" s="3">
        <f>HYPERLINK("https://leetcode.com/problems/find-the-number-of-subarrays-where-boundary-elements-are-maximum/", "Find the Number of Subarrays Where Boundary Elements Are Maximum")</f>
        <v/>
      </c>
      <c r="C2642" s="1" t="n">
        <v>257</v>
      </c>
      <c r="D2642" s="1" t="n">
        <v>6</v>
      </c>
      <c r="E2642" s="4">
        <f>IF(INDEX(C:C, ROW())+INDEX(D:D, ROW())=0, 0, INDEX(C:C, ROW())/(INDEX(C:C, ROW())+INDEX(D:D, ROW())))</f>
        <v/>
      </c>
      <c r="F2642" s="1" t="inlineStr">
        <is>
          <t>Array, Binary Search, Stack, Monotonic Stack</t>
        </is>
      </c>
      <c r="G2642" s="1" t="inlineStr">
        <is>
          <t>Hard</t>
        </is>
      </c>
      <c r="H2642" s="1" t="n">
        <v>14209</v>
      </c>
      <c r="I2642" s="1" t="n">
        <v>43595</v>
      </c>
      <c r="J2642" s="9" t="n">
        <v>0.326</v>
      </c>
      <c r="K2642" s="1" t="inlineStr">
        <is>
          <t>Yes</t>
        </is>
      </c>
      <c r="L2642" s="1" t="inlineStr">
        <is>
          <t>No</t>
        </is>
      </c>
      <c r="M2642" s="1" t="inlineStr">
        <is>
          <t>No</t>
        </is>
      </c>
      <c r="N2642" s="1" t="inlineStr">
        <is>
          <t>Algorithms</t>
        </is>
      </c>
      <c r="O26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43" ht="15.75" customHeight="1" s="12">
      <c r="A2643" s="1" t="n">
        <v>3454</v>
      </c>
      <c r="B2643" s="3">
        <f>HYPERLINK("https://leetcode.com/problems/separate-squares-ii/", "Separate Squares II")</f>
        <v/>
      </c>
      <c r="C2643" s="1" t="n">
        <v>257</v>
      </c>
      <c r="D2643" s="1" t="n">
        <v>62</v>
      </c>
      <c r="E2643" s="4">
        <f>IF(INDEX(C:C, ROW())+INDEX(D:D, ROW())=0, 0, INDEX(C:C, ROW())/(INDEX(C:C, ROW())+INDEX(D:D, ROW())))</f>
        <v/>
      </c>
      <c r="F2643" s="1" t="inlineStr">
        <is>
          <t>Array, Binary Search, Segment Tree, Sweep Line</t>
        </is>
      </c>
      <c r="G2643" s="1" t="inlineStr">
        <is>
          <t>Hard</t>
        </is>
      </c>
      <c r="H2643" s="1" t="n">
        <v>58665</v>
      </c>
      <c r="I2643" s="1" t="n">
        <v>97124</v>
      </c>
      <c r="J2643" s="9" t="n">
        <v>0.604</v>
      </c>
      <c r="K2643" s="1" t="inlineStr">
        <is>
          <t>Yes</t>
        </is>
      </c>
      <c r="L2643" s="1" t="inlineStr">
        <is>
          <t>Yes</t>
        </is>
      </c>
      <c r="M2643" s="1" t="inlineStr">
        <is>
          <t>No</t>
        </is>
      </c>
      <c r="N2643" s="1" t="inlineStr">
        <is>
          <t>Algorithms</t>
        </is>
      </c>
      <c r="O26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44" ht="15.75" customHeight="1" s="12">
      <c r="A2644" s="1" t="n">
        <v>3625</v>
      </c>
      <c r="B2644" s="3">
        <f>HYPERLINK("https://leetcode.com/problems/count-number-of-trapezoids-ii/", "Count Number of Trapezoids II")</f>
        <v/>
      </c>
      <c r="C2644" s="1" t="n">
        <v>257</v>
      </c>
      <c r="D2644" s="1" t="n">
        <v>96</v>
      </c>
      <c r="E2644" s="4">
        <f>IF(INDEX(C:C, ROW())+INDEX(D:D, ROW())=0, 0, INDEX(C:C, ROW())/(INDEX(C:C, ROW())+INDEX(D:D, ROW())))</f>
        <v/>
      </c>
      <c r="F2644" s="1" t="inlineStr">
        <is>
          <t>Array, Hash Table, Math, Geometry</t>
        </is>
      </c>
      <c r="G2644" s="1" t="inlineStr">
        <is>
          <t>Hard</t>
        </is>
      </c>
      <c r="H2644" s="1" t="n">
        <v>55261</v>
      </c>
      <c r="I2644" s="1" t="n">
        <v>137667</v>
      </c>
      <c r="J2644" s="9" t="n">
        <v>0.401</v>
      </c>
      <c r="K2644" s="1" t="inlineStr">
        <is>
          <t>Yes</t>
        </is>
      </c>
      <c r="L2644" s="1" t="inlineStr">
        <is>
          <t>Yes</t>
        </is>
      </c>
      <c r="M2644" s="1" t="inlineStr">
        <is>
          <t>No</t>
        </is>
      </c>
      <c r="N2644" s="1" t="inlineStr">
        <is>
          <t>Algorithms</t>
        </is>
      </c>
      <c r="O26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45" ht="15.75" customHeight="1" s="12">
      <c r="A2645" s="1" t="n">
        <v>1033</v>
      </c>
      <c r="B2645" s="3">
        <f>HYPERLINK("https://leetcode.com/problems/moving-stones-until-consecutive/", "Moving Stones Until Consecutive")</f>
        <v/>
      </c>
      <c r="C2645" s="1" t="n">
        <v>255</v>
      </c>
      <c r="D2645" s="1" t="n">
        <v>658</v>
      </c>
      <c r="E2645" s="4">
        <f>IF(INDEX(C:C, ROW())+INDEX(D:D, ROW())=0, 0, INDEX(C:C, ROW())/(INDEX(C:C, ROW())+INDEX(D:D, ROW())))</f>
        <v/>
      </c>
      <c r="F2645" s="1" t="inlineStr">
        <is>
          <t>Math, Brainteaser</t>
        </is>
      </c>
      <c r="G2645" s="1" t="inlineStr">
        <is>
          <t>Medium</t>
        </is>
      </c>
      <c r="H2645" s="1" t="n">
        <v>33463</v>
      </c>
      <c r="I2645" s="1" t="n">
        <v>64363</v>
      </c>
      <c r="J2645" s="9" t="n">
        <v>0.52</v>
      </c>
      <c r="K2645" s="1" t="inlineStr">
        <is>
          <t>Yes</t>
        </is>
      </c>
      <c r="L2645" s="1" t="inlineStr">
        <is>
          <t>No</t>
        </is>
      </c>
      <c r="M2645" s="1" t="inlineStr">
        <is>
          <t>No</t>
        </is>
      </c>
      <c r="N2645" s="1" t="inlineStr">
        <is>
          <t>Algorithms</t>
        </is>
      </c>
      <c r="O26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46" ht="15.75" customHeight="1" s="12">
      <c r="A2646" s="1" t="n">
        <v>580</v>
      </c>
      <c r="B2646" s="3">
        <f>HYPERLINK("https://leetcode.com/problems/count-student-number-in-departments/", "Count Student Number in Departments")</f>
        <v/>
      </c>
      <c r="C2646" s="1" t="n">
        <v>254</v>
      </c>
      <c r="D2646" s="1" t="n">
        <v>38</v>
      </c>
      <c r="E2646" s="4">
        <f>IF(INDEX(C:C, ROW())+INDEX(D:D, ROW())=0, 0, INDEX(C:C, ROW())/(INDEX(C:C, ROW())+INDEX(D:D, ROW())))</f>
        <v/>
      </c>
      <c r="F2646" s="1" t="inlineStr">
        <is>
          <t>Database</t>
        </is>
      </c>
      <c r="G2646" s="1" t="inlineStr">
        <is>
          <t>Medium</t>
        </is>
      </c>
      <c r="H2646" s="1" t="n">
        <v>77495</v>
      </c>
      <c r="I2646" s="1" t="n">
        <v>129353</v>
      </c>
      <c r="J2646" s="9" t="n">
        <v>0.599</v>
      </c>
      <c r="K2646" s="1" t="inlineStr">
        <is>
          <t>No</t>
        </is>
      </c>
      <c r="L2646" s="1" t="inlineStr">
        <is>
          <t>Yes</t>
        </is>
      </c>
      <c r="M2646" s="1" t="inlineStr">
        <is>
          <t>No</t>
        </is>
      </c>
      <c r="N2646" s="1" t="inlineStr">
        <is>
          <t>Database</t>
        </is>
      </c>
      <c r="O26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47" ht="15.75" customHeight="1" s="12">
      <c r="A2647" s="1" t="n">
        <v>1960</v>
      </c>
      <c r="B2647" s="3">
        <f>HYPERLINK("https://leetcode.com/problems/maximum-product-of-the-length-of-two-palindromic-substrings/", "Maximum Product of the Length of Two Palindromic Substrings")</f>
        <v/>
      </c>
      <c r="C2647" s="1" t="n">
        <v>254</v>
      </c>
      <c r="D2647" s="1" t="n">
        <v>43</v>
      </c>
      <c r="E2647" s="4">
        <f>IF(INDEX(C:C, ROW())+INDEX(D:D, ROW())=0, 0, INDEX(C:C, ROW())/(INDEX(C:C, ROW())+INDEX(D:D, ROW())))</f>
        <v/>
      </c>
      <c r="F2647" s="1" t="inlineStr">
        <is>
          <t>String, Rolling Hash, Hash Function</t>
        </is>
      </c>
      <c r="G2647" s="1" t="inlineStr">
        <is>
          <t>Hard</t>
        </is>
      </c>
      <c r="H2647" s="1" t="n">
        <v>4828</v>
      </c>
      <c r="I2647" s="1" t="n">
        <v>15684</v>
      </c>
      <c r="J2647" s="9" t="n">
        <v>0.308</v>
      </c>
      <c r="K2647" s="1" t="inlineStr">
        <is>
          <t>Yes</t>
        </is>
      </c>
      <c r="L2647" s="1" t="inlineStr">
        <is>
          <t>No</t>
        </is>
      </c>
      <c r="M2647" s="1" t="inlineStr">
        <is>
          <t>No</t>
        </is>
      </c>
      <c r="N2647" s="1" t="inlineStr">
        <is>
          <t>Algorithms</t>
        </is>
      </c>
      <c r="O26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48" ht="15.75" customHeight="1" s="12">
      <c r="A2648" s="1" t="n">
        <v>3035</v>
      </c>
      <c r="B2648" s="3">
        <f>HYPERLINK("https://leetcode.com/problems/maximum-palindromes-after-operations/", "Maximum Palindromes After Operations")</f>
        <v/>
      </c>
      <c r="C2648" s="1" t="n">
        <v>254</v>
      </c>
      <c r="D2648" s="1" t="n">
        <v>11</v>
      </c>
      <c r="E2648" s="4">
        <f>IF(INDEX(C:C, ROW())+INDEX(D:D, ROW())=0, 0, INDEX(C:C, ROW())/(INDEX(C:C, ROW())+INDEX(D:D, ROW())))</f>
        <v/>
      </c>
      <c r="F2648" s="1" t="inlineStr">
        <is>
          <t>Array, Hash Table, String, Greedy, Sorting, Counting</t>
        </is>
      </c>
      <c r="G2648" s="1" t="inlineStr">
        <is>
          <t>Medium</t>
        </is>
      </c>
      <c r="H2648" s="1" t="n">
        <v>20387</v>
      </c>
      <c r="I2648" s="1" t="n">
        <v>45099</v>
      </c>
      <c r="J2648" s="9" t="n">
        <v>0.452</v>
      </c>
      <c r="K2648" s="1" t="inlineStr">
        <is>
          <t>Yes</t>
        </is>
      </c>
      <c r="L2648" s="1" t="inlineStr">
        <is>
          <t>No</t>
        </is>
      </c>
      <c r="M2648" s="1" t="inlineStr">
        <is>
          <t>No</t>
        </is>
      </c>
      <c r="N2648" s="1" t="inlineStr">
        <is>
          <t>Algorithms</t>
        </is>
      </c>
      <c r="O26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49" ht="15.75" customHeight="1" s="12">
      <c r="A2649" s="1" t="n">
        <v>2682</v>
      </c>
      <c r="B2649" s="3">
        <f>HYPERLINK("https://leetcode.com/problems/find-the-losers-of-the-circular-game/", "Find the Losers of the Circular Game")</f>
        <v/>
      </c>
      <c r="C2649" s="1" t="n">
        <v>253</v>
      </c>
      <c r="D2649" s="1" t="n">
        <v>42</v>
      </c>
      <c r="E2649" s="4">
        <f>IF(INDEX(C:C, ROW())+INDEX(D:D, ROW())=0, 0, INDEX(C:C, ROW())/(INDEX(C:C, ROW())+INDEX(D:D, ROW())))</f>
        <v/>
      </c>
      <c r="F2649" s="1" t="inlineStr">
        <is>
          <t>Array, Hash Table, Simulation</t>
        </is>
      </c>
      <c r="G2649" s="1" t="inlineStr">
        <is>
          <t>Easy</t>
        </is>
      </c>
      <c r="H2649" s="1" t="n">
        <v>33544</v>
      </c>
      <c r="I2649" s="1" t="n">
        <v>67557</v>
      </c>
      <c r="J2649" s="9" t="n">
        <v>0.497</v>
      </c>
      <c r="K2649" s="1" t="inlineStr">
        <is>
          <t>Yes</t>
        </is>
      </c>
      <c r="L2649" s="1" t="inlineStr">
        <is>
          <t>No</t>
        </is>
      </c>
      <c r="M2649" s="1" t="inlineStr">
        <is>
          <t>No</t>
        </is>
      </c>
      <c r="N2649" s="1" t="inlineStr">
        <is>
          <t>Algorithms</t>
        </is>
      </c>
      <c r="O26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50" ht="15.75" customHeight="1" s="12">
      <c r="A2650" s="1" t="n">
        <v>2953</v>
      </c>
      <c r="B2650" s="3">
        <f>HYPERLINK("https://leetcode.com/problems/count-complete-substrings/", "Count Complete Substrings")</f>
        <v/>
      </c>
      <c r="C2650" s="1" t="n">
        <v>253</v>
      </c>
      <c r="D2650" s="1" t="n">
        <v>40</v>
      </c>
      <c r="E2650" s="4">
        <f>IF(INDEX(C:C, ROW())+INDEX(D:D, ROW())=0, 0, INDEX(C:C, ROW())/(INDEX(C:C, ROW())+INDEX(D:D, ROW())))</f>
        <v/>
      </c>
      <c r="F2650" s="1" t="inlineStr">
        <is>
          <t>Hash Table, String, Sliding Window</t>
        </is>
      </c>
      <c r="G2650" s="1" t="inlineStr">
        <is>
          <t>Hard</t>
        </is>
      </c>
      <c r="H2650" s="1" t="n">
        <v>10660</v>
      </c>
      <c r="I2650" s="1" t="n">
        <v>35846</v>
      </c>
      <c r="J2650" s="9" t="n">
        <v>0.297</v>
      </c>
      <c r="K2650" s="1" t="inlineStr">
        <is>
          <t>Yes</t>
        </is>
      </c>
      <c r="L2650" s="1" t="inlineStr">
        <is>
          <t>No</t>
        </is>
      </c>
      <c r="M2650" s="1" t="inlineStr">
        <is>
          <t>No</t>
        </is>
      </c>
      <c r="N2650" s="1" t="inlineStr">
        <is>
          <t>Algorithms</t>
        </is>
      </c>
      <c r="O26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51" ht="15.75" customHeight="1" s="12">
      <c r="A2651" s="1" t="n">
        <v>2612</v>
      </c>
      <c r="B2651" s="3">
        <f>HYPERLINK("https://leetcode.com/problems/minimum-reverse-operations/", "Minimum Reverse Operations")</f>
        <v/>
      </c>
      <c r="C2651" s="1" t="n">
        <v>252</v>
      </c>
      <c r="D2651" s="1" t="n">
        <v>74</v>
      </c>
      <c r="E2651" s="4">
        <f>IF(INDEX(C:C, ROW())+INDEX(D:D, ROW())=0, 0, INDEX(C:C, ROW())/(INDEX(C:C, ROW())+INDEX(D:D, ROW())))</f>
        <v/>
      </c>
      <c r="F2651" s="1" t="inlineStr">
        <is>
          <t>Array, Hash Table, Breadth-First Search, Union-Find, Ordered Set</t>
        </is>
      </c>
      <c r="G2651" s="1" t="inlineStr">
        <is>
          <t>Hard</t>
        </is>
      </c>
      <c r="H2651" s="1" t="n">
        <v>6852</v>
      </c>
      <c r="I2651" s="1" t="n">
        <v>41516</v>
      </c>
      <c r="J2651" s="9" t="n">
        <v>0.165</v>
      </c>
      <c r="K2651" s="1" t="inlineStr">
        <is>
          <t>Yes</t>
        </is>
      </c>
      <c r="L2651" s="1" t="inlineStr">
        <is>
          <t>No</t>
        </is>
      </c>
      <c r="M2651" s="1" t="inlineStr">
        <is>
          <t>No</t>
        </is>
      </c>
      <c r="N2651" s="1" t="inlineStr">
        <is>
          <t>Algorithms</t>
        </is>
      </c>
      <c r="O26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52" ht="15.75" customHeight="1" s="12">
      <c r="A2652" s="1" t="n">
        <v>1259</v>
      </c>
      <c r="B2652" s="3">
        <f>HYPERLINK("https://leetcode.com/problems/handshakes-that-dont-cross/", "Handshakes That Don't Cross")</f>
        <v/>
      </c>
      <c r="C2652" s="1" t="n">
        <v>251</v>
      </c>
      <c r="D2652" s="1" t="n">
        <v>17</v>
      </c>
      <c r="E2652" s="4">
        <f>IF(INDEX(C:C, ROW())+INDEX(D:D, ROW())=0, 0, INDEX(C:C, ROW())/(INDEX(C:C, ROW())+INDEX(D:D, ROW())))</f>
        <v/>
      </c>
      <c r="F2652" s="1" t="inlineStr">
        <is>
          <t>Math, Dynamic Programming</t>
        </is>
      </c>
      <c r="G2652" s="1" t="inlineStr">
        <is>
          <t>Hard</t>
        </is>
      </c>
      <c r="H2652" s="1" t="n">
        <v>13632</v>
      </c>
      <c r="I2652" s="1" t="n">
        <v>22770</v>
      </c>
      <c r="J2652" s="9" t="n">
        <v>0.599</v>
      </c>
      <c r="K2652" s="1" t="inlineStr">
        <is>
          <t>No</t>
        </is>
      </c>
      <c r="L2652" s="1" t="inlineStr">
        <is>
          <t>Yes</t>
        </is>
      </c>
      <c r="M2652" s="1" t="inlineStr">
        <is>
          <t>No</t>
        </is>
      </c>
      <c r="N2652" s="1" t="inlineStr">
        <is>
          <t>Algorithms</t>
        </is>
      </c>
      <c r="O26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53" ht="15.75" customHeight="1" s="12">
      <c r="A2653" s="1" t="n">
        <v>1445</v>
      </c>
      <c r="B2653" s="3">
        <f>HYPERLINK("https://leetcode.com/problems/apples-oranges/", "Apples &amp; Oranges")</f>
        <v/>
      </c>
      <c r="C2653" s="1" t="n">
        <v>251</v>
      </c>
      <c r="D2653" s="1" t="n">
        <v>23</v>
      </c>
      <c r="E2653" s="4">
        <f>IF(INDEX(C:C, ROW())+INDEX(D:D, ROW())=0, 0, INDEX(C:C, ROW())/(INDEX(C:C, ROW())+INDEX(D:D, ROW())))</f>
        <v/>
      </c>
      <c r="F2653" s="1" t="inlineStr">
        <is>
          <t>Database</t>
        </is>
      </c>
      <c r="G2653" s="1" t="inlineStr">
        <is>
          <t>Medium</t>
        </is>
      </c>
      <c r="H2653" s="1" t="n">
        <v>64948</v>
      </c>
      <c r="I2653" s="1" t="n">
        <v>75473</v>
      </c>
      <c r="J2653" s="9" t="n">
        <v>0.861</v>
      </c>
      <c r="K2653" s="1" t="inlineStr">
        <is>
          <t>No</t>
        </is>
      </c>
      <c r="L2653" s="1" t="inlineStr">
        <is>
          <t>Yes</t>
        </is>
      </c>
      <c r="M2653" s="1" t="inlineStr">
        <is>
          <t>No</t>
        </is>
      </c>
      <c r="N2653" s="1" t="inlineStr">
        <is>
          <t>Database</t>
        </is>
      </c>
      <c r="O26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54" ht="15.75" customHeight="1" s="12">
      <c r="A2654" s="1" t="n">
        <v>2249</v>
      </c>
      <c r="B2654" s="3">
        <f>HYPERLINK("https://leetcode.com/problems/count-lattice-points-inside-a-circle/", "Count Lattice Points Inside a Circle")</f>
        <v/>
      </c>
      <c r="C2654" s="1" t="n">
        <v>251</v>
      </c>
      <c r="D2654" s="1" t="n">
        <v>223</v>
      </c>
      <c r="E2654" s="4">
        <f>IF(INDEX(C:C, ROW())+INDEX(D:D, ROW())=0, 0, INDEX(C:C, ROW())/(INDEX(C:C, ROW())+INDEX(D:D, ROW())))</f>
        <v/>
      </c>
      <c r="F2654" s="1" t="inlineStr">
        <is>
          <t>Array, Hash Table, Math, Geometry, Enumeration</t>
        </is>
      </c>
      <c r="G2654" s="1" t="inlineStr">
        <is>
          <t>Medium</t>
        </is>
      </c>
      <c r="H2654" s="1" t="n">
        <v>31879</v>
      </c>
      <c r="I2654" s="1" t="n">
        <v>56649</v>
      </c>
      <c r="J2654" s="9" t="n">
        <v>0.5629999999999999</v>
      </c>
      <c r="K2654" s="1" t="inlineStr">
        <is>
          <t>Yes</t>
        </is>
      </c>
      <c r="L2654" s="1" t="inlineStr">
        <is>
          <t>No</t>
        </is>
      </c>
      <c r="M2654" s="1" t="inlineStr">
        <is>
          <t>No</t>
        </is>
      </c>
      <c r="N2654" s="1" t="inlineStr">
        <is>
          <t>Algorithms</t>
        </is>
      </c>
      <c r="O26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55" ht="15.75" customHeight="1" s="12">
      <c r="A2655" s="1" t="n">
        <v>3045</v>
      </c>
      <c r="B2655" s="3">
        <f>HYPERLINK("https://leetcode.com/problems/count-prefix-and-suffix-pairs-ii/", "Count Prefix and Suffix Pairs II")</f>
        <v/>
      </c>
      <c r="C2655" s="1" t="n">
        <v>251</v>
      </c>
      <c r="D2655" s="1" t="n">
        <v>12</v>
      </c>
      <c r="E2655" s="4">
        <f>IF(INDEX(C:C, ROW())+INDEX(D:D, ROW())=0, 0, INDEX(C:C, ROW())/(INDEX(C:C, ROW())+INDEX(D:D, ROW())))</f>
        <v/>
      </c>
      <c r="F2655" s="1" t="inlineStr">
        <is>
          <t>Array, String, Trie, Rolling Hash, String Matching, Hash Function</t>
        </is>
      </c>
      <c r="G2655" s="1" t="inlineStr">
        <is>
          <t>Hard</t>
        </is>
      </c>
      <c r="H2655" s="1" t="n">
        <v>16115</v>
      </c>
      <c r="I2655" s="1" t="n">
        <v>57849</v>
      </c>
      <c r="J2655" s="9" t="n">
        <v>0.279</v>
      </c>
      <c r="K2655" s="1" t="inlineStr">
        <is>
          <t>Yes</t>
        </is>
      </c>
      <c r="L2655" s="1" t="inlineStr">
        <is>
          <t>No</t>
        </is>
      </c>
      <c r="M2655" s="1" t="inlineStr">
        <is>
          <t>No</t>
        </is>
      </c>
      <c r="N2655" s="1" t="inlineStr">
        <is>
          <t>Algorithms</t>
        </is>
      </c>
      <c r="O26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56" ht="15.75" customHeight="1" s="12">
      <c r="A2656" s="1" t="n">
        <v>3116</v>
      </c>
      <c r="B2656" s="3">
        <f>HYPERLINK("https://leetcode.com/problems/kth-smallest-amount-with-single-denomination-combination/", "Kth Smallest Amount With Single Denomination Combination")</f>
        <v/>
      </c>
      <c r="C2656" s="1" t="n">
        <v>251</v>
      </c>
      <c r="D2656" s="1" t="n">
        <v>19</v>
      </c>
      <c r="E2656" s="4">
        <f>IF(INDEX(C:C, ROW())+INDEX(D:D, ROW())=0, 0, INDEX(C:C, ROW())/(INDEX(C:C, ROW())+INDEX(D:D, ROW())))</f>
        <v/>
      </c>
      <c r="F2656" s="1" t="inlineStr">
        <is>
          <t>Array, Math, Binary Search, Bit Manipulation, Combinatorics, Number Theory</t>
        </is>
      </c>
      <c r="G2656" s="1" t="inlineStr">
        <is>
          <t>Hard</t>
        </is>
      </c>
      <c r="H2656" s="1" t="n">
        <v>11453</v>
      </c>
      <c r="I2656" s="1" t="n">
        <v>57904</v>
      </c>
      <c r="J2656" s="9" t="n">
        <v>0.198</v>
      </c>
      <c r="K2656" s="1" t="inlineStr">
        <is>
          <t>Yes</t>
        </is>
      </c>
      <c r="L2656" s="1" t="inlineStr">
        <is>
          <t>No</t>
        </is>
      </c>
      <c r="M2656" s="1" t="inlineStr">
        <is>
          <t>No</t>
        </is>
      </c>
      <c r="N2656" s="1" t="inlineStr">
        <is>
          <t>Algorithms</t>
        </is>
      </c>
      <c r="O26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57" ht="15.75" customHeight="1" s="12">
      <c r="A2657" s="1" t="n">
        <v>3224</v>
      </c>
      <c r="B2657" s="3">
        <f>HYPERLINK("https://leetcode.com/problems/minimum-array-changes-to-make-differences-equal/", "Minimum Array Changes to Make Differences Equal")</f>
        <v/>
      </c>
      <c r="C2657" s="1" t="n">
        <v>251</v>
      </c>
      <c r="D2657" s="1" t="n">
        <v>28</v>
      </c>
      <c r="E2657" s="4">
        <f>IF(INDEX(C:C, ROW())+INDEX(D:D, ROW())=0, 0, INDEX(C:C, ROW())/(INDEX(C:C, ROW())+INDEX(D:D, ROW())))</f>
        <v/>
      </c>
      <c r="F2657" s="1" t="inlineStr">
        <is>
          <t>Array, Hash Table, Prefix Sum</t>
        </is>
      </c>
      <c r="G2657" s="1" t="inlineStr">
        <is>
          <t>Medium</t>
        </is>
      </c>
      <c r="H2657" s="1" t="n">
        <v>15080</v>
      </c>
      <c r="I2657" s="1" t="n">
        <v>62401</v>
      </c>
      <c r="J2657" s="9" t="n">
        <v>0.242</v>
      </c>
      <c r="K2657" s="1" t="inlineStr">
        <is>
          <t>Yes</t>
        </is>
      </c>
      <c r="L2657" s="1" t="inlineStr">
        <is>
          <t>No</t>
        </is>
      </c>
      <c r="M2657" s="1" t="inlineStr">
        <is>
          <t>No</t>
        </is>
      </c>
      <c r="N2657" s="1" t="inlineStr">
        <is>
          <t>Algorithms</t>
        </is>
      </c>
      <c r="O26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58" ht="15.75" customHeight="1" s="12">
      <c r="A2658" s="1" t="n">
        <v>2268</v>
      </c>
      <c r="B2658" s="3">
        <f>HYPERLINK("https://leetcode.com/problems/minimum-number-of-keypresses/", "Minimum Number of Keypresses")</f>
        <v/>
      </c>
      <c r="C2658" s="1" t="n">
        <v>250</v>
      </c>
      <c r="D2658" s="1" t="n">
        <v>39</v>
      </c>
      <c r="E2658" s="4">
        <f>IF(INDEX(C:C, ROW())+INDEX(D:D, ROW())=0, 0, INDEX(C:C, ROW())/(INDEX(C:C, ROW())+INDEX(D:D, ROW())))</f>
        <v/>
      </c>
      <c r="F2658" s="1" t="inlineStr">
        <is>
          <t>Hash Table, String, Greedy, Sorting, Counting</t>
        </is>
      </c>
      <c r="G2658" s="1" t="inlineStr">
        <is>
          <t>Medium</t>
        </is>
      </c>
      <c r="H2658" s="1" t="n">
        <v>36834</v>
      </c>
      <c r="I2658" s="1" t="n">
        <v>51570</v>
      </c>
      <c r="J2658" s="9" t="n">
        <v>0.714</v>
      </c>
      <c r="K2658" s="1" t="inlineStr">
        <is>
          <t>No</t>
        </is>
      </c>
      <c r="L2658" s="1" t="inlineStr">
        <is>
          <t>No</t>
        </is>
      </c>
      <c r="M2658" s="1" t="inlineStr">
        <is>
          <t>No</t>
        </is>
      </c>
      <c r="N2658" s="1" t="inlineStr">
        <is>
          <t>Algorithms</t>
        </is>
      </c>
      <c r="O26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59" ht="15.75" customHeight="1" s="12">
      <c r="A2659" s="1" t="n">
        <v>3090</v>
      </c>
      <c r="B2659" s="3">
        <f>HYPERLINK("https://leetcode.com/problems/maximum-length-substring-with-two-occurrences/", "Maximum Length Substring With Two Occurrences")</f>
        <v/>
      </c>
      <c r="C2659" s="1" t="n">
        <v>250</v>
      </c>
      <c r="D2659" s="1" t="n">
        <v>21</v>
      </c>
      <c r="E2659" s="4">
        <f>IF(INDEX(C:C, ROW())+INDEX(D:D, ROW())=0, 0, INDEX(C:C, ROW())/(INDEX(C:C, ROW())+INDEX(D:D, ROW())))</f>
        <v/>
      </c>
      <c r="F2659" s="1" t="inlineStr">
        <is>
          <t>Hash Table, String, Sliding Window</t>
        </is>
      </c>
      <c r="G2659" s="1" t="inlineStr">
        <is>
          <t>Easy</t>
        </is>
      </c>
      <c r="H2659" s="1" t="n">
        <v>60514</v>
      </c>
      <c r="I2659" s="1" t="n">
        <v>93273</v>
      </c>
      <c r="J2659" s="9" t="n">
        <v>0.649</v>
      </c>
      <c r="K2659" s="1" t="inlineStr">
        <is>
          <t>Yes</t>
        </is>
      </c>
      <c r="L2659" s="1" t="inlineStr">
        <is>
          <t>No</t>
        </is>
      </c>
      <c r="M2659" s="1" t="inlineStr">
        <is>
          <t>No</t>
        </is>
      </c>
      <c r="N2659" s="1" t="inlineStr">
        <is>
          <t>Algorithms</t>
        </is>
      </c>
      <c r="O26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60" ht="15.75" customHeight="1" s="12">
      <c r="A2660" s="1" t="n">
        <v>2917</v>
      </c>
      <c r="B2660" s="3">
        <f>HYPERLINK("https://leetcode.com/problems/find-the-k-or-of-an-array/", "Find the K-or of an Array")</f>
        <v/>
      </c>
      <c r="C2660" s="1" t="n">
        <v>248</v>
      </c>
      <c r="D2660" s="1" t="n">
        <v>277</v>
      </c>
      <c r="E2660" s="4">
        <f>IF(INDEX(C:C, ROW())+INDEX(D:D, ROW())=0, 0, INDEX(C:C, ROW())/(INDEX(C:C, ROW())+INDEX(D:D, ROW())))</f>
        <v/>
      </c>
      <c r="F2660" s="1" t="inlineStr">
        <is>
          <t>Array, Bit Manipulation</t>
        </is>
      </c>
      <c r="G2660" s="1" t="inlineStr">
        <is>
          <t>Easy</t>
        </is>
      </c>
      <c r="H2660" s="1" t="n">
        <v>34173</v>
      </c>
      <c r="I2660" s="1" t="n">
        <v>47040</v>
      </c>
      <c r="J2660" s="9" t="n">
        <v>0.726</v>
      </c>
      <c r="K2660" s="1" t="inlineStr">
        <is>
          <t>Yes</t>
        </is>
      </c>
      <c r="L2660" s="1" t="inlineStr">
        <is>
          <t>No</t>
        </is>
      </c>
      <c r="M2660" s="1" t="inlineStr">
        <is>
          <t>No</t>
        </is>
      </c>
      <c r="N2660" s="1" t="inlineStr">
        <is>
          <t>Algorithms</t>
        </is>
      </c>
      <c r="O26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61" ht="15.75" customHeight="1" s="12">
      <c r="A2661" s="1" t="n">
        <v>3164</v>
      </c>
      <c r="B2661" s="3">
        <f>HYPERLINK("https://leetcode.com/problems/find-the-number-of-good-pairs-ii/", "Find the Number of Good Pairs II")</f>
        <v/>
      </c>
      <c r="C2661" s="1" t="n">
        <v>248</v>
      </c>
      <c r="D2661" s="1" t="n">
        <v>39</v>
      </c>
      <c r="E2661" s="4">
        <f>IF(INDEX(C:C, ROW())+INDEX(D:D, ROW())=0, 0, INDEX(C:C, ROW())/(INDEX(C:C, ROW())+INDEX(D:D, ROW())))</f>
        <v/>
      </c>
      <c r="F2661" s="1" t="inlineStr">
        <is>
          <t>Array, Hash Table</t>
        </is>
      </c>
      <c r="G2661" s="1" t="inlineStr">
        <is>
          <t>Medium</t>
        </is>
      </c>
      <c r="H2661" s="1" t="n">
        <v>29122</v>
      </c>
      <c r="I2661" s="1" t="n">
        <v>109797</v>
      </c>
      <c r="J2661" s="9" t="n">
        <v>0.265</v>
      </c>
      <c r="K2661" s="1" t="inlineStr">
        <is>
          <t>Yes</t>
        </is>
      </c>
      <c r="L2661" s="1" t="inlineStr">
        <is>
          <t>No</t>
        </is>
      </c>
      <c r="M2661" s="1" t="inlineStr">
        <is>
          <t>No</t>
        </is>
      </c>
      <c r="N2661" s="1" t="inlineStr">
        <is>
          <t>Algorithms</t>
        </is>
      </c>
      <c r="O26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62" ht="15.75" customHeight="1" s="12">
      <c r="A2662" s="1" t="n">
        <v>579</v>
      </c>
      <c r="B2662" s="3">
        <f>HYPERLINK("https://leetcode.com/problems/find-cumulative-salary-of-an-employee/", "Find Cumulative Salary of an Employee")</f>
        <v/>
      </c>
      <c r="C2662" s="1" t="n">
        <v>247</v>
      </c>
      <c r="D2662" s="1" t="n">
        <v>405</v>
      </c>
      <c r="E2662" s="4">
        <f>IF(INDEX(C:C, ROW())+INDEX(D:D, ROW())=0, 0, INDEX(C:C, ROW())/(INDEX(C:C, ROW())+INDEX(D:D, ROW())))</f>
        <v/>
      </c>
      <c r="F2662" s="1" t="inlineStr">
        <is>
          <t>Database</t>
        </is>
      </c>
      <c r="G2662" s="1" t="inlineStr">
        <is>
          <t>Hard</t>
        </is>
      </c>
      <c r="H2662" s="1" t="n">
        <v>43204</v>
      </c>
      <c r="I2662" s="1" t="n">
        <v>87633</v>
      </c>
      <c r="J2662" s="9" t="n">
        <v>0.493</v>
      </c>
      <c r="K2662" s="1" t="inlineStr">
        <is>
          <t>No</t>
        </is>
      </c>
      <c r="L2662" s="1" t="inlineStr">
        <is>
          <t>Yes</t>
        </is>
      </c>
      <c r="M2662" s="1" t="inlineStr">
        <is>
          <t>No</t>
        </is>
      </c>
      <c r="N2662" s="1" t="inlineStr">
        <is>
          <t>Database</t>
        </is>
      </c>
      <c r="O26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63" ht="15.75" customHeight="1" s="12">
      <c r="A2663" s="1" t="n">
        <v>1896</v>
      </c>
      <c r="B2663" s="3">
        <f>HYPERLINK("https://leetcode.com/problems/minimum-cost-to-change-the-final-value-of-expression/", "Minimum Cost to Change the Final Value of Expression")</f>
        <v/>
      </c>
      <c r="C2663" s="1" t="n">
        <v>247</v>
      </c>
      <c r="D2663" s="1" t="n">
        <v>42</v>
      </c>
      <c r="E2663" s="4">
        <f>IF(INDEX(C:C, ROW())+INDEX(D:D, ROW())=0, 0, INDEX(C:C, ROW())/(INDEX(C:C, ROW())+INDEX(D:D, ROW())))</f>
        <v/>
      </c>
      <c r="F2663" s="1" t="inlineStr">
        <is>
          <t>Math, String, Dynamic Programming, Stack</t>
        </is>
      </c>
      <c r="G2663" s="1" t="inlineStr">
        <is>
          <t>Hard</t>
        </is>
      </c>
      <c r="H2663" s="1" t="n">
        <v>5142</v>
      </c>
      <c r="I2663" s="1" t="n">
        <v>10058</v>
      </c>
      <c r="J2663" s="9" t="n">
        <v>0.511</v>
      </c>
      <c r="K2663" s="1" t="inlineStr">
        <is>
          <t>Yes</t>
        </is>
      </c>
      <c r="L2663" s="1" t="inlineStr">
        <is>
          <t>No</t>
        </is>
      </c>
      <c r="M2663" s="1" t="inlineStr">
        <is>
          <t>No</t>
        </is>
      </c>
      <c r="N2663" s="1" t="inlineStr">
        <is>
          <t>Algorithms</t>
        </is>
      </c>
      <c r="O26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64" ht="15.75" customHeight="1" s="12">
      <c r="A2664" s="1" t="n">
        <v>2644</v>
      </c>
      <c r="B2664" s="3">
        <f>HYPERLINK("https://leetcode.com/problems/find-the-maximum-divisibility-score/", "Find the Maximum Divisibility Score")</f>
        <v/>
      </c>
      <c r="C2664" s="1" t="n">
        <v>247</v>
      </c>
      <c r="D2664" s="1" t="n">
        <v>66</v>
      </c>
      <c r="E2664" s="4">
        <f>IF(INDEX(C:C, ROW())+INDEX(D:D, ROW())=0, 0, INDEX(C:C, ROW())/(INDEX(C:C, ROW())+INDEX(D:D, ROW())))</f>
        <v/>
      </c>
      <c r="F2664" s="1" t="inlineStr">
        <is>
          <t>Array</t>
        </is>
      </c>
      <c r="G2664" s="1" t="inlineStr">
        <is>
          <t>Easy</t>
        </is>
      </c>
      <c r="H2664" s="1" t="n">
        <v>41165</v>
      </c>
      <c r="I2664" s="1" t="n">
        <v>80006</v>
      </c>
      <c r="J2664" s="9" t="n">
        <v>0.515</v>
      </c>
      <c r="K2664" s="1" t="inlineStr">
        <is>
          <t>Yes</t>
        </is>
      </c>
      <c r="L2664" s="1" t="inlineStr">
        <is>
          <t>No</t>
        </is>
      </c>
      <c r="M2664" s="1" t="inlineStr">
        <is>
          <t>No</t>
        </is>
      </c>
      <c r="N2664" s="1" t="inlineStr">
        <is>
          <t>Algorithms</t>
        </is>
      </c>
      <c r="O26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65" ht="15.75" customHeight="1" s="12">
      <c r="A2665" s="1" t="n">
        <v>2909</v>
      </c>
      <c r="B2665" s="3">
        <f>HYPERLINK("https://leetcode.com/problems/minimum-sum-of-mountain-triplets-ii/", "Minimum Sum of Mountain Triplets II")</f>
        <v/>
      </c>
      <c r="C2665" s="1" t="n">
        <v>247</v>
      </c>
      <c r="D2665" s="1" t="n">
        <v>10</v>
      </c>
      <c r="E2665" s="4">
        <f>IF(INDEX(C:C, ROW())+INDEX(D:D, ROW())=0, 0, INDEX(C:C, ROW())/(INDEX(C:C, ROW())+INDEX(D:D, ROW())))</f>
        <v/>
      </c>
      <c r="F2665" s="1" t="inlineStr">
        <is>
          <t>Array</t>
        </is>
      </c>
      <c r="G2665" s="1" t="inlineStr">
        <is>
          <t>Medium</t>
        </is>
      </c>
      <c r="H2665" s="1" t="n">
        <v>31177</v>
      </c>
      <c r="I2665" s="1" t="n">
        <v>57350</v>
      </c>
      <c r="J2665" s="9" t="n">
        <v>0.544</v>
      </c>
      <c r="K2665" s="1" t="inlineStr">
        <is>
          <t>Yes</t>
        </is>
      </c>
      <c r="L2665" s="1" t="inlineStr">
        <is>
          <t>No</t>
        </is>
      </c>
      <c r="M2665" s="1" t="inlineStr">
        <is>
          <t>No</t>
        </is>
      </c>
      <c r="N2665" s="1" t="inlineStr">
        <is>
          <t>Algorithms</t>
        </is>
      </c>
      <c r="O26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66" ht="15.75" customHeight="1" s="12">
      <c r="A2666" s="1" t="n">
        <v>810</v>
      </c>
      <c r="B2666" s="3">
        <f>HYPERLINK("https://leetcode.com/problems/chalkboard-xor-game/", "Chalkboard XOR Game")</f>
        <v/>
      </c>
      <c r="C2666" s="1" t="n">
        <v>246</v>
      </c>
      <c r="D2666" s="1" t="n">
        <v>287</v>
      </c>
      <c r="E2666" s="4">
        <f>IF(INDEX(C:C, ROW())+INDEX(D:D, ROW())=0, 0, INDEX(C:C, ROW())/(INDEX(C:C, ROW())+INDEX(D:D, ROW())))</f>
        <v/>
      </c>
      <c r="F2666" s="1" t="inlineStr">
        <is>
          <t>Array, Math, Bit Manipulation, Brainteaser, Game Theory</t>
        </is>
      </c>
      <c r="G2666" s="1" t="inlineStr">
        <is>
          <t>Hard</t>
        </is>
      </c>
      <c r="H2666" s="1" t="n">
        <v>17996</v>
      </c>
      <c r="I2666" s="1" t="n">
        <v>27558</v>
      </c>
      <c r="J2666" s="9" t="n">
        <v>0.653</v>
      </c>
      <c r="K2666" s="1" t="inlineStr">
        <is>
          <t>Yes</t>
        </is>
      </c>
      <c r="L2666" s="1" t="inlineStr">
        <is>
          <t>Yes</t>
        </is>
      </c>
      <c r="M2666" s="1" t="inlineStr">
        <is>
          <t>No</t>
        </is>
      </c>
      <c r="N2666" s="1" t="inlineStr">
        <is>
          <t>Algorithms</t>
        </is>
      </c>
      <c r="O26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67" ht="15.75" customHeight="1" s="12">
      <c r="A2667" s="1" t="n">
        <v>1515</v>
      </c>
      <c r="B2667" s="3">
        <f>HYPERLINK("https://leetcode.com/problems/best-position-for-a-service-centre/", "Best Position for a Service Centre")</f>
        <v/>
      </c>
      <c r="C2667" s="1" t="n">
        <v>246</v>
      </c>
      <c r="D2667" s="1" t="n">
        <v>274</v>
      </c>
      <c r="E2667" s="4">
        <f>IF(INDEX(C:C, ROW())+INDEX(D:D, ROW())=0, 0, INDEX(C:C, ROW())/(INDEX(C:C, ROW())+INDEX(D:D, ROW())))</f>
        <v/>
      </c>
      <c r="F2667" s="1" t="inlineStr">
        <is>
          <t>Array, Math, Geometry, Randomized</t>
        </is>
      </c>
      <c r="G2667" s="1" t="inlineStr">
        <is>
          <t>Hard</t>
        </is>
      </c>
      <c r="H2667" s="1" t="n">
        <v>18755</v>
      </c>
      <c r="I2667" s="1" t="n">
        <v>53433</v>
      </c>
      <c r="J2667" s="9" t="n">
        <v>0.351</v>
      </c>
      <c r="K2667" s="1" t="inlineStr">
        <is>
          <t>Yes</t>
        </is>
      </c>
      <c r="L2667" s="1" t="inlineStr">
        <is>
          <t>No</t>
        </is>
      </c>
      <c r="M2667" s="1" t="inlineStr">
        <is>
          <t>No</t>
        </is>
      </c>
      <c r="N2667" s="1" t="inlineStr">
        <is>
          <t>Algorithms</t>
        </is>
      </c>
      <c r="O26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68" ht="15.75" customHeight="1" s="12">
      <c r="A2668" s="1" t="n">
        <v>2809</v>
      </c>
      <c r="B2668" s="3">
        <f>HYPERLINK("https://leetcode.com/problems/minimum-time-to-make-array-sum-at-most-x/", "Minimum Time to Make Array Sum At Most x")</f>
        <v/>
      </c>
      <c r="C2668" s="1" t="n">
        <v>246</v>
      </c>
      <c r="D2668" s="1" t="n">
        <v>16</v>
      </c>
      <c r="E2668" s="4">
        <f>IF(INDEX(C:C, ROW())+INDEX(D:D, ROW())=0, 0, INDEX(C:C, ROW())/(INDEX(C:C, ROW())+INDEX(D:D, ROW())))</f>
        <v/>
      </c>
      <c r="F2668" s="1" t="inlineStr">
        <is>
          <t>Array, Dynamic Programming, Sorting</t>
        </is>
      </c>
      <c r="G2668" s="1" t="inlineStr">
        <is>
          <t>Hard</t>
        </is>
      </c>
      <c r="H2668" s="1" t="n">
        <v>6251</v>
      </c>
      <c r="I2668" s="1" t="n">
        <v>23336</v>
      </c>
      <c r="J2668" s="9" t="n">
        <v>0.268</v>
      </c>
      <c r="K2668" s="1" t="inlineStr">
        <is>
          <t>Yes</t>
        </is>
      </c>
      <c r="L2668" s="1" t="inlineStr">
        <is>
          <t>No</t>
        </is>
      </c>
      <c r="M2668" s="1" t="inlineStr">
        <is>
          <t>No</t>
        </is>
      </c>
      <c r="N2668" s="1" t="inlineStr">
        <is>
          <t>Algorithms</t>
        </is>
      </c>
      <c r="O26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69" ht="15.75" customHeight="1" s="12">
      <c r="A2669" s="1" t="n">
        <v>1783</v>
      </c>
      <c r="B2669" s="3">
        <f>HYPERLINK("https://leetcode.com/problems/grand-slam-titles/", "Grand Slam Titles")</f>
        <v/>
      </c>
      <c r="C2669" s="1" t="n">
        <v>245</v>
      </c>
      <c r="D2669" s="1" t="n">
        <v>10</v>
      </c>
      <c r="E2669" s="4">
        <f>IF(INDEX(C:C, ROW())+INDEX(D:D, ROW())=0, 0, INDEX(C:C, ROW())/(INDEX(C:C, ROW())+INDEX(D:D, ROW())))</f>
        <v/>
      </c>
      <c r="F2669" s="1" t="inlineStr">
        <is>
          <t>Database</t>
        </is>
      </c>
      <c r="G2669" s="1" t="inlineStr">
        <is>
          <t>Medium</t>
        </is>
      </c>
      <c r="H2669" s="1" t="n">
        <v>33588</v>
      </c>
      <c r="I2669" s="1" t="n">
        <v>40485</v>
      </c>
      <c r="J2669" s="9" t="n">
        <v>0.83</v>
      </c>
      <c r="K2669" s="1" t="inlineStr">
        <is>
          <t>No</t>
        </is>
      </c>
      <c r="L2669" s="1" t="inlineStr">
        <is>
          <t>No</t>
        </is>
      </c>
      <c r="M2669" s="1" t="inlineStr">
        <is>
          <t>No</t>
        </is>
      </c>
      <c r="N2669" s="1" t="inlineStr">
        <is>
          <t>Database</t>
        </is>
      </c>
      <c r="O26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70" ht="15.75" customHeight="1" s="12">
      <c r="A2670" s="1" t="n">
        <v>1885</v>
      </c>
      <c r="B2670" s="3">
        <f>HYPERLINK("https://leetcode.com/problems/count-pairs-in-two-arrays/", "Count Pairs in Two Arrays")</f>
        <v/>
      </c>
      <c r="C2670" s="1" t="n">
        <v>244</v>
      </c>
      <c r="D2670" s="1" t="n">
        <v>23</v>
      </c>
      <c r="E2670" s="4">
        <f>IF(INDEX(C:C, ROW())+INDEX(D:D, ROW())=0, 0, INDEX(C:C, ROW())/(INDEX(C:C, ROW())+INDEX(D:D, ROW())))</f>
        <v/>
      </c>
      <c r="F2670" s="1" t="inlineStr">
        <is>
          <t>Array, Two Pointers, Binary Search, Sorting</t>
        </is>
      </c>
      <c r="G2670" s="1" t="inlineStr">
        <is>
          <t>Medium</t>
        </is>
      </c>
      <c r="H2670" s="1" t="n">
        <v>11998</v>
      </c>
      <c r="I2670" s="1" t="n">
        <v>19874</v>
      </c>
      <c r="J2670" s="9" t="n">
        <v>0.604</v>
      </c>
      <c r="K2670" s="1" t="inlineStr">
        <is>
          <t>No</t>
        </is>
      </c>
      <c r="L2670" s="1" t="inlineStr">
        <is>
          <t>Yes</t>
        </is>
      </c>
      <c r="M2670" s="1" t="inlineStr">
        <is>
          <t>No</t>
        </is>
      </c>
      <c r="N2670" s="1" t="inlineStr">
        <is>
          <t>Algorithms</t>
        </is>
      </c>
      <c r="O26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71" ht="15.75" customHeight="1" s="12">
      <c r="A2671" s="1" t="n">
        <v>2967</v>
      </c>
      <c r="B2671" s="3">
        <f>HYPERLINK("https://leetcode.com/problems/minimum-cost-to-make-array-equalindromic/", "Minimum Cost to Make Array Equalindromic")</f>
        <v/>
      </c>
      <c r="C2671" s="1" t="n">
        <v>244</v>
      </c>
      <c r="D2671" s="1" t="n">
        <v>100</v>
      </c>
      <c r="E2671" s="4">
        <f>IF(INDEX(C:C, ROW())+INDEX(D:D, ROW())=0, 0, INDEX(C:C, ROW())/(INDEX(C:C, ROW())+INDEX(D:D, ROW())))</f>
        <v/>
      </c>
      <c r="F2671" s="1" t="inlineStr">
        <is>
          <t>Array, Math, Binary Search, Greedy, Sorting</t>
        </is>
      </c>
      <c r="G2671" s="1" t="inlineStr">
        <is>
          <t>Medium</t>
        </is>
      </c>
      <c r="H2671" s="1" t="n">
        <v>15945</v>
      </c>
      <c r="I2671" s="1" t="n">
        <v>68710</v>
      </c>
      <c r="J2671" s="9" t="n">
        <v>0.232</v>
      </c>
      <c r="K2671" s="1" t="inlineStr">
        <is>
          <t>Yes</t>
        </is>
      </c>
      <c r="L2671" s="1" t="inlineStr">
        <is>
          <t>No</t>
        </is>
      </c>
      <c r="M2671" s="1" t="inlineStr">
        <is>
          <t>No</t>
        </is>
      </c>
      <c r="N2671" s="1" t="inlineStr">
        <is>
          <t>Algorithms</t>
        </is>
      </c>
      <c r="O26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72" ht="15.75" customHeight="1" s="12">
      <c r="A2672" s="1" t="n">
        <v>2765</v>
      </c>
      <c r="B2672" s="3">
        <f>HYPERLINK("https://leetcode.com/problems/longest-alternating-subarray/", "Longest Alternating Subarray")</f>
        <v/>
      </c>
      <c r="C2672" s="1" t="n">
        <v>243</v>
      </c>
      <c r="D2672" s="1" t="n">
        <v>187</v>
      </c>
      <c r="E2672" s="4">
        <f>IF(INDEX(C:C, ROW())+INDEX(D:D, ROW())=0, 0, INDEX(C:C, ROW())/(INDEX(C:C, ROW())+INDEX(D:D, ROW())))</f>
        <v/>
      </c>
      <c r="F2672" s="1" t="inlineStr">
        <is>
          <t>Array, Enumeration</t>
        </is>
      </c>
      <c r="G2672" s="1" t="inlineStr">
        <is>
          <t>Easy</t>
        </is>
      </c>
      <c r="H2672" s="1" t="n">
        <v>32372</v>
      </c>
      <c r="I2672" s="1" t="n">
        <v>92503</v>
      </c>
      <c r="J2672" s="9" t="n">
        <v>0.35</v>
      </c>
      <c r="K2672" s="1" t="inlineStr">
        <is>
          <t>Yes</t>
        </is>
      </c>
      <c r="L2672" s="1" t="inlineStr">
        <is>
          <t>No</t>
        </is>
      </c>
      <c r="M2672" s="1" t="inlineStr">
        <is>
          <t>No</t>
        </is>
      </c>
      <c r="N2672" s="1" t="inlineStr">
        <is>
          <t>Algorithms</t>
        </is>
      </c>
      <c r="O26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73" ht="15.75" customHeight="1" s="12">
      <c r="A2673" s="1" t="n">
        <v>2972</v>
      </c>
      <c r="B2673" s="3">
        <f>HYPERLINK("https://leetcode.com/problems/count-the-number-of-incremovable-subarrays-ii/", "Count the Number of Incremovable Subarrays II")</f>
        <v/>
      </c>
      <c r="C2673" s="1" t="n">
        <v>243</v>
      </c>
      <c r="D2673" s="1" t="n">
        <v>19</v>
      </c>
      <c r="E2673" s="4">
        <f>IF(INDEX(C:C, ROW())+INDEX(D:D, ROW())=0, 0, INDEX(C:C, ROW())/(INDEX(C:C, ROW())+INDEX(D:D, ROW())))</f>
        <v/>
      </c>
      <c r="F2673" s="1" t="inlineStr">
        <is>
          <t>Array, Two Pointers, Binary Search</t>
        </is>
      </c>
      <c r="G2673" s="1" t="inlineStr">
        <is>
          <t>Hard</t>
        </is>
      </c>
      <c r="H2673" s="1" t="n">
        <v>10918</v>
      </c>
      <c r="I2673" s="1" t="n">
        <v>27341</v>
      </c>
      <c r="J2673" s="9" t="n">
        <v>0.399</v>
      </c>
      <c r="K2673" s="1" t="inlineStr">
        <is>
          <t>Yes</t>
        </is>
      </c>
      <c r="L2673" s="1" t="inlineStr">
        <is>
          <t>No</t>
        </is>
      </c>
      <c r="M2673" s="1" t="inlineStr">
        <is>
          <t>No</t>
        </is>
      </c>
      <c r="N2673" s="1" t="inlineStr">
        <is>
          <t>Algorithms</t>
        </is>
      </c>
      <c r="O26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74" ht="15.75" customHeight="1" s="12">
      <c r="A2674" s="1" t="n">
        <v>615</v>
      </c>
      <c r="B2674" s="3">
        <f>HYPERLINK("https://leetcode.com/problems/average-salary-departments-vs-company/", "Average Salary: Departments VS Company")</f>
        <v/>
      </c>
      <c r="C2674" s="1" t="n">
        <v>242</v>
      </c>
      <c r="D2674" s="1" t="n">
        <v>77</v>
      </c>
      <c r="E2674" s="4">
        <f>IF(INDEX(C:C, ROW())+INDEX(D:D, ROW())=0, 0, INDEX(C:C, ROW())/(INDEX(C:C, ROW())+INDEX(D:D, ROW())))</f>
        <v/>
      </c>
      <c r="F2674" s="1" t="inlineStr">
        <is>
          <t>Database</t>
        </is>
      </c>
      <c r="G2674" s="1" t="inlineStr">
        <is>
          <t>Hard</t>
        </is>
      </c>
      <c r="H2674" s="1" t="n">
        <v>42989</v>
      </c>
      <c r="I2674" s="1" t="n">
        <v>75791</v>
      </c>
      <c r="J2674" s="9" t="n">
        <v>0.5669999999999999</v>
      </c>
      <c r="K2674" s="1" t="inlineStr">
        <is>
          <t>No</t>
        </is>
      </c>
      <c r="L2674" s="1" t="inlineStr">
        <is>
          <t>Yes</t>
        </is>
      </c>
      <c r="M2674" s="1" t="inlineStr">
        <is>
          <t>No</t>
        </is>
      </c>
      <c r="N2674" s="1" t="inlineStr">
        <is>
          <t>Database</t>
        </is>
      </c>
      <c r="O26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75" ht="15.75" customHeight="1" s="12">
      <c r="A2675" s="1" t="n">
        <v>2855</v>
      </c>
      <c r="B2675" s="3">
        <f>HYPERLINK("https://leetcode.com/problems/minimum-right-shifts-to-sort-the-array/", "Minimum Right Shifts to Sort the Array")</f>
        <v/>
      </c>
      <c r="C2675" s="1" t="n">
        <v>242</v>
      </c>
      <c r="D2675" s="1" t="n">
        <v>10</v>
      </c>
      <c r="E2675" s="4">
        <f>IF(INDEX(C:C, ROW())+INDEX(D:D, ROW())=0, 0, INDEX(C:C, ROW())/(INDEX(C:C, ROW())+INDEX(D:D, ROW())))</f>
        <v/>
      </c>
      <c r="F2675" s="1" t="inlineStr">
        <is>
          <t>Array</t>
        </is>
      </c>
      <c r="G2675" s="1" t="inlineStr">
        <is>
          <t>Easy</t>
        </is>
      </c>
      <c r="H2675" s="1" t="n">
        <v>41806</v>
      </c>
      <c r="I2675" s="1" t="n">
        <v>73149</v>
      </c>
      <c r="J2675" s="9" t="n">
        <v>0.572</v>
      </c>
      <c r="K2675" s="1" t="inlineStr">
        <is>
          <t>Yes</t>
        </is>
      </c>
      <c r="L2675" s="1" t="inlineStr">
        <is>
          <t>No</t>
        </is>
      </c>
      <c r="M2675" s="1" t="inlineStr">
        <is>
          <t>No</t>
        </is>
      </c>
      <c r="N2675" s="1" t="inlineStr">
        <is>
          <t>Algorithms</t>
        </is>
      </c>
      <c r="O26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76" ht="15.75" customHeight="1" s="12">
      <c r="A2676" s="1" t="n">
        <v>2871</v>
      </c>
      <c r="B2676" s="3">
        <f>HYPERLINK("https://leetcode.com/problems/split-array-into-maximum-number-of-subarrays/", "Split Array Into Maximum Number of Subarrays")</f>
        <v/>
      </c>
      <c r="C2676" s="1" t="n">
        <v>242</v>
      </c>
      <c r="D2676" s="1" t="n">
        <v>32</v>
      </c>
      <c r="E2676" s="4">
        <f>IF(INDEX(C:C, ROW())+INDEX(D:D, ROW())=0, 0, INDEX(C:C, ROW())/(INDEX(C:C, ROW())+INDEX(D:D, ROW())))</f>
        <v/>
      </c>
      <c r="F2676" s="1" t="inlineStr">
        <is>
          <t>Array, Greedy, Bit Manipulation</t>
        </is>
      </c>
      <c r="G2676" s="1" t="inlineStr">
        <is>
          <t>Medium</t>
        </is>
      </c>
      <c r="H2676" s="1" t="n">
        <v>19027</v>
      </c>
      <c r="I2676" s="1" t="n">
        <v>45071</v>
      </c>
      <c r="J2676" s="9" t="n">
        <v>0.422</v>
      </c>
      <c r="K2676" s="1" t="inlineStr">
        <is>
          <t>Yes</t>
        </is>
      </c>
      <c r="L2676" s="1" t="inlineStr">
        <is>
          <t>No</t>
        </is>
      </c>
      <c r="M2676" s="1" t="inlineStr">
        <is>
          <t>No</t>
        </is>
      </c>
      <c r="N2676" s="1" t="inlineStr">
        <is>
          <t>Algorithms</t>
        </is>
      </c>
      <c r="O26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77" ht="15.75" customHeight="1" s="12">
      <c r="A2677" s="1" t="n">
        <v>2093</v>
      </c>
      <c r="B2677" s="3">
        <f>HYPERLINK("https://leetcode.com/problems/minimum-cost-to-reach-city-with-discounts/", "Minimum Cost to Reach City With Discounts")</f>
        <v/>
      </c>
      <c r="C2677" s="1" t="n">
        <v>241</v>
      </c>
      <c r="D2677" s="1" t="n">
        <v>23</v>
      </c>
      <c r="E2677" s="4">
        <f>IF(INDEX(C:C, ROW())+INDEX(D:D, ROW())=0, 0, INDEX(C:C, ROW())/(INDEX(C:C, ROW())+INDEX(D:D, ROW())))</f>
        <v/>
      </c>
      <c r="F2677" s="1" t="inlineStr">
        <is>
          <t>Graph Theory, Heap (Priority Queue), Shortest Path</t>
        </is>
      </c>
      <c r="G2677" s="1" t="inlineStr">
        <is>
          <t>Medium</t>
        </is>
      </c>
      <c r="H2677" s="1" t="n">
        <v>12165</v>
      </c>
      <c r="I2677" s="1" t="n">
        <v>20261</v>
      </c>
      <c r="J2677" s="9" t="n">
        <v>0.6</v>
      </c>
      <c r="K2677" s="1" t="inlineStr">
        <is>
          <t>No</t>
        </is>
      </c>
      <c r="L2677" s="1" t="inlineStr">
        <is>
          <t>Yes</t>
        </is>
      </c>
      <c r="M2677" s="1" t="inlineStr">
        <is>
          <t>No</t>
        </is>
      </c>
      <c r="N2677" s="1" t="inlineStr">
        <is>
          <t>Algorithms</t>
        </is>
      </c>
      <c r="O26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78" ht="15.75" customHeight="1" s="12">
      <c r="A2678" s="1" t="n">
        <v>3101</v>
      </c>
      <c r="B2678" s="3">
        <f>HYPERLINK("https://leetcode.com/problems/count-alternating-subarrays/", "Count Alternating Subarrays")</f>
        <v/>
      </c>
      <c r="C2678" s="1" t="n">
        <v>241</v>
      </c>
      <c r="D2678" s="1" t="n">
        <v>10</v>
      </c>
      <c r="E2678" s="4">
        <f>IF(INDEX(C:C, ROW())+INDEX(D:D, ROW())=0, 0, INDEX(C:C, ROW())/(INDEX(C:C, ROW())+INDEX(D:D, ROW())))</f>
        <v/>
      </c>
      <c r="F2678" s="1" t="inlineStr">
        <is>
          <t>Array, Math</t>
        </is>
      </c>
      <c r="G2678" s="1" t="inlineStr">
        <is>
          <t>Medium</t>
        </is>
      </c>
      <c r="H2678" s="1" t="n">
        <v>44008</v>
      </c>
      <c r="I2678" s="1" t="n">
        <v>76971</v>
      </c>
      <c r="J2678" s="9" t="n">
        <v>0.572</v>
      </c>
      <c r="K2678" s="1" t="inlineStr">
        <is>
          <t>Yes</t>
        </is>
      </c>
      <c r="L2678" s="1" t="inlineStr">
        <is>
          <t>No</t>
        </is>
      </c>
      <c r="M2678" s="1" t="inlineStr">
        <is>
          <t>No</t>
        </is>
      </c>
      <c r="N2678" s="1" t="inlineStr">
        <is>
          <t>Algorithms</t>
        </is>
      </c>
      <c r="O26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79" ht="15.75" customHeight="1" s="12">
      <c r="A2679" s="1" t="n">
        <v>1199</v>
      </c>
      <c r="B2679" s="3">
        <f>HYPERLINK("https://leetcode.com/problems/minimum-time-to-build-blocks/", "Minimum Time to Build Blocks")</f>
        <v/>
      </c>
      <c r="C2679" s="1" t="n">
        <v>240</v>
      </c>
      <c r="D2679" s="1" t="n">
        <v>33</v>
      </c>
      <c r="E2679" s="4">
        <f>IF(INDEX(C:C, ROW())+INDEX(D:D, ROW())=0, 0, INDEX(C:C, ROW())/(INDEX(C:C, ROW())+INDEX(D:D, ROW())))</f>
        <v/>
      </c>
      <c r="F2679" s="1" t="inlineStr">
        <is>
          <t>Array, Math, Greedy, Heap (Priority Queue)</t>
        </is>
      </c>
      <c r="G2679" s="1" t="inlineStr">
        <is>
          <t>Hard</t>
        </is>
      </c>
      <c r="H2679" s="1" t="n">
        <v>7122</v>
      </c>
      <c r="I2679" s="1" t="n">
        <v>15345</v>
      </c>
      <c r="J2679" s="9" t="n">
        <v>0.464</v>
      </c>
      <c r="K2679" s="1" t="inlineStr">
        <is>
          <t>No</t>
        </is>
      </c>
      <c r="L2679" s="1" t="inlineStr">
        <is>
          <t>Yes</t>
        </is>
      </c>
      <c r="M2679" s="1" t="inlineStr">
        <is>
          <t>No</t>
        </is>
      </c>
      <c r="N2679" s="1" t="inlineStr">
        <is>
          <t>Algorithms</t>
        </is>
      </c>
      <c r="O26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80" ht="15.75" customHeight="1" s="12">
      <c r="A2680" s="1" t="n">
        <v>1613</v>
      </c>
      <c r="B2680" s="3">
        <f>HYPERLINK("https://leetcode.com/problems/find-the-missing-ids/", "Find the Missing IDs")</f>
        <v/>
      </c>
      <c r="C2680" s="1" t="n">
        <v>236</v>
      </c>
      <c r="D2680" s="1" t="n">
        <v>31</v>
      </c>
      <c r="E2680" s="4">
        <f>IF(INDEX(C:C, ROW())+INDEX(D:D, ROW())=0, 0, INDEX(C:C, ROW())/(INDEX(C:C, ROW())+INDEX(D:D, ROW())))</f>
        <v/>
      </c>
      <c r="F2680" s="1" t="inlineStr">
        <is>
          <t>Database</t>
        </is>
      </c>
      <c r="G2680" s="1" t="inlineStr">
        <is>
          <t>Medium</t>
        </is>
      </c>
      <c r="H2680" s="1" t="n">
        <v>22860</v>
      </c>
      <c r="I2680" s="1" t="n">
        <v>31366</v>
      </c>
      <c r="J2680" s="9" t="n">
        <v>0.729</v>
      </c>
      <c r="K2680" s="1" t="inlineStr">
        <is>
          <t>No</t>
        </is>
      </c>
      <c r="L2680" s="1" t="inlineStr">
        <is>
          <t>No</t>
        </is>
      </c>
      <c r="M2680" s="1" t="inlineStr">
        <is>
          <t>No</t>
        </is>
      </c>
      <c r="N2680" s="1" t="inlineStr">
        <is>
          <t>Database</t>
        </is>
      </c>
      <c r="O26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81" ht="15.75" customHeight="1" s="12">
      <c r="A2681" s="1" t="n">
        <v>2162</v>
      </c>
      <c r="B2681" s="3">
        <f>HYPERLINK("https://leetcode.com/problems/minimum-cost-to-set-cooking-time/", "Minimum Cost to Set Cooking Time")</f>
        <v/>
      </c>
      <c r="C2681" s="1" t="n">
        <v>236</v>
      </c>
      <c r="D2681" s="1" t="n">
        <v>644</v>
      </c>
      <c r="E2681" s="4">
        <f>IF(INDEX(C:C, ROW())+INDEX(D:D, ROW())=0, 0, INDEX(C:C, ROW())/(INDEX(C:C, ROW())+INDEX(D:D, ROW())))</f>
        <v/>
      </c>
      <c r="F2681" s="1" t="inlineStr">
        <is>
          <t>Math, Enumeration</t>
        </is>
      </c>
      <c r="G2681" s="1" t="inlineStr">
        <is>
          <t>Medium</t>
        </is>
      </c>
      <c r="H2681" s="1" t="n">
        <v>19426</v>
      </c>
      <c r="I2681" s="1" t="n">
        <v>46943</v>
      </c>
      <c r="J2681" s="9" t="n">
        <v>0.414</v>
      </c>
      <c r="K2681" s="1" t="inlineStr">
        <is>
          <t>Yes</t>
        </is>
      </c>
      <c r="L2681" s="1" t="inlineStr">
        <is>
          <t>No</t>
        </is>
      </c>
      <c r="M2681" s="1" t="inlineStr">
        <is>
          <t>No</t>
        </is>
      </c>
      <c r="N2681" s="1" t="inlineStr">
        <is>
          <t>Algorithms</t>
        </is>
      </c>
      <c r="O26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82" ht="15.75" customHeight="1" s="12">
      <c r="A2682" s="1" t="n">
        <v>3419</v>
      </c>
      <c r="B2682" s="3">
        <f>HYPERLINK("https://leetcode.com/problems/minimize-the-maximum-edge-weight-of-graph/", "Minimize the Maximum Edge Weight of Graph")</f>
        <v/>
      </c>
      <c r="C2682" s="1" t="n">
        <v>236</v>
      </c>
      <c r="D2682" s="1" t="n">
        <v>19</v>
      </c>
      <c r="E2682" s="4">
        <f>IF(INDEX(C:C, ROW())+INDEX(D:D, ROW())=0, 0, INDEX(C:C, ROW())/(INDEX(C:C, ROW())+INDEX(D:D, ROW())))</f>
        <v/>
      </c>
      <c r="F2682" s="1" t="inlineStr">
        <is>
          <t>Binary Search, Depth-First Search, Breadth-First Search, Graph Theory, Shortest Path</t>
        </is>
      </c>
      <c r="G2682" s="1" t="inlineStr">
        <is>
          <t>Medium</t>
        </is>
      </c>
      <c r="H2682" s="1" t="n">
        <v>14486</v>
      </c>
      <c r="I2682" s="1" t="n">
        <v>33136</v>
      </c>
      <c r="J2682" s="9" t="n">
        <v>0.437</v>
      </c>
      <c r="K2682" s="1" t="inlineStr">
        <is>
          <t>Yes</t>
        </is>
      </c>
      <c r="L2682" s="1" t="inlineStr">
        <is>
          <t>No</t>
        </is>
      </c>
      <c r="M2682" s="1" t="inlineStr">
        <is>
          <t>No</t>
        </is>
      </c>
      <c r="N2682" s="1" t="inlineStr">
        <is>
          <t>Algorithms</t>
        </is>
      </c>
      <c r="O26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83" ht="15.75" customHeight="1" s="12">
      <c r="A2683" s="1" t="n">
        <v>1273</v>
      </c>
      <c r="B2683" s="3">
        <f>HYPERLINK("https://leetcode.com/problems/delete-tree-nodes/", "Delete Tree Nodes")</f>
        <v/>
      </c>
      <c r="C2683" s="1" t="n">
        <v>235</v>
      </c>
      <c r="D2683" s="1" t="n">
        <v>66</v>
      </c>
      <c r="E2683" s="4">
        <f>IF(INDEX(C:C, ROW())+INDEX(D:D, ROW())=0, 0, INDEX(C:C, ROW())/(INDEX(C:C, ROW())+INDEX(D:D, ROW())))</f>
        <v/>
      </c>
      <c r="F2683" s="1" t="inlineStr">
        <is>
          <t>Array, Tree, Depth-First Search, Breadth-First Search</t>
        </is>
      </c>
      <c r="G2683" s="1" t="inlineStr">
        <is>
          <t>Medium</t>
        </is>
      </c>
      <c r="H2683" s="1" t="n">
        <v>11435</v>
      </c>
      <c r="I2683" s="1" t="n">
        <v>18578</v>
      </c>
      <c r="J2683" s="9" t="n">
        <v>0.616</v>
      </c>
      <c r="K2683" s="1" t="inlineStr">
        <is>
          <t>No</t>
        </is>
      </c>
      <c r="L2683" s="1" t="inlineStr">
        <is>
          <t>No</t>
        </is>
      </c>
      <c r="M2683" s="1" t="inlineStr">
        <is>
          <t>No</t>
        </is>
      </c>
      <c r="N2683" s="1" t="inlineStr">
        <is>
          <t>Algorithms</t>
        </is>
      </c>
      <c r="O26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84" ht="15.75" customHeight="1" s="12">
      <c r="A2684" s="1" t="n">
        <v>1384</v>
      </c>
      <c r="B2684" s="3">
        <f>HYPERLINK("https://leetcode.com/problems/total-sales-amount-by-year/", "Total Sales Amount by Year")</f>
        <v/>
      </c>
      <c r="C2684" s="1" t="n">
        <v>235</v>
      </c>
      <c r="D2684" s="1" t="n">
        <v>133</v>
      </c>
      <c r="E2684" s="4">
        <f>IF(INDEX(C:C, ROW())+INDEX(D:D, ROW())=0, 0, INDEX(C:C, ROW())/(INDEX(C:C, ROW())+INDEX(D:D, ROW())))</f>
        <v/>
      </c>
      <c r="F2684" s="1" t="inlineStr">
        <is>
          <t>Database</t>
        </is>
      </c>
      <c r="G2684" s="1" t="inlineStr">
        <is>
          <t>Hard</t>
        </is>
      </c>
      <c r="H2684" s="1" t="n">
        <v>19646</v>
      </c>
      <c r="I2684" s="1" t="n">
        <v>32104</v>
      </c>
      <c r="J2684" s="9" t="n">
        <v>0.612</v>
      </c>
      <c r="K2684" s="1" t="inlineStr">
        <is>
          <t>No</t>
        </is>
      </c>
      <c r="L2684" s="1" t="inlineStr">
        <is>
          <t>No</t>
        </is>
      </c>
      <c r="M2684" s="1" t="inlineStr">
        <is>
          <t>No</t>
        </is>
      </c>
      <c r="N2684" s="1" t="inlineStr">
        <is>
          <t>Database</t>
        </is>
      </c>
      <c r="O26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85" ht="15.75" customHeight="1" s="12">
      <c r="A2685" s="1" t="n">
        <v>1820</v>
      </c>
      <c r="B2685" s="3">
        <f>HYPERLINK("https://leetcode.com/problems/maximum-number-of-accepted-invitations/", "Maximum Number of Accepted Invitations")</f>
        <v/>
      </c>
      <c r="C2685" s="1" t="n">
        <v>235</v>
      </c>
      <c r="D2685" s="1" t="n">
        <v>68</v>
      </c>
      <c r="E2685" s="4">
        <f>IF(INDEX(C:C, ROW())+INDEX(D:D, ROW())=0, 0, INDEX(C:C, ROW())/(INDEX(C:C, ROW())+INDEX(D:D, ROW())))</f>
        <v/>
      </c>
      <c r="F2685" s="1" t="inlineStr">
        <is>
          <t>Array, Depth-First Search, Graph Theory, Matrix</t>
        </is>
      </c>
      <c r="G2685" s="1" t="inlineStr">
        <is>
          <t>Medium</t>
        </is>
      </c>
      <c r="H2685" s="1" t="n">
        <v>10718</v>
      </c>
      <c r="I2685" s="1" t="n">
        <v>20569</v>
      </c>
      <c r="J2685" s="9" t="n">
        <v>0.521</v>
      </c>
      <c r="K2685" s="1" t="inlineStr">
        <is>
          <t>No</t>
        </is>
      </c>
      <c r="L2685" s="1" t="inlineStr">
        <is>
          <t>No</t>
        </is>
      </c>
      <c r="M2685" s="1" t="inlineStr">
        <is>
          <t>No</t>
        </is>
      </c>
      <c r="N2685" s="1" t="inlineStr">
        <is>
          <t>Algorithms</t>
        </is>
      </c>
      <c r="O26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86" ht="15.75" customHeight="1" s="12">
      <c r="A2686" s="1" t="n">
        <v>1946</v>
      </c>
      <c r="B2686" s="3">
        <f>HYPERLINK("https://leetcode.com/problems/largest-number-after-mutating-substring/", "Largest Number After Mutating Substring")</f>
        <v/>
      </c>
      <c r="C2686" s="1" t="n">
        <v>235</v>
      </c>
      <c r="D2686" s="1" t="n">
        <v>232</v>
      </c>
      <c r="E2686" s="4">
        <f>IF(INDEX(C:C, ROW())+INDEX(D:D, ROW())=0, 0, INDEX(C:C, ROW())/(INDEX(C:C, ROW())+INDEX(D:D, ROW())))</f>
        <v/>
      </c>
      <c r="F2686" s="1" t="inlineStr">
        <is>
          <t>Array, String, Greedy</t>
        </is>
      </c>
      <c r="G2686" s="1" t="inlineStr">
        <is>
          <t>Medium</t>
        </is>
      </c>
      <c r="H2686" s="1" t="n">
        <v>25888</v>
      </c>
      <c r="I2686" s="1" t="n">
        <v>68586</v>
      </c>
      <c r="J2686" s="9" t="n">
        <v>0.377</v>
      </c>
      <c r="K2686" s="1" t="inlineStr">
        <is>
          <t>Yes</t>
        </is>
      </c>
      <c r="L2686" s="1" t="inlineStr">
        <is>
          <t>No</t>
        </is>
      </c>
      <c r="M2686" s="1" t="inlineStr">
        <is>
          <t>No</t>
        </is>
      </c>
      <c r="N2686" s="1" t="inlineStr">
        <is>
          <t>Algorithms</t>
        </is>
      </c>
      <c r="O26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87" ht="15.75" customHeight="1" s="12">
      <c r="A2687" s="1" t="n">
        <v>2525</v>
      </c>
      <c r="B2687" s="3">
        <f>HYPERLINK("https://leetcode.com/problems/categorize-box-according-to-criteria/", "Categorize Box According to Criteria")</f>
        <v/>
      </c>
      <c r="C2687" s="1" t="n">
        <v>235</v>
      </c>
      <c r="D2687" s="1" t="n">
        <v>63</v>
      </c>
      <c r="E2687" s="4">
        <f>IF(INDEX(C:C, ROW())+INDEX(D:D, ROW())=0, 0, INDEX(C:C, ROW())/(INDEX(C:C, ROW())+INDEX(D:D, ROW())))</f>
        <v/>
      </c>
      <c r="F2687" s="1" t="inlineStr">
        <is>
          <t>Math</t>
        </is>
      </c>
      <c r="G2687" s="1" t="inlineStr">
        <is>
          <t>Easy</t>
        </is>
      </c>
      <c r="H2687" s="1" t="n">
        <v>48190</v>
      </c>
      <c r="I2687" s="1" t="n">
        <v>125026</v>
      </c>
      <c r="J2687" s="9" t="n">
        <v>0.385</v>
      </c>
      <c r="K2687" s="1" t="inlineStr">
        <is>
          <t>Yes</t>
        </is>
      </c>
      <c r="L2687" s="1" t="inlineStr">
        <is>
          <t>No</t>
        </is>
      </c>
      <c r="M2687" s="1" t="inlineStr">
        <is>
          <t>No</t>
        </is>
      </c>
      <c r="N2687" s="1" t="inlineStr">
        <is>
          <t>Algorithms</t>
        </is>
      </c>
      <c r="O26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88" ht="15.75" customHeight="1" s="12">
      <c r="A2688" s="1" t="n">
        <v>2748</v>
      </c>
      <c r="B2688" s="3">
        <f>HYPERLINK("https://leetcode.com/problems/number-of-beautiful-pairs/", "Number of Beautiful Pairs")</f>
        <v/>
      </c>
      <c r="C2688" s="1" t="n">
        <v>235</v>
      </c>
      <c r="D2688" s="1" t="n">
        <v>39</v>
      </c>
      <c r="E2688" s="4">
        <f>IF(INDEX(C:C, ROW())+INDEX(D:D, ROW())=0, 0, INDEX(C:C, ROW())/(INDEX(C:C, ROW())+INDEX(D:D, ROW())))</f>
        <v/>
      </c>
      <c r="F2688" s="1" t="inlineStr">
        <is>
          <t>Array, Hash Table, Math, Counting, Number Theory</t>
        </is>
      </c>
      <c r="G2688" s="1" t="inlineStr">
        <is>
          <t>Easy</t>
        </is>
      </c>
      <c r="H2688" s="1" t="n">
        <v>45940</v>
      </c>
      <c r="I2688" s="1" t="n">
        <v>88493</v>
      </c>
      <c r="J2688" s="9" t="n">
        <v>0.519</v>
      </c>
      <c r="K2688" s="1" t="inlineStr">
        <is>
          <t>Yes</t>
        </is>
      </c>
      <c r="L2688" s="1" t="inlineStr">
        <is>
          <t>No</t>
        </is>
      </c>
      <c r="M2688" s="1" t="inlineStr">
        <is>
          <t>No</t>
        </is>
      </c>
      <c r="N2688" s="1" t="inlineStr">
        <is>
          <t>Algorithms</t>
        </is>
      </c>
      <c r="O26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89" ht="15.75" customHeight="1" s="12">
      <c r="A2689" s="1" t="n">
        <v>2920</v>
      </c>
      <c r="B2689" s="3">
        <f>HYPERLINK("https://leetcode.com/problems/maximum-points-after-collecting-coins-from-all-nodes/", "Maximum Points After Collecting Coins From All Nodes")</f>
        <v/>
      </c>
      <c r="C2689" s="1" t="n">
        <v>235</v>
      </c>
      <c r="D2689" s="1" t="n">
        <v>18</v>
      </c>
      <c r="E2689" s="4">
        <f>IF(INDEX(C:C, ROW())+INDEX(D:D, ROW())=0, 0, INDEX(C:C, ROW())/(INDEX(C:C, ROW())+INDEX(D:D, ROW())))</f>
        <v/>
      </c>
      <c r="F2689" s="1" t="inlineStr">
        <is>
          <t>Array, Dynamic Programming, Bit Manipulation, Tree, Depth-First Search, Memoization</t>
        </is>
      </c>
      <c r="G2689" s="1" t="inlineStr">
        <is>
          <t>Hard</t>
        </is>
      </c>
      <c r="H2689" s="1" t="n">
        <v>10777</v>
      </c>
      <c r="I2689" s="1" t="n">
        <v>29750</v>
      </c>
      <c r="J2689" s="9" t="n">
        <v>0.362</v>
      </c>
      <c r="K2689" s="1" t="inlineStr">
        <is>
          <t>Yes</t>
        </is>
      </c>
      <c r="L2689" s="1" t="inlineStr">
        <is>
          <t>No</t>
        </is>
      </c>
      <c r="M2689" s="1" t="inlineStr">
        <is>
          <t>No</t>
        </is>
      </c>
      <c r="N2689" s="1" t="inlineStr">
        <is>
          <t>Algorithms</t>
        </is>
      </c>
      <c r="O26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90" ht="15.75" customHeight="1" s="12">
      <c r="A2690" s="1" t="n">
        <v>1719</v>
      </c>
      <c r="B2690" s="3">
        <f>HYPERLINK("https://leetcode.com/problems/number-of-ways-to-reconstruct-a-tree/", "Number Of Ways To Reconstruct A Tree")</f>
        <v/>
      </c>
      <c r="C2690" s="1" t="n">
        <v>234</v>
      </c>
      <c r="D2690" s="1" t="n">
        <v>157</v>
      </c>
      <c r="E2690" s="4">
        <f>IF(INDEX(C:C, ROW())+INDEX(D:D, ROW())=0, 0, INDEX(C:C, ROW())/(INDEX(C:C, ROW())+INDEX(D:D, ROW())))</f>
        <v/>
      </c>
      <c r="F2690" s="1" t="inlineStr">
        <is>
          <t>Tree, Graph Theory</t>
        </is>
      </c>
      <c r="G2690" s="1" t="inlineStr">
        <is>
          <t>Hard</t>
        </is>
      </c>
      <c r="H2690" s="1" t="n">
        <v>6241</v>
      </c>
      <c r="I2690" s="1" t="n">
        <v>13996</v>
      </c>
      <c r="J2690" s="9" t="n">
        <v>0.446</v>
      </c>
      <c r="K2690" s="1" t="inlineStr">
        <is>
          <t>Yes</t>
        </is>
      </c>
      <c r="L2690" s="1" t="inlineStr">
        <is>
          <t>No</t>
        </is>
      </c>
      <c r="M2690" s="1" t="inlineStr">
        <is>
          <t>No</t>
        </is>
      </c>
      <c r="N2690" s="1" t="inlineStr">
        <is>
          <t>Algorithms</t>
        </is>
      </c>
      <c r="O26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91" ht="15.75" customHeight="1" s="12">
      <c r="A2691" s="1" t="n">
        <v>1860</v>
      </c>
      <c r="B2691" s="3">
        <f>HYPERLINK("https://leetcode.com/problems/incremental-memory-leak/", "Incremental Memory Leak")</f>
        <v/>
      </c>
      <c r="C2691" s="1" t="n">
        <v>234</v>
      </c>
      <c r="D2691" s="1" t="n">
        <v>92</v>
      </c>
      <c r="E2691" s="4">
        <f>IF(INDEX(C:C, ROW())+INDEX(D:D, ROW())=0, 0, INDEX(C:C, ROW())/(INDEX(C:C, ROW())+INDEX(D:D, ROW())))</f>
        <v/>
      </c>
      <c r="F2691" s="1" t="inlineStr">
        <is>
          <t>Math, Simulation</t>
        </is>
      </c>
      <c r="G2691" s="1" t="inlineStr">
        <is>
          <t>Medium</t>
        </is>
      </c>
      <c r="H2691" s="1" t="n">
        <v>25498</v>
      </c>
      <c r="I2691" s="1" t="n">
        <v>34993</v>
      </c>
      <c r="J2691" s="9" t="n">
        <v>0.729</v>
      </c>
      <c r="K2691" s="1" t="inlineStr">
        <is>
          <t>Yes</t>
        </is>
      </c>
      <c r="L2691" s="1" t="inlineStr">
        <is>
          <t>No</t>
        </is>
      </c>
      <c r="M2691" s="1" t="inlineStr">
        <is>
          <t>No</t>
        </is>
      </c>
      <c r="N2691" s="1" t="inlineStr">
        <is>
          <t>Algorithms</t>
        </is>
      </c>
      <c r="O26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92" ht="15.75" customHeight="1" s="12">
      <c r="A2692" s="1" t="n">
        <v>2499</v>
      </c>
      <c r="B2692" s="3">
        <f>HYPERLINK("https://leetcode.com/problems/minimum-total-cost-to-make-arrays-unequal/", "Minimum Total Cost to Make Arrays Unequal")</f>
        <v/>
      </c>
      <c r="C2692" s="1" t="n">
        <v>234</v>
      </c>
      <c r="D2692" s="1" t="n">
        <v>12</v>
      </c>
      <c r="E2692" s="4">
        <f>IF(INDEX(C:C, ROW())+INDEX(D:D, ROW())=0, 0, INDEX(C:C, ROW())/(INDEX(C:C, ROW())+INDEX(D:D, ROW())))</f>
        <v/>
      </c>
      <c r="F2692" s="1" t="inlineStr">
        <is>
          <t>Array, Hash Table, Greedy, Counting</t>
        </is>
      </c>
      <c r="G2692" s="1" t="inlineStr">
        <is>
          <t>Hard</t>
        </is>
      </c>
      <c r="H2692" s="1" t="n">
        <v>6157</v>
      </c>
      <c r="I2692" s="1" t="n">
        <v>14995</v>
      </c>
      <c r="J2692" s="9" t="n">
        <v>0.411</v>
      </c>
      <c r="K2692" s="1" t="inlineStr">
        <is>
          <t>Yes</t>
        </is>
      </c>
      <c r="L2692" s="1" t="inlineStr">
        <is>
          <t>No</t>
        </is>
      </c>
      <c r="M2692" s="1" t="inlineStr">
        <is>
          <t>No</t>
        </is>
      </c>
      <c r="N2692" s="1" t="inlineStr">
        <is>
          <t>Algorithms</t>
        </is>
      </c>
      <c r="O26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93" ht="15.75" customHeight="1" s="12">
      <c r="A2693" s="1" t="n">
        <v>2722</v>
      </c>
      <c r="B2693" s="3">
        <f>HYPERLINK("https://leetcode.com/problems/join-two-arrays-by-id/", "Join Two Arrays by ID")</f>
        <v/>
      </c>
      <c r="C2693" s="1" t="n">
        <v>234</v>
      </c>
      <c r="D2693" s="1" t="n">
        <v>64</v>
      </c>
      <c r="E2693" s="4">
        <f>IF(INDEX(C:C, ROW())+INDEX(D:D, ROW())=0, 0, INDEX(C:C, ROW())/(INDEX(C:C, ROW())+INDEX(D:D, ROW())))</f>
        <v/>
      </c>
      <c r="F2693" s="2" t="n"/>
      <c r="G2693" s="1" t="inlineStr">
        <is>
          <t>Medium</t>
        </is>
      </c>
      <c r="H2693" s="1" t="n">
        <v>57116</v>
      </c>
      <c r="I2693" s="1" t="n">
        <v>100734</v>
      </c>
      <c r="J2693" s="9" t="n">
        <v>0.5669999999999999</v>
      </c>
      <c r="K2693" s="1" t="inlineStr">
        <is>
          <t>Yes</t>
        </is>
      </c>
      <c r="L2693" s="1" t="inlineStr">
        <is>
          <t>Yes</t>
        </is>
      </c>
      <c r="M2693" s="1" t="inlineStr">
        <is>
          <t>No</t>
        </is>
      </c>
      <c r="N2693" s="1" t="inlineStr">
        <is>
          <t>JavaScript</t>
        </is>
      </c>
      <c r="O26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94" ht="15.75" customHeight="1" s="12">
      <c r="A2694" s="1" t="n">
        <v>3067</v>
      </c>
      <c r="B2694" s="3">
        <f>HYPERLINK("https://leetcode.com/problems/count-pairs-of-connectable-servers-in-a-weighted-tree-network/", "Count Pairs of Connectable Servers in a Weighted Tree Network")</f>
        <v/>
      </c>
      <c r="C2694" s="1" t="n">
        <v>234</v>
      </c>
      <c r="D2694" s="1" t="n">
        <v>28</v>
      </c>
      <c r="E2694" s="4">
        <f>IF(INDEX(C:C, ROW())+INDEX(D:D, ROW())=0, 0, INDEX(C:C, ROW())/(INDEX(C:C, ROW())+INDEX(D:D, ROW())))</f>
        <v/>
      </c>
      <c r="F2694" s="1" t="inlineStr">
        <is>
          <t>Array, Tree, Depth-First Search</t>
        </is>
      </c>
      <c r="G2694" s="1" t="inlineStr">
        <is>
          <t>Medium</t>
        </is>
      </c>
      <c r="H2694" s="1" t="n">
        <v>15943</v>
      </c>
      <c r="I2694" s="1" t="n">
        <v>28778</v>
      </c>
      <c r="J2694" s="9" t="n">
        <v>0.554</v>
      </c>
      <c r="K2694" s="1" t="inlineStr">
        <is>
          <t>Yes</t>
        </is>
      </c>
      <c r="L2694" s="1" t="inlineStr">
        <is>
          <t>No</t>
        </is>
      </c>
      <c r="M2694" s="1" t="inlineStr">
        <is>
          <t>No</t>
        </is>
      </c>
      <c r="N2694" s="1" t="inlineStr">
        <is>
          <t>Algorithms</t>
        </is>
      </c>
      <c r="O26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95" ht="15.75" customHeight="1" s="12">
      <c r="A2695" s="1" t="n">
        <v>1808</v>
      </c>
      <c r="B2695" s="3">
        <f>HYPERLINK("https://leetcode.com/problems/maximize-number-of-nice-divisors/", "Maximize Number of Nice Divisors")</f>
        <v/>
      </c>
      <c r="C2695" s="1" t="n">
        <v>233</v>
      </c>
      <c r="D2695" s="1" t="n">
        <v>171</v>
      </c>
      <c r="E2695" s="4">
        <f>IF(INDEX(C:C, ROW())+INDEX(D:D, ROW())=0, 0, INDEX(C:C, ROW())/(INDEX(C:C, ROW())+INDEX(D:D, ROW())))</f>
        <v/>
      </c>
      <c r="F2695" s="1" t="inlineStr">
        <is>
          <t>Math, Recursion, Number Theory</t>
        </is>
      </c>
      <c r="G2695" s="1" t="inlineStr">
        <is>
          <t>Hard</t>
        </is>
      </c>
      <c r="H2695" s="1" t="n">
        <v>9849</v>
      </c>
      <c r="I2695" s="1" t="n">
        <v>28038</v>
      </c>
      <c r="J2695" s="9" t="n">
        <v>0.351</v>
      </c>
      <c r="K2695" s="1" t="inlineStr">
        <is>
          <t>Yes</t>
        </is>
      </c>
      <c r="L2695" s="1" t="inlineStr">
        <is>
          <t>No</t>
        </is>
      </c>
      <c r="M2695" s="1" t="inlineStr">
        <is>
          <t>No</t>
        </is>
      </c>
      <c r="N2695" s="1" t="inlineStr">
        <is>
          <t>Algorithms</t>
        </is>
      </c>
      <c r="O26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96" ht="15.75" customHeight="1" s="12">
      <c r="A2696" s="1" t="n">
        <v>2862</v>
      </c>
      <c r="B2696" s="3">
        <f>HYPERLINK("https://leetcode.com/problems/maximum-element-sum-of-a-complete-subset-of-indices/", "Maximum Element-Sum of a Complete Subset of Indices")</f>
        <v/>
      </c>
      <c r="C2696" s="1" t="n">
        <v>232</v>
      </c>
      <c r="D2696" s="1" t="n">
        <v>59</v>
      </c>
      <c r="E2696" s="4">
        <f>IF(INDEX(C:C, ROW())+INDEX(D:D, ROW())=0, 0, INDEX(C:C, ROW())/(INDEX(C:C, ROW())+INDEX(D:D, ROW())))</f>
        <v/>
      </c>
      <c r="F2696" s="1" t="inlineStr">
        <is>
          <t>Array, Math, Number Theory</t>
        </is>
      </c>
      <c r="G2696" s="1" t="inlineStr">
        <is>
          <t>Hard</t>
        </is>
      </c>
      <c r="H2696" s="1" t="n">
        <v>9283</v>
      </c>
      <c r="I2696" s="1" t="n">
        <v>21872</v>
      </c>
      <c r="J2696" s="9" t="n">
        <v>0.424</v>
      </c>
      <c r="K2696" s="1" t="inlineStr">
        <is>
          <t>Yes</t>
        </is>
      </c>
      <c r="L2696" s="1" t="inlineStr">
        <is>
          <t>No</t>
        </is>
      </c>
      <c r="M2696" s="1" t="inlineStr">
        <is>
          <t>No</t>
        </is>
      </c>
      <c r="N2696" s="1" t="inlineStr">
        <is>
          <t>Algorithms</t>
        </is>
      </c>
      <c r="O26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97" ht="15.75" customHeight="1" s="12">
      <c r="A2697" s="1" t="n">
        <v>293</v>
      </c>
      <c r="B2697" s="3">
        <f>HYPERLINK("https://leetcode.com/problems/flip-game/", "Flip Game")</f>
        <v/>
      </c>
      <c r="C2697" s="1" t="n">
        <v>231</v>
      </c>
      <c r="D2697" s="1" t="n">
        <v>475</v>
      </c>
      <c r="E2697" s="4">
        <f>IF(INDEX(C:C, ROW())+INDEX(D:D, ROW())=0, 0, INDEX(C:C, ROW())/(INDEX(C:C, ROW())+INDEX(D:D, ROW())))</f>
        <v/>
      </c>
      <c r="F2697" s="1" t="inlineStr">
        <is>
          <t>String</t>
        </is>
      </c>
      <c r="G2697" s="1" t="inlineStr">
        <is>
          <t>Easy</t>
        </is>
      </c>
      <c r="H2697" s="1" t="n">
        <v>78796</v>
      </c>
      <c r="I2697" s="1" t="n">
        <v>121211</v>
      </c>
      <c r="J2697" s="9" t="n">
        <v>0.65</v>
      </c>
      <c r="K2697" s="1" t="inlineStr">
        <is>
          <t>No</t>
        </is>
      </c>
      <c r="L2697" s="1" t="inlineStr">
        <is>
          <t>Yes</t>
        </is>
      </c>
      <c r="M2697" s="1" t="inlineStr">
        <is>
          <t>No</t>
        </is>
      </c>
      <c r="N2697" s="1" t="inlineStr">
        <is>
          <t>Algorithms</t>
        </is>
      </c>
      <c r="O26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98" ht="15.75" customHeight="1" s="12">
      <c r="A2698" s="1" t="n">
        <v>1878</v>
      </c>
      <c r="B2698" s="3">
        <f>HYPERLINK("https://leetcode.com/problems/get-biggest-three-rhombus-sums-in-a-grid/", "Get Biggest Three Rhombus Sums in a Grid")</f>
        <v/>
      </c>
      <c r="C2698" s="1" t="n">
        <v>231</v>
      </c>
      <c r="D2698" s="1" t="n">
        <v>530</v>
      </c>
      <c r="E2698" s="4">
        <f>IF(INDEX(C:C, ROW())+INDEX(D:D, ROW())=0, 0, INDEX(C:C, ROW())/(INDEX(C:C, ROW())+INDEX(D:D, ROW())))</f>
        <v/>
      </c>
      <c r="F2698" s="1" t="inlineStr">
        <is>
          <t>Array, Math, Sorting, Heap (Priority Queue), Matrix, Prefix Sum</t>
        </is>
      </c>
      <c r="G2698" s="1" t="inlineStr">
        <is>
          <t>Medium</t>
        </is>
      </c>
      <c r="H2698" s="1" t="n">
        <v>20272</v>
      </c>
      <c r="I2698" s="1" t="n">
        <v>40558</v>
      </c>
      <c r="J2698" s="9" t="n">
        <v>0.5</v>
      </c>
      <c r="K2698" s="1" t="inlineStr">
        <is>
          <t>Yes</t>
        </is>
      </c>
      <c r="L2698" s="1" t="inlineStr">
        <is>
          <t>No</t>
        </is>
      </c>
      <c r="M2698" s="1" t="inlineStr">
        <is>
          <t>No</t>
        </is>
      </c>
      <c r="N2698" s="1" t="inlineStr">
        <is>
          <t>Algorithms</t>
        </is>
      </c>
      <c r="O26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699" ht="15.75" customHeight="1" s="12">
      <c r="A2699" s="1" t="n">
        <v>3296</v>
      </c>
      <c r="B2699" s="3">
        <f>HYPERLINK("https://leetcode.com/problems/minimum-number-of-seconds-to-make-mountain-height-zero/", "Minimum Number of Seconds to Make Mountain Height Zero")</f>
        <v/>
      </c>
      <c r="C2699" s="1" t="n">
        <v>231</v>
      </c>
      <c r="D2699" s="1" t="n">
        <v>32</v>
      </c>
      <c r="E2699" s="4">
        <f>IF(INDEX(C:C, ROW())+INDEX(D:D, ROW())=0, 0, INDEX(C:C, ROW())/(INDEX(C:C, ROW())+INDEX(D:D, ROW())))</f>
        <v/>
      </c>
      <c r="F2699" s="1" t="inlineStr">
        <is>
          <t>Array, Math, Binary Search, Greedy, Heap (Priority Queue)</t>
        </is>
      </c>
      <c r="G2699" s="1" t="inlineStr">
        <is>
          <t>Medium</t>
        </is>
      </c>
      <c r="H2699" s="1" t="n">
        <v>24954</v>
      </c>
      <c r="I2699" s="1" t="n">
        <v>67901</v>
      </c>
      <c r="J2699" s="9" t="n">
        <v>0.368</v>
      </c>
      <c r="K2699" s="1" t="inlineStr">
        <is>
          <t>Yes</t>
        </is>
      </c>
      <c r="L2699" s="1" t="inlineStr">
        <is>
          <t>No</t>
        </is>
      </c>
      <c r="M2699" s="1" t="inlineStr">
        <is>
          <t>No</t>
        </is>
      </c>
      <c r="N2699" s="1" t="inlineStr">
        <is>
          <t>Algorithms</t>
        </is>
      </c>
      <c r="O26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00" ht="15.75" customHeight="1" s="12">
      <c r="A2700" s="1" t="n">
        <v>1196</v>
      </c>
      <c r="B2700" s="3">
        <f>HYPERLINK("https://leetcode.com/problems/how-many-apples-can-you-put-into-the-basket/", "How Many Apples Can You Put into the Basket")</f>
        <v/>
      </c>
      <c r="C2700" s="1" t="n">
        <v>230</v>
      </c>
      <c r="D2700" s="1" t="n">
        <v>17</v>
      </c>
      <c r="E2700" s="4">
        <f>IF(INDEX(C:C, ROW())+INDEX(D:D, ROW())=0, 0, INDEX(C:C, ROW())/(INDEX(C:C, ROW())+INDEX(D:D, ROW())))</f>
        <v/>
      </c>
      <c r="F2700" s="1" t="inlineStr">
        <is>
          <t>Array, Greedy, Sorting</t>
        </is>
      </c>
      <c r="G2700" s="1" t="inlineStr">
        <is>
          <t>Easy</t>
        </is>
      </c>
      <c r="H2700" s="1" t="n">
        <v>50115</v>
      </c>
      <c r="I2700" s="1" t="n">
        <v>74748</v>
      </c>
      <c r="J2700" s="9" t="n">
        <v>0.67</v>
      </c>
      <c r="K2700" s="1" t="inlineStr">
        <is>
          <t>No</t>
        </is>
      </c>
      <c r="L2700" s="1" t="inlineStr">
        <is>
          <t>Yes</t>
        </is>
      </c>
      <c r="M2700" s="1" t="inlineStr">
        <is>
          <t>Yes</t>
        </is>
      </c>
      <c r="N2700" s="1" t="inlineStr">
        <is>
          <t>Algorithms</t>
        </is>
      </c>
      <c r="O27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01" ht="15.75" customHeight="1" s="12">
      <c r="A2701" s="1" t="n">
        <v>1440</v>
      </c>
      <c r="B2701" s="3">
        <f>HYPERLINK("https://leetcode.com/problems/evaluate-boolean-expression/", "Evaluate Boolean Expression")</f>
        <v/>
      </c>
      <c r="C2701" s="1" t="n">
        <v>230</v>
      </c>
      <c r="D2701" s="1" t="n">
        <v>41</v>
      </c>
      <c r="E2701" s="4">
        <f>IF(INDEX(C:C, ROW())+INDEX(D:D, ROW())=0, 0, INDEX(C:C, ROW())/(INDEX(C:C, ROW())+INDEX(D:D, ROW())))</f>
        <v/>
      </c>
      <c r="F2701" s="1" t="inlineStr">
        <is>
          <t>Database</t>
        </is>
      </c>
      <c r="G2701" s="1" t="inlineStr">
        <is>
          <t>Medium</t>
        </is>
      </c>
      <c r="H2701" s="1" t="n">
        <v>37916</v>
      </c>
      <c r="I2701" s="1" t="n">
        <v>52743</v>
      </c>
      <c r="J2701" s="9" t="n">
        <v>0.719</v>
      </c>
      <c r="K2701" s="1" t="inlineStr">
        <is>
          <t>No</t>
        </is>
      </c>
      <c r="L2701" s="1" t="inlineStr">
        <is>
          <t>No</t>
        </is>
      </c>
      <c r="M2701" s="1" t="inlineStr">
        <is>
          <t>No</t>
        </is>
      </c>
      <c r="N2701" s="1" t="inlineStr">
        <is>
          <t>Database</t>
        </is>
      </c>
      <c r="O27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02" ht="15.75" customHeight="1" s="12">
      <c r="A2702" s="1" t="n">
        <v>1412</v>
      </c>
      <c r="B2702" s="3">
        <f>HYPERLINK("https://leetcode.com/problems/find-the-quiet-students-in-all-exams/", "Find the Quiet Students in All Exams")</f>
        <v/>
      </c>
      <c r="C2702" s="1" t="n">
        <v>227</v>
      </c>
      <c r="D2702" s="1" t="n">
        <v>28</v>
      </c>
      <c r="E2702" s="4">
        <f>IF(INDEX(C:C, ROW())+INDEX(D:D, ROW())=0, 0, INDEX(C:C, ROW())/(INDEX(C:C, ROW())+INDEX(D:D, ROW())))</f>
        <v/>
      </c>
      <c r="F2702" s="1" t="inlineStr">
        <is>
          <t>Database</t>
        </is>
      </c>
      <c r="G2702" s="1" t="inlineStr">
        <is>
          <t>Hard</t>
        </is>
      </c>
      <c r="H2702" s="1" t="n">
        <v>34618</v>
      </c>
      <c r="I2702" s="1" t="n">
        <v>59606</v>
      </c>
      <c r="J2702" s="9" t="n">
        <v>0.581</v>
      </c>
      <c r="K2702" s="1" t="inlineStr">
        <is>
          <t>No</t>
        </is>
      </c>
      <c r="L2702" s="1" t="inlineStr">
        <is>
          <t>No</t>
        </is>
      </c>
      <c r="M2702" s="1" t="inlineStr">
        <is>
          <t>No</t>
        </is>
      </c>
      <c r="N2702" s="1" t="inlineStr">
        <is>
          <t>Database</t>
        </is>
      </c>
      <c r="O27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03" ht="15.75" customHeight="1" s="12">
      <c r="A2703" s="1" t="n">
        <v>1580</v>
      </c>
      <c r="B2703" s="3">
        <f>HYPERLINK("https://leetcode.com/problems/put-boxes-into-the-warehouse-ii/", "Put Boxes Into the Warehouse II")</f>
        <v/>
      </c>
      <c r="C2703" s="1" t="n">
        <v>227</v>
      </c>
      <c r="D2703" s="1" t="n">
        <v>12</v>
      </c>
      <c r="E2703" s="4">
        <f>IF(INDEX(C:C, ROW())+INDEX(D:D, ROW())=0, 0, INDEX(C:C, ROW())/(INDEX(C:C, ROW())+INDEX(D:D, ROW())))</f>
        <v/>
      </c>
      <c r="F2703" s="1" t="inlineStr">
        <is>
          <t>Array, Greedy, Sorting</t>
        </is>
      </c>
      <c r="G2703" s="1" t="inlineStr">
        <is>
          <t>Medium</t>
        </is>
      </c>
      <c r="H2703" s="1" t="n">
        <v>10364</v>
      </c>
      <c r="I2703" s="1" t="n">
        <v>15776</v>
      </c>
      <c r="J2703" s="9" t="n">
        <v>0.657</v>
      </c>
      <c r="K2703" s="1" t="inlineStr">
        <is>
          <t>No</t>
        </is>
      </c>
      <c r="L2703" s="1" t="inlineStr">
        <is>
          <t>Yes</t>
        </is>
      </c>
      <c r="M2703" s="1" t="inlineStr">
        <is>
          <t>No</t>
        </is>
      </c>
      <c r="N2703" s="1" t="inlineStr">
        <is>
          <t>Algorithms</t>
        </is>
      </c>
      <c r="O27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04" ht="15.75" customHeight="1" s="12">
      <c r="A2704" s="1" t="n">
        <v>1904</v>
      </c>
      <c r="B2704" s="3">
        <f>HYPERLINK("https://leetcode.com/problems/the-number-of-full-rounds-you-have-played/", "The Number of Full Rounds You Have Played")</f>
        <v/>
      </c>
      <c r="C2704" s="1" t="n">
        <v>227</v>
      </c>
      <c r="D2704" s="1" t="n">
        <v>265</v>
      </c>
      <c r="E2704" s="4">
        <f>IF(INDEX(C:C, ROW())+INDEX(D:D, ROW())=0, 0, INDEX(C:C, ROW())/(INDEX(C:C, ROW())+INDEX(D:D, ROW())))</f>
        <v/>
      </c>
      <c r="F2704" s="1" t="inlineStr">
        <is>
          <t>Math, String</t>
        </is>
      </c>
      <c r="G2704" s="1" t="inlineStr">
        <is>
          <t>Medium</t>
        </is>
      </c>
      <c r="H2704" s="1" t="n">
        <v>25301</v>
      </c>
      <c r="I2704" s="1" t="n">
        <v>58260</v>
      </c>
      <c r="J2704" s="9" t="n">
        <v>0.434</v>
      </c>
      <c r="K2704" s="1" t="inlineStr">
        <is>
          <t>Yes</t>
        </is>
      </c>
      <c r="L2704" s="1" t="inlineStr">
        <is>
          <t>No</t>
        </is>
      </c>
      <c r="M2704" s="1" t="inlineStr">
        <is>
          <t>No</t>
        </is>
      </c>
      <c r="N2704" s="1" t="inlineStr">
        <is>
          <t>Algorithms</t>
        </is>
      </c>
      <c r="O27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05" ht="15.75" customHeight="1" s="12">
      <c r="A2705" s="1" t="n">
        <v>612</v>
      </c>
      <c r="B2705" s="3">
        <f>HYPERLINK("https://leetcode.com/problems/shortest-distance-in-a-plane/", "Shortest Distance in a Plane")</f>
        <v/>
      </c>
      <c r="C2705" s="1" t="n">
        <v>226</v>
      </c>
      <c r="D2705" s="1" t="n">
        <v>72</v>
      </c>
      <c r="E2705" s="4">
        <f>IF(INDEX(C:C, ROW())+INDEX(D:D, ROW())=0, 0, INDEX(C:C, ROW())/(INDEX(C:C, ROW())+INDEX(D:D, ROW())))</f>
        <v/>
      </c>
      <c r="F2705" s="1" t="inlineStr">
        <is>
          <t>Database</t>
        </is>
      </c>
      <c r="G2705" s="1" t="inlineStr">
        <is>
          <t>Medium</t>
        </is>
      </c>
      <c r="H2705" s="1" t="n">
        <v>47976</v>
      </c>
      <c r="I2705" s="1" t="n">
        <v>78532</v>
      </c>
      <c r="J2705" s="9" t="n">
        <v>0.611</v>
      </c>
      <c r="K2705" s="1" t="inlineStr">
        <is>
          <t>No</t>
        </is>
      </c>
      <c r="L2705" s="1" t="inlineStr">
        <is>
          <t>Yes</t>
        </is>
      </c>
      <c r="M2705" s="1" t="inlineStr">
        <is>
          <t>No</t>
        </is>
      </c>
      <c r="N2705" s="1" t="inlineStr">
        <is>
          <t>Database</t>
        </is>
      </c>
      <c r="O27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06" ht="15.75" customHeight="1" s="12">
      <c r="A2706" s="1" t="n">
        <v>2232</v>
      </c>
      <c r="B2706" s="3">
        <f>HYPERLINK("https://leetcode.com/problems/minimize-result-by-adding-parentheses-to-expression/", "Minimize Result by Adding Parentheses to Expression")</f>
        <v/>
      </c>
      <c r="C2706" s="1" t="n">
        <v>226</v>
      </c>
      <c r="D2706" s="1" t="n">
        <v>344</v>
      </c>
      <c r="E2706" s="4">
        <f>IF(INDEX(C:C, ROW())+INDEX(D:D, ROW())=0, 0, INDEX(C:C, ROW())/(INDEX(C:C, ROW())+INDEX(D:D, ROW())))</f>
        <v/>
      </c>
      <c r="F2706" s="1" t="inlineStr">
        <is>
          <t>String, Enumeration</t>
        </is>
      </c>
      <c r="G2706" s="1" t="inlineStr">
        <is>
          <t>Medium</t>
        </is>
      </c>
      <c r="H2706" s="1" t="n">
        <v>26265</v>
      </c>
      <c r="I2706" s="1" t="n">
        <v>38576</v>
      </c>
      <c r="J2706" s="9" t="n">
        <v>0.681</v>
      </c>
      <c r="K2706" s="1" t="inlineStr">
        <is>
          <t>Yes</t>
        </is>
      </c>
      <c r="L2706" s="1" t="inlineStr">
        <is>
          <t>No</t>
        </is>
      </c>
      <c r="M2706" s="1" t="inlineStr">
        <is>
          <t>No</t>
        </is>
      </c>
      <c r="N2706" s="1" t="inlineStr">
        <is>
          <t>Algorithms</t>
        </is>
      </c>
      <c r="O27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07" ht="15.75" customHeight="1" s="12">
      <c r="A2707" s="1" t="n">
        <v>2717</v>
      </c>
      <c r="B2707" s="3">
        <f>HYPERLINK("https://leetcode.com/problems/semi-ordered-permutation/", "Semi-Ordered Permutation")</f>
        <v/>
      </c>
      <c r="C2707" s="1" t="n">
        <v>226</v>
      </c>
      <c r="D2707" s="1" t="n">
        <v>21</v>
      </c>
      <c r="E2707" s="4">
        <f>IF(INDEX(C:C, ROW())+INDEX(D:D, ROW())=0, 0, INDEX(C:C, ROW())/(INDEX(C:C, ROW())+INDEX(D:D, ROW())))</f>
        <v/>
      </c>
      <c r="F2707" s="1" t="inlineStr">
        <is>
          <t>Array, Simulation</t>
        </is>
      </c>
      <c r="G2707" s="1" t="inlineStr">
        <is>
          <t>Easy</t>
        </is>
      </c>
      <c r="H2707" s="1" t="n">
        <v>37423</v>
      </c>
      <c r="I2707" s="1" t="n">
        <v>58499</v>
      </c>
      <c r="J2707" s="9" t="n">
        <v>0.64</v>
      </c>
      <c r="K2707" s="1" t="inlineStr">
        <is>
          <t>Yes</t>
        </is>
      </c>
      <c r="L2707" s="1" t="inlineStr">
        <is>
          <t>No</t>
        </is>
      </c>
      <c r="M2707" s="1" t="inlineStr">
        <is>
          <t>No</t>
        </is>
      </c>
      <c r="N2707" s="1" t="inlineStr">
        <is>
          <t>Algorithms</t>
        </is>
      </c>
      <c r="O27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08" ht="15.75" customHeight="1" s="12">
      <c r="A2708" s="1" t="n">
        <v>2201</v>
      </c>
      <c r="B2708" s="3">
        <f>HYPERLINK("https://leetcode.com/problems/count-artifacts-that-can-be-extracted/", "Count Artifacts That Can Be Extracted")</f>
        <v/>
      </c>
      <c r="C2708" s="1" t="n">
        <v>225</v>
      </c>
      <c r="D2708" s="1" t="n">
        <v>204</v>
      </c>
      <c r="E2708" s="4">
        <f>IF(INDEX(C:C, ROW())+INDEX(D:D, ROW())=0, 0, INDEX(C:C, ROW())/(INDEX(C:C, ROW())+INDEX(D:D, ROW())))</f>
        <v/>
      </c>
      <c r="F2708" s="1" t="inlineStr">
        <is>
          <t>Array, Hash Table, Simulation</t>
        </is>
      </c>
      <c r="G2708" s="1" t="inlineStr">
        <is>
          <t>Medium</t>
        </is>
      </c>
      <c r="H2708" s="1" t="n">
        <v>22892</v>
      </c>
      <c r="I2708" s="1" t="n">
        <v>40199</v>
      </c>
      <c r="J2708" s="9" t="n">
        <v>0.569</v>
      </c>
      <c r="K2708" s="1" t="inlineStr">
        <is>
          <t>Yes</t>
        </is>
      </c>
      <c r="L2708" s="1" t="inlineStr">
        <is>
          <t>No</t>
        </is>
      </c>
      <c r="M2708" s="1" t="inlineStr">
        <is>
          <t>No</t>
        </is>
      </c>
      <c r="N2708" s="1" t="inlineStr">
        <is>
          <t>Algorithms</t>
        </is>
      </c>
      <c r="O27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09" ht="15.75" customHeight="1" s="12">
      <c r="A2709" s="1" t="n">
        <v>2724</v>
      </c>
      <c r="B2709" s="3">
        <f>HYPERLINK("https://leetcode.com/problems/sort-by/", "Sort By")</f>
        <v/>
      </c>
      <c r="C2709" s="1" t="n">
        <v>225</v>
      </c>
      <c r="D2709" s="1" t="n">
        <v>49</v>
      </c>
      <c r="E2709" s="4">
        <f>IF(INDEX(C:C, ROW())+INDEX(D:D, ROW())=0, 0, INDEX(C:C, ROW())/(INDEX(C:C, ROW())+INDEX(D:D, ROW())))</f>
        <v/>
      </c>
      <c r="F2709" s="2" t="n"/>
      <c r="G2709" s="1" t="inlineStr">
        <is>
          <t>Easy</t>
        </is>
      </c>
      <c r="H2709" s="1" t="n">
        <v>75908</v>
      </c>
      <c r="I2709" s="1" t="n">
        <v>91314</v>
      </c>
      <c r="J2709" s="9" t="n">
        <v>0.831</v>
      </c>
      <c r="K2709" s="1" t="inlineStr">
        <is>
          <t>Yes</t>
        </is>
      </c>
      <c r="L2709" s="1" t="inlineStr">
        <is>
          <t>Yes</t>
        </is>
      </c>
      <c r="M2709" s="1" t="inlineStr">
        <is>
          <t>No</t>
        </is>
      </c>
      <c r="N2709" s="1" t="inlineStr">
        <is>
          <t>JavaScript</t>
        </is>
      </c>
      <c r="O27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10" ht="15.75" customHeight="1" s="12">
      <c r="A2710" s="1" t="n">
        <v>3276</v>
      </c>
      <c r="B2710" s="3">
        <f>HYPERLINK("https://leetcode.com/problems/select-cells-in-grid-with-maximum-score/", "Select Cells in Grid With Maximum Score")</f>
        <v/>
      </c>
      <c r="C2710" s="1" t="n">
        <v>224</v>
      </c>
      <c r="D2710" s="1" t="n">
        <v>6</v>
      </c>
      <c r="E2710" s="4">
        <f>IF(INDEX(C:C, ROW())+INDEX(D:D, ROW())=0, 0, INDEX(C:C, ROW())/(INDEX(C:C, ROW())+INDEX(D:D, ROW())))</f>
        <v/>
      </c>
      <c r="F2710" s="1" t="inlineStr">
        <is>
          <t>Array, Dynamic Programming, Bit Manipulation, Matrix, Bitmask DP</t>
        </is>
      </c>
      <c r="G2710" s="1" t="inlineStr">
        <is>
          <t>Hard</t>
        </is>
      </c>
      <c r="H2710" s="1" t="n">
        <v>12248</v>
      </c>
      <c r="I2710" s="1" t="n">
        <v>78966</v>
      </c>
      <c r="J2710" s="9" t="n">
        <v>0.155</v>
      </c>
      <c r="K2710" s="1" t="inlineStr">
        <is>
          <t>Yes</t>
        </is>
      </c>
      <c r="L2710" s="1" t="inlineStr">
        <is>
          <t>No</t>
        </is>
      </c>
      <c r="M2710" s="1" t="inlineStr">
        <is>
          <t>No</t>
        </is>
      </c>
      <c r="N2710" s="1" t="inlineStr">
        <is>
          <t>Algorithms</t>
        </is>
      </c>
      <c r="O27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11" ht="15.75" customHeight="1" s="12">
      <c r="A2711" s="1" t="n">
        <v>1308</v>
      </c>
      <c r="B2711" s="3">
        <f>HYPERLINK("https://leetcode.com/problems/running-total-for-different-genders/", "Running Total for Different Genders")</f>
        <v/>
      </c>
      <c r="C2711" s="1" t="n">
        <v>223</v>
      </c>
      <c r="D2711" s="1" t="n">
        <v>70</v>
      </c>
      <c r="E2711" s="4">
        <f>IF(INDEX(C:C, ROW())+INDEX(D:D, ROW())=0, 0, INDEX(C:C, ROW())/(INDEX(C:C, ROW())+INDEX(D:D, ROW())))</f>
        <v/>
      </c>
      <c r="F2711" s="1" t="inlineStr">
        <is>
          <t>Database</t>
        </is>
      </c>
      <c r="G2711" s="1" t="inlineStr">
        <is>
          <t>Medium</t>
        </is>
      </c>
      <c r="H2711" s="1" t="n">
        <v>46673</v>
      </c>
      <c r="I2711" s="1" t="n">
        <v>54148</v>
      </c>
      <c r="J2711" s="9" t="n">
        <v>0.862</v>
      </c>
      <c r="K2711" s="1" t="inlineStr">
        <is>
          <t>No</t>
        </is>
      </c>
      <c r="L2711" s="1" t="inlineStr">
        <is>
          <t>No</t>
        </is>
      </c>
      <c r="M2711" s="1" t="inlineStr">
        <is>
          <t>No</t>
        </is>
      </c>
      <c r="N2711" s="1" t="inlineStr">
        <is>
          <t>Database</t>
        </is>
      </c>
      <c r="O27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12" ht="15.75" customHeight="1" s="12">
      <c r="A2712" s="1" t="n">
        <v>1709</v>
      </c>
      <c r="B2712" s="3">
        <f>HYPERLINK("https://leetcode.com/problems/biggest-window-between-visits/", "Biggest Window Between Visits")</f>
        <v/>
      </c>
      <c r="C2712" s="1" t="n">
        <v>223</v>
      </c>
      <c r="D2712" s="1" t="n">
        <v>16</v>
      </c>
      <c r="E2712" s="4">
        <f>IF(INDEX(C:C, ROW())+INDEX(D:D, ROW())=0, 0, INDEX(C:C, ROW())/(INDEX(C:C, ROW())+INDEX(D:D, ROW())))</f>
        <v/>
      </c>
      <c r="F2712" s="1" t="inlineStr">
        <is>
          <t>Database</t>
        </is>
      </c>
      <c r="G2712" s="1" t="inlineStr">
        <is>
          <t>Medium</t>
        </is>
      </c>
      <c r="H2712" s="1" t="n">
        <v>32030</v>
      </c>
      <c r="I2712" s="1" t="n">
        <v>45985</v>
      </c>
      <c r="J2712" s="9" t="n">
        <v>0.697</v>
      </c>
      <c r="K2712" s="1" t="inlineStr">
        <is>
          <t>No</t>
        </is>
      </c>
      <c r="L2712" s="1" t="inlineStr">
        <is>
          <t>Yes</t>
        </is>
      </c>
      <c r="M2712" s="1" t="inlineStr">
        <is>
          <t>No</t>
        </is>
      </c>
      <c r="N2712" s="1" t="inlineStr">
        <is>
          <t>Database</t>
        </is>
      </c>
      <c r="O27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13" ht="15.75" customHeight="1" s="12">
      <c r="A2713" s="1" t="n">
        <v>1918</v>
      </c>
      <c r="B2713" s="3">
        <f>HYPERLINK("https://leetcode.com/problems/kth-smallest-subarray-sum/", "Kth Smallest Subarray Sum")</f>
        <v/>
      </c>
      <c r="C2713" s="1" t="n">
        <v>223</v>
      </c>
      <c r="D2713" s="1" t="n">
        <v>14</v>
      </c>
      <c r="E2713" s="4">
        <f>IF(INDEX(C:C, ROW())+INDEX(D:D, ROW())=0, 0, INDEX(C:C, ROW())/(INDEX(C:C, ROW())+INDEX(D:D, ROW())))</f>
        <v/>
      </c>
      <c r="F2713" s="1" t="inlineStr">
        <is>
          <t>Array, Binary Search, Sliding Window</t>
        </is>
      </c>
      <c r="G2713" s="1" t="inlineStr">
        <is>
          <t>Medium</t>
        </is>
      </c>
      <c r="H2713" s="1" t="n">
        <v>5666</v>
      </c>
      <c r="I2713" s="1" t="n">
        <v>10675</v>
      </c>
      <c r="J2713" s="9" t="n">
        <v>0.531</v>
      </c>
      <c r="K2713" s="1" t="inlineStr">
        <is>
          <t>No</t>
        </is>
      </c>
      <c r="L2713" s="1" t="inlineStr">
        <is>
          <t>No</t>
        </is>
      </c>
      <c r="M2713" s="1" t="inlineStr">
        <is>
          <t>No</t>
        </is>
      </c>
      <c r="N2713" s="1" t="inlineStr">
        <is>
          <t>Algorithms</t>
        </is>
      </c>
      <c r="O27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14" ht="15.75" customHeight="1" s="12">
      <c r="A2714" s="1" t="n">
        <v>2663</v>
      </c>
      <c r="B2714" s="3">
        <f>HYPERLINK("https://leetcode.com/problems/lexicographically-smallest-beautiful-string/", "Lexicographically Smallest Beautiful String")</f>
        <v/>
      </c>
      <c r="C2714" s="1" t="n">
        <v>223</v>
      </c>
      <c r="D2714" s="1" t="n">
        <v>28</v>
      </c>
      <c r="E2714" s="4">
        <f>IF(INDEX(C:C, ROW())+INDEX(D:D, ROW())=0, 0, INDEX(C:C, ROW())/(INDEX(C:C, ROW())+INDEX(D:D, ROW())))</f>
        <v/>
      </c>
      <c r="F2714" s="1" t="inlineStr">
        <is>
          <t>String, Greedy</t>
        </is>
      </c>
      <c r="G2714" s="1" t="inlineStr">
        <is>
          <t>Hard</t>
        </is>
      </c>
      <c r="H2714" s="1" t="n">
        <v>10664</v>
      </c>
      <c r="I2714" s="1" t="n">
        <v>28117</v>
      </c>
      <c r="J2714" s="9" t="n">
        <v>0.379</v>
      </c>
      <c r="K2714" s="1" t="inlineStr">
        <is>
          <t>Yes</t>
        </is>
      </c>
      <c r="L2714" s="1" t="inlineStr">
        <is>
          <t>No</t>
        </is>
      </c>
      <c r="M2714" s="1" t="inlineStr">
        <is>
          <t>No</t>
        </is>
      </c>
      <c r="N2714" s="1" t="inlineStr">
        <is>
          <t>Algorithms</t>
        </is>
      </c>
      <c r="O27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15" ht="15.75" customHeight="1" s="12">
      <c r="A2715" s="1" t="n">
        <v>2705</v>
      </c>
      <c r="B2715" s="3">
        <f>HYPERLINK("https://leetcode.com/problems/compact-object/", "Compact Object")</f>
        <v/>
      </c>
      <c r="C2715" s="1" t="n">
        <v>223</v>
      </c>
      <c r="D2715" s="1" t="n">
        <v>25</v>
      </c>
      <c r="E2715" s="4">
        <f>IF(INDEX(C:C, ROW())+INDEX(D:D, ROW())=0, 0, INDEX(C:C, ROW())/(INDEX(C:C, ROW())+INDEX(D:D, ROW())))</f>
        <v/>
      </c>
      <c r="F2715" s="2" t="n"/>
      <c r="G2715" s="1" t="inlineStr">
        <is>
          <t>Medium</t>
        </is>
      </c>
      <c r="H2715" s="1" t="n">
        <v>44421</v>
      </c>
      <c r="I2715" s="1" t="n">
        <v>66006</v>
      </c>
      <c r="J2715" s="9" t="n">
        <v>0.673</v>
      </c>
      <c r="K2715" s="1" t="inlineStr">
        <is>
          <t>Yes</t>
        </is>
      </c>
      <c r="L2715" s="1" t="inlineStr">
        <is>
          <t>Yes</t>
        </is>
      </c>
      <c r="M2715" s="1" t="inlineStr">
        <is>
          <t>No</t>
        </is>
      </c>
      <c r="N2715" s="1" t="inlineStr">
        <is>
          <t>JavaScript</t>
        </is>
      </c>
      <c r="O27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16" ht="15.75" customHeight="1" s="12">
      <c r="A2716" s="1" t="n">
        <v>2933</v>
      </c>
      <c r="B2716" s="3">
        <f>HYPERLINK("https://leetcode.com/problems/high-access-employees/", "High-Access Employees")</f>
        <v/>
      </c>
      <c r="C2716" s="1" t="n">
        <v>223</v>
      </c>
      <c r="D2716" s="1" t="n">
        <v>22</v>
      </c>
      <c r="E2716" s="4">
        <f>IF(INDEX(C:C, ROW())+INDEX(D:D, ROW())=0, 0, INDEX(C:C, ROW())/(INDEX(C:C, ROW())+INDEX(D:D, ROW())))</f>
        <v/>
      </c>
      <c r="F2716" s="1" t="inlineStr">
        <is>
          <t>Array, Hash Table, String, Sorting</t>
        </is>
      </c>
      <c r="G2716" s="1" t="inlineStr">
        <is>
          <t>Medium</t>
        </is>
      </c>
      <c r="H2716" s="1" t="n">
        <v>32521</v>
      </c>
      <c r="I2716" s="1" t="n">
        <v>68948</v>
      </c>
      <c r="J2716" s="9" t="n">
        <v>0.472</v>
      </c>
      <c r="K2716" s="1" t="inlineStr">
        <is>
          <t>Yes</t>
        </is>
      </c>
      <c r="L2716" s="1" t="inlineStr">
        <is>
          <t>No</t>
        </is>
      </c>
      <c r="M2716" s="1" t="inlineStr">
        <is>
          <t>No</t>
        </is>
      </c>
      <c r="N2716" s="1" t="inlineStr">
        <is>
          <t>Algorithms</t>
        </is>
      </c>
      <c r="O27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17" ht="15.75" customHeight="1" s="12">
      <c r="A2717" s="1" t="n">
        <v>634</v>
      </c>
      <c r="B2717" s="3">
        <f>HYPERLINK("https://leetcode.com/problems/find-the-derangement-of-an-array/", "Find the Derangement of An Array")</f>
        <v/>
      </c>
      <c r="C2717" s="1" t="n">
        <v>222</v>
      </c>
      <c r="D2717" s="1" t="n">
        <v>165</v>
      </c>
      <c r="E2717" s="4">
        <f>IF(INDEX(C:C, ROW())+INDEX(D:D, ROW())=0, 0, INDEX(C:C, ROW())/(INDEX(C:C, ROW())+INDEX(D:D, ROW())))</f>
        <v/>
      </c>
      <c r="F2717" s="1" t="inlineStr">
        <is>
          <t>Math, Dynamic Programming, Combinatorics</t>
        </is>
      </c>
      <c r="G2717" s="1" t="inlineStr">
        <is>
          <t>Medium</t>
        </is>
      </c>
      <c r="H2717" s="1" t="n">
        <v>12384</v>
      </c>
      <c r="I2717" s="1" t="n">
        <v>29725</v>
      </c>
      <c r="J2717" s="9" t="n">
        <v>0.417</v>
      </c>
      <c r="K2717" s="1" t="inlineStr">
        <is>
          <t>No</t>
        </is>
      </c>
      <c r="L2717" s="1" t="inlineStr">
        <is>
          <t>Yes</t>
        </is>
      </c>
      <c r="M2717" s="1" t="inlineStr">
        <is>
          <t>No</t>
        </is>
      </c>
      <c r="N2717" s="1" t="inlineStr">
        <is>
          <t>Algorithms</t>
        </is>
      </c>
      <c r="O27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18" ht="15.75" customHeight="1" s="12">
      <c r="A2718" s="1" t="n">
        <v>2628</v>
      </c>
      <c r="B2718" s="3">
        <f>HYPERLINK("https://leetcode.com/problems/json-deep-equal/", "JSON Deep Equal")</f>
        <v/>
      </c>
      <c r="C2718" s="1" t="n">
        <v>222</v>
      </c>
      <c r="D2718" s="1" t="n">
        <v>18</v>
      </c>
      <c r="E2718" s="4">
        <f>IF(INDEX(C:C, ROW())+INDEX(D:D, ROW())=0, 0, INDEX(C:C, ROW())/(INDEX(C:C, ROW())+INDEX(D:D, ROW())))</f>
        <v/>
      </c>
      <c r="F2718" s="2" t="n"/>
      <c r="G2718" s="1" t="inlineStr">
        <is>
          <t>Medium</t>
        </is>
      </c>
      <c r="H2718" s="1" t="n">
        <v>14822</v>
      </c>
      <c r="I2718" s="1" t="n">
        <v>37600</v>
      </c>
      <c r="J2718" s="9" t="n">
        <v>0.394</v>
      </c>
      <c r="K2718" s="1" t="inlineStr">
        <is>
          <t>No</t>
        </is>
      </c>
      <c r="L2718" s="1" t="inlineStr">
        <is>
          <t>Yes</t>
        </is>
      </c>
      <c r="M2718" s="1" t="inlineStr">
        <is>
          <t>No</t>
        </is>
      </c>
      <c r="N2718" s="1" t="inlineStr">
        <is>
          <t>JavaScript</t>
        </is>
      </c>
      <c r="O27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19" ht="15.75" customHeight="1" s="12">
      <c r="A2719" s="1" t="n">
        <v>3286</v>
      </c>
      <c r="B2719" s="3">
        <f>HYPERLINK("https://leetcode.com/problems/find-a-safe-walk-through-a-grid/", "Find a Safe Walk Through a Grid")</f>
        <v/>
      </c>
      <c r="C2719" s="1" t="n">
        <v>222</v>
      </c>
      <c r="D2719" s="1" t="n">
        <v>13</v>
      </c>
      <c r="E2719" s="4">
        <f>IF(INDEX(C:C, ROW())+INDEX(D:D, ROW())=0, 0, INDEX(C:C, ROW())/(INDEX(C:C, ROW())+INDEX(D:D, ROW())))</f>
        <v/>
      </c>
      <c r="F2719" s="1" t="inlineStr">
        <is>
          <t>Array, Breadth-First Search, Graph Theory, Heap (Priority Queue), Matrix, Shortest Path</t>
        </is>
      </c>
      <c r="G2719" s="1" t="inlineStr">
        <is>
          <t>Medium</t>
        </is>
      </c>
      <c r="H2719" s="1" t="n">
        <v>34534</v>
      </c>
      <c r="I2719" s="1" t="n">
        <v>106747</v>
      </c>
      <c r="J2719" s="9" t="n">
        <v>0.324</v>
      </c>
      <c r="K2719" s="1" t="inlineStr">
        <is>
          <t>Yes</t>
        </is>
      </c>
      <c r="L2719" s="1" t="inlineStr">
        <is>
          <t>No</t>
        </is>
      </c>
      <c r="M2719" s="1" t="inlineStr">
        <is>
          <t>No</t>
        </is>
      </c>
      <c r="N2719" s="1" t="inlineStr">
        <is>
          <t>Algorithms</t>
        </is>
      </c>
      <c r="O27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20" ht="15.75" customHeight="1" s="12">
      <c r="A2720" s="1" t="n">
        <v>3153</v>
      </c>
      <c r="B2720" s="3">
        <f>HYPERLINK("https://leetcode.com/problems/sum-of-digit-differences-of-all-pairs/", "Sum of Digit Differences of All Pairs")</f>
        <v/>
      </c>
      <c r="C2720" s="1" t="n">
        <v>221</v>
      </c>
      <c r="D2720" s="1" t="n">
        <v>20</v>
      </c>
      <c r="E2720" s="4">
        <f>IF(INDEX(C:C, ROW())+INDEX(D:D, ROW())=0, 0, INDEX(C:C, ROW())/(INDEX(C:C, ROW())+INDEX(D:D, ROW())))</f>
        <v/>
      </c>
      <c r="F2720" s="1" t="inlineStr">
        <is>
          <t>Array, Hash Table, Math, Counting</t>
        </is>
      </c>
      <c r="G2720" s="1" t="inlineStr">
        <is>
          <t>Medium</t>
        </is>
      </c>
      <c r="H2720" s="1" t="n">
        <v>28651</v>
      </c>
      <c r="I2720" s="1" t="n">
        <v>66733</v>
      </c>
      <c r="J2720" s="9" t="n">
        <v>0.429</v>
      </c>
      <c r="K2720" s="1" t="inlineStr">
        <is>
          <t>Yes</t>
        </is>
      </c>
      <c r="L2720" s="1" t="inlineStr">
        <is>
          <t>No</t>
        </is>
      </c>
      <c r="M2720" s="1" t="inlineStr">
        <is>
          <t>No</t>
        </is>
      </c>
      <c r="N2720" s="1" t="inlineStr">
        <is>
          <t>Algorithms</t>
        </is>
      </c>
      <c r="O27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21" ht="15.75" customHeight="1" s="12">
      <c r="A2721" s="1" t="n">
        <v>3282</v>
      </c>
      <c r="B2721" s="3">
        <f>HYPERLINK("https://leetcode.com/problems/reach-end-of-array-with-max-score/", "Reach End of Array With Max Score")</f>
        <v/>
      </c>
      <c r="C2721" s="1" t="n">
        <v>221</v>
      </c>
      <c r="D2721" s="1" t="n">
        <v>15</v>
      </c>
      <c r="E2721" s="4">
        <f>IF(INDEX(C:C, ROW())+INDEX(D:D, ROW())=0, 0, INDEX(C:C, ROW())/(INDEX(C:C, ROW())+INDEX(D:D, ROW())))</f>
        <v/>
      </c>
      <c r="F2721" s="1" t="inlineStr">
        <is>
          <t>Array, Greedy</t>
        </is>
      </c>
      <c r="G2721" s="1" t="inlineStr">
        <is>
          <t>Medium</t>
        </is>
      </c>
      <c r="H2721" s="1" t="n">
        <v>28501</v>
      </c>
      <c r="I2721" s="1" t="n">
        <v>85747</v>
      </c>
      <c r="J2721" s="9" t="n">
        <v>0.332</v>
      </c>
      <c r="K2721" s="1" t="inlineStr">
        <is>
          <t>Yes</t>
        </is>
      </c>
      <c r="L2721" s="1" t="inlineStr">
        <is>
          <t>No</t>
        </is>
      </c>
      <c r="M2721" s="1" t="inlineStr">
        <is>
          <t>No</t>
        </is>
      </c>
      <c r="N2721" s="1" t="inlineStr">
        <is>
          <t>Algorithms</t>
        </is>
      </c>
      <c r="O27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22" ht="15.75" customHeight="1" s="12">
      <c r="A2722" s="1" t="n">
        <v>3371</v>
      </c>
      <c r="B2722" s="3">
        <f>HYPERLINK("https://leetcode.com/problems/identify-the-largest-outlier-in-an-array/", "Identify the Largest Outlier in an Array")</f>
        <v/>
      </c>
      <c r="C2722" s="1" t="n">
        <v>221</v>
      </c>
      <c r="D2722" s="1" t="n">
        <v>30</v>
      </c>
      <c r="E2722" s="4">
        <f>IF(INDEX(C:C, ROW())+INDEX(D:D, ROW())=0, 0, INDEX(C:C, ROW())/(INDEX(C:C, ROW())+INDEX(D:D, ROW())))</f>
        <v/>
      </c>
      <c r="F2722" s="1" t="inlineStr">
        <is>
          <t>Array, Hash Table, Counting, Enumeration</t>
        </is>
      </c>
      <c r="G2722" s="1" t="inlineStr">
        <is>
          <t>Medium</t>
        </is>
      </c>
      <c r="H2722" s="1" t="n">
        <v>51398</v>
      </c>
      <c r="I2722" s="1" t="n">
        <v>142174</v>
      </c>
      <c r="J2722" s="9" t="n">
        <v>0.362</v>
      </c>
      <c r="K2722" s="1" t="inlineStr">
        <is>
          <t>Yes</t>
        </is>
      </c>
      <c r="L2722" s="1" t="inlineStr">
        <is>
          <t>No</t>
        </is>
      </c>
      <c r="M2722" s="1" t="inlineStr">
        <is>
          <t>No</t>
        </is>
      </c>
      <c r="N2722" s="1" t="inlineStr">
        <is>
          <t>Algorithms</t>
        </is>
      </c>
      <c r="O27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23" ht="15.75" customHeight="1" s="12">
      <c r="A2723" s="1" t="n">
        <v>2288</v>
      </c>
      <c r="B2723" s="3">
        <f>HYPERLINK("https://leetcode.com/problems/apply-discount-to-prices/", "Apply Discount to Prices")</f>
        <v/>
      </c>
      <c r="C2723" s="1" t="n">
        <v>220</v>
      </c>
      <c r="D2723" s="1" t="n">
        <v>1127</v>
      </c>
      <c r="E2723" s="4">
        <f>IF(INDEX(C:C, ROW())+INDEX(D:D, ROW())=0, 0, INDEX(C:C, ROW())/(INDEX(C:C, ROW())+INDEX(D:D, ROW())))</f>
        <v/>
      </c>
      <c r="F2723" s="1" t="inlineStr">
        <is>
          <t>String</t>
        </is>
      </c>
      <c r="G2723" s="1" t="inlineStr">
        <is>
          <t>Medium</t>
        </is>
      </c>
      <c r="H2723" s="1" t="n">
        <v>30962</v>
      </c>
      <c r="I2723" s="1" t="n">
        <v>91962</v>
      </c>
      <c r="J2723" s="9" t="n">
        <v>0.337</v>
      </c>
      <c r="K2723" s="1" t="inlineStr">
        <is>
          <t>Yes</t>
        </is>
      </c>
      <c r="L2723" s="1" t="inlineStr">
        <is>
          <t>No</t>
        </is>
      </c>
      <c r="M2723" s="1" t="inlineStr">
        <is>
          <t>No</t>
        </is>
      </c>
      <c r="N2723" s="1" t="inlineStr">
        <is>
          <t>Algorithms</t>
        </is>
      </c>
      <c r="O27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24" ht="15.75" customHeight="1" s="12">
      <c r="A2724" s="1" t="n">
        <v>3281</v>
      </c>
      <c r="B2724" s="3">
        <f>HYPERLINK("https://leetcode.com/problems/maximize-score-of-numbers-in-ranges/", "Maximize Score of Numbers in Ranges")</f>
        <v/>
      </c>
      <c r="C2724" s="1" t="n">
        <v>220</v>
      </c>
      <c r="D2724" s="1" t="n">
        <v>50</v>
      </c>
      <c r="E2724" s="4">
        <f>IF(INDEX(C:C, ROW())+INDEX(D:D, ROW())=0, 0, INDEX(C:C, ROW())/(INDEX(C:C, ROW())+INDEX(D:D, ROW())))</f>
        <v/>
      </c>
      <c r="F2724" s="1" t="inlineStr">
        <is>
          <t>Array, Binary Search, Greedy, Sorting</t>
        </is>
      </c>
      <c r="G2724" s="1" t="inlineStr">
        <is>
          <t>Medium</t>
        </is>
      </c>
      <c r="H2724" s="1" t="n">
        <v>23217</v>
      </c>
      <c r="I2724" s="1" t="n">
        <v>65551</v>
      </c>
      <c r="J2724" s="9" t="n">
        <v>0.354</v>
      </c>
      <c r="K2724" s="1" t="inlineStr">
        <is>
          <t>Yes</t>
        </is>
      </c>
      <c r="L2724" s="1" t="inlineStr">
        <is>
          <t>No</t>
        </is>
      </c>
      <c r="M2724" s="1" t="inlineStr">
        <is>
          <t>No</t>
        </is>
      </c>
      <c r="N2724" s="1" t="inlineStr">
        <is>
          <t>Algorithms</t>
        </is>
      </c>
      <c r="O27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25" ht="15.75" customHeight="1" s="12">
      <c r="A2725" s="1" t="n">
        <v>1430</v>
      </c>
      <c r="B2725" s="3">
        <f>HYPERLINK("https://leetcode.com/problems/check-if-a-string-is-a-valid-sequence-from-root-to-leaves-path-in-a-binary-tree/", "Check If a String Is a Valid Sequence from Root to Leaves Path in a Binary Tree")</f>
        <v/>
      </c>
      <c r="C2725" s="1" t="n">
        <v>219</v>
      </c>
      <c r="D2725" s="1" t="n">
        <v>15</v>
      </c>
      <c r="E2725" s="4">
        <f>IF(INDEX(C:C, ROW())+INDEX(D:D, ROW())=0, 0, INDEX(C:C, ROW())/(INDEX(C:C, ROW())+INDEX(D:D, ROW())))</f>
        <v/>
      </c>
      <c r="F2725" s="1" t="inlineStr">
        <is>
          <t>Tree, Depth-First Search, Breadth-First Search, Binary Tree</t>
        </is>
      </c>
      <c r="G2725" s="1" t="inlineStr">
        <is>
          <t>Medium</t>
        </is>
      </c>
      <c r="H2725" s="1" t="n">
        <v>46266</v>
      </c>
      <c r="I2725" s="1" t="n">
        <v>97521</v>
      </c>
      <c r="J2725" s="9" t="n">
        <v>0.474</v>
      </c>
      <c r="K2725" s="1" t="inlineStr">
        <is>
          <t>No</t>
        </is>
      </c>
      <c r="L2725" s="1" t="inlineStr">
        <is>
          <t>No</t>
        </is>
      </c>
      <c r="M2725" s="1" t="inlineStr">
        <is>
          <t>No</t>
        </is>
      </c>
      <c r="N2725" s="1" t="inlineStr">
        <is>
          <t>Algorithms</t>
        </is>
      </c>
      <c r="O27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26" ht="15.75" customHeight="1" s="12">
      <c r="A2726" s="1" t="n">
        <v>1098</v>
      </c>
      <c r="B2726" s="3">
        <f>HYPERLINK("https://leetcode.com/problems/unpopular-books/", "Unpopular Books")</f>
        <v/>
      </c>
      <c r="C2726" s="1" t="n">
        <v>217</v>
      </c>
      <c r="D2726" s="1" t="n">
        <v>621</v>
      </c>
      <c r="E2726" s="4">
        <f>IF(INDEX(C:C, ROW())+INDEX(D:D, ROW())=0, 0, INDEX(C:C, ROW())/(INDEX(C:C, ROW())+INDEX(D:D, ROW())))</f>
        <v/>
      </c>
      <c r="F2726" s="1" t="inlineStr">
        <is>
          <t>Database</t>
        </is>
      </c>
      <c r="G2726" s="1" t="inlineStr">
        <is>
          <t>Medium</t>
        </is>
      </c>
      <c r="H2726" s="1" t="n">
        <v>47381</v>
      </c>
      <c r="I2726" s="1" t="n">
        <v>109107</v>
      </c>
      <c r="J2726" s="9" t="n">
        <v>0.434</v>
      </c>
      <c r="K2726" s="1" t="inlineStr">
        <is>
          <t>No</t>
        </is>
      </c>
      <c r="L2726" s="1" t="inlineStr">
        <is>
          <t>No</t>
        </is>
      </c>
      <c r="M2726" s="1" t="inlineStr">
        <is>
          <t>No</t>
        </is>
      </c>
      <c r="N2726" s="1" t="inlineStr">
        <is>
          <t>Database</t>
        </is>
      </c>
      <c r="O27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27" ht="15.75" customHeight="1" s="12">
      <c r="A2727" s="1" t="n">
        <v>1348</v>
      </c>
      <c r="B2727" s="3">
        <f>HYPERLINK("https://leetcode.com/problems/tweet-counts-per-frequency/", "Tweet Counts Per Frequency")</f>
        <v/>
      </c>
      <c r="C2727" s="1" t="n">
        <v>217</v>
      </c>
      <c r="D2727" s="1" t="n">
        <v>307</v>
      </c>
      <c r="E2727" s="4">
        <f>IF(INDEX(C:C, ROW())+INDEX(D:D, ROW())=0, 0, INDEX(C:C, ROW())/(INDEX(C:C, ROW())+INDEX(D:D, ROW())))</f>
        <v/>
      </c>
      <c r="F2727" s="1" t="inlineStr">
        <is>
          <t>Hash Table, String, Binary Search, Design, Sorting, Ordered Set</t>
        </is>
      </c>
      <c r="G2727" s="1" t="inlineStr">
        <is>
          <t>Medium</t>
        </is>
      </c>
      <c r="H2727" s="1" t="n">
        <v>38490</v>
      </c>
      <c r="I2727" s="1" t="n">
        <v>84067</v>
      </c>
      <c r="J2727" s="9" t="n">
        <v>0.458</v>
      </c>
      <c r="K2727" s="1" t="inlineStr">
        <is>
          <t>Yes</t>
        </is>
      </c>
      <c r="L2727" s="1" t="inlineStr">
        <is>
          <t>No</t>
        </is>
      </c>
      <c r="M2727" s="1" t="inlineStr">
        <is>
          <t>No</t>
        </is>
      </c>
      <c r="N2727" s="1" t="inlineStr">
        <is>
          <t>Algorithms</t>
        </is>
      </c>
      <c r="O27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28" ht="15.75" customHeight="1" s="12">
      <c r="A2728" s="1" t="n">
        <v>3539</v>
      </c>
      <c r="B2728" s="3">
        <f>HYPERLINK("https://leetcode.com/problems/find-sum-of-array-product-of-magical-sequences/", "Find Sum of Array Product of Magical Sequences")</f>
        <v/>
      </c>
      <c r="C2728" s="1" t="n">
        <v>217</v>
      </c>
      <c r="D2728" s="1" t="n">
        <v>155</v>
      </c>
      <c r="E2728" s="4">
        <f>IF(INDEX(C:C, ROW())+INDEX(D:D, ROW())=0, 0, INDEX(C:C, ROW())/(INDEX(C:C, ROW())+INDEX(D:D, ROW())))</f>
        <v/>
      </c>
      <c r="F2728" s="1" t="inlineStr">
        <is>
          <t>Array, Math, Dynamic Programming, Bit Manipulation, Combinatorics, Bitmask DP</t>
        </is>
      </c>
      <c r="G2728" s="1" t="inlineStr">
        <is>
          <t>Hard</t>
        </is>
      </c>
      <c r="H2728" s="1" t="n">
        <v>52177</v>
      </c>
      <c r="I2728" s="1" t="n">
        <v>84122</v>
      </c>
      <c r="J2728" s="9" t="n">
        <v>0.62</v>
      </c>
      <c r="K2728" s="1" t="inlineStr">
        <is>
          <t>Yes</t>
        </is>
      </c>
      <c r="L2728" s="1" t="inlineStr">
        <is>
          <t>Yes</t>
        </is>
      </c>
      <c r="M2728" s="1" t="inlineStr">
        <is>
          <t>No</t>
        </is>
      </c>
      <c r="N2728" s="1" t="inlineStr">
        <is>
          <t>Algorithms</t>
        </is>
      </c>
      <c r="O27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29" ht="15.75" customHeight="1" s="12">
      <c r="A2729" s="1" t="n">
        <v>288</v>
      </c>
      <c r="B2729" s="3">
        <f>HYPERLINK("https://leetcode.com/problems/unique-word-abbreviation/", "Unique Word Abbreviation")</f>
        <v/>
      </c>
      <c r="C2729" s="1" t="n">
        <v>216</v>
      </c>
      <c r="D2729" s="1" t="n">
        <v>1855</v>
      </c>
      <c r="E2729" s="4">
        <f>IF(INDEX(C:C, ROW())+INDEX(D:D, ROW())=0, 0, INDEX(C:C, ROW())/(INDEX(C:C, ROW())+INDEX(D:D, ROW())))</f>
        <v/>
      </c>
      <c r="F2729" s="1" t="inlineStr">
        <is>
          <t>Array, Hash Table, String, Design</t>
        </is>
      </c>
      <c r="G2729" s="1" t="inlineStr">
        <is>
          <t>Medium</t>
        </is>
      </c>
      <c r="H2729" s="1" t="n">
        <v>79609</v>
      </c>
      <c r="I2729" s="1" t="n">
        <v>290929</v>
      </c>
      <c r="J2729" s="9" t="n">
        <v>0.274</v>
      </c>
      <c r="K2729" s="1" t="inlineStr">
        <is>
          <t>No</t>
        </is>
      </c>
      <c r="L2729" s="1" t="inlineStr">
        <is>
          <t>Yes</t>
        </is>
      </c>
      <c r="M2729" s="1" t="inlineStr">
        <is>
          <t>No</t>
        </is>
      </c>
      <c r="N2729" s="1" t="inlineStr">
        <is>
          <t>Algorithms</t>
        </is>
      </c>
      <c r="O27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30" ht="15.75" customHeight="1" s="12">
      <c r="A2730" s="1" t="n">
        <v>1134</v>
      </c>
      <c r="B2730" s="3">
        <f>HYPERLINK("https://leetcode.com/problems/armstrong-number/", "Armstrong Number")</f>
        <v/>
      </c>
      <c r="C2730" s="1" t="n">
        <v>216</v>
      </c>
      <c r="D2730" s="1" t="n">
        <v>20</v>
      </c>
      <c r="E2730" s="4">
        <f>IF(INDEX(C:C, ROW())+INDEX(D:D, ROW())=0, 0, INDEX(C:C, ROW())/(INDEX(C:C, ROW())+INDEX(D:D, ROW())))</f>
        <v/>
      </c>
      <c r="F2730" s="1" t="inlineStr">
        <is>
          <t>Math</t>
        </is>
      </c>
      <c r="G2730" s="1" t="inlineStr">
        <is>
          <t>Easy</t>
        </is>
      </c>
      <c r="H2730" s="1" t="n">
        <v>42262</v>
      </c>
      <c r="I2730" s="1" t="n">
        <v>54305</v>
      </c>
      <c r="J2730" s="9" t="n">
        <v>0.778</v>
      </c>
      <c r="K2730" s="1" t="inlineStr">
        <is>
          <t>No</t>
        </is>
      </c>
      <c r="L2730" s="1" t="inlineStr">
        <is>
          <t>Yes</t>
        </is>
      </c>
      <c r="M2730" s="1" t="inlineStr">
        <is>
          <t>No</t>
        </is>
      </c>
      <c r="N2730" s="1" t="inlineStr">
        <is>
          <t>Algorithms</t>
        </is>
      </c>
      <c r="O27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31" ht="15.75" customHeight="1" s="12">
      <c r="A2731" s="1" t="n">
        <v>2727</v>
      </c>
      <c r="B2731" s="3">
        <f>HYPERLINK("https://leetcode.com/problems/is-object-empty/", "Is Object Empty")</f>
        <v/>
      </c>
      <c r="C2731" s="1" t="n">
        <v>216</v>
      </c>
      <c r="D2731" s="1" t="n">
        <v>16</v>
      </c>
      <c r="E2731" s="4">
        <f>IF(INDEX(C:C, ROW())+INDEX(D:D, ROW())=0, 0, INDEX(C:C, ROW())/(INDEX(C:C, ROW())+INDEX(D:D, ROW())))</f>
        <v/>
      </c>
      <c r="F2731" s="2" t="n"/>
      <c r="G2731" s="1" t="inlineStr">
        <is>
          <t>Easy</t>
        </is>
      </c>
      <c r="H2731" s="1" t="n">
        <v>113533</v>
      </c>
      <c r="I2731" s="1" t="n">
        <v>138945</v>
      </c>
      <c r="J2731" s="9" t="n">
        <v>0.8169999999999999</v>
      </c>
      <c r="K2731" s="1" t="inlineStr">
        <is>
          <t>Yes</t>
        </is>
      </c>
      <c r="L2731" s="1" t="inlineStr">
        <is>
          <t>Yes</t>
        </is>
      </c>
      <c r="M2731" s="1" t="inlineStr">
        <is>
          <t>No</t>
        </is>
      </c>
      <c r="N2731" s="1" t="inlineStr">
        <is>
          <t>JavaScript</t>
        </is>
      </c>
      <c r="O27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32" ht="15.75" customHeight="1" s="12">
      <c r="A2732" s="1" t="n">
        <v>1357</v>
      </c>
      <c r="B2732" s="3">
        <f>HYPERLINK("https://leetcode.com/problems/apply-discount-every-n-orders/", "Apply Discount Every n Orders")</f>
        <v/>
      </c>
      <c r="C2732" s="1" t="n">
        <v>215</v>
      </c>
      <c r="D2732" s="1" t="n">
        <v>232</v>
      </c>
      <c r="E2732" s="4">
        <f>IF(INDEX(C:C, ROW())+INDEX(D:D, ROW())=0, 0, INDEX(C:C, ROW())/(INDEX(C:C, ROW())+INDEX(D:D, ROW())))</f>
        <v/>
      </c>
      <c r="F2732" s="1" t="inlineStr">
        <is>
          <t>Array, Hash Table, Design</t>
        </is>
      </c>
      <c r="G2732" s="1" t="inlineStr">
        <is>
          <t>Medium</t>
        </is>
      </c>
      <c r="H2732" s="1" t="n">
        <v>28672</v>
      </c>
      <c r="I2732" s="1" t="n">
        <v>44005</v>
      </c>
      <c r="J2732" s="9" t="n">
        <v>0.652</v>
      </c>
      <c r="K2732" s="1" t="inlineStr">
        <is>
          <t>Yes</t>
        </is>
      </c>
      <c r="L2732" s="1" t="inlineStr">
        <is>
          <t>No</t>
        </is>
      </c>
      <c r="M2732" s="1" t="inlineStr">
        <is>
          <t>No</t>
        </is>
      </c>
      <c r="N2732" s="1" t="inlineStr">
        <is>
          <t>Algorithms</t>
        </is>
      </c>
      <c r="O27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33" ht="15.75" customHeight="1" s="12">
      <c r="A2733" s="1" t="n">
        <v>1410</v>
      </c>
      <c r="B2733" s="3">
        <f>HYPERLINK("https://leetcode.com/problems/html-entity-parser/", "HTML Entity Parser")</f>
        <v/>
      </c>
      <c r="C2733" s="1" t="n">
        <v>214</v>
      </c>
      <c r="D2733" s="1" t="n">
        <v>332</v>
      </c>
      <c r="E2733" s="4">
        <f>IF(INDEX(C:C, ROW())+INDEX(D:D, ROW())=0, 0, INDEX(C:C, ROW())/(INDEX(C:C, ROW())+INDEX(D:D, ROW())))</f>
        <v/>
      </c>
      <c r="F2733" s="1" t="inlineStr">
        <is>
          <t>Hash Table, String</t>
        </is>
      </c>
      <c r="G2733" s="1" t="inlineStr">
        <is>
          <t>Medium</t>
        </is>
      </c>
      <c r="H2733" s="1" t="n">
        <v>30921</v>
      </c>
      <c r="I2733" s="1" t="n">
        <v>61561</v>
      </c>
      <c r="J2733" s="9" t="n">
        <v>0.502</v>
      </c>
      <c r="K2733" s="1" t="inlineStr">
        <is>
          <t>Yes</t>
        </is>
      </c>
      <c r="L2733" s="1" t="inlineStr">
        <is>
          <t>No</t>
        </is>
      </c>
      <c r="M2733" s="1" t="inlineStr">
        <is>
          <t>No</t>
        </is>
      </c>
      <c r="N2733" s="1" t="inlineStr">
        <is>
          <t>Algorithms</t>
        </is>
      </c>
      <c r="O27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34" ht="15.75" customHeight="1" s="12">
      <c r="A2734" s="1" t="n">
        <v>3020</v>
      </c>
      <c r="B2734" s="3">
        <f>HYPERLINK("https://leetcode.com/problems/find-the-maximum-number-of-elements-in-subset/", "Find the Maximum Number of Elements in Subset")</f>
        <v/>
      </c>
      <c r="C2734" s="1" t="n">
        <v>214</v>
      </c>
      <c r="D2734" s="1" t="n">
        <v>43</v>
      </c>
      <c r="E2734" s="4">
        <f>IF(INDEX(C:C, ROW())+INDEX(D:D, ROW())=0, 0, INDEX(C:C, ROW())/(INDEX(C:C, ROW())+INDEX(D:D, ROW())))</f>
        <v/>
      </c>
      <c r="F2734" s="1" t="inlineStr">
        <is>
          <t>Array, Hash Table, Enumeration</t>
        </is>
      </c>
      <c r="G2734" s="1" t="inlineStr">
        <is>
          <t>Medium</t>
        </is>
      </c>
      <c r="H2734" s="1" t="n">
        <v>28147</v>
      </c>
      <c r="I2734" s="1" t="n">
        <v>105256</v>
      </c>
      <c r="J2734" s="9" t="n">
        <v>0.267</v>
      </c>
      <c r="K2734" s="1" t="inlineStr">
        <is>
          <t>Yes</t>
        </is>
      </c>
      <c r="L2734" s="1" t="inlineStr">
        <is>
          <t>No</t>
        </is>
      </c>
      <c r="M2734" s="1" t="inlineStr">
        <is>
          <t>No</t>
        </is>
      </c>
      <c r="N2734" s="1" t="inlineStr">
        <is>
          <t>Algorithms</t>
        </is>
      </c>
      <c r="O27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35" ht="15.75" customHeight="1" s="12">
      <c r="A2735" s="1" t="n">
        <v>3112</v>
      </c>
      <c r="B2735" s="3">
        <f>HYPERLINK("https://leetcode.com/problems/minimum-time-to-visit-disappearing-nodes/", "Minimum Time to Visit Disappearing Nodes")</f>
        <v/>
      </c>
      <c r="C2735" s="1" t="n">
        <v>214</v>
      </c>
      <c r="D2735" s="1" t="n">
        <v>24</v>
      </c>
      <c r="E2735" s="4">
        <f>IF(INDEX(C:C, ROW())+INDEX(D:D, ROW())=0, 0, INDEX(C:C, ROW())/(INDEX(C:C, ROW())+INDEX(D:D, ROW())))</f>
        <v/>
      </c>
      <c r="F2735" s="1" t="inlineStr">
        <is>
          <t>Array, Graph Theory, Heap (Priority Queue), Shortest Path</t>
        </is>
      </c>
      <c r="G2735" s="1" t="inlineStr">
        <is>
          <t>Medium</t>
        </is>
      </c>
      <c r="H2735" s="1" t="n">
        <v>26665</v>
      </c>
      <c r="I2735" s="1" t="n">
        <v>71843</v>
      </c>
      <c r="J2735" s="9" t="n">
        <v>0.371</v>
      </c>
      <c r="K2735" s="1" t="inlineStr">
        <is>
          <t>Yes</t>
        </is>
      </c>
      <c r="L2735" s="1" t="inlineStr">
        <is>
          <t>No</t>
        </is>
      </c>
      <c r="M2735" s="1" t="inlineStr">
        <is>
          <t>No</t>
        </is>
      </c>
      <c r="N2735" s="1" t="inlineStr">
        <is>
          <t>Algorithms</t>
        </is>
      </c>
      <c r="O27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36" ht="15.75" customHeight="1" s="12">
      <c r="A2736" s="1" t="n">
        <v>2732</v>
      </c>
      <c r="B2736" s="3">
        <f>HYPERLINK("https://leetcode.com/problems/find-a-good-subset-of-the-matrix/", "Find a Good Subset of the Matrix")</f>
        <v/>
      </c>
      <c r="C2736" s="1" t="n">
        <v>213</v>
      </c>
      <c r="D2736" s="1" t="n">
        <v>30</v>
      </c>
      <c r="E2736" s="4">
        <f>IF(INDEX(C:C, ROW())+INDEX(D:D, ROW())=0, 0, INDEX(C:C, ROW())/(INDEX(C:C, ROW())+INDEX(D:D, ROW())))</f>
        <v/>
      </c>
      <c r="F2736" s="1" t="inlineStr">
        <is>
          <t>Array, Hash Table, Bit Manipulation, Matrix</t>
        </is>
      </c>
      <c r="G2736" s="1" t="inlineStr">
        <is>
          <t>Hard</t>
        </is>
      </c>
      <c r="H2736" s="1" t="n">
        <v>8125</v>
      </c>
      <c r="I2736" s="1" t="n">
        <v>17383</v>
      </c>
      <c r="J2736" s="9" t="n">
        <v>0.467</v>
      </c>
      <c r="K2736" s="1" t="inlineStr">
        <is>
          <t>Yes</t>
        </is>
      </c>
      <c r="L2736" s="1" t="inlineStr">
        <is>
          <t>No</t>
        </is>
      </c>
      <c r="M2736" s="1" t="inlineStr">
        <is>
          <t>No</t>
        </is>
      </c>
      <c r="N2736" s="1" t="inlineStr">
        <is>
          <t>Algorithms</t>
        </is>
      </c>
      <c r="O27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37" ht="15.75" customHeight="1" s="12">
      <c r="A2737" s="1" t="n">
        <v>2949</v>
      </c>
      <c r="B2737" s="3">
        <f>HYPERLINK("https://leetcode.com/problems/count-beautiful-substrings-ii/", "Count Beautiful Substrings II")</f>
        <v/>
      </c>
      <c r="C2737" s="1" t="n">
        <v>213</v>
      </c>
      <c r="D2737" s="1" t="n">
        <v>9</v>
      </c>
      <c r="E2737" s="4">
        <f>IF(INDEX(C:C, ROW())+INDEX(D:D, ROW())=0, 0, INDEX(C:C, ROW())/(INDEX(C:C, ROW())+INDEX(D:D, ROW())))</f>
        <v/>
      </c>
      <c r="F2737" s="1" t="inlineStr">
        <is>
          <t>Hash Table, Math, String, Number Theory, Prefix Sum</t>
        </is>
      </c>
      <c r="G2737" s="1" t="inlineStr">
        <is>
          <t>Hard</t>
        </is>
      </c>
      <c r="H2737" s="1" t="n">
        <v>7621</v>
      </c>
      <c r="I2737" s="1" t="n">
        <v>28759</v>
      </c>
      <c r="J2737" s="9" t="n">
        <v>0.265</v>
      </c>
      <c r="K2737" s="1" t="inlineStr">
        <is>
          <t>Yes</t>
        </is>
      </c>
      <c r="L2737" s="1" t="inlineStr">
        <is>
          <t>No</t>
        </is>
      </c>
      <c r="M2737" s="1" t="inlineStr">
        <is>
          <t>No</t>
        </is>
      </c>
      <c r="N2737" s="1" t="inlineStr">
        <is>
          <t>Algorithms</t>
        </is>
      </c>
      <c r="O27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38" ht="15.75" customHeight="1" s="12">
      <c r="A2738" s="1" t="n">
        <v>2951</v>
      </c>
      <c r="B2738" s="3">
        <f>HYPERLINK("https://leetcode.com/problems/find-the-peaks/", "Find the Peaks")</f>
        <v/>
      </c>
      <c r="C2738" s="1" t="n">
        <v>213</v>
      </c>
      <c r="D2738" s="1" t="n">
        <v>18</v>
      </c>
      <c r="E2738" s="4">
        <f>IF(INDEX(C:C, ROW())+INDEX(D:D, ROW())=0, 0, INDEX(C:C, ROW())/(INDEX(C:C, ROW())+INDEX(D:D, ROW())))</f>
        <v/>
      </c>
      <c r="F2738" s="1" t="inlineStr">
        <is>
          <t>Array, Enumeration</t>
        </is>
      </c>
      <c r="G2738" s="1" t="inlineStr">
        <is>
          <t>Easy</t>
        </is>
      </c>
      <c r="H2738" s="1" t="n">
        <v>75863</v>
      </c>
      <c r="I2738" s="1" t="n">
        <v>101291</v>
      </c>
      <c r="J2738" s="9" t="n">
        <v>0.749</v>
      </c>
      <c r="K2738" s="1" t="inlineStr">
        <is>
          <t>Yes</t>
        </is>
      </c>
      <c r="L2738" s="1" t="inlineStr">
        <is>
          <t>No</t>
        </is>
      </c>
      <c r="M2738" s="1" t="inlineStr">
        <is>
          <t>No</t>
        </is>
      </c>
      <c r="N2738" s="1" t="inlineStr">
        <is>
          <t>Algorithms</t>
        </is>
      </c>
      <c r="O27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39" ht="15.75" customHeight="1" s="12">
      <c r="A2739" s="1" t="n">
        <v>2766</v>
      </c>
      <c r="B2739" s="3">
        <f>HYPERLINK("https://leetcode.com/problems/relocate-marbles/", "Relocate Marbles")</f>
        <v/>
      </c>
      <c r="C2739" s="1" t="n">
        <v>212</v>
      </c>
      <c r="D2739" s="1" t="n">
        <v>18</v>
      </c>
      <c r="E2739" s="4">
        <f>IF(INDEX(C:C, ROW())+INDEX(D:D, ROW())=0, 0, INDEX(C:C, ROW())/(INDEX(C:C, ROW())+INDEX(D:D, ROW())))</f>
        <v/>
      </c>
      <c r="F2739" s="1" t="inlineStr">
        <is>
          <t>Array, Hash Table, Sorting, Simulation</t>
        </is>
      </c>
      <c r="G2739" s="1" t="inlineStr">
        <is>
          <t>Medium</t>
        </is>
      </c>
      <c r="H2739" s="1" t="n">
        <v>24800</v>
      </c>
      <c r="I2739" s="1" t="n">
        <v>48569</v>
      </c>
      <c r="J2739" s="9" t="n">
        <v>0.511</v>
      </c>
      <c r="K2739" s="1" t="inlineStr">
        <is>
          <t>Yes</t>
        </is>
      </c>
      <c r="L2739" s="1" t="inlineStr">
        <is>
          <t>No</t>
        </is>
      </c>
      <c r="M2739" s="1" t="inlineStr">
        <is>
          <t>No</t>
        </is>
      </c>
      <c r="N2739" s="1" t="inlineStr">
        <is>
          <t>Algorithms</t>
        </is>
      </c>
      <c r="O27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40" ht="15.75" customHeight="1" s="12">
      <c r="A2740" s="1" t="n">
        <v>2945</v>
      </c>
      <c r="B2740" s="3">
        <f>HYPERLINK("https://leetcode.com/problems/find-maximum-non-decreasing-array-length/", "Find Maximum Non-decreasing Array Length")</f>
        <v/>
      </c>
      <c r="C2740" s="1" t="n">
        <v>212</v>
      </c>
      <c r="D2740" s="1" t="n">
        <v>25</v>
      </c>
      <c r="E2740" s="4">
        <f>IF(INDEX(C:C, ROW())+INDEX(D:D, ROW())=0, 0, INDEX(C:C, ROW())/(INDEX(C:C, ROW())+INDEX(D:D, ROW())))</f>
        <v/>
      </c>
      <c r="F2740" s="1" t="inlineStr">
        <is>
          <t>Array, Binary Search, Dynamic Programming, Stack, Queue, Monotonic Stack, Monotonic Queue</t>
        </is>
      </c>
      <c r="G2740" s="1" t="inlineStr">
        <is>
          <t>Hard</t>
        </is>
      </c>
      <c r="H2740" s="1" t="n">
        <v>6315</v>
      </c>
      <c r="I2740" s="1" t="n">
        <v>34631</v>
      </c>
      <c r="J2740" s="9" t="n">
        <v>0.182</v>
      </c>
      <c r="K2740" s="1" t="inlineStr">
        <is>
          <t>Yes</t>
        </is>
      </c>
      <c r="L2740" s="1" t="inlineStr">
        <is>
          <t>No</t>
        </is>
      </c>
      <c r="M2740" s="1" t="inlineStr">
        <is>
          <t>No</t>
        </is>
      </c>
      <c r="N2740" s="1" t="inlineStr">
        <is>
          <t>Algorithms</t>
        </is>
      </c>
      <c r="O27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41" ht="15.75" customHeight="1" s="12">
      <c r="A2741" s="1" t="n">
        <v>2725</v>
      </c>
      <c r="B2741" s="3">
        <f>HYPERLINK("https://leetcode.com/problems/interval-cancellation/", "Interval Cancellation")</f>
        <v/>
      </c>
      <c r="C2741" s="1" t="n">
        <v>211</v>
      </c>
      <c r="D2741" s="1" t="n">
        <v>96</v>
      </c>
      <c r="E2741" s="4">
        <f>IF(INDEX(C:C, ROW())+INDEX(D:D, ROW())=0, 0, INDEX(C:C, ROW())/(INDEX(C:C, ROW())+INDEX(D:D, ROW())))</f>
        <v/>
      </c>
      <c r="F2741" s="2" t="n"/>
      <c r="G2741" s="1" t="inlineStr">
        <is>
          <t>Easy</t>
        </is>
      </c>
      <c r="H2741" s="1" t="n">
        <v>79022</v>
      </c>
      <c r="I2741" s="1" t="n">
        <v>93485</v>
      </c>
      <c r="J2741" s="9" t="n">
        <v>0.845</v>
      </c>
      <c r="K2741" s="1" t="inlineStr">
        <is>
          <t>Yes</t>
        </is>
      </c>
      <c r="L2741" s="1" t="inlineStr">
        <is>
          <t>Yes</t>
        </is>
      </c>
      <c r="M2741" s="1" t="inlineStr">
        <is>
          <t>No</t>
        </is>
      </c>
      <c r="N2741" s="1" t="inlineStr">
        <is>
          <t>JavaScript</t>
        </is>
      </c>
      <c r="O27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42" ht="15.75" customHeight="1" s="12">
      <c r="A2742" s="1" t="n">
        <v>3180</v>
      </c>
      <c r="B2742" s="3">
        <f>HYPERLINK("https://leetcode.com/problems/maximum-total-reward-using-operations-i/", "Maximum Total Reward Using Operations I")</f>
        <v/>
      </c>
      <c r="C2742" s="1" t="n">
        <v>210</v>
      </c>
      <c r="D2742" s="1" t="n">
        <v>17</v>
      </c>
      <c r="E2742" s="4">
        <f>IF(INDEX(C:C, ROW())+INDEX(D:D, ROW())=0, 0, INDEX(C:C, ROW())/(INDEX(C:C, ROW())+INDEX(D:D, ROW())))</f>
        <v/>
      </c>
      <c r="F2742" s="1" t="inlineStr">
        <is>
          <t>Array, Dynamic Programming</t>
        </is>
      </c>
      <c r="G2742" s="1" t="inlineStr">
        <is>
          <t>Medium</t>
        </is>
      </c>
      <c r="H2742" s="1" t="n">
        <v>30197</v>
      </c>
      <c r="I2742" s="1" t="n">
        <v>98843</v>
      </c>
      <c r="J2742" s="9" t="n">
        <v>0.306</v>
      </c>
      <c r="K2742" s="1" t="inlineStr">
        <is>
          <t>Yes</t>
        </is>
      </c>
      <c r="L2742" s="1" t="inlineStr">
        <is>
          <t>No</t>
        </is>
      </c>
      <c r="M2742" s="1" t="inlineStr">
        <is>
          <t>No</t>
        </is>
      </c>
      <c r="N2742" s="1" t="inlineStr">
        <is>
          <t>Algorithms</t>
        </is>
      </c>
      <c r="O27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43" ht="15.75" customHeight="1" s="12">
      <c r="A2743" s="1" t="n">
        <v>1811</v>
      </c>
      <c r="B2743" s="3">
        <f>HYPERLINK("https://leetcode.com/problems/find-interview-candidates/", "Find Interview Candidates")</f>
        <v/>
      </c>
      <c r="C2743" s="1" t="n">
        <v>209</v>
      </c>
      <c r="D2743" s="1" t="n">
        <v>29</v>
      </c>
      <c r="E2743" s="4">
        <f>IF(INDEX(C:C, ROW())+INDEX(D:D, ROW())=0, 0, INDEX(C:C, ROW())/(INDEX(C:C, ROW())+INDEX(D:D, ROW())))</f>
        <v/>
      </c>
      <c r="F2743" s="1" t="inlineStr">
        <is>
          <t>Database</t>
        </is>
      </c>
      <c r="G2743" s="1" t="inlineStr">
        <is>
          <t>Medium</t>
        </is>
      </c>
      <c r="H2743" s="1" t="n">
        <v>19084</v>
      </c>
      <c r="I2743" s="1" t="n">
        <v>31555</v>
      </c>
      <c r="J2743" s="9" t="n">
        <v>0.605</v>
      </c>
      <c r="K2743" s="1" t="inlineStr">
        <is>
          <t>No</t>
        </is>
      </c>
      <c r="L2743" s="1" t="inlineStr">
        <is>
          <t>No</t>
        </is>
      </c>
      <c r="M2743" s="1" t="inlineStr">
        <is>
          <t>No</t>
        </is>
      </c>
      <c r="N2743" s="1" t="inlineStr">
        <is>
          <t>Database</t>
        </is>
      </c>
      <c r="O27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44" ht="15.75" customHeight="1" s="12">
      <c r="A2744" s="1" t="n">
        <v>2633</v>
      </c>
      <c r="B2744" s="3">
        <f>HYPERLINK("https://leetcode.com/problems/convert-object-to-json-string/", "Convert Object to JSON String")</f>
        <v/>
      </c>
      <c r="C2744" s="1" t="n">
        <v>209</v>
      </c>
      <c r="D2744" s="1" t="n">
        <v>12</v>
      </c>
      <c r="E2744" s="4">
        <f>IF(INDEX(C:C, ROW())+INDEX(D:D, ROW())=0, 0, INDEX(C:C, ROW())/(INDEX(C:C, ROW())+INDEX(D:D, ROW())))</f>
        <v/>
      </c>
      <c r="F2744" s="2" t="n"/>
      <c r="G2744" s="1" t="inlineStr">
        <is>
          <t>Medium</t>
        </is>
      </c>
      <c r="H2744" s="1" t="n">
        <v>13738</v>
      </c>
      <c r="I2744" s="1" t="n">
        <v>17637</v>
      </c>
      <c r="J2744" s="9" t="n">
        <v>0.779</v>
      </c>
      <c r="K2744" s="1" t="inlineStr">
        <is>
          <t>No</t>
        </is>
      </c>
      <c r="L2744" s="1" t="inlineStr">
        <is>
          <t>Yes</t>
        </is>
      </c>
      <c r="M2744" s="1" t="inlineStr">
        <is>
          <t>No</t>
        </is>
      </c>
      <c r="N2744" s="1" t="inlineStr">
        <is>
          <t>JavaScript</t>
        </is>
      </c>
      <c r="O27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45" ht="15.75" customHeight="1" s="12">
      <c r="A2745" s="1" t="n">
        <v>351</v>
      </c>
      <c r="B2745" s="3">
        <f>HYPERLINK("https://leetcode.com/problems/android-unlock-patterns/", "Android Unlock Patterns")</f>
        <v/>
      </c>
      <c r="C2745" s="1" t="n">
        <v>208</v>
      </c>
      <c r="D2745" s="1" t="n">
        <v>240</v>
      </c>
      <c r="E2745" s="4">
        <f>IF(INDEX(C:C, ROW())+INDEX(D:D, ROW())=0, 0, INDEX(C:C, ROW())/(INDEX(C:C, ROW())+INDEX(D:D, ROW())))</f>
        <v/>
      </c>
      <c r="F2745" s="1" t="inlineStr">
        <is>
          <t>Dynamic Programming, Backtracking, Bit Manipulation, Bitmask DP</t>
        </is>
      </c>
      <c r="G2745" s="1" t="inlineStr">
        <is>
          <t>Medium</t>
        </is>
      </c>
      <c r="H2745" s="1" t="n">
        <v>83109</v>
      </c>
      <c r="I2745" s="1" t="n">
        <v>154878</v>
      </c>
      <c r="J2745" s="9" t="n">
        <v>0.537</v>
      </c>
      <c r="K2745" s="1" t="inlineStr">
        <is>
          <t>No</t>
        </is>
      </c>
      <c r="L2745" s="1" t="inlineStr">
        <is>
          <t>Yes</t>
        </is>
      </c>
      <c r="M2745" s="1" t="inlineStr">
        <is>
          <t>No</t>
        </is>
      </c>
      <c r="N2745" s="1" t="inlineStr">
        <is>
          <t>Algorithms</t>
        </is>
      </c>
      <c r="O27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46" ht="15.75" customHeight="1" s="12">
      <c r="A2746" s="1" t="n">
        <v>1076</v>
      </c>
      <c r="B2746" s="3">
        <f>HYPERLINK("https://leetcode.com/problems/project-employees-ii/", "Project Employees II")</f>
        <v/>
      </c>
      <c r="C2746" s="1" t="n">
        <v>207</v>
      </c>
      <c r="D2746" s="1" t="n">
        <v>63</v>
      </c>
      <c r="E2746" s="4">
        <f>IF(INDEX(C:C, ROW())+INDEX(D:D, ROW())=0, 0, INDEX(C:C, ROW())/(INDEX(C:C, ROW())+INDEX(D:D, ROW())))</f>
        <v/>
      </c>
      <c r="F2746" s="1" t="inlineStr">
        <is>
          <t>Database</t>
        </is>
      </c>
      <c r="G2746" s="1" t="inlineStr">
        <is>
          <t>Easy</t>
        </is>
      </c>
      <c r="H2746" s="1" t="n">
        <v>65854</v>
      </c>
      <c r="I2746" s="1" t="n">
        <v>130762</v>
      </c>
      <c r="J2746" s="9" t="n">
        <v>0.504</v>
      </c>
      <c r="K2746" s="1" t="inlineStr">
        <is>
          <t>No</t>
        </is>
      </c>
      <c r="L2746" s="1" t="inlineStr">
        <is>
          <t>No</t>
        </is>
      </c>
      <c r="M2746" s="1" t="inlineStr">
        <is>
          <t>No</t>
        </is>
      </c>
      <c r="N2746" s="1" t="inlineStr">
        <is>
          <t>Database</t>
        </is>
      </c>
      <c r="O27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47" ht="15.75" customHeight="1" s="12">
      <c r="A2747" s="1" t="n">
        <v>1698</v>
      </c>
      <c r="B2747" s="3">
        <f>HYPERLINK("https://leetcode.com/problems/number-of-distinct-substrings-in-a-string/", "Number of Distinct Substrings in a String")</f>
        <v/>
      </c>
      <c r="C2747" s="1" t="n">
        <v>207</v>
      </c>
      <c r="D2747" s="1" t="n">
        <v>44</v>
      </c>
      <c r="E2747" s="4">
        <f>IF(INDEX(C:C, ROW())+INDEX(D:D, ROW())=0, 0, INDEX(C:C, ROW())/(INDEX(C:C, ROW())+INDEX(D:D, ROW())))</f>
        <v/>
      </c>
      <c r="F2747" s="1" t="inlineStr">
        <is>
          <t>String, Trie, Rolling Hash, Suffix Array, Hash Function</t>
        </is>
      </c>
      <c r="G2747" s="1" t="inlineStr">
        <is>
          <t>Medium</t>
        </is>
      </c>
      <c r="H2747" s="1" t="n">
        <v>14071</v>
      </c>
      <c r="I2747" s="1" t="n">
        <v>21740</v>
      </c>
      <c r="J2747" s="9" t="n">
        <v>0.647</v>
      </c>
      <c r="K2747" s="1" t="inlineStr">
        <is>
          <t>No</t>
        </is>
      </c>
      <c r="L2747" s="1" t="inlineStr">
        <is>
          <t>No</t>
        </is>
      </c>
      <c r="M2747" s="1" t="inlineStr">
        <is>
          <t>No</t>
        </is>
      </c>
      <c r="N2747" s="1" t="inlineStr">
        <is>
          <t>Algorithms</t>
        </is>
      </c>
      <c r="O27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48" ht="15.75" customHeight="1" s="12">
      <c r="A2748" s="1" t="n">
        <v>1778</v>
      </c>
      <c r="B2748" s="3">
        <f>HYPERLINK("https://leetcode.com/problems/shortest-path-in-a-hidden-grid/", "Shortest Path in a Hidden Grid")</f>
        <v/>
      </c>
      <c r="C2748" s="1" t="n">
        <v>206</v>
      </c>
      <c r="D2748" s="1" t="n">
        <v>88</v>
      </c>
      <c r="E2748" s="4">
        <f>IF(INDEX(C:C, ROW())+INDEX(D:D, ROW())=0, 0, INDEX(C:C, ROW())/(INDEX(C:C, ROW())+INDEX(D:D, ROW())))</f>
        <v/>
      </c>
      <c r="F2748" s="1" t="inlineStr">
        <is>
          <t>Array, Depth-First Search, Breadth-First Search, Matrix, Interactive</t>
        </is>
      </c>
      <c r="G2748" s="1" t="inlineStr">
        <is>
          <t>Medium</t>
        </is>
      </c>
      <c r="H2748" s="1" t="n">
        <v>17175</v>
      </c>
      <c r="I2748" s="1" t="n">
        <v>38692</v>
      </c>
      <c r="J2748" s="9" t="n">
        <v>0.444</v>
      </c>
      <c r="K2748" s="1" t="inlineStr">
        <is>
          <t>No</t>
        </is>
      </c>
      <c r="L2748" s="1" t="inlineStr">
        <is>
          <t>No</t>
        </is>
      </c>
      <c r="M2748" s="1" t="inlineStr">
        <is>
          <t>No</t>
        </is>
      </c>
      <c r="N2748" s="1" t="inlineStr">
        <is>
          <t>Algorithms</t>
        </is>
      </c>
      <c r="O27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49" ht="15.75" customHeight="1" s="12">
      <c r="A2749" s="1" t="n">
        <v>2573</v>
      </c>
      <c r="B2749" s="3">
        <f>HYPERLINK("https://leetcode.com/problems/find-the-string-with-lcp/", "Find the String with LCP")</f>
        <v/>
      </c>
      <c r="C2749" s="1" t="n">
        <v>206</v>
      </c>
      <c r="D2749" s="1" t="n">
        <v>19</v>
      </c>
      <c r="E2749" s="4">
        <f>IF(INDEX(C:C, ROW())+INDEX(D:D, ROW())=0, 0, INDEX(C:C, ROW())/(INDEX(C:C, ROW())+INDEX(D:D, ROW())))</f>
        <v/>
      </c>
      <c r="F2749" s="1" t="inlineStr">
        <is>
          <t>Array, String, Dynamic Programming, Greedy, Union-Find, Matrix</t>
        </is>
      </c>
      <c r="G2749" s="1" t="inlineStr">
        <is>
          <t>Hard</t>
        </is>
      </c>
      <c r="H2749" s="1" t="n">
        <v>6966</v>
      </c>
      <c r="I2749" s="1" t="n">
        <v>21532</v>
      </c>
      <c r="J2749" s="9" t="n">
        <v>0.324</v>
      </c>
      <c r="K2749" s="1" t="inlineStr">
        <is>
          <t>Yes</t>
        </is>
      </c>
      <c r="L2749" s="1" t="inlineStr">
        <is>
          <t>No</t>
        </is>
      </c>
      <c r="M2749" s="1" t="inlineStr">
        <is>
          <t>No</t>
        </is>
      </c>
      <c r="N2749" s="1" t="inlineStr">
        <is>
          <t>Algorithms</t>
        </is>
      </c>
      <c r="O27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50" ht="15.75" customHeight="1" s="12">
      <c r="A2750" s="1" t="n">
        <v>2935</v>
      </c>
      <c r="B2750" s="3">
        <f>HYPERLINK("https://leetcode.com/problems/maximum-strong-pair-xor-ii/", "Maximum Strong Pair XOR II")</f>
        <v/>
      </c>
      <c r="C2750" s="1" t="n">
        <v>206</v>
      </c>
      <c r="D2750" s="1" t="n">
        <v>2</v>
      </c>
      <c r="E2750" s="4">
        <f>IF(INDEX(C:C, ROW())+INDEX(D:D, ROW())=0, 0, INDEX(C:C, ROW())/(INDEX(C:C, ROW())+INDEX(D:D, ROW())))</f>
        <v/>
      </c>
      <c r="F2750" s="1" t="inlineStr">
        <is>
          <t>Array, Hash Table, Bit Manipulation, Trie, Sliding Window</t>
        </is>
      </c>
      <c r="G2750" s="1" t="inlineStr">
        <is>
          <t>Hard</t>
        </is>
      </c>
      <c r="H2750" s="1" t="n">
        <v>8367</v>
      </c>
      <c r="I2750" s="1" t="n">
        <v>26235</v>
      </c>
      <c r="J2750" s="9" t="n">
        <v>0.319</v>
      </c>
      <c r="K2750" s="1" t="inlineStr">
        <is>
          <t>Yes</t>
        </is>
      </c>
      <c r="L2750" s="1" t="inlineStr">
        <is>
          <t>No</t>
        </is>
      </c>
      <c r="M2750" s="1" t="inlineStr">
        <is>
          <t>No</t>
        </is>
      </c>
      <c r="N2750" s="1" t="inlineStr">
        <is>
          <t>Algorithms</t>
        </is>
      </c>
      <c r="O27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51" ht="15.75" customHeight="1" s="12">
      <c r="A2751" s="1" t="n">
        <v>3008</v>
      </c>
      <c r="B2751" s="3">
        <f>HYPERLINK("https://leetcode.com/problems/find-beautiful-indices-in-the-given-array-ii/", "Find Beautiful Indices in the Given Array II")</f>
        <v/>
      </c>
      <c r="C2751" s="1" t="n">
        <v>206</v>
      </c>
      <c r="D2751" s="1" t="n">
        <v>15</v>
      </c>
      <c r="E2751" s="4">
        <f>IF(INDEX(C:C, ROW())+INDEX(D:D, ROW())=0, 0, INDEX(C:C, ROW())/(INDEX(C:C, ROW())+INDEX(D:D, ROW())))</f>
        <v/>
      </c>
      <c r="F2751" s="1" t="inlineStr">
        <is>
          <t>Two Pointers, String, Binary Search, Rolling Hash, String Matching, Hash Function</t>
        </is>
      </c>
      <c r="G2751" s="1" t="inlineStr">
        <is>
          <t>Hard</t>
        </is>
      </c>
      <c r="H2751" s="1" t="n">
        <v>16829</v>
      </c>
      <c r="I2751" s="1" t="n">
        <v>61280</v>
      </c>
      <c r="J2751" s="9" t="n">
        <v>0.275</v>
      </c>
      <c r="K2751" s="1" t="inlineStr">
        <is>
          <t>Yes</t>
        </is>
      </c>
      <c r="L2751" s="1" t="inlineStr">
        <is>
          <t>No</t>
        </is>
      </c>
      <c r="M2751" s="1" t="inlineStr">
        <is>
          <t>No</t>
        </is>
      </c>
      <c r="N2751" s="1" t="inlineStr">
        <is>
          <t>Algorithms</t>
        </is>
      </c>
      <c r="O27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52" ht="15.75" customHeight="1" s="12">
      <c r="A2752" s="1" t="n">
        <v>3015</v>
      </c>
      <c r="B2752" s="3">
        <f>HYPERLINK("https://leetcode.com/problems/count-the-number-of-houses-at-a-certain-distance-i/", "Count the Number of Houses at a Certain Distance I")</f>
        <v/>
      </c>
      <c r="C2752" s="1" t="n">
        <v>206</v>
      </c>
      <c r="D2752" s="1" t="n">
        <v>44</v>
      </c>
      <c r="E2752" s="4">
        <f>IF(INDEX(C:C, ROW())+INDEX(D:D, ROW())=0, 0, INDEX(C:C, ROW())/(INDEX(C:C, ROW())+INDEX(D:D, ROW())))</f>
        <v/>
      </c>
      <c r="F2752" s="1" t="inlineStr">
        <is>
          <t>Breadth-First Search, Graph Theory, Prefix Sum</t>
        </is>
      </c>
      <c r="G2752" s="1" t="inlineStr">
        <is>
          <t>Medium</t>
        </is>
      </c>
      <c r="H2752" s="1" t="n">
        <v>26228</v>
      </c>
      <c r="I2752" s="1" t="n">
        <v>46016</v>
      </c>
      <c r="J2752" s="9" t="n">
        <v>0.57</v>
      </c>
      <c r="K2752" s="1" t="inlineStr">
        <is>
          <t>Yes</t>
        </is>
      </c>
      <c r="L2752" s="1" t="inlineStr">
        <is>
          <t>No</t>
        </is>
      </c>
      <c r="M2752" s="1" t="inlineStr">
        <is>
          <t>No</t>
        </is>
      </c>
      <c r="N2752" s="1" t="inlineStr">
        <is>
          <t>Algorithms</t>
        </is>
      </c>
      <c r="O27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53" ht="15.75" customHeight="1" s="12">
      <c r="A2753" s="1" t="n">
        <v>3244</v>
      </c>
      <c r="B2753" s="3">
        <f>HYPERLINK("https://leetcode.com/problems/shortest-distance-after-road-addition-queries-ii/", "Shortest Distance After Road Addition Queries II")</f>
        <v/>
      </c>
      <c r="C2753" s="1" t="n">
        <v>206</v>
      </c>
      <c r="D2753" s="1" t="n">
        <v>6</v>
      </c>
      <c r="E2753" s="4">
        <f>IF(INDEX(C:C, ROW())+INDEX(D:D, ROW())=0, 0, INDEX(C:C, ROW())/(INDEX(C:C, ROW())+INDEX(D:D, ROW())))</f>
        <v/>
      </c>
      <c r="F2753" s="1" t="inlineStr">
        <is>
          <t>Array, Greedy, Graph Theory, Ordered Set</t>
        </is>
      </c>
      <c r="G2753" s="1" t="inlineStr">
        <is>
          <t>Hard</t>
        </is>
      </c>
      <c r="H2753" s="1" t="n">
        <v>15161</v>
      </c>
      <c r="I2753" s="1" t="n">
        <v>57485</v>
      </c>
      <c r="J2753" s="9" t="n">
        <v>0.264</v>
      </c>
      <c r="K2753" s="1" t="inlineStr">
        <is>
          <t>Yes</t>
        </is>
      </c>
      <c r="L2753" s="1" t="inlineStr">
        <is>
          <t>No</t>
        </is>
      </c>
      <c r="M2753" s="1" t="inlineStr">
        <is>
          <t>No</t>
        </is>
      </c>
      <c r="N2753" s="1" t="inlineStr">
        <is>
          <t>Algorithms</t>
        </is>
      </c>
      <c r="O27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54" ht="15.75" customHeight="1" s="12">
      <c r="A2754" s="1" t="n">
        <v>558</v>
      </c>
      <c r="B2754" s="3">
        <f>HYPERLINK("https://leetcode.com/problems/logical-or-of-two-binary-grids-represented-as-quad-trees/", "Logical OR of Two Binary Grids Represented as Quad-Trees")</f>
        <v/>
      </c>
      <c r="C2754" s="1" t="n">
        <v>204</v>
      </c>
      <c r="D2754" s="1" t="n">
        <v>482</v>
      </c>
      <c r="E2754" s="4">
        <f>IF(INDEX(C:C, ROW())+INDEX(D:D, ROW())=0, 0, INDEX(C:C, ROW())/(INDEX(C:C, ROW())+INDEX(D:D, ROW())))</f>
        <v/>
      </c>
      <c r="F2754" s="1" t="inlineStr">
        <is>
          <t>Divide and Conquer, Tree</t>
        </is>
      </c>
      <c r="G2754" s="1" t="inlineStr">
        <is>
          <t>Medium</t>
        </is>
      </c>
      <c r="H2754" s="1" t="n">
        <v>18911</v>
      </c>
      <c r="I2754" s="1" t="n">
        <v>36297</v>
      </c>
      <c r="J2754" s="9" t="n">
        <v>0.521</v>
      </c>
      <c r="K2754" s="1" t="inlineStr">
        <is>
          <t>Yes</t>
        </is>
      </c>
      <c r="L2754" s="1" t="inlineStr">
        <is>
          <t>No</t>
        </is>
      </c>
      <c r="M2754" s="1" t="inlineStr">
        <is>
          <t>No</t>
        </is>
      </c>
      <c r="N2754" s="1" t="inlineStr">
        <is>
          <t>Algorithms</t>
        </is>
      </c>
      <c r="O27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55" ht="15.75" customHeight="1" s="12">
      <c r="A2755" s="1" t="n">
        <v>1858</v>
      </c>
      <c r="B2755" s="3">
        <f>HYPERLINK("https://leetcode.com/problems/longest-word-with-all-prefixes/", "Longest Word With All Prefixes")</f>
        <v/>
      </c>
      <c r="C2755" s="1" t="n">
        <v>204</v>
      </c>
      <c r="D2755" s="1" t="n">
        <v>7</v>
      </c>
      <c r="E2755" s="4">
        <f>IF(INDEX(C:C, ROW())+INDEX(D:D, ROW())=0, 0, INDEX(C:C, ROW())/(INDEX(C:C, ROW())+INDEX(D:D, ROW())))</f>
        <v/>
      </c>
      <c r="F2755" s="1" t="inlineStr">
        <is>
          <t>Array, String, Depth-First Search, Trie</t>
        </is>
      </c>
      <c r="G2755" s="1" t="inlineStr">
        <is>
          <t>Medium</t>
        </is>
      </c>
      <c r="H2755" s="1" t="n">
        <v>14249</v>
      </c>
      <c r="I2755" s="1" t="n">
        <v>19807</v>
      </c>
      <c r="J2755" s="9" t="n">
        <v>0.719</v>
      </c>
      <c r="K2755" s="1" t="inlineStr">
        <is>
          <t>No</t>
        </is>
      </c>
      <c r="L2755" s="1" t="inlineStr">
        <is>
          <t>Yes</t>
        </is>
      </c>
      <c r="M2755" s="1" t="inlineStr">
        <is>
          <t>No</t>
        </is>
      </c>
      <c r="N2755" s="1" t="inlineStr">
        <is>
          <t>Algorithms</t>
        </is>
      </c>
      <c r="O27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56" ht="15.75" customHeight="1" s="12">
      <c r="A2756" s="1" t="n">
        <v>2869</v>
      </c>
      <c r="B2756" s="3">
        <f>HYPERLINK("https://leetcode.com/problems/minimum-operations-to-collect-elements/", "Minimum Operations to Collect Elements")</f>
        <v/>
      </c>
      <c r="C2756" s="1" t="n">
        <v>204</v>
      </c>
      <c r="D2756" s="1" t="n">
        <v>24</v>
      </c>
      <c r="E2756" s="4">
        <f>IF(INDEX(C:C, ROW())+INDEX(D:D, ROW())=0, 0, INDEX(C:C, ROW())/(INDEX(C:C, ROW())+INDEX(D:D, ROW())))</f>
        <v/>
      </c>
      <c r="F2756" s="1" t="inlineStr">
        <is>
          <t>Array, Hash Table, Bit Manipulation</t>
        </is>
      </c>
      <c r="G2756" s="1" t="inlineStr">
        <is>
          <t>Easy</t>
        </is>
      </c>
      <c r="H2756" s="1" t="n">
        <v>48466</v>
      </c>
      <c r="I2756" s="1" t="n">
        <v>78131</v>
      </c>
      <c r="J2756" s="9" t="n">
        <v>0.62</v>
      </c>
      <c r="K2756" s="1" t="inlineStr">
        <is>
          <t>Yes</t>
        </is>
      </c>
      <c r="L2756" s="1" t="inlineStr">
        <is>
          <t>No</t>
        </is>
      </c>
      <c r="M2756" s="1" t="inlineStr">
        <is>
          <t>No</t>
        </is>
      </c>
      <c r="N2756" s="1" t="inlineStr">
        <is>
          <t>Algorithms</t>
        </is>
      </c>
      <c r="O27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57" ht="15.75" customHeight="1" s="12">
      <c r="A2757" s="1" t="n">
        <v>1082</v>
      </c>
      <c r="B2757" s="3">
        <f>HYPERLINK("https://leetcode.com/problems/sales-analysis-i/", "Sales Analysis I")</f>
        <v/>
      </c>
      <c r="C2757" s="1" t="n">
        <v>203</v>
      </c>
      <c r="D2757" s="1" t="n">
        <v>81</v>
      </c>
      <c r="E2757" s="4">
        <f>IF(INDEX(C:C, ROW())+INDEX(D:D, ROW())=0, 0, INDEX(C:C, ROW())/(INDEX(C:C, ROW())+INDEX(D:D, ROW())))</f>
        <v/>
      </c>
      <c r="F2757" s="1" t="inlineStr">
        <is>
          <t>Database</t>
        </is>
      </c>
      <c r="G2757" s="1" t="inlineStr">
        <is>
          <t>Easy</t>
        </is>
      </c>
      <c r="H2757" s="1" t="n">
        <v>67230</v>
      </c>
      <c r="I2757" s="1" t="n">
        <v>89947</v>
      </c>
      <c r="J2757" s="9" t="n">
        <v>0.747</v>
      </c>
      <c r="K2757" s="1" t="inlineStr">
        <is>
          <t>No</t>
        </is>
      </c>
      <c r="L2757" s="1" t="inlineStr">
        <is>
          <t>Yes</t>
        </is>
      </c>
      <c r="M2757" s="1" t="inlineStr">
        <is>
          <t>No</t>
        </is>
      </c>
      <c r="N2757" s="1" t="inlineStr">
        <is>
          <t>Database</t>
        </is>
      </c>
      <c r="O27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58" ht="15.75" customHeight="1" s="12">
      <c r="A2758" s="1" t="n">
        <v>2934</v>
      </c>
      <c r="B2758" s="3">
        <f>HYPERLINK("https://leetcode.com/problems/minimum-operations-to-maximize-last-elements-in-arrays/", "Minimum Operations to Maximize Last Elements in Arrays")</f>
        <v/>
      </c>
      <c r="C2758" s="1" t="n">
        <v>203</v>
      </c>
      <c r="D2758" s="1" t="n">
        <v>16</v>
      </c>
      <c r="E2758" s="4">
        <f>IF(INDEX(C:C, ROW())+INDEX(D:D, ROW())=0, 0, INDEX(C:C, ROW())/(INDEX(C:C, ROW())+INDEX(D:D, ROW())))</f>
        <v/>
      </c>
      <c r="F2758" s="1" t="inlineStr">
        <is>
          <t>Array, Enumeration</t>
        </is>
      </c>
      <c r="G2758" s="1" t="inlineStr">
        <is>
          <t>Medium</t>
        </is>
      </c>
      <c r="H2758" s="1" t="n">
        <v>14655</v>
      </c>
      <c r="I2758" s="1" t="n">
        <v>33505</v>
      </c>
      <c r="J2758" s="9" t="n">
        <v>0.437</v>
      </c>
      <c r="K2758" s="1" t="inlineStr">
        <is>
          <t>Yes</t>
        </is>
      </c>
      <c r="L2758" s="1" t="inlineStr">
        <is>
          <t>No</t>
        </is>
      </c>
      <c r="M2758" s="1" t="inlineStr">
        <is>
          <t>No</t>
        </is>
      </c>
      <c r="N2758" s="1" t="inlineStr">
        <is>
          <t>Algorithms</t>
        </is>
      </c>
      <c r="O27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59" ht="15.75" customHeight="1" s="12">
      <c r="A2759" s="1" t="n">
        <v>3171</v>
      </c>
      <c r="B2759" s="3">
        <f>HYPERLINK("https://leetcode.com/problems/find-subarray-with-bitwise-or-closest-to-k/", "Find Subarray With Bitwise OR Closest to K")</f>
        <v/>
      </c>
      <c r="C2759" s="1" t="n">
        <v>203</v>
      </c>
      <c r="D2759" s="1" t="n">
        <v>7</v>
      </c>
      <c r="E2759" s="4">
        <f>IF(INDEX(C:C, ROW())+INDEX(D:D, ROW())=0, 0, INDEX(C:C, ROW())/(INDEX(C:C, ROW())+INDEX(D:D, ROW())))</f>
        <v/>
      </c>
      <c r="F2759" s="1" t="inlineStr">
        <is>
          <t>Array, Binary Search, Bit Manipulation, Segment Tree</t>
        </is>
      </c>
      <c r="G2759" s="1" t="inlineStr">
        <is>
          <t>Hard</t>
        </is>
      </c>
      <c r="H2759" s="1" t="n">
        <v>15141</v>
      </c>
      <c r="I2759" s="1" t="n">
        <v>49369</v>
      </c>
      <c r="J2759" s="9" t="n">
        <v>0.307</v>
      </c>
      <c r="K2759" s="1" t="inlineStr">
        <is>
          <t>Yes</t>
        </is>
      </c>
      <c r="L2759" s="1" t="inlineStr">
        <is>
          <t>No</t>
        </is>
      </c>
      <c r="M2759" s="1" t="inlineStr">
        <is>
          <t>No</t>
        </is>
      </c>
      <c r="N2759" s="1" t="inlineStr">
        <is>
          <t>Algorithms</t>
        </is>
      </c>
      <c r="O27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60" ht="15.75" customHeight="1" s="12">
      <c r="A2760" s="1" t="n">
        <v>2904</v>
      </c>
      <c r="B2760" s="3">
        <f>HYPERLINK("https://leetcode.com/problems/shortest-and-lexicographically-smallest-beautiful-string/", "Shortest and Lexicographically Smallest Beautiful String")</f>
        <v/>
      </c>
      <c r="C2760" s="1" t="n">
        <v>202</v>
      </c>
      <c r="D2760" s="1" t="n">
        <v>11</v>
      </c>
      <c r="E2760" s="4">
        <f>IF(INDEX(C:C, ROW())+INDEX(D:D, ROW())=0, 0, INDEX(C:C, ROW())/(INDEX(C:C, ROW())+INDEX(D:D, ROW())))</f>
        <v/>
      </c>
      <c r="F2760" s="1" t="inlineStr">
        <is>
          <t>String, Sliding Window</t>
        </is>
      </c>
      <c r="G2760" s="1" t="inlineStr">
        <is>
          <t>Medium</t>
        </is>
      </c>
      <c r="H2760" s="1" t="n">
        <v>32614</v>
      </c>
      <c r="I2760" s="1" t="n">
        <v>80181</v>
      </c>
      <c r="J2760" s="9" t="n">
        <v>0.407</v>
      </c>
      <c r="K2760" s="1" t="inlineStr">
        <is>
          <t>Yes</t>
        </is>
      </c>
      <c r="L2760" s="1" t="inlineStr">
        <is>
          <t>No</t>
        </is>
      </c>
      <c r="M2760" s="1" t="inlineStr">
        <is>
          <t>No</t>
        </is>
      </c>
      <c r="N2760" s="1" t="inlineStr">
        <is>
          <t>Algorithms</t>
        </is>
      </c>
      <c r="O27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61" ht="15.75" customHeight="1" s="12">
      <c r="A2761" s="1" t="n">
        <v>1747</v>
      </c>
      <c r="B2761" s="3">
        <f>HYPERLINK("https://leetcode.com/problems/leetflex-banned-accounts/", "Leetflex Banned Accounts")</f>
        <v/>
      </c>
      <c r="C2761" s="1" t="n">
        <v>201</v>
      </c>
      <c r="D2761" s="1" t="n">
        <v>18</v>
      </c>
      <c r="E2761" s="4">
        <f>IF(INDEX(C:C, ROW())+INDEX(D:D, ROW())=0, 0, INDEX(C:C, ROW())/(INDEX(C:C, ROW())+INDEX(D:D, ROW())))</f>
        <v/>
      </c>
      <c r="F2761" s="1" t="inlineStr">
        <is>
          <t>Database</t>
        </is>
      </c>
      <c r="G2761" s="1" t="inlineStr">
        <is>
          <t>Medium</t>
        </is>
      </c>
      <c r="H2761" s="1" t="n">
        <v>29951</v>
      </c>
      <c r="I2761" s="1" t="n">
        <v>48399</v>
      </c>
      <c r="J2761" s="9" t="n">
        <v>0.619</v>
      </c>
      <c r="K2761" s="1" t="inlineStr">
        <is>
          <t>No</t>
        </is>
      </c>
      <c r="L2761" s="1" t="inlineStr">
        <is>
          <t>Yes</t>
        </is>
      </c>
      <c r="M2761" s="1" t="inlineStr">
        <is>
          <t>No</t>
        </is>
      </c>
      <c r="N2761" s="1" t="inlineStr">
        <is>
          <t>Database</t>
        </is>
      </c>
      <c r="O27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62" ht="15.75" customHeight="1" s="12">
      <c r="A2762" s="1" t="n">
        <v>3081</v>
      </c>
      <c r="B2762" s="3">
        <f>HYPERLINK("https://leetcode.com/problems/replace-question-marks-in-string-to-minimize-its-value/", "Replace Question Marks in String to Minimize Its Value")</f>
        <v/>
      </c>
      <c r="C2762" s="1" t="n">
        <v>201</v>
      </c>
      <c r="D2762" s="1" t="n">
        <v>32</v>
      </c>
      <c r="E2762" s="4">
        <f>IF(INDEX(C:C, ROW())+INDEX(D:D, ROW())=0, 0, INDEX(C:C, ROW())/(INDEX(C:C, ROW())+INDEX(D:D, ROW())))</f>
        <v/>
      </c>
      <c r="F2762" s="1" t="inlineStr">
        <is>
          <t>Hash Table, String, Greedy, Sorting, Heap (Priority Queue), Counting</t>
        </is>
      </c>
      <c r="G2762" s="1" t="inlineStr">
        <is>
          <t>Medium</t>
        </is>
      </c>
      <c r="H2762" s="1" t="n">
        <v>17381</v>
      </c>
      <c r="I2762" s="1" t="n">
        <v>60301</v>
      </c>
      <c r="J2762" s="9" t="n">
        <v>0.288</v>
      </c>
      <c r="K2762" s="1" t="inlineStr">
        <is>
          <t>Yes</t>
        </is>
      </c>
      <c r="L2762" s="1" t="inlineStr">
        <is>
          <t>No</t>
        </is>
      </c>
      <c r="M2762" s="1" t="inlineStr">
        <is>
          <t>No</t>
        </is>
      </c>
      <c r="N2762" s="1" t="inlineStr">
        <is>
          <t>Algorithms</t>
        </is>
      </c>
      <c r="O27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63" ht="15.75" customHeight="1" s="12">
      <c r="A2763" s="1" t="n">
        <v>3218</v>
      </c>
      <c r="B2763" s="3">
        <f>HYPERLINK("https://leetcode.com/problems/minimum-cost-for-cutting-cake-i/", "Minimum Cost for Cutting Cake I")</f>
        <v/>
      </c>
      <c r="C2763" s="1" t="n">
        <v>201</v>
      </c>
      <c r="D2763" s="1" t="n">
        <v>8</v>
      </c>
      <c r="E2763" s="4">
        <f>IF(INDEX(C:C, ROW())+INDEX(D:D, ROW())=0, 0, INDEX(C:C, ROW())/(INDEX(C:C, ROW())+INDEX(D:D, ROW())))</f>
        <v/>
      </c>
      <c r="F2763" s="1" t="inlineStr">
        <is>
          <t>Array, Two Pointers, Dynamic Programming, Greedy, Sorting</t>
        </is>
      </c>
      <c r="G2763" s="1" t="inlineStr">
        <is>
          <t>Medium</t>
        </is>
      </c>
      <c r="H2763" s="1" t="n">
        <v>30334</v>
      </c>
      <c r="I2763" s="1" t="n">
        <v>52029</v>
      </c>
      <c r="J2763" s="9" t="n">
        <v>0.583</v>
      </c>
      <c r="K2763" s="1" t="inlineStr">
        <is>
          <t>Yes</t>
        </is>
      </c>
      <c r="L2763" s="1" t="inlineStr">
        <is>
          <t>No</t>
        </is>
      </c>
      <c r="M2763" s="1" t="inlineStr">
        <is>
          <t>No</t>
        </is>
      </c>
      <c r="N2763" s="1" t="inlineStr">
        <is>
          <t>Algorithms</t>
        </is>
      </c>
      <c r="O27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64" ht="15.75" customHeight="1" s="12">
      <c r="A2764" s="1" t="n">
        <v>3006</v>
      </c>
      <c r="B2764" s="3">
        <f>HYPERLINK("https://leetcode.com/problems/find-beautiful-indices-in-the-given-array-i/", "Find Beautiful Indices in the Given Array I")</f>
        <v/>
      </c>
      <c r="C2764" s="1" t="n">
        <v>200</v>
      </c>
      <c r="D2764" s="1" t="n">
        <v>47</v>
      </c>
      <c r="E2764" s="4">
        <f>IF(INDEX(C:C, ROW())+INDEX(D:D, ROW())=0, 0, INDEX(C:C, ROW())/(INDEX(C:C, ROW())+INDEX(D:D, ROW())))</f>
        <v/>
      </c>
      <c r="F2764" s="1" t="inlineStr">
        <is>
          <t>Two Pointers, String, Binary Search, Rolling Hash, String Matching, Hash Function</t>
        </is>
      </c>
      <c r="G2764" s="1" t="inlineStr">
        <is>
          <t>Medium</t>
        </is>
      </c>
      <c r="H2764" s="1" t="n">
        <v>45357</v>
      </c>
      <c r="I2764" s="1" t="n">
        <v>112568</v>
      </c>
      <c r="J2764" s="9" t="n">
        <v>0.403</v>
      </c>
      <c r="K2764" s="1" t="inlineStr">
        <is>
          <t>Yes</t>
        </is>
      </c>
      <c r="L2764" s="1" t="inlineStr">
        <is>
          <t>No</t>
        </is>
      </c>
      <c r="M2764" s="1" t="inlineStr">
        <is>
          <t>No</t>
        </is>
      </c>
      <c r="N2764" s="1" t="inlineStr">
        <is>
          <t>Algorithms</t>
        </is>
      </c>
      <c r="O27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65" ht="15.75" customHeight="1" s="12">
      <c r="A2765" s="1" t="n">
        <v>3048</v>
      </c>
      <c r="B2765" s="3">
        <f>HYPERLINK("https://leetcode.com/problems/earliest-second-to-mark-indices-i/", "Earliest Second to Mark Indices I")</f>
        <v/>
      </c>
      <c r="C2765" s="1" t="n">
        <v>200</v>
      </c>
      <c r="D2765" s="1" t="n">
        <v>99</v>
      </c>
      <c r="E2765" s="4">
        <f>IF(INDEX(C:C, ROW())+INDEX(D:D, ROW())=0, 0, INDEX(C:C, ROW())/(INDEX(C:C, ROW())+INDEX(D:D, ROW())))</f>
        <v/>
      </c>
      <c r="F2765" s="1" t="inlineStr">
        <is>
          <t>Array, Binary Search</t>
        </is>
      </c>
      <c r="G2765" s="1" t="inlineStr">
        <is>
          <t>Medium</t>
        </is>
      </c>
      <c r="H2765" s="1" t="n">
        <v>10809</v>
      </c>
      <c r="I2765" s="1" t="n">
        <v>29888</v>
      </c>
      <c r="J2765" s="9" t="n">
        <v>0.362</v>
      </c>
      <c r="K2765" s="1" t="inlineStr">
        <is>
          <t>Yes</t>
        </is>
      </c>
      <c r="L2765" s="1" t="inlineStr">
        <is>
          <t>No</t>
        </is>
      </c>
      <c r="M2765" s="1" t="inlineStr">
        <is>
          <t>No</t>
        </is>
      </c>
      <c r="N2765" s="1" t="inlineStr">
        <is>
          <t>Algorithms</t>
        </is>
      </c>
      <c r="O27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66" ht="15.75" customHeight="1" s="12">
      <c r="A2766" s="1" t="n">
        <v>3099</v>
      </c>
      <c r="B2766" s="3">
        <f>HYPERLINK("https://leetcode.com/problems/harshad-number/", "Harshad Number")</f>
        <v/>
      </c>
      <c r="C2766" s="1" t="n">
        <v>200</v>
      </c>
      <c r="D2766" s="1" t="n">
        <v>12</v>
      </c>
      <c r="E2766" s="4">
        <f>IF(INDEX(C:C, ROW())+INDEX(D:D, ROW())=0, 0, INDEX(C:C, ROW())/(INDEX(C:C, ROW())+INDEX(D:D, ROW())))</f>
        <v/>
      </c>
      <c r="F2766" s="1" t="inlineStr">
        <is>
          <t>Math</t>
        </is>
      </c>
      <c r="G2766" s="1" t="inlineStr">
        <is>
          <t>Easy</t>
        </is>
      </c>
      <c r="H2766" s="1" t="n">
        <v>100737</v>
      </c>
      <c r="I2766" s="1" t="n">
        <v>120786</v>
      </c>
      <c r="J2766" s="9" t="n">
        <v>0.834</v>
      </c>
      <c r="K2766" s="1" t="inlineStr">
        <is>
          <t>Yes</t>
        </is>
      </c>
      <c r="L2766" s="1" t="inlineStr">
        <is>
          <t>No</t>
        </is>
      </c>
      <c r="M2766" s="1" t="inlineStr">
        <is>
          <t>No</t>
        </is>
      </c>
      <c r="N2766" s="1" t="inlineStr">
        <is>
          <t>Algorithms</t>
        </is>
      </c>
      <c r="O27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67" ht="15.75" customHeight="1" s="12">
      <c r="A2767" s="1" t="n">
        <v>2973</v>
      </c>
      <c r="B2767" s="3">
        <f>HYPERLINK("https://leetcode.com/problems/find-number-of-coins-to-place-in-tree-nodes/", "Find Number of Coins to Place in Tree Nodes")</f>
        <v/>
      </c>
      <c r="C2767" s="1" t="n">
        <v>199</v>
      </c>
      <c r="D2767" s="1" t="n">
        <v>22</v>
      </c>
      <c r="E2767" s="4">
        <f>IF(INDEX(C:C, ROW())+INDEX(D:D, ROW())=0, 0, INDEX(C:C, ROW())/(INDEX(C:C, ROW())+INDEX(D:D, ROW())))</f>
        <v/>
      </c>
      <c r="F2767" s="1" t="inlineStr">
        <is>
          <t>Dynamic Programming, Tree, Depth-First Search, Sorting, Heap (Priority Queue)</t>
        </is>
      </c>
      <c r="G2767" s="1" t="inlineStr">
        <is>
          <t>Hard</t>
        </is>
      </c>
      <c r="H2767" s="1" t="n">
        <v>10990</v>
      </c>
      <c r="I2767" s="1" t="n">
        <v>29577</v>
      </c>
      <c r="J2767" s="9" t="n">
        <v>0.372</v>
      </c>
      <c r="K2767" s="1" t="inlineStr">
        <is>
          <t>Yes</t>
        </is>
      </c>
      <c r="L2767" s="1" t="inlineStr">
        <is>
          <t>No</t>
        </is>
      </c>
      <c r="M2767" s="1" t="inlineStr">
        <is>
          <t>No</t>
        </is>
      </c>
      <c r="N2767" s="1" t="inlineStr">
        <is>
          <t>Algorithms</t>
        </is>
      </c>
      <c r="O27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68" ht="15.75" customHeight="1" s="12">
      <c r="A2768" s="1" t="n">
        <v>2245</v>
      </c>
      <c r="B2768" s="3">
        <f>HYPERLINK("https://leetcode.com/problems/maximum-trailing-zeros-in-a-cornered-path/", "Maximum Trailing Zeros in a Cornered Path")</f>
        <v/>
      </c>
      <c r="C2768" s="1" t="n">
        <v>198</v>
      </c>
      <c r="D2768" s="1" t="n">
        <v>407</v>
      </c>
      <c r="E2768" s="4">
        <f>IF(INDEX(C:C, ROW())+INDEX(D:D, ROW())=0, 0, INDEX(C:C, ROW())/(INDEX(C:C, ROW())+INDEX(D:D, ROW())))</f>
        <v/>
      </c>
      <c r="F2768" s="1" t="inlineStr">
        <is>
          <t>Array, Matrix, Prefix Sum</t>
        </is>
      </c>
      <c r="G2768" s="1" t="inlineStr">
        <is>
          <t>Medium</t>
        </is>
      </c>
      <c r="H2768" s="1" t="n">
        <v>9426</v>
      </c>
      <c r="I2768" s="1" t="n">
        <v>25243</v>
      </c>
      <c r="J2768" s="9" t="n">
        <v>0.373</v>
      </c>
      <c r="K2768" s="1" t="inlineStr">
        <is>
          <t>Yes</t>
        </is>
      </c>
      <c r="L2768" s="1" t="inlineStr">
        <is>
          <t>No</t>
        </is>
      </c>
      <c r="M2768" s="1" t="inlineStr">
        <is>
          <t>No</t>
        </is>
      </c>
      <c r="N2768" s="1" t="inlineStr">
        <is>
          <t>Algorithms</t>
        </is>
      </c>
      <c r="O27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69" ht="15.75" customHeight="1" s="12">
      <c r="A2769" s="1" t="n">
        <v>2957</v>
      </c>
      <c r="B2769" s="3">
        <f>HYPERLINK("https://leetcode.com/problems/remove-adjacent-almost-equal-characters/", "Remove Adjacent Almost-Equal Characters")</f>
        <v/>
      </c>
      <c r="C2769" s="1" t="n">
        <v>198</v>
      </c>
      <c r="D2769" s="1" t="n">
        <v>25</v>
      </c>
      <c r="E2769" s="4">
        <f>IF(INDEX(C:C, ROW())+INDEX(D:D, ROW())=0, 0, INDEX(C:C, ROW())/(INDEX(C:C, ROW())+INDEX(D:D, ROW())))</f>
        <v/>
      </c>
      <c r="F2769" s="1" t="inlineStr">
        <is>
          <t>String, Dynamic Programming, Greedy</t>
        </is>
      </c>
      <c r="G2769" s="1" t="inlineStr">
        <is>
          <t>Medium</t>
        </is>
      </c>
      <c r="H2769" s="1" t="n">
        <v>28224</v>
      </c>
      <c r="I2769" s="1" t="n">
        <v>53391</v>
      </c>
      <c r="J2769" s="9" t="n">
        <v>0.529</v>
      </c>
      <c r="K2769" s="1" t="inlineStr">
        <is>
          <t>Yes</t>
        </is>
      </c>
      <c r="L2769" s="1" t="inlineStr">
        <is>
          <t>No</t>
        </is>
      </c>
      <c r="M2769" s="1" t="inlineStr">
        <is>
          <t>No</t>
        </is>
      </c>
      <c r="N2769" s="1" t="inlineStr">
        <is>
          <t>Algorithms</t>
        </is>
      </c>
      <c r="O27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70" ht="15.75" customHeight="1" s="12">
      <c r="A2770" s="1" t="n">
        <v>2184</v>
      </c>
      <c r="B2770" s="3">
        <f>HYPERLINK("https://leetcode.com/problems/number-of-ways-to-build-sturdy-brick-wall/", "Number of Ways to Build Sturdy Brick Wall")</f>
        <v/>
      </c>
      <c r="C2770" s="1" t="n">
        <v>197</v>
      </c>
      <c r="D2770" s="1" t="n">
        <v>129</v>
      </c>
      <c r="E2770" s="4">
        <f>IF(INDEX(C:C, ROW())+INDEX(D:D, ROW())=0, 0, INDEX(C:C, ROW())/(INDEX(C:C, ROW())+INDEX(D:D, ROW())))</f>
        <v/>
      </c>
      <c r="F2770" s="1" t="inlineStr">
        <is>
          <t>Array, Dynamic Programming, Bit Manipulation, Bitmask DP</t>
        </is>
      </c>
      <c r="G2770" s="1" t="inlineStr">
        <is>
          <t>Medium</t>
        </is>
      </c>
      <c r="H2770" s="1" t="n">
        <v>9972</v>
      </c>
      <c r="I2770" s="1" t="n">
        <v>20164</v>
      </c>
      <c r="J2770" s="9" t="n">
        <v>0.495</v>
      </c>
      <c r="K2770" s="1" t="inlineStr">
        <is>
          <t>No</t>
        </is>
      </c>
      <c r="L2770" s="1" t="inlineStr">
        <is>
          <t>No</t>
        </is>
      </c>
      <c r="M2770" s="1" t="inlineStr">
        <is>
          <t>No</t>
        </is>
      </c>
      <c r="N2770" s="1" t="inlineStr">
        <is>
          <t>Algorithms</t>
        </is>
      </c>
      <c r="O27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71" ht="15.75" customHeight="1" s="12">
      <c r="A2771" s="1" t="n">
        <v>2839</v>
      </c>
      <c r="B2771" s="3">
        <f>HYPERLINK("https://leetcode.com/problems/check-if-strings-can-be-made-equal-with-operations-i/", "Check if Strings Can be Made Equal With Operations I")</f>
        <v/>
      </c>
      <c r="C2771" s="1" t="n">
        <v>197</v>
      </c>
      <c r="D2771" s="1" t="n">
        <v>30</v>
      </c>
      <c r="E2771" s="4">
        <f>IF(INDEX(C:C, ROW())+INDEX(D:D, ROW())=0, 0, INDEX(C:C, ROW())/(INDEX(C:C, ROW())+INDEX(D:D, ROW())))</f>
        <v/>
      </c>
      <c r="F2771" s="1" t="inlineStr">
        <is>
          <t>String</t>
        </is>
      </c>
      <c r="G2771" s="1" t="inlineStr">
        <is>
          <t>Easy</t>
        </is>
      </c>
      <c r="H2771" s="1" t="n">
        <v>44321</v>
      </c>
      <c r="I2771" s="1" t="n">
        <v>92992</v>
      </c>
      <c r="J2771" s="9" t="n">
        <v>0.477</v>
      </c>
      <c r="K2771" s="1" t="inlineStr">
        <is>
          <t>Yes</t>
        </is>
      </c>
      <c r="L2771" s="1" t="inlineStr">
        <is>
          <t>No</t>
        </is>
      </c>
      <c r="M2771" s="1" t="inlineStr">
        <is>
          <t>No</t>
        </is>
      </c>
      <c r="N2771" s="1" t="inlineStr">
        <is>
          <t>Algorithms</t>
        </is>
      </c>
      <c r="O27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72" ht="15.75" customHeight="1" s="12">
      <c r="A2772" s="1" t="n">
        <v>2908</v>
      </c>
      <c r="B2772" s="3">
        <f>HYPERLINK("https://leetcode.com/problems/minimum-sum-of-mountain-triplets-i/", "Minimum Sum of Mountain Triplets I")</f>
        <v/>
      </c>
      <c r="C2772" s="1" t="n">
        <v>197</v>
      </c>
      <c r="D2772" s="1" t="n">
        <v>14</v>
      </c>
      <c r="E2772" s="4">
        <f>IF(INDEX(C:C, ROW())+INDEX(D:D, ROW())=0, 0, INDEX(C:C, ROW())/(INDEX(C:C, ROW())+INDEX(D:D, ROW())))</f>
        <v/>
      </c>
      <c r="F2772" s="1" t="inlineStr">
        <is>
          <t>Array</t>
        </is>
      </c>
      <c r="G2772" s="1" t="inlineStr">
        <is>
          <t>Easy</t>
        </is>
      </c>
      <c r="H2772" s="1" t="n">
        <v>46591</v>
      </c>
      <c r="I2772" s="1" t="n">
        <v>69562</v>
      </c>
      <c r="J2772" s="9" t="n">
        <v>0.67</v>
      </c>
      <c r="K2772" s="1" t="inlineStr">
        <is>
          <t>Yes</t>
        </is>
      </c>
      <c r="L2772" s="1" t="inlineStr">
        <is>
          <t>No</t>
        </is>
      </c>
      <c r="M2772" s="1" t="inlineStr">
        <is>
          <t>No</t>
        </is>
      </c>
      <c r="N2772" s="1" t="inlineStr">
        <is>
          <t>Algorithms</t>
        </is>
      </c>
      <c r="O27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73" ht="15.75" customHeight="1" s="12">
      <c r="A2773" s="1" t="n">
        <v>3138</v>
      </c>
      <c r="B2773" s="3">
        <f>HYPERLINK("https://leetcode.com/problems/minimum-length-of-anagram-concatenation/", "Minimum Length of Anagram Concatenation")</f>
        <v/>
      </c>
      <c r="C2773" s="1" t="n">
        <v>197</v>
      </c>
      <c r="D2773" s="1" t="n">
        <v>102</v>
      </c>
      <c r="E2773" s="4">
        <f>IF(INDEX(C:C, ROW())+INDEX(D:D, ROW())=0, 0, INDEX(C:C, ROW())/(INDEX(C:C, ROW())+INDEX(D:D, ROW())))</f>
        <v/>
      </c>
      <c r="F2773" s="1" t="inlineStr">
        <is>
          <t>Hash Table, String, Counting</t>
        </is>
      </c>
      <c r="G2773" s="1" t="inlineStr">
        <is>
          <t>Medium</t>
        </is>
      </c>
      <c r="H2773" s="1" t="n">
        <v>33082</v>
      </c>
      <c r="I2773" s="1" t="n">
        <v>83061</v>
      </c>
      <c r="J2773" s="9" t="n">
        <v>0.398</v>
      </c>
      <c r="K2773" s="1" t="inlineStr">
        <is>
          <t>Yes</t>
        </is>
      </c>
      <c r="L2773" s="1" t="inlineStr">
        <is>
          <t>No</t>
        </is>
      </c>
      <c r="M2773" s="1" t="inlineStr">
        <is>
          <t>No</t>
        </is>
      </c>
      <c r="N2773" s="1" t="inlineStr">
        <is>
          <t>Algorithms</t>
        </is>
      </c>
      <c r="O27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74" ht="15.75" customHeight="1" s="12">
      <c r="A2774" s="1" t="n">
        <v>2340</v>
      </c>
      <c r="B2774" s="3">
        <f>HYPERLINK("https://leetcode.com/problems/minimum-adjacent-swaps-to-make-a-valid-array/", "Minimum Adjacent Swaps to Make a Valid Array")</f>
        <v/>
      </c>
      <c r="C2774" s="1" t="n">
        <v>196</v>
      </c>
      <c r="D2774" s="1" t="n">
        <v>27</v>
      </c>
      <c r="E2774" s="4">
        <f>IF(INDEX(C:C, ROW())+INDEX(D:D, ROW())=0, 0, INDEX(C:C, ROW())/(INDEX(C:C, ROW())+INDEX(D:D, ROW())))</f>
        <v/>
      </c>
      <c r="F2774" s="1" t="inlineStr">
        <is>
          <t>Array, Greedy</t>
        </is>
      </c>
      <c r="G2774" s="1" t="inlineStr">
        <is>
          <t>Medium</t>
        </is>
      </c>
      <c r="H2774" s="1" t="n">
        <v>40402</v>
      </c>
      <c r="I2774" s="1" t="n">
        <v>55947</v>
      </c>
      <c r="J2774" s="9" t="n">
        <v>0.722</v>
      </c>
      <c r="K2774" s="1" t="inlineStr">
        <is>
          <t>No</t>
        </is>
      </c>
      <c r="L2774" s="1" t="inlineStr">
        <is>
          <t>No</t>
        </is>
      </c>
      <c r="M2774" s="1" t="inlineStr">
        <is>
          <t>No</t>
        </is>
      </c>
      <c r="N2774" s="1" t="inlineStr">
        <is>
          <t>Algorithms</t>
        </is>
      </c>
      <c r="O27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75" ht="15.75" customHeight="1" s="12">
      <c r="A2775" s="1" t="n">
        <v>2569</v>
      </c>
      <c r="B2775" s="3">
        <f>HYPERLINK("https://leetcode.com/problems/handling-sum-queries-after-update/", "Handling Sum Queries After Update")</f>
        <v/>
      </c>
      <c r="C2775" s="1" t="n">
        <v>196</v>
      </c>
      <c r="D2775" s="1" t="n">
        <v>25</v>
      </c>
      <c r="E2775" s="4">
        <f>IF(INDEX(C:C, ROW())+INDEX(D:D, ROW())=0, 0, INDEX(C:C, ROW())/(INDEX(C:C, ROW())+INDEX(D:D, ROW())))</f>
        <v/>
      </c>
      <c r="F2775" s="1" t="inlineStr">
        <is>
          <t>Array, Segment Tree</t>
        </is>
      </c>
      <c r="G2775" s="1" t="inlineStr">
        <is>
          <t>Hard</t>
        </is>
      </c>
      <c r="H2775" s="1" t="n">
        <v>7499</v>
      </c>
      <c r="I2775" s="1" t="n">
        <v>24784</v>
      </c>
      <c r="J2775" s="9" t="n">
        <v>0.303</v>
      </c>
      <c r="K2775" s="1" t="inlineStr">
        <is>
          <t>Yes</t>
        </is>
      </c>
      <c r="L2775" s="1" t="inlineStr">
        <is>
          <t>No</t>
        </is>
      </c>
      <c r="M2775" s="1" t="inlineStr">
        <is>
          <t>No</t>
        </is>
      </c>
      <c r="N2775" s="1" t="inlineStr">
        <is>
          <t>Algorithms</t>
        </is>
      </c>
      <c r="O27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76" ht="15.75" customHeight="1" s="12">
      <c r="A2776" s="1" t="n">
        <v>2970</v>
      </c>
      <c r="B2776" s="3">
        <f>HYPERLINK("https://leetcode.com/problems/count-the-number-of-incremovable-subarrays-i/", "Count the Number of Incremovable Subarrays I")</f>
        <v/>
      </c>
      <c r="C2776" s="1" t="n">
        <v>196</v>
      </c>
      <c r="D2776" s="1" t="n">
        <v>123</v>
      </c>
      <c r="E2776" s="4">
        <f>IF(INDEX(C:C, ROW())+INDEX(D:D, ROW())=0, 0, INDEX(C:C, ROW())/(INDEX(C:C, ROW())+INDEX(D:D, ROW())))</f>
        <v/>
      </c>
      <c r="F2776" s="1" t="inlineStr">
        <is>
          <t>Array, Two Pointers, Binary Search, Enumeration</t>
        </is>
      </c>
      <c r="G2776" s="1" t="inlineStr">
        <is>
          <t>Easy</t>
        </is>
      </c>
      <c r="H2776" s="1" t="n">
        <v>29054</v>
      </c>
      <c r="I2776" s="1" t="n">
        <v>51822</v>
      </c>
      <c r="J2776" s="9" t="n">
        <v>0.5610000000000001</v>
      </c>
      <c r="K2776" s="1" t="inlineStr">
        <is>
          <t>Yes</t>
        </is>
      </c>
      <c r="L2776" s="1" t="inlineStr">
        <is>
          <t>No</t>
        </is>
      </c>
      <c r="M2776" s="1" t="inlineStr">
        <is>
          <t>No</t>
        </is>
      </c>
      <c r="N2776" s="1" t="inlineStr">
        <is>
          <t>Algorithms</t>
        </is>
      </c>
      <c r="O27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77" ht="15.75" customHeight="1" s="12">
      <c r="A2777" s="1" t="n">
        <v>3233</v>
      </c>
      <c r="B2777" s="3">
        <f>HYPERLINK("https://leetcode.com/problems/find-the-count-of-numbers-which-are-not-special/", "Find the Count of Numbers Which Are Not Special")</f>
        <v/>
      </c>
      <c r="C2777" s="1" t="n">
        <v>196</v>
      </c>
      <c r="D2777" s="1" t="n">
        <v>26</v>
      </c>
      <c r="E2777" s="4">
        <f>IF(INDEX(C:C, ROW())+INDEX(D:D, ROW())=0, 0, INDEX(C:C, ROW())/(INDEX(C:C, ROW())+INDEX(D:D, ROW())))</f>
        <v/>
      </c>
      <c r="F2777" s="1" t="inlineStr">
        <is>
          <t>Array, Math, Number Theory</t>
        </is>
      </c>
      <c r="G2777" s="1" t="inlineStr">
        <is>
          <t>Medium</t>
        </is>
      </c>
      <c r="H2777" s="1" t="n">
        <v>37104</v>
      </c>
      <c r="I2777" s="1" t="n">
        <v>135196</v>
      </c>
      <c r="J2777" s="9" t="n">
        <v>0.274</v>
      </c>
      <c r="K2777" s="1" t="inlineStr">
        <is>
          <t>Yes</t>
        </is>
      </c>
      <c r="L2777" s="1" t="inlineStr">
        <is>
          <t>No</t>
        </is>
      </c>
      <c r="M2777" s="1" t="inlineStr">
        <is>
          <t>No</t>
        </is>
      </c>
      <c r="N2777" s="1" t="inlineStr">
        <is>
          <t>Algorithms</t>
        </is>
      </c>
      <c r="O27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78" ht="15.75" customHeight="1" s="12">
      <c r="A2778" s="1" t="n">
        <v>2361</v>
      </c>
      <c r="B2778" s="3">
        <f>HYPERLINK("https://leetcode.com/problems/minimum-costs-using-the-train-line/", "Minimum Costs Using the Train Line")</f>
        <v/>
      </c>
      <c r="C2778" s="1" t="n">
        <v>195</v>
      </c>
      <c r="D2778" s="1" t="n">
        <v>32</v>
      </c>
      <c r="E2778" s="4">
        <f>IF(INDEX(C:C, ROW())+INDEX(D:D, ROW())=0, 0, INDEX(C:C, ROW())/(INDEX(C:C, ROW())+INDEX(D:D, ROW())))</f>
        <v/>
      </c>
      <c r="F2778" s="1" t="inlineStr">
        <is>
          <t>Array, Dynamic Programming</t>
        </is>
      </c>
      <c r="G2778" s="1" t="inlineStr">
        <is>
          <t>Hard</t>
        </is>
      </c>
      <c r="H2778" s="1" t="n">
        <v>14703</v>
      </c>
      <c r="I2778" s="1" t="n">
        <v>18916</v>
      </c>
      <c r="J2778" s="9" t="n">
        <v>0.777</v>
      </c>
      <c r="K2778" s="1" t="inlineStr">
        <is>
          <t>No</t>
        </is>
      </c>
      <c r="L2778" s="1" t="inlineStr">
        <is>
          <t>Yes</t>
        </is>
      </c>
      <c r="M2778" s="1" t="inlineStr">
        <is>
          <t>No</t>
        </is>
      </c>
      <c r="N2778" s="1" t="inlineStr">
        <is>
          <t>Algorithms</t>
        </is>
      </c>
      <c r="O27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79" ht="15.75" customHeight="1" s="12">
      <c r="A2779" s="1" t="n">
        <v>2468</v>
      </c>
      <c r="B2779" s="3">
        <f>HYPERLINK("https://leetcode.com/problems/split-message-based-on-limit/", "Split Message Based on Limit")</f>
        <v/>
      </c>
      <c r="C2779" s="1" t="n">
        <v>195</v>
      </c>
      <c r="D2779" s="1" t="n">
        <v>200</v>
      </c>
      <c r="E2779" s="4">
        <f>IF(INDEX(C:C, ROW())+INDEX(D:D, ROW())=0, 0, INDEX(C:C, ROW())/(INDEX(C:C, ROW())+INDEX(D:D, ROW())))</f>
        <v/>
      </c>
      <c r="F2779" s="1" t="inlineStr">
        <is>
          <t>String, Binary Search, Enumeration</t>
        </is>
      </c>
      <c r="G2779" s="1" t="inlineStr">
        <is>
          <t>Hard</t>
        </is>
      </c>
      <c r="H2779" s="1" t="n">
        <v>21585</v>
      </c>
      <c r="I2779" s="1" t="n">
        <v>51275</v>
      </c>
      <c r="J2779" s="9" t="n">
        <v>0.421</v>
      </c>
      <c r="K2779" s="1" t="inlineStr">
        <is>
          <t>Yes</t>
        </is>
      </c>
      <c r="L2779" s="1" t="inlineStr">
        <is>
          <t>No</t>
        </is>
      </c>
      <c r="M2779" s="1" t="inlineStr">
        <is>
          <t>No</t>
        </is>
      </c>
      <c r="N2779" s="1" t="inlineStr">
        <is>
          <t>Algorithms</t>
        </is>
      </c>
      <c r="O27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80" ht="15.75" customHeight="1" s="12">
      <c r="A2780" s="1" t="n">
        <v>2897</v>
      </c>
      <c r="B2780" s="3">
        <f>HYPERLINK("https://leetcode.com/problems/apply-operations-on-array-to-maximize-sum-of-squares/", "Apply Operations on Array to Maximize Sum of Squares")</f>
        <v/>
      </c>
      <c r="C2780" s="1" t="n">
        <v>195</v>
      </c>
      <c r="D2780" s="1" t="n">
        <v>4</v>
      </c>
      <c r="E2780" s="4">
        <f>IF(INDEX(C:C, ROW())+INDEX(D:D, ROW())=0, 0, INDEX(C:C, ROW())/(INDEX(C:C, ROW())+INDEX(D:D, ROW())))</f>
        <v/>
      </c>
      <c r="F2780" s="1" t="inlineStr">
        <is>
          <t>Array, Hash Table, Greedy, Bit Manipulation</t>
        </is>
      </c>
      <c r="G2780" s="1" t="inlineStr">
        <is>
          <t>Hard</t>
        </is>
      </c>
      <c r="H2780" s="1" t="n">
        <v>8285</v>
      </c>
      <c r="I2780" s="1" t="n">
        <v>18777</v>
      </c>
      <c r="J2780" s="9" t="n">
        <v>0.441</v>
      </c>
      <c r="K2780" s="1" t="inlineStr">
        <is>
          <t>Yes</t>
        </is>
      </c>
      <c r="L2780" s="1" t="inlineStr">
        <is>
          <t>No</t>
        </is>
      </c>
      <c r="M2780" s="1" t="inlineStr">
        <is>
          <t>No</t>
        </is>
      </c>
      <c r="N2780" s="1" t="inlineStr">
        <is>
          <t>Algorithms</t>
        </is>
      </c>
      <c r="O27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81" ht="15.75" customHeight="1" s="12">
      <c r="A2781" s="1" t="n">
        <v>2959</v>
      </c>
      <c r="B2781" s="3">
        <f>HYPERLINK("https://leetcode.com/problems/number-of-possible-sets-of-closing-branches/", "Number of Possible Sets of Closing Branches")</f>
        <v/>
      </c>
      <c r="C2781" s="1" t="n">
        <v>195</v>
      </c>
      <c r="D2781" s="1" t="n">
        <v>17</v>
      </c>
      <c r="E2781" s="4">
        <f>IF(INDEX(C:C, ROW())+INDEX(D:D, ROW())=0, 0, INDEX(C:C, ROW())/(INDEX(C:C, ROW())+INDEX(D:D, ROW())))</f>
        <v/>
      </c>
      <c r="F2781" s="1" t="inlineStr">
        <is>
          <t>Bit Manipulation, Graph Theory, Heap (Priority Queue), Enumeration, Shortest Path</t>
        </is>
      </c>
      <c r="G2781" s="1" t="inlineStr">
        <is>
          <t>Hard</t>
        </is>
      </c>
      <c r="H2781" s="1" t="n">
        <v>10340</v>
      </c>
      <c r="I2781" s="1" t="n">
        <v>20557</v>
      </c>
      <c r="J2781" s="9" t="n">
        <v>0.503</v>
      </c>
      <c r="K2781" s="1" t="inlineStr">
        <is>
          <t>Yes</t>
        </is>
      </c>
      <c r="L2781" s="1" t="inlineStr">
        <is>
          <t>No</t>
        </is>
      </c>
      <c r="M2781" s="1" t="inlineStr">
        <is>
          <t>No</t>
        </is>
      </c>
      <c r="N2781" s="1" t="inlineStr">
        <is>
          <t>Algorithms</t>
        </is>
      </c>
      <c r="O27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82" ht="15.75" customHeight="1" s="12">
      <c r="A2782" s="1" t="n">
        <v>3194</v>
      </c>
      <c r="B2782" s="3">
        <f>HYPERLINK("https://leetcode.com/problems/minimum-average-of-smallest-and-largest-elements/", "Minimum Average of Smallest and Largest Elements")</f>
        <v/>
      </c>
      <c r="C2782" s="1" t="n">
        <v>195</v>
      </c>
      <c r="D2782" s="1" t="n">
        <v>16</v>
      </c>
      <c r="E2782" s="4">
        <f>IF(INDEX(C:C, ROW())+INDEX(D:D, ROW())=0, 0, INDEX(C:C, ROW())/(INDEX(C:C, ROW())+INDEX(D:D, ROW())))</f>
        <v/>
      </c>
      <c r="F2782" s="1" t="inlineStr">
        <is>
          <t>Array, Two Pointers, Sorting</t>
        </is>
      </c>
      <c r="G2782" s="1" t="inlineStr">
        <is>
          <t>Easy</t>
        </is>
      </c>
      <c r="H2782" s="1" t="n">
        <v>103800</v>
      </c>
      <c r="I2782" s="1" t="n">
        <v>121851</v>
      </c>
      <c r="J2782" s="9" t="n">
        <v>0.852</v>
      </c>
      <c r="K2782" s="1" t="inlineStr">
        <is>
          <t>Yes</t>
        </is>
      </c>
      <c r="L2782" s="1" t="inlineStr">
        <is>
          <t>No</t>
        </is>
      </c>
      <c r="M2782" s="1" t="inlineStr">
        <is>
          <t>No</t>
        </is>
      </c>
      <c r="N2782" s="1" t="inlineStr">
        <is>
          <t>Algorithms</t>
        </is>
      </c>
      <c r="O27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83" ht="15.75" customHeight="1" s="12">
      <c r="A2783" s="1" t="n">
        <v>831</v>
      </c>
      <c r="B2783" s="3">
        <f>HYPERLINK("https://leetcode.com/problems/masking-personal-information/", "Masking Personal Information")</f>
        <v/>
      </c>
      <c r="C2783" s="1" t="n">
        <v>194</v>
      </c>
      <c r="D2783" s="1" t="n">
        <v>465</v>
      </c>
      <c r="E2783" s="4">
        <f>IF(INDEX(C:C, ROW())+INDEX(D:D, ROW())=0, 0, INDEX(C:C, ROW())/(INDEX(C:C, ROW())+INDEX(D:D, ROW())))</f>
        <v/>
      </c>
      <c r="F2783" s="1" t="inlineStr">
        <is>
          <t>String</t>
        </is>
      </c>
      <c r="G2783" s="1" t="inlineStr">
        <is>
          <t>Medium</t>
        </is>
      </c>
      <c r="H2783" s="1" t="n">
        <v>29606</v>
      </c>
      <c r="I2783" s="1" t="n">
        <v>55609</v>
      </c>
      <c r="J2783" s="9" t="n">
        <v>0.532</v>
      </c>
      <c r="K2783" s="1" t="inlineStr">
        <is>
          <t>Yes</t>
        </is>
      </c>
      <c r="L2783" s="1" t="inlineStr">
        <is>
          <t>Yes</t>
        </is>
      </c>
      <c r="M2783" s="1" t="inlineStr">
        <is>
          <t>No</t>
        </is>
      </c>
      <c r="N2783" s="1" t="inlineStr">
        <is>
          <t>Algorithms</t>
        </is>
      </c>
      <c r="O27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84" ht="15.75" customHeight="1" s="12">
      <c r="A2784" s="1" t="n">
        <v>3012</v>
      </c>
      <c r="B2784" s="3">
        <f>HYPERLINK("https://leetcode.com/problems/minimize-length-of-array-using-operations/", "Minimize Length of Array Using Operations")</f>
        <v/>
      </c>
      <c r="C2784" s="1" t="n">
        <v>194</v>
      </c>
      <c r="D2784" s="1" t="n">
        <v>43</v>
      </c>
      <c r="E2784" s="4">
        <f>IF(INDEX(C:C, ROW())+INDEX(D:D, ROW())=0, 0, INDEX(C:C, ROW())/(INDEX(C:C, ROW())+INDEX(D:D, ROW())))</f>
        <v/>
      </c>
      <c r="F2784" s="1" t="inlineStr">
        <is>
          <t>Array, Math, Greedy, Number Theory</t>
        </is>
      </c>
      <c r="G2784" s="1" t="inlineStr">
        <is>
          <t>Medium</t>
        </is>
      </c>
      <c r="H2784" s="1" t="n">
        <v>17095</v>
      </c>
      <c r="I2784" s="1" t="n">
        <v>48089</v>
      </c>
      <c r="J2784" s="9" t="n">
        <v>0.355</v>
      </c>
      <c r="K2784" s="1" t="inlineStr">
        <is>
          <t>Yes</t>
        </is>
      </c>
      <c r="L2784" s="1" t="inlineStr">
        <is>
          <t>No</t>
        </is>
      </c>
      <c r="M2784" s="1" t="inlineStr">
        <is>
          <t>No</t>
        </is>
      </c>
      <c r="N2784" s="1" t="inlineStr">
        <is>
          <t>Algorithms</t>
        </is>
      </c>
      <c r="O27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85" ht="15.75" customHeight="1" s="12">
      <c r="A2785" s="1" t="n">
        <v>672</v>
      </c>
      <c r="B2785" s="3">
        <f>HYPERLINK("https://leetcode.com/problems/bulb-switcher-ii/", "Bulb Switcher II")</f>
        <v/>
      </c>
      <c r="C2785" s="1" t="n">
        <v>193</v>
      </c>
      <c r="D2785" s="1" t="n">
        <v>244</v>
      </c>
      <c r="E2785" s="4">
        <f>IF(INDEX(C:C, ROW())+INDEX(D:D, ROW())=0, 0, INDEX(C:C, ROW())/(INDEX(C:C, ROW())+INDEX(D:D, ROW())))</f>
        <v/>
      </c>
      <c r="F2785" s="1" t="inlineStr">
        <is>
          <t>Math, Bit Manipulation, Depth-First Search, Breadth-First Search</t>
        </is>
      </c>
      <c r="G2785" s="1" t="inlineStr">
        <is>
          <t>Medium</t>
        </is>
      </c>
      <c r="H2785" s="1" t="n">
        <v>29299</v>
      </c>
      <c r="I2785" s="1" t="n">
        <v>58757</v>
      </c>
      <c r="J2785" s="9" t="n">
        <v>0.499</v>
      </c>
      <c r="K2785" s="1" t="inlineStr">
        <is>
          <t>Yes</t>
        </is>
      </c>
      <c r="L2785" s="1" t="inlineStr">
        <is>
          <t>Yes</t>
        </is>
      </c>
      <c r="M2785" s="1" t="inlineStr">
        <is>
          <t>No</t>
        </is>
      </c>
      <c r="N2785" s="1" t="inlineStr">
        <is>
          <t>Algorithms</t>
        </is>
      </c>
      <c r="O27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86" ht="15.75" customHeight="1" s="12">
      <c r="A2786" s="1" t="n">
        <v>1097</v>
      </c>
      <c r="B2786" s="3">
        <f>HYPERLINK("https://leetcode.com/problems/game-play-analysis-v/", "Game Play Analysis V")</f>
        <v/>
      </c>
      <c r="C2786" s="1" t="n">
        <v>193</v>
      </c>
      <c r="D2786" s="1" t="n">
        <v>36</v>
      </c>
      <c r="E2786" s="4">
        <f>IF(INDEX(C:C, ROW())+INDEX(D:D, ROW())=0, 0, INDEX(C:C, ROW())/(INDEX(C:C, ROW())+INDEX(D:D, ROW())))</f>
        <v/>
      </c>
      <c r="F2786" s="1" t="inlineStr">
        <is>
          <t>Database</t>
        </is>
      </c>
      <c r="G2786" s="1" t="inlineStr">
        <is>
          <t>Hard</t>
        </is>
      </c>
      <c r="H2786" s="1" t="n">
        <v>28388</v>
      </c>
      <c r="I2786" s="1" t="n">
        <v>56321</v>
      </c>
      <c r="J2786" s="9" t="n">
        <v>0.504</v>
      </c>
      <c r="K2786" s="1" t="inlineStr">
        <is>
          <t>No</t>
        </is>
      </c>
      <c r="L2786" s="1" t="inlineStr">
        <is>
          <t>Yes</t>
        </is>
      </c>
      <c r="M2786" s="1" t="inlineStr">
        <is>
          <t>No</t>
        </is>
      </c>
      <c r="N2786" s="1" t="inlineStr">
        <is>
          <t>Database</t>
        </is>
      </c>
      <c r="O27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87" ht="15.75" customHeight="1" s="12">
      <c r="A2787" s="1" t="n">
        <v>2069</v>
      </c>
      <c r="B2787" s="3">
        <f>HYPERLINK("https://leetcode.com/problems/walking-robot-simulation-ii/", "Walking Robot Simulation II")</f>
        <v/>
      </c>
      <c r="C2787" s="1" t="n">
        <v>193</v>
      </c>
      <c r="D2787" s="1" t="n">
        <v>321</v>
      </c>
      <c r="E2787" s="4">
        <f>IF(INDEX(C:C, ROW())+INDEX(D:D, ROW())=0, 0, INDEX(C:C, ROW())/(INDEX(C:C, ROW())+INDEX(D:D, ROW())))</f>
        <v/>
      </c>
      <c r="F2787" s="1" t="inlineStr">
        <is>
          <t>Design, Simulation</t>
        </is>
      </c>
      <c r="G2787" s="1" t="inlineStr">
        <is>
          <t>Medium</t>
        </is>
      </c>
      <c r="H2787" s="1" t="n">
        <v>16697</v>
      </c>
      <c r="I2787" s="1" t="n">
        <v>65381</v>
      </c>
      <c r="J2787" s="9" t="n">
        <v>0.255</v>
      </c>
      <c r="K2787" s="1" t="inlineStr">
        <is>
          <t>Yes</t>
        </is>
      </c>
      <c r="L2787" s="1" t="inlineStr">
        <is>
          <t>No</t>
        </is>
      </c>
      <c r="M2787" s="1" t="inlineStr">
        <is>
          <t>No</t>
        </is>
      </c>
      <c r="N2787" s="1" t="inlineStr">
        <is>
          <t>Algorithms</t>
        </is>
      </c>
      <c r="O27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88" ht="15.75" customHeight="1" s="12">
      <c r="A2788" s="1" t="n">
        <v>2639</v>
      </c>
      <c r="B2788" s="3">
        <f>HYPERLINK("https://leetcode.com/problems/find-the-width-of-columns-of-a-grid/", "Find the Width of Columns of a Grid")</f>
        <v/>
      </c>
      <c r="C2788" s="1" t="n">
        <v>193</v>
      </c>
      <c r="D2788" s="1" t="n">
        <v>54</v>
      </c>
      <c r="E2788" s="4">
        <f>IF(INDEX(C:C, ROW())+INDEX(D:D, ROW())=0, 0, INDEX(C:C, ROW())/(INDEX(C:C, ROW())+INDEX(D:D, ROW())))</f>
        <v/>
      </c>
      <c r="F2788" s="1" t="inlineStr">
        <is>
          <t>Array, Matrix</t>
        </is>
      </c>
      <c r="G2788" s="1" t="inlineStr">
        <is>
          <t>Easy</t>
        </is>
      </c>
      <c r="H2788" s="1" t="n">
        <v>39521</v>
      </c>
      <c r="I2788" s="1" t="n">
        <v>56226</v>
      </c>
      <c r="J2788" s="9" t="n">
        <v>0.703</v>
      </c>
      <c r="K2788" s="1" t="inlineStr">
        <is>
          <t>Yes</t>
        </is>
      </c>
      <c r="L2788" s="1" t="inlineStr">
        <is>
          <t>No</t>
        </is>
      </c>
      <c r="M2788" s="1" t="inlineStr">
        <is>
          <t>No</t>
        </is>
      </c>
      <c r="N2788" s="1" t="inlineStr">
        <is>
          <t>Algorithms</t>
        </is>
      </c>
      <c r="O27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89" ht="15.75" customHeight="1" s="12">
      <c r="A2789" s="1" t="n">
        <v>3014</v>
      </c>
      <c r="B2789" s="3">
        <f>HYPERLINK("https://leetcode.com/problems/minimum-number-of-pushes-to-type-word-i/", "Minimum Number of Pushes to Type Word I")</f>
        <v/>
      </c>
      <c r="C2789" s="1" t="n">
        <v>193</v>
      </c>
      <c r="D2789" s="1" t="n">
        <v>38</v>
      </c>
      <c r="E2789" s="4">
        <f>IF(INDEX(C:C, ROW())+INDEX(D:D, ROW())=0, 0, INDEX(C:C, ROW())/(INDEX(C:C, ROW())+INDEX(D:D, ROW())))</f>
        <v/>
      </c>
      <c r="F2789" s="1" t="inlineStr">
        <is>
          <t>Math, String, Greedy</t>
        </is>
      </c>
      <c r="G2789" s="1" t="inlineStr">
        <is>
          <t>Easy</t>
        </is>
      </c>
      <c r="H2789" s="1" t="n">
        <v>49957</v>
      </c>
      <c r="I2789" s="1" t="n">
        <v>74833</v>
      </c>
      <c r="J2789" s="9" t="n">
        <v>0.668</v>
      </c>
      <c r="K2789" s="1" t="inlineStr">
        <is>
          <t>Yes</t>
        </is>
      </c>
      <c r="L2789" s="1" t="inlineStr">
        <is>
          <t>No</t>
        </is>
      </c>
      <c r="M2789" s="1" t="inlineStr">
        <is>
          <t>No</t>
        </is>
      </c>
      <c r="N2789" s="1" t="inlineStr">
        <is>
          <t>Algorithms</t>
        </is>
      </c>
      <c r="O27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90" ht="15.75" customHeight="1" s="12">
      <c r="A2790" s="1" t="n">
        <v>3196</v>
      </c>
      <c r="B2790" s="3">
        <f>HYPERLINK("https://leetcode.com/problems/maximize-total-cost-of-alternating-subarrays/", "Maximize Total Cost of Alternating Subarrays")</f>
        <v/>
      </c>
      <c r="C2790" s="1" t="n">
        <v>193</v>
      </c>
      <c r="D2790" s="1" t="n">
        <v>29</v>
      </c>
      <c r="E2790" s="4">
        <f>IF(INDEX(C:C, ROW())+INDEX(D:D, ROW())=0, 0, INDEX(C:C, ROW())/(INDEX(C:C, ROW())+INDEX(D:D, ROW())))</f>
        <v/>
      </c>
      <c r="F2790" s="1" t="inlineStr">
        <is>
          <t>Array, Dynamic Programming</t>
        </is>
      </c>
      <c r="G2790" s="1" t="inlineStr">
        <is>
          <t>Medium</t>
        </is>
      </c>
      <c r="H2790" s="1" t="n">
        <v>25171</v>
      </c>
      <c r="I2790" s="1" t="n">
        <v>85513</v>
      </c>
      <c r="J2790" s="9" t="n">
        <v>0.294</v>
      </c>
      <c r="K2790" s="1" t="inlineStr">
        <is>
          <t>Yes</t>
        </is>
      </c>
      <c r="L2790" s="1" t="inlineStr">
        <is>
          <t>No</t>
        </is>
      </c>
      <c r="M2790" s="1" t="inlineStr">
        <is>
          <t>No</t>
        </is>
      </c>
      <c r="N2790" s="1" t="inlineStr">
        <is>
          <t>Algorithms</t>
        </is>
      </c>
      <c r="O27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91" ht="15.75" customHeight="1" s="12">
      <c r="A2791" s="1" t="n">
        <v>2946</v>
      </c>
      <c r="B2791" s="3">
        <f>HYPERLINK("https://leetcode.com/problems/matrix-similarity-after-cyclic-shifts/", "Matrix Similarity After Cyclic Shifts")</f>
        <v/>
      </c>
      <c r="C2791" s="1" t="n">
        <v>192</v>
      </c>
      <c r="D2791" s="1" t="n">
        <v>68</v>
      </c>
      <c r="E2791" s="4">
        <f>IF(INDEX(C:C, ROW())+INDEX(D:D, ROW())=0, 0, INDEX(C:C, ROW())/(INDEX(C:C, ROW())+INDEX(D:D, ROW())))</f>
        <v/>
      </c>
      <c r="F2791" s="1" t="inlineStr">
        <is>
          <t>Array, Math, Matrix, Simulation</t>
        </is>
      </c>
      <c r="G2791" s="1" t="inlineStr">
        <is>
          <t>Easy</t>
        </is>
      </c>
      <c r="H2791" s="1" t="n">
        <v>30233</v>
      </c>
      <c r="I2791" s="1" t="n">
        <v>51124</v>
      </c>
      <c r="J2791" s="9" t="n">
        <v>0.591</v>
      </c>
      <c r="K2791" s="1" t="inlineStr">
        <is>
          <t>Yes</t>
        </is>
      </c>
      <c r="L2791" s="1" t="inlineStr">
        <is>
          <t>No</t>
        </is>
      </c>
      <c r="M2791" s="1" t="inlineStr">
        <is>
          <t>No</t>
        </is>
      </c>
      <c r="N2791" s="1" t="inlineStr">
        <is>
          <t>Algorithms</t>
        </is>
      </c>
      <c r="O27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92" ht="15.75" customHeight="1" s="12">
      <c r="A2792" s="1" t="n">
        <v>3413</v>
      </c>
      <c r="B2792" s="3">
        <f>HYPERLINK("https://leetcode.com/problems/maximum-coins-from-k-consecutive-bags/", "Maximum Coins From K Consecutive Bags")</f>
        <v/>
      </c>
      <c r="C2792" s="1" t="n">
        <v>192</v>
      </c>
      <c r="D2792" s="1" t="n">
        <v>26</v>
      </c>
      <c r="E2792" s="4">
        <f>IF(INDEX(C:C, ROW())+INDEX(D:D, ROW())=0, 0, INDEX(C:C, ROW())/(INDEX(C:C, ROW())+INDEX(D:D, ROW())))</f>
        <v/>
      </c>
      <c r="F2792" s="1" t="inlineStr">
        <is>
          <t>Array, Binary Search, Greedy, Sliding Window, Sorting, Prefix Sum</t>
        </is>
      </c>
      <c r="G2792" s="1" t="inlineStr">
        <is>
          <t>Medium</t>
        </is>
      </c>
      <c r="H2792" s="1" t="n">
        <v>8356</v>
      </c>
      <c r="I2792" s="1" t="n">
        <v>34492</v>
      </c>
      <c r="J2792" s="9" t="n">
        <v>0.242</v>
      </c>
      <c r="K2792" s="1" t="inlineStr">
        <is>
          <t>Yes</t>
        </is>
      </c>
      <c r="L2792" s="1" t="inlineStr">
        <is>
          <t>No</t>
        </is>
      </c>
      <c r="M2792" s="1" t="inlineStr">
        <is>
          <t>No</t>
        </is>
      </c>
      <c r="N2792" s="1" t="inlineStr">
        <is>
          <t>Algorithms</t>
        </is>
      </c>
      <c r="O27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93" ht="15.75" customHeight="1" s="12">
      <c r="A2793" s="1" t="n">
        <v>618</v>
      </c>
      <c r="B2793" s="3">
        <f>HYPERLINK("https://leetcode.com/problems/students-report-by-geography/", "Students Report By Geography")</f>
        <v/>
      </c>
      <c r="C2793" s="1" t="n">
        <v>191</v>
      </c>
      <c r="D2793" s="1" t="n">
        <v>170</v>
      </c>
      <c r="E2793" s="4">
        <f>IF(INDEX(C:C, ROW())+INDEX(D:D, ROW())=0, 0, INDEX(C:C, ROW())/(INDEX(C:C, ROW())+INDEX(D:D, ROW())))</f>
        <v/>
      </c>
      <c r="F2793" s="1" t="inlineStr">
        <is>
          <t>Database</t>
        </is>
      </c>
      <c r="G2793" s="1" t="inlineStr">
        <is>
          <t>Hard</t>
        </is>
      </c>
      <c r="H2793" s="1" t="n">
        <v>28795</v>
      </c>
      <c r="I2793" s="1" t="n">
        <v>45333</v>
      </c>
      <c r="J2793" s="9" t="n">
        <v>0.635</v>
      </c>
      <c r="K2793" s="1" t="inlineStr">
        <is>
          <t>No</t>
        </is>
      </c>
      <c r="L2793" s="1" t="inlineStr">
        <is>
          <t>Yes</t>
        </is>
      </c>
      <c r="M2793" s="1" t="inlineStr">
        <is>
          <t>No</t>
        </is>
      </c>
      <c r="N2793" s="1" t="inlineStr">
        <is>
          <t>Database</t>
        </is>
      </c>
      <c r="O27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94" ht="15.75" customHeight="1" s="12">
      <c r="A2794" s="1" t="n">
        <v>822</v>
      </c>
      <c r="B2794" s="3">
        <f>HYPERLINK("https://leetcode.com/problems/card-flipping-game/", "Card Flipping Game")</f>
        <v/>
      </c>
      <c r="C2794" s="1" t="n">
        <v>191</v>
      </c>
      <c r="D2794" s="1" t="n">
        <v>794</v>
      </c>
      <c r="E2794" s="4">
        <f>IF(INDEX(C:C, ROW())+INDEX(D:D, ROW())=0, 0, INDEX(C:C, ROW())/(INDEX(C:C, ROW())+INDEX(D:D, ROW())))</f>
        <v/>
      </c>
      <c r="F2794" s="1" t="inlineStr">
        <is>
          <t>Array, Hash Table</t>
        </is>
      </c>
      <c r="G2794" s="1" t="inlineStr">
        <is>
          <t>Medium</t>
        </is>
      </c>
      <c r="H2794" s="1" t="n">
        <v>25090</v>
      </c>
      <c r="I2794" s="1" t="n">
        <v>50567</v>
      </c>
      <c r="J2794" s="9" t="n">
        <v>0.496</v>
      </c>
      <c r="K2794" s="1" t="inlineStr">
        <is>
          <t>Yes</t>
        </is>
      </c>
      <c r="L2794" s="1" t="inlineStr">
        <is>
          <t>Yes</t>
        </is>
      </c>
      <c r="M2794" s="1" t="inlineStr">
        <is>
          <t>No</t>
        </is>
      </c>
      <c r="N2794" s="1" t="inlineStr">
        <is>
          <t>Algorithms</t>
        </is>
      </c>
      <c r="O27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95" ht="15.75" customHeight="1" s="12">
      <c r="A2795" s="1" t="n">
        <v>1940</v>
      </c>
      <c r="B2795" s="3">
        <f>HYPERLINK("https://leetcode.com/problems/longest-common-subsequence-between-sorted-arrays/", "Longest Common Subsequence Between Sorted Arrays")</f>
        <v/>
      </c>
      <c r="C2795" s="1" t="n">
        <v>191</v>
      </c>
      <c r="D2795" s="1" t="n">
        <v>7</v>
      </c>
      <c r="E2795" s="4">
        <f>IF(INDEX(C:C, ROW())+INDEX(D:D, ROW())=0, 0, INDEX(C:C, ROW())/(INDEX(C:C, ROW())+INDEX(D:D, ROW())))</f>
        <v/>
      </c>
      <c r="F2795" s="1" t="inlineStr">
        <is>
          <t>Array, Hash Table, Counting</t>
        </is>
      </c>
      <c r="G2795" s="1" t="inlineStr">
        <is>
          <t>Medium</t>
        </is>
      </c>
      <c r="H2795" s="1" t="n">
        <v>14794</v>
      </c>
      <c r="I2795" s="1" t="n">
        <v>18201</v>
      </c>
      <c r="J2795" s="9" t="n">
        <v>0.8129999999999999</v>
      </c>
      <c r="K2795" s="1" t="inlineStr">
        <is>
          <t>No</t>
        </is>
      </c>
      <c r="L2795" s="1" t="inlineStr">
        <is>
          <t>Yes</t>
        </is>
      </c>
      <c r="M2795" s="1" t="inlineStr">
        <is>
          <t>No</t>
        </is>
      </c>
      <c r="N2795" s="1" t="inlineStr">
        <is>
          <t>Algorithms</t>
        </is>
      </c>
      <c r="O27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96" ht="15.75" customHeight="1" s="12">
      <c r="A2796" s="1" t="n">
        <v>3232</v>
      </c>
      <c r="B2796" s="3">
        <f>HYPERLINK("https://leetcode.com/problems/find-if-digit-game-can-be-won/", "Find if Digit Game Can Be Won")</f>
        <v/>
      </c>
      <c r="C2796" s="1" t="n">
        <v>191</v>
      </c>
      <c r="D2796" s="1" t="n">
        <v>11</v>
      </c>
      <c r="E2796" s="4">
        <f>IF(INDEX(C:C, ROW())+INDEX(D:D, ROW())=0, 0, INDEX(C:C, ROW())/(INDEX(C:C, ROW())+INDEX(D:D, ROW())))</f>
        <v/>
      </c>
      <c r="F2796" s="1" t="inlineStr">
        <is>
          <t>Array, Math</t>
        </is>
      </c>
      <c r="G2796" s="1" t="inlineStr">
        <is>
          <t>Easy</t>
        </is>
      </c>
      <c r="H2796" s="1" t="n">
        <v>103915</v>
      </c>
      <c r="I2796" s="1" t="n">
        <v>127605</v>
      </c>
      <c r="J2796" s="9" t="n">
        <v>0.8139999999999999</v>
      </c>
      <c r="K2796" s="1" t="inlineStr">
        <is>
          <t>Yes</t>
        </is>
      </c>
      <c r="L2796" s="1" t="inlineStr">
        <is>
          <t>No</t>
        </is>
      </c>
      <c r="M2796" s="1" t="inlineStr">
        <is>
          <t>No</t>
        </is>
      </c>
      <c r="N2796" s="1" t="inlineStr">
        <is>
          <t>Algorithms</t>
        </is>
      </c>
      <c r="O27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97" ht="15.75" customHeight="1" s="12">
      <c r="A2797" s="1" t="n">
        <v>479</v>
      </c>
      <c r="B2797" s="3">
        <f>HYPERLINK("https://leetcode.com/problems/largest-palindrome-product/", "Largest Palindrome Product")</f>
        <v/>
      </c>
      <c r="C2797" s="1" t="n">
        <v>190</v>
      </c>
      <c r="D2797" s="1" t="n">
        <v>1569</v>
      </c>
      <c r="E2797" s="4">
        <f>IF(INDEX(C:C, ROW())+INDEX(D:D, ROW())=0, 0, INDEX(C:C, ROW())/(INDEX(C:C, ROW())+INDEX(D:D, ROW())))</f>
        <v/>
      </c>
      <c r="F2797" s="1" t="inlineStr">
        <is>
          <t>Math, Enumeration</t>
        </is>
      </c>
      <c r="G2797" s="1" t="inlineStr">
        <is>
          <t>Hard</t>
        </is>
      </c>
      <c r="H2797" s="1" t="n">
        <v>32841</v>
      </c>
      <c r="I2797" s="1" t="n">
        <v>86600</v>
      </c>
      <c r="J2797" s="9" t="n">
        <v>0.379</v>
      </c>
      <c r="K2797" s="1" t="inlineStr">
        <is>
          <t>Yes</t>
        </is>
      </c>
      <c r="L2797" s="1" t="inlineStr">
        <is>
          <t>No</t>
        </is>
      </c>
      <c r="M2797" s="1" t="inlineStr">
        <is>
          <t>No</t>
        </is>
      </c>
      <c r="N2797" s="1" t="inlineStr">
        <is>
          <t>Algorithms</t>
        </is>
      </c>
      <c r="O27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98" ht="15.75" customHeight="1" s="12">
      <c r="A2798" s="1" t="n">
        <v>2291</v>
      </c>
      <c r="B2798" s="3">
        <f>HYPERLINK("https://leetcode.com/problems/maximum-profit-from-trading-stocks/", "Maximum Profit From Trading Stocks")</f>
        <v/>
      </c>
      <c r="C2798" s="1" t="n">
        <v>190</v>
      </c>
      <c r="D2798" s="1" t="n">
        <v>9</v>
      </c>
      <c r="E2798" s="4">
        <f>IF(INDEX(C:C, ROW())+INDEX(D:D, ROW())=0, 0, INDEX(C:C, ROW())/(INDEX(C:C, ROW())+INDEX(D:D, ROW())))</f>
        <v/>
      </c>
      <c r="F2798" s="1" t="inlineStr">
        <is>
          <t>Array, Dynamic Programming</t>
        </is>
      </c>
      <c r="G2798" s="1" t="inlineStr">
        <is>
          <t>Medium</t>
        </is>
      </c>
      <c r="H2798" s="1" t="n">
        <v>16661</v>
      </c>
      <c r="I2798" s="1" t="n">
        <v>35011</v>
      </c>
      <c r="J2798" s="9" t="n">
        <v>0.476</v>
      </c>
      <c r="K2798" s="1" t="inlineStr">
        <is>
          <t>No</t>
        </is>
      </c>
      <c r="L2798" s="1" t="inlineStr">
        <is>
          <t>No</t>
        </is>
      </c>
      <c r="M2798" s="1" t="inlineStr">
        <is>
          <t>No</t>
        </is>
      </c>
      <c r="N2798" s="1" t="inlineStr">
        <is>
          <t>Algorithms</t>
        </is>
      </c>
      <c r="O27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799" ht="15.75" customHeight="1" s="12">
      <c r="A2799" s="1" t="n">
        <v>3404</v>
      </c>
      <c r="B2799" s="3">
        <f>HYPERLINK("https://leetcode.com/problems/count-special-subsequences/", "Count Special Subsequences")</f>
        <v/>
      </c>
      <c r="C2799" s="1" t="n">
        <v>190</v>
      </c>
      <c r="D2799" s="1" t="n">
        <v>27</v>
      </c>
      <c r="E2799" s="4">
        <f>IF(INDEX(C:C, ROW())+INDEX(D:D, ROW())=0, 0, INDEX(C:C, ROW())/(INDEX(C:C, ROW())+INDEX(D:D, ROW())))</f>
        <v/>
      </c>
      <c r="F2799" s="1" t="inlineStr">
        <is>
          <t>Array, Hash Table, Math, Enumeration</t>
        </is>
      </c>
      <c r="G2799" s="1" t="inlineStr">
        <is>
          <t>Medium</t>
        </is>
      </c>
      <c r="H2799" s="1" t="n">
        <v>11141</v>
      </c>
      <c r="I2799" s="1" t="n">
        <v>37542</v>
      </c>
      <c r="J2799" s="9" t="n">
        <v>0.297</v>
      </c>
      <c r="K2799" s="1" t="inlineStr">
        <is>
          <t>Yes</t>
        </is>
      </c>
      <c r="L2799" s="1" t="inlineStr">
        <is>
          <t>No</t>
        </is>
      </c>
      <c r="M2799" s="1" t="inlineStr">
        <is>
          <t>No</t>
        </is>
      </c>
      <c r="N2799" s="1" t="inlineStr">
        <is>
          <t>Algorithms</t>
        </is>
      </c>
      <c r="O27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00" ht="15.75" customHeight="1" s="12">
      <c r="A2800" s="1" t="n">
        <v>1767</v>
      </c>
      <c r="B2800" s="3">
        <f>HYPERLINK("https://leetcode.com/problems/find-the-subtasks-that-did-not-execute/", "Find the Subtasks That Did Not Execute")</f>
        <v/>
      </c>
      <c r="C2800" s="1" t="n">
        <v>189</v>
      </c>
      <c r="D2800" s="1" t="n">
        <v>15</v>
      </c>
      <c r="E2800" s="4">
        <f>IF(INDEX(C:C, ROW())+INDEX(D:D, ROW())=0, 0, INDEX(C:C, ROW())/(INDEX(C:C, ROW())+INDEX(D:D, ROW())))</f>
        <v/>
      </c>
      <c r="F2800" s="1" t="inlineStr">
        <is>
          <t>Database</t>
        </is>
      </c>
      <c r="G2800" s="1" t="inlineStr">
        <is>
          <t>Hard</t>
        </is>
      </c>
      <c r="H2800" s="1" t="n">
        <v>18948</v>
      </c>
      <c r="I2800" s="1" t="n">
        <v>24125</v>
      </c>
      <c r="J2800" s="9" t="n">
        <v>0.785</v>
      </c>
      <c r="K2800" s="1" t="inlineStr">
        <is>
          <t>No</t>
        </is>
      </c>
      <c r="L2800" s="1" t="inlineStr">
        <is>
          <t>No</t>
        </is>
      </c>
      <c r="M2800" s="1" t="inlineStr">
        <is>
          <t>No</t>
        </is>
      </c>
      <c r="N2800" s="1" t="inlineStr">
        <is>
          <t>Database</t>
        </is>
      </c>
      <c r="O28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01" ht="15.75" customHeight="1" s="12">
      <c r="A2801" s="1" t="n">
        <v>3154</v>
      </c>
      <c r="B2801" s="3">
        <f>HYPERLINK("https://leetcode.com/problems/find-number-of-ways-to-reach-the-k-th-stair/", "Find Number of Ways to Reach the K-th Stair")</f>
        <v/>
      </c>
      <c r="C2801" s="1" t="n">
        <v>189</v>
      </c>
      <c r="D2801" s="1" t="n">
        <v>12</v>
      </c>
      <c r="E2801" s="4">
        <f>IF(INDEX(C:C, ROW())+INDEX(D:D, ROW())=0, 0, INDEX(C:C, ROW())/(INDEX(C:C, ROW())+INDEX(D:D, ROW())))</f>
        <v/>
      </c>
      <c r="F2801" s="1" t="inlineStr">
        <is>
          <t>Math, Dynamic Programming, Bit Manipulation, Memoization, Combinatorics</t>
        </is>
      </c>
      <c r="G2801" s="1" t="inlineStr">
        <is>
          <t>Hard</t>
        </is>
      </c>
      <c r="H2801" s="1" t="n">
        <v>15218</v>
      </c>
      <c r="I2801" s="1" t="n">
        <v>40812</v>
      </c>
      <c r="J2801" s="9" t="n">
        <v>0.373</v>
      </c>
      <c r="K2801" s="1" t="inlineStr">
        <is>
          <t>Yes</t>
        </is>
      </c>
      <c r="L2801" s="1" t="inlineStr">
        <is>
          <t>No</t>
        </is>
      </c>
      <c r="M2801" s="1" t="inlineStr">
        <is>
          <t>No</t>
        </is>
      </c>
      <c r="N2801" s="1" t="inlineStr">
        <is>
          <t>Algorithms</t>
        </is>
      </c>
      <c r="O28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02" ht="15.75" customHeight="1" s="12">
      <c r="A2802" s="1" t="n">
        <v>606</v>
      </c>
      <c r="B2802" s="3">
        <f>HYPERLINK("https://leetcode.com/problems/construct-string-from-binary-tree/", "Construct String from Binary Tree")</f>
        <v/>
      </c>
      <c r="C2802" s="1" t="n">
        <v>188</v>
      </c>
      <c r="D2802" s="1" t="n">
        <v>71</v>
      </c>
      <c r="E2802" s="4">
        <f>IF(INDEX(C:C, ROW())+INDEX(D:D, ROW())=0, 0, INDEX(C:C, ROW())/(INDEX(C:C, ROW())+INDEX(D:D, ROW())))</f>
        <v/>
      </c>
      <c r="F2802" s="1" t="inlineStr">
        <is>
          <t>String, Tree, Depth-First Search, Binary Tree</t>
        </is>
      </c>
      <c r="G2802" s="1" t="inlineStr">
        <is>
          <t>Medium</t>
        </is>
      </c>
      <c r="H2802" s="1" t="n">
        <v>350984</v>
      </c>
      <c r="I2802" s="1" t="n">
        <v>497741</v>
      </c>
      <c r="J2802" s="9" t="n">
        <v>0.705</v>
      </c>
      <c r="K2802" s="1" t="inlineStr">
        <is>
          <t>Yes</t>
        </is>
      </c>
      <c r="L2802" s="1" t="inlineStr">
        <is>
          <t>Yes</t>
        </is>
      </c>
      <c r="M2802" s="1" t="inlineStr">
        <is>
          <t>No</t>
        </is>
      </c>
      <c r="N2802" s="1" t="inlineStr">
        <is>
          <t>Algorithms</t>
        </is>
      </c>
      <c r="O28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03" ht="15.75" customHeight="1" s="12">
      <c r="A2803" s="1" t="n">
        <v>1215</v>
      </c>
      <c r="B2803" s="3">
        <f>HYPERLINK("https://leetcode.com/problems/stepping-numbers/", "Stepping Numbers")</f>
        <v/>
      </c>
      <c r="C2803" s="1" t="n">
        <v>188</v>
      </c>
      <c r="D2803" s="1" t="n">
        <v>21</v>
      </c>
      <c r="E2803" s="4">
        <f>IF(INDEX(C:C, ROW())+INDEX(D:D, ROW())=0, 0, INDEX(C:C, ROW())/(INDEX(C:C, ROW())+INDEX(D:D, ROW())))</f>
        <v/>
      </c>
      <c r="F2803" s="1" t="inlineStr">
        <is>
          <t>Math, Backtracking, Breadth-First Search</t>
        </is>
      </c>
      <c r="G2803" s="1" t="inlineStr">
        <is>
          <t>Medium</t>
        </is>
      </c>
      <c r="H2803" s="1" t="n">
        <v>10985</v>
      </c>
      <c r="I2803" s="1" t="n">
        <v>22855</v>
      </c>
      <c r="J2803" s="9" t="n">
        <v>0.481</v>
      </c>
      <c r="K2803" s="1" t="inlineStr">
        <is>
          <t>No</t>
        </is>
      </c>
      <c r="L2803" s="1" t="inlineStr">
        <is>
          <t>No</t>
        </is>
      </c>
      <c r="M2803" s="1" t="inlineStr">
        <is>
          <t>No</t>
        </is>
      </c>
      <c r="N2803" s="1" t="inlineStr">
        <is>
          <t>Algorithms</t>
        </is>
      </c>
      <c r="O28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04" ht="15.75" customHeight="1" s="12">
      <c r="A2804" s="1" t="n">
        <v>1127</v>
      </c>
      <c r="B2804" s="3">
        <f>HYPERLINK("https://leetcode.com/problems/user-purchase-platform/", "User Purchase Platform")</f>
        <v/>
      </c>
      <c r="C2804" s="1" t="n">
        <v>187</v>
      </c>
      <c r="D2804" s="1" t="n">
        <v>138</v>
      </c>
      <c r="E2804" s="4">
        <f>IF(INDEX(C:C, ROW())+INDEX(D:D, ROW())=0, 0, INDEX(C:C, ROW())/(INDEX(C:C, ROW())+INDEX(D:D, ROW())))</f>
        <v/>
      </c>
      <c r="F2804" s="1" t="inlineStr">
        <is>
          <t>Database</t>
        </is>
      </c>
      <c r="G2804" s="1" t="inlineStr">
        <is>
          <t>Hard</t>
        </is>
      </c>
      <c r="H2804" s="1" t="n">
        <v>19359</v>
      </c>
      <c r="I2804" s="1" t="n">
        <v>41676</v>
      </c>
      <c r="J2804" s="9" t="n">
        <v>0.465</v>
      </c>
      <c r="K2804" s="1" t="inlineStr">
        <is>
          <t>No</t>
        </is>
      </c>
      <c r="L2804" s="1" t="inlineStr">
        <is>
          <t>No</t>
        </is>
      </c>
      <c r="M2804" s="1" t="inlineStr">
        <is>
          <t>No</t>
        </is>
      </c>
      <c r="N2804" s="1" t="inlineStr">
        <is>
          <t>Database</t>
        </is>
      </c>
      <c r="O28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05" ht="15.75" customHeight="1" s="12">
      <c r="A2805" s="1" t="n">
        <v>1241</v>
      </c>
      <c r="B2805" s="3">
        <f>HYPERLINK("https://leetcode.com/problems/number-of-comments-per-post/", "Number of Comments per Post")</f>
        <v/>
      </c>
      <c r="C2805" s="1" t="n">
        <v>187</v>
      </c>
      <c r="D2805" s="1" t="n">
        <v>545</v>
      </c>
      <c r="E2805" s="4">
        <f>IF(INDEX(C:C, ROW())+INDEX(D:D, ROW())=0, 0, INDEX(C:C, ROW())/(INDEX(C:C, ROW())+INDEX(D:D, ROW())))</f>
        <v/>
      </c>
      <c r="F2805" s="1" t="inlineStr">
        <is>
          <t>Database</t>
        </is>
      </c>
      <c r="G2805" s="1" t="inlineStr">
        <is>
          <t>Easy</t>
        </is>
      </c>
      <c r="H2805" s="1" t="n">
        <v>40725</v>
      </c>
      <c r="I2805" s="1" t="n">
        <v>61961</v>
      </c>
      <c r="J2805" s="9" t="n">
        <v>0.657</v>
      </c>
      <c r="K2805" s="1" t="inlineStr">
        <is>
          <t>No</t>
        </is>
      </c>
      <c r="L2805" s="1" t="inlineStr">
        <is>
          <t>No</t>
        </is>
      </c>
      <c r="M2805" s="1" t="inlineStr">
        <is>
          <t>No</t>
        </is>
      </c>
      <c r="N2805" s="1" t="inlineStr">
        <is>
          <t>Database</t>
        </is>
      </c>
      <c r="O28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06" ht="15.75" customHeight="1" s="12">
      <c r="A2806" s="1" t="n">
        <v>3185</v>
      </c>
      <c r="B2806" s="3">
        <f>HYPERLINK("https://leetcode.com/problems/count-pairs-that-form-a-complete-day-ii/", "Count Pairs That Form a Complete Day II")</f>
        <v/>
      </c>
      <c r="C2806" s="1" t="n">
        <v>187</v>
      </c>
      <c r="D2806" s="1" t="n">
        <v>12</v>
      </c>
      <c r="E2806" s="4">
        <f>IF(INDEX(C:C, ROW())+INDEX(D:D, ROW())=0, 0, INDEX(C:C, ROW())/(INDEX(C:C, ROW())+INDEX(D:D, ROW())))</f>
        <v/>
      </c>
      <c r="F2806" s="1" t="inlineStr">
        <is>
          <t>Array, Hash Table, Counting</t>
        </is>
      </c>
      <c r="G2806" s="1" t="inlineStr">
        <is>
          <t>Medium</t>
        </is>
      </c>
      <c r="H2806" s="1" t="n">
        <v>47440</v>
      </c>
      <c r="I2806" s="1" t="n">
        <v>109059</v>
      </c>
      <c r="J2806" s="9" t="n">
        <v>0.435</v>
      </c>
      <c r="K2806" s="1" t="inlineStr">
        <is>
          <t>Yes</t>
        </is>
      </c>
      <c r="L2806" s="1" t="inlineStr">
        <is>
          <t>No</t>
        </is>
      </c>
      <c r="M2806" s="1" t="inlineStr">
        <is>
          <t>No</t>
        </is>
      </c>
      <c r="N2806" s="1" t="inlineStr">
        <is>
          <t>Algorithms</t>
        </is>
      </c>
      <c r="O28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07" ht="15.75" customHeight="1" s="12">
      <c r="A2807" s="1" t="n">
        <v>3290</v>
      </c>
      <c r="B2807" s="3">
        <f>HYPERLINK("https://leetcode.com/problems/maximum-multiplication-score/", "Maximum Multiplication Score")</f>
        <v/>
      </c>
      <c r="C2807" s="1" t="n">
        <v>187</v>
      </c>
      <c r="D2807" s="1" t="n">
        <v>14</v>
      </c>
      <c r="E2807" s="4">
        <f>IF(INDEX(C:C, ROW())+INDEX(D:D, ROW())=0, 0, INDEX(C:C, ROW())/(INDEX(C:C, ROW())+INDEX(D:D, ROW())))</f>
        <v/>
      </c>
      <c r="F2807" s="1" t="inlineStr">
        <is>
          <t>Array, Dynamic Programming</t>
        </is>
      </c>
      <c r="G2807" s="1" t="inlineStr">
        <is>
          <t>Medium</t>
        </is>
      </c>
      <c r="H2807" s="1" t="n">
        <v>35959</v>
      </c>
      <c r="I2807" s="1" t="n">
        <v>87313</v>
      </c>
      <c r="J2807" s="9" t="n">
        <v>0.412</v>
      </c>
      <c r="K2807" s="1" t="inlineStr">
        <is>
          <t>Yes</t>
        </is>
      </c>
      <c r="L2807" s="1" t="inlineStr">
        <is>
          <t>No</t>
        </is>
      </c>
      <c r="M2807" s="1" t="inlineStr">
        <is>
          <t>No</t>
        </is>
      </c>
      <c r="N2807" s="1" t="inlineStr">
        <is>
          <t>Algorithms</t>
        </is>
      </c>
      <c r="O28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08" ht="15.75" customHeight="1" s="12">
      <c r="A2808" s="1" t="n">
        <v>2930</v>
      </c>
      <c r="B2808" s="3">
        <f>HYPERLINK("https://leetcode.com/problems/number-of-strings-which-can-be-rearranged-to-contain-substring/", "Number of Strings Which Can Be Rearranged to Contain Substring")</f>
        <v/>
      </c>
      <c r="C2808" s="1" t="n">
        <v>186</v>
      </c>
      <c r="D2808" s="1" t="n">
        <v>72</v>
      </c>
      <c r="E2808" s="4">
        <f>IF(INDEX(C:C, ROW())+INDEX(D:D, ROW())=0, 0, INDEX(C:C, ROW())/(INDEX(C:C, ROW())+INDEX(D:D, ROW())))</f>
        <v/>
      </c>
      <c r="F2808" s="1" t="inlineStr">
        <is>
          <t>Math, Dynamic Programming, Combinatorics</t>
        </is>
      </c>
      <c r="G2808" s="1" t="inlineStr">
        <is>
          <t>Medium</t>
        </is>
      </c>
      <c r="H2808" s="1" t="n">
        <v>8600</v>
      </c>
      <c r="I2808" s="1" t="n">
        <v>15161</v>
      </c>
      <c r="J2808" s="9" t="n">
        <v>0.5669999999999999</v>
      </c>
      <c r="K2808" s="1" t="inlineStr">
        <is>
          <t>Yes</t>
        </is>
      </c>
      <c r="L2808" s="1" t="inlineStr">
        <is>
          <t>No</t>
        </is>
      </c>
      <c r="M2808" s="1" t="inlineStr">
        <is>
          <t>No</t>
        </is>
      </c>
      <c r="N2808" s="1" t="inlineStr">
        <is>
          <t>Algorithms</t>
        </is>
      </c>
      <c r="O28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09" ht="15.75" customHeight="1" s="12">
      <c r="A2809" s="1" t="n">
        <v>3040</v>
      </c>
      <c r="B2809" s="3">
        <f>HYPERLINK("https://leetcode.com/problems/maximum-number-of-operations-with-the-same-score-ii/", "Maximum Number of Operations With the Same Score II")</f>
        <v/>
      </c>
      <c r="C2809" s="1" t="n">
        <v>186</v>
      </c>
      <c r="D2809" s="1" t="n">
        <v>16</v>
      </c>
      <c r="E2809" s="4">
        <f>IF(INDEX(C:C, ROW())+INDEX(D:D, ROW())=0, 0, INDEX(C:C, ROW())/(INDEX(C:C, ROW())+INDEX(D:D, ROW())))</f>
        <v/>
      </c>
      <c r="F2809" s="1" t="inlineStr">
        <is>
          <t>Array, Dynamic Programming, Memoization</t>
        </is>
      </c>
      <c r="G2809" s="1" t="inlineStr">
        <is>
          <t>Medium</t>
        </is>
      </c>
      <c r="H2809" s="1" t="n">
        <v>24856</v>
      </c>
      <c r="I2809" s="1" t="n">
        <v>73169</v>
      </c>
      <c r="J2809" s="9" t="n">
        <v>0.34</v>
      </c>
      <c r="K2809" s="1" t="inlineStr">
        <is>
          <t>Yes</t>
        </is>
      </c>
      <c r="L2809" s="1" t="inlineStr">
        <is>
          <t>No</t>
        </is>
      </c>
      <c r="M2809" s="1" t="inlineStr">
        <is>
          <t>No</t>
        </is>
      </c>
      <c r="N2809" s="1" t="inlineStr">
        <is>
          <t>Algorithms</t>
        </is>
      </c>
      <c r="O28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10" ht="15.75" customHeight="1" s="12">
      <c r="A2810" s="1" t="n">
        <v>1830</v>
      </c>
      <c r="B2810" s="3">
        <f>HYPERLINK("https://leetcode.com/problems/minimum-number-of-operations-to-make-string-sorted/", "Minimum Number of Operations to Make String Sorted")</f>
        <v/>
      </c>
      <c r="C2810" s="1" t="n">
        <v>185</v>
      </c>
      <c r="D2810" s="1" t="n">
        <v>131</v>
      </c>
      <c r="E2810" s="4">
        <f>IF(INDEX(C:C, ROW())+INDEX(D:D, ROW())=0, 0, INDEX(C:C, ROW())/(INDEX(C:C, ROW())+INDEX(D:D, ROW())))</f>
        <v/>
      </c>
      <c r="F2810" s="1" t="inlineStr">
        <is>
          <t>Math, String, Combinatorics</t>
        </is>
      </c>
      <c r="G2810" s="1" t="inlineStr">
        <is>
          <t>Hard</t>
        </is>
      </c>
      <c r="H2810" s="1" t="n">
        <v>5333</v>
      </c>
      <c r="I2810" s="1" t="n">
        <v>10536</v>
      </c>
      <c r="J2810" s="9" t="n">
        <v>0.506</v>
      </c>
      <c r="K2810" s="1" t="inlineStr">
        <is>
          <t>Yes</t>
        </is>
      </c>
      <c r="L2810" s="1" t="inlineStr">
        <is>
          <t>No</t>
        </is>
      </c>
      <c r="M2810" s="1" t="inlineStr">
        <is>
          <t>No</t>
        </is>
      </c>
      <c r="N2810" s="1" t="inlineStr">
        <is>
          <t>Algorithms</t>
        </is>
      </c>
      <c r="O28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11" ht="15.75" customHeight="1" s="12">
      <c r="A2811" s="1" t="n">
        <v>2031</v>
      </c>
      <c r="B2811" s="3">
        <f>HYPERLINK("https://leetcode.com/problems/count-subarrays-with-more-ones-than-zeros/", "Count Subarrays With More Ones Than Zeros")</f>
        <v/>
      </c>
      <c r="C2811" s="1" t="n">
        <v>185</v>
      </c>
      <c r="D2811" s="1" t="n">
        <v>17</v>
      </c>
      <c r="E2811" s="4">
        <f>IF(INDEX(C:C, ROW())+INDEX(D:D, ROW())=0, 0, INDEX(C:C, ROW())/(INDEX(C:C, ROW())+INDEX(D:D, ROW())))</f>
        <v/>
      </c>
      <c r="F2811" s="1" t="inlineStr">
        <is>
          <t>Array, Hash Table, Binary Search, Divide and Conquer, Binary Indexed Tree, Segment Tree, Merge Sort, Ordered Set</t>
        </is>
      </c>
      <c r="G2811" s="1" t="inlineStr">
        <is>
          <t>Medium</t>
        </is>
      </c>
      <c r="H2811" s="1" t="n">
        <v>5240</v>
      </c>
      <c r="I2811" s="1" t="n">
        <v>10673</v>
      </c>
      <c r="J2811" s="9" t="n">
        <v>0.491</v>
      </c>
      <c r="K2811" s="1" t="inlineStr">
        <is>
          <t>No</t>
        </is>
      </c>
      <c r="L2811" s="1" t="inlineStr">
        <is>
          <t>No</t>
        </is>
      </c>
      <c r="M2811" s="1" t="inlineStr">
        <is>
          <t>No</t>
        </is>
      </c>
      <c r="N2811" s="1" t="inlineStr">
        <is>
          <t>Algorithms</t>
        </is>
      </c>
      <c r="O28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12" ht="15.75" customHeight="1" s="12">
      <c r="A2812" s="1" t="n">
        <v>2923</v>
      </c>
      <c r="B2812" s="3">
        <f>HYPERLINK("https://leetcode.com/problems/find-champion-i/", "Find Champion I")</f>
        <v/>
      </c>
      <c r="C2812" s="1" t="n">
        <v>185</v>
      </c>
      <c r="D2812" s="1" t="n">
        <v>52</v>
      </c>
      <c r="E2812" s="4">
        <f>IF(INDEX(C:C, ROW())+INDEX(D:D, ROW())=0, 0, INDEX(C:C, ROW())/(INDEX(C:C, ROW())+INDEX(D:D, ROW())))</f>
        <v/>
      </c>
      <c r="F2812" s="1" t="inlineStr">
        <is>
          <t>Array, Matrix</t>
        </is>
      </c>
      <c r="G2812" s="1" t="inlineStr">
        <is>
          <t>Easy</t>
        </is>
      </c>
      <c r="H2812" s="1" t="n">
        <v>51500</v>
      </c>
      <c r="I2812" s="1" t="n">
        <v>70443</v>
      </c>
      <c r="J2812" s="9" t="n">
        <v>0.731</v>
      </c>
      <c r="K2812" s="1" t="inlineStr">
        <is>
          <t>Yes</t>
        </is>
      </c>
      <c r="L2812" s="1" t="inlineStr">
        <is>
          <t>No</t>
        </is>
      </c>
      <c r="M2812" s="1" t="inlineStr">
        <is>
          <t>No</t>
        </is>
      </c>
      <c r="N2812" s="1" t="inlineStr">
        <is>
          <t>Algorithms</t>
        </is>
      </c>
      <c r="O28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13" ht="15.75" customHeight="1" s="12">
      <c r="A2813" s="1" t="n">
        <v>3102</v>
      </c>
      <c r="B2813" s="3">
        <f>HYPERLINK("https://leetcode.com/problems/minimize-manhattan-distances/", "Minimize Manhattan Distances")</f>
        <v/>
      </c>
      <c r="C2813" s="1" t="n">
        <v>185</v>
      </c>
      <c r="D2813" s="1" t="n">
        <v>15</v>
      </c>
      <c r="E2813" s="4">
        <f>IF(INDEX(C:C, ROW())+INDEX(D:D, ROW())=0, 0, INDEX(C:C, ROW())/(INDEX(C:C, ROW())+INDEX(D:D, ROW())))</f>
        <v/>
      </c>
      <c r="F2813" s="1" t="inlineStr">
        <is>
          <t>Array, Math, Geometry, Sorting, Ordered Set</t>
        </is>
      </c>
      <c r="G2813" s="1" t="inlineStr">
        <is>
          <t>Hard</t>
        </is>
      </c>
      <c r="H2813" s="1" t="n">
        <v>10428</v>
      </c>
      <c r="I2813" s="1" t="n">
        <v>31987</v>
      </c>
      <c r="J2813" s="9" t="n">
        <v>0.326</v>
      </c>
      <c r="K2813" s="1" t="inlineStr">
        <is>
          <t>Yes</t>
        </is>
      </c>
      <c r="L2813" s="1" t="inlineStr">
        <is>
          <t>No</t>
        </is>
      </c>
      <c r="M2813" s="1" t="inlineStr">
        <is>
          <t>No</t>
        </is>
      </c>
      <c r="N2813" s="1" t="inlineStr">
        <is>
          <t>Algorithms</t>
        </is>
      </c>
      <c r="O28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14" ht="15.75" customHeight="1" s="12">
      <c r="A2814" s="1" t="n">
        <v>574</v>
      </c>
      <c r="B2814" s="3">
        <f>HYPERLINK("https://leetcode.com/problems/winning-candidate/", "Winning Candidate")</f>
        <v/>
      </c>
      <c r="C2814" s="1" t="n">
        <v>184</v>
      </c>
      <c r="D2814" s="1" t="n">
        <v>414</v>
      </c>
      <c r="E2814" s="4">
        <f>IF(INDEX(C:C, ROW())+INDEX(D:D, ROW())=0, 0, INDEX(C:C, ROW())/(INDEX(C:C, ROW())+INDEX(D:D, ROW())))</f>
        <v/>
      </c>
      <c r="F2814" s="1" t="inlineStr">
        <is>
          <t>Database</t>
        </is>
      </c>
      <c r="G2814" s="1" t="inlineStr">
        <is>
          <t>Medium</t>
        </is>
      </c>
      <c r="H2814" s="1" t="n">
        <v>76263</v>
      </c>
      <c r="I2814" s="1" t="n">
        <v>122037</v>
      </c>
      <c r="J2814" s="9" t="n">
        <v>0.625</v>
      </c>
      <c r="K2814" s="1" t="inlineStr">
        <is>
          <t>No</t>
        </is>
      </c>
      <c r="L2814" s="1" t="inlineStr">
        <is>
          <t>Yes</t>
        </is>
      </c>
      <c r="M2814" s="1" t="inlineStr">
        <is>
          <t>No</t>
        </is>
      </c>
      <c r="N2814" s="1" t="inlineStr">
        <is>
          <t>Database</t>
        </is>
      </c>
      <c r="O28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15" ht="15.75" customHeight="1" s="12">
      <c r="A2815" s="1" t="n">
        <v>1350</v>
      </c>
      <c r="B2815" s="3">
        <f>HYPERLINK("https://leetcode.com/problems/students-with-invalid-departments/", "Students With Invalid Departments")</f>
        <v/>
      </c>
      <c r="C2815" s="1" t="n">
        <v>184</v>
      </c>
      <c r="D2815" s="1" t="n">
        <v>9</v>
      </c>
      <c r="E2815" s="4">
        <f>IF(INDEX(C:C, ROW())+INDEX(D:D, ROW())=0, 0, INDEX(C:C, ROW())/(INDEX(C:C, ROW())+INDEX(D:D, ROW())))</f>
        <v/>
      </c>
      <c r="F2815" s="1" t="inlineStr">
        <is>
          <t>Database</t>
        </is>
      </c>
      <c r="G2815" s="1" t="inlineStr">
        <is>
          <t>Easy</t>
        </is>
      </c>
      <c r="H2815" s="1" t="n">
        <v>65680</v>
      </c>
      <c r="I2815" s="1" t="n">
        <v>73117</v>
      </c>
      <c r="J2815" s="9" t="n">
        <v>0.898</v>
      </c>
      <c r="K2815" s="1" t="inlineStr">
        <is>
          <t>No</t>
        </is>
      </c>
      <c r="L2815" s="1" t="inlineStr">
        <is>
          <t>No</t>
        </is>
      </c>
      <c r="M2815" s="1" t="inlineStr">
        <is>
          <t>No</t>
        </is>
      </c>
      <c r="N2815" s="1" t="inlineStr">
        <is>
          <t>Database</t>
        </is>
      </c>
      <c r="O28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16" ht="15.75" customHeight="1" s="12">
      <c r="A2816" s="1" t="n">
        <v>1973</v>
      </c>
      <c r="B2816" s="3">
        <f>HYPERLINK("https://leetcode.com/problems/count-nodes-equal-to-sum-of-descendants/", "Count Nodes Equal to Sum of Descendants")</f>
        <v/>
      </c>
      <c r="C2816" s="1" t="n">
        <v>184</v>
      </c>
      <c r="D2816" s="1" t="n">
        <v>10</v>
      </c>
      <c r="E2816" s="4">
        <f>IF(INDEX(C:C, ROW())+INDEX(D:D, ROW())=0, 0, INDEX(C:C, ROW())/(INDEX(C:C, ROW())+INDEX(D:D, ROW())))</f>
        <v/>
      </c>
      <c r="F2816" s="1" t="inlineStr">
        <is>
          <t>Tree, Depth-First Search, Binary Tree</t>
        </is>
      </c>
      <c r="G2816" s="1" t="inlineStr">
        <is>
          <t>Medium</t>
        </is>
      </c>
      <c r="H2816" s="1" t="n">
        <v>15688</v>
      </c>
      <c r="I2816" s="1" t="n">
        <v>20291</v>
      </c>
      <c r="J2816" s="9" t="n">
        <v>0.773</v>
      </c>
      <c r="K2816" s="1" t="inlineStr">
        <is>
          <t>No</t>
        </is>
      </c>
      <c r="L2816" s="1" t="inlineStr">
        <is>
          <t>Yes</t>
        </is>
      </c>
      <c r="M2816" s="1" t="inlineStr">
        <is>
          <t>No</t>
        </is>
      </c>
      <c r="N2816" s="1" t="inlineStr">
        <is>
          <t>Algorithms</t>
        </is>
      </c>
      <c r="O28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17" ht="15.75" customHeight="1" s="12">
      <c r="A2817" s="1" t="n">
        <v>3146</v>
      </c>
      <c r="B2817" s="3">
        <f>HYPERLINK("https://leetcode.com/problems/permutation-difference-between-two-strings/", "Permutation Difference between Two Strings")</f>
        <v/>
      </c>
      <c r="C2817" s="1" t="n">
        <v>184</v>
      </c>
      <c r="D2817" s="1" t="n">
        <v>17</v>
      </c>
      <c r="E2817" s="4">
        <f>IF(INDEX(C:C, ROW())+INDEX(D:D, ROW())=0, 0, INDEX(C:C, ROW())/(INDEX(C:C, ROW())+INDEX(D:D, ROW())))</f>
        <v/>
      </c>
      <c r="F2817" s="1" t="inlineStr">
        <is>
          <t>Hash Table, String</t>
        </is>
      </c>
      <c r="G2817" s="1" t="inlineStr">
        <is>
          <t>Easy</t>
        </is>
      </c>
      <c r="H2817" s="1" t="n">
        <v>105188</v>
      </c>
      <c r="I2817" s="1" t="n">
        <v>120052</v>
      </c>
      <c r="J2817" s="9" t="n">
        <v>0.876</v>
      </c>
      <c r="K2817" s="1" t="inlineStr">
        <is>
          <t>Yes</t>
        </is>
      </c>
      <c r="L2817" s="1" t="inlineStr">
        <is>
          <t>No</t>
        </is>
      </c>
      <c r="M2817" s="1" t="inlineStr">
        <is>
          <t>No</t>
        </is>
      </c>
      <c r="N2817" s="1" t="inlineStr">
        <is>
          <t>Algorithms</t>
        </is>
      </c>
      <c r="O28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18" ht="15.75" customHeight="1" s="12">
      <c r="A2818" s="1" t="n">
        <v>411</v>
      </c>
      <c r="B2818" s="3">
        <f>HYPERLINK("https://leetcode.com/problems/minimum-unique-word-abbreviation/", "Minimum Unique Word Abbreviation")</f>
        <v/>
      </c>
      <c r="C2818" s="1" t="n">
        <v>183</v>
      </c>
      <c r="D2818" s="1" t="n">
        <v>146</v>
      </c>
      <c r="E2818" s="4">
        <f>IF(INDEX(C:C, ROW())+INDEX(D:D, ROW())=0, 0, INDEX(C:C, ROW())/(INDEX(C:C, ROW())+INDEX(D:D, ROW())))</f>
        <v/>
      </c>
      <c r="F2818" s="1" t="inlineStr">
        <is>
          <t>Array, String, Backtracking, Bit Manipulation</t>
        </is>
      </c>
      <c r="G2818" s="1" t="inlineStr">
        <is>
          <t>Hard</t>
        </is>
      </c>
      <c r="H2818" s="1" t="n">
        <v>15587</v>
      </c>
      <c r="I2818" s="1" t="n">
        <v>38632</v>
      </c>
      <c r="J2818" s="9" t="n">
        <v>0.403</v>
      </c>
      <c r="K2818" s="1" t="inlineStr">
        <is>
          <t>No</t>
        </is>
      </c>
      <c r="L2818" s="1" t="inlineStr">
        <is>
          <t>No</t>
        </is>
      </c>
      <c r="M2818" s="1" t="inlineStr">
        <is>
          <t>No</t>
        </is>
      </c>
      <c r="N2818" s="1" t="inlineStr">
        <is>
          <t>Algorithms</t>
        </is>
      </c>
      <c r="O28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19" ht="15.75" customHeight="1" s="12">
      <c r="A2819" s="1" t="n">
        <v>2851</v>
      </c>
      <c r="B2819" s="3">
        <f>HYPERLINK("https://leetcode.com/problems/string-transformation/", "String Transformation")</f>
        <v/>
      </c>
      <c r="C2819" s="1" t="n">
        <v>183</v>
      </c>
      <c r="D2819" s="1" t="n">
        <v>49</v>
      </c>
      <c r="E2819" s="4">
        <f>IF(INDEX(C:C, ROW())+INDEX(D:D, ROW())=0, 0, INDEX(C:C, ROW())/(INDEX(C:C, ROW())+INDEX(D:D, ROW())))</f>
        <v/>
      </c>
      <c r="F2819" s="1" t="inlineStr">
        <is>
          <t>Math, String, Dynamic Programming, String Matching</t>
        </is>
      </c>
      <c r="G2819" s="1" t="inlineStr">
        <is>
          <t>Hard</t>
        </is>
      </c>
      <c r="H2819" s="1" t="n">
        <v>6671</v>
      </c>
      <c r="I2819" s="1" t="n">
        <v>25168</v>
      </c>
      <c r="J2819" s="9" t="n">
        <v>0.265</v>
      </c>
      <c r="K2819" s="1" t="inlineStr">
        <is>
          <t>Yes</t>
        </is>
      </c>
      <c r="L2819" s="1" t="inlineStr">
        <is>
          <t>No</t>
        </is>
      </c>
      <c r="M2819" s="1" t="inlineStr">
        <is>
          <t>No</t>
        </is>
      </c>
      <c r="N2819" s="1" t="inlineStr">
        <is>
          <t>Algorithms</t>
        </is>
      </c>
      <c r="O28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20" ht="15.75" customHeight="1" s="12">
      <c r="A2820" s="1" t="n">
        <v>3001</v>
      </c>
      <c r="B2820" s="3">
        <f>HYPERLINK("https://leetcode.com/problems/minimum-moves-to-capture-the-queen/", "Minimum Moves to Capture The Queen")</f>
        <v/>
      </c>
      <c r="C2820" s="1" t="n">
        <v>183</v>
      </c>
      <c r="D2820" s="1" t="n">
        <v>206</v>
      </c>
      <c r="E2820" s="4">
        <f>IF(INDEX(C:C, ROW())+INDEX(D:D, ROW())=0, 0, INDEX(C:C, ROW())/(INDEX(C:C, ROW())+INDEX(D:D, ROW())))</f>
        <v/>
      </c>
      <c r="F2820" s="1" t="inlineStr">
        <is>
          <t>Math, Enumeration</t>
        </is>
      </c>
      <c r="G2820" s="1" t="inlineStr">
        <is>
          <t>Medium</t>
        </is>
      </c>
      <c r="H2820" s="1" t="n">
        <v>22186</v>
      </c>
      <c r="I2820" s="1" t="n">
        <v>100250</v>
      </c>
      <c r="J2820" s="9" t="n">
        <v>0.221</v>
      </c>
      <c r="K2820" s="1" t="inlineStr">
        <is>
          <t>Yes</t>
        </is>
      </c>
      <c r="L2820" s="1" t="inlineStr">
        <is>
          <t>No</t>
        </is>
      </c>
      <c r="M2820" s="1" t="inlineStr">
        <is>
          <t>No</t>
        </is>
      </c>
      <c r="N2820" s="1" t="inlineStr">
        <is>
          <t>Algorithms</t>
        </is>
      </c>
      <c r="O28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21" ht="15.75" customHeight="1" s="12">
      <c r="A2821" s="1" t="n">
        <v>2860</v>
      </c>
      <c r="B2821" s="3">
        <f>HYPERLINK("https://leetcode.com/problems/happy-students/", "Happy Students")</f>
        <v/>
      </c>
      <c r="C2821" s="1" t="n">
        <v>182</v>
      </c>
      <c r="D2821" s="1" t="n">
        <v>309</v>
      </c>
      <c r="E2821" s="4">
        <f>IF(INDEX(C:C, ROW())+INDEX(D:D, ROW())=0, 0, INDEX(C:C, ROW())/(INDEX(C:C, ROW())+INDEX(D:D, ROW())))</f>
        <v/>
      </c>
      <c r="F2821" s="1" t="inlineStr">
        <is>
          <t>Array, Sorting, Enumeration</t>
        </is>
      </c>
      <c r="G2821" s="1" t="inlineStr">
        <is>
          <t>Medium</t>
        </is>
      </c>
      <c r="H2821" s="1" t="n">
        <v>25062</v>
      </c>
      <c r="I2821" s="1" t="n">
        <v>49414</v>
      </c>
      <c r="J2821" s="9" t="n">
        <v>0.507</v>
      </c>
      <c r="K2821" s="1" t="inlineStr">
        <is>
          <t>Yes</t>
        </is>
      </c>
      <c r="L2821" s="1" t="inlineStr">
        <is>
          <t>No</t>
        </is>
      </c>
      <c r="M2821" s="1" t="inlineStr">
        <is>
          <t>No</t>
        </is>
      </c>
      <c r="N2821" s="1" t="inlineStr">
        <is>
          <t>Algorithms</t>
        </is>
      </c>
      <c r="O28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22" ht="15.75" customHeight="1" s="12">
      <c r="A2822" s="1" t="n">
        <v>2932</v>
      </c>
      <c r="B2822" s="3">
        <f>HYPERLINK("https://leetcode.com/problems/maximum-strong-pair-xor-i/", "Maximum Strong Pair XOR I")</f>
        <v/>
      </c>
      <c r="C2822" s="1" t="n">
        <v>182</v>
      </c>
      <c r="D2822" s="1" t="n">
        <v>27</v>
      </c>
      <c r="E2822" s="4">
        <f>IF(INDEX(C:C, ROW())+INDEX(D:D, ROW())=0, 0, INDEX(C:C, ROW())/(INDEX(C:C, ROW())+INDEX(D:D, ROW())))</f>
        <v/>
      </c>
      <c r="F2822" s="1" t="inlineStr">
        <is>
          <t>Array, Hash Table, Bit Manipulation, Trie, Sliding Window</t>
        </is>
      </c>
      <c r="G2822" s="1" t="inlineStr">
        <is>
          <t>Easy</t>
        </is>
      </c>
      <c r="H2822" s="1" t="n">
        <v>56047</v>
      </c>
      <c r="I2822" s="1" t="n">
        <v>73967</v>
      </c>
      <c r="J2822" s="9" t="n">
        <v>0.758</v>
      </c>
      <c r="K2822" s="1" t="inlineStr">
        <is>
          <t>Yes</t>
        </is>
      </c>
      <c r="L2822" s="1" t="inlineStr">
        <is>
          <t>No</t>
        </is>
      </c>
      <c r="M2822" s="1" t="inlineStr">
        <is>
          <t>No</t>
        </is>
      </c>
      <c r="N2822" s="1" t="inlineStr">
        <is>
          <t>Algorithms</t>
        </is>
      </c>
      <c r="O28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23" ht="15.75" customHeight="1" s="12">
      <c r="A2823" s="1" t="n">
        <v>3093</v>
      </c>
      <c r="B2823" s="3">
        <f>HYPERLINK("https://leetcode.com/problems/longest-common-suffix-queries/", "Longest Common Suffix Queries")</f>
        <v/>
      </c>
      <c r="C2823" s="1" t="n">
        <v>182</v>
      </c>
      <c r="D2823" s="1" t="n">
        <v>21</v>
      </c>
      <c r="E2823" s="4">
        <f>IF(INDEX(C:C, ROW())+INDEX(D:D, ROW())=0, 0, INDEX(C:C, ROW())/(INDEX(C:C, ROW())+INDEX(D:D, ROW())))</f>
        <v/>
      </c>
      <c r="F2823" s="1" t="inlineStr">
        <is>
          <t>Array, String, Trie</t>
        </is>
      </c>
      <c r="G2823" s="1" t="inlineStr">
        <is>
          <t>Hard</t>
        </is>
      </c>
      <c r="H2823" s="1" t="n">
        <v>13741</v>
      </c>
      <c r="I2823" s="1" t="n">
        <v>38292</v>
      </c>
      <c r="J2823" s="9" t="n">
        <v>0.359</v>
      </c>
      <c r="K2823" s="1" t="inlineStr">
        <is>
          <t>Yes</t>
        </is>
      </c>
      <c r="L2823" s="1" t="inlineStr">
        <is>
          <t>No</t>
        </is>
      </c>
      <c r="M2823" s="1" t="inlineStr">
        <is>
          <t>No</t>
        </is>
      </c>
      <c r="N2823" s="1" t="inlineStr">
        <is>
          <t>Algorithms</t>
        </is>
      </c>
      <c r="O28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24" ht="15.75" customHeight="1" s="12">
      <c r="A2824" s="1" t="n">
        <v>591</v>
      </c>
      <c r="B2824" s="3">
        <f>HYPERLINK("https://leetcode.com/problems/tag-validator/", "Tag Validator")</f>
        <v/>
      </c>
      <c r="C2824" s="1" t="n">
        <v>181</v>
      </c>
      <c r="D2824" s="1" t="n">
        <v>653</v>
      </c>
      <c r="E2824" s="4">
        <f>IF(INDEX(C:C, ROW())+INDEX(D:D, ROW())=0, 0, INDEX(C:C, ROW())/(INDEX(C:C, ROW())+INDEX(D:D, ROW())))</f>
        <v/>
      </c>
      <c r="F2824" s="1" t="inlineStr">
        <is>
          <t>String, Stack</t>
        </is>
      </c>
      <c r="G2824" s="1" t="inlineStr">
        <is>
          <t>Hard</t>
        </is>
      </c>
      <c r="H2824" s="1" t="n">
        <v>19945</v>
      </c>
      <c r="I2824" s="1" t="n">
        <v>49676</v>
      </c>
      <c r="J2824" s="9" t="n">
        <v>0.402</v>
      </c>
      <c r="K2824" s="1" t="inlineStr">
        <is>
          <t>Yes</t>
        </is>
      </c>
      <c r="L2824" s="1" t="inlineStr">
        <is>
          <t>Yes</t>
        </is>
      </c>
      <c r="M2824" s="1" t="inlineStr">
        <is>
          <t>No</t>
        </is>
      </c>
      <c r="N2824" s="1" t="inlineStr">
        <is>
          <t>Algorithms</t>
        </is>
      </c>
      <c r="O28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25" ht="15.75" customHeight="1" s="12">
      <c r="A2825" s="1" t="n">
        <v>770</v>
      </c>
      <c r="B2825" s="3">
        <f>HYPERLINK("https://leetcode.com/problems/basic-calculator-iv/", "Basic Calculator IV")</f>
        <v/>
      </c>
      <c r="C2825" s="1" t="n">
        <v>181</v>
      </c>
      <c r="D2825" s="1" t="n">
        <v>1444</v>
      </c>
      <c r="E2825" s="4">
        <f>IF(INDEX(C:C, ROW())+INDEX(D:D, ROW())=0, 0, INDEX(C:C, ROW())/(INDEX(C:C, ROW())+INDEX(D:D, ROW())))</f>
        <v/>
      </c>
      <c r="F2825" s="1" t="inlineStr">
        <is>
          <t>Hash Table, Math, String, Stack, Recursion</t>
        </is>
      </c>
      <c r="G2825" s="1" t="inlineStr">
        <is>
          <t>Hard</t>
        </is>
      </c>
      <c r="H2825" s="1" t="n">
        <v>15738</v>
      </c>
      <c r="I2825" s="1" t="n">
        <v>31724</v>
      </c>
      <c r="J2825" s="9" t="n">
        <v>0.496</v>
      </c>
      <c r="K2825" s="1" t="inlineStr">
        <is>
          <t>Yes</t>
        </is>
      </c>
      <c r="L2825" s="1" t="inlineStr">
        <is>
          <t>Yes</t>
        </is>
      </c>
      <c r="M2825" s="1" t="inlineStr">
        <is>
          <t>No</t>
        </is>
      </c>
      <c r="N2825" s="1" t="inlineStr">
        <is>
          <t>Algorithms</t>
        </is>
      </c>
      <c r="O28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26" ht="15.75" customHeight="1" s="12">
      <c r="A2826" s="1" t="n">
        <v>2913</v>
      </c>
      <c r="B2826" s="3">
        <f>HYPERLINK("https://leetcode.com/problems/subarrays-distinct-element-sum-of-squares-i/", "Subarrays Distinct Element Sum of Squares I")</f>
        <v/>
      </c>
      <c r="C2826" s="1" t="n">
        <v>180</v>
      </c>
      <c r="D2826" s="1" t="n">
        <v>36</v>
      </c>
      <c r="E2826" s="4">
        <f>IF(INDEX(C:C, ROW())+INDEX(D:D, ROW())=0, 0, INDEX(C:C, ROW())/(INDEX(C:C, ROW())+INDEX(D:D, ROW())))</f>
        <v/>
      </c>
      <c r="F2826" s="1" t="inlineStr">
        <is>
          <t>Array, Hash Table</t>
        </is>
      </c>
      <c r="G2826" s="1" t="inlineStr">
        <is>
          <t>Easy</t>
        </is>
      </c>
      <c r="H2826" s="1" t="n">
        <v>43307</v>
      </c>
      <c r="I2826" s="1" t="n">
        <v>54091</v>
      </c>
      <c r="J2826" s="9" t="n">
        <v>0.801</v>
      </c>
      <c r="K2826" s="1" t="inlineStr">
        <is>
          <t>Yes</t>
        </is>
      </c>
      <c r="L2826" s="1" t="inlineStr">
        <is>
          <t>No</t>
        </is>
      </c>
      <c r="M2826" s="1" t="inlineStr">
        <is>
          <t>No</t>
        </is>
      </c>
      <c r="N2826" s="1" t="inlineStr">
        <is>
          <t>Algorithms</t>
        </is>
      </c>
      <c r="O28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27" ht="15.75" customHeight="1" s="12">
      <c r="A2827" s="1" t="n">
        <v>1958</v>
      </c>
      <c r="B2827" s="3">
        <f>HYPERLINK("https://leetcode.com/problems/check-if-move-is-legal/", "Check if Move is Legal")</f>
        <v/>
      </c>
      <c r="C2827" s="1" t="n">
        <v>179</v>
      </c>
      <c r="D2827" s="1" t="n">
        <v>283</v>
      </c>
      <c r="E2827" s="4">
        <f>IF(INDEX(C:C, ROW())+INDEX(D:D, ROW())=0, 0, INDEX(C:C, ROW())/(INDEX(C:C, ROW())+INDEX(D:D, ROW())))</f>
        <v/>
      </c>
      <c r="F2827" s="1" t="inlineStr">
        <is>
          <t>Array, Matrix, Enumeration</t>
        </is>
      </c>
      <c r="G2827" s="1" t="inlineStr">
        <is>
          <t>Medium</t>
        </is>
      </c>
      <c r="H2827" s="1" t="n">
        <v>17824</v>
      </c>
      <c r="I2827" s="1" t="n">
        <v>35726</v>
      </c>
      <c r="J2827" s="9" t="n">
        <v>0.499</v>
      </c>
      <c r="K2827" s="1" t="inlineStr">
        <is>
          <t>Yes</t>
        </is>
      </c>
      <c r="L2827" s="1" t="inlineStr">
        <is>
          <t>No</t>
        </is>
      </c>
      <c r="M2827" s="1" t="inlineStr">
        <is>
          <t>No</t>
        </is>
      </c>
      <c r="N2827" s="1" t="inlineStr">
        <is>
          <t>Algorithms</t>
        </is>
      </c>
      <c r="O28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28" ht="15.75" customHeight="1" s="12">
      <c r="A2828" s="1" t="n">
        <v>2345</v>
      </c>
      <c r="B2828" s="3">
        <f>HYPERLINK("https://leetcode.com/problems/finding-the-number-of-visible-mountains/", "Finding the Number of Visible Mountains")</f>
        <v/>
      </c>
      <c r="C2828" s="1" t="n">
        <v>179</v>
      </c>
      <c r="D2828" s="1" t="n">
        <v>80</v>
      </c>
      <c r="E2828" s="4">
        <f>IF(INDEX(C:C, ROW())+INDEX(D:D, ROW())=0, 0, INDEX(C:C, ROW())/(INDEX(C:C, ROW())+INDEX(D:D, ROW())))</f>
        <v/>
      </c>
      <c r="F2828" s="1" t="inlineStr">
        <is>
          <t>Array, Stack, Sorting, Monotonic Stack</t>
        </is>
      </c>
      <c r="G2828" s="1" t="inlineStr">
        <is>
          <t>Medium</t>
        </is>
      </c>
      <c r="H2828" s="1" t="n">
        <v>12657</v>
      </c>
      <c r="I2828" s="1" t="n">
        <v>34150</v>
      </c>
      <c r="J2828" s="9" t="n">
        <v>0.371</v>
      </c>
      <c r="K2828" s="1" t="inlineStr">
        <is>
          <t>No</t>
        </is>
      </c>
      <c r="L2828" s="1" t="inlineStr">
        <is>
          <t>No</t>
        </is>
      </c>
      <c r="M2828" s="1" t="inlineStr">
        <is>
          <t>No</t>
        </is>
      </c>
      <c r="N2828" s="1" t="inlineStr">
        <is>
          <t>Algorithms</t>
        </is>
      </c>
      <c r="O28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29" ht="15.75" customHeight="1" s="12">
      <c r="A2829" s="1" t="n">
        <v>3193</v>
      </c>
      <c r="B2829" s="3">
        <f>HYPERLINK("https://leetcode.com/problems/count-the-number-of-inversions/", "Count the Number of Inversions")</f>
        <v/>
      </c>
      <c r="C2829" s="1" t="n">
        <v>179</v>
      </c>
      <c r="D2829" s="1" t="n">
        <v>34</v>
      </c>
      <c r="E2829" s="4">
        <f>IF(INDEX(C:C, ROW())+INDEX(D:D, ROW())=0, 0, INDEX(C:C, ROW())/(INDEX(C:C, ROW())+INDEX(D:D, ROW())))</f>
        <v/>
      </c>
      <c r="F2829" s="1" t="inlineStr">
        <is>
          <t>Array, Dynamic Programming</t>
        </is>
      </c>
      <c r="G2829" s="1" t="inlineStr">
        <is>
          <t>Hard</t>
        </is>
      </c>
      <c r="H2829" s="1" t="n">
        <v>9542</v>
      </c>
      <c r="I2829" s="1" t="n">
        <v>32571</v>
      </c>
      <c r="J2829" s="9" t="n">
        <v>0.293</v>
      </c>
      <c r="K2829" s="1" t="inlineStr">
        <is>
          <t>Yes</t>
        </is>
      </c>
      <c r="L2829" s="1" t="inlineStr">
        <is>
          <t>No</t>
        </is>
      </c>
      <c r="M2829" s="1" t="inlineStr">
        <is>
          <t>No</t>
        </is>
      </c>
      <c r="N2829" s="1" t="inlineStr">
        <is>
          <t>Algorithms</t>
        </is>
      </c>
      <c r="O28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30" ht="15.75" customHeight="1" s="12">
      <c r="A2830" s="1" t="n">
        <v>3249</v>
      </c>
      <c r="B2830" s="3">
        <f>HYPERLINK("https://leetcode.com/problems/count-the-number-of-good-nodes/", "Count the Number of Good Nodes")</f>
        <v/>
      </c>
      <c r="C2830" s="1" t="n">
        <v>177</v>
      </c>
      <c r="D2830" s="1" t="n">
        <v>47</v>
      </c>
      <c r="E2830" s="4">
        <f>IF(INDEX(C:C, ROW())+INDEX(D:D, ROW())=0, 0, INDEX(C:C, ROW())/(INDEX(C:C, ROW())+INDEX(D:D, ROW())))</f>
        <v/>
      </c>
      <c r="F2830" s="1" t="inlineStr">
        <is>
          <t>Tree, Depth-First Search</t>
        </is>
      </c>
      <c r="G2830" s="1" t="inlineStr">
        <is>
          <t>Medium</t>
        </is>
      </c>
      <c r="H2830" s="1" t="n">
        <v>30586</v>
      </c>
      <c r="I2830" s="1" t="n">
        <v>55415</v>
      </c>
      <c r="J2830" s="9" t="n">
        <v>0.552</v>
      </c>
      <c r="K2830" s="1" t="inlineStr">
        <is>
          <t>Yes</t>
        </is>
      </c>
      <c r="L2830" s="1" t="inlineStr">
        <is>
          <t>No</t>
        </is>
      </c>
      <c r="M2830" s="1" t="inlineStr">
        <is>
          <t>No</t>
        </is>
      </c>
      <c r="N2830" s="1" t="inlineStr">
        <is>
          <t>Algorithms</t>
        </is>
      </c>
      <c r="O28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31" ht="15.75" customHeight="1" s="12">
      <c r="A2831" s="1" t="n">
        <v>3266</v>
      </c>
      <c r="B2831" s="3">
        <f>HYPERLINK("https://leetcode.com/problems/final-array-state-after-k-multiplication-operations-ii/", "Final Array State After K Multiplication Operations II")</f>
        <v/>
      </c>
      <c r="C2831" s="1" t="n">
        <v>177</v>
      </c>
      <c r="D2831" s="1" t="n">
        <v>23</v>
      </c>
      <c r="E2831" s="4">
        <f>IF(INDEX(C:C, ROW())+INDEX(D:D, ROW())=0, 0, INDEX(C:C, ROW())/(INDEX(C:C, ROW())+INDEX(D:D, ROW())))</f>
        <v/>
      </c>
      <c r="F2831" s="1" t="inlineStr">
        <is>
          <t>Array, Heap (Priority Queue), Simulation</t>
        </is>
      </c>
      <c r="G2831" s="1" t="inlineStr">
        <is>
          <t>Hard</t>
        </is>
      </c>
      <c r="H2831" s="1" t="n">
        <v>10943</v>
      </c>
      <c r="I2831" s="1" t="n">
        <v>84915</v>
      </c>
      <c r="J2831" s="9" t="n">
        <v>0.129</v>
      </c>
      <c r="K2831" s="1" t="inlineStr">
        <is>
          <t>Yes</t>
        </is>
      </c>
      <c r="L2831" s="1" t="inlineStr">
        <is>
          <t>No</t>
        </is>
      </c>
      <c r="M2831" s="1" t="inlineStr">
        <is>
          <t>No</t>
        </is>
      </c>
      <c r="N2831" s="1" t="inlineStr">
        <is>
          <t>Algorithms</t>
        </is>
      </c>
      <c r="O28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32" ht="15.75" customHeight="1" s="12">
      <c r="A2832" s="1" t="n">
        <v>3041</v>
      </c>
      <c r="B2832" s="3">
        <f>HYPERLINK("https://leetcode.com/problems/maximize-consecutive-elements-in-an-array-after-modification/", "Maximize Consecutive Elements in an Array After Modification")</f>
        <v/>
      </c>
      <c r="C2832" s="1" t="n">
        <v>176</v>
      </c>
      <c r="D2832" s="1" t="n">
        <v>9</v>
      </c>
      <c r="E2832" s="4">
        <f>IF(INDEX(C:C, ROW())+INDEX(D:D, ROW())=0, 0, INDEX(C:C, ROW())/(INDEX(C:C, ROW())+INDEX(D:D, ROW())))</f>
        <v/>
      </c>
      <c r="F2832" s="1" t="inlineStr">
        <is>
          <t>Array, Dynamic Programming, Sorting</t>
        </is>
      </c>
      <c r="G2832" s="1" t="inlineStr">
        <is>
          <t>Hard</t>
        </is>
      </c>
      <c r="H2832" s="1" t="n">
        <v>10939</v>
      </c>
      <c r="I2832" s="1" t="n">
        <v>32803</v>
      </c>
      <c r="J2832" s="9" t="n">
        <v>0.333</v>
      </c>
      <c r="K2832" s="1" t="inlineStr">
        <is>
          <t>Yes</t>
        </is>
      </c>
      <c r="L2832" s="1" t="inlineStr">
        <is>
          <t>No</t>
        </is>
      </c>
      <c r="M2832" s="1" t="inlineStr">
        <is>
          <t>No</t>
        </is>
      </c>
      <c r="N2832" s="1" t="inlineStr">
        <is>
          <t>Algorithms</t>
        </is>
      </c>
      <c r="O28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33" ht="15.75" customHeight="1" s="12">
      <c r="A2833" s="1" t="n">
        <v>3121</v>
      </c>
      <c r="B2833" s="3">
        <f>HYPERLINK("https://leetcode.com/problems/count-the-number-of-special-characters-ii/", "Count the Number of Special Characters II")</f>
        <v/>
      </c>
      <c r="C2833" s="1" t="n">
        <v>176</v>
      </c>
      <c r="D2833" s="1" t="n">
        <v>16</v>
      </c>
      <c r="E2833" s="4">
        <f>IF(INDEX(C:C, ROW())+INDEX(D:D, ROW())=0, 0, INDEX(C:C, ROW())/(INDEX(C:C, ROW())+INDEX(D:D, ROW())))</f>
        <v/>
      </c>
      <c r="F2833" s="1" t="inlineStr">
        <is>
          <t>Hash Table, String</t>
        </is>
      </c>
      <c r="G2833" s="1" t="inlineStr">
        <is>
          <t>Medium</t>
        </is>
      </c>
      <c r="H2833" s="1" t="n">
        <v>40133</v>
      </c>
      <c r="I2833" s="1" t="n">
        <v>93156</v>
      </c>
      <c r="J2833" s="9" t="n">
        <v>0.431</v>
      </c>
      <c r="K2833" s="1" t="inlineStr">
        <is>
          <t>Yes</t>
        </is>
      </c>
      <c r="L2833" s="1" t="inlineStr">
        <is>
          <t>No</t>
        </is>
      </c>
      <c r="M2833" s="1" t="inlineStr">
        <is>
          <t>No</t>
        </is>
      </c>
      <c r="N2833" s="1" t="inlineStr">
        <is>
          <t>Algorithms</t>
        </is>
      </c>
      <c r="O28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34" ht="15.75" customHeight="1" s="12">
      <c r="A2834" s="1" t="n">
        <v>3134</v>
      </c>
      <c r="B2834" s="3">
        <f>HYPERLINK("https://leetcode.com/problems/find-the-median-of-the-uniqueness-array/", "Find the Median of the Uniqueness Array")</f>
        <v/>
      </c>
      <c r="C2834" s="1" t="n">
        <v>176</v>
      </c>
      <c r="D2834" s="1" t="n">
        <v>13</v>
      </c>
      <c r="E2834" s="4">
        <f>IF(INDEX(C:C, ROW())+INDEX(D:D, ROW())=0, 0, INDEX(C:C, ROW())/(INDEX(C:C, ROW())+INDEX(D:D, ROW())))</f>
        <v/>
      </c>
      <c r="F2834" s="1" t="inlineStr">
        <is>
          <t>Array, Hash Table, Binary Search, Sliding Window</t>
        </is>
      </c>
      <c r="G2834" s="1" t="inlineStr">
        <is>
          <t>Hard</t>
        </is>
      </c>
      <c r="H2834" s="1" t="n">
        <v>8589</v>
      </c>
      <c r="I2834" s="1" t="n">
        <v>28935</v>
      </c>
      <c r="J2834" s="9" t="n">
        <v>0.297</v>
      </c>
      <c r="K2834" s="1" t="inlineStr">
        <is>
          <t>Yes</t>
        </is>
      </c>
      <c r="L2834" s="1" t="inlineStr">
        <is>
          <t>No</t>
        </is>
      </c>
      <c r="M2834" s="1" t="inlineStr">
        <is>
          <t>No</t>
        </is>
      </c>
      <c r="N2834" s="1" t="inlineStr">
        <is>
          <t>Algorithms</t>
        </is>
      </c>
      <c r="O28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35" ht="15.75" customHeight="1" s="12">
      <c r="A2835" s="1" t="n">
        <v>3660</v>
      </c>
      <c r="B2835" s="3">
        <f>HYPERLINK("https://leetcode.com/problems/jump-game-ix/", "Jump Game IX")</f>
        <v/>
      </c>
      <c r="C2835" s="1" t="n">
        <v>176</v>
      </c>
      <c r="D2835" s="1" t="n">
        <v>13</v>
      </c>
      <c r="E2835" s="4">
        <f>IF(INDEX(C:C, ROW())+INDEX(D:D, ROW())=0, 0, INDEX(C:C, ROW())/(INDEX(C:C, ROW())+INDEX(D:D, ROW())))</f>
        <v/>
      </c>
      <c r="F2835" s="1" t="inlineStr">
        <is>
          <t>Array, Dynamic Programming</t>
        </is>
      </c>
      <c r="G2835" s="1" t="inlineStr">
        <is>
          <t>Medium</t>
        </is>
      </c>
      <c r="H2835" s="1" t="n">
        <v>13910</v>
      </c>
      <c r="I2835" s="1" t="n">
        <v>64966</v>
      </c>
      <c r="J2835" s="9" t="n">
        <v>0.214</v>
      </c>
      <c r="K2835" s="1" t="inlineStr">
        <is>
          <t>Yes</t>
        </is>
      </c>
      <c r="L2835" s="1" t="inlineStr">
        <is>
          <t>No</t>
        </is>
      </c>
      <c r="M2835" s="1" t="inlineStr">
        <is>
          <t>No</t>
        </is>
      </c>
      <c r="N2835" s="1" t="inlineStr">
        <is>
          <t>Algorithms</t>
        </is>
      </c>
      <c r="O28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36" ht="15.75" customHeight="1" s="12">
      <c r="A2836" s="1" t="n">
        <v>1093</v>
      </c>
      <c r="B2836" s="3">
        <f>HYPERLINK("https://leetcode.com/problems/statistics-from-a-large-sample/", "Statistics from a Large Sample")</f>
        <v/>
      </c>
      <c r="C2836" s="1" t="n">
        <v>175</v>
      </c>
      <c r="D2836" s="1" t="n">
        <v>109</v>
      </c>
      <c r="E2836" s="4">
        <f>IF(INDEX(C:C, ROW())+INDEX(D:D, ROW())=0, 0, INDEX(C:C, ROW())/(INDEX(C:C, ROW())+INDEX(D:D, ROW())))</f>
        <v/>
      </c>
      <c r="F2836" s="1" t="inlineStr">
        <is>
          <t>Array, Math, Probability and Statistics</t>
        </is>
      </c>
      <c r="G2836" s="1" t="inlineStr">
        <is>
          <t>Medium</t>
        </is>
      </c>
      <c r="H2836" s="1" t="n">
        <v>25348</v>
      </c>
      <c r="I2836" s="1" t="n">
        <v>59157</v>
      </c>
      <c r="J2836" s="9" t="n">
        <v>0.428</v>
      </c>
      <c r="K2836" s="1" t="inlineStr">
        <is>
          <t>Yes</t>
        </is>
      </c>
      <c r="L2836" s="1" t="inlineStr">
        <is>
          <t>No</t>
        </is>
      </c>
      <c r="M2836" s="1" t="inlineStr">
        <is>
          <t>No</t>
        </is>
      </c>
      <c r="N2836" s="1" t="inlineStr">
        <is>
          <t>Algorithms</t>
        </is>
      </c>
      <c r="O28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37" ht="15.75" customHeight="1" s="12">
      <c r="A2837" s="1" t="n">
        <v>3132</v>
      </c>
      <c r="B2837" s="3">
        <f>HYPERLINK("https://leetcode.com/problems/find-the-integer-added-to-array-ii/", "Find the Integer Added to Array II")</f>
        <v/>
      </c>
      <c r="C2837" s="1" t="n">
        <v>175</v>
      </c>
      <c r="D2837" s="1" t="n">
        <v>43</v>
      </c>
      <c r="E2837" s="4">
        <f>IF(INDEX(C:C, ROW())+INDEX(D:D, ROW())=0, 0, INDEX(C:C, ROW())/(INDEX(C:C, ROW())+INDEX(D:D, ROW())))</f>
        <v/>
      </c>
      <c r="F2837" s="1" t="inlineStr">
        <is>
          <t>Array, Two Pointers, Sorting, Enumeration</t>
        </is>
      </c>
      <c r="G2837" s="1" t="inlineStr">
        <is>
          <t>Medium</t>
        </is>
      </c>
      <c r="H2837" s="1" t="n">
        <v>25606</v>
      </c>
      <c r="I2837" s="1" t="n">
        <v>78270</v>
      </c>
      <c r="J2837" s="9" t="n">
        <v>0.327</v>
      </c>
      <c r="K2837" s="1" t="inlineStr">
        <is>
          <t>Yes</t>
        </is>
      </c>
      <c r="L2837" s="1" t="inlineStr">
        <is>
          <t>No</t>
        </is>
      </c>
      <c r="M2837" s="1" t="inlineStr">
        <is>
          <t>No</t>
        </is>
      </c>
      <c r="N2837" s="1" t="inlineStr">
        <is>
          <t>Algorithms</t>
        </is>
      </c>
      <c r="O28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38" ht="15.75" customHeight="1" s="12">
      <c r="A2838" s="1" t="n">
        <v>3259</v>
      </c>
      <c r="B2838" s="3">
        <f>HYPERLINK("https://leetcode.com/problems/maximum-energy-boost-from-two-drinks/", "Maximum Energy Boost From Two Drinks")</f>
        <v/>
      </c>
      <c r="C2838" s="1" t="n">
        <v>175</v>
      </c>
      <c r="D2838" s="1" t="n">
        <v>13</v>
      </c>
      <c r="E2838" s="4">
        <f>IF(INDEX(C:C, ROW())+INDEX(D:D, ROW())=0, 0, INDEX(C:C, ROW())/(INDEX(C:C, ROW())+INDEX(D:D, ROW())))</f>
        <v/>
      </c>
      <c r="F2838" s="1" t="inlineStr">
        <is>
          <t>Array, Dynamic Programming</t>
        </is>
      </c>
      <c r="G2838" s="1" t="inlineStr">
        <is>
          <t>Medium</t>
        </is>
      </c>
      <c r="H2838" s="1" t="n">
        <v>34982</v>
      </c>
      <c r="I2838" s="1" t="n">
        <v>70160</v>
      </c>
      <c r="J2838" s="9" t="n">
        <v>0.499</v>
      </c>
      <c r="K2838" s="1" t="inlineStr">
        <is>
          <t>Yes</t>
        </is>
      </c>
      <c r="L2838" s="1" t="inlineStr">
        <is>
          <t>No</t>
        </is>
      </c>
      <c r="M2838" s="1" t="inlineStr">
        <is>
          <t>No</t>
        </is>
      </c>
      <c r="N2838" s="1" t="inlineStr">
        <is>
          <t>Algorithms</t>
        </is>
      </c>
      <c r="O28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39" ht="15.75" customHeight="1" s="12">
      <c r="A2839" s="1" t="n">
        <v>1176</v>
      </c>
      <c r="B2839" s="3">
        <f>HYPERLINK("https://leetcode.com/problems/diet-plan-performance/", "Diet Plan Performance")</f>
        <v/>
      </c>
      <c r="C2839" s="1" t="n">
        <v>174</v>
      </c>
      <c r="D2839" s="1" t="n">
        <v>296</v>
      </c>
      <c r="E2839" s="4">
        <f>IF(INDEX(C:C, ROW())+INDEX(D:D, ROW())=0, 0, INDEX(C:C, ROW())/(INDEX(C:C, ROW())+INDEX(D:D, ROW())))</f>
        <v/>
      </c>
      <c r="F2839" s="1" t="inlineStr">
        <is>
          <t>Array, Sliding Window</t>
        </is>
      </c>
      <c r="G2839" s="1" t="inlineStr">
        <is>
          <t>Easy</t>
        </is>
      </c>
      <c r="H2839" s="1" t="n">
        <v>41007</v>
      </c>
      <c r="I2839" s="1" t="n">
        <v>73601</v>
      </c>
      <c r="J2839" s="9" t="n">
        <v>0.5570000000000001</v>
      </c>
      <c r="K2839" s="1" t="inlineStr">
        <is>
          <t>No</t>
        </is>
      </c>
      <c r="L2839" s="1" t="inlineStr">
        <is>
          <t>Yes</t>
        </is>
      </c>
      <c r="M2839" s="1" t="inlineStr">
        <is>
          <t>No</t>
        </is>
      </c>
      <c r="N2839" s="1" t="inlineStr">
        <is>
          <t>Algorithms</t>
        </is>
      </c>
      <c r="O28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40" ht="15.75" customHeight="1" s="12">
      <c r="A2840" s="1" t="n">
        <v>2046</v>
      </c>
      <c r="B2840" s="3">
        <f>HYPERLINK("https://leetcode.com/problems/sort-linked-list-already-sorted-using-absolute-values/", "Sort Linked List Already Sorted Using Absolute Values")</f>
        <v/>
      </c>
      <c r="C2840" s="1" t="n">
        <v>174</v>
      </c>
      <c r="D2840" s="1" t="n">
        <v>3</v>
      </c>
      <c r="E2840" s="4">
        <f>IF(INDEX(C:C, ROW())+INDEX(D:D, ROW())=0, 0, INDEX(C:C, ROW())/(INDEX(C:C, ROW())+INDEX(D:D, ROW())))</f>
        <v/>
      </c>
      <c r="F2840" s="1" t="inlineStr">
        <is>
          <t>Linked List, Two Pointers, Sorting</t>
        </is>
      </c>
      <c r="G2840" s="1" t="inlineStr">
        <is>
          <t>Medium</t>
        </is>
      </c>
      <c r="H2840" s="1" t="n">
        <v>11025</v>
      </c>
      <c r="I2840" s="1" t="n">
        <v>16441</v>
      </c>
      <c r="J2840" s="9" t="n">
        <v>0.671</v>
      </c>
      <c r="K2840" s="1" t="inlineStr">
        <is>
          <t>No</t>
        </is>
      </c>
      <c r="L2840" s="1" t="inlineStr">
        <is>
          <t>No</t>
        </is>
      </c>
      <c r="M2840" s="1" t="inlineStr">
        <is>
          <t>No</t>
        </is>
      </c>
      <c r="N2840" s="1" t="inlineStr">
        <is>
          <t>Algorithms</t>
        </is>
      </c>
      <c r="O28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41" ht="15.75" customHeight="1" s="12">
      <c r="A2841" s="1" t="n">
        <v>2947</v>
      </c>
      <c r="B2841" s="3">
        <f>HYPERLINK("https://leetcode.com/problems/count-beautiful-substrings-i/", "Count Beautiful Substrings I")</f>
        <v/>
      </c>
      <c r="C2841" s="1" t="n">
        <v>174</v>
      </c>
      <c r="D2841" s="1" t="n">
        <v>16</v>
      </c>
      <c r="E2841" s="4">
        <f>IF(INDEX(C:C, ROW())+INDEX(D:D, ROW())=0, 0, INDEX(C:C, ROW())/(INDEX(C:C, ROW())+INDEX(D:D, ROW())))</f>
        <v/>
      </c>
      <c r="F2841" s="1" t="inlineStr">
        <is>
          <t>Hash Table, Math, String, Enumeration, Number Theory, Prefix Sum</t>
        </is>
      </c>
      <c r="G2841" s="1" t="inlineStr">
        <is>
          <t>Medium</t>
        </is>
      </c>
      <c r="H2841" s="1" t="n">
        <v>27447</v>
      </c>
      <c r="I2841" s="1" t="n">
        <v>45264</v>
      </c>
      <c r="J2841" s="9" t="n">
        <v>0.606</v>
      </c>
      <c r="K2841" s="1" t="inlineStr">
        <is>
          <t>Yes</t>
        </is>
      </c>
      <c r="L2841" s="1" t="inlineStr">
        <is>
          <t>No</t>
        </is>
      </c>
      <c r="M2841" s="1" t="inlineStr">
        <is>
          <t>No</t>
        </is>
      </c>
      <c r="N2841" s="1" t="inlineStr">
        <is>
          <t>Algorithms</t>
        </is>
      </c>
      <c r="O28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42" ht="15.75" customHeight="1" s="12">
      <c r="A2842" s="1" t="n">
        <v>3159</v>
      </c>
      <c r="B2842" s="3">
        <f>HYPERLINK("https://leetcode.com/problems/find-occurrences-of-an-element-in-an-array/", "Find Occurrences of an Element in an Array")</f>
        <v/>
      </c>
      <c r="C2842" s="1" t="n">
        <v>174</v>
      </c>
      <c r="D2842" s="1" t="n">
        <v>25</v>
      </c>
      <c r="E2842" s="4">
        <f>IF(INDEX(C:C, ROW())+INDEX(D:D, ROW())=0, 0, INDEX(C:C, ROW())/(INDEX(C:C, ROW())+INDEX(D:D, ROW())))</f>
        <v/>
      </c>
      <c r="F2842" s="1" t="inlineStr">
        <is>
          <t>Array, Hash Table</t>
        </is>
      </c>
      <c r="G2842" s="1" t="inlineStr">
        <is>
          <t>Medium</t>
        </is>
      </c>
      <c r="H2842" s="1" t="n">
        <v>55589</v>
      </c>
      <c r="I2842" s="1" t="n">
        <v>75942</v>
      </c>
      <c r="J2842" s="9" t="n">
        <v>0.732</v>
      </c>
      <c r="K2842" s="1" t="inlineStr">
        <is>
          <t>Yes</t>
        </is>
      </c>
      <c r="L2842" s="1" t="inlineStr">
        <is>
          <t>No</t>
        </is>
      </c>
      <c r="M2842" s="1" t="inlineStr">
        <is>
          <t>No</t>
        </is>
      </c>
      <c r="N2842" s="1" t="inlineStr">
        <is>
          <t>Algorithms</t>
        </is>
      </c>
      <c r="O28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43" ht="15.75" customHeight="1" s="12">
      <c r="A2843" s="1" t="n">
        <v>1183</v>
      </c>
      <c r="B2843" s="3">
        <f>HYPERLINK("https://leetcode.com/problems/maximum-number-of-ones/", "Maximum Number of Ones")</f>
        <v/>
      </c>
      <c r="C2843" s="1" t="n">
        <v>173</v>
      </c>
      <c r="D2843" s="1" t="n">
        <v>35</v>
      </c>
      <c r="E2843" s="4">
        <f>IF(INDEX(C:C, ROW())+INDEX(D:D, ROW())=0, 0, INDEX(C:C, ROW())/(INDEX(C:C, ROW())+INDEX(D:D, ROW())))</f>
        <v/>
      </c>
      <c r="F2843" s="1" t="inlineStr">
        <is>
          <t>Math, Greedy, Sorting, Heap (Priority Queue)</t>
        </is>
      </c>
      <c r="G2843" s="1" t="inlineStr">
        <is>
          <t>Hard</t>
        </is>
      </c>
      <c r="H2843" s="1" t="n">
        <v>7599</v>
      </c>
      <c r="I2843" s="1" t="n">
        <v>10789</v>
      </c>
      <c r="J2843" s="9" t="n">
        <v>0.704</v>
      </c>
      <c r="K2843" s="1" t="inlineStr">
        <is>
          <t>No</t>
        </is>
      </c>
      <c r="L2843" s="1" t="inlineStr">
        <is>
          <t>Yes</t>
        </is>
      </c>
      <c r="M2843" s="1" t="inlineStr">
        <is>
          <t>No</t>
        </is>
      </c>
      <c r="N2843" s="1" t="inlineStr">
        <is>
          <t>Algorithms</t>
        </is>
      </c>
      <c r="O28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44" ht="15.75" customHeight="1" s="12">
      <c r="A2844" s="1" t="n">
        <v>1634</v>
      </c>
      <c r="B2844" s="3">
        <f>HYPERLINK("https://leetcode.com/problems/add-two-polynomials-represented-as-linked-lists/", "Add Two Polynomials Represented as Linked Lists")</f>
        <v/>
      </c>
      <c r="C2844" s="1" t="n">
        <v>173</v>
      </c>
      <c r="D2844" s="1" t="n">
        <v>14</v>
      </c>
      <c r="E2844" s="4">
        <f>IF(INDEX(C:C, ROW())+INDEX(D:D, ROW())=0, 0, INDEX(C:C, ROW())/(INDEX(C:C, ROW())+INDEX(D:D, ROW())))</f>
        <v/>
      </c>
      <c r="F2844" s="1" t="inlineStr">
        <is>
          <t>Linked List, Math, Two Pointers</t>
        </is>
      </c>
      <c r="G2844" s="1" t="inlineStr">
        <is>
          <t>Medium</t>
        </is>
      </c>
      <c r="H2844" s="1" t="n">
        <v>16285</v>
      </c>
      <c r="I2844" s="1" t="n">
        <v>26726</v>
      </c>
      <c r="J2844" s="9" t="n">
        <v>0.609</v>
      </c>
      <c r="K2844" s="1" t="inlineStr">
        <is>
          <t>No</t>
        </is>
      </c>
      <c r="L2844" s="1" t="inlineStr">
        <is>
          <t>Yes</t>
        </is>
      </c>
      <c r="M2844" s="1" t="inlineStr">
        <is>
          <t>No</t>
        </is>
      </c>
      <c r="N2844" s="1" t="inlineStr">
        <is>
          <t>Algorithms</t>
        </is>
      </c>
      <c r="O28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45" ht="15.75" customHeight="1" s="12">
      <c r="A2845" s="1" t="n">
        <v>3029</v>
      </c>
      <c r="B2845" s="3">
        <f>HYPERLINK("https://leetcode.com/problems/minimum-time-to-revert-word-to-initial-state-i/", "Minimum Time to Revert Word to Initial State I")</f>
        <v/>
      </c>
      <c r="C2845" s="1" t="n">
        <v>173</v>
      </c>
      <c r="D2845" s="1" t="n">
        <v>34</v>
      </c>
      <c r="E2845" s="4">
        <f>IF(INDEX(C:C, ROW())+INDEX(D:D, ROW())=0, 0, INDEX(C:C, ROW())/(INDEX(C:C, ROW())+INDEX(D:D, ROW())))</f>
        <v/>
      </c>
      <c r="F2845" s="1" t="inlineStr">
        <is>
          <t>String, Rolling Hash, String Matching, Hash Function</t>
        </is>
      </c>
      <c r="G2845" s="1" t="inlineStr">
        <is>
          <t>Medium</t>
        </is>
      </c>
      <c r="H2845" s="1" t="n">
        <v>23500</v>
      </c>
      <c r="I2845" s="1" t="n">
        <v>55778</v>
      </c>
      <c r="J2845" s="9" t="n">
        <v>0.421</v>
      </c>
      <c r="K2845" s="1" t="inlineStr">
        <is>
          <t>Yes</t>
        </is>
      </c>
      <c r="L2845" s="1" t="inlineStr">
        <is>
          <t>No</t>
        </is>
      </c>
      <c r="M2845" s="1" t="inlineStr">
        <is>
          <t>No</t>
        </is>
      </c>
      <c r="N2845" s="1" t="inlineStr">
        <is>
          <t>Algorithms</t>
        </is>
      </c>
      <c r="O28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46" ht="15.75" customHeight="1" s="12">
      <c r="A2846" s="1" t="n">
        <v>3178</v>
      </c>
      <c r="B2846" s="3">
        <f>HYPERLINK("https://leetcode.com/problems/find-the-child-who-has-the-ball-after-k-seconds/", "Find the Child Who Has the Ball After K Seconds")</f>
        <v/>
      </c>
      <c r="C2846" s="1" t="n">
        <v>173</v>
      </c>
      <c r="D2846" s="1" t="n">
        <v>11</v>
      </c>
      <c r="E2846" s="4">
        <f>IF(INDEX(C:C, ROW())+INDEX(D:D, ROW())=0, 0, INDEX(C:C, ROW())/(INDEX(C:C, ROW())+INDEX(D:D, ROW())))</f>
        <v/>
      </c>
      <c r="F2846" s="1" t="inlineStr">
        <is>
          <t>Math, Simulation</t>
        </is>
      </c>
      <c r="G2846" s="1" t="inlineStr">
        <is>
          <t>Easy</t>
        </is>
      </c>
      <c r="H2846" s="1" t="n">
        <v>57861</v>
      </c>
      <c r="I2846" s="1" t="n">
        <v>93489</v>
      </c>
      <c r="J2846" s="9" t="n">
        <v>0.619</v>
      </c>
      <c r="K2846" s="1" t="inlineStr">
        <is>
          <t>Yes</t>
        </is>
      </c>
      <c r="L2846" s="1" t="inlineStr">
        <is>
          <t>No</t>
        </is>
      </c>
      <c r="M2846" s="1" t="inlineStr">
        <is>
          <t>No</t>
        </is>
      </c>
      <c r="N2846" s="1" t="inlineStr">
        <is>
          <t>Algorithms</t>
        </is>
      </c>
      <c r="O28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47" ht="15.75" customHeight="1" s="12">
      <c r="A2847" s="1" t="n">
        <v>3258</v>
      </c>
      <c r="B2847" s="3">
        <f>HYPERLINK("https://leetcode.com/problems/count-substrings-that-satisfy-k-constraint-i/", "Count Substrings That Satisfy K-Constraint I")</f>
        <v/>
      </c>
      <c r="C2847" s="1" t="n">
        <v>173</v>
      </c>
      <c r="D2847" s="1" t="n">
        <v>35</v>
      </c>
      <c r="E2847" s="4">
        <f>IF(INDEX(C:C, ROW())+INDEX(D:D, ROW())=0, 0, INDEX(C:C, ROW())/(INDEX(C:C, ROW())+INDEX(D:D, ROW())))</f>
        <v/>
      </c>
      <c r="F2847" s="1" t="inlineStr">
        <is>
          <t>String, Sliding Window</t>
        </is>
      </c>
      <c r="G2847" s="1" t="inlineStr">
        <is>
          <t>Easy</t>
        </is>
      </c>
      <c r="H2847" s="1" t="n">
        <v>55031</v>
      </c>
      <c r="I2847" s="1" t="n">
        <v>69912</v>
      </c>
      <c r="J2847" s="9" t="n">
        <v>0.787</v>
      </c>
      <c r="K2847" s="1" t="inlineStr">
        <is>
          <t>Yes</t>
        </is>
      </c>
      <c r="L2847" s="1" t="inlineStr">
        <is>
          <t>No</t>
        </is>
      </c>
      <c r="M2847" s="1" t="inlineStr">
        <is>
          <t>No</t>
        </is>
      </c>
      <c r="N2847" s="1" t="inlineStr">
        <is>
          <t>Algorithms</t>
        </is>
      </c>
      <c r="O28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48" ht="15.75" customHeight="1" s="12">
      <c r="A2848" s="1" t="n">
        <v>3291</v>
      </c>
      <c r="B2848" s="3">
        <f>HYPERLINK("https://leetcode.com/problems/minimum-number-of-valid-strings-to-form-target-i/", "Minimum Number of Valid Strings to Form Target I")</f>
        <v/>
      </c>
      <c r="C2848" s="1" t="n">
        <v>173</v>
      </c>
      <c r="D2848" s="1" t="n">
        <v>17</v>
      </c>
      <c r="E2848" s="4">
        <f>IF(INDEX(C:C, ROW())+INDEX(D:D, ROW())=0, 0, INDEX(C:C, ROW())/(INDEX(C:C, ROW())+INDEX(D:D, ROW())))</f>
        <v/>
      </c>
      <c r="F2848" s="1" t="inlineStr">
        <is>
          <t>Array, String, Binary Search, Dynamic Programming, Trie, Segment Tree, Rolling Hash, String Matching, Hash Function</t>
        </is>
      </c>
      <c r="G2848" s="1" t="inlineStr">
        <is>
          <t>Medium</t>
        </is>
      </c>
      <c r="H2848" s="1" t="n">
        <v>14584</v>
      </c>
      <c r="I2848" s="1" t="n">
        <v>67814</v>
      </c>
      <c r="J2848" s="9" t="n">
        <v>0.215</v>
      </c>
      <c r="K2848" s="1" t="inlineStr">
        <is>
          <t>Yes</t>
        </is>
      </c>
      <c r="L2848" s="1" t="inlineStr">
        <is>
          <t>No</t>
        </is>
      </c>
      <c r="M2848" s="1" t="inlineStr">
        <is>
          <t>No</t>
        </is>
      </c>
      <c r="N2848" s="1" t="inlineStr">
        <is>
          <t>Algorithms</t>
        </is>
      </c>
      <c r="O28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49" ht="15.75" customHeight="1" s="12">
      <c r="A2849" s="1" t="n">
        <v>3676</v>
      </c>
      <c r="B2849" s="3">
        <f>HYPERLINK("https://leetcode.com/problems/count-bowl-subarrays/", "Count Bowl Subarrays")</f>
        <v/>
      </c>
      <c r="C2849" s="1" t="n">
        <v>173</v>
      </c>
      <c r="D2849" s="1" t="n">
        <v>5</v>
      </c>
      <c r="E2849" s="4">
        <f>IF(INDEX(C:C, ROW())+INDEX(D:D, ROW())=0, 0, INDEX(C:C, ROW())/(INDEX(C:C, ROW())+INDEX(D:D, ROW())))</f>
        <v/>
      </c>
      <c r="F2849" s="1" t="inlineStr">
        <is>
          <t>Array, Stack, Monotonic Stack</t>
        </is>
      </c>
      <c r="G2849" s="1" t="inlineStr">
        <is>
          <t>Medium</t>
        </is>
      </c>
      <c r="H2849" s="1" t="n">
        <v>25986</v>
      </c>
      <c r="I2849" s="1" t="n">
        <v>56696</v>
      </c>
      <c r="J2849" s="9" t="n">
        <v>0.458</v>
      </c>
      <c r="K2849" s="1" t="inlineStr">
        <is>
          <t>Yes</t>
        </is>
      </c>
      <c r="L2849" s="1" t="inlineStr">
        <is>
          <t>No</t>
        </is>
      </c>
      <c r="M2849" s="1" t="inlineStr">
        <is>
          <t>No</t>
        </is>
      </c>
      <c r="N2849" s="1" t="inlineStr">
        <is>
          <t>Algorithms</t>
        </is>
      </c>
      <c r="O28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50" ht="15.75" customHeight="1" s="12">
      <c r="A2850" s="1" t="n">
        <v>1132</v>
      </c>
      <c r="B2850" s="3">
        <f>HYPERLINK("https://leetcode.com/problems/reported-posts-ii/", "Reported Posts II")</f>
        <v/>
      </c>
      <c r="C2850" s="1" t="n">
        <v>172</v>
      </c>
      <c r="D2850" s="1" t="n">
        <v>578</v>
      </c>
      <c r="E2850" s="4">
        <f>IF(INDEX(C:C, ROW())+INDEX(D:D, ROW())=0, 0, INDEX(C:C, ROW())/(INDEX(C:C, ROW())+INDEX(D:D, ROW())))</f>
        <v/>
      </c>
      <c r="F2850" s="1" t="inlineStr">
        <is>
          <t>Database</t>
        </is>
      </c>
      <c r="G2850" s="1" t="inlineStr">
        <is>
          <t>Medium</t>
        </is>
      </c>
      <c r="H2850" s="1" t="n">
        <v>44364</v>
      </c>
      <c r="I2850" s="1" t="n">
        <v>138419</v>
      </c>
      <c r="J2850" s="9" t="n">
        <v>0.321</v>
      </c>
      <c r="K2850" s="1" t="inlineStr">
        <is>
          <t>No</t>
        </is>
      </c>
      <c r="L2850" s="1" t="inlineStr">
        <is>
          <t>Yes</t>
        </is>
      </c>
      <c r="M2850" s="1" t="inlineStr">
        <is>
          <t>No</t>
        </is>
      </c>
      <c r="N2850" s="1" t="inlineStr">
        <is>
          <t>Database</t>
        </is>
      </c>
      <c r="O28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51" ht="15.75" customHeight="1" s="12">
      <c r="A2851" s="1" t="n">
        <v>2021</v>
      </c>
      <c r="B2851" s="3">
        <f>HYPERLINK("https://leetcode.com/problems/brightest-position-on-street/", "Brightest Position on Street")</f>
        <v/>
      </c>
      <c r="C2851" s="1" t="n">
        <v>172</v>
      </c>
      <c r="D2851" s="1" t="n">
        <v>5</v>
      </c>
      <c r="E2851" s="4">
        <f>IF(INDEX(C:C, ROW())+INDEX(D:D, ROW())=0, 0, INDEX(C:C, ROW())/(INDEX(C:C, ROW())+INDEX(D:D, ROW())))</f>
        <v/>
      </c>
      <c r="F2851" s="1" t="inlineStr">
        <is>
          <t>Array, Sorting, Prefix Sum, Ordered Set</t>
        </is>
      </c>
      <c r="G2851" s="1" t="inlineStr">
        <is>
          <t>Medium</t>
        </is>
      </c>
      <c r="H2851" s="1" t="n">
        <v>15918</v>
      </c>
      <c r="I2851" s="1" t="n">
        <v>26248</v>
      </c>
      <c r="J2851" s="9" t="n">
        <v>0.606</v>
      </c>
      <c r="K2851" s="1" t="inlineStr">
        <is>
          <t>No</t>
        </is>
      </c>
      <c r="L2851" s="1" t="inlineStr">
        <is>
          <t>No</t>
        </is>
      </c>
      <c r="M2851" s="1" t="inlineStr">
        <is>
          <t>No</t>
        </is>
      </c>
      <c r="N2851" s="1" t="inlineStr">
        <is>
          <t>Algorithms</t>
        </is>
      </c>
      <c r="O28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52" ht="15.75" customHeight="1" s="12">
      <c r="A2852" s="1" t="n">
        <v>2297</v>
      </c>
      <c r="B2852" s="3">
        <f>HYPERLINK("https://leetcode.com/problems/jump-game-viii/", "Jump Game VIII")</f>
        <v/>
      </c>
      <c r="C2852" s="1" t="n">
        <v>172</v>
      </c>
      <c r="D2852" s="1" t="n">
        <v>49</v>
      </c>
      <c r="E2852" s="4">
        <f>IF(INDEX(C:C, ROW())+INDEX(D:D, ROW())=0, 0, INDEX(C:C, ROW())/(INDEX(C:C, ROW())+INDEX(D:D, ROW())))</f>
        <v/>
      </c>
      <c r="F2852" s="1" t="inlineStr">
        <is>
          <t>Array, Dynamic Programming, Stack, Graph Theory, Monotonic Stack, Shortest Path</t>
        </is>
      </c>
      <c r="G2852" s="1" t="inlineStr">
        <is>
          <t>Medium</t>
        </is>
      </c>
      <c r="H2852" s="1" t="n">
        <v>7785</v>
      </c>
      <c r="I2852" s="1" t="n">
        <v>17150</v>
      </c>
      <c r="J2852" s="9" t="n">
        <v>0.454</v>
      </c>
      <c r="K2852" s="1" t="inlineStr">
        <is>
          <t>No</t>
        </is>
      </c>
      <c r="L2852" s="1" t="inlineStr">
        <is>
          <t>No</t>
        </is>
      </c>
      <c r="M2852" s="1" t="inlineStr">
        <is>
          <t>No</t>
        </is>
      </c>
      <c r="N2852" s="1" t="inlineStr">
        <is>
          <t>Algorithms</t>
        </is>
      </c>
      <c r="O28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53" ht="15.75" customHeight="1" s="12">
      <c r="A2853" s="1" t="n">
        <v>3144</v>
      </c>
      <c r="B2853" s="3">
        <f>HYPERLINK("https://leetcode.com/problems/minimum-substring-partition-of-equal-character-frequency/", "Minimum Substring Partition of Equal Character Frequency")</f>
        <v/>
      </c>
      <c r="C2853" s="1" t="n">
        <v>172</v>
      </c>
      <c r="D2853" s="1" t="n">
        <v>36</v>
      </c>
      <c r="E2853" s="4">
        <f>IF(INDEX(C:C, ROW())+INDEX(D:D, ROW())=0, 0, INDEX(C:C, ROW())/(INDEX(C:C, ROW())+INDEX(D:D, ROW())))</f>
        <v/>
      </c>
      <c r="F2853" s="1" t="inlineStr">
        <is>
          <t>Hash Table, String, Dynamic Programming, Counting</t>
        </is>
      </c>
      <c r="G2853" s="1" t="inlineStr">
        <is>
          <t>Medium</t>
        </is>
      </c>
      <c r="H2853" s="1" t="n">
        <v>17532</v>
      </c>
      <c r="I2853" s="1" t="n">
        <v>44074</v>
      </c>
      <c r="J2853" s="9" t="n">
        <v>0.398</v>
      </c>
      <c r="K2853" s="1" t="inlineStr">
        <is>
          <t>Yes</t>
        </is>
      </c>
      <c r="L2853" s="1" t="inlineStr">
        <is>
          <t>No</t>
        </is>
      </c>
      <c r="M2853" s="1" t="inlineStr">
        <is>
          <t>No</t>
        </is>
      </c>
      <c r="N2853" s="1" t="inlineStr">
        <is>
          <t>Algorithms</t>
        </is>
      </c>
      <c r="O28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54" ht="15.75" customHeight="1" s="12">
      <c r="A2854" s="1" t="n">
        <v>3213</v>
      </c>
      <c r="B2854" s="3">
        <f>HYPERLINK("https://leetcode.com/problems/construct-string-with-minimum-cost/", "Construct String with Minimum Cost")</f>
        <v/>
      </c>
      <c r="C2854" s="1" t="n">
        <v>172</v>
      </c>
      <c r="D2854" s="1" t="n">
        <v>29</v>
      </c>
      <c r="E2854" s="4">
        <f>IF(INDEX(C:C, ROW())+INDEX(D:D, ROW())=0, 0, INDEX(C:C, ROW())/(INDEX(C:C, ROW())+INDEX(D:D, ROW())))</f>
        <v/>
      </c>
      <c r="F2854" s="1" t="inlineStr">
        <is>
          <t>Array, String, Dynamic Programming, Suffix Array</t>
        </is>
      </c>
      <c r="G2854" s="1" t="inlineStr">
        <is>
          <t>Hard</t>
        </is>
      </c>
      <c r="H2854" s="1" t="n">
        <v>12895</v>
      </c>
      <c r="I2854" s="1" t="n">
        <v>68037</v>
      </c>
      <c r="J2854" s="9" t="n">
        <v>0.19</v>
      </c>
      <c r="K2854" s="1" t="inlineStr">
        <is>
          <t>Yes</t>
        </is>
      </c>
      <c r="L2854" s="1" t="inlineStr">
        <is>
          <t>No</t>
        </is>
      </c>
      <c r="M2854" s="1" t="inlineStr">
        <is>
          <t>No</t>
        </is>
      </c>
      <c r="N2854" s="1" t="inlineStr">
        <is>
          <t>Algorithms</t>
        </is>
      </c>
      <c r="O28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55" ht="15.75" customHeight="1" s="12">
      <c r="A2855" s="1" t="n">
        <v>3478</v>
      </c>
      <c r="B2855" s="3">
        <f>HYPERLINK("https://leetcode.com/problems/choose-k-elements-with-maximum-sum/", "Choose K Elements With Maximum Sum")</f>
        <v/>
      </c>
      <c r="C2855" s="1" t="n">
        <v>172</v>
      </c>
      <c r="D2855" s="1" t="n">
        <v>9</v>
      </c>
      <c r="E2855" s="4">
        <f>IF(INDEX(C:C, ROW())+INDEX(D:D, ROW())=0, 0, INDEX(C:C, ROW())/(INDEX(C:C, ROW())+INDEX(D:D, ROW())))</f>
        <v/>
      </c>
      <c r="F2855" s="1" t="inlineStr">
        <is>
          <t>Array, Sorting, Heap (Priority Queue)</t>
        </is>
      </c>
      <c r="G2855" s="1" t="inlineStr">
        <is>
          <t>Medium</t>
        </is>
      </c>
      <c r="H2855" s="1" t="n">
        <v>19235</v>
      </c>
      <c r="I2855" s="1" t="n">
        <v>58455</v>
      </c>
      <c r="J2855" s="9" t="n">
        <v>0.329</v>
      </c>
      <c r="K2855" s="1" t="inlineStr">
        <is>
          <t>Yes</t>
        </is>
      </c>
      <c r="L2855" s="1" t="inlineStr">
        <is>
          <t>No</t>
        </is>
      </c>
      <c r="M2855" s="1" t="inlineStr">
        <is>
          <t>No</t>
        </is>
      </c>
      <c r="N2855" s="1" t="inlineStr">
        <is>
          <t>Algorithms</t>
        </is>
      </c>
      <c r="O28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56" ht="15.75" customHeight="1" s="12">
      <c r="A2856" s="1" t="n">
        <v>2676</v>
      </c>
      <c r="B2856" s="3">
        <f>HYPERLINK("https://leetcode.com/problems/throttle/", "Throttle")</f>
        <v/>
      </c>
      <c r="C2856" s="1" t="n">
        <v>171</v>
      </c>
      <c r="D2856" s="1" t="n">
        <v>30</v>
      </c>
      <c r="E2856" s="4">
        <f>IF(INDEX(C:C, ROW())+INDEX(D:D, ROW())=0, 0, INDEX(C:C, ROW())/(INDEX(C:C, ROW())+INDEX(D:D, ROW())))</f>
        <v/>
      </c>
      <c r="F2856" s="2" t="n"/>
      <c r="G2856" s="1" t="inlineStr">
        <is>
          <t>Medium</t>
        </is>
      </c>
      <c r="H2856" s="1" t="n">
        <v>11307</v>
      </c>
      <c r="I2856" s="1" t="n">
        <v>13581</v>
      </c>
      <c r="J2856" s="9" t="n">
        <v>0.833</v>
      </c>
      <c r="K2856" s="1" t="inlineStr">
        <is>
          <t>No</t>
        </is>
      </c>
      <c r="L2856" s="1" t="inlineStr">
        <is>
          <t>Yes</t>
        </is>
      </c>
      <c r="M2856" s="1" t="inlineStr">
        <is>
          <t>No</t>
        </is>
      </c>
      <c r="N2856" s="1" t="inlineStr">
        <is>
          <t>JavaScript</t>
        </is>
      </c>
      <c r="O28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57" ht="15.75" customHeight="1" s="12">
      <c r="A2857" s="1" t="n">
        <v>2960</v>
      </c>
      <c r="B2857" s="3">
        <f>HYPERLINK("https://leetcode.com/problems/count-tested-devices-after-test-operations/", "Count Tested Devices After Test Operations")</f>
        <v/>
      </c>
      <c r="C2857" s="1" t="n">
        <v>171</v>
      </c>
      <c r="D2857" s="1" t="n">
        <v>18</v>
      </c>
      <c r="E2857" s="4">
        <f>IF(INDEX(C:C, ROW())+INDEX(D:D, ROW())=0, 0, INDEX(C:C, ROW())/(INDEX(C:C, ROW())+INDEX(D:D, ROW())))</f>
        <v/>
      </c>
      <c r="F2857" s="1" t="inlineStr">
        <is>
          <t>Array, Simulation, Counting</t>
        </is>
      </c>
      <c r="G2857" s="1" t="inlineStr">
        <is>
          <t>Easy</t>
        </is>
      </c>
      <c r="H2857" s="1" t="n">
        <v>53504</v>
      </c>
      <c r="I2857" s="1" t="n">
        <v>67932</v>
      </c>
      <c r="J2857" s="9" t="n">
        <v>0.788</v>
      </c>
      <c r="K2857" s="1" t="inlineStr">
        <is>
          <t>Yes</t>
        </is>
      </c>
      <c r="L2857" s="1" t="inlineStr">
        <is>
          <t>No</t>
        </is>
      </c>
      <c r="M2857" s="1" t="inlineStr">
        <is>
          <t>No</t>
        </is>
      </c>
      <c r="N2857" s="1" t="inlineStr">
        <is>
          <t>Algorithms</t>
        </is>
      </c>
      <c r="O28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58" ht="15.75" customHeight="1" s="12">
      <c r="A2858" s="1" t="n">
        <v>2649</v>
      </c>
      <c r="B2858" s="3">
        <f>HYPERLINK("https://leetcode.com/problems/nested-array-generator/", "Nested Array Generator")</f>
        <v/>
      </c>
      <c r="C2858" s="1" t="n">
        <v>170</v>
      </c>
      <c r="D2858" s="1" t="n">
        <v>13</v>
      </c>
      <c r="E2858" s="4">
        <f>IF(INDEX(C:C, ROW())+INDEX(D:D, ROW())=0, 0, INDEX(C:C, ROW())/(INDEX(C:C, ROW())+INDEX(D:D, ROW())))</f>
        <v/>
      </c>
      <c r="F2858" s="2" t="n"/>
      <c r="G2858" s="1" t="inlineStr">
        <is>
          <t>Medium</t>
        </is>
      </c>
      <c r="H2858" s="1" t="n">
        <v>17964</v>
      </c>
      <c r="I2858" s="1" t="n">
        <v>22432</v>
      </c>
      <c r="J2858" s="9" t="n">
        <v>0.801</v>
      </c>
      <c r="K2858" s="1" t="inlineStr">
        <is>
          <t>Yes</t>
        </is>
      </c>
      <c r="L2858" s="1" t="inlineStr">
        <is>
          <t>Yes</t>
        </is>
      </c>
      <c r="M2858" s="1" t="inlineStr">
        <is>
          <t>No</t>
        </is>
      </c>
      <c r="N2858" s="1" t="inlineStr">
        <is>
          <t>JavaScript</t>
        </is>
      </c>
      <c r="O28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59" ht="15.75" customHeight="1" s="12">
      <c r="A2859" s="1" t="n">
        <v>2996</v>
      </c>
      <c r="B2859" s="3">
        <f>HYPERLINK("https://leetcode.com/problems/smallest-missing-integer-greater-than-sequential-prefix-sum/", "Smallest Missing Integer Greater Than Sequential Prefix Sum")</f>
        <v/>
      </c>
      <c r="C2859" s="1" t="n">
        <v>170</v>
      </c>
      <c r="D2859" s="1" t="n">
        <v>307</v>
      </c>
      <c r="E2859" s="4">
        <f>IF(INDEX(C:C, ROW())+INDEX(D:D, ROW())=0, 0, INDEX(C:C, ROW())/(INDEX(C:C, ROW())+INDEX(D:D, ROW())))</f>
        <v/>
      </c>
      <c r="F2859" s="1" t="inlineStr">
        <is>
          <t>Array, Hash Table, Sorting</t>
        </is>
      </c>
      <c r="G2859" s="1" t="inlineStr">
        <is>
          <t>Easy</t>
        </is>
      </c>
      <c r="H2859" s="1" t="n">
        <v>48185</v>
      </c>
      <c r="I2859" s="1" t="n">
        <v>138076</v>
      </c>
      <c r="J2859" s="9" t="n">
        <v>0.349</v>
      </c>
      <c r="K2859" s="1" t="inlineStr">
        <is>
          <t>Yes</t>
        </is>
      </c>
      <c r="L2859" s="1" t="inlineStr">
        <is>
          <t>No</t>
        </is>
      </c>
      <c r="M2859" s="1" t="inlineStr">
        <is>
          <t>No</t>
        </is>
      </c>
      <c r="N2859" s="1" t="inlineStr">
        <is>
          <t>Algorithms</t>
        </is>
      </c>
      <c r="O28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60" ht="15.75" customHeight="1" s="12">
      <c r="A2860" s="1" t="n">
        <v>3077</v>
      </c>
      <c r="B2860" s="3">
        <f>HYPERLINK("https://leetcode.com/problems/maximum-strength-of-k-disjoint-subarrays/", "Maximum Strength of K Disjoint Subarrays")</f>
        <v/>
      </c>
      <c r="C2860" s="1" t="n">
        <v>170</v>
      </c>
      <c r="D2860" s="1" t="n">
        <v>75</v>
      </c>
      <c r="E2860" s="4">
        <f>IF(INDEX(C:C, ROW())+INDEX(D:D, ROW())=0, 0, INDEX(C:C, ROW())/(INDEX(C:C, ROW())+INDEX(D:D, ROW())))</f>
        <v/>
      </c>
      <c r="F2860" s="1" t="inlineStr">
        <is>
          <t>Array, Dynamic Programming, Prefix Sum</t>
        </is>
      </c>
      <c r="G2860" s="1" t="inlineStr">
        <is>
          <t>Hard</t>
        </is>
      </c>
      <c r="H2860" s="1" t="n">
        <v>8292</v>
      </c>
      <c r="I2860" s="1" t="n">
        <v>30230</v>
      </c>
      <c r="J2860" s="9" t="n">
        <v>0.274</v>
      </c>
      <c r="K2860" s="1" t="inlineStr">
        <is>
          <t>Yes</t>
        </is>
      </c>
      <c r="L2860" s="1" t="inlineStr">
        <is>
          <t>No</t>
        </is>
      </c>
      <c r="M2860" s="1" t="inlineStr">
        <is>
          <t>No</t>
        </is>
      </c>
      <c r="N2860" s="1" t="inlineStr">
        <is>
          <t>Algorithms</t>
        </is>
      </c>
      <c r="O28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61" ht="15.75" customHeight="1" s="12">
      <c r="A2861" s="1" t="n">
        <v>3248</v>
      </c>
      <c r="B2861" s="3">
        <f>HYPERLINK("https://leetcode.com/problems/snake-in-matrix/", "Snake in Matrix")</f>
        <v/>
      </c>
      <c r="C2861" s="1" t="n">
        <v>170</v>
      </c>
      <c r="D2861" s="1" t="n">
        <v>4</v>
      </c>
      <c r="E2861" s="4">
        <f>IF(INDEX(C:C, ROW())+INDEX(D:D, ROW())=0, 0, INDEX(C:C, ROW())/(INDEX(C:C, ROW())+INDEX(D:D, ROW())))</f>
        <v/>
      </c>
      <c r="F2861" s="1" t="inlineStr">
        <is>
          <t>Array, String, Simulation</t>
        </is>
      </c>
      <c r="G2861" s="1" t="inlineStr">
        <is>
          <t>Easy</t>
        </is>
      </c>
      <c r="H2861" s="1" t="n">
        <v>72949</v>
      </c>
      <c r="I2861" s="1" t="n">
        <v>88687</v>
      </c>
      <c r="J2861" s="9" t="n">
        <v>0.823</v>
      </c>
      <c r="K2861" s="1" t="inlineStr">
        <is>
          <t>Yes</t>
        </is>
      </c>
      <c r="L2861" s="1" t="inlineStr">
        <is>
          <t>No</t>
        </is>
      </c>
      <c r="M2861" s="1" t="inlineStr">
        <is>
          <t>No</t>
        </is>
      </c>
      <c r="N2861" s="1" t="inlineStr">
        <is>
          <t>Algorithms</t>
        </is>
      </c>
      <c r="O28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62" ht="15.75" customHeight="1" s="12">
      <c r="A2862" s="1" t="n">
        <v>614</v>
      </c>
      <c r="B2862" s="3">
        <f>HYPERLINK("https://leetcode.com/problems/second-degree-follower/", "Second Degree Follower")</f>
        <v/>
      </c>
      <c r="C2862" s="1" t="n">
        <v>169</v>
      </c>
      <c r="D2862" s="1" t="n">
        <v>745</v>
      </c>
      <c r="E2862" s="4">
        <f>IF(INDEX(C:C, ROW())+INDEX(D:D, ROW())=0, 0, INDEX(C:C, ROW())/(INDEX(C:C, ROW())+INDEX(D:D, ROW())))</f>
        <v/>
      </c>
      <c r="F2862" s="1" t="inlineStr">
        <is>
          <t>Database</t>
        </is>
      </c>
      <c r="G2862" s="1" t="inlineStr">
        <is>
          <t>Medium</t>
        </is>
      </c>
      <c r="H2862" s="1" t="n">
        <v>62607</v>
      </c>
      <c r="I2862" s="1" t="n">
        <v>154048</v>
      </c>
      <c r="J2862" s="9" t="n">
        <v>0.406</v>
      </c>
      <c r="K2862" s="1" t="inlineStr">
        <is>
          <t>No</t>
        </is>
      </c>
      <c r="L2862" s="1" t="inlineStr">
        <is>
          <t>No</t>
        </is>
      </c>
      <c r="M2862" s="1" t="inlineStr">
        <is>
          <t>No</t>
        </is>
      </c>
      <c r="N2862" s="1" t="inlineStr">
        <is>
          <t>Database</t>
        </is>
      </c>
      <c r="O28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63" ht="15.75" customHeight="1" s="12">
      <c r="A2863" s="1" t="n">
        <v>3091</v>
      </c>
      <c r="B2863" s="3">
        <f>HYPERLINK("https://leetcode.com/problems/apply-operations-to-make-sum-of-array-greater-than-or-equal-to-k/", "Apply Operations to Make Sum of Array Greater Than or Equal to k")</f>
        <v/>
      </c>
      <c r="C2863" s="1" t="n">
        <v>169</v>
      </c>
      <c r="D2863" s="1" t="n">
        <v>18</v>
      </c>
      <c r="E2863" s="4">
        <f>IF(INDEX(C:C, ROW())+INDEX(D:D, ROW())=0, 0, INDEX(C:C, ROW())/(INDEX(C:C, ROW())+INDEX(D:D, ROW())))</f>
        <v/>
      </c>
      <c r="F2863" s="1" t="inlineStr">
        <is>
          <t>Math, Greedy, Enumeration</t>
        </is>
      </c>
      <c r="G2863" s="1" t="inlineStr">
        <is>
          <t>Medium</t>
        </is>
      </c>
      <c r="H2863" s="1" t="n">
        <v>32009</v>
      </c>
      <c r="I2863" s="1" t="n">
        <v>72551</v>
      </c>
      <c r="J2863" s="9" t="n">
        <v>0.441</v>
      </c>
      <c r="K2863" s="1" t="inlineStr">
        <is>
          <t>Yes</t>
        </is>
      </c>
      <c r="L2863" s="1" t="inlineStr">
        <is>
          <t>No</t>
        </is>
      </c>
      <c r="M2863" s="1" t="inlineStr">
        <is>
          <t>No</t>
        </is>
      </c>
      <c r="N2863" s="1" t="inlineStr">
        <is>
          <t>Algorithms</t>
        </is>
      </c>
      <c r="O28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64" ht="15.75" customHeight="1" s="12">
      <c r="A2864" s="1" t="n">
        <v>3366</v>
      </c>
      <c r="B2864" s="3">
        <f>HYPERLINK("https://leetcode.com/problems/minimum-array-sum/", "Minimum Array Sum")</f>
        <v/>
      </c>
      <c r="C2864" s="1" t="n">
        <v>169</v>
      </c>
      <c r="D2864" s="1" t="n">
        <v>16</v>
      </c>
      <c r="E2864" s="4">
        <f>IF(INDEX(C:C, ROW())+INDEX(D:D, ROW())=0, 0, INDEX(C:C, ROW())/(INDEX(C:C, ROW())+INDEX(D:D, ROW())))</f>
        <v/>
      </c>
      <c r="F2864" s="1" t="inlineStr">
        <is>
          <t>Array, Dynamic Programming</t>
        </is>
      </c>
      <c r="G2864" s="1" t="inlineStr">
        <is>
          <t>Medium</t>
        </is>
      </c>
      <c r="H2864" s="1" t="n">
        <v>15870</v>
      </c>
      <c r="I2864" s="1" t="n">
        <v>51838</v>
      </c>
      <c r="J2864" s="9" t="n">
        <v>0.306</v>
      </c>
      <c r="K2864" s="1" t="inlineStr">
        <is>
          <t>Yes</t>
        </is>
      </c>
      <c r="L2864" s="1" t="inlineStr">
        <is>
          <t>No</t>
        </is>
      </c>
      <c r="M2864" s="1" t="inlineStr">
        <is>
          <t>No</t>
        </is>
      </c>
      <c r="N2864" s="1" t="inlineStr">
        <is>
          <t>Algorithms</t>
        </is>
      </c>
      <c r="O28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65" ht="15.75" customHeight="1" s="12">
      <c r="A2865" s="1" t="n">
        <v>1369</v>
      </c>
      <c r="B2865" s="3">
        <f>HYPERLINK("https://leetcode.com/problems/get-the-second-most-recent-activity/", "Get the Second Most Recent Activity")</f>
        <v/>
      </c>
      <c r="C2865" s="1" t="n">
        <v>168</v>
      </c>
      <c r="D2865" s="1" t="n">
        <v>13</v>
      </c>
      <c r="E2865" s="4">
        <f>IF(INDEX(C:C, ROW())+INDEX(D:D, ROW())=0, 0, INDEX(C:C, ROW())/(INDEX(C:C, ROW())+INDEX(D:D, ROW())))</f>
        <v/>
      </c>
      <c r="F2865" s="1" t="inlineStr">
        <is>
          <t>Database</t>
        </is>
      </c>
      <c r="G2865" s="1" t="inlineStr">
        <is>
          <t>Hard</t>
        </is>
      </c>
      <c r="H2865" s="1" t="n">
        <v>25809</v>
      </c>
      <c r="I2865" s="1" t="n">
        <v>38360</v>
      </c>
      <c r="J2865" s="9" t="n">
        <v>0.673</v>
      </c>
      <c r="K2865" s="1" t="inlineStr">
        <is>
          <t>No</t>
        </is>
      </c>
      <c r="L2865" s="1" t="inlineStr">
        <is>
          <t>No</t>
        </is>
      </c>
      <c r="M2865" s="1" t="inlineStr">
        <is>
          <t>No</t>
        </is>
      </c>
      <c r="N2865" s="1" t="inlineStr">
        <is>
          <t>Database</t>
        </is>
      </c>
      <c r="O28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66" ht="15.75" customHeight="1" s="12">
      <c r="A2866" s="1" t="n">
        <v>3036</v>
      </c>
      <c r="B2866" s="3">
        <f>HYPERLINK("https://leetcode.com/problems/number-of-subarrays-that-match-a-pattern-ii/", "Number of Subarrays That Match a Pattern II")</f>
        <v/>
      </c>
      <c r="C2866" s="1" t="n">
        <v>168</v>
      </c>
      <c r="D2866" s="1" t="n">
        <v>6</v>
      </c>
      <c r="E2866" s="4">
        <f>IF(INDEX(C:C, ROW())+INDEX(D:D, ROW())=0, 0, INDEX(C:C, ROW())/(INDEX(C:C, ROW())+INDEX(D:D, ROW())))</f>
        <v/>
      </c>
      <c r="F2866" s="1" t="inlineStr">
        <is>
          <t>Array, Rolling Hash, String Matching, Hash Function</t>
        </is>
      </c>
      <c r="G2866" s="1" t="inlineStr">
        <is>
          <t>Hard</t>
        </is>
      </c>
      <c r="H2866" s="1" t="n">
        <v>13739</v>
      </c>
      <c r="I2866" s="1" t="n">
        <v>41366</v>
      </c>
      <c r="J2866" s="9" t="n">
        <v>0.332</v>
      </c>
      <c r="K2866" s="1" t="inlineStr">
        <is>
          <t>Yes</t>
        </is>
      </c>
      <c r="L2866" s="1" t="inlineStr">
        <is>
          <t>No</t>
        </is>
      </c>
      <c r="M2866" s="1" t="inlineStr">
        <is>
          <t>No</t>
        </is>
      </c>
      <c r="N2866" s="1" t="inlineStr">
        <is>
          <t>Algorithms</t>
        </is>
      </c>
      <c r="O28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67" ht="15.75" customHeight="1" s="12">
      <c r="A2867" s="1" t="n">
        <v>3120</v>
      </c>
      <c r="B2867" s="3">
        <f>HYPERLINK("https://leetcode.com/problems/count-the-number-of-special-characters-i/", "Count the Number of Special Characters I")</f>
        <v/>
      </c>
      <c r="C2867" s="1" t="n">
        <v>168</v>
      </c>
      <c r="D2867" s="1" t="n">
        <v>5</v>
      </c>
      <c r="E2867" s="4">
        <f>IF(INDEX(C:C, ROW())+INDEX(D:D, ROW())=0, 0, INDEX(C:C, ROW())/(INDEX(C:C, ROW())+INDEX(D:D, ROW())))</f>
        <v/>
      </c>
      <c r="F2867" s="1" t="inlineStr">
        <is>
          <t>Hash Table, String</t>
        </is>
      </c>
      <c r="G2867" s="1" t="inlineStr">
        <is>
          <t>Easy</t>
        </is>
      </c>
      <c r="H2867" s="1" t="n">
        <v>62361</v>
      </c>
      <c r="I2867" s="1" t="n">
        <v>93726</v>
      </c>
      <c r="J2867" s="9" t="n">
        <v>0.665</v>
      </c>
      <c r="K2867" s="1" t="inlineStr">
        <is>
          <t>Yes</t>
        </is>
      </c>
      <c r="L2867" s="1" t="inlineStr">
        <is>
          <t>No</t>
        </is>
      </c>
      <c r="M2867" s="1" t="inlineStr">
        <is>
          <t>No</t>
        </is>
      </c>
      <c r="N2867" s="1" t="inlineStr">
        <is>
          <t>Algorithms</t>
        </is>
      </c>
      <c r="O28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68" ht="15.75" customHeight="1" s="12">
      <c r="A2868" s="1" t="n">
        <v>3131</v>
      </c>
      <c r="B2868" s="3">
        <f>HYPERLINK("https://leetcode.com/problems/find-the-integer-added-to-array-i/", "Find the Integer Added to Array I")</f>
        <v/>
      </c>
      <c r="C2868" s="1" t="n">
        <v>168</v>
      </c>
      <c r="D2868" s="1" t="n">
        <v>11</v>
      </c>
      <c r="E2868" s="4">
        <f>IF(INDEX(C:C, ROW())+INDEX(D:D, ROW())=0, 0, INDEX(C:C, ROW())/(INDEX(C:C, ROW())+INDEX(D:D, ROW())))</f>
        <v/>
      </c>
      <c r="F2868" s="1" t="inlineStr">
        <is>
          <t>Array</t>
        </is>
      </c>
      <c r="G2868" s="1" t="inlineStr">
        <is>
          <t>Easy</t>
        </is>
      </c>
      <c r="H2868" s="1" t="n">
        <v>79355</v>
      </c>
      <c r="I2868" s="1" t="n">
        <v>95933</v>
      </c>
      <c r="J2868" s="9" t="n">
        <v>0.827</v>
      </c>
      <c r="K2868" s="1" t="inlineStr">
        <is>
          <t>Yes</t>
        </is>
      </c>
      <c r="L2868" s="1" t="inlineStr">
        <is>
          <t>No</t>
        </is>
      </c>
      <c r="M2868" s="1" t="inlineStr">
        <is>
          <t>No</t>
        </is>
      </c>
      <c r="N2868" s="1" t="inlineStr">
        <is>
          <t>Algorithms</t>
        </is>
      </c>
      <c r="O28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69" ht="15.75" customHeight="1" s="12">
      <c r="A2869" s="1" t="n">
        <v>3143</v>
      </c>
      <c r="B2869" s="3">
        <f>HYPERLINK("https://leetcode.com/problems/maximum-points-inside-the-square/", "Maximum Points Inside the Square")</f>
        <v/>
      </c>
      <c r="C2869" s="1" t="n">
        <v>168</v>
      </c>
      <c r="D2869" s="1" t="n">
        <v>24</v>
      </c>
      <c r="E2869" s="4">
        <f>IF(INDEX(C:C, ROW())+INDEX(D:D, ROW())=0, 0, INDEX(C:C, ROW())/(INDEX(C:C, ROW())+INDEX(D:D, ROW())))</f>
        <v/>
      </c>
      <c r="F2869" s="1" t="inlineStr">
        <is>
          <t>Array, Hash Table, String, Binary Search, Sorting</t>
        </is>
      </c>
      <c r="G2869" s="1" t="inlineStr">
        <is>
          <t>Medium</t>
        </is>
      </c>
      <c r="H2869" s="1" t="n">
        <v>20813</v>
      </c>
      <c r="I2869" s="1" t="n">
        <v>53348</v>
      </c>
      <c r="J2869" s="9" t="n">
        <v>0.39</v>
      </c>
      <c r="K2869" s="1" t="inlineStr">
        <is>
          <t>Yes</t>
        </is>
      </c>
      <c r="L2869" s="1" t="inlineStr">
        <is>
          <t>No</t>
        </is>
      </c>
      <c r="M2869" s="1" t="inlineStr">
        <is>
          <t>No</t>
        </is>
      </c>
      <c r="N2869" s="1" t="inlineStr">
        <is>
          <t>Algorithms</t>
        </is>
      </c>
      <c r="O28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70" ht="15.75" customHeight="1" s="12">
      <c r="A2870" s="1" t="n">
        <v>1107</v>
      </c>
      <c r="B2870" s="3">
        <f>HYPERLINK("https://leetcode.com/problems/new-users-daily-count/", "New Users Daily Count")</f>
        <v/>
      </c>
      <c r="C2870" s="1" t="n">
        <v>167</v>
      </c>
      <c r="D2870" s="1" t="n">
        <v>173</v>
      </c>
      <c r="E2870" s="4">
        <f>IF(INDEX(C:C, ROW())+INDEX(D:D, ROW())=0, 0, INDEX(C:C, ROW())/(INDEX(C:C, ROW())+INDEX(D:D, ROW())))</f>
        <v/>
      </c>
      <c r="F2870" s="1" t="inlineStr">
        <is>
          <t>Database</t>
        </is>
      </c>
      <c r="G2870" s="1" t="inlineStr">
        <is>
          <t>Medium</t>
        </is>
      </c>
      <c r="H2870" s="1" t="n">
        <v>44063</v>
      </c>
      <c r="I2870" s="1" t="n">
        <v>97756</v>
      </c>
      <c r="J2870" s="9" t="n">
        <v>0.451</v>
      </c>
      <c r="K2870" s="1" t="inlineStr">
        <is>
          <t>No</t>
        </is>
      </c>
      <c r="L2870" s="1" t="inlineStr">
        <is>
          <t>Yes</t>
        </is>
      </c>
      <c r="M2870" s="1" t="inlineStr">
        <is>
          <t>No</t>
        </is>
      </c>
      <c r="N2870" s="1" t="inlineStr">
        <is>
          <t>Database</t>
        </is>
      </c>
      <c r="O28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71" ht="15.75" customHeight="1" s="12">
      <c r="A2871" s="1" t="n">
        <v>3076</v>
      </c>
      <c r="B2871" s="3">
        <f>HYPERLINK("https://leetcode.com/problems/shortest-uncommon-substring-in-an-array/", "Shortest Uncommon Substring in an Array")</f>
        <v/>
      </c>
      <c r="C2871" s="1" t="n">
        <v>167</v>
      </c>
      <c r="D2871" s="1" t="n">
        <v>27</v>
      </c>
      <c r="E2871" s="4">
        <f>IF(INDEX(C:C, ROW())+INDEX(D:D, ROW())=0, 0, INDEX(C:C, ROW())/(INDEX(C:C, ROW())+INDEX(D:D, ROW())))</f>
        <v/>
      </c>
      <c r="F2871" s="1" t="inlineStr">
        <is>
          <t>Array, Hash Table, String, Trie</t>
        </is>
      </c>
      <c r="G2871" s="1" t="inlineStr">
        <is>
          <t>Medium</t>
        </is>
      </c>
      <c r="H2871" s="1" t="n">
        <v>34381</v>
      </c>
      <c r="I2871" s="1" t="n">
        <v>69076</v>
      </c>
      <c r="J2871" s="9" t="n">
        <v>0.498</v>
      </c>
      <c r="K2871" s="1" t="inlineStr">
        <is>
          <t>Yes</t>
        </is>
      </c>
      <c r="L2871" s="1" t="inlineStr">
        <is>
          <t>No</t>
        </is>
      </c>
      <c r="M2871" s="1" t="inlineStr">
        <is>
          <t>No</t>
        </is>
      </c>
      <c r="N2871" s="1" t="inlineStr">
        <is>
          <t>Algorithms</t>
        </is>
      </c>
      <c r="O28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72" ht="15.75" customHeight="1" s="12">
      <c r="A2872" s="1" t="n">
        <v>3082</v>
      </c>
      <c r="B2872" s="3">
        <f>HYPERLINK("https://leetcode.com/problems/find-the-sum-of-the-power-of-all-subsequences/", "Find the Sum of the Power of All Subsequences")</f>
        <v/>
      </c>
      <c r="C2872" s="1" t="n">
        <v>167</v>
      </c>
      <c r="D2872" s="1" t="n">
        <v>4</v>
      </c>
      <c r="E2872" s="4">
        <f>IF(INDEX(C:C, ROW())+INDEX(D:D, ROW())=0, 0, INDEX(C:C, ROW())/(INDEX(C:C, ROW())+INDEX(D:D, ROW())))</f>
        <v/>
      </c>
      <c r="F2872" s="1" t="inlineStr">
        <is>
          <t>Array, Dynamic Programming</t>
        </is>
      </c>
      <c r="G2872" s="1" t="inlineStr">
        <is>
          <t>Hard</t>
        </is>
      </c>
      <c r="H2872" s="1" t="n">
        <v>9685</v>
      </c>
      <c r="I2872" s="1" t="n">
        <v>25579</v>
      </c>
      <c r="J2872" s="9" t="n">
        <v>0.379</v>
      </c>
      <c r="K2872" s="1" t="inlineStr">
        <is>
          <t>Yes</t>
        </is>
      </c>
      <c r="L2872" s="1" t="inlineStr">
        <is>
          <t>No</t>
        </is>
      </c>
      <c r="M2872" s="1" t="inlineStr">
        <is>
          <t>No</t>
        </is>
      </c>
      <c r="N2872" s="1" t="inlineStr">
        <is>
          <t>Algorithms</t>
        </is>
      </c>
      <c r="O28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73" ht="15.75" customHeight="1" s="12">
      <c r="A2873" s="1" t="n">
        <v>3209</v>
      </c>
      <c r="B2873" s="3">
        <f>HYPERLINK("https://leetcode.com/problems/number-of-subarrays-with-and-value-of-k/", "Number of Subarrays With AND Value of K")</f>
        <v/>
      </c>
      <c r="C2873" s="1" t="n">
        <v>167</v>
      </c>
      <c r="D2873" s="1" t="n">
        <v>7</v>
      </c>
      <c r="E2873" s="4">
        <f>IF(INDEX(C:C, ROW())+INDEX(D:D, ROW())=0, 0, INDEX(C:C, ROW())/(INDEX(C:C, ROW())+INDEX(D:D, ROW())))</f>
        <v/>
      </c>
      <c r="F2873" s="1" t="inlineStr">
        <is>
          <t>Array, Binary Search, Bit Manipulation, Segment Tree</t>
        </is>
      </c>
      <c r="G2873" s="1" t="inlineStr">
        <is>
          <t>Hard</t>
        </is>
      </c>
      <c r="H2873" s="1" t="n">
        <v>13535</v>
      </c>
      <c r="I2873" s="1" t="n">
        <v>38876</v>
      </c>
      <c r="J2873" s="9" t="n">
        <v>0.348</v>
      </c>
      <c r="K2873" s="1" t="inlineStr">
        <is>
          <t>Yes</t>
        </is>
      </c>
      <c r="L2873" s="1" t="inlineStr">
        <is>
          <t>No</t>
        </is>
      </c>
      <c r="M2873" s="1" t="inlineStr">
        <is>
          <t>No</t>
        </is>
      </c>
      <c r="N2873" s="1" t="inlineStr">
        <is>
          <t>Algorithms</t>
        </is>
      </c>
      <c r="O28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74" ht="15.75" customHeight="1" s="12">
      <c r="A2874" s="1" t="n">
        <v>660</v>
      </c>
      <c r="B2874" s="3">
        <f>HYPERLINK("https://leetcode.com/problems/remove-9/", "Remove 9")</f>
        <v/>
      </c>
      <c r="C2874" s="1" t="n">
        <v>166</v>
      </c>
      <c r="D2874" s="1" t="n">
        <v>204</v>
      </c>
      <c r="E2874" s="4">
        <f>IF(INDEX(C:C, ROW())+INDEX(D:D, ROW())=0, 0, INDEX(C:C, ROW())/(INDEX(C:C, ROW())+INDEX(D:D, ROW())))</f>
        <v/>
      </c>
      <c r="F2874" s="1" t="inlineStr">
        <is>
          <t>Math</t>
        </is>
      </c>
      <c r="G2874" s="1" t="inlineStr">
        <is>
          <t>Hard</t>
        </is>
      </c>
      <c r="H2874" s="1" t="n">
        <v>11259</v>
      </c>
      <c r="I2874" s="1" t="n">
        <v>19606</v>
      </c>
      <c r="J2874" s="9" t="n">
        <v>0.574</v>
      </c>
      <c r="K2874" s="1" t="inlineStr">
        <is>
          <t>No</t>
        </is>
      </c>
      <c r="L2874" s="1" t="inlineStr">
        <is>
          <t>Yes</t>
        </is>
      </c>
      <c r="M2874" s="1" t="inlineStr">
        <is>
          <t>No</t>
        </is>
      </c>
      <c r="N2874" s="1" t="inlineStr">
        <is>
          <t>Algorithms</t>
        </is>
      </c>
      <c r="O28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75" ht="15.75" customHeight="1" s="12">
      <c r="A2875" s="1" t="n">
        <v>1426</v>
      </c>
      <c r="B2875" s="3">
        <f>HYPERLINK("https://leetcode.com/problems/counting-elements/", "Counting Elements")</f>
        <v/>
      </c>
      <c r="C2875" s="1" t="n">
        <v>166</v>
      </c>
      <c r="D2875" s="1" t="n">
        <v>64</v>
      </c>
      <c r="E2875" s="4">
        <f>IF(INDEX(C:C, ROW())+INDEX(D:D, ROW())=0, 0, INDEX(C:C, ROW())/(INDEX(C:C, ROW())+INDEX(D:D, ROW())))</f>
        <v/>
      </c>
      <c r="F2875" s="1" t="inlineStr">
        <is>
          <t>Array, Hash Table</t>
        </is>
      </c>
      <c r="G2875" s="1" t="inlineStr">
        <is>
          <t>Easy</t>
        </is>
      </c>
      <c r="H2875" s="1" t="n">
        <v>163630</v>
      </c>
      <c r="I2875" s="1" t="n">
        <v>269637</v>
      </c>
      <c r="J2875" s="9" t="n">
        <v>0.607</v>
      </c>
      <c r="K2875" s="1" t="inlineStr">
        <is>
          <t>No</t>
        </is>
      </c>
      <c r="L2875" s="1" t="inlineStr">
        <is>
          <t>Yes</t>
        </is>
      </c>
      <c r="M2875" s="1" t="inlineStr">
        <is>
          <t>No</t>
        </is>
      </c>
      <c r="N2875" s="1" t="inlineStr">
        <is>
          <t>Algorithms</t>
        </is>
      </c>
      <c r="O28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76" ht="15.75" customHeight="1" s="12">
      <c r="A2876" s="1" t="n">
        <v>1949</v>
      </c>
      <c r="B2876" s="3">
        <f>HYPERLINK("https://leetcode.com/problems/strong-friendship/", "Strong Friendship")</f>
        <v/>
      </c>
      <c r="C2876" s="1" t="n">
        <v>166</v>
      </c>
      <c r="D2876" s="1" t="n">
        <v>86</v>
      </c>
      <c r="E2876" s="4">
        <f>IF(INDEX(C:C, ROW())+INDEX(D:D, ROW())=0, 0, INDEX(C:C, ROW())/(INDEX(C:C, ROW())+INDEX(D:D, ROW())))</f>
        <v/>
      </c>
      <c r="F2876" s="1" t="inlineStr">
        <is>
          <t>Database</t>
        </is>
      </c>
      <c r="G2876" s="1" t="inlineStr">
        <is>
          <t>Medium</t>
        </is>
      </c>
      <c r="H2876" s="1" t="n">
        <v>15961</v>
      </c>
      <c r="I2876" s="1" t="n">
        <v>29384</v>
      </c>
      <c r="J2876" s="9" t="n">
        <v>0.543</v>
      </c>
      <c r="K2876" s="1" t="inlineStr">
        <is>
          <t>No</t>
        </is>
      </c>
      <c r="L2876" s="1" t="inlineStr">
        <is>
          <t>No</t>
        </is>
      </c>
      <c r="M2876" s="1" t="inlineStr">
        <is>
          <t>No</t>
        </is>
      </c>
      <c r="N2876" s="1" t="inlineStr">
        <is>
          <t>Database</t>
        </is>
      </c>
      <c r="O28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77" ht="15.75" customHeight="1" s="12">
      <c r="A2877" s="1" t="n">
        <v>2903</v>
      </c>
      <c r="B2877" s="3">
        <f>HYPERLINK("https://leetcode.com/problems/find-indices-with-index-and-value-difference-i/", "Find Indices With Index and Value Difference I")</f>
        <v/>
      </c>
      <c r="C2877" s="1" t="n">
        <v>166</v>
      </c>
      <c r="D2877" s="1" t="n">
        <v>18</v>
      </c>
      <c r="E2877" s="4">
        <f>IF(INDEX(C:C, ROW())+INDEX(D:D, ROW())=0, 0, INDEX(C:C, ROW())/(INDEX(C:C, ROW())+INDEX(D:D, ROW())))</f>
        <v/>
      </c>
      <c r="F2877" s="1" t="inlineStr">
        <is>
          <t>Array, Two Pointers</t>
        </is>
      </c>
      <c r="G2877" s="1" t="inlineStr">
        <is>
          <t>Easy</t>
        </is>
      </c>
      <c r="H2877" s="1" t="n">
        <v>52343</v>
      </c>
      <c r="I2877" s="1" t="n">
        <v>86848</v>
      </c>
      <c r="J2877" s="9" t="n">
        <v>0.603</v>
      </c>
      <c r="K2877" s="1" t="inlineStr">
        <is>
          <t>Yes</t>
        </is>
      </c>
      <c r="L2877" s="1" t="inlineStr">
        <is>
          <t>No</t>
        </is>
      </c>
      <c r="M2877" s="1" t="inlineStr">
        <is>
          <t>No</t>
        </is>
      </c>
      <c r="N2877" s="1" t="inlineStr">
        <is>
          <t>Algorithms</t>
        </is>
      </c>
      <c r="O28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78" ht="15.75" customHeight="1" s="12">
      <c r="A2878" s="1" t="n">
        <v>3065</v>
      </c>
      <c r="B2878" s="3">
        <f>HYPERLINK("https://leetcode.com/problems/minimum-operations-to-exceed-threshold-value-i/", "Minimum Operations to Exceed Threshold Value I")</f>
        <v/>
      </c>
      <c r="C2878" s="1" t="n">
        <v>166</v>
      </c>
      <c r="D2878" s="1" t="n">
        <v>17</v>
      </c>
      <c r="E2878" s="4">
        <f>IF(INDEX(C:C, ROW())+INDEX(D:D, ROW())=0, 0, INDEX(C:C, ROW())/(INDEX(C:C, ROW())+INDEX(D:D, ROW())))</f>
        <v/>
      </c>
      <c r="F2878" s="1" t="inlineStr">
        <is>
          <t>Array</t>
        </is>
      </c>
      <c r="G2878" s="1" t="inlineStr">
        <is>
          <t>Easy</t>
        </is>
      </c>
      <c r="H2878" s="1" t="n">
        <v>98775</v>
      </c>
      <c r="I2878" s="1" t="n">
        <v>114210</v>
      </c>
      <c r="J2878" s="9" t="n">
        <v>0.865</v>
      </c>
      <c r="K2878" s="1" t="inlineStr">
        <is>
          <t>Yes</t>
        </is>
      </c>
      <c r="L2878" s="1" t="inlineStr">
        <is>
          <t>No</t>
        </is>
      </c>
      <c r="M2878" s="1" t="inlineStr">
        <is>
          <t>No</t>
        </is>
      </c>
      <c r="N2878" s="1" t="inlineStr">
        <is>
          <t>Algorithms</t>
        </is>
      </c>
      <c r="O28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79" ht="15.75" customHeight="1" s="12">
      <c r="A2879" s="1" t="n">
        <v>3039</v>
      </c>
      <c r="B2879" s="3">
        <f>HYPERLINK("https://leetcode.com/problems/apply-operations-to-make-string-empty/", "Apply Operations to Make String Empty")</f>
        <v/>
      </c>
      <c r="C2879" s="1" t="n">
        <v>165</v>
      </c>
      <c r="D2879" s="1" t="n">
        <v>8</v>
      </c>
      <c r="E2879" s="4">
        <f>IF(INDEX(C:C, ROW())+INDEX(D:D, ROW())=0, 0, INDEX(C:C, ROW())/(INDEX(C:C, ROW())+INDEX(D:D, ROW())))</f>
        <v/>
      </c>
      <c r="F2879" s="1" t="inlineStr">
        <is>
          <t>Array, Hash Table, Sorting, Counting</t>
        </is>
      </c>
      <c r="G2879" s="1" t="inlineStr">
        <is>
          <t>Medium</t>
        </is>
      </c>
      <c r="H2879" s="1" t="n">
        <v>31817</v>
      </c>
      <c r="I2879" s="1" t="n">
        <v>55639</v>
      </c>
      <c r="J2879" s="9" t="n">
        <v>0.572</v>
      </c>
      <c r="K2879" s="1" t="inlineStr">
        <is>
          <t>Yes</t>
        </is>
      </c>
      <c r="L2879" s="1" t="inlineStr">
        <is>
          <t>No</t>
        </is>
      </c>
      <c r="M2879" s="1" t="inlineStr">
        <is>
          <t>No</t>
        </is>
      </c>
      <c r="N2879" s="1" t="inlineStr">
        <is>
          <t>Algorithms</t>
        </is>
      </c>
      <c r="O28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80" ht="15.75" customHeight="1" s="12">
      <c r="A2880" s="1" t="n">
        <v>1571</v>
      </c>
      <c r="B2880" s="3">
        <f>HYPERLINK("https://leetcode.com/problems/warehouse-manager/", "Warehouse Manager")</f>
        <v/>
      </c>
      <c r="C2880" s="1" t="n">
        <v>164</v>
      </c>
      <c r="D2880" s="1" t="n">
        <v>12</v>
      </c>
      <c r="E2880" s="4">
        <f>IF(INDEX(C:C, ROW())+INDEX(D:D, ROW())=0, 0, INDEX(C:C, ROW())/(INDEX(C:C, ROW())+INDEX(D:D, ROW())))</f>
        <v/>
      </c>
      <c r="F2880" s="1" t="inlineStr">
        <is>
          <t>Database</t>
        </is>
      </c>
      <c r="G2880" s="1" t="inlineStr">
        <is>
          <t>Easy</t>
        </is>
      </c>
      <c r="H2880" s="1" t="n">
        <v>51019</v>
      </c>
      <c r="I2880" s="1" t="n">
        <v>58421</v>
      </c>
      <c r="J2880" s="9" t="n">
        <v>0.873</v>
      </c>
      <c r="K2880" s="1" t="inlineStr">
        <is>
          <t>No</t>
        </is>
      </c>
      <c r="L2880" s="1" t="inlineStr">
        <is>
          <t>Yes</t>
        </is>
      </c>
      <c r="M2880" s="1" t="inlineStr">
        <is>
          <t>No</t>
        </is>
      </c>
      <c r="N2880" s="1" t="inlineStr">
        <is>
          <t>Database</t>
        </is>
      </c>
      <c r="O28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81" ht="15.75" customHeight="1" s="12">
      <c r="A2881" s="1" t="n">
        <v>2899</v>
      </c>
      <c r="B2881" s="3">
        <f>HYPERLINK("https://leetcode.com/problems/last-visited-integers/", "Last Visited Integers")</f>
        <v/>
      </c>
      <c r="C2881" s="1" t="n">
        <v>164</v>
      </c>
      <c r="D2881" s="1" t="n">
        <v>233</v>
      </c>
      <c r="E2881" s="4">
        <f>IF(INDEX(C:C, ROW())+INDEX(D:D, ROW())=0, 0, INDEX(C:C, ROW())/(INDEX(C:C, ROW())+INDEX(D:D, ROW())))</f>
        <v/>
      </c>
      <c r="F2881" s="1" t="inlineStr">
        <is>
          <t>Array, Simulation</t>
        </is>
      </c>
      <c r="G2881" s="1" t="inlineStr">
        <is>
          <t>Easy</t>
        </is>
      </c>
      <c r="H2881" s="1" t="n">
        <v>32404</v>
      </c>
      <c r="I2881" s="1" t="n">
        <v>52351</v>
      </c>
      <c r="J2881" s="9" t="n">
        <v>0.619</v>
      </c>
      <c r="K2881" s="1" t="inlineStr">
        <is>
          <t>Yes</t>
        </is>
      </c>
      <c r="L2881" s="1" t="inlineStr">
        <is>
          <t>No</t>
        </is>
      </c>
      <c r="M2881" s="1" t="inlineStr">
        <is>
          <t>No</t>
        </is>
      </c>
      <c r="N2881" s="1" t="inlineStr">
        <is>
          <t>Algorithms</t>
        </is>
      </c>
      <c r="O28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82" ht="15.75" customHeight="1" s="12">
      <c r="A2882" s="1" t="n">
        <v>3046</v>
      </c>
      <c r="B2882" s="3">
        <f>HYPERLINK("https://leetcode.com/problems/split-the-array/", "Split the Array")</f>
        <v/>
      </c>
      <c r="C2882" s="1" t="n">
        <v>164</v>
      </c>
      <c r="D2882" s="1" t="n">
        <v>15</v>
      </c>
      <c r="E2882" s="4">
        <f>IF(INDEX(C:C, ROW())+INDEX(D:D, ROW())=0, 0, INDEX(C:C, ROW())/(INDEX(C:C, ROW())+INDEX(D:D, ROW())))</f>
        <v/>
      </c>
      <c r="F2882" s="1" t="inlineStr">
        <is>
          <t>Array, Hash Table, Counting</t>
        </is>
      </c>
      <c r="G2882" s="1" t="inlineStr">
        <is>
          <t>Easy</t>
        </is>
      </c>
      <c r="H2882" s="1" t="n">
        <v>79041</v>
      </c>
      <c r="I2882" s="1" t="n">
        <v>130208</v>
      </c>
      <c r="J2882" s="9" t="n">
        <v>0.607</v>
      </c>
      <c r="K2882" s="1" t="inlineStr">
        <is>
          <t>Yes</t>
        </is>
      </c>
      <c r="L2882" s="1" t="inlineStr">
        <is>
          <t>No</t>
        </is>
      </c>
      <c r="M2882" s="1" t="inlineStr">
        <is>
          <t>No</t>
        </is>
      </c>
      <c r="N2882" s="1" t="inlineStr">
        <is>
          <t>Algorithms</t>
        </is>
      </c>
      <c r="O28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83" ht="15.75" customHeight="1" s="12">
      <c r="A2883" s="1" t="n">
        <v>3106</v>
      </c>
      <c r="B2883" s="3">
        <f>HYPERLINK("https://leetcode.com/problems/lexicographically-smallest-string-after-operations-with-constraint/", "Lexicographically Smallest String After Operations With Constraint")</f>
        <v/>
      </c>
      <c r="C2883" s="1" t="n">
        <v>164</v>
      </c>
      <c r="D2883" s="1" t="n">
        <v>28</v>
      </c>
      <c r="E2883" s="4">
        <f>IF(INDEX(C:C, ROW())+INDEX(D:D, ROW())=0, 0, INDEX(C:C, ROW())/(INDEX(C:C, ROW())+INDEX(D:D, ROW())))</f>
        <v/>
      </c>
      <c r="F2883" s="1" t="inlineStr">
        <is>
          <t>String, Greedy</t>
        </is>
      </c>
      <c r="G2883" s="1" t="inlineStr">
        <is>
          <t>Medium</t>
        </is>
      </c>
      <c r="H2883" s="1" t="n">
        <v>28942</v>
      </c>
      <c r="I2883" s="1" t="n">
        <v>46032</v>
      </c>
      <c r="J2883" s="9" t="n">
        <v>0.629</v>
      </c>
      <c r="K2883" s="1" t="inlineStr">
        <is>
          <t>Yes</t>
        </is>
      </c>
      <c r="L2883" s="1" t="inlineStr">
        <is>
          <t>No</t>
        </is>
      </c>
      <c r="M2883" s="1" t="inlineStr">
        <is>
          <t>No</t>
        </is>
      </c>
      <c r="N2883" s="1" t="inlineStr">
        <is>
          <t>Algorithms</t>
        </is>
      </c>
      <c r="O28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84" ht="15.75" customHeight="1" s="12">
      <c r="A2884" s="1" t="n">
        <v>3273</v>
      </c>
      <c r="B2884" s="3">
        <f>HYPERLINK("https://leetcode.com/problems/minimum-amount-of-damage-dealt-to-bob/", "Minimum Amount of Damage Dealt to Bob")</f>
        <v/>
      </c>
      <c r="C2884" s="1" t="n">
        <v>164</v>
      </c>
      <c r="D2884" s="1" t="n">
        <v>25</v>
      </c>
      <c r="E2884" s="4">
        <f>IF(INDEX(C:C, ROW())+INDEX(D:D, ROW())=0, 0, INDEX(C:C, ROW())/(INDEX(C:C, ROW())+INDEX(D:D, ROW())))</f>
        <v/>
      </c>
      <c r="F2884" s="1" t="inlineStr">
        <is>
          <t>Array, Greedy, Sorting</t>
        </is>
      </c>
      <c r="G2884" s="1" t="inlineStr">
        <is>
          <t>Hard</t>
        </is>
      </c>
      <c r="H2884" s="1" t="n">
        <v>14060</v>
      </c>
      <c r="I2884" s="1" t="n">
        <v>35670</v>
      </c>
      <c r="J2884" s="9" t="n">
        <v>0.394</v>
      </c>
      <c r="K2884" s="1" t="inlineStr">
        <is>
          <t>Yes</t>
        </is>
      </c>
      <c r="L2884" s="1" t="inlineStr">
        <is>
          <t>No</t>
        </is>
      </c>
      <c r="M2884" s="1" t="inlineStr">
        <is>
          <t>No</t>
        </is>
      </c>
      <c r="N2884" s="1" t="inlineStr">
        <is>
          <t>Algorithms</t>
        </is>
      </c>
      <c r="O28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85" ht="15.75" customHeight="1" s="12">
      <c r="A2885" s="1" t="n">
        <v>194</v>
      </c>
      <c r="B2885" s="3">
        <f>HYPERLINK("https://leetcode.com/problems/transpose-file/", "Transpose File")</f>
        <v/>
      </c>
      <c r="C2885" s="1" t="n">
        <v>163</v>
      </c>
      <c r="D2885" s="1" t="n">
        <v>290</v>
      </c>
      <c r="E2885" s="4">
        <f>IF(INDEX(C:C, ROW())+INDEX(D:D, ROW())=0, 0, INDEX(C:C, ROW())/(INDEX(C:C, ROW())+INDEX(D:D, ROW())))</f>
        <v/>
      </c>
      <c r="F2885" s="1" t="inlineStr">
        <is>
          <t>Shell</t>
        </is>
      </c>
      <c r="G2885" s="1" t="inlineStr">
        <is>
          <t>Medium</t>
        </is>
      </c>
      <c r="H2885" s="1" t="n">
        <v>39156</v>
      </c>
      <c r="I2885" s="1" t="n">
        <v>129655</v>
      </c>
      <c r="J2885" s="9" t="n">
        <v>0.302</v>
      </c>
      <c r="K2885" s="1" t="inlineStr">
        <is>
          <t>Yes</t>
        </is>
      </c>
      <c r="L2885" s="1" t="inlineStr">
        <is>
          <t>No</t>
        </is>
      </c>
      <c r="M2885" s="1" t="inlineStr">
        <is>
          <t>No</t>
        </is>
      </c>
      <c r="N2885" s="1" t="inlineStr">
        <is>
          <t>Shell</t>
        </is>
      </c>
      <c r="O28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86" ht="15.75" customHeight="1" s="12">
      <c r="A2886" s="1" t="n">
        <v>1205</v>
      </c>
      <c r="B2886" s="3">
        <f>HYPERLINK("https://leetcode.com/problems/monthly-transactions-ii/", "Monthly Transactions II")</f>
        <v/>
      </c>
      <c r="C2886" s="1" t="n">
        <v>163</v>
      </c>
      <c r="D2886" s="1" t="n">
        <v>554</v>
      </c>
      <c r="E2886" s="4">
        <f>IF(INDEX(C:C, ROW())+INDEX(D:D, ROW())=0, 0, INDEX(C:C, ROW())/(INDEX(C:C, ROW())+INDEX(D:D, ROW())))</f>
        <v/>
      </c>
      <c r="F2886" s="1" t="inlineStr">
        <is>
          <t>Database</t>
        </is>
      </c>
      <c r="G2886" s="1" t="inlineStr">
        <is>
          <t>Medium</t>
        </is>
      </c>
      <c r="H2886" s="1" t="n">
        <v>27956</v>
      </c>
      <c r="I2886" s="1" t="n">
        <v>66497</v>
      </c>
      <c r="J2886" s="9" t="n">
        <v>0.42</v>
      </c>
      <c r="K2886" s="1" t="inlineStr">
        <is>
          <t>No</t>
        </is>
      </c>
      <c r="L2886" s="1" t="inlineStr">
        <is>
          <t>Yes</t>
        </is>
      </c>
      <c r="M2886" s="1" t="inlineStr">
        <is>
          <t>No</t>
        </is>
      </c>
      <c r="N2886" s="1" t="inlineStr">
        <is>
          <t>Database</t>
        </is>
      </c>
      <c r="O28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87" ht="15.75" customHeight="1" s="12">
      <c r="A2887" s="1" t="n">
        <v>3070</v>
      </c>
      <c r="B2887" s="3">
        <f>HYPERLINK("https://leetcode.com/problems/count-submatrices-with-top-left-element-and-sum-less-than-k/", "Count Submatrices with Top-Left Element and Sum Less Than k")</f>
        <v/>
      </c>
      <c r="C2887" s="1" t="n">
        <v>163</v>
      </c>
      <c r="D2887" s="1" t="n">
        <v>6</v>
      </c>
      <c r="E2887" s="4">
        <f>IF(INDEX(C:C, ROW())+INDEX(D:D, ROW())=0, 0, INDEX(C:C, ROW())/(INDEX(C:C, ROW())+INDEX(D:D, ROW())))</f>
        <v/>
      </c>
      <c r="F2887" s="1" t="inlineStr">
        <is>
          <t>Array, Matrix, Prefix Sum</t>
        </is>
      </c>
      <c r="G2887" s="1" t="inlineStr">
        <is>
          <t>Medium</t>
        </is>
      </c>
      <c r="H2887" s="1" t="n">
        <v>30733</v>
      </c>
      <c r="I2887" s="1" t="n">
        <v>52864</v>
      </c>
      <c r="J2887" s="9" t="n">
        <v>0.581</v>
      </c>
      <c r="K2887" s="1" t="inlineStr">
        <is>
          <t>Yes</t>
        </is>
      </c>
      <c r="L2887" s="1" t="inlineStr">
        <is>
          <t>No</t>
        </is>
      </c>
      <c r="M2887" s="1" t="inlineStr">
        <is>
          <t>No</t>
        </is>
      </c>
      <c r="N2887" s="1" t="inlineStr">
        <is>
          <t>Algorithms</t>
        </is>
      </c>
      <c r="O28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88" ht="15.75" customHeight="1" s="12">
      <c r="A2888" s="1" t="n">
        <v>3176</v>
      </c>
      <c r="B2888" s="3">
        <f>HYPERLINK("https://leetcode.com/problems/find-the-maximum-length-of-a-good-subsequence-i/", "Find the Maximum Length of a Good Subsequence I")</f>
        <v/>
      </c>
      <c r="C2888" s="1" t="n">
        <v>163</v>
      </c>
      <c r="D2888" s="1" t="n">
        <v>94</v>
      </c>
      <c r="E2888" s="4">
        <f>IF(INDEX(C:C, ROW())+INDEX(D:D, ROW())=0, 0, INDEX(C:C, ROW())/(INDEX(C:C, ROW())+INDEX(D:D, ROW())))</f>
        <v/>
      </c>
      <c r="F2888" s="1" t="inlineStr">
        <is>
          <t>Array, Hash Table, Dynamic Programming</t>
        </is>
      </c>
      <c r="G2888" s="1" t="inlineStr">
        <is>
          <t>Medium</t>
        </is>
      </c>
      <c r="H2888" s="1" t="n">
        <v>22729</v>
      </c>
      <c r="I2888" s="1" t="n">
        <v>70210</v>
      </c>
      <c r="J2888" s="9" t="n">
        <v>0.324</v>
      </c>
      <c r="K2888" s="1" t="inlineStr">
        <is>
          <t>Yes</t>
        </is>
      </c>
      <c r="L2888" s="1" t="inlineStr">
        <is>
          <t>No</t>
        </is>
      </c>
      <c r="M2888" s="1" t="inlineStr">
        <is>
          <t>No</t>
        </is>
      </c>
      <c r="N2888" s="1" t="inlineStr">
        <is>
          <t>Algorithms</t>
        </is>
      </c>
      <c r="O28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89" ht="15.75" customHeight="1" s="12">
      <c r="A2889" s="1" t="n">
        <v>3316</v>
      </c>
      <c r="B2889" s="3">
        <f>HYPERLINK("https://leetcode.com/problems/find-maximum-removals-from-source-string/", "Find Maximum Removals From Source String")</f>
        <v/>
      </c>
      <c r="C2889" s="1" t="n">
        <v>163</v>
      </c>
      <c r="D2889" s="1" t="n">
        <v>20</v>
      </c>
      <c r="E2889" s="4">
        <f>IF(INDEX(C:C, ROW())+INDEX(D:D, ROW())=0, 0, INDEX(C:C, ROW())/(INDEX(C:C, ROW())+INDEX(D:D, ROW())))</f>
        <v/>
      </c>
      <c r="F2889" s="1" t="inlineStr">
        <is>
          <t>Array, Hash Table, Two Pointers, String, Dynamic Programming</t>
        </is>
      </c>
      <c r="G2889" s="1" t="inlineStr">
        <is>
          <t>Medium</t>
        </is>
      </c>
      <c r="H2889" s="1" t="n">
        <v>11791</v>
      </c>
      <c r="I2889" s="1" t="n">
        <v>30221</v>
      </c>
      <c r="J2889" s="9" t="n">
        <v>0.39</v>
      </c>
      <c r="K2889" s="1" t="inlineStr">
        <is>
          <t>Yes</t>
        </is>
      </c>
      <c r="L2889" s="1" t="inlineStr">
        <is>
          <t>No</t>
        </is>
      </c>
      <c r="M2889" s="1" t="inlineStr">
        <is>
          <t>No</t>
        </is>
      </c>
      <c r="N2889" s="1" t="inlineStr">
        <is>
          <t>Algorithms</t>
        </is>
      </c>
      <c r="O28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90" ht="15.75" customHeight="1" s="12">
      <c r="A2890" s="1" t="n">
        <v>3733</v>
      </c>
      <c r="B2890" s="3">
        <f>HYPERLINK("https://leetcode.com/problems/minimum-time-to-complete-all-deliveries/", "Minimum Time to Complete All Deliveries")</f>
        <v/>
      </c>
      <c r="C2890" s="1" t="n">
        <v>163</v>
      </c>
      <c r="D2890" s="1" t="n">
        <v>10</v>
      </c>
      <c r="E2890" s="4">
        <f>IF(INDEX(C:C, ROW())+INDEX(D:D, ROW())=0, 0, INDEX(C:C, ROW())/(INDEX(C:C, ROW())+INDEX(D:D, ROW())))</f>
        <v/>
      </c>
      <c r="F2890" s="1" t="inlineStr">
        <is>
          <t>Math, Binary Search</t>
        </is>
      </c>
      <c r="G2890" s="1" t="inlineStr">
        <is>
          <t>Medium</t>
        </is>
      </c>
      <c r="H2890" s="1" t="n">
        <v>13250</v>
      </c>
      <c r="I2890" s="1" t="n">
        <v>39114</v>
      </c>
      <c r="J2890" s="9" t="n">
        <v>0.339</v>
      </c>
      <c r="K2890" s="1" t="inlineStr">
        <is>
          <t>Yes</t>
        </is>
      </c>
      <c r="L2890" s="1" t="inlineStr">
        <is>
          <t>No</t>
        </is>
      </c>
      <c r="M2890" s="1" t="inlineStr">
        <is>
          <t>No</t>
        </is>
      </c>
      <c r="N2890" s="1" t="inlineStr">
        <is>
          <t>Algorithms</t>
        </is>
      </c>
      <c r="O28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91" ht="15.75" customHeight="1" s="12">
      <c r="A2891" s="1" t="n">
        <v>3107</v>
      </c>
      <c r="B2891" s="3">
        <f>HYPERLINK("https://leetcode.com/problems/minimum-operations-to-make-median-of-array-equal-to-k/", "Minimum Operations to Make Median of Array Equal to K")</f>
        <v/>
      </c>
      <c r="C2891" s="1" t="n">
        <v>162</v>
      </c>
      <c r="D2891" s="1" t="n">
        <v>186</v>
      </c>
      <c r="E2891" s="4">
        <f>IF(INDEX(C:C, ROW())+INDEX(D:D, ROW())=0, 0, INDEX(C:C, ROW())/(INDEX(C:C, ROW())+INDEX(D:D, ROW())))</f>
        <v/>
      </c>
      <c r="F2891" s="1" t="inlineStr">
        <is>
          <t>Array, Greedy, Sorting</t>
        </is>
      </c>
      <c r="G2891" s="1" t="inlineStr">
        <is>
          <t>Medium</t>
        </is>
      </c>
      <c r="H2891" s="1" t="n">
        <v>30144</v>
      </c>
      <c r="I2891" s="1" t="n">
        <v>63392</v>
      </c>
      <c r="J2891" s="9" t="n">
        <v>0.476</v>
      </c>
      <c r="K2891" s="1" t="inlineStr">
        <is>
          <t>Yes</t>
        </is>
      </c>
      <c r="L2891" s="1" t="inlineStr">
        <is>
          <t>No</t>
        </is>
      </c>
      <c r="M2891" s="1" t="inlineStr">
        <is>
          <t>No</t>
        </is>
      </c>
      <c r="N2891" s="1" t="inlineStr">
        <is>
          <t>Algorithms</t>
        </is>
      </c>
      <c r="O28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92" ht="15.75" customHeight="1" s="12">
      <c r="A2892" s="1" t="n">
        <v>3200</v>
      </c>
      <c r="B2892" s="3">
        <f>HYPERLINK("https://leetcode.com/problems/maximum-height-of-a-triangle/", "Maximum Height of a Triangle")</f>
        <v/>
      </c>
      <c r="C2892" s="1" t="n">
        <v>162</v>
      </c>
      <c r="D2892" s="1" t="n">
        <v>29</v>
      </c>
      <c r="E2892" s="4">
        <f>IF(INDEX(C:C, ROW())+INDEX(D:D, ROW())=0, 0, INDEX(C:C, ROW())/(INDEX(C:C, ROW())+INDEX(D:D, ROW())))</f>
        <v/>
      </c>
      <c r="F2892" s="1" t="inlineStr">
        <is>
          <t>Array, Enumeration</t>
        </is>
      </c>
      <c r="G2892" s="1" t="inlineStr">
        <is>
          <t>Easy</t>
        </is>
      </c>
      <c r="H2892" s="1" t="n">
        <v>43460</v>
      </c>
      <c r="I2892" s="1" t="n">
        <v>98694</v>
      </c>
      <c r="J2892" s="9" t="n">
        <v>0.44</v>
      </c>
      <c r="K2892" s="1" t="inlineStr">
        <is>
          <t>Yes</t>
        </is>
      </c>
      <c r="L2892" s="1" t="inlineStr">
        <is>
          <t>No</t>
        </is>
      </c>
      <c r="M2892" s="1" t="inlineStr">
        <is>
          <t>No</t>
        </is>
      </c>
      <c r="N2892" s="1" t="inlineStr">
        <is>
          <t>Algorithms</t>
        </is>
      </c>
      <c r="O28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93" ht="15.75" customHeight="1" s="12">
      <c r="A2893" s="1" t="n">
        <v>3206</v>
      </c>
      <c r="B2893" s="3">
        <f>HYPERLINK("https://leetcode.com/problems/alternating-groups-i/", "Alternating Groups I")</f>
        <v/>
      </c>
      <c r="C2893" s="1" t="n">
        <v>162</v>
      </c>
      <c r="D2893" s="1" t="n">
        <v>9</v>
      </c>
      <c r="E2893" s="4">
        <f>IF(INDEX(C:C, ROW())+INDEX(D:D, ROW())=0, 0, INDEX(C:C, ROW())/(INDEX(C:C, ROW())+INDEX(D:D, ROW())))</f>
        <v/>
      </c>
      <c r="F2893" s="1" t="inlineStr">
        <is>
          <t>Array, Sliding Window</t>
        </is>
      </c>
      <c r="G2893" s="1" t="inlineStr">
        <is>
          <t>Easy</t>
        </is>
      </c>
      <c r="H2893" s="1" t="n">
        <v>71115</v>
      </c>
      <c r="I2893" s="1" t="n">
        <v>103678</v>
      </c>
      <c r="J2893" s="9" t="n">
        <v>0.6860000000000001</v>
      </c>
      <c r="K2893" s="1" t="inlineStr">
        <is>
          <t>Yes</t>
        </is>
      </c>
      <c r="L2893" s="1" t="inlineStr">
        <is>
          <t>No</t>
        </is>
      </c>
      <c r="M2893" s="1" t="inlineStr">
        <is>
          <t>No</t>
        </is>
      </c>
      <c r="N2893" s="1" t="inlineStr">
        <is>
          <t>Algorithms</t>
        </is>
      </c>
      <c r="O28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94" ht="15.75" customHeight="1" s="12">
      <c r="A2894" s="1" t="n">
        <v>1532</v>
      </c>
      <c r="B2894" s="3">
        <f>HYPERLINK("https://leetcode.com/problems/the-most-recent-three-orders/", "The Most Recent Three Orders")</f>
        <v/>
      </c>
      <c r="C2894" s="1" t="n">
        <v>161</v>
      </c>
      <c r="D2894" s="1" t="n">
        <v>11</v>
      </c>
      <c r="E2894" s="4">
        <f>IF(INDEX(C:C, ROW())+INDEX(D:D, ROW())=0, 0, INDEX(C:C, ROW())/(INDEX(C:C, ROW())+INDEX(D:D, ROW())))</f>
        <v/>
      </c>
      <c r="F2894" s="1" t="inlineStr">
        <is>
          <t>Database</t>
        </is>
      </c>
      <c r="G2894" s="1" t="inlineStr">
        <is>
          <t>Medium</t>
        </is>
      </c>
      <c r="H2894" s="1" t="n">
        <v>38181</v>
      </c>
      <c r="I2894" s="1" t="n">
        <v>55297</v>
      </c>
      <c r="J2894" s="9" t="n">
        <v>0.6899999999999999</v>
      </c>
      <c r="K2894" s="1" t="inlineStr">
        <is>
          <t>No</t>
        </is>
      </c>
      <c r="L2894" s="1" t="inlineStr">
        <is>
          <t>No</t>
        </is>
      </c>
      <c r="M2894" s="1" t="inlineStr">
        <is>
          <t>No</t>
        </is>
      </c>
      <c r="N2894" s="1" t="inlineStr">
        <is>
          <t>Database</t>
        </is>
      </c>
      <c r="O28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95" ht="15.75" customHeight="1" s="12">
      <c r="A2895" s="1" t="n">
        <v>3028</v>
      </c>
      <c r="B2895" s="3">
        <f>HYPERLINK("https://leetcode.com/problems/ant-on-the-boundary/", "Ant on the Boundary")</f>
        <v/>
      </c>
      <c r="C2895" s="1" t="n">
        <v>161</v>
      </c>
      <c r="D2895" s="1" t="n">
        <v>53</v>
      </c>
      <c r="E2895" s="4">
        <f>IF(INDEX(C:C, ROW())+INDEX(D:D, ROW())=0, 0, INDEX(C:C, ROW())/(INDEX(C:C, ROW())+INDEX(D:D, ROW())))</f>
        <v/>
      </c>
      <c r="F2895" s="1" t="inlineStr">
        <is>
          <t>Array, Simulation, Prefix Sum</t>
        </is>
      </c>
      <c r="G2895" s="1" t="inlineStr">
        <is>
          <t>Easy</t>
        </is>
      </c>
      <c r="H2895" s="1" t="n">
        <v>71596</v>
      </c>
      <c r="I2895" s="1" t="n">
        <v>96569</v>
      </c>
      <c r="J2895" s="9" t="n">
        <v>0.741</v>
      </c>
      <c r="K2895" s="1" t="inlineStr">
        <is>
          <t>Yes</t>
        </is>
      </c>
      <c r="L2895" s="1" t="inlineStr">
        <is>
          <t>No</t>
        </is>
      </c>
      <c r="M2895" s="1" t="inlineStr">
        <is>
          <t>No</t>
        </is>
      </c>
      <c r="N2895" s="1" t="inlineStr">
        <is>
          <t>Algorithms</t>
        </is>
      </c>
      <c r="O28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96" ht="15.75" customHeight="1" s="12">
      <c r="A2896" s="1" t="n">
        <v>3728</v>
      </c>
      <c r="B2896" s="3">
        <f>HYPERLINK("https://leetcode.com/problems/stable-subarrays-with-equal-boundary-and-interior-sum/", "Stable Subarrays With Equal Boundary and Interior Sum")</f>
        <v/>
      </c>
      <c r="C2896" s="1" t="n">
        <v>161</v>
      </c>
      <c r="D2896" s="1" t="n">
        <v>3</v>
      </c>
      <c r="E2896" s="4">
        <f>IF(INDEX(C:C, ROW())+INDEX(D:D, ROW())=0, 0, INDEX(C:C, ROW())/(INDEX(C:C, ROW())+INDEX(D:D, ROW())))</f>
        <v/>
      </c>
      <c r="F2896" s="1" t="inlineStr">
        <is>
          <t>Array, Hash Table, Prefix Sum</t>
        </is>
      </c>
      <c r="G2896" s="1" t="inlineStr">
        <is>
          <t>Medium</t>
        </is>
      </c>
      <c r="H2896" s="1" t="n">
        <v>15152</v>
      </c>
      <c r="I2896" s="1" t="n">
        <v>59000</v>
      </c>
      <c r="J2896" s="9" t="n">
        <v>0.257</v>
      </c>
      <c r="K2896" s="1" t="inlineStr">
        <is>
          <t>Yes</t>
        </is>
      </c>
      <c r="L2896" s="1" t="inlineStr">
        <is>
          <t>No</t>
        </is>
      </c>
      <c r="M2896" s="1" t="inlineStr">
        <is>
          <t>No</t>
        </is>
      </c>
      <c r="N2896" s="1" t="inlineStr">
        <is>
          <t>Algorithms</t>
        </is>
      </c>
      <c r="O28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97" ht="15.75" customHeight="1" s="12">
      <c r="A2897" s="1" t="n">
        <v>2902</v>
      </c>
      <c r="B2897" s="3">
        <f>HYPERLINK("https://leetcode.com/problems/count-of-sub-multisets-with-bounded-sum/", "Count of Sub-Multisets With Bounded Sum")</f>
        <v/>
      </c>
      <c r="C2897" s="1" t="n">
        <v>160</v>
      </c>
      <c r="D2897" s="1" t="n">
        <v>27</v>
      </c>
      <c r="E2897" s="4">
        <f>IF(INDEX(C:C, ROW())+INDEX(D:D, ROW())=0, 0, INDEX(C:C, ROW())/(INDEX(C:C, ROW())+INDEX(D:D, ROW())))</f>
        <v/>
      </c>
      <c r="F2897" s="1" t="inlineStr">
        <is>
          <t>Array, Hash Table, Dynamic Programming, Sliding Window</t>
        </is>
      </c>
      <c r="G2897" s="1" t="inlineStr">
        <is>
          <t>Hard</t>
        </is>
      </c>
      <c r="H2897" s="1" t="n">
        <v>5866</v>
      </c>
      <c r="I2897" s="1" t="n">
        <v>26659</v>
      </c>
      <c r="J2897" s="9" t="n">
        <v>0.22</v>
      </c>
      <c r="K2897" s="1" t="inlineStr">
        <is>
          <t>Yes</t>
        </is>
      </c>
      <c r="L2897" s="1" t="inlineStr">
        <is>
          <t>No</t>
        </is>
      </c>
      <c r="M2897" s="1" t="inlineStr">
        <is>
          <t>No</t>
        </is>
      </c>
      <c r="N2897" s="1" t="inlineStr">
        <is>
          <t>Algorithms</t>
        </is>
      </c>
      <c r="O28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98" ht="15.75" customHeight="1" s="12">
      <c r="A2898" s="1" t="n">
        <v>3212</v>
      </c>
      <c r="B2898" s="3">
        <f>HYPERLINK("https://leetcode.com/problems/count-submatrices-with-equal-frequency-of-x-and-y/", "Count Submatrices With Equal Frequency of X and Y")</f>
        <v/>
      </c>
      <c r="C2898" s="1" t="n">
        <v>160</v>
      </c>
      <c r="D2898" s="1" t="n">
        <v>27</v>
      </c>
      <c r="E2898" s="4">
        <f>IF(INDEX(C:C, ROW())+INDEX(D:D, ROW())=0, 0, INDEX(C:C, ROW())/(INDEX(C:C, ROW())+INDEX(D:D, ROW())))</f>
        <v/>
      </c>
      <c r="F2898" s="1" t="inlineStr">
        <is>
          <t>Array, Matrix, Prefix Sum</t>
        </is>
      </c>
      <c r="G2898" s="1" t="inlineStr">
        <is>
          <t>Medium</t>
        </is>
      </c>
      <c r="H2898" s="1" t="n">
        <v>26575</v>
      </c>
      <c r="I2898" s="1" t="n">
        <v>51705</v>
      </c>
      <c r="J2898" s="9" t="n">
        <v>0.514</v>
      </c>
      <c r="K2898" s="1" t="inlineStr">
        <is>
          <t>Yes</t>
        </is>
      </c>
      <c r="L2898" s="1" t="inlineStr">
        <is>
          <t>No</t>
        </is>
      </c>
      <c r="M2898" s="1" t="inlineStr">
        <is>
          <t>No</t>
        </is>
      </c>
      <c r="N2898" s="1" t="inlineStr">
        <is>
          <t>Algorithms</t>
        </is>
      </c>
      <c r="O28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899" ht="15.75" customHeight="1" s="12">
      <c r="A2899" s="1" t="n">
        <v>1453</v>
      </c>
      <c r="B2899" s="3">
        <f>HYPERLINK("https://leetcode.com/problems/maximum-number-of-darts-inside-of-a-circular-dartboard/", "Maximum Number of Darts Inside of a Circular Dartboard")</f>
        <v/>
      </c>
      <c r="C2899" s="1" t="n">
        <v>159</v>
      </c>
      <c r="D2899" s="1" t="n">
        <v>277</v>
      </c>
      <c r="E2899" s="4">
        <f>IF(INDEX(C:C, ROW())+INDEX(D:D, ROW())=0, 0, INDEX(C:C, ROW())/(INDEX(C:C, ROW())+INDEX(D:D, ROW())))</f>
        <v/>
      </c>
      <c r="F2899" s="1" t="inlineStr">
        <is>
          <t>Array, Math, Geometry</t>
        </is>
      </c>
      <c r="G2899" s="1" t="inlineStr">
        <is>
          <t>Hard</t>
        </is>
      </c>
      <c r="H2899" s="1" t="n">
        <v>8281</v>
      </c>
      <c r="I2899" s="1" t="n">
        <v>20766</v>
      </c>
      <c r="J2899" s="9" t="n">
        <v>0.399</v>
      </c>
      <c r="K2899" s="1" t="inlineStr">
        <is>
          <t>Yes</t>
        </is>
      </c>
      <c r="L2899" s="1" t="inlineStr">
        <is>
          <t>No</t>
        </is>
      </c>
      <c r="M2899" s="1" t="inlineStr">
        <is>
          <t>No</t>
        </is>
      </c>
      <c r="N2899" s="1" t="inlineStr">
        <is>
          <t>Algorithms</t>
        </is>
      </c>
      <c r="O28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00" ht="15.75" customHeight="1" s="12">
      <c r="A2900" s="1" t="n">
        <v>3158</v>
      </c>
      <c r="B2900" s="3">
        <f>HYPERLINK("https://leetcode.com/problems/find-the-xor-of-numbers-which-appear-twice/", "Find the XOR of Numbers Which Appear Twice")</f>
        <v/>
      </c>
      <c r="C2900" s="1" t="n">
        <v>159</v>
      </c>
      <c r="D2900" s="1" t="n">
        <v>14</v>
      </c>
      <c r="E2900" s="4">
        <f>IF(INDEX(C:C, ROW())+INDEX(D:D, ROW())=0, 0, INDEX(C:C, ROW())/(INDEX(C:C, ROW())+INDEX(D:D, ROW())))</f>
        <v/>
      </c>
      <c r="F2900" s="1" t="inlineStr">
        <is>
          <t>Array, Hash Table, Bit Manipulation</t>
        </is>
      </c>
      <c r="G2900" s="1" t="inlineStr">
        <is>
          <t>Easy</t>
        </is>
      </c>
      <c r="H2900" s="1" t="n">
        <v>72302</v>
      </c>
      <c r="I2900" s="1" t="n">
        <v>92064</v>
      </c>
      <c r="J2900" s="9" t="n">
        <v>0.785</v>
      </c>
      <c r="K2900" s="1" t="inlineStr">
        <is>
          <t>Yes</t>
        </is>
      </c>
      <c r="L2900" s="1" t="inlineStr">
        <is>
          <t>No</t>
        </is>
      </c>
      <c r="M2900" s="1" t="inlineStr">
        <is>
          <t>No</t>
        </is>
      </c>
      <c r="N2900" s="1" t="inlineStr">
        <is>
          <t>Algorithms</t>
        </is>
      </c>
      <c r="O29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01" ht="15.75" customHeight="1" s="12">
      <c r="A2901" s="1" t="n">
        <v>3162</v>
      </c>
      <c r="B2901" s="3">
        <f>HYPERLINK("https://leetcode.com/problems/find-the-number-of-good-pairs-i/", "Find the Number of Good Pairs I")</f>
        <v/>
      </c>
      <c r="C2901" s="1" t="n">
        <v>159</v>
      </c>
      <c r="D2901" s="1" t="n">
        <v>16</v>
      </c>
      <c r="E2901" s="4">
        <f>IF(INDEX(C:C, ROW())+INDEX(D:D, ROW())=0, 0, INDEX(C:C, ROW())/(INDEX(C:C, ROW())+INDEX(D:D, ROW())))</f>
        <v/>
      </c>
      <c r="F2901" s="1" t="inlineStr">
        <is>
          <t>Array, Hash Table</t>
        </is>
      </c>
      <c r="G2901" s="1" t="inlineStr">
        <is>
          <t>Easy</t>
        </is>
      </c>
      <c r="H2901" s="1" t="n">
        <v>92224</v>
      </c>
      <c r="I2901" s="1" t="n">
        <v>106960</v>
      </c>
      <c r="J2901" s="9" t="n">
        <v>0.862</v>
      </c>
      <c r="K2901" s="1" t="inlineStr">
        <is>
          <t>Yes</t>
        </is>
      </c>
      <c r="L2901" s="1" t="inlineStr">
        <is>
          <t>No</t>
        </is>
      </c>
      <c r="M2901" s="1" t="inlineStr">
        <is>
          <t>No</t>
        </is>
      </c>
      <c r="N2901" s="1" t="inlineStr">
        <is>
          <t>Algorithms</t>
        </is>
      </c>
      <c r="O29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02" ht="15.75" customHeight="1" s="12">
      <c r="A2902" s="1" t="n">
        <v>1435</v>
      </c>
      <c r="B2902" s="3">
        <f>HYPERLINK("https://leetcode.com/problems/create-a-session-bar-chart/", "Create a Session Bar Chart")</f>
        <v/>
      </c>
      <c r="C2902" s="1" t="n">
        <v>158</v>
      </c>
      <c r="D2902" s="1" t="n">
        <v>265</v>
      </c>
      <c r="E2902" s="4">
        <f>IF(INDEX(C:C, ROW())+INDEX(D:D, ROW())=0, 0, INDEX(C:C, ROW())/(INDEX(C:C, ROW())+INDEX(D:D, ROW())))</f>
        <v/>
      </c>
      <c r="F2902" s="1" t="inlineStr">
        <is>
          <t>Database</t>
        </is>
      </c>
      <c r="G2902" s="1" t="inlineStr">
        <is>
          <t>Easy</t>
        </is>
      </c>
      <c r="H2902" s="1" t="n">
        <v>26896</v>
      </c>
      <c r="I2902" s="1" t="n">
        <v>35987</v>
      </c>
      <c r="J2902" s="9" t="n">
        <v>0.747</v>
      </c>
      <c r="K2902" s="1" t="inlineStr">
        <is>
          <t>No</t>
        </is>
      </c>
      <c r="L2902" s="1" t="inlineStr">
        <is>
          <t>No</t>
        </is>
      </c>
      <c r="M2902" s="1" t="inlineStr">
        <is>
          <t>No</t>
        </is>
      </c>
      <c r="N2902" s="1" t="inlineStr">
        <is>
          <t>Database</t>
        </is>
      </c>
      <c r="O29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03" ht="15.75" customHeight="1" s="12">
      <c r="A2903" s="1" t="n">
        <v>1479</v>
      </c>
      <c r="B2903" s="3">
        <f>HYPERLINK("https://leetcode.com/problems/sales-by-day-of-the-week/", "Sales by Day of the Week")</f>
        <v/>
      </c>
      <c r="C2903" s="1" t="n">
        <v>158</v>
      </c>
      <c r="D2903" s="1" t="n">
        <v>39</v>
      </c>
      <c r="E2903" s="4">
        <f>IF(INDEX(C:C, ROW())+INDEX(D:D, ROW())=0, 0, INDEX(C:C, ROW())/(INDEX(C:C, ROW())+INDEX(D:D, ROW())))</f>
        <v/>
      </c>
      <c r="F2903" s="1" t="inlineStr">
        <is>
          <t>Database</t>
        </is>
      </c>
      <c r="G2903" s="1" t="inlineStr">
        <is>
          <t>Hard</t>
        </is>
      </c>
      <c r="H2903" s="1" t="n">
        <v>21047</v>
      </c>
      <c r="I2903" s="1" t="n">
        <v>27505</v>
      </c>
      <c r="J2903" s="9" t="n">
        <v>0.765</v>
      </c>
      <c r="K2903" s="1" t="inlineStr">
        <is>
          <t>No</t>
        </is>
      </c>
      <c r="L2903" s="1" t="inlineStr">
        <is>
          <t>Yes</t>
        </is>
      </c>
      <c r="M2903" s="1" t="inlineStr">
        <is>
          <t>No</t>
        </is>
      </c>
      <c r="N2903" s="1" t="inlineStr">
        <is>
          <t>Database</t>
        </is>
      </c>
      <c r="O29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04" ht="15.75" customHeight="1" s="12">
      <c r="A2904" s="1" t="n">
        <v>1682</v>
      </c>
      <c r="B2904" s="3">
        <f>HYPERLINK("https://leetcode.com/problems/longest-palindromic-subsequence-ii/", "Longest Palindromic Subsequence II")</f>
        <v/>
      </c>
      <c r="C2904" s="1" t="n">
        <v>158</v>
      </c>
      <c r="D2904" s="1" t="n">
        <v>30</v>
      </c>
      <c r="E2904" s="4">
        <f>IF(INDEX(C:C, ROW())+INDEX(D:D, ROW())=0, 0, INDEX(C:C, ROW())/(INDEX(C:C, ROW())+INDEX(D:D, ROW())))</f>
        <v/>
      </c>
      <c r="F2904" s="1" t="inlineStr">
        <is>
          <t>String, Dynamic Programming</t>
        </is>
      </c>
      <c r="G2904" s="1" t="inlineStr">
        <is>
          <t>Medium</t>
        </is>
      </c>
      <c r="H2904" s="1" t="n">
        <v>6326</v>
      </c>
      <c r="I2904" s="1" t="n">
        <v>12540</v>
      </c>
      <c r="J2904" s="9" t="n">
        <v>0.504</v>
      </c>
      <c r="K2904" s="1" t="inlineStr">
        <is>
          <t>No</t>
        </is>
      </c>
      <c r="L2904" s="1" t="inlineStr">
        <is>
          <t>No</t>
        </is>
      </c>
      <c r="M2904" s="1" t="inlineStr">
        <is>
          <t>No</t>
        </is>
      </c>
      <c r="N2904" s="1" t="inlineStr">
        <is>
          <t>Algorithms</t>
        </is>
      </c>
      <c r="O29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05" ht="15.75" customHeight="1" s="12">
      <c r="A2905" s="1" t="n">
        <v>3265</v>
      </c>
      <c r="B2905" s="3">
        <f>HYPERLINK("https://leetcode.com/problems/count-almost-equal-pairs-i/", "Count Almost Equal Pairs I")</f>
        <v/>
      </c>
      <c r="C2905" s="1" t="n">
        <v>158</v>
      </c>
      <c r="D2905" s="1" t="n">
        <v>26</v>
      </c>
      <c r="E2905" s="4">
        <f>IF(INDEX(C:C, ROW())+INDEX(D:D, ROW())=0, 0, INDEX(C:C, ROW())/(INDEX(C:C, ROW())+INDEX(D:D, ROW())))</f>
        <v/>
      </c>
      <c r="F2905" s="1" t="inlineStr">
        <is>
          <t>Array, Hash Table, Sorting, Counting, Enumeration</t>
        </is>
      </c>
      <c r="G2905" s="1" t="inlineStr">
        <is>
          <t>Medium</t>
        </is>
      </c>
      <c r="H2905" s="1" t="n">
        <v>28799</v>
      </c>
      <c r="I2905" s="1" t="n">
        <v>75606</v>
      </c>
      <c r="J2905" s="9" t="n">
        <v>0.381</v>
      </c>
      <c r="K2905" s="1" t="inlineStr">
        <is>
          <t>Yes</t>
        </is>
      </c>
      <c r="L2905" s="1" t="inlineStr">
        <is>
          <t>No</t>
        </is>
      </c>
      <c r="M2905" s="1" t="inlineStr">
        <is>
          <t>No</t>
        </is>
      </c>
      <c r="N2905" s="1" t="inlineStr">
        <is>
          <t>Algorithms</t>
        </is>
      </c>
      <c r="O29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06" ht="15.75" customHeight="1" s="12">
      <c r="A2906" s="1" t="n">
        <v>3302</v>
      </c>
      <c r="B2906" s="3">
        <f>HYPERLINK("https://leetcode.com/problems/find-the-lexicographically-smallest-valid-sequence/", "Find the Lexicographically Smallest Valid Sequence")</f>
        <v/>
      </c>
      <c r="C2906" s="1" t="n">
        <v>158</v>
      </c>
      <c r="D2906" s="1" t="n">
        <v>33</v>
      </c>
      <c r="E2906" s="4">
        <f>IF(INDEX(C:C, ROW())+INDEX(D:D, ROW())=0, 0, INDEX(C:C, ROW())/(INDEX(C:C, ROW())+INDEX(D:D, ROW())))</f>
        <v/>
      </c>
      <c r="F2906" s="1" t="inlineStr">
        <is>
          <t>Two Pointers, String, Dynamic Programming, Greedy</t>
        </is>
      </c>
      <c r="G2906" s="1" t="inlineStr">
        <is>
          <t>Medium</t>
        </is>
      </c>
      <c r="H2906" s="1" t="n">
        <v>7393</v>
      </c>
      <c r="I2906" s="1" t="n">
        <v>34480</v>
      </c>
      <c r="J2906" s="9" t="n">
        <v>0.214</v>
      </c>
      <c r="K2906" s="1" t="inlineStr">
        <is>
          <t>Yes</t>
        </is>
      </c>
      <c r="L2906" s="1" t="inlineStr">
        <is>
          <t>No</t>
        </is>
      </c>
      <c r="M2906" s="1" t="inlineStr">
        <is>
          <t>No</t>
        </is>
      </c>
      <c r="N2906" s="1" t="inlineStr">
        <is>
          <t>Algorithms</t>
        </is>
      </c>
      <c r="O29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07" ht="15.75" customHeight="1" s="12">
      <c r="A2907" s="1" t="n">
        <v>1058</v>
      </c>
      <c r="B2907" s="3">
        <f>HYPERLINK("https://leetcode.com/problems/minimize-rounding-error-to-meet-target/", "Minimize Rounding Error to Meet Target")</f>
        <v/>
      </c>
      <c r="C2907" s="1" t="n">
        <v>157</v>
      </c>
      <c r="D2907" s="1" t="n">
        <v>149</v>
      </c>
      <c r="E2907" s="4">
        <f>IF(INDEX(C:C, ROW())+INDEX(D:D, ROW())=0, 0, INDEX(C:C, ROW())/(INDEX(C:C, ROW())+INDEX(D:D, ROW())))</f>
        <v/>
      </c>
      <c r="F2907" s="1" t="inlineStr">
        <is>
          <t>Array, Math, String, Greedy, Sorting</t>
        </is>
      </c>
      <c r="G2907" s="1" t="inlineStr">
        <is>
          <t>Medium</t>
        </is>
      </c>
      <c r="H2907" s="1" t="n">
        <v>11157</v>
      </c>
      <c r="I2907" s="1" t="n">
        <v>24390</v>
      </c>
      <c r="J2907" s="9" t="n">
        <v>0.457</v>
      </c>
      <c r="K2907" s="1" t="inlineStr">
        <is>
          <t>No</t>
        </is>
      </c>
      <c r="L2907" s="1" t="inlineStr">
        <is>
          <t>No</t>
        </is>
      </c>
      <c r="M2907" s="1" t="inlineStr">
        <is>
          <t>No</t>
        </is>
      </c>
      <c r="N2907" s="1" t="inlineStr">
        <is>
          <t>Algorithms</t>
        </is>
      </c>
      <c r="O29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08" ht="15.75" customHeight="1" s="12">
      <c r="A2908" s="1" t="n">
        <v>1852</v>
      </c>
      <c r="B2908" s="3">
        <f>HYPERLINK("https://leetcode.com/problems/distinct-numbers-in-each-subarray/", "Distinct Numbers in Each Subarray")</f>
        <v/>
      </c>
      <c r="C2908" s="1" t="n">
        <v>157</v>
      </c>
      <c r="D2908" s="1" t="n">
        <v>10</v>
      </c>
      <c r="E2908" s="4">
        <f>IF(INDEX(C:C, ROW())+INDEX(D:D, ROW())=0, 0, INDEX(C:C, ROW())/(INDEX(C:C, ROW())+INDEX(D:D, ROW())))</f>
        <v/>
      </c>
      <c r="F2908" s="1" t="inlineStr">
        <is>
          <t>Array, Hash Table, Sliding Window</t>
        </is>
      </c>
      <c r="G2908" s="1" t="inlineStr">
        <is>
          <t>Medium</t>
        </is>
      </c>
      <c r="H2908" s="1" t="n">
        <v>16562</v>
      </c>
      <c r="I2908" s="1" t="n">
        <v>21443</v>
      </c>
      <c r="J2908" s="9" t="n">
        <v>0.772</v>
      </c>
      <c r="K2908" s="1" t="inlineStr">
        <is>
          <t>No</t>
        </is>
      </c>
      <c r="L2908" s="1" t="inlineStr">
        <is>
          <t>Yes</t>
        </is>
      </c>
      <c r="M2908" s="1" t="inlineStr">
        <is>
          <t>No</t>
        </is>
      </c>
      <c r="N2908" s="1" t="inlineStr">
        <is>
          <t>Algorithms</t>
        </is>
      </c>
      <c r="O29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09" ht="15.75" customHeight="1" s="12">
      <c r="A2909" s="1" t="n">
        <v>3031</v>
      </c>
      <c r="B2909" s="3">
        <f>HYPERLINK("https://leetcode.com/problems/minimum-time-to-revert-word-to-initial-state-ii/", "Minimum Time to Revert Word to Initial State II")</f>
        <v/>
      </c>
      <c r="C2909" s="1" t="n">
        <v>157</v>
      </c>
      <c r="D2909" s="1" t="n">
        <v>22</v>
      </c>
      <c r="E2909" s="4">
        <f>IF(INDEX(C:C, ROW())+INDEX(D:D, ROW())=0, 0, INDEX(C:C, ROW())/(INDEX(C:C, ROW())+INDEX(D:D, ROW())))</f>
        <v/>
      </c>
      <c r="F2909" s="1" t="inlineStr">
        <is>
          <t>String, Rolling Hash, String Matching, Hash Function</t>
        </is>
      </c>
      <c r="G2909" s="1" t="inlineStr">
        <is>
          <t>Hard</t>
        </is>
      </c>
      <c r="H2909" s="1" t="n">
        <v>13218</v>
      </c>
      <c r="I2909" s="1" t="n">
        <v>37898</v>
      </c>
      <c r="J2909" s="9" t="n">
        <v>0.349</v>
      </c>
      <c r="K2909" s="1" t="inlineStr">
        <is>
          <t>Yes</t>
        </is>
      </c>
      <c r="L2909" s="1" t="inlineStr">
        <is>
          <t>No</t>
        </is>
      </c>
      <c r="M2909" s="1" t="inlineStr">
        <is>
          <t>No</t>
        </is>
      </c>
      <c r="N2909" s="1" t="inlineStr">
        <is>
          <t>Algorithms</t>
        </is>
      </c>
      <c r="O29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10" ht="15.75" customHeight="1" s="12">
      <c r="A2910" s="1" t="n">
        <v>3019</v>
      </c>
      <c r="B2910" s="3">
        <f>HYPERLINK("https://leetcode.com/problems/number-of-changing-keys/", "Number of Changing Keys")</f>
        <v/>
      </c>
      <c r="C2910" s="1" t="n">
        <v>156</v>
      </c>
      <c r="D2910" s="1" t="n">
        <v>16</v>
      </c>
      <c r="E2910" s="4">
        <f>IF(INDEX(C:C, ROW())+INDEX(D:D, ROW())=0, 0, INDEX(C:C, ROW())/(INDEX(C:C, ROW())+INDEX(D:D, ROW())))</f>
        <v/>
      </c>
      <c r="F2910" s="1" t="inlineStr">
        <is>
          <t>String</t>
        </is>
      </c>
      <c r="G2910" s="1" t="inlineStr">
        <is>
          <t>Easy</t>
        </is>
      </c>
      <c r="H2910" s="1" t="n">
        <v>77493</v>
      </c>
      <c r="I2910" s="1" t="n">
        <v>96474</v>
      </c>
      <c r="J2910" s="9" t="n">
        <v>0.803</v>
      </c>
      <c r="K2910" s="1" t="inlineStr">
        <is>
          <t>Yes</t>
        </is>
      </c>
      <c r="L2910" s="1" t="inlineStr">
        <is>
          <t>No</t>
        </is>
      </c>
      <c r="M2910" s="1" t="inlineStr">
        <is>
          <t>No</t>
        </is>
      </c>
      <c r="N2910" s="1" t="inlineStr">
        <is>
          <t>Algorithms</t>
        </is>
      </c>
      <c r="O29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11" ht="15.75" customHeight="1" s="12">
      <c r="A2911" s="1" t="n">
        <v>3592</v>
      </c>
      <c r="B2911" s="3">
        <f>HYPERLINK("https://leetcode.com/problems/inverse-coin-change/", "Inverse Coin Change")</f>
        <v/>
      </c>
      <c r="C2911" s="1" t="n">
        <v>156</v>
      </c>
      <c r="D2911" s="1" t="n">
        <v>20</v>
      </c>
      <c r="E2911" s="4">
        <f>IF(INDEX(C:C, ROW())+INDEX(D:D, ROW())=0, 0, INDEX(C:C, ROW())/(INDEX(C:C, ROW())+INDEX(D:D, ROW())))</f>
        <v/>
      </c>
      <c r="F2911" s="1" t="inlineStr">
        <is>
          <t>Array, Dynamic Programming</t>
        </is>
      </c>
      <c r="G2911" s="1" t="inlineStr">
        <is>
          <t>Medium</t>
        </is>
      </c>
      <c r="H2911" s="1" t="n">
        <v>20773</v>
      </c>
      <c r="I2911" s="1" t="n">
        <v>40487</v>
      </c>
      <c r="J2911" s="9" t="n">
        <v>0.513</v>
      </c>
      <c r="K2911" s="1" t="inlineStr">
        <is>
          <t>Yes</t>
        </is>
      </c>
      <c r="L2911" s="1" t="inlineStr">
        <is>
          <t>No</t>
        </is>
      </c>
      <c r="M2911" s="1" t="inlineStr">
        <is>
          <t>No</t>
        </is>
      </c>
      <c r="N2911" s="1" t="inlineStr">
        <is>
          <t>Algorithms</t>
        </is>
      </c>
      <c r="O29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12" ht="15.75" customHeight="1" s="12">
      <c r="A2912" s="1" t="n">
        <v>2916</v>
      </c>
      <c r="B2912" s="3">
        <f>HYPERLINK("https://leetcode.com/problems/subarrays-distinct-element-sum-of-squares-ii/", "Subarrays Distinct Element Sum of Squares II")</f>
        <v/>
      </c>
      <c r="C2912" s="1" t="n">
        <v>155</v>
      </c>
      <c r="D2912" s="1" t="n">
        <v>12</v>
      </c>
      <c r="E2912" s="4">
        <f>IF(INDEX(C:C, ROW())+INDEX(D:D, ROW())=0, 0, INDEX(C:C, ROW())/(INDEX(C:C, ROW())+INDEX(D:D, ROW())))</f>
        <v/>
      </c>
      <c r="F2912" s="1" t="inlineStr">
        <is>
          <t>Array, Dynamic Programming, Binary Indexed Tree, Segment Tree</t>
        </is>
      </c>
      <c r="G2912" s="1" t="inlineStr">
        <is>
          <t>Hard</t>
        </is>
      </c>
      <c r="H2912" s="1" t="n">
        <v>4474</v>
      </c>
      <c r="I2912" s="1" t="n">
        <v>19841</v>
      </c>
      <c r="J2912" s="9" t="n">
        <v>0.225</v>
      </c>
      <c r="K2912" s="1" t="inlineStr">
        <is>
          <t>Yes</t>
        </is>
      </c>
      <c r="L2912" s="1" t="inlineStr">
        <is>
          <t>No</t>
        </is>
      </c>
      <c r="M2912" s="1" t="inlineStr">
        <is>
          <t>No</t>
        </is>
      </c>
      <c r="N2912" s="1" t="inlineStr">
        <is>
          <t>Algorithms</t>
        </is>
      </c>
      <c r="O29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13" ht="15.75" customHeight="1" s="12">
      <c r="A2913" s="1" t="n">
        <v>3184</v>
      </c>
      <c r="B2913" s="3">
        <f>HYPERLINK("https://leetcode.com/problems/count-pairs-that-form-a-complete-day-i/", "Count Pairs That Form a Complete Day I")</f>
        <v/>
      </c>
      <c r="C2913" s="1" t="n">
        <v>155</v>
      </c>
      <c r="D2913" s="1" t="n">
        <v>11</v>
      </c>
      <c r="E2913" s="4">
        <f>IF(INDEX(C:C, ROW())+INDEX(D:D, ROW())=0, 0, INDEX(C:C, ROW())/(INDEX(C:C, ROW())+INDEX(D:D, ROW())))</f>
        <v/>
      </c>
      <c r="F2913" s="1" t="inlineStr">
        <is>
          <t>Array, Hash Table, Counting</t>
        </is>
      </c>
      <c r="G2913" s="1" t="inlineStr">
        <is>
          <t>Easy</t>
        </is>
      </c>
      <c r="H2913" s="1" t="n">
        <v>73756</v>
      </c>
      <c r="I2913" s="1" t="n">
        <v>94654</v>
      </c>
      <c r="J2913" s="9" t="n">
        <v>0.779</v>
      </c>
      <c r="K2913" s="1" t="inlineStr">
        <is>
          <t>Yes</t>
        </is>
      </c>
      <c r="L2913" s="1" t="inlineStr">
        <is>
          <t>No</t>
        </is>
      </c>
      <c r="M2913" s="1" t="inlineStr">
        <is>
          <t>No</t>
        </is>
      </c>
      <c r="N2913" s="1" t="inlineStr">
        <is>
          <t>Algorithms</t>
        </is>
      </c>
      <c r="O29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14" ht="15.75" customHeight="1" s="12">
      <c r="A2914" s="1" t="n">
        <v>3255</v>
      </c>
      <c r="B2914" s="3">
        <f>HYPERLINK("https://leetcode.com/problems/find-the-power-of-k-size-subarrays-ii/", "Find the Power of K-Size Subarrays II")</f>
        <v/>
      </c>
      <c r="C2914" s="1" t="n">
        <v>155</v>
      </c>
      <c r="D2914" s="1" t="n">
        <v>12</v>
      </c>
      <c r="E2914" s="4">
        <f>IF(INDEX(C:C, ROW())+INDEX(D:D, ROW())=0, 0, INDEX(C:C, ROW())/(INDEX(C:C, ROW())+INDEX(D:D, ROW())))</f>
        <v/>
      </c>
      <c r="F2914" s="1" t="inlineStr">
        <is>
          <t>Array, Sliding Window</t>
        </is>
      </c>
      <c r="G2914" s="1" t="inlineStr">
        <is>
          <t>Medium</t>
        </is>
      </c>
      <c r="H2914" s="1" t="n">
        <v>34218</v>
      </c>
      <c r="I2914" s="1" t="n">
        <v>109368</v>
      </c>
      <c r="J2914" s="9" t="n">
        <v>0.313</v>
      </c>
      <c r="K2914" s="1" t="inlineStr">
        <is>
          <t>Yes</t>
        </is>
      </c>
      <c r="L2914" s="1" t="inlineStr">
        <is>
          <t>No</t>
        </is>
      </c>
      <c r="M2914" s="1" t="inlineStr">
        <is>
          <t>No</t>
        </is>
      </c>
      <c r="N2914" s="1" t="inlineStr">
        <is>
          <t>Algorithms</t>
        </is>
      </c>
      <c r="O29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15" ht="15.75" customHeight="1" s="12">
      <c r="A2915" s="1" t="n">
        <v>3310</v>
      </c>
      <c r="B2915" s="3">
        <f>HYPERLINK("https://leetcode.com/problems/remove-methods-from-project/", "Remove Methods From Project")</f>
        <v/>
      </c>
      <c r="C2915" s="1" t="n">
        <v>155</v>
      </c>
      <c r="D2915" s="1" t="n">
        <v>57</v>
      </c>
      <c r="E2915" s="4">
        <f>IF(INDEX(C:C, ROW())+INDEX(D:D, ROW())=0, 0, INDEX(C:C, ROW())/(INDEX(C:C, ROW())+INDEX(D:D, ROW())))</f>
        <v/>
      </c>
      <c r="F2915" s="1" t="inlineStr">
        <is>
          <t>Depth-First Search, Breadth-First Search, Graph Theory</t>
        </is>
      </c>
      <c r="G2915" s="1" t="inlineStr">
        <is>
          <t>Medium</t>
        </is>
      </c>
      <c r="H2915" s="1" t="n">
        <v>26273</v>
      </c>
      <c r="I2915" s="1" t="n">
        <v>52321</v>
      </c>
      <c r="J2915" s="9" t="n">
        <v>0.502</v>
      </c>
      <c r="K2915" s="1" t="inlineStr">
        <is>
          <t>Yes</t>
        </is>
      </c>
      <c r="L2915" s="1" t="inlineStr">
        <is>
          <t>No</t>
        </is>
      </c>
      <c r="M2915" s="1" t="inlineStr">
        <is>
          <t>No</t>
        </is>
      </c>
      <c r="N2915" s="1" t="inlineStr">
        <is>
          <t>Algorithms</t>
        </is>
      </c>
      <c r="O29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16" ht="15.75" customHeight="1" s="12">
      <c r="A2916" s="1" t="n">
        <v>3351</v>
      </c>
      <c r="B2916" s="3">
        <f>HYPERLINK("https://leetcode.com/problems/sum-of-good-subsequences/", "Sum of Good Subsequences")</f>
        <v/>
      </c>
      <c r="C2916" s="1" t="n">
        <v>155</v>
      </c>
      <c r="D2916" s="1" t="n">
        <v>8</v>
      </c>
      <c r="E2916" s="4">
        <f>IF(INDEX(C:C, ROW())+INDEX(D:D, ROW())=0, 0, INDEX(C:C, ROW())/(INDEX(C:C, ROW())+INDEX(D:D, ROW())))</f>
        <v/>
      </c>
      <c r="F2916" s="1" t="inlineStr">
        <is>
          <t>Array, Hash Table, Dynamic Programming</t>
        </is>
      </c>
      <c r="G2916" s="1" t="inlineStr">
        <is>
          <t>Hard</t>
        </is>
      </c>
      <c r="H2916" s="1" t="n">
        <v>11945</v>
      </c>
      <c r="I2916" s="1" t="n">
        <v>38962</v>
      </c>
      <c r="J2916" s="9" t="n">
        <v>0.307</v>
      </c>
      <c r="K2916" s="1" t="inlineStr">
        <is>
          <t>Yes</t>
        </is>
      </c>
      <c r="L2916" s="1" t="inlineStr">
        <is>
          <t>No</t>
        </is>
      </c>
      <c r="M2916" s="1" t="inlineStr">
        <is>
          <t>No</t>
        </is>
      </c>
      <c r="N2916" s="1" t="inlineStr">
        <is>
          <t>Algorithms</t>
        </is>
      </c>
      <c r="O29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17" ht="15.75" customHeight="1" s="12">
      <c r="A2917" s="1" t="n">
        <v>1243</v>
      </c>
      <c r="B2917" s="3">
        <f>HYPERLINK("https://leetcode.com/problems/array-transformation/", "Array Transformation")</f>
        <v/>
      </c>
      <c r="C2917" s="1" t="n">
        <v>154</v>
      </c>
      <c r="D2917" s="1" t="n">
        <v>73</v>
      </c>
      <c r="E2917" s="4">
        <f>IF(INDEX(C:C, ROW())+INDEX(D:D, ROW())=0, 0, INDEX(C:C, ROW())/(INDEX(C:C, ROW())+INDEX(D:D, ROW())))</f>
        <v/>
      </c>
      <c r="F2917" s="1" t="inlineStr">
        <is>
          <t>Array, Simulation</t>
        </is>
      </c>
      <c r="G2917" s="1" t="inlineStr">
        <is>
          <t>Easy</t>
        </is>
      </c>
      <c r="H2917" s="1" t="n">
        <v>15999</v>
      </c>
      <c r="I2917" s="1" t="n">
        <v>29904</v>
      </c>
      <c r="J2917" s="9" t="n">
        <v>0.535</v>
      </c>
      <c r="K2917" s="1" t="inlineStr">
        <is>
          <t>No</t>
        </is>
      </c>
      <c r="L2917" s="1" t="inlineStr">
        <is>
          <t>No</t>
        </is>
      </c>
      <c r="M2917" s="1" t="inlineStr">
        <is>
          <t>No</t>
        </is>
      </c>
      <c r="N2917" s="1" t="inlineStr">
        <is>
          <t>Algorithms</t>
        </is>
      </c>
      <c r="O29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18" ht="15.75" customHeight="1" s="12">
      <c r="A2918" s="1" t="n">
        <v>3072</v>
      </c>
      <c r="B2918" s="3">
        <f>HYPERLINK("https://leetcode.com/problems/distribute-elements-into-two-arrays-ii/", "Distribute Elements Into Two Arrays II")</f>
        <v/>
      </c>
      <c r="C2918" s="1" t="n">
        <v>154</v>
      </c>
      <c r="D2918" s="1" t="n">
        <v>14</v>
      </c>
      <c r="E2918" s="4">
        <f>IF(INDEX(C:C, ROW())+INDEX(D:D, ROW())=0, 0, INDEX(C:C, ROW())/(INDEX(C:C, ROW())+INDEX(D:D, ROW())))</f>
        <v/>
      </c>
      <c r="F2918" s="1" t="inlineStr">
        <is>
          <t>Array, Binary Indexed Tree, Segment Tree, Simulation</t>
        </is>
      </c>
      <c r="G2918" s="1" t="inlineStr">
        <is>
          <t>Hard</t>
        </is>
      </c>
      <c r="H2918" s="1" t="n">
        <v>13581</v>
      </c>
      <c r="I2918" s="1" t="n">
        <v>45009</v>
      </c>
      <c r="J2918" s="9" t="n">
        <v>0.302</v>
      </c>
      <c r="K2918" s="1" t="inlineStr">
        <is>
          <t>Yes</t>
        </is>
      </c>
      <c r="L2918" s="1" t="inlineStr">
        <is>
          <t>No</t>
        </is>
      </c>
      <c r="M2918" s="1" t="inlineStr">
        <is>
          <t>No</t>
        </is>
      </c>
      <c r="N2918" s="1" t="inlineStr">
        <is>
          <t>Algorithms</t>
        </is>
      </c>
      <c r="O29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19" ht="15.75" customHeight="1" s="12">
      <c r="A2919" s="1" t="n">
        <v>3280</v>
      </c>
      <c r="B2919" s="3">
        <f>HYPERLINK("https://leetcode.com/problems/convert-date-to-binary/", "Convert Date to Binary")</f>
        <v/>
      </c>
      <c r="C2919" s="1" t="n">
        <v>153</v>
      </c>
      <c r="D2919" s="1" t="n">
        <v>11</v>
      </c>
      <c r="E2919" s="4">
        <f>IF(INDEX(C:C, ROW())+INDEX(D:D, ROW())=0, 0, INDEX(C:C, ROW())/(INDEX(C:C, ROW())+INDEX(D:D, ROW())))</f>
        <v/>
      </c>
      <c r="F2919" s="1" t="inlineStr">
        <is>
          <t>Math, String</t>
        </is>
      </c>
      <c r="G2919" s="1" t="inlineStr">
        <is>
          <t>Easy</t>
        </is>
      </c>
      <c r="H2919" s="1" t="n">
        <v>82998</v>
      </c>
      <c r="I2919" s="1" t="n">
        <v>93644</v>
      </c>
      <c r="J2919" s="9" t="n">
        <v>0.886</v>
      </c>
      <c r="K2919" s="1" t="inlineStr">
        <is>
          <t>Yes</t>
        </is>
      </c>
      <c r="L2919" s="1" t="inlineStr">
        <is>
          <t>No</t>
        </is>
      </c>
      <c r="M2919" s="1" t="inlineStr">
        <is>
          <t>No</t>
        </is>
      </c>
      <c r="N2919" s="1" t="inlineStr">
        <is>
          <t>Algorithms</t>
        </is>
      </c>
      <c r="O29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20" ht="15.75" customHeight="1" s="12">
      <c r="A2920" s="1" t="n">
        <v>1194</v>
      </c>
      <c r="B2920" s="3">
        <f>HYPERLINK("https://leetcode.com/problems/tournament-winners/", "Tournament Winners")</f>
        <v/>
      </c>
      <c r="C2920" s="1" t="n">
        <v>152</v>
      </c>
      <c r="D2920" s="1" t="n">
        <v>57</v>
      </c>
      <c r="E2920" s="4">
        <f>IF(INDEX(C:C, ROW())+INDEX(D:D, ROW())=0, 0, INDEX(C:C, ROW())/(INDEX(C:C, ROW())+INDEX(D:D, ROW())))</f>
        <v/>
      </c>
      <c r="F2920" s="1" t="inlineStr">
        <is>
          <t>Database</t>
        </is>
      </c>
      <c r="G2920" s="1" t="inlineStr">
        <is>
          <t>Hard</t>
        </is>
      </c>
      <c r="H2920" s="1" t="n">
        <v>24591</v>
      </c>
      <c r="I2920" s="1" t="n">
        <v>49159</v>
      </c>
      <c r="J2920" s="9" t="n">
        <v>0.5</v>
      </c>
      <c r="K2920" s="1" t="inlineStr">
        <is>
          <t>No</t>
        </is>
      </c>
      <c r="L2920" s="1" t="inlineStr">
        <is>
          <t>Yes</t>
        </is>
      </c>
      <c r="M2920" s="1" t="inlineStr">
        <is>
          <t>No</t>
        </is>
      </c>
      <c r="N2920" s="1" t="inlineStr">
        <is>
          <t>Database</t>
        </is>
      </c>
      <c r="O29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21" ht="15.75" customHeight="1" s="12">
      <c r="A2921" s="1" t="n">
        <v>1355</v>
      </c>
      <c r="B2921" s="3">
        <f>HYPERLINK("https://leetcode.com/problems/activity-participants/", "Activity Participants")</f>
        <v/>
      </c>
      <c r="C2921" s="1" t="n">
        <v>152</v>
      </c>
      <c r="D2921" s="1" t="n">
        <v>48</v>
      </c>
      <c r="E2921" s="4">
        <f>IF(INDEX(C:C, ROW())+INDEX(D:D, ROW())=0, 0, INDEX(C:C, ROW())/(INDEX(C:C, ROW())+INDEX(D:D, ROW())))</f>
        <v/>
      </c>
      <c r="F2921" s="1" t="inlineStr">
        <is>
          <t>Database</t>
        </is>
      </c>
      <c r="G2921" s="1" t="inlineStr">
        <is>
          <t>Medium</t>
        </is>
      </c>
      <c r="H2921" s="1" t="n">
        <v>34835</v>
      </c>
      <c r="I2921" s="1" t="n">
        <v>48414</v>
      </c>
      <c r="J2921" s="9" t="n">
        <v>0.72</v>
      </c>
      <c r="K2921" s="1" t="inlineStr">
        <is>
          <t>No</t>
        </is>
      </c>
      <c r="L2921" s="1" t="inlineStr">
        <is>
          <t>Yes</t>
        </is>
      </c>
      <c r="M2921" s="1" t="inlineStr">
        <is>
          <t>No</t>
        </is>
      </c>
      <c r="N2921" s="1" t="inlineStr">
        <is>
          <t>Database</t>
        </is>
      </c>
      <c r="O29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22" ht="15.75" customHeight="1" s="12">
      <c r="A2922" s="1" t="n">
        <v>3165</v>
      </c>
      <c r="B2922" s="3">
        <f>HYPERLINK("https://leetcode.com/problems/maximum-sum-of-subsequence-with-non-adjacent-elements/", "Maximum Sum of Subsequence With Non-adjacent Elements")</f>
        <v/>
      </c>
      <c r="C2922" s="1" t="n">
        <v>152</v>
      </c>
      <c r="D2922" s="1" t="n">
        <v>32</v>
      </c>
      <c r="E2922" s="4">
        <f>IF(INDEX(C:C, ROW())+INDEX(D:D, ROW())=0, 0, INDEX(C:C, ROW())/(INDEX(C:C, ROW())+INDEX(D:D, ROW())))</f>
        <v/>
      </c>
      <c r="F2922" s="1" t="inlineStr">
        <is>
          <t>Array, Divide and Conquer, Dynamic Programming, Segment Tree</t>
        </is>
      </c>
      <c r="G2922" s="1" t="inlineStr">
        <is>
          <t>Hard</t>
        </is>
      </c>
      <c r="H2922" s="1" t="n">
        <v>8176</v>
      </c>
      <c r="I2922" s="1" t="n">
        <v>52898</v>
      </c>
      <c r="J2922" s="9" t="n">
        <v>0.155</v>
      </c>
      <c r="K2922" s="1" t="inlineStr">
        <is>
          <t>Yes</t>
        </is>
      </c>
      <c r="L2922" s="1" t="inlineStr">
        <is>
          <t>No</t>
        </is>
      </c>
      <c r="M2922" s="1" t="inlineStr">
        <is>
          <t>No</t>
        </is>
      </c>
      <c r="N2922" s="1" t="inlineStr">
        <is>
          <t>Algorithms</t>
        </is>
      </c>
      <c r="O29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23" ht="15.75" customHeight="1" s="12">
      <c r="A2923" s="1" t="n">
        <v>3685</v>
      </c>
      <c r="B2923" s="3">
        <f>HYPERLINK("https://leetcode.com/problems/subsequence-sum-after-capping-elements/", "Subsequence Sum After Capping Elements")</f>
        <v/>
      </c>
      <c r="C2923" s="1" t="n">
        <v>152</v>
      </c>
      <c r="D2923" s="1" t="n">
        <v>15</v>
      </c>
      <c r="E2923" s="4">
        <f>IF(INDEX(C:C, ROW())+INDEX(D:D, ROW())=0, 0, INDEX(C:C, ROW())/(INDEX(C:C, ROW())+INDEX(D:D, ROW())))</f>
        <v/>
      </c>
      <c r="F2923" s="1" t="inlineStr">
        <is>
          <t>Array, Two Pointers, Dynamic Programming, Sorting</t>
        </is>
      </c>
      <c r="G2923" s="1" t="inlineStr">
        <is>
          <t>Medium</t>
        </is>
      </c>
      <c r="H2923" s="1" t="n">
        <v>16738</v>
      </c>
      <c r="I2923" s="1" t="n">
        <v>74019</v>
      </c>
      <c r="J2923" s="9" t="n">
        <v>0.226</v>
      </c>
      <c r="K2923" s="1" t="inlineStr">
        <is>
          <t>Yes</t>
        </is>
      </c>
      <c r="L2923" s="1" t="inlineStr">
        <is>
          <t>No</t>
        </is>
      </c>
      <c r="M2923" s="1" t="inlineStr">
        <is>
          <t>No</t>
        </is>
      </c>
      <c r="N2923" s="1" t="inlineStr">
        <is>
          <t>Algorithms</t>
        </is>
      </c>
      <c r="O29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24" ht="15.75" customHeight="1" s="12">
      <c r="A2924" s="1" t="n">
        <v>2204</v>
      </c>
      <c r="B2924" s="3">
        <f>HYPERLINK("https://leetcode.com/problems/distance-to-a-cycle-in-undirected-graph/", "Distance to a Cycle in Undirected Graph")</f>
        <v/>
      </c>
      <c r="C2924" s="1" t="n">
        <v>151</v>
      </c>
      <c r="D2924" s="1" t="n">
        <v>11</v>
      </c>
      <c r="E2924" s="4">
        <f>IF(INDEX(C:C, ROW())+INDEX(D:D, ROW())=0, 0, INDEX(C:C, ROW())/(INDEX(C:C, ROW())+INDEX(D:D, ROW())))</f>
        <v/>
      </c>
      <c r="F2924" s="1" t="inlineStr">
        <is>
          <t>Depth-First Search, Breadth-First Search, Union-Find, Graph Theory</t>
        </is>
      </c>
      <c r="G2924" s="1" t="inlineStr">
        <is>
          <t>Hard</t>
        </is>
      </c>
      <c r="H2924" s="1" t="n">
        <v>6643</v>
      </c>
      <c r="I2924" s="1" t="n">
        <v>9076</v>
      </c>
      <c r="J2924" s="9" t="n">
        <v>0.732</v>
      </c>
      <c r="K2924" s="1" t="inlineStr">
        <is>
          <t>No</t>
        </is>
      </c>
      <c r="L2924" s="1" t="inlineStr">
        <is>
          <t>Yes</t>
        </is>
      </c>
      <c r="M2924" s="1" t="inlineStr">
        <is>
          <t>No</t>
        </is>
      </c>
      <c r="N2924" s="1" t="inlineStr">
        <is>
          <t>Algorithms</t>
        </is>
      </c>
      <c r="O29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25" ht="15.75" customHeight="1" s="12">
      <c r="A2925" s="1" t="n">
        <v>2878</v>
      </c>
      <c r="B2925" s="3">
        <f>HYPERLINK("https://leetcode.com/problems/get-the-size-of-a-dataframe/", "Get the Size of a DataFrame")</f>
        <v/>
      </c>
      <c r="C2925" s="1" t="n">
        <v>151</v>
      </c>
      <c r="D2925" s="1" t="n">
        <v>13</v>
      </c>
      <c r="E2925" s="4">
        <f>IF(INDEX(C:C, ROW())+INDEX(D:D, ROW())=0, 0, INDEX(C:C, ROW())/(INDEX(C:C, ROW())+INDEX(D:D, ROW())))</f>
        <v/>
      </c>
      <c r="F2925" s="2" t="n"/>
      <c r="G2925" s="1" t="inlineStr">
        <is>
          <t>Easy</t>
        </is>
      </c>
      <c r="H2925" s="1" t="n">
        <v>188266</v>
      </c>
      <c r="I2925" s="1" t="n">
        <v>221654</v>
      </c>
      <c r="J2925" s="9" t="n">
        <v>0.849</v>
      </c>
      <c r="K2925" s="1" t="inlineStr">
        <is>
          <t>Yes</t>
        </is>
      </c>
      <c r="L2925" s="1" t="inlineStr">
        <is>
          <t>Yes</t>
        </is>
      </c>
      <c r="M2925" s="1" t="inlineStr">
        <is>
          <t>No</t>
        </is>
      </c>
      <c r="N2925" s="1" t="inlineStr">
        <is>
          <t>pandas</t>
        </is>
      </c>
      <c r="O29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26" ht="15.75" customHeight="1" s="12">
      <c r="A2926" s="1" t="n">
        <v>2928</v>
      </c>
      <c r="B2926" s="3">
        <f>HYPERLINK("https://leetcode.com/problems/distribute-candies-among-children-i/", "Distribute Candies Among Children I")</f>
        <v/>
      </c>
      <c r="C2926" s="1" t="n">
        <v>151</v>
      </c>
      <c r="D2926" s="1" t="n">
        <v>70</v>
      </c>
      <c r="E2926" s="4">
        <f>IF(INDEX(C:C, ROW())+INDEX(D:D, ROW())=0, 0, INDEX(C:C, ROW())/(INDEX(C:C, ROW())+INDEX(D:D, ROW())))</f>
        <v/>
      </c>
      <c r="F2926" s="1" t="inlineStr">
        <is>
          <t>Math, Combinatorics, Enumeration</t>
        </is>
      </c>
      <c r="G2926" s="1" t="inlineStr">
        <is>
          <t>Easy</t>
        </is>
      </c>
      <c r="H2926" s="1" t="n">
        <v>40694</v>
      </c>
      <c r="I2926" s="1" t="n">
        <v>53560</v>
      </c>
      <c r="J2926" s="9" t="n">
        <v>0.76</v>
      </c>
      <c r="K2926" s="1" t="inlineStr">
        <is>
          <t>Yes</t>
        </is>
      </c>
      <c r="L2926" s="1" t="inlineStr">
        <is>
          <t>No</t>
        </is>
      </c>
      <c r="M2926" s="1" t="inlineStr">
        <is>
          <t>No</t>
        </is>
      </c>
      <c r="N2926" s="1" t="inlineStr">
        <is>
          <t>Algorithms</t>
        </is>
      </c>
      <c r="O29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27" ht="15.75" customHeight="1" s="12">
      <c r="A2927" s="1" t="n">
        <v>3033</v>
      </c>
      <c r="B2927" s="3">
        <f>HYPERLINK("https://leetcode.com/problems/modify-the-matrix/", "Modify the Matrix")</f>
        <v/>
      </c>
      <c r="C2927" s="1" t="n">
        <v>151</v>
      </c>
      <c r="D2927" s="1" t="n">
        <v>9</v>
      </c>
      <c r="E2927" s="4">
        <f>IF(INDEX(C:C, ROW())+INDEX(D:D, ROW())=0, 0, INDEX(C:C, ROW())/(INDEX(C:C, ROW())+INDEX(D:D, ROW())))</f>
        <v/>
      </c>
      <c r="F2927" s="1" t="inlineStr">
        <is>
          <t>Array, Matrix</t>
        </is>
      </c>
      <c r="G2927" s="1" t="inlineStr">
        <is>
          <t>Easy</t>
        </is>
      </c>
      <c r="H2927" s="1" t="n">
        <v>55464</v>
      </c>
      <c r="I2927" s="1" t="n">
        <v>80512</v>
      </c>
      <c r="J2927" s="9" t="n">
        <v>0.6889999999999999</v>
      </c>
      <c r="K2927" s="1" t="inlineStr">
        <is>
          <t>Yes</t>
        </is>
      </c>
      <c r="L2927" s="1" t="inlineStr">
        <is>
          <t>No</t>
        </is>
      </c>
      <c r="M2927" s="1" t="inlineStr">
        <is>
          <t>No</t>
        </is>
      </c>
      <c r="N2927" s="1" t="inlineStr">
        <is>
          <t>Algorithms</t>
        </is>
      </c>
      <c r="O29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28" ht="15.75" customHeight="1" s="12">
      <c r="A2928" s="1" t="n">
        <v>3192</v>
      </c>
      <c r="B2928" s="3">
        <f>HYPERLINK("https://leetcode.com/problems/minimum-operations-to-make-binary-array-elements-equal-to-one-ii/", "Minimum Operations to Make Binary Array Elements Equal to One II")</f>
        <v/>
      </c>
      <c r="C2928" s="1" t="n">
        <v>151</v>
      </c>
      <c r="D2928" s="1" t="n">
        <v>9</v>
      </c>
      <c r="E2928" s="4">
        <f>IF(INDEX(C:C, ROW())+INDEX(D:D, ROW())=0, 0, INDEX(C:C, ROW())/(INDEX(C:C, ROW())+INDEX(D:D, ROW())))</f>
        <v/>
      </c>
      <c r="F2928" s="1" t="inlineStr">
        <is>
          <t>Array, Dynamic Programming, Greedy</t>
        </is>
      </c>
      <c r="G2928" s="1" t="inlineStr">
        <is>
          <t>Medium</t>
        </is>
      </c>
      <c r="H2928" s="1" t="n">
        <v>42697</v>
      </c>
      <c r="I2928" s="1" t="n">
        <v>65784</v>
      </c>
      <c r="J2928" s="9" t="n">
        <v>0.649</v>
      </c>
      <c r="K2928" s="1" t="inlineStr">
        <is>
          <t>Yes</t>
        </is>
      </c>
      <c r="L2928" s="1" t="inlineStr">
        <is>
          <t>No</t>
        </is>
      </c>
      <c r="M2928" s="1" t="inlineStr">
        <is>
          <t>No</t>
        </is>
      </c>
      <c r="N2928" s="1" t="inlineStr">
        <is>
          <t>Algorithms</t>
        </is>
      </c>
      <c r="O29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29" ht="15.75" customHeight="1" s="12">
      <c r="A2929" s="1" t="n">
        <v>3250</v>
      </c>
      <c r="B2929" s="3">
        <f>HYPERLINK("https://leetcode.com/problems/find-the-count-of-monotonic-pairs-i/", "Find the Count of Monotonic Pairs I")</f>
        <v/>
      </c>
      <c r="C2929" s="1" t="n">
        <v>151</v>
      </c>
      <c r="D2929" s="1" t="n">
        <v>12</v>
      </c>
      <c r="E2929" s="4">
        <f>IF(INDEX(C:C, ROW())+INDEX(D:D, ROW())=0, 0, INDEX(C:C, ROW())/(INDEX(C:C, ROW())+INDEX(D:D, ROW())))</f>
        <v/>
      </c>
      <c r="F2929" s="1" t="inlineStr">
        <is>
          <t>Array, Math, Dynamic Programming, Combinatorics, Prefix Sum</t>
        </is>
      </c>
      <c r="G2929" s="1" t="inlineStr">
        <is>
          <t>Hard</t>
        </is>
      </c>
      <c r="H2929" s="1" t="n">
        <v>20213</v>
      </c>
      <c r="I2929" s="1" t="n">
        <v>42665</v>
      </c>
      <c r="J2929" s="9" t="n">
        <v>0.474</v>
      </c>
      <c r="K2929" s="1" t="inlineStr">
        <is>
          <t>Yes</t>
        </is>
      </c>
      <c r="L2929" s="1" t="inlineStr">
        <is>
          <t>No</t>
        </is>
      </c>
      <c r="M2929" s="1" t="inlineStr">
        <is>
          <t>No</t>
        </is>
      </c>
      <c r="N2929" s="1" t="inlineStr">
        <is>
          <t>Algorithms</t>
        </is>
      </c>
      <c r="O29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30" ht="15.75" customHeight="1" s="12">
      <c r="A2930" s="1" t="n">
        <v>3387</v>
      </c>
      <c r="B2930" s="3">
        <f>HYPERLINK("https://leetcode.com/problems/maximize-amount-after-two-days-of-conversions/", "Maximize Amount After Two Days of Conversions")</f>
        <v/>
      </c>
      <c r="C2930" s="1" t="n">
        <v>151</v>
      </c>
      <c r="D2930" s="1" t="n">
        <v>41</v>
      </c>
      <c r="E2930" s="4">
        <f>IF(INDEX(C:C, ROW())+INDEX(D:D, ROW())=0, 0, INDEX(C:C, ROW())/(INDEX(C:C, ROW())+INDEX(D:D, ROW())))</f>
        <v/>
      </c>
      <c r="F2930" s="1" t="inlineStr">
        <is>
          <t>Array, String, Depth-First Search, Breadth-First Search, Graph Theory</t>
        </is>
      </c>
      <c r="G2930" s="1" t="inlineStr">
        <is>
          <t>Medium</t>
        </is>
      </c>
      <c r="H2930" s="1" t="n">
        <v>17979</v>
      </c>
      <c r="I2930" s="1" t="n">
        <v>29494</v>
      </c>
      <c r="J2930" s="9" t="n">
        <v>0.61</v>
      </c>
      <c r="K2930" s="1" t="inlineStr">
        <is>
          <t>Yes</t>
        </is>
      </c>
      <c r="L2930" s="1" t="inlineStr">
        <is>
          <t>No</t>
        </is>
      </c>
      <c r="M2930" s="1" t="inlineStr">
        <is>
          <t>No</t>
        </is>
      </c>
      <c r="N2930" s="1" t="inlineStr">
        <is>
          <t>Algorithms</t>
        </is>
      </c>
      <c r="O29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31" ht="15.75" customHeight="1" s="12">
      <c r="A2931" s="1" t="n">
        <v>2422</v>
      </c>
      <c r="B2931" s="3">
        <f>HYPERLINK("https://leetcode.com/problems/merge-operations-to-turn-array-into-a-palindrome/", "Merge Operations to Turn Array Into a Palindrome")</f>
        <v/>
      </c>
      <c r="C2931" s="1" t="n">
        <v>150</v>
      </c>
      <c r="D2931" s="1" t="n">
        <v>16</v>
      </c>
      <c r="E2931" s="4">
        <f>IF(INDEX(C:C, ROW())+INDEX(D:D, ROW())=0, 0, INDEX(C:C, ROW())/(INDEX(C:C, ROW())+INDEX(D:D, ROW())))</f>
        <v/>
      </c>
      <c r="F2931" s="1" t="inlineStr">
        <is>
          <t>Array, Two Pointers, Greedy</t>
        </is>
      </c>
      <c r="G2931" s="1" t="inlineStr">
        <is>
          <t>Medium</t>
        </is>
      </c>
      <c r="H2931" s="1" t="n">
        <v>18796</v>
      </c>
      <c r="I2931" s="1" t="n">
        <v>27297</v>
      </c>
      <c r="J2931" s="9" t="n">
        <v>0.6889999999999999</v>
      </c>
      <c r="K2931" s="1" t="inlineStr">
        <is>
          <t>No</t>
        </is>
      </c>
      <c r="L2931" s="1" t="inlineStr">
        <is>
          <t>No</t>
        </is>
      </c>
      <c r="M2931" s="1" t="inlineStr">
        <is>
          <t>No</t>
        </is>
      </c>
      <c r="N2931" s="1" t="inlineStr">
        <is>
          <t>Algorithms</t>
        </is>
      </c>
      <c r="O29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32" ht="15.75" customHeight="1" s="12">
      <c r="A2932" s="1" t="n">
        <v>2726</v>
      </c>
      <c r="B2932" s="3">
        <f>HYPERLINK("https://leetcode.com/problems/calculator-with-method-chaining/", "Calculator with Method Chaining")</f>
        <v/>
      </c>
      <c r="C2932" s="1" t="n">
        <v>150</v>
      </c>
      <c r="D2932" s="1" t="n">
        <v>22</v>
      </c>
      <c r="E2932" s="4">
        <f>IF(INDEX(C:C, ROW())+INDEX(D:D, ROW())=0, 0, INDEX(C:C, ROW())/(INDEX(C:C, ROW())+INDEX(D:D, ROW())))</f>
        <v/>
      </c>
      <c r="F2932" s="2" t="n"/>
      <c r="G2932" s="1" t="inlineStr">
        <is>
          <t>Easy</t>
        </is>
      </c>
      <c r="H2932" s="1" t="n">
        <v>52284</v>
      </c>
      <c r="I2932" s="1" t="n">
        <v>67474</v>
      </c>
      <c r="J2932" s="9" t="n">
        <v>0.775</v>
      </c>
      <c r="K2932" s="1" t="inlineStr">
        <is>
          <t>Yes</t>
        </is>
      </c>
      <c r="L2932" s="1" t="inlineStr">
        <is>
          <t>Yes</t>
        </is>
      </c>
      <c r="M2932" s="1" t="inlineStr">
        <is>
          <t>No</t>
        </is>
      </c>
      <c r="N2932" s="1" t="inlineStr">
        <is>
          <t>JavaScript</t>
        </is>
      </c>
      <c r="O29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33" ht="15.75" customHeight="1" s="12">
      <c r="A2933" s="1" t="n">
        <v>3364</v>
      </c>
      <c r="B2933" s="3">
        <f>HYPERLINK("https://leetcode.com/problems/minimum-positive-sum-subarray/", "Minimum Positive Sum Subarray ")</f>
        <v/>
      </c>
      <c r="C2933" s="1" t="n">
        <v>150</v>
      </c>
      <c r="D2933" s="1" t="n">
        <v>34</v>
      </c>
      <c r="E2933" s="4">
        <f>IF(INDEX(C:C, ROW())+INDEX(D:D, ROW())=0, 0, INDEX(C:C, ROW())/(INDEX(C:C, ROW())+INDEX(D:D, ROW())))</f>
        <v/>
      </c>
      <c r="F2933" s="1" t="inlineStr">
        <is>
          <t>Array, Sliding Window, Prefix Sum</t>
        </is>
      </c>
      <c r="G2933" s="1" t="inlineStr">
        <is>
          <t>Easy</t>
        </is>
      </c>
      <c r="H2933" s="1" t="n">
        <v>42575</v>
      </c>
      <c r="I2933" s="1" t="n">
        <v>95421</v>
      </c>
      <c r="J2933" s="9" t="n">
        <v>0.446</v>
      </c>
      <c r="K2933" s="1" t="inlineStr">
        <is>
          <t>Yes</t>
        </is>
      </c>
      <c r="L2933" s="1" t="inlineStr">
        <is>
          <t>No</t>
        </is>
      </c>
      <c r="M2933" s="1" t="inlineStr">
        <is>
          <t>No</t>
        </is>
      </c>
      <c r="N2933" s="1" t="inlineStr">
        <is>
          <t>Algorithms</t>
        </is>
      </c>
      <c r="O29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34" ht="15.75" customHeight="1" s="12">
      <c r="A2934" s="1" t="n">
        <v>3168</v>
      </c>
      <c r="B2934" s="3">
        <f>HYPERLINK("https://leetcode.com/problems/minimum-number-of-chairs-in-a-waiting-room/", "Minimum Number of Chairs in a Waiting Room")</f>
        <v/>
      </c>
      <c r="C2934" s="1" t="n">
        <v>149</v>
      </c>
      <c r="D2934" s="1" t="n">
        <v>14</v>
      </c>
      <c r="E2934" s="4">
        <f>IF(INDEX(C:C, ROW())+INDEX(D:D, ROW())=0, 0, INDEX(C:C, ROW())/(INDEX(C:C, ROW())+INDEX(D:D, ROW())))</f>
        <v/>
      </c>
      <c r="F2934" s="1" t="inlineStr">
        <is>
          <t>String, Simulation</t>
        </is>
      </c>
      <c r="G2934" s="1" t="inlineStr">
        <is>
          <t>Easy</t>
        </is>
      </c>
      <c r="H2934" s="1" t="n">
        <v>68630</v>
      </c>
      <c r="I2934" s="1" t="n">
        <v>86799</v>
      </c>
      <c r="J2934" s="9" t="n">
        <v>0.791</v>
      </c>
      <c r="K2934" s="1" t="inlineStr">
        <is>
          <t>Yes</t>
        </is>
      </c>
      <c r="L2934" s="1" t="inlineStr">
        <is>
          <t>No</t>
        </is>
      </c>
      <c r="M2934" s="1" t="inlineStr">
        <is>
          <t>No</t>
        </is>
      </c>
      <c r="N2934" s="1" t="inlineStr">
        <is>
          <t>Algorithms</t>
        </is>
      </c>
      <c r="O29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35" ht="15.75" customHeight="1" s="12">
      <c r="A2935" s="1" t="n">
        <v>1744</v>
      </c>
      <c r="B2935" s="3">
        <f>HYPERLINK("https://leetcode.com/problems/can-you-eat-your-favorite-candy-on-your-favorite-day/", "Can You Eat Your Favorite Candy on Your Favorite Day?")</f>
        <v/>
      </c>
      <c r="C2935" s="1" t="n">
        <v>148</v>
      </c>
      <c r="D2935" s="1" t="n">
        <v>340</v>
      </c>
      <c r="E2935" s="4">
        <f>IF(INDEX(C:C, ROW())+INDEX(D:D, ROW())=0, 0, INDEX(C:C, ROW())/(INDEX(C:C, ROW())+INDEX(D:D, ROW())))</f>
        <v/>
      </c>
      <c r="F2935" s="1" t="inlineStr">
        <is>
          <t>Array, Prefix Sum</t>
        </is>
      </c>
      <c r="G2935" s="1" t="inlineStr">
        <is>
          <t>Medium</t>
        </is>
      </c>
      <c r="H2935" s="1" t="n">
        <v>13374</v>
      </c>
      <c r="I2935" s="1" t="n">
        <v>37569</v>
      </c>
      <c r="J2935" s="9" t="n">
        <v>0.356</v>
      </c>
      <c r="K2935" s="1" t="inlineStr">
        <is>
          <t>Yes</t>
        </is>
      </c>
      <c r="L2935" s="1" t="inlineStr">
        <is>
          <t>No</t>
        </is>
      </c>
      <c r="M2935" s="1" t="inlineStr">
        <is>
          <t>No</t>
        </is>
      </c>
      <c r="N2935" s="1" t="inlineStr">
        <is>
          <t>Algorithms</t>
        </is>
      </c>
      <c r="O29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36" ht="15.75" customHeight="1" s="12">
      <c r="A2936" s="1" t="n">
        <v>3409</v>
      </c>
      <c r="B2936" s="3">
        <f>HYPERLINK("https://leetcode.com/problems/longest-subsequence-with-decreasing-adjacent-difference/", "Longest Subsequence With Decreasing Adjacent Difference")</f>
        <v/>
      </c>
      <c r="C2936" s="1" t="n">
        <v>148</v>
      </c>
      <c r="D2936" s="1" t="n">
        <v>25</v>
      </c>
      <c r="E2936" s="4">
        <f>IF(INDEX(C:C, ROW())+INDEX(D:D, ROW())=0, 0, INDEX(C:C, ROW())/(INDEX(C:C, ROW())+INDEX(D:D, ROW())))</f>
        <v/>
      </c>
      <c r="F2936" s="1" t="inlineStr">
        <is>
          <t>Array, Dynamic Programming</t>
        </is>
      </c>
      <c r="G2936" s="1" t="inlineStr">
        <is>
          <t>Medium</t>
        </is>
      </c>
      <c r="H2936" s="1" t="n">
        <v>6905</v>
      </c>
      <c r="I2936" s="1" t="n">
        <v>42053</v>
      </c>
      <c r="J2936" s="9" t="n">
        <v>0.164</v>
      </c>
      <c r="K2936" s="1" t="inlineStr">
        <is>
          <t>Yes</t>
        </is>
      </c>
      <c r="L2936" s="1" t="inlineStr">
        <is>
          <t>No</t>
        </is>
      </c>
      <c r="M2936" s="1" t="inlineStr">
        <is>
          <t>No</t>
        </is>
      </c>
      <c r="N2936" s="1" t="inlineStr">
        <is>
          <t>Algorithms</t>
        </is>
      </c>
      <c r="O29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37" ht="15.75" customHeight="1" s="12">
      <c r="A2937" s="1" t="n">
        <v>1294</v>
      </c>
      <c r="B2937" s="3">
        <f>HYPERLINK("https://leetcode.com/problems/weather-type-in-each-country/", "Weather Type in Each Country")</f>
        <v/>
      </c>
      <c r="C2937" s="1" t="n">
        <v>147</v>
      </c>
      <c r="D2937" s="1" t="n">
        <v>30</v>
      </c>
      <c r="E2937" s="4">
        <f>IF(INDEX(C:C, ROW())+INDEX(D:D, ROW())=0, 0, INDEX(C:C, ROW())/(INDEX(C:C, ROW())+INDEX(D:D, ROW())))</f>
        <v/>
      </c>
      <c r="F2937" s="1" t="inlineStr">
        <is>
          <t>Database</t>
        </is>
      </c>
      <c r="G2937" s="1" t="inlineStr">
        <is>
          <t>Easy</t>
        </is>
      </c>
      <c r="H2937" s="1" t="n">
        <v>45171</v>
      </c>
      <c r="I2937" s="1" t="n">
        <v>67394</v>
      </c>
      <c r="J2937" s="9" t="n">
        <v>0.67</v>
      </c>
      <c r="K2937" s="1" t="inlineStr">
        <is>
          <t>No</t>
        </is>
      </c>
      <c r="L2937" s="1" t="inlineStr">
        <is>
          <t>No</t>
        </is>
      </c>
      <c r="M2937" s="1" t="inlineStr">
        <is>
          <t>No</t>
        </is>
      </c>
      <c r="N2937" s="1" t="inlineStr">
        <is>
          <t>Database</t>
        </is>
      </c>
      <c r="O29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38" ht="15.75" customHeight="1" s="12">
      <c r="A2938" s="1" t="n">
        <v>1538</v>
      </c>
      <c r="B2938" s="3">
        <f>HYPERLINK("https://leetcode.com/problems/guess-the-majority-in-a-hidden-array/", "Guess the Majority in a Hidden Array")</f>
        <v/>
      </c>
      <c r="C2938" s="1" t="n">
        <v>147</v>
      </c>
      <c r="D2938" s="1" t="n">
        <v>122</v>
      </c>
      <c r="E2938" s="4">
        <f>IF(INDEX(C:C, ROW())+INDEX(D:D, ROW())=0, 0, INDEX(C:C, ROW())/(INDEX(C:C, ROW())+INDEX(D:D, ROW())))</f>
        <v/>
      </c>
      <c r="F2938" s="1" t="inlineStr">
        <is>
          <t>Array, Math, Interactive</t>
        </is>
      </c>
      <c r="G2938" s="1" t="inlineStr">
        <is>
          <t>Medium</t>
        </is>
      </c>
      <c r="H2938" s="1" t="n">
        <v>5094</v>
      </c>
      <c r="I2938" s="1" t="n">
        <v>7364</v>
      </c>
      <c r="J2938" s="9" t="n">
        <v>0.6919999999999999</v>
      </c>
      <c r="K2938" s="1" t="inlineStr">
        <is>
          <t>No</t>
        </is>
      </c>
      <c r="L2938" s="1" t="inlineStr">
        <is>
          <t>Yes</t>
        </is>
      </c>
      <c r="M2938" s="1" t="inlineStr">
        <is>
          <t>No</t>
        </is>
      </c>
      <c r="N2938" s="1" t="inlineStr">
        <is>
          <t>Algorithms</t>
        </is>
      </c>
      <c r="O29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39" ht="15.75" customHeight="1" s="12">
      <c r="A2939" s="1" t="n">
        <v>1607</v>
      </c>
      <c r="B2939" s="3">
        <f>HYPERLINK("https://leetcode.com/problems/sellers-with-no-sales/", "Sellers With No Sales")</f>
        <v/>
      </c>
      <c r="C2939" s="1" t="n">
        <v>147</v>
      </c>
      <c r="D2939" s="1" t="n">
        <v>14</v>
      </c>
      <c r="E2939" s="4">
        <f>IF(INDEX(C:C, ROW())+INDEX(D:D, ROW())=0, 0, INDEX(C:C, ROW())/(INDEX(C:C, ROW())+INDEX(D:D, ROW())))</f>
        <v/>
      </c>
      <c r="F2939" s="1" t="inlineStr">
        <is>
          <t>Database</t>
        </is>
      </c>
      <c r="G2939" s="1" t="inlineStr">
        <is>
          <t>Easy</t>
        </is>
      </c>
      <c r="H2939" s="1" t="n">
        <v>44567</v>
      </c>
      <c r="I2939" s="1" t="n">
        <v>82090</v>
      </c>
      <c r="J2939" s="9" t="n">
        <v>0.543</v>
      </c>
      <c r="K2939" s="1" t="inlineStr">
        <is>
          <t>No</t>
        </is>
      </c>
      <c r="L2939" s="1" t="inlineStr">
        <is>
          <t>Yes</t>
        </is>
      </c>
      <c r="M2939" s="1" t="inlineStr">
        <is>
          <t>No</t>
        </is>
      </c>
      <c r="N2939" s="1" t="inlineStr">
        <is>
          <t>Database</t>
        </is>
      </c>
      <c r="O29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40" ht="15.75" customHeight="1" s="12">
      <c r="A2940" s="1" t="n">
        <v>3161</v>
      </c>
      <c r="B2940" s="3">
        <f>HYPERLINK("https://leetcode.com/problems/block-placement-queries/", "Block Placement Queries")</f>
        <v/>
      </c>
      <c r="C2940" s="1" t="n">
        <v>147</v>
      </c>
      <c r="D2940" s="1" t="n">
        <v>32</v>
      </c>
      <c r="E2940" s="4">
        <f>IF(INDEX(C:C, ROW())+INDEX(D:D, ROW())=0, 0, INDEX(C:C, ROW())/(INDEX(C:C, ROW())+INDEX(D:D, ROW())))</f>
        <v/>
      </c>
      <c r="F2940" s="1" t="inlineStr">
        <is>
          <t>Array, Binary Search, Binary Indexed Tree, Segment Tree</t>
        </is>
      </c>
      <c r="G2940" s="1" t="inlineStr">
        <is>
          <t>Hard</t>
        </is>
      </c>
      <c r="H2940" s="1" t="n">
        <v>12269</v>
      </c>
      <c r="I2940" s="1" t="n">
        <v>66784</v>
      </c>
      <c r="J2940" s="9" t="n">
        <v>0.184</v>
      </c>
      <c r="K2940" s="1" t="inlineStr">
        <is>
          <t>Yes</t>
        </is>
      </c>
      <c r="L2940" s="1" t="inlineStr">
        <is>
          <t>No</t>
        </is>
      </c>
      <c r="M2940" s="1" t="inlineStr">
        <is>
          <t>No</t>
        </is>
      </c>
      <c r="N2940" s="1" t="inlineStr">
        <is>
          <t>Algorithms</t>
        </is>
      </c>
      <c r="O29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41" ht="15.75" customHeight="1" s="12">
      <c r="A2941" s="1" t="n">
        <v>1612</v>
      </c>
      <c r="B2941" s="3">
        <f>HYPERLINK("https://leetcode.com/problems/check-if-two-expression-trees-are-equivalent/", "Check If Two Expression Trees are Equivalent")</f>
        <v/>
      </c>
      <c r="C2941" s="1" t="n">
        <v>146</v>
      </c>
      <c r="D2941" s="1" t="n">
        <v>24</v>
      </c>
      <c r="E2941" s="4">
        <f>IF(INDEX(C:C, ROW())+INDEX(D:D, ROW())=0, 0, INDEX(C:C, ROW())/(INDEX(C:C, ROW())+INDEX(D:D, ROW())))</f>
        <v/>
      </c>
      <c r="F2941" s="1" t="inlineStr">
        <is>
          <t>Hash Table, Tree, Depth-First Search, Binary Tree, Counting</t>
        </is>
      </c>
      <c r="G2941" s="1" t="inlineStr">
        <is>
          <t>Medium</t>
        </is>
      </c>
      <c r="H2941" s="1" t="n">
        <v>8530</v>
      </c>
      <c r="I2941" s="1" t="n">
        <v>11907</v>
      </c>
      <c r="J2941" s="9" t="n">
        <v>0.716</v>
      </c>
      <c r="K2941" s="1" t="inlineStr">
        <is>
          <t>No</t>
        </is>
      </c>
      <c r="L2941" s="1" t="inlineStr">
        <is>
          <t>No</t>
        </is>
      </c>
      <c r="M2941" s="1" t="inlineStr">
        <is>
          <t>No</t>
        </is>
      </c>
      <c r="N2941" s="1" t="inlineStr">
        <is>
          <t>Algorithms</t>
        </is>
      </c>
      <c r="O29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42" ht="15.75" customHeight="1" s="12">
      <c r="A2942" s="1" t="n">
        <v>1950</v>
      </c>
      <c r="B2942" s="3">
        <f>HYPERLINK("https://leetcode.com/problems/maximum-of-minimum-values-in-all-subarrays/", "Maximum of Minimum Values in All Subarrays")</f>
        <v/>
      </c>
      <c r="C2942" s="1" t="n">
        <v>146</v>
      </c>
      <c r="D2942" s="1" t="n">
        <v>56</v>
      </c>
      <c r="E2942" s="4">
        <f>IF(INDEX(C:C, ROW())+INDEX(D:D, ROW())=0, 0, INDEX(C:C, ROW())/(INDEX(C:C, ROW())+INDEX(D:D, ROW())))</f>
        <v/>
      </c>
      <c r="F2942" s="1" t="inlineStr">
        <is>
          <t>Array, Stack, Monotonic Stack</t>
        </is>
      </c>
      <c r="G2942" s="1" t="inlineStr">
        <is>
          <t>Medium</t>
        </is>
      </c>
      <c r="H2942" s="1" t="n">
        <v>3529</v>
      </c>
      <c r="I2942" s="1" t="n">
        <v>7373</v>
      </c>
      <c r="J2942" s="9" t="n">
        <v>0.479</v>
      </c>
      <c r="K2942" s="1" t="inlineStr">
        <is>
          <t>No</t>
        </is>
      </c>
      <c r="L2942" s="1" t="inlineStr">
        <is>
          <t>No</t>
        </is>
      </c>
      <c r="M2942" s="1" t="inlineStr">
        <is>
          <t>No</t>
        </is>
      </c>
      <c r="N2942" s="1" t="inlineStr">
        <is>
          <t>Algorithms</t>
        </is>
      </c>
      <c r="O29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43" ht="15.75" customHeight="1" s="12">
      <c r="A2943" s="1" t="n">
        <v>2700</v>
      </c>
      <c r="B2943" s="3">
        <f>HYPERLINK("https://leetcode.com/problems/differences-between-two-objects/", "Differences Between Two Objects")</f>
        <v/>
      </c>
      <c r="C2943" s="1" t="n">
        <v>146</v>
      </c>
      <c r="D2943" s="1" t="n">
        <v>31</v>
      </c>
      <c r="E2943" s="4">
        <f>IF(INDEX(C:C, ROW())+INDEX(D:D, ROW())=0, 0, INDEX(C:C, ROW())/(INDEX(C:C, ROW())+INDEX(D:D, ROW())))</f>
        <v/>
      </c>
      <c r="F2943" s="2" t="n"/>
      <c r="G2943" s="1" t="inlineStr">
        <is>
          <t>Medium</t>
        </is>
      </c>
      <c r="H2943" s="1" t="n">
        <v>7806</v>
      </c>
      <c r="I2943" s="1" t="n">
        <v>10460</v>
      </c>
      <c r="J2943" s="9" t="n">
        <v>0.746</v>
      </c>
      <c r="K2943" s="1" t="inlineStr">
        <is>
          <t>No</t>
        </is>
      </c>
      <c r="L2943" s="1" t="inlineStr">
        <is>
          <t>Yes</t>
        </is>
      </c>
      <c r="M2943" s="1" t="inlineStr">
        <is>
          <t>No</t>
        </is>
      </c>
      <c r="N2943" s="1" t="inlineStr">
        <is>
          <t>JavaScript</t>
        </is>
      </c>
      <c r="O29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44" ht="15.75" customHeight="1" s="12">
      <c r="A2944" s="1" t="n">
        <v>3084</v>
      </c>
      <c r="B2944" s="3">
        <f>HYPERLINK("https://leetcode.com/problems/count-substrings-starting-and-ending-with-given-character/", "Count Substrings Starting and Ending with Given Character")</f>
        <v/>
      </c>
      <c r="C2944" s="1" t="n">
        <v>146</v>
      </c>
      <c r="D2944" s="1" t="n">
        <v>9</v>
      </c>
      <c r="E2944" s="4">
        <f>IF(INDEX(C:C, ROW())+INDEX(D:D, ROW())=0, 0, INDEX(C:C, ROW())/(INDEX(C:C, ROW())+INDEX(D:D, ROW())))</f>
        <v/>
      </c>
      <c r="F2944" s="1" t="inlineStr">
        <is>
          <t>Math, String, Counting</t>
        </is>
      </c>
      <c r="G2944" s="1" t="inlineStr">
        <is>
          <t>Medium</t>
        </is>
      </c>
      <c r="H2944" s="1" t="n">
        <v>45037</v>
      </c>
      <c r="I2944" s="1" t="n">
        <v>90523</v>
      </c>
      <c r="J2944" s="9" t="n">
        <v>0.498</v>
      </c>
      <c r="K2944" s="1" t="inlineStr">
        <is>
          <t>Yes</t>
        </is>
      </c>
      <c r="L2944" s="1" t="inlineStr">
        <is>
          <t>No</t>
        </is>
      </c>
      <c r="M2944" s="1" t="inlineStr">
        <is>
          <t>No</t>
        </is>
      </c>
      <c r="N2944" s="1" t="inlineStr">
        <is>
          <t>Algorithms</t>
        </is>
      </c>
      <c r="O29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45" ht="15.75" customHeight="1" s="12">
      <c r="A2945" s="1" t="n">
        <v>3098</v>
      </c>
      <c r="B2945" s="3">
        <f>HYPERLINK("https://leetcode.com/problems/find-the-sum-of-subsequence-powers/", "Find the Sum of Subsequence Powers")</f>
        <v/>
      </c>
      <c r="C2945" s="1" t="n">
        <v>146</v>
      </c>
      <c r="D2945" s="1" t="n">
        <v>6</v>
      </c>
      <c r="E2945" s="4">
        <f>IF(INDEX(C:C, ROW())+INDEX(D:D, ROW())=0, 0, INDEX(C:C, ROW())/(INDEX(C:C, ROW())+INDEX(D:D, ROW())))</f>
        <v/>
      </c>
      <c r="F2945" s="1" t="inlineStr">
        <is>
          <t>Array, Dynamic Programming, Sorting</t>
        </is>
      </c>
      <c r="G2945" s="1" t="inlineStr">
        <is>
          <t>Hard</t>
        </is>
      </c>
      <c r="H2945" s="1" t="n">
        <v>6802</v>
      </c>
      <c r="I2945" s="1" t="n">
        <v>27464</v>
      </c>
      <c r="J2945" s="9" t="n">
        <v>0.248</v>
      </c>
      <c r="K2945" s="1" t="inlineStr">
        <is>
          <t>Yes</t>
        </is>
      </c>
      <c r="L2945" s="1" t="inlineStr">
        <is>
          <t>No</t>
        </is>
      </c>
      <c r="M2945" s="1" t="inlineStr">
        <is>
          <t>No</t>
        </is>
      </c>
      <c r="N2945" s="1" t="inlineStr">
        <is>
          <t>Algorithms</t>
        </is>
      </c>
      <c r="O29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46" ht="15.75" customHeight="1" s="12">
      <c r="A2946" s="1" t="n">
        <v>3139</v>
      </c>
      <c r="B2946" s="3">
        <f>HYPERLINK("https://leetcode.com/problems/minimum-cost-to-equalize-array/", "Minimum Cost to Equalize Array")</f>
        <v/>
      </c>
      <c r="C2946" s="1" t="n">
        <v>146</v>
      </c>
      <c r="D2946" s="1" t="n">
        <v>24</v>
      </c>
      <c r="E2946" s="4">
        <f>IF(INDEX(C:C, ROW())+INDEX(D:D, ROW())=0, 0, INDEX(C:C, ROW())/(INDEX(C:C, ROW())+INDEX(D:D, ROW())))</f>
        <v/>
      </c>
      <c r="F2946" s="1" t="inlineStr">
        <is>
          <t>Array, Greedy, Enumeration</t>
        </is>
      </c>
      <c r="G2946" s="1" t="inlineStr">
        <is>
          <t>Hard</t>
        </is>
      </c>
      <c r="H2946" s="1" t="n">
        <v>6233</v>
      </c>
      <c r="I2946" s="1" t="n">
        <v>33533</v>
      </c>
      <c r="J2946" s="9" t="n">
        <v>0.186</v>
      </c>
      <c r="K2946" s="1" t="inlineStr">
        <is>
          <t>Yes</t>
        </is>
      </c>
      <c r="L2946" s="1" t="inlineStr">
        <is>
          <t>No</t>
        </is>
      </c>
      <c r="M2946" s="1" t="inlineStr">
        <is>
          <t>No</t>
        </is>
      </c>
      <c r="N2946" s="1" t="inlineStr">
        <is>
          <t>Algorithms</t>
        </is>
      </c>
      <c r="O29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47" ht="15.75" customHeight="1" s="12">
      <c r="A2947" s="1" t="n">
        <v>1555</v>
      </c>
      <c r="B2947" s="3">
        <f>HYPERLINK("https://leetcode.com/problems/bank-account-summary/", "Bank Account Summary")</f>
        <v/>
      </c>
      <c r="C2947" s="1" t="n">
        <v>145</v>
      </c>
      <c r="D2947" s="1" t="n">
        <v>27</v>
      </c>
      <c r="E2947" s="4">
        <f>IF(INDEX(C:C, ROW())+INDEX(D:D, ROW())=0, 0, INDEX(C:C, ROW())/(INDEX(C:C, ROW())+INDEX(D:D, ROW())))</f>
        <v/>
      </c>
      <c r="F2947" s="1" t="inlineStr">
        <is>
          <t>Database</t>
        </is>
      </c>
      <c r="G2947" s="1" t="inlineStr">
        <is>
          <t>Medium</t>
        </is>
      </c>
      <c r="H2947" s="1" t="n">
        <v>22355</v>
      </c>
      <c r="I2947" s="1" t="n">
        <v>42979</v>
      </c>
      <c r="J2947" s="9" t="n">
        <v>0.52</v>
      </c>
      <c r="K2947" s="1" t="inlineStr">
        <is>
          <t>No</t>
        </is>
      </c>
      <c r="L2947" s="1" t="inlineStr">
        <is>
          <t>No</t>
        </is>
      </c>
      <c r="M2947" s="1" t="inlineStr">
        <is>
          <t>No</t>
        </is>
      </c>
      <c r="N2947" s="1" t="inlineStr">
        <is>
          <t>Database</t>
        </is>
      </c>
      <c r="O29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48" ht="15.75" customHeight="1" s="12">
      <c r="A2948" s="1" t="n">
        <v>3469</v>
      </c>
      <c r="B2948" s="3">
        <f>HYPERLINK("https://leetcode.com/problems/find-minimum-cost-to-remove-array-elements/", "Find Minimum Cost to Remove Array Elements")</f>
        <v/>
      </c>
      <c r="C2948" s="1" t="n">
        <v>145</v>
      </c>
      <c r="D2948" s="1" t="n">
        <v>9</v>
      </c>
      <c r="E2948" s="4">
        <f>IF(INDEX(C:C, ROW())+INDEX(D:D, ROW())=0, 0, INDEX(C:C, ROW())/(INDEX(C:C, ROW())+INDEX(D:D, ROW())))</f>
        <v/>
      </c>
      <c r="F2948" s="1" t="inlineStr">
        <is>
          <t>Array, Dynamic Programming</t>
        </is>
      </c>
      <c r="G2948" s="1" t="inlineStr">
        <is>
          <t>Medium</t>
        </is>
      </c>
      <c r="H2948" s="1" t="n">
        <v>12142</v>
      </c>
      <c r="I2948" s="1" t="n">
        <v>57447</v>
      </c>
      <c r="J2948" s="9" t="n">
        <v>0.211</v>
      </c>
      <c r="K2948" s="1" t="inlineStr">
        <is>
          <t>Yes</t>
        </is>
      </c>
      <c r="L2948" s="1" t="inlineStr">
        <is>
          <t>No</t>
        </is>
      </c>
      <c r="M2948" s="1" t="inlineStr">
        <is>
          <t>No</t>
        </is>
      </c>
      <c r="N2948" s="1" t="inlineStr">
        <is>
          <t>Algorithms</t>
        </is>
      </c>
      <c r="O29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49" ht="15.75" customHeight="1" s="12">
      <c r="A2949" s="1" t="n">
        <v>2693</v>
      </c>
      <c r="B2949" s="3">
        <f>HYPERLINK("https://leetcode.com/problems/call-function-with-custom-context/", "Call Function with Custom Context")</f>
        <v/>
      </c>
      <c r="C2949" s="1" t="n">
        <v>144</v>
      </c>
      <c r="D2949" s="1" t="n">
        <v>13</v>
      </c>
      <c r="E2949" s="4">
        <f>IF(INDEX(C:C, ROW())+INDEX(D:D, ROW())=0, 0, INDEX(C:C, ROW())/(INDEX(C:C, ROW())+INDEX(D:D, ROW())))</f>
        <v/>
      </c>
      <c r="F2949" s="2" t="n"/>
      <c r="G2949" s="1" t="inlineStr">
        <is>
          <t>Medium</t>
        </is>
      </c>
      <c r="H2949" s="1" t="n">
        <v>14058</v>
      </c>
      <c r="I2949" s="1" t="n">
        <v>17981</v>
      </c>
      <c r="J2949" s="9" t="n">
        <v>0.782</v>
      </c>
      <c r="K2949" s="1" t="inlineStr">
        <is>
          <t>Yes</t>
        </is>
      </c>
      <c r="L2949" s="1" t="inlineStr">
        <is>
          <t>Yes</t>
        </is>
      </c>
      <c r="M2949" s="1" t="inlineStr">
        <is>
          <t>No</t>
        </is>
      </c>
      <c r="N2949" s="1" t="inlineStr">
        <is>
          <t>JavaScript</t>
        </is>
      </c>
      <c r="O29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50" ht="15.75" customHeight="1" s="12">
      <c r="A2950" s="1" t="n">
        <v>3071</v>
      </c>
      <c r="B2950" s="3">
        <f>HYPERLINK("https://leetcode.com/problems/minimum-operations-to-write-the-letter-y-on-a-grid/", "Minimum Operations to Write the Letter Y on a Grid")</f>
        <v/>
      </c>
      <c r="C2950" s="1" t="n">
        <v>144</v>
      </c>
      <c r="D2950" s="1" t="n">
        <v>34</v>
      </c>
      <c r="E2950" s="4">
        <f>IF(INDEX(C:C, ROW())+INDEX(D:D, ROW())=0, 0, INDEX(C:C, ROW())/(INDEX(C:C, ROW())+INDEX(D:D, ROW())))</f>
        <v/>
      </c>
      <c r="F2950" s="1" t="inlineStr">
        <is>
          <t>Array, Hash Table, Matrix, Counting</t>
        </is>
      </c>
      <c r="G2950" s="1" t="inlineStr">
        <is>
          <t>Medium</t>
        </is>
      </c>
      <c r="H2950" s="1" t="n">
        <v>34210</v>
      </c>
      <c r="I2950" s="1" t="n">
        <v>53424</v>
      </c>
      <c r="J2950" s="9" t="n">
        <v>0.64</v>
      </c>
      <c r="K2950" s="1" t="inlineStr">
        <is>
          <t>Yes</t>
        </is>
      </c>
      <c r="L2950" s="1" t="inlineStr">
        <is>
          <t>No</t>
        </is>
      </c>
      <c r="M2950" s="1" t="inlineStr">
        <is>
          <t>No</t>
        </is>
      </c>
      <c r="N2950" s="1" t="inlineStr">
        <is>
          <t>Algorithms</t>
        </is>
      </c>
      <c r="O29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51" ht="15.75" customHeight="1" s="12">
      <c r="A2951" s="1" t="n">
        <v>3149</v>
      </c>
      <c r="B2951" s="3">
        <f>HYPERLINK("https://leetcode.com/problems/find-the-minimum-cost-array-permutation/", "Find the Minimum Cost Array Permutation")</f>
        <v/>
      </c>
      <c r="C2951" s="1" t="n">
        <v>144</v>
      </c>
      <c r="D2951" s="1" t="n">
        <v>8</v>
      </c>
      <c r="E2951" s="4">
        <f>IF(INDEX(C:C, ROW())+INDEX(D:D, ROW())=0, 0, INDEX(C:C, ROW())/(INDEX(C:C, ROW())+INDEX(D:D, ROW())))</f>
        <v/>
      </c>
      <c r="F2951" s="1" t="inlineStr">
        <is>
          <t>Array, Dynamic Programming, Bit Manipulation, Bitmask DP</t>
        </is>
      </c>
      <c r="G2951" s="1" t="inlineStr">
        <is>
          <t>Hard</t>
        </is>
      </c>
      <c r="H2951" s="1" t="n">
        <v>6839</v>
      </c>
      <c r="I2951" s="1" t="n">
        <v>27288</v>
      </c>
      <c r="J2951" s="9" t="n">
        <v>0.251</v>
      </c>
      <c r="K2951" s="1" t="inlineStr">
        <is>
          <t>Yes</t>
        </is>
      </c>
      <c r="L2951" s="1" t="inlineStr">
        <is>
          <t>No</t>
        </is>
      </c>
      <c r="M2951" s="1" t="inlineStr">
        <is>
          <t>No</t>
        </is>
      </c>
      <c r="N2951" s="1" t="inlineStr">
        <is>
          <t>Algorithms</t>
        </is>
      </c>
      <c r="O29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52" ht="15.75" customHeight="1" s="12">
      <c r="A2952" s="1" t="n">
        <v>2371</v>
      </c>
      <c r="B2952" s="3">
        <f>HYPERLINK("https://leetcode.com/problems/minimize-maximum-value-in-a-grid/", "Minimize Maximum Value in a Grid")</f>
        <v/>
      </c>
      <c r="C2952" s="1" t="n">
        <v>143</v>
      </c>
      <c r="D2952" s="1" t="n">
        <v>6</v>
      </c>
      <c r="E2952" s="4">
        <f>IF(INDEX(C:C, ROW())+INDEX(D:D, ROW())=0, 0, INDEX(C:C, ROW())/(INDEX(C:C, ROW())+INDEX(D:D, ROW())))</f>
        <v/>
      </c>
      <c r="F2952" s="1" t="inlineStr">
        <is>
          <t>Array, Union-Find, Graph Theory, Topological Sort, Sorting, Matrix</t>
        </is>
      </c>
      <c r="G2952" s="1" t="inlineStr">
        <is>
          <t>Hard</t>
        </is>
      </c>
      <c r="H2952" s="1" t="n">
        <v>7322</v>
      </c>
      <c r="I2952" s="1" t="n">
        <v>10431</v>
      </c>
      <c r="J2952" s="9" t="n">
        <v>0.702</v>
      </c>
      <c r="K2952" s="1" t="inlineStr">
        <is>
          <t>No</t>
        </is>
      </c>
      <c r="L2952" s="1" t="inlineStr">
        <is>
          <t>Yes</t>
        </is>
      </c>
      <c r="M2952" s="1" t="inlineStr">
        <is>
          <t>No</t>
        </is>
      </c>
      <c r="N2952" s="1" t="inlineStr">
        <is>
          <t>Algorithms</t>
        </is>
      </c>
      <c r="O29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53" ht="15.75" customHeight="1" s="12">
      <c r="A2953" s="1" t="n">
        <v>3325</v>
      </c>
      <c r="B2953" s="3">
        <f>HYPERLINK("https://leetcode.com/problems/count-substrings-with-k-frequency-characters-i/", "Count Substrings With K-Frequency Characters I")</f>
        <v/>
      </c>
      <c r="C2953" s="1" t="n">
        <v>143</v>
      </c>
      <c r="D2953" s="1" t="n">
        <v>9</v>
      </c>
      <c r="E2953" s="4">
        <f>IF(INDEX(C:C, ROW())+INDEX(D:D, ROW())=0, 0, INDEX(C:C, ROW())/(INDEX(C:C, ROW())+INDEX(D:D, ROW())))</f>
        <v/>
      </c>
      <c r="F2953" s="1" t="inlineStr">
        <is>
          <t>Hash Table, String, Sliding Window</t>
        </is>
      </c>
      <c r="G2953" s="1" t="inlineStr">
        <is>
          <t>Medium</t>
        </is>
      </c>
      <c r="H2953" s="1" t="n">
        <v>35809</v>
      </c>
      <c r="I2953" s="1" t="n">
        <v>64596</v>
      </c>
      <c r="J2953" s="9" t="n">
        <v>0.554</v>
      </c>
      <c r="K2953" s="1" t="inlineStr">
        <is>
          <t>Yes</t>
        </is>
      </c>
      <c r="L2953" s="1" t="inlineStr">
        <is>
          <t>No</t>
        </is>
      </c>
      <c r="M2953" s="1" t="inlineStr">
        <is>
          <t>No</t>
        </is>
      </c>
      <c r="N2953" s="1" t="inlineStr">
        <is>
          <t>Algorithms</t>
        </is>
      </c>
      <c r="O29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54" ht="15.75" customHeight="1" s="12">
      <c r="A2954" s="1" t="n">
        <v>3428</v>
      </c>
      <c r="B2954" s="3">
        <f>HYPERLINK("https://leetcode.com/problems/maximum-and-minimum-sums-of-at-most-size-k-subsequences/", "Maximum and Minimum Sums of at Most Size K Subsequences")</f>
        <v/>
      </c>
      <c r="C2954" s="1" t="n">
        <v>143</v>
      </c>
      <c r="D2954" s="1" t="n">
        <v>34</v>
      </c>
      <c r="E2954" s="4">
        <f>IF(INDEX(C:C, ROW())+INDEX(D:D, ROW())=0, 0, INDEX(C:C, ROW())/(INDEX(C:C, ROW())+INDEX(D:D, ROW())))</f>
        <v/>
      </c>
      <c r="F2954" s="1" t="inlineStr">
        <is>
          <t>Array, Math, Dynamic Programming, Sorting, Combinatorics</t>
        </is>
      </c>
      <c r="G2954" s="1" t="inlineStr">
        <is>
          <t>Medium</t>
        </is>
      </c>
      <c r="H2954" s="1" t="n">
        <v>12408</v>
      </c>
      <c r="I2954" s="1" t="n">
        <v>58041</v>
      </c>
      <c r="J2954" s="9" t="n">
        <v>0.214</v>
      </c>
      <c r="K2954" s="1" t="inlineStr">
        <is>
          <t>Yes</t>
        </is>
      </c>
      <c r="L2954" s="1" t="inlineStr">
        <is>
          <t>No</t>
        </is>
      </c>
      <c r="M2954" s="1" t="inlineStr">
        <is>
          <t>No</t>
        </is>
      </c>
      <c r="N2954" s="1" t="inlineStr">
        <is>
          <t>Algorithms</t>
        </is>
      </c>
      <c r="O29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55" ht="15.75" customHeight="1" s="12">
      <c r="A2955" s="1" t="n">
        <v>1777</v>
      </c>
      <c r="B2955" s="3">
        <f>HYPERLINK("https://leetcode.com/problems/products-price-for-each-store/", "Product's Price for Each Store")</f>
        <v/>
      </c>
      <c r="C2955" s="1" t="n">
        <v>142</v>
      </c>
      <c r="D2955" s="1" t="n">
        <v>13</v>
      </c>
      <c r="E2955" s="4">
        <f>IF(INDEX(C:C, ROW())+INDEX(D:D, ROW())=0, 0, INDEX(C:C, ROW())/(INDEX(C:C, ROW())+INDEX(D:D, ROW())))</f>
        <v/>
      </c>
      <c r="F2955" s="1" t="inlineStr">
        <is>
          <t>Database</t>
        </is>
      </c>
      <c r="G2955" s="1" t="inlineStr">
        <is>
          <t>Easy</t>
        </is>
      </c>
      <c r="H2955" s="1" t="n">
        <v>24447</v>
      </c>
      <c r="I2955" s="1" t="n">
        <v>29756</v>
      </c>
      <c r="J2955" s="9" t="n">
        <v>0.822</v>
      </c>
      <c r="K2955" s="1" t="inlineStr">
        <is>
          <t>No</t>
        </is>
      </c>
      <c r="L2955" s="1" t="inlineStr">
        <is>
          <t>Yes</t>
        </is>
      </c>
      <c r="M2955" s="1" t="inlineStr">
        <is>
          <t>No</t>
        </is>
      </c>
      <c r="N2955" s="1" t="inlineStr">
        <is>
          <t>Database</t>
        </is>
      </c>
      <c r="O29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56" ht="15.75" customHeight="1" s="12">
      <c r="A2956" s="1" t="n">
        <v>2393</v>
      </c>
      <c r="B2956" s="3">
        <f>HYPERLINK("https://leetcode.com/problems/count-strictly-increasing-subarrays/", "Count Strictly Increasing Subarrays")</f>
        <v/>
      </c>
      <c r="C2956" s="1" t="n">
        <v>142</v>
      </c>
      <c r="D2956" s="1" t="n">
        <v>2</v>
      </c>
      <c r="E2956" s="4">
        <f>IF(INDEX(C:C, ROW())+INDEX(D:D, ROW())=0, 0, INDEX(C:C, ROW())/(INDEX(C:C, ROW())+INDEX(D:D, ROW())))</f>
        <v/>
      </c>
      <c r="F2956" s="1" t="inlineStr">
        <is>
          <t>Array, Math, Dynamic Programming</t>
        </is>
      </c>
      <c r="G2956" s="1" t="inlineStr">
        <is>
          <t>Medium</t>
        </is>
      </c>
      <c r="H2956" s="1" t="n">
        <v>8055</v>
      </c>
      <c r="I2956" s="1" t="n">
        <v>11305</v>
      </c>
      <c r="J2956" s="9" t="n">
        <v>0.713</v>
      </c>
      <c r="K2956" s="1" t="inlineStr">
        <is>
          <t>No</t>
        </is>
      </c>
      <c r="L2956" s="1" t="inlineStr">
        <is>
          <t>Yes</t>
        </is>
      </c>
      <c r="M2956" s="1" t="inlineStr">
        <is>
          <t>No</t>
        </is>
      </c>
      <c r="N2956" s="1" t="inlineStr">
        <is>
          <t>Algorithms</t>
        </is>
      </c>
      <c r="O29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57" ht="15.75" customHeight="1" s="12">
      <c r="A2957" s="1" t="n">
        <v>2711</v>
      </c>
      <c r="B2957" s="3">
        <f>HYPERLINK("https://leetcode.com/problems/difference-of-number-of-distinct-values-on-diagonals/", "Difference of Number of Distinct Values on Diagonals")</f>
        <v/>
      </c>
      <c r="C2957" s="1" t="n">
        <v>142</v>
      </c>
      <c r="D2957" s="1" t="n">
        <v>210</v>
      </c>
      <c r="E2957" s="4">
        <f>IF(INDEX(C:C, ROW())+INDEX(D:D, ROW())=0, 0, INDEX(C:C, ROW())/(INDEX(C:C, ROW())+INDEX(D:D, ROW())))</f>
        <v/>
      </c>
      <c r="F2957" s="1" t="inlineStr">
        <is>
          <t>Array, Hash Table, Matrix</t>
        </is>
      </c>
      <c r="G2957" s="1" t="inlineStr">
        <is>
          <t>Medium</t>
        </is>
      </c>
      <c r="H2957" s="1" t="n">
        <v>22396</v>
      </c>
      <c r="I2957" s="1" t="n">
        <v>32803</v>
      </c>
      <c r="J2957" s="9" t="n">
        <v>0.6830000000000001</v>
      </c>
      <c r="K2957" s="1" t="inlineStr">
        <is>
          <t>Yes</t>
        </is>
      </c>
      <c r="L2957" s="1" t="inlineStr">
        <is>
          <t>No</t>
        </is>
      </c>
      <c r="M2957" s="1" t="inlineStr">
        <is>
          <t>No</t>
        </is>
      </c>
      <c r="N2957" s="1" t="inlineStr">
        <is>
          <t>Algorithms</t>
        </is>
      </c>
      <c r="O29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58" ht="15.75" customHeight="1" s="12">
      <c r="A2958" s="1" t="n">
        <v>2954</v>
      </c>
      <c r="B2958" s="3">
        <f>HYPERLINK("https://leetcode.com/problems/count-the-number-of-infection-sequences/", "Count the Number of Infection Sequences")</f>
        <v/>
      </c>
      <c r="C2958" s="1" t="n">
        <v>142</v>
      </c>
      <c r="D2958" s="1" t="n">
        <v>32</v>
      </c>
      <c r="E2958" s="4">
        <f>IF(INDEX(C:C, ROW())+INDEX(D:D, ROW())=0, 0, INDEX(C:C, ROW())/(INDEX(C:C, ROW())+INDEX(D:D, ROW())))</f>
        <v/>
      </c>
      <c r="F2958" s="1" t="inlineStr">
        <is>
          <t>Array, Math, Combinatorics</t>
        </is>
      </c>
      <c r="G2958" s="1" t="inlineStr">
        <is>
          <t>Hard</t>
        </is>
      </c>
      <c r="H2958" s="1" t="n">
        <v>5704</v>
      </c>
      <c r="I2958" s="1" t="n">
        <v>15454</v>
      </c>
      <c r="J2958" s="9" t="n">
        <v>0.369</v>
      </c>
      <c r="K2958" s="1" t="inlineStr">
        <is>
          <t>Yes</t>
        </is>
      </c>
      <c r="L2958" s="1" t="inlineStr">
        <is>
          <t>No</t>
        </is>
      </c>
      <c r="M2958" s="1" t="inlineStr">
        <is>
          <t>No</t>
        </is>
      </c>
      <c r="N2958" s="1" t="inlineStr">
        <is>
          <t>Algorithms</t>
        </is>
      </c>
      <c r="O29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59" ht="15.75" customHeight="1" s="12">
      <c r="A2959" s="1" t="n">
        <v>3319</v>
      </c>
      <c r="B2959" s="3">
        <f>HYPERLINK("https://leetcode.com/problems/k-th-largest-perfect-subtree-size-in-binary-tree/", "K-th Largest Perfect Subtree Size in Binary Tree")</f>
        <v/>
      </c>
      <c r="C2959" s="1" t="n">
        <v>142</v>
      </c>
      <c r="D2959" s="1" t="n">
        <v>14</v>
      </c>
      <c r="E2959" s="4">
        <f>IF(INDEX(C:C, ROW())+INDEX(D:D, ROW())=0, 0, INDEX(C:C, ROW())/(INDEX(C:C, ROW())+INDEX(D:D, ROW())))</f>
        <v/>
      </c>
      <c r="F2959" s="1" t="inlineStr">
        <is>
          <t>Tree, Depth-First Search, Sorting, Binary Tree</t>
        </is>
      </c>
      <c r="G2959" s="1" t="inlineStr">
        <is>
          <t>Medium</t>
        </is>
      </c>
      <c r="H2959" s="1" t="n">
        <v>27912</v>
      </c>
      <c r="I2959" s="1" t="n">
        <v>45088</v>
      </c>
      <c r="J2959" s="9" t="n">
        <v>0.619</v>
      </c>
      <c r="K2959" s="1" t="inlineStr">
        <is>
          <t>Yes</t>
        </is>
      </c>
      <c r="L2959" s="1" t="inlineStr">
        <is>
          <t>No</t>
        </is>
      </c>
      <c r="M2959" s="1" t="inlineStr">
        <is>
          <t>No</t>
        </is>
      </c>
      <c r="N2959" s="1" t="inlineStr">
        <is>
          <t>Algorithms</t>
        </is>
      </c>
      <c r="O29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60" ht="15.75" customHeight="1" s="12">
      <c r="A2960" s="1" t="n">
        <v>3458</v>
      </c>
      <c r="B2960" s="3">
        <f>HYPERLINK("https://leetcode.com/problems/select-k-disjoint-special-substrings/", "Select K Disjoint Special Substrings")</f>
        <v/>
      </c>
      <c r="C2960" s="1" t="n">
        <v>142</v>
      </c>
      <c r="D2960" s="1" t="n">
        <v>14</v>
      </c>
      <c r="E2960" s="4">
        <f>IF(INDEX(C:C, ROW())+INDEX(D:D, ROW())=0, 0, INDEX(C:C, ROW())/(INDEX(C:C, ROW())+INDEX(D:D, ROW())))</f>
        <v/>
      </c>
      <c r="F2960" s="1" t="inlineStr">
        <is>
          <t>Hash Table, String, Dynamic Programming, Greedy, Sorting</t>
        </is>
      </c>
      <c r="G2960" s="1" t="inlineStr">
        <is>
          <t>Medium</t>
        </is>
      </c>
      <c r="H2960" s="1" t="n">
        <v>10936</v>
      </c>
      <c r="I2960" s="1" t="n">
        <v>57858</v>
      </c>
      <c r="J2960" s="9" t="n">
        <v>0.189</v>
      </c>
      <c r="K2960" s="1" t="inlineStr">
        <is>
          <t>Yes</t>
        </is>
      </c>
      <c r="L2960" s="1" t="inlineStr">
        <is>
          <t>No</t>
        </is>
      </c>
      <c r="M2960" s="1" t="inlineStr">
        <is>
          <t>No</t>
        </is>
      </c>
      <c r="N2960" s="1" t="inlineStr">
        <is>
          <t>Algorithms</t>
        </is>
      </c>
      <c r="O29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61" ht="15.75" customHeight="1" s="12">
      <c r="A2961" s="1" t="n">
        <v>3654</v>
      </c>
      <c r="B2961" s="3">
        <f>HYPERLINK("https://leetcode.com/problems/minimum-sum-after-divisible-sum-deletions/", "Minimum Sum After Divisible Sum Deletions")</f>
        <v/>
      </c>
      <c r="C2961" s="1" t="n">
        <v>142</v>
      </c>
      <c r="D2961" s="1" t="n">
        <v>10</v>
      </c>
      <c r="E2961" s="4">
        <f>IF(INDEX(C:C, ROW())+INDEX(D:D, ROW())=0, 0, INDEX(C:C, ROW())/(INDEX(C:C, ROW())+INDEX(D:D, ROW())))</f>
        <v/>
      </c>
      <c r="F2961" s="1" t="inlineStr">
        <is>
          <t>Array, Hash Table, Dynamic Programming, Prefix Sum</t>
        </is>
      </c>
      <c r="G2961" s="1" t="inlineStr">
        <is>
          <t>Medium</t>
        </is>
      </c>
      <c r="H2961" s="1" t="n">
        <v>25589</v>
      </c>
      <c r="I2961" s="1" t="n">
        <v>57123</v>
      </c>
      <c r="J2961" s="9" t="n">
        <v>0.448</v>
      </c>
      <c r="K2961" s="1" t="inlineStr">
        <is>
          <t>Yes</t>
        </is>
      </c>
      <c r="L2961" s="1" t="inlineStr">
        <is>
          <t>No</t>
        </is>
      </c>
      <c r="M2961" s="1" t="inlineStr">
        <is>
          <t>No</t>
        </is>
      </c>
      <c r="N2961" s="1" t="inlineStr">
        <is>
          <t>Algorithms</t>
        </is>
      </c>
      <c r="O29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62" ht="15.75" customHeight="1" s="12">
      <c r="A2962" s="1" t="n">
        <v>2077</v>
      </c>
      <c r="B2962" s="3">
        <f>HYPERLINK("https://leetcode.com/problems/paths-in-maze-that-lead-to-same-room/", "Paths in Maze That Lead to Same Room")</f>
        <v/>
      </c>
      <c r="C2962" s="1" t="n">
        <v>141</v>
      </c>
      <c r="D2962" s="1" t="n">
        <v>12</v>
      </c>
      <c r="E2962" s="4">
        <f>IF(INDEX(C:C, ROW())+INDEX(D:D, ROW())=0, 0, INDEX(C:C, ROW())/(INDEX(C:C, ROW())+INDEX(D:D, ROW())))</f>
        <v/>
      </c>
      <c r="F2962" s="1" t="inlineStr">
        <is>
          <t>Graph Theory</t>
        </is>
      </c>
      <c r="G2962" s="1" t="inlineStr">
        <is>
          <t>Medium</t>
        </is>
      </c>
      <c r="H2962" s="1" t="n">
        <v>6278</v>
      </c>
      <c r="I2962" s="1" t="n">
        <v>11143</v>
      </c>
      <c r="J2962" s="9" t="n">
        <v>0.5629999999999999</v>
      </c>
      <c r="K2962" s="1" t="inlineStr">
        <is>
          <t>No</t>
        </is>
      </c>
      <c r="L2962" s="1" t="inlineStr">
        <is>
          <t>No</t>
        </is>
      </c>
      <c r="M2962" s="1" t="inlineStr">
        <is>
          <t>No</t>
        </is>
      </c>
      <c r="N2962" s="1" t="inlineStr">
        <is>
          <t>Algorithms</t>
        </is>
      </c>
      <c r="O29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63" ht="15.75" customHeight="1" s="12">
      <c r="A2963" s="1" t="n">
        <v>3177</v>
      </c>
      <c r="B2963" s="3">
        <f>HYPERLINK("https://leetcode.com/problems/find-the-maximum-length-of-a-good-subsequence-ii/", "Find the Maximum Length of a Good Subsequence II")</f>
        <v/>
      </c>
      <c r="C2963" s="1" t="n">
        <v>141</v>
      </c>
      <c r="D2963" s="1" t="n">
        <v>10</v>
      </c>
      <c r="E2963" s="4">
        <f>IF(INDEX(C:C, ROW())+INDEX(D:D, ROW())=0, 0, INDEX(C:C, ROW())/(INDEX(C:C, ROW())+INDEX(D:D, ROW())))</f>
        <v/>
      </c>
      <c r="F2963" s="1" t="inlineStr">
        <is>
          <t>Array, Hash Table, Dynamic Programming</t>
        </is>
      </c>
      <c r="G2963" s="1" t="inlineStr">
        <is>
          <t>Hard</t>
        </is>
      </c>
      <c r="H2963" s="1" t="n">
        <v>9314</v>
      </c>
      <c r="I2963" s="1" t="n">
        <v>37310</v>
      </c>
      <c r="J2963" s="9" t="n">
        <v>0.25</v>
      </c>
      <c r="K2963" s="1" t="inlineStr">
        <is>
          <t>Yes</t>
        </is>
      </c>
      <c r="L2963" s="1" t="inlineStr">
        <is>
          <t>No</t>
        </is>
      </c>
      <c r="M2963" s="1" t="inlineStr">
        <is>
          <t>No</t>
        </is>
      </c>
      <c r="N2963" s="1" t="inlineStr">
        <is>
          <t>Algorithms</t>
        </is>
      </c>
      <c r="O29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64" ht="15.75" customHeight="1" s="12">
      <c r="A2964" s="1" t="n">
        <v>3240</v>
      </c>
      <c r="B2964" s="3">
        <f>HYPERLINK("https://leetcode.com/problems/minimum-number-of-flips-to-make-binary-grid-palindromic-ii/", "Minimum Number of Flips to Make Binary Grid Palindromic II")</f>
        <v/>
      </c>
      <c r="C2964" s="1" t="n">
        <v>141</v>
      </c>
      <c r="D2964" s="1" t="n">
        <v>57</v>
      </c>
      <c r="E2964" s="4">
        <f>IF(INDEX(C:C, ROW())+INDEX(D:D, ROW())=0, 0, INDEX(C:C, ROW())/(INDEX(C:C, ROW())+INDEX(D:D, ROW())))</f>
        <v/>
      </c>
      <c r="F2964" s="1" t="inlineStr">
        <is>
          <t>Array, Two Pointers, Matrix</t>
        </is>
      </c>
      <c r="G2964" s="1" t="inlineStr">
        <is>
          <t>Medium</t>
        </is>
      </c>
      <c r="H2964" s="1" t="n">
        <v>12298</v>
      </c>
      <c r="I2964" s="1" t="n">
        <v>48542</v>
      </c>
      <c r="J2964" s="9" t="n">
        <v>0.253</v>
      </c>
      <c r="K2964" s="1" t="inlineStr">
        <is>
          <t>Yes</t>
        </is>
      </c>
      <c r="L2964" s="1" t="inlineStr">
        <is>
          <t>No</t>
        </is>
      </c>
      <c r="M2964" s="1" t="inlineStr">
        <is>
          <t>No</t>
        </is>
      </c>
      <c r="N2964" s="1" t="inlineStr">
        <is>
          <t>Algorithms</t>
        </is>
      </c>
      <c r="O29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65" ht="15.75" customHeight="1" s="12">
      <c r="A2965" s="1" t="n">
        <v>3274</v>
      </c>
      <c r="B2965" s="3">
        <f>HYPERLINK("https://leetcode.com/problems/check-if-two-chessboard-squares-have-the-same-color/", "Check if Two Chessboard Squares Have the Same Color")</f>
        <v/>
      </c>
      <c r="C2965" s="1" t="n">
        <v>141</v>
      </c>
      <c r="D2965" s="1" t="n">
        <v>5</v>
      </c>
      <c r="E2965" s="4">
        <f>IF(INDEX(C:C, ROW())+INDEX(D:D, ROW())=0, 0, INDEX(C:C, ROW())/(INDEX(C:C, ROW())+INDEX(D:D, ROW())))</f>
        <v/>
      </c>
      <c r="F2965" s="1" t="inlineStr">
        <is>
          <t>Math, String</t>
        </is>
      </c>
      <c r="G2965" s="1" t="inlineStr">
        <is>
          <t>Easy</t>
        </is>
      </c>
      <c r="H2965" s="1" t="n">
        <v>68491</v>
      </c>
      <c r="I2965" s="1" t="n">
        <v>94835</v>
      </c>
      <c r="J2965" s="9" t="n">
        <v>0.722</v>
      </c>
      <c r="K2965" s="1" t="inlineStr">
        <is>
          <t>Yes</t>
        </is>
      </c>
      <c r="L2965" s="1" t="inlineStr">
        <is>
          <t>No</t>
        </is>
      </c>
      <c r="M2965" s="1" t="inlineStr">
        <is>
          <t>No</t>
        </is>
      </c>
      <c r="N2965" s="1" t="inlineStr">
        <is>
          <t>Algorithms</t>
        </is>
      </c>
      <c r="O29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66" ht="15.75" customHeight="1" s="12">
      <c r="A2966" s="1" t="n">
        <v>3489</v>
      </c>
      <c r="B2966" s="3">
        <f>HYPERLINK("https://leetcode.com/problems/zero-array-transformation-iv/", "Zero Array Transformation IV")</f>
        <v/>
      </c>
      <c r="C2966" s="1" t="n">
        <v>141</v>
      </c>
      <c r="D2966" s="1" t="n">
        <v>21</v>
      </c>
      <c r="E2966" s="4">
        <f>IF(INDEX(C:C, ROW())+INDEX(D:D, ROW())=0, 0, INDEX(C:C, ROW())/(INDEX(C:C, ROW())+INDEX(D:D, ROW())))</f>
        <v/>
      </c>
      <c r="F2966" s="1" t="inlineStr">
        <is>
          <t>Array, Dynamic Programming</t>
        </is>
      </c>
      <c r="G2966" s="1" t="inlineStr">
        <is>
          <t>Medium</t>
        </is>
      </c>
      <c r="H2966" s="1" t="n">
        <v>11226</v>
      </c>
      <c r="I2966" s="1" t="n">
        <v>36425</v>
      </c>
      <c r="J2966" s="9" t="n">
        <v>0.308</v>
      </c>
      <c r="K2966" s="1" t="inlineStr">
        <is>
          <t>Yes</t>
        </is>
      </c>
      <c r="L2966" s="1" t="inlineStr">
        <is>
          <t>No</t>
        </is>
      </c>
      <c r="M2966" s="1" t="inlineStr">
        <is>
          <t>No</t>
        </is>
      </c>
      <c r="N2966" s="1" t="inlineStr">
        <is>
          <t>Algorithms</t>
        </is>
      </c>
      <c r="O29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67" ht="15.75" customHeight="1" s="12">
      <c r="A2967" s="1" t="n">
        <v>3551</v>
      </c>
      <c r="B2967" s="3">
        <f>HYPERLINK("https://leetcode.com/problems/minimum-swaps-to-sort-by-digit-sum/", "Minimum Swaps to Sort by Digit Sum")</f>
        <v/>
      </c>
      <c r="C2967" s="1" t="n">
        <v>141</v>
      </c>
      <c r="D2967" s="1" t="n">
        <v>5</v>
      </c>
      <c r="E2967" s="4">
        <f>IF(INDEX(C:C, ROW())+INDEX(D:D, ROW())=0, 0, INDEX(C:C, ROW())/(INDEX(C:C, ROW())+INDEX(D:D, ROW())))</f>
        <v/>
      </c>
      <c r="F2967" s="1" t="inlineStr">
        <is>
          <t>Array, Hash Table, Sorting</t>
        </is>
      </c>
      <c r="G2967" s="1" t="inlineStr">
        <is>
          <t>Medium</t>
        </is>
      </c>
      <c r="H2967" s="1" t="n">
        <v>25177</v>
      </c>
      <c r="I2967" s="1" t="n">
        <v>50037</v>
      </c>
      <c r="J2967" s="9" t="n">
        <v>0.503</v>
      </c>
      <c r="K2967" s="1" t="inlineStr">
        <is>
          <t>Yes</t>
        </is>
      </c>
      <c r="L2967" s="1" t="inlineStr">
        <is>
          <t>No</t>
        </is>
      </c>
      <c r="M2967" s="1" t="inlineStr">
        <is>
          <t>No</t>
        </is>
      </c>
      <c r="N2967" s="1" t="inlineStr">
        <is>
          <t>Algorithms</t>
        </is>
      </c>
      <c r="O29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68" ht="15.75" customHeight="1" s="12">
      <c r="A2968" s="1" t="n">
        <v>1549</v>
      </c>
      <c r="B2968" s="3">
        <f>HYPERLINK("https://leetcode.com/problems/the-most-recent-orders-for-each-product/", "The Most Recent Orders for Each Product")</f>
        <v/>
      </c>
      <c r="C2968" s="1" t="n">
        <v>140</v>
      </c>
      <c r="D2968" s="1" t="n">
        <v>12</v>
      </c>
      <c r="E2968" s="4">
        <f>IF(INDEX(C:C, ROW())+INDEX(D:D, ROW())=0, 0, INDEX(C:C, ROW())/(INDEX(C:C, ROW())+INDEX(D:D, ROW())))</f>
        <v/>
      </c>
      <c r="F2968" s="1" t="inlineStr">
        <is>
          <t>Database</t>
        </is>
      </c>
      <c r="G2968" s="1" t="inlineStr">
        <is>
          <t>Medium</t>
        </is>
      </c>
      <c r="H2968" s="1" t="n">
        <v>38131</v>
      </c>
      <c r="I2968" s="1" t="n">
        <v>58668</v>
      </c>
      <c r="J2968" s="9" t="n">
        <v>0.65</v>
      </c>
      <c r="K2968" s="1" t="inlineStr">
        <is>
          <t>No</t>
        </is>
      </c>
      <c r="L2968" s="1" t="inlineStr">
        <is>
          <t>Yes</t>
        </is>
      </c>
      <c r="M2968" s="1" t="inlineStr">
        <is>
          <t>No</t>
        </is>
      </c>
      <c r="N2968" s="1" t="inlineStr">
        <is>
          <t>Database</t>
        </is>
      </c>
      <c r="O29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69" ht="15.75" customHeight="1" s="12">
      <c r="A2969" s="1" t="n">
        <v>3117</v>
      </c>
      <c r="B2969" s="3">
        <f>HYPERLINK("https://leetcode.com/problems/minimum-sum-of-values-by-dividing-array/", "Minimum Sum of Values by Dividing Array")</f>
        <v/>
      </c>
      <c r="C2969" s="1" t="n">
        <v>140</v>
      </c>
      <c r="D2969" s="1" t="n">
        <v>4</v>
      </c>
      <c r="E2969" s="4">
        <f>IF(INDEX(C:C, ROW())+INDEX(D:D, ROW())=0, 0, INDEX(C:C, ROW())/(INDEX(C:C, ROW())+INDEX(D:D, ROW())))</f>
        <v/>
      </c>
      <c r="F2969" s="1" t="inlineStr">
        <is>
          <t>Array, Binary Search, Dynamic Programming, Bit Manipulation, Segment Tree, Queue</t>
        </is>
      </c>
      <c r="G2969" s="1" t="inlineStr">
        <is>
          <t>Hard</t>
        </is>
      </c>
      <c r="H2969" s="1" t="n">
        <v>6765</v>
      </c>
      <c r="I2969" s="1" t="n">
        <v>24500</v>
      </c>
      <c r="J2969" s="9" t="n">
        <v>0.276</v>
      </c>
      <c r="K2969" s="1" t="inlineStr">
        <is>
          <t>Yes</t>
        </is>
      </c>
      <c r="L2969" s="1" t="inlineStr">
        <is>
          <t>No</t>
        </is>
      </c>
      <c r="M2969" s="1" t="inlineStr">
        <is>
          <t>No</t>
        </is>
      </c>
      <c r="N2969" s="1" t="inlineStr">
        <is>
          <t>Algorithms</t>
        </is>
      </c>
      <c r="O29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70" ht="15.75" customHeight="1" s="12">
      <c r="A2970" s="1" t="n">
        <v>3261</v>
      </c>
      <c r="B2970" s="3">
        <f>HYPERLINK("https://leetcode.com/problems/count-substrings-that-satisfy-k-constraint-ii/", "Count Substrings That Satisfy K-Constraint II")</f>
        <v/>
      </c>
      <c r="C2970" s="1" t="n">
        <v>140</v>
      </c>
      <c r="D2970" s="1" t="n">
        <v>12</v>
      </c>
      <c r="E2970" s="4">
        <f>IF(INDEX(C:C, ROW())+INDEX(D:D, ROW())=0, 0, INDEX(C:C, ROW())/(INDEX(C:C, ROW())+INDEX(D:D, ROW())))</f>
        <v/>
      </c>
      <c r="F2970" s="1" t="inlineStr">
        <is>
          <t>Array, String, Binary Search, Sliding Window, Prefix Sum</t>
        </is>
      </c>
      <c r="G2970" s="1" t="inlineStr">
        <is>
          <t>Hard</t>
        </is>
      </c>
      <c r="H2970" s="1" t="n">
        <v>5729</v>
      </c>
      <c r="I2970" s="1" t="n">
        <v>24792</v>
      </c>
      <c r="J2970" s="9" t="n">
        <v>0.231</v>
      </c>
      <c r="K2970" s="1" t="inlineStr">
        <is>
          <t>Yes</t>
        </is>
      </c>
      <c r="L2970" s="1" t="inlineStr">
        <is>
          <t>No</t>
        </is>
      </c>
      <c r="M2970" s="1" t="inlineStr">
        <is>
          <t>No</t>
        </is>
      </c>
      <c r="N2970" s="1" t="inlineStr">
        <is>
          <t>Algorithms</t>
        </is>
      </c>
      <c r="O29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71" ht="15.75" customHeight="1" s="12">
      <c r="A2971" s="1" t="n">
        <v>3305</v>
      </c>
      <c r="B2971" s="3">
        <f>HYPERLINK("https://leetcode.com/problems/count-of-substrings-containing-every-vowel-and-k-consonants-i/", "Count of Substrings Containing Every Vowel and K Consonants I")</f>
        <v/>
      </c>
      <c r="C2971" s="1" t="n">
        <v>140</v>
      </c>
      <c r="D2971" s="1" t="n">
        <v>12</v>
      </c>
      <c r="E2971" s="4">
        <f>IF(INDEX(C:C, ROW())+INDEX(D:D, ROW())=0, 0, INDEX(C:C, ROW())/(INDEX(C:C, ROW())+INDEX(D:D, ROW())))</f>
        <v/>
      </c>
      <c r="F2971" s="1" t="inlineStr">
        <is>
          <t>Hash Table, String, Sliding Window</t>
        </is>
      </c>
      <c r="G2971" s="1" t="inlineStr">
        <is>
          <t>Medium</t>
        </is>
      </c>
      <c r="H2971" s="1" t="n">
        <v>32083</v>
      </c>
      <c r="I2971" s="1" t="n">
        <v>77052</v>
      </c>
      <c r="J2971" s="9" t="n">
        <v>0.416</v>
      </c>
      <c r="K2971" s="1" t="inlineStr">
        <is>
          <t>Yes</t>
        </is>
      </c>
      <c r="L2971" s="1" t="inlineStr">
        <is>
          <t>No</t>
        </is>
      </c>
      <c r="M2971" s="1" t="inlineStr">
        <is>
          <t>No</t>
        </is>
      </c>
      <c r="N2971" s="1" t="inlineStr">
        <is>
          <t>Algorithms</t>
        </is>
      </c>
      <c r="O29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72" ht="15.75" customHeight="1" s="12">
      <c r="A2972" s="1" t="n">
        <v>1972</v>
      </c>
      <c r="B2972" s="3">
        <f>HYPERLINK("https://leetcode.com/problems/first-and-last-call-on-the-same-day/", "First and Last Call On the Same Day")</f>
        <v/>
      </c>
      <c r="C2972" s="1" t="n">
        <v>139</v>
      </c>
      <c r="D2972" s="1" t="n">
        <v>44</v>
      </c>
      <c r="E2972" s="4">
        <f>IF(INDEX(C:C, ROW())+INDEX(D:D, ROW())=0, 0, INDEX(C:C, ROW())/(INDEX(C:C, ROW())+INDEX(D:D, ROW())))</f>
        <v/>
      </c>
      <c r="F2972" s="1" t="inlineStr">
        <is>
          <t>Database</t>
        </is>
      </c>
      <c r="G2972" s="1" t="inlineStr">
        <is>
          <t>Hard</t>
        </is>
      </c>
      <c r="H2972" s="1" t="n">
        <v>12151</v>
      </c>
      <c r="I2972" s="1" t="n">
        <v>23819</v>
      </c>
      <c r="J2972" s="9" t="n">
        <v>0.51</v>
      </c>
      <c r="K2972" s="1" t="inlineStr">
        <is>
          <t>No</t>
        </is>
      </c>
      <c r="L2972" s="1" t="inlineStr">
        <is>
          <t>Yes</t>
        </is>
      </c>
      <c r="M2972" s="1" t="inlineStr">
        <is>
          <t>No</t>
        </is>
      </c>
      <c r="N2972" s="1" t="inlineStr">
        <is>
          <t>Database</t>
        </is>
      </c>
      <c r="O29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73" ht="15.75" customHeight="1" s="12">
      <c r="A2973" s="1" t="n">
        <v>2277</v>
      </c>
      <c r="B2973" s="3">
        <f>HYPERLINK("https://leetcode.com/problems/closest-node-to-path-in-tree/", "Closest Node to Path in Tree")</f>
        <v/>
      </c>
      <c r="C2973" s="1" t="n">
        <v>139</v>
      </c>
      <c r="D2973" s="1" t="n">
        <v>3</v>
      </c>
      <c r="E2973" s="4">
        <f>IF(INDEX(C:C, ROW())+INDEX(D:D, ROW())=0, 0, INDEX(C:C, ROW())/(INDEX(C:C, ROW())+INDEX(D:D, ROW())))</f>
        <v/>
      </c>
      <c r="F2973" s="1" t="inlineStr">
        <is>
          <t>Array, Tree, Depth-First Search, Breadth-First Search</t>
        </is>
      </c>
      <c r="G2973" s="1" t="inlineStr">
        <is>
          <t>Hard</t>
        </is>
      </c>
      <c r="H2973" s="1" t="n">
        <v>6430</v>
      </c>
      <c r="I2973" s="1" t="n">
        <v>10317</v>
      </c>
      <c r="J2973" s="9" t="n">
        <v>0.623</v>
      </c>
      <c r="K2973" s="1" t="inlineStr">
        <is>
          <t>No</t>
        </is>
      </c>
      <c r="L2973" s="1" t="inlineStr">
        <is>
          <t>No</t>
        </is>
      </c>
      <c r="M2973" s="1" t="inlineStr">
        <is>
          <t>No</t>
        </is>
      </c>
      <c r="N2973" s="1" t="inlineStr">
        <is>
          <t>Algorithms</t>
        </is>
      </c>
      <c r="O29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74" ht="15.75" customHeight="1" s="12">
      <c r="A2974" s="1" t="n">
        <v>3187</v>
      </c>
      <c r="B2974" s="3">
        <f>HYPERLINK("https://leetcode.com/problems/peaks-in-array/", "Peaks in Array")</f>
        <v/>
      </c>
      <c r="C2974" s="1" t="n">
        <v>139</v>
      </c>
      <c r="D2974" s="1" t="n">
        <v>10</v>
      </c>
      <c r="E2974" s="4">
        <f>IF(INDEX(C:C, ROW())+INDEX(D:D, ROW())=0, 0, INDEX(C:C, ROW())/(INDEX(C:C, ROW())+INDEX(D:D, ROW())))</f>
        <v/>
      </c>
      <c r="F2974" s="1" t="inlineStr">
        <is>
          <t>Array, Binary Indexed Tree, Segment Tree</t>
        </is>
      </c>
      <c r="G2974" s="1" t="inlineStr">
        <is>
          <t>Hard</t>
        </is>
      </c>
      <c r="H2974" s="1" t="n">
        <v>11412</v>
      </c>
      <c r="I2974" s="1" t="n">
        <v>42374</v>
      </c>
      <c r="J2974" s="9" t="n">
        <v>0.269</v>
      </c>
      <c r="K2974" s="1" t="inlineStr">
        <is>
          <t>Yes</t>
        </is>
      </c>
      <c r="L2974" s="1" t="inlineStr">
        <is>
          <t>No</t>
        </is>
      </c>
      <c r="M2974" s="1" t="inlineStr">
        <is>
          <t>No</t>
        </is>
      </c>
      <c r="N2974" s="1" t="inlineStr">
        <is>
          <t>Algorithms</t>
        </is>
      </c>
      <c r="O29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75" ht="15.75" customHeight="1" s="12">
      <c r="A2975" s="1" t="n">
        <v>3283</v>
      </c>
      <c r="B2975" s="3">
        <f>HYPERLINK("https://leetcode.com/problems/maximum-number-of-moves-to-kill-all-pawns/", "Maximum Number of Moves to Kill All Pawns")</f>
        <v/>
      </c>
      <c r="C2975" s="1" t="n">
        <v>139</v>
      </c>
      <c r="D2975" s="1" t="n">
        <v>12</v>
      </c>
      <c r="E2975" s="4">
        <f>IF(INDEX(C:C, ROW())+INDEX(D:D, ROW())=0, 0, INDEX(C:C, ROW())/(INDEX(C:C, ROW())+INDEX(D:D, ROW())))</f>
        <v/>
      </c>
      <c r="F2975" s="1" t="inlineStr">
        <is>
          <t>Array, Math, Bit Manipulation, Breadth-First Search, Game Theory, Bitmask DP</t>
        </is>
      </c>
      <c r="G2975" s="1" t="inlineStr">
        <is>
          <t>Hard</t>
        </is>
      </c>
      <c r="H2975" s="1" t="n">
        <v>7088</v>
      </c>
      <c r="I2975" s="1" t="n">
        <v>21193</v>
      </c>
      <c r="J2975" s="9" t="n">
        <v>0.334</v>
      </c>
      <c r="K2975" s="1" t="inlineStr">
        <is>
          <t>Yes</t>
        </is>
      </c>
      <c r="L2975" s="1" t="inlineStr">
        <is>
          <t>No</t>
        </is>
      </c>
      <c r="M2975" s="1" t="inlineStr">
        <is>
          <t>No</t>
        </is>
      </c>
      <c r="N2975" s="1" t="inlineStr">
        <is>
          <t>Algorithms</t>
        </is>
      </c>
      <c r="O29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76" ht="15.75" customHeight="1" s="12">
      <c r="A2976" s="1" t="n">
        <v>3013</v>
      </c>
      <c r="B2976" s="3">
        <f>HYPERLINK("https://leetcode.com/problems/divide-an-array-into-subarrays-with-minimum-cost-ii/", "Divide an Array Into Subarrays With Minimum Cost II")</f>
        <v/>
      </c>
      <c r="C2976" s="1" t="n">
        <v>138</v>
      </c>
      <c r="D2976" s="1" t="n">
        <v>19</v>
      </c>
      <c r="E2976" s="4">
        <f>IF(INDEX(C:C, ROW())+INDEX(D:D, ROW())=0, 0, INDEX(C:C, ROW())/(INDEX(C:C, ROW())+INDEX(D:D, ROW())))</f>
        <v/>
      </c>
      <c r="F2976" s="1" t="inlineStr">
        <is>
          <t>Array, Hash Table, Sliding Window, Heap (Priority Queue)</t>
        </is>
      </c>
      <c r="G2976" s="1" t="inlineStr">
        <is>
          <t>Hard</t>
        </is>
      </c>
      <c r="H2976" s="1" t="n">
        <v>7088</v>
      </c>
      <c r="I2976" s="1" t="n">
        <v>22680</v>
      </c>
      <c r="J2976" s="9" t="n">
        <v>0.313</v>
      </c>
      <c r="K2976" s="1" t="inlineStr">
        <is>
          <t>Yes</t>
        </is>
      </c>
      <c r="L2976" s="1" t="inlineStr">
        <is>
          <t>No</t>
        </is>
      </c>
      <c r="M2976" s="1" t="inlineStr">
        <is>
          <t>No</t>
        </is>
      </c>
      <c r="N2976" s="1" t="inlineStr">
        <is>
          <t>Algorithms</t>
        </is>
      </c>
      <c r="O29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77" ht="15.75" customHeight="1" s="12">
      <c r="A2977" s="1" t="n">
        <v>3714</v>
      </c>
      <c r="B2977" s="3">
        <f>HYPERLINK("https://leetcode.com/problems/longest-balanced-substring-ii/", "Longest Balanced Substring II")</f>
        <v/>
      </c>
      <c r="C2977" s="1" t="n">
        <v>138</v>
      </c>
      <c r="D2977" s="1" t="n">
        <v>29</v>
      </c>
      <c r="E2977" s="4">
        <f>IF(INDEX(C:C, ROW())+INDEX(D:D, ROW())=0, 0, INDEX(C:C, ROW())/(INDEX(C:C, ROW())+INDEX(D:D, ROW())))</f>
        <v/>
      </c>
      <c r="F2977" s="1" t="inlineStr">
        <is>
          <t>Hash Table, String, Prefix Sum</t>
        </is>
      </c>
      <c r="G2977" s="1" t="inlineStr">
        <is>
          <t>Medium</t>
        </is>
      </c>
      <c r="H2977" s="1" t="n">
        <v>8284</v>
      </c>
      <c r="I2977" s="1" t="n">
        <v>41878</v>
      </c>
      <c r="J2977" s="9" t="n">
        <v>0.198</v>
      </c>
      <c r="K2977" s="1" t="inlineStr">
        <is>
          <t>Yes</t>
        </is>
      </c>
      <c r="L2977" s="1" t="inlineStr">
        <is>
          <t>No</t>
        </is>
      </c>
      <c r="M2977" s="1" t="inlineStr">
        <is>
          <t>No</t>
        </is>
      </c>
      <c r="N2977" s="1" t="inlineStr">
        <is>
          <t>Algorithms</t>
        </is>
      </c>
      <c r="O29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78" ht="15.75" customHeight="1" s="12">
      <c r="A2978" s="1" t="n">
        <v>2083</v>
      </c>
      <c r="B2978" s="3">
        <f>HYPERLINK("https://leetcode.com/problems/substrings-that-begin-and-end-with-the-same-letter/", "Substrings That Begin and End With the Same Letter")</f>
        <v/>
      </c>
      <c r="C2978" s="1" t="n">
        <v>137</v>
      </c>
      <c r="D2978" s="1" t="n">
        <v>12</v>
      </c>
      <c r="E2978" s="4">
        <f>IF(INDEX(C:C, ROW())+INDEX(D:D, ROW())=0, 0, INDEX(C:C, ROW())/(INDEX(C:C, ROW())+INDEX(D:D, ROW())))</f>
        <v/>
      </c>
      <c r="F2978" s="1" t="inlineStr">
        <is>
          <t>Hash Table, Math, String, Counting, Prefix Sum</t>
        </is>
      </c>
      <c r="G2978" s="1" t="inlineStr">
        <is>
          <t>Medium</t>
        </is>
      </c>
      <c r="H2978" s="1" t="n">
        <v>13896</v>
      </c>
      <c r="I2978" s="1" t="n">
        <v>18677</v>
      </c>
      <c r="J2978" s="9" t="n">
        <v>0.744</v>
      </c>
      <c r="K2978" s="1" t="inlineStr">
        <is>
          <t>No</t>
        </is>
      </c>
      <c r="L2978" s="1" t="inlineStr">
        <is>
          <t>Yes</t>
        </is>
      </c>
      <c r="M2978" s="1" t="inlineStr">
        <is>
          <t>No</t>
        </is>
      </c>
      <c r="N2978" s="1" t="inlineStr">
        <is>
          <t>Algorithms</t>
        </is>
      </c>
      <c r="O29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79" ht="15.75" customHeight="1" s="12">
      <c r="A2979" s="1" t="n">
        <v>2863</v>
      </c>
      <c r="B2979" s="3">
        <f>HYPERLINK("https://leetcode.com/problems/maximum-length-of-semi-decreasing-subarrays/", "Maximum Length of Semi-Decreasing Subarrays")</f>
        <v/>
      </c>
      <c r="C2979" s="1" t="n">
        <v>137</v>
      </c>
      <c r="D2979" s="1" t="n">
        <v>17</v>
      </c>
      <c r="E2979" s="4">
        <f>IF(INDEX(C:C, ROW())+INDEX(D:D, ROW())=0, 0, INDEX(C:C, ROW())/(INDEX(C:C, ROW())+INDEX(D:D, ROW())))</f>
        <v/>
      </c>
      <c r="F2979" s="1" t="inlineStr">
        <is>
          <t>Array, Stack, Sorting, Monotonic Stack</t>
        </is>
      </c>
      <c r="G2979" s="1" t="inlineStr">
        <is>
          <t>Medium</t>
        </is>
      </c>
      <c r="H2979" s="1" t="n">
        <v>14304</v>
      </c>
      <c r="I2979" s="1" t="n">
        <v>20423</v>
      </c>
      <c r="J2979" s="9" t="n">
        <v>0.7</v>
      </c>
      <c r="K2979" s="1" t="inlineStr">
        <is>
          <t>No</t>
        </is>
      </c>
      <c r="L2979" s="1" t="inlineStr">
        <is>
          <t>No</t>
        </is>
      </c>
      <c r="M2979" s="1" t="inlineStr">
        <is>
          <t>No</t>
        </is>
      </c>
      <c r="N2979" s="1" t="inlineStr">
        <is>
          <t>Algorithms</t>
        </is>
      </c>
      <c r="O29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80" ht="15.75" customHeight="1" s="12">
      <c r="A2980" s="1" t="n">
        <v>2980</v>
      </c>
      <c r="B2980" s="3">
        <f>HYPERLINK("https://leetcode.com/problems/check-if-bitwise-or-has-trailing-zeros/", "Check if Bitwise OR Has Trailing Zeros")</f>
        <v/>
      </c>
      <c r="C2980" s="1" t="n">
        <v>137</v>
      </c>
      <c r="D2980" s="1" t="n">
        <v>11</v>
      </c>
      <c r="E2980" s="4">
        <f>IF(INDEX(C:C, ROW())+INDEX(D:D, ROW())=0, 0, INDEX(C:C, ROW())/(INDEX(C:C, ROW())+INDEX(D:D, ROW())))</f>
        <v/>
      </c>
      <c r="F2980" s="1" t="inlineStr">
        <is>
          <t>Array, Bit Manipulation</t>
        </is>
      </c>
      <c r="G2980" s="1" t="inlineStr">
        <is>
          <t>Easy</t>
        </is>
      </c>
      <c r="H2980" s="1" t="n">
        <v>48150</v>
      </c>
      <c r="I2980" s="1" t="n">
        <v>67909</v>
      </c>
      <c r="J2980" s="9" t="n">
        <v>0.709</v>
      </c>
      <c r="K2980" s="1" t="inlineStr">
        <is>
          <t>Yes</t>
        </is>
      </c>
      <c r="L2980" s="1" t="inlineStr">
        <is>
          <t>No</t>
        </is>
      </c>
      <c r="M2980" s="1" t="inlineStr">
        <is>
          <t>No</t>
        </is>
      </c>
      <c r="N2980" s="1" t="inlineStr">
        <is>
          <t>Algorithms</t>
        </is>
      </c>
      <c r="O29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81" ht="15.75" customHeight="1" s="12">
      <c r="A2981" s="1" t="n">
        <v>3175</v>
      </c>
      <c r="B2981" s="3">
        <f>HYPERLINK("https://leetcode.com/problems/find-the-first-player-to-win-k-games-in-a-row/", "Find The First Player to win K Games in a Row")</f>
        <v/>
      </c>
      <c r="C2981" s="1" t="n">
        <v>137</v>
      </c>
      <c r="D2981" s="1" t="n">
        <v>16</v>
      </c>
      <c r="E2981" s="4">
        <f>IF(INDEX(C:C, ROW())+INDEX(D:D, ROW())=0, 0, INDEX(C:C, ROW())/(INDEX(C:C, ROW())+INDEX(D:D, ROW())))</f>
        <v/>
      </c>
      <c r="F2981" s="1" t="inlineStr">
        <is>
          <t>Array, Simulation</t>
        </is>
      </c>
      <c r="G2981" s="1" t="inlineStr">
        <is>
          <t>Medium</t>
        </is>
      </c>
      <c r="H2981" s="1" t="n">
        <v>35627</v>
      </c>
      <c r="I2981" s="1" t="n">
        <v>89194</v>
      </c>
      <c r="J2981" s="9" t="n">
        <v>0.399</v>
      </c>
      <c r="K2981" s="1" t="inlineStr">
        <is>
          <t>Yes</t>
        </is>
      </c>
      <c r="L2981" s="1" t="inlineStr">
        <is>
          <t>No</t>
        </is>
      </c>
      <c r="M2981" s="1" t="inlineStr">
        <is>
          <t>No</t>
        </is>
      </c>
      <c r="N2981" s="1" t="inlineStr">
        <is>
          <t>Algorithms</t>
        </is>
      </c>
      <c r="O29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82" ht="15.75" customHeight="1" s="12">
      <c r="A2982" s="1" t="n">
        <v>3241</v>
      </c>
      <c r="B2982" s="3">
        <f>HYPERLINK("https://leetcode.com/problems/time-taken-to-mark-all-nodes/", "Time Taken to Mark All Nodes")</f>
        <v/>
      </c>
      <c r="C2982" s="1" t="n">
        <v>137</v>
      </c>
      <c r="D2982" s="1" t="n">
        <v>6</v>
      </c>
      <c r="E2982" s="4">
        <f>IF(INDEX(C:C, ROW())+INDEX(D:D, ROW())=0, 0, INDEX(C:C, ROW())/(INDEX(C:C, ROW())+INDEX(D:D, ROW())))</f>
        <v/>
      </c>
      <c r="F2982" s="1" t="inlineStr">
        <is>
          <t>Dynamic Programming, Tree, Depth-First Search, Graph Theory</t>
        </is>
      </c>
      <c r="G2982" s="1" t="inlineStr">
        <is>
          <t>Hard</t>
        </is>
      </c>
      <c r="H2982" s="1" t="n">
        <v>6417</v>
      </c>
      <c r="I2982" s="1" t="n">
        <v>23589</v>
      </c>
      <c r="J2982" s="9" t="n">
        <v>0.272</v>
      </c>
      <c r="K2982" s="1" t="inlineStr">
        <is>
          <t>Yes</t>
        </is>
      </c>
      <c r="L2982" s="1" t="inlineStr">
        <is>
          <t>No</t>
        </is>
      </c>
      <c r="M2982" s="1" t="inlineStr">
        <is>
          <t>No</t>
        </is>
      </c>
      <c r="N2982" s="1" t="inlineStr">
        <is>
          <t>Algorithms</t>
        </is>
      </c>
      <c r="O29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83" ht="15.75" customHeight="1" s="12">
      <c r="A2983" s="1" t="n">
        <v>3593</v>
      </c>
      <c r="B2983" s="3">
        <f>HYPERLINK("https://leetcode.com/problems/minimum-increments-to-equalize-leaf-paths/", "Minimum Increments to Equalize Leaf Paths")</f>
        <v/>
      </c>
      <c r="C2983" s="1" t="n">
        <v>137</v>
      </c>
      <c r="D2983" s="1" t="n">
        <v>10</v>
      </c>
      <c r="E2983" s="4">
        <f>IF(INDEX(C:C, ROW())+INDEX(D:D, ROW())=0, 0, INDEX(C:C, ROW())/(INDEX(C:C, ROW())+INDEX(D:D, ROW())))</f>
        <v/>
      </c>
      <c r="F2983" s="1" t="inlineStr">
        <is>
          <t>Array, Dynamic Programming, Tree, Depth-First Search</t>
        </is>
      </c>
      <c r="G2983" s="1" t="inlineStr">
        <is>
          <t>Medium</t>
        </is>
      </c>
      <c r="H2983" s="1" t="n">
        <v>15509</v>
      </c>
      <c r="I2983" s="1" t="n">
        <v>37718</v>
      </c>
      <c r="J2983" s="9" t="n">
        <v>0.411</v>
      </c>
      <c r="K2983" s="1" t="inlineStr">
        <is>
          <t>Yes</t>
        </is>
      </c>
      <c r="L2983" s="1" t="inlineStr">
        <is>
          <t>No</t>
        </is>
      </c>
      <c r="M2983" s="1" t="inlineStr">
        <is>
          <t>No</t>
        </is>
      </c>
      <c r="N2983" s="1" t="inlineStr">
        <is>
          <t>Algorithms</t>
        </is>
      </c>
      <c r="O29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84" ht="15.75" customHeight="1" s="12">
      <c r="A2984" s="1" t="n">
        <v>578</v>
      </c>
      <c r="B2984" s="3">
        <f>HYPERLINK("https://leetcode.com/problems/get-highest-answer-rate-question/", "Get Highest Answer Rate Question")</f>
        <v/>
      </c>
      <c r="C2984" s="1" t="n">
        <v>136</v>
      </c>
      <c r="D2984" s="1" t="n">
        <v>920</v>
      </c>
      <c r="E2984" s="4">
        <f>IF(INDEX(C:C, ROW())+INDEX(D:D, ROW())=0, 0, INDEX(C:C, ROW())/(INDEX(C:C, ROW())+INDEX(D:D, ROW())))</f>
        <v/>
      </c>
      <c r="F2984" s="1" t="inlineStr">
        <is>
          <t>Database</t>
        </is>
      </c>
      <c r="G2984" s="1" t="inlineStr">
        <is>
          <t>Medium</t>
        </is>
      </c>
      <c r="H2984" s="1" t="n">
        <v>67756</v>
      </c>
      <c r="I2984" s="1" t="n">
        <v>169127</v>
      </c>
      <c r="J2984" s="9" t="n">
        <v>0.401</v>
      </c>
      <c r="K2984" s="1" t="inlineStr">
        <is>
          <t>No</t>
        </is>
      </c>
      <c r="L2984" s="1" t="inlineStr">
        <is>
          <t>Yes</t>
        </is>
      </c>
      <c r="M2984" s="1" t="inlineStr">
        <is>
          <t>No</t>
        </is>
      </c>
      <c r="N2984" s="1" t="inlineStr">
        <is>
          <t>Database</t>
        </is>
      </c>
      <c r="O29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85" ht="15.75" customHeight="1" s="12">
      <c r="A2985" s="1" t="n">
        <v>2889</v>
      </c>
      <c r="B2985" s="3">
        <f>HYPERLINK("https://leetcode.com/problems/reshape-data-pivot/", "Reshape Data: Pivot")</f>
        <v/>
      </c>
      <c r="C2985" s="1" t="n">
        <v>136</v>
      </c>
      <c r="D2985" s="1" t="n">
        <v>15</v>
      </c>
      <c r="E2985" s="4">
        <f>IF(INDEX(C:C, ROW())+INDEX(D:D, ROW())=0, 0, INDEX(C:C, ROW())/(INDEX(C:C, ROW())+INDEX(D:D, ROW())))</f>
        <v/>
      </c>
      <c r="F2985" s="2" t="n"/>
      <c r="G2985" s="1" t="inlineStr">
        <is>
          <t>Easy</t>
        </is>
      </c>
      <c r="H2985" s="1" t="n">
        <v>98381</v>
      </c>
      <c r="I2985" s="1" t="n">
        <v>118165</v>
      </c>
      <c r="J2985" s="9" t="n">
        <v>0.833</v>
      </c>
      <c r="K2985" s="1" t="inlineStr">
        <is>
          <t>Yes</t>
        </is>
      </c>
      <c r="L2985" s="1" t="inlineStr">
        <is>
          <t>Yes</t>
        </is>
      </c>
      <c r="M2985" s="1" t="inlineStr">
        <is>
          <t>No</t>
        </is>
      </c>
      <c r="N2985" s="1" t="inlineStr">
        <is>
          <t>pandas</t>
        </is>
      </c>
      <c r="O29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86" ht="15.75" customHeight="1" s="12">
      <c r="A2986" s="1" t="n">
        <v>3324</v>
      </c>
      <c r="B2986" s="3">
        <f>HYPERLINK("https://leetcode.com/problems/find-the-sequence-of-strings-appeared-on-the-screen/", "Find the Sequence of Strings Appeared on the Screen")</f>
        <v/>
      </c>
      <c r="C2986" s="1" t="n">
        <v>136</v>
      </c>
      <c r="D2986" s="1" t="n">
        <v>10</v>
      </c>
      <c r="E2986" s="4">
        <f>IF(INDEX(C:C, ROW())+INDEX(D:D, ROW())=0, 0, INDEX(C:C, ROW())/(INDEX(C:C, ROW())+INDEX(D:D, ROW())))</f>
        <v/>
      </c>
      <c r="F2986" s="1" t="inlineStr">
        <is>
          <t>String, Simulation</t>
        </is>
      </c>
      <c r="G2986" s="1" t="inlineStr">
        <is>
          <t>Medium</t>
        </is>
      </c>
      <c r="H2986" s="1" t="n">
        <v>41483</v>
      </c>
      <c r="I2986" s="1" t="n">
        <v>51801</v>
      </c>
      <c r="J2986" s="9" t="n">
        <v>0.801</v>
      </c>
      <c r="K2986" s="1" t="inlineStr">
        <is>
          <t>Yes</t>
        </is>
      </c>
      <c r="L2986" s="1" t="inlineStr">
        <is>
          <t>No</t>
        </is>
      </c>
      <c r="M2986" s="1" t="inlineStr">
        <is>
          <t>No</t>
        </is>
      </c>
      <c r="N2986" s="1" t="inlineStr">
        <is>
          <t>Algorithms</t>
        </is>
      </c>
      <c r="O29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87" ht="15.75" customHeight="1" s="12">
      <c r="A2987" s="1" t="n">
        <v>1149</v>
      </c>
      <c r="B2987" s="3">
        <f>HYPERLINK("https://leetcode.com/problems/article-views-ii/", "Article Views II")</f>
        <v/>
      </c>
      <c r="C2987" s="1" t="n">
        <v>135</v>
      </c>
      <c r="D2987" s="1" t="n">
        <v>29</v>
      </c>
      <c r="E2987" s="4">
        <f>IF(INDEX(C:C, ROW())+INDEX(D:D, ROW())=0, 0, INDEX(C:C, ROW())/(INDEX(C:C, ROW())+INDEX(D:D, ROW())))</f>
        <v/>
      </c>
      <c r="F2987" s="1" t="inlineStr">
        <is>
          <t>Database</t>
        </is>
      </c>
      <c r="G2987" s="1" t="inlineStr">
        <is>
          <t>Medium</t>
        </is>
      </c>
      <c r="H2987" s="1" t="n">
        <v>43861</v>
      </c>
      <c r="I2987" s="1" t="n">
        <v>92780</v>
      </c>
      <c r="J2987" s="9" t="n">
        <v>0.473</v>
      </c>
      <c r="K2987" s="1" t="inlineStr">
        <is>
          <t>No</t>
        </is>
      </c>
      <c r="L2987" s="1" t="inlineStr">
        <is>
          <t>Yes</t>
        </is>
      </c>
      <c r="M2987" s="1" t="inlineStr">
        <is>
          <t>No</t>
        </is>
      </c>
      <c r="N2987" s="1" t="inlineStr">
        <is>
          <t>Database</t>
        </is>
      </c>
      <c r="O29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88" ht="15.75" customHeight="1" s="12">
      <c r="A2988" s="1" t="n">
        <v>1468</v>
      </c>
      <c r="B2988" s="3">
        <f>HYPERLINK("https://leetcode.com/problems/calculate-salaries/", "Calculate Salaries")</f>
        <v/>
      </c>
      <c r="C2988" s="1" t="n">
        <v>134</v>
      </c>
      <c r="D2988" s="1" t="n">
        <v>25</v>
      </c>
      <c r="E2988" s="4">
        <f>IF(INDEX(C:C, ROW())+INDEX(D:D, ROW())=0, 0, INDEX(C:C, ROW())/(INDEX(C:C, ROW())+INDEX(D:D, ROW())))</f>
        <v/>
      </c>
      <c r="F2988" s="1" t="inlineStr">
        <is>
          <t>Database</t>
        </is>
      </c>
      <c r="G2988" s="1" t="inlineStr">
        <is>
          <t>Medium</t>
        </is>
      </c>
      <c r="H2988" s="1" t="n">
        <v>28735</v>
      </c>
      <c r="I2988" s="1" t="n">
        <v>37131</v>
      </c>
      <c r="J2988" s="9" t="n">
        <v>0.774</v>
      </c>
      <c r="K2988" s="1" t="inlineStr">
        <is>
          <t>No</t>
        </is>
      </c>
      <c r="L2988" s="1" t="inlineStr">
        <is>
          <t>No</t>
        </is>
      </c>
      <c r="M2988" s="1" t="inlineStr">
        <is>
          <t>No</t>
        </is>
      </c>
      <c r="N2988" s="1" t="inlineStr">
        <is>
          <t>Database</t>
        </is>
      </c>
      <c r="O29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89" ht="15.75" customHeight="1" s="12">
      <c r="A2989" s="1" t="n">
        <v>2675</v>
      </c>
      <c r="B2989" s="3">
        <f>HYPERLINK("https://leetcode.com/problems/array-of-objects-to-matrix/", "Array of Objects to Matrix")</f>
        <v/>
      </c>
      <c r="C2989" s="1" t="n">
        <v>134</v>
      </c>
      <c r="D2989" s="1" t="n">
        <v>73</v>
      </c>
      <c r="E2989" s="4">
        <f>IF(INDEX(C:C, ROW())+INDEX(D:D, ROW())=0, 0, INDEX(C:C, ROW())/(INDEX(C:C, ROW())+INDEX(D:D, ROW())))</f>
        <v/>
      </c>
      <c r="F2989" s="2" t="n"/>
      <c r="G2989" s="1" t="inlineStr">
        <is>
          <t>Hard</t>
        </is>
      </c>
      <c r="H2989" s="1" t="n">
        <v>6136</v>
      </c>
      <c r="I2989" s="1" t="n">
        <v>8935</v>
      </c>
      <c r="J2989" s="9" t="n">
        <v>0.6870000000000001</v>
      </c>
      <c r="K2989" s="1" t="inlineStr">
        <is>
          <t>No</t>
        </is>
      </c>
      <c r="L2989" s="1" t="inlineStr">
        <is>
          <t>Yes</t>
        </is>
      </c>
      <c r="M2989" s="1" t="inlineStr">
        <is>
          <t>No</t>
        </is>
      </c>
      <c r="N2989" s="1" t="inlineStr">
        <is>
          <t>JavaScript</t>
        </is>
      </c>
      <c r="O29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90" ht="15.75" customHeight="1" s="12">
      <c r="A2990" s="1" t="n">
        <v>3418</v>
      </c>
      <c r="B2990" s="3">
        <f>HYPERLINK("https://leetcode.com/problems/maximum-amount-of-money-robot-can-earn/", "Maximum Amount of Money Robot Can Earn")</f>
        <v/>
      </c>
      <c r="C2990" s="1" t="n">
        <v>134</v>
      </c>
      <c r="D2990" s="1" t="n">
        <v>12</v>
      </c>
      <c r="E2990" s="4">
        <f>IF(INDEX(C:C, ROW())+INDEX(D:D, ROW())=0, 0, INDEX(C:C, ROW())/(INDEX(C:C, ROW())+INDEX(D:D, ROW())))</f>
        <v/>
      </c>
      <c r="F2990" s="1" t="inlineStr">
        <is>
          <t>Array, Dynamic Programming, Matrix</t>
        </is>
      </c>
      <c r="G2990" s="1" t="inlineStr">
        <is>
          <t>Medium</t>
        </is>
      </c>
      <c r="H2990" s="1" t="n">
        <v>23072</v>
      </c>
      <c r="I2990" s="1" t="n">
        <v>78573</v>
      </c>
      <c r="J2990" s="9" t="n">
        <v>0.294</v>
      </c>
      <c r="K2990" s="1" t="inlineStr">
        <is>
          <t>Yes</t>
        </is>
      </c>
      <c r="L2990" s="1" t="inlineStr">
        <is>
          <t>No</t>
        </is>
      </c>
      <c r="M2990" s="1" t="inlineStr">
        <is>
          <t>No</t>
        </is>
      </c>
      <c r="N2990" s="1" t="inlineStr">
        <is>
          <t>Algorithms</t>
        </is>
      </c>
      <c r="O29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91" ht="15.75" customHeight="1" s="12">
      <c r="A2991" s="1" t="n">
        <v>625</v>
      </c>
      <c r="B2991" s="3">
        <f>HYPERLINK("https://leetcode.com/problems/minimum-factorization/", "Minimum Factorization")</f>
        <v/>
      </c>
      <c r="C2991" s="1" t="n">
        <v>133</v>
      </c>
      <c r="D2991" s="1" t="n">
        <v>112</v>
      </c>
      <c r="E2991" s="4">
        <f>IF(INDEX(C:C, ROW())+INDEX(D:D, ROW())=0, 0, INDEX(C:C, ROW())/(INDEX(C:C, ROW())+INDEX(D:D, ROW())))</f>
        <v/>
      </c>
      <c r="F2991" s="1" t="inlineStr">
        <is>
          <t>Math, Greedy</t>
        </is>
      </c>
      <c r="G2991" s="1" t="inlineStr">
        <is>
          <t>Medium</t>
        </is>
      </c>
      <c r="H2991" s="1" t="n">
        <v>12134</v>
      </c>
      <c r="I2991" s="1" t="n">
        <v>35791</v>
      </c>
      <c r="J2991" s="9" t="n">
        <v>0.339</v>
      </c>
      <c r="K2991" s="1" t="inlineStr">
        <is>
          <t>No</t>
        </is>
      </c>
      <c r="L2991" s="1" t="inlineStr">
        <is>
          <t>Yes</t>
        </is>
      </c>
      <c r="M2991" s="1" t="inlineStr">
        <is>
          <t>Yes</t>
        </is>
      </c>
      <c r="N2991" s="1" t="inlineStr">
        <is>
          <t>Algorithms</t>
        </is>
      </c>
      <c r="O29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92" ht="15.75" customHeight="1" s="12">
      <c r="A2992" s="1" t="n">
        <v>1121</v>
      </c>
      <c r="B2992" s="3">
        <f>HYPERLINK("https://leetcode.com/problems/divide-array-into-increasing-sequences/", "Divide Array Into Increasing Sequences")</f>
        <v/>
      </c>
      <c r="C2992" s="1" t="n">
        <v>133</v>
      </c>
      <c r="D2992" s="1" t="n">
        <v>32</v>
      </c>
      <c r="E2992" s="4">
        <f>IF(INDEX(C:C, ROW())+INDEX(D:D, ROW())=0, 0, INDEX(C:C, ROW())/(INDEX(C:C, ROW())+INDEX(D:D, ROW())))</f>
        <v/>
      </c>
      <c r="F2992" s="1" t="inlineStr">
        <is>
          <t>Array, Counting</t>
        </is>
      </c>
      <c r="G2992" s="1" t="inlineStr">
        <is>
          <t>Hard</t>
        </is>
      </c>
      <c r="H2992" s="1" t="n">
        <v>7245</v>
      </c>
      <c r="I2992" s="1" t="n">
        <v>11092</v>
      </c>
      <c r="J2992" s="9" t="n">
        <v>0.653</v>
      </c>
      <c r="K2992" s="1" t="inlineStr">
        <is>
          <t>No</t>
        </is>
      </c>
      <c r="L2992" s="1" t="inlineStr">
        <is>
          <t>Yes</t>
        </is>
      </c>
      <c r="M2992" s="1" t="inlineStr">
        <is>
          <t>No</t>
        </is>
      </c>
      <c r="N2992" s="1" t="inlineStr">
        <is>
          <t>Algorithms</t>
        </is>
      </c>
      <c r="O29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93" ht="15.75" customHeight="1" s="12">
      <c r="A2993" s="1" t="n">
        <v>2630</v>
      </c>
      <c r="B2993" s="3">
        <f>HYPERLINK("https://leetcode.com/problems/memoize-ii/", "Memoize II")</f>
        <v/>
      </c>
      <c r="C2993" s="1" t="n">
        <v>133</v>
      </c>
      <c r="D2993" s="1" t="n">
        <v>46</v>
      </c>
      <c r="E2993" s="4">
        <f>IF(INDEX(C:C, ROW())+INDEX(D:D, ROW())=0, 0, INDEX(C:C, ROW())/(INDEX(C:C, ROW())+INDEX(D:D, ROW())))</f>
        <v/>
      </c>
      <c r="F2993" s="2" t="n"/>
      <c r="G2993" s="1" t="inlineStr">
        <is>
          <t>Hard</t>
        </is>
      </c>
      <c r="H2993" s="1" t="n">
        <v>10953</v>
      </c>
      <c r="I2993" s="1" t="n">
        <v>28854</v>
      </c>
      <c r="J2993" s="9" t="n">
        <v>0.38</v>
      </c>
      <c r="K2993" s="1" t="inlineStr">
        <is>
          <t>Yes</t>
        </is>
      </c>
      <c r="L2993" s="1" t="inlineStr">
        <is>
          <t>Yes</t>
        </is>
      </c>
      <c r="M2993" s="1" t="inlineStr">
        <is>
          <t>No</t>
        </is>
      </c>
      <c r="N2993" s="1" t="inlineStr">
        <is>
          <t>JavaScript</t>
        </is>
      </c>
      <c r="O29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94" ht="15.75" customHeight="1" s="12">
      <c r="A2994" s="1" t="n">
        <v>2880</v>
      </c>
      <c r="B2994" s="3">
        <f>HYPERLINK("https://leetcode.com/problems/select-data/", "Select Data")</f>
        <v/>
      </c>
      <c r="C2994" s="1" t="n">
        <v>133</v>
      </c>
      <c r="D2994" s="1" t="n">
        <v>8</v>
      </c>
      <c r="E2994" s="4">
        <f>IF(INDEX(C:C, ROW())+INDEX(D:D, ROW())=0, 0, INDEX(C:C, ROW())/(INDEX(C:C, ROW())+INDEX(D:D, ROW())))</f>
        <v/>
      </c>
      <c r="F2994" s="2" t="n"/>
      <c r="G2994" s="1" t="inlineStr">
        <is>
          <t>Easy</t>
        </is>
      </c>
      <c r="H2994" s="1" t="n">
        <v>158532</v>
      </c>
      <c r="I2994" s="1" t="n">
        <v>201258</v>
      </c>
      <c r="J2994" s="9" t="n">
        <v>0.788</v>
      </c>
      <c r="K2994" s="1" t="inlineStr">
        <is>
          <t>Yes</t>
        </is>
      </c>
      <c r="L2994" s="1" t="inlineStr">
        <is>
          <t>Yes</t>
        </is>
      </c>
      <c r="M2994" s="1" t="inlineStr">
        <is>
          <t>No</t>
        </is>
      </c>
      <c r="N2994" s="1" t="inlineStr">
        <is>
          <t>pandas</t>
        </is>
      </c>
      <c r="O29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95" ht="15.75" customHeight="1" s="12">
      <c r="A2995" s="1" t="n">
        <v>3079</v>
      </c>
      <c r="B2995" s="3">
        <f>HYPERLINK("https://leetcode.com/problems/find-the-sum-of-encrypted-integers/", "Find the Sum of Encrypted Integers")</f>
        <v/>
      </c>
      <c r="C2995" s="1" t="n">
        <v>133</v>
      </c>
      <c r="D2995" s="1" t="n">
        <v>19</v>
      </c>
      <c r="E2995" s="4">
        <f>IF(INDEX(C:C, ROW())+INDEX(D:D, ROW())=0, 0, INDEX(C:C, ROW())/(INDEX(C:C, ROW())+INDEX(D:D, ROW())))</f>
        <v/>
      </c>
      <c r="F2995" s="1" t="inlineStr">
        <is>
          <t>Array, Math</t>
        </is>
      </c>
      <c r="G2995" s="1" t="inlineStr">
        <is>
          <t>Easy</t>
        </is>
      </c>
      <c r="H2995" s="1" t="n">
        <v>60544</v>
      </c>
      <c r="I2995" s="1" t="n">
        <v>81211</v>
      </c>
      <c r="J2995" s="9" t="n">
        <v>0.746</v>
      </c>
      <c r="K2995" s="1" t="inlineStr">
        <is>
          <t>Yes</t>
        </is>
      </c>
      <c r="L2995" s="1" t="inlineStr">
        <is>
          <t>No</t>
        </is>
      </c>
      <c r="M2995" s="1" t="inlineStr">
        <is>
          <t>No</t>
        </is>
      </c>
      <c r="N2995" s="1" t="inlineStr">
        <is>
          <t>Algorithms</t>
        </is>
      </c>
      <c r="O29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96" ht="15.75" customHeight="1" s="12">
      <c r="A2996" s="1" t="n">
        <v>3095</v>
      </c>
      <c r="B2996" s="3">
        <f>HYPERLINK("https://leetcode.com/problems/shortest-subarray-with-or-at-least-k-i/", "Shortest Subarray With OR at Least K I")</f>
        <v/>
      </c>
      <c r="C2996" s="1" t="n">
        <v>133</v>
      </c>
      <c r="D2996" s="1" t="n">
        <v>21</v>
      </c>
      <c r="E2996" s="4">
        <f>IF(INDEX(C:C, ROW())+INDEX(D:D, ROW())=0, 0, INDEX(C:C, ROW())/(INDEX(C:C, ROW())+INDEX(D:D, ROW())))</f>
        <v/>
      </c>
      <c r="F2996" s="1" t="inlineStr">
        <is>
          <t>Array, Bit Manipulation, Sliding Window</t>
        </is>
      </c>
      <c r="G2996" s="1" t="inlineStr">
        <is>
          <t>Easy</t>
        </is>
      </c>
      <c r="H2996" s="1" t="n">
        <v>37875</v>
      </c>
      <c r="I2996" s="1" t="n">
        <v>86210</v>
      </c>
      <c r="J2996" s="9" t="n">
        <v>0.439</v>
      </c>
      <c r="K2996" s="1" t="inlineStr">
        <is>
          <t>Yes</t>
        </is>
      </c>
      <c r="L2996" s="1" t="inlineStr">
        <is>
          <t>No</t>
        </is>
      </c>
      <c r="M2996" s="1" t="inlineStr">
        <is>
          <t>No</t>
        </is>
      </c>
      <c r="N2996" s="1" t="inlineStr">
        <is>
          <t>Algorithms</t>
        </is>
      </c>
      <c r="O29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97" ht="15.75" customHeight="1" s="12">
      <c r="A2997" s="1" t="n">
        <v>3129</v>
      </c>
      <c r="B2997" s="3">
        <f>HYPERLINK("https://leetcode.com/problems/find-all-possible-stable-binary-arrays-i/", "Find All Possible Stable Binary Arrays I")</f>
        <v/>
      </c>
      <c r="C2997" s="1" t="n">
        <v>133</v>
      </c>
      <c r="D2997" s="1" t="n">
        <v>44</v>
      </c>
      <c r="E2997" s="4">
        <f>IF(INDEX(C:C, ROW())+INDEX(D:D, ROW())=0, 0, INDEX(C:C, ROW())/(INDEX(C:C, ROW())+INDEX(D:D, ROW())))</f>
        <v/>
      </c>
      <c r="F2997" s="1" t="inlineStr">
        <is>
          <t>Dynamic Programming, Prefix Sum</t>
        </is>
      </c>
      <c r="G2997" s="1" t="inlineStr">
        <is>
          <t>Medium</t>
        </is>
      </c>
      <c r="H2997" s="1" t="n">
        <v>9846</v>
      </c>
      <c r="I2997" s="1" t="n">
        <v>36555</v>
      </c>
      <c r="J2997" s="9" t="n">
        <v>0.269</v>
      </c>
      <c r="K2997" s="1" t="inlineStr">
        <is>
          <t>Yes</t>
        </is>
      </c>
      <c r="L2997" s="1" t="inlineStr">
        <is>
          <t>No</t>
        </is>
      </c>
      <c r="M2997" s="1" t="inlineStr">
        <is>
          <t>No</t>
        </is>
      </c>
      <c r="N2997" s="1" t="inlineStr">
        <is>
          <t>Algorithms</t>
        </is>
      </c>
      <c r="O29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98" ht="15.75" customHeight="1" s="12">
      <c r="A2998" s="1" t="n">
        <v>3181</v>
      </c>
      <c r="B2998" s="3">
        <f>HYPERLINK("https://leetcode.com/problems/maximum-total-reward-using-operations-ii/", "Maximum Total Reward Using Operations II")</f>
        <v/>
      </c>
      <c r="C2998" s="1" t="n">
        <v>133</v>
      </c>
      <c r="D2998" s="1" t="n">
        <v>32</v>
      </c>
      <c r="E2998" s="4">
        <f>IF(INDEX(C:C, ROW())+INDEX(D:D, ROW())=0, 0, INDEX(C:C, ROW())/(INDEX(C:C, ROW())+INDEX(D:D, ROW())))</f>
        <v/>
      </c>
      <c r="F2998" s="1" t="inlineStr">
        <is>
          <t>Array, Dynamic Programming, Bit Manipulation</t>
        </is>
      </c>
      <c r="G2998" s="1" t="inlineStr">
        <is>
          <t>Hard</t>
        </is>
      </c>
      <c r="H2998" s="1" t="n">
        <v>8497</v>
      </c>
      <c r="I2998" s="1" t="n">
        <v>39066</v>
      </c>
      <c r="J2998" s="9" t="n">
        <v>0.218</v>
      </c>
      <c r="K2998" s="1" t="inlineStr">
        <is>
          <t>Yes</t>
        </is>
      </c>
      <c r="L2998" s="1" t="inlineStr">
        <is>
          <t>No</t>
        </is>
      </c>
      <c r="M2998" s="1" t="inlineStr">
        <is>
          <t>No</t>
        </is>
      </c>
      <c r="N2998" s="1" t="inlineStr">
        <is>
          <t>Algorithms</t>
        </is>
      </c>
      <c r="O29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2999" ht="15.75" customHeight="1" s="12">
      <c r="A2999" s="1" t="n">
        <v>3620</v>
      </c>
      <c r="B2999" s="3">
        <f>HYPERLINK("https://leetcode.com/problems/network-recovery-pathways/", "Network Recovery Pathways")</f>
        <v/>
      </c>
      <c r="C2999" s="1" t="n">
        <v>133</v>
      </c>
      <c r="D2999" s="1" t="n">
        <v>12</v>
      </c>
      <c r="E2999" s="4">
        <f>IF(INDEX(C:C, ROW())+INDEX(D:D, ROW())=0, 0, INDEX(C:C, ROW())/(INDEX(C:C, ROW())+INDEX(D:D, ROW())))</f>
        <v/>
      </c>
      <c r="F2999" s="1" t="inlineStr">
        <is>
          <t>Array, Binary Search, Dynamic Programming, Graph Theory, Topological Sort, Heap (Priority Queue), Shortest Path</t>
        </is>
      </c>
      <c r="G2999" s="1" t="inlineStr">
        <is>
          <t>Hard</t>
        </is>
      </c>
      <c r="H2999" s="1" t="n">
        <v>14386</v>
      </c>
      <c r="I2999" s="1" t="n">
        <v>48090</v>
      </c>
      <c r="J2999" s="9" t="n">
        <v>0.299</v>
      </c>
      <c r="K2999" s="1" t="inlineStr">
        <is>
          <t>Yes</t>
        </is>
      </c>
      <c r="L2999" s="1" t="inlineStr">
        <is>
          <t>No</t>
        </is>
      </c>
      <c r="M2999" s="1" t="inlineStr">
        <is>
          <t>No</t>
        </is>
      </c>
      <c r="N2999" s="1" t="inlineStr">
        <is>
          <t>Algorithms</t>
        </is>
      </c>
      <c r="O29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00" ht="15.75" customHeight="1" s="12">
      <c r="A3000" s="1" t="n">
        <v>3326</v>
      </c>
      <c r="B3000" s="3">
        <f>HYPERLINK("https://leetcode.com/problems/minimum-division-operations-to-make-array-non-decreasing/", "Minimum Division Operations to Make Array Non Decreasing")</f>
        <v/>
      </c>
      <c r="C3000" s="1" t="n">
        <v>132</v>
      </c>
      <c r="D3000" s="1" t="n">
        <v>28</v>
      </c>
      <c r="E3000" s="4">
        <f>IF(INDEX(C:C, ROW())+INDEX(D:D, ROW())=0, 0, INDEX(C:C, ROW())/(INDEX(C:C, ROW())+INDEX(D:D, ROW())))</f>
        <v/>
      </c>
      <c r="F3000" s="1" t="inlineStr">
        <is>
          <t>Array, Math, Greedy, Number Theory</t>
        </is>
      </c>
      <c r="G3000" s="1" t="inlineStr">
        <is>
          <t>Medium</t>
        </is>
      </c>
      <c r="H3000" s="1" t="n">
        <v>23578</v>
      </c>
      <c r="I3000" s="1" t="n">
        <v>81346</v>
      </c>
      <c r="J3000" s="9" t="n">
        <v>0.29</v>
      </c>
      <c r="K3000" s="1" t="inlineStr">
        <is>
          <t>Yes</t>
        </is>
      </c>
      <c r="L3000" s="1" t="inlineStr">
        <is>
          <t>No</t>
        </is>
      </c>
      <c r="M3000" s="1" t="inlineStr">
        <is>
          <t>No</t>
        </is>
      </c>
      <c r="N3000" s="1" t="inlineStr">
        <is>
          <t>Algorithms</t>
        </is>
      </c>
      <c r="O30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01" ht="15.75" customHeight="1" s="12">
      <c r="A3001" s="1" t="n">
        <v>3447</v>
      </c>
      <c r="B3001" s="3">
        <f>HYPERLINK("https://leetcode.com/problems/assign-elements-to-groups-with-constraints/", "Assign Elements to Groups with Constraints")</f>
        <v/>
      </c>
      <c r="C3001" s="1" t="n">
        <v>132</v>
      </c>
      <c r="D3001" s="1" t="n">
        <v>11</v>
      </c>
      <c r="E3001" s="4">
        <f>IF(INDEX(C:C, ROW())+INDEX(D:D, ROW())=0, 0, INDEX(C:C, ROW())/(INDEX(C:C, ROW())+INDEX(D:D, ROW())))</f>
        <v/>
      </c>
      <c r="F3001" s="1" t="inlineStr">
        <is>
          <t>Array, Hash Table</t>
        </is>
      </c>
      <c r="G3001" s="1" t="inlineStr">
        <is>
          <t>Medium</t>
        </is>
      </c>
      <c r="H3001" s="1" t="n">
        <v>20145</v>
      </c>
      <c r="I3001" s="1" t="n">
        <v>75622</v>
      </c>
      <c r="J3001" s="9" t="n">
        <v>0.266</v>
      </c>
      <c r="K3001" s="1" t="inlineStr">
        <is>
          <t>Yes</t>
        </is>
      </c>
      <c r="L3001" s="1" t="inlineStr">
        <is>
          <t>No</t>
        </is>
      </c>
      <c r="M3001" s="1" t="inlineStr">
        <is>
          <t>No</t>
        </is>
      </c>
      <c r="N3001" s="1" t="inlineStr">
        <is>
          <t>Algorithms</t>
        </is>
      </c>
      <c r="O30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02" ht="15.75" customHeight="1" s="12">
      <c r="A3002" s="1" t="n">
        <v>3128</v>
      </c>
      <c r="B3002" s="3">
        <f>HYPERLINK("https://leetcode.com/problems/right-triangles/", "Right Triangles")</f>
        <v/>
      </c>
      <c r="C3002" s="1" t="n">
        <v>131</v>
      </c>
      <c r="D3002" s="1" t="n">
        <v>24</v>
      </c>
      <c r="E3002" s="4">
        <f>IF(INDEX(C:C, ROW())+INDEX(D:D, ROW())=0, 0, INDEX(C:C, ROW())/(INDEX(C:C, ROW())+INDEX(D:D, ROW())))</f>
        <v/>
      </c>
      <c r="F3002" s="1" t="inlineStr">
        <is>
          <t>Array, Hash Table, Math, Combinatorics, Counting</t>
        </is>
      </c>
      <c r="G3002" s="1" t="inlineStr">
        <is>
          <t>Medium</t>
        </is>
      </c>
      <c r="H3002" s="1" t="n">
        <v>23100</v>
      </c>
      <c r="I3002" s="1" t="n">
        <v>47938</v>
      </c>
      <c r="J3002" s="9" t="n">
        <v>0.482</v>
      </c>
      <c r="K3002" s="1" t="inlineStr">
        <is>
          <t>Yes</t>
        </is>
      </c>
      <c r="L3002" s="1" t="inlineStr">
        <is>
          <t>No</t>
        </is>
      </c>
      <c r="M3002" s="1" t="inlineStr">
        <is>
          <t>No</t>
        </is>
      </c>
      <c r="N3002" s="1" t="inlineStr">
        <is>
          <t>Algorithms</t>
        </is>
      </c>
      <c r="O30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03" ht="15.75" customHeight="1" s="12">
      <c r="A3003" s="1" t="n">
        <v>3377</v>
      </c>
      <c r="B3003" s="3">
        <f>HYPERLINK("https://leetcode.com/problems/digit-operations-to-make-two-integers-equal/", "Digit Operations to Make Two Integers Equal")</f>
        <v/>
      </c>
      <c r="C3003" s="1" t="n">
        <v>131</v>
      </c>
      <c r="D3003" s="1" t="n">
        <v>41</v>
      </c>
      <c r="E3003" s="4">
        <f>IF(INDEX(C:C, ROW())+INDEX(D:D, ROW())=0, 0, INDEX(C:C, ROW())/(INDEX(C:C, ROW())+INDEX(D:D, ROW())))</f>
        <v/>
      </c>
      <c r="F3003" s="1" t="inlineStr">
        <is>
          <t>Math, Graph Theory, Heap (Priority Queue), Number Theory, Shortest Path</t>
        </is>
      </c>
      <c r="G3003" s="1" t="inlineStr">
        <is>
          <t>Medium</t>
        </is>
      </c>
      <c r="H3003" s="1" t="n">
        <v>9314</v>
      </c>
      <c r="I3003" s="1" t="n">
        <v>31627</v>
      </c>
      <c r="J3003" s="9" t="n">
        <v>0.294</v>
      </c>
      <c r="K3003" s="1" t="inlineStr">
        <is>
          <t>Yes</t>
        </is>
      </c>
      <c r="L3003" s="1" t="inlineStr">
        <is>
          <t>No</t>
        </is>
      </c>
      <c r="M3003" s="1" t="inlineStr">
        <is>
          <t>No</t>
        </is>
      </c>
      <c r="N3003" s="1" t="inlineStr">
        <is>
          <t>Algorithms</t>
        </is>
      </c>
      <c r="O30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04" ht="15.75" customHeight="1" s="12">
      <c r="A3004" s="1" t="n">
        <v>2882</v>
      </c>
      <c r="B3004" s="3">
        <f>HYPERLINK("https://leetcode.com/problems/drop-duplicate-rows/", "Drop Duplicate Rows")</f>
        <v/>
      </c>
      <c r="C3004" s="1" t="n">
        <v>130</v>
      </c>
      <c r="D3004" s="1" t="n">
        <v>6</v>
      </c>
      <c r="E3004" s="4">
        <f>IF(INDEX(C:C, ROW())+INDEX(D:D, ROW())=0, 0, INDEX(C:C, ROW())/(INDEX(C:C, ROW())+INDEX(D:D, ROW())))</f>
        <v/>
      </c>
      <c r="F3004" s="2" t="n"/>
      <c r="G3004" s="1" t="inlineStr">
        <is>
          <t>Easy</t>
        </is>
      </c>
      <c r="H3004" s="1" t="n">
        <v>134085</v>
      </c>
      <c r="I3004" s="1" t="n">
        <v>157279</v>
      </c>
      <c r="J3004" s="9" t="n">
        <v>0.853</v>
      </c>
      <c r="K3004" s="1" t="inlineStr">
        <is>
          <t>Yes</t>
        </is>
      </c>
      <c r="L3004" s="1" t="inlineStr">
        <is>
          <t>Yes</t>
        </is>
      </c>
      <c r="M3004" s="1" t="inlineStr">
        <is>
          <t>No</t>
        </is>
      </c>
      <c r="N3004" s="1" t="inlineStr">
        <is>
          <t>pandas</t>
        </is>
      </c>
      <c r="O30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05" ht="15.75" customHeight="1" s="12">
      <c r="A3005" s="1" t="n">
        <v>3552</v>
      </c>
      <c r="B3005" s="3">
        <f>HYPERLINK("https://leetcode.com/problems/grid-teleportation-traversal/", "Grid Teleportation Traversal")</f>
        <v/>
      </c>
      <c r="C3005" s="1" t="n">
        <v>130</v>
      </c>
      <c r="D3005" s="1" t="n">
        <v>11</v>
      </c>
      <c r="E3005" s="4">
        <f>IF(INDEX(C:C, ROW())+INDEX(D:D, ROW())=0, 0, INDEX(C:C, ROW())/(INDEX(C:C, ROW())+INDEX(D:D, ROW())))</f>
        <v/>
      </c>
      <c r="F3005" s="1" t="inlineStr">
        <is>
          <t>Array, Hash Table, Breadth-First Search, Matrix</t>
        </is>
      </c>
      <c r="G3005" s="1" t="inlineStr">
        <is>
          <t>Medium</t>
        </is>
      </c>
      <c r="H3005" s="1" t="n">
        <v>12836</v>
      </c>
      <c r="I3005" s="1" t="n">
        <v>55920</v>
      </c>
      <c r="J3005" s="9" t="n">
        <v>0.23</v>
      </c>
      <c r="K3005" s="1" t="inlineStr">
        <is>
          <t>Yes</t>
        </is>
      </c>
      <c r="L3005" s="1" t="inlineStr">
        <is>
          <t>No</t>
        </is>
      </c>
      <c r="M3005" s="1" t="inlineStr">
        <is>
          <t>No</t>
        </is>
      </c>
      <c r="N3005" s="1" t="inlineStr">
        <is>
          <t>Algorithms</t>
        </is>
      </c>
      <c r="O30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06" ht="15.75" customHeight="1" s="12">
      <c r="A3006" s="1" t="n">
        <v>2061</v>
      </c>
      <c r="B3006" s="3">
        <f>HYPERLINK("https://leetcode.com/problems/number-of-spaces-cleaning-robot-cleaned/", "Number of Spaces Cleaning Robot Cleaned")</f>
        <v/>
      </c>
      <c r="C3006" s="1" t="n">
        <v>129</v>
      </c>
      <c r="D3006" s="1" t="n">
        <v>29</v>
      </c>
      <c r="E3006" s="4">
        <f>IF(INDEX(C:C, ROW())+INDEX(D:D, ROW())=0, 0, INDEX(C:C, ROW())/(INDEX(C:C, ROW())+INDEX(D:D, ROW())))</f>
        <v/>
      </c>
      <c r="F3006" s="1" t="inlineStr">
        <is>
          <t>Array, Matrix, Simulation</t>
        </is>
      </c>
      <c r="G3006" s="1" t="inlineStr">
        <is>
          <t>Medium</t>
        </is>
      </c>
      <c r="H3006" s="1" t="n">
        <v>10744</v>
      </c>
      <c r="I3006" s="1" t="n">
        <v>17211</v>
      </c>
      <c r="J3006" s="9" t="n">
        <v>0.624</v>
      </c>
      <c r="K3006" s="1" t="inlineStr">
        <is>
          <t>No</t>
        </is>
      </c>
      <c r="L3006" s="1" t="inlineStr">
        <is>
          <t>Yes</t>
        </is>
      </c>
      <c r="M3006" s="1" t="inlineStr">
        <is>
          <t>No</t>
        </is>
      </c>
      <c r="N3006" s="1" t="inlineStr">
        <is>
          <t>Algorithms</t>
        </is>
      </c>
      <c r="O30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07" ht="15.75" customHeight="1" s="12">
      <c r="A3007" s="1" t="n">
        <v>2911</v>
      </c>
      <c r="B3007" s="3">
        <f>HYPERLINK("https://leetcode.com/problems/minimum-changes-to-make-k-semi-palindromes/", "Minimum Changes to Make K Semi-palindromes")</f>
        <v/>
      </c>
      <c r="C3007" s="1" t="n">
        <v>129</v>
      </c>
      <c r="D3007" s="1" t="n">
        <v>106</v>
      </c>
      <c r="E3007" s="4">
        <f>IF(INDEX(C:C, ROW())+INDEX(D:D, ROW())=0, 0, INDEX(C:C, ROW())/(INDEX(C:C, ROW())+INDEX(D:D, ROW())))</f>
        <v/>
      </c>
      <c r="F3007" s="1" t="inlineStr">
        <is>
          <t>Two Pointers, String, Dynamic Programming</t>
        </is>
      </c>
      <c r="G3007" s="1" t="inlineStr">
        <is>
          <t>Hard</t>
        </is>
      </c>
      <c r="H3007" s="1" t="n">
        <v>5032</v>
      </c>
      <c r="I3007" s="1" t="n">
        <v>14021</v>
      </c>
      <c r="J3007" s="9" t="n">
        <v>0.359</v>
      </c>
      <c r="K3007" s="1" t="inlineStr">
        <is>
          <t>Yes</t>
        </is>
      </c>
      <c r="L3007" s="1" t="inlineStr">
        <is>
          <t>No</t>
        </is>
      </c>
      <c r="M3007" s="1" t="inlineStr">
        <is>
          <t>No</t>
        </is>
      </c>
      <c r="N3007" s="1" t="inlineStr">
        <is>
          <t>Algorithms</t>
        </is>
      </c>
      <c r="O30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08" ht="15.75" customHeight="1" s="12">
      <c r="A3008" s="1" t="n">
        <v>3080</v>
      </c>
      <c r="B3008" s="3">
        <f>HYPERLINK("https://leetcode.com/problems/mark-elements-on-array-by-performing-queries/", "Mark Elements on Array by Performing Queries")</f>
        <v/>
      </c>
      <c r="C3008" s="1" t="n">
        <v>129</v>
      </c>
      <c r="D3008" s="1" t="n">
        <v>27</v>
      </c>
      <c r="E3008" s="4">
        <f>IF(INDEX(C:C, ROW())+INDEX(D:D, ROW())=0, 0, INDEX(C:C, ROW())/(INDEX(C:C, ROW())+INDEX(D:D, ROW())))</f>
        <v/>
      </c>
      <c r="F3008" s="1" t="inlineStr">
        <is>
          <t>Array, Hash Table, Sorting, Heap (Priority Queue), Simulation</t>
        </is>
      </c>
      <c r="G3008" s="1" t="inlineStr">
        <is>
          <t>Medium</t>
        </is>
      </c>
      <c r="H3008" s="1" t="n">
        <v>21987</v>
      </c>
      <c r="I3008" s="1" t="n">
        <v>45011</v>
      </c>
      <c r="J3008" s="9" t="n">
        <v>0.488</v>
      </c>
      <c r="K3008" s="1" t="inlineStr">
        <is>
          <t>Yes</t>
        </is>
      </c>
      <c r="L3008" s="1" t="inlineStr">
        <is>
          <t>No</t>
        </is>
      </c>
      <c r="M3008" s="1" t="inlineStr">
        <is>
          <t>No</t>
        </is>
      </c>
      <c r="N3008" s="1" t="inlineStr">
        <is>
          <t>Algorithms</t>
        </is>
      </c>
      <c r="O30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09" ht="15.75" customHeight="1" s="12">
      <c r="A3009" s="1" t="n">
        <v>3301</v>
      </c>
      <c r="B3009" s="3">
        <f>HYPERLINK("https://leetcode.com/problems/maximize-the-total-height-of-unique-towers/", "Maximize the Total Height of Unique Towers")</f>
        <v/>
      </c>
      <c r="C3009" s="1" t="n">
        <v>128</v>
      </c>
      <c r="D3009" s="1" t="n">
        <v>8</v>
      </c>
      <c r="E3009" s="4">
        <f>IF(INDEX(C:C, ROW())+INDEX(D:D, ROW())=0, 0, INDEX(C:C, ROW())/(INDEX(C:C, ROW())+INDEX(D:D, ROW())))</f>
        <v/>
      </c>
      <c r="F3009" s="1" t="inlineStr">
        <is>
          <t>Array, Greedy, Sorting</t>
        </is>
      </c>
      <c r="G3009" s="1" t="inlineStr">
        <is>
          <t>Medium</t>
        </is>
      </c>
      <c r="H3009" s="1" t="n">
        <v>34124</v>
      </c>
      <c r="I3009" s="1" t="n">
        <v>91834</v>
      </c>
      <c r="J3009" s="9" t="n">
        <v>0.372</v>
      </c>
      <c r="K3009" s="1" t="inlineStr">
        <is>
          <t>Yes</t>
        </is>
      </c>
      <c r="L3009" s="1" t="inlineStr">
        <is>
          <t>No</t>
        </is>
      </c>
      <c r="M3009" s="1" t="inlineStr">
        <is>
          <t>No</t>
        </is>
      </c>
      <c r="N3009" s="1" t="inlineStr">
        <is>
          <t>Algorithms</t>
        </is>
      </c>
      <c r="O30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10" ht="15.75" customHeight="1" s="12">
      <c r="A3010" s="1" t="n">
        <v>3340</v>
      </c>
      <c r="B3010" s="3">
        <f>HYPERLINK("https://leetcode.com/problems/check-balanced-string/", "Check Balanced String")</f>
        <v/>
      </c>
      <c r="C3010" s="1" t="n">
        <v>128</v>
      </c>
      <c r="D3010" s="1" t="n">
        <v>1</v>
      </c>
      <c r="E3010" s="4">
        <f>IF(INDEX(C:C, ROW())+INDEX(D:D, ROW())=0, 0, INDEX(C:C, ROW())/(INDEX(C:C, ROW())+INDEX(D:D, ROW())))</f>
        <v/>
      </c>
      <c r="F3010" s="1" t="inlineStr">
        <is>
          <t>String</t>
        </is>
      </c>
      <c r="G3010" s="1" t="inlineStr">
        <is>
          <t>Easy</t>
        </is>
      </c>
      <c r="H3010" s="1" t="n">
        <v>71353</v>
      </c>
      <c r="I3010" s="1" t="n">
        <v>86874</v>
      </c>
      <c r="J3010" s="9" t="n">
        <v>0.821</v>
      </c>
      <c r="K3010" s="1" t="inlineStr">
        <is>
          <t>Yes</t>
        </is>
      </c>
      <c r="L3010" s="1" t="inlineStr">
        <is>
          <t>No</t>
        </is>
      </c>
      <c r="M3010" s="1" t="inlineStr">
        <is>
          <t>No</t>
        </is>
      </c>
      <c r="N3010" s="1" t="inlineStr">
        <is>
          <t>Algorithms</t>
        </is>
      </c>
      <c r="O30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11" ht="15.75" customHeight="1" s="12">
      <c r="A3011" s="1" t="n">
        <v>1842</v>
      </c>
      <c r="B3011" s="3">
        <f>HYPERLINK("https://leetcode.com/problems/next-palindrome-using-same-digits/", "Next Palindrome Using Same Digits")</f>
        <v/>
      </c>
      <c r="C3011" s="1" t="n">
        <v>126</v>
      </c>
      <c r="D3011" s="1" t="n">
        <v>19</v>
      </c>
      <c r="E3011" s="4">
        <f>IF(INDEX(C:C, ROW())+INDEX(D:D, ROW())=0, 0, INDEX(C:C, ROW())/(INDEX(C:C, ROW())+INDEX(D:D, ROW())))</f>
        <v/>
      </c>
      <c r="F3011" s="1" t="inlineStr">
        <is>
          <t>Two Pointers, String</t>
        </is>
      </c>
      <c r="G3011" s="1" t="inlineStr">
        <is>
          <t>Hard</t>
        </is>
      </c>
      <c r="H3011" s="1" t="n">
        <v>6841</v>
      </c>
      <c r="I3011" s="1" t="n">
        <v>12655</v>
      </c>
      <c r="J3011" s="9" t="n">
        <v>0.541</v>
      </c>
      <c r="K3011" s="1" t="inlineStr">
        <is>
          <t>No</t>
        </is>
      </c>
      <c r="L3011" s="1" t="inlineStr">
        <is>
          <t>No</t>
        </is>
      </c>
      <c r="M3011" s="1" t="inlineStr">
        <is>
          <t>No</t>
        </is>
      </c>
      <c r="N3011" s="1" t="inlineStr">
        <is>
          <t>Algorithms</t>
        </is>
      </c>
      <c r="O30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12" ht="15.75" customHeight="1" s="12">
      <c r="A3012" s="1" t="n">
        <v>3207</v>
      </c>
      <c r="B3012" s="3">
        <f>HYPERLINK("https://leetcode.com/problems/maximum-points-after-enemy-battles/", "Maximum Points After Enemy Battles")</f>
        <v/>
      </c>
      <c r="C3012" s="1" t="n">
        <v>126</v>
      </c>
      <c r="D3012" s="1" t="n">
        <v>43</v>
      </c>
      <c r="E3012" s="4">
        <f>IF(INDEX(C:C, ROW())+INDEX(D:D, ROW())=0, 0, INDEX(C:C, ROW())/(INDEX(C:C, ROW())+INDEX(D:D, ROW())))</f>
        <v/>
      </c>
      <c r="F3012" s="1" t="inlineStr">
        <is>
          <t>Array, Greedy</t>
        </is>
      </c>
      <c r="G3012" s="1" t="inlineStr">
        <is>
          <t>Medium</t>
        </is>
      </c>
      <c r="H3012" s="1" t="n">
        <v>29979</v>
      </c>
      <c r="I3012" s="1" t="n">
        <v>90705</v>
      </c>
      <c r="J3012" s="9" t="n">
        <v>0.331</v>
      </c>
      <c r="K3012" s="1" t="inlineStr">
        <is>
          <t>Yes</t>
        </is>
      </c>
      <c r="L3012" s="1" t="inlineStr">
        <is>
          <t>No</t>
        </is>
      </c>
      <c r="M3012" s="1" t="inlineStr">
        <is>
          <t>No</t>
        </is>
      </c>
      <c r="N3012" s="1" t="inlineStr">
        <is>
          <t>Algorithms</t>
        </is>
      </c>
      <c r="O30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13" ht="15.75" customHeight="1" s="12">
      <c r="A3013" s="1" t="n">
        <v>3219</v>
      </c>
      <c r="B3013" s="3">
        <f>HYPERLINK("https://leetcode.com/problems/minimum-cost-for-cutting-cake-ii/", "Minimum Cost for Cutting Cake II")</f>
        <v/>
      </c>
      <c r="C3013" s="1" t="n">
        <v>125</v>
      </c>
      <c r="D3013" s="1" t="n">
        <v>18</v>
      </c>
      <c r="E3013" s="4">
        <f>IF(INDEX(C:C, ROW())+INDEX(D:D, ROW())=0, 0, INDEX(C:C, ROW())/(INDEX(C:C, ROW())+INDEX(D:D, ROW())))</f>
        <v/>
      </c>
      <c r="F3013" s="1" t="inlineStr">
        <is>
          <t>Array, Greedy, Sorting</t>
        </is>
      </c>
      <c r="G3013" s="1" t="inlineStr">
        <is>
          <t>Hard</t>
        </is>
      </c>
      <c r="H3013" s="1" t="n">
        <v>23810</v>
      </c>
      <c r="I3013" s="1" t="n">
        <v>43193</v>
      </c>
      <c r="J3013" s="9" t="n">
        <v>0.551</v>
      </c>
      <c r="K3013" s="1" t="inlineStr">
        <is>
          <t>Yes</t>
        </is>
      </c>
      <c r="L3013" s="1" t="inlineStr">
        <is>
          <t>No</t>
        </is>
      </c>
      <c r="M3013" s="1" t="inlineStr">
        <is>
          <t>No</t>
        </is>
      </c>
      <c r="N3013" s="1" t="inlineStr">
        <is>
          <t>Algorithms</t>
        </is>
      </c>
      <c r="O30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14" ht="15.75" customHeight="1" s="12">
      <c r="A3014" s="1" t="n">
        <v>3222</v>
      </c>
      <c r="B3014" s="3">
        <f>HYPERLINK("https://leetcode.com/problems/find-the-winning-player-in-coin-game/", "Find the Winning Player in Coin Game")</f>
        <v/>
      </c>
      <c r="C3014" s="1" t="n">
        <v>124</v>
      </c>
      <c r="D3014" s="1" t="n">
        <v>15</v>
      </c>
      <c r="E3014" s="4">
        <f>IF(INDEX(C:C, ROW())+INDEX(D:D, ROW())=0, 0, INDEX(C:C, ROW())/(INDEX(C:C, ROW())+INDEX(D:D, ROW())))</f>
        <v/>
      </c>
      <c r="F3014" s="1" t="inlineStr">
        <is>
          <t>Math, Simulation, Game Theory</t>
        </is>
      </c>
      <c r="G3014" s="1" t="inlineStr">
        <is>
          <t>Easy</t>
        </is>
      </c>
      <c r="H3014" s="1" t="n">
        <v>54759</v>
      </c>
      <c r="I3014" s="1" t="n">
        <v>103707</v>
      </c>
      <c r="J3014" s="9" t="n">
        <v>0.528</v>
      </c>
      <c r="K3014" s="1" t="inlineStr">
        <is>
          <t>Yes</t>
        </is>
      </c>
      <c r="L3014" s="1" t="inlineStr">
        <is>
          <t>No</t>
        </is>
      </c>
      <c r="M3014" s="1" t="inlineStr">
        <is>
          <t>No</t>
        </is>
      </c>
      <c r="N3014" s="1" t="inlineStr">
        <is>
          <t>Algorithms</t>
        </is>
      </c>
      <c r="O30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15" ht="15.75" customHeight="1" s="12">
      <c r="A3015" s="1" t="n">
        <v>3568</v>
      </c>
      <c r="B3015" s="3">
        <f>HYPERLINK("https://leetcode.com/problems/minimum-moves-to-clean-the-classroom/", "Minimum Moves to Clean the Classroom")</f>
        <v/>
      </c>
      <c r="C3015" s="1" t="n">
        <v>124</v>
      </c>
      <c r="D3015" s="1" t="n">
        <v>15</v>
      </c>
      <c r="E3015" s="4">
        <f>IF(INDEX(C:C, ROW())+INDEX(D:D, ROW())=0, 0, INDEX(C:C, ROW())/(INDEX(C:C, ROW())+INDEX(D:D, ROW())))</f>
        <v/>
      </c>
      <c r="F3015" s="1" t="inlineStr">
        <is>
          <t>Array, Hash Table, Bit Manipulation, Breadth-First Search, Matrix</t>
        </is>
      </c>
      <c r="G3015" s="1" t="inlineStr">
        <is>
          <t>Medium</t>
        </is>
      </c>
      <c r="H3015" s="1" t="n">
        <v>8768</v>
      </c>
      <c r="I3015" s="1" t="n">
        <v>33297</v>
      </c>
      <c r="J3015" s="9" t="n">
        <v>0.263</v>
      </c>
      <c r="K3015" s="1" t="inlineStr">
        <is>
          <t>Yes</t>
        </is>
      </c>
      <c r="L3015" s="1" t="inlineStr">
        <is>
          <t>No</t>
        </is>
      </c>
      <c r="M3015" s="1" t="inlineStr">
        <is>
          <t>No</t>
        </is>
      </c>
      <c r="N3015" s="1" t="inlineStr">
        <is>
          <t>Algorithms</t>
        </is>
      </c>
      <c r="O30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16" ht="15.75" customHeight="1" s="12">
      <c r="A3016" s="1" t="n">
        <v>3703</v>
      </c>
      <c r="B3016" s="3">
        <f>HYPERLINK("https://leetcode.com/problems/remove-k-balanced-substrings/", "Remove K-Balanced Substrings")</f>
        <v/>
      </c>
      <c r="C3016" s="1" t="n">
        <v>124</v>
      </c>
      <c r="D3016" s="1" t="n">
        <v>11</v>
      </c>
      <c r="E3016" s="4">
        <f>IF(INDEX(C:C, ROW())+INDEX(D:D, ROW())=0, 0, INDEX(C:C, ROW())/(INDEX(C:C, ROW())+INDEX(D:D, ROW())))</f>
        <v/>
      </c>
      <c r="F3016" s="1" t="inlineStr">
        <is>
          <t>String, Stack, Simulation</t>
        </is>
      </c>
      <c r="G3016" s="1" t="inlineStr">
        <is>
          <t>Medium</t>
        </is>
      </c>
      <c r="H3016" s="1" t="n">
        <v>18808</v>
      </c>
      <c r="I3016" s="1" t="n">
        <v>58478</v>
      </c>
      <c r="J3016" s="9" t="n">
        <v>0.322</v>
      </c>
      <c r="K3016" s="1" t="inlineStr">
        <is>
          <t>Yes</t>
        </is>
      </c>
      <c r="L3016" s="1" t="inlineStr">
        <is>
          <t>No</t>
        </is>
      </c>
      <c r="M3016" s="1" t="inlineStr">
        <is>
          <t>No</t>
        </is>
      </c>
      <c r="N3016" s="1" t="inlineStr">
        <is>
          <t>Algorithms</t>
        </is>
      </c>
      <c r="O30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17" ht="15.75" customHeight="1" s="12">
      <c r="A3017" s="1" t="n">
        <v>1159</v>
      </c>
      <c r="B3017" s="3">
        <f>HYPERLINK("https://leetcode.com/problems/market-analysis-ii/", "Market Analysis II")</f>
        <v/>
      </c>
      <c r="C3017" s="1" t="n">
        <v>123</v>
      </c>
      <c r="D3017" s="1" t="n">
        <v>81</v>
      </c>
      <c r="E3017" s="4">
        <f>IF(INDEX(C:C, ROW())+INDEX(D:D, ROW())=0, 0, INDEX(C:C, ROW())/(INDEX(C:C, ROW())+INDEX(D:D, ROW())))</f>
        <v/>
      </c>
      <c r="F3017" s="1" t="inlineStr">
        <is>
          <t>Database</t>
        </is>
      </c>
      <c r="G3017" s="1" t="inlineStr">
        <is>
          <t>Hard</t>
        </is>
      </c>
      <c r="H3017" s="1" t="n">
        <v>23144</v>
      </c>
      <c r="I3017" s="1" t="n">
        <v>40172</v>
      </c>
      <c r="J3017" s="9" t="n">
        <v>0.576</v>
      </c>
      <c r="K3017" s="1" t="inlineStr">
        <is>
          <t>No</t>
        </is>
      </c>
      <c r="L3017" s="1" t="inlineStr">
        <is>
          <t>Yes</t>
        </is>
      </c>
      <c r="M3017" s="1" t="inlineStr">
        <is>
          <t>No</t>
        </is>
      </c>
      <c r="N3017" s="1" t="inlineStr">
        <is>
          <t>Database</t>
        </is>
      </c>
      <c r="O30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18" ht="15.75" customHeight="1" s="12">
      <c r="A3018" s="1" t="n">
        <v>2532</v>
      </c>
      <c r="B3018" s="3">
        <f>HYPERLINK("https://leetcode.com/problems/time-to-cross-a-bridge/", "Time to Cross a Bridge")</f>
        <v/>
      </c>
      <c r="C3018" s="1" t="n">
        <v>123</v>
      </c>
      <c r="D3018" s="1" t="n">
        <v>225</v>
      </c>
      <c r="E3018" s="4">
        <f>IF(INDEX(C:C, ROW())+INDEX(D:D, ROW())=0, 0, INDEX(C:C, ROW())/(INDEX(C:C, ROW())+INDEX(D:D, ROW())))</f>
        <v/>
      </c>
      <c r="F3018" s="1" t="inlineStr">
        <is>
          <t>Array, Heap (Priority Queue), Simulation</t>
        </is>
      </c>
      <c r="G3018" s="1" t="inlineStr">
        <is>
          <t>Hard</t>
        </is>
      </c>
      <c r="H3018" s="1" t="n">
        <v>5601</v>
      </c>
      <c r="I3018" s="1" t="n">
        <v>12698</v>
      </c>
      <c r="J3018" s="9" t="n">
        <v>0.441</v>
      </c>
      <c r="K3018" s="1" t="inlineStr">
        <is>
          <t>Yes</t>
        </is>
      </c>
      <c r="L3018" s="1" t="inlineStr">
        <is>
          <t>No</t>
        </is>
      </c>
      <c r="M3018" s="1" t="inlineStr">
        <is>
          <t>No</t>
        </is>
      </c>
      <c r="N3018" s="1" t="inlineStr">
        <is>
          <t>Algorithms</t>
        </is>
      </c>
      <c r="O30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19" ht="15.75" customHeight="1" s="12">
      <c r="A3019" s="1" t="n">
        <v>3628</v>
      </c>
      <c r="B3019" s="3">
        <f>HYPERLINK("https://leetcode.com/problems/maximum-number-of-subsequences-after-one-inserting/", "Maximum Number of Subsequences After One Inserting")</f>
        <v/>
      </c>
      <c r="C3019" s="1" t="n">
        <v>123</v>
      </c>
      <c r="D3019" s="1" t="n">
        <v>4</v>
      </c>
      <c r="E3019" s="4">
        <f>IF(INDEX(C:C, ROW())+INDEX(D:D, ROW())=0, 0, INDEX(C:C, ROW())/(INDEX(C:C, ROW())+INDEX(D:D, ROW())))</f>
        <v/>
      </c>
      <c r="F3019" s="1" t="inlineStr">
        <is>
          <t>String, Dynamic Programming, Greedy, Prefix Sum</t>
        </is>
      </c>
      <c r="G3019" s="1" t="inlineStr">
        <is>
          <t>Medium</t>
        </is>
      </c>
      <c r="H3019" s="1" t="n">
        <v>26912</v>
      </c>
      <c r="I3019" s="1" t="n">
        <v>89927</v>
      </c>
      <c r="J3019" s="9" t="n">
        <v>0.299</v>
      </c>
      <c r="K3019" s="1" t="inlineStr">
        <is>
          <t>Yes</t>
        </is>
      </c>
      <c r="L3019" s="1" t="inlineStr">
        <is>
          <t>No</t>
        </is>
      </c>
      <c r="M3019" s="1" t="inlineStr">
        <is>
          <t>No</t>
        </is>
      </c>
      <c r="N3019" s="1" t="inlineStr">
        <is>
          <t>Algorithms</t>
        </is>
      </c>
      <c r="O30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20" ht="15.75" customHeight="1" s="12">
      <c r="A3020" s="1" t="n">
        <v>2624</v>
      </c>
      <c r="B3020" s="3">
        <f>HYPERLINK("https://leetcode.com/problems/snail-traversal/", "Snail Traversal")</f>
        <v/>
      </c>
      <c r="C3020" s="1" t="n">
        <v>122</v>
      </c>
      <c r="D3020" s="1" t="n">
        <v>47</v>
      </c>
      <c r="E3020" s="4">
        <f>IF(INDEX(C:C, ROW())+INDEX(D:D, ROW())=0, 0, INDEX(C:C, ROW())/(INDEX(C:C, ROW())+INDEX(D:D, ROW())))</f>
        <v/>
      </c>
      <c r="F3020" s="2" t="n"/>
      <c r="G3020" s="1" t="inlineStr">
        <is>
          <t>Medium</t>
        </is>
      </c>
      <c r="H3020" s="1" t="n">
        <v>17997</v>
      </c>
      <c r="I3020" s="1" t="n">
        <v>26569</v>
      </c>
      <c r="J3020" s="9" t="n">
        <v>0.677</v>
      </c>
      <c r="K3020" s="1" t="inlineStr">
        <is>
          <t>Yes</t>
        </is>
      </c>
      <c r="L3020" s="1" t="inlineStr">
        <is>
          <t>Yes</t>
        </is>
      </c>
      <c r="M3020" s="1" t="inlineStr">
        <is>
          <t>No</t>
        </is>
      </c>
      <c r="N3020" s="1" t="inlineStr">
        <is>
          <t>JavaScript</t>
        </is>
      </c>
      <c r="O30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21" ht="15.75" customHeight="1" s="12">
      <c r="A3021" s="1" t="n">
        <v>2961</v>
      </c>
      <c r="B3021" s="3">
        <f>HYPERLINK("https://leetcode.com/problems/double-modular-exponentiation/", "Double Modular Exponentiation")</f>
        <v/>
      </c>
      <c r="C3021" s="1" t="n">
        <v>122</v>
      </c>
      <c r="D3021" s="1" t="n">
        <v>23</v>
      </c>
      <c r="E3021" s="4">
        <f>IF(INDEX(C:C, ROW())+INDEX(D:D, ROW())=0, 0, INDEX(C:C, ROW())/(INDEX(C:C, ROW())+INDEX(D:D, ROW())))</f>
        <v/>
      </c>
      <c r="F3021" s="1" t="inlineStr">
        <is>
          <t>Array, Math, Simulation</t>
        </is>
      </c>
      <c r="G3021" s="1" t="inlineStr">
        <is>
          <t>Medium</t>
        </is>
      </c>
      <c r="H3021" s="1" t="n">
        <v>25061</v>
      </c>
      <c r="I3021" s="1" t="n">
        <v>52418</v>
      </c>
      <c r="J3021" s="9" t="n">
        <v>0.478</v>
      </c>
      <c r="K3021" s="1" t="inlineStr">
        <is>
          <t>Yes</t>
        </is>
      </c>
      <c r="L3021" s="1" t="inlineStr">
        <is>
          <t>No</t>
        </is>
      </c>
      <c r="M3021" s="1" t="inlineStr">
        <is>
          <t>No</t>
        </is>
      </c>
      <c r="N3021" s="1" t="inlineStr">
        <is>
          <t>Algorithms</t>
        </is>
      </c>
      <c r="O30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22" ht="15.75" customHeight="1" s="12">
      <c r="A3022" s="1" t="n">
        <v>2977</v>
      </c>
      <c r="B3022" s="3">
        <f>HYPERLINK("https://leetcode.com/problems/minimum-cost-to-convert-string-ii/", "Minimum Cost to Convert String II")</f>
        <v/>
      </c>
      <c r="C3022" s="1" t="n">
        <v>122</v>
      </c>
      <c r="D3022" s="1" t="n">
        <v>83</v>
      </c>
      <c r="E3022" s="4">
        <f>IF(INDEX(C:C, ROW())+INDEX(D:D, ROW())=0, 0, INDEX(C:C, ROW())/(INDEX(C:C, ROW())+INDEX(D:D, ROW())))</f>
        <v/>
      </c>
      <c r="F3022" s="1" t="inlineStr">
        <is>
          <t>Array, String, Dynamic Programming, Graph Theory, Trie, Shortest Path</t>
        </is>
      </c>
      <c r="G3022" s="1" t="inlineStr">
        <is>
          <t>Hard</t>
        </is>
      </c>
      <c r="H3022" s="1" t="n">
        <v>6746</v>
      </c>
      <c r="I3022" s="1" t="n">
        <v>25402</v>
      </c>
      <c r="J3022" s="9" t="n">
        <v>0.266</v>
      </c>
      <c r="K3022" s="1" t="inlineStr">
        <is>
          <t>Yes</t>
        </is>
      </c>
      <c r="L3022" s="1" t="inlineStr">
        <is>
          <t>No</t>
        </is>
      </c>
      <c r="M3022" s="1" t="inlineStr">
        <is>
          <t>No</t>
        </is>
      </c>
      <c r="N3022" s="1" t="inlineStr">
        <is>
          <t>Algorithms</t>
        </is>
      </c>
      <c r="O30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23" ht="15.75" customHeight="1" s="12">
      <c r="A3023" s="1" t="n">
        <v>3115</v>
      </c>
      <c r="B3023" s="3">
        <f>HYPERLINK("https://leetcode.com/problems/maximum-prime-difference/", "Maximum Prime Difference")</f>
        <v/>
      </c>
      <c r="C3023" s="1" t="n">
        <v>122</v>
      </c>
      <c r="D3023" s="1" t="n">
        <v>16</v>
      </c>
      <c r="E3023" s="4">
        <f>IF(INDEX(C:C, ROW())+INDEX(D:D, ROW())=0, 0, INDEX(C:C, ROW())/(INDEX(C:C, ROW())+INDEX(D:D, ROW())))</f>
        <v/>
      </c>
      <c r="F3023" s="1" t="inlineStr">
        <is>
          <t>Array, Math, Number Theory</t>
        </is>
      </c>
      <c r="G3023" s="1" t="inlineStr">
        <is>
          <t>Medium</t>
        </is>
      </c>
      <c r="H3023" s="1" t="n">
        <v>48843</v>
      </c>
      <c r="I3023" s="1" t="n">
        <v>83682</v>
      </c>
      <c r="J3023" s="9" t="n">
        <v>0.584</v>
      </c>
      <c r="K3023" s="1" t="inlineStr">
        <is>
          <t>Yes</t>
        </is>
      </c>
      <c r="L3023" s="1" t="inlineStr">
        <is>
          <t>No</t>
        </is>
      </c>
      <c r="M3023" s="1" t="inlineStr">
        <is>
          <t>No</t>
        </is>
      </c>
      <c r="N3023" s="1" t="inlineStr">
        <is>
          <t>Algorithms</t>
        </is>
      </c>
      <c r="O30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24" ht="15.75" customHeight="1" s="12">
      <c r="A3024" s="1" t="n">
        <v>3137</v>
      </c>
      <c r="B3024" s="3">
        <f>HYPERLINK("https://leetcode.com/problems/minimum-number-of-operations-to-make-word-k-periodic/", "Minimum Number of Operations to Make Word K-Periodic")</f>
        <v/>
      </c>
      <c r="C3024" s="1" t="n">
        <v>122</v>
      </c>
      <c r="D3024" s="1" t="n">
        <v>13</v>
      </c>
      <c r="E3024" s="4">
        <f>IF(INDEX(C:C, ROW())+INDEX(D:D, ROW())=0, 0, INDEX(C:C, ROW())/(INDEX(C:C, ROW())+INDEX(D:D, ROW())))</f>
        <v/>
      </c>
      <c r="F3024" s="1" t="inlineStr">
        <is>
          <t>Hash Table, String, Counting</t>
        </is>
      </c>
      <c r="G3024" s="1" t="inlineStr">
        <is>
          <t>Medium</t>
        </is>
      </c>
      <c r="H3024" s="1" t="n">
        <v>27799</v>
      </c>
      <c r="I3024" s="1" t="n">
        <v>45916</v>
      </c>
      <c r="J3024" s="9" t="n">
        <v>0.605</v>
      </c>
      <c r="K3024" s="1" t="inlineStr">
        <is>
          <t>Yes</t>
        </is>
      </c>
      <c r="L3024" s="1" t="inlineStr">
        <is>
          <t>No</t>
        </is>
      </c>
      <c r="M3024" s="1" t="inlineStr">
        <is>
          <t>No</t>
        </is>
      </c>
      <c r="N3024" s="1" t="inlineStr">
        <is>
          <t>Algorithms</t>
        </is>
      </c>
      <c r="O30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25" ht="15.75" customHeight="1" s="12">
      <c r="A3025" s="1" t="n">
        <v>3425</v>
      </c>
      <c r="B3025" s="3">
        <f>HYPERLINK("https://leetcode.com/problems/longest-special-path/", "Longest Special Path")</f>
        <v/>
      </c>
      <c r="C3025" s="1" t="n">
        <v>122</v>
      </c>
      <c r="D3025" s="1" t="n">
        <v>16</v>
      </c>
      <c r="E3025" s="4">
        <f>IF(INDEX(C:C, ROW())+INDEX(D:D, ROW())=0, 0, INDEX(C:C, ROW())/(INDEX(C:C, ROW())+INDEX(D:D, ROW())))</f>
        <v/>
      </c>
      <c r="F3025" s="1" t="inlineStr">
        <is>
          <t>Array, Hash Table, Tree, Depth-First Search, Prefix Sum</t>
        </is>
      </c>
      <c r="G3025" s="1" t="inlineStr">
        <is>
          <t>Hard</t>
        </is>
      </c>
      <c r="H3025" s="1" t="n">
        <v>5740</v>
      </c>
      <c r="I3025" s="1" t="n">
        <v>26028</v>
      </c>
      <c r="J3025" s="9" t="n">
        <v>0.221</v>
      </c>
      <c r="K3025" s="1" t="inlineStr">
        <is>
          <t>Yes</t>
        </is>
      </c>
      <c r="L3025" s="1" t="inlineStr">
        <is>
          <t>No</t>
        </is>
      </c>
      <c r="M3025" s="1" t="inlineStr">
        <is>
          <t>No</t>
        </is>
      </c>
      <c r="N3025" s="1" t="inlineStr">
        <is>
          <t>Algorithms</t>
        </is>
      </c>
      <c r="O30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26" ht="15.75" customHeight="1" s="12">
      <c r="A3026" s="1" t="n">
        <v>3483</v>
      </c>
      <c r="B3026" s="3">
        <f>HYPERLINK("https://leetcode.com/problems/unique-3-digit-even-numbers/", "Unique 3-Digit Even Numbers")</f>
        <v/>
      </c>
      <c r="C3026" s="1" t="n">
        <v>122</v>
      </c>
      <c r="D3026" s="1" t="n">
        <v>34</v>
      </c>
      <c r="E3026" s="4">
        <f>IF(INDEX(C:C, ROW())+INDEX(D:D, ROW())=0, 0, INDEX(C:C, ROW())/(INDEX(C:C, ROW())+INDEX(D:D, ROW())))</f>
        <v/>
      </c>
      <c r="F3026" s="1" t="inlineStr">
        <is>
          <t>Array, Hash Table, Recursion, Enumeration</t>
        </is>
      </c>
      <c r="G3026" s="1" t="inlineStr">
        <is>
          <t>Easy</t>
        </is>
      </c>
      <c r="H3026" s="1" t="n">
        <v>42328</v>
      </c>
      <c r="I3026" s="1" t="n">
        <v>61513</v>
      </c>
      <c r="J3026" s="9" t="n">
        <v>0.6879999999999999</v>
      </c>
      <c r="K3026" s="1" t="inlineStr">
        <is>
          <t>Yes</t>
        </is>
      </c>
      <c r="L3026" s="1" t="inlineStr">
        <is>
          <t>No</t>
        </is>
      </c>
      <c r="M3026" s="1" t="inlineStr">
        <is>
          <t>No</t>
        </is>
      </c>
      <c r="N3026" s="1" t="inlineStr">
        <is>
          <t>Algorithms</t>
        </is>
      </c>
      <c r="O30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27" ht="15.75" customHeight="1" s="12">
      <c r="A3027" s="1" t="n">
        <v>3629</v>
      </c>
      <c r="B3027" s="3">
        <f>HYPERLINK("https://leetcode.com/problems/minimum-jumps-to-reach-end-via-prime-teleportation/", "Minimum Jumps to Reach End via Prime Teleportation")</f>
        <v/>
      </c>
      <c r="C3027" s="1" t="n">
        <v>122</v>
      </c>
      <c r="D3027" s="1" t="n">
        <v>17</v>
      </c>
      <c r="E3027" s="4">
        <f>IF(INDEX(C:C, ROW())+INDEX(D:D, ROW())=0, 0, INDEX(C:C, ROW())/(INDEX(C:C, ROW())+INDEX(D:D, ROW())))</f>
        <v/>
      </c>
      <c r="F3027" s="1" t="inlineStr">
        <is>
          <t>Array, Hash Table, Math, Breadth-First Search, Number Theory</t>
        </is>
      </c>
      <c r="G3027" s="1" t="inlineStr">
        <is>
          <t>Medium</t>
        </is>
      </c>
      <c r="H3027" s="1" t="n">
        <v>22537</v>
      </c>
      <c r="I3027" s="1" t="n">
        <v>76059</v>
      </c>
      <c r="J3027" s="9" t="n">
        <v>0.296</v>
      </c>
      <c r="K3027" s="1" t="inlineStr">
        <is>
          <t>Yes</t>
        </is>
      </c>
      <c r="L3027" s="1" t="inlineStr">
        <is>
          <t>No</t>
        </is>
      </c>
      <c r="M3027" s="1" t="inlineStr">
        <is>
          <t>No</t>
        </is>
      </c>
      <c r="N3027" s="1" t="inlineStr">
        <is>
          <t>Algorithms</t>
        </is>
      </c>
      <c r="O30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28" ht="15.75" customHeight="1" s="12">
      <c r="A3028" s="1" t="n">
        <v>1085</v>
      </c>
      <c r="B3028" s="3">
        <f>HYPERLINK("https://leetcode.com/problems/sum-of-digits-in-the-minimum-number/", "Sum of Digits in the Minimum Number")</f>
        <v/>
      </c>
      <c r="C3028" s="1" t="n">
        <v>121</v>
      </c>
      <c r="D3028" s="1" t="n">
        <v>151</v>
      </c>
      <c r="E3028" s="4">
        <f>IF(INDEX(C:C, ROW())+INDEX(D:D, ROW())=0, 0, INDEX(C:C, ROW())/(INDEX(C:C, ROW())+INDEX(D:D, ROW())))</f>
        <v/>
      </c>
      <c r="F3028" s="1" t="inlineStr">
        <is>
          <t>Array, Math</t>
        </is>
      </c>
      <c r="G3028" s="1" t="inlineStr">
        <is>
          <t>Easy</t>
        </is>
      </c>
      <c r="H3028" s="1" t="n">
        <v>25902</v>
      </c>
      <c r="I3028" s="1" t="n">
        <v>33784</v>
      </c>
      <c r="J3028" s="9" t="n">
        <v>0.767</v>
      </c>
      <c r="K3028" s="1" t="inlineStr">
        <is>
          <t>No</t>
        </is>
      </c>
      <c r="L3028" s="1" t="inlineStr">
        <is>
          <t>No</t>
        </is>
      </c>
      <c r="M3028" s="1" t="inlineStr">
        <is>
          <t>No</t>
        </is>
      </c>
      <c r="N3028" s="1" t="inlineStr">
        <is>
          <t>Algorithms</t>
        </is>
      </c>
      <c r="O30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29" ht="15.75" customHeight="1" s="12">
      <c r="A3029" s="1" t="n">
        <v>1724</v>
      </c>
      <c r="B3029" s="3">
        <f>HYPERLINK("https://leetcode.com/problems/checking-existence-of-edge-length-limited-paths-ii/", "Checking Existence of Edge Length Limited Paths II")</f>
        <v/>
      </c>
      <c r="C3029" s="1" t="n">
        <v>121</v>
      </c>
      <c r="D3029" s="1" t="n">
        <v>10</v>
      </c>
      <c r="E3029" s="4">
        <f>IF(INDEX(C:C, ROW())+INDEX(D:D, ROW())=0, 0, INDEX(C:C, ROW())/(INDEX(C:C, ROW())+INDEX(D:D, ROW())))</f>
        <v/>
      </c>
      <c r="F3029" s="1" t="inlineStr">
        <is>
          <t>Depth-First Search, Union-Find, Graph Theory, Design, Sorting, Heap (Priority Queue), Minimum Spanning Tree</t>
        </is>
      </c>
      <c r="G3029" s="1" t="inlineStr">
        <is>
          <t>Hard</t>
        </is>
      </c>
      <c r="H3029" s="1" t="n">
        <v>4029</v>
      </c>
      <c r="I3029" s="1" t="n">
        <v>7773</v>
      </c>
      <c r="J3029" s="9" t="n">
        <v>0.518</v>
      </c>
      <c r="K3029" s="1" t="inlineStr">
        <is>
          <t>No</t>
        </is>
      </c>
      <c r="L3029" s="1" t="inlineStr">
        <is>
          <t>No</t>
        </is>
      </c>
      <c r="M3029" s="1" t="inlineStr">
        <is>
          <t>No</t>
        </is>
      </c>
      <c r="N3029" s="1" t="inlineStr">
        <is>
          <t>Algorithms</t>
        </is>
      </c>
      <c r="O30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30" ht="15.75" customHeight="1" s="12">
      <c r="A3030" s="1" t="n">
        <v>3034</v>
      </c>
      <c r="B3030" s="3">
        <f>HYPERLINK("https://leetcode.com/problems/number-of-subarrays-that-match-a-pattern-i/", "Number of Subarrays That Match a Pattern I")</f>
        <v/>
      </c>
      <c r="C3030" s="1" t="n">
        <v>121</v>
      </c>
      <c r="D3030" s="1" t="n">
        <v>18</v>
      </c>
      <c r="E3030" s="4">
        <f>IF(INDEX(C:C, ROW())+INDEX(D:D, ROW())=0, 0, INDEX(C:C, ROW())/(INDEX(C:C, ROW())+INDEX(D:D, ROW())))</f>
        <v/>
      </c>
      <c r="F3030" s="1" t="inlineStr">
        <is>
          <t>Array, Rolling Hash, String Matching, Hash Function</t>
        </is>
      </c>
      <c r="G3030" s="1" t="inlineStr">
        <is>
          <t>Medium</t>
        </is>
      </c>
      <c r="H3030" s="1" t="n">
        <v>34636</v>
      </c>
      <c r="I3030" s="1" t="n">
        <v>50802</v>
      </c>
      <c r="J3030" s="9" t="n">
        <v>0.6820000000000001</v>
      </c>
      <c r="K3030" s="1" t="inlineStr">
        <is>
          <t>Yes</t>
        </is>
      </c>
      <c r="L3030" s="1" t="inlineStr">
        <is>
          <t>No</t>
        </is>
      </c>
      <c r="M3030" s="1" t="inlineStr">
        <is>
          <t>No</t>
        </is>
      </c>
      <c r="N3030" s="1" t="inlineStr">
        <is>
          <t>Algorithms</t>
        </is>
      </c>
      <c r="O30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31" ht="15.75" customHeight="1" s="12">
      <c r="A3031" s="1" t="n">
        <v>3235</v>
      </c>
      <c r="B3031" s="3">
        <f>HYPERLINK("https://leetcode.com/problems/check-if-the-rectangle-corner-is-reachable/", "Check if the Rectangle Corner Is Reachable")</f>
        <v/>
      </c>
      <c r="C3031" s="1" t="n">
        <v>121</v>
      </c>
      <c r="D3031" s="1" t="n">
        <v>39</v>
      </c>
      <c r="E3031" s="4">
        <f>IF(INDEX(C:C, ROW())+INDEX(D:D, ROW())=0, 0, INDEX(C:C, ROW())/(INDEX(C:C, ROW())+INDEX(D:D, ROW())))</f>
        <v/>
      </c>
      <c r="F3031" s="1" t="inlineStr">
        <is>
          <t>Array, Math, Depth-First Search, Breadth-First Search, Union-Find, Geometry</t>
        </is>
      </c>
      <c r="G3031" s="1" t="inlineStr">
        <is>
          <t>Hard</t>
        </is>
      </c>
      <c r="H3031" s="1" t="n">
        <v>7797</v>
      </c>
      <c r="I3031" s="1" t="n">
        <v>30728</v>
      </c>
      <c r="J3031" s="9" t="n">
        <v>0.254</v>
      </c>
      <c r="K3031" s="1" t="inlineStr">
        <is>
          <t>Yes</t>
        </is>
      </c>
      <c r="L3031" s="1" t="inlineStr">
        <is>
          <t>No</t>
        </is>
      </c>
      <c r="M3031" s="1" t="inlineStr">
        <is>
          <t>No</t>
        </is>
      </c>
      <c r="N3031" s="1" t="inlineStr">
        <is>
          <t>Algorithms</t>
        </is>
      </c>
      <c r="O30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32" ht="15.75" customHeight="1" s="12">
      <c r="A3032" s="1" t="n">
        <v>3297</v>
      </c>
      <c r="B3032" s="3">
        <f>HYPERLINK("https://leetcode.com/problems/count-substrings-that-can-be-rearranged-to-contain-a-string-i/", "Count Substrings That Can Be Rearranged to Contain a String I")</f>
        <v/>
      </c>
      <c r="C3032" s="1" t="n">
        <v>121</v>
      </c>
      <c r="D3032" s="1" t="n">
        <v>26</v>
      </c>
      <c r="E3032" s="4">
        <f>IF(INDEX(C:C, ROW())+INDEX(D:D, ROW())=0, 0, INDEX(C:C, ROW())/(INDEX(C:C, ROW())+INDEX(D:D, ROW())))</f>
        <v/>
      </c>
      <c r="F3032" s="1" t="inlineStr">
        <is>
          <t>Hash Table, String, Sliding Window</t>
        </is>
      </c>
      <c r="G3032" s="1" t="inlineStr">
        <is>
          <t>Medium</t>
        </is>
      </c>
      <c r="H3032" s="1" t="n">
        <v>19013</v>
      </c>
      <c r="I3032" s="1" t="n">
        <v>44756</v>
      </c>
      <c r="J3032" s="9" t="n">
        <v>0.425</v>
      </c>
      <c r="K3032" s="1" t="inlineStr">
        <is>
          <t>Yes</t>
        </is>
      </c>
      <c r="L3032" s="1" t="inlineStr">
        <is>
          <t>No</t>
        </is>
      </c>
      <c r="M3032" s="1" t="inlineStr">
        <is>
          <t>No</t>
        </is>
      </c>
      <c r="N3032" s="1" t="inlineStr">
        <is>
          <t>Algorithms</t>
        </is>
      </c>
      <c r="O30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33" ht="15.75" customHeight="1" s="12">
      <c r="A3033" s="1" t="n">
        <v>3412</v>
      </c>
      <c r="B3033" s="3">
        <f>HYPERLINK("https://leetcode.com/problems/find-mirror-score-of-a-string/", "Find Mirror Score of a String")</f>
        <v/>
      </c>
      <c r="C3033" s="1" t="n">
        <v>121</v>
      </c>
      <c r="D3033" s="1" t="n">
        <v>8</v>
      </c>
      <c r="E3033" s="4">
        <f>IF(INDEX(C:C, ROW())+INDEX(D:D, ROW())=0, 0, INDEX(C:C, ROW())/(INDEX(C:C, ROW())+INDEX(D:D, ROW())))</f>
        <v/>
      </c>
      <c r="F3033" s="1" t="inlineStr">
        <is>
          <t>Hash Table, String, Stack, Simulation</t>
        </is>
      </c>
      <c r="G3033" s="1" t="inlineStr">
        <is>
          <t>Medium</t>
        </is>
      </c>
      <c r="H3033" s="1" t="n">
        <v>24199</v>
      </c>
      <c r="I3033" s="1" t="n">
        <v>68926</v>
      </c>
      <c r="J3033" s="9" t="n">
        <v>0.351</v>
      </c>
      <c r="K3033" s="1" t="inlineStr">
        <is>
          <t>Yes</t>
        </is>
      </c>
      <c r="L3033" s="1" t="inlineStr">
        <is>
          <t>No</t>
        </is>
      </c>
      <c r="M3033" s="1" t="inlineStr">
        <is>
          <t>No</t>
        </is>
      </c>
      <c r="N3033" s="1" t="inlineStr">
        <is>
          <t>Algorithms</t>
        </is>
      </c>
      <c r="O30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34" ht="15.75" customHeight="1" s="12">
      <c r="A3034" s="1" t="n">
        <v>3507</v>
      </c>
      <c r="B3034" s="3">
        <f>HYPERLINK("https://leetcode.com/problems/minimum-pair-removal-to-sort-array-i/", "Minimum Pair Removal to Sort Array I")</f>
        <v/>
      </c>
      <c r="C3034" s="1" t="n">
        <v>121</v>
      </c>
      <c r="D3034" s="1" t="n">
        <v>32</v>
      </c>
      <c r="E3034" s="4">
        <f>IF(INDEX(C:C, ROW())+INDEX(D:D, ROW())=0, 0, INDEX(C:C, ROW())/(INDEX(C:C, ROW())+INDEX(D:D, ROW())))</f>
        <v/>
      </c>
      <c r="F3034" s="1" t="inlineStr">
        <is>
          <t>Array, Hash Table, Linked List, Heap (Priority Queue), Simulation, Doubly-Linked List, Ordered Set</t>
        </is>
      </c>
      <c r="G3034" s="1" t="inlineStr">
        <is>
          <t>Easy</t>
        </is>
      </c>
      <c r="H3034" s="1" t="n">
        <v>41438</v>
      </c>
      <c r="I3034" s="1" t="n">
        <v>74672</v>
      </c>
      <c r="J3034" s="9" t="n">
        <v>0.555</v>
      </c>
      <c r="K3034" s="1" t="inlineStr">
        <is>
          <t>Yes</t>
        </is>
      </c>
      <c r="L3034" s="1" t="inlineStr">
        <is>
          <t>No</t>
        </is>
      </c>
      <c r="M3034" s="1" t="inlineStr">
        <is>
          <t>No</t>
        </is>
      </c>
      <c r="N3034" s="1" t="inlineStr">
        <is>
          <t>Algorithms</t>
        </is>
      </c>
      <c r="O30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35" ht="15.75" customHeight="1" s="12">
      <c r="A3035" s="1" t="n">
        <v>3608</v>
      </c>
      <c r="B3035" s="3">
        <f>HYPERLINK("https://leetcode.com/problems/minimum-time-for-k-connected-components/", "Minimum Time for K Connected Components")</f>
        <v/>
      </c>
      <c r="C3035" s="1" t="n">
        <v>121</v>
      </c>
      <c r="D3035" s="1" t="n">
        <v>6</v>
      </c>
      <c r="E3035" s="4">
        <f>IF(INDEX(C:C, ROW())+INDEX(D:D, ROW())=0, 0, INDEX(C:C, ROW())/(INDEX(C:C, ROW())+INDEX(D:D, ROW())))</f>
        <v/>
      </c>
      <c r="F3035" s="1" t="inlineStr">
        <is>
          <t>Binary Search, Union-Find, Graph Theory, Sorting</t>
        </is>
      </c>
      <c r="G3035" s="1" t="inlineStr">
        <is>
          <t>Medium</t>
        </is>
      </c>
      <c r="H3035" s="1" t="n">
        <v>16666</v>
      </c>
      <c r="I3035" s="1" t="n">
        <v>36966</v>
      </c>
      <c r="J3035" s="9" t="n">
        <v>0.451</v>
      </c>
      <c r="K3035" s="1" t="inlineStr">
        <is>
          <t>Yes</t>
        </is>
      </c>
      <c r="L3035" s="1" t="inlineStr">
        <is>
          <t>No</t>
        </is>
      </c>
      <c r="M3035" s="1" t="inlineStr">
        <is>
          <t>No</t>
        </is>
      </c>
      <c r="N3035" s="1" t="inlineStr">
        <is>
          <t>Algorithms</t>
        </is>
      </c>
      <c r="O30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36" ht="15.75" customHeight="1" s="12">
      <c r="A3036" s="1" t="n">
        <v>2879</v>
      </c>
      <c r="B3036" s="3">
        <f>HYPERLINK("https://leetcode.com/problems/display-the-first-three-rows/", "Display the First Three Rows")</f>
        <v/>
      </c>
      <c r="C3036" s="1" t="n">
        <v>120</v>
      </c>
      <c r="D3036" s="1" t="n">
        <v>24</v>
      </c>
      <c r="E3036" s="4">
        <f>IF(INDEX(C:C, ROW())+INDEX(D:D, ROW())=0, 0, INDEX(C:C, ROW())/(INDEX(C:C, ROW())+INDEX(D:D, ROW())))</f>
        <v/>
      </c>
      <c r="F3036" s="2" t="n"/>
      <c r="G3036" s="1" t="inlineStr">
        <is>
          <t>Easy</t>
        </is>
      </c>
      <c r="H3036" s="1" t="n">
        <v>200176</v>
      </c>
      <c r="I3036" s="1" t="n">
        <v>215070</v>
      </c>
      <c r="J3036" s="9" t="n">
        <v>0.931</v>
      </c>
      <c r="K3036" s="1" t="inlineStr">
        <is>
          <t>Yes</t>
        </is>
      </c>
      <c r="L3036" s="1" t="inlineStr">
        <is>
          <t>Yes</t>
        </is>
      </c>
      <c r="M3036" s="1" t="inlineStr">
        <is>
          <t>No</t>
        </is>
      </c>
      <c r="N3036" s="1" t="inlineStr">
        <is>
          <t>pandas</t>
        </is>
      </c>
      <c r="O30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37" ht="15.75" customHeight="1" s="12">
      <c r="A3037" s="1" t="n">
        <v>3179</v>
      </c>
      <c r="B3037" s="3">
        <f>HYPERLINK("https://leetcode.com/problems/find-the-n-th-value-after-k-seconds/", "Find the N-th Value After K Seconds")</f>
        <v/>
      </c>
      <c r="C3037" s="1" t="n">
        <v>120</v>
      </c>
      <c r="D3037" s="1" t="n">
        <v>21</v>
      </c>
      <c r="E3037" s="4">
        <f>IF(INDEX(C:C, ROW())+INDEX(D:D, ROW())=0, 0, INDEX(C:C, ROW())/(INDEX(C:C, ROW())+INDEX(D:D, ROW())))</f>
        <v/>
      </c>
      <c r="F3037" s="1" t="inlineStr">
        <is>
          <t>Array, Math, Simulation, Combinatorics, Prefix Sum</t>
        </is>
      </c>
      <c r="G3037" s="1" t="inlineStr">
        <is>
          <t>Medium</t>
        </is>
      </c>
      <c r="H3037" s="1" t="n">
        <v>44316</v>
      </c>
      <c r="I3037" s="1" t="n">
        <v>82426</v>
      </c>
      <c r="J3037" s="9" t="n">
        <v>0.538</v>
      </c>
      <c r="K3037" s="1" t="inlineStr">
        <is>
          <t>Yes</t>
        </is>
      </c>
      <c r="L3037" s="1" t="inlineStr">
        <is>
          <t>No</t>
        </is>
      </c>
      <c r="M3037" s="1" t="inlineStr">
        <is>
          <t>No</t>
        </is>
      </c>
      <c r="N3037" s="1" t="inlineStr">
        <is>
          <t>Algorithms</t>
        </is>
      </c>
      <c r="O30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38" ht="15.75" customHeight="1" s="12">
      <c r="A3038" s="1" t="n">
        <v>2004</v>
      </c>
      <c r="B3038" s="3">
        <f>HYPERLINK("https://leetcode.com/problems/the-number-of-seniors-and-juniors-to-join-the-company/", "The Number of Seniors and Juniors to Join the Company")</f>
        <v/>
      </c>
      <c r="C3038" s="1" t="n">
        <v>119</v>
      </c>
      <c r="D3038" s="1" t="n">
        <v>15</v>
      </c>
      <c r="E3038" s="4">
        <f>IF(INDEX(C:C, ROW())+INDEX(D:D, ROW())=0, 0, INDEX(C:C, ROW())/(INDEX(C:C, ROW())+INDEX(D:D, ROW())))</f>
        <v/>
      </c>
      <c r="F3038" s="1" t="inlineStr">
        <is>
          <t>Database</t>
        </is>
      </c>
      <c r="G3038" s="1" t="inlineStr">
        <is>
          <t>Hard</t>
        </is>
      </c>
      <c r="H3038" s="1" t="n">
        <v>10618</v>
      </c>
      <c r="I3038" s="1" t="n">
        <v>23163</v>
      </c>
      <c r="J3038" s="9" t="n">
        <v>0.458</v>
      </c>
      <c r="K3038" s="1" t="inlineStr">
        <is>
          <t>No</t>
        </is>
      </c>
      <c r="L3038" s="1" t="inlineStr">
        <is>
          <t>Yes</t>
        </is>
      </c>
      <c r="M3038" s="1" t="inlineStr">
        <is>
          <t>No</t>
        </is>
      </c>
      <c r="N3038" s="1" t="inlineStr">
        <is>
          <t>Database</t>
        </is>
      </c>
      <c r="O30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39" ht="15.75" customHeight="1" s="12">
      <c r="A3039" s="1" t="n">
        <v>1113</v>
      </c>
      <c r="B3039" s="3">
        <f>HYPERLINK("https://leetcode.com/problems/reported-posts/", "Reported Posts")</f>
        <v/>
      </c>
      <c r="C3039" s="1" t="n">
        <v>118</v>
      </c>
      <c r="D3039" s="1" t="n">
        <v>420</v>
      </c>
      <c r="E3039" s="4">
        <f>IF(INDEX(C:C, ROW())+INDEX(D:D, ROW())=0, 0, INDEX(C:C, ROW())/(INDEX(C:C, ROW())+INDEX(D:D, ROW())))</f>
        <v/>
      </c>
      <c r="F3039" s="1" t="inlineStr">
        <is>
          <t>Database</t>
        </is>
      </c>
      <c r="G3039" s="1" t="inlineStr">
        <is>
          <t>Easy</t>
        </is>
      </c>
      <c r="H3039" s="1" t="n">
        <v>53423</v>
      </c>
      <c r="I3039" s="1" t="n">
        <v>82351</v>
      </c>
      <c r="J3039" s="9" t="n">
        <v>0.649</v>
      </c>
      <c r="K3039" s="1" t="inlineStr">
        <is>
          <t>No</t>
        </is>
      </c>
      <c r="L3039" s="1" t="inlineStr">
        <is>
          <t>Yes</t>
        </is>
      </c>
      <c r="M3039" s="1" t="inlineStr">
        <is>
          <t>No</t>
        </is>
      </c>
      <c r="N3039" s="1" t="inlineStr">
        <is>
          <t>Database</t>
        </is>
      </c>
      <c r="O30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40" ht="15.75" customHeight="1" s="12">
      <c r="A3040" s="1" t="n">
        <v>1635</v>
      </c>
      <c r="B3040" s="3">
        <f>HYPERLINK("https://leetcode.com/problems/hopper-company-queries-i/", "Hopper Company Queries I")</f>
        <v/>
      </c>
      <c r="C3040" s="1" t="n">
        <v>118</v>
      </c>
      <c r="D3040" s="1" t="n">
        <v>36</v>
      </c>
      <c r="E3040" s="4">
        <f>IF(INDEX(C:C, ROW())+INDEX(D:D, ROW())=0, 0, INDEX(C:C, ROW())/(INDEX(C:C, ROW())+INDEX(D:D, ROW())))</f>
        <v/>
      </c>
      <c r="F3040" s="1" t="inlineStr">
        <is>
          <t>Database</t>
        </is>
      </c>
      <c r="G3040" s="1" t="inlineStr">
        <is>
          <t>Hard</t>
        </is>
      </c>
      <c r="H3040" s="1" t="n">
        <v>10921</v>
      </c>
      <c r="I3040" s="1" t="n">
        <v>22552</v>
      </c>
      <c r="J3040" s="9" t="n">
        <v>0.484</v>
      </c>
      <c r="K3040" s="1" t="inlineStr">
        <is>
          <t>No</t>
        </is>
      </c>
      <c r="L3040" s="1" t="inlineStr">
        <is>
          <t>Yes</t>
        </is>
      </c>
      <c r="M3040" s="1" t="inlineStr">
        <is>
          <t>No</t>
        </is>
      </c>
      <c r="N3040" s="1" t="inlineStr">
        <is>
          <t>Database</t>
        </is>
      </c>
      <c r="O30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41" ht="15.75" customHeight="1" s="12">
      <c r="A3041" s="1" t="n">
        <v>3010</v>
      </c>
      <c r="B3041" s="3">
        <f>HYPERLINK("https://leetcode.com/problems/divide-an-array-into-subarrays-with-minimum-cost-i/", "Divide an Array Into Subarrays With Minimum Cost I")</f>
        <v/>
      </c>
      <c r="C3041" s="1" t="n">
        <v>118</v>
      </c>
      <c r="D3041" s="1" t="n">
        <v>12</v>
      </c>
      <c r="E3041" s="4">
        <f>IF(INDEX(C:C, ROW())+INDEX(D:D, ROW())=0, 0, INDEX(C:C, ROW())/(INDEX(C:C, ROW())+INDEX(D:D, ROW())))</f>
        <v/>
      </c>
      <c r="F3041" s="1" t="inlineStr">
        <is>
          <t>Array, Sorting, Enumeration</t>
        </is>
      </c>
      <c r="G3041" s="1" t="inlineStr">
        <is>
          <t>Easy</t>
        </is>
      </c>
      <c r="H3041" s="1" t="n">
        <v>42045</v>
      </c>
      <c r="I3041" s="1" t="n">
        <v>63030</v>
      </c>
      <c r="J3041" s="9" t="n">
        <v>0.667</v>
      </c>
      <c r="K3041" s="1" t="inlineStr">
        <is>
          <t>Yes</t>
        </is>
      </c>
      <c r="L3041" s="1" t="inlineStr">
        <is>
          <t>No</t>
        </is>
      </c>
      <c r="M3041" s="1" t="inlineStr">
        <is>
          <t>No</t>
        </is>
      </c>
      <c r="N3041" s="1" t="inlineStr">
        <is>
          <t>Algorithms</t>
        </is>
      </c>
      <c r="O30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42" ht="15.75" customHeight="1" s="12">
      <c r="A3042" s="1" t="n">
        <v>3069</v>
      </c>
      <c r="B3042" s="3">
        <f>HYPERLINK("https://leetcode.com/problems/distribute-elements-into-two-arrays-i/", "Distribute Elements Into Two Arrays I")</f>
        <v/>
      </c>
      <c r="C3042" s="1" t="n">
        <v>118</v>
      </c>
      <c r="D3042" s="1" t="n">
        <v>29</v>
      </c>
      <c r="E3042" s="4">
        <f>IF(INDEX(C:C, ROW())+INDEX(D:D, ROW())=0, 0, INDEX(C:C, ROW())/(INDEX(C:C, ROW())+INDEX(D:D, ROW())))</f>
        <v/>
      </c>
      <c r="F3042" s="1" t="inlineStr">
        <is>
          <t>Array, Simulation</t>
        </is>
      </c>
      <c r="G3042" s="1" t="inlineStr">
        <is>
          <t>Easy</t>
        </is>
      </c>
      <c r="H3042" s="1" t="n">
        <v>57150</v>
      </c>
      <c r="I3042" s="1" t="n">
        <v>77575</v>
      </c>
      <c r="J3042" s="9" t="n">
        <v>0.737</v>
      </c>
      <c r="K3042" s="1" t="inlineStr">
        <is>
          <t>Yes</t>
        </is>
      </c>
      <c r="L3042" s="1" t="inlineStr">
        <is>
          <t>No</t>
        </is>
      </c>
      <c r="M3042" s="1" t="inlineStr">
        <is>
          <t>No</t>
        </is>
      </c>
      <c r="N3042" s="1" t="inlineStr">
        <is>
          <t>Algorithms</t>
        </is>
      </c>
      <c r="O30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43" ht="15.75" customHeight="1" s="12">
      <c r="A3043" s="1" t="n">
        <v>3429</v>
      </c>
      <c r="B3043" s="3">
        <f>HYPERLINK("https://leetcode.com/problems/paint-house-iv/", "Paint House IV")</f>
        <v/>
      </c>
      <c r="C3043" s="1" t="n">
        <v>118</v>
      </c>
      <c r="D3043" s="1" t="n">
        <v>10</v>
      </c>
      <c r="E3043" s="4">
        <f>IF(INDEX(C:C, ROW())+INDEX(D:D, ROW())=0, 0, INDEX(C:C, ROW())/(INDEX(C:C, ROW())+INDEX(D:D, ROW())))</f>
        <v/>
      </c>
      <c r="F3043" s="1" t="inlineStr">
        <is>
          <t>Array, Dynamic Programming</t>
        </is>
      </c>
      <c r="G3043" s="1" t="inlineStr">
        <is>
          <t>Medium</t>
        </is>
      </c>
      <c r="H3043" s="1" t="n">
        <v>10478</v>
      </c>
      <c r="I3043" s="1" t="n">
        <v>23358</v>
      </c>
      <c r="J3043" s="9" t="n">
        <v>0.449</v>
      </c>
      <c r="K3043" s="1" t="inlineStr">
        <is>
          <t>Yes</t>
        </is>
      </c>
      <c r="L3043" s="1" t="inlineStr">
        <is>
          <t>No</t>
        </is>
      </c>
      <c r="M3043" s="1" t="inlineStr">
        <is>
          <t>No</t>
        </is>
      </c>
      <c r="N3043" s="1" t="inlineStr">
        <is>
          <t>Algorithms</t>
        </is>
      </c>
      <c r="O30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44" ht="15.75" customHeight="1" s="12">
      <c r="A3044" s="1" t="n">
        <v>2473</v>
      </c>
      <c r="B3044" s="3">
        <f>HYPERLINK("https://leetcode.com/problems/minimum-cost-to-buy-apples/", "Minimum Cost to Buy Apples")</f>
        <v/>
      </c>
      <c r="C3044" s="1" t="n">
        <v>117</v>
      </c>
      <c r="D3044" s="1" t="n">
        <v>27</v>
      </c>
      <c r="E3044" s="4">
        <f>IF(INDEX(C:C, ROW())+INDEX(D:D, ROW())=0, 0, INDEX(C:C, ROW())/(INDEX(C:C, ROW())+INDEX(D:D, ROW())))</f>
        <v/>
      </c>
      <c r="F3044" s="1" t="inlineStr">
        <is>
          <t>Array, Graph Theory, Heap (Priority Queue), Shortest Path</t>
        </is>
      </c>
      <c r="G3044" s="1" t="inlineStr">
        <is>
          <t>Medium</t>
        </is>
      </c>
      <c r="H3044" s="1" t="n">
        <v>7237</v>
      </c>
      <c r="I3044" s="1" t="n">
        <v>10758</v>
      </c>
      <c r="J3044" s="9" t="n">
        <v>0.673</v>
      </c>
      <c r="K3044" s="1" t="inlineStr">
        <is>
          <t>No</t>
        </is>
      </c>
      <c r="L3044" s="1" t="inlineStr">
        <is>
          <t>Yes</t>
        </is>
      </c>
      <c r="M3044" s="1" t="inlineStr">
        <is>
          <t>No</t>
        </is>
      </c>
      <c r="N3044" s="1" t="inlineStr">
        <is>
          <t>Algorithms</t>
        </is>
      </c>
      <c r="O30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45" ht="15.75" customHeight="1" s="12">
      <c r="A3045" s="1" t="n">
        <v>2931</v>
      </c>
      <c r="B3045" s="3">
        <f>HYPERLINK("https://leetcode.com/problems/maximum-spending-after-buying-items/", "Maximum Spending After Buying Items")</f>
        <v/>
      </c>
      <c r="C3045" s="1" t="n">
        <v>117</v>
      </c>
      <c r="D3045" s="1" t="n">
        <v>36</v>
      </c>
      <c r="E3045" s="4">
        <f>IF(INDEX(C:C, ROW())+INDEX(D:D, ROW())=0, 0, INDEX(C:C, ROW())/(INDEX(C:C, ROW())+INDEX(D:D, ROW())))</f>
        <v/>
      </c>
      <c r="F3045" s="1" t="inlineStr">
        <is>
          <t>Array, Greedy, Sorting, Heap (Priority Queue), Matrix</t>
        </is>
      </c>
      <c r="G3045" s="1" t="inlineStr">
        <is>
          <t>Hard</t>
        </is>
      </c>
      <c r="H3045" s="1" t="n">
        <v>15227</v>
      </c>
      <c r="I3045" s="1" t="n">
        <v>24911</v>
      </c>
      <c r="J3045" s="9" t="n">
        <v>0.611</v>
      </c>
      <c r="K3045" s="1" t="inlineStr">
        <is>
          <t>Yes</t>
        </is>
      </c>
      <c r="L3045" s="1" t="inlineStr">
        <is>
          <t>No</t>
        </is>
      </c>
      <c r="M3045" s="1" t="inlineStr">
        <is>
          <t>No</t>
        </is>
      </c>
      <c r="N3045" s="1" t="inlineStr">
        <is>
          <t>Algorithms</t>
        </is>
      </c>
      <c r="O30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46" ht="15.75" customHeight="1" s="12">
      <c r="A3046" s="1" t="n">
        <v>3114</v>
      </c>
      <c r="B3046" s="3">
        <f>HYPERLINK("https://leetcode.com/problems/latest-time-you-can-obtain-after-replacing-characters/", "Latest Time You Can Obtain After Replacing Characters")</f>
        <v/>
      </c>
      <c r="C3046" s="1" t="n">
        <v>117</v>
      </c>
      <c r="D3046" s="1" t="n">
        <v>50</v>
      </c>
      <c r="E3046" s="4">
        <f>IF(INDEX(C:C, ROW())+INDEX(D:D, ROW())=0, 0, INDEX(C:C, ROW())/(INDEX(C:C, ROW())+INDEX(D:D, ROW())))</f>
        <v/>
      </c>
      <c r="F3046" s="1" t="inlineStr">
        <is>
          <t>String, Enumeration</t>
        </is>
      </c>
      <c r="G3046" s="1" t="inlineStr">
        <is>
          <t>Easy</t>
        </is>
      </c>
      <c r="H3046" s="1" t="n">
        <v>40443</v>
      </c>
      <c r="I3046" s="1" t="n">
        <v>115545</v>
      </c>
      <c r="J3046" s="9" t="n">
        <v>0.35</v>
      </c>
      <c r="K3046" s="1" t="inlineStr">
        <is>
          <t>Yes</t>
        </is>
      </c>
      <c r="L3046" s="1" t="inlineStr">
        <is>
          <t>No</t>
        </is>
      </c>
      <c r="M3046" s="1" t="inlineStr">
        <is>
          <t>No</t>
        </is>
      </c>
      <c r="N3046" s="1" t="inlineStr">
        <is>
          <t>Algorithms</t>
        </is>
      </c>
      <c r="O30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47" ht="15.75" customHeight="1" s="12">
      <c r="A3047" s="1" t="n">
        <v>3472</v>
      </c>
      <c r="B3047" s="3">
        <f>HYPERLINK("https://leetcode.com/problems/longest-palindromic-subsequence-after-at-most-k-operations/", "Longest Palindromic Subsequence After at Most K Operations")</f>
        <v/>
      </c>
      <c r="C3047" s="1" t="n">
        <v>117</v>
      </c>
      <c r="D3047" s="1" t="n">
        <v>18</v>
      </c>
      <c r="E3047" s="4">
        <f>IF(INDEX(C:C, ROW())+INDEX(D:D, ROW())=0, 0, INDEX(C:C, ROW())/(INDEX(C:C, ROW())+INDEX(D:D, ROW())))</f>
        <v/>
      </c>
      <c r="F3047" s="1" t="inlineStr">
        <is>
          <t>String, Dynamic Programming</t>
        </is>
      </c>
      <c r="G3047" s="1" t="inlineStr">
        <is>
          <t>Medium</t>
        </is>
      </c>
      <c r="H3047" s="1" t="n">
        <v>14886</v>
      </c>
      <c r="I3047" s="1" t="n">
        <v>39944</v>
      </c>
      <c r="J3047" s="9" t="n">
        <v>0.373</v>
      </c>
      <c r="K3047" s="1" t="inlineStr">
        <is>
          <t>Yes</t>
        </is>
      </c>
      <c r="L3047" s="1" t="inlineStr">
        <is>
          <t>No</t>
        </is>
      </c>
      <c r="M3047" s="1" t="inlineStr">
        <is>
          <t>No</t>
        </is>
      </c>
      <c r="N3047" s="1" t="inlineStr">
        <is>
          <t>Algorithms</t>
        </is>
      </c>
      <c r="O30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48" ht="15.75" customHeight="1" s="12">
      <c r="A3048" s="1" t="n">
        <v>3639</v>
      </c>
      <c r="B3048" s="3">
        <f>HYPERLINK("https://leetcode.com/problems/minimum-time-to-activate-string/", "Minimum Time to Activate String")</f>
        <v/>
      </c>
      <c r="C3048" s="1" t="n">
        <v>117</v>
      </c>
      <c r="D3048" s="1" t="n">
        <v>6</v>
      </c>
      <c r="E3048" s="4">
        <f>IF(INDEX(C:C, ROW())+INDEX(D:D, ROW())=0, 0, INDEX(C:C, ROW())/(INDEX(C:C, ROW())+INDEX(D:D, ROW())))</f>
        <v/>
      </c>
      <c r="F3048" s="1" t="inlineStr">
        <is>
          <t>Array, Binary Search</t>
        </is>
      </c>
      <c r="G3048" s="1" t="inlineStr">
        <is>
          <t>Medium</t>
        </is>
      </c>
      <c r="H3048" s="1" t="n">
        <v>31048</v>
      </c>
      <c r="I3048" s="1" t="n">
        <v>65228</v>
      </c>
      <c r="J3048" s="9" t="n">
        <v>0.476</v>
      </c>
      <c r="K3048" s="1" t="inlineStr">
        <is>
          <t>Yes</t>
        </is>
      </c>
      <c r="L3048" s="1" t="inlineStr">
        <is>
          <t>No</t>
        </is>
      </c>
      <c r="M3048" s="1" t="inlineStr">
        <is>
          <t>No</t>
        </is>
      </c>
      <c r="N3048" s="1" t="inlineStr">
        <is>
          <t>Algorithms</t>
        </is>
      </c>
      <c r="O30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49" ht="15.75" customHeight="1" s="12">
      <c r="A3049" s="1" t="n">
        <v>2107</v>
      </c>
      <c r="B3049" s="3">
        <f>HYPERLINK("https://leetcode.com/problems/number-of-unique-flavors-after-sharing-k-candies/", "Number of Unique Flavors After Sharing K Candies")</f>
        <v/>
      </c>
      <c r="C3049" s="1" t="n">
        <v>116</v>
      </c>
      <c r="D3049" s="1" t="n">
        <v>7</v>
      </c>
      <c r="E3049" s="4">
        <f>IF(INDEX(C:C, ROW())+INDEX(D:D, ROW())=0, 0, INDEX(C:C, ROW())/(INDEX(C:C, ROW())+INDEX(D:D, ROW())))</f>
        <v/>
      </c>
      <c r="F3049" s="1" t="inlineStr">
        <is>
          <t>Array, Hash Table, Sliding Window</t>
        </is>
      </c>
      <c r="G3049" s="1" t="inlineStr">
        <is>
          <t>Medium</t>
        </is>
      </c>
      <c r="H3049" s="1" t="n">
        <v>9445</v>
      </c>
      <c r="I3049" s="1" t="n">
        <v>15615</v>
      </c>
      <c r="J3049" s="9" t="n">
        <v>0.605</v>
      </c>
      <c r="K3049" s="1" t="inlineStr">
        <is>
          <t>No</t>
        </is>
      </c>
      <c r="L3049" s="1" t="inlineStr">
        <is>
          <t>Yes</t>
        </is>
      </c>
      <c r="M3049" s="1" t="inlineStr">
        <is>
          <t>No</t>
        </is>
      </c>
      <c r="N3049" s="1" t="inlineStr">
        <is>
          <t>Algorithms</t>
        </is>
      </c>
      <c r="O30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50" ht="15.75" customHeight="1" s="12">
      <c r="A3050" s="1" t="n">
        <v>2137</v>
      </c>
      <c r="B3050" s="3">
        <f>HYPERLINK("https://leetcode.com/problems/pour-water-between-buckets-to-make-water-levels-equal/", "Pour Water Between Buckets to Make Water Levels Equal")</f>
        <v/>
      </c>
      <c r="C3050" s="1" t="n">
        <v>116</v>
      </c>
      <c r="D3050" s="1" t="n">
        <v>10</v>
      </c>
      <c r="E3050" s="4">
        <f>IF(INDEX(C:C, ROW())+INDEX(D:D, ROW())=0, 0, INDEX(C:C, ROW())/(INDEX(C:C, ROW())+INDEX(D:D, ROW())))</f>
        <v/>
      </c>
      <c r="F3050" s="1" t="inlineStr">
        <is>
          <t>Array, Binary Search</t>
        </is>
      </c>
      <c r="G3050" s="1" t="inlineStr">
        <is>
          <t>Medium</t>
        </is>
      </c>
      <c r="H3050" s="1" t="n">
        <v>3675</v>
      </c>
      <c r="I3050" s="1" t="n">
        <v>5413</v>
      </c>
      <c r="J3050" s="9" t="n">
        <v>0.679</v>
      </c>
      <c r="K3050" s="1" t="inlineStr">
        <is>
          <t>No</t>
        </is>
      </c>
      <c r="L3050" s="1" t="inlineStr">
        <is>
          <t>No</t>
        </is>
      </c>
      <c r="M3050" s="1" t="inlineStr">
        <is>
          <t>No</t>
        </is>
      </c>
      <c r="N3050" s="1" t="inlineStr">
        <is>
          <t>Algorithms</t>
        </is>
      </c>
      <c r="O30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51" ht="15.75" customHeight="1" s="12">
      <c r="A3051" s="1" t="n">
        <v>2142</v>
      </c>
      <c r="B3051" s="3">
        <f>HYPERLINK("https://leetcode.com/problems/the-number-of-passengers-in-each-bus-i/", "The Number of Passengers in Each Bus I")</f>
        <v/>
      </c>
      <c r="C3051" s="1" t="n">
        <v>116</v>
      </c>
      <c r="D3051" s="1" t="n">
        <v>12</v>
      </c>
      <c r="E3051" s="4">
        <f>IF(INDEX(C:C, ROW())+INDEX(D:D, ROW())=0, 0, INDEX(C:C, ROW())/(INDEX(C:C, ROW())+INDEX(D:D, ROW())))</f>
        <v/>
      </c>
      <c r="F3051" s="1" t="inlineStr">
        <is>
          <t>Database</t>
        </is>
      </c>
      <c r="G3051" s="1" t="inlineStr">
        <is>
          <t>Medium</t>
        </is>
      </c>
      <c r="H3051" s="1" t="n">
        <v>11748</v>
      </c>
      <c r="I3051" s="1" t="n">
        <v>23968</v>
      </c>
      <c r="J3051" s="9" t="n">
        <v>0.49</v>
      </c>
      <c r="K3051" s="1" t="inlineStr">
        <is>
          <t>No</t>
        </is>
      </c>
      <c r="L3051" s="1" t="inlineStr">
        <is>
          <t>No</t>
        </is>
      </c>
      <c r="M3051" s="1" t="inlineStr">
        <is>
          <t>No</t>
        </is>
      </c>
      <c r="N3051" s="1" t="inlineStr">
        <is>
          <t>Database</t>
        </is>
      </c>
      <c r="O30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52" ht="15.75" customHeight="1" s="12">
      <c r="A3052" s="1" t="n">
        <v>3488</v>
      </c>
      <c r="B3052" s="3">
        <f>HYPERLINK("https://leetcode.com/problems/closest-equal-element-queries/", "Closest Equal Element Queries")</f>
        <v/>
      </c>
      <c r="C3052" s="1" t="n">
        <v>116</v>
      </c>
      <c r="D3052" s="1" t="n">
        <v>9</v>
      </c>
      <c r="E3052" s="4">
        <f>IF(INDEX(C:C, ROW())+INDEX(D:D, ROW())=0, 0, INDEX(C:C, ROW())/(INDEX(C:C, ROW())+INDEX(D:D, ROW())))</f>
        <v/>
      </c>
      <c r="F3052" s="1" t="inlineStr">
        <is>
          <t>Array, Hash Table, Binary Search</t>
        </is>
      </c>
      <c r="G3052" s="1" t="inlineStr">
        <is>
          <t>Medium</t>
        </is>
      </c>
      <c r="H3052" s="1" t="n">
        <v>21061</v>
      </c>
      <c r="I3052" s="1" t="n">
        <v>64803</v>
      </c>
      <c r="J3052" s="9" t="n">
        <v>0.325</v>
      </c>
      <c r="K3052" s="1" t="inlineStr">
        <is>
          <t>Yes</t>
        </is>
      </c>
      <c r="L3052" s="1" t="inlineStr">
        <is>
          <t>No</t>
        </is>
      </c>
      <c r="M3052" s="1" t="inlineStr">
        <is>
          <t>No</t>
        </is>
      </c>
      <c r="N3052" s="1" t="inlineStr">
        <is>
          <t>Algorithms</t>
        </is>
      </c>
      <c r="O30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53" ht="15.75" customHeight="1" s="12">
      <c r="A3053" s="1" t="n">
        <v>3669</v>
      </c>
      <c r="B3053" s="3">
        <f>HYPERLINK("https://leetcode.com/problems/balanced-k-factor-decomposition/", "Balanced K-Factor Decomposition")</f>
        <v/>
      </c>
      <c r="C3053" s="1" t="n">
        <v>115</v>
      </c>
      <c r="D3053" s="1" t="n">
        <v>11</v>
      </c>
      <c r="E3053" s="4">
        <f>IF(INDEX(C:C, ROW())+INDEX(D:D, ROW())=0, 0, INDEX(C:C, ROW())/(INDEX(C:C, ROW())+INDEX(D:D, ROW())))</f>
        <v/>
      </c>
      <c r="F3053" s="1" t="inlineStr">
        <is>
          <t>Math, Backtracking, Number Theory</t>
        </is>
      </c>
      <c r="G3053" s="1" t="inlineStr">
        <is>
          <t>Medium</t>
        </is>
      </c>
      <c r="H3053" s="1" t="n">
        <v>23772</v>
      </c>
      <c r="I3053" s="1" t="n">
        <v>62963</v>
      </c>
      <c r="J3053" s="9" t="n">
        <v>0.378</v>
      </c>
      <c r="K3053" s="1" t="inlineStr">
        <is>
          <t>Yes</t>
        </is>
      </c>
      <c r="L3053" s="1" t="inlineStr">
        <is>
          <t>No</t>
        </is>
      </c>
      <c r="M3053" s="1" t="inlineStr">
        <is>
          <t>No</t>
        </is>
      </c>
      <c r="N3053" s="1" t="inlineStr">
        <is>
          <t>Algorithms</t>
        </is>
      </c>
      <c r="O30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54" ht="15.75" customHeight="1" s="12">
      <c r="A3054" s="1" t="n">
        <v>1618</v>
      </c>
      <c r="B3054" s="3">
        <f>HYPERLINK("https://leetcode.com/problems/maximum-font-to-fit-a-sentence-in-a-screen/", "Maximum Font to Fit a Sentence in a Screen")</f>
        <v/>
      </c>
      <c r="C3054" s="1" t="n">
        <v>114</v>
      </c>
      <c r="D3054" s="1" t="n">
        <v>22</v>
      </c>
      <c r="E3054" s="4">
        <f>IF(INDEX(C:C, ROW())+INDEX(D:D, ROW())=0, 0, INDEX(C:C, ROW())/(INDEX(C:C, ROW())+INDEX(D:D, ROW())))</f>
        <v/>
      </c>
      <c r="F3054" s="1" t="inlineStr">
        <is>
          <t>Array, String, Binary Search, Interactive</t>
        </is>
      </c>
      <c r="G3054" s="1" t="inlineStr">
        <is>
          <t>Medium</t>
        </is>
      </c>
      <c r="H3054" s="1" t="n">
        <v>7415</v>
      </c>
      <c r="I3054" s="1" t="n">
        <v>12008</v>
      </c>
      <c r="J3054" s="9" t="n">
        <v>0.618</v>
      </c>
      <c r="K3054" s="1" t="inlineStr">
        <is>
          <t>No</t>
        </is>
      </c>
      <c r="L3054" s="1" t="inlineStr">
        <is>
          <t>No</t>
        </is>
      </c>
      <c r="M3054" s="1" t="inlineStr">
        <is>
          <t>No</t>
        </is>
      </c>
      <c r="N3054" s="1" t="inlineStr">
        <is>
          <t>Algorithms</t>
        </is>
      </c>
      <c r="O30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55" ht="15.75" customHeight="1" s="12">
      <c r="A3055" s="1" t="n">
        <v>2534</v>
      </c>
      <c r="B3055" s="3">
        <f>HYPERLINK("https://leetcode.com/problems/time-taken-to-cross-the-door/", "Time Taken to Cross the Door")</f>
        <v/>
      </c>
      <c r="C3055" s="1" t="n">
        <v>114</v>
      </c>
      <c r="D3055" s="1" t="n">
        <v>24</v>
      </c>
      <c r="E3055" s="4">
        <f>IF(INDEX(C:C, ROW())+INDEX(D:D, ROW())=0, 0, INDEX(C:C, ROW())/(INDEX(C:C, ROW())+INDEX(D:D, ROW())))</f>
        <v/>
      </c>
      <c r="F3055" s="1" t="inlineStr">
        <is>
          <t>Array, Queue, Simulation</t>
        </is>
      </c>
      <c r="G3055" s="1" t="inlineStr">
        <is>
          <t>Hard</t>
        </is>
      </c>
      <c r="H3055" s="1" t="n">
        <v>13678</v>
      </c>
      <c r="I3055" s="1" t="n">
        <v>27377</v>
      </c>
      <c r="J3055" s="9" t="n">
        <v>0.5</v>
      </c>
      <c r="K3055" s="1" t="inlineStr">
        <is>
          <t>No</t>
        </is>
      </c>
      <c r="L3055" s="1" t="inlineStr">
        <is>
          <t>No</t>
        </is>
      </c>
      <c r="M3055" s="1" t="inlineStr">
        <is>
          <t>No</t>
        </is>
      </c>
      <c r="N3055" s="1" t="inlineStr">
        <is>
          <t>Algorithms</t>
        </is>
      </c>
      <c r="O30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56" ht="15.75" customHeight="1" s="12">
      <c r="A3056" s="1" t="n">
        <v>3275</v>
      </c>
      <c r="B3056" s="3">
        <f>HYPERLINK("https://leetcode.com/problems/k-th-nearest-obstacle-queries/", "K-th Nearest Obstacle Queries")</f>
        <v/>
      </c>
      <c r="C3056" s="1" t="n">
        <v>114</v>
      </c>
      <c r="D3056" s="1" t="n">
        <v>17</v>
      </c>
      <c r="E3056" s="4">
        <f>IF(INDEX(C:C, ROW())+INDEX(D:D, ROW())=0, 0, INDEX(C:C, ROW())/(INDEX(C:C, ROW())+INDEX(D:D, ROW())))</f>
        <v/>
      </c>
      <c r="F3056" s="1" t="inlineStr">
        <is>
          <t>Array, Heap (Priority Queue)</t>
        </is>
      </c>
      <c r="G3056" s="1" t="inlineStr">
        <is>
          <t>Medium</t>
        </is>
      </c>
      <c r="H3056" s="1" t="n">
        <v>35492</v>
      </c>
      <c r="I3056" s="1" t="n">
        <v>72794</v>
      </c>
      <c r="J3056" s="9" t="n">
        <v>0.488</v>
      </c>
      <c r="K3056" s="1" t="inlineStr">
        <is>
          <t>Yes</t>
        </is>
      </c>
      <c r="L3056" s="1" t="inlineStr">
        <is>
          <t>No</t>
        </is>
      </c>
      <c r="M3056" s="1" t="inlineStr">
        <is>
          <t>No</t>
        </is>
      </c>
      <c r="N3056" s="1" t="inlineStr">
        <is>
          <t>Algorithms</t>
        </is>
      </c>
      <c r="O30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57" ht="15.75" customHeight="1" s="12">
      <c r="A3057" s="1" t="n">
        <v>3613</v>
      </c>
      <c r="B3057" s="3">
        <f>HYPERLINK("https://leetcode.com/problems/minimize-maximum-component-cost/", "Minimize Maximum Component Cost")</f>
        <v/>
      </c>
      <c r="C3057" s="1" t="n">
        <v>114</v>
      </c>
      <c r="D3057" s="1" t="n">
        <v>9</v>
      </c>
      <c r="E3057" s="4">
        <f>IF(INDEX(C:C, ROW())+INDEX(D:D, ROW())=0, 0, INDEX(C:C, ROW())/(INDEX(C:C, ROW())+INDEX(D:D, ROW())))</f>
        <v/>
      </c>
      <c r="F3057" s="1" t="inlineStr">
        <is>
          <t>Binary Search, Union-Find, Graph Theory, Sorting</t>
        </is>
      </c>
      <c r="G3057" s="1" t="inlineStr">
        <is>
          <t>Medium</t>
        </is>
      </c>
      <c r="H3057" s="1" t="n">
        <v>22932</v>
      </c>
      <c r="I3057" s="1" t="n">
        <v>53016</v>
      </c>
      <c r="J3057" s="9" t="n">
        <v>0.433</v>
      </c>
      <c r="K3057" s="1" t="inlineStr">
        <is>
          <t>Yes</t>
        </is>
      </c>
      <c r="L3057" s="1" t="inlineStr">
        <is>
          <t>No</t>
        </is>
      </c>
      <c r="M3057" s="1" t="inlineStr">
        <is>
          <t>No</t>
        </is>
      </c>
      <c r="N3057" s="1" t="inlineStr">
        <is>
          <t>Algorithms</t>
        </is>
      </c>
      <c r="O30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58" ht="15.75" customHeight="1" s="12">
      <c r="A3058" s="1" t="n">
        <v>3664</v>
      </c>
      <c r="B3058" s="3">
        <f>HYPERLINK("https://leetcode.com/problems/two-letter-card-game/", "Two-Letter Card Game")</f>
        <v/>
      </c>
      <c r="C3058" s="1" t="n">
        <v>114</v>
      </c>
      <c r="D3058" s="1" t="n">
        <v>57</v>
      </c>
      <c r="E3058" s="4">
        <f>IF(INDEX(C:C, ROW())+INDEX(D:D, ROW())=0, 0, INDEX(C:C, ROW())/(INDEX(C:C, ROW())+INDEX(D:D, ROW())))</f>
        <v/>
      </c>
      <c r="F3058" s="1" t="inlineStr">
        <is>
          <t>Array, Hash Table, String, Counting, Enumeration</t>
        </is>
      </c>
      <c r="G3058" s="1" t="inlineStr">
        <is>
          <t>Medium</t>
        </is>
      </c>
      <c r="H3058" s="1" t="n">
        <v>9809</v>
      </c>
      <c r="I3058" s="1" t="n">
        <v>81276</v>
      </c>
      <c r="J3058" s="9" t="n">
        <v>0.121</v>
      </c>
      <c r="K3058" s="1" t="inlineStr">
        <is>
          <t>Yes</t>
        </is>
      </c>
      <c r="L3058" s="1" t="inlineStr">
        <is>
          <t>No</t>
        </is>
      </c>
      <c r="M3058" s="1" t="inlineStr">
        <is>
          <t>No</t>
        </is>
      </c>
      <c r="N3058" s="1" t="inlineStr">
        <is>
          <t>Algorithms</t>
        </is>
      </c>
      <c r="O30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59" ht="15.75" customHeight="1" s="12">
      <c r="A3059" s="1" t="n">
        <v>2890</v>
      </c>
      <c r="B3059" s="3">
        <f>HYPERLINK("https://leetcode.com/problems/reshape-data-melt/", "Reshape Data: Melt")</f>
        <v/>
      </c>
      <c r="C3059" s="1" t="n">
        <v>113</v>
      </c>
      <c r="D3059" s="1" t="n">
        <v>3</v>
      </c>
      <c r="E3059" s="4">
        <f>IF(INDEX(C:C, ROW())+INDEX(D:D, ROW())=0, 0, INDEX(C:C, ROW())/(INDEX(C:C, ROW())+INDEX(D:D, ROW())))</f>
        <v/>
      </c>
      <c r="F3059" s="2" t="n"/>
      <c r="G3059" s="1" t="inlineStr">
        <is>
          <t>Easy</t>
        </is>
      </c>
      <c r="H3059" s="1" t="n">
        <v>92907</v>
      </c>
      <c r="I3059" s="1" t="n">
        <v>107977</v>
      </c>
      <c r="J3059" s="9" t="n">
        <v>0.86</v>
      </c>
      <c r="K3059" s="1" t="inlineStr">
        <is>
          <t>Yes</t>
        </is>
      </c>
      <c r="L3059" s="1" t="inlineStr">
        <is>
          <t>Yes</t>
        </is>
      </c>
      <c r="M3059" s="1" t="inlineStr">
        <is>
          <t>No</t>
        </is>
      </c>
      <c r="N3059" s="1" t="inlineStr">
        <is>
          <t>pandas</t>
        </is>
      </c>
      <c r="O30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60" ht="15.75" customHeight="1" s="12">
      <c r="A3060" s="1" t="n">
        <v>3242</v>
      </c>
      <c r="B3060" s="3">
        <f>HYPERLINK("https://leetcode.com/problems/design-neighbor-sum-service/", "Design Neighbor Sum Service")</f>
        <v/>
      </c>
      <c r="C3060" s="1" t="n">
        <v>113</v>
      </c>
      <c r="D3060" s="1" t="n">
        <v>18</v>
      </c>
      <c r="E3060" s="4">
        <f>IF(INDEX(C:C, ROW())+INDEX(D:D, ROW())=0, 0, INDEX(C:C, ROW())/(INDEX(C:C, ROW())+INDEX(D:D, ROW())))</f>
        <v/>
      </c>
      <c r="F3060" s="1" t="inlineStr">
        <is>
          <t>Array, Hash Table, Design, Matrix, Simulation</t>
        </is>
      </c>
      <c r="G3060" s="1" t="inlineStr">
        <is>
          <t>Easy</t>
        </is>
      </c>
      <c r="H3060" s="1" t="n">
        <v>45030</v>
      </c>
      <c r="I3060" s="1" t="n">
        <v>58999</v>
      </c>
      <c r="J3060" s="9" t="n">
        <v>0.763</v>
      </c>
      <c r="K3060" s="1" t="inlineStr">
        <is>
          <t>Yes</t>
        </is>
      </c>
      <c r="L3060" s="1" t="inlineStr">
        <is>
          <t>No</t>
        </is>
      </c>
      <c r="M3060" s="1" t="inlineStr">
        <is>
          <t>No</t>
        </is>
      </c>
      <c r="N3060" s="1" t="inlineStr">
        <is>
          <t>Algorithms</t>
        </is>
      </c>
      <c r="O30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61" ht="15.75" customHeight="1" s="12">
      <c r="A3061" s="1" t="n">
        <v>800</v>
      </c>
      <c r="B3061" s="3">
        <f>HYPERLINK("https://leetcode.com/problems/similar-rgb-color/", "Similar RGB Color")</f>
        <v/>
      </c>
      <c r="C3061" s="1" t="n">
        <v>112</v>
      </c>
      <c r="D3061" s="1" t="n">
        <v>691</v>
      </c>
      <c r="E3061" s="4">
        <f>IF(INDEX(C:C, ROW())+INDEX(D:D, ROW())=0, 0, INDEX(C:C, ROW())/(INDEX(C:C, ROW())+INDEX(D:D, ROW())))</f>
        <v/>
      </c>
      <c r="F3061" s="1" t="inlineStr">
        <is>
          <t>Math, String, Enumeration</t>
        </is>
      </c>
      <c r="G3061" s="1" t="inlineStr">
        <is>
          <t>Easy</t>
        </is>
      </c>
      <c r="H3061" s="1" t="n">
        <v>18411</v>
      </c>
      <c r="I3061" s="1" t="n">
        <v>27110</v>
      </c>
      <c r="J3061" s="9" t="n">
        <v>0.679</v>
      </c>
      <c r="K3061" s="1" t="inlineStr">
        <is>
          <t>No</t>
        </is>
      </c>
      <c r="L3061" s="1" t="inlineStr">
        <is>
          <t>Yes</t>
        </is>
      </c>
      <c r="M3061" s="1" t="inlineStr">
        <is>
          <t>No</t>
        </is>
      </c>
      <c r="N3061" s="1" t="inlineStr">
        <is>
          <t>Algorithms</t>
        </is>
      </c>
      <c r="O30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62" ht="15.75" customHeight="1" s="12">
      <c r="A3062" s="1" t="n">
        <v>1841</v>
      </c>
      <c r="B3062" s="3">
        <f>HYPERLINK("https://leetcode.com/problems/league-statistics/", "League Statistics")</f>
        <v/>
      </c>
      <c r="C3062" s="1" t="n">
        <v>112</v>
      </c>
      <c r="D3062" s="1" t="n">
        <v>98</v>
      </c>
      <c r="E3062" s="4">
        <f>IF(INDEX(C:C, ROW())+INDEX(D:D, ROW())=0, 0, INDEX(C:C, ROW())/(INDEX(C:C, ROW())+INDEX(D:D, ROW())))</f>
        <v/>
      </c>
      <c r="F3062" s="1" t="inlineStr">
        <is>
          <t>Database</t>
        </is>
      </c>
      <c r="G3062" s="1" t="inlineStr">
        <is>
          <t>Medium</t>
        </is>
      </c>
      <c r="H3062" s="1" t="n">
        <v>16118</v>
      </c>
      <c r="I3062" s="1" t="n">
        <v>30141</v>
      </c>
      <c r="J3062" s="9" t="n">
        <v>0.535</v>
      </c>
      <c r="K3062" s="1" t="inlineStr">
        <is>
          <t>No</t>
        </is>
      </c>
      <c r="L3062" s="1" t="inlineStr">
        <is>
          <t>Yes</t>
        </is>
      </c>
      <c r="M3062" s="1" t="inlineStr">
        <is>
          <t>No</t>
        </is>
      </c>
      <c r="N3062" s="1" t="inlineStr">
        <is>
          <t>Database</t>
        </is>
      </c>
      <c r="O30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63" ht="15.75" customHeight="1" s="12">
      <c r="A3063" s="1" t="n">
        <v>2519</v>
      </c>
      <c r="B3063" s="3">
        <f>HYPERLINK("https://leetcode.com/problems/count-the-number-of-k-big-indices/", "Count the Number of K-Big Indices")</f>
        <v/>
      </c>
      <c r="C3063" s="1" t="n">
        <v>112</v>
      </c>
      <c r="D3063" s="1" t="n">
        <v>23</v>
      </c>
      <c r="E3063" s="4">
        <f>IF(INDEX(C:C, ROW())+INDEX(D:D, ROW())=0, 0, INDEX(C:C, ROW())/(INDEX(C:C, ROW())+INDEX(D:D, ROW())))</f>
        <v/>
      </c>
      <c r="F3063" s="1" t="inlineStr">
        <is>
          <t>Array, Binary Search, Divide and Conquer, Binary Indexed Tree, Segment Tree, Merge Sort, Ordered Set</t>
        </is>
      </c>
      <c r="G3063" s="1" t="inlineStr">
        <is>
          <t>Hard</t>
        </is>
      </c>
      <c r="H3063" s="1" t="n">
        <v>9608</v>
      </c>
      <c r="I3063" s="1" t="n">
        <v>17944</v>
      </c>
      <c r="J3063" s="9" t="n">
        <v>0.535</v>
      </c>
      <c r="K3063" s="1" t="inlineStr">
        <is>
          <t>No</t>
        </is>
      </c>
      <c r="L3063" s="1" t="inlineStr">
        <is>
          <t>No</t>
        </is>
      </c>
      <c r="M3063" s="1" t="inlineStr">
        <is>
          <t>No</t>
        </is>
      </c>
      <c r="N3063" s="1" t="inlineStr">
        <is>
          <t>Algorithms</t>
        </is>
      </c>
      <c r="O30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64" ht="15.75" customHeight="1" s="12">
      <c r="A3064" s="1" t="n">
        <v>1599</v>
      </c>
      <c r="B3064" s="3">
        <f>HYPERLINK("https://leetcode.com/problems/maximum-profit-of-operating-a-centennial-wheel/", "Maximum Profit of Operating a Centennial Wheel")</f>
        <v/>
      </c>
      <c r="C3064" s="1" t="n">
        <v>111</v>
      </c>
      <c r="D3064" s="1" t="n">
        <v>254</v>
      </c>
      <c r="E3064" s="4">
        <f>IF(INDEX(C:C, ROW())+INDEX(D:D, ROW())=0, 0, INDEX(C:C, ROW())/(INDEX(C:C, ROW())+INDEX(D:D, ROW())))</f>
        <v/>
      </c>
      <c r="F3064" s="1" t="inlineStr">
        <is>
          <t>Array, Simulation</t>
        </is>
      </c>
      <c r="G3064" s="1" t="inlineStr">
        <is>
          <t>Medium</t>
        </is>
      </c>
      <c r="H3064" s="1" t="n">
        <v>14943</v>
      </c>
      <c r="I3064" s="1" t="n">
        <v>33600</v>
      </c>
      <c r="J3064" s="9" t="n">
        <v>0.445</v>
      </c>
      <c r="K3064" s="1" t="inlineStr">
        <is>
          <t>Yes</t>
        </is>
      </c>
      <c r="L3064" s="1" t="inlineStr">
        <is>
          <t>No</t>
        </is>
      </c>
      <c r="M3064" s="1" t="inlineStr">
        <is>
          <t>No</t>
        </is>
      </c>
      <c r="N3064" s="1" t="inlineStr">
        <is>
          <t>Algorithms</t>
        </is>
      </c>
      <c r="O30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65" ht="15.75" customHeight="1" s="12">
      <c r="A3065" s="1" t="n">
        <v>1902</v>
      </c>
      <c r="B3065" s="3">
        <f>HYPERLINK("https://leetcode.com/problems/depth-of-bst-given-insertion-order/", "Depth of BST Given Insertion Order")</f>
        <v/>
      </c>
      <c r="C3065" s="1" t="n">
        <v>111</v>
      </c>
      <c r="D3065" s="1" t="n">
        <v>12</v>
      </c>
      <c r="E3065" s="4">
        <f>IF(INDEX(C:C, ROW())+INDEX(D:D, ROW())=0, 0, INDEX(C:C, ROW())/(INDEX(C:C, ROW())+INDEX(D:D, ROW())))</f>
        <v/>
      </c>
      <c r="F3065" s="1" t="inlineStr">
        <is>
          <t>Array, Tree, Binary Search Tree, Binary Tree, Ordered Set</t>
        </is>
      </c>
      <c r="G3065" s="1" t="inlineStr">
        <is>
          <t>Medium</t>
        </is>
      </c>
      <c r="H3065" s="1" t="n">
        <v>2928</v>
      </c>
      <c r="I3065" s="1" t="n">
        <v>6900</v>
      </c>
      <c r="J3065" s="9" t="n">
        <v>0.424</v>
      </c>
      <c r="K3065" s="1" t="inlineStr">
        <is>
          <t>No</t>
        </is>
      </c>
      <c r="L3065" s="1" t="inlineStr">
        <is>
          <t>No</t>
        </is>
      </c>
      <c r="M3065" s="1" t="inlineStr">
        <is>
          <t>No</t>
        </is>
      </c>
      <c r="N3065" s="1" t="inlineStr">
        <is>
          <t>Algorithms</t>
        </is>
      </c>
      <c r="O30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66" ht="15.75" customHeight="1" s="12">
      <c r="A3066" s="1" t="n">
        <v>2067</v>
      </c>
      <c r="B3066" s="3">
        <f>HYPERLINK("https://leetcode.com/problems/number-of-equal-count-substrings/", "Number of Equal Count Substrings")</f>
        <v/>
      </c>
      <c r="C3066" s="1" t="n">
        <v>111</v>
      </c>
      <c r="D3066" s="1" t="n">
        <v>11</v>
      </c>
      <c r="E3066" s="4">
        <f>IF(INDEX(C:C, ROW())+INDEX(D:D, ROW())=0, 0, INDEX(C:C, ROW())/(INDEX(C:C, ROW())+INDEX(D:D, ROW())))</f>
        <v/>
      </c>
      <c r="F3066" s="1" t="inlineStr">
        <is>
          <t>Hash Table, String, Sliding Window, Counting</t>
        </is>
      </c>
      <c r="G3066" s="1" t="inlineStr">
        <is>
          <t>Medium</t>
        </is>
      </c>
      <c r="H3066" s="1" t="n">
        <v>3896</v>
      </c>
      <c r="I3066" s="1" t="n">
        <v>8637</v>
      </c>
      <c r="J3066" s="9" t="n">
        <v>0.451</v>
      </c>
      <c r="K3066" s="1" t="inlineStr">
        <is>
          <t>No</t>
        </is>
      </c>
      <c r="L3066" s="1" t="inlineStr">
        <is>
          <t>No</t>
        </is>
      </c>
      <c r="M3066" s="1" t="inlineStr">
        <is>
          <t>No</t>
        </is>
      </c>
      <c r="N3066" s="1" t="inlineStr">
        <is>
          <t>Algorithms</t>
        </is>
      </c>
      <c r="O30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67" ht="15.75" customHeight="1" s="12">
      <c r="A3067" s="1" t="n">
        <v>2330</v>
      </c>
      <c r="B3067" s="3">
        <f>HYPERLINK("https://leetcode.com/problems/valid-palindrome-iv/", "Valid Palindrome IV")</f>
        <v/>
      </c>
      <c r="C3067" s="1" t="n">
        <v>111</v>
      </c>
      <c r="D3067" s="1" t="n">
        <v>35</v>
      </c>
      <c r="E3067" s="4">
        <f>IF(INDEX(C:C, ROW())+INDEX(D:D, ROW())=0, 0, INDEX(C:C, ROW())/(INDEX(C:C, ROW())+INDEX(D:D, ROW())))</f>
        <v/>
      </c>
      <c r="F3067" s="1" t="inlineStr">
        <is>
          <t>Two Pointers, String</t>
        </is>
      </c>
      <c r="G3067" s="1" t="inlineStr">
        <is>
          <t>Medium</t>
        </is>
      </c>
      <c r="H3067" s="1" t="n">
        <v>20358</v>
      </c>
      <c r="I3067" s="1" t="n">
        <v>26909</v>
      </c>
      <c r="J3067" s="9" t="n">
        <v>0.757</v>
      </c>
      <c r="K3067" s="1" t="inlineStr">
        <is>
          <t>No</t>
        </is>
      </c>
      <c r="L3067" s="1" t="inlineStr">
        <is>
          <t>No</t>
        </is>
      </c>
      <c r="M3067" s="1" t="inlineStr">
        <is>
          <t>No</t>
        </is>
      </c>
      <c r="N3067" s="1" t="inlineStr">
        <is>
          <t>Algorithms</t>
        </is>
      </c>
      <c r="O30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68" ht="15.75" customHeight="1" s="12">
      <c r="A3068" s="1" t="n">
        <v>3407</v>
      </c>
      <c r="B3068" s="3">
        <f>HYPERLINK("https://leetcode.com/problems/substring-matching-pattern/", "Substring Matching Pattern")</f>
        <v/>
      </c>
      <c r="C3068" s="1" t="n">
        <v>111</v>
      </c>
      <c r="D3068" s="1" t="n">
        <v>50</v>
      </c>
      <c r="E3068" s="4">
        <f>IF(INDEX(C:C, ROW())+INDEX(D:D, ROW())=0, 0, INDEX(C:C, ROW())/(INDEX(C:C, ROW())+INDEX(D:D, ROW())))</f>
        <v/>
      </c>
      <c r="F3068" s="1" t="inlineStr">
        <is>
          <t>String, String Matching</t>
        </is>
      </c>
      <c r="G3068" s="1" t="inlineStr">
        <is>
          <t>Easy</t>
        </is>
      </c>
      <c r="H3068" s="1" t="n">
        <v>36503</v>
      </c>
      <c r="I3068" s="1" t="n">
        <v>129957</v>
      </c>
      <c r="J3068" s="9" t="n">
        <v>0.281</v>
      </c>
      <c r="K3068" s="1" t="inlineStr">
        <is>
          <t>Yes</t>
        </is>
      </c>
      <c r="L3068" s="1" t="inlineStr">
        <is>
          <t>No</t>
        </is>
      </c>
      <c r="M3068" s="1" t="inlineStr">
        <is>
          <t>No</t>
        </is>
      </c>
      <c r="N3068" s="1" t="inlineStr">
        <is>
          <t>Algorithms</t>
        </is>
      </c>
      <c r="O30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69" ht="15.75" customHeight="1" s="12">
      <c r="A3069" s="1" t="n">
        <v>3584</v>
      </c>
      <c r="B3069" s="3">
        <f>HYPERLINK("https://leetcode.com/problems/maximum-product-of-first-and-last-elements-of-a-subsequence/", "Maximum Product of First and Last Elements of a Subsequence")</f>
        <v/>
      </c>
      <c r="C3069" s="1" t="n">
        <v>111</v>
      </c>
      <c r="D3069" s="1" t="n">
        <v>1</v>
      </c>
      <c r="E3069" s="4">
        <f>IF(INDEX(C:C, ROW())+INDEX(D:D, ROW())=0, 0, INDEX(C:C, ROW())/(INDEX(C:C, ROW())+INDEX(D:D, ROW())))</f>
        <v/>
      </c>
      <c r="F3069" s="1" t="inlineStr">
        <is>
          <t>Array, Two Pointers</t>
        </is>
      </c>
      <c r="G3069" s="1" t="inlineStr">
        <is>
          <t>Medium</t>
        </is>
      </c>
      <c r="H3069" s="1" t="n">
        <v>19268</v>
      </c>
      <c r="I3069" s="1" t="n">
        <v>62007</v>
      </c>
      <c r="J3069" s="9" t="n">
        <v>0.311</v>
      </c>
      <c r="K3069" s="1" t="inlineStr">
        <is>
          <t>Yes</t>
        </is>
      </c>
      <c r="L3069" s="1" t="inlineStr">
        <is>
          <t>No</t>
        </is>
      </c>
      <c r="M3069" s="1" t="inlineStr">
        <is>
          <t>No</t>
        </is>
      </c>
      <c r="N3069" s="1" t="inlineStr">
        <is>
          <t>Algorithms</t>
        </is>
      </c>
      <c r="O30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70" ht="15.75" customHeight="1" s="12">
      <c r="A3070" s="1" t="n">
        <v>3659</v>
      </c>
      <c r="B3070" s="3">
        <f>HYPERLINK("https://leetcode.com/problems/partition-array-into-k-distinct-groups/", "Partition Array Into K-Distinct Groups")</f>
        <v/>
      </c>
      <c r="C3070" s="1" t="n">
        <v>111</v>
      </c>
      <c r="D3070" s="1" t="n">
        <v>71</v>
      </c>
      <c r="E3070" s="4">
        <f>IF(INDEX(C:C, ROW())+INDEX(D:D, ROW())=0, 0, INDEX(C:C, ROW())/(INDEX(C:C, ROW())+INDEX(D:D, ROW())))</f>
        <v/>
      </c>
      <c r="F3070" s="1" t="inlineStr">
        <is>
          <t>Array, Hash Table, Counting</t>
        </is>
      </c>
      <c r="G3070" s="1" t="inlineStr">
        <is>
          <t>Medium</t>
        </is>
      </c>
      <c r="H3070" s="1" t="n">
        <v>49786</v>
      </c>
      <c r="I3070" s="1" t="n">
        <v>108637</v>
      </c>
      <c r="J3070" s="9" t="n">
        <v>0.458</v>
      </c>
      <c r="K3070" s="1" t="inlineStr">
        <is>
          <t>Yes</t>
        </is>
      </c>
      <c r="L3070" s="1" t="inlineStr">
        <is>
          <t>No</t>
        </is>
      </c>
      <c r="M3070" s="1" t="inlineStr">
        <is>
          <t>No</t>
        </is>
      </c>
      <c r="N3070" s="1" t="inlineStr">
        <is>
          <t>Algorithms</t>
        </is>
      </c>
      <c r="O30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71" ht="15.75" customHeight="1" s="12">
      <c r="A3071" s="1" t="n">
        <v>751</v>
      </c>
      <c r="B3071" s="3">
        <f>HYPERLINK("https://leetcode.com/problems/ip-to-cidr/", "IP to CIDR")</f>
        <v/>
      </c>
      <c r="C3071" s="1" t="n">
        <v>110</v>
      </c>
      <c r="D3071" s="1" t="n">
        <v>357</v>
      </c>
      <c r="E3071" s="4">
        <f>IF(INDEX(C:C, ROW())+INDEX(D:D, ROW())=0, 0, INDEX(C:C, ROW())/(INDEX(C:C, ROW())+INDEX(D:D, ROW())))</f>
        <v/>
      </c>
      <c r="F3071" s="1" t="inlineStr">
        <is>
          <t>String, Bit Manipulation</t>
        </is>
      </c>
      <c r="G3071" s="1" t="inlineStr">
        <is>
          <t>Medium</t>
        </is>
      </c>
      <c r="H3071" s="1" t="n">
        <v>36830</v>
      </c>
      <c r="I3071" s="1" t="n">
        <v>68731</v>
      </c>
      <c r="J3071" s="9" t="n">
        <v>0.536</v>
      </c>
      <c r="K3071" s="1" t="inlineStr">
        <is>
          <t>No</t>
        </is>
      </c>
      <c r="L3071" s="1" t="inlineStr">
        <is>
          <t>No</t>
        </is>
      </c>
      <c r="M3071" s="1" t="inlineStr">
        <is>
          <t>No</t>
        </is>
      </c>
      <c r="N3071" s="1" t="inlineStr">
        <is>
          <t>Algorithms</t>
        </is>
      </c>
      <c r="O30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72" ht="15.75" customHeight="1" s="12">
      <c r="A3072" s="1" t="n">
        <v>1708</v>
      </c>
      <c r="B3072" s="3">
        <f>HYPERLINK("https://leetcode.com/problems/largest-subarray-length-k/", "Largest Subarray Length K")</f>
        <v/>
      </c>
      <c r="C3072" s="1" t="n">
        <v>110</v>
      </c>
      <c r="D3072" s="1" t="n">
        <v>116</v>
      </c>
      <c r="E3072" s="4">
        <f>IF(INDEX(C:C, ROW())+INDEX(D:D, ROW())=0, 0, INDEX(C:C, ROW())/(INDEX(C:C, ROW())+INDEX(D:D, ROW())))</f>
        <v/>
      </c>
      <c r="F3072" s="1" t="inlineStr">
        <is>
          <t>Array, Greedy</t>
        </is>
      </c>
      <c r="G3072" s="1" t="inlineStr">
        <is>
          <t>Easy</t>
        </is>
      </c>
      <c r="H3072" s="1" t="n">
        <v>10431</v>
      </c>
      <c r="I3072" s="1" t="n">
        <v>15905</v>
      </c>
      <c r="J3072" s="9" t="n">
        <v>0.656</v>
      </c>
      <c r="K3072" s="1" t="inlineStr">
        <is>
          <t>No</t>
        </is>
      </c>
      <c r="L3072" s="1" t="inlineStr">
        <is>
          <t>No</t>
        </is>
      </c>
      <c r="M3072" s="1" t="inlineStr">
        <is>
          <t>No</t>
        </is>
      </c>
      <c r="N3072" s="1" t="inlineStr">
        <is>
          <t>Algorithms</t>
        </is>
      </c>
      <c r="O30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73" ht="15.75" customHeight="1" s="12">
      <c r="A3073" s="1" t="n">
        <v>2313</v>
      </c>
      <c r="B3073" s="3">
        <f>HYPERLINK("https://leetcode.com/problems/minimum-flips-in-binary-tree-to-get-result/", "Minimum Flips in Binary Tree to Get Result")</f>
        <v/>
      </c>
      <c r="C3073" s="1" t="n">
        <v>110</v>
      </c>
      <c r="D3073" s="1" t="n">
        <v>2</v>
      </c>
      <c r="E3073" s="4">
        <f>IF(INDEX(C:C, ROW())+INDEX(D:D, ROW())=0, 0, INDEX(C:C, ROW())/(INDEX(C:C, ROW())+INDEX(D:D, ROW())))</f>
        <v/>
      </c>
      <c r="F3073" s="1" t="inlineStr">
        <is>
          <t>Dynamic Programming, Tree, Depth-First Search, Binary Tree</t>
        </is>
      </c>
      <c r="G3073" s="1" t="inlineStr">
        <is>
          <t>Hard</t>
        </is>
      </c>
      <c r="H3073" s="1" t="n">
        <v>4948</v>
      </c>
      <c r="I3073" s="1" t="n">
        <v>8727</v>
      </c>
      <c r="J3073" s="9" t="n">
        <v>0.5669999999999999</v>
      </c>
      <c r="K3073" s="1" t="inlineStr">
        <is>
          <t>No</t>
        </is>
      </c>
      <c r="L3073" s="1" t="inlineStr">
        <is>
          <t>No</t>
        </is>
      </c>
      <c r="M3073" s="1" t="inlineStr">
        <is>
          <t>No</t>
        </is>
      </c>
      <c r="N3073" s="1" t="inlineStr">
        <is>
          <t>Algorithms</t>
        </is>
      </c>
      <c r="O30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74" ht="15.75" customHeight="1" s="12">
      <c r="A3074" s="1" t="n">
        <v>3083</v>
      </c>
      <c r="B3074" s="3">
        <f>HYPERLINK("https://leetcode.com/problems/existence-of-a-substring-in-a-string-and-its-reverse/", "Existence of a Substring in a String and Its Reverse")</f>
        <v/>
      </c>
      <c r="C3074" s="1" t="n">
        <v>110</v>
      </c>
      <c r="D3074" s="1" t="n">
        <v>1</v>
      </c>
      <c r="E3074" s="4">
        <f>IF(INDEX(C:C, ROW())+INDEX(D:D, ROW())=0, 0, INDEX(C:C, ROW())/(INDEX(C:C, ROW())+INDEX(D:D, ROW())))</f>
        <v/>
      </c>
      <c r="F3074" s="1" t="inlineStr">
        <is>
          <t>Hash Table, String</t>
        </is>
      </c>
      <c r="G3074" s="1" t="inlineStr">
        <is>
          <t>Easy</t>
        </is>
      </c>
      <c r="H3074" s="1" t="n">
        <v>55081</v>
      </c>
      <c r="I3074" s="1" t="n">
        <v>83061</v>
      </c>
      <c r="J3074" s="9" t="n">
        <v>0.663</v>
      </c>
      <c r="K3074" s="1" t="inlineStr">
        <is>
          <t>Yes</t>
        </is>
      </c>
      <c r="L3074" s="1" t="inlineStr">
        <is>
          <t>No</t>
        </is>
      </c>
      <c r="M3074" s="1" t="inlineStr">
        <is>
          <t>No</t>
        </is>
      </c>
      <c r="N3074" s="1" t="inlineStr">
        <is>
          <t>Algorithms</t>
        </is>
      </c>
      <c r="O30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75" ht="15.75" customHeight="1" s="12">
      <c r="A3075" s="1" t="n">
        <v>3142</v>
      </c>
      <c r="B3075" s="3">
        <f>HYPERLINK("https://leetcode.com/problems/check-if-grid-satisfies-conditions/", "Check if Grid Satisfies Conditions")</f>
        <v/>
      </c>
      <c r="C3075" s="1" t="n">
        <v>110</v>
      </c>
      <c r="D3075" s="1" t="n">
        <v>6</v>
      </c>
      <c r="E3075" s="4">
        <f>IF(INDEX(C:C, ROW())+INDEX(D:D, ROW())=0, 0, INDEX(C:C, ROW())/(INDEX(C:C, ROW())+INDEX(D:D, ROW())))</f>
        <v/>
      </c>
      <c r="F3075" s="1" t="inlineStr">
        <is>
          <t>Array, Matrix</t>
        </is>
      </c>
      <c r="G3075" s="1" t="inlineStr">
        <is>
          <t>Easy</t>
        </is>
      </c>
      <c r="H3075" s="1" t="n">
        <v>43739</v>
      </c>
      <c r="I3075" s="1" t="n">
        <v>97783</v>
      </c>
      <c r="J3075" s="9" t="n">
        <v>0.447</v>
      </c>
      <c r="K3075" s="1" t="inlineStr">
        <is>
          <t>Yes</t>
        </is>
      </c>
      <c r="L3075" s="1" t="inlineStr">
        <is>
          <t>No</t>
        </is>
      </c>
      <c r="M3075" s="1" t="inlineStr">
        <is>
          <t>No</t>
        </is>
      </c>
      <c r="N3075" s="1" t="inlineStr">
        <is>
          <t>Algorithms</t>
        </is>
      </c>
      <c r="O30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76" ht="15.75" customHeight="1" s="12">
      <c r="A3076" s="1" t="n">
        <v>3747</v>
      </c>
      <c r="B3076" s="3">
        <f>HYPERLINK("https://leetcode.com/problems/count-distinct-integers-after-removing-zeros/", "Count Distinct Integers After Removing Zeros")</f>
        <v/>
      </c>
      <c r="C3076" s="1" t="n">
        <v>110</v>
      </c>
      <c r="D3076" s="1" t="n">
        <v>10</v>
      </c>
      <c r="E3076" s="4">
        <f>IF(INDEX(C:C, ROW())+INDEX(D:D, ROW())=0, 0, INDEX(C:C, ROW())/(INDEX(C:C, ROW())+INDEX(D:D, ROW())))</f>
        <v/>
      </c>
      <c r="F3076" s="1" t="inlineStr">
        <is>
          <t>Math, Dynamic Programming</t>
        </is>
      </c>
      <c r="G3076" s="1" t="inlineStr">
        <is>
          <t>Medium</t>
        </is>
      </c>
      <c r="H3076" s="1" t="n">
        <v>14361</v>
      </c>
      <c r="I3076" s="1" t="n">
        <v>64985</v>
      </c>
      <c r="J3076" s="9" t="n">
        <v>0.221</v>
      </c>
      <c r="K3076" s="1" t="inlineStr">
        <is>
          <t>Yes</t>
        </is>
      </c>
      <c r="L3076" s="1" t="inlineStr">
        <is>
          <t>No</t>
        </is>
      </c>
      <c r="M3076" s="1" t="inlineStr">
        <is>
          <t>No</t>
        </is>
      </c>
      <c r="N3076" s="1" t="inlineStr">
        <is>
          <t>Algorithms</t>
        </is>
      </c>
      <c r="O30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77" ht="15.75" customHeight="1" s="12">
      <c r="A3077" s="1" t="n">
        <v>2510</v>
      </c>
      <c r="B3077" s="3">
        <f>HYPERLINK("https://leetcode.com/problems/check-if-there-is-a-path-with-equal-number-of-0s-and-1s/", "Check if There is a Path With Equal Number of 0's And 1's")</f>
        <v/>
      </c>
      <c r="C3077" s="1" t="n">
        <v>109</v>
      </c>
      <c r="D3077" s="1" t="n">
        <v>5</v>
      </c>
      <c r="E3077" s="4">
        <f>IF(INDEX(C:C, ROW())+INDEX(D:D, ROW())=0, 0, INDEX(C:C, ROW())/(INDEX(C:C, ROW())+INDEX(D:D, ROW())))</f>
        <v/>
      </c>
      <c r="F3077" s="1" t="inlineStr">
        <is>
          <t>Array, Dynamic Programming, Matrix</t>
        </is>
      </c>
      <c r="G3077" s="1" t="inlineStr">
        <is>
          <t>Medium</t>
        </is>
      </c>
      <c r="H3077" s="1" t="n">
        <v>7610</v>
      </c>
      <c r="I3077" s="1" t="n">
        <v>14706</v>
      </c>
      <c r="J3077" s="9" t="n">
        <v>0.517</v>
      </c>
      <c r="K3077" s="1" t="inlineStr">
        <is>
          <t>No</t>
        </is>
      </c>
      <c r="L3077" s="1" t="inlineStr">
        <is>
          <t>No</t>
        </is>
      </c>
      <c r="M3077" s="1" t="inlineStr">
        <is>
          <t>No</t>
        </is>
      </c>
      <c r="N3077" s="1" t="inlineStr">
        <is>
          <t>Algorithms</t>
        </is>
      </c>
      <c r="O30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78" ht="15.75" customHeight="1" s="12">
      <c r="A3078" s="1" t="n">
        <v>3210</v>
      </c>
      <c r="B3078" s="3">
        <f>HYPERLINK("https://leetcode.com/problems/find-the-encrypted-string/", "Find the Encrypted String")</f>
        <v/>
      </c>
      <c r="C3078" s="1" t="n">
        <v>109</v>
      </c>
      <c r="D3078" s="1" t="n">
        <v>10</v>
      </c>
      <c r="E3078" s="4">
        <f>IF(INDEX(C:C, ROW())+INDEX(D:D, ROW())=0, 0, INDEX(C:C, ROW())/(INDEX(C:C, ROW())+INDEX(D:D, ROW())))</f>
        <v/>
      </c>
      <c r="F3078" s="1" t="inlineStr">
        <is>
          <t>String</t>
        </is>
      </c>
      <c r="G3078" s="1" t="inlineStr">
        <is>
          <t>Easy</t>
        </is>
      </c>
      <c r="H3078" s="1" t="n">
        <v>66487</v>
      </c>
      <c r="I3078" s="1" t="n">
        <v>97578</v>
      </c>
      <c r="J3078" s="9" t="n">
        <v>0.681</v>
      </c>
      <c r="K3078" s="1" t="inlineStr">
        <is>
          <t>Yes</t>
        </is>
      </c>
      <c r="L3078" s="1" t="inlineStr">
        <is>
          <t>No</t>
        </is>
      </c>
      <c r="M3078" s="1" t="inlineStr">
        <is>
          <t>No</t>
        </is>
      </c>
      <c r="N3078" s="1" t="inlineStr">
        <is>
          <t>Algorithms</t>
        </is>
      </c>
      <c r="O30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79" ht="15.75" customHeight="1" s="12">
      <c r="A3079" s="1" t="n">
        <v>3537</v>
      </c>
      <c r="B3079" s="3">
        <f>HYPERLINK("https://leetcode.com/problems/fill-a-special-grid/", "Fill a Special Grid")</f>
        <v/>
      </c>
      <c r="C3079" s="1" t="n">
        <v>109</v>
      </c>
      <c r="D3079" s="1" t="n">
        <v>9</v>
      </c>
      <c r="E3079" s="4">
        <f>IF(INDEX(C:C, ROW())+INDEX(D:D, ROW())=0, 0, INDEX(C:C, ROW())/(INDEX(C:C, ROW())+INDEX(D:D, ROW())))</f>
        <v/>
      </c>
      <c r="F3079" s="1" t="inlineStr">
        <is>
          <t>Array, Divide and Conquer, Matrix</t>
        </is>
      </c>
      <c r="G3079" s="1" t="inlineStr">
        <is>
          <t>Medium</t>
        </is>
      </c>
      <c r="H3079" s="1" t="n">
        <v>20483</v>
      </c>
      <c r="I3079" s="1" t="n">
        <v>29017</v>
      </c>
      <c r="J3079" s="9" t="n">
        <v>0.706</v>
      </c>
      <c r="K3079" s="1" t="inlineStr">
        <is>
          <t>Yes</t>
        </is>
      </c>
      <c r="L3079" s="1" t="inlineStr">
        <is>
          <t>No</t>
        </is>
      </c>
      <c r="M3079" s="1" t="inlineStr">
        <is>
          <t>No</t>
        </is>
      </c>
      <c r="N3079" s="1" t="inlineStr">
        <is>
          <t>Algorithms</t>
        </is>
      </c>
      <c r="O30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80" ht="15.75" customHeight="1" s="12">
      <c r="A3080" s="1" t="n">
        <v>3111</v>
      </c>
      <c r="B3080" s="3">
        <f>HYPERLINK("https://leetcode.com/problems/minimum-rectangles-to-cover-points/", "Minimum Rectangles to Cover Points")</f>
        <v/>
      </c>
      <c r="C3080" s="1" t="n">
        <v>108</v>
      </c>
      <c r="D3080" s="1" t="n">
        <v>8</v>
      </c>
      <c r="E3080" s="4">
        <f>IF(INDEX(C:C, ROW())+INDEX(D:D, ROW())=0, 0, INDEX(C:C, ROW())/(INDEX(C:C, ROW())+INDEX(D:D, ROW())))</f>
        <v/>
      </c>
      <c r="F3080" s="1" t="inlineStr">
        <is>
          <t>Array, Greedy, Sorting</t>
        </is>
      </c>
      <c r="G3080" s="1" t="inlineStr">
        <is>
          <t>Medium</t>
        </is>
      </c>
      <c r="H3080" s="1" t="n">
        <v>32176</v>
      </c>
      <c r="I3080" s="1" t="n">
        <v>50706</v>
      </c>
      <c r="J3080" s="9" t="n">
        <v>0.635</v>
      </c>
      <c r="K3080" s="1" t="inlineStr">
        <is>
          <t>Yes</t>
        </is>
      </c>
      <c r="L3080" s="1" t="inlineStr">
        <is>
          <t>No</t>
        </is>
      </c>
      <c r="M3080" s="1" t="inlineStr">
        <is>
          <t>No</t>
        </is>
      </c>
      <c r="N3080" s="1" t="inlineStr">
        <is>
          <t>Algorithms</t>
        </is>
      </c>
      <c r="O30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81" ht="15.75" customHeight="1" s="12">
      <c r="A3081" s="1" t="n">
        <v>3256</v>
      </c>
      <c r="B3081" s="3">
        <f>HYPERLINK("https://leetcode.com/problems/maximum-value-sum-by-placing-three-rooks-i/", "Maximum Value Sum by Placing Three Rooks I")</f>
        <v/>
      </c>
      <c r="C3081" s="1" t="n">
        <v>108</v>
      </c>
      <c r="D3081" s="1" t="n">
        <v>11</v>
      </c>
      <c r="E3081" s="4">
        <f>IF(INDEX(C:C, ROW())+INDEX(D:D, ROW())=0, 0, INDEX(C:C, ROW())/(INDEX(C:C, ROW())+INDEX(D:D, ROW())))</f>
        <v/>
      </c>
      <c r="F3081" s="1" t="inlineStr">
        <is>
          <t>Array, Dynamic Programming, Matrix, Enumeration</t>
        </is>
      </c>
      <c r="G3081" s="1" t="inlineStr">
        <is>
          <t>Hard</t>
        </is>
      </c>
      <c r="H3081" s="1" t="n">
        <v>9557</v>
      </c>
      <c r="I3081" s="1" t="n">
        <v>58672</v>
      </c>
      <c r="J3081" s="9" t="n">
        <v>0.163</v>
      </c>
      <c r="K3081" s="1" t="inlineStr">
        <is>
          <t>Yes</t>
        </is>
      </c>
      <c r="L3081" s="1" t="inlineStr">
        <is>
          <t>No</t>
        </is>
      </c>
      <c r="M3081" s="1" t="inlineStr">
        <is>
          <t>No</t>
        </is>
      </c>
      <c r="N3081" s="1" t="inlineStr">
        <is>
          <t>Algorithms</t>
        </is>
      </c>
      <c r="O30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82" ht="15.75" customHeight="1" s="12">
      <c r="A3082" s="1" t="n">
        <v>3271</v>
      </c>
      <c r="B3082" s="3">
        <f>HYPERLINK("https://leetcode.com/problems/hash-divided-string/", "Hash Divided String")</f>
        <v/>
      </c>
      <c r="C3082" s="1" t="n">
        <v>108</v>
      </c>
      <c r="D3082" s="1" t="n">
        <v>15</v>
      </c>
      <c r="E3082" s="4">
        <f>IF(INDEX(C:C, ROW())+INDEX(D:D, ROW())=0, 0, INDEX(C:C, ROW())/(INDEX(C:C, ROW())+INDEX(D:D, ROW())))</f>
        <v/>
      </c>
      <c r="F3082" s="1" t="inlineStr">
        <is>
          <t>String, Simulation</t>
        </is>
      </c>
      <c r="G3082" s="1" t="inlineStr">
        <is>
          <t>Medium</t>
        </is>
      </c>
      <c r="H3082" s="1" t="n">
        <v>49238</v>
      </c>
      <c r="I3082" s="1" t="n">
        <v>59255</v>
      </c>
      <c r="J3082" s="9" t="n">
        <v>0.831</v>
      </c>
      <c r="K3082" s="1" t="inlineStr">
        <is>
          <t>Yes</t>
        </is>
      </c>
      <c r="L3082" s="1" t="inlineStr">
        <is>
          <t>No</t>
        </is>
      </c>
      <c r="M3082" s="1" t="inlineStr">
        <is>
          <t>No</t>
        </is>
      </c>
      <c r="N3082" s="1" t="inlineStr">
        <is>
          <t>Algorithms</t>
        </is>
      </c>
      <c r="O30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83" ht="15.75" customHeight="1" s="12">
      <c r="A3083" s="1" t="n">
        <v>3277</v>
      </c>
      <c r="B3083" s="3">
        <f>HYPERLINK("https://leetcode.com/problems/maximum-xor-score-subarray-queries/", "Maximum XOR Score Subarray Queries")</f>
        <v/>
      </c>
      <c r="C3083" s="1" t="n">
        <v>108</v>
      </c>
      <c r="D3083" s="1" t="n">
        <v>16</v>
      </c>
      <c r="E3083" s="4">
        <f>IF(INDEX(C:C, ROW())+INDEX(D:D, ROW())=0, 0, INDEX(C:C, ROW())/(INDEX(C:C, ROW())+INDEX(D:D, ROW())))</f>
        <v/>
      </c>
      <c r="F3083" s="1" t="inlineStr">
        <is>
          <t>Array, Dynamic Programming</t>
        </is>
      </c>
      <c r="G3083" s="1" t="inlineStr">
        <is>
          <t>Hard</t>
        </is>
      </c>
      <c r="H3083" s="1" t="n">
        <v>5373</v>
      </c>
      <c r="I3083" s="1" t="n">
        <v>12354</v>
      </c>
      <c r="J3083" s="9" t="n">
        <v>0.435</v>
      </c>
      <c r="K3083" s="1" t="inlineStr">
        <is>
          <t>Yes</t>
        </is>
      </c>
      <c r="L3083" s="1" t="inlineStr">
        <is>
          <t>No</t>
        </is>
      </c>
      <c r="M3083" s="1" t="inlineStr">
        <is>
          <t>No</t>
        </is>
      </c>
      <c r="N3083" s="1" t="inlineStr">
        <is>
          <t>Algorithms</t>
        </is>
      </c>
      <c r="O30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84" ht="15.75" customHeight="1" s="12">
      <c r="A3084" s="1" t="n">
        <v>521</v>
      </c>
      <c r="B3084" s="3">
        <f>HYPERLINK("https://leetcode.com/problems/longest-uncommon-subsequence-i/", "Longest Uncommon Subsequence I")</f>
        <v/>
      </c>
      <c r="C3084" s="1" t="n">
        <v>107</v>
      </c>
      <c r="D3084" s="1" t="n">
        <v>339</v>
      </c>
      <c r="E3084" s="4">
        <f>IF(INDEX(C:C, ROW())+INDEX(D:D, ROW())=0, 0, INDEX(C:C, ROW())/(INDEX(C:C, ROW())+INDEX(D:D, ROW())))</f>
        <v/>
      </c>
      <c r="F3084" s="1" t="inlineStr">
        <is>
          <t>String</t>
        </is>
      </c>
      <c r="G3084" s="1" t="inlineStr">
        <is>
          <t>Easy</t>
        </is>
      </c>
      <c r="H3084" s="1" t="n">
        <v>146389</v>
      </c>
      <c r="I3084" s="1" t="n">
        <v>236396</v>
      </c>
      <c r="J3084" s="9" t="n">
        <v>0.619</v>
      </c>
      <c r="K3084" s="1" t="inlineStr">
        <is>
          <t>Yes</t>
        </is>
      </c>
      <c r="L3084" s="1" t="inlineStr">
        <is>
          <t>Yes</t>
        </is>
      </c>
      <c r="M3084" s="1" t="inlineStr">
        <is>
          <t>No</t>
        </is>
      </c>
      <c r="N3084" s="1" t="inlineStr">
        <is>
          <t>Algorithms</t>
        </is>
      </c>
      <c r="O30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85" ht="15.75" customHeight="1" s="12">
      <c r="A3085" s="1" t="n">
        <v>1142</v>
      </c>
      <c r="B3085" s="3">
        <f>HYPERLINK("https://leetcode.com/problems/user-activity-for-the-past-30-days-ii/", "User Activity for the Past 30 Days II")</f>
        <v/>
      </c>
      <c r="C3085" s="1" t="n">
        <v>107</v>
      </c>
      <c r="D3085" s="1" t="n">
        <v>380</v>
      </c>
      <c r="E3085" s="4">
        <f>IF(INDEX(C:C, ROW())+INDEX(D:D, ROW())=0, 0, INDEX(C:C, ROW())/(INDEX(C:C, ROW())+INDEX(D:D, ROW())))</f>
        <v/>
      </c>
      <c r="F3085" s="1" t="inlineStr">
        <is>
          <t>Database</t>
        </is>
      </c>
      <c r="G3085" s="1" t="inlineStr">
        <is>
          <t>Easy</t>
        </is>
      </c>
      <c r="H3085" s="1" t="n">
        <v>48680</v>
      </c>
      <c r="I3085" s="1" t="n">
        <v>136633</v>
      </c>
      <c r="J3085" s="9" t="n">
        <v>0.356</v>
      </c>
      <c r="K3085" s="1" t="inlineStr">
        <is>
          <t>No</t>
        </is>
      </c>
      <c r="L3085" s="1" t="inlineStr">
        <is>
          <t>No</t>
        </is>
      </c>
      <c r="M3085" s="1" t="inlineStr">
        <is>
          <t>No</t>
        </is>
      </c>
      <c r="N3085" s="1" t="inlineStr">
        <is>
          <t>Database</t>
        </is>
      </c>
      <c r="O30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86" ht="15.75" customHeight="1" s="12">
      <c r="A3086" s="1" t="n">
        <v>2881</v>
      </c>
      <c r="B3086" s="3">
        <f>HYPERLINK("https://leetcode.com/problems/create-a-new-column/", "Create a New Column")</f>
        <v/>
      </c>
      <c r="C3086" s="1" t="n">
        <v>107</v>
      </c>
      <c r="D3086" s="1" t="n">
        <v>6</v>
      </c>
      <c r="E3086" s="4">
        <f>IF(INDEX(C:C, ROW())+INDEX(D:D, ROW())=0, 0, INDEX(C:C, ROW())/(INDEX(C:C, ROW())+INDEX(D:D, ROW())))</f>
        <v/>
      </c>
      <c r="F3086" s="2" t="n"/>
      <c r="G3086" s="1" t="inlineStr">
        <is>
          <t>Easy</t>
        </is>
      </c>
      <c r="H3086" s="1" t="n">
        <v>148749</v>
      </c>
      <c r="I3086" s="1" t="n">
        <v>164883</v>
      </c>
      <c r="J3086" s="9" t="n">
        <v>0.902</v>
      </c>
      <c r="K3086" s="1" t="inlineStr">
        <is>
          <t>Yes</t>
        </is>
      </c>
      <c r="L3086" s="1" t="inlineStr">
        <is>
          <t>Yes</t>
        </is>
      </c>
      <c r="M3086" s="1" t="inlineStr">
        <is>
          <t>No</t>
        </is>
      </c>
      <c r="N3086" s="1" t="inlineStr">
        <is>
          <t>pandas</t>
        </is>
      </c>
      <c r="O30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87" ht="15.75" customHeight="1" s="12">
      <c r="A3087" s="1" t="n">
        <v>2891</v>
      </c>
      <c r="B3087" s="3">
        <f>HYPERLINK("https://leetcode.com/problems/method-chaining/", "Method Chaining")</f>
        <v/>
      </c>
      <c r="C3087" s="1" t="n">
        <v>107</v>
      </c>
      <c r="D3087" s="1" t="n">
        <v>6</v>
      </c>
      <c r="E3087" s="4">
        <f>IF(INDEX(C:C, ROW())+INDEX(D:D, ROW())=0, 0, INDEX(C:C, ROW())/(INDEX(C:C, ROW())+INDEX(D:D, ROW())))</f>
        <v/>
      </c>
      <c r="F3087" s="2" t="n"/>
      <c r="G3087" s="1" t="inlineStr">
        <is>
          <t>Easy</t>
        </is>
      </c>
      <c r="H3087" s="1" t="n">
        <v>95919</v>
      </c>
      <c r="I3087" s="1" t="n">
        <v>125810</v>
      </c>
      <c r="J3087" s="9" t="n">
        <v>0.762</v>
      </c>
      <c r="K3087" s="1" t="inlineStr">
        <is>
          <t>Yes</t>
        </is>
      </c>
      <c r="L3087" s="1" t="inlineStr">
        <is>
          <t>Yes</t>
        </is>
      </c>
      <c r="M3087" s="1" t="inlineStr">
        <is>
          <t>No</t>
        </is>
      </c>
      <c r="N3087" s="1" t="inlineStr">
        <is>
          <t>pandas</t>
        </is>
      </c>
      <c r="O30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88" ht="15.75" customHeight="1" s="12">
      <c r="A3088" s="1" t="n">
        <v>3462</v>
      </c>
      <c r="B3088" s="3">
        <f>HYPERLINK("https://leetcode.com/problems/maximum-sum-with-at-most-k-elements/", "Maximum Sum With at Most K Elements")</f>
        <v/>
      </c>
      <c r="C3088" s="1" t="n">
        <v>107</v>
      </c>
      <c r="D3088" s="1" t="n">
        <v>4</v>
      </c>
      <c r="E3088" s="4">
        <f>IF(INDEX(C:C, ROW())+INDEX(D:D, ROW())=0, 0, INDEX(C:C, ROW())/(INDEX(C:C, ROW())+INDEX(D:D, ROW())))</f>
        <v/>
      </c>
      <c r="F3088" s="1" t="inlineStr">
        <is>
          <t>Array, Greedy, Sorting, Heap (Priority Queue), Matrix</t>
        </is>
      </c>
      <c r="G3088" s="1" t="inlineStr">
        <is>
          <t>Medium</t>
        </is>
      </c>
      <c r="H3088" s="1" t="n">
        <v>38475</v>
      </c>
      <c r="I3088" s="1" t="n">
        <v>63701</v>
      </c>
      <c r="J3088" s="9" t="n">
        <v>0.604</v>
      </c>
      <c r="K3088" s="1" t="inlineStr">
        <is>
          <t>Yes</t>
        </is>
      </c>
      <c r="L3088" s="1" t="inlineStr">
        <is>
          <t>No</t>
        </is>
      </c>
      <c r="M3088" s="1" t="inlineStr">
        <is>
          <t>No</t>
        </is>
      </c>
      <c r="N3088" s="1" t="inlineStr">
        <is>
          <t>Algorithms</t>
        </is>
      </c>
      <c r="O30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89" ht="15.75" customHeight="1" s="12">
      <c r="A3089" s="1" t="n">
        <v>3468</v>
      </c>
      <c r="B3089" s="3">
        <f>HYPERLINK("https://leetcode.com/problems/find-the-number-of-copy-arrays/", "Find the Number of Copy Arrays")</f>
        <v/>
      </c>
      <c r="C3089" s="1" t="n">
        <v>107</v>
      </c>
      <c r="D3089" s="1" t="n">
        <v>20</v>
      </c>
      <c r="E3089" s="4">
        <f>IF(INDEX(C:C, ROW())+INDEX(D:D, ROW())=0, 0, INDEX(C:C, ROW())/(INDEX(C:C, ROW())+INDEX(D:D, ROW())))</f>
        <v/>
      </c>
      <c r="F3089" s="1" t="inlineStr">
        <is>
          <t>Array, Math</t>
        </is>
      </c>
      <c r="G3089" s="1" t="inlineStr">
        <is>
          <t>Medium</t>
        </is>
      </c>
      <c r="H3089" s="1" t="n">
        <v>20889</v>
      </c>
      <c r="I3089" s="1" t="n">
        <v>44751</v>
      </c>
      <c r="J3089" s="9" t="n">
        <v>0.467</v>
      </c>
      <c r="K3089" s="1" t="inlineStr">
        <is>
          <t>Yes</t>
        </is>
      </c>
      <c r="L3089" s="1" t="inlineStr">
        <is>
          <t>No</t>
        </is>
      </c>
      <c r="M3089" s="1" t="inlineStr">
        <is>
          <t>No</t>
        </is>
      </c>
      <c r="N3089" s="1" t="inlineStr">
        <is>
          <t>Algorithms</t>
        </is>
      </c>
      <c r="O30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90" ht="15.75" customHeight="1" s="12">
      <c r="A3090" s="1" t="n">
        <v>3599</v>
      </c>
      <c r="B3090" s="3">
        <f>HYPERLINK("https://leetcode.com/problems/partition-array-to-minimize-xor/", "Partition Array to Minimize XOR")</f>
        <v/>
      </c>
      <c r="C3090" s="1" t="n">
        <v>107</v>
      </c>
      <c r="D3090" s="1" t="n">
        <v>7</v>
      </c>
      <c r="E3090" s="4">
        <f>IF(INDEX(C:C, ROW())+INDEX(D:D, ROW())=0, 0, INDEX(C:C, ROW())/(INDEX(C:C, ROW())+INDEX(D:D, ROW())))</f>
        <v/>
      </c>
      <c r="F3090" s="1" t="inlineStr">
        <is>
          <t>Array, Dynamic Programming, Bit Manipulation, Prefix Sum</t>
        </is>
      </c>
      <c r="G3090" s="1" t="inlineStr">
        <is>
          <t>Medium</t>
        </is>
      </c>
      <c r="H3090" s="1" t="n">
        <v>13815</v>
      </c>
      <c r="I3090" s="1" t="n">
        <v>33801</v>
      </c>
      <c r="J3090" s="9" t="n">
        <v>0.409</v>
      </c>
      <c r="K3090" s="1" t="inlineStr">
        <is>
          <t>Yes</t>
        </is>
      </c>
      <c r="L3090" s="1" t="inlineStr">
        <is>
          <t>No</t>
        </is>
      </c>
      <c r="M3090" s="1" t="inlineStr">
        <is>
          <t>No</t>
        </is>
      </c>
      <c r="N3090" s="1" t="inlineStr">
        <is>
          <t>Algorithms</t>
        </is>
      </c>
      <c r="O30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91" ht="15.75" customHeight="1" s="12">
      <c r="A3091" s="1" t="n">
        <v>3720</v>
      </c>
      <c r="B3091" s="3">
        <f>HYPERLINK("https://leetcode.com/problems/lexicographically-smallest-permutation-greater-than-target/", "Lexicographically Smallest Permutation Greater Than Target")</f>
        <v/>
      </c>
      <c r="C3091" s="1" t="n">
        <v>107</v>
      </c>
      <c r="D3091" s="1" t="n">
        <v>7</v>
      </c>
      <c r="E3091" s="4">
        <f>IF(INDEX(C:C, ROW())+INDEX(D:D, ROW())=0, 0, INDEX(C:C, ROW())/(INDEX(C:C, ROW())+INDEX(D:D, ROW())))</f>
        <v/>
      </c>
      <c r="F3091" s="1" t="inlineStr">
        <is>
          <t>Hash Table, String, Greedy, Counting, Enumeration</t>
        </is>
      </c>
      <c r="G3091" s="1" t="inlineStr">
        <is>
          <t>Medium</t>
        </is>
      </c>
      <c r="H3091" s="1" t="n">
        <v>12156</v>
      </c>
      <c r="I3091" s="1" t="n">
        <v>46275</v>
      </c>
      <c r="J3091" s="9" t="n">
        <v>0.263</v>
      </c>
      <c r="K3091" s="1" t="inlineStr">
        <is>
          <t>Yes</t>
        </is>
      </c>
      <c r="L3091" s="1" t="inlineStr">
        <is>
          <t>No</t>
        </is>
      </c>
      <c r="M3091" s="1" t="inlineStr">
        <is>
          <t>No</t>
        </is>
      </c>
      <c r="N3091" s="1" t="inlineStr">
        <is>
          <t>Algorithms</t>
        </is>
      </c>
      <c r="O30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92" ht="15.75" customHeight="1" s="12">
      <c r="A3092" s="1" t="n">
        <v>972</v>
      </c>
      <c r="B3092" s="3">
        <f>HYPERLINK("https://leetcode.com/problems/equal-rational-numbers/", "Equal Rational Numbers")</f>
        <v/>
      </c>
      <c r="C3092" s="1" t="n">
        <v>106</v>
      </c>
      <c r="D3092" s="1" t="n">
        <v>218</v>
      </c>
      <c r="E3092" s="4">
        <f>IF(INDEX(C:C, ROW())+INDEX(D:D, ROW())=0, 0, INDEX(C:C, ROW())/(INDEX(C:C, ROW())+INDEX(D:D, ROW())))</f>
        <v/>
      </c>
      <c r="F3092" s="1" t="inlineStr">
        <is>
          <t>Math, String</t>
        </is>
      </c>
      <c r="G3092" s="1" t="inlineStr">
        <is>
          <t>Hard</t>
        </is>
      </c>
      <c r="H3092" s="1" t="n">
        <v>9610</v>
      </c>
      <c r="I3092" s="1" t="n">
        <v>20957</v>
      </c>
      <c r="J3092" s="9" t="n">
        <v>0.459</v>
      </c>
      <c r="K3092" s="1" t="inlineStr">
        <is>
          <t>Yes</t>
        </is>
      </c>
      <c r="L3092" s="1" t="inlineStr">
        <is>
          <t>Yes</t>
        </is>
      </c>
      <c r="M3092" s="1" t="inlineStr">
        <is>
          <t>No</t>
        </is>
      </c>
      <c r="N3092" s="1" t="inlineStr">
        <is>
          <t>Algorithms</t>
        </is>
      </c>
      <c r="O30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93" ht="15.75" customHeight="1" s="12">
      <c r="A3093" s="1" t="n">
        <v>3260</v>
      </c>
      <c r="B3093" s="3">
        <f>HYPERLINK("https://leetcode.com/problems/find-the-largest-palindrome-divisible-by-k/", "Find the Largest Palindrome Divisible by K")</f>
        <v/>
      </c>
      <c r="C3093" s="1" t="n">
        <v>106</v>
      </c>
      <c r="D3093" s="1" t="n">
        <v>69</v>
      </c>
      <c r="E3093" s="4">
        <f>IF(INDEX(C:C, ROW())+INDEX(D:D, ROW())=0, 0, INDEX(C:C, ROW())/(INDEX(C:C, ROW())+INDEX(D:D, ROW())))</f>
        <v/>
      </c>
      <c r="F3093" s="1" t="inlineStr">
        <is>
          <t>Math, String, Dynamic Programming, Greedy, Number Theory</t>
        </is>
      </c>
      <c r="G3093" s="1" t="inlineStr">
        <is>
          <t>Hard</t>
        </is>
      </c>
      <c r="H3093" s="1" t="n">
        <v>9047</v>
      </c>
      <c r="I3093" s="1" t="n">
        <v>53857</v>
      </c>
      <c r="J3093" s="9" t="n">
        <v>0.168</v>
      </c>
      <c r="K3093" s="1" t="inlineStr">
        <is>
          <t>Yes</t>
        </is>
      </c>
      <c r="L3093" s="1" t="inlineStr">
        <is>
          <t>No</t>
        </is>
      </c>
      <c r="M3093" s="1" t="inlineStr">
        <is>
          <t>No</t>
        </is>
      </c>
      <c r="N3093" s="1" t="inlineStr">
        <is>
          <t>Algorithms</t>
        </is>
      </c>
      <c r="O30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94" ht="15.75" customHeight="1" s="12">
      <c r="A3094" s="1" t="n">
        <v>3309</v>
      </c>
      <c r="B3094" s="3">
        <f>HYPERLINK("https://leetcode.com/problems/maximum-possible-number-by-binary-concatenation/", "Maximum Possible Number by Binary Concatenation")</f>
        <v/>
      </c>
      <c r="C3094" s="1" t="n">
        <v>106</v>
      </c>
      <c r="D3094" s="1" t="n">
        <v>7</v>
      </c>
      <c r="E3094" s="4">
        <f>IF(INDEX(C:C, ROW())+INDEX(D:D, ROW())=0, 0, INDEX(C:C, ROW())/(INDEX(C:C, ROW())+INDEX(D:D, ROW())))</f>
        <v/>
      </c>
      <c r="F3094" s="1" t="inlineStr">
        <is>
          <t>Array, Bit Manipulation, Enumeration</t>
        </is>
      </c>
      <c r="G3094" s="1" t="inlineStr">
        <is>
          <t>Medium</t>
        </is>
      </c>
      <c r="H3094" s="1" t="n">
        <v>35754</v>
      </c>
      <c r="I3094" s="1" t="n">
        <v>54832</v>
      </c>
      <c r="J3094" s="9" t="n">
        <v>0.652</v>
      </c>
      <c r="K3094" s="1" t="inlineStr">
        <is>
          <t>Yes</t>
        </is>
      </c>
      <c r="L3094" s="1" t="inlineStr">
        <is>
          <t>No</t>
        </is>
      </c>
      <c r="M3094" s="1" t="inlineStr">
        <is>
          <t>No</t>
        </is>
      </c>
      <c r="N3094" s="1" t="inlineStr">
        <is>
          <t>Algorithms</t>
        </is>
      </c>
      <c r="O30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95" ht="15.75" customHeight="1" s="12">
      <c r="A3095" s="1" t="n">
        <v>3532</v>
      </c>
      <c r="B3095" s="3">
        <f>HYPERLINK("https://leetcode.com/problems/path-existence-queries-in-a-graph-i/", "Path Existence Queries in a Graph I")</f>
        <v/>
      </c>
      <c r="C3095" s="1" t="n">
        <v>106</v>
      </c>
      <c r="D3095" s="1" t="n">
        <v>4</v>
      </c>
      <c r="E3095" s="4">
        <f>IF(INDEX(C:C, ROW())+INDEX(D:D, ROW())=0, 0, INDEX(C:C, ROW())/(INDEX(C:C, ROW())+INDEX(D:D, ROW())))</f>
        <v/>
      </c>
      <c r="F3095" s="1" t="inlineStr">
        <is>
          <t>Array, Hash Table, Binary Search, Union-Find, Graph Theory</t>
        </is>
      </c>
      <c r="G3095" s="1" t="inlineStr">
        <is>
          <t>Medium</t>
        </is>
      </c>
      <c r="H3095" s="1" t="n">
        <v>21373</v>
      </c>
      <c r="I3095" s="1" t="n">
        <v>38676</v>
      </c>
      <c r="J3095" s="9" t="n">
        <v>0.553</v>
      </c>
      <c r="K3095" s="1" t="inlineStr">
        <is>
          <t>Yes</t>
        </is>
      </c>
      <c r="L3095" s="1" t="inlineStr">
        <is>
          <t>No</t>
        </is>
      </c>
      <c r="M3095" s="1" t="inlineStr">
        <is>
          <t>No</t>
        </is>
      </c>
      <c r="N3095" s="1" t="inlineStr">
        <is>
          <t>Algorithms</t>
        </is>
      </c>
      <c r="O30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96" ht="15.75" customHeight="1" s="12">
      <c r="A3096" s="1" t="n">
        <v>2173</v>
      </c>
      <c r="B3096" s="3">
        <f>HYPERLINK("https://leetcode.com/problems/longest-winning-streak/", "Longest Winning Streak")</f>
        <v/>
      </c>
      <c r="C3096" s="1" t="n">
        <v>105</v>
      </c>
      <c r="D3096" s="1" t="n">
        <v>4</v>
      </c>
      <c r="E3096" s="4">
        <f>IF(INDEX(C:C, ROW())+INDEX(D:D, ROW())=0, 0, INDEX(C:C, ROW())/(INDEX(C:C, ROW())+INDEX(D:D, ROW())))</f>
        <v/>
      </c>
      <c r="F3096" s="1" t="inlineStr">
        <is>
          <t>Database</t>
        </is>
      </c>
      <c r="G3096" s="1" t="inlineStr">
        <is>
          <t>Hard</t>
        </is>
      </c>
      <c r="H3096" s="1" t="n">
        <v>7401</v>
      </c>
      <c r="I3096" s="1" t="n">
        <v>13620</v>
      </c>
      <c r="J3096" s="9" t="n">
        <v>0.543</v>
      </c>
      <c r="K3096" s="1" t="inlineStr">
        <is>
          <t>No</t>
        </is>
      </c>
      <c r="L3096" s="1" t="inlineStr">
        <is>
          <t>Yes</t>
        </is>
      </c>
      <c r="M3096" s="1" t="inlineStr">
        <is>
          <t>No</t>
        </is>
      </c>
      <c r="N3096" s="1" t="inlineStr">
        <is>
          <t>Database</t>
        </is>
      </c>
      <c r="O30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97" ht="15.75" customHeight="1" s="12">
      <c r="A3097" s="1" t="n">
        <v>3388</v>
      </c>
      <c r="B3097" s="3">
        <f>HYPERLINK("https://leetcode.com/problems/count-beautiful-splits-in-an-array/", "Count Beautiful Splits in an Array")</f>
        <v/>
      </c>
      <c r="C3097" s="1" t="n">
        <v>105</v>
      </c>
      <c r="D3097" s="1" t="n">
        <v>25</v>
      </c>
      <c r="E3097" s="4">
        <f>IF(INDEX(C:C, ROW())+INDEX(D:D, ROW())=0, 0, INDEX(C:C, ROW())/(INDEX(C:C, ROW())+INDEX(D:D, ROW())))</f>
        <v/>
      </c>
      <c r="F3097" s="1" t="inlineStr">
        <is>
          <t>Array, Dynamic Programming</t>
        </is>
      </c>
      <c r="G3097" s="1" t="inlineStr">
        <is>
          <t>Medium</t>
        </is>
      </c>
      <c r="H3097" s="1" t="n">
        <v>7770</v>
      </c>
      <c r="I3097" s="1" t="n">
        <v>42131</v>
      </c>
      <c r="J3097" s="9" t="n">
        <v>0.184</v>
      </c>
      <c r="K3097" s="1" t="inlineStr">
        <is>
          <t>Yes</t>
        </is>
      </c>
      <c r="L3097" s="1" t="inlineStr">
        <is>
          <t>No</t>
        </is>
      </c>
      <c r="M3097" s="1" t="inlineStr">
        <is>
          <t>No</t>
        </is>
      </c>
      <c r="N3097" s="1" t="inlineStr">
        <is>
          <t>Algorithms</t>
        </is>
      </c>
      <c r="O30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98" ht="15.75" customHeight="1" s="12">
      <c r="A3098" s="1" t="n">
        <v>3457</v>
      </c>
      <c r="B3098" s="3">
        <f>HYPERLINK("https://leetcode.com/problems/eat-pizzas/", "Eat Pizzas!")</f>
        <v/>
      </c>
      <c r="C3098" s="1" t="n">
        <v>105</v>
      </c>
      <c r="D3098" s="1" t="n">
        <v>16</v>
      </c>
      <c r="E3098" s="4">
        <f>IF(INDEX(C:C, ROW())+INDEX(D:D, ROW())=0, 0, INDEX(C:C, ROW())/(INDEX(C:C, ROW())+INDEX(D:D, ROW())))</f>
        <v/>
      </c>
      <c r="F3098" s="1" t="inlineStr">
        <is>
          <t>Array, Greedy, Sorting</t>
        </is>
      </c>
      <c r="G3098" s="1" t="inlineStr">
        <is>
          <t>Medium</t>
        </is>
      </c>
      <c r="H3098" s="1" t="n">
        <v>24252</v>
      </c>
      <c r="I3098" s="1" t="n">
        <v>73588</v>
      </c>
      <c r="J3098" s="9" t="n">
        <v>0.33</v>
      </c>
      <c r="K3098" s="1" t="inlineStr">
        <is>
          <t>Yes</t>
        </is>
      </c>
      <c r="L3098" s="1" t="inlineStr">
        <is>
          <t>No</t>
        </is>
      </c>
      <c r="M3098" s="1" t="inlineStr">
        <is>
          <t>No</t>
        </is>
      </c>
      <c r="N3098" s="1" t="inlineStr">
        <is>
          <t>Algorithms</t>
        </is>
      </c>
      <c r="O30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099" ht="15.75" customHeight="1" s="12">
      <c r="A3099" s="1" t="n">
        <v>1908</v>
      </c>
      <c r="B3099" s="3">
        <f>HYPERLINK("https://leetcode.com/problems/game-of-nim/", "Game of Nim")</f>
        <v/>
      </c>
      <c r="C3099" s="1" t="n">
        <v>104</v>
      </c>
      <c r="D3099" s="1" t="n">
        <v>40</v>
      </c>
      <c r="E3099" s="4">
        <f>IF(INDEX(C:C, ROW())+INDEX(D:D, ROW())=0, 0, INDEX(C:C, ROW())/(INDEX(C:C, ROW())+INDEX(D:D, ROW())))</f>
        <v/>
      </c>
      <c r="F3099" s="1" t="inlineStr">
        <is>
          <t>Array, Math, Dynamic Programming, Bit Manipulation, Brainteaser, Game Theory</t>
        </is>
      </c>
      <c r="G3099" s="1" t="inlineStr">
        <is>
          <t>Medium</t>
        </is>
      </c>
      <c r="H3099" s="1" t="n">
        <v>5114</v>
      </c>
      <c r="I3099" s="1" t="n">
        <v>8180</v>
      </c>
      <c r="J3099" s="9" t="n">
        <v>0.625</v>
      </c>
      <c r="K3099" s="1" t="inlineStr">
        <is>
          <t>No</t>
        </is>
      </c>
      <c r="L3099" s="1" t="inlineStr">
        <is>
          <t>Yes</t>
        </is>
      </c>
      <c r="M3099" s="1" t="inlineStr">
        <is>
          <t>No</t>
        </is>
      </c>
      <c r="N3099" s="1" t="inlineStr">
        <is>
          <t>Algorithms</t>
        </is>
      </c>
      <c r="O30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00" ht="15.75" customHeight="1" s="12">
      <c r="A3100" s="1" t="n">
        <v>1983</v>
      </c>
      <c r="B3100" s="3">
        <f>HYPERLINK("https://leetcode.com/problems/widest-pair-of-indices-with-equal-range-sum/", "Widest Pair of Indices With Equal Range Sum")</f>
        <v/>
      </c>
      <c r="C3100" s="1" t="n">
        <v>104</v>
      </c>
      <c r="D3100" s="1" t="n">
        <v>3</v>
      </c>
      <c r="E3100" s="4">
        <f>IF(INDEX(C:C, ROW())+INDEX(D:D, ROW())=0, 0, INDEX(C:C, ROW())/(INDEX(C:C, ROW())+INDEX(D:D, ROW())))</f>
        <v/>
      </c>
      <c r="F3100" s="1" t="inlineStr">
        <is>
          <t>Array, Hash Table, Prefix Sum</t>
        </is>
      </c>
      <c r="G3100" s="1" t="inlineStr">
        <is>
          <t>Medium</t>
        </is>
      </c>
      <c r="H3100" s="1" t="n">
        <v>3492</v>
      </c>
      <c r="I3100" s="1" t="n">
        <v>6483</v>
      </c>
      <c r="J3100" s="9" t="n">
        <v>0.539</v>
      </c>
      <c r="K3100" s="1" t="inlineStr">
        <is>
          <t>No</t>
        </is>
      </c>
      <c r="L3100" s="1" t="inlineStr">
        <is>
          <t>No</t>
        </is>
      </c>
      <c r="M3100" s="1" t="inlineStr">
        <is>
          <t>No</t>
        </is>
      </c>
      <c r="N3100" s="1" t="inlineStr">
        <is>
          <t>Algorithms</t>
        </is>
      </c>
      <c r="O31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01" ht="15.75" customHeight="1" s="12">
      <c r="A3101" s="1" t="n">
        <v>2168</v>
      </c>
      <c r="B3101" s="3">
        <f>HYPERLINK("https://leetcode.com/problems/unique-substrings-with-equal-digit-frequency/", "Unique Substrings With Equal Digit Frequency")</f>
        <v/>
      </c>
      <c r="C3101" s="1" t="n">
        <v>104</v>
      </c>
      <c r="D3101" s="1" t="n">
        <v>13</v>
      </c>
      <c r="E3101" s="4">
        <f>IF(INDEX(C:C, ROW())+INDEX(D:D, ROW())=0, 0, INDEX(C:C, ROW())/(INDEX(C:C, ROW())+INDEX(D:D, ROW())))</f>
        <v/>
      </c>
      <c r="F3101" s="1" t="inlineStr">
        <is>
          <t>Hash Table, String, Rolling Hash, Counting, Hash Function</t>
        </is>
      </c>
      <c r="G3101" s="1" t="inlineStr">
        <is>
          <t>Medium</t>
        </is>
      </c>
      <c r="H3101" s="1" t="n">
        <v>9647</v>
      </c>
      <c r="I3101" s="1" t="n">
        <v>14983</v>
      </c>
      <c r="J3101" s="9" t="n">
        <v>0.644</v>
      </c>
      <c r="K3101" s="1" t="inlineStr">
        <is>
          <t>No</t>
        </is>
      </c>
      <c r="L3101" s="1" t="inlineStr">
        <is>
          <t>Yes</t>
        </is>
      </c>
      <c r="M3101" s="1" t="inlineStr">
        <is>
          <t>No</t>
        </is>
      </c>
      <c r="N3101" s="1" t="inlineStr">
        <is>
          <t>Algorithms</t>
        </is>
      </c>
      <c r="O31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02" ht="15.75" customHeight="1" s="12">
      <c r="A3102" s="1" t="n">
        <v>3776</v>
      </c>
      <c r="B3102" s="3">
        <f>HYPERLINK("https://leetcode.com/problems/minimum-moves-to-balance-circular-array/", "Minimum Moves to Balance Circular Array")</f>
        <v/>
      </c>
      <c r="C3102" s="1" t="n">
        <v>104</v>
      </c>
      <c r="D3102" s="1" t="n">
        <v>7</v>
      </c>
      <c r="E3102" s="4">
        <f>IF(INDEX(C:C, ROW())+INDEX(D:D, ROW())=0, 0, INDEX(C:C, ROW())/(INDEX(C:C, ROW())+INDEX(D:D, ROW())))</f>
        <v/>
      </c>
      <c r="F3102" s="1" t="inlineStr">
        <is>
          <t>Array, Greedy, Sorting</t>
        </is>
      </c>
      <c r="G3102" s="1" t="inlineStr">
        <is>
          <t>Medium</t>
        </is>
      </c>
      <c r="H3102" s="1" t="n">
        <v>19558</v>
      </c>
      <c r="I3102" s="1" t="n">
        <v>49087</v>
      </c>
      <c r="J3102" s="9" t="n">
        <v>0.398</v>
      </c>
      <c r="K3102" s="1" t="inlineStr">
        <is>
          <t>Yes</t>
        </is>
      </c>
      <c r="L3102" s="1" t="inlineStr">
        <is>
          <t>No</t>
        </is>
      </c>
      <c r="M3102" s="1" t="inlineStr">
        <is>
          <t>No</t>
        </is>
      </c>
      <c r="N3102" s="1" t="inlineStr">
        <is>
          <t>Algorithms</t>
        </is>
      </c>
      <c r="O31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03" ht="15.75" customHeight="1" s="12">
      <c r="A3103" s="1" t="n">
        <v>1843</v>
      </c>
      <c r="B3103" s="3">
        <f>HYPERLINK("https://leetcode.com/problems/suspicious-bank-accounts/", "Suspicious Bank Accounts")</f>
        <v/>
      </c>
      <c r="C3103" s="1" t="n">
        <v>103</v>
      </c>
      <c r="D3103" s="1" t="n">
        <v>59</v>
      </c>
      <c r="E3103" s="4">
        <f>IF(INDEX(C:C, ROW())+INDEX(D:D, ROW())=0, 0, INDEX(C:C, ROW())/(INDEX(C:C, ROW())+INDEX(D:D, ROW())))</f>
        <v/>
      </c>
      <c r="F3103" s="1" t="inlineStr">
        <is>
          <t>Database</t>
        </is>
      </c>
      <c r="G3103" s="1" t="inlineStr">
        <is>
          <t>Medium</t>
        </is>
      </c>
      <c r="H3103" s="1" t="n">
        <v>14703</v>
      </c>
      <c r="I3103" s="1" t="n">
        <v>33228</v>
      </c>
      <c r="J3103" s="9" t="n">
        <v>0.442</v>
      </c>
      <c r="K3103" s="1" t="inlineStr">
        <is>
          <t>No</t>
        </is>
      </c>
      <c r="L3103" s="1" t="inlineStr">
        <is>
          <t>Yes</t>
        </is>
      </c>
      <c r="M3103" s="1" t="inlineStr">
        <is>
          <t>No</t>
        </is>
      </c>
      <c r="N3103" s="1" t="inlineStr">
        <is>
          <t>Database</t>
        </is>
      </c>
      <c r="O31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04" ht="15.75" customHeight="1" s="12">
      <c r="A3104" s="1" t="n">
        <v>2036</v>
      </c>
      <c r="B3104" s="3">
        <f>HYPERLINK("https://leetcode.com/problems/maximum-alternating-subarray-sum/", "Maximum Alternating Subarray Sum")</f>
        <v/>
      </c>
      <c r="C3104" s="1" t="n">
        <v>103</v>
      </c>
      <c r="D3104" s="1" t="n">
        <v>6</v>
      </c>
      <c r="E3104" s="4">
        <f>IF(INDEX(C:C, ROW())+INDEX(D:D, ROW())=0, 0, INDEX(C:C, ROW())/(INDEX(C:C, ROW())+INDEX(D:D, ROW())))</f>
        <v/>
      </c>
      <c r="F3104" s="1" t="inlineStr">
        <is>
          <t>Array, Dynamic Programming</t>
        </is>
      </c>
      <c r="G3104" s="1" t="inlineStr">
        <is>
          <t>Medium</t>
        </is>
      </c>
      <c r="H3104" s="1" t="n">
        <v>4311</v>
      </c>
      <c r="I3104" s="1" t="n">
        <v>10801</v>
      </c>
      <c r="J3104" s="9" t="n">
        <v>0.399</v>
      </c>
      <c r="K3104" s="1" t="inlineStr">
        <is>
          <t>No</t>
        </is>
      </c>
      <c r="L3104" s="1" t="inlineStr">
        <is>
          <t>No</t>
        </is>
      </c>
      <c r="M3104" s="1" t="inlineStr">
        <is>
          <t>No</t>
        </is>
      </c>
      <c r="N3104" s="1" t="inlineStr">
        <is>
          <t>Algorithms</t>
        </is>
      </c>
      <c r="O31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05" ht="15.75" customHeight="1" s="12">
      <c r="A3105" s="1" t="n">
        <v>3331</v>
      </c>
      <c r="B3105" s="3">
        <f>HYPERLINK("https://leetcode.com/problems/find-subtree-sizes-after-changes/", "Find Subtree Sizes After Changes")</f>
        <v/>
      </c>
      <c r="C3105" s="1" t="n">
        <v>103</v>
      </c>
      <c r="D3105" s="1" t="n">
        <v>37</v>
      </c>
      <c r="E3105" s="4">
        <f>IF(INDEX(C:C, ROW())+INDEX(D:D, ROW())=0, 0, INDEX(C:C, ROW())/(INDEX(C:C, ROW())+INDEX(D:D, ROW())))</f>
        <v/>
      </c>
      <c r="F3105" s="1" t="inlineStr">
        <is>
          <t>Array, Hash Table, String, Tree, Depth-First Search</t>
        </is>
      </c>
      <c r="G3105" s="1" t="inlineStr">
        <is>
          <t>Medium</t>
        </is>
      </c>
      <c r="H3105" s="1" t="n">
        <v>16295</v>
      </c>
      <c r="I3105" s="1" t="n">
        <v>30255</v>
      </c>
      <c r="J3105" s="9" t="n">
        <v>0.539</v>
      </c>
      <c r="K3105" s="1" t="inlineStr">
        <is>
          <t>Yes</t>
        </is>
      </c>
      <c r="L3105" s="1" t="inlineStr">
        <is>
          <t>No</t>
        </is>
      </c>
      <c r="M3105" s="1" t="inlineStr">
        <is>
          <t>No</t>
        </is>
      </c>
      <c r="N3105" s="1" t="inlineStr">
        <is>
          <t>Algorithms</t>
        </is>
      </c>
      <c r="O31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06" ht="15.75" customHeight="1" s="12">
      <c r="A3106" s="1" t="n">
        <v>3376</v>
      </c>
      <c r="B3106" s="3">
        <f>HYPERLINK("https://leetcode.com/problems/minimum-time-to-break-locks-i/", "Minimum Time to Break Locks I")</f>
        <v/>
      </c>
      <c r="C3106" s="1" t="n">
        <v>103</v>
      </c>
      <c r="D3106" s="1" t="n">
        <v>24</v>
      </c>
      <c r="E3106" s="4">
        <f>IF(INDEX(C:C, ROW())+INDEX(D:D, ROW())=0, 0, INDEX(C:C, ROW())/(INDEX(C:C, ROW())+INDEX(D:D, ROW())))</f>
        <v/>
      </c>
      <c r="F3106" s="1" t="inlineStr">
        <is>
          <t>Array, Dynamic Programming, Backtracking, Bit Manipulation, Depth-First Search, Bitmask DP</t>
        </is>
      </c>
      <c r="G3106" s="1" t="inlineStr">
        <is>
          <t>Medium</t>
        </is>
      </c>
      <c r="H3106" s="1" t="n">
        <v>13632</v>
      </c>
      <c r="I3106" s="1" t="n">
        <v>42787</v>
      </c>
      <c r="J3106" s="9" t="n">
        <v>0.319</v>
      </c>
      <c r="K3106" s="1" t="inlineStr">
        <is>
          <t>Yes</t>
        </is>
      </c>
      <c r="L3106" s="1" t="inlineStr">
        <is>
          <t>No</t>
        </is>
      </c>
      <c r="M3106" s="1" t="inlineStr">
        <is>
          <t>No</t>
        </is>
      </c>
      <c r="N3106" s="1" t="inlineStr">
        <is>
          <t>Algorithms</t>
        </is>
      </c>
      <c r="O31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07" ht="15.75" customHeight="1" s="12">
      <c r="A3107" s="1" t="n">
        <v>469</v>
      </c>
      <c r="B3107" s="3">
        <f>HYPERLINK("https://leetcode.com/problems/convex-polygon/", "Convex Polygon")</f>
        <v/>
      </c>
      <c r="C3107" s="1" t="n">
        <v>102</v>
      </c>
      <c r="D3107" s="1" t="n">
        <v>242</v>
      </c>
      <c r="E3107" s="4">
        <f>IF(INDEX(C:C, ROW())+INDEX(D:D, ROW())=0, 0, INDEX(C:C, ROW())/(INDEX(C:C, ROW())+INDEX(D:D, ROW())))</f>
        <v/>
      </c>
      <c r="F3107" s="1" t="inlineStr">
        <is>
          <t>Array, Math, Geometry</t>
        </is>
      </c>
      <c r="G3107" s="1" t="inlineStr">
        <is>
          <t>Medium</t>
        </is>
      </c>
      <c r="H3107" s="1" t="n">
        <v>11552</v>
      </c>
      <c r="I3107" s="1" t="n">
        <v>28783</v>
      </c>
      <c r="J3107" s="9" t="n">
        <v>0.401</v>
      </c>
      <c r="K3107" s="1" t="inlineStr">
        <is>
          <t>No</t>
        </is>
      </c>
      <c r="L3107" s="1" t="inlineStr">
        <is>
          <t>No</t>
        </is>
      </c>
      <c r="M3107" s="1" t="inlineStr">
        <is>
          <t>No</t>
        </is>
      </c>
      <c r="N3107" s="1" t="inlineStr">
        <is>
          <t>Algorithms</t>
        </is>
      </c>
      <c r="O31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08" ht="15.75" customHeight="1" s="12">
      <c r="A3108" s="1" t="n">
        <v>3251</v>
      </c>
      <c r="B3108" s="3">
        <f>HYPERLINK("https://leetcode.com/problems/find-the-count-of-monotonic-pairs-ii/", "Find the Count of Monotonic Pairs II")</f>
        <v/>
      </c>
      <c r="C3108" s="1" t="n">
        <v>102</v>
      </c>
      <c r="D3108" s="1" t="n">
        <v>6</v>
      </c>
      <c r="E3108" s="4">
        <f>IF(INDEX(C:C, ROW())+INDEX(D:D, ROW())=0, 0, INDEX(C:C, ROW())/(INDEX(C:C, ROW())+INDEX(D:D, ROW())))</f>
        <v/>
      </c>
      <c r="F3108" s="1" t="inlineStr">
        <is>
          <t>Array, Math, Dynamic Programming, Combinatorics, Prefix Sum</t>
        </is>
      </c>
      <c r="G3108" s="1" t="inlineStr">
        <is>
          <t>Hard</t>
        </is>
      </c>
      <c r="H3108" s="1" t="n">
        <v>7939</v>
      </c>
      <c r="I3108" s="1" t="n">
        <v>32527</v>
      </c>
      <c r="J3108" s="9" t="n">
        <v>0.244</v>
      </c>
      <c r="K3108" s="1" t="inlineStr">
        <is>
          <t>Yes</t>
        </is>
      </c>
      <c r="L3108" s="1" t="inlineStr">
        <is>
          <t>No</t>
        </is>
      </c>
      <c r="M3108" s="1" t="inlineStr">
        <is>
          <t>No</t>
        </is>
      </c>
      <c r="N3108" s="1" t="inlineStr">
        <is>
          <t>Algorithms</t>
        </is>
      </c>
      <c r="O31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09" ht="15.75" customHeight="1" s="12">
      <c r="A3109" s="1" t="n">
        <v>3320</v>
      </c>
      <c r="B3109" s="3">
        <f>HYPERLINK("https://leetcode.com/problems/count-the-number-of-winning-sequences/", "Count The Number of Winning Sequences")</f>
        <v/>
      </c>
      <c r="C3109" s="1" t="n">
        <v>102</v>
      </c>
      <c r="D3109" s="1" t="n">
        <v>5</v>
      </c>
      <c r="E3109" s="4">
        <f>IF(INDEX(C:C, ROW())+INDEX(D:D, ROW())=0, 0, INDEX(C:C, ROW())/(INDEX(C:C, ROW())+INDEX(D:D, ROW())))</f>
        <v/>
      </c>
      <c r="F3109" s="1" t="inlineStr">
        <is>
          <t>String, Dynamic Programming</t>
        </is>
      </c>
      <c r="G3109" s="1" t="inlineStr">
        <is>
          <t>Hard</t>
        </is>
      </c>
      <c r="H3109" s="1" t="n">
        <v>10456</v>
      </c>
      <c r="I3109" s="1" t="n">
        <v>32755</v>
      </c>
      <c r="J3109" s="9" t="n">
        <v>0.319</v>
      </c>
      <c r="K3109" s="1" t="inlineStr">
        <is>
          <t>Yes</t>
        </is>
      </c>
      <c r="L3109" s="1" t="inlineStr">
        <is>
          <t>No</t>
        </is>
      </c>
      <c r="M3109" s="1" t="inlineStr">
        <is>
          <t>No</t>
        </is>
      </c>
      <c r="N3109" s="1" t="inlineStr">
        <is>
          <t>Algorithms</t>
        </is>
      </c>
      <c r="O31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10" ht="15.75" customHeight="1" s="12">
      <c r="A3110" s="1" t="n">
        <v>3427</v>
      </c>
      <c r="B3110" s="3">
        <f>HYPERLINK("https://leetcode.com/problems/sum-of-variable-length-subarrays/", "Sum of Variable Length Subarrays")</f>
        <v/>
      </c>
      <c r="C3110" s="1" t="n">
        <v>102</v>
      </c>
      <c r="D3110" s="1" t="n">
        <v>31</v>
      </c>
      <c r="E3110" s="4">
        <f>IF(INDEX(C:C, ROW())+INDEX(D:D, ROW())=0, 0, INDEX(C:C, ROW())/(INDEX(C:C, ROW())+INDEX(D:D, ROW())))</f>
        <v/>
      </c>
      <c r="F3110" s="1" t="inlineStr">
        <is>
          <t>Array, Prefix Sum</t>
        </is>
      </c>
      <c r="G3110" s="1" t="inlineStr">
        <is>
          <t>Easy</t>
        </is>
      </c>
      <c r="H3110" s="1" t="n">
        <v>53279</v>
      </c>
      <c r="I3110" s="1" t="n">
        <v>62349</v>
      </c>
      <c r="J3110" s="9" t="n">
        <v>0.855</v>
      </c>
      <c r="K3110" s="1" t="inlineStr">
        <is>
          <t>Yes</t>
        </is>
      </c>
      <c r="L3110" s="1" t="inlineStr">
        <is>
          <t>No</t>
        </is>
      </c>
      <c r="M3110" s="1" t="inlineStr">
        <is>
          <t>No</t>
        </is>
      </c>
      <c r="N3110" s="1" t="inlineStr">
        <is>
          <t>Algorithms</t>
        </is>
      </c>
      <c r="O31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11" ht="15.75" customHeight="1" s="12">
      <c r="A3111" s="1" t="n">
        <v>2082</v>
      </c>
      <c r="B3111" s="3">
        <f>HYPERLINK("https://leetcode.com/problems/the-number-of-rich-customers/", "The Number of Rich Customers")</f>
        <v/>
      </c>
      <c r="C3111" s="1" t="n">
        <v>101</v>
      </c>
      <c r="D3111" s="1" t="n">
        <v>25</v>
      </c>
      <c r="E3111" s="4">
        <f>IF(INDEX(C:C, ROW())+INDEX(D:D, ROW())=0, 0, INDEX(C:C, ROW())/(INDEX(C:C, ROW())+INDEX(D:D, ROW())))</f>
        <v/>
      </c>
      <c r="F3111" s="1" t="inlineStr">
        <is>
          <t>Database</t>
        </is>
      </c>
      <c r="G3111" s="1" t="inlineStr">
        <is>
          <t>Easy</t>
        </is>
      </c>
      <c r="H3111" s="1" t="n">
        <v>29951</v>
      </c>
      <c r="I3111" s="1" t="n">
        <v>38736</v>
      </c>
      <c r="J3111" s="9" t="n">
        <v>0.773</v>
      </c>
      <c r="K3111" s="1" t="inlineStr">
        <is>
          <t>No</t>
        </is>
      </c>
      <c r="L3111" s="1" t="inlineStr">
        <is>
          <t>Yes</t>
        </is>
      </c>
      <c r="M3111" s="1" t="inlineStr">
        <is>
          <t>No</t>
        </is>
      </c>
      <c r="N3111" s="1" t="inlineStr">
        <is>
          <t>Database</t>
        </is>
      </c>
      <c r="O31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12" ht="15.75" customHeight="1" s="12">
      <c r="A3112" s="1" t="n">
        <v>2883</v>
      </c>
      <c r="B3112" s="3">
        <f>HYPERLINK("https://leetcode.com/problems/drop-missing-data/", "Drop Missing Data")</f>
        <v/>
      </c>
      <c r="C3112" s="1" t="n">
        <v>101</v>
      </c>
      <c r="D3112" s="1" t="n">
        <v>7</v>
      </c>
      <c r="E3112" s="4">
        <f>IF(INDEX(C:C, ROW())+INDEX(D:D, ROW())=0, 0, INDEX(C:C, ROW())/(INDEX(C:C, ROW())+INDEX(D:D, ROW())))</f>
        <v/>
      </c>
      <c r="F3112" s="2" t="n"/>
      <c r="G3112" s="1" t="inlineStr">
        <is>
          <t>Easy</t>
        </is>
      </c>
      <c r="H3112" s="1" t="n">
        <v>124745</v>
      </c>
      <c r="I3112" s="1" t="n">
        <v>193483</v>
      </c>
      <c r="J3112" s="9" t="n">
        <v>0.645</v>
      </c>
      <c r="K3112" s="1" t="inlineStr">
        <is>
          <t>Yes</t>
        </is>
      </c>
      <c r="L3112" s="1" t="inlineStr">
        <is>
          <t>Yes</t>
        </is>
      </c>
      <c r="M3112" s="1" t="inlineStr">
        <is>
          <t>No</t>
        </is>
      </c>
      <c r="N3112" s="1" t="inlineStr">
        <is>
          <t>pandas</t>
        </is>
      </c>
      <c r="O31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13" ht="15.75" customHeight="1" s="12">
      <c r="A3113" s="1" t="n">
        <v>3044</v>
      </c>
      <c r="B3113" s="3">
        <f>HYPERLINK("https://leetcode.com/problems/most-frequent-prime/", "Most Frequent Prime")</f>
        <v/>
      </c>
      <c r="C3113" s="1" t="n">
        <v>101</v>
      </c>
      <c r="D3113" s="1" t="n">
        <v>70</v>
      </c>
      <c r="E3113" s="4">
        <f>IF(INDEX(C:C, ROW())+INDEX(D:D, ROW())=0, 0, INDEX(C:C, ROW())/(INDEX(C:C, ROW())+INDEX(D:D, ROW())))</f>
        <v/>
      </c>
      <c r="F3113" s="1" t="inlineStr">
        <is>
          <t>Array, Hash Table, Math, Matrix, Counting, Enumeration, Number Theory</t>
        </is>
      </c>
      <c r="G3113" s="1" t="inlineStr">
        <is>
          <t>Medium</t>
        </is>
      </c>
      <c r="H3113" s="1" t="n">
        <v>18425</v>
      </c>
      <c r="I3113" s="1" t="n">
        <v>40365</v>
      </c>
      <c r="J3113" s="9" t="n">
        <v>0.456</v>
      </c>
      <c r="K3113" s="1" t="inlineStr">
        <is>
          <t>Yes</t>
        </is>
      </c>
      <c r="L3113" s="1" t="inlineStr">
        <is>
          <t>No</t>
        </is>
      </c>
      <c r="M3113" s="1" t="inlineStr">
        <is>
          <t>No</t>
        </is>
      </c>
      <c r="N3113" s="1" t="inlineStr">
        <is>
          <t>Algorithms</t>
        </is>
      </c>
      <c r="O31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14" ht="15.75" customHeight="1" s="12">
      <c r="A3114" s="1" t="n">
        <v>3285</v>
      </c>
      <c r="B3114" s="3">
        <f>HYPERLINK("https://leetcode.com/problems/find-indices-of-stable-mountains/", "Find Indices of Stable Mountains")</f>
        <v/>
      </c>
      <c r="C3114" s="1" t="n">
        <v>101</v>
      </c>
      <c r="D3114" s="1" t="n">
        <v>39</v>
      </c>
      <c r="E3114" s="4">
        <f>IF(INDEX(C:C, ROW())+INDEX(D:D, ROW())=0, 0, INDEX(C:C, ROW())/(INDEX(C:C, ROW())+INDEX(D:D, ROW())))</f>
        <v/>
      </c>
      <c r="F3114" s="1" t="inlineStr">
        <is>
          <t>Array</t>
        </is>
      </c>
      <c r="G3114" s="1" t="inlineStr">
        <is>
          <t>Easy</t>
        </is>
      </c>
      <c r="H3114" s="1" t="n">
        <v>64959</v>
      </c>
      <c r="I3114" s="1" t="n">
        <v>74990</v>
      </c>
      <c r="J3114" s="9" t="n">
        <v>0.866</v>
      </c>
      <c r="K3114" s="1" t="inlineStr">
        <is>
          <t>Yes</t>
        </is>
      </c>
      <c r="L3114" s="1" t="inlineStr">
        <is>
          <t>No</t>
        </is>
      </c>
      <c r="M3114" s="1" t="inlineStr">
        <is>
          <t>No</t>
        </is>
      </c>
      <c r="N3114" s="1" t="inlineStr">
        <is>
          <t>Algorithms</t>
        </is>
      </c>
      <c r="O31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15" ht="15.75" customHeight="1" s="12">
      <c r="A3115" s="1" t="n">
        <v>3471</v>
      </c>
      <c r="B3115" s="3">
        <f>HYPERLINK("https://leetcode.com/problems/find-the-largest-almost-missing-integer/", "Find the Largest Almost Missing Integer")</f>
        <v/>
      </c>
      <c r="C3115" s="1" t="n">
        <v>101</v>
      </c>
      <c r="D3115" s="1" t="n">
        <v>42</v>
      </c>
      <c r="E3115" s="4">
        <f>IF(INDEX(C:C, ROW())+INDEX(D:D, ROW())=0, 0, INDEX(C:C, ROW())/(INDEX(C:C, ROW())+INDEX(D:D, ROW())))</f>
        <v/>
      </c>
      <c r="F3115" s="1" t="inlineStr">
        <is>
          <t>Array, Hash Table</t>
        </is>
      </c>
      <c r="G3115" s="1" t="inlineStr">
        <is>
          <t>Easy</t>
        </is>
      </c>
      <c r="H3115" s="1" t="n">
        <v>34961</v>
      </c>
      <c r="I3115" s="1" t="n">
        <v>94515</v>
      </c>
      <c r="J3115" s="9" t="n">
        <v>0.37</v>
      </c>
      <c r="K3115" s="1" t="inlineStr">
        <is>
          <t>Yes</t>
        </is>
      </c>
      <c r="L3115" s="1" t="inlineStr">
        <is>
          <t>No</t>
        </is>
      </c>
      <c r="M3115" s="1" t="inlineStr">
        <is>
          <t>No</t>
        </is>
      </c>
      <c r="N3115" s="1" t="inlineStr">
        <is>
          <t>Algorithms</t>
        </is>
      </c>
      <c r="O31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16" ht="15.75" customHeight="1" s="12">
      <c r="A3116" s="1" t="n">
        <v>3226</v>
      </c>
      <c r="B3116" s="3">
        <f>HYPERLINK("https://leetcode.com/problems/number-of-bit-changes-to-make-two-integers-equal/", "Number of Bit Changes to Make Two Integers Equal")</f>
        <v/>
      </c>
      <c r="C3116" s="1" t="n">
        <v>100</v>
      </c>
      <c r="D3116" s="1" t="n">
        <v>7</v>
      </c>
      <c r="E3116" s="4">
        <f>IF(INDEX(C:C, ROW())+INDEX(D:D, ROW())=0, 0, INDEX(C:C, ROW())/(INDEX(C:C, ROW())+INDEX(D:D, ROW())))</f>
        <v/>
      </c>
      <c r="F3116" s="1" t="inlineStr">
        <is>
          <t>Bit Manipulation</t>
        </is>
      </c>
      <c r="G3116" s="1" t="inlineStr">
        <is>
          <t>Easy</t>
        </is>
      </c>
      <c r="H3116" s="1" t="n">
        <v>50161</v>
      </c>
      <c r="I3116" s="1" t="n">
        <v>79285</v>
      </c>
      <c r="J3116" s="9" t="n">
        <v>0.633</v>
      </c>
      <c r="K3116" s="1" t="inlineStr">
        <is>
          <t>Yes</t>
        </is>
      </c>
      <c r="L3116" s="1" t="inlineStr">
        <is>
          <t>No</t>
        </is>
      </c>
      <c r="M3116" s="1" t="inlineStr">
        <is>
          <t>No</t>
        </is>
      </c>
      <c r="N3116" s="1" t="inlineStr">
        <is>
          <t>Algorithms</t>
        </is>
      </c>
      <c r="O31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17" ht="15.75" customHeight="1" s="12">
      <c r="A3117" s="1" t="n">
        <v>3270</v>
      </c>
      <c r="B3117" s="3">
        <f>HYPERLINK("https://leetcode.com/problems/find-the-key-of-the-numbers/", "Find the Key of the Numbers")</f>
        <v/>
      </c>
      <c r="C3117" s="1" t="n">
        <v>100</v>
      </c>
      <c r="D3117" s="1" t="n">
        <v>16</v>
      </c>
      <c r="E3117" s="4">
        <f>IF(INDEX(C:C, ROW())+INDEX(D:D, ROW())=0, 0, INDEX(C:C, ROW())/(INDEX(C:C, ROW())+INDEX(D:D, ROW())))</f>
        <v/>
      </c>
      <c r="F3117" s="1" t="inlineStr">
        <is>
          <t>Math</t>
        </is>
      </c>
      <c r="G3117" s="1" t="inlineStr">
        <is>
          <t>Easy</t>
        </is>
      </c>
      <c r="H3117" s="1" t="n">
        <v>51319</v>
      </c>
      <c r="I3117" s="1" t="n">
        <v>67170</v>
      </c>
      <c r="J3117" s="9" t="n">
        <v>0.764</v>
      </c>
      <c r="K3117" s="1" t="inlineStr">
        <is>
          <t>Yes</t>
        </is>
      </c>
      <c r="L3117" s="1" t="inlineStr">
        <is>
          <t>No</t>
        </is>
      </c>
      <c r="M3117" s="1" t="inlineStr">
        <is>
          <t>No</t>
        </is>
      </c>
      <c r="N3117" s="1" t="inlineStr">
        <is>
          <t>Algorithms</t>
        </is>
      </c>
      <c r="O31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18" ht="15.75" customHeight="1" s="12">
      <c r="A3118" s="1" t="n">
        <v>3755</v>
      </c>
      <c r="B3118" s="3">
        <f>HYPERLINK("https://leetcode.com/problems/find-maximum-balanced-xor-subarray-length/", "Find Maximum Balanced XOR Subarray Length")</f>
        <v/>
      </c>
      <c r="C3118" s="1" t="n">
        <v>100</v>
      </c>
      <c r="D3118" s="1" t="n">
        <v>5</v>
      </c>
      <c r="E3118" s="4">
        <f>IF(INDEX(C:C, ROW())+INDEX(D:D, ROW())=0, 0, INDEX(C:C, ROW())/(INDEX(C:C, ROW())+INDEX(D:D, ROW())))</f>
        <v/>
      </c>
      <c r="F3118" s="1" t="inlineStr">
        <is>
          <t>Array, Hash Table, Bit Manipulation, Prefix Sum</t>
        </is>
      </c>
      <c r="G3118" s="1" t="inlineStr">
        <is>
          <t>Medium</t>
        </is>
      </c>
      <c r="H3118" s="1" t="n">
        <v>17770</v>
      </c>
      <c r="I3118" s="1" t="n">
        <v>35216</v>
      </c>
      <c r="J3118" s="9" t="n">
        <v>0.505</v>
      </c>
      <c r="K3118" s="1" t="inlineStr">
        <is>
          <t>Yes</t>
        </is>
      </c>
      <c r="L3118" s="1" t="inlineStr">
        <is>
          <t>No</t>
        </is>
      </c>
      <c r="M3118" s="1" t="inlineStr">
        <is>
          <t>No</t>
        </is>
      </c>
      <c r="N3118" s="1" t="inlineStr">
        <is>
          <t>Algorithms</t>
        </is>
      </c>
      <c r="O31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19" ht="15.75" customHeight="1" s="12">
      <c r="A3119" s="1" t="n">
        <v>1459</v>
      </c>
      <c r="B3119" s="3">
        <f>HYPERLINK("https://leetcode.com/problems/rectangles-area/", "Rectangles Area")</f>
        <v/>
      </c>
      <c r="C3119" s="1" t="n">
        <v>99</v>
      </c>
      <c r="D3119" s="1" t="n">
        <v>162</v>
      </c>
      <c r="E3119" s="4">
        <f>IF(INDEX(C:C, ROW())+INDEX(D:D, ROW())=0, 0, INDEX(C:C, ROW())/(INDEX(C:C, ROW())+INDEX(D:D, ROW())))</f>
        <v/>
      </c>
      <c r="F3119" s="1" t="inlineStr">
        <is>
          <t>Database</t>
        </is>
      </c>
      <c r="G3119" s="1" t="inlineStr">
        <is>
          <t>Medium</t>
        </is>
      </c>
      <c r="H3119" s="1" t="n">
        <v>19866</v>
      </c>
      <c r="I3119" s="1" t="n">
        <v>28928</v>
      </c>
      <c r="J3119" s="9" t="n">
        <v>0.6870000000000001</v>
      </c>
      <c r="K3119" s="1" t="inlineStr">
        <is>
          <t>No</t>
        </is>
      </c>
      <c r="L3119" s="1" t="inlineStr">
        <is>
          <t>No</t>
        </is>
      </c>
      <c r="M3119" s="1" t="inlineStr">
        <is>
          <t>No</t>
        </is>
      </c>
      <c r="N3119" s="1" t="inlineStr">
        <is>
          <t>Database</t>
        </is>
      </c>
      <c r="O31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20" ht="15.75" customHeight="1" s="12">
      <c r="A3120" s="1" t="n">
        <v>1809</v>
      </c>
      <c r="B3120" s="3">
        <f>HYPERLINK("https://leetcode.com/problems/ad-free-sessions/", "Ad-Free Sessions")</f>
        <v/>
      </c>
      <c r="C3120" s="1" t="n">
        <v>99</v>
      </c>
      <c r="D3120" s="1" t="n">
        <v>61</v>
      </c>
      <c r="E3120" s="4">
        <f>IF(INDEX(C:C, ROW())+INDEX(D:D, ROW())=0, 0, INDEX(C:C, ROW())/(INDEX(C:C, ROW())+INDEX(D:D, ROW())))</f>
        <v/>
      </c>
      <c r="F3120" s="1" t="inlineStr">
        <is>
          <t>Database</t>
        </is>
      </c>
      <c r="G3120" s="1" t="inlineStr">
        <is>
          <t>Easy</t>
        </is>
      </c>
      <c r="H3120" s="1" t="n">
        <v>19195</v>
      </c>
      <c r="I3120" s="1" t="n">
        <v>32604</v>
      </c>
      <c r="J3120" s="9" t="n">
        <v>0.589</v>
      </c>
      <c r="K3120" s="1" t="inlineStr">
        <is>
          <t>No</t>
        </is>
      </c>
      <c r="L3120" s="1" t="inlineStr">
        <is>
          <t>No</t>
        </is>
      </c>
      <c r="M3120" s="1" t="inlineStr">
        <is>
          <t>No</t>
        </is>
      </c>
      <c r="N3120" s="1" t="inlineStr">
        <is>
          <t>Database</t>
        </is>
      </c>
      <c r="O31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21" ht="15.75" customHeight="1" s="12">
      <c r="A3121" s="1" t="n">
        <v>1951</v>
      </c>
      <c r="B3121" s="3">
        <f>HYPERLINK("https://leetcode.com/problems/all-the-pairs-with-the-maximum-number-of-common-followers/", "All the Pairs With the Maximum Number of Common Followers")</f>
        <v/>
      </c>
      <c r="C3121" s="1" t="n">
        <v>99</v>
      </c>
      <c r="D3121" s="1" t="n">
        <v>7</v>
      </c>
      <c r="E3121" s="4">
        <f>IF(INDEX(C:C, ROW())+INDEX(D:D, ROW())=0, 0, INDEX(C:C, ROW())/(INDEX(C:C, ROW())+INDEX(D:D, ROW())))</f>
        <v/>
      </c>
      <c r="F3121" s="1" t="inlineStr">
        <is>
          <t>Database</t>
        </is>
      </c>
      <c r="G3121" s="1" t="inlineStr">
        <is>
          <t>Medium</t>
        </is>
      </c>
      <c r="H3121" s="1" t="n">
        <v>14074</v>
      </c>
      <c r="I3121" s="1" t="n">
        <v>20271</v>
      </c>
      <c r="J3121" s="9" t="n">
        <v>0.694</v>
      </c>
      <c r="K3121" s="1" t="inlineStr">
        <is>
          <t>No</t>
        </is>
      </c>
      <c r="L3121" s="1" t="inlineStr">
        <is>
          <t>No</t>
        </is>
      </c>
      <c r="M3121" s="1" t="inlineStr">
        <is>
          <t>No</t>
        </is>
      </c>
      <c r="N3121" s="1" t="inlineStr">
        <is>
          <t>Database</t>
        </is>
      </c>
      <c r="O31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22" ht="15.75" customHeight="1" s="12">
      <c r="A3122" s="1" t="n">
        <v>3288</v>
      </c>
      <c r="B3122" s="3">
        <f>HYPERLINK("https://leetcode.com/problems/length-of-the-longest-increasing-path/", "Length of the Longest Increasing Path")</f>
        <v/>
      </c>
      <c r="C3122" s="1" t="n">
        <v>99</v>
      </c>
      <c r="D3122" s="1" t="n">
        <v>2</v>
      </c>
      <c r="E3122" s="4">
        <f>IF(INDEX(C:C, ROW())+INDEX(D:D, ROW())=0, 0, INDEX(C:C, ROW())/(INDEX(C:C, ROW())+INDEX(D:D, ROW())))</f>
        <v/>
      </c>
      <c r="F3122" s="1" t="inlineStr">
        <is>
          <t>Array, Binary Search, Sorting</t>
        </is>
      </c>
      <c r="G3122" s="1" t="inlineStr">
        <is>
          <t>Hard</t>
        </is>
      </c>
      <c r="H3122" s="1" t="n">
        <v>5707</v>
      </c>
      <c r="I3122" s="1" t="n">
        <v>30360</v>
      </c>
      <c r="J3122" s="9" t="n">
        <v>0.188</v>
      </c>
      <c r="K3122" s="1" t="inlineStr">
        <is>
          <t>Yes</t>
        </is>
      </c>
      <c r="L3122" s="1" t="inlineStr">
        <is>
          <t>No</t>
        </is>
      </c>
      <c r="M3122" s="1" t="inlineStr">
        <is>
          <t>No</t>
        </is>
      </c>
      <c r="N3122" s="1" t="inlineStr">
        <is>
          <t>Algorithms</t>
        </is>
      </c>
      <c r="O31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23" ht="15.75" customHeight="1" s="12">
      <c r="A3123" s="1" t="n">
        <v>3312</v>
      </c>
      <c r="B3123" s="3">
        <f>HYPERLINK("https://leetcode.com/problems/sorted-gcd-pair-queries/", "Sorted GCD Pair Queries")</f>
        <v/>
      </c>
      <c r="C3123" s="1" t="n">
        <v>99</v>
      </c>
      <c r="D3123" s="1" t="n">
        <v>5</v>
      </c>
      <c r="E3123" s="4">
        <f>IF(INDEX(C:C, ROW())+INDEX(D:D, ROW())=0, 0, INDEX(C:C, ROW())/(INDEX(C:C, ROW())+INDEX(D:D, ROW())))</f>
        <v/>
      </c>
      <c r="F3123" s="1" t="inlineStr">
        <is>
          <t>Array, Hash Table, Math, Binary Search, Combinatorics, Counting, Number Theory, Prefix Sum</t>
        </is>
      </c>
      <c r="G3123" s="1" t="inlineStr">
        <is>
          <t>Hard</t>
        </is>
      </c>
      <c r="H3123" s="1" t="n">
        <v>5695</v>
      </c>
      <c r="I3123" s="1" t="n">
        <v>25776</v>
      </c>
      <c r="J3123" s="9" t="n">
        <v>0.221</v>
      </c>
      <c r="K3123" s="1" t="inlineStr">
        <is>
          <t>Yes</t>
        </is>
      </c>
      <c r="L3123" s="1" t="inlineStr">
        <is>
          <t>No</t>
        </is>
      </c>
      <c r="M3123" s="1" t="inlineStr">
        <is>
          <t>No</t>
        </is>
      </c>
      <c r="N3123" s="1" t="inlineStr">
        <is>
          <t>Algorithms</t>
        </is>
      </c>
      <c r="O31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24" ht="15.75" customHeight="1" s="12">
      <c r="A3124" s="1" t="n">
        <v>3367</v>
      </c>
      <c r="B3124" s="3">
        <f>HYPERLINK("https://leetcode.com/problems/maximize-sum-of-weights-after-edge-removals/", "Maximize Sum of Weights after Edge Removals")</f>
        <v/>
      </c>
      <c r="C3124" s="1" t="n">
        <v>99</v>
      </c>
      <c r="D3124" s="1" t="n">
        <v>4</v>
      </c>
      <c r="E3124" s="4">
        <f>IF(INDEX(C:C, ROW())+INDEX(D:D, ROW())=0, 0, INDEX(C:C, ROW())/(INDEX(C:C, ROW())+INDEX(D:D, ROW())))</f>
        <v/>
      </c>
      <c r="F3124" s="1" t="inlineStr">
        <is>
          <t>Dynamic Programming, Tree, Depth-First Search</t>
        </is>
      </c>
      <c r="G3124" s="1" t="inlineStr">
        <is>
          <t>Hard</t>
        </is>
      </c>
      <c r="H3124" s="1" t="n">
        <v>4252</v>
      </c>
      <c r="I3124" s="1" t="n">
        <v>14146</v>
      </c>
      <c r="J3124" s="9" t="n">
        <v>0.301</v>
      </c>
      <c r="K3124" s="1" t="inlineStr">
        <is>
          <t>Yes</t>
        </is>
      </c>
      <c r="L3124" s="1" t="inlineStr">
        <is>
          <t>No</t>
        </is>
      </c>
      <c r="M3124" s="1" t="inlineStr">
        <is>
          <t>No</t>
        </is>
      </c>
      <c r="N3124" s="1" t="inlineStr">
        <is>
          <t>Algorithms</t>
        </is>
      </c>
      <c r="O31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25" ht="15.75" customHeight="1" s="12">
      <c r="A3125" s="1" t="n">
        <v>3463</v>
      </c>
      <c r="B3125" s="3">
        <f>HYPERLINK("https://leetcode.com/problems/check-if-digits-are-equal-in-string-after-operations-ii/", "Check If Digits Are Equal in String After Operations II")</f>
        <v/>
      </c>
      <c r="C3125" s="1" t="n">
        <v>99</v>
      </c>
      <c r="D3125" s="1" t="n">
        <v>53</v>
      </c>
      <c r="E3125" s="4">
        <f>IF(INDEX(C:C, ROW())+INDEX(D:D, ROW())=0, 0, INDEX(C:C, ROW())/(INDEX(C:C, ROW())+INDEX(D:D, ROW())))</f>
        <v/>
      </c>
      <c r="F3125" s="1" t="inlineStr">
        <is>
          <t>Math, String, Combinatorics, Number Theory</t>
        </is>
      </c>
      <c r="G3125" s="1" t="inlineStr">
        <is>
          <t>Hard</t>
        </is>
      </c>
      <c r="H3125" s="1" t="n">
        <v>13250</v>
      </c>
      <c r="I3125" s="1" t="n">
        <v>94010</v>
      </c>
      <c r="J3125" s="9" t="n">
        <v>0.141</v>
      </c>
      <c r="K3125" s="1" t="inlineStr">
        <is>
          <t>Yes</t>
        </is>
      </c>
      <c r="L3125" s="1" t="inlineStr">
        <is>
          <t>No</t>
        </is>
      </c>
      <c r="M3125" s="1" t="inlineStr">
        <is>
          <t>No</t>
        </is>
      </c>
      <c r="N3125" s="1" t="inlineStr">
        <is>
          <t>Algorithms</t>
        </is>
      </c>
      <c r="O31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26" ht="15.75" customHeight="1" s="12">
      <c r="A3126" s="1" t="n">
        <v>3785</v>
      </c>
      <c r="B3126" s="3">
        <f>HYPERLINK("https://leetcode.com/problems/minimum-swaps-to-avoid-forbidden-values/", "Minimum Swaps to Avoid Forbidden Values")</f>
        <v/>
      </c>
      <c r="C3126" s="1" t="n">
        <v>99</v>
      </c>
      <c r="D3126" s="1" t="n">
        <v>7</v>
      </c>
      <c r="E3126" s="4">
        <f>IF(INDEX(C:C, ROW())+INDEX(D:D, ROW())=0, 0, INDEX(C:C, ROW())/(INDEX(C:C, ROW())+INDEX(D:D, ROW())))</f>
        <v/>
      </c>
      <c r="F3126" s="1" t="inlineStr">
        <is>
          <t>Array, Hash Table, Greedy, Counting</t>
        </is>
      </c>
      <c r="G3126" s="1" t="inlineStr">
        <is>
          <t>Hard</t>
        </is>
      </c>
      <c r="H3126" s="1" t="n">
        <v>10407</v>
      </c>
      <c r="I3126" s="1" t="n">
        <v>35113</v>
      </c>
      <c r="J3126" s="9" t="n">
        <v>0.296</v>
      </c>
      <c r="K3126" s="1" t="inlineStr">
        <is>
          <t>Yes</t>
        </is>
      </c>
      <c r="L3126" s="1" t="inlineStr">
        <is>
          <t>No</t>
        </is>
      </c>
      <c r="M3126" s="1" t="inlineStr">
        <is>
          <t>No</t>
        </is>
      </c>
      <c r="N3126" s="1" t="inlineStr">
        <is>
          <t>Algorithms</t>
        </is>
      </c>
      <c r="O31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27" ht="15.75" customHeight="1" s="12">
      <c r="A3127" s="1" t="n">
        <v>2098</v>
      </c>
      <c r="B3127" s="3">
        <f>HYPERLINK("https://leetcode.com/problems/subsequence-of-size-k-with-the-largest-even-sum/", "Subsequence of Size K With the Largest Even Sum")</f>
        <v/>
      </c>
      <c r="C3127" s="1" t="n">
        <v>98</v>
      </c>
      <c r="D3127" s="1" t="n">
        <v>8</v>
      </c>
      <c r="E3127" s="4">
        <f>IF(INDEX(C:C, ROW())+INDEX(D:D, ROW())=0, 0, INDEX(C:C, ROW())/(INDEX(C:C, ROW())+INDEX(D:D, ROW())))</f>
        <v/>
      </c>
      <c r="F3127" s="1" t="inlineStr">
        <is>
          <t>Array, Greedy, Sorting</t>
        </is>
      </c>
      <c r="G3127" s="1" t="inlineStr">
        <is>
          <t>Medium</t>
        </is>
      </c>
      <c r="H3127" s="1" t="n">
        <v>4691</v>
      </c>
      <c r="I3127" s="1" t="n">
        <v>13097</v>
      </c>
      <c r="J3127" s="9" t="n">
        <v>0.358</v>
      </c>
      <c r="K3127" s="1" t="inlineStr">
        <is>
          <t>No</t>
        </is>
      </c>
      <c r="L3127" s="1" t="inlineStr">
        <is>
          <t>No</t>
        </is>
      </c>
      <c r="M3127" s="1" t="inlineStr">
        <is>
          <t>No</t>
        </is>
      </c>
      <c r="N3127" s="1" t="inlineStr">
        <is>
          <t>Algorithms</t>
        </is>
      </c>
      <c r="O31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28" ht="15.75" customHeight="1" s="12">
      <c r="A3128" s="1" t="n">
        <v>2599</v>
      </c>
      <c r="B3128" s="3">
        <f>HYPERLINK("https://leetcode.com/problems/make-the-prefix-sum-non-negative/", "Make the Prefix Sum Non-negative")</f>
        <v/>
      </c>
      <c r="C3128" s="1" t="n">
        <v>98</v>
      </c>
      <c r="D3128" s="1" t="n">
        <v>3</v>
      </c>
      <c r="E3128" s="4">
        <f>IF(INDEX(C:C, ROW())+INDEX(D:D, ROW())=0, 0, INDEX(C:C, ROW())/(INDEX(C:C, ROW())+INDEX(D:D, ROW())))</f>
        <v/>
      </c>
      <c r="F3128" s="1" t="inlineStr">
        <is>
          <t>Array, Greedy, Heap (Priority Queue)</t>
        </is>
      </c>
      <c r="G3128" s="1" t="inlineStr">
        <is>
          <t>Medium</t>
        </is>
      </c>
      <c r="H3128" s="1" t="n">
        <v>8324</v>
      </c>
      <c r="I3128" s="1" t="n">
        <v>16039</v>
      </c>
      <c r="J3128" s="9" t="n">
        <v>0.519</v>
      </c>
      <c r="K3128" s="1" t="inlineStr">
        <is>
          <t>No</t>
        </is>
      </c>
      <c r="L3128" s="1" t="inlineStr">
        <is>
          <t>Yes</t>
        </is>
      </c>
      <c r="M3128" s="1" t="inlineStr">
        <is>
          <t>No</t>
        </is>
      </c>
      <c r="N3128" s="1" t="inlineStr">
        <is>
          <t>Algorithms</t>
        </is>
      </c>
      <c r="O31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29" ht="15.75" customHeight="1" s="12">
      <c r="A3129" s="1" t="n">
        <v>2743</v>
      </c>
      <c r="B3129" s="3">
        <f>HYPERLINK("https://leetcode.com/problems/count-substrings-without-repeating-character/", "Count Substrings Without Repeating Character")</f>
        <v/>
      </c>
      <c r="C3129" s="1" t="n">
        <v>98</v>
      </c>
      <c r="D3129" s="1" t="n">
        <v>2</v>
      </c>
      <c r="E3129" s="4">
        <f>IF(INDEX(C:C, ROW())+INDEX(D:D, ROW())=0, 0, INDEX(C:C, ROW())/(INDEX(C:C, ROW())+INDEX(D:D, ROW())))</f>
        <v/>
      </c>
      <c r="F3129" s="1" t="inlineStr">
        <is>
          <t>Hash Table, String, Sliding Window</t>
        </is>
      </c>
      <c r="G3129" s="1" t="inlineStr">
        <is>
          <t>Medium</t>
        </is>
      </c>
      <c r="H3129" s="1" t="n">
        <v>9075</v>
      </c>
      <c r="I3129" s="1" t="n">
        <v>11926</v>
      </c>
      <c r="J3129" s="9" t="n">
        <v>0.761</v>
      </c>
      <c r="K3129" s="1" t="inlineStr">
        <is>
          <t>No</t>
        </is>
      </c>
      <c r="L3129" s="1" t="inlineStr">
        <is>
          <t>Yes</t>
        </is>
      </c>
      <c r="M3129" s="1" t="inlineStr">
        <is>
          <t>No</t>
        </is>
      </c>
      <c r="N3129" s="1" t="inlineStr">
        <is>
          <t>Algorithms</t>
        </is>
      </c>
      <c r="O31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30" ht="15.75" customHeight="1" s="12">
      <c r="A3130" s="1" t="n">
        <v>3238</v>
      </c>
      <c r="B3130" s="3">
        <f>HYPERLINK("https://leetcode.com/problems/find-the-number-of-winning-players/", "Find the Number of Winning Players")</f>
        <v/>
      </c>
      <c r="C3130" s="1" t="n">
        <v>98</v>
      </c>
      <c r="D3130" s="1" t="n">
        <v>26</v>
      </c>
      <c r="E3130" s="4">
        <f>IF(INDEX(C:C, ROW())+INDEX(D:D, ROW())=0, 0, INDEX(C:C, ROW())/(INDEX(C:C, ROW())+INDEX(D:D, ROW())))</f>
        <v/>
      </c>
      <c r="F3130" s="1" t="inlineStr">
        <is>
          <t>Array, Hash Table, Counting</t>
        </is>
      </c>
      <c r="G3130" s="1" t="inlineStr">
        <is>
          <t>Easy</t>
        </is>
      </c>
      <c r="H3130" s="1" t="n">
        <v>46534</v>
      </c>
      <c r="I3130" s="1" t="n">
        <v>77206</v>
      </c>
      <c r="J3130" s="9" t="n">
        <v>0.603</v>
      </c>
      <c r="K3130" s="1" t="inlineStr">
        <is>
          <t>Yes</t>
        </is>
      </c>
      <c r="L3130" s="1" t="inlineStr">
        <is>
          <t>No</t>
        </is>
      </c>
      <c r="M3130" s="1" t="inlineStr">
        <is>
          <t>No</t>
        </is>
      </c>
      <c r="N3130" s="1" t="inlineStr">
        <is>
          <t>Algorithms</t>
        </is>
      </c>
      <c r="O31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31" ht="15.75" customHeight="1" s="12">
      <c r="A3131" s="1" t="n">
        <v>3411</v>
      </c>
      <c r="B3131" s="3">
        <f>HYPERLINK("https://leetcode.com/problems/maximum-subarray-with-equal-products/", "Maximum Subarray With Equal Products")</f>
        <v/>
      </c>
      <c r="C3131" s="1" t="n">
        <v>98</v>
      </c>
      <c r="D3131" s="1" t="n">
        <v>42</v>
      </c>
      <c r="E3131" s="4">
        <f>IF(INDEX(C:C, ROW())+INDEX(D:D, ROW())=0, 0, INDEX(C:C, ROW())/(INDEX(C:C, ROW())+INDEX(D:D, ROW())))</f>
        <v/>
      </c>
      <c r="F3131" s="1" t="inlineStr">
        <is>
          <t>Array, Math, Sliding Window, Enumeration, Number Theory</t>
        </is>
      </c>
      <c r="G3131" s="1" t="inlineStr">
        <is>
          <t>Easy</t>
        </is>
      </c>
      <c r="H3131" s="1" t="n">
        <v>27685</v>
      </c>
      <c r="I3131" s="1" t="n">
        <v>59827</v>
      </c>
      <c r="J3131" s="9" t="n">
        <v>0.463</v>
      </c>
      <c r="K3131" s="1" t="inlineStr">
        <is>
          <t>Yes</t>
        </is>
      </c>
      <c r="L3131" s="1" t="inlineStr">
        <is>
          <t>No</t>
        </is>
      </c>
      <c r="M3131" s="1" t="inlineStr">
        <is>
          <t>No</t>
        </is>
      </c>
      <c r="N3131" s="1" t="inlineStr">
        <is>
          <t>Algorithms</t>
        </is>
      </c>
      <c r="O31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32" ht="15.75" customHeight="1" s="12">
      <c r="A3132" s="1" t="n">
        <v>3742</v>
      </c>
      <c r="B3132" s="3">
        <f>HYPERLINK("https://leetcode.com/problems/maximum-path-score-in-a-grid/", "Maximum Path Score in a Grid")</f>
        <v/>
      </c>
      <c r="C3132" s="1" t="n">
        <v>98</v>
      </c>
      <c r="D3132" s="1" t="n">
        <v>4</v>
      </c>
      <c r="E3132" s="4">
        <f>IF(INDEX(C:C, ROW())+INDEX(D:D, ROW())=0, 0, INDEX(C:C, ROW())/(INDEX(C:C, ROW())+INDEX(D:D, ROW())))</f>
        <v/>
      </c>
      <c r="F3132" s="1" t="inlineStr">
        <is>
          <t>Array, Dynamic Programming, Matrix</t>
        </is>
      </c>
      <c r="G3132" s="1" t="inlineStr">
        <is>
          <t>Medium</t>
        </is>
      </c>
      <c r="H3132" s="1" t="n">
        <v>17426</v>
      </c>
      <c r="I3132" s="1" t="n">
        <v>47946</v>
      </c>
      <c r="J3132" s="9" t="n">
        <v>0.363</v>
      </c>
      <c r="K3132" s="1" t="inlineStr">
        <is>
          <t>Yes</t>
        </is>
      </c>
      <c r="L3132" s="1" t="inlineStr">
        <is>
          <t>No</t>
        </is>
      </c>
      <c r="M3132" s="1" t="inlineStr">
        <is>
          <t>No</t>
        </is>
      </c>
      <c r="N3132" s="1" t="inlineStr">
        <is>
          <t>Algorithms</t>
        </is>
      </c>
      <c r="O31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33" ht="15.75" customHeight="1" s="12">
      <c r="A3133" s="1" t="n">
        <v>3771</v>
      </c>
      <c r="B3133" s="3">
        <f>HYPERLINK("https://leetcode.com/problems/total-score-of-dungeon-runs/", "Total Score of Dungeon Runs")</f>
        <v/>
      </c>
      <c r="C3133" s="1" t="n">
        <v>98</v>
      </c>
      <c r="D3133" s="1" t="n">
        <v>13</v>
      </c>
      <c r="E3133" s="4">
        <f>IF(INDEX(C:C, ROW())+INDEX(D:D, ROW())=0, 0, INDEX(C:C, ROW())/(INDEX(C:C, ROW())+INDEX(D:D, ROW())))</f>
        <v/>
      </c>
      <c r="F3133" s="1" t="inlineStr">
        <is>
          <t>Array, Binary Search, Prefix Sum</t>
        </is>
      </c>
      <c r="G3133" s="1" t="inlineStr">
        <is>
          <t>Medium</t>
        </is>
      </c>
      <c r="H3133" s="1" t="n">
        <v>9479</v>
      </c>
      <c r="I3133" s="1" t="n">
        <v>31635</v>
      </c>
      <c r="J3133" s="9" t="n">
        <v>0.3</v>
      </c>
      <c r="K3133" s="1" t="inlineStr">
        <is>
          <t>Yes</t>
        </is>
      </c>
      <c r="L3133" s="1" t="inlineStr">
        <is>
          <t>No</t>
        </is>
      </c>
      <c r="M3133" s="1" t="inlineStr">
        <is>
          <t>No</t>
        </is>
      </c>
      <c r="N3133" s="1" t="inlineStr">
        <is>
          <t>Algorithms</t>
        </is>
      </c>
      <c r="O31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34" ht="15.75" customHeight="1" s="12">
      <c r="A3134" s="1" t="n">
        <v>3216</v>
      </c>
      <c r="B3134" s="3">
        <f>HYPERLINK("https://leetcode.com/problems/lexicographically-smallest-string-after-a-swap/", "Lexicographically Smallest String After a Swap")</f>
        <v/>
      </c>
      <c r="C3134" s="1" t="n">
        <v>97</v>
      </c>
      <c r="D3134" s="1" t="n">
        <v>30</v>
      </c>
      <c r="E3134" s="4">
        <f>IF(INDEX(C:C, ROW())+INDEX(D:D, ROW())=0, 0, INDEX(C:C, ROW())/(INDEX(C:C, ROW())+INDEX(D:D, ROW())))</f>
        <v/>
      </c>
      <c r="F3134" s="1" t="inlineStr">
        <is>
          <t>String, Greedy</t>
        </is>
      </c>
      <c r="G3134" s="1" t="inlineStr">
        <is>
          <t>Easy</t>
        </is>
      </c>
      <c r="H3134" s="1" t="n">
        <v>54340</v>
      </c>
      <c r="I3134" s="1" t="n">
        <v>99849</v>
      </c>
      <c r="J3134" s="9" t="n">
        <v>0.544</v>
      </c>
      <c r="K3134" s="1" t="inlineStr">
        <is>
          <t>Yes</t>
        </is>
      </c>
      <c r="L3134" s="1" t="inlineStr">
        <is>
          <t>No</t>
        </is>
      </c>
      <c r="M3134" s="1" t="inlineStr">
        <is>
          <t>No</t>
        </is>
      </c>
      <c r="N3134" s="1" t="inlineStr">
        <is>
          <t>Algorithms</t>
        </is>
      </c>
      <c r="O31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35" ht="15.75" customHeight="1" s="12">
      <c r="A3135" s="1" t="n">
        <v>3379</v>
      </c>
      <c r="B3135" s="3">
        <f>HYPERLINK("https://leetcode.com/problems/transformed-array/", "Transformed Array")</f>
        <v/>
      </c>
      <c r="C3135" s="1" t="n">
        <v>97</v>
      </c>
      <c r="D3135" s="1" t="n">
        <v>11</v>
      </c>
      <c r="E3135" s="4">
        <f>IF(INDEX(C:C, ROW())+INDEX(D:D, ROW())=0, 0, INDEX(C:C, ROW())/(INDEX(C:C, ROW())+INDEX(D:D, ROW())))</f>
        <v/>
      </c>
      <c r="F3135" s="1" t="inlineStr">
        <is>
          <t>Array, Simulation</t>
        </is>
      </c>
      <c r="G3135" s="1" t="inlineStr">
        <is>
          <t>Easy</t>
        </is>
      </c>
      <c r="H3135" s="1" t="n">
        <v>36128</v>
      </c>
      <c r="I3135" s="1" t="n">
        <v>62801</v>
      </c>
      <c r="J3135" s="9" t="n">
        <v>0.575</v>
      </c>
      <c r="K3135" s="1" t="inlineStr">
        <is>
          <t>Yes</t>
        </is>
      </c>
      <c r="L3135" s="1" t="inlineStr">
        <is>
          <t>No</t>
        </is>
      </c>
      <c r="M3135" s="1" t="inlineStr">
        <is>
          <t>No</t>
        </is>
      </c>
      <c r="N3135" s="1" t="inlineStr">
        <is>
          <t>Algorithms</t>
        </is>
      </c>
      <c r="O31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36" ht="15.75" customHeight="1" s="12">
      <c r="A3136" s="1" t="n">
        <v>2084</v>
      </c>
      <c r="B3136" s="3">
        <f>HYPERLINK("https://leetcode.com/problems/drop-type-1-orders-for-customers-with-type-0-orders/", "Drop Type 1 Orders for Customers With Type 0 Orders")</f>
        <v/>
      </c>
      <c r="C3136" s="1" t="n">
        <v>96</v>
      </c>
      <c r="D3136" s="1" t="n">
        <v>20</v>
      </c>
      <c r="E3136" s="4">
        <f>IF(INDEX(C:C, ROW())+INDEX(D:D, ROW())=0, 0, INDEX(C:C, ROW())/(INDEX(C:C, ROW())+INDEX(D:D, ROW())))</f>
        <v/>
      </c>
      <c r="F3136" s="1" t="inlineStr">
        <is>
          <t>Database</t>
        </is>
      </c>
      <c r="G3136" s="1" t="inlineStr">
        <is>
          <t>Medium</t>
        </is>
      </c>
      <c r="H3136" s="1" t="n">
        <v>14229</v>
      </c>
      <c r="I3136" s="1" t="n">
        <v>16426</v>
      </c>
      <c r="J3136" s="9" t="n">
        <v>0.866</v>
      </c>
      <c r="K3136" s="1" t="inlineStr">
        <is>
          <t>No</t>
        </is>
      </c>
      <c r="L3136" s="1" t="inlineStr">
        <is>
          <t>No</t>
        </is>
      </c>
      <c r="M3136" s="1" t="inlineStr">
        <is>
          <t>No</t>
        </is>
      </c>
      <c r="N3136" s="1" t="inlineStr">
        <is>
          <t>Database</t>
        </is>
      </c>
      <c r="O31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37" ht="15.75" customHeight="1" s="12">
      <c r="A3137" s="1" t="n">
        <v>2638</v>
      </c>
      <c r="B3137" s="3">
        <f>HYPERLINK("https://leetcode.com/problems/count-the-number-of-k-free-subsets/", "Count the Number of K-Free Subsets")</f>
        <v/>
      </c>
      <c r="C3137" s="1" t="n">
        <v>96</v>
      </c>
      <c r="D3137" s="1" t="n">
        <v>19</v>
      </c>
      <c r="E3137" s="4">
        <f>IF(INDEX(C:C, ROW())+INDEX(D:D, ROW())=0, 0, INDEX(C:C, ROW())/(INDEX(C:C, ROW())+INDEX(D:D, ROW())))</f>
        <v/>
      </c>
      <c r="F3137" s="1" t="inlineStr">
        <is>
          <t>Array, Math, Dynamic Programming, Sorting, Combinatorics</t>
        </is>
      </c>
      <c r="G3137" s="1" t="inlineStr">
        <is>
          <t>Medium</t>
        </is>
      </c>
      <c r="H3137" s="1" t="n">
        <v>5216</v>
      </c>
      <c r="I3137" s="1" t="n">
        <v>11068</v>
      </c>
      <c r="J3137" s="9" t="n">
        <v>0.471</v>
      </c>
      <c r="K3137" s="1" t="inlineStr">
        <is>
          <t>No</t>
        </is>
      </c>
      <c r="L3137" s="1" t="inlineStr">
        <is>
          <t>No</t>
        </is>
      </c>
      <c r="M3137" s="1" t="inlineStr">
        <is>
          <t>No</t>
        </is>
      </c>
      <c r="N3137" s="1" t="inlineStr">
        <is>
          <t>Algorithms</t>
        </is>
      </c>
      <c r="O31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38" ht="15.75" customHeight="1" s="12">
      <c r="A3138" s="1" t="n">
        <v>2983</v>
      </c>
      <c r="B3138" s="3">
        <f>HYPERLINK("https://leetcode.com/problems/palindrome-rearrangement-queries/", "Palindrome Rearrangement Queries")</f>
        <v/>
      </c>
      <c r="C3138" s="1" t="n">
        <v>96</v>
      </c>
      <c r="D3138" s="1" t="n">
        <v>27</v>
      </c>
      <c r="E3138" s="4">
        <f>IF(INDEX(C:C, ROW())+INDEX(D:D, ROW())=0, 0, INDEX(C:C, ROW())/(INDEX(C:C, ROW())+INDEX(D:D, ROW())))</f>
        <v/>
      </c>
      <c r="F3138" s="1" t="inlineStr">
        <is>
          <t>Hash Table, String, Prefix Sum</t>
        </is>
      </c>
      <c r="G3138" s="1" t="inlineStr">
        <is>
          <t>Hard</t>
        </is>
      </c>
      <c r="H3138" s="1" t="n">
        <v>4232</v>
      </c>
      <c r="I3138" s="1" t="n">
        <v>17100</v>
      </c>
      <c r="J3138" s="9" t="n">
        <v>0.247</v>
      </c>
      <c r="K3138" s="1" t="inlineStr">
        <is>
          <t>Yes</t>
        </is>
      </c>
      <c r="L3138" s="1" t="inlineStr">
        <is>
          <t>No</t>
        </is>
      </c>
      <c r="M3138" s="1" t="inlineStr">
        <is>
          <t>No</t>
        </is>
      </c>
      <c r="N3138" s="1" t="inlineStr">
        <is>
          <t>Algorithms</t>
        </is>
      </c>
      <c r="O31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39" ht="15.75" customHeight="1" s="12">
      <c r="A3139" s="1" t="n">
        <v>3295</v>
      </c>
      <c r="B3139" s="3">
        <f>HYPERLINK("https://leetcode.com/problems/report-spam-message/", "Report Spam Message")</f>
        <v/>
      </c>
      <c r="C3139" s="1" t="n">
        <v>96</v>
      </c>
      <c r="D3139" s="1" t="n">
        <v>25</v>
      </c>
      <c r="E3139" s="4">
        <f>IF(INDEX(C:C, ROW())+INDEX(D:D, ROW())=0, 0, INDEX(C:C, ROW())/(INDEX(C:C, ROW())+INDEX(D:D, ROW())))</f>
        <v/>
      </c>
      <c r="F3139" s="1" t="inlineStr">
        <is>
          <t>Array, Hash Table, String</t>
        </is>
      </c>
      <c r="G3139" s="1" t="inlineStr">
        <is>
          <t>Medium</t>
        </is>
      </c>
      <c r="H3139" s="1" t="n">
        <v>56302</v>
      </c>
      <c r="I3139" s="1" t="n">
        <v>116396</v>
      </c>
      <c r="J3139" s="9" t="n">
        <v>0.484</v>
      </c>
      <c r="K3139" s="1" t="inlineStr">
        <is>
          <t>Yes</t>
        </is>
      </c>
      <c r="L3139" s="1" t="inlineStr">
        <is>
          <t>No</t>
        </is>
      </c>
      <c r="M3139" s="1" t="inlineStr">
        <is>
          <t>No</t>
        </is>
      </c>
      <c r="N3139" s="1" t="inlineStr">
        <is>
          <t>Algorithms</t>
        </is>
      </c>
      <c r="O31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40" ht="15.75" customHeight="1" s="12">
      <c r="A3140" s="1" t="n">
        <v>3300</v>
      </c>
      <c r="B3140" s="3">
        <f>HYPERLINK("https://leetcode.com/problems/minimum-element-after-replacement-with-digit-sum/", "Minimum Element After Replacement With Digit Sum")</f>
        <v/>
      </c>
      <c r="C3140" s="1" t="n">
        <v>96</v>
      </c>
      <c r="D3140" s="1" t="n">
        <v>4</v>
      </c>
      <c r="E3140" s="4">
        <f>IF(INDEX(C:C, ROW())+INDEX(D:D, ROW())=0, 0, INDEX(C:C, ROW())/(INDEX(C:C, ROW())+INDEX(D:D, ROW())))</f>
        <v/>
      </c>
      <c r="F3140" s="1" t="inlineStr">
        <is>
          <t>Array, Math</t>
        </is>
      </c>
      <c r="G3140" s="1" t="inlineStr">
        <is>
          <t>Easy</t>
        </is>
      </c>
      <c r="H3140" s="1" t="n">
        <v>67923</v>
      </c>
      <c r="I3140" s="1" t="n">
        <v>80330</v>
      </c>
      <c r="J3140" s="9" t="n">
        <v>0.846</v>
      </c>
      <c r="K3140" s="1" t="inlineStr">
        <is>
          <t>Yes</t>
        </is>
      </c>
      <c r="L3140" s="1" t="inlineStr">
        <is>
          <t>No</t>
        </is>
      </c>
      <c r="M3140" s="1" t="inlineStr">
        <is>
          <t>No</t>
        </is>
      </c>
      <c r="N3140" s="1" t="inlineStr">
        <is>
          <t>Algorithms</t>
        </is>
      </c>
      <c r="O31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41" ht="15.75" customHeight="1" s="12">
      <c r="A3141" s="1" t="n">
        <v>3398</v>
      </c>
      <c r="B3141" s="3">
        <f>HYPERLINK("https://leetcode.com/problems/smallest-substring-with-identical-characters-i/", "Smallest Substring With Identical Characters I")</f>
        <v/>
      </c>
      <c r="C3141" s="1" t="n">
        <v>96</v>
      </c>
      <c r="D3141" s="1" t="n">
        <v>5</v>
      </c>
      <c r="E3141" s="4">
        <f>IF(INDEX(C:C, ROW())+INDEX(D:D, ROW())=0, 0, INDEX(C:C, ROW())/(INDEX(C:C, ROW())+INDEX(D:D, ROW())))</f>
        <v/>
      </c>
      <c r="F3141" s="1" t="inlineStr">
        <is>
          <t>Array, Binary Search, Enumeration</t>
        </is>
      </c>
      <c r="G3141" s="1" t="inlineStr">
        <is>
          <t>Hard</t>
        </is>
      </c>
      <c r="H3141" s="1" t="n">
        <v>7255</v>
      </c>
      <c r="I3141" s="1" t="n">
        <v>35961</v>
      </c>
      <c r="J3141" s="9" t="n">
        <v>0.202</v>
      </c>
      <c r="K3141" s="1" t="inlineStr">
        <is>
          <t>Yes</t>
        </is>
      </c>
      <c r="L3141" s="1" t="inlineStr">
        <is>
          <t>No</t>
        </is>
      </c>
      <c r="M3141" s="1" t="inlineStr">
        <is>
          <t>No</t>
        </is>
      </c>
      <c r="N3141" s="1" t="inlineStr">
        <is>
          <t>Algorithms</t>
        </is>
      </c>
      <c r="O31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42" ht="15.75" customHeight="1" s="12">
      <c r="A3142" s="1" t="n">
        <v>3644</v>
      </c>
      <c r="B3142" s="3">
        <f>HYPERLINK("https://leetcode.com/problems/maximum-k-to-sort-a-permutation/", "Maximum K to Sort a Permutation")</f>
        <v/>
      </c>
      <c r="C3142" s="1" t="n">
        <v>96</v>
      </c>
      <c r="D3142" s="1" t="n">
        <v>35</v>
      </c>
      <c r="E3142" s="4">
        <f>IF(INDEX(C:C, ROW())+INDEX(D:D, ROW())=0, 0, INDEX(C:C, ROW())/(INDEX(C:C, ROW())+INDEX(D:D, ROW())))</f>
        <v/>
      </c>
      <c r="F3142" s="1" t="inlineStr">
        <is>
          <t>Array, Bit Manipulation</t>
        </is>
      </c>
      <c r="G3142" s="1" t="inlineStr">
        <is>
          <t>Medium</t>
        </is>
      </c>
      <c r="H3142" s="1" t="n">
        <v>29490</v>
      </c>
      <c r="I3142" s="1" t="n">
        <v>82853</v>
      </c>
      <c r="J3142" s="9" t="n">
        <v>0.356</v>
      </c>
      <c r="K3142" s="1" t="inlineStr">
        <is>
          <t>Yes</t>
        </is>
      </c>
      <c r="L3142" s="1" t="inlineStr">
        <is>
          <t>No</t>
        </is>
      </c>
      <c r="M3142" s="1" t="inlineStr">
        <is>
          <t>No</t>
        </is>
      </c>
      <c r="N3142" s="1" t="inlineStr">
        <is>
          <t>Algorithms</t>
        </is>
      </c>
      <c r="O31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43" ht="15.75" customHeight="1" s="12">
      <c r="A3143" s="1" t="n">
        <v>3670</v>
      </c>
      <c r="B3143" s="3">
        <f>HYPERLINK("https://leetcode.com/problems/maximum-product-of-two-integers-with-no-common-bits/", "Maximum Product of Two Integers With No Common Bits")</f>
        <v/>
      </c>
      <c r="C3143" s="1" t="n">
        <v>96</v>
      </c>
      <c r="D3143" s="1" t="n">
        <v>17</v>
      </c>
      <c r="E3143" s="4">
        <f>IF(INDEX(C:C, ROW())+INDEX(D:D, ROW())=0, 0, INDEX(C:C, ROW())/(INDEX(C:C, ROW())+INDEX(D:D, ROW())))</f>
        <v/>
      </c>
      <c r="F3143" s="1" t="inlineStr">
        <is>
          <t>Array, Dynamic Programming, Bit Manipulation</t>
        </is>
      </c>
      <c r="G3143" s="1" t="inlineStr">
        <is>
          <t>Medium</t>
        </is>
      </c>
      <c r="H3143" s="1" t="n">
        <v>8694</v>
      </c>
      <c r="I3143" s="1" t="n">
        <v>69381</v>
      </c>
      <c r="J3143" s="9" t="n">
        <v>0.125</v>
      </c>
      <c r="K3143" s="1" t="inlineStr">
        <is>
          <t>Yes</t>
        </is>
      </c>
      <c r="L3143" s="1" t="inlineStr">
        <is>
          <t>No</t>
        </is>
      </c>
      <c r="M3143" s="1" t="inlineStr">
        <is>
          <t>No</t>
        </is>
      </c>
      <c r="N3143" s="1" t="inlineStr">
        <is>
          <t>Algorithms</t>
        </is>
      </c>
      <c r="O31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44" ht="15.75" customHeight="1" s="12">
      <c r="A3144" s="1" t="n">
        <v>3698</v>
      </c>
      <c r="B3144" s="3">
        <f>HYPERLINK("https://leetcode.com/problems/split-array-with-minimum-difference/", "Split Array With Minimum Difference")</f>
        <v/>
      </c>
      <c r="C3144" s="1" t="n">
        <v>96</v>
      </c>
      <c r="D3144" s="1" t="n">
        <v>15</v>
      </c>
      <c r="E3144" s="4">
        <f>IF(INDEX(C:C, ROW())+INDEX(D:D, ROW())=0, 0, INDEX(C:C, ROW())/(INDEX(C:C, ROW())+INDEX(D:D, ROW())))</f>
        <v/>
      </c>
      <c r="F3144" s="1" t="inlineStr">
        <is>
          <t>Array, Prefix Sum</t>
        </is>
      </c>
      <c r="G3144" s="1" t="inlineStr">
        <is>
          <t>Medium</t>
        </is>
      </c>
      <c r="H3144" s="1" t="n">
        <v>36439</v>
      </c>
      <c r="I3144" s="1" t="n">
        <v>113886</v>
      </c>
      <c r="J3144" s="9" t="n">
        <v>0.32</v>
      </c>
      <c r="K3144" s="1" t="inlineStr">
        <is>
          <t>Yes</t>
        </is>
      </c>
      <c r="L3144" s="1" t="inlineStr">
        <is>
          <t>No</t>
        </is>
      </c>
      <c r="M3144" s="1" t="inlineStr">
        <is>
          <t>No</t>
        </is>
      </c>
      <c r="N3144" s="1" t="inlineStr">
        <is>
          <t>Algorithms</t>
        </is>
      </c>
      <c r="O31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45" ht="15.75" customHeight="1" s="12">
      <c r="A3145" s="1" t="n">
        <v>1067</v>
      </c>
      <c r="B3145" s="3">
        <f>HYPERLINK("https://leetcode.com/problems/digit-count-in-range/", "Digit Count in Range")</f>
        <v/>
      </c>
      <c r="C3145" s="1" t="n">
        <v>95</v>
      </c>
      <c r="D3145" s="1" t="n">
        <v>25</v>
      </c>
      <c r="E3145" s="4">
        <f>IF(INDEX(C:C, ROW())+INDEX(D:D, ROW())=0, 0, INDEX(C:C, ROW())/(INDEX(C:C, ROW())+INDEX(D:D, ROW())))</f>
        <v/>
      </c>
      <c r="F3145" s="1" t="inlineStr">
        <is>
          <t>Math, Dynamic Programming</t>
        </is>
      </c>
      <c r="G3145" s="1" t="inlineStr">
        <is>
          <t>Hard</t>
        </is>
      </c>
      <c r="H3145" s="1" t="n">
        <v>4646</v>
      </c>
      <c r="I3145" s="1" t="n">
        <v>10022</v>
      </c>
      <c r="J3145" s="9" t="n">
        <v>0.464</v>
      </c>
      <c r="K3145" s="1" t="inlineStr">
        <is>
          <t>No</t>
        </is>
      </c>
      <c r="L3145" s="1" t="inlineStr">
        <is>
          <t>No</t>
        </is>
      </c>
      <c r="M3145" s="1" t="inlineStr">
        <is>
          <t>No</t>
        </is>
      </c>
      <c r="N3145" s="1" t="inlineStr">
        <is>
          <t>Algorithms</t>
        </is>
      </c>
      <c r="O31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46" ht="15.75" customHeight="1" s="12">
      <c r="A3146" s="1" t="n">
        <v>1336</v>
      </c>
      <c r="B3146" s="3">
        <f>HYPERLINK("https://leetcode.com/problems/number-of-transactions-per-visit/", "Number of Transactions per Visit")</f>
        <v/>
      </c>
      <c r="C3146" s="1" t="n">
        <v>95</v>
      </c>
      <c r="D3146" s="1" t="n">
        <v>327</v>
      </c>
      <c r="E3146" s="4">
        <f>IF(INDEX(C:C, ROW())+INDEX(D:D, ROW())=0, 0, INDEX(C:C, ROW())/(INDEX(C:C, ROW())+INDEX(D:D, ROW())))</f>
        <v/>
      </c>
      <c r="F3146" s="1" t="inlineStr">
        <is>
          <t>Database</t>
        </is>
      </c>
      <c r="G3146" s="1" t="inlineStr">
        <is>
          <t>Hard</t>
        </is>
      </c>
      <c r="H3146" s="1" t="n">
        <v>15497</v>
      </c>
      <c r="I3146" s="1" t="n">
        <v>32448</v>
      </c>
      <c r="J3146" s="9" t="n">
        <v>0.478</v>
      </c>
      <c r="K3146" s="1" t="inlineStr">
        <is>
          <t>No</t>
        </is>
      </c>
      <c r="L3146" s="1" t="inlineStr">
        <is>
          <t>No</t>
        </is>
      </c>
      <c r="M3146" s="1" t="inlineStr">
        <is>
          <t>No</t>
        </is>
      </c>
      <c r="N3146" s="1" t="inlineStr">
        <is>
          <t>Database</t>
        </is>
      </c>
      <c r="O31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47" ht="15.75" customHeight="1" s="12">
      <c r="A3147" s="1" t="n">
        <v>1364</v>
      </c>
      <c r="B3147" s="3">
        <f>HYPERLINK("https://leetcode.com/problems/number-of-trusted-contacts-of-a-customer/", "Number of Trusted Contacts of a Customer")</f>
        <v/>
      </c>
      <c r="C3147" s="1" t="n">
        <v>95</v>
      </c>
      <c r="D3147" s="1" t="n">
        <v>402</v>
      </c>
      <c r="E3147" s="4">
        <f>IF(INDEX(C:C, ROW())+INDEX(D:D, ROW())=0, 0, INDEX(C:C, ROW())/(INDEX(C:C, ROW())+INDEX(D:D, ROW())))</f>
        <v/>
      </c>
      <c r="F3147" s="1" t="inlineStr">
        <is>
          <t>Database</t>
        </is>
      </c>
      <c r="G3147" s="1" t="inlineStr">
        <is>
          <t>Medium</t>
        </is>
      </c>
      <c r="H3147" s="1" t="n">
        <v>24572</v>
      </c>
      <c r="I3147" s="1" t="n">
        <v>32869</v>
      </c>
      <c r="J3147" s="9" t="n">
        <v>0.748</v>
      </c>
      <c r="K3147" s="1" t="inlineStr">
        <is>
          <t>No</t>
        </is>
      </c>
      <c r="L3147" s="1" t="inlineStr">
        <is>
          <t>Yes</t>
        </is>
      </c>
      <c r="M3147" s="1" t="inlineStr">
        <is>
          <t>No</t>
        </is>
      </c>
      <c r="N3147" s="1" t="inlineStr">
        <is>
          <t>Database</t>
        </is>
      </c>
      <c r="O31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48" ht="15.75" customHeight="1" s="12">
      <c r="A3148" s="1" t="n">
        <v>1810</v>
      </c>
      <c r="B3148" s="3">
        <f>HYPERLINK("https://leetcode.com/problems/minimum-path-cost-in-a-hidden-grid/", "Minimum Path Cost in a Hidden Grid")</f>
        <v/>
      </c>
      <c r="C3148" s="1" t="n">
        <v>95</v>
      </c>
      <c r="D3148" s="1" t="n">
        <v>32</v>
      </c>
      <c r="E3148" s="4">
        <f>IF(INDEX(C:C, ROW())+INDEX(D:D, ROW())=0, 0, INDEX(C:C, ROW())/(INDEX(C:C, ROW())+INDEX(D:D, ROW())))</f>
        <v/>
      </c>
      <c r="F3148" s="1" t="inlineStr">
        <is>
          <t>Array, Depth-First Search, Breadth-First Search, Graph Theory, Heap (Priority Queue), Matrix, Interactive, Shortest Path</t>
        </is>
      </c>
      <c r="G3148" s="1" t="inlineStr">
        <is>
          <t>Medium</t>
        </is>
      </c>
      <c r="H3148" s="1" t="n">
        <v>5425</v>
      </c>
      <c r="I3148" s="1" t="n">
        <v>9264</v>
      </c>
      <c r="J3148" s="9" t="n">
        <v>0.586</v>
      </c>
      <c r="K3148" s="1" t="inlineStr">
        <is>
          <t>No</t>
        </is>
      </c>
      <c r="L3148" s="1" t="inlineStr">
        <is>
          <t>No</t>
        </is>
      </c>
      <c r="M3148" s="1" t="inlineStr">
        <is>
          <t>No</t>
        </is>
      </c>
      <c r="N3148" s="1" t="inlineStr">
        <is>
          <t>Algorithms</t>
        </is>
      </c>
      <c r="O31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49" ht="15.75" customHeight="1" s="12">
      <c r="A3149" s="1" t="n">
        <v>1831</v>
      </c>
      <c r="B3149" s="3">
        <f>HYPERLINK("https://leetcode.com/problems/maximum-transaction-each-day/", "Maximum Transaction Each Day")</f>
        <v/>
      </c>
      <c r="C3149" s="1" t="n">
        <v>95</v>
      </c>
      <c r="D3149" s="1" t="n">
        <v>3</v>
      </c>
      <c r="E3149" s="4">
        <f>IF(INDEX(C:C, ROW())+INDEX(D:D, ROW())=0, 0, INDEX(C:C, ROW())/(INDEX(C:C, ROW())+INDEX(D:D, ROW())))</f>
        <v/>
      </c>
      <c r="F3149" s="1" t="inlineStr">
        <is>
          <t>Database</t>
        </is>
      </c>
      <c r="G3149" s="1" t="inlineStr">
        <is>
          <t>Medium</t>
        </is>
      </c>
      <c r="H3149" s="1" t="n">
        <v>27347</v>
      </c>
      <c r="I3149" s="1" t="n">
        <v>33190</v>
      </c>
      <c r="J3149" s="9" t="n">
        <v>0.824</v>
      </c>
      <c r="K3149" s="1" t="inlineStr">
        <is>
          <t>No</t>
        </is>
      </c>
      <c r="L3149" s="1" t="inlineStr">
        <is>
          <t>No</t>
        </is>
      </c>
      <c r="M3149" s="1" t="inlineStr">
        <is>
          <t>No</t>
        </is>
      </c>
      <c r="N3149" s="1" t="inlineStr">
        <is>
          <t>Database</t>
        </is>
      </c>
      <c r="O31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50" ht="15.75" customHeight="1" s="12">
      <c r="A3150" s="1" t="n">
        <v>2884</v>
      </c>
      <c r="B3150" s="3">
        <f>HYPERLINK("https://leetcode.com/problems/modify-columns/", "Modify Columns")</f>
        <v/>
      </c>
      <c r="C3150" s="1" t="n">
        <v>95</v>
      </c>
      <c r="D3150" s="1" t="n">
        <v>7</v>
      </c>
      <c r="E3150" s="4">
        <f>IF(INDEX(C:C, ROW())+INDEX(D:D, ROW())=0, 0, INDEX(C:C, ROW())/(INDEX(C:C, ROW())+INDEX(D:D, ROW())))</f>
        <v/>
      </c>
      <c r="F3150" s="2" t="n"/>
      <c r="G3150" s="1" t="inlineStr">
        <is>
          <t>Easy</t>
        </is>
      </c>
      <c r="H3150" s="1" t="n">
        <v>137651</v>
      </c>
      <c r="I3150" s="1" t="n">
        <v>148979</v>
      </c>
      <c r="J3150" s="9" t="n">
        <v>0.924</v>
      </c>
      <c r="K3150" s="1" t="inlineStr">
        <is>
          <t>Yes</t>
        </is>
      </c>
      <c r="L3150" s="1" t="inlineStr">
        <is>
          <t>Yes</t>
        </is>
      </c>
      <c r="M3150" s="1" t="inlineStr">
        <is>
          <t>No</t>
        </is>
      </c>
      <c r="N3150" s="1" t="inlineStr">
        <is>
          <t>pandas</t>
        </is>
      </c>
      <c r="O31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51" ht="15.75" customHeight="1" s="12">
      <c r="A3151" s="1" t="n">
        <v>3604</v>
      </c>
      <c r="B3151" s="3">
        <f>HYPERLINK("https://leetcode.com/problems/minimum-time-to-reach-destination-in-directed-graph/", "Minimum Time to Reach Destination in Directed Graph")</f>
        <v/>
      </c>
      <c r="C3151" s="1" t="n">
        <v>95</v>
      </c>
      <c r="D3151" s="1" t="n">
        <v>4</v>
      </c>
      <c r="E3151" s="4">
        <f>IF(INDEX(C:C, ROW())+INDEX(D:D, ROW())=0, 0, INDEX(C:C, ROW())/(INDEX(C:C, ROW())+INDEX(D:D, ROW())))</f>
        <v/>
      </c>
      <c r="F3151" s="1" t="inlineStr">
        <is>
          <t>Graph Theory, Heap (Priority Queue), Shortest Path</t>
        </is>
      </c>
      <c r="G3151" s="1" t="inlineStr">
        <is>
          <t>Medium</t>
        </is>
      </c>
      <c r="H3151" s="1" t="n">
        <v>16299</v>
      </c>
      <c r="I3151" s="1" t="n">
        <v>35933</v>
      </c>
      <c r="J3151" s="9" t="n">
        <v>0.454</v>
      </c>
      <c r="K3151" s="1" t="inlineStr">
        <is>
          <t>Yes</t>
        </is>
      </c>
      <c r="L3151" s="1" t="inlineStr">
        <is>
          <t>No</t>
        </is>
      </c>
      <c r="M3151" s="1" t="inlineStr">
        <is>
          <t>No</t>
        </is>
      </c>
      <c r="N3151" s="1" t="inlineStr">
        <is>
          <t>Algorithms</t>
        </is>
      </c>
      <c r="O31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52" ht="15.75" customHeight="1" s="12">
      <c r="A3152" s="1" t="n">
        <v>2174</v>
      </c>
      <c r="B3152" s="3">
        <f>HYPERLINK("https://leetcode.com/problems/remove-all-ones-with-row-and-column-flips-ii/", "Remove All Ones With Row and Column Flips II")</f>
        <v/>
      </c>
      <c r="C3152" s="1" t="n">
        <v>94</v>
      </c>
      <c r="D3152" s="1" t="n">
        <v>24</v>
      </c>
      <c r="E3152" s="4">
        <f>IF(INDEX(C:C, ROW())+INDEX(D:D, ROW())=0, 0, INDEX(C:C, ROW())/(INDEX(C:C, ROW())+INDEX(D:D, ROW())))</f>
        <v/>
      </c>
      <c r="F3152" s="1" t="inlineStr">
        <is>
          <t>Array, Bit Manipulation, Breadth-First Search, Matrix</t>
        </is>
      </c>
      <c r="G3152" s="1" t="inlineStr">
        <is>
          <t>Medium</t>
        </is>
      </c>
      <c r="H3152" s="1" t="n">
        <v>5574</v>
      </c>
      <c r="I3152" s="1" t="n">
        <v>8301</v>
      </c>
      <c r="J3152" s="9" t="n">
        <v>0.671</v>
      </c>
      <c r="K3152" s="1" t="inlineStr">
        <is>
          <t>No</t>
        </is>
      </c>
      <c r="L3152" s="1" t="inlineStr">
        <is>
          <t>No</t>
        </is>
      </c>
      <c r="M3152" s="1" t="inlineStr">
        <is>
          <t>No</t>
        </is>
      </c>
      <c r="N3152" s="1" t="inlineStr">
        <is>
          <t>Algorithms</t>
        </is>
      </c>
      <c r="O31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53" ht="15.75" customHeight="1" s="12">
      <c r="A3153" s="1" t="n">
        <v>2388</v>
      </c>
      <c r="B3153" s="3">
        <f>HYPERLINK("https://leetcode.com/problems/change-null-values-in-a-table-to-the-previous-value/", "Change Null Values in a Table to the Previous Value")</f>
        <v/>
      </c>
      <c r="C3153" s="1" t="n">
        <v>94</v>
      </c>
      <c r="D3153" s="1" t="n">
        <v>31</v>
      </c>
      <c r="E3153" s="4">
        <f>IF(INDEX(C:C, ROW())+INDEX(D:D, ROW())=0, 0, INDEX(C:C, ROW())/(INDEX(C:C, ROW())+INDEX(D:D, ROW())))</f>
        <v/>
      </c>
      <c r="F3153" s="1" t="inlineStr">
        <is>
          <t>Database</t>
        </is>
      </c>
      <c r="G3153" s="1" t="inlineStr">
        <is>
          <t>Medium</t>
        </is>
      </c>
      <c r="H3153" s="1" t="n">
        <v>6504</v>
      </c>
      <c r="I3153" s="1" t="n">
        <v>12638</v>
      </c>
      <c r="J3153" s="9" t="n">
        <v>0.515</v>
      </c>
      <c r="K3153" s="1" t="inlineStr">
        <is>
          <t>No</t>
        </is>
      </c>
      <c r="L3153" s="1" t="inlineStr">
        <is>
          <t>No</t>
        </is>
      </c>
      <c r="M3153" s="1" t="inlineStr">
        <is>
          <t>No</t>
        </is>
      </c>
      <c r="N3153" s="1" t="inlineStr">
        <is>
          <t>Database</t>
        </is>
      </c>
      <c r="O31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54" ht="15.75" customHeight="1" s="12">
      <c r="A3154" s="1" t="n">
        <v>3038</v>
      </c>
      <c r="B3154" s="3">
        <f>HYPERLINK("https://leetcode.com/problems/maximum-number-of-operations-with-the-same-score-i/", "Maximum Number of Operations With the Same Score I")</f>
        <v/>
      </c>
      <c r="C3154" s="1" t="n">
        <v>94</v>
      </c>
      <c r="D3154" s="1" t="n">
        <v>27</v>
      </c>
      <c r="E3154" s="4">
        <f>IF(INDEX(C:C, ROW())+INDEX(D:D, ROW())=0, 0, INDEX(C:C, ROW())/(INDEX(C:C, ROW())+INDEX(D:D, ROW())))</f>
        <v/>
      </c>
      <c r="F3154" s="1" t="inlineStr">
        <is>
          <t>Array, Simulation</t>
        </is>
      </c>
      <c r="G3154" s="1" t="inlineStr">
        <is>
          <t>Easy</t>
        </is>
      </c>
      <c r="H3154" s="1" t="n">
        <v>40695</v>
      </c>
      <c r="I3154" s="1" t="n">
        <v>77392</v>
      </c>
      <c r="J3154" s="9" t="n">
        <v>0.526</v>
      </c>
      <c r="K3154" s="1" t="inlineStr">
        <is>
          <t>Yes</t>
        </is>
      </c>
      <c r="L3154" s="1" t="inlineStr">
        <is>
          <t>No</t>
        </is>
      </c>
      <c r="M3154" s="1" t="inlineStr">
        <is>
          <t>No</t>
        </is>
      </c>
      <c r="N3154" s="1" t="inlineStr">
        <is>
          <t>Algorithms</t>
        </is>
      </c>
      <c r="O31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55" ht="15.75" customHeight="1" s="12">
      <c r="A3155" s="1" t="n">
        <v>3467</v>
      </c>
      <c r="B3155" s="3">
        <f>HYPERLINK("https://leetcode.com/problems/transform-array-by-parity/", "Transform Array by Parity")</f>
        <v/>
      </c>
      <c r="C3155" s="1" t="n">
        <v>94</v>
      </c>
      <c r="D3155" s="1" t="n">
        <v>6</v>
      </c>
      <c r="E3155" s="4">
        <f>IF(INDEX(C:C, ROW())+INDEX(D:D, ROW())=0, 0, INDEX(C:C, ROW())/(INDEX(C:C, ROW())+INDEX(D:D, ROW())))</f>
        <v/>
      </c>
      <c r="F3155" s="1" t="inlineStr">
        <is>
          <t>Array, Sorting, Counting</t>
        </is>
      </c>
      <c r="G3155" s="1" t="inlineStr">
        <is>
          <t>Easy</t>
        </is>
      </c>
      <c r="H3155" s="1" t="n">
        <v>83959</v>
      </c>
      <c r="I3155" s="1" t="n">
        <v>93656</v>
      </c>
      <c r="J3155" s="9" t="n">
        <v>0.896</v>
      </c>
      <c r="K3155" s="1" t="inlineStr">
        <is>
          <t>Yes</t>
        </is>
      </c>
      <c r="L3155" s="1" t="inlineStr">
        <is>
          <t>No</t>
        </is>
      </c>
      <c r="M3155" s="1" t="inlineStr">
        <is>
          <t>No</t>
        </is>
      </c>
      <c r="N3155" s="1" t="inlineStr">
        <is>
          <t>Algorithms</t>
        </is>
      </c>
      <c r="O31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56" ht="15.75" customHeight="1" s="12">
      <c r="A3156" s="1" t="n">
        <v>3668</v>
      </c>
      <c r="B3156" s="3">
        <f>HYPERLINK("https://leetcode.com/problems/restore-finishing-order/", "Restore Finishing Order")</f>
        <v/>
      </c>
      <c r="C3156" s="1" t="n">
        <v>94</v>
      </c>
      <c r="D3156" s="1" t="n">
        <v>3</v>
      </c>
      <c r="E3156" s="4">
        <f>IF(INDEX(C:C, ROW())+INDEX(D:D, ROW())=0, 0, INDEX(C:C, ROW())/(INDEX(C:C, ROW())+INDEX(D:D, ROW())))</f>
        <v/>
      </c>
      <c r="F3156" s="1" t="inlineStr">
        <is>
          <t>Array, Hash Table</t>
        </is>
      </c>
      <c r="G3156" s="1" t="inlineStr">
        <is>
          <t>Easy</t>
        </is>
      </c>
      <c r="H3156" s="1" t="n">
        <v>80418</v>
      </c>
      <c r="I3156" s="1" t="n">
        <v>88478</v>
      </c>
      <c r="J3156" s="9" t="n">
        <v>0.909</v>
      </c>
      <c r="K3156" s="1" t="inlineStr">
        <is>
          <t>Yes</t>
        </is>
      </c>
      <c r="L3156" s="1" t="inlineStr">
        <is>
          <t>No</t>
        </is>
      </c>
      <c r="M3156" s="1" t="inlineStr">
        <is>
          <t>No</t>
        </is>
      </c>
      <c r="N3156" s="1" t="inlineStr">
        <is>
          <t>Algorithms</t>
        </is>
      </c>
      <c r="O31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57" ht="15.75" customHeight="1" s="12">
      <c r="A3157" s="1" t="n">
        <v>1543</v>
      </c>
      <c r="B3157" s="3">
        <f>HYPERLINK("https://leetcode.com/problems/fix-product-name-format/", "Fix Product Name Format")</f>
        <v/>
      </c>
      <c r="C3157" s="1" t="n">
        <v>93</v>
      </c>
      <c r="D3157" s="1" t="n">
        <v>45</v>
      </c>
      <c r="E3157" s="4">
        <f>IF(INDEX(C:C, ROW())+INDEX(D:D, ROW())=0, 0, INDEX(C:C, ROW())/(INDEX(C:C, ROW())+INDEX(D:D, ROW())))</f>
        <v/>
      </c>
      <c r="F3157" s="1" t="inlineStr">
        <is>
          <t>Database</t>
        </is>
      </c>
      <c r="G3157" s="1" t="inlineStr">
        <is>
          <t>Easy</t>
        </is>
      </c>
      <c r="H3157" s="1" t="n">
        <v>23598</v>
      </c>
      <c r="I3157" s="1" t="n">
        <v>40134</v>
      </c>
      <c r="J3157" s="9" t="n">
        <v>0.588</v>
      </c>
      <c r="K3157" s="1" t="inlineStr">
        <is>
          <t>No</t>
        </is>
      </c>
      <c r="L3157" s="1" t="inlineStr">
        <is>
          <t>No</t>
        </is>
      </c>
      <c r="M3157" s="1" t="inlineStr">
        <is>
          <t>No</t>
        </is>
      </c>
      <c r="N3157" s="1" t="inlineStr">
        <is>
          <t>Database</t>
        </is>
      </c>
      <c r="O31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58" ht="15.75" customHeight="1" s="12">
      <c r="A3158" s="1" t="n">
        <v>2263</v>
      </c>
      <c r="B3158" s="3">
        <f>HYPERLINK("https://leetcode.com/problems/make-array-non-decreasing-or-non-increasing/", "Make Array Non-decreasing or Non-increasing")</f>
        <v/>
      </c>
      <c r="C3158" s="1" t="n">
        <v>93</v>
      </c>
      <c r="D3158" s="1" t="n">
        <v>13</v>
      </c>
      <c r="E3158" s="4">
        <f>IF(INDEX(C:C, ROW())+INDEX(D:D, ROW())=0, 0, INDEX(C:C, ROW())/(INDEX(C:C, ROW())+INDEX(D:D, ROW())))</f>
        <v/>
      </c>
      <c r="F3158" s="1" t="inlineStr">
        <is>
          <t>Dynamic Programming, Greedy</t>
        </is>
      </c>
      <c r="G3158" s="1" t="inlineStr">
        <is>
          <t>Hard</t>
        </is>
      </c>
      <c r="H3158" s="1" t="n">
        <v>4711</v>
      </c>
      <c r="I3158" s="1" t="n">
        <v>7195</v>
      </c>
      <c r="J3158" s="9" t="n">
        <v>0.655</v>
      </c>
      <c r="K3158" s="1" t="inlineStr">
        <is>
          <t>No</t>
        </is>
      </c>
      <c r="L3158" s="1" t="inlineStr">
        <is>
          <t>No</t>
        </is>
      </c>
      <c r="M3158" s="1" t="inlineStr">
        <is>
          <t>No</t>
        </is>
      </c>
      <c r="N3158" s="1" t="inlineStr">
        <is>
          <t>Algorithms</t>
        </is>
      </c>
      <c r="O31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59" ht="15.75" customHeight="1" s="12">
      <c r="A3159" s="1" t="n">
        <v>3022</v>
      </c>
      <c r="B3159" s="3">
        <f>HYPERLINK("https://leetcode.com/problems/minimize-or-of-remaining-elements-using-operations/", "Minimize OR of Remaining Elements Using Operations")</f>
        <v/>
      </c>
      <c r="C3159" s="1" t="n">
        <v>93</v>
      </c>
      <c r="D3159" s="1" t="n">
        <v>16</v>
      </c>
      <c r="E3159" s="4">
        <f>IF(INDEX(C:C, ROW())+INDEX(D:D, ROW())=0, 0, INDEX(C:C, ROW())/(INDEX(C:C, ROW())+INDEX(D:D, ROW())))</f>
        <v/>
      </c>
      <c r="F3159" s="1" t="inlineStr">
        <is>
          <t>Array, Greedy, Bit Manipulation</t>
        </is>
      </c>
      <c r="G3159" s="1" t="inlineStr">
        <is>
          <t>Hard</t>
        </is>
      </c>
      <c r="H3159" s="1" t="n">
        <v>4194</v>
      </c>
      <c r="I3159" s="1" t="n">
        <v>14053</v>
      </c>
      <c r="J3159" s="9" t="n">
        <v>0.298</v>
      </c>
      <c r="K3159" s="1" t="inlineStr">
        <is>
          <t>Yes</t>
        </is>
      </c>
      <c r="L3159" s="1" t="inlineStr">
        <is>
          <t>No</t>
        </is>
      </c>
      <c r="M3159" s="1" t="inlineStr">
        <is>
          <t>No</t>
        </is>
      </c>
      <c r="N3159" s="1" t="inlineStr">
        <is>
          <t>Algorithms</t>
        </is>
      </c>
      <c r="O31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60" ht="15.75" customHeight="1" s="12">
      <c r="A3160" s="1" t="n">
        <v>3576</v>
      </c>
      <c r="B3160" s="3">
        <f>HYPERLINK("https://leetcode.com/problems/transform-array-to-all-equal-elements/", "Transform Array to All Equal Elements")</f>
        <v/>
      </c>
      <c r="C3160" s="1" t="n">
        <v>93</v>
      </c>
      <c r="D3160" s="1" t="n">
        <v>7</v>
      </c>
      <c r="E3160" s="4">
        <f>IF(INDEX(C:C, ROW())+INDEX(D:D, ROW())=0, 0, INDEX(C:C, ROW())/(INDEX(C:C, ROW())+INDEX(D:D, ROW())))</f>
        <v/>
      </c>
      <c r="F3160" s="1" t="inlineStr">
        <is>
          <t>Array, Greedy</t>
        </is>
      </c>
      <c r="G3160" s="1" t="inlineStr">
        <is>
          <t>Medium</t>
        </is>
      </c>
      <c r="H3160" s="1" t="n">
        <v>29908</v>
      </c>
      <c r="I3160" s="1" t="n">
        <v>90869</v>
      </c>
      <c r="J3160" s="9" t="n">
        <v>0.329</v>
      </c>
      <c r="K3160" s="1" t="inlineStr">
        <is>
          <t>Yes</t>
        </is>
      </c>
      <c r="L3160" s="1" t="inlineStr">
        <is>
          <t>No</t>
        </is>
      </c>
      <c r="M3160" s="1" t="inlineStr">
        <is>
          <t>No</t>
        </is>
      </c>
      <c r="N3160" s="1" t="inlineStr">
        <is>
          <t>Algorithms</t>
        </is>
      </c>
      <c r="O31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61" ht="15.75" customHeight="1" s="12">
      <c r="A3161" s="1" t="n">
        <v>3690</v>
      </c>
      <c r="B3161" s="3">
        <f>HYPERLINK("https://leetcode.com/problems/split-and-merge-array-transformation/", "Split and Merge Array Transformation")</f>
        <v/>
      </c>
      <c r="C3161" s="1" t="n">
        <v>93</v>
      </c>
      <c r="D3161" s="1" t="n">
        <v>11</v>
      </c>
      <c r="E3161" s="4">
        <f>IF(INDEX(C:C, ROW())+INDEX(D:D, ROW())=0, 0, INDEX(C:C, ROW())/(INDEX(C:C, ROW())+INDEX(D:D, ROW())))</f>
        <v/>
      </c>
      <c r="F3161" s="1" t="inlineStr">
        <is>
          <t>Array, Hash Table, Breadth-First Search</t>
        </is>
      </c>
      <c r="G3161" s="1" t="inlineStr">
        <is>
          <t>Medium</t>
        </is>
      </c>
      <c r="H3161" s="1" t="n">
        <v>21166</v>
      </c>
      <c r="I3161" s="1" t="n">
        <v>37355</v>
      </c>
      <c r="J3161" s="9" t="n">
        <v>0.5669999999999999</v>
      </c>
      <c r="K3161" s="1" t="inlineStr">
        <is>
          <t>Yes</t>
        </is>
      </c>
      <c r="L3161" s="1" t="inlineStr">
        <is>
          <t>No</t>
        </is>
      </c>
      <c r="M3161" s="1" t="inlineStr">
        <is>
          <t>No</t>
        </is>
      </c>
      <c r="N3161" s="1" t="inlineStr">
        <is>
          <t>Algorithms</t>
        </is>
      </c>
      <c r="O31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62" ht="15.75" customHeight="1" s="12">
      <c r="A3162" s="1" t="n">
        <v>1181</v>
      </c>
      <c r="B3162" s="3">
        <f>HYPERLINK("https://leetcode.com/problems/before-and-after-puzzle/", "Before and After Puzzle")</f>
        <v/>
      </c>
      <c r="C3162" s="1" t="n">
        <v>92</v>
      </c>
      <c r="D3162" s="1" t="n">
        <v>158</v>
      </c>
      <c r="E3162" s="4">
        <f>IF(INDEX(C:C, ROW())+INDEX(D:D, ROW())=0, 0, INDEX(C:C, ROW())/(INDEX(C:C, ROW())+INDEX(D:D, ROW())))</f>
        <v/>
      </c>
      <c r="F3162" s="1" t="inlineStr">
        <is>
          <t>Array, Hash Table, String, Sorting</t>
        </is>
      </c>
      <c r="G3162" s="1" t="inlineStr">
        <is>
          <t>Medium</t>
        </is>
      </c>
      <c r="H3162" s="1" t="n">
        <v>13001</v>
      </c>
      <c r="I3162" s="1" t="n">
        <v>25143</v>
      </c>
      <c r="J3162" s="9" t="n">
        <v>0.517</v>
      </c>
      <c r="K3162" s="1" t="inlineStr">
        <is>
          <t>No</t>
        </is>
      </c>
      <c r="L3162" s="1" t="inlineStr">
        <is>
          <t>Yes</t>
        </is>
      </c>
      <c r="M3162" s="1" t="inlineStr">
        <is>
          <t>No</t>
        </is>
      </c>
      <c r="N3162" s="1" t="inlineStr">
        <is>
          <t>Algorithms</t>
        </is>
      </c>
      <c r="O31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63" ht="15.75" customHeight="1" s="12">
      <c r="A3163" s="1" t="n">
        <v>1495</v>
      </c>
      <c r="B3163" s="3">
        <f>HYPERLINK("https://leetcode.com/problems/friendly-movies-streamed-last-month/", "Friendly Movies Streamed Last Month")</f>
        <v/>
      </c>
      <c r="C3163" s="1" t="n">
        <v>92</v>
      </c>
      <c r="D3163" s="1" t="n">
        <v>43</v>
      </c>
      <c r="E3163" s="4">
        <f>IF(INDEX(C:C, ROW())+INDEX(D:D, ROW())=0, 0, INDEX(C:C, ROW())/(INDEX(C:C, ROW())+INDEX(D:D, ROW())))</f>
        <v/>
      </c>
      <c r="F3163" s="1" t="inlineStr">
        <is>
          <t>Database</t>
        </is>
      </c>
      <c r="G3163" s="1" t="inlineStr">
        <is>
          <t>Easy</t>
        </is>
      </c>
      <c r="H3163" s="1" t="n">
        <v>39710</v>
      </c>
      <c r="I3163" s="1" t="n">
        <v>81208</v>
      </c>
      <c r="J3163" s="9" t="n">
        <v>0.489</v>
      </c>
      <c r="K3163" s="1" t="inlineStr">
        <is>
          <t>No</t>
        </is>
      </c>
      <c r="L3163" s="1" t="inlineStr">
        <is>
          <t>Yes</t>
        </is>
      </c>
      <c r="M3163" s="1" t="inlineStr">
        <is>
          <t>No</t>
        </is>
      </c>
      <c r="N3163" s="1" t="inlineStr">
        <is>
          <t>Database</t>
        </is>
      </c>
      <c r="O31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64" ht="15.75" customHeight="1" s="12">
      <c r="A3164" s="1" t="n">
        <v>1772</v>
      </c>
      <c r="B3164" s="3">
        <f>HYPERLINK("https://leetcode.com/problems/sort-features-by-popularity/", "Sort Features by Popularity")</f>
        <v/>
      </c>
      <c r="C3164" s="1" t="n">
        <v>92</v>
      </c>
      <c r="D3164" s="1" t="n">
        <v>43</v>
      </c>
      <c r="E3164" s="4">
        <f>IF(INDEX(C:C, ROW())+INDEX(D:D, ROW())=0, 0, INDEX(C:C, ROW())/(INDEX(C:C, ROW())+INDEX(D:D, ROW())))</f>
        <v/>
      </c>
      <c r="F3164" s="1" t="inlineStr">
        <is>
          <t>Array, Hash Table, String, Sorting</t>
        </is>
      </c>
      <c r="G3164" s="1" t="inlineStr">
        <is>
          <t>Medium</t>
        </is>
      </c>
      <c r="H3164" s="1" t="n">
        <v>7311</v>
      </c>
      <c r="I3164" s="1" t="n">
        <v>11038</v>
      </c>
      <c r="J3164" s="9" t="n">
        <v>0.662</v>
      </c>
      <c r="K3164" s="1" t="inlineStr">
        <is>
          <t>No</t>
        </is>
      </c>
      <c r="L3164" s="1" t="inlineStr">
        <is>
          <t>No</t>
        </is>
      </c>
      <c r="M3164" s="1" t="inlineStr">
        <is>
          <t>No</t>
        </is>
      </c>
      <c r="N3164" s="1" t="inlineStr">
        <is>
          <t>Algorithms</t>
        </is>
      </c>
      <c r="O31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65" ht="15.75" customHeight="1" s="12">
      <c r="A3165" s="1" t="n">
        <v>3473</v>
      </c>
      <c r="B3165" s="3">
        <f>HYPERLINK("https://leetcode.com/problems/sum-of-k-subarrays-with-length-at-least-m/", "Sum of K Subarrays With Length at Least M")</f>
        <v/>
      </c>
      <c r="C3165" s="1" t="n">
        <v>92</v>
      </c>
      <c r="D3165" s="1" t="n">
        <v>15</v>
      </c>
      <c r="E3165" s="4">
        <f>IF(INDEX(C:C, ROW())+INDEX(D:D, ROW())=0, 0, INDEX(C:C, ROW())/(INDEX(C:C, ROW())+INDEX(D:D, ROW())))</f>
        <v/>
      </c>
      <c r="F3165" s="1" t="inlineStr">
        <is>
          <t>Array, Dynamic Programming, Prefix Sum</t>
        </is>
      </c>
      <c r="G3165" s="1" t="inlineStr">
        <is>
          <t>Medium</t>
        </is>
      </c>
      <c r="H3165" s="1" t="n">
        <v>7724</v>
      </c>
      <c r="I3165" s="1" t="n">
        <v>30008</v>
      </c>
      <c r="J3165" s="9" t="n">
        <v>0.257</v>
      </c>
      <c r="K3165" s="1" t="inlineStr">
        <is>
          <t>Yes</t>
        </is>
      </c>
      <c r="L3165" s="1" t="inlineStr">
        <is>
          <t>No</t>
        </is>
      </c>
      <c r="M3165" s="1" t="inlineStr">
        <is>
          <t>No</t>
        </is>
      </c>
      <c r="N3165" s="1" t="inlineStr">
        <is>
          <t>Algorithms</t>
        </is>
      </c>
      <c r="O31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66" ht="15.75" customHeight="1" s="12">
      <c r="A3166" s="1" t="n">
        <v>3493</v>
      </c>
      <c r="B3166" s="3">
        <f>HYPERLINK("https://leetcode.com/problems/properties-graph/", "Properties Graph")</f>
        <v/>
      </c>
      <c r="C3166" s="1" t="n">
        <v>92</v>
      </c>
      <c r="D3166" s="1" t="n">
        <v>14</v>
      </c>
      <c r="E3166" s="4">
        <f>IF(INDEX(C:C, ROW())+INDEX(D:D, ROW())=0, 0, INDEX(C:C, ROW())/(INDEX(C:C, ROW())+INDEX(D:D, ROW())))</f>
        <v/>
      </c>
      <c r="F3166" s="1" t="inlineStr">
        <is>
          <t>Array, Hash Table, Depth-First Search, Breadth-First Search, Union-Find, Graph Theory</t>
        </is>
      </c>
      <c r="G3166" s="1" t="inlineStr">
        <is>
          <t>Medium</t>
        </is>
      </c>
      <c r="H3166" s="1" t="n">
        <v>24374</v>
      </c>
      <c r="I3166" s="1" t="n">
        <v>50522</v>
      </c>
      <c r="J3166" s="9" t="n">
        <v>0.482</v>
      </c>
      <c r="K3166" s="1" t="inlineStr">
        <is>
          <t>Yes</t>
        </is>
      </c>
      <c r="L3166" s="1" t="inlineStr">
        <is>
          <t>No</t>
        </is>
      </c>
      <c r="M3166" s="1" t="inlineStr">
        <is>
          <t>No</t>
        </is>
      </c>
      <c r="N3166" s="1" t="inlineStr">
        <is>
          <t>Algorithms</t>
        </is>
      </c>
      <c r="O31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67" ht="15.75" customHeight="1" s="12">
      <c r="A3167" s="1" t="n">
        <v>3634</v>
      </c>
      <c r="B3167" s="3">
        <f>HYPERLINK("https://leetcode.com/problems/minimum-removals-to-balance-array/", "Minimum Removals to Balance Array")</f>
        <v/>
      </c>
      <c r="C3167" s="1" t="n">
        <v>92</v>
      </c>
      <c r="D3167" s="1" t="n">
        <v>2</v>
      </c>
      <c r="E3167" s="4">
        <f>IF(INDEX(C:C, ROW())+INDEX(D:D, ROW())=0, 0, INDEX(C:C, ROW())/(INDEX(C:C, ROW())+INDEX(D:D, ROW())))</f>
        <v/>
      </c>
      <c r="F3167" s="1" t="inlineStr">
        <is>
          <t>Array, Sliding Window, Sorting</t>
        </is>
      </c>
      <c r="G3167" s="1" t="inlineStr">
        <is>
          <t>Medium</t>
        </is>
      </c>
      <c r="H3167" s="1" t="n">
        <v>29589</v>
      </c>
      <c r="I3167" s="1" t="n">
        <v>77325</v>
      </c>
      <c r="J3167" s="9" t="n">
        <v>0.383</v>
      </c>
      <c r="K3167" s="1" t="inlineStr">
        <is>
          <t>Yes</t>
        </is>
      </c>
      <c r="L3167" s="1" t="inlineStr">
        <is>
          <t>No</t>
        </is>
      </c>
      <c r="M3167" s="1" t="inlineStr">
        <is>
          <t>No</t>
        </is>
      </c>
      <c r="N3167" s="1" t="inlineStr">
        <is>
          <t>Algorithms</t>
        </is>
      </c>
      <c r="O31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68" ht="15.75" customHeight="1" s="12">
      <c r="A3168" s="1" t="n">
        <v>533</v>
      </c>
      <c r="B3168" s="3">
        <f>HYPERLINK("https://leetcode.com/problems/lonely-pixel-ii/", "Lonely Pixel II")</f>
        <v/>
      </c>
      <c r="C3168" s="1" t="n">
        <v>91</v>
      </c>
      <c r="D3168" s="1" t="n">
        <v>787</v>
      </c>
      <c r="E3168" s="4">
        <f>IF(INDEX(C:C, ROW())+INDEX(D:D, ROW())=0, 0, INDEX(C:C, ROW())/(INDEX(C:C, ROW())+INDEX(D:D, ROW())))</f>
        <v/>
      </c>
      <c r="F3168" s="1" t="inlineStr">
        <is>
          <t>Array, Hash Table, Matrix</t>
        </is>
      </c>
      <c r="G3168" s="1" t="inlineStr">
        <is>
          <t>Medium</t>
        </is>
      </c>
      <c r="H3168" s="1" t="n">
        <v>14238</v>
      </c>
      <c r="I3168" s="1" t="n">
        <v>29185</v>
      </c>
      <c r="J3168" s="9" t="n">
        <v>0.488</v>
      </c>
      <c r="K3168" s="1" t="inlineStr">
        <is>
          <t>No</t>
        </is>
      </c>
      <c r="L3168" s="1" t="inlineStr">
        <is>
          <t>No</t>
        </is>
      </c>
      <c r="M3168" s="1" t="inlineStr">
        <is>
          <t>No</t>
        </is>
      </c>
      <c r="N3168" s="1" t="inlineStr">
        <is>
          <t>Algorithms</t>
        </is>
      </c>
      <c r="O31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69" ht="15.75" customHeight="1" s="12">
      <c r="A3169" s="1" t="n">
        <v>1620</v>
      </c>
      <c r="B3169" s="3">
        <f>HYPERLINK("https://leetcode.com/problems/coordinate-with-maximum-network-quality/", "Coordinate With Maximum Network Quality")</f>
        <v/>
      </c>
      <c r="C3169" s="1" t="n">
        <v>91</v>
      </c>
      <c r="D3169" s="1" t="n">
        <v>274</v>
      </c>
      <c r="E3169" s="4">
        <f>IF(INDEX(C:C, ROW())+INDEX(D:D, ROW())=0, 0, INDEX(C:C, ROW())/(INDEX(C:C, ROW())+INDEX(D:D, ROW())))</f>
        <v/>
      </c>
      <c r="F3169" s="1" t="inlineStr">
        <is>
          <t>Array, Enumeration</t>
        </is>
      </c>
      <c r="G3169" s="1" t="inlineStr">
        <is>
          <t>Medium</t>
        </is>
      </c>
      <c r="H3169" s="1" t="n">
        <v>11191</v>
      </c>
      <c r="I3169" s="1" t="n">
        <v>28579</v>
      </c>
      <c r="J3169" s="9" t="n">
        <v>0.392</v>
      </c>
      <c r="K3169" s="1" t="inlineStr">
        <is>
          <t>Yes</t>
        </is>
      </c>
      <c r="L3169" s="1" t="inlineStr">
        <is>
          <t>No</t>
        </is>
      </c>
      <c r="M3169" s="1" t="inlineStr">
        <is>
          <t>No</t>
        </is>
      </c>
      <c r="N3169" s="1" t="inlineStr">
        <is>
          <t>Algorithms</t>
        </is>
      </c>
      <c r="O31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70" ht="15.75" customHeight="1" s="12">
      <c r="A3170" s="1" t="n">
        <v>1892</v>
      </c>
      <c r="B3170" s="3">
        <f>HYPERLINK("https://leetcode.com/problems/page-recommendations-ii/", "Page Recommendations II")</f>
        <v/>
      </c>
      <c r="C3170" s="1" t="n">
        <v>91</v>
      </c>
      <c r="D3170" s="1" t="n">
        <v>23</v>
      </c>
      <c r="E3170" s="4">
        <f>IF(INDEX(C:C, ROW())+INDEX(D:D, ROW())=0, 0, INDEX(C:C, ROW())/(INDEX(C:C, ROW())+INDEX(D:D, ROW())))</f>
        <v/>
      </c>
      <c r="F3170" s="1" t="inlineStr">
        <is>
          <t>Database</t>
        </is>
      </c>
      <c r="G3170" s="1" t="inlineStr">
        <is>
          <t>Hard</t>
        </is>
      </c>
      <c r="H3170" s="1" t="n">
        <v>10181</v>
      </c>
      <c r="I3170" s="1" t="n">
        <v>22363</v>
      </c>
      <c r="J3170" s="9" t="n">
        <v>0.455</v>
      </c>
      <c r="K3170" s="1" t="inlineStr">
        <is>
          <t>No</t>
        </is>
      </c>
      <c r="L3170" s="1" t="inlineStr">
        <is>
          <t>No</t>
        </is>
      </c>
      <c r="M3170" s="1" t="inlineStr">
        <is>
          <t>No</t>
        </is>
      </c>
      <c r="N3170" s="1" t="inlineStr">
        <is>
          <t>Database</t>
        </is>
      </c>
      <c r="O31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71" ht="15.75" customHeight="1" s="12">
      <c r="A3171" s="1" t="n">
        <v>2117</v>
      </c>
      <c r="B3171" s="3">
        <f>HYPERLINK("https://leetcode.com/problems/abbreviating-the-product-of-a-range/", "Abbreviating the Product of a Range")</f>
        <v/>
      </c>
      <c r="C3171" s="1" t="n">
        <v>91</v>
      </c>
      <c r="D3171" s="1" t="n">
        <v>162</v>
      </c>
      <c r="E3171" s="4">
        <f>IF(INDEX(C:C, ROW())+INDEX(D:D, ROW())=0, 0, INDEX(C:C, ROW())/(INDEX(C:C, ROW())+INDEX(D:D, ROW())))</f>
        <v/>
      </c>
      <c r="F3171" s="1" t="inlineStr">
        <is>
          <t>Math</t>
        </is>
      </c>
      <c r="G3171" s="1" t="inlineStr">
        <is>
          <t>Hard</t>
        </is>
      </c>
      <c r="H3171" s="1" t="n">
        <v>4519</v>
      </c>
      <c r="I3171" s="1" t="n">
        <v>18247</v>
      </c>
      <c r="J3171" s="9" t="n">
        <v>0.248</v>
      </c>
      <c r="K3171" s="1" t="inlineStr">
        <is>
          <t>Yes</t>
        </is>
      </c>
      <c r="L3171" s="1" t="inlineStr">
        <is>
          <t>No</t>
        </is>
      </c>
      <c r="M3171" s="1" t="inlineStr">
        <is>
          <t>No</t>
        </is>
      </c>
      <c r="N3171" s="1" t="inlineStr">
        <is>
          <t>Algorithms</t>
        </is>
      </c>
      <c r="O31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72" ht="15.75" customHeight="1" s="12">
      <c r="A3172" s="1" t="n">
        <v>3332</v>
      </c>
      <c r="B3172" s="3">
        <f>HYPERLINK("https://leetcode.com/problems/maximum-points-tourist-can-earn/", "Maximum Points Tourist Can Earn")</f>
        <v/>
      </c>
      <c r="C3172" s="1" t="n">
        <v>91</v>
      </c>
      <c r="D3172" s="1" t="n">
        <v>15</v>
      </c>
      <c r="E3172" s="4">
        <f>IF(INDEX(C:C, ROW())+INDEX(D:D, ROW())=0, 0, INDEX(C:C, ROW())/(INDEX(C:C, ROW())+INDEX(D:D, ROW())))</f>
        <v/>
      </c>
      <c r="F3172" s="1" t="inlineStr">
        <is>
          <t>Array, Dynamic Programming, Matrix</t>
        </is>
      </c>
      <c r="G3172" s="1" t="inlineStr">
        <is>
          <t>Medium</t>
        </is>
      </c>
      <c r="H3172" s="1" t="n">
        <v>14792</v>
      </c>
      <c r="I3172" s="1" t="n">
        <v>31292</v>
      </c>
      <c r="J3172" s="9" t="n">
        <v>0.473</v>
      </c>
      <c r="K3172" s="1" t="inlineStr">
        <is>
          <t>Yes</t>
        </is>
      </c>
      <c r="L3172" s="1" t="inlineStr">
        <is>
          <t>No</t>
        </is>
      </c>
      <c r="M3172" s="1" t="inlineStr">
        <is>
          <t>No</t>
        </is>
      </c>
      <c r="N3172" s="1" t="inlineStr">
        <is>
          <t>Algorithms</t>
        </is>
      </c>
      <c r="O31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73" ht="15.75" customHeight="1" s="12">
      <c r="A3173" s="1" t="n">
        <v>3614</v>
      </c>
      <c r="B3173" s="3">
        <f>HYPERLINK("https://leetcode.com/problems/process-string-with-special-operations-ii/", "Process String with Special Operations II")</f>
        <v/>
      </c>
      <c r="C3173" s="1" t="n">
        <v>91</v>
      </c>
      <c r="D3173" s="1" t="n">
        <v>8</v>
      </c>
      <c r="E3173" s="4">
        <f>IF(INDEX(C:C, ROW())+INDEX(D:D, ROW())=0, 0, INDEX(C:C, ROW())/(INDEX(C:C, ROW())+INDEX(D:D, ROW())))</f>
        <v/>
      </c>
      <c r="F3173" s="1" t="inlineStr">
        <is>
          <t>String, Simulation</t>
        </is>
      </c>
      <c r="G3173" s="1" t="inlineStr">
        <is>
          <t>Hard</t>
        </is>
      </c>
      <c r="H3173" s="1" t="n">
        <v>10783</v>
      </c>
      <c r="I3173" s="1" t="n">
        <v>64348</v>
      </c>
      <c r="J3173" s="9" t="n">
        <v>0.168</v>
      </c>
      <c r="K3173" s="1" t="inlineStr">
        <is>
          <t>Yes</t>
        </is>
      </c>
      <c r="L3173" s="1" t="inlineStr">
        <is>
          <t>No</t>
        </is>
      </c>
      <c r="M3173" s="1" t="inlineStr">
        <is>
          <t>No</t>
        </is>
      </c>
      <c r="N3173" s="1" t="inlineStr">
        <is>
          <t>Algorithms</t>
        </is>
      </c>
      <c r="O31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74" ht="15.75" customHeight="1" s="12">
      <c r="A3174" s="1" t="n">
        <v>3702</v>
      </c>
      <c r="B3174" s="3">
        <f>HYPERLINK("https://leetcode.com/problems/longest-subsequence-with-non-zero-bitwise-xor/", "Longest Subsequence With Non-Zero Bitwise XOR")</f>
        <v/>
      </c>
      <c r="C3174" s="1" t="n">
        <v>91</v>
      </c>
      <c r="D3174" s="1" t="n">
        <v>8</v>
      </c>
      <c r="E3174" s="4">
        <f>IF(INDEX(C:C, ROW())+INDEX(D:D, ROW())=0, 0, INDEX(C:C, ROW())/(INDEX(C:C, ROW())+INDEX(D:D, ROW())))</f>
        <v/>
      </c>
      <c r="F3174" s="1" t="inlineStr">
        <is>
          <t>Array, Bit Manipulation</t>
        </is>
      </c>
      <c r="G3174" s="1" t="inlineStr">
        <is>
          <t>Medium</t>
        </is>
      </c>
      <c r="H3174" s="1" t="n">
        <v>31227</v>
      </c>
      <c r="I3174" s="1" t="n">
        <v>84544</v>
      </c>
      <c r="J3174" s="9" t="n">
        <v>0.369</v>
      </c>
      <c r="K3174" s="1" t="inlineStr">
        <is>
          <t>Yes</t>
        </is>
      </c>
      <c r="L3174" s="1" t="inlineStr">
        <is>
          <t>No</t>
        </is>
      </c>
      <c r="M3174" s="1" t="inlineStr">
        <is>
          <t>No</t>
        </is>
      </c>
      <c r="N3174" s="1" t="inlineStr">
        <is>
          <t>Algorithms</t>
        </is>
      </c>
      <c r="O31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75" ht="15.75" customHeight="1" s="12">
      <c r="A3175" s="1" t="n">
        <v>2229</v>
      </c>
      <c r="B3175" s="3">
        <f>HYPERLINK("https://leetcode.com/problems/check-if-an-array-is-consecutive/", "Check if an Array Is Consecutive")</f>
        <v/>
      </c>
      <c r="C3175" s="1" t="n">
        <v>90</v>
      </c>
      <c r="D3175" s="1" t="n">
        <v>11</v>
      </c>
      <c r="E3175" s="4">
        <f>IF(INDEX(C:C, ROW())+INDEX(D:D, ROW())=0, 0, INDEX(C:C, ROW())/(INDEX(C:C, ROW())+INDEX(D:D, ROW())))</f>
        <v/>
      </c>
      <c r="F3175" s="1" t="inlineStr">
        <is>
          <t>Array, Hash Table, Sorting</t>
        </is>
      </c>
      <c r="G3175" s="1" t="inlineStr">
        <is>
          <t>Easy</t>
        </is>
      </c>
      <c r="H3175" s="1" t="n">
        <v>7740</v>
      </c>
      <c r="I3175" s="1" t="n">
        <v>12484</v>
      </c>
      <c r="J3175" s="9" t="n">
        <v>0.62</v>
      </c>
      <c r="K3175" s="1" t="inlineStr">
        <is>
          <t>No</t>
        </is>
      </c>
      <c r="L3175" s="1" t="inlineStr">
        <is>
          <t>No</t>
        </is>
      </c>
      <c r="M3175" s="1" t="inlineStr">
        <is>
          <t>No</t>
        </is>
      </c>
      <c r="N3175" s="1" t="inlineStr">
        <is>
          <t>Algorithms</t>
        </is>
      </c>
      <c r="O31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76" ht="15.75" customHeight="1" s="12">
      <c r="A3176" s="1" t="n">
        <v>3017</v>
      </c>
      <c r="B3176" s="3">
        <f>HYPERLINK("https://leetcode.com/problems/count-the-number-of-houses-at-a-certain-distance-ii/", "Count the Number of Houses at a Certain Distance II")</f>
        <v/>
      </c>
      <c r="C3176" s="1" t="n">
        <v>90</v>
      </c>
      <c r="D3176" s="1" t="n">
        <v>26</v>
      </c>
      <c r="E3176" s="4">
        <f>IF(INDEX(C:C, ROW())+INDEX(D:D, ROW())=0, 0, INDEX(C:C, ROW())/(INDEX(C:C, ROW())+INDEX(D:D, ROW())))</f>
        <v/>
      </c>
      <c r="F3176" s="1" t="inlineStr">
        <is>
          <t>Graph Theory, Prefix Sum</t>
        </is>
      </c>
      <c r="G3176" s="1" t="inlineStr">
        <is>
          <t>Hard</t>
        </is>
      </c>
      <c r="H3176" s="1" t="n">
        <v>4232</v>
      </c>
      <c r="I3176" s="1" t="n">
        <v>18023</v>
      </c>
      <c r="J3176" s="9" t="n">
        <v>0.235</v>
      </c>
      <c r="K3176" s="1" t="inlineStr">
        <is>
          <t>Yes</t>
        </is>
      </c>
      <c r="L3176" s="1" t="inlineStr">
        <is>
          <t>No</t>
        </is>
      </c>
      <c r="M3176" s="1" t="inlineStr">
        <is>
          <t>No</t>
        </is>
      </c>
      <c r="N3176" s="1" t="inlineStr">
        <is>
          <t>Algorithms</t>
        </is>
      </c>
      <c r="O31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77" ht="15.75" customHeight="1" s="12">
      <c r="A3177" s="1" t="n">
        <v>3127</v>
      </c>
      <c r="B3177" s="3">
        <f>HYPERLINK("https://leetcode.com/problems/make-a-square-with-the-same-color/", "Make a Square with the Same Color")</f>
        <v/>
      </c>
      <c r="C3177" s="1" t="n">
        <v>90</v>
      </c>
      <c r="D3177" s="1" t="n">
        <v>10</v>
      </c>
      <c r="E3177" s="4">
        <f>IF(INDEX(C:C, ROW())+INDEX(D:D, ROW())=0, 0, INDEX(C:C, ROW())/(INDEX(C:C, ROW())+INDEX(D:D, ROW())))</f>
        <v/>
      </c>
      <c r="F3177" s="1" t="inlineStr">
        <is>
          <t>Array, Matrix, Enumeration</t>
        </is>
      </c>
      <c r="G3177" s="1" t="inlineStr">
        <is>
          <t>Easy</t>
        </is>
      </c>
      <c r="H3177" s="1" t="n">
        <v>33087</v>
      </c>
      <c r="I3177" s="1" t="n">
        <v>62777</v>
      </c>
      <c r="J3177" s="9" t="n">
        <v>0.527</v>
      </c>
      <c r="K3177" s="1" t="inlineStr">
        <is>
          <t>Yes</t>
        </is>
      </c>
      <c r="L3177" s="1" t="inlineStr">
        <is>
          <t>No</t>
        </is>
      </c>
      <c r="M3177" s="1" t="inlineStr">
        <is>
          <t>No</t>
        </is>
      </c>
      <c r="N3177" s="1" t="inlineStr">
        <is>
          <t>Algorithms</t>
        </is>
      </c>
      <c r="O31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78" ht="15.75" customHeight="1" s="12">
      <c r="A3178" s="1" t="n">
        <v>1715</v>
      </c>
      <c r="B3178" s="3">
        <f>HYPERLINK("https://leetcode.com/problems/count-apples-and-oranges/", "Count Apples and Oranges")</f>
        <v/>
      </c>
      <c r="C3178" s="1" t="n">
        <v>89</v>
      </c>
      <c r="D3178" s="1" t="n">
        <v>22</v>
      </c>
      <c r="E3178" s="4">
        <f>IF(INDEX(C:C, ROW())+INDEX(D:D, ROW())=0, 0, INDEX(C:C, ROW())/(INDEX(C:C, ROW())+INDEX(D:D, ROW())))</f>
        <v/>
      </c>
      <c r="F3178" s="1" t="inlineStr">
        <is>
          <t>Database</t>
        </is>
      </c>
      <c r="G3178" s="1" t="inlineStr">
        <is>
          <t>Medium</t>
        </is>
      </c>
      <c r="H3178" s="1" t="n">
        <v>18881</v>
      </c>
      <c r="I3178" s="1" t="n">
        <v>24939</v>
      </c>
      <c r="J3178" s="9" t="n">
        <v>0.757</v>
      </c>
      <c r="K3178" s="1" t="inlineStr">
        <is>
          <t>No</t>
        </is>
      </c>
      <c r="L3178" s="1" t="inlineStr">
        <is>
          <t>No</t>
        </is>
      </c>
      <c r="M3178" s="1" t="inlineStr">
        <is>
          <t>No</t>
        </is>
      </c>
      <c r="N3178" s="1" t="inlineStr">
        <is>
          <t>Database</t>
        </is>
      </c>
      <c r="O31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79" ht="15.75" customHeight="1" s="12">
      <c r="A3179" s="1" t="n">
        <v>2237</v>
      </c>
      <c r="B3179" s="3">
        <f>HYPERLINK("https://leetcode.com/problems/count-positions-on-street-with-required-brightness/", "Count Positions on Street With Required Brightness")</f>
        <v/>
      </c>
      <c r="C3179" s="1" t="n">
        <v>89</v>
      </c>
      <c r="D3179" s="1" t="n">
        <v>6</v>
      </c>
      <c r="E3179" s="4">
        <f>IF(INDEX(C:C, ROW())+INDEX(D:D, ROW())=0, 0, INDEX(C:C, ROW())/(INDEX(C:C, ROW())+INDEX(D:D, ROW())))</f>
        <v/>
      </c>
      <c r="F3179" s="1" t="inlineStr">
        <is>
          <t>Array, Prefix Sum</t>
        </is>
      </c>
      <c r="G3179" s="1" t="inlineStr">
        <is>
          <t>Medium</t>
        </is>
      </c>
      <c r="H3179" s="1" t="n">
        <v>4928</v>
      </c>
      <c r="I3179" s="1" t="n">
        <v>7851</v>
      </c>
      <c r="J3179" s="9" t="n">
        <v>0.628</v>
      </c>
      <c r="K3179" s="1" t="inlineStr">
        <is>
          <t>No</t>
        </is>
      </c>
      <c r="L3179" s="1" t="inlineStr">
        <is>
          <t>No</t>
        </is>
      </c>
      <c r="M3179" s="1" t="inlineStr">
        <is>
          <t>No</t>
        </is>
      </c>
      <c r="N3179" s="1" t="inlineStr">
        <is>
          <t>Algorithms</t>
        </is>
      </c>
      <c r="O31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80" ht="15.75" customHeight="1" s="12">
      <c r="A3180" s="1" t="n">
        <v>2308</v>
      </c>
      <c r="B3180" s="3">
        <f>HYPERLINK("https://leetcode.com/problems/arrange-table-by-gender/", "Arrange Table by Gender")</f>
        <v/>
      </c>
      <c r="C3180" s="1" t="n">
        <v>89</v>
      </c>
      <c r="D3180" s="1" t="n">
        <v>15</v>
      </c>
      <c r="E3180" s="4">
        <f>IF(INDEX(C:C, ROW())+INDEX(D:D, ROW())=0, 0, INDEX(C:C, ROW())/(INDEX(C:C, ROW())+INDEX(D:D, ROW())))</f>
        <v/>
      </c>
      <c r="F3180" s="1" t="inlineStr">
        <is>
          <t>Database</t>
        </is>
      </c>
      <c r="G3180" s="1" t="inlineStr">
        <is>
          <t>Medium</t>
        </is>
      </c>
      <c r="H3180" s="1" t="n">
        <v>8281</v>
      </c>
      <c r="I3180" s="1" t="n">
        <v>11703</v>
      </c>
      <c r="J3180" s="9" t="n">
        <v>0.708</v>
      </c>
      <c r="K3180" s="1" t="inlineStr">
        <is>
          <t>No</t>
        </is>
      </c>
      <c r="L3180" s="1" t="inlineStr">
        <is>
          <t>No</t>
        </is>
      </c>
      <c r="M3180" s="1" t="inlineStr">
        <is>
          <t>No</t>
        </is>
      </c>
      <c r="N3180" s="1" t="inlineStr">
        <is>
          <t>Database</t>
        </is>
      </c>
      <c r="O31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81" ht="15.75" customHeight="1" s="12">
      <c r="A3181" s="1" t="n">
        <v>2887</v>
      </c>
      <c r="B3181" s="3">
        <f>HYPERLINK("https://leetcode.com/problems/fill-missing-data/", "Fill Missing Data")</f>
        <v/>
      </c>
      <c r="C3181" s="1" t="n">
        <v>89</v>
      </c>
      <c r="D3181" s="1" t="n">
        <v>3</v>
      </c>
      <c r="E3181" s="4">
        <f>IF(INDEX(C:C, ROW())+INDEX(D:D, ROW())=0, 0, INDEX(C:C, ROW())/(INDEX(C:C, ROW())+INDEX(D:D, ROW())))</f>
        <v/>
      </c>
      <c r="F3181" s="2" t="n"/>
      <c r="G3181" s="1" t="inlineStr">
        <is>
          <t>Easy</t>
        </is>
      </c>
      <c r="H3181" s="1" t="n">
        <v>110936</v>
      </c>
      <c r="I3181" s="1" t="n">
        <v>153251</v>
      </c>
      <c r="J3181" s="9" t="n">
        <v>0.724</v>
      </c>
      <c r="K3181" s="1" t="inlineStr">
        <is>
          <t>Yes</t>
        </is>
      </c>
      <c r="L3181" s="1" t="inlineStr">
        <is>
          <t>Yes</t>
        </is>
      </c>
      <c r="M3181" s="1" t="inlineStr">
        <is>
          <t>No</t>
        </is>
      </c>
      <c r="N3181" s="1" t="inlineStr">
        <is>
          <t>pandas</t>
        </is>
      </c>
      <c r="O31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82" ht="15.75" customHeight="1" s="12">
      <c r="A3182" s="1" t="n">
        <v>3030</v>
      </c>
      <c r="B3182" s="3">
        <f>HYPERLINK("https://leetcode.com/problems/find-the-grid-of-region-average/", "Find the Grid of Region Average")</f>
        <v/>
      </c>
      <c r="C3182" s="1" t="n">
        <v>89</v>
      </c>
      <c r="D3182" s="1" t="n">
        <v>134</v>
      </c>
      <c r="E3182" s="4">
        <f>IF(INDEX(C:C, ROW())+INDEX(D:D, ROW())=0, 0, INDEX(C:C, ROW())/(INDEX(C:C, ROW())+INDEX(D:D, ROW())))</f>
        <v/>
      </c>
      <c r="F3182" s="1" t="inlineStr">
        <is>
          <t>Array, Matrix</t>
        </is>
      </c>
      <c r="G3182" s="1" t="inlineStr">
        <is>
          <t>Medium</t>
        </is>
      </c>
      <c r="H3182" s="1" t="n">
        <v>11803</v>
      </c>
      <c r="I3182" s="1" t="n">
        <v>27403</v>
      </c>
      <c r="J3182" s="9" t="n">
        <v>0.431</v>
      </c>
      <c r="K3182" s="1" t="inlineStr">
        <is>
          <t>Yes</t>
        </is>
      </c>
      <c r="L3182" s="1" t="inlineStr">
        <is>
          <t>No</t>
        </is>
      </c>
      <c r="M3182" s="1" t="inlineStr">
        <is>
          <t>No</t>
        </is>
      </c>
      <c r="N3182" s="1" t="inlineStr">
        <is>
          <t>Algorithms</t>
        </is>
      </c>
      <c r="O31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83" ht="15.75" customHeight="1" s="12">
      <c r="A3183" s="1" t="n">
        <v>3649</v>
      </c>
      <c r="B3183" s="3">
        <f>HYPERLINK("https://leetcode.com/problems/number-of-perfect-pairs/", "Number of Perfect Pairs")</f>
        <v/>
      </c>
      <c r="C3183" s="1" t="n">
        <v>89</v>
      </c>
      <c r="D3183" s="1" t="n">
        <v>8</v>
      </c>
      <c r="E3183" s="4">
        <f>IF(INDEX(C:C, ROW())+INDEX(D:D, ROW())=0, 0, INDEX(C:C, ROW())/(INDEX(C:C, ROW())+INDEX(D:D, ROW())))</f>
        <v/>
      </c>
      <c r="F3183" s="1" t="inlineStr">
        <is>
          <t>Array, Math, Two Pointers, Sorting</t>
        </is>
      </c>
      <c r="G3183" s="1" t="inlineStr">
        <is>
          <t>Medium</t>
        </is>
      </c>
      <c r="H3183" s="1" t="n">
        <v>20445</v>
      </c>
      <c r="I3183" s="1" t="n">
        <v>62232</v>
      </c>
      <c r="J3183" s="9" t="n">
        <v>0.329</v>
      </c>
      <c r="K3183" s="1" t="inlineStr">
        <is>
          <t>Yes</t>
        </is>
      </c>
      <c r="L3183" s="1" t="inlineStr">
        <is>
          <t>No</t>
        </is>
      </c>
      <c r="M3183" s="1" t="inlineStr">
        <is>
          <t>No</t>
        </is>
      </c>
      <c r="N3183" s="1" t="inlineStr">
        <is>
          <t>Algorithms</t>
        </is>
      </c>
      <c r="O31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84" ht="15.75" customHeight="1" s="12">
      <c r="A3184" s="1" t="n">
        <v>2387</v>
      </c>
      <c r="B3184" s="3">
        <f>HYPERLINK("https://leetcode.com/problems/median-of-a-row-wise-sorted-matrix/", "Median of a Row Wise Sorted Matrix")</f>
        <v/>
      </c>
      <c r="C3184" s="1" t="n">
        <v>88</v>
      </c>
      <c r="D3184" s="1" t="n">
        <v>9</v>
      </c>
      <c r="E3184" s="4">
        <f>IF(INDEX(C:C, ROW())+INDEX(D:D, ROW())=0, 0, INDEX(C:C, ROW())/(INDEX(C:C, ROW())+INDEX(D:D, ROW())))</f>
        <v/>
      </c>
      <c r="F3184" s="1" t="inlineStr">
        <is>
          <t>Array, Binary Search, Matrix</t>
        </is>
      </c>
      <c r="G3184" s="1" t="inlineStr">
        <is>
          <t>Medium</t>
        </is>
      </c>
      <c r="H3184" s="1" t="n">
        <v>5695</v>
      </c>
      <c r="I3184" s="1" t="n">
        <v>8060</v>
      </c>
      <c r="J3184" s="9" t="n">
        <v>0.707</v>
      </c>
      <c r="K3184" s="1" t="inlineStr">
        <is>
          <t>No</t>
        </is>
      </c>
      <c r="L3184" s="1" t="inlineStr">
        <is>
          <t>No</t>
        </is>
      </c>
      <c r="M3184" s="1" t="inlineStr">
        <is>
          <t>No</t>
        </is>
      </c>
      <c r="N3184" s="1" t="inlineStr">
        <is>
          <t>Algorithms</t>
        </is>
      </c>
      <c r="O31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85" ht="15.75" customHeight="1" s="12">
      <c r="A3185" s="1" t="n">
        <v>2888</v>
      </c>
      <c r="B3185" s="3">
        <f>HYPERLINK("https://leetcode.com/problems/reshape-data-concatenate/", "Reshape Data: Concatenate")</f>
        <v/>
      </c>
      <c r="C3185" s="1" t="n">
        <v>88</v>
      </c>
      <c r="D3185" s="1" t="n">
        <v>7</v>
      </c>
      <c r="E3185" s="4">
        <f>IF(INDEX(C:C, ROW())+INDEX(D:D, ROW())=0, 0, INDEX(C:C, ROW())/(INDEX(C:C, ROW())+INDEX(D:D, ROW())))</f>
        <v/>
      </c>
      <c r="F3185" s="2" t="n"/>
      <c r="G3185" s="1" t="inlineStr">
        <is>
          <t>Easy</t>
        </is>
      </c>
      <c r="H3185" s="1" t="n">
        <v>116908</v>
      </c>
      <c r="I3185" s="1" t="n">
        <v>129104</v>
      </c>
      <c r="J3185" s="9" t="n">
        <v>0.906</v>
      </c>
      <c r="K3185" s="1" t="inlineStr">
        <is>
          <t>Yes</t>
        </is>
      </c>
      <c r="L3185" s="1" t="inlineStr">
        <is>
          <t>Yes</t>
        </is>
      </c>
      <c r="M3185" s="1" t="inlineStr">
        <is>
          <t>No</t>
        </is>
      </c>
      <c r="N3185" s="1" t="inlineStr">
        <is>
          <t>pandas</t>
        </is>
      </c>
      <c r="O31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86" ht="15.75" customHeight="1" s="12">
      <c r="A3186" s="1" t="n">
        <v>3287</v>
      </c>
      <c r="B3186" s="3">
        <f>HYPERLINK("https://leetcode.com/problems/find-the-maximum-sequence-value-of-array/", "Find the Maximum Sequence Value of Array")</f>
        <v/>
      </c>
      <c r="C3186" s="1" t="n">
        <v>88</v>
      </c>
      <c r="D3186" s="1" t="n">
        <v>9</v>
      </c>
      <c r="E3186" s="4">
        <f>IF(INDEX(C:C, ROW())+INDEX(D:D, ROW())=0, 0, INDEX(C:C, ROW())/(INDEX(C:C, ROW())+INDEX(D:D, ROW())))</f>
        <v/>
      </c>
      <c r="F3186" s="1" t="inlineStr">
        <is>
          <t>Array, Dynamic Programming, Bit Manipulation</t>
        </is>
      </c>
      <c r="G3186" s="1" t="inlineStr">
        <is>
          <t>Hard</t>
        </is>
      </c>
      <c r="H3186" s="1" t="n">
        <v>5616</v>
      </c>
      <c r="I3186" s="1" t="n">
        <v>27013</v>
      </c>
      <c r="J3186" s="9" t="n">
        <v>0.208</v>
      </c>
      <c r="K3186" s="1" t="inlineStr">
        <is>
          <t>Yes</t>
        </is>
      </c>
      <c r="L3186" s="1" t="inlineStr">
        <is>
          <t>No</t>
        </is>
      </c>
      <c r="M3186" s="1" t="inlineStr">
        <is>
          <t>No</t>
        </is>
      </c>
      <c r="N3186" s="1" t="inlineStr">
        <is>
          <t>Algorithms</t>
        </is>
      </c>
      <c r="O31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87" ht="15.75" customHeight="1" s="12">
      <c r="A3187" s="1" t="n">
        <v>3298</v>
      </c>
      <c r="B3187" s="3">
        <f>HYPERLINK("https://leetcode.com/problems/count-substrings-that-can-be-rearranged-to-contain-a-string-ii/", "Count Substrings That Can Be Rearranged to Contain a String II")</f>
        <v/>
      </c>
      <c r="C3187" s="1" t="n">
        <v>88</v>
      </c>
      <c r="D3187" s="1" t="n">
        <v>5</v>
      </c>
      <c r="E3187" s="4">
        <f>IF(INDEX(C:C, ROW())+INDEX(D:D, ROW())=0, 0, INDEX(C:C, ROW())/(INDEX(C:C, ROW())+INDEX(D:D, ROW())))</f>
        <v/>
      </c>
      <c r="F3187" s="1" t="inlineStr">
        <is>
          <t>Hash Table, String, Sliding Window</t>
        </is>
      </c>
      <c r="G3187" s="1" t="inlineStr">
        <is>
          <t>Hard</t>
        </is>
      </c>
      <c r="H3187" s="1" t="n">
        <v>16685</v>
      </c>
      <c r="I3187" s="1" t="n">
        <v>29884</v>
      </c>
      <c r="J3187" s="9" t="n">
        <v>0.5580000000000001</v>
      </c>
      <c r="K3187" s="1" t="inlineStr">
        <is>
          <t>Yes</t>
        </is>
      </c>
      <c r="L3187" s="1" t="inlineStr">
        <is>
          <t>No</t>
        </is>
      </c>
      <c r="M3187" s="1" t="inlineStr">
        <is>
          <t>No</t>
        </is>
      </c>
      <c r="N3187" s="1" t="inlineStr">
        <is>
          <t>Algorithms</t>
        </is>
      </c>
      <c r="O31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88" ht="15.75" customHeight="1" s="12">
      <c r="A3188" s="1" t="n">
        <v>3393</v>
      </c>
      <c r="B3188" s="3">
        <f>HYPERLINK("https://leetcode.com/problems/count-paths-with-the-given-xor-value/", "Count Paths With the Given XOR Value")</f>
        <v/>
      </c>
      <c r="C3188" s="1" t="n">
        <v>88</v>
      </c>
      <c r="D3188" s="1" t="n">
        <v>6</v>
      </c>
      <c r="E3188" s="4">
        <f>IF(INDEX(C:C, ROW())+INDEX(D:D, ROW())=0, 0, INDEX(C:C, ROW())/(INDEX(C:C, ROW())+INDEX(D:D, ROW())))</f>
        <v/>
      </c>
      <c r="F3188" s="1" t="inlineStr">
        <is>
          <t>Array, Dynamic Programming, Bit Manipulation, Matrix</t>
        </is>
      </c>
      <c r="G3188" s="1" t="inlineStr">
        <is>
          <t>Medium</t>
        </is>
      </c>
      <c r="H3188" s="1" t="n">
        <v>20712</v>
      </c>
      <c r="I3188" s="1" t="n">
        <v>51256</v>
      </c>
      <c r="J3188" s="9" t="n">
        <v>0.404</v>
      </c>
      <c r="K3188" s="1" t="inlineStr">
        <is>
          <t>Yes</t>
        </is>
      </c>
      <c r="L3188" s="1" t="inlineStr">
        <is>
          <t>No</t>
        </is>
      </c>
      <c r="M3188" s="1" t="inlineStr">
        <is>
          <t>No</t>
        </is>
      </c>
      <c r="N3188" s="1" t="inlineStr">
        <is>
          <t>Algorithms</t>
        </is>
      </c>
      <c r="O31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89" ht="15.75" customHeight="1" s="12">
      <c r="A3189" s="1" t="n">
        <v>2254</v>
      </c>
      <c r="B3189" s="3">
        <f>HYPERLINK("https://leetcode.com/problems/design-video-sharing-platform/", "Design Video Sharing Platform")</f>
        <v/>
      </c>
      <c r="C3189" s="1" t="n">
        <v>87</v>
      </c>
      <c r="D3189" s="1" t="n">
        <v>14</v>
      </c>
      <c r="E3189" s="4">
        <f>IF(INDEX(C:C, ROW())+INDEX(D:D, ROW())=0, 0, INDEX(C:C, ROW())/(INDEX(C:C, ROW())+INDEX(D:D, ROW())))</f>
        <v/>
      </c>
      <c r="F3189" s="1" t="inlineStr">
        <is>
          <t>Hash Table, Stack, Design, Ordered Set</t>
        </is>
      </c>
      <c r="G3189" s="1" t="inlineStr">
        <is>
          <t>Hard</t>
        </is>
      </c>
      <c r="H3189" s="1" t="n">
        <v>5361</v>
      </c>
      <c r="I3189" s="1" t="n">
        <v>8394</v>
      </c>
      <c r="J3189" s="9" t="n">
        <v>0.639</v>
      </c>
      <c r="K3189" s="1" t="inlineStr">
        <is>
          <t>No</t>
        </is>
      </c>
      <c r="L3189" s="1" t="inlineStr">
        <is>
          <t>No</t>
        </is>
      </c>
      <c r="M3189" s="1" t="inlineStr">
        <is>
          <t>No</t>
        </is>
      </c>
      <c r="N3189" s="1" t="inlineStr">
        <is>
          <t>Algorithms</t>
        </is>
      </c>
      <c r="O31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90" ht="15.75" customHeight="1" s="12">
      <c r="A3190" s="1" t="n">
        <v>2886</v>
      </c>
      <c r="B3190" s="3">
        <f>HYPERLINK("https://leetcode.com/problems/change-data-type/", "Change Data Type")</f>
        <v/>
      </c>
      <c r="C3190" s="1" t="n">
        <v>87</v>
      </c>
      <c r="D3190" s="1" t="n">
        <v>9</v>
      </c>
      <c r="E3190" s="4">
        <f>IF(INDEX(C:C, ROW())+INDEX(D:D, ROW())=0, 0, INDEX(C:C, ROW())/(INDEX(C:C, ROW())+INDEX(D:D, ROW())))</f>
        <v/>
      </c>
      <c r="F3190" s="2" t="n"/>
      <c r="G3190" s="1" t="inlineStr">
        <is>
          <t>Easy</t>
        </is>
      </c>
      <c r="H3190" s="1" t="n">
        <v>116223</v>
      </c>
      <c r="I3190" s="1" t="n">
        <v>132988</v>
      </c>
      <c r="J3190" s="9" t="n">
        <v>0.874</v>
      </c>
      <c r="K3190" s="1" t="inlineStr">
        <is>
          <t>Yes</t>
        </is>
      </c>
      <c r="L3190" s="1" t="inlineStr">
        <is>
          <t>Yes</t>
        </is>
      </c>
      <c r="M3190" s="1" t="inlineStr">
        <is>
          <t>No</t>
        </is>
      </c>
      <c r="N3190" s="1" t="inlineStr">
        <is>
          <t>pandas</t>
        </is>
      </c>
      <c r="O31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91" ht="15.75" customHeight="1" s="12">
      <c r="A3191" s="1" t="n">
        <v>3096</v>
      </c>
      <c r="B3191" s="3">
        <f>HYPERLINK("https://leetcode.com/problems/minimum-levels-to-gain-more-points/", "Minimum Levels to Gain More Points")</f>
        <v/>
      </c>
      <c r="C3191" s="1" t="n">
        <v>87</v>
      </c>
      <c r="D3191" s="1" t="n">
        <v>30</v>
      </c>
      <c r="E3191" s="4">
        <f>IF(INDEX(C:C, ROW())+INDEX(D:D, ROW())=0, 0, INDEX(C:C, ROW())/(INDEX(C:C, ROW())+INDEX(D:D, ROW())))</f>
        <v/>
      </c>
      <c r="F3191" s="1" t="inlineStr">
        <is>
          <t>Array, Prefix Sum</t>
        </is>
      </c>
      <c r="G3191" s="1" t="inlineStr">
        <is>
          <t>Medium</t>
        </is>
      </c>
      <c r="H3191" s="1" t="n">
        <v>26775</v>
      </c>
      <c r="I3191" s="1" t="n">
        <v>67017</v>
      </c>
      <c r="J3191" s="9" t="n">
        <v>0.4</v>
      </c>
      <c r="K3191" s="1" t="inlineStr">
        <is>
          <t>Yes</t>
        </is>
      </c>
      <c r="L3191" s="1" t="inlineStr">
        <is>
          <t>No</t>
        </is>
      </c>
      <c r="M3191" s="1" t="inlineStr">
        <is>
          <t>No</t>
        </is>
      </c>
      <c r="N3191" s="1" t="inlineStr">
        <is>
          <t>Algorithms</t>
        </is>
      </c>
      <c r="O31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92" ht="15.75" customHeight="1" s="12">
      <c r="A3192" s="1" t="n">
        <v>3315</v>
      </c>
      <c r="B3192" s="3">
        <f>HYPERLINK("https://leetcode.com/problems/construct-the-minimum-bitwise-array-ii/", "Construct the Minimum Bitwise Array II")</f>
        <v/>
      </c>
      <c r="C3192" s="1" t="n">
        <v>87</v>
      </c>
      <c r="D3192" s="1" t="n">
        <v>7</v>
      </c>
      <c r="E3192" s="4">
        <f>IF(INDEX(C:C, ROW())+INDEX(D:D, ROW())=0, 0, INDEX(C:C, ROW())/(INDEX(C:C, ROW())+INDEX(D:D, ROW())))</f>
        <v/>
      </c>
      <c r="F3192" s="1" t="inlineStr">
        <is>
          <t>Array, Bit Manipulation</t>
        </is>
      </c>
      <c r="G3192" s="1" t="inlineStr">
        <is>
          <t>Medium</t>
        </is>
      </c>
      <c r="H3192" s="1" t="n">
        <v>16506</v>
      </c>
      <c r="I3192" s="1" t="n">
        <v>46167</v>
      </c>
      <c r="J3192" s="9" t="n">
        <v>0.358</v>
      </c>
      <c r="K3192" s="1" t="inlineStr">
        <is>
          <t>Yes</t>
        </is>
      </c>
      <c r="L3192" s="1" t="inlineStr">
        <is>
          <t>No</t>
        </is>
      </c>
      <c r="M3192" s="1" t="inlineStr">
        <is>
          <t>No</t>
        </is>
      </c>
      <c r="N3192" s="1" t="inlineStr">
        <is>
          <t>Algorithms</t>
        </is>
      </c>
      <c r="O31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93" ht="15.75" customHeight="1" s="12">
      <c r="A3193" s="1" t="n">
        <v>3336</v>
      </c>
      <c r="B3193" s="3">
        <f>HYPERLINK("https://leetcode.com/problems/find-the-number-of-subsequences-with-equal-gcd/", "Find the Number of Subsequences With Equal GCD")</f>
        <v/>
      </c>
      <c r="C3193" s="1" t="n">
        <v>87</v>
      </c>
      <c r="D3193" s="1" t="n">
        <v>9</v>
      </c>
      <c r="E3193" s="4">
        <f>IF(INDEX(C:C, ROW())+INDEX(D:D, ROW())=0, 0, INDEX(C:C, ROW())/(INDEX(C:C, ROW())+INDEX(D:D, ROW())))</f>
        <v/>
      </c>
      <c r="F3193" s="1" t="inlineStr">
        <is>
          <t>Array, Math, Dynamic Programming, Number Theory</t>
        </is>
      </c>
      <c r="G3193" s="1" t="inlineStr">
        <is>
          <t>Hard</t>
        </is>
      </c>
      <c r="H3193" s="1" t="n">
        <v>7501</v>
      </c>
      <c r="I3193" s="1" t="n">
        <v>24254</v>
      </c>
      <c r="J3193" s="9" t="n">
        <v>0.309</v>
      </c>
      <c r="K3193" s="1" t="inlineStr">
        <is>
          <t>Yes</t>
        </is>
      </c>
      <c r="L3193" s="1" t="inlineStr">
        <is>
          <t>No</t>
        </is>
      </c>
      <c r="M3193" s="1" t="inlineStr">
        <is>
          <t>No</t>
        </is>
      </c>
      <c r="N3193" s="1" t="inlineStr">
        <is>
          <t>Algorithms</t>
        </is>
      </c>
      <c r="O31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94" ht="15.75" customHeight="1" s="12">
      <c r="A3194" s="1" t="n">
        <v>3444</v>
      </c>
      <c r="B3194" s="3">
        <f>HYPERLINK("https://leetcode.com/problems/minimum-increments-for-target-multiples-in-an-array/", "Minimum Increments for Target Multiples in an Array")</f>
        <v/>
      </c>
      <c r="C3194" s="1" t="n">
        <v>87</v>
      </c>
      <c r="D3194" s="1" t="n">
        <v>7</v>
      </c>
      <c r="E3194" s="4">
        <f>IF(INDEX(C:C, ROW())+INDEX(D:D, ROW())=0, 0, INDEX(C:C, ROW())/(INDEX(C:C, ROW())+INDEX(D:D, ROW())))</f>
        <v/>
      </c>
      <c r="F3194" s="1" t="inlineStr">
        <is>
          <t>Array, Math, Dynamic Programming, Bit Manipulation, Number Theory, Bitmask DP</t>
        </is>
      </c>
      <c r="G3194" s="1" t="inlineStr">
        <is>
          <t>Hard</t>
        </is>
      </c>
      <c r="H3194" s="1" t="n">
        <v>6385</v>
      </c>
      <c r="I3194" s="1" t="n">
        <v>23662</v>
      </c>
      <c r="J3194" s="9" t="n">
        <v>0.27</v>
      </c>
      <c r="K3194" s="1" t="inlineStr">
        <is>
          <t>Yes</t>
        </is>
      </c>
      <c r="L3194" s="1" t="inlineStr">
        <is>
          <t>No</t>
        </is>
      </c>
      <c r="M3194" s="1" t="inlineStr">
        <is>
          <t>No</t>
        </is>
      </c>
      <c r="N3194" s="1" t="inlineStr">
        <is>
          <t>Algorithms</t>
        </is>
      </c>
      <c r="O31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95" ht="15.75" customHeight="1" s="12">
      <c r="A3195" s="1" t="n">
        <v>3504</v>
      </c>
      <c r="B3195" s="3">
        <f>HYPERLINK("https://leetcode.com/problems/longest-palindrome-after-substring-concatenation-ii/", "Longest Palindrome After Substring Concatenation II")</f>
        <v/>
      </c>
      <c r="C3195" s="1" t="n">
        <v>87</v>
      </c>
      <c r="D3195" s="1" t="n">
        <v>5</v>
      </c>
      <c r="E3195" s="4">
        <f>IF(INDEX(C:C, ROW())+INDEX(D:D, ROW())=0, 0, INDEX(C:C, ROW())/(INDEX(C:C, ROW())+INDEX(D:D, ROW())))</f>
        <v/>
      </c>
      <c r="F3195" s="1" t="inlineStr">
        <is>
          <t>Two Pointers, String, Dynamic Programming</t>
        </is>
      </c>
      <c r="G3195" s="1" t="inlineStr">
        <is>
          <t>Hard</t>
        </is>
      </c>
      <c r="H3195" s="1" t="n">
        <v>6304</v>
      </c>
      <c r="I3195" s="1" t="n">
        <v>36272</v>
      </c>
      <c r="J3195" s="9" t="n">
        <v>0.174</v>
      </c>
      <c r="K3195" s="1" t="inlineStr">
        <is>
          <t>Yes</t>
        </is>
      </c>
      <c r="L3195" s="1" t="inlineStr">
        <is>
          <t>No</t>
        </is>
      </c>
      <c r="M3195" s="1" t="inlineStr">
        <is>
          <t>No</t>
        </is>
      </c>
      <c r="N3195" s="1" t="inlineStr">
        <is>
          <t>Algorithms</t>
        </is>
      </c>
      <c r="O31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96" ht="15.75" customHeight="1" s="12">
      <c r="A3196" s="1" t="n">
        <v>3545</v>
      </c>
      <c r="B3196" s="3">
        <f>HYPERLINK("https://leetcode.com/problems/minimum-deletions-for-at-most-k-distinct-characters/", "Minimum Deletions for At Most K Distinct Characters")</f>
        <v/>
      </c>
      <c r="C3196" s="1" t="n">
        <v>87</v>
      </c>
      <c r="D3196" s="1" t="n">
        <v>6</v>
      </c>
      <c r="E3196" s="4">
        <f>IF(INDEX(C:C, ROW())+INDEX(D:D, ROW())=0, 0, INDEX(C:C, ROW())/(INDEX(C:C, ROW())+INDEX(D:D, ROW())))</f>
        <v/>
      </c>
      <c r="F3196" s="1" t="inlineStr">
        <is>
          <t>Hash Table, String, Greedy, Sorting, Counting</t>
        </is>
      </c>
      <c r="G3196" s="1" t="inlineStr">
        <is>
          <t>Easy</t>
        </is>
      </c>
      <c r="H3196" s="1" t="n">
        <v>40373</v>
      </c>
      <c r="I3196" s="1" t="n">
        <v>55386</v>
      </c>
      <c r="J3196" s="9" t="n">
        <v>0.729</v>
      </c>
      <c r="K3196" s="1" t="inlineStr">
        <is>
          <t>Yes</t>
        </is>
      </c>
      <c r="L3196" s="1" t="inlineStr">
        <is>
          <t>No</t>
        </is>
      </c>
      <c r="M3196" s="1" t="inlineStr">
        <is>
          <t>No</t>
        </is>
      </c>
      <c r="N3196" s="1" t="inlineStr">
        <is>
          <t>Algorithms</t>
        </is>
      </c>
      <c r="O31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97" ht="15.75" customHeight="1" s="12">
      <c r="A3197" s="1" t="n">
        <v>3561</v>
      </c>
      <c r="B3197" s="3">
        <f>HYPERLINK("https://leetcode.com/problems/resulting-string-after-adjacent-removals/", "Resulting String After Adjacent Removals")</f>
        <v/>
      </c>
      <c r="C3197" s="1" t="n">
        <v>87</v>
      </c>
      <c r="D3197" s="1" t="n">
        <v>3</v>
      </c>
      <c r="E3197" s="4">
        <f>IF(INDEX(C:C, ROW())+INDEX(D:D, ROW())=0, 0, INDEX(C:C, ROW())/(INDEX(C:C, ROW())+INDEX(D:D, ROW())))</f>
        <v/>
      </c>
      <c r="F3197" s="1" t="inlineStr">
        <is>
          <t>String, Stack, Simulation</t>
        </is>
      </c>
      <c r="G3197" s="1" t="inlineStr">
        <is>
          <t>Medium</t>
        </is>
      </c>
      <c r="H3197" s="1" t="n">
        <v>31655</v>
      </c>
      <c r="I3197" s="1" t="n">
        <v>56129</v>
      </c>
      <c r="J3197" s="9" t="n">
        <v>0.5639999999999999</v>
      </c>
      <c r="K3197" s="1" t="inlineStr">
        <is>
          <t>Yes</t>
        </is>
      </c>
      <c r="L3197" s="1" t="inlineStr">
        <is>
          <t>No</t>
        </is>
      </c>
      <c r="M3197" s="1" t="inlineStr">
        <is>
          <t>No</t>
        </is>
      </c>
      <c r="N3197" s="1" t="inlineStr">
        <is>
          <t>Algorithms</t>
        </is>
      </c>
      <c r="O31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98" ht="15.75" customHeight="1" s="12">
      <c r="A3198" s="1" t="n">
        <v>2955</v>
      </c>
      <c r="B3198" s="3">
        <f>HYPERLINK("https://leetcode.com/problems/number-of-same-end-substrings/", "Number of Same-End Substrings")</f>
        <v/>
      </c>
      <c r="C3198" s="1" t="n">
        <v>86</v>
      </c>
      <c r="D3198" s="1" t="n">
        <v>18</v>
      </c>
      <c r="E3198" s="4">
        <f>IF(INDEX(C:C, ROW())+INDEX(D:D, ROW())=0, 0, INDEX(C:C, ROW())/(INDEX(C:C, ROW())+INDEX(D:D, ROW())))</f>
        <v/>
      </c>
      <c r="F3198" s="1" t="inlineStr">
        <is>
          <t>Array, Hash Table, String, Counting, Prefix Sum</t>
        </is>
      </c>
      <c r="G3198" s="1" t="inlineStr">
        <is>
          <t>Medium</t>
        </is>
      </c>
      <c r="H3198" s="1" t="n">
        <v>8895</v>
      </c>
      <c r="I3198" s="1" t="n">
        <v>14449</v>
      </c>
      <c r="J3198" s="9" t="n">
        <v>0.616</v>
      </c>
      <c r="K3198" s="1" t="inlineStr">
        <is>
          <t>No</t>
        </is>
      </c>
      <c r="L3198" s="1" t="inlineStr">
        <is>
          <t>Yes</t>
        </is>
      </c>
      <c r="M3198" s="1" t="inlineStr">
        <is>
          <t>No</t>
        </is>
      </c>
      <c r="N3198" s="1" t="inlineStr">
        <is>
          <t>Algorithms</t>
        </is>
      </c>
      <c r="O31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199" ht="15.75" customHeight="1" s="12">
      <c r="A3199" s="1" t="n">
        <v>3334</v>
      </c>
      <c r="B3199" s="3">
        <f>HYPERLINK("https://leetcode.com/problems/find-the-maximum-factor-score-of-array/", "Find the Maximum Factor Score of Array")</f>
        <v/>
      </c>
      <c r="C3199" s="1" t="n">
        <v>86</v>
      </c>
      <c r="D3199" s="1" t="n">
        <v>13</v>
      </c>
      <c r="E3199" s="4">
        <f>IF(INDEX(C:C, ROW())+INDEX(D:D, ROW())=0, 0, INDEX(C:C, ROW())/(INDEX(C:C, ROW())+INDEX(D:D, ROW())))</f>
        <v/>
      </c>
      <c r="F3199" s="1" t="inlineStr">
        <is>
          <t>Array, Math, Number Theory</t>
        </is>
      </c>
      <c r="G3199" s="1" t="inlineStr">
        <is>
          <t>Medium</t>
        </is>
      </c>
      <c r="H3199" s="1" t="n">
        <v>23647</v>
      </c>
      <c r="I3199" s="1" t="n">
        <v>57852</v>
      </c>
      <c r="J3199" s="9" t="n">
        <v>0.409</v>
      </c>
      <c r="K3199" s="1" t="inlineStr">
        <is>
          <t>Yes</t>
        </is>
      </c>
      <c r="L3199" s="1" t="inlineStr">
        <is>
          <t>No</t>
        </is>
      </c>
      <c r="M3199" s="1" t="inlineStr">
        <is>
          <t>No</t>
        </is>
      </c>
      <c r="N3199" s="1" t="inlineStr">
        <is>
          <t>Algorithms</t>
        </is>
      </c>
      <c r="O31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00" ht="15.75" customHeight="1" s="12">
      <c r="A3200" s="1" t="n">
        <v>3421</v>
      </c>
      <c r="B3200" s="3">
        <f>HYPERLINK("https://leetcode.com/problems/find-students-who-improved/", "Find Students Who Improved")</f>
        <v/>
      </c>
      <c r="C3200" s="1" t="n">
        <v>86</v>
      </c>
      <c r="D3200" s="1" t="n">
        <v>9</v>
      </c>
      <c r="E3200" s="4">
        <f>IF(INDEX(C:C, ROW())+INDEX(D:D, ROW())=0, 0, INDEX(C:C, ROW())/(INDEX(C:C, ROW())+INDEX(D:D, ROW())))</f>
        <v/>
      </c>
      <c r="F3200" s="1" t="inlineStr">
        <is>
          <t>Database</t>
        </is>
      </c>
      <c r="G3200" s="1" t="inlineStr">
        <is>
          <t>Medium</t>
        </is>
      </c>
      <c r="H3200" s="1" t="n">
        <v>20802</v>
      </c>
      <c r="I3200" s="1" t="n">
        <v>43435</v>
      </c>
      <c r="J3200" s="9" t="n">
        <v>0.479</v>
      </c>
      <c r="K3200" s="1" t="inlineStr">
        <is>
          <t>Yes</t>
        </is>
      </c>
      <c r="L3200" s="1" t="inlineStr">
        <is>
          <t>No</t>
        </is>
      </c>
      <c r="M3200" s="1" t="inlineStr">
        <is>
          <t>No</t>
        </is>
      </c>
      <c r="N3200" s="1" t="inlineStr">
        <is>
          <t>Database</t>
        </is>
      </c>
      <c r="O32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01" ht="15.75" customHeight="1" s="12">
      <c r="A3201" s="1" t="n">
        <v>3424</v>
      </c>
      <c r="B3201" s="3">
        <f>HYPERLINK("https://leetcode.com/problems/minimum-cost-to-make-arrays-identical/", "Minimum Cost to Make Arrays Identical")</f>
        <v/>
      </c>
      <c r="C3201" s="1" t="n">
        <v>86</v>
      </c>
      <c r="D3201" s="1" t="n">
        <v>13</v>
      </c>
      <c r="E3201" s="4">
        <f>IF(INDEX(C:C, ROW())+INDEX(D:D, ROW())=0, 0, INDEX(C:C, ROW())/(INDEX(C:C, ROW())+INDEX(D:D, ROW())))</f>
        <v/>
      </c>
      <c r="F3201" s="1" t="inlineStr">
        <is>
          <t>Array, Greedy, Sorting</t>
        </is>
      </c>
      <c r="G3201" s="1" t="inlineStr">
        <is>
          <t>Medium</t>
        </is>
      </c>
      <c r="H3201" s="1" t="n">
        <v>24813</v>
      </c>
      <c r="I3201" s="1" t="n">
        <v>66042</v>
      </c>
      <c r="J3201" s="9" t="n">
        <v>0.376</v>
      </c>
      <c r="K3201" s="1" t="inlineStr">
        <is>
          <t>Yes</t>
        </is>
      </c>
      <c r="L3201" s="1" t="inlineStr">
        <is>
          <t>No</t>
        </is>
      </c>
      <c r="M3201" s="1" t="inlineStr">
        <is>
          <t>No</t>
        </is>
      </c>
      <c r="N3201" s="1" t="inlineStr">
        <is>
          <t>Algorithms</t>
        </is>
      </c>
      <c r="O32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02" ht="15.75" customHeight="1" s="12">
      <c r="A3202" s="1" t="n">
        <v>3587</v>
      </c>
      <c r="B3202" s="3">
        <f>HYPERLINK("https://leetcode.com/problems/minimum-adjacent-swaps-to-alternate-parity/", "Minimum Adjacent Swaps to Alternate Parity")</f>
        <v/>
      </c>
      <c r="C3202" s="1" t="n">
        <v>86</v>
      </c>
      <c r="D3202" s="1" t="n">
        <v>14</v>
      </c>
      <c r="E3202" s="4">
        <f>IF(INDEX(C:C, ROW())+INDEX(D:D, ROW())=0, 0, INDEX(C:C, ROW())/(INDEX(C:C, ROW())+INDEX(D:D, ROW())))</f>
        <v/>
      </c>
      <c r="F3202" s="1" t="inlineStr">
        <is>
          <t>Array, Greedy</t>
        </is>
      </c>
      <c r="G3202" s="1" t="inlineStr">
        <is>
          <t>Medium</t>
        </is>
      </c>
      <c r="H3202" s="1" t="n">
        <v>20327</v>
      </c>
      <c r="I3202" s="1" t="n">
        <v>48215</v>
      </c>
      <c r="J3202" s="9" t="n">
        <v>0.422</v>
      </c>
      <c r="K3202" s="1" t="inlineStr">
        <is>
          <t>Yes</t>
        </is>
      </c>
      <c r="L3202" s="1" t="inlineStr">
        <is>
          <t>No</t>
        </is>
      </c>
      <c r="M3202" s="1" t="inlineStr">
        <is>
          <t>No</t>
        </is>
      </c>
      <c r="N3202" s="1" t="inlineStr">
        <is>
          <t>Algorithms</t>
        </is>
      </c>
      <c r="O32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03" ht="15.75" customHeight="1" s="12">
      <c r="A3203" s="1" t="n">
        <v>3658</v>
      </c>
      <c r="B3203" s="3">
        <f>HYPERLINK("https://leetcode.com/problems/gcd-of-odd-and-even-sums/", "GCD of Odd and Even Sums")</f>
        <v/>
      </c>
      <c r="C3203" s="1" t="n">
        <v>86</v>
      </c>
      <c r="D3203" s="1" t="n">
        <v>10</v>
      </c>
      <c r="E3203" s="4">
        <f>IF(INDEX(C:C, ROW())+INDEX(D:D, ROW())=0, 0, INDEX(C:C, ROW())/(INDEX(C:C, ROW())+INDEX(D:D, ROW())))</f>
        <v/>
      </c>
      <c r="F3203" s="1" t="inlineStr">
        <is>
          <t>Math, Number Theory</t>
        </is>
      </c>
      <c r="G3203" s="1" t="inlineStr">
        <is>
          <t>Easy</t>
        </is>
      </c>
      <c r="H3203" s="1" t="n">
        <v>77889</v>
      </c>
      <c r="I3203" s="1" t="n">
        <v>92887</v>
      </c>
      <c r="J3203" s="9" t="n">
        <v>0.839</v>
      </c>
      <c r="K3203" s="1" t="inlineStr">
        <is>
          <t>Yes</t>
        </is>
      </c>
      <c r="L3203" s="1" t="inlineStr">
        <is>
          <t>No</t>
        </is>
      </c>
      <c r="M3203" s="1" t="inlineStr">
        <is>
          <t>No</t>
        </is>
      </c>
      <c r="N3203" s="1" t="inlineStr">
        <is>
          <t>Algorithms</t>
        </is>
      </c>
      <c r="O32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04" ht="15.75" customHeight="1" s="12">
      <c r="A3204" s="1" t="n">
        <v>3790</v>
      </c>
      <c r="B3204" s="3">
        <f>HYPERLINK("https://leetcode.com/problems/smallest-all-ones-multiple/", "Smallest All-Ones Multiple")</f>
        <v/>
      </c>
      <c r="C3204" s="1" t="n">
        <v>86</v>
      </c>
      <c r="D3204" s="1" t="n">
        <v>5</v>
      </c>
      <c r="E3204" s="4">
        <f>IF(INDEX(C:C, ROW())+INDEX(D:D, ROW())=0, 0, INDEX(C:C, ROW())/(INDEX(C:C, ROW())+INDEX(D:D, ROW())))</f>
        <v/>
      </c>
      <c r="F3204" s="1" t="inlineStr">
        <is>
          <t>Hash Table, Math</t>
        </is>
      </c>
      <c r="G3204" s="1" t="inlineStr">
        <is>
          <t>Medium</t>
        </is>
      </c>
      <c r="H3204" s="1" t="n">
        <v>24768</v>
      </c>
      <c r="I3204" s="1" t="n">
        <v>52796</v>
      </c>
      <c r="J3204" s="9" t="n">
        <v>0.469</v>
      </c>
      <c r="K3204" s="1" t="inlineStr">
        <is>
          <t>Yes</t>
        </is>
      </c>
      <c r="L3204" s="1" t="inlineStr">
        <is>
          <t>No</t>
        </is>
      </c>
      <c r="M3204" s="1" t="inlineStr">
        <is>
          <t>No</t>
        </is>
      </c>
      <c r="N3204" s="1" t="inlineStr">
        <is>
          <t>Algorithms</t>
        </is>
      </c>
      <c r="O32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05" ht="15.75" customHeight="1" s="12">
      <c r="A3205" s="1" t="n">
        <v>1069</v>
      </c>
      <c r="B3205" s="3">
        <f>HYPERLINK("https://leetcode.com/problems/product-sales-analysis-ii/", "Product Sales Analysis II")</f>
        <v/>
      </c>
      <c r="C3205" s="1" t="n">
        <v>85</v>
      </c>
      <c r="D3205" s="1" t="n">
        <v>182</v>
      </c>
      <c r="E3205" s="4">
        <f>IF(INDEX(C:C, ROW())+INDEX(D:D, ROW())=0, 0, INDEX(C:C, ROW())/(INDEX(C:C, ROW())+INDEX(D:D, ROW())))</f>
        <v/>
      </c>
      <c r="F3205" s="1" t="inlineStr">
        <is>
          <t>Database</t>
        </is>
      </c>
      <c r="G3205" s="1" t="inlineStr">
        <is>
          <t>Easy</t>
        </is>
      </c>
      <c r="H3205" s="1" t="n">
        <v>61500</v>
      </c>
      <c r="I3205" s="1" t="n">
        <v>74477</v>
      </c>
      <c r="J3205" s="9" t="n">
        <v>0.826</v>
      </c>
      <c r="K3205" s="1" t="inlineStr">
        <is>
          <t>No</t>
        </is>
      </c>
      <c r="L3205" s="1" t="inlineStr">
        <is>
          <t>Yes</t>
        </is>
      </c>
      <c r="M3205" s="1" t="inlineStr">
        <is>
          <t>No</t>
        </is>
      </c>
      <c r="N3205" s="1" t="inlineStr">
        <is>
          <t>Database</t>
        </is>
      </c>
      <c r="O32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06" ht="15.75" customHeight="1" s="12">
      <c r="A3206" s="1" t="n">
        <v>3523</v>
      </c>
      <c r="B3206" s="3">
        <f>HYPERLINK("https://leetcode.com/problems/make-array-non-decreasing/", "Make Array Non-decreasing")</f>
        <v/>
      </c>
      <c r="C3206" s="1" t="n">
        <v>85</v>
      </c>
      <c r="D3206" s="1" t="n">
        <v>9</v>
      </c>
      <c r="E3206" s="4">
        <f>IF(INDEX(C:C, ROW())+INDEX(D:D, ROW())=0, 0, INDEX(C:C, ROW())/(INDEX(C:C, ROW())+INDEX(D:D, ROW())))</f>
        <v/>
      </c>
      <c r="F3206" s="1" t="inlineStr">
        <is>
          <t>Array, Stack, Greedy, Monotonic Stack</t>
        </is>
      </c>
      <c r="G3206" s="1" t="inlineStr">
        <is>
          <t>Medium</t>
        </is>
      </c>
      <c r="H3206" s="1" t="n">
        <v>31438</v>
      </c>
      <c r="I3206" s="1" t="n">
        <v>55606</v>
      </c>
      <c r="J3206" s="9" t="n">
        <v>0.5649999999999999</v>
      </c>
      <c r="K3206" s="1" t="inlineStr">
        <is>
          <t>Yes</t>
        </is>
      </c>
      <c r="L3206" s="1" t="inlineStr">
        <is>
          <t>No</t>
        </is>
      </c>
      <c r="M3206" s="1" t="inlineStr">
        <is>
          <t>No</t>
        </is>
      </c>
      <c r="N3206" s="1" t="inlineStr">
        <is>
          <t>Algorithms</t>
        </is>
      </c>
      <c r="O32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07" ht="15.75" customHeight="1" s="12">
      <c r="A3207" s="1" t="n">
        <v>2153</v>
      </c>
      <c r="B3207" s="3">
        <f>HYPERLINK("https://leetcode.com/problems/the-number-of-passengers-in-each-bus-ii/", "The Number of Passengers in Each Bus II")</f>
        <v/>
      </c>
      <c r="C3207" s="1" t="n">
        <v>84</v>
      </c>
      <c r="D3207" s="1" t="n">
        <v>29</v>
      </c>
      <c r="E3207" s="4">
        <f>IF(INDEX(C:C, ROW())+INDEX(D:D, ROW())=0, 0, INDEX(C:C, ROW())/(INDEX(C:C, ROW())+INDEX(D:D, ROW())))</f>
        <v/>
      </c>
      <c r="F3207" s="1" t="inlineStr">
        <is>
          <t>Database</t>
        </is>
      </c>
      <c r="G3207" s="1" t="inlineStr">
        <is>
          <t>Hard</t>
        </is>
      </c>
      <c r="H3207" s="1" t="n">
        <v>3848</v>
      </c>
      <c r="I3207" s="1" t="n">
        <v>9590</v>
      </c>
      <c r="J3207" s="9" t="n">
        <v>0.401</v>
      </c>
      <c r="K3207" s="1" t="inlineStr">
        <is>
          <t>No</t>
        </is>
      </c>
      <c r="L3207" s="1" t="inlineStr">
        <is>
          <t>Yes</t>
        </is>
      </c>
      <c r="M3207" s="1" t="inlineStr">
        <is>
          <t>No</t>
        </is>
      </c>
      <c r="N3207" s="1" t="inlineStr">
        <is>
          <t>Database</t>
        </is>
      </c>
      <c r="O32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08" ht="15.75" customHeight="1" s="12">
      <c r="A3208" s="1" t="n">
        <v>3524</v>
      </c>
      <c r="B3208" s="3">
        <f>HYPERLINK("https://leetcode.com/problems/find-x-value-of-array-i/", "Find X Value of Array I")</f>
        <v/>
      </c>
      <c r="C3208" s="1" t="n">
        <v>84</v>
      </c>
      <c r="D3208" s="1" t="n">
        <v>29</v>
      </c>
      <c r="E3208" s="4">
        <f>IF(INDEX(C:C, ROW())+INDEX(D:D, ROW())=0, 0, INDEX(C:C, ROW())/(INDEX(C:C, ROW())+INDEX(D:D, ROW())))</f>
        <v/>
      </c>
      <c r="F3208" s="1" t="inlineStr">
        <is>
          <t>Array, Math, Dynamic Programming</t>
        </is>
      </c>
      <c r="G3208" s="1" t="inlineStr">
        <is>
          <t>Medium</t>
        </is>
      </c>
      <c r="H3208" s="1" t="n">
        <v>11043</v>
      </c>
      <c r="I3208" s="1" t="n">
        <v>29858</v>
      </c>
      <c r="J3208" s="9" t="n">
        <v>0.37</v>
      </c>
      <c r="K3208" s="1" t="inlineStr">
        <is>
          <t>Yes</t>
        </is>
      </c>
      <c r="L3208" s="1" t="inlineStr">
        <is>
          <t>No</t>
        </is>
      </c>
      <c r="M3208" s="1" t="inlineStr">
        <is>
          <t>No</t>
        </is>
      </c>
      <c r="N3208" s="1" t="inlineStr">
        <is>
          <t>Algorithms</t>
        </is>
      </c>
      <c r="O32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09" ht="15.75" customHeight="1" s="12">
      <c r="A3209" s="1" t="n">
        <v>2885</v>
      </c>
      <c r="B3209" s="3">
        <f>HYPERLINK("https://leetcode.com/problems/rename-columns/", "Rename Columns")</f>
        <v/>
      </c>
      <c r="C3209" s="1" t="n">
        <v>83</v>
      </c>
      <c r="D3209" s="1" t="n">
        <v>3</v>
      </c>
      <c r="E3209" s="4">
        <f>IF(INDEX(C:C, ROW())+INDEX(D:D, ROW())=0, 0, INDEX(C:C, ROW())/(INDEX(C:C, ROW())+INDEX(D:D, ROW())))</f>
        <v/>
      </c>
      <c r="F3209" s="2" t="n"/>
      <c r="G3209" s="1" t="inlineStr">
        <is>
          <t>Easy</t>
        </is>
      </c>
      <c r="H3209" s="1" t="n">
        <v>118368</v>
      </c>
      <c r="I3209" s="1" t="n">
        <v>138526</v>
      </c>
      <c r="J3209" s="9" t="n">
        <v>0.854</v>
      </c>
      <c r="K3209" s="1" t="inlineStr">
        <is>
          <t>Yes</t>
        </is>
      </c>
      <c r="L3209" s="1" t="inlineStr">
        <is>
          <t>Yes</t>
        </is>
      </c>
      <c r="M3209" s="1" t="inlineStr">
        <is>
          <t>No</t>
        </is>
      </c>
      <c r="N3209" s="1" t="inlineStr">
        <is>
          <t>pandas</t>
        </is>
      </c>
      <c r="O32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10" ht="15.75" customHeight="1" s="12">
      <c r="A3210" s="1" t="n">
        <v>3049</v>
      </c>
      <c r="B3210" s="3">
        <f>HYPERLINK("https://leetcode.com/problems/earliest-second-to-mark-indices-ii/", "Earliest Second to Mark Indices II")</f>
        <v/>
      </c>
      <c r="C3210" s="1" t="n">
        <v>83</v>
      </c>
      <c r="D3210" s="1" t="n">
        <v>20</v>
      </c>
      <c r="E3210" s="4">
        <f>IF(INDEX(C:C, ROW())+INDEX(D:D, ROW())=0, 0, INDEX(C:C, ROW())/(INDEX(C:C, ROW())+INDEX(D:D, ROW())))</f>
        <v/>
      </c>
      <c r="F3210" s="1" t="inlineStr">
        <is>
          <t>Array, Binary Search, Greedy, Heap (Priority Queue)</t>
        </is>
      </c>
      <c r="G3210" s="1" t="inlineStr">
        <is>
          <t>Hard</t>
        </is>
      </c>
      <c r="H3210" s="1" t="n">
        <v>3748</v>
      </c>
      <c r="I3210" s="1" t="n">
        <v>17131</v>
      </c>
      <c r="J3210" s="9" t="n">
        <v>0.219</v>
      </c>
      <c r="K3210" s="1" t="inlineStr">
        <is>
          <t>Yes</t>
        </is>
      </c>
      <c r="L3210" s="1" t="inlineStr">
        <is>
          <t>No</t>
        </is>
      </c>
      <c r="M3210" s="1" t="inlineStr">
        <is>
          <t>No</t>
        </is>
      </c>
      <c r="N3210" s="1" t="inlineStr">
        <is>
          <t>Algorithms</t>
        </is>
      </c>
      <c r="O32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11" ht="15.75" customHeight="1" s="12">
      <c r="A3211" s="1" t="n">
        <v>3365</v>
      </c>
      <c r="B3211" s="3">
        <f>HYPERLINK("https://leetcode.com/problems/rearrange-k-substrings-to-form-target-string/", "Rearrange K Substrings to Form Target String")</f>
        <v/>
      </c>
      <c r="C3211" s="1" t="n">
        <v>83</v>
      </c>
      <c r="D3211" s="1" t="n">
        <v>7</v>
      </c>
      <c r="E3211" s="4">
        <f>IF(INDEX(C:C, ROW())+INDEX(D:D, ROW())=0, 0, INDEX(C:C, ROW())/(INDEX(C:C, ROW())+INDEX(D:D, ROW())))</f>
        <v/>
      </c>
      <c r="F3211" s="1" t="inlineStr">
        <is>
          <t>Hash Table, String, Sorting</t>
        </is>
      </c>
      <c r="G3211" s="1" t="inlineStr">
        <is>
          <t>Medium</t>
        </is>
      </c>
      <c r="H3211" s="1" t="n">
        <v>27356</v>
      </c>
      <c r="I3211" s="1" t="n">
        <v>48333</v>
      </c>
      <c r="J3211" s="9" t="n">
        <v>0.5659999999999999</v>
      </c>
      <c r="K3211" s="1" t="inlineStr">
        <is>
          <t>Yes</t>
        </is>
      </c>
      <c r="L3211" s="1" t="inlineStr">
        <is>
          <t>No</t>
        </is>
      </c>
      <c r="M3211" s="1" t="inlineStr">
        <is>
          <t>No</t>
        </is>
      </c>
      <c r="N3211" s="1" t="inlineStr">
        <is>
          <t>Algorithms</t>
        </is>
      </c>
      <c r="O32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12" ht="15.75" customHeight="1" s="12">
      <c r="A3212" s="1" t="n">
        <v>3543</v>
      </c>
      <c r="B3212" s="3">
        <f>HYPERLINK("https://leetcode.com/problems/maximum-weighted-k-edge-path/", "Maximum Weighted K-Edge Path")</f>
        <v/>
      </c>
      <c r="C3212" s="1" t="n">
        <v>83</v>
      </c>
      <c r="D3212" s="1" t="n">
        <v>10</v>
      </c>
      <c r="E3212" s="4">
        <f>IF(INDEX(C:C, ROW())+INDEX(D:D, ROW())=0, 0, INDEX(C:C, ROW())/(INDEX(C:C, ROW())+INDEX(D:D, ROW())))</f>
        <v/>
      </c>
      <c r="F3212" s="1" t="inlineStr">
        <is>
          <t>Hash Table, Dynamic Programming, Graph Theory</t>
        </is>
      </c>
      <c r="G3212" s="1" t="inlineStr">
        <is>
          <t>Medium</t>
        </is>
      </c>
      <c r="H3212" s="1" t="n">
        <v>9132</v>
      </c>
      <c r="I3212" s="1" t="n">
        <v>46220</v>
      </c>
      <c r="J3212" s="9" t="n">
        <v>0.198</v>
      </c>
      <c r="K3212" s="1" t="inlineStr">
        <is>
          <t>Yes</t>
        </is>
      </c>
      <c r="L3212" s="1" t="inlineStr">
        <is>
          <t>No</t>
        </is>
      </c>
      <c r="M3212" s="1" t="inlineStr">
        <is>
          <t>No</t>
        </is>
      </c>
      <c r="N3212" s="1" t="inlineStr">
        <is>
          <t>Algorithms</t>
        </is>
      </c>
      <c r="O32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13" ht="15.75" customHeight="1" s="12">
      <c r="A3213" s="1" t="n">
        <v>3805</v>
      </c>
      <c r="B3213" s="3">
        <f>HYPERLINK("https://leetcode.com/problems/count-caesar-cipher-pairs/", "Count Caesar Cipher Pairs")</f>
        <v/>
      </c>
      <c r="C3213" s="1" t="n">
        <v>83</v>
      </c>
      <c r="D3213" s="1" t="n">
        <v>1</v>
      </c>
      <c r="E3213" s="4">
        <f>IF(INDEX(C:C, ROW())+INDEX(D:D, ROW())=0, 0, INDEX(C:C, ROW())/(INDEX(C:C, ROW())+INDEX(D:D, ROW())))</f>
        <v/>
      </c>
      <c r="F3213" s="1" t="inlineStr">
        <is>
          <t>Array, Hash Table, Math, String, Counting</t>
        </is>
      </c>
      <c r="G3213" s="1" t="inlineStr">
        <is>
          <t>Medium</t>
        </is>
      </c>
      <c r="H3213" s="1" t="n">
        <v>22791</v>
      </c>
      <c r="I3213" s="1" t="n">
        <v>45217</v>
      </c>
      <c r="J3213" s="9" t="n">
        <v>0.504</v>
      </c>
      <c r="K3213" s="1" t="inlineStr">
        <is>
          <t>Yes</t>
        </is>
      </c>
      <c r="L3213" s="1" t="inlineStr">
        <is>
          <t>No</t>
        </is>
      </c>
      <c r="M3213" s="1" t="inlineStr">
        <is>
          <t>No</t>
        </is>
      </c>
      <c r="N3213" s="1" t="inlineStr">
        <is>
          <t>Algorithms</t>
        </is>
      </c>
      <c r="O32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14" ht="15.75" customHeight="1" s="12">
      <c r="A3214" s="1" t="n">
        <v>1256</v>
      </c>
      <c r="B3214" s="3">
        <f>HYPERLINK("https://leetcode.com/problems/encode-number/", "Encode Number")</f>
        <v/>
      </c>
      <c r="C3214" s="1" t="n">
        <v>82</v>
      </c>
      <c r="D3214" s="1" t="n">
        <v>257</v>
      </c>
      <c r="E3214" s="4">
        <f>IF(INDEX(C:C, ROW())+INDEX(D:D, ROW())=0, 0, INDEX(C:C, ROW())/(INDEX(C:C, ROW())+INDEX(D:D, ROW())))</f>
        <v/>
      </c>
      <c r="F3214" s="1" t="inlineStr">
        <is>
          <t>Math, String, Bit Manipulation</t>
        </is>
      </c>
      <c r="G3214" s="1" t="inlineStr">
        <is>
          <t>Medium</t>
        </is>
      </c>
      <c r="H3214" s="1" t="n">
        <v>8530</v>
      </c>
      <c r="I3214" s="1" t="n">
        <v>12141</v>
      </c>
      <c r="J3214" s="9" t="n">
        <v>0.703</v>
      </c>
      <c r="K3214" s="1" t="inlineStr">
        <is>
          <t>No</t>
        </is>
      </c>
      <c r="L3214" s="1" t="inlineStr">
        <is>
          <t>No</t>
        </is>
      </c>
      <c r="M3214" s="1" t="inlineStr">
        <is>
          <t>No</t>
        </is>
      </c>
      <c r="N3214" s="1" t="inlineStr">
        <is>
          <t>Algorithms</t>
        </is>
      </c>
      <c r="O32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15" ht="15.75" customHeight="1" s="12">
      <c r="A3215" s="1" t="n">
        <v>1565</v>
      </c>
      <c r="B3215" s="3">
        <f>HYPERLINK("https://leetcode.com/problems/unique-orders-and-customers-per-month/", "Unique Orders and Customers Per Month")</f>
        <v/>
      </c>
      <c r="C3215" s="1" t="n">
        <v>82</v>
      </c>
      <c r="D3215" s="1" t="n">
        <v>47</v>
      </c>
      <c r="E3215" s="4">
        <f>IF(INDEX(C:C, ROW())+INDEX(D:D, ROW())=0, 0, INDEX(C:C, ROW())/(INDEX(C:C, ROW())+INDEX(D:D, ROW())))</f>
        <v/>
      </c>
      <c r="F3215" s="1" t="inlineStr">
        <is>
          <t>Database</t>
        </is>
      </c>
      <c r="G3215" s="1" t="inlineStr">
        <is>
          <t>Easy</t>
        </is>
      </c>
      <c r="H3215" s="1" t="n">
        <v>25595</v>
      </c>
      <c r="I3215" s="1" t="n">
        <v>31198</v>
      </c>
      <c r="J3215" s="9" t="n">
        <v>0.82</v>
      </c>
      <c r="K3215" s="1" t="inlineStr">
        <is>
          <t>No</t>
        </is>
      </c>
      <c r="L3215" s="1" t="inlineStr">
        <is>
          <t>No</t>
        </is>
      </c>
      <c r="M3215" s="1" t="inlineStr">
        <is>
          <t>No</t>
        </is>
      </c>
      <c r="N3215" s="1" t="inlineStr">
        <is>
          <t>Database</t>
        </is>
      </c>
      <c r="O32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16" ht="15.75" customHeight="1" s="12">
      <c r="A3216" s="1" t="n">
        <v>1788</v>
      </c>
      <c r="B3216" s="3">
        <f>HYPERLINK("https://leetcode.com/problems/maximize-the-beauty-of-the-garden/", "Maximize the Beauty of the Garden")</f>
        <v/>
      </c>
      <c r="C3216" s="1" t="n">
        <v>82</v>
      </c>
      <c r="D3216" s="1" t="n">
        <v>6</v>
      </c>
      <c r="E3216" s="4">
        <f>IF(INDEX(C:C, ROW())+INDEX(D:D, ROW())=0, 0, INDEX(C:C, ROW())/(INDEX(C:C, ROW())+INDEX(D:D, ROW())))</f>
        <v/>
      </c>
      <c r="F3216" s="1" t="inlineStr">
        <is>
          <t>Array, Hash Table, Greedy, Prefix Sum</t>
        </is>
      </c>
      <c r="G3216" s="1" t="inlineStr">
        <is>
          <t>Hard</t>
        </is>
      </c>
      <c r="H3216" s="1" t="n">
        <v>2731</v>
      </c>
      <c r="I3216" s="1" t="n">
        <v>4236</v>
      </c>
      <c r="J3216" s="9" t="n">
        <v>0.645</v>
      </c>
      <c r="K3216" s="1" t="inlineStr">
        <is>
          <t>No</t>
        </is>
      </c>
      <c r="L3216" s="1" t="inlineStr">
        <is>
          <t>No</t>
        </is>
      </c>
      <c r="M3216" s="1" t="inlineStr">
        <is>
          <t>No</t>
        </is>
      </c>
      <c r="N3216" s="1" t="inlineStr">
        <is>
          <t>Algorithms</t>
        </is>
      </c>
      <c r="O32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17" ht="15.75" customHeight="1" s="12">
      <c r="A3217" s="1" t="n">
        <v>3292</v>
      </c>
      <c r="B3217" s="3">
        <f>HYPERLINK("https://leetcode.com/problems/minimum-number-of-valid-strings-to-form-target-ii/", "Minimum Number of Valid Strings to Form Target II")</f>
        <v/>
      </c>
      <c r="C3217" s="1" t="n">
        <v>82</v>
      </c>
      <c r="D3217" s="1" t="n">
        <v>10</v>
      </c>
      <c r="E3217" s="4">
        <f>IF(INDEX(C:C, ROW())+INDEX(D:D, ROW())=0, 0, INDEX(C:C, ROW())/(INDEX(C:C, ROW())+INDEX(D:D, ROW())))</f>
        <v/>
      </c>
      <c r="F3217" s="1" t="inlineStr">
        <is>
          <t>Array, String, Binary Search, Dynamic Programming, Segment Tree, Rolling Hash, String Matching, Hash Function</t>
        </is>
      </c>
      <c r="G3217" s="1" t="inlineStr">
        <is>
          <t>Hard</t>
        </is>
      </c>
      <c r="H3217" s="1" t="n">
        <v>5314</v>
      </c>
      <c r="I3217" s="1" t="n">
        <v>26439</v>
      </c>
      <c r="J3217" s="9" t="n">
        <v>0.201</v>
      </c>
      <c r="K3217" s="1" t="inlineStr">
        <is>
          <t>Yes</t>
        </is>
      </c>
      <c r="L3217" s="1" t="inlineStr">
        <is>
          <t>No</t>
        </is>
      </c>
      <c r="M3217" s="1" t="inlineStr">
        <is>
          <t>No</t>
        </is>
      </c>
      <c r="N3217" s="1" t="inlineStr">
        <is>
          <t>Algorithms</t>
        </is>
      </c>
      <c r="O32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18" ht="15.75" customHeight="1" s="12">
      <c r="A3218" s="1" t="n">
        <v>3378</v>
      </c>
      <c r="B3218" s="3">
        <f>HYPERLINK("https://leetcode.com/problems/count-connected-components-in-lcm-graph/", "Count Connected Components in LCM Graph")</f>
        <v/>
      </c>
      <c r="C3218" s="1" t="n">
        <v>82</v>
      </c>
      <c r="D3218" s="1" t="n">
        <v>2</v>
      </c>
      <c r="E3218" s="4">
        <f>IF(INDEX(C:C, ROW())+INDEX(D:D, ROW())=0, 0, INDEX(C:C, ROW())/(INDEX(C:C, ROW())+INDEX(D:D, ROW())))</f>
        <v/>
      </c>
      <c r="F3218" s="1" t="inlineStr">
        <is>
          <t>Array, Hash Table, Math, Union-Find, Number Theory</t>
        </is>
      </c>
      <c r="G3218" s="1" t="inlineStr">
        <is>
          <t>Hard</t>
        </is>
      </c>
      <c r="H3218" s="1" t="n">
        <v>5184</v>
      </c>
      <c r="I3218" s="1" t="n">
        <v>16817</v>
      </c>
      <c r="J3218" s="9" t="n">
        <v>0.308</v>
      </c>
      <c r="K3218" s="1" t="inlineStr">
        <is>
          <t>Yes</t>
        </is>
      </c>
      <c r="L3218" s="1" t="inlineStr">
        <is>
          <t>No</t>
        </is>
      </c>
      <c r="M3218" s="1" t="inlineStr">
        <is>
          <t>No</t>
        </is>
      </c>
      <c r="N3218" s="1" t="inlineStr">
        <is>
          <t>Algorithms</t>
        </is>
      </c>
      <c r="O32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19" ht="15.75" customHeight="1" s="12">
      <c r="A3219" s="1" t="n">
        <v>3500</v>
      </c>
      <c r="B3219" s="3">
        <f>HYPERLINK("https://leetcode.com/problems/minimum-cost-to-divide-array-into-subarrays/", "Minimum Cost to Divide Array Into Subarrays")</f>
        <v/>
      </c>
      <c r="C3219" s="1" t="n">
        <v>82</v>
      </c>
      <c r="D3219" s="1" t="n">
        <v>10</v>
      </c>
      <c r="E3219" s="4">
        <f>IF(INDEX(C:C, ROW())+INDEX(D:D, ROW())=0, 0, INDEX(C:C, ROW())/(INDEX(C:C, ROW())+INDEX(D:D, ROW())))</f>
        <v/>
      </c>
      <c r="F3219" s="1" t="inlineStr">
        <is>
          <t>Array, Dynamic Programming, Prefix Sum</t>
        </is>
      </c>
      <c r="G3219" s="1" t="inlineStr">
        <is>
          <t>Hard</t>
        </is>
      </c>
      <c r="H3219" s="1" t="n">
        <v>4780</v>
      </c>
      <c r="I3219" s="1" t="n">
        <v>17512</v>
      </c>
      <c r="J3219" s="9" t="n">
        <v>0.273</v>
      </c>
      <c r="K3219" s="1" t="inlineStr">
        <is>
          <t>Yes</t>
        </is>
      </c>
      <c r="L3219" s="1" t="inlineStr">
        <is>
          <t>No</t>
        </is>
      </c>
      <c r="M3219" s="1" t="inlineStr">
        <is>
          <t>No</t>
        </is>
      </c>
      <c r="N3219" s="1" t="inlineStr">
        <is>
          <t>Algorithms</t>
        </is>
      </c>
      <c r="O32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20" ht="15.75" customHeight="1" s="12">
      <c r="A3220" s="1" t="n">
        <v>3589</v>
      </c>
      <c r="B3220" s="3">
        <f>HYPERLINK("https://leetcode.com/problems/count-prime-gap-balanced-subarrays/", "Count Prime-Gap Balanced Subarrays")</f>
        <v/>
      </c>
      <c r="C3220" s="1" t="n">
        <v>82</v>
      </c>
      <c r="D3220" s="1" t="n">
        <v>5</v>
      </c>
      <c r="E3220" s="4">
        <f>IF(INDEX(C:C, ROW())+INDEX(D:D, ROW())=0, 0, INDEX(C:C, ROW())/(INDEX(C:C, ROW())+INDEX(D:D, ROW())))</f>
        <v/>
      </c>
      <c r="F3220" s="1" t="inlineStr">
        <is>
          <t>Array, Math, Queue, Sliding Window, Number Theory, Monotonic Queue</t>
        </is>
      </c>
      <c r="G3220" s="1" t="inlineStr">
        <is>
          <t>Medium</t>
        </is>
      </c>
      <c r="H3220" s="1" t="n">
        <v>6533</v>
      </c>
      <c r="I3220" s="1" t="n">
        <v>30037</v>
      </c>
      <c r="J3220" s="9" t="n">
        <v>0.217</v>
      </c>
      <c r="K3220" s="1" t="inlineStr">
        <is>
          <t>Yes</t>
        </is>
      </c>
      <c r="L3220" s="1" t="inlineStr">
        <is>
          <t>No</t>
        </is>
      </c>
      <c r="M3220" s="1" t="inlineStr">
        <is>
          <t>No</t>
        </is>
      </c>
      <c r="N3220" s="1" t="inlineStr">
        <is>
          <t>Algorithms</t>
        </is>
      </c>
      <c r="O32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21" ht="15.75" customHeight="1" s="12">
      <c r="A3221" s="1" t="n">
        <v>2408</v>
      </c>
      <c r="B3221" s="3">
        <f>HYPERLINK("https://leetcode.com/problems/design-sql/", "Design SQL")</f>
        <v/>
      </c>
      <c r="C3221" s="1" t="n">
        <v>81</v>
      </c>
      <c r="D3221" s="1" t="n">
        <v>105</v>
      </c>
      <c r="E3221" s="4">
        <f>IF(INDEX(C:C, ROW())+INDEX(D:D, ROW())=0, 0, INDEX(C:C, ROW())/(INDEX(C:C, ROW())+INDEX(D:D, ROW())))</f>
        <v/>
      </c>
      <c r="F3221" s="1" t="inlineStr">
        <is>
          <t>Array, Hash Table, String, Design</t>
        </is>
      </c>
      <c r="G3221" s="1" t="inlineStr">
        <is>
          <t>Medium</t>
        </is>
      </c>
      <c r="H3221" s="1" t="n">
        <v>18999</v>
      </c>
      <c r="I3221" s="1" t="n">
        <v>29065</v>
      </c>
      <c r="J3221" s="9" t="n">
        <v>0.654</v>
      </c>
      <c r="K3221" s="1" t="inlineStr">
        <is>
          <t>No</t>
        </is>
      </c>
      <c r="L3221" s="1" t="inlineStr">
        <is>
          <t>No</t>
        </is>
      </c>
      <c r="M3221" s="1" t="inlineStr">
        <is>
          <t>No</t>
        </is>
      </c>
      <c r="N3221" s="1" t="inlineStr">
        <is>
          <t>Algorithms</t>
        </is>
      </c>
      <c r="O32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22" ht="15.75" customHeight="1" s="12">
      <c r="A3222" s="1" t="n">
        <v>2445</v>
      </c>
      <c r="B3222" s="3">
        <f>HYPERLINK("https://leetcode.com/problems/number-of-nodes-with-value-one/", "Number of Nodes With Value One")</f>
        <v/>
      </c>
      <c r="C3222" s="1" t="n">
        <v>81</v>
      </c>
      <c r="D3222" s="1" t="n">
        <v>10</v>
      </c>
      <c r="E3222" s="4">
        <f>IF(INDEX(C:C, ROW())+INDEX(D:D, ROW())=0, 0, INDEX(C:C, ROW())/(INDEX(C:C, ROW())+INDEX(D:D, ROW())))</f>
        <v/>
      </c>
      <c r="F3222" s="1" t="inlineStr">
        <is>
          <t>Array, Tree, Depth-First Search, Breadth-First Search, Binary Tree</t>
        </is>
      </c>
      <c r="G3222" s="1" t="inlineStr">
        <is>
          <t>Medium</t>
        </is>
      </c>
      <c r="H3222" s="1" t="n">
        <v>2803</v>
      </c>
      <c r="I3222" s="1" t="n">
        <v>4242</v>
      </c>
      <c r="J3222" s="9" t="n">
        <v>0.661</v>
      </c>
      <c r="K3222" s="1" t="inlineStr">
        <is>
          <t>No</t>
        </is>
      </c>
      <c r="L3222" s="1" t="inlineStr">
        <is>
          <t>No</t>
        </is>
      </c>
      <c r="M3222" s="1" t="inlineStr">
        <is>
          <t>No</t>
        </is>
      </c>
      <c r="N3222" s="1" t="inlineStr">
        <is>
          <t>Algorithms</t>
        </is>
      </c>
      <c r="O32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23" ht="15.75" customHeight="1" s="12">
      <c r="A3223" s="1" t="n">
        <v>3225</v>
      </c>
      <c r="B3223" s="3">
        <f>HYPERLINK("https://leetcode.com/problems/maximum-score-from-grid-operations/", "Maximum Score From Grid Operations")</f>
        <v/>
      </c>
      <c r="C3223" s="1" t="n">
        <v>81</v>
      </c>
      <c r="D3223" s="1" t="n">
        <v>11</v>
      </c>
      <c r="E3223" s="4">
        <f>IF(INDEX(C:C, ROW())+INDEX(D:D, ROW())=0, 0, INDEX(C:C, ROW())/(INDEX(C:C, ROW())+INDEX(D:D, ROW())))</f>
        <v/>
      </c>
      <c r="F3223" s="1" t="inlineStr">
        <is>
          <t>Array, Dynamic Programming, Matrix, Prefix Sum</t>
        </is>
      </c>
      <c r="G3223" s="1" t="inlineStr">
        <is>
          <t>Hard</t>
        </is>
      </c>
      <c r="H3223" s="1" t="n">
        <v>3183</v>
      </c>
      <c r="I3223" s="1" t="n">
        <v>11819</v>
      </c>
      <c r="J3223" s="9" t="n">
        <v>0.269</v>
      </c>
      <c r="K3223" s="1" t="inlineStr">
        <is>
          <t>Yes</t>
        </is>
      </c>
      <c r="L3223" s="1" t="inlineStr">
        <is>
          <t>No</t>
        </is>
      </c>
      <c r="M3223" s="1" t="inlineStr">
        <is>
          <t>No</t>
        </is>
      </c>
      <c r="N3223" s="1" t="inlineStr">
        <is>
          <t>Algorithms</t>
        </is>
      </c>
      <c r="O32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24" ht="15.75" customHeight="1" s="12">
      <c r="A3224" s="1" t="n">
        <v>3239</v>
      </c>
      <c r="B3224" s="3">
        <f>HYPERLINK("https://leetcode.com/problems/minimum-number-of-flips-to-make-binary-grid-palindromic-i/", "Minimum Number of Flips to Make Binary Grid Palindromic I")</f>
        <v/>
      </c>
      <c r="C3224" s="1" t="n">
        <v>81</v>
      </c>
      <c r="D3224" s="1" t="n">
        <v>10</v>
      </c>
      <c r="E3224" s="4">
        <f>IF(INDEX(C:C, ROW())+INDEX(D:D, ROW())=0, 0, INDEX(C:C, ROW())/(INDEX(C:C, ROW())+INDEX(D:D, ROW())))</f>
        <v/>
      </c>
      <c r="F3224" s="1" t="inlineStr">
        <is>
          <t>Array, Two Pointers, Matrix</t>
        </is>
      </c>
      <c r="G3224" s="1" t="inlineStr">
        <is>
          <t>Medium</t>
        </is>
      </c>
      <c r="H3224" s="1" t="n">
        <v>38066</v>
      </c>
      <c r="I3224" s="1" t="n">
        <v>50928</v>
      </c>
      <c r="J3224" s="9" t="n">
        <v>0.747</v>
      </c>
      <c r="K3224" s="1" t="inlineStr">
        <is>
          <t>Yes</t>
        </is>
      </c>
      <c r="L3224" s="1" t="inlineStr">
        <is>
          <t>No</t>
        </is>
      </c>
      <c r="M3224" s="1" t="inlineStr">
        <is>
          <t>No</t>
        </is>
      </c>
      <c r="N3224" s="1" t="inlineStr">
        <is>
          <t>Algorithms</t>
        </is>
      </c>
      <c r="O32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25" ht="15.75" customHeight="1" s="12">
      <c r="A3225" s="1" t="n">
        <v>3267</v>
      </c>
      <c r="B3225" s="3">
        <f>HYPERLINK("https://leetcode.com/problems/count-almost-equal-pairs-ii/", "Count Almost Equal Pairs II")</f>
        <v/>
      </c>
      <c r="C3225" s="1" t="n">
        <v>81</v>
      </c>
      <c r="D3225" s="1" t="n">
        <v>22</v>
      </c>
      <c r="E3225" s="4">
        <f>IF(INDEX(C:C, ROW())+INDEX(D:D, ROW())=0, 0, INDEX(C:C, ROW())/(INDEX(C:C, ROW())+INDEX(D:D, ROW())))</f>
        <v/>
      </c>
      <c r="F3225" s="1" t="inlineStr">
        <is>
          <t>Array, Hash Table, Sorting, Counting, Enumeration</t>
        </is>
      </c>
      <c r="G3225" s="1" t="inlineStr">
        <is>
          <t>Hard</t>
        </is>
      </c>
      <c r="H3225" s="1" t="n">
        <v>9011</v>
      </c>
      <c r="I3225" s="1" t="n">
        <v>33423</v>
      </c>
      <c r="J3225" s="9" t="n">
        <v>0.27</v>
      </c>
      <c r="K3225" s="1" t="inlineStr">
        <is>
          <t>Yes</t>
        </is>
      </c>
      <c r="L3225" s="1" t="inlineStr">
        <is>
          <t>No</t>
        </is>
      </c>
      <c r="M3225" s="1" t="inlineStr">
        <is>
          <t>No</t>
        </is>
      </c>
      <c r="N3225" s="1" t="inlineStr">
        <is>
          <t>Algorithms</t>
        </is>
      </c>
      <c r="O32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26" ht="15.75" customHeight="1" s="12">
      <c r="A3226" s="1" t="n">
        <v>3420</v>
      </c>
      <c r="B3226" s="3">
        <f>HYPERLINK("https://leetcode.com/problems/count-non-decreasing-subarrays-after-k-operations/", "Count Non-Decreasing Subarrays After K Operations")</f>
        <v/>
      </c>
      <c r="C3226" s="1" t="n">
        <v>81</v>
      </c>
      <c r="D3226" s="1" t="n">
        <v>4</v>
      </c>
      <c r="E3226" s="4">
        <f>IF(INDEX(C:C, ROW())+INDEX(D:D, ROW())=0, 0, INDEX(C:C, ROW())/(INDEX(C:C, ROW())+INDEX(D:D, ROW())))</f>
        <v/>
      </c>
      <c r="F3226" s="1" t="inlineStr">
        <is>
          <t>Array, Stack, Segment Tree, Queue, Sliding Window, Monotonic Stack, Monotonic Queue</t>
        </is>
      </c>
      <c r="G3226" s="1" t="inlineStr">
        <is>
          <t>Hard</t>
        </is>
      </c>
      <c r="H3226" s="1" t="n">
        <v>3918</v>
      </c>
      <c r="I3226" s="1" t="n">
        <v>16859</v>
      </c>
      <c r="J3226" s="9" t="n">
        <v>0.232</v>
      </c>
      <c r="K3226" s="1" t="inlineStr">
        <is>
          <t>Yes</t>
        </is>
      </c>
      <c r="L3226" s="1" t="inlineStr">
        <is>
          <t>No</t>
        </is>
      </c>
      <c r="M3226" s="1" t="inlineStr">
        <is>
          <t>No</t>
        </is>
      </c>
      <c r="N3226" s="1" t="inlineStr">
        <is>
          <t>Algorithms</t>
        </is>
      </c>
      <c r="O32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27" ht="15.75" customHeight="1" s="12">
      <c r="A3227" s="1" t="n">
        <v>3598</v>
      </c>
      <c r="B3227" s="3">
        <f>HYPERLINK("https://leetcode.com/problems/longest-common-prefix-between-adjacent-strings-after-removals/", "Longest Common Prefix Between Adjacent Strings After Removals")</f>
        <v/>
      </c>
      <c r="C3227" s="1" t="n">
        <v>81</v>
      </c>
      <c r="D3227" s="1" t="n">
        <v>5</v>
      </c>
      <c r="E3227" s="4">
        <f>IF(INDEX(C:C, ROW())+INDEX(D:D, ROW())=0, 0, INDEX(C:C, ROW())/(INDEX(C:C, ROW())+INDEX(D:D, ROW())))</f>
        <v/>
      </c>
      <c r="F3227" s="1" t="inlineStr">
        <is>
          <t>Array, String</t>
        </is>
      </c>
      <c r="G3227" s="1" t="inlineStr">
        <is>
          <t>Medium</t>
        </is>
      </c>
      <c r="H3227" s="1" t="n">
        <v>18719</v>
      </c>
      <c r="I3227" s="1" t="n">
        <v>58189</v>
      </c>
      <c r="J3227" s="9" t="n">
        <v>0.322</v>
      </c>
      <c r="K3227" s="1" t="inlineStr">
        <is>
          <t>Yes</t>
        </is>
      </c>
      <c r="L3227" s="1" t="inlineStr">
        <is>
          <t>No</t>
        </is>
      </c>
      <c r="M3227" s="1" t="inlineStr">
        <is>
          <t>No</t>
        </is>
      </c>
      <c r="N3227" s="1" t="inlineStr">
        <is>
          <t>Algorithms</t>
        </is>
      </c>
      <c r="O32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28" ht="15.75" customHeight="1" s="12">
      <c r="A3228" s="1" t="n">
        <v>3665</v>
      </c>
      <c r="B3228" s="3">
        <f>HYPERLINK("https://leetcode.com/problems/twisted-mirror-path-count/", "Twisted Mirror Path Count")</f>
        <v/>
      </c>
      <c r="C3228" s="1" t="n">
        <v>81</v>
      </c>
      <c r="D3228" s="1" t="n">
        <v>4</v>
      </c>
      <c r="E3228" s="4">
        <f>IF(INDEX(C:C, ROW())+INDEX(D:D, ROW())=0, 0, INDEX(C:C, ROW())/(INDEX(C:C, ROW())+INDEX(D:D, ROW())))</f>
        <v/>
      </c>
      <c r="F3228" s="1" t="inlineStr">
        <is>
          <t>Array, Dynamic Programming, Matrix</t>
        </is>
      </c>
      <c r="G3228" s="1" t="inlineStr">
        <is>
          <t>Medium</t>
        </is>
      </c>
      <c r="H3228" s="1" t="n">
        <v>14153</v>
      </c>
      <c r="I3228" s="1" t="n">
        <v>29483</v>
      </c>
      <c r="J3228" s="9" t="n">
        <v>0.48</v>
      </c>
      <c r="K3228" s="1" t="inlineStr">
        <is>
          <t>Yes</t>
        </is>
      </c>
      <c r="L3228" s="1" t="inlineStr">
        <is>
          <t>No</t>
        </is>
      </c>
      <c r="M3228" s="1" t="inlineStr">
        <is>
          <t>No</t>
        </is>
      </c>
      <c r="N3228" s="1" t="inlineStr">
        <is>
          <t>Algorithms</t>
        </is>
      </c>
      <c r="O32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29" ht="15.75" customHeight="1" s="12">
      <c r="A3229" s="1" t="n">
        <v>3724</v>
      </c>
      <c r="B3229" s="3">
        <f>HYPERLINK("https://leetcode.com/problems/minimum-operations-to-transform-array/", "Minimum Operations to Transform Array")</f>
        <v/>
      </c>
      <c r="C3229" s="1" t="n">
        <v>81</v>
      </c>
      <c r="D3229" s="1" t="n">
        <v>6</v>
      </c>
      <c r="E3229" s="4">
        <f>IF(INDEX(C:C, ROW())+INDEX(D:D, ROW())=0, 0, INDEX(C:C, ROW())/(INDEX(C:C, ROW())+INDEX(D:D, ROW())))</f>
        <v/>
      </c>
      <c r="F3229" s="1" t="inlineStr">
        <is>
          <t>Array, Greedy</t>
        </is>
      </c>
      <c r="G3229" s="1" t="inlineStr">
        <is>
          <t>Medium</t>
        </is>
      </c>
      <c r="H3229" s="1" t="n">
        <v>13436</v>
      </c>
      <c r="I3229" s="1" t="n">
        <v>34448</v>
      </c>
      <c r="J3229" s="9" t="n">
        <v>0.39</v>
      </c>
      <c r="K3229" s="1" t="inlineStr">
        <is>
          <t>Yes</t>
        </is>
      </c>
      <c r="L3229" s="1" t="inlineStr">
        <is>
          <t>No</t>
        </is>
      </c>
      <c r="M3229" s="1" t="inlineStr">
        <is>
          <t>No</t>
        </is>
      </c>
      <c r="N3229" s="1" t="inlineStr">
        <is>
          <t>Algorithms</t>
        </is>
      </c>
      <c r="O32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30" ht="15.75" customHeight="1" s="12">
      <c r="A3230" s="1" t="n">
        <v>3738</v>
      </c>
      <c r="B3230" s="3">
        <f>HYPERLINK("https://leetcode.com/problems/longest-non-decreasing-subarray-after-replacing-at-most-one-element/", "Longest Non-Decreasing Subarray After Replacing at Most One Element")</f>
        <v/>
      </c>
      <c r="C3230" s="1" t="n">
        <v>81</v>
      </c>
      <c r="D3230" s="1" t="n">
        <v>7</v>
      </c>
      <c r="E3230" s="4">
        <f>IF(INDEX(C:C, ROW())+INDEX(D:D, ROW())=0, 0, INDEX(C:C, ROW())/(INDEX(C:C, ROW())+INDEX(D:D, ROW())))</f>
        <v/>
      </c>
      <c r="F3230" s="1" t="inlineStr">
        <is>
          <t>Array, Dynamic Programming</t>
        </is>
      </c>
      <c r="G3230" s="1" t="inlineStr">
        <is>
          <t>Medium</t>
        </is>
      </c>
      <c r="H3230" s="1" t="n">
        <v>12919</v>
      </c>
      <c r="I3230" s="1" t="n">
        <v>61918</v>
      </c>
      <c r="J3230" s="9" t="n">
        <v>0.209</v>
      </c>
      <c r="K3230" s="1" t="inlineStr">
        <is>
          <t>Yes</t>
        </is>
      </c>
      <c r="L3230" s="1" t="inlineStr">
        <is>
          <t>No</t>
        </is>
      </c>
      <c r="M3230" s="1" t="inlineStr">
        <is>
          <t>No</t>
        </is>
      </c>
      <c r="N3230" s="1" t="inlineStr">
        <is>
          <t>Algorithms</t>
        </is>
      </c>
      <c r="O32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31" ht="15.75" customHeight="1" s="12">
      <c r="A3231" s="1" t="n">
        <v>555</v>
      </c>
      <c r="B3231" s="3">
        <f>HYPERLINK("https://leetcode.com/problems/split-concatenated-strings/", "Split Concatenated Strings")</f>
        <v/>
      </c>
      <c r="C3231" s="1" t="n">
        <v>80</v>
      </c>
      <c r="D3231" s="1" t="n">
        <v>264</v>
      </c>
      <c r="E3231" s="4">
        <f>IF(INDEX(C:C, ROW())+INDEX(D:D, ROW())=0, 0, INDEX(C:C, ROW())/(INDEX(C:C, ROW())+INDEX(D:D, ROW())))</f>
        <v/>
      </c>
      <c r="F3231" s="1" t="inlineStr">
        <is>
          <t>Array, String, Greedy</t>
        </is>
      </c>
      <c r="G3231" s="1" t="inlineStr">
        <is>
          <t>Medium</t>
        </is>
      </c>
      <c r="H3231" s="1" t="n">
        <v>7423</v>
      </c>
      <c r="I3231" s="1" t="n">
        <v>17066</v>
      </c>
      <c r="J3231" s="9" t="n">
        <v>0.435</v>
      </c>
      <c r="K3231" s="1" t="inlineStr">
        <is>
          <t>No</t>
        </is>
      </c>
      <c r="L3231" s="1" t="inlineStr">
        <is>
          <t>No</t>
        </is>
      </c>
      <c r="M3231" s="1" t="inlineStr">
        <is>
          <t>No</t>
        </is>
      </c>
      <c r="N3231" s="1" t="inlineStr">
        <is>
          <t>Algorithms</t>
        </is>
      </c>
      <c r="O32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32" ht="15.75" customHeight="1" s="12">
      <c r="A3232" s="1" t="n">
        <v>1271</v>
      </c>
      <c r="B3232" s="3">
        <f>HYPERLINK("https://leetcode.com/problems/hexspeak/", "Hexspeak")</f>
        <v/>
      </c>
      <c r="C3232" s="1" t="n">
        <v>80</v>
      </c>
      <c r="D3232" s="1" t="n">
        <v>126</v>
      </c>
      <c r="E3232" s="4">
        <f>IF(INDEX(C:C, ROW())+INDEX(D:D, ROW())=0, 0, INDEX(C:C, ROW())/(INDEX(C:C, ROW())+INDEX(D:D, ROW())))</f>
        <v/>
      </c>
      <c r="F3232" s="1" t="inlineStr">
        <is>
          <t>Math, String</t>
        </is>
      </c>
      <c r="G3232" s="1" t="inlineStr">
        <is>
          <t>Easy</t>
        </is>
      </c>
      <c r="H3232" s="1" t="n">
        <v>12888</v>
      </c>
      <c r="I3232" s="1" t="n">
        <v>22088</v>
      </c>
      <c r="J3232" s="9" t="n">
        <v>0.583</v>
      </c>
      <c r="K3232" s="1" t="inlineStr">
        <is>
          <t>No</t>
        </is>
      </c>
      <c r="L3232" s="1" t="inlineStr">
        <is>
          <t>No</t>
        </is>
      </c>
      <c r="M3232" s="1" t="inlineStr">
        <is>
          <t>No</t>
        </is>
      </c>
      <c r="N3232" s="1" t="inlineStr">
        <is>
          <t>Algorithms</t>
        </is>
      </c>
      <c r="O32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33" ht="15.75" customHeight="1" s="12">
      <c r="A3233" s="1" t="n">
        <v>1988</v>
      </c>
      <c r="B3233" s="3">
        <f>HYPERLINK("https://leetcode.com/problems/find-cutoff-score-for-each-school/", "Find Cutoff Score for Each School")</f>
        <v/>
      </c>
      <c r="C3233" s="1" t="n">
        <v>80</v>
      </c>
      <c r="D3233" s="1" t="n">
        <v>161</v>
      </c>
      <c r="E3233" s="4">
        <f>IF(INDEX(C:C, ROW())+INDEX(D:D, ROW())=0, 0, INDEX(C:C, ROW())/(INDEX(C:C, ROW())+INDEX(D:D, ROW())))</f>
        <v/>
      </c>
      <c r="F3233" s="1" t="inlineStr">
        <is>
          <t>Database</t>
        </is>
      </c>
      <c r="G3233" s="1" t="inlineStr">
        <is>
          <t>Medium</t>
        </is>
      </c>
      <c r="H3233" s="1" t="n">
        <v>13690</v>
      </c>
      <c r="I3233" s="1" t="n">
        <v>20462</v>
      </c>
      <c r="J3233" s="9" t="n">
        <v>0.669</v>
      </c>
      <c r="K3233" s="1" t="inlineStr">
        <is>
          <t>No</t>
        </is>
      </c>
      <c r="L3233" s="1" t="inlineStr">
        <is>
          <t>Yes</t>
        </is>
      </c>
      <c r="M3233" s="1" t="inlineStr">
        <is>
          <t>No</t>
        </is>
      </c>
      <c r="N3233" s="1" t="inlineStr">
        <is>
          <t>Database</t>
        </is>
      </c>
      <c r="O32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34" ht="15.75" customHeight="1" s="12">
      <c r="A3234" s="1" t="n">
        <v>2832</v>
      </c>
      <c r="B3234" s="3">
        <f>HYPERLINK("https://leetcode.com/problems/maximal-range-that-each-element-is-maximum-in-it/", "Maximal Range That Each Element Is Maximum in It")</f>
        <v/>
      </c>
      <c r="C3234" s="1" t="n">
        <v>80</v>
      </c>
      <c r="D3234" s="1" t="n">
        <v>8</v>
      </c>
      <c r="E3234" s="4">
        <f>IF(INDEX(C:C, ROW())+INDEX(D:D, ROW())=0, 0, INDEX(C:C, ROW())/(INDEX(C:C, ROW())+INDEX(D:D, ROW())))</f>
        <v/>
      </c>
      <c r="F3234" s="1" t="inlineStr">
        <is>
          <t>Array, Stack, Monotonic Stack</t>
        </is>
      </c>
      <c r="G3234" s="1" t="inlineStr">
        <is>
          <t>Medium</t>
        </is>
      </c>
      <c r="H3234" s="1" t="n">
        <v>6297</v>
      </c>
      <c r="I3234" s="1" t="n">
        <v>8342</v>
      </c>
      <c r="J3234" s="9" t="n">
        <v>0.755</v>
      </c>
      <c r="K3234" s="1" t="inlineStr">
        <is>
          <t>No</t>
        </is>
      </c>
      <c r="L3234" s="1" t="inlineStr">
        <is>
          <t>Yes</t>
        </is>
      </c>
      <c r="M3234" s="1" t="inlineStr">
        <is>
          <t>No</t>
        </is>
      </c>
      <c r="N3234" s="1" t="inlineStr">
        <is>
          <t>Algorithms</t>
        </is>
      </c>
      <c r="O32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35" ht="15.75" customHeight="1" s="12">
      <c r="A3235" s="1" t="n">
        <v>3311</v>
      </c>
      <c r="B3235" s="3">
        <f>HYPERLINK("https://leetcode.com/problems/construct-2d-grid-matching-graph-layout/", "Construct 2D Grid Matching Graph Layout")</f>
        <v/>
      </c>
      <c r="C3235" s="1" t="n">
        <v>80</v>
      </c>
      <c r="D3235" s="1" t="n">
        <v>12</v>
      </c>
      <c r="E3235" s="4">
        <f>IF(INDEX(C:C, ROW())+INDEX(D:D, ROW())=0, 0, INDEX(C:C, ROW())/(INDEX(C:C, ROW())+INDEX(D:D, ROW())))</f>
        <v/>
      </c>
      <c r="F3235" s="1" t="inlineStr">
        <is>
          <t>Array, Hash Table, Graph Theory, Matrix</t>
        </is>
      </c>
      <c r="G3235" s="1" t="inlineStr">
        <is>
          <t>Hard</t>
        </is>
      </c>
      <c r="H3235" s="1" t="n">
        <v>4361</v>
      </c>
      <c r="I3235" s="1" t="n">
        <v>14851</v>
      </c>
      <c r="J3235" s="9" t="n">
        <v>0.294</v>
      </c>
      <c r="K3235" s="1" t="inlineStr">
        <is>
          <t>Yes</t>
        </is>
      </c>
      <c r="L3235" s="1" t="inlineStr">
        <is>
          <t>No</t>
        </is>
      </c>
      <c r="M3235" s="1" t="inlineStr">
        <is>
          <t>No</t>
        </is>
      </c>
      <c r="N3235" s="1" t="inlineStr">
        <is>
          <t>Algorithms</t>
        </is>
      </c>
      <c r="O32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36" ht="15.75" customHeight="1" s="12">
      <c r="A3236" s="1" t="n">
        <v>3503</v>
      </c>
      <c r="B3236" s="3">
        <f>HYPERLINK("https://leetcode.com/problems/longest-palindrome-after-substring-concatenation-i/", "Longest Palindrome After Substring Concatenation I")</f>
        <v/>
      </c>
      <c r="C3236" s="1" t="n">
        <v>80</v>
      </c>
      <c r="D3236" s="1" t="n">
        <v>4</v>
      </c>
      <c r="E3236" s="4">
        <f>IF(INDEX(C:C, ROW())+INDEX(D:D, ROW())=0, 0, INDEX(C:C, ROW())/(INDEX(C:C, ROW())+INDEX(D:D, ROW())))</f>
        <v/>
      </c>
      <c r="F3236" s="1" t="inlineStr">
        <is>
          <t>Two Pointers, String, Dynamic Programming, Enumeration</t>
        </is>
      </c>
      <c r="G3236" s="1" t="inlineStr">
        <is>
          <t>Medium</t>
        </is>
      </c>
      <c r="H3236" s="1" t="n">
        <v>21747</v>
      </c>
      <c r="I3236" s="1" t="n">
        <v>49902</v>
      </c>
      <c r="J3236" s="9" t="n">
        <v>0.436</v>
      </c>
      <c r="K3236" s="1" t="inlineStr">
        <is>
          <t>Yes</t>
        </is>
      </c>
      <c r="L3236" s="1" t="inlineStr">
        <is>
          <t>No</t>
        </is>
      </c>
      <c r="M3236" s="1" t="inlineStr">
        <is>
          <t>No</t>
        </is>
      </c>
      <c r="N3236" s="1" t="inlineStr">
        <is>
          <t>Algorithms</t>
        </is>
      </c>
      <c r="O32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37" ht="15.75" customHeight="1" s="12">
      <c r="A3237" s="1" t="n">
        <v>3517</v>
      </c>
      <c r="B3237" s="3">
        <f>HYPERLINK("https://leetcode.com/problems/smallest-palindromic-rearrangement-i/", "Smallest Palindromic Rearrangement I")</f>
        <v/>
      </c>
      <c r="C3237" s="1" t="n">
        <v>79</v>
      </c>
      <c r="D3237" s="1" t="n">
        <v>3</v>
      </c>
      <c r="E3237" s="4">
        <f>IF(INDEX(C:C, ROW())+INDEX(D:D, ROW())=0, 0, INDEX(C:C, ROW())/(INDEX(C:C, ROW())+INDEX(D:D, ROW())))</f>
        <v/>
      </c>
      <c r="F3237" s="1" t="inlineStr">
        <is>
          <t>String, Sorting, Counting Sort</t>
        </is>
      </c>
      <c r="G3237" s="1" t="inlineStr">
        <is>
          <t>Medium</t>
        </is>
      </c>
      <c r="H3237" s="1" t="n">
        <v>34024</v>
      </c>
      <c r="I3237" s="1" t="n">
        <v>53621</v>
      </c>
      <c r="J3237" s="9" t="n">
        <v>0.635</v>
      </c>
      <c r="K3237" s="1" t="inlineStr">
        <is>
          <t>Yes</t>
        </is>
      </c>
      <c r="L3237" s="1" t="inlineStr">
        <is>
          <t>No</t>
        </is>
      </c>
      <c r="M3237" s="1" t="inlineStr">
        <is>
          <t>No</t>
        </is>
      </c>
      <c r="N3237" s="1" t="inlineStr">
        <is>
          <t>Algorithms</t>
        </is>
      </c>
      <c r="O32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38" ht="15.75" customHeight="1" s="12">
      <c r="A3238" s="1" t="n">
        <v>3699</v>
      </c>
      <c r="B3238" s="3">
        <f>HYPERLINK("https://leetcode.com/problems/number-of-zigzag-arrays-i/", "Number of ZigZag Arrays I")</f>
        <v/>
      </c>
      <c r="C3238" s="1" t="n">
        <v>79</v>
      </c>
      <c r="D3238" s="1" t="n">
        <v>6</v>
      </c>
      <c r="E3238" s="4">
        <f>IF(INDEX(C:C, ROW())+INDEX(D:D, ROW())=0, 0, INDEX(C:C, ROW())/(INDEX(C:C, ROW())+INDEX(D:D, ROW())))</f>
        <v/>
      </c>
      <c r="F3238" s="1" t="inlineStr">
        <is>
          <t>Dynamic Programming, Prefix Sum</t>
        </is>
      </c>
      <c r="G3238" s="1" t="inlineStr">
        <is>
          <t>Hard</t>
        </is>
      </c>
      <c r="H3238" s="1" t="n">
        <v>13190</v>
      </c>
      <c r="I3238" s="1" t="n">
        <v>43035</v>
      </c>
      <c r="J3238" s="9" t="n">
        <v>0.306</v>
      </c>
      <c r="K3238" s="1" t="inlineStr">
        <is>
          <t>Yes</t>
        </is>
      </c>
      <c r="L3238" s="1" t="inlineStr">
        <is>
          <t>No</t>
        </is>
      </c>
      <c r="M3238" s="1" t="inlineStr">
        <is>
          <t>No</t>
        </is>
      </c>
      <c r="N3238" s="1" t="inlineStr">
        <is>
          <t>Algorithms</t>
        </is>
      </c>
      <c r="O32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39" ht="15.75" customHeight="1" s="12">
      <c r="A3239" s="1" t="n">
        <v>3784</v>
      </c>
      <c r="B3239" s="3">
        <f>HYPERLINK("https://leetcode.com/problems/minimum-deletion-cost-to-make-all-characters-equal/", "Minimum Deletion Cost to Make All Characters Equal")</f>
        <v/>
      </c>
      <c r="C3239" s="1" t="n">
        <v>79</v>
      </c>
      <c r="D3239" s="1" t="n">
        <v>9</v>
      </c>
      <c r="E3239" s="4">
        <f>IF(INDEX(C:C, ROW())+INDEX(D:D, ROW())=0, 0, INDEX(C:C, ROW())/(INDEX(C:C, ROW())+INDEX(D:D, ROW())))</f>
        <v/>
      </c>
      <c r="F3239" s="1" t="inlineStr">
        <is>
          <t>Array, Hash Table, String, Enumeration</t>
        </is>
      </c>
      <c r="G3239" s="1" t="inlineStr">
        <is>
          <t>Medium</t>
        </is>
      </c>
      <c r="H3239" s="1" t="n">
        <v>33941</v>
      </c>
      <c r="I3239" s="1" t="n">
        <v>61898</v>
      </c>
      <c r="J3239" s="9" t="n">
        <v>0.548</v>
      </c>
      <c r="K3239" s="1" t="inlineStr">
        <is>
          <t>Yes</t>
        </is>
      </c>
      <c r="L3239" s="1" t="inlineStr">
        <is>
          <t>No</t>
        </is>
      </c>
      <c r="M3239" s="1" t="inlineStr">
        <is>
          <t>No</t>
        </is>
      </c>
      <c r="N3239" s="1" t="inlineStr">
        <is>
          <t>Algorithms</t>
        </is>
      </c>
      <c r="O32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40" ht="15.75" customHeight="1" s="12">
      <c r="A3240" s="1" t="n">
        <v>3800</v>
      </c>
      <c r="B3240" s="3">
        <f>HYPERLINK("https://leetcode.com/problems/minimum-cost-to-make-two-binary-strings-equal/", "Minimum Cost to Make Two Binary Strings Equal")</f>
        <v/>
      </c>
      <c r="C3240" s="1" t="n">
        <v>79</v>
      </c>
      <c r="D3240" s="1" t="n">
        <v>4</v>
      </c>
      <c r="E3240" s="4">
        <f>IF(INDEX(C:C, ROW())+INDEX(D:D, ROW())=0, 0, INDEX(C:C, ROW())/(INDEX(C:C, ROW())+INDEX(D:D, ROW())))</f>
        <v/>
      </c>
      <c r="F3240" s="1" t="inlineStr">
        <is>
          <t>String, Greedy</t>
        </is>
      </c>
      <c r="G3240" s="1" t="inlineStr">
        <is>
          <t>Medium</t>
        </is>
      </c>
      <c r="H3240" s="1" t="n">
        <v>7741</v>
      </c>
      <c r="I3240" s="1" t="n">
        <v>20600</v>
      </c>
      <c r="J3240" s="9" t="n">
        <v>0.376</v>
      </c>
      <c r="K3240" s="1" t="inlineStr">
        <is>
          <t>Yes</t>
        </is>
      </c>
      <c r="L3240" s="1" t="inlineStr">
        <is>
          <t>No</t>
        </is>
      </c>
      <c r="M3240" s="1" t="inlineStr">
        <is>
          <t>No</t>
        </is>
      </c>
      <c r="N3240" s="1" t="inlineStr">
        <is>
          <t>Algorithms</t>
        </is>
      </c>
      <c r="O32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41" ht="15.75" customHeight="1" s="12">
      <c r="A3241" s="1" t="n">
        <v>1279</v>
      </c>
      <c r="B3241" s="3">
        <f>HYPERLINK("https://leetcode.com/problems/traffic-light-controlled-intersection/", "Traffic Light Controlled Intersection")</f>
        <v/>
      </c>
      <c r="C3241" s="1" t="n">
        <v>78</v>
      </c>
      <c r="D3241" s="1" t="n">
        <v>368</v>
      </c>
      <c r="E3241" s="4">
        <f>IF(INDEX(C:C, ROW())+INDEX(D:D, ROW())=0, 0, INDEX(C:C, ROW())/(INDEX(C:C, ROW())+INDEX(D:D, ROW())))</f>
        <v/>
      </c>
      <c r="F3241" s="1" t="inlineStr">
        <is>
          <t>Concurrency</t>
        </is>
      </c>
      <c r="G3241" s="1" t="inlineStr">
        <is>
          <t>Easy</t>
        </is>
      </c>
      <c r="H3241" s="1" t="n">
        <v>20069</v>
      </c>
      <c r="I3241" s="1" t="n">
        <v>27582</v>
      </c>
      <c r="J3241" s="9" t="n">
        <v>0.728</v>
      </c>
      <c r="K3241" s="1" t="inlineStr">
        <is>
          <t>No</t>
        </is>
      </c>
      <c r="L3241" s="1" t="inlineStr">
        <is>
          <t>No</t>
        </is>
      </c>
      <c r="M3241" s="1" t="inlineStr">
        <is>
          <t>No</t>
        </is>
      </c>
      <c r="N3241" s="1" t="inlineStr">
        <is>
          <t>Concurrency</t>
        </is>
      </c>
      <c r="O32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42" ht="15.75" customHeight="1" s="12">
      <c r="A3242" s="1" t="n">
        <v>1867</v>
      </c>
      <c r="B3242" s="3">
        <f>HYPERLINK("https://leetcode.com/problems/orders-with-maximum-quantity-above-average/", "Orders With Maximum Quantity Above Average")</f>
        <v/>
      </c>
      <c r="C3242" s="1" t="n">
        <v>78</v>
      </c>
      <c r="D3242" s="1" t="n">
        <v>278</v>
      </c>
      <c r="E3242" s="4">
        <f>IF(INDEX(C:C, ROW())+INDEX(D:D, ROW())=0, 0, INDEX(C:C, ROW())/(INDEX(C:C, ROW())+INDEX(D:D, ROW())))</f>
        <v/>
      </c>
      <c r="F3242" s="1" t="inlineStr">
        <is>
          <t>Database</t>
        </is>
      </c>
      <c r="G3242" s="1" t="inlineStr">
        <is>
          <t>Medium</t>
        </is>
      </c>
      <c r="H3242" s="1" t="n">
        <v>19271</v>
      </c>
      <c r="I3242" s="1" t="n">
        <v>27288</v>
      </c>
      <c r="J3242" s="9" t="n">
        <v>0.706</v>
      </c>
      <c r="K3242" s="1" t="inlineStr">
        <is>
          <t>No</t>
        </is>
      </c>
      <c r="L3242" s="1" t="inlineStr">
        <is>
          <t>No</t>
        </is>
      </c>
      <c r="M3242" s="1" t="inlineStr">
        <is>
          <t>No</t>
        </is>
      </c>
      <c r="N3242" s="1" t="inlineStr">
        <is>
          <t>Database</t>
        </is>
      </c>
      <c r="O32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43" ht="15.75" customHeight="1" s="12">
      <c r="A3243" s="1" t="n">
        <v>1875</v>
      </c>
      <c r="B3243" s="3">
        <f>HYPERLINK("https://leetcode.com/problems/group-employees-of-the-same-salary/", "Group Employees of the Same Salary")</f>
        <v/>
      </c>
      <c r="C3243" s="1" t="n">
        <v>78</v>
      </c>
      <c r="D3243" s="1" t="n">
        <v>6</v>
      </c>
      <c r="E3243" s="4">
        <f>IF(INDEX(C:C, ROW())+INDEX(D:D, ROW())=0, 0, INDEX(C:C, ROW())/(INDEX(C:C, ROW())+INDEX(D:D, ROW())))</f>
        <v/>
      </c>
      <c r="F3243" s="1" t="inlineStr">
        <is>
          <t>Database</t>
        </is>
      </c>
      <c r="G3243" s="1" t="inlineStr">
        <is>
          <t>Medium</t>
        </is>
      </c>
      <c r="H3243" s="1" t="n">
        <v>15017</v>
      </c>
      <c r="I3243" s="1" t="n">
        <v>22894</v>
      </c>
      <c r="J3243" s="9" t="n">
        <v>0.656</v>
      </c>
      <c r="K3243" s="1" t="inlineStr">
        <is>
          <t>No</t>
        </is>
      </c>
      <c r="L3243" s="1" t="inlineStr">
        <is>
          <t>No</t>
        </is>
      </c>
      <c r="M3243" s="1" t="inlineStr">
        <is>
          <t>No</t>
        </is>
      </c>
      <c r="N3243" s="1" t="inlineStr">
        <is>
          <t>Database</t>
        </is>
      </c>
      <c r="O32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44" ht="15.75" customHeight="1" s="12">
      <c r="A3244" s="1" t="n">
        <v>1966</v>
      </c>
      <c r="B3244" s="3">
        <f>HYPERLINK("https://leetcode.com/problems/binary-searchable-numbers-in-an-unsorted-array/", "Binary Searchable Numbers in an Unsorted Array")</f>
        <v/>
      </c>
      <c r="C3244" s="1" t="n">
        <v>78</v>
      </c>
      <c r="D3244" s="1" t="n">
        <v>13</v>
      </c>
      <c r="E3244" s="4">
        <f>IF(INDEX(C:C, ROW())+INDEX(D:D, ROW())=0, 0, INDEX(C:C, ROW())/(INDEX(C:C, ROW())+INDEX(D:D, ROW())))</f>
        <v/>
      </c>
      <c r="F3244" s="1" t="inlineStr">
        <is>
          <t>Array, Binary Search</t>
        </is>
      </c>
      <c r="G3244" s="1" t="inlineStr">
        <is>
          <t>Medium</t>
        </is>
      </c>
      <c r="H3244" s="1" t="n">
        <v>3565</v>
      </c>
      <c r="I3244" s="1" t="n">
        <v>5658</v>
      </c>
      <c r="J3244" s="9" t="n">
        <v>0.63</v>
      </c>
      <c r="K3244" s="1" t="inlineStr">
        <is>
          <t>No</t>
        </is>
      </c>
      <c r="L3244" s="1" t="inlineStr">
        <is>
          <t>No</t>
        </is>
      </c>
      <c r="M3244" s="1" t="inlineStr">
        <is>
          <t>No</t>
        </is>
      </c>
      <c r="N3244" s="1" t="inlineStr">
        <is>
          <t>Algorithms</t>
        </is>
      </c>
      <c r="O32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45" ht="15.75" customHeight="1" s="12">
      <c r="A3245" s="1" t="n">
        <v>2159</v>
      </c>
      <c r="B3245" s="3">
        <f>HYPERLINK("https://leetcode.com/problems/order-two-columns-independently/", "Order Two Columns Independently")</f>
        <v/>
      </c>
      <c r="C3245" s="1" t="n">
        <v>78</v>
      </c>
      <c r="D3245" s="1" t="n">
        <v>18</v>
      </c>
      <c r="E3245" s="4">
        <f>IF(INDEX(C:C, ROW())+INDEX(D:D, ROW())=0, 0, INDEX(C:C, ROW())/(INDEX(C:C, ROW())+INDEX(D:D, ROW())))</f>
        <v/>
      </c>
      <c r="F3245" s="1" t="inlineStr">
        <is>
          <t>Database</t>
        </is>
      </c>
      <c r="G3245" s="1" t="inlineStr">
        <is>
          <t>Medium</t>
        </is>
      </c>
      <c r="H3245" s="1" t="n">
        <v>10527</v>
      </c>
      <c r="I3245" s="1" t="n">
        <v>17142</v>
      </c>
      <c r="J3245" s="9" t="n">
        <v>0.614</v>
      </c>
      <c r="K3245" s="1" t="inlineStr">
        <is>
          <t>No</t>
        </is>
      </c>
      <c r="L3245" s="1" t="inlineStr">
        <is>
          <t>No</t>
        </is>
      </c>
      <c r="M3245" s="1" t="inlineStr">
        <is>
          <t>No</t>
        </is>
      </c>
      <c r="N3245" s="1" t="inlineStr">
        <is>
          <t>Database</t>
        </is>
      </c>
      <c r="O32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46" ht="15.75" customHeight="1" s="12">
      <c r="A3246" s="1" t="n">
        <v>3327</v>
      </c>
      <c r="B3246" s="3">
        <f>HYPERLINK("https://leetcode.com/problems/check-if-dfs-strings-are-palindromes/", "Check if DFS Strings Are Palindromes")</f>
        <v/>
      </c>
      <c r="C3246" s="1" t="n">
        <v>78</v>
      </c>
      <c r="D3246" s="1" t="n">
        <v>13</v>
      </c>
      <c r="E3246" s="4">
        <f>IF(INDEX(C:C, ROW())+INDEX(D:D, ROW())=0, 0, INDEX(C:C, ROW())/(INDEX(C:C, ROW())+INDEX(D:D, ROW())))</f>
        <v/>
      </c>
      <c r="F3246" s="1" t="inlineStr">
        <is>
          <t>Array, Hash Table, String, Tree, Depth-First Search, Hash Function</t>
        </is>
      </c>
      <c r="G3246" s="1" t="inlineStr">
        <is>
          <t>Hard</t>
        </is>
      </c>
      <c r="H3246" s="1" t="n">
        <v>6436</v>
      </c>
      <c r="I3246" s="1" t="n">
        <v>32700</v>
      </c>
      <c r="J3246" s="9" t="n">
        <v>0.197</v>
      </c>
      <c r="K3246" s="1" t="inlineStr">
        <is>
          <t>Yes</t>
        </is>
      </c>
      <c r="L3246" s="1" t="inlineStr">
        <is>
          <t>No</t>
        </is>
      </c>
      <c r="M3246" s="1" t="inlineStr">
        <is>
          <t>No</t>
        </is>
      </c>
      <c r="N3246" s="1" t="inlineStr">
        <is>
          <t>Algorithms</t>
        </is>
      </c>
      <c r="O32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47" ht="15.75" customHeight="1" s="12">
      <c r="A3247" s="1" t="n">
        <v>3448</v>
      </c>
      <c r="B3247" s="3">
        <f>HYPERLINK("https://leetcode.com/problems/count-substrings-divisible-by-last-digit/", "Count Substrings Divisible By Last Digit")</f>
        <v/>
      </c>
      <c r="C3247" s="1" t="n">
        <v>78</v>
      </c>
      <c r="D3247" s="1" t="n">
        <v>7</v>
      </c>
      <c r="E3247" s="4">
        <f>IF(INDEX(C:C, ROW())+INDEX(D:D, ROW())=0, 0, INDEX(C:C, ROW())/(INDEX(C:C, ROW())+INDEX(D:D, ROW())))</f>
        <v/>
      </c>
      <c r="F3247" s="1" t="inlineStr">
        <is>
          <t>String, Dynamic Programming</t>
        </is>
      </c>
      <c r="G3247" s="1" t="inlineStr">
        <is>
          <t>Hard</t>
        </is>
      </c>
      <c r="H3247" s="1" t="n">
        <v>5911</v>
      </c>
      <c r="I3247" s="1" t="n">
        <v>26146</v>
      </c>
      <c r="J3247" s="9" t="n">
        <v>0.226</v>
      </c>
      <c r="K3247" s="1" t="inlineStr">
        <is>
          <t>Yes</t>
        </is>
      </c>
      <c r="L3247" s="1" t="inlineStr">
        <is>
          <t>No</t>
        </is>
      </c>
      <c r="M3247" s="1" t="inlineStr">
        <is>
          <t>No</t>
        </is>
      </c>
      <c r="N3247" s="1" t="inlineStr">
        <is>
          <t>Algorithms</t>
        </is>
      </c>
      <c r="O32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48" ht="15.75" customHeight="1" s="12">
      <c r="A3248" s="1" t="n">
        <v>3498</v>
      </c>
      <c r="B3248" s="3">
        <f>HYPERLINK("https://leetcode.com/problems/reverse-degree-of-a-string/", "Reverse Degree of a String")</f>
        <v/>
      </c>
      <c r="C3248" s="1" t="n">
        <v>78</v>
      </c>
      <c r="D3248" s="1" t="n">
        <v>5</v>
      </c>
      <c r="E3248" s="4">
        <f>IF(INDEX(C:C, ROW())+INDEX(D:D, ROW())=0, 0, INDEX(C:C, ROW())/(INDEX(C:C, ROW())+INDEX(D:D, ROW())))</f>
        <v/>
      </c>
      <c r="F3248" s="1" t="inlineStr">
        <is>
          <t>String, Simulation</t>
        </is>
      </c>
      <c r="G3248" s="1" t="inlineStr">
        <is>
          <t>Easy</t>
        </is>
      </c>
      <c r="H3248" s="1" t="n">
        <v>59603</v>
      </c>
      <c r="I3248" s="1" t="n">
        <v>67373</v>
      </c>
      <c r="J3248" s="9" t="n">
        <v>0.885</v>
      </c>
      <c r="K3248" s="1" t="inlineStr">
        <is>
          <t>Yes</t>
        </is>
      </c>
      <c r="L3248" s="1" t="inlineStr">
        <is>
          <t>No</t>
        </is>
      </c>
      <c r="M3248" s="1" t="inlineStr">
        <is>
          <t>No</t>
        </is>
      </c>
      <c r="N3248" s="1" t="inlineStr">
        <is>
          <t>Algorithms</t>
        </is>
      </c>
      <c r="O32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49" ht="15.75" customHeight="1" s="12">
      <c r="A3249" s="1" t="n">
        <v>1692</v>
      </c>
      <c r="B3249" s="3">
        <f>HYPERLINK("https://leetcode.com/problems/count-ways-to-distribute-candies/", "Count Ways to Distribute Candies")</f>
        <v/>
      </c>
      <c r="C3249" s="1" t="n">
        <v>77</v>
      </c>
      <c r="D3249" s="1" t="n">
        <v>9</v>
      </c>
      <c r="E3249" s="4">
        <f>IF(INDEX(C:C, ROW())+INDEX(D:D, ROW())=0, 0, INDEX(C:C, ROW())/(INDEX(C:C, ROW())+INDEX(D:D, ROW())))</f>
        <v/>
      </c>
      <c r="F3249" s="1" t="inlineStr">
        <is>
          <t>Dynamic Programming</t>
        </is>
      </c>
      <c r="G3249" s="1" t="inlineStr">
        <is>
          <t>Hard</t>
        </is>
      </c>
      <c r="H3249" s="1" t="n">
        <v>3102</v>
      </c>
      <c r="I3249" s="1" t="n">
        <v>4865</v>
      </c>
      <c r="J3249" s="9" t="n">
        <v>0.638</v>
      </c>
      <c r="K3249" s="1" t="inlineStr">
        <is>
          <t>No</t>
        </is>
      </c>
      <c r="L3249" s="1" t="inlineStr">
        <is>
          <t>No</t>
        </is>
      </c>
      <c r="M3249" s="1" t="inlineStr">
        <is>
          <t>No</t>
        </is>
      </c>
      <c r="N3249" s="1" t="inlineStr">
        <is>
          <t>Algorithms</t>
        </is>
      </c>
      <c r="O32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50" ht="15.75" customHeight="1" s="12">
      <c r="A3250" s="1" t="n">
        <v>3546</v>
      </c>
      <c r="B3250" s="3">
        <f>HYPERLINK("https://leetcode.com/problems/equal-sum-grid-partition-i/", "Equal Sum Grid Partition I")</f>
        <v/>
      </c>
      <c r="C3250" s="1" t="n">
        <v>77</v>
      </c>
      <c r="D3250" s="1" t="n">
        <v>4</v>
      </c>
      <c r="E3250" s="4">
        <f>IF(INDEX(C:C, ROW())+INDEX(D:D, ROW())=0, 0, INDEX(C:C, ROW())/(INDEX(C:C, ROW())+INDEX(D:D, ROW())))</f>
        <v/>
      </c>
      <c r="F3250" s="1" t="inlineStr">
        <is>
          <t>Array, Matrix, Enumeration, Prefix Sum</t>
        </is>
      </c>
      <c r="G3250" s="1" t="inlineStr">
        <is>
          <t>Medium</t>
        </is>
      </c>
      <c r="H3250" s="1" t="n">
        <v>25152</v>
      </c>
      <c r="I3250" s="1" t="n">
        <v>59574</v>
      </c>
      <c r="J3250" s="9" t="n">
        <v>0.422</v>
      </c>
      <c r="K3250" s="1" t="inlineStr">
        <is>
          <t>Yes</t>
        </is>
      </c>
      <c r="L3250" s="1" t="inlineStr">
        <is>
          <t>No</t>
        </is>
      </c>
      <c r="M3250" s="1" t="inlineStr">
        <is>
          <t>No</t>
        </is>
      </c>
      <c r="N3250" s="1" t="inlineStr">
        <is>
          <t>Algorithms</t>
        </is>
      </c>
      <c r="O32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51" ht="15.75" customHeight="1" s="12">
      <c r="A3251" s="1" t="n">
        <v>3691</v>
      </c>
      <c r="B3251" s="3">
        <f>HYPERLINK("https://leetcode.com/problems/maximum-total-subarray-value-ii/", "Maximum Total Subarray Value II")</f>
        <v/>
      </c>
      <c r="C3251" s="1" t="n">
        <v>77</v>
      </c>
      <c r="D3251" s="1" t="n">
        <v>4</v>
      </c>
      <c r="E3251" s="4">
        <f>IF(INDEX(C:C, ROW())+INDEX(D:D, ROW())=0, 0, INDEX(C:C, ROW())/(INDEX(C:C, ROW())+INDEX(D:D, ROW())))</f>
        <v/>
      </c>
      <c r="F3251" s="1" t="inlineStr">
        <is>
          <t>Array, Greedy, Segment Tree, Heap (Priority Queue)</t>
        </is>
      </c>
      <c r="G3251" s="1" t="inlineStr">
        <is>
          <t>Hard</t>
        </is>
      </c>
      <c r="H3251" s="1" t="n">
        <v>9389</v>
      </c>
      <c r="I3251" s="1" t="n">
        <v>48134</v>
      </c>
      <c r="J3251" s="9" t="n">
        <v>0.195</v>
      </c>
      <c r="K3251" s="1" t="inlineStr">
        <is>
          <t>Yes</t>
        </is>
      </c>
      <c r="L3251" s="1" t="inlineStr">
        <is>
          <t>No</t>
        </is>
      </c>
      <c r="M3251" s="1" t="inlineStr">
        <is>
          <t>No</t>
        </is>
      </c>
      <c r="N3251" s="1" t="inlineStr">
        <is>
          <t>Algorithms</t>
        </is>
      </c>
      <c r="O32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52" ht="15.75" customHeight="1" s="12">
      <c r="A3252" s="1" t="n">
        <v>1623</v>
      </c>
      <c r="B3252" s="3">
        <f>HYPERLINK("https://leetcode.com/problems/all-valid-triplets-that-can-represent-a-country/", "All Valid Triplets That Can Represent a Country")</f>
        <v/>
      </c>
      <c r="C3252" s="1" t="n">
        <v>76</v>
      </c>
      <c r="D3252" s="1" t="n">
        <v>144</v>
      </c>
      <c r="E3252" s="4">
        <f>IF(INDEX(C:C, ROW())+INDEX(D:D, ROW())=0, 0, INDEX(C:C, ROW())/(INDEX(C:C, ROW())+INDEX(D:D, ROW())))</f>
        <v/>
      </c>
      <c r="F3252" s="1" t="inlineStr">
        <is>
          <t>Database</t>
        </is>
      </c>
      <c r="G3252" s="1" t="inlineStr">
        <is>
          <t>Easy</t>
        </is>
      </c>
      <c r="H3252" s="1" t="n">
        <v>22935</v>
      </c>
      <c r="I3252" s="1" t="n">
        <v>28360</v>
      </c>
      <c r="J3252" s="9" t="n">
        <v>0.8090000000000001</v>
      </c>
      <c r="K3252" s="1" t="inlineStr">
        <is>
          <t>No</t>
        </is>
      </c>
      <c r="L3252" s="1" t="inlineStr">
        <is>
          <t>No</t>
        </is>
      </c>
      <c r="M3252" s="1" t="inlineStr">
        <is>
          <t>No</t>
        </is>
      </c>
      <c r="N3252" s="1" t="inlineStr">
        <is>
          <t>Database</t>
        </is>
      </c>
      <c r="O32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53" ht="15.75" customHeight="1" s="12">
      <c r="A3253" s="1" t="n">
        <v>1989</v>
      </c>
      <c r="B3253" s="3">
        <f>HYPERLINK("https://leetcode.com/problems/maximum-number-of-people-that-can-be-caught-in-tag/", "Maximum Number of People That Can Be Caught in Tag")</f>
        <v/>
      </c>
      <c r="C3253" s="1" t="n">
        <v>76</v>
      </c>
      <c r="D3253" s="1" t="n">
        <v>11</v>
      </c>
      <c r="E3253" s="4">
        <f>IF(INDEX(C:C, ROW())+INDEX(D:D, ROW())=0, 0, INDEX(C:C, ROW())/(INDEX(C:C, ROW())+INDEX(D:D, ROW())))</f>
        <v/>
      </c>
      <c r="F3253" s="1" t="inlineStr">
        <is>
          <t>Array, Greedy</t>
        </is>
      </c>
      <c r="G3253" s="1" t="inlineStr">
        <is>
          <t>Medium</t>
        </is>
      </c>
      <c r="H3253" s="1" t="n">
        <v>2729</v>
      </c>
      <c r="I3253" s="1" t="n">
        <v>5529</v>
      </c>
      <c r="J3253" s="9" t="n">
        <v>0.494</v>
      </c>
      <c r="K3253" s="1" t="inlineStr">
        <is>
          <t>No</t>
        </is>
      </c>
      <c r="L3253" s="1" t="inlineStr">
        <is>
          <t>No</t>
        </is>
      </c>
      <c r="M3253" s="1" t="inlineStr">
        <is>
          <t>No</t>
        </is>
      </c>
      <c r="N3253" s="1" t="inlineStr">
        <is>
          <t>Algorithms</t>
        </is>
      </c>
      <c r="O32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54" ht="15.75" customHeight="1" s="12">
      <c r="A3254" s="1" t="n">
        <v>3314</v>
      </c>
      <c r="B3254" s="3">
        <f>HYPERLINK("https://leetcode.com/problems/construct-the-minimum-bitwise-array-i/", "Construct the Minimum Bitwise Array I")</f>
        <v/>
      </c>
      <c r="C3254" s="1" t="n">
        <v>76</v>
      </c>
      <c r="D3254" s="1" t="n">
        <v>14</v>
      </c>
      <c r="E3254" s="4">
        <f>IF(INDEX(C:C, ROW())+INDEX(D:D, ROW())=0, 0, INDEX(C:C, ROW())/(INDEX(C:C, ROW())+INDEX(D:D, ROW())))</f>
        <v/>
      </c>
      <c r="F3254" s="1" t="inlineStr">
        <is>
          <t>Array, Bit Manipulation</t>
        </is>
      </c>
      <c r="G3254" s="1" t="inlineStr">
        <is>
          <t>Easy</t>
        </is>
      </c>
      <c r="H3254" s="1" t="n">
        <v>31011</v>
      </c>
      <c r="I3254" s="1" t="n">
        <v>41584</v>
      </c>
      <c r="J3254" s="9" t="n">
        <v>0.746</v>
      </c>
      <c r="K3254" s="1" t="inlineStr">
        <is>
          <t>Yes</t>
        </is>
      </c>
      <c r="L3254" s="1" t="inlineStr">
        <is>
          <t>No</t>
        </is>
      </c>
      <c r="M3254" s="1" t="inlineStr">
        <is>
          <t>No</t>
        </is>
      </c>
      <c r="N3254" s="1" t="inlineStr">
        <is>
          <t>Algorithms</t>
        </is>
      </c>
      <c r="O32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55" ht="15.75" customHeight="1" s="12">
      <c r="A3255" s="1" t="n">
        <v>3380</v>
      </c>
      <c r="B3255" s="3">
        <f>HYPERLINK("https://leetcode.com/problems/maximum-area-rectangle-with-point-constraints-i/", "Maximum Area Rectangle With Point Constraints I")</f>
        <v/>
      </c>
      <c r="C3255" s="1" t="n">
        <v>76</v>
      </c>
      <c r="D3255" s="1" t="n">
        <v>20</v>
      </c>
      <c r="E3255" s="4">
        <f>IF(INDEX(C:C, ROW())+INDEX(D:D, ROW())=0, 0, INDEX(C:C, ROW())/(INDEX(C:C, ROW())+INDEX(D:D, ROW())))</f>
        <v/>
      </c>
      <c r="F3255" s="1" t="inlineStr">
        <is>
          <t>Array, Math, Binary Indexed Tree, Segment Tree, Geometry, Sorting, Enumeration</t>
        </is>
      </c>
      <c r="G3255" s="1" t="inlineStr">
        <is>
          <t>Medium</t>
        </is>
      </c>
      <c r="H3255" s="1" t="n">
        <v>15150</v>
      </c>
      <c r="I3255" s="1" t="n">
        <v>29675</v>
      </c>
      <c r="J3255" s="9" t="n">
        <v>0.511</v>
      </c>
      <c r="K3255" s="1" t="inlineStr">
        <is>
          <t>Yes</t>
        </is>
      </c>
      <c r="L3255" s="1" t="inlineStr">
        <is>
          <t>No</t>
        </is>
      </c>
      <c r="M3255" s="1" t="inlineStr">
        <is>
          <t>No</t>
        </is>
      </c>
      <c r="N3255" s="1" t="inlineStr">
        <is>
          <t>Algorithms</t>
        </is>
      </c>
      <c r="O32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56" ht="15.75" customHeight="1" s="12">
      <c r="A3256" s="1" t="n">
        <v>3645</v>
      </c>
      <c r="B3256" s="3">
        <f>HYPERLINK("https://leetcode.com/problems/maximum-total-from-optimal-activation-order/", "Maximum Total from Optimal Activation Order")</f>
        <v/>
      </c>
      <c r="C3256" s="1" t="n">
        <v>76</v>
      </c>
      <c r="D3256" s="1" t="n">
        <v>50</v>
      </c>
      <c r="E3256" s="4">
        <f>IF(INDEX(C:C, ROW())+INDEX(D:D, ROW())=0, 0, INDEX(C:C, ROW())/(INDEX(C:C, ROW())+INDEX(D:D, ROW())))</f>
        <v/>
      </c>
      <c r="F3256" s="1" t="inlineStr">
        <is>
          <t>Array, Two Pointers, Greedy, Sorting, Heap (Priority Queue)</t>
        </is>
      </c>
      <c r="G3256" s="1" t="inlineStr">
        <is>
          <t>Medium</t>
        </is>
      </c>
      <c r="H3256" s="1" t="n">
        <v>15055</v>
      </c>
      <c r="I3256" s="1" t="n">
        <v>47881</v>
      </c>
      <c r="J3256" s="9" t="n">
        <v>0.314</v>
      </c>
      <c r="K3256" s="1" t="inlineStr">
        <is>
          <t>Yes</t>
        </is>
      </c>
      <c r="L3256" s="1" t="inlineStr">
        <is>
          <t>No</t>
        </is>
      </c>
      <c r="M3256" s="1" t="inlineStr">
        <is>
          <t>No</t>
        </is>
      </c>
      <c r="N3256" s="1" t="inlineStr">
        <is>
          <t>Algorithms</t>
        </is>
      </c>
      <c r="O32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57" ht="15.75" customHeight="1" s="12">
      <c r="A3257" s="1" t="n">
        <v>3686</v>
      </c>
      <c r="B3257" s="3">
        <f>HYPERLINK("https://leetcode.com/problems/number-of-stable-subsequences/", "Number of Stable Subsequences")</f>
        <v/>
      </c>
      <c r="C3257" s="1" t="n">
        <v>76</v>
      </c>
      <c r="D3257" s="1" t="n">
        <v>3</v>
      </c>
      <c r="E3257" s="4">
        <f>IF(INDEX(C:C, ROW())+INDEX(D:D, ROW())=0, 0, INDEX(C:C, ROW())/(INDEX(C:C, ROW())+INDEX(D:D, ROW())))</f>
        <v/>
      </c>
      <c r="F3257" s="1" t="inlineStr">
        <is>
          <t>Array, Dynamic Programming</t>
        </is>
      </c>
      <c r="G3257" s="1" t="inlineStr">
        <is>
          <t>Hard</t>
        </is>
      </c>
      <c r="H3257" s="1" t="n">
        <v>20521</v>
      </c>
      <c r="I3257" s="1" t="n">
        <v>34936</v>
      </c>
      <c r="J3257" s="9" t="n">
        <v>0.587</v>
      </c>
      <c r="K3257" s="1" t="inlineStr">
        <is>
          <t>Yes</t>
        </is>
      </c>
      <c r="L3257" s="1" t="inlineStr">
        <is>
          <t>No</t>
        </is>
      </c>
      <c r="M3257" s="1" t="inlineStr">
        <is>
          <t>No</t>
        </is>
      </c>
      <c r="N3257" s="1" t="inlineStr">
        <is>
          <t>Algorithms</t>
        </is>
      </c>
      <c r="O32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58" ht="15.75" customHeight="1" s="12">
      <c r="A3258" s="1" t="n">
        <v>2152</v>
      </c>
      <c r="B3258" s="3">
        <f>HYPERLINK("https://leetcode.com/problems/minimum-number-of-lines-to-cover-points/", "Minimum Number of Lines to Cover Points")</f>
        <v/>
      </c>
      <c r="C3258" s="1" t="n">
        <v>75</v>
      </c>
      <c r="D3258" s="1" t="n">
        <v>14</v>
      </c>
      <c r="E3258" s="4">
        <f>IF(INDEX(C:C, ROW())+INDEX(D:D, ROW())=0, 0, INDEX(C:C, ROW())/(INDEX(C:C, ROW())+INDEX(D:D, ROW())))</f>
        <v/>
      </c>
      <c r="F3258" s="1" t="inlineStr">
        <is>
          <t>Array, Hash Table, Math, Dynamic Programming, Backtracking, Bit Manipulation, Geometry, Bitmask DP</t>
        </is>
      </c>
      <c r="G3258" s="1" t="inlineStr">
        <is>
          <t>Medium</t>
        </is>
      </c>
      <c r="H3258" s="1" t="n">
        <v>2709</v>
      </c>
      <c r="I3258" s="1" t="n">
        <v>6234</v>
      </c>
      <c r="J3258" s="9" t="n">
        <v>0.435</v>
      </c>
      <c r="K3258" s="1" t="inlineStr">
        <is>
          <t>No</t>
        </is>
      </c>
      <c r="L3258" s="1" t="inlineStr">
        <is>
          <t>No</t>
        </is>
      </c>
      <c r="M3258" s="1" t="inlineStr">
        <is>
          <t>No</t>
        </is>
      </c>
      <c r="N3258" s="1" t="inlineStr">
        <is>
          <t>Algorithms</t>
        </is>
      </c>
      <c r="O32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59" ht="15.75" customHeight="1" s="12">
      <c r="A3259" s="1" t="n">
        <v>3386</v>
      </c>
      <c r="B3259" s="3">
        <f>HYPERLINK("https://leetcode.com/problems/button-with-longest-push-time/", "Button with Longest Push Time")</f>
        <v/>
      </c>
      <c r="C3259" s="1" t="n">
        <v>75</v>
      </c>
      <c r="D3259" s="1" t="n">
        <v>73</v>
      </c>
      <c r="E3259" s="4">
        <f>IF(INDEX(C:C, ROW())+INDEX(D:D, ROW())=0, 0, INDEX(C:C, ROW())/(INDEX(C:C, ROW())+INDEX(D:D, ROW())))</f>
        <v/>
      </c>
      <c r="F3259" s="1" t="inlineStr">
        <is>
          <t>Array</t>
        </is>
      </c>
      <c r="G3259" s="1" t="inlineStr">
        <is>
          <t>Easy</t>
        </is>
      </c>
      <c r="H3259" s="1" t="n">
        <v>35245</v>
      </c>
      <c r="I3259" s="1" t="n">
        <v>86075</v>
      </c>
      <c r="J3259" s="9" t="n">
        <v>0.409</v>
      </c>
      <c r="K3259" s="1" t="inlineStr">
        <is>
          <t>Yes</t>
        </is>
      </c>
      <c r="L3259" s="1" t="inlineStr">
        <is>
          <t>No</t>
        </is>
      </c>
      <c r="M3259" s="1" t="inlineStr">
        <is>
          <t>No</t>
        </is>
      </c>
      <c r="N3259" s="1" t="inlineStr">
        <is>
          <t>Algorithms</t>
        </is>
      </c>
      <c r="O32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60" ht="15.75" customHeight="1" s="12">
      <c r="A3260" s="1" t="n">
        <v>3389</v>
      </c>
      <c r="B3260" s="3">
        <f>HYPERLINK("https://leetcode.com/problems/minimum-operations-to-make-character-frequencies-equal/", "Minimum Operations to Make Character Frequencies Equal")</f>
        <v/>
      </c>
      <c r="C3260" s="1" t="n">
        <v>75</v>
      </c>
      <c r="D3260" s="1" t="n">
        <v>2</v>
      </c>
      <c r="E3260" s="4">
        <f>IF(INDEX(C:C, ROW())+INDEX(D:D, ROW())=0, 0, INDEX(C:C, ROW())/(INDEX(C:C, ROW())+INDEX(D:D, ROW())))</f>
        <v/>
      </c>
      <c r="F3260" s="1" t="inlineStr">
        <is>
          <t>Hash Table, String, Dynamic Programming, Counting, Enumeration</t>
        </is>
      </c>
      <c r="G3260" s="1" t="inlineStr">
        <is>
          <t>Hard</t>
        </is>
      </c>
      <c r="H3260" s="1" t="n">
        <v>4487</v>
      </c>
      <c r="I3260" s="1" t="n">
        <v>17047</v>
      </c>
      <c r="J3260" s="9" t="n">
        <v>0.263</v>
      </c>
      <c r="K3260" s="1" t="inlineStr">
        <is>
          <t>Yes</t>
        </is>
      </c>
      <c r="L3260" s="1" t="inlineStr">
        <is>
          <t>No</t>
        </is>
      </c>
      <c r="M3260" s="1" t="inlineStr">
        <is>
          <t>No</t>
        </is>
      </c>
      <c r="N3260" s="1" t="inlineStr">
        <is>
          <t>Algorithms</t>
        </is>
      </c>
      <c r="O32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61" ht="15.75" customHeight="1" s="12">
      <c r="A3261" s="1" t="n">
        <v>3430</v>
      </c>
      <c r="B3261" s="3">
        <f>HYPERLINK("https://leetcode.com/problems/maximum-and-minimum-sums-of-at-most-size-k-subarrays/", "Maximum and Minimum Sums of at Most Size K Subarrays")</f>
        <v/>
      </c>
      <c r="C3261" s="1" t="n">
        <v>75</v>
      </c>
      <c r="D3261" s="1" t="n">
        <v>8</v>
      </c>
      <c r="E3261" s="4">
        <f>IF(INDEX(C:C, ROW())+INDEX(D:D, ROW())=0, 0, INDEX(C:C, ROW())/(INDEX(C:C, ROW())+INDEX(D:D, ROW())))</f>
        <v/>
      </c>
      <c r="F3261" s="1" t="inlineStr">
        <is>
          <t>Array, Math, Stack, Monotonic Stack</t>
        </is>
      </c>
      <c r="G3261" s="1" t="inlineStr">
        <is>
          <t>Hard</t>
        </is>
      </c>
      <c r="H3261" s="1" t="n">
        <v>4002</v>
      </c>
      <c r="I3261" s="1" t="n">
        <v>16380</v>
      </c>
      <c r="J3261" s="9" t="n">
        <v>0.244</v>
      </c>
      <c r="K3261" s="1" t="inlineStr">
        <is>
          <t>Yes</t>
        </is>
      </c>
      <c r="L3261" s="1" t="inlineStr">
        <is>
          <t>No</t>
        </is>
      </c>
      <c r="M3261" s="1" t="inlineStr">
        <is>
          <t>No</t>
        </is>
      </c>
      <c r="N3261" s="1" t="inlineStr">
        <is>
          <t>Algorithms</t>
        </is>
      </c>
      <c r="O32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62" ht="15.75" customHeight="1" s="12">
      <c r="A3262" s="1" t="n">
        <v>3566</v>
      </c>
      <c r="B3262" s="3">
        <f>HYPERLINK("https://leetcode.com/problems/partition-array-into-two-equal-product-subsets/", "Partition Array into Two Equal Product Subsets")</f>
        <v/>
      </c>
      <c r="C3262" s="1" t="n">
        <v>75</v>
      </c>
      <c r="D3262" s="1" t="n">
        <v>20</v>
      </c>
      <c r="E3262" s="4">
        <f>IF(INDEX(C:C, ROW())+INDEX(D:D, ROW())=0, 0, INDEX(C:C, ROW())/(INDEX(C:C, ROW())+INDEX(D:D, ROW())))</f>
        <v/>
      </c>
      <c r="F3262" s="1" t="inlineStr">
        <is>
          <t>Array, Bit Manipulation, Recursion, Enumeration</t>
        </is>
      </c>
      <c r="G3262" s="1" t="inlineStr">
        <is>
          <t>Medium</t>
        </is>
      </c>
      <c r="H3262" s="1" t="n">
        <v>33460</v>
      </c>
      <c r="I3262" s="1" t="n">
        <v>95456</v>
      </c>
      <c r="J3262" s="9" t="n">
        <v>0.351</v>
      </c>
      <c r="K3262" s="1" t="inlineStr">
        <is>
          <t>Yes</t>
        </is>
      </c>
      <c r="L3262" s="1" t="inlineStr">
        <is>
          <t>No</t>
        </is>
      </c>
      <c r="M3262" s="1" t="inlineStr">
        <is>
          <t>No</t>
        </is>
      </c>
      <c r="N3262" s="1" t="inlineStr">
        <is>
          <t>Algorithms</t>
        </is>
      </c>
      <c r="O32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63" ht="15.75" customHeight="1" s="12">
      <c r="A3263" s="1" t="n">
        <v>3627</v>
      </c>
      <c r="B3263" s="3">
        <f>HYPERLINK("https://leetcode.com/problems/maximum-median-sum-of-subsequences-of-size-3/", "Maximum Median Sum of Subsequences of Size 3")</f>
        <v/>
      </c>
      <c r="C3263" s="1" t="n">
        <v>75</v>
      </c>
      <c r="D3263" s="1" t="n">
        <v>3</v>
      </c>
      <c r="E3263" s="4">
        <f>IF(INDEX(C:C, ROW())+INDEX(D:D, ROW())=0, 0, INDEX(C:C, ROW())/(INDEX(C:C, ROW())+INDEX(D:D, ROW())))</f>
        <v/>
      </c>
      <c r="F3263" s="1" t="inlineStr">
        <is>
          <t>Array, Math, Greedy, Sorting, Game Theory</t>
        </is>
      </c>
      <c r="G3263" s="1" t="inlineStr">
        <is>
          <t>Medium</t>
        </is>
      </c>
      <c r="H3263" s="1" t="n">
        <v>57810</v>
      </c>
      <c r="I3263" s="1" t="n">
        <v>89373</v>
      </c>
      <c r="J3263" s="9" t="n">
        <v>0.647</v>
      </c>
      <c r="K3263" s="1" t="inlineStr">
        <is>
          <t>Yes</t>
        </is>
      </c>
      <c r="L3263" s="1" t="inlineStr">
        <is>
          <t>No</t>
        </is>
      </c>
      <c r="M3263" s="1" t="inlineStr">
        <is>
          <t>No</t>
        </is>
      </c>
      <c r="N3263" s="1" t="inlineStr">
        <is>
          <t>Algorithms</t>
        </is>
      </c>
      <c r="O32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64" ht="15.75" customHeight="1" s="12">
      <c r="A3264" s="1" t="n">
        <v>2056</v>
      </c>
      <c r="B3264" s="3">
        <f>HYPERLINK("https://leetcode.com/problems/number-of-valid-move-combinations-on-chessboard/", "Number of Valid Move Combinations On Chessboard")</f>
        <v/>
      </c>
      <c r="C3264" s="1" t="n">
        <v>74</v>
      </c>
      <c r="D3264" s="1" t="n">
        <v>297</v>
      </c>
      <c r="E3264" s="4">
        <f>IF(INDEX(C:C, ROW())+INDEX(D:D, ROW())=0, 0, INDEX(C:C, ROW())/(INDEX(C:C, ROW())+INDEX(D:D, ROW())))</f>
        <v/>
      </c>
      <c r="F3264" s="1" t="inlineStr">
        <is>
          <t>Array, String, Backtracking, Simulation</t>
        </is>
      </c>
      <c r="G3264" s="1" t="inlineStr">
        <is>
          <t>Hard</t>
        </is>
      </c>
      <c r="H3264" s="1" t="n">
        <v>5540</v>
      </c>
      <c r="I3264" s="1" t="n">
        <v>11385</v>
      </c>
      <c r="J3264" s="9" t="n">
        <v>0.487</v>
      </c>
      <c r="K3264" s="1" t="inlineStr">
        <is>
          <t>Yes</t>
        </is>
      </c>
      <c r="L3264" s="1" t="inlineStr">
        <is>
          <t>No</t>
        </is>
      </c>
      <c r="M3264" s="1" t="inlineStr">
        <is>
          <t>No</t>
        </is>
      </c>
      <c r="N3264" s="1" t="inlineStr">
        <is>
          <t>Algorithms</t>
        </is>
      </c>
      <c r="O32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65" ht="15.75" customHeight="1" s="12">
      <c r="A3265" s="1" t="n">
        <v>2066</v>
      </c>
      <c r="B3265" s="3">
        <f>HYPERLINK("https://leetcode.com/problems/account-balance/", "Account Balance")</f>
        <v/>
      </c>
      <c r="C3265" s="1" t="n">
        <v>74</v>
      </c>
      <c r="D3265" s="1" t="n">
        <v>2</v>
      </c>
      <c r="E3265" s="4">
        <f>IF(INDEX(C:C, ROW())+INDEX(D:D, ROW())=0, 0, INDEX(C:C, ROW())/(INDEX(C:C, ROW())+INDEX(D:D, ROW())))</f>
        <v/>
      </c>
      <c r="F3265" s="1" t="inlineStr">
        <is>
          <t>Database</t>
        </is>
      </c>
      <c r="G3265" s="1" t="inlineStr">
        <is>
          <t>Medium</t>
        </is>
      </c>
      <c r="H3265" s="1" t="n">
        <v>12510</v>
      </c>
      <c r="I3265" s="1" t="n">
        <v>15308</v>
      </c>
      <c r="J3265" s="9" t="n">
        <v>0.8169999999999999</v>
      </c>
      <c r="K3265" s="1" t="inlineStr">
        <is>
          <t>No</t>
        </is>
      </c>
      <c r="L3265" s="1" t="inlineStr">
        <is>
          <t>No</t>
        </is>
      </c>
      <c r="M3265" s="1" t="inlineStr">
        <is>
          <t>No</t>
        </is>
      </c>
      <c r="N3265" s="1" t="inlineStr">
        <is>
          <t>Database</t>
        </is>
      </c>
      <c r="O32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66" ht="15.75" customHeight="1" s="12">
      <c r="A3266" s="1" t="n">
        <v>2838</v>
      </c>
      <c r="B3266" s="3">
        <f>HYPERLINK("https://leetcode.com/problems/maximum-coins-heroes-can-collect/", "Maximum Coins Heroes Can Collect")</f>
        <v/>
      </c>
      <c r="C3266" s="1" t="n">
        <v>74</v>
      </c>
      <c r="D3266" s="1" t="n">
        <v>7</v>
      </c>
      <c r="E3266" s="4">
        <f>IF(INDEX(C:C, ROW())+INDEX(D:D, ROW())=0, 0, INDEX(C:C, ROW())/(INDEX(C:C, ROW())+INDEX(D:D, ROW())))</f>
        <v/>
      </c>
      <c r="F3266" s="1" t="inlineStr">
        <is>
          <t>Array, Two Pointers, Binary Search, Sorting, Prefix Sum</t>
        </is>
      </c>
      <c r="G3266" s="1" t="inlineStr">
        <is>
          <t>Medium</t>
        </is>
      </c>
      <c r="H3266" s="1" t="n">
        <v>7016</v>
      </c>
      <c r="I3266" s="1" t="n">
        <v>10210</v>
      </c>
      <c r="J3266" s="9" t="n">
        <v>0.6870000000000001</v>
      </c>
      <c r="K3266" s="1" t="inlineStr">
        <is>
          <t>No</t>
        </is>
      </c>
      <c r="L3266" s="1" t="inlineStr">
        <is>
          <t>Yes</t>
        </is>
      </c>
      <c r="M3266" s="1" t="inlineStr">
        <is>
          <t>No</t>
        </is>
      </c>
      <c r="N3266" s="1" t="inlineStr">
        <is>
          <t>Algorithms</t>
        </is>
      </c>
      <c r="O32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67" ht="15.75" customHeight="1" s="12">
      <c r="A3267" s="1" t="n">
        <v>3317</v>
      </c>
      <c r="B3267" s="3">
        <f>HYPERLINK("https://leetcode.com/problems/find-the-number-of-possible-ways-for-an-event/", "Find the Number of Possible Ways for an Event")</f>
        <v/>
      </c>
      <c r="C3267" s="1" t="n">
        <v>74</v>
      </c>
      <c r="D3267" s="1" t="n">
        <v>15</v>
      </c>
      <c r="E3267" s="4">
        <f>IF(INDEX(C:C, ROW())+INDEX(D:D, ROW())=0, 0, INDEX(C:C, ROW())/(INDEX(C:C, ROW())+INDEX(D:D, ROW())))</f>
        <v/>
      </c>
      <c r="F3267" s="1" t="inlineStr">
        <is>
          <t>Math, Dynamic Programming, Combinatorics</t>
        </is>
      </c>
      <c r="G3267" s="1" t="inlineStr">
        <is>
          <t>Hard</t>
        </is>
      </c>
      <c r="H3267" s="1" t="n">
        <v>5119</v>
      </c>
      <c r="I3267" s="1" t="n">
        <v>14832</v>
      </c>
      <c r="J3267" s="9" t="n">
        <v>0.345</v>
      </c>
      <c r="K3267" s="1" t="inlineStr">
        <is>
          <t>Yes</t>
        </is>
      </c>
      <c r="L3267" s="1" t="inlineStr">
        <is>
          <t>No</t>
        </is>
      </c>
      <c r="M3267" s="1" t="inlineStr">
        <is>
          <t>No</t>
        </is>
      </c>
      <c r="N3267" s="1" t="inlineStr">
        <is>
          <t>Algorithms</t>
        </is>
      </c>
      <c r="O32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68" ht="15.75" customHeight="1" s="12">
      <c r="A3268" s="1" t="n">
        <v>3417</v>
      </c>
      <c r="B3268" s="3">
        <f>HYPERLINK("https://leetcode.com/problems/zigzag-grid-traversal-with-skip/", "Zigzag Grid Traversal With Skip")</f>
        <v/>
      </c>
      <c r="C3268" s="1" t="n">
        <v>74</v>
      </c>
      <c r="D3268" s="1" t="n">
        <v>11</v>
      </c>
      <c r="E3268" s="4">
        <f>IF(INDEX(C:C, ROW())+INDEX(D:D, ROW())=0, 0, INDEX(C:C, ROW())/(INDEX(C:C, ROW())+INDEX(D:D, ROW())))</f>
        <v/>
      </c>
      <c r="F3268" s="1" t="inlineStr">
        <is>
          <t>Array, Matrix, Simulation</t>
        </is>
      </c>
      <c r="G3268" s="1" t="inlineStr">
        <is>
          <t>Easy</t>
        </is>
      </c>
      <c r="H3268" s="1" t="n">
        <v>37077</v>
      </c>
      <c r="I3268" s="1" t="n">
        <v>57367</v>
      </c>
      <c r="J3268" s="9" t="n">
        <v>0.646</v>
      </c>
      <c r="K3268" s="1" t="inlineStr">
        <is>
          <t>Yes</t>
        </is>
      </c>
      <c r="L3268" s="1" t="inlineStr">
        <is>
          <t>No</t>
        </is>
      </c>
      <c r="M3268" s="1" t="inlineStr">
        <is>
          <t>No</t>
        </is>
      </c>
      <c r="N3268" s="1" t="inlineStr">
        <is>
          <t>Algorithms</t>
        </is>
      </c>
      <c r="O32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69" ht="15.75" customHeight="1" s="12">
      <c r="A3269" s="1" t="n">
        <v>3452</v>
      </c>
      <c r="B3269" s="3">
        <f>HYPERLINK("https://leetcode.com/problems/sum-of-good-numbers/", "Sum of Good Numbers")</f>
        <v/>
      </c>
      <c r="C3269" s="1" t="n">
        <v>74</v>
      </c>
      <c r="D3269" s="1" t="n">
        <v>27</v>
      </c>
      <c r="E3269" s="4">
        <f>IF(INDEX(C:C, ROW())+INDEX(D:D, ROW())=0, 0, INDEX(C:C, ROW())/(INDEX(C:C, ROW())+INDEX(D:D, ROW())))</f>
        <v/>
      </c>
      <c r="F3269" s="1" t="inlineStr">
        <is>
          <t>Array</t>
        </is>
      </c>
      <c r="G3269" s="1" t="inlineStr">
        <is>
          <t>Easy</t>
        </is>
      </c>
      <c r="H3269" s="1" t="n">
        <v>49655</v>
      </c>
      <c r="I3269" s="1" t="n">
        <v>71505</v>
      </c>
      <c r="J3269" s="9" t="n">
        <v>0.694</v>
      </c>
      <c r="K3269" s="1" t="inlineStr">
        <is>
          <t>Yes</t>
        </is>
      </c>
      <c r="L3269" s="1" t="inlineStr">
        <is>
          <t>No</t>
        </is>
      </c>
      <c r="M3269" s="1" t="inlineStr">
        <is>
          <t>No</t>
        </is>
      </c>
      <c r="N3269" s="1" t="inlineStr">
        <is>
          <t>Algorithms</t>
        </is>
      </c>
      <c r="O32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70" ht="15.75" customHeight="1" s="12">
      <c r="A3270" s="1" t="n">
        <v>3677</v>
      </c>
      <c r="B3270" s="3">
        <f>HYPERLINK("https://leetcode.com/problems/count-binary-palindromic-numbers/", "Count Binary Palindromic Numbers")</f>
        <v/>
      </c>
      <c r="C3270" s="1" t="n">
        <v>74</v>
      </c>
      <c r="D3270" s="1" t="n">
        <v>3</v>
      </c>
      <c r="E3270" s="4">
        <f>IF(INDEX(C:C, ROW())+INDEX(D:D, ROW())=0, 0, INDEX(C:C, ROW())/(INDEX(C:C, ROW())+INDEX(D:D, ROW())))</f>
        <v/>
      </c>
      <c r="F3270" s="1" t="inlineStr">
        <is>
          <t>Math, Bit Manipulation</t>
        </is>
      </c>
      <c r="G3270" s="1" t="inlineStr">
        <is>
          <t>Hard</t>
        </is>
      </c>
      <c r="H3270" s="1" t="n">
        <v>12421</v>
      </c>
      <c r="I3270" s="1" t="n">
        <v>41652</v>
      </c>
      <c r="J3270" s="9" t="n">
        <v>0.298</v>
      </c>
      <c r="K3270" s="1" t="inlineStr">
        <is>
          <t>Yes</t>
        </is>
      </c>
      <c r="L3270" s="1" t="inlineStr">
        <is>
          <t>No</t>
        </is>
      </c>
      <c r="M3270" s="1" t="inlineStr">
        <is>
          <t>No</t>
        </is>
      </c>
      <c r="N3270" s="1" t="inlineStr">
        <is>
          <t>Algorithms</t>
        </is>
      </c>
      <c r="O32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71" ht="15.75" customHeight="1" s="12">
      <c r="A3271" s="1" t="n">
        <v>3761</v>
      </c>
      <c r="B3271" s="3">
        <f>HYPERLINK("https://leetcode.com/problems/minimum-absolute-distance-between-mirror-pairs/", "Minimum Absolute Distance Between Mirror Pairs")</f>
        <v/>
      </c>
      <c r="C3271" s="1" t="n">
        <v>74</v>
      </c>
      <c r="D3271" s="1" t="n">
        <v>3</v>
      </c>
      <c r="E3271" s="4">
        <f>IF(INDEX(C:C, ROW())+INDEX(D:D, ROW())=0, 0, INDEX(C:C, ROW())/(INDEX(C:C, ROW())+INDEX(D:D, ROW())))</f>
        <v/>
      </c>
      <c r="F3271" s="1" t="inlineStr">
        <is>
          <t>Array, Hash Table, Math</t>
        </is>
      </c>
      <c r="G3271" s="1" t="inlineStr">
        <is>
          <t>Medium</t>
        </is>
      </c>
      <c r="H3271" s="1" t="n">
        <v>20904</v>
      </c>
      <c r="I3271" s="1" t="n">
        <v>47513</v>
      </c>
      <c r="J3271" s="9" t="n">
        <v>0.44</v>
      </c>
      <c r="K3271" s="1" t="inlineStr">
        <is>
          <t>Yes</t>
        </is>
      </c>
      <c r="L3271" s="1" t="inlineStr">
        <is>
          <t>No</t>
        </is>
      </c>
      <c r="M3271" s="1" t="inlineStr">
        <is>
          <t>No</t>
        </is>
      </c>
      <c r="N3271" s="1" t="inlineStr">
        <is>
          <t>Algorithms</t>
        </is>
      </c>
      <c r="O32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72" ht="15.75" customHeight="1" s="12">
      <c r="A3272" s="1" t="n">
        <v>2238</v>
      </c>
      <c r="B3272" s="3">
        <f>HYPERLINK("https://leetcode.com/problems/number-of-times-a-driver-was-a-passenger/", "Number of Times a Driver Was a Passenger")</f>
        <v/>
      </c>
      <c r="C3272" s="1" t="n">
        <v>73</v>
      </c>
      <c r="D3272" s="1" t="n">
        <v>5</v>
      </c>
      <c r="E3272" s="4">
        <f>IF(INDEX(C:C, ROW())+INDEX(D:D, ROW())=0, 0, INDEX(C:C, ROW())/(INDEX(C:C, ROW())+INDEX(D:D, ROW())))</f>
        <v/>
      </c>
      <c r="F3272" s="1" t="inlineStr">
        <is>
          <t>Database</t>
        </is>
      </c>
      <c r="G3272" s="1" t="inlineStr">
        <is>
          <t>Medium</t>
        </is>
      </c>
      <c r="H3272" s="1" t="n">
        <v>10990</v>
      </c>
      <c r="I3272" s="1" t="n">
        <v>15339</v>
      </c>
      <c r="J3272" s="9" t="n">
        <v>0.716</v>
      </c>
      <c r="K3272" s="1" t="inlineStr">
        <is>
          <t>No</t>
        </is>
      </c>
      <c r="L3272" s="1" t="inlineStr">
        <is>
          <t>No</t>
        </is>
      </c>
      <c r="M3272" s="1" t="inlineStr">
        <is>
          <t>No</t>
        </is>
      </c>
      <c r="N3272" s="1" t="inlineStr">
        <is>
          <t>Database</t>
        </is>
      </c>
      <c r="O32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73" ht="15.75" customHeight="1" s="12">
      <c r="A3273" s="1" t="n">
        <v>3303</v>
      </c>
      <c r="B3273" s="3">
        <f>HYPERLINK("https://leetcode.com/problems/find-the-occurrence-of-first-almost-equal-substring/", "Find the Occurrence of First Almost Equal Substring")</f>
        <v/>
      </c>
      <c r="C3273" s="1" t="n">
        <v>73</v>
      </c>
      <c r="D3273" s="1" t="n">
        <v>9</v>
      </c>
      <c r="E3273" s="4">
        <f>IF(INDEX(C:C, ROW())+INDEX(D:D, ROW())=0, 0, INDEX(C:C, ROW())/(INDEX(C:C, ROW())+INDEX(D:D, ROW())))</f>
        <v/>
      </c>
      <c r="F3273" s="1" t="inlineStr">
        <is>
          <t>String, String Matching</t>
        </is>
      </c>
      <c r="G3273" s="1" t="inlineStr">
        <is>
          <t>Hard</t>
        </is>
      </c>
      <c r="H3273" s="1" t="n">
        <v>5273</v>
      </c>
      <c r="I3273" s="1" t="n">
        <v>34867</v>
      </c>
      <c r="J3273" s="9" t="n">
        <v>0.151</v>
      </c>
      <c r="K3273" s="1" t="inlineStr">
        <is>
          <t>Yes</t>
        </is>
      </c>
      <c r="L3273" s="1" t="inlineStr">
        <is>
          <t>No</t>
        </is>
      </c>
      <c r="M3273" s="1" t="inlineStr">
        <is>
          <t>No</t>
        </is>
      </c>
      <c r="N3273" s="1" t="inlineStr">
        <is>
          <t>Algorithms</t>
        </is>
      </c>
      <c r="O32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74" ht="15.75" customHeight="1" s="12">
      <c r="A3274" s="1" t="n">
        <v>3438</v>
      </c>
      <c r="B3274" s="3">
        <f>HYPERLINK("https://leetcode.com/problems/find-valid-pair-of-adjacent-digits-in-string/", "Find Valid Pair of Adjacent Digits in String")</f>
        <v/>
      </c>
      <c r="C3274" s="1" t="n">
        <v>73</v>
      </c>
      <c r="D3274" s="1" t="n">
        <v>9</v>
      </c>
      <c r="E3274" s="4">
        <f>IF(INDEX(C:C, ROW())+INDEX(D:D, ROW())=0, 0, INDEX(C:C, ROW())/(INDEX(C:C, ROW())+INDEX(D:D, ROW())))</f>
        <v/>
      </c>
      <c r="F3274" s="1" t="inlineStr">
        <is>
          <t>Hash Table, String, Counting</t>
        </is>
      </c>
      <c r="G3274" s="1" t="inlineStr">
        <is>
          <t>Easy</t>
        </is>
      </c>
      <c r="H3274" s="1" t="n">
        <v>45351</v>
      </c>
      <c r="I3274" s="1" t="n">
        <v>75120</v>
      </c>
      <c r="J3274" s="9" t="n">
        <v>0.604</v>
      </c>
      <c r="K3274" s="1" t="inlineStr">
        <is>
          <t>Yes</t>
        </is>
      </c>
      <c r="L3274" s="1" t="inlineStr">
        <is>
          <t>No</t>
        </is>
      </c>
      <c r="M3274" s="1" t="inlineStr">
        <is>
          <t>No</t>
        </is>
      </c>
      <c r="N3274" s="1" t="inlineStr">
        <is>
          <t>Algorithms</t>
        </is>
      </c>
      <c r="O32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75" ht="15.75" customHeight="1" s="12">
      <c r="A3275" s="1" t="n">
        <v>3557</v>
      </c>
      <c r="B3275" s="3">
        <f>HYPERLINK("https://leetcode.com/problems/find-maximum-number-of-non-intersecting-substrings/", "Find Maximum Number of Non Intersecting Substrings")</f>
        <v/>
      </c>
      <c r="C3275" s="1" t="n">
        <v>73</v>
      </c>
      <c r="D3275" s="1" t="n">
        <v>3</v>
      </c>
      <c r="E3275" s="4">
        <f>IF(INDEX(C:C, ROW())+INDEX(D:D, ROW())=0, 0, INDEX(C:C, ROW())/(INDEX(C:C, ROW())+INDEX(D:D, ROW())))</f>
        <v/>
      </c>
      <c r="F3275" s="1" t="inlineStr">
        <is>
          <t>Hash Table, String, Dynamic Programming, Greedy</t>
        </is>
      </c>
      <c r="G3275" s="1" t="inlineStr">
        <is>
          <t>Medium</t>
        </is>
      </c>
      <c r="H3275" s="1" t="n">
        <v>15638</v>
      </c>
      <c r="I3275" s="1" t="n">
        <v>51780</v>
      </c>
      <c r="J3275" s="9" t="n">
        <v>0.302</v>
      </c>
      <c r="K3275" s="1" t="inlineStr">
        <is>
          <t>Yes</t>
        </is>
      </c>
      <c r="L3275" s="1" t="inlineStr">
        <is>
          <t>No</t>
        </is>
      </c>
      <c r="M3275" s="1" t="inlineStr">
        <is>
          <t>No</t>
        </is>
      </c>
      <c r="N3275" s="1" t="inlineStr">
        <is>
          <t>Algorithms</t>
        </is>
      </c>
      <c r="O32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76" ht="15.75" customHeight="1" s="12">
      <c r="A3276" s="1" t="n">
        <v>2219</v>
      </c>
      <c r="B3276" s="3">
        <f>HYPERLINK("https://leetcode.com/problems/maximum-sum-score-of-array/", "Maximum Sum Score of Array")</f>
        <v/>
      </c>
      <c r="C3276" s="1" t="n">
        <v>72</v>
      </c>
      <c r="D3276" s="1" t="n">
        <v>19</v>
      </c>
      <c r="E3276" s="4">
        <f>IF(INDEX(C:C, ROW())+INDEX(D:D, ROW())=0, 0, INDEX(C:C, ROW())/(INDEX(C:C, ROW())+INDEX(D:D, ROW())))</f>
        <v/>
      </c>
      <c r="F3276" s="1" t="inlineStr">
        <is>
          <t>Array, Prefix Sum</t>
        </is>
      </c>
      <c r="G3276" s="1" t="inlineStr">
        <is>
          <t>Medium</t>
        </is>
      </c>
      <c r="H3276" s="1" t="n">
        <v>5664</v>
      </c>
      <c r="I3276" s="1" t="n">
        <v>9026</v>
      </c>
      <c r="J3276" s="9" t="n">
        <v>0.628</v>
      </c>
      <c r="K3276" s="1" t="inlineStr">
        <is>
          <t>No</t>
        </is>
      </c>
      <c r="L3276" s="1" t="inlineStr">
        <is>
          <t>No</t>
        </is>
      </c>
      <c r="M3276" s="1" t="inlineStr">
        <is>
          <t>No</t>
        </is>
      </c>
      <c r="N3276" s="1" t="inlineStr">
        <is>
          <t>Algorithms</t>
        </is>
      </c>
      <c r="O32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77" ht="15.75" customHeight="1" s="12">
      <c r="A3277" s="1" t="n">
        <v>2650</v>
      </c>
      <c r="B3277" s="3">
        <f>HYPERLINK("https://leetcode.com/problems/design-cancellable-function/", "Design Cancellable Function")</f>
        <v/>
      </c>
      <c r="C3277" s="1" t="n">
        <v>72</v>
      </c>
      <c r="D3277" s="1" t="n">
        <v>20</v>
      </c>
      <c r="E3277" s="4">
        <f>IF(INDEX(C:C, ROW())+INDEX(D:D, ROW())=0, 0, INDEX(C:C, ROW())/(INDEX(C:C, ROW())+INDEX(D:D, ROW())))</f>
        <v/>
      </c>
      <c r="F3277" s="2" t="n"/>
      <c r="G3277" s="1" t="inlineStr">
        <is>
          <t>Hard</t>
        </is>
      </c>
      <c r="H3277" s="1" t="n">
        <v>4176</v>
      </c>
      <c r="I3277" s="1" t="n">
        <v>7501</v>
      </c>
      <c r="J3277" s="9" t="n">
        <v>0.5570000000000001</v>
      </c>
      <c r="K3277" s="1" t="inlineStr">
        <is>
          <t>Yes</t>
        </is>
      </c>
      <c r="L3277" s="1" t="inlineStr">
        <is>
          <t>No</t>
        </is>
      </c>
      <c r="M3277" s="1" t="inlineStr">
        <is>
          <t>No</t>
        </is>
      </c>
      <c r="N3277" s="1" t="inlineStr">
        <is>
          <t>JavaScript</t>
        </is>
      </c>
      <c r="O32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78" ht="15.75" customHeight="1" s="12">
      <c r="A3278" s="1" t="n">
        <v>3345</v>
      </c>
      <c r="B3278" s="3">
        <f>HYPERLINK("https://leetcode.com/problems/smallest-divisible-digit-product-i/", "Smallest Divisible Digit Product I")</f>
        <v/>
      </c>
      <c r="C3278" s="1" t="n">
        <v>72</v>
      </c>
      <c r="D3278" s="1" t="n">
        <v>12</v>
      </c>
      <c r="E3278" s="4">
        <f>IF(INDEX(C:C, ROW())+INDEX(D:D, ROW())=0, 0, INDEX(C:C, ROW())/(INDEX(C:C, ROW())+INDEX(D:D, ROW())))</f>
        <v/>
      </c>
      <c r="F3278" s="1" t="inlineStr">
        <is>
          <t>Math, Enumeration</t>
        </is>
      </c>
      <c r="G3278" s="1" t="inlineStr">
        <is>
          <t>Easy</t>
        </is>
      </c>
      <c r="H3278" s="1" t="n">
        <v>37602</v>
      </c>
      <c r="I3278" s="1" t="n">
        <v>58417</v>
      </c>
      <c r="J3278" s="9" t="n">
        <v>0.644</v>
      </c>
      <c r="K3278" s="1" t="inlineStr">
        <is>
          <t>Yes</t>
        </is>
      </c>
      <c r="L3278" s="1" t="inlineStr">
        <is>
          <t>No</t>
        </is>
      </c>
      <c r="M3278" s="1" t="inlineStr">
        <is>
          <t>No</t>
        </is>
      </c>
      <c r="N3278" s="1" t="inlineStr">
        <is>
          <t>Algorithms</t>
        </is>
      </c>
      <c r="O32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79" ht="15.75" customHeight="1" s="12">
      <c r="A3279" s="1" t="n">
        <v>3679</v>
      </c>
      <c r="B3279" s="3">
        <f>HYPERLINK("https://leetcode.com/problems/minimum-discards-to-balance-inventory/", " Minimum Discards to Balance Inventory")</f>
        <v/>
      </c>
      <c r="C3279" s="1" t="n">
        <v>72</v>
      </c>
      <c r="D3279" s="1" t="n">
        <v>16</v>
      </c>
      <c r="E3279" s="4">
        <f>IF(INDEX(C:C, ROW())+INDEX(D:D, ROW())=0, 0, INDEX(C:C, ROW())/(INDEX(C:C, ROW())+INDEX(D:D, ROW())))</f>
        <v/>
      </c>
      <c r="F3279" s="1" t="inlineStr">
        <is>
          <t>Array, Hash Table, Sliding Window, Simulation, Counting</t>
        </is>
      </c>
      <c r="G3279" s="1" t="inlineStr">
        <is>
          <t>Medium</t>
        </is>
      </c>
      <c r="H3279" s="1" t="n">
        <v>18838</v>
      </c>
      <c r="I3279" s="1" t="n">
        <v>54457</v>
      </c>
      <c r="J3279" s="9" t="n">
        <v>0.346</v>
      </c>
      <c r="K3279" s="1" t="inlineStr">
        <is>
          <t>Yes</t>
        </is>
      </c>
      <c r="L3279" s="1" t="inlineStr">
        <is>
          <t>No</t>
        </is>
      </c>
      <c r="M3279" s="1" t="inlineStr">
        <is>
          <t>No</t>
        </is>
      </c>
      <c r="N3279" s="1" t="inlineStr">
        <is>
          <t>Algorithms</t>
        </is>
      </c>
      <c r="O32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80" ht="15.75" customHeight="1" s="12">
      <c r="A3280" s="1" t="n">
        <v>3693</v>
      </c>
      <c r="B3280" s="3">
        <f>HYPERLINK("https://leetcode.com/problems/climbing-stairs-ii/", "Climbing Stairs II")</f>
        <v/>
      </c>
      <c r="C3280" s="1" t="n">
        <v>72</v>
      </c>
      <c r="D3280" s="1" t="n">
        <v>9</v>
      </c>
      <c r="E3280" s="4">
        <f>IF(INDEX(C:C, ROW())+INDEX(D:D, ROW())=0, 0, INDEX(C:C, ROW())/(INDEX(C:C, ROW())+INDEX(D:D, ROW())))</f>
        <v/>
      </c>
      <c r="F3280" s="1" t="inlineStr">
        <is>
          <t>Array, Dynamic Programming</t>
        </is>
      </c>
      <c r="G3280" s="1" t="inlineStr">
        <is>
          <t>Medium</t>
        </is>
      </c>
      <c r="H3280" s="1" t="n">
        <v>25587</v>
      </c>
      <c r="I3280" s="1" t="n">
        <v>40071</v>
      </c>
      <c r="J3280" s="9" t="n">
        <v>0.639</v>
      </c>
      <c r="K3280" s="1" t="inlineStr">
        <is>
          <t>Yes</t>
        </is>
      </c>
      <c r="L3280" s="1" t="inlineStr">
        <is>
          <t>No</t>
        </is>
      </c>
      <c r="M3280" s="1" t="inlineStr">
        <is>
          <t>No</t>
        </is>
      </c>
      <c r="N3280" s="1" t="inlineStr">
        <is>
          <t>Algorithms</t>
        </is>
      </c>
      <c r="O32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81" ht="15.75" customHeight="1" s="12">
      <c r="A3281" s="1" t="n">
        <v>3710</v>
      </c>
      <c r="B3281" s="3">
        <f>HYPERLINK("https://leetcode.com/problems/maximum-partition-factor/", "Maximum Partition Factor")</f>
        <v/>
      </c>
      <c r="C3281" s="1" t="n">
        <v>72</v>
      </c>
      <c r="D3281" s="1" t="n">
        <v>7</v>
      </c>
      <c r="E3281" s="4">
        <f>IF(INDEX(C:C, ROW())+INDEX(D:D, ROW())=0, 0, INDEX(C:C, ROW())/(INDEX(C:C, ROW())+INDEX(D:D, ROW())))</f>
        <v/>
      </c>
      <c r="F3281" s="1" t="inlineStr">
        <is>
          <t>Array, Binary Search, Depth-First Search, Breadth-First Search, Union-Find, Graph Theory</t>
        </is>
      </c>
      <c r="G3281" s="1" t="inlineStr">
        <is>
          <t>Hard</t>
        </is>
      </c>
      <c r="H3281" s="1" t="n">
        <v>6212</v>
      </c>
      <c r="I3281" s="1" t="n">
        <v>20352</v>
      </c>
      <c r="J3281" s="9" t="n">
        <v>0.305</v>
      </c>
      <c r="K3281" s="1" t="inlineStr">
        <is>
          <t>Yes</t>
        </is>
      </c>
      <c r="L3281" s="1" t="inlineStr">
        <is>
          <t>No</t>
        </is>
      </c>
      <c r="M3281" s="1" t="inlineStr">
        <is>
          <t>No</t>
        </is>
      </c>
      <c r="N3281" s="1" t="inlineStr">
        <is>
          <t>Algorithms</t>
        </is>
      </c>
      <c r="O32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82" ht="15.75" customHeight="1" s="12">
      <c r="A3282" s="1" t="n">
        <v>3713</v>
      </c>
      <c r="B3282" s="3">
        <f>HYPERLINK("https://leetcode.com/problems/longest-balanced-substring-i/", "Longest Balanced Substring I")</f>
        <v/>
      </c>
      <c r="C3282" s="1" t="n">
        <v>72</v>
      </c>
      <c r="D3282" s="1" t="n">
        <v>6</v>
      </c>
      <c r="E3282" s="4">
        <f>IF(INDEX(C:C, ROW())+INDEX(D:D, ROW())=0, 0, INDEX(C:C, ROW())/(INDEX(C:C, ROW())+INDEX(D:D, ROW())))</f>
        <v/>
      </c>
      <c r="F3282" s="1" t="inlineStr">
        <is>
          <t>Hash Table, String, Counting, Enumeration</t>
        </is>
      </c>
      <c r="G3282" s="1" t="inlineStr">
        <is>
          <t>Medium</t>
        </is>
      </c>
      <c r="H3282" s="1" t="n">
        <v>30579</v>
      </c>
      <c r="I3282" s="1" t="n">
        <v>58175</v>
      </c>
      <c r="J3282" s="9" t="n">
        <v>0.526</v>
      </c>
      <c r="K3282" s="1" t="inlineStr">
        <is>
          <t>Yes</t>
        </is>
      </c>
      <c r="L3282" s="1" t="inlineStr">
        <is>
          <t>No</t>
        </is>
      </c>
      <c r="M3282" s="1" t="inlineStr">
        <is>
          <t>No</t>
        </is>
      </c>
      <c r="N3282" s="1" t="inlineStr">
        <is>
          <t>Algorithms</t>
        </is>
      </c>
      <c r="O32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83" ht="15.75" customHeight="1" s="12">
      <c r="A3283" s="1" t="n">
        <v>2072</v>
      </c>
      <c r="B3283" s="3">
        <f>HYPERLINK("https://leetcode.com/problems/the-winner-university/", "The Winner University")</f>
        <v/>
      </c>
      <c r="C3283" s="1" t="n">
        <v>71</v>
      </c>
      <c r="D3283" s="1" t="n">
        <v>3</v>
      </c>
      <c r="E3283" s="4">
        <f>IF(INDEX(C:C, ROW())+INDEX(D:D, ROW())=0, 0, INDEX(C:C, ROW())/(INDEX(C:C, ROW())+INDEX(D:D, ROW())))</f>
        <v/>
      </c>
      <c r="F3283" s="1" t="inlineStr">
        <is>
          <t>Database</t>
        </is>
      </c>
      <c r="G3283" s="1" t="inlineStr">
        <is>
          <t>Easy</t>
        </is>
      </c>
      <c r="H3283" s="1" t="n">
        <v>14482</v>
      </c>
      <c r="I3283" s="1" t="n">
        <v>19206</v>
      </c>
      <c r="J3283" s="9" t="n">
        <v>0.754</v>
      </c>
      <c r="K3283" s="1" t="inlineStr">
        <is>
          <t>No</t>
        </is>
      </c>
      <c r="L3283" s="1" t="inlineStr">
        <is>
          <t>Yes</t>
        </is>
      </c>
      <c r="M3283" s="1" t="inlineStr">
        <is>
          <t>No</t>
        </is>
      </c>
      <c r="N3283" s="1" t="inlineStr">
        <is>
          <t>Database</t>
        </is>
      </c>
      <c r="O32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84" ht="15.75" customHeight="1" s="12">
      <c r="A3284" s="1" t="n">
        <v>2112</v>
      </c>
      <c r="B3284" s="3">
        <f>HYPERLINK("https://leetcode.com/problems/the-airport-with-the-most-traffic/", "The Airport With the Most Traffic")</f>
        <v/>
      </c>
      <c r="C3284" s="1" t="n">
        <v>71</v>
      </c>
      <c r="D3284" s="1" t="n">
        <v>8</v>
      </c>
      <c r="E3284" s="4">
        <f>IF(INDEX(C:C, ROW())+INDEX(D:D, ROW())=0, 0, INDEX(C:C, ROW())/(INDEX(C:C, ROW())+INDEX(D:D, ROW())))</f>
        <v/>
      </c>
      <c r="F3284" s="1" t="inlineStr">
        <is>
          <t>Database</t>
        </is>
      </c>
      <c r="G3284" s="1" t="inlineStr">
        <is>
          <t>Medium</t>
        </is>
      </c>
      <c r="H3284" s="1" t="n">
        <v>11618</v>
      </c>
      <c r="I3284" s="1" t="n">
        <v>16264</v>
      </c>
      <c r="J3284" s="9" t="n">
        <v>0.714</v>
      </c>
      <c r="K3284" s="1" t="inlineStr">
        <is>
          <t>No</t>
        </is>
      </c>
      <c r="L3284" s="1" t="inlineStr">
        <is>
          <t>No</t>
        </is>
      </c>
      <c r="M3284" s="1" t="inlineStr">
        <is>
          <t>No</t>
        </is>
      </c>
      <c r="N3284" s="1" t="inlineStr">
        <is>
          <t>Database</t>
        </is>
      </c>
      <c r="O32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85" ht="15.75" customHeight="1" s="12">
      <c r="A3285" s="1" t="n">
        <v>3130</v>
      </c>
      <c r="B3285" s="3">
        <f>HYPERLINK("https://leetcode.com/problems/find-all-possible-stable-binary-arrays-ii/", "Find All Possible Stable Binary Arrays II")</f>
        <v/>
      </c>
      <c r="C3285" s="1" t="n">
        <v>71</v>
      </c>
      <c r="D3285" s="1" t="n">
        <v>13</v>
      </c>
      <c r="E3285" s="4">
        <f>IF(INDEX(C:C, ROW())+INDEX(D:D, ROW())=0, 0, INDEX(C:C, ROW())/(INDEX(C:C, ROW())+INDEX(D:D, ROW())))</f>
        <v/>
      </c>
      <c r="F3285" s="1" t="inlineStr">
        <is>
          <t>Dynamic Programming, Prefix Sum</t>
        </is>
      </c>
      <c r="G3285" s="1" t="inlineStr">
        <is>
          <t>Hard</t>
        </is>
      </c>
      <c r="H3285" s="1" t="n">
        <v>4197</v>
      </c>
      <c r="I3285" s="1" t="n">
        <v>15587</v>
      </c>
      <c r="J3285" s="9" t="n">
        <v>0.269</v>
      </c>
      <c r="K3285" s="1" t="inlineStr">
        <is>
          <t>Yes</t>
        </is>
      </c>
      <c r="L3285" s="1" t="inlineStr">
        <is>
          <t>No</t>
        </is>
      </c>
      <c r="M3285" s="1" t="inlineStr">
        <is>
          <t>No</t>
        </is>
      </c>
      <c r="N3285" s="1" t="inlineStr">
        <is>
          <t>Algorithms</t>
        </is>
      </c>
      <c r="O32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86" ht="15.75" customHeight="1" s="12">
      <c r="A3286" s="1" t="n">
        <v>3518</v>
      </c>
      <c r="B3286" s="3">
        <f>HYPERLINK("https://leetcode.com/problems/smallest-palindromic-rearrangement-ii/", "Smallest Palindromic Rearrangement II")</f>
        <v/>
      </c>
      <c r="C3286" s="1" t="n">
        <v>71</v>
      </c>
      <c r="D3286" s="1" t="n">
        <v>7</v>
      </c>
      <c r="E3286" s="4">
        <f>IF(INDEX(C:C, ROW())+INDEX(D:D, ROW())=0, 0, INDEX(C:C, ROW())/(INDEX(C:C, ROW())+INDEX(D:D, ROW())))</f>
        <v/>
      </c>
      <c r="F3286" s="1" t="inlineStr">
        <is>
          <t>Hash Table, Math, String, Combinatorics, Counting</t>
        </is>
      </c>
      <c r="G3286" s="1" t="inlineStr">
        <is>
          <t>Hard</t>
        </is>
      </c>
      <c r="H3286" s="1" t="n">
        <v>5847</v>
      </c>
      <c r="I3286" s="1" t="n">
        <v>41578</v>
      </c>
      <c r="J3286" s="9" t="n">
        <v>0.141</v>
      </c>
      <c r="K3286" s="1" t="inlineStr">
        <is>
          <t>Yes</t>
        </is>
      </c>
      <c r="L3286" s="1" t="inlineStr">
        <is>
          <t>No</t>
        </is>
      </c>
      <c r="M3286" s="1" t="inlineStr">
        <is>
          <t>No</t>
        </is>
      </c>
      <c r="N3286" s="1" t="inlineStr">
        <is>
          <t>Algorithms</t>
        </is>
      </c>
      <c r="O32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87" ht="15.75" customHeight="1" s="12">
      <c r="A3287" s="1" t="n">
        <v>3732</v>
      </c>
      <c r="B3287" s="3">
        <f>HYPERLINK("https://leetcode.com/problems/maximum-product-of-three-elements-after-one-replacement/", "Maximum Product of Three Elements After One Replacement")</f>
        <v/>
      </c>
      <c r="C3287" s="1" t="n">
        <v>71</v>
      </c>
      <c r="D3287" s="1" t="n">
        <v>7</v>
      </c>
      <c r="E3287" s="4">
        <f>IF(INDEX(C:C, ROW())+INDEX(D:D, ROW())=0, 0, INDEX(C:C, ROW())/(INDEX(C:C, ROW())+INDEX(D:D, ROW())))</f>
        <v/>
      </c>
      <c r="F3287" s="1" t="inlineStr">
        <is>
          <t>Array, Math, Greedy, Sorting</t>
        </is>
      </c>
      <c r="G3287" s="1" t="inlineStr">
        <is>
          <t>Medium</t>
        </is>
      </c>
      <c r="H3287" s="1" t="n">
        <v>29796</v>
      </c>
      <c r="I3287" s="1" t="n">
        <v>63665</v>
      </c>
      <c r="J3287" s="9" t="n">
        <v>0.468</v>
      </c>
      <c r="K3287" s="1" t="inlineStr">
        <is>
          <t>Yes</t>
        </is>
      </c>
      <c r="L3287" s="1" t="inlineStr">
        <is>
          <t>No</t>
        </is>
      </c>
      <c r="M3287" s="1" t="inlineStr">
        <is>
          <t>No</t>
        </is>
      </c>
      <c r="N3287" s="1" t="inlineStr">
        <is>
          <t>Algorithms</t>
        </is>
      </c>
      <c r="O32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88" ht="15.75" customHeight="1" s="12">
      <c r="A3288" s="1" t="n">
        <v>1826</v>
      </c>
      <c r="B3288" s="3">
        <f>HYPERLINK("https://leetcode.com/problems/faulty-sensor/", "Faulty Sensor")</f>
        <v/>
      </c>
      <c r="C3288" s="1" t="n">
        <v>70</v>
      </c>
      <c r="D3288" s="1" t="n">
        <v>85</v>
      </c>
      <c r="E3288" s="4">
        <f>IF(INDEX(C:C, ROW())+INDEX(D:D, ROW())=0, 0, INDEX(C:C, ROW())/(INDEX(C:C, ROW())+INDEX(D:D, ROW())))</f>
        <v/>
      </c>
      <c r="F3288" s="1" t="inlineStr">
        <is>
          <t>Array, Two Pointers</t>
        </is>
      </c>
      <c r="G3288" s="1" t="inlineStr">
        <is>
          <t>Easy</t>
        </is>
      </c>
      <c r="H3288" s="1" t="n">
        <v>6916</v>
      </c>
      <c r="I3288" s="1" t="n">
        <v>13713</v>
      </c>
      <c r="J3288" s="9" t="n">
        <v>0.504</v>
      </c>
      <c r="K3288" s="1" t="inlineStr">
        <is>
          <t>No</t>
        </is>
      </c>
      <c r="L3288" s="1" t="inlineStr">
        <is>
          <t>No</t>
        </is>
      </c>
      <c r="M3288" s="1" t="inlineStr">
        <is>
          <t>No</t>
        </is>
      </c>
      <c r="N3288" s="1" t="inlineStr">
        <is>
          <t>Algorithms</t>
        </is>
      </c>
      <c r="O32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89" ht="15.75" customHeight="1" s="12">
      <c r="A3289" s="1" t="n">
        <v>3603</v>
      </c>
      <c r="B3289" s="3">
        <f>HYPERLINK("https://leetcode.com/problems/minimum-cost-path-with-alternating-directions-ii/", "Minimum Cost Path with Alternating Directions II")</f>
        <v/>
      </c>
      <c r="C3289" s="1" t="n">
        <v>70</v>
      </c>
      <c r="D3289" s="1" t="n">
        <v>10</v>
      </c>
      <c r="E3289" s="4">
        <f>IF(INDEX(C:C, ROW())+INDEX(D:D, ROW())=0, 0, INDEX(C:C, ROW())/(INDEX(C:C, ROW())+INDEX(D:D, ROW())))</f>
        <v/>
      </c>
      <c r="F3289" s="1" t="inlineStr">
        <is>
          <t>Array, Dynamic Programming, Matrix</t>
        </is>
      </c>
      <c r="G3289" s="1" t="inlineStr">
        <is>
          <t>Medium</t>
        </is>
      </c>
      <c r="H3289" s="1" t="n">
        <v>18580</v>
      </c>
      <c r="I3289" s="1" t="n">
        <v>41797</v>
      </c>
      <c r="J3289" s="9" t="n">
        <v>0.445</v>
      </c>
      <c r="K3289" s="1" t="inlineStr">
        <is>
          <t>Yes</t>
        </is>
      </c>
      <c r="L3289" s="1" t="inlineStr">
        <is>
          <t>No</t>
        </is>
      </c>
      <c r="M3289" s="1" t="inlineStr">
        <is>
          <t>No</t>
        </is>
      </c>
      <c r="N3289" s="1" t="inlineStr">
        <is>
          <t>Algorithms</t>
        </is>
      </c>
      <c r="O32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90" ht="15.75" customHeight="1" s="12">
      <c r="A3290" s="1" t="n">
        <v>3638</v>
      </c>
      <c r="B3290" s="3">
        <f>HYPERLINK("https://leetcode.com/problems/maximum-balanced-shipments/", "Maximum Balanced Shipments")</f>
        <v/>
      </c>
      <c r="C3290" s="1" t="n">
        <v>70</v>
      </c>
      <c r="D3290" s="1" t="n">
        <v>8</v>
      </c>
      <c r="E3290" s="4">
        <f>IF(INDEX(C:C, ROW())+INDEX(D:D, ROW())=0, 0, INDEX(C:C, ROW())/(INDEX(C:C, ROW())+INDEX(D:D, ROW())))</f>
        <v/>
      </c>
      <c r="F3290" s="1" t="inlineStr">
        <is>
          <t>Array, Dynamic Programming, Stack, Greedy, Monotonic Stack</t>
        </is>
      </c>
      <c r="G3290" s="1" t="inlineStr">
        <is>
          <t>Medium</t>
        </is>
      </c>
      <c r="H3290" s="1" t="n">
        <v>47781</v>
      </c>
      <c r="I3290" s="1" t="n">
        <v>78953</v>
      </c>
      <c r="J3290" s="9" t="n">
        <v>0.605</v>
      </c>
      <c r="K3290" s="1" t="inlineStr">
        <is>
          <t>Yes</t>
        </is>
      </c>
      <c r="L3290" s="1" t="inlineStr">
        <is>
          <t>No</t>
        </is>
      </c>
      <c r="M3290" s="1" t="inlineStr">
        <is>
          <t>No</t>
        </is>
      </c>
      <c r="N3290" s="1" t="inlineStr">
        <is>
          <t>Algorithms</t>
        </is>
      </c>
      <c r="O32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91" ht="15.75" customHeight="1" s="12">
      <c r="A3291" s="1" t="n">
        <v>3675</v>
      </c>
      <c r="B3291" s="3">
        <f>HYPERLINK("https://leetcode.com/problems/minimum-operations-to-transform-string/", "Minimum Operations to Transform String")</f>
        <v/>
      </c>
      <c r="C3291" s="1" t="n">
        <v>70</v>
      </c>
      <c r="D3291" s="1" t="n">
        <v>7</v>
      </c>
      <c r="E3291" s="4">
        <f>IF(INDEX(C:C, ROW())+INDEX(D:D, ROW())=0, 0, INDEX(C:C, ROW())/(INDEX(C:C, ROW())+INDEX(D:D, ROW())))</f>
        <v/>
      </c>
      <c r="F3291" s="1" t="inlineStr">
        <is>
          <t>String, Greedy</t>
        </is>
      </c>
      <c r="G3291" s="1" t="inlineStr">
        <is>
          <t>Medium</t>
        </is>
      </c>
      <c r="H3291" s="1" t="n">
        <v>46653</v>
      </c>
      <c r="I3291" s="1" t="n">
        <v>76067</v>
      </c>
      <c r="J3291" s="9" t="n">
        <v>0.613</v>
      </c>
      <c r="K3291" s="1" t="inlineStr">
        <is>
          <t>Yes</t>
        </is>
      </c>
      <c r="L3291" s="1" t="inlineStr">
        <is>
          <t>No</t>
        </is>
      </c>
      <c r="M3291" s="1" t="inlineStr">
        <is>
          <t>No</t>
        </is>
      </c>
      <c r="N3291" s="1" t="inlineStr">
        <is>
          <t>Algorithms</t>
        </is>
      </c>
      <c r="O32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92" ht="15.75" customHeight="1" s="12">
      <c r="A3292" s="1" t="n">
        <v>1666</v>
      </c>
      <c r="B3292" s="3">
        <f>HYPERLINK("https://leetcode.com/problems/change-the-root-of-a-binary-tree/", "Change the Root of a Binary Tree")</f>
        <v/>
      </c>
      <c r="C3292" s="1" t="n">
        <v>69</v>
      </c>
      <c r="D3292" s="1" t="n">
        <v>198</v>
      </c>
      <c r="E3292" s="4">
        <f>IF(INDEX(C:C, ROW())+INDEX(D:D, ROW())=0, 0, INDEX(C:C, ROW())/(INDEX(C:C, ROW())+INDEX(D:D, ROW())))</f>
        <v/>
      </c>
      <c r="F3292" s="1" t="inlineStr">
        <is>
          <t>Tree, Depth-First Search, Binary Tree</t>
        </is>
      </c>
      <c r="G3292" s="1" t="inlineStr">
        <is>
          <t>Medium</t>
        </is>
      </c>
      <c r="H3292" s="1" t="n">
        <v>5823</v>
      </c>
      <c r="I3292" s="1" t="n">
        <v>7765</v>
      </c>
      <c r="J3292" s="9" t="n">
        <v>0.75</v>
      </c>
      <c r="K3292" s="1" t="inlineStr">
        <is>
          <t>No</t>
        </is>
      </c>
      <c r="L3292" s="1" t="inlineStr">
        <is>
          <t>No</t>
        </is>
      </c>
      <c r="M3292" s="1" t="inlineStr">
        <is>
          <t>No</t>
        </is>
      </c>
      <c r="N3292" s="1" t="inlineStr">
        <is>
          <t>Algorithms</t>
        </is>
      </c>
      <c r="O32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93" ht="15.75" customHeight="1" s="12">
      <c r="A3293" s="1" t="n">
        <v>1853</v>
      </c>
      <c r="B3293" s="3">
        <f>HYPERLINK("https://leetcode.com/problems/convert-date-format/", "Convert Date Format")</f>
        <v/>
      </c>
      <c r="C3293" s="1" t="n">
        <v>69</v>
      </c>
      <c r="D3293" s="1" t="n">
        <v>42</v>
      </c>
      <c r="E3293" s="4">
        <f>IF(INDEX(C:C, ROW())+INDEX(D:D, ROW())=0, 0, INDEX(C:C, ROW())/(INDEX(C:C, ROW())+INDEX(D:D, ROW())))</f>
        <v/>
      </c>
      <c r="F3293" s="1" t="inlineStr">
        <is>
          <t>Database</t>
        </is>
      </c>
      <c r="G3293" s="1" t="inlineStr">
        <is>
          <t>Easy</t>
        </is>
      </c>
      <c r="H3293" s="1" t="n">
        <v>15717</v>
      </c>
      <c r="I3293" s="1" t="n">
        <v>18492</v>
      </c>
      <c r="J3293" s="9" t="n">
        <v>0.85</v>
      </c>
      <c r="K3293" s="1" t="inlineStr">
        <is>
          <t>No</t>
        </is>
      </c>
      <c r="L3293" s="1" t="inlineStr">
        <is>
          <t>No</t>
        </is>
      </c>
      <c r="M3293" s="1" t="inlineStr">
        <is>
          <t>No</t>
        </is>
      </c>
      <c r="N3293" s="1" t="inlineStr">
        <is>
          <t>Database</t>
        </is>
      </c>
      <c r="O32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94" ht="15.75" customHeight="1" s="12">
      <c r="A3294" s="1" t="n">
        <v>3572</v>
      </c>
      <c r="B3294" s="3">
        <f>HYPERLINK("https://leetcode.com/problems/maximize-ysum-by-picking-a-triplet-of-distinct-xvalues/", "Maximize Y‑Sum by Picking a Triplet of Distinct X‑Values")</f>
        <v/>
      </c>
      <c r="C3294" s="1" t="n">
        <v>69</v>
      </c>
      <c r="D3294" s="1" t="n">
        <v>2</v>
      </c>
      <c r="E3294" s="4">
        <f>IF(INDEX(C:C, ROW())+INDEX(D:D, ROW())=0, 0, INDEX(C:C, ROW())/(INDEX(C:C, ROW())+INDEX(D:D, ROW())))</f>
        <v/>
      </c>
      <c r="F3294" s="1" t="inlineStr">
        <is>
          <t>Array, Hash Table, Greedy, Sorting, Heap (Priority Queue)</t>
        </is>
      </c>
      <c r="G3294" s="1" t="inlineStr">
        <is>
          <t>Medium</t>
        </is>
      </c>
      <c r="H3294" s="1" t="n">
        <v>30091</v>
      </c>
      <c r="I3294" s="1" t="n">
        <v>47706</v>
      </c>
      <c r="J3294" s="9" t="n">
        <v>0.631</v>
      </c>
      <c r="K3294" s="1" t="inlineStr">
        <is>
          <t>Yes</t>
        </is>
      </c>
      <c r="L3294" s="1" t="inlineStr">
        <is>
          <t>No</t>
        </is>
      </c>
      <c r="M3294" s="1" t="inlineStr">
        <is>
          <t>No</t>
        </is>
      </c>
      <c r="N3294" s="1" t="inlineStr">
        <is>
          <t>Algorithms</t>
        </is>
      </c>
      <c r="O32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95" ht="15.75" customHeight="1" s="12">
      <c r="A3295" s="1" t="n">
        <v>3585</v>
      </c>
      <c r="B3295" s="3">
        <f>HYPERLINK("https://leetcode.com/problems/find-weighted-median-node-in-tree/", "Find Weighted Median Node in Tree")</f>
        <v/>
      </c>
      <c r="C3295" s="1" t="n">
        <v>69</v>
      </c>
      <c r="D3295" s="1" t="n">
        <v>5</v>
      </c>
      <c r="E3295" s="4">
        <f>IF(INDEX(C:C, ROW())+INDEX(D:D, ROW())=0, 0, INDEX(C:C, ROW())/(INDEX(C:C, ROW())+INDEX(D:D, ROW())))</f>
        <v/>
      </c>
      <c r="F3295" s="1" t="inlineStr">
        <is>
          <t>Array, Binary Search, Dynamic Programming, Tree, Depth-First Search</t>
        </is>
      </c>
      <c r="G3295" s="1" t="inlineStr">
        <is>
          <t>Hard</t>
        </is>
      </c>
      <c r="H3295" s="1" t="n">
        <v>4300</v>
      </c>
      <c r="I3295" s="1" t="n">
        <v>16630</v>
      </c>
      <c r="J3295" s="9" t="n">
        <v>0.259</v>
      </c>
      <c r="K3295" s="1" t="inlineStr">
        <is>
          <t>Yes</t>
        </is>
      </c>
      <c r="L3295" s="1" t="inlineStr">
        <is>
          <t>No</t>
        </is>
      </c>
      <c r="M3295" s="1" t="inlineStr">
        <is>
          <t>No</t>
        </is>
      </c>
      <c r="N3295" s="1" t="inlineStr">
        <is>
          <t>Algorithms</t>
        </is>
      </c>
      <c r="O32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96" ht="15.75" customHeight="1" s="12">
      <c r="A3296" s="1" t="n">
        <v>3719</v>
      </c>
      <c r="B3296" s="3">
        <f>HYPERLINK("https://leetcode.com/problems/longest-balanced-subarray-i/", "Longest Balanced Subarray I")</f>
        <v/>
      </c>
      <c r="C3296" s="1" t="n">
        <v>69</v>
      </c>
      <c r="D3296" s="1" t="n">
        <v>2</v>
      </c>
      <c r="E3296" s="4">
        <f>IF(INDEX(C:C, ROW())+INDEX(D:D, ROW())=0, 0, INDEX(C:C, ROW())/(INDEX(C:C, ROW())+INDEX(D:D, ROW())))</f>
        <v/>
      </c>
      <c r="F3296" s="1" t="inlineStr">
        <is>
          <t>Array, Hash Table, Divide and Conquer, Segment Tree, Prefix Sum</t>
        </is>
      </c>
      <c r="G3296" s="1" t="inlineStr">
        <is>
          <t>Medium</t>
        </is>
      </c>
      <c r="H3296" s="1" t="n">
        <v>28860</v>
      </c>
      <c r="I3296" s="1" t="n">
        <v>55181</v>
      </c>
      <c r="J3296" s="9" t="n">
        <v>0.523</v>
      </c>
      <c r="K3296" s="1" t="inlineStr">
        <is>
          <t>Yes</t>
        </is>
      </c>
      <c r="L3296" s="1" t="inlineStr">
        <is>
          <t>No</t>
        </is>
      </c>
      <c r="M3296" s="1" t="inlineStr">
        <is>
          <t>No</t>
        </is>
      </c>
      <c r="N3296" s="1" t="inlineStr">
        <is>
          <t>Algorithms</t>
        </is>
      </c>
      <c r="O32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97" ht="15.75" customHeight="1" s="12">
      <c r="A3297" s="1" t="n">
        <v>3781</v>
      </c>
      <c r="B3297" s="3">
        <f>HYPERLINK("https://leetcode.com/problems/maximum-score-after-binary-swaps/", "Maximum Score After Binary Swaps")</f>
        <v/>
      </c>
      <c r="C3297" s="1" t="n">
        <v>69</v>
      </c>
      <c r="D3297" s="1" t="n">
        <v>2</v>
      </c>
      <c r="E3297" s="4">
        <f>IF(INDEX(C:C, ROW())+INDEX(D:D, ROW())=0, 0, INDEX(C:C, ROW())/(INDEX(C:C, ROW())+INDEX(D:D, ROW())))</f>
        <v/>
      </c>
      <c r="F3297" s="1" t="inlineStr">
        <is>
          <t>Array, String, Greedy, Heap (Priority Queue)</t>
        </is>
      </c>
      <c r="G3297" s="1" t="inlineStr">
        <is>
          <t>Medium</t>
        </is>
      </c>
      <c r="H3297" s="1" t="n">
        <v>13210</v>
      </c>
      <c r="I3297" s="1" t="n">
        <v>38094</v>
      </c>
      <c r="J3297" s="9" t="n">
        <v>0.347</v>
      </c>
      <c r="K3297" s="1" t="inlineStr">
        <is>
          <t>Yes</t>
        </is>
      </c>
      <c r="L3297" s="1" t="inlineStr">
        <is>
          <t>No</t>
        </is>
      </c>
      <c r="M3297" s="1" t="inlineStr">
        <is>
          <t>No</t>
        </is>
      </c>
      <c r="N3297" s="1" t="inlineStr">
        <is>
          <t>Algorithms</t>
        </is>
      </c>
      <c r="O32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98" ht="15.75" customHeight="1" s="12">
      <c r="A3298" s="1" t="n">
        <v>1917</v>
      </c>
      <c r="B3298" s="3">
        <f>HYPERLINK("https://leetcode.com/problems/leetcodify-friends-recommendations/", "Leetcodify Friends Recommendations")</f>
        <v/>
      </c>
      <c r="C3298" s="1" t="n">
        <v>68</v>
      </c>
      <c r="D3298" s="1" t="n">
        <v>61</v>
      </c>
      <c r="E3298" s="4">
        <f>IF(INDEX(C:C, ROW())+INDEX(D:D, ROW())=0, 0, INDEX(C:C, ROW())/(INDEX(C:C, ROW())+INDEX(D:D, ROW())))</f>
        <v/>
      </c>
      <c r="F3298" s="1" t="inlineStr">
        <is>
          <t>Database</t>
        </is>
      </c>
      <c r="G3298" s="1" t="inlineStr">
        <is>
          <t>Hard</t>
        </is>
      </c>
      <c r="H3298" s="1" t="n">
        <v>8702</v>
      </c>
      <c r="I3298" s="1" t="n">
        <v>30557</v>
      </c>
      <c r="J3298" s="9" t="n">
        <v>0.285</v>
      </c>
      <c r="K3298" s="1" t="inlineStr">
        <is>
          <t>No</t>
        </is>
      </c>
      <c r="L3298" s="1" t="inlineStr">
        <is>
          <t>No</t>
        </is>
      </c>
      <c r="M3298" s="1" t="inlineStr">
        <is>
          <t>No</t>
        </is>
      </c>
      <c r="N3298" s="1" t="inlineStr">
        <is>
          <t>Database</t>
        </is>
      </c>
      <c r="O32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299" ht="15.75" customHeight="1" s="12">
      <c r="A3299" s="1" t="n">
        <v>2307</v>
      </c>
      <c r="B3299" s="3">
        <f>HYPERLINK("https://leetcode.com/problems/check-for-contradictions-in-equations/", "Check for Contradictions in Equations")</f>
        <v/>
      </c>
      <c r="C3299" s="1" t="n">
        <v>68</v>
      </c>
      <c r="D3299" s="1" t="n">
        <v>27</v>
      </c>
      <c r="E3299" s="4">
        <f>IF(INDEX(C:C, ROW())+INDEX(D:D, ROW())=0, 0, INDEX(C:C, ROW())/(INDEX(C:C, ROW())+INDEX(D:D, ROW())))</f>
        <v/>
      </c>
      <c r="F3299" s="1" t="inlineStr">
        <is>
          <t>Array, Depth-First Search, Union-Find, Graph Theory</t>
        </is>
      </c>
      <c r="G3299" s="1" t="inlineStr">
        <is>
          <t>Hard</t>
        </is>
      </c>
      <c r="H3299" s="1" t="n">
        <v>5146</v>
      </c>
      <c r="I3299" s="1" t="n">
        <v>11773</v>
      </c>
      <c r="J3299" s="9" t="n">
        <v>0.437</v>
      </c>
      <c r="K3299" s="1" t="inlineStr">
        <is>
          <t>No</t>
        </is>
      </c>
      <c r="L3299" s="1" t="inlineStr">
        <is>
          <t>No</t>
        </is>
      </c>
      <c r="M3299" s="1" t="inlineStr">
        <is>
          <t>No</t>
        </is>
      </c>
      <c r="N3299" s="1" t="inlineStr">
        <is>
          <t>Algorithms</t>
        </is>
      </c>
      <c r="O32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00" ht="15.75" customHeight="1" s="12">
      <c r="A3300" s="1" t="n">
        <v>2323</v>
      </c>
      <c r="B3300" s="3">
        <f>HYPERLINK("https://leetcode.com/problems/find-minimum-time-to-finish-all-jobs-ii/", "Find Minimum Time to Finish All Jobs II")</f>
        <v/>
      </c>
      <c r="C3300" s="1" t="n">
        <v>68</v>
      </c>
      <c r="D3300" s="1" t="n">
        <v>19</v>
      </c>
      <c r="E3300" s="4">
        <f>IF(INDEX(C:C, ROW())+INDEX(D:D, ROW())=0, 0, INDEX(C:C, ROW())/(INDEX(C:C, ROW())+INDEX(D:D, ROW())))</f>
        <v/>
      </c>
      <c r="F3300" s="1" t="inlineStr">
        <is>
          <t>Array, Greedy, Sorting</t>
        </is>
      </c>
      <c r="G3300" s="1" t="inlineStr">
        <is>
          <t>Medium</t>
        </is>
      </c>
      <c r="H3300" s="1" t="n">
        <v>12476</v>
      </c>
      <c r="I3300" s="1" t="n">
        <v>18922</v>
      </c>
      <c r="J3300" s="9" t="n">
        <v>0.659</v>
      </c>
      <c r="K3300" s="1" t="inlineStr">
        <is>
          <t>No</t>
        </is>
      </c>
      <c r="L3300" s="1" t="inlineStr">
        <is>
          <t>No</t>
        </is>
      </c>
      <c r="M3300" s="1" t="inlineStr">
        <is>
          <t>No</t>
        </is>
      </c>
      <c r="N3300" s="1" t="inlineStr">
        <is>
          <t>Algorithms</t>
        </is>
      </c>
      <c r="O33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01" ht="15.75" customHeight="1" s="12">
      <c r="A3301" s="1" t="n">
        <v>3521</v>
      </c>
      <c r="B3301" s="3">
        <f>HYPERLINK("https://leetcode.com/problems/find-product-recommendation-pairs/", "Find Product Recommendation Pairs")</f>
        <v/>
      </c>
      <c r="C3301" s="1" t="n">
        <v>68</v>
      </c>
      <c r="D3301" s="1" t="n">
        <v>4</v>
      </c>
      <c r="E3301" s="4">
        <f>IF(INDEX(C:C, ROW())+INDEX(D:D, ROW())=0, 0, INDEX(C:C, ROW())/(INDEX(C:C, ROW())+INDEX(D:D, ROW())))</f>
        <v/>
      </c>
      <c r="F3301" s="1" t="inlineStr">
        <is>
          <t>Database</t>
        </is>
      </c>
      <c r="G3301" s="1" t="inlineStr">
        <is>
          <t>Medium</t>
        </is>
      </c>
      <c r="H3301" s="1" t="n">
        <v>11557</v>
      </c>
      <c r="I3301" s="1" t="n">
        <v>18768</v>
      </c>
      <c r="J3301" s="9" t="n">
        <v>0.616</v>
      </c>
      <c r="K3301" s="1" t="inlineStr">
        <is>
          <t>Yes</t>
        </is>
      </c>
      <c r="L3301" s="1" t="inlineStr">
        <is>
          <t>No</t>
        </is>
      </c>
      <c r="M3301" s="1" t="inlineStr">
        <is>
          <t>No</t>
        </is>
      </c>
      <c r="N3301" s="1" t="inlineStr">
        <is>
          <t>Database</t>
        </is>
      </c>
      <c r="O33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02" ht="15.75" customHeight="1" s="12">
      <c r="A3302" s="1" t="n">
        <v>3538</v>
      </c>
      <c r="B3302" s="3">
        <f>HYPERLINK("https://leetcode.com/problems/merge-operations-for-minimum-travel-time/", "Merge Operations for Minimum Travel Time")</f>
        <v/>
      </c>
      <c r="C3302" s="1" t="n">
        <v>68</v>
      </c>
      <c r="D3302" s="1" t="n">
        <v>10</v>
      </c>
      <c r="E3302" s="4">
        <f>IF(INDEX(C:C, ROW())+INDEX(D:D, ROW())=0, 0, INDEX(C:C, ROW())/(INDEX(C:C, ROW())+INDEX(D:D, ROW())))</f>
        <v/>
      </c>
      <c r="F3302" s="1" t="inlineStr">
        <is>
          <t>Array, Dynamic Programming, Prefix Sum</t>
        </is>
      </c>
      <c r="G3302" s="1" t="inlineStr">
        <is>
          <t>Hard</t>
        </is>
      </c>
      <c r="H3302" s="1" t="n">
        <v>4799</v>
      </c>
      <c r="I3302" s="1" t="n">
        <v>15722</v>
      </c>
      <c r="J3302" s="9" t="n">
        <v>0.305</v>
      </c>
      <c r="K3302" s="1" t="inlineStr">
        <is>
          <t>Yes</t>
        </is>
      </c>
      <c r="L3302" s="1" t="inlineStr">
        <is>
          <t>No</t>
        </is>
      </c>
      <c r="M3302" s="1" t="inlineStr">
        <is>
          <t>No</t>
        </is>
      </c>
      <c r="N3302" s="1" t="inlineStr">
        <is>
          <t>Algorithms</t>
        </is>
      </c>
      <c r="O33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03" ht="15.75" customHeight="1" s="12">
      <c r="A3303" s="1" t="n">
        <v>3635</v>
      </c>
      <c r="B3303" s="3">
        <f>HYPERLINK("https://leetcode.com/problems/earliest-finish-time-for-land-and-water-rides-ii/", "Earliest Finish Time for Land and Water Rides II")</f>
        <v/>
      </c>
      <c r="C3303" s="1" t="n">
        <v>68</v>
      </c>
      <c r="D3303" s="1" t="n">
        <v>2</v>
      </c>
      <c r="E3303" s="4">
        <f>IF(INDEX(C:C, ROW())+INDEX(D:D, ROW())=0, 0, INDEX(C:C, ROW())/(INDEX(C:C, ROW())+INDEX(D:D, ROW())))</f>
        <v/>
      </c>
      <c r="F3303" s="1" t="inlineStr">
        <is>
          <t>Array, Two Pointers, Binary Search, Greedy, Sorting</t>
        </is>
      </c>
      <c r="G3303" s="1" t="inlineStr">
        <is>
          <t>Medium</t>
        </is>
      </c>
      <c r="H3303" s="1" t="n">
        <v>12533</v>
      </c>
      <c r="I3303" s="1" t="n">
        <v>36192</v>
      </c>
      <c r="J3303" s="9" t="n">
        <v>0.346</v>
      </c>
      <c r="K3303" s="1" t="inlineStr">
        <is>
          <t>Yes</t>
        </is>
      </c>
      <c r="L3303" s="1" t="inlineStr">
        <is>
          <t>No</t>
        </is>
      </c>
      <c r="M3303" s="1" t="inlineStr">
        <is>
          <t>No</t>
        </is>
      </c>
      <c r="N3303" s="1" t="inlineStr">
        <is>
          <t>Algorithms</t>
        </is>
      </c>
      <c r="O33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04" ht="15.75" customHeight="1" s="12">
      <c r="A3304" s="1" t="n">
        <v>3796</v>
      </c>
      <c r="B3304" s="3">
        <f>HYPERLINK("https://leetcode.com/problems/find-maximum-value-in-a-constrained-sequence/", "Find Maximum Value in a Constrained Sequence")</f>
        <v/>
      </c>
      <c r="C3304" s="1" t="n">
        <v>68</v>
      </c>
      <c r="D3304" s="1" t="n">
        <v>8</v>
      </c>
      <c r="E3304" s="4">
        <f>IF(INDEX(C:C, ROW())+INDEX(D:D, ROW())=0, 0, INDEX(C:C, ROW())/(INDEX(C:C, ROW())+INDEX(D:D, ROW())))</f>
        <v/>
      </c>
      <c r="F3304" s="1" t="inlineStr">
        <is>
          <t>Array, Greedy</t>
        </is>
      </c>
      <c r="G3304" s="1" t="inlineStr">
        <is>
          <t>Medium</t>
        </is>
      </c>
      <c r="H3304" s="1" t="n">
        <v>11998</v>
      </c>
      <c r="I3304" s="1" t="n">
        <v>19302</v>
      </c>
      <c r="J3304" s="9" t="n">
        <v>0.622</v>
      </c>
      <c r="K3304" s="1" t="inlineStr">
        <is>
          <t>Yes</t>
        </is>
      </c>
      <c r="L3304" s="1" t="inlineStr">
        <is>
          <t>No</t>
        </is>
      </c>
      <c r="M3304" s="1" t="inlineStr">
        <is>
          <t>No</t>
        </is>
      </c>
      <c r="N3304" s="1" t="inlineStr">
        <is>
          <t>Algorithms</t>
        </is>
      </c>
      <c r="O33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05" ht="15.75" customHeight="1" s="12">
      <c r="A3305" s="1" t="n">
        <v>734</v>
      </c>
      <c r="B3305" s="3">
        <f>HYPERLINK("https://leetcode.com/problems/sentence-similarity/", "Sentence Similarity")</f>
        <v/>
      </c>
      <c r="C3305" s="1" t="n">
        <v>67</v>
      </c>
      <c r="D3305" s="1" t="n">
        <v>72</v>
      </c>
      <c r="E3305" s="4">
        <f>IF(INDEX(C:C, ROW())+INDEX(D:D, ROW())=0, 0, INDEX(C:C, ROW())/(INDEX(C:C, ROW())+INDEX(D:D, ROW())))</f>
        <v/>
      </c>
      <c r="F3305" s="1" t="inlineStr">
        <is>
          <t>Array, Hash Table, String</t>
        </is>
      </c>
      <c r="G3305" s="1" t="inlineStr">
        <is>
          <t>Easy</t>
        </is>
      </c>
      <c r="H3305" s="1" t="n">
        <v>74664</v>
      </c>
      <c r="I3305" s="1" t="n">
        <v>166887</v>
      </c>
      <c r="J3305" s="9" t="n">
        <v>0.447</v>
      </c>
      <c r="K3305" s="1" t="inlineStr">
        <is>
          <t>No</t>
        </is>
      </c>
      <c r="L3305" s="1" t="inlineStr">
        <is>
          <t>Yes</t>
        </is>
      </c>
      <c r="M3305" s="1" t="inlineStr">
        <is>
          <t>No</t>
        </is>
      </c>
      <c r="N3305" s="1" t="inlineStr">
        <is>
          <t>Algorithms</t>
        </is>
      </c>
      <c r="O33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06" ht="15.75" customHeight="1" s="12">
      <c r="A3306" s="1" t="n">
        <v>1939</v>
      </c>
      <c r="B3306" s="3">
        <f>HYPERLINK("https://leetcode.com/problems/users-that-actively-request-confirmation-messages/", "Users That Actively Request Confirmation Messages")</f>
        <v/>
      </c>
      <c r="C3306" s="1" t="n">
        <v>67</v>
      </c>
      <c r="D3306" s="1" t="n">
        <v>49</v>
      </c>
      <c r="E3306" s="4">
        <f>IF(INDEX(C:C, ROW())+INDEX(D:D, ROW())=0, 0, INDEX(C:C, ROW())/(INDEX(C:C, ROW())+INDEX(D:D, ROW())))</f>
        <v/>
      </c>
      <c r="F3306" s="1" t="inlineStr">
        <is>
          <t>Database</t>
        </is>
      </c>
      <c r="G3306" s="1" t="inlineStr">
        <is>
          <t>Easy</t>
        </is>
      </c>
      <c r="H3306" s="1" t="n">
        <v>14183</v>
      </c>
      <c r="I3306" s="1" t="n">
        <v>24982</v>
      </c>
      <c r="J3306" s="9" t="n">
        <v>0.5679999999999999</v>
      </c>
      <c r="K3306" s="1" t="inlineStr">
        <is>
          <t>No</t>
        </is>
      </c>
      <c r="L3306" s="1" t="inlineStr">
        <is>
          <t>No</t>
        </is>
      </c>
      <c r="M3306" s="1" t="inlineStr">
        <is>
          <t>No</t>
        </is>
      </c>
      <c r="N3306" s="1" t="inlineStr">
        <is>
          <t>Database</t>
        </is>
      </c>
      <c r="O33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07" ht="15.75" customHeight="1" s="12">
      <c r="A3307" s="1" t="n">
        <v>2189</v>
      </c>
      <c r="B3307" s="3">
        <f>HYPERLINK("https://leetcode.com/problems/number-of-ways-to-build-house-of-cards/", "Number of Ways to Build House of Cards")</f>
        <v/>
      </c>
      <c r="C3307" s="1" t="n">
        <v>67</v>
      </c>
      <c r="D3307" s="1" t="n">
        <v>18</v>
      </c>
      <c r="E3307" s="4">
        <f>IF(INDEX(C:C, ROW())+INDEX(D:D, ROW())=0, 0, INDEX(C:C, ROW())/(INDEX(C:C, ROW())+INDEX(D:D, ROW())))</f>
        <v/>
      </c>
      <c r="F3307" s="1" t="inlineStr">
        <is>
          <t>Math, Dynamic Programming</t>
        </is>
      </c>
      <c r="G3307" s="1" t="inlineStr">
        <is>
          <t>Medium</t>
        </is>
      </c>
      <c r="H3307" s="1" t="n">
        <v>3610</v>
      </c>
      <c r="I3307" s="1" t="n">
        <v>5769</v>
      </c>
      <c r="J3307" s="9" t="n">
        <v>0.626</v>
      </c>
      <c r="K3307" s="1" t="inlineStr">
        <is>
          <t>No</t>
        </is>
      </c>
      <c r="L3307" s="1" t="inlineStr">
        <is>
          <t>No</t>
        </is>
      </c>
      <c r="M3307" s="1" t="inlineStr">
        <is>
          <t>No</t>
        </is>
      </c>
      <c r="N3307" s="1" t="inlineStr">
        <is>
          <t>Algorithms</t>
        </is>
      </c>
      <c r="O33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08" ht="15.75" customHeight="1" s="12">
      <c r="A3308" s="1" t="n">
        <v>3360</v>
      </c>
      <c r="B3308" s="3">
        <f>HYPERLINK("https://leetcode.com/problems/stone-removal-game/", "Stone Removal Game")</f>
        <v/>
      </c>
      <c r="C3308" s="1" t="n">
        <v>67</v>
      </c>
      <c r="D3308" s="1" t="n">
        <v>5</v>
      </c>
      <c r="E3308" s="4">
        <f>IF(INDEX(C:C, ROW())+INDEX(D:D, ROW())=0, 0, INDEX(C:C, ROW())/(INDEX(C:C, ROW())+INDEX(D:D, ROW())))</f>
        <v/>
      </c>
      <c r="F3308" s="1" t="inlineStr">
        <is>
          <t>Math, Simulation</t>
        </is>
      </c>
      <c r="G3308" s="1" t="inlineStr">
        <is>
          <t>Easy</t>
        </is>
      </c>
      <c r="H3308" s="1" t="n">
        <v>31888</v>
      </c>
      <c r="I3308" s="1" t="n">
        <v>75325</v>
      </c>
      <c r="J3308" s="9" t="n">
        <v>0.423</v>
      </c>
      <c r="K3308" s="1" t="inlineStr">
        <is>
          <t>Yes</t>
        </is>
      </c>
      <c r="L3308" s="1" t="inlineStr">
        <is>
          <t>No</t>
        </is>
      </c>
      <c r="M3308" s="1" t="inlineStr">
        <is>
          <t>No</t>
        </is>
      </c>
      <c r="N3308" s="1" t="inlineStr">
        <is>
          <t>Algorithms</t>
        </is>
      </c>
      <c r="O33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09" ht="15.75" customHeight="1" s="12">
      <c r="A3309" s="1" t="n">
        <v>3499</v>
      </c>
      <c r="B3309" s="3">
        <f>HYPERLINK("https://leetcode.com/problems/maximize-active-section-with-trade-i/", "Maximize Active Section with Trade I")</f>
        <v/>
      </c>
      <c r="C3309" s="1" t="n">
        <v>67</v>
      </c>
      <c r="D3309" s="1" t="n">
        <v>28</v>
      </c>
      <c r="E3309" s="4">
        <f>IF(INDEX(C:C, ROW())+INDEX(D:D, ROW())=0, 0, INDEX(C:C, ROW())/(INDEX(C:C, ROW())+INDEX(D:D, ROW())))</f>
        <v/>
      </c>
      <c r="F3309" s="1" t="inlineStr">
        <is>
          <t>String, Enumeration</t>
        </is>
      </c>
      <c r="G3309" s="1" t="inlineStr">
        <is>
          <t>Medium</t>
        </is>
      </c>
      <c r="H3309" s="1" t="n">
        <v>13658</v>
      </c>
      <c r="I3309" s="1" t="n">
        <v>43970</v>
      </c>
      <c r="J3309" s="9" t="n">
        <v>0.311</v>
      </c>
      <c r="K3309" s="1" t="inlineStr">
        <is>
          <t>Yes</t>
        </is>
      </c>
      <c r="L3309" s="1" t="inlineStr">
        <is>
          <t>No</t>
        </is>
      </c>
      <c r="M3309" s="1" t="inlineStr">
        <is>
          <t>No</t>
        </is>
      </c>
      <c r="N3309" s="1" t="inlineStr">
        <is>
          <t>Algorithms</t>
        </is>
      </c>
      <c r="O33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10" ht="15.75" customHeight="1" s="12">
      <c r="A3310" s="1" t="n">
        <v>3600</v>
      </c>
      <c r="B3310" s="3">
        <f>HYPERLINK("https://leetcode.com/problems/maximize-spanning-tree-stability-with-upgrades/", "Maximize Spanning Tree Stability with Upgrades")</f>
        <v/>
      </c>
      <c r="C3310" s="1" t="n">
        <v>67</v>
      </c>
      <c r="D3310" s="1" t="n">
        <v>3</v>
      </c>
      <c r="E3310" s="4">
        <f>IF(INDEX(C:C, ROW())+INDEX(D:D, ROW())=0, 0, INDEX(C:C, ROW())/(INDEX(C:C, ROW())+INDEX(D:D, ROW())))</f>
        <v/>
      </c>
      <c r="F3310" s="1" t="inlineStr">
        <is>
          <t>Binary Search, Greedy, Union-Find, Graph Theory, Minimum Spanning Tree</t>
        </is>
      </c>
      <c r="G3310" s="1" t="inlineStr">
        <is>
          <t>Hard</t>
        </is>
      </c>
      <c r="H3310" s="1" t="n">
        <v>6959</v>
      </c>
      <c r="I3310" s="1" t="n">
        <v>17650</v>
      </c>
      <c r="J3310" s="9" t="n">
        <v>0.394</v>
      </c>
      <c r="K3310" s="1" t="inlineStr">
        <is>
          <t>Yes</t>
        </is>
      </c>
      <c r="L3310" s="1" t="inlineStr">
        <is>
          <t>No</t>
        </is>
      </c>
      <c r="M3310" s="1" t="inlineStr">
        <is>
          <t>No</t>
        </is>
      </c>
      <c r="N3310" s="1" t="inlineStr">
        <is>
          <t>Algorithms</t>
        </is>
      </c>
      <c r="O33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11" ht="15.75" customHeight="1" s="12">
      <c r="A3311" s="1" t="n">
        <v>1821</v>
      </c>
      <c r="B3311" s="3">
        <f>HYPERLINK("https://leetcode.com/problems/find-customers-with-positive-revenue-this-year/", "Find Customers With Positive Revenue this Year")</f>
        <v/>
      </c>
      <c r="C3311" s="1" t="n">
        <v>66</v>
      </c>
      <c r="D3311" s="1" t="n">
        <v>26</v>
      </c>
      <c r="E3311" s="4">
        <f>IF(INDEX(C:C, ROW())+INDEX(D:D, ROW())=0, 0, INDEX(C:C, ROW())/(INDEX(C:C, ROW())+INDEX(D:D, ROW())))</f>
        <v/>
      </c>
      <c r="F3311" s="1" t="inlineStr">
        <is>
          <t>Database</t>
        </is>
      </c>
      <c r="G3311" s="1" t="inlineStr">
        <is>
          <t>Easy</t>
        </is>
      </c>
      <c r="H3311" s="1" t="n">
        <v>35982</v>
      </c>
      <c r="I3311" s="1" t="n">
        <v>41027</v>
      </c>
      <c r="J3311" s="9" t="n">
        <v>0.877</v>
      </c>
      <c r="K3311" s="1" t="inlineStr">
        <is>
          <t>No</t>
        </is>
      </c>
      <c r="L3311" s="1" t="inlineStr">
        <is>
          <t>No</t>
        </is>
      </c>
      <c r="M3311" s="1" t="inlineStr">
        <is>
          <t>No</t>
        </is>
      </c>
      <c r="N3311" s="1" t="inlineStr">
        <is>
          <t>Database</t>
        </is>
      </c>
      <c r="O33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12" ht="15.75" customHeight="1" s="12">
      <c r="A3312" s="1" t="n">
        <v>2113</v>
      </c>
      <c r="B3312" s="3">
        <f>HYPERLINK("https://leetcode.com/problems/elements-in-array-after-removing-and-replacing-elements/", "Elements in Array After Removing and Replacing Elements")</f>
        <v/>
      </c>
      <c r="C3312" s="1" t="n">
        <v>66</v>
      </c>
      <c r="D3312" s="1" t="n">
        <v>8</v>
      </c>
      <c r="E3312" s="4">
        <f>IF(INDEX(C:C, ROW())+INDEX(D:D, ROW())=0, 0, INDEX(C:C, ROW())/(INDEX(C:C, ROW())+INDEX(D:D, ROW())))</f>
        <v/>
      </c>
      <c r="F3312" s="1" t="inlineStr">
        <is>
          <t>Array</t>
        </is>
      </c>
      <c r="G3312" s="1" t="inlineStr">
        <is>
          <t>Medium</t>
        </is>
      </c>
      <c r="H3312" s="1" t="n">
        <v>2389</v>
      </c>
      <c r="I3312" s="1" t="n">
        <v>3403</v>
      </c>
      <c r="J3312" s="9" t="n">
        <v>0.702</v>
      </c>
      <c r="K3312" s="1" t="inlineStr">
        <is>
          <t>No</t>
        </is>
      </c>
      <c r="L3312" s="1" t="inlineStr">
        <is>
          <t>No</t>
        </is>
      </c>
      <c r="M3312" s="1" t="inlineStr">
        <is>
          <t>No</t>
        </is>
      </c>
      <c r="N3312" s="1" t="inlineStr">
        <is>
          <t>Algorithms</t>
        </is>
      </c>
      <c r="O33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13" ht="15.75" customHeight="1" s="12">
      <c r="A3313" s="1" t="n">
        <v>2228</v>
      </c>
      <c r="B3313" s="3">
        <f>HYPERLINK("https://leetcode.com/problems/users-with-two-purchases-within-seven-days/", "Users With Two Purchases Within Seven Days")</f>
        <v/>
      </c>
      <c r="C3313" s="1" t="n">
        <v>66</v>
      </c>
      <c r="D3313" s="1" t="n">
        <v>11</v>
      </c>
      <c r="E3313" s="4">
        <f>IF(INDEX(C:C, ROW())+INDEX(D:D, ROW())=0, 0, INDEX(C:C, ROW())/(INDEX(C:C, ROW())+INDEX(D:D, ROW())))</f>
        <v/>
      </c>
      <c r="F3313" s="1" t="inlineStr">
        <is>
          <t>Database</t>
        </is>
      </c>
      <c r="G3313" s="1" t="inlineStr">
        <is>
          <t>Medium</t>
        </is>
      </c>
      <c r="H3313" s="1" t="n">
        <v>11700</v>
      </c>
      <c r="I3313" s="1" t="n">
        <v>25109</v>
      </c>
      <c r="J3313" s="9" t="n">
        <v>0.466</v>
      </c>
      <c r="K3313" s="1" t="inlineStr">
        <is>
          <t>No</t>
        </is>
      </c>
      <c r="L3313" s="1" t="inlineStr">
        <is>
          <t>No</t>
        </is>
      </c>
      <c r="M3313" s="1" t="inlineStr">
        <is>
          <t>No</t>
        </is>
      </c>
      <c r="N3313" s="1" t="inlineStr">
        <is>
          <t>Database</t>
        </is>
      </c>
      <c r="O33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14" ht="15.75" customHeight="1" s="12">
      <c r="A3314" s="1" t="n">
        <v>2282</v>
      </c>
      <c r="B3314" s="3">
        <f>HYPERLINK("https://leetcode.com/problems/number-of-people-that-can-be-seen-in-a-grid/", "Number of People That Can Be Seen in a Grid")</f>
        <v/>
      </c>
      <c r="C3314" s="1" t="n">
        <v>66</v>
      </c>
      <c r="D3314" s="1" t="n">
        <v>34</v>
      </c>
      <c r="E3314" s="4">
        <f>IF(INDEX(C:C, ROW())+INDEX(D:D, ROW())=0, 0, INDEX(C:C, ROW())/(INDEX(C:C, ROW())+INDEX(D:D, ROW())))</f>
        <v/>
      </c>
      <c r="F3314" s="1" t="inlineStr">
        <is>
          <t>Array, Stack, Matrix, Monotonic Stack</t>
        </is>
      </c>
      <c r="G3314" s="1" t="inlineStr">
        <is>
          <t>Medium</t>
        </is>
      </c>
      <c r="H3314" s="1" t="n">
        <v>2559</v>
      </c>
      <c r="I3314" s="1" t="n">
        <v>5382</v>
      </c>
      <c r="J3314" s="9" t="n">
        <v>0.475</v>
      </c>
      <c r="K3314" s="1" t="inlineStr">
        <is>
          <t>No</t>
        </is>
      </c>
      <c r="L3314" s="1" t="inlineStr">
        <is>
          <t>No</t>
        </is>
      </c>
      <c r="M3314" s="1" t="inlineStr">
        <is>
          <t>No</t>
        </is>
      </c>
      <c r="N3314" s="1" t="inlineStr">
        <is>
          <t>Algorithms</t>
        </is>
      </c>
      <c r="O33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15" ht="15.75" customHeight="1" s="12">
      <c r="A3315" s="1" t="n">
        <v>3220</v>
      </c>
      <c r="B3315" s="3">
        <f>HYPERLINK("https://leetcode.com/problems/odd-and-even-transactions/", "Odd and Even Transactions")</f>
        <v/>
      </c>
      <c r="C3315" s="1" t="n">
        <v>66</v>
      </c>
      <c r="D3315" s="1" t="n">
        <v>34</v>
      </c>
      <c r="E3315" s="4">
        <f>IF(INDEX(C:C, ROW())+INDEX(D:D, ROW())=0, 0, INDEX(C:C, ROW())/(INDEX(C:C, ROW())+INDEX(D:D, ROW())))</f>
        <v/>
      </c>
      <c r="F3315" s="1" t="inlineStr">
        <is>
          <t>Database</t>
        </is>
      </c>
      <c r="G3315" s="1" t="inlineStr">
        <is>
          <t>Medium</t>
        </is>
      </c>
      <c r="H3315" s="1" t="n">
        <v>30341</v>
      </c>
      <c r="I3315" s="1" t="n">
        <v>44453</v>
      </c>
      <c r="J3315" s="9" t="n">
        <v>0.6830000000000001</v>
      </c>
      <c r="K3315" s="1" t="inlineStr">
        <is>
          <t>Yes</t>
        </is>
      </c>
      <c r="L3315" s="1" t="inlineStr">
        <is>
          <t>No</t>
        </is>
      </c>
      <c r="M3315" s="1" t="inlineStr">
        <is>
          <t>No</t>
        </is>
      </c>
      <c r="N3315" s="1" t="inlineStr">
        <is>
          <t>Database</t>
        </is>
      </c>
      <c r="O33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16" ht="15.75" customHeight="1" s="12">
      <c r="A3316" s="1" t="n">
        <v>3361</v>
      </c>
      <c r="B3316" s="3">
        <f>HYPERLINK("https://leetcode.com/problems/shift-distance-between-two-strings/", "Shift Distance Between Two Strings")</f>
        <v/>
      </c>
      <c r="C3316" s="1" t="n">
        <v>66</v>
      </c>
      <c r="D3316" s="1" t="n">
        <v>46</v>
      </c>
      <c r="E3316" s="4">
        <f>IF(INDEX(C:C, ROW())+INDEX(D:D, ROW())=0, 0, INDEX(C:C, ROW())/(INDEX(C:C, ROW())+INDEX(D:D, ROW())))</f>
        <v/>
      </c>
      <c r="F3316" s="1" t="inlineStr">
        <is>
          <t>Array, String, Prefix Sum</t>
        </is>
      </c>
      <c r="G3316" s="1" t="inlineStr">
        <is>
          <t>Medium</t>
        </is>
      </c>
      <c r="H3316" s="1" t="n">
        <v>16974</v>
      </c>
      <c r="I3316" s="1" t="n">
        <v>31778</v>
      </c>
      <c r="J3316" s="9" t="n">
        <v>0.534</v>
      </c>
      <c r="K3316" s="1" t="inlineStr">
        <is>
          <t>Yes</t>
        </is>
      </c>
      <c r="L3316" s="1" t="inlineStr">
        <is>
          <t>No</t>
        </is>
      </c>
      <c r="M3316" s="1" t="inlineStr">
        <is>
          <t>No</t>
        </is>
      </c>
      <c r="N3316" s="1" t="inlineStr">
        <is>
          <t>Algorithms</t>
        </is>
      </c>
      <c r="O33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17" ht="15.75" customHeight="1" s="12">
      <c r="A3317" s="1" t="n">
        <v>2292</v>
      </c>
      <c r="B3317" s="3">
        <f>HYPERLINK("https://leetcode.com/problems/products-with-three-or-more-orders-in-two-consecutive-years/", "Products With Three or More Orders in Two Consecutive Years")</f>
        <v/>
      </c>
      <c r="C3317" s="1" t="n">
        <v>65</v>
      </c>
      <c r="D3317" s="1" t="n">
        <v>29</v>
      </c>
      <c r="E3317" s="4">
        <f>IF(INDEX(C:C, ROW())+INDEX(D:D, ROW())=0, 0, INDEX(C:C, ROW())/(INDEX(C:C, ROW())+INDEX(D:D, ROW())))</f>
        <v/>
      </c>
      <c r="F3317" s="1" t="inlineStr">
        <is>
          <t>Database</t>
        </is>
      </c>
      <c r="G3317" s="1" t="inlineStr">
        <is>
          <t>Medium</t>
        </is>
      </c>
      <c r="H3317" s="1" t="n">
        <v>10272</v>
      </c>
      <c r="I3317" s="1" t="n">
        <v>25384</v>
      </c>
      <c r="J3317" s="9" t="n">
        <v>0.405</v>
      </c>
      <c r="K3317" s="1" t="inlineStr">
        <is>
          <t>No</t>
        </is>
      </c>
      <c r="L3317" s="1" t="inlineStr">
        <is>
          <t>No</t>
        </is>
      </c>
      <c r="M3317" s="1" t="inlineStr">
        <is>
          <t>No</t>
        </is>
      </c>
      <c r="N3317" s="1" t="inlineStr">
        <is>
          <t>Database</t>
        </is>
      </c>
      <c r="O33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18" ht="15.75" customHeight="1" s="12">
      <c r="A3318" s="1" t="n">
        <v>3550</v>
      </c>
      <c r="B3318" s="3">
        <f>HYPERLINK("https://leetcode.com/problems/smallest-index-with-digit-sum-equal-to-index/", "Smallest Index With Digit Sum Equal to Index")</f>
        <v/>
      </c>
      <c r="C3318" s="1" t="n">
        <v>65</v>
      </c>
      <c r="D3318" s="1" t="n">
        <v>3</v>
      </c>
      <c r="E3318" s="4">
        <f>IF(INDEX(C:C, ROW())+INDEX(D:D, ROW())=0, 0, INDEX(C:C, ROW())/(INDEX(C:C, ROW())+INDEX(D:D, ROW())))</f>
        <v/>
      </c>
      <c r="F3318" s="1" t="inlineStr">
        <is>
          <t>Array, Math</t>
        </is>
      </c>
      <c r="G3318" s="1" t="inlineStr">
        <is>
          <t>Easy</t>
        </is>
      </c>
      <c r="H3318" s="1" t="n">
        <v>50848</v>
      </c>
      <c r="I3318" s="1" t="n">
        <v>63440</v>
      </c>
      <c r="J3318" s="9" t="n">
        <v>0.802</v>
      </c>
      <c r="K3318" s="1" t="inlineStr">
        <is>
          <t>Yes</t>
        </is>
      </c>
      <c r="L3318" s="1" t="inlineStr">
        <is>
          <t>No</t>
        </is>
      </c>
      <c r="M3318" s="1" t="inlineStr">
        <is>
          <t>No</t>
        </is>
      </c>
      <c r="N3318" s="1" t="inlineStr">
        <is>
          <t>Algorithms</t>
        </is>
      </c>
      <c r="O33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19" ht="15.75" customHeight="1" s="12">
      <c r="A3319" s="1" t="n">
        <v>3727</v>
      </c>
      <c r="B3319" s="3">
        <f>HYPERLINK("https://leetcode.com/problems/maximum-alternating-sum-of-squares/", "Maximum Alternating Sum of Squares")</f>
        <v/>
      </c>
      <c r="C3319" s="1" t="n">
        <v>65</v>
      </c>
      <c r="D3319" s="1" t="n">
        <v>1</v>
      </c>
      <c r="E3319" s="4">
        <f>IF(INDEX(C:C, ROW())+INDEX(D:D, ROW())=0, 0, INDEX(C:C, ROW())/(INDEX(C:C, ROW())+INDEX(D:D, ROW())))</f>
        <v/>
      </c>
      <c r="F3319" s="1" t="inlineStr">
        <is>
          <t>Array, Greedy, Sorting</t>
        </is>
      </c>
      <c r="G3319" s="1" t="inlineStr">
        <is>
          <t>Medium</t>
        </is>
      </c>
      <c r="H3319" s="1" t="n">
        <v>32023</v>
      </c>
      <c r="I3319" s="1" t="n">
        <v>52626</v>
      </c>
      <c r="J3319" s="9" t="n">
        <v>0.609</v>
      </c>
      <c r="K3319" s="1" t="inlineStr">
        <is>
          <t>Yes</t>
        </is>
      </c>
      <c r="L3319" s="1" t="inlineStr">
        <is>
          <t>No</t>
        </is>
      </c>
      <c r="M3319" s="1" t="inlineStr">
        <is>
          <t>No</t>
        </is>
      </c>
      <c r="N3319" s="1" t="inlineStr">
        <is>
          <t>Algorithms</t>
        </is>
      </c>
      <c r="O33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20" ht="15.75" customHeight="1" s="12">
      <c r="A3320" s="1" t="n">
        <v>3756</v>
      </c>
      <c r="B3320" s="3">
        <f>HYPERLINK("https://leetcode.com/problems/concatenate-non-zero-digits-and-multiply-by-sum-ii/", "Concatenate Non-Zero Digits and Multiply by Sum II")</f>
        <v/>
      </c>
      <c r="C3320" s="1" t="n">
        <v>65</v>
      </c>
      <c r="D3320" s="1" t="n">
        <v>9</v>
      </c>
      <c r="E3320" s="4">
        <f>IF(INDEX(C:C, ROW())+INDEX(D:D, ROW())=0, 0, INDEX(C:C, ROW())/(INDEX(C:C, ROW())+INDEX(D:D, ROW())))</f>
        <v/>
      </c>
      <c r="F3320" s="1" t="inlineStr">
        <is>
          <t>Math, String, Prefix Sum</t>
        </is>
      </c>
      <c r="G3320" s="1" t="inlineStr">
        <is>
          <t>Medium</t>
        </is>
      </c>
      <c r="H3320" s="1" t="n">
        <v>9554</v>
      </c>
      <c r="I3320" s="1" t="n">
        <v>40341</v>
      </c>
      <c r="J3320" s="9" t="n">
        <v>0.237</v>
      </c>
      <c r="K3320" s="1" t="inlineStr">
        <is>
          <t>Yes</t>
        </is>
      </c>
      <c r="L3320" s="1" t="inlineStr">
        <is>
          <t>No</t>
        </is>
      </c>
      <c r="M3320" s="1" t="inlineStr">
        <is>
          <t>No</t>
        </is>
      </c>
      <c r="N3320" s="1" t="inlineStr">
        <is>
          <t>Algorithms</t>
        </is>
      </c>
      <c r="O33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21" ht="15.75" customHeight="1" s="12">
      <c r="A3321" s="1" t="n">
        <v>3795</v>
      </c>
      <c r="B3321" s="3">
        <f>HYPERLINK("https://leetcode.com/problems/minimum-subarray-length-with-distinct-sum-at-least-k/", "Minimum Subarray Length With Distinct Sum At Least K")</f>
        <v/>
      </c>
      <c r="C3321" s="1" t="n">
        <v>65</v>
      </c>
      <c r="D3321" s="1" t="n">
        <v>6</v>
      </c>
      <c r="E3321" s="4">
        <f>IF(INDEX(C:C, ROW())+INDEX(D:D, ROW())=0, 0, INDEX(C:C, ROW())/(INDEX(C:C, ROW())+INDEX(D:D, ROW())))</f>
        <v/>
      </c>
      <c r="F3321" s="1" t="inlineStr">
        <is>
          <t>Array, Hash Table, Sliding Window</t>
        </is>
      </c>
      <c r="G3321" s="1" t="inlineStr">
        <is>
          <t>Medium</t>
        </is>
      </c>
      <c r="H3321" s="1" t="n">
        <v>25832</v>
      </c>
      <c r="I3321" s="1" t="n">
        <v>82176</v>
      </c>
      <c r="J3321" s="9" t="n">
        <v>0.314</v>
      </c>
      <c r="K3321" s="1" t="inlineStr">
        <is>
          <t>Yes</t>
        </is>
      </c>
      <c r="L3321" s="1" t="inlineStr">
        <is>
          <t>No</t>
        </is>
      </c>
      <c r="M3321" s="1" t="inlineStr">
        <is>
          <t>No</t>
        </is>
      </c>
      <c r="N3321" s="1" t="inlineStr">
        <is>
          <t>Algorithms</t>
        </is>
      </c>
      <c r="O33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22" ht="15.75" customHeight="1" s="12">
      <c r="A3322" s="1" t="n">
        <v>1645</v>
      </c>
      <c r="B3322" s="3">
        <f>HYPERLINK("https://leetcode.com/problems/hopper-company-queries-ii/", "Hopper Company Queries II")</f>
        <v/>
      </c>
      <c r="C3322" s="1" t="n">
        <v>64</v>
      </c>
      <c r="D3322" s="1" t="n">
        <v>18</v>
      </c>
      <c r="E3322" s="4">
        <f>IF(INDEX(C:C, ROW())+INDEX(D:D, ROW())=0, 0, INDEX(C:C, ROW())/(INDEX(C:C, ROW())+INDEX(D:D, ROW())))</f>
        <v/>
      </c>
      <c r="F3322" s="1" t="inlineStr">
        <is>
          <t>Database</t>
        </is>
      </c>
      <c r="G3322" s="1" t="inlineStr">
        <is>
          <t>Hard</t>
        </is>
      </c>
      <c r="H3322" s="1" t="n">
        <v>8341</v>
      </c>
      <c r="I3322" s="1" t="n">
        <v>20990</v>
      </c>
      <c r="J3322" s="9" t="n">
        <v>0.397</v>
      </c>
      <c r="K3322" s="1" t="inlineStr">
        <is>
          <t>No</t>
        </is>
      </c>
      <c r="L3322" s="1" t="inlineStr">
        <is>
          <t>No</t>
        </is>
      </c>
      <c r="M3322" s="1" t="inlineStr">
        <is>
          <t>No</t>
        </is>
      </c>
      <c r="N3322" s="1" t="inlineStr">
        <is>
          <t>Database</t>
        </is>
      </c>
      <c r="O33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23" ht="15.75" customHeight="1" s="12">
      <c r="A3323" s="1" t="n">
        <v>2802</v>
      </c>
      <c r="B3323" s="3">
        <f>HYPERLINK("https://leetcode.com/problems/find-the-k-th-lucky-number/", "Find The K-th Lucky Number")</f>
        <v/>
      </c>
      <c r="C3323" s="1" t="n">
        <v>64</v>
      </c>
      <c r="D3323" s="1" t="n">
        <v>14</v>
      </c>
      <c r="E3323" s="4">
        <f>IF(INDEX(C:C, ROW())+INDEX(D:D, ROW())=0, 0, INDEX(C:C, ROW())/(INDEX(C:C, ROW())+INDEX(D:D, ROW())))</f>
        <v/>
      </c>
      <c r="F3323" s="1" t="inlineStr">
        <is>
          <t>Math, String, Bit Manipulation</t>
        </is>
      </c>
      <c r="G3323" s="1" t="inlineStr">
        <is>
          <t>Medium</t>
        </is>
      </c>
      <c r="H3323" s="1" t="n">
        <v>6273</v>
      </c>
      <c r="I3323" s="1" t="n">
        <v>8241</v>
      </c>
      <c r="J3323" s="9" t="n">
        <v>0.761</v>
      </c>
      <c r="K3323" s="1" t="inlineStr">
        <is>
          <t>No</t>
        </is>
      </c>
      <c r="L3323" s="1" t="inlineStr">
        <is>
          <t>Yes</t>
        </is>
      </c>
      <c r="M3323" s="1" t="inlineStr">
        <is>
          <t>No</t>
        </is>
      </c>
      <c r="N3323" s="1" t="inlineStr">
        <is>
          <t>Algorithms</t>
        </is>
      </c>
      <c r="O33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24" ht="15.75" customHeight="1" s="12">
      <c r="A3324" s="1" t="n">
        <v>3536</v>
      </c>
      <c r="B3324" s="3">
        <f>HYPERLINK("https://leetcode.com/problems/maximum-product-of-two-digits/", "Maximum Product of Two Digits")</f>
        <v/>
      </c>
      <c r="C3324" s="1" t="n">
        <v>64</v>
      </c>
      <c r="D3324" s="1" t="n">
        <v>2</v>
      </c>
      <c r="E3324" s="4">
        <f>IF(INDEX(C:C, ROW())+INDEX(D:D, ROW())=0, 0, INDEX(C:C, ROW())/(INDEX(C:C, ROW())+INDEX(D:D, ROW())))</f>
        <v/>
      </c>
      <c r="F3324" s="1" t="inlineStr">
        <is>
          <t>Math, Sorting</t>
        </is>
      </c>
      <c r="G3324" s="1" t="inlineStr">
        <is>
          <t>Easy</t>
        </is>
      </c>
      <c r="H3324" s="1" t="n">
        <v>44628</v>
      </c>
      <c r="I3324" s="1" t="n">
        <v>64306</v>
      </c>
      <c r="J3324" s="9" t="n">
        <v>0.694</v>
      </c>
      <c r="K3324" s="1" t="inlineStr">
        <is>
          <t>Yes</t>
        </is>
      </c>
      <c r="L3324" s="1" t="inlineStr">
        <is>
          <t>No</t>
        </is>
      </c>
      <c r="M3324" s="1" t="inlineStr">
        <is>
          <t>No</t>
        </is>
      </c>
      <c r="N3324" s="1" t="inlineStr">
        <is>
          <t>Algorithms</t>
        </is>
      </c>
      <c r="O33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25" ht="15.75" customHeight="1" s="12">
      <c r="A3325" s="1" t="n">
        <v>3582</v>
      </c>
      <c r="B3325" s="3">
        <f>HYPERLINK("https://leetcode.com/problems/generate-tag-for-video-caption/", "Generate Tag for Video Caption")</f>
        <v/>
      </c>
      <c r="C3325" s="1" t="n">
        <v>64</v>
      </c>
      <c r="D3325" s="1" t="n">
        <v>29</v>
      </c>
      <c r="E3325" s="4">
        <f>IF(INDEX(C:C, ROW())+INDEX(D:D, ROW())=0, 0, INDEX(C:C, ROW())/(INDEX(C:C, ROW())+INDEX(D:D, ROW())))</f>
        <v/>
      </c>
      <c r="F3325" s="1" t="inlineStr">
        <is>
          <t>String, Simulation</t>
        </is>
      </c>
      <c r="G3325" s="1" t="inlineStr">
        <is>
          <t>Easy</t>
        </is>
      </c>
      <c r="H3325" s="1" t="n">
        <v>42086</v>
      </c>
      <c r="I3325" s="1" t="n">
        <v>130532</v>
      </c>
      <c r="J3325" s="9" t="n">
        <v>0.322</v>
      </c>
      <c r="K3325" s="1" t="inlineStr">
        <is>
          <t>Yes</t>
        </is>
      </c>
      <c r="L3325" s="1" t="inlineStr">
        <is>
          <t>No</t>
        </is>
      </c>
      <c r="M3325" s="1" t="inlineStr">
        <is>
          <t>No</t>
        </is>
      </c>
      <c r="N3325" s="1" t="inlineStr">
        <is>
          <t>Algorithms</t>
        </is>
      </c>
      <c r="O33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26" ht="15.75" customHeight="1" s="12">
      <c r="A3326" s="1" t="n">
        <v>3597</v>
      </c>
      <c r="B3326" s="3">
        <f>HYPERLINK("https://leetcode.com/problems/partition-string/", "Partition String ")</f>
        <v/>
      </c>
      <c r="C3326" s="1" t="n">
        <v>64</v>
      </c>
      <c r="D3326" s="1" t="n">
        <v>6</v>
      </c>
      <c r="E3326" s="4">
        <f>IF(INDEX(C:C, ROW())+INDEX(D:D, ROW())=0, 0, INDEX(C:C, ROW())/(INDEX(C:C, ROW())+INDEX(D:D, ROW())))</f>
        <v/>
      </c>
      <c r="F3326" s="1" t="inlineStr">
        <is>
          <t>Hash Table, String, Trie, Simulation</t>
        </is>
      </c>
      <c r="G3326" s="1" t="inlineStr">
        <is>
          <t>Medium</t>
        </is>
      </c>
      <c r="H3326" s="1" t="n">
        <v>37481</v>
      </c>
      <c r="I3326" s="1" t="n">
        <v>64126</v>
      </c>
      <c r="J3326" s="9" t="n">
        <v>0.584</v>
      </c>
      <c r="K3326" s="1" t="inlineStr">
        <is>
          <t>Yes</t>
        </is>
      </c>
      <c r="L3326" s="1" t="inlineStr">
        <is>
          <t>No</t>
        </is>
      </c>
      <c r="M3326" s="1" t="inlineStr">
        <is>
          <t>No</t>
        </is>
      </c>
      <c r="N3326" s="1" t="inlineStr">
        <is>
          <t>Algorithms</t>
        </is>
      </c>
      <c r="O33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27" ht="15.75" customHeight="1" s="12">
      <c r="A3327" s="1" t="n">
        <v>3786</v>
      </c>
      <c r="B3327" s="3">
        <f>HYPERLINK("https://leetcode.com/problems/total-sum-of-interaction-cost-in-tree-groups/", "Total Sum of Interaction Cost in Tree Groups")</f>
        <v/>
      </c>
      <c r="C3327" s="1" t="n">
        <v>64</v>
      </c>
      <c r="D3327" s="1" t="n">
        <v>3</v>
      </c>
      <c r="E3327" s="4">
        <f>IF(INDEX(C:C, ROW())+INDEX(D:D, ROW())=0, 0, INDEX(C:C, ROW())/(INDEX(C:C, ROW())+INDEX(D:D, ROW())))</f>
        <v/>
      </c>
      <c r="F3327" s="1" t="inlineStr">
        <is>
          <t>Array, Tree, Depth-First Search</t>
        </is>
      </c>
      <c r="G3327" s="1" t="inlineStr">
        <is>
          <t>Hard</t>
        </is>
      </c>
      <c r="H3327" s="1" t="n">
        <v>6546</v>
      </c>
      <c r="I3327" s="1" t="n">
        <v>12321</v>
      </c>
      <c r="J3327" s="9" t="n">
        <v>0.531</v>
      </c>
      <c r="K3327" s="1" t="inlineStr">
        <is>
          <t>Yes</t>
        </is>
      </c>
      <c r="L3327" s="1" t="inlineStr">
        <is>
          <t>No</t>
        </is>
      </c>
      <c r="M3327" s="1" t="inlineStr">
        <is>
          <t>No</t>
        </is>
      </c>
      <c r="N3327" s="1" t="inlineStr">
        <is>
          <t>Algorithms</t>
        </is>
      </c>
      <c r="O33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28" ht="15.75" customHeight="1" s="12">
      <c r="A3328" s="1" t="n">
        <v>2051</v>
      </c>
      <c r="B3328" s="3">
        <f>HYPERLINK("https://leetcode.com/problems/the-category-of-each-member-in-the-store/", "The Category of Each Member in the Store")</f>
        <v/>
      </c>
      <c r="C3328" s="1" t="n">
        <v>63</v>
      </c>
      <c r="D3328" s="1" t="n">
        <v>8</v>
      </c>
      <c r="E3328" s="4">
        <f>IF(INDEX(C:C, ROW())+INDEX(D:D, ROW())=0, 0, INDEX(C:C, ROW())/(INDEX(C:C, ROW())+INDEX(D:D, ROW())))</f>
        <v/>
      </c>
      <c r="F3328" s="1" t="inlineStr">
        <is>
          <t>Database</t>
        </is>
      </c>
      <c r="G3328" s="1" t="inlineStr">
        <is>
          <t>Medium</t>
        </is>
      </c>
      <c r="H3328" s="1" t="n">
        <v>10559</v>
      </c>
      <c r="I3328" s="1" t="n">
        <v>14930</v>
      </c>
      <c r="J3328" s="9" t="n">
        <v>0.707</v>
      </c>
      <c r="K3328" s="1" t="inlineStr">
        <is>
          <t>No</t>
        </is>
      </c>
      <c r="L3328" s="1" t="inlineStr">
        <is>
          <t>No</t>
        </is>
      </c>
      <c r="M3328" s="1" t="inlineStr">
        <is>
          <t>No</t>
        </is>
      </c>
      <c r="N3328" s="1" t="inlineStr">
        <is>
          <t>Database</t>
        </is>
      </c>
      <c r="O33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29" ht="15.75" customHeight="1" s="12">
      <c r="A3329" s="1" t="n">
        <v>2247</v>
      </c>
      <c r="B3329" s="3">
        <f>HYPERLINK("https://leetcode.com/problems/maximum-cost-of-trip-with-k-highways/", "Maximum Cost of Trip With K Highways")</f>
        <v/>
      </c>
      <c r="C3329" s="1" t="n">
        <v>63</v>
      </c>
      <c r="D3329" s="1" t="n">
        <v>0</v>
      </c>
      <c r="E3329" s="4">
        <f>IF(INDEX(C:C, ROW())+INDEX(D:D, ROW())=0, 0, INDEX(C:C, ROW())/(INDEX(C:C, ROW())+INDEX(D:D, ROW())))</f>
        <v/>
      </c>
      <c r="F3329" s="1" t="inlineStr">
        <is>
          <t>Dynamic Programming, Bit Manipulation, Graph Theory, Bitmask DP</t>
        </is>
      </c>
      <c r="G3329" s="1" t="inlineStr">
        <is>
          <t>Hard</t>
        </is>
      </c>
      <c r="H3329" s="1" t="n">
        <v>2327</v>
      </c>
      <c r="I3329" s="1" t="n">
        <v>4573</v>
      </c>
      <c r="J3329" s="9" t="n">
        <v>0.509</v>
      </c>
      <c r="K3329" s="1" t="inlineStr">
        <is>
          <t>No</t>
        </is>
      </c>
      <c r="L3329" s="1" t="inlineStr">
        <is>
          <t>No</t>
        </is>
      </c>
      <c r="M3329" s="1" t="inlineStr">
        <is>
          <t>No</t>
        </is>
      </c>
      <c r="N3329" s="1" t="inlineStr">
        <is>
          <t>Algorithms</t>
        </is>
      </c>
      <c r="O33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30" ht="15.75" customHeight="1" s="12">
      <c r="A3330" s="1" t="n">
        <v>2459</v>
      </c>
      <c r="B3330" s="3">
        <f>HYPERLINK("https://leetcode.com/problems/sort-array-by-moving-items-to-empty-space/", "Sort Array by Moving Items to Empty Space")</f>
        <v/>
      </c>
      <c r="C3330" s="1" t="n">
        <v>63</v>
      </c>
      <c r="D3330" s="1" t="n">
        <v>1</v>
      </c>
      <c r="E3330" s="4">
        <f>IF(INDEX(C:C, ROW())+INDEX(D:D, ROW())=0, 0, INDEX(C:C, ROW())/(INDEX(C:C, ROW())+INDEX(D:D, ROW())))</f>
        <v/>
      </c>
      <c r="F3330" s="1" t="inlineStr">
        <is>
          <t>Array, Greedy, Sorting</t>
        </is>
      </c>
      <c r="G3330" s="1" t="inlineStr">
        <is>
          <t>Hard</t>
        </is>
      </c>
      <c r="H3330" s="1" t="n">
        <v>2834</v>
      </c>
      <c r="I3330" s="1" t="n">
        <v>6263</v>
      </c>
      <c r="J3330" s="9" t="n">
        <v>0.452</v>
      </c>
      <c r="K3330" s="1" t="inlineStr">
        <is>
          <t>No</t>
        </is>
      </c>
      <c r="L3330" s="1" t="inlineStr">
        <is>
          <t>No</t>
        </is>
      </c>
      <c r="M3330" s="1" t="inlineStr">
        <is>
          <t>No</t>
        </is>
      </c>
      <c r="N3330" s="1" t="inlineStr">
        <is>
          <t>Algorithms</t>
        </is>
      </c>
      <c r="O33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31" ht="15.75" customHeight="1" s="12">
      <c r="A3331" s="1" t="n">
        <v>3352</v>
      </c>
      <c r="B3331" s="3">
        <f>HYPERLINK("https://leetcode.com/problems/count-k-reducible-numbers-less-than-n/", "Count K-Reducible Numbers Less Than N")</f>
        <v/>
      </c>
      <c r="C3331" s="1" t="n">
        <v>63</v>
      </c>
      <c r="D3331" s="1" t="n">
        <v>3</v>
      </c>
      <c r="E3331" s="4">
        <f>IF(INDEX(C:C, ROW())+INDEX(D:D, ROW())=0, 0, INDEX(C:C, ROW())/(INDEX(C:C, ROW())+INDEX(D:D, ROW())))</f>
        <v/>
      </c>
      <c r="F3331" s="1" t="inlineStr">
        <is>
          <t>Math, String, Dynamic Programming, Combinatorics</t>
        </is>
      </c>
      <c r="G3331" s="1" t="inlineStr">
        <is>
          <t>Hard</t>
        </is>
      </c>
      <c r="H3331" s="1" t="n">
        <v>4402</v>
      </c>
      <c r="I3331" s="1" t="n">
        <v>16153</v>
      </c>
      <c r="J3331" s="9" t="n">
        <v>0.273</v>
      </c>
      <c r="K3331" s="1" t="inlineStr">
        <is>
          <t>Yes</t>
        </is>
      </c>
      <c r="L3331" s="1" t="inlineStr">
        <is>
          <t>No</t>
        </is>
      </c>
      <c r="M3331" s="1" t="inlineStr">
        <is>
          <t>No</t>
        </is>
      </c>
      <c r="N3331" s="1" t="inlineStr">
        <is>
          <t>Algorithms</t>
        </is>
      </c>
      <c r="O33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32" ht="15.75" customHeight="1" s="12">
      <c r="A3332" s="1" t="n">
        <v>3502</v>
      </c>
      <c r="B3332" s="3">
        <f>HYPERLINK("https://leetcode.com/problems/minimum-cost-to-reach-every-position/", "Minimum Cost to Reach Every Position")</f>
        <v/>
      </c>
      <c r="C3332" s="1" t="n">
        <v>63</v>
      </c>
      <c r="D3332" s="1" t="n">
        <v>78</v>
      </c>
      <c r="E3332" s="4">
        <f>IF(INDEX(C:C, ROW())+INDEX(D:D, ROW())=0, 0, INDEX(C:C, ROW())/(INDEX(C:C, ROW())+INDEX(D:D, ROW())))</f>
        <v/>
      </c>
      <c r="F3332" s="1" t="inlineStr">
        <is>
          <t>Array</t>
        </is>
      </c>
      <c r="G3332" s="1" t="inlineStr">
        <is>
          <t>Easy</t>
        </is>
      </c>
      <c r="H3332" s="1" t="n">
        <v>38935</v>
      </c>
      <c r="I3332" s="1" t="n">
        <v>46855</v>
      </c>
      <c r="J3332" s="9" t="n">
        <v>0.831</v>
      </c>
      <c r="K3332" s="1" t="inlineStr">
        <is>
          <t>Yes</t>
        </is>
      </c>
      <c r="L3332" s="1" t="inlineStr">
        <is>
          <t>No</t>
        </is>
      </c>
      <c r="M3332" s="1" t="inlineStr">
        <is>
          <t>No</t>
        </is>
      </c>
      <c r="N3332" s="1" t="inlineStr">
        <is>
          <t>Algorithms</t>
        </is>
      </c>
      <c r="O33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33" ht="15.75" customHeight="1" s="12">
      <c r="A3333" s="1" t="n">
        <v>3752</v>
      </c>
      <c r="B3333" s="3">
        <f>HYPERLINK("https://leetcode.com/problems/lexicographically-smallest-negated-permutation-that-sums-to-target/", "Lexicographically Smallest Negated Permutation that Sums to Target")</f>
        <v/>
      </c>
      <c r="C3333" s="1" t="n">
        <v>63</v>
      </c>
      <c r="D3333" s="1" t="n">
        <v>6</v>
      </c>
      <c r="E3333" s="4">
        <f>IF(INDEX(C:C, ROW())+INDEX(D:D, ROW())=0, 0, INDEX(C:C, ROW())/(INDEX(C:C, ROW())+INDEX(D:D, ROW())))</f>
        <v/>
      </c>
      <c r="F3333" s="1" t="inlineStr">
        <is>
          <t>Array, Math, Two Pointers, Greedy, Sorting</t>
        </is>
      </c>
      <c r="G3333" s="1" t="inlineStr">
        <is>
          <t>Medium</t>
        </is>
      </c>
      <c r="H3333" s="1" t="n">
        <v>11608</v>
      </c>
      <c r="I3333" s="1" t="n">
        <v>38808</v>
      </c>
      <c r="J3333" s="9" t="n">
        <v>0.299</v>
      </c>
      <c r="K3333" s="1" t="inlineStr">
        <is>
          <t>Yes</t>
        </is>
      </c>
      <c r="L3333" s="1" t="inlineStr">
        <is>
          <t>No</t>
        </is>
      </c>
      <c r="M3333" s="1" t="inlineStr">
        <is>
          <t>No</t>
        </is>
      </c>
      <c r="N3333" s="1" t="inlineStr">
        <is>
          <t>Algorithms</t>
        </is>
      </c>
      <c r="O33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34" ht="15.75" customHeight="1" s="12">
      <c r="A3334" s="1" t="n">
        <v>3357</v>
      </c>
      <c r="B3334" s="3">
        <f>HYPERLINK("https://leetcode.com/problems/minimize-the-maximum-adjacent-element-difference/", "Minimize the Maximum Adjacent Element Difference")</f>
        <v/>
      </c>
      <c r="C3334" s="1" t="n">
        <v>62</v>
      </c>
      <c r="D3334" s="1" t="n">
        <v>14</v>
      </c>
      <c r="E3334" s="4">
        <f>IF(INDEX(C:C, ROW())+INDEX(D:D, ROW())=0, 0, INDEX(C:C, ROW())/(INDEX(C:C, ROW())+INDEX(D:D, ROW())))</f>
        <v/>
      </c>
      <c r="F3334" s="1" t="inlineStr">
        <is>
          <t>Array, Binary Search, Greedy</t>
        </is>
      </c>
      <c r="G3334" s="1" t="inlineStr">
        <is>
          <t>Hard</t>
        </is>
      </c>
      <c r="H3334" s="1" t="n">
        <v>3446</v>
      </c>
      <c r="I3334" s="1" t="n">
        <v>17956</v>
      </c>
      <c r="J3334" s="9" t="n">
        <v>0.192</v>
      </c>
      <c r="K3334" s="1" t="inlineStr">
        <is>
          <t>Yes</t>
        </is>
      </c>
      <c r="L3334" s="1" t="inlineStr">
        <is>
          <t>No</t>
        </is>
      </c>
      <c r="M3334" s="1" t="inlineStr">
        <is>
          <t>No</t>
        </is>
      </c>
      <c r="N3334" s="1" t="inlineStr">
        <is>
          <t>Algorithms</t>
        </is>
      </c>
      <c r="O33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35" ht="15.75" customHeight="1" s="12">
      <c r="A3335" s="1" t="n">
        <v>3402</v>
      </c>
      <c r="B3335" s="3">
        <f>HYPERLINK("https://leetcode.com/problems/minimum-operations-to-make-columns-strictly-increasing/", "Minimum Operations to Make Columns Strictly Increasing")</f>
        <v/>
      </c>
      <c r="C3335" s="1" t="n">
        <v>62</v>
      </c>
      <c r="D3335" s="1" t="n">
        <v>5</v>
      </c>
      <c r="E3335" s="4">
        <f>IF(INDEX(C:C, ROW())+INDEX(D:D, ROW())=0, 0, INDEX(C:C, ROW())/(INDEX(C:C, ROW())+INDEX(D:D, ROW())))</f>
        <v/>
      </c>
      <c r="F3335" s="1" t="inlineStr">
        <is>
          <t>Array, Greedy, Matrix</t>
        </is>
      </c>
      <c r="G3335" s="1" t="inlineStr">
        <is>
          <t>Easy</t>
        </is>
      </c>
      <c r="H3335" s="1" t="n">
        <v>36119</v>
      </c>
      <c r="I3335" s="1" t="n">
        <v>49881</v>
      </c>
      <c r="J3335" s="9" t="n">
        <v>0.724</v>
      </c>
      <c r="K3335" s="1" t="inlineStr">
        <is>
          <t>Yes</t>
        </is>
      </c>
      <c r="L3335" s="1" t="inlineStr">
        <is>
          <t>No</t>
        </is>
      </c>
      <c r="M3335" s="1" t="inlineStr">
        <is>
          <t>No</t>
        </is>
      </c>
      <c r="N3335" s="1" t="inlineStr">
        <is>
          <t>Algorithms</t>
        </is>
      </c>
      <c r="O33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36" ht="15.75" customHeight="1" s="12">
      <c r="A3336" s="1" t="n">
        <v>3456</v>
      </c>
      <c r="B3336" s="3">
        <f>HYPERLINK("https://leetcode.com/problems/find-special-substring-of-length-k/", "Find Special Substring of Length K")</f>
        <v/>
      </c>
      <c r="C3336" s="1" t="n">
        <v>62</v>
      </c>
      <c r="D3336" s="1" t="n">
        <v>10</v>
      </c>
      <c r="E3336" s="4">
        <f>IF(INDEX(C:C, ROW())+INDEX(D:D, ROW())=0, 0, INDEX(C:C, ROW())/(INDEX(C:C, ROW())+INDEX(D:D, ROW())))</f>
        <v/>
      </c>
      <c r="F3336" s="1" t="inlineStr">
        <is>
          <t>String</t>
        </is>
      </c>
      <c r="G3336" s="1" t="inlineStr">
        <is>
          <t>Easy</t>
        </is>
      </c>
      <c r="H3336" s="1" t="n">
        <v>40885</v>
      </c>
      <c r="I3336" s="1" t="n">
        <v>116506</v>
      </c>
      <c r="J3336" s="9" t="n">
        <v>0.351</v>
      </c>
      <c r="K3336" s="1" t="inlineStr">
        <is>
          <t>Yes</t>
        </is>
      </c>
      <c r="L3336" s="1" t="inlineStr">
        <is>
          <t>No</t>
        </is>
      </c>
      <c r="M3336" s="1" t="inlineStr">
        <is>
          <t>No</t>
        </is>
      </c>
      <c r="N3336" s="1" t="inlineStr">
        <is>
          <t>Algorithms</t>
        </is>
      </c>
      <c r="O33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37" ht="15.75" customHeight="1" s="12">
      <c r="A3337" s="1" t="n">
        <v>3492</v>
      </c>
      <c r="B3337" s="3">
        <f>HYPERLINK("https://leetcode.com/problems/maximum-containers-on-a-ship/", "Maximum Containers on a Ship")</f>
        <v/>
      </c>
      <c r="C3337" s="1" t="n">
        <v>62</v>
      </c>
      <c r="D3337" s="1" t="n">
        <v>13</v>
      </c>
      <c r="E3337" s="4">
        <f>IF(INDEX(C:C, ROW())+INDEX(D:D, ROW())=0, 0, INDEX(C:C, ROW())/(INDEX(C:C, ROW())+INDEX(D:D, ROW())))</f>
        <v/>
      </c>
      <c r="F3337" s="1" t="inlineStr">
        <is>
          <t>Math</t>
        </is>
      </c>
      <c r="G3337" s="1" t="inlineStr">
        <is>
          <t>Easy</t>
        </is>
      </c>
      <c r="H3337" s="1" t="n">
        <v>48287</v>
      </c>
      <c r="I3337" s="1" t="n">
        <v>64284</v>
      </c>
      <c r="J3337" s="9" t="n">
        <v>0.751</v>
      </c>
      <c r="K3337" s="1" t="inlineStr">
        <is>
          <t>Yes</t>
        </is>
      </c>
      <c r="L3337" s="1" t="inlineStr">
        <is>
          <t>No</t>
        </is>
      </c>
      <c r="M3337" s="1" t="inlineStr">
        <is>
          <t>No</t>
        </is>
      </c>
      <c r="N3337" s="1" t="inlineStr">
        <is>
          <t>Algorithms</t>
        </is>
      </c>
      <c r="O33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38" ht="15.75" customHeight="1" s="12">
      <c r="A3338" s="1" t="n">
        <v>3515</v>
      </c>
      <c r="B3338" s="3">
        <f>HYPERLINK("https://leetcode.com/problems/shortest-path-in-a-weighted-tree/", "Shortest Path in a Weighted Tree")</f>
        <v/>
      </c>
      <c r="C3338" s="1" t="n">
        <v>62</v>
      </c>
      <c r="D3338" s="1" t="n">
        <v>2</v>
      </c>
      <c r="E3338" s="4">
        <f>IF(INDEX(C:C, ROW())+INDEX(D:D, ROW())=0, 0, INDEX(C:C, ROW())/(INDEX(C:C, ROW())+INDEX(D:D, ROW())))</f>
        <v/>
      </c>
      <c r="F3338" s="1" t="inlineStr">
        <is>
          <t>Array, Tree, Depth-First Search, Binary Indexed Tree, Segment Tree</t>
        </is>
      </c>
      <c r="G3338" s="1" t="inlineStr">
        <is>
          <t>Hard</t>
        </is>
      </c>
      <c r="H3338" s="1" t="n">
        <v>6854</v>
      </c>
      <c r="I3338" s="1" t="n">
        <v>16361</v>
      </c>
      <c r="J3338" s="9" t="n">
        <v>0.419</v>
      </c>
      <c r="K3338" s="1" t="inlineStr">
        <is>
          <t>Yes</t>
        </is>
      </c>
      <c r="L3338" s="1" t="inlineStr">
        <is>
          <t>No</t>
        </is>
      </c>
      <c r="M3338" s="1" t="inlineStr">
        <is>
          <t>No</t>
        </is>
      </c>
      <c r="N3338" s="1" t="inlineStr">
        <is>
          <t>Algorithms</t>
        </is>
      </c>
      <c r="O33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39" ht="15.75" customHeight="1" s="12">
      <c r="A3339" s="1" t="n">
        <v>3529</v>
      </c>
      <c r="B3339" s="3">
        <f>HYPERLINK("https://leetcode.com/problems/count-cells-in-overlapping-horizontal-and-vertical-substrings/", "Count Cells in Overlapping Horizontal and Vertical Substrings")</f>
        <v/>
      </c>
      <c r="C3339" s="1" t="n">
        <v>62</v>
      </c>
      <c r="D3339" s="1" t="n">
        <v>14</v>
      </c>
      <c r="E3339" s="4">
        <f>IF(INDEX(C:C, ROW())+INDEX(D:D, ROW())=0, 0, INDEX(C:C, ROW())/(INDEX(C:C, ROW())+INDEX(D:D, ROW())))</f>
        <v/>
      </c>
      <c r="F3339" s="1" t="inlineStr">
        <is>
          <t>Array, String, Rolling Hash, String Matching, Matrix, Hash Function</t>
        </is>
      </c>
      <c r="G3339" s="1" t="inlineStr">
        <is>
          <t>Medium</t>
        </is>
      </c>
      <c r="H3339" s="1" t="n">
        <v>7254</v>
      </c>
      <c r="I3339" s="1" t="n">
        <v>27152</v>
      </c>
      <c r="J3339" s="9" t="n">
        <v>0.267</v>
      </c>
      <c r="K3339" s="1" t="inlineStr">
        <is>
          <t>Yes</t>
        </is>
      </c>
      <c r="L3339" s="1" t="inlineStr">
        <is>
          <t>No</t>
        </is>
      </c>
      <c r="M3339" s="1" t="inlineStr">
        <is>
          <t>No</t>
        </is>
      </c>
      <c r="N3339" s="1" t="inlineStr">
        <is>
          <t>Algorithms</t>
        </is>
      </c>
      <c r="O33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40" ht="15.75" customHeight="1" s="12">
      <c r="A3340" s="1" t="n">
        <v>3591</v>
      </c>
      <c r="B3340" s="3">
        <f>HYPERLINK("https://leetcode.com/problems/check-if-any-element-has-prime-frequency/", "Check if Any Element Has Prime Frequency")</f>
        <v/>
      </c>
      <c r="C3340" s="1" t="n">
        <v>62</v>
      </c>
      <c r="D3340" s="1" t="n">
        <v>2</v>
      </c>
      <c r="E3340" s="4">
        <f>IF(INDEX(C:C, ROW())+INDEX(D:D, ROW())=0, 0, INDEX(C:C, ROW())/(INDEX(C:C, ROW())+INDEX(D:D, ROW())))</f>
        <v/>
      </c>
      <c r="F3340" s="1" t="inlineStr">
        <is>
          <t>Array, Hash Table, Math, Counting, Number Theory</t>
        </is>
      </c>
      <c r="G3340" s="1" t="inlineStr">
        <is>
          <t>Easy</t>
        </is>
      </c>
      <c r="H3340" s="1" t="n">
        <v>49806</v>
      </c>
      <c r="I3340" s="1" t="n">
        <v>79831</v>
      </c>
      <c r="J3340" s="9" t="n">
        <v>0.624</v>
      </c>
      <c r="K3340" s="1" t="inlineStr">
        <is>
          <t>Yes</t>
        </is>
      </c>
      <c r="L3340" s="1" t="inlineStr">
        <is>
          <t>No</t>
        </is>
      </c>
      <c r="M3340" s="1" t="inlineStr">
        <is>
          <t>No</t>
        </is>
      </c>
      <c r="N3340" s="1" t="inlineStr">
        <is>
          <t>Algorithms</t>
        </is>
      </c>
      <c r="O33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41" ht="15.75" customHeight="1" s="12">
      <c r="A3341" s="1" t="n">
        <v>3619</v>
      </c>
      <c r="B3341" s="3">
        <f>HYPERLINK("https://leetcode.com/problems/count-islands-with-total-value-divisible-by-k/", "Count Islands With Total Value Divisible by K")</f>
        <v/>
      </c>
      <c r="C3341" s="1" t="n">
        <v>62</v>
      </c>
      <c r="D3341" s="1" t="n">
        <v>1</v>
      </c>
      <c r="E3341" s="4">
        <f>IF(INDEX(C:C, ROW())+INDEX(D:D, ROW())=0, 0, INDEX(C:C, ROW())/(INDEX(C:C, ROW())+INDEX(D:D, ROW())))</f>
        <v/>
      </c>
      <c r="F3341" s="1" t="inlineStr">
        <is>
          <t>Array, Depth-First Search, Breadth-First Search, Union-Find, Matrix</t>
        </is>
      </c>
      <c r="G3341" s="1" t="inlineStr">
        <is>
          <t>Medium</t>
        </is>
      </c>
      <c r="H3341" s="1" t="n">
        <v>28872</v>
      </c>
      <c r="I3341" s="1" t="n">
        <v>51308</v>
      </c>
      <c r="J3341" s="9" t="n">
        <v>0.5629999999999999</v>
      </c>
      <c r="K3341" s="1" t="inlineStr">
        <is>
          <t>Yes</t>
        </is>
      </c>
      <c r="L3341" s="1" t="inlineStr">
        <is>
          <t>No</t>
        </is>
      </c>
      <c r="M3341" s="1" t="inlineStr">
        <is>
          <t>No</t>
        </is>
      </c>
      <c r="N3341" s="1" t="inlineStr">
        <is>
          <t>Algorithms</t>
        </is>
      </c>
      <c r="O33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42" ht="15.75" customHeight="1" s="12">
      <c r="A3342" s="1" t="n">
        <v>3633</v>
      </c>
      <c r="B3342" s="3">
        <f>HYPERLINK("https://leetcode.com/problems/earliest-finish-time-for-land-and-water-rides-i/", "Earliest Finish Time for Land and Water Rides I")</f>
        <v/>
      </c>
      <c r="C3342" s="1" t="n">
        <v>62</v>
      </c>
      <c r="D3342" s="1" t="n">
        <v>14</v>
      </c>
      <c r="E3342" s="4">
        <f>IF(INDEX(C:C, ROW())+INDEX(D:D, ROW())=0, 0, INDEX(C:C, ROW())/(INDEX(C:C, ROW())+INDEX(D:D, ROW())))</f>
        <v/>
      </c>
      <c r="F3342" s="1" t="inlineStr">
        <is>
          <t>Array, Two Pointers, Binary Search, Greedy, Sorting</t>
        </is>
      </c>
      <c r="G3342" s="1" t="inlineStr">
        <is>
          <t>Easy</t>
        </is>
      </c>
      <c r="H3342" s="1" t="n">
        <v>31774</v>
      </c>
      <c r="I3342" s="1" t="n">
        <v>51712</v>
      </c>
      <c r="J3342" s="9" t="n">
        <v>0.614</v>
      </c>
      <c r="K3342" s="1" t="inlineStr">
        <is>
          <t>Yes</t>
        </is>
      </c>
      <c r="L3342" s="1" t="inlineStr">
        <is>
          <t>No</t>
        </is>
      </c>
      <c r="M3342" s="1" t="inlineStr">
        <is>
          <t>No</t>
        </is>
      </c>
      <c r="N3342" s="1" t="inlineStr">
        <is>
          <t>Algorithms</t>
        </is>
      </c>
      <c r="O33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43" ht="15.75" customHeight="1" s="12">
      <c r="A3343" s="1" t="n">
        <v>3637</v>
      </c>
      <c r="B3343" s="3">
        <f>HYPERLINK("https://leetcode.com/problems/trionic-array-i/", "Trionic Array I")</f>
        <v/>
      </c>
      <c r="C3343" s="1" t="n">
        <v>62</v>
      </c>
      <c r="D3343" s="1" t="n">
        <v>6</v>
      </c>
      <c r="E3343" s="4">
        <f>IF(INDEX(C:C, ROW())+INDEX(D:D, ROW())=0, 0, INDEX(C:C, ROW())/(INDEX(C:C, ROW())+INDEX(D:D, ROW())))</f>
        <v/>
      </c>
      <c r="F3343" s="1" t="inlineStr">
        <is>
          <t>Array</t>
        </is>
      </c>
      <c r="G3343" s="1" t="inlineStr">
        <is>
          <t>Easy</t>
        </is>
      </c>
      <c r="H3343" s="1" t="n">
        <v>60823</v>
      </c>
      <c r="I3343" s="1" t="n">
        <v>129471</v>
      </c>
      <c r="J3343" s="9" t="n">
        <v>0.47</v>
      </c>
      <c r="K3343" s="1" t="inlineStr">
        <is>
          <t>Yes</t>
        </is>
      </c>
      <c r="L3343" s="1" t="inlineStr">
        <is>
          <t>No</t>
        </is>
      </c>
      <c r="M3343" s="1" t="inlineStr">
        <is>
          <t>No</t>
        </is>
      </c>
      <c r="N3343" s="1" t="inlineStr">
        <is>
          <t>Algorithms</t>
        </is>
      </c>
      <c r="O33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44" ht="15.75" customHeight="1" s="12">
      <c r="A3344" s="1" t="n">
        <v>3650</v>
      </c>
      <c r="B3344" s="3">
        <f>HYPERLINK("https://leetcode.com/problems/minimum-cost-path-with-edge-reversals/", "Minimum Cost Path with Edge Reversals")</f>
        <v/>
      </c>
      <c r="C3344" s="1" t="n">
        <v>62</v>
      </c>
      <c r="D3344" s="1" t="n">
        <v>2</v>
      </c>
      <c r="E3344" s="4">
        <f>IF(INDEX(C:C, ROW())+INDEX(D:D, ROW())=0, 0, INDEX(C:C, ROW())/(INDEX(C:C, ROW())+INDEX(D:D, ROW())))</f>
        <v/>
      </c>
      <c r="F3344" s="1" t="inlineStr">
        <is>
          <t>Graph Theory, Heap (Priority Queue), Shortest Path</t>
        </is>
      </c>
      <c r="G3344" s="1" t="inlineStr">
        <is>
          <t>Medium</t>
        </is>
      </c>
      <c r="H3344" s="1" t="n">
        <v>15672</v>
      </c>
      <c r="I3344" s="1" t="n">
        <v>33184</v>
      </c>
      <c r="J3344" s="9" t="n">
        <v>0.472</v>
      </c>
      <c r="K3344" s="1" t="inlineStr">
        <is>
          <t>Yes</t>
        </is>
      </c>
      <c r="L3344" s="1" t="inlineStr">
        <is>
          <t>No</t>
        </is>
      </c>
      <c r="M3344" s="1" t="inlineStr">
        <is>
          <t>No</t>
        </is>
      </c>
      <c r="N3344" s="1" t="inlineStr">
        <is>
          <t>Algorithms</t>
        </is>
      </c>
      <c r="O33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45" ht="15.75" customHeight="1" s="12">
      <c r="A3345" s="1" t="n">
        <v>3694</v>
      </c>
      <c r="B3345" s="3">
        <f>HYPERLINK("https://leetcode.com/problems/distinct-points-reachable-after-substring-removal/", "Distinct Points Reachable After Substring Removal")</f>
        <v/>
      </c>
      <c r="C3345" s="1" t="n">
        <v>62</v>
      </c>
      <c r="D3345" s="1" t="n">
        <v>1</v>
      </c>
      <c r="E3345" s="4">
        <f>IF(INDEX(C:C, ROW())+INDEX(D:D, ROW())=0, 0, INDEX(C:C, ROW())/(INDEX(C:C, ROW())+INDEX(D:D, ROW())))</f>
        <v/>
      </c>
      <c r="F3345" s="1" t="inlineStr">
        <is>
          <t>Hash Table, String, Sliding Window, Prefix Sum</t>
        </is>
      </c>
      <c r="G3345" s="1" t="inlineStr">
        <is>
          <t>Medium</t>
        </is>
      </c>
      <c r="H3345" s="1" t="n">
        <v>15604</v>
      </c>
      <c r="I3345" s="1" t="n">
        <v>29109</v>
      </c>
      <c r="J3345" s="9" t="n">
        <v>0.536</v>
      </c>
      <c r="K3345" s="1" t="inlineStr">
        <is>
          <t>Yes</t>
        </is>
      </c>
      <c r="L3345" s="1" t="inlineStr">
        <is>
          <t>No</t>
        </is>
      </c>
      <c r="M3345" s="1" t="inlineStr">
        <is>
          <t>No</t>
        </is>
      </c>
      <c r="N3345" s="1" t="inlineStr">
        <is>
          <t>Algorithms</t>
        </is>
      </c>
      <c r="O33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46" ht="15.75" customHeight="1" s="12">
      <c r="A3346" s="1" t="n">
        <v>3715</v>
      </c>
      <c r="B3346" s="3">
        <f>HYPERLINK("https://leetcode.com/problems/sum-of-perfect-square-ancestors/", "Sum of Perfect Square Ancestors")</f>
        <v/>
      </c>
      <c r="C3346" s="1" t="n">
        <v>62</v>
      </c>
      <c r="D3346" s="1" t="n">
        <v>3</v>
      </c>
      <c r="E3346" s="4">
        <f>IF(INDEX(C:C, ROW())+INDEX(D:D, ROW())=0, 0, INDEX(C:C, ROW())/(INDEX(C:C, ROW())+INDEX(D:D, ROW())))</f>
        <v/>
      </c>
      <c r="F3346" s="1" t="inlineStr">
        <is>
          <t>Array, Hash Table, Math, Tree, Depth-First Search, Counting, Number Theory</t>
        </is>
      </c>
      <c r="G3346" s="1" t="inlineStr">
        <is>
          <t>Hard</t>
        </is>
      </c>
      <c r="H3346" s="1" t="n">
        <v>6653</v>
      </c>
      <c r="I3346" s="1" t="n">
        <v>15777</v>
      </c>
      <c r="J3346" s="9" t="n">
        <v>0.422</v>
      </c>
      <c r="K3346" s="1" t="inlineStr">
        <is>
          <t>Yes</t>
        </is>
      </c>
      <c r="L3346" s="1" t="inlineStr">
        <is>
          <t>No</t>
        </is>
      </c>
      <c r="M3346" s="1" t="inlineStr">
        <is>
          <t>No</t>
        </is>
      </c>
      <c r="N3346" s="1" t="inlineStr">
        <is>
          <t>Algorithms</t>
        </is>
      </c>
      <c r="O33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47" ht="15.75" customHeight="1" s="12">
      <c r="A3347" s="1" t="n">
        <v>3759</v>
      </c>
      <c r="B3347" s="3">
        <f>HYPERLINK("https://leetcode.com/problems/count-elements-with-at-least-k-greater-values/", "Count Elements With at Least K Greater Values")</f>
        <v/>
      </c>
      <c r="C3347" s="1" t="n">
        <v>62</v>
      </c>
      <c r="D3347" s="1" t="n">
        <v>7</v>
      </c>
      <c r="E3347" s="4">
        <f>IF(INDEX(C:C, ROW())+INDEX(D:D, ROW())=0, 0, INDEX(C:C, ROW())/(INDEX(C:C, ROW())+INDEX(D:D, ROW())))</f>
        <v/>
      </c>
      <c r="F3347" s="1" t="inlineStr">
        <is>
          <t>Array, Binary Search, Divide and Conquer, Sorting, Quickselect</t>
        </is>
      </c>
      <c r="G3347" s="1" t="inlineStr">
        <is>
          <t>Medium</t>
        </is>
      </c>
      <c r="H3347" s="1" t="n">
        <v>29409</v>
      </c>
      <c r="I3347" s="1" t="n">
        <v>94935</v>
      </c>
      <c r="J3347" s="9" t="n">
        <v>0.31</v>
      </c>
      <c r="K3347" s="1" t="inlineStr">
        <is>
          <t>Yes</t>
        </is>
      </c>
      <c r="L3347" s="1" t="inlineStr">
        <is>
          <t>No</t>
        </is>
      </c>
      <c r="M3347" s="1" t="inlineStr">
        <is>
          <t>No</t>
        </is>
      </c>
      <c r="N3347" s="1" t="inlineStr">
        <is>
          <t>Algorithms</t>
        </is>
      </c>
      <c r="O33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48" ht="15.75" customHeight="1" s="12">
      <c r="A3348" s="1" t="n">
        <v>3789</v>
      </c>
      <c r="B3348" s="3">
        <f>HYPERLINK("https://leetcode.com/problems/minimum-cost-to-acquire-required-items/", "Minimum Cost to Acquire Required Items")</f>
        <v/>
      </c>
      <c r="C3348" s="1" t="n">
        <v>62</v>
      </c>
      <c r="D3348" s="1" t="n">
        <v>5</v>
      </c>
      <c r="E3348" s="4">
        <f>IF(INDEX(C:C, ROW())+INDEX(D:D, ROW())=0, 0, INDEX(C:C, ROW())/(INDEX(C:C, ROW())+INDEX(D:D, ROW())))</f>
        <v/>
      </c>
      <c r="F3348" s="1" t="inlineStr">
        <is>
          <t>Math, Greedy</t>
        </is>
      </c>
      <c r="G3348" s="1" t="inlineStr">
        <is>
          <t>Medium</t>
        </is>
      </c>
      <c r="H3348" s="1" t="n">
        <v>22331</v>
      </c>
      <c r="I3348" s="1" t="n">
        <v>64728</v>
      </c>
      <c r="J3348" s="9" t="n">
        <v>0.345</v>
      </c>
      <c r="K3348" s="1" t="inlineStr">
        <is>
          <t>Yes</t>
        </is>
      </c>
      <c r="L3348" s="1" t="inlineStr">
        <is>
          <t>No</t>
        </is>
      </c>
      <c r="M3348" s="1" t="inlineStr">
        <is>
          <t>No</t>
        </is>
      </c>
      <c r="N3348" s="1" t="inlineStr">
        <is>
          <t>Algorithms</t>
        </is>
      </c>
      <c r="O33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49" ht="15.75" customHeight="1" s="12">
      <c r="A3349" s="1" t="n">
        <v>1421</v>
      </c>
      <c r="B3349" s="3">
        <f>HYPERLINK("https://leetcode.com/problems/npv-queries/", "NPV Queries")</f>
        <v/>
      </c>
      <c r="C3349" s="1" t="n">
        <v>61</v>
      </c>
      <c r="D3349" s="1" t="n">
        <v>297</v>
      </c>
      <c r="E3349" s="4">
        <f>IF(INDEX(C:C, ROW())+INDEX(D:D, ROW())=0, 0, INDEX(C:C, ROW())/(INDEX(C:C, ROW())+INDEX(D:D, ROW())))</f>
        <v/>
      </c>
      <c r="F3349" s="1" t="inlineStr">
        <is>
          <t>Database</t>
        </is>
      </c>
      <c r="G3349" s="1" t="inlineStr">
        <is>
          <t>Easy</t>
        </is>
      </c>
      <c r="H3349" s="1" t="n">
        <v>31108</v>
      </c>
      <c r="I3349" s="1" t="n">
        <v>37482</v>
      </c>
      <c r="J3349" s="9" t="n">
        <v>0.83</v>
      </c>
      <c r="K3349" s="1" t="inlineStr">
        <is>
          <t>No</t>
        </is>
      </c>
      <c r="L3349" s="1" t="inlineStr">
        <is>
          <t>Yes</t>
        </is>
      </c>
      <c r="M3349" s="1" t="inlineStr">
        <is>
          <t>No</t>
        </is>
      </c>
      <c r="N3349" s="1" t="inlineStr">
        <is>
          <t>Database</t>
        </is>
      </c>
      <c r="O33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50" ht="15.75" customHeight="1" s="12">
      <c r="A3350" s="1" t="n">
        <v>1919</v>
      </c>
      <c r="B3350" s="3">
        <f>HYPERLINK("https://leetcode.com/problems/leetcodify-similar-friends/", "Leetcodify Similar Friends")</f>
        <v/>
      </c>
      <c r="C3350" s="1" t="n">
        <v>61</v>
      </c>
      <c r="D3350" s="1" t="n">
        <v>6</v>
      </c>
      <c r="E3350" s="4">
        <f>IF(INDEX(C:C, ROW())+INDEX(D:D, ROW())=0, 0, INDEX(C:C, ROW())/(INDEX(C:C, ROW())+INDEX(D:D, ROW())))</f>
        <v/>
      </c>
      <c r="F3350" s="1" t="inlineStr">
        <is>
          <t>Database</t>
        </is>
      </c>
      <c r="G3350" s="1" t="inlineStr">
        <is>
          <t>Hard</t>
        </is>
      </c>
      <c r="H3350" s="1" t="n">
        <v>7541</v>
      </c>
      <c r="I3350" s="1" t="n">
        <v>17541</v>
      </c>
      <c r="J3350" s="9" t="n">
        <v>0.43</v>
      </c>
      <c r="K3350" s="1" t="inlineStr">
        <is>
          <t>No</t>
        </is>
      </c>
      <c r="L3350" s="1" t="inlineStr">
        <is>
          <t>No</t>
        </is>
      </c>
      <c r="M3350" s="1" t="inlineStr">
        <is>
          <t>No</t>
        </is>
      </c>
      <c r="N3350" s="1" t="inlineStr">
        <is>
          <t>Database</t>
        </is>
      </c>
      <c r="O33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51" ht="15.75" customHeight="1" s="12">
      <c r="A3351" s="1" t="n">
        <v>1933</v>
      </c>
      <c r="B3351" s="3">
        <f>HYPERLINK("https://leetcode.com/problems/check-if-string-is-decomposable-into-value-equal-substrings/", "Check if String Is Decomposable Into Value-Equal Substrings")</f>
        <v/>
      </c>
      <c r="C3351" s="1" t="n">
        <v>61</v>
      </c>
      <c r="D3351" s="1" t="n">
        <v>15</v>
      </c>
      <c r="E3351" s="4">
        <f>IF(INDEX(C:C, ROW())+INDEX(D:D, ROW())=0, 0, INDEX(C:C, ROW())/(INDEX(C:C, ROW())+INDEX(D:D, ROW())))</f>
        <v/>
      </c>
      <c r="F3351" s="1" t="inlineStr">
        <is>
          <t>String</t>
        </is>
      </c>
      <c r="G3351" s="1" t="inlineStr">
        <is>
          <t>Easy</t>
        </is>
      </c>
      <c r="H3351" s="1" t="n">
        <v>4683</v>
      </c>
      <c r="I3351" s="1" t="n">
        <v>9230</v>
      </c>
      <c r="J3351" s="9" t="n">
        <v>0.507</v>
      </c>
      <c r="K3351" s="1" t="inlineStr">
        <is>
          <t>No</t>
        </is>
      </c>
      <c r="L3351" s="1" t="inlineStr">
        <is>
          <t>No</t>
        </is>
      </c>
      <c r="M3351" s="1" t="inlineStr">
        <is>
          <t>No</t>
        </is>
      </c>
      <c r="N3351" s="1" t="inlineStr">
        <is>
          <t>Algorithms</t>
        </is>
      </c>
      <c r="O33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52" ht="15.75" customHeight="1" s="12">
      <c r="A3352" s="1" t="n">
        <v>3145</v>
      </c>
      <c r="B3352" s="3">
        <f>HYPERLINK("https://leetcode.com/problems/find-products-of-elements-of-big-array/", "Find Products of Elements of Big Array")</f>
        <v/>
      </c>
      <c r="C3352" s="1" t="n">
        <v>61</v>
      </c>
      <c r="D3352" s="1" t="n">
        <v>17</v>
      </c>
      <c r="E3352" s="4">
        <f>IF(INDEX(C:C, ROW())+INDEX(D:D, ROW())=0, 0, INDEX(C:C, ROW())/(INDEX(C:C, ROW())+INDEX(D:D, ROW())))</f>
        <v/>
      </c>
      <c r="F3352" s="1" t="inlineStr">
        <is>
          <t>Array, Binary Search, Bit Manipulation</t>
        </is>
      </c>
      <c r="G3352" s="1" t="inlineStr">
        <is>
          <t>Hard</t>
        </is>
      </c>
      <c r="H3352" s="1" t="n">
        <v>2953</v>
      </c>
      <c r="I3352" s="1" t="n">
        <v>12200</v>
      </c>
      <c r="J3352" s="9" t="n">
        <v>0.242</v>
      </c>
      <c r="K3352" s="1" t="inlineStr">
        <is>
          <t>Yes</t>
        </is>
      </c>
      <c r="L3352" s="1" t="inlineStr">
        <is>
          <t>No</t>
        </is>
      </c>
      <c r="M3352" s="1" t="inlineStr">
        <is>
          <t>No</t>
        </is>
      </c>
      <c r="N3352" s="1" t="inlineStr">
        <is>
          <t>Algorithms</t>
        </is>
      </c>
      <c r="O33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53" ht="15.75" customHeight="1" s="12">
      <c r="A3353" s="1" t="n">
        <v>3485</v>
      </c>
      <c r="B3353" s="3">
        <f>HYPERLINK("https://leetcode.com/problems/longest-common-prefix-of-k-strings-after-removal/", "Longest Common Prefix of K Strings After Removal")</f>
        <v/>
      </c>
      <c r="C3353" s="1" t="n">
        <v>61</v>
      </c>
      <c r="D3353" s="1" t="n">
        <v>5</v>
      </c>
      <c r="E3353" s="4">
        <f>IF(INDEX(C:C, ROW())+INDEX(D:D, ROW())=0, 0, INDEX(C:C, ROW())/(INDEX(C:C, ROW())+INDEX(D:D, ROW())))</f>
        <v/>
      </c>
      <c r="F3353" s="1" t="inlineStr">
        <is>
          <t>Array, String, Trie</t>
        </is>
      </c>
      <c r="G3353" s="1" t="inlineStr">
        <is>
          <t>Hard</t>
        </is>
      </c>
      <c r="H3353" s="1" t="n">
        <v>6300</v>
      </c>
      <c r="I3353" s="1" t="n">
        <v>26822</v>
      </c>
      <c r="J3353" s="9" t="n">
        <v>0.235</v>
      </c>
      <c r="K3353" s="1" t="inlineStr">
        <is>
          <t>Yes</t>
        </is>
      </c>
      <c r="L3353" s="1" t="inlineStr">
        <is>
          <t>No</t>
        </is>
      </c>
      <c r="M3353" s="1" t="inlineStr">
        <is>
          <t>No</t>
        </is>
      </c>
      <c r="N3353" s="1" t="inlineStr">
        <is>
          <t>Algorithms</t>
        </is>
      </c>
      <c r="O33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54" ht="15.75" customHeight="1" s="12">
      <c r="A3354" s="1" t="n">
        <v>3723</v>
      </c>
      <c r="B3354" s="3">
        <f>HYPERLINK("https://leetcode.com/problems/maximize-sum-of-squares-of-digits/", "Maximize Sum of Squares of Digits")</f>
        <v/>
      </c>
      <c r="C3354" s="1" t="n">
        <v>61</v>
      </c>
      <c r="D3354" s="1" t="n">
        <v>2</v>
      </c>
      <c r="E3354" s="4">
        <f>IF(INDEX(C:C, ROW())+INDEX(D:D, ROW())=0, 0, INDEX(C:C, ROW())/(INDEX(C:C, ROW())+INDEX(D:D, ROW())))</f>
        <v/>
      </c>
      <c r="F3354" s="1" t="inlineStr">
        <is>
          <t>Math, Greedy</t>
        </is>
      </c>
      <c r="G3354" s="1" t="inlineStr">
        <is>
          <t>Medium</t>
        </is>
      </c>
      <c r="H3354" s="1" t="n">
        <v>22204</v>
      </c>
      <c r="I3354" s="1" t="n">
        <v>37713</v>
      </c>
      <c r="J3354" s="9" t="n">
        <v>0.589</v>
      </c>
      <c r="K3354" s="1" t="inlineStr">
        <is>
          <t>Yes</t>
        </is>
      </c>
      <c r="L3354" s="1" t="inlineStr">
        <is>
          <t>No</t>
        </is>
      </c>
      <c r="M3354" s="1" t="inlineStr">
        <is>
          <t>No</t>
        </is>
      </c>
      <c r="N3354" s="1" t="inlineStr">
        <is>
          <t>Algorithms</t>
        </is>
      </c>
      <c r="O33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55" ht="15.75" customHeight="1" s="12">
      <c r="A3355" s="1" t="n">
        <v>3806</v>
      </c>
      <c r="B3355" s="3">
        <f>HYPERLINK("https://leetcode.com/problems/maximum-bitwise-and-after-increment-operations/", "Maximum Bitwise AND After Increment Operations")</f>
        <v/>
      </c>
      <c r="C3355" s="1" t="n">
        <v>61</v>
      </c>
      <c r="D3355" s="1" t="n">
        <v>3</v>
      </c>
      <c r="E3355" s="4">
        <f>IF(INDEX(C:C, ROW())+INDEX(D:D, ROW())=0, 0, INDEX(C:C, ROW())/(INDEX(C:C, ROW())+INDEX(D:D, ROW())))</f>
        <v/>
      </c>
      <c r="F3355" s="1" t="inlineStr">
        <is>
          <t>Array, Greedy, Bit Manipulation, Sorting</t>
        </is>
      </c>
      <c r="G3355" s="1" t="inlineStr">
        <is>
          <t>Hard</t>
        </is>
      </c>
      <c r="H3355" s="1" t="n">
        <v>5464</v>
      </c>
      <c r="I3355" s="1" t="n">
        <v>18814</v>
      </c>
      <c r="J3355" s="9" t="n">
        <v>0.29</v>
      </c>
      <c r="K3355" s="1" t="inlineStr">
        <is>
          <t>Yes</t>
        </is>
      </c>
      <c r="L3355" s="1" t="inlineStr">
        <is>
          <t>No</t>
        </is>
      </c>
      <c r="M3355" s="1" t="inlineStr">
        <is>
          <t>No</t>
        </is>
      </c>
      <c r="N3355" s="1" t="inlineStr">
        <is>
          <t>Algorithms</t>
        </is>
      </c>
      <c r="O33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56" ht="15.75" customHeight="1" s="12">
      <c r="A3356" s="1" t="n">
        <v>2324</v>
      </c>
      <c r="B3356" s="3">
        <f>HYPERLINK("https://leetcode.com/problems/product-sales-analysis-iv/", "Product Sales Analysis IV")</f>
        <v/>
      </c>
      <c r="C3356" s="1" t="n">
        <v>60</v>
      </c>
      <c r="D3356" s="1" t="n">
        <v>1</v>
      </c>
      <c r="E3356" s="4">
        <f>IF(INDEX(C:C, ROW())+INDEX(D:D, ROW())=0, 0, INDEX(C:C, ROW())/(INDEX(C:C, ROW())+INDEX(D:D, ROW())))</f>
        <v/>
      </c>
      <c r="F3356" s="1" t="inlineStr">
        <is>
          <t>Database</t>
        </is>
      </c>
      <c r="G3356" s="1" t="inlineStr">
        <is>
          <t>Medium</t>
        </is>
      </c>
      <c r="H3356" s="1" t="n">
        <v>10973</v>
      </c>
      <c r="I3356" s="1" t="n">
        <v>14469</v>
      </c>
      <c r="J3356" s="9" t="n">
        <v>0.758</v>
      </c>
      <c r="K3356" s="1" t="inlineStr">
        <is>
          <t>No</t>
        </is>
      </c>
      <c r="L3356" s="1" t="inlineStr">
        <is>
          <t>No</t>
        </is>
      </c>
      <c r="M3356" s="1" t="inlineStr">
        <is>
          <t>No</t>
        </is>
      </c>
      <c r="N3356" s="1" t="inlineStr">
        <is>
          <t>Database</t>
        </is>
      </c>
      <c r="O33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57" ht="15.75" customHeight="1" s="12">
      <c r="A3357" s="1" t="n">
        <v>2378</v>
      </c>
      <c r="B3357" s="3">
        <f>HYPERLINK("https://leetcode.com/problems/choose-edges-to-maximize-score-in-a-tree/", "Choose Edges to Maximize Score in a Tree")</f>
        <v/>
      </c>
      <c r="C3357" s="1" t="n">
        <v>60</v>
      </c>
      <c r="D3357" s="1" t="n">
        <v>13</v>
      </c>
      <c r="E3357" s="4">
        <f>IF(INDEX(C:C, ROW())+INDEX(D:D, ROW())=0, 0, INDEX(C:C, ROW())/(INDEX(C:C, ROW())+INDEX(D:D, ROW())))</f>
        <v/>
      </c>
      <c r="F3357" s="1" t="inlineStr">
        <is>
          <t>Dynamic Programming, Tree, Depth-First Search</t>
        </is>
      </c>
      <c r="G3357" s="1" t="inlineStr">
        <is>
          <t>Medium</t>
        </is>
      </c>
      <c r="H3357" s="1" t="n">
        <v>2060</v>
      </c>
      <c r="I3357" s="1" t="n">
        <v>3647</v>
      </c>
      <c r="J3357" s="9" t="n">
        <v>0.5649999999999999</v>
      </c>
      <c r="K3357" s="1" t="inlineStr">
        <is>
          <t>No</t>
        </is>
      </c>
      <c r="L3357" s="1" t="inlineStr">
        <is>
          <t>No</t>
        </is>
      </c>
      <c r="M3357" s="1" t="inlineStr">
        <is>
          <t>No</t>
        </is>
      </c>
      <c r="N3357" s="1" t="inlineStr">
        <is>
          <t>Algorithms</t>
        </is>
      </c>
      <c r="O33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58" ht="15.75" customHeight="1" s="12">
      <c r="A3358" s="1" t="n">
        <v>3086</v>
      </c>
      <c r="B3358" s="3">
        <f>HYPERLINK("https://leetcode.com/problems/minimum-moves-to-pick-k-ones/", "Minimum Moves to Pick K Ones")</f>
        <v/>
      </c>
      <c r="C3358" s="1" t="n">
        <v>60</v>
      </c>
      <c r="D3358" s="1" t="n">
        <v>53</v>
      </c>
      <c r="E3358" s="4">
        <f>IF(INDEX(C:C, ROW())+INDEX(D:D, ROW())=0, 0, INDEX(C:C, ROW())/(INDEX(C:C, ROW())+INDEX(D:D, ROW())))</f>
        <v/>
      </c>
      <c r="F3358" s="1" t="inlineStr">
        <is>
          <t>Array, Greedy, Sliding Window, Prefix Sum</t>
        </is>
      </c>
      <c r="G3358" s="1" t="inlineStr">
        <is>
          <t>Hard</t>
        </is>
      </c>
      <c r="H3358" s="1" t="n">
        <v>4117</v>
      </c>
      <c r="I3358" s="1" t="n">
        <v>19370</v>
      </c>
      <c r="J3358" s="9" t="n">
        <v>0.213</v>
      </c>
      <c r="K3358" s="1" t="inlineStr">
        <is>
          <t>Yes</t>
        </is>
      </c>
      <c r="L3358" s="1" t="inlineStr">
        <is>
          <t>No</t>
        </is>
      </c>
      <c r="M3358" s="1" t="inlineStr">
        <is>
          <t>No</t>
        </is>
      </c>
      <c r="N3358" s="1" t="inlineStr">
        <is>
          <t>Algorithms</t>
        </is>
      </c>
      <c r="O33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59" ht="15.75" customHeight="1" s="12">
      <c r="A3359" s="1" t="n">
        <v>3189</v>
      </c>
      <c r="B3359" s="3">
        <f>HYPERLINK("https://leetcode.com/problems/minimum-moves-to-get-a-peaceful-board/", "Minimum Moves to Get a Peaceful Board")</f>
        <v/>
      </c>
      <c r="C3359" s="1" t="n">
        <v>60</v>
      </c>
      <c r="D3359" s="1" t="n">
        <v>13</v>
      </c>
      <c r="E3359" s="4">
        <f>IF(INDEX(C:C, ROW())+INDEX(D:D, ROW())=0, 0, INDEX(C:C, ROW())/(INDEX(C:C, ROW())+INDEX(D:D, ROW())))</f>
        <v/>
      </c>
      <c r="F3359" s="1" t="inlineStr">
        <is>
          <t>Array, Greedy, Sorting, Counting Sort</t>
        </is>
      </c>
      <c r="G3359" s="1" t="inlineStr">
        <is>
          <t>Medium</t>
        </is>
      </c>
      <c r="H3359" s="1" t="n">
        <v>4738</v>
      </c>
      <c r="I3359" s="1" t="n">
        <v>6242</v>
      </c>
      <c r="J3359" s="9" t="n">
        <v>0.759</v>
      </c>
      <c r="K3359" s="1" t="inlineStr">
        <is>
          <t>No</t>
        </is>
      </c>
      <c r="L3359" s="1" t="inlineStr">
        <is>
          <t>Yes</t>
        </is>
      </c>
      <c r="M3359" s="1" t="inlineStr">
        <is>
          <t>No</t>
        </is>
      </c>
      <c r="N3359" s="1" t="inlineStr">
        <is>
          <t>Algorithms</t>
        </is>
      </c>
      <c r="O33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60" ht="15.75" customHeight="1" s="12">
      <c r="A3360" s="1" t="n">
        <v>3245</v>
      </c>
      <c r="B3360" s="3">
        <f>HYPERLINK("https://leetcode.com/problems/alternating-groups-iii/", "Alternating Groups III")</f>
        <v/>
      </c>
      <c r="C3360" s="1" t="n">
        <v>60</v>
      </c>
      <c r="D3360" s="1" t="n">
        <v>10</v>
      </c>
      <c r="E3360" s="4">
        <f>IF(INDEX(C:C, ROW())+INDEX(D:D, ROW())=0, 0, INDEX(C:C, ROW())/(INDEX(C:C, ROW())+INDEX(D:D, ROW())))</f>
        <v/>
      </c>
      <c r="F3360" s="1" t="inlineStr">
        <is>
          <t>Array, Binary Indexed Tree, Ordered Set</t>
        </is>
      </c>
      <c r="G3360" s="1" t="inlineStr">
        <is>
          <t>Hard</t>
        </is>
      </c>
      <c r="H3360" s="1" t="n">
        <v>2736</v>
      </c>
      <c r="I3360" s="1" t="n">
        <v>14748</v>
      </c>
      <c r="J3360" s="9" t="n">
        <v>0.186</v>
      </c>
      <c r="K3360" s="1" t="inlineStr">
        <is>
          <t>Yes</t>
        </is>
      </c>
      <c r="L3360" s="1" t="inlineStr">
        <is>
          <t>No</t>
        </is>
      </c>
      <c r="M3360" s="1" t="inlineStr">
        <is>
          <t>No</t>
        </is>
      </c>
      <c r="N3360" s="1" t="inlineStr">
        <is>
          <t>Algorithms</t>
        </is>
      </c>
      <c r="O33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61" ht="15.75" customHeight="1" s="12">
      <c r="A3361" s="1" t="n">
        <v>3410</v>
      </c>
      <c r="B3361" s="3">
        <f>HYPERLINK("https://leetcode.com/problems/maximize-subarray-sum-after-removing-all-occurrences-of-one-element/", "Maximize Subarray Sum After Removing All Occurrences of One Element")</f>
        <v/>
      </c>
      <c r="C3361" s="1" t="n">
        <v>60</v>
      </c>
      <c r="D3361" s="1" t="n">
        <v>5</v>
      </c>
      <c r="E3361" s="4">
        <f>IF(INDEX(C:C, ROW())+INDEX(D:D, ROW())=0, 0, INDEX(C:C, ROW())/(INDEX(C:C, ROW())+INDEX(D:D, ROW())))</f>
        <v/>
      </c>
      <c r="F3361" s="1" t="inlineStr">
        <is>
          <t>Array, Dynamic Programming, Segment Tree</t>
        </is>
      </c>
      <c r="G3361" s="1" t="inlineStr">
        <is>
          <t>Hard</t>
        </is>
      </c>
      <c r="H3361" s="1" t="n">
        <v>3864</v>
      </c>
      <c r="I3361" s="1" t="n">
        <v>17073</v>
      </c>
      <c r="J3361" s="9" t="n">
        <v>0.226</v>
      </c>
      <c r="K3361" s="1" t="inlineStr">
        <is>
          <t>Yes</t>
        </is>
      </c>
      <c r="L3361" s="1" t="inlineStr">
        <is>
          <t>No</t>
        </is>
      </c>
      <c r="M3361" s="1" t="inlineStr">
        <is>
          <t>No</t>
        </is>
      </c>
      <c r="N3361" s="1" t="inlineStr">
        <is>
          <t>Algorithms</t>
        </is>
      </c>
      <c r="O33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62" ht="15.75" customHeight="1" s="12">
      <c r="A3362" s="1" t="n">
        <v>3788</v>
      </c>
      <c r="B3362" s="3">
        <f>HYPERLINK("https://leetcode.com/problems/maximum-score-of-a-split/", "Maximum Score of a Split")</f>
        <v/>
      </c>
      <c r="C3362" s="1" t="n">
        <v>60</v>
      </c>
      <c r="D3362" s="1" t="n">
        <v>6</v>
      </c>
      <c r="E3362" s="4">
        <f>IF(INDEX(C:C, ROW())+INDEX(D:D, ROW())=0, 0, INDEX(C:C, ROW())/(INDEX(C:C, ROW())+INDEX(D:D, ROW())))</f>
        <v/>
      </c>
      <c r="F3362" s="1" t="inlineStr">
        <is>
          <t>Array, Prefix Sum</t>
        </is>
      </c>
      <c r="G3362" s="1" t="inlineStr">
        <is>
          <t>Medium</t>
        </is>
      </c>
      <c r="H3362" s="1" t="n">
        <v>35288</v>
      </c>
      <c r="I3362" s="1" t="n">
        <v>68713</v>
      </c>
      <c r="J3362" s="9" t="n">
        <v>0.514</v>
      </c>
      <c r="K3362" s="1" t="inlineStr">
        <is>
          <t>Yes</t>
        </is>
      </c>
      <c r="L3362" s="1" t="inlineStr">
        <is>
          <t>No</t>
        </is>
      </c>
      <c r="M3362" s="1" t="inlineStr">
        <is>
          <t>No</t>
        </is>
      </c>
      <c r="N3362" s="1" t="inlineStr">
        <is>
          <t>Algorithms</t>
        </is>
      </c>
      <c r="O33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63" ht="15.75" customHeight="1" s="12">
      <c r="A3363" s="1" t="n">
        <v>2728</v>
      </c>
      <c r="B3363" s="3">
        <f>HYPERLINK("https://leetcode.com/problems/count-houses-in-a-circular-street/", "Count Houses in a Circular Street")</f>
        <v/>
      </c>
      <c r="C3363" s="1" t="n">
        <v>59</v>
      </c>
      <c r="D3363" s="1" t="n">
        <v>12</v>
      </c>
      <c r="E3363" s="4">
        <f>IF(INDEX(C:C, ROW())+INDEX(D:D, ROW())=0, 0, INDEX(C:C, ROW())/(INDEX(C:C, ROW())+INDEX(D:D, ROW())))</f>
        <v/>
      </c>
      <c r="F3363" s="1" t="inlineStr">
        <is>
          <t>Array, Interactive</t>
        </is>
      </c>
      <c r="G3363" s="1" t="inlineStr">
        <is>
          <t>Easy</t>
        </is>
      </c>
      <c r="H3363" s="1" t="n">
        <v>3173</v>
      </c>
      <c r="I3363" s="1" t="n">
        <v>3693</v>
      </c>
      <c r="J3363" s="9" t="n">
        <v>0.859</v>
      </c>
      <c r="K3363" s="1" t="inlineStr">
        <is>
          <t>No</t>
        </is>
      </c>
      <c r="L3363" s="1" t="inlineStr">
        <is>
          <t>No</t>
        </is>
      </c>
      <c r="M3363" s="1" t="inlineStr">
        <is>
          <t>No</t>
        </is>
      </c>
      <c r="N3363" s="1" t="inlineStr">
        <is>
          <t>Algorithms</t>
        </is>
      </c>
      <c r="O33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64" ht="15.75" customHeight="1" s="12">
      <c r="A3364" s="1" t="n">
        <v>3257</v>
      </c>
      <c r="B3364" s="3">
        <f>HYPERLINK("https://leetcode.com/problems/maximum-value-sum-by-placing-three-rooks-ii/", "Maximum Value Sum by Placing Three Rooks II")</f>
        <v/>
      </c>
      <c r="C3364" s="1" t="n">
        <v>59</v>
      </c>
      <c r="D3364" s="1" t="n">
        <v>9</v>
      </c>
      <c r="E3364" s="4">
        <f>IF(INDEX(C:C, ROW())+INDEX(D:D, ROW())=0, 0, INDEX(C:C, ROW())/(INDEX(C:C, ROW())+INDEX(D:D, ROW())))</f>
        <v/>
      </c>
      <c r="F3364" s="1" t="inlineStr">
        <is>
          <t>Array, Dynamic Programming, Matrix, Enumeration</t>
        </is>
      </c>
      <c r="G3364" s="1" t="inlineStr">
        <is>
          <t>Hard</t>
        </is>
      </c>
      <c r="H3364" s="1" t="n">
        <v>5376</v>
      </c>
      <c r="I3364" s="1" t="n">
        <v>20142</v>
      </c>
      <c r="J3364" s="9" t="n">
        <v>0.267</v>
      </c>
      <c r="K3364" s="1" t="inlineStr">
        <is>
          <t>Yes</t>
        </is>
      </c>
      <c r="L3364" s="1" t="inlineStr">
        <is>
          <t>No</t>
        </is>
      </c>
      <c r="M3364" s="1" t="inlineStr">
        <is>
          <t>No</t>
        </is>
      </c>
      <c r="N3364" s="1" t="inlineStr">
        <is>
          <t>Algorithms</t>
        </is>
      </c>
      <c r="O33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65" ht="15.75" customHeight="1" s="12">
      <c r="A3365" s="1" t="n">
        <v>3481</v>
      </c>
      <c r="B3365" s="3">
        <f>HYPERLINK("https://leetcode.com/problems/apply-substitutions/", "Apply Substitutions")</f>
        <v/>
      </c>
      <c r="C3365" s="1" t="n">
        <v>59</v>
      </c>
      <c r="D3365" s="1" t="n">
        <v>5</v>
      </c>
      <c r="E3365" s="4">
        <f>IF(INDEX(C:C, ROW())+INDEX(D:D, ROW())=0, 0, INDEX(C:C, ROW())/(INDEX(C:C, ROW())+INDEX(D:D, ROW())))</f>
        <v/>
      </c>
      <c r="F3365" s="1" t="inlineStr">
        <is>
          <t>Array, Hash Table, String, Depth-First Search, Breadth-First Search, Graph Theory, Topological Sort</t>
        </is>
      </c>
      <c r="G3365" s="1" t="inlineStr">
        <is>
          <t>Medium</t>
        </is>
      </c>
      <c r="H3365" s="1" t="n">
        <v>13952</v>
      </c>
      <c r="I3365" s="1" t="n">
        <v>18040</v>
      </c>
      <c r="J3365" s="9" t="n">
        <v>0.773</v>
      </c>
      <c r="K3365" s="1" t="inlineStr">
        <is>
          <t>No</t>
        </is>
      </c>
      <c r="L3365" s="1" t="inlineStr">
        <is>
          <t>No</t>
        </is>
      </c>
      <c r="M3365" s="1" t="inlineStr">
        <is>
          <t>No</t>
        </is>
      </c>
      <c r="N3365" s="1" t="inlineStr">
        <is>
          <t>Algorithms</t>
        </is>
      </c>
      <c r="O33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66" ht="15.75" customHeight="1" s="12">
      <c r="A3366" s="1" t="n">
        <v>3646</v>
      </c>
      <c r="B3366" s="3">
        <f>HYPERLINK("https://leetcode.com/problems/next-special-palindrome-number/", "Next Special Palindrome Number")</f>
        <v/>
      </c>
      <c r="C3366" s="1" t="n">
        <v>59</v>
      </c>
      <c r="D3366" s="1" t="n">
        <v>5</v>
      </c>
      <c r="E3366" s="4">
        <f>IF(INDEX(C:C, ROW())+INDEX(D:D, ROW())=0, 0, INDEX(C:C, ROW())/(INDEX(C:C, ROW())+INDEX(D:D, ROW())))</f>
        <v/>
      </c>
      <c r="F3366" s="1" t="inlineStr">
        <is>
          <t>Backtracking, Bit Manipulation</t>
        </is>
      </c>
      <c r="G3366" s="1" t="inlineStr">
        <is>
          <t>Hard</t>
        </is>
      </c>
      <c r="H3366" s="1" t="n">
        <v>9322</v>
      </c>
      <c r="I3366" s="1" t="n">
        <v>37272</v>
      </c>
      <c r="J3366" s="9" t="n">
        <v>0.25</v>
      </c>
      <c r="K3366" s="1" t="inlineStr">
        <is>
          <t>Yes</t>
        </is>
      </c>
      <c r="L3366" s="1" t="inlineStr">
        <is>
          <t>No</t>
        </is>
      </c>
      <c r="M3366" s="1" t="inlineStr">
        <is>
          <t>No</t>
        </is>
      </c>
      <c r="N3366" s="1" t="inlineStr">
        <is>
          <t>Algorithms</t>
        </is>
      </c>
      <c r="O33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67" ht="15.75" customHeight="1" s="12">
      <c r="A3367" s="1" t="n">
        <v>3725</v>
      </c>
      <c r="B3367" s="3">
        <f>HYPERLINK("https://leetcode.com/problems/count-ways-to-choose-coprime-integers-from-rows/", "Count Ways to Choose Coprime Integers from Rows")</f>
        <v/>
      </c>
      <c r="C3367" s="1" t="n">
        <v>59</v>
      </c>
      <c r="D3367" s="1" t="n">
        <v>4</v>
      </c>
      <c r="E3367" s="4">
        <f>IF(INDEX(C:C, ROW())+INDEX(D:D, ROW())=0, 0, INDEX(C:C, ROW())/(INDEX(C:C, ROW())+INDEX(D:D, ROW())))</f>
        <v/>
      </c>
      <c r="F3367" s="1" t="inlineStr">
        <is>
          <t>Array, Math, Dynamic Programming, Matrix, Combinatorics, Number Theory</t>
        </is>
      </c>
      <c r="G3367" s="1" t="inlineStr">
        <is>
          <t>Hard</t>
        </is>
      </c>
      <c r="H3367" s="1" t="n">
        <v>9052</v>
      </c>
      <c r="I3367" s="1" t="n">
        <v>18871</v>
      </c>
      <c r="J3367" s="9" t="n">
        <v>0.48</v>
      </c>
      <c r="K3367" s="1" t="inlineStr">
        <is>
          <t>Yes</t>
        </is>
      </c>
      <c r="L3367" s="1" t="inlineStr">
        <is>
          <t>No</t>
        </is>
      </c>
      <c r="M3367" s="1" t="inlineStr">
        <is>
          <t>No</t>
        </is>
      </c>
      <c r="N3367" s="1" t="inlineStr">
        <is>
          <t>Algorithms</t>
        </is>
      </c>
      <c r="O33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68" ht="15.75" customHeight="1" s="12">
      <c r="A3368" s="1" t="n">
        <v>3767</v>
      </c>
      <c r="B3368" s="3">
        <f>HYPERLINK("https://leetcode.com/problems/maximize-points-after-choosing-k-tasks/", "Maximize Points After Choosing K Tasks")</f>
        <v/>
      </c>
      <c r="C3368" s="1" t="n">
        <v>59</v>
      </c>
      <c r="D3368" s="1" t="n">
        <v>2</v>
      </c>
      <c r="E3368" s="4">
        <f>IF(INDEX(C:C, ROW())+INDEX(D:D, ROW())=0, 0, INDEX(C:C, ROW())/(INDEX(C:C, ROW())+INDEX(D:D, ROW())))</f>
        <v/>
      </c>
      <c r="F3368" s="1" t="inlineStr">
        <is>
          <t>Array, Greedy, Sorting, Heap (Priority Queue)</t>
        </is>
      </c>
      <c r="G3368" s="1" t="inlineStr">
        <is>
          <t>Medium</t>
        </is>
      </c>
      <c r="H3368" s="1" t="n">
        <v>15005</v>
      </c>
      <c r="I3368" s="1" t="n">
        <v>25249</v>
      </c>
      <c r="J3368" s="9" t="n">
        <v>0.594</v>
      </c>
      <c r="K3368" s="1" t="inlineStr">
        <is>
          <t>Yes</t>
        </is>
      </c>
      <c r="L3368" s="1" t="inlineStr">
        <is>
          <t>No</t>
        </is>
      </c>
      <c r="M3368" s="1" t="inlineStr">
        <is>
          <t>No</t>
        </is>
      </c>
      <c r="N3368" s="1" t="inlineStr">
        <is>
          <t>Algorithms</t>
        </is>
      </c>
      <c r="O33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69" ht="15.75" customHeight="1" s="12">
      <c r="A3369" s="1" t="n">
        <v>2041</v>
      </c>
      <c r="B3369" s="3">
        <f>HYPERLINK("https://leetcode.com/problems/accepted-candidates-from-the-interviews/", "Accepted Candidates From the Interviews")</f>
        <v/>
      </c>
      <c r="C3369" s="1" t="n">
        <v>58</v>
      </c>
      <c r="D3369" s="1" t="n">
        <v>28</v>
      </c>
      <c r="E3369" s="4">
        <f>IF(INDEX(C:C, ROW())+INDEX(D:D, ROW())=0, 0, INDEX(C:C, ROW())/(INDEX(C:C, ROW())+INDEX(D:D, ROW())))</f>
        <v/>
      </c>
      <c r="F3369" s="1" t="inlineStr">
        <is>
          <t>Database</t>
        </is>
      </c>
      <c r="G3369" s="1" t="inlineStr">
        <is>
          <t>Medium</t>
        </is>
      </c>
      <c r="H3369" s="1" t="n">
        <v>15765</v>
      </c>
      <c r="I3369" s="1" t="n">
        <v>20096</v>
      </c>
      <c r="J3369" s="9" t="n">
        <v>0.784</v>
      </c>
      <c r="K3369" s="1" t="inlineStr">
        <is>
          <t>No</t>
        </is>
      </c>
      <c r="L3369" s="1" t="inlineStr">
        <is>
          <t>Yes</t>
        </is>
      </c>
      <c r="M3369" s="1" t="inlineStr">
        <is>
          <t>No</t>
        </is>
      </c>
      <c r="N3369" s="1" t="inlineStr">
        <is>
          <t>Database</t>
        </is>
      </c>
      <c r="O33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70" ht="15.75" customHeight="1" s="12">
      <c r="A3370" s="1" t="n">
        <v>2533</v>
      </c>
      <c r="B3370" s="3">
        <f>HYPERLINK("https://leetcode.com/problems/number-of-good-binary-strings/", "Number of Good Binary Strings")</f>
        <v/>
      </c>
      <c r="C3370" s="1" t="n">
        <v>58</v>
      </c>
      <c r="D3370" s="1" t="n">
        <v>23</v>
      </c>
      <c r="E3370" s="4">
        <f>IF(INDEX(C:C, ROW())+INDEX(D:D, ROW())=0, 0, INDEX(C:C, ROW())/(INDEX(C:C, ROW())+INDEX(D:D, ROW())))</f>
        <v/>
      </c>
      <c r="F3370" s="1" t="inlineStr">
        <is>
          <t>Dynamic Programming</t>
        </is>
      </c>
      <c r="G3370" s="1" t="inlineStr">
        <is>
          <t>Medium</t>
        </is>
      </c>
      <c r="H3370" s="1" t="n">
        <v>7547</v>
      </c>
      <c r="I3370" s="1" t="n">
        <v>14336</v>
      </c>
      <c r="J3370" s="9" t="n">
        <v>0.526</v>
      </c>
      <c r="K3370" s="1" t="inlineStr">
        <is>
          <t>No</t>
        </is>
      </c>
      <c r="L3370" s="1" t="inlineStr">
        <is>
          <t>No</t>
        </is>
      </c>
      <c r="M3370" s="1" t="inlineStr">
        <is>
          <t>No</t>
        </is>
      </c>
      <c r="N3370" s="1" t="inlineStr">
        <is>
          <t>Algorithms</t>
        </is>
      </c>
      <c r="O33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71" ht="15.75" customHeight="1" s="12">
      <c r="A3371" s="1" t="n">
        <v>2737</v>
      </c>
      <c r="B3371" s="3">
        <f>HYPERLINK("https://leetcode.com/problems/find-the-closest-marked-node/", "Find the Closest Marked Node")</f>
        <v/>
      </c>
      <c r="C3371" s="1" t="n">
        <v>58</v>
      </c>
      <c r="D3371" s="1" t="n">
        <v>6</v>
      </c>
      <c r="E3371" s="4">
        <f>IF(INDEX(C:C, ROW())+INDEX(D:D, ROW())=0, 0, INDEX(C:C, ROW())/(INDEX(C:C, ROW())+INDEX(D:D, ROW())))</f>
        <v/>
      </c>
      <c r="F3371" s="1" t="inlineStr">
        <is>
          <t>Array, Graph Theory, Heap (Priority Queue), Shortest Path</t>
        </is>
      </c>
      <c r="G3371" s="1" t="inlineStr">
        <is>
          <t>Medium</t>
        </is>
      </c>
      <c r="H3371" s="1" t="n">
        <v>7279</v>
      </c>
      <c r="I3371" s="1" t="n">
        <v>11161</v>
      </c>
      <c r="J3371" s="9" t="n">
        <v>0.652</v>
      </c>
      <c r="K3371" s="1" t="inlineStr">
        <is>
          <t>No</t>
        </is>
      </c>
      <c r="L3371" s="1" t="inlineStr">
        <is>
          <t>Yes</t>
        </is>
      </c>
      <c r="M3371" s="1" t="inlineStr">
        <is>
          <t>No</t>
        </is>
      </c>
      <c r="N3371" s="1" t="inlineStr">
        <is>
          <t>Algorithms</t>
        </is>
      </c>
      <c r="O33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72" ht="15.75" customHeight="1" s="12">
      <c r="A3372" s="1" t="n">
        <v>2852</v>
      </c>
      <c r="B3372" s="3">
        <f>HYPERLINK("https://leetcode.com/problems/sum-of-remoteness-of-all-cells/", "Sum of Remoteness of All Cells")</f>
        <v/>
      </c>
      <c r="C3372" s="1" t="n">
        <v>58</v>
      </c>
      <c r="D3372" s="1" t="n">
        <v>16</v>
      </c>
      <c r="E3372" s="4">
        <f>IF(INDEX(C:C, ROW())+INDEX(D:D, ROW())=0, 0, INDEX(C:C, ROW())/(INDEX(C:C, ROW())+INDEX(D:D, ROW())))</f>
        <v/>
      </c>
      <c r="F3372" s="1" t="inlineStr">
        <is>
          <t>Array, Hash Table, Depth-First Search, Breadth-First Search, Union-Find, Matrix</t>
        </is>
      </c>
      <c r="G3372" s="1" t="inlineStr">
        <is>
          <t>Medium</t>
        </is>
      </c>
      <c r="H3372" s="1" t="n">
        <v>6444</v>
      </c>
      <c r="I3372" s="1" t="n">
        <v>9100</v>
      </c>
      <c r="J3372" s="9" t="n">
        <v>0.708</v>
      </c>
      <c r="K3372" s="1" t="inlineStr">
        <is>
          <t>No</t>
        </is>
      </c>
      <c r="L3372" s="1" t="inlineStr">
        <is>
          <t>Yes</t>
        </is>
      </c>
      <c r="M3372" s="1" t="inlineStr">
        <is>
          <t>No</t>
        </is>
      </c>
      <c r="N3372" s="1" t="inlineStr">
        <is>
          <t>Algorithms</t>
        </is>
      </c>
      <c r="O33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73" ht="15.75" customHeight="1" s="12">
      <c r="A3373" s="1" t="n">
        <v>3505</v>
      </c>
      <c r="B3373" s="3">
        <f>HYPERLINK("https://leetcode.com/problems/minimum-operations-to-make-elements-within-k-subarrays-equal/", "Minimum Operations to Make Elements Within K Subarrays Equal")</f>
        <v/>
      </c>
      <c r="C3373" s="1" t="n">
        <v>58</v>
      </c>
      <c r="D3373" s="1" t="n">
        <v>2</v>
      </c>
      <c r="E3373" s="4">
        <f>IF(INDEX(C:C, ROW())+INDEX(D:D, ROW())=0, 0, INDEX(C:C, ROW())/(INDEX(C:C, ROW())+INDEX(D:D, ROW())))</f>
        <v/>
      </c>
      <c r="F3373" s="1" t="inlineStr">
        <is>
          <t>Array, Hash Table, Math, Dynamic Programming, Sliding Window, Heap (Priority Queue)</t>
        </is>
      </c>
      <c r="G3373" s="1" t="inlineStr">
        <is>
          <t>Hard</t>
        </is>
      </c>
      <c r="H3373" s="1" t="n">
        <v>4010</v>
      </c>
      <c r="I3373" s="1" t="n">
        <v>14870</v>
      </c>
      <c r="J3373" s="9" t="n">
        <v>0.27</v>
      </c>
      <c r="K3373" s="1" t="inlineStr">
        <is>
          <t>Yes</t>
        </is>
      </c>
      <c r="L3373" s="1" t="inlineStr">
        <is>
          <t>No</t>
        </is>
      </c>
      <c r="M3373" s="1" t="inlineStr">
        <is>
          <t>No</t>
        </is>
      </c>
      <c r="N3373" s="1" t="inlineStr">
        <is>
          <t>Algorithms</t>
        </is>
      </c>
      <c r="O33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74" ht="15.75" customHeight="1" s="12">
      <c r="A3374" s="1" t="n">
        <v>3558</v>
      </c>
      <c r="B3374" s="3">
        <f>HYPERLINK("https://leetcode.com/problems/number-of-ways-to-assign-edge-weights-i/", "Number of Ways to Assign Edge Weights I")</f>
        <v/>
      </c>
      <c r="C3374" s="1" t="n">
        <v>58</v>
      </c>
      <c r="D3374" s="1" t="n">
        <v>6</v>
      </c>
      <c r="E3374" s="4">
        <f>IF(INDEX(C:C, ROW())+INDEX(D:D, ROW())=0, 0, INDEX(C:C, ROW())/(INDEX(C:C, ROW())+INDEX(D:D, ROW())))</f>
        <v/>
      </c>
      <c r="F3374" s="1" t="inlineStr">
        <is>
          <t>Math, Tree, Depth-First Search</t>
        </is>
      </c>
      <c r="G3374" s="1" t="inlineStr">
        <is>
          <t>Medium</t>
        </is>
      </c>
      <c r="H3374" s="1" t="n">
        <v>13252</v>
      </c>
      <c r="I3374" s="1" t="n">
        <v>24848</v>
      </c>
      <c r="J3374" s="9" t="n">
        <v>0.533</v>
      </c>
      <c r="K3374" s="1" t="inlineStr">
        <is>
          <t>Yes</t>
        </is>
      </c>
      <c r="L3374" s="1" t="inlineStr">
        <is>
          <t>No</t>
        </is>
      </c>
      <c r="M3374" s="1" t="inlineStr">
        <is>
          <t>No</t>
        </is>
      </c>
      <c r="N3374" s="1" t="inlineStr">
        <is>
          <t>Algorithms</t>
        </is>
      </c>
      <c r="O33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75" ht="15.75" customHeight="1" s="12">
      <c r="A3375" s="1" t="n">
        <v>3560</v>
      </c>
      <c r="B3375" s="3">
        <f>HYPERLINK("https://leetcode.com/problems/find-minimum-log-transportation-cost/", "Find Minimum Log Transportation Cost")</f>
        <v/>
      </c>
      <c r="C3375" s="1" t="n">
        <v>58</v>
      </c>
      <c r="D3375" s="1" t="n">
        <v>17</v>
      </c>
      <c r="E3375" s="4">
        <f>IF(INDEX(C:C, ROW())+INDEX(D:D, ROW())=0, 0, INDEX(C:C, ROW())/(INDEX(C:C, ROW())+INDEX(D:D, ROW())))</f>
        <v/>
      </c>
      <c r="F3375" s="1" t="inlineStr">
        <is>
          <t>Math</t>
        </is>
      </c>
      <c r="G3375" s="1" t="inlineStr">
        <is>
          <t>Easy</t>
        </is>
      </c>
      <c r="H3375" s="1" t="n">
        <v>34688</v>
      </c>
      <c r="I3375" s="1" t="n">
        <v>82459</v>
      </c>
      <c r="J3375" s="9" t="n">
        <v>0.421</v>
      </c>
      <c r="K3375" s="1" t="inlineStr">
        <is>
          <t>Yes</t>
        </is>
      </c>
      <c r="L3375" s="1" t="inlineStr">
        <is>
          <t>No</t>
        </is>
      </c>
      <c r="M3375" s="1" t="inlineStr">
        <is>
          <t>No</t>
        </is>
      </c>
      <c r="N3375" s="1" t="inlineStr">
        <is>
          <t>Algorithms</t>
        </is>
      </c>
      <c r="O33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76" ht="15.75" customHeight="1" s="12">
      <c r="A3376" s="1" t="n">
        <v>3615</v>
      </c>
      <c r="B3376" s="3">
        <f>HYPERLINK("https://leetcode.com/problems/longest-palindromic-path-in-graph/", "Longest Palindromic Path in Graph")</f>
        <v/>
      </c>
      <c r="C3376" s="1" t="n">
        <v>58</v>
      </c>
      <c r="D3376" s="1" t="n">
        <v>5</v>
      </c>
      <c r="E3376" s="4">
        <f>IF(INDEX(C:C, ROW())+INDEX(D:D, ROW())=0, 0, INDEX(C:C, ROW())/(INDEX(C:C, ROW())+INDEX(D:D, ROW())))</f>
        <v/>
      </c>
      <c r="F3376" s="1" t="inlineStr">
        <is>
          <t>String, Dynamic Programming, Bit Manipulation, Graph Theory, Bitmask DP</t>
        </is>
      </c>
      <c r="G3376" s="1" t="inlineStr">
        <is>
          <t>Hard</t>
        </is>
      </c>
      <c r="H3376" s="1" t="n">
        <v>6948</v>
      </c>
      <c r="I3376" s="1" t="n">
        <v>32016</v>
      </c>
      <c r="J3376" s="9" t="n">
        <v>0.217</v>
      </c>
      <c r="K3376" s="1" t="inlineStr">
        <is>
          <t>Yes</t>
        </is>
      </c>
      <c r="L3376" s="1" t="inlineStr">
        <is>
          <t>No</t>
        </is>
      </c>
      <c r="M3376" s="1" t="inlineStr">
        <is>
          <t>No</t>
        </is>
      </c>
      <c r="N3376" s="1" t="inlineStr">
        <is>
          <t>Algorithms</t>
        </is>
      </c>
      <c r="O33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77" ht="15.75" customHeight="1" s="12">
      <c r="A3377" s="1" t="n">
        <v>3651</v>
      </c>
      <c r="B3377" s="3">
        <f>HYPERLINK("https://leetcode.com/problems/minimum-cost-path-with-teleportations/", "Minimum Cost Path with Teleportations")</f>
        <v/>
      </c>
      <c r="C3377" s="1" t="n">
        <v>58</v>
      </c>
      <c r="D3377" s="1" t="n">
        <v>4</v>
      </c>
      <c r="E3377" s="4">
        <f>IF(INDEX(C:C, ROW())+INDEX(D:D, ROW())=0, 0, INDEX(C:C, ROW())/(INDEX(C:C, ROW())+INDEX(D:D, ROW())))</f>
        <v/>
      </c>
      <c r="F3377" s="1" t="inlineStr">
        <is>
          <t>Array, Dynamic Programming, Matrix</t>
        </is>
      </c>
      <c r="G3377" s="1" t="inlineStr">
        <is>
          <t>Hard</t>
        </is>
      </c>
      <c r="H3377" s="1" t="n">
        <v>4652</v>
      </c>
      <c r="I3377" s="1" t="n">
        <v>23615</v>
      </c>
      <c r="J3377" s="9" t="n">
        <v>0.197</v>
      </c>
      <c r="K3377" s="1" t="inlineStr">
        <is>
          <t>Yes</t>
        </is>
      </c>
      <c r="L3377" s="1" t="inlineStr">
        <is>
          <t>No</t>
        </is>
      </c>
      <c r="M3377" s="1" t="inlineStr">
        <is>
          <t>No</t>
        </is>
      </c>
      <c r="N3377" s="1" t="inlineStr">
        <is>
          <t>Algorithms</t>
        </is>
      </c>
      <c r="O33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78" ht="15.75" customHeight="1" s="12">
      <c r="A3378" s="1" t="n">
        <v>3770</v>
      </c>
      <c r="B3378" s="3">
        <f>HYPERLINK("https://leetcode.com/problems/largest-prime-from-consecutive-prime-sum/", "Largest Prime from Consecutive Prime Sum")</f>
        <v/>
      </c>
      <c r="C3378" s="1" t="n">
        <v>58</v>
      </c>
      <c r="D3378" s="1" t="n">
        <v>4</v>
      </c>
      <c r="E3378" s="4">
        <f>IF(INDEX(C:C, ROW())+INDEX(D:D, ROW())=0, 0, INDEX(C:C, ROW())/(INDEX(C:C, ROW())+INDEX(D:D, ROW())))</f>
        <v/>
      </c>
      <c r="F3378" s="1" t="inlineStr">
        <is>
          <t>Array, Math, Number Theory</t>
        </is>
      </c>
      <c r="G3378" s="1" t="inlineStr">
        <is>
          <t>Medium</t>
        </is>
      </c>
      <c r="H3378" s="1" t="n">
        <v>23281</v>
      </c>
      <c r="I3378" s="1" t="n">
        <v>60143</v>
      </c>
      <c r="J3378" s="9" t="n">
        <v>0.387</v>
      </c>
      <c r="K3378" s="1" t="inlineStr">
        <is>
          <t>Yes</t>
        </is>
      </c>
      <c r="L3378" s="1" t="inlineStr">
        <is>
          <t>No</t>
        </is>
      </c>
      <c r="M3378" s="1" t="inlineStr">
        <is>
          <t>No</t>
        </is>
      </c>
      <c r="N3378" s="1" t="inlineStr">
        <is>
          <t>Algorithms</t>
        </is>
      </c>
      <c r="O33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79" ht="15.75" customHeight="1" s="12">
      <c r="A3379" s="1" t="n">
        <v>3804</v>
      </c>
      <c r="B3379" s="3">
        <f>HYPERLINK("https://leetcode.com/problems/number-of-centered-subarrays/", "Number of Centered Subarrays")</f>
        <v/>
      </c>
      <c r="C3379" s="1" t="n">
        <v>58</v>
      </c>
      <c r="D3379" s="1" t="n">
        <v>1</v>
      </c>
      <c r="E3379" s="4">
        <f>IF(INDEX(C:C, ROW())+INDEX(D:D, ROW())=0, 0, INDEX(C:C, ROW())/(INDEX(C:C, ROW())+INDEX(D:D, ROW())))</f>
        <v/>
      </c>
      <c r="F3379" s="1" t="inlineStr">
        <is>
          <t>Array, Hash Table, Enumeration</t>
        </is>
      </c>
      <c r="G3379" s="1" t="inlineStr">
        <is>
          <t>Medium</t>
        </is>
      </c>
      <c r="H3379" s="1" t="n">
        <v>33891</v>
      </c>
      <c r="I3379" s="1" t="n">
        <v>50908</v>
      </c>
      <c r="J3379" s="9" t="n">
        <v>0.666</v>
      </c>
      <c r="K3379" s="1" t="inlineStr">
        <is>
          <t>Yes</t>
        </is>
      </c>
      <c r="L3379" s="1" t="inlineStr">
        <is>
          <t>No</t>
        </is>
      </c>
      <c r="M3379" s="1" t="inlineStr">
        <is>
          <t>No</t>
        </is>
      </c>
      <c r="N3379" s="1" t="inlineStr">
        <is>
          <t>Algorithms</t>
        </is>
      </c>
      <c r="O33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80" ht="15.75" customHeight="1" s="12">
      <c r="A3380" s="1" t="n">
        <v>2664</v>
      </c>
      <c r="B3380" s="3">
        <f>HYPERLINK("https://leetcode.com/problems/the-knights-tour/", "The Knight’s Tour")</f>
        <v/>
      </c>
      <c r="C3380" s="1" t="n">
        <v>57</v>
      </c>
      <c r="D3380" s="1" t="n">
        <v>16</v>
      </c>
      <c r="E3380" s="4">
        <f>IF(INDEX(C:C, ROW())+INDEX(D:D, ROW())=0, 0, INDEX(C:C, ROW())/(INDEX(C:C, ROW())+INDEX(D:D, ROW())))</f>
        <v/>
      </c>
      <c r="F3380" s="1" t="inlineStr">
        <is>
          <t>Array, Backtracking, Matrix</t>
        </is>
      </c>
      <c r="G3380" s="1" t="inlineStr">
        <is>
          <t>Medium</t>
        </is>
      </c>
      <c r="H3380" s="1" t="n">
        <v>6629</v>
      </c>
      <c r="I3380" s="1" t="n">
        <v>9136</v>
      </c>
      <c r="J3380" s="9" t="n">
        <v>0.726</v>
      </c>
      <c r="K3380" s="1" t="inlineStr">
        <is>
          <t>No</t>
        </is>
      </c>
      <c r="L3380" s="1" t="inlineStr">
        <is>
          <t>Yes</t>
        </is>
      </c>
      <c r="M3380" s="1" t="inlineStr">
        <is>
          <t>No</t>
        </is>
      </c>
      <c r="N3380" s="1" t="inlineStr">
        <is>
          <t>Algorithms</t>
        </is>
      </c>
      <c r="O33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81" ht="15.75" customHeight="1" s="12">
      <c r="A3381" s="1" t="n">
        <v>3527</v>
      </c>
      <c r="B3381" s="3">
        <f>HYPERLINK("https://leetcode.com/problems/find-the-most-common-response/", "Find the Most Common Response")</f>
        <v/>
      </c>
      <c r="C3381" s="1" t="n">
        <v>57</v>
      </c>
      <c r="D3381" s="1" t="n">
        <v>7</v>
      </c>
      <c r="E3381" s="4">
        <f>IF(INDEX(C:C, ROW())+INDEX(D:D, ROW())=0, 0, INDEX(C:C, ROW())/(INDEX(C:C, ROW())+INDEX(D:D, ROW())))</f>
        <v/>
      </c>
      <c r="F3381" s="1" t="inlineStr">
        <is>
          <t>Array, Hash Table, String, Counting</t>
        </is>
      </c>
      <c r="G3381" s="1" t="inlineStr">
        <is>
          <t>Medium</t>
        </is>
      </c>
      <c r="H3381" s="1" t="n">
        <v>35475</v>
      </c>
      <c r="I3381" s="1" t="n">
        <v>47380</v>
      </c>
      <c r="J3381" s="9" t="n">
        <v>0.749</v>
      </c>
      <c r="K3381" s="1" t="inlineStr">
        <is>
          <t>Yes</t>
        </is>
      </c>
      <c r="L3381" s="1" t="inlineStr">
        <is>
          <t>No</t>
        </is>
      </c>
      <c r="M3381" s="1" t="inlineStr">
        <is>
          <t>No</t>
        </is>
      </c>
      <c r="N3381" s="1" t="inlineStr">
        <is>
          <t>Algorithms</t>
        </is>
      </c>
      <c r="O33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82" ht="15.75" customHeight="1" s="12">
      <c r="A3382" s="1" t="n">
        <v>3678</v>
      </c>
      <c r="B3382" s="3">
        <f>HYPERLINK("https://leetcode.com/problems/smallest-absent-positive-greater-than-average/", "Smallest Absent Positive Greater Than Average")</f>
        <v/>
      </c>
      <c r="C3382" s="1" t="n">
        <v>57</v>
      </c>
      <c r="D3382" s="1" t="n">
        <v>5</v>
      </c>
      <c r="E3382" s="4">
        <f>IF(INDEX(C:C, ROW())+INDEX(D:D, ROW())=0, 0, INDEX(C:C, ROW())/(INDEX(C:C, ROW())+INDEX(D:D, ROW())))</f>
        <v/>
      </c>
      <c r="F3382" s="1" t="inlineStr">
        <is>
          <t>Array, Hash Table</t>
        </is>
      </c>
      <c r="G3382" s="1" t="inlineStr">
        <is>
          <t>Easy</t>
        </is>
      </c>
      <c r="H3382" s="1" t="n">
        <v>34925</v>
      </c>
      <c r="I3382" s="1" t="n">
        <v>102963</v>
      </c>
      <c r="J3382" s="9" t="n">
        <v>0.339</v>
      </c>
      <c r="K3382" s="1" t="inlineStr">
        <is>
          <t>Yes</t>
        </is>
      </c>
      <c r="L3382" s="1" t="inlineStr">
        <is>
          <t>No</t>
        </is>
      </c>
      <c r="M3382" s="1" t="inlineStr">
        <is>
          <t>No</t>
        </is>
      </c>
      <c r="N3382" s="1" t="inlineStr">
        <is>
          <t>Algorithms</t>
        </is>
      </c>
      <c r="O33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83" ht="15.75" customHeight="1" s="12">
      <c r="A3383" s="1" t="n">
        <v>3709</v>
      </c>
      <c r="B3383" s="3">
        <f>HYPERLINK("https://leetcode.com/problems/design-exam-scores-tracker/", "Design Exam Scores Tracker")</f>
        <v/>
      </c>
      <c r="C3383" s="1" t="n">
        <v>57</v>
      </c>
      <c r="D3383" s="1" t="n">
        <v>1</v>
      </c>
      <c r="E3383" s="4">
        <f>IF(INDEX(C:C, ROW())+INDEX(D:D, ROW())=0, 0, INDEX(C:C, ROW())/(INDEX(C:C, ROW())+INDEX(D:D, ROW())))</f>
        <v/>
      </c>
      <c r="F3383" s="1" t="inlineStr">
        <is>
          <t>Array, Binary Search, Design, Prefix Sum</t>
        </is>
      </c>
      <c r="G3383" s="1" t="inlineStr">
        <is>
          <t>Medium</t>
        </is>
      </c>
      <c r="H3383" s="1" t="n">
        <v>18257</v>
      </c>
      <c r="I3383" s="1" t="n">
        <v>41781</v>
      </c>
      <c r="J3383" s="9" t="n">
        <v>0.437</v>
      </c>
      <c r="K3383" s="1" t="inlineStr">
        <is>
          <t>Yes</t>
        </is>
      </c>
      <c r="L3383" s="1" t="inlineStr">
        <is>
          <t>No</t>
        </is>
      </c>
      <c r="M3383" s="1" t="inlineStr">
        <is>
          <t>No</t>
        </is>
      </c>
      <c r="N3383" s="1" t="inlineStr">
        <is>
          <t>Algorithms</t>
        </is>
      </c>
      <c r="O33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84" ht="15.75" customHeight="1" s="12">
      <c r="A3384" s="1" t="n">
        <v>3729</v>
      </c>
      <c r="B3384" s="3">
        <f>HYPERLINK("https://leetcode.com/problems/count-distinct-subarrays-divisible-by-k-in-sorted-array/", "Count Distinct Subarrays Divisible by K in Sorted Array")</f>
        <v/>
      </c>
      <c r="C3384" s="1" t="n">
        <v>57</v>
      </c>
      <c r="D3384" s="1" t="n">
        <v>3</v>
      </c>
      <c r="E3384" s="4">
        <f>IF(INDEX(C:C, ROW())+INDEX(D:D, ROW())=0, 0, INDEX(C:C, ROW())/(INDEX(C:C, ROW())+INDEX(D:D, ROW())))</f>
        <v/>
      </c>
      <c r="F3384" s="1" t="inlineStr">
        <is>
          <t>Array, Hash Table, Prefix Sum</t>
        </is>
      </c>
      <c r="G3384" s="1" t="inlineStr">
        <is>
          <t>Hard</t>
        </is>
      </c>
      <c r="H3384" s="1" t="n">
        <v>5634</v>
      </c>
      <c r="I3384" s="1" t="n">
        <v>20821</v>
      </c>
      <c r="J3384" s="9" t="n">
        <v>0.271</v>
      </c>
      <c r="K3384" s="1" t="inlineStr">
        <is>
          <t>Yes</t>
        </is>
      </c>
      <c r="L3384" s="1" t="inlineStr">
        <is>
          <t>No</t>
        </is>
      </c>
      <c r="M3384" s="1" t="inlineStr">
        <is>
          <t>No</t>
        </is>
      </c>
      <c r="N3384" s="1" t="inlineStr">
        <is>
          <t>Algorithms</t>
        </is>
      </c>
      <c r="O33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85" ht="15.75" customHeight="1" s="12">
      <c r="A3385" s="1" t="n">
        <v>2314</v>
      </c>
      <c r="B3385" s="3">
        <f>HYPERLINK("https://leetcode.com/problems/the-first-day-of-the-maximum-recorded-degree-in-each-city/", "The First Day of the Maximum Recorded Degree in Each City")</f>
        <v/>
      </c>
      <c r="C3385" s="1" t="n">
        <v>56</v>
      </c>
      <c r="D3385" s="1" t="n">
        <v>2</v>
      </c>
      <c r="E3385" s="4">
        <f>IF(INDEX(C:C, ROW())+INDEX(D:D, ROW())=0, 0, INDEX(C:C, ROW())/(INDEX(C:C, ROW())+INDEX(D:D, ROW())))</f>
        <v/>
      </c>
      <c r="F3385" s="1" t="inlineStr">
        <is>
          <t>Database</t>
        </is>
      </c>
      <c r="G3385" s="1" t="inlineStr">
        <is>
          <t>Medium</t>
        </is>
      </c>
      <c r="H3385" s="1" t="n">
        <v>8140</v>
      </c>
      <c r="I3385" s="1" t="n">
        <v>11056</v>
      </c>
      <c r="J3385" s="9" t="n">
        <v>0.736</v>
      </c>
      <c r="K3385" s="1" t="inlineStr">
        <is>
          <t>No</t>
        </is>
      </c>
      <c r="L3385" s="1" t="inlineStr">
        <is>
          <t>No</t>
        </is>
      </c>
      <c r="M3385" s="1" t="inlineStr">
        <is>
          <t>No</t>
        </is>
      </c>
      <c r="N3385" s="1" t="inlineStr">
        <is>
          <t>Database</t>
        </is>
      </c>
      <c r="O33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86" ht="15.75" customHeight="1" s="12">
      <c r="A3386" s="1" t="n">
        <v>3414</v>
      </c>
      <c r="B3386" s="3">
        <f>HYPERLINK("https://leetcode.com/problems/maximum-score-of-non-overlapping-intervals/", "Maximum Score of Non-overlapping Intervals")</f>
        <v/>
      </c>
      <c r="C3386" s="1" t="n">
        <v>56</v>
      </c>
      <c r="D3386" s="1" t="n">
        <v>7</v>
      </c>
      <c r="E3386" s="4">
        <f>IF(INDEX(C:C, ROW())+INDEX(D:D, ROW())=0, 0, INDEX(C:C, ROW())/(INDEX(C:C, ROW())+INDEX(D:D, ROW())))</f>
        <v/>
      </c>
      <c r="F3386" s="1" t="inlineStr">
        <is>
          <t>Array, Binary Search, Dynamic Programming, Sorting</t>
        </is>
      </c>
      <c r="G3386" s="1" t="inlineStr">
        <is>
          <t>Hard</t>
        </is>
      </c>
      <c r="H3386" s="1" t="n">
        <v>4041</v>
      </c>
      <c r="I3386" s="1" t="n">
        <v>13128</v>
      </c>
      <c r="J3386" s="9" t="n">
        <v>0.308</v>
      </c>
      <c r="K3386" s="1" t="inlineStr">
        <is>
          <t>Yes</t>
        </is>
      </c>
      <c r="L3386" s="1" t="inlineStr">
        <is>
          <t>No</t>
        </is>
      </c>
      <c r="M3386" s="1" t="inlineStr">
        <is>
          <t>No</t>
        </is>
      </c>
      <c r="N3386" s="1" t="inlineStr">
        <is>
          <t>Algorithms</t>
        </is>
      </c>
      <c r="O33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87" ht="15.75" customHeight="1" s="12">
      <c r="A3387" s="1" t="n">
        <v>3530</v>
      </c>
      <c r="B3387" s="3">
        <f>HYPERLINK("https://leetcode.com/problems/maximum-profit-from-valid-topological-order-in-dag/", "Maximum Profit from Valid Topological Order in DAG")</f>
        <v/>
      </c>
      <c r="C3387" s="1" t="n">
        <v>56</v>
      </c>
      <c r="D3387" s="1" t="n">
        <v>4</v>
      </c>
      <c r="E3387" s="4">
        <f>IF(INDEX(C:C, ROW())+INDEX(D:D, ROW())=0, 0, INDEX(C:C, ROW())/(INDEX(C:C, ROW())+INDEX(D:D, ROW())))</f>
        <v/>
      </c>
      <c r="F3387" s="1" t="inlineStr">
        <is>
          <t>Array, Dynamic Programming, Bit Manipulation, Graph Theory, Topological Sort, Bitmask DP</t>
        </is>
      </c>
      <c r="G3387" s="1" t="inlineStr">
        <is>
          <t>Hard</t>
        </is>
      </c>
      <c r="H3387" s="1" t="n">
        <v>5566</v>
      </c>
      <c r="I3387" s="1" t="n">
        <v>18826</v>
      </c>
      <c r="J3387" s="9" t="n">
        <v>0.296</v>
      </c>
      <c r="K3387" s="1" t="inlineStr">
        <is>
          <t>Yes</t>
        </is>
      </c>
      <c r="L3387" s="1" t="inlineStr">
        <is>
          <t>No</t>
        </is>
      </c>
      <c r="M3387" s="1" t="inlineStr">
        <is>
          <t>No</t>
        </is>
      </c>
      <c r="N3387" s="1" t="inlineStr">
        <is>
          <t>Algorithms</t>
        </is>
      </c>
      <c r="O33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88" ht="15.75" customHeight="1" s="12">
      <c r="A3388" s="1" t="n">
        <v>3559</v>
      </c>
      <c r="B3388" s="3">
        <f>HYPERLINK("https://leetcode.com/problems/number-of-ways-to-assign-edge-weights-ii/", "Number of Ways to Assign Edge Weights II")</f>
        <v/>
      </c>
      <c r="C3388" s="1" t="n">
        <v>56</v>
      </c>
      <c r="D3388" s="1" t="n">
        <v>1</v>
      </c>
      <c r="E3388" s="4">
        <f>IF(INDEX(C:C, ROW())+INDEX(D:D, ROW())=0, 0, INDEX(C:C, ROW())/(INDEX(C:C, ROW())+INDEX(D:D, ROW())))</f>
        <v/>
      </c>
      <c r="F3388" s="1" t="inlineStr">
        <is>
          <t>Array, Math, Dynamic Programming, Bit Manipulation, Tree, Depth-First Search</t>
        </is>
      </c>
      <c r="G3388" s="1" t="inlineStr">
        <is>
          <t>Hard</t>
        </is>
      </c>
      <c r="H3388" s="1" t="n">
        <v>6489</v>
      </c>
      <c r="I3388" s="1" t="n">
        <v>10884</v>
      </c>
      <c r="J3388" s="9" t="n">
        <v>0.596</v>
      </c>
      <c r="K3388" s="1" t="inlineStr">
        <is>
          <t>Yes</t>
        </is>
      </c>
      <c r="L3388" s="1" t="inlineStr">
        <is>
          <t>No</t>
        </is>
      </c>
      <c r="M3388" s="1" t="inlineStr">
        <is>
          <t>No</t>
        </is>
      </c>
      <c r="N3388" s="1" t="inlineStr">
        <is>
          <t>Algorithms</t>
        </is>
      </c>
      <c r="O33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89" ht="15.75" customHeight="1" s="12">
      <c r="A3389" s="1" t="n">
        <v>3681</v>
      </c>
      <c r="B3389" s="3">
        <f>HYPERLINK("https://leetcode.com/problems/maximum-xor-of-subsequences/", "Maximum XOR of Subsequences")</f>
        <v/>
      </c>
      <c r="C3389" s="1" t="n">
        <v>56</v>
      </c>
      <c r="D3389" s="1" t="n">
        <v>10</v>
      </c>
      <c r="E3389" s="4">
        <f>IF(INDEX(C:C, ROW())+INDEX(D:D, ROW())=0, 0, INDEX(C:C, ROW())/(INDEX(C:C, ROW())+INDEX(D:D, ROW())))</f>
        <v/>
      </c>
      <c r="F3389" s="1" t="inlineStr">
        <is>
          <t>Array, Math, Greedy, Bit Manipulation</t>
        </is>
      </c>
      <c r="G3389" s="1" t="inlineStr">
        <is>
          <t>Hard</t>
        </is>
      </c>
      <c r="H3389" s="1" t="n">
        <v>7268</v>
      </c>
      <c r="I3389" s="1" t="n">
        <v>14185</v>
      </c>
      <c r="J3389" s="9" t="n">
        <v>0.512</v>
      </c>
      <c r="K3389" s="1" t="inlineStr">
        <is>
          <t>Yes</t>
        </is>
      </c>
      <c r="L3389" s="1" t="inlineStr">
        <is>
          <t>No</t>
        </is>
      </c>
      <c r="M3389" s="1" t="inlineStr">
        <is>
          <t>No</t>
        </is>
      </c>
      <c r="N3389" s="1" t="inlineStr">
        <is>
          <t>Algorithms</t>
        </is>
      </c>
      <c r="O33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90" ht="15.75" customHeight="1" s="12">
      <c r="A3390" s="1" t="n">
        <v>3739</v>
      </c>
      <c r="B3390" s="3">
        <f>HYPERLINK("https://leetcode.com/problems/count-subarrays-with-majority-element-ii/", "Count Subarrays With Majority Element II")</f>
        <v/>
      </c>
      <c r="C3390" s="1" t="n">
        <v>56</v>
      </c>
      <c r="D3390" s="1" t="n">
        <v>3</v>
      </c>
      <c r="E3390" s="4">
        <f>IF(INDEX(C:C, ROW())+INDEX(D:D, ROW())=0, 0, INDEX(C:C, ROW())/(INDEX(C:C, ROW())+INDEX(D:D, ROW())))</f>
        <v/>
      </c>
      <c r="F3390" s="1" t="inlineStr">
        <is>
          <t>Array, Hash Table, Divide and Conquer, Segment Tree, Merge Sort, Prefix Sum</t>
        </is>
      </c>
      <c r="G3390" s="1" t="inlineStr">
        <is>
          <t>Hard</t>
        </is>
      </c>
      <c r="H3390" s="1" t="n">
        <v>6428</v>
      </c>
      <c r="I3390" s="1" t="n">
        <v>14716</v>
      </c>
      <c r="J3390" s="9" t="n">
        <v>0.437</v>
      </c>
      <c r="K3390" s="1" t="inlineStr">
        <is>
          <t>Yes</t>
        </is>
      </c>
      <c r="L3390" s="1" t="inlineStr">
        <is>
          <t>No</t>
        </is>
      </c>
      <c r="M3390" s="1" t="inlineStr">
        <is>
          <t>No</t>
        </is>
      </c>
      <c r="N3390" s="1" t="inlineStr">
        <is>
          <t>Algorithms</t>
        </is>
      </c>
      <c r="O33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91" ht="15.75" customHeight="1" s="12">
      <c r="A3391" s="1" t="n">
        <v>2015</v>
      </c>
      <c r="B3391" s="3">
        <f>HYPERLINK("https://leetcode.com/problems/average-height-of-buildings-in-each-segment/", "Average Height of Buildings in Each Segment")</f>
        <v/>
      </c>
      <c r="C3391" s="1" t="n">
        <v>55</v>
      </c>
      <c r="D3391" s="1" t="n">
        <v>29</v>
      </c>
      <c r="E3391" s="4">
        <f>IF(INDEX(C:C, ROW())+INDEX(D:D, ROW())=0, 0, INDEX(C:C, ROW())/(INDEX(C:C, ROW())+INDEX(D:D, ROW())))</f>
        <v/>
      </c>
      <c r="F3391" s="1" t="inlineStr">
        <is>
          <t>Array, Greedy, Sorting, Heap (Priority Queue)</t>
        </is>
      </c>
      <c r="G3391" s="1" t="inlineStr">
        <is>
          <t>Medium</t>
        </is>
      </c>
      <c r="H3391" s="1" t="n">
        <v>2677</v>
      </c>
      <c r="I3391" s="1" t="n">
        <v>4599</v>
      </c>
      <c r="J3391" s="9" t="n">
        <v>0.582</v>
      </c>
      <c r="K3391" s="1" t="inlineStr">
        <is>
          <t>No</t>
        </is>
      </c>
      <c r="L3391" s="1" t="inlineStr">
        <is>
          <t>No</t>
        </is>
      </c>
      <c r="M3391" s="1" t="inlineStr">
        <is>
          <t>No</t>
        </is>
      </c>
      <c r="N3391" s="1" t="inlineStr">
        <is>
          <t>Algorithms</t>
        </is>
      </c>
      <c r="O33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92" ht="15.75" customHeight="1" s="12">
      <c r="A3392" s="1" t="n">
        <v>2026</v>
      </c>
      <c r="B3392" s="3">
        <f>HYPERLINK("https://leetcode.com/problems/low-quality-problems/", "Low-Quality Problems")</f>
        <v/>
      </c>
      <c r="C3392" s="1" t="n">
        <v>55</v>
      </c>
      <c r="D3392" s="1" t="n">
        <v>12</v>
      </c>
      <c r="E3392" s="4">
        <f>IF(INDEX(C:C, ROW())+INDEX(D:D, ROW())=0, 0, INDEX(C:C, ROW())/(INDEX(C:C, ROW())+INDEX(D:D, ROW())))</f>
        <v/>
      </c>
      <c r="F3392" s="1" t="inlineStr">
        <is>
          <t>Database</t>
        </is>
      </c>
      <c r="G3392" s="1" t="inlineStr">
        <is>
          <t>Easy</t>
        </is>
      </c>
      <c r="H3392" s="1" t="n">
        <v>15309</v>
      </c>
      <c r="I3392" s="1" t="n">
        <v>18214</v>
      </c>
      <c r="J3392" s="9" t="n">
        <v>0.841</v>
      </c>
      <c r="K3392" s="1" t="inlineStr">
        <is>
          <t>No</t>
        </is>
      </c>
      <c r="L3392" s="1" t="inlineStr">
        <is>
          <t>No</t>
        </is>
      </c>
      <c r="M3392" s="1" t="inlineStr">
        <is>
          <t>No</t>
        </is>
      </c>
      <c r="N3392" s="1" t="inlineStr">
        <is>
          <t>Database</t>
        </is>
      </c>
      <c r="O33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93" ht="15.75" customHeight="1" s="12">
      <c r="A3393" s="1" t="n">
        <v>2489</v>
      </c>
      <c r="B3393" s="3">
        <f>HYPERLINK("https://leetcode.com/problems/number-of-substrings-with-fixed-ratio/", "Number of Substrings With Fixed Ratio")</f>
        <v/>
      </c>
      <c r="C3393" s="1" t="n">
        <v>55</v>
      </c>
      <c r="D3393" s="1" t="n">
        <v>3</v>
      </c>
      <c r="E3393" s="4">
        <f>IF(INDEX(C:C, ROW())+INDEX(D:D, ROW())=0, 0, INDEX(C:C, ROW())/(INDEX(C:C, ROW())+INDEX(D:D, ROW())))</f>
        <v/>
      </c>
      <c r="F3393" s="1" t="inlineStr">
        <is>
          <t>Hash Table, Math, String, Prefix Sum</t>
        </is>
      </c>
      <c r="G3393" s="1" t="inlineStr">
        <is>
          <t>Medium</t>
        </is>
      </c>
      <c r="H3393" s="1" t="n">
        <v>1625</v>
      </c>
      <c r="I3393" s="1" t="n">
        <v>2838</v>
      </c>
      <c r="J3393" s="9" t="n">
        <v>0.573</v>
      </c>
      <c r="K3393" s="1" t="inlineStr">
        <is>
          <t>No</t>
        </is>
      </c>
      <c r="L3393" s="1" t="inlineStr">
        <is>
          <t>No</t>
        </is>
      </c>
      <c r="M3393" s="1" t="inlineStr">
        <is>
          <t>No</t>
        </is>
      </c>
      <c r="N3393" s="1" t="inlineStr">
        <is>
          <t>Algorithms</t>
        </is>
      </c>
      <c r="O33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94" ht="15.75" customHeight="1" s="12">
      <c r="A3394" s="1" t="n">
        <v>2505</v>
      </c>
      <c r="B3394" s="3">
        <f>HYPERLINK("https://leetcode.com/problems/bitwise-or-of-all-subsequence-sums/", "Bitwise OR of All Subsequence Sums")</f>
        <v/>
      </c>
      <c r="C3394" s="1" t="n">
        <v>55</v>
      </c>
      <c r="D3394" s="1" t="n">
        <v>17</v>
      </c>
      <c r="E3394" s="4">
        <f>IF(INDEX(C:C, ROW())+INDEX(D:D, ROW())=0, 0, INDEX(C:C, ROW())/(INDEX(C:C, ROW())+INDEX(D:D, ROW())))</f>
        <v/>
      </c>
      <c r="F3394" s="1" t="inlineStr">
        <is>
          <t>Array, Math, Bit Manipulation, Brainteaser, Prefix Sum</t>
        </is>
      </c>
      <c r="G3394" s="1" t="inlineStr">
        <is>
          <t>Medium</t>
        </is>
      </c>
      <c r="H3394" s="1" t="n">
        <v>4391</v>
      </c>
      <c r="I3394" s="1" t="n">
        <v>6836</v>
      </c>
      <c r="J3394" s="9" t="n">
        <v>0.642</v>
      </c>
      <c r="K3394" s="1" t="inlineStr">
        <is>
          <t>No</t>
        </is>
      </c>
      <c r="L3394" s="1" t="inlineStr">
        <is>
          <t>No</t>
        </is>
      </c>
      <c r="M3394" s="1" t="inlineStr">
        <is>
          <t>No</t>
        </is>
      </c>
      <c r="N3394" s="1" t="inlineStr">
        <is>
          <t>Algorithms</t>
        </is>
      </c>
      <c r="O33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95" ht="15.75" customHeight="1" s="12">
      <c r="A3395" s="1" t="n">
        <v>3348</v>
      </c>
      <c r="B3395" s="3">
        <f>HYPERLINK("https://leetcode.com/problems/smallest-divisible-digit-product-ii/", "Smallest Divisible Digit Product II")</f>
        <v/>
      </c>
      <c r="C3395" s="1" t="n">
        <v>55</v>
      </c>
      <c r="D3395" s="1" t="n">
        <v>18</v>
      </c>
      <c r="E3395" s="4">
        <f>IF(INDEX(C:C, ROW())+INDEX(D:D, ROW())=0, 0, INDEX(C:C, ROW())/(INDEX(C:C, ROW())+INDEX(D:D, ROW())))</f>
        <v/>
      </c>
      <c r="F3395" s="1" t="inlineStr">
        <is>
          <t>Math, String, Backtracking, Greedy, Number Theory</t>
        </is>
      </c>
      <c r="G3395" s="1" t="inlineStr">
        <is>
          <t>Hard</t>
        </is>
      </c>
      <c r="H3395" s="1" t="n">
        <v>4680</v>
      </c>
      <c r="I3395" s="1" t="n">
        <v>32734</v>
      </c>
      <c r="J3395" s="9" t="n">
        <v>0.143</v>
      </c>
      <c r="K3395" s="1" t="inlineStr">
        <is>
          <t>Yes</t>
        </is>
      </c>
      <c r="L3395" s="1" t="inlineStr">
        <is>
          <t>No</t>
        </is>
      </c>
      <c r="M3395" s="1" t="inlineStr">
        <is>
          <t>No</t>
        </is>
      </c>
      <c r="N3395" s="1" t="inlineStr">
        <is>
          <t>Algorithms</t>
        </is>
      </c>
      <c r="O33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96" ht="15.75" customHeight="1" s="12">
      <c r="A3396" s="1" t="n">
        <v>3436</v>
      </c>
      <c r="B3396" s="3">
        <f>HYPERLINK("https://leetcode.com/problems/find-valid-emails/", "Find Valid Emails")</f>
        <v/>
      </c>
      <c r="C3396" s="1" t="n">
        <v>55</v>
      </c>
      <c r="D3396" s="1" t="n">
        <v>7</v>
      </c>
      <c r="E3396" s="4">
        <f>IF(INDEX(C:C, ROW())+INDEX(D:D, ROW())=0, 0, INDEX(C:C, ROW())/(INDEX(C:C, ROW())+INDEX(D:D, ROW())))</f>
        <v/>
      </c>
      <c r="F3396" s="1" t="inlineStr">
        <is>
          <t>Database</t>
        </is>
      </c>
      <c r="G3396" s="1" t="inlineStr">
        <is>
          <t>Easy</t>
        </is>
      </c>
      <c r="H3396" s="1" t="n">
        <v>22654</v>
      </c>
      <c r="I3396" s="1" t="n">
        <v>50400</v>
      </c>
      <c r="J3396" s="9" t="n">
        <v>0.449</v>
      </c>
      <c r="K3396" s="1" t="inlineStr">
        <is>
          <t>Yes</t>
        </is>
      </c>
      <c r="L3396" s="1" t="inlineStr">
        <is>
          <t>No</t>
        </is>
      </c>
      <c r="M3396" s="1" t="inlineStr">
        <is>
          <t>No</t>
        </is>
      </c>
      <c r="N3396" s="1" t="inlineStr">
        <is>
          <t>Database</t>
        </is>
      </c>
      <c r="O33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97" ht="15.75" customHeight="1" s="12">
      <c r="A3397" s="1" t="n">
        <v>3509</v>
      </c>
      <c r="B3397" s="3">
        <f>HYPERLINK("https://leetcode.com/problems/maximum-product-of-subsequences-with-an-alternating-sum-equal-to-k/", "Maximum Product of Subsequences With an Alternating Sum Equal to K")</f>
        <v/>
      </c>
      <c r="C3397" s="1" t="n">
        <v>55</v>
      </c>
      <c r="D3397" s="1" t="n">
        <v>6</v>
      </c>
      <c r="E3397" s="4">
        <f>IF(INDEX(C:C, ROW())+INDEX(D:D, ROW())=0, 0, INDEX(C:C, ROW())/(INDEX(C:C, ROW())+INDEX(D:D, ROW())))</f>
        <v/>
      </c>
      <c r="F3397" s="1" t="inlineStr">
        <is>
          <t>Array, Hash Table, Dynamic Programming</t>
        </is>
      </c>
      <c r="G3397" s="1" t="inlineStr">
        <is>
          <t>Hard</t>
        </is>
      </c>
      <c r="H3397" s="1" t="n">
        <v>5652</v>
      </c>
      <c r="I3397" s="1" t="n">
        <v>44413</v>
      </c>
      <c r="J3397" s="9" t="n">
        <v>0.127</v>
      </c>
      <c r="K3397" s="1" t="inlineStr">
        <is>
          <t>Yes</t>
        </is>
      </c>
      <c r="L3397" s="1" t="inlineStr">
        <is>
          <t>No</t>
        </is>
      </c>
      <c r="M3397" s="1" t="inlineStr">
        <is>
          <t>No</t>
        </is>
      </c>
      <c r="N3397" s="1" t="inlineStr">
        <is>
          <t>Algorithms</t>
        </is>
      </c>
      <c r="O33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98" ht="15.75" customHeight="1" s="12">
      <c r="A3398" s="1" t="n">
        <v>3674</v>
      </c>
      <c r="B3398" s="3">
        <f>HYPERLINK("https://leetcode.com/problems/minimum-operations-to-equalize-array/", "Minimum Operations to Equalize Array")</f>
        <v/>
      </c>
      <c r="C3398" s="1" t="n">
        <v>55</v>
      </c>
      <c r="D3398" s="1" t="n">
        <v>12</v>
      </c>
      <c r="E3398" s="4">
        <f>IF(INDEX(C:C, ROW())+INDEX(D:D, ROW())=0, 0, INDEX(C:C, ROW())/(INDEX(C:C, ROW())+INDEX(D:D, ROW())))</f>
        <v/>
      </c>
      <c r="F3398" s="1" t="inlineStr">
        <is>
          <t>Array, Bit Manipulation, Brainteaser</t>
        </is>
      </c>
      <c r="G3398" s="1" t="inlineStr">
        <is>
          <t>Easy</t>
        </is>
      </c>
      <c r="H3398" s="1" t="n">
        <v>49356</v>
      </c>
      <c r="I3398" s="1" t="n">
        <v>83655</v>
      </c>
      <c r="J3398" s="9" t="n">
        <v>0.59</v>
      </c>
      <c r="K3398" s="1" t="inlineStr">
        <is>
          <t>Yes</t>
        </is>
      </c>
      <c r="L3398" s="1" t="inlineStr">
        <is>
          <t>No</t>
        </is>
      </c>
      <c r="M3398" s="1" t="inlineStr">
        <is>
          <t>No</t>
        </is>
      </c>
      <c r="N3398" s="1" t="inlineStr">
        <is>
          <t>Algorithms</t>
        </is>
      </c>
      <c r="O33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399" ht="15.75" customHeight="1" s="12">
      <c r="A3399" s="1" t="n">
        <v>3731</v>
      </c>
      <c r="B3399" s="3">
        <f>HYPERLINK("https://leetcode.com/problems/find-missing-elements/", "Find Missing Elements")</f>
        <v/>
      </c>
      <c r="C3399" s="1" t="n">
        <v>55</v>
      </c>
      <c r="D3399" s="1" t="n">
        <v>2</v>
      </c>
      <c r="E3399" s="4">
        <f>IF(INDEX(C:C, ROW())+INDEX(D:D, ROW())=0, 0, INDEX(C:C, ROW())/(INDEX(C:C, ROW())+INDEX(D:D, ROW())))</f>
        <v/>
      </c>
      <c r="F3399" s="1" t="inlineStr">
        <is>
          <t>Array, Hash Table, Sorting</t>
        </is>
      </c>
      <c r="G3399" s="1" t="inlineStr">
        <is>
          <t>Easy</t>
        </is>
      </c>
      <c r="H3399" s="1" t="n">
        <v>51896</v>
      </c>
      <c r="I3399" s="1" t="n">
        <v>63053</v>
      </c>
      <c r="J3399" s="9" t="n">
        <v>0.823</v>
      </c>
      <c r="K3399" s="1" t="inlineStr">
        <is>
          <t>Yes</t>
        </is>
      </c>
      <c r="L3399" s="1" t="inlineStr">
        <is>
          <t>No</t>
        </is>
      </c>
      <c r="M3399" s="1" t="inlineStr">
        <is>
          <t>No</t>
        </is>
      </c>
      <c r="N3399" s="1" t="inlineStr">
        <is>
          <t>Algorithms</t>
        </is>
      </c>
      <c r="O33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00" ht="15.75" customHeight="1" s="12">
      <c r="A3400" s="1" t="n">
        <v>3748</v>
      </c>
      <c r="B3400" s="3">
        <f>HYPERLINK("https://leetcode.com/problems/count-stable-subarrays/", "Count Stable Subarrays")</f>
        <v/>
      </c>
      <c r="C3400" s="1" t="n">
        <v>55</v>
      </c>
      <c r="D3400" s="1" t="n">
        <v>2</v>
      </c>
      <c r="E3400" s="4">
        <f>IF(INDEX(C:C, ROW())+INDEX(D:D, ROW())=0, 0, INDEX(C:C, ROW())/(INDEX(C:C, ROW())+INDEX(D:D, ROW())))</f>
        <v/>
      </c>
      <c r="F3400" s="1" t="inlineStr">
        <is>
          <t>Array, Binary Search, Prefix Sum</t>
        </is>
      </c>
      <c r="G3400" s="1" t="inlineStr">
        <is>
          <t>Hard</t>
        </is>
      </c>
      <c r="H3400" s="1" t="n">
        <v>5596</v>
      </c>
      <c r="I3400" s="1" t="n">
        <v>17596</v>
      </c>
      <c r="J3400" s="9" t="n">
        <v>0.318</v>
      </c>
      <c r="K3400" s="1" t="inlineStr">
        <is>
          <t>Yes</t>
        </is>
      </c>
      <c r="L3400" s="1" t="inlineStr">
        <is>
          <t>No</t>
        </is>
      </c>
      <c r="M3400" s="1" t="inlineStr">
        <is>
          <t>No</t>
        </is>
      </c>
      <c r="N3400" s="1" t="inlineStr">
        <is>
          <t>Algorithms</t>
        </is>
      </c>
      <c r="O34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01" ht="15.75" customHeight="1" s="12">
      <c r="A3401" s="1" t="n">
        <v>2123</v>
      </c>
      <c r="B3401" s="3">
        <f>HYPERLINK("https://leetcode.com/problems/minimum-operations-to-remove-adjacent-ones-in-matrix/", "Minimum Operations to Remove Adjacent Ones in Matrix")</f>
        <v/>
      </c>
      <c r="C3401" s="1" t="n">
        <v>54</v>
      </c>
      <c r="D3401" s="1" t="n">
        <v>13</v>
      </c>
      <c r="E3401" s="4">
        <f>IF(INDEX(C:C, ROW())+INDEX(D:D, ROW())=0, 0, INDEX(C:C, ROW())/(INDEX(C:C, ROW())+INDEX(D:D, ROW())))</f>
        <v/>
      </c>
      <c r="F3401" s="1" t="inlineStr">
        <is>
          <t>Array, Graph Theory, Matrix</t>
        </is>
      </c>
      <c r="G3401" s="1" t="inlineStr">
        <is>
          <t>Hard</t>
        </is>
      </c>
      <c r="H3401" s="1" t="n">
        <v>1265</v>
      </c>
      <c r="I3401" s="1" t="n">
        <v>2981</v>
      </c>
      <c r="J3401" s="9" t="n">
        <v>0.424</v>
      </c>
      <c r="K3401" s="1" t="inlineStr">
        <is>
          <t>No</t>
        </is>
      </c>
      <c r="L3401" s="1" t="inlineStr">
        <is>
          <t>No</t>
        </is>
      </c>
      <c r="M3401" s="1" t="inlineStr">
        <is>
          <t>No</t>
        </is>
      </c>
      <c r="N3401" s="1" t="inlineStr">
        <is>
          <t>Algorithms</t>
        </is>
      </c>
      <c r="O34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02" ht="15.75" customHeight="1" s="12">
      <c r="A3402" s="1" t="n">
        <v>2431</v>
      </c>
      <c r="B3402" s="3">
        <f>HYPERLINK("https://leetcode.com/problems/maximize-total-tastiness-of-purchased-fruits/", "Maximize Total Tastiness of Purchased Fruits")</f>
        <v/>
      </c>
      <c r="C3402" s="1" t="n">
        <v>54</v>
      </c>
      <c r="D3402" s="1" t="n">
        <v>2</v>
      </c>
      <c r="E3402" s="4">
        <f>IF(INDEX(C:C, ROW())+INDEX(D:D, ROW())=0, 0, INDEX(C:C, ROW())/(INDEX(C:C, ROW())+INDEX(D:D, ROW())))</f>
        <v/>
      </c>
      <c r="F3402" s="1" t="inlineStr">
        <is>
          <t>Array, Dynamic Programming</t>
        </is>
      </c>
      <c r="G3402" s="1" t="inlineStr">
        <is>
          <t>Medium</t>
        </is>
      </c>
      <c r="H3402" s="1" t="n">
        <v>3895</v>
      </c>
      <c r="I3402" s="1" t="n">
        <v>6023</v>
      </c>
      <c r="J3402" s="9" t="n">
        <v>0.647</v>
      </c>
      <c r="K3402" s="1" t="inlineStr">
        <is>
          <t>No</t>
        </is>
      </c>
      <c r="L3402" s="1" t="inlineStr">
        <is>
          <t>No</t>
        </is>
      </c>
      <c r="M3402" s="1" t="inlineStr">
        <is>
          <t>No</t>
        </is>
      </c>
      <c r="N3402" s="1" t="inlineStr">
        <is>
          <t>Algorithms</t>
        </is>
      </c>
      <c r="O34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03" ht="15.75" customHeight="1" s="12">
      <c r="A3403" s="1" t="n">
        <v>2494</v>
      </c>
      <c r="B3403" s="3">
        <f>HYPERLINK("https://leetcode.com/problems/merge-overlapping-events-in-the-same-hall/", "Merge Overlapping Events in the Same Hall")</f>
        <v/>
      </c>
      <c r="C3403" s="1" t="n">
        <v>54</v>
      </c>
      <c r="D3403" s="1" t="n">
        <v>8</v>
      </c>
      <c r="E3403" s="4">
        <f>IF(INDEX(C:C, ROW())+INDEX(D:D, ROW())=0, 0, INDEX(C:C, ROW())/(INDEX(C:C, ROW())+INDEX(D:D, ROW())))</f>
        <v/>
      </c>
      <c r="F3403" s="1" t="inlineStr">
        <is>
          <t>Database</t>
        </is>
      </c>
      <c r="G3403" s="1" t="inlineStr">
        <is>
          <t>Hard</t>
        </is>
      </c>
      <c r="H3403" s="1" t="n">
        <v>3028</v>
      </c>
      <c r="I3403" s="1" t="n">
        <v>8175</v>
      </c>
      <c r="J3403" s="9" t="n">
        <v>0.37</v>
      </c>
      <c r="K3403" s="1" t="inlineStr">
        <is>
          <t>No</t>
        </is>
      </c>
      <c r="L3403" s="1" t="inlineStr">
        <is>
          <t>No</t>
        </is>
      </c>
      <c r="M3403" s="1" t="inlineStr">
        <is>
          <t>No</t>
        </is>
      </c>
      <c r="N3403" s="1" t="inlineStr">
        <is>
          <t>Database</t>
        </is>
      </c>
      <c r="O34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04" ht="15.75" customHeight="1" s="12">
      <c r="A3404" s="1" t="n">
        <v>3556</v>
      </c>
      <c r="B3404" s="3">
        <f>HYPERLINK("https://leetcode.com/problems/sum-of-largest-prime-substrings/", "Sum of Largest Prime Substrings")</f>
        <v/>
      </c>
      <c r="C3404" s="1" t="n">
        <v>54</v>
      </c>
      <c r="D3404" s="1" t="n">
        <v>9</v>
      </c>
      <c r="E3404" s="4">
        <f>IF(INDEX(C:C, ROW())+INDEX(D:D, ROW())=0, 0, INDEX(C:C, ROW())/(INDEX(C:C, ROW())+INDEX(D:D, ROW())))</f>
        <v/>
      </c>
      <c r="F3404" s="1" t="inlineStr">
        <is>
          <t>Hash Table, Math, String, Sorting, Number Theory</t>
        </is>
      </c>
      <c r="G3404" s="1" t="inlineStr">
        <is>
          <t>Medium</t>
        </is>
      </c>
      <c r="H3404" s="1" t="n">
        <v>24124</v>
      </c>
      <c r="I3404" s="1" t="n">
        <v>64089</v>
      </c>
      <c r="J3404" s="9" t="n">
        <v>0.376</v>
      </c>
      <c r="K3404" s="1" t="inlineStr">
        <is>
          <t>Yes</t>
        </is>
      </c>
      <c r="L3404" s="1" t="inlineStr">
        <is>
          <t>No</t>
        </is>
      </c>
      <c r="M3404" s="1" t="inlineStr">
        <is>
          <t>No</t>
        </is>
      </c>
      <c r="N3404" s="1" t="inlineStr">
        <is>
          <t>Algorithms</t>
        </is>
      </c>
      <c r="O34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05" ht="15.75" customHeight="1" s="12">
      <c r="A3405" s="1" t="n">
        <v>3609</v>
      </c>
      <c r="B3405" s="3">
        <f>HYPERLINK("https://leetcode.com/problems/minimum-moves-to-reach-target-in-grid/", "Minimum Moves to Reach Target in Grid")</f>
        <v/>
      </c>
      <c r="C3405" s="1" t="n">
        <v>54</v>
      </c>
      <c r="D3405" s="1" t="n">
        <v>3</v>
      </c>
      <c r="E3405" s="4">
        <f>IF(INDEX(C:C, ROW())+INDEX(D:D, ROW())=0, 0, INDEX(C:C, ROW())/(INDEX(C:C, ROW())+INDEX(D:D, ROW())))</f>
        <v/>
      </c>
      <c r="F3405" s="1" t="inlineStr">
        <is>
          <t>Math</t>
        </is>
      </c>
      <c r="G3405" s="1" t="inlineStr">
        <is>
          <t>Hard</t>
        </is>
      </c>
      <c r="H3405" s="1" t="n">
        <v>4975</v>
      </c>
      <c r="I3405" s="1" t="n">
        <v>33911</v>
      </c>
      <c r="J3405" s="9" t="n">
        <v>0.147</v>
      </c>
      <c r="K3405" s="1" t="inlineStr">
        <is>
          <t>Yes</t>
        </is>
      </c>
      <c r="L3405" s="1" t="inlineStr">
        <is>
          <t>No</t>
        </is>
      </c>
      <c r="M3405" s="1" t="inlineStr">
        <is>
          <t>No</t>
        </is>
      </c>
      <c r="N3405" s="1" t="inlineStr">
        <is>
          <t>Algorithms</t>
        </is>
      </c>
      <c r="O34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06" ht="15.75" customHeight="1" s="12">
      <c r="A3406" s="1" t="n">
        <v>3740</v>
      </c>
      <c r="B3406" s="3">
        <f>HYPERLINK("https://leetcode.com/problems/minimum-distance-between-three-equal-elements-i/", "Minimum Distance Between Three Equal Elements I")</f>
        <v/>
      </c>
      <c r="C3406" s="1" t="n">
        <v>54</v>
      </c>
      <c r="D3406" s="1" t="n">
        <v>7</v>
      </c>
      <c r="E3406" s="4">
        <f>IF(INDEX(C:C, ROW())+INDEX(D:D, ROW())=0, 0, INDEX(C:C, ROW())/(INDEX(C:C, ROW())+INDEX(D:D, ROW())))</f>
        <v/>
      </c>
      <c r="F3406" s="1" t="inlineStr">
        <is>
          <t>Array, Hash Table</t>
        </is>
      </c>
      <c r="G3406" s="1" t="inlineStr">
        <is>
          <t>Easy</t>
        </is>
      </c>
      <c r="H3406" s="1" t="n">
        <v>36528</v>
      </c>
      <c r="I3406" s="1" t="n">
        <v>60569</v>
      </c>
      <c r="J3406" s="9" t="n">
        <v>0.603</v>
      </c>
      <c r="K3406" s="1" t="inlineStr">
        <is>
          <t>Yes</t>
        </is>
      </c>
      <c r="L3406" s="1" t="inlineStr">
        <is>
          <t>No</t>
        </is>
      </c>
      <c r="M3406" s="1" t="inlineStr">
        <is>
          <t>No</t>
        </is>
      </c>
      <c r="N3406" s="1" t="inlineStr">
        <is>
          <t>Algorithms</t>
        </is>
      </c>
      <c r="O34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07" ht="15.75" customHeight="1" s="12">
      <c r="A3407" s="1" t="n">
        <v>1500</v>
      </c>
      <c r="B3407" s="3">
        <f>HYPERLINK("https://leetcode.com/problems/design-a-file-sharing-system/", "Design a File Sharing System")</f>
        <v/>
      </c>
      <c r="C3407" s="1" t="n">
        <v>53</v>
      </c>
      <c r="D3407" s="1" t="n">
        <v>132</v>
      </c>
      <c r="E3407" s="4">
        <f>IF(INDEX(C:C, ROW())+INDEX(D:D, ROW())=0, 0, INDEX(C:C, ROW())/(INDEX(C:C, ROW())+INDEX(D:D, ROW())))</f>
        <v/>
      </c>
      <c r="F3407" s="1" t="inlineStr">
        <is>
          <t>Hash Table, Design, Sorting, Heap (Priority Queue), Data Stream</t>
        </is>
      </c>
      <c r="G3407" s="1" t="inlineStr">
        <is>
          <t>Medium</t>
        </is>
      </c>
      <c r="H3407" s="1" t="n">
        <v>6416</v>
      </c>
      <c r="I3407" s="1" t="n">
        <v>15366</v>
      </c>
      <c r="J3407" s="9" t="n">
        <v>0.418</v>
      </c>
      <c r="K3407" s="1" t="inlineStr">
        <is>
          <t>No</t>
        </is>
      </c>
      <c r="L3407" s="1" t="inlineStr">
        <is>
          <t>No</t>
        </is>
      </c>
      <c r="M3407" s="1" t="inlineStr">
        <is>
          <t>No</t>
        </is>
      </c>
      <c r="N3407" s="1" t="inlineStr">
        <is>
          <t>Algorithms</t>
        </is>
      </c>
      <c r="O34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08" ht="15.75" customHeight="1" s="12">
      <c r="A3408" s="1" t="n">
        <v>2298</v>
      </c>
      <c r="B3408" s="3">
        <f>HYPERLINK("https://leetcode.com/problems/tasks-count-in-the-weekend/", "Tasks Count in the Weekend")</f>
        <v/>
      </c>
      <c r="C3408" s="1" t="n">
        <v>53</v>
      </c>
      <c r="D3408" s="1" t="n">
        <v>10</v>
      </c>
      <c r="E3408" s="4">
        <f>IF(INDEX(C:C, ROW())+INDEX(D:D, ROW())=0, 0, INDEX(C:C, ROW())/(INDEX(C:C, ROW())+INDEX(D:D, ROW())))</f>
        <v/>
      </c>
      <c r="F3408" s="1" t="inlineStr">
        <is>
          <t>Database</t>
        </is>
      </c>
      <c r="G3408" s="1" t="inlineStr">
        <is>
          <t>Medium</t>
        </is>
      </c>
      <c r="H3408" s="1" t="n">
        <v>8951</v>
      </c>
      <c r="I3408" s="1" t="n">
        <v>10944</v>
      </c>
      <c r="J3408" s="9" t="n">
        <v>0.8179999999999999</v>
      </c>
      <c r="K3408" s="1" t="inlineStr">
        <is>
          <t>No</t>
        </is>
      </c>
      <c r="L3408" s="1" t="inlineStr">
        <is>
          <t>No</t>
        </is>
      </c>
      <c r="M3408" s="1" t="inlineStr">
        <is>
          <t>No</t>
        </is>
      </c>
      <c r="N3408" s="1" t="inlineStr">
        <is>
          <t>Database</t>
        </is>
      </c>
      <c r="O34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09" ht="15.75" customHeight="1" s="12">
      <c r="A3409" s="1" t="n">
        <v>2495</v>
      </c>
      <c r="B3409" s="3">
        <f>HYPERLINK("https://leetcode.com/problems/number-of-subarrays-having-even-product/", "Number of Subarrays Having Even Product")</f>
        <v/>
      </c>
      <c r="C3409" s="1" t="n">
        <v>53</v>
      </c>
      <c r="D3409" s="1" t="n">
        <v>5</v>
      </c>
      <c r="E3409" s="4">
        <f>IF(INDEX(C:C, ROW())+INDEX(D:D, ROW())=0, 0, INDEX(C:C, ROW())/(INDEX(C:C, ROW())+INDEX(D:D, ROW())))</f>
        <v/>
      </c>
      <c r="F3409" s="1" t="inlineStr">
        <is>
          <t>Array, Math, Dynamic Programming</t>
        </is>
      </c>
      <c r="G3409" s="1" t="inlineStr">
        <is>
          <t>Medium</t>
        </is>
      </c>
      <c r="H3409" s="1" t="n">
        <v>2699</v>
      </c>
      <c r="I3409" s="1" t="n">
        <v>4291</v>
      </c>
      <c r="J3409" s="9" t="n">
        <v>0.629</v>
      </c>
      <c r="K3409" s="1" t="inlineStr">
        <is>
          <t>No</t>
        </is>
      </c>
      <c r="L3409" s="1" t="inlineStr">
        <is>
          <t>No</t>
        </is>
      </c>
      <c r="M3409" s="1" t="inlineStr">
        <is>
          <t>No</t>
        </is>
      </c>
      <c r="N3409" s="1" t="inlineStr">
        <is>
          <t>Algorithms</t>
        </is>
      </c>
      <c r="O34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10" ht="15.75" customHeight="1" s="12">
      <c r="A3410" s="1" t="n">
        <v>3482</v>
      </c>
      <c r="B3410" s="3">
        <f>HYPERLINK("https://leetcode.com/problems/analyze-organization-hierarchy/", "Analyze Organization Hierarchy")</f>
        <v/>
      </c>
      <c r="C3410" s="1" t="n">
        <v>53</v>
      </c>
      <c r="D3410" s="1" t="n">
        <v>3</v>
      </c>
      <c r="E3410" s="4">
        <f>IF(INDEX(C:C, ROW())+INDEX(D:D, ROW())=0, 0, INDEX(C:C, ROW())/(INDEX(C:C, ROW())+INDEX(D:D, ROW())))</f>
        <v/>
      </c>
      <c r="F3410" s="1" t="inlineStr">
        <is>
          <t>Database</t>
        </is>
      </c>
      <c r="G3410" s="1" t="inlineStr">
        <is>
          <t>Hard</t>
        </is>
      </c>
      <c r="H3410" s="1" t="n">
        <v>6857</v>
      </c>
      <c r="I3410" s="1" t="n">
        <v>11472</v>
      </c>
      <c r="J3410" s="9" t="n">
        <v>0.598</v>
      </c>
      <c r="K3410" s="1" t="inlineStr">
        <is>
          <t>Yes</t>
        </is>
      </c>
      <c r="L3410" s="1" t="inlineStr">
        <is>
          <t>No</t>
        </is>
      </c>
      <c r="M3410" s="1" t="inlineStr">
        <is>
          <t>No</t>
        </is>
      </c>
      <c r="N3410" s="1" t="inlineStr">
        <is>
          <t>Database</t>
        </is>
      </c>
      <c r="O34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11" ht="15.75" customHeight="1" s="12">
      <c r="A3411" s="1" t="n">
        <v>3612</v>
      </c>
      <c r="B3411" s="3">
        <f>HYPERLINK("https://leetcode.com/problems/process-string-with-special-operations-i/", "Process String with Special Operations I")</f>
        <v/>
      </c>
      <c r="C3411" s="1" t="n">
        <v>53</v>
      </c>
      <c r="D3411" s="1" t="n">
        <v>11</v>
      </c>
      <c r="E3411" s="4">
        <f>IF(INDEX(C:C, ROW())+INDEX(D:D, ROW())=0, 0, INDEX(C:C, ROW())/(INDEX(C:C, ROW())+INDEX(D:D, ROW())))</f>
        <v/>
      </c>
      <c r="F3411" s="1" t="inlineStr">
        <is>
          <t>String, Simulation</t>
        </is>
      </c>
      <c r="G3411" s="1" t="inlineStr">
        <is>
          <t>Medium</t>
        </is>
      </c>
      <c r="H3411" s="1" t="n">
        <v>47381</v>
      </c>
      <c r="I3411" s="1" t="n">
        <v>73006</v>
      </c>
      <c r="J3411" s="9" t="n">
        <v>0.649</v>
      </c>
      <c r="K3411" s="1" t="inlineStr">
        <is>
          <t>Yes</t>
        </is>
      </c>
      <c r="L3411" s="1" t="inlineStr">
        <is>
          <t>No</t>
        </is>
      </c>
      <c r="M3411" s="1" t="inlineStr">
        <is>
          <t>No</t>
        </is>
      </c>
      <c r="N3411" s="1" t="inlineStr">
        <is>
          <t>Algorithms</t>
        </is>
      </c>
      <c r="O34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12" ht="15.75" customHeight="1" s="12">
      <c r="A3412" s="1" t="n">
        <v>3695</v>
      </c>
      <c r="B3412" s="3">
        <f>HYPERLINK("https://leetcode.com/problems/maximize-alternating-sum-using-swaps/", "Maximize Alternating Sum Using Swaps")</f>
        <v/>
      </c>
      <c r="C3412" s="1" t="n">
        <v>53</v>
      </c>
      <c r="D3412" s="1" t="n">
        <v>4</v>
      </c>
      <c r="E3412" s="4">
        <f>IF(INDEX(C:C, ROW())+INDEX(D:D, ROW())=0, 0, INDEX(C:C, ROW())/(INDEX(C:C, ROW())+INDEX(D:D, ROW())))</f>
        <v/>
      </c>
      <c r="F3412" s="1" t="inlineStr">
        <is>
          <t>Array, Greedy, Union-Find, Sorting</t>
        </is>
      </c>
      <c r="G3412" s="1" t="inlineStr">
        <is>
          <t>Hard</t>
        </is>
      </c>
      <c r="H3412" s="1" t="n">
        <v>8575</v>
      </c>
      <c r="I3412" s="1" t="n">
        <v>13410</v>
      </c>
      <c r="J3412" s="9" t="n">
        <v>0.639</v>
      </c>
      <c r="K3412" s="1" t="inlineStr">
        <is>
          <t>Yes</t>
        </is>
      </c>
      <c r="L3412" s="1" t="inlineStr">
        <is>
          <t>No</t>
        </is>
      </c>
      <c r="M3412" s="1" t="inlineStr">
        <is>
          <t>No</t>
        </is>
      </c>
      <c r="N3412" s="1" t="inlineStr">
        <is>
          <t>Algorithms</t>
        </is>
      </c>
      <c r="O34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13" ht="15.75" customHeight="1" s="12">
      <c r="A3413" s="1" t="n">
        <v>3746</v>
      </c>
      <c r="B3413" s="3">
        <f>HYPERLINK("https://leetcode.com/problems/minimum-string-length-after-balanced-removals/", "Minimum String Length After Balanced Removals")</f>
        <v/>
      </c>
      <c r="C3413" s="1" t="n">
        <v>53</v>
      </c>
      <c r="D3413" s="1" t="n">
        <v>6</v>
      </c>
      <c r="E3413" s="4">
        <f>IF(INDEX(C:C, ROW())+INDEX(D:D, ROW())=0, 0, INDEX(C:C, ROW())/(INDEX(C:C, ROW())+INDEX(D:D, ROW())))</f>
        <v/>
      </c>
      <c r="F3413" s="1" t="inlineStr">
        <is>
          <t>String, Stack, Counting</t>
        </is>
      </c>
      <c r="G3413" s="1" t="inlineStr">
        <is>
          <t>Medium</t>
        </is>
      </c>
      <c r="H3413" s="1" t="n">
        <v>36886</v>
      </c>
      <c r="I3413" s="1" t="n">
        <v>47117</v>
      </c>
      <c r="J3413" s="9" t="n">
        <v>0.783</v>
      </c>
      <c r="K3413" s="1" t="inlineStr">
        <is>
          <t>Yes</t>
        </is>
      </c>
      <c r="L3413" s="1" t="inlineStr">
        <is>
          <t>No</t>
        </is>
      </c>
      <c r="M3413" s="1" t="inlineStr">
        <is>
          <t>No</t>
        </is>
      </c>
      <c r="N3413" s="1" t="inlineStr">
        <is>
          <t>Algorithms</t>
        </is>
      </c>
      <c r="O34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14" ht="15.75" customHeight="1" s="12">
      <c r="A3414" s="1" t="n">
        <v>3519</v>
      </c>
      <c r="B3414" s="3">
        <f>HYPERLINK("https://leetcode.com/problems/count-numbers-with-non-decreasing-digits/", "Count Numbers with Non-Decreasing Digits ")</f>
        <v/>
      </c>
      <c r="C3414" s="1" t="n">
        <v>52</v>
      </c>
      <c r="D3414" s="1" t="n">
        <v>3</v>
      </c>
      <c r="E3414" s="4">
        <f>IF(INDEX(C:C, ROW())+INDEX(D:D, ROW())=0, 0, INDEX(C:C, ROW())/(INDEX(C:C, ROW())+INDEX(D:D, ROW())))</f>
        <v/>
      </c>
      <c r="F3414" s="1" t="inlineStr">
        <is>
          <t>Math, String, Dynamic Programming</t>
        </is>
      </c>
      <c r="G3414" s="1" t="inlineStr">
        <is>
          <t>Hard</t>
        </is>
      </c>
      <c r="H3414" s="1" t="n">
        <v>6477</v>
      </c>
      <c r="I3414" s="1" t="n">
        <v>16896</v>
      </c>
      <c r="J3414" s="9" t="n">
        <v>0.383</v>
      </c>
      <c r="K3414" s="1" t="inlineStr">
        <is>
          <t>Yes</t>
        </is>
      </c>
      <c r="L3414" s="1" t="inlineStr">
        <is>
          <t>No</t>
        </is>
      </c>
      <c r="M3414" s="1" t="inlineStr">
        <is>
          <t>No</t>
        </is>
      </c>
      <c r="N3414" s="1" t="inlineStr">
        <is>
          <t>Algorithms</t>
        </is>
      </c>
      <c r="O34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15" ht="15.75" customHeight="1" s="12">
      <c r="A3415" s="1" t="n">
        <v>3534</v>
      </c>
      <c r="B3415" s="3">
        <f>HYPERLINK("https://leetcode.com/problems/path-existence-queries-in-a-graph-ii/", "Path Existence Queries in a Graph II")</f>
        <v/>
      </c>
      <c r="C3415" s="1" t="n">
        <v>52</v>
      </c>
      <c r="D3415" s="1" t="n">
        <v>1</v>
      </c>
      <c r="E3415" s="4">
        <f>IF(INDEX(C:C, ROW())+INDEX(D:D, ROW())=0, 0, INDEX(C:C, ROW())/(INDEX(C:C, ROW())+INDEX(D:D, ROW())))</f>
        <v/>
      </c>
      <c r="F3415" s="1" t="inlineStr">
        <is>
          <t>Array, Two Pointers, Binary Search, Dynamic Programming, Greedy, Bit Manipulation, Graph Theory, Sorting</t>
        </is>
      </c>
      <c r="G3415" s="1" t="inlineStr">
        <is>
          <t>Hard</t>
        </is>
      </c>
      <c r="H3415" s="1" t="n">
        <v>4067</v>
      </c>
      <c r="I3415" s="1" t="n">
        <v>15717</v>
      </c>
      <c r="J3415" s="9" t="n">
        <v>0.259</v>
      </c>
      <c r="K3415" s="1" t="inlineStr">
        <is>
          <t>Yes</t>
        </is>
      </c>
      <c r="L3415" s="1" t="inlineStr">
        <is>
          <t>No</t>
        </is>
      </c>
      <c r="M3415" s="1" t="inlineStr">
        <is>
          <t>No</t>
        </is>
      </c>
      <c r="N3415" s="1" t="inlineStr">
        <is>
          <t>Algorithms</t>
        </is>
      </c>
      <c r="O34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16" ht="15.75" customHeight="1" s="12">
      <c r="A3416" s="1" t="n">
        <v>3618</v>
      </c>
      <c r="B3416" s="3">
        <f>HYPERLINK("https://leetcode.com/problems/split-array-by-prime-indices/", "Split Array by Prime Indices")</f>
        <v/>
      </c>
      <c r="C3416" s="1" t="n">
        <v>52</v>
      </c>
      <c r="D3416" s="1" t="n">
        <v>3</v>
      </c>
      <c r="E3416" s="4">
        <f>IF(INDEX(C:C, ROW())+INDEX(D:D, ROW())=0, 0, INDEX(C:C, ROW())/(INDEX(C:C, ROW())+INDEX(D:D, ROW())))</f>
        <v/>
      </c>
      <c r="F3416" s="1" t="inlineStr">
        <is>
          <t>Array, Math, Number Theory</t>
        </is>
      </c>
      <c r="G3416" s="1" t="inlineStr">
        <is>
          <t>Medium</t>
        </is>
      </c>
      <c r="H3416" s="1" t="n">
        <v>36246</v>
      </c>
      <c r="I3416" s="1" t="n">
        <v>73638</v>
      </c>
      <c r="J3416" s="9" t="n">
        <v>0.492</v>
      </c>
      <c r="K3416" s="1" t="inlineStr">
        <is>
          <t>Yes</t>
        </is>
      </c>
      <c r="L3416" s="1" t="inlineStr">
        <is>
          <t>No</t>
        </is>
      </c>
      <c r="M3416" s="1" t="inlineStr">
        <is>
          <t>No</t>
        </is>
      </c>
      <c r="N3416" s="1" t="inlineStr">
        <is>
          <t>Algorithms</t>
        </is>
      </c>
      <c r="O34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17" ht="15.75" customHeight="1" s="12">
      <c r="A3417" s="1" t="n">
        <v>3701</v>
      </c>
      <c r="B3417" s="3">
        <f>HYPERLINK("https://leetcode.com/problems/compute-alternating-sum/", "Compute Alternating Sum")</f>
        <v/>
      </c>
      <c r="C3417" s="1" t="n">
        <v>52</v>
      </c>
      <c r="D3417" s="1" t="n">
        <v>2</v>
      </c>
      <c r="E3417" s="4">
        <f>IF(INDEX(C:C, ROW())+INDEX(D:D, ROW())=0, 0, INDEX(C:C, ROW())/(INDEX(C:C, ROW())+INDEX(D:D, ROW())))</f>
        <v/>
      </c>
      <c r="F3417" s="1" t="inlineStr">
        <is>
          <t>Array, Simulation</t>
        </is>
      </c>
      <c r="G3417" s="1" t="inlineStr">
        <is>
          <t>Easy</t>
        </is>
      </c>
      <c r="H3417" s="1" t="n">
        <v>60290</v>
      </c>
      <c r="I3417" s="1" t="n">
        <v>67447</v>
      </c>
      <c r="J3417" s="9" t="n">
        <v>0.894</v>
      </c>
      <c r="K3417" s="1" t="inlineStr">
        <is>
          <t>Yes</t>
        </is>
      </c>
      <c r="L3417" s="1" t="inlineStr">
        <is>
          <t>No</t>
        </is>
      </c>
      <c r="M3417" s="1" t="inlineStr">
        <is>
          <t>No</t>
        </is>
      </c>
      <c r="N3417" s="1" t="inlineStr">
        <is>
          <t>Algorithms</t>
        </is>
      </c>
      <c r="O34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18" ht="15.75" customHeight="1" s="12">
      <c r="A3418" s="1" t="n">
        <v>3803</v>
      </c>
      <c r="B3418" s="3">
        <f>HYPERLINK("https://leetcode.com/problems/count-residue-prefixes/", "Count Residue Prefixes")</f>
        <v/>
      </c>
      <c r="C3418" s="1" t="n">
        <v>52</v>
      </c>
      <c r="D3418" s="1" t="n">
        <v>0</v>
      </c>
      <c r="E3418" s="4">
        <f>IF(INDEX(C:C, ROW())+INDEX(D:D, ROW())=0, 0, INDEX(C:C, ROW())/(INDEX(C:C, ROW())+INDEX(D:D, ROW())))</f>
        <v/>
      </c>
      <c r="F3418" s="1" t="inlineStr">
        <is>
          <t>Hash Table, String</t>
        </is>
      </c>
      <c r="G3418" s="1" t="inlineStr">
        <is>
          <t>Easy</t>
        </is>
      </c>
      <c r="H3418" s="1" t="n">
        <v>40504</v>
      </c>
      <c r="I3418" s="1" t="n">
        <v>62338</v>
      </c>
      <c r="J3418" s="9" t="n">
        <v>0.65</v>
      </c>
      <c r="K3418" s="1" t="inlineStr">
        <is>
          <t>Yes</t>
        </is>
      </c>
      <c r="L3418" s="1" t="inlineStr">
        <is>
          <t>No</t>
        </is>
      </c>
      <c r="M3418" s="1" t="inlineStr">
        <is>
          <t>No</t>
        </is>
      </c>
      <c r="N3418" s="1" t="inlineStr">
        <is>
          <t>Algorithms</t>
        </is>
      </c>
      <c r="O34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19" ht="15.75" customHeight="1" s="12">
      <c r="A3419" s="1" t="n">
        <v>2403</v>
      </c>
      <c r="B3419" s="3">
        <f>HYPERLINK("https://leetcode.com/problems/minimum-time-to-kill-all-monsters/", "Minimum Time to Kill All Monsters")</f>
        <v/>
      </c>
      <c r="C3419" s="1" t="n">
        <v>51</v>
      </c>
      <c r="D3419" s="1" t="n">
        <v>5</v>
      </c>
      <c r="E3419" s="4">
        <f>IF(INDEX(C:C, ROW())+INDEX(D:D, ROW())=0, 0, INDEX(C:C, ROW())/(INDEX(C:C, ROW())+INDEX(D:D, ROW())))</f>
        <v/>
      </c>
      <c r="F3419" s="1" t="inlineStr">
        <is>
          <t>Array, Dynamic Programming, Bit Manipulation, Bitmask DP</t>
        </is>
      </c>
      <c r="G3419" s="1" t="inlineStr">
        <is>
          <t>Hard</t>
        </is>
      </c>
      <c r="H3419" s="1" t="n">
        <v>1820</v>
      </c>
      <c r="I3419" s="1" t="n">
        <v>3197</v>
      </c>
      <c r="J3419" s="9" t="n">
        <v>0.569</v>
      </c>
      <c r="K3419" s="1" t="inlineStr">
        <is>
          <t>No</t>
        </is>
      </c>
      <c r="L3419" s="1" t="inlineStr">
        <is>
          <t>No</t>
        </is>
      </c>
      <c r="M3419" s="1" t="inlineStr">
        <is>
          <t>No</t>
        </is>
      </c>
      <c r="N3419" s="1" t="inlineStr">
        <is>
          <t>Algorithms</t>
        </is>
      </c>
      <c r="O34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20" ht="15.75" customHeight="1" s="12">
      <c r="A3420" s="1" t="n">
        <v>2701</v>
      </c>
      <c r="B3420" s="3">
        <f>HYPERLINK("https://leetcode.com/problems/consecutive-transactions-with-increasing-amounts/", "Consecutive Transactions with Increasing Amounts")</f>
        <v/>
      </c>
      <c r="C3420" s="1" t="n">
        <v>51</v>
      </c>
      <c r="D3420" s="1" t="n">
        <v>6</v>
      </c>
      <c r="E3420" s="4">
        <f>IF(INDEX(C:C, ROW())+INDEX(D:D, ROW())=0, 0, INDEX(C:C, ROW())/(INDEX(C:C, ROW())+INDEX(D:D, ROW())))</f>
        <v/>
      </c>
      <c r="F3420" s="1" t="inlineStr">
        <is>
          <t>Database</t>
        </is>
      </c>
      <c r="G3420" s="1" t="inlineStr">
        <is>
          <t>Hard</t>
        </is>
      </c>
      <c r="H3420" s="1" t="n">
        <v>5296</v>
      </c>
      <c r="I3420" s="1" t="n">
        <v>15242</v>
      </c>
      <c r="J3420" s="9" t="n">
        <v>0.347</v>
      </c>
      <c r="K3420" s="1" t="inlineStr">
        <is>
          <t>No</t>
        </is>
      </c>
      <c r="L3420" s="1" t="inlineStr">
        <is>
          <t>Yes</t>
        </is>
      </c>
      <c r="M3420" s="1" t="inlineStr">
        <is>
          <t>No</t>
        </is>
      </c>
      <c r="N3420" s="1" t="inlineStr">
        <is>
          <t>Database</t>
        </is>
      </c>
      <c r="O34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21" ht="15.75" customHeight="1" s="12">
      <c r="A3421" s="1" t="n">
        <v>3449</v>
      </c>
      <c r="B3421" s="3">
        <f>HYPERLINK("https://leetcode.com/problems/maximize-the-minimum-game-score/", "Maximize the Minimum Game Score")</f>
        <v/>
      </c>
      <c r="C3421" s="1" t="n">
        <v>51</v>
      </c>
      <c r="D3421" s="1" t="n">
        <v>6</v>
      </c>
      <c r="E3421" s="4">
        <f>IF(INDEX(C:C, ROW())+INDEX(D:D, ROW())=0, 0, INDEX(C:C, ROW())/(INDEX(C:C, ROW())+INDEX(D:D, ROW())))</f>
        <v/>
      </c>
      <c r="F3421" s="1" t="inlineStr">
        <is>
          <t>Array, Binary Search, Greedy</t>
        </is>
      </c>
      <c r="G3421" s="1" t="inlineStr">
        <is>
          <t>Hard</t>
        </is>
      </c>
      <c r="H3421" s="1" t="n">
        <v>4003</v>
      </c>
      <c r="I3421" s="1" t="n">
        <v>15546</v>
      </c>
      <c r="J3421" s="9" t="n">
        <v>0.257</v>
      </c>
      <c r="K3421" s="1" t="inlineStr">
        <is>
          <t>Yes</t>
        </is>
      </c>
      <c r="L3421" s="1" t="inlineStr">
        <is>
          <t>No</t>
        </is>
      </c>
      <c r="M3421" s="1" t="inlineStr">
        <is>
          <t>No</t>
        </is>
      </c>
      <c r="N3421" s="1" t="inlineStr">
        <is>
          <t>Algorithms</t>
        </is>
      </c>
      <c r="O34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22" ht="15.75" customHeight="1" s="12">
      <c r="A3422" s="1" t="n">
        <v>3497</v>
      </c>
      <c r="B3422" s="3">
        <f>HYPERLINK("https://leetcode.com/problems/analyze-subscription-conversion/", "Analyze Subscription Conversion ")</f>
        <v/>
      </c>
      <c r="C3422" s="1" t="n">
        <v>51</v>
      </c>
      <c r="D3422" s="1" t="n">
        <v>6</v>
      </c>
      <c r="E3422" s="4">
        <f>IF(INDEX(C:C, ROW())+INDEX(D:D, ROW())=0, 0, INDEX(C:C, ROW())/(INDEX(C:C, ROW())+INDEX(D:D, ROW())))</f>
        <v/>
      </c>
      <c r="F3422" s="1" t="inlineStr">
        <is>
          <t>Database</t>
        </is>
      </c>
      <c r="G3422" s="1" t="inlineStr">
        <is>
          <t>Medium</t>
        </is>
      </c>
      <c r="H3422" s="1" t="n">
        <v>17407</v>
      </c>
      <c r="I3422" s="1" t="n">
        <v>23385</v>
      </c>
      <c r="J3422" s="9" t="n">
        <v>0.744</v>
      </c>
      <c r="K3422" s="1" t="inlineStr">
        <is>
          <t>Yes</t>
        </is>
      </c>
      <c r="L3422" s="1" t="inlineStr">
        <is>
          <t>No</t>
        </is>
      </c>
      <c r="M3422" s="1" t="inlineStr">
        <is>
          <t>No</t>
        </is>
      </c>
      <c r="N3422" s="1" t="inlineStr">
        <is>
          <t>Database</t>
        </is>
      </c>
      <c r="O34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23" ht="15.75" customHeight="1" s="12">
      <c r="A3423" s="1" t="n">
        <v>3563</v>
      </c>
      <c r="B3423" s="3">
        <f>HYPERLINK("https://leetcode.com/problems/lexicographically-smallest-string-after-adjacent-removals/", "Lexicographically Smallest String After Adjacent Removals")</f>
        <v/>
      </c>
      <c r="C3423" s="1" t="n">
        <v>51</v>
      </c>
      <c r="D3423" s="1" t="n">
        <v>4</v>
      </c>
      <c r="E3423" s="4">
        <f>IF(INDEX(C:C, ROW())+INDEX(D:D, ROW())=0, 0, INDEX(C:C, ROW())/(INDEX(C:C, ROW())+INDEX(D:D, ROW())))</f>
        <v/>
      </c>
      <c r="F3423" s="1" t="inlineStr">
        <is>
          <t>String, Dynamic Programming</t>
        </is>
      </c>
      <c r="G3423" s="1" t="inlineStr">
        <is>
          <t>Hard</t>
        </is>
      </c>
      <c r="H3423" s="1" t="n">
        <v>3839</v>
      </c>
      <c r="I3423" s="1" t="n">
        <v>22796</v>
      </c>
      <c r="J3423" s="9" t="n">
        <v>0.168</v>
      </c>
      <c r="K3423" s="1" t="inlineStr">
        <is>
          <t>Yes</t>
        </is>
      </c>
      <c r="L3423" s="1" t="inlineStr">
        <is>
          <t>No</t>
        </is>
      </c>
      <c r="M3423" s="1" t="inlineStr">
        <is>
          <t>No</t>
        </is>
      </c>
      <c r="N3423" s="1" t="inlineStr">
        <is>
          <t>Algorithms</t>
        </is>
      </c>
      <c r="O34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24" ht="15.75" customHeight="1" s="12">
      <c r="A3424" s="1" t="n">
        <v>3564</v>
      </c>
      <c r="B3424" s="3">
        <f>HYPERLINK("https://leetcode.com/problems/seasonal-sales-analysis/", "Seasonal Sales Analysis")</f>
        <v/>
      </c>
      <c r="C3424" s="1" t="n">
        <v>51</v>
      </c>
      <c r="D3424" s="1" t="n">
        <v>3</v>
      </c>
      <c r="E3424" s="4">
        <f>IF(INDEX(C:C, ROW())+INDEX(D:D, ROW())=0, 0, INDEX(C:C, ROW())/(INDEX(C:C, ROW())+INDEX(D:D, ROW())))</f>
        <v/>
      </c>
      <c r="F3424" s="1" t="inlineStr">
        <is>
          <t>Database</t>
        </is>
      </c>
      <c r="G3424" s="1" t="inlineStr">
        <is>
          <t>Medium</t>
        </is>
      </c>
      <c r="H3424" s="1" t="n">
        <v>10568</v>
      </c>
      <c r="I3424" s="1" t="n">
        <v>17133</v>
      </c>
      <c r="J3424" s="9" t="n">
        <v>0.617</v>
      </c>
      <c r="K3424" s="1" t="inlineStr">
        <is>
          <t>Yes</t>
        </is>
      </c>
      <c r="L3424" s="1" t="inlineStr">
        <is>
          <t>No</t>
        </is>
      </c>
      <c r="M3424" s="1" t="inlineStr">
        <is>
          <t>No</t>
        </is>
      </c>
      <c r="N3424" s="1" t="inlineStr">
        <is>
          <t>Database</t>
        </is>
      </c>
      <c r="O34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25" ht="15.75" customHeight="1" s="12">
      <c r="A3425" s="1" t="n">
        <v>3588</v>
      </c>
      <c r="B3425" s="3">
        <f>HYPERLINK("https://leetcode.com/problems/find-maximum-area-of-a-triangle/", "Find Maximum Area of a Triangle")</f>
        <v/>
      </c>
      <c r="C3425" s="1" t="n">
        <v>51</v>
      </c>
      <c r="D3425" s="1" t="n">
        <v>10</v>
      </c>
      <c r="E3425" s="4">
        <f>IF(INDEX(C:C, ROW())+INDEX(D:D, ROW())=0, 0, INDEX(C:C, ROW())/(INDEX(C:C, ROW())+INDEX(D:D, ROW())))</f>
        <v/>
      </c>
      <c r="F3425" s="1" t="inlineStr">
        <is>
          <t>Array, Hash Table, Math, Greedy, Geometry, Enumeration</t>
        </is>
      </c>
      <c r="G3425" s="1" t="inlineStr">
        <is>
          <t>Medium</t>
        </is>
      </c>
      <c r="H3425" s="1" t="n">
        <v>11492</v>
      </c>
      <c r="I3425" s="1" t="n">
        <v>40064</v>
      </c>
      <c r="J3425" s="9" t="n">
        <v>0.287</v>
      </c>
      <c r="K3425" s="1" t="inlineStr">
        <is>
          <t>Yes</t>
        </is>
      </c>
      <c r="L3425" s="1" t="inlineStr">
        <is>
          <t>No</t>
        </is>
      </c>
      <c r="M3425" s="1" t="inlineStr">
        <is>
          <t>No</t>
        </is>
      </c>
      <c r="N3425" s="1" t="inlineStr">
        <is>
          <t>Algorithms</t>
        </is>
      </c>
      <c r="O34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26" ht="15.75" customHeight="1" s="12">
      <c r="A3426" s="1" t="n">
        <v>3643</v>
      </c>
      <c r="B3426" s="3">
        <f>HYPERLINK("https://leetcode.com/problems/flip-square-submatrix-vertically/", "Flip Square Submatrix Vertically")</f>
        <v/>
      </c>
      <c r="C3426" s="1" t="n">
        <v>51</v>
      </c>
      <c r="D3426" s="1" t="n">
        <v>2</v>
      </c>
      <c r="E3426" s="4">
        <f>IF(INDEX(C:C, ROW())+INDEX(D:D, ROW())=0, 0, INDEX(C:C, ROW())/(INDEX(C:C, ROW())+INDEX(D:D, ROW())))</f>
        <v/>
      </c>
      <c r="F3426" s="1" t="inlineStr">
        <is>
          <t>Array, Two Pointers, Matrix</t>
        </is>
      </c>
      <c r="G3426" s="1" t="inlineStr">
        <is>
          <t>Easy</t>
        </is>
      </c>
      <c r="H3426" s="1" t="n">
        <v>59455</v>
      </c>
      <c r="I3426" s="1" t="n">
        <v>82329</v>
      </c>
      <c r="J3426" s="9" t="n">
        <v>0.722</v>
      </c>
      <c r="K3426" s="1" t="inlineStr">
        <is>
          <t>Yes</t>
        </is>
      </c>
      <c r="L3426" s="1" t="inlineStr">
        <is>
          <t>No</t>
        </is>
      </c>
      <c r="M3426" s="1" t="inlineStr">
        <is>
          <t>No</t>
        </is>
      </c>
      <c r="N3426" s="1" t="inlineStr">
        <is>
          <t>Algorithms</t>
        </is>
      </c>
      <c r="O34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27" ht="15.75" customHeight="1" s="12">
      <c r="A3427" s="1" t="n">
        <v>3661</v>
      </c>
      <c r="B3427" s="3">
        <f>HYPERLINK("https://leetcode.com/problems/maximum-walls-destroyed-by-robots/", "Maximum Walls Destroyed by Robots")</f>
        <v/>
      </c>
      <c r="C3427" s="1" t="n">
        <v>51</v>
      </c>
      <c r="D3427" s="1" t="n">
        <v>7</v>
      </c>
      <c r="E3427" s="4">
        <f>IF(INDEX(C:C, ROW())+INDEX(D:D, ROW())=0, 0, INDEX(C:C, ROW())/(INDEX(C:C, ROW())+INDEX(D:D, ROW())))</f>
        <v/>
      </c>
      <c r="F3427" s="1" t="inlineStr">
        <is>
          <t>Array, Binary Search, Dynamic Programming, Sorting</t>
        </is>
      </c>
      <c r="G3427" s="1" t="inlineStr">
        <is>
          <t>Hard</t>
        </is>
      </c>
      <c r="H3427" s="1" t="n">
        <v>5686</v>
      </c>
      <c r="I3427" s="1" t="n">
        <v>25706</v>
      </c>
      <c r="J3427" s="9" t="n">
        <v>0.221</v>
      </c>
      <c r="K3427" s="1" t="inlineStr">
        <is>
          <t>Yes</t>
        </is>
      </c>
      <c r="L3427" s="1" t="inlineStr">
        <is>
          <t>No</t>
        </is>
      </c>
      <c r="M3427" s="1" t="inlineStr">
        <is>
          <t>No</t>
        </is>
      </c>
      <c r="N3427" s="1" t="inlineStr">
        <is>
          <t>Algorithms</t>
        </is>
      </c>
      <c r="O34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28" ht="15.75" customHeight="1" s="12">
      <c r="A3428" s="1" t="n">
        <v>3799</v>
      </c>
      <c r="B3428" s="3">
        <f>HYPERLINK("https://leetcode.com/problems/word-squares-ii/", "Word Squares II")</f>
        <v/>
      </c>
      <c r="C3428" s="1" t="n">
        <v>51</v>
      </c>
      <c r="D3428" s="1" t="n">
        <v>21</v>
      </c>
      <c r="E3428" s="4">
        <f>IF(INDEX(C:C, ROW())+INDEX(D:D, ROW())=0, 0, INDEX(C:C, ROW())/(INDEX(C:C, ROW())+INDEX(D:D, ROW())))</f>
        <v/>
      </c>
      <c r="F3428" s="1" t="inlineStr">
        <is>
          <t>Array, String, Backtracking, Sorting, Enumeration</t>
        </is>
      </c>
      <c r="G3428" s="1" t="inlineStr">
        <is>
          <t>Medium</t>
        </is>
      </c>
      <c r="H3428" s="1" t="n">
        <v>17148</v>
      </c>
      <c r="I3428" s="1" t="n">
        <v>31234</v>
      </c>
      <c r="J3428" s="9" t="n">
        <v>0.549</v>
      </c>
      <c r="K3428" s="1" t="inlineStr">
        <is>
          <t>Yes</t>
        </is>
      </c>
      <c r="L3428" s="1" t="inlineStr">
        <is>
          <t>No</t>
        </is>
      </c>
      <c r="M3428" s="1" t="inlineStr">
        <is>
          <t>No</t>
        </is>
      </c>
      <c r="N3428" s="1" t="inlineStr">
        <is>
          <t>Algorithms</t>
        </is>
      </c>
      <c r="O34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29" ht="15.75" customHeight="1" s="12">
      <c r="A3429" s="1" t="n">
        <v>2604</v>
      </c>
      <c r="B3429" s="3">
        <f>HYPERLINK("https://leetcode.com/problems/minimum-time-to-eat-all-grains/", "Minimum Time to Eat All Grains")</f>
        <v/>
      </c>
      <c r="C3429" s="1" t="n">
        <v>50</v>
      </c>
      <c r="D3429" s="1" t="n">
        <v>4</v>
      </c>
      <c r="E3429" s="4">
        <f>IF(INDEX(C:C, ROW())+INDEX(D:D, ROW())=0, 0, INDEX(C:C, ROW())/(INDEX(C:C, ROW())+INDEX(D:D, ROW())))</f>
        <v/>
      </c>
      <c r="F3429" s="1" t="inlineStr">
        <is>
          <t>Array, Two Pointers, Binary Search, Sorting</t>
        </is>
      </c>
      <c r="G3429" s="1" t="inlineStr">
        <is>
          <t>Hard</t>
        </is>
      </c>
      <c r="H3429" s="1" t="n">
        <v>2120</v>
      </c>
      <c r="I3429" s="1" t="n">
        <v>5270</v>
      </c>
      <c r="J3429" s="9" t="n">
        <v>0.402</v>
      </c>
      <c r="K3429" s="1" t="inlineStr">
        <is>
          <t>No</t>
        </is>
      </c>
      <c r="L3429" s="1" t="inlineStr">
        <is>
          <t>No</t>
        </is>
      </c>
      <c r="M3429" s="1" t="inlineStr">
        <is>
          <t>No</t>
        </is>
      </c>
      <c r="N3429" s="1" t="inlineStr">
        <is>
          <t>Algorithms</t>
        </is>
      </c>
      <c r="O34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30" ht="15.75" customHeight="1" s="12">
      <c r="A3430" s="1" t="n">
        <v>3475</v>
      </c>
      <c r="B3430" s="3">
        <f>HYPERLINK("https://leetcode.com/problems/dna-pattern-recognition/", "DNA Pattern Recognition ")</f>
        <v/>
      </c>
      <c r="C3430" s="1" t="n">
        <v>50</v>
      </c>
      <c r="D3430" s="1" t="n">
        <v>7</v>
      </c>
      <c r="E3430" s="4">
        <f>IF(INDEX(C:C, ROW())+INDEX(D:D, ROW())=0, 0, INDEX(C:C, ROW())/(INDEX(C:C, ROW())+INDEX(D:D, ROW())))</f>
        <v/>
      </c>
      <c r="F3430" s="1" t="inlineStr">
        <is>
          <t>Database</t>
        </is>
      </c>
      <c r="G3430" s="1" t="inlineStr">
        <is>
          <t>Medium</t>
        </is>
      </c>
      <c r="H3430" s="1" t="n">
        <v>18568</v>
      </c>
      <c r="I3430" s="1" t="n">
        <v>21728</v>
      </c>
      <c r="J3430" s="9" t="n">
        <v>0.855</v>
      </c>
      <c r="K3430" s="1" t="inlineStr">
        <is>
          <t>Yes</t>
        </is>
      </c>
      <c r="L3430" s="1" t="inlineStr">
        <is>
          <t>No</t>
        </is>
      </c>
      <c r="M3430" s="1" t="inlineStr">
        <is>
          <t>No</t>
        </is>
      </c>
      <c r="N3430" s="1" t="inlineStr">
        <is>
          <t>Database</t>
        </is>
      </c>
      <c r="O34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31" ht="15.75" customHeight="1" s="12">
      <c r="A3431" s="1" t="n">
        <v>3490</v>
      </c>
      <c r="B3431" s="3">
        <f>HYPERLINK("https://leetcode.com/problems/count-beautiful-numbers/", "Count Beautiful Numbers")</f>
        <v/>
      </c>
      <c r="C3431" s="1" t="n">
        <v>50</v>
      </c>
      <c r="D3431" s="1" t="n">
        <v>3</v>
      </c>
      <c r="E3431" s="4">
        <f>IF(INDEX(C:C, ROW())+INDEX(D:D, ROW())=0, 0, INDEX(C:C, ROW())/(INDEX(C:C, ROW())+INDEX(D:D, ROW())))</f>
        <v/>
      </c>
      <c r="F3431" s="1" t="inlineStr">
        <is>
          <t>Dynamic Programming</t>
        </is>
      </c>
      <c r="G3431" s="1" t="inlineStr">
        <is>
          <t>Hard</t>
        </is>
      </c>
      <c r="H3431" s="1" t="n">
        <v>5170</v>
      </c>
      <c r="I3431" s="1" t="n">
        <v>22428</v>
      </c>
      <c r="J3431" s="9" t="n">
        <v>0.231</v>
      </c>
      <c r="K3431" s="1" t="inlineStr">
        <is>
          <t>Yes</t>
        </is>
      </c>
      <c r="L3431" s="1" t="inlineStr">
        <is>
          <t>No</t>
        </is>
      </c>
      <c r="M3431" s="1" t="inlineStr">
        <is>
          <t>No</t>
        </is>
      </c>
      <c r="N3431" s="1" t="inlineStr">
        <is>
          <t>Algorithms</t>
        </is>
      </c>
      <c r="O34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32" ht="15.75" customHeight="1" s="12">
      <c r="A3432" s="1" t="n">
        <v>3547</v>
      </c>
      <c r="B3432" s="3">
        <f>HYPERLINK("https://leetcode.com/problems/maximum-sum-of-edge-values-in-a-graph/", "Maximum Sum of Edge Values in a Graph")</f>
        <v/>
      </c>
      <c r="C3432" s="1" t="n">
        <v>50</v>
      </c>
      <c r="D3432" s="1" t="n">
        <v>30</v>
      </c>
      <c r="E3432" s="4">
        <f>IF(INDEX(C:C, ROW())+INDEX(D:D, ROW())=0, 0, INDEX(C:C, ROW())/(INDEX(C:C, ROW())+INDEX(D:D, ROW())))</f>
        <v/>
      </c>
      <c r="F3432" s="1" t="inlineStr">
        <is>
          <t>Math, Greedy, Graph Theory</t>
        </is>
      </c>
      <c r="G3432" s="1" t="inlineStr">
        <is>
          <t>Hard</t>
        </is>
      </c>
      <c r="H3432" s="1" t="n">
        <v>6352</v>
      </c>
      <c r="I3432" s="1" t="n">
        <v>17919</v>
      </c>
      <c r="J3432" s="9" t="n">
        <v>0.354</v>
      </c>
      <c r="K3432" s="1" t="inlineStr">
        <is>
          <t>Yes</t>
        </is>
      </c>
      <c r="L3432" s="1" t="inlineStr">
        <is>
          <t>No</t>
        </is>
      </c>
      <c r="M3432" s="1" t="inlineStr">
        <is>
          <t>No</t>
        </is>
      </c>
      <c r="N3432" s="1" t="inlineStr">
        <is>
          <t>Algorithms</t>
        </is>
      </c>
      <c r="O34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33" ht="15.75" customHeight="1" s="12">
      <c r="A3433" s="1" t="n">
        <v>3648</v>
      </c>
      <c r="B3433" s="3">
        <f>HYPERLINK("https://leetcode.com/problems/minimum-sensors-to-cover-grid/", "Minimum Sensors to Cover Grid")</f>
        <v/>
      </c>
      <c r="C3433" s="1" t="n">
        <v>50</v>
      </c>
      <c r="D3433" s="1" t="n">
        <v>9</v>
      </c>
      <c r="E3433" s="4">
        <f>IF(INDEX(C:C, ROW())+INDEX(D:D, ROW())=0, 0, INDEX(C:C, ROW())/(INDEX(C:C, ROW())+INDEX(D:D, ROW())))</f>
        <v/>
      </c>
      <c r="F3433" s="1" t="inlineStr">
        <is>
          <t>Math</t>
        </is>
      </c>
      <c r="G3433" s="1" t="inlineStr">
        <is>
          <t>Medium</t>
        </is>
      </c>
      <c r="H3433" s="1" t="n">
        <v>28735</v>
      </c>
      <c r="I3433" s="1" t="n">
        <v>41854</v>
      </c>
      <c r="J3433" s="9" t="n">
        <v>0.6870000000000001</v>
      </c>
      <c r="K3433" s="1" t="inlineStr">
        <is>
          <t>Yes</t>
        </is>
      </c>
      <c r="L3433" s="1" t="inlineStr">
        <is>
          <t>No</t>
        </is>
      </c>
      <c r="M3433" s="1" t="inlineStr">
        <is>
          <t>No</t>
        </is>
      </c>
      <c r="N3433" s="1" t="inlineStr">
        <is>
          <t>Algorithms</t>
        </is>
      </c>
      <c r="O34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34" ht="15.75" customHeight="1" s="12">
      <c r="A3434" s="1" t="n">
        <v>3718</v>
      </c>
      <c r="B3434" s="3">
        <f>HYPERLINK("https://leetcode.com/problems/smallest-missing-multiple-of-k/", "Smallest Missing Multiple of K")</f>
        <v/>
      </c>
      <c r="C3434" s="1" t="n">
        <v>50</v>
      </c>
      <c r="D3434" s="1" t="n">
        <v>2</v>
      </c>
      <c r="E3434" s="4">
        <f>IF(INDEX(C:C, ROW())+INDEX(D:D, ROW())=0, 0, INDEX(C:C, ROW())/(INDEX(C:C, ROW())+INDEX(D:D, ROW())))</f>
        <v/>
      </c>
      <c r="F3434" s="1" t="inlineStr">
        <is>
          <t>Array, Hash Table</t>
        </is>
      </c>
      <c r="G3434" s="1" t="inlineStr">
        <is>
          <t>Easy</t>
        </is>
      </c>
      <c r="H3434" s="1" t="n">
        <v>44414</v>
      </c>
      <c r="I3434" s="1" t="n">
        <v>70490</v>
      </c>
      <c r="J3434" s="9" t="n">
        <v>0.63</v>
      </c>
      <c r="K3434" s="1" t="inlineStr">
        <is>
          <t>Yes</t>
        </is>
      </c>
      <c r="L3434" s="1" t="inlineStr">
        <is>
          <t>No</t>
        </is>
      </c>
      <c r="M3434" s="1" t="inlineStr">
        <is>
          <t>No</t>
        </is>
      </c>
      <c r="N3434" s="1" t="inlineStr">
        <is>
          <t>Algorithms</t>
        </is>
      </c>
      <c r="O34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35" ht="15.75" customHeight="1" s="12">
      <c r="A3435" s="1" t="n">
        <v>3766</v>
      </c>
      <c r="B3435" s="3">
        <f>HYPERLINK("https://leetcode.com/problems/minimum-operations-to-make-binary-palindrome/", "Minimum Operations to Make Binary Palindrome")</f>
        <v/>
      </c>
      <c r="C3435" s="1" t="n">
        <v>50</v>
      </c>
      <c r="D3435" s="1" t="n">
        <v>9</v>
      </c>
      <c r="E3435" s="4">
        <f>IF(INDEX(C:C, ROW())+INDEX(D:D, ROW())=0, 0, INDEX(C:C, ROW())/(INDEX(C:C, ROW())+INDEX(D:D, ROW())))</f>
        <v/>
      </c>
      <c r="F3435" s="1" t="inlineStr">
        <is>
          <t>Array, Two Pointers, Binary Search, Bit Manipulation</t>
        </is>
      </c>
      <c r="G3435" s="1" t="inlineStr">
        <is>
          <t>Medium</t>
        </is>
      </c>
      <c r="H3435" s="1" t="n">
        <v>16018</v>
      </c>
      <c r="I3435" s="1" t="n">
        <v>31050</v>
      </c>
      <c r="J3435" s="9" t="n">
        <v>0.516</v>
      </c>
      <c r="K3435" s="1" t="inlineStr">
        <is>
          <t>Yes</t>
        </is>
      </c>
      <c r="L3435" s="1" t="inlineStr">
        <is>
          <t>No</t>
        </is>
      </c>
      <c r="M3435" s="1" t="inlineStr">
        <is>
          <t>No</t>
        </is>
      </c>
      <c r="N3435" s="1" t="inlineStr">
        <is>
          <t>Algorithms</t>
        </is>
      </c>
      <c r="O34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36" ht="15.75" customHeight="1" s="12">
      <c r="A3436" s="1" t="n">
        <v>3769</v>
      </c>
      <c r="B3436" s="3">
        <f>HYPERLINK("https://leetcode.com/problems/sort-integers-by-binary-reflection/", "Sort Integers by Binary Reflection")</f>
        <v/>
      </c>
      <c r="C3436" s="1" t="n">
        <v>50</v>
      </c>
      <c r="D3436" s="1" t="n">
        <v>3</v>
      </c>
      <c r="E3436" s="4">
        <f>IF(INDEX(C:C, ROW())+INDEX(D:D, ROW())=0, 0, INDEX(C:C, ROW())/(INDEX(C:C, ROW())+INDEX(D:D, ROW())))</f>
        <v/>
      </c>
      <c r="F3436" s="1" t="inlineStr">
        <is>
          <t>Array, Sorting</t>
        </is>
      </c>
      <c r="G3436" s="1" t="inlineStr">
        <is>
          <t>Easy</t>
        </is>
      </c>
      <c r="H3436" s="1" t="n">
        <v>28311</v>
      </c>
      <c r="I3436" s="1" t="n">
        <v>46780</v>
      </c>
      <c r="J3436" s="9" t="n">
        <v>0.605</v>
      </c>
      <c r="K3436" s="1" t="inlineStr">
        <is>
          <t>Yes</t>
        </is>
      </c>
      <c r="L3436" s="1" t="inlineStr">
        <is>
          <t>No</t>
        </is>
      </c>
      <c r="M3436" s="1" t="inlineStr">
        <is>
          <t>No</t>
        </is>
      </c>
      <c r="N3436" s="1" t="inlineStr">
        <is>
          <t>Algorithms</t>
        </is>
      </c>
      <c r="O34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37" ht="15.75" customHeight="1" s="12">
      <c r="A3437" s="1" t="n">
        <v>3775</v>
      </c>
      <c r="B3437" s="3">
        <f>HYPERLINK("https://leetcode.com/problems/reverse-words-with-same-vowel-count/", "Reverse Words With Same Vowel Count")</f>
        <v/>
      </c>
      <c r="C3437" s="1" t="n">
        <v>50</v>
      </c>
      <c r="D3437" s="1" t="n">
        <v>4</v>
      </c>
      <c r="E3437" s="4">
        <f>IF(INDEX(C:C, ROW())+INDEX(D:D, ROW())=0, 0, INDEX(C:C, ROW())/(INDEX(C:C, ROW())+INDEX(D:D, ROW())))</f>
        <v/>
      </c>
      <c r="F3437" s="1" t="inlineStr">
        <is>
          <t>Two Pointers, String, Simulation</t>
        </is>
      </c>
      <c r="G3437" s="1" t="inlineStr">
        <is>
          <t>Medium</t>
        </is>
      </c>
      <c r="H3437" s="1" t="n">
        <v>33013</v>
      </c>
      <c r="I3437" s="1" t="n">
        <v>49742</v>
      </c>
      <c r="J3437" s="9" t="n">
        <v>0.664</v>
      </c>
      <c r="K3437" s="1" t="inlineStr">
        <is>
          <t>Yes</t>
        </is>
      </c>
      <c r="L3437" s="1" t="inlineStr">
        <is>
          <t>No</t>
        </is>
      </c>
      <c r="M3437" s="1" t="inlineStr">
        <is>
          <t>No</t>
        </is>
      </c>
      <c r="N3437" s="1" t="inlineStr">
        <is>
          <t>Algorithms</t>
        </is>
      </c>
      <c r="O34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38" ht="15.75" customHeight="1" s="12">
      <c r="A3438" s="1" t="n">
        <v>3780</v>
      </c>
      <c r="B3438" s="3">
        <f>HYPERLINK("https://leetcode.com/problems/maximum-sum-of-three-numbers-divisible-by-three/", "Maximum Sum of Three Numbers Divisible by Three")</f>
        <v/>
      </c>
      <c r="C3438" s="1" t="n">
        <v>50</v>
      </c>
      <c r="D3438" s="1" t="n">
        <v>1</v>
      </c>
      <c r="E3438" s="4">
        <f>IF(INDEX(C:C, ROW())+INDEX(D:D, ROW())=0, 0, INDEX(C:C, ROW())/(INDEX(C:C, ROW())+INDEX(D:D, ROW())))</f>
        <v/>
      </c>
      <c r="F3438" s="1" t="inlineStr">
        <is>
          <t>Array, Greedy, Sorting, Heap (Priority Queue)</t>
        </is>
      </c>
      <c r="G3438" s="1" t="inlineStr">
        <is>
          <t>Medium</t>
        </is>
      </c>
      <c r="H3438" s="1" t="n">
        <v>20904</v>
      </c>
      <c r="I3438" s="1" t="n">
        <v>43770</v>
      </c>
      <c r="J3438" s="9" t="n">
        <v>0.478</v>
      </c>
      <c r="K3438" s="1" t="inlineStr">
        <is>
          <t>Yes</t>
        </is>
      </c>
      <c r="L3438" s="1" t="inlineStr">
        <is>
          <t>No</t>
        </is>
      </c>
      <c r="M3438" s="1" t="inlineStr">
        <is>
          <t>No</t>
        </is>
      </c>
      <c r="N3438" s="1" t="inlineStr">
        <is>
          <t>Algorithms</t>
        </is>
      </c>
      <c r="O34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39" ht="15.75" customHeight="1" s="12">
      <c r="A3439" s="1" t="n">
        <v>3798</v>
      </c>
      <c r="B3439" s="3">
        <f>HYPERLINK("https://leetcode.com/problems/largest-even-number/", "Largest Even Number")</f>
        <v/>
      </c>
      <c r="C3439" s="1" t="n">
        <v>50</v>
      </c>
      <c r="D3439" s="1" t="n">
        <v>0</v>
      </c>
      <c r="E3439" s="4">
        <f>IF(INDEX(C:C, ROW())+INDEX(D:D, ROW())=0, 0, INDEX(C:C, ROW())/(INDEX(C:C, ROW())+INDEX(D:D, ROW())))</f>
        <v/>
      </c>
      <c r="F3439" s="1" t="inlineStr">
        <is>
          <t>String</t>
        </is>
      </c>
      <c r="G3439" s="1" t="inlineStr">
        <is>
          <t>Easy</t>
        </is>
      </c>
      <c r="H3439" s="1" t="n">
        <v>38039</v>
      </c>
      <c r="I3439" s="1" t="n">
        <v>54867</v>
      </c>
      <c r="J3439" s="9" t="n">
        <v>0.6929999999999999</v>
      </c>
      <c r="K3439" s="1" t="inlineStr">
        <is>
          <t>Yes</t>
        </is>
      </c>
      <c r="L3439" s="1" t="inlineStr">
        <is>
          <t>No</t>
        </is>
      </c>
      <c r="M3439" s="1" t="inlineStr">
        <is>
          <t>No</t>
        </is>
      </c>
      <c r="N3439" s="1" t="inlineStr">
        <is>
          <t>Algorithms</t>
        </is>
      </c>
      <c r="O34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40" ht="15.75" customHeight="1" s="12">
      <c r="A3440" s="1" t="n">
        <v>2339</v>
      </c>
      <c r="B3440" s="3">
        <f>HYPERLINK("https://leetcode.com/problems/all-the-matches-of-the-league/", "All the Matches of the League")</f>
        <v/>
      </c>
      <c r="C3440" s="1" t="n">
        <v>49</v>
      </c>
      <c r="D3440" s="1" t="n">
        <v>4</v>
      </c>
      <c r="E3440" s="4">
        <f>IF(INDEX(C:C, ROW())+INDEX(D:D, ROW())=0, 0, INDEX(C:C, ROW())/(INDEX(C:C, ROW())+INDEX(D:D, ROW())))</f>
        <v/>
      </c>
      <c r="F3440" s="1" t="inlineStr">
        <is>
          <t>Database</t>
        </is>
      </c>
      <c r="G3440" s="1" t="inlineStr">
        <is>
          <t>Easy</t>
        </is>
      </c>
      <c r="H3440" s="1" t="n">
        <v>11140</v>
      </c>
      <c r="I3440" s="1" t="n">
        <v>12590</v>
      </c>
      <c r="J3440" s="9" t="n">
        <v>0.885</v>
      </c>
      <c r="K3440" s="1" t="inlineStr">
        <is>
          <t>No</t>
        </is>
      </c>
      <c r="L3440" s="1" t="inlineStr">
        <is>
          <t>No</t>
        </is>
      </c>
      <c r="M3440" s="1" t="inlineStr">
        <is>
          <t>No</t>
        </is>
      </c>
      <c r="N3440" s="1" t="inlineStr">
        <is>
          <t>Database</t>
        </is>
      </c>
      <c r="O34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41" ht="15.75" customHeight="1" s="12">
      <c r="A3441" s="1" t="n">
        <v>2702</v>
      </c>
      <c r="B3441" s="3">
        <f>HYPERLINK("https://leetcode.com/problems/minimum-operations-to-make-numbers-non-positive/", "Minimum Operations to Make Numbers Non-positive")</f>
        <v/>
      </c>
      <c r="C3441" s="1" t="n">
        <v>49</v>
      </c>
      <c r="D3441" s="1" t="n">
        <v>5</v>
      </c>
      <c r="E3441" s="4">
        <f>IF(INDEX(C:C, ROW())+INDEX(D:D, ROW())=0, 0, INDEX(C:C, ROW())/(INDEX(C:C, ROW())+INDEX(D:D, ROW())))</f>
        <v/>
      </c>
      <c r="F3441" s="1" t="inlineStr">
        <is>
          <t>Array, Binary Search</t>
        </is>
      </c>
      <c r="G3441" s="1" t="inlineStr">
        <is>
          <t>Hard</t>
        </is>
      </c>
      <c r="H3441" s="1" t="n">
        <v>5955</v>
      </c>
      <c r="I3441" s="1" t="n">
        <v>13631</v>
      </c>
      <c r="J3441" s="9" t="n">
        <v>0.437</v>
      </c>
      <c r="K3441" s="1" t="inlineStr">
        <is>
          <t>No</t>
        </is>
      </c>
      <c r="L3441" s="1" t="inlineStr">
        <is>
          <t>No</t>
        </is>
      </c>
      <c r="M3441" s="1" t="inlineStr">
        <is>
          <t>No</t>
        </is>
      </c>
      <c r="N3441" s="1" t="inlineStr">
        <is>
          <t>Algorithms</t>
        </is>
      </c>
      <c r="O34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42" ht="15.75" customHeight="1" s="12">
      <c r="A3442" s="1" t="n">
        <v>3063</v>
      </c>
      <c r="B3442" s="3">
        <f>HYPERLINK("https://leetcode.com/problems/linked-list-frequency/", "Linked List Frequency")</f>
        <v/>
      </c>
      <c r="C3442" s="1" t="n">
        <v>49</v>
      </c>
      <c r="D3442" s="1" t="n">
        <v>21</v>
      </c>
      <c r="E3442" s="4">
        <f>IF(INDEX(C:C, ROW())+INDEX(D:D, ROW())=0, 0, INDEX(C:C, ROW())/(INDEX(C:C, ROW())+INDEX(D:D, ROW())))</f>
        <v/>
      </c>
      <c r="F3442" s="1" t="inlineStr">
        <is>
          <t>Hash Table, Linked List, Counting</t>
        </is>
      </c>
      <c r="G3442" s="1" t="inlineStr">
        <is>
          <t>Easy</t>
        </is>
      </c>
      <c r="H3442" s="1" t="n">
        <v>14585</v>
      </c>
      <c r="I3442" s="1" t="n">
        <v>17092</v>
      </c>
      <c r="J3442" s="9" t="n">
        <v>0.853</v>
      </c>
      <c r="K3442" s="1" t="inlineStr">
        <is>
          <t>No</t>
        </is>
      </c>
      <c r="L3442" s="1" t="inlineStr">
        <is>
          <t>Yes</t>
        </is>
      </c>
      <c r="M3442" s="1" t="inlineStr">
        <is>
          <t>No</t>
        </is>
      </c>
      <c r="N3442" s="1" t="inlineStr">
        <is>
          <t>Algorithms</t>
        </is>
      </c>
      <c r="O34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43" ht="15.75" customHeight="1" s="12">
      <c r="A3443" s="1" t="n">
        <v>3513</v>
      </c>
      <c r="B3443" s="3">
        <f>HYPERLINK("https://leetcode.com/problems/number-of-unique-xor-triplets-i/", "Number of Unique XOR Triplets I")</f>
        <v/>
      </c>
      <c r="C3443" s="1" t="n">
        <v>49</v>
      </c>
      <c r="D3443" s="1" t="n">
        <v>11</v>
      </c>
      <c r="E3443" s="4">
        <f>IF(INDEX(C:C, ROW())+INDEX(D:D, ROW())=0, 0, INDEX(C:C, ROW())/(INDEX(C:C, ROW())+INDEX(D:D, ROW())))</f>
        <v/>
      </c>
      <c r="F3443" s="1" t="inlineStr">
        <is>
          <t>Array, Math, Bit Manipulation</t>
        </is>
      </c>
      <c r="G3443" s="1" t="inlineStr">
        <is>
          <t>Medium</t>
        </is>
      </c>
      <c r="H3443" s="1" t="n">
        <v>15707</v>
      </c>
      <c r="I3443" s="1" t="n">
        <v>59847</v>
      </c>
      <c r="J3443" s="9" t="n">
        <v>0.262</v>
      </c>
      <c r="K3443" s="1" t="inlineStr">
        <is>
          <t>Yes</t>
        </is>
      </c>
      <c r="L3443" s="1" t="inlineStr">
        <is>
          <t>No</t>
        </is>
      </c>
      <c r="M3443" s="1" t="inlineStr">
        <is>
          <t>No</t>
        </is>
      </c>
      <c r="N3443" s="1" t="inlineStr">
        <is>
          <t>Algorithms</t>
        </is>
      </c>
      <c r="O34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44" ht="15.75" customHeight="1" s="12">
      <c r="A3444" s="1" t="n">
        <v>3575</v>
      </c>
      <c r="B3444" s="3">
        <f>HYPERLINK("https://leetcode.com/problems/maximum-good-subtree-score/", "Maximum Good Subtree Score")</f>
        <v/>
      </c>
      <c r="C3444" s="1" t="n">
        <v>49</v>
      </c>
      <c r="D3444" s="1" t="n">
        <v>8</v>
      </c>
      <c r="E3444" s="4">
        <f>IF(INDEX(C:C, ROW())+INDEX(D:D, ROW())=0, 0, INDEX(C:C, ROW())/(INDEX(C:C, ROW())+INDEX(D:D, ROW())))</f>
        <v/>
      </c>
      <c r="F3444" s="1" t="inlineStr">
        <is>
          <t>Array, Dynamic Programming, Bit Manipulation, Tree, Depth-First Search, Bitmask DP</t>
        </is>
      </c>
      <c r="G3444" s="1" t="inlineStr">
        <is>
          <t>Hard</t>
        </is>
      </c>
      <c r="H3444" s="1" t="n">
        <v>4470</v>
      </c>
      <c r="I3444" s="1" t="n">
        <v>9941</v>
      </c>
      <c r="J3444" s="9" t="n">
        <v>0.45</v>
      </c>
      <c r="K3444" s="1" t="inlineStr">
        <is>
          <t>Yes</t>
        </is>
      </c>
      <c r="L3444" s="1" t="inlineStr">
        <is>
          <t>No</t>
        </is>
      </c>
      <c r="M3444" s="1" t="inlineStr">
        <is>
          <t>No</t>
        </is>
      </c>
      <c r="N3444" s="1" t="inlineStr">
        <is>
          <t>Algorithms</t>
        </is>
      </c>
      <c r="O34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45" ht="15.75" customHeight="1" s="12">
      <c r="A3445" s="1" t="n">
        <v>3621</v>
      </c>
      <c r="B3445" s="3">
        <f>HYPERLINK("https://leetcode.com/problems/number-of-integers-with-popcount-depth-equal-to-k-i/", "Number of Integers With Popcount-Depth Equal to K I")</f>
        <v/>
      </c>
      <c r="C3445" s="1" t="n">
        <v>49</v>
      </c>
      <c r="D3445" s="1" t="n">
        <v>4</v>
      </c>
      <c r="E3445" s="4">
        <f>IF(INDEX(C:C, ROW())+INDEX(D:D, ROW())=0, 0, INDEX(C:C, ROW())/(INDEX(C:C, ROW())+INDEX(D:D, ROW())))</f>
        <v/>
      </c>
      <c r="F3445" s="1" t="inlineStr">
        <is>
          <t>Math, Dynamic Programming, Bit Manipulation, Combinatorics</t>
        </is>
      </c>
      <c r="G3445" s="1" t="inlineStr">
        <is>
          <t>Hard</t>
        </is>
      </c>
      <c r="H3445" s="1" t="n">
        <v>4425</v>
      </c>
      <c r="I3445" s="1" t="n">
        <v>20148</v>
      </c>
      <c r="J3445" s="9" t="n">
        <v>0.22</v>
      </c>
      <c r="K3445" s="1" t="inlineStr">
        <is>
          <t>Yes</t>
        </is>
      </c>
      <c r="L3445" s="1" t="inlineStr">
        <is>
          <t>No</t>
        </is>
      </c>
      <c r="M3445" s="1" t="inlineStr">
        <is>
          <t>No</t>
        </is>
      </c>
      <c r="N3445" s="1" t="inlineStr">
        <is>
          <t>Algorithms</t>
        </is>
      </c>
      <c r="O34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46" ht="15.75" customHeight="1" s="12">
      <c r="A3446" s="1" t="n">
        <v>3684</v>
      </c>
      <c r="B3446" s="3">
        <f>HYPERLINK("https://leetcode.com/problems/maximize-sum-of-at-most-k-distinct-elements/", "Maximize Sum of At Most K Distinct Elements")</f>
        <v/>
      </c>
      <c r="C3446" s="1" t="n">
        <v>49</v>
      </c>
      <c r="D3446" s="1" t="n">
        <v>4</v>
      </c>
      <c r="E3446" s="4">
        <f>IF(INDEX(C:C, ROW())+INDEX(D:D, ROW())=0, 0, INDEX(C:C, ROW())/(INDEX(C:C, ROW())+INDEX(D:D, ROW())))</f>
        <v/>
      </c>
      <c r="F3446" s="1" t="inlineStr">
        <is>
          <t>Array, Hash Table, Greedy, Sorting</t>
        </is>
      </c>
      <c r="G3446" s="1" t="inlineStr">
        <is>
          <t>Easy</t>
        </is>
      </c>
      <c r="H3446" s="1" t="n">
        <v>55667</v>
      </c>
      <c r="I3446" s="1" t="n">
        <v>73452</v>
      </c>
      <c r="J3446" s="9" t="n">
        <v>0.758</v>
      </c>
      <c r="K3446" s="1" t="inlineStr">
        <is>
          <t>Yes</t>
        </is>
      </c>
      <c r="L3446" s="1" t="inlineStr">
        <is>
          <t>No</t>
        </is>
      </c>
      <c r="M3446" s="1" t="inlineStr">
        <is>
          <t>No</t>
        </is>
      </c>
      <c r="N3446" s="1" t="inlineStr">
        <is>
          <t>Algorithms</t>
        </is>
      </c>
      <c r="O34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47" ht="15.75" customHeight="1" s="12">
      <c r="A3447" s="1" t="n">
        <v>3689</v>
      </c>
      <c r="B3447" s="3">
        <f>HYPERLINK("https://leetcode.com/problems/maximum-total-subarray-value-i/", "Maximum Total Subarray Value I")</f>
        <v/>
      </c>
      <c r="C3447" s="1" t="n">
        <v>49</v>
      </c>
      <c r="D3447" s="1" t="n">
        <v>20</v>
      </c>
      <c r="E3447" s="4">
        <f>IF(INDEX(C:C, ROW())+INDEX(D:D, ROW())=0, 0, INDEX(C:C, ROW())/(INDEX(C:C, ROW())+INDEX(D:D, ROW())))</f>
        <v/>
      </c>
      <c r="F3447" s="1" t="inlineStr">
        <is>
          <t>Array, Greedy</t>
        </is>
      </c>
      <c r="G3447" s="1" t="inlineStr">
        <is>
          <t>Medium</t>
        </is>
      </c>
      <c r="H3447" s="1" t="n">
        <v>48883</v>
      </c>
      <c r="I3447" s="1" t="n">
        <v>77124</v>
      </c>
      <c r="J3447" s="9" t="n">
        <v>0.634</v>
      </c>
      <c r="K3447" s="1" t="inlineStr">
        <is>
          <t>Yes</t>
        </is>
      </c>
      <c r="L3447" s="1" t="inlineStr">
        <is>
          <t>No</t>
        </is>
      </c>
      <c r="M3447" s="1" t="inlineStr">
        <is>
          <t>No</t>
        </is>
      </c>
      <c r="N3447" s="1" t="inlineStr">
        <is>
          <t>Algorithms</t>
        </is>
      </c>
      <c r="O34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48" ht="15.75" customHeight="1" s="12">
      <c r="A3448" s="1" t="n">
        <v>3704</v>
      </c>
      <c r="B3448" s="3">
        <f>HYPERLINK("https://leetcode.com/problems/count-no-zero-pairs-that-sum-to-n/", "Count No-Zero Pairs That Sum to N")</f>
        <v/>
      </c>
      <c r="C3448" s="1" t="n">
        <v>49</v>
      </c>
      <c r="D3448" s="1" t="n">
        <v>3</v>
      </c>
      <c r="E3448" s="4">
        <f>IF(INDEX(C:C, ROW())+INDEX(D:D, ROW())=0, 0, INDEX(C:C, ROW())/(INDEX(C:C, ROW())+INDEX(D:D, ROW())))</f>
        <v/>
      </c>
      <c r="F3448" s="1" t="inlineStr">
        <is>
          <t>Math, Dynamic Programming</t>
        </is>
      </c>
      <c r="G3448" s="1" t="inlineStr">
        <is>
          <t>Hard</t>
        </is>
      </c>
      <c r="H3448" s="1" t="n">
        <v>4781</v>
      </c>
      <c r="I3448" s="1" t="n">
        <v>34865</v>
      </c>
      <c r="J3448" s="9" t="n">
        <v>0.137</v>
      </c>
      <c r="K3448" s="1" t="inlineStr">
        <is>
          <t>Yes</t>
        </is>
      </c>
      <c r="L3448" s="1" t="inlineStr">
        <is>
          <t>No</t>
        </is>
      </c>
      <c r="M3448" s="1" t="inlineStr">
        <is>
          <t>No</t>
        </is>
      </c>
      <c r="N3448" s="1" t="inlineStr">
        <is>
          <t>Algorithms</t>
        </is>
      </c>
      <c r="O34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49" ht="15.75" customHeight="1" s="12">
      <c r="A3449" s="1" t="n">
        <v>3741</v>
      </c>
      <c r="B3449" s="3">
        <f>HYPERLINK("https://leetcode.com/problems/minimum-distance-between-three-equal-elements-ii/", "Minimum Distance Between Three Equal Elements II")</f>
        <v/>
      </c>
      <c r="C3449" s="1" t="n">
        <v>49</v>
      </c>
      <c r="D3449" s="1" t="n">
        <v>3</v>
      </c>
      <c r="E3449" s="4">
        <f>IF(INDEX(C:C, ROW())+INDEX(D:D, ROW())=0, 0, INDEX(C:C, ROW())/(INDEX(C:C, ROW())+INDEX(D:D, ROW())))</f>
        <v/>
      </c>
      <c r="F3449" s="1" t="inlineStr">
        <is>
          <t>Array, Hash Table</t>
        </is>
      </c>
      <c r="G3449" s="1" t="inlineStr">
        <is>
          <t>Medium</t>
        </is>
      </c>
      <c r="H3449" s="1" t="n">
        <v>29606</v>
      </c>
      <c r="I3449" s="1" t="n">
        <v>45424</v>
      </c>
      <c r="J3449" s="9" t="n">
        <v>0.652</v>
      </c>
      <c r="K3449" s="1" t="inlineStr">
        <is>
          <t>Yes</t>
        </is>
      </c>
      <c r="L3449" s="1" t="inlineStr">
        <is>
          <t>No</t>
        </is>
      </c>
      <c r="M3449" s="1" t="inlineStr">
        <is>
          <t>No</t>
        </is>
      </c>
      <c r="N3449" s="1" t="inlineStr">
        <is>
          <t>Algorithms</t>
        </is>
      </c>
      <c r="O34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50" ht="15.75" customHeight="1" s="12">
      <c r="A3450" s="1" t="n">
        <v>1794</v>
      </c>
      <c r="B3450" s="3">
        <f>HYPERLINK("https://leetcode.com/problems/count-pairs-of-equal-substrings-with-minimum-difference/", "Count Pairs of Equal Substrings With Minimum Difference")</f>
        <v/>
      </c>
      <c r="C3450" s="1" t="n">
        <v>48</v>
      </c>
      <c r="D3450" s="1" t="n">
        <v>62</v>
      </c>
      <c r="E3450" s="4">
        <f>IF(INDEX(C:C, ROW())+INDEX(D:D, ROW())=0, 0, INDEX(C:C, ROW())/(INDEX(C:C, ROW())+INDEX(D:D, ROW())))</f>
        <v/>
      </c>
      <c r="F3450" s="1" t="inlineStr">
        <is>
          <t>Hash Table, String, Greedy</t>
        </is>
      </c>
      <c r="G3450" s="1" t="inlineStr">
        <is>
          <t>Medium</t>
        </is>
      </c>
      <c r="H3450" s="1" t="n">
        <v>2434</v>
      </c>
      <c r="I3450" s="1" t="n">
        <v>3803</v>
      </c>
      <c r="J3450" s="9" t="n">
        <v>0.64</v>
      </c>
      <c r="K3450" s="1" t="inlineStr">
        <is>
          <t>No</t>
        </is>
      </c>
      <c r="L3450" s="1" t="inlineStr">
        <is>
          <t>No</t>
        </is>
      </c>
      <c r="M3450" s="1" t="inlineStr">
        <is>
          <t>No</t>
        </is>
      </c>
      <c r="N3450" s="1" t="inlineStr">
        <is>
          <t>Algorithms</t>
        </is>
      </c>
      <c r="O34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51" ht="15.75" customHeight="1" s="12">
      <c r="A3451" s="1" t="n">
        <v>2199</v>
      </c>
      <c r="B3451" s="3">
        <f>HYPERLINK("https://leetcode.com/problems/finding-the-topic-of-each-post/", "Finding the Topic of Each Post")</f>
        <v/>
      </c>
      <c r="C3451" s="1" t="n">
        <v>48</v>
      </c>
      <c r="D3451" s="1" t="n">
        <v>15</v>
      </c>
      <c r="E3451" s="4">
        <f>IF(INDEX(C:C, ROW())+INDEX(D:D, ROW())=0, 0, INDEX(C:C, ROW())/(INDEX(C:C, ROW())+INDEX(D:D, ROW())))</f>
        <v/>
      </c>
      <c r="F3451" s="1" t="inlineStr">
        <is>
          <t>Database</t>
        </is>
      </c>
      <c r="G3451" s="1" t="inlineStr">
        <is>
          <t>Hard</t>
        </is>
      </c>
      <c r="H3451" s="1" t="n">
        <v>5215</v>
      </c>
      <c r="I3451" s="1" t="n">
        <v>10342</v>
      </c>
      <c r="J3451" s="9" t="n">
        <v>0.504</v>
      </c>
      <c r="K3451" s="1" t="inlineStr">
        <is>
          <t>No</t>
        </is>
      </c>
      <c r="L3451" s="1" t="inlineStr">
        <is>
          <t>No</t>
        </is>
      </c>
      <c r="M3451" s="1" t="inlineStr">
        <is>
          <t>No</t>
        </is>
      </c>
      <c r="N3451" s="1" t="inlineStr">
        <is>
          <t>Database</t>
        </is>
      </c>
      <c r="O34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52" ht="15.75" customHeight="1" s="12">
      <c r="A3452" s="1" t="n">
        <v>2590</v>
      </c>
      <c r="B3452" s="3">
        <f>HYPERLINK("https://leetcode.com/problems/design-a-todo-list/", "Design a Todo List")</f>
        <v/>
      </c>
      <c r="C3452" s="1" t="n">
        <v>48</v>
      </c>
      <c r="D3452" s="1" t="n">
        <v>15</v>
      </c>
      <c r="E3452" s="4">
        <f>IF(INDEX(C:C, ROW())+INDEX(D:D, ROW())=0, 0, INDEX(C:C, ROW())/(INDEX(C:C, ROW())+INDEX(D:D, ROW())))</f>
        <v/>
      </c>
      <c r="F3452" s="1" t="inlineStr">
        <is>
          <t>Array, Hash Table, String, Design, Sorting</t>
        </is>
      </c>
      <c r="G3452" s="1" t="inlineStr">
        <is>
          <t>Medium</t>
        </is>
      </c>
      <c r="H3452" s="1" t="n">
        <v>4064</v>
      </c>
      <c r="I3452" s="1" t="n">
        <v>6809</v>
      </c>
      <c r="J3452" s="9" t="n">
        <v>0.597</v>
      </c>
      <c r="K3452" s="1" t="inlineStr">
        <is>
          <t>No</t>
        </is>
      </c>
      <c r="L3452" s="1" t="inlineStr">
        <is>
          <t>No</t>
        </is>
      </c>
      <c r="M3452" s="1" t="inlineStr">
        <is>
          <t>No</t>
        </is>
      </c>
      <c r="N3452" s="1" t="inlineStr">
        <is>
          <t>Algorithms</t>
        </is>
      </c>
      <c r="O34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53" ht="15.75" customHeight="1" s="12">
      <c r="A3453" s="1" t="n">
        <v>3510</v>
      </c>
      <c r="B3453" s="3">
        <f>HYPERLINK("https://leetcode.com/problems/minimum-pair-removal-to-sort-array-ii/", "Minimum Pair Removal to Sort Array II")</f>
        <v/>
      </c>
      <c r="C3453" s="1" t="n">
        <v>48</v>
      </c>
      <c r="D3453" s="1" t="n">
        <v>7</v>
      </c>
      <c r="E3453" s="4">
        <f>IF(INDEX(C:C, ROW())+INDEX(D:D, ROW())=0, 0, INDEX(C:C, ROW())/(INDEX(C:C, ROW())+INDEX(D:D, ROW())))</f>
        <v/>
      </c>
      <c r="F3453" s="1" t="inlineStr">
        <is>
          <t>Array, Hash Table, Linked List, Heap (Priority Queue), Simulation, Doubly-Linked List, Ordered Set</t>
        </is>
      </c>
      <c r="G3453" s="1" t="inlineStr">
        <is>
          <t>Hard</t>
        </is>
      </c>
      <c r="H3453" s="1" t="n">
        <v>4246</v>
      </c>
      <c r="I3453" s="1" t="n">
        <v>27706</v>
      </c>
      <c r="J3453" s="9" t="n">
        <v>0.153</v>
      </c>
      <c r="K3453" s="1" t="inlineStr">
        <is>
          <t>Yes</t>
        </is>
      </c>
      <c r="L3453" s="1" t="inlineStr">
        <is>
          <t>No</t>
        </is>
      </c>
      <c r="M3453" s="1" t="inlineStr">
        <is>
          <t>No</t>
        </is>
      </c>
      <c r="N3453" s="1" t="inlineStr">
        <is>
          <t>Algorithms</t>
        </is>
      </c>
      <c r="O34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54" ht="15.75" customHeight="1" s="12">
      <c r="A3454" s="1" t="n">
        <v>3553</v>
      </c>
      <c r="B3454" s="3">
        <f>HYPERLINK("https://leetcode.com/problems/minimum-weighted-subgraph-with-the-required-paths-ii/", "Minimum Weighted Subgraph With the Required Paths II")</f>
        <v/>
      </c>
      <c r="C3454" s="1" t="n">
        <v>48</v>
      </c>
      <c r="D3454" s="1" t="n">
        <v>4</v>
      </c>
      <c r="E3454" s="4">
        <f>IF(INDEX(C:C, ROW())+INDEX(D:D, ROW())=0, 0, INDEX(C:C, ROW())/(INDEX(C:C, ROW())+INDEX(D:D, ROW())))</f>
        <v/>
      </c>
      <c r="F3454" s="1" t="inlineStr">
        <is>
          <t>Array, Tree, Depth-First Search</t>
        </is>
      </c>
      <c r="G3454" s="1" t="inlineStr">
        <is>
          <t>Hard</t>
        </is>
      </c>
      <c r="H3454" s="1" t="n">
        <v>4409</v>
      </c>
      <c r="I3454" s="1" t="n">
        <v>8887</v>
      </c>
      <c r="J3454" s="9" t="n">
        <v>0.496</v>
      </c>
      <c r="K3454" s="1" t="inlineStr">
        <is>
          <t>Yes</t>
        </is>
      </c>
      <c r="L3454" s="1" t="inlineStr">
        <is>
          <t>No</t>
        </is>
      </c>
      <c r="M3454" s="1" t="inlineStr">
        <is>
          <t>No</t>
        </is>
      </c>
      <c r="N3454" s="1" t="inlineStr">
        <is>
          <t>Algorithms</t>
        </is>
      </c>
      <c r="O34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55" ht="15.75" customHeight="1" s="12">
      <c r="A3455" s="1" t="n">
        <v>3567</v>
      </c>
      <c r="B3455" s="3">
        <f>HYPERLINK("https://leetcode.com/problems/minimum-absolute-difference-in-sliding-submatrix/", "Minimum Absolute Difference in Sliding Submatrix")</f>
        <v/>
      </c>
      <c r="C3455" s="1" t="n">
        <v>48</v>
      </c>
      <c r="D3455" s="1" t="n">
        <v>3</v>
      </c>
      <c r="E3455" s="4">
        <f>IF(INDEX(C:C, ROW())+INDEX(D:D, ROW())=0, 0, INDEX(C:C, ROW())/(INDEX(C:C, ROW())+INDEX(D:D, ROW())))</f>
        <v/>
      </c>
      <c r="F3455" s="1" t="inlineStr">
        <is>
          <t>Array, Sorting, Matrix</t>
        </is>
      </c>
      <c r="G3455" s="1" t="inlineStr">
        <is>
          <t>Medium</t>
        </is>
      </c>
      <c r="H3455" s="1" t="n">
        <v>19720</v>
      </c>
      <c r="I3455" s="1" t="n">
        <v>28672</v>
      </c>
      <c r="J3455" s="9" t="n">
        <v>0.6879999999999999</v>
      </c>
      <c r="K3455" s="1" t="inlineStr">
        <is>
          <t>Yes</t>
        </is>
      </c>
      <c r="L3455" s="1" t="inlineStr">
        <is>
          <t>No</t>
        </is>
      </c>
      <c r="M3455" s="1" t="inlineStr">
        <is>
          <t>No</t>
        </is>
      </c>
      <c r="N3455" s="1" t="inlineStr">
        <is>
          <t>Algorithms</t>
        </is>
      </c>
      <c r="O34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56" ht="15.75" customHeight="1" s="12">
      <c r="A3456" s="1" t="n">
        <v>3762</v>
      </c>
      <c r="B3456" s="3">
        <f>HYPERLINK("https://leetcode.com/problems/minimum-operations-to-equalize-subarrays/", "Minimum Operations to Equalize Subarrays")</f>
        <v/>
      </c>
      <c r="C3456" s="1" t="n">
        <v>48</v>
      </c>
      <c r="D3456" s="1" t="n">
        <v>3</v>
      </c>
      <c r="E3456" s="4">
        <f>IF(INDEX(C:C, ROW())+INDEX(D:D, ROW())=0, 0, INDEX(C:C, ROW())/(INDEX(C:C, ROW())+INDEX(D:D, ROW())))</f>
        <v/>
      </c>
      <c r="F3456" s="1" t="inlineStr">
        <is>
          <t>Array, Math, Binary Search, Segment Tree</t>
        </is>
      </c>
      <c r="G3456" s="1" t="inlineStr">
        <is>
          <t>Hard</t>
        </is>
      </c>
      <c r="H3456" s="1" t="n">
        <v>2681</v>
      </c>
      <c r="I3456" s="1" t="n">
        <v>14365</v>
      </c>
      <c r="J3456" s="9" t="n">
        <v>0.187</v>
      </c>
      <c r="K3456" s="1" t="inlineStr">
        <is>
          <t>Yes</t>
        </is>
      </c>
      <c r="L3456" s="1" t="inlineStr">
        <is>
          <t>No</t>
        </is>
      </c>
      <c r="M3456" s="1" t="inlineStr">
        <is>
          <t>No</t>
        </is>
      </c>
      <c r="N3456" s="1" t="inlineStr">
        <is>
          <t>Algorithms</t>
        </is>
      </c>
      <c r="O34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57" ht="15.75" customHeight="1" s="12">
      <c r="A3457" s="1" t="n">
        <v>3783</v>
      </c>
      <c r="B3457" s="3">
        <f>HYPERLINK("https://leetcode.com/problems/mirror-distance-of-an-integer/", "Mirror Distance of an Integer")</f>
        <v/>
      </c>
      <c r="C3457" s="1" t="n">
        <v>48</v>
      </c>
      <c r="D3457" s="1" t="n">
        <v>1</v>
      </c>
      <c r="E3457" s="4">
        <f>IF(INDEX(C:C, ROW())+INDEX(D:D, ROW())=0, 0, INDEX(C:C, ROW())/(INDEX(C:C, ROW())+INDEX(D:D, ROW())))</f>
        <v/>
      </c>
      <c r="F3457" s="1" t="inlineStr">
        <is>
          <t>Math</t>
        </is>
      </c>
      <c r="G3457" s="1" t="inlineStr">
        <is>
          <t>Easy</t>
        </is>
      </c>
      <c r="H3457" s="1" t="n">
        <v>45923</v>
      </c>
      <c r="I3457" s="1" t="n">
        <v>52750</v>
      </c>
      <c r="J3457" s="9" t="n">
        <v>0.871</v>
      </c>
      <c r="K3457" s="1" t="inlineStr">
        <is>
          <t>Yes</t>
        </is>
      </c>
      <c r="L3457" s="1" t="inlineStr">
        <is>
          <t>No</t>
        </is>
      </c>
      <c r="M3457" s="1" t="inlineStr">
        <is>
          <t>No</t>
        </is>
      </c>
      <c r="N3457" s="1" t="inlineStr">
        <is>
          <t>Algorithms</t>
        </is>
      </c>
      <c r="O34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58" ht="15.75" customHeight="1" s="12">
      <c r="A3458" s="1" t="n">
        <v>1118</v>
      </c>
      <c r="B3458" s="3">
        <f>HYPERLINK("https://leetcode.com/problems/number-of-days-in-a-month/", "Number of Days in a Month")</f>
        <v/>
      </c>
      <c r="C3458" s="1" t="n">
        <v>47</v>
      </c>
      <c r="D3458" s="1" t="n">
        <v>180</v>
      </c>
      <c r="E3458" s="4">
        <f>IF(INDEX(C:C, ROW())+INDEX(D:D, ROW())=0, 0, INDEX(C:C, ROW())/(INDEX(C:C, ROW())+INDEX(D:D, ROW())))</f>
        <v/>
      </c>
      <c r="F3458" s="1" t="inlineStr">
        <is>
          <t>Math</t>
        </is>
      </c>
      <c r="G3458" s="1" t="inlineStr">
        <is>
          <t>Easy</t>
        </is>
      </c>
      <c r="H3458" s="1" t="n">
        <v>9611</v>
      </c>
      <c r="I3458" s="1" t="n">
        <v>16222</v>
      </c>
      <c r="J3458" s="9" t="n">
        <v>0.592</v>
      </c>
      <c r="K3458" s="1" t="inlineStr">
        <is>
          <t>No</t>
        </is>
      </c>
      <c r="L3458" s="1" t="inlineStr">
        <is>
          <t>No</t>
        </is>
      </c>
      <c r="M3458" s="1" t="inlineStr">
        <is>
          <t>No</t>
        </is>
      </c>
      <c r="N3458" s="1" t="inlineStr">
        <is>
          <t>Algorithms</t>
        </is>
      </c>
      <c r="O34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59" ht="15.75" customHeight="1" s="12">
      <c r="A3459" s="1" t="n">
        <v>2175</v>
      </c>
      <c r="B3459" s="3">
        <f>HYPERLINK("https://leetcode.com/problems/the-change-in-global-rankings/", "The Change in Global Rankings")</f>
        <v/>
      </c>
      <c r="C3459" s="1" t="n">
        <v>47</v>
      </c>
      <c r="D3459" s="1" t="n">
        <v>19</v>
      </c>
      <c r="E3459" s="4">
        <f>IF(INDEX(C:C, ROW())+INDEX(D:D, ROW())=0, 0, INDEX(C:C, ROW())/(INDEX(C:C, ROW())+INDEX(D:D, ROW())))</f>
        <v/>
      </c>
      <c r="F3459" s="1" t="inlineStr">
        <is>
          <t>Database</t>
        </is>
      </c>
      <c r="G3459" s="1" t="inlineStr">
        <is>
          <t>Medium</t>
        </is>
      </c>
      <c r="H3459" s="1" t="n">
        <v>8661</v>
      </c>
      <c r="I3459" s="1" t="n">
        <v>14226</v>
      </c>
      <c r="J3459" s="9" t="n">
        <v>0.609</v>
      </c>
      <c r="K3459" s="1" t="inlineStr">
        <is>
          <t>No</t>
        </is>
      </c>
      <c r="L3459" s="1" t="inlineStr">
        <is>
          <t>No</t>
        </is>
      </c>
      <c r="M3459" s="1" t="inlineStr">
        <is>
          <t>No</t>
        </is>
      </c>
      <c r="N3459" s="1" t="inlineStr">
        <is>
          <t>Database</t>
        </is>
      </c>
      <c r="O34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60" ht="15.75" customHeight="1" s="12">
      <c r="A3460" s="1" t="n">
        <v>3382</v>
      </c>
      <c r="B3460" s="3">
        <f>HYPERLINK("https://leetcode.com/problems/maximum-area-rectangle-with-point-constraints-ii/", "Maximum Area Rectangle With Point Constraints II")</f>
        <v/>
      </c>
      <c r="C3460" s="1" t="n">
        <v>47</v>
      </c>
      <c r="D3460" s="1" t="n">
        <v>9</v>
      </c>
      <c r="E3460" s="4">
        <f>IF(INDEX(C:C, ROW())+INDEX(D:D, ROW())=0, 0, INDEX(C:C, ROW())/(INDEX(C:C, ROW())+INDEX(D:D, ROW())))</f>
        <v/>
      </c>
      <c r="F3460" s="1" t="inlineStr">
        <is>
          <t>Array, Math, Binary Indexed Tree, Segment Tree, Geometry, Sorting</t>
        </is>
      </c>
      <c r="G3460" s="1" t="inlineStr">
        <is>
          <t>Hard</t>
        </is>
      </c>
      <c r="H3460" s="1" t="n">
        <v>2883</v>
      </c>
      <c r="I3460" s="1" t="n">
        <v>12496</v>
      </c>
      <c r="J3460" s="9" t="n">
        <v>0.231</v>
      </c>
      <c r="K3460" s="1" t="inlineStr">
        <is>
          <t>Yes</t>
        </is>
      </c>
      <c r="L3460" s="1" t="inlineStr">
        <is>
          <t>No</t>
        </is>
      </c>
      <c r="M3460" s="1" t="inlineStr">
        <is>
          <t>No</t>
        </is>
      </c>
      <c r="N3460" s="1" t="inlineStr">
        <is>
          <t>Algorithms</t>
        </is>
      </c>
      <c r="O34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61" ht="15.75" customHeight="1" s="12">
      <c r="A3461" s="1" t="n">
        <v>3533</v>
      </c>
      <c r="B3461" s="3">
        <f>HYPERLINK("https://leetcode.com/problems/concatenated-divisibility/", "Concatenated Divisibility")</f>
        <v/>
      </c>
      <c r="C3461" s="1" t="n">
        <v>47</v>
      </c>
      <c r="D3461" s="1" t="n">
        <v>7</v>
      </c>
      <c r="E3461" s="4">
        <f>IF(INDEX(C:C, ROW())+INDEX(D:D, ROW())=0, 0, INDEX(C:C, ROW())/(INDEX(C:C, ROW())+INDEX(D:D, ROW())))</f>
        <v/>
      </c>
      <c r="F3461" s="1" t="inlineStr">
        <is>
          <t>Array, Dynamic Programming, Bit Manipulation, Bitmask DP</t>
        </is>
      </c>
      <c r="G3461" s="1" t="inlineStr">
        <is>
          <t>Hard</t>
        </is>
      </c>
      <c r="H3461" s="1" t="n">
        <v>6006</v>
      </c>
      <c r="I3461" s="1" t="n">
        <v>19727</v>
      </c>
      <c r="J3461" s="9" t="n">
        <v>0.304</v>
      </c>
      <c r="K3461" s="1" t="inlineStr">
        <is>
          <t>Yes</t>
        </is>
      </c>
      <c r="L3461" s="1" t="inlineStr">
        <is>
          <t>No</t>
        </is>
      </c>
      <c r="M3461" s="1" t="inlineStr">
        <is>
          <t>No</t>
        </is>
      </c>
      <c r="N3461" s="1" t="inlineStr">
        <is>
          <t>Algorithms</t>
        </is>
      </c>
      <c r="O34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62" ht="15.75" customHeight="1" s="12">
      <c r="A3462" s="1" t="n">
        <v>3692</v>
      </c>
      <c r="B3462" s="3">
        <f>HYPERLINK("https://leetcode.com/problems/majority-frequency-characters/", "Majority Frequency Characters")</f>
        <v/>
      </c>
      <c r="C3462" s="1" t="n">
        <v>47</v>
      </c>
      <c r="D3462" s="1" t="n">
        <v>12</v>
      </c>
      <c r="E3462" s="4">
        <f>IF(INDEX(C:C, ROW())+INDEX(D:D, ROW())=0, 0, INDEX(C:C, ROW())/(INDEX(C:C, ROW())+INDEX(D:D, ROW())))</f>
        <v/>
      </c>
      <c r="F3462" s="1" t="inlineStr">
        <is>
          <t>Hash Table, String, Counting</t>
        </is>
      </c>
      <c r="G3462" s="1" t="inlineStr">
        <is>
          <t>Easy</t>
        </is>
      </c>
      <c r="H3462" s="1" t="n">
        <v>28717</v>
      </c>
      <c r="I3462" s="1" t="n">
        <v>42751</v>
      </c>
      <c r="J3462" s="9" t="n">
        <v>0.672</v>
      </c>
      <c r="K3462" s="1" t="inlineStr">
        <is>
          <t>Yes</t>
        </is>
      </c>
      <c r="L3462" s="1" t="inlineStr">
        <is>
          <t>No</t>
        </is>
      </c>
      <c r="M3462" s="1" t="inlineStr">
        <is>
          <t>No</t>
        </is>
      </c>
      <c r="N3462" s="1" t="inlineStr">
        <is>
          <t>Algorithms</t>
        </is>
      </c>
      <c r="O34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63" ht="15.75" customHeight="1" s="12">
      <c r="A3463" s="1" t="n">
        <v>3708</v>
      </c>
      <c r="B3463" s="3">
        <f>HYPERLINK("https://leetcode.com/problems/longest-fibonacci-subarray/", "Longest Fibonacci Subarray")</f>
        <v/>
      </c>
      <c r="C3463" s="1" t="n">
        <v>47</v>
      </c>
      <c r="D3463" s="1" t="n">
        <v>2</v>
      </c>
      <c r="E3463" s="4">
        <f>IF(INDEX(C:C, ROW())+INDEX(D:D, ROW())=0, 0, INDEX(C:C, ROW())/(INDEX(C:C, ROW())+INDEX(D:D, ROW())))</f>
        <v/>
      </c>
      <c r="F3463" s="1" t="inlineStr">
        <is>
          <t>Array</t>
        </is>
      </c>
      <c r="G3463" s="1" t="inlineStr">
        <is>
          <t>Medium</t>
        </is>
      </c>
      <c r="H3463" s="1" t="n">
        <v>30806</v>
      </c>
      <c r="I3463" s="1" t="n">
        <v>44426</v>
      </c>
      <c r="J3463" s="9" t="n">
        <v>0.6929999999999999</v>
      </c>
      <c r="K3463" s="1" t="inlineStr">
        <is>
          <t>Yes</t>
        </is>
      </c>
      <c r="L3463" s="1" t="inlineStr">
        <is>
          <t>No</t>
        </is>
      </c>
      <c r="M3463" s="1" t="inlineStr">
        <is>
          <t>No</t>
        </is>
      </c>
      <c r="N3463" s="1" t="inlineStr">
        <is>
          <t>Algorithms</t>
        </is>
      </c>
      <c r="O34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64" ht="15.75" customHeight="1" s="12">
      <c r="A3464" s="1" t="n">
        <v>3712</v>
      </c>
      <c r="B3464" s="3">
        <f>HYPERLINK("https://leetcode.com/problems/sum-of-elements-with-frequency-divisible-by-k/", "Sum of Elements With Frequency Divisible by K")</f>
        <v/>
      </c>
      <c r="C3464" s="1" t="n">
        <v>47</v>
      </c>
      <c r="D3464" s="1" t="n">
        <v>3</v>
      </c>
      <c r="E3464" s="4">
        <f>IF(INDEX(C:C, ROW())+INDEX(D:D, ROW())=0, 0, INDEX(C:C, ROW())/(INDEX(C:C, ROW())+INDEX(D:D, ROW())))</f>
        <v/>
      </c>
      <c r="F3464" s="1" t="inlineStr">
        <is>
          <t>Array, Hash Table, Counting</t>
        </is>
      </c>
      <c r="G3464" s="1" t="inlineStr">
        <is>
          <t>Easy</t>
        </is>
      </c>
      <c r="H3464" s="1" t="n">
        <v>48315</v>
      </c>
      <c r="I3464" s="1" t="n">
        <v>62572</v>
      </c>
      <c r="J3464" s="9" t="n">
        <v>0.772</v>
      </c>
      <c r="K3464" s="1" t="inlineStr">
        <is>
          <t>Yes</t>
        </is>
      </c>
      <c r="L3464" s="1" t="inlineStr">
        <is>
          <t>No</t>
        </is>
      </c>
      <c r="M3464" s="1" t="inlineStr">
        <is>
          <t>No</t>
        </is>
      </c>
      <c r="N3464" s="1" t="inlineStr">
        <is>
          <t>Algorithms</t>
        </is>
      </c>
      <c r="O34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65" ht="15.75" customHeight="1" s="12">
      <c r="A3465" s="1" t="n">
        <v>3721</v>
      </c>
      <c r="B3465" s="3">
        <f>HYPERLINK("https://leetcode.com/problems/longest-balanced-subarray-ii/", "Longest Balanced Subarray II")</f>
        <v/>
      </c>
      <c r="C3465" s="1" t="n">
        <v>47</v>
      </c>
      <c r="D3465" s="1" t="n">
        <v>4</v>
      </c>
      <c r="E3465" s="4">
        <f>IF(INDEX(C:C, ROW())+INDEX(D:D, ROW())=0, 0, INDEX(C:C, ROW())/(INDEX(C:C, ROW())+INDEX(D:D, ROW())))</f>
        <v/>
      </c>
      <c r="F3465" s="1" t="inlineStr">
        <is>
          <t>Array, Hash Table, Divide and Conquer, Segment Tree, Prefix Sum</t>
        </is>
      </c>
      <c r="G3465" s="1" t="inlineStr">
        <is>
          <t>Hard</t>
        </is>
      </c>
      <c r="H3465" s="1" t="n">
        <v>3349</v>
      </c>
      <c r="I3465" s="1" t="n">
        <v>26834</v>
      </c>
      <c r="J3465" s="9" t="n">
        <v>0.125</v>
      </c>
      <c r="K3465" s="1" t="inlineStr">
        <is>
          <t>Yes</t>
        </is>
      </c>
      <c r="L3465" s="1" t="inlineStr">
        <is>
          <t>No</t>
        </is>
      </c>
      <c r="M3465" s="1" t="inlineStr">
        <is>
          <t>No</t>
        </is>
      </c>
      <c r="N3465" s="1" t="inlineStr">
        <is>
          <t>Algorithms</t>
        </is>
      </c>
      <c r="O34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66" ht="15.75" customHeight="1" s="12">
      <c r="A3466" s="1" t="n">
        <v>3745</v>
      </c>
      <c r="B3466" s="3">
        <f>HYPERLINK("https://leetcode.com/problems/maximize-expression-of-three-elements/", "Maximize Expression of Three Elements")</f>
        <v/>
      </c>
      <c r="C3466" s="1" t="n">
        <v>47</v>
      </c>
      <c r="D3466" s="1" t="n">
        <v>1</v>
      </c>
      <c r="E3466" s="4">
        <f>IF(INDEX(C:C, ROW())+INDEX(D:D, ROW())=0, 0, INDEX(C:C, ROW())/(INDEX(C:C, ROW())+INDEX(D:D, ROW())))</f>
        <v/>
      </c>
      <c r="F3466" s="1" t="inlineStr">
        <is>
          <t>Array, Greedy, Sorting, Enumeration</t>
        </is>
      </c>
      <c r="G3466" s="1" t="inlineStr">
        <is>
          <t>Easy</t>
        </is>
      </c>
      <c r="H3466" s="1" t="n">
        <v>41526</v>
      </c>
      <c r="I3466" s="1" t="n">
        <v>57588</v>
      </c>
      <c r="J3466" s="9" t="n">
        <v>0.721</v>
      </c>
      <c r="K3466" s="1" t="inlineStr">
        <is>
          <t>Yes</t>
        </is>
      </c>
      <c r="L3466" s="1" t="inlineStr">
        <is>
          <t>No</t>
        </is>
      </c>
      <c r="M3466" s="1" t="inlineStr">
        <is>
          <t>No</t>
        </is>
      </c>
      <c r="N3466" s="1" t="inlineStr">
        <is>
          <t>Algorithms</t>
        </is>
      </c>
      <c r="O34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67" ht="15.75" customHeight="1" s="12">
      <c r="A3467" s="1" t="n">
        <v>3760</v>
      </c>
      <c r="B3467" s="3">
        <f>HYPERLINK("https://leetcode.com/problems/maximum-substrings-with-distinct-start/", "Maximum Substrings With Distinct Start")</f>
        <v/>
      </c>
      <c r="C3467" s="1" t="n">
        <v>47</v>
      </c>
      <c r="D3467" s="1" t="n">
        <v>16</v>
      </c>
      <c r="E3467" s="4">
        <f>IF(INDEX(C:C, ROW())+INDEX(D:D, ROW())=0, 0, INDEX(C:C, ROW())/(INDEX(C:C, ROW())+INDEX(D:D, ROW())))</f>
        <v/>
      </c>
      <c r="F3467" s="1" t="inlineStr">
        <is>
          <t>Hash Table, String</t>
        </is>
      </c>
      <c r="G3467" s="1" t="inlineStr">
        <is>
          <t>Medium</t>
        </is>
      </c>
      <c r="H3467" s="1" t="n">
        <v>38663</v>
      </c>
      <c r="I3467" s="1" t="n">
        <v>42325</v>
      </c>
      <c r="J3467" s="9" t="n">
        <v>0.913</v>
      </c>
      <c r="K3467" s="1" t="inlineStr">
        <is>
          <t>Yes</t>
        </is>
      </c>
      <c r="L3467" s="1" t="inlineStr">
        <is>
          <t>No</t>
        </is>
      </c>
      <c r="M3467" s="1" t="inlineStr">
        <is>
          <t>No</t>
        </is>
      </c>
      <c r="N3467" s="1" t="inlineStr">
        <is>
          <t>Algorithms</t>
        </is>
      </c>
      <c r="O34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68" ht="15.75" customHeight="1" s="12">
      <c r="A3468" s="1" t="n">
        <v>3772</v>
      </c>
      <c r="B3468" s="3">
        <f>HYPERLINK("https://leetcode.com/problems/maximum-subgraph-score-in-a-tree/", "Maximum Subgraph Score in a Tree")</f>
        <v/>
      </c>
      <c r="C3468" s="1" t="n">
        <v>47</v>
      </c>
      <c r="D3468" s="1" t="n">
        <v>1</v>
      </c>
      <c r="E3468" s="4">
        <f>IF(INDEX(C:C, ROW())+INDEX(D:D, ROW())=0, 0, INDEX(C:C, ROW())/(INDEX(C:C, ROW())+INDEX(D:D, ROW())))</f>
        <v/>
      </c>
      <c r="F3468" s="1" t="inlineStr">
        <is>
          <t>Array, Dynamic Programming, Tree, Depth-First Search</t>
        </is>
      </c>
      <c r="G3468" s="1" t="inlineStr">
        <is>
          <t>Hard</t>
        </is>
      </c>
      <c r="H3468" s="1" t="n">
        <v>4858</v>
      </c>
      <c r="I3468" s="1" t="n">
        <v>6930</v>
      </c>
      <c r="J3468" s="9" t="n">
        <v>0.701</v>
      </c>
      <c r="K3468" s="1" t="inlineStr">
        <is>
          <t>Yes</t>
        </is>
      </c>
      <c r="L3468" s="1" t="inlineStr">
        <is>
          <t>No</t>
        </is>
      </c>
      <c r="M3468" s="1" t="inlineStr">
        <is>
          <t>No</t>
        </is>
      </c>
      <c r="N3468" s="1" t="inlineStr">
        <is>
          <t>Algorithms</t>
        </is>
      </c>
      <c r="O34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69" ht="15.75" customHeight="1" s="12">
      <c r="A3469" s="1" t="n">
        <v>3777</v>
      </c>
      <c r="B3469" s="3">
        <f>HYPERLINK("https://leetcode.com/problems/minimum-deletions-to-make-alternating-substring/", "Minimum Deletions to Make Alternating Substring")</f>
        <v/>
      </c>
      <c r="C3469" s="1" t="n">
        <v>47</v>
      </c>
      <c r="D3469" s="1" t="n">
        <v>1</v>
      </c>
      <c r="E3469" s="4">
        <f>IF(INDEX(C:C, ROW())+INDEX(D:D, ROW())=0, 0, INDEX(C:C, ROW())/(INDEX(C:C, ROW())+INDEX(D:D, ROW())))</f>
        <v/>
      </c>
      <c r="F3469" s="1" t="inlineStr">
        <is>
          <t>String, Segment Tree</t>
        </is>
      </c>
      <c r="G3469" s="1" t="inlineStr">
        <is>
          <t>Hard</t>
        </is>
      </c>
      <c r="H3469" s="1" t="n">
        <v>5458</v>
      </c>
      <c r="I3469" s="1" t="n">
        <v>12295</v>
      </c>
      <c r="J3469" s="9" t="n">
        <v>0.444</v>
      </c>
      <c r="K3469" s="1" t="inlineStr">
        <is>
          <t>Yes</t>
        </is>
      </c>
      <c r="L3469" s="1" t="inlineStr">
        <is>
          <t>No</t>
        </is>
      </c>
      <c r="M3469" s="1" t="inlineStr">
        <is>
          <t>No</t>
        </is>
      </c>
      <c r="N3469" s="1" t="inlineStr">
        <is>
          <t>Algorithms</t>
        </is>
      </c>
      <c r="O34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70" ht="15.75" customHeight="1" s="12">
      <c r="A3470" s="1" t="n">
        <v>2474</v>
      </c>
      <c r="B3470" s="3">
        <f>HYPERLINK("https://leetcode.com/problems/customers-with-strictly-increasing-purchases/", "Customers With Strictly Increasing Purchases")</f>
        <v/>
      </c>
      <c r="C3470" s="1" t="n">
        <v>46</v>
      </c>
      <c r="D3470" s="1" t="n">
        <v>6</v>
      </c>
      <c r="E3470" s="4">
        <f>IF(INDEX(C:C, ROW())+INDEX(D:D, ROW())=0, 0, INDEX(C:C, ROW())/(INDEX(C:C, ROW())+INDEX(D:D, ROW())))</f>
        <v/>
      </c>
      <c r="F3470" s="1" t="inlineStr">
        <is>
          <t>Database</t>
        </is>
      </c>
      <c r="G3470" s="1" t="inlineStr">
        <is>
          <t>Hard</t>
        </is>
      </c>
      <c r="H3470" s="1" t="n">
        <v>5557</v>
      </c>
      <c r="I3470" s="1" t="n">
        <v>11346</v>
      </c>
      <c r="J3470" s="9" t="n">
        <v>0.49</v>
      </c>
      <c r="K3470" s="1" t="inlineStr">
        <is>
          <t>No</t>
        </is>
      </c>
      <c r="L3470" s="1" t="inlineStr">
        <is>
          <t>No</t>
        </is>
      </c>
      <c r="M3470" s="1" t="inlineStr">
        <is>
          <t>No</t>
        </is>
      </c>
      <c r="N3470" s="1" t="inlineStr">
        <is>
          <t>Database</t>
        </is>
      </c>
      <c r="O34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71" ht="15.75" customHeight="1" s="12">
      <c r="A3471" s="1" t="n">
        <v>2674</v>
      </c>
      <c r="B3471" s="3">
        <f>HYPERLINK("https://leetcode.com/problems/split-a-circular-linked-list/", "Split a Circular Linked List")</f>
        <v/>
      </c>
      <c r="C3471" s="1" t="n">
        <v>46</v>
      </c>
      <c r="D3471" s="1" t="n">
        <v>6</v>
      </c>
      <c r="E3471" s="4">
        <f>IF(INDEX(C:C, ROW())+INDEX(D:D, ROW())=0, 0, INDEX(C:C, ROW())/(INDEX(C:C, ROW())+INDEX(D:D, ROW())))</f>
        <v/>
      </c>
      <c r="F3471" s="1" t="inlineStr">
        <is>
          <t>Linked List, Two Pointers</t>
        </is>
      </c>
      <c r="G3471" s="1" t="inlineStr">
        <is>
          <t>Medium</t>
        </is>
      </c>
      <c r="H3471" s="1" t="n">
        <v>3157</v>
      </c>
      <c r="I3471" s="1" t="n">
        <v>4066</v>
      </c>
      <c r="J3471" s="9" t="n">
        <v>0.776</v>
      </c>
      <c r="K3471" s="1" t="inlineStr">
        <is>
          <t>No</t>
        </is>
      </c>
      <c r="L3471" s="1" t="inlineStr">
        <is>
          <t>No</t>
        </is>
      </c>
      <c r="M3471" s="1" t="inlineStr">
        <is>
          <t>No</t>
        </is>
      </c>
      <c r="N3471" s="1" t="inlineStr">
        <is>
          <t>Algorithms</t>
        </is>
      </c>
      <c r="O34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72" ht="15.75" customHeight="1" s="12">
      <c r="A3472" s="1" t="n">
        <v>3570</v>
      </c>
      <c r="B3472" s="3">
        <f>HYPERLINK("https://leetcode.com/problems/find-books-with-no-available-copies/", "Find Books with No Available Copies")</f>
        <v/>
      </c>
      <c r="C3472" s="1" t="n">
        <v>46</v>
      </c>
      <c r="D3472" s="1" t="n">
        <v>13</v>
      </c>
      <c r="E3472" s="4">
        <f>IF(INDEX(C:C, ROW())+INDEX(D:D, ROW())=0, 0, INDEX(C:C, ROW())/(INDEX(C:C, ROW())+INDEX(D:D, ROW())))</f>
        <v/>
      </c>
      <c r="F3472" s="1" t="inlineStr">
        <is>
          <t>Database</t>
        </is>
      </c>
      <c r="G3472" s="1" t="inlineStr">
        <is>
          <t>Easy</t>
        </is>
      </c>
      <c r="H3472" s="1" t="n">
        <v>15187</v>
      </c>
      <c r="I3472" s="1" t="n">
        <v>28368</v>
      </c>
      <c r="J3472" s="9" t="n">
        <v>0.535</v>
      </c>
      <c r="K3472" s="1" t="inlineStr">
        <is>
          <t>Yes</t>
        </is>
      </c>
      <c r="L3472" s="1" t="inlineStr">
        <is>
          <t>No</t>
        </is>
      </c>
      <c r="M3472" s="1" t="inlineStr">
        <is>
          <t>No</t>
        </is>
      </c>
      <c r="N3472" s="1" t="inlineStr">
        <is>
          <t>Database</t>
        </is>
      </c>
      <c r="O34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73" ht="15.75" customHeight="1" s="12">
      <c r="A3473" s="1" t="n">
        <v>3574</v>
      </c>
      <c r="B3473" s="3">
        <f>HYPERLINK("https://leetcode.com/problems/maximize-subarray-gcd-score/", "Maximize Subarray GCD Score")</f>
        <v/>
      </c>
      <c r="C3473" s="1" t="n">
        <v>46</v>
      </c>
      <c r="D3473" s="1" t="n">
        <v>4</v>
      </c>
      <c r="E3473" s="4">
        <f>IF(INDEX(C:C, ROW())+INDEX(D:D, ROW())=0, 0, INDEX(C:C, ROW())/(INDEX(C:C, ROW())+INDEX(D:D, ROW())))</f>
        <v/>
      </c>
      <c r="F3473" s="1" t="inlineStr">
        <is>
          <t>Array, Math, Enumeration, Number Theory</t>
        </is>
      </c>
      <c r="G3473" s="1" t="inlineStr">
        <is>
          <t>Hard</t>
        </is>
      </c>
      <c r="H3473" s="1" t="n">
        <v>5895</v>
      </c>
      <c r="I3473" s="1" t="n">
        <v>24277</v>
      </c>
      <c r="J3473" s="9" t="n">
        <v>0.243</v>
      </c>
      <c r="K3473" s="1" t="inlineStr">
        <is>
          <t>Yes</t>
        </is>
      </c>
      <c r="L3473" s="1" t="inlineStr">
        <is>
          <t>No</t>
        </is>
      </c>
      <c r="M3473" s="1" t="inlineStr">
        <is>
          <t>No</t>
        </is>
      </c>
      <c r="N3473" s="1" t="inlineStr">
        <is>
          <t>Algorithms</t>
        </is>
      </c>
      <c r="O34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74" ht="15.75" customHeight="1" s="12">
      <c r="A3474" s="1" t="n">
        <v>3622</v>
      </c>
      <c r="B3474" s="3">
        <f>HYPERLINK("https://leetcode.com/problems/check-divisibility-by-digit-sum-and-product/", "Check Divisibility by Digit Sum and Product")</f>
        <v/>
      </c>
      <c r="C3474" s="1" t="n">
        <v>46</v>
      </c>
      <c r="D3474" s="1" t="n">
        <v>0</v>
      </c>
      <c r="E3474" s="4">
        <f>IF(INDEX(C:C, ROW())+INDEX(D:D, ROW())=0, 0, INDEX(C:C, ROW())/(INDEX(C:C, ROW())+INDEX(D:D, ROW())))</f>
        <v/>
      </c>
      <c r="F3474" s="1" t="inlineStr">
        <is>
          <t>Math</t>
        </is>
      </c>
      <c r="G3474" s="1" t="inlineStr">
        <is>
          <t>Easy</t>
        </is>
      </c>
      <c r="H3474" s="1" t="n">
        <v>65043</v>
      </c>
      <c r="I3474" s="1" t="n">
        <v>95126</v>
      </c>
      <c r="J3474" s="9" t="n">
        <v>0.6840000000000001</v>
      </c>
      <c r="K3474" s="1" t="inlineStr">
        <is>
          <t>Yes</t>
        </is>
      </c>
      <c r="L3474" s="1" t="inlineStr">
        <is>
          <t>No</t>
        </is>
      </c>
      <c r="M3474" s="1" t="inlineStr">
        <is>
          <t>No</t>
        </is>
      </c>
      <c r="N3474" s="1" t="inlineStr">
        <is>
          <t>Algorithms</t>
        </is>
      </c>
      <c r="O34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75" ht="15.75" customHeight="1" s="12">
      <c r="A3475" s="1" t="n">
        <v>3642</v>
      </c>
      <c r="B3475" s="3">
        <f>HYPERLINK("https://leetcode.com/problems/find-books-with-polarized-opinions/", "Find Books with Polarized Opinions")</f>
        <v/>
      </c>
      <c r="C3475" s="1" t="n">
        <v>46</v>
      </c>
      <c r="D3475" s="1" t="n">
        <v>12</v>
      </c>
      <c r="E3475" s="4">
        <f>IF(INDEX(C:C, ROW())+INDEX(D:D, ROW())=0, 0, INDEX(C:C, ROW())/(INDEX(C:C, ROW())+INDEX(D:D, ROW())))</f>
        <v/>
      </c>
      <c r="F3475" s="2" t="n"/>
      <c r="G3475" s="1" t="inlineStr">
        <is>
          <t>Easy</t>
        </is>
      </c>
      <c r="H3475" s="1" t="n">
        <v>7221</v>
      </c>
      <c r="I3475" s="1" t="n">
        <v>17588</v>
      </c>
      <c r="J3475" s="9" t="n">
        <v>0.411</v>
      </c>
      <c r="K3475" s="1" t="inlineStr">
        <is>
          <t>Yes</t>
        </is>
      </c>
      <c r="L3475" s="1" t="inlineStr">
        <is>
          <t>No</t>
        </is>
      </c>
      <c r="M3475" s="1" t="inlineStr">
        <is>
          <t>No</t>
        </is>
      </c>
      <c r="N3475" s="1" t="inlineStr">
        <is>
          <t>Database</t>
        </is>
      </c>
      <c r="O34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76" ht="15.75" customHeight="1" s="12">
      <c r="A3476" s="1" t="n">
        <v>3680</v>
      </c>
      <c r="B3476" s="3">
        <f>HYPERLINK("https://leetcode.com/problems/generate-schedule/", "Generate Schedule")</f>
        <v/>
      </c>
      <c r="C3476" s="1" t="n">
        <v>46</v>
      </c>
      <c r="D3476" s="1" t="n">
        <v>23</v>
      </c>
      <c r="E3476" s="4">
        <f>IF(INDEX(C:C, ROW())+INDEX(D:D, ROW())=0, 0, INDEX(C:C, ROW())/(INDEX(C:C, ROW())+INDEX(D:D, ROW())))</f>
        <v/>
      </c>
      <c r="F3476" s="1" t="inlineStr">
        <is>
          <t>Array, Math, Greedy</t>
        </is>
      </c>
      <c r="G3476" s="1" t="inlineStr">
        <is>
          <t>Medium</t>
        </is>
      </c>
      <c r="H3476" s="1" t="n">
        <v>4360</v>
      </c>
      <c r="I3476" s="1" t="n">
        <v>18564</v>
      </c>
      <c r="J3476" s="9" t="n">
        <v>0.235</v>
      </c>
      <c r="K3476" s="1" t="inlineStr">
        <is>
          <t>Yes</t>
        </is>
      </c>
      <c r="L3476" s="1" t="inlineStr">
        <is>
          <t>No</t>
        </is>
      </c>
      <c r="M3476" s="1" t="inlineStr">
        <is>
          <t>No</t>
        </is>
      </c>
      <c r="N3476" s="1" t="inlineStr">
        <is>
          <t>Algorithms</t>
        </is>
      </c>
      <c r="O34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77" ht="15.75" customHeight="1" s="12">
      <c r="A3477" s="1" t="n">
        <v>2052</v>
      </c>
      <c r="B3477" s="3">
        <f>HYPERLINK("https://leetcode.com/problems/minimum-cost-to-separate-sentence-into-rows/", "Minimum Cost to Separate Sentence Into Rows")</f>
        <v/>
      </c>
      <c r="C3477" s="1" t="n">
        <v>45</v>
      </c>
      <c r="D3477" s="1" t="n">
        <v>14</v>
      </c>
      <c r="E3477" s="4">
        <f>IF(INDEX(C:C, ROW())+INDEX(D:D, ROW())=0, 0, INDEX(C:C, ROW())/(INDEX(C:C, ROW())+INDEX(D:D, ROW())))</f>
        <v/>
      </c>
      <c r="F3477" s="1" t="inlineStr">
        <is>
          <t>Array, Dynamic Programming</t>
        </is>
      </c>
      <c r="G3477" s="1" t="inlineStr">
        <is>
          <t>Medium</t>
        </is>
      </c>
      <c r="H3477" s="1" t="n">
        <v>2417</v>
      </c>
      <c r="I3477" s="1" t="n">
        <v>4747</v>
      </c>
      <c r="J3477" s="9" t="n">
        <v>0.509</v>
      </c>
      <c r="K3477" s="1" t="inlineStr">
        <is>
          <t>No</t>
        </is>
      </c>
      <c r="L3477" s="1" t="inlineStr">
        <is>
          <t>No</t>
        </is>
      </c>
      <c r="M3477" s="1" t="inlineStr">
        <is>
          <t>No</t>
        </is>
      </c>
      <c r="N3477" s="1" t="inlineStr">
        <is>
          <t>Algorithms</t>
        </is>
      </c>
      <c r="O34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78" ht="15.75" customHeight="1" s="12">
      <c r="A3478" s="1" t="n">
        <v>3455</v>
      </c>
      <c r="B3478" s="3">
        <f>HYPERLINK("https://leetcode.com/problems/shortest-matching-substring/", "Shortest Matching Substring")</f>
        <v/>
      </c>
      <c r="C3478" s="1" t="n">
        <v>45</v>
      </c>
      <c r="D3478" s="1" t="n">
        <v>3</v>
      </c>
      <c r="E3478" s="4">
        <f>IF(INDEX(C:C, ROW())+INDEX(D:D, ROW())=0, 0, INDEX(C:C, ROW())/(INDEX(C:C, ROW())+INDEX(D:D, ROW())))</f>
        <v/>
      </c>
      <c r="F3478" s="1" t="inlineStr">
        <is>
          <t>Two Pointers, String, Binary Search, String Matching</t>
        </is>
      </c>
      <c r="G3478" s="1" t="inlineStr">
        <is>
          <t>Hard</t>
        </is>
      </c>
      <c r="H3478" s="1" t="n">
        <v>6196</v>
      </c>
      <c r="I3478" s="1" t="n">
        <v>26336</v>
      </c>
      <c r="J3478" s="9" t="n">
        <v>0.235</v>
      </c>
      <c r="K3478" s="1" t="inlineStr">
        <is>
          <t>Yes</t>
        </is>
      </c>
      <c r="L3478" s="1" t="inlineStr">
        <is>
          <t>No</t>
        </is>
      </c>
      <c r="M3478" s="1" t="inlineStr">
        <is>
          <t>No</t>
        </is>
      </c>
      <c r="N3478" s="1" t="inlineStr">
        <is>
          <t>Algorithms</t>
        </is>
      </c>
      <c r="O34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79" ht="15.75" customHeight="1" s="12">
      <c r="A3479" s="1" t="n">
        <v>3544</v>
      </c>
      <c r="B3479" s="3">
        <f>HYPERLINK("https://leetcode.com/problems/subtree-inversion-sum/", "Subtree Inversion Sum")</f>
        <v/>
      </c>
      <c r="C3479" s="1" t="n">
        <v>45</v>
      </c>
      <c r="D3479" s="1" t="n">
        <v>7</v>
      </c>
      <c r="E3479" s="4">
        <f>IF(INDEX(C:C, ROW())+INDEX(D:D, ROW())=0, 0, INDEX(C:C, ROW())/(INDEX(C:C, ROW())+INDEX(D:D, ROW())))</f>
        <v/>
      </c>
      <c r="F3479" s="1" t="inlineStr">
        <is>
          <t>Array, Dynamic Programming, Tree, Depth-First Search</t>
        </is>
      </c>
      <c r="G3479" s="1" t="inlineStr">
        <is>
          <t>Hard</t>
        </is>
      </c>
      <c r="H3479" s="1" t="n">
        <v>4144</v>
      </c>
      <c r="I3479" s="1" t="n">
        <v>9326</v>
      </c>
      <c r="J3479" s="9" t="n">
        <v>0.444</v>
      </c>
      <c r="K3479" s="1" t="inlineStr">
        <is>
          <t>Yes</t>
        </is>
      </c>
      <c r="L3479" s="1" t="inlineStr">
        <is>
          <t>No</t>
        </is>
      </c>
      <c r="M3479" s="1" t="inlineStr">
        <is>
          <t>No</t>
        </is>
      </c>
      <c r="N3479" s="1" t="inlineStr">
        <is>
          <t>Algorithms</t>
        </is>
      </c>
      <c r="O34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80" ht="15.75" customHeight="1" s="12">
      <c r="A3480" s="1" t="n">
        <v>3602</v>
      </c>
      <c r="B3480" s="3">
        <f>HYPERLINK("https://leetcode.com/problems/hexadecimal-and-hexatrigesimal-conversion/", "Hexadecimal and Hexatrigesimal Conversion")</f>
        <v/>
      </c>
      <c r="C3480" s="1" t="n">
        <v>45</v>
      </c>
      <c r="D3480" s="1" t="n">
        <v>0</v>
      </c>
      <c r="E3480" s="4">
        <f>IF(INDEX(C:C, ROW())+INDEX(D:D, ROW())=0, 0, INDEX(C:C, ROW())/(INDEX(C:C, ROW())+INDEX(D:D, ROW())))</f>
        <v/>
      </c>
      <c r="F3480" s="1" t="inlineStr">
        <is>
          <t>Math, String</t>
        </is>
      </c>
      <c r="G3480" s="1" t="inlineStr">
        <is>
          <t>Easy</t>
        </is>
      </c>
      <c r="H3480" s="1" t="n">
        <v>29558</v>
      </c>
      <c r="I3480" s="1" t="n">
        <v>36709</v>
      </c>
      <c r="J3480" s="9" t="n">
        <v>0.805</v>
      </c>
      <c r="K3480" s="1" t="inlineStr">
        <is>
          <t>Yes</t>
        </is>
      </c>
      <c r="L3480" s="1" t="inlineStr">
        <is>
          <t>No</t>
        </is>
      </c>
      <c r="M3480" s="1" t="inlineStr">
        <is>
          <t>No</t>
        </is>
      </c>
      <c r="N3480" s="1" t="inlineStr">
        <is>
          <t>Algorithms</t>
        </is>
      </c>
      <c r="O34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81" ht="15.75" customHeight="1" s="12">
      <c r="A3481" s="1" t="n">
        <v>3737</v>
      </c>
      <c r="B3481" s="3">
        <f>HYPERLINK("https://leetcode.com/problems/count-subarrays-with-majority-element-i/", "Count Subarrays With Majority Element I")</f>
        <v/>
      </c>
      <c r="C3481" s="1" t="n">
        <v>45</v>
      </c>
      <c r="D3481" s="1" t="n">
        <v>4</v>
      </c>
      <c r="E3481" s="4">
        <f>IF(INDEX(C:C, ROW())+INDEX(D:D, ROW())=0, 0, INDEX(C:C, ROW())/(INDEX(C:C, ROW())+INDEX(D:D, ROW())))</f>
        <v/>
      </c>
      <c r="F3481" s="1" t="inlineStr">
        <is>
          <t>Array, Hash Table, Divide and Conquer, Segment Tree, Merge Sort, Counting, Prefix Sum</t>
        </is>
      </c>
      <c r="G3481" s="1" t="inlineStr">
        <is>
          <t>Medium</t>
        </is>
      </c>
      <c r="H3481" s="1" t="n">
        <v>24545</v>
      </c>
      <c r="I3481" s="1" t="n">
        <v>37816</v>
      </c>
      <c r="J3481" s="9" t="n">
        <v>0.649</v>
      </c>
      <c r="K3481" s="1" t="inlineStr">
        <is>
          <t>Yes</t>
        </is>
      </c>
      <c r="L3481" s="1" t="inlineStr">
        <is>
          <t>No</t>
        </is>
      </c>
      <c r="M3481" s="1" t="inlineStr">
        <is>
          <t>No</t>
        </is>
      </c>
      <c r="N3481" s="1" t="inlineStr">
        <is>
          <t>Algorithms</t>
        </is>
      </c>
      <c r="O34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82" ht="15.75" customHeight="1" s="12">
      <c r="A3482" s="1" t="n">
        <v>2436</v>
      </c>
      <c r="B3482" s="3">
        <f>HYPERLINK("https://leetcode.com/problems/minimum-split-into-subarrays-with-gcd-greater-than-one/", "Minimum Split Into Subarrays With GCD Greater Than One")</f>
        <v/>
      </c>
      <c r="C3482" s="1" t="n">
        <v>44</v>
      </c>
      <c r="D3482" s="1" t="n">
        <v>11</v>
      </c>
      <c r="E3482" s="4">
        <f>IF(INDEX(C:C, ROW())+INDEX(D:D, ROW())=0, 0, INDEX(C:C, ROW())/(INDEX(C:C, ROW())+INDEX(D:D, ROW())))</f>
        <v/>
      </c>
      <c r="F3482" s="1" t="inlineStr">
        <is>
          <t>Array, Math, Dynamic Programming, Greedy, Number Theory</t>
        </is>
      </c>
      <c r="G3482" s="1" t="inlineStr">
        <is>
          <t>Medium</t>
        </is>
      </c>
      <c r="H3482" s="1" t="n">
        <v>2858</v>
      </c>
      <c r="I3482" s="1" t="n">
        <v>4076</v>
      </c>
      <c r="J3482" s="9" t="n">
        <v>0.701</v>
      </c>
      <c r="K3482" s="1" t="inlineStr">
        <is>
          <t>No</t>
        </is>
      </c>
      <c r="L3482" s="1" t="inlineStr">
        <is>
          <t>No</t>
        </is>
      </c>
      <c r="M3482" s="1" t="inlineStr">
        <is>
          <t>No</t>
        </is>
      </c>
      <c r="N3482" s="1" t="inlineStr">
        <is>
          <t>Algorithms</t>
        </is>
      </c>
      <c r="O34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83" ht="15.75" customHeight="1" s="12">
      <c r="A3483" s="1" t="n">
        <v>3399</v>
      </c>
      <c r="B3483" s="3">
        <f>HYPERLINK("https://leetcode.com/problems/smallest-substring-with-identical-characters-ii/", "Smallest Substring With Identical Characters II")</f>
        <v/>
      </c>
      <c r="C3483" s="1" t="n">
        <v>44</v>
      </c>
      <c r="D3483" s="1" t="n">
        <v>3</v>
      </c>
      <c r="E3483" s="4">
        <f>IF(INDEX(C:C, ROW())+INDEX(D:D, ROW())=0, 0, INDEX(C:C, ROW())/(INDEX(C:C, ROW())+INDEX(D:D, ROW())))</f>
        <v/>
      </c>
      <c r="F3483" s="1" t="inlineStr">
        <is>
          <t>String, Binary Search</t>
        </is>
      </c>
      <c r="G3483" s="1" t="inlineStr">
        <is>
          <t>Hard</t>
        </is>
      </c>
      <c r="H3483" s="1" t="n">
        <v>6695</v>
      </c>
      <c r="I3483" s="1" t="n">
        <v>16713</v>
      </c>
      <c r="J3483" s="9" t="n">
        <v>0.401</v>
      </c>
      <c r="K3483" s="1" t="inlineStr">
        <is>
          <t>Yes</t>
        </is>
      </c>
      <c r="L3483" s="1" t="inlineStr">
        <is>
          <t>No</t>
        </is>
      </c>
      <c r="M3483" s="1" t="inlineStr">
        <is>
          <t>No</t>
        </is>
      </c>
      <c r="N3483" s="1" t="inlineStr">
        <is>
          <t>Algorithms</t>
        </is>
      </c>
      <c r="O34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84" ht="15.75" customHeight="1" s="12">
      <c r="A3484" s="1" t="n">
        <v>3522</v>
      </c>
      <c r="B3484" s="3">
        <f>HYPERLINK("https://leetcode.com/problems/calculate-score-after-performing-instructions/", "Calculate Score After Performing Instructions")</f>
        <v/>
      </c>
      <c r="C3484" s="1" t="n">
        <v>44</v>
      </c>
      <c r="D3484" s="1" t="n">
        <v>9</v>
      </c>
      <c r="E3484" s="4">
        <f>IF(INDEX(C:C, ROW())+INDEX(D:D, ROW())=0, 0, INDEX(C:C, ROW())/(INDEX(C:C, ROW())+INDEX(D:D, ROW())))</f>
        <v/>
      </c>
      <c r="F3484" s="1" t="inlineStr">
        <is>
          <t>Array, Hash Table, String, Simulation</t>
        </is>
      </c>
      <c r="G3484" s="1" t="inlineStr">
        <is>
          <t>Medium</t>
        </is>
      </c>
      <c r="H3484" s="1" t="n">
        <v>39462</v>
      </c>
      <c r="I3484" s="1" t="n">
        <v>69579</v>
      </c>
      <c r="J3484" s="9" t="n">
        <v>0.5669999999999999</v>
      </c>
      <c r="K3484" s="1" t="inlineStr">
        <is>
          <t>Yes</t>
        </is>
      </c>
      <c r="L3484" s="1" t="inlineStr">
        <is>
          <t>No</t>
        </is>
      </c>
      <c r="M3484" s="1" t="inlineStr">
        <is>
          <t>No</t>
        </is>
      </c>
      <c r="N3484" s="1" t="inlineStr">
        <is>
          <t>Algorithms</t>
        </is>
      </c>
      <c r="O34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85" ht="15.75" customHeight="1" s="12">
      <c r="A3485" s="1" t="n">
        <v>3743</v>
      </c>
      <c r="B3485" s="3">
        <f>HYPERLINK("https://leetcode.com/problems/maximize-cyclic-partition-score/", "Maximize Cyclic Partition Score")</f>
        <v/>
      </c>
      <c r="C3485" s="1" t="n">
        <v>44</v>
      </c>
      <c r="D3485" s="1" t="n">
        <v>6</v>
      </c>
      <c r="E3485" s="4">
        <f>IF(INDEX(C:C, ROW())+INDEX(D:D, ROW())=0, 0, INDEX(C:C, ROW())/(INDEX(C:C, ROW())+INDEX(D:D, ROW())))</f>
        <v/>
      </c>
      <c r="F3485" s="1" t="inlineStr">
        <is>
          <t>Array, Dynamic Programming</t>
        </is>
      </c>
      <c r="G3485" s="1" t="inlineStr">
        <is>
          <t>Hard</t>
        </is>
      </c>
      <c r="H3485" s="1" t="n">
        <v>2223</v>
      </c>
      <c r="I3485" s="1" t="n">
        <v>19304</v>
      </c>
      <c r="J3485" s="9" t="n">
        <v>0.115</v>
      </c>
      <c r="K3485" s="1" t="inlineStr">
        <is>
          <t>Yes</t>
        </is>
      </c>
      <c r="L3485" s="1" t="inlineStr">
        <is>
          <t>No</t>
        </is>
      </c>
      <c r="M3485" s="1" t="inlineStr">
        <is>
          <t>No</t>
        </is>
      </c>
      <c r="N3485" s="1" t="inlineStr">
        <is>
          <t>Algorithms</t>
        </is>
      </c>
      <c r="O34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86" ht="15.75" customHeight="1" s="12">
      <c r="A3486" s="1" t="n">
        <v>3765</v>
      </c>
      <c r="B3486" s="3">
        <f>HYPERLINK("https://leetcode.com/problems/complete-prime-number/", "Complete Prime Number")</f>
        <v/>
      </c>
      <c r="C3486" s="1" t="n">
        <v>44</v>
      </c>
      <c r="D3486" s="1" t="n">
        <v>3</v>
      </c>
      <c r="E3486" s="4">
        <f>IF(INDEX(C:C, ROW())+INDEX(D:D, ROW())=0, 0, INDEX(C:C, ROW())/(INDEX(C:C, ROW())+INDEX(D:D, ROW())))</f>
        <v/>
      </c>
      <c r="F3486" s="1" t="inlineStr">
        <is>
          <t>Math, Enumeration, Number Theory</t>
        </is>
      </c>
      <c r="G3486" s="1" t="inlineStr">
        <is>
          <t>Medium</t>
        </is>
      </c>
      <c r="H3486" s="1" t="n">
        <v>25220</v>
      </c>
      <c r="I3486" s="1" t="n">
        <v>67555</v>
      </c>
      <c r="J3486" s="9" t="n">
        <v>0.373</v>
      </c>
      <c r="K3486" s="1" t="inlineStr">
        <is>
          <t>Yes</t>
        </is>
      </c>
      <c r="L3486" s="1" t="inlineStr">
        <is>
          <t>No</t>
        </is>
      </c>
      <c r="M3486" s="1" t="inlineStr">
        <is>
          <t>No</t>
        </is>
      </c>
      <c r="N3486" s="1" t="inlineStr">
        <is>
          <t>Algorithms</t>
        </is>
      </c>
      <c r="O34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87" ht="15.75" customHeight="1" s="12">
      <c r="A3487" s="1" t="n">
        <v>3768</v>
      </c>
      <c r="B3487" s="3">
        <f>HYPERLINK("https://leetcode.com/problems/minimum-inversion-count-in-subarrays-of-fixed-length/", "Minimum Inversion Count in Subarrays of Fixed Length")</f>
        <v/>
      </c>
      <c r="C3487" s="1" t="n">
        <v>44</v>
      </c>
      <c r="D3487" s="1" t="n">
        <v>4</v>
      </c>
      <c r="E3487" s="4">
        <f>IF(INDEX(C:C, ROW())+INDEX(D:D, ROW())=0, 0, INDEX(C:C, ROW())/(INDEX(C:C, ROW())+INDEX(D:D, ROW())))</f>
        <v/>
      </c>
      <c r="F3487" s="1" t="inlineStr">
        <is>
          <t>Array, Segment Tree, Sliding Window</t>
        </is>
      </c>
      <c r="G3487" s="1" t="inlineStr">
        <is>
          <t>Hard</t>
        </is>
      </c>
      <c r="H3487" s="1" t="n">
        <v>4390</v>
      </c>
      <c r="I3487" s="1" t="n">
        <v>10515</v>
      </c>
      <c r="J3487" s="9" t="n">
        <v>0.417</v>
      </c>
      <c r="K3487" s="1" t="inlineStr">
        <is>
          <t>Yes</t>
        </is>
      </c>
      <c r="L3487" s="1" t="inlineStr">
        <is>
          <t>No</t>
        </is>
      </c>
      <c r="M3487" s="1" t="inlineStr">
        <is>
          <t>No</t>
        </is>
      </c>
      <c r="N3487" s="1" t="inlineStr">
        <is>
          <t>Algorithms</t>
        </is>
      </c>
      <c r="O34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88" ht="15.75" customHeight="1" s="12">
      <c r="A3488" s="1" t="n">
        <v>3514</v>
      </c>
      <c r="B3488" s="3">
        <f>HYPERLINK("https://leetcode.com/problems/number-of-unique-xor-triplets-ii/", "Number of Unique XOR Triplets II")</f>
        <v/>
      </c>
      <c r="C3488" s="1" t="n">
        <v>43</v>
      </c>
      <c r="D3488" s="1" t="n">
        <v>9</v>
      </c>
      <c r="E3488" s="4">
        <f>IF(INDEX(C:C, ROW())+INDEX(D:D, ROW())=0, 0, INDEX(C:C, ROW())/(INDEX(C:C, ROW())+INDEX(D:D, ROW())))</f>
        <v/>
      </c>
      <c r="F3488" s="1" t="inlineStr">
        <is>
          <t>Array, Math, Bit Manipulation, Enumeration</t>
        </is>
      </c>
      <c r="G3488" s="1" t="inlineStr">
        <is>
          <t>Medium</t>
        </is>
      </c>
      <c r="H3488" s="1" t="n">
        <v>14093</v>
      </c>
      <c r="I3488" s="1" t="n">
        <v>43739</v>
      </c>
      <c r="J3488" s="9" t="n">
        <v>0.322</v>
      </c>
      <c r="K3488" s="1" t="inlineStr">
        <is>
          <t>Yes</t>
        </is>
      </c>
      <c r="L3488" s="1" t="inlineStr">
        <is>
          <t>No</t>
        </is>
      </c>
      <c r="M3488" s="1" t="inlineStr">
        <is>
          <t>No</t>
        </is>
      </c>
      <c r="N3488" s="1" t="inlineStr">
        <is>
          <t>Algorithms</t>
        </is>
      </c>
      <c r="O34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89" ht="15.75" customHeight="1" s="12">
      <c r="A3489" s="1" t="n">
        <v>3586</v>
      </c>
      <c r="B3489" s="3">
        <f>HYPERLINK("https://leetcode.com/problems/find-covid-recovery-patients/", "Find COVID Recovery Patients")</f>
        <v/>
      </c>
      <c r="C3489" s="1" t="n">
        <v>43</v>
      </c>
      <c r="D3489" s="1" t="n">
        <v>7</v>
      </c>
      <c r="E3489" s="4">
        <f>IF(INDEX(C:C, ROW())+INDEX(D:D, ROW())=0, 0, INDEX(C:C, ROW())/(INDEX(C:C, ROW())+INDEX(D:D, ROW())))</f>
        <v/>
      </c>
      <c r="F3489" s="1" t="inlineStr">
        <is>
          <t>Database</t>
        </is>
      </c>
      <c r="G3489" s="1" t="inlineStr">
        <is>
          <t>Medium</t>
        </is>
      </c>
      <c r="H3489" s="1" t="n">
        <v>9103</v>
      </c>
      <c r="I3489" s="1" t="n">
        <v>22036</v>
      </c>
      <c r="J3489" s="9" t="n">
        <v>0.413</v>
      </c>
      <c r="K3489" s="1" t="inlineStr">
        <is>
          <t>Yes</t>
        </is>
      </c>
      <c r="L3489" s="1" t="inlineStr">
        <is>
          <t>No</t>
        </is>
      </c>
      <c r="M3489" s="1" t="inlineStr">
        <is>
          <t>No</t>
        </is>
      </c>
      <c r="N3489" s="1" t="inlineStr">
        <is>
          <t>Database</t>
        </is>
      </c>
      <c r="O34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90" ht="15.75" customHeight="1" s="12">
      <c r="A3490" s="1" t="n">
        <v>3640</v>
      </c>
      <c r="B3490" s="3">
        <f>HYPERLINK("https://leetcode.com/problems/trionic-array-ii/", "Trionic Array II")</f>
        <v/>
      </c>
      <c r="C3490" s="1" t="n">
        <v>43</v>
      </c>
      <c r="D3490" s="1" t="n">
        <v>3</v>
      </c>
      <c r="E3490" s="4">
        <f>IF(INDEX(C:C, ROW())+INDEX(D:D, ROW())=0, 0, INDEX(C:C, ROW())/(INDEX(C:C, ROW())+INDEX(D:D, ROW())))</f>
        <v/>
      </c>
      <c r="F3490" s="1" t="inlineStr">
        <is>
          <t>Array, Dynamic Programming</t>
        </is>
      </c>
      <c r="G3490" s="1" t="inlineStr">
        <is>
          <t>Hard</t>
        </is>
      </c>
      <c r="H3490" s="1" t="n">
        <v>12318</v>
      </c>
      <c r="I3490" s="1" t="n">
        <v>44805</v>
      </c>
      <c r="J3490" s="9" t="n">
        <v>0.275</v>
      </c>
      <c r="K3490" s="1" t="inlineStr">
        <is>
          <t>Yes</t>
        </is>
      </c>
      <c r="L3490" s="1" t="inlineStr">
        <is>
          <t>No</t>
        </is>
      </c>
      <c r="M3490" s="1" t="inlineStr">
        <is>
          <t>No</t>
        </is>
      </c>
      <c r="N3490" s="1" t="inlineStr">
        <is>
          <t>Algorithms</t>
        </is>
      </c>
      <c r="O34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91" ht="15.75" customHeight="1" s="12">
      <c r="A3491" s="1" t="n">
        <v>3663</v>
      </c>
      <c r="B3491" s="3">
        <f>HYPERLINK("https://leetcode.com/problems/find-the-least-frequent-digit/", "Find The Least Frequent Digit")</f>
        <v/>
      </c>
      <c r="C3491" s="1" t="n">
        <v>43</v>
      </c>
      <c r="D3491" s="1" t="n">
        <v>2</v>
      </c>
      <c r="E3491" s="4">
        <f>IF(INDEX(C:C, ROW())+INDEX(D:D, ROW())=0, 0, INDEX(C:C, ROW())/(INDEX(C:C, ROW())+INDEX(D:D, ROW())))</f>
        <v/>
      </c>
      <c r="F3491" s="1" t="inlineStr">
        <is>
          <t>Array, Hash Table, Math, Counting</t>
        </is>
      </c>
      <c r="G3491" s="1" t="inlineStr">
        <is>
          <t>Easy</t>
        </is>
      </c>
      <c r="H3491" s="1" t="n">
        <v>40139</v>
      </c>
      <c r="I3491" s="1" t="n">
        <v>57554</v>
      </c>
      <c r="J3491" s="9" t="n">
        <v>0.697</v>
      </c>
      <c r="K3491" s="1" t="inlineStr">
        <is>
          <t>Yes</t>
        </is>
      </c>
      <c r="L3491" s="1" t="inlineStr">
        <is>
          <t>No</t>
        </is>
      </c>
      <c r="M3491" s="1" t="inlineStr">
        <is>
          <t>No</t>
        </is>
      </c>
      <c r="N3491" s="1" t="inlineStr">
        <is>
          <t>Algorithms</t>
        </is>
      </c>
      <c r="O34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92" ht="15.75" customHeight="1" s="12">
      <c r="A3492" s="1" t="n">
        <v>2548</v>
      </c>
      <c r="B3492" s="3">
        <f>HYPERLINK("https://leetcode.com/problems/maximum-price-to-fill-a-bag/", "Maximum Price to Fill a Bag")</f>
        <v/>
      </c>
      <c r="C3492" s="1" t="n">
        <v>42</v>
      </c>
      <c r="D3492" s="1" t="n">
        <v>9</v>
      </c>
      <c r="E3492" s="4">
        <f>IF(INDEX(C:C, ROW())+INDEX(D:D, ROW())=0, 0, INDEX(C:C, ROW())/(INDEX(C:C, ROW())+INDEX(D:D, ROW())))</f>
        <v/>
      </c>
      <c r="F3492" s="1" t="inlineStr">
        <is>
          <t>Array, Greedy, Sorting</t>
        </is>
      </c>
      <c r="G3492" s="1" t="inlineStr">
        <is>
          <t>Medium</t>
        </is>
      </c>
      <c r="H3492" s="1" t="n">
        <v>1894</v>
      </c>
      <c r="I3492" s="1" t="n">
        <v>2953</v>
      </c>
      <c r="J3492" s="9" t="n">
        <v>0.641</v>
      </c>
      <c r="K3492" s="1" t="inlineStr">
        <is>
          <t>No</t>
        </is>
      </c>
      <c r="L3492" s="1" t="inlineStr">
        <is>
          <t>No</t>
        </is>
      </c>
      <c r="M3492" s="1" t="inlineStr">
        <is>
          <t>No</t>
        </is>
      </c>
      <c r="N3492" s="1" t="inlineStr">
        <is>
          <t>Algorithms</t>
        </is>
      </c>
      <c r="O34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93" ht="15.75" customHeight="1" s="12">
      <c r="A3493" s="1" t="n">
        <v>2557</v>
      </c>
      <c r="B3493" s="3">
        <f>HYPERLINK("https://leetcode.com/problems/maximum-number-of-integers-to-choose-from-a-range-ii/", "Maximum Number of Integers to Choose From a Range II")</f>
        <v/>
      </c>
      <c r="C3493" s="1" t="n">
        <v>42</v>
      </c>
      <c r="D3493" s="1" t="n">
        <v>26</v>
      </c>
      <c r="E3493" s="4">
        <f>IF(INDEX(C:C, ROW())+INDEX(D:D, ROW())=0, 0, INDEX(C:C, ROW())/(INDEX(C:C, ROW())+INDEX(D:D, ROW())))</f>
        <v/>
      </c>
      <c r="F3493" s="1" t="inlineStr">
        <is>
          <t>Array, Binary Search, Greedy, Sorting</t>
        </is>
      </c>
      <c r="G3493" s="1" t="inlineStr">
        <is>
          <t>Medium</t>
        </is>
      </c>
      <c r="H3493" s="1" t="n">
        <v>2792</v>
      </c>
      <c r="I3493" s="1" t="n">
        <v>8019</v>
      </c>
      <c r="J3493" s="9" t="n">
        <v>0.348</v>
      </c>
      <c r="K3493" s="1" t="inlineStr">
        <is>
          <t>No</t>
        </is>
      </c>
      <c r="L3493" s="1" t="inlineStr">
        <is>
          <t>No</t>
        </is>
      </c>
      <c r="M3493" s="1" t="inlineStr">
        <is>
          <t>No</t>
        </is>
      </c>
      <c r="N3493" s="1" t="inlineStr">
        <is>
          <t>Algorithms</t>
        </is>
      </c>
      <c r="O34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94" ht="15.75" customHeight="1" s="12">
      <c r="A3494" s="1" t="n">
        <v>3579</v>
      </c>
      <c r="B3494" s="3">
        <f>HYPERLINK("https://leetcode.com/problems/minimum-steps-to-convert-string-with-operations/", "Minimum Steps to Convert String with Operations")</f>
        <v/>
      </c>
      <c r="C3494" s="1" t="n">
        <v>42</v>
      </c>
      <c r="D3494" s="1" t="n">
        <v>3</v>
      </c>
      <c r="E3494" s="4">
        <f>IF(INDEX(C:C, ROW())+INDEX(D:D, ROW())=0, 0, INDEX(C:C, ROW())/(INDEX(C:C, ROW())+INDEX(D:D, ROW())))</f>
        <v/>
      </c>
      <c r="F3494" s="1" t="inlineStr">
        <is>
          <t>String, Dynamic Programming, Greedy</t>
        </is>
      </c>
      <c r="G3494" s="1" t="inlineStr">
        <is>
          <t>Hard</t>
        </is>
      </c>
      <c r="H3494" s="1" t="n">
        <v>4082</v>
      </c>
      <c r="I3494" s="1" t="n">
        <v>9613</v>
      </c>
      <c r="J3494" s="9" t="n">
        <v>0.425</v>
      </c>
      <c r="K3494" s="1" t="inlineStr">
        <is>
          <t>Yes</t>
        </is>
      </c>
      <c r="L3494" s="1" t="inlineStr">
        <is>
          <t>No</t>
        </is>
      </c>
      <c r="M3494" s="1" t="inlineStr">
        <is>
          <t>No</t>
        </is>
      </c>
      <c r="N3494" s="1" t="inlineStr">
        <is>
          <t>Algorithms</t>
        </is>
      </c>
      <c r="O34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95" ht="15.75" customHeight="1" s="12">
      <c r="A3495" s="1" t="n">
        <v>3683</v>
      </c>
      <c r="B3495" s="3">
        <f>HYPERLINK("https://leetcode.com/problems/earliest-time-to-finish-one-task/", "Earliest Time to Finish One Task")</f>
        <v/>
      </c>
      <c r="C3495" s="1" t="n">
        <v>42</v>
      </c>
      <c r="D3495" s="1" t="n">
        <v>2</v>
      </c>
      <c r="E3495" s="4">
        <f>IF(INDEX(C:C, ROW())+INDEX(D:D, ROW())=0, 0, INDEX(C:C, ROW())/(INDEX(C:C, ROW())+INDEX(D:D, ROW())))</f>
        <v/>
      </c>
      <c r="F3495" s="1" t="inlineStr">
        <is>
          <t>Array</t>
        </is>
      </c>
      <c r="G3495" s="1" t="inlineStr">
        <is>
          <t>Easy</t>
        </is>
      </c>
      <c r="H3495" s="1" t="n">
        <v>63259</v>
      </c>
      <c r="I3495" s="1" t="n">
        <v>75077</v>
      </c>
      <c r="J3495" s="9" t="n">
        <v>0.843</v>
      </c>
      <c r="K3495" s="1" t="inlineStr">
        <is>
          <t>Yes</t>
        </is>
      </c>
      <c r="L3495" s="1" t="inlineStr">
        <is>
          <t>No</t>
        </is>
      </c>
      <c r="M3495" s="1" t="inlineStr">
        <is>
          <t>No</t>
        </is>
      </c>
      <c r="N3495" s="1" t="inlineStr">
        <is>
          <t>Algorithms</t>
        </is>
      </c>
      <c r="O34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96" ht="15.75" customHeight="1" s="12">
      <c r="A3496" s="1" t="n">
        <v>3697</v>
      </c>
      <c r="B3496" s="3">
        <f>HYPERLINK("https://leetcode.com/problems/compute-decimal-representation/", "Compute Decimal Representation")</f>
        <v/>
      </c>
      <c r="C3496" s="1" t="n">
        <v>42</v>
      </c>
      <c r="D3496" s="1" t="n">
        <v>1</v>
      </c>
      <c r="E3496" s="4">
        <f>IF(INDEX(C:C, ROW())+INDEX(D:D, ROW())=0, 0, INDEX(C:C, ROW())/(INDEX(C:C, ROW())+INDEX(D:D, ROW())))</f>
        <v/>
      </c>
      <c r="F3496" s="1" t="inlineStr">
        <is>
          <t>Array, Math</t>
        </is>
      </c>
      <c r="G3496" s="1" t="inlineStr">
        <is>
          <t>Easy</t>
        </is>
      </c>
      <c r="H3496" s="1" t="n">
        <v>55300</v>
      </c>
      <c r="I3496" s="1" t="n">
        <v>86902</v>
      </c>
      <c r="J3496" s="9" t="n">
        <v>0.636</v>
      </c>
      <c r="K3496" s="1" t="inlineStr">
        <is>
          <t>Yes</t>
        </is>
      </c>
      <c r="L3496" s="1" t="inlineStr">
        <is>
          <t>No</t>
        </is>
      </c>
      <c r="M3496" s="1" t="inlineStr">
        <is>
          <t>No</t>
        </is>
      </c>
      <c r="N3496" s="1" t="inlineStr">
        <is>
          <t>Algorithms</t>
        </is>
      </c>
      <c r="O34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97" ht="15.75" customHeight="1" s="12">
      <c r="A3497" s="1" t="n">
        <v>2010</v>
      </c>
      <c r="B3497" s="3">
        <f>HYPERLINK("https://leetcode.com/problems/the-number-of-seniors-and-juniors-to-join-the-company-ii/", "The Number of Seniors and Juniors to Join the Company II")</f>
        <v/>
      </c>
      <c r="C3497" s="1" t="n">
        <v>41</v>
      </c>
      <c r="D3497" s="1" t="n">
        <v>10</v>
      </c>
      <c r="E3497" s="4">
        <f>IF(INDEX(C:C, ROW())+INDEX(D:D, ROW())=0, 0, INDEX(C:C, ROW())/(INDEX(C:C, ROW())+INDEX(D:D, ROW())))</f>
        <v/>
      </c>
      <c r="F3497" s="1" t="inlineStr">
        <is>
          <t>Database</t>
        </is>
      </c>
      <c r="G3497" s="1" t="inlineStr">
        <is>
          <t>Hard</t>
        </is>
      </c>
      <c r="H3497" s="1" t="n">
        <v>7185</v>
      </c>
      <c r="I3497" s="1" t="n">
        <v>10963</v>
      </c>
      <c r="J3497" s="9" t="n">
        <v>0.655</v>
      </c>
      <c r="K3497" s="1" t="inlineStr">
        <is>
          <t>No</t>
        </is>
      </c>
      <c r="L3497" s="1" t="inlineStr">
        <is>
          <t>No</t>
        </is>
      </c>
      <c r="M3497" s="1" t="inlineStr">
        <is>
          <t>No</t>
        </is>
      </c>
      <c r="N3497" s="1" t="inlineStr">
        <is>
          <t>Database</t>
        </is>
      </c>
      <c r="O34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98" ht="15.75" customHeight="1" s="12">
      <c r="A3498" s="1" t="n">
        <v>2689</v>
      </c>
      <c r="B3498" s="3">
        <f>HYPERLINK("https://leetcode.com/problems/extract-kth-character-from-the-rope-tree/", "Extract Kth Character From The Rope Tree")</f>
        <v/>
      </c>
      <c r="C3498" s="1" t="n">
        <v>41</v>
      </c>
      <c r="D3498" s="1" t="n">
        <v>29</v>
      </c>
      <c r="E3498" s="4">
        <f>IF(INDEX(C:C, ROW())+INDEX(D:D, ROW())=0, 0, INDEX(C:C, ROW())/(INDEX(C:C, ROW())+INDEX(D:D, ROW())))</f>
        <v/>
      </c>
      <c r="F3498" s="1" t="inlineStr">
        <is>
          <t>Tree, Depth-First Search, Binary Tree</t>
        </is>
      </c>
      <c r="G3498" s="1" t="inlineStr">
        <is>
          <t>Easy</t>
        </is>
      </c>
      <c r="H3498" s="1" t="n">
        <v>4660</v>
      </c>
      <c r="I3498" s="1" t="n">
        <v>6332</v>
      </c>
      <c r="J3498" s="9" t="n">
        <v>0.736</v>
      </c>
      <c r="K3498" s="1" t="inlineStr">
        <is>
          <t>No</t>
        </is>
      </c>
      <c r="L3498" s="1" t="inlineStr">
        <is>
          <t>No</t>
        </is>
      </c>
      <c r="M3498" s="1" t="inlineStr">
        <is>
          <t>No</t>
        </is>
      </c>
      <c r="N3498" s="1" t="inlineStr">
        <is>
          <t>Algorithms</t>
        </is>
      </c>
      <c r="O34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499" ht="15.75" customHeight="1" s="12">
      <c r="A3499" s="1" t="n">
        <v>3426</v>
      </c>
      <c r="B3499" s="3">
        <f>HYPERLINK("https://leetcode.com/problems/manhattan-distances-of-all-arrangements-of-pieces/", "Manhattan Distances of All Arrangements of Pieces")</f>
        <v/>
      </c>
      <c r="C3499" s="1" t="n">
        <v>41</v>
      </c>
      <c r="D3499" s="1" t="n">
        <v>10</v>
      </c>
      <c r="E3499" s="4">
        <f>IF(INDEX(C:C, ROW())+INDEX(D:D, ROW())=0, 0, INDEX(C:C, ROW())/(INDEX(C:C, ROW())+INDEX(D:D, ROW())))</f>
        <v/>
      </c>
      <c r="F3499" s="1" t="inlineStr">
        <is>
          <t>Math, Combinatorics</t>
        </is>
      </c>
      <c r="G3499" s="1" t="inlineStr">
        <is>
          <t>Hard</t>
        </is>
      </c>
      <c r="H3499" s="1" t="n">
        <v>3742</v>
      </c>
      <c r="I3499" s="1" t="n">
        <v>10743</v>
      </c>
      <c r="J3499" s="9" t="n">
        <v>0.348</v>
      </c>
      <c r="K3499" s="1" t="inlineStr">
        <is>
          <t>Yes</t>
        </is>
      </c>
      <c r="L3499" s="1" t="inlineStr">
        <is>
          <t>No</t>
        </is>
      </c>
      <c r="M3499" s="1" t="inlineStr">
        <is>
          <t>No</t>
        </is>
      </c>
      <c r="N3499" s="1" t="inlineStr">
        <is>
          <t>Algorithms</t>
        </is>
      </c>
      <c r="O34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00" ht="15.75" customHeight="1" s="12">
      <c r="A3500" s="1" t="n">
        <v>3594</v>
      </c>
      <c r="B3500" s="3">
        <f>HYPERLINK("https://leetcode.com/problems/minimum-time-to-transport-all-individuals/", "Minimum Time to Transport All Individuals")</f>
        <v/>
      </c>
      <c r="C3500" s="1" t="n">
        <v>41</v>
      </c>
      <c r="D3500" s="1" t="n">
        <v>5</v>
      </c>
      <c r="E3500" s="4">
        <f>IF(INDEX(C:C, ROW())+INDEX(D:D, ROW())=0, 0, INDEX(C:C, ROW())/(INDEX(C:C, ROW())+INDEX(D:D, ROW())))</f>
        <v/>
      </c>
      <c r="F3500" s="1" t="inlineStr">
        <is>
          <t>Array, Dynamic Programming, Bit Manipulation, Graph Theory, Heap (Priority Queue), Shortest Path, Bitmask DP</t>
        </is>
      </c>
      <c r="G3500" s="1" t="inlineStr">
        <is>
          <t>Hard</t>
        </is>
      </c>
      <c r="H3500" s="1" t="n">
        <v>3251</v>
      </c>
      <c r="I3500" s="1" t="n">
        <v>11726</v>
      </c>
      <c r="J3500" s="9" t="n">
        <v>0.277</v>
      </c>
      <c r="K3500" s="1" t="inlineStr">
        <is>
          <t>Yes</t>
        </is>
      </c>
      <c r="L3500" s="1" t="inlineStr">
        <is>
          <t>No</t>
        </is>
      </c>
      <c r="M3500" s="1" t="inlineStr">
        <is>
          <t>No</t>
        </is>
      </c>
      <c r="N3500" s="1" t="inlineStr">
        <is>
          <t>Algorithms</t>
        </is>
      </c>
      <c r="O35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01" ht="15.75" customHeight="1" s="12">
      <c r="A3501" s="1" t="n">
        <v>3605</v>
      </c>
      <c r="B3501" s="3">
        <f>HYPERLINK("https://leetcode.com/problems/minimum-stability-factor-of-array/", "Minimum Stability Factor of Array")</f>
        <v/>
      </c>
      <c r="C3501" s="1" t="n">
        <v>41</v>
      </c>
      <c r="D3501" s="1" t="n">
        <v>2</v>
      </c>
      <c r="E3501" s="4">
        <f>IF(INDEX(C:C, ROW())+INDEX(D:D, ROW())=0, 0, INDEX(C:C, ROW())/(INDEX(C:C, ROW())+INDEX(D:D, ROW())))</f>
        <v/>
      </c>
      <c r="F3501" s="1" t="inlineStr">
        <is>
          <t>Array, Math, Binary Search, Greedy, Segment Tree, Number Theory</t>
        </is>
      </c>
      <c r="G3501" s="1" t="inlineStr">
        <is>
          <t>Hard</t>
        </is>
      </c>
      <c r="H3501" s="1" t="n">
        <v>3825</v>
      </c>
      <c r="I3501" s="1" t="n">
        <v>19205</v>
      </c>
      <c r="J3501" s="9" t="n">
        <v>0.199</v>
      </c>
      <c r="K3501" s="1" t="inlineStr">
        <is>
          <t>Yes</t>
        </is>
      </c>
      <c r="L3501" s="1" t="inlineStr">
        <is>
          <t>No</t>
        </is>
      </c>
      <c r="M3501" s="1" t="inlineStr">
        <is>
          <t>No</t>
        </is>
      </c>
      <c r="N3501" s="1" t="inlineStr">
        <is>
          <t>Algorithms</t>
        </is>
      </c>
      <c r="O35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02" ht="15.75" customHeight="1" s="12">
      <c r="A3502" s="1" t="n">
        <v>1677</v>
      </c>
      <c r="B3502" s="3">
        <f>HYPERLINK("https://leetcode.com/problems/products-worth-over-invoices/", "Product's Worth Over Invoices")</f>
        <v/>
      </c>
      <c r="C3502" s="1" t="n">
        <v>40</v>
      </c>
      <c r="D3502" s="1" t="n">
        <v>136</v>
      </c>
      <c r="E3502" s="4">
        <f>IF(INDEX(C:C, ROW())+INDEX(D:D, ROW())=0, 0, INDEX(C:C, ROW())/(INDEX(C:C, ROW())+INDEX(D:D, ROW())))</f>
        <v/>
      </c>
      <c r="F3502" s="1" t="inlineStr">
        <is>
          <t>Database</t>
        </is>
      </c>
      <c r="G3502" s="1" t="inlineStr">
        <is>
          <t>Easy</t>
        </is>
      </c>
      <c r="H3502" s="1" t="n">
        <v>20081</v>
      </c>
      <c r="I3502" s="1" t="n">
        <v>52151</v>
      </c>
      <c r="J3502" s="9" t="n">
        <v>0.385</v>
      </c>
      <c r="K3502" s="1" t="inlineStr">
        <is>
          <t>No</t>
        </is>
      </c>
      <c r="L3502" s="1" t="inlineStr">
        <is>
          <t>No</t>
        </is>
      </c>
      <c r="M3502" s="1" t="inlineStr">
        <is>
          <t>No</t>
        </is>
      </c>
      <c r="N3502" s="1" t="inlineStr">
        <is>
          <t>Database</t>
        </is>
      </c>
      <c r="O35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03" ht="15.75" customHeight="1" s="12">
      <c r="A3503" s="1" t="n">
        <v>2143</v>
      </c>
      <c r="B3503" s="3">
        <f>HYPERLINK("https://leetcode.com/problems/choose-numbers-from-two-arrays-in-range/", "Choose Numbers From Two Arrays in Range")</f>
        <v/>
      </c>
      <c r="C3503" s="1" t="n">
        <v>40</v>
      </c>
      <c r="D3503" s="1" t="n">
        <v>5</v>
      </c>
      <c r="E3503" s="4">
        <f>IF(INDEX(C:C, ROW())+INDEX(D:D, ROW())=0, 0, INDEX(C:C, ROW())/(INDEX(C:C, ROW())+INDEX(D:D, ROW())))</f>
        <v/>
      </c>
      <c r="F3503" s="1" t="inlineStr">
        <is>
          <t>Array, Dynamic Programming</t>
        </is>
      </c>
      <c r="G3503" s="1" t="inlineStr">
        <is>
          <t>Hard</t>
        </is>
      </c>
      <c r="H3503" s="1" t="n">
        <v>1337</v>
      </c>
      <c r="I3503" s="1" t="n">
        <v>2538</v>
      </c>
      <c r="J3503" s="9" t="n">
        <v>0.527</v>
      </c>
      <c r="K3503" s="1" t="inlineStr">
        <is>
          <t>No</t>
        </is>
      </c>
      <c r="L3503" s="1" t="inlineStr">
        <is>
          <t>No</t>
        </is>
      </c>
      <c r="M3503" s="1" t="inlineStr">
        <is>
          <t>No</t>
        </is>
      </c>
      <c r="N3503" s="1" t="inlineStr">
        <is>
          <t>Algorithms</t>
        </is>
      </c>
      <c r="O35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04" ht="15.75" customHeight="1" s="12">
      <c r="A3504" s="1" t="n">
        <v>2372</v>
      </c>
      <c r="B3504" s="3">
        <f>HYPERLINK("https://leetcode.com/problems/calculate-the-influence-of-each-salesperson/", "Calculate the Influence of Each Salesperson")</f>
        <v/>
      </c>
      <c r="C3504" s="1" t="n">
        <v>40</v>
      </c>
      <c r="D3504" s="1" t="n">
        <v>4</v>
      </c>
      <c r="E3504" s="4">
        <f>IF(INDEX(C:C, ROW())+INDEX(D:D, ROW())=0, 0, INDEX(C:C, ROW())/(INDEX(C:C, ROW())+INDEX(D:D, ROW())))</f>
        <v/>
      </c>
      <c r="F3504" s="1" t="inlineStr">
        <is>
          <t>Database</t>
        </is>
      </c>
      <c r="G3504" s="1" t="inlineStr">
        <is>
          <t>Medium</t>
        </is>
      </c>
      <c r="H3504" s="1" t="n">
        <v>7799</v>
      </c>
      <c r="I3504" s="1" t="n">
        <v>9264</v>
      </c>
      <c r="J3504" s="9" t="n">
        <v>0.842</v>
      </c>
      <c r="K3504" s="1" t="inlineStr">
        <is>
          <t>No</t>
        </is>
      </c>
      <c r="L3504" s="1" t="inlineStr">
        <is>
          <t>No</t>
        </is>
      </c>
      <c r="M3504" s="1" t="inlineStr">
        <is>
          <t>No</t>
        </is>
      </c>
      <c r="N3504" s="1" t="inlineStr">
        <is>
          <t>Database</t>
        </is>
      </c>
      <c r="O35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05" ht="15.75" customHeight="1" s="12">
      <c r="A3505" s="1" t="n">
        <v>2377</v>
      </c>
      <c r="B3505" s="3">
        <f>HYPERLINK("https://leetcode.com/problems/sort-the-olympic-table/", "Sort the Olympic Table")</f>
        <v/>
      </c>
      <c r="C3505" s="1" t="n">
        <v>40</v>
      </c>
      <c r="D3505" s="1" t="n">
        <v>4</v>
      </c>
      <c r="E3505" s="4">
        <f>IF(INDEX(C:C, ROW())+INDEX(D:D, ROW())=0, 0, INDEX(C:C, ROW())/(INDEX(C:C, ROW())+INDEX(D:D, ROW())))</f>
        <v/>
      </c>
      <c r="F3505" s="1" t="inlineStr">
        <is>
          <t>Database</t>
        </is>
      </c>
      <c r="G3505" s="1" t="inlineStr">
        <is>
          <t>Easy</t>
        </is>
      </c>
      <c r="H3505" s="1" t="n">
        <v>8687</v>
      </c>
      <c r="I3505" s="1" t="n">
        <v>10953</v>
      </c>
      <c r="J3505" s="9" t="n">
        <v>0.793</v>
      </c>
      <c r="K3505" s="1" t="inlineStr">
        <is>
          <t>No</t>
        </is>
      </c>
      <c r="L3505" s="1" t="inlineStr">
        <is>
          <t>No</t>
        </is>
      </c>
      <c r="M3505" s="1" t="inlineStr">
        <is>
          <t>No</t>
        </is>
      </c>
      <c r="N3505" s="1" t="inlineStr">
        <is>
          <t>Database</t>
        </is>
      </c>
      <c r="O35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06" ht="15.75" customHeight="1" s="12">
      <c r="A3506" s="1" t="n">
        <v>2464</v>
      </c>
      <c r="B3506" s="3">
        <f>HYPERLINK("https://leetcode.com/problems/minimum-subarrays-in-a-valid-split/", "Minimum Subarrays in a Valid Split")</f>
        <v/>
      </c>
      <c r="C3506" s="1" t="n">
        <v>40</v>
      </c>
      <c r="D3506" s="1" t="n">
        <v>9</v>
      </c>
      <c r="E3506" s="4">
        <f>IF(INDEX(C:C, ROW())+INDEX(D:D, ROW())=0, 0, INDEX(C:C, ROW())/(INDEX(C:C, ROW())+INDEX(D:D, ROW())))</f>
        <v/>
      </c>
      <c r="F3506" s="1" t="inlineStr">
        <is>
          <t>Array, Math, Dynamic Programming, Number Theory</t>
        </is>
      </c>
      <c r="G3506" s="1" t="inlineStr">
        <is>
          <t>Medium</t>
        </is>
      </c>
      <c r="H3506" s="1" t="n">
        <v>3473</v>
      </c>
      <c r="I3506" s="1" t="n">
        <v>5374</v>
      </c>
      <c r="J3506" s="9" t="n">
        <v>0.646</v>
      </c>
      <c r="K3506" s="1" t="inlineStr">
        <is>
          <t>No</t>
        </is>
      </c>
      <c r="L3506" s="1" t="inlineStr">
        <is>
          <t>Yes</t>
        </is>
      </c>
      <c r="M3506" s="1" t="inlineStr">
        <is>
          <t>No</t>
        </is>
      </c>
      <c r="N3506" s="1" t="inlineStr">
        <is>
          <t>Algorithms</t>
        </is>
      </c>
      <c r="O35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07" ht="15.75" customHeight="1" s="12">
      <c r="A3507" s="1" t="n">
        <v>2714</v>
      </c>
      <c r="B3507" s="3">
        <f>HYPERLINK("https://leetcode.com/problems/find-shortest-path-with-k-hops/", "Find Shortest Path with K Hops")</f>
        <v/>
      </c>
      <c r="C3507" s="1" t="n">
        <v>40</v>
      </c>
      <c r="D3507" s="1" t="n">
        <v>0</v>
      </c>
      <c r="E3507" s="4">
        <f>IF(INDEX(C:C, ROW())+INDEX(D:D, ROW())=0, 0, INDEX(C:C, ROW())/(INDEX(C:C, ROW())+INDEX(D:D, ROW())))</f>
        <v/>
      </c>
      <c r="F3507" s="1" t="inlineStr">
        <is>
          <t>Graph Theory, Heap (Priority Queue), Shortest Path</t>
        </is>
      </c>
      <c r="G3507" s="1" t="inlineStr">
        <is>
          <t>Hard</t>
        </is>
      </c>
      <c r="H3507" s="1" t="n">
        <v>2300</v>
      </c>
      <c r="I3507" s="1" t="n">
        <v>3336</v>
      </c>
      <c r="J3507" s="9" t="n">
        <v>0.6889999999999999</v>
      </c>
      <c r="K3507" s="1" t="inlineStr">
        <is>
          <t>No</t>
        </is>
      </c>
      <c r="L3507" s="1" t="inlineStr">
        <is>
          <t>No</t>
        </is>
      </c>
      <c r="M3507" s="1" t="inlineStr">
        <is>
          <t>No</t>
        </is>
      </c>
      <c r="N3507" s="1" t="inlineStr">
        <is>
          <t>Algorithms</t>
        </is>
      </c>
      <c r="O35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08" ht="15.75" customHeight="1" s="12">
      <c r="A3508" s="1" t="n">
        <v>3441</v>
      </c>
      <c r="B3508" s="3">
        <f>HYPERLINK("https://leetcode.com/problems/minimum-cost-good-caption/", "Minimum Cost Good Caption")</f>
        <v/>
      </c>
      <c r="C3508" s="1" t="n">
        <v>40</v>
      </c>
      <c r="D3508" s="1" t="n">
        <v>6</v>
      </c>
      <c r="E3508" s="4">
        <f>IF(INDEX(C:C, ROW())+INDEX(D:D, ROW())=0, 0, INDEX(C:C, ROW())/(INDEX(C:C, ROW())+INDEX(D:D, ROW())))</f>
        <v/>
      </c>
      <c r="F3508" s="1" t="inlineStr">
        <is>
          <t>String, Dynamic Programming</t>
        </is>
      </c>
      <c r="G3508" s="1" t="inlineStr">
        <is>
          <t>Hard</t>
        </is>
      </c>
      <c r="H3508" s="1" t="n">
        <v>3641</v>
      </c>
      <c r="I3508" s="1" t="n">
        <v>17882</v>
      </c>
      <c r="J3508" s="9" t="n">
        <v>0.204</v>
      </c>
      <c r="K3508" s="1" t="inlineStr">
        <is>
          <t>Yes</t>
        </is>
      </c>
      <c r="L3508" s="1" t="inlineStr">
        <is>
          <t>No</t>
        </is>
      </c>
      <c r="M3508" s="1" t="inlineStr">
        <is>
          <t>No</t>
        </is>
      </c>
      <c r="N3508" s="1" t="inlineStr">
        <is>
          <t>Algorithms</t>
        </is>
      </c>
      <c r="O35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09" ht="15.75" customHeight="1" s="12">
      <c r="A3509" s="1" t="n">
        <v>3464</v>
      </c>
      <c r="B3509" s="3">
        <f>HYPERLINK("https://leetcode.com/problems/maximize-the-distance-between-points-on-a-square/", "Maximize the Distance Between Points on a Square")</f>
        <v/>
      </c>
      <c r="C3509" s="1" t="n">
        <v>40</v>
      </c>
      <c r="D3509" s="1" t="n">
        <v>8</v>
      </c>
      <c r="E3509" s="4">
        <f>IF(INDEX(C:C, ROW())+INDEX(D:D, ROW())=0, 0, INDEX(C:C, ROW())/(INDEX(C:C, ROW())+INDEX(D:D, ROW())))</f>
        <v/>
      </c>
      <c r="F3509" s="1" t="inlineStr">
        <is>
          <t>Array, Binary Search, Greedy</t>
        </is>
      </c>
      <c r="G3509" s="1" t="inlineStr">
        <is>
          <t>Hard</t>
        </is>
      </c>
      <c r="H3509" s="1" t="n">
        <v>4274</v>
      </c>
      <c r="I3509" s="1" t="n">
        <v>18264</v>
      </c>
      <c r="J3509" s="9" t="n">
        <v>0.234</v>
      </c>
      <c r="K3509" s="1" t="inlineStr">
        <is>
          <t>Yes</t>
        </is>
      </c>
      <c r="L3509" s="1" t="inlineStr">
        <is>
          <t>No</t>
        </is>
      </c>
      <c r="M3509" s="1" t="inlineStr">
        <is>
          <t>No</t>
        </is>
      </c>
      <c r="N3509" s="1" t="inlineStr">
        <is>
          <t>Algorithms</t>
        </is>
      </c>
      <c r="O35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10" ht="15.75" customHeight="1" s="12">
      <c r="A3510" s="1" t="n">
        <v>3465</v>
      </c>
      <c r="B3510" s="3">
        <f>HYPERLINK("https://leetcode.com/problems/find-products-with-valid-serial-numbers/", "Find Products with Valid Serial Numbers")</f>
        <v/>
      </c>
      <c r="C3510" s="1" t="n">
        <v>40</v>
      </c>
      <c r="D3510" s="1" t="n">
        <v>19</v>
      </c>
      <c r="E3510" s="4">
        <f>IF(INDEX(C:C, ROW())+INDEX(D:D, ROW())=0, 0, INDEX(C:C, ROW())/(INDEX(C:C, ROW())+INDEX(D:D, ROW())))</f>
        <v/>
      </c>
      <c r="F3510" s="1" t="inlineStr">
        <is>
          <t>Database</t>
        </is>
      </c>
      <c r="G3510" s="1" t="inlineStr">
        <is>
          <t>Easy</t>
        </is>
      </c>
      <c r="H3510" s="1" t="n">
        <v>16340</v>
      </c>
      <c r="I3510" s="1" t="n">
        <v>49820</v>
      </c>
      <c r="J3510" s="9" t="n">
        <v>0.328</v>
      </c>
      <c r="K3510" s="1" t="inlineStr">
        <is>
          <t>Yes</t>
        </is>
      </c>
      <c r="L3510" s="1" t="inlineStr">
        <is>
          <t>No</t>
        </is>
      </c>
      <c r="M3510" s="1" t="inlineStr">
        <is>
          <t>No</t>
        </is>
      </c>
      <c r="N3510" s="1" t="inlineStr">
        <is>
          <t>Database</t>
        </is>
      </c>
      <c r="O35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11" ht="15.75" customHeight="1" s="12">
      <c r="A3511" s="1" t="n">
        <v>3528</v>
      </c>
      <c r="B3511" s="3">
        <f>HYPERLINK("https://leetcode.com/problems/unit-conversion-i/", "Unit Conversion I")</f>
        <v/>
      </c>
      <c r="C3511" s="1" t="n">
        <v>40</v>
      </c>
      <c r="D3511" s="1" t="n">
        <v>19</v>
      </c>
      <c r="E3511" s="4">
        <f>IF(INDEX(C:C, ROW())+INDEX(D:D, ROW())=0, 0, INDEX(C:C, ROW())/(INDEX(C:C, ROW())+INDEX(D:D, ROW())))</f>
        <v/>
      </c>
      <c r="F3511" s="1" t="inlineStr">
        <is>
          <t>Depth-First Search, Breadth-First Search, Graph Theory</t>
        </is>
      </c>
      <c r="G3511" s="1" t="inlineStr">
        <is>
          <t>Medium</t>
        </is>
      </c>
      <c r="H3511" s="1" t="n">
        <v>19154</v>
      </c>
      <c r="I3511" s="1" t="n">
        <v>35151</v>
      </c>
      <c r="J3511" s="9" t="n">
        <v>0.545</v>
      </c>
      <c r="K3511" s="1" t="inlineStr">
        <is>
          <t>Yes</t>
        </is>
      </c>
      <c r="L3511" s="1" t="inlineStr">
        <is>
          <t>No</t>
        </is>
      </c>
      <c r="M3511" s="1" t="inlineStr">
        <is>
          <t>No</t>
        </is>
      </c>
      <c r="N3511" s="1" t="inlineStr">
        <is>
          <t>Algorithms</t>
        </is>
      </c>
      <c r="O35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12" ht="15.75" customHeight="1" s="12">
      <c r="A3512" s="1" t="n">
        <v>2450</v>
      </c>
      <c r="B3512" s="3">
        <f>HYPERLINK("https://leetcode.com/problems/number-of-distinct-binary-strings-after-applying-operations/", "Number of Distinct Binary Strings After Applying Operations")</f>
        <v/>
      </c>
      <c r="C3512" s="1" t="n">
        <v>39</v>
      </c>
      <c r="D3512" s="1" t="n">
        <v>9</v>
      </c>
      <c r="E3512" s="4">
        <f>IF(INDEX(C:C, ROW())+INDEX(D:D, ROW())=0, 0, INDEX(C:C, ROW())/(INDEX(C:C, ROW())+INDEX(D:D, ROW())))</f>
        <v/>
      </c>
      <c r="F3512" s="1" t="inlineStr">
        <is>
          <t>Math, String</t>
        </is>
      </c>
      <c r="G3512" s="1" t="inlineStr">
        <is>
          <t>Medium</t>
        </is>
      </c>
      <c r="H3512" s="1" t="n">
        <v>1340</v>
      </c>
      <c r="I3512" s="1" t="n">
        <v>2103</v>
      </c>
      <c r="J3512" s="9" t="n">
        <v>0.637</v>
      </c>
      <c r="K3512" s="1" t="inlineStr">
        <is>
          <t>No</t>
        </is>
      </c>
      <c r="L3512" s="1" t="inlineStr">
        <is>
          <t>No</t>
        </is>
      </c>
      <c r="M3512" s="1" t="inlineStr">
        <is>
          <t>No</t>
        </is>
      </c>
      <c r="N3512" s="1" t="inlineStr">
        <is>
          <t>Algorithms</t>
        </is>
      </c>
      <c r="O35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13" ht="15.75" customHeight="1" s="12">
      <c r="A3513" s="1" t="n">
        <v>2539</v>
      </c>
      <c r="B3513" s="3">
        <f>HYPERLINK("https://leetcode.com/problems/count-the-number-of-good-subsequences/", "Count the Number of Good Subsequences")</f>
        <v/>
      </c>
      <c r="C3513" s="1" t="n">
        <v>39</v>
      </c>
      <c r="D3513" s="1" t="n">
        <v>82</v>
      </c>
      <c r="E3513" s="4">
        <f>IF(INDEX(C:C, ROW())+INDEX(D:D, ROW())=0, 0, INDEX(C:C, ROW())/(INDEX(C:C, ROW())+INDEX(D:D, ROW())))</f>
        <v/>
      </c>
      <c r="F3513" s="1" t="inlineStr">
        <is>
          <t>Hash Table, Math, String, Combinatorics, Counting</t>
        </is>
      </c>
      <c r="G3513" s="1" t="inlineStr">
        <is>
          <t>Medium</t>
        </is>
      </c>
      <c r="H3513" s="1" t="n">
        <v>3923</v>
      </c>
      <c r="I3513" s="1" t="n">
        <v>8061</v>
      </c>
      <c r="J3513" s="9" t="n">
        <v>0.487</v>
      </c>
      <c r="K3513" s="1" t="inlineStr">
        <is>
          <t>No</t>
        </is>
      </c>
      <c r="L3513" s="1" t="inlineStr">
        <is>
          <t>No</t>
        </is>
      </c>
      <c r="M3513" s="1" t="inlineStr">
        <is>
          <t>No</t>
        </is>
      </c>
      <c r="N3513" s="1" t="inlineStr">
        <is>
          <t>Algorithms</t>
        </is>
      </c>
      <c r="O35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14" ht="15.75" customHeight="1" s="12">
      <c r="A3514" s="1" t="n">
        <v>3548</v>
      </c>
      <c r="B3514" s="3">
        <f>HYPERLINK("https://leetcode.com/problems/equal-sum-grid-partition-ii/", "Equal Sum Grid Partition II")</f>
        <v/>
      </c>
      <c r="C3514" s="1" t="n">
        <v>39</v>
      </c>
      <c r="D3514" s="1" t="n">
        <v>15</v>
      </c>
      <c r="E3514" s="4">
        <f>IF(INDEX(C:C, ROW())+INDEX(D:D, ROW())=0, 0, INDEX(C:C, ROW())/(INDEX(C:C, ROW())+INDEX(D:D, ROW())))</f>
        <v/>
      </c>
      <c r="F3514" s="1" t="inlineStr">
        <is>
          <t>Array, Hash Table, Matrix, Enumeration, Prefix Sum</t>
        </is>
      </c>
      <c r="G3514" s="1" t="inlineStr">
        <is>
          <t>Hard</t>
        </is>
      </c>
      <c r="H3514" s="1" t="n">
        <v>6170</v>
      </c>
      <c r="I3514" s="1" t="n">
        <v>28563</v>
      </c>
      <c r="J3514" s="9" t="n">
        <v>0.216</v>
      </c>
      <c r="K3514" s="1" t="inlineStr">
        <is>
          <t>Yes</t>
        </is>
      </c>
      <c r="L3514" s="1" t="inlineStr">
        <is>
          <t>No</t>
        </is>
      </c>
      <c r="M3514" s="1" t="inlineStr">
        <is>
          <t>No</t>
        </is>
      </c>
      <c r="N3514" s="1" t="inlineStr">
        <is>
          <t>Algorithms</t>
        </is>
      </c>
      <c r="O35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15" ht="15.75" customHeight="1" s="12">
      <c r="A3515" s="1" t="n">
        <v>3580</v>
      </c>
      <c r="B3515" s="3">
        <f>HYPERLINK("https://leetcode.com/problems/find-consistently-improving-employees/", "Find Consistently Improving Employees")</f>
        <v/>
      </c>
      <c r="C3515" s="1" t="n">
        <v>39</v>
      </c>
      <c r="D3515" s="1" t="n">
        <v>1</v>
      </c>
      <c r="E3515" s="4">
        <f>IF(INDEX(C:C, ROW())+INDEX(D:D, ROW())=0, 0, INDEX(C:C, ROW())/(INDEX(C:C, ROW())+INDEX(D:D, ROW())))</f>
        <v/>
      </c>
      <c r="F3515" s="1" t="inlineStr">
        <is>
          <t>Database</t>
        </is>
      </c>
      <c r="G3515" s="1" t="inlineStr">
        <is>
          <t>Medium</t>
        </is>
      </c>
      <c r="H3515" s="1" t="n">
        <v>8930</v>
      </c>
      <c r="I3515" s="1" t="n">
        <v>15918</v>
      </c>
      <c r="J3515" s="9" t="n">
        <v>0.5610000000000001</v>
      </c>
      <c r="K3515" s="1" t="inlineStr">
        <is>
          <t>Yes</t>
        </is>
      </c>
      <c r="L3515" s="1" t="inlineStr">
        <is>
          <t>No</t>
        </is>
      </c>
      <c r="M3515" s="1" t="inlineStr">
        <is>
          <t>No</t>
        </is>
      </c>
      <c r="N3515" s="1" t="inlineStr">
        <is>
          <t>Database</t>
        </is>
      </c>
      <c r="O35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16" ht="15.75" customHeight="1" s="12">
      <c r="A3516" s="1" t="n">
        <v>3657</v>
      </c>
      <c r="B3516" s="3">
        <f>HYPERLINK("https://leetcode.com/problems/find-loyal-customers/", "Find Loyal Customers")</f>
        <v/>
      </c>
      <c r="C3516" s="1" t="n">
        <v>39</v>
      </c>
      <c r="D3516" s="1" t="n">
        <v>1</v>
      </c>
      <c r="E3516" s="4">
        <f>IF(INDEX(C:C, ROW())+INDEX(D:D, ROW())=0, 0, INDEX(C:C, ROW())/(INDEX(C:C, ROW())+INDEX(D:D, ROW())))</f>
        <v/>
      </c>
      <c r="F3516" s="2" t="n"/>
      <c r="G3516" s="1" t="inlineStr">
        <is>
          <t>Medium</t>
        </is>
      </c>
      <c r="H3516" s="1" t="n">
        <v>6980</v>
      </c>
      <c r="I3516" s="1" t="n">
        <v>11312</v>
      </c>
      <c r="J3516" s="9" t="n">
        <v>0.617</v>
      </c>
      <c r="K3516" s="1" t="inlineStr">
        <is>
          <t>Yes</t>
        </is>
      </c>
      <c r="L3516" s="1" t="inlineStr">
        <is>
          <t>No</t>
        </is>
      </c>
      <c r="M3516" s="1" t="inlineStr">
        <is>
          <t>No</t>
        </is>
      </c>
      <c r="N3516" s="1" t="inlineStr">
        <is>
          <t>Database</t>
        </is>
      </c>
      <c r="O35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17" ht="15.75" customHeight="1" s="12">
      <c r="A3517" s="1" t="n">
        <v>3751</v>
      </c>
      <c r="B3517" s="3">
        <f>HYPERLINK("https://leetcode.com/problems/total-waviness-of-numbers-in-range-i/", "Total Waviness of Numbers in Range I")</f>
        <v/>
      </c>
      <c r="C3517" s="1" t="n">
        <v>39</v>
      </c>
      <c r="D3517" s="1" t="n">
        <v>3</v>
      </c>
      <c r="E3517" s="4">
        <f>IF(INDEX(C:C, ROW())+INDEX(D:D, ROW())=0, 0, INDEX(C:C, ROW())/(INDEX(C:C, ROW())+INDEX(D:D, ROW())))</f>
        <v/>
      </c>
      <c r="F3517" s="1" t="inlineStr">
        <is>
          <t>Math, Dynamic Programming, Enumeration</t>
        </is>
      </c>
      <c r="G3517" s="1" t="inlineStr">
        <is>
          <t>Medium</t>
        </is>
      </c>
      <c r="H3517" s="1" t="n">
        <v>24271</v>
      </c>
      <c r="I3517" s="1" t="n">
        <v>30255</v>
      </c>
      <c r="J3517" s="9" t="n">
        <v>0.802</v>
      </c>
      <c r="K3517" s="1" t="inlineStr">
        <is>
          <t>Yes</t>
        </is>
      </c>
      <c r="L3517" s="1" t="inlineStr">
        <is>
          <t>No</t>
        </is>
      </c>
      <c r="M3517" s="1" t="inlineStr">
        <is>
          <t>No</t>
        </is>
      </c>
      <c r="N3517" s="1" t="inlineStr">
        <is>
          <t>Algorithms</t>
        </is>
      </c>
      <c r="O35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18" ht="15.75" customHeight="1" s="12">
      <c r="A3518" s="1" t="n">
        <v>3779</v>
      </c>
      <c r="B3518" s="3">
        <f>HYPERLINK("https://leetcode.com/problems/minimum-number-of-operations-to-have-distinct-elements/", "Minimum Number of Operations to Have Distinct Elements")</f>
        <v/>
      </c>
      <c r="C3518" s="1" t="n">
        <v>39</v>
      </c>
      <c r="D3518" s="1" t="n">
        <v>2</v>
      </c>
      <c r="E3518" s="4">
        <f>IF(INDEX(C:C, ROW())+INDEX(D:D, ROW())=0, 0, INDEX(C:C, ROW())/(INDEX(C:C, ROW())+INDEX(D:D, ROW())))</f>
        <v/>
      </c>
      <c r="F3518" s="1" t="inlineStr">
        <is>
          <t>Array, Hash Table</t>
        </is>
      </c>
      <c r="G3518" s="1" t="inlineStr">
        <is>
          <t>Medium</t>
        </is>
      </c>
      <c r="H3518" s="1" t="n">
        <v>26041</v>
      </c>
      <c r="I3518" s="1" t="n">
        <v>62400</v>
      </c>
      <c r="J3518" s="9" t="n">
        <v>0.417</v>
      </c>
      <c r="K3518" s="1" t="inlineStr">
        <is>
          <t>Yes</t>
        </is>
      </c>
      <c r="L3518" s="1" t="inlineStr">
        <is>
          <t>No</t>
        </is>
      </c>
      <c r="M3518" s="1" t="inlineStr">
        <is>
          <t>No</t>
        </is>
      </c>
      <c r="N3518" s="1" t="inlineStr">
        <is>
          <t>Algorithms</t>
        </is>
      </c>
      <c r="O35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19" ht="15.75" customHeight="1" s="12">
      <c r="A3519" s="1" t="n">
        <v>3791</v>
      </c>
      <c r="B3519" s="3">
        <f>HYPERLINK("https://leetcode.com/problems/number-of-balanced-integers-in-a-range/", "Number of Balanced Integers in a Range")</f>
        <v/>
      </c>
      <c r="C3519" s="1" t="n">
        <v>39</v>
      </c>
      <c r="D3519" s="1" t="n">
        <v>3</v>
      </c>
      <c r="E3519" s="4">
        <f>IF(INDEX(C:C, ROW())+INDEX(D:D, ROW())=0, 0, INDEX(C:C, ROW())/(INDEX(C:C, ROW())+INDEX(D:D, ROW())))</f>
        <v/>
      </c>
      <c r="F3519" s="1" t="inlineStr">
        <is>
          <t>Dynamic Programming</t>
        </is>
      </c>
      <c r="G3519" s="1" t="inlineStr">
        <is>
          <t>Hard</t>
        </is>
      </c>
      <c r="H3519" s="1" t="n">
        <v>6899</v>
      </c>
      <c r="I3519" s="1" t="n">
        <v>20080</v>
      </c>
      <c r="J3519" s="9" t="n">
        <v>0.344</v>
      </c>
      <c r="K3519" s="1" t="inlineStr">
        <is>
          <t>Yes</t>
        </is>
      </c>
      <c r="L3519" s="1" t="inlineStr">
        <is>
          <t>No</t>
        </is>
      </c>
      <c r="M3519" s="1" t="inlineStr">
        <is>
          <t>No</t>
        </is>
      </c>
      <c r="N3519" s="1" t="inlineStr">
        <is>
          <t>Algorithms</t>
        </is>
      </c>
      <c r="O35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20" ht="15.75" customHeight="1" s="12">
      <c r="A3520" s="1" t="n">
        <v>3726</v>
      </c>
      <c r="B3520" s="3">
        <f>HYPERLINK("https://leetcode.com/problems/remove-zeros-in-decimal-representation/", "Remove Zeros in Decimal Representation")</f>
        <v/>
      </c>
      <c r="C3520" s="1" t="n">
        <v>38</v>
      </c>
      <c r="D3520" s="1" t="n">
        <v>2</v>
      </c>
      <c r="E3520" s="4">
        <f>IF(INDEX(C:C, ROW())+INDEX(D:D, ROW())=0, 0, INDEX(C:C, ROW())/(INDEX(C:C, ROW())+INDEX(D:D, ROW())))</f>
        <v/>
      </c>
      <c r="F3520" s="1" t="inlineStr">
        <is>
          <t>Math, Simulation</t>
        </is>
      </c>
      <c r="G3520" s="1" t="inlineStr">
        <is>
          <t>Easy</t>
        </is>
      </c>
      <c r="H3520" s="1" t="n">
        <v>47042</v>
      </c>
      <c r="I3520" s="1" t="n">
        <v>61760</v>
      </c>
      <c r="J3520" s="9" t="n">
        <v>0.762</v>
      </c>
      <c r="K3520" s="1" t="inlineStr">
        <is>
          <t>Yes</t>
        </is>
      </c>
      <c r="L3520" s="1" t="inlineStr">
        <is>
          <t>No</t>
        </is>
      </c>
      <c r="M3520" s="1" t="inlineStr">
        <is>
          <t>No</t>
        </is>
      </c>
      <c r="N3520" s="1" t="inlineStr">
        <is>
          <t>Algorithms</t>
        </is>
      </c>
      <c r="O35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21" ht="15.75" customHeight="1" s="12">
      <c r="A3521" s="1" t="n">
        <v>3666</v>
      </c>
      <c r="B3521" s="3">
        <f>HYPERLINK("https://leetcode.com/problems/minimum-operations-to-equalize-binary-string/", "Minimum Operations to Equalize Binary String")</f>
        <v/>
      </c>
      <c r="C3521" s="1" t="n">
        <v>37</v>
      </c>
      <c r="D3521" s="1" t="n">
        <v>8</v>
      </c>
      <c r="E3521" s="4">
        <f>IF(INDEX(C:C, ROW())+INDEX(D:D, ROW())=0, 0, INDEX(C:C, ROW())/(INDEX(C:C, ROW())+INDEX(D:D, ROW())))</f>
        <v/>
      </c>
      <c r="F3521" s="1" t="inlineStr">
        <is>
          <t>Math, String, Breadth-First Search, Union-Find, Ordered Set</t>
        </is>
      </c>
      <c r="G3521" s="1" t="inlineStr">
        <is>
          <t>Hard</t>
        </is>
      </c>
      <c r="H3521" s="1" t="n">
        <v>3074</v>
      </c>
      <c r="I3521" s="1" t="n">
        <v>15294</v>
      </c>
      <c r="J3521" s="9" t="n">
        <v>0.201</v>
      </c>
      <c r="K3521" s="1" t="inlineStr">
        <is>
          <t>Yes</t>
        </is>
      </c>
      <c r="L3521" s="1" t="inlineStr">
        <is>
          <t>No</t>
        </is>
      </c>
      <c r="M3521" s="1" t="inlineStr">
        <is>
          <t>No</t>
        </is>
      </c>
      <c r="N3521" s="1" t="inlineStr">
        <is>
          <t>Algorithms</t>
        </is>
      </c>
      <c r="O35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22" ht="15.75" customHeight="1" s="12">
      <c r="A3522" s="1" t="n">
        <v>3734</v>
      </c>
      <c r="B3522" s="3">
        <f>HYPERLINK("https://leetcode.com/problems/lexicographically-smallest-palindromic-permutation-greater-than-target/", "Lexicographically Smallest Palindromic Permutation Greater Than Target")</f>
        <v/>
      </c>
      <c r="C3522" s="1" t="n">
        <v>37</v>
      </c>
      <c r="D3522" s="1" t="n">
        <v>4</v>
      </c>
      <c r="E3522" s="4">
        <f>IF(INDEX(C:C, ROW())+INDEX(D:D, ROW())=0, 0, INDEX(C:C, ROW())/(INDEX(C:C, ROW())+INDEX(D:D, ROW())))</f>
        <v/>
      </c>
      <c r="F3522" s="1" t="inlineStr">
        <is>
          <t>Two Pointers, String, Enumeration</t>
        </is>
      </c>
      <c r="G3522" s="1" t="inlineStr">
        <is>
          <t>Hard</t>
        </is>
      </c>
      <c r="H3522" s="1" t="n">
        <v>4765</v>
      </c>
      <c r="I3522" s="1" t="n">
        <v>19476</v>
      </c>
      <c r="J3522" s="9" t="n">
        <v>0.245</v>
      </c>
      <c r="K3522" s="1" t="inlineStr">
        <is>
          <t>Yes</t>
        </is>
      </c>
      <c r="L3522" s="1" t="inlineStr">
        <is>
          <t>No</t>
        </is>
      </c>
      <c r="M3522" s="1" t="inlineStr">
        <is>
          <t>No</t>
        </is>
      </c>
      <c r="N3522" s="1" t="inlineStr">
        <is>
          <t>Algorithms</t>
        </is>
      </c>
      <c r="O35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23" ht="15.75" customHeight="1" s="12">
      <c r="A3523" s="1" t="n">
        <v>3626</v>
      </c>
      <c r="B3523" s="3">
        <f>HYPERLINK("https://leetcode.com/problems/find-stores-with-inventory-imbalance/", "Find Stores with Inventory Imbalance")</f>
        <v/>
      </c>
      <c r="C3523" s="1" t="n">
        <v>36</v>
      </c>
      <c r="D3523" s="1" t="n">
        <v>7</v>
      </c>
      <c r="E3523" s="4">
        <f>IF(INDEX(C:C, ROW())+INDEX(D:D, ROW())=0, 0, INDEX(C:C, ROW())/(INDEX(C:C, ROW())+INDEX(D:D, ROW())))</f>
        <v/>
      </c>
      <c r="F3523" s="2" t="n"/>
      <c r="G3523" s="1" t="inlineStr">
        <is>
          <t>Medium</t>
        </is>
      </c>
      <c r="H3523" s="1" t="n">
        <v>5567</v>
      </c>
      <c r="I3523" s="1" t="n">
        <v>11372</v>
      </c>
      <c r="J3523" s="9" t="n">
        <v>0.49</v>
      </c>
      <c r="K3523" s="1" t="inlineStr">
        <is>
          <t>Yes</t>
        </is>
      </c>
      <c r="L3523" s="1" t="inlineStr">
        <is>
          <t>No</t>
        </is>
      </c>
      <c r="M3523" s="1" t="inlineStr">
        <is>
          <t>No</t>
        </is>
      </c>
      <c r="N3523" s="1" t="inlineStr">
        <is>
          <t>Database</t>
        </is>
      </c>
      <c r="O35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24" ht="15.75" customHeight="1" s="12">
      <c r="A3524" s="1" t="n">
        <v>3753</v>
      </c>
      <c r="B3524" s="3">
        <f>HYPERLINK("https://leetcode.com/problems/total-waviness-of-numbers-in-range-ii/", "Total Waviness of Numbers in Range II")</f>
        <v/>
      </c>
      <c r="C3524" s="1" t="n">
        <v>36</v>
      </c>
      <c r="D3524" s="1" t="n">
        <v>1</v>
      </c>
      <c r="E3524" s="4">
        <f>IF(INDEX(C:C, ROW())+INDEX(D:D, ROW())=0, 0, INDEX(C:C, ROW())/(INDEX(C:C, ROW())+INDEX(D:D, ROW())))</f>
        <v/>
      </c>
      <c r="F3524" s="1" t="inlineStr">
        <is>
          <t>Math, Dynamic Programming</t>
        </is>
      </c>
      <c r="G3524" s="1" t="inlineStr">
        <is>
          <t>Hard</t>
        </is>
      </c>
      <c r="H3524" s="1" t="n">
        <v>3524</v>
      </c>
      <c r="I3524" s="1" t="n">
        <v>14635</v>
      </c>
      <c r="J3524" s="9" t="n">
        <v>0.241</v>
      </c>
      <c r="K3524" s="1" t="inlineStr">
        <is>
          <t>Yes</t>
        </is>
      </c>
      <c r="L3524" s="1" t="inlineStr">
        <is>
          <t>No</t>
        </is>
      </c>
      <c r="M3524" s="1" t="inlineStr">
        <is>
          <t>No</t>
        </is>
      </c>
      <c r="N3524" s="1" t="inlineStr">
        <is>
          <t>Algorithms</t>
        </is>
      </c>
      <c r="O35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25" ht="15.75" customHeight="1" s="12">
      <c r="A3525" s="1" t="n">
        <v>2329</v>
      </c>
      <c r="B3525" s="3">
        <f>HYPERLINK("https://leetcode.com/problems/product-sales-analysis-v/", "Product Sales Analysis V")</f>
        <v/>
      </c>
      <c r="C3525" s="1" t="n">
        <v>35</v>
      </c>
      <c r="D3525" s="1" t="n">
        <v>7</v>
      </c>
      <c r="E3525" s="4">
        <f>IF(INDEX(C:C, ROW())+INDEX(D:D, ROW())=0, 0, INDEX(C:C, ROW())/(INDEX(C:C, ROW())+INDEX(D:D, ROW())))</f>
        <v/>
      </c>
      <c r="F3525" s="1" t="inlineStr">
        <is>
          <t>Database</t>
        </is>
      </c>
      <c r="G3525" s="1" t="inlineStr">
        <is>
          <t>Easy</t>
        </is>
      </c>
      <c r="H3525" s="1" t="n">
        <v>10329</v>
      </c>
      <c r="I3525" s="1" t="n">
        <v>14602</v>
      </c>
      <c r="J3525" s="9" t="n">
        <v>0.707</v>
      </c>
      <c r="K3525" s="1" t="inlineStr">
        <is>
          <t>No</t>
        </is>
      </c>
      <c r="L3525" s="1" t="inlineStr">
        <is>
          <t>No</t>
        </is>
      </c>
      <c r="M3525" s="1" t="inlineStr">
        <is>
          <t>No</t>
        </is>
      </c>
      <c r="N3525" s="1" t="inlineStr">
        <is>
          <t>Database</t>
        </is>
      </c>
      <c r="O35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26" ht="15.75" customHeight="1" s="12">
      <c r="A3526" s="1" t="n">
        <v>2764</v>
      </c>
      <c r="B3526" s="3">
        <f>HYPERLINK("https://leetcode.com/problems/is-array-a-preorder-of-some-binary-tree/", "Is Array a Preorder of Some ‌Binary Tree")</f>
        <v/>
      </c>
      <c r="C3526" s="1" t="n">
        <v>35</v>
      </c>
      <c r="D3526" s="1" t="n">
        <v>5</v>
      </c>
      <c r="E3526" s="4">
        <f>IF(INDEX(C:C, ROW())+INDEX(D:D, ROW())=0, 0, INDEX(C:C, ROW())/(INDEX(C:C, ROW())+INDEX(D:D, ROW())))</f>
        <v/>
      </c>
      <c r="F3526" s="1" t="inlineStr">
        <is>
          <t>Stack, Tree, Depth-First Search, Binary Tree</t>
        </is>
      </c>
      <c r="G3526" s="1" t="inlineStr">
        <is>
          <t>Medium</t>
        </is>
      </c>
      <c r="H3526" s="1" t="n">
        <v>1867</v>
      </c>
      <c r="I3526" s="1" t="n">
        <v>2772</v>
      </c>
      <c r="J3526" s="9" t="n">
        <v>0.674</v>
      </c>
      <c r="K3526" s="1" t="inlineStr">
        <is>
          <t>No</t>
        </is>
      </c>
      <c r="L3526" s="1" t="inlineStr">
        <is>
          <t>No</t>
        </is>
      </c>
      <c r="M3526" s="1" t="inlineStr">
        <is>
          <t>No</t>
        </is>
      </c>
      <c r="N3526" s="1" t="inlineStr">
        <is>
          <t>Algorithms</t>
        </is>
      </c>
      <c r="O35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27" ht="15.75" customHeight="1" s="12">
      <c r="A3527" s="1" t="n">
        <v>2782</v>
      </c>
      <c r="B3527" s="3">
        <f>HYPERLINK("https://leetcode.com/problems/number-of-unique-categories/", "Number of Unique Categories")</f>
        <v/>
      </c>
      <c r="C3527" s="1" t="n">
        <v>35</v>
      </c>
      <c r="D3527" s="1" t="n">
        <v>3</v>
      </c>
      <c r="E3527" s="4">
        <f>IF(INDEX(C:C, ROW())+INDEX(D:D, ROW())=0, 0, INDEX(C:C, ROW())/(INDEX(C:C, ROW())+INDEX(D:D, ROW())))</f>
        <v/>
      </c>
      <c r="F3527" s="1" t="inlineStr">
        <is>
          <t>Union-Find, Interactive, Counting</t>
        </is>
      </c>
      <c r="G3527" s="1" t="inlineStr">
        <is>
          <t>Medium</t>
        </is>
      </c>
      <c r="H3527" s="1" t="n">
        <v>3360</v>
      </c>
      <c r="I3527" s="1" t="n">
        <v>4029</v>
      </c>
      <c r="J3527" s="9" t="n">
        <v>0.834</v>
      </c>
      <c r="K3527" s="1" t="inlineStr">
        <is>
          <t>No</t>
        </is>
      </c>
      <c r="L3527" s="1" t="inlineStr">
        <is>
          <t>Yes</t>
        </is>
      </c>
      <c r="M3527" s="1" t="inlineStr">
        <is>
          <t>No</t>
        </is>
      </c>
      <c r="N3527" s="1" t="inlineStr">
        <is>
          <t>Algorithms</t>
        </is>
      </c>
      <c r="O35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28" ht="15.75" customHeight="1" s="12">
      <c r="A3528" s="1" t="n">
        <v>3032</v>
      </c>
      <c r="B3528" s="3">
        <f>HYPERLINK("https://leetcode.com/problems/count-numbers-with-unique-digits-ii/", "Count Numbers With Unique Digits II")</f>
        <v/>
      </c>
      <c r="C3528" s="1" t="n">
        <v>35</v>
      </c>
      <c r="D3528" s="1" t="n">
        <v>4</v>
      </c>
      <c r="E3528" s="4">
        <f>IF(INDEX(C:C, ROW())+INDEX(D:D, ROW())=0, 0, INDEX(C:C, ROW())/(INDEX(C:C, ROW())+INDEX(D:D, ROW())))</f>
        <v/>
      </c>
      <c r="F3528" s="1" t="inlineStr">
        <is>
          <t>Hash Table, Math, Dynamic Programming</t>
        </is>
      </c>
      <c r="G3528" s="1" t="inlineStr">
        <is>
          <t>Easy</t>
        </is>
      </c>
      <c r="H3528" s="1" t="n">
        <v>8093</v>
      </c>
      <c r="I3528" s="1" t="n">
        <v>9309</v>
      </c>
      <c r="J3528" s="9" t="n">
        <v>0.869</v>
      </c>
      <c r="K3528" s="1" t="inlineStr">
        <is>
          <t>No</t>
        </is>
      </c>
      <c r="L3528" s="1" t="inlineStr">
        <is>
          <t>No</t>
        </is>
      </c>
      <c r="M3528" s="1" t="inlineStr">
        <is>
          <t>No</t>
        </is>
      </c>
      <c r="N3528" s="1" t="inlineStr">
        <is>
          <t>Algorithms</t>
        </is>
      </c>
      <c r="O35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29" ht="15.75" customHeight="1" s="12">
      <c r="A3529" s="1" t="n">
        <v>3636</v>
      </c>
      <c r="B3529" s="3">
        <f>HYPERLINK("https://leetcode.com/problems/threshold-majority-queries/", "Threshold Majority Queries")</f>
        <v/>
      </c>
      <c r="C3529" s="1" t="n">
        <v>35</v>
      </c>
      <c r="D3529" s="1" t="n">
        <v>10</v>
      </c>
      <c r="E3529" s="4">
        <f>IF(INDEX(C:C, ROW())+INDEX(D:D, ROW())=0, 0, INDEX(C:C, ROW())/(INDEX(C:C, ROW())+INDEX(D:D, ROW())))</f>
        <v/>
      </c>
      <c r="F3529" s="1" t="inlineStr">
        <is>
          <t>Array, Hash Table, Binary Search, Divide and Conquer, Counting, Prefix Sum</t>
        </is>
      </c>
      <c r="G3529" s="1" t="inlineStr">
        <is>
          <t>Hard</t>
        </is>
      </c>
      <c r="H3529" s="1" t="n">
        <v>4440</v>
      </c>
      <c r="I3529" s="1" t="n">
        <v>20624</v>
      </c>
      <c r="J3529" s="9" t="n">
        <v>0.215</v>
      </c>
      <c r="K3529" s="1" t="inlineStr">
        <is>
          <t>Yes</t>
        </is>
      </c>
      <c r="L3529" s="1" t="inlineStr">
        <is>
          <t>No</t>
        </is>
      </c>
      <c r="M3529" s="1" t="inlineStr">
        <is>
          <t>No</t>
        </is>
      </c>
      <c r="N3529" s="1" t="inlineStr">
        <is>
          <t>Algorithms</t>
        </is>
      </c>
      <c r="O35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30" ht="15.75" customHeight="1" s="12">
      <c r="A3530" s="1" t="n">
        <v>3707</v>
      </c>
      <c r="B3530" s="3">
        <f>HYPERLINK("https://leetcode.com/problems/equal-score-substrings/", "Equal Score Substrings")</f>
        <v/>
      </c>
      <c r="C3530" s="1" t="n">
        <v>35</v>
      </c>
      <c r="D3530" s="1" t="n">
        <v>2</v>
      </c>
      <c r="E3530" s="4">
        <f>IF(INDEX(C:C, ROW())+INDEX(D:D, ROW())=0, 0, INDEX(C:C, ROW())/(INDEX(C:C, ROW())+INDEX(D:D, ROW())))</f>
        <v/>
      </c>
      <c r="F3530" s="1" t="inlineStr">
        <is>
          <t>String, Prefix Sum</t>
        </is>
      </c>
      <c r="G3530" s="1" t="inlineStr">
        <is>
          <t>Easy</t>
        </is>
      </c>
      <c r="H3530" s="1" t="n">
        <v>34781</v>
      </c>
      <c r="I3530" s="1" t="n">
        <v>61290</v>
      </c>
      <c r="J3530" s="9" t="n">
        <v>0.5669999999999999</v>
      </c>
      <c r="K3530" s="1" t="inlineStr">
        <is>
          <t>Yes</t>
        </is>
      </c>
      <c r="L3530" s="1" t="inlineStr">
        <is>
          <t>No</t>
        </is>
      </c>
      <c r="M3530" s="1" t="inlineStr">
        <is>
          <t>No</t>
        </is>
      </c>
      <c r="N3530" s="1" t="inlineStr">
        <is>
          <t>Algorithms</t>
        </is>
      </c>
      <c r="O35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31" ht="15.75" customHeight="1" s="12">
      <c r="A3531" s="1" t="n">
        <v>3722</v>
      </c>
      <c r="B3531" s="3">
        <f>HYPERLINK("https://leetcode.com/problems/lexicographically-smallest-string-after-reverse/", "Lexicographically Smallest String After Reverse")</f>
        <v/>
      </c>
      <c r="C3531" s="1" t="n">
        <v>35</v>
      </c>
      <c r="D3531" s="1" t="n">
        <v>5</v>
      </c>
      <c r="E3531" s="4">
        <f>IF(INDEX(C:C, ROW())+INDEX(D:D, ROW())=0, 0, INDEX(C:C, ROW())/(INDEX(C:C, ROW())+INDEX(D:D, ROW())))</f>
        <v/>
      </c>
      <c r="F3531" s="1" t="inlineStr">
        <is>
          <t>Two Pointers, Binary Search, Enumeration</t>
        </is>
      </c>
      <c r="G3531" s="1" t="inlineStr">
        <is>
          <t>Medium</t>
        </is>
      </c>
      <c r="H3531" s="1" t="n">
        <v>24096</v>
      </c>
      <c r="I3531" s="1" t="n">
        <v>44151</v>
      </c>
      <c r="J3531" s="9" t="n">
        <v>0.546</v>
      </c>
      <c r="K3531" s="1" t="inlineStr">
        <is>
          <t>Yes</t>
        </is>
      </c>
      <c r="L3531" s="1" t="inlineStr">
        <is>
          <t>No</t>
        </is>
      </c>
      <c r="M3531" s="1" t="inlineStr">
        <is>
          <t>No</t>
        </is>
      </c>
      <c r="N3531" s="1" t="inlineStr">
        <is>
          <t>Algorithms</t>
        </is>
      </c>
      <c r="O35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32" ht="15.75" customHeight="1" s="12">
      <c r="A3532" s="1" t="n">
        <v>3782</v>
      </c>
      <c r="B3532" s="3">
        <f>HYPERLINK("https://leetcode.com/problems/last-remaining-integer-after-alternating-deletion-operations/", "Last Remaining Integer After Alternating Deletion Operations")</f>
        <v/>
      </c>
      <c r="C3532" s="1" t="n">
        <v>35</v>
      </c>
      <c r="D3532" s="1" t="n">
        <v>3</v>
      </c>
      <c r="E3532" s="4">
        <f>IF(INDEX(C:C, ROW())+INDEX(D:D, ROW())=0, 0, INDEX(C:C, ROW())/(INDEX(C:C, ROW())+INDEX(D:D, ROW())))</f>
        <v/>
      </c>
      <c r="F3532" s="1" t="inlineStr">
        <is>
          <t>Math, Recursion</t>
        </is>
      </c>
      <c r="G3532" s="1" t="inlineStr">
        <is>
          <t>Hard</t>
        </is>
      </c>
      <c r="H3532" s="1" t="n">
        <v>6997</v>
      </c>
      <c r="I3532" s="1" t="n">
        <v>14523</v>
      </c>
      <c r="J3532" s="9" t="n">
        <v>0.482</v>
      </c>
      <c r="K3532" s="1" t="inlineStr">
        <is>
          <t>Yes</t>
        </is>
      </c>
      <c r="L3532" s="1" t="inlineStr">
        <is>
          <t>No</t>
        </is>
      </c>
      <c r="M3532" s="1" t="inlineStr">
        <is>
          <t>No</t>
        </is>
      </c>
      <c r="N3532" s="1" t="inlineStr">
        <is>
          <t>Algorithms</t>
        </is>
      </c>
      <c r="O35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33" ht="15.75" customHeight="1" s="12">
      <c r="A3533" s="1" t="n">
        <v>1516</v>
      </c>
      <c r="B3533" s="3">
        <f>HYPERLINK("https://leetcode.com/problems/move-sub-tree-of-n-ary-tree/", "Move Sub-Tree of N-Ary Tree")</f>
        <v/>
      </c>
      <c r="C3533" s="1" t="n">
        <v>34</v>
      </c>
      <c r="D3533" s="1" t="n">
        <v>67</v>
      </c>
      <c r="E3533" s="4">
        <f>IF(INDEX(C:C, ROW())+INDEX(D:D, ROW())=0, 0, INDEX(C:C, ROW())/(INDEX(C:C, ROW())+INDEX(D:D, ROW())))</f>
        <v/>
      </c>
      <c r="F3533" s="1" t="inlineStr">
        <is>
          <t>Tree, Depth-First Search</t>
        </is>
      </c>
      <c r="G3533" s="1" t="inlineStr">
        <is>
          <t>Hard</t>
        </is>
      </c>
      <c r="H3533" s="1" t="n">
        <v>2624</v>
      </c>
      <c r="I3533" s="1" t="n">
        <v>4413</v>
      </c>
      <c r="J3533" s="9" t="n">
        <v>0.595</v>
      </c>
      <c r="K3533" s="1" t="inlineStr">
        <is>
          <t>No</t>
        </is>
      </c>
      <c r="L3533" s="1" t="inlineStr">
        <is>
          <t>No</t>
        </is>
      </c>
      <c r="M3533" s="1" t="inlineStr">
        <is>
          <t>No</t>
        </is>
      </c>
      <c r="N3533" s="1" t="inlineStr">
        <is>
          <t>Algorithms</t>
        </is>
      </c>
      <c r="O35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34" ht="15.75" customHeight="1" s="12">
      <c r="A3534" s="1" t="n">
        <v>1651</v>
      </c>
      <c r="B3534" s="3">
        <f>HYPERLINK("https://leetcode.com/problems/hopper-company-queries-iii/", "Hopper Company Queries III")</f>
        <v/>
      </c>
      <c r="C3534" s="1" t="n">
        <v>34</v>
      </c>
      <c r="D3534" s="1" t="n">
        <v>63</v>
      </c>
      <c r="E3534" s="4">
        <f>IF(INDEX(C:C, ROW())+INDEX(D:D, ROW())=0, 0, INDEX(C:C, ROW())/(INDEX(C:C, ROW())+INDEX(D:D, ROW())))</f>
        <v/>
      </c>
      <c r="F3534" s="1" t="inlineStr">
        <is>
          <t>Database</t>
        </is>
      </c>
      <c r="G3534" s="1" t="inlineStr">
        <is>
          <t>Hard</t>
        </is>
      </c>
      <c r="H3534" s="1" t="n">
        <v>8521</v>
      </c>
      <c r="I3534" s="1" t="n">
        <v>12961</v>
      </c>
      <c r="J3534" s="9" t="n">
        <v>0.657</v>
      </c>
      <c r="K3534" s="1" t="inlineStr">
        <is>
          <t>No</t>
        </is>
      </c>
      <c r="L3534" s="1" t="inlineStr">
        <is>
          <t>No</t>
        </is>
      </c>
      <c r="M3534" s="1" t="inlineStr">
        <is>
          <t>No</t>
        </is>
      </c>
      <c r="N3534" s="1" t="inlineStr">
        <is>
          <t>Database</t>
        </is>
      </c>
      <c r="O35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35" ht="15.75" customHeight="1" s="12">
      <c r="A3535" s="1" t="n">
        <v>1714</v>
      </c>
      <c r="B3535" s="3">
        <f>HYPERLINK("https://leetcode.com/problems/sum-of-special-evenly-spaced-elements-in-array/", "Sum Of Special Evenly-Spaced Elements In Array")</f>
        <v/>
      </c>
      <c r="C3535" s="1" t="n">
        <v>34</v>
      </c>
      <c r="D3535" s="1" t="n">
        <v>27</v>
      </c>
      <c r="E3535" s="4">
        <f>IF(INDEX(C:C, ROW())+INDEX(D:D, ROW())=0, 0, INDEX(C:C, ROW())/(INDEX(C:C, ROW())+INDEX(D:D, ROW())))</f>
        <v/>
      </c>
      <c r="F3535" s="1" t="inlineStr">
        <is>
          <t>Array, Dynamic Programming</t>
        </is>
      </c>
      <c r="G3535" s="1" t="inlineStr">
        <is>
          <t>Hard</t>
        </is>
      </c>
      <c r="H3535" s="1" t="n">
        <v>1699</v>
      </c>
      <c r="I3535" s="1" t="n">
        <v>3408</v>
      </c>
      <c r="J3535" s="9" t="n">
        <v>0.499</v>
      </c>
      <c r="K3535" s="1" t="inlineStr">
        <is>
          <t>No</t>
        </is>
      </c>
      <c r="L3535" s="1" t="inlineStr">
        <is>
          <t>No</t>
        </is>
      </c>
      <c r="M3535" s="1" t="inlineStr">
        <is>
          <t>No</t>
        </is>
      </c>
      <c r="N3535" s="1" t="inlineStr">
        <is>
          <t>Algorithms</t>
        </is>
      </c>
      <c r="O35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36" ht="15.75" customHeight="1" s="12">
      <c r="A3536" s="1" t="n">
        <v>2252</v>
      </c>
      <c r="B3536" s="3">
        <f>HYPERLINK("https://leetcode.com/problems/dynamic-pivoting-of-a-table/", "Dynamic Pivoting of a Table")</f>
        <v/>
      </c>
      <c r="C3536" s="1" t="n">
        <v>34</v>
      </c>
      <c r="D3536" s="1" t="n">
        <v>10</v>
      </c>
      <c r="E3536" s="4">
        <f>IF(INDEX(C:C, ROW())+INDEX(D:D, ROW())=0, 0, INDEX(C:C, ROW())/(INDEX(C:C, ROW())+INDEX(D:D, ROW())))</f>
        <v/>
      </c>
      <c r="F3536" s="1" t="inlineStr">
        <is>
          <t>Database</t>
        </is>
      </c>
      <c r="G3536" s="1" t="inlineStr">
        <is>
          <t>Hard</t>
        </is>
      </c>
      <c r="H3536" s="1" t="n">
        <v>2134</v>
      </c>
      <c r="I3536" s="1" t="n">
        <v>3724</v>
      </c>
      <c r="J3536" s="9" t="n">
        <v>0.573</v>
      </c>
      <c r="K3536" s="1" t="inlineStr">
        <is>
          <t>No</t>
        </is>
      </c>
      <c r="L3536" s="1" t="inlineStr">
        <is>
          <t>No</t>
        </is>
      </c>
      <c r="M3536" s="1" t="inlineStr">
        <is>
          <t>No</t>
        </is>
      </c>
      <c r="N3536" s="1" t="inlineStr">
        <is>
          <t>Database</t>
        </is>
      </c>
      <c r="O35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37" ht="15.75" customHeight="1" s="12">
      <c r="A3537" s="1" t="n">
        <v>2362</v>
      </c>
      <c r="B3537" s="3">
        <f>HYPERLINK("https://leetcode.com/problems/generate-the-invoice/", "Generate the Invoice")</f>
        <v/>
      </c>
      <c r="C3537" s="1" t="n">
        <v>34</v>
      </c>
      <c r="D3537" s="1" t="n">
        <v>29</v>
      </c>
      <c r="E3537" s="4">
        <f>IF(INDEX(C:C, ROW())+INDEX(D:D, ROW())=0, 0, INDEX(C:C, ROW())/(INDEX(C:C, ROW())+INDEX(D:D, ROW())))</f>
        <v/>
      </c>
      <c r="F3537" s="1" t="inlineStr">
        <is>
          <t>Database</t>
        </is>
      </c>
      <c r="G3537" s="1" t="inlineStr">
        <is>
          <t>Hard</t>
        </is>
      </c>
      <c r="H3537" s="1" t="n">
        <v>5359</v>
      </c>
      <c r="I3537" s="1" t="n">
        <v>7095</v>
      </c>
      <c r="J3537" s="9" t="n">
        <v>0.755</v>
      </c>
      <c r="K3537" s="1" t="inlineStr">
        <is>
          <t>No</t>
        </is>
      </c>
      <c r="L3537" s="1" t="inlineStr">
        <is>
          <t>No</t>
        </is>
      </c>
      <c r="M3537" s="1" t="inlineStr">
        <is>
          <t>No</t>
        </is>
      </c>
      <c r="N3537" s="1" t="inlineStr">
        <is>
          <t>Database</t>
        </is>
      </c>
      <c r="O35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38" ht="15.75" customHeight="1" s="12">
      <c r="A3538" s="1" t="n">
        <v>3750</v>
      </c>
      <c r="B3538" s="3">
        <f>HYPERLINK("https://leetcode.com/problems/minimum-number-of-flips-to-reverse-binary-string/", "Minimum Number of Flips to Reverse Binary String")</f>
        <v/>
      </c>
      <c r="C3538" s="1" t="n">
        <v>34</v>
      </c>
      <c r="D3538" s="1" t="n">
        <v>0</v>
      </c>
      <c r="E3538" s="4">
        <f>IF(INDEX(C:C, ROW())+INDEX(D:D, ROW())=0, 0, INDEX(C:C, ROW())/(INDEX(C:C, ROW())+INDEX(D:D, ROW())))</f>
        <v/>
      </c>
      <c r="F3538" s="1" t="inlineStr">
        <is>
          <t>Math, Two Pointers, String, Bit Manipulation</t>
        </is>
      </c>
      <c r="G3538" s="1" t="inlineStr">
        <is>
          <t>Easy</t>
        </is>
      </c>
      <c r="H3538" s="1" t="n">
        <v>28838</v>
      </c>
      <c r="I3538" s="1" t="n">
        <v>38221</v>
      </c>
      <c r="J3538" s="9" t="n">
        <v>0.755</v>
      </c>
      <c r="K3538" s="1" t="inlineStr">
        <is>
          <t>Yes</t>
        </is>
      </c>
      <c r="L3538" s="1" t="inlineStr">
        <is>
          <t>No</t>
        </is>
      </c>
      <c r="M3538" s="1" t="inlineStr">
        <is>
          <t>No</t>
        </is>
      </c>
      <c r="N3538" s="1" t="inlineStr">
        <is>
          <t>Algorithms</t>
        </is>
      </c>
      <c r="O35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39" ht="15.75" customHeight="1" s="12">
      <c r="A3539" s="1" t="n">
        <v>2655</v>
      </c>
      <c r="B3539" s="3">
        <f>HYPERLINK("https://leetcode.com/problems/find-maximal-uncovered-ranges/", "Find Maximal Uncovered Ranges")</f>
        <v/>
      </c>
      <c r="C3539" s="1" t="n">
        <v>33</v>
      </c>
      <c r="D3539" s="1" t="n">
        <v>3</v>
      </c>
      <c r="E3539" s="4">
        <f>IF(INDEX(C:C, ROW())+INDEX(D:D, ROW())=0, 0, INDEX(C:C, ROW())/(INDEX(C:C, ROW())+INDEX(D:D, ROW())))</f>
        <v/>
      </c>
      <c r="F3539" s="1" t="inlineStr">
        <is>
          <t>Array, Sorting</t>
        </is>
      </c>
      <c r="G3539" s="1" t="inlineStr">
        <is>
          <t>Medium</t>
        </is>
      </c>
      <c r="H3539" s="1" t="n">
        <v>2145</v>
      </c>
      <c r="I3539" s="1" t="n">
        <v>4365</v>
      </c>
      <c r="J3539" s="9" t="n">
        <v>0.491</v>
      </c>
      <c r="K3539" s="1" t="inlineStr">
        <is>
          <t>No</t>
        </is>
      </c>
      <c r="L3539" s="1" t="inlineStr">
        <is>
          <t>No</t>
        </is>
      </c>
      <c r="M3539" s="1" t="inlineStr">
        <is>
          <t>No</t>
        </is>
      </c>
      <c r="N3539" s="1" t="inlineStr">
        <is>
          <t>Algorithms</t>
        </is>
      </c>
      <c r="O35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40" ht="15.75" customHeight="1" s="12">
      <c r="A3540" s="1" t="n">
        <v>3624</v>
      </c>
      <c r="B3540" s="3">
        <f>HYPERLINK("https://leetcode.com/problems/number-of-integers-with-popcount-depth-equal-to-k-ii/", "Number of Integers With Popcount-Depth Equal to K II")</f>
        <v/>
      </c>
      <c r="C3540" s="1" t="n">
        <v>33</v>
      </c>
      <c r="D3540" s="1" t="n">
        <v>9</v>
      </c>
      <c r="E3540" s="4">
        <f>IF(INDEX(C:C, ROW())+INDEX(D:D, ROW())=0, 0, INDEX(C:C, ROW())/(INDEX(C:C, ROW())+INDEX(D:D, ROW())))</f>
        <v/>
      </c>
      <c r="F3540" s="1" t="inlineStr">
        <is>
          <t>Array, Divide and Conquer, Binary Indexed Tree, Segment Tree</t>
        </is>
      </c>
      <c r="G3540" s="1" t="inlineStr">
        <is>
          <t>Hard</t>
        </is>
      </c>
      <c r="H3540" s="1" t="n">
        <v>16548</v>
      </c>
      <c r="I3540" s="1" t="n">
        <v>29015</v>
      </c>
      <c r="J3540" s="9" t="n">
        <v>0.57</v>
      </c>
      <c r="K3540" s="1" t="inlineStr">
        <is>
          <t>Yes</t>
        </is>
      </c>
      <c r="L3540" s="1" t="inlineStr">
        <is>
          <t>No</t>
        </is>
      </c>
      <c r="M3540" s="1" t="inlineStr">
        <is>
          <t>No</t>
        </is>
      </c>
      <c r="N3540" s="1" t="inlineStr">
        <is>
          <t>Algorithms</t>
        </is>
      </c>
      <c r="O35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41" ht="15.75" customHeight="1" s="12">
      <c r="A3541" s="1" t="n">
        <v>3655</v>
      </c>
      <c r="B3541" s="3">
        <f>HYPERLINK("https://leetcode.com/problems/xor-after-range-multiplication-queries-ii/", "XOR After Range Multiplication Queries II")</f>
        <v/>
      </c>
      <c r="C3541" s="1" t="n">
        <v>33</v>
      </c>
      <c r="D3541" s="1" t="n">
        <v>4</v>
      </c>
      <c r="E3541" s="4">
        <f>IF(INDEX(C:C, ROW())+INDEX(D:D, ROW())=0, 0, INDEX(C:C, ROW())/(INDEX(C:C, ROW())+INDEX(D:D, ROW())))</f>
        <v/>
      </c>
      <c r="F3541" s="1" t="inlineStr">
        <is>
          <t>Array, Divide and Conquer</t>
        </is>
      </c>
      <c r="G3541" s="1" t="inlineStr">
        <is>
          <t>Hard</t>
        </is>
      </c>
      <c r="H3541" s="1" t="n">
        <v>11920</v>
      </c>
      <c r="I3541" s="1" t="n">
        <v>34965</v>
      </c>
      <c r="J3541" s="9" t="n">
        <v>0.341</v>
      </c>
      <c r="K3541" s="1" t="inlineStr">
        <is>
          <t>Yes</t>
        </is>
      </c>
      <c r="L3541" s="1" t="inlineStr">
        <is>
          <t>No</t>
        </is>
      </c>
      <c r="M3541" s="1" t="inlineStr">
        <is>
          <t>No</t>
        </is>
      </c>
      <c r="N3541" s="1" t="inlineStr">
        <is>
          <t>Algorithms</t>
        </is>
      </c>
      <c r="O35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42" ht="15.75" customHeight="1" s="12">
      <c r="A3542" s="1" t="n">
        <v>3671</v>
      </c>
      <c r="B3542" s="3">
        <f>HYPERLINK("https://leetcode.com/problems/sum-of-beautiful-subsequences/", "Sum of Beautiful Subsequences")</f>
        <v/>
      </c>
      <c r="C3542" s="1" t="n">
        <v>33</v>
      </c>
      <c r="D3542" s="1" t="n">
        <v>3</v>
      </c>
      <c r="E3542" s="4">
        <f>IF(INDEX(C:C, ROW())+INDEX(D:D, ROW())=0, 0, INDEX(C:C, ROW())/(INDEX(C:C, ROW())+INDEX(D:D, ROW())))</f>
        <v/>
      </c>
      <c r="F3542" s="1" t="inlineStr">
        <is>
          <t>Array, Math, Tree, Number Theory</t>
        </is>
      </c>
      <c r="G3542" s="1" t="inlineStr">
        <is>
          <t>Hard</t>
        </is>
      </c>
      <c r="H3542" s="1" t="n">
        <v>5927</v>
      </c>
      <c r="I3542" s="1" t="n">
        <v>23694</v>
      </c>
      <c r="J3542" s="9" t="n">
        <v>0.25</v>
      </c>
      <c r="K3542" s="1" t="inlineStr">
        <is>
          <t>Yes</t>
        </is>
      </c>
      <c r="L3542" s="1" t="inlineStr">
        <is>
          <t>No</t>
        </is>
      </c>
      <c r="M3542" s="1" t="inlineStr">
        <is>
          <t>No</t>
        </is>
      </c>
      <c r="N3542" s="1" t="inlineStr">
        <is>
          <t>Algorithms</t>
        </is>
      </c>
      <c r="O35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43" ht="15.75" customHeight="1" s="12">
      <c r="A3543" s="1" t="n">
        <v>3774</v>
      </c>
      <c r="B3543" s="3">
        <f>HYPERLINK("https://leetcode.com/problems/absolute-difference-between-maximum-and-minimum-k-elements/", "Absolute Difference Between Maximum and Minimum K Elements")</f>
        <v/>
      </c>
      <c r="C3543" s="1" t="n">
        <v>33</v>
      </c>
      <c r="D3543" s="1" t="n">
        <v>2</v>
      </c>
      <c r="E3543" s="4">
        <f>IF(INDEX(C:C, ROW())+INDEX(D:D, ROW())=0, 0, INDEX(C:C, ROW())/(INDEX(C:C, ROW())+INDEX(D:D, ROW())))</f>
        <v/>
      </c>
      <c r="F3543" s="1" t="inlineStr">
        <is>
          <t>Array, Sorting</t>
        </is>
      </c>
      <c r="G3543" s="1" t="inlineStr">
        <is>
          <t>Easy</t>
        </is>
      </c>
      <c r="H3543" s="1" t="n">
        <v>41297</v>
      </c>
      <c r="I3543" s="1" t="n">
        <v>54883</v>
      </c>
      <c r="J3543" s="9" t="n">
        <v>0.752</v>
      </c>
      <c r="K3543" s="1" t="inlineStr">
        <is>
          <t>Yes</t>
        </is>
      </c>
      <c r="L3543" s="1" t="inlineStr">
        <is>
          <t>No</t>
        </is>
      </c>
      <c r="M3543" s="1" t="inlineStr">
        <is>
          <t>No</t>
        </is>
      </c>
      <c r="N3543" s="1" t="inlineStr">
        <is>
          <t>Algorithms</t>
        </is>
      </c>
      <c r="O35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44" ht="15.75" customHeight="1" s="12">
      <c r="A3544" s="1" t="n">
        <v>3801</v>
      </c>
      <c r="B3544" s="3">
        <f>HYPERLINK("https://leetcode.com/problems/minimum-cost-to-merge-sorted-lists/", "Minimum Cost to Merge Sorted Lists")</f>
        <v/>
      </c>
      <c r="C3544" s="1" t="n">
        <v>33</v>
      </c>
      <c r="D3544" s="1" t="n">
        <v>3</v>
      </c>
      <c r="E3544" s="4">
        <f>IF(INDEX(C:C, ROW())+INDEX(D:D, ROW())=0, 0, INDEX(C:C, ROW())/(INDEX(C:C, ROW())+INDEX(D:D, ROW())))</f>
        <v/>
      </c>
      <c r="F3544" s="1" t="inlineStr">
        <is>
          <t>Array, Two Pointers, Binary Search, Dynamic Programming, Bit Manipulation</t>
        </is>
      </c>
      <c r="G3544" s="1" t="inlineStr">
        <is>
          <t>Hard</t>
        </is>
      </c>
      <c r="H3544" s="1" t="n">
        <v>3274</v>
      </c>
      <c r="I3544" s="1" t="n">
        <v>9942</v>
      </c>
      <c r="J3544" s="9" t="n">
        <v>0.329</v>
      </c>
      <c r="K3544" s="1" t="inlineStr">
        <is>
          <t>Yes</t>
        </is>
      </c>
      <c r="L3544" s="1" t="inlineStr">
        <is>
          <t>No</t>
        </is>
      </c>
      <c r="M3544" s="1" t="inlineStr">
        <is>
          <t>No</t>
        </is>
      </c>
      <c r="N3544" s="1" t="inlineStr">
        <is>
          <t>Algorithms</t>
        </is>
      </c>
      <c r="O35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45" ht="15.75" customHeight="1" s="12">
      <c r="A3545" s="1" t="n">
        <v>1956</v>
      </c>
      <c r="B3545" s="3">
        <f>HYPERLINK("https://leetcode.com/problems/minimum-time-for-k-virus-variants-to-spread/", "Minimum Time For K Virus Variants to Spread")</f>
        <v/>
      </c>
      <c r="C3545" s="1" t="n">
        <v>32</v>
      </c>
      <c r="D3545" s="1" t="n">
        <v>7</v>
      </c>
      <c r="E3545" s="4">
        <f>IF(INDEX(C:C, ROW())+INDEX(D:D, ROW())=0, 0, INDEX(C:C, ROW())/(INDEX(C:C, ROW())+INDEX(D:D, ROW())))</f>
        <v/>
      </c>
      <c r="F3545" s="1" t="inlineStr">
        <is>
          <t>Array, Math, Binary Search, Geometry, Enumeration</t>
        </is>
      </c>
      <c r="G3545" s="1" t="inlineStr">
        <is>
          <t>Hard</t>
        </is>
      </c>
      <c r="H3545" s="1" t="n">
        <v>1322</v>
      </c>
      <c r="I3545" s="1" t="n">
        <v>2609</v>
      </c>
      <c r="J3545" s="9" t="n">
        <v>0.507</v>
      </c>
      <c r="K3545" s="1" t="inlineStr">
        <is>
          <t>No</t>
        </is>
      </c>
      <c r="L3545" s="1" t="inlineStr">
        <is>
          <t>No</t>
        </is>
      </c>
      <c r="M3545" s="1" t="inlineStr">
        <is>
          <t>No</t>
        </is>
      </c>
      <c r="N3545" s="1" t="inlineStr">
        <is>
          <t>Algorithms</t>
        </is>
      </c>
      <c r="O35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46" ht="15.75" customHeight="1" s="12">
      <c r="A3546" s="1" t="n">
        <v>2205</v>
      </c>
      <c r="B3546" s="3">
        <f>HYPERLINK("https://leetcode.com/problems/the-number-of-users-that-are-eligible-for-discount/", "The Number of Users That Are Eligible for Discount")</f>
        <v/>
      </c>
      <c r="C3546" s="1" t="n">
        <v>32</v>
      </c>
      <c r="D3546" s="1" t="n">
        <v>77</v>
      </c>
      <c r="E3546" s="4">
        <f>IF(INDEX(C:C, ROW())+INDEX(D:D, ROW())=0, 0, INDEX(C:C, ROW())/(INDEX(C:C, ROW())+INDEX(D:D, ROW())))</f>
        <v/>
      </c>
      <c r="F3546" s="1" t="inlineStr">
        <is>
          <t>Database</t>
        </is>
      </c>
      <c r="G3546" s="1" t="inlineStr">
        <is>
          <t>Easy</t>
        </is>
      </c>
      <c r="H3546" s="1" t="n">
        <v>8248</v>
      </c>
      <c r="I3546" s="1" t="n">
        <v>16284</v>
      </c>
      <c r="J3546" s="9" t="n">
        <v>0.507</v>
      </c>
      <c r="K3546" s="1" t="inlineStr">
        <is>
          <t>No</t>
        </is>
      </c>
      <c r="L3546" s="1" t="inlineStr">
        <is>
          <t>No</t>
        </is>
      </c>
      <c r="M3546" s="1" t="inlineStr">
        <is>
          <t>No</t>
        </is>
      </c>
      <c r="N3546" s="1" t="inlineStr">
        <is>
          <t>Database</t>
        </is>
      </c>
      <c r="O35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47" ht="15.75" customHeight="1" s="12">
      <c r="A3547" s="1" t="n">
        <v>2479</v>
      </c>
      <c r="B3547" s="3">
        <f>HYPERLINK("https://leetcode.com/problems/maximum-xor-of-two-non-overlapping-subtrees/", "Maximum XOR of Two Non-Overlapping Subtrees")</f>
        <v/>
      </c>
      <c r="C3547" s="1" t="n">
        <v>32</v>
      </c>
      <c r="D3547" s="1" t="n">
        <v>5</v>
      </c>
      <c r="E3547" s="4">
        <f>IF(INDEX(C:C, ROW())+INDEX(D:D, ROW())=0, 0, INDEX(C:C, ROW())/(INDEX(C:C, ROW())+INDEX(D:D, ROW())))</f>
        <v/>
      </c>
      <c r="F3547" s="1" t="inlineStr">
        <is>
          <t>Tree, Depth-First Search, Graph Theory, Trie</t>
        </is>
      </c>
      <c r="G3547" s="1" t="inlineStr">
        <is>
          <t>Hard</t>
        </is>
      </c>
      <c r="H3547" s="1" t="n">
        <v>925</v>
      </c>
      <c r="I3547" s="1" t="n">
        <v>1795</v>
      </c>
      <c r="J3547" s="9" t="n">
        <v>0.515</v>
      </c>
      <c r="K3547" s="1" t="inlineStr">
        <is>
          <t>No</t>
        </is>
      </c>
      <c r="L3547" s="1" t="inlineStr">
        <is>
          <t>No</t>
        </is>
      </c>
      <c r="M3547" s="1" t="inlineStr">
        <is>
          <t>No</t>
        </is>
      </c>
      <c r="N3547" s="1" t="inlineStr">
        <is>
          <t>Algorithms</t>
        </is>
      </c>
      <c r="O35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48" ht="15.75" customHeight="1" s="12">
      <c r="A3548" s="1" t="n">
        <v>2504</v>
      </c>
      <c r="B3548" s="3">
        <f>HYPERLINK("https://leetcode.com/problems/concatenate-the-name-and-the-profession/", "Concatenate the Name and the Profession")</f>
        <v/>
      </c>
      <c r="C3548" s="1" t="n">
        <v>32</v>
      </c>
      <c r="D3548" s="1" t="n">
        <v>4</v>
      </c>
      <c r="E3548" s="4">
        <f>IF(INDEX(C:C, ROW())+INDEX(D:D, ROW())=0, 0, INDEX(C:C, ROW())/(INDEX(C:C, ROW())+INDEX(D:D, ROW())))</f>
        <v/>
      </c>
      <c r="F3548" s="1" t="inlineStr">
        <is>
          <t>Database</t>
        </is>
      </c>
      <c r="G3548" s="1" t="inlineStr">
        <is>
          <t>Easy</t>
        </is>
      </c>
      <c r="H3548" s="1" t="n">
        <v>6765</v>
      </c>
      <c r="I3548" s="1" t="n">
        <v>8470</v>
      </c>
      <c r="J3548" s="9" t="n">
        <v>0.799</v>
      </c>
      <c r="K3548" s="1" t="inlineStr">
        <is>
          <t>No</t>
        </is>
      </c>
      <c r="L3548" s="1" t="inlineStr">
        <is>
          <t>No</t>
        </is>
      </c>
      <c r="M3548" s="1" t="inlineStr">
        <is>
          <t>No</t>
        </is>
      </c>
      <c r="N3548" s="1" t="inlineStr">
        <is>
          <t>Database</t>
        </is>
      </c>
      <c r="O35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49" ht="15.75" customHeight="1" s="12">
      <c r="A3549" s="1" t="n">
        <v>2690</v>
      </c>
      <c r="B3549" s="3">
        <f>HYPERLINK("https://leetcode.com/problems/infinite-method-object/", "Infinite Method Object")</f>
        <v/>
      </c>
      <c r="C3549" s="1" t="n">
        <v>32</v>
      </c>
      <c r="D3549" s="1" t="n">
        <v>9</v>
      </c>
      <c r="E3549" s="4">
        <f>IF(INDEX(C:C, ROW())+INDEX(D:D, ROW())=0, 0, INDEX(C:C, ROW())/(INDEX(C:C, ROW())+INDEX(D:D, ROW())))</f>
        <v/>
      </c>
      <c r="F3549" s="2" t="n"/>
      <c r="G3549" s="1" t="inlineStr">
        <is>
          <t>Easy</t>
        </is>
      </c>
      <c r="H3549" s="1" t="n">
        <v>2030</v>
      </c>
      <c r="I3549" s="1" t="n">
        <v>2177</v>
      </c>
      <c r="J3549" s="9" t="n">
        <v>0.9320000000000001</v>
      </c>
      <c r="K3549" s="1" t="inlineStr">
        <is>
          <t>No</t>
        </is>
      </c>
      <c r="L3549" s="1" t="inlineStr">
        <is>
          <t>Yes</t>
        </is>
      </c>
      <c r="M3549" s="1" t="inlineStr">
        <is>
          <t>No</t>
        </is>
      </c>
      <c r="N3549" s="1" t="inlineStr">
        <is>
          <t>JavaScript</t>
        </is>
      </c>
      <c r="O35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50" ht="15.75" customHeight="1" s="12">
      <c r="A3550" s="1" t="n">
        <v>2964</v>
      </c>
      <c r="B3550" s="3">
        <f>HYPERLINK("https://leetcode.com/problems/number-of-divisible-triplet-sums/", "Number of Divisible Triplet Sums")</f>
        <v/>
      </c>
      <c r="C3550" s="1" t="n">
        <v>32</v>
      </c>
      <c r="D3550" s="1" t="n">
        <v>5</v>
      </c>
      <c r="E3550" s="4">
        <f>IF(INDEX(C:C, ROW())+INDEX(D:D, ROW())=0, 0, INDEX(C:C, ROW())/(INDEX(C:C, ROW())+INDEX(D:D, ROW())))</f>
        <v/>
      </c>
      <c r="F3550" s="1" t="inlineStr">
        <is>
          <t>Array, Hash Table</t>
        </is>
      </c>
      <c r="G3550" s="1" t="inlineStr">
        <is>
          <t>Medium</t>
        </is>
      </c>
      <c r="H3550" s="1" t="n">
        <v>8575</v>
      </c>
      <c r="I3550" s="1" t="n">
        <v>12679</v>
      </c>
      <c r="J3550" s="9" t="n">
        <v>0.676</v>
      </c>
      <c r="K3550" s="1" t="inlineStr">
        <is>
          <t>No</t>
        </is>
      </c>
      <c r="L3550" s="1" t="inlineStr">
        <is>
          <t>No</t>
        </is>
      </c>
      <c r="M3550" s="1" t="inlineStr">
        <is>
          <t>No</t>
        </is>
      </c>
      <c r="N3550" s="1" t="inlineStr">
        <is>
          <t>Algorithms</t>
        </is>
      </c>
      <c r="O35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51" ht="15.75" customHeight="1" s="12">
      <c r="A3551" s="1" t="n">
        <v>3062</v>
      </c>
      <c r="B3551" s="3">
        <f>HYPERLINK("https://leetcode.com/problems/winner-of-the-linked-list-game/", "Winner of the Linked List Game")</f>
        <v/>
      </c>
      <c r="C3551" s="1" t="n">
        <v>32</v>
      </c>
      <c r="D3551" s="1" t="n">
        <v>5</v>
      </c>
      <c r="E3551" s="4">
        <f>IF(INDEX(C:C, ROW())+INDEX(D:D, ROW())=0, 0, INDEX(C:C, ROW())/(INDEX(C:C, ROW())+INDEX(D:D, ROW())))</f>
        <v/>
      </c>
      <c r="F3551" s="1" t="inlineStr">
        <is>
          <t>Linked List</t>
        </is>
      </c>
      <c r="G3551" s="1" t="inlineStr">
        <is>
          <t>Easy</t>
        </is>
      </c>
      <c r="H3551" s="1" t="n">
        <v>11757</v>
      </c>
      <c r="I3551" s="1" t="n">
        <v>15118</v>
      </c>
      <c r="J3551" s="9" t="n">
        <v>0.778</v>
      </c>
      <c r="K3551" s="1" t="inlineStr">
        <is>
          <t>No</t>
        </is>
      </c>
      <c r="L3551" s="1" t="inlineStr">
        <is>
          <t>Yes</t>
        </is>
      </c>
      <c r="M3551" s="1" t="inlineStr">
        <is>
          <t>No</t>
        </is>
      </c>
      <c r="N3551" s="1" t="inlineStr">
        <is>
          <t>Algorithms</t>
        </is>
      </c>
      <c r="O35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52" ht="15.75" customHeight="1" s="12">
      <c r="A3552" s="1" t="n">
        <v>3451</v>
      </c>
      <c r="B3552" s="3">
        <f>HYPERLINK("https://leetcode.com/problems/find-invalid-ip-addresses/", "Find Invalid IP Addresses")</f>
        <v/>
      </c>
      <c r="C3552" s="1" t="n">
        <v>32</v>
      </c>
      <c r="D3552" s="1" t="n">
        <v>8</v>
      </c>
      <c r="E3552" s="4">
        <f>IF(INDEX(C:C, ROW())+INDEX(D:D, ROW())=0, 0, INDEX(C:C, ROW())/(INDEX(C:C, ROW())+INDEX(D:D, ROW())))</f>
        <v/>
      </c>
      <c r="F3552" s="1" t="inlineStr">
        <is>
          <t>Database</t>
        </is>
      </c>
      <c r="G3552" s="1" t="inlineStr">
        <is>
          <t>Hard</t>
        </is>
      </c>
      <c r="H3552" s="1" t="n">
        <v>9322</v>
      </c>
      <c r="I3552" s="1" t="n">
        <v>17770</v>
      </c>
      <c r="J3552" s="9" t="n">
        <v>0.525</v>
      </c>
      <c r="K3552" s="1" t="inlineStr">
        <is>
          <t>Yes</t>
        </is>
      </c>
      <c r="L3552" s="1" t="inlineStr">
        <is>
          <t>No</t>
        </is>
      </c>
      <c r="M3552" s="1" t="inlineStr">
        <is>
          <t>No</t>
        </is>
      </c>
      <c r="N3552" s="1" t="inlineStr">
        <is>
          <t>Database</t>
        </is>
      </c>
      <c r="O35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53" ht="15.75" customHeight="1" s="12">
      <c r="A3553" s="1" t="n">
        <v>3601</v>
      </c>
      <c r="B3553" s="3">
        <f>HYPERLINK("https://leetcode.com/problems/find-drivers-with-improved-fuel-efficiency/", "Find Drivers with Improved Fuel Efficiency")</f>
        <v/>
      </c>
      <c r="C3553" s="1" t="n">
        <v>32</v>
      </c>
      <c r="D3553" s="1" t="n">
        <v>5</v>
      </c>
      <c r="E3553" s="4">
        <f>IF(INDEX(C:C, ROW())+INDEX(D:D, ROW())=0, 0, INDEX(C:C, ROW())/(INDEX(C:C, ROW())+INDEX(D:D, ROW())))</f>
        <v/>
      </c>
      <c r="F3553" s="1" t="inlineStr">
        <is>
          <t>Database</t>
        </is>
      </c>
      <c r="G3553" s="1" t="inlineStr">
        <is>
          <t>Medium</t>
        </is>
      </c>
      <c r="H3553" s="1" t="n">
        <v>7157</v>
      </c>
      <c r="I3553" s="1" t="n">
        <v>15098</v>
      </c>
      <c r="J3553" s="9" t="n">
        <v>0.474</v>
      </c>
      <c r="K3553" s="1" t="inlineStr">
        <is>
          <t>Yes</t>
        </is>
      </c>
      <c r="L3553" s="1" t="inlineStr">
        <is>
          <t>No</t>
        </is>
      </c>
      <c r="M3553" s="1" t="inlineStr">
        <is>
          <t>No</t>
        </is>
      </c>
      <c r="N3553" s="1" t="inlineStr">
        <is>
          <t>Database</t>
        </is>
      </c>
      <c r="O35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54" ht="15.75" customHeight="1" s="12">
      <c r="A3554" s="1" t="n">
        <v>3611</v>
      </c>
      <c r="B3554" s="3">
        <f>HYPERLINK("https://leetcode.com/problems/find-overbooked-employees/", "Find Overbooked Employees")</f>
        <v/>
      </c>
      <c r="C3554" s="1" t="n">
        <v>32</v>
      </c>
      <c r="D3554" s="1" t="n">
        <v>10</v>
      </c>
      <c r="E3554" s="4">
        <f>IF(INDEX(C:C, ROW())+INDEX(D:D, ROW())=0, 0, INDEX(C:C, ROW())/(INDEX(C:C, ROW())+INDEX(D:D, ROW())))</f>
        <v/>
      </c>
      <c r="F3554" s="1" t="inlineStr">
        <is>
          <t>Database</t>
        </is>
      </c>
      <c r="G3554" s="1" t="inlineStr">
        <is>
          <t>Medium</t>
        </is>
      </c>
      <c r="H3554" s="1" t="n">
        <v>7211</v>
      </c>
      <c r="I3554" s="1" t="n">
        <v>16023</v>
      </c>
      <c r="J3554" s="9" t="n">
        <v>0.45</v>
      </c>
      <c r="K3554" s="1" t="inlineStr">
        <is>
          <t>Yes</t>
        </is>
      </c>
      <c r="L3554" s="1" t="inlineStr">
        <is>
          <t>No</t>
        </is>
      </c>
      <c r="M3554" s="1" t="inlineStr">
        <is>
          <t>No</t>
        </is>
      </c>
      <c r="N3554" s="1" t="inlineStr">
        <is>
          <t>Database</t>
        </is>
      </c>
      <c r="O35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55" ht="15.75" customHeight="1" s="12">
      <c r="A3555" s="1" t="n">
        <v>3688</v>
      </c>
      <c r="B3555" s="3">
        <f>HYPERLINK("https://leetcode.com/problems/bitwise-or-of-even-numbers-in-an-array/", "Bitwise OR of Even Numbers in an Array")</f>
        <v/>
      </c>
      <c r="C3555" s="1" t="n">
        <v>32</v>
      </c>
      <c r="D3555" s="1" t="n">
        <v>4</v>
      </c>
      <c r="E3555" s="4">
        <f>IF(INDEX(C:C, ROW())+INDEX(D:D, ROW())=0, 0, INDEX(C:C, ROW())/(INDEX(C:C, ROW())+INDEX(D:D, ROW())))</f>
        <v/>
      </c>
      <c r="F3555" s="1" t="inlineStr">
        <is>
          <t>Array, Bit Manipulation, Simulation</t>
        </is>
      </c>
      <c r="G3555" s="1" t="inlineStr">
        <is>
          <t>Easy</t>
        </is>
      </c>
      <c r="H3555" s="1" t="n">
        <v>63701</v>
      </c>
      <c r="I3555" s="1" t="n">
        <v>76186</v>
      </c>
      <c r="J3555" s="9" t="n">
        <v>0.836</v>
      </c>
      <c r="K3555" s="1" t="inlineStr">
        <is>
          <t>Yes</t>
        </is>
      </c>
      <c r="L3555" s="1" t="inlineStr">
        <is>
          <t>No</t>
        </is>
      </c>
      <c r="M3555" s="1" t="inlineStr">
        <is>
          <t>No</t>
        </is>
      </c>
      <c r="N3555" s="1" t="inlineStr">
        <is>
          <t>Algorithms</t>
        </is>
      </c>
      <c r="O35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56" ht="15.75" customHeight="1" s="12">
      <c r="A3556" s="1" t="n">
        <v>1999</v>
      </c>
      <c r="B3556" s="3">
        <f>HYPERLINK("https://leetcode.com/problems/smallest-greater-multiple-made-of-two-digits/", "Smallest Greater Multiple Made of Two Digits")</f>
        <v/>
      </c>
      <c r="C3556" s="1" t="n">
        <v>31</v>
      </c>
      <c r="D3556" s="1" t="n">
        <v>11</v>
      </c>
      <c r="E3556" s="4">
        <f>IF(INDEX(C:C, ROW())+INDEX(D:D, ROW())=0, 0, INDEX(C:C, ROW())/(INDEX(C:C, ROW())+INDEX(D:D, ROW())))</f>
        <v/>
      </c>
      <c r="F3556" s="1" t="inlineStr">
        <is>
          <t>Math, Enumeration</t>
        </is>
      </c>
      <c r="G3556" s="1" t="inlineStr">
        <is>
          <t>Medium</t>
        </is>
      </c>
      <c r="H3556" s="1" t="n">
        <v>2583</v>
      </c>
      <c r="I3556" s="1" t="n">
        <v>5341</v>
      </c>
      <c r="J3556" s="9" t="n">
        <v>0.484</v>
      </c>
      <c r="K3556" s="1" t="inlineStr">
        <is>
          <t>No</t>
        </is>
      </c>
      <c r="L3556" s="1" t="inlineStr">
        <is>
          <t>No</t>
        </is>
      </c>
      <c r="M3556" s="1" t="inlineStr">
        <is>
          <t>No</t>
        </is>
      </c>
      <c r="N3556" s="1" t="inlineStr">
        <is>
          <t>Algorithms</t>
        </is>
      </c>
      <c r="O35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57" ht="15.75" customHeight="1" s="12">
      <c r="A3557" s="1" t="n">
        <v>2346</v>
      </c>
      <c r="B3557" s="3">
        <f>HYPERLINK("https://leetcode.com/problems/compute-the-rank-as-a-percentage/", "Compute the Rank as a Percentage")</f>
        <v/>
      </c>
      <c r="C3557" s="1" t="n">
        <v>31</v>
      </c>
      <c r="D3557" s="1" t="n">
        <v>79</v>
      </c>
      <c r="E3557" s="4">
        <f>IF(INDEX(C:C, ROW())+INDEX(D:D, ROW())=0, 0, INDEX(C:C, ROW())/(INDEX(C:C, ROW())+INDEX(D:D, ROW())))</f>
        <v/>
      </c>
      <c r="F3557" s="1" t="inlineStr">
        <is>
          <t>Database</t>
        </is>
      </c>
      <c r="G3557" s="1" t="inlineStr">
        <is>
          <t>Medium</t>
        </is>
      </c>
      <c r="H3557" s="1" t="n">
        <v>7193</v>
      </c>
      <c r="I3557" s="1" t="n">
        <v>21217</v>
      </c>
      <c r="J3557" s="9" t="n">
        <v>0.339</v>
      </c>
      <c r="K3557" s="1" t="inlineStr">
        <is>
          <t>No</t>
        </is>
      </c>
      <c r="L3557" s="1" t="inlineStr">
        <is>
          <t>No</t>
        </is>
      </c>
      <c r="M3557" s="1" t="inlineStr">
        <is>
          <t>No</t>
        </is>
      </c>
      <c r="N3557" s="1" t="inlineStr">
        <is>
          <t>Database</t>
        </is>
      </c>
      <c r="O35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58" ht="15.75" customHeight="1" s="12">
      <c r="A3558" s="1" t="n">
        <v>2394</v>
      </c>
      <c r="B3558" s="3">
        <f>HYPERLINK("https://leetcode.com/problems/employees-with-deductions/", "Employees With Deductions")</f>
        <v/>
      </c>
      <c r="C3558" s="1" t="n">
        <v>31</v>
      </c>
      <c r="D3558" s="1" t="n">
        <v>39</v>
      </c>
      <c r="E3558" s="4">
        <f>IF(INDEX(C:C, ROW())+INDEX(D:D, ROW())=0, 0, INDEX(C:C, ROW())/(INDEX(C:C, ROW())+INDEX(D:D, ROW())))</f>
        <v/>
      </c>
      <c r="F3558" s="1" t="inlineStr">
        <is>
          <t>Database</t>
        </is>
      </c>
      <c r="G3558" s="1" t="inlineStr">
        <is>
          <t>Medium</t>
        </is>
      </c>
      <c r="H3558" s="1" t="n">
        <v>7079</v>
      </c>
      <c r="I3558" s="1" t="n">
        <v>16755</v>
      </c>
      <c r="J3558" s="9" t="n">
        <v>0.423</v>
      </c>
      <c r="K3558" s="1" t="inlineStr">
        <is>
          <t>No</t>
        </is>
      </c>
      <c r="L3558" s="1" t="inlineStr">
        <is>
          <t>No</t>
        </is>
      </c>
      <c r="M3558" s="1" t="inlineStr">
        <is>
          <t>No</t>
        </is>
      </c>
      <c r="N3558" s="1" t="inlineStr">
        <is>
          <t>Database</t>
        </is>
      </c>
      <c r="O35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59" ht="15.75" customHeight="1" s="12">
      <c r="A3559" s="1" t="n">
        <v>2480</v>
      </c>
      <c r="B3559" s="3">
        <f>HYPERLINK("https://leetcode.com/problems/form-a-chemical-bond/", "Form a Chemical Bond")</f>
        <v/>
      </c>
      <c r="C3559" s="1" t="n">
        <v>31</v>
      </c>
      <c r="D3559" s="1" t="n">
        <v>11</v>
      </c>
      <c r="E3559" s="4">
        <f>IF(INDEX(C:C, ROW())+INDEX(D:D, ROW())=0, 0, INDEX(C:C, ROW())/(INDEX(C:C, ROW())+INDEX(D:D, ROW())))</f>
        <v/>
      </c>
      <c r="F3559" s="1" t="inlineStr">
        <is>
          <t>Database</t>
        </is>
      </c>
      <c r="G3559" s="1" t="inlineStr">
        <is>
          <t>Easy</t>
        </is>
      </c>
      <c r="H3559" s="1" t="n">
        <v>7070</v>
      </c>
      <c r="I3559" s="1" t="n">
        <v>8863</v>
      </c>
      <c r="J3559" s="9" t="n">
        <v>0.798</v>
      </c>
      <c r="K3559" s="1" t="inlineStr">
        <is>
          <t>No</t>
        </is>
      </c>
      <c r="L3559" s="1" t="inlineStr">
        <is>
          <t>No</t>
        </is>
      </c>
      <c r="M3559" s="1" t="inlineStr">
        <is>
          <t>No</t>
        </is>
      </c>
      <c r="N3559" s="1" t="inlineStr">
        <is>
          <t>Database</t>
        </is>
      </c>
      <c r="O35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60" ht="15.75" customHeight="1" s="12">
      <c r="A3560" s="1" t="n">
        <v>2950</v>
      </c>
      <c r="B3560" s="3">
        <f>HYPERLINK("https://leetcode.com/problems/number-of-divisible-substrings/", "Number of Divisible Substrings")</f>
        <v/>
      </c>
      <c r="C3560" s="1" t="n">
        <v>31</v>
      </c>
      <c r="D3560" s="1" t="n">
        <v>6</v>
      </c>
      <c r="E3560" s="4">
        <f>IF(INDEX(C:C, ROW())+INDEX(D:D, ROW())=0, 0, INDEX(C:C, ROW())/(INDEX(C:C, ROW())+INDEX(D:D, ROW())))</f>
        <v/>
      </c>
      <c r="F3560" s="1" t="inlineStr">
        <is>
          <t>Hash Table, String, Counting, Prefix Sum</t>
        </is>
      </c>
      <c r="G3560" s="1" t="inlineStr">
        <is>
          <t>Medium</t>
        </is>
      </c>
      <c r="H3560" s="1" t="n">
        <v>3445</v>
      </c>
      <c r="I3560" s="1" t="n">
        <v>4658</v>
      </c>
      <c r="J3560" s="9" t="n">
        <v>0.74</v>
      </c>
      <c r="K3560" s="1" t="inlineStr">
        <is>
          <t>No</t>
        </is>
      </c>
      <c r="L3560" s="1" t="inlineStr">
        <is>
          <t>No</t>
        </is>
      </c>
      <c r="M3560" s="1" t="inlineStr">
        <is>
          <t>No</t>
        </is>
      </c>
      <c r="N3560" s="1" t="inlineStr">
        <is>
          <t>Algorithms</t>
        </is>
      </c>
      <c r="O35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61" ht="15.75" customHeight="1" s="12">
      <c r="A3561" s="1" t="n">
        <v>3474</v>
      </c>
      <c r="B3561" s="3">
        <f>HYPERLINK("https://leetcode.com/problems/lexicographically-smallest-generated-string/", "Lexicographically Smallest Generated String")</f>
        <v/>
      </c>
      <c r="C3561" s="1" t="n">
        <v>31</v>
      </c>
      <c r="D3561" s="1" t="n">
        <v>8</v>
      </c>
      <c r="E3561" s="4">
        <f>IF(INDEX(C:C, ROW())+INDEX(D:D, ROW())=0, 0, INDEX(C:C, ROW())/(INDEX(C:C, ROW())+INDEX(D:D, ROW())))</f>
        <v/>
      </c>
      <c r="F3561" s="1" t="inlineStr">
        <is>
          <t>String, Greedy, String Matching</t>
        </is>
      </c>
      <c r="G3561" s="1" t="inlineStr">
        <is>
          <t>Hard</t>
        </is>
      </c>
      <c r="H3561" s="1" t="n">
        <v>5422</v>
      </c>
      <c r="I3561" s="1" t="n">
        <v>17282</v>
      </c>
      <c r="J3561" s="9" t="n">
        <v>0.314</v>
      </c>
      <c r="K3561" s="1" t="inlineStr">
        <is>
          <t>Yes</t>
        </is>
      </c>
      <c r="L3561" s="1" t="inlineStr">
        <is>
          <t>No</t>
        </is>
      </c>
      <c r="M3561" s="1" t="inlineStr">
        <is>
          <t>No</t>
        </is>
      </c>
      <c r="N3561" s="1" t="inlineStr">
        <is>
          <t>Algorithms</t>
        </is>
      </c>
      <c r="O35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62" ht="15.75" customHeight="1" s="12">
      <c r="A3562" s="1" t="n">
        <v>3486</v>
      </c>
      <c r="B3562" s="3">
        <f>HYPERLINK("https://leetcode.com/problems/longest-special-path-ii/", "Longest Special Path II")</f>
        <v/>
      </c>
      <c r="C3562" s="1" t="n">
        <v>31</v>
      </c>
      <c r="D3562" s="1" t="n">
        <v>6</v>
      </c>
      <c r="E3562" s="4">
        <f>IF(INDEX(C:C, ROW())+INDEX(D:D, ROW())=0, 0, INDEX(C:C, ROW())/(INDEX(C:C, ROW())+INDEX(D:D, ROW())))</f>
        <v/>
      </c>
      <c r="F3562" s="1" t="inlineStr">
        <is>
          <t>Array, Hash Table, Tree, Depth-First Search, Prefix Sum</t>
        </is>
      </c>
      <c r="G3562" s="1" t="inlineStr">
        <is>
          <t>Hard</t>
        </is>
      </c>
      <c r="H3562" s="1" t="n">
        <v>2338</v>
      </c>
      <c r="I3562" s="1" t="n">
        <v>12961</v>
      </c>
      <c r="J3562" s="9" t="n">
        <v>0.18</v>
      </c>
      <c r="K3562" s="1" t="inlineStr">
        <is>
          <t>Yes</t>
        </is>
      </c>
      <c r="L3562" s="1" t="inlineStr">
        <is>
          <t>No</t>
        </is>
      </c>
      <c r="M3562" s="1" t="inlineStr">
        <is>
          <t>No</t>
        </is>
      </c>
      <c r="N3562" s="1" t="inlineStr">
        <is>
          <t>Algorithms</t>
        </is>
      </c>
      <c r="O35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63" ht="15.75" customHeight="1" s="12">
      <c r="A3563" s="1" t="n">
        <v>3754</v>
      </c>
      <c r="B3563" s="3">
        <f>HYPERLINK("https://leetcode.com/problems/concatenate-non-zero-digits-and-multiply-by-sum-i/", "Concatenate Non-Zero Digits and Multiply by Sum I")</f>
        <v/>
      </c>
      <c r="C3563" s="1" t="n">
        <v>31</v>
      </c>
      <c r="D3563" s="1" t="n">
        <v>0</v>
      </c>
      <c r="E3563" s="4">
        <f>IF(INDEX(C:C, ROW())+INDEX(D:D, ROW())=0, 0, INDEX(C:C, ROW())/(INDEX(C:C, ROW())+INDEX(D:D, ROW())))</f>
        <v/>
      </c>
      <c r="F3563" s="1" t="inlineStr">
        <is>
          <t>Math</t>
        </is>
      </c>
      <c r="G3563" s="1" t="inlineStr">
        <is>
          <t>Easy</t>
        </is>
      </c>
      <c r="H3563" s="1" t="n">
        <v>36937</v>
      </c>
      <c r="I3563" s="1" t="n">
        <v>66497</v>
      </c>
      <c r="J3563" s="9" t="n">
        <v>0.555</v>
      </c>
      <c r="K3563" s="1" t="inlineStr">
        <is>
          <t>Yes</t>
        </is>
      </c>
      <c r="L3563" s="1" t="inlineStr">
        <is>
          <t>No</t>
        </is>
      </c>
      <c r="M3563" s="1" t="inlineStr">
        <is>
          <t>No</t>
        </is>
      </c>
      <c r="N3563" s="1" t="inlineStr">
        <is>
          <t>Algorithms</t>
        </is>
      </c>
      <c r="O35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64" ht="15.75" customHeight="1" s="12">
      <c r="A3564" s="1" t="n">
        <v>3525</v>
      </c>
      <c r="B3564" s="3">
        <f>HYPERLINK("https://leetcode.com/problems/find-x-value-of-array-ii/", "Find X Value of Array II")</f>
        <v/>
      </c>
      <c r="C3564" s="1" t="n">
        <v>30</v>
      </c>
      <c r="D3564" s="1" t="n">
        <v>8</v>
      </c>
      <c r="E3564" s="4">
        <f>IF(INDEX(C:C, ROW())+INDEX(D:D, ROW())=0, 0, INDEX(C:C, ROW())/(INDEX(C:C, ROW())+INDEX(D:D, ROW())))</f>
        <v/>
      </c>
      <c r="F3564" s="1" t="inlineStr">
        <is>
          <t>Array, Math, Segment Tree</t>
        </is>
      </c>
      <c r="G3564" s="1" t="inlineStr">
        <is>
          <t>Hard</t>
        </is>
      </c>
      <c r="H3564" s="1" t="n">
        <v>3345</v>
      </c>
      <c r="I3564" s="1" t="n">
        <v>11100</v>
      </c>
      <c r="J3564" s="9" t="n">
        <v>0.301</v>
      </c>
      <c r="K3564" s="1" t="inlineStr">
        <is>
          <t>Yes</t>
        </is>
      </c>
      <c r="L3564" s="1" t="inlineStr">
        <is>
          <t>No</t>
        </is>
      </c>
      <c r="M3564" s="1" t="inlineStr">
        <is>
          <t>No</t>
        </is>
      </c>
      <c r="N3564" s="1" t="inlineStr">
        <is>
          <t>Algorithms</t>
        </is>
      </c>
      <c r="O35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65" ht="15.75" customHeight="1" s="12">
      <c r="A3565" s="1" t="n">
        <v>3554</v>
      </c>
      <c r="B3565" s="3">
        <f>HYPERLINK("https://leetcode.com/problems/find-category-recommendation-pairs/", "Find Category Recommendation Pairs")</f>
        <v/>
      </c>
      <c r="C3565" s="1" t="n">
        <v>30</v>
      </c>
      <c r="D3565" s="1" t="n">
        <v>5</v>
      </c>
      <c r="E3565" s="4">
        <f>IF(INDEX(C:C, ROW())+INDEX(D:D, ROW())=0, 0, INDEX(C:C, ROW())/(INDEX(C:C, ROW())+INDEX(D:D, ROW())))</f>
        <v/>
      </c>
      <c r="F3565" s="1" t="inlineStr">
        <is>
          <t>Database</t>
        </is>
      </c>
      <c r="G3565" s="1" t="inlineStr">
        <is>
          <t>Hard</t>
        </is>
      </c>
      <c r="H3565" s="1" t="n">
        <v>7472</v>
      </c>
      <c r="I3565" s="1" t="n">
        <v>11705</v>
      </c>
      <c r="J3565" s="9" t="n">
        <v>0.638</v>
      </c>
      <c r="K3565" s="1" t="inlineStr">
        <is>
          <t>Yes</t>
        </is>
      </c>
      <c r="L3565" s="1" t="inlineStr">
        <is>
          <t>No</t>
        </is>
      </c>
      <c r="M3565" s="1" t="inlineStr">
        <is>
          <t>No</t>
        </is>
      </c>
      <c r="N3565" s="1" t="inlineStr">
        <is>
          <t>Database</t>
        </is>
      </c>
      <c r="O35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66" ht="15.75" customHeight="1" s="12">
      <c r="A3566" s="1" t="n">
        <v>3653</v>
      </c>
      <c r="B3566" s="3">
        <f>HYPERLINK("https://leetcode.com/problems/xor-after-range-multiplication-queries-i/", "XOR After Range Multiplication Queries I")</f>
        <v/>
      </c>
      <c r="C3566" s="1" t="n">
        <v>30</v>
      </c>
      <c r="D3566" s="1" t="n">
        <v>13</v>
      </c>
      <c r="E3566" s="4">
        <f>IF(INDEX(C:C, ROW())+INDEX(D:D, ROW())=0, 0, INDEX(C:C, ROW())/(INDEX(C:C, ROW())+INDEX(D:D, ROW())))</f>
        <v/>
      </c>
      <c r="F3566" s="1" t="inlineStr">
        <is>
          <t>Array, Divide and Conquer, Simulation</t>
        </is>
      </c>
      <c r="G3566" s="1" t="inlineStr">
        <is>
          <t>Medium</t>
        </is>
      </c>
      <c r="H3566" s="1" t="n">
        <v>42647</v>
      </c>
      <c r="I3566" s="1" t="n">
        <v>58677</v>
      </c>
      <c r="J3566" s="9" t="n">
        <v>0.727</v>
      </c>
      <c r="K3566" s="1" t="inlineStr">
        <is>
          <t>Yes</t>
        </is>
      </c>
      <c r="L3566" s="1" t="inlineStr">
        <is>
          <t>No</t>
        </is>
      </c>
      <c r="M3566" s="1" t="inlineStr">
        <is>
          <t>No</t>
        </is>
      </c>
      <c r="N3566" s="1" t="inlineStr">
        <is>
          <t>Algorithms</t>
        </is>
      </c>
      <c r="O35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67" ht="15.75" customHeight="1" s="12">
      <c r="A3567" s="1" t="n">
        <v>3797</v>
      </c>
      <c r="B3567" s="3">
        <f>HYPERLINK("https://leetcode.com/problems/count-routes-to-climb-a-rectangular-grid/", "Count Routes to Climb a Rectangular Grid")</f>
        <v/>
      </c>
      <c r="C3567" s="1" t="n">
        <v>30</v>
      </c>
      <c r="D3567" s="1" t="n">
        <v>1</v>
      </c>
      <c r="E3567" s="4">
        <f>IF(INDEX(C:C, ROW())+INDEX(D:D, ROW())=0, 0, INDEX(C:C, ROW())/(INDEX(C:C, ROW())+INDEX(D:D, ROW())))</f>
        <v/>
      </c>
      <c r="F3567" s="1" t="inlineStr">
        <is>
          <t>Array, Dynamic Programming, Matrix, Prefix Sum</t>
        </is>
      </c>
      <c r="G3567" s="1" t="inlineStr">
        <is>
          <t>Hard</t>
        </is>
      </c>
      <c r="H3567" s="1" t="n">
        <v>3038</v>
      </c>
      <c r="I3567" s="1" t="n">
        <v>13419</v>
      </c>
      <c r="J3567" s="9" t="n">
        <v>0.226</v>
      </c>
      <c r="K3567" s="1" t="inlineStr">
        <is>
          <t>Yes</t>
        </is>
      </c>
      <c r="L3567" s="1" t="inlineStr">
        <is>
          <t>No</t>
        </is>
      </c>
      <c r="M3567" s="1" t="inlineStr">
        <is>
          <t>No</t>
        </is>
      </c>
      <c r="N3567" s="1" t="inlineStr">
        <is>
          <t>Algorithms</t>
        </is>
      </c>
      <c r="O35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68" ht="15.75" customHeight="1" s="12">
      <c r="A3568" s="1" t="n">
        <v>2020</v>
      </c>
      <c r="B3568" s="3">
        <f>HYPERLINK("https://leetcode.com/problems/number-of-accounts-that-did-not-stream/", "Number of Accounts That Did Not Stream")</f>
        <v/>
      </c>
      <c r="C3568" s="1" t="n">
        <v>29</v>
      </c>
      <c r="D3568" s="1" t="n">
        <v>230</v>
      </c>
      <c r="E3568" s="4">
        <f>IF(INDEX(C:C, ROW())+INDEX(D:D, ROW())=0, 0, INDEX(C:C, ROW())/(INDEX(C:C, ROW())+INDEX(D:D, ROW())))</f>
        <v/>
      </c>
      <c r="F3568" s="1" t="inlineStr">
        <is>
          <t>Database</t>
        </is>
      </c>
      <c r="G3568" s="1" t="inlineStr">
        <is>
          <t>Medium</t>
        </is>
      </c>
      <c r="H3568" s="1" t="n">
        <v>13625</v>
      </c>
      <c r="I3568" s="1" t="n">
        <v>18905</v>
      </c>
      <c r="J3568" s="9" t="n">
        <v>0.721</v>
      </c>
      <c r="K3568" s="1" t="inlineStr">
        <is>
          <t>No</t>
        </is>
      </c>
      <c r="L3568" s="1" t="inlineStr">
        <is>
          <t>No</t>
        </is>
      </c>
      <c r="M3568" s="1" t="inlineStr">
        <is>
          <t>No</t>
        </is>
      </c>
      <c r="N3568" s="1" t="inlineStr">
        <is>
          <t>Database</t>
        </is>
      </c>
      <c r="O35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69" ht="15.75" customHeight="1" s="12">
      <c r="A3569" s="1" t="n">
        <v>2417</v>
      </c>
      <c r="B3569" s="3">
        <f>HYPERLINK("https://leetcode.com/problems/closest-fair-integer/", "Closest Fair Integer")</f>
        <v/>
      </c>
      <c r="C3569" s="1" t="n">
        <v>29</v>
      </c>
      <c r="D3569" s="1" t="n">
        <v>13</v>
      </c>
      <c r="E3569" s="4">
        <f>IF(INDEX(C:C, ROW())+INDEX(D:D, ROW())=0, 0, INDEX(C:C, ROW())/(INDEX(C:C, ROW())+INDEX(D:D, ROW())))</f>
        <v/>
      </c>
      <c r="F3569" s="1" t="inlineStr">
        <is>
          <t>Math, Enumeration</t>
        </is>
      </c>
      <c r="G3569" s="1" t="inlineStr">
        <is>
          <t>Medium</t>
        </is>
      </c>
      <c r="H3569" s="1" t="n">
        <v>1397</v>
      </c>
      <c r="I3569" s="1" t="n">
        <v>3124</v>
      </c>
      <c r="J3569" s="9" t="n">
        <v>0.447</v>
      </c>
      <c r="K3569" s="1" t="inlineStr">
        <is>
          <t>No</t>
        </is>
      </c>
      <c r="L3569" s="1" t="inlineStr">
        <is>
          <t>No</t>
        </is>
      </c>
      <c r="M3569" s="1" t="inlineStr">
        <is>
          <t>No</t>
        </is>
      </c>
      <c r="N3569" s="1" t="inlineStr">
        <is>
          <t>Algorithms</t>
        </is>
      </c>
      <c r="O35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70" ht="15.75" customHeight="1" s="12">
      <c r="A3570" s="1" t="n">
        <v>2892</v>
      </c>
      <c r="B3570" s="3">
        <f>HYPERLINK("https://leetcode.com/problems/minimizing-array-after-replacing-pairs-with-their-product/", "Minimizing Array After Replacing Pairs With Their Product")</f>
        <v/>
      </c>
      <c r="C3570" s="1" t="n">
        <v>29</v>
      </c>
      <c r="D3570" s="1" t="n">
        <v>1</v>
      </c>
      <c r="E3570" s="4">
        <f>IF(INDEX(C:C, ROW())+INDEX(D:D, ROW())=0, 0, INDEX(C:C, ROW())/(INDEX(C:C, ROW())+INDEX(D:D, ROW())))</f>
        <v/>
      </c>
      <c r="F3570" s="1" t="inlineStr">
        <is>
          <t>Array, Dynamic Programming, Greedy</t>
        </is>
      </c>
      <c r="G3570" s="1" t="inlineStr">
        <is>
          <t>Medium</t>
        </is>
      </c>
      <c r="H3570" s="1" t="n">
        <v>1711</v>
      </c>
      <c r="I3570" s="1" t="n">
        <v>4213</v>
      </c>
      <c r="J3570" s="9" t="n">
        <v>0.406</v>
      </c>
      <c r="K3570" s="1" t="inlineStr">
        <is>
          <t>No</t>
        </is>
      </c>
      <c r="L3570" s="1" t="inlineStr">
        <is>
          <t>No</t>
        </is>
      </c>
      <c r="M3570" s="1" t="inlineStr">
        <is>
          <t>No</t>
        </is>
      </c>
      <c r="N3570" s="1" t="inlineStr">
        <is>
          <t>Algorithms</t>
        </is>
      </c>
      <c r="O35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71" ht="15.75" customHeight="1" s="12">
      <c r="A3571" s="1" t="n">
        <v>3009</v>
      </c>
      <c r="B3571" s="3">
        <f>HYPERLINK("https://leetcode.com/problems/maximum-number-of-intersections-on-the-chart/", "Maximum Number of Intersections on the Chart")</f>
        <v/>
      </c>
      <c r="C3571" s="1" t="n">
        <v>29</v>
      </c>
      <c r="D3571" s="1" t="n">
        <v>4</v>
      </c>
      <c r="E3571" s="4">
        <f>IF(INDEX(C:C, ROW())+INDEX(D:D, ROW())=0, 0, INDEX(C:C, ROW())/(INDEX(C:C, ROW())+INDEX(D:D, ROW())))</f>
        <v/>
      </c>
      <c r="F3571" s="1" t="inlineStr">
        <is>
          <t>Array, Hash Table, Math, Binary Indexed Tree, Geometry, Sweep Line, Sorting</t>
        </is>
      </c>
      <c r="G3571" s="1" t="inlineStr">
        <is>
          <t>Hard</t>
        </is>
      </c>
      <c r="H3571" s="1" t="n">
        <v>4327</v>
      </c>
      <c r="I3571" s="1" t="n">
        <v>9606</v>
      </c>
      <c r="J3571" s="9" t="n">
        <v>0.45</v>
      </c>
      <c r="K3571" s="1" t="inlineStr">
        <is>
          <t>No</t>
        </is>
      </c>
      <c r="L3571" s="1" t="inlineStr">
        <is>
          <t>No</t>
        </is>
      </c>
      <c r="M3571" s="1" t="inlineStr">
        <is>
          <t>No</t>
        </is>
      </c>
      <c r="N3571" s="1" t="inlineStr">
        <is>
          <t>Algorithms</t>
        </is>
      </c>
      <c r="O35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72" ht="15.75" customHeight="1" s="12">
      <c r="A3572" s="1" t="n">
        <v>3617</v>
      </c>
      <c r="B3572" s="3">
        <f>HYPERLINK("https://leetcode.com/problems/find-students-with-study-spiral-pattern/", "Find Students with Study Spiral Pattern")</f>
        <v/>
      </c>
      <c r="C3572" s="1" t="n">
        <v>29</v>
      </c>
      <c r="D3572" s="1" t="n">
        <v>10</v>
      </c>
      <c r="E3572" s="4">
        <f>IF(INDEX(C:C, ROW())+INDEX(D:D, ROW())=0, 0, INDEX(C:C, ROW())/(INDEX(C:C, ROW())+INDEX(D:D, ROW())))</f>
        <v/>
      </c>
      <c r="F3572" s="2" t="n"/>
      <c r="G3572" s="1" t="inlineStr">
        <is>
          <t>Hard</t>
        </is>
      </c>
      <c r="H3572" s="1" t="n">
        <v>2284</v>
      </c>
      <c r="I3572" s="1" t="n">
        <v>8302</v>
      </c>
      <c r="J3572" s="9" t="n">
        <v>0.275</v>
      </c>
      <c r="K3572" s="1" t="inlineStr">
        <is>
          <t>Yes</t>
        </is>
      </c>
      <c r="L3572" s="1" t="inlineStr">
        <is>
          <t>No</t>
        </is>
      </c>
      <c r="M3572" s="1" t="inlineStr">
        <is>
          <t>No</t>
        </is>
      </c>
      <c r="N3572" s="1" t="inlineStr">
        <is>
          <t>Database</t>
        </is>
      </c>
      <c r="O35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73" ht="15.75" customHeight="1" s="12">
      <c r="A3573" s="1" t="n">
        <v>2198</v>
      </c>
      <c r="B3573" s="3">
        <f>HYPERLINK("https://leetcode.com/problems/number-of-single-divisor-triplets/", "Number of Single Divisor Triplets")</f>
        <v/>
      </c>
      <c r="C3573" s="1" t="n">
        <v>28</v>
      </c>
      <c r="D3573" s="1" t="n">
        <v>12</v>
      </c>
      <c r="E3573" s="4">
        <f>IF(INDEX(C:C, ROW())+INDEX(D:D, ROW())=0, 0, INDEX(C:C, ROW())/(INDEX(C:C, ROW())+INDEX(D:D, ROW())))</f>
        <v/>
      </c>
      <c r="F3573" s="1" t="inlineStr">
        <is>
          <t>Math</t>
        </is>
      </c>
      <c r="G3573" s="1" t="inlineStr">
        <is>
          <t>Medium</t>
        </is>
      </c>
      <c r="H3573" s="1" t="n">
        <v>1531</v>
      </c>
      <c r="I3573" s="1" t="n">
        <v>2799</v>
      </c>
      <c r="J3573" s="9" t="n">
        <v>0.547</v>
      </c>
      <c r="K3573" s="1" t="inlineStr">
        <is>
          <t>No</t>
        </is>
      </c>
      <c r="L3573" s="1" t="inlineStr">
        <is>
          <t>No</t>
        </is>
      </c>
      <c r="M3573" s="1" t="inlineStr">
        <is>
          <t>No</t>
        </is>
      </c>
      <c r="N3573" s="1" t="inlineStr">
        <is>
          <t>Algorithms</t>
        </is>
      </c>
      <c r="O35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74" ht="15.75" customHeight="1" s="12">
      <c r="A3574" s="1" t="n">
        <v>2854</v>
      </c>
      <c r="B3574" s="3">
        <f>HYPERLINK("https://leetcode.com/problems/rolling-average-steps/", "Rolling Average Steps")</f>
        <v/>
      </c>
      <c r="C3574" s="1" t="n">
        <v>28</v>
      </c>
      <c r="D3574" s="1" t="n">
        <v>3</v>
      </c>
      <c r="E3574" s="4">
        <f>IF(INDEX(C:C, ROW())+INDEX(D:D, ROW())=0, 0, INDEX(C:C, ROW())/(INDEX(C:C, ROW())+INDEX(D:D, ROW())))</f>
        <v/>
      </c>
      <c r="F3574" s="1" t="inlineStr">
        <is>
          <t>Database</t>
        </is>
      </c>
      <c r="G3574" s="1" t="inlineStr">
        <is>
          <t>Medium</t>
        </is>
      </c>
      <c r="H3574" s="1" t="n">
        <v>5049</v>
      </c>
      <c r="I3574" s="1" t="n">
        <v>7282</v>
      </c>
      <c r="J3574" s="9" t="n">
        <v>0.6929999999999999</v>
      </c>
      <c r="K3574" s="1" t="inlineStr">
        <is>
          <t>No</t>
        </is>
      </c>
      <c r="L3574" s="1" t="inlineStr">
        <is>
          <t>No</t>
        </is>
      </c>
      <c r="M3574" s="1" t="inlineStr">
        <is>
          <t>No</t>
        </is>
      </c>
      <c r="N3574" s="1" t="inlineStr">
        <is>
          <t>Database</t>
        </is>
      </c>
      <c r="O35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75" ht="15.75" customHeight="1" s="12">
      <c r="A3575" s="1" t="n">
        <v>3435</v>
      </c>
      <c r="B3575" s="3">
        <f>HYPERLINK("https://leetcode.com/problems/frequencies-of-shortest-supersequences/", "Frequencies of Shortest Supersequences")</f>
        <v/>
      </c>
      <c r="C3575" s="1" t="n">
        <v>28</v>
      </c>
      <c r="D3575" s="1" t="n">
        <v>8</v>
      </c>
      <c r="E3575" s="4">
        <f>IF(INDEX(C:C, ROW())+INDEX(D:D, ROW())=0, 0, INDEX(C:C, ROW())/(INDEX(C:C, ROW())+INDEX(D:D, ROW())))</f>
        <v/>
      </c>
      <c r="F3575" s="1" t="inlineStr">
        <is>
          <t>Array, String, Bit Manipulation, Graph Theory, Topological Sort, Enumeration</t>
        </is>
      </c>
      <c r="G3575" s="1" t="inlineStr">
        <is>
          <t>Hard</t>
        </is>
      </c>
      <c r="H3575" s="1" t="n">
        <v>2763</v>
      </c>
      <c r="I3575" s="1" t="n">
        <v>12723</v>
      </c>
      <c r="J3575" s="9" t="n">
        <v>0.217</v>
      </c>
      <c r="K3575" s="1" t="inlineStr">
        <is>
          <t>Yes</t>
        </is>
      </c>
      <c r="L3575" s="1" t="inlineStr">
        <is>
          <t>No</t>
        </is>
      </c>
      <c r="M3575" s="1" t="inlineStr">
        <is>
          <t>No</t>
        </is>
      </c>
      <c r="N3575" s="1" t="inlineStr">
        <is>
          <t>Algorithms</t>
        </is>
      </c>
      <c r="O35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76" ht="15.75" customHeight="1" s="12">
      <c r="A3576" s="1" t="n">
        <v>3470</v>
      </c>
      <c r="B3576" s="3">
        <f>HYPERLINK("https://leetcode.com/problems/permutations-iv/", "Permutations IV")</f>
        <v/>
      </c>
      <c r="C3576" s="1" t="n">
        <v>28</v>
      </c>
      <c r="D3576" s="1" t="n">
        <v>3</v>
      </c>
      <c r="E3576" s="4">
        <f>IF(INDEX(C:C, ROW())+INDEX(D:D, ROW())=0, 0, INDEX(C:C, ROW())/(INDEX(C:C, ROW())+INDEX(D:D, ROW())))</f>
        <v/>
      </c>
      <c r="F3576" s="1" t="inlineStr">
        <is>
          <t>Array, Math, Combinatorics, Enumeration</t>
        </is>
      </c>
      <c r="G3576" s="1" t="inlineStr">
        <is>
          <t>Hard</t>
        </is>
      </c>
      <c r="H3576" s="1" t="n">
        <v>4123</v>
      </c>
      <c r="I3576" s="1" t="n">
        <v>12280</v>
      </c>
      <c r="J3576" s="9" t="n">
        <v>0.336</v>
      </c>
      <c r="K3576" s="1" t="inlineStr">
        <is>
          <t>Yes</t>
        </is>
      </c>
      <c r="L3576" s="1" t="inlineStr">
        <is>
          <t>No</t>
        </is>
      </c>
      <c r="M3576" s="1" t="inlineStr">
        <is>
          <t>No</t>
        </is>
      </c>
      <c r="N3576" s="1" t="inlineStr">
        <is>
          <t>Algorithms</t>
        </is>
      </c>
      <c r="O35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77" ht="15.75" customHeight="1" s="12">
      <c r="A3577" s="1" t="n">
        <v>3630</v>
      </c>
      <c r="B3577" s="3">
        <f>HYPERLINK("https://leetcode.com/problems/partition-array-for-maximum-xor-and-and/", "Partition Array for Maximum XOR and AND")</f>
        <v/>
      </c>
      <c r="C3577" s="1" t="n">
        <v>28</v>
      </c>
      <c r="D3577" s="1" t="n">
        <v>7</v>
      </c>
      <c r="E3577" s="4">
        <f>IF(INDEX(C:C, ROW())+INDEX(D:D, ROW())=0, 0, INDEX(C:C, ROW())/(INDEX(C:C, ROW())+INDEX(D:D, ROW())))</f>
        <v/>
      </c>
      <c r="F3577" s="1" t="inlineStr">
        <is>
          <t>Array, Math, Greedy, Bit Manipulation, Enumeration</t>
        </is>
      </c>
      <c r="G3577" s="1" t="inlineStr">
        <is>
          <t>Hard</t>
        </is>
      </c>
      <c r="H3577" s="1" t="n">
        <v>5511</v>
      </c>
      <c r="I3577" s="1" t="n">
        <v>36683</v>
      </c>
      <c r="J3577" s="9" t="n">
        <v>0.15</v>
      </c>
      <c r="K3577" s="1" t="inlineStr">
        <is>
          <t>Yes</t>
        </is>
      </c>
      <c r="L3577" s="1" t="inlineStr">
        <is>
          <t>No</t>
        </is>
      </c>
      <c r="M3577" s="1" t="inlineStr">
        <is>
          <t>No</t>
        </is>
      </c>
      <c r="N3577" s="1" t="inlineStr">
        <is>
          <t>Algorithms</t>
        </is>
      </c>
      <c r="O35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78" ht="15.75" customHeight="1" s="12">
      <c r="A3578" s="1" t="n">
        <v>3705</v>
      </c>
      <c r="B3578" s="3">
        <f>HYPERLINK("https://leetcode.com/problems/find-golden-hour-customers/", "Find Golden Hour Customers")</f>
        <v/>
      </c>
      <c r="C3578" s="1" t="n">
        <v>28</v>
      </c>
      <c r="D3578" s="1" t="n">
        <v>3</v>
      </c>
      <c r="E3578" s="4">
        <f>IF(INDEX(C:C, ROW())+INDEX(D:D, ROW())=0, 0, INDEX(C:C, ROW())/(INDEX(C:C, ROW())+INDEX(D:D, ROW())))</f>
        <v/>
      </c>
      <c r="F3578" s="2" t="n"/>
      <c r="G3578" s="1" t="inlineStr">
        <is>
          <t>Medium</t>
        </is>
      </c>
      <c r="H3578" s="1" t="n">
        <v>3785</v>
      </c>
      <c r="I3578" s="1" t="n">
        <v>10510</v>
      </c>
      <c r="J3578" s="9" t="n">
        <v>0.36</v>
      </c>
      <c r="K3578" s="1" t="inlineStr">
        <is>
          <t>Yes</t>
        </is>
      </c>
      <c r="L3578" s="1" t="inlineStr">
        <is>
          <t>No</t>
        </is>
      </c>
      <c r="M3578" s="1" t="inlineStr">
        <is>
          <t>No</t>
        </is>
      </c>
      <c r="N3578" s="1" t="inlineStr">
        <is>
          <t>Database</t>
        </is>
      </c>
      <c r="O35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79" ht="15.75" customHeight="1" s="12">
      <c r="A3579" s="1" t="n">
        <v>2738</v>
      </c>
      <c r="B3579" s="3">
        <f>HYPERLINK("https://leetcode.com/problems/count-occurrences-in-text/", "Count Occurrences in Text")</f>
        <v/>
      </c>
      <c r="C3579" s="1" t="n">
        <v>27</v>
      </c>
      <c r="D3579" s="1" t="n">
        <v>48</v>
      </c>
      <c r="E3579" s="4">
        <f>IF(INDEX(C:C, ROW())+INDEX(D:D, ROW())=0, 0, INDEX(C:C, ROW())/(INDEX(C:C, ROW())+INDEX(D:D, ROW())))</f>
        <v/>
      </c>
      <c r="F3579" s="1" t="inlineStr">
        <is>
          <t>Database</t>
        </is>
      </c>
      <c r="G3579" s="1" t="inlineStr">
        <is>
          <t>Medium</t>
        </is>
      </c>
      <c r="H3579" s="1" t="n">
        <v>10993</v>
      </c>
      <c r="I3579" s="1" t="n">
        <v>20088</v>
      </c>
      <c r="J3579" s="9" t="n">
        <v>0.547</v>
      </c>
      <c r="K3579" s="1" t="inlineStr">
        <is>
          <t>No</t>
        </is>
      </c>
      <c r="L3579" s="1" t="inlineStr">
        <is>
          <t>Yes</t>
        </is>
      </c>
      <c r="M3579" s="1" t="inlineStr">
        <is>
          <t>No</t>
        </is>
      </c>
      <c r="N3579" s="1" t="inlineStr">
        <is>
          <t>Database</t>
        </is>
      </c>
      <c r="O35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80" ht="15.75" customHeight="1" s="12">
      <c r="A3580" s="1" t="n">
        <v>2753</v>
      </c>
      <c r="B3580" s="3">
        <f>HYPERLINK("https://leetcode.com/problems/count-houses-in-a-circular-street-ii/", "Count Houses in a Circular Street II")</f>
        <v/>
      </c>
      <c r="C3580" s="1" t="n">
        <v>27</v>
      </c>
      <c r="D3580" s="1" t="n">
        <v>3</v>
      </c>
      <c r="E3580" s="4">
        <f>IF(INDEX(C:C, ROW())+INDEX(D:D, ROW())=0, 0, INDEX(C:C, ROW())/(INDEX(C:C, ROW())+INDEX(D:D, ROW())))</f>
        <v/>
      </c>
      <c r="F3580" s="2" t="n"/>
      <c r="G3580" s="1" t="inlineStr">
        <is>
          <t>Hard</t>
        </is>
      </c>
      <c r="H3580" s="1" t="n">
        <v>900</v>
      </c>
      <c r="I3580" s="1" t="n">
        <v>1466</v>
      </c>
      <c r="J3580" s="9" t="n">
        <v>0.614</v>
      </c>
      <c r="K3580" s="1" t="inlineStr">
        <is>
          <t>No</t>
        </is>
      </c>
      <c r="L3580" s="1" t="inlineStr">
        <is>
          <t>Yes</t>
        </is>
      </c>
      <c r="M3580" s="1" t="inlineStr">
        <is>
          <t>No</t>
        </is>
      </c>
      <c r="N3580" s="1" t="inlineStr">
        <is>
          <t>Algorithms</t>
        </is>
      </c>
      <c r="O35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81" ht="15.75" customHeight="1" s="12">
      <c r="A3581" s="1" t="n">
        <v>2820</v>
      </c>
      <c r="B3581" s="3">
        <f>HYPERLINK("https://leetcode.com/problems/election-results/", "Election Results")</f>
        <v/>
      </c>
      <c r="C3581" s="1" t="n">
        <v>27</v>
      </c>
      <c r="D3581" s="1" t="n">
        <v>3</v>
      </c>
      <c r="E3581" s="4">
        <f>IF(INDEX(C:C, ROW())+INDEX(D:D, ROW())=0, 0, INDEX(C:C, ROW())/(INDEX(C:C, ROW())+INDEX(D:D, ROW())))</f>
        <v/>
      </c>
      <c r="F3581" s="2" t="n"/>
      <c r="G3581" s="1" t="inlineStr">
        <is>
          <t>Medium</t>
        </is>
      </c>
      <c r="H3581" s="1" t="n">
        <v>4090</v>
      </c>
      <c r="I3581" s="1" t="n">
        <v>6114</v>
      </c>
      <c r="J3581" s="9" t="n">
        <v>0.669</v>
      </c>
      <c r="K3581" s="1" t="inlineStr">
        <is>
          <t>No</t>
        </is>
      </c>
      <c r="L3581" s="1" t="inlineStr">
        <is>
          <t>No</t>
        </is>
      </c>
      <c r="M3581" s="1" t="inlineStr">
        <is>
          <t>No</t>
        </is>
      </c>
      <c r="N3581" s="1" t="inlineStr">
        <is>
          <t>Database</t>
        </is>
      </c>
      <c r="O35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82" ht="15.75" customHeight="1" s="12">
      <c r="A3582" s="1" t="n">
        <v>3205</v>
      </c>
      <c r="B3582" s="3">
        <f>HYPERLINK("https://leetcode.com/problems/maximum-array-hopping-score-i/", "Maximum Array Hopping Score I")</f>
        <v/>
      </c>
      <c r="C3582" s="1" t="n">
        <v>27</v>
      </c>
      <c r="D3582" s="1" t="n">
        <v>1</v>
      </c>
      <c r="E3582" s="4">
        <f>IF(INDEX(C:C, ROW())+INDEX(D:D, ROW())=0, 0, INDEX(C:C, ROW())/(INDEX(C:C, ROW())+INDEX(D:D, ROW())))</f>
        <v/>
      </c>
      <c r="F3582" s="1" t="inlineStr">
        <is>
          <t>Array, Dynamic Programming, Stack, Greedy, Monotonic Stack</t>
        </is>
      </c>
      <c r="G3582" s="1" t="inlineStr">
        <is>
          <t>Medium</t>
        </is>
      </c>
      <c r="H3582" s="1" t="n">
        <v>2438</v>
      </c>
      <c r="I3582" s="1" t="n">
        <v>3158</v>
      </c>
      <c r="J3582" s="9" t="n">
        <v>0.772</v>
      </c>
      <c r="K3582" s="1" t="inlineStr">
        <is>
          <t>No</t>
        </is>
      </c>
      <c r="L3582" s="1" t="inlineStr">
        <is>
          <t>No</t>
        </is>
      </c>
      <c r="M3582" s="1" t="inlineStr">
        <is>
          <t>No</t>
        </is>
      </c>
      <c r="N3582" s="1" t="inlineStr">
        <is>
          <t>Algorithms</t>
        </is>
      </c>
      <c r="O35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83" ht="15.75" customHeight="1" s="12">
      <c r="A3583" s="1" t="n">
        <v>3590</v>
      </c>
      <c r="B3583" s="3">
        <f>HYPERLINK("https://leetcode.com/problems/kth-smallest-path-xor-sum/", "Kth Smallest Path XOR Sum")</f>
        <v/>
      </c>
      <c r="C3583" s="1" t="n">
        <v>27</v>
      </c>
      <c r="D3583" s="1" t="n">
        <v>11</v>
      </c>
      <c r="E3583" s="4">
        <f>IF(INDEX(C:C, ROW())+INDEX(D:D, ROW())=0, 0, INDEX(C:C, ROW())/(INDEX(C:C, ROW())+INDEX(D:D, ROW())))</f>
        <v/>
      </c>
      <c r="F3583" s="1" t="inlineStr">
        <is>
          <t>Array, Tree, Depth-First Search, Ordered Set</t>
        </is>
      </c>
      <c r="G3583" s="1" t="inlineStr">
        <is>
          <t>Hard</t>
        </is>
      </c>
      <c r="H3583" s="1" t="n">
        <v>2543</v>
      </c>
      <c r="I3583" s="1" t="n">
        <v>8974</v>
      </c>
      <c r="J3583" s="9" t="n">
        <v>0.283</v>
      </c>
      <c r="K3583" s="1" t="inlineStr">
        <is>
          <t>Yes</t>
        </is>
      </c>
      <c r="L3583" s="1" t="inlineStr">
        <is>
          <t>No</t>
        </is>
      </c>
      <c r="M3583" s="1" t="inlineStr">
        <is>
          <t>No</t>
        </is>
      </c>
      <c r="N3583" s="1" t="inlineStr">
        <is>
          <t>Algorithms</t>
        </is>
      </c>
      <c r="O35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84" ht="15.75" customHeight="1" s="12">
      <c r="A3584" s="1" t="n">
        <v>3716</v>
      </c>
      <c r="B3584" s="3">
        <f>HYPERLINK("https://leetcode.com/problems/find-churn-risk-customers/", "Find Churn Risk Customers")</f>
        <v/>
      </c>
      <c r="C3584" s="1" t="n">
        <v>27</v>
      </c>
      <c r="D3584" s="1" t="n">
        <v>0</v>
      </c>
      <c r="E3584" s="4">
        <f>IF(INDEX(C:C, ROW())+INDEX(D:D, ROW())=0, 0, INDEX(C:C, ROW())/(INDEX(C:C, ROW())+INDEX(D:D, ROW())))</f>
        <v/>
      </c>
      <c r="F3584" s="2" t="n"/>
      <c r="G3584" s="1" t="inlineStr">
        <is>
          <t>Medium</t>
        </is>
      </c>
      <c r="H3584" s="1" t="n">
        <v>3636</v>
      </c>
      <c r="I3584" s="1" t="n">
        <v>7305</v>
      </c>
      <c r="J3584" s="9" t="n">
        <v>0.498</v>
      </c>
      <c r="K3584" s="1" t="inlineStr">
        <is>
          <t>Yes</t>
        </is>
      </c>
      <c r="L3584" s="1" t="inlineStr">
        <is>
          <t>No</t>
        </is>
      </c>
      <c r="M3584" s="1" t="inlineStr">
        <is>
          <t>No</t>
        </is>
      </c>
      <c r="N3584" s="1" t="inlineStr">
        <is>
          <t>Database</t>
        </is>
      </c>
      <c r="O35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85" ht="15.75" customHeight="1" s="12">
      <c r="A3585" s="1" t="n">
        <v>3736</v>
      </c>
      <c r="B3585" s="3">
        <f>HYPERLINK("https://leetcode.com/problems/minimum-moves-to-equal-array-elements-iii/", "Minimum Moves to Equal Array Elements III")</f>
        <v/>
      </c>
      <c r="C3585" s="1" t="n">
        <v>27</v>
      </c>
      <c r="D3585" s="1" t="n">
        <v>2</v>
      </c>
      <c r="E3585" s="4">
        <f>IF(INDEX(C:C, ROW())+INDEX(D:D, ROW())=0, 0, INDEX(C:C, ROW())/(INDEX(C:C, ROW())+INDEX(D:D, ROW())))</f>
        <v/>
      </c>
      <c r="F3585" s="1" t="inlineStr">
        <is>
          <t>Array, Math</t>
        </is>
      </c>
      <c r="G3585" s="1" t="inlineStr">
        <is>
          <t>Easy</t>
        </is>
      </c>
      <c r="H3585" s="1" t="n">
        <v>33577</v>
      </c>
      <c r="I3585" s="1" t="n">
        <v>41588</v>
      </c>
      <c r="J3585" s="9" t="n">
        <v>0.8070000000000001</v>
      </c>
      <c r="K3585" s="1" t="inlineStr">
        <is>
          <t>Yes</t>
        </is>
      </c>
      <c r="L3585" s="1" t="inlineStr">
        <is>
          <t>No</t>
        </is>
      </c>
      <c r="M3585" s="1" t="inlineStr">
        <is>
          <t>No</t>
        </is>
      </c>
      <c r="N3585" s="1" t="inlineStr">
        <is>
          <t>Algorithms</t>
        </is>
      </c>
      <c r="O35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86" ht="15.75" customHeight="1" s="12">
      <c r="A3586" s="1" t="n">
        <v>3757</v>
      </c>
      <c r="B3586" s="3">
        <f>HYPERLINK("https://leetcode.com/problems/number-of-effective-subsequences/", "Number of Effective Subsequences")</f>
        <v/>
      </c>
      <c r="C3586" s="1" t="n">
        <v>27</v>
      </c>
      <c r="D3586" s="1" t="n">
        <v>2</v>
      </c>
      <c r="E3586" s="4">
        <f>IF(INDEX(C:C, ROW())+INDEX(D:D, ROW())=0, 0, INDEX(C:C, ROW())/(INDEX(C:C, ROW())+INDEX(D:D, ROW())))</f>
        <v/>
      </c>
      <c r="F3586" s="1" t="inlineStr">
        <is>
          <t>Array, Math, Dynamic Programming, Bit Manipulation, Combinatorics</t>
        </is>
      </c>
      <c r="G3586" s="1" t="inlineStr">
        <is>
          <t>Hard</t>
        </is>
      </c>
      <c r="H3586" s="1" t="n">
        <v>2474</v>
      </c>
      <c r="I3586" s="1" t="n">
        <v>8321</v>
      </c>
      <c r="J3586" s="9" t="n">
        <v>0.297</v>
      </c>
      <c r="K3586" s="1" t="inlineStr">
        <is>
          <t>Yes</t>
        </is>
      </c>
      <c r="L3586" s="1" t="inlineStr">
        <is>
          <t>No</t>
        </is>
      </c>
      <c r="M3586" s="1" t="inlineStr">
        <is>
          <t>No</t>
        </is>
      </c>
      <c r="N3586" s="1" t="inlineStr">
        <is>
          <t>Algorithms</t>
        </is>
      </c>
      <c r="O35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87" ht="15.75" customHeight="1" s="12">
      <c r="A3587" s="1" t="n">
        <v>1990</v>
      </c>
      <c r="B3587" s="3">
        <f>HYPERLINK("https://leetcode.com/problems/count-the-number-of-experiments/", "Count the Number of Experiments")</f>
        <v/>
      </c>
      <c r="C3587" s="1" t="n">
        <v>26</v>
      </c>
      <c r="D3587" s="1" t="n">
        <v>201</v>
      </c>
      <c r="E3587" s="4">
        <f>IF(INDEX(C:C, ROW())+INDEX(D:D, ROW())=0, 0, INDEX(C:C, ROW())/(INDEX(C:C, ROW())+INDEX(D:D, ROW())))</f>
        <v/>
      </c>
      <c r="F3587" s="1" t="inlineStr">
        <is>
          <t>Database</t>
        </is>
      </c>
      <c r="G3587" s="1" t="inlineStr">
        <is>
          <t>Medium</t>
        </is>
      </c>
      <c r="H3587" s="1" t="n">
        <v>9567</v>
      </c>
      <c r="I3587" s="1" t="n">
        <v>19627</v>
      </c>
      <c r="J3587" s="9" t="n">
        <v>0.487</v>
      </c>
      <c r="K3587" s="1" t="inlineStr">
        <is>
          <t>No</t>
        </is>
      </c>
      <c r="L3587" s="1" t="inlineStr">
        <is>
          <t>No</t>
        </is>
      </c>
      <c r="M3587" s="1" t="inlineStr">
        <is>
          <t>No</t>
        </is>
      </c>
      <c r="N3587" s="1" t="inlineStr">
        <is>
          <t>Database</t>
        </is>
      </c>
      <c r="O35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88" ht="15.75" customHeight="1" s="12">
      <c r="A3588" s="1" t="n">
        <v>2688</v>
      </c>
      <c r="B3588" s="3">
        <f>HYPERLINK("https://leetcode.com/problems/find-active-users/", "Find Active Users")</f>
        <v/>
      </c>
      <c r="C3588" s="1" t="n">
        <v>26</v>
      </c>
      <c r="D3588" s="1" t="n">
        <v>8</v>
      </c>
      <c r="E3588" s="4">
        <f>IF(INDEX(C:C, ROW())+INDEX(D:D, ROW())=0, 0, INDEX(C:C, ROW())/(INDEX(C:C, ROW())+INDEX(D:D, ROW())))</f>
        <v/>
      </c>
      <c r="F3588" s="1" t="inlineStr">
        <is>
          <t>Database</t>
        </is>
      </c>
      <c r="G3588" s="1" t="inlineStr">
        <is>
          <t>Medium</t>
        </is>
      </c>
      <c r="H3588" s="1" t="n">
        <v>5719</v>
      </c>
      <c r="I3588" s="1" t="n">
        <v>12740</v>
      </c>
      <c r="J3588" s="9" t="n">
        <v>0.449</v>
      </c>
      <c r="K3588" s="1" t="inlineStr">
        <is>
          <t>No</t>
        </is>
      </c>
      <c r="L3588" s="1" t="inlineStr">
        <is>
          <t>No</t>
        </is>
      </c>
      <c r="M3588" s="1" t="inlineStr">
        <is>
          <t>No</t>
        </is>
      </c>
      <c r="N3588" s="1" t="inlineStr">
        <is>
          <t>Database</t>
        </is>
      </c>
      <c r="O35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89" ht="15.75" customHeight="1" s="12">
      <c r="A3589" s="1" t="n">
        <v>3374</v>
      </c>
      <c r="B3589" s="3">
        <f>HYPERLINK("https://leetcode.com/problems/first-letter-capitalization-ii/", "First Letter Capitalization II")</f>
        <v/>
      </c>
      <c r="C3589" s="1" t="n">
        <v>26</v>
      </c>
      <c r="D3589" s="1" t="n">
        <v>12</v>
      </c>
      <c r="E3589" s="4">
        <f>IF(INDEX(C:C, ROW())+INDEX(D:D, ROW())=0, 0, INDEX(C:C, ROW())/(INDEX(C:C, ROW())+INDEX(D:D, ROW())))</f>
        <v/>
      </c>
      <c r="F3589" s="1" t="inlineStr">
        <is>
          <t>Database</t>
        </is>
      </c>
      <c r="G3589" s="1" t="inlineStr">
        <is>
          <t>Hard</t>
        </is>
      </c>
      <c r="H3589" s="1" t="n">
        <v>8529</v>
      </c>
      <c r="I3589" s="1" t="n">
        <v>14429</v>
      </c>
      <c r="J3589" s="9" t="n">
        <v>0.591</v>
      </c>
      <c r="K3589" s="1" t="inlineStr">
        <is>
          <t>Yes</t>
        </is>
      </c>
      <c r="L3589" s="1" t="inlineStr">
        <is>
          <t>No</t>
        </is>
      </c>
      <c r="M3589" s="1" t="inlineStr">
        <is>
          <t>No</t>
        </is>
      </c>
      <c r="N3589" s="1" t="inlineStr">
        <is>
          <t>Database</t>
        </is>
      </c>
      <c r="O35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90" ht="15.75" customHeight="1" s="12">
      <c r="A3590" s="1" t="n">
        <v>3700</v>
      </c>
      <c r="B3590" s="3">
        <f>HYPERLINK("https://leetcode.com/problems/number-of-zigzag-arrays-ii/", "Number of ZigZag Arrays II")</f>
        <v/>
      </c>
      <c r="C3590" s="1" t="n">
        <v>26</v>
      </c>
      <c r="D3590" s="1" t="n">
        <v>4</v>
      </c>
      <c r="E3590" s="4">
        <f>IF(INDEX(C:C, ROW())+INDEX(D:D, ROW())=0, 0, INDEX(C:C, ROW())/(INDEX(C:C, ROW())+INDEX(D:D, ROW())))</f>
        <v/>
      </c>
      <c r="F3590" s="1" t="inlineStr">
        <is>
          <t>Math, Dynamic Programming</t>
        </is>
      </c>
      <c r="G3590" s="1" t="inlineStr">
        <is>
          <t>Hard</t>
        </is>
      </c>
      <c r="H3590" s="1" t="n">
        <v>11250</v>
      </c>
      <c r="I3590" s="1" t="n">
        <v>20711</v>
      </c>
      <c r="J3590" s="9" t="n">
        <v>0.543</v>
      </c>
      <c r="K3590" s="1" t="inlineStr">
        <is>
          <t>Yes</t>
        </is>
      </c>
      <c r="L3590" s="1" t="inlineStr">
        <is>
          <t>No</t>
        </is>
      </c>
      <c r="M3590" s="1" t="inlineStr">
        <is>
          <t>No</t>
        </is>
      </c>
      <c r="N3590" s="1" t="inlineStr">
        <is>
          <t>Algorithms</t>
        </is>
      </c>
      <c r="O35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91" ht="15.75" customHeight="1" s="12">
      <c r="A3591" s="1" t="n">
        <v>2230</v>
      </c>
      <c r="B3591" s="3">
        <f>HYPERLINK("https://leetcode.com/problems/the-users-that-are-eligible-for-discount/", "The Users That Are Eligible for Discount")</f>
        <v/>
      </c>
      <c r="C3591" s="1" t="n">
        <v>25</v>
      </c>
      <c r="D3591" s="1" t="n">
        <v>45</v>
      </c>
      <c r="E3591" s="4">
        <f>IF(INDEX(C:C, ROW())+INDEX(D:D, ROW())=0, 0, INDEX(C:C, ROW())/(INDEX(C:C, ROW())+INDEX(D:D, ROW())))</f>
        <v/>
      </c>
      <c r="F3591" s="1" t="inlineStr">
        <is>
          <t>Database</t>
        </is>
      </c>
      <c r="G3591" s="1" t="inlineStr">
        <is>
          <t>Easy</t>
        </is>
      </c>
      <c r="H3591" s="1" t="n">
        <v>7259</v>
      </c>
      <c r="I3591" s="1" t="n">
        <v>14347</v>
      </c>
      <c r="J3591" s="9" t="n">
        <v>0.506</v>
      </c>
      <c r="K3591" s="1" t="inlineStr">
        <is>
          <t>No</t>
        </is>
      </c>
      <c r="L3591" s="1" t="inlineStr">
        <is>
          <t>No</t>
        </is>
      </c>
      <c r="M3591" s="1" t="inlineStr">
        <is>
          <t>No</t>
        </is>
      </c>
      <c r="N3591" s="1" t="inlineStr">
        <is>
          <t>Database</t>
        </is>
      </c>
      <c r="O35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92" ht="15.75" customHeight="1" s="12">
      <c r="A3592" s="1" t="n">
        <v>2524</v>
      </c>
      <c r="B3592" s="3">
        <f>HYPERLINK("https://leetcode.com/problems/maximum-frequency-score-of-a-subarray/", "Maximum Frequency Score of a Subarray")</f>
        <v/>
      </c>
      <c r="C3592" s="1" t="n">
        <v>25</v>
      </c>
      <c r="D3592" s="1" t="n">
        <v>7</v>
      </c>
      <c r="E3592" s="4">
        <f>IF(INDEX(C:C, ROW())+INDEX(D:D, ROW())=0, 0, INDEX(C:C, ROW())/(INDEX(C:C, ROW())+INDEX(D:D, ROW())))</f>
        <v/>
      </c>
      <c r="F3592" s="1" t="inlineStr">
        <is>
          <t>Array, Hash Table, Math, Stack, Sliding Window</t>
        </is>
      </c>
      <c r="G3592" s="1" t="inlineStr">
        <is>
          <t>Hard</t>
        </is>
      </c>
      <c r="H3592" s="1" t="n">
        <v>1612</v>
      </c>
      <c r="I3592" s="1" t="n">
        <v>4438</v>
      </c>
      <c r="J3592" s="9" t="n">
        <v>0.363</v>
      </c>
      <c r="K3592" s="1" t="inlineStr">
        <is>
          <t>No</t>
        </is>
      </c>
      <c r="L3592" s="1" t="inlineStr">
        <is>
          <t>No</t>
        </is>
      </c>
      <c r="M3592" s="1" t="inlineStr">
        <is>
          <t>No</t>
        </is>
      </c>
      <c r="N3592" s="1" t="inlineStr">
        <is>
          <t>Algorithms</t>
        </is>
      </c>
      <c r="O35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93" ht="15.75" customHeight="1" s="12">
      <c r="A3593" s="1" t="n">
        <v>2796</v>
      </c>
      <c r="B3593" s="3">
        <f>HYPERLINK("https://leetcode.com/problems/repeat-string/", "Repeat String")</f>
        <v/>
      </c>
      <c r="C3593" s="1" t="n">
        <v>25</v>
      </c>
      <c r="D3593" s="1" t="n">
        <v>2</v>
      </c>
      <c r="E3593" s="4">
        <f>IF(INDEX(C:C, ROW())+INDEX(D:D, ROW())=0, 0, INDEX(C:C, ROW())/(INDEX(C:C, ROW())+INDEX(D:D, ROW())))</f>
        <v/>
      </c>
      <c r="F3593" s="2" t="n"/>
      <c r="G3593" s="1" t="inlineStr">
        <is>
          <t>Easy</t>
        </is>
      </c>
      <c r="H3593" s="1" t="n">
        <v>3750</v>
      </c>
      <c r="I3593" s="1" t="n">
        <v>4029</v>
      </c>
      <c r="J3593" s="9" t="n">
        <v>0.931</v>
      </c>
      <c r="K3593" s="1" t="inlineStr">
        <is>
          <t>No</t>
        </is>
      </c>
      <c r="L3593" s="1" t="inlineStr">
        <is>
          <t>Yes</t>
        </is>
      </c>
      <c r="M3593" s="1" t="inlineStr">
        <is>
          <t>No</t>
        </is>
      </c>
      <c r="N3593" s="1" t="inlineStr">
        <is>
          <t>JavaScript</t>
        </is>
      </c>
      <c r="O35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94" ht="15.75" customHeight="1" s="12">
      <c r="A3594" s="1" t="n">
        <v>2814</v>
      </c>
      <c r="B3594" s="3">
        <f>HYPERLINK("https://leetcode.com/problems/minimum-time-takes-to-reach-destination-without-drowning/", "Minimum Time Takes to Reach Destination Without Drowning")</f>
        <v/>
      </c>
      <c r="C3594" s="1" t="n">
        <v>25</v>
      </c>
      <c r="D3594" s="1" t="n">
        <v>2</v>
      </c>
      <c r="E3594" s="4">
        <f>IF(INDEX(C:C, ROW())+INDEX(D:D, ROW())=0, 0, INDEX(C:C, ROW())/(INDEX(C:C, ROW())+INDEX(D:D, ROW())))</f>
        <v/>
      </c>
      <c r="F3594" s="1" t="inlineStr">
        <is>
          <t>Array, Breadth-First Search, Matrix</t>
        </is>
      </c>
      <c r="G3594" s="1" t="inlineStr">
        <is>
          <t>Hard</t>
        </is>
      </c>
      <c r="H3594" s="1" t="n">
        <v>1537</v>
      </c>
      <c r="I3594" s="1" t="n">
        <v>2833</v>
      </c>
      <c r="J3594" s="9" t="n">
        <v>0.543</v>
      </c>
      <c r="K3594" s="1" t="inlineStr">
        <is>
          <t>No</t>
        </is>
      </c>
      <c r="L3594" s="1" t="inlineStr">
        <is>
          <t>No</t>
        </is>
      </c>
      <c r="M3594" s="1" t="inlineStr">
        <is>
          <t>No</t>
        </is>
      </c>
      <c r="N3594" s="1" t="inlineStr">
        <is>
          <t>Algorithms</t>
        </is>
      </c>
      <c r="O35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95" ht="15.75" customHeight="1" s="12">
      <c r="A3595" s="1" t="n">
        <v>2927</v>
      </c>
      <c r="B3595" s="3">
        <f>HYPERLINK("https://leetcode.com/problems/distribute-candies-among-children-iii/", "Distribute Candies Among Children III")</f>
        <v/>
      </c>
      <c r="C3595" s="1" t="n">
        <v>25</v>
      </c>
      <c r="D3595" s="1" t="n">
        <v>7</v>
      </c>
      <c r="E3595" s="4">
        <f>IF(INDEX(C:C, ROW())+INDEX(D:D, ROW())=0, 0, INDEX(C:C, ROW())/(INDEX(C:C, ROW())+INDEX(D:D, ROW())))</f>
        <v/>
      </c>
      <c r="F3595" s="1" t="inlineStr">
        <is>
          <t>Math, Combinatorics</t>
        </is>
      </c>
      <c r="G3595" s="1" t="inlineStr">
        <is>
          <t>Hard</t>
        </is>
      </c>
      <c r="H3595" s="1" t="n">
        <v>2971</v>
      </c>
      <c r="I3595" s="1" t="n">
        <v>5201</v>
      </c>
      <c r="J3595" s="9" t="n">
        <v>0.571</v>
      </c>
      <c r="K3595" s="1" t="inlineStr">
        <is>
          <t>No</t>
        </is>
      </c>
      <c r="L3595" s="1" t="inlineStr">
        <is>
          <t>Yes</t>
        </is>
      </c>
      <c r="M3595" s="1" t="inlineStr">
        <is>
          <t>No</t>
        </is>
      </c>
      <c r="N3595" s="1" t="inlineStr">
        <is>
          <t>Algorithms</t>
        </is>
      </c>
      <c r="O35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96" ht="15.75" customHeight="1" s="12">
      <c r="A3596" s="1" t="n">
        <v>3673</v>
      </c>
      <c r="B3596" s="3">
        <f>HYPERLINK("https://leetcode.com/problems/find-zombie-sessions/", "Find Zombie Sessions")</f>
        <v/>
      </c>
      <c r="C3596" s="1" t="n">
        <v>25</v>
      </c>
      <c r="D3596" s="1" t="n">
        <v>2</v>
      </c>
      <c r="E3596" s="4">
        <f>IF(INDEX(C:C, ROW())+INDEX(D:D, ROW())=0, 0, INDEX(C:C, ROW())/(INDEX(C:C, ROW())+INDEX(D:D, ROW())))</f>
        <v/>
      </c>
      <c r="F3596" s="2" t="n"/>
      <c r="G3596" s="1" t="inlineStr">
        <is>
          <t>Hard</t>
        </is>
      </c>
      <c r="H3596" s="1" t="n">
        <v>3967</v>
      </c>
      <c r="I3596" s="1" t="n">
        <v>8028</v>
      </c>
      <c r="J3596" s="9" t="n">
        <v>0.494</v>
      </c>
      <c r="K3596" s="1" t="inlineStr">
        <is>
          <t>Yes</t>
        </is>
      </c>
      <c r="L3596" s="1" t="inlineStr">
        <is>
          <t>No</t>
        </is>
      </c>
      <c r="M3596" s="1" t="inlineStr">
        <is>
          <t>No</t>
        </is>
      </c>
      <c r="N3596" s="1" t="inlineStr">
        <is>
          <t>Database</t>
        </is>
      </c>
      <c r="O35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97" ht="15.75" customHeight="1" s="12">
      <c r="A3597" s="1" t="n">
        <v>2118</v>
      </c>
      <c r="B3597" s="3">
        <f>HYPERLINK("https://leetcode.com/problems/build-the-equation/", "Build the Equation")</f>
        <v/>
      </c>
      <c r="C3597" s="1" t="n">
        <v>24</v>
      </c>
      <c r="D3597" s="1" t="n">
        <v>38</v>
      </c>
      <c r="E3597" s="4">
        <f>IF(INDEX(C:C, ROW())+INDEX(D:D, ROW())=0, 0, INDEX(C:C, ROW())/(INDEX(C:C, ROW())+INDEX(D:D, ROW())))</f>
        <v/>
      </c>
      <c r="F3597" s="1" t="inlineStr">
        <is>
          <t>Database</t>
        </is>
      </c>
      <c r="G3597" s="1" t="inlineStr">
        <is>
          <t>Hard</t>
        </is>
      </c>
      <c r="H3597" s="1" t="n">
        <v>3652</v>
      </c>
      <c r="I3597" s="1" t="n">
        <v>6438</v>
      </c>
      <c r="J3597" s="9" t="n">
        <v>0.5669999999999999</v>
      </c>
      <c r="K3597" s="1" t="inlineStr">
        <is>
          <t>No</t>
        </is>
      </c>
      <c r="L3597" s="1" t="inlineStr">
        <is>
          <t>No</t>
        </is>
      </c>
      <c r="M3597" s="1" t="inlineStr">
        <is>
          <t>No</t>
        </is>
      </c>
      <c r="N3597" s="1" t="inlineStr">
        <is>
          <t>Database</t>
        </is>
      </c>
      <c r="O35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98" ht="15.75" customHeight="1" s="12">
      <c r="A3598" s="1" t="n">
        <v>2792</v>
      </c>
      <c r="B3598" s="3">
        <f>HYPERLINK("https://leetcode.com/problems/count-nodes-that-are-great-enough/", "Count Nodes That Are Great Enough")</f>
        <v/>
      </c>
      <c r="C3598" s="1" t="n">
        <v>24</v>
      </c>
      <c r="D3598" s="1" t="n">
        <v>0</v>
      </c>
      <c r="E3598" s="4">
        <f>IF(INDEX(C:C, ROW())+INDEX(D:D, ROW())=0, 0, INDEX(C:C, ROW())/(INDEX(C:C, ROW())+INDEX(D:D, ROW())))</f>
        <v/>
      </c>
      <c r="F3598" s="1" t="inlineStr">
        <is>
          <t>Divide and Conquer, Tree, Depth-First Search, Binary Tree</t>
        </is>
      </c>
      <c r="G3598" s="1" t="inlineStr">
        <is>
          <t>Hard</t>
        </is>
      </c>
      <c r="H3598" s="1" t="n">
        <v>1354</v>
      </c>
      <c r="I3598" s="1" t="n">
        <v>2392</v>
      </c>
      <c r="J3598" s="9" t="n">
        <v>0.5659999999999999</v>
      </c>
      <c r="K3598" s="1" t="inlineStr">
        <is>
          <t>No</t>
        </is>
      </c>
      <c r="L3598" s="1" t="inlineStr">
        <is>
          <t>No</t>
        </is>
      </c>
      <c r="M3598" s="1" t="inlineStr">
        <is>
          <t>No</t>
        </is>
      </c>
      <c r="N3598" s="1" t="inlineStr">
        <is>
          <t>Algorithms</t>
        </is>
      </c>
      <c r="O35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599" ht="15.75" customHeight="1" s="12">
      <c r="A3599" s="1" t="n">
        <v>2936</v>
      </c>
      <c r="B3599" s="3">
        <f>HYPERLINK("https://leetcode.com/problems/number-of-equal-numbers-blocks/", "Number of Equal Numbers Blocks")</f>
        <v/>
      </c>
      <c r="C3599" s="1" t="n">
        <v>24</v>
      </c>
      <c r="D3599" s="1" t="n">
        <v>8</v>
      </c>
      <c r="E3599" s="4">
        <f>IF(INDEX(C:C, ROW())+INDEX(D:D, ROW())=0, 0, INDEX(C:C, ROW())/(INDEX(C:C, ROW())+INDEX(D:D, ROW())))</f>
        <v/>
      </c>
      <c r="F3599" s="1" t="inlineStr">
        <is>
          <t>Array, Binary Search, Interactive</t>
        </is>
      </c>
      <c r="G3599" s="1" t="inlineStr">
        <is>
          <t>Medium</t>
        </is>
      </c>
      <c r="H3599" s="1" t="n">
        <v>2363</v>
      </c>
      <c r="I3599" s="1" t="n">
        <v>3791</v>
      </c>
      <c r="J3599" s="9" t="n">
        <v>0.623</v>
      </c>
      <c r="K3599" s="1" t="inlineStr">
        <is>
          <t>No</t>
        </is>
      </c>
      <c r="L3599" s="1" t="inlineStr">
        <is>
          <t>No</t>
        </is>
      </c>
      <c r="M3599" s="1" t="inlineStr">
        <is>
          <t>No</t>
        </is>
      </c>
      <c r="N3599" s="1" t="inlineStr">
        <is>
          <t>Algorithms</t>
        </is>
      </c>
      <c r="O35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00" ht="15.75" customHeight="1" s="12">
      <c r="A3600" s="1" t="n">
        <v>3004</v>
      </c>
      <c r="B3600" s="3">
        <f>HYPERLINK("https://leetcode.com/problems/maximum-subtree-of-the-same-color/", "Maximum Subtree of the Same Color")</f>
        <v/>
      </c>
      <c r="C3600" s="1" t="n">
        <v>24</v>
      </c>
      <c r="D3600" s="1" t="n">
        <v>0</v>
      </c>
      <c r="E3600" s="4">
        <f>IF(INDEX(C:C, ROW())+INDEX(D:D, ROW())=0, 0, INDEX(C:C, ROW())/(INDEX(C:C, ROW())+INDEX(D:D, ROW())))</f>
        <v/>
      </c>
      <c r="F3600" s="1" t="inlineStr">
        <is>
          <t>Array, Dynamic Programming, Tree, Depth-First Search</t>
        </is>
      </c>
      <c r="G3600" s="1" t="inlineStr">
        <is>
          <t>Medium</t>
        </is>
      </c>
      <c r="H3600" s="1" t="n">
        <v>2290</v>
      </c>
      <c r="I3600" s="1" t="n">
        <v>3951</v>
      </c>
      <c r="J3600" s="9" t="n">
        <v>0.58</v>
      </c>
      <c r="K3600" s="1" t="inlineStr">
        <is>
          <t>No</t>
        </is>
      </c>
      <c r="L3600" s="1" t="inlineStr">
        <is>
          <t>No</t>
        </is>
      </c>
      <c r="M3600" s="1" t="inlineStr">
        <is>
          <t>No</t>
        </is>
      </c>
      <c r="N3600" s="1" t="inlineStr">
        <is>
          <t>Algorithms</t>
        </is>
      </c>
      <c r="O36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01" ht="15.75" customHeight="1" s="12">
      <c r="A3601" s="1" t="n">
        <v>3173</v>
      </c>
      <c r="B3601" s="3">
        <f>HYPERLINK("https://leetcode.com/problems/bitwise-or-of-adjacent-elements/", "Bitwise OR of Adjacent Elements")</f>
        <v/>
      </c>
      <c r="C3601" s="1" t="n">
        <v>24</v>
      </c>
      <c r="D3601" s="1" t="n">
        <v>2</v>
      </c>
      <c r="E3601" s="4">
        <f>IF(INDEX(C:C, ROW())+INDEX(D:D, ROW())=0, 0, INDEX(C:C, ROW())/(INDEX(C:C, ROW())+INDEX(D:D, ROW())))</f>
        <v/>
      </c>
      <c r="F3601" s="1" t="inlineStr">
        <is>
          <t>Array, Bit Manipulation</t>
        </is>
      </c>
      <c r="G3601" s="1" t="inlineStr">
        <is>
          <t>Easy</t>
        </is>
      </c>
      <c r="H3601" s="1" t="n">
        <v>6231</v>
      </c>
      <c r="I3601" s="1" t="n">
        <v>6572</v>
      </c>
      <c r="J3601" s="9" t="n">
        <v>0.948</v>
      </c>
      <c r="K3601" s="1" t="inlineStr">
        <is>
          <t>No</t>
        </is>
      </c>
      <c r="L3601" s="1" t="inlineStr">
        <is>
          <t>No</t>
        </is>
      </c>
      <c r="M3601" s="1" t="inlineStr">
        <is>
          <t>No</t>
        </is>
      </c>
      <c r="N3601" s="1" t="inlineStr">
        <is>
          <t>Algorithms</t>
        </is>
      </c>
      <c r="O36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02" ht="15.75" customHeight="1" s="12">
      <c r="A3602" s="1" t="n">
        <v>3395</v>
      </c>
      <c r="B3602" s="3">
        <f>HYPERLINK("https://leetcode.com/problems/subsequences-with-a-unique-middle-mode-i/", "Subsequences with a Unique Middle Mode I")</f>
        <v/>
      </c>
      <c r="C3602" s="1" t="n">
        <v>24</v>
      </c>
      <c r="D3602" s="1" t="n">
        <v>25</v>
      </c>
      <c r="E3602" s="4">
        <f>IF(INDEX(C:C, ROW())+INDEX(D:D, ROW())=0, 0, INDEX(C:C, ROW())/(INDEX(C:C, ROW())+INDEX(D:D, ROW())))</f>
        <v/>
      </c>
      <c r="F3602" s="1" t="inlineStr">
        <is>
          <t>Array, Hash Table, Math, Combinatorics</t>
        </is>
      </c>
      <c r="G3602" s="1" t="inlineStr">
        <is>
          <t>Hard</t>
        </is>
      </c>
      <c r="H3602" s="1" t="n">
        <v>2558</v>
      </c>
      <c r="I3602" s="1" t="n">
        <v>12494</v>
      </c>
      <c r="J3602" s="9" t="n">
        <v>0.205</v>
      </c>
      <c r="K3602" s="1" t="inlineStr">
        <is>
          <t>Yes</t>
        </is>
      </c>
      <c r="L3602" s="1" t="inlineStr">
        <is>
          <t>No</t>
        </is>
      </c>
      <c r="M3602" s="1" t="inlineStr">
        <is>
          <t>No</t>
        </is>
      </c>
      <c r="N3602" s="1" t="inlineStr">
        <is>
          <t>Algorithms</t>
        </is>
      </c>
      <c r="O36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03" ht="15.75" customHeight="1" s="12">
      <c r="A3603" s="1" t="n">
        <v>3764</v>
      </c>
      <c r="B3603" s="3">
        <f>HYPERLINK("https://leetcode.com/problems/most-common-course-pairs/", "Most Common Course Pairs")</f>
        <v/>
      </c>
      <c r="C3603" s="1" t="n">
        <v>24</v>
      </c>
      <c r="D3603" s="1" t="n">
        <v>1</v>
      </c>
      <c r="E3603" s="4">
        <f>IF(INDEX(C:C, ROW())+INDEX(D:D, ROW())=0, 0, INDEX(C:C, ROW())/(INDEX(C:C, ROW())+INDEX(D:D, ROW())))</f>
        <v/>
      </c>
      <c r="F3603" s="2" t="n"/>
      <c r="G3603" s="1" t="inlineStr">
        <is>
          <t>Hard</t>
        </is>
      </c>
      <c r="H3603" s="1" t="n">
        <v>1474</v>
      </c>
      <c r="I3603" s="1" t="n">
        <v>2785</v>
      </c>
      <c r="J3603" s="9" t="n">
        <v>0.529</v>
      </c>
      <c r="K3603" s="1" t="inlineStr">
        <is>
          <t>Yes</t>
        </is>
      </c>
      <c r="L3603" s="1" t="inlineStr">
        <is>
          <t>No</t>
        </is>
      </c>
      <c r="M3603" s="1" t="inlineStr">
        <is>
          <t>No</t>
        </is>
      </c>
      <c r="N3603" s="1" t="inlineStr">
        <is>
          <t>Database</t>
        </is>
      </c>
      <c r="O36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04" ht="15.75" customHeight="1" s="12">
      <c r="A3604" s="1" t="n">
        <v>3794</v>
      </c>
      <c r="B3604" s="3">
        <f>HYPERLINK("https://leetcode.com/problems/reverse-string-prefix/", "Reverse String Prefix")</f>
        <v/>
      </c>
      <c r="C3604" s="1" t="n">
        <v>24</v>
      </c>
      <c r="D3604" s="1" t="n">
        <v>1</v>
      </c>
      <c r="E3604" s="4">
        <f>IF(INDEX(C:C, ROW())+INDEX(D:D, ROW())=0, 0, INDEX(C:C, ROW())/(INDEX(C:C, ROW())+INDEX(D:D, ROW())))</f>
        <v/>
      </c>
      <c r="F3604" s="1" t="inlineStr">
        <is>
          <t>Two Pointers, String</t>
        </is>
      </c>
      <c r="G3604" s="1" t="inlineStr">
        <is>
          <t>Easy</t>
        </is>
      </c>
      <c r="H3604" s="1" t="n">
        <v>42962</v>
      </c>
      <c r="I3604" s="1" t="n">
        <v>48104</v>
      </c>
      <c r="J3604" s="9" t="n">
        <v>0.893</v>
      </c>
      <c r="K3604" s="1" t="inlineStr">
        <is>
          <t>Yes</t>
        </is>
      </c>
      <c r="L3604" s="1" t="inlineStr">
        <is>
          <t>No</t>
        </is>
      </c>
      <c r="M3604" s="1" t="inlineStr">
        <is>
          <t>No</t>
        </is>
      </c>
      <c r="N3604" s="1" t="inlineStr">
        <is>
          <t>Algorithms</t>
        </is>
      </c>
      <c r="O36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05" ht="15.75" customHeight="1" s="12">
      <c r="A3605" s="1" t="n">
        <v>2687</v>
      </c>
      <c r="B3605" s="3">
        <f>HYPERLINK("https://leetcode.com/problems/bikes-last-time-used/", "Bikes Last Time Used ")</f>
        <v/>
      </c>
      <c r="C3605" s="1" t="n">
        <v>23</v>
      </c>
      <c r="D3605" s="1" t="n">
        <v>3</v>
      </c>
      <c r="E3605" s="4">
        <f>IF(INDEX(C:C, ROW())+INDEX(D:D, ROW())=0, 0, INDEX(C:C, ROW())/(INDEX(C:C, ROW())+INDEX(D:D, ROW())))</f>
        <v/>
      </c>
      <c r="F3605" s="1" t="inlineStr">
        <is>
          <t>Database</t>
        </is>
      </c>
      <c r="G3605" s="1" t="inlineStr">
        <is>
          <t>Easy</t>
        </is>
      </c>
      <c r="H3605" s="1" t="n">
        <v>6152</v>
      </c>
      <c r="I3605" s="1" t="n">
        <v>7632</v>
      </c>
      <c r="J3605" s="9" t="n">
        <v>0.806</v>
      </c>
      <c r="K3605" s="1" t="inlineStr">
        <is>
          <t>No</t>
        </is>
      </c>
      <c r="L3605" s="1" t="inlineStr">
        <is>
          <t>No</t>
        </is>
      </c>
      <c r="M3605" s="1" t="inlineStr">
        <is>
          <t>No</t>
        </is>
      </c>
      <c r="N3605" s="1" t="inlineStr">
        <is>
          <t>Database</t>
        </is>
      </c>
      <c r="O36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06" ht="15.75" customHeight="1" s="12">
      <c r="A3606" s="1" t="n">
        <v>2893</v>
      </c>
      <c r="B3606" s="3">
        <f>HYPERLINK("https://leetcode.com/problems/calculate-orders-within-each-interval/", "Calculate Orders Within Each Interval")</f>
        <v/>
      </c>
      <c r="C3606" s="1" t="n">
        <v>23</v>
      </c>
      <c r="D3606" s="1" t="n">
        <v>3</v>
      </c>
      <c r="E3606" s="4">
        <f>IF(INDEX(C:C, ROW())+INDEX(D:D, ROW())=0, 0, INDEX(C:C, ROW())/(INDEX(C:C, ROW())+INDEX(D:D, ROW())))</f>
        <v/>
      </c>
      <c r="F3606" s="1" t="inlineStr">
        <is>
          <t>Database</t>
        </is>
      </c>
      <c r="G3606" s="1" t="inlineStr">
        <is>
          <t>Medium</t>
        </is>
      </c>
      <c r="H3606" s="1" t="n">
        <v>4023</v>
      </c>
      <c r="I3606" s="1" t="n">
        <v>5973</v>
      </c>
      <c r="J3606" s="9" t="n">
        <v>0.674</v>
      </c>
      <c r="K3606" s="1" t="inlineStr">
        <is>
          <t>No</t>
        </is>
      </c>
      <c r="L3606" s="1" t="inlineStr">
        <is>
          <t>No</t>
        </is>
      </c>
      <c r="M3606" s="1" t="inlineStr">
        <is>
          <t>No</t>
        </is>
      </c>
      <c r="N3606" s="1" t="inlineStr">
        <is>
          <t>Database</t>
        </is>
      </c>
      <c r="O36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07" ht="15.75" customHeight="1" s="12">
      <c r="A3607" s="1" t="n">
        <v>2898</v>
      </c>
      <c r="B3607" s="3">
        <f>HYPERLINK("https://leetcode.com/problems/maximum-linear-stock-score/", "Maximum Linear Stock Score")</f>
        <v/>
      </c>
      <c r="C3607" s="1" t="n">
        <v>23</v>
      </c>
      <c r="D3607" s="1" t="n">
        <v>4</v>
      </c>
      <c r="E3607" s="4">
        <f>IF(INDEX(C:C, ROW())+INDEX(D:D, ROW())=0, 0, INDEX(C:C, ROW())/(INDEX(C:C, ROW())+INDEX(D:D, ROW())))</f>
        <v/>
      </c>
      <c r="F3607" s="1" t="inlineStr">
        <is>
          <t>Array, Hash Table</t>
        </is>
      </c>
      <c r="G3607" s="1" t="inlineStr">
        <is>
          <t>Medium</t>
        </is>
      </c>
      <c r="H3607" s="1" t="n">
        <v>1276</v>
      </c>
      <c r="I3607" s="1" t="n">
        <v>2100</v>
      </c>
      <c r="J3607" s="9" t="n">
        <v>0.608</v>
      </c>
      <c r="K3607" s="1" t="inlineStr">
        <is>
          <t>No</t>
        </is>
      </c>
      <c r="L3607" s="1" t="inlineStr">
        <is>
          <t>No</t>
        </is>
      </c>
      <c r="M3607" s="1" t="inlineStr">
        <is>
          <t>No</t>
        </is>
      </c>
      <c r="N3607" s="1" t="inlineStr">
        <is>
          <t>Algorithms</t>
        </is>
      </c>
      <c r="O36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08" ht="15.75" customHeight="1" s="12">
      <c r="A3608" s="1" t="n">
        <v>3501</v>
      </c>
      <c r="B3608" s="3">
        <f>HYPERLINK("https://leetcode.com/problems/maximize-active-section-with-trade-ii/", "Maximize Active Section with Trade II")</f>
        <v/>
      </c>
      <c r="C3608" s="1" t="n">
        <v>23</v>
      </c>
      <c r="D3608" s="1" t="n">
        <v>8</v>
      </c>
      <c r="E3608" s="4">
        <f>IF(INDEX(C:C, ROW())+INDEX(D:D, ROW())=0, 0, INDEX(C:C, ROW())/(INDEX(C:C, ROW())+INDEX(D:D, ROW())))</f>
        <v/>
      </c>
      <c r="F3608" s="1" t="inlineStr">
        <is>
          <t>Array, String, Binary Search, Segment Tree</t>
        </is>
      </c>
      <c r="G3608" s="1" t="inlineStr">
        <is>
          <t>Hard</t>
        </is>
      </c>
      <c r="H3608" s="1" t="n">
        <v>1638</v>
      </c>
      <c r="I3608" s="1" t="n">
        <v>8183</v>
      </c>
      <c r="J3608" s="9" t="n">
        <v>0.2</v>
      </c>
      <c r="K3608" s="1" t="inlineStr">
        <is>
          <t>Yes</t>
        </is>
      </c>
      <c r="L3608" s="1" t="inlineStr">
        <is>
          <t>No</t>
        </is>
      </c>
      <c r="M3608" s="1" t="inlineStr">
        <is>
          <t>No</t>
        </is>
      </c>
      <c r="N3608" s="1" t="inlineStr">
        <is>
          <t>Algorithms</t>
        </is>
      </c>
      <c r="O36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09" ht="15.75" customHeight="1" s="12">
      <c r="A3609" s="1" t="n">
        <v>2774</v>
      </c>
      <c r="B3609" s="3">
        <f>HYPERLINK("https://leetcode.com/problems/array-upper-bound/", "Array Upper Bound")</f>
        <v/>
      </c>
      <c r="C3609" s="1" t="n">
        <v>22</v>
      </c>
      <c r="D3609" s="1" t="n">
        <v>2</v>
      </c>
      <c r="E3609" s="4">
        <f>IF(INDEX(C:C, ROW())+INDEX(D:D, ROW())=0, 0, INDEX(C:C, ROW())/(INDEX(C:C, ROW())+INDEX(D:D, ROW())))</f>
        <v/>
      </c>
      <c r="F3609" s="2" t="n"/>
      <c r="G3609" s="1" t="inlineStr">
        <is>
          <t>Easy</t>
        </is>
      </c>
      <c r="H3609" s="1" t="n">
        <v>2221</v>
      </c>
      <c r="I3609" s="1" t="n">
        <v>2710</v>
      </c>
      <c r="J3609" s="9" t="n">
        <v>0.82</v>
      </c>
      <c r="K3609" s="1" t="inlineStr">
        <is>
          <t>No</t>
        </is>
      </c>
      <c r="L3609" s="1" t="inlineStr">
        <is>
          <t>Yes</t>
        </is>
      </c>
      <c r="M3609" s="1" t="inlineStr">
        <is>
          <t>No</t>
        </is>
      </c>
      <c r="N3609" s="1" t="inlineStr">
        <is>
          <t>JavaScript</t>
        </is>
      </c>
      <c r="O36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10" ht="15.75" customHeight="1" s="12">
      <c r="A3610" s="1" t="n">
        <v>2979</v>
      </c>
      <c r="B3610" s="3">
        <f>HYPERLINK("https://leetcode.com/problems/most-expensive-item-that-can-not-be-bought/", "Most Expensive Item That Can Not Be Bought")</f>
        <v/>
      </c>
      <c r="C3610" s="1" t="n">
        <v>22</v>
      </c>
      <c r="D3610" s="1" t="n">
        <v>27</v>
      </c>
      <c r="E3610" s="4">
        <f>IF(INDEX(C:C, ROW())+INDEX(D:D, ROW())=0, 0, INDEX(C:C, ROW())/(INDEX(C:C, ROW())+INDEX(D:D, ROW())))</f>
        <v/>
      </c>
      <c r="F3610" s="1" t="inlineStr">
        <is>
          <t>Math, Dynamic Programming, Number Theory</t>
        </is>
      </c>
      <c r="G3610" s="1" t="inlineStr">
        <is>
          <t>Medium</t>
        </is>
      </c>
      <c r="H3610" s="1" t="n">
        <v>6335</v>
      </c>
      <c r="I3610" s="1" t="n">
        <v>7887</v>
      </c>
      <c r="J3610" s="9" t="n">
        <v>0.803</v>
      </c>
      <c r="K3610" s="1" t="inlineStr">
        <is>
          <t>No</t>
        </is>
      </c>
      <c r="L3610" s="1" t="inlineStr">
        <is>
          <t>No</t>
        </is>
      </c>
      <c r="M3610" s="1" t="inlineStr">
        <is>
          <t>No</t>
        </is>
      </c>
      <c r="N3610" s="1" t="inlineStr">
        <is>
          <t>Algorithms</t>
        </is>
      </c>
      <c r="O36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11" ht="15.75" customHeight="1" s="12">
      <c r="A3611" s="1" t="n">
        <v>3073</v>
      </c>
      <c r="B3611" s="3">
        <f>HYPERLINK("https://leetcode.com/problems/maximum-increasing-triplet-value/", "Maximum Increasing Triplet Value")</f>
        <v/>
      </c>
      <c r="C3611" s="1" t="n">
        <v>22</v>
      </c>
      <c r="D3611" s="1" t="n">
        <v>7</v>
      </c>
      <c r="E3611" s="4">
        <f>IF(INDEX(C:C, ROW())+INDEX(D:D, ROW())=0, 0, INDEX(C:C, ROW())/(INDEX(C:C, ROW())+INDEX(D:D, ROW())))</f>
        <v/>
      </c>
      <c r="F3611" s="1" t="inlineStr">
        <is>
          <t>Array, Ordered Set</t>
        </is>
      </c>
      <c r="G3611" s="1" t="inlineStr">
        <is>
          <t>Medium</t>
        </is>
      </c>
      <c r="H3611" s="1" t="n">
        <v>1303</v>
      </c>
      <c r="I3611" s="1" t="n">
        <v>3658</v>
      </c>
      <c r="J3611" s="9" t="n">
        <v>0.356</v>
      </c>
      <c r="K3611" s="1" t="inlineStr">
        <is>
          <t>No</t>
        </is>
      </c>
      <c r="L3611" s="1" t="inlineStr">
        <is>
          <t>No</t>
        </is>
      </c>
      <c r="M3611" s="1" t="inlineStr">
        <is>
          <t>No</t>
        </is>
      </c>
      <c r="N3611" s="1" t="inlineStr">
        <is>
          <t>Algorithms</t>
        </is>
      </c>
      <c r="O36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12" ht="15.75" customHeight="1" s="12">
      <c r="A3612" s="1" t="n">
        <v>3569</v>
      </c>
      <c r="B3612" s="3">
        <f>HYPERLINK("https://leetcode.com/problems/maximize-count-of-distinct-primes-after-split/", "Maximize Count of Distinct Primes After Split")</f>
        <v/>
      </c>
      <c r="C3612" s="1" t="n">
        <v>22</v>
      </c>
      <c r="D3612" s="1" t="n">
        <v>5</v>
      </c>
      <c r="E3612" s="4">
        <f>IF(INDEX(C:C, ROW())+INDEX(D:D, ROW())=0, 0, INDEX(C:C, ROW())/(INDEX(C:C, ROW())+INDEX(D:D, ROW())))</f>
        <v/>
      </c>
      <c r="F3612" s="1" t="inlineStr">
        <is>
          <t>Array, Math, Segment Tree, Number Theory</t>
        </is>
      </c>
      <c r="G3612" s="1" t="inlineStr">
        <is>
          <t>Hard</t>
        </is>
      </c>
      <c r="H3612" s="1" t="n">
        <v>2668</v>
      </c>
      <c r="I3612" s="1" t="n">
        <v>15022</v>
      </c>
      <c r="J3612" s="9" t="n">
        <v>0.178</v>
      </c>
      <c r="K3612" s="1" t="inlineStr">
        <is>
          <t>Yes</t>
        </is>
      </c>
      <c r="L3612" s="1" t="inlineStr">
        <is>
          <t>No</t>
        </is>
      </c>
      <c r="M3612" s="1" t="inlineStr">
        <is>
          <t>No</t>
        </is>
      </c>
      <c r="N3612" s="1" t="inlineStr">
        <is>
          <t>Algorithms</t>
        </is>
      </c>
      <c r="O36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13" ht="15.75" customHeight="1" s="12">
      <c r="A3613" s="1" t="n">
        <v>2847</v>
      </c>
      <c r="B3613" s="3">
        <f>HYPERLINK("https://leetcode.com/problems/smallest-number-with-given-digit-product/", "Smallest Number With Given Digit Product")</f>
        <v/>
      </c>
      <c r="C3613" s="1" t="n">
        <v>21</v>
      </c>
      <c r="D3613" s="1" t="n">
        <v>1</v>
      </c>
      <c r="E3613" s="4">
        <f>IF(INDEX(C:C, ROW())+INDEX(D:D, ROW())=0, 0, INDEX(C:C, ROW())/(INDEX(C:C, ROW())+INDEX(D:D, ROW())))</f>
        <v/>
      </c>
      <c r="F3613" s="1" t="inlineStr">
        <is>
          <t>Math, Greedy</t>
        </is>
      </c>
      <c r="G3613" s="1" t="inlineStr">
        <is>
          <t>Medium</t>
        </is>
      </c>
      <c r="H3613" s="1" t="n">
        <v>1347</v>
      </c>
      <c r="I3613" s="1" t="n">
        <v>3113</v>
      </c>
      <c r="J3613" s="9" t="n">
        <v>0.433</v>
      </c>
      <c r="K3613" s="1" t="inlineStr">
        <is>
          <t>No</t>
        </is>
      </c>
      <c r="L3613" s="1" t="inlineStr">
        <is>
          <t>No</t>
        </is>
      </c>
      <c r="M3613" s="1" t="inlineStr">
        <is>
          <t>No</t>
        </is>
      </c>
      <c r="N3613" s="1" t="inlineStr">
        <is>
          <t>Algorithms</t>
        </is>
      </c>
      <c r="O36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14" ht="15.75" customHeight="1" s="12">
      <c r="A3614" s="1" t="n">
        <v>2969</v>
      </c>
      <c r="B3614" s="3">
        <f>HYPERLINK("https://leetcode.com/problems/minimum-number-of-coins-for-fruits-ii/", "Minimum Number of Coins for Fruits II")</f>
        <v/>
      </c>
      <c r="C3614" s="1" t="n">
        <v>21</v>
      </c>
      <c r="D3614" s="1" t="n">
        <v>0</v>
      </c>
      <c r="E3614" s="4">
        <f>IF(INDEX(C:C, ROW())+INDEX(D:D, ROW())=0, 0, INDEX(C:C, ROW())/(INDEX(C:C, ROW())+INDEX(D:D, ROW())))</f>
        <v/>
      </c>
      <c r="F3614" s="1" t="inlineStr">
        <is>
          <t>Array, Dynamic Programming, Queue, Heap (Priority Queue), Monotonic Queue</t>
        </is>
      </c>
      <c r="G3614" s="1" t="inlineStr">
        <is>
          <t>Hard</t>
        </is>
      </c>
      <c r="H3614" s="1" t="n">
        <v>937</v>
      </c>
      <c r="I3614" s="1" t="n">
        <v>2003</v>
      </c>
      <c r="J3614" s="9" t="n">
        <v>0.468</v>
      </c>
      <c r="K3614" s="1" t="inlineStr">
        <is>
          <t>No</t>
        </is>
      </c>
      <c r="L3614" s="1" t="inlineStr">
        <is>
          <t>No</t>
        </is>
      </c>
      <c r="M3614" s="1" t="inlineStr">
        <is>
          <t>No</t>
        </is>
      </c>
      <c r="N3614" s="1" t="inlineStr">
        <is>
          <t>Algorithms</t>
        </is>
      </c>
      <c r="O36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15" ht="15.75" customHeight="1" s="12">
      <c r="A3615" s="1" t="n">
        <v>2992</v>
      </c>
      <c r="B3615" s="3">
        <f>HYPERLINK("https://leetcode.com/problems/number-of-self-divisible-permutations/", "Number of Self-Divisible Permutations")</f>
        <v/>
      </c>
      <c r="C3615" s="1" t="n">
        <v>21</v>
      </c>
      <c r="D3615" s="1" t="n">
        <v>0</v>
      </c>
      <c r="E3615" s="4">
        <f>IF(INDEX(C:C, ROW())+INDEX(D:D, ROW())=0, 0, INDEX(C:C, ROW())/(INDEX(C:C, ROW())+INDEX(D:D, ROW())))</f>
        <v/>
      </c>
      <c r="F3615" s="1" t="inlineStr">
        <is>
          <t>Array, Math, Dynamic Programming, Backtracking, Bit Manipulation, Number Theory, Bitmask DP</t>
        </is>
      </c>
      <c r="G3615" s="1" t="inlineStr">
        <is>
          <t>Medium</t>
        </is>
      </c>
      <c r="H3615" s="1" t="n">
        <v>2139</v>
      </c>
      <c r="I3615" s="1" t="n">
        <v>2988</v>
      </c>
      <c r="J3615" s="9" t="n">
        <v>0.716</v>
      </c>
      <c r="K3615" s="1" t="inlineStr">
        <is>
          <t>No</t>
        </is>
      </c>
      <c r="L3615" s="1" t="inlineStr">
        <is>
          <t>No</t>
        </is>
      </c>
      <c r="M3615" s="1" t="inlineStr">
        <is>
          <t>No</t>
        </is>
      </c>
      <c r="N3615" s="1" t="inlineStr">
        <is>
          <t>Algorithms</t>
        </is>
      </c>
      <c r="O36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16" ht="15.75" customHeight="1" s="12">
      <c r="A3616" s="1" t="n">
        <v>2668</v>
      </c>
      <c r="B3616" s="3">
        <f>HYPERLINK("https://leetcode.com/problems/find-latest-salaries/", "Find Latest Salaries")</f>
        <v/>
      </c>
      <c r="C3616" s="1" t="n">
        <v>20</v>
      </c>
      <c r="D3616" s="1" t="n">
        <v>18</v>
      </c>
      <c r="E3616" s="4">
        <f>IF(INDEX(C:C, ROW())+INDEX(D:D, ROW())=0, 0, INDEX(C:C, ROW())/(INDEX(C:C, ROW())+INDEX(D:D, ROW())))</f>
        <v/>
      </c>
      <c r="F3616" s="1" t="inlineStr">
        <is>
          <t>Database</t>
        </is>
      </c>
      <c r="G3616" s="1" t="inlineStr">
        <is>
          <t>Easy</t>
        </is>
      </c>
      <c r="H3616" s="1" t="n">
        <v>6467</v>
      </c>
      <c r="I3616" s="1" t="n">
        <v>8623</v>
      </c>
      <c r="J3616" s="9" t="n">
        <v>0.75</v>
      </c>
      <c r="K3616" s="1" t="inlineStr">
        <is>
          <t>No</t>
        </is>
      </c>
      <c r="L3616" s="1" t="inlineStr">
        <is>
          <t>Yes</t>
        </is>
      </c>
      <c r="M3616" s="1" t="inlineStr">
        <is>
          <t>No</t>
        </is>
      </c>
      <c r="N3616" s="1" t="inlineStr">
        <is>
          <t>Database</t>
        </is>
      </c>
      <c r="O36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17" ht="15.75" customHeight="1" s="12">
      <c r="A3617" s="1" t="n">
        <v>2783</v>
      </c>
      <c r="B3617" s="3">
        <f>HYPERLINK("https://leetcode.com/problems/flight-occupancy-and-waitlist-analysis/", "Flight Occupancy and Waitlist Analysis")</f>
        <v/>
      </c>
      <c r="C3617" s="1" t="n">
        <v>20</v>
      </c>
      <c r="D3617" s="1" t="n">
        <v>8</v>
      </c>
      <c r="E3617" s="4">
        <f>IF(INDEX(C:C, ROW())+INDEX(D:D, ROW())=0, 0, INDEX(C:C, ROW())/(INDEX(C:C, ROW())+INDEX(D:D, ROW())))</f>
        <v/>
      </c>
      <c r="F3617" s="1" t="inlineStr">
        <is>
          <t>Database</t>
        </is>
      </c>
      <c r="G3617" s="1" t="inlineStr">
        <is>
          <t>Medium</t>
        </is>
      </c>
      <c r="H3617" s="1" t="n">
        <v>4765</v>
      </c>
      <c r="I3617" s="1" t="n">
        <v>12334</v>
      </c>
      <c r="J3617" s="9" t="n">
        <v>0.386</v>
      </c>
      <c r="K3617" s="1" t="inlineStr">
        <is>
          <t>No</t>
        </is>
      </c>
      <c r="L3617" s="1" t="inlineStr">
        <is>
          <t>Yes</t>
        </is>
      </c>
      <c r="M3617" s="1" t="inlineStr">
        <is>
          <t>No</t>
        </is>
      </c>
      <c r="N3617" s="1" t="inlineStr">
        <is>
          <t>Database</t>
        </is>
      </c>
      <c r="O36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18" ht="15.75" customHeight="1" s="12">
      <c r="A3618" s="1" t="n">
        <v>2803</v>
      </c>
      <c r="B3618" s="3">
        <f>HYPERLINK("https://leetcode.com/problems/factorial-generator/", "Factorial Generator")</f>
        <v/>
      </c>
      <c r="C3618" s="1" t="n">
        <v>20</v>
      </c>
      <c r="D3618" s="1" t="n">
        <v>1</v>
      </c>
      <c r="E3618" s="4">
        <f>IF(INDEX(C:C, ROW())+INDEX(D:D, ROW())=0, 0, INDEX(C:C, ROW())/(INDEX(C:C, ROW())+INDEX(D:D, ROW())))</f>
        <v/>
      </c>
      <c r="F3618" s="2" t="n"/>
      <c r="G3618" s="1" t="inlineStr">
        <is>
          <t>Easy</t>
        </is>
      </c>
      <c r="H3618" s="1" t="n">
        <v>1528</v>
      </c>
      <c r="I3618" s="1" t="n">
        <v>1772</v>
      </c>
      <c r="J3618" s="9" t="n">
        <v>0.862</v>
      </c>
      <c r="K3618" s="1" t="inlineStr">
        <is>
          <t>No</t>
        </is>
      </c>
      <c r="L3618" s="1" t="inlineStr">
        <is>
          <t>Yes</t>
        </is>
      </c>
      <c r="M3618" s="1" t="inlineStr">
        <is>
          <t>No</t>
        </is>
      </c>
      <c r="N3618" s="1" t="inlineStr">
        <is>
          <t>JavaScript</t>
        </is>
      </c>
      <c r="O36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19" ht="15.75" customHeight="1" s="12">
      <c r="A3619" s="1" t="n">
        <v>2907</v>
      </c>
      <c r="B3619" s="3">
        <f>HYPERLINK("https://leetcode.com/problems/maximum-profitable-triplets-with-increasing-prices-i/", "Maximum Profitable Triplets With Increasing Prices I")</f>
        <v/>
      </c>
      <c r="C3619" s="1" t="n">
        <v>20</v>
      </c>
      <c r="D3619" s="1" t="n">
        <v>1</v>
      </c>
      <c r="E3619" s="4">
        <f>IF(INDEX(C:C, ROW())+INDEX(D:D, ROW())=0, 0, INDEX(C:C, ROW())/(INDEX(C:C, ROW())+INDEX(D:D, ROW())))</f>
        <v/>
      </c>
      <c r="F3619" s="1" t="inlineStr">
        <is>
          <t>Array, Binary Indexed Tree, Segment Tree</t>
        </is>
      </c>
      <c r="G3619" s="1" t="inlineStr">
        <is>
          <t>Medium</t>
        </is>
      </c>
      <c r="H3619" s="1" t="n">
        <v>1786</v>
      </c>
      <c r="I3619" s="1" t="n">
        <v>3246</v>
      </c>
      <c r="J3619" s="9" t="n">
        <v>0.55</v>
      </c>
      <c r="K3619" s="1" t="inlineStr">
        <is>
          <t>No</t>
        </is>
      </c>
      <c r="L3619" s="1" t="inlineStr">
        <is>
          <t>No</t>
        </is>
      </c>
      <c r="M3619" s="1" t="inlineStr">
        <is>
          <t>No</t>
        </is>
      </c>
      <c r="N3619" s="1" t="inlineStr">
        <is>
          <t>Algorithms</t>
        </is>
      </c>
      <c r="O36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20" ht="15.75" customHeight="1" s="12">
      <c r="A3620" s="1" t="n">
        <v>2922</v>
      </c>
      <c r="B3620" s="3">
        <f>HYPERLINK("https://leetcode.com/problems/market-analysis-iii/", "Market Analysis III")</f>
        <v/>
      </c>
      <c r="C3620" s="1" t="n">
        <v>20</v>
      </c>
      <c r="D3620" s="1" t="n">
        <v>5</v>
      </c>
      <c r="E3620" s="4">
        <f>IF(INDEX(C:C, ROW())+INDEX(D:D, ROW())=0, 0, INDEX(C:C, ROW())/(INDEX(C:C, ROW())+INDEX(D:D, ROW())))</f>
        <v/>
      </c>
      <c r="F3620" s="1" t="inlineStr">
        <is>
          <t>Database</t>
        </is>
      </c>
      <c r="G3620" s="1" t="inlineStr">
        <is>
          <t>Medium</t>
        </is>
      </c>
      <c r="H3620" s="1" t="n">
        <v>3834</v>
      </c>
      <c r="I3620" s="1" t="n">
        <v>9181</v>
      </c>
      <c r="J3620" s="9" t="n">
        <v>0.418</v>
      </c>
      <c r="K3620" s="1" t="inlineStr">
        <is>
          <t>No</t>
        </is>
      </c>
      <c r="L3620" s="1" t="inlineStr">
        <is>
          <t>No</t>
        </is>
      </c>
      <c r="M3620" s="1" t="inlineStr">
        <is>
          <t>No</t>
        </is>
      </c>
      <c r="N3620" s="1" t="inlineStr">
        <is>
          <t>Database</t>
        </is>
      </c>
      <c r="O36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21" ht="15.75" customHeight="1" s="12">
      <c r="A3621" s="1" t="n">
        <v>3119</v>
      </c>
      <c r="B3621" s="3">
        <f>HYPERLINK("https://leetcode.com/problems/maximum-number-of-potholes-that-can-be-fixed/", "Maximum Number of Potholes That Can Be Fixed")</f>
        <v/>
      </c>
      <c r="C3621" s="1" t="n">
        <v>20</v>
      </c>
      <c r="D3621" s="1" t="n">
        <v>2</v>
      </c>
      <c r="E3621" s="4">
        <f>IF(INDEX(C:C, ROW())+INDEX(D:D, ROW())=0, 0, INDEX(C:C, ROW())/(INDEX(C:C, ROW())+INDEX(D:D, ROW())))</f>
        <v/>
      </c>
      <c r="F3621" s="1" t="inlineStr">
        <is>
          <t>String, Greedy, Sorting</t>
        </is>
      </c>
      <c r="G3621" s="1" t="inlineStr">
        <is>
          <t>Medium</t>
        </is>
      </c>
      <c r="H3621" s="1" t="n">
        <v>3781</v>
      </c>
      <c r="I3621" s="1" t="n">
        <v>7100</v>
      </c>
      <c r="J3621" s="9" t="n">
        <v>0.533</v>
      </c>
      <c r="K3621" s="1" t="inlineStr">
        <is>
          <t>No</t>
        </is>
      </c>
      <c r="L3621" s="1" t="inlineStr">
        <is>
          <t>No</t>
        </is>
      </c>
      <c r="M3621" s="1" t="inlineStr">
        <is>
          <t>No</t>
        </is>
      </c>
      <c r="N3621" s="1" t="inlineStr">
        <is>
          <t>Algorithms</t>
        </is>
      </c>
      <c r="O36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22" ht="15.75" customHeight="1" s="12">
      <c r="A3622" s="1" t="n">
        <v>3155</v>
      </c>
      <c r="B3622" s="3">
        <f>HYPERLINK("https://leetcode.com/problems/maximum-number-of-upgradable-servers/", "Maximum Number of Upgradable Servers")</f>
        <v/>
      </c>
      <c r="C3622" s="1" t="n">
        <v>20</v>
      </c>
      <c r="D3622" s="1" t="n">
        <v>2</v>
      </c>
      <c r="E3622" s="4">
        <f>IF(INDEX(C:C, ROW())+INDEX(D:D, ROW())=0, 0, INDEX(C:C, ROW())/(INDEX(C:C, ROW())+INDEX(D:D, ROW())))</f>
        <v/>
      </c>
      <c r="F3622" s="1" t="inlineStr">
        <is>
          <t>Array, Math, Binary Search</t>
        </is>
      </c>
      <c r="G3622" s="1" t="inlineStr">
        <is>
          <t>Medium</t>
        </is>
      </c>
      <c r="H3622" s="1" t="n">
        <v>3093</v>
      </c>
      <c r="I3622" s="1" t="n">
        <v>7244</v>
      </c>
      <c r="J3622" s="9" t="n">
        <v>0.427</v>
      </c>
      <c r="K3622" s="1" t="inlineStr">
        <is>
          <t>No</t>
        </is>
      </c>
      <c r="L3622" s="1" t="inlineStr">
        <is>
          <t>No</t>
        </is>
      </c>
      <c r="M3622" s="1" t="inlineStr">
        <is>
          <t>No</t>
        </is>
      </c>
      <c r="N3622" s="1" t="inlineStr">
        <is>
          <t>Algorithms</t>
        </is>
      </c>
      <c r="O36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23" ht="15.75" customHeight="1" s="12">
      <c r="A3623" s="1" t="n">
        <v>3263</v>
      </c>
      <c r="B3623" s="3">
        <f>HYPERLINK("https://leetcode.com/problems/convert-doubly-linked-list-to-array-i/", "Convert Doubly Linked List to Array I")</f>
        <v/>
      </c>
      <c r="C3623" s="1" t="n">
        <v>20</v>
      </c>
      <c r="D3623" s="1" t="n">
        <v>5</v>
      </c>
      <c r="E3623" s="4">
        <f>IF(INDEX(C:C, ROW())+INDEX(D:D, ROW())=0, 0, INDEX(C:C, ROW())/(INDEX(C:C, ROW())+INDEX(D:D, ROW())))</f>
        <v/>
      </c>
      <c r="F3623" s="1" t="inlineStr">
        <is>
          <t>Array, Linked List, Doubly-Linked List</t>
        </is>
      </c>
      <c r="G3623" s="1" t="inlineStr">
        <is>
          <t>Easy</t>
        </is>
      </c>
      <c r="H3623" s="1" t="n">
        <v>8389</v>
      </c>
      <c r="I3623" s="1" t="n">
        <v>8845</v>
      </c>
      <c r="J3623" s="9" t="n">
        <v>0.948</v>
      </c>
      <c r="K3623" s="1" t="inlineStr">
        <is>
          <t>No</t>
        </is>
      </c>
      <c r="L3623" s="1" t="inlineStr">
        <is>
          <t>No</t>
        </is>
      </c>
      <c r="M3623" s="1" t="inlineStr">
        <is>
          <t>No</t>
        </is>
      </c>
      <c r="N3623" s="1" t="inlineStr">
        <is>
          <t>Algorithms</t>
        </is>
      </c>
      <c r="O36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24" ht="15.75" customHeight="1" s="12">
      <c r="A3624" s="1" t="n">
        <v>2253</v>
      </c>
      <c r="B3624" s="3">
        <f>HYPERLINK("https://leetcode.com/problems/dynamic-unpivoting-of-a-table/", "Dynamic Unpivoting of a Table")</f>
        <v/>
      </c>
      <c r="C3624" s="1" t="n">
        <v>19</v>
      </c>
      <c r="D3624" s="1" t="n">
        <v>13</v>
      </c>
      <c r="E3624" s="4">
        <f>IF(INDEX(C:C, ROW())+INDEX(D:D, ROW())=0, 0, INDEX(C:C, ROW())/(INDEX(C:C, ROW())+INDEX(D:D, ROW())))</f>
        <v/>
      </c>
      <c r="F3624" s="1" t="inlineStr">
        <is>
          <t>Database</t>
        </is>
      </c>
      <c r="G3624" s="1" t="inlineStr">
        <is>
          <t>Hard</t>
        </is>
      </c>
      <c r="H3624" s="1" t="n">
        <v>1402</v>
      </c>
      <c r="I3624" s="1" t="n">
        <v>2023</v>
      </c>
      <c r="J3624" s="9" t="n">
        <v>0.6929999999999999</v>
      </c>
      <c r="K3624" s="1" t="inlineStr">
        <is>
          <t>No</t>
        </is>
      </c>
      <c r="L3624" s="1" t="inlineStr">
        <is>
          <t>No</t>
        </is>
      </c>
      <c r="M3624" s="1" t="inlineStr">
        <is>
          <t>No</t>
        </is>
      </c>
      <c r="N3624" s="1" t="inlineStr">
        <is>
          <t>Database</t>
        </is>
      </c>
      <c r="O36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25" ht="15.75" customHeight="1" s="12">
      <c r="A3625" s="1" t="n">
        <v>2776</v>
      </c>
      <c r="B3625" s="3">
        <f>HYPERLINK("https://leetcode.com/problems/convert-callback-based-function-to-promise-based-function/", "Convert Callback Based Function to Promise Based Function")</f>
        <v/>
      </c>
      <c r="C3625" s="1" t="n">
        <v>19</v>
      </c>
      <c r="D3625" s="1" t="n">
        <v>12</v>
      </c>
      <c r="E3625" s="4">
        <f>IF(INDEX(C:C, ROW())+INDEX(D:D, ROW())=0, 0, INDEX(C:C, ROW())/(INDEX(C:C, ROW())+INDEX(D:D, ROW())))</f>
        <v/>
      </c>
      <c r="F3625" s="2" t="n"/>
      <c r="G3625" s="1" t="inlineStr">
        <is>
          <t>Medium</t>
        </is>
      </c>
      <c r="H3625" s="1" t="n">
        <v>1220</v>
      </c>
      <c r="I3625" s="1" t="n">
        <v>1346</v>
      </c>
      <c r="J3625" s="9" t="n">
        <v>0.906</v>
      </c>
      <c r="K3625" s="1" t="inlineStr">
        <is>
          <t>No</t>
        </is>
      </c>
      <c r="L3625" s="1" t="inlineStr">
        <is>
          <t>Yes</t>
        </is>
      </c>
      <c r="M3625" s="1" t="inlineStr">
        <is>
          <t>No</t>
        </is>
      </c>
      <c r="N3625" s="1" t="inlineStr">
        <is>
          <t>JavaScript</t>
        </is>
      </c>
      <c r="O36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26" ht="15.75" customHeight="1" s="12">
      <c r="A3626" s="1" t="n">
        <v>2853</v>
      </c>
      <c r="B3626" s="3">
        <f>HYPERLINK("https://leetcode.com/problems/highest-salaries-difference/", "Highest Salaries Difference")</f>
        <v/>
      </c>
      <c r="C3626" s="1" t="n">
        <v>19</v>
      </c>
      <c r="D3626" s="1" t="n">
        <v>1</v>
      </c>
      <c r="E3626" s="4">
        <f>IF(INDEX(C:C, ROW())+INDEX(D:D, ROW())=0, 0, INDEX(C:C, ROW())/(INDEX(C:C, ROW())+INDEX(D:D, ROW())))</f>
        <v/>
      </c>
      <c r="F3626" s="1" t="inlineStr">
        <is>
          <t>Database</t>
        </is>
      </c>
      <c r="G3626" s="1" t="inlineStr">
        <is>
          <t>Easy</t>
        </is>
      </c>
      <c r="H3626" s="1" t="n">
        <v>5752</v>
      </c>
      <c r="I3626" s="1" t="n">
        <v>7869</v>
      </c>
      <c r="J3626" s="9" t="n">
        <v>0.731</v>
      </c>
      <c r="K3626" s="1" t="inlineStr">
        <is>
          <t>No</t>
        </is>
      </c>
      <c r="L3626" s="1" t="inlineStr">
        <is>
          <t>No</t>
        </is>
      </c>
      <c r="M3626" s="1" t="inlineStr">
        <is>
          <t>No</t>
        </is>
      </c>
      <c r="N3626" s="1" t="inlineStr">
        <is>
          <t>Database</t>
        </is>
      </c>
      <c r="O36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27" ht="15.75" customHeight="1" s="12">
      <c r="A3627" s="1" t="n">
        <v>2990</v>
      </c>
      <c r="B3627" s="3">
        <f>HYPERLINK("https://leetcode.com/problems/loan-types/", "Loan Types")</f>
        <v/>
      </c>
      <c r="C3627" s="1" t="n">
        <v>19</v>
      </c>
      <c r="D3627" s="1" t="n">
        <v>8</v>
      </c>
      <c r="E3627" s="4">
        <f>IF(INDEX(C:C, ROW())+INDEX(D:D, ROW())=0, 0, INDEX(C:C, ROW())/(INDEX(C:C, ROW())+INDEX(D:D, ROW())))</f>
        <v/>
      </c>
      <c r="F3627" s="1" t="inlineStr">
        <is>
          <t>Database</t>
        </is>
      </c>
      <c r="G3627" s="1" t="inlineStr">
        <is>
          <t>Easy</t>
        </is>
      </c>
      <c r="H3627" s="1" t="n">
        <v>5758</v>
      </c>
      <c r="I3627" s="1" t="n">
        <v>9046</v>
      </c>
      <c r="J3627" s="9" t="n">
        <v>0.637</v>
      </c>
      <c r="K3627" s="1" t="inlineStr">
        <is>
          <t>No</t>
        </is>
      </c>
      <c r="L3627" s="1" t="inlineStr">
        <is>
          <t>No</t>
        </is>
      </c>
      <c r="M3627" s="1" t="inlineStr">
        <is>
          <t>No</t>
        </is>
      </c>
      <c r="N3627" s="1" t="inlineStr">
        <is>
          <t>Database</t>
        </is>
      </c>
      <c r="O36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28" ht="15.75" customHeight="1" s="12">
      <c r="A3628" s="1" t="n">
        <v>3058</v>
      </c>
      <c r="B3628" s="3">
        <f>HYPERLINK("https://leetcode.com/problems/friends-with-no-mutual-friends/", "Friends With No Mutual Friends")</f>
        <v/>
      </c>
      <c r="C3628" s="1" t="n">
        <v>19</v>
      </c>
      <c r="D3628" s="1" t="n">
        <v>3</v>
      </c>
      <c r="E3628" s="4">
        <f>IF(INDEX(C:C, ROW())+INDEX(D:D, ROW())=0, 0, INDEX(C:C, ROW())/(INDEX(C:C, ROW())+INDEX(D:D, ROW())))</f>
        <v/>
      </c>
      <c r="F3628" s="1" t="inlineStr">
        <is>
          <t>Database</t>
        </is>
      </c>
      <c r="G3628" s="1" t="inlineStr">
        <is>
          <t>Medium</t>
        </is>
      </c>
      <c r="H3628" s="1" t="n">
        <v>2867</v>
      </c>
      <c r="I3628" s="1" t="n">
        <v>5899</v>
      </c>
      <c r="J3628" s="9" t="n">
        <v>0.486</v>
      </c>
      <c r="K3628" s="1" t="inlineStr">
        <is>
          <t>No</t>
        </is>
      </c>
      <c r="L3628" s="1" t="inlineStr">
        <is>
          <t>No</t>
        </is>
      </c>
      <c r="M3628" s="1" t="inlineStr">
        <is>
          <t>No</t>
        </is>
      </c>
      <c r="N3628" s="1" t="inlineStr">
        <is>
          <t>Database</t>
        </is>
      </c>
      <c r="O36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29" ht="15.75" customHeight="1" s="12">
      <c r="A3629" s="1" t="n">
        <v>3104</v>
      </c>
      <c r="B3629" s="3">
        <f>HYPERLINK("https://leetcode.com/problems/find-longest-self-contained-substring/", "Find Longest Self-Contained Substring")</f>
        <v/>
      </c>
      <c r="C3629" s="1" t="n">
        <v>19</v>
      </c>
      <c r="D3629" s="1" t="n">
        <v>6</v>
      </c>
      <c r="E3629" s="4">
        <f>IF(INDEX(C:C, ROW())+INDEX(D:D, ROW())=0, 0, INDEX(C:C, ROW())/(INDEX(C:C, ROW())+INDEX(D:D, ROW())))</f>
        <v/>
      </c>
      <c r="F3629" s="1" t="inlineStr">
        <is>
          <t>Hash Table, String, Binary Search, Prefix Sum</t>
        </is>
      </c>
      <c r="G3629" s="1" t="inlineStr">
        <is>
          <t>Hard</t>
        </is>
      </c>
      <c r="H3629" s="1" t="n">
        <v>2904</v>
      </c>
      <c r="I3629" s="1" t="n">
        <v>4945</v>
      </c>
      <c r="J3629" s="9" t="n">
        <v>0.587</v>
      </c>
      <c r="K3629" s="1" t="inlineStr">
        <is>
          <t>No</t>
        </is>
      </c>
      <c r="L3629" s="1" t="inlineStr">
        <is>
          <t>No</t>
        </is>
      </c>
      <c r="M3629" s="1" t="inlineStr">
        <is>
          <t>No</t>
        </is>
      </c>
      <c r="N3629" s="1" t="inlineStr">
        <is>
          <t>Algorithms</t>
        </is>
      </c>
      <c r="O36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30" ht="15.75" customHeight="1" s="12">
      <c r="A3630" s="1" t="n">
        <v>3157</v>
      </c>
      <c r="B3630" s="3">
        <f>HYPERLINK("https://leetcode.com/problems/find-the-level-of-tree-with-minimum-sum/", "Find the Level of Tree with Minimum Sum")</f>
        <v/>
      </c>
      <c r="C3630" s="1" t="n">
        <v>19</v>
      </c>
      <c r="D3630" s="1" t="n">
        <v>3</v>
      </c>
      <c r="E3630" s="4">
        <f>IF(INDEX(C:C, ROW())+INDEX(D:D, ROW())=0, 0, INDEX(C:C, ROW())/(INDEX(C:C, ROW())+INDEX(D:D, ROW())))</f>
        <v/>
      </c>
      <c r="F3630" s="1" t="inlineStr">
        <is>
          <t>Tree, Depth-First Search, Breadth-First Search, Binary Tree</t>
        </is>
      </c>
      <c r="G3630" s="1" t="inlineStr">
        <is>
          <t>Medium</t>
        </is>
      </c>
      <c r="H3630" s="1" t="n">
        <v>3055</v>
      </c>
      <c r="I3630" s="1" t="n">
        <v>4413</v>
      </c>
      <c r="J3630" s="9" t="n">
        <v>0.6919999999999999</v>
      </c>
      <c r="K3630" s="1" t="inlineStr">
        <is>
          <t>No</t>
        </is>
      </c>
      <c r="L3630" s="1" t="inlineStr">
        <is>
          <t>No</t>
        </is>
      </c>
      <c r="M3630" s="1" t="inlineStr">
        <is>
          <t>No</t>
        </is>
      </c>
      <c r="N3630" s="1" t="inlineStr">
        <is>
          <t>Algorithms</t>
        </is>
      </c>
      <c r="O36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31" ht="15.75" customHeight="1" s="12">
      <c r="A3631" s="1" t="n">
        <v>2613</v>
      </c>
      <c r="B3631" s="3">
        <f>HYPERLINK("https://leetcode.com/problems/beautiful-pairs/", "Beautiful Pairs")</f>
        <v/>
      </c>
      <c r="C3631" s="1" t="n">
        <v>18</v>
      </c>
      <c r="D3631" s="1" t="n">
        <v>3</v>
      </c>
      <c r="E3631" s="4">
        <f>IF(INDEX(C:C, ROW())+INDEX(D:D, ROW())=0, 0, INDEX(C:C, ROW())/(INDEX(C:C, ROW())+INDEX(D:D, ROW())))</f>
        <v/>
      </c>
      <c r="F3631" s="1" t="inlineStr">
        <is>
          <t>Array, Math, Divide and Conquer, Geometry, Sorting, Ordered Set</t>
        </is>
      </c>
      <c r="G3631" s="1" t="inlineStr">
        <is>
          <t>Hard</t>
        </is>
      </c>
      <c r="H3631" s="1" t="n">
        <v>1066</v>
      </c>
      <c r="I3631" s="1" t="n">
        <v>2156</v>
      </c>
      <c r="J3631" s="9" t="n">
        <v>0.494</v>
      </c>
      <c r="K3631" s="1" t="inlineStr">
        <is>
          <t>No</t>
        </is>
      </c>
      <c r="L3631" s="1" t="inlineStr">
        <is>
          <t>No</t>
        </is>
      </c>
      <c r="M3631" s="1" t="inlineStr">
        <is>
          <t>No</t>
        </is>
      </c>
      <c r="N3631" s="1" t="inlineStr">
        <is>
          <t>Algorithms</t>
        </is>
      </c>
      <c r="O36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32" ht="15.75" customHeight="1" s="12">
      <c r="A3632" s="1" t="n">
        <v>2773</v>
      </c>
      <c r="B3632" s="3">
        <f>HYPERLINK("https://leetcode.com/problems/height-of-special-binary-tree/", "Height of Special Binary Tree")</f>
        <v/>
      </c>
      <c r="C3632" s="1" t="n">
        <v>18</v>
      </c>
      <c r="D3632" s="1" t="n">
        <v>43</v>
      </c>
      <c r="E3632" s="4">
        <f>IF(INDEX(C:C, ROW())+INDEX(D:D, ROW())=0, 0, INDEX(C:C, ROW())/(INDEX(C:C, ROW())+INDEX(D:D, ROW())))</f>
        <v/>
      </c>
      <c r="F3632" s="1" t="inlineStr">
        <is>
          <t>Tree, Depth-First Search, Breadth-First Search, Binary Tree</t>
        </is>
      </c>
      <c r="G3632" s="1" t="inlineStr">
        <is>
          <t>Medium</t>
        </is>
      </c>
      <c r="H3632" s="1" t="n">
        <v>1370</v>
      </c>
      <c r="I3632" s="1" t="n">
        <v>1849</v>
      </c>
      <c r="J3632" s="9" t="n">
        <v>0.741</v>
      </c>
      <c r="K3632" s="1" t="inlineStr">
        <is>
          <t>No</t>
        </is>
      </c>
      <c r="L3632" s="1" t="inlineStr">
        <is>
          <t>No</t>
        </is>
      </c>
      <c r="M3632" s="1" t="inlineStr">
        <is>
          <t>No</t>
        </is>
      </c>
      <c r="N3632" s="1" t="inlineStr">
        <is>
          <t>Algorithms</t>
        </is>
      </c>
      <c r="O36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33" ht="15.75" customHeight="1" s="12">
      <c r="A3633" s="1" t="n">
        <v>2821</v>
      </c>
      <c r="B3633" s="3">
        <f>HYPERLINK("https://leetcode.com/problems/delay-the-resolution-of-each-promise/", "Delay the Resolution of Each Promise")</f>
        <v/>
      </c>
      <c r="C3633" s="1" t="n">
        <v>18</v>
      </c>
      <c r="D3633" s="1" t="n">
        <v>5</v>
      </c>
      <c r="E3633" s="4">
        <f>IF(INDEX(C:C, ROW())+INDEX(D:D, ROW())=0, 0, INDEX(C:C, ROW())/(INDEX(C:C, ROW())+INDEX(D:D, ROW())))</f>
        <v/>
      </c>
      <c r="F3633" s="2" t="n"/>
      <c r="G3633" s="1" t="inlineStr">
        <is>
          <t>Medium</t>
        </is>
      </c>
      <c r="H3633" s="1" t="n">
        <v>977</v>
      </c>
      <c r="I3633" s="1" t="n">
        <v>1336</v>
      </c>
      <c r="J3633" s="9" t="n">
        <v>0.731</v>
      </c>
      <c r="K3633" s="1" t="inlineStr">
        <is>
          <t>No</t>
        </is>
      </c>
      <c r="L3633" s="1" t="inlineStr">
        <is>
          <t>Yes</t>
        </is>
      </c>
      <c r="M3633" s="1" t="inlineStr">
        <is>
          <t>No</t>
        </is>
      </c>
      <c r="N3633" s="1" t="inlineStr">
        <is>
          <t>JavaScript</t>
        </is>
      </c>
      <c r="O36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34" ht="15.75" customHeight="1" s="12">
      <c r="A3634" s="1" t="n">
        <v>2837</v>
      </c>
      <c r="B3634" s="3">
        <f>HYPERLINK("https://leetcode.com/problems/total-traveled-distance/", "Total Traveled Distance")</f>
        <v/>
      </c>
      <c r="C3634" s="1" t="n">
        <v>18</v>
      </c>
      <c r="D3634" s="1" t="n">
        <v>4</v>
      </c>
      <c r="E3634" s="4">
        <f>IF(INDEX(C:C, ROW())+INDEX(D:D, ROW())=0, 0, INDEX(C:C, ROW())/(INDEX(C:C, ROW())+INDEX(D:D, ROW())))</f>
        <v/>
      </c>
      <c r="F3634" s="1" t="inlineStr">
        <is>
          <t>Database</t>
        </is>
      </c>
      <c r="G3634" s="1" t="inlineStr">
        <is>
          <t>Easy</t>
        </is>
      </c>
      <c r="H3634" s="1" t="n">
        <v>5419</v>
      </c>
      <c r="I3634" s="1" t="n">
        <v>7049</v>
      </c>
      <c r="J3634" s="9" t="n">
        <v>0.769</v>
      </c>
      <c r="K3634" s="1" t="inlineStr">
        <is>
          <t>No</t>
        </is>
      </c>
      <c r="L3634" s="1" t="inlineStr">
        <is>
          <t>Yes</t>
        </is>
      </c>
      <c r="M3634" s="1" t="inlineStr">
        <is>
          <t>No</t>
        </is>
      </c>
      <c r="N3634" s="1" t="inlineStr">
        <is>
          <t>Database</t>
        </is>
      </c>
      <c r="O36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35" ht="15.75" customHeight="1" s="12">
      <c r="A3635" s="1" t="n">
        <v>2912</v>
      </c>
      <c r="B3635" s="3">
        <f>HYPERLINK("https://leetcode.com/problems/number-of-ways-to-reach-destination-in-the-grid/", "Number of Ways to Reach Destination in the Grid")</f>
        <v/>
      </c>
      <c r="C3635" s="1" t="n">
        <v>18</v>
      </c>
      <c r="D3635" s="1" t="n">
        <v>5</v>
      </c>
      <c r="E3635" s="4">
        <f>IF(INDEX(C:C, ROW())+INDEX(D:D, ROW())=0, 0, INDEX(C:C, ROW())/(INDEX(C:C, ROW())+INDEX(D:D, ROW())))</f>
        <v/>
      </c>
      <c r="F3635" s="1" t="inlineStr">
        <is>
          <t>Math, Dynamic Programming, Combinatorics</t>
        </is>
      </c>
      <c r="G3635" s="1" t="inlineStr">
        <is>
          <t>Hard</t>
        </is>
      </c>
      <c r="H3635" s="1" t="n">
        <v>1146</v>
      </c>
      <c r="I3635" s="1" t="n">
        <v>1968</v>
      </c>
      <c r="J3635" s="9" t="n">
        <v>0.582</v>
      </c>
      <c r="K3635" s="1" t="inlineStr">
        <is>
          <t>No</t>
        </is>
      </c>
      <c r="L3635" s="1" t="inlineStr">
        <is>
          <t>No</t>
        </is>
      </c>
      <c r="M3635" s="1" t="inlineStr">
        <is>
          <t>No</t>
        </is>
      </c>
      <c r="N3635" s="1" t="inlineStr">
        <is>
          <t>Algorithms</t>
        </is>
      </c>
      <c r="O36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36" ht="15.75" customHeight="1" s="12">
      <c r="A3636" s="1" t="n">
        <v>3054</v>
      </c>
      <c r="B3636" s="3">
        <f>HYPERLINK("https://leetcode.com/problems/binary-tree-nodes/", "Binary Tree Nodes")</f>
        <v/>
      </c>
      <c r="C3636" s="1" t="n">
        <v>18</v>
      </c>
      <c r="D3636" s="1" t="n">
        <v>2</v>
      </c>
      <c r="E3636" s="4">
        <f>IF(INDEX(C:C, ROW())+INDEX(D:D, ROW())=0, 0, INDEX(C:C, ROW())/(INDEX(C:C, ROW())+INDEX(D:D, ROW())))</f>
        <v/>
      </c>
      <c r="F3636" s="1" t="inlineStr">
        <is>
          <t>Database</t>
        </is>
      </c>
      <c r="G3636" s="1" t="inlineStr">
        <is>
          <t>Medium</t>
        </is>
      </c>
      <c r="H3636" s="1" t="n">
        <v>3615</v>
      </c>
      <c r="I3636" s="1" t="n">
        <v>4605</v>
      </c>
      <c r="J3636" s="9" t="n">
        <v>0.785</v>
      </c>
      <c r="K3636" s="1" t="inlineStr">
        <is>
          <t>No</t>
        </is>
      </c>
      <c r="L3636" s="1" t="inlineStr">
        <is>
          <t>Yes</t>
        </is>
      </c>
      <c r="M3636" s="1" t="inlineStr">
        <is>
          <t>No</t>
        </is>
      </c>
      <c r="N3636" s="1" t="inlineStr">
        <is>
          <t>Database</t>
        </is>
      </c>
      <c r="O36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37" ht="15.75" customHeight="1" s="12">
      <c r="A3637" s="1" t="n">
        <v>3150</v>
      </c>
      <c r="B3637" s="3">
        <f>HYPERLINK("https://leetcode.com/problems/invalid-tweets-ii/", "Invalid Tweets II")</f>
        <v/>
      </c>
      <c r="C3637" s="1" t="n">
        <v>18</v>
      </c>
      <c r="D3637" s="1" t="n">
        <v>3</v>
      </c>
      <c r="E3637" s="4">
        <f>IF(INDEX(C:C, ROW())+INDEX(D:D, ROW())=0, 0, INDEX(C:C, ROW())/(INDEX(C:C, ROW())+INDEX(D:D, ROW())))</f>
        <v/>
      </c>
      <c r="F3637" s="1" t="inlineStr">
        <is>
          <t>Database</t>
        </is>
      </c>
      <c r="G3637" s="1" t="inlineStr">
        <is>
          <t>Easy</t>
        </is>
      </c>
      <c r="H3637" s="1" t="n">
        <v>3682</v>
      </c>
      <c r="I3637" s="1" t="n">
        <v>4343</v>
      </c>
      <c r="J3637" s="9" t="n">
        <v>0.848</v>
      </c>
      <c r="K3637" s="1" t="inlineStr">
        <is>
          <t>No</t>
        </is>
      </c>
      <c r="L3637" s="1" t="inlineStr">
        <is>
          <t>No</t>
        </is>
      </c>
      <c r="M3637" s="1" t="inlineStr">
        <is>
          <t>No</t>
        </is>
      </c>
      <c r="N3637" s="1" t="inlineStr">
        <is>
          <t>Database</t>
        </is>
      </c>
      <c r="O36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38" ht="15.75" customHeight="1" s="12">
      <c r="A3638" s="1" t="n">
        <v>3167</v>
      </c>
      <c r="B3638" s="3">
        <f>HYPERLINK("https://leetcode.com/problems/better-compression-of-string/", "Better Compression of String")</f>
        <v/>
      </c>
      <c r="C3638" s="1" t="n">
        <v>18</v>
      </c>
      <c r="D3638" s="1" t="n">
        <v>4</v>
      </c>
      <c r="E3638" s="4">
        <f>IF(INDEX(C:C, ROW())+INDEX(D:D, ROW())=0, 0, INDEX(C:C, ROW())/(INDEX(C:C, ROW())+INDEX(D:D, ROW())))</f>
        <v/>
      </c>
      <c r="F3638" s="1" t="inlineStr">
        <is>
          <t>Hash Table, String, Sorting, Counting</t>
        </is>
      </c>
      <c r="G3638" s="1" t="inlineStr">
        <is>
          <t>Medium</t>
        </is>
      </c>
      <c r="H3638" s="1" t="n">
        <v>5617</v>
      </c>
      <c r="I3638" s="1" t="n">
        <v>7420</v>
      </c>
      <c r="J3638" s="9" t="n">
        <v>0.757</v>
      </c>
      <c r="K3638" s="1" t="inlineStr">
        <is>
          <t>No</t>
        </is>
      </c>
      <c r="L3638" s="1" t="inlineStr">
        <is>
          <t>No</t>
        </is>
      </c>
      <c r="M3638" s="1" t="inlineStr">
        <is>
          <t>No</t>
        </is>
      </c>
      <c r="N3638" s="1" t="inlineStr">
        <is>
          <t>Algorithms</t>
        </is>
      </c>
      <c r="O36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39" ht="15.75" customHeight="1" s="12">
      <c r="A3639" s="1" t="n">
        <v>3183</v>
      </c>
      <c r="B3639" s="3">
        <f>HYPERLINK("https://leetcode.com/problems/the-number-of-ways-to-make-the-sum/", "The Number of Ways to Make the Sum")</f>
        <v/>
      </c>
      <c r="C3639" s="1" t="n">
        <v>18</v>
      </c>
      <c r="D3639" s="1" t="n">
        <v>1</v>
      </c>
      <c r="E3639" s="4">
        <f>IF(INDEX(C:C, ROW())+INDEX(D:D, ROW())=0, 0, INDEX(C:C, ROW())/(INDEX(C:C, ROW())+INDEX(D:D, ROW())))</f>
        <v/>
      </c>
      <c r="F3639" s="1" t="inlineStr">
        <is>
          <t>Array, Dynamic Programming</t>
        </is>
      </c>
      <c r="G3639" s="1" t="inlineStr">
        <is>
          <t>Medium</t>
        </is>
      </c>
      <c r="H3639" s="1" t="n">
        <v>1835</v>
      </c>
      <c r="I3639" s="1" t="n">
        <v>3594</v>
      </c>
      <c r="J3639" s="9" t="n">
        <v>0.511</v>
      </c>
      <c r="K3639" s="1" t="inlineStr">
        <is>
          <t>No</t>
        </is>
      </c>
      <c r="L3639" s="1" t="inlineStr">
        <is>
          <t>No</t>
        </is>
      </c>
      <c r="M3639" s="1" t="inlineStr">
        <is>
          <t>No</t>
        </is>
      </c>
      <c r="N3639" s="1" t="inlineStr">
        <is>
          <t>Algorithms</t>
        </is>
      </c>
      <c r="O36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40" ht="15.75" customHeight="1" s="12">
      <c r="A3640" s="1" t="n">
        <v>3793</v>
      </c>
      <c r="B3640" s="3">
        <f>HYPERLINK("https://leetcode.com/problems/find-users-with-high-token-usage/", "Find Users with High Token Usage")</f>
        <v/>
      </c>
      <c r="C3640" s="1" t="n">
        <v>18</v>
      </c>
      <c r="D3640" s="1" t="n">
        <v>1</v>
      </c>
      <c r="E3640" s="4">
        <f>IF(INDEX(C:C, ROW())+INDEX(D:D, ROW())=0, 0, INDEX(C:C, ROW())/(INDEX(C:C, ROW())+INDEX(D:D, ROW())))</f>
        <v/>
      </c>
      <c r="F3640" s="2" t="n"/>
      <c r="G3640" s="1" t="inlineStr">
        <is>
          <t>Easy</t>
        </is>
      </c>
      <c r="H3640" s="1" t="n">
        <v>2298</v>
      </c>
      <c r="I3640" s="1" t="n">
        <v>3627</v>
      </c>
      <c r="J3640" s="9" t="n">
        <v>0.634</v>
      </c>
      <c r="K3640" s="1" t="inlineStr">
        <is>
          <t>Yes</t>
        </is>
      </c>
      <c r="L3640" s="1" t="inlineStr">
        <is>
          <t>No</t>
        </is>
      </c>
      <c r="M3640" s="1" t="inlineStr">
        <is>
          <t>No</t>
        </is>
      </c>
      <c r="N3640" s="1" t="inlineStr">
        <is>
          <t>Database</t>
        </is>
      </c>
      <c r="O36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41" ht="15.75" customHeight="1" s="12">
      <c r="A3641" s="1" t="n">
        <v>2669</v>
      </c>
      <c r="B3641" s="3">
        <f>HYPERLINK("https://leetcode.com/problems/count-artist-occurrences-on-spotify-ranking-list/", "Count Artist Occurrences On Spotify Ranking List")</f>
        <v/>
      </c>
      <c r="C3641" s="1" t="n">
        <v>17</v>
      </c>
      <c r="D3641" s="1" t="n">
        <v>2</v>
      </c>
      <c r="E3641" s="4">
        <f>IF(INDEX(C:C, ROW())+INDEX(D:D, ROW())=0, 0, INDEX(C:C, ROW())/(INDEX(C:C, ROW())+INDEX(D:D, ROW())))</f>
        <v/>
      </c>
      <c r="F3641" s="1" t="inlineStr">
        <is>
          <t>Database</t>
        </is>
      </c>
      <c r="G3641" s="1" t="inlineStr">
        <is>
          <t>Easy</t>
        </is>
      </c>
      <c r="H3641" s="1" t="n">
        <v>5744</v>
      </c>
      <c r="I3641" s="1" t="n">
        <v>7748</v>
      </c>
      <c r="J3641" s="9" t="n">
        <v>0.741</v>
      </c>
      <c r="K3641" s="1" t="inlineStr">
        <is>
          <t>No</t>
        </is>
      </c>
      <c r="L3641" s="1" t="inlineStr">
        <is>
          <t>No</t>
        </is>
      </c>
      <c r="M3641" s="1" t="inlineStr">
        <is>
          <t>No</t>
        </is>
      </c>
      <c r="N3641" s="1" t="inlineStr">
        <is>
          <t>Database</t>
        </is>
      </c>
      <c r="O36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42" ht="15.75" customHeight="1" s="12">
      <c r="A3642" s="1" t="n">
        <v>2692</v>
      </c>
      <c r="B3642" s="3">
        <f>HYPERLINK("https://leetcode.com/problems/make-object-immutable/", "Make Object Immutable")</f>
        <v/>
      </c>
      <c r="C3642" s="1" t="n">
        <v>17</v>
      </c>
      <c r="D3642" s="1" t="n">
        <v>0</v>
      </c>
      <c r="E3642" s="4">
        <f>IF(INDEX(C:C, ROW())+INDEX(D:D, ROW())=0, 0, INDEX(C:C, ROW())/(INDEX(C:C, ROW())+INDEX(D:D, ROW())))</f>
        <v/>
      </c>
      <c r="F3642" s="2" t="n"/>
      <c r="G3642" s="1" t="inlineStr">
        <is>
          <t>Medium</t>
        </is>
      </c>
      <c r="H3642" s="1" t="n">
        <v>678</v>
      </c>
      <c r="I3642" s="1" t="n">
        <v>1090</v>
      </c>
      <c r="J3642" s="9" t="n">
        <v>0.622</v>
      </c>
      <c r="K3642" s="1" t="inlineStr">
        <is>
          <t>No</t>
        </is>
      </c>
      <c r="L3642" s="1" t="inlineStr">
        <is>
          <t>Yes</t>
        </is>
      </c>
      <c r="M3642" s="1" t="inlineStr">
        <is>
          <t>No</t>
        </is>
      </c>
      <c r="N3642" s="1" t="inlineStr">
        <is>
          <t>JavaScript</t>
        </is>
      </c>
      <c r="O36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43" ht="15.75" customHeight="1" s="12">
      <c r="A3643" s="1" t="n">
        <v>2754</v>
      </c>
      <c r="B3643" s="3">
        <f>HYPERLINK("https://leetcode.com/problems/bind-function-to-context/", "Bind Function to Context")</f>
        <v/>
      </c>
      <c r="C3643" s="1" t="n">
        <v>17</v>
      </c>
      <c r="D3643" s="1" t="n">
        <v>0</v>
      </c>
      <c r="E3643" s="4">
        <f>IF(INDEX(C:C, ROW())+INDEX(D:D, ROW())=0, 0, INDEX(C:C, ROW())/(INDEX(C:C, ROW())+INDEX(D:D, ROW())))</f>
        <v/>
      </c>
      <c r="F3643" s="2" t="n"/>
      <c r="G3643" s="1" t="inlineStr">
        <is>
          <t>Medium</t>
        </is>
      </c>
      <c r="H3643" s="1" t="n">
        <v>1029</v>
      </c>
      <c r="I3643" s="1" t="n">
        <v>1184</v>
      </c>
      <c r="J3643" s="9" t="n">
        <v>0.869</v>
      </c>
      <c r="K3643" s="1" t="inlineStr">
        <is>
          <t>No</t>
        </is>
      </c>
      <c r="L3643" s="1" t="inlineStr">
        <is>
          <t>Yes</t>
        </is>
      </c>
      <c r="M3643" s="1" t="inlineStr">
        <is>
          <t>No</t>
        </is>
      </c>
      <c r="N3643" s="1" t="inlineStr">
        <is>
          <t>JavaScript</t>
        </is>
      </c>
      <c r="O36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44" ht="15.75" customHeight="1" s="12">
      <c r="A3644" s="1" t="n">
        <v>2759</v>
      </c>
      <c r="B3644" s="3">
        <f>HYPERLINK("https://leetcode.com/problems/convert-json-string-to-object/", "Convert JSON String to Object")</f>
        <v/>
      </c>
      <c r="C3644" s="1" t="n">
        <v>17</v>
      </c>
      <c r="D3644" s="1" t="n">
        <v>3</v>
      </c>
      <c r="E3644" s="4">
        <f>IF(INDEX(C:C, ROW())+INDEX(D:D, ROW())=0, 0, INDEX(C:C, ROW())/(INDEX(C:C, ROW())+INDEX(D:D, ROW())))</f>
        <v/>
      </c>
      <c r="F3644" s="2" t="n"/>
      <c r="G3644" s="1" t="inlineStr">
        <is>
          <t>Hard</t>
        </is>
      </c>
      <c r="H3644" s="1" t="n">
        <v>864</v>
      </c>
      <c r="I3644" s="1" t="n">
        <v>1417</v>
      </c>
      <c r="J3644" s="9" t="n">
        <v>0.61</v>
      </c>
      <c r="K3644" s="1" t="inlineStr">
        <is>
          <t>No</t>
        </is>
      </c>
      <c r="L3644" s="1" t="inlineStr">
        <is>
          <t>Yes</t>
        </is>
      </c>
      <c r="M3644" s="1" t="inlineStr">
        <is>
          <t>No</t>
        </is>
      </c>
      <c r="N3644" s="1" t="inlineStr">
        <is>
          <t>JavaScript</t>
        </is>
      </c>
      <c r="O36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45" ht="15.75" customHeight="1" s="12">
      <c r="A3645" s="1" t="n">
        <v>2805</v>
      </c>
      <c r="B3645" s="3">
        <f>HYPERLINK("https://leetcode.com/problems/custom-interval/", "Custom Interval")</f>
        <v/>
      </c>
      <c r="C3645" s="1" t="n">
        <v>17</v>
      </c>
      <c r="D3645" s="1" t="n">
        <v>8</v>
      </c>
      <c r="E3645" s="4">
        <f>IF(INDEX(C:C, ROW())+INDEX(D:D, ROW())=0, 0, INDEX(C:C, ROW())/(INDEX(C:C, ROW())+INDEX(D:D, ROW())))</f>
        <v/>
      </c>
      <c r="F3645" s="2" t="n"/>
      <c r="G3645" s="1" t="inlineStr">
        <is>
          <t>Medium</t>
        </is>
      </c>
      <c r="H3645" s="1" t="n">
        <v>695</v>
      </c>
      <c r="I3645" s="1" t="n">
        <v>829</v>
      </c>
      <c r="J3645" s="9" t="n">
        <v>0.838</v>
      </c>
      <c r="K3645" s="1" t="inlineStr">
        <is>
          <t>No</t>
        </is>
      </c>
      <c r="L3645" s="1" t="inlineStr">
        <is>
          <t>Yes</t>
        </is>
      </c>
      <c r="M3645" s="1" t="inlineStr">
        <is>
          <t>No</t>
        </is>
      </c>
      <c r="N3645" s="1" t="inlineStr">
        <is>
          <t>JavaScript</t>
        </is>
      </c>
      <c r="O36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46" ht="15.75" customHeight="1" s="12">
      <c r="A3646" s="1" t="n">
        <v>2819</v>
      </c>
      <c r="B3646" s="3">
        <f>HYPERLINK("https://leetcode.com/problems/minimum-relative-loss-after-buying-chocolates/", "Minimum Relative Loss After Buying Chocolates")</f>
        <v/>
      </c>
      <c r="C3646" s="1" t="n">
        <v>17</v>
      </c>
      <c r="D3646" s="1" t="n">
        <v>3</v>
      </c>
      <c r="E3646" s="4">
        <f>IF(INDEX(C:C, ROW())+INDEX(D:D, ROW())=0, 0, INDEX(C:C, ROW())/(INDEX(C:C, ROW())+INDEX(D:D, ROW())))</f>
        <v/>
      </c>
      <c r="F3646" s="1" t="inlineStr">
        <is>
          <t>Array, Binary Search, Sorting, Prefix Sum</t>
        </is>
      </c>
      <c r="G3646" s="1" t="inlineStr">
        <is>
          <t>Hard</t>
        </is>
      </c>
      <c r="H3646" s="1" t="n">
        <v>664</v>
      </c>
      <c r="I3646" s="1" t="n">
        <v>1443</v>
      </c>
      <c r="J3646" s="9" t="n">
        <v>0.46</v>
      </c>
      <c r="K3646" s="1" t="inlineStr">
        <is>
          <t>No</t>
        </is>
      </c>
      <c r="L3646" s="1" t="inlineStr">
        <is>
          <t>No</t>
        </is>
      </c>
      <c r="M3646" s="1" t="inlineStr">
        <is>
          <t>No</t>
        </is>
      </c>
      <c r="N3646" s="1" t="inlineStr">
        <is>
          <t>Algorithms</t>
        </is>
      </c>
      <c r="O36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47" ht="15.75" customHeight="1" s="12">
      <c r="A3647" s="1" t="n">
        <v>2822</v>
      </c>
      <c r="B3647" s="3">
        <f>HYPERLINK("https://leetcode.com/problems/inversion-of-object/", "Inversion of Object")</f>
        <v/>
      </c>
      <c r="C3647" s="1" t="n">
        <v>17</v>
      </c>
      <c r="D3647" s="1" t="n">
        <v>1</v>
      </c>
      <c r="E3647" s="4">
        <f>IF(INDEX(C:C, ROW())+INDEX(D:D, ROW())=0, 0, INDEX(C:C, ROW())/(INDEX(C:C, ROW())+INDEX(D:D, ROW())))</f>
        <v/>
      </c>
      <c r="F3647" s="2" t="n"/>
      <c r="G3647" s="1" t="inlineStr">
        <is>
          <t>Easy</t>
        </is>
      </c>
      <c r="H3647" s="1" t="n">
        <v>1359</v>
      </c>
      <c r="I3647" s="1" t="n">
        <v>2274</v>
      </c>
      <c r="J3647" s="9" t="n">
        <v>0.598</v>
      </c>
      <c r="K3647" s="1" t="inlineStr">
        <is>
          <t>No</t>
        </is>
      </c>
      <c r="L3647" s="1" t="inlineStr">
        <is>
          <t>No</t>
        </is>
      </c>
      <c r="M3647" s="1" t="inlineStr">
        <is>
          <t>No</t>
        </is>
      </c>
      <c r="N3647" s="1" t="inlineStr">
        <is>
          <t>JavaScript</t>
        </is>
      </c>
      <c r="O36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48" ht="15.75" customHeight="1" s="12">
      <c r="A3648" s="1" t="n">
        <v>2823</v>
      </c>
      <c r="B3648" s="3">
        <f>HYPERLINK("https://leetcode.com/problems/deep-object-filter/", "Deep Object Filter")</f>
        <v/>
      </c>
      <c r="C3648" s="1" t="n">
        <v>17</v>
      </c>
      <c r="D3648" s="1" t="n">
        <v>3</v>
      </c>
      <c r="E3648" s="4">
        <f>IF(INDEX(C:C, ROW())+INDEX(D:D, ROW())=0, 0, INDEX(C:C, ROW())/(INDEX(C:C, ROW())+INDEX(D:D, ROW())))</f>
        <v/>
      </c>
      <c r="F3648" s="2" t="n"/>
      <c r="G3648" s="1" t="inlineStr">
        <is>
          <t>Medium</t>
        </is>
      </c>
      <c r="H3648" s="1" t="n">
        <v>658</v>
      </c>
      <c r="I3648" s="1" t="n">
        <v>1173</v>
      </c>
      <c r="J3648" s="9" t="n">
        <v>0.5610000000000001</v>
      </c>
      <c r="K3648" s="1" t="inlineStr">
        <is>
          <t>No</t>
        </is>
      </c>
      <c r="L3648" s="1" t="inlineStr">
        <is>
          <t>Yes</t>
        </is>
      </c>
      <c r="M3648" s="1" t="inlineStr">
        <is>
          <t>No</t>
        </is>
      </c>
      <c r="N3648" s="1" t="inlineStr">
        <is>
          <t>JavaScript</t>
        </is>
      </c>
      <c r="O36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49" ht="15.75" customHeight="1" s="12">
      <c r="A3649" s="1" t="n">
        <v>3215</v>
      </c>
      <c r="B3649" s="3">
        <f>HYPERLINK("https://leetcode.com/problems/count-triplets-with-even-xor-set-bits-ii/", "Count Triplets with Even XOR Set Bits II")</f>
        <v/>
      </c>
      <c r="C3649" s="1" t="n">
        <v>17</v>
      </c>
      <c r="D3649" s="1" t="n">
        <v>3</v>
      </c>
      <c r="E3649" s="4">
        <f>IF(INDEX(C:C, ROW())+INDEX(D:D, ROW())=0, 0, INDEX(C:C, ROW())/(INDEX(C:C, ROW())+INDEX(D:D, ROW())))</f>
        <v/>
      </c>
      <c r="F3649" s="1" t="inlineStr">
        <is>
          <t>Array, Bit Manipulation</t>
        </is>
      </c>
      <c r="G3649" s="1" t="inlineStr">
        <is>
          <t>Medium</t>
        </is>
      </c>
      <c r="H3649" s="1" t="n">
        <v>766</v>
      </c>
      <c r="I3649" s="1" t="n">
        <v>1259</v>
      </c>
      <c r="J3649" s="9" t="n">
        <v>0.608</v>
      </c>
      <c r="K3649" s="1" t="inlineStr">
        <is>
          <t>No</t>
        </is>
      </c>
      <c r="L3649" s="1" t="inlineStr">
        <is>
          <t>No</t>
        </is>
      </c>
      <c r="M3649" s="1" t="inlineStr">
        <is>
          <t>No</t>
        </is>
      </c>
      <c r="N3649" s="1" t="inlineStr">
        <is>
          <t>Algorithms</t>
        </is>
      </c>
      <c r="O36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50" ht="15.75" customHeight="1" s="12">
      <c r="A3650" s="1" t="n">
        <v>3221</v>
      </c>
      <c r="B3650" s="3">
        <f>HYPERLINK("https://leetcode.com/problems/maximum-array-hopping-score-ii/", "Maximum Array Hopping Score II")</f>
        <v/>
      </c>
      <c r="C3650" s="1" t="n">
        <v>17</v>
      </c>
      <c r="D3650" s="1" t="n">
        <v>2</v>
      </c>
      <c r="E3650" s="4">
        <f>IF(INDEX(C:C, ROW())+INDEX(D:D, ROW())=0, 0, INDEX(C:C, ROW())/(INDEX(C:C, ROW())+INDEX(D:D, ROW())))</f>
        <v/>
      </c>
      <c r="F3650" s="1" t="inlineStr">
        <is>
          <t>Array, Stack, Greedy, Monotonic Stack</t>
        </is>
      </c>
      <c r="G3650" s="1" t="inlineStr">
        <is>
          <t>Medium</t>
        </is>
      </c>
      <c r="H3650" s="1" t="n">
        <v>1080</v>
      </c>
      <c r="I3650" s="1" t="n">
        <v>1828</v>
      </c>
      <c r="J3650" s="9" t="n">
        <v>0.591</v>
      </c>
      <c r="K3650" s="1" t="inlineStr">
        <is>
          <t>No</t>
        </is>
      </c>
      <c r="L3650" s="1" t="inlineStr">
        <is>
          <t>No</t>
        </is>
      </c>
      <c r="M3650" s="1" t="inlineStr">
        <is>
          <t>No</t>
        </is>
      </c>
      <c r="N3650" s="1" t="inlineStr">
        <is>
          <t>Algorithms</t>
        </is>
      </c>
      <c r="O36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51" ht="15.75" customHeight="1" s="12">
      <c r="A3651" s="1" t="n">
        <v>3323</v>
      </c>
      <c r="B3651" s="3">
        <f>HYPERLINK("https://leetcode.com/problems/minimize-connected-groups-by-inserting-interval/", "Minimize Connected Groups by Inserting Interval")</f>
        <v/>
      </c>
      <c r="C3651" s="1" t="n">
        <v>17</v>
      </c>
      <c r="D3651" s="1" t="n">
        <v>3</v>
      </c>
      <c r="E3651" s="4">
        <f>IF(INDEX(C:C, ROW())+INDEX(D:D, ROW())=0, 0, INDEX(C:C, ROW())/(INDEX(C:C, ROW())+INDEX(D:D, ROW())))</f>
        <v/>
      </c>
      <c r="F3651" s="1" t="inlineStr">
        <is>
          <t>Array, Binary Search, Sliding Window, Sorting</t>
        </is>
      </c>
      <c r="G3651" s="1" t="inlineStr">
        <is>
          <t>Medium</t>
        </is>
      </c>
      <c r="H3651" s="1" t="n">
        <v>1340</v>
      </c>
      <c r="I3651" s="1" t="n">
        <v>2681</v>
      </c>
      <c r="J3651" s="9" t="n">
        <v>0.5</v>
      </c>
      <c r="K3651" s="1" t="inlineStr">
        <is>
          <t>No</t>
        </is>
      </c>
      <c r="L3651" s="1" t="inlineStr">
        <is>
          <t>No</t>
        </is>
      </c>
      <c r="M3651" s="1" t="inlineStr">
        <is>
          <t>No</t>
        </is>
      </c>
      <c r="N3651" s="1" t="inlineStr">
        <is>
          <t>Algorithms</t>
        </is>
      </c>
      <c r="O36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52" ht="15.75" customHeight="1" s="12">
      <c r="A3652" s="1" t="n">
        <v>2005</v>
      </c>
      <c r="B3652" s="3">
        <f>HYPERLINK("https://leetcode.com/problems/subtree-removal-game-with-fibonacci-tree/", "Subtree Removal Game with Fibonacci Tree")</f>
        <v/>
      </c>
      <c r="C3652" s="1" t="n">
        <v>16</v>
      </c>
      <c r="D3652" s="1" t="n">
        <v>49</v>
      </c>
      <c r="E3652" s="4">
        <f>IF(INDEX(C:C, ROW())+INDEX(D:D, ROW())=0, 0, INDEX(C:C, ROW())/(INDEX(C:C, ROW())+INDEX(D:D, ROW())))</f>
        <v/>
      </c>
      <c r="F3652" s="1" t="inlineStr">
        <is>
          <t>Math, Dynamic Programming, Tree, Binary Tree, Game Theory</t>
        </is>
      </c>
      <c r="G3652" s="1" t="inlineStr">
        <is>
          <t>Hard</t>
        </is>
      </c>
      <c r="H3652" s="1" t="n">
        <v>891</v>
      </c>
      <c r="I3652" s="1" t="n">
        <v>1545</v>
      </c>
      <c r="J3652" s="9" t="n">
        <v>0.577</v>
      </c>
      <c r="K3652" s="1" t="inlineStr">
        <is>
          <t>No</t>
        </is>
      </c>
      <c r="L3652" s="1" t="inlineStr">
        <is>
          <t>No</t>
        </is>
      </c>
      <c r="M3652" s="1" t="inlineStr">
        <is>
          <t>No</t>
        </is>
      </c>
      <c r="N3652" s="1" t="inlineStr">
        <is>
          <t>Algorithms</t>
        </is>
      </c>
      <c r="O36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53" ht="15.75" customHeight="1" s="12">
      <c r="A3653" s="1" t="n">
        <v>2686</v>
      </c>
      <c r="B3653" s="3">
        <f>HYPERLINK("https://leetcode.com/problems/immediate-food-delivery-iii/", "Immediate Food Delivery III")</f>
        <v/>
      </c>
      <c r="C3653" s="1" t="n">
        <v>16</v>
      </c>
      <c r="D3653" s="1" t="n">
        <v>1</v>
      </c>
      <c r="E3653" s="4">
        <f>IF(INDEX(C:C, ROW())+INDEX(D:D, ROW())=0, 0, INDEX(C:C, ROW())/(INDEX(C:C, ROW())+INDEX(D:D, ROW())))</f>
        <v/>
      </c>
      <c r="F3653" s="1" t="inlineStr">
        <is>
          <t>Database</t>
        </is>
      </c>
      <c r="G3653" s="1" t="inlineStr">
        <is>
          <t>Medium</t>
        </is>
      </c>
      <c r="H3653" s="1" t="n">
        <v>5543</v>
      </c>
      <c r="I3653" s="1" t="n">
        <v>7885</v>
      </c>
      <c r="J3653" s="9" t="n">
        <v>0.703</v>
      </c>
      <c r="K3653" s="1" t="inlineStr">
        <is>
          <t>No</t>
        </is>
      </c>
      <c r="L3653" s="1" t="inlineStr">
        <is>
          <t>No</t>
        </is>
      </c>
      <c r="M3653" s="1" t="inlineStr">
        <is>
          <t>No</t>
        </is>
      </c>
      <c r="N3653" s="1" t="inlineStr">
        <is>
          <t>Database</t>
        </is>
      </c>
      <c r="O36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54" ht="15.75" customHeight="1" s="12">
      <c r="A3654" s="1" t="n">
        <v>2752</v>
      </c>
      <c r="B3654" s="3">
        <f>HYPERLINK("https://leetcode.com/problems/customers-with-maximum-number-of-transactions-on-consecutive-days/", "Customers with Maximum Number of Transactions on Consecutive Days")</f>
        <v/>
      </c>
      <c r="C3654" s="1" t="n">
        <v>16</v>
      </c>
      <c r="D3654" s="1" t="n">
        <v>35</v>
      </c>
      <c r="E3654" s="4">
        <f>IF(INDEX(C:C, ROW())+INDEX(D:D, ROW())=0, 0, INDEX(C:C, ROW())/(INDEX(C:C, ROW())+INDEX(D:D, ROW())))</f>
        <v/>
      </c>
      <c r="F3654" s="1" t="inlineStr">
        <is>
          <t>Database</t>
        </is>
      </c>
      <c r="G3654" s="1" t="inlineStr">
        <is>
          <t>Hard</t>
        </is>
      </c>
      <c r="H3654" s="1" t="n">
        <v>2968</v>
      </c>
      <c r="I3654" s="1" t="n">
        <v>7060</v>
      </c>
      <c r="J3654" s="9" t="n">
        <v>0.42</v>
      </c>
      <c r="K3654" s="1" t="inlineStr">
        <is>
          <t>No</t>
        </is>
      </c>
      <c r="L3654" s="1" t="inlineStr">
        <is>
          <t>No</t>
        </is>
      </c>
      <c r="M3654" s="1" t="inlineStr">
        <is>
          <t>No</t>
        </is>
      </c>
      <c r="N3654" s="1" t="inlineStr">
        <is>
          <t>Database</t>
        </is>
      </c>
      <c r="O36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55" ht="15.75" customHeight="1" s="12">
      <c r="A3655" s="1" t="n">
        <v>2795</v>
      </c>
      <c r="B3655" s="3">
        <f>HYPERLINK("https://leetcode.com/problems/parallel-execution-of-promises-for-individual-results-retrieval/", "Parallel Execution of Promises for Individual Results Retrieval")</f>
        <v/>
      </c>
      <c r="C3655" s="1" t="n">
        <v>16</v>
      </c>
      <c r="D3655" s="1" t="n">
        <v>5</v>
      </c>
      <c r="E3655" s="4">
        <f>IF(INDEX(C:C, ROW())+INDEX(D:D, ROW())=0, 0, INDEX(C:C, ROW())/(INDEX(C:C, ROW())+INDEX(D:D, ROW())))</f>
        <v/>
      </c>
      <c r="F3655" s="2" t="n"/>
      <c r="G3655" s="1" t="inlineStr">
        <is>
          <t>Medium</t>
        </is>
      </c>
      <c r="H3655" s="1" t="n">
        <v>1015</v>
      </c>
      <c r="I3655" s="1" t="n">
        <v>1156</v>
      </c>
      <c r="J3655" s="9" t="n">
        <v>0.878</v>
      </c>
      <c r="K3655" s="1" t="inlineStr">
        <is>
          <t>No</t>
        </is>
      </c>
      <c r="L3655" s="1" t="inlineStr">
        <is>
          <t>Yes</t>
        </is>
      </c>
      <c r="M3655" s="1" t="inlineStr">
        <is>
          <t>No</t>
        </is>
      </c>
      <c r="N3655" s="1" t="inlineStr">
        <is>
          <t>JavaScript</t>
        </is>
      </c>
      <c r="O36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56" ht="15.75" customHeight="1" s="12">
      <c r="A3656" s="1" t="n">
        <v>2941</v>
      </c>
      <c r="B3656" s="3">
        <f>HYPERLINK("https://leetcode.com/problems/maximum-gcd-sum-of-a-subarray/", "Maximum GCD-Sum of a Subarray")</f>
        <v/>
      </c>
      <c r="C3656" s="1" t="n">
        <v>16</v>
      </c>
      <c r="D3656" s="1" t="n">
        <v>3</v>
      </c>
      <c r="E3656" s="4">
        <f>IF(INDEX(C:C, ROW())+INDEX(D:D, ROW())=0, 0, INDEX(C:C, ROW())/(INDEX(C:C, ROW())+INDEX(D:D, ROW())))</f>
        <v/>
      </c>
      <c r="F3656" s="1" t="inlineStr">
        <is>
          <t>Array, Math, Binary Search, Number Theory</t>
        </is>
      </c>
      <c r="G3656" s="1" t="inlineStr">
        <is>
          <t>Hard</t>
        </is>
      </c>
      <c r="H3656" s="1" t="n">
        <v>654</v>
      </c>
      <c r="I3656" s="1" t="n">
        <v>1717</v>
      </c>
      <c r="J3656" s="9" t="n">
        <v>0.381</v>
      </c>
      <c r="K3656" s="1" t="inlineStr">
        <is>
          <t>No</t>
        </is>
      </c>
      <c r="L3656" s="1" t="inlineStr">
        <is>
          <t>No</t>
        </is>
      </c>
      <c r="M3656" s="1" t="inlineStr">
        <is>
          <t>No</t>
        </is>
      </c>
      <c r="N3656" s="1" t="inlineStr">
        <is>
          <t>Algorithms</t>
        </is>
      </c>
      <c r="O36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57" ht="15.75" customHeight="1" s="12">
      <c r="A3657" s="1" t="n">
        <v>2986</v>
      </c>
      <c r="B3657" s="3">
        <f>HYPERLINK("https://leetcode.com/problems/find-third-transaction/", "Find Third Transaction")</f>
        <v/>
      </c>
      <c r="C3657" s="1" t="n">
        <v>16</v>
      </c>
      <c r="D3657" s="1" t="n">
        <v>9</v>
      </c>
      <c r="E3657" s="4">
        <f>IF(INDEX(C:C, ROW())+INDEX(D:D, ROW())=0, 0, INDEX(C:C, ROW())/(INDEX(C:C, ROW())+INDEX(D:D, ROW())))</f>
        <v/>
      </c>
      <c r="F3657" s="1" t="inlineStr">
        <is>
          <t>Database</t>
        </is>
      </c>
      <c r="G3657" s="1" t="inlineStr">
        <is>
          <t>Medium</t>
        </is>
      </c>
      <c r="H3657" s="1" t="n">
        <v>4125</v>
      </c>
      <c r="I3657" s="1" t="n">
        <v>7706</v>
      </c>
      <c r="J3657" s="9" t="n">
        <v>0.535</v>
      </c>
      <c r="K3657" s="1" t="inlineStr">
        <is>
          <t>No</t>
        </is>
      </c>
      <c r="L3657" s="1" t="inlineStr">
        <is>
          <t>No</t>
        </is>
      </c>
      <c r="M3657" s="1" t="inlineStr">
        <is>
          <t>No</t>
        </is>
      </c>
      <c r="N3657" s="1" t="inlineStr">
        <is>
          <t>Database</t>
        </is>
      </c>
      <c r="O36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58" ht="15.75" customHeight="1" s="12">
      <c r="A3658" s="1" t="n">
        <v>3050</v>
      </c>
      <c r="B3658" s="3">
        <f>HYPERLINK("https://leetcode.com/problems/pizza-toppings-cost-analysis/", "Pizza Toppings Cost Analysis")</f>
        <v/>
      </c>
      <c r="C3658" s="1" t="n">
        <v>16</v>
      </c>
      <c r="D3658" s="1" t="n">
        <v>1</v>
      </c>
      <c r="E3658" s="4">
        <f>IF(INDEX(C:C, ROW())+INDEX(D:D, ROW())=0, 0, INDEX(C:C, ROW())/(INDEX(C:C, ROW())+INDEX(D:D, ROW())))</f>
        <v/>
      </c>
      <c r="F3658" s="1" t="inlineStr">
        <is>
          <t>Database</t>
        </is>
      </c>
      <c r="G3658" s="1" t="inlineStr">
        <is>
          <t>Medium</t>
        </is>
      </c>
      <c r="H3658" s="1" t="n">
        <v>3334</v>
      </c>
      <c r="I3658" s="1" t="n">
        <v>4909</v>
      </c>
      <c r="J3658" s="9" t="n">
        <v>0.679</v>
      </c>
      <c r="K3658" s="1" t="inlineStr">
        <is>
          <t>No</t>
        </is>
      </c>
      <c r="L3658" s="1" t="inlineStr">
        <is>
          <t>No</t>
        </is>
      </c>
      <c r="M3658" s="1" t="inlineStr">
        <is>
          <t>No</t>
        </is>
      </c>
      <c r="N3658" s="1" t="inlineStr">
        <is>
          <t>Database</t>
        </is>
      </c>
      <c r="O36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59" ht="15.75" customHeight="1" s="12">
      <c r="A3659" s="1" t="n">
        <v>3109</v>
      </c>
      <c r="B3659" s="3">
        <f>HYPERLINK("https://leetcode.com/problems/find-the-index-of-permutation/", "Find the Index of Permutation")</f>
        <v/>
      </c>
      <c r="C3659" s="1" t="n">
        <v>16</v>
      </c>
      <c r="D3659" s="1" t="n">
        <v>5</v>
      </c>
      <c r="E3659" s="4">
        <f>IF(INDEX(C:C, ROW())+INDEX(D:D, ROW())=0, 0, INDEX(C:C, ROW())/(INDEX(C:C, ROW())+INDEX(D:D, ROW())))</f>
        <v/>
      </c>
      <c r="F3659" s="1" t="inlineStr">
        <is>
          <t>Array, Binary Search, Divide and Conquer, Binary Indexed Tree, Segment Tree, Merge Sort, Ordered Set</t>
        </is>
      </c>
      <c r="G3659" s="1" t="inlineStr">
        <is>
          <t>Medium</t>
        </is>
      </c>
      <c r="H3659" s="1" t="n">
        <v>810</v>
      </c>
      <c r="I3659" s="1" t="n">
        <v>2274</v>
      </c>
      <c r="J3659" s="9" t="n">
        <v>0.356</v>
      </c>
      <c r="K3659" s="1" t="inlineStr">
        <is>
          <t>No</t>
        </is>
      </c>
      <c r="L3659" s="1" t="inlineStr">
        <is>
          <t>No</t>
        </is>
      </c>
      <c r="M3659" s="1" t="inlineStr">
        <is>
          <t>No</t>
        </is>
      </c>
      <c r="N3659" s="1" t="inlineStr">
        <is>
          <t>Algorithms</t>
        </is>
      </c>
      <c r="O36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60" ht="15.75" customHeight="1" s="12">
      <c r="A3660" s="1" t="n">
        <v>3437</v>
      </c>
      <c r="B3660" s="3">
        <f>HYPERLINK("https://leetcode.com/problems/permutations-iii/", "Permutations III")</f>
        <v/>
      </c>
      <c r="C3660" s="1" t="n">
        <v>16</v>
      </c>
      <c r="D3660" s="1" t="n">
        <v>2</v>
      </c>
      <c r="E3660" s="4">
        <f>IF(INDEX(C:C, ROW())+INDEX(D:D, ROW())=0, 0, INDEX(C:C, ROW())/(INDEX(C:C, ROW())+INDEX(D:D, ROW())))</f>
        <v/>
      </c>
      <c r="F3660" s="1" t="inlineStr">
        <is>
          <t>Array, Backtracking</t>
        </is>
      </c>
      <c r="G3660" s="1" t="inlineStr">
        <is>
          <t>Medium</t>
        </is>
      </c>
      <c r="H3660" s="1" t="n">
        <v>2896</v>
      </c>
      <c r="I3660" s="1" t="n">
        <v>3331</v>
      </c>
      <c r="J3660" s="9" t="n">
        <v>0.869</v>
      </c>
      <c r="K3660" s="1" t="inlineStr">
        <is>
          <t>No</t>
        </is>
      </c>
      <c r="L3660" s="1" t="inlineStr">
        <is>
          <t>No</t>
        </is>
      </c>
      <c r="M3660" s="1" t="inlineStr">
        <is>
          <t>No</t>
        </is>
      </c>
      <c r="N3660" s="1" t="inlineStr">
        <is>
          <t>Algorithms</t>
        </is>
      </c>
      <c r="O36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61" ht="15.75" customHeight="1" s="12">
      <c r="A3661" s="1" t="n">
        <v>3466</v>
      </c>
      <c r="B3661" s="3">
        <f>HYPERLINK("https://leetcode.com/problems/maximum-coin-collection/", "Maximum Coin Collection ")</f>
        <v/>
      </c>
      <c r="C3661" s="1" t="n">
        <v>16</v>
      </c>
      <c r="D3661" s="1" t="n">
        <v>10</v>
      </c>
      <c r="E3661" s="4">
        <f>IF(INDEX(C:C, ROW())+INDEX(D:D, ROW())=0, 0, INDEX(C:C, ROW())/(INDEX(C:C, ROW())+INDEX(D:D, ROW())))</f>
        <v/>
      </c>
      <c r="F3661" s="1" t="inlineStr">
        <is>
          <t>Array, Dynamic Programming</t>
        </is>
      </c>
      <c r="G3661" s="1" t="inlineStr">
        <is>
          <t>Medium</t>
        </is>
      </c>
      <c r="H3661" s="1" t="n">
        <v>2537</v>
      </c>
      <c r="I3661" s="1" t="n">
        <v>4818</v>
      </c>
      <c r="J3661" s="9" t="n">
        <v>0.527</v>
      </c>
      <c r="K3661" s="1" t="inlineStr">
        <is>
          <t>No</t>
        </is>
      </c>
      <c r="L3661" s="1" t="inlineStr">
        <is>
          <t>No</t>
        </is>
      </c>
      <c r="M3661" s="1" t="inlineStr">
        <is>
          <t>No</t>
        </is>
      </c>
      <c r="N3661" s="1" t="inlineStr">
        <is>
          <t>Algorithms</t>
        </is>
      </c>
      <c r="O36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62" ht="15.75" customHeight="1" s="12">
      <c r="A3662" s="1" t="n">
        <v>1924</v>
      </c>
      <c r="B3662" s="3">
        <f>HYPERLINK("https://leetcode.com/problems/erect-the-fence-ii/", "Erect the Fence II")</f>
        <v/>
      </c>
      <c r="C3662" s="1" t="n">
        <v>15</v>
      </c>
      <c r="D3662" s="1" t="n">
        <v>44</v>
      </c>
      <c r="E3662" s="4">
        <f>IF(INDEX(C:C, ROW())+INDEX(D:D, ROW())=0, 0, INDEX(C:C, ROW())/(INDEX(C:C, ROW())+INDEX(D:D, ROW())))</f>
        <v/>
      </c>
      <c r="F3662" s="1" t="inlineStr">
        <is>
          <t>Array, Math, Geometry</t>
        </is>
      </c>
      <c r="G3662" s="1" t="inlineStr">
        <is>
          <t>Hard</t>
        </is>
      </c>
      <c r="H3662" s="1" t="n">
        <v>949</v>
      </c>
      <c r="I3662" s="1" t="n">
        <v>1862</v>
      </c>
      <c r="J3662" s="9" t="n">
        <v>0.51</v>
      </c>
      <c r="K3662" s="1" t="inlineStr">
        <is>
          <t>No</t>
        </is>
      </c>
      <c r="L3662" s="1" t="inlineStr">
        <is>
          <t>No</t>
        </is>
      </c>
      <c r="M3662" s="1" t="inlineStr">
        <is>
          <t>No</t>
        </is>
      </c>
      <c r="N3662" s="1" t="inlineStr">
        <is>
          <t>Algorithms</t>
        </is>
      </c>
      <c r="O36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63" ht="15.75" customHeight="1" s="12">
      <c r="A3663" s="1" t="n">
        <v>2755</v>
      </c>
      <c r="B3663" s="3">
        <f>HYPERLINK("https://leetcode.com/problems/deep-merge-of-two-objects/", "Deep Merge of Two Objects")</f>
        <v/>
      </c>
      <c r="C3663" s="1" t="n">
        <v>15</v>
      </c>
      <c r="D3663" s="1" t="n">
        <v>4</v>
      </c>
      <c r="E3663" s="4">
        <f>IF(INDEX(C:C, ROW())+INDEX(D:D, ROW())=0, 0, INDEX(C:C, ROW())/(INDEX(C:C, ROW())+INDEX(D:D, ROW())))</f>
        <v/>
      </c>
      <c r="F3663" s="2" t="n"/>
      <c r="G3663" s="1" t="inlineStr">
        <is>
          <t>Medium</t>
        </is>
      </c>
      <c r="H3663" s="1" t="n">
        <v>853</v>
      </c>
      <c r="I3663" s="1" t="n">
        <v>1331</v>
      </c>
      <c r="J3663" s="9" t="n">
        <v>0.641</v>
      </c>
      <c r="K3663" s="1" t="inlineStr">
        <is>
          <t>No</t>
        </is>
      </c>
      <c r="L3663" s="1" t="inlineStr">
        <is>
          <t>Yes</t>
        </is>
      </c>
      <c r="M3663" s="1" t="inlineStr">
        <is>
          <t>No</t>
        </is>
      </c>
      <c r="N3663" s="1" t="inlineStr">
        <is>
          <t>JavaScript</t>
        </is>
      </c>
      <c r="O36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64" ht="15.75" customHeight="1" s="12">
      <c r="A3664" s="1" t="n">
        <v>2756</v>
      </c>
      <c r="B3664" s="3">
        <f>HYPERLINK("https://leetcode.com/problems/query-batching/", "Query Batching")</f>
        <v/>
      </c>
      <c r="C3664" s="1" t="n">
        <v>15</v>
      </c>
      <c r="D3664" s="1" t="n">
        <v>5</v>
      </c>
      <c r="E3664" s="4">
        <f>IF(INDEX(C:C, ROW())+INDEX(D:D, ROW())=0, 0, INDEX(C:C, ROW())/(INDEX(C:C, ROW())+INDEX(D:D, ROW())))</f>
        <v/>
      </c>
      <c r="F3664" s="2" t="n"/>
      <c r="G3664" s="1" t="inlineStr">
        <is>
          <t>Hard</t>
        </is>
      </c>
      <c r="H3664" s="1" t="n">
        <v>510</v>
      </c>
      <c r="I3664" s="1" t="n">
        <v>754</v>
      </c>
      <c r="J3664" s="9" t="n">
        <v>0.676</v>
      </c>
      <c r="K3664" s="1" t="inlineStr">
        <is>
          <t>No</t>
        </is>
      </c>
      <c r="L3664" s="1" t="inlineStr">
        <is>
          <t>Yes</t>
        </is>
      </c>
      <c r="M3664" s="1" t="inlineStr">
        <is>
          <t>No</t>
        </is>
      </c>
      <c r="N3664" s="1" t="inlineStr">
        <is>
          <t>JavaScript</t>
        </is>
      </c>
      <c r="O36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65" ht="15.75" customHeight="1" s="12">
      <c r="A3665" s="1" t="n">
        <v>2775</v>
      </c>
      <c r="B3665" s="3">
        <f>HYPERLINK("https://leetcode.com/problems/undefined-to-null/", "Undefined to Null")</f>
        <v/>
      </c>
      <c r="C3665" s="1" t="n">
        <v>15</v>
      </c>
      <c r="D3665" s="1" t="n">
        <v>1</v>
      </c>
      <c r="E3665" s="4">
        <f>IF(INDEX(C:C, ROW())+INDEX(D:D, ROW())=0, 0, INDEX(C:C, ROW())/(INDEX(C:C, ROW())+INDEX(D:D, ROW())))</f>
        <v/>
      </c>
      <c r="F3665" s="2" t="n"/>
      <c r="G3665" s="1" t="inlineStr">
        <is>
          <t>Medium</t>
        </is>
      </c>
      <c r="H3665" s="1" t="n">
        <v>954</v>
      </c>
      <c r="I3665" s="1" t="n">
        <v>1333</v>
      </c>
      <c r="J3665" s="9" t="n">
        <v>0.716</v>
      </c>
      <c r="K3665" s="1" t="inlineStr">
        <is>
          <t>No</t>
        </is>
      </c>
      <c r="L3665" s="1" t="inlineStr">
        <is>
          <t>Yes</t>
        </is>
      </c>
      <c r="M3665" s="1" t="inlineStr">
        <is>
          <t>No</t>
        </is>
      </c>
      <c r="N3665" s="1" t="inlineStr">
        <is>
          <t>JavaScript</t>
        </is>
      </c>
      <c r="O36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66" ht="15.75" customHeight="1" s="12">
      <c r="A3666" s="1" t="n">
        <v>2993</v>
      </c>
      <c r="B3666" s="3">
        <f>HYPERLINK("https://leetcode.com/problems/friday-purchases-i/", "Friday Purchases I")</f>
        <v/>
      </c>
      <c r="C3666" s="1" t="n">
        <v>15</v>
      </c>
      <c r="D3666" s="1" t="n">
        <v>4</v>
      </c>
      <c r="E3666" s="4">
        <f>IF(INDEX(C:C, ROW())+INDEX(D:D, ROW())=0, 0, INDEX(C:C, ROW())/(INDEX(C:C, ROW())+INDEX(D:D, ROW())))</f>
        <v/>
      </c>
      <c r="F3666" s="1" t="inlineStr">
        <is>
          <t>Database</t>
        </is>
      </c>
      <c r="G3666" s="1" t="inlineStr">
        <is>
          <t>Medium</t>
        </is>
      </c>
      <c r="H3666" s="1" t="n">
        <v>3945</v>
      </c>
      <c r="I3666" s="1" t="n">
        <v>4901</v>
      </c>
      <c r="J3666" s="9" t="n">
        <v>0.805</v>
      </c>
      <c r="K3666" s="1" t="inlineStr">
        <is>
          <t>No</t>
        </is>
      </c>
      <c r="L3666" s="1" t="inlineStr">
        <is>
          <t>No</t>
        </is>
      </c>
      <c r="M3666" s="1" t="inlineStr">
        <is>
          <t>No</t>
        </is>
      </c>
      <c r="N3666" s="1" t="inlineStr">
        <is>
          <t>Database</t>
        </is>
      </c>
      <c r="O36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67" ht="15.75" customHeight="1" s="12">
      <c r="A3667" s="1" t="n">
        <v>3023</v>
      </c>
      <c r="B3667" s="3">
        <f>HYPERLINK("https://leetcode.com/problems/find-pattern-in-infinite-stream-i/", "Find Pattern in Infinite Stream I")</f>
        <v/>
      </c>
      <c r="C3667" s="1" t="n">
        <v>15</v>
      </c>
      <c r="D3667" s="1" t="n">
        <v>2</v>
      </c>
      <c r="E3667" s="4">
        <f>IF(INDEX(C:C, ROW())+INDEX(D:D, ROW())=0, 0, INDEX(C:C, ROW())/(INDEX(C:C, ROW())+INDEX(D:D, ROW())))</f>
        <v/>
      </c>
      <c r="F3667" s="1" t="inlineStr">
        <is>
          <t>Array, Sliding Window, Rolling Hash, String Matching, Hash Function</t>
        </is>
      </c>
      <c r="G3667" s="1" t="inlineStr">
        <is>
          <t>Medium</t>
        </is>
      </c>
      <c r="H3667" s="1" t="n">
        <v>1806</v>
      </c>
      <c r="I3667" s="1" t="n">
        <v>3193</v>
      </c>
      <c r="J3667" s="9" t="n">
        <v>0.5659999999999999</v>
      </c>
      <c r="K3667" s="1" t="inlineStr">
        <is>
          <t>No</t>
        </is>
      </c>
      <c r="L3667" s="1" t="inlineStr">
        <is>
          <t>No</t>
        </is>
      </c>
      <c r="M3667" s="1" t="inlineStr">
        <is>
          <t>No</t>
        </is>
      </c>
      <c r="N3667" s="1" t="inlineStr">
        <is>
          <t>Algorithms</t>
        </is>
      </c>
      <c r="O36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68" ht="15.75" customHeight="1" s="12">
      <c r="A3668" s="1" t="n">
        <v>3051</v>
      </c>
      <c r="B3668" s="3">
        <f>HYPERLINK("https://leetcode.com/problems/find-candidates-for-data-scientist-position/", "Find Candidates for Data Scientist Position")</f>
        <v/>
      </c>
      <c r="C3668" s="1" t="n">
        <v>15</v>
      </c>
      <c r="D3668" s="1" t="n">
        <v>0</v>
      </c>
      <c r="E3668" s="4">
        <f>IF(INDEX(C:C, ROW())+INDEX(D:D, ROW())=0, 0, INDEX(C:C, ROW())/(INDEX(C:C, ROW())+INDEX(D:D, ROW())))</f>
        <v/>
      </c>
      <c r="F3668" s="1" t="inlineStr">
        <is>
          <t>Database</t>
        </is>
      </c>
      <c r="G3668" s="1" t="inlineStr">
        <is>
          <t>Easy</t>
        </is>
      </c>
      <c r="H3668" s="1" t="n">
        <v>5157</v>
      </c>
      <c r="I3668" s="1" t="n">
        <v>6851</v>
      </c>
      <c r="J3668" s="9" t="n">
        <v>0.753</v>
      </c>
      <c r="K3668" s="1" t="inlineStr">
        <is>
          <t>No</t>
        </is>
      </c>
      <c r="L3668" s="1" t="inlineStr">
        <is>
          <t>No</t>
        </is>
      </c>
      <c r="M3668" s="1" t="inlineStr">
        <is>
          <t>No</t>
        </is>
      </c>
      <c r="N3668" s="1" t="inlineStr">
        <is>
          <t>Database</t>
        </is>
      </c>
      <c r="O36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69" ht="15.75" customHeight="1" s="12">
      <c r="A3669" s="1" t="n">
        <v>3094</v>
      </c>
      <c r="B3669" s="3">
        <f>HYPERLINK("https://leetcode.com/problems/guess-the-number-using-bitwise-questions-ii/", "Guess the Number Using Bitwise Questions II")</f>
        <v/>
      </c>
      <c r="C3669" s="1" t="n">
        <v>15</v>
      </c>
      <c r="D3669" s="1" t="n">
        <v>3</v>
      </c>
      <c r="E3669" s="4">
        <f>IF(INDEX(C:C, ROW())+INDEX(D:D, ROW())=0, 0, INDEX(C:C, ROW())/(INDEX(C:C, ROW())+INDEX(D:D, ROW())))</f>
        <v/>
      </c>
      <c r="F3669" s="1" t="inlineStr">
        <is>
          <t>Bit Manipulation, Interactive</t>
        </is>
      </c>
      <c r="G3669" s="1" t="inlineStr">
        <is>
          <t>Medium</t>
        </is>
      </c>
      <c r="H3669" s="1" t="n">
        <v>1014</v>
      </c>
      <c r="I3669" s="1" t="n">
        <v>1225</v>
      </c>
      <c r="J3669" s="9" t="n">
        <v>0.828</v>
      </c>
      <c r="K3669" s="1" t="inlineStr">
        <is>
          <t>No</t>
        </is>
      </c>
      <c r="L3669" s="1" t="inlineStr">
        <is>
          <t>No</t>
        </is>
      </c>
      <c r="M3669" s="1" t="inlineStr">
        <is>
          <t>No</t>
        </is>
      </c>
      <c r="N3669" s="1" t="inlineStr">
        <is>
          <t>Algorithms</t>
        </is>
      </c>
      <c r="O36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70" ht="15.75" customHeight="1" s="12">
      <c r="A3670" s="1" t="n">
        <v>3135</v>
      </c>
      <c r="B3670" s="3">
        <f>HYPERLINK("https://leetcode.com/problems/equalize-strings-by-adding-or-removing-characters-at-ends/", "Equalize Strings by Adding or Removing Characters at Ends")</f>
        <v/>
      </c>
      <c r="C3670" s="1" t="n">
        <v>15</v>
      </c>
      <c r="D3670" s="1" t="n">
        <v>2</v>
      </c>
      <c r="E3670" s="4">
        <f>IF(INDEX(C:C, ROW())+INDEX(D:D, ROW())=0, 0, INDEX(C:C, ROW())/(INDEX(C:C, ROW())+INDEX(D:D, ROW())))</f>
        <v/>
      </c>
      <c r="F3670" s="1" t="inlineStr">
        <is>
          <t>String, Binary Search, Dynamic Programming, Sliding Window, Hash Function</t>
        </is>
      </c>
      <c r="G3670" s="1" t="inlineStr">
        <is>
          <t>Medium</t>
        </is>
      </c>
      <c r="H3670" s="1" t="n">
        <v>1363</v>
      </c>
      <c r="I3670" s="1" t="n">
        <v>2416</v>
      </c>
      <c r="J3670" s="9" t="n">
        <v>0.5639999999999999</v>
      </c>
      <c r="K3670" s="1" t="inlineStr">
        <is>
          <t>No</t>
        </is>
      </c>
      <c r="L3670" s="1" t="inlineStr">
        <is>
          <t>No</t>
        </is>
      </c>
      <c r="M3670" s="1" t="inlineStr">
        <is>
          <t>No</t>
        </is>
      </c>
      <c r="N3670" s="1" t="inlineStr">
        <is>
          <t>Algorithms</t>
        </is>
      </c>
      <c r="O36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71" ht="15.75" customHeight="1" s="12">
      <c r="A3671" s="1" t="n">
        <v>3141</v>
      </c>
      <c r="B3671" s="3">
        <f>HYPERLINK("https://leetcode.com/problems/maximum-hamming-distances/", "Maximum Hamming Distances")</f>
        <v/>
      </c>
      <c r="C3671" s="1" t="n">
        <v>15</v>
      </c>
      <c r="D3671" s="1" t="n">
        <v>2</v>
      </c>
      <c r="E3671" s="4">
        <f>IF(INDEX(C:C, ROW())+INDEX(D:D, ROW())=0, 0, INDEX(C:C, ROW())/(INDEX(C:C, ROW())+INDEX(D:D, ROW())))</f>
        <v/>
      </c>
      <c r="F3671" s="1" t="inlineStr">
        <is>
          <t>Array, Bit Manipulation, Breadth-First Search</t>
        </is>
      </c>
      <c r="G3671" s="1" t="inlineStr">
        <is>
          <t>Hard</t>
        </is>
      </c>
      <c r="H3671" s="1" t="n">
        <v>614</v>
      </c>
      <c r="I3671" s="1" t="n">
        <v>1258</v>
      </c>
      <c r="J3671" s="9" t="n">
        <v>0.488</v>
      </c>
      <c r="K3671" s="1" t="inlineStr">
        <is>
          <t>No</t>
        </is>
      </c>
      <c r="L3671" s="1" t="inlineStr">
        <is>
          <t>No</t>
        </is>
      </c>
      <c r="M3671" s="1" t="inlineStr">
        <is>
          <t>No</t>
        </is>
      </c>
      <c r="N3671" s="1" t="inlineStr">
        <is>
          <t>Algorithms</t>
        </is>
      </c>
      <c r="O36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72" ht="15.75" customHeight="1" s="12">
      <c r="A3672" s="1" t="n">
        <v>3237</v>
      </c>
      <c r="B3672" s="3">
        <f>HYPERLINK("https://leetcode.com/problems/alt-and-tab-simulation/", "Alt and Tab Simulation")</f>
        <v/>
      </c>
      <c r="C3672" s="1" t="n">
        <v>15</v>
      </c>
      <c r="D3672" s="1" t="n">
        <v>6</v>
      </c>
      <c r="E3672" s="4">
        <f>IF(INDEX(C:C, ROW())+INDEX(D:D, ROW())=0, 0, INDEX(C:C, ROW())/(INDEX(C:C, ROW())+INDEX(D:D, ROW())))</f>
        <v/>
      </c>
      <c r="F3672" s="1" t="inlineStr">
        <is>
          <t>Array, Hash Table, Simulation</t>
        </is>
      </c>
      <c r="G3672" s="1" t="inlineStr">
        <is>
          <t>Medium</t>
        </is>
      </c>
      <c r="H3672" s="1" t="n">
        <v>1152</v>
      </c>
      <c r="I3672" s="1" t="n">
        <v>2232</v>
      </c>
      <c r="J3672" s="9" t="n">
        <v>0.516</v>
      </c>
      <c r="K3672" s="1" t="inlineStr">
        <is>
          <t>No</t>
        </is>
      </c>
      <c r="L3672" s="1" t="inlineStr">
        <is>
          <t>No</t>
        </is>
      </c>
      <c r="M3672" s="1" t="inlineStr">
        <is>
          <t>No</t>
        </is>
      </c>
      <c r="N3672" s="1" t="inlineStr">
        <is>
          <t>Algorithms</t>
        </is>
      </c>
      <c r="O36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73" ht="15.75" customHeight="1" s="12">
      <c r="A3673" s="1" t="n">
        <v>3369</v>
      </c>
      <c r="B3673" s="3">
        <f>HYPERLINK("https://leetcode.com/problems/design-an-array-statistics-tracker/", "Design an Array Statistics Tracker ")</f>
        <v/>
      </c>
      <c r="C3673" s="1" t="n">
        <v>15</v>
      </c>
      <c r="D3673" s="1" t="n">
        <v>2</v>
      </c>
      <c r="E3673" s="4">
        <f>IF(INDEX(C:C, ROW())+INDEX(D:D, ROW())=0, 0, INDEX(C:C, ROW())/(INDEX(C:C, ROW())+INDEX(D:D, ROW())))</f>
        <v/>
      </c>
      <c r="F3673" s="1" t="inlineStr">
        <is>
          <t>Hash Table, Binary Search, Design, Queue, Heap (Priority Queue), Data Stream, Ordered Set</t>
        </is>
      </c>
      <c r="G3673" s="1" t="inlineStr">
        <is>
          <t>Hard</t>
        </is>
      </c>
      <c r="H3673" s="1" t="n">
        <v>1306</v>
      </c>
      <c r="I3673" s="1" t="n">
        <v>3706</v>
      </c>
      <c r="J3673" s="9" t="n">
        <v>0.352</v>
      </c>
      <c r="K3673" s="1" t="inlineStr">
        <is>
          <t>No</t>
        </is>
      </c>
      <c r="L3673" s="1" t="inlineStr">
        <is>
          <t>No</t>
        </is>
      </c>
      <c r="M3673" s="1" t="inlineStr">
        <is>
          <t>No</t>
        </is>
      </c>
      <c r="N3673" s="1" t="inlineStr">
        <is>
          <t>Algorithms</t>
        </is>
      </c>
      <c r="O36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74" ht="15.75" customHeight="1" s="12">
      <c r="A3674" s="1" t="n">
        <v>3400</v>
      </c>
      <c r="B3674" s="3">
        <f>HYPERLINK("https://leetcode.com/problems/maximum-number-of-matching-indices-after-right-shifts/", "Maximum Number of Matching Indices After Right Shifts")</f>
        <v/>
      </c>
      <c r="C3674" s="1" t="n">
        <v>15</v>
      </c>
      <c r="D3674" s="1" t="n">
        <v>1</v>
      </c>
      <c r="E3674" s="4">
        <f>IF(INDEX(C:C, ROW())+INDEX(D:D, ROW())=0, 0, INDEX(C:C, ROW())/(INDEX(C:C, ROW())+INDEX(D:D, ROW())))</f>
        <v/>
      </c>
      <c r="F3674" s="1" t="inlineStr">
        <is>
          <t>Array, Two Pointers, Simulation</t>
        </is>
      </c>
      <c r="G3674" s="1" t="inlineStr">
        <is>
          <t>Medium</t>
        </is>
      </c>
      <c r="H3674" s="1" t="n">
        <v>1526</v>
      </c>
      <c r="I3674" s="1" t="n">
        <v>1811</v>
      </c>
      <c r="J3674" s="9" t="n">
        <v>0.843</v>
      </c>
      <c r="K3674" s="1" t="inlineStr">
        <is>
          <t>No</t>
        </is>
      </c>
      <c r="L3674" s="1" t="inlineStr">
        <is>
          <t>No</t>
        </is>
      </c>
      <c r="M3674" s="1" t="inlineStr">
        <is>
          <t>No</t>
        </is>
      </c>
      <c r="N3674" s="1" t="inlineStr">
        <is>
          <t>Algorithms</t>
        </is>
      </c>
      <c r="O36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75" ht="15.75" customHeight="1" s="12">
      <c r="A3675" s="1" t="n">
        <v>3610</v>
      </c>
      <c r="B3675" s="3">
        <f>HYPERLINK("https://leetcode.com/problems/minimum-number-of-primes-to-sum-to-target/", "Minimum Number of Primes to Sum to Target")</f>
        <v/>
      </c>
      <c r="C3675" s="1" t="n">
        <v>15</v>
      </c>
      <c r="D3675" s="1" t="n">
        <v>1</v>
      </c>
      <c r="E3675" s="4">
        <f>IF(INDEX(C:C, ROW())+INDEX(D:D, ROW())=0, 0, INDEX(C:C, ROW())/(INDEX(C:C, ROW())+INDEX(D:D, ROW())))</f>
        <v/>
      </c>
      <c r="F3675" s="1" t="inlineStr">
        <is>
          <t>Array, Math, Dynamic Programming, Number Theory</t>
        </is>
      </c>
      <c r="G3675" s="1" t="inlineStr">
        <is>
          <t>Medium</t>
        </is>
      </c>
      <c r="H3675" s="1" t="n">
        <v>3258</v>
      </c>
      <c r="I3675" s="1" t="n">
        <v>5486</v>
      </c>
      <c r="J3675" s="9" t="n">
        <v>0.594</v>
      </c>
      <c r="K3675" s="1" t="inlineStr">
        <is>
          <t>No</t>
        </is>
      </c>
      <c r="L3675" s="1" t="inlineStr">
        <is>
          <t>No</t>
        </is>
      </c>
      <c r="M3675" s="1" t="inlineStr">
        <is>
          <t>No</t>
        </is>
      </c>
      <c r="N3675" s="1" t="inlineStr">
        <is>
          <t>Algorithms</t>
        </is>
      </c>
      <c r="O36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76" ht="15.75" customHeight="1" s="12">
      <c r="A3676" s="1" t="n">
        <v>2720</v>
      </c>
      <c r="B3676" s="3">
        <f>HYPERLINK("https://leetcode.com/problems/popularity-percentage/", "Popularity Percentage")</f>
        <v/>
      </c>
      <c r="C3676" s="1" t="n">
        <v>14</v>
      </c>
      <c r="D3676" s="1" t="n">
        <v>9</v>
      </c>
      <c r="E3676" s="4">
        <f>IF(INDEX(C:C, ROW())+INDEX(D:D, ROW())=0, 0, INDEX(C:C, ROW())/(INDEX(C:C, ROW())+INDEX(D:D, ROW())))</f>
        <v/>
      </c>
      <c r="F3676" s="1" t="inlineStr">
        <is>
          <t>Database</t>
        </is>
      </c>
      <c r="G3676" s="1" t="inlineStr">
        <is>
          <t>Hard</t>
        </is>
      </c>
      <c r="H3676" s="1" t="n">
        <v>3721</v>
      </c>
      <c r="I3676" s="1" t="n">
        <v>7035</v>
      </c>
      <c r="J3676" s="9" t="n">
        <v>0.529</v>
      </c>
      <c r="K3676" s="1" t="inlineStr">
        <is>
          <t>No</t>
        </is>
      </c>
      <c r="L3676" s="1" t="inlineStr">
        <is>
          <t>Yes</t>
        </is>
      </c>
      <c r="M3676" s="1" t="inlineStr">
        <is>
          <t>No</t>
        </is>
      </c>
      <c r="N3676" s="1" t="inlineStr">
        <is>
          <t>Database</t>
        </is>
      </c>
      <c r="O36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77" ht="15.75" customHeight="1" s="12">
      <c r="A3677" s="1" t="n">
        <v>2978</v>
      </c>
      <c r="B3677" s="3">
        <f>HYPERLINK("https://leetcode.com/problems/symmetric-coordinates/", "Symmetric Coordinates")</f>
        <v/>
      </c>
      <c r="C3677" s="1" t="n">
        <v>14</v>
      </c>
      <c r="D3677" s="1" t="n">
        <v>3</v>
      </c>
      <c r="E3677" s="4">
        <f>IF(INDEX(C:C, ROW())+INDEX(D:D, ROW())=0, 0, INDEX(C:C, ROW())/(INDEX(C:C, ROW())+INDEX(D:D, ROW())))</f>
        <v/>
      </c>
      <c r="F3677" s="1" t="inlineStr">
        <is>
          <t>Database</t>
        </is>
      </c>
      <c r="G3677" s="1" t="inlineStr">
        <is>
          <t>Medium</t>
        </is>
      </c>
      <c r="H3677" s="1" t="n">
        <v>2893</v>
      </c>
      <c r="I3677" s="1" t="n">
        <v>7137</v>
      </c>
      <c r="J3677" s="9" t="n">
        <v>0.405</v>
      </c>
      <c r="K3677" s="1" t="inlineStr">
        <is>
          <t>No</t>
        </is>
      </c>
      <c r="L3677" s="1" t="inlineStr">
        <is>
          <t>No</t>
        </is>
      </c>
      <c r="M3677" s="1" t="inlineStr">
        <is>
          <t>No</t>
        </is>
      </c>
      <c r="N3677" s="1" t="inlineStr">
        <is>
          <t>Database</t>
        </is>
      </c>
      <c r="O36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78" ht="15.75" customHeight="1" s="12">
      <c r="A3678" s="1" t="n">
        <v>2985</v>
      </c>
      <c r="B3678" s="3">
        <f>HYPERLINK("https://leetcode.com/problems/calculate-compressed-mean/", "Calculate Compressed Mean")</f>
        <v/>
      </c>
      <c r="C3678" s="1" t="n">
        <v>14</v>
      </c>
      <c r="D3678" s="1" t="n">
        <v>6</v>
      </c>
      <c r="E3678" s="4">
        <f>IF(INDEX(C:C, ROW())+INDEX(D:D, ROW())=0, 0, INDEX(C:C, ROW())/(INDEX(C:C, ROW())+INDEX(D:D, ROW())))</f>
        <v/>
      </c>
      <c r="F3678" s="1" t="inlineStr">
        <is>
          <t>Database</t>
        </is>
      </c>
      <c r="G3678" s="1" t="inlineStr">
        <is>
          <t>Easy</t>
        </is>
      </c>
      <c r="H3678" s="1" t="n">
        <v>5290</v>
      </c>
      <c r="I3678" s="1" t="n">
        <v>6092</v>
      </c>
      <c r="J3678" s="9" t="n">
        <v>0.868</v>
      </c>
      <c r="K3678" s="1" t="inlineStr">
        <is>
          <t>No</t>
        </is>
      </c>
      <c r="L3678" s="1" t="inlineStr">
        <is>
          <t>No</t>
        </is>
      </c>
      <c r="M3678" s="1" t="inlineStr">
        <is>
          <t>No</t>
        </is>
      </c>
      <c r="N3678" s="1" t="inlineStr">
        <is>
          <t>Database</t>
        </is>
      </c>
      <c r="O36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79" ht="15.75" customHeight="1" s="12">
      <c r="A3679" s="1" t="n">
        <v>2989</v>
      </c>
      <c r="B3679" s="3">
        <f>HYPERLINK("https://leetcode.com/problems/class-performance/", "Class Performance")</f>
        <v/>
      </c>
      <c r="C3679" s="1" t="n">
        <v>14</v>
      </c>
      <c r="D3679" s="1" t="n">
        <v>3</v>
      </c>
      <c r="E3679" s="4">
        <f>IF(INDEX(C:C, ROW())+INDEX(D:D, ROW())=0, 0, INDEX(C:C, ROW())/(INDEX(C:C, ROW())+INDEX(D:D, ROW())))</f>
        <v/>
      </c>
      <c r="F3679" s="1" t="inlineStr">
        <is>
          <t>Database</t>
        </is>
      </c>
      <c r="G3679" s="1" t="inlineStr">
        <is>
          <t>Medium</t>
        </is>
      </c>
      <c r="H3679" s="1" t="n">
        <v>5574</v>
      </c>
      <c r="I3679" s="1" t="n">
        <v>6278</v>
      </c>
      <c r="J3679" s="9" t="n">
        <v>0.888</v>
      </c>
      <c r="K3679" s="1" t="inlineStr">
        <is>
          <t>No</t>
        </is>
      </c>
      <c r="L3679" s="1" t="inlineStr">
        <is>
          <t>No</t>
        </is>
      </c>
      <c r="M3679" s="1" t="inlineStr">
        <is>
          <t>No</t>
        </is>
      </c>
      <c r="N3679" s="1" t="inlineStr">
        <is>
          <t>Database</t>
        </is>
      </c>
      <c r="O36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80" ht="15.75" customHeight="1" s="12">
      <c r="A3680" s="1" t="n">
        <v>2991</v>
      </c>
      <c r="B3680" s="3">
        <f>HYPERLINK("https://leetcode.com/problems/top-three-wineries/", "Top Three Wineries ")</f>
        <v/>
      </c>
      <c r="C3680" s="1" t="n">
        <v>14</v>
      </c>
      <c r="D3680" s="1" t="n">
        <v>7</v>
      </c>
      <c r="E3680" s="4">
        <f>IF(INDEX(C:C, ROW())+INDEX(D:D, ROW())=0, 0, INDEX(C:C, ROW())/(INDEX(C:C, ROW())+INDEX(D:D, ROW())))</f>
        <v/>
      </c>
      <c r="F3680" s="1" t="inlineStr">
        <is>
          <t>Database</t>
        </is>
      </c>
      <c r="G3680" s="1" t="inlineStr">
        <is>
          <t>Hard</t>
        </is>
      </c>
      <c r="H3680" s="1" t="n">
        <v>3408</v>
      </c>
      <c r="I3680" s="1" t="n">
        <v>6292</v>
      </c>
      <c r="J3680" s="9" t="n">
        <v>0.542</v>
      </c>
      <c r="K3680" s="1" t="inlineStr">
        <is>
          <t>No</t>
        </is>
      </c>
      <c r="L3680" s="1" t="inlineStr">
        <is>
          <t>No</t>
        </is>
      </c>
      <c r="M3680" s="1" t="inlineStr">
        <is>
          <t>No</t>
        </is>
      </c>
      <c r="N3680" s="1" t="inlineStr">
        <is>
          <t>Database</t>
        </is>
      </c>
      <c r="O36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81" ht="15.75" customHeight="1" s="12">
      <c r="A3681" s="1" t="n">
        <v>3061</v>
      </c>
      <c r="B3681" s="3">
        <f>HYPERLINK("https://leetcode.com/problems/calculate-trapping-rain-water/", "Calculate Trapping Rain Water")</f>
        <v/>
      </c>
      <c r="C3681" s="1" t="n">
        <v>14</v>
      </c>
      <c r="D3681" s="1" t="n">
        <v>6</v>
      </c>
      <c r="E3681" s="4">
        <f>IF(INDEX(C:C, ROW())+INDEX(D:D, ROW())=0, 0, INDEX(C:C, ROW())/(INDEX(C:C, ROW())+INDEX(D:D, ROW())))</f>
        <v/>
      </c>
      <c r="F3681" s="1" t="inlineStr">
        <is>
          <t>Database</t>
        </is>
      </c>
      <c r="G3681" s="1" t="inlineStr">
        <is>
          <t>Hard</t>
        </is>
      </c>
      <c r="H3681" s="1" t="n">
        <v>1613</v>
      </c>
      <c r="I3681" s="1" t="n">
        <v>1977</v>
      </c>
      <c r="J3681" s="9" t="n">
        <v>0.8159999999999999</v>
      </c>
      <c r="K3681" s="1" t="inlineStr">
        <is>
          <t>No</t>
        </is>
      </c>
      <c r="L3681" s="1" t="inlineStr">
        <is>
          <t>No</t>
        </is>
      </c>
      <c r="M3681" s="1" t="inlineStr">
        <is>
          <t>No</t>
        </is>
      </c>
      <c r="N3681" s="1" t="inlineStr">
        <is>
          <t>Database</t>
        </is>
      </c>
      <c r="O36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82" ht="15.75" customHeight="1" s="12">
      <c r="A3682" s="1" t="n">
        <v>3182</v>
      </c>
      <c r="B3682" s="3">
        <f>HYPERLINK("https://leetcode.com/problems/find-top-scoring-students/", "Find Top Scoring Students")</f>
        <v/>
      </c>
      <c r="C3682" s="1" t="n">
        <v>14</v>
      </c>
      <c r="D3682" s="1" t="n">
        <v>3</v>
      </c>
      <c r="E3682" s="4">
        <f>IF(INDEX(C:C, ROW())+INDEX(D:D, ROW())=0, 0, INDEX(C:C, ROW())/(INDEX(C:C, ROW())+INDEX(D:D, ROW())))</f>
        <v/>
      </c>
      <c r="F3682" s="1" t="inlineStr">
        <is>
          <t>Database</t>
        </is>
      </c>
      <c r="G3682" s="1" t="inlineStr">
        <is>
          <t>Medium</t>
        </is>
      </c>
      <c r="H3682" s="1" t="n">
        <v>2766</v>
      </c>
      <c r="I3682" s="1" t="n">
        <v>5630</v>
      </c>
      <c r="J3682" s="9" t="n">
        <v>0.491</v>
      </c>
      <c r="K3682" s="1" t="inlineStr">
        <is>
          <t>No</t>
        </is>
      </c>
      <c r="L3682" s="1" t="inlineStr">
        <is>
          <t>No</t>
        </is>
      </c>
      <c r="M3682" s="1" t="inlineStr">
        <is>
          <t>No</t>
        </is>
      </c>
      <c r="N3682" s="1" t="inlineStr">
        <is>
          <t>Database</t>
        </is>
      </c>
      <c r="O36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83" ht="15.75" customHeight="1" s="12">
      <c r="A3683" s="1" t="n">
        <v>3353</v>
      </c>
      <c r="B3683" s="3">
        <f>HYPERLINK("https://leetcode.com/problems/minimum-total-operations/", "Minimum Total Operations")</f>
        <v/>
      </c>
      <c r="C3683" s="1" t="n">
        <v>14</v>
      </c>
      <c r="D3683" s="1" t="n">
        <v>1</v>
      </c>
      <c r="E3683" s="4">
        <f>IF(INDEX(C:C, ROW())+INDEX(D:D, ROW())=0, 0, INDEX(C:C, ROW())/(INDEX(C:C, ROW())+INDEX(D:D, ROW())))</f>
        <v/>
      </c>
      <c r="F3683" s="1" t="inlineStr">
        <is>
          <t>Array</t>
        </is>
      </c>
      <c r="G3683" s="1" t="inlineStr">
        <is>
          <t>Easy</t>
        </is>
      </c>
      <c r="H3683" s="1" t="n">
        <v>1247</v>
      </c>
      <c r="I3683" s="1" t="n">
        <v>1959</v>
      </c>
      <c r="J3683" s="9" t="n">
        <v>0.637</v>
      </c>
      <c r="K3683" s="1" t="inlineStr">
        <is>
          <t>No</t>
        </is>
      </c>
      <c r="L3683" s="1" t="inlineStr">
        <is>
          <t>No</t>
        </is>
      </c>
      <c r="M3683" s="1" t="inlineStr">
        <is>
          <t>No</t>
        </is>
      </c>
      <c r="N3683" s="1" t="inlineStr">
        <is>
          <t>Algorithms</t>
        </is>
      </c>
      <c r="O36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84" ht="15.75" customHeight="1" s="12">
      <c r="A3684" s="1" t="n">
        <v>2758</v>
      </c>
      <c r="B3684" s="3">
        <f>HYPERLINK("https://leetcode.com/problems/next-day/", "Next Day")</f>
        <v/>
      </c>
      <c r="C3684" s="1" t="n">
        <v>13</v>
      </c>
      <c r="D3684" s="1" t="n">
        <v>1</v>
      </c>
      <c r="E3684" s="4">
        <f>IF(INDEX(C:C, ROW())+INDEX(D:D, ROW())=0, 0, INDEX(C:C, ROW())/(INDEX(C:C, ROW())+INDEX(D:D, ROW())))</f>
        <v/>
      </c>
      <c r="F3684" s="2" t="n"/>
      <c r="G3684" s="1" t="inlineStr">
        <is>
          <t>Easy</t>
        </is>
      </c>
      <c r="H3684" s="1" t="n">
        <v>1537</v>
      </c>
      <c r="I3684" s="1" t="n">
        <v>1795</v>
      </c>
      <c r="J3684" s="9" t="n">
        <v>0.856</v>
      </c>
      <c r="K3684" s="1" t="inlineStr">
        <is>
          <t>No</t>
        </is>
      </c>
      <c r="L3684" s="1" t="inlineStr">
        <is>
          <t>Yes</t>
        </is>
      </c>
      <c r="M3684" s="1" t="inlineStr">
        <is>
          <t>No</t>
        </is>
      </c>
      <c r="N3684" s="1" t="inlineStr">
        <is>
          <t>JavaScript</t>
        </is>
      </c>
      <c r="O36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85" ht="15.75" customHeight="1" s="12">
      <c r="A3685" s="1" t="n">
        <v>2793</v>
      </c>
      <c r="B3685" s="3">
        <f>HYPERLINK("https://leetcode.com/problems/status-of-flight-tickets/", "Status of Flight Tickets")</f>
        <v/>
      </c>
      <c r="C3685" s="1" t="n">
        <v>13</v>
      </c>
      <c r="D3685" s="1" t="n">
        <v>21</v>
      </c>
      <c r="E3685" s="4">
        <f>IF(INDEX(C:C, ROW())+INDEX(D:D, ROW())=0, 0, INDEX(C:C, ROW())/(INDEX(C:C, ROW())+INDEX(D:D, ROW())))</f>
        <v/>
      </c>
      <c r="F3685" s="2" t="n"/>
      <c r="G3685" s="1" t="inlineStr">
        <is>
          <t>Hard</t>
        </is>
      </c>
      <c r="H3685" s="1" t="n">
        <v>3306</v>
      </c>
      <c r="I3685" s="1" t="n">
        <v>4225</v>
      </c>
      <c r="J3685" s="9" t="n">
        <v>0.782</v>
      </c>
      <c r="K3685" s="1" t="inlineStr">
        <is>
          <t>No</t>
        </is>
      </c>
      <c r="L3685" s="1" t="inlineStr">
        <is>
          <t>No</t>
        </is>
      </c>
      <c r="M3685" s="1" t="inlineStr">
        <is>
          <t>No</t>
        </is>
      </c>
      <c r="N3685" s="1" t="inlineStr">
        <is>
          <t>Database</t>
        </is>
      </c>
      <c r="O36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86" ht="15.75" customHeight="1" s="12">
      <c r="A3686" s="1" t="n">
        <v>2994</v>
      </c>
      <c r="B3686" s="3">
        <f>HYPERLINK("https://leetcode.com/problems/friday-purchases-ii/", "Friday Purchases II ")</f>
        <v/>
      </c>
      <c r="C3686" s="1" t="n">
        <v>13</v>
      </c>
      <c r="D3686" s="1" t="n">
        <v>4</v>
      </c>
      <c r="E3686" s="4">
        <f>IF(INDEX(C:C, ROW())+INDEX(D:D, ROW())=0, 0, INDEX(C:C, ROW())/(INDEX(C:C, ROW())+INDEX(D:D, ROW())))</f>
        <v/>
      </c>
      <c r="F3686" s="1" t="inlineStr">
        <is>
          <t>Database</t>
        </is>
      </c>
      <c r="G3686" s="1" t="inlineStr">
        <is>
          <t>Hard</t>
        </is>
      </c>
      <c r="H3686" s="1" t="n">
        <v>2478</v>
      </c>
      <c r="I3686" s="1" t="n">
        <v>3343</v>
      </c>
      <c r="J3686" s="9" t="n">
        <v>0.741</v>
      </c>
      <c r="K3686" s="1" t="inlineStr">
        <is>
          <t>No</t>
        </is>
      </c>
      <c r="L3686" s="1" t="inlineStr">
        <is>
          <t>No</t>
        </is>
      </c>
      <c r="M3686" s="1" t="inlineStr">
        <is>
          <t>No</t>
        </is>
      </c>
      <c r="N3686" s="1" t="inlineStr">
        <is>
          <t>Database</t>
        </is>
      </c>
      <c r="O36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87" ht="15.75" customHeight="1" s="12">
      <c r="A3687" s="1" t="n">
        <v>3059</v>
      </c>
      <c r="B3687" s="3">
        <f>HYPERLINK("https://leetcode.com/problems/find-all-unique-email-domains/", "Find All Unique Email Domains")</f>
        <v/>
      </c>
      <c r="C3687" s="1" t="n">
        <v>13</v>
      </c>
      <c r="D3687" s="1" t="n">
        <v>8</v>
      </c>
      <c r="E3687" s="4">
        <f>IF(INDEX(C:C, ROW())+INDEX(D:D, ROW())=0, 0, INDEX(C:C, ROW())/(INDEX(C:C, ROW())+INDEX(D:D, ROW())))</f>
        <v/>
      </c>
      <c r="F3687" s="1" t="inlineStr">
        <is>
          <t>Database</t>
        </is>
      </c>
      <c r="G3687" s="1" t="inlineStr">
        <is>
          <t>Easy</t>
        </is>
      </c>
      <c r="H3687" s="1" t="n">
        <v>3981</v>
      </c>
      <c r="I3687" s="1" t="n">
        <v>5706</v>
      </c>
      <c r="J3687" s="9" t="n">
        <v>0.698</v>
      </c>
      <c r="K3687" s="1" t="inlineStr">
        <is>
          <t>No</t>
        </is>
      </c>
      <c r="L3687" s="1" t="inlineStr">
        <is>
          <t>Yes</t>
        </is>
      </c>
      <c r="M3687" s="1" t="inlineStr">
        <is>
          <t>No</t>
        </is>
      </c>
      <c r="N3687" s="1" t="inlineStr">
        <is>
          <t>Database</t>
        </is>
      </c>
      <c r="O36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88" ht="15.75" customHeight="1" s="12">
      <c r="A3688" s="1" t="n">
        <v>3166</v>
      </c>
      <c r="B3688" s="3">
        <f>HYPERLINK("https://leetcode.com/problems/calculate-parking-fees-and-duration/", "Calculate Parking Fees and Duration")</f>
        <v/>
      </c>
      <c r="C3688" s="1" t="n">
        <v>13</v>
      </c>
      <c r="D3688" s="1" t="n">
        <v>4</v>
      </c>
      <c r="E3688" s="4">
        <f>IF(INDEX(C:C, ROW())+INDEX(D:D, ROW())=0, 0, INDEX(C:C, ROW())/(INDEX(C:C, ROW())+INDEX(D:D, ROW())))</f>
        <v/>
      </c>
      <c r="F3688" s="1" t="inlineStr">
        <is>
          <t>Database</t>
        </is>
      </c>
      <c r="G3688" s="1" t="inlineStr">
        <is>
          <t>Medium</t>
        </is>
      </c>
      <c r="H3688" s="1" t="n">
        <v>2499</v>
      </c>
      <c r="I3688" s="1" t="n">
        <v>4748</v>
      </c>
      <c r="J3688" s="9" t="n">
        <v>0.526</v>
      </c>
      <c r="K3688" s="1" t="inlineStr">
        <is>
          <t>No</t>
        </is>
      </c>
      <c r="L3688" s="1" t="inlineStr">
        <is>
          <t>No</t>
        </is>
      </c>
      <c r="M3688" s="1" t="inlineStr">
        <is>
          <t>No</t>
        </is>
      </c>
      <c r="N3688" s="1" t="inlineStr">
        <is>
          <t>Database</t>
        </is>
      </c>
      <c r="O36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89" ht="15.75" customHeight="1" s="12">
      <c r="A3689" s="1" t="n">
        <v>3247</v>
      </c>
      <c r="B3689" s="3">
        <f>HYPERLINK("https://leetcode.com/problems/number-of-subsequences-with-odd-sum/", "Number of Subsequences with Odd Sum")</f>
        <v/>
      </c>
      <c r="C3689" s="1" t="n">
        <v>13</v>
      </c>
      <c r="D3689" s="1" t="n">
        <v>2</v>
      </c>
      <c r="E3689" s="4">
        <f>IF(INDEX(C:C, ROW())+INDEX(D:D, ROW())=0, 0, INDEX(C:C, ROW())/(INDEX(C:C, ROW())+INDEX(D:D, ROW())))</f>
        <v/>
      </c>
      <c r="F3689" s="1" t="inlineStr">
        <is>
          <t>Array, Math, Dynamic Programming, Combinatorics</t>
        </is>
      </c>
      <c r="G3689" s="1" t="inlineStr">
        <is>
          <t>Medium</t>
        </is>
      </c>
      <c r="H3689" s="1" t="n">
        <v>1036</v>
      </c>
      <c r="I3689" s="1" t="n">
        <v>2178</v>
      </c>
      <c r="J3689" s="9" t="n">
        <v>0.476</v>
      </c>
      <c r="K3689" s="1" t="inlineStr">
        <is>
          <t>No</t>
        </is>
      </c>
      <c r="L3689" s="1" t="inlineStr">
        <is>
          <t>No</t>
        </is>
      </c>
      <c r="M3689" s="1" t="inlineStr">
        <is>
          <t>No</t>
        </is>
      </c>
      <c r="N3689" s="1" t="inlineStr">
        <is>
          <t>Algorithms</t>
        </is>
      </c>
      <c r="O36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90" ht="15.75" customHeight="1" s="12">
      <c r="A3690" s="1" t="n">
        <v>3338</v>
      </c>
      <c r="B3690" s="3">
        <f>HYPERLINK("https://leetcode.com/problems/second-highest-salary-ii/", "Second Highest Salary II")</f>
        <v/>
      </c>
      <c r="C3690" s="1" t="n">
        <v>13</v>
      </c>
      <c r="D3690" s="1" t="n">
        <v>0</v>
      </c>
      <c r="E3690" s="4">
        <f>IF(INDEX(C:C, ROW())+INDEX(D:D, ROW())=0, 0, INDEX(C:C, ROW())/(INDEX(C:C, ROW())+INDEX(D:D, ROW())))</f>
        <v/>
      </c>
      <c r="F3690" s="1" t="inlineStr">
        <is>
          <t>Database</t>
        </is>
      </c>
      <c r="G3690" s="1" t="inlineStr">
        <is>
          <t>Medium</t>
        </is>
      </c>
      <c r="H3690" s="1" t="n">
        <v>2709</v>
      </c>
      <c r="I3690" s="1" t="n">
        <v>3127</v>
      </c>
      <c r="J3690" s="9" t="n">
        <v>0.866</v>
      </c>
      <c r="K3690" s="1" t="inlineStr">
        <is>
          <t>No</t>
        </is>
      </c>
      <c r="L3690" s="1" t="inlineStr">
        <is>
          <t>No</t>
        </is>
      </c>
      <c r="M3690" s="1" t="inlineStr">
        <is>
          <t>No</t>
        </is>
      </c>
      <c r="N3690" s="1" t="inlineStr">
        <is>
          <t>Database</t>
        </is>
      </c>
      <c r="O36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91" ht="15.75" customHeight="1" s="12">
      <c r="A3691" s="1" t="n">
        <v>3450</v>
      </c>
      <c r="B3691" s="3">
        <f>HYPERLINK("https://leetcode.com/problems/maximum-students-on-a-single-bench/", "Maximum Students on a Single Bench")</f>
        <v/>
      </c>
      <c r="C3691" s="1" t="n">
        <v>13</v>
      </c>
      <c r="D3691" s="1" t="n">
        <v>1</v>
      </c>
      <c r="E3691" s="4">
        <f>IF(INDEX(C:C, ROW())+INDEX(D:D, ROW())=0, 0, INDEX(C:C, ROW())/(INDEX(C:C, ROW())+INDEX(D:D, ROW())))</f>
        <v/>
      </c>
      <c r="F3691" s="1" t="inlineStr">
        <is>
          <t>Array, Hash Table</t>
        </is>
      </c>
      <c r="G3691" s="1" t="inlineStr">
        <is>
          <t>Easy</t>
        </is>
      </c>
      <c r="H3691" s="1" t="n">
        <v>2000</v>
      </c>
      <c r="I3691" s="1" t="n">
        <v>2283</v>
      </c>
      <c r="J3691" s="9" t="n">
        <v>0.876</v>
      </c>
      <c r="K3691" s="1" t="inlineStr">
        <is>
          <t>No</t>
        </is>
      </c>
      <c r="L3691" s="1" t="inlineStr">
        <is>
          <t>No</t>
        </is>
      </c>
      <c r="M3691" s="1" t="inlineStr">
        <is>
          <t>No</t>
        </is>
      </c>
      <c r="N3691" s="1" t="inlineStr">
        <is>
          <t>Algorithms</t>
        </is>
      </c>
      <c r="O36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92" ht="15.75" customHeight="1" s="12">
      <c r="A3692" s="1" t="n">
        <v>3064</v>
      </c>
      <c r="B3692" s="3">
        <f>HYPERLINK("https://leetcode.com/problems/guess-the-number-using-bitwise-questions-i/", "Guess the Number Using Bitwise Questions I")</f>
        <v/>
      </c>
      <c r="C3692" s="1" t="n">
        <v>12</v>
      </c>
      <c r="D3692" s="1" t="n">
        <v>11</v>
      </c>
      <c r="E3692" s="4">
        <f>IF(INDEX(C:C, ROW())+INDEX(D:D, ROW())=0, 0, INDEX(C:C, ROW())/(INDEX(C:C, ROW())+INDEX(D:D, ROW())))</f>
        <v/>
      </c>
      <c r="F3692" s="1" t="inlineStr">
        <is>
          <t>Bit Manipulation, Interactive</t>
        </is>
      </c>
      <c r="G3692" s="1" t="inlineStr">
        <is>
          <t>Medium</t>
        </is>
      </c>
      <c r="H3692" s="1" t="n">
        <v>2238</v>
      </c>
      <c r="I3692" s="1" t="n">
        <v>2521</v>
      </c>
      <c r="J3692" s="9" t="n">
        <v>0.888</v>
      </c>
      <c r="K3692" s="1" t="inlineStr">
        <is>
          <t>No</t>
        </is>
      </c>
      <c r="L3692" s="1" t="inlineStr">
        <is>
          <t>No</t>
        </is>
      </c>
      <c r="M3692" s="1" t="inlineStr">
        <is>
          <t>No</t>
        </is>
      </c>
      <c r="N3692" s="1" t="inlineStr">
        <is>
          <t>Algorithms</t>
        </is>
      </c>
      <c r="O36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93" ht="15.75" customHeight="1" s="12">
      <c r="A3693" s="1" t="n">
        <v>3125</v>
      </c>
      <c r="B3693" s="3">
        <f>HYPERLINK("https://leetcode.com/problems/maximum-number-that-makes-result-of-bitwise-and-zero/", "Maximum Number That Makes Result of Bitwise AND Zero")</f>
        <v/>
      </c>
      <c r="C3693" s="1" t="n">
        <v>12</v>
      </c>
      <c r="D3693" s="1" t="n">
        <v>2</v>
      </c>
      <c r="E3693" s="4">
        <f>IF(INDEX(C:C, ROW())+INDEX(D:D, ROW())=0, 0, INDEX(C:C, ROW())/(INDEX(C:C, ROW())+INDEX(D:D, ROW())))</f>
        <v/>
      </c>
      <c r="F3693" s="1" t="inlineStr">
        <is>
          <t>String, Greedy, Sorting</t>
        </is>
      </c>
      <c r="G3693" s="1" t="inlineStr">
        <is>
          <t>Medium</t>
        </is>
      </c>
      <c r="H3693" s="1" t="n">
        <v>1276</v>
      </c>
      <c r="I3693" s="1" t="n">
        <v>1822</v>
      </c>
      <c r="J3693" s="9" t="n">
        <v>0.7</v>
      </c>
      <c r="K3693" s="1" t="inlineStr">
        <is>
          <t>No</t>
        </is>
      </c>
      <c r="L3693" s="1" t="inlineStr">
        <is>
          <t>No</t>
        </is>
      </c>
      <c r="M3693" s="1" t="inlineStr">
        <is>
          <t>No</t>
        </is>
      </c>
      <c r="N3693" s="1" t="inlineStr">
        <is>
          <t>Algorithms</t>
        </is>
      </c>
      <c r="O36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94" ht="15.75" customHeight="1" s="12">
      <c r="A3694" s="1" t="n">
        <v>3140</v>
      </c>
      <c r="B3694" s="3">
        <f>HYPERLINK("https://leetcode.com/problems/consecutive-available-seats-ii/", "Consecutive Available Seats II")</f>
        <v/>
      </c>
      <c r="C3694" s="1" t="n">
        <v>12</v>
      </c>
      <c r="D3694" s="1" t="n">
        <v>2</v>
      </c>
      <c r="E3694" s="4">
        <f>IF(INDEX(C:C, ROW())+INDEX(D:D, ROW())=0, 0, INDEX(C:C, ROW())/(INDEX(C:C, ROW())+INDEX(D:D, ROW())))</f>
        <v/>
      </c>
      <c r="F3694" s="1" t="inlineStr">
        <is>
          <t>Database</t>
        </is>
      </c>
      <c r="G3694" s="1" t="inlineStr">
        <is>
          <t>Medium</t>
        </is>
      </c>
      <c r="H3694" s="1" t="n">
        <v>2633</v>
      </c>
      <c r="I3694" s="1" t="n">
        <v>4790</v>
      </c>
      <c r="J3694" s="9" t="n">
        <v>0.55</v>
      </c>
      <c r="K3694" s="1" t="inlineStr">
        <is>
          <t>No</t>
        </is>
      </c>
      <c r="L3694" s="1" t="inlineStr">
        <is>
          <t>No</t>
        </is>
      </c>
      <c r="M3694" s="1" t="inlineStr">
        <is>
          <t>No</t>
        </is>
      </c>
      <c r="N3694" s="1" t="inlineStr">
        <is>
          <t>Database</t>
        </is>
      </c>
      <c r="O36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95" ht="15.75" customHeight="1" s="12">
      <c r="A3695" s="1" t="n">
        <v>3156</v>
      </c>
      <c r="B3695" s="3">
        <f>HYPERLINK("https://leetcode.com/problems/employee-task-duration-and-concurrent-tasks/", "Employee Task Duration and Concurrent Tasks")</f>
        <v/>
      </c>
      <c r="C3695" s="1" t="n">
        <v>12</v>
      </c>
      <c r="D3695" s="1" t="n">
        <v>2</v>
      </c>
      <c r="E3695" s="4">
        <f>IF(INDEX(C:C, ROW())+INDEX(D:D, ROW())=0, 0, INDEX(C:C, ROW())/(INDEX(C:C, ROW())+INDEX(D:D, ROW())))</f>
        <v/>
      </c>
      <c r="F3695" s="1" t="inlineStr">
        <is>
          <t>Database</t>
        </is>
      </c>
      <c r="G3695" s="1" t="inlineStr">
        <is>
          <t>Hard</t>
        </is>
      </c>
      <c r="H3695" s="1" t="n">
        <v>1431</v>
      </c>
      <c r="I3695" s="1" t="n">
        <v>3673</v>
      </c>
      <c r="J3695" s="9" t="n">
        <v>0.39</v>
      </c>
      <c r="K3695" s="1" t="inlineStr">
        <is>
          <t>No</t>
        </is>
      </c>
      <c r="L3695" s="1" t="inlineStr">
        <is>
          <t>No</t>
        </is>
      </c>
      <c r="M3695" s="1" t="inlineStr">
        <is>
          <t>No</t>
        </is>
      </c>
      <c r="N3695" s="1" t="inlineStr">
        <is>
          <t>Database</t>
        </is>
      </c>
      <c r="O36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96" ht="15.75" customHeight="1" s="12">
      <c r="A3696" s="1" t="n">
        <v>3278</v>
      </c>
      <c r="B3696" s="3">
        <f>HYPERLINK("https://leetcode.com/problems/find-candidates-for-data-scientist-position-ii/", "Find Candidates for Data Scientist Position II")</f>
        <v/>
      </c>
      <c r="C3696" s="1" t="n">
        <v>12</v>
      </c>
      <c r="D3696" s="1" t="n">
        <v>5</v>
      </c>
      <c r="E3696" s="4">
        <f>IF(INDEX(C:C, ROW())+INDEX(D:D, ROW())=0, 0, INDEX(C:C, ROW())/(INDEX(C:C, ROW())+INDEX(D:D, ROW())))</f>
        <v/>
      </c>
      <c r="F3696" s="1" t="inlineStr">
        <is>
          <t>Database</t>
        </is>
      </c>
      <c r="G3696" s="1" t="inlineStr">
        <is>
          <t>Medium</t>
        </is>
      </c>
      <c r="H3696" s="1" t="n">
        <v>1989</v>
      </c>
      <c r="I3696" s="1" t="n">
        <v>4665</v>
      </c>
      <c r="J3696" s="9" t="n">
        <v>0.426</v>
      </c>
      <c r="K3696" s="1" t="inlineStr">
        <is>
          <t>No</t>
        </is>
      </c>
      <c r="L3696" s="1" t="inlineStr">
        <is>
          <t>No</t>
        </is>
      </c>
      <c r="M3696" s="1" t="inlineStr">
        <is>
          <t>No</t>
        </is>
      </c>
      <c r="N3696" s="1" t="inlineStr">
        <is>
          <t>Database</t>
        </is>
      </c>
      <c r="O36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97" ht="15.75" customHeight="1" s="12">
      <c r="A3697" s="1" t="n">
        <v>3284</v>
      </c>
      <c r="B3697" s="3">
        <f>HYPERLINK("https://leetcode.com/problems/sum-of-consecutive-subarrays/", "Sum of Consecutive Subarrays")</f>
        <v/>
      </c>
      <c r="C3697" s="1" t="n">
        <v>12</v>
      </c>
      <c r="D3697" s="1" t="n">
        <v>3</v>
      </c>
      <c r="E3697" s="4">
        <f>IF(INDEX(C:C, ROW())+INDEX(D:D, ROW())=0, 0, INDEX(C:C, ROW())/(INDEX(C:C, ROW())+INDEX(D:D, ROW())))</f>
        <v/>
      </c>
      <c r="F3697" s="1" t="inlineStr">
        <is>
          <t>Array, Two Pointers, Dynamic Programming</t>
        </is>
      </c>
      <c r="G3697" s="1" t="inlineStr">
        <is>
          <t>Medium</t>
        </is>
      </c>
      <c r="H3697" s="1" t="n">
        <v>806</v>
      </c>
      <c r="I3697" s="1" t="n">
        <v>1897</v>
      </c>
      <c r="J3697" s="9" t="n">
        <v>0.425</v>
      </c>
      <c r="K3697" s="1" t="inlineStr">
        <is>
          <t>No</t>
        </is>
      </c>
      <c r="L3697" s="1" t="inlineStr">
        <is>
          <t>No</t>
        </is>
      </c>
      <c r="M3697" s="1" t="inlineStr">
        <is>
          <t>No</t>
        </is>
      </c>
      <c r="N3697" s="1" t="inlineStr">
        <is>
          <t>Algorithms</t>
        </is>
      </c>
      <c r="O36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98" ht="15.75" customHeight="1" s="12">
      <c r="A3698" s="1" t="n">
        <v>3808</v>
      </c>
      <c r="B3698" s="3">
        <f>HYPERLINK("https://leetcode.com/problems/find-emotionally-consistent-users/", "Find Emotionally Consistent Users")</f>
        <v/>
      </c>
      <c r="C3698" s="1" t="n">
        <v>12</v>
      </c>
      <c r="D3698" s="1" t="n">
        <v>0</v>
      </c>
      <c r="E3698" s="4">
        <f>IF(INDEX(C:C, ROW())+INDEX(D:D, ROW())=0, 0, INDEX(C:C, ROW())/(INDEX(C:C, ROW())+INDEX(D:D, ROW())))</f>
        <v/>
      </c>
      <c r="F3698" s="2" t="n"/>
      <c r="G3698" s="1" t="inlineStr">
        <is>
          <t>Medium</t>
        </is>
      </c>
      <c r="H3698" s="1" t="n">
        <v>387</v>
      </c>
      <c r="I3698" s="1" t="n">
        <v>606</v>
      </c>
      <c r="J3698" s="9" t="n">
        <v>0.639</v>
      </c>
      <c r="K3698" s="1" t="inlineStr">
        <is>
          <t>Yes</t>
        </is>
      </c>
      <c r="L3698" s="1" t="inlineStr">
        <is>
          <t>No</t>
        </is>
      </c>
      <c r="M3698" s="1" t="inlineStr">
        <is>
          <t>No</t>
        </is>
      </c>
      <c r="N3698" s="1" t="inlineStr">
        <is>
          <t>Database</t>
        </is>
      </c>
      <c r="O36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699" ht="15.75" customHeight="1" s="12">
      <c r="A3699" s="1" t="n">
        <v>2647</v>
      </c>
      <c r="B3699" s="3">
        <f>HYPERLINK("https://leetcode.com/problems/color-the-triangle-red/", "Color the Triangle Red")</f>
        <v/>
      </c>
      <c r="C3699" s="1" t="n">
        <v>11</v>
      </c>
      <c r="D3699" s="1" t="n">
        <v>18</v>
      </c>
      <c r="E3699" s="4">
        <f>IF(INDEX(C:C, ROW())+INDEX(D:D, ROW())=0, 0, INDEX(C:C, ROW())/(INDEX(C:C, ROW())+INDEX(D:D, ROW())))</f>
        <v/>
      </c>
      <c r="F3699" s="1" t="inlineStr">
        <is>
          <t>Array, Math</t>
        </is>
      </c>
      <c r="G3699" s="1" t="inlineStr">
        <is>
          <t>Hard</t>
        </is>
      </c>
      <c r="H3699" s="1" t="n">
        <v>452</v>
      </c>
      <c r="I3699" s="1" t="n">
        <v>753</v>
      </c>
      <c r="J3699" s="9" t="n">
        <v>0.6</v>
      </c>
      <c r="K3699" s="1" t="inlineStr">
        <is>
          <t>No</t>
        </is>
      </c>
      <c r="L3699" s="1" t="inlineStr">
        <is>
          <t>No</t>
        </is>
      </c>
      <c r="M3699" s="1" t="inlineStr">
        <is>
          <t>No</t>
        </is>
      </c>
      <c r="N3699" s="1" t="inlineStr">
        <is>
          <t>Algorithms</t>
        </is>
      </c>
      <c r="O36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00" ht="15.75" customHeight="1" s="12">
      <c r="A3700" s="1" t="n">
        <v>2691</v>
      </c>
      <c r="B3700" s="3">
        <f>HYPERLINK("https://leetcode.com/problems/immutability-helper/", "Immutability Helper")</f>
        <v/>
      </c>
      <c r="C3700" s="1" t="n">
        <v>11</v>
      </c>
      <c r="D3700" s="1" t="n">
        <v>8</v>
      </c>
      <c r="E3700" s="4">
        <f>IF(INDEX(C:C, ROW())+INDEX(D:D, ROW())=0, 0, INDEX(C:C, ROW())/(INDEX(C:C, ROW())+INDEX(D:D, ROW())))</f>
        <v/>
      </c>
      <c r="F3700" s="2" t="n"/>
      <c r="G3700" s="1" t="inlineStr">
        <is>
          <t>Hard</t>
        </is>
      </c>
      <c r="H3700" s="1" t="n">
        <v>363</v>
      </c>
      <c r="I3700" s="1" t="n">
        <v>894</v>
      </c>
      <c r="J3700" s="9" t="n">
        <v>0.406</v>
      </c>
      <c r="K3700" s="1" t="inlineStr">
        <is>
          <t>No</t>
        </is>
      </c>
      <c r="L3700" s="1" t="inlineStr">
        <is>
          <t>No</t>
        </is>
      </c>
      <c r="M3700" s="1" t="inlineStr">
        <is>
          <t>No</t>
        </is>
      </c>
      <c r="N3700" s="1" t="inlineStr">
        <is>
          <t>JavaScript</t>
        </is>
      </c>
      <c r="O37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01" ht="15.75" customHeight="1" s="12">
      <c r="A3701" s="1" t="n">
        <v>2757</v>
      </c>
      <c r="B3701" s="3">
        <f>HYPERLINK("https://leetcode.com/problems/generate-circular-array-values/", "Generate Circular Array Values")</f>
        <v/>
      </c>
      <c r="C3701" s="1" t="n">
        <v>11</v>
      </c>
      <c r="D3701" s="1" t="n">
        <v>2</v>
      </c>
      <c r="E3701" s="4">
        <f>IF(INDEX(C:C, ROW())+INDEX(D:D, ROW())=0, 0, INDEX(C:C, ROW())/(INDEX(C:C, ROW())+INDEX(D:D, ROW())))</f>
        <v/>
      </c>
      <c r="F3701" s="2" t="n"/>
      <c r="G3701" s="1" t="inlineStr">
        <is>
          <t>Medium</t>
        </is>
      </c>
      <c r="H3701" s="1" t="n">
        <v>657</v>
      </c>
      <c r="I3701" s="1" t="n">
        <v>881</v>
      </c>
      <c r="J3701" s="9" t="n">
        <v>0.746</v>
      </c>
      <c r="K3701" s="1" t="inlineStr">
        <is>
          <t>No</t>
        </is>
      </c>
      <c r="L3701" s="1" t="inlineStr">
        <is>
          <t>Yes</t>
        </is>
      </c>
      <c r="M3701" s="1" t="inlineStr">
        <is>
          <t>No</t>
        </is>
      </c>
      <c r="N3701" s="1" t="inlineStr">
        <is>
          <t>JavaScript</t>
        </is>
      </c>
      <c r="O37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02" ht="15.75" customHeight="1" s="12">
      <c r="A3702" s="1" t="n">
        <v>2777</v>
      </c>
      <c r="B3702" s="3">
        <f>HYPERLINK("https://leetcode.com/problems/date-range-generator/", "Date Range Generator")</f>
        <v/>
      </c>
      <c r="C3702" s="1" t="n">
        <v>11</v>
      </c>
      <c r="D3702" s="1" t="n">
        <v>2</v>
      </c>
      <c r="E3702" s="4">
        <f>IF(INDEX(C:C, ROW())+INDEX(D:D, ROW())=0, 0, INDEX(C:C, ROW())/(INDEX(C:C, ROW())+INDEX(D:D, ROW())))</f>
        <v/>
      </c>
      <c r="F3702" s="2" t="n"/>
      <c r="G3702" s="1" t="inlineStr">
        <is>
          <t>Medium</t>
        </is>
      </c>
      <c r="H3702" s="1" t="n">
        <v>651</v>
      </c>
      <c r="I3702" s="1" t="n">
        <v>785</v>
      </c>
      <c r="J3702" s="9" t="n">
        <v>0.829</v>
      </c>
      <c r="K3702" s="1" t="inlineStr">
        <is>
          <t>No</t>
        </is>
      </c>
      <c r="L3702" s="1" t="inlineStr">
        <is>
          <t>Yes</t>
        </is>
      </c>
      <c r="M3702" s="1" t="inlineStr">
        <is>
          <t>No</t>
        </is>
      </c>
      <c r="N3702" s="1" t="inlineStr">
        <is>
          <t>JavaScript</t>
        </is>
      </c>
      <c r="O37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03" ht="15.75" customHeight="1" s="12">
      <c r="A3703" s="1" t="n">
        <v>2794</v>
      </c>
      <c r="B3703" s="3">
        <f>HYPERLINK("https://leetcode.com/problems/create-object-from-two-arrays/", "Create Object from Two Arrays")</f>
        <v/>
      </c>
      <c r="C3703" s="1" t="n">
        <v>11</v>
      </c>
      <c r="D3703" s="1" t="n">
        <v>3</v>
      </c>
      <c r="E3703" s="4">
        <f>IF(INDEX(C:C, ROW())+INDEX(D:D, ROW())=0, 0, INDEX(C:C, ROW())/(INDEX(C:C, ROW())+INDEX(D:D, ROW())))</f>
        <v/>
      </c>
      <c r="F3703" s="2" t="n"/>
      <c r="G3703" s="1" t="inlineStr">
        <is>
          <t>Easy</t>
        </is>
      </c>
      <c r="H3703" s="1" t="n">
        <v>1687</v>
      </c>
      <c r="I3703" s="1" t="n">
        <v>2645</v>
      </c>
      <c r="J3703" s="9" t="n">
        <v>0.638</v>
      </c>
      <c r="K3703" s="1" t="inlineStr">
        <is>
          <t>No</t>
        </is>
      </c>
      <c r="L3703" s="1" t="inlineStr">
        <is>
          <t>Yes</t>
        </is>
      </c>
      <c r="M3703" s="1" t="inlineStr">
        <is>
          <t>No</t>
        </is>
      </c>
      <c r="N3703" s="1" t="inlineStr">
        <is>
          <t>JavaScript</t>
        </is>
      </c>
      <c r="O37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04" ht="15.75" customHeight="1" s="12">
      <c r="A3704" s="1" t="n">
        <v>2797</v>
      </c>
      <c r="B3704" s="3">
        <f>HYPERLINK("https://leetcode.com/problems/partial-function-with-placeholders/", "Partial Function with Placeholders")</f>
        <v/>
      </c>
      <c r="C3704" s="1" t="n">
        <v>11</v>
      </c>
      <c r="D3704" s="1" t="n">
        <v>4</v>
      </c>
      <c r="E3704" s="4">
        <f>IF(INDEX(C:C, ROW())+INDEX(D:D, ROW())=0, 0, INDEX(C:C, ROW())/(INDEX(C:C, ROW())+INDEX(D:D, ROW())))</f>
        <v/>
      </c>
      <c r="F3704" s="2" t="n"/>
      <c r="G3704" s="1" t="inlineStr">
        <is>
          <t>Easy</t>
        </is>
      </c>
      <c r="H3704" s="1" t="n">
        <v>1576</v>
      </c>
      <c r="I3704" s="1" t="n">
        <v>1757</v>
      </c>
      <c r="J3704" s="9" t="n">
        <v>0.897</v>
      </c>
      <c r="K3704" s="1" t="inlineStr">
        <is>
          <t>No</t>
        </is>
      </c>
      <c r="L3704" s="1" t="inlineStr">
        <is>
          <t>No</t>
        </is>
      </c>
      <c r="M3704" s="1" t="inlineStr">
        <is>
          <t>No</t>
        </is>
      </c>
      <c r="N3704" s="1" t="inlineStr">
        <is>
          <t>JavaScript</t>
        </is>
      </c>
      <c r="O37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05" ht="15.75" customHeight="1" s="12">
      <c r="A3705" s="1" t="n">
        <v>2984</v>
      </c>
      <c r="B3705" s="3">
        <f>HYPERLINK("https://leetcode.com/problems/find-peak-calling-hours-for-each-city/", "Find Peak Calling Hours for Each City")</f>
        <v/>
      </c>
      <c r="C3705" s="1" t="n">
        <v>11</v>
      </c>
      <c r="D3705" s="1" t="n">
        <v>5</v>
      </c>
      <c r="E3705" s="4">
        <f>IF(INDEX(C:C, ROW())+INDEX(D:D, ROW())=0, 0, INDEX(C:C, ROW())/(INDEX(C:C, ROW())+INDEX(D:D, ROW())))</f>
        <v/>
      </c>
      <c r="F3705" s="1" t="inlineStr">
        <is>
          <t>Database</t>
        </is>
      </c>
      <c r="G3705" s="1" t="inlineStr">
        <is>
          <t>Medium</t>
        </is>
      </c>
      <c r="H3705" s="1" t="n">
        <v>3709</v>
      </c>
      <c r="I3705" s="1" t="n">
        <v>6026</v>
      </c>
      <c r="J3705" s="9" t="n">
        <v>0.615</v>
      </c>
      <c r="K3705" s="1" t="inlineStr">
        <is>
          <t>No</t>
        </is>
      </c>
      <c r="L3705" s="1" t="inlineStr">
        <is>
          <t>No</t>
        </is>
      </c>
      <c r="M3705" s="1" t="inlineStr">
        <is>
          <t>No</t>
        </is>
      </c>
      <c r="N3705" s="1" t="inlineStr">
        <is>
          <t>Database</t>
        </is>
      </c>
      <c r="O37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06" ht="15.75" customHeight="1" s="12">
      <c r="A3706" s="1" t="n">
        <v>2987</v>
      </c>
      <c r="B3706" s="3">
        <f>HYPERLINK("https://leetcode.com/problems/find-expensive-cities/", "Find Expensive Cities")</f>
        <v/>
      </c>
      <c r="C3706" s="1" t="n">
        <v>11</v>
      </c>
      <c r="D3706" s="1" t="n">
        <v>12</v>
      </c>
      <c r="E3706" s="4">
        <f>IF(INDEX(C:C, ROW())+INDEX(D:D, ROW())=0, 0, INDEX(C:C, ROW())/(INDEX(C:C, ROW())+INDEX(D:D, ROW())))</f>
        <v/>
      </c>
      <c r="F3706" s="1" t="inlineStr">
        <is>
          <t>Database</t>
        </is>
      </c>
      <c r="G3706" s="1" t="inlineStr">
        <is>
          <t>Easy</t>
        </is>
      </c>
      <c r="H3706" s="1" t="n">
        <v>5434</v>
      </c>
      <c r="I3706" s="1" t="n">
        <v>7049</v>
      </c>
      <c r="J3706" s="9" t="n">
        <v>0.771</v>
      </c>
      <c r="K3706" s="1" t="inlineStr">
        <is>
          <t>No</t>
        </is>
      </c>
      <c r="L3706" s="1" t="inlineStr">
        <is>
          <t>No</t>
        </is>
      </c>
      <c r="M3706" s="1" t="inlineStr">
        <is>
          <t>No</t>
        </is>
      </c>
      <c r="N3706" s="1" t="inlineStr">
        <is>
          <t>Database</t>
        </is>
      </c>
      <c r="O37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07" ht="15.75" customHeight="1" s="12">
      <c r="A3707" s="1" t="n">
        <v>3078</v>
      </c>
      <c r="B3707" s="3">
        <f>HYPERLINK("https://leetcode.com/problems/match-alphanumerical-pattern-in-matrix-i/", "Match Alphanumerical Pattern in Matrix I")</f>
        <v/>
      </c>
      <c r="C3707" s="1" t="n">
        <v>11</v>
      </c>
      <c r="D3707" s="1" t="n">
        <v>4</v>
      </c>
      <c r="E3707" s="4">
        <f>IF(INDEX(C:C, ROW())+INDEX(D:D, ROW())=0, 0, INDEX(C:C, ROW())/(INDEX(C:C, ROW())+INDEX(D:D, ROW())))</f>
        <v/>
      </c>
      <c r="F3707" s="1" t="inlineStr">
        <is>
          <t>Array, Hash Table, String, Matrix</t>
        </is>
      </c>
      <c r="G3707" s="1" t="inlineStr">
        <is>
          <t>Medium</t>
        </is>
      </c>
      <c r="H3707" s="1" t="n">
        <v>1240</v>
      </c>
      <c r="I3707" s="1" t="n">
        <v>1931</v>
      </c>
      <c r="J3707" s="9" t="n">
        <v>0.642</v>
      </c>
      <c r="K3707" s="1" t="inlineStr">
        <is>
          <t>No</t>
        </is>
      </c>
      <c r="L3707" s="1" t="inlineStr">
        <is>
          <t>No</t>
        </is>
      </c>
      <c r="M3707" s="1" t="inlineStr">
        <is>
          <t>No</t>
        </is>
      </c>
      <c r="N3707" s="1" t="inlineStr">
        <is>
          <t>Algorithms</t>
        </is>
      </c>
      <c r="O37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08" ht="15.75" customHeight="1" s="12">
      <c r="A3708" s="1" t="n">
        <v>3089</v>
      </c>
      <c r="B3708" s="3">
        <f>HYPERLINK("https://leetcode.com/problems/find-bursty-behavior/", "Find Bursty Behavior")</f>
        <v/>
      </c>
      <c r="C3708" s="1" t="n">
        <v>11</v>
      </c>
      <c r="D3708" s="1" t="n">
        <v>21</v>
      </c>
      <c r="E3708" s="4">
        <f>IF(INDEX(C:C, ROW())+INDEX(D:D, ROW())=0, 0, INDEX(C:C, ROW())/(INDEX(C:C, ROW())+INDEX(D:D, ROW())))</f>
        <v/>
      </c>
      <c r="F3708" s="1" t="inlineStr">
        <is>
          <t>Database</t>
        </is>
      </c>
      <c r="G3708" s="1" t="inlineStr">
        <is>
          <t>Medium</t>
        </is>
      </c>
      <c r="H3708" s="1" t="n">
        <v>2293</v>
      </c>
      <c r="I3708" s="1" t="n">
        <v>6114</v>
      </c>
      <c r="J3708" s="9" t="n">
        <v>0.375</v>
      </c>
      <c r="K3708" s="1" t="inlineStr">
        <is>
          <t>No</t>
        </is>
      </c>
      <c r="L3708" s="1" t="inlineStr">
        <is>
          <t>No</t>
        </is>
      </c>
      <c r="M3708" s="1" t="inlineStr">
        <is>
          <t>No</t>
        </is>
      </c>
      <c r="N3708" s="1" t="inlineStr">
        <is>
          <t>Database</t>
        </is>
      </c>
      <c r="O37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09" ht="15.75" customHeight="1" s="12">
      <c r="A3709" s="1" t="n">
        <v>3172</v>
      </c>
      <c r="B3709" s="3">
        <f>HYPERLINK("https://leetcode.com/problems/second-day-verification/", "Second Day Verification")</f>
        <v/>
      </c>
      <c r="C3709" s="1" t="n">
        <v>11</v>
      </c>
      <c r="D3709" s="1" t="n">
        <v>1</v>
      </c>
      <c r="E3709" s="4">
        <f>IF(INDEX(C:C, ROW())+INDEX(D:D, ROW())=0, 0, INDEX(C:C, ROW())/(INDEX(C:C, ROW())+INDEX(D:D, ROW())))</f>
        <v/>
      </c>
      <c r="F3709" s="1" t="inlineStr">
        <is>
          <t>Database</t>
        </is>
      </c>
      <c r="G3709" s="1" t="inlineStr">
        <is>
          <t>Easy</t>
        </is>
      </c>
      <c r="H3709" s="1" t="n">
        <v>3459</v>
      </c>
      <c r="I3709" s="1" t="n">
        <v>5199</v>
      </c>
      <c r="J3709" s="9" t="n">
        <v>0.665</v>
      </c>
      <c r="K3709" s="1" t="inlineStr">
        <is>
          <t>No</t>
        </is>
      </c>
      <c r="L3709" s="1" t="inlineStr">
        <is>
          <t>No</t>
        </is>
      </c>
      <c r="M3709" s="1" t="inlineStr">
        <is>
          <t>No</t>
        </is>
      </c>
      <c r="N3709" s="1" t="inlineStr">
        <is>
          <t>Database</t>
        </is>
      </c>
      <c r="O37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10" ht="15.75" customHeight="1" s="12">
      <c r="A3710" s="1" t="n">
        <v>3246</v>
      </c>
      <c r="B3710" s="3">
        <f>HYPERLINK("https://leetcode.com/problems/premier-league-table-ranking/", "Premier League Table Ranking")</f>
        <v/>
      </c>
      <c r="C3710" s="1" t="n">
        <v>11</v>
      </c>
      <c r="D3710" s="1" t="n">
        <v>0</v>
      </c>
      <c r="E3710" s="4">
        <f>IF(INDEX(C:C, ROW())+INDEX(D:D, ROW())=0, 0, INDEX(C:C, ROW())/(INDEX(C:C, ROW())+INDEX(D:D, ROW())))</f>
        <v/>
      </c>
      <c r="F3710" s="1" t="inlineStr">
        <is>
          <t>Database</t>
        </is>
      </c>
      <c r="G3710" s="1" t="inlineStr">
        <is>
          <t>Easy</t>
        </is>
      </c>
      <c r="H3710" s="1" t="n">
        <v>3391</v>
      </c>
      <c r="I3710" s="1" t="n">
        <v>4276</v>
      </c>
      <c r="J3710" s="9" t="n">
        <v>0.793</v>
      </c>
      <c r="K3710" s="1" t="inlineStr">
        <is>
          <t>No</t>
        </is>
      </c>
      <c r="L3710" s="1" t="inlineStr">
        <is>
          <t>No</t>
        </is>
      </c>
      <c r="M3710" s="1" t="inlineStr">
        <is>
          <t>No</t>
        </is>
      </c>
      <c r="N3710" s="1" t="inlineStr">
        <is>
          <t>Database</t>
        </is>
      </c>
      <c r="O37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11" ht="15.75" customHeight="1" s="12">
      <c r="A3711" s="1" t="n">
        <v>3269</v>
      </c>
      <c r="B3711" s="3">
        <f>HYPERLINK("https://leetcode.com/problems/constructing-two-increasing-arrays/", "Constructing Two Increasing Arrays")</f>
        <v/>
      </c>
      <c r="C3711" s="1" t="n">
        <v>11</v>
      </c>
      <c r="D3711" s="1" t="n">
        <v>1</v>
      </c>
      <c r="E3711" s="4">
        <f>IF(INDEX(C:C, ROW())+INDEX(D:D, ROW())=0, 0, INDEX(C:C, ROW())/(INDEX(C:C, ROW())+INDEX(D:D, ROW())))</f>
        <v/>
      </c>
      <c r="F3711" s="1" t="inlineStr">
        <is>
          <t>Array, Dynamic Programming</t>
        </is>
      </c>
      <c r="G3711" s="1" t="inlineStr">
        <is>
          <t>Hard</t>
        </is>
      </c>
      <c r="H3711" s="1" t="n">
        <v>490</v>
      </c>
      <c r="I3711" s="1" t="n">
        <v>784</v>
      </c>
      <c r="J3711" s="9" t="n">
        <v>0.625</v>
      </c>
      <c r="K3711" s="1" t="inlineStr">
        <is>
          <t>No</t>
        </is>
      </c>
      <c r="L3711" s="1" t="inlineStr">
        <is>
          <t>No</t>
        </is>
      </c>
      <c r="M3711" s="1" t="inlineStr">
        <is>
          <t>No</t>
        </is>
      </c>
      <c r="N3711" s="1" t="inlineStr">
        <is>
          <t>Algorithms</t>
        </is>
      </c>
      <c r="O37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12" ht="15.75" customHeight="1" s="12">
      <c r="A3712" s="1" t="n">
        <v>3328</v>
      </c>
      <c r="B3712" s="3">
        <f>HYPERLINK("https://leetcode.com/problems/find-cities-in-each-state-ii/", "Find Cities in Each State II")</f>
        <v/>
      </c>
      <c r="C3712" s="1" t="n">
        <v>11</v>
      </c>
      <c r="D3712" s="1" t="n">
        <v>2</v>
      </c>
      <c r="E3712" s="4">
        <f>IF(INDEX(C:C, ROW())+INDEX(D:D, ROW())=0, 0, INDEX(C:C, ROW())/(INDEX(C:C, ROW())+INDEX(D:D, ROW())))</f>
        <v/>
      </c>
      <c r="F3712" s="1" t="inlineStr">
        <is>
          <t>Database</t>
        </is>
      </c>
      <c r="G3712" s="1" t="inlineStr">
        <is>
          <t>Medium</t>
        </is>
      </c>
      <c r="H3712" s="1" t="n">
        <v>1938</v>
      </c>
      <c r="I3712" s="1" t="n">
        <v>2830</v>
      </c>
      <c r="J3712" s="9" t="n">
        <v>0.6850000000000001</v>
      </c>
      <c r="K3712" s="1" t="inlineStr">
        <is>
          <t>No</t>
        </is>
      </c>
      <c r="L3712" s="1" t="inlineStr">
        <is>
          <t>No</t>
        </is>
      </c>
      <c r="M3712" s="1" t="inlineStr">
        <is>
          <t>No</t>
        </is>
      </c>
      <c r="N3712" s="1" t="inlineStr">
        <is>
          <t>Database</t>
        </is>
      </c>
      <c r="O37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13" ht="15.75" customHeight="1" s="12">
      <c r="A3713" s="1" t="n">
        <v>3496</v>
      </c>
      <c r="B3713" s="3">
        <f>HYPERLINK("https://leetcode.com/problems/maximize-score-after-pair-deletions/", "Maximize Score After Pair Deletions")</f>
        <v/>
      </c>
      <c r="C3713" s="1" t="n">
        <v>11</v>
      </c>
      <c r="D3713" s="1" t="n">
        <v>3</v>
      </c>
      <c r="E3713" s="4">
        <f>IF(INDEX(C:C, ROW())+INDEX(D:D, ROW())=0, 0, INDEX(C:C, ROW())/(INDEX(C:C, ROW())+INDEX(D:D, ROW())))</f>
        <v/>
      </c>
      <c r="F3713" s="1" t="inlineStr">
        <is>
          <t>Array, Greedy</t>
        </is>
      </c>
      <c r="G3713" s="1" t="inlineStr">
        <is>
          <t>Medium</t>
        </is>
      </c>
      <c r="H3713" s="1" t="n">
        <v>1000</v>
      </c>
      <c r="I3713" s="1" t="n">
        <v>1905</v>
      </c>
      <c r="J3713" s="9" t="n">
        <v>0.525</v>
      </c>
      <c r="K3713" s="1" t="inlineStr">
        <is>
          <t>No</t>
        </is>
      </c>
      <c r="L3713" s="1" t="inlineStr">
        <is>
          <t>No</t>
        </is>
      </c>
      <c r="M3713" s="1" t="inlineStr">
        <is>
          <t>No</t>
        </is>
      </c>
      <c r="N3713" s="1" t="inlineStr">
        <is>
          <t>Algorithms</t>
        </is>
      </c>
      <c r="O37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14" ht="15.75" customHeight="1" s="12">
      <c r="A3714" s="1" t="n">
        <v>2868</v>
      </c>
      <c r="B3714" s="3">
        <f>HYPERLINK("https://leetcode.com/problems/the-wording-game/", "The Wording Game")</f>
        <v/>
      </c>
      <c r="C3714" s="1" t="n">
        <v>10</v>
      </c>
      <c r="D3714" s="1" t="n">
        <v>6</v>
      </c>
      <c r="E3714" s="4">
        <f>IF(INDEX(C:C, ROW())+INDEX(D:D, ROW())=0, 0, INDEX(C:C, ROW())/(INDEX(C:C, ROW())+INDEX(D:D, ROW())))</f>
        <v/>
      </c>
      <c r="F3714" s="1" t="inlineStr">
        <is>
          <t>Array, Math, Two Pointers, String, Greedy, Game Theory</t>
        </is>
      </c>
      <c r="G3714" s="1" t="inlineStr">
        <is>
          <t>Hard</t>
        </is>
      </c>
      <c r="H3714" s="1" t="n">
        <v>741</v>
      </c>
      <c r="I3714" s="1" t="n">
        <v>1336</v>
      </c>
      <c r="J3714" s="9" t="n">
        <v>0.555</v>
      </c>
      <c r="K3714" s="1" t="inlineStr">
        <is>
          <t>No</t>
        </is>
      </c>
      <c r="L3714" s="1" t="inlineStr">
        <is>
          <t>No</t>
        </is>
      </c>
      <c r="M3714" s="1" t="inlineStr">
        <is>
          <t>No</t>
        </is>
      </c>
      <c r="N3714" s="1" t="inlineStr">
        <is>
          <t>Algorithms</t>
        </is>
      </c>
      <c r="O37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15" ht="15.75" customHeight="1" s="12">
      <c r="A3715" s="1" t="n">
        <v>2995</v>
      </c>
      <c r="B3715" s="3">
        <f>HYPERLINK("https://leetcode.com/problems/viewers-turned-streamers/", "Viewers Turned Streamers")</f>
        <v/>
      </c>
      <c r="C3715" s="1" t="n">
        <v>10</v>
      </c>
      <c r="D3715" s="1" t="n">
        <v>6</v>
      </c>
      <c r="E3715" s="4">
        <f>IF(INDEX(C:C, ROW())+INDEX(D:D, ROW())=0, 0, INDEX(C:C, ROW())/(INDEX(C:C, ROW())+INDEX(D:D, ROW())))</f>
        <v/>
      </c>
      <c r="F3715" s="1" t="inlineStr">
        <is>
          <t>Database</t>
        </is>
      </c>
      <c r="G3715" s="1" t="inlineStr">
        <is>
          <t>Hard</t>
        </is>
      </c>
      <c r="H3715" s="1" t="n">
        <v>4122</v>
      </c>
      <c r="I3715" s="1" t="n">
        <v>9661</v>
      </c>
      <c r="J3715" s="9" t="n">
        <v>0.427</v>
      </c>
      <c r="K3715" s="1" t="inlineStr">
        <is>
          <t>No</t>
        </is>
      </c>
      <c r="L3715" s="1" t="inlineStr">
        <is>
          <t>No</t>
        </is>
      </c>
      <c r="M3715" s="1" t="inlineStr">
        <is>
          <t>No</t>
        </is>
      </c>
      <c r="N3715" s="1" t="inlineStr">
        <is>
          <t>Database</t>
        </is>
      </c>
      <c r="O37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16" ht="15.75" customHeight="1" s="12">
      <c r="A3716" s="1" t="n">
        <v>3055</v>
      </c>
      <c r="B3716" s="3">
        <f>HYPERLINK("https://leetcode.com/problems/top-percentile-fraud/", "Top Percentile Fraud")</f>
        <v/>
      </c>
      <c r="C3716" s="1" t="n">
        <v>10</v>
      </c>
      <c r="D3716" s="1" t="n">
        <v>6</v>
      </c>
      <c r="E3716" s="4">
        <f>IF(INDEX(C:C, ROW())+INDEX(D:D, ROW())=0, 0, INDEX(C:C, ROW())/(INDEX(C:C, ROW())+INDEX(D:D, ROW())))</f>
        <v/>
      </c>
      <c r="F3716" s="1" t="inlineStr">
        <is>
          <t>Database</t>
        </is>
      </c>
      <c r="G3716" s="1" t="inlineStr">
        <is>
          <t>Medium</t>
        </is>
      </c>
      <c r="H3716" s="1" t="n">
        <v>3059</v>
      </c>
      <c r="I3716" s="1" t="n">
        <v>5289</v>
      </c>
      <c r="J3716" s="9" t="n">
        <v>0.578</v>
      </c>
      <c r="K3716" s="1" t="inlineStr">
        <is>
          <t>No</t>
        </is>
      </c>
      <c r="L3716" s="1" t="inlineStr">
        <is>
          <t>No</t>
        </is>
      </c>
      <c r="M3716" s="1" t="inlineStr">
        <is>
          <t>No</t>
        </is>
      </c>
      <c r="N3716" s="1" t="inlineStr">
        <is>
          <t>Database</t>
        </is>
      </c>
      <c r="O371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17" ht="15.75" customHeight="1" s="12">
      <c r="A3717" s="1" t="n">
        <v>3103</v>
      </c>
      <c r="B3717" s="3">
        <f>HYPERLINK("https://leetcode.com/problems/find-trending-hashtags-ii/", "Find Trending Hashtags II ")</f>
        <v/>
      </c>
      <c r="C3717" s="1" t="n">
        <v>10</v>
      </c>
      <c r="D3717" s="1" t="n">
        <v>2</v>
      </c>
      <c r="E3717" s="4">
        <f>IF(INDEX(C:C, ROW())+INDEX(D:D, ROW())=0, 0, INDEX(C:C, ROW())/(INDEX(C:C, ROW())+INDEX(D:D, ROW())))</f>
        <v/>
      </c>
      <c r="F3717" s="1" t="inlineStr">
        <is>
          <t>Database</t>
        </is>
      </c>
      <c r="G3717" s="1" t="inlineStr">
        <is>
          <t>Hard</t>
        </is>
      </c>
      <c r="H3717" s="1" t="n">
        <v>1505</v>
      </c>
      <c r="I3717" s="1" t="n">
        <v>2253</v>
      </c>
      <c r="J3717" s="9" t="n">
        <v>0.668</v>
      </c>
      <c r="K3717" s="1" t="inlineStr">
        <is>
          <t>No</t>
        </is>
      </c>
      <c r="L3717" s="1" t="inlineStr">
        <is>
          <t>No</t>
        </is>
      </c>
      <c r="M3717" s="1" t="inlineStr">
        <is>
          <t>No</t>
        </is>
      </c>
      <c r="N3717" s="1" t="inlineStr">
        <is>
          <t>Database</t>
        </is>
      </c>
      <c r="O371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18" ht="15.75" customHeight="1" s="12">
      <c r="A3718" s="1" t="n">
        <v>3252</v>
      </c>
      <c r="B3718" s="3">
        <f>HYPERLINK("https://leetcode.com/problems/premier-league-table-ranking-ii/", "Premier League Table Ranking II")</f>
        <v/>
      </c>
      <c r="C3718" s="1" t="n">
        <v>10</v>
      </c>
      <c r="D3718" s="1" t="n">
        <v>10</v>
      </c>
      <c r="E3718" s="4">
        <f>IF(INDEX(C:C, ROW())+INDEX(D:D, ROW())=0, 0, INDEX(C:C, ROW())/(INDEX(C:C, ROW())+INDEX(D:D, ROW())))</f>
        <v/>
      </c>
      <c r="F3718" s="1" t="inlineStr">
        <is>
          <t>Database</t>
        </is>
      </c>
      <c r="G3718" s="1" t="inlineStr">
        <is>
          <t>Medium</t>
        </is>
      </c>
      <c r="H3718" s="1" t="n">
        <v>1870</v>
      </c>
      <c r="I3718" s="1" t="n">
        <v>3364</v>
      </c>
      <c r="J3718" s="9" t="n">
        <v>0.556</v>
      </c>
      <c r="K3718" s="1" t="inlineStr">
        <is>
          <t>No</t>
        </is>
      </c>
      <c r="L3718" s="1" t="inlineStr">
        <is>
          <t>No</t>
        </is>
      </c>
      <c r="M3718" s="1" t="inlineStr">
        <is>
          <t>No</t>
        </is>
      </c>
      <c r="N3718" s="1" t="inlineStr">
        <is>
          <t>Database</t>
        </is>
      </c>
      <c r="O371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19" ht="15.75" customHeight="1" s="12">
      <c r="A3719" s="1" t="n">
        <v>3253</v>
      </c>
      <c r="B3719" s="3">
        <f>HYPERLINK("https://leetcode.com/problems/construct-string-with-minimum-cost-easy/", "Construct String with Minimum Cost (Easy)")</f>
        <v/>
      </c>
      <c r="C3719" s="1" t="n">
        <v>10</v>
      </c>
      <c r="D3719" s="1" t="n">
        <v>2</v>
      </c>
      <c r="E3719" s="4">
        <f>IF(INDEX(C:C, ROW())+INDEX(D:D, ROW())=0, 0, INDEX(C:C, ROW())/(INDEX(C:C, ROW())+INDEX(D:D, ROW())))</f>
        <v/>
      </c>
      <c r="F3719" s="2" t="n"/>
      <c r="G3719" s="1" t="inlineStr">
        <is>
          <t>Medium</t>
        </is>
      </c>
      <c r="H3719" s="1" t="n">
        <v>774</v>
      </c>
      <c r="I3719" s="1" t="n">
        <v>1308</v>
      </c>
      <c r="J3719" s="9" t="n">
        <v>0.592</v>
      </c>
      <c r="K3719" s="1" t="inlineStr">
        <is>
          <t>No</t>
        </is>
      </c>
      <c r="L3719" s="1" t="inlineStr">
        <is>
          <t>No</t>
        </is>
      </c>
      <c r="M3719" s="1" t="inlineStr">
        <is>
          <t>No</t>
        </is>
      </c>
      <c r="N3719" s="1" t="inlineStr">
        <is>
          <t>Algorithms</t>
        </is>
      </c>
      <c r="O371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20" ht="15.75" customHeight="1" s="12">
      <c r="A3720" s="1" t="n">
        <v>3262</v>
      </c>
      <c r="B3720" s="3">
        <f>HYPERLINK("https://leetcode.com/problems/find-overlapping-shifts/", "Find Overlapping Shifts")</f>
        <v/>
      </c>
      <c r="C3720" s="1" t="n">
        <v>10</v>
      </c>
      <c r="D3720" s="1" t="n">
        <v>4</v>
      </c>
      <c r="E3720" s="4">
        <f>IF(INDEX(C:C, ROW())+INDEX(D:D, ROW())=0, 0, INDEX(C:C, ROW())/(INDEX(C:C, ROW())+INDEX(D:D, ROW())))</f>
        <v/>
      </c>
      <c r="F3720" s="1" t="inlineStr">
        <is>
          <t>Database</t>
        </is>
      </c>
      <c r="G3720" s="1" t="inlineStr">
        <is>
          <t>Medium</t>
        </is>
      </c>
      <c r="H3720" s="1" t="n">
        <v>2240</v>
      </c>
      <c r="I3720" s="1" t="n">
        <v>3863</v>
      </c>
      <c r="J3720" s="9" t="n">
        <v>0.58</v>
      </c>
      <c r="K3720" s="1" t="inlineStr">
        <is>
          <t>No</t>
        </is>
      </c>
      <c r="L3720" s="1" t="inlineStr">
        <is>
          <t>No</t>
        </is>
      </c>
      <c r="M3720" s="1" t="inlineStr">
        <is>
          <t>No</t>
        </is>
      </c>
      <c r="N3720" s="1" t="inlineStr">
        <is>
          <t>Database</t>
        </is>
      </c>
      <c r="O372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21" ht="15.75" customHeight="1" s="12">
      <c r="A3721" s="1" t="n">
        <v>3293</v>
      </c>
      <c r="B3721" s="3">
        <f>HYPERLINK("https://leetcode.com/problems/calculate-product-final-price/", "Calculate Product Final Price")</f>
        <v/>
      </c>
      <c r="C3721" s="1" t="n">
        <v>10</v>
      </c>
      <c r="D3721" s="1" t="n">
        <v>1</v>
      </c>
      <c r="E3721" s="4">
        <f>IF(INDEX(C:C, ROW())+INDEX(D:D, ROW())=0, 0, INDEX(C:C, ROW())/(INDEX(C:C, ROW())+INDEX(D:D, ROW())))</f>
        <v/>
      </c>
      <c r="F3721" s="1" t="inlineStr">
        <is>
          <t>Database</t>
        </is>
      </c>
      <c r="G3721" s="1" t="inlineStr">
        <is>
          <t>Medium</t>
        </is>
      </c>
      <c r="H3721" s="1" t="n">
        <v>2605</v>
      </c>
      <c r="I3721" s="1" t="n">
        <v>3294</v>
      </c>
      <c r="J3721" s="9" t="n">
        <v>0.791</v>
      </c>
      <c r="K3721" s="1" t="inlineStr">
        <is>
          <t>No</t>
        </is>
      </c>
      <c r="L3721" s="1" t="inlineStr">
        <is>
          <t>No</t>
        </is>
      </c>
      <c r="M3721" s="1" t="inlineStr">
        <is>
          <t>No</t>
        </is>
      </c>
      <c r="N3721" s="1" t="inlineStr">
        <is>
          <t>Database</t>
        </is>
      </c>
      <c r="O372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22" ht="15.75" customHeight="1" s="12">
      <c r="A3722" s="1" t="n">
        <v>3476</v>
      </c>
      <c r="B3722" s="3">
        <f>HYPERLINK("https://leetcode.com/problems/maximize-profit-from-task-assignment/", "Maximize Profit from Task Assignment")</f>
        <v/>
      </c>
      <c r="C3722" s="1" t="n">
        <v>10</v>
      </c>
      <c r="D3722" s="1" t="n">
        <v>2</v>
      </c>
      <c r="E3722" s="4">
        <f>IF(INDEX(C:C, ROW())+INDEX(D:D, ROW())=0, 0, INDEX(C:C, ROW())/(INDEX(C:C, ROW())+INDEX(D:D, ROW())))</f>
        <v/>
      </c>
      <c r="F3722" s="1" t="inlineStr">
        <is>
          <t>Array, Greedy, Sorting, Heap (Priority Queue)</t>
        </is>
      </c>
      <c r="G3722" s="1" t="inlineStr">
        <is>
          <t>Medium</t>
        </is>
      </c>
      <c r="H3722" s="1" t="n">
        <v>942</v>
      </c>
      <c r="I3722" s="1" t="n">
        <v>1434</v>
      </c>
      <c r="J3722" s="9" t="n">
        <v>0.657</v>
      </c>
      <c r="K3722" s="1" t="inlineStr">
        <is>
          <t>No</t>
        </is>
      </c>
      <c r="L3722" s="1" t="inlineStr">
        <is>
          <t>No</t>
        </is>
      </c>
      <c r="M3722" s="1" t="inlineStr">
        <is>
          <t>No</t>
        </is>
      </c>
      <c r="N3722" s="1" t="inlineStr">
        <is>
          <t>Algorithms</t>
        </is>
      </c>
      <c r="O372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23" ht="15.75" customHeight="1" s="12">
      <c r="A3723" s="1" t="n">
        <v>3491</v>
      </c>
      <c r="B3723" s="3">
        <f>HYPERLINK("https://leetcode.com/problems/phone-number-prefix/", "Phone Number Prefix")</f>
        <v/>
      </c>
      <c r="C3723" s="1" t="n">
        <v>10</v>
      </c>
      <c r="D3723" s="1" t="n">
        <v>1</v>
      </c>
      <c r="E3723" s="4">
        <f>IF(INDEX(C:C, ROW())+INDEX(D:D, ROW())=0, 0, INDEX(C:C, ROW())/(INDEX(C:C, ROW())+INDEX(D:D, ROW())))</f>
        <v/>
      </c>
      <c r="F3723" s="1" t="inlineStr">
        <is>
          <t>Array, String, Trie, Sorting</t>
        </is>
      </c>
      <c r="G3723" s="1" t="inlineStr">
        <is>
          <t>Easy</t>
        </is>
      </c>
      <c r="H3723" s="1" t="n">
        <v>1705</v>
      </c>
      <c r="I3723" s="1" t="n">
        <v>2412</v>
      </c>
      <c r="J3723" s="9" t="n">
        <v>0.707</v>
      </c>
      <c r="K3723" s="1" t="inlineStr">
        <is>
          <t>No</t>
        </is>
      </c>
      <c r="L3723" s="1" t="inlineStr">
        <is>
          <t>No</t>
        </is>
      </c>
      <c r="M3723" s="1" t="inlineStr">
        <is>
          <t>No</t>
        </is>
      </c>
      <c r="N3723" s="1" t="inlineStr">
        <is>
          <t>Algorithms</t>
        </is>
      </c>
      <c r="O372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24" ht="15.75" customHeight="1" s="12">
      <c r="A3724" s="1" t="n">
        <v>3596</v>
      </c>
      <c r="B3724" s="3">
        <f>HYPERLINK("https://leetcode.com/problems/minimum-cost-path-with-alternating-directions-i/", "Minimum Cost Path with Alternating Directions I")</f>
        <v/>
      </c>
      <c r="C3724" s="1" t="n">
        <v>10</v>
      </c>
      <c r="D3724" s="1" t="n">
        <v>7</v>
      </c>
      <c r="E3724" s="4">
        <f>IF(INDEX(C:C, ROW())+INDEX(D:D, ROW())=0, 0, INDEX(C:C, ROW())/(INDEX(C:C, ROW())+INDEX(D:D, ROW())))</f>
        <v/>
      </c>
      <c r="F3724" s="1" t="inlineStr">
        <is>
          <t>Math, Brainteaser</t>
        </is>
      </c>
      <c r="G3724" s="1" t="inlineStr">
        <is>
          <t>Medium</t>
        </is>
      </c>
      <c r="H3724" s="1" t="n">
        <v>406</v>
      </c>
      <c r="I3724" s="1" t="n">
        <v>569</v>
      </c>
      <c r="J3724" s="9" t="n">
        <v>0.714</v>
      </c>
      <c r="K3724" s="1" t="inlineStr">
        <is>
          <t>No</t>
        </is>
      </c>
      <c r="L3724" s="1" t="inlineStr">
        <is>
          <t>No</t>
        </is>
      </c>
      <c r="M3724" s="1" t="inlineStr">
        <is>
          <t>No</t>
        </is>
      </c>
      <c r="N3724" s="1" t="inlineStr">
        <is>
          <t>Algorithms</t>
        </is>
      </c>
      <c r="O372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25" ht="15.75" customHeight="1" s="12">
      <c r="A3725" s="1" t="n">
        <v>3811</v>
      </c>
      <c r="B3725" s="3">
        <f>HYPERLINK("https://leetcode.com/problems/number-of-alternating-xor-partitions/", "Number of Alternating XOR Partitions")</f>
        <v/>
      </c>
      <c r="C3725" s="1" t="n">
        <v>10</v>
      </c>
      <c r="D3725" s="1" t="n">
        <v>1</v>
      </c>
      <c r="E3725" s="4">
        <f>IF(INDEX(C:C, ROW())+INDEX(D:D, ROW())=0, 0, INDEX(C:C, ROW())/(INDEX(C:C, ROW())+INDEX(D:D, ROW())))</f>
        <v/>
      </c>
      <c r="F3725" s="2" t="n"/>
      <c r="G3725" s="1" t="inlineStr">
        <is>
          <t>Medium</t>
        </is>
      </c>
      <c r="H3725" s="1" t="n">
        <v>4352</v>
      </c>
      <c r="I3725" s="1" t="n">
        <v>20110</v>
      </c>
      <c r="J3725" s="9" t="n">
        <v>0.216</v>
      </c>
      <c r="K3725" s="1" t="inlineStr">
        <is>
          <t>Yes</t>
        </is>
      </c>
      <c r="L3725" s="1" t="inlineStr">
        <is>
          <t>No</t>
        </is>
      </c>
      <c r="M3725" s="1" t="inlineStr">
        <is>
          <t>No</t>
        </is>
      </c>
      <c r="N3725" s="1" t="inlineStr">
        <is>
          <t>Algorithms</t>
        </is>
      </c>
      <c r="O372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26" ht="15.75" customHeight="1" s="12">
      <c r="A3726" s="1" t="n">
        <v>2804</v>
      </c>
      <c r="B3726" s="3">
        <f>HYPERLINK("https://leetcode.com/problems/array-prototype-foreach/", "Array Prototype ForEach")</f>
        <v/>
      </c>
      <c r="C3726" s="1" t="n">
        <v>9</v>
      </c>
      <c r="D3726" s="1" t="n">
        <v>10</v>
      </c>
      <c r="E3726" s="4">
        <f>IF(INDEX(C:C, ROW())+INDEX(D:D, ROW())=0, 0, INDEX(C:C, ROW())/(INDEX(C:C, ROW())+INDEX(D:D, ROW())))</f>
        <v/>
      </c>
      <c r="F3726" s="2" t="n"/>
      <c r="G3726" s="1" t="inlineStr">
        <is>
          <t>Easy</t>
        </is>
      </c>
      <c r="H3726" s="1" t="n">
        <v>1500</v>
      </c>
      <c r="I3726" s="1" t="n">
        <v>1668</v>
      </c>
      <c r="J3726" s="9" t="n">
        <v>0.899</v>
      </c>
      <c r="K3726" s="1" t="inlineStr">
        <is>
          <t>No</t>
        </is>
      </c>
      <c r="L3726" s="1" t="inlineStr">
        <is>
          <t>Yes</t>
        </is>
      </c>
      <c r="M3726" s="1" t="inlineStr">
        <is>
          <t>No</t>
        </is>
      </c>
      <c r="N3726" s="1" t="inlineStr">
        <is>
          <t>JavaScript</t>
        </is>
      </c>
      <c r="O372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27" ht="15.75" customHeight="1" s="12">
      <c r="A3727" s="1" t="n">
        <v>3053</v>
      </c>
      <c r="B3727" s="3">
        <f>HYPERLINK("https://leetcode.com/problems/classifying-triangles-by-lengths/", "Classifying Triangles by Lengths")</f>
        <v/>
      </c>
      <c r="C3727" s="1" t="n">
        <v>9</v>
      </c>
      <c r="D3727" s="1" t="n">
        <v>1</v>
      </c>
      <c r="E3727" s="4">
        <f>IF(INDEX(C:C, ROW())+INDEX(D:D, ROW())=0, 0, INDEX(C:C, ROW())/(INDEX(C:C, ROW())+INDEX(D:D, ROW())))</f>
        <v/>
      </c>
      <c r="F3727" s="1" t="inlineStr">
        <is>
          <t>Database</t>
        </is>
      </c>
      <c r="G3727" s="1" t="inlineStr">
        <is>
          <t>Easy</t>
        </is>
      </c>
      <c r="H3727" s="1" t="n">
        <v>3587</v>
      </c>
      <c r="I3727" s="1" t="n">
        <v>7125</v>
      </c>
      <c r="J3727" s="9" t="n">
        <v>0.503</v>
      </c>
      <c r="K3727" s="1" t="inlineStr">
        <is>
          <t>No</t>
        </is>
      </c>
      <c r="L3727" s="1" t="inlineStr">
        <is>
          <t>Yes</t>
        </is>
      </c>
      <c r="M3727" s="1" t="inlineStr">
        <is>
          <t>No</t>
        </is>
      </c>
      <c r="N3727" s="1" t="inlineStr">
        <is>
          <t>Database</t>
        </is>
      </c>
      <c r="O372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28" ht="15.75" customHeight="1" s="12">
      <c r="A3728" s="1" t="n">
        <v>3126</v>
      </c>
      <c r="B3728" s="3">
        <f>HYPERLINK("https://leetcode.com/problems/server-utilization-time/", "Server Utilization Time")</f>
        <v/>
      </c>
      <c r="C3728" s="1" t="n">
        <v>9</v>
      </c>
      <c r="D3728" s="1" t="n">
        <v>14</v>
      </c>
      <c r="E3728" s="4">
        <f>IF(INDEX(C:C, ROW())+INDEX(D:D, ROW())=0, 0, INDEX(C:C, ROW())/(INDEX(C:C, ROW())+INDEX(D:D, ROW())))</f>
        <v/>
      </c>
      <c r="F3728" s="1" t="inlineStr">
        <is>
          <t>Database</t>
        </is>
      </c>
      <c r="G3728" s="1" t="inlineStr">
        <is>
          <t>Medium</t>
        </is>
      </c>
      <c r="H3728" s="1" t="n">
        <v>2638</v>
      </c>
      <c r="I3728" s="1" t="n">
        <v>4289</v>
      </c>
      <c r="J3728" s="9" t="n">
        <v>0.615</v>
      </c>
      <c r="K3728" s="1" t="inlineStr">
        <is>
          <t>No</t>
        </is>
      </c>
      <c r="L3728" s="1" t="inlineStr">
        <is>
          <t>No</t>
        </is>
      </c>
      <c r="M3728" s="1" t="inlineStr">
        <is>
          <t>No</t>
        </is>
      </c>
      <c r="N3728" s="1" t="inlineStr">
        <is>
          <t>Database</t>
        </is>
      </c>
      <c r="O372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29" ht="15.75" customHeight="1" s="12">
      <c r="A3729" s="1" t="n">
        <v>3198</v>
      </c>
      <c r="B3729" s="3">
        <f>HYPERLINK("https://leetcode.com/problems/find-cities-in-each-state/", "Find Cities in Each State")</f>
        <v/>
      </c>
      <c r="C3729" s="1" t="n">
        <v>9</v>
      </c>
      <c r="D3729" s="1" t="n">
        <v>2</v>
      </c>
      <c r="E3729" s="4">
        <f>IF(INDEX(C:C, ROW())+INDEX(D:D, ROW())=0, 0, INDEX(C:C, ROW())/(INDEX(C:C, ROW())+INDEX(D:D, ROW())))</f>
        <v/>
      </c>
      <c r="F3729" s="1" t="inlineStr">
        <is>
          <t>Database</t>
        </is>
      </c>
      <c r="G3729" s="1" t="inlineStr">
        <is>
          <t>Easy</t>
        </is>
      </c>
      <c r="H3729" s="1" t="n">
        <v>3549</v>
      </c>
      <c r="I3729" s="1" t="n">
        <v>4446</v>
      </c>
      <c r="J3729" s="9" t="n">
        <v>0.798</v>
      </c>
      <c r="K3729" s="1" t="inlineStr">
        <is>
          <t>No</t>
        </is>
      </c>
      <c r="L3729" s="1" t="inlineStr">
        <is>
          <t>No</t>
        </is>
      </c>
      <c r="M3729" s="1" t="inlineStr">
        <is>
          <t>No</t>
        </is>
      </c>
      <c r="N3729" s="1" t="inlineStr">
        <is>
          <t>Database</t>
        </is>
      </c>
      <c r="O372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30" ht="15.75" customHeight="1" s="12">
      <c r="A3730" s="1" t="n">
        <v>3199</v>
      </c>
      <c r="B3730" s="3">
        <f>HYPERLINK("https://leetcode.com/problems/count-triplets-with-even-xor-set-bits-i/", "Count Triplets with Even XOR Set Bits I")</f>
        <v/>
      </c>
      <c r="C3730" s="1" t="n">
        <v>9</v>
      </c>
      <c r="D3730" s="1" t="n">
        <v>4</v>
      </c>
      <c r="E3730" s="4">
        <f>IF(INDEX(C:C, ROW())+INDEX(D:D, ROW())=0, 0, INDEX(C:C, ROW())/(INDEX(C:C, ROW())+INDEX(D:D, ROW())))</f>
        <v/>
      </c>
      <c r="F3730" s="1" t="inlineStr">
        <is>
          <t>Array, Bit Manipulation</t>
        </is>
      </c>
      <c r="G3730" s="1" t="inlineStr">
        <is>
          <t>Easy</t>
        </is>
      </c>
      <c r="H3730" s="1" t="n">
        <v>1744</v>
      </c>
      <c r="I3730" s="1" t="n">
        <v>2106</v>
      </c>
      <c r="J3730" s="9" t="n">
        <v>0.828</v>
      </c>
      <c r="K3730" s="1" t="inlineStr">
        <is>
          <t>No</t>
        </is>
      </c>
      <c r="L3730" s="1" t="inlineStr">
        <is>
          <t>No</t>
        </is>
      </c>
      <c r="M3730" s="1" t="inlineStr">
        <is>
          <t>No</t>
        </is>
      </c>
      <c r="N3730" s="1" t="inlineStr">
        <is>
          <t>Algorithms</t>
        </is>
      </c>
      <c r="O373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31" ht="15.75" customHeight="1" s="12">
      <c r="A3731" s="1" t="n">
        <v>3204</v>
      </c>
      <c r="B3731" s="3">
        <f>HYPERLINK("https://leetcode.com/problems/bitwise-user-permissions-analysis/", "Bitwise User Permissions Analysis")</f>
        <v/>
      </c>
      <c r="C3731" s="1" t="n">
        <v>9</v>
      </c>
      <c r="D3731" s="1" t="n">
        <v>3</v>
      </c>
      <c r="E3731" s="4">
        <f>IF(INDEX(C:C, ROW())+INDEX(D:D, ROW())=0, 0, INDEX(C:C, ROW())/(INDEX(C:C, ROW())+INDEX(D:D, ROW())))</f>
        <v/>
      </c>
      <c r="F3731" s="1" t="inlineStr">
        <is>
          <t>Database</t>
        </is>
      </c>
      <c r="G3731" s="1" t="inlineStr">
        <is>
          <t>Medium</t>
        </is>
      </c>
      <c r="H3731" s="1" t="n">
        <v>1911</v>
      </c>
      <c r="I3731" s="1" t="n">
        <v>2041</v>
      </c>
      <c r="J3731" s="9" t="n">
        <v>0.9360000000000001</v>
      </c>
      <c r="K3731" s="1" t="inlineStr">
        <is>
          <t>No</t>
        </is>
      </c>
      <c r="L3731" s="1" t="inlineStr">
        <is>
          <t>No</t>
        </is>
      </c>
      <c r="M3731" s="1" t="inlineStr">
        <is>
          <t>No</t>
        </is>
      </c>
      <c r="N3731" s="1" t="inlineStr">
        <is>
          <t>Database</t>
        </is>
      </c>
      <c r="O373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32" ht="15.75" customHeight="1" s="12">
      <c r="A3732" s="1" t="n">
        <v>3230</v>
      </c>
      <c r="B3732" s="3">
        <f>HYPERLINK("https://leetcode.com/problems/customer-purchasing-behavior-analysis/", "Customer Purchasing Behavior Analysis")</f>
        <v/>
      </c>
      <c r="C3732" s="1" t="n">
        <v>9</v>
      </c>
      <c r="D3732" s="1" t="n">
        <v>4</v>
      </c>
      <c r="E3732" s="4">
        <f>IF(INDEX(C:C, ROW())+INDEX(D:D, ROW())=0, 0, INDEX(C:C, ROW())/(INDEX(C:C, ROW())+INDEX(D:D, ROW())))</f>
        <v/>
      </c>
      <c r="F3732" s="1" t="inlineStr">
        <is>
          <t>Database</t>
        </is>
      </c>
      <c r="G3732" s="1" t="inlineStr">
        <is>
          <t>Medium</t>
        </is>
      </c>
      <c r="H3732" s="1" t="n">
        <v>2684</v>
      </c>
      <c r="I3732" s="1" t="n">
        <v>7400</v>
      </c>
      <c r="J3732" s="9" t="n">
        <v>0.363</v>
      </c>
      <c r="K3732" s="1" t="inlineStr">
        <is>
          <t>No</t>
        </is>
      </c>
      <c r="L3732" s="1" t="inlineStr">
        <is>
          <t>No</t>
        </is>
      </c>
      <c r="M3732" s="1" t="inlineStr">
        <is>
          <t>No</t>
        </is>
      </c>
      <c r="N3732" s="1" t="inlineStr">
        <is>
          <t>Database</t>
        </is>
      </c>
      <c r="O373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33" ht="15.75" customHeight="1" s="12">
      <c r="A3733" s="1" t="n">
        <v>3294</v>
      </c>
      <c r="B3733" s="3">
        <f>HYPERLINK("https://leetcode.com/problems/convert-doubly-linked-list-to-array-ii/", "Convert Doubly Linked List to Array II")</f>
        <v/>
      </c>
      <c r="C3733" s="1" t="n">
        <v>9</v>
      </c>
      <c r="D3733" s="1" t="n">
        <v>5</v>
      </c>
      <c r="E3733" s="4">
        <f>IF(INDEX(C:C, ROW())+INDEX(D:D, ROW())=0, 0, INDEX(C:C, ROW())/(INDEX(C:C, ROW())+INDEX(D:D, ROW())))</f>
        <v/>
      </c>
      <c r="F3733" s="1" t="inlineStr">
        <is>
          <t>Array, Linked List, Doubly-Linked List</t>
        </is>
      </c>
      <c r="G3733" s="1" t="inlineStr">
        <is>
          <t>Medium</t>
        </is>
      </c>
      <c r="H3733" s="1" t="n">
        <v>3091</v>
      </c>
      <c r="I3733" s="1" t="n">
        <v>3774</v>
      </c>
      <c r="J3733" s="9" t="n">
        <v>0.819</v>
      </c>
      <c r="K3733" s="1" t="inlineStr">
        <is>
          <t>No</t>
        </is>
      </c>
      <c r="L3733" s="1" t="inlineStr">
        <is>
          <t>No</t>
        </is>
      </c>
      <c r="M3733" s="1" t="inlineStr">
        <is>
          <t>No</t>
        </is>
      </c>
      <c r="N3733" s="1" t="inlineStr">
        <is>
          <t>Algorithms</t>
        </is>
      </c>
      <c r="O373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34" ht="15.75" customHeight="1" s="12">
      <c r="A3734" s="1" t="n">
        <v>3358</v>
      </c>
      <c r="B3734" s="3">
        <f>HYPERLINK("https://leetcode.com/problems/books-with-null-ratings/", "Books with NULL Ratings")</f>
        <v/>
      </c>
      <c r="C3734" s="1" t="n">
        <v>9</v>
      </c>
      <c r="D3734" s="1" t="n">
        <v>0</v>
      </c>
      <c r="E3734" s="4">
        <f>IF(INDEX(C:C, ROW())+INDEX(D:D, ROW())=0, 0, INDEX(C:C, ROW())/(INDEX(C:C, ROW())+INDEX(D:D, ROW())))</f>
        <v/>
      </c>
      <c r="F3734" s="1" t="inlineStr">
        <is>
          <t>Database</t>
        </is>
      </c>
      <c r="G3734" s="1" t="inlineStr">
        <is>
          <t>Easy</t>
        </is>
      </c>
      <c r="H3734" s="1" t="n">
        <v>3288</v>
      </c>
      <c r="I3734" s="1" t="n">
        <v>3946</v>
      </c>
      <c r="J3734" s="9" t="n">
        <v>0.833</v>
      </c>
      <c r="K3734" s="1" t="inlineStr">
        <is>
          <t>No</t>
        </is>
      </c>
      <c r="L3734" s="1" t="inlineStr">
        <is>
          <t>No</t>
        </is>
      </c>
      <c r="M3734" s="1" t="inlineStr">
        <is>
          <t>No</t>
        </is>
      </c>
      <c r="N3734" s="1" t="inlineStr">
        <is>
          <t>Database</t>
        </is>
      </c>
      <c r="O373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35" ht="15.75" customHeight="1" s="12">
      <c r="A3735" s="1" t="n">
        <v>3383</v>
      </c>
      <c r="B3735" s="3">
        <f>HYPERLINK("https://leetcode.com/problems/minimum-runes-to-add-to-cast-spell/", "Minimum Runes to Add to Cast Spell")</f>
        <v/>
      </c>
      <c r="C3735" s="1" t="n">
        <v>9</v>
      </c>
      <c r="D3735" s="1" t="n">
        <v>2</v>
      </c>
      <c r="E3735" s="4">
        <f>IF(INDEX(C:C, ROW())+INDEX(D:D, ROW())=0, 0, INDEX(C:C, ROW())/(INDEX(C:C, ROW())+INDEX(D:D, ROW())))</f>
        <v/>
      </c>
      <c r="F3735" s="1" t="inlineStr">
        <is>
          <t>Array, Depth-First Search, Breadth-First Search, Union-Find, Graph Theory, Topological Sort</t>
        </is>
      </c>
      <c r="G3735" s="1" t="inlineStr">
        <is>
          <t>Hard</t>
        </is>
      </c>
      <c r="H3735" s="1" t="n">
        <v>721</v>
      </c>
      <c r="I3735" s="1" t="n">
        <v>1618</v>
      </c>
      <c r="J3735" s="9" t="n">
        <v>0.446</v>
      </c>
      <c r="K3735" s="1" t="inlineStr">
        <is>
          <t>No</t>
        </is>
      </c>
      <c r="L3735" s="1" t="inlineStr">
        <is>
          <t>No</t>
        </is>
      </c>
      <c r="M3735" s="1" t="inlineStr">
        <is>
          <t>No</t>
        </is>
      </c>
      <c r="N3735" s="1" t="inlineStr">
        <is>
          <t>Algorithms</t>
        </is>
      </c>
      <c r="O373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36" ht="15.75" customHeight="1" s="12">
      <c r="A3736" s="1" t="n">
        <v>3391</v>
      </c>
      <c r="B3736" s="3">
        <f>HYPERLINK("https://leetcode.com/problems/design-a-3d-binary-matrix-with-efficient-layer-tracking/", "Design a 3D Binary Matrix with Efficient Layer Tracking")</f>
        <v/>
      </c>
      <c r="C3736" s="1" t="n">
        <v>9</v>
      </c>
      <c r="D3736" s="1" t="n">
        <v>1</v>
      </c>
      <c r="E3736" s="4">
        <f>IF(INDEX(C:C, ROW())+INDEX(D:D, ROW())=0, 0, INDEX(C:C, ROW())/(INDEX(C:C, ROW())+INDEX(D:D, ROW())))</f>
        <v/>
      </c>
      <c r="F3736" s="1" t="inlineStr">
        <is>
          <t>Array, Hash Table, Design, Heap (Priority Queue), Matrix, Ordered Set</t>
        </is>
      </c>
      <c r="G3736" s="1" t="inlineStr">
        <is>
          <t>Medium</t>
        </is>
      </c>
      <c r="H3736" s="1" t="n">
        <v>1032</v>
      </c>
      <c r="I3736" s="1" t="n">
        <v>1537</v>
      </c>
      <c r="J3736" s="9" t="n">
        <v>0.671</v>
      </c>
      <c r="K3736" s="1" t="inlineStr">
        <is>
          <t>No</t>
        </is>
      </c>
      <c r="L3736" s="1" t="inlineStr">
        <is>
          <t>No</t>
        </is>
      </c>
      <c r="M3736" s="1" t="inlineStr">
        <is>
          <t>No</t>
        </is>
      </c>
      <c r="N3736" s="1" t="inlineStr">
        <is>
          <t>Algorithms</t>
        </is>
      </c>
      <c r="O373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37" ht="15.75" customHeight="1" s="12">
      <c r="A3737" s="1" t="n">
        <v>3422</v>
      </c>
      <c r="B3737" s="3">
        <f>HYPERLINK("https://leetcode.com/problems/minimum-operations-to-make-subarray-elements-equal/", "Minimum Operations to Make Subarray Elements Equal")</f>
        <v/>
      </c>
      <c r="C3737" s="1" t="n">
        <v>9</v>
      </c>
      <c r="D3737" s="1" t="n">
        <v>4</v>
      </c>
      <c r="E3737" s="4">
        <f>IF(INDEX(C:C, ROW())+INDEX(D:D, ROW())=0, 0, INDEX(C:C, ROW())/(INDEX(C:C, ROW())+INDEX(D:D, ROW())))</f>
        <v/>
      </c>
      <c r="F3737" s="1" t="inlineStr">
        <is>
          <t>Array, Hash Table, Math, Sliding Window, Heap (Priority Queue)</t>
        </is>
      </c>
      <c r="G3737" s="1" t="inlineStr">
        <is>
          <t>Medium</t>
        </is>
      </c>
      <c r="H3737" s="1" t="n">
        <v>668</v>
      </c>
      <c r="I3737" s="1" t="n">
        <v>1426</v>
      </c>
      <c r="J3737" s="9" t="n">
        <v>0.468</v>
      </c>
      <c r="K3737" s="1" t="inlineStr">
        <is>
          <t>No</t>
        </is>
      </c>
      <c r="L3737" s="1" t="inlineStr">
        <is>
          <t>No</t>
        </is>
      </c>
      <c r="M3737" s="1" t="inlineStr">
        <is>
          <t>No</t>
        </is>
      </c>
      <c r="N3737" s="1" t="inlineStr">
        <is>
          <t>Algorithms</t>
        </is>
      </c>
      <c r="O373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38" ht="15.75" customHeight="1" s="12">
      <c r="A3738" s="1" t="n">
        <v>2921</v>
      </c>
      <c r="B3738" s="3">
        <f>HYPERLINK("https://leetcode.com/problems/maximum-profitable-triplets-with-increasing-prices-ii/", "Maximum Profitable Triplets With Increasing Prices II")</f>
        <v/>
      </c>
      <c r="C3738" s="1" t="n">
        <v>8</v>
      </c>
      <c r="D3738" s="1" t="n">
        <v>1</v>
      </c>
      <c r="E3738" s="4">
        <f>IF(INDEX(C:C, ROW())+INDEX(D:D, ROW())=0, 0, INDEX(C:C, ROW())/(INDEX(C:C, ROW())+INDEX(D:D, ROW())))</f>
        <v/>
      </c>
      <c r="F3738" s="1" t="inlineStr">
        <is>
          <t>Array, Binary Indexed Tree, Segment Tree</t>
        </is>
      </c>
      <c r="G3738" s="1" t="inlineStr">
        <is>
          <t>Hard</t>
        </is>
      </c>
      <c r="H3738" s="1" t="n">
        <v>742</v>
      </c>
      <c r="I3738" s="1" t="n">
        <v>1628</v>
      </c>
      <c r="J3738" s="9" t="n">
        <v>0.456</v>
      </c>
      <c r="K3738" s="1" t="inlineStr">
        <is>
          <t>No</t>
        </is>
      </c>
      <c r="L3738" s="1" t="inlineStr">
        <is>
          <t>No</t>
        </is>
      </c>
      <c r="M3738" s="1" t="inlineStr">
        <is>
          <t>No</t>
        </is>
      </c>
      <c r="N3738" s="1" t="inlineStr">
        <is>
          <t>Algorithms</t>
        </is>
      </c>
      <c r="O373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39" ht="15.75" customHeight="1" s="12">
      <c r="A3739" s="1" t="n">
        <v>2988</v>
      </c>
      <c r="B3739" s="3">
        <f>HYPERLINK("https://leetcode.com/problems/manager-of-the-largest-department/", "Manager of the Largest Department")</f>
        <v/>
      </c>
      <c r="C3739" s="1" t="n">
        <v>8</v>
      </c>
      <c r="D3739" s="1" t="n">
        <v>1</v>
      </c>
      <c r="E3739" s="4">
        <f>IF(INDEX(C:C, ROW())+INDEX(D:D, ROW())=0, 0, INDEX(C:C, ROW())/(INDEX(C:C, ROW())+INDEX(D:D, ROW())))</f>
        <v/>
      </c>
      <c r="F3739" s="1" t="inlineStr">
        <is>
          <t>Database</t>
        </is>
      </c>
      <c r="G3739" s="1" t="inlineStr">
        <is>
          <t>Medium</t>
        </is>
      </c>
      <c r="H3739" s="1" t="n">
        <v>4336</v>
      </c>
      <c r="I3739" s="1" t="n">
        <v>5380</v>
      </c>
      <c r="J3739" s="9" t="n">
        <v>0.806</v>
      </c>
      <c r="K3739" s="1" t="inlineStr">
        <is>
          <t>No</t>
        </is>
      </c>
      <c r="L3739" s="1" t="inlineStr">
        <is>
          <t>No</t>
        </is>
      </c>
      <c r="M3739" s="1" t="inlineStr">
        <is>
          <t>No</t>
        </is>
      </c>
      <c r="N3739" s="1" t="inlineStr">
        <is>
          <t>Database</t>
        </is>
      </c>
      <c r="O373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40" ht="15.75" customHeight="1" s="12">
      <c r="A3740" s="1" t="n">
        <v>3088</v>
      </c>
      <c r="B3740" s="3">
        <f>HYPERLINK("https://leetcode.com/problems/make-string-anti-palindrome/", "Make String Anti-palindrome")</f>
        <v/>
      </c>
      <c r="C3740" s="1" t="n">
        <v>8</v>
      </c>
      <c r="D3740" s="1" t="n">
        <v>2</v>
      </c>
      <c r="E3740" s="4">
        <f>IF(INDEX(C:C, ROW())+INDEX(D:D, ROW())=0, 0, INDEX(C:C, ROW())/(INDEX(C:C, ROW())+INDEX(D:D, ROW())))</f>
        <v/>
      </c>
      <c r="F3740" s="1" t="inlineStr">
        <is>
          <t>String, Greedy, Sorting, Counting Sort</t>
        </is>
      </c>
      <c r="G3740" s="1" t="inlineStr">
        <is>
          <t>Hard</t>
        </is>
      </c>
      <c r="H3740" s="1" t="n">
        <v>905</v>
      </c>
      <c r="I3740" s="1" t="n">
        <v>1946</v>
      </c>
      <c r="J3740" s="9" t="n">
        <v>0.465</v>
      </c>
      <c r="K3740" s="1" t="inlineStr">
        <is>
          <t>No</t>
        </is>
      </c>
      <c r="L3740" s="1" t="inlineStr">
        <is>
          <t>No</t>
        </is>
      </c>
      <c r="M3740" s="1" t="inlineStr">
        <is>
          <t>No</t>
        </is>
      </c>
      <c r="N3740" s="1" t="inlineStr">
        <is>
          <t>Algorithms</t>
        </is>
      </c>
      <c r="O374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41" ht="15.75" customHeight="1" s="12">
      <c r="A3741" s="1" t="n">
        <v>3188</v>
      </c>
      <c r="B3741" s="3">
        <f>HYPERLINK("https://leetcode.com/problems/find-top-scoring-students-ii/", "Find Top Scoring Students II")</f>
        <v/>
      </c>
      <c r="C3741" s="1" t="n">
        <v>8</v>
      </c>
      <c r="D3741" s="1" t="n">
        <v>8</v>
      </c>
      <c r="E3741" s="4">
        <f>IF(INDEX(C:C, ROW())+INDEX(D:D, ROW())=0, 0, INDEX(C:C, ROW())/(INDEX(C:C, ROW())+INDEX(D:D, ROW())))</f>
        <v/>
      </c>
      <c r="F3741" s="1" t="inlineStr">
        <is>
          <t>Database</t>
        </is>
      </c>
      <c r="G3741" s="1" t="inlineStr">
        <is>
          <t>Hard</t>
        </is>
      </c>
      <c r="H3741" s="1" t="n">
        <v>2132</v>
      </c>
      <c r="I3741" s="1" t="n">
        <v>5349</v>
      </c>
      <c r="J3741" s="9" t="n">
        <v>0.399</v>
      </c>
      <c r="K3741" s="1" t="inlineStr">
        <is>
          <t>No</t>
        </is>
      </c>
      <c r="L3741" s="1" t="inlineStr">
        <is>
          <t>No</t>
        </is>
      </c>
      <c r="M3741" s="1" t="inlineStr">
        <is>
          <t>No</t>
        </is>
      </c>
      <c r="N3741" s="1" t="inlineStr">
        <is>
          <t>Database</t>
        </is>
      </c>
      <c r="O374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42" ht="15.75" customHeight="1" s="12">
      <c r="A3742" s="1" t="n">
        <v>3231</v>
      </c>
      <c r="B3742" s="3">
        <f>HYPERLINK("https://leetcode.com/problems/minimum-number-of-increasing-subsequence-to-be-removed/", "Minimum Number of Increasing Subsequence to Be Removed")</f>
        <v/>
      </c>
      <c r="C3742" s="1" t="n">
        <v>8</v>
      </c>
      <c r="D3742" s="1" t="n">
        <v>1</v>
      </c>
      <c r="E3742" s="4">
        <f>IF(INDEX(C:C, ROW())+INDEX(D:D, ROW())=0, 0, INDEX(C:C, ROW())/(INDEX(C:C, ROW())+INDEX(D:D, ROW())))</f>
        <v/>
      </c>
      <c r="F3742" s="1" t="inlineStr">
        <is>
          <t>Array, Binary Search</t>
        </is>
      </c>
      <c r="G3742" s="1" t="inlineStr">
        <is>
          <t>Hard</t>
        </is>
      </c>
      <c r="H3742" s="1" t="n">
        <v>583</v>
      </c>
      <c r="I3742" s="1" t="n">
        <v>1261</v>
      </c>
      <c r="J3742" s="9" t="n">
        <v>0.462</v>
      </c>
      <c r="K3742" s="1" t="inlineStr">
        <is>
          <t>No</t>
        </is>
      </c>
      <c r="L3742" s="1" t="inlineStr">
        <is>
          <t>No</t>
        </is>
      </c>
      <c r="M3742" s="1" t="inlineStr">
        <is>
          <t>No</t>
        </is>
      </c>
      <c r="N3742" s="1" t="inlineStr">
        <is>
          <t>Algorithms</t>
        </is>
      </c>
      <c r="O374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43" ht="15.75" customHeight="1" s="12">
      <c r="A3743" s="1" t="n">
        <v>3329</v>
      </c>
      <c r="B3743" s="3">
        <f>HYPERLINK("https://leetcode.com/problems/count-substrings-with-k-frequency-characters-ii/", "Count Substrings With K-Frequency Characters II")</f>
        <v/>
      </c>
      <c r="C3743" s="1" t="n">
        <v>8</v>
      </c>
      <c r="D3743" s="1" t="n">
        <v>1</v>
      </c>
      <c r="E3743" s="4">
        <f>IF(INDEX(C:C, ROW())+INDEX(D:D, ROW())=0, 0, INDEX(C:C, ROW())/(INDEX(C:C, ROW())+INDEX(D:D, ROW())))</f>
        <v/>
      </c>
      <c r="F3743" s="1" t="inlineStr">
        <is>
          <t>Hash Table, String, Sliding Window</t>
        </is>
      </c>
      <c r="G3743" s="1" t="inlineStr">
        <is>
          <t>Hard</t>
        </is>
      </c>
      <c r="H3743" s="1" t="n">
        <v>913</v>
      </c>
      <c r="I3743" s="1" t="n">
        <v>1302</v>
      </c>
      <c r="J3743" s="9" t="n">
        <v>0.701</v>
      </c>
      <c r="K3743" s="1" t="inlineStr">
        <is>
          <t>No</t>
        </is>
      </c>
      <c r="L3743" s="1" t="inlineStr">
        <is>
          <t>No</t>
        </is>
      </c>
      <c r="M3743" s="1" t="inlineStr">
        <is>
          <t>No</t>
        </is>
      </c>
      <c r="N3743" s="1" t="inlineStr">
        <is>
          <t>Algorithms</t>
        </is>
      </c>
      <c r="O374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44" ht="15.75" customHeight="1" s="12">
      <c r="A3744" s="1" t="n">
        <v>3344</v>
      </c>
      <c r="B3744" s="3">
        <f>HYPERLINK("https://leetcode.com/problems/maximum-sized-array/", "Maximum Sized Array")</f>
        <v/>
      </c>
      <c r="C3744" s="1" t="n">
        <v>8</v>
      </c>
      <c r="D3744" s="1" t="n">
        <v>3</v>
      </c>
      <c r="E3744" s="4">
        <f>IF(INDEX(C:C, ROW())+INDEX(D:D, ROW())=0, 0, INDEX(C:C, ROW())/(INDEX(C:C, ROW())+INDEX(D:D, ROW())))</f>
        <v/>
      </c>
      <c r="F3744" s="1" t="inlineStr">
        <is>
          <t>Binary Search, Bit Manipulation</t>
        </is>
      </c>
      <c r="G3744" s="1" t="inlineStr">
        <is>
          <t>Medium</t>
        </is>
      </c>
      <c r="H3744" s="1" t="n">
        <v>589</v>
      </c>
      <c r="I3744" s="1" t="n">
        <v>1161</v>
      </c>
      <c r="J3744" s="9" t="n">
        <v>0.507</v>
      </c>
      <c r="K3744" s="1" t="inlineStr">
        <is>
          <t>No</t>
        </is>
      </c>
      <c r="L3744" s="1" t="inlineStr">
        <is>
          <t>No</t>
        </is>
      </c>
      <c r="M3744" s="1" t="inlineStr">
        <is>
          <t>No</t>
        </is>
      </c>
      <c r="N3744" s="1" t="inlineStr">
        <is>
          <t>Algorithms</t>
        </is>
      </c>
      <c r="O374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45" ht="15.75" customHeight="1" s="12">
      <c r="A3745" s="1" t="n">
        <v>3460</v>
      </c>
      <c r="B3745" s="3">
        <f>HYPERLINK("https://leetcode.com/problems/longest-common-prefix-after-at-most-one-removal/", "Longest Common Prefix After at Most One Removal")</f>
        <v/>
      </c>
      <c r="C3745" s="1" t="n">
        <v>8</v>
      </c>
      <c r="D3745" s="1" t="n">
        <v>1</v>
      </c>
      <c r="E3745" s="4">
        <f>IF(INDEX(C:C, ROW())+INDEX(D:D, ROW())=0, 0, INDEX(C:C, ROW())/(INDEX(C:C, ROW())+INDEX(D:D, ROW())))</f>
        <v/>
      </c>
      <c r="F3745" s="1" t="inlineStr">
        <is>
          <t>Two Pointers, String</t>
        </is>
      </c>
      <c r="G3745" s="1" t="inlineStr">
        <is>
          <t>Medium</t>
        </is>
      </c>
      <c r="H3745" s="1" t="n">
        <v>1080</v>
      </c>
      <c r="I3745" s="1" t="n">
        <v>1588</v>
      </c>
      <c r="J3745" s="9" t="n">
        <v>0.68</v>
      </c>
      <c r="K3745" s="1" t="inlineStr">
        <is>
          <t>No</t>
        </is>
      </c>
      <c r="L3745" s="1" t="inlineStr">
        <is>
          <t>No</t>
        </is>
      </c>
      <c r="M3745" s="1" t="inlineStr">
        <is>
          <t>No</t>
        </is>
      </c>
      <c r="N3745" s="1" t="inlineStr">
        <is>
          <t>Algorithms</t>
        </is>
      </c>
      <c r="O374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46" ht="15.75" customHeight="1" s="12">
      <c r="A3746" s="1" t="n">
        <v>3571</v>
      </c>
      <c r="B3746" s="3">
        <f>HYPERLINK("https://leetcode.com/problems/find-the-shortest-superstring-ii/", "Find the Shortest Superstring II")</f>
        <v/>
      </c>
      <c r="C3746" s="1" t="n">
        <v>8</v>
      </c>
      <c r="D3746" s="1" t="n">
        <v>2</v>
      </c>
      <c r="E3746" s="4">
        <f>IF(INDEX(C:C, ROW())+INDEX(D:D, ROW())=0, 0, INDEX(C:C, ROW())/(INDEX(C:C, ROW())+INDEX(D:D, ROW())))</f>
        <v/>
      </c>
      <c r="F3746" s="1" t="inlineStr">
        <is>
          <t>String</t>
        </is>
      </c>
      <c r="G3746" s="1" t="inlineStr">
        <is>
          <t>Easy</t>
        </is>
      </c>
      <c r="H3746" s="1" t="n">
        <v>682</v>
      </c>
      <c r="I3746" s="1" t="n">
        <v>1368</v>
      </c>
      <c r="J3746" s="9" t="n">
        <v>0.499</v>
      </c>
      <c r="K3746" s="1" t="inlineStr">
        <is>
          <t>No</t>
        </is>
      </c>
      <c r="L3746" s="1" t="inlineStr">
        <is>
          <t>No</t>
        </is>
      </c>
      <c r="M3746" s="1" t="inlineStr">
        <is>
          <t>No</t>
        </is>
      </c>
      <c r="N3746" s="1" t="inlineStr">
        <is>
          <t>Algorithms</t>
        </is>
      </c>
      <c r="O374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47" ht="15.75" customHeight="1" s="12">
      <c r="A3747" s="1" t="n">
        <v>3581</v>
      </c>
      <c r="B3747" s="3">
        <f>HYPERLINK("https://leetcode.com/problems/count-odd-letters-from-number/", "Count Odd Letters from Number")</f>
        <v/>
      </c>
      <c r="C3747" s="1" t="n">
        <v>8</v>
      </c>
      <c r="D3747" s="1" t="n">
        <v>2</v>
      </c>
      <c r="E3747" s="4">
        <f>IF(INDEX(C:C, ROW())+INDEX(D:D, ROW())=0, 0, INDEX(C:C, ROW())/(INDEX(C:C, ROW())+INDEX(D:D, ROW())))</f>
        <v/>
      </c>
      <c r="F3747" s="1" t="inlineStr">
        <is>
          <t>Hash Table, String, Simulation, Counting</t>
        </is>
      </c>
      <c r="G3747" s="1" t="inlineStr">
        <is>
          <t>Easy</t>
        </is>
      </c>
      <c r="H3747" s="1" t="n">
        <v>1205</v>
      </c>
      <c r="I3747" s="1" t="n">
        <v>1413</v>
      </c>
      <c r="J3747" s="9" t="n">
        <v>0.853</v>
      </c>
      <c r="K3747" s="1" t="inlineStr">
        <is>
          <t>No</t>
        </is>
      </c>
      <c r="L3747" s="1" t="inlineStr">
        <is>
          <t>No</t>
        </is>
      </c>
      <c r="M3747" s="1" t="inlineStr">
        <is>
          <t>No</t>
        </is>
      </c>
      <c r="N3747" s="1" t="inlineStr">
        <is>
          <t>Algorithms</t>
        </is>
      </c>
      <c r="O374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48" ht="15.75" customHeight="1" s="12">
      <c r="A3748" s="1" t="n">
        <v>3595</v>
      </c>
      <c r="B3748" s="3">
        <f>HYPERLINK("https://leetcode.com/problems/once-twice/", "Once Twice")</f>
        <v/>
      </c>
      <c r="C3748" s="1" t="n">
        <v>8</v>
      </c>
      <c r="D3748" s="1" t="n">
        <v>2</v>
      </c>
      <c r="E3748" s="4">
        <f>IF(INDEX(C:C, ROW())+INDEX(D:D, ROW())=0, 0, INDEX(C:C, ROW())/(INDEX(C:C, ROW())+INDEX(D:D, ROW())))</f>
        <v/>
      </c>
      <c r="F3748" s="1" t="inlineStr">
        <is>
          <t>Array, Bit Manipulation</t>
        </is>
      </c>
      <c r="G3748" s="1" t="inlineStr">
        <is>
          <t>Medium</t>
        </is>
      </c>
      <c r="H3748" s="1" t="n">
        <v>574</v>
      </c>
      <c r="I3748" s="1" t="n">
        <v>739</v>
      </c>
      <c r="J3748" s="9" t="n">
        <v>0.777</v>
      </c>
      <c r="K3748" s="1" t="inlineStr">
        <is>
          <t>No</t>
        </is>
      </c>
      <c r="L3748" s="1" t="inlineStr">
        <is>
          <t>No</t>
        </is>
      </c>
      <c r="M3748" s="1" t="inlineStr">
        <is>
          <t>No</t>
        </is>
      </c>
      <c r="N3748" s="1" t="inlineStr">
        <is>
          <t>Algorithms</t>
        </is>
      </c>
      <c r="O374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49" ht="15.75" customHeight="1" s="12">
      <c r="A3749" s="1" t="n">
        <v>3763</v>
      </c>
      <c r="B3749" s="3">
        <f>HYPERLINK("https://leetcode.com/problems/maximum-total-sum-with-threshold-constraints/", "Maximum Total Sum with Threshold Constraints")</f>
        <v/>
      </c>
      <c r="C3749" s="1" t="n">
        <v>8</v>
      </c>
      <c r="D3749" s="1" t="n">
        <v>1</v>
      </c>
      <c r="E3749" s="4">
        <f>IF(INDEX(C:C, ROW())+INDEX(D:D, ROW())=0, 0, INDEX(C:C, ROW())/(INDEX(C:C, ROW())+INDEX(D:D, ROW())))</f>
        <v/>
      </c>
      <c r="F3749" s="1" t="inlineStr">
        <is>
          <t>Array, Greedy, Sorting, Heap (Priority Queue)</t>
        </is>
      </c>
      <c r="G3749" s="1" t="inlineStr">
        <is>
          <t>Medium</t>
        </is>
      </c>
      <c r="H3749" s="1" t="n">
        <v>437</v>
      </c>
      <c r="I3749" s="1" t="n">
        <v>516</v>
      </c>
      <c r="J3749" s="9" t="n">
        <v>0.847</v>
      </c>
      <c r="K3749" s="1" t="inlineStr">
        <is>
          <t>No</t>
        </is>
      </c>
      <c r="L3749" s="1" t="inlineStr">
        <is>
          <t>No</t>
        </is>
      </c>
      <c r="M3749" s="1" t="inlineStr">
        <is>
          <t>No</t>
        </is>
      </c>
      <c r="N3749" s="1" t="inlineStr">
        <is>
          <t>Algorithms</t>
        </is>
      </c>
      <c r="O374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50" ht="15.75" customHeight="1" s="12">
      <c r="A3750" s="1" t="n">
        <v>3018</v>
      </c>
      <c r="B3750" s="3">
        <f>HYPERLINK("https://leetcode.com/problems/maximum-number-of-removal-queries-that-can-be-processed-i/", "Maximum Number of Removal Queries That Can Be Processed I")</f>
        <v/>
      </c>
      <c r="C3750" s="1" t="n">
        <v>7</v>
      </c>
      <c r="D3750" s="1" t="n">
        <v>3</v>
      </c>
      <c r="E3750" s="4">
        <f>IF(INDEX(C:C, ROW())+INDEX(D:D, ROW())=0, 0, INDEX(C:C, ROW())/(INDEX(C:C, ROW())+INDEX(D:D, ROW())))</f>
        <v/>
      </c>
      <c r="F3750" s="1" t="inlineStr">
        <is>
          <t>Array, Dynamic Programming</t>
        </is>
      </c>
      <c r="G3750" s="1" t="inlineStr">
        <is>
          <t>Hard</t>
        </is>
      </c>
      <c r="H3750" s="1" t="n">
        <v>626</v>
      </c>
      <c r="I3750" s="1" t="n">
        <v>1430</v>
      </c>
      <c r="J3750" s="9" t="n">
        <v>0.438</v>
      </c>
      <c r="K3750" s="1" t="inlineStr">
        <is>
          <t>No</t>
        </is>
      </c>
      <c r="L3750" s="1" t="inlineStr">
        <is>
          <t>No</t>
        </is>
      </c>
      <c r="M3750" s="1" t="inlineStr">
        <is>
          <t>No</t>
        </is>
      </c>
      <c r="N3750" s="1" t="inlineStr">
        <is>
          <t>Algorithms</t>
        </is>
      </c>
      <c r="O375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51" ht="15.75" customHeight="1" s="12">
      <c r="A3751" s="1" t="n">
        <v>3037</v>
      </c>
      <c r="B3751" s="3">
        <f>HYPERLINK("https://leetcode.com/problems/find-pattern-in-infinite-stream-ii/", "Find Pattern in Infinite Stream II")</f>
        <v/>
      </c>
      <c r="C3751" s="1" t="n">
        <v>7</v>
      </c>
      <c r="D3751" s="1" t="n">
        <v>3</v>
      </c>
      <c r="E3751" s="4">
        <f>IF(INDEX(C:C, ROW())+INDEX(D:D, ROW())=0, 0, INDEX(C:C, ROW())/(INDEX(C:C, ROW())+INDEX(D:D, ROW())))</f>
        <v/>
      </c>
      <c r="F3751" s="1" t="inlineStr">
        <is>
          <t>Array, Sliding Window, Rolling Hash, String Matching, Hash Function</t>
        </is>
      </c>
      <c r="G3751" s="1" t="inlineStr">
        <is>
          <t>Hard</t>
        </is>
      </c>
      <c r="H3751" s="1" t="n">
        <v>1311</v>
      </c>
      <c r="I3751" s="1" t="n">
        <v>1955</v>
      </c>
      <c r="J3751" s="9" t="n">
        <v>0.671</v>
      </c>
      <c r="K3751" s="1" t="inlineStr">
        <is>
          <t>No</t>
        </is>
      </c>
      <c r="L3751" s="1" t="inlineStr">
        <is>
          <t>No</t>
        </is>
      </c>
      <c r="M3751" s="1" t="inlineStr">
        <is>
          <t>No</t>
        </is>
      </c>
      <c r="N3751" s="1" t="inlineStr">
        <is>
          <t>Algorithms</t>
        </is>
      </c>
      <c r="O375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52" ht="15.75" customHeight="1" s="12">
      <c r="A3752" s="1" t="n">
        <v>3052</v>
      </c>
      <c r="B3752" s="3">
        <f>HYPERLINK("https://leetcode.com/problems/maximize-items/", "Maximize Items")</f>
        <v/>
      </c>
      <c r="C3752" s="1" t="n">
        <v>7</v>
      </c>
      <c r="D3752" s="1" t="n">
        <v>12</v>
      </c>
      <c r="E3752" s="4">
        <f>IF(INDEX(C:C, ROW())+INDEX(D:D, ROW())=0, 0, INDEX(C:C, ROW())/(INDEX(C:C, ROW())+INDEX(D:D, ROW())))</f>
        <v/>
      </c>
      <c r="F3752" s="1" t="inlineStr">
        <is>
          <t>Database</t>
        </is>
      </c>
      <c r="G3752" s="1" t="inlineStr">
        <is>
          <t>Hard</t>
        </is>
      </c>
      <c r="H3752" s="1" t="n">
        <v>1920</v>
      </c>
      <c r="I3752" s="1" t="n">
        <v>2605</v>
      </c>
      <c r="J3752" s="9" t="n">
        <v>0.737</v>
      </c>
      <c r="K3752" s="1" t="inlineStr">
        <is>
          <t>No</t>
        </is>
      </c>
      <c r="L3752" s="1" t="inlineStr">
        <is>
          <t>No</t>
        </is>
      </c>
      <c r="M3752" s="1" t="inlineStr">
        <is>
          <t>No</t>
        </is>
      </c>
      <c r="N3752" s="1" t="inlineStr">
        <is>
          <t>Database</t>
        </is>
      </c>
      <c r="O375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53" ht="15.75" customHeight="1" s="12">
      <c r="A3753" s="1" t="n">
        <v>3087</v>
      </c>
      <c r="B3753" s="3">
        <f>HYPERLINK("https://leetcode.com/problems/find-trending-hashtags/", "Find Trending Hashtags")</f>
        <v/>
      </c>
      <c r="C3753" s="1" t="n">
        <v>7</v>
      </c>
      <c r="D3753" s="1" t="n">
        <v>6</v>
      </c>
      <c r="E3753" s="4">
        <f>IF(INDEX(C:C, ROW())+INDEX(D:D, ROW())=0, 0, INDEX(C:C, ROW())/(INDEX(C:C, ROW())+INDEX(D:D, ROW())))</f>
        <v/>
      </c>
      <c r="F3753" s="1" t="inlineStr">
        <is>
          <t>Database</t>
        </is>
      </c>
      <c r="G3753" s="1" t="inlineStr">
        <is>
          <t>Medium</t>
        </is>
      </c>
      <c r="H3753" s="1" t="n">
        <v>2592</v>
      </c>
      <c r="I3753" s="1" t="n">
        <v>4260</v>
      </c>
      <c r="J3753" s="9" t="n">
        <v>0.608</v>
      </c>
      <c r="K3753" s="1" t="inlineStr">
        <is>
          <t>No</t>
        </is>
      </c>
      <c r="L3753" s="1" t="inlineStr">
        <is>
          <t>No</t>
        </is>
      </c>
      <c r="M3753" s="1" t="inlineStr">
        <is>
          <t>No</t>
        </is>
      </c>
      <c r="N3753" s="1" t="inlineStr">
        <is>
          <t>Database</t>
        </is>
      </c>
      <c r="O375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54" ht="15.75" customHeight="1" s="12">
      <c r="A3754" s="1" t="n">
        <v>3124</v>
      </c>
      <c r="B3754" s="3">
        <f>HYPERLINK("https://leetcode.com/problems/find-longest-calls/", "Find Longest Calls")</f>
        <v/>
      </c>
      <c r="C3754" s="1" t="n">
        <v>7</v>
      </c>
      <c r="D3754" s="1" t="n">
        <v>5</v>
      </c>
      <c r="E3754" s="4">
        <f>IF(INDEX(C:C, ROW())+INDEX(D:D, ROW())=0, 0, INDEX(C:C, ROW())/(INDEX(C:C, ROW())+INDEX(D:D, ROW())))</f>
        <v/>
      </c>
      <c r="F3754" s="1" t="inlineStr">
        <is>
          <t>Database</t>
        </is>
      </c>
      <c r="G3754" s="1" t="inlineStr">
        <is>
          <t>Medium</t>
        </is>
      </c>
      <c r="H3754" s="1" t="n">
        <v>2736</v>
      </c>
      <c r="I3754" s="1" t="n">
        <v>4360</v>
      </c>
      <c r="J3754" s="9" t="n">
        <v>0.628</v>
      </c>
      <c r="K3754" s="1" t="inlineStr">
        <is>
          <t>No</t>
        </is>
      </c>
      <c r="L3754" s="1" t="inlineStr">
        <is>
          <t>No</t>
        </is>
      </c>
      <c r="M3754" s="1" t="inlineStr">
        <is>
          <t>No</t>
        </is>
      </c>
      <c r="N3754" s="1" t="inlineStr">
        <is>
          <t>Database</t>
        </is>
      </c>
      <c r="O375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55" ht="15.75" customHeight="1" s="12">
      <c r="A3755" s="1" t="n">
        <v>3268</v>
      </c>
      <c r="B3755" s="3">
        <f>HYPERLINK("https://leetcode.com/problems/find-overlapping-shifts-ii/", "Find Overlapping Shifts II")</f>
        <v/>
      </c>
      <c r="C3755" s="1" t="n">
        <v>7</v>
      </c>
      <c r="D3755" s="1" t="n">
        <v>7</v>
      </c>
      <c r="E3755" s="4">
        <f>IF(INDEX(C:C, ROW())+INDEX(D:D, ROW())=0, 0, INDEX(C:C, ROW())/(INDEX(C:C, ROW())+INDEX(D:D, ROW())))</f>
        <v/>
      </c>
      <c r="F3755" s="1" t="inlineStr">
        <is>
          <t>Database</t>
        </is>
      </c>
      <c r="G3755" s="1" t="inlineStr">
        <is>
          <t>Hard</t>
        </is>
      </c>
      <c r="H3755" s="1" t="n">
        <v>1163</v>
      </c>
      <c r="I3755" s="1" t="n">
        <v>2080</v>
      </c>
      <c r="J3755" s="9" t="n">
        <v>0.5590000000000001</v>
      </c>
      <c r="K3755" s="1" t="inlineStr">
        <is>
          <t>No</t>
        </is>
      </c>
      <c r="L3755" s="1" t="inlineStr">
        <is>
          <t>No</t>
        </is>
      </c>
      <c r="M3755" s="1" t="inlineStr">
        <is>
          <t>No</t>
        </is>
      </c>
      <c r="N3755" s="1" t="inlineStr">
        <is>
          <t>Database</t>
        </is>
      </c>
      <c r="O375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56" ht="15.75" customHeight="1" s="12">
      <c r="A3756" s="1" t="n">
        <v>3299</v>
      </c>
      <c r="B3756" s="3">
        <f>HYPERLINK("https://leetcode.com/problems/sum-of-consecutive-subsequences/", "Sum of Consecutive Subsequences")</f>
        <v/>
      </c>
      <c r="C3756" s="1" t="n">
        <v>7</v>
      </c>
      <c r="D3756" s="1" t="n">
        <v>1</v>
      </c>
      <c r="E3756" s="4">
        <f>IF(INDEX(C:C, ROW())+INDEX(D:D, ROW())=0, 0, INDEX(C:C, ROW())/(INDEX(C:C, ROW())+INDEX(D:D, ROW())))</f>
        <v/>
      </c>
      <c r="F3756" s="1" t="inlineStr">
        <is>
          <t>Array, Hash Table, Dynamic Programming</t>
        </is>
      </c>
      <c r="G3756" s="1" t="inlineStr">
        <is>
          <t>Hard</t>
        </is>
      </c>
      <c r="H3756" s="1" t="n">
        <v>504</v>
      </c>
      <c r="I3756" s="1" t="n">
        <v>1183</v>
      </c>
      <c r="J3756" s="9" t="n">
        <v>0.426</v>
      </c>
      <c r="K3756" s="1" t="inlineStr">
        <is>
          <t>No</t>
        </is>
      </c>
      <c r="L3756" s="1" t="inlineStr">
        <is>
          <t>No</t>
        </is>
      </c>
      <c r="M3756" s="1" t="inlineStr">
        <is>
          <t>No</t>
        </is>
      </c>
      <c r="N3756" s="1" t="inlineStr">
        <is>
          <t>Algorithms</t>
        </is>
      </c>
      <c r="O375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57" ht="15.75" customHeight="1" s="12">
      <c r="A3757" s="1" t="n">
        <v>3308</v>
      </c>
      <c r="B3757" s="3">
        <f>HYPERLINK("https://leetcode.com/problems/find-top-performing-driver/", "Find Top Performing Driver")</f>
        <v/>
      </c>
      <c r="C3757" s="1" t="n">
        <v>7</v>
      </c>
      <c r="D3757" s="1" t="n">
        <v>2</v>
      </c>
      <c r="E3757" s="4">
        <f>IF(INDEX(C:C, ROW())+INDEX(D:D, ROW())=0, 0, INDEX(C:C, ROW())/(INDEX(C:C, ROW())+INDEX(D:D, ROW())))</f>
        <v/>
      </c>
      <c r="F3757" s="1" t="inlineStr">
        <is>
          <t>Database</t>
        </is>
      </c>
      <c r="G3757" s="1" t="inlineStr">
        <is>
          <t>Medium</t>
        </is>
      </c>
      <c r="H3757" s="1" t="n">
        <v>2352</v>
      </c>
      <c r="I3757" s="1" t="n">
        <v>4787</v>
      </c>
      <c r="J3757" s="9" t="n">
        <v>0.491</v>
      </c>
      <c r="K3757" s="1" t="inlineStr">
        <is>
          <t>No</t>
        </is>
      </c>
      <c r="L3757" s="1" t="inlineStr">
        <is>
          <t>No</t>
        </is>
      </c>
      <c r="M3757" s="1" t="inlineStr">
        <is>
          <t>No</t>
        </is>
      </c>
      <c r="N3757" s="1" t="inlineStr">
        <is>
          <t>Database</t>
        </is>
      </c>
      <c r="O375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58" ht="15.75" customHeight="1" s="12">
      <c r="A3758" s="1" t="n">
        <v>3313</v>
      </c>
      <c r="B3758" s="3">
        <f>HYPERLINK("https://leetcode.com/problems/find-the-last-marked-nodes-in-tree/", "Find the Last Marked Nodes in Tree")</f>
        <v/>
      </c>
      <c r="C3758" s="1" t="n">
        <v>7</v>
      </c>
      <c r="D3758" s="1" t="n">
        <v>1</v>
      </c>
      <c r="E3758" s="4">
        <f>IF(INDEX(C:C, ROW())+INDEX(D:D, ROW())=0, 0, INDEX(C:C, ROW())/(INDEX(C:C, ROW())+INDEX(D:D, ROW())))</f>
        <v/>
      </c>
      <c r="F3758" s="1" t="inlineStr">
        <is>
          <t>Tree, Depth-First Search</t>
        </is>
      </c>
      <c r="G3758" s="1" t="inlineStr">
        <is>
          <t>Hard</t>
        </is>
      </c>
      <c r="H3758" s="1" t="n">
        <v>602</v>
      </c>
      <c r="I3758" s="1" t="n">
        <v>1088</v>
      </c>
      <c r="J3758" s="9" t="n">
        <v>0.553</v>
      </c>
      <c r="K3758" s="1" t="inlineStr">
        <is>
          <t>No</t>
        </is>
      </c>
      <c r="L3758" s="1" t="inlineStr">
        <is>
          <t>No</t>
        </is>
      </c>
      <c r="M3758" s="1" t="inlineStr">
        <is>
          <t>No</t>
        </is>
      </c>
      <c r="N3758" s="1" t="inlineStr">
        <is>
          <t>Algorithms</t>
        </is>
      </c>
      <c r="O375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59" ht="15.75" customHeight="1" s="12">
      <c r="A3759" s="1" t="n">
        <v>3359</v>
      </c>
      <c r="B3759" s="3">
        <f>HYPERLINK("https://leetcode.com/problems/find-sorted-submatrices-with-maximum-element-at-most-k/", "Find Sorted Submatrices With Maximum Element at Most K")</f>
        <v/>
      </c>
      <c r="C3759" s="1" t="n">
        <v>7</v>
      </c>
      <c r="D3759" s="1" t="n">
        <v>3</v>
      </c>
      <c r="E3759" s="4">
        <f>IF(INDEX(C:C, ROW())+INDEX(D:D, ROW())=0, 0, INDEX(C:C, ROW())/(INDEX(C:C, ROW())+INDEX(D:D, ROW())))</f>
        <v/>
      </c>
      <c r="F3759" s="1" t="inlineStr">
        <is>
          <t>Array, Stack, Matrix, Monotonic Stack</t>
        </is>
      </c>
      <c r="G3759" s="1" t="inlineStr">
        <is>
          <t>Hard</t>
        </is>
      </c>
      <c r="H3759" s="1" t="n">
        <v>400</v>
      </c>
      <c r="I3759" s="1" t="n">
        <v>789</v>
      </c>
      <c r="J3759" s="9" t="n">
        <v>0.507</v>
      </c>
      <c r="K3759" s="1" t="inlineStr">
        <is>
          <t>No</t>
        </is>
      </c>
      <c r="L3759" s="1" t="inlineStr">
        <is>
          <t>No</t>
        </is>
      </c>
      <c r="M3759" s="1" t="inlineStr">
        <is>
          <t>No</t>
        </is>
      </c>
      <c r="N3759" s="1" t="inlineStr">
        <is>
          <t>Algorithms</t>
        </is>
      </c>
      <c r="O375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60" ht="15.75" customHeight="1" s="12">
      <c r="A3760" s="1" t="n">
        <v>3511</v>
      </c>
      <c r="B3760" s="3">
        <f>HYPERLINK("https://leetcode.com/problems/make-a-positive-array/", "Make a Positive Array")</f>
        <v/>
      </c>
      <c r="C3760" s="1" t="n">
        <v>7</v>
      </c>
      <c r="D3760" s="1" t="n">
        <v>7</v>
      </c>
      <c r="E3760" s="4">
        <f>IF(INDEX(C:C, ROW())+INDEX(D:D, ROW())=0, 0, INDEX(C:C, ROW())/(INDEX(C:C, ROW())+INDEX(D:D, ROW())))</f>
        <v/>
      </c>
      <c r="F3760" s="1" t="inlineStr">
        <is>
          <t>Array, Greedy, Prefix Sum</t>
        </is>
      </c>
      <c r="G3760" s="1" t="inlineStr">
        <is>
          <t>Medium</t>
        </is>
      </c>
      <c r="H3760" s="1" t="n">
        <v>636</v>
      </c>
      <c r="I3760" s="1" t="n">
        <v>1820</v>
      </c>
      <c r="J3760" s="9" t="n">
        <v>0.349</v>
      </c>
      <c r="K3760" s="1" t="inlineStr">
        <is>
          <t>No</t>
        </is>
      </c>
      <c r="L3760" s="1" t="inlineStr">
        <is>
          <t>No</t>
        </is>
      </c>
      <c r="M3760" s="1" t="inlineStr">
        <is>
          <t>No</t>
        </is>
      </c>
      <c r="N3760" s="1" t="inlineStr">
        <is>
          <t>Algorithms</t>
        </is>
      </c>
      <c r="O376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61" ht="15.75" customHeight="1" s="12">
      <c r="A3761" s="1" t="n">
        <v>3540</v>
      </c>
      <c r="B3761" s="3">
        <f>HYPERLINK("https://leetcode.com/problems/minimum-time-to-visit-all-houses/", "Minimum Time to Visit All Houses")</f>
        <v/>
      </c>
      <c r="C3761" s="1" t="n">
        <v>7</v>
      </c>
      <c r="D3761" s="1" t="n">
        <v>2</v>
      </c>
      <c r="E3761" s="4">
        <f>IF(INDEX(C:C, ROW())+INDEX(D:D, ROW())=0, 0, INDEX(C:C, ROW())/(INDEX(C:C, ROW())+INDEX(D:D, ROW())))</f>
        <v/>
      </c>
      <c r="F3761" s="1" t="inlineStr">
        <is>
          <t>Array, Prefix Sum</t>
        </is>
      </c>
      <c r="G3761" s="1" t="inlineStr">
        <is>
          <t>Medium</t>
        </is>
      </c>
      <c r="H3761" s="1" t="n">
        <v>1133</v>
      </c>
      <c r="I3761" s="1" t="n">
        <v>1635</v>
      </c>
      <c r="J3761" s="9" t="n">
        <v>0.6929999999999999</v>
      </c>
      <c r="K3761" s="1" t="inlineStr">
        <is>
          <t>No</t>
        </is>
      </c>
      <c r="L3761" s="1" t="inlineStr">
        <is>
          <t>No</t>
        </is>
      </c>
      <c r="M3761" s="1" t="inlineStr">
        <is>
          <t>No</t>
        </is>
      </c>
      <c r="N3761" s="1" t="inlineStr">
        <is>
          <t>Algorithms</t>
        </is>
      </c>
      <c r="O376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62" ht="15.75" customHeight="1" s="12">
      <c r="A3762" s="1" t="n">
        <v>3555</v>
      </c>
      <c r="B3762" s="3">
        <f>HYPERLINK("https://leetcode.com/problems/smallest-subarray-to-sort-in-every-sliding-window/", "Smallest Subarray to Sort in Every Sliding Window")</f>
        <v/>
      </c>
      <c r="C3762" s="1" t="n">
        <v>7</v>
      </c>
      <c r="D3762" s="1" t="n">
        <v>1</v>
      </c>
      <c r="E3762" s="4">
        <f>IF(INDEX(C:C, ROW())+INDEX(D:D, ROW())=0, 0, INDEX(C:C, ROW())/(INDEX(C:C, ROW())+INDEX(D:D, ROW())))</f>
        <v/>
      </c>
      <c r="F3762" s="1" t="inlineStr">
        <is>
          <t>Array, Two Pointers, Stack, Greedy, Sorting, Monotonic Stack</t>
        </is>
      </c>
      <c r="G3762" s="1" t="inlineStr">
        <is>
          <t>Medium</t>
        </is>
      </c>
      <c r="H3762" s="1" t="n">
        <v>662</v>
      </c>
      <c r="I3762" s="1" t="n">
        <v>1107</v>
      </c>
      <c r="J3762" s="9" t="n">
        <v>0.598</v>
      </c>
      <c r="K3762" s="1" t="inlineStr">
        <is>
          <t>No</t>
        </is>
      </c>
      <c r="L3762" s="1" t="inlineStr">
        <is>
          <t>No</t>
        </is>
      </c>
      <c r="M3762" s="1" t="inlineStr">
        <is>
          <t>No</t>
        </is>
      </c>
      <c r="N3762" s="1" t="inlineStr">
        <is>
          <t>Algorithms</t>
        </is>
      </c>
      <c r="O376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63" ht="15.75" customHeight="1" s="12">
      <c r="A3763" s="1" t="n">
        <v>3656</v>
      </c>
      <c r="B3763" s="3">
        <f>HYPERLINK("https://leetcode.com/problems/determine-if-a-simple-graph-exists/", "Determine if a Simple Graph Exists")</f>
        <v/>
      </c>
      <c r="C3763" s="1" t="n">
        <v>7</v>
      </c>
      <c r="D3763" s="1" t="n">
        <v>4</v>
      </c>
      <c r="E3763" s="4">
        <f>IF(INDEX(C:C, ROW())+INDEX(D:D, ROW())=0, 0, INDEX(C:C, ROW())/(INDEX(C:C, ROW())+INDEX(D:D, ROW())))</f>
        <v/>
      </c>
      <c r="F3763" s="1" t="inlineStr">
        <is>
          <t>Array, Binary Search, Graph Theory, Sorting, Prefix Sum</t>
        </is>
      </c>
      <c r="G3763" s="1" t="inlineStr">
        <is>
          <t>Medium</t>
        </is>
      </c>
      <c r="H3763" s="1" t="n">
        <v>336</v>
      </c>
      <c r="I3763" s="1" t="n">
        <v>678</v>
      </c>
      <c r="J3763" s="9" t="n">
        <v>0.496</v>
      </c>
      <c r="K3763" s="1" t="inlineStr">
        <is>
          <t>No</t>
        </is>
      </c>
      <c r="L3763" s="1" t="inlineStr">
        <is>
          <t>No</t>
        </is>
      </c>
      <c r="M3763" s="1" t="inlineStr">
        <is>
          <t>No</t>
        </is>
      </c>
      <c r="N3763" s="1" t="inlineStr">
        <is>
          <t>Algorithms</t>
        </is>
      </c>
      <c r="O376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64" ht="15.75" customHeight="1" s="12">
      <c r="A3764" s="1" t="n">
        <v>3662</v>
      </c>
      <c r="B3764" s="3">
        <f>HYPERLINK("https://leetcode.com/problems/filter-characters-by-frequency/", "Filter Characters by Frequency")</f>
        <v/>
      </c>
      <c r="C3764" s="1" t="n">
        <v>7</v>
      </c>
      <c r="D3764" s="1" t="n">
        <v>0</v>
      </c>
      <c r="E3764" s="4">
        <f>IF(INDEX(C:C, ROW())+INDEX(D:D, ROW())=0, 0, INDEX(C:C, ROW())/(INDEX(C:C, ROW())+INDEX(D:D, ROW())))</f>
        <v/>
      </c>
      <c r="F3764" s="1" t="inlineStr">
        <is>
          <t>Hash Table, String, Counting</t>
        </is>
      </c>
      <c r="G3764" s="1" t="inlineStr">
        <is>
          <t>Easy</t>
        </is>
      </c>
      <c r="H3764" s="1" t="n">
        <v>1181</v>
      </c>
      <c r="I3764" s="1" t="n">
        <v>1361</v>
      </c>
      <c r="J3764" s="9" t="n">
        <v>0.868</v>
      </c>
      <c r="K3764" s="1" t="inlineStr">
        <is>
          <t>No</t>
        </is>
      </c>
      <c r="L3764" s="1" t="inlineStr">
        <is>
          <t>No</t>
        </is>
      </c>
      <c r="M3764" s="1" t="inlineStr">
        <is>
          <t>No</t>
        </is>
      </c>
      <c r="N3764" s="1" t="inlineStr">
        <is>
          <t>Algorithms</t>
        </is>
      </c>
      <c r="O376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65" ht="15.75" customHeight="1" s="12">
      <c r="A3765" s="1" t="n">
        <v>3672</v>
      </c>
      <c r="B3765" s="3">
        <f>HYPERLINK("https://leetcode.com/problems/sum-of-weighted-modes-in-subarrays/", "Sum of Weighted Modes in Subarrays")</f>
        <v/>
      </c>
      <c r="C3765" s="1" t="n">
        <v>7</v>
      </c>
      <c r="D3765" s="1" t="n">
        <v>1</v>
      </c>
      <c r="E3765" s="4">
        <f>IF(INDEX(C:C, ROW())+INDEX(D:D, ROW())=0, 0, INDEX(C:C, ROW())/(INDEX(C:C, ROW())+INDEX(D:D, ROW())))</f>
        <v/>
      </c>
      <c r="F3765" s="1" t="inlineStr">
        <is>
          <t>Array, Hash Table, Sliding Window, Counting, Ordered Set</t>
        </is>
      </c>
      <c r="G3765" s="1" t="inlineStr">
        <is>
          <t>Medium</t>
        </is>
      </c>
      <c r="H3765" s="1" t="n">
        <v>387</v>
      </c>
      <c r="I3765" s="1" t="n">
        <v>706</v>
      </c>
      <c r="J3765" s="9" t="n">
        <v>0.548</v>
      </c>
      <c r="K3765" s="1" t="inlineStr">
        <is>
          <t>No</t>
        </is>
      </c>
      <c r="L3765" s="1" t="inlineStr">
        <is>
          <t>No</t>
        </is>
      </c>
      <c r="M3765" s="1" t="inlineStr">
        <is>
          <t>No</t>
        </is>
      </c>
      <c r="N3765" s="1" t="inlineStr">
        <is>
          <t>Algorithms</t>
        </is>
      </c>
      <c r="O376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66" ht="15.75" customHeight="1" s="12">
      <c r="A3766" s="1" t="n">
        <v>3717</v>
      </c>
      <c r="B3766" s="3">
        <f>HYPERLINK("https://leetcode.com/problems/minimum-operations-to-make-the-array-beautiful/", "Minimum Operations to Make the Array Beautiful")</f>
        <v/>
      </c>
      <c r="C3766" s="1" t="n">
        <v>7</v>
      </c>
      <c r="D3766" s="1" t="n">
        <v>2</v>
      </c>
      <c r="E3766" s="4">
        <f>IF(INDEX(C:C, ROW())+INDEX(D:D, ROW())=0, 0, INDEX(C:C, ROW())/(INDEX(C:C, ROW())+INDEX(D:D, ROW())))</f>
        <v/>
      </c>
      <c r="F3766" s="1" t="inlineStr">
        <is>
          <t>Array, Dynamic Programming</t>
        </is>
      </c>
      <c r="G3766" s="1" t="inlineStr">
        <is>
          <t>Medium</t>
        </is>
      </c>
      <c r="H3766" s="1" t="n">
        <v>279</v>
      </c>
      <c r="I3766" s="1" t="n">
        <v>701</v>
      </c>
      <c r="J3766" s="9" t="n">
        <v>0.398</v>
      </c>
      <c r="K3766" s="1" t="inlineStr">
        <is>
          <t>No</t>
        </is>
      </c>
      <c r="L3766" s="1" t="inlineStr">
        <is>
          <t>No</t>
        </is>
      </c>
      <c r="M3766" s="1" t="inlineStr">
        <is>
          <t>No</t>
        </is>
      </c>
      <c r="N3766" s="1" t="inlineStr">
        <is>
          <t>Algorithms</t>
        </is>
      </c>
      <c r="O376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67" ht="15.75" customHeight="1" s="12">
      <c r="A3767" s="1" t="n">
        <v>3236</v>
      </c>
      <c r="B3767" s="3">
        <f>HYPERLINK("https://leetcode.com/problems/ceo-subordinate-hierarchy/", "CEO Subordinate Hierarchy")</f>
        <v/>
      </c>
      <c r="C3767" s="1" t="n">
        <v>6</v>
      </c>
      <c r="D3767" s="1" t="n">
        <v>0</v>
      </c>
      <c r="E3767" s="4">
        <f>IF(INDEX(C:C, ROW())+INDEX(D:D, ROW())=0, 0, INDEX(C:C, ROW())/(INDEX(C:C, ROW())+INDEX(D:D, ROW())))</f>
        <v/>
      </c>
      <c r="F3767" s="1" t="inlineStr">
        <is>
          <t>Database</t>
        </is>
      </c>
      <c r="G3767" s="1" t="inlineStr">
        <is>
          <t>Hard</t>
        </is>
      </c>
      <c r="H3767" s="1" t="n">
        <v>1419</v>
      </c>
      <c r="I3767" s="1" t="n">
        <v>1969</v>
      </c>
      <c r="J3767" s="9" t="n">
        <v>0.721</v>
      </c>
      <c r="K3767" s="1" t="inlineStr">
        <is>
          <t>No</t>
        </is>
      </c>
      <c r="L3767" s="1" t="inlineStr">
        <is>
          <t>No</t>
        </is>
      </c>
      <c r="M3767" s="1" t="inlineStr">
        <is>
          <t>No</t>
        </is>
      </c>
      <c r="N3767" s="1" t="inlineStr">
        <is>
          <t>Database</t>
        </is>
      </c>
      <c r="O376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68" ht="15.75" customHeight="1" s="12">
      <c r="A3768" s="1" t="n">
        <v>3339</v>
      </c>
      <c r="B3768" s="3">
        <f>HYPERLINK("https://leetcode.com/problems/find-the-number-of-k-even-arrays/", "Find the Number of K-Even Arrays")</f>
        <v/>
      </c>
      <c r="C3768" s="1" t="n">
        <v>6</v>
      </c>
      <c r="D3768" s="1" t="n">
        <v>3</v>
      </c>
      <c r="E3768" s="4">
        <f>IF(INDEX(C:C, ROW())+INDEX(D:D, ROW())=0, 0, INDEX(C:C, ROW())/(INDEX(C:C, ROW())+INDEX(D:D, ROW())))</f>
        <v/>
      </c>
      <c r="F3768" s="1" t="inlineStr">
        <is>
          <t>Dynamic Programming</t>
        </is>
      </c>
      <c r="G3768" s="1" t="inlineStr">
        <is>
          <t>Medium</t>
        </is>
      </c>
      <c r="H3768" s="1" t="n">
        <v>567</v>
      </c>
      <c r="I3768" s="1" t="n">
        <v>941</v>
      </c>
      <c r="J3768" s="9" t="n">
        <v>0.603</v>
      </c>
      <c r="K3768" s="1" t="inlineStr">
        <is>
          <t>No</t>
        </is>
      </c>
      <c r="L3768" s="1" t="inlineStr">
        <is>
          <t>No</t>
        </is>
      </c>
      <c r="M3768" s="1" t="inlineStr">
        <is>
          <t>No</t>
        </is>
      </c>
      <c r="N3768" s="1" t="inlineStr">
        <is>
          <t>Algorithms</t>
        </is>
      </c>
      <c r="O376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69" ht="15.75" customHeight="1" s="12">
      <c r="A3769" s="1" t="n">
        <v>3406</v>
      </c>
      <c r="B3769" s="3">
        <f>HYPERLINK("https://leetcode.com/problems/find-the-lexicographically-largest-string-from-the-box-ii/", "Find the Lexicographically Largest String From the Box II")</f>
        <v/>
      </c>
      <c r="C3769" s="1" t="n">
        <v>6</v>
      </c>
      <c r="D3769" s="1" t="n">
        <v>1</v>
      </c>
      <c r="E3769" s="4">
        <f>IF(INDEX(C:C, ROW())+INDEX(D:D, ROW())=0, 0, INDEX(C:C, ROW())/(INDEX(C:C, ROW())+INDEX(D:D, ROW())))</f>
        <v/>
      </c>
      <c r="F3769" s="1" t="inlineStr">
        <is>
          <t>Two Pointers, String</t>
        </is>
      </c>
      <c r="G3769" s="1" t="inlineStr">
        <is>
          <t>Hard</t>
        </is>
      </c>
      <c r="H3769" s="1" t="n">
        <v>599</v>
      </c>
      <c r="I3769" s="1" t="n">
        <v>1211</v>
      </c>
      <c r="J3769" s="9" t="n">
        <v>0.495</v>
      </c>
      <c r="K3769" s="1" t="inlineStr">
        <is>
          <t>No</t>
        </is>
      </c>
      <c r="L3769" s="1" t="inlineStr">
        <is>
          <t>No</t>
        </is>
      </c>
      <c r="M3769" s="1" t="inlineStr">
        <is>
          <t>No</t>
        </is>
      </c>
      <c r="N3769" s="1" t="inlineStr">
        <is>
          <t>Algorithms</t>
        </is>
      </c>
      <c r="O376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70" ht="15.75" customHeight="1" s="12">
      <c r="A3770" s="1" t="n">
        <v>3549</v>
      </c>
      <c r="B3770" s="3">
        <f>HYPERLINK("https://leetcode.com/problems/multiply-two-polynomials/", "Multiply Two Polynomials")</f>
        <v/>
      </c>
      <c r="C3770" s="1" t="n">
        <v>6</v>
      </c>
      <c r="D3770" s="1" t="n">
        <v>1</v>
      </c>
      <c r="E3770" s="4">
        <f>IF(INDEX(C:C, ROW())+INDEX(D:D, ROW())=0, 0, INDEX(C:C, ROW())/(INDEX(C:C, ROW())+INDEX(D:D, ROW())))</f>
        <v/>
      </c>
      <c r="F3770" s="1" t="inlineStr">
        <is>
          <t>Array, Math</t>
        </is>
      </c>
      <c r="G3770" s="1" t="inlineStr">
        <is>
          <t>Hard</t>
        </is>
      </c>
      <c r="H3770" s="1" t="n">
        <v>323</v>
      </c>
      <c r="I3770" s="1" t="n">
        <v>524</v>
      </c>
      <c r="J3770" s="9" t="n">
        <v>0.616</v>
      </c>
      <c r="K3770" s="1" t="inlineStr">
        <is>
          <t>No</t>
        </is>
      </c>
      <c r="L3770" s="1" t="inlineStr">
        <is>
          <t>No</t>
        </is>
      </c>
      <c r="M3770" s="1" t="inlineStr">
        <is>
          <t>No</t>
        </is>
      </c>
      <c r="N3770" s="1" t="inlineStr">
        <is>
          <t>Algorithms</t>
        </is>
      </c>
      <c r="O377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71" ht="15.75" customHeight="1" s="12">
      <c r="A3771" s="1" t="n">
        <v>3641</v>
      </c>
      <c r="B3771" s="3">
        <f>HYPERLINK("https://leetcode.com/problems/longest-semi-repeating-subarray/", "Longest Semi-Repeating Subarray")</f>
        <v/>
      </c>
      <c r="C3771" s="1" t="n">
        <v>6</v>
      </c>
      <c r="D3771" s="1" t="n">
        <v>1</v>
      </c>
      <c r="E3771" s="4">
        <f>IF(INDEX(C:C, ROW())+INDEX(D:D, ROW())=0, 0, INDEX(C:C, ROW())/(INDEX(C:C, ROW())+INDEX(D:D, ROW())))</f>
        <v/>
      </c>
      <c r="F3771" s="1" t="inlineStr">
        <is>
          <t>Array, Hash Table, Sliding Window</t>
        </is>
      </c>
      <c r="G3771" s="1" t="inlineStr">
        <is>
          <t>Medium</t>
        </is>
      </c>
      <c r="H3771" s="1" t="n">
        <v>732</v>
      </c>
      <c r="I3771" s="1" t="n">
        <v>1117</v>
      </c>
      <c r="J3771" s="9" t="n">
        <v>0.655</v>
      </c>
      <c r="K3771" s="1" t="inlineStr">
        <is>
          <t>No</t>
        </is>
      </c>
      <c r="L3771" s="1" t="inlineStr">
        <is>
          <t>No</t>
        </is>
      </c>
      <c r="M3771" s="1" t="inlineStr">
        <is>
          <t>No</t>
        </is>
      </c>
      <c r="N3771" s="1" t="inlineStr">
        <is>
          <t>Algorithms</t>
        </is>
      </c>
      <c r="O377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72" ht="15.75" customHeight="1" s="12">
      <c r="A3772" s="1" t="n">
        <v>3647</v>
      </c>
      <c r="B3772" s="3">
        <f>HYPERLINK("https://leetcode.com/problems/maximum-weight-in-two-bags/", "Maximum Weight in Two Bags")</f>
        <v/>
      </c>
      <c r="C3772" s="1" t="n">
        <v>6</v>
      </c>
      <c r="D3772" s="1" t="n">
        <v>3</v>
      </c>
      <c r="E3772" s="4">
        <f>IF(INDEX(C:C, ROW())+INDEX(D:D, ROW())=0, 0, INDEX(C:C, ROW())/(INDEX(C:C, ROW())+INDEX(D:D, ROW())))</f>
        <v/>
      </c>
      <c r="F3772" s="1" t="inlineStr">
        <is>
          <t>Array, Dynamic Programming</t>
        </is>
      </c>
      <c r="G3772" s="1" t="inlineStr">
        <is>
          <t>Medium</t>
        </is>
      </c>
      <c r="H3772" s="1" t="n">
        <v>605</v>
      </c>
      <c r="I3772" s="1" t="n">
        <v>1003</v>
      </c>
      <c r="J3772" s="9" t="n">
        <v>0.603</v>
      </c>
      <c r="K3772" s="1" t="inlineStr">
        <is>
          <t>No</t>
        </is>
      </c>
      <c r="L3772" s="1" t="inlineStr">
        <is>
          <t>No</t>
        </is>
      </c>
      <c r="M3772" s="1" t="inlineStr">
        <is>
          <t>No</t>
        </is>
      </c>
      <c r="N3772" s="1" t="inlineStr">
        <is>
          <t>Algorithms</t>
        </is>
      </c>
      <c r="O377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73" ht="15.75" customHeight="1" s="12">
      <c r="A3773" s="1" t="n">
        <v>3667</v>
      </c>
      <c r="B3773" s="3">
        <f>HYPERLINK("https://leetcode.com/problems/sort-array-by-absolute-value/", "Sort Array By Absolute Value")</f>
        <v/>
      </c>
      <c r="C3773" s="1" t="n">
        <v>6</v>
      </c>
      <c r="D3773" s="1" t="n">
        <v>0</v>
      </c>
      <c r="E3773" s="4">
        <f>IF(INDEX(C:C, ROW())+INDEX(D:D, ROW())=0, 0, INDEX(C:C, ROW())/(INDEX(C:C, ROW())+INDEX(D:D, ROW())))</f>
        <v/>
      </c>
      <c r="F3773" s="1" t="inlineStr">
        <is>
          <t>Array, Math, Two Pointers, Sorting</t>
        </is>
      </c>
      <c r="G3773" s="1" t="inlineStr">
        <is>
          <t>Easy</t>
        </is>
      </c>
      <c r="H3773" s="1" t="n">
        <v>1235</v>
      </c>
      <c r="I3773" s="1" t="n">
        <v>1437</v>
      </c>
      <c r="J3773" s="9" t="n">
        <v>0.859</v>
      </c>
      <c r="K3773" s="1" t="inlineStr">
        <is>
          <t>No</t>
        </is>
      </c>
      <c r="L3773" s="1" t="inlineStr">
        <is>
          <t>No</t>
        </is>
      </c>
      <c r="M3773" s="1" t="inlineStr">
        <is>
          <t>No</t>
        </is>
      </c>
      <c r="N3773" s="1" t="inlineStr">
        <is>
          <t>Algorithms</t>
        </is>
      </c>
      <c r="O377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74" ht="15.75" customHeight="1" s="12">
      <c r="A3774" s="1" t="n">
        <v>3696</v>
      </c>
      <c r="B3774" s="3">
        <f>HYPERLINK("https://leetcode.com/problems/maximum-distance-between-unequal-words-in-array-i/", "Maximum Distance Between Unequal Words in Array I")</f>
        <v/>
      </c>
      <c r="C3774" s="1" t="n">
        <v>6</v>
      </c>
      <c r="D3774" s="1" t="n">
        <v>0</v>
      </c>
      <c r="E3774" s="4">
        <f>IF(INDEX(C:C, ROW())+INDEX(D:D, ROW())=0, 0, INDEX(C:C, ROW())/(INDEX(C:C, ROW())+INDEX(D:D, ROW())))</f>
        <v/>
      </c>
      <c r="F3774" s="1" t="inlineStr">
        <is>
          <t>Array, String</t>
        </is>
      </c>
      <c r="G3774" s="1" t="inlineStr">
        <is>
          <t>Easy</t>
        </is>
      </c>
      <c r="H3774" s="1" t="n">
        <v>829</v>
      </c>
      <c r="I3774" s="1" t="n">
        <v>988</v>
      </c>
      <c r="J3774" s="9" t="n">
        <v>0.839</v>
      </c>
      <c r="K3774" s="1" t="inlineStr">
        <is>
          <t>No</t>
        </is>
      </c>
      <c r="L3774" s="1" t="inlineStr">
        <is>
          <t>No</t>
        </is>
      </c>
      <c r="M3774" s="1" t="inlineStr">
        <is>
          <t>No</t>
        </is>
      </c>
      <c r="N3774" s="1" t="inlineStr">
        <is>
          <t>Algorithms</t>
        </is>
      </c>
      <c r="O377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75" ht="15.75" customHeight="1" s="12">
      <c r="A3775" s="1" t="n">
        <v>3809</v>
      </c>
      <c r="B3775" s="3">
        <f>HYPERLINK("https://leetcode.com/problems/best-reachable-tower/", "Best Reachable Tower")</f>
        <v/>
      </c>
      <c r="C3775" s="1" t="n">
        <v>6</v>
      </c>
      <c r="D3775" s="1" t="n">
        <v>0</v>
      </c>
      <c r="E3775" s="4">
        <f>IF(INDEX(C:C, ROW())+INDEX(D:D, ROW())=0, 0, INDEX(C:C, ROW())/(INDEX(C:C, ROW())+INDEX(D:D, ROW())))</f>
        <v/>
      </c>
      <c r="F3775" s="2" t="n"/>
      <c r="G3775" s="1" t="inlineStr">
        <is>
          <t>Medium</t>
        </is>
      </c>
      <c r="H3775" s="1" t="n">
        <v>22523</v>
      </c>
      <c r="I3775" s="1" t="n">
        <v>42082</v>
      </c>
      <c r="J3775" s="9" t="n">
        <v>0.535</v>
      </c>
      <c r="K3775" s="1" t="inlineStr">
        <is>
          <t>Yes</t>
        </is>
      </c>
      <c r="L3775" s="1" t="inlineStr">
        <is>
          <t>No</t>
        </is>
      </c>
      <c r="M3775" s="1" t="inlineStr">
        <is>
          <t>No</t>
        </is>
      </c>
      <c r="N3775" s="1" t="inlineStr">
        <is>
          <t>Algorithms</t>
        </is>
      </c>
      <c r="O377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76" ht="15.75" customHeight="1" s="12">
      <c r="A3776" s="1" t="n">
        <v>3810</v>
      </c>
      <c r="B3776" s="3">
        <f>HYPERLINK("https://leetcode.com/problems/minimum-operations-to-reach-target-array/", "Minimum Operations to Reach Target Array")</f>
        <v/>
      </c>
      <c r="C3776" s="1" t="n">
        <v>6</v>
      </c>
      <c r="D3776" s="1" t="n">
        <v>2</v>
      </c>
      <c r="E3776" s="4">
        <f>IF(INDEX(C:C, ROW())+INDEX(D:D, ROW())=0, 0, INDEX(C:C, ROW())/(INDEX(C:C, ROW())+INDEX(D:D, ROW())))</f>
        <v/>
      </c>
      <c r="F3776" s="2" t="n"/>
      <c r="G3776" s="1" t="inlineStr">
        <is>
          <t>Medium</t>
        </is>
      </c>
      <c r="H3776" s="1" t="n">
        <v>17141</v>
      </c>
      <c r="I3776" s="1" t="n">
        <v>29662</v>
      </c>
      <c r="J3776" s="9" t="n">
        <v>0.578</v>
      </c>
      <c r="K3776" s="1" t="inlineStr">
        <is>
          <t>Yes</t>
        </is>
      </c>
      <c r="L3776" s="1" t="inlineStr">
        <is>
          <t>No</t>
        </is>
      </c>
      <c r="M3776" s="1" t="inlineStr">
        <is>
          <t>No</t>
        </is>
      </c>
      <c r="N3776" s="1" t="inlineStr">
        <is>
          <t>Algorithms</t>
        </is>
      </c>
      <c r="O377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77" ht="15.75" customHeight="1" s="12">
      <c r="A3777" s="1" t="n">
        <v>3057</v>
      </c>
      <c r="B3777" s="3">
        <f>HYPERLINK("https://leetcode.com/problems/employees-project-allocation/", "Employees Project Allocation")</f>
        <v/>
      </c>
      <c r="C3777" s="1" t="n">
        <v>5</v>
      </c>
      <c r="D3777" s="1" t="n">
        <v>4</v>
      </c>
      <c r="E3777" s="4">
        <f>IF(INDEX(C:C, ROW())+INDEX(D:D, ROW())=0, 0, INDEX(C:C, ROW())/(INDEX(C:C, ROW())+INDEX(D:D, ROW())))</f>
        <v/>
      </c>
      <c r="F3777" s="1" t="inlineStr">
        <is>
          <t>Database</t>
        </is>
      </c>
      <c r="G3777" s="1" t="inlineStr">
        <is>
          <t>Hard</t>
        </is>
      </c>
      <c r="H3777" s="1" t="n">
        <v>2321</v>
      </c>
      <c r="I3777" s="1" t="n">
        <v>3453</v>
      </c>
      <c r="J3777" s="9" t="n">
        <v>0.672</v>
      </c>
      <c r="K3777" s="1" t="inlineStr">
        <is>
          <t>No</t>
        </is>
      </c>
      <c r="L3777" s="1" t="inlineStr">
        <is>
          <t>No</t>
        </is>
      </c>
      <c r="M3777" s="1" t="inlineStr">
        <is>
          <t>No</t>
        </is>
      </c>
      <c r="N3777" s="1" t="inlineStr">
        <is>
          <t>Database</t>
        </is>
      </c>
      <c r="O377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78" ht="15.75" customHeight="1" s="12">
      <c r="A3778" s="1" t="n">
        <v>3060</v>
      </c>
      <c r="B3778" s="3">
        <f>HYPERLINK("https://leetcode.com/problems/user-activities-within-time-bounds/", "User Activities within Time Bounds")</f>
        <v/>
      </c>
      <c r="C3778" s="1" t="n">
        <v>5</v>
      </c>
      <c r="D3778" s="1" t="n">
        <v>20</v>
      </c>
      <c r="E3778" s="4">
        <f>IF(INDEX(C:C, ROW())+INDEX(D:D, ROW())=0, 0, INDEX(C:C, ROW())/(INDEX(C:C, ROW())+INDEX(D:D, ROW())))</f>
        <v/>
      </c>
      <c r="F3778" s="1" t="inlineStr">
        <is>
          <t>Database</t>
        </is>
      </c>
      <c r="G3778" s="1" t="inlineStr">
        <is>
          <t>Hard</t>
        </is>
      </c>
      <c r="H3778" s="1" t="n">
        <v>2224</v>
      </c>
      <c r="I3778" s="1" t="n">
        <v>5461</v>
      </c>
      <c r="J3778" s="9" t="n">
        <v>0.407</v>
      </c>
      <c r="K3778" s="1" t="inlineStr">
        <is>
          <t>No</t>
        </is>
      </c>
      <c r="L3778" s="1" t="inlineStr">
        <is>
          <t>Yes</t>
        </is>
      </c>
      <c r="M3778" s="1" t="inlineStr">
        <is>
          <t>No</t>
        </is>
      </c>
      <c r="N3778" s="1" t="inlineStr">
        <is>
          <t>Database</t>
        </is>
      </c>
      <c r="O377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79" ht="15.75" customHeight="1" s="12">
      <c r="A3779" s="1" t="n">
        <v>3214</v>
      </c>
      <c r="B3779" s="3">
        <f>HYPERLINK("https://leetcode.com/problems/year-on-year-growth-rate/", "Year on Year Growth Rate")</f>
        <v/>
      </c>
      <c r="C3779" s="1" t="n">
        <v>5</v>
      </c>
      <c r="D3779" s="1" t="n">
        <v>1</v>
      </c>
      <c r="E3779" s="4">
        <f>IF(INDEX(C:C, ROW())+INDEX(D:D, ROW())=0, 0, INDEX(C:C, ROW())/(INDEX(C:C, ROW())+INDEX(D:D, ROW())))</f>
        <v/>
      </c>
      <c r="F3779" s="1" t="inlineStr">
        <is>
          <t>Database</t>
        </is>
      </c>
      <c r="G3779" s="1" t="inlineStr">
        <is>
          <t>Hard</t>
        </is>
      </c>
      <c r="H3779" s="1" t="n">
        <v>3338</v>
      </c>
      <c r="I3779" s="1" t="n">
        <v>6578</v>
      </c>
      <c r="J3779" s="9" t="n">
        <v>0.507</v>
      </c>
      <c r="K3779" s="1" t="inlineStr">
        <is>
          <t>No</t>
        </is>
      </c>
      <c r="L3779" s="1" t="inlineStr">
        <is>
          <t>No</t>
        </is>
      </c>
      <c r="M3779" s="1" t="inlineStr">
        <is>
          <t>No</t>
        </is>
      </c>
      <c r="N3779" s="1" t="inlineStr">
        <is>
          <t>Database</t>
        </is>
      </c>
      <c r="O377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80" ht="15.75" customHeight="1" s="12">
      <c r="A3780" s="1" t="n">
        <v>3279</v>
      </c>
      <c r="B3780" s="3">
        <f>HYPERLINK("https://leetcode.com/problems/maximum-total-area-occupied-by-pistons/", "Maximum Total Area Occupied by Pistons")</f>
        <v/>
      </c>
      <c r="C3780" s="1" t="n">
        <v>5</v>
      </c>
      <c r="D3780" s="1" t="n">
        <v>3</v>
      </c>
      <c r="E3780" s="4">
        <f>IF(INDEX(C:C, ROW())+INDEX(D:D, ROW())=0, 0, INDEX(C:C, ROW())/(INDEX(C:C, ROW())+INDEX(D:D, ROW())))</f>
        <v/>
      </c>
      <c r="F3780" s="1" t="inlineStr">
        <is>
          <t>Array, Hash Table, String, Simulation, Counting, Prefix Sum</t>
        </is>
      </c>
      <c r="G3780" s="1" t="inlineStr">
        <is>
          <t>Hard</t>
        </is>
      </c>
      <c r="H3780" s="1" t="n">
        <v>469</v>
      </c>
      <c r="I3780" s="1" t="n">
        <v>1187</v>
      </c>
      <c r="J3780" s="9" t="n">
        <v>0.395</v>
      </c>
      <c r="K3780" s="1" t="inlineStr">
        <is>
          <t>No</t>
        </is>
      </c>
      <c r="L3780" s="1" t="inlineStr">
        <is>
          <t>No</t>
        </is>
      </c>
      <c r="M3780" s="1" t="inlineStr">
        <is>
          <t>No</t>
        </is>
      </c>
      <c r="N3780" s="1" t="inlineStr">
        <is>
          <t>Algorithms</t>
        </is>
      </c>
      <c r="O378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81" ht="15.75" customHeight="1" s="12">
      <c r="A3781" s="1" t="n">
        <v>3385</v>
      </c>
      <c r="B3781" s="3">
        <f>HYPERLINK("https://leetcode.com/problems/minimum-time-to-break-locks-ii/", "Minimum Time to Break Locks II")</f>
        <v/>
      </c>
      <c r="C3781" s="1" t="n">
        <v>5</v>
      </c>
      <c r="D3781" s="1" t="n">
        <v>1</v>
      </c>
      <c r="E3781" s="4">
        <f>IF(INDEX(C:C, ROW())+INDEX(D:D, ROW())=0, 0, INDEX(C:C, ROW())/(INDEX(C:C, ROW())+INDEX(D:D, ROW())))</f>
        <v/>
      </c>
      <c r="F3781" s="1" t="inlineStr">
        <is>
          <t>Array, Depth-First Search, Graph Theory</t>
        </is>
      </c>
      <c r="G3781" s="1" t="inlineStr">
        <is>
          <t>Hard</t>
        </is>
      </c>
      <c r="H3781" s="1" t="n">
        <v>314</v>
      </c>
      <c r="I3781" s="1" t="n">
        <v>717</v>
      </c>
      <c r="J3781" s="9" t="n">
        <v>0.438</v>
      </c>
      <c r="K3781" s="1" t="inlineStr">
        <is>
          <t>No</t>
        </is>
      </c>
      <c r="L3781" s="1" t="inlineStr">
        <is>
          <t>No</t>
        </is>
      </c>
      <c r="M3781" s="1" t="inlineStr">
        <is>
          <t>No</t>
        </is>
      </c>
      <c r="N3781" s="1" t="inlineStr">
        <is>
          <t>Algorithms</t>
        </is>
      </c>
      <c r="O378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82" ht="15.75" customHeight="1" s="12">
      <c r="A3782" s="1" t="n">
        <v>3431</v>
      </c>
      <c r="B3782" s="3">
        <f>HYPERLINK("https://leetcode.com/problems/minimum-unlocked-indices-to-sort-nums/", "Minimum Unlocked Indices to Sort Nums")</f>
        <v/>
      </c>
      <c r="C3782" s="1" t="n">
        <v>5</v>
      </c>
      <c r="D3782" s="1" t="n">
        <v>3</v>
      </c>
      <c r="E3782" s="4">
        <f>IF(INDEX(C:C, ROW())+INDEX(D:D, ROW())=0, 0, INDEX(C:C, ROW())/(INDEX(C:C, ROW())+INDEX(D:D, ROW())))</f>
        <v/>
      </c>
      <c r="F3782" s="1" t="inlineStr">
        <is>
          <t>Array, Hash Table</t>
        </is>
      </c>
      <c r="G3782" s="1" t="inlineStr">
        <is>
          <t>Medium</t>
        </is>
      </c>
      <c r="H3782" s="1" t="n">
        <v>516</v>
      </c>
      <c r="I3782" s="1" t="n">
        <v>865</v>
      </c>
      <c r="J3782" s="9" t="n">
        <v>0.597</v>
      </c>
      <c r="K3782" s="1" t="inlineStr">
        <is>
          <t>No</t>
        </is>
      </c>
      <c r="L3782" s="1" t="inlineStr">
        <is>
          <t>No</t>
        </is>
      </c>
      <c r="M3782" s="1" t="inlineStr">
        <is>
          <t>No</t>
        </is>
      </c>
      <c r="N3782" s="1" t="inlineStr">
        <is>
          <t>Algorithms</t>
        </is>
      </c>
      <c r="O378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83" ht="15.75" customHeight="1" s="12">
      <c r="A3783" s="1" t="n">
        <v>3535</v>
      </c>
      <c r="B3783" s="3">
        <f>HYPERLINK("https://leetcode.com/problems/unit-conversion-ii/", "Unit Conversion II")</f>
        <v/>
      </c>
      <c r="C3783" s="1" t="n">
        <v>5</v>
      </c>
      <c r="D3783" s="1" t="n">
        <v>7</v>
      </c>
      <c r="E3783" s="4">
        <f>IF(INDEX(C:C, ROW())+INDEX(D:D, ROW())=0, 0, INDEX(C:C, ROW())/(INDEX(C:C, ROW())+INDEX(D:D, ROW())))</f>
        <v/>
      </c>
      <c r="F3783" s="1" t="inlineStr">
        <is>
          <t>Array, Math, Depth-First Search, Breadth-First Search, Graph Theory</t>
        </is>
      </c>
      <c r="G3783" s="1" t="inlineStr">
        <is>
          <t>Medium</t>
        </is>
      </c>
      <c r="H3783" s="1" t="n">
        <v>546</v>
      </c>
      <c r="I3783" s="1" t="n">
        <v>774</v>
      </c>
      <c r="J3783" s="9" t="n">
        <v>0.705</v>
      </c>
      <c r="K3783" s="1" t="inlineStr">
        <is>
          <t>No</t>
        </is>
      </c>
      <c r="L3783" s="1" t="inlineStr">
        <is>
          <t>No</t>
        </is>
      </c>
      <c r="M3783" s="1" t="inlineStr">
        <is>
          <t>No</t>
        </is>
      </c>
      <c r="N3783" s="1" t="inlineStr">
        <is>
          <t>Algorithms</t>
        </is>
      </c>
      <c r="O378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84" ht="15.75" customHeight="1" s="12">
      <c r="A3784" s="1" t="n">
        <v>3565</v>
      </c>
      <c r="B3784" s="3">
        <f>HYPERLINK("https://leetcode.com/problems/sequential-grid-path-cover/", "Sequential Grid Path Cover")</f>
        <v/>
      </c>
      <c r="C3784" s="1" t="n">
        <v>5</v>
      </c>
      <c r="D3784" s="1" t="n">
        <v>1</v>
      </c>
      <c r="E3784" s="4">
        <f>IF(INDEX(C:C, ROW())+INDEX(D:D, ROW())=0, 0, INDEX(C:C, ROW())/(INDEX(C:C, ROW())+INDEX(D:D, ROW())))</f>
        <v/>
      </c>
      <c r="F3784" s="1" t="inlineStr">
        <is>
          <t>Array, Recursion, Matrix</t>
        </is>
      </c>
      <c r="G3784" s="1" t="inlineStr">
        <is>
          <t>Medium</t>
        </is>
      </c>
      <c r="H3784" s="1" t="n">
        <v>570</v>
      </c>
      <c r="I3784" s="1" t="n">
        <v>949</v>
      </c>
      <c r="J3784" s="9" t="n">
        <v>0.601</v>
      </c>
      <c r="K3784" s="1" t="inlineStr">
        <is>
          <t>No</t>
        </is>
      </c>
      <c r="L3784" s="1" t="inlineStr">
        <is>
          <t>No</t>
        </is>
      </c>
      <c r="M3784" s="1" t="inlineStr">
        <is>
          <t>No</t>
        </is>
      </c>
      <c r="N3784" s="1" t="inlineStr">
        <is>
          <t>Algorithms</t>
        </is>
      </c>
      <c r="O378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85" ht="15.75" customHeight="1" s="12">
      <c r="A3785" s="1" t="n">
        <v>3616</v>
      </c>
      <c r="B3785" s="3">
        <f>HYPERLINK("https://leetcode.com/problems/number-of-student-replacements/", "Number of Student Replacements")</f>
        <v/>
      </c>
      <c r="C3785" s="1" t="n">
        <v>5</v>
      </c>
      <c r="D3785" s="1" t="n">
        <v>3</v>
      </c>
      <c r="E3785" s="4">
        <f>IF(INDEX(C:C, ROW())+INDEX(D:D, ROW())=0, 0, INDEX(C:C, ROW())/(INDEX(C:C, ROW())+INDEX(D:D, ROW())))</f>
        <v/>
      </c>
      <c r="F3785" s="1" t="inlineStr">
        <is>
          <t>Array, Simulation</t>
        </is>
      </c>
      <c r="G3785" s="1" t="inlineStr">
        <is>
          <t>Medium</t>
        </is>
      </c>
      <c r="H3785" s="1" t="n">
        <v>849</v>
      </c>
      <c r="I3785" s="1" t="n">
        <v>985</v>
      </c>
      <c r="J3785" s="9" t="n">
        <v>0.862</v>
      </c>
      <c r="K3785" s="1" t="inlineStr">
        <is>
          <t>No</t>
        </is>
      </c>
      <c r="L3785" s="1" t="inlineStr">
        <is>
          <t>No</t>
        </is>
      </c>
      <c r="M3785" s="1" t="inlineStr">
        <is>
          <t>No</t>
        </is>
      </c>
      <c r="N3785" s="1" t="inlineStr">
        <is>
          <t>Algorithms</t>
        </is>
      </c>
      <c r="O378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86" ht="15.75" customHeight="1" s="12">
      <c r="A3786" s="1" t="n">
        <v>3631</v>
      </c>
      <c r="B3786" s="3">
        <f>HYPERLINK("https://leetcode.com/problems/sort-threats-by-severity-and-exploitability/", "Sort Threats by Severity and Exploitability")</f>
        <v/>
      </c>
      <c r="C3786" s="1" t="n">
        <v>5</v>
      </c>
      <c r="D3786" s="1" t="n">
        <v>1</v>
      </c>
      <c r="E3786" s="4">
        <f>IF(INDEX(C:C, ROW())+INDEX(D:D, ROW())=0, 0, INDEX(C:C, ROW())/(INDEX(C:C, ROW())+INDEX(D:D, ROW())))</f>
        <v/>
      </c>
      <c r="F3786" s="1" t="inlineStr">
        <is>
          <t>Array, Sorting</t>
        </is>
      </c>
      <c r="G3786" s="1" t="inlineStr">
        <is>
          <t>Medium</t>
        </is>
      </c>
      <c r="H3786" s="1" t="n">
        <v>506</v>
      </c>
      <c r="I3786" s="1" t="n">
        <v>716</v>
      </c>
      <c r="J3786" s="9" t="n">
        <v>0.707</v>
      </c>
      <c r="K3786" s="1" t="inlineStr">
        <is>
          <t>No</t>
        </is>
      </c>
      <c r="L3786" s="1" t="inlineStr">
        <is>
          <t>No</t>
        </is>
      </c>
      <c r="M3786" s="1" t="inlineStr">
        <is>
          <t>No</t>
        </is>
      </c>
      <c r="N3786" s="1" t="inlineStr">
        <is>
          <t>Algorithms</t>
        </is>
      </c>
      <c r="O378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87" ht="15.75" customHeight="1" s="12">
      <c r="A3787" s="1" t="n">
        <v>3682</v>
      </c>
      <c r="B3787" s="3">
        <f>HYPERLINK("https://leetcode.com/problems/minimum-index-sum-of-common-elements/", "Minimum Index Sum of Common Elements")</f>
        <v/>
      </c>
      <c r="C3787" s="1" t="n">
        <v>5</v>
      </c>
      <c r="D3787" s="1" t="n">
        <v>1</v>
      </c>
      <c r="E3787" s="4">
        <f>IF(INDEX(C:C, ROW())+INDEX(D:D, ROW())=0, 0, INDEX(C:C, ROW())/(INDEX(C:C, ROW())+INDEX(D:D, ROW())))</f>
        <v/>
      </c>
      <c r="F3787" s="1" t="inlineStr">
        <is>
          <t>Array, Hash Table</t>
        </is>
      </c>
      <c r="G3787" s="1" t="inlineStr">
        <is>
          <t>Medium</t>
        </is>
      </c>
      <c r="H3787" s="1" t="n">
        <v>606</v>
      </c>
      <c r="I3787" s="1" t="n">
        <v>766</v>
      </c>
      <c r="J3787" s="9" t="n">
        <v>0.791</v>
      </c>
      <c r="K3787" s="1" t="inlineStr">
        <is>
          <t>No</t>
        </is>
      </c>
      <c r="L3787" s="1" t="inlineStr">
        <is>
          <t>No</t>
        </is>
      </c>
      <c r="M3787" s="1" t="inlineStr">
        <is>
          <t>No</t>
        </is>
      </c>
      <c r="N3787" s="1" t="inlineStr">
        <is>
          <t>Algorithms</t>
        </is>
      </c>
      <c r="O378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88" ht="15.75" customHeight="1" s="12">
      <c r="A3788" s="1" t="n">
        <v>3687</v>
      </c>
      <c r="B3788" s="3">
        <f>HYPERLINK("https://leetcode.com/problems/library-late-fee-calculator/", "Library Late Fee Calculator")</f>
        <v/>
      </c>
      <c r="C3788" s="1" t="n">
        <v>5</v>
      </c>
      <c r="D3788" s="1" t="n">
        <v>2</v>
      </c>
      <c r="E3788" s="4">
        <f>IF(INDEX(C:C, ROW())+INDEX(D:D, ROW())=0, 0, INDEX(C:C, ROW())/(INDEX(C:C, ROW())+INDEX(D:D, ROW())))</f>
        <v/>
      </c>
      <c r="F3788" s="1" t="inlineStr">
        <is>
          <t>Array, Simulation</t>
        </is>
      </c>
      <c r="G3788" s="1" t="inlineStr">
        <is>
          <t>Easy</t>
        </is>
      </c>
      <c r="H3788" s="1" t="n">
        <v>1558</v>
      </c>
      <c r="I3788" s="1" t="n">
        <v>1654</v>
      </c>
      <c r="J3788" s="9" t="n">
        <v>0.9419999999999999</v>
      </c>
      <c r="K3788" s="1" t="inlineStr">
        <is>
          <t>No</t>
        </is>
      </c>
      <c r="L3788" s="1" t="inlineStr">
        <is>
          <t>No</t>
        </is>
      </c>
      <c r="M3788" s="1" t="inlineStr">
        <is>
          <t>No</t>
        </is>
      </c>
      <c r="N3788" s="1" t="inlineStr">
        <is>
          <t>Algorithms</t>
        </is>
      </c>
      <c r="O378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89" ht="15.75" customHeight="1" s="12">
      <c r="A3789" s="1" t="n">
        <v>3706</v>
      </c>
      <c r="B3789" s="3">
        <f>HYPERLINK("https://leetcode.com/problems/maximum-distance-between-unequal-words-in-array-ii/", "Maximum Distance Between Unequal Words in Array II")</f>
        <v/>
      </c>
      <c r="C3789" s="1" t="n">
        <v>5</v>
      </c>
      <c r="D3789" s="1" t="n">
        <v>2</v>
      </c>
      <c r="E3789" s="4">
        <f>IF(INDEX(C:C, ROW())+INDEX(D:D, ROW())=0, 0, INDEX(C:C, ROW())/(INDEX(C:C, ROW())+INDEX(D:D, ROW())))</f>
        <v/>
      </c>
      <c r="F3789" s="1" t="inlineStr">
        <is>
          <t>Array, String</t>
        </is>
      </c>
      <c r="G3789" s="1" t="inlineStr">
        <is>
          <t>Medium</t>
        </is>
      </c>
      <c r="H3789" s="1" t="n">
        <v>486</v>
      </c>
      <c r="I3789" s="1" t="n">
        <v>677</v>
      </c>
      <c r="J3789" s="9" t="n">
        <v>0.718</v>
      </c>
      <c r="K3789" s="1" t="inlineStr">
        <is>
          <t>No</t>
        </is>
      </c>
      <c r="L3789" s="1" t="inlineStr">
        <is>
          <t>No</t>
        </is>
      </c>
      <c r="M3789" s="1" t="inlineStr">
        <is>
          <t>No</t>
        </is>
      </c>
      <c r="N3789" s="1" t="inlineStr">
        <is>
          <t>Algorithms</t>
        </is>
      </c>
      <c r="O378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90" ht="15.75" customHeight="1" s="12">
      <c r="A3790" s="1" t="n">
        <v>3711</v>
      </c>
      <c r="B3790" s="3">
        <f>HYPERLINK("https://leetcode.com/problems/maximum-transactions-without-negative-balance/", "Maximum Transactions Without Negative Balance")</f>
        <v/>
      </c>
      <c r="C3790" s="1" t="n">
        <v>5</v>
      </c>
      <c r="D3790" s="1" t="n">
        <v>1</v>
      </c>
      <c r="E3790" s="4">
        <f>IF(INDEX(C:C, ROW())+INDEX(D:D, ROW())=0, 0, INDEX(C:C, ROW())/(INDEX(C:C, ROW())+INDEX(D:D, ROW())))</f>
        <v/>
      </c>
      <c r="F3790" s="1" t="inlineStr">
        <is>
          <t>Array, Greedy, Heap (Priority Queue)</t>
        </is>
      </c>
      <c r="G3790" s="1" t="inlineStr">
        <is>
          <t>Medium</t>
        </is>
      </c>
      <c r="H3790" s="1" t="n">
        <v>497</v>
      </c>
      <c r="I3790" s="1" t="n">
        <v>995</v>
      </c>
      <c r="J3790" s="9" t="n">
        <v>0.499</v>
      </c>
      <c r="K3790" s="1" t="inlineStr">
        <is>
          <t>No</t>
        </is>
      </c>
      <c r="L3790" s="1" t="inlineStr">
        <is>
          <t>No</t>
        </is>
      </c>
      <c r="M3790" s="1" t="inlineStr">
        <is>
          <t>No</t>
        </is>
      </c>
      <c r="N3790" s="1" t="inlineStr">
        <is>
          <t>Algorithms</t>
        </is>
      </c>
      <c r="O379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91" ht="15.75" customHeight="1" s="12">
      <c r="A3791" s="1" t="n">
        <v>3730</v>
      </c>
      <c r="B3791" s="3">
        <f>HYPERLINK("https://leetcode.com/problems/maximum-calories-burnt-from-jumps/", "Maximum Calories Burnt from Jumps")</f>
        <v/>
      </c>
      <c r="C3791" s="1" t="n">
        <v>5</v>
      </c>
      <c r="D3791" s="1" t="n">
        <v>1</v>
      </c>
      <c r="E3791" s="4">
        <f>IF(INDEX(C:C, ROW())+INDEX(D:D, ROW())=0, 0, INDEX(C:C, ROW())/(INDEX(C:C, ROW())+INDEX(D:D, ROW())))</f>
        <v/>
      </c>
      <c r="F3791" s="1" t="inlineStr">
        <is>
          <t>Array, Two Pointers, Greedy, Sorting</t>
        </is>
      </c>
      <c r="G3791" s="1" t="inlineStr">
        <is>
          <t>Medium</t>
        </is>
      </c>
      <c r="H3791" s="1" t="n">
        <v>561</v>
      </c>
      <c r="I3791" s="1" t="n">
        <v>755</v>
      </c>
      <c r="J3791" s="9" t="n">
        <v>0.743</v>
      </c>
      <c r="K3791" s="1" t="inlineStr">
        <is>
          <t>No</t>
        </is>
      </c>
      <c r="L3791" s="1" t="inlineStr">
        <is>
          <t>No</t>
        </is>
      </c>
      <c r="M3791" s="1" t="inlineStr">
        <is>
          <t>No</t>
        </is>
      </c>
      <c r="N3791" s="1" t="inlineStr">
        <is>
          <t>Algorithms</t>
        </is>
      </c>
      <c r="O379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92" ht="15.75" customHeight="1" s="12">
      <c r="A3792" s="1" t="n">
        <v>3744</v>
      </c>
      <c r="B3792" s="3">
        <f>HYPERLINK("https://leetcode.com/problems/find-kth-character-in-expanded-string/", "Find Kth Character in Expanded String")</f>
        <v/>
      </c>
      <c r="C3792" s="1" t="n">
        <v>5</v>
      </c>
      <c r="D3792" s="1" t="n">
        <v>2</v>
      </c>
      <c r="E3792" s="4">
        <f>IF(INDEX(C:C, ROW())+INDEX(D:D, ROW())=0, 0, INDEX(C:C, ROW())/(INDEX(C:C, ROW())+INDEX(D:D, ROW())))</f>
        <v/>
      </c>
      <c r="F3792" s="1" t="inlineStr">
        <is>
          <t>String</t>
        </is>
      </c>
      <c r="G3792" s="1" t="inlineStr">
        <is>
          <t>Medium</t>
        </is>
      </c>
      <c r="H3792" s="1" t="n">
        <v>436</v>
      </c>
      <c r="I3792" s="1" t="n">
        <v>740</v>
      </c>
      <c r="J3792" s="9" t="n">
        <v>0.589</v>
      </c>
      <c r="K3792" s="1" t="inlineStr">
        <is>
          <t>No</t>
        </is>
      </c>
      <c r="L3792" s="1" t="inlineStr">
        <is>
          <t>No</t>
        </is>
      </c>
      <c r="M3792" s="1" t="inlineStr">
        <is>
          <t>No</t>
        </is>
      </c>
      <c r="N3792" s="1" t="inlineStr">
        <is>
          <t>Algorithms</t>
        </is>
      </c>
      <c r="O379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93" ht="15.75" customHeight="1" s="12">
      <c r="A3793" s="1" t="n">
        <v>3056</v>
      </c>
      <c r="B3793" s="3">
        <f>HYPERLINK("https://leetcode.com/problems/snaps-analysis/", "Snaps Analysis")</f>
        <v/>
      </c>
      <c r="C3793" s="1" t="n">
        <v>4</v>
      </c>
      <c r="D3793" s="1" t="n">
        <v>2</v>
      </c>
      <c r="E3793" s="4">
        <f>IF(INDEX(C:C, ROW())+INDEX(D:D, ROW())=0, 0, INDEX(C:C, ROW())/(INDEX(C:C, ROW())+INDEX(D:D, ROW())))</f>
        <v/>
      </c>
      <c r="F3793" s="1" t="inlineStr">
        <is>
          <t>Database</t>
        </is>
      </c>
      <c r="G3793" s="1" t="inlineStr">
        <is>
          <t>Medium</t>
        </is>
      </c>
      <c r="H3793" s="1" t="n">
        <v>3263</v>
      </c>
      <c r="I3793" s="1" t="n">
        <v>5588</v>
      </c>
      <c r="J3793" s="9" t="n">
        <v>0.584</v>
      </c>
      <c r="K3793" s="1" t="inlineStr">
        <is>
          <t>No</t>
        </is>
      </c>
      <c r="L3793" s="1" t="inlineStr">
        <is>
          <t>No</t>
        </is>
      </c>
      <c r="M3793" s="1" t="inlineStr">
        <is>
          <t>No</t>
        </is>
      </c>
      <c r="N3793" s="1" t="inlineStr">
        <is>
          <t>Database</t>
        </is>
      </c>
      <c r="O379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94" ht="15.75" customHeight="1" s="12">
      <c r="A3794" s="1" t="n">
        <v>3118</v>
      </c>
      <c r="B3794" s="3">
        <f>HYPERLINK("https://leetcode.com/problems/friday-purchase-iii/", "Friday Purchase III ")</f>
        <v/>
      </c>
      <c r="C3794" s="1" t="n">
        <v>4</v>
      </c>
      <c r="D3794" s="1" t="n">
        <v>7</v>
      </c>
      <c r="E3794" s="4">
        <f>IF(INDEX(C:C, ROW())+INDEX(D:D, ROW())=0, 0, INDEX(C:C, ROW())/(INDEX(C:C, ROW())+INDEX(D:D, ROW())))</f>
        <v/>
      </c>
      <c r="F3794" s="1" t="inlineStr">
        <is>
          <t>Database</t>
        </is>
      </c>
      <c r="G3794" s="1" t="inlineStr">
        <is>
          <t>Medium</t>
        </is>
      </c>
      <c r="H3794" s="1" t="n">
        <v>2246</v>
      </c>
      <c r="I3794" s="1" t="n">
        <v>4100</v>
      </c>
      <c r="J3794" s="9" t="n">
        <v>0.548</v>
      </c>
      <c r="K3794" s="1" t="inlineStr">
        <is>
          <t>No</t>
        </is>
      </c>
      <c r="L3794" s="1" t="inlineStr">
        <is>
          <t>No</t>
        </is>
      </c>
      <c r="M3794" s="1" t="inlineStr">
        <is>
          <t>No</t>
        </is>
      </c>
      <c r="N3794" s="1" t="inlineStr">
        <is>
          <t>Database</t>
        </is>
      </c>
      <c r="O379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95" ht="15.75" customHeight="1" s="12">
      <c r="A3795" s="1" t="n">
        <v>3322</v>
      </c>
      <c r="B3795" s="3">
        <f>HYPERLINK("https://leetcode.com/problems/premier-league-table-ranking-iii/", "Premier League Table Ranking III")</f>
        <v/>
      </c>
      <c r="C3795" s="1" t="n">
        <v>4</v>
      </c>
      <c r="D3795" s="1" t="n">
        <v>0</v>
      </c>
      <c r="E3795" s="4">
        <f>IF(INDEX(C:C, ROW())+INDEX(D:D, ROW())=0, 0, INDEX(C:C, ROW())/(INDEX(C:C, ROW())+INDEX(D:D, ROW())))</f>
        <v/>
      </c>
      <c r="F3795" s="1" t="inlineStr">
        <is>
          <t>Database</t>
        </is>
      </c>
      <c r="G3795" s="1" t="inlineStr">
        <is>
          <t>Medium</t>
        </is>
      </c>
      <c r="H3795" s="1" t="n">
        <v>1881</v>
      </c>
      <c r="I3795" s="1" t="n">
        <v>2673</v>
      </c>
      <c r="J3795" s="9" t="n">
        <v>0.704</v>
      </c>
      <c r="K3795" s="1" t="inlineStr">
        <is>
          <t>No</t>
        </is>
      </c>
      <c r="L3795" s="1" t="inlineStr">
        <is>
          <t>No</t>
        </is>
      </c>
      <c r="M3795" s="1" t="inlineStr">
        <is>
          <t>No</t>
        </is>
      </c>
      <c r="N3795" s="1" t="inlineStr">
        <is>
          <t>Database</t>
        </is>
      </c>
      <c r="O379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96" ht="15.75" customHeight="1" s="12">
      <c r="A3796" s="1" t="n">
        <v>3368</v>
      </c>
      <c r="B3796" s="3">
        <f>HYPERLINK("https://leetcode.com/problems/first-letter-capitalization/", "First Letter Capitalization")</f>
        <v/>
      </c>
      <c r="C3796" s="1" t="n">
        <v>4</v>
      </c>
      <c r="D3796" s="1" t="n">
        <v>1</v>
      </c>
      <c r="E3796" s="4">
        <f>IF(INDEX(C:C, ROW())+INDEX(D:D, ROW())=0, 0, INDEX(C:C, ROW())/(INDEX(C:C, ROW())+INDEX(D:D, ROW())))</f>
        <v/>
      </c>
      <c r="F3796" s="1" t="inlineStr">
        <is>
          <t>Database</t>
        </is>
      </c>
      <c r="G3796" s="1" t="inlineStr">
        <is>
          <t>Hard</t>
        </is>
      </c>
      <c r="H3796" s="1" t="n">
        <v>1134</v>
      </c>
      <c r="I3796" s="1" t="n">
        <v>1312</v>
      </c>
      <c r="J3796" s="9" t="n">
        <v>0.864</v>
      </c>
      <c r="K3796" s="1" t="inlineStr">
        <is>
          <t>No</t>
        </is>
      </c>
      <c r="L3796" s="1" t="inlineStr">
        <is>
          <t>No</t>
        </is>
      </c>
      <c r="M3796" s="1" t="inlineStr">
        <is>
          <t>No</t>
        </is>
      </c>
      <c r="N3796" s="1" t="inlineStr">
        <is>
          <t>Database</t>
        </is>
      </c>
      <c r="O379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97" ht="15.75" customHeight="1" s="12">
      <c r="A3797" s="1" t="n">
        <v>3384</v>
      </c>
      <c r="B3797" s="3">
        <f>HYPERLINK("https://leetcode.com/problems/team-dominance-by-pass-success/", "Team Dominance by Pass Success")</f>
        <v/>
      </c>
      <c r="C3797" s="1" t="n">
        <v>4</v>
      </c>
      <c r="D3797" s="1" t="n">
        <v>0</v>
      </c>
      <c r="E3797" s="4">
        <f>IF(INDEX(C:C, ROW())+INDEX(D:D, ROW())=0, 0, INDEX(C:C, ROW())/(INDEX(C:C, ROW())+INDEX(D:D, ROW())))</f>
        <v/>
      </c>
      <c r="F3797" s="1" t="inlineStr">
        <is>
          <t>Database</t>
        </is>
      </c>
      <c r="G3797" s="1" t="inlineStr">
        <is>
          <t>Hard</t>
        </is>
      </c>
      <c r="H3797" s="1" t="n">
        <v>1338</v>
      </c>
      <c r="I3797" s="1" t="n">
        <v>1848</v>
      </c>
      <c r="J3797" s="9" t="n">
        <v>0.724</v>
      </c>
      <c r="K3797" s="1" t="inlineStr">
        <is>
          <t>No</t>
        </is>
      </c>
      <c r="L3797" s="1" t="inlineStr">
        <is>
          <t>No</t>
        </is>
      </c>
      <c r="M3797" s="1" t="inlineStr">
        <is>
          <t>No</t>
        </is>
      </c>
      <c r="N3797" s="1" t="inlineStr">
        <is>
          <t>Database</t>
        </is>
      </c>
      <c r="O379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98" ht="15.75" customHeight="1" s="12">
      <c r="A3798" s="1" t="n">
        <v>3415</v>
      </c>
      <c r="B3798" s="3">
        <f>HYPERLINK("https://leetcode.com/problems/find-products-with-three-consecutive-digits/", "Find Products with Three Consecutive Digits ")</f>
        <v/>
      </c>
      <c r="C3798" s="1" t="n">
        <v>4</v>
      </c>
      <c r="D3798" s="1" t="n">
        <v>3</v>
      </c>
      <c r="E3798" s="4">
        <f>IF(INDEX(C:C, ROW())+INDEX(D:D, ROW())=0, 0, INDEX(C:C, ROW())/(INDEX(C:C, ROW())+INDEX(D:D, ROW())))</f>
        <v/>
      </c>
      <c r="F3798" s="1" t="inlineStr">
        <is>
          <t>Database</t>
        </is>
      </c>
      <c r="G3798" s="1" t="inlineStr">
        <is>
          <t>Easy</t>
        </is>
      </c>
      <c r="H3798" s="1" t="n">
        <v>1818</v>
      </c>
      <c r="I3798" s="1" t="n">
        <v>2222</v>
      </c>
      <c r="J3798" s="9" t="n">
        <v>0.8179999999999999</v>
      </c>
      <c r="K3798" s="1" t="inlineStr">
        <is>
          <t>No</t>
        </is>
      </c>
      <c r="L3798" s="1" t="inlineStr">
        <is>
          <t>No</t>
        </is>
      </c>
      <c r="M3798" s="1" t="inlineStr">
        <is>
          <t>No</t>
        </is>
      </c>
      <c r="N3798" s="1" t="inlineStr">
        <is>
          <t>Database</t>
        </is>
      </c>
      <c r="O379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799" ht="15.75" customHeight="1" s="12">
      <c r="A3799" s="1" t="n">
        <v>3506</v>
      </c>
      <c r="B3799" s="3">
        <f>HYPERLINK("https://leetcode.com/problems/find-time-required-to-eliminate-bacterial-strains/", "Find Time Required to Eliminate Bacterial Strains")</f>
        <v/>
      </c>
      <c r="C3799" s="1" t="n">
        <v>4</v>
      </c>
      <c r="D3799" s="1" t="n">
        <v>1</v>
      </c>
      <c r="E3799" s="4">
        <f>IF(INDEX(C:C, ROW())+INDEX(D:D, ROW())=0, 0, INDEX(C:C, ROW())/(INDEX(C:C, ROW())+INDEX(D:D, ROW())))</f>
        <v/>
      </c>
      <c r="F3799" s="1" t="inlineStr">
        <is>
          <t>Array, Math, Greedy, Heap (Priority Queue)</t>
        </is>
      </c>
      <c r="G3799" s="1" t="inlineStr">
        <is>
          <t>Hard</t>
        </is>
      </c>
      <c r="H3799" s="1" t="n">
        <v>487</v>
      </c>
      <c r="I3799" s="1" t="n">
        <v>785</v>
      </c>
      <c r="J3799" s="9" t="n">
        <v>0.62</v>
      </c>
      <c r="K3799" s="1" t="inlineStr">
        <is>
          <t>No</t>
        </is>
      </c>
      <c r="L3799" s="1" t="inlineStr">
        <is>
          <t>No</t>
        </is>
      </c>
      <c r="M3799" s="1" t="inlineStr">
        <is>
          <t>No</t>
        </is>
      </c>
      <c r="N3799" s="1" t="inlineStr">
        <is>
          <t>Algorithms</t>
        </is>
      </c>
      <c r="O379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800" ht="15.75" customHeight="1" s="12">
      <c r="A3800" s="1" t="n">
        <v>3632</v>
      </c>
      <c r="B3800" s="3">
        <f>HYPERLINK("https://leetcode.com/problems/subarrays-with-xor-at-least-k/", "Subarrays with XOR at Least K")</f>
        <v/>
      </c>
      <c r="C3800" s="1" t="n">
        <v>4</v>
      </c>
      <c r="D3800" s="1" t="n">
        <v>2</v>
      </c>
      <c r="E3800" s="4">
        <f>IF(INDEX(C:C, ROW())+INDEX(D:D, ROW())=0, 0, INDEX(C:C, ROW())/(INDEX(C:C, ROW())+INDEX(D:D, ROW())))</f>
        <v/>
      </c>
      <c r="F3800" s="1" t="inlineStr">
        <is>
          <t>Array, Bit Manipulation, Trie, Prefix Sum</t>
        </is>
      </c>
      <c r="G3800" s="1" t="inlineStr">
        <is>
          <t>Hard</t>
        </is>
      </c>
      <c r="H3800" s="1" t="n">
        <v>217</v>
      </c>
      <c r="I3800" s="1" t="n">
        <v>475</v>
      </c>
      <c r="J3800" s="9" t="n">
        <v>0.457</v>
      </c>
      <c r="K3800" s="1" t="inlineStr">
        <is>
          <t>No</t>
        </is>
      </c>
      <c r="L3800" s="1" t="inlineStr">
        <is>
          <t>No</t>
        </is>
      </c>
      <c r="M3800" s="1" t="inlineStr">
        <is>
          <t>No</t>
        </is>
      </c>
      <c r="N3800" s="1" t="inlineStr">
        <is>
          <t>Algorithms</t>
        </is>
      </c>
      <c r="O380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801" ht="15.75" customHeight="1" s="12">
      <c r="A3801" s="1" t="n">
        <v>3758</v>
      </c>
      <c r="B3801" s="3">
        <f>HYPERLINK("https://leetcode.com/problems/convert-number-words-to-digits/", "Convert Number Words to Digits")</f>
        <v/>
      </c>
      <c r="C3801" s="1" t="n">
        <v>4</v>
      </c>
      <c r="D3801" s="1" t="n">
        <v>1</v>
      </c>
      <c r="E3801" s="4">
        <f>IF(INDEX(C:C, ROW())+INDEX(D:D, ROW())=0, 0, INDEX(C:C, ROW())/(INDEX(C:C, ROW())+INDEX(D:D, ROW())))</f>
        <v/>
      </c>
      <c r="F3801" s="1" t="inlineStr">
        <is>
          <t>String, Trie</t>
        </is>
      </c>
      <c r="G3801" s="1" t="inlineStr">
        <is>
          <t>Medium</t>
        </is>
      </c>
      <c r="H3801" s="1" t="n">
        <v>422</v>
      </c>
      <c r="I3801" s="1" t="n">
        <v>598</v>
      </c>
      <c r="J3801" s="9" t="n">
        <v>0.706</v>
      </c>
      <c r="K3801" s="1" t="inlineStr">
        <is>
          <t>No</t>
        </is>
      </c>
      <c r="L3801" s="1" t="inlineStr">
        <is>
          <t>No</t>
        </is>
      </c>
      <c r="M3801" s="1" t="inlineStr">
        <is>
          <t>No</t>
        </is>
      </c>
      <c r="N3801" s="1" t="inlineStr">
        <is>
          <t>Algorithms</t>
        </is>
      </c>
      <c r="O380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802" ht="15.75" customHeight="1" s="12">
      <c r="A3802" s="1" t="n">
        <v>3792</v>
      </c>
      <c r="B3802" s="3">
        <f>HYPERLINK("https://leetcode.com/problems/sum-of-increasing-product-blocks/", "Sum of Increasing Product Blocks")</f>
        <v/>
      </c>
      <c r="C3802" s="1" t="n">
        <v>4</v>
      </c>
      <c r="D3802" s="1" t="n">
        <v>1</v>
      </c>
      <c r="E3802" s="4">
        <f>IF(INDEX(C:C, ROW())+INDEX(D:D, ROW())=0, 0, INDEX(C:C, ROW())/(INDEX(C:C, ROW())+INDEX(D:D, ROW())))</f>
        <v/>
      </c>
      <c r="F3802" s="1" t="inlineStr">
        <is>
          <t>Math, Simulation</t>
        </is>
      </c>
      <c r="G3802" s="1" t="inlineStr">
        <is>
          <t>Medium</t>
        </is>
      </c>
      <c r="H3802" s="1" t="n">
        <v>353</v>
      </c>
      <c r="I3802" s="1" t="n">
        <v>481</v>
      </c>
      <c r="J3802" s="9" t="n">
        <v>0.734</v>
      </c>
      <c r="K3802" s="1" t="inlineStr">
        <is>
          <t>No</t>
        </is>
      </c>
      <c r="L3802" s="1" t="inlineStr">
        <is>
          <t>No</t>
        </is>
      </c>
      <c r="M3802" s="1" t="inlineStr">
        <is>
          <t>No</t>
        </is>
      </c>
      <c r="N3802" s="1" t="inlineStr">
        <is>
          <t>Algorithms</t>
        </is>
      </c>
      <c r="O380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803" ht="15.75" customHeight="1" s="12">
      <c r="A3803" s="1" t="n">
        <v>3802</v>
      </c>
      <c r="B3803" s="3">
        <f>HYPERLINK("https://leetcode.com/problems/number-of-ways-to-paint-sheets/", "Number of Ways to Paint Sheets")</f>
        <v/>
      </c>
      <c r="C3803" s="1" t="n">
        <v>4</v>
      </c>
      <c r="D3803" s="1" t="n">
        <v>2</v>
      </c>
      <c r="E3803" s="4">
        <f>IF(INDEX(C:C, ROW())+INDEX(D:D, ROW())=0, 0, INDEX(C:C, ROW())/(INDEX(C:C, ROW())+INDEX(D:D, ROW())))</f>
        <v/>
      </c>
      <c r="F3803" s="2" t="n"/>
      <c r="G3803" s="1" t="inlineStr">
        <is>
          <t>Hard</t>
        </is>
      </c>
      <c r="H3803" s="1" t="n">
        <v>361</v>
      </c>
      <c r="I3803" s="1" t="n">
        <v>516</v>
      </c>
      <c r="J3803" s="9" t="n">
        <v>0.7</v>
      </c>
      <c r="K3803" s="1" t="inlineStr">
        <is>
          <t>No</t>
        </is>
      </c>
      <c r="L3803" s="1" t="inlineStr">
        <is>
          <t>No</t>
        </is>
      </c>
      <c r="M3803" s="1" t="inlineStr">
        <is>
          <t>No</t>
        </is>
      </c>
      <c r="N3803" s="1" t="inlineStr">
        <is>
          <t>Algorithms</t>
        </is>
      </c>
      <c r="O380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804" ht="15.75" customHeight="1" s="12">
      <c r="A3804" s="1" t="n">
        <v>3812</v>
      </c>
      <c r="B3804" s="3">
        <f>HYPERLINK("https://leetcode.com/problems/minimum-edge-toggles-on-a-tree/", "Minimum Edge Toggles on a Tree")</f>
        <v/>
      </c>
      <c r="C3804" s="1" t="n">
        <v>4</v>
      </c>
      <c r="D3804" s="1" t="n">
        <v>1</v>
      </c>
      <c r="E3804" s="4">
        <f>IF(INDEX(C:C, ROW())+INDEX(D:D, ROW())=0, 0, INDEX(C:C, ROW())/(INDEX(C:C, ROW())+INDEX(D:D, ROW())))</f>
        <v/>
      </c>
      <c r="F3804" s="2" t="n"/>
      <c r="G3804" s="1" t="inlineStr">
        <is>
          <t>Hard</t>
        </is>
      </c>
      <c r="H3804" s="1" t="n">
        <v>2584</v>
      </c>
      <c r="I3804" s="1" t="n">
        <v>3903</v>
      </c>
      <c r="J3804" s="9" t="n">
        <v>0.662</v>
      </c>
      <c r="K3804" s="1" t="inlineStr">
        <is>
          <t>Yes</t>
        </is>
      </c>
      <c r="L3804" s="1" t="inlineStr">
        <is>
          <t>No</t>
        </is>
      </c>
      <c r="M3804" s="1" t="inlineStr">
        <is>
          <t>No</t>
        </is>
      </c>
      <c r="N3804" s="1" t="inlineStr">
        <is>
          <t>Algorithms</t>
        </is>
      </c>
      <c r="O380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805" ht="15.75" customHeight="1" s="12">
      <c r="A3805" s="1" t="n">
        <v>3390</v>
      </c>
      <c r="B3805" s="3">
        <f>HYPERLINK("https://leetcode.com/problems/longest-team-pass-streak/", "Longest Team Pass Streak")</f>
        <v/>
      </c>
      <c r="C3805" s="1" t="n">
        <v>3</v>
      </c>
      <c r="D3805" s="1" t="n">
        <v>8</v>
      </c>
      <c r="E3805" s="4">
        <f>IF(INDEX(C:C, ROW())+INDEX(D:D, ROW())=0, 0, INDEX(C:C, ROW())/(INDEX(C:C, ROW())+INDEX(D:D, ROW())))</f>
        <v/>
      </c>
      <c r="F3805" s="1" t="inlineStr">
        <is>
          <t>Database</t>
        </is>
      </c>
      <c r="G3805" s="1" t="inlineStr">
        <is>
          <t>Hard</t>
        </is>
      </c>
      <c r="H3805" s="1" t="n">
        <v>868</v>
      </c>
      <c r="I3805" s="1" t="n">
        <v>2166</v>
      </c>
      <c r="J3805" s="9" t="n">
        <v>0.401</v>
      </c>
      <c r="K3805" s="1" t="inlineStr">
        <is>
          <t>No</t>
        </is>
      </c>
      <c r="L3805" s="1" t="inlineStr">
        <is>
          <t>No</t>
        </is>
      </c>
      <c r="M3805" s="1" t="inlineStr">
        <is>
          <t>No</t>
        </is>
      </c>
      <c r="N3805" s="1" t="inlineStr">
        <is>
          <t>Database</t>
        </is>
      </c>
      <c r="O380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806" ht="15.75" customHeight="1" s="12">
      <c r="A3806" s="1" t="n">
        <v>3401</v>
      </c>
      <c r="B3806" s="3">
        <f>HYPERLINK("https://leetcode.com/problems/find-circular-gift-exchange-chains/", "Find Circular Gift Exchange Chains")</f>
        <v/>
      </c>
      <c r="C3806" s="1" t="n">
        <v>3</v>
      </c>
      <c r="D3806" s="1" t="n">
        <v>1</v>
      </c>
      <c r="E3806" s="4">
        <f>IF(INDEX(C:C, ROW())+INDEX(D:D, ROW())=0, 0, INDEX(C:C, ROW())/(INDEX(C:C, ROW())+INDEX(D:D, ROW())))</f>
        <v/>
      </c>
      <c r="F3806" s="1" t="inlineStr">
        <is>
          <t>Database</t>
        </is>
      </c>
      <c r="G3806" s="1" t="inlineStr">
        <is>
          <t>Hard</t>
        </is>
      </c>
      <c r="H3806" s="1" t="n">
        <v>759</v>
      </c>
      <c r="I3806" s="1" t="n">
        <v>1481</v>
      </c>
      <c r="J3806" s="9" t="n">
        <v>0.512</v>
      </c>
      <c r="K3806" s="1" t="inlineStr">
        <is>
          <t>No</t>
        </is>
      </c>
      <c r="L3806" s="1" t="inlineStr">
        <is>
          <t>No</t>
        </is>
      </c>
      <c r="M3806" s="1" t="inlineStr">
        <is>
          <t>No</t>
        </is>
      </c>
      <c r="N3806" s="1" t="inlineStr">
        <is>
          <t>Database</t>
        </is>
      </c>
      <c r="O3806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807" ht="15.75" customHeight="1" s="12">
      <c r="A3807" s="1" t="n">
        <v>3520</v>
      </c>
      <c r="B3807" s="3">
        <f>HYPERLINK("https://leetcode.com/problems/minimum-threshold-for-inversion-pairs-count/", "Minimum Threshold for Inversion Pairs Count")</f>
        <v/>
      </c>
      <c r="C3807" s="1" t="n">
        <v>3</v>
      </c>
      <c r="D3807" s="1" t="n">
        <v>1</v>
      </c>
      <c r="E3807" s="4">
        <f>IF(INDEX(C:C, ROW())+INDEX(D:D, ROW())=0, 0, INDEX(C:C, ROW())/(INDEX(C:C, ROW())+INDEX(D:D, ROW())))</f>
        <v/>
      </c>
      <c r="F3807" s="1" t="inlineStr">
        <is>
          <t>Array, Binary Search, Binary Indexed Tree, Segment Tree</t>
        </is>
      </c>
      <c r="G3807" s="1" t="inlineStr">
        <is>
          <t>Medium</t>
        </is>
      </c>
      <c r="H3807" s="1" t="n">
        <v>601</v>
      </c>
      <c r="I3807" s="1" t="n">
        <v>1084</v>
      </c>
      <c r="J3807" s="9" t="n">
        <v>0.554</v>
      </c>
      <c r="K3807" s="1" t="inlineStr">
        <is>
          <t>No</t>
        </is>
      </c>
      <c r="L3807" s="1" t="inlineStr">
        <is>
          <t>No</t>
        </is>
      </c>
      <c r="M3807" s="1" t="inlineStr">
        <is>
          <t>No</t>
        </is>
      </c>
      <c r="N3807" s="1" t="inlineStr">
        <is>
          <t>Algorithms</t>
        </is>
      </c>
      <c r="O3807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808" ht="15.75" customHeight="1" s="12">
      <c r="A3808" s="1" t="n">
        <v>3526</v>
      </c>
      <c r="B3808" s="3">
        <f>HYPERLINK("https://leetcode.com/problems/range-xor-queries-with-subarray-reversals/", "Range XOR Queries with Subarray Reversals")</f>
        <v/>
      </c>
      <c r="C3808" s="1" t="n">
        <v>3</v>
      </c>
      <c r="D3808" s="1" t="n">
        <v>2</v>
      </c>
      <c r="E3808" s="4">
        <f>IF(INDEX(C:C, ROW())+INDEX(D:D, ROW())=0, 0, INDEX(C:C, ROW())/(INDEX(C:C, ROW())+INDEX(D:D, ROW())))</f>
        <v/>
      </c>
      <c r="F3808" s="1" t="inlineStr">
        <is>
          <t>Array, Tree, Binary Tree</t>
        </is>
      </c>
      <c r="G3808" s="1" t="inlineStr">
        <is>
          <t>Hard</t>
        </is>
      </c>
      <c r="H3808" s="1" t="n">
        <v>368</v>
      </c>
      <c r="I3808" s="1" t="n">
        <v>577</v>
      </c>
      <c r="J3808" s="9" t="n">
        <v>0.638</v>
      </c>
      <c r="K3808" s="1" t="inlineStr">
        <is>
          <t>No</t>
        </is>
      </c>
      <c r="L3808" s="1" t="inlineStr">
        <is>
          <t>No</t>
        </is>
      </c>
      <c r="M3808" s="1" t="inlineStr">
        <is>
          <t>No</t>
        </is>
      </c>
      <c r="N3808" s="1" t="inlineStr">
        <is>
          <t>Algorithms</t>
        </is>
      </c>
      <c r="O3808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809" ht="15.75" customHeight="1" s="12">
      <c r="A3809" s="1" t="n">
        <v>3749</v>
      </c>
      <c r="B3809" s="3">
        <f>HYPERLINK("https://leetcode.com/problems/evaluate-valid-expressions/", "Evaluate Valid Expressions")</f>
        <v/>
      </c>
      <c r="C3809" s="1" t="n">
        <v>3</v>
      </c>
      <c r="D3809" s="1" t="n">
        <v>1</v>
      </c>
      <c r="E3809" s="4">
        <f>IF(INDEX(C:C, ROW())+INDEX(D:D, ROW())=0, 0, INDEX(C:C, ROW())/(INDEX(C:C, ROW())+INDEX(D:D, ROW())))</f>
        <v/>
      </c>
      <c r="F3809" s="1" t="inlineStr">
        <is>
          <t>Hash Table, Math, String, Divide and Conquer, Stack</t>
        </is>
      </c>
      <c r="G3809" s="1" t="inlineStr">
        <is>
          <t>Hard</t>
        </is>
      </c>
      <c r="H3809" s="1" t="n">
        <v>346</v>
      </c>
      <c r="I3809" s="1" t="n">
        <v>454</v>
      </c>
      <c r="J3809" s="9" t="n">
        <v>0.762</v>
      </c>
      <c r="K3809" s="1" t="inlineStr">
        <is>
          <t>No</t>
        </is>
      </c>
      <c r="L3809" s="1" t="inlineStr">
        <is>
          <t>No</t>
        </is>
      </c>
      <c r="M3809" s="1" t="inlineStr">
        <is>
          <t>No</t>
        </is>
      </c>
      <c r="N3809" s="1" t="inlineStr">
        <is>
          <t>Algorithms</t>
        </is>
      </c>
      <c r="O3809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810" ht="15.75" customHeight="1" s="12">
      <c r="A3810" s="1" t="n">
        <v>3773</v>
      </c>
      <c r="B3810" s="3">
        <f>HYPERLINK("https://leetcode.com/problems/maximum-number-of-equal-length-runs/", "Maximum Number of Equal Length Runs")</f>
        <v/>
      </c>
      <c r="C3810" s="1" t="n">
        <v>3</v>
      </c>
      <c r="D3810" s="1" t="n">
        <v>3</v>
      </c>
      <c r="E3810" s="4">
        <f>IF(INDEX(C:C, ROW())+INDEX(D:D, ROW())=0, 0, INDEX(C:C, ROW())/(INDEX(C:C, ROW())+INDEX(D:D, ROW())))</f>
        <v/>
      </c>
      <c r="F3810" s="1" t="inlineStr">
        <is>
          <t>Hash Table, String, Counting</t>
        </is>
      </c>
      <c r="G3810" s="1" t="inlineStr">
        <is>
          <t>Medium</t>
        </is>
      </c>
      <c r="H3810" s="1" t="n">
        <v>490</v>
      </c>
      <c r="I3810" s="1" t="n">
        <v>579</v>
      </c>
      <c r="J3810" s="9" t="n">
        <v>0.846</v>
      </c>
      <c r="K3810" s="1" t="inlineStr">
        <is>
          <t>No</t>
        </is>
      </c>
      <c r="L3810" s="1" t="inlineStr">
        <is>
          <t>No</t>
        </is>
      </c>
      <c r="M3810" s="1" t="inlineStr">
        <is>
          <t>No</t>
        </is>
      </c>
      <c r="N3810" s="1" t="inlineStr">
        <is>
          <t>Algorithms</t>
        </is>
      </c>
      <c r="O3810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811" ht="15.75" customHeight="1" s="12">
      <c r="A3811" s="1" t="n">
        <v>3778</v>
      </c>
      <c r="B3811" s="3">
        <f>HYPERLINK("https://leetcode.com/problems/minimum-distance-excluding-one-maximum-weighted-edge/", "Minimum Distance Excluding One Maximum Weighted Edge")</f>
        <v/>
      </c>
      <c r="C3811" s="1" t="n">
        <v>3</v>
      </c>
      <c r="D3811" s="1" t="n">
        <v>3</v>
      </c>
      <c r="E3811" s="4">
        <f>IF(INDEX(C:C, ROW())+INDEX(D:D, ROW())=0, 0, INDEX(C:C, ROW())/(INDEX(C:C, ROW())+INDEX(D:D, ROW())))</f>
        <v/>
      </c>
      <c r="F3811" s="2" t="n"/>
      <c r="G3811" s="1" t="inlineStr">
        <is>
          <t>Medium</t>
        </is>
      </c>
      <c r="H3811" s="1" t="n">
        <v>254</v>
      </c>
      <c r="I3811" s="1" t="n">
        <v>503</v>
      </c>
      <c r="J3811" s="9" t="n">
        <v>0.505</v>
      </c>
      <c r="K3811" s="1" t="inlineStr">
        <is>
          <t>No</t>
        </is>
      </c>
      <c r="L3811" s="1" t="inlineStr">
        <is>
          <t>No</t>
        </is>
      </c>
      <c r="M3811" s="1" t="inlineStr">
        <is>
          <t>No</t>
        </is>
      </c>
      <c r="N3811" s="1" t="inlineStr">
        <is>
          <t>Algorithms</t>
        </is>
      </c>
      <c r="O3811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812" ht="15.75" customHeight="1" s="12">
      <c r="A3812" s="1" t="n">
        <v>3787</v>
      </c>
      <c r="B3812" s="3">
        <f>HYPERLINK("https://leetcode.com/problems/find-diameter-endpoints-of-a-tree/", "Find Diameter Endpoints of a Tree")</f>
        <v/>
      </c>
      <c r="C3812" s="1" t="n">
        <v>3</v>
      </c>
      <c r="D3812" s="1" t="n">
        <v>2</v>
      </c>
      <c r="E3812" s="4">
        <f>IF(INDEX(C:C, ROW())+INDEX(D:D, ROW())=0, 0, INDEX(C:C, ROW())/(INDEX(C:C, ROW())+INDEX(D:D, ROW())))</f>
        <v/>
      </c>
      <c r="F3812" s="1" t="inlineStr">
        <is>
          <t>Tree, Breadth-First Search, Graph Theory</t>
        </is>
      </c>
      <c r="G3812" s="1" t="inlineStr">
        <is>
          <t>Medium</t>
        </is>
      </c>
      <c r="H3812" s="1" t="n">
        <v>442</v>
      </c>
      <c r="I3812" s="1" t="n">
        <v>612</v>
      </c>
      <c r="J3812" s="9" t="n">
        <v>0.722</v>
      </c>
      <c r="K3812" s="1" t="inlineStr">
        <is>
          <t>No</t>
        </is>
      </c>
      <c r="L3812" s="1" t="inlineStr">
        <is>
          <t>No</t>
        </is>
      </c>
      <c r="M3812" s="1" t="inlineStr">
        <is>
          <t>No</t>
        </is>
      </c>
      <c r="N3812" s="1" t="inlineStr">
        <is>
          <t>Algorithms</t>
        </is>
      </c>
      <c r="O3812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813" ht="15.75" customHeight="1" s="12">
      <c r="A3813" s="1" t="n">
        <v>3807</v>
      </c>
      <c r="B3813" s="3">
        <f>HYPERLINK("https://leetcode.com/problems/minimum-cost-to-repair-edges-to-traverse-a-graph/", "Minimum Cost to Repair Edges to Traverse a Graph")</f>
        <v/>
      </c>
      <c r="C3813" s="1" t="n">
        <v>3</v>
      </c>
      <c r="D3813" s="1" t="n">
        <v>1</v>
      </c>
      <c r="E3813" s="4">
        <f>IF(INDEX(C:C, ROW())+INDEX(D:D, ROW())=0, 0, INDEX(C:C, ROW())/(INDEX(C:C, ROW())+INDEX(D:D, ROW())))</f>
        <v/>
      </c>
      <c r="F3813" s="1" t="inlineStr">
        <is>
          <t>Binary Search, Breadth-First Search, Graph Theory</t>
        </is>
      </c>
      <c r="G3813" s="1" t="inlineStr">
        <is>
          <t>Medium</t>
        </is>
      </c>
      <c r="H3813" s="1" t="n">
        <v>249</v>
      </c>
      <c r="I3813" s="1" t="n">
        <v>375</v>
      </c>
      <c r="J3813" s="9" t="n">
        <v>0.664</v>
      </c>
      <c r="K3813" s="1" t="inlineStr">
        <is>
          <t>No</t>
        </is>
      </c>
      <c r="L3813" s="1" t="inlineStr">
        <is>
          <t>No</t>
        </is>
      </c>
      <c r="M3813" s="1" t="inlineStr">
        <is>
          <t>No</t>
        </is>
      </c>
      <c r="N3813" s="1" t="inlineStr">
        <is>
          <t>Algorithms</t>
        </is>
      </c>
      <c r="O3813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814" ht="15.75" customHeight="1" s="12">
      <c r="A3814" s="1" t="n">
        <v>3416</v>
      </c>
      <c r="B3814" s="3">
        <f>HYPERLINK("https://leetcode.com/problems/subsequences-with-a-unique-middle-mode-ii/", "Subsequences with a Unique Middle Mode II")</f>
        <v/>
      </c>
      <c r="C3814" s="1" t="n">
        <v>2</v>
      </c>
      <c r="D3814" s="1" t="n">
        <v>2</v>
      </c>
      <c r="E3814" s="4">
        <f>IF(INDEX(C:C, ROW())+INDEX(D:D, ROW())=0, 0, INDEX(C:C, ROW())/(INDEX(C:C, ROW())+INDEX(D:D, ROW())))</f>
        <v/>
      </c>
      <c r="F3814" s="1" t="inlineStr">
        <is>
          <t>Array, Hash Table, Math, Combinatorics</t>
        </is>
      </c>
      <c r="G3814" s="1" t="inlineStr">
        <is>
          <t>Hard</t>
        </is>
      </c>
      <c r="H3814" s="1" t="n">
        <v>213</v>
      </c>
      <c r="I3814" s="1" t="n">
        <v>1646</v>
      </c>
      <c r="J3814" s="9" t="n">
        <v>0.129</v>
      </c>
      <c r="K3814" s="1" t="inlineStr">
        <is>
          <t>No</t>
        </is>
      </c>
      <c r="L3814" s="1" t="inlineStr">
        <is>
          <t>No</t>
        </is>
      </c>
      <c r="M3814" s="1" t="inlineStr">
        <is>
          <t>No</t>
        </is>
      </c>
      <c r="N3814" s="1" t="inlineStr">
        <is>
          <t>Algorithms</t>
        </is>
      </c>
      <c r="O3814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  <row r="3815" ht="15.75" customHeight="1" s="12">
      <c r="A3815" s="1" t="n">
        <v>3735</v>
      </c>
      <c r="B3815" s="3">
        <f>HYPERLINK("https://leetcode.com/problems/lexicographically-smallest-string-after-reverse-ii/", "Lexicographically Smallest String After Reverse II")</f>
        <v/>
      </c>
      <c r="C3815" s="1" t="n">
        <v>2</v>
      </c>
      <c r="D3815" s="1" t="n">
        <v>1</v>
      </c>
      <c r="E3815" s="4">
        <f>IF(INDEX(C:C, ROW())+INDEX(D:D, ROW())=0, 0, INDEX(C:C, ROW())/(INDEX(C:C, ROW())+INDEX(D:D, ROW())))</f>
        <v/>
      </c>
      <c r="F3815" s="1" t="inlineStr">
        <is>
          <t>String, Binary Search, Rolling Hash, Suffix Array, Hash Function</t>
        </is>
      </c>
      <c r="G3815" s="1" t="inlineStr">
        <is>
          <t>Hard</t>
        </is>
      </c>
      <c r="H3815" s="1" t="n">
        <v>253</v>
      </c>
      <c r="I3815" s="1" t="n">
        <v>553</v>
      </c>
      <c r="J3815" s="9" t="n">
        <v>0.458</v>
      </c>
      <c r="K3815" s="1" t="inlineStr">
        <is>
          <t>No</t>
        </is>
      </c>
      <c r="L3815" s="1" t="inlineStr">
        <is>
          <t>No</t>
        </is>
      </c>
      <c r="M3815" s="1" t="inlineStr">
        <is>
          <t>No</t>
        </is>
      </c>
      <c r="N3815" s="1" t="inlineStr">
        <is>
          <t>Algorithms</t>
        </is>
      </c>
      <c r="O3815" s="1">
        <f>CONCATENATE("Please solve the LeetCode problem '", INDIRECT("A" &amp; ROW()), ". ", INDIRECT("B" &amp; ROW()), "'. Follow these steps:", " 1. First Intuition: Provide a high-level explanation of your approach.", " 2. Problem-Solving Approach: Break down the solution into clear, logical steps.", " 3. Code Implementation: Provide the solution in ", O$1, " code.", " 4. Complexity Analysis: Analyze the time and space complexity of your solution.", " Answer in ", O$2, ".")</f>
        <v/>
      </c>
    </row>
  </sheetData>
  <autoFilter ref="$A$3:$O$3815"/>
  <conditionalFormatting sqref="F1:O3815">
    <cfRule type="cellIs" priority="1" operator="equal" dxfId="0" stopIfTrue="1">
      <formula>"Hard"</formula>
    </cfRule>
    <cfRule type="cellIs" priority="2" operator="equal" dxfId="1" stopIfTrue="1">
      <formula>"Medium"</formula>
    </cfRule>
    <cfRule type="cellIs" priority="3" operator="equal" dxfId="2" stopIfTrue="1">
      <formula>"Easy"</formula>
    </cfRule>
    <cfRule type="cellIs" priority="4" operator="equal" dxfId="0" stopIfTrue="1">
      <formula>"Hard"</formula>
    </cfRule>
    <cfRule type="cellIs" priority="5" operator="equal" dxfId="1" stopIfTrue="1">
      <formula>"Medium"</formula>
    </cfRule>
    <cfRule type="cellIs" priority="6" operator="equal" dxfId="2" stopIfTrue="1">
      <formula>"Easy"</formula>
    </cfRule>
    <cfRule type="cellIs" priority="7" operator="equal" dxfId="0" stopIfTrue="1">
      <formula>"Hard"</formula>
    </cfRule>
    <cfRule type="cellIs" priority="8" operator="equal" dxfId="1" stopIfTrue="1">
      <formula>"Medium"</formula>
    </cfRule>
    <cfRule type="cellIs" priority="9" operator="equal" dxfId="2" stopIfTrue="1">
      <formula>"Easy"</formula>
    </cfRule>
    <cfRule type="cellIs" priority="10" operator="equal" dxfId="0" stopIfTrue="1">
      <formula>"Hard"</formula>
    </cfRule>
    <cfRule type="cellIs" priority="11" operator="equal" dxfId="1" stopIfTrue="1">
      <formula>"Medium"</formula>
    </cfRule>
    <cfRule type="cellIs" priority="12" operator="equal" dxfId="2" stopIfTrue="1">
      <formula>"Easy"</formula>
    </cfRule>
    <cfRule type="cellIs" priority="13" operator="equal" dxfId="0" stopIfTrue="1">
      <formula>"Hard"</formula>
    </cfRule>
    <cfRule type="cellIs" priority="14" operator="equal" dxfId="1" stopIfTrue="1">
      <formula>"Medium"</formula>
    </cfRule>
    <cfRule type="cellIs" priority="15" operator="equal" dxfId="2" stopIfTrue="1">
      <formula>"Easy"</formula>
    </cfRule>
    <cfRule type="cellIs" priority="16" operator="equal" dxfId="0" stopIfTrue="1">
      <formula>"Hard"</formula>
    </cfRule>
    <cfRule type="cellIs" priority="17" operator="equal" dxfId="1" stopIfTrue="1">
      <formula>"Medium"</formula>
    </cfRule>
    <cfRule type="cellIs" priority="18" operator="equal" dxfId="2" stopIfTrue="1">
      <formula>"Easy"</formula>
    </cfRule>
    <cfRule type="cellIs" priority="19" operator="equal" dxfId="0" stopIfTrue="1">
      <formula>"Hard"</formula>
    </cfRule>
    <cfRule type="cellIs" priority="20" operator="equal" dxfId="1" stopIfTrue="1">
      <formula>"Medium"</formula>
    </cfRule>
    <cfRule type="cellIs" priority="21" operator="equal" dxfId="2" stopIfTrue="1">
      <formula>"Easy"</formula>
    </cfRule>
    <cfRule type="cellIs" priority="22" operator="equal" dxfId="0" stopIfTrue="1">
      <formula>"Hard"</formula>
    </cfRule>
    <cfRule type="cellIs" priority="23" operator="equal" dxfId="1" stopIfTrue="1">
      <formula>"Medium"</formula>
    </cfRule>
    <cfRule type="cellIs" priority="24" operator="equal" dxfId="2" stopIfTrue="1">
      <formula>"Easy"</formula>
    </cfRule>
    <cfRule type="cellIs" priority="25" operator="equal" dxfId="0" stopIfTrue="1">
      <formula>"Hard"</formula>
    </cfRule>
    <cfRule type="cellIs" priority="26" operator="equal" dxfId="1" stopIfTrue="1">
      <formula>"Medium"</formula>
    </cfRule>
    <cfRule type="cellIs" priority="27" operator="equal" dxfId="2" stopIfTrue="1">
      <formula>"Easy"</formula>
    </cfRule>
    <cfRule type="cellIs" priority="28" operator="equal" dxfId="0" stopIfTrue="1">
      <formula>"Hard"</formula>
    </cfRule>
    <cfRule type="cellIs" priority="29" operator="equal" dxfId="1" stopIfTrue="1">
      <formula>"Medium"</formula>
    </cfRule>
    <cfRule type="cellIs" priority="30" operator="equal" dxfId="2" stopIfTrue="1">
      <formula>"Easy"</formula>
    </cfRule>
    <cfRule type="cellIs" priority="31" operator="equal" dxfId="0" stopIfTrue="1">
      <formula>"Hard"</formula>
    </cfRule>
    <cfRule type="cellIs" priority="32" operator="equal" dxfId="1" stopIfTrue="1">
      <formula>"Medium"</formula>
    </cfRule>
    <cfRule type="cellIs" priority="33" operator="equal" dxfId="2" stopIfTrue="1">
      <formula>"Easy"</formula>
    </cfRule>
    <cfRule type="cellIs" priority="34" operator="equal" dxfId="0" stopIfTrue="1">
      <formula>"Hard"</formula>
    </cfRule>
    <cfRule type="cellIs" priority="35" operator="equal" dxfId="1" stopIfTrue="1">
      <formula>"Medium"</formula>
    </cfRule>
    <cfRule type="cellIs" priority="36" operator="equal" dxfId="2" stopIfTrue="1">
      <formula>"Easy"</formula>
    </cfRule>
    <cfRule type="cellIs" priority="37" operator="equal" dxfId="0" stopIfTrue="1">
      <formula>"Hard"</formula>
    </cfRule>
    <cfRule type="cellIs" priority="38" operator="equal" dxfId="1" stopIfTrue="1">
      <formula>"Medium"</formula>
    </cfRule>
    <cfRule type="cellIs" priority="39" operator="equal" dxfId="2" stopIfTrue="1">
      <formula>"Easy"</formula>
    </cfRule>
    <cfRule type="cellIs" priority="40" operator="equal" dxfId="0" stopIfTrue="1">
      <formula>"Hard"</formula>
    </cfRule>
    <cfRule type="cellIs" priority="41" operator="equal" dxfId="1" stopIfTrue="1">
      <formula>"Medium"</formula>
    </cfRule>
    <cfRule type="cellIs" priority="42" operator="equal" dxfId="2" stopIfTrue="1">
      <formula>"Easy"</formula>
    </cfRule>
  </conditionalFormatting>
  <conditionalFormatting sqref="L1:O3815">
    <cfRule type="cellIs" priority="43" operator="equal" dxfId="0" stopIfTrue="1">
      <formula>"No"</formula>
    </cfRule>
    <cfRule type="cellIs" priority="44" operator="equal" dxfId="2" stopIfTrue="1">
      <formula>"Yes"</formula>
    </cfRule>
    <cfRule type="cellIs" priority="45" operator="equal" dxfId="0" stopIfTrue="1">
      <formula>"No"</formula>
    </cfRule>
    <cfRule type="cellIs" priority="46" operator="equal" dxfId="2" stopIfTrue="1">
      <formula>"Yes"</formula>
    </cfRule>
    <cfRule type="cellIs" priority="47" operator="equal" dxfId="0" stopIfTrue="1">
      <formula>"No"</formula>
    </cfRule>
    <cfRule type="cellIs" priority="48" operator="equal" dxfId="2" stopIfTrue="1">
      <formula>"Yes"</formula>
    </cfRule>
    <cfRule type="cellIs" priority="49" operator="equal" dxfId="0" stopIfTrue="1">
      <formula>"No"</formula>
    </cfRule>
    <cfRule type="cellIs" priority="50" operator="equal" dxfId="2" stopIfTrue="1">
      <formula>"Yes"</formula>
    </cfRule>
    <cfRule type="cellIs" priority="51" operator="equal" dxfId="0" stopIfTrue="1">
      <formula>"No"</formula>
    </cfRule>
    <cfRule type="cellIs" priority="52" operator="equal" dxfId="2" stopIfTrue="1">
      <formula>"Yes"</formula>
    </cfRule>
    <cfRule type="cellIs" priority="53" operator="equal" dxfId="0" stopIfTrue="1">
      <formula>"No"</formula>
    </cfRule>
    <cfRule type="cellIs" priority="54" operator="equal" dxfId="2" stopIfTrue="1">
      <formula>"Yes"</formula>
    </cfRule>
    <cfRule type="cellIs" priority="55" operator="equal" dxfId="0" stopIfTrue="1">
      <formula>"No"</formula>
    </cfRule>
    <cfRule type="cellIs" priority="56" operator="equal" dxfId="2" stopIfTrue="1">
      <formula>"Yes"</formula>
    </cfRule>
    <cfRule type="cellIs" priority="57" operator="equal" dxfId="0" stopIfTrue="1">
      <formula>"No"</formula>
    </cfRule>
    <cfRule type="cellIs" priority="58" operator="equal" dxfId="2" stopIfTrue="1">
      <formula>"Yes"</formula>
    </cfRule>
    <cfRule type="cellIs" priority="59" operator="equal" dxfId="0" stopIfTrue="1">
      <formula>"No"</formula>
    </cfRule>
    <cfRule type="cellIs" priority="60" operator="equal" dxfId="2" stopIfTrue="1">
      <formula>"Yes"</formula>
    </cfRule>
    <cfRule type="cellIs" priority="61" operator="equal" dxfId="0" stopIfTrue="1">
      <formula>"No"</formula>
    </cfRule>
    <cfRule type="cellIs" priority="62" operator="equal" dxfId="2" stopIfTrue="1">
      <formula>"Yes"</formula>
    </cfRule>
    <cfRule type="cellIs" priority="63" operator="equal" dxfId="0" stopIfTrue="1">
      <formula>"No"</formula>
    </cfRule>
    <cfRule type="cellIs" priority="64" operator="equal" dxfId="2" stopIfTrue="1">
      <formula>"Yes"</formula>
    </cfRule>
    <cfRule type="cellIs" priority="65" operator="equal" dxfId="0" stopIfTrue="1">
      <formula>"No"</formula>
    </cfRule>
    <cfRule type="cellIs" priority="66" operator="equal" dxfId="2" stopIfTrue="1">
      <formula>"Yes"</formula>
    </cfRule>
    <cfRule type="cellIs" priority="67" operator="equal" dxfId="0" stopIfTrue="1">
      <formula>"No"</formula>
    </cfRule>
    <cfRule type="cellIs" priority="68" operator="equal" dxfId="2" stopIfTrue="1">
      <formula>"Yes"</formula>
    </cfRule>
    <cfRule type="cellIs" priority="69" operator="equal" dxfId="0" stopIfTrue="1">
      <formula>"No"</formula>
    </cfRule>
    <cfRule type="cellIs" priority="70" operator="equal" dxfId="2" stopIfTrue="1">
      <formula>"Yes"</formula>
    </cfRule>
  </conditionalFormatting>
  <conditionalFormatting sqref="K1:O3815">
    <cfRule type="cellIs" priority="71" operator="equal" dxfId="0" stopIfTrue="1">
      <formula>"No"</formula>
    </cfRule>
    <cfRule type="cellIs" priority="72" operator="equal" dxfId="2" stopIfTrue="1">
      <formula>"Yes"</formula>
    </cfRule>
    <cfRule type="cellIs" priority="73" operator="equal" dxfId="0" stopIfTrue="1">
      <formula>"No"</formula>
    </cfRule>
    <cfRule type="cellIs" priority="74" operator="equal" dxfId="2" stopIfTrue="1">
      <formula>"Yes"</formula>
    </cfRule>
    <cfRule type="cellIs" priority="75" operator="equal" dxfId="0" stopIfTrue="1">
      <formula>"No"</formula>
    </cfRule>
    <cfRule type="cellIs" priority="76" operator="equal" dxfId="2" stopIfTrue="1">
      <formula>"Yes"</formula>
    </cfRule>
    <cfRule type="cellIs" priority="77" operator="equal" dxfId="0" stopIfTrue="1">
      <formula>"No"</formula>
    </cfRule>
    <cfRule type="cellIs" priority="78" operator="equal" dxfId="2" stopIfTrue="1">
      <formula>"Yes"</formula>
    </cfRule>
    <cfRule type="cellIs" priority="79" operator="equal" dxfId="0" stopIfTrue="1">
      <formula>"No"</formula>
    </cfRule>
    <cfRule type="cellIs" priority="80" operator="equal" dxfId="2" stopIfTrue="1">
      <formula>"Yes"</formula>
    </cfRule>
    <cfRule type="cellIs" priority="81" operator="equal" dxfId="0" stopIfTrue="1">
      <formula>"No"</formula>
    </cfRule>
    <cfRule type="cellIs" priority="82" operator="equal" dxfId="2" stopIfTrue="1">
      <formula>"Yes"</formula>
    </cfRule>
    <cfRule type="cellIs" priority="83" operator="equal" dxfId="0" stopIfTrue="1">
      <formula>"No"</formula>
    </cfRule>
    <cfRule type="cellIs" priority="84" operator="equal" dxfId="2" stopIfTrue="1">
      <formula>"Yes"</formula>
    </cfRule>
    <cfRule type="cellIs" priority="85" operator="equal" dxfId="0" stopIfTrue="1">
      <formula>"No"</formula>
    </cfRule>
    <cfRule type="cellIs" priority="86" operator="equal" dxfId="2" stopIfTrue="1">
      <formula>"Yes"</formula>
    </cfRule>
    <cfRule type="cellIs" priority="87" operator="equal" dxfId="0" stopIfTrue="1">
      <formula>"No"</formula>
    </cfRule>
    <cfRule type="cellIs" priority="88" operator="equal" dxfId="2" stopIfTrue="1">
      <formula>"Yes"</formula>
    </cfRule>
    <cfRule type="cellIs" priority="89" operator="equal" dxfId="0" stopIfTrue="1">
      <formula>"No"</formula>
    </cfRule>
    <cfRule type="cellIs" priority="90" operator="equal" dxfId="2" stopIfTrue="1">
      <formula>"Yes"</formula>
    </cfRule>
    <cfRule type="cellIs" priority="91" operator="equal" dxfId="0" stopIfTrue="1">
      <formula>"No"</formula>
    </cfRule>
    <cfRule type="cellIs" priority="92" operator="equal" dxfId="2" stopIfTrue="1">
      <formula>"Yes"</formula>
    </cfRule>
    <cfRule type="cellIs" priority="93" operator="equal" dxfId="0" stopIfTrue="1">
      <formula>"No"</formula>
    </cfRule>
    <cfRule type="cellIs" priority="94" operator="equal" dxfId="2" stopIfTrue="1">
      <formula>"Yes"</formula>
    </cfRule>
    <cfRule type="cellIs" priority="95" operator="equal" dxfId="0" stopIfTrue="1">
      <formula>"No"</formula>
    </cfRule>
    <cfRule type="cellIs" priority="96" operator="equal" dxfId="2" stopIfTrue="1">
      <formula>"Yes"</formula>
    </cfRule>
    <cfRule type="cellIs" priority="97" operator="equal" dxfId="0" stopIfTrue="1">
      <formula>"No"</formula>
    </cfRule>
    <cfRule type="cellIs" priority="98" operator="equal" dxfId="2" stopIfTrue="1">
      <formula>"Yes"</formula>
    </cfRule>
  </conditionalFormatting>
  <conditionalFormatting sqref="J1:O3815">
    <cfRule type="cellIs" priority="99" operator="equal" dxfId="0" stopIfTrue="1">
      <formula>"No"</formula>
    </cfRule>
    <cfRule type="cellIs" priority="100" operator="equal" dxfId="2" stopIfTrue="1">
      <formula>"Yes"</formula>
    </cfRule>
    <cfRule type="cellIs" priority="101" operator="equal" dxfId="0" stopIfTrue="1">
      <formula>"No"</formula>
    </cfRule>
    <cfRule type="cellIs" priority="102" operator="equal" dxfId="2" stopIfTrue="1">
      <formula>"Yes"</formula>
    </cfRule>
    <cfRule type="cellIs" priority="103" operator="equal" dxfId="0" stopIfTrue="1">
      <formula>"No"</formula>
    </cfRule>
    <cfRule type="cellIs" priority="104" operator="equal" dxfId="2" stopIfTrue="1">
      <formula>"Yes"</formula>
    </cfRule>
    <cfRule type="cellIs" priority="105" operator="equal" dxfId="0" stopIfTrue="1">
      <formula>"No"</formula>
    </cfRule>
    <cfRule type="cellIs" priority="106" operator="equal" dxfId="2" stopIfTrue="1">
      <formula>"Yes"</formula>
    </cfRule>
    <cfRule type="cellIs" priority="107" operator="equal" dxfId="0" stopIfTrue="1">
      <formula>"No"</formula>
    </cfRule>
    <cfRule type="cellIs" priority="108" operator="equal" dxfId="2" stopIfTrue="1">
      <formula>"Yes"</formula>
    </cfRule>
    <cfRule type="cellIs" priority="109" operator="equal" dxfId="0" stopIfTrue="1">
      <formula>"No"</formula>
    </cfRule>
    <cfRule type="cellIs" priority="110" operator="equal" dxfId="2" stopIfTrue="1">
      <formula>"Yes"</formula>
    </cfRule>
    <cfRule type="cellIs" priority="111" operator="equal" dxfId="0" stopIfTrue="1">
      <formula>"No"</formula>
    </cfRule>
    <cfRule type="cellIs" priority="112" operator="equal" dxfId="2" stopIfTrue="1">
      <formula>"Yes"</formula>
    </cfRule>
    <cfRule type="cellIs" priority="113" operator="equal" dxfId="0" stopIfTrue="1">
      <formula>"No"</formula>
    </cfRule>
    <cfRule type="cellIs" priority="114" operator="equal" dxfId="2" stopIfTrue="1">
      <formula>"Yes"</formula>
    </cfRule>
    <cfRule type="cellIs" priority="115" operator="equal" dxfId="0" stopIfTrue="1">
      <formula>"No"</formula>
    </cfRule>
    <cfRule type="cellIs" priority="116" operator="equal" dxfId="2" stopIfTrue="1">
      <formula>"Yes"</formula>
    </cfRule>
    <cfRule type="cellIs" priority="117" operator="equal" dxfId="0" stopIfTrue="1">
      <formula>"No"</formula>
    </cfRule>
    <cfRule type="cellIs" priority="118" operator="equal" dxfId="2" stopIfTrue="1">
      <formula>"Yes"</formula>
    </cfRule>
    <cfRule type="cellIs" priority="119" operator="equal" dxfId="0" stopIfTrue="1">
      <formula>"No"</formula>
    </cfRule>
    <cfRule type="cellIs" priority="120" operator="equal" dxfId="2" stopIfTrue="1">
      <formula>"Yes"</formula>
    </cfRule>
    <cfRule type="cellIs" priority="121" operator="equal" dxfId="0" stopIfTrue="1">
      <formula>"No"</formula>
    </cfRule>
    <cfRule type="cellIs" priority="122" operator="equal" dxfId="2" stopIfTrue="1">
      <formula>"Yes"</formula>
    </cfRule>
    <cfRule type="cellIs" priority="123" operator="equal" dxfId="0" stopIfTrue="1">
      <formula>"No"</formula>
    </cfRule>
    <cfRule type="cellIs" priority="124" operator="equal" dxfId="2" stopIfTrue="1">
      <formula>"Yes"</formula>
    </cfRule>
    <cfRule type="cellIs" priority="125" operator="equal" dxfId="0" stopIfTrue="1">
      <formula>"No"</formula>
    </cfRule>
    <cfRule type="cellIs" priority="126" operator="equal" dxfId="2" stopIfTrue="1">
      <formula>"Yes"</formula>
    </cfRule>
  </conditionalFormatting>
  <conditionalFormatting sqref="G4:G3815">
    <cfRule type="cellIs" priority="127" operator="equal" dxfId="0" stopIfTrue="1">
      <formula>"Hard"</formula>
    </cfRule>
    <cfRule type="cellIs" priority="128" operator="equal" dxfId="1" stopIfTrue="1">
      <formula>"Medium"</formula>
    </cfRule>
    <cfRule type="cellIs" priority="129" operator="equal" dxfId="2" stopIfTrue="1">
      <formula>"Easy"</formula>
    </cfRule>
    <cfRule type="cellIs" priority="130" operator="equal" dxfId="0" stopIfTrue="1">
      <formula>"Hard"</formula>
    </cfRule>
    <cfRule type="cellIs" priority="131" operator="equal" dxfId="1" stopIfTrue="1">
      <formula>"Medium"</formula>
    </cfRule>
    <cfRule type="cellIs" priority="132" operator="equal" dxfId="2" stopIfTrue="1">
      <formula>"Easy"</formula>
    </cfRule>
  </conditionalFormatting>
  <conditionalFormatting sqref="L4:L3815">
    <cfRule type="cellIs" priority="133" operator="equal" dxfId="0" stopIfTrue="1">
      <formula>"No"</formula>
    </cfRule>
    <cfRule type="cellIs" priority="134" operator="equal" dxfId="2" stopIfTrue="1">
      <formula>"Yes"</formula>
    </cfRule>
    <cfRule type="cellIs" priority="135" operator="equal" dxfId="0" stopIfTrue="1">
      <formula>"No"</formula>
    </cfRule>
    <cfRule type="cellIs" priority="136" operator="equal" dxfId="2" stopIfTrue="1">
      <formula>"Yes"</formula>
    </cfRule>
  </conditionalFormatting>
  <conditionalFormatting sqref="K4:K3815">
    <cfRule type="cellIs" priority="137" operator="equal" dxfId="0" stopIfTrue="1">
      <formula>"No"</formula>
    </cfRule>
    <cfRule type="cellIs" priority="138" operator="equal" dxfId="2" stopIfTrue="1">
      <formula>"Yes"</formula>
    </cfRule>
    <cfRule type="cellIs" priority="139" operator="equal" dxfId="0" stopIfTrue="1">
      <formula>"No"</formula>
    </cfRule>
    <cfRule type="cellIs" priority="140" operator="equal" dxfId="2" stopIfTrue="1">
      <formula>"Yes"</formula>
    </cfRule>
  </conditionalFormatting>
  <conditionalFormatting sqref="J4:J3815">
    <cfRule type="cellIs" priority="141" operator="equal" dxfId="0" stopIfTrue="1">
      <formula>"No"</formula>
    </cfRule>
    <cfRule type="cellIs" priority="142" operator="equal" dxfId="2" stopIfTrue="1">
      <formula>"Yes"</formula>
    </cfRule>
    <cfRule type="cellIs" priority="143" operator="equal" dxfId="0" stopIfTrue="1">
      <formula>"No"</formula>
    </cfRule>
    <cfRule type="cellIs" priority="144" operator="equal" dxfId="2" stopIfTrue="1">
      <formula>"Yes"</formula>
    </cfRule>
  </conditionalFormatting>
  <conditionalFormatting sqref="A2 D1:D2 F1:O3815">
    <cfRule type="cellIs" priority="145" operator="equal" dxfId="0" stopIfTrue="1">
      <formula>"Hard"</formula>
    </cfRule>
    <cfRule type="cellIs" priority="146" operator="equal" dxfId="1" stopIfTrue="1">
      <formula>"Medium"</formula>
    </cfRule>
    <cfRule type="cellIs" priority="147" operator="equal" dxfId="2" stopIfTrue="1">
      <formula>"Easy"</formula>
    </cfRule>
    <cfRule type="cellIs" priority="148" operator="equal" dxfId="0" stopIfTrue="1">
      <formula>"Hard"</formula>
    </cfRule>
    <cfRule type="cellIs" priority="149" operator="equal" dxfId="1" stopIfTrue="1">
      <formula>"Medium"</formula>
    </cfRule>
    <cfRule type="cellIs" priority="150" operator="equal" dxfId="2" stopIfTrue="1">
      <formula>"Easy"</formula>
    </cfRule>
    <cfRule type="cellIs" priority="151" operator="equal" dxfId="0" stopIfTrue="1">
      <formula>"Hard"</formula>
    </cfRule>
    <cfRule type="cellIs" priority="152" operator="equal" dxfId="1" stopIfTrue="1">
      <formula>"Medium"</formula>
    </cfRule>
    <cfRule type="cellIs" priority="153" operator="equal" dxfId="2" stopIfTrue="1">
      <formula>"Easy"</formula>
    </cfRule>
    <cfRule type="cellIs" priority="154" operator="equal" dxfId="0" stopIfTrue="1">
      <formula>"Hard"</formula>
    </cfRule>
    <cfRule type="cellIs" priority="155" operator="equal" dxfId="1" stopIfTrue="1">
      <formula>"Medium"</formula>
    </cfRule>
    <cfRule type="cellIs" priority="156" operator="equal" dxfId="2" stopIfTrue="1">
      <formula>"Easy"</formula>
    </cfRule>
    <cfRule type="cellIs" priority="157" operator="equal" dxfId="0" stopIfTrue="1">
      <formula>"Hard"</formula>
    </cfRule>
    <cfRule type="cellIs" priority="158" operator="equal" dxfId="1" stopIfTrue="1">
      <formula>"Medium"</formula>
    </cfRule>
    <cfRule type="cellIs" priority="159" operator="equal" dxfId="2" stopIfTrue="1">
      <formula>"Easy"</formula>
    </cfRule>
    <cfRule type="cellIs" priority="160" operator="equal" dxfId="0" stopIfTrue="1">
      <formula>"Hard"</formula>
    </cfRule>
    <cfRule type="cellIs" priority="161" operator="equal" dxfId="1" stopIfTrue="1">
      <formula>"Medium"</formula>
    </cfRule>
    <cfRule type="cellIs" priority="162" operator="equal" dxfId="2" stopIfTrue="1">
      <formula>"Easy"</formula>
    </cfRule>
  </conditionalFormatting>
  <conditionalFormatting sqref="A2 L1:O3815">
    <cfRule type="cellIs" priority="163" operator="equal" dxfId="0" stopIfTrue="1">
      <formula>"No"</formula>
    </cfRule>
    <cfRule type="cellIs" priority="164" operator="equal" dxfId="2" stopIfTrue="1">
      <formula>"Yes"</formula>
    </cfRule>
    <cfRule type="cellIs" priority="165" operator="equal" dxfId="0" stopIfTrue="1">
      <formula>"No"</formula>
    </cfRule>
    <cfRule type="cellIs" priority="166" operator="equal" dxfId="2" stopIfTrue="1">
      <formula>"Yes"</formula>
    </cfRule>
    <cfRule type="cellIs" priority="167" operator="equal" dxfId="0" stopIfTrue="1">
      <formula>"No"</formula>
    </cfRule>
    <cfRule type="cellIs" priority="168" operator="equal" dxfId="2" stopIfTrue="1">
      <formula>"Yes"</formula>
    </cfRule>
    <cfRule type="cellIs" priority="169" operator="equal" dxfId="0" stopIfTrue="1">
      <formula>"No"</formula>
    </cfRule>
    <cfRule type="cellIs" priority="170" operator="equal" dxfId="2" stopIfTrue="1">
      <formula>"Yes"</formula>
    </cfRule>
    <cfRule type="cellIs" priority="171" operator="equal" dxfId="0" stopIfTrue="1">
      <formula>"No"</formula>
    </cfRule>
    <cfRule type="cellIs" priority="172" operator="equal" dxfId="2" stopIfTrue="1">
      <formula>"Yes"</formula>
    </cfRule>
    <cfRule type="cellIs" priority="173" operator="equal" dxfId="0" stopIfTrue="1">
      <formula>"No"</formula>
    </cfRule>
    <cfRule type="cellIs" priority="174" operator="equal" dxfId="2" stopIfTrue="1">
      <formula>"Yes"</formula>
    </cfRule>
  </conditionalFormatting>
  <conditionalFormatting sqref="A2 K1:O3815">
    <cfRule type="cellIs" priority="175" operator="equal" dxfId="0" stopIfTrue="1">
      <formula>"No"</formula>
    </cfRule>
    <cfRule type="cellIs" priority="176" operator="equal" dxfId="2" stopIfTrue="1">
      <formula>"Yes"</formula>
    </cfRule>
    <cfRule type="cellIs" priority="177" operator="equal" dxfId="0" stopIfTrue="1">
      <formula>"No"</formula>
    </cfRule>
    <cfRule type="cellIs" priority="178" operator="equal" dxfId="2" stopIfTrue="1">
      <formula>"Yes"</formula>
    </cfRule>
    <cfRule type="cellIs" priority="179" operator="equal" dxfId="0" stopIfTrue="1">
      <formula>"No"</formula>
    </cfRule>
    <cfRule type="cellIs" priority="180" operator="equal" dxfId="2" stopIfTrue="1">
      <formula>"Yes"</formula>
    </cfRule>
    <cfRule type="cellIs" priority="181" operator="equal" dxfId="0" stopIfTrue="1">
      <formula>"No"</formula>
    </cfRule>
    <cfRule type="cellIs" priority="182" operator="equal" dxfId="2" stopIfTrue="1">
      <formula>"Yes"</formula>
    </cfRule>
    <cfRule type="cellIs" priority="183" operator="equal" dxfId="0" stopIfTrue="1">
      <formula>"No"</formula>
    </cfRule>
    <cfRule type="cellIs" priority="184" operator="equal" dxfId="2" stopIfTrue="1">
      <formula>"Yes"</formula>
    </cfRule>
    <cfRule type="cellIs" priority="185" operator="equal" dxfId="0" stopIfTrue="1">
      <formula>"No"</formula>
    </cfRule>
    <cfRule type="cellIs" priority="186" operator="equal" dxfId="2" stopIfTrue="1">
      <formula>"Yes"</formula>
    </cfRule>
  </conditionalFormatting>
  <conditionalFormatting sqref="A2 J1:O3815">
    <cfRule type="cellIs" priority="187" operator="equal" dxfId="0" stopIfTrue="1">
      <formula>"No"</formula>
    </cfRule>
    <cfRule type="cellIs" priority="188" operator="equal" dxfId="2" stopIfTrue="1">
      <formula>"Yes"</formula>
    </cfRule>
    <cfRule type="cellIs" priority="189" operator="equal" dxfId="0" stopIfTrue="1">
      <formula>"No"</formula>
    </cfRule>
    <cfRule type="cellIs" priority="190" operator="equal" dxfId="2" stopIfTrue="1">
      <formula>"Yes"</formula>
    </cfRule>
    <cfRule type="cellIs" priority="191" operator="equal" dxfId="0" stopIfTrue="1">
      <formula>"No"</formula>
    </cfRule>
    <cfRule type="cellIs" priority="192" operator="equal" dxfId="2" stopIfTrue="1">
      <formula>"Yes"</formula>
    </cfRule>
    <cfRule type="cellIs" priority="193" operator="equal" dxfId="0" stopIfTrue="1">
      <formula>"No"</formula>
    </cfRule>
    <cfRule type="cellIs" priority="194" operator="equal" dxfId="2" stopIfTrue="1">
      <formula>"Yes"</formula>
    </cfRule>
    <cfRule type="cellIs" priority="195" operator="equal" dxfId="0" stopIfTrue="1">
      <formula>"No"</formula>
    </cfRule>
    <cfRule type="cellIs" priority="196" operator="equal" dxfId="2" stopIfTrue="1">
      <formula>"Yes"</formula>
    </cfRule>
    <cfRule type="cellIs" priority="197" operator="equal" dxfId="0" stopIfTrue="1">
      <formula>"No"</formula>
    </cfRule>
    <cfRule type="cellIs" priority="198" operator="equal" dxfId="2" stopIfTrue="1">
      <formula>"Yes"</formula>
    </cfRule>
  </conditionalFormatting>
  <conditionalFormatting sqref="A2 D1:D2 F1:O4">
    <cfRule type="cellIs" priority="199" operator="equal" dxfId="0" stopIfTrue="1">
      <formula>"Hard"</formula>
    </cfRule>
    <cfRule type="cellIs" priority="200" operator="equal" dxfId="1" stopIfTrue="1">
      <formula>"Medium"</formula>
    </cfRule>
    <cfRule type="cellIs" priority="201" operator="equal" dxfId="2" stopIfTrue="1">
      <formula>"Easy"</formula>
    </cfRule>
    <cfRule type="cellIs" priority="202" operator="equal" dxfId="0" stopIfTrue="1">
      <formula>"Hard"</formula>
    </cfRule>
    <cfRule type="cellIs" priority="203" operator="equal" dxfId="1" stopIfTrue="1">
      <formula>"Medium"</formula>
    </cfRule>
    <cfRule type="cellIs" priority="204" operator="equal" dxfId="2" stopIfTrue="1">
      <formula>"Easy"</formula>
    </cfRule>
    <cfRule type="cellIs" priority="205" operator="equal" dxfId="0" stopIfTrue="1">
      <formula>"Hard"</formula>
    </cfRule>
    <cfRule type="cellIs" priority="206" operator="equal" dxfId="1" stopIfTrue="1">
      <formula>"Medium"</formula>
    </cfRule>
    <cfRule type="cellIs" priority="207" operator="equal" dxfId="2" stopIfTrue="1">
      <formula>"Easy"</formula>
    </cfRule>
    <cfRule type="cellIs" priority="208" operator="equal" dxfId="0" stopIfTrue="1">
      <formula>"Hard"</formula>
    </cfRule>
    <cfRule type="cellIs" priority="209" operator="equal" dxfId="1" stopIfTrue="1">
      <formula>"Medium"</formula>
    </cfRule>
    <cfRule type="cellIs" priority="210" operator="equal" dxfId="2" stopIfTrue="1">
      <formula>"Easy"</formula>
    </cfRule>
    <cfRule type="cellIs" priority="211" operator="equal" dxfId="0" stopIfTrue="1">
      <formula>"Hard"</formula>
    </cfRule>
    <cfRule type="cellIs" priority="212" operator="equal" dxfId="1" stopIfTrue="1">
      <formula>"Medium"</formula>
    </cfRule>
    <cfRule type="cellIs" priority="213" operator="equal" dxfId="2" stopIfTrue="1">
      <formula>"Easy"</formula>
    </cfRule>
    <cfRule type="cellIs" priority="214" operator="equal" dxfId="0" stopIfTrue="1">
      <formula>"Hard"</formula>
    </cfRule>
    <cfRule type="cellIs" priority="215" operator="equal" dxfId="1" stopIfTrue="1">
      <formula>"Medium"</formula>
    </cfRule>
    <cfRule type="cellIs" priority="216" operator="equal" dxfId="2" stopIfTrue="1">
      <formula>"Easy"</formula>
    </cfRule>
    <cfRule type="cellIs" priority="217" operator="equal" dxfId="0" stopIfTrue="1">
      <formula>"Hard"</formula>
    </cfRule>
    <cfRule type="cellIs" priority="218" operator="equal" dxfId="1" stopIfTrue="1">
      <formula>"Medium"</formula>
    </cfRule>
    <cfRule type="cellIs" priority="219" operator="equal" dxfId="2" stopIfTrue="1">
      <formula>"Easy"</formula>
    </cfRule>
    <cfRule type="cellIs" priority="220" operator="equal" dxfId="0" stopIfTrue="1">
      <formula>"Hard"</formula>
    </cfRule>
    <cfRule type="cellIs" priority="221" operator="equal" dxfId="1" stopIfTrue="1">
      <formula>"Medium"</formula>
    </cfRule>
    <cfRule type="cellIs" priority="222" operator="equal" dxfId="2" stopIfTrue="1">
      <formula>"Easy"</formula>
    </cfRule>
    <cfRule type="cellIs" priority="223" operator="equal" dxfId="0" stopIfTrue="1">
      <formula>"Hard"</formula>
    </cfRule>
    <cfRule type="cellIs" priority="224" operator="equal" dxfId="1" stopIfTrue="1">
      <formula>"Medium"</formula>
    </cfRule>
    <cfRule type="cellIs" priority="225" operator="equal" dxfId="2" stopIfTrue="1">
      <formula>"Easy"</formula>
    </cfRule>
    <cfRule type="cellIs" priority="226" operator="equal" dxfId="0" stopIfTrue="1">
      <formula>"Hard"</formula>
    </cfRule>
    <cfRule type="cellIs" priority="227" operator="equal" dxfId="1" stopIfTrue="1">
      <formula>"Medium"</formula>
    </cfRule>
    <cfRule type="cellIs" priority="228" operator="equal" dxfId="2" stopIfTrue="1">
      <formula>"Easy"</formula>
    </cfRule>
    <cfRule type="cellIs" priority="229" operator="equal" dxfId="0" stopIfTrue="1">
      <formula>"Hard"</formula>
    </cfRule>
    <cfRule type="cellIs" priority="230" operator="equal" dxfId="1" stopIfTrue="1">
      <formula>"Medium"</formula>
    </cfRule>
    <cfRule type="cellIs" priority="231" operator="equal" dxfId="2" stopIfTrue="1">
      <formula>"Easy"</formula>
    </cfRule>
    <cfRule type="cellIs" priority="232" operator="equal" dxfId="0" stopIfTrue="1">
      <formula>"Hard"</formula>
    </cfRule>
    <cfRule type="cellIs" priority="233" operator="equal" dxfId="1" stopIfTrue="1">
      <formula>"Medium"</formula>
    </cfRule>
    <cfRule type="cellIs" priority="234" operator="equal" dxfId="2" stopIfTrue="1">
      <formula>"Easy"</formula>
    </cfRule>
    <cfRule type="cellIs" priority="235" operator="equal" dxfId="0" stopIfTrue="1">
      <formula>"Hard"</formula>
    </cfRule>
    <cfRule type="cellIs" priority="236" operator="equal" dxfId="1" stopIfTrue="1">
      <formula>"Medium"</formula>
    </cfRule>
    <cfRule type="cellIs" priority="237" operator="equal" dxfId="2" stopIfTrue="1">
      <formula>"Easy"</formula>
    </cfRule>
    <cfRule type="cellIs" priority="238" operator="equal" dxfId="0" stopIfTrue="1">
      <formula>"Hard"</formula>
    </cfRule>
    <cfRule type="cellIs" priority="239" operator="equal" dxfId="1" stopIfTrue="1">
      <formula>"Medium"</formula>
    </cfRule>
    <cfRule type="cellIs" priority="240" operator="equal" dxfId="2" stopIfTrue="1">
      <formula>"Easy"</formula>
    </cfRule>
    <cfRule type="cellIs" priority="241" operator="equal" dxfId="0" stopIfTrue="1">
      <formula>"Hard"</formula>
    </cfRule>
    <cfRule type="cellIs" priority="242" operator="equal" dxfId="1" stopIfTrue="1">
      <formula>"Medium"</formula>
    </cfRule>
    <cfRule type="cellIs" priority="243" operator="equal" dxfId="2" stopIfTrue="1">
      <formula>"Easy"</formula>
    </cfRule>
    <cfRule type="cellIs" priority="244" operator="equal" dxfId="0" stopIfTrue="1">
      <formula>"Hard"</formula>
    </cfRule>
    <cfRule type="cellIs" priority="245" operator="equal" dxfId="1" stopIfTrue="1">
      <formula>"Medium"</formula>
    </cfRule>
    <cfRule type="cellIs" priority="246" operator="equal" dxfId="2" stopIfTrue="1">
      <formula>"Easy"</formula>
    </cfRule>
    <cfRule type="cellIs" priority="247" operator="equal" dxfId="0" stopIfTrue="1">
      <formula>"Hard"</formula>
    </cfRule>
    <cfRule type="cellIs" priority="248" operator="equal" dxfId="1" stopIfTrue="1">
      <formula>"Medium"</formula>
    </cfRule>
    <cfRule type="cellIs" priority="249" operator="equal" dxfId="2" stopIfTrue="1">
      <formula>"Easy"</formula>
    </cfRule>
  </conditionalFormatting>
  <conditionalFormatting sqref="A2 L1:O4">
    <cfRule type="cellIs" priority="250" operator="equal" dxfId="0" stopIfTrue="1">
      <formula>"No"</formula>
    </cfRule>
    <cfRule type="cellIs" priority="251" operator="equal" dxfId="2" stopIfTrue="1">
      <formula>"Yes"</formula>
    </cfRule>
    <cfRule type="cellIs" priority="252" operator="equal" dxfId="0" stopIfTrue="1">
      <formula>"No"</formula>
    </cfRule>
    <cfRule type="cellIs" priority="253" operator="equal" dxfId="2" stopIfTrue="1">
      <formula>"Yes"</formula>
    </cfRule>
    <cfRule type="cellIs" priority="254" operator="equal" dxfId="0" stopIfTrue="1">
      <formula>"No"</formula>
    </cfRule>
    <cfRule type="cellIs" priority="255" operator="equal" dxfId="2" stopIfTrue="1">
      <formula>"Yes"</formula>
    </cfRule>
    <cfRule type="cellIs" priority="256" operator="equal" dxfId="0" stopIfTrue="1">
      <formula>"No"</formula>
    </cfRule>
    <cfRule type="cellIs" priority="257" operator="equal" dxfId="2" stopIfTrue="1">
      <formula>"Yes"</formula>
    </cfRule>
    <cfRule type="cellIs" priority="258" operator="equal" dxfId="0" stopIfTrue="1">
      <formula>"No"</formula>
    </cfRule>
    <cfRule type="cellIs" priority="259" operator="equal" dxfId="2" stopIfTrue="1">
      <formula>"Yes"</formula>
    </cfRule>
    <cfRule type="cellIs" priority="260" operator="equal" dxfId="0" stopIfTrue="1">
      <formula>"No"</formula>
    </cfRule>
    <cfRule type="cellIs" priority="261" operator="equal" dxfId="2" stopIfTrue="1">
      <formula>"Yes"</formula>
    </cfRule>
    <cfRule type="cellIs" priority="262" operator="equal" dxfId="0" stopIfTrue="1">
      <formula>"No"</formula>
    </cfRule>
    <cfRule type="cellIs" priority="263" operator="equal" dxfId="2" stopIfTrue="1">
      <formula>"Yes"</formula>
    </cfRule>
    <cfRule type="cellIs" priority="264" operator="equal" dxfId="0" stopIfTrue="1">
      <formula>"No"</formula>
    </cfRule>
    <cfRule type="cellIs" priority="265" operator="equal" dxfId="2" stopIfTrue="1">
      <formula>"Yes"</formula>
    </cfRule>
    <cfRule type="cellIs" priority="266" operator="equal" dxfId="0" stopIfTrue="1">
      <formula>"No"</formula>
    </cfRule>
    <cfRule type="cellIs" priority="267" operator="equal" dxfId="2" stopIfTrue="1">
      <formula>"Yes"</formula>
    </cfRule>
    <cfRule type="cellIs" priority="268" operator="equal" dxfId="0" stopIfTrue="1">
      <formula>"No"</formula>
    </cfRule>
    <cfRule type="cellIs" priority="269" operator="equal" dxfId="2" stopIfTrue="1">
      <formula>"Yes"</formula>
    </cfRule>
  </conditionalFormatting>
  <conditionalFormatting sqref="A2 K1:O4">
    <cfRule type="cellIs" priority="270" operator="equal" dxfId="0" stopIfTrue="1">
      <formula>"No"</formula>
    </cfRule>
    <cfRule type="cellIs" priority="271" operator="equal" dxfId="2" stopIfTrue="1">
      <formula>"Yes"</formula>
    </cfRule>
    <cfRule type="cellIs" priority="272" operator="equal" dxfId="0" stopIfTrue="1">
      <formula>"No"</formula>
    </cfRule>
    <cfRule type="cellIs" priority="273" operator="equal" dxfId="2" stopIfTrue="1">
      <formula>"Yes"</formula>
    </cfRule>
    <cfRule type="cellIs" priority="274" operator="equal" dxfId="0" stopIfTrue="1">
      <formula>"No"</formula>
    </cfRule>
    <cfRule type="cellIs" priority="275" operator="equal" dxfId="2" stopIfTrue="1">
      <formula>"Yes"</formula>
    </cfRule>
    <cfRule type="cellIs" priority="276" operator="equal" dxfId="0" stopIfTrue="1">
      <formula>"No"</formula>
    </cfRule>
    <cfRule type="cellIs" priority="277" operator="equal" dxfId="2" stopIfTrue="1">
      <formula>"Yes"</formula>
    </cfRule>
    <cfRule type="cellIs" priority="278" operator="equal" dxfId="0" stopIfTrue="1">
      <formula>"No"</formula>
    </cfRule>
    <cfRule type="cellIs" priority="279" operator="equal" dxfId="2" stopIfTrue="1">
      <formula>"Yes"</formula>
    </cfRule>
    <cfRule type="cellIs" priority="280" operator="equal" dxfId="0" stopIfTrue="1">
      <formula>"No"</formula>
    </cfRule>
    <cfRule type="cellIs" priority="281" operator="equal" dxfId="2" stopIfTrue="1">
      <formula>"Yes"</formula>
    </cfRule>
    <cfRule type="cellIs" priority="282" operator="equal" dxfId="0" stopIfTrue="1">
      <formula>"No"</formula>
    </cfRule>
    <cfRule type="cellIs" priority="283" operator="equal" dxfId="2" stopIfTrue="1">
      <formula>"Yes"</formula>
    </cfRule>
    <cfRule type="cellIs" priority="284" operator="equal" dxfId="0" stopIfTrue="1">
      <formula>"No"</formula>
    </cfRule>
    <cfRule type="cellIs" priority="285" operator="equal" dxfId="2" stopIfTrue="1">
      <formula>"Yes"</formula>
    </cfRule>
    <cfRule type="cellIs" priority="286" operator="equal" dxfId="0" stopIfTrue="1">
      <formula>"No"</formula>
    </cfRule>
    <cfRule type="cellIs" priority="287" operator="equal" dxfId="2" stopIfTrue="1">
      <formula>"Yes"</formula>
    </cfRule>
    <cfRule type="cellIs" priority="288" operator="equal" dxfId="0" stopIfTrue="1">
      <formula>"No"</formula>
    </cfRule>
    <cfRule type="cellIs" priority="289" operator="equal" dxfId="2" stopIfTrue="1">
      <formula>"Yes"</formula>
    </cfRule>
  </conditionalFormatting>
  <conditionalFormatting sqref="A2 J1:O4">
    <cfRule type="cellIs" priority="290" operator="equal" dxfId="0" stopIfTrue="1">
      <formula>"No"</formula>
    </cfRule>
    <cfRule type="cellIs" priority="291" operator="equal" dxfId="2" stopIfTrue="1">
      <formula>"Yes"</formula>
    </cfRule>
    <cfRule type="cellIs" priority="292" operator="equal" dxfId="0" stopIfTrue="1">
      <formula>"No"</formula>
    </cfRule>
    <cfRule type="cellIs" priority="293" operator="equal" dxfId="2" stopIfTrue="1">
      <formula>"Yes"</formula>
    </cfRule>
  </conditionalFormatting>
  <conditionalFormatting sqref="A2 D2 I1 J2:J4 K1:O4">
    <cfRule type="cellIs" priority="294" operator="equal" dxfId="0" stopIfTrue="1">
      <formula>"No"</formula>
    </cfRule>
    <cfRule type="cellIs" priority="295" operator="equal" dxfId="2" stopIfTrue="1">
      <formula>"Yes"</formula>
    </cfRule>
    <cfRule type="cellIs" priority="296" operator="equal" dxfId="0" stopIfTrue="1">
      <formula>"No"</formula>
    </cfRule>
    <cfRule type="cellIs" priority="297" operator="equal" dxfId="2" stopIfTrue="1">
      <formula>"Yes"</formula>
    </cfRule>
    <cfRule type="cellIs" priority="298" operator="equal" dxfId="0" stopIfTrue="1">
      <formula>"No"</formula>
    </cfRule>
    <cfRule type="cellIs" priority="299" operator="equal" dxfId="2" stopIfTrue="1">
      <formula>"Yes"</formula>
    </cfRule>
    <cfRule type="cellIs" priority="300" operator="equal" dxfId="0" stopIfTrue="1">
      <formula>"No"</formula>
    </cfRule>
    <cfRule type="cellIs" priority="301" operator="equal" dxfId="2" stopIfTrue="1">
      <formula>"Yes"</formula>
    </cfRule>
    <cfRule type="cellIs" priority="302" operator="equal" dxfId="0" stopIfTrue="1">
      <formula>"No"</formula>
    </cfRule>
    <cfRule type="cellIs" priority="303" operator="equal" dxfId="2" stopIfTrue="1">
      <formula>"Yes"</formula>
    </cfRule>
    <cfRule type="cellIs" priority="304" operator="equal" dxfId="0" stopIfTrue="1">
      <formula>"No"</formula>
    </cfRule>
    <cfRule type="cellIs" priority="305" operator="equal" dxfId="2" stopIfTrue="1">
      <formula>"Yes"</formula>
    </cfRule>
    <cfRule type="cellIs" priority="306" operator="equal" dxfId="0" stopIfTrue="1">
      <formula>"No"</formula>
    </cfRule>
    <cfRule type="cellIs" priority="307" operator="equal" dxfId="2" stopIfTrue="1">
      <formula>"Yes"</formula>
    </cfRule>
    <cfRule type="cellIs" priority="308" operator="equal" dxfId="0" stopIfTrue="1">
      <formula>"No"</formula>
    </cfRule>
    <cfRule type="cellIs" priority="309" operator="equal" dxfId="2" stopIfTrue="1">
      <formula>"Yes"</formula>
    </cfRule>
    <cfRule type="cellIs" priority="310" operator="equal" dxfId="0" stopIfTrue="1">
      <formula>"No"</formula>
    </cfRule>
    <cfRule type="cellIs" priority="311" operator="equal" dxfId="2" stopIfTrue="1">
      <formula>"Yes"</formula>
    </cfRule>
    <cfRule type="cellIs" priority="312" operator="equal" dxfId="0" stopIfTrue="1">
      <formula>"No"</formula>
    </cfRule>
    <cfRule type="cellIs" priority="313" operator="equal" dxfId="2" stopIfTrue="1">
      <formula>"Yes"</formula>
    </cfRule>
    <cfRule type="cellIs" priority="314" operator="equal" dxfId="0" stopIfTrue="1">
      <formula>"No"</formula>
    </cfRule>
    <cfRule type="cellIs" priority="315" operator="equal" dxfId="2" stopIfTrue="1">
      <formula>"Yes"</formula>
    </cfRule>
    <cfRule type="cellIs" priority="316" operator="equal" dxfId="0" stopIfTrue="1">
      <formula>"No"</formula>
    </cfRule>
    <cfRule type="cellIs" priority="317" operator="equal" dxfId="2" stopIfTrue="1">
      <formula>"Yes"</formula>
    </cfRule>
    <cfRule type="cellIs" priority="318" operator="equal" dxfId="0" stopIfTrue="1">
      <formula>"No"</formula>
    </cfRule>
    <cfRule type="cellIs" priority="319" operator="equal" dxfId="2" stopIfTrue="1">
      <formula>"Yes"</formula>
    </cfRule>
    <cfRule type="cellIs" priority="320" operator="equal" dxfId="0" stopIfTrue="1">
      <formula>"No"</formula>
    </cfRule>
    <cfRule type="cellIs" priority="321" operator="equal" dxfId="2" stopIfTrue="1">
      <formula>"Yes"</formula>
    </cfRule>
    <cfRule type="cellIs" priority="322" operator="equal" dxfId="0" stopIfTrue="1">
      <formula>"No"</formula>
    </cfRule>
    <cfRule type="cellIs" priority="323" operator="equal" dxfId="2" stopIfTrue="1">
      <formula>"Yes"</formula>
    </cfRule>
    <cfRule type="cellIs" priority="324" operator="equal" dxfId="0" stopIfTrue="1">
      <formula>"No"</formula>
    </cfRule>
    <cfRule type="cellIs" priority="325" operator="equal" dxfId="2" stopIfTrue="1">
      <formula>"Yes"</formula>
    </cfRule>
    <cfRule type="cellIs" priority="326" operator="equal" dxfId="0" stopIfTrue="1">
      <formula>"No"</formula>
    </cfRule>
    <cfRule type="cellIs" priority="327" operator="equal" dxfId="2" stopIfTrue="1">
      <formula>"Yes"</formula>
    </cfRule>
    <cfRule type="cellIs" priority="328" operator="equal" dxfId="0" stopIfTrue="1">
      <formula>"No"</formula>
    </cfRule>
    <cfRule type="cellIs" priority="329" operator="equal" dxfId="2" stopIfTrue="1">
      <formula>"Yes"</formula>
    </cfRule>
    <cfRule type="cellIs" priority="330" operator="equal" dxfId="0" stopIfTrue="1">
      <formula>"No"</formula>
    </cfRule>
    <cfRule type="cellIs" priority="331" operator="equal" dxfId="2" stopIfTrue="1">
      <formula>"Yes"</formula>
    </cfRule>
    <cfRule type="cellIs" priority="332" operator="equal" dxfId="0" stopIfTrue="1">
      <formula>"No"</formula>
    </cfRule>
    <cfRule type="cellIs" priority="333" operator="equal" dxfId="2" stopIfTrue="1">
      <formula>"Yes"</formula>
    </cfRule>
    <cfRule type="cellIs" priority="334" operator="equal" dxfId="0" stopIfTrue="1">
      <formula>"No"</formula>
    </cfRule>
    <cfRule type="cellIs" priority="335" operator="equal" dxfId="2" stopIfTrue="1">
      <formula>"Yes"</formula>
    </cfRule>
    <cfRule type="cellIs" priority="336" operator="equal" dxfId="0" stopIfTrue="1">
      <formula>"No"</formula>
    </cfRule>
    <cfRule type="cellIs" priority="337" operator="equal" dxfId="2" stopIfTrue="1">
      <formula>"Yes"</formula>
    </cfRule>
    <cfRule type="cellIs" priority="338" operator="equal" dxfId="0" stopIfTrue="1">
      <formula>"No"</formula>
    </cfRule>
    <cfRule type="cellIs" priority="339" operator="equal" dxfId="2" stopIfTrue="1">
      <formula>"Yes"</formula>
    </cfRule>
    <cfRule type="cellIs" priority="340" operator="equal" dxfId="0" stopIfTrue="1">
      <formula>"No"</formula>
    </cfRule>
    <cfRule type="cellIs" priority="341" operator="equal" dxfId="2" stopIfTrue="1">
      <formula>"Yes"</formula>
    </cfRule>
    <cfRule type="cellIs" priority="342" operator="equal" dxfId="0" stopIfTrue="1">
      <formula>"No"</formula>
    </cfRule>
    <cfRule type="cellIs" priority="343" operator="equal" dxfId="2" stopIfTrue="1">
      <formula>"Yes"</formula>
    </cfRule>
    <cfRule type="cellIs" priority="344" operator="equal" dxfId="0" stopIfTrue="1">
      <formula>"No"</formula>
    </cfRule>
    <cfRule type="cellIs" priority="345" operator="equal" dxfId="2" stopIfTrue="1">
      <formula>"Yes"</formula>
    </cfRule>
    <cfRule type="cellIs" priority="346" operator="equal" dxfId="0" stopIfTrue="1">
      <formula>"No"</formula>
    </cfRule>
    <cfRule type="cellIs" priority="347" operator="equal" dxfId="2" stopIfTrue="1">
      <formula>"Yes"</formula>
    </cfRule>
    <cfRule type="cellIs" priority="348" operator="equal" dxfId="0" stopIfTrue="1">
      <formula>"No"</formula>
    </cfRule>
    <cfRule type="cellIs" priority="349" operator="equal" dxfId="2" stopIfTrue="1">
      <formula>"Yes"</formula>
    </cfRule>
    <cfRule type="cellIs" priority="350" operator="equal" dxfId="0" stopIfTrue="1">
      <formula>"No"</formula>
    </cfRule>
    <cfRule type="cellIs" priority="351" operator="equal" dxfId="2" stopIfTrue="1">
      <formula>"Yes"</formula>
    </cfRule>
    <cfRule type="cellIs" priority="352" operator="equal" dxfId="0" stopIfTrue="1">
      <formula>"No"</formula>
    </cfRule>
    <cfRule type="cellIs" priority="353" operator="equal" dxfId="2" stopIfTrue="1">
      <formula>"Yes"</formula>
    </cfRule>
    <cfRule type="cellIs" priority="354" operator="equal" dxfId="0" stopIfTrue="1">
      <formula>"No"</formula>
    </cfRule>
    <cfRule type="cellIs" priority="355" operator="equal" dxfId="2" stopIfTrue="1">
      <formula>"Yes"</formula>
    </cfRule>
    <cfRule type="cellIs" priority="356" operator="equal" dxfId="0" stopIfTrue="1">
      <formula>"No"</formula>
    </cfRule>
    <cfRule type="cellIs" priority="357" operator="equal" dxfId="2" stopIfTrue="1">
      <formula>"Yes"</formula>
    </cfRule>
  </conditionalFormatting>
  <conditionalFormatting sqref="A2 D1:D2 H1 I1:O4">
    <cfRule type="cellIs" priority="358" operator="equal" dxfId="0" stopIfTrue="1">
      <formula>"No"</formula>
    </cfRule>
    <cfRule type="cellIs" priority="359" operator="equal" dxfId="2" stopIfTrue="1">
      <formula>"Yes"</formula>
    </cfRule>
    <cfRule type="cellIs" priority="360" operator="equal" dxfId="0" stopIfTrue="1">
      <formula>"No"</formula>
    </cfRule>
    <cfRule type="cellIs" priority="361" operator="equal" dxfId="2" stopIfTrue="1">
      <formula>"Yes"</formula>
    </cfRule>
    <cfRule type="cellIs" priority="362" operator="equal" dxfId="0" stopIfTrue="1">
      <formula>"No"</formula>
    </cfRule>
    <cfRule type="cellIs" priority="363" operator="equal" dxfId="2" stopIfTrue="1">
      <formula>"Yes"</formula>
    </cfRule>
    <cfRule type="cellIs" priority="364" operator="equal" dxfId="0" stopIfTrue="1">
      <formula>"No"</formula>
    </cfRule>
    <cfRule type="cellIs" priority="365" operator="equal" dxfId="2" stopIfTrue="1">
      <formula>"Yes"</formula>
    </cfRule>
    <cfRule type="cellIs" priority="366" operator="equal" dxfId="0" stopIfTrue="1">
      <formula>"No"</formula>
    </cfRule>
    <cfRule type="cellIs" priority="367" operator="equal" dxfId="2" stopIfTrue="1">
      <formula>"Yes"</formula>
    </cfRule>
    <cfRule type="cellIs" priority="368" operator="equal" dxfId="0" stopIfTrue="1">
      <formula>"No"</formula>
    </cfRule>
    <cfRule type="cellIs" priority="369" operator="equal" dxfId="2" stopIfTrue="1">
      <formula>"Yes"</formula>
    </cfRule>
    <cfRule type="cellIs" priority="370" operator="equal" dxfId="0" stopIfTrue="1">
      <formula>"No"</formula>
    </cfRule>
    <cfRule type="cellIs" priority="371" operator="equal" dxfId="2" stopIfTrue="1">
      <formula>"Yes"</formula>
    </cfRule>
    <cfRule type="cellIs" priority="372" operator="equal" dxfId="0" stopIfTrue="1">
      <formula>"No"</formula>
    </cfRule>
    <cfRule type="cellIs" priority="373" operator="equal" dxfId="2" stopIfTrue="1">
      <formula>"Yes"</formula>
    </cfRule>
    <cfRule type="cellIs" priority="374" operator="equal" dxfId="0" stopIfTrue="1">
      <formula>"No"</formula>
    </cfRule>
    <cfRule type="cellIs" priority="375" operator="equal" dxfId="2" stopIfTrue="1">
      <formula>"Yes"</formula>
    </cfRule>
    <cfRule type="cellIs" priority="376" operator="equal" dxfId="0" stopIfTrue="1">
      <formula>"No"</formula>
    </cfRule>
    <cfRule type="cellIs" priority="377" operator="equal" dxfId="2" stopIfTrue="1">
      <formula>"Yes"</formula>
    </cfRule>
    <cfRule type="cellIs" priority="378" operator="equal" dxfId="0" stopIfTrue="1">
      <formula>"No"</formula>
    </cfRule>
    <cfRule type="cellIs" priority="379" operator="equal" dxfId="2" stopIfTrue="1">
      <formula>"Yes"</formula>
    </cfRule>
    <cfRule type="cellIs" priority="380" operator="equal" dxfId="0" stopIfTrue="1">
      <formula>"No"</formula>
    </cfRule>
    <cfRule type="cellIs" priority="381" operator="equal" dxfId="2" stopIfTrue="1">
      <formula>"Yes"</formula>
    </cfRule>
    <cfRule type="cellIs" priority="382" operator="equal" dxfId="0" stopIfTrue="1">
      <formula>"No"</formula>
    </cfRule>
    <cfRule type="cellIs" priority="383" operator="equal" dxfId="2" stopIfTrue="1">
      <formula>"Yes"</formula>
    </cfRule>
    <cfRule type="cellIs" priority="384" operator="equal" dxfId="0" stopIfTrue="1">
      <formula>"No"</formula>
    </cfRule>
    <cfRule type="cellIs" priority="385" operator="equal" dxfId="2" stopIfTrue="1">
      <formula>"Yes"</formula>
    </cfRule>
    <cfRule type="cellIs" priority="386" operator="equal" dxfId="0" stopIfTrue="1">
      <formula>"No"</formula>
    </cfRule>
    <cfRule type="cellIs" priority="387" operator="equal" dxfId="2" stopIfTrue="1">
      <formula>"Yes"</formula>
    </cfRule>
    <cfRule type="cellIs" priority="388" operator="equal" dxfId="0" stopIfTrue="1">
      <formula>"No"</formula>
    </cfRule>
    <cfRule type="cellIs" priority="389" operator="equal" dxfId="2" stopIfTrue="1">
      <formula>"Yes"</formula>
    </cfRule>
    <cfRule type="cellIs" priority="390" operator="equal" dxfId="0" stopIfTrue="1">
      <formula>"No"</formula>
    </cfRule>
    <cfRule type="cellIs" priority="391" operator="equal" dxfId="2" stopIfTrue="1">
      <formula>"Yes"</formula>
    </cfRule>
    <cfRule type="cellIs" priority="392" operator="equal" dxfId="0" stopIfTrue="1">
      <formula>"No"</formula>
    </cfRule>
    <cfRule type="cellIs" priority="393" operator="equal" dxfId="2" stopIfTrue="1">
      <formula>"Yes"</formula>
    </cfRule>
    <cfRule type="cellIs" priority="394" operator="equal" dxfId="0" stopIfTrue="1">
      <formula>"No"</formula>
    </cfRule>
    <cfRule type="cellIs" priority="395" operator="equal" dxfId="2" stopIfTrue="1">
      <formula>"Yes"</formula>
    </cfRule>
    <cfRule type="cellIs" priority="396" operator="equal" dxfId="0" stopIfTrue="1">
      <formula>"No"</formula>
    </cfRule>
    <cfRule type="cellIs" priority="397" operator="equal" dxfId="2" stopIfTrue="1">
      <formula>"Yes"</formula>
    </cfRule>
    <cfRule type="cellIs" priority="398" operator="equal" dxfId="0" stopIfTrue="1">
      <formula>"No"</formula>
    </cfRule>
    <cfRule type="cellIs" priority="399" operator="equal" dxfId="2" stopIfTrue="1">
      <formula>"Yes"</formula>
    </cfRule>
    <cfRule type="cellIs" priority="400" operator="equal" dxfId="0" stopIfTrue="1">
      <formula>"No"</formula>
    </cfRule>
    <cfRule type="cellIs" priority="401" operator="equal" dxfId="2" stopIfTrue="1">
      <formula>"Yes"</formula>
    </cfRule>
    <cfRule type="cellIs" priority="402" operator="equal" dxfId="0" stopIfTrue="1">
      <formula>"No"</formula>
    </cfRule>
    <cfRule type="cellIs" priority="403" operator="equal" dxfId="2" stopIfTrue="1">
      <formula>"Yes"</formula>
    </cfRule>
    <cfRule type="cellIs" priority="404" operator="equal" dxfId="0" stopIfTrue="1">
      <formula>"No"</formula>
    </cfRule>
    <cfRule type="cellIs" priority="405" operator="equal" dxfId="2" stopIfTrue="1">
      <formula>"Yes"</formula>
    </cfRule>
  </conditionalFormatting>
  <conditionalFormatting sqref="A2 D1:D2 H1:O4">
    <cfRule type="cellIs" priority="406" operator="equal" dxfId="0" stopIfTrue="1">
      <formula>"No"</formula>
    </cfRule>
    <cfRule type="cellIs" priority="407" operator="equal" dxfId="2" stopIfTrue="1">
      <formula>"Yes"</formula>
    </cfRule>
    <cfRule type="cellIs" priority="408" operator="equal" dxfId="0" stopIfTrue="1">
      <formula>"No"</formula>
    </cfRule>
    <cfRule type="cellIs" priority="409" operator="equal" dxfId="2" stopIfTrue="1">
      <formula>"Yes"</formula>
    </cfRule>
    <cfRule type="cellIs" priority="410" operator="equal" dxfId="0" stopIfTrue="1">
      <formula>"No"</formula>
    </cfRule>
    <cfRule type="cellIs" priority="411" operator="equal" dxfId="2" stopIfTrue="1">
      <formula>"Yes"</formula>
    </cfRule>
    <cfRule type="cellIs" priority="412" operator="equal" dxfId="0" stopIfTrue="1">
      <formula>"No"</formula>
    </cfRule>
    <cfRule type="cellIs" priority="413" operator="equal" dxfId="2" stopIfTrue="1">
      <formula>"Yes"</formula>
    </cfRule>
    <cfRule type="cellIs" priority="414" operator="equal" dxfId="0" stopIfTrue="1">
      <formula>"No"</formula>
    </cfRule>
    <cfRule type="cellIs" priority="415" operator="equal" dxfId="2" stopIfTrue="1">
      <formula>"Yes"</formula>
    </cfRule>
    <cfRule type="cellIs" priority="416" operator="equal" dxfId="0" stopIfTrue="1">
      <formula>"No"</formula>
    </cfRule>
    <cfRule type="cellIs" priority="417" operator="equal" dxfId="2" stopIfTrue="1">
      <formula>"Yes"</formula>
    </cfRule>
    <cfRule type="cellIs" priority="418" operator="equal" dxfId="0" stopIfTrue="1">
      <formula>"No"</formula>
    </cfRule>
    <cfRule type="cellIs" priority="419" operator="equal" dxfId="2" stopIfTrue="1">
      <formula>"Yes"</formula>
    </cfRule>
    <cfRule type="cellIs" priority="420" operator="equal" dxfId="0" stopIfTrue="1">
      <formula>"No"</formula>
    </cfRule>
    <cfRule type="cellIs" priority="421" operator="equal" dxfId="2" stopIfTrue="1">
      <formula>"Yes"</formula>
    </cfRule>
    <cfRule type="cellIs" priority="422" operator="equal" dxfId="0" stopIfTrue="1">
      <formula>"No"</formula>
    </cfRule>
    <cfRule type="cellIs" priority="423" operator="equal" dxfId="2" stopIfTrue="1">
      <formula>"Yes"</formula>
    </cfRule>
    <cfRule type="cellIs" priority="424" operator="equal" dxfId="0" stopIfTrue="1">
      <formula>"No"</formula>
    </cfRule>
    <cfRule type="cellIs" priority="425" operator="equal" dxfId="2" stopIfTrue="1">
      <formula>"Yes"</formula>
    </cfRule>
    <cfRule type="cellIs" priority="426" operator="equal" dxfId="0" stopIfTrue="1">
      <formula>"No"</formula>
    </cfRule>
    <cfRule type="cellIs" priority="427" operator="equal" dxfId="2" stopIfTrue="1">
      <formula>"Yes"</formula>
    </cfRule>
    <cfRule type="cellIs" priority="428" operator="equal" dxfId="0" stopIfTrue="1">
      <formula>"No"</formula>
    </cfRule>
    <cfRule type="cellIs" priority="429" operator="equal" dxfId="2" stopIfTrue="1">
      <formula>"Yes"</formula>
    </cfRule>
    <cfRule type="cellIs" priority="430" operator="equal" dxfId="0" stopIfTrue="1">
      <formula>"No"</formula>
    </cfRule>
    <cfRule type="cellIs" priority="431" operator="equal" dxfId="2" stopIfTrue="1">
      <formula>"Yes"</formula>
    </cfRule>
    <cfRule type="cellIs" priority="432" operator="equal" dxfId="0" stopIfTrue="1">
      <formula>"No"</formula>
    </cfRule>
    <cfRule type="cellIs" priority="433" operator="equal" dxfId="2" stopIfTrue="1">
      <formula>"Yes"</formula>
    </cfRule>
    <cfRule type="cellIs" priority="434" operator="equal" dxfId="0" stopIfTrue="1">
      <formula>"No"</formula>
    </cfRule>
    <cfRule type="cellIs" priority="435" operator="equal" dxfId="2" stopIfTrue="1">
      <formula>"Yes"</formula>
    </cfRule>
    <cfRule type="cellIs" priority="436" operator="equal" dxfId="0" stopIfTrue="1">
      <formula>"No"</formula>
    </cfRule>
    <cfRule type="cellIs" priority="437" operator="equal" dxfId="2" stopIfTrue="1">
      <formula>"Yes"</formula>
    </cfRule>
    <cfRule type="cellIs" priority="438" operator="equal" dxfId="0" stopIfTrue="1">
      <formula>"No"</formula>
    </cfRule>
    <cfRule type="cellIs" priority="439" operator="equal" dxfId="2" stopIfTrue="1">
      <formula>"Yes"</formula>
    </cfRule>
    <cfRule type="cellIs" priority="440" operator="equal" dxfId="0" stopIfTrue="1">
      <formula>"No"</formula>
    </cfRule>
    <cfRule type="cellIs" priority="441" operator="equal" dxfId="2" stopIfTrue="1">
      <formula>"Yes"</formula>
    </cfRule>
    <cfRule type="cellIs" priority="442" operator="equal" dxfId="0" stopIfTrue="1">
      <formula>"No"</formula>
    </cfRule>
    <cfRule type="cellIs" priority="443" operator="equal" dxfId="2" stopIfTrue="1">
      <formula>"Yes"</formula>
    </cfRule>
    <cfRule type="cellIs" priority="444" operator="equal" dxfId="0" stopIfTrue="1">
      <formula>"No"</formula>
    </cfRule>
    <cfRule type="cellIs" priority="445" operator="equal" dxfId="2" stopIfTrue="1">
      <formula>"Yes"</formula>
    </cfRule>
    <cfRule type="cellIs" priority="446" operator="equal" dxfId="0" stopIfTrue="1">
      <formula>"No"</formula>
    </cfRule>
    <cfRule type="cellIs" priority="447" operator="equal" dxfId="2" stopIfTrue="1">
      <formula>"Yes"</formula>
    </cfRule>
    <cfRule type="cellIs" priority="448" operator="equal" dxfId="0" stopIfTrue="1">
      <formula>"No"</formula>
    </cfRule>
    <cfRule type="cellIs" priority="449" operator="equal" dxfId="2" stopIfTrue="1">
      <formula>"Yes"</formula>
    </cfRule>
    <cfRule type="cellIs" priority="450" operator="equal" dxfId="0" stopIfTrue="1">
      <formula>"No"</formula>
    </cfRule>
    <cfRule type="cellIs" priority="451" operator="equal" dxfId="2" stopIfTrue="1">
      <formula>"Yes"</formula>
    </cfRule>
    <cfRule type="cellIs" priority="452" operator="equal" dxfId="0" stopIfTrue="1">
      <formula>"No"</formula>
    </cfRule>
    <cfRule type="cellIs" priority="453" operator="equal" dxfId="2" stopIfTrue="1">
      <formula>"Yes"</formula>
    </cfRule>
  </conditionalFormatting>
  <conditionalFormatting sqref="A2 D1:D2 F2:F4 G1:O4">
    <cfRule type="cellIs" priority="454" operator="equal" dxfId="0" stopIfTrue="1">
      <formula>"Hard"</formula>
    </cfRule>
    <cfRule type="cellIs" priority="455" operator="equal" dxfId="1" stopIfTrue="1">
      <formula>"Medium"</formula>
    </cfRule>
    <cfRule type="cellIs" priority="456" operator="equal" dxfId="2" stopIfTrue="1">
      <formula>"Easy"</formula>
    </cfRule>
    <cfRule type="cellIs" priority="457" operator="equal" dxfId="0" stopIfTrue="1">
      <formula>"Hard"</formula>
    </cfRule>
    <cfRule type="cellIs" priority="458" operator="equal" dxfId="1" stopIfTrue="1">
      <formula>"Medium"</formula>
    </cfRule>
    <cfRule type="cellIs" priority="459" operator="equal" dxfId="2" stopIfTrue="1">
      <formula>"Easy"</formula>
    </cfRule>
    <cfRule type="cellIs" priority="460" operator="equal" dxfId="0" stopIfTrue="1">
      <formula>"Hard"</formula>
    </cfRule>
    <cfRule type="cellIs" priority="461" operator="equal" dxfId="1" stopIfTrue="1">
      <formula>"Medium"</formula>
    </cfRule>
    <cfRule type="cellIs" priority="462" operator="equal" dxfId="2" stopIfTrue="1">
      <formula>"Easy"</formula>
    </cfRule>
    <cfRule type="cellIs" priority="463" operator="equal" dxfId="0" stopIfTrue="1">
      <formula>"Hard"</formula>
    </cfRule>
    <cfRule type="cellIs" priority="464" operator="equal" dxfId="1" stopIfTrue="1">
      <formula>"Medium"</formula>
    </cfRule>
    <cfRule type="cellIs" priority="465" operator="equal" dxfId="2" stopIfTrue="1">
      <formula>"Easy"</formula>
    </cfRule>
    <cfRule type="cellIs" priority="466" operator="equal" dxfId="0" stopIfTrue="1">
      <formula>"Hard"</formula>
    </cfRule>
    <cfRule type="cellIs" priority="467" operator="equal" dxfId="1" stopIfTrue="1">
      <formula>"Medium"</formula>
    </cfRule>
    <cfRule type="cellIs" priority="468" operator="equal" dxfId="2" stopIfTrue="1">
      <formula>"Easy"</formula>
    </cfRule>
    <cfRule type="cellIs" priority="469" operator="equal" dxfId="0" stopIfTrue="1">
      <formula>"Hard"</formula>
    </cfRule>
    <cfRule type="cellIs" priority="470" operator="equal" dxfId="1" stopIfTrue="1">
      <formula>"Medium"</formula>
    </cfRule>
    <cfRule type="cellIs" priority="471" operator="equal" dxfId="2" stopIfTrue="1">
      <formula>"Easy"</formula>
    </cfRule>
    <cfRule type="cellIs" priority="472" operator="equal" dxfId="0" stopIfTrue="1">
      <formula>"Hard"</formula>
    </cfRule>
    <cfRule type="cellIs" priority="473" operator="equal" dxfId="1" stopIfTrue="1">
      <formula>"Medium"</formula>
    </cfRule>
    <cfRule type="cellIs" priority="474" operator="equal" dxfId="2" stopIfTrue="1">
      <formula>"Easy"</formula>
    </cfRule>
    <cfRule type="cellIs" priority="475" operator="equal" dxfId="0" stopIfTrue="1">
      <formula>"Hard"</formula>
    </cfRule>
    <cfRule type="cellIs" priority="476" operator="equal" dxfId="1" stopIfTrue="1">
      <formula>"Medium"</formula>
    </cfRule>
    <cfRule type="cellIs" priority="477" operator="equal" dxfId="2" stopIfTrue="1">
      <formula>"Easy"</formula>
    </cfRule>
    <cfRule type="cellIs" priority="478" operator="equal" dxfId="0" stopIfTrue="1">
      <formula>"Hard"</formula>
    </cfRule>
    <cfRule type="cellIs" priority="479" operator="equal" dxfId="1" stopIfTrue="1">
      <formula>"Medium"</formula>
    </cfRule>
    <cfRule type="cellIs" priority="480" operator="equal" dxfId="2" stopIfTrue="1">
      <formula>"Easy"</formula>
    </cfRule>
    <cfRule type="cellIs" priority="481" operator="equal" dxfId="0" stopIfTrue="1">
      <formula>"Hard"</formula>
    </cfRule>
    <cfRule type="cellIs" priority="482" operator="equal" dxfId="1" stopIfTrue="1">
      <formula>"Medium"</formula>
    </cfRule>
    <cfRule type="cellIs" priority="483" operator="equal" dxfId="2" stopIfTrue="1">
      <formula>"Easy"</formula>
    </cfRule>
    <cfRule type="cellIs" priority="484" operator="equal" dxfId="0" stopIfTrue="1">
      <formula>"Hard"</formula>
    </cfRule>
    <cfRule type="cellIs" priority="485" operator="equal" dxfId="1" stopIfTrue="1">
      <formula>"Medium"</formula>
    </cfRule>
    <cfRule type="cellIs" priority="486" operator="equal" dxfId="2" stopIfTrue="1">
      <formula>"Easy"</formula>
    </cfRule>
    <cfRule type="cellIs" priority="487" operator="equal" dxfId="0" stopIfTrue="1">
      <formula>"Hard"</formula>
    </cfRule>
    <cfRule type="cellIs" priority="488" operator="equal" dxfId="1" stopIfTrue="1">
      <formula>"Medium"</formula>
    </cfRule>
    <cfRule type="cellIs" priority="489" operator="equal" dxfId="2" stopIfTrue="1">
      <formula>"Easy"</formula>
    </cfRule>
    <cfRule type="cellIs" priority="490" operator="equal" dxfId="0" stopIfTrue="1">
      <formula>"Hard"</formula>
    </cfRule>
    <cfRule type="cellIs" priority="491" operator="equal" dxfId="1" stopIfTrue="1">
      <formula>"Medium"</formula>
    </cfRule>
    <cfRule type="cellIs" priority="492" operator="equal" dxfId="2" stopIfTrue="1">
      <formula>"Easy"</formula>
    </cfRule>
    <cfRule type="cellIs" priority="493" operator="equal" dxfId="0" stopIfTrue="1">
      <formula>"Hard"</formula>
    </cfRule>
    <cfRule type="cellIs" priority="494" operator="equal" dxfId="1" stopIfTrue="1">
      <formula>"Medium"</formula>
    </cfRule>
    <cfRule type="cellIs" priority="495" operator="equal" dxfId="2" stopIfTrue="1">
      <formula>"Easy"</formula>
    </cfRule>
    <cfRule type="cellIs" priority="496" operator="equal" dxfId="0" stopIfTrue="1">
      <formula>"Hard"</formula>
    </cfRule>
    <cfRule type="cellIs" priority="497" operator="equal" dxfId="1" stopIfTrue="1">
      <formula>"Medium"</formula>
    </cfRule>
    <cfRule type="cellIs" priority="498" operator="equal" dxfId="2" stopIfTrue="1">
      <formula>"Easy"</formula>
    </cfRule>
    <cfRule type="cellIs" priority="499" operator="equal" dxfId="0" stopIfTrue="1">
      <formula>"Hard"</formula>
    </cfRule>
    <cfRule type="cellIs" priority="500" operator="equal" dxfId="1" stopIfTrue="1">
      <formula>"Medium"</formula>
    </cfRule>
    <cfRule type="cellIs" priority="501" operator="equal" dxfId="2" stopIfTrue="1">
      <formula>"Easy"</formula>
    </cfRule>
    <cfRule type="cellIs" priority="502" operator="equal" dxfId="0" stopIfTrue="1">
      <formula>"Hard"</formula>
    </cfRule>
    <cfRule type="cellIs" priority="503" operator="equal" dxfId="1" stopIfTrue="1">
      <formula>"Medium"</formula>
    </cfRule>
    <cfRule type="cellIs" priority="504" operator="equal" dxfId="2" stopIfTrue="1">
      <formula>"Easy"</formula>
    </cfRule>
  </conditionalFormatting>
  <conditionalFormatting sqref="A2 D1:E2 F2:F4 G1:O4">
    <cfRule type="cellIs" priority="505" operator="equal" dxfId="0" stopIfTrue="1">
      <formula>"Hard"</formula>
    </cfRule>
    <cfRule type="cellIs" priority="506" operator="equal" dxfId="1" stopIfTrue="1">
      <formula>"Medium"</formula>
    </cfRule>
    <cfRule type="cellIs" priority="507" operator="equal" dxfId="2" stopIfTrue="1">
      <formula>"Easy"</formula>
    </cfRule>
    <cfRule type="cellIs" priority="508" operator="equal" dxfId="0" stopIfTrue="1">
      <formula>"Hard"</formula>
    </cfRule>
    <cfRule type="cellIs" priority="509" operator="equal" dxfId="1" stopIfTrue="1">
      <formula>"Medium"</formula>
    </cfRule>
    <cfRule type="cellIs" priority="510" operator="equal" dxfId="2" stopIfTrue="1">
      <formula>"Easy"</formula>
    </cfRule>
    <cfRule type="cellIs" priority="511" operator="equal" dxfId="0" stopIfTrue="1">
      <formula>"Hard"</formula>
    </cfRule>
    <cfRule type="cellIs" priority="512" operator="equal" dxfId="1" stopIfTrue="1">
      <formula>"Medium"</formula>
    </cfRule>
    <cfRule type="cellIs" priority="513" operator="equal" dxfId="2" stopIfTrue="1">
      <formula>"Easy"</formula>
    </cfRule>
    <cfRule type="cellIs" priority="514" operator="equal" dxfId="0" stopIfTrue="1">
      <formula>"Hard"</formula>
    </cfRule>
    <cfRule type="cellIs" priority="515" operator="equal" dxfId="1" stopIfTrue="1">
      <formula>"Medium"</formula>
    </cfRule>
    <cfRule type="cellIs" priority="516" operator="equal" dxfId="2" stopIfTrue="1">
      <formula>"Easy"</formula>
    </cfRule>
    <cfRule type="cellIs" priority="517" operator="equal" dxfId="0" stopIfTrue="1">
      <formula>"Hard"</formula>
    </cfRule>
    <cfRule type="cellIs" priority="518" operator="equal" dxfId="1" stopIfTrue="1">
      <formula>"Medium"</formula>
    </cfRule>
    <cfRule type="cellIs" priority="519" operator="equal" dxfId="2" stopIfTrue="1">
      <formula>"Easy"</formula>
    </cfRule>
    <cfRule type="cellIs" priority="520" operator="equal" dxfId="0" stopIfTrue="1">
      <formula>"Hard"</formula>
    </cfRule>
    <cfRule type="cellIs" priority="521" operator="equal" dxfId="1" stopIfTrue="1">
      <formula>"Medium"</formula>
    </cfRule>
    <cfRule type="cellIs" priority="522" operator="equal" dxfId="2" stopIfTrue="1">
      <formula>"Easy"</formula>
    </cfRule>
    <cfRule type="cellIs" priority="523" operator="equal" dxfId="0" stopIfTrue="1">
      <formula>"Hard"</formula>
    </cfRule>
    <cfRule type="cellIs" priority="524" operator="equal" dxfId="1" stopIfTrue="1">
      <formula>"Medium"</formula>
    </cfRule>
    <cfRule type="cellIs" priority="525" operator="equal" dxfId="2" stopIfTrue="1">
      <formula>"Easy"</formula>
    </cfRule>
    <cfRule type="cellIs" priority="526" operator="equal" dxfId="0" stopIfTrue="1">
      <formula>"Hard"</formula>
    </cfRule>
    <cfRule type="cellIs" priority="527" operator="equal" dxfId="1" stopIfTrue="1">
      <formula>"Medium"</formula>
    </cfRule>
    <cfRule type="cellIs" priority="528" operator="equal" dxfId="2" stopIfTrue="1">
      <formula>"Easy"</formula>
    </cfRule>
    <cfRule type="cellIs" priority="529" operator="equal" dxfId="0" stopIfTrue="1">
      <formula>"Hard"</formula>
    </cfRule>
    <cfRule type="cellIs" priority="530" operator="equal" dxfId="1" stopIfTrue="1">
      <formula>"Medium"</formula>
    </cfRule>
    <cfRule type="cellIs" priority="531" operator="equal" dxfId="2" stopIfTrue="1">
      <formula>"Easy"</formula>
    </cfRule>
    <cfRule type="cellIs" priority="532" operator="equal" dxfId="0" stopIfTrue="1">
      <formula>"Hard"</formula>
    </cfRule>
    <cfRule type="cellIs" priority="533" operator="equal" dxfId="1" stopIfTrue="1">
      <formula>"Medium"</formula>
    </cfRule>
    <cfRule type="cellIs" priority="534" operator="equal" dxfId="2" stopIfTrue="1">
      <formula>"Easy"</formula>
    </cfRule>
    <cfRule type="cellIs" priority="535" operator="equal" dxfId="0" stopIfTrue="1">
      <formula>"Hard"</formula>
    </cfRule>
    <cfRule type="cellIs" priority="536" operator="equal" dxfId="1" stopIfTrue="1">
      <formula>"Medium"</formula>
    </cfRule>
    <cfRule type="cellIs" priority="537" operator="equal" dxfId="2" stopIfTrue="1">
      <formula>"Easy"</formula>
    </cfRule>
    <cfRule type="cellIs" priority="538" operator="equal" dxfId="0" stopIfTrue="1">
      <formula>"Hard"</formula>
    </cfRule>
    <cfRule type="cellIs" priority="539" operator="equal" dxfId="1" stopIfTrue="1">
      <formula>"Medium"</formula>
    </cfRule>
    <cfRule type="cellIs" priority="540" operator="equal" dxfId="2" stopIfTrue="1">
      <formula>"Easy"</formula>
    </cfRule>
    <cfRule type="cellIs" priority="541" operator="equal" dxfId="0" stopIfTrue="1">
      <formula>"Hard"</formula>
    </cfRule>
    <cfRule type="cellIs" priority="542" operator="equal" dxfId="1" stopIfTrue="1">
      <formula>"Medium"</formula>
    </cfRule>
    <cfRule type="cellIs" priority="543" operator="equal" dxfId="2" stopIfTrue="1">
      <formula>"Easy"</formula>
    </cfRule>
    <cfRule type="cellIs" priority="544" operator="equal" dxfId="0" stopIfTrue="1">
      <formula>"Hard"</formula>
    </cfRule>
    <cfRule type="cellIs" priority="545" operator="equal" dxfId="1" stopIfTrue="1">
      <formula>"Medium"</formula>
    </cfRule>
    <cfRule type="cellIs" priority="546" operator="equal" dxfId="2" stopIfTrue="1">
      <formula>"Easy"</formula>
    </cfRule>
    <cfRule type="cellIs" priority="547" operator="equal" dxfId="0" stopIfTrue="1">
      <formula>"Hard"</formula>
    </cfRule>
    <cfRule type="cellIs" priority="548" operator="equal" dxfId="1" stopIfTrue="1">
      <formula>"Medium"</formula>
    </cfRule>
    <cfRule type="cellIs" priority="549" operator="equal" dxfId="2" stopIfTrue="1">
      <formula>"Easy"</formula>
    </cfRule>
    <cfRule type="cellIs" priority="550" operator="equal" dxfId="0" stopIfTrue="1">
      <formula>"Hard"</formula>
    </cfRule>
    <cfRule type="cellIs" priority="551" operator="equal" dxfId="1" stopIfTrue="1">
      <formula>"Medium"</formula>
    </cfRule>
    <cfRule type="cellIs" priority="552" operator="equal" dxfId="2" stopIfTrue="1">
      <formula>"Easy"</formula>
    </cfRule>
    <cfRule type="cellIs" priority="553" operator="equal" dxfId="0" stopIfTrue="1">
      <formula>"Hard"</formula>
    </cfRule>
    <cfRule type="cellIs" priority="554" operator="equal" dxfId="1" stopIfTrue="1">
      <formula>"Medium"</formula>
    </cfRule>
    <cfRule type="cellIs" priority="555" operator="equal" dxfId="2" stopIfTrue="1">
      <formula>"Easy"</formula>
    </cfRule>
    <cfRule type="cellIs" priority="556" operator="equal" dxfId="0" stopIfTrue="1">
      <formula>"Hard"</formula>
    </cfRule>
    <cfRule type="cellIs" priority="557" operator="equal" dxfId="1" stopIfTrue="1">
      <formula>"Medium"</formula>
    </cfRule>
    <cfRule type="cellIs" priority="558" operator="equal" dxfId="2" stopIfTrue="1">
      <formula>"Easy"</formula>
    </cfRule>
    <cfRule type="cellIs" priority="559" operator="equal" dxfId="0" stopIfTrue="1">
      <formula>"Hard"</formula>
    </cfRule>
    <cfRule type="cellIs" priority="560" operator="equal" dxfId="1" stopIfTrue="1">
      <formula>"Medium"</formula>
    </cfRule>
    <cfRule type="cellIs" priority="561" operator="equal" dxfId="2" stopIfTrue="1">
      <formula>"Easy"</formula>
    </cfRule>
    <cfRule type="cellIs" priority="562" operator="equal" dxfId="0" stopIfTrue="1">
      <formula>"Hard"</formula>
    </cfRule>
    <cfRule type="cellIs" priority="563" operator="equal" dxfId="1" stopIfTrue="1">
      <formula>"Medium"</formula>
    </cfRule>
    <cfRule type="cellIs" priority="564" operator="equal" dxfId="2" stopIfTrue="1">
      <formula>"Easy"</formula>
    </cfRule>
    <cfRule type="cellIs" priority="565" operator="equal" dxfId="0" stopIfTrue="1">
      <formula>"Hard"</formula>
    </cfRule>
    <cfRule type="cellIs" priority="566" operator="equal" dxfId="1" stopIfTrue="1">
      <formula>"Medium"</formula>
    </cfRule>
    <cfRule type="cellIs" priority="567" operator="equal" dxfId="2" stopIfTrue="1">
      <formula>"Easy"</formula>
    </cfRule>
    <cfRule type="cellIs" priority="568" operator="equal" dxfId="0" stopIfTrue="1">
      <formula>"Hard"</formula>
    </cfRule>
    <cfRule type="cellIs" priority="569" operator="equal" dxfId="1" stopIfTrue="1">
      <formula>"Medium"</formula>
    </cfRule>
    <cfRule type="cellIs" priority="570" operator="equal" dxfId="2" stopIfTrue="1">
      <formula>"Easy"</formula>
    </cfRule>
    <cfRule type="cellIs" priority="571" operator="equal" dxfId="0" stopIfTrue="1">
      <formula>"Hard"</formula>
    </cfRule>
    <cfRule type="cellIs" priority="572" operator="equal" dxfId="1" stopIfTrue="1">
      <formula>"Medium"</formula>
    </cfRule>
    <cfRule type="cellIs" priority="573" operator="equal" dxfId="2" stopIfTrue="1">
      <formula>"Easy"</formula>
    </cfRule>
    <cfRule type="cellIs" priority="574" operator="equal" dxfId="0" stopIfTrue="1">
      <formula>"Hard"</formula>
    </cfRule>
    <cfRule type="cellIs" priority="575" operator="equal" dxfId="1" stopIfTrue="1">
      <formula>"Medium"</formula>
    </cfRule>
    <cfRule type="cellIs" priority="576" operator="equal" dxfId="2" stopIfTrue="1">
      <formula>"Easy"</formula>
    </cfRule>
    <cfRule type="cellIs" priority="577" operator="equal" dxfId="0" stopIfTrue="1">
      <formula>"Hard"</formula>
    </cfRule>
    <cfRule type="cellIs" priority="578" operator="equal" dxfId="1" stopIfTrue="1">
      <formula>"Medium"</formula>
    </cfRule>
    <cfRule type="cellIs" priority="579" operator="equal" dxfId="2" stopIfTrue="1">
      <formula>"Easy"</formula>
    </cfRule>
    <cfRule type="cellIs" priority="580" operator="equal" dxfId="0" stopIfTrue="1">
      <formula>"Hard"</formula>
    </cfRule>
    <cfRule type="cellIs" priority="581" operator="equal" dxfId="1" stopIfTrue="1">
      <formula>"Medium"</formula>
    </cfRule>
    <cfRule type="cellIs" priority="582" operator="equal" dxfId="2" stopIfTrue="1">
      <formula>"Easy"</formula>
    </cfRule>
  </conditionalFormatting>
  <conditionalFormatting sqref="A2 D2 I1:I2 J2:J4 K1:O4">
    <cfRule type="cellIs" priority="583" operator="equal" dxfId="0" stopIfTrue="1">
      <formula>"No"</formula>
    </cfRule>
    <cfRule type="cellIs" priority="584" operator="equal" dxfId="2" stopIfTrue="1">
      <formula>"Yes"</formula>
    </cfRule>
    <cfRule type="cellIs" priority="585" operator="equal" dxfId="0" stopIfTrue="1">
      <formula>"No"</formula>
    </cfRule>
    <cfRule type="cellIs" priority="586" operator="equal" dxfId="2" stopIfTrue="1">
      <formula>"Yes"</formula>
    </cfRule>
    <cfRule type="cellIs" priority="587" operator="equal" dxfId="0" stopIfTrue="1">
      <formula>"No"</formula>
    </cfRule>
    <cfRule type="cellIs" priority="588" operator="equal" dxfId="2" stopIfTrue="1">
      <formula>"Yes"</formula>
    </cfRule>
    <cfRule type="cellIs" priority="589" operator="equal" dxfId="0" stopIfTrue="1">
      <formula>"No"</formula>
    </cfRule>
    <cfRule type="cellIs" priority="590" operator="equal" dxfId="2" stopIfTrue="1">
      <formula>"Yes"</formula>
    </cfRule>
    <cfRule type="cellIs" priority="591" operator="equal" dxfId="0" stopIfTrue="1">
      <formula>"No"</formula>
    </cfRule>
    <cfRule type="cellIs" priority="592" operator="equal" dxfId="2" stopIfTrue="1">
      <formula>"Yes"</formula>
    </cfRule>
    <cfRule type="cellIs" priority="593" operator="equal" dxfId="0" stopIfTrue="1">
      <formula>"No"</formula>
    </cfRule>
    <cfRule type="cellIs" priority="594" operator="equal" dxfId="2" stopIfTrue="1">
      <formula>"Yes"</formula>
    </cfRule>
    <cfRule type="cellIs" priority="595" operator="equal" dxfId="0" stopIfTrue="1">
      <formula>"No"</formula>
    </cfRule>
    <cfRule type="cellIs" priority="596" operator="equal" dxfId="2" stopIfTrue="1">
      <formula>"Yes"</formula>
    </cfRule>
    <cfRule type="cellIs" priority="597" operator="equal" dxfId="0" stopIfTrue="1">
      <formula>"No"</formula>
    </cfRule>
    <cfRule type="cellIs" priority="598" operator="equal" dxfId="2" stopIfTrue="1">
      <formula>"Yes"</formula>
    </cfRule>
    <cfRule type="cellIs" priority="599" operator="equal" dxfId="0" stopIfTrue="1">
      <formula>"No"</formula>
    </cfRule>
    <cfRule type="cellIs" priority="600" operator="equal" dxfId="2" stopIfTrue="1">
      <formula>"Yes"</formula>
    </cfRule>
    <cfRule type="cellIs" priority="601" operator="equal" dxfId="0" stopIfTrue="1">
      <formula>"No"</formula>
    </cfRule>
    <cfRule type="cellIs" priority="602" operator="equal" dxfId="2" stopIfTrue="1">
      <formula>"Yes"</formula>
    </cfRule>
    <cfRule type="cellIs" priority="603" operator="equal" dxfId="0" stopIfTrue="1">
      <formula>"No"</formula>
    </cfRule>
    <cfRule type="cellIs" priority="604" operator="equal" dxfId="2" stopIfTrue="1">
      <formula>"Yes"</formula>
    </cfRule>
    <cfRule type="cellIs" priority="605" operator="equal" dxfId="0" stopIfTrue="1">
      <formula>"No"</formula>
    </cfRule>
    <cfRule type="cellIs" priority="606" operator="equal" dxfId="2" stopIfTrue="1">
      <formula>"Yes"</formula>
    </cfRule>
    <cfRule type="cellIs" priority="607" operator="equal" dxfId="0" stopIfTrue="1">
      <formula>"No"</formula>
    </cfRule>
    <cfRule type="cellIs" priority="608" operator="equal" dxfId="2" stopIfTrue="1">
      <formula>"Yes"</formula>
    </cfRule>
    <cfRule type="cellIs" priority="609" operator="equal" dxfId="0" stopIfTrue="1">
      <formula>"No"</formula>
    </cfRule>
    <cfRule type="cellIs" priority="610" operator="equal" dxfId="2" stopIfTrue="1">
      <formula>"Yes"</formula>
    </cfRule>
    <cfRule type="cellIs" priority="611" operator="equal" dxfId="0" stopIfTrue="1">
      <formula>"No"</formula>
    </cfRule>
    <cfRule type="cellIs" priority="612" operator="equal" dxfId="2" stopIfTrue="1">
      <formula>"Yes"</formula>
    </cfRule>
    <cfRule type="cellIs" priority="613" operator="equal" dxfId="0" stopIfTrue="1">
      <formula>"No"</formula>
    </cfRule>
    <cfRule type="cellIs" priority="614" operator="equal" dxfId="2" stopIfTrue="1">
      <formula>"Yes"</formula>
    </cfRule>
    <cfRule type="cellIs" priority="615" operator="equal" dxfId="0" stopIfTrue="1">
      <formula>"No"</formula>
    </cfRule>
    <cfRule type="cellIs" priority="616" operator="equal" dxfId="2" stopIfTrue="1">
      <formula>"Yes"</formula>
    </cfRule>
    <cfRule type="cellIs" priority="617" operator="equal" dxfId="0" stopIfTrue="1">
      <formula>"No"</formula>
    </cfRule>
    <cfRule type="cellIs" priority="618" operator="equal" dxfId="2" stopIfTrue="1">
      <formula>"Yes"</formula>
    </cfRule>
    <cfRule type="cellIs" priority="619" operator="equal" dxfId="0" stopIfTrue="1">
      <formula>"No"</formula>
    </cfRule>
    <cfRule type="cellIs" priority="620" operator="equal" dxfId="2" stopIfTrue="1">
      <formula>"Yes"</formula>
    </cfRule>
    <cfRule type="cellIs" priority="621" operator="equal" dxfId="0" stopIfTrue="1">
      <formula>"No"</formula>
    </cfRule>
    <cfRule type="cellIs" priority="622" operator="equal" dxfId="2" stopIfTrue="1">
      <formula>"Yes"</formula>
    </cfRule>
    <cfRule type="cellIs" priority="623" operator="equal" dxfId="0" stopIfTrue="1">
      <formula>"No"</formula>
    </cfRule>
    <cfRule type="cellIs" priority="624" operator="equal" dxfId="2" stopIfTrue="1">
      <formula>"Yes"</formula>
    </cfRule>
    <cfRule type="cellIs" priority="625" operator="equal" dxfId="0" stopIfTrue="1">
      <formula>"No"</formula>
    </cfRule>
    <cfRule type="cellIs" priority="626" operator="equal" dxfId="2" stopIfTrue="1">
      <formula>"Yes"</formula>
    </cfRule>
    <cfRule type="cellIs" priority="627" operator="equal" dxfId="0" stopIfTrue="1">
      <formula>"No"</formula>
    </cfRule>
    <cfRule type="cellIs" priority="628" operator="equal" dxfId="2" stopIfTrue="1">
      <formula>"Yes"</formula>
    </cfRule>
    <cfRule type="cellIs" priority="629" operator="equal" dxfId="0" stopIfTrue="1">
      <formula>"No"</formula>
    </cfRule>
    <cfRule type="cellIs" priority="630" operator="equal" dxfId="2" stopIfTrue="1">
      <formula>"Yes"</formula>
    </cfRule>
    <cfRule type="cellIs" priority="631" operator="equal" dxfId="0" stopIfTrue="1">
      <formula>"No"</formula>
    </cfRule>
    <cfRule type="cellIs" priority="632" operator="equal" dxfId="2" stopIfTrue="1">
      <formula>"Yes"</formula>
    </cfRule>
    <cfRule type="cellIs" priority="633" operator="equal" dxfId="0" stopIfTrue="1">
      <formula>"No"</formula>
    </cfRule>
    <cfRule type="cellIs" priority="634" operator="equal" dxfId="2" stopIfTrue="1">
      <formula>"Yes"</formula>
    </cfRule>
  </conditionalFormatting>
  <conditionalFormatting sqref="A2 D2:E2 G2:H2 I1:I4 J2:J4 K1:O4">
    <cfRule type="cellIs" priority="635" operator="equal" dxfId="0" stopIfTrue="1">
      <formula>"No"</formula>
    </cfRule>
    <cfRule type="cellIs" priority="636" operator="equal" dxfId="2" stopIfTrue="1">
      <formula>"Yes"</formula>
    </cfRule>
    <cfRule type="cellIs" priority="637" operator="equal" dxfId="0" stopIfTrue="1">
      <formula>"No"</formula>
    </cfRule>
    <cfRule type="cellIs" priority="638" operator="equal" dxfId="2" stopIfTrue="1">
      <formula>"Yes"</formula>
    </cfRule>
    <cfRule type="cellIs" priority="639" operator="equal" dxfId="0" stopIfTrue="1">
      <formula>"No"</formula>
    </cfRule>
    <cfRule type="cellIs" priority="640" operator="equal" dxfId="2" stopIfTrue="1">
      <formula>"Yes"</formula>
    </cfRule>
    <cfRule type="cellIs" priority="641" operator="equal" dxfId="0" stopIfTrue="1">
      <formula>"No"</formula>
    </cfRule>
    <cfRule type="cellIs" priority="642" operator="equal" dxfId="2" stopIfTrue="1">
      <formula>"Yes"</formula>
    </cfRule>
    <cfRule type="cellIs" priority="643" operator="equal" dxfId="0" stopIfTrue="1">
      <formula>"No"</formula>
    </cfRule>
    <cfRule type="cellIs" priority="644" operator="equal" dxfId="2" stopIfTrue="1">
      <formula>"Yes"</formula>
    </cfRule>
    <cfRule type="cellIs" priority="645" operator="equal" dxfId="0" stopIfTrue="1">
      <formula>"No"</formula>
    </cfRule>
    <cfRule type="cellIs" priority="646" operator="equal" dxfId="2" stopIfTrue="1">
      <formula>"Yes"</formula>
    </cfRule>
    <cfRule type="cellIs" priority="647" operator="equal" dxfId="0" stopIfTrue="1">
      <formula>"No"</formula>
    </cfRule>
    <cfRule type="cellIs" priority="648" operator="equal" dxfId="2" stopIfTrue="1">
      <formula>"Yes"</formula>
    </cfRule>
    <cfRule type="cellIs" priority="649" operator="equal" dxfId="0" stopIfTrue="1">
      <formula>"No"</formula>
    </cfRule>
    <cfRule type="cellIs" priority="650" operator="equal" dxfId="2" stopIfTrue="1">
      <formula>"Yes"</formula>
    </cfRule>
    <cfRule type="cellIs" priority="651" operator="equal" dxfId="0" stopIfTrue="1">
      <formula>"No"</formula>
    </cfRule>
    <cfRule type="cellIs" priority="652" operator="equal" dxfId="2" stopIfTrue="1">
      <formula>"Yes"</formula>
    </cfRule>
    <cfRule type="cellIs" priority="653" operator="equal" dxfId="0" stopIfTrue="1">
      <formula>"No"</formula>
    </cfRule>
    <cfRule type="cellIs" priority="654" operator="equal" dxfId="2" stopIfTrue="1">
      <formula>"Yes"</formula>
    </cfRule>
    <cfRule type="cellIs" priority="655" operator="equal" dxfId="0" stopIfTrue="1">
      <formula>"No"</formula>
    </cfRule>
    <cfRule type="cellIs" priority="656" operator="equal" dxfId="2" stopIfTrue="1">
      <formula>"Yes"</formula>
    </cfRule>
    <cfRule type="cellIs" priority="657" operator="equal" dxfId="0" stopIfTrue="1">
      <formula>"No"</formula>
    </cfRule>
    <cfRule type="cellIs" priority="658" operator="equal" dxfId="2" stopIfTrue="1">
      <formula>"Yes"</formula>
    </cfRule>
    <cfRule type="cellIs" priority="659" operator="equal" dxfId="0" stopIfTrue="1">
      <formula>"No"</formula>
    </cfRule>
    <cfRule type="cellIs" priority="660" operator="equal" dxfId="2" stopIfTrue="1">
      <formula>"Yes"</formula>
    </cfRule>
    <cfRule type="cellIs" priority="661" operator="equal" dxfId="0" stopIfTrue="1">
      <formula>"No"</formula>
    </cfRule>
    <cfRule type="cellIs" priority="662" operator="equal" dxfId="2" stopIfTrue="1">
      <formula>"Yes"</formula>
    </cfRule>
    <cfRule type="cellIs" priority="663" operator="equal" dxfId="0" stopIfTrue="1">
      <formula>"No"</formula>
    </cfRule>
    <cfRule type="cellIs" priority="664" operator="equal" dxfId="2" stopIfTrue="1">
      <formula>"Yes"</formula>
    </cfRule>
    <cfRule type="cellIs" priority="665" operator="equal" dxfId="0" stopIfTrue="1">
      <formula>"No"</formula>
    </cfRule>
    <cfRule type="cellIs" priority="666" operator="equal" dxfId="2" stopIfTrue="1">
      <formula>"Yes"</formula>
    </cfRule>
    <cfRule type="cellIs" priority="667" operator="equal" dxfId="0" stopIfTrue="1">
      <formula>"No"</formula>
    </cfRule>
    <cfRule type="cellIs" priority="668" operator="equal" dxfId="2" stopIfTrue="1">
      <formula>"Yes"</formula>
    </cfRule>
    <cfRule type="cellIs" priority="669" operator="equal" dxfId="0" stopIfTrue="1">
      <formula>"No"</formula>
    </cfRule>
    <cfRule type="cellIs" priority="670" operator="equal" dxfId="2" stopIfTrue="1">
      <formula>"Yes"</formula>
    </cfRule>
    <cfRule type="cellIs" priority="671" operator="equal" dxfId="0" stopIfTrue="1">
      <formula>"No"</formula>
    </cfRule>
    <cfRule type="cellIs" priority="672" operator="equal" dxfId="2" stopIfTrue="1">
      <formula>"Yes"</formula>
    </cfRule>
    <cfRule type="cellIs" priority="673" operator="equal" dxfId="0" stopIfTrue="1">
      <formula>"No"</formula>
    </cfRule>
    <cfRule type="cellIs" priority="674" operator="equal" dxfId="2" stopIfTrue="1">
      <formula>"Yes"</formula>
    </cfRule>
    <cfRule type="cellIs" priority="675" operator="equal" dxfId="0" stopIfTrue="1">
      <formula>"No"</formula>
    </cfRule>
    <cfRule type="cellIs" priority="676" operator="equal" dxfId="2" stopIfTrue="1">
      <formula>"Yes"</formula>
    </cfRule>
    <cfRule type="cellIs" priority="677" operator="equal" dxfId="0" stopIfTrue="1">
      <formula>"No"</formula>
    </cfRule>
    <cfRule type="cellIs" priority="678" operator="equal" dxfId="2" stopIfTrue="1">
      <formula>"Yes"</formula>
    </cfRule>
    <cfRule type="cellIs" priority="679" operator="equal" dxfId="0" stopIfTrue="1">
      <formula>"No"</formula>
    </cfRule>
    <cfRule type="cellIs" priority="680" operator="equal" dxfId="2" stopIfTrue="1">
      <formula>"Yes"</formula>
    </cfRule>
    <cfRule type="cellIs" priority="681" operator="equal" dxfId="0" stopIfTrue="1">
      <formula>"No"</formula>
    </cfRule>
    <cfRule type="cellIs" priority="682" operator="equal" dxfId="2" stopIfTrue="1">
      <formula>"Yes"</formula>
    </cfRule>
    <cfRule type="cellIs" priority="683" operator="equal" dxfId="0" stopIfTrue="1">
      <formula>"No"</formula>
    </cfRule>
    <cfRule type="cellIs" priority="684" operator="equal" dxfId="2" stopIfTrue="1">
      <formula>"Yes"</formula>
    </cfRule>
    <cfRule type="cellIs" priority="685" operator="equal" dxfId="0" stopIfTrue="1">
      <formula>"No"</formula>
    </cfRule>
    <cfRule type="cellIs" priority="686" operator="equal" dxfId="2" stopIfTrue="1">
      <formula>"Yes"</formula>
    </cfRule>
  </conditionalFormatting>
  <conditionalFormatting sqref="A2 D2 E1:E2 F2:G2 H2:H4 I1:I4 J2:J4 K1:O4">
    <cfRule type="cellIs" priority="687" operator="equal" dxfId="0" stopIfTrue="1">
      <formula>"No"</formula>
    </cfRule>
    <cfRule type="cellIs" priority="688" operator="equal" dxfId="2" stopIfTrue="1">
      <formula>"Yes"</formula>
    </cfRule>
    <cfRule type="cellIs" priority="689" operator="equal" dxfId="0" stopIfTrue="1">
      <formula>"No"</formula>
    </cfRule>
    <cfRule type="cellIs" priority="690" operator="equal" dxfId="2" stopIfTrue="1">
      <formula>"Yes"</formula>
    </cfRule>
    <cfRule type="cellIs" priority="691" operator="equal" dxfId="0" stopIfTrue="1">
      <formula>"No"</formula>
    </cfRule>
    <cfRule type="cellIs" priority="692" operator="equal" dxfId="2" stopIfTrue="1">
      <formula>"Yes"</formula>
    </cfRule>
    <cfRule type="cellIs" priority="693" operator="equal" dxfId="0" stopIfTrue="1">
      <formula>"No"</formula>
    </cfRule>
    <cfRule type="cellIs" priority="694" operator="equal" dxfId="2" stopIfTrue="1">
      <formula>"Yes"</formula>
    </cfRule>
    <cfRule type="cellIs" priority="695" operator="equal" dxfId="0" stopIfTrue="1">
      <formula>"No"</formula>
    </cfRule>
    <cfRule type="cellIs" priority="696" operator="equal" dxfId="2" stopIfTrue="1">
      <formula>"Yes"</formula>
    </cfRule>
    <cfRule type="cellIs" priority="697" operator="equal" dxfId="0" stopIfTrue="1">
      <formula>"No"</formula>
    </cfRule>
    <cfRule type="cellIs" priority="698" operator="equal" dxfId="2" stopIfTrue="1">
      <formula>"Yes"</formula>
    </cfRule>
    <cfRule type="cellIs" priority="699" operator="equal" dxfId="0" stopIfTrue="1">
      <formula>"No"</formula>
    </cfRule>
    <cfRule type="cellIs" priority="700" operator="equal" dxfId="2" stopIfTrue="1">
      <formula>"Yes"</formula>
    </cfRule>
    <cfRule type="cellIs" priority="701" operator="equal" dxfId="0" stopIfTrue="1">
      <formula>"No"</formula>
    </cfRule>
    <cfRule type="cellIs" priority="702" operator="equal" dxfId="2" stopIfTrue="1">
      <formula>"Yes"</formula>
    </cfRule>
    <cfRule type="cellIs" priority="703" operator="equal" dxfId="0" stopIfTrue="1">
      <formula>"No"</formula>
    </cfRule>
    <cfRule type="cellIs" priority="704" operator="equal" dxfId="2" stopIfTrue="1">
      <formula>"Yes"</formula>
    </cfRule>
    <cfRule type="cellIs" priority="705" operator="equal" dxfId="0" stopIfTrue="1">
      <formula>"No"</formula>
    </cfRule>
    <cfRule type="cellIs" priority="706" operator="equal" dxfId="2" stopIfTrue="1">
      <formula>"Yes"</formula>
    </cfRule>
    <cfRule type="cellIs" priority="707" operator="equal" dxfId="0" stopIfTrue="1">
      <formula>"No"</formula>
    </cfRule>
    <cfRule type="cellIs" priority="708" operator="equal" dxfId="2" stopIfTrue="1">
      <formula>"Yes"</formula>
    </cfRule>
    <cfRule type="cellIs" priority="709" operator="equal" dxfId="0" stopIfTrue="1">
      <formula>"No"</formula>
    </cfRule>
    <cfRule type="cellIs" priority="710" operator="equal" dxfId="2" stopIfTrue="1">
      <formula>"Yes"</formula>
    </cfRule>
    <cfRule type="cellIs" priority="711" operator="equal" dxfId="0" stopIfTrue="1">
      <formula>"No"</formula>
    </cfRule>
    <cfRule type="cellIs" priority="712" operator="equal" dxfId="2" stopIfTrue="1">
      <formula>"Yes"</formula>
    </cfRule>
    <cfRule type="cellIs" priority="713" operator="equal" dxfId="0" stopIfTrue="1">
      <formula>"No"</formula>
    </cfRule>
    <cfRule type="cellIs" priority="714" operator="equal" dxfId="2" stopIfTrue="1">
      <formula>"Yes"</formula>
    </cfRule>
    <cfRule type="cellIs" priority="715" operator="equal" dxfId="0" stopIfTrue="1">
      <formula>"No"</formula>
    </cfRule>
    <cfRule type="cellIs" priority="716" operator="equal" dxfId="2" stopIfTrue="1">
      <formula>"Yes"</formula>
    </cfRule>
    <cfRule type="cellIs" priority="717" operator="equal" dxfId="0" stopIfTrue="1">
      <formula>"No"</formula>
    </cfRule>
    <cfRule type="cellIs" priority="718" operator="equal" dxfId="2" stopIfTrue="1">
      <formula>"Yes"</formula>
    </cfRule>
    <cfRule type="cellIs" priority="719" operator="equal" dxfId="0" stopIfTrue="1">
      <formula>"No"</formula>
    </cfRule>
    <cfRule type="cellIs" priority="720" operator="equal" dxfId="2" stopIfTrue="1">
      <formula>"Yes"</formula>
    </cfRule>
    <cfRule type="cellIs" priority="721" operator="equal" dxfId="0" stopIfTrue="1">
      <formula>"No"</formula>
    </cfRule>
    <cfRule type="cellIs" priority="722" operator="equal" dxfId="2" stopIfTrue="1">
      <formula>"Yes"</formula>
    </cfRule>
    <cfRule type="cellIs" priority="723" operator="equal" dxfId="0" stopIfTrue="1">
      <formula>"No"</formula>
    </cfRule>
    <cfRule type="cellIs" priority="724" operator="equal" dxfId="2" stopIfTrue="1">
      <formula>"Yes"</formula>
    </cfRule>
    <cfRule type="cellIs" priority="725" operator="equal" dxfId="0" stopIfTrue="1">
      <formula>"No"</formula>
    </cfRule>
    <cfRule type="cellIs" priority="726" operator="equal" dxfId="2" stopIfTrue="1">
      <formula>"Yes"</formula>
    </cfRule>
    <cfRule type="cellIs" priority="727" operator="equal" dxfId="0" stopIfTrue="1">
      <formula>"No"</formula>
    </cfRule>
    <cfRule type="cellIs" priority="728" operator="equal" dxfId="2" stopIfTrue="1">
      <formula>"Yes"</formula>
    </cfRule>
    <cfRule type="cellIs" priority="729" operator="equal" dxfId="0" stopIfTrue="1">
      <formula>"No"</formula>
    </cfRule>
    <cfRule type="cellIs" priority="730" operator="equal" dxfId="2" stopIfTrue="1">
      <formula>"Yes"</formula>
    </cfRule>
    <cfRule type="cellIs" priority="731" operator="equal" dxfId="0" stopIfTrue="1">
      <formula>"No"</formula>
    </cfRule>
    <cfRule type="cellIs" priority="732" operator="equal" dxfId="2" stopIfTrue="1">
      <formula>"Yes"</formula>
    </cfRule>
    <cfRule type="cellIs" priority="733" operator="equal" dxfId="0" stopIfTrue="1">
      <formula>"No"</formula>
    </cfRule>
    <cfRule type="cellIs" priority="734" operator="equal" dxfId="2" stopIfTrue="1">
      <formula>"Yes"</formula>
    </cfRule>
    <cfRule type="cellIs" priority="735" operator="equal" dxfId="0" stopIfTrue="1">
      <formula>"No"</formula>
    </cfRule>
    <cfRule type="cellIs" priority="736" operator="equal" dxfId="2" stopIfTrue="1">
      <formula>"Yes"</formula>
    </cfRule>
    <cfRule type="cellIs" priority="737" operator="equal" dxfId="0" stopIfTrue="1">
      <formula>"No"</formula>
    </cfRule>
    <cfRule type="cellIs" priority="738" operator="equal" dxfId="2" stopIfTrue="1">
      <formula>"Yes"</formula>
    </cfRule>
  </conditionalFormatting>
  <dataValidations count="2">
    <dataValidation sqref="O2" showDropDown="0" showInputMessage="0" showErrorMessage="1" allowBlank="1" type="list">
      <formula1>"English,Traditional Chinese,Simplified Chinese,Hindi,Spanish,Arabic,Bengali,Portuguese,Russian,Japanese,German,French,Italian,Korean,Vietnamese,Turkish,Persian,Polish,Dutch,Thai,Swedish,Norwegian,Finnish,Danish,Hebrew,Indonesian,Malay,Greek,Czech,Romanian"&amp;",Hungarian,Slovak,Ukrainian"</formula1>
    </dataValidation>
    <dataValidation sqref="O1" showDropDown="0" showInputMessage="0" showErrorMessage="1" allowBlank="1" type="list">
      <formula1>"Python,JavaScript,Java,C++,C#,Go,Ruby,Swift,Kotlin,Rust,PHP,TypeScript,Scala,Haskell,Objective-C,Perl,Lua,R,Dart"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2026-05-11T21:50:26Z</dcterms:created>
  <dcterms:modified xsi:type="dcterms:W3CDTF">2026-05-12T21:10:17Z</dcterms:modified>
</cp:coreProperties>
</file>